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80998ace04e2b563/Documents/FF_ADP/ff_auction_values/"/>
    </mc:Choice>
  </mc:AlternateContent>
  <xr:revisionPtr revIDLastSave="25" documentId="11_F886F08A9BAC42040102391E8BAB8F1CDEECC0CD" xr6:coauthVersionLast="47" xr6:coauthVersionMax="47" xr10:uidLastSave="{D4D81F10-1A39-4E19-89F9-EB8D7B715264}"/>
  <bookViews>
    <workbookView xWindow="-28065" yWindow="735" windowWidth="21600" windowHeight="11295" xr2:uid="{00000000-000D-0000-FFFF-FFFF00000000}"/>
  </bookViews>
  <sheets>
    <sheet name="Instructions" sheetId="1" r:id="rId1"/>
    <sheet name="Setup" sheetId="2" r:id="rId2"/>
    <sheet name="Draft Board" sheetId="3" r:id="rId3"/>
    <sheet name="Live Calc" sheetId="4" state="hidden" r:id="rId4"/>
    <sheet name="My Team"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5" l="1"/>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F7" i="5"/>
  <c r="F8" i="5" s="1"/>
  <c r="A7" i="5"/>
  <c r="A6" i="5"/>
  <c r="A5" i="5"/>
  <c r="F4" i="5"/>
  <c r="A4" i="5"/>
  <c r="F3" i="5"/>
  <c r="A3" i="5"/>
  <c r="A2" i="5"/>
  <c r="F543" i="4"/>
  <c r="E543" i="4"/>
  <c r="D543" i="4"/>
  <c r="C22" i="4"/>
  <c r="I22" i="4" s="1"/>
  <c r="B22" i="4"/>
  <c r="C21" i="4"/>
  <c r="I21" i="4" s="1"/>
  <c r="B21" i="4"/>
  <c r="C20" i="4"/>
  <c r="I20" i="4" s="1"/>
  <c r="B20" i="4"/>
  <c r="C19" i="4"/>
  <c r="I19" i="4" s="1"/>
  <c r="B19" i="4"/>
  <c r="J18" i="4"/>
  <c r="D15" i="4"/>
  <c r="C15" i="4"/>
  <c r="B15" i="4"/>
  <c r="D14" i="4"/>
  <c r="C14" i="4"/>
  <c r="B14" i="4"/>
  <c r="D13" i="4"/>
  <c r="C13" i="4"/>
  <c r="B13" i="4"/>
  <c r="D12" i="4"/>
  <c r="C12" i="4"/>
  <c r="B12" i="4"/>
  <c r="B8" i="4"/>
  <c r="B2" i="4"/>
  <c r="B4" i="4" s="1"/>
  <c r="AL192" i="3"/>
  <c r="AL191" i="3"/>
  <c r="AL190" i="3"/>
  <c r="AL189" i="3"/>
  <c r="AL188" i="3"/>
  <c r="AL187" i="3"/>
  <c r="AL186" i="3"/>
  <c r="AL185" i="3"/>
  <c r="AL184" i="3"/>
  <c r="AL183" i="3"/>
  <c r="AL182" i="3"/>
  <c r="AL181" i="3"/>
  <c r="AL180" i="3"/>
  <c r="AL179" i="3"/>
  <c r="AL178" i="3"/>
  <c r="AL177" i="3"/>
  <c r="AL176" i="3"/>
  <c r="AL175" i="3"/>
  <c r="AL174" i="3"/>
  <c r="AL173" i="3"/>
  <c r="AL172" i="3"/>
  <c r="AL171" i="3"/>
  <c r="AL170" i="3"/>
  <c r="AL169" i="3"/>
  <c r="AL168" i="3"/>
  <c r="AL167" i="3"/>
  <c r="AL166" i="3"/>
  <c r="AL165" i="3"/>
  <c r="AL164" i="3"/>
  <c r="AL163" i="3"/>
  <c r="AL162" i="3"/>
  <c r="V162" i="3"/>
  <c r="AL161" i="3"/>
  <c r="V161" i="3"/>
  <c r="AL160" i="3"/>
  <c r="V160" i="3"/>
  <c r="AL159" i="3"/>
  <c r="V159" i="3"/>
  <c r="AL158" i="3"/>
  <c r="V158" i="3"/>
  <c r="AL157" i="3"/>
  <c r="V157" i="3"/>
  <c r="AL156" i="3"/>
  <c r="V156" i="3"/>
  <c r="AL155" i="3"/>
  <c r="V155" i="3"/>
  <c r="AL154" i="3"/>
  <c r="V154" i="3"/>
  <c r="AL153" i="3"/>
  <c r="V153" i="3"/>
  <c r="AL152" i="3"/>
  <c r="V152" i="3"/>
  <c r="AL151" i="3"/>
  <c r="V151" i="3"/>
  <c r="AL150" i="3"/>
  <c r="V150" i="3"/>
  <c r="AL149" i="3"/>
  <c r="V149" i="3"/>
  <c r="AL148" i="3"/>
  <c r="V148" i="3"/>
  <c r="AL147" i="3"/>
  <c r="V147" i="3"/>
  <c r="AL146" i="3"/>
  <c r="V146" i="3"/>
  <c r="AL145" i="3"/>
  <c r="V145" i="3"/>
  <c r="AL144" i="3"/>
  <c r="V144" i="3"/>
  <c r="AL143" i="3"/>
  <c r="V143" i="3"/>
  <c r="AL142" i="3"/>
  <c r="V142" i="3"/>
  <c r="AL141" i="3"/>
  <c r="V141" i="3"/>
  <c r="AL140" i="3"/>
  <c r="V140" i="3"/>
  <c r="AL139" i="3"/>
  <c r="V139" i="3"/>
  <c r="AL138" i="3"/>
  <c r="V138" i="3"/>
  <c r="AL137" i="3"/>
  <c r="V137" i="3"/>
  <c r="AL136" i="3"/>
  <c r="V136" i="3"/>
  <c r="AL135" i="3"/>
  <c r="V135" i="3"/>
  <c r="AL134" i="3"/>
  <c r="V134" i="3"/>
  <c r="AL133" i="3"/>
  <c r="V133" i="3"/>
  <c r="AL132" i="3"/>
  <c r="V132" i="3"/>
  <c r="AL131" i="3"/>
  <c r="V131" i="3"/>
  <c r="AL130" i="3"/>
  <c r="V130" i="3"/>
  <c r="AL129" i="3"/>
  <c r="V129" i="3"/>
  <c r="AL128" i="3"/>
  <c r="V128" i="3"/>
  <c r="AL127" i="3"/>
  <c r="V127" i="3"/>
  <c r="AL126" i="3"/>
  <c r="V126" i="3"/>
  <c r="AL125" i="3"/>
  <c r="V125" i="3"/>
  <c r="AL124" i="3"/>
  <c r="V124" i="3"/>
  <c r="AL123" i="3"/>
  <c r="V123" i="3"/>
  <c r="AL122" i="3"/>
  <c r="V122" i="3"/>
  <c r="AL121" i="3"/>
  <c r="V121" i="3"/>
  <c r="AL120" i="3"/>
  <c r="V120" i="3"/>
  <c r="AL119" i="3"/>
  <c r="V119" i="3"/>
  <c r="AL118" i="3"/>
  <c r="V118" i="3"/>
  <c r="AL117" i="3"/>
  <c r="V117" i="3"/>
  <c r="AL116" i="3"/>
  <c r="V116" i="3"/>
  <c r="AL115" i="3"/>
  <c r="V115" i="3"/>
  <c r="AL114" i="3"/>
  <c r="V114" i="3"/>
  <c r="AL113" i="3"/>
  <c r="V113" i="3"/>
  <c r="AL112" i="3"/>
  <c r="V112" i="3"/>
  <c r="AL111" i="3"/>
  <c r="V111" i="3"/>
  <c r="AL110" i="3"/>
  <c r="V110" i="3"/>
  <c r="AL109" i="3"/>
  <c r="V109" i="3"/>
  <c r="AL108" i="3"/>
  <c r="V108" i="3"/>
  <c r="AL107" i="3"/>
  <c r="V107" i="3"/>
  <c r="AL106" i="3"/>
  <c r="V106" i="3"/>
  <c r="AL105" i="3"/>
  <c r="V105" i="3"/>
  <c r="AL104" i="3"/>
  <c r="V104" i="3"/>
  <c r="AL103" i="3"/>
  <c r="V103" i="3"/>
  <c r="AL102" i="3"/>
  <c r="V102" i="3"/>
  <c r="AL101" i="3"/>
  <c r="V101" i="3"/>
  <c r="AL100" i="3"/>
  <c r="V100" i="3"/>
  <c r="AL99" i="3"/>
  <c r="V99" i="3"/>
  <c r="AL98" i="3"/>
  <c r="V98" i="3"/>
  <c r="AL97" i="3"/>
  <c r="V97" i="3"/>
  <c r="AL96" i="3"/>
  <c r="V96" i="3"/>
  <c r="AL95" i="3"/>
  <c r="V95" i="3"/>
  <c r="AL94" i="3"/>
  <c r="V94" i="3"/>
  <c r="AL93" i="3"/>
  <c r="V93" i="3"/>
  <c r="AL92" i="3"/>
  <c r="V92" i="3"/>
  <c r="AL91" i="3"/>
  <c r="V91" i="3"/>
  <c r="AL90" i="3"/>
  <c r="V90" i="3"/>
  <c r="AL89" i="3"/>
  <c r="V89" i="3"/>
  <c r="AL88" i="3"/>
  <c r="V88" i="3"/>
  <c r="BB87" i="3"/>
  <c r="AL87" i="3"/>
  <c r="V87" i="3"/>
  <c r="BB86" i="3"/>
  <c r="AL86" i="3"/>
  <c r="V86" i="3"/>
  <c r="BB85" i="3"/>
  <c r="AL85" i="3"/>
  <c r="V85" i="3"/>
  <c r="BB84" i="3"/>
  <c r="AL84" i="3"/>
  <c r="V84" i="3"/>
  <c r="BB83" i="3"/>
  <c r="AL83" i="3"/>
  <c r="V83" i="3"/>
  <c r="BB82" i="3"/>
  <c r="AL82" i="3"/>
  <c r="V82" i="3"/>
  <c r="BB81" i="3"/>
  <c r="AL81" i="3"/>
  <c r="V81" i="3"/>
  <c r="BB80" i="3"/>
  <c r="AL80" i="3"/>
  <c r="V80" i="3"/>
  <c r="BB79" i="3"/>
  <c r="AL79" i="3"/>
  <c r="V79" i="3"/>
  <c r="BB78" i="3"/>
  <c r="AL78" i="3"/>
  <c r="V78" i="3"/>
  <c r="BB77" i="3"/>
  <c r="AL77" i="3"/>
  <c r="V77" i="3"/>
  <c r="BB76" i="3"/>
  <c r="AL76" i="3"/>
  <c r="V76" i="3"/>
  <c r="BB75" i="3"/>
  <c r="AL75" i="3"/>
  <c r="V75" i="3"/>
  <c r="BB74" i="3"/>
  <c r="AL74" i="3"/>
  <c r="V74" i="3"/>
  <c r="BB73" i="3"/>
  <c r="AL73" i="3"/>
  <c r="V73" i="3"/>
  <c r="BB72" i="3"/>
  <c r="AL72" i="3"/>
  <c r="V72" i="3"/>
  <c r="BB71" i="3"/>
  <c r="AL71" i="3"/>
  <c r="V71" i="3"/>
  <c r="BB70" i="3"/>
  <c r="AL70" i="3"/>
  <c r="V70" i="3"/>
  <c r="BB69" i="3"/>
  <c r="AL69" i="3"/>
  <c r="V69" i="3"/>
  <c r="BB68" i="3"/>
  <c r="AL68" i="3"/>
  <c r="V68" i="3"/>
  <c r="BB67" i="3"/>
  <c r="AL67" i="3"/>
  <c r="V67" i="3"/>
  <c r="BB66" i="3"/>
  <c r="AL66" i="3"/>
  <c r="V66" i="3"/>
  <c r="BB65" i="3"/>
  <c r="AL65" i="3"/>
  <c r="V65" i="3"/>
  <c r="BB64" i="3"/>
  <c r="AL64" i="3"/>
  <c r="V64" i="3"/>
  <c r="BB63" i="3"/>
  <c r="AL63" i="3"/>
  <c r="V63" i="3"/>
  <c r="BB62" i="3"/>
  <c r="AL62" i="3"/>
  <c r="V62" i="3"/>
  <c r="BB61" i="3"/>
  <c r="AL61" i="3"/>
  <c r="V61" i="3"/>
  <c r="F61" i="3"/>
  <c r="BB60" i="3"/>
  <c r="AL60" i="3"/>
  <c r="V60" i="3"/>
  <c r="F60" i="3"/>
  <c r="BB59" i="3"/>
  <c r="AL59" i="3"/>
  <c r="V59" i="3"/>
  <c r="F59" i="3"/>
  <c r="BB58" i="3"/>
  <c r="AL58" i="3"/>
  <c r="V58" i="3"/>
  <c r="F58" i="3"/>
  <c r="BB57" i="3"/>
  <c r="AL57" i="3"/>
  <c r="V57" i="3"/>
  <c r="F57" i="3"/>
  <c r="BB56" i="3"/>
  <c r="AL56" i="3"/>
  <c r="V56" i="3"/>
  <c r="F56" i="3"/>
  <c r="BB55" i="3"/>
  <c r="AL55" i="3"/>
  <c r="V55" i="3"/>
  <c r="F55" i="3"/>
  <c r="BB54" i="3"/>
  <c r="AL54" i="3"/>
  <c r="V54" i="3"/>
  <c r="F54" i="3"/>
  <c r="BB53" i="3"/>
  <c r="AL53" i="3"/>
  <c r="V53" i="3"/>
  <c r="F53" i="3"/>
  <c r="BB52" i="3"/>
  <c r="AL52" i="3"/>
  <c r="V52" i="3"/>
  <c r="F52" i="3"/>
  <c r="BB51" i="3"/>
  <c r="AL51" i="3"/>
  <c r="V51" i="3"/>
  <c r="F51" i="3"/>
  <c r="BB50" i="3"/>
  <c r="AL50" i="3"/>
  <c r="V50" i="3"/>
  <c r="F50" i="3"/>
  <c r="BB49" i="3"/>
  <c r="AL49" i="3"/>
  <c r="V49" i="3"/>
  <c r="F49" i="3"/>
  <c r="BB48" i="3"/>
  <c r="AL48" i="3"/>
  <c r="V48" i="3"/>
  <c r="F48" i="3"/>
  <c r="BB47" i="3"/>
  <c r="AL47" i="3"/>
  <c r="V47" i="3"/>
  <c r="F47" i="3"/>
  <c r="BB46" i="3"/>
  <c r="AL46" i="3"/>
  <c r="V46" i="3"/>
  <c r="F46" i="3"/>
  <c r="BB45" i="3"/>
  <c r="AL45" i="3"/>
  <c r="V45" i="3"/>
  <c r="F45" i="3"/>
  <c r="BB44" i="3"/>
  <c r="AL44" i="3"/>
  <c r="V44" i="3"/>
  <c r="F44" i="3"/>
  <c r="BB43" i="3"/>
  <c r="AL43" i="3"/>
  <c r="V43" i="3"/>
  <c r="F43" i="3"/>
  <c r="BB42" i="3"/>
  <c r="AL42" i="3"/>
  <c r="V42" i="3"/>
  <c r="F42" i="3"/>
  <c r="BB41" i="3"/>
  <c r="AL41" i="3"/>
  <c r="V41" i="3"/>
  <c r="F41" i="3"/>
  <c r="BB40" i="3"/>
  <c r="AL40" i="3"/>
  <c r="V40" i="3"/>
  <c r="F40" i="3"/>
  <c r="BB39" i="3"/>
  <c r="AL39" i="3"/>
  <c r="V39" i="3"/>
  <c r="F39" i="3"/>
  <c r="BB38" i="3"/>
  <c r="AL38" i="3"/>
  <c r="V38" i="3"/>
  <c r="F38" i="3"/>
  <c r="BB37" i="3"/>
  <c r="AL37" i="3"/>
  <c r="V37" i="3"/>
  <c r="F37" i="3"/>
  <c r="BB36" i="3"/>
  <c r="AL36" i="3"/>
  <c r="V36" i="3"/>
  <c r="F36" i="3"/>
  <c r="BB35" i="3"/>
  <c r="AL35" i="3"/>
  <c r="V35" i="3"/>
  <c r="F35" i="3"/>
  <c r="BB34" i="3"/>
  <c r="AL34" i="3"/>
  <c r="V34" i="3"/>
  <c r="F34" i="3"/>
  <c r="BB33" i="3"/>
  <c r="AL33" i="3"/>
  <c r="V33" i="3"/>
  <c r="F33" i="3"/>
  <c r="BB32" i="3"/>
  <c r="AL32" i="3"/>
  <c r="V32" i="3"/>
  <c r="F32" i="3"/>
  <c r="BB31" i="3"/>
  <c r="AL31" i="3"/>
  <c r="V31" i="3"/>
  <c r="F31" i="3"/>
  <c r="BB30" i="3"/>
  <c r="AL30" i="3"/>
  <c r="V30" i="3"/>
  <c r="F30" i="3"/>
  <c r="BB29" i="3"/>
  <c r="AL29" i="3"/>
  <c r="V29" i="3"/>
  <c r="F29" i="3"/>
  <c r="BB28" i="3"/>
  <c r="AL28" i="3"/>
  <c r="V28" i="3"/>
  <c r="F28" i="3"/>
  <c r="BB27" i="3"/>
  <c r="AL27" i="3"/>
  <c r="V27" i="3"/>
  <c r="F27" i="3"/>
  <c r="BB26" i="3"/>
  <c r="AL26" i="3"/>
  <c r="V26" i="3"/>
  <c r="F26" i="3"/>
  <c r="BB25" i="3"/>
  <c r="AL25" i="3"/>
  <c r="V25" i="3"/>
  <c r="F25" i="3"/>
  <c r="BB24" i="3"/>
  <c r="AL24" i="3"/>
  <c r="V24" i="3"/>
  <c r="F24" i="3"/>
  <c r="BB23" i="3"/>
  <c r="AL23" i="3"/>
  <c r="V23" i="3"/>
  <c r="F23" i="3"/>
  <c r="BB22" i="3"/>
  <c r="AL22" i="3"/>
  <c r="V22" i="3"/>
  <c r="F22" i="3"/>
  <c r="BB21" i="3"/>
  <c r="AL21" i="3"/>
  <c r="V21" i="3"/>
  <c r="F21" i="3"/>
  <c r="BB20" i="3"/>
  <c r="AL20" i="3"/>
  <c r="V20" i="3"/>
  <c r="F20" i="3"/>
  <c r="BB19" i="3"/>
  <c r="AL19" i="3"/>
  <c r="V19" i="3"/>
  <c r="F19" i="3"/>
  <c r="BB18" i="3"/>
  <c r="AL18" i="3"/>
  <c r="V18" i="3"/>
  <c r="F18" i="3"/>
  <c r="BB17" i="3"/>
  <c r="AL17" i="3"/>
  <c r="V17" i="3"/>
  <c r="F17" i="3"/>
  <c r="BB16" i="3"/>
  <c r="AL16" i="3"/>
  <c r="V16" i="3"/>
  <c r="F16" i="3"/>
  <c r="BB15" i="3"/>
  <c r="AL15" i="3"/>
  <c r="V15" i="3"/>
  <c r="F15" i="3"/>
  <c r="BB14" i="3"/>
  <c r="AL14" i="3"/>
  <c r="V14" i="3"/>
  <c r="F14" i="3"/>
  <c r="BB13" i="3"/>
  <c r="AL13" i="3"/>
  <c r="V13" i="3"/>
  <c r="F13" i="3"/>
  <c r="BB12" i="3"/>
  <c r="AL12" i="3"/>
  <c r="V12" i="3"/>
  <c r="F12" i="3"/>
  <c r="BB11" i="3"/>
  <c r="AL11" i="3"/>
  <c r="V11" i="3"/>
  <c r="F11" i="3"/>
  <c r="BB10" i="3"/>
  <c r="AL10" i="3"/>
  <c r="V10" i="3"/>
  <c r="F10" i="3"/>
  <c r="BB9" i="3"/>
  <c r="AL9" i="3"/>
  <c r="V9" i="3"/>
  <c r="F9" i="3"/>
  <c r="BB8" i="3"/>
  <c r="AL8" i="3"/>
  <c r="V8" i="3"/>
  <c r="F8" i="3"/>
  <c r="BB7" i="3"/>
  <c r="AL7" i="3"/>
  <c r="V7" i="3"/>
  <c r="F7" i="3"/>
  <c r="BB6" i="3"/>
  <c r="AL6" i="3"/>
  <c r="V6" i="3"/>
  <c r="F6" i="3"/>
  <c r="BB5" i="3"/>
  <c r="AL5" i="3"/>
  <c r="V5" i="3"/>
  <c r="F5" i="3"/>
  <c r="BB4" i="3"/>
  <c r="AL4" i="3"/>
  <c r="V4" i="3"/>
  <c r="F4" i="3"/>
  <c r="BB3" i="3"/>
  <c r="AL3" i="3"/>
  <c r="V3" i="3"/>
  <c r="F3" i="3"/>
  <c r="BB2" i="3"/>
  <c r="AL2" i="3"/>
  <c r="V2" i="3"/>
  <c r="F2" i="3"/>
  <c r="D22" i="4" l="1"/>
  <c r="F20" i="4"/>
  <c r="E22" i="4"/>
  <c r="D20" i="4"/>
  <c r="H20" i="4" s="1"/>
  <c r="X121" i="3" s="1"/>
  <c r="F22" i="4"/>
  <c r="D21" i="4"/>
  <c r="H21" i="4" s="1"/>
  <c r="E20" i="4"/>
  <c r="H22" i="4"/>
  <c r="BD48" i="3" s="1"/>
  <c r="B3" i="4"/>
  <c r="B5" i="4" s="1"/>
  <c r="F21" i="4"/>
  <c r="D19" i="4"/>
  <c r="H19" i="4" s="1"/>
  <c r="E19" i="4"/>
  <c r="E21" i="4"/>
  <c r="F19" i="4"/>
  <c r="F5" i="5"/>
  <c r="F6" i="5" s="1"/>
  <c r="AN111" i="3" l="1"/>
  <c r="AN39" i="3"/>
  <c r="X104" i="3"/>
  <c r="H36" i="3"/>
  <c r="X90" i="3"/>
  <c r="BD85" i="3"/>
  <c r="X41" i="3"/>
  <c r="X136" i="3"/>
  <c r="X83" i="3"/>
  <c r="AN11" i="3"/>
  <c r="H51" i="3"/>
  <c r="X129" i="3"/>
  <c r="X120" i="3"/>
  <c r="X10" i="3"/>
  <c r="X145" i="3"/>
  <c r="X144" i="3"/>
  <c r="G19" i="4"/>
  <c r="B26" i="4" s="1"/>
  <c r="AN62" i="3"/>
  <c r="X137" i="3"/>
  <c r="X128" i="3"/>
  <c r="AN84" i="3"/>
  <c r="X100" i="3"/>
  <c r="X68" i="3"/>
  <c r="X94" i="3"/>
  <c r="BD81" i="3"/>
  <c r="X74" i="3"/>
  <c r="X60" i="3"/>
  <c r="X44" i="3"/>
  <c r="X158" i="3"/>
  <c r="X157" i="3"/>
  <c r="X146" i="3"/>
  <c r="BD78" i="3"/>
  <c r="X58" i="3"/>
  <c r="H5" i="3"/>
  <c r="X134" i="3"/>
  <c r="X149" i="3"/>
  <c r="X78" i="3"/>
  <c r="G20" i="4"/>
  <c r="B27" i="4" s="1"/>
  <c r="AN129" i="3"/>
  <c r="X34" i="3"/>
  <c r="X126" i="3"/>
  <c r="X141" i="3"/>
  <c r="AN112" i="3"/>
  <c r="X105" i="3"/>
  <c r="BD64" i="3"/>
  <c r="X26" i="3"/>
  <c r="X118" i="3"/>
  <c r="X133" i="3"/>
  <c r="X93" i="3"/>
  <c r="X97" i="3"/>
  <c r="X62" i="3"/>
  <c r="AN29" i="3"/>
  <c r="X125" i="3"/>
  <c r="X122" i="3"/>
  <c r="X92" i="3"/>
  <c r="AN56" i="3"/>
  <c r="BD9" i="3"/>
  <c r="X155" i="3"/>
  <c r="X117" i="3"/>
  <c r="X98" i="3"/>
  <c r="AN104" i="3"/>
  <c r="BD38" i="3"/>
  <c r="X56" i="3"/>
  <c r="X131" i="3"/>
  <c r="X143" i="3"/>
  <c r="X72" i="3"/>
  <c r="X102" i="3"/>
  <c r="BD57" i="3"/>
  <c r="X32" i="3"/>
  <c r="X156" i="3"/>
  <c r="X123" i="3"/>
  <c r="X135" i="3"/>
  <c r="X95" i="3"/>
  <c r="X130" i="3"/>
  <c r="X50" i="3"/>
  <c r="X28" i="3"/>
  <c r="X132" i="3"/>
  <c r="AN192" i="3"/>
  <c r="X127" i="3"/>
  <c r="X88" i="3"/>
  <c r="X99" i="3"/>
  <c r="X61" i="3"/>
  <c r="X20" i="3"/>
  <c r="X124" i="3"/>
  <c r="AN185" i="3"/>
  <c r="X119" i="3"/>
  <c r="BD86" i="3"/>
  <c r="X86" i="3"/>
  <c r="X43" i="3"/>
  <c r="X16" i="3"/>
  <c r="X116" i="3"/>
  <c r="X152" i="3"/>
  <c r="X107" i="3"/>
  <c r="X84" i="3"/>
  <c r="X66" i="3"/>
  <c r="BD39" i="3"/>
  <c r="BD23" i="3"/>
  <c r="AN181" i="3"/>
  <c r="X57" i="3"/>
  <c r="X54" i="3"/>
  <c r="F9" i="5"/>
  <c r="F10" i="5"/>
  <c r="AN92" i="3"/>
  <c r="AN102" i="3"/>
  <c r="AN63" i="3"/>
  <c r="AN54" i="3"/>
  <c r="AN70" i="3"/>
  <c r="AN52" i="3"/>
  <c r="AN61" i="3"/>
  <c r="AN41" i="3"/>
  <c r="AN48" i="3"/>
  <c r="AN25" i="3"/>
  <c r="BD6" i="3"/>
  <c r="BD8" i="3"/>
  <c r="AN182" i="3"/>
  <c r="H61" i="3"/>
  <c r="AN50" i="3"/>
  <c r="AN58" i="3"/>
  <c r="AN67" i="3"/>
  <c r="AN40" i="3"/>
  <c r="AN21" i="3"/>
  <c r="H4" i="3"/>
  <c r="AN35" i="3"/>
  <c r="A543" i="4"/>
  <c r="AN100" i="3"/>
  <c r="AN94" i="3"/>
  <c r="AN170" i="3"/>
  <c r="AN118" i="3"/>
  <c r="H59" i="3"/>
  <c r="H48" i="3"/>
  <c r="H40" i="3"/>
  <c r="AN53" i="3"/>
  <c r="BD30" i="3"/>
  <c r="H38" i="3"/>
  <c r="AN17" i="3"/>
  <c r="AN8" i="3"/>
  <c r="AN31" i="3"/>
  <c r="AN164" i="3"/>
  <c r="AN186" i="3"/>
  <c r="AN168" i="3"/>
  <c r="AN178" i="3"/>
  <c r="AN177" i="3"/>
  <c r="AN73" i="3"/>
  <c r="AN85" i="3"/>
  <c r="AN113" i="3"/>
  <c r="BD74" i="3"/>
  <c r="AN153" i="3"/>
  <c r="AN49" i="3"/>
  <c r="BD45" i="3"/>
  <c r="BD26" i="3"/>
  <c r="H34" i="3"/>
  <c r="AN13" i="3"/>
  <c r="BD32" i="3"/>
  <c r="AN27" i="3"/>
  <c r="AN155" i="3"/>
  <c r="AN174" i="3"/>
  <c r="AN157" i="3"/>
  <c r="AN162" i="3"/>
  <c r="AN191" i="3"/>
  <c r="AN158" i="3"/>
  <c r="AN189" i="3"/>
  <c r="AN90" i="3"/>
  <c r="AN99" i="3"/>
  <c r="AN101" i="3"/>
  <c r="H56" i="3"/>
  <c r="AN91" i="3"/>
  <c r="AN96" i="3"/>
  <c r="H60" i="3"/>
  <c r="H46" i="3"/>
  <c r="BD22" i="3"/>
  <c r="H26" i="3"/>
  <c r="H10" i="3"/>
  <c r="BD28" i="3"/>
  <c r="X6" i="3"/>
  <c r="BD11" i="3"/>
  <c r="AN147" i="3"/>
  <c r="AN160" i="3"/>
  <c r="AN149" i="3"/>
  <c r="AN154" i="3"/>
  <c r="AN172" i="3"/>
  <c r="AN166" i="3"/>
  <c r="BD76" i="3"/>
  <c r="BD82" i="3"/>
  <c r="BD70" i="3"/>
  <c r="H52" i="3"/>
  <c r="BD77" i="3"/>
  <c r="BD73" i="3"/>
  <c r="H54" i="3"/>
  <c r="H45" i="3"/>
  <c r="H55" i="3"/>
  <c r="X64" i="3"/>
  <c r="H11" i="3"/>
  <c r="H18" i="3"/>
  <c r="X33" i="3"/>
  <c r="BD24" i="3"/>
  <c r="AN3" i="3"/>
  <c r="X47" i="3"/>
  <c r="AN139" i="3"/>
  <c r="AN152" i="3"/>
  <c r="AN141" i="3"/>
  <c r="AN146" i="3"/>
  <c r="AN159" i="3"/>
  <c r="AN156" i="3"/>
  <c r="AN134" i="3"/>
  <c r="AN81" i="3"/>
  <c r="AN183" i="3"/>
  <c r="AN87" i="3"/>
  <c r="H47" i="3"/>
  <c r="H50" i="3"/>
  <c r="H44" i="3"/>
  <c r="BD47" i="3"/>
  <c r="BD63" i="3"/>
  <c r="H8" i="3"/>
  <c r="H14" i="3"/>
  <c r="X25" i="3"/>
  <c r="AN9" i="3"/>
  <c r="X27" i="3"/>
  <c r="H31" i="3"/>
  <c r="H27" i="3"/>
  <c r="H16" i="3"/>
  <c r="H25" i="3"/>
  <c r="H24" i="3"/>
  <c r="H23" i="3"/>
  <c r="H7" i="3"/>
  <c r="H30" i="3"/>
  <c r="H22" i="3"/>
  <c r="AN131" i="3"/>
  <c r="AN144" i="3"/>
  <c r="AN133" i="3"/>
  <c r="AN138" i="3"/>
  <c r="AN151" i="3"/>
  <c r="AN148" i="3"/>
  <c r="AN98" i="3"/>
  <c r="AN109" i="3"/>
  <c r="AN121" i="3"/>
  <c r="AN75" i="3"/>
  <c r="AN137" i="3"/>
  <c r="BD72" i="3"/>
  <c r="H41" i="3"/>
  <c r="AN65" i="3"/>
  <c r="AN55" i="3"/>
  <c r="BD79" i="3"/>
  <c r="H43" i="3"/>
  <c r="BD43" i="3"/>
  <c r="BD46" i="3"/>
  <c r="AN2" i="3"/>
  <c r="H2" i="3"/>
  <c r="X13" i="3"/>
  <c r="AN6" i="3"/>
  <c r="H32" i="3"/>
  <c r="X19" i="3"/>
  <c r="G21" i="4"/>
  <c r="B28" i="4" s="1"/>
  <c r="AN123" i="3"/>
  <c r="AN136" i="3"/>
  <c r="AN125" i="3"/>
  <c r="AN130" i="3"/>
  <c r="AN143" i="3"/>
  <c r="AN140" i="3"/>
  <c r="X96" i="3"/>
  <c r="AN103" i="3"/>
  <c r="X106" i="3"/>
  <c r="BD68" i="3"/>
  <c r="AN114" i="3"/>
  <c r="X108" i="3"/>
  <c r="BD84" i="3"/>
  <c r="AN110" i="3"/>
  <c r="BD62" i="3"/>
  <c r="AN51" i="3"/>
  <c r="X67" i="3"/>
  <c r="H42" i="3"/>
  <c r="X89" i="3"/>
  <c r="BD44" i="3"/>
  <c r="H3" i="3"/>
  <c r="AN19" i="3"/>
  <c r="AN23" i="3"/>
  <c r="BD5" i="3"/>
  <c r="H28" i="3"/>
  <c r="X15" i="3"/>
  <c r="AN115" i="3"/>
  <c r="AN128" i="3"/>
  <c r="AN117" i="3"/>
  <c r="AN122" i="3"/>
  <c r="AN135" i="3"/>
  <c r="AN132" i="3"/>
  <c r="AN79" i="3"/>
  <c r="X101" i="3"/>
  <c r="X162" i="3"/>
  <c r="AN161" i="3"/>
  <c r="BD87" i="3"/>
  <c r="AN89" i="3"/>
  <c r="AN83" i="3"/>
  <c r="AN78" i="3"/>
  <c r="AN60" i="3"/>
  <c r="AN45" i="3"/>
  <c r="AN64" i="3"/>
  <c r="AN93" i="3"/>
  <c r="X45" i="3"/>
  <c r="AN59" i="3"/>
  <c r="AN34" i="3"/>
  <c r="BD33" i="3"/>
  <c r="H37" i="3"/>
  <c r="AN36" i="3"/>
  <c r="H20" i="3"/>
  <c r="AN188" i="3"/>
  <c r="AN74" i="3"/>
  <c r="AN76" i="3"/>
  <c r="AN15" i="3"/>
  <c r="AN7" i="3"/>
  <c r="AN30" i="3"/>
  <c r="AN22" i="3"/>
  <c r="AN5" i="3"/>
  <c r="AN72" i="3"/>
  <c r="AN12" i="3"/>
  <c r="AN10" i="3"/>
  <c r="AN187" i="3"/>
  <c r="AN120" i="3"/>
  <c r="AN179" i="3"/>
  <c r="X115" i="3"/>
  <c r="AN127" i="3"/>
  <c r="AN124" i="3"/>
  <c r="AN176" i="3"/>
  <c r="AN95" i="3"/>
  <c r="AN150" i="3"/>
  <c r="AN108" i="3"/>
  <c r="AN86" i="3"/>
  <c r="AN77" i="3"/>
  <c r="X82" i="3"/>
  <c r="AN68" i="3"/>
  <c r="H57" i="3"/>
  <c r="AN44" i="3"/>
  <c r="BD61" i="3"/>
  <c r="X76" i="3"/>
  <c r="AN38" i="3"/>
  <c r="X59" i="3"/>
  <c r="AN26" i="3"/>
  <c r="BD25" i="3"/>
  <c r="H33" i="3"/>
  <c r="AN32" i="3"/>
  <c r="H12" i="3"/>
  <c r="X8" i="3"/>
  <c r="AN165" i="3"/>
  <c r="AN180" i="3"/>
  <c r="AN169" i="3"/>
  <c r="AN163" i="3"/>
  <c r="G22" i="4"/>
  <c r="B29" i="4" s="1"/>
  <c r="AN119" i="3"/>
  <c r="AN116" i="3"/>
  <c r="X110" i="3"/>
  <c r="AN88" i="3"/>
  <c r="X109" i="3"/>
  <c r="X80" i="3"/>
  <c r="X85" i="3"/>
  <c r="X154" i="3"/>
  <c r="BD80" i="3"/>
  <c r="BD65" i="3"/>
  <c r="H53" i="3"/>
  <c r="AN43" i="3"/>
  <c r="BD59" i="3"/>
  <c r="X42" i="3"/>
  <c r="BD69" i="3"/>
  <c r="AN18" i="3"/>
  <c r="H29" i="3"/>
  <c r="AN28" i="3"/>
  <c r="H9" i="3"/>
  <c r="H19" i="3"/>
  <c r="AN175" i="3"/>
  <c r="AN184" i="3"/>
  <c r="BD55" i="3"/>
  <c r="BD51" i="3"/>
  <c r="BD56" i="3"/>
  <c r="BD52" i="3"/>
  <c r="BD53" i="3"/>
  <c r="BD49" i="3"/>
  <c r="BD50" i="3"/>
  <c r="BD18" i="3"/>
  <c r="BD14" i="3"/>
  <c r="BD75" i="3"/>
  <c r="BD37" i="3"/>
  <c r="BD36" i="3"/>
  <c r="BD35" i="3"/>
  <c r="BD34" i="3"/>
  <c r="BD17" i="3"/>
  <c r="BD13" i="3"/>
  <c r="BD54" i="3"/>
  <c r="BD29" i="3"/>
  <c r="BD21" i="3"/>
  <c r="BD20" i="3"/>
  <c r="BD16" i="3"/>
  <c r="BD19" i="3"/>
  <c r="BD12" i="3"/>
  <c r="BD15" i="3"/>
  <c r="BD4" i="3"/>
  <c r="BD3" i="3"/>
  <c r="BD2" i="3"/>
  <c r="AN171" i="3"/>
  <c r="AN106" i="3"/>
  <c r="AN105" i="3"/>
  <c r="X114" i="3"/>
  <c r="X113" i="3"/>
  <c r="X112" i="3"/>
  <c r="X71" i="3"/>
  <c r="X79" i="3"/>
  <c r="X77" i="3"/>
  <c r="X55" i="3"/>
  <c r="X51" i="3"/>
  <c r="X46" i="3"/>
  <c r="X69" i="3"/>
  <c r="X40" i="3"/>
  <c r="X9" i="3"/>
  <c r="X5" i="3"/>
  <c r="X53" i="3"/>
  <c r="X48" i="3"/>
  <c r="X30" i="3"/>
  <c r="X22" i="3"/>
  <c r="X52" i="3"/>
  <c r="X12" i="3"/>
  <c r="X7" i="3"/>
  <c r="X24" i="3"/>
  <c r="X38" i="3"/>
  <c r="X37" i="3"/>
  <c r="X36" i="3"/>
  <c r="X35" i="3"/>
  <c r="X49" i="3"/>
  <c r="X31" i="3"/>
  <c r="X23" i="3"/>
  <c r="X18" i="3"/>
  <c r="X14" i="3"/>
  <c r="X4" i="3"/>
  <c r="X3" i="3"/>
  <c r="X2" i="3"/>
  <c r="X29" i="3"/>
  <c r="X21" i="3"/>
  <c r="X17" i="3"/>
  <c r="BD83" i="3"/>
  <c r="AN142" i="3"/>
  <c r="AN71" i="3"/>
  <c r="X63" i="3"/>
  <c r="H49" i="3"/>
  <c r="AN42" i="3"/>
  <c r="AN47" i="3"/>
  <c r="H39" i="3"/>
  <c r="AN57" i="3"/>
  <c r="BD42" i="3"/>
  <c r="AN14" i="3"/>
  <c r="AN4" i="3"/>
  <c r="H21" i="3"/>
  <c r="AN24" i="3"/>
  <c r="H6" i="3"/>
  <c r="H15" i="3"/>
  <c r="X148" i="3"/>
  <c r="X161" i="3"/>
  <c r="X150" i="3"/>
  <c r="X147" i="3"/>
  <c r="AN173" i="3"/>
  <c r="AN190" i="3"/>
  <c r="X159" i="3"/>
  <c r="X91" i="3"/>
  <c r="X70" i="3"/>
  <c r="X103" i="3"/>
  <c r="X138" i="3"/>
  <c r="AN82" i="3"/>
  <c r="X111" i="3"/>
  <c r="X75" i="3"/>
  <c r="BD60" i="3"/>
  <c r="BD67" i="3"/>
  <c r="AN80" i="3"/>
  <c r="X73" i="3"/>
  <c r="BD66" i="3"/>
  <c r="BD41" i="3"/>
  <c r="BD40" i="3"/>
  <c r="BD10" i="3"/>
  <c r="AN37" i="3"/>
  <c r="H17" i="3"/>
  <c r="AN20" i="3"/>
  <c r="BD31" i="3"/>
  <c r="X11" i="3"/>
  <c r="X140" i="3"/>
  <c r="X153" i="3"/>
  <c r="X142" i="3"/>
  <c r="X139" i="3"/>
  <c r="X160" i="3"/>
  <c r="AN167" i="3"/>
  <c r="X151" i="3"/>
  <c r="X87" i="3"/>
  <c r="AN145" i="3"/>
  <c r="AN97" i="3"/>
  <c r="AN126" i="3"/>
  <c r="X81" i="3"/>
  <c r="AN107" i="3"/>
  <c r="BD71" i="3"/>
  <c r="BD58" i="3"/>
  <c r="X65" i="3"/>
  <c r="AN46" i="3"/>
  <c r="H58" i="3"/>
  <c r="AN66" i="3"/>
  <c r="AN69" i="3"/>
  <c r="X39" i="3"/>
  <c r="BD7" i="3"/>
  <c r="AN33" i="3"/>
  <c r="H13" i="3"/>
  <c r="AN16" i="3"/>
  <c r="BD27" i="3"/>
  <c r="H35" i="3"/>
  <c r="AB134" i="3" l="1"/>
  <c r="AP111" i="3"/>
  <c r="AB65" i="3"/>
  <c r="Z65" i="3"/>
  <c r="Z11" i="3"/>
  <c r="AB138" i="3"/>
  <c r="Z138" i="3"/>
  <c r="AP14" i="3"/>
  <c r="Z4" i="3"/>
  <c r="Z48" i="3"/>
  <c r="BF29" i="3"/>
  <c r="BH51" i="3"/>
  <c r="BF51" i="3"/>
  <c r="AB85" i="3"/>
  <c r="Z85" i="3"/>
  <c r="BF25" i="3"/>
  <c r="AR124" i="3"/>
  <c r="AP124" i="3"/>
  <c r="AR188" i="3"/>
  <c r="AP188" i="3"/>
  <c r="AR161" i="3"/>
  <c r="AP161" i="3"/>
  <c r="BH44" i="3"/>
  <c r="BF44" i="3"/>
  <c r="AR130" i="3"/>
  <c r="AP130" i="3"/>
  <c r="AP65" i="3"/>
  <c r="AR133" i="3"/>
  <c r="AP133" i="3"/>
  <c r="J8" i="3"/>
  <c r="AP87" i="3"/>
  <c r="AR87" i="3"/>
  <c r="AB104" i="3"/>
  <c r="J55" i="3"/>
  <c r="L55" i="3"/>
  <c r="BF70" i="3"/>
  <c r="BH70" i="3"/>
  <c r="AR149" i="3"/>
  <c r="AP149" i="3"/>
  <c r="AB84" i="3"/>
  <c r="AR155" i="3"/>
  <c r="AP155" i="3"/>
  <c r="BH45" i="3"/>
  <c r="BF45" i="3"/>
  <c r="AR177" i="3"/>
  <c r="AP177" i="3"/>
  <c r="BH86" i="3"/>
  <c r="AB130" i="3"/>
  <c r="AB122" i="3"/>
  <c r="BF8" i="3"/>
  <c r="AP52" i="3"/>
  <c r="AB126" i="3"/>
  <c r="AP62" i="3"/>
  <c r="AB145" i="3"/>
  <c r="BH58" i="3"/>
  <c r="BF58" i="3"/>
  <c r="BF31" i="3"/>
  <c r="Z103" i="3"/>
  <c r="AB103" i="3"/>
  <c r="BH42" i="3"/>
  <c r="BF42" i="3"/>
  <c r="Z14" i="3"/>
  <c r="Z53" i="3"/>
  <c r="BH54" i="3"/>
  <c r="BF54" i="3"/>
  <c r="BH55" i="3"/>
  <c r="BF55" i="3"/>
  <c r="Z80" i="3"/>
  <c r="AB80" i="3"/>
  <c r="AP26" i="3"/>
  <c r="AR127" i="3"/>
  <c r="AP127" i="3"/>
  <c r="J20" i="3"/>
  <c r="AB162" i="3"/>
  <c r="Z162" i="3"/>
  <c r="Z89" i="3"/>
  <c r="AB89" i="3"/>
  <c r="AR125" i="3"/>
  <c r="AP125" i="3"/>
  <c r="J41" i="3"/>
  <c r="L41" i="3"/>
  <c r="AR144" i="3"/>
  <c r="AP144" i="3"/>
  <c r="BH63" i="3"/>
  <c r="BF63" i="3"/>
  <c r="J45" i="3"/>
  <c r="L45" i="3"/>
  <c r="BF82" i="3"/>
  <c r="BH82" i="3"/>
  <c r="AR160" i="3"/>
  <c r="AP160" i="3"/>
  <c r="AP27" i="3"/>
  <c r="AP49" i="3"/>
  <c r="AB105" i="3"/>
  <c r="Z125" i="3"/>
  <c r="Z20" i="3"/>
  <c r="AB133" i="3"/>
  <c r="Z28" i="3"/>
  <c r="BF39" i="3"/>
  <c r="AB129" i="3"/>
  <c r="AP70" i="3"/>
  <c r="AB149" i="3"/>
  <c r="AR104" i="3"/>
  <c r="Z95" i="3"/>
  <c r="Z157" i="3"/>
  <c r="Z145" i="3"/>
  <c r="AP11" i="3"/>
  <c r="BH71" i="3"/>
  <c r="BF71" i="3"/>
  <c r="AP20" i="3"/>
  <c r="Z70" i="3"/>
  <c r="AB70" i="3"/>
  <c r="AP57" i="3"/>
  <c r="Z18" i="3"/>
  <c r="Z5" i="3"/>
  <c r="AB78" i="3"/>
  <c r="BF13" i="3"/>
  <c r="AR184" i="3"/>
  <c r="AP184" i="3"/>
  <c r="Z109" i="3"/>
  <c r="AB109" i="3"/>
  <c r="Z59" i="3"/>
  <c r="AB115" i="3"/>
  <c r="Z115" i="3"/>
  <c r="AP36" i="3"/>
  <c r="Z101" i="3"/>
  <c r="AB101" i="3"/>
  <c r="J42" i="3"/>
  <c r="L42" i="3"/>
  <c r="AR136" i="3"/>
  <c r="AP136" i="3"/>
  <c r="AR131" i="3"/>
  <c r="AP131" i="3"/>
  <c r="BH47" i="3"/>
  <c r="BF47" i="3"/>
  <c r="Z104" i="3"/>
  <c r="J54" i="3"/>
  <c r="L54" i="3"/>
  <c r="BF76" i="3"/>
  <c r="BH76" i="3"/>
  <c r="AR147" i="3"/>
  <c r="AP147" i="3"/>
  <c r="AB62" i="3"/>
  <c r="G543" i="4"/>
  <c r="Z136" i="3"/>
  <c r="Z129" i="3"/>
  <c r="AB93" i="3"/>
  <c r="Z152" i="3"/>
  <c r="J5" i="3"/>
  <c r="BF38" i="3"/>
  <c r="AR107" i="3"/>
  <c r="AP107" i="3"/>
  <c r="J17" i="3"/>
  <c r="Z91" i="3"/>
  <c r="AB91" i="3"/>
  <c r="J39" i="3"/>
  <c r="L39" i="3"/>
  <c r="Z23" i="3"/>
  <c r="Z9" i="3"/>
  <c r="BF17" i="3"/>
  <c r="Z155" i="3"/>
  <c r="J19" i="3"/>
  <c r="AR88" i="3"/>
  <c r="AP88" i="3"/>
  <c r="AP38" i="3"/>
  <c r="AR179" i="3"/>
  <c r="AP179" i="3"/>
  <c r="L37" i="3"/>
  <c r="J37" i="3"/>
  <c r="AP79" i="3"/>
  <c r="AR79" i="3"/>
  <c r="AB67" i="3"/>
  <c r="Z67" i="3"/>
  <c r="AR123" i="3"/>
  <c r="AP123" i="3"/>
  <c r="AB86" i="3"/>
  <c r="J22" i="3"/>
  <c r="J44" i="3"/>
  <c r="L44" i="3"/>
  <c r="AB92" i="3"/>
  <c r="AR156" i="3"/>
  <c r="AP156" i="3"/>
  <c r="BH73" i="3"/>
  <c r="BF73" i="3"/>
  <c r="Z146" i="3"/>
  <c r="BF11" i="3"/>
  <c r="J46" i="3"/>
  <c r="L46" i="3"/>
  <c r="Z84" i="3"/>
  <c r="Z16" i="3"/>
  <c r="Z105" i="3"/>
  <c r="AB125" i="3"/>
  <c r="AP53" i="3"/>
  <c r="BF86" i="3"/>
  <c r="AB121" i="3"/>
  <c r="J4" i="3"/>
  <c r="BH39" i="3"/>
  <c r="AR182" i="3"/>
  <c r="AP182" i="3"/>
  <c r="Z60" i="3"/>
  <c r="AB137" i="3"/>
  <c r="AP112" i="3"/>
  <c r="AB157" i="3"/>
  <c r="AB81" i="3"/>
  <c r="Z81" i="3"/>
  <c r="AP37" i="3"/>
  <c r="AB159" i="3"/>
  <c r="Z159" i="3"/>
  <c r="AP47" i="3"/>
  <c r="Z31" i="3"/>
  <c r="Z40" i="3"/>
  <c r="Z78" i="3"/>
  <c r="BF34" i="3"/>
  <c r="BH34" i="3"/>
  <c r="J9" i="3"/>
  <c r="Z110" i="3"/>
  <c r="AB110" i="3"/>
  <c r="Z76" i="3"/>
  <c r="AB76" i="3"/>
  <c r="AR120" i="3"/>
  <c r="AP120" i="3"/>
  <c r="BF33" i="3"/>
  <c r="BH33" i="3"/>
  <c r="AR132" i="3"/>
  <c r="AP132" i="3"/>
  <c r="AP51" i="3"/>
  <c r="J30" i="3"/>
  <c r="J50" i="3"/>
  <c r="L50" i="3"/>
  <c r="AR159" i="3"/>
  <c r="AP159" i="3"/>
  <c r="BH77" i="3"/>
  <c r="BF77" i="3"/>
  <c r="Z6" i="3"/>
  <c r="J60" i="3"/>
  <c r="L60" i="3"/>
  <c r="AR90" i="3"/>
  <c r="AP90" i="3"/>
  <c r="BH64" i="3"/>
  <c r="AR100" i="3"/>
  <c r="AP100" i="3"/>
  <c r="Z128" i="3"/>
  <c r="Z121" i="3"/>
  <c r="AP21" i="3"/>
  <c r="AB136" i="3"/>
  <c r="Z32" i="3"/>
  <c r="Z93" i="3"/>
  <c r="Z144" i="3"/>
  <c r="Z137" i="3"/>
  <c r="AB152" i="3"/>
  <c r="BH38" i="3"/>
  <c r="BH78" i="3"/>
  <c r="L35" i="3"/>
  <c r="J35" i="3"/>
  <c r="AR126" i="3"/>
  <c r="AP126" i="3"/>
  <c r="BF10" i="3"/>
  <c r="AR190" i="3"/>
  <c r="AP190" i="3"/>
  <c r="AP42" i="3"/>
  <c r="Z49" i="3"/>
  <c r="AB69" i="3"/>
  <c r="Z69" i="3"/>
  <c r="AR106" i="3"/>
  <c r="AP106" i="3"/>
  <c r="BF35" i="3"/>
  <c r="BH35" i="3"/>
  <c r="AB155" i="3"/>
  <c r="AP28" i="3"/>
  <c r="AR116" i="3"/>
  <c r="AP116" i="3"/>
  <c r="BH61" i="3"/>
  <c r="BF61" i="3"/>
  <c r="AP187" i="3"/>
  <c r="AR187" i="3"/>
  <c r="AP34" i="3"/>
  <c r="AR135" i="3"/>
  <c r="AP135" i="3"/>
  <c r="BF62" i="3"/>
  <c r="BH62" i="3"/>
  <c r="Z19" i="3"/>
  <c r="J7" i="3"/>
  <c r="Z92" i="3"/>
  <c r="AR146" i="3"/>
  <c r="AP146" i="3"/>
  <c r="J52" i="3"/>
  <c r="L52" i="3"/>
  <c r="AB146" i="3"/>
  <c r="BF28" i="3"/>
  <c r="AR96" i="3"/>
  <c r="AP96" i="3"/>
  <c r="AR189" i="3"/>
  <c r="AP189" i="3"/>
  <c r="Z62" i="3"/>
  <c r="AP8" i="3"/>
  <c r="Z26" i="3"/>
  <c r="BF57" i="3"/>
  <c r="Z83" i="3"/>
  <c r="AR112" i="3"/>
  <c r="Z132" i="3"/>
  <c r="J36" i="3"/>
  <c r="BF27" i="3"/>
  <c r="AR97" i="3"/>
  <c r="AP97" i="3"/>
  <c r="BH40" i="3"/>
  <c r="BF40" i="3"/>
  <c r="AR173" i="3"/>
  <c r="AP173" i="3"/>
  <c r="J49" i="3"/>
  <c r="L49" i="3"/>
  <c r="Z35" i="3"/>
  <c r="Z46" i="3"/>
  <c r="AR171" i="3"/>
  <c r="AP171" i="3"/>
  <c r="BF36" i="3"/>
  <c r="BH36" i="3"/>
  <c r="J29" i="3"/>
  <c r="AR119" i="3"/>
  <c r="AP119" i="3"/>
  <c r="AP44" i="3"/>
  <c r="AP10" i="3"/>
  <c r="AP59" i="3"/>
  <c r="AR122" i="3"/>
  <c r="AP122" i="3"/>
  <c r="AR110" i="3"/>
  <c r="AP110" i="3"/>
  <c r="J32" i="3"/>
  <c r="Z86" i="3"/>
  <c r="J23" i="3"/>
  <c r="Z58" i="3"/>
  <c r="AR183" i="3"/>
  <c r="AP183" i="3"/>
  <c r="AR141" i="3"/>
  <c r="AP141" i="3"/>
  <c r="J10" i="3"/>
  <c r="AR91" i="3"/>
  <c r="AP91" i="3"/>
  <c r="AR158" i="3"/>
  <c r="AP158" i="3"/>
  <c r="AB90" i="3"/>
  <c r="Z120" i="3"/>
  <c r="AP17" i="3"/>
  <c r="AB128" i="3"/>
  <c r="AB100" i="3"/>
  <c r="AB83" i="3"/>
  <c r="Z116" i="3"/>
  <c r="BF6" i="3"/>
  <c r="AB144" i="3"/>
  <c r="L51" i="3"/>
  <c r="Z131" i="3"/>
  <c r="AB132" i="3"/>
  <c r="AP16" i="3"/>
  <c r="AR145" i="3"/>
  <c r="AP145" i="3"/>
  <c r="BH41" i="3"/>
  <c r="BF41" i="3"/>
  <c r="AB147" i="3"/>
  <c r="Z147" i="3"/>
  <c r="AB63" i="3"/>
  <c r="Z63" i="3"/>
  <c r="Z36" i="3"/>
  <c r="Z51" i="3"/>
  <c r="C29" i="4"/>
  <c r="D29" i="4" s="1"/>
  <c r="BI31" i="3" s="1"/>
  <c r="BF2" i="3"/>
  <c r="BF37" i="3"/>
  <c r="BH37" i="3"/>
  <c r="AP18" i="3"/>
  <c r="J57" i="3"/>
  <c r="L57" i="3"/>
  <c r="AP12" i="3"/>
  <c r="Z45" i="3"/>
  <c r="AR117" i="3"/>
  <c r="AP117" i="3"/>
  <c r="BF84" i="3"/>
  <c r="BH84" i="3"/>
  <c r="AP6" i="3"/>
  <c r="BF72" i="3"/>
  <c r="BH72" i="3"/>
  <c r="J24" i="3"/>
  <c r="AP81" i="3"/>
  <c r="AR81" i="3"/>
  <c r="AR152" i="3"/>
  <c r="AP152" i="3"/>
  <c r="J26" i="3"/>
  <c r="J56" i="3"/>
  <c r="L56" i="3"/>
  <c r="Z117" i="3"/>
  <c r="BF32" i="3"/>
  <c r="BH32" i="3"/>
  <c r="AR153" i="3"/>
  <c r="AP153" i="3"/>
  <c r="L38" i="3"/>
  <c r="J38" i="3"/>
  <c r="BF64" i="3"/>
  <c r="BF81" i="3"/>
  <c r="BH57" i="3"/>
  <c r="AB116" i="3"/>
  <c r="AP25" i="3"/>
  <c r="AP54" i="3"/>
  <c r="AP84" i="3"/>
  <c r="BF78" i="3"/>
  <c r="L36" i="3"/>
  <c r="J13" i="3"/>
  <c r="AB87" i="3"/>
  <c r="Z87" i="3"/>
  <c r="BF66" i="3"/>
  <c r="BH66" i="3"/>
  <c r="AB150" i="3"/>
  <c r="Z150" i="3"/>
  <c r="AP71" i="3"/>
  <c r="Z37" i="3"/>
  <c r="Z55" i="3"/>
  <c r="BF3" i="3"/>
  <c r="BH75" i="3"/>
  <c r="BF75" i="3"/>
  <c r="Z158" i="3"/>
  <c r="BH69" i="3"/>
  <c r="BF69" i="3"/>
  <c r="AR163" i="3"/>
  <c r="AP163" i="3"/>
  <c r="AP68" i="3"/>
  <c r="AP72" i="3"/>
  <c r="AR93" i="3"/>
  <c r="AP93" i="3"/>
  <c r="AR128" i="3"/>
  <c r="AP128" i="3"/>
  <c r="Z108" i="3"/>
  <c r="AB108" i="3"/>
  <c r="Z13" i="3"/>
  <c r="AR137" i="3"/>
  <c r="AP137" i="3"/>
  <c r="J25" i="3"/>
  <c r="AR139" i="3"/>
  <c r="AP139" i="3"/>
  <c r="AB99" i="3"/>
  <c r="BF22" i="3"/>
  <c r="AR101" i="3"/>
  <c r="AP101" i="3"/>
  <c r="AP13" i="3"/>
  <c r="BF74" i="3"/>
  <c r="BH74" i="3"/>
  <c r="Z90" i="3"/>
  <c r="AB120" i="3"/>
  <c r="BF30" i="3"/>
  <c r="BH81" i="3"/>
  <c r="Z100" i="3"/>
  <c r="Z127" i="3"/>
  <c r="AP192" i="3"/>
  <c r="AP63" i="3"/>
  <c r="AR84" i="3"/>
  <c r="Z124" i="3"/>
  <c r="BF9" i="3"/>
  <c r="AP56" i="3"/>
  <c r="AP39" i="3"/>
  <c r="AB131" i="3"/>
  <c r="AP33" i="3"/>
  <c r="AB151" i="3"/>
  <c r="Z151" i="3"/>
  <c r="AB73" i="3"/>
  <c r="Z73" i="3"/>
  <c r="Z161" i="3"/>
  <c r="AB161" i="3"/>
  <c r="AR142" i="3"/>
  <c r="AP142" i="3"/>
  <c r="Z38" i="3"/>
  <c r="AB77" i="3"/>
  <c r="Z77" i="3"/>
  <c r="BF4" i="3"/>
  <c r="BF14" i="3"/>
  <c r="Z42" i="3"/>
  <c r="AR169" i="3"/>
  <c r="AP169" i="3"/>
  <c r="Z82" i="3"/>
  <c r="AB82" i="3"/>
  <c r="AP5" i="3"/>
  <c r="AP64" i="3"/>
  <c r="AR115" i="3"/>
  <c r="AP115" i="3"/>
  <c r="AR114" i="3"/>
  <c r="AP114" i="3"/>
  <c r="C26" i="4"/>
  <c r="J2" i="3"/>
  <c r="K2" i="3" s="1"/>
  <c r="L2" i="3" s="1"/>
  <c r="AP75" i="3"/>
  <c r="J16" i="3"/>
  <c r="AB72" i="3"/>
  <c r="Z47" i="3"/>
  <c r="AR99" i="3"/>
  <c r="AP99" i="3"/>
  <c r="AB117" i="3"/>
  <c r="L34" i="3"/>
  <c r="J34" i="3"/>
  <c r="AP85" i="3"/>
  <c r="AR85" i="3"/>
  <c r="J40" i="3"/>
  <c r="L40" i="3"/>
  <c r="AP185" i="3"/>
  <c r="AR181" i="3"/>
  <c r="AP40" i="3"/>
  <c r="Z123" i="3"/>
  <c r="AB124" i="3"/>
  <c r="J51" i="3"/>
  <c r="AB66" i="3"/>
  <c r="BF85" i="3"/>
  <c r="BF48" i="3"/>
  <c r="BF7" i="3"/>
  <c r="AR167" i="3"/>
  <c r="AP167" i="3"/>
  <c r="AR80" i="3"/>
  <c r="AP80" i="3"/>
  <c r="AB148" i="3"/>
  <c r="Z148" i="3"/>
  <c r="BH83" i="3"/>
  <c r="BF83" i="3"/>
  <c r="Z24" i="3"/>
  <c r="AB79" i="3"/>
  <c r="Z79" i="3"/>
  <c r="BF15" i="3"/>
  <c r="BF18" i="3"/>
  <c r="AB158" i="3"/>
  <c r="BH59" i="3"/>
  <c r="BF59" i="3"/>
  <c r="AR180" i="3"/>
  <c r="AP180" i="3"/>
  <c r="AP77" i="3"/>
  <c r="AR77" i="3"/>
  <c r="AP22" i="3"/>
  <c r="AP45" i="3"/>
  <c r="Z15" i="3"/>
  <c r="BF68" i="3"/>
  <c r="BH68" i="3"/>
  <c r="C28" i="4"/>
  <c r="D28" i="4" s="1"/>
  <c r="AS135" i="3" s="1"/>
  <c r="AP2" i="3"/>
  <c r="AR121" i="3"/>
  <c r="AP121" i="3"/>
  <c r="J27" i="3"/>
  <c r="AB68" i="3"/>
  <c r="AP3" i="3"/>
  <c r="Z99" i="3"/>
  <c r="AB107" i="3"/>
  <c r="BF26" i="3"/>
  <c r="Z57" i="3"/>
  <c r="Z54" i="3"/>
  <c r="J48" i="3"/>
  <c r="L48" i="3"/>
  <c r="Z119" i="3"/>
  <c r="AR185" i="3"/>
  <c r="AP181" i="3"/>
  <c r="Z44" i="3"/>
  <c r="AP67" i="3"/>
  <c r="AB127" i="3"/>
  <c r="AR192" i="3"/>
  <c r="BH85" i="3"/>
  <c r="Z10" i="3"/>
  <c r="Z39" i="3"/>
  <c r="AB160" i="3"/>
  <c r="Z160" i="3"/>
  <c r="BH67" i="3"/>
  <c r="BF67" i="3"/>
  <c r="J15" i="3"/>
  <c r="Z17" i="3"/>
  <c r="Z7" i="3"/>
  <c r="AB71" i="3"/>
  <c r="Z71" i="3"/>
  <c r="BF12" i="3"/>
  <c r="BH50" i="3"/>
  <c r="BF50" i="3"/>
  <c r="AP43" i="3"/>
  <c r="AR165" i="3"/>
  <c r="AP165" i="3"/>
  <c r="AR86" i="3"/>
  <c r="AP86" i="3"/>
  <c r="AP30" i="3"/>
  <c r="AP60" i="3"/>
  <c r="J28" i="3"/>
  <c r="Z106" i="3"/>
  <c r="AB106" i="3"/>
  <c r="BH46" i="3"/>
  <c r="BF46" i="3"/>
  <c r="AR109" i="3"/>
  <c r="AP109" i="3"/>
  <c r="J31" i="3"/>
  <c r="BF24" i="3"/>
  <c r="AB94" i="3"/>
  <c r="AB74" i="3"/>
  <c r="AR178" i="3"/>
  <c r="AP178" i="3"/>
  <c r="J59" i="3"/>
  <c r="L59" i="3"/>
  <c r="AP58" i="3"/>
  <c r="AB88" i="3"/>
  <c r="Z34" i="3"/>
  <c r="AB102" i="3"/>
  <c r="Z135" i="3"/>
  <c r="AB123" i="3"/>
  <c r="Z43" i="3"/>
  <c r="AP129" i="3"/>
  <c r="AR111" i="3"/>
  <c r="Z134" i="3"/>
  <c r="AP69" i="3"/>
  <c r="AB139" i="3"/>
  <c r="Z139" i="3"/>
  <c r="BH60" i="3"/>
  <c r="BF60" i="3"/>
  <c r="J6" i="3"/>
  <c r="Z21" i="3"/>
  <c r="Z12" i="3"/>
  <c r="Z112" i="3"/>
  <c r="AB112" i="3"/>
  <c r="BF19" i="3"/>
  <c r="BH49" i="3"/>
  <c r="BF49" i="3"/>
  <c r="J53" i="3"/>
  <c r="L53" i="3"/>
  <c r="Z8" i="3"/>
  <c r="AR108" i="3"/>
  <c r="AP108" i="3"/>
  <c r="AP7" i="3"/>
  <c r="AR78" i="3"/>
  <c r="AP78" i="3"/>
  <c r="BF5" i="3"/>
  <c r="AR103" i="3"/>
  <c r="AP103" i="3"/>
  <c r="BH43" i="3"/>
  <c r="BF43" i="3"/>
  <c r="AR98" i="3"/>
  <c r="AP98" i="3"/>
  <c r="Z27" i="3"/>
  <c r="Z72" i="3"/>
  <c r="Z33" i="3"/>
  <c r="Z107" i="3"/>
  <c r="AR191" i="3"/>
  <c r="AP191" i="3"/>
  <c r="Z41" i="3"/>
  <c r="AB98" i="3"/>
  <c r="AR168" i="3"/>
  <c r="AP168" i="3"/>
  <c r="AR118" i="3"/>
  <c r="AP118" i="3"/>
  <c r="AB119" i="3"/>
  <c r="AP50" i="3"/>
  <c r="Z118" i="3"/>
  <c r="Z56" i="3"/>
  <c r="AB135" i="3"/>
  <c r="Z66" i="3"/>
  <c r="Z143" i="3"/>
  <c r="BH48" i="3"/>
  <c r="AP66" i="3"/>
  <c r="AB142" i="3"/>
  <c r="Z142" i="3"/>
  <c r="AB75" i="3"/>
  <c r="Z75" i="3"/>
  <c r="AP24" i="3"/>
  <c r="Z29" i="3"/>
  <c r="Z52" i="3"/>
  <c r="Z113" i="3"/>
  <c r="AB113" i="3"/>
  <c r="BF16" i="3"/>
  <c r="BH53" i="3"/>
  <c r="BF53" i="3"/>
  <c r="AP175" i="3"/>
  <c r="AR175" i="3"/>
  <c r="BH65" i="3"/>
  <c r="BF65" i="3"/>
  <c r="J12" i="3"/>
  <c r="AR150" i="3"/>
  <c r="AP150" i="3"/>
  <c r="AP15" i="3"/>
  <c r="AP83" i="3"/>
  <c r="AR83" i="3"/>
  <c r="AP23" i="3"/>
  <c r="Z96" i="3"/>
  <c r="AB96" i="3"/>
  <c r="J43" i="3"/>
  <c r="L43" i="3"/>
  <c r="AR148" i="3"/>
  <c r="AP148" i="3"/>
  <c r="AP9" i="3"/>
  <c r="Z68" i="3"/>
  <c r="AR134" i="3"/>
  <c r="AP134" i="3"/>
  <c r="J18" i="3"/>
  <c r="AB97" i="3"/>
  <c r="AR166" i="3"/>
  <c r="AP166" i="3"/>
  <c r="Z94" i="3"/>
  <c r="AR162" i="3"/>
  <c r="AP162" i="3"/>
  <c r="AR186" i="3"/>
  <c r="AP186" i="3"/>
  <c r="AR170" i="3"/>
  <c r="AP170" i="3"/>
  <c r="AP35" i="3"/>
  <c r="J61" i="3"/>
  <c r="L61" i="3"/>
  <c r="Z88" i="3"/>
  <c r="Z141" i="3"/>
  <c r="AP48" i="3"/>
  <c r="Z102" i="3"/>
  <c r="AP29" i="3"/>
  <c r="AR129" i="3"/>
  <c r="J58" i="3"/>
  <c r="L58" i="3"/>
  <c r="Z153" i="3"/>
  <c r="AB153" i="3"/>
  <c r="Z111" i="3"/>
  <c r="AB111" i="3"/>
  <c r="J21" i="3"/>
  <c r="C27" i="4"/>
  <c r="D27" i="4" s="1"/>
  <c r="AC46" i="3" s="1"/>
  <c r="Z2" i="3"/>
  <c r="AA2" i="3" s="1"/>
  <c r="Z22" i="3"/>
  <c r="Z114" i="3"/>
  <c r="AB114" i="3"/>
  <c r="BF20" i="3"/>
  <c r="BH52" i="3"/>
  <c r="BF52" i="3"/>
  <c r="Z156" i="3"/>
  <c r="BF80" i="3"/>
  <c r="BH80" i="3"/>
  <c r="AP32" i="3"/>
  <c r="AR95" i="3"/>
  <c r="AP95" i="3"/>
  <c r="AP76" i="3"/>
  <c r="AR89" i="3"/>
  <c r="AP89" i="3"/>
  <c r="AP19" i="3"/>
  <c r="AR140" i="3"/>
  <c r="AP140" i="3"/>
  <c r="BH79" i="3"/>
  <c r="BF79" i="3"/>
  <c r="AR151" i="3"/>
  <c r="AP151" i="3"/>
  <c r="Z25" i="3"/>
  <c r="J11" i="3"/>
  <c r="AR172" i="3"/>
  <c r="AP172" i="3"/>
  <c r="Z74" i="3"/>
  <c r="AR157" i="3"/>
  <c r="AP157" i="3"/>
  <c r="AR113" i="3"/>
  <c r="AP113" i="3"/>
  <c r="Z98" i="3"/>
  <c r="AR164" i="3"/>
  <c r="AP164" i="3"/>
  <c r="AR94" i="3"/>
  <c r="AP94" i="3"/>
  <c r="Z130" i="3"/>
  <c r="Z122" i="3"/>
  <c r="AB118" i="3"/>
  <c r="AP41" i="3"/>
  <c r="AR102" i="3"/>
  <c r="AP102" i="3"/>
  <c r="Z126" i="3"/>
  <c r="AB143" i="3"/>
  <c r="AP46" i="3"/>
  <c r="AB140" i="3"/>
  <c r="Z140" i="3"/>
  <c r="AR82" i="3"/>
  <c r="AP82" i="3"/>
  <c r="AP4" i="3"/>
  <c r="Z3" i="3"/>
  <c r="Z30" i="3"/>
  <c r="AR105" i="3"/>
  <c r="AP105" i="3"/>
  <c r="BF21" i="3"/>
  <c r="BH56" i="3"/>
  <c r="BF56" i="3"/>
  <c r="AB156" i="3"/>
  <c r="AB154" i="3"/>
  <c r="Z154" i="3"/>
  <c r="L33" i="3"/>
  <c r="J33" i="3"/>
  <c r="AR176" i="3"/>
  <c r="AP176" i="3"/>
  <c r="AP74" i="3"/>
  <c r="BH87" i="3"/>
  <c r="BF87" i="3"/>
  <c r="J3" i="3"/>
  <c r="AR143" i="3"/>
  <c r="AP143" i="3"/>
  <c r="AP55" i="3"/>
  <c r="AR138" i="3"/>
  <c r="AP138" i="3"/>
  <c r="J14" i="3"/>
  <c r="J47" i="3"/>
  <c r="L47" i="3"/>
  <c r="Z64" i="3"/>
  <c r="AB64" i="3"/>
  <c r="Z97" i="3"/>
  <c r="AR154" i="3"/>
  <c r="AP154" i="3"/>
  <c r="Z61" i="3"/>
  <c r="AR174" i="3"/>
  <c r="AP174" i="3"/>
  <c r="AP73" i="3"/>
  <c r="AP31" i="3"/>
  <c r="Z50" i="3"/>
  <c r="Z133" i="3"/>
  <c r="AB141" i="3"/>
  <c r="AP61" i="3"/>
  <c r="AR92" i="3"/>
  <c r="AP92" i="3"/>
  <c r="Z149" i="3"/>
  <c r="BF23" i="3"/>
  <c r="AP104" i="3"/>
  <c r="AB95" i="3"/>
  <c r="AS73" i="3" l="1"/>
  <c r="BI72" i="3"/>
  <c r="BI59" i="3"/>
  <c r="BI20" i="3"/>
  <c r="BI30" i="3"/>
  <c r="BI14" i="3"/>
  <c r="BI53" i="3"/>
  <c r="BI2" i="3"/>
  <c r="AS131" i="3"/>
  <c r="AS140" i="3"/>
  <c r="AS166" i="3"/>
  <c r="AS41" i="3"/>
  <c r="AS165" i="3"/>
  <c r="AS50" i="3"/>
  <c r="AS24" i="3"/>
  <c r="AS43" i="3"/>
  <c r="AS19" i="3"/>
  <c r="AS92" i="3"/>
  <c r="AS105" i="3"/>
  <c r="AS174" i="3"/>
  <c r="AS15" i="3"/>
  <c r="AS128" i="3"/>
  <c r="AS40" i="3"/>
  <c r="AS9" i="3"/>
  <c r="AS3" i="3"/>
  <c r="AS143" i="3"/>
  <c r="AS74" i="3"/>
  <c r="AS170" i="3"/>
  <c r="AS67" i="3"/>
  <c r="AA129" i="3"/>
  <c r="AS115" i="3"/>
  <c r="AS113" i="3"/>
  <c r="AS82" i="3"/>
  <c r="AS66" i="3"/>
  <c r="AS86" i="3"/>
  <c r="AS61" i="3"/>
  <c r="AS154" i="3"/>
  <c r="AS172" i="3"/>
  <c r="AS31" i="3"/>
  <c r="AS78" i="3"/>
  <c r="BG59" i="3"/>
  <c r="AS95" i="3"/>
  <c r="AC29" i="3"/>
  <c r="AC33" i="3"/>
  <c r="AC71" i="3"/>
  <c r="AC8" i="3"/>
  <c r="AS138" i="3"/>
  <c r="AC140" i="3"/>
  <c r="AS164" i="3"/>
  <c r="AS69" i="3"/>
  <c r="AS63" i="3"/>
  <c r="AC139" i="3"/>
  <c r="AC153" i="3"/>
  <c r="AS142" i="3"/>
  <c r="AS186" i="3"/>
  <c r="AS175" i="3"/>
  <c r="AS118" i="3"/>
  <c r="AS98" i="3"/>
  <c r="AS81" i="3"/>
  <c r="AC142" i="3"/>
  <c r="AC79" i="3"/>
  <c r="AS139" i="3"/>
  <c r="AC39" i="3"/>
  <c r="K47" i="3"/>
  <c r="AC150" i="3"/>
  <c r="BG30" i="3"/>
  <c r="BH30" i="3" s="1"/>
  <c r="AS22" i="3"/>
  <c r="AS169" i="3"/>
  <c r="AC109" i="3"/>
  <c r="AC22" i="3"/>
  <c r="BI24" i="3"/>
  <c r="BI69" i="3"/>
  <c r="BI5" i="3"/>
  <c r="AS114" i="3"/>
  <c r="BI4" i="3"/>
  <c r="AS141" i="3"/>
  <c r="AC48" i="3"/>
  <c r="BI16" i="3"/>
  <c r="BI19" i="3"/>
  <c r="AQ9" i="3"/>
  <c r="AR9" i="3" s="1"/>
  <c r="BI7" i="3"/>
  <c r="BI70" i="3"/>
  <c r="BI68" i="3"/>
  <c r="BI15" i="3"/>
  <c r="AS42" i="3"/>
  <c r="BI80" i="3"/>
  <c r="AC111" i="3"/>
  <c r="BI27" i="3"/>
  <c r="BI56" i="3"/>
  <c r="BI46" i="3"/>
  <c r="BI41" i="3"/>
  <c r="AS17" i="3"/>
  <c r="BI65" i="3"/>
  <c r="BI60" i="3"/>
  <c r="AC106" i="3"/>
  <c r="BI71" i="3"/>
  <c r="BI21" i="3"/>
  <c r="BI52" i="3"/>
  <c r="AQ46" i="3"/>
  <c r="AR46" i="3" s="1"/>
  <c r="AC31" i="3"/>
  <c r="BI87" i="3"/>
  <c r="BI83" i="3"/>
  <c r="BI37" i="3"/>
  <c r="BI33" i="3"/>
  <c r="AQ33" i="3"/>
  <c r="AR33" i="3" s="1"/>
  <c r="AC30" i="3"/>
  <c r="BG15" i="3"/>
  <c r="BH15" i="3" s="1"/>
  <c r="AS167" i="3"/>
  <c r="AS85" i="3"/>
  <c r="AC151" i="3"/>
  <c r="AS152" i="3"/>
  <c r="AC45" i="3"/>
  <c r="AS106" i="3"/>
  <c r="AS107" i="3"/>
  <c r="AC6" i="3"/>
  <c r="AC13" i="3"/>
  <c r="AC53" i="3"/>
  <c r="K35" i="3"/>
  <c r="AC25" i="3"/>
  <c r="AC2" i="3"/>
  <c r="AC108" i="3"/>
  <c r="AS37" i="3"/>
  <c r="BI17" i="3"/>
  <c r="AQ3" i="3"/>
  <c r="AR3" i="3" s="1"/>
  <c r="AQ126" i="3"/>
  <c r="AS188" i="3"/>
  <c r="AC113" i="3"/>
  <c r="AS145" i="3"/>
  <c r="AC110" i="3"/>
  <c r="AS136" i="3"/>
  <c r="AC138" i="3"/>
  <c r="K38" i="3"/>
  <c r="K13" i="3"/>
  <c r="L13" i="3" s="1"/>
  <c r="AS116" i="3"/>
  <c r="AS159" i="3"/>
  <c r="BI13" i="3"/>
  <c r="AC11" i="3"/>
  <c r="BG56" i="3"/>
  <c r="BG46" i="3"/>
  <c r="BG37" i="3"/>
  <c r="AS6" i="3"/>
  <c r="BI10" i="3"/>
  <c r="AS177" i="3"/>
  <c r="AQ2" i="3"/>
  <c r="AR2" i="3" s="1"/>
  <c r="AC148" i="3"/>
  <c r="K32" i="3"/>
  <c r="L32" i="3" s="1"/>
  <c r="AS122" i="3"/>
  <c r="AC101" i="3"/>
  <c r="BG65" i="3"/>
  <c r="AS2" i="3"/>
  <c r="AS59" i="3"/>
  <c r="K56" i="3"/>
  <c r="AQ79" i="3"/>
  <c r="AC21" i="3"/>
  <c r="K54" i="3"/>
  <c r="AC55" i="3"/>
  <c r="AC51" i="3"/>
  <c r="AC19" i="3"/>
  <c r="AS126" i="3"/>
  <c r="AS100" i="3"/>
  <c r="AQ132" i="3"/>
  <c r="AQ4" i="3"/>
  <c r="AR4" i="3" s="1"/>
  <c r="AQ151" i="3"/>
  <c r="AA143" i="3"/>
  <c r="AA112" i="3"/>
  <c r="AA26" i="3"/>
  <c r="AB26" i="3" s="1"/>
  <c r="AA69" i="3"/>
  <c r="AA59" i="3"/>
  <c r="AB59" i="3" s="1"/>
  <c r="AA48" i="3"/>
  <c r="AB48" i="3" s="1"/>
  <c r="AA108" i="3"/>
  <c r="AA99" i="3"/>
  <c r="AQ119" i="3"/>
  <c r="AA84" i="3"/>
  <c r="BG21" i="3"/>
  <c r="BH21" i="3" s="1"/>
  <c r="AQ175" i="3"/>
  <c r="K14" i="3"/>
  <c r="L14" i="3" s="1"/>
  <c r="K3" i="3"/>
  <c r="L3" i="3" s="1"/>
  <c r="AQ94" i="3"/>
  <c r="AA66" i="3"/>
  <c r="K61" i="3"/>
  <c r="AQ66" i="3"/>
  <c r="AR66" i="3" s="1"/>
  <c r="K27" i="3"/>
  <c r="L27" i="3" s="1"/>
  <c r="AA148" i="3"/>
  <c r="AA47" i="3"/>
  <c r="AB47" i="3" s="1"/>
  <c r="AA132" i="3"/>
  <c r="AQ141" i="3"/>
  <c r="AS119" i="3"/>
  <c r="AA137" i="3"/>
  <c r="AS132" i="3"/>
  <c r="BG17" i="3"/>
  <c r="BH17" i="3" s="1"/>
  <c r="AQ107" i="3"/>
  <c r="BG45" i="3"/>
  <c r="AQ188" i="3"/>
  <c r="AQ176" i="3"/>
  <c r="BG69" i="3"/>
  <c r="AA36" i="3"/>
  <c r="AB36" i="3" s="1"/>
  <c r="BG76" i="3"/>
  <c r="AA32" i="3"/>
  <c r="AB32" i="3" s="1"/>
  <c r="AA126" i="3"/>
  <c r="AQ154" i="3"/>
  <c r="K33" i="3"/>
  <c r="AQ82" i="3"/>
  <c r="AQ172" i="3"/>
  <c r="BG52" i="3"/>
  <c r="AA89" i="3"/>
  <c r="AA43" i="3"/>
  <c r="AB43" i="3" s="1"/>
  <c r="AQ191" i="3"/>
  <c r="AA8" i="3"/>
  <c r="AB8" i="3" s="1"/>
  <c r="AQ69" i="3"/>
  <c r="AR69" i="3" s="1"/>
  <c r="AA119" i="3"/>
  <c r="AA124" i="3"/>
  <c r="AA98" i="3"/>
  <c r="AA72" i="3"/>
  <c r="AA120" i="3"/>
  <c r="K36" i="3"/>
  <c r="K49" i="3"/>
  <c r="AQ100" i="3"/>
  <c r="AA53" i="3"/>
  <c r="AB53" i="3" s="1"/>
  <c r="AA4" i="3"/>
  <c r="AB4" i="3" s="1"/>
  <c r="AA106" i="3"/>
  <c r="AQ15" i="3"/>
  <c r="AR15" i="3" s="1"/>
  <c r="BG43" i="3"/>
  <c r="AQ6" i="3"/>
  <c r="AR6" i="3" s="1"/>
  <c r="AQ16" i="3"/>
  <c r="AR16" i="3" s="1"/>
  <c r="AQ116" i="3"/>
  <c r="BG87" i="3"/>
  <c r="AQ166" i="3"/>
  <c r="AA150" i="3"/>
  <c r="AQ24" i="3"/>
  <c r="AR24" i="3" s="1"/>
  <c r="AA33" i="3"/>
  <c r="AB33" i="3" s="1"/>
  <c r="K15" i="3"/>
  <c r="L15" i="3" s="1"/>
  <c r="AQ22" i="3"/>
  <c r="AR22" i="3" s="1"/>
  <c r="AQ54" i="3"/>
  <c r="AR54" i="3" s="1"/>
  <c r="AQ173" i="3"/>
  <c r="BG38" i="3"/>
  <c r="BG24" i="3"/>
  <c r="BH24" i="3" s="1"/>
  <c r="AQ31" i="3"/>
  <c r="AR31" i="3" s="1"/>
  <c r="AA49" i="3"/>
  <c r="AB49" i="3" s="1"/>
  <c r="BG78" i="3"/>
  <c r="AQ105" i="3"/>
  <c r="AA154" i="3"/>
  <c r="AQ170" i="3"/>
  <c r="AQ150" i="3"/>
  <c r="AA134" i="3"/>
  <c r="AQ118" i="3"/>
  <c r="AA21" i="3"/>
  <c r="AB21" i="3" s="1"/>
  <c r="K59" i="3"/>
  <c r="BG26" i="3"/>
  <c r="BH26" i="3" s="1"/>
  <c r="AQ26" i="3"/>
  <c r="AR26" i="3" s="1"/>
  <c r="AA102" i="3"/>
  <c r="AQ64" i="3"/>
  <c r="AR64" i="3" s="1"/>
  <c r="BG4" i="3"/>
  <c r="BH4" i="3" s="1"/>
  <c r="AQ81" i="3"/>
  <c r="AQ18" i="3"/>
  <c r="AR18" i="3" s="1"/>
  <c r="AQ39" i="3"/>
  <c r="AR39" i="3" s="1"/>
  <c r="AQ120" i="3"/>
  <c r="K22" i="3"/>
  <c r="L22" i="3" s="1"/>
  <c r="AQ45" i="3"/>
  <c r="AR45" i="3" s="1"/>
  <c r="AQ80" i="3"/>
  <c r="AQ11" i="3"/>
  <c r="AR11" i="3" s="1"/>
  <c r="AQ140" i="3"/>
  <c r="AQ95" i="3"/>
  <c r="AA96" i="3"/>
  <c r="BG16" i="3"/>
  <c r="BH16" i="3" s="1"/>
  <c r="AA54" i="3"/>
  <c r="AB54" i="3" s="1"/>
  <c r="AQ60" i="3"/>
  <c r="AR60" i="3" s="1"/>
  <c r="AA79" i="3"/>
  <c r="AA88" i="3"/>
  <c r="AQ63" i="3"/>
  <c r="AR63" i="3" s="1"/>
  <c r="AS93" i="3"/>
  <c r="BG32" i="3"/>
  <c r="AS18" i="3"/>
  <c r="AA121" i="3"/>
  <c r="BG63" i="3"/>
  <c r="AA14" i="3"/>
  <c r="AB14" i="3" s="1"/>
  <c r="AA85" i="3"/>
  <c r="AQ189" i="3"/>
  <c r="AQ73" i="3"/>
  <c r="AR73" i="3" s="1"/>
  <c r="AQ109" i="3"/>
  <c r="AA117" i="3"/>
  <c r="AQ72" i="3"/>
  <c r="AR72" i="3" s="1"/>
  <c r="AQ25" i="3"/>
  <c r="AR25" i="3" s="1"/>
  <c r="AQ158" i="3"/>
  <c r="AQ171" i="3"/>
  <c r="K52" i="3"/>
  <c r="BG35" i="3"/>
  <c r="K50" i="3"/>
  <c r="K39" i="3"/>
  <c r="AQ52" i="3"/>
  <c r="AR52" i="3" s="1"/>
  <c r="BG70" i="3"/>
  <c r="AQ65" i="3"/>
  <c r="AR65" i="3" s="1"/>
  <c r="AA29" i="3"/>
  <c r="AB29" i="3" s="1"/>
  <c r="AA118" i="3"/>
  <c r="AA114" i="3"/>
  <c r="AA41" i="3"/>
  <c r="AB41" i="3" s="1"/>
  <c r="AA105" i="3"/>
  <c r="AA130" i="3"/>
  <c r="AA18" i="3"/>
  <c r="AB18" i="3" s="1"/>
  <c r="AA159" i="3"/>
  <c r="AA6" i="3"/>
  <c r="AB6" i="3" s="1"/>
  <c r="AA60" i="3"/>
  <c r="AB60" i="3" s="1"/>
  <c r="AA19" i="3"/>
  <c r="AB19" i="3" s="1"/>
  <c r="AA51" i="3"/>
  <c r="AB51" i="3" s="1"/>
  <c r="AA135" i="3"/>
  <c r="AA17" i="3"/>
  <c r="AB17" i="3" s="1"/>
  <c r="AA97" i="3"/>
  <c r="AQ55" i="3"/>
  <c r="AR55" i="3" s="1"/>
  <c r="AQ74" i="3"/>
  <c r="AR74" i="3" s="1"/>
  <c r="AA30" i="3"/>
  <c r="AB30" i="3" s="1"/>
  <c r="AA140" i="3"/>
  <c r="AA68" i="3"/>
  <c r="AA113" i="3"/>
  <c r="AA75" i="3"/>
  <c r="AS129" i="3"/>
  <c r="AS111" i="3"/>
  <c r="AS192" i="3"/>
  <c r="AS181" i="3"/>
  <c r="AS185" i="3"/>
  <c r="AS84" i="3"/>
  <c r="AS112" i="3"/>
  <c r="AS56" i="3"/>
  <c r="AS39" i="3"/>
  <c r="AS11" i="3"/>
  <c r="AS62" i="3"/>
  <c r="AS104" i="3"/>
  <c r="AS29" i="3"/>
  <c r="AS65" i="3"/>
  <c r="AS21" i="3"/>
  <c r="AS71" i="3"/>
  <c r="AS137" i="3"/>
  <c r="AS45" i="3"/>
  <c r="AS191" i="3"/>
  <c r="AS134" i="3"/>
  <c r="AS157" i="3"/>
  <c r="AS14" i="3"/>
  <c r="AS133" i="3"/>
  <c r="AS155" i="3"/>
  <c r="AS144" i="3"/>
  <c r="AS70" i="3"/>
  <c r="AS147" i="3"/>
  <c r="AS156" i="3"/>
  <c r="AS110" i="3"/>
  <c r="AS68" i="3"/>
  <c r="AS5" i="3"/>
  <c r="AS121" i="3"/>
  <c r="AS103" i="3"/>
  <c r="AS162" i="3"/>
  <c r="AS94" i="3"/>
  <c r="AS46" i="3"/>
  <c r="AS55" i="3"/>
  <c r="AS88" i="3"/>
  <c r="AS10" i="3"/>
  <c r="AS91" i="3"/>
  <c r="AS153" i="3"/>
  <c r="AS7" i="3"/>
  <c r="AS83" i="3"/>
  <c r="AS35" i="3"/>
  <c r="AS89" i="3"/>
  <c r="AS102" i="3"/>
  <c r="AS124" i="3"/>
  <c r="AS127" i="3"/>
  <c r="AS57" i="3"/>
  <c r="AS28" i="3"/>
  <c r="AS146" i="3"/>
  <c r="AS96" i="3"/>
  <c r="AS183" i="3"/>
  <c r="AS12" i="3"/>
  <c r="AS32" i="3"/>
  <c r="AS184" i="3"/>
  <c r="AS190" i="3"/>
  <c r="AS80" i="3"/>
  <c r="AS77" i="3"/>
  <c r="AS148" i="3"/>
  <c r="AS48" i="3"/>
  <c r="AS49" i="3"/>
  <c r="AS20" i="3"/>
  <c r="AS187" i="3"/>
  <c r="AS33" i="3"/>
  <c r="AS30" i="3"/>
  <c r="AS178" i="3"/>
  <c r="AS58" i="3"/>
  <c r="AS23" i="3"/>
  <c r="AS173" i="3"/>
  <c r="AS25" i="3"/>
  <c r="AS72" i="3"/>
  <c r="AS64" i="3"/>
  <c r="AS168" i="3"/>
  <c r="AS150" i="3"/>
  <c r="AS151" i="3"/>
  <c r="AS176" i="3"/>
  <c r="AS130" i="3"/>
  <c r="AS125" i="3"/>
  <c r="AS160" i="3"/>
  <c r="AS79" i="3"/>
  <c r="AS182" i="3"/>
  <c r="AS149" i="3"/>
  <c r="AS52" i="3"/>
  <c r="AS97" i="3"/>
  <c r="AS16" i="3"/>
  <c r="AS161" i="3"/>
  <c r="AS87" i="3"/>
  <c r="AS27" i="3"/>
  <c r="AS179" i="3"/>
  <c r="AS47" i="3"/>
  <c r="AS117" i="3"/>
  <c r="AS163" i="3"/>
  <c r="AS13" i="3"/>
  <c r="AS75" i="3"/>
  <c r="AS99" i="3"/>
  <c r="AS180" i="3"/>
  <c r="AS60" i="3"/>
  <c r="AS108" i="3"/>
  <c r="AS76" i="3"/>
  <c r="AS4" i="3"/>
  <c r="AS26" i="3"/>
  <c r="AS53" i="3"/>
  <c r="AS120" i="3"/>
  <c r="AS54" i="3"/>
  <c r="AS109" i="3"/>
  <c r="AQ40" i="3"/>
  <c r="AR40" i="3" s="1"/>
  <c r="G2" i="3"/>
  <c r="AA82" i="3"/>
  <c r="AQ59" i="3"/>
  <c r="AR59" i="3" s="1"/>
  <c r="AS8" i="3"/>
  <c r="AS90" i="3"/>
  <c r="AS38" i="3"/>
  <c r="AA11" i="3"/>
  <c r="AB11" i="3" s="1"/>
  <c r="AQ178" i="3"/>
  <c r="AQ30" i="3"/>
  <c r="AR30" i="3" s="1"/>
  <c r="BG68" i="3"/>
  <c r="K7" i="3"/>
  <c r="L7" i="3" s="1"/>
  <c r="K43" i="3"/>
  <c r="K58" i="3"/>
  <c r="K21" i="3"/>
  <c r="L21" i="3" s="1"/>
  <c r="K55" i="3"/>
  <c r="K46" i="3"/>
  <c r="K9" i="3"/>
  <c r="L9" i="3" s="1"/>
  <c r="K16" i="3"/>
  <c r="L16" i="3" s="1"/>
  <c r="K28" i="3"/>
  <c r="L28" i="3" s="1"/>
  <c r="K42" i="3"/>
  <c r="K51" i="3"/>
  <c r="K12" i="3"/>
  <c r="L12" i="3" s="1"/>
  <c r="K37" i="3"/>
  <c r="K24" i="3"/>
  <c r="L24" i="3" s="1"/>
  <c r="K40" i="3"/>
  <c r="K53" i="3"/>
  <c r="K11" i="3"/>
  <c r="L11" i="3" s="1"/>
  <c r="K30" i="3"/>
  <c r="L30" i="3" s="1"/>
  <c r="K26" i="3"/>
  <c r="L26" i="3" s="1"/>
  <c r="K4" i="3"/>
  <c r="L4" i="3" s="1"/>
  <c r="K29" i="3"/>
  <c r="L29" i="3" s="1"/>
  <c r="K34" i="3"/>
  <c r="K31" i="3"/>
  <c r="L31" i="3" s="1"/>
  <c r="K18" i="3"/>
  <c r="L18" i="3" s="1"/>
  <c r="K5" i="3"/>
  <c r="L5" i="3" s="1"/>
  <c r="K25" i="3"/>
  <c r="L25" i="3" s="1"/>
  <c r="K6" i="3"/>
  <c r="L6" i="3" s="1"/>
  <c r="K8" i="3"/>
  <c r="L8" i="3" s="1"/>
  <c r="K20" i="3"/>
  <c r="L20" i="3" s="1"/>
  <c r="K44" i="3"/>
  <c r="K60" i="3"/>
  <c r="K45" i="3"/>
  <c r="K48" i="3"/>
  <c r="K17" i="3"/>
  <c r="L17" i="3" s="1"/>
  <c r="K19" i="3"/>
  <c r="K23" i="3"/>
  <c r="L23" i="3" s="1"/>
  <c r="K57" i="3"/>
  <c r="AA77" i="3"/>
  <c r="BG3" i="3"/>
  <c r="BH3" i="3" s="1"/>
  <c r="BG12" i="3"/>
  <c r="BH12" i="3" s="1"/>
  <c r="BG49" i="3"/>
  <c r="BG80" i="3"/>
  <c r="BG86" i="3"/>
  <c r="BG66" i="3"/>
  <c r="BG9" i="3"/>
  <c r="BH9" i="3" s="1"/>
  <c r="BG50" i="3"/>
  <c r="BG48" i="3"/>
  <c r="BG53" i="3"/>
  <c r="BG79" i="3"/>
  <c r="BG67" i="3"/>
  <c r="BG20" i="3"/>
  <c r="BH20" i="3" s="1"/>
  <c r="BG8" i="3"/>
  <c r="BH8" i="3" s="1"/>
  <c r="BG39" i="3"/>
  <c r="BG73" i="3"/>
  <c r="BG27" i="3"/>
  <c r="BH27" i="3" s="1"/>
  <c r="BG5" i="3"/>
  <c r="BH5" i="3" s="1"/>
  <c r="BG64" i="3"/>
  <c r="AS158" i="3"/>
  <c r="AS171" i="3"/>
  <c r="AQ36" i="3"/>
  <c r="AR36" i="3" s="1"/>
  <c r="AA28" i="3"/>
  <c r="AB28" i="3" s="1"/>
  <c r="AQ89" i="3"/>
  <c r="BG57" i="3"/>
  <c r="AA64" i="3"/>
  <c r="AQ113" i="3"/>
  <c r="AA56" i="3"/>
  <c r="AB56" i="3" s="1"/>
  <c r="AQ61" i="3"/>
  <c r="AR61" i="3" s="1"/>
  <c r="AA141" i="3"/>
  <c r="AA25" i="3"/>
  <c r="AB25" i="3" s="1"/>
  <c r="AQ186" i="3"/>
  <c r="AQ78" i="3"/>
  <c r="AA71" i="3"/>
  <c r="AQ103" i="3"/>
  <c r="AQ101" i="3"/>
  <c r="AS44" i="3"/>
  <c r="AS189" i="3"/>
  <c r="AS34" i="3"/>
  <c r="AS51" i="3"/>
  <c r="AQ47" i="3"/>
  <c r="AR47" i="3" s="1"/>
  <c r="AS123" i="3"/>
  <c r="AS36" i="3"/>
  <c r="L19" i="3"/>
  <c r="AQ29" i="3"/>
  <c r="AR29" i="3" s="1"/>
  <c r="AQ76" i="3"/>
  <c r="AR76" i="3" s="1"/>
  <c r="AQ143" i="3"/>
  <c r="AQ32" i="3"/>
  <c r="AR32" i="3" s="1"/>
  <c r="AA22" i="3"/>
  <c r="AB22" i="3" s="1"/>
  <c r="AQ168" i="3"/>
  <c r="BG19" i="3"/>
  <c r="BH19" i="3" s="1"/>
  <c r="AA45" i="3"/>
  <c r="AB45" i="3" s="1"/>
  <c r="AA110" i="3"/>
  <c r="AQ108" i="3"/>
  <c r="AQ174" i="3"/>
  <c r="AQ162" i="3"/>
  <c r="AQ83" i="3"/>
  <c r="AQ35" i="3"/>
  <c r="AR35" i="3" s="1"/>
  <c r="AQ102" i="3"/>
  <c r="AQ138" i="3"/>
  <c r="AQ38" i="3"/>
  <c r="AR38" i="3" s="1"/>
  <c r="AQ42" i="3"/>
  <c r="AR42" i="3" s="1"/>
  <c r="AQ34" i="3"/>
  <c r="AR34" i="3" s="1"/>
  <c r="AQ164" i="3"/>
  <c r="AQ41" i="3"/>
  <c r="AR41" i="3" s="1"/>
  <c r="AQ192" i="3"/>
  <c r="AQ142" i="3"/>
  <c r="AA122" i="3"/>
  <c r="AA3" i="3"/>
  <c r="AB3" i="3" s="1"/>
  <c r="AQ19" i="3"/>
  <c r="AR19" i="3" s="1"/>
  <c r="AQ23" i="3"/>
  <c r="AR23" i="3" s="1"/>
  <c r="AA39" i="3"/>
  <c r="AB39" i="3" s="1"/>
  <c r="AA94" i="3"/>
  <c r="AQ169" i="3"/>
  <c r="AS101" i="3"/>
  <c r="AA55" i="3"/>
  <c r="AB55" i="3" s="1"/>
  <c r="BG72" i="3"/>
  <c r="BG54" i="3"/>
  <c r="K10" i="3"/>
  <c r="L10" i="3" s="1"/>
  <c r="AQ106" i="3"/>
  <c r="AA5" i="3"/>
  <c r="AB5" i="3" s="1"/>
  <c r="AQ62" i="3"/>
  <c r="AR62" i="3" s="1"/>
  <c r="K41" i="3"/>
  <c r="AC82" i="3"/>
  <c r="AQ13" i="3"/>
  <c r="AR13" i="3" s="1"/>
  <c r="AC87" i="3"/>
  <c r="AQ152" i="3"/>
  <c r="BI23" i="3"/>
  <c r="BI48" i="3"/>
  <c r="BI85" i="3"/>
  <c r="BI81" i="3"/>
  <c r="BI57" i="3"/>
  <c r="BI9" i="3"/>
  <c r="BI78" i="3"/>
  <c r="BI64" i="3"/>
  <c r="BI86" i="3"/>
  <c r="BI38" i="3"/>
  <c r="BI39" i="3"/>
  <c r="AQ122" i="3"/>
  <c r="AQ84" i="3"/>
  <c r="AQ135" i="3"/>
  <c r="AC49" i="3"/>
  <c r="AQ159" i="3"/>
  <c r="BI34" i="3"/>
  <c r="AA81" i="3"/>
  <c r="AA83" i="3"/>
  <c r="BI76" i="3"/>
  <c r="AQ131" i="3"/>
  <c r="AC59" i="3"/>
  <c r="AC70" i="3"/>
  <c r="AC162" i="3"/>
  <c r="AC103" i="3"/>
  <c r="AQ177" i="3"/>
  <c r="AA138" i="3"/>
  <c r="AC154" i="3"/>
  <c r="AA111" i="3"/>
  <c r="AA95" i="3"/>
  <c r="AC96" i="3"/>
  <c r="AQ98" i="3"/>
  <c r="BI49" i="3"/>
  <c r="AA139" i="3"/>
  <c r="AQ165" i="3"/>
  <c r="BI12" i="3"/>
  <c r="BG7" i="3"/>
  <c r="BH7" i="3" s="1"/>
  <c r="AA127" i="3"/>
  <c r="AQ85" i="3"/>
  <c r="AQ115" i="3"/>
  <c r="AA151" i="3"/>
  <c r="AQ139" i="3"/>
  <c r="AA13" i="3"/>
  <c r="AB13" i="3" s="1"/>
  <c r="BI3" i="3"/>
  <c r="AA147" i="3"/>
  <c r="AA62" i="3"/>
  <c r="AQ44" i="3"/>
  <c r="AR44" i="3" s="1"/>
  <c r="AQ97" i="3"/>
  <c r="BI61" i="3"/>
  <c r="AQ51" i="3"/>
  <c r="AR51" i="3" s="1"/>
  <c r="AA76" i="3"/>
  <c r="BG34" i="3"/>
  <c r="BG11" i="3"/>
  <c r="BH11" i="3" s="1"/>
  <c r="AA67" i="3"/>
  <c r="AC23" i="3"/>
  <c r="AA109" i="3"/>
  <c r="AA70" i="3"/>
  <c r="AA80" i="3"/>
  <c r="AQ149" i="3"/>
  <c r="AC147" i="3"/>
  <c r="AC76" i="3"/>
  <c r="AC81" i="3"/>
  <c r="AQ182" i="3"/>
  <c r="AQ53" i="3"/>
  <c r="AR53" i="3" s="1"/>
  <c r="AC67" i="3"/>
  <c r="AC5" i="3"/>
  <c r="AA92" i="3"/>
  <c r="AC80" i="3"/>
  <c r="AQ136" i="3"/>
  <c r="AQ160" i="3"/>
  <c r="AQ125" i="3"/>
  <c r="BG31" i="3"/>
  <c r="BH31" i="3" s="1"/>
  <c r="AQ130" i="3"/>
  <c r="AC85" i="3"/>
  <c r="AC64" i="3"/>
  <c r="AB2" i="3"/>
  <c r="AA153" i="3"/>
  <c r="AQ148" i="3"/>
  <c r="BI43" i="3"/>
  <c r="AC112" i="3"/>
  <c r="AQ43" i="3"/>
  <c r="AR43" i="3" s="1"/>
  <c r="AQ67" i="3"/>
  <c r="AR67" i="3" s="1"/>
  <c r="AQ77" i="3"/>
  <c r="BG18" i="3"/>
  <c r="BH18" i="3" s="1"/>
  <c r="AA24" i="3"/>
  <c r="AB24" i="3" s="1"/>
  <c r="AC47" i="3"/>
  <c r="AA161" i="3"/>
  <c r="AA34" i="3"/>
  <c r="AB34" i="3" s="1"/>
  <c r="AA37" i="3"/>
  <c r="AB37" i="3" s="1"/>
  <c r="BI66" i="3"/>
  <c r="AA131" i="3"/>
  <c r="AA58" i="3"/>
  <c r="AB58" i="3" s="1"/>
  <c r="BG84" i="3"/>
  <c r="AC36" i="3"/>
  <c r="BG41" i="3"/>
  <c r="AA46" i="3"/>
  <c r="AB46" i="3" s="1"/>
  <c r="AA128" i="3"/>
  <c r="AQ190" i="3"/>
  <c r="BG33" i="3"/>
  <c r="AC40" i="3"/>
  <c r="AC159" i="3"/>
  <c r="BI73" i="3"/>
  <c r="AC91" i="3"/>
  <c r="AA145" i="3"/>
  <c r="AQ184" i="3"/>
  <c r="AQ20" i="3"/>
  <c r="AR20" i="3" s="1"/>
  <c r="BG82" i="3"/>
  <c r="BI63" i="3"/>
  <c r="AC89" i="3"/>
  <c r="BG55" i="3"/>
  <c r="AC14" i="3"/>
  <c r="BI45" i="3"/>
  <c r="BG51" i="3"/>
  <c r="AC4" i="3"/>
  <c r="AA52" i="3"/>
  <c r="AB52" i="3" s="1"/>
  <c r="AQ50" i="3"/>
  <c r="AR50" i="3" s="1"/>
  <c r="AQ7" i="3"/>
  <c r="AR7" i="3" s="1"/>
  <c r="AA7" i="3"/>
  <c r="AB7" i="3" s="1"/>
  <c r="BI26" i="3"/>
  <c r="AQ56" i="3"/>
  <c r="AR56" i="3" s="1"/>
  <c r="B543" i="4"/>
  <c r="D26" i="4"/>
  <c r="AC161" i="3"/>
  <c r="AA116" i="3"/>
  <c r="BI74" i="3"/>
  <c r="BG22" i="3"/>
  <c r="BH22" i="3" s="1"/>
  <c r="BG75" i="3"/>
  <c r="BG85" i="3"/>
  <c r="AQ91" i="3"/>
  <c r="AQ183" i="3"/>
  <c r="BG81" i="3"/>
  <c r="AQ96" i="3"/>
  <c r="AQ146" i="3"/>
  <c r="AQ28" i="3"/>
  <c r="AR28" i="3" s="1"/>
  <c r="AA100" i="3"/>
  <c r="AA90" i="3"/>
  <c r="AA40" i="3"/>
  <c r="AB40" i="3" s="1"/>
  <c r="AA152" i="3"/>
  <c r="AQ88" i="3"/>
  <c r="AA91" i="3"/>
  <c r="AA157" i="3"/>
  <c r="AA115" i="3"/>
  <c r="AC18" i="3"/>
  <c r="AQ127" i="3"/>
  <c r="BI8" i="3"/>
  <c r="AQ124" i="3"/>
  <c r="AA158" i="3"/>
  <c r="AA16" i="3"/>
  <c r="AB16" i="3" s="1"/>
  <c r="AA146" i="3"/>
  <c r="AA155" i="3"/>
  <c r="AA20" i="3"/>
  <c r="AB20" i="3" s="1"/>
  <c r="AA125" i="3"/>
  <c r="AA86" i="3"/>
  <c r="AA78" i="3"/>
  <c r="AA149" i="3"/>
  <c r="AA93" i="3"/>
  <c r="AA133" i="3"/>
  <c r="AA50" i="3"/>
  <c r="AB50" i="3" s="1"/>
  <c r="AA61" i="3"/>
  <c r="AB61" i="3" s="1"/>
  <c r="AA156" i="3"/>
  <c r="AC75" i="3"/>
  <c r="AQ129" i="3"/>
  <c r="AA44" i="3"/>
  <c r="AB44" i="3" s="1"/>
  <c r="AC27" i="3"/>
  <c r="AA57" i="3"/>
  <c r="AB57" i="3" s="1"/>
  <c r="AQ111" i="3"/>
  <c r="AA15" i="3"/>
  <c r="AB15" i="3" s="1"/>
  <c r="BI18" i="3"/>
  <c r="AC24" i="3"/>
  <c r="AA42" i="3"/>
  <c r="AB42" i="3" s="1"/>
  <c r="BG74" i="3"/>
  <c r="AC37" i="3"/>
  <c r="AQ153" i="3"/>
  <c r="BI84" i="3"/>
  <c r="AQ12" i="3"/>
  <c r="AR12" i="3" s="1"/>
  <c r="BI62" i="3"/>
  <c r="BG77" i="3"/>
  <c r="AA9" i="3"/>
  <c r="AB9" i="3" s="1"/>
  <c r="AQ70" i="3"/>
  <c r="AR70" i="3" s="1"/>
  <c r="BI82" i="3"/>
  <c r="BI55" i="3"/>
  <c r="BG44" i="3"/>
  <c r="BI51" i="3"/>
  <c r="AC143" i="3"/>
  <c r="AC43" i="3"/>
  <c r="AC56" i="3"/>
  <c r="AC118" i="3"/>
  <c r="AC104" i="3"/>
  <c r="AC134" i="3"/>
  <c r="AC95" i="3"/>
  <c r="AC44" i="3"/>
  <c r="AC10" i="3"/>
  <c r="AC135" i="3"/>
  <c r="AC119" i="3"/>
  <c r="AC54" i="3"/>
  <c r="AC57" i="3"/>
  <c r="AC41" i="3"/>
  <c r="AC123" i="3"/>
  <c r="AC74" i="3"/>
  <c r="AC97" i="3"/>
  <c r="AC124" i="3"/>
  <c r="AC127" i="3"/>
  <c r="AC98" i="3"/>
  <c r="AC68" i="3"/>
  <c r="AC158" i="3"/>
  <c r="AC66" i="3"/>
  <c r="AC102" i="3"/>
  <c r="AC34" i="3"/>
  <c r="AC88" i="3"/>
  <c r="AC117" i="3"/>
  <c r="AC94" i="3"/>
  <c r="AC72" i="3"/>
  <c r="AC131" i="3"/>
  <c r="AC116" i="3"/>
  <c r="AC120" i="3"/>
  <c r="AC107" i="3"/>
  <c r="AC58" i="3"/>
  <c r="AC132" i="3"/>
  <c r="AC26" i="3"/>
  <c r="AC144" i="3"/>
  <c r="AC83" i="3"/>
  <c r="AC128" i="3"/>
  <c r="AC99" i="3"/>
  <c r="AC137" i="3"/>
  <c r="AC60" i="3"/>
  <c r="AC121" i="3"/>
  <c r="AC146" i="3"/>
  <c r="AC155" i="3"/>
  <c r="AC152" i="3"/>
  <c r="AC136" i="3"/>
  <c r="AC100" i="3"/>
  <c r="AC90" i="3"/>
  <c r="AC157" i="3"/>
  <c r="AC129" i="3"/>
  <c r="AC125" i="3"/>
  <c r="AC86" i="3"/>
  <c r="AC145" i="3"/>
  <c r="AC32" i="3"/>
  <c r="AC62" i="3"/>
  <c r="AC149" i="3"/>
  <c r="AC133" i="3"/>
  <c r="AC50" i="3"/>
  <c r="AC16" i="3"/>
  <c r="AC61" i="3"/>
  <c r="AC92" i="3"/>
  <c r="AC126" i="3"/>
  <c r="AC93" i="3"/>
  <c r="AC122" i="3"/>
  <c r="AC130" i="3"/>
  <c r="AC84" i="3"/>
  <c r="AC156" i="3"/>
  <c r="AC141" i="3"/>
  <c r="AC28" i="3"/>
  <c r="AC20" i="3"/>
  <c r="AC105" i="3"/>
  <c r="AC78" i="3"/>
  <c r="AC52" i="3"/>
  <c r="AA10" i="3"/>
  <c r="AB10" i="3" s="1"/>
  <c r="AQ86" i="3"/>
  <c r="AC7" i="3"/>
  <c r="BI67" i="3"/>
  <c r="AA74" i="3"/>
  <c r="AQ121" i="3"/>
  <c r="AQ5" i="3"/>
  <c r="AR5" i="3" s="1"/>
  <c r="AC77" i="3"/>
  <c r="BI22" i="3"/>
  <c r="AQ68" i="3"/>
  <c r="AR68" i="3" s="1"/>
  <c r="AQ110" i="3"/>
  <c r="AQ10" i="3"/>
  <c r="AR10" i="3" s="1"/>
  <c r="AA35" i="3"/>
  <c r="AB35" i="3" s="1"/>
  <c r="AC69" i="3"/>
  <c r="AQ90" i="3"/>
  <c r="AQ156" i="3"/>
  <c r="AC9" i="3"/>
  <c r="AQ147" i="3"/>
  <c r="BG47" i="3"/>
  <c r="AC115" i="3"/>
  <c r="BG71" i="3"/>
  <c r="AQ144" i="3"/>
  <c r="BG58" i="3"/>
  <c r="AQ155" i="3"/>
  <c r="AQ133" i="3"/>
  <c r="AA65" i="3"/>
  <c r="AC3" i="3"/>
  <c r="AA142" i="3"/>
  <c r="AA27" i="3"/>
  <c r="AB27" i="3" s="1"/>
  <c r="AQ58" i="3"/>
  <c r="AR58" i="3" s="1"/>
  <c r="AC15" i="3"/>
  <c r="AQ167" i="3"/>
  <c r="AQ114" i="3"/>
  <c r="AC42" i="3"/>
  <c r="AA38" i="3"/>
  <c r="AB38" i="3" s="1"/>
  <c r="AA73" i="3"/>
  <c r="AQ128" i="3"/>
  <c r="AA87" i="3"/>
  <c r="BG2" i="3"/>
  <c r="BH2" i="3" s="1"/>
  <c r="AQ145" i="3"/>
  <c r="BI36" i="3"/>
  <c r="BI40" i="3"/>
  <c r="AQ8" i="3"/>
  <c r="AR8" i="3" s="1"/>
  <c r="AQ187" i="3"/>
  <c r="BG10" i="3"/>
  <c r="BH10" i="3" s="1"/>
  <c r="AQ112" i="3"/>
  <c r="AA31" i="3"/>
  <c r="AB31" i="3" s="1"/>
  <c r="AQ37" i="3"/>
  <c r="AR37" i="3" s="1"/>
  <c r="AQ123" i="3"/>
  <c r="BG13" i="3"/>
  <c r="BH13" i="3" s="1"/>
  <c r="AQ49" i="3"/>
  <c r="AR49" i="3" s="1"/>
  <c r="BG42" i="3"/>
  <c r="BI44" i="3"/>
  <c r="BG25" i="3"/>
  <c r="BH25" i="3" s="1"/>
  <c r="BG29" i="3"/>
  <c r="BH29" i="3" s="1"/>
  <c r="AQ92" i="3"/>
  <c r="AQ157" i="3"/>
  <c r="AA104" i="3"/>
  <c r="BI79" i="3"/>
  <c r="AC114" i="3"/>
  <c r="AQ48" i="3"/>
  <c r="AR48" i="3" s="1"/>
  <c r="AQ185" i="3"/>
  <c r="AQ134" i="3"/>
  <c r="AA12" i="3"/>
  <c r="AB12" i="3" s="1"/>
  <c r="BG60" i="3"/>
  <c r="BI50" i="3"/>
  <c r="AA160" i="3"/>
  <c r="BG83" i="3"/>
  <c r="BG14" i="3"/>
  <c r="BH14" i="3" s="1"/>
  <c r="AC38" i="3"/>
  <c r="AQ181" i="3"/>
  <c r="AA107" i="3"/>
  <c r="AQ137" i="3"/>
  <c r="BI75" i="3"/>
  <c r="AQ71" i="3"/>
  <c r="AR71" i="3" s="1"/>
  <c r="BI32" i="3"/>
  <c r="AA63" i="3"/>
  <c r="BG6" i="3"/>
  <c r="BH6" i="3" s="1"/>
  <c r="AQ17" i="3"/>
  <c r="AR17" i="3" s="1"/>
  <c r="BG36" i="3"/>
  <c r="AC35" i="3"/>
  <c r="BG40" i="3"/>
  <c r="BG28" i="3"/>
  <c r="BH28" i="3" s="1"/>
  <c r="BG62" i="3"/>
  <c r="BI35" i="3"/>
  <c r="AQ21" i="3"/>
  <c r="AR21" i="3" s="1"/>
  <c r="BI77" i="3"/>
  <c r="BI47" i="3"/>
  <c r="AA101" i="3"/>
  <c r="BI58" i="3"/>
  <c r="AQ14" i="3"/>
  <c r="AR14" i="3" s="1"/>
  <c r="AC65" i="3"/>
  <c r="AA162" i="3"/>
  <c r="BI42" i="3"/>
  <c r="BI25" i="3"/>
  <c r="BI29" i="3"/>
  <c r="AC12" i="3"/>
  <c r="AC17" i="3"/>
  <c r="AC160" i="3"/>
  <c r="AA123" i="3"/>
  <c r="AQ104" i="3"/>
  <c r="AQ180" i="3"/>
  <c r="AQ99" i="3"/>
  <c r="AQ75" i="3"/>
  <c r="AR75" i="3" s="1"/>
  <c r="AC73" i="3"/>
  <c r="AQ93" i="3"/>
  <c r="AQ163" i="3"/>
  <c r="AQ117" i="3"/>
  <c r="BG23" i="3"/>
  <c r="BH23" i="3" s="1"/>
  <c r="AC63" i="3"/>
  <c r="BI6" i="3"/>
  <c r="AA144" i="3"/>
  <c r="BI28" i="3"/>
  <c r="BG61" i="3"/>
  <c r="AA136" i="3"/>
  <c r="BI11" i="3"/>
  <c r="AQ179" i="3"/>
  <c r="AA23" i="3"/>
  <c r="AB23" i="3" s="1"/>
  <c r="AQ57" i="3"/>
  <c r="AR57" i="3" s="1"/>
  <c r="AQ27" i="3"/>
  <c r="AR27" i="3" s="1"/>
  <c r="BI54" i="3"/>
  <c r="AA103" i="3"/>
  <c r="AQ87" i="3"/>
  <c r="AQ161" i="3"/>
  <c r="BC86" i="3" l="1"/>
  <c r="BC78" i="3"/>
  <c r="BC29" i="3"/>
  <c r="BC13" i="3"/>
  <c r="BC10" i="3"/>
  <c r="BC80" i="3"/>
  <c r="BC61" i="3"/>
  <c r="BC49" i="3"/>
  <c r="BC21" i="3"/>
  <c r="BC22" i="3"/>
  <c r="BC83" i="3"/>
  <c r="BC18" i="3"/>
  <c r="BC8" i="3"/>
  <c r="BC42" i="3"/>
  <c r="BC54" i="3"/>
  <c r="BC82" i="3"/>
  <c r="BC33" i="3"/>
  <c r="BC62" i="3"/>
  <c r="BC2" i="3"/>
  <c r="BC84" i="3"/>
  <c r="BC74" i="3"/>
  <c r="BC85" i="3"/>
  <c r="BC60" i="3"/>
  <c r="BC20" i="3"/>
  <c r="BC71" i="3"/>
  <c r="BC47" i="3"/>
  <c r="BC57" i="3"/>
  <c r="BC40" i="3"/>
  <c r="BC37" i="3"/>
  <c r="BC75" i="3"/>
  <c r="BC26" i="3"/>
  <c r="BC44" i="3"/>
  <c r="BC58" i="3"/>
  <c r="BC77" i="3"/>
  <c r="BC64" i="3"/>
  <c r="BC66" i="3"/>
  <c r="BC50" i="3"/>
  <c r="BC31" i="3"/>
  <c r="BC27" i="3"/>
  <c r="BC81" i="3"/>
  <c r="BC53" i="3"/>
  <c r="BC70" i="3"/>
  <c r="BC23" i="3"/>
  <c r="BC45" i="3"/>
  <c r="BC38" i="3"/>
  <c r="BC76" i="3"/>
  <c r="BC35" i="3"/>
  <c r="BC72" i="3"/>
  <c r="BC32" i="3"/>
  <c r="BC14" i="3"/>
  <c r="BC15" i="3"/>
  <c r="BC9" i="3"/>
  <c r="BC16" i="3"/>
  <c r="BC25" i="3"/>
  <c r="BC28" i="3"/>
  <c r="BC36" i="3"/>
  <c r="BC6" i="3"/>
  <c r="BC55" i="3"/>
  <c r="BC68" i="3"/>
  <c r="BC79" i="3"/>
  <c r="BC73" i="3"/>
  <c r="BC59" i="3"/>
  <c r="BC7" i="3"/>
  <c r="BC41" i="3"/>
  <c r="BC46" i="3"/>
  <c r="BC56" i="3"/>
  <c r="BC51" i="3"/>
  <c r="BC11" i="3"/>
  <c r="BC3" i="3"/>
  <c r="BC12" i="3"/>
  <c r="BC5" i="3"/>
  <c r="BC65" i="3"/>
  <c r="BC24" i="3"/>
  <c r="BC67" i="3"/>
  <c r="BC63" i="3"/>
  <c r="BC4" i="3"/>
  <c r="BC19" i="3"/>
  <c r="BC17" i="3"/>
  <c r="BC34" i="3"/>
  <c r="BC87" i="3"/>
  <c r="BC39" i="3"/>
  <c r="BC69" i="3"/>
  <c r="BC30" i="3"/>
  <c r="BC43" i="3"/>
  <c r="BC52" i="3"/>
  <c r="BC48" i="3"/>
  <c r="G47" i="3"/>
  <c r="G61" i="3"/>
  <c r="G18" i="3"/>
  <c r="G22" i="3"/>
  <c r="G31" i="3"/>
  <c r="G14" i="3"/>
  <c r="G5" i="3"/>
  <c r="G25" i="3"/>
  <c r="G27" i="3"/>
  <c r="G3" i="3"/>
  <c r="G15" i="3"/>
  <c r="G29" i="3"/>
  <c r="G57" i="3"/>
  <c r="G33" i="3"/>
  <c r="G40" i="3"/>
  <c r="G48" i="3"/>
  <c r="G12" i="3"/>
  <c r="G7" i="3"/>
  <c r="G52" i="3"/>
  <c r="G51" i="3"/>
  <c r="G30" i="3"/>
  <c r="G59" i="3"/>
  <c r="G10" i="3"/>
  <c r="G26" i="3"/>
  <c r="G32" i="3"/>
  <c r="G23" i="3"/>
  <c r="G43" i="3"/>
  <c r="G11" i="3"/>
  <c r="G19" i="3"/>
  <c r="G58" i="3"/>
  <c r="G8" i="3"/>
  <c r="G17" i="3"/>
  <c r="G21" i="3"/>
  <c r="G54" i="3"/>
  <c r="G42" i="3"/>
  <c r="G56" i="3"/>
  <c r="G55" i="3"/>
  <c r="G50" i="3"/>
  <c r="G38" i="3"/>
  <c r="G46" i="3"/>
  <c r="G35" i="3"/>
  <c r="G4" i="3"/>
  <c r="G13" i="3"/>
  <c r="G39" i="3"/>
  <c r="G9" i="3"/>
  <c r="G20" i="3"/>
  <c r="G16" i="3"/>
  <c r="G44" i="3"/>
  <c r="G36" i="3"/>
  <c r="G49" i="3"/>
  <c r="G34" i="3"/>
  <c r="G28" i="3"/>
  <c r="G60" i="3"/>
  <c r="G37" i="3"/>
  <c r="G24" i="3"/>
  <c r="G41" i="3"/>
  <c r="G6" i="3"/>
  <c r="G45" i="3"/>
  <c r="G53" i="3"/>
  <c r="W155" i="3"/>
  <c r="W62" i="3"/>
  <c r="W92" i="3"/>
  <c r="W122" i="3"/>
  <c r="W130" i="3"/>
  <c r="W28" i="3"/>
  <c r="W105" i="3"/>
  <c r="W84" i="3"/>
  <c r="W156" i="3"/>
  <c r="W143" i="3"/>
  <c r="W95" i="3"/>
  <c r="W118" i="3"/>
  <c r="W126" i="3"/>
  <c r="W67" i="3"/>
  <c r="W81" i="3"/>
  <c r="W31" i="3"/>
  <c r="W125" i="3"/>
  <c r="W35" i="3"/>
  <c r="W38" i="3"/>
  <c r="W107" i="3"/>
  <c r="W102" i="3"/>
  <c r="W142" i="3"/>
  <c r="W114" i="3"/>
  <c r="W9" i="3"/>
  <c r="W133" i="3"/>
  <c r="W58" i="3"/>
  <c r="W146" i="3"/>
  <c r="W137" i="3"/>
  <c r="W87" i="3"/>
  <c r="W15" i="3"/>
  <c r="W44" i="3"/>
  <c r="W124" i="3"/>
  <c r="W59" i="3"/>
  <c r="W93" i="3"/>
  <c r="W49" i="3"/>
  <c r="W37" i="3"/>
  <c r="W7" i="3"/>
  <c r="W117" i="3"/>
  <c r="W158" i="3"/>
  <c r="W89" i="3"/>
  <c r="W91" i="3"/>
  <c r="W149" i="3"/>
  <c r="W145" i="3"/>
  <c r="W157" i="3"/>
  <c r="W63" i="3"/>
  <c r="W100" i="3"/>
  <c r="W73" i="3"/>
  <c r="W24" i="3"/>
  <c r="W41" i="3"/>
  <c r="W43" i="3"/>
  <c r="W18" i="3"/>
  <c r="W36" i="3"/>
  <c r="W161" i="3"/>
  <c r="W112" i="3"/>
  <c r="W153" i="3"/>
  <c r="W65" i="3"/>
  <c r="W14" i="3"/>
  <c r="W159" i="3"/>
  <c r="W110" i="3"/>
  <c r="W152" i="3"/>
  <c r="W42" i="3"/>
  <c r="W106" i="3"/>
  <c r="W68" i="3"/>
  <c r="W11" i="3"/>
  <c r="W78" i="3"/>
  <c r="W6" i="3"/>
  <c r="W20" i="3"/>
  <c r="W83" i="3"/>
  <c r="W69" i="3"/>
  <c r="W19" i="3"/>
  <c r="W108" i="3"/>
  <c r="W77" i="3"/>
  <c r="W26" i="3"/>
  <c r="W131" i="3"/>
  <c r="W98" i="3"/>
  <c r="W119" i="3"/>
  <c r="W3" i="3"/>
  <c r="W4" i="3"/>
  <c r="W5" i="3"/>
  <c r="W138" i="3"/>
  <c r="W70" i="3"/>
  <c r="W86" i="3"/>
  <c r="W129" i="3"/>
  <c r="W48" i="3"/>
  <c r="W85" i="3"/>
  <c r="W162" i="3"/>
  <c r="W60" i="3"/>
  <c r="W51" i="3"/>
  <c r="W144" i="3"/>
  <c r="W82" i="3"/>
  <c r="W116" i="3"/>
  <c r="W39" i="3"/>
  <c r="W17" i="3"/>
  <c r="W94" i="3"/>
  <c r="W61" i="3"/>
  <c r="W10" i="3"/>
  <c r="W53" i="3"/>
  <c r="W141" i="3"/>
  <c r="W101" i="3"/>
  <c r="W54" i="3"/>
  <c r="W160" i="3"/>
  <c r="W12" i="3"/>
  <c r="W46" i="3"/>
  <c r="W13" i="3"/>
  <c r="W127" i="3"/>
  <c r="W25" i="3"/>
  <c r="W52" i="3"/>
  <c r="W115" i="3"/>
  <c r="W136" i="3"/>
  <c r="W121" i="3"/>
  <c r="W27" i="3"/>
  <c r="W113" i="3"/>
  <c r="W30" i="3"/>
  <c r="W134" i="3"/>
  <c r="W103" i="3"/>
  <c r="W80" i="3"/>
  <c r="W55" i="3"/>
  <c r="W128" i="3"/>
  <c r="W140" i="3"/>
  <c r="W135" i="3"/>
  <c r="W120" i="3"/>
  <c r="W139" i="3"/>
  <c r="W22" i="3"/>
  <c r="W45" i="3"/>
  <c r="W71" i="3"/>
  <c r="W34" i="3"/>
  <c r="W76" i="3"/>
  <c r="W147" i="3"/>
  <c r="W151" i="3"/>
  <c r="W66" i="3"/>
  <c r="W21" i="3"/>
  <c r="W33" i="3"/>
  <c r="W96" i="3"/>
  <c r="W111" i="3"/>
  <c r="W64" i="3"/>
  <c r="W75" i="3"/>
  <c r="W154" i="3"/>
  <c r="W150" i="3"/>
  <c r="W104" i="3"/>
  <c r="W109" i="3"/>
  <c r="W23" i="3"/>
  <c r="W16" i="3"/>
  <c r="W57" i="3"/>
  <c r="W79" i="3"/>
  <c r="W8" i="3"/>
  <c r="W123" i="3"/>
  <c r="W97" i="3"/>
  <c r="W88" i="3"/>
  <c r="W40" i="3"/>
  <c r="W90" i="3"/>
  <c r="W32" i="3"/>
  <c r="W148" i="3"/>
  <c r="W72" i="3"/>
  <c r="W29" i="3"/>
  <c r="W50" i="3"/>
  <c r="W47" i="3"/>
  <c r="W132" i="3"/>
  <c r="W56" i="3"/>
  <c r="W74" i="3"/>
  <c r="W2" i="3"/>
  <c r="W99" i="3"/>
  <c r="M36" i="3"/>
  <c r="M51" i="3"/>
  <c r="M5" i="3"/>
  <c r="M41" i="3"/>
  <c r="M9" i="3"/>
  <c r="M28" i="3"/>
  <c r="M45" i="3"/>
  <c r="M37" i="3"/>
  <c r="M57" i="3"/>
  <c r="M24" i="3"/>
  <c r="M40" i="3"/>
  <c r="M12" i="3"/>
  <c r="M33" i="3"/>
  <c r="M47" i="3"/>
  <c r="M30" i="3"/>
  <c r="M26" i="3"/>
  <c r="M43" i="3"/>
  <c r="M58" i="3"/>
  <c r="M11" i="3"/>
  <c r="M4" i="3"/>
  <c r="M29" i="3"/>
  <c r="M34" i="3"/>
  <c r="M31" i="3"/>
  <c r="M55" i="3"/>
  <c r="M46" i="3"/>
  <c r="M25" i="3"/>
  <c r="M6" i="3"/>
  <c r="M18" i="3"/>
  <c r="M42" i="3"/>
  <c r="M35" i="3"/>
  <c r="M8" i="3"/>
  <c r="M22" i="3"/>
  <c r="M32" i="3"/>
  <c r="M2" i="3"/>
  <c r="M27" i="3"/>
  <c r="M53" i="3"/>
  <c r="M39" i="3"/>
  <c r="M52" i="3"/>
  <c r="M17" i="3"/>
  <c r="M19" i="3"/>
  <c r="M49" i="3"/>
  <c r="M10" i="3"/>
  <c r="M44" i="3"/>
  <c r="M60" i="3"/>
  <c r="M59" i="3"/>
  <c r="M56" i="3"/>
  <c r="M14" i="3"/>
  <c r="M13" i="3"/>
  <c r="M61" i="3"/>
  <c r="M23" i="3"/>
  <c r="M38" i="3"/>
  <c r="M3" i="3"/>
  <c r="M21" i="3"/>
  <c r="M20" i="3"/>
  <c r="M54" i="3"/>
  <c r="M50" i="3"/>
  <c r="M15" i="3"/>
  <c r="M48" i="3"/>
  <c r="M16" i="3"/>
  <c r="M7" i="3"/>
  <c r="H543" i="4"/>
  <c r="I543" i="4" s="1"/>
  <c r="C543" i="4"/>
  <c r="AM149" i="3"/>
  <c r="AM51" i="3"/>
  <c r="AM97" i="3"/>
  <c r="AM44" i="3"/>
  <c r="AM139" i="3"/>
  <c r="AM115" i="3"/>
  <c r="AM167" i="3"/>
  <c r="AM98" i="3"/>
  <c r="AM164" i="3"/>
  <c r="AM41" i="3"/>
  <c r="AM161" i="3"/>
  <c r="AM27" i="3"/>
  <c r="AM57" i="3"/>
  <c r="AM117" i="3"/>
  <c r="AM13" i="3"/>
  <c r="AM99" i="3"/>
  <c r="AM180" i="3"/>
  <c r="AM108" i="3"/>
  <c r="AM83" i="3"/>
  <c r="AM76" i="3"/>
  <c r="AM4" i="3"/>
  <c r="AM55" i="3"/>
  <c r="AM26" i="3"/>
  <c r="AM120" i="3"/>
  <c r="AM183" i="3"/>
  <c r="AM56" i="3"/>
  <c r="AM111" i="3"/>
  <c r="AM109" i="3"/>
  <c r="AM191" i="3"/>
  <c r="AM185" i="3"/>
  <c r="AM29" i="3"/>
  <c r="AM92" i="3"/>
  <c r="AM14" i="3"/>
  <c r="AM21" i="3"/>
  <c r="AM17" i="3"/>
  <c r="AM84" i="3"/>
  <c r="AM39" i="3"/>
  <c r="AM137" i="3"/>
  <c r="AM77" i="3"/>
  <c r="AM129" i="3"/>
  <c r="AM7" i="3"/>
  <c r="AM181" i="3"/>
  <c r="AM134" i="3"/>
  <c r="AM48" i="3"/>
  <c r="AM49" i="3"/>
  <c r="AM112" i="3"/>
  <c r="AM123" i="3"/>
  <c r="AM37" i="3"/>
  <c r="AM90" i="3"/>
  <c r="AM187" i="3"/>
  <c r="AM8" i="3"/>
  <c r="AM145" i="3"/>
  <c r="AM192" i="3"/>
  <c r="AM128" i="3"/>
  <c r="AM114" i="3"/>
  <c r="AM86" i="3"/>
  <c r="AM58" i="3"/>
  <c r="AM133" i="3"/>
  <c r="AM155" i="3"/>
  <c r="AM144" i="3"/>
  <c r="AM70" i="3"/>
  <c r="AM147" i="3"/>
  <c r="AM156" i="3"/>
  <c r="AM173" i="3"/>
  <c r="AM110" i="3"/>
  <c r="AM68" i="3"/>
  <c r="AM5" i="3"/>
  <c r="AM121" i="3"/>
  <c r="AM103" i="3"/>
  <c r="AM162" i="3"/>
  <c r="AM88" i="3"/>
  <c r="AM10" i="3"/>
  <c r="AM91" i="3"/>
  <c r="AM153" i="3"/>
  <c r="AM69" i="3"/>
  <c r="AM35" i="3"/>
  <c r="AM89" i="3"/>
  <c r="AM102" i="3"/>
  <c r="AM124" i="3"/>
  <c r="AM127" i="3"/>
  <c r="AM130" i="3"/>
  <c r="AM177" i="3"/>
  <c r="AM125" i="3"/>
  <c r="AM160" i="3"/>
  <c r="AM136" i="3"/>
  <c r="AM42" i="3"/>
  <c r="AM34" i="3"/>
  <c r="AM189" i="3"/>
  <c r="AM141" i="3"/>
  <c r="AM158" i="3"/>
  <c r="AM53" i="3"/>
  <c r="AM182" i="3"/>
  <c r="AM54" i="3"/>
  <c r="AM142" i="3"/>
  <c r="AM24" i="3"/>
  <c r="AM9" i="3"/>
  <c r="AM154" i="3"/>
  <c r="AM65" i="3"/>
  <c r="AM126" i="3"/>
  <c r="AM16" i="3"/>
  <c r="AM71" i="3"/>
  <c r="AM93" i="3"/>
  <c r="AM45" i="3"/>
  <c r="AM132" i="3"/>
  <c r="AM119" i="3"/>
  <c r="AM157" i="3"/>
  <c r="AM176" i="3"/>
  <c r="AM11" i="3"/>
  <c r="AM107" i="3"/>
  <c r="AM12" i="3"/>
  <c r="AM131" i="3"/>
  <c r="AM46" i="3"/>
  <c r="AM174" i="3"/>
  <c r="AM152" i="3"/>
  <c r="AM175" i="3"/>
  <c r="AM166" i="3"/>
  <c r="AM31" i="3"/>
  <c r="AM106" i="3"/>
  <c r="AM171" i="3"/>
  <c r="AM40" i="3"/>
  <c r="AM23" i="3"/>
  <c r="AM19" i="3"/>
  <c r="AM32" i="3"/>
  <c r="AM143" i="3"/>
  <c r="AM38" i="3"/>
  <c r="AM33" i="3"/>
  <c r="AM3" i="3"/>
  <c r="AM78" i="3"/>
  <c r="AM168" i="3"/>
  <c r="AM47" i="3"/>
  <c r="AM146" i="3"/>
  <c r="AM81" i="3"/>
  <c r="AM72" i="3"/>
  <c r="AM101" i="3"/>
  <c r="AM186" i="3"/>
  <c r="AM73" i="3"/>
  <c r="AM61" i="3"/>
  <c r="AM36" i="3"/>
  <c r="AM190" i="3"/>
  <c r="AM67" i="3"/>
  <c r="AM30" i="3"/>
  <c r="AM178" i="3"/>
  <c r="AM113" i="3"/>
  <c r="AM74" i="3"/>
  <c r="AM66" i="3"/>
  <c r="AM94" i="3"/>
  <c r="AM59" i="3"/>
  <c r="AM75" i="3"/>
  <c r="AM64" i="3"/>
  <c r="AM85" i="3"/>
  <c r="AM150" i="3"/>
  <c r="AM170" i="3"/>
  <c r="AM52" i="3"/>
  <c r="AM184" i="3"/>
  <c r="AM179" i="3"/>
  <c r="AM25" i="3"/>
  <c r="AM95" i="3"/>
  <c r="AM6" i="3"/>
  <c r="AM43" i="3"/>
  <c r="AM148" i="3"/>
  <c r="AM82" i="3"/>
  <c r="AM151" i="3"/>
  <c r="AM28" i="3"/>
  <c r="AM135" i="3"/>
  <c r="AM63" i="3"/>
  <c r="AM80" i="3"/>
  <c r="AM2" i="3"/>
  <c r="AM60" i="3"/>
  <c r="AM140" i="3"/>
  <c r="AM18" i="3"/>
  <c r="AM118" i="3"/>
  <c r="AM122" i="3"/>
  <c r="AM20" i="3"/>
  <c r="AM22" i="3"/>
  <c r="AM105" i="3"/>
  <c r="AM138" i="3"/>
  <c r="AM159" i="3"/>
  <c r="AM100" i="3"/>
  <c r="AM165" i="3"/>
  <c r="AM50" i="3"/>
  <c r="AM172" i="3"/>
  <c r="AM62" i="3"/>
  <c r="AM163" i="3"/>
  <c r="AM169" i="3"/>
  <c r="AM15" i="3"/>
  <c r="AM104" i="3"/>
  <c r="AM96" i="3"/>
  <c r="AM87" i="3"/>
  <c r="AM79" i="3"/>
  <c r="AM116" i="3"/>
  <c r="AM188" i="3"/>
  <c r="B62" i="4" l="1"/>
  <c r="C54" i="4"/>
  <c r="D51" i="4"/>
  <c r="G51" i="4" s="1"/>
  <c r="E83" i="4"/>
  <c r="F83" i="4" s="1"/>
  <c r="E70" i="4"/>
  <c r="F70" i="4" s="1"/>
  <c r="C87" i="4"/>
  <c r="C81" i="4"/>
  <c r="C84" i="4"/>
  <c r="D92" i="4"/>
  <c r="G92" i="4" s="1"/>
  <c r="D87" i="4"/>
  <c r="G87" i="4" s="1"/>
  <c r="C90" i="4"/>
  <c r="D62" i="4"/>
  <c r="G62" i="4" s="1"/>
  <c r="E34" i="4"/>
  <c r="F34" i="4" s="1"/>
  <c r="B40" i="4"/>
  <c r="C48" i="4"/>
  <c r="D56" i="4"/>
  <c r="G56" i="4" s="1"/>
  <c r="C37" i="4"/>
  <c r="C59" i="4"/>
  <c r="B92" i="4"/>
  <c r="C71" i="4"/>
  <c r="B39" i="4"/>
  <c r="D79" i="4"/>
  <c r="G79" i="4" s="1"/>
  <c r="B85" i="4"/>
  <c r="E90" i="4"/>
  <c r="F90" i="4" s="1"/>
  <c r="C40" i="4"/>
  <c r="D48" i="4"/>
  <c r="G48" i="4" s="1"/>
  <c r="C51" i="4"/>
  <c r="B54" i="4"/>
  <c r="D78" i="4"/>
  <c r="G78" i="4" s="1"/>
  <c r="C62" i="4"/>
  <c r="C49" i="4"/>
  <c r="E59" i="4"/>
  <c r="F59" i="4" s="1"/>
  <c r="C76" i="4"/>
  <c r="C82" i="4"/>
  <c r="E92" i="4"/>
  <c r="F92" i="4" s="1"/>
  <c r="D54" i="4"/>
  <c r="G54" i="4" s="1"/>
  <c r="B63" i="4"/>
  <c r="B79" i="4"/>
  <c r="C73" i="4"/>
  <c r="E46" i="4"/>
  <c r="F46" i="4" s="1"/>
  <c r="E81" i="4"/>
  <c r="F81" i="4" s="1"/>
  <c r="B82" i="4"/>
  <c r="E87" i="4"/>
  <c r="F87" i="4" s="1"/>
  <c r="D90" i="4"/>
  <c r="G90" i="4" s="1"/>
  <c r="D37" i="4"/>
  <c r="G37" i="4" s="1"/>
  <c r="E45" i="4"/>
  <c r="F45" i="4" s="1"/>
  <c r="B51" i="4"/>
  <c r="E56" i="4"/>
  <c r="F56" i="4" s="1"/>
  <c r="D59" i="4"/>
  <c r="G59" i="4" s="1"/>
  <c r="E75" i="4"/>
  <c r="F75" i="4" s="1"/>
  <c r="B48" i="4"/>
  <c r="C67" i="4"/>
  <c r="B33" i="4"/>
  <c r="C92" i="4"/>
  <c r="E42" i="4"/>
  <c r="F42" i="4" s="1"/>
  <c r="D64" i="4"/>
  <c r="G64" i="4" s="1"/>
  <c r="B70" i="4"/>
  <c r="D68" i="4"/>
  <c r="G68" i="4" s="1"/>
  <c r="E62" i="4"/>
  <c r="F62" i="4" s="1"/>
  <c r="D49" i="4"/>
  <c r="G49" i="4" s="1"/>
  <c r="C65" i="4"/>
  <c r="E44" i="4"/>
  <c r="F44" i="4" s="1"/>
  <c r="E33" i="4"/>
  <c r="F33" i="4" s="1"/>
  <c r="B34" i="4"/>
  <c r="E39" i="4"/>
  <c r="F39" i="4" s="1"/>
  <c r="D42" i="4"/>
  <c r="G42" i="4" s="1"/>
  <c r="C45" i="4"/>
  <c r="D53" i="4"/>
  <c r="G53" i="4" s="1"/>
  <c r="E61" i="4"/>
  <c r="F61" i="4" s="1"/>
  <c r="B67" i="4"/>
  <c r="E72" i="4"/>
  <c r="F72" i="4" s="1"/>
  <c r="D75" i="4"/>
  <c r="G75" i="4" s="1"/>
  <c r="J543" i="4"/>
  <c r="C33" i="4"/>
  <c r="C70" i="4"/>
  <c r="B57" i="4"/>
  <c r="C79" i="4"/>
  <c r="B52" i="4"/>
  <c r="C36" i="4"/>
  <c r="D39" i="4"/>
  <c r="G39" i="4" s="1"/>
  <c r="C42" i="4"/>
  <c r="B45" i="4"/>
  <c r="E50" i="4"/>
  <c r="F50" i="4" s="1"/>
  <c r="B56" i="4"/>
  <c r="C64" i="4"/>
  <c r="D72" i="4"/>
  <c r="G72" i="4" s="1"/>
  <c r="C75" i="4"/>
  <c r="B78" i="4"/>
  <c r="E89" i="4"/>
  <c r="F89" i="4" s="1"/>
  <c r="C53" i="4"/>
  <c r="E84" i="4"/>
  <c r="F84" i="4" s="1"/>
  <c r="C44" i="4"/>
  <c r="B53" i="4"/>
  <c r="C72" i="4"/>
  <c r="D80" i="4"/>
  <c r="G80" i="4" s="1"/>
  <c r="C83" i="4"/>
  <c r="C254" i="4"/>
  <c r="E251" i="4"/>
  <c r="F251" i="4" s="1"/>
  <c r="C246" i="4"/>
  <c r="E243" i="4"/>
  <c r="F243" i="4" s="1"/>
  <c r="C238" i="4"/>
  <c r="E235" i="4"/>
  <c r="F235" i="4" s="1"/>
  <c r="E256" i="4"/>
  <c r="F256" i="4" s="1"/>
  <c r="C251" i="4"/>
  <c r="E248" i="4"/>
  <c r="F248" i="4" s="1"/>
  <c r="C243" i="4"/>
  <c r="E240" i="4"/>
  <c r="F240" i="4" s="1"/>
  <c r="C235" i="4"/>
  <c r="E232" i="4"/>
  <c r="F232" i="4" s="1"/>
  <c r="C227" i="4"/>
  <c r="D256" i="4"/>
  <c r="G256" i="4" s="1"/>
  <c r="B251" i="4"/>
  <c r="D248" i="4"/>
  <c r="G248" i="4" s="1"/>
  <c r="B243" i="4"/>
  <c r="D240" i="4"/>
  <c r="G240" i="4" s="1"/>
  <c r="B235" i="4"/>
  <c r="D232" i="4"/>
  <c r="G232" i="4" s="1"/>
  <c r="B227" i="4"/>
  <c r="B248" i="4"/>
  <c r="E238" i="4"/>
  <c r="F238" i="4" s="1"/>
  <c r="B223" i="4"/>
  <c r="D220" i="4"/>
  <c r="G220" i="4" s="1"/>
  <c r="B215" i="4"/>
  <c r="D212" i="4"/>
  <c r="G212" i="4" s="1"/>
  <c r="B207" i="4"/>
  <c r="D204" i="4"/>
  <c r="G204" i="4" s="1"/>
  <c r="B199" i="4"/>
  <c r="D196" i="4"/>
  <c r="G196" i="4" s="1"/>
  <c r="B191" i="4"/>
  <c r="D188" i="4"/>
  <c r="G188" i="4" s="1"/>
  <c r="B183" i="4"/>
  <c r="D180" i="4"/>
  <c r="G180" i="4" s="1"/>
  <c r="B175" i="4"/>
  <c r="D172" i="4"/>
  <c r="G172" i="4" s="1"/>
  <c r="B167" i="4"/>
  <c r="D164" i="4"/>
  <c r="G164" i="4" s="1"/>
  <c r="D251" i="4"/>
  <c r="G251" i="4" s="1"/>
  <c r="E241" i="4"/>
  <c r="F241" i="4" s="1"/>
  <c r="D238" i="4"/>
  <c r="G238" i="4" s="1"/>
  <c r="E231" i="4"/>
  <c r="F231" i="4" s="1"/>
  <c r="E228" i="4"/>
  <c r="F228" i="4" s="1"/>
  <c r="E225" i="4"/>
  <c r="F225" i="4" s="1"/>
  <c r="C220" i="4"/>
  <c r="E217" i="4"/>
  <c r="F217" i="4" s="1"/>
  <c r="C212" i="4"/>
  <c r="E209" i="4"/>
  <c r="F209" i="4" s="1"/>
  <c r="C204" i="4"/>
  <c r="E201" i="4"/>
  <c r="F201" i="4" s="1"/>
  <c r="C196" i="4"/>
  <c r="E193" i="4"/>
  <c r="F193" i="4" s="1"/>
  <c r="C188" i="4"/>
  <c r="E185" i="4"/>
  <c r="F185" i="4" s="1"/>
  <c r="C180" i="4"/>
  <c r="E177" i="4"/>
  <c r="F177" i="4" s="1"/>
  <c r="C172" i="4"/>
  <c r="E169" i="4"/>
  <c r="F169" i="4" s="1"/>
  <c r="C164" i="4"/>
  <c r="E161" i="4"/>
  <c r="F161" i="4" s="1"/>
  <c r="C156" i="4"/>
  <c r="E153" i="4"/>
  <c r="F153" i="4" s="1"/>
  <c r="C148" i="4"/>
  <c r="E254" i="4"/>
  <c r="F254" i="4" s="1"/>
  <c r="E244" i="4"/>
  <c r="F244" i="4" s="1"/>
  <c r="D241" i="4"/>
  <c r="G241" i="4" s="1"/>
  <c r="B238" i="4"/>
  <c r="E234" i="4"/>
  <c r="F234" i="4" s="1"/>
  <c r="D231" i="4"/>
  <c r="G231" i="4" s="1"/>
  <c r="D228" i="4"/>
  <c r="G228" i="4" s="1"/>
  <c r="D225" i="4"/>
  <c r="G225" i="4" s="1"/>
  <c r="B220" i="4"/>
  <c r="D217" i="4"/>
  <c r="G217" i="4" s="1"/>
  <c r="B212" i="4"/>
  <c r="D209" i="4"/>
  <c r="G209" i="4" s="1"/>
  <c r="B204" i="4"/>
  <c r="D201" i="4"/>
  <c r="G201" i="4" s="1"/>
  <c r="D254" i="4"/>
  <c r="G254" i="4" s="1"/>
  <c r="E247" i="4"/>
  <c r="F247" i="4" s="1"/>
  <c r="D244" i="4"/>
  <c r="G244" i="4" s="1"/>
  <c r="C241" i="4"/>
  <c r="E237" i="4"/>
  <c r="F237" i="4" s="1"/>
  <c r="D234" i="4"/>
  <c r="G234" i="4" s="1"/>
  <c r="C231" i="4"/>
  <c r="C228" i="4"/>
  <c r="C225" i="4"/>
  <c r="E222" i="4"/>
  <c r="F222" i="4" s="1"/>
  <c r="C217" i="4"/>
  <c r="E214" i="4"/>
  <c r="F214" i="4" s="1"/>
  <c r="C209" i="4"/>
  <c r="E206" i="4"/>
  <c r="F206" i="4" s="1"/>
  <c r="C201" i="4"/>
  <c r="E198" i="4"/>
  <c r="F198" i="4" s="1"/>
  <c r="C193" i="4"/>
  <c r="E190" i="4"/>
  <c r="F190" i="4" s="1"/>
  <c r="C185" i="4"/>
  <c r="E182" i="4"/>
  <c r="F182" i="4" s="1"/>
  <c r="C177" i="4"/>
  <c r="E174" i="4"/>
  <c r="F174" i="4" s="1"/>
  <c r="C169" i="4"/>
  <c r="E166" i="4"/>
  <c r="F166" i="4" s="1"/>
  <c r="C161" i="4"/>
  <c r="E158" i="4"/>
  <c r="F158" i="4" s="1"/>
  <c r="C153" i="4"/>
  <c r="E150" i="4"/>
  <c r="F150" i="4" s="1"/>
  <c r="C145" i="4"/>
  <c r="E142" i="4"/>
  <c r="F142" i="4" s="1"/>
  <c r="B254" i="4"/>
  <c r="E250" i="4"/>
  <c r="F250" i="4" s="1"/>
  <c r="D247" i="4"/>
  <c r="G247" i="4" s="1"/>
  <c r="C244" i="4"/>
  <c r="B241" i="4"/>
  <c r="D237" i="4"/>
  <c r="G237" i="4" s="1"/>
  <c r="C234" i="4"/>
  <c r="B231" i="4"/>
  <c r="B228" i="4"/>
  <c r="B225" i="4"/>
  <c r="D222" i="4"/>
  <c r="G222" i="4" s="1"/>
  <c r="B217" i="4"/>
  <c r="D214" i="4"/>
  <c r="G214" i="4" s="1"/>
  <c r="B209" i="4"/>
  <c r="D206" i="4"/>
  <c r="G206" i="4" s="1"/>
  <c r="B201" i="4"/>
  <c r="D198" i="4"/>
  <c r="G198" i="4" s="1"/>
  <c r="B193" i="4"/>
  <c r="D190" i="4"/>
  <c r="G190" i="4" s="1"/>
  <c r="B185" i="4"/>
  <c r="D182" i="4"/>
  <c r="G182" i="4" s="1"/>
  <c r="B177" i="4"/>
  <c r="D174" i="4"/>
  <c r="G174" i="4" s="1"/>
  <c r="B169" i="4"/>
  <c r="D166" i="4"/>
  <c r="G166" i="4" s="1"/>
  <c r="B161" i="4"/>
  <c r="D158" i="4"/>
  <c r="G158" i="4" s="1"/>
  <c r="B153" i="4"/>
  <c r="D150" i="4"/>
  <c r="G150" i="4" s="1"/>
  <c r="E253" i="4"/>
  <c r="F253" i="4" s="1"/>
  <c r="D250" i="4"/>
  <c r="G250" i="4" s="1"/>
  <c r="C247" i="4"/>
  <c r="B244" i="4"/>
  <c r="C237" i="4"/>
  <c r="B234" i="4"/>
  <c r="C222" i="4"/>
  <c r="E219" i="4"/>
  <c r="F219" i="4" s="1"/>
  <c r="C214" i="4"/>
  <c r="E211" i="4"/>
  <c r="F211" i="4" s="1"/>
  <c r="C206" i="4"/>
  <c r="E203" i="4"/>
  <c r="F203" i="4" s="1"/>
  <c r="C198" i="4"/>
  <c r="E195" i="4"/>
  <c r="F195" i="4" s="1"/>
  <c r="C190" i="4"/>
  <c r="E187" i="4"/>
  <c r="F187" i="4" s="1"/>
  <c r="C182" i="4"/>
  <c r="E179" i="4"/>
  <c r="F179" i="4" s="1"/>
  <c r="C174" i="4"/>
  <c r="E171" i="4"/>
  <c r="F171" i="4" s="1"/>
  <c r="C166" i="4"/>
  <c r="E163" i="4"/>
  <c r="F163" i="4" s="1"/>
  <c r="D253" i="4"/>
  <c r="G253" i="4" s="1"/>
  <c r="C250" i="4"/>
  <c r="B247" i="4"/>
  <c r="C240" i="4"/>
  <c r="B237" i="4"/>
  <c r="B222" i="4"/>
  <c r="D219" i="4"/>
  <c r="G219" i="4" s="1"/>
  <c r="B214" i="4"/>
  <c r="D211" i="4"/>
  <c r="G211" i="4" s="1"/>
  <c r="B206" i="4"/>
  <c r="D203" i="4"/>
  <c r="G203" i="4" s="1"/>
  <c r="B198" i="4"/>
  <c r="D195" i="4"/>
  <c r="G195" i="4" s="1"/>
  <c r="B190" i="4"/>
  <c r="D187" i="4"/>
  <c r="G187" i="4" s="1"/>
  <c r="B182" i="4"/>
  <c r="D179" i="4"/>
  <c r="G179" i="4" s="1"/>
  <c r="B174" i="4"/>
  <c r="D171" i="4"/>
  <c r="G171" i="4" s="1"/>
  <c r="B166" i="4"/>
  <c r="D163" i="4"/>
  <c r="G163" i="4" s="1"/>
  <c r="C253" i="4"/>
  <c r="B250" i="4"/>
  <c r="B240" i="4"/>
  <c r="E230" i="4"/>
  <c r="F230" i="4" s="1"/>
  <c r="E227" i="4"/>
  <c r="F227" i="4" s="1"/>
  <c r="E224" i="4"/>
  <c r="F224" i="4" s="1"/>
  <c r="C219" i="4"/>
  <c r="E216" i="4"/>
  <c r="F216" i="4" s="1"/>
  <c r="C211" i="4"/>
  <c r="E208" i="4"/>
  <c r="F208" i="4" s="1"/>
  <c r="C203" i="4"/>
  <c r="C256" i="4"/>
  <c r="B253" i="4"/>
  <c r="D243" i="4"/>
  <c r="G243" i="4" s="1"/>
  <c r="E233" i="4"/>
  <c r="F233" i="4" s="1"/>
  <c r="D230" i="4"/>
  <c r="G230" i="4" s="1"/>
  <c r="D227" i="4"/>
  <c r="G227" i="4" s="1"/>
  <c r="B256" i="4"/>
  <c r="E249" i="4"/>
  <c r="F249" i="4" s="1"/>
  <c r="D242" i="4"/>
  <c r="G242" i="4" s="1"/>
  <c r="E221" i="4"/>
  <c r="F221" i="4" s="1"/>
  <c r="C216" i="4"/>
  <c r="E205" i="4"/>
  <c r="F205" i="4" s="1"/>
  <c r="D200" i="4"/>
  <c r="G200" i="4" s="1"/>
  <c r="B192" i="4"/>
  <c r="B188" i="4"/>
  <c r="B179" i="4"/>
  <c r="D175" i="4"/>
  <c r="G175" i="4" s="1"/>
  <c r="D162" i="4"/>
  <c r="G162" i="4" s="1"/>
  <c r="C158" i="4"/>
  <c r="B155" i="4"/>
  <c r="E145" i="4"/>
  <c r="F145" i="4" s="1"/>
  <c r="C137" i="4"/>
  <c r="E134" i="4"/>
  <c r="F134" i="4" s="1"/>
  <c r="C129" i="4"/>
  <c r="E126" i="4"/>
  <c r="F126" i="4" s="1"/>
  <c r="C121" i="4"/>
  <c r="E118" i="4"/>
  <c r="F118" i="4" s="1"/>
  <c r="C113" i="4"/>
  <c r="E110" i="4"/>
  <c r="F110" i="4" s="1"/>
  <c r="C105" i="4"/>
  <c r="E102" i="4"/>
  <c r="F102" i="4" s="1"/>
  <c r="C97" i="4"/>
  <c r="D249" i="4"/>
  <c r="G249" i="4" s="1"/>
  <c r="C242" i="4"/>
  <c r="D235" i="4"/>
  <c r="G235" i="4" s="1"/>
  <c r="D221" i="4"/>
  <c r="G221" i="4" s="1"/>
  <c r="B216" i="4"/>
  <c r="D205" i="4"/>
  <c r="G205" i="4" s="1"/>
  <c r="C200" i="4"/>
  <c r="E196" i="4"/>
  <c r="F196" i="4" s="1"/>
  <c r="C187" i="4"/>
  <c r="E183" i="4"/>
  <c r="F183" i="4" s="1"/>
  <c r="C175" i="4"/>
  <c r="E170" i="4"/>
  <c r="F170" i="4" s="1"/>
  <c r="C162" i="4"/>
  <c r="B158" i="4"/>
  <c r="E148" i="4"/>
  <c r="F148" i="4" s="1"/>
  <c r="D145" i="4"/>
  <c r="G145" i="4" s="1"/>
  <c r="D142" i="4"/>
  <c r="G142" i="4" s="1"/>
  <c r="B137" i="4"/>
  <c r="D134" i="4"/>
  <c r="G134" i="4" s="1"/>
  <c r="B129" i="4"/>
  <c r="D126" i="4"/>
  <c r="G126" i="4" s="1"/>
  <c r="B121" i="4"/>
  <c r="D118" i="4"/>
  <c r="G118" i="4" s="1"/>
  <c r="B113" i="4"/>
  <c r="D110" i="4"/>
  <c r="G110" i="4" s="1"/>
  <c r="B105" i="4"/>
  <c r="D102" i="4"/>
  <c r="G102" i="4" s="1"/>
  <c r="B97" i="4"/>
  <c r="C249" i="4"/>
  <c r="B242" i="4"/>
  <c r="D233" i="4"/>
  <c r="G233" i="4" s="1"/>
  <c r="E226" i="4"/>
  <c r="F226" i="4" s="1"/>
  <c r="C221" i="4"/>
  <c r="E210" i="4"/>
  <c r="F210" i="4" s="1"/>
  <c r="C205" i="4"/>
  <c r="B200" i="4"/>
  <c r="B196" i="4"/>
  <c r="B187" i="4"/>
  <c r="D183" i="4"/>
  <c r="G183" i="4" s="1"/>
  <c r="D170" i="4"/>
  <c r="G170" i="4" s="1"/>
  <c r="B162" i="4"/>
  <c r="E151" i="4"/>
  <c r="F151" i="4" s="1"/>
  <c r="D148" i="4"/>
  <c r="G148" i="4" s="1"/>
  <c r="B145" i="4"/>
  <c r="C142" i="4"/>
  <c r="E139" i="4"/>
  <c r="F139" i="4" s="1"/>
  <c r="C134" i="4"/>
  <c r="E131" i="4"/>
  <c r="F131" i="4" s="1"/>
  <c r="C126" i="4"/>
  <c r="E123" i="4"/>
  <c r="F123" i="4" s="1"/>
  <c r="C118" i="4"/>
  <c r="E115" i="4"/>
  <c r="F115" i="4" s="1"/>
  <c r="C110" i="4"/>
  <c r="E107" i="4"/>
  <c r="F107" i="4" s="1"/>
  <c r="C102" i="4"/>
  <c r="E99" i="4"/>
  <c r="F99" i="4" s="1"/>
  <c r="B249" i="4"/>
  <c r="C233" i="4"/>
  <c r="D226" i="4"/>
  <c r="G226" i="4" s="1"/>
  <c r="B221" i="4"/>
  <c r="D210" i="4"/>
  <c r="G210" i="4" s="1"/>
  <c r="B205" i="4"/>
  <c r="C195" i="4"/>
  <c r="E191" i="4"/>
  <c r="F191" i="4" s="1"/>
  <c r="C183" i="4"/>
  <c r="E178" i="4"/>
  <c r="F178" i="4" s="1"/>
  <c r="C170" i="4"/>
  <c r="E165" i="4"/>
  <c r="F165" i="4" s="1"/>
  <c r="E154" i="4"/>
  <c r="F154" i="4" s="1"/>
  <c r="D151" i="4"/>
  <c r="G151" i="4" s="1"/>
  <c r="B148" i="4"/>
  <c r="B142" i="4"/>
  <c r="D139" i="4"/>
  <c r="G139" i="4" s="1"/>
  <c r="B134" i="4"/>
  <c r="D131" i="4"/>
  <c r="G131" i="4" s="1"/>
  <c r="B126" i="4"/>
  <c r="D123" i="4"/>
  <c r="G123" i="4" s="1"/>
  <c r="B118" i="4"/>
  <c r="D115" i="4"/>
  <c r="G115" i="4" s="1"/>
  <c r="B110" i="4"/>
  <c r="D107" i="4"/>
  <c r="G107" i="4" s="1"/>
  <c r="B102" i="4"/>
  <c r="D99" i="4"/>
  <c r="G99" i="4" s="1"/>
  <c r="E255" i="4"/>
  <c r="F255" i="4" s="1"/>
  <c r="B233" i="4"/>
  <c r="C226" i="4"/>
  <c r="E215" i="4"/>
  <c r="F215" i="4" s="1"/>
  <c r="C210" i="4"/>
  <c r="B195" i="4"/>
  <c r="D191" i="4"/>
  <c r="G191" i="4" s="1"/>
  <c r="D178" i="4"/>
  <c r="G178" i="4" s="1"/>
  <c r="B170" i="4"/>
  <c r="D165" i="4"/>
  <c r="G165" i="4" s="1"/>
  <c r="D161" i="4"/>
  <c r="G161" i="4" s="1"/>
  <c r="E157" i="4"/>
  <c r="F157" i="4" s="1"/>
  <c r="D154" i="4"/>
  <c r="G154" i="4" s="1"/>
  <c r="C151" i="4"/>
  <c r="E147" i="4"/>
  <c r="F147" i="4" s="1"/>
  <c r="C139" i="4"/>
  <c r="E136" i="4"/>
  <c r="F136" i="4" s="1"/>
  <c r="C131" i="4"/>
  <c r="E128" i="4"/>
  <c r="F128" i="4" s="1"/>
  <c r="C123" i="4"/>
  <c r="E120" i="4"/>
  <c r="F120" i="4" s="1"/>
  <c r="C115" i="4"/>
  <c r="E112" i="4"/>
  <c r="F112" i="4" s="1"/>
  <c r="C107" i="4"/>
  <c r="E104" i="4"/>
  <c r="F104" i="4" s="1"/>
  <c r="C99" i="4"/>
  <c r="E96" i="4"/>
  <c r="F96" i="4" s="1"/>
  <c r="D255" i="4"/>
  <c r="G255" i="4" s="1"/>
  <c r="C248" i="4"/>
  <c r="E239" i="4"/>
  <c r="F239" i="4" s="1"/>
  <c r="B226" i="4"/>
  <c r="D215" i="4"/>
  <c r="G215" i="4" s="1"/>
  <c r="B210" i="4"/>
  <c r="E199" i="4"/>
  <c r="F199" i="4" s="1"/>
  <c r="C191" i="4"/>
  <c r="E186" i="4"/>
  <c r="F186" i="4" s="1"/>
  <c r="C178" i="4"/>
  <c r="E173" i="4"/>
  <c r="F173" i="4" s="1"/>
  <c r="C165" i="4"/>
  <c r="E160" i="4"/>
  <c r="F160" i="4" s="1"/>
  <c r="D157" i="4"/>
  <c r="G157" i="4" s="1"/>
  <c r="C154" i="4"/>
  <c r="B151" i="4"/>
  <c r="D147" i="4"/>
  <c r="G147" i="4" s="1"/>
  <c r="E144" i="4"/>
  <c r="F144" i="4" s="1"/>
  <c r="B139" i="4"/>
  <c r="D136" i="4"/>
  <c r="G136" i="4" s="1"/>
  <c r="B131" i="4"/>
  <c r="D128" i="4"/>
  <c r="G128" i="4" s="1"/>
  <c r="B123" i="4"/>
  <c r="D120" i="4"/>
  <c r="G120" i="4" s="1"/>
  <c r="B115" i="4"/>
  <c r="D112" i="4"/>
  <c r="G112" i="4" s="1"/>
  <c r="B107" i="4"/>
  <c r="D104" i="4"/>
  <c r="G104" i="4" s="1"/>
  <c r="B99" i="4"/>
  <c r="D96" i="4"/>
  <c r="G96" i="4" s="1"/>
  <c r="AE3" i="3" s="1"/>
  <c r="C255" i="4"/>
  <c r="E246" i="4"/>
  <c r="F246" i="4" s="1"/>
  <c r="D239" i="4"/>
  <c r="G239" i="4" s="1"/>
  <c r="C232" i="4"/>
  <c r="E220" i="4"/>
  <c r="F220" i="4" s="1"/>
  <c r="C215" i="4"/>
  <c r="E204" i="4"/>
  <c r="F204" i="4" s="1"/>
  <c r="D199" i="4"/>
  <c r="G199" i="4" s="1"/>
  <c r="D186" i="4"/>
  <c r="G186" i="4" s="1"/>
  <c r="B178" i="4"/>
  <c r="D173" i="4"/>
  <c r="G173" i="4" s="1"/>
  <c r="D169" i="4"/>
  <c r="G169" i="4" s="1"/>
  <c r="B165" i="4"/>
  <c r="D160" i="4"/>
  <c r="G160" i="4" s="1"/>
  <c r="C157" i="4"/>
  <c r="B154" i="4"/>
  <c r="C147" i="4"/>
  <c r="D144" i="4"/>
  <c r="G144" i="4" s="1"/>
  <c r="E141" i="4"/>
  <c r="F141" i="4" s="1"/>
  <c r="C136" i="4"/>
  <c r="E133" i="4"/>
  <c r="F133" i="4" s="1"/>
  <c r="C128" i="4"/>
  <c r="E125" i="4"/>
  <c r="F125" i="4" s="1"/>
  <c r="C120" i="4"/>
  <c r="E117" i="4"/>
  <c r="F117" i="4" s="1"/>
  <c r="C112" i="4"/>
  <c r="E109" i="4"/>
  <c r="F109" i="4" s="1"/>
  <c r="C104" i="4"/>
  <c r="E101" i="4"/>
  <c r="F101" i="4" s="1"/>
  <c r="C96" i="4"/>
  <c r="B255" i="4"/>
  <c r="D246" i="4"/>
  <c r="G246" i="4" s="1"/>
  <c r="C239" i="4"/>
  <c r="B232" i="4"/>
  <c r="D224" i="4"/>
  <c r="G224" i="4" s="1"/>
  <c r="B219" i="4"/>
  <c r="D208" i="4"/>
  <c r="G208" i="4" s="1"/>
  <c r="B203" i="4"/>
  <c r="C199" i="4"/>
  <c r="E194" i="4"/>
  <c r="F194" i="4" s="1"/>
  <c r="C186" i="4"/>
  <c r="E181" i="4"/>
  <c r="F181" i="4" s="1"/>
  <c r="C173" i="4"/>
  <c r="E168" i="4"/>
  <c r="F168" i="4" s="1"/>
  <c r="C160" i="4"/>
  <c r="B157" i="4"/>
  <c r="C150" i="4"/>
  <c r="B147" i="4"/>
  <c r="C144" i="4"/>
  <c r="D141" i="4"/>
  <c r="G141" i="4" s="1"/>
  <c r="B136" i="4"/>
  <c r="D133" i="4"/>
  <c r="G133" i="4" s="1"/>
  <c r="B128" i="4"/>
  <c r="D125" i="4"/>
  <c r="G125" i="4" s="1"/>
  <c r="B120" i="4"/>
  <c r="D117" i="4"/>
  <c r="G117" i="4" s="1"/>
  <c r="B112" i="4"/>
  <c r="D109" i="4"/>
  <c r="G109" i="4" s="1"/>
  <c r="B104" i="4"/>
  <c r="D101" i="4"/>
  <c r="G101" i="4" s="1"/>
  <c r="B96" i="4"/>
  <c r="B246" i="4"/>
  <c r="B239" i="4"/>
  <c r="C224" i="4"/>
  <c r="E213" i="4"/>
  <c r="F213" i="4" s="1"/>
  <c r="C208" i="4"/>
  <c r="D194" i="4"/>
  <c r="G194" i="4" s="1"/>
  <c r="B186" i="4"/>
  <c r="D181" i="4"/>
  <c r="G181" i="4" s="1"/>
  <c r="D177" i="4"/>
  <c r="G177" i="4" s="1"/>
  <c r="B173" i="4"/>
  <c r="D168" i="4"/>
  <c r="G168" i="4" s="1"/>
  <c r="B160" i="4"/>
  <c r="B150" i="4"/>
  <c r="B144" i="4"/>
  <c r="C141" i="4"/>
  <c r="E138" i="4"/>
  <c r="F138" i="4" s="1"/>
  <c r="C133" i="4"/>
  <c r="E130" i="4"/>
  <c r="F130" i="4" s="1"/>
  <c r="C125" i="4"/>
  <c r="E122" i="4"/>
  <c r="F122" i="4" s="1"/>
  <c r="C117" i="4"/>
  <c r="E114" i="4"/>
  <c r="F114" i="4" s="1"/>
  <c r="C109" i="4"/>
  <c r="E106" i="4"/>
  <c r="F106" i="4" s="1"/>
  <c r="C101" i="4"/>
  <c r="E98" i="4"/>
  <c r="F98" i="4" s="1"/>
  <c r="E245" i="4"/>
  <c r="F245" i="4" s="1"/>
  <c r="C230" i="4"/>
  <c r="B224" i="4"/>
  <c r="D213" i="4"/>
  <c r="G213" i="4" s="1"/>
  <c r="B208" i="4"/>
  <c r="C194" i="4"/>
  <c r="E189" i="4"/>
  <c r="F189" i="4" s="1"/>
  <c r="C181" i="4"/>
  <c r="E176" i="4"/>
  <c r="F176" i="4" s="1"/>
  <c r="C168" i="4"/>
  <c r="E164" i="4"/>
  <c r="F164" i="4" s="1"/>
  <c r="D153" i="4"/>
  <c r="G153" i="4" s="1"/>
  <c r="B141" i="4"/>
  <c r="D138" i="4"/>
  <c r="G138" i="4" s="1"/>
  <c r="B133" i="4"/>
  <c r="D130" i="4"/>
  <c r="G130" i="4" s="1"/>
  <c r="B125" i="4"/>
  <c r="D122" i="4"/>
  <c r="G122" i="4" s="1"/>
  <c r="B117" i="4"/>
  <c r="D114" i="4"/>
  <c r="G114" i="4" s="1"/>
  <c r="B109" i="4"/>
  <c r="D106" i="4"/>
  <c r="G106" i="4" s="1"/>
  <c r="B101" i="4"/>
  <c r="D98" i="4"/>
  <c r="G98" i="4" s="1"/>
  <c r="E252" i="4"/>
  <c r="F252" i="4" s="1"/>
  <c r="D245" i="4"/>
  <c r="G245" i="4" s="1"/>
  <c r="B230" i="4"/>
  <c r="E218" i="4"/>
  <c r="F218" i="4" s="1"/>
  <c r="C213" i="4"/>
  <c r="E202" i="4"/>
  <c r="F202" i="4" s="1"/>
  <c r="B194" i="4"/>
  <c r="D252" i="4"/>
  <c r="G252" i="4" s="1"/>
  <c r="C245" i="4"/>
  <c r="E236" i="4"/>
  <c r="F236" i="4" s="1"/>
  <c r="E229" i="4"/>
  <c r="F229" i="4" s="1"/>
  <c r="D218" i="4"/>
  <c r="G218" i="4" s="1"/>
  <c r="B213" i="4"/>
  <c r="D202" i="4"/>
  <c r="G202" i="4" s="1"/>
  <c r="E197" i="4"/>
  <c r="F197" i="4" s="1"/>
  <c r="C189" i="4"/>
  <c r="E184" i="4"/>
  <c r="F184" i="4" s="1"/>
  <c r="C176" i="4"/>
  <c r="E172" i="4"/>
  <c r="F172" i="4" s="1"/>
  <c r="C163" i="4"/>
  <c r="E159" i="4"/>
  <c r="F159" i="4" s="1"/>
  <c r="D156" i="4"/>
  <c r="G156" i="4" s="1"/>
  <c r="E149" i="4"/>
  <c r="F149" i="4" s="1"/>
  <c r="D146" i="4"/>
  <c r="G146" i="4" s="1"/>
  <c r="C252" i="4"/>
  <c r="B245" i="4"/>
  <c r="D236" i="4"/>
  <c r="G236" i="4" s="1"/>
  <c r="D229" i="4"/>
  <c r="G229" i="4" s="1"/>
  <c r="E223" i="4"/>
  <c r="F223" i="4" s="1"/>
  <c r="C218" i="4"/>
  <c r="E207" i="4"/>
  <c r="F207" i="4" s="1"/>
  <c r="C202" i="4"/>
  <c r="D197" i="4"/>
  <c r="G197" i="4" s="1"/>
  <c r="D193" i="4"/>
  <c r="G193" i="4" s="1"/>
  <c r="B189" i="4"/>
  <c r="D184" i="4"/>
  <c r="G184" i="4" s="1"/>
  <c r="B176" i="4"/>
  <c r="B172" i="4"/>
  <c r="B163" i="4"/>
  <c r="D159" i="4"/>
  <c r="G159" i="4" s="1"/>
  <c r="B156" i="4"/>
  <c r="E152" i="4"/>
  <c r="F152" i="4" s="1"/>
  <c r="D149" i="4"/>
  <c r="G149" i="4" s="1"/>
  <c r="C146" i="4"/>
  <c r="D143" i="4"/>
  <c r="G143" i="4" s="1"/>
  <c r="E140" i="4"/>
  <c r="F140" i="4" s="1"/>
  <c r="C135" i="4"/>
  <c r="E132" i="4"/>
  <c r="F132" i="4" s="1"/>
  <c r="C127" i="4"/>
  <c r="E124" i="4"/>
  <c r="F124" i="4" s="1"/>
  <c r="C119" i="4"/>
  <c r="E116" i="4"/>
  <c r="F116" i="4" s="1"/>
  <c r="C111" i="4"/>
  <c r="E108" i="4"/>
  <c r="F108" i="4" s="1"/>
  <c r="C103" i="4"/>
  <c r="E100" i="4"/>
  <c r="F100" i="4" s="1"/>
  <c r="E192" i="4"/>
  <c r="F192" i="4" s="1"/>
  <c r="C159" i="4"/>
  <c r="B146" i="4"/>
  <c r="E137" i="4"/>
  <c r="F137" i="4" s="1"/>
  <c r="D129" i="4"/>
  <c r="G129" i="4" s="1"/>
  <c r="E119" i="4"/>
  <c r="F119" i="4" s="1"/>
  <c r="D111" i="4"/>
  <c r="G111" i="4" s="1"/>
  <c r="B103" i="4"/>
  <c r="B218" i="4"/>
  <c r="D192" i="4"/>
  <c r="G192" i="4" s="1"/>
  <c r="B159" i="4"/>
  <c r="D137" i="4"/>
  <c r="G137" i="4" s="1"/>
  <c r="E127" i="4"/>
  <c r="F127" i="4" s="1"/>
  <c r="D119" i="4"/>
  <c r="G119" i="4" s="1"/>
  <c r="B111" i="4"/>
  <c r="B252" i="4"/>
  <c r="C192" i="4"/>
  <c r="E175" i="4"/>
  <c r="F175" i="4" s="1"/>
  <c r="E135" i="4"/>
  <c r="F135" i="4" s="1"/>
  <c r="D127" i="4"/>
  <c r="G127" i="4" s="1"/>
  <c r="B119" i="4"/>
  <c r="D216" i="4"/>
  <c r="G216" i="4" s="1"/>
  <c r="D189" i="4"/>
  <c r="G189" i="4" s="1"/>
  <c r="E156" i="4"/>
  <c r="F156" i="4" s="1"/>
  <c r="D135" i="4"/>
  <c r="G135" i="4" s="1"/>
  <c r="B127" i="4"/>
  <c r="C171" i="4"/>
  <c r="E155" i="4"/>
  <c r="F155" i="4" s="1"/>
  <c r="E143" i="4"/>
  <c r="F143" i="4" s="1"/>
  <c r="B135" i="4"/>
  <c r="E212" i="4"/>
  <c r="F212" i="4" s="1"/>
  <c r="B171" i="4"/>
  <c r="D155" i="4"/>
  <c r="G155" i="4" s="1"/>
  <c r="C143" i="4"/>
  <c r="D100" i="4"/>
  <c r="G100" i="4" s="1"/>
  <c r="B211" i="4"/>
  <c r="E188" i="4"/>
  <c r="F188" i="4" s="1"/>
  <c r="C155" i="4"/>
  <c r="B143" i="4"/>
  <c r="D108" i="4"/>
  <c r="G108" i="4" s="1"/>
  <c r="C100" i="4"/>
  <c r="E242" i="4"/>
  <c r="F242" i="4" s="1"/>
  <c r="D207" i="4"/>
  <c r="G207" i="4" s="1"/>
  <c r="D185" i="4"/>
  <c r="G185" i="4" s="1"/>
  <c r="B168" i="4"/>
  <c r="D116" i="4"/>
  <c r="G116" i="4" s="1"/>
  <c r="C108" i="4"/>
  <c r="B100" i="4"/>
  <c r="C236" i="4"/>
  <c r="C207" i="4"/>
  <c r="C184" i="4"/>
  <c r="E167" i="4"/>
  <c r="F167" i="4" s="1"/>
  <c r="D152" i="4"/>
  <c r="G152" i="4" s="1"/>
  <c r="D124" i="4"/>
  <c r="G124" i="4" s="1"/>
  <c r="C116" i="4"/>
  <c r="B108" i="4"/>
  <c r="C98" i="4"/>
  <c r="B236" i="4"/>
  <c r="B184" i="4"/>
  <c r="D167" i="4"/>
  <c r="G167" i="4" s="1"/>
  <c r="C152" i="4"/>
  <c r="D132" i="4"/>
  <c r="G132" i="4" s="1"/>
  <c r="C124" i="4"/>
  <c r="B116" i="4"/>
  <c r="C106" i="4"/>
  <c r="B98" i="4"/>
  <c r="B202" i="4"/>
  <c r="C167" i="4"/>
  <c r="B152" i="4"/>
  <c r="D140" i="4"/>
  <c r="G140" i="4" s="1"/>
  <c r="C132" i="4"/>
  <c r="B124" i="4"/>
  <c r="C114" i="4"/>
  <c r="B106" i="4"/>
  <c r="C229" i="4"/>
  <c r="B181" i="4"/>
  <c r="B164" i="4"/>
  <c r="C140" i="4"/>
  <c r="B132" i="4"/>
  <c r="C122" i="4"/>
  <c r="B114" i="4"/>
  <c r="E97" i="4"/>
  <c r="F97" i="4" s="1"/>
  <c r="B229" i="4"/>
  <c r="E200" i="4"/>
  <c r="F200" i="4" s="1"/>
  <c r="E180" i="4"/>
  <c r="F180" i="4" s="1"/>
  <c r="C149" i="4"/>
  <c r="B140" i="4"/>
  <c r="C130" i="4"/>
  <c r="B122" i="4"/>
  <c r="E105" i="4"/>
  <c r="F105" i="4" s="1"/>
  <c r="D97" i="4"/>
  <c r="G97" i="4" s="1"/>
  <c r="C138" i="4"/>
  <c r="B138" i="4"/>
  <c r="D223" i="4"/>
  <c r="G223" i="4" s="1"/>
  <c r="C223" i="4"/>
  <c r="B130" i="4"/>
  <c r="C197" i="4"/>
  <c r="B197" i="4"/>
  <c r="E129" i="4"/>
  <c r="F129" i="4" s="1"/>
  <c r="B180" i="4"/>
  <c r="E121" i="4"/>
  <c r="F121" i="4" s="1"/>
  <c r="C179" i="4"/>
  <c r="D121" i="4"/>
  <c r="G121" i="4" s="1"/>
  <c r="D176" i="4"/>
  <c r="G176" i="4" s="1"/>
  <c r="E113" i="4"/>
  <c r="F113" i="4" s="1"/>
  <c r="D113" i="4"/>
  <c r="G113" i="4" s="1"/>
  <c r="E162" i="4"/>
  <c r="F162" i="4" s="1"/>
  <c r="E111" i="4"/>
  <c r="F111" i="4" s="1"/>
  <c r="D103" i="4"/>
  <c r="G103" i="4" s="1"/>
  <c r="AE24" i="3" s="1"/>
  <c r="B149" i="4"/>
  <c r="D105" i="4"/>
  <c r="G105" i="4" s="1"/>
  <c r="E146" i="4"/>
  <c r="F146" i="4" s="1"/>
  <c r="E103" i="4"/>
  <c r="F103" i="4" s="1"/>
  <c r="D36" i="4"/>
  <c r="G36" i="4" s="1"/>
  <c r="D34" i="4"/>
  <c r="G34" i="4" s="1"/>
  <c r="B59" i="4"/>
  <c r="D67" i="4"/>
  <c r="G67" i="4" s="1"/>
  <c r="E41" i="4"/>
  <c r="F41" i="4" s="1"/>
  <c r="D61" i="4"/>
  <c r="G61" i="4" s="1"/>
  <c r="D83" i="4"/>
  <c r="G83" i="4" s="1"/>
  <c r="E53" i="4"/>
  <c r="F53" i="4" s="1"/>
  <c r="E64" i="4"/>
  <c r="F64" i="4" s="1"/>
  <c r="B55" i="4"/>
  <c r="B37" i="4"/>
  <c r="D76" i="4"/>
  <c r="G76" i="4" s="1"/>
  <c r="B42" i="4"/>
  <c r="D50" i="4"/>
  <c r="G50" i="4" s="1"/>
  <c r="E69" i="4"/>
  <c r="F69" i="4" s="1"/>
  <c r="E80" i="4"/>
  <c r="F80" i="4" s="1"/>
  <c r="D41" i="4"/>
  <c r="G41" i="4" s="1"/>
  <c r="E38" i="4"/>
  <c r="F38" i="4" s="1"/>
  <c r="B50" i="4"/>
  <c r="C61" i="4"/>
  <c r="B83" i="4"/>
  <c r="D449" i="4"/>
  <c r="G449" i="4" s="1"/>
  <c r="B444" i="4"/>
  <c r="D441" i="4"/>
  <c r="G441" i="4" s="1"/>
  <c r="B436" i="4"/>
  <c r="D433" i="4"/>
  <c r="G433" i="4" s="1"/>
  <c r="B428" i="4"/>
  <c r="D425" i="4"/>
  <c r="G425" i="4" s="1"/>
  <c r="B420" i="4"/>
  <c r="D417" i="4"/>
  <c r="G417" i="4" s="1"/>
  <c r="B412" i="4"/>
  <c r="D409" i="4"/>
  <c r="G409" i="4" s="1"/>
  <c r="B404" i="4"/>
  <c r="D401" i="4"/>
  <c r="G401" i="4" s="1"/>
  <c r="B396" i="4"/>
  <c r="D393" i="4"/>
  <c r="G393" i="4" s="1"/>
  <c r="B388" i="4"/>
  <c r="D385" i="4"/>
  <c r="G385" i="4" s="1"/>
  <c r="B380" i="4"/>
  <c r="D377" i="4"/>
  <c r="G377" i="4" s="1"/>
  <c r="B372" i="4"/>
  <c r="D369" i="4"/>
  <c r="G369" i="4" s="1"/>
  <c r="B364" i="4"/>
  <c r="D361" i="4"/>
  <c r="G361" i="4" s="1"/>
  <c r="B356" i="4"/>
  <c r="D353" i="4"/>
  <c r="G353" i="4" s="1"/>
  <c r="B348" i="4"/>
  <c r="D345" i="4"/>
  <c r="G345" i="4" s="1"/>
  <c r="B340" i="4"/>
  <c r="D337" i="4"/>
  <c r="G337" i="4" s="1"/>
  <c r="B332" i="4"/>
  <c r="D329" i="4"/>
  <c r="G329" i="4" s="1"/>
  <c r="B324" i="4"/>
  <c r="D321" i="4"/>
  <c r="G321" i="4" s="1"/>
  <c r="B316" i="4"/>
  <c r="C449" i="4"/>
  <c r="E446" i="4"/>
  <c r="F446" i="4" s="1"/>
  <c r="C441" i="4"/>
  <c r="E438" i="4"/>
  <c r="F438" i="4" s="1"/>
  <c r="C433" i="4"/>
  <c r="E430" i="4"/>
  <c r="F430" i="4" s="1"/>
  <c r="C425" i="4"/>
  <c r="E422" i="4"/>
  <c r="F422" i="4" s="1"/>
  <c r="C417" i="4"/>
  <c r="E414" i="4"/>
  <c r="F414" i="4" s="1"/>
  <c r="C409" i="4"/>
  <c r="E406" i="4"/>
  <c r="F406" i="4" s="1"/>
  <c r="C401" i="4"/>
  <c r="E398" i="4"/>
  <c r="F398" i="4" s="1"/>
  <c r="C393" i="4"/>
  <c r="E390" i="4"/>
  <c r="F390" i="4" s="1"/>
  <c r="C385" i="4"/>
  <c r="E382" i="4"/>
  <c r="F382" i="4" s="1"/>
  <c r="C377" i="4"/>
  <c r="E374" i="4"/>
  <c r="F374" i="4" s="1"/>
  <c r="C369" i="4"/>
  <c r="E366" i="4"/>
  <c r="F366" i="4" s="1"/>
  <c r="C361" i="4"/>
  <c r="E358" i="4"/>
  <c r="F358" i="4" s="1"/>
  <c r="C353" i="4"/>
  <c r="E350" i="4"/>
  <c r="F350" i="4" s="1"/>
  <c r="C345" i="4"/>
  <c r="E342" i="4"/>
  <c r="F342" i="4" s="1"/>
  <c r="C337" i="4"/>
  <c r="E334" i="4"/>
  <c r="F334" i="4" s="1"/>
  <c r="C329" i="4"/>
  <c r="E326" i="4"/>
  <c r="F326" i="4" s="1"/>
  <c r="C321" i="4"/>
  <c r="E318" i="4"/>
  <c r="F318" i="4" s="1"/>
  <c r="C313" i="4"/>
  <c r="B449" i="4"/>
  <c r="D446" i="4"/>
  <c r="G446" i="4" s="1"/>
  <c r="B441" i="4"/>
  <c r="D438" i="4"/>
  <c r="G438" i="4" s="1"/>
  <c r="B433" i="4"/>
  <c r="D430" i="4"/>
  <c r="G430" i="4" s="1"/>
  <c r="B425" i="4"/>
  <c r="D422" i="4"/>
  <c r="G422" i="4" s="1"/>
  <c r="B417" i="4"/>
  <c r="D414" i="4"/>
  <c r="G414" i="4" s="1"/>
  <c r="B409" i="4"/>
  <c r="D406" i="4"/>
  <c r="G406" i="4" s="1"/>
  <c r="B401" i="4"/>
  <c r="D398" i="4"/>
  <c r="G398" i="4" s="1"/>
  <c r="B393" i="4"/>
  <c r="D390" i="4"/>
  <c r="G390" i="4" s="1"/>
  <c r="B385" i="4"/>
  <c r="D382" i="4"/>
  <c r="G382" i="4" s="1"/>
  <c r="B377" i="4"/>
  <c r="D374" i="4"/>
  <c r="G374" i="4" s="1"/>
  <c r="B369" i="4"/>
  <c r="D366" i="4"/>
  <c r="G366" i="4" s="1"/>
  <c r="B361" i="4"/>
  <c r="D358" i="4"/>
  <c r="G358" i="4" s="1"/>
  <c r="B353" i="4"/>
  <c r="D350" i="4"/>
  <c r="G350" i="4" s="1"/>
  <c r="B345" i="4"/>
  <c r="D342" i="4"/>
  <c r="G342" i="4" s="1"/>
  <c r="B337" i="4"/>
  <c r="D334" i="4"/>
  <c r="G334" i="4" s="1"/>
  <c r="B329" i="4"/>
  <c r="D326" i="4"/>
  <c r="G326" i="4" s="1"/>
  <c r="B321" i="4"/>
  <c r="D318" i="4"/>
  <c r="G318" i="4" s="1"/>
  <c r="C446" i="4"/>
  <c r="E443" i="4"/>
  <c r="F443" i="4" s="1"/>
  <c r="C438" i="4"/>
  <c r="E435" i="4"/>
  <c r="F435" i="4" s="1"/>
  <c r="C430" i="4"/>
  <c r="E427" i="4"/>
  <c r="F427" i="4" s="1"/>
  <c r="C422" i="4"/>
  <c r="E419" i="4"/>
  <c r="F419" i="4" s="1"/>
  <c r="C414" i="4"/>
  <c r="E411" i="4"/>
  <c r="F411" i="4" s="1"/>
  <c r="C406" i="4"/>
  <c r="E403" i="4"/>
  <c r="F403" i="4" s="1"/>
  <c r="C398" i="4"/>
  <c r="E395" i="4"/>
  <c r="F395" i="4" s="1"/>
  <c r="C390" i="4"/>
  <c r="E387" i="4"/>
  <c r="F387" i="4" s="1"/>
  <c r="C382" i="4"/>
  <c r="E379" i="4"/>
  <c r="F379" i="4" s="1"/>
  <c r="C374" i="4"/>
  <c r="E371" i="4"/>
  <c r="F371" i="4" s="1"/>
  <c r="C366" i="4"/>
  <c r="E363" i="4"/>
  <c r="F363" i="4" s="1"/>
  <c r="C358" i="4"/>
  <c r="E355" i="4"/>
  <c r="F355" i="4" s="1"/>
  <c r="C350" i="4"/>
  <c r="E347" i="4"/>
  <c r="F347" i="4" s="1"/>
  <c r="C342" i="4"/>
  <c r="E339" i="4"/>
  <c r="F339" i="4" s="1"/>
  <c r="C334" i="4"/>
  <c r="E331" i="4"/>
  <c r="F331" i="4" s="1"/>
  <c r="C326" i="4"/>
  <c r="E323" i="4"/>
  <c r="F323" i="4" s="1"/>
  <c r="C318" i="4"/>
  <c r="E315" i="4"/>
  <c r="F315" i="4" s="1"/>
  <c r="C447" i="4"/>
  <c r="E444" i="4"/>
  <c r="F444" i="4" s="1"/>
  <c r="C439" i="4"/>
  <c r="E436" i="4"/>
  <c r="F436" i="4" s="1"/>
  <c r="C431" i="4"/>
  <c r="E428" i="4"/>
  <c r="F428" i="4" s="1"/>
  <c r="C423" i="4"/>
  <c r="E420" i="4"/>
  <c r="F420" i="4" s="1"/>
  <c r="C415" i="4"/>
  <c r="E412" i="4"/>
  <c r="F412" i="4" s="1"/>
  <c r="C407" i="4"/>
  <c r="B447" i="4"/>
  <c r="D444" i="4"/>
  <c r="G444" i="4" s="1"/>
  <c r="B439" i="4"/>
  <c r="D436" i="4"/>
  <c r="G436" i="4" s="1"/>
  <c r="B431" i="4"/>
  <c r="D428" i="4"/>
  <c r="G428" i="4" s="1"/>
  <c r="B423" i="4"/>
  <c r="D420" i="4"/>
  <c r="G420" i="4" s="1"/>
  <c r="B415" i="4"/>
  <c r="D412" i="4"/>
  <c r="G412" i="4" s="1"/>
  <c r="B407" i="4"/>
  <c r="D404" i="4"/>
  <c r="G404" i="4" s="1"/>
  <c r="B399" i="4"/>
  <c r="D396" i="4"/>
  <c r="G396" i="4" s="1"/>
  <c r="B391" i="4"/>
  <c r="E449" i="4"/>
  <c r="F449" i="4" s="1"/>
  <c r="C444" i="4"/>
  <c r="E441" i="4"/>
  <c r="F441" i="4" s="1"/>
  <c r="C436" i="4"/>
  <c r="E433" i="4"/>
  <c r="F433" i="4" s="1"/>
  <c r="C428" i="4"/>
  <c r="E425" i="4"/>
  <c r="F425" i="4" s="1"/>
  <c r="C420" i="4"/>
  <c r="E417" i="4"/>
  <c r="F417" i="4" s="1"/>
  <c r="C412" i="4"/>
  <c r="E409" i="4"/>
  <c r="F409" i="4" s="1"/>
  <c r="C404" i="4"/>
  <c r="E401" i="4"/>
  <c r="F401" i="4" s="1"/>
  <c r="C396" i="4"/>
  <c r="E393" i="4"/>
  <c r="F393" i="4" s="1"/>
  <c r="B446" i="4"/>
  <c r="C442" i="4"/>
  <c r="C437" i="4"/>
  <c r="C432" i="4"/>
  <c r="C427" i="4"/>
  <c r="D423" i="4"/>
  <c r="G423" i="4" s="1"/>
  <c r="D418" i="4"/>
  <c r="G418" i="4" s="1"/>
  <c r="D413" i="4"/>
  <c r="G413" i="4" s="1"/>
  <c r="D408" i="4"/>
  <c r="G408" i="4" s="1"/>
  <c r="E404" i="4"/>
  <c r="F404" i="4" s="1"/>
  <c r="C395" i="4"/>
  <c r="E391" i="4"/>
  <c r="F391" i="4" s="1"/>
  <c r="D387" i="4"/>
  <c r="G387" i="4" s="1"/>
  <c r="B384" i="4"/>
  <c r="D373" i="4"/>
  <c r="G373" i="4" s="1"/>
  <c r="B370" i="4"/>
  <c r="B366" i="4"/>
  <c r="D359" i="4"/>
  <c r="G359" i="4" s="1"/>
  <c r="D355" i="4"/>
  <c r="G355" i="4" s="1"/>
  <c r="B352" i="4"/>
  <c r="D341" i="4"/>
  <c r="G341" i="4" s="1"/>
  <c r="B338" i="4"/>
  <c r="B334" i="4"/>
  <c r="D327" i="4"/>
  <c r="G327" i="4" s="1"/>
  <c r="D323" i="4"/>
  <c r="G323" i="4" s="1"/>
  <c r="B320" i="4"/>
  <c r="D313" i="4"/>
  <c r="G313" i="4" s="1"/>
  <c r="E310" i="4"/>
  <c r="F310" i="4" s="1"/>
  <c r="C305" i="4"/>
  <c r="E302" i="4"/>
  <c r="F302" i="4" s="1"/>
  <c r="C297" i="4"/>
  <c r="E294" i="4"/>
  <c r="F294" i="4" s="1"/>
  <c r="C289" i="4"/>
  <c r="E286" i="4"/>
  <c r="F286" i="4" s="1"/>
  <c r="C281" i="4"/>
  <c r="E278" i="4"/>
  <c r="F278" i="4" s="1"/>
  <c r="C273" i="4"/>
  <c r="E270" i="4"/>
  <c r="F270" i="4" s="1"/>
  <c r="C265" i="4"/>
  <c r="E262" i="4"/>
  <c r="F262" i="4" s="1"/>
  <c r="B442" i="4"/>
  <c r="B437" i="4"/>
  <c r="B432" i="4"/>
  <c r="B427" i="4"/>
  <c r="B422" i="4"/>
  <c r="C418" i="4"/>
  <c r="C413" i="4"/>
  <c r="C408" i="4"/>
  <c r="D403" i="4"/>
  <c r="G403" i="4" s="1"/>
  <c r="B395" i="4"/>
  <c r="D391" i="4"/>
  <c r="G391" i="4" s="1"/>
  <c r="C387" i="4"/>
  <c r="E380" i="4"/>
  <c r="F380" i="4" s="1"/>
  <c r="E376" i="4"/>
  <c r="F376" i="4" s="1"/>
  <c r="C373" i="4"/>
  <c r="E362" i="4"/>
  <c r="F362" i="4" s="1"/>
  <c r="C359" i="4"/>
  <c r="C355" i="4"/>
  <c r="E348" i="4"/>
  <c r="F348" i="4" s="1"/>
  <c r="E344" i="4"/>
  <c r="F344" i="4" s="1"/>
  <c r="C341" i="4"/>
  <c r="E330" i="4"/>
  <c r="F330" i="4" s="1"/>
  <c r="C327" i="4"/>
  <c r="C323" i="4"/>
  <c r="E316" i="4"/>
  <c r="F316" i="4" s="1"/>
  <c r="B313" i="4"/>
  <c r="D310" i="4"/>
  <c r="G310" i="4" s="1"/>
  <c r="B418" i="4"/>
  <c r="B413" i="4"/>
  <c r="B408" i="4"/>
  <c r="C403" i="4"/>
  <c r="E399" i="4"/>
  <c r="F399" i="4" s="1"/>
  <c r="C391" i="4"/>
  <c r="B387" i="4"/>
  <c r="D380" i="4"/>
  <c r="G380" i="4" s="1"/>
  <c r="D376" i="4"/>
  <c r="G376" i="4" s="1"/>
  <c r="B373" i="4"/>
  <c r="D362" i="4"/>
  <c r="G362" i="4" s="1"/>
  <c r="B359" i="4"/>
  <c r="B355" i="4"/>
  <c r="D348" i="4"/>
  <c r="G348" i="4" s="1"/>
  <c r="D344" i="4"/>
  <c r="G344" i="4" s="1"/>
  <c r="B341" i="4"/>
  <c r="D330" i="4"/>
  <c r="G330" i="4" s="1"/>
  <c r="B327" i="4"/>
  <c r="B323" i="4"/>
  <c r="D316" i="4"/>
  <c r="G316" i="4" s="1"/>
  <c r="C310" i="4"/>
  <c r="E307" i="4"/>
  <c r="F307" i="4" s="1"/>
  <c r="C302" i="4"/>
  <c r="E299" i="4"/>
  <c r="F299" i="4" s="1"/>
  <c r="C294" i="4"/>
  <c r="E291" i="4"/>
  <c r="F291" i="4" s="1"/>
  <c r="C286" i="4"/>
  <c r="E283" i="4"/>
  <c r="F283" i="4" s="1"/>
  <c r="C278" i="4"/>
  <c r="E275" i="4"/>
  <c r="F275" i="4" s="1"/>
  <c r="C270" i="4"/>
  <c r="E267" i="4"/>
  <c r="F267" i="4" s="1"/>
  <c r="C262" i="4"/>
  <c r="E450" i="4"/>
  <c r="F450" i="4" s="1"/>
  <c r="E445" i="4"/>
  <c r="F445" i="4" s="1"/>
  <c r="E440" i="4"/>
  <c r="F440" i="4" s="1"/>
  <c r="B403" i="4"/>
  <c r="D399" i="4"/>
  <c r="G399" i="4" s="1"/>
  <c r="E383" i="4"/>
  <c r="F383" i="4" s="1"/>
  <c r="C380" i="4"/>
  <c r="C376" i="4"/>
  <c r="E369" i="4"/>
  <c r="F369" i="4" s="1"/>
  <c r="E365" i="4"/>
  <c r="F365" i="4" s="1"/>
  <c r="C362" i="4"/>
  <c r="E351" i="4"/>
  <c r="F351" i="4" s="1"/>
  <c r="C348" i="4"/>
  <c r="C344" i="4"/>
  <c r="E337" i="4"/>
  <c r="F337" i="4" s="1"/>
  <c r="E333" i="4"/>
  <c r="F333" i="4" s="1"/>
  <c r="C330" i="4"/>
  <c r="E319" i="4"/>
  <c r="F319" i="4" s="1"/>
  <c r="C316" i="4"/>
  <c r="B310" i="4"/>
  <c r="D307" i="4"/>
  <c r="G307" i="4" s="1"/>
  <c r="B302" i="4"/>
  <c r="D299" i="4"/>
  <c r="G299" i="4" s="1"/>
  <c r="B294" i="4"/>
  <c r="D291" i="4"/>
  <c r="G291" i="4" s="1"/>
  <c r="B286" i="4"/>
  <c r="D283" i="4"/>
  <c r="G283" i="4" s="1"/>
  <c r="B278" i="4"/>
  <c r="D275" i="4"/>
  <c r="G275" i="4" s="1"/>
  <c r="B270" i="4"/>
  <c r="D267" i="4"/>
  <c r="G267" i="4" s="1"/>
  <c r="B262" i="4"/>
  <c r="C450" i="4"/>
  <c r="C445" i="4"/>
  <c r="C440" i="4"/>
  <c r="C435" i="4"/>
  <c r="E448" i="4"/>
  <c r="F448" i="4" s="1"/>
  <c r="C402" i="4"/>
  <c r="C448" i="4"/>
  <c r="C443" i="4"/>
  <c r="D439" i="4"/>
  <c r="G439" i="4" s="1"/>
  <c r="B410" i="4"/>
  <c r="B405" i="4"/>
  <c r="D400" i="4"/>
  <c r="G400" i="4" s="1"/>
  <c r="B392" i="4"/>
  <c r="E388" i="4"/>
  <c r="F388" i="4" s="1"/>
  <c r="E384" i="4"/>
  <c r="F384" i="4" s="1"/>
  <c r="C381" i="4"/>
  <c r="E370" i="4"/>
  <c r="F370" i="4" s="1"/>
  <c r="C367" i="4"/>
  <c r="C363" i="4"/>
  <c r="E356" i="4"/>
  <c r="F356" i="4" s="1"/>
  <c r="E352" i="4"/>
  <c r="F352" i="4" s="1"/>
  <c r="C349" i="4"/>
  <c r="E338" i="4"/>
  <c r="F338" i="4" s="1"/>
  <c r="C335" i="4"/>
  <c r="C331" i="4"/>
  <c r="E324" i="4"/>
  <c r="F324" i="4" s="1"/>
  <c r="E320" i="4"/>
  <c r="F320" i="4" s="1"/>
  <c r="C317" i="4"/>
  <c r="B311" i="4"/>
  <c r="D445" i="4"/>
  <c r="G445" i="4" s="1"/>
  <c r="D435" i="4"/>
  <c r="G435" i="4" s="1"/>
  <c r="B429" i="4"/>
  <c r="B421" i="4"/>
  <c r="E413" i="4"/>
  <c r="F413" i="4" s="1"/>
  <c r="E405" i="4"/>
  <c r="F405" i="4" s="1"/>
  <c r="B398" i="4"/>
  <c r="E392" i="4"/>
  <c r="F392" i="4" s="1"/>
  <c r="E377" i="4"/>
  <c r="F377" i="4" s="1"/>
  <c r="D371" i="4"/>
  <c r="G371" i="4" s="1"/>
  <c r="B367" i="4"/>
  <c r="E361" i="4"/>
  <c r="F361" i="4" s="1"/>
  <c r="B351" i="4"/>
  <c r="C346" i="4"/>
  <c r="E340" i="4"/>
  <c r="F340" i="4" s="1"/>
  <c r="B330" i="4"/>
  <c r="C325" i="4"/>
  <c r="C320" i="4"/>
  <c r="E300" i="4"/>
  <c r="F300" i="4" s="1"/>
  <c r="D297" i="4"/>
  <c r="G297" i="4" s="1"/>
  <c r="E290" i="4"/>
  <c r="F290" i="4" s="1"/>
  <c r="D287" i="4"/>
  <c r="G287" i="4" s="1"/>
  <c r="C284" i="4"/>
  <c r="E280" i="4"/>
  <c r="F280" i="4" s="1"/>
  <c r="D277" i="4"/>
  <c r="G277" i="4" s="1"/>
  <c r="C274" i="4"/>
  <c r="B271" i="4"/>
  <c r="C264" i="4"/>
  <c r="B261" i="4"/>
  <c r="B445" i="4"/>
  <c r="B435" i="4"/>
  <c r="D405" i="4"/>
  <c r="G405" i="4" s="1"/>
  <c r="D392" i="4"/>
  <c r="G392" i="4" s="1"/>
  <c r="E386" i="4"/>
  <c r="F386" i="4" s="1"/>
  <c r="B376" i="4"/>
  <c r="C371" i="4"/>
  <c r="D356" i="4"/>
  <c r="G356" i="4" s="1"/>
  <c r="B346" i="4"/>
  <c r="D340" i="4"/>
  <c r="G340" i="4" s="1"/>
  <c r="E335" i="4"/>
  <c r="F335" i="4" s="1"/>
  <c r="B325" i="4"/>
  <c r="D319" i="4"/>
  <c r="G319" i="4" s="1"/>
  <c r="E314" i="4"/>
  <c r="F314" i="4" s="1"/>
  <c r="E303" i="4"/>
  <c r="F303" i="4" s="1"/>
  <c r="D300" i="4"/>
  <c r="G300" i="4" s="1"/>
  <c r="B297" i="4"/>
  <c r="E293" i="4"/>
  <c r="F293" i="4" s="1"/>
  <c r="D290" i="4"/>
  <c r="G290" i="4" s="1"/>
  <c r="C287" i="4"/>
  <c r="B284" i="4"/>
  <c r="D280" i="4"/>
  <c r="G280" i="4" s="1"/>
  <c r="C277" i="4"/>
  <c r="B274" i="4"/>
  <c r="C267" i="4"/>
  <c r="B264" i="4"/>
  <c r="D427" i="4"/>
  <c r="G427" i="4" s="1"/>
  <c r="D419" i="4"/>
  <c r="G419" i="4" s="1"/>
  <c r="D411" i="4"/>
  <c r="G411" i="4" s="1"/>
  <c r="C405" i="4"/>
  <c r="C392" i="4"/>
  <c r="D386" i="4"/>
  <c r="G386" i="4" s="1"/>
  <c r="E381" i="4"/>
  <c r="F381" i="4" s="1"/>
  <c r="B371" i="4"/>
  <c r="D365" i="4"/>
  <c r="G365" i="4" s="1"/>
  <c r="E360" i="4"/>
  <c r="F360" i="4" s="1"/>
  <c r="C356" i="4"/>
  <c r="B350" i="4"/>
  <c r="C340" i="4"/>
  <c r="D335" i="4"/>
  <c r="G335" i="4" s="1"/>
  <c r="C319" i="4"/>
  <c r="D314" i="4"/>
  <c r="G314" i="4" s="1"/>
  <c r="E306" i="4"/>
  <c r="F306" i="4" s="1"/>
  <c r="D303" i="4"/>
  <c r="G303" i="4" s="1"/>
  <c r="C300" i="4"/>
  <c r="E296" i="4"/>
  <c r="F296" i="4" s="1"/>
  <c r="D293" i="4"/>
  <c r="G293" i="4" s="1"/>
  <c r="C290" i="4"/>
  <c r="B287" i="4"/>
  <c r="C280" i="4"/>
  <c r="B277" i="4"/>
  <c r="B267" i="4"/>
  <c r="D443" i="4"/>
  <c r="G443" i="4" s="1"/>
  <c r="E434" i="4"/>
  <c r="F434" i="4" s="1"/>
  <c r="E426" i="4"/>
  <c r="F426" i="4" s="1"/>
  <c r="C419" i="4"/>
  <c r="C411" i="4"/>
  <c r="E397" i="4"/>
  <c r="F397" i="4" s="1"/>
  <c r="C386" i="4"/>
  <c r="D381" i="4"/>
  <c r="G381" i="4" s="1"/>
  <c r="C365" i="4"/>
  <c r="D360" i="4"/>
  <c r="G360" i="4" s="1"/>
  <c r="E345" i="4"/>
  <c r="F345" i="4" s="1"/>
  <c r="D339" i="4"/>
  <c r="G339" i="4" s="1"/>
  <c r="B335" i="4"/>
  <c r="E329" i="4"/>
  <c r="F329" i="4" s="1"/>
  <c r="B319" i="4"/>
  <c r="C314" i="4"/>
  <c r="D306" i="4"/>
  <c r="G306" i="4" s="1"/>
  <c r="C303" i="4"/>
  <c r="B300" i="4"/>
  <c r="D296" i="4"/>
  <c r="G296" i="4" s="1"/>
  <c r="C293" i="4"/>
  <c r="B290" i="4"/>
  <c r="C283" i="4"/>
  <c r="B280" i="4"/>
  <c r="D270" i="4"/>
  <c r="G270" i="4" s="1"/>
  <c r="E260" i="4"/>
  <c r="F260" i="4" s="1"/>
  <c r="B443" i="4"/>
  <c r="D434" i="4"/>
  <c r="G434" i="4" s="1"/>
  <c r="D426" i="4"/>
  <c r="G426" i="4" s="1"/>
  <c r="B419" i="4"/>
  <c r="B411" i="4"/>
  <c r="D397" i="4"/>
  <c r="G397" i="4" s="1"/>
  <c r="B386" i="4"/>
  <c r="B381" i="4"/>
  <c r="E375" i="4"/>
  <c r="F375" i="4" s="1"/>
  <c r="B365" i="4"/>
  <c r="C360" i="4"/>
  <c r="E354" i="4"/>
  <c r="F354" i="4" s="1"/>
  <c r="B344" i="4"/>
  <c r="C339" i="4"/>
  <c r="D324" i="4"/>
  <c r="G324" i="4" s="1"/>
  <c r="B314" i="4"/>
  <c r="E309" i="4"/>
  <c r="F309" i="4" s="1"/>
  <c r="C306" i="4"/>
  <c r="B303" i="4"/>
  <c r="C296" i="4"/>
  <c r="B293" i="4"/>
  <c r="B283" i="4"/>
  <c r="E273" i="4"/>
  <c r="F273" i="4" s="1"/>
  <c r="E263" i="4"/>
  <c r="F263" i="4" s="1"/>
  <c r="D260" i="4"/>
  <c r="G260" i="4" s="1"/>
  <c r="AU3" i="3" s="1"/>
  <c r="C434" i="4"/>
  <c r="C426" i="4"/>
  <c r="C397" i="4"/>
  <c r="B390" i="4"/>
  <c r="D375" i="4"/>
  <c r="G375" i="4" s="1"/>
  <c r="D370" i="4"/>
  <c r="G370" i="4" s="1"/>
  <c r="B360" i="4"/>
  <c r="D354" i="4"/>
  <c r="G354" i="4" s="1"/>
  <c r="E349" i="4"/>
  <c r="F349" i="4" s="1"/>
  <c r="B339" i="4"/>
  <c r="D333" i="4"/>
  <c r="G333" i="4" s="1"/>
  <c r="E328" i="4"/>
  <c r="F328" i="4" s="1"/>
  <c r="C324" i="4"/>
  <c r="B318" i="4"/>
  <c r="D309" i="4"/>
  <c r="G309" i="4" s="1"/>
  <c r="B306" i="4"/>
  <c r="C299" i="4"/>
  <c r="B296" i="4"/>
  <c r="D286" i="4"/>
  <c r="G286" i="4" s="1"/>
  <c r="E276" i="4"/>
  <c r="F276" i="4" s="1"/>
  <c r="D273" i="4"/>
  <c r="G273" i="4" s="1"/>
  <c r="E266" i="4"/>
  <c r="F266" i="4" s="1"/>
  <c r="D263" i="4"/>
  <c r="G263" i="4" s="1"/>
  <c r="C260" i="4"/>
  <c r="E442" i="4"/>
  <c r="F442" i="4" s="1"/>
  <c r="B434" i="4"/>
  <c r="B426" i="4"/>
  <c r="E418" i="4"/>
  <c r="F418" i="4" s="1"/>
  <c r="E410" i="4"/>
  <c r="F410" i="4" s="1"/>
  <c r="B397" i="4"/>
  <c r="D379" i="4"/>
  <c r="G379" i="4" s="1"/>
  <c r="C375" i="4"/>
  <c r="C370" i="4"/>
  <c r="C354" i="4"/>
  <c r="D349" i="4"/>
  <c r="G349" i="4" s="1"/>
  <c r="C333" i="4"/>
  <c r="D328" i="4"/>
  <c r="G328" i="4" s="1"/>
  <c r="E313" i="4"/>
  <c r="F313" i="4" s="1"/>
  <c r="C309" i="4"/>
  <c r="B299" i="4"/>
  <c r="E289" i="4"/>
  <c r="F289" i="4" s="1"/>
  <c r="E279" i="4"/>
  <c r="F279" i="4" s="1"/>
  <c r="D276" i="4"/>
  <c r="G276" i="4" s="1"/>
  <c r="B273" i="4"/>
  <c r="E269" i="4"/>
  <c r="F269" i="4" s="1"/>
  <c r="D266" i="4"/>
  <c r="G266" i="4" s="1"/>
  <c r="C263" i="4"/>
  <c r="B260" i="4"/>
  <c r="D442" i="4"/>
  <c r="G442" i="4" s="1"/>
  <c r="E432" i="4"/>
  <c r="F432" i="4" s="1"/>
  <c r="E424" i="4"/>
  <c r="F424" i="4" s="1"/>
  <c r="E416" i="4"/>
  <c r="F416" i="4" s="1"/>
  <c r="D410" i="4"/>
  <c r="G410" i="4" s="1"/>
  <c r="E402" i="4"/>
  <c r="F402" i="4" s="1"/>
  <c r="E385" i="4"/>
  <c r="F385" i="4" s="1"/>
  <c r="C379" i="4"/>
  <c r="B375" i="4"/>
  <c r="E364" i="4"/>
  <c r="F364" i="4" s="1"/>
  <c r="E359" i="4"/>
  <c r="F359" i="4" s="1"/>
  <c r="B354" i="4"/>
  <c r="B349" i="4"/>
  <c r="E343" i="4"/>
  <c r="F343" i="4" s="1"/>
  <c r="B333" i="4"/>
  <c r="C328" i="4"/>
  <c r="E322" i="4"/>
  <c r="F322" i="4" s="1"/>
  <c r="E312" i="4"/>
  <c r="F312" i="4" s="1"/>
  <c r="B309" i="4"/>
  <c r="D302" i="4"/>
  <c r="G302" i="4" s="1"/>
  <c r="E292" i="4"/>
  <c r="F292" i="4" s="1"/>
  <c r="D289" i="4"/>
  <c r="G289" i="4" s="1"/>
  <c r="E282" i="4"/>
  <c r="F282" i="4" s="1"/>
  <c r="D279" i="4"/>
  <c r="G279" i="4" s="1"/>
  <c r="C276" i="4"/>
  <c r="E272" i="4"/>
  <c r="F272" i="4" s="1"/>
  <c r="D269" i="4"/>
  <c r="G269" i="4" s="1"/>
  <c r="C266" i="4"/>
  <c r="B263" i="4"/>
  <c r="D450" i="4"/>
  <c r="G450" i="4" s="1"/>
  <c r="D440" i="4"/>
  <c r="G440" i="4" s="1"/>
  <c r="D432" i="4"/>
  <c r="G432" i="4" s="1"/>
  <c r="D424" i="4"/>
  <c r="G424" i="4" s="1"/>
  <c r="D416" i="4"/>
  <c r="G416" i="4" s="1"/>
  <c r="C410" i="4"/>
  <c r="D402" i="4"/>
  <c r="G402" i="4" s="1"/>
  <c r="E396" i="4"/>
  <c r="F396" i="4" s="1"/>
  <c r="E389" i="4"/>
  <c r="F389" i="4" s="1"/>
  <c r="B379" i="4"/>
  <c r="E368" i="4"/>
  <c r="F368" i="4" s="1"/>
  <c r="D364" i="4"/>
  <c r="G364" i="4" s="1"/>
  <c r="B358" i="4"/>
  <c r="D343" i="4"/>
  <c r="G343" i="4" s="1"/>
  <c r="D338" i="4"/>
  <c r="G338" i="4" s="1"/>
  <c r="B328" i="4"/>
  <c r="D322" i="4"/>
  <c r="G322" i="4" s="1"/>
  <c r="E317" i="4"/>
  <c r="F317" i="4" s="1"/>
  <c r="D312" i="4"/>
  <c r="G312" i="4" s="1"/>
  <c r="E305" i="4"/>
  <c r="F305" i="4" s="1"/>
  <c r="E295" i="4"/>
  <c r="F295" i="4" s="1"/>
  <c r="D292" i="4"/>
  <c r="G292" i="4" s="1"/>
  <c r="B289" i="4"/>
  <c r="E285" i="4"/>
  <c r="F285" i="4" s="1"/>
  <c r="D282" i="4"/>
  <c r="G282" i="4" s="1"/>
  <c r="C279" i="4"/>
  <c r="B276" i="4"/>
  <c r="D272" i="4"/>
  <c r="G272" i="4" s="1"/>
  <c r="C269" i="4"/>
  <c r="B266" i="4"/>
  <c r="B450" i="4"/>
  <c r="B440" i="4"/>
  <c r="E431" i="4"/>
  <c r="F431" i="4" s="1"/>
  <c r="C424" i="4"/>
  <c r="C416" i="4"/>
  <c r="B402" i="4"/>
  <c r="D395" i="4"/>
  <c r="G395" i="4" s="1"/>
  <c r="D389" i="4"/>
  <c r="G389" i="4" s="1"/>
  <c r="D384" i="4"/>
  <c r="G384" i="4" s="1"/>
  <c r="B374" i="4"/>
  <c r="D368" i="4"/>
  <c r="G368" i="4" s="1"/>
  <c r="C364" i="4"/>
  <c r="D347" i="4"/>
  <c r="G347" i="4" s="1"/>
  <c r="C343" i="4"/>
  <c r="C338" i="4"/>
  <c r="C322" i="4"/>
  <c r="D317" i="4"/>
  <c r="G317" i="4" s="1"/>
  <c r="C312" i="4"/>
  <c r="D305" i="4"/>
  <c r="G305" i="4" s="1"/>
  <c r="E298" i="4"/>
  <c r="F298" i="4" s="1"/>
  <c r="D295" i="4"/>
  <c r="G295" i="4" s="1"/>
  <c r="C292" i="4"/>
  <c r="E288" i="4"/>
  <c r="F288" i="4" s="1"/>
  <c r="D285" i="4"/>
  <c r="G285" i="4" s="1"/>
  <c r="C282" i="4"/>
  <c r="B279" i="4"/>
  <c r="C272" i="4"/>
  <c r="B269" i="4"/>
  <c r="D431" i="4"/>
  <c r="G431" i="4" s="1"/>
  <c r="B424" i="4"/>
  <c r="B416" i="4"/>
  <c r="E408" i="4"/>
  <c r="F408" i="4" s="1"/>
  <c r="E394" i="4"/>
  <c r="F394" i="4" s="1"/>
  <c r="C389" i="4"/>
  <c r="C384" i="4"/>
  <c r="C368" i="4"/>
  <c r="D363" i="4"/>
  <c r="G363" i="4" s="1"/>
  <c r="E353" i="4"/>
  <c r="F353" i="4" s="1"/>
  <c r="C347" i="4"/>
  <c r="B343" i="4"/>
  <c r="E332" i="4"/>
  <c r="F332" i="4" s="1"/>
  <c r="E327" i="4"/>
  <c r="F327" i="4" s="1"/>
  <c r="B322" i="4"/>
  <c r="B317" i="4"/>
  <c r="B312" i="4"/>
  <c r="E308" i="4"/>
  <c r="F308" i="4" s="1"/>
  <c r="B305" i="4"/>
  <c r="E301" i="4"/>
  <c r="F301" i="4" s="1"/>
  <c r="D298" i="4"/>
  <c r="G298" i="4" s="1"/>
  <c r="C295" i="4"/>
  <c r="B292" i="4"/>
  <c r="D288" i="4"/>
  <c r="G288" i="4" s="1"/>
  <c r="C285" i="4"/>
  <c r="B282" i="4"/>
  <c r="C275" i="4"/>
  <c r="D448" i="4"/>
  <c r="G448" i="4" s="1"/>
  <c r="E439" i="4"/>
  <c r="F439" i="4" s="1"/>
  <c r="B430" i="4"/>
  <c r="D394" i="4"/>
  <c r="G394" i="4" s="1"/>
  <c r="B389" i="4"/>
  <c r="E423" i="4"/>
  <c r="F423" i="4" s="1"/>
  <c r="C394" i="4"/>
  <c r="B378" i="4"/>
  <c r="E311" i="4"/>
  <c r="F311" i="4" s="1"/>
  <c r="D261" i="4"/>
  <c r="G261" i="4" s="1"/>
  <c r="AU4" i="3" s="1"/>
  <c r="E421" i="4"/>
  <c r="F421" i="4" s="1"/>
  <c r="B394" i="4"/>
  <c r="E357" i="4"/>
  <c r="F357" i="4" s="1"/>
  <c r="B342" i="4"/>
  <c r="D311" i="4"/>
  <c r="G311" i="4" s="1"/>
  <c r="C288" i="4"/>
  <c r="D278" i="4"/>
  <c r="G278" i="4" s="1"/>
  <c r="C261" i="4"/>
  <c r="D421" i="4"/>
  <c r="G421" i="4" s="1"/>
  <c r="E373" i="4"/>
  <c r="F373" i="4" s="1"/>
  <c r="D357" i="4"/>
  <c r="G357" i="4" s="1"/>
  <c r="E325" i="4"/>
  <c r="F325" i="4" s="1"/>
  <c r="C311" i="4"/>
  <c r="C298" i="4"/>
  <c r="B288" i="4"/>
  <c r="E268" i="4"/>
  <c r="F268" i="4" s="1"/>
  <c r="C421" i="4"/>
  <c r="C357" i="4"/>
  <c r="E341" i="4"/>
  <c r="F341" i="4" s="1"/>
  <c r="D325" i="4"/>
  <c r="G325" i="4" s="1"/>
  <c r="D308" i="4"/>
  <c r="G308" i="4" s="1"/>
  <c r="B298" i="4"/>
  <c r="D268" i="4"/>
  <c r="G268" i="4" s="1"/>
  <c r="B448" i="4"/>
  <c r="E415" i="4"/>
  <c r="F415" i="4" s="1"/>
  <c r="E372" i="4"/>
  <c r="F372" i="4" s="1"/>
  <c r="B357" i="4"/>
  <c r="C308" i="4"/>
  <c r="E277" i="4"/>
  <c r="F277" i="4" s="1"/>
  <c r="C268" i="4"/>
  <c r="D415" i="4"/>
  <c r="G415" i="4" s="1"/>
  <c r="D372" i="4"/>
  <c r="G372" i="4" s="1"/>
  <c r="E336" i="4"/>
  <c r="F336" i="4" s="1"/>
  <c r="B308" i="4"/>
  <c r="E287" i="4"/>
  <c r="F287" i="4" s="1"/>
  <c r="B275" i="4"/>
  <c r="B268" i="4"/>
  <c r="E447" i="4"/>
  <c r="F447" i="4" s="1"/>
  <c r="B414" i="4"/>
  <c r="D388" i="4"/>
  <c r="G388" i="4" s="1"/>
  <c r="C372" i="4"/>
  <c r="D336" i="4"/>
  <c r="G336" i="4" s="1"/>
  <c r="E321" i="4"/>
  <c r="F321" i="4" s="1"/>
  <c r="C307" i="4"/>
  <c r="E297" i="4"/>
  <c r="F297" i="4" s="1"/>
  <c r="B285" i="4"/>
  <c r="D447" i="4"/>
  <c r="G447" i="4" s="1"/>
  <c r="C388" i="4"/>
  <c r="B368" i="4"/>
  <c r="D352" i="4"/>
  <c r="G352" i="4" s="1"/>
  <c r="C336" i="4"/>
  <c r="B307" i="4"/>
  <c r="B295" i="4"/>
  <c r="E265" i="4"/>
  <c r="F265" i="4" s="1"/>
  <c r="B438" i="4"/>
  <c r="E407" i="4"/>
  <c r="F407" i="4" s="1"/>
  <c r="D383" i="4"/>
  <c r="G383" i="4" s="1"/>
  <c r="C352" i="4"/>
  <c r="B336" i="4"/>
  <c r="D320" i="4"/>
  <c r="G320" i="4" s="1"/>
  <c r="E304" i="4"/>
  <c r="F304" i="4" s="1"/>
  <c r="E274" i="4"/>
  <c r="F274" i="4" s="1"/>
  <c r="D265" i="4"/>
  <c r="G265" i="4" s="1"/>
  <c r="D407" i="4"/>
  <c r="G407" i="4" s="1"/>
  <c r="C383" i="4"/>
  <c r="D351" i="4"/>
  <c r="G351" i="4" s="1"/>
  <c r="D304" i="4"/>
  <c r="G304" i="4" s="1"/>
  <c r="E284" i="4"/>
  <c r="F284" i="4" s="1"/>
  <c r="D274" i="4"/>
  <c r="G274" i="4" s="1"/>
  <c r="B265" i="4"/>
  <c r="E437" i="4"/>
  <c r="F437" i="4" s="1"/>
  <c r="B406" i="4"/>
  <c r="B383" i="4"/>
  <c r="E367" i="4"/>
  <c r="F367" i="4" s="1"/>
  <c r="C351" i="4"/>
  <c r="D332" i="4"/>
  <c r="G332" i="4" s="1"/>
  <c r="D315" i="4"/>
  <c r="G315" i="4" s="1"/>
  <c r="C304" i="4"/>
  <c r="D294" i="4"/>
  <c r="G294" i="4" s="1"/>
  <c r="D284" i="4"/>
  <c r="G284" i="4" s="1"/>
  <c r="B272" i="4"/>
  <c r="E264" i="4"/>
  <c r="F264" i="4" s="1"/>
  <c r="D437" i="4"/>
  <c r="G437" i="4" s="1"/>
  <c r="D367" i="4"/>
  <c r="G367" i="4" s="1"/>
  <c r="B347" i="4"/>
  <c r="C332" i="4"/>
  <c r="C315" i="4"/>
  <c r="B304" i="4"/>
  <c r="D264" i="4"/>
  <c r="G264" i="4" s="1"/>
  <c r="E400" i="4"/>
  <c r="F400" i="4" s="1"/>
  <c r="B382" i="4"/>
  <c r="B363" i="4"/>
  <c r="D331" i="4"/>
  <c r="G331" i="4" s="1"/>
  <c r="B315" i="4"/>
  <c r="D262" i="4"/>
  <c r="G262" i="4" s="1"/>
  <c r="C429" i="4"/>
  <c r="C400" i="4"/>
  <c r="E261" i="4"/>
  <c r="F261" i="4" s="1"/>
  <c r="B400" i="4"/>
  <c r="C399" i="4"/>
  <c r="D301" i="4"/>
  <c r="G301" i="4" s="1"/>
  <c r="E378" i="4"/>
  <c r="F378" i="4" s="1"/>
  <c r="C301" i="4"/>
  <c r="D378" i="4"/>
  <c r="G378" i="4" s="1"/>
  <c r="B301" i="4"/>
  <c r="C378" i="4"/>
  <c r="C291" i="4"/>
  <c r="B291" i="4"/>
  <c r="B362" i="4"/>
  <c r="E281" i="4"/>
  <c r="F281" i="4" s="1"/>
  <c r="D281" i="4"/>
  <c r="G281" i="4" s="1"/>
  <c r="E346" i="4"/>
  <c r="F346" i="4" s="1"/>
  <c r="B281" i="4"/>
  <c r="D346" i="4"/>
  <c r="G346" i="4" s="1"/>
  <c r="E271" i="4"/>
  <c r="F271" i="4" s="1"/>
  <c r="E429" i="4"/>
  <c r="F429" i="4" s="1"/>
  <c r="D429" i="4"/>
  <c r="G429" i="4" s="1"/>
  <c r="B331" i="4"/>
  <c r="D271" i="4"/>
  <c r="G271" i="4" s="1"/>
  <c r="B326" i="4"/>
  <c r="C271" i="4"/>
  <c r="C57" i="4"/>
  <c r="C52" i="4"/>
  <c r="B61" i="4"/>
  <c r="D88" i="4"/>
  <c r="G88" i="4" s="1"/>
  <c r="B68" i="4"/>
  <c r="D89" i="4"/>
  <c r="G89" i="4" s="1"/>
  <c r="D45" i="4"/>
  <c r="G45" i="4" s="1"/>
  <c r="E86" i="4"/>
  <c r="F86" i="4" s="1"/>
  <c r="C34" i="4"/>
  <c r="C56" i="4"/>
  <c r="C63" i="4"/>
  <c r="D73" i="4"/>
  <c r="G73" i="4" s="1"/>
  <c r="E47" i="4"/>
  <c r="F47" i="4" s="1"/>
  <c r="B75" i="4"/>
  <c r="D33" i="4"/>
  <c r="G33" i="4" s="1"/>
  <c r="E78" i="4"/>
  <c r="F78" i="4" s="1"/>
  <c r="D81" i="4"/>
  <c r="G81" i="4" s="1"/>
  <c r="D47" i="4"/>
  <c r="G47" i="4" s="1"/>
  <c r="C50" i="4"/>
  <c r="E58" i="4"/>
  <c r="F58" i="4" s="1"/>
  <c r="B64" i="4"/>
  <c r="B86" i="4"/>
  <c r="C39" i="4"/>
  <c r="E43" i="4"/>
  <c r="F43" i="4" s="1"/>
  <c r="B44" i="4"/>
  <c r="E49" i="4"/>
  <c r="F49" i="4" s="1"/>
  <c r="E55" i="4"/>
  <c r="F55" i="4" s="1"/>
  <c r="D58" i="4"/>
  <c r="G58" i="4" s="1"/>
  <c r="D69" i="4"/>
  <c r="G69" i="4" s="1"/>
  <c r="E77" i="4"/>
  <c r="F77" i="4" s="1"/>
  <c r="E88" i="4"/>
  <c r="F88" i="4" s="1"/>
  <c r="D91" i="4"/>
  <c r="G91" i="4" s="1"/>
  <c r="B76" i="4"/>
  <c r="B49" i="4"/>
  <c r="D65" i="4"/>
  <c r="G65" i="4" s="1"/>
  <c r="C46" i="4"/>
  <c r="D55" i="4"/>
  <c r="G55" i="4" s="1"/>
  <c r="C58" i="4"/>
  <c r="E66" i="4"/>
  <c r="F66" i="4" s="1"/>
  <c r="B72" i="4"/>
  <c r="C80" i="4"/>
  <c r="C91" i="4"/>
  <c r="C78" i="4"/>
  <c r="B41" i="4"/>
  <c r="C55" i="4"/>
  <c r="B71" i="4"/>
  <c r="B73" i="4"/>
  <c r="D52" i="4"/>
  <c r="G52" i="4" s="1"/>
  <c r="E57" i="4"/>
  <c r="F57" i="4" s="1"/>
  <c r="B58" i="4"/>
  <c r="E63" i="4"/>
  <c r="F63" i="4" s="1"/>
  <c r="D66" i="4"/>
  <c r="G66" i="4" s="1"/>
  <c r="C69" i="4"/>
  <c r="D77" i="4"/>
  <c r="G77" i="4" s="1"/>
  <c r="E85" i="4"/>
  <c r="F85" i="4" s="1"/>
  <c r="B91" i="4"/>
  <c r="D35" i="4"/>
  <c r="G35" i="4" s="1"/>
  <c r="B90" i="4"/>
  <c r="B84" i="4"/>
  <c r="D70" i="4"/>
  <c r="G70" i="4" s="1"/>
  <c r="B87" i="4"/>
  <c r="B81" i="4"/>
  <c r="E67" i="4"/>
  <c r="F67" i="4" s="1"/>
  <c r="C60" i="4"/>
  <c r="D63" i="4"/>
  <c r="G63" i="4" s="1"/>
  <c r="C66" i="4"/>
  <c r="B69" i="4"/>
  <c r="E74" i="4"/>
  <c r="F74" i="4" s="1"/>
  <c r="B80" i="4"/>
  <c r="C88" i="4"/>
  <c r="C35" i="4"/>
  <c r="B38" i="4"/>
  <c r="C86" i="4"/>
  <c r="E36" i="4"/>
  <c r="F36" i="4" s="1"/>
  <c r="B47" i="4"/>
  <c r="E76" i="4"/>
  <c r="F76" i="4" s="1"/>
  <c r="B36" i="4"/>
  <c r="C89" i="4"/>
  <c r="D46" i="4"/>
  <c r="G46" i="4" s="1"/>
  <c r="E65" i="4"/>
  <c r="F65" i="4" s="1"/>
  <c r="B66" i="4"/>
  <c r="E71" i="4"/>
  <c r="F71" i="4" s="1"/>
  <c r="D74" i="4"/>
  <c r="G74" i="4" s="1"/>
  <c r="C77" i="4"/>
  <c r="D85" i="4"/>
  <c r="G85" i="4" s="1"/>
  <c r="B35" i="4"/>
  <c r="E40" i="4"/>
  <c r="F40" i="4" s="1"/>
  <c r="D43" i="4"/>
  <c r="G43" i="4" s="1"/>
  <c r="E91" i="4"/>
  <c r="F91" i="4" s="1"/>
  <c r="B535" i="4"/>
  <c r="D532" i="4"/>
  <c r="G532" i="4" s="1"/>
  <c r="B527" i="4"/>
  <c r="D524" i="4"/>
  <c r="G524" i="4" s="1"/>
  <c r="B519" i="4"/>
  <c r="D516" i="4"/>
  <c r="G516" i="4" s="1"/>
  <c r="B511" i="4"/>
  <c r="D508" i="4"/>
  <c r="G508" i="4" s="1"/>
  <c r="B503" i="4"/>
  <c r="D500" i="4"/>
  <c r="G500" i="4" s="1"/>
  <c r="B495" i="4"/>
  <c r="D492" i="4"/>
  <c r="G492" i="4" s="1"/>
  <c r="B487" i="4"/>
  <c r="D484" i="4"/>
  <c r="G484" i="4" s="1"/>
  <c r="B479" i="4"/>
  <c r="D476" i="4"/>
  <c r="G476" i="4" s="1"/>
  <c r="B471" i="4"/>
  <c r="D468" i="4"/>
  <c r="G468" i="4" s="1"/>
  <c r="B463" i="4"/>
  <c r="D460" i="4"/>
  <c r="G460" i="4" s="1"/>
  <c r="B455" i="4"/>
  <c r="E537" i="4"/>
  <c r="F537" i="4" s="1"/>
  <c r="C532" i="4"/>
  <c r="E529" i="4"/>
  <c r="F529" i="4" s="1"/>
  <c r="C524" i="4"/>
  <c r="E521" i="4"/>
  <c r="F521" i="4" s="1"/>
  <c r="C516" i="4"/>
  <c r="E513" i="4"/>
  <c r="F513" i="4" s="1"/>
  <c r="C508" i="4"/>
  <c r="E505" i="4"/>
  <c r="F505" i="4" s="1"/>
  <c r="C500" i="4"/>
  <c r="E497" i="4"/>
  <c r="F497" i="4" s="1"/>
  <c r="C492" i="4"/>
  <c r="E489" i="4"/>
  <c r="F489" i="4" s="1"/>
  <c r="C484" i="4"/>
  <c r="E481" i="4"/>
  <c r="F481" i="4" s="1"/>
  <c r="C476" i="4"/>
  <c r="E473" i="4"/>
  <c r="F473" i="4" s="1"/>
  <c r="C468" i="4"/>
  <c r="E465" i="4"/>
  <c r="F465" i="4" s="1"/>
  <c r="C460" i="4"/>
  <c r="E457" i="4"/>
  <c r="F457" i="4" s="1"/>
  <c r="D537" i="4"/>
  <c r="G537" i="4" s="1"/>
  <c r="B532" i="4"/>
  <c r="D529" i="4"/>
  <c r="G529" i="4" s="1"/>
  <c r="B524" i="4"/>
  <c r="D521" i="4"/>
  <c r="G521" i="4" s="1"/>
  <c r="B516" i="4"/>
  <c r="D513" i="4"/>
  <c r="G513" i="4" s="1"/>
  <c r="B508" i="4"/>
  <c r="D505" i="4"/>
  <c r="G505" i="4" s="1"/>
  <c r="B500" i="4"/>
  <c r="D497" i="4"/>
  <c r="G497" i="4" s="1"/>
  <c r="B492" i="4"/>
  <c r="D489" i="4"/>
  <c r="G489" i="4" s="1"/>
  <c r="B484" i="4"/>
  <c r="D481" i="4"/>
  <c r="G481" i="4" s="1"/>
  <c r="B476" i="4"/>
  <c r="D473" i="4"/>
  <c r="G473" i="4" s="1"/>
  <c r="B468" i="4"/>
  <c r="D465" i="4"/>
  <c r="G465" i="4" s="1"/>
  <c r="B460" i="4"/>
  <c r="D457" i="4"/>
  <c r="G457" i="4" s="1"/>
  <c r="BK6" i="3" s="1"/>
  <c r="C537" i="4"/>
  <c r="E534" i="4"/>
  <c r="F534" i="4" s="1"/>
  <c r="C529" i="4"/>
  <c r="E526" i="4"/>
  <c r="F526" i="4" s="1"/>
  <c r="C521" i="4"/>
  <c r="E518" i="4"/>
  <c r="F518" i="4" s="1"/>
  <c r="C513" i="4"/>
  <c r="E510" i="4"/>
  <c r="F510" i="4" s="1"/>
  <c r="C505" i="4"/>
  <c r="E502" i="4"/>
  <c r="F502" i="4" s="1"/>
  <c r="C497" i="4"/>
  <c r="E494" i="4"/>
  <c r="F494" i="4" s="1"/>
  <c r="C489" i="4"/>
  <c r="E486" i="4"/>
  <c r="F486" i="4" s="1"/>
  <c r="C481" i="4"/>
  <c r="E478" i="4"/>
  <c r="F478" i="4" s="1"/>
  <c r="C473" i="4"/>
  <c r="E470" i="4"/>
  <c r="F470" i="4" s="1"/>
  <c r="C465" i="4"/>
  <c r="E462" i="4"/>
  <c r="F462" i="4" s="1"/>
  <c r="C457" i="4"/>
  <c r="E454" i="4"/>
  <c r="F454" i="4" s="1"/>
  <c r="C538" i="4"/>
  <c r="E535" i="4"/>
  <c r="F535" i="4" s="1"/>
  <c r="C530" i="4"/>
  <c r="E527" i="4"/>
  <c r="F527" i="4" s="1"/>
  <c r="C522" i="4"/>
  <c r="E519" i="4"/>
  <c r="F519" i="4" s="1"/>
  <c r="C514" i="4"/>
  <c r="E511" i="4"/>
  <c r="F511" i="4" s="1"/>
  <c r="C506" i="4"/>
  <c r="E503" i="4"/>
  <c r="F503" i="4" s="1"/>
  <c r="C498" i="4"/>
  <c r="E495" i="4"/>
  <c r="F495" i="4" s="1"/>
  <c r="C490" i="4"/>
  <c r="E487" i="4"/>
  <c r="F487" i="4" s="1"/>
  <c r="C482" i="4"/>
  <c r="E479" i="4"/>
  <c r="F479" i="4" s="1"/>
  <c r="C474" i="4"/>
  <c r="E471" i="4"/>
  <c r="F471" i="4" s="1"/>
  <c r="C466" i="4"/>
  <c r="E463" i="4"/>
  <c r="F463" i="4" s="1"/>
  <c r="C458" i="4"/>
  <c r="E455" i="4"/>
  <c r="F455" i="4" s="1"/>
  <c r="B538" i="4"/>
  <c r="D535" i="4"/>
  <c r="G535" i="4" s="1"/>
  <c r="B530" i="4"/>
  <c r="D527" i="4"/>
  <c r="G527" i="4" s="1"/>
  <c r="B522" i="4"/>
  <c r="D519" i="4"/>
  <c r="G519" i="4" s="1"/>
  <c r="B514" i="4"/>
  <c r="D511" i="4"/>
  <c r="G511" i="4" s="1"/>
  <c r="B506" i="4"/>
  <c r="D503" i="4"/>
  <c r="G503" i="4" s="1"/>
  <c r="B498" i="4"/>
  <c r="D495" i="4"/>
  <c r="G495" i="4" s="1"/>
  <c r="B490" i="4"/>
  <c r="D487" i="4"/>
  <c r="G487" i="4" s="1"/>
  <c r="B482" i="4"/>
  <c r="D479" i="4"/>
  <c r="G479" i="4" s="1"/>
  <c r="B474" i="4"/>
  <c r="D471" i="4"/>
  <c r="G471" i="4" s="1"/>
  <c r="B466" i="4"/>
  <c r="D463" i="4"/>
  <c r="G463" i="4" s="1"/>
  <c r="B458" i="4"/>
  <c r="D455" i="4"/>
  <c r="G455" i="4" s="1"/>
  <c r="C535" i="4"/>
  <c r="E532" i="4"/>
  <c r="F532" i="4" s="1"/>
  <c r="C527" i="4"/>
  <c r="E524" i="4"/>
  <c r="F524" i="4" s="1"/>
  <c r="C519" i="4"/>
  <c r="E516" i="4"/>
  <c r="F516" i="4" s="1"/>
  <c r="C511" i="4"/>
  <c r="E508" i="4"/>
  <c r="F508" i="4" s="1"/>
  <c r="C503" i="4"/>
  <c r="E500" i="4"/>
  <c r="F500" i="4" s="1"/>
  <c r="C495" i="4"/>
  <c r="E492" i="4"/>
  <c r="F492" i="4" s="1"/>
  <c r="C487" i="4"/>
  <c r="E484" i="4"/>
  <c r="F484" i="4" s="1"/>
  <c r="C479" i="4"/>
  <c r="E476" i="4"/>
  <c r="F476" i="4" s="1"/>
  <c r="C471" i="4"/>
  <c r="E468" i="4"/>
  <c r="F468" i="4" s="1"/>
  <c r="C463" i="4"/>
  <c r="E460" i="4"/>
  <c r="F460" i="4" s="1"/>
  <c r="C455" i="4"/>
  <c r="D539" i="4"/>
  <c r="G539" i="4" s="1"/>
  <c r="D534" i="4"/>
  <c r="G534" i="4" s="1"/>
  <c r="E530" i="4"/>
  <c r="F530" i="4" s="1"/>
  <c r="E525" i="4"/>
  <c r="F525" i="4" s="1"/>
  <c r="E520" i="4"/>
  <c r="F520" i="4" s="1"/>
  <c r="E515" i="4"/>
  <c r="F515" i="4" s="1"/>
  <c r="B469" i="4"/>
  <c r="B464" i="4"/>
  <c r="B459" i="4"/>
  <c r="B454" i="4"/>
  <c r="C539" i="4"/>
  <c r="C534" i="4"/>
  <c r="D530" i="4"/>
  <c r="G530" i="4" s="1"/>
  <c r="D525" i="4"/>
  <c r="G525" i="4" s="1"/>
  <c r="D520" i="4"/>
  <c r="G520" i="4" s="1"/>
  <c r="D515" i="4"/>
  <c r="G515" i="4" s="1"/>
  <c r="D510" i="4"/>
  <c r="G510" i="4" s="1"/>
  <c r="E506" i="4"/>
  <c r="F506" i="4" s="1"/>
  <c r="E501" i="4"/>
  <c r="F501" i="4" s="1"/>
  <c r="E496" i="4"/>
  <c r="F496" i="4" s="1"/>
  <c r="E491" i="4"/>
  <c r="F491" i="4" s="1"/>
  <c r="B539" i="4"/>
  <c r="B534" i="4"/>
  <c r="B529" i="4"/>
  <c r="C525" i="4"/>
  <c r="C520" i="4"/>
  <c r="C515" i="4"/>
  <c r="C510" i="4"/>
  <c r="D506" i="4"/>
  <c r="G506" i="4" s="1"/>
  <c r="D501" i="4"/>
  <c r="G501" i="4" s="1"/>
  <c r="D496" i="4"/>
  <c r="G496" i="4" s="1"/>
  <c r="D491" i="4"/>
  <c r="G491" i="4" s="1"/>
  <c r="D486" i="4"/>
  <c r="G486" i="4" s="1"/>
  <c r="E482" i="4"/>
  <c r="F482" i="4" s="1"/>
  <c r="E477" i="4"/>
  <c r="F477" i="4" s="1"/>
  <c r="E472" i="4"/>
  <c r="F472" i="4" s="1"/>
  <c r="E467" i="4"/>
  <c r="F467" i="4" s="1"/>
  <c r="B525" i="4"/>
  <c r="B520" i="4"/>
  <c r="B515" i="4"/>
  <c r="B510" i="4"/>
  <c r="B505" i="4"/>
  <c r="C501" i="4"/>
  <c r="C496" i="4"/>
  <c r="C491" i="4"/>
  <c r="C486" i="4"/>
  <c r="D482" i="4"/>
  <c r="G482" i="4" s="1"/>
  <c r="D477" i="4"/>
  <c r="G477" i="4" s="1"/>
  <c r="D472" i="4"/>
  <c r="G472" i="4" s="1"/>
  <c r="D467" i="4"/>
  <c r="G467" i="4" s="1"/>
  <c r="D462" i="4"/>
  <c r="G462" i="4" s="1"/>
  <c r="E458" i="4"/>
  <c r="F458" i="4" s="1"/>
  <c r="B501" i="4"/>
  <c r="B496" i="4"/>
  <c r="B491" i="4"/>
  <c r="B486" i="4"/>
  <c r="B481" i="4"/>
  <c r="C477" i="4"/>
  <c r="C472" i="4"/>
  <c r="C467" i="4"/>
  <c r="C462" i="4"/>
  <c r="D458" i="4"/>
  <c r="G458" i="4" s="1"/>
  <c r="E538" i="4"/>
  <c r="F538" i="4" s="1"/>
  <c r="E533" i="4"/>
  <c r="F533" i="4" s="1"/>
  <c r="E528" i="4"/>
  <c r="F528" i="4" s="1"/>
  <c r="E523" i="4"/>
  <c r="F523" i="4" s="1"/>
  <c r="B477" i="4"/>
  <c r="B472" i="4"/>
  <c r="B467" i="4"/>
  <c r="B462" i="4"/>
  <c r="B457" i="4"/>
  <c r="D538" i="4"/>
  <c r="G538" i="4" s="1"/>
  <c r="D533" i="4"/>
  <c r="G533" i="4" s="1"/>
  <c r="D528" i="4"/>
  <c r="G528" i="4" s="1"/>
  <c r="D523" i="4"/>
  <c r="G523" i="4" s="1"/>
  <c r="D518" i="4"/>
  <c r="G518" i="4" s="1"/>
  <c r="E514" i="4"/>
  <c r="F514" i="4" s="1"/>
  <c r="E509" i="4"/>
  <c r="F509" i="4" s="1"/>
  <c r="E504" i="4"/>
  <c r="F504" i="4" s="1"/>
  <c r="E499" i="4"/>
  <c r="F499" i="4" s="1"/>
  <c r="B537" i="4"/>
  <c r="C533" i="4"/>
  <c r="C528" i="4"/>
  <c r="C523" i="4"/>
  <c r="C518" i="4"/>
  <c r="D514" i="4"/>
  <c r="G514" i="4" s="1"/>
  <c r="D509" i="4"/>
  <c r="G509" i="4" s="1"/>
  <c r="D504" i="4"/>
  <c r="G504" i="4" s="1"/>
  <c r="B533" i="4"/>
  <c r="B528" i="4"/>
  <c r="B523" i="4"/>
  <c r="B518" i="4"/>
  <c r="B513" i="4"/>
  <c r="C509" i="4"/>
  <c r="C504" i="4"/>
  <c r="C499" i="4"/>
  <c r="C494" i="4"/>
  <c r="D490" i="4"/>
  <c r="G490" i="4" s="1"/>
  <c r="D485" i="4"/>
  <c r="G485" i="4" s="1"/>
  <c r="D480" i="4"/>
  <c r="G480" i="4" s="1"/>
  <c r="D475" i="4"/>
  <c r="G475" i="4" s="1"/>
  <c r="D470" i="4"/>
  <c r="G470" i="4" s="1"/>
  <c r="E466" i="4"/>
  <c r="F466" i="4" s="1"/>
  <c r="E461" i="4"/>
  <c r="F461" i="4" s="1"/>
  <c r="E456" i="4"/>
  <c r="F456" i="4" s="1"/>
  <c r="E536" i="4"/>
  <c r="F536" i="4" s="1"/>
  <c r="E531" i="4"/>
  <c r="F531" i="4" s="1"/>
  <c r="B485" i="4"/>
  <c r="B480" i="4"/>
  <c r="B475" i="4"/>
  <c r="B470" i="4"/>
  <c r="B465" i="4"/>
  <c r="C461" i="4"/>
  <c r="C456" i="4"/>
  <c r="B536" i="4"/>
  <c r="B531" i="4"/>
  <c r="B526" i="4"/>
  <c r="B521" i="4"/>
  <c r="C517" i="4"/>
  <c r="C512" i="4"/>
  <c r="C507" i="4"/>
  <c r="C502" i="4"/>
  <c r="D498" i="4"/>
  <c r="G498" i="4" s="1"/>
  <c r="D493" i="4"/>
  <c r="G493" i="4" s="1"/>
  <c r="D488" i="4"/>
  <c r="G488" i="4" s="1"/>
  <c r="D483" i="4"/>
  <c r="G483" i="4" s="1"/>
  <c r="D478" i="4"/>
  <c r="G478" i="4" s="1"/>
  <c r="E474" i="4"/>
  <c r="F474" i="4" s="1"/>
  <c r="E469" i="4"/>
  <c r="F469" i="4" s="1"/>
  <c r="E464" i="4"/>
  <c r="F464" i="4" s="1"/>
  <c r="E459" i="4"/>
  <c r="F459" i="4" s="1"/>
  <c r="E517" i="4"/>
  <c r="F517" i="4" s="1"/>
  <c r="D502" i="4"/>
  <c r="G502" i="4" s="1"/>
  <c r="C480" i="4"/>
  <c r="C459" i="4"/>
  <c r="D531" i="4"/>
  <c r="G531" i="4" s="1"/>
  <c r="D517" i="4"/>
  <c r="G517" i="4" s="1"/>
  <c r="B502" i="4"/>
  <c r="E490" i="4"/>
  <c r="F490" i="4" s="1"/>
  <c r="D469" i="4"/>
  <c r="G469" i="4" s="1"/>
  <c r="C531" i="4"/>
  <c r="B517" i="4"/>
  <c r="B489" i="4"/>
  <c r="C469" i="4"/>
  <c r="D499" i="4"/>
  <c r="G499" i="4" s="1"/>
  <c r="C478" i="4"/>
  <c r="D456" i="4"/>
  <c r="G456" i="4" s="1"/>
  <c r="B499" i="4"/>
  <c r="E488" i="4"/>
  <c r="F488" i="4" s="1"/>
  <c r="B478" i="4"/>
  <c r="B456" i="4"/>
  <c r="E512" i="4"/>
  <c r="F512" i="4" s="1"/>
  <c r="C488" i="4"/>
  <c r="D466" i="4"/>
  <c r="G466" i="4" s="1"/>
  <c r="D526" i="4"/>
  <c r="G526" i="4" s="1"/>
  <c r="D512" i="4"/>
  <c r="G512" i="4" s="1"/>
  <c r="E498" i="4"/>
  <c r="F498" i="4" s="1"/>
  <c r="B488" i="4"/>
  <c r="E475" i="4"/>
  <c r="F475" i="4" s="1"/>
  <c r="D454" i="4"/>
  <c r="G454" i="4" s="1"/>
  <c r="C526" i="4"/>
  <c r="B512" i="4"/>
  <c r="B497" i="4"/>
  <c r="C475" i="4"/>
  <c r="C454" i="4"/>
  <c r="E485" i="4"/>
  <c r="F485" i="4" s="1"/>
  <c r="D464" i="4"/>
  <c r="G464" i="4" s="1"/>
  <c r="B509" i="4"/>
  <c r="C485" i="4"/>
  <c r="C464" i="4"/>
  <c r="E539" i="4"/>
  <c r="F539" i="4" s="1"/>
  <c r="E507" i="4"/>
  <c r="F507" i="4" s="1"/>
  <c r="D494" i="4"/>
  <c r="G494" i="4" s="1"/>
  <c r="D474" i="4"/>
  <c r="G474" i="4" s="1"/>
  <c r="E522" i="4"/>
  <c r="F522" i="4" s="1"/>
  <c r="D507" i="4"/>
  <c r="G507" i="4" s="1"/>
  <c r="B494" i="4"/>
  <c r="E483" i="4"/>
  <c r="F483" i="4" s="1"/>
  <c r="B473" i="4"/>
  <c r="B507" i="4"/>
  <c r="D461" i="4"/>
  <c r="G461" i="4" s="1"/>
  <c r="B461" i="4"/>
  <c r="B504" i="4"/>
  <c r="D459" i="4"/>
  <c r="G459" i="4" s="1"/>
  <c r="E493" i="4"/>
  <c r="F493" i="4" s="1"/>
  <c r="C493" i="4"/>
  <c r="B493" i="4"/>
  <c r="D536" i="4"/>
  <c r="G536" i="4" s="1"/>
  <c r="C483" i="4"/>
  <c r="C536" i="4"/>
  <c r="B483" i="4"/>
  <c r="E480" i="4"/>
  <c r="F480" i="4" s="1"/>
  <c r="D522" i="4"/>
  <c r="G522" i="4" s="1"/>
  <c r="C470" i="4"/>
  <c r="C41" i="4"/>
  <c r="D38" i="4"/>
  <c r="G38" i="4" s="1"/>
  <c r="B89" i="4"/>
  <c r="E54" i="4"/>
  <c r="F54" i="4" s="1"/>
  <c r="D84" i="4"/>
  <c r="G84" i="4" s="1"/>
  <c r="D86" i="4"/>
  <c r="G86" i="4" s="1"/>
  <c r="D57" i="4"/>
  <c r="G57" i="4" s="1"/>
  <c r="C38" i="4"/>
  <c r="E52" i="4"/>
  <c r="F52" i="4" s="1"/>
  <c r="C68" i="4"/>
  <c r="D71" i="4"/>
  <c r="G71" i="4" s="1"/>
  <c r="C74" i="4"/>
  <c r="B77" i="4"/>
  <c r="E82" i="4"/>
  <c r="F82" i="4" s="1"/>
  <c r="B88" i="4"/>
  <c r="D40" i="4"/>
  <c r="G40" i="4" s="1"/>
  <c r="C43" i="4"/>
  <c r="B46" i="4"/>
  <c r="D60" i="4"/>
  <c r="G60" i="4" s="1"/>
  <c r="E51" i="4"/>
  <c r="F51" i="4" s="1"/>
  <c r="E68" i="4"/>
  <c r="F68" i="4" s="1"/>
  <c r="E60" i="4"/>
  <c r="F60" i="4" s="1"/>
  <c r="C47" i="4"/>
  <c r="E35" i="4"/>
  <c r="F35" i="4" s="1"/>
  <c r="B65" i="4"/>
  <c r="D44" i="4"/>
  <c r="G44" i="4" s="1"/>
  <c r="B60" i="4"/>
  <c r="E73" i="4"/>
  <c r="F73" i="4" s="1"/>
  <c r="B74" i="4"/>
  <c r="E79" i="4"/>
  <c r="F79" i="4" s="1"/>
  <c r="D82" i="4"/>
  <c r="G82" i="4" s="1"/>
  <c r="C85" i="4"/>
  <c r="E37" i="4"/>
  <c r="F37" i="4" s="1"/>
  <c r="B43" i="4"/>
  <c r="E48" i="4"/>
  <c r="F48" i="4" s="1"/>
  <c r="BK16" i="3" l="1"/>
  <c r="BK10" i="3"/>
  <c r="BK12" i="3"/>
  <c r="AE32" i="3"/>
  <c r="O19" i="3"/>
  <c r="O16" i="3"/>
  <c r="O48" i="3"/>
  <c r="AE44" i="3"/>
  <c r="O13" i="3"/>
  <c r="AE33" i="3"/>
  <c r="O17" i="3"/>
  <c r="AE41" i="3"/>
  <c r="O9" i="3"/>
  <c r="AU53" i="3"/>
  <c r="AU54" i="3"/>
  <c r="AU50" i="3"/>
  <c r="AU15" i="3"/>
  <c r="BK71" i="3"/>
  <c r="BK18" i="3"/>
  <c r="O5" i="3"/>
  <c r="AU60" i="3"/>
  <c r="BK17" i="3"/>
  <c r="O3" i="3"/>
  <c r="BK24" i="3"/>
  <c r="AU28" i="3"/>
  <c r="AU29" i="3"/>
  <c r="BK5" i="3"/>
  <c r="BK14" i="3"/>
  <c r="AU129" i="3"/>
  <c r="AU5" i="3"/>
  <c r="AU17" i="3"/>
  <c r="AU39" i="3"/>
  <c r="AU56" i="3"/>
  <c r="AE34" i="3"/>
  <c r="AE12" i="3"/>
  <c r="AE23" i="3"/>
  <c r="O18" i="3"/>
  <c r="BK21" i="3"/>
  <c r="O7" i="3"/>
  <c r="AE42" i="3"/>
  <c r="AE28" i="3"/>
  <c r="AU59" i="3"/>
  <c r="AE20" i="3"/>
  <c r="AE43" i="3"/>
  <c r="BK3" i="3"/>
  <c r="AU7" i="3"/>
  <c r="AE153" i="3"/>
  <c r="BK11" i="3"/>
  <c r="AU44" i="3"/>
  <c r="AE40" i="3"/>
  <c r="AU52" i="3"/>
  <c r="AU57" i="3"/>
  <c r="O6" i="3"/>
  <c r="BK9" i="3"/>
  <c r="BK23" i="3"/>
  <c r="BK22" i="3"/>
  <c r="O2" i="3"/>
  <c r="AU13" i="3"/>
  <c r="BK4" i="3"/>
  <c r="AU47" i="3"/>
  <c r="AU36" i="3"/>
  <c r="AU58" i="3"/>
  <c r="AE13" i="3"/>
  <c r="BK20" i="3"/>
  <c r="AE22" i="3"/>
  <c r="AE30" i="3"/>
  <c r="AE113" i="3"/>
  <c r="AU42" i="3"/>
  <c r="AU2" i="3"/>
  <c r="O50" i="3"/>
  <c r="O10" i="3"/>
  <c r="O11" i="3"/>
  <c r="AU31" i="3"/>
  <c r="BK46" i="3"/>
  <c r="BK2" i="3"/>
  <c r="AE11" i="3"/>
  <c r="O30" i="3"/>
  <c r="O8" i="3"/>
  <c r="BK19" i="3"/>
  <c r="O31" i="3"/>
  <c r="AE2" i="3"/>
  <c r="AU128" i="3"/>
  <c r="AU152" i="3"/>
  <c r="AU177" i="3"/>
  <c r="AU135" i="3"/>
  <c r="AE25" i="3"/>
  <c r="O12" i="3"/>
  <c r="AU145" i="3"/>
  <c r="AU174" i="3"/>
  <c r="AE29" i="3"/>
  <c r="O55" i="3"/>
  <c r="AU110" i="3"/>
  <c r="AE45" i="3"/>
  <c r="AE109" i="3"/>
  <c r="O20" i="3"/>
  <c r="AE139" i="3"/>
  <c r="AE31" i="3"/>
  <c r="AE46" i="3"/>
  <c r="AE150" i="3"/>
  <c r="AU81" i="3"/>
  <c r="AE106" i="3"/>
  <c r="AE138" i="3"/>
  <c r="AE79" i="3"/>
  <c r="AE96" i="3"/>
  <c r="AE110" i="3"/>
  <c r="AE71" i="3"/>
  <c r="AU115" i="3"/>
  <c r="AU19" i="3"/>
  <c r="AE142" i="3"/>
  <c r="AE129" i="3"/>
  <c r="BK83" i="3"/>
  <c r="AU37" i="3"/>
  <c r="AE69" i="3"/>
  <c r="AU154" i="3"/>
  <c r="AU100" i="3"/>
  <c r="O15" i="3"/>
  <c r="AU78" i="3"/>
  <c r="AU162" i="3"/>
  <c r="AU126" i="3"/>
  <c r="AU172" i="3"/>
  <c r="AU106" i="3"/>
  <c r="AU163" i="3"/>
  <c r="AU66" i="3"/>
  <c r="AU175" i="3"/>
  <c r="AU85" i="3"/>
  <c r="AU67" i="3"/>
  <c r="AU185" i="3"/>
  <c r="AU165" i="3"/>
  <c r="AE55" i="3"/>
  <c r="AU181" i="3"/>
  <c r="AE151" i="3"/>
  <c r="AU82" i="3"/>
  <c r="AU159" i="3"/>
  <c r="AU142" i="3"/>
  <c r="AU140" i="3"/>
  <c r="AE127" i="3"/>
  <c r="AE111" i="3"/>
  <c r="AU182" i="3"/>
  <c r="AU20" i="3"/>
  <c r="AE17" i="3"/>
  <c r="AE14" i="3"/>
  <c r="AE18" i="3"/>
  <c r="AE15" i="3"/>
  <c r="AE16" i="3"/>
  <c r="AE36" i="3"/>
  <c r="AE38" i="3"/>
  <c r="AE35" i="3"/>
  <c r="AE37" i="3"/>
  <c r="O23" i="3"/>
  <c r="O45" i="3"/>
  <c r="AU166" i="3"/>
  <c r="AU63" i="3"/>
  <c r="O60" i="3"/>
  <c r="AE8" i="3"/>
  <c r="AU116" i="3"/>
  <c r="AE140" i="3"/>
  <c r="AU9" i="3"/>
  <c r="AU130" i="3"/>
  <c r="AU70" i="3"/>
  <c r="AE160" i="3"/>
  <c r="AU38" i="3"/>
  <c r="BK75" i="3"/>
  <c r="AU11" i="3"/>
  <c r="BK68" i="3"/>
  <c r="O29" i="3"/>
  <c r="AU76" i="3"/>
  <c r="AU89" i="3"/>
  <c r="AE154" i="3"/>
  <c r="AU33" i="3"/>
  <c r="O54" i="3"/>
  <c r="O37" i="3"/>
  <c r="AU192" i="3"/>
  <c r="AU155" i="3"/>
  <c r="AU71" i="3"/>
  <c r="AU189" i="3"/>
  <c r="AU64" i="3"/>
  <c r="AU120" i="3"/>
  <c r="AU190" i="3"/>
  <c r="AU161" i="3"/>
  <c r="AU77" i="3"/>
  <c r="AU151" i="3"/>
  <c r="AU171" i="3"/>
  <c r="AU153" i="3"/>
  <c r="AU104" i="3"/>
  <c r="AU83" i="3"/>
  <c r="AU72" i="3"/>
  <c r="AU149" i="3"/>
  <c r="AU179" i="3"/>
  <c r="AU103" i="3"/>
  <c r="AU133" i="3"/>
  <c r="AU87" i="3"/>
  <c r="AU123" i="3"/>
  <c r="AU156" i="3"/>
  <c r="AU168" i="3"/>
  <c r="AU84" i="3"/>
  <c r="AU80" i="3"/>
  <c r="AU93" i="3"/>
  <c r="AU147" i="3"/>
  <c r="AU146" i="3"/>
  <c r="AU97" i="3"/>
  <c r="AU134" i="3"/>
  <c r="AU111" i="3"/>
  <c r="AU137" i="3"/>
  <c r="AU180" i="3"/>
  <c r="AU158" i="3"/>
  <c r="AU121" i="3"/>
  <c r="AU125" i="3"/>
  <c r="AU62" i="3"/>
  <c r="AU184" i="3"/>
  <c r="AU124" i="3"/>
  <c r="AU183" i="3"/>
  <c r="AU94" i="3"/>
  <c r="AU91" i="3"/>
  <c r="AU26" i="3"/>
  <c r="AU18" i="3"/>
  <c r="AU21" i="3"/>
  <c r="AU22" i="3"/>
  <c r="O14" i="3"/>
  <c r="AE101" i="3"/>
  <c r="O39" i="3"/>
  <c r="O27" i="3"/>
  <c r="AU112" i="3"/>
  <c r="AU160" i="3"/>
  <c r="AU178" i="3"/>
  <c r="AU132" i="3"/>
  <c r="BK76" i="3"/>
  <c r="BK8" i="3"/>
  <c r="BK60" i="3"/>
  <c r="AU143" i="3"/>
  <c r="AU164" i="3"/>
  <c r="AE21" i="3"/>
  <c r="O21" i="3"/>
  <c r="AU51" i="3"/>
  <c r="AU75" i="3"/>
  <c r="AU176" i="3"/>
  <c r="BK38" i="3"/>
  <c r="BK27" i="3"/>
  <c r="O47" i="3"/>
  <c r="AU141" i="3"/>
  <c r="O36" i="3"/>
  <c r="AU6" i="3"/>
  <c r="AU24" i="3"/>
  <c r="BK72" i="3"/>
  <c r="AU108" i="3"/>
  <c r="AU55" i="3"/>
  <c r="AE117" i="3"/>
  <c r="AE47" i="3"/>
  <c r="AU32" i="3"/>
  <c r="BK73" i="3"/>
  <c r="O35" i="3"/>
  <c r="AU61" i="3"/>
  <c r="O43" i="3"/>
  <c r="AU131" i="3"/>
  <c r="BK41" i="3"/>
  <c r="AU187" i="3"/>
  <c r="AU157" i="3"/>
  <c r="AE112" i="3"/>
  <c r="AU79" i="3"/>
  <c r="AU96" i="3"/>
  <c r="AU49" i="3"/>
  <c r="BK13" i="3"/>
  <c r="BK52" i="3"/>
  <c r="O33" i="3"/>
  <c r="AE4" i="3"/>
  <c r="AE5" i="3"/>
  <c r="O56" i="3"/>
  <c r="BK59" i="3"/>
  <c r="AU122" i="3"/>
  <c r="O32" i="3"/>
  <c r="AE48" i="3"/>
  <c r="BK87" i="3"/>
  <c r="AU68" i="3"/>
  <c r="AE162" i="3"/>
  <c r="AE132" i="3"/>
  <c r="AU35" i="3"/>
  <c r="AE56" i="3"/>
  <c r="BK15" i="3"/>
  <c r="AE39" i="3"/>
  <c r="O42" i="3"/>
  <c r="O53" i="3"/>
  <c r="AU98" i="3"/>
  <c r="O41" i="3"/>
  <c r="AE19" i="3"/>
  <c r="O61" i="3"/>
  <c r="AU113" i="3"/>
  <c r="AE51" i="3"/>
  <c r="AU65" i="3"/>
  <c r="AU12" i="3"/>
  <c r="AE84" i="3"/>
  <c r="AU25" i="3"/>
  <c r="BK37" i="3"/>
  <c r="BK30" i="3"/>
  <c r="O40" i="3"/>
  <c r="AU16" i="3"/>
  <c r="AU10" i="3"/>
  <c r="AU14" i="3"/>
  <c r="O59" i="3"/>
  <c r="AU86" i="3"/>
  <c r="BK70" i="3"/>
  <c r="AU43" i="3"/>
  <c r="AU101" i="3"/>
  <c r="AE54" i="3"/>
  <c r="AE128" i="3"/>
  <c r="AE77" i="3"/>
  <c r="BK42" i="3"/>
  <c r="BK82" i="3"/>
  <c r="O4" i="3"/>
  <c r="AU167" i="3"/>
  <c r="BK65" i="3"/>
  <c r="AE9" i="3"/>
  <c r="AE10" i="3"/>
  <c r="AU40" i="3"/>
  <c r="AE6" i="3"/>
  <c r="AU69" i="3"/>
  <c r="AU105" i="3"/>
  <c r="AE148" i="3"/>
  <c r="AU191" i="3"/>
  <c r="AE80" i="3"/>
  <c r="AE90" i="3"/>
  <c r="AE75" i="3"/>
  <c r="AU102" i="3"/>
  <c r="AU99" i="3"/>
  <c r="BK39" i="3"/>
  <c r="BK64" i="3"/>
  <c r="BK78" i="3"/>
  <c r="BK54" i="3"/>
  <c r="BK74" i="3"/>
  <c r="BK55" i="3"/>
  <c r="BK81" i="3"/>
  <c r="BK58" i="3"/>
  <c r="BK26" i="3"/>
  <c r="BK51" i="3"/>
  <c r="BK79" i="3"/>
  <c r="BK44" i="3"/>
  <c r="BK77" i="3"/>
  <c r="BK62" i="3"/>
  <c r="BK47" i="3"/>
  <c r="BK32" i="3"/>
  <c r="BK36" i="3"/>
  <c r="BK43" i="3"/>
  <c r="BK35" i="3"/>
  <c r="BK66" i="3"/>
  <c r="BK61" i="3"/>
  <c r="BK63" i="3"/>
  <c r="BK86" i="3"/>
  <c r="BK57" i="3"/>
  <c r="BK67" i="3"/>
  <c r="BK28" i="3"/>
  <c r="BK84" i="3"/>
  <c r="BK48" i="3"/>
  <c r="BK50" i="3"/>
  <c r="BK25" i="3"/>
  <c r="BK45" i="3"/>
  <c r="BK29" i="3"/>
  <c r="BK85" i="3"/>
  <c r="BK49" i="3"/>
  <c r="BK40" i="3"/>
  <c r="BK34" i="3"/>
  <c r="O24" i="3"/>
  <c r="O44" i="3"/>
  <c r="BK80" i="3"/>
  <c r="AU114" i="3"/>
  <c r="AE27" i="3"/>
  <c r="AE26" i="3"/>
  <c r="AU73" i="3"/>
  <c r="BK53" i="3"/>
  <c r="O26" i="3"/>
  <c r="AU118" i="3"/>
  <c r="AU95" i="3"/>
  <c r="AU188" i="3"/>
  <c r="AU92" i="3"/>
  <c r="O28" i="3"/>
  <c r="AU117" i="3"/>
  <c r="AU30" i="3"/>
  <c r="AU88" i="3"/>
  <c r="AU27" i="3"/>
  <c r="AU173" i="3"/>
  <c r="O57" i="3"/>
  <c r="O25" i="3"/>
  <c r="BK31" i="3"/>
  <c r="AU186" i="3"/>
  <c r="AU170" i="3"/>
  <c r="O22" i="3"/>
  <c r="O51" i="3"/>
  <c r="BK7" i="3"/>
  <c r="AU74" i="3"/>
  <c r="O34" i="3"/>
  <c r="O38" i="3"/>
  <c r="AU8" i="3"/>
  <c r="AE130" i="3"/>
  <c r="AU34" i="3"/>
  <c r="AU119" i="3"/>
  <c r="AU109" i="3"/>
  <c r="AU127" i="3"/>
  <c r="BK56" i="3"/>
  <c r="O46" i="3"/>
  <c r="AU139" i="3"/>
  <c r="AU169" i="3"/>
  <c r="AE53" i="3"/>
  <c r="O58" i="3"/>
  <c r="AU138" i="3"/>
  <c r="O52" i="3"/>
  <c r="AU107" i="3"/>
  <c r="AE7" i="3"/>
  <c r="AU45" i="3"/>
  <c r="AU23" i="3"/>
  <c r="AU48" i="3"/>
  <c r="AU46" i="3"/>
  <c r="BK33" i="3"/>
  <c r="BK69" i="3"/>
  <c r="O49" i="3"/>
  <c r="AU136" i="3"/>
  <c r="AE147" i="3"/>
  <c r="AE131" i="3"/>
  <c r="AE57" i="3"/>
  <c r="AE70" i="3"/>
  <c r="AE78" i="3"/>
  <c r="AE124" i="3"/>
  <c r="AE102" i="3"/>
  <c r="AE94" i="3"/>
  <c r="AE107" i="3"/>
  <c r="AE93" i="3"/>
  <c r="AE149" i="3"/>
  <c r="AE85" i="3"/>
  <c r="AE87" i="3"/>
  <c r="AE74" i="3"/>
  <c r="AE100" i="3"/>
  <c r="AE137" i="3"/>
  <c r="AE145" i="3"/>
  <c r="AE83" i="3"/>
  <c r="AE141" i="3"/>
  <c r="AE91" i="3"/>
  <c r="AE158" i="3"/>
  <c r="AE66" i="3"/>
  <c r="AE126" i="3"/>
  <c r="AE156" i="3"/>
  <c r="AE99" i="3"/>
  <c r="AE115" i="3"/>
  <c r="AE88" i="3"/>
  <c r="AE82" i="3"/>
  <c r="AE136" i="3"/>
  <c r="AE134" i="3"/>
  <c r="AE98" i="3"/>
  <c r="AE121" i="3"/>
  <c r="AE103" i="3"/>
  <c r="AE97" i="3"/>
  <c r="AE86" i="3"/>
  <c r="AE118" i="3"/>
  <c r="AE61" i="3"/>
  <c r="AE120" i="3"/>
  <c r="AE95" i="3"/>
  <c r="AE146" i="3"/>
  <c r="AE122" i="3"/>
  <c r="AE135" i="3"/>
  <c r="AE63" i="3"/>
  <c r="AE76" i="3"/>
  <c r="AE116" i="3"/>
  <c r="AE52" i="3"/>
  <c r="AE105" i="3"/>
  <c r="AE123" i="3"/>
  <c r="AE144" i="3"/>
  <c r="AE125" i="3"/>
  <c r="AE157" i="3"/>
  <c r="AE133" i="3"/>
  <c r="AE62" i="3"/>
  <c r="AE68" i="3"/>
  <c r="AE49" i="3"/>
  <c r="AE58" i="3"/>
  <c r="AE104" i="3"/>
  <c r="AE60" i="3"/>
  <c r="AE50" i="3"/>
  <c r="AE92" i="3"/>
  <c r="AE64" i="3"/>
  <c r="AE155" i="3"/>
  <c r="AE73" i="3"/>
  <c r="AE143" i="3"/>
  <c r="AE89" i="3"/>
  <c r="AE67" i="3"/>
  <c r="AE152" i="3"/>
  <c r="AE72" i="3"/>
  <c r="AE159" i="3"/>
  <c r="AE59" i="3"/>
  <c r="AE65" i="3"/>
  <c r="AE81" i="3"/>
  <c r="AE119" i="3"/>
  <c r="AE114" i="3"/>
  <c r="AU41" i="3"/>
  <c r="AE108" i="3"/>
  <c r="AU90" i="3"/>
  <c r="AE161" i="3"/>
  <c r="AU150" i="3"/>
  <c r="AU144" i="3"/>
  <c r="AU148" i="3"/>
</calcChain>
</file>

<file path=xl/sharedStrings.xml><?xml version="1.0" encoding="utf-8"?>
<sst xmlns="http://schemas.openxmlformats.org/spreadsheetml/2006/main" count="1206" uniqueCount="656">
  <si>
    <t>2026 Live Auction Tool</t>
  </si>
  <si>
    <t>Purpose:</t>
  </si>
  <si>
    <t>This auction tool will give you projected/starting auction values for each player depending on your league settings. Then during your draft, enter the amount players are drafted for. The tool will then adjust a market price for the remaning players on the board. This is based off trends your league is showing so you know if you need to adjust high or low if you want to bid on a player.</t>
  </si>
  <si>
    <t>Note:</t>
  </si>
  <si>
    <t>Just like any tool you use. This is providing calculated data to guide you, it is not telling you who you have to or don't have to draft and at what price. You ultimately have to the make the decision and react to your draft room on the fly if need be.</t>
  </si>
  <si>
    <t>Step 1:</t>
  </si>
  <si>
    <t>Go to the Setup tab and enter your league's Starting Budget, Number of Teams, and Scoring Format.</t>
  </si>
  <si>
    <t>Step 2:</t>
  </si>
  <si>
    <t>Still on Setup, enter your Roster Shape -- Starters at each position, any Flex slots (RB/WR/TE, RB/WR, WR/TE, or Superflex -- these can combine, e.g. 1 RB/WR flex AND 1 Superflex in the same league), DEF, K, and Bench spots.</t>
  </si>
  <si>
    <t>Every value on the whole board recalculates instantly when you change anything here - You should sort each position by "Starting Value" (low to high) if you change anything from the defaults.</t>
  </si>
  <si>
    <t>Step 3:</t>
  </si>
  <si>
    <t>Go to the Draft Board tab. Each position (QB/RB/WR/TE) has its own set of columns. "Starting Value" is what a player is worth before any picks are made. "Market Value" is the live price that updates as your draft happens.</t>
  </si>
  <si>
    <t>Step 4:</t>
  </si>
  <si>
    <t>As players get drafted -- by you or anyone else in your league -- enter the actual winning bid in that player's "Price Paid" column. You don't need to delete, sort, or remove anything; Market Value for every remaining player updates on its own.</t>
  </si>
  <si>
    <t>Click the dropdown arrow on any position's header row to sort that block -- handy after switching Scoring Format, since row order is only set once when the sheet is built.</t>
  </si>
  <si>
    <t>Step 5:</t>
  </si>
  <si>
    <t>Track your own roster and remaining budget on the My Team tab -- separate from the main board, just for you.</t>
  </si>
  <si>
    <t>Note</t>
  </si>
  <si>
    <t>A single pick won't swing anyone's price much -- Market Value only moves once a couple of real prices come in for players near each other in value.</t>
  </si>
  <si>
    <t>The board is trimmed to a realistic depth per position -- you won't see every player who could theoretically be rostered, just anyone with a real shot at being drafted.</t>
  </si>
  <si>
    <t>If you change anything on Setup mid-draft, every value recalculates instantly -- but any Price Paid you've already entered stays exactly as typed.</t>
  </si>
  <si>
    <t>Field Legend</t>
  </si>
  <si>
    <t>Player / Team</t>
  </si>
  <si>
    <t>Who and where.</t>
  </si>
  <si>
    <t>Proj Pts</t>
  </si>
  <si>
    <t>Projected season points, based on your selected Scoring Format.</t>
  </si>
  <si>
    <t>Starting Value</t>
  </si>
  <si>
    <t>What we'd expect this player to cost before any picks are made.</t>
  </si>
  <si>
    <t>Price Paid</t>
  </si>
  <si>
    <t>Enter the real winning bid once a player is drafted -- blank until then.</t>
  </si>
  <si>
    <t>Market Value</t>
  </si>
  <si>
    <t>The live price estimate. Equals Price Paid once you've entered it; otherwise it's the current estimate given who's already gone.</t>
  </si>
  <si>
    <t>League Setup</t>
  </si>
  <si>
    <t>Starting Budget ($)</t>
  </si>
  <si>
    <t>Number of Teams</t>
  </si>
  <si>
    <t>Scoring Format</t>
  </si>
  <si>
    <t>Half-PPR</t>
  </si>
  <si>
    <t>Roster Shape</t>
  </si>
  <si>
    <t>QB Starters</t>
  </si>
  <si>
    <t>RB Starters</t>
  </si>
  <si>
    <t>WR Starters</t>
  </si>
  <si>
    <t>TE Starters</t>
  </si>
  <si>
    <t>Flex: RB/WR/TE Count</t>
  </si>
  <si>
    <t>Flex: RB/WR Count</t>
  </si>
  <si>
    <t>Flex: WR/TE Count</t>
  </si>
  <si>
    <t>Superflex Count (QB/RB/WR/TE)</t>
  </si>
  <si>
    <t>DEF</t>
  </si>
  <si>
    <t>K</t>
  </si>
  <si>
    <t>Bench</t>
  </si>
  <si>
    <t>Player</t>
  </si>
  <si>
    <t>Team</t>
  </si>
  <si>
    <t>Points (STD)</t>
  </si>
  <si>
    <t>Points (Half-PPR)</t>
  </si>
  <si>
    <t>Points (PPR)</t>
  </si>
  <si>
    <t>Tier</t>
  </si>
  <si>
    <t>Weighted VORP</t>
  </si>
  <si>
    <t>Row Num</t>
  </si>
  <si>
    <t>Gap Start</t>
  </si>
  <si>
    <t>Gap Tier Top</t>
  </si>
  <si>
    <t>Tier Start</t>
  </si>
  <si>
    <t>Josh Allen</t>
  </si>
  <si>
    <t>BUF</t>
  </si>
  <si>
    <t>Jahmyr Gibbs</t>
  </si>
  <si>
    <t>DET</t>
  </si>
  <si>
    <t>Puka Nacua</t>
  </si>
  <si>
    <t>LAR</t>
  </si>
  <si>
    <t>Trey McBride</t>
  </si>
  <si>
    <t>ARI</t>
  </si>
  <si>
    <t>Lamar Jackson</t>
  </si>
  <si>
    <t>BAL</t>
  </si>
  <si>
    <t>Bijan Robinson</t>
  </si>
  <si>
    <t>ATL</t>
  </si>
  <si>
    <t>Ja'Marr Chase</t>
  </si>
  <si>
    <t>CIN</t>
  </si>
  <si>
    <t>Brock Bowers</t>
  </si>
  <si>
    <t>LV</t>
  </si>
  <si>
    <t>Drake Maye</t>
  </si>
  <si>
    <t>NE</t>
  </si>
  <si>
    <t>Christian McCaffrey</t>
  </si>
  <si>
    <t>SF</t>
  </si>
  <si>
    <t>Jaxon Smith-Njigba</t>
  </si>
  <si>
    <t>SEA</t>
  </si>
  <si>
    <t>Colston Loveland</t>
  </si>
  <si>
    <t>CHI</t>
  </si>
  <si>
    <t>Jayden Daniels</t>
  </si>
  <si>
    <t>WAS</t>
  </si>
  <si>
    <t>Jonathan Taylor</t>
  </si>
  <si>
    <t>IND</t>
  </si>
  <si>
    <t>Amon-Ra St. Brown</t>
  </si>
  <si>
    <t>Tyler Warren</t>
  </si>
  <si>
    <t>Jalen Hurts</t>
  </si>
  <si>
    <t>PHI</t>
  </si>
  <si>
    <t>James Cook III</t>
  </si>
  <si>
    <t>CeeDee Lamb</t>
  </si>
  <si>
    <t>DAL</t>
  </si>
  <si>
    <t>Tucker Kraft</t>
  </si>
  <si>
    <t>GB</t>
  </si>
  <si>
    <t>Joe Burrow</t>
  </si>
  <si>
    <t>Ashton Jeanty</t>
  </si>
  <si>
    <t>Drake London</t>
  </si>
  <si>
    <t>Harold Fannin Jr.</t>
  </si>
  <si>
    <t>CLE</t>
  </si>
  <si>
    <t>Caleb Williams</t>
  </si>
  <si>
    <t>Derrick Henry</t>
  </si>
  <si>
    <t>Justin Jefferson</t>
  </si>
  <si>
    <t>MIN</t>
  </si>
  <si>
    <t>Kyle Pitts Sr.</t>
  </si>
  <si>
    <t>Trevor Lawrence</t>
  </si>
  <si>
    <t>JAC</t>
  </si>
  <si>
    <t>Saquon Barkley</t>
  </si>
  <si>
    <t>Nico Collins</t>
  </si>
  <si>
    <t>HOU</t>
  </si>
  <si>
    <t>Sam LaPorta</t>
  </si>
  <si>
    <t>Dak Prescott</t>
  </si>
  <si>
    <t>Chase Brown</t>
  </si>
  <si>
    <t>A.J. Brown</t>
  </si>
  <si>
    <t>George Kittle</t>
  </si>
  <si>
    <t>Justin Herbert</t>
  </si>
  <si>
    <t>LAC</t>
  </si>
  <si>
    <t>Kenneth Walker III</t>
  </si>
  <si>
    <t>KC</t>
  </si>
  <si>
    <t>George Pickens</t>
  </si>
  <si>
    <t>Travis Kelce</t>
  </si>
  <si>
    <t>Brock Purdy</t>
  </si>
  <si>
    <t>De'Von Achane</t>
  </si>
  <si>
    <t>MIA</t>
  </si>
  <si>
    <t>Rashee Rice</t>
  </si>
  <si>
    <t>Dallas Goedert</t>
  </si>
  <si>
    <t>Patrick Mahomes</t>
  </si>
  <si>
    <t>Omarion Hampton</t>
  </si>
  <si>
    <t>Chris Olave</t>
  </si>
  <si>
    <t>NO</t>
  </si>
  <si>
    <t>Mark Andrews</t>
  </si>
  <si>
    <t>Jaxson Dart</t>
  </si>
  <si>
    <t>NYG</t>
  </si>
  <si>
    <t>Josh Jacobs</t>
  </si>
  <si>
    <t>Malik Nabers</t>
  </si>
  <si>
    <t>Dalton Kincaid</t>
  </si>
  <si>
    <t>Bo Nix</t>
  </si>
  <si>
    <t>DEN</t>
  </si>
  <si>
    <t>Kyren Williams</t>
  </si>
  <si>
    <t>Zay Flowers</t>
  </si>
  <si>
    <t>Isaiah Likely</t>
  </si>
  <si>
    <t>Kyler Murray</t>
  </si>
  <si>
    <t>Jeremiyah Love</t>
  </si>
  <si>
    <t>DeVonta Smith</t>
  </si>
  <si>
    <t>Jake Ferguson</t>
  </si>
  <si>
    <t>Jared Goff</t>
  </si>
  <si>
    <t>Javonte Williams</t>
  </si>
  <si>
    <t>Tee Higgins</t>
  </si>
  <si>
    <t>Juwan Johnson</t>
  </si>
  <si>
    <t>Matthew Stafford</t>
  </si>
  <si>
    <t>Breece Hall</t>
  </si>
  <si>
    <t>NYJ</t>
  </si>
  <si>
    <t>Garrett Wilson</t>
  </si>
  <si>
    <t>Hunter Henry</t>
  </si>
  <si>
    <t>Tyler Shough</t>
  </si>
  <si>
    <t>Travis Etienne Jr.</t>
  </si>
  <si>
    <t>Emeka Egbuka</t>
  </si>
  <si>
    <t>TB</t>
  </si>
  <si>
    <t>Brenton Strange</t>
  </si>
  <si>
    <t>Baker Mayfield</t>
  </si>
  <si>
    <t>Cam Skattebo</t>
  </si>
  <si>
    <t>Tetairoa McMillan</t>
  </si>
  <si>
    <t>CAR</t>
  </si>
  <si>
    <t>Dalton Schultz</t>
  </si>
  <si>
    <t>Jordan Love</t>
  </si>
  <si>
    <t>D'Andre Swift</t>
  </si>
  <si>
    <t>Jaylen Waddle</t>
  </si>
  <si>
    <t>Chig Okonkwo</t>
  </si>
  <si>
    <t>Malik Willis</t>
  </si>
  <si>
    <t>Bucky Irving</t>
  </si>
  <si>
    <t>Ladd McConkey</t>
  </si>
  <si>
    <t>T.J. Hockenson</t>
  </si>
  <si>
    <t>Daniel Jones</t>
  </si>
  <si>
    <t>Quinshon Judkins</t>
  </si>
  <si>
    <t>Davante Adams</t>
  </si>
  <si>
    <t>Kenyon Sadiq</t>
  </si>
  <si>
    <t>C.J. Stroud</t>
  </si>
  <si>
    <t>David Montgomery</t>
  </si>
  <si>
    <t>Luther Burden III</t>
  </si>
  <si>
    <t>AJ Barner</t>
  </si>
  <si>
    <t>Sam Darnold</t>
  </si>
  <si>
    <t>Bhayshul Tuten</t>
  </si>
  <si>
    <t>Jameson Williams</t>
  </si>
  <si>
    <t>Terrance Ferguson</t>
  </si>
  <si>
    <t>Bryce Young</t>
  </si>
  <si>
    <t>Jadarian Price</t>
  </si>
  <si>
    <t>Christian Watson</t>
  </si>
  <si>
    <t>Pat Freiermuth</t>
  </si>
  <si>
    <t>PIT</t>
  </si>
  <si>
    <t>Cam Ward</t>
  </si>
  <si>
    <t>TEN</t>
  </si>
  <si>
    <t>TreVeyon Henderson</t>
  </si>
  <si>
    <t>Terry McLaurin</t>
  </si>
  <si>
    <t>Greg Dulcich</t>
  </si>
  <si>
    <t>Aaron Rodgers</t>
  </si>
  <si>
    <t>Jaylen Warren</t>
  </si>
  <si>
    <t>Mike Evans</t>
  </si>
  <si>
    <t>Cade Otton</t>
  </si>
  <si>
    <t>Jacoby Brissett</t>
  </si>
  <si>
    <t>Rhamondre Stevenson</t>
  </si>
  <si>
    <t>D.J. Moore</t>
  </si>
  <si>
    <t>Oronde Gadsden II</t>
  </si>
  <si>
    <t>Geno Smith</t>
  </si>
  <si>
    <t>Rico Dowdle</t>
  </si>
  <si>
    <t>Rome Odunze</t>
  </si>
  <si>
    <t>Gunnar Helm</t>
  </si>
  <si>
    <t>Fernando Mendoza</t>
  </si>
  <si>
    <t>Tony Pollard</t>
  </si>
  <si>
    <t>Parker Washington</t>
  </si>
  <si>
    <t>Darren Waller</t>
  </si>
  <si>
    <t>Tua Tagovailoa</t>
  </si>
  <si>
    <t>Jonathon Brooks</t>
  </si>
  <si>
    <t>D.K. Metcalf</t>
  </si>
  <si>
    <t>Mike Gesicki</t>
  </si>
  <si>
    <t>Deshaun Watson</t>
  </si>
  <si>
    <t>J.K. Dobbins</t>
  </si>
  <si>
    <t>Marvin Harrison Jr.</t>
  </si>
  <si>
    <t>Colby Parkinson</t>
  </si>
  <si>
    <t>Michael Penix Jr.</t>
  </si>
  <si>
    <t>Chuba Hubbard</t>
  </si>
  <si>
    <t>Courtland Sutton</t>
  </si>
  <si>
    <t>Evan Engram</t>
  </si>
  <si>
    <t>Shedeur Sanders</t>
  </si>
  <si>
    <t>Blake Corum</t>
  </si>
  <si>
    <t>Carnell Tate</t>
  </si>
  <si>
    <t>David Njoku</t>
  </si>
  <si>
    <t>Kirk Cousins</t>
  </si>
  <si>
    <t>Jacory Croskey-Merritt</t>
  </si>
  <si>
    <t>Brian Thomas Jr.</t>
  </si>
  <si>
    <t>Darnell Washington</t>
  </si>
  <si>
    <t>Carson Beck</t>
  </si>
  <si>
    <t>RJ Harvey</t>
  </si>
  <si>
    <t>Chris Godwin Jr.</t>
  </si>
  <si>
    <t>Michael Mayer</t>
  </si>
  <si>
    <t>J.J. McCarthy</t>
  </si>
  <si>
    <t>Kenny Gainwell</t>
  </si>
  <si>
    <t>Alec Pierce</t>
  </si>
  <si>
    <t>Mason Taylor</t>
  </si>
  <si>
    <t>Justin Fields</t>
  </si>
  <si>
    <t>Jordan Mason</t>
  </si>
  <si>
    <t>Quentin Johnston</t>
  </si>
  <si>
    <t>Dawson Knox</t>
  </si>
  <si>
    <t>Ty Simpson</t>
  </si>
  <si>
    <t>Kyle Monangai</t>
  </si>
  <si>
    <t>Jayden Reed</t>
  </si>
  <si>
    <t>Theo Johnson</t>
  </si>
  <si>
    <t>Anthony Richardson Sr.</t>
  </si>
  <si>
    <t>Rachaad White</t>
  </si>
  <si>
    <t>Michael Pittman Jr.</t>
  </si>
  <si>
    <t>Charlie Kolar</t>
  </si>
  <si>
    <t>Taylen Green</t>
  </si>
  <si>
    <t>Aaron Jones Sr.</t>
  </si>
  <si>
    <t>Jordan Addison</t>
  </si>
  <si>
    <t>Eli Stowers</t>
  </si>
  <si>
    <t>Cade Klubnik</t>
  </si>
  <si>
    <t>Chris Rodriguez Jr.</t>
  </si>
  <si>
    <t>Stefon Diggs</t>
  </si>
  <si>
    <t>Elijah Arroyo</t>
  </si>
  <si>
    <t>Marcus Mariota</t>
  </si>
  <si>
    <t>Tyjae Spears</t>
  </si>
  <si>
    <t>Josh Downs</t>
  </si>
  <si>
    <t>Cole Kmet</t>
  </si>
  <si>
    <t>Mac Jones</t>
  </si>
  <si>
    <t>Woody Marks</t>
  </si>
  <si>
    <t>Michael Wilson</t>
  </si>
  <si>
    <t>Erick All Jr.</t>
  </si>
  <si>
    <t>Joe Flacco</t>
  </si>
  <si>
    <t>Zach Charbonnet</t>
  </si>
  <si>
    <t>Jakobi Meyers</t>
  </si>
  <si>
    <t>Tyler Higbee</t>
  </si>
  <si>
    <t>Mason Rudolph</t>
  </si>
  <si>
    <t>Keaton Mitchell</t>
  </si>
  <si>
    <t>Wan'Dale Robinson</t>
  </si>
  <si>
    <t>Eli Raridon</t>
  </si>
  <si>
    <t>Tyrod Taylor</t>
  </si>
  <si>
    <t>Tyler Allgeier</t>
  </si>
  <si>
    <t>Makai Lemon</t>
  </si>
  <si>
    <t>Noah Gray</t>
  </si>
  <si>
    <t>Spencer Rattler</t>
  </si>
  <si>
    <t>Isiah Pacheco</t>
  </si>
  <si>
    <t>Xavier Worthy</t>
  </si>
  <si>
    <t>Jonnu Smith</t>
  </si>
  <si>
    <t>FA</t>
  </si>
  <si>
    <t>Jameis Winston</t>
  </si>
  <si>
    <t>Tyrone Tracy Jr.</t>
  </si>
  <si>
    <t>Matthew Golden</t>
  </si>
  <si>
    <t>Noah Fant</t>
  </si>
  <si>
    <t>Davis Mills</t>
  </si>
  <si>
    <t>Alvin Kamara</t>
  </si>
  <si>
    <t>KC Concepcion</t>
  </si>
  <si>
    <t>Jake Tonges</t>
  </si>
  <si>
    <t>Tyson Bagent</t>
  </si>
  <si>
    <t>Dylan Sampson</t>
  </si>
  <si>
    <t>Romeo Doubs</t>
  </si>
  <si>
    <t>Josh Oliver</t>
  </si>
  <si>
    <t>Sam Howell</t>
  </si>
  <si>
    <t>Brian Robinson Jr.</t>
  </si>
  <si>
    <t>Khalil Shakir</t>
  </si>
  <si>
    <t>Austin Hooper</t>
  </si>
  <si>
    <t>Trey Lance</t>
  </si>
  <si>
    <t>MarShawn Lloyd</t>
  </si>
  <si>
    <t>Deebo Samuel Sr.</t>
  </si>
  <si>
    <t>Daniel Bellinger</t>
  </si>
  <si>
    <t>Tyler Huntley</t>
  </si>
  <si>
    <t>Tank Bigsby</t>
  </si>
  <si>
    <t>Jalen Coker</t>
  </si>
  <si>
    <t>Will Kacmarek</t>
  </si>
  <si>
    <t>Gardner Minshew II</t>
  </si>
  <si>
    <t>Jonah Coleman</t>
  </si>
  <si>
    <t>De'Zhaun Stribling</t>
  </si>
  <si>
    <t>Brock Wright</t>
  </si>
  <si>
    <t>Andy Dalton</t>
  </si>
  <si>
    <t>Braelon Allen</t>
  </si>
  <si>
    <t>Rashid Shaheed</t>
  </si>
  <si>
    <t>Tommy Tremble</t>
  </si>
  <si>
    <t>Quinn Ewers</t>
  </si>
  <si>
    <t>Justice Hill</t>
  </si>
  <si>
    <t>Denzel Boston</t>
  </si>
  <si>
    <t>Oscar Delp</t>
  </si>
  <si>
    <t>Tommy DeVito</t>
  </si>
  <si>
    <t>Mike Washington Jr.</t>
  </si>
  <si>
    <t>Jordyn Tyson</t>
  </si>
  <si>
    <t>Elijah Higgins</t>
  </si>
  <si>
    <t>Kyle Allen</t>
  </si>
  <si>
    <t>Jaydon Blue</t>
  </si>
  <si>
    <t>Tre Tucker</t>
  </si>
  <si>
    <t>Max Klare</t>
  </si>
  <si>
    <t>Joe Milton III</t>
  </si>
  <si>
    <t>Samaje Perine</t>
  </si>
  <si>
    <t>Jalen McMillan</t>
  </si>
  <si>
    <t>Adam Trautman</t>
  </si>
  <si>
    <t>Emmett Johnson</t>
  </si>
  <si>
    <t>Jalen Nailor</t>
  </si>
  <si>
    <t>Luke Musgrave</t>
  </si>
  <si>
    <t>Ty Johnson</t>
  </si>
  <si>
    <t>Keenan Allen</t>
  </si>
  <si>
    <t>Nate Boerkircher</t>
  </si>
  <si>
    <t>Sean Tucker</t>
  </si>
  <si>
    <t>Adonai Mitchell</t>
  </si>
  <si>
    <t>Ja'Tavion Sanders</t>
  </si>
  <si>
    <t>Kaelon Black</t>
  </si>
  <si>
    <t>Jerry Jeudy</t>
  </si>
  <si>
    <t>Will Dissly</t>
  </si>
  <si>
    <t>Ray Davis</t>
  </si>
  <si>
    <t>Jaylin Noel</t>
  </si>
  <si>
    <t>Cade Stover</t>
  </si>
  <si>
    <t>James Conner</t>
  </si>
  <si>
    <t>Jauan Jennings</t>
  </si>
  <si>
    <t>Connor Heyward</t>
  </si>
  <si>
    <t>Kimani Vidal</t>
  </si>
  <si>
    <t>Tank Dell</t>
  </si>
  <si>
    <t>Marlin Klein</t>
  </si>
  <si>
    <t>Najee Harris</t>
  </si>
  <si>
    <t>Ryan Flournoy</t>
  </si>
  <si>
    <t>Zach Ertz</t>
  </si>
  <si>
    <t>Jaylen Wright</t>
  </si>
  <si>
    <t>Rashod Bateman</t>
  </si>
  <si>
    <t>Ben Sinnott</t>
  </si>
  <si>
    <t>Jordan James</t>
  </si>
  <si>
    <t>Calvin Ridley</t>
  </si>
  <si>
    <t>Mitchell Evans</t>
  </si>
  <si>
    <t>Isaiah Davis</t>
  </si>
  <si>
    <t>Ja'Kobi Lane</t>
  </si>
  <si>
    <t>Justin Joly</t>
  </si>
  <si>
    <t>Nicholas Singleton</t>
  </si>
  <si>
    <t>Tre' Harris</t>
  </si>
  <si>
    <t>Jack Endries</t>
  </si>
  <si>
    <t>George Holani</t>
  </si>
  <si>
    <t>Malik Washington</t>
  </si>
  <si>
    <t>Davis Allen</t>
  </si>
  <si>
    <t>Kaytron Allen</t>
  </si>
  <si>
    <t>Caleb Douglas</t>
  </si>
  <si>
    <t>Jackson Hawes</t>
  </si>
  <si>
    <t>Emanuel Wilson</t>
  </si>
  <si>
    <t>Pat Bryant</t>
  </si>
  <si>
    <t>Lance Mason</t>
  </si>
  <si>
    <t>Adam Randall</t>
  </si>
  <si>
    <t>Dontayvion Wicks</t>
  </si>
  <si>
    <t>Miles Kitselman</t>
  </si>
  <si>
    <t>Chris Brooks</t>
  </si>
  <si>
    <t>Travis Hunter</t>
  </si>
  <si>
    <t>Michael Trigg</t>
  </si>
  <si>
    <t>AJ Dillon</t>
  </si>
  <si>
    <t>Devaughn Vele</t>
  </si>
  <si>
    <t>Luke Schoonmaker</t>
  </si>
  <si>
    <t>Seth McGowan</t>
  </si>
  <si>
    <t>Omar Cooper Jr.</t>
  </si>
  <si>
    <t>John Bates</t>
  </si>
  <si>
    <t>Malik Davis</t>
  </si>
  <si>
    <t>Kayshon Boutte</t>
  </si>
  <si>
    <t>Tanner Hudson</t>
  </si>
  <si>
    <t>LeQuint Allen Jr.</t>
  </si>
  <si>
    <t>Cooper Kupp</t>
  </si>
  <si>
    <t>Drew Sample</t>
  </si>
  <si>
    <t>Ollie Gordon II</t>
  </si>
  <si>
    <t>Isaac TeSlaa</t>
  </si>
  <si>
    <t>J. Michael Gyllenborg</t>
  </si>
  <si>
    <t>Emari Demercado</t>
  </si>
  <si>
    <t>Germie Bernard</t>
  </si>
  <si>
    <t>John Michael Gyllenborg</t>
  </si>
  <si>
    <t>Brashard Smith</t>
  </si>
  <si>
    <t>Zachariah Branch</t>
  </si>
  <si>
    <t>Jeremy Ruckert</t>
  </si>
  <si>
    <t>Kareem Hunt</t>
  </si>
  <si>
    <t>Chris Bell</t>
  </si>
  <si>
    <t>Foster Moreau</t>
  </si>
  <si>
    <t>Demond Claiborne</t>
  </si>
  <si>
    <t>Cyrus Allen</t>
  </si>
  <si>
    <t>Mo Alie-Cox</t>
  </si>
  <si>
    <t>Kyle Juszczyk</t>
  </si>
  <si>
    <t>Tyquan Thornton</t>
  </si>
  <si>
    <t>Phil Mafah</t>
  </si>
  <si>
    <t>Antonio Williams</t>
  </si>
  <si>
    <t>Kendre Miller</t>
  </si>
  <si>
    <t>Marquise Brown</t>
  </si>
  <si>
    <t>Devin Singletary</t>
  </si>
  <si>
    <t>Xavier Legette</t>
  </si>
  <si>
    <t>Austin Ekeler</t>
  </si>
  <si>
    <t>Andrei Iosivas</t>
  </si>
  <si>
    <t>DJ Giddens</t>
  </si>
  <si>
    <t>Jack Bech</t>
  </si>
  <si>
    <t>Trey Benson</t>
  </si>
  <si>
    <t>Darius Slayton</t>
  </si>
  <si>
    <t>Antonio Gibson</t>
  </si>
  <si>
    <t>Troy Franklin</t>
  </si>
  <si>
    <t>Nick Chubb</t>
  </si>
  <si>
    <t>Malachi Fields</t>
  </si>
  <si>
    <t>Jeremy McNichols</t>
  </si>
  <si>
    <t>Keon Coleman</t>
  </si>
  <si>
    <t>Raheim Sanders</t>
  </si>
  <si>
    <t>Tory Horton</t>
  </si>
  <si>
    <t>Jawhar Jordan</t>
  </si>
  <si>
    <t>Jahan Dotson</t>
  </si>
  <si>
    <t>Ty Chandler</t>
  </si>
  <si>
    <t>Darnell Mooney</t>
  </si>
  <si>
    <t>Kaleb Johnson</t>
  </si>
  <si>
    <t>KaVontae Turpin</t>
  </si>
  <si>
    <t>Zavier Scott</t>
  </si>
  <si>
    <t>Ted Hurst III</t>
  </si>
  <si>
    <t>Tahj Brooks</t>
  </si>
  <si>
    <t>Elic Ayomanor</t>
  </si>
  <si>
    <t>Devin Neal</t>
  </si>
  <si>
    <t>Kendrick Bourne</t>
  </si>
  <si>
    <t>Will Shipley</t>
  </si>
  <si>
    <t>Tyreek Hill</t>
  </si>
  <si>
    <t>Trevor Etienne</t>
  </si>
  <si>
    <t>Marvin Mims Jr.</t>
  </si>
  <si>
    <t>J'Mari Taylor</t>
  </si>
  <si>
    <t>DeMario Douglas</t>
  </si>
  <si>
    <t>Eli Heidenreich</t>
  </si>
  <si>
    <t>Malik Benson</t>
  </si>
  <si>
    <t>Alexander Mattison</t>
  </si>
  <si>
    <t>Xavier Hutchinson</t>
  </si>
  <si>
    <t>Miles Sanders</t>
  </si>
  <si>
    <t>Christian Kirk</t>
  </si>
  <si>
    <t>Roschon Johnson</t>
  </si>
  <si>
    <t>Jalen Tolbert</t>
  </si>
  <si>
    <t>Hunter Luepke</t>
  </si>
  <si>
    <t>Josh Palmer</t>
  </si>
  <si>
    <t>Jam Miller</t>
  </si>
  <si>
    <t>Brandon Aiyuk</t>
  </si>
  <si>
    <t>Rasheen Ali</t>
  </si>
  <si>
    <t>Chimere Dike</t>
  </si>
  <si>
    <t>Audric Estime</t>
  </si>
  <si>
    <t>Bub Means</t>
  </si>
  <si>
    <t>Isaac Guerendo</t>
  </si>
  <si>
    <t>Olamide Zaccheaus</t>
  </si>
  <si>
    <t>Trayveon Williams</t>
  </si>
  <si>
    <t>Elijah Sarratt</t>
  </si>
  <si>
    <t>Lan Larison</t>
  </si>
  <si>
    <t>Bryce Lance</t>
  </si>
  <si>
    <t>Jarquez Hunter</t>
  </si>
  <si>
    <t>Brenen Thompson</t>
  </si>
  <si>
    <t>Terrell Jennings</t>
  </si>
  <si>
    <t>Kalif Raymond</t>
  </si>
  <si>
    <t>Frank Gore Jr.</t>
  </si>
  <si>
    <t>Roman Wilson</t>
  </si>
  <si>
    <t>Brittain Brown</t>
  </si>
  <si>
    <t>Hollywood Brown</t>
  </si>
  <si>
    <t>Tyler Goodson</t>
  </si>
  <si>
    <t>Calvin Austin III</t>
  </si>
  <si>
    <t>Ronnie Rivers</t>
  </si>
  <si>
    <t>Devontez Walker</t>
  </si>
  <si>
    <t>Jaleel McLaughlin</t>
  </si>
  <si>
    <t>Savion Williams</t>
  </si>
  <si>
    <t>Robert Henry Jr.</t>
  </si>
  <si>
    <t>Tutu Atwell</t>
  </si>
  <si>
    <t>Jaydn Ott</t>
  </si>
  <si>
    <t>Isaiah Bond</t>
  </si>
  <si>
    <t>Sione Vaki</t>
  </si>
  <si>
    <t>Ashton Dulin</t>
  </si>
  <si>
    <t>Mack Hollins</t>
  </si>
  <si>
    <t>Michael Carter</t>
  </si>
  <si>
    <t>Zavion Thomas</t>
  </si>
  <si>
    <t>Ameer Abdullah</t>
  </si>
  <si>
    <t>Jordan Whittington</t>
  </si>
  <si>
    <t>Jerome Ford</t>
  </si>
  <si>
    <t>Curtis Samuel</t>
  </si>
  <si>
    <t>Desmond Reid</t>
  </si>
  <si>
    <t>Colbie Young</t>
  </si>
  <si>
    <t>Roman Hemby</t>
  </si>
  <si>
    <t>Cedric Tillman</t>
  </si>
  <si>
    <t>Elijah Mitchell</t>
  </si>
  <si>
    <t>DeAndre Hopkins</t>
  </si>
  <si>
    <t>Carlos Washington Jr.</t>
  </si>
  <si>
    <t>Demarcus Robinson</t>
  </si>
  <si>
    <t>Riley Nowakowski</t>
  </si>
  <si>
    <t>Isaiah Williams</t>
  </si>
  <si>
    <t>Dameon Pierce</t>
  </si>
  <si>
    <t>Dyami Brown</t>
  </si>
  <si>
    <t>Raheem Mostert</t>
  </si>
  <si>
    <t>Luke McCaffrey</t>
  </si>
  <si>
    <t>Pierre Strong Jr.</t>
  </si>
  <si>
    <t>Treylon Burks</t>
  </si>
  <si>
    <t>Andrew Beck</t>
  </si>
  <si>
    <t>Jahdae Walker</t>
  </si>
  <si>
    <t>Damien Martinez</t>
  </si>
  <si>
    <t>Tez Johnson</t>
  </si>
  <si>
    <t>Michael Burton</t>
  </si>
  <si>
    <t>Skyler Bell</t>
  </si>
  <si>
    <t>Nathan Carter</t>
  </si>
  <si>
    <t>Konata Mumpfield</t>
  </si>
  <si>
    <t>Jaret Patterson</t>
  </si>
  <si>
    <t>Barion Brown</t>
  </si>
  <si>
    <t>Alec Ingold</t>
  </si>
  <si>
    <t>Greg Dortch</t>
  </si>
  <si>
    <t>Noah Whittington</t>
  </si>
  <si>
    <t>Kyle Williams</t>
  </si>
  <si>
    <t>Dare Ogunbowale</t>
  </si>
  <si>
    <t>Jalen Royals</t>
  </si>
  <si>
    <t>Dean Connors</t>
  </si>
  <si>
    <t>Jimmy Horn Jr.</t>
  </si>
  <si>
    <t>Jamal Haynes</t>
  </si>
  <si>
    <t>Eric McAlister</t>
  </si>
  <si>
    <t>Tyler Badie</t>
  </si>
  <si>
    <t>Tim Patrick</t>
  </si>
  <si>
    <t>Jacob Saylors</t>
  </si>
  <si>
    <t>Brandin Cooks</t>
  </si>
  <si>
    <t>Scott Matlock</t>
  </si>
  <si>
    <t>Tyler Lockett</t>
  </si>
  <si>
    <t>Donovan Edwards</t>
  </si>
  <si>
    <t>Jaylin Lane</t>
  </si>
  <si>
    <t>Kalel Mullings</t>
  </si>
  <si>
    <t>Justin Watson</t>
  </si>
  <si>
    <t>Max Bredeson</t>
  </si>
  <si>
    <t>John Metchie III</t>
  </si>
  <si>
    <t>Adam Prentice</t>
  </si>
  <si>
    <t>Hunter Renfrow</t>
  </si>
  <si>
    <t>CJ Donaldson</t>
  </si>
  <si>
    <t>Jayden Higgins</t>
  </si>
  <si>
    <t>Terion Stewart</t>
  </si>
  <si>
    <t>Dont'e Thornton Jr.</t>
  </si>
  <si>
    <t>Kenny McIntosh</t>
  </si>
  <si>
    <t>Darius Cooper</t>
  </si>
  <si>
    <t>Dylan Laube</t>
  </si>
  <si>
    <t>Kevin Coleman Jr.</t>
  </si>
  <si>
    <t>Bam Knight</t>
  </si>
  <si>
    <t>Sterling Shepard</t>
  </si>
  <si>
    <t>Tai Felton</t>
  </si>
  <si>
    <t>Eric Rivers Jr.</t>
  </si>
  <si>
    <t>Nick Westbrook-Ikhine</t>
  </si>
  <si>
    <t>Aaron Anderson</t>
  </si>
  <si>
    <t>KeAndre Lambert-Smith</t>
  </si>
  <si>
    <t>CJ Daniels</t>
  </si>
  <si>
    <t>Marquez Valdes-Scantling</t>
  </si>
  <si>
    <t>Mitch Tinsley</t>
  </si>
  <si>
    <t>Odell Beckham Jr.</t>
  </si>
  <si>
    <t>Noah Brown</t>
  </si>
  <si>
    <t>Reggie Virgil</t>
  </si>
  <si>
    <t>Xavier Smith</t>
  </si>
  <si>
    <t>Jonathan Mingo</t>
  </si>
  <si>
    <t>David Sills V</t>
  </si>
  <si>
    <t>Jalen Reagor</t>
  </si>
  <si>
    <t>Deion Burks</t>
  </si>
  <si>
    <t>Mason Tipton</t>
  </si>
  <si>
    <t>Josh Cameron</t>
  </si>
  <si>
    <t>Tyrell Shavers</t>
  </si>
  <si>
    <t>JP Richardson</t>
  </si>
  <si>
    <t>David Moore</t>
  </si>
  <si>
    <t>Derius Davis</t>
  </si>
  <si>
    <t>Ben Skowronek</t>
  </si>
  <si>
    <t>Malachi Corley</t>
  </si>
  <si>
    <t>Bo Melton</t>
  </si>
  <si>
    <t>K.J. Osborn</t>
  </si>
  <si>
    <t>Arian Smith</t>
  </si>
  <si>
    <t>Jordan Watkins</t>
  </si>
  <si>
    <t>Chris Moore</t>
  </si>
  <si>
    <t>Camden Brown</t>
  </si>
  <si>
    <t>$ SETUP</t>
  </si>
  <si>
    <t>Total Teams</t>
  </si>
  <si>
    <t>Total Roster Spots</t>
  </si>
  <si>
    <t>Total Money ($)</t>
  </si>
  <si>
    <t>Total Discretionary ($)</t>
  </si>
  <si>
    <t>ROSTER REGIME</t>
  </si>
  <si>
    <t>Has Superflex-Level QB Demand</t>
  </si>
  <si>
    <t>BASELINE (real Teams/Format calibration)</t>
  </si>
  <si>
    <t>Position</t>
  </si>
  <si>
    <t>Baseline Rank</t>
  </si>
  <si>
    <t>Baseline Exponent</t>
  </si>
  <si>
    <t>Baseline Budget Share</t>
  </si>
  <si>
    <t>SF-Shift Exp Ratio</t>
  </si>
  <si>
    <t>SF-Shift Share Ratio</t>
  </si>
  <si>
    <t>Exponent Slope/Flex</t>
  </si>
  <si>
    <t>Budget-Share Slope/Flex</t>
  </si>
  <si>
    <t>QB</t>
  </si>
  <si>
    <t>RB</t>
  </si>
  <si>
    <t>WR</t>
  </si>
  <si>
    <t>TE</t>
  </si>
  <si>
    <t>ROSTER-ADJUSTED</t>
  </si>
  <si>
    <t>RB/WR/TE-type Flex Count</t>
  </si>
  <si>
    <t>Demand (current)</t>
  </si>
  <si>
    <t>Demand (baseline)</t>
  </si>
  <si>
    <t>Adjusted Rank</t>
  </si>
  <si>
    <t>Exponent (final)</t>
  </si>
  <si>
    <t>Raw Adjusted Share</t>
  </si>
  <si>
    <t>Final Budget Share</t>
  </si>
  <si>
    <t>Replacement Points</t>
  </si>
  <si>
    <t>Starter Demand Ratio</t>
  </si>
  <si>
    <t>POSITION RATES</t>
  </si>
  <si>
    <t>Discretionary $</t>
  </si>
  <si>
    <t>Total Weighted VORP</t>
  </si>
  <si>
    <t>Rate</t>
  </si>
  <si>
    <t>QB tiers</t>
  </si>
  <si>
    <t>Drafted Price Sum</t>
  </si>
  <si>
    <t>Drafted Static Sum</t>
  </si>
  <si>
    <t>Drafted Count</t>
  </si>
  <si>
    <t>Tier Avg Static</t>
  </si>
  <si>
    <t>Dampening</t>
  </si>
  <si>
    <t>Tier Factor</t>
  </si>
  <si>
    <t>RB tiers</t>
  </si>
  <si>
    <t>WR tiers</t>
  </si>
  <si>
    <t>TE tiers</t>
  </si>
  <si>
    <t>GLOBAL (whole draft)</t>
  </si>
  <si>
    <t>Initial Discretionary $</t>
  </si>
  <si>
    <t>Initial Weighted VORP</t>
  </si>
  <si>
    <t>Initial Rate</t>
  </si>
  <si>
    <t>Drafted $ (all positions)</t>
  </si>
  <si>
    <t>Drafted Count (all positions)</t>
  </si>
  <si>
    <t>Drafted Weighted VORP (all positions)</t>
  </si>
  <si>
    <t>Remaining Discretionary $</t>
  </si>
  <si>
    <t>Remaining Weighted VORP</t>
  </si>
  <si>
    <t>Current Rate</t>
  </si>
  <si>
    <t>Depletion Factor</t>
  </si>
  <si>
    <t>Roster Slot</t>
  </si>
  <si>
    <t>Price Paid ($)</t>
  </si>
  <si>
    <t>My Team Tracker</t>
  </si>
  <si>
    <t>Total Budget ($)</t>
  </si>
  <si>
    <t>Roster Spots (total)</t>
  </si>
  <si>
    <t>Spots Filled</t>
  </si>
  <si>
    <t>Spots Remaining</t>
  </si>
  <si>
    <t>Total Spent ($)</t>
  </si>
  <si>
    <t>Money Remaining ($)</t>
  </si>
  <si>
    <t>Max Bid on Next Player ($)</t>
  </si>
  <si>
    <t>Avg $ per Remaining Spot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</si>
</sst>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22"/>
      <color rgb="FFFFFFFF"/>
      <name val="Calibri"/>
      <family val="2"/>
    </font>
    <font>
      <b/>
      <sz val="11"/>
      <name val="Calibri"/>
      <family val="2"/>
    </font>
    <font>
      <sz val="11"/>
      <name val="Calibri"/>
      <family val="2"/>
    </font>
    <font>
      <b/>
      <sz val="12"/>
      <name val="Calibri"/>
      <family val="2"/>
    </font>
    <font>
      <b/>
      <sz val="13"/>
      <name val="Calibri"/>
      <family val="2"/>
    </font>
    <font>
      <b/>
      <sz val="11"/>
      <color theme="1"/>
      <name val="Calibri"/>
      <family val="2"/>
      <scheme val="minor"/>
    </font>
    <font>
      <b/>
      <sz val="11"/>
      <name val="Calibri"/>
    </font>
  </fonts>
  <fills count="8">
    <fill>
      <patternFill patternType="none"/>
    </fill>
    <fill>
      <patternFill patternType="gray125"/>
    </fill>
    <fill>
      <patternFill patternType="solid">
        <fgColor rgb="FF660000"/>
        <bgColor rgb="FF660000"/>
      </patternFill>
    </fill>
    <fill>
      <patternFill patternType="solid">
        <fgColor rgb="FFFFF9C4"/>
        <bgColor rgb="FFFFF9C4"/>
      </patternFill>
    </fill>
    <fill>
      <patternFill patternType="solid">
        <fgColor rgb="FFFFE0B2"/>
        <bgColor rgb="FFFFE0B2"/>
      </patternFill>
    </fill>
    <fill>
      <patternFill patternType="solid">
        <fgColor rgb="FFC8E6C9"/>
        <bgColor rgb="FFC8E6C9"/>
      </patternFill>
    </fill>
    <fill>
      <patternFill patternType="solid">
        <fgColor rgb="FFBBDEFB"/>
        <bgColor rgb="FFBBDEFB"/>
      </patternFill>
    </fill>
    <fill>
      <patternFill patternType="solid">
        <fgColor rgb="FFF8BBD0"/>
        <bgColor rgb="FFF8BBD0"/>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2" fillId="0" borderId="0" xfId="0" applyFont="1"/>
    <xf numFmtId="0" fontId="3" fillId="0" borderId="0" xfId="0" applyFont="1" applyAlignment="1">
      <alignment vertical="top" wrapText="1"/>
    </xf>
    <xf numFmtId="0" fontId="4" fillId="0" borderId="0" xfId="0" applyFont="1"/>
    <xf numFmtId="0" fontId="3" fillId="0" borderId="0" xfId="0" applyFont="1"/>
    <xf numFmtId="0" fontId="6" fillId="0" borderId="0" xfId="0" applyFont="1" applyAlignment="1">
      <alignment vertical="center"/>
    </xf>
    <xf numFmtId="0" fontId="0" fillId="0" borderId="0" xfId="0" applyProtection="1">
      <protection locked="0"/>
    </xf>
    <xf numFmtId="0" fontId="5" fillId="0" borderId="0" xfId="0" applyFont="1"/>
    <xf numFmtId="0" fontId="0" fillId="0" borderId="1" xfId="0" applyBorder="1"/>
    <xf numFmtId="0" fontId="0" fillId="3" borderId="1" xfId="0" applyFill="1" applyBorder="1" applyAlignment="1" applyProtection="1">
      <alignment horizontal="center"/>
      <protection locked="0"/>
    </xf>
    <xf numFmtId="0" fontId="7" fillId="0" borderId="0" xfId="0" applyFont="1" applyAlignment="1">
      <alignment horizontal="center" wrapText="1"/>
    </xf>
    <xf numFmtId="0" fontId="0" fillId="4" borderId="0" xfId="0" applyFill="1"/>
    <xf numFmtId="0" fontId="0" fillId="5" borderId="0" xfId="0" applyFill="1"/>
    <xf numFmtId="0" fontId="0" fillId="6" borderId="0" xfId="0" applyFill="1"/>
    <xf numFmtId="0" fontId="0" fillId="7" borderId="0" xfId="0" applyFill="1"/>
    <xf numFmtId="0" fontId="7" fillId="0" borderId="0" xfId="0" applyFont="1"/>
    <xf numFmtId="0" fontId="7" fillId="0" borderId="2" xfId="0" applyFont="1" applyBorder="1"/>
    <xf numFmtId="0" fontId="0" fillId="0" borderId="2" xfId="0" applyBorder="1"/>
    <xf numFmtId="0" fontId="1" fillId="2" borderId="0" xfId="0" applyFont="1" applyFill="1" applyAlignment="1">
      <alignment horizontal="center" vertical="center"/>
    </xf>
    <xf numFmtId="0" fontId="0" fillId="0" borderId="0" xfId="0"/>
    <xf numFmtId="0" fontId="7" fillId="0" borderId="2" xfId="0" applyFont="1" applyBorder="1"/>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BBoard" displayName="QBBoard" ref="A1:O61">
  <autoFilter ref="A1:O61" xr:uid="{00000000-0009-0000-0100-000001000000}"/>
  <tableColumns count="15">
    <tableColumn id="1" xr3:uid="{00000000-0010-0000-0000-000001000000}" name="Player"/>
    <tableColumn id="2" xr3:uid="{00000000-0010-0000-0000-000002000000}" name="Team"/>
    <tableColumn id="3" xr3:uid="{00000000-0010-0000-0000-000003000000}" name="Points (STD)"/>
    <tableColumn id="4" xr3:uid="{00000000-0010-0000-0000-000004000000}" name="Points (Half-PPR)"/>
    <tableColumn id="5" xr3:uid="{00000000-0010-0000-0000-000005000000}" name="Points (PPR)"/>
    <tableColumn id="6" xr3:uid="{00000000-0010-0000-0000-000006000000}" name="Proj Pts"/>
    <tableColumn id="7" xr3:uid="{00000000-0010-0000-0000-000007000000}" name="Tier"/>
    <tableColumn id="8" xr3:uid="{00000000-0010-0000-0000-000008000000}" name="Weighted VORP"/>
    <tableColumn id="9" xr3:uid="{00000000-0010-0000-0000-000009000000}" name="Row Num"/>
    <tableColumn id="10" xr3:uid="{00000000-0010-0000-0000-00000A000000}" name="Gap Start"/>
    <tableColumn id="11" xr3:uid="{00000000-0010-0000-0000-00000B000000}" name="Gap Tier Top"/>
    <tableColumn id="12" xr3:uid="{00000000-0010-0000-0000-00000C000000}" name="Tier Start"/>
    <tableColumn id="13" xr3:uid="{00000000-0010-0000-0000-00000D000000}" name="Starting Value"/>
    <tableColumn id="14" xr3:uid="{00000000-0010-0000-0000-00000E000000}" name="Price Paid"/>
    <tableColumn id="15" xr3:uid="{00000000-0010-0000-0000-00000F000000}" name="Market Value"/>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BBoard" displayName="RBBoard" ref="Q1:AE162">
  <autoFilter ref="Q1:AE162" xr:uid="{00000000-0009-0000-0100-000002000000}"/>
  <tableColumns count="15">
    <tableColumn id="17" xr3:uid="{00000000-0010-0000-0100-000011000000}" name="Player"/>
    <tableColumn id="18" xr3:uid="{00000000-0010-0000-0100-000012000000}" name="Team"/>
    <tableColumn id="19" xr3:uid="{00000000-0010-0000-0100-000013000000}" name="Points (STD)"/>
    <tableColumn id="20" xr3:uid="{00000000-0010-0000-0100-000014000000}" name="Points (Half-PPR)"/>
    <tableColumn id="21" xr3:uid="{00000000-0010-0000-0100-000015000000}" name="Points (PPR)"/>
    <tableColumn id="22" xr3:uid="{00000000-0010-0000-0100-000016000000}" name="Proj Pts"/>
    <tableColumn id="23" xr3:uid="{00000000-0010-0000-0100-000017000000}" name="Tier"/>
    <tableColumn id="24" xr3:uid="{00000000-0010-0000-0100-000018000000}" name="Weighted VORP"/>
    <tableColumn id="25" xr3:uid="{00000000-0010-0000-0100-000019000000}" name="Row Num"/>
    <tableColumn id="26" xr3:uid="{00000000-0010-0000-0100-00001A000000}" name="Gap Start"/>
    <tableColumn id="27" xr3:uid="{00000000-0010-0000-0100-00001B000000}" name="Gap Tier Top"/>
    <tableColumn id="28" xr3:uid="{00000000-0010-0000-0100-00001C000000}" name="Tier Start"/>
    <tableColumn id="29" xr3:uid="{00000000-0010-0000-0100-00001D000000}" name="Starting Value"/>
    <tableColumn id="30" xr3:uid="{00000000-0010-0000-0100-00001E000000}" name="Price Paid"/>
    <tableColumn id="31" xr3:uid="{00000000-0010-0000-0100-00001F000000}" name="Market Valu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RBoard" displayName="WRBoard" ref="AG1:AU192">
  <autoFilter ref="AG1:AU192" xr:uid="{00000000-0009-0000-0100-000003000000}"/>
  <tableColumns count="15">
    <tableColumn id="33" xr3:uid="{00000000-0010-0000-0200-000021000000}" name="Player"/>
    <tableColumn id="34" xr3:uid="{00000000-0010-0000-0200-000022000000}" name="Team"/>
    <tableColumn id="35" xr3:uid="{00000000-0010-0000-0200-000023000000}" name="Points (STD)"/>
    <tableColumn id="36" xr3:uid="{00000000-0010-0000-0200-000024000000}" name="Points (Half-PPR)"/>
    <tableColumn id="37" xr3:uid="{00000000-0010-0000-0200-000025000000}" name="Points (PPR)"/>
    <tableColumn id="38" xr3:uid="{00000000-0010-0000-0200-000026000000}" name="Proj Pts"/>
    <tableColumn id="39" xr3:uid="{00000000-0010-0000-0200-000027000000}" name="Tier"/>
    <tableColumn id="40" xr3:uid="{00000000-0010-0000-0200-000028000000}" name="Weighted VORP"/>
    <tableColumn id="41" xr3:uid="{00000000-0010-0000-0200-000029000000}" name="Row Num"/>
    <tableColumn id="42" xr3:uid="{00000000-0010-0000-0200-00002A000000}" name="Gap Start"/>
    <tableColumn id="43" xr3:uid="{00000000-0010-0000-0200-00002B000000}" name="Gap Tier Top"/>
    <tableColumn id="44" xr3:uid="{00000000-0010-0000-0200-00002C000000}" name="Tier Start"/>
    <tableColumn id="45" xr3:uid="{00000000-0010-0000-0200-00002D000000}" name="Starting Value"/>
    <tableColumn id="46" xr3:uid="{00000000-0010-0000-0200-00002E000000}" name="Price Paid"/>
    <tableColumn id="47" xr3:uid="{00000000-0010-0000-0200-00002F000000}" name="Market Value"/>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EBoard" displayName="TEBoard" ref="AW1:BK87">
  <autoFilter ref="AW1:BK87" xr:uid="{00000000-0009-0000-0100-000004000000}"/>
  <tableColumns count="15">
    <tableColumn id="49" xr3:uid="{00000000-0010-0000-0300-000031000000}" name="Player"/>
    <tableColumn id="50" xr3:uid="{00000000-0010-0000-0300-000032000000}" name="Team"/>
    <tableColumn id="51" xr3:uid="{00000000-0010-0000-0300-000033000000}" name="Points (STD)"/>
    <tableColumn id="52" xr3:uid="{00000000-0010-0000-0300-000034000000}" name="Points (Half-PPR)"/>
    <tableColumn id="53" xr3:uid="{00000000-0010-0000-0300-000035000000}" name="Points (PPR)"/>
    <tableColumn id="54" xr3:uid="{00000000-0010-0000-0300-000036000000}" name="Proj Pts"/>
    <tableColumn id="55" xr3:uid="{00000000-0010-0000-0300-000037000000}" name="Tier"/>
    <tableColumn id="56" xr3:uid="{00000000-0010-0000-0300-000038000000}" name="Weighted VORP"/>
    <tableColumn id="57" xr3:uid="{00000000-0010-0000-0300-000039000000}" name="Row Num"/>
    <tableColumn id="58" xr3:uid="{00000000-0010-0000-0300-00003A000000}" name="Gap Start"/>
    <tableColumn id="59" xr3:uid="{00000000-0010-0000-0300-00003B000000}" name="Gap Tier Top"/>
    <tableColumn id="60" xr3:uid="{00000000-0010-0000-0300-00003C000000}" name="Tier Start"/>
    <tableColumn id="61" xr3:uid="{00000000-0010-0000-0300-00003D000000}" name="Starting Value"/>
    <tableColumn id="62" xr3:uid="{00000000-0010-0000-0300-00003E000000}" name="Price Paid"/>
    <tableColumn id="63" xr3:uid="{00000000-0010-0000-0300-00003F000000}" name="Market Value"/>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31"/>
  <sheetViews>
    <sheetView tabSelected="1" workbookViewId="0">
      <selection activeCell="A2" sqref="A2:B2"/>
    </sheetView>
  </sheetViews>
  <sheetFormatPr defaultRowHeight="15" x14ac:dyDescent="0.25"/>
  <cols>
    <col min="1" max="1" width="21" customWidth="1"/>
    <col min="2" max="2" width="70" customWidth="1"/>
    <col min="3" max="3" width="55" customWidth="1"/>
  </cols>
  <sheetData>
    <row r="2" spans="1:2" ht="28.5" customHeight="1" x14ac:dyDescent="0.25">
      <c r="A2" s="18" t="s">
        <v>0</v>
      </c>
      <c r="B2" s="19"/>
    </row>
    <row r="4" spans="1:2" ht="90" customHeight="1" x14ac:dyDescent="0.25">
      <c r="A4" s="5" t="s">
        <v>1</v>
      </c>
      <c r="B4" s="2" t="s">
        <v>2</v>
      </c>
    </row>
    <row r="5" spans="1:2" ht="60" customHeight="1" x14ac:dyDescent="0.25">
      <c r="A5" s="5" t="s">
        <v>3</v>
      </c>
      <c r="B5" s="2" t="s">
        <v>4</v>
      </c>
    </row>
    <row r="7" spans="1:2" ht="30" customHeight="1" x14ac:dyDescent="0.25">
      <c r="A7" s="1" t="s">
        <v>5</v>
      </c>
      <c r="B7" s="2" t="s">
        <v>6</v>
      </c>
    </row>
    <row r="9" spans="1:2" ht="45" customHeight="1" x14ac:dyDescent="0.25">
      <c r="A9" s="1" t="s">
        <v>7</v>
      </c>
      <c r="B9" s="2" t="s">
        <v>8</v>
      </c>
    </row>
    <row r="10" spans="1:2" ht="45" customHeight="1" x14ac:dyDescent="0.25">
      <c r="B10" s="2" t="s">
        <v>9</v>
      </c>
    </row>
    <row r="12" spans="1:2" ht="45" customHeight="1" x14ac:dyDescent="0.25">
      <c r="A12" s="1" t="s">
        <v>10</v>
      </c>
      <c r="B12" s="2" t="s">
        <v>11</v>
      </c>
    </row>
    <row r="14" spans="1:2" ht="30" customHeight="1" x14ac:dyDescent="0.25">
      <c r="A14" s="1" t="s">
        <v>12</v>
      </c>
      <c r="B14" s="2" t="s">
        <v>13</v>
      </c>
    </row>
    <row r="15" spans="1:2" ht="45" customHeight="1" x14ac:dyDescent="0.25">
      <c r="B15" s="2" t="s">
        <v>14</v>
      </c>
    </row>
    <row r="17" spans="1:2" ht="45" customHeight="1" x14ac:dyDescent="0.25">
      <c r="A17" s="1" t="s">
        <v>15</v>
      </c>
      <c r="B17" s="2" t="s">
        <v>16</v>
      </c>
    </row>
    <row r="19" spans="1:2" ht="45" customHeight="1" x14ac:dyDescent="0.25">
      <c r="A19" s="1" t="s">
        <v>17</v>
      </c>
      <c r="B19" s="2" t="s">
        <v>18</v>
      </c>
    </row>
    <row r="21" spans="1:2" ht="30" customHeight="1" x14ac:dyDescent="0.25">
      <c r="A21" s="1" t="s">
        <v>17</v>
      </c>
      <c r="B21" s="2" t="s">
        <v>19</v>
      </c>
    </row>
    <row r="23" spans="1:2" ht="30" customHeight="1" x14ac:dyDescent="0.25">
      <c r="A23" s="1" t="s">
        <v>17</v>
      </c>
      <c r="B23" s="2" t="s">
        <v>20</v>
      </c>
    </row>
    <row r="24" spans="1:2" ht="15.75" customHeight="1" x14ac:dyDescent="0.25"/>
    <row r="26" spans="1:2" ht="30" customHeight="1" x14ac:dyDescent="0.25">
      <c r="A26" s="3" t="s">
        <v>21</v>
      </c>
    </row>
    <row r="27" spans="1:2" x14ac:dyDescent="0.25">
      <c r="A27" s="4" t="s">
        <v>22</v>
      </c>
      <c r="B27" s="2" t="s">
        <v>23</v>
      </c>
    </row>
    <row r="28" spans="1:2" x14ac:dyDescent="0.25">
      <c r="A28" s="4" t="s">
        <v>24</v>
      </c>
      <c r="B28" s="2" t="s">
        <v>25</v>
      </c>
    </row>
    <row r="29" spans="1:2" ht="45" customHeight="1" x14ac:dyDescent="0.25">
      <c r="A29" s="4" t="s">
        <v>26</v>
      </c>
      <c r="B29" s="2" t="s">
        <v>27</v>
      </c>
    </row>
    <row r="30" spans="1:2" x14ac:dyDescent="0.25">
      <c r="A30" s="4" t="s">
        <v>28</v>
      </c>
      <c r="B30" s="2" t="s">
        <v>29</v>
      </c>
    </row>
    <row r="31" spans="1:2" ht="30" customHeight="1" x14ac:dyDescent="0.25">
      <c r="A31" s="4" t="s">
        <v>30</v>
      </c>
      <c r="B31" s="2" t="s">
        <v>31</v>
      </c>
    </row>
  </sheetData>
  <mergeCells count="1">
    <mergeCell ref="A2:B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election activeCell="B1" sqref="B1:B1048576"/>
    </sheetView>
  </sheetViews>
  <sheetFormatPr defaultRowHeight="15" x14ac:dyDescent="0.25"/>
  <cols>
    <col min="1" max="1" width="30" customWidth="1"/>
    <col min="2" max="2" width="10" style="6" customWidth="1"/>
  </cols>
  <sheetData>
    <row r="1" spans="1:2" ht="17.25" customHeight="1" x14ac:dyDescent="0.3">
      <c r="A1" s="7" t="s">
        <v>32</v>
      </c>
    </row>
    <row r="3" spans="1:2" x14ac:dyDescent="0.25">
      <c r="A3" s="8" t="s">
        <v>33</v>
      </c>
      <c r="B3" s="9">
        <v>200</v>
      </c>
    </row>
    <row r="5" spans="1:2" x14ac:dyDescent="0.25">
      <c r="A5" s="8" t="s">
        <v>34</v>
      </c>
      <c r="B5" s="9">
        <v>12</v>
      </c>
    </row>
    <row r="7" spans="1:2" x14ac:dyDescent="0.25">
      <c r="A7" s="8" t="s">
        <v>35</v>
      </c>
      <c r="B7" s="9" t="s">
        <v>36</v>
      </c>
    </row>
    <row r="9" spans="1:2" ht="15.75" customHeight="1" x14ac:dyDescent="0.25">
      <c r="A9" s="3" t="s">
        <v>37</v>
      </c>
    </row>
    <row r="11" spans="1:2" x14ac:dyDescent="0.25">
      <c r="A11" s="8" t="s">
        <v>38</v>
      </c>
      <c r="B11" s="9">
        <v>1</v>
      </c>
    </row>
    <row r="13" spans="1:2" x14ac:dyDescent="0.25">
      <c r="A13" s="8" t="s">
        <v>39</v>
      </c>
      <c r="B13" s="9">
        <v>2</v>
      </c>
    </row>
    <row r="15" spans="1:2" x14ac:dyDescent="0.25">
      <c r="A15" s="8" t="s">
        <v>40</v>
      </c>
      <c r="B15" s="9">
        <v>3</v>
      </c>
    </row>
    <row r="17" spans="1:2" x14ac:dyDescent="0.25">
      <c r="A17" s="8" t="s">
        <v>41</v>
      </c>
      <c r="B17" s="9">
        <v>1</v>
      </c>
    </row>
    <row r="19" spans="1:2" x14ac:dyDescent="0.25">
      <c r="A19" s="8" t="s">
        <v>42</v>
      </c>
      <c r="B19" s="9">
        <v>1</v>
      </c>
    </row>
    <row r="21" spans="1:2" x14ac:dyDescent="0.25">
      <c r="A21" s="8" t="s">
        <v>43</v>
      </c>
      <c r="B21" s="9">
        <v>0</v>
      </c>
    </row>
    <row r="23" spans="1:2" x14ac:dyDescent="0.25">
      <c r="A23" s="8" t="s">
        <v>44</v>
      </c>
      <c r="B23" s="9">
        <v>0</v>
      </c>
    </row>
    <row r="25" spans="1:2" x14ac:dyDescent="0.25">
      <c r="A25" s="8" t="s">
        <v>45</v>
      </c>
      <c r="B25" s="9">
        <v>0</v>
      </c>
    </row>
    <row r="27" spans="1:2" x14ac:dyDescent="0.25">
      <c r="A27" s="8" t="s">
        <v>46</v>
      </c>
      <c r="B27" s="9">
        <v>1</v>
      </c>
    </row>
    <row r="29" spans="1:2" x14ac:dyDescent="0.25">
      <c r="A29" s="8" t="s">
        <v>47</v>
      </c>
      <c r="B29" s="9">
        <v>1</v>
      </c>
    </row>
    <row r="31" spans="1:2" x14ac:dyDescent="0.25">
      <c r="A31" s="8" t="s">
        <v>48</v>
      </c>
      <c r="B31" s="9">
        <v>6</v>
      </c>
    </row>
  </sheetData>
  <dataValidations count="14">
    <dataValidation type="whole" showErrorMessage="1" errorTitle="Invalid Starting Budget ($)" error="Enter a whole number (15-1000)." sqref="B3" xr:uid="{00000000-0002-0000-0100-000000000000}">
      <formula1>15</formula1>
      <formula2>1000</formula2>
    </dataValidation>
    <dataValidation type="list" showErrorMessage="1" errorTitle="Invalid Number of Teams" error="Choose one of: 8, 10, 12, 14, 16." sqref="B5" xr:uid="{00000000-0002-0000-0100-000001000000}">
      <formula1>"8,10,12,14,16"</formula1>
    </dataValidation>
    <dataValidation type="list" showErrorMessage="1" errorTitle="Invalid Scoring Format" error="Choose one of: STD, Half-PPR, PPR." sqref="B7" xr:uid="{00000000-0002-0000-0100-000002000000}">
      <formula1>"STD,Half-PPR,PPR"</formula1>
    </dataValidation>
    <dataValidation type="list" showErrorMessage="1" errorTitle="Invalid QB Starters" error="Choose one of: 0, 1, 2." sqref="B11" xr:uid="{00000000-0002-0000-0100-000003000000}">
      <formula1>"0,1,2"</formula1>
    </dataValidation>
    <dataValidation type="list" showErrorMessage="1" errorTitle="Invalid RB Starters" error="Choose one of: 0, 1, 2, 3." sqref="B13" xr:uid="{00000000-0002-0000-0100-000004000000}">
      <formula1>"0,1,2,3"</formula1>
    </dataValidation>
    <dataValidation type="list" showErrorMessage="1" errorTitle="Invalid WR Starters" error="Choose one of: 0, 1, 2, 3, 4." sqref="B15" xr:uid="{00000000-0002-0000-0100-000005000000}">
      <formula1>"0,1,2,3,4"</formula1>
    </dataValidation>
    <dataValidation type="list" showErrorMessage="1" errorTitle="Invalid TE Starters" error="Choose one of: 0, 1, 2." sqref="B17" xr:uid="{00000000-0002-0000-0100-000006000000}">
      <formula1>"0,1,2"</formula1>
    </dataValidation>
    <dataValidation type="list" showErrorMessage="1" errorTitle="Invalid Flex: RB/WR/TE Count" error="Choose one of: 0, 1, 2, 3, 4, 5, 6." sqref="B19" xr:uid="{00000000-0002-0000-0100-000007000000}">
      <formula1>"0,1,2,3,4,5,6"</formula1>
    </dataValidation>
    <dataValidation type="list" showErrorMessage="1" errorTitle="Invalid Flex: RB/WR Count" error="Choose one of: 0, 1, 2, 3, 4, 5, 6." sqref="B21" xr:uid="{00000000-0002-0000-0100-000008000000}">
      <formula1>"0,1,2,3,4,5,6"</formula1>
    </dataValidation>
    <dataValidation type="list" showErrorMessage="1" errorTitle="Invalid Flex: WR/TE Count" error="Choose one of: 0, 1, 2, 3, 4, 5, 6." sqref="B23" xr:uid="{00000000-0002-0000-0100-000009000000}">
      <formula1>"0,1,2,3,4,5,6"</formula1>
    </dataValidation>
    <dataValidation type="list" showErrorMessage="1" errorTitle="Invalid Superflex Count (QB/RB/WR/TE)" error="Choose one of: 0, 1, 2, 3, 4, 5, 6." sqref="B25" xr:uid="{00000000-0002-0000-0100-00000A000000}">
      <formula1>"0,1,2,3,4,5,6"</formula1>
    </dataValidation>
    <dataValidation type="list" showErrorMessage="1" errorTitle="Invalid DEF" error="Choose one of: 0, 1." sqref="B27" xr:uid="{00000000-0002-0000-0100-00000B000000}">
      <formula1>"0,1"</formula1>
    </dataValidation>
    <dataValidation type="list" showErrorMessage="1" errorTitle="Invalid K" error="Choose one of: 0, 1." sqref="B29" xr:uid="{00000000-0002-0000-0100-00000C000000}">
      <formula1>"0,1"</formula1>
    </dataValidation>
    <dataValidation type="list" showErrorMessage="1" errorTitle="Invalid Bench" error="Choose one of: 3, 4, 5, 6, 7, 8, 9, 10." sqref="B31" xr:uid="{00000000-0002-0000-0100-00000D000000}">
      <formula1>"3,4,5,6,7,8,9,10"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192"/>
  <sheetViews>
    <sheetView workbookViewId="0">
      <pane ySplit="1" topLeftCell="A2" activePane="bottomLeft" state="frozen"/>
      <selection pane="bottomLeft"/>
    </sheetView>
  </sheetViews>
  <sheetFormatPr defaultRowHeight="15" x14ac:dyDescent="0.25"/>
  <cols>
    <col min="1" max="1" width="18.7109375" customWidth="1"/>
    <col min="2" max="2" width="8.28515625" customWidth="1"/>
    <col min="3" max="5" width="13" hidden="1" customWidth="1"/>
    <col min="6" max="6" width="7" customWidth="1"/>
    <col min="7" max="7" width="7.7109375" hidden="1" customWidth="1"/>
    <col min="8" max="8" width="13.7109375" hidden="1" customWidth="1"/>
    <col min="9" max="12" width="13" hidden="1" customWidth="1"/>
    <col min="13" max="13" width="10.140625" customWidth="1"/>
    <col min="14" max="14" width="9" customWidth="1"/>
    <col min="15" max="15" width="10.28515625" customWidth="1"/>
    <col min="16" max="16" width="2.7109375" customWidth="1"/>
    <col min="17" max="17" width="18.7109375" customWidth="1"/>
    <col min="18" max="18" width="8.28515625" customWidth="1"/>
    <col min="19" max="21" width="13" hidden="1" customWidth="1"/>
    <col min="22" max="22" width="7" customWidth="1"/>
    <col min="23" max="23" width="7.7109375" hidden="1" customWidth="1"/>
    <col min="24" max="24" width="13.7109375" hidden="1" customWidth="1"/>
    <col min="25" max="28" width="13" hidden="1" customWidth="1"/>
    <col min="29" max="29" width="10.140625" customWidth="1"/>
    <col min="30" max="30" width="9" customWidth="1"/>
    <col min="31" max="31" width="10.28515625" customWidth="1"/>
    <col min="32" max="32" width="2.7109375" customWidth="1"/>
    <col min="33" max="33" width="18.7109375" customWidth="1"/>
    <col min="34" max="34" width="8.28515625" customWidth="1"/>
    <col min="35" max="37" width="13" hidden="1" customWidth="1"/>
    <col min="38" max="38" width="7" customWidth="1"/>
    <col min="39" max="39" width="7.7109375" hidden="1" customWidth="1"/>
    <col min="40" max="40" width="13.7109375" hidden="1" customWidth="1"/>
    <col min="41" max="44" width="13" hidden="1" customWidth="1"/>
    <col min="45" max="45" width="10.140625" customWidth="1"/>
    <col min="46" max="46" width="9" customWidth="1"/>
    <col min="47" max="47" width="10.28515625" customWidth="1"/>
    <col min="48" max="48" width="2.7109375" customWidth="1"/>
    <col min="49" max="49" width="18.7109375" customWidth="1"/>
    <col min="50" max="50" width="8.28515625" customWidth="1"/>
    <col min="51" max="53" width="13" hidden="1" customWidth="1"/>
    <col min="54" max="54" width="7" customWidth="1"/>
    <col min="55" max="55" width="7.7109375" hidden="1" customWidth="1"/>
    <col min="56" max="56" width="13.7109375" hidden="1" customWidth="1"/>
    <col min="57" max="60" width="13" hidden="1" customWidth="1"/>
    <col min="61" max="61" width="10.140625" customWidth="1"/>
    <col min="62" max="62" width="9" customWidth="1"/>
    <col min="63" max="63" width="10.28515625" customWidth="1"/>
    <col min="64" max="64" width="2.7109375" customWidth="1"/>
  </cols>
  <sheetData>
    <row r="1" spans="1:63" ht="30" customHeight="1" x14ac:dyDescent="0.25">
      <c r="A1" s="10" t="s">
        <v>49</v>
      </c>
      <c r="B1" s="10" t="s">
        <v>50</v>
      </c>
      <c r="C1" s="10" t="s">
        <v>51</v>
      </c>
      <c r="D1" s="10" t="s">
        <v>52</v>
      </c>
      <c r="E1" s="10" t="s">
        <v>53</v>
      </c>
      <c r="F1" s="10" t="s">
        <v>24</v>
      </c>
      <c r="G1" s="10" t="s">
        <v>54</v>
      </c>
      <c r="H1" s="10" t="s">
        <v>55</v>
      </c>
      <c r="I1" s="10" t="s">
        <v>56</v>
      </c>
      <c r="J1" s="10" t="s">
        <v>57</v>
      </c>
      <c r="K1" s="10" t="s">
        <v>58</v>
      </c>
      <c r="L1" s="10" t="s">
        <v>59</v>
      </c>
      <c r="M1" s="10" t="s">
        <v>26</v>
      </c>
      <c r="N1" s="10" t="s">
        <v>28</v>
      </c>
      <c r="O1" s="10" t="s">
        <v>30</v>
      </c>
      <c r="Q1" s="10" t="s">
        <v>49</v>
      </c>
      <c r="R1" s="10" t="s">
        <v>50</v>
      </c>
      <c r="S1" s="10" t="s">
        <v>51</v>
      </c>
      <c r="T1" s="10" t="s">
        <v>52</v>
      </c>
      <c r="U1" s="10" t="s">
        <v>53</v>
      </c>
      <c r="V1" s="10" t="s">
        <v>24</v>
      </c>
      <c r="W1" s="10" t="s">
        <v>54</v>
      </c>
      <c r="X1" s="10" t="s">
        <v>55</v>
      </c>
      <c r="Y1" s="10" t="s">
        <v>56</v>
      </c>
      <c r="Z1" s="10" t="s">
        <v>57</v>
      </c>
      <c r="AA1" s="10" t="s">
        <v>58</v>
      </c>
      <c r="AB1" s="10" t="s">
        <v>59</v>
      </c>
      <c r="AC1" s="10" t="s">
        <v>26</v>
      </c>
      <c r="AD1" s="10" t="s">
        <v>28</v>
      </c>
      <c r="AE1" s="10" t="s">
        <v>30</v>
      </c>
      <c r="AG1" s="10" t="s">
        <v>49</v>
      </c>
      <c r="AH1" s="10" t="s">
        <v>50</v>
      </c>
      <c r="AI1" s="10" t="s">
        <v>51</v>
      </c>
      <c r="AJ1" s="10" t="s">
        <v>52</v>
      </c>
      <c r="AK1" s="10" t="s">
        <v>53</v>
      </c>
      <c r="AL1" s="10" t="s">
        <v>24</v>
      </c>
      <c r="AM1" s="10" t="s">
        <v>54</v>
      </c>
      <c r="AN1" s="10" t="s">
        <v>55</v>
      </c>
      <c r="AO1" s="10" t="s">
        <v>56</v>
      </c>
      <c r="AP1" s="10" t="s">
        <v>57</v>
      </c>
      <c r="AQ1" s="10" t="s">
        <v>58</v>
      </c>
      <c r="AR1" s="10" t="s">
        <v>59</v>
      </c>
      <c r="AS1" s="10" t="s">
        <v>26</v>
      </c>
      <c r="AT1" s="10" t="s">
        <v>28</v>
      </c>
      <c r="AU1" s="10" t="s">
        <v>30</v>
      </c>
      <c r="AW1" s="10" t="s">
        <v>49</v>
      </c>
      <c r="AX1" s="10" t="s">
        <v>50</v>
      </c>
      <c r="AY1" s="10" t="s">
        <v>51</v>
      </c>
      <c r="AZ1" s="10" t="s">
        <v>52</v>
      </c>
      <c r="BA1" s="10" t="s">
        <v>53</v>
      </c>
      <c r="BB1" s="10" t="s">
        <v>24</v>
      </c>
      <c r="BC1" s="10" t="s">
        <v>54</v>
      </c>
      <c r="BD1" s="10" t="s">
        <v>55</v>
      </c>
      <c r="BE1" s="10" t="s">
        <v>56</v>
      </c>
      <c r="BF1" s="10" t="s">
        <v>57</v>
      </c>
      <c r="BG1" s="10" t="s">
        <v>58</v>
      </c>
      <c r="BH1" s="10" t="s">
        <v>59</v>
      </c>
      <c r="BI1" s="10" t="s">
        <v>26</v>
      </c>
      <c r="BJ1" s="10" t="s">
        <v>28</v>
      </c>
      <c r="BK1" s="10" t="s">
        <v>30</v>
      </c>
    </row>
    <row r="2" spans="1:63" x14ac:dyDescent="0.25">
      <c r="A2" s="11" t="s">
        <v>60</v>
      </c>
      <c r="B2" s="11" t="s">
        <v>61</v>
      </c>
      <c r="C2" s="11">
        <v>352.84</v>
      </c>
      <c r="D2" s="11">
        <v>352.84</v>
      </c>
      <c r="E2" s="11">
        <v>352.84</v>
      </c>
      <c r="F2" s="11">
        <f>CHOOSE(MATCH(Setup!$B$7,{"STD","Half-PPR","PPR"},0),C2,D2,E2)</f>
        <v>352.84</v>
      </c>
      <c r="G2" s="11">
        <f>COUNTIFS('Draft Board'!$H$2:$H$61,"&gt;="&amp;H2,'Draft Board'!$L$2:$L$61,1)</f>
        <v>1</v>
      </c>
      <c r="H2" s="11">
        <f>MAX(0,F2-'Live Calc'!$H$19)^'Live Calc'!$E$19</f>
        <v>223.01558096554595</v>
      </c>
      <c r="I2" s="11">
        <v>2</v>
      </c>
      <c r="J2" s="11">
        <f>IF(I2&lt;&gt;_xlfn.MINIFS('Draft Board'!$I$2:$I$61,'Draft Board'!$H$2:$H$61,"="&amp;H2),0,IF(_xlfn.MINIFS('Draft Board'!$H$2:$H$61,'Draft Board'!$H$2:$H$61,"&gt;"&amp;H2)=0,1,IF((_xlfn.MINIFS('Draft Board'!$H$2:$H$61,'Draft Board'!$H$2:$H$61,"&gt;"&amp;H2)-H2)/_xlfn.MINIFS('Draft Board'!$H$2:$H$61,'Draft Board'!$H$2:$H$61,"&gt;"&amp;H2)&gt;0.08,1,0)))</f>
        <v>1</v>
      </c>
      <c r="K2" s="11">
        <f>_xlfn.MINIFS('Draft Board'!$H$2:$H$61,'Draft Board'!$H$2:$H$61,"&gt;="&amp;H2,'Draft Board'!$J$2:$J$61,1)</f>
        <v>223.01558096554595</v>
      </c>
      <c r="L2" s="11">
        <f>IF(I2&lt;&gt;_xlfn.MINIFS('Draft Board'!$I$2:$I$61,'Draft Board'!$H$2:$H$61,"="&amp;H2),0,IF(OR(J2=1,IFERROR(FLOOR((K2-H2)/K2/0.25,1),0)&lt;&gt;IFERROR(FLOOR((K2-_xlfn.MINIFS('Draft Board'!$H$2:$H$61,'Draft Board'!$H$2:$H$61,"&gt;"&amp;H2))/K2/0.25,1),0)),1,0))</f>
        <v>1</v>
      </c>
      <c r="M2" s="11">
        <f>ROUND(1+H2*'Live Calc'!$D$26,0)</f>
        <v>31</v>
      </c>
      <c r="N2" s="11"/>
      <c r="O2" s="11">
        <f>IF(N2&lt;&gt;"",N2,ROUND(M2*INDEX('Live Calc'!$G$33:$G$92,MATCH(G2,'Live Calc'!$A$33:$A$92,0))*'Live Calc'!$J$543,0))</f>
        <v>31</v>
      </c>
      <c r="Q2" s="12" t="s">
        <v>62</v>
      </c>
      <c r="R2" s="12" t="s">
        <v>63</v>
      </c>
      <c r="S2" s="12">
        <v>284.20999999999998</v>
      </c>
      <c r="T2" s="12">
        <v>318.52999999999997</v>
      </c>
      <c r="U2" s="12">
        <v>352.86</v>
      </c>
      <c r="V2" s="12">
        <f>CHOOSE(MATCH(Setup!$B$7,{"STD","Half-PPR","PPR"},0),S2,T2,U2)</f>
        <v>318.52999999999997</v>
      </c>
      <c r="W2" s="12">
        <f>COUNTIFS('Draft Board'!$X$2:$X$162,"&gt;="&amp;X2,'Draft Board'!$AB$2:$AB$162,1)</f>
        <v>1</v>
      </c>
      <c r="X2" s="12">
        <f>MAX(0,V2-'Live Calc'!$H$20)^'Live Calc'!$E$20</f>
        <v>619.64588827875616</v>
      </c>
      <c r="Y2" s="12">
        <v>2</v>
      </c>
      <c r="Z2" s="12">
        <f>IF(Y2&lt;&gt;_xlfn.MINIFS('Draft Board'!$Y$2:$Y$162,'Draft Board'!$X$2:$X$162,"="&amp;X2),0,IF(_xlfn.MINIFS('Draft Board'!$X$2:$X$162,'Draft Board'!$X$2:$X$162,"&gt;"&amp;X2)=0,1,IF((_xlfn.MINIFS('Draft Board'!$X$2:$X$162,'Draft Board'!$X$2:$X$162,"&gt;"&amp;X2)-X2)/_xlfn.MINIFS('Draft Board'!$X$2:$X$162,'Draft Board'!$X$2:$X$162,"&gt;"&amp;X2)&gt;0.08,1,0)))</f>
        <v>1</v>
      </c>
      <c r="AA2" s="12">
        <f>_xlfn.MINIFS('Draft Board'!$X$2:$X$162,'Draft Board'!$X$2:$X$162,"&gt;="&amp;X2,'Draft Board'!$Z$2:$Z$162,1)</f>
        <v>619.64588827875616</v>
      </c>
      <c r="AB2" s="12">
        <f>IF(Y2&lt;&gt;_xlfn.MINIFS('Draft Board'!$Y$2:$Y$162,'Draft Board'!$X$2:$X$162,"="&amp;X2),0,IF(OR(Z2=1,IFERROR(FLOOR((AA2-X2)/AA2/0.25,1),0)&lt;&gt;IFERROR(FLOOR((AA2-_xlfn.MINIFS('Draft Board'!$X$2:$X$162,'Draft Board'!$X$2:$X$162,"&gt;"&amp;X2))/AA2/0.25,1),0)),1,0))</f>
        <v>1</v>
      </c>
      <c r="AC2" s="12">
        <f>ROUND(1+X2*'Live Calc'!$D$27,0)</f>
        <v>62</v>
      </c>
      <c r="AD2" s="12"/>
      <c r="AE2" s="12">
        <f>IF(AD2&lt;&gt;"",AD2,ROUND(AC2*INDEX('Live Calc'!$G$96:$G$256,MATCH(W2,'Live Calc'!$A$96:$A$256,0))*'Live Calc'!$J$543,0))</f>
        <v>62</v>
      </c>
      <c r="AG2" s="13" t="s">
        <v>64</v>
      </c>
      <c r="AH2" s="13" t="s">
        <v>65</v>
      </c>
      <c r="AI2" s="13">
        <v>215.79599999999999</v>
      </c>
      <c r="AJ2" s="13">
        <v>275.31799999999998</v>
      </c>
      <c r="AK2" s="13">
        <v>334.84</v>
      </c>
      <c r="AL2" s="13">
        <f>CHOOSE(MATCH(Setup!$B$7,{"STD","Half-PPR","PPR"},0),AI2,AJ2,AK2)</f>
        <v>275.31799999999998</v>
      </c>
      <c r="AM2" s="13">
        <f>COUNTIFS('Draft Board'!$AN$2:$AN$192,"&gt;="&amp;AN2,'Draft Board'!$AR$2:$AR$192,1)</f>
        <v>1</v>
      </c>
      <c r="AN2" s="13">
        <f>MAX(0,AL2-'Live Calc'!$H$21)^'Live Calc'!$E$21</f>
        <v>2249.1128774006702</v>
      </c>
      <c r="AO2" s="13">
        <v>2</v>
      </c>
      <c r="AP2" s="13">
        <f>IF(AO2&lt;&gt;_xlfn.MINIFS('Draft Board'!$AO$2:$AO$192,'Draft Board'!$AN$2:$AN$192,"="&amp;AN2),0,IF(_xlfn.MINIFS('Draft Board'!$AN$2:$AN$192,'Draft Board'!$AN$2:$AN$192,"&gt;"&amp;AN2)=0,1,IF((_xlfn.MINIFS('Draft Board'!$AN$2:$AN$192,'Draft Board'!$AN$2:$AN$192,"&gt;"&amp;AN2)-AN2)/_xlfn.MINIFS('Draft Board'!$AN$2:$AN$192,'Draft Board'!$AN$2:$AN$192,"&gt;"&amp;AN2)&gt;0.08,1,0)))</f>
        <v>1</v>
      </c>
      <c r="AQ2" s="13">
        <f>_xlfn.MINIFS('Draft Board'!$AN$2:$AN$192,'Draft Board'!$AN$2:$AN$192,"&gt;="&amp;AN2,'Draft Board'!$AP$2:$AP$192,1)</f>
        <v>2249.1128774006702</v>
      </c>
      <c r="AR2" s="13">
        <f>IF(AO2&lt;&gt;_xlfn.MINIFS('Draft Board'!$AO$2:$AO$192,'Draft Board'!$AN$2:$AN$192,"="&amp;AN2),0,IF(OR(AP2=1,IFERROR(FLOOR((AQ2-AN2)/AQ2/0.25,1),0)&lt;&gt;IFERROR(FLOOR((AQ2-_xlfn.MINIFS('Draft Board'!$AN$2:$AN$192,'Draft Board'!$AN$2:$AN$192,"&gt;"&amp;AN2))/AQ2/0.25,1),0)),1,0))</f>
        <v>1</v>
      </c>
      <c r="AS2" s="13">
        <f>ROUND(1+AN2*'Live Calc'!$D$28,0)</f>
        <v>62</v>
      </c>
      <c r="AT2" s="13"/>
      <c r="AU2" s="13">
        <f>IF(AT2&lt;&gt;"",AT2,ROUND(AS2*INDEX('Live Calc'!$G$260:$G$450,MATCH(AM2,'Live Calc'!$A$260:$A$450,0))*'Live Calc'!$J$543,0))</f>
        <v>62</v>
      </c>
      <c r="AW2" s="14" t="s">
        <v>66</v>
      </c>
      <c r="AX2" s="14" t="s">
        <v>67</v>
      </c>
      <c r="AY2" s="14">
        <v>141.57</v>
      </c>
      <c r="AZ2" s="14">
        <v>192.76400000000001</v>
      </c>
      <c r="BA2" s="14">
        <v>242.298</v>
      </c>
      <c r="BB2" s="14">
        <f>CHOOSE(MATCH(Setup!$B$7,{"STD","Half-PPR","PPR"},0),AY2,AZ2,BA2)</f>
        <v>192.76400000000001</v>
      </c>
      <c r="BC2" s="14">
        <f>COUNTIFS('Draft Board'!$BD$2:$BD$87,"&gt;="&amp;BD2,'Draft Board'!$BH$2:$BH$87,1)</f>
        <v>1</v>
      </c>
      <c r="BD2" s="14">
        <f>MAX(0,BB2-'Live Calc'!$H$22)^'Live Calc'!$E$22</f>
        <v>1377.0246695087556</v>
      </c>
      <c r="BE2" s="14">
        <v>2</v>
      </c>
      <c r="BF2" s="14">
        <f>IF(BE2&lt;&gt;_xlfn.MINIFS('Draft Board'!$BE$2:$BE$87,'Draft Board'!$BD$2:$BD$87,"="&amp;BD2),0,IF(_xlfn.MINIFS('Draft Board'!$BD$2:$BD$87,'Draft Board'!$BD$2:$BD$87,"&gt;"&amp;BD2)=0,1,IF((_xlfn.MINIFS('Draft Board'!$BD$2:$BD$87,'Draft Board'!$BD$2:$BD$87,"&gt;"&amp;BD2)-BD2)/_xlfn.MINIFS('Draft Board'!$BD$2:$BD$87,'Draft Board'!$BD$2:$BD$87,"&gt;"&amp;BD2)&gt;0.08,1,0)))</f>
        <v>1</v>
      </c>
      <c r="BG2" s="14">
        <f>_xlfn.MINIFS('Draft Board'!$BD$2:$BD$87,'Draft Board'!$BD$2:$BD$87,"&gt;="&amp;BD2,'Draft Board'!$BF$2:$BF$87,1)</f>
        <v>1377.0246695087556</v>
      </c>
      <c r="BH2" s="14">
        <f>IF(BE2&lt;&gt;_xlfn.MINIFS('Draft Board'!$BE$2:$BE$87,'Draft Board'!$BD$2:$BD$87,"="&amp;BD2),0,IF(OR(BF2=1,IFERROR(FLOOR((BG2-BD2)/BG2/0.25,1),0)&lt;&gt;IFERROR(FLOOR((BG2-_xlfn.MINIFS('Draft Board'!$BD$2:$BD$87,'Draft Board'!$BD$2:$BD$87,"&gt;"&amp;BD2))/BG2/0.25,1),0)),1,0))</f>
        <v>1</v>
      </c>
      <c r="BI2" s="14">
        <f>ROUND(1+BD2*'Live Calc'!$D$29,0)</f>
        <v>33</v>
      </c>
      <c r="BJ2" s="14"/>
      <c r="BK2" s="14">
        <f>IF(BJ2&lt;&gt;"",BJ2,ROUND(BI2*INDEX('Live Calc'!$G$454:$G$539,MATCH(BC2,'Live Calc'!$A$454:$A$539,0))*'Live Calc'!$J$543,0))</f>
        <v>33</v>
      </c>
    </row>
    <row r="3" spans="1:63" x14ac:dyDescent="0.25">
      <c r="A3" s="11" t="s">
        <v>68</v>
      </c>
      <c r="B3" s="11" t="s">
        <v>69</v>
      </c>
      <c r="C3" s="11">
        <v>314.58</v>
      </c>
      <c r="D3" s="11">
        <v>314.58</v>
      </c>
      <c r="E3" s="11">
        <v>314.58</v>
      </c>
      <c r="F3" s="11">
        <f>CHOOSE(MATCH(Setup!$B$7,{"STD","Half-PPR","PPR"},0),C3,D3,E3)</f>
        <v>314.58</v>
      </c>
      <c r="G3" s="11">
        <f>COUNTIFS('Draft Board'!$H$2:$H$61,"&gt;="&amp;H3,'Draft Board'!$L$2:$L$61,1)</f>
        <v>2</v>
      </c>
      <c r="H3" s="11">
        <f>MAX(0,F3-'Live Calc'!$H$19)^'Live Calc'!$E$19</f>
        <v>115.40429058655839</v>
      </c>
      <c r="I3" s="11">
        <v>3</v>
      </c>
      <c r="J3" s="11">
        <f>IF(I3&lt;&gt;_xlfn.MINIFS('Draft Board'!$I$2:$I$61,'Draft Board'!$H$2:$H$61,"="&amp;H3),0,IF(_xlfn.MINIFS('Draft Board'!$H$2:$H$61,'Draft Board'!$H$2:$H$61,"&gt;"&amp;H3)=0,1,IF((_xlfn.MINIFS('Draft Board'!$H$2:$H$61,'Draft Board'!$H$2:$H$61,"&gt;"&amp;H3)-H3)/_xlfn.MINIFS('Draft Board'!$H$2:$H$61,'Draft Board'!$H$2:$H$61,"&gt;"&amp;H3)&gt;0.08,1,0)))</f>
        <v>1</v>
      </c>
      <c r="K3" s="11">
        <f>_xlfn.MINIFS('Draft Board'!$H$2:$H$61,'Draft Board'!$H$2:$H$61,"&gt;="&amp;H3,'Draft Board'!$J$2:$J$61,1)</f>
        <v>115.40429058655839</v>
      </c>
      <c r="L3" s="11">
        <f>IF(I3&lt;&gt;_xlfn.MINIFS('Draft Board'!$I$2:$I$61,'Draft Board'!$H$2:$H$61,"="&amp;H3),0,IF(OR(J3=1,IFERROR(FLOOR((K3-H3)/K3/0.25,1),0)&lt;&gt;IFERROR(FLOOR((K3-_xlfn.MINIFS('Draft Board'!$H$2:$H$61,'Draft Board'!$H$2:$H$61,"&gt;"&amp;H3))/K3/0.25,1),0)),1,0))</f>
        <v>1</v>
      </c>
      <c r="M3" s="11">
        <f>ROUND(1+H3*'Live Calc'!$D$26,0)</f>
        <v>17</v>
      </c>
      <c r="N3" s="11"/>
      <c r="O3" s="11">
        <f>IF(N3&lt;&gt;"",N3,ROUND(M3*INDEX('Live Calc'!$G$33:$G$92,MATCH(G3,'Live Calc'!$A$33:$A$92,0))*'Live Calc'!$J$543,0))</f>
        <v>17</v>
      </c>
      <c r="Q3" s="12" t="s">
        <v>70</v>
      </c>
      <c r="R3" s="12" t="s">
        <v>71</v>
      </c>
      <c r="S3" s="12">
        <v>273.56</v>
      </c>
      <c r="T3" s="12">
        <v>310.43</v>
      </c>
      <c r="U3" s="12">
        <v>347.3</v>
      </c>
      <c r="V3" s="12">
        <f>CHOOSE(MATCH(Setup!$B$7,{"STD","Half-PPR","PPR"},0),S3,T3,U3)</f>
        <v>310.43</v>
      </c>
      <c r="W3" s="12">
        <f>COUNTIFS('Draft Board'!$X$2:$X$162,"&gt;="&amp;X3,'Draft Board'!$AB$2:$AB$162,1)</f>
        <v>1</v>
      </c>
      <c r="X3" s="12">
        <f>MAX(0,V3-'Live Calc'!$H$20)^'Live Calc'!$E$20</f>
        <v>591.37460583900258</v>
      </c>
      <c r="Y3" s="12">
        <v>3</v>
      </c>
      <c r="Z3" s="12">
        <f>IF(Y3&lt;&gt;_xlfn.MINIFS('Draft Board'!$Y$2:$Y$162,'Draft Board'!$X$2:$X$162,"="&amp;X3),0,IF(_xlfn.MINIFS('Draft Board'!$X$2:$X$162,'Draft Board'!$X$2:$X$162,"&gt;"&amp;X3)=0,1,IF((_xlfn.MINIFS('Draft Board'!$X$2:$X$162,'Draft Board'!$X$2:$X$162,"&gt;"&amp;X3)-X3)/_xlfn.MINIFS('Draft Board'!$X$2:$X$162,'Draft Board'!$X$2:$X$162,"&gt;"&amp;X3)&gt;0.08,1,0)))</f>
        <v>0</v>
      </c>
      <c r="AA3" s="12">
        <f>_xlfn.MINIFS('Draft Board'!$X$2:$X$162,'Draft Board'!$X$2:$X$162,"&gt;="&amp;X3,'Draft Board'!$Z$2:$Z$162,1)</f>
        <v>619.64588827875616</v>
      </c>
      <c r="AB3" s="12">
        <f>IF(Y3&lt;&gt;_xlfn.MINIFS('Draft Board'!$Y$2:$Y$162,'Draft Board'!$X$2:$X$162,"="&amp;X3),0,IF(OR(Z3=1,IFERROR(FLOOR((AA3-X3)/AA3/0.25,1),0)&lt;&gt;IFERROR(FLOOR((AA3-_xlfn.MINIFS('Draft Board'!$X$2:$X$162,'Draft Board'!$X$2:$X$162,"&gt;"&amp;X3))/AA3/0.25,1),0)),1,0))</f>
        <v>0</v>
      </c>
      <c r="AC3" s="12">
        <f>ROUND(1+X3*'Live Calc'!$D$27,0)</f>
        <v>59</v>
      </c>
      <c r="AD3" s="12"/>
      <c r="AE3" s="12">
        <f>IF(AD3&lt;&gt;"",AD3,ROUND(AC3*INDEX('Live Calc'!$G$96:$G$256,MATCH(W3,'Live Calc'!$A$96:$A$256,0))*'Live Calc'!$J$543,0))</f>
        <v>59</v>
      </c>
      <c r="AG3" s="13" t="s">
        <v>72</v>
      </c>
      <c r="AH3" s="13" t="s">
        <v>73</v>
      </c>
      <c r="AI3" s="13">
        <v>214.25399999999999</v>
      </c>
      <c r="AJ3" s="13">
        <v>273.85199999999998</v>
      </c>
      <c r="AK3" s="13">
        <v>333.45</v>
      </c>
      <c r="AL3" s="13">
        <f>CHOOSE(MATCH(Setup!$B$7,{"STD","Half-PPR","PPR"},0),AI3,AJ3,AK3)</f>
        <v>273.85199999999998</v>
      </c>
      <c r="AM3" s="13">
        <f>COUNTIFS('Draft Board'!$AN$2:$AN$192,"&gt;="&amp;AN3,'Draft Board'!$AR$2:$AR$192,1)</f>
        <v>1</v>
      </c>
      <c r="AN3" s="13">
        <f>MAX(0,AL3-'Live Calc'!$H$21)^'Live Calc'!$E$21</f>
        <v>2220.3632134607014</v>
      </c>
      <c r="AO3" s="13">
        <v>3</v>
      </c>
      <c r="AP3" s="13">
        <f>IF(AO3&lt;&gt;_xlfn.MINIFS('Draft Board'!$AO$2:$AO$192,'Draft Board'!$AN$2:$AN$192,"="&amp;AN3),0,IF(_xlfn.MINIFS('Draft Board'!$AN$2:$AN$192,'Draft Board'!$AN$2:$AN$192,"&gt;"&amp;AN3)=0,1,IF((_xlfn.MINIFS('Draft Board'!$AN$2:$AN$192,'Draft Board'!$AN$2:$AN$192,"&gt;"&amp;AN3)-AN3)/_xlfn.MINIFS('Draft Board'!$AN$2:$AN$192,'Draft Board'!$AN$2:$AN$192,"&gt;"&amp;AN3)&gt;0.08,1,0)))</f>
        <v>0</v>
      </c>
      <c r="AQ3" s="13">
        <f>_xlfn.MINIFS('Draft Board'!$AN$2:$AN$192,'Draft Board'!$AN$2:$AN$192,"&gt;="&amp;AN3,'Draft Board'!$AP$2:$AP$192,1)</f>
        <v>2249.1128774006702</v>
      </c>
      <c r="AR3" s="13">
        <f>IF(AO3&lt;&gt;_xlfn.MINIFS('Draft Board'!$AO$2:$AO$192,'Draft Board'!$AN$2:$AN$192,"="&amp;AN3),0,IF(OR(AP3=1,IFERROR(FLOOR((AQ3-AN3)/AQ3/0.25,1),0)&lt;&gt;IFERROR(FLOOR((AQ3-_xlfn.MINIFS('Draft Board'!$AN$2:$AN$192,'Draft Board'!$AN$2:$AN$192,"&gt;"&amp;AN3))/AQ3/0.25,1),0)),1,0))</f>
        <v>0</v>
      </c>
      <c r="AS3" s="13">
        <f>ROUND(1+AN3*'Live Calc'!$D$28,0)</f>
        <v>61</v>
      </c>
      <c r="AT3" s="13"/>
      <c r="AU3" s="13">
        <f>IF(AT3&lt;&gt;"",AT3,ROUND(AS3*INDEX('Live Calc'!$G$260:$G$450,MATCH(AM3,'Live Calc'!$A$260:$A$450,0))*'Live Calc'!$J$543,0))</f>
        <v>61</v>
      </c>
      <c r="AW3" s="14" t="s">
        <v>74</v>
      </c>
      <c r="AX3" s="14" t="s">
        <v>75</v>
      </c>
      <c r="AY3" s="14">
        <v>145.72</v>
      </c>
      <c r="AZ3" s="14">
        <v>192.60599999999999</v>
      </c>
      <c r="BA3" s="14">
        <v>241.15199999999999</v>
      </c>
      <c r="BB3" s="14">
        <f>CHOOSE(MATCH(Setup!$B$7,{"STD","Half-PPR","PPR"},0),AY3,AZ3,BA3)</f>
        <v>192.60599999999999</v>
      </c>
      <c r="BC3" s="14">
        <f>COUNTIFS('Draft Board'!$BD$2:$BD$87,"&gt;="&amp;BD3,'Draft Board'!$BH$2:$BH$87,1)</f>
        <v>1</v>
      </c>
      <c r="BD3" s="14">
        <f>MAX(0,BB3-'Live Calc'!$H$22)^'Live Calc'!$E$22</f>
        <v>1373.2257915453627</v>
      </c>
      <c r="BE3" s="14">
        <v>3</v>
      </c>
      <c r="BF3" s="14">
        <f>IF(BE3&lt;&gt;_xlfn.MINIFS('Draft Board'!$BE$2:$BE$87,'Draft Board'!$BD$2:$BD$87,"="&amp;BD3),0,IF(_xlfn.MINIFS('Draft Board'!$BD$2:$BD$87,'Draft Board'!$BD$2:$BD$87,"&gt;"&amp;BD3)=0,1,IF((_xlfn.MINIFS('Draft Board'!$BD$2:$BD$87,'Draft Board'!$BD$2:$BD$87,"&gt;"&amp;BD3)-BD3)/_xlfn.MINIFS('Draft Board'!$BD$2:$BD$87,'Draft Board'!$BD$2:$BD$87,"&gt;"&amp;BD3)&gt;0.08,1,0)))</f>
        <v>0</v>
      </c>
      <c r="BG3" s="14">
        <f>_xlfn.MINIFS('Draft Board'!$BD$2:$BD$87,'Draft Board'!$BD$2:$BD$87,"&gt;="&amp;BD3,'Draft Board'!$BF$2:$BF$87,1)</f>
        <v>1377.0246695087556</v>
      </c>
      <c r="BH3" s="14">
        <f>IF(BE3&lt;&gt;_xlfn.MINIFS('Draft Board'!$BE$2:$BE$87,'Draft Board'!$BD$2:$BD$87,"="&amp;BD3),0,IF(OR(BF3=1,IFERROR(FLOOR((BG3-BD3)/BG3/0.25,1),0)&lt;&gt;IFERROR(FLOOR((BG3-_xlfn.MINIFS('Draft Board'!$BD$2:$BD$87,'Draft Board'!$BD$2:$BD$87,"&gt;"&amp;BD3))/BG3/0.25,1),0)),1,0))</f>
        <v>0</v>
      </c>
      <c r="BI3" s="14">
        <f>ROUND(1+BD3*'Live Calc'!$D$29,0)</f>
        <v>33</v>
      </c>
      <c r="BJ3" s="14"/>
      <c r="BK3" s="14">
        <f>IF(BJ3&lt;&gt;"",BJ3,ROUND(BI3*INDEX('Live Calc'!$G$454:$G$539,MATCH(BC3,'Live Calc'!$A$454:$A$539,0))*'Live Calc'!$J$543,0))</f>
        <v>33</v>
      </c>
    </row>
    <row r="4" spans="1:63" x14ac:dyDescent="0.25">
      <c r="A4" s="11" t="s">
        <v>76</v>
      </c>
      <c r="B4" s="11" t="s">
        <v>77</v>
      </c>
      <c r="C4" s="11">
        <v>308.86</v>
      </c>
      <c r="D4" s="11">
        <v>308.86</v>
      </c>
      <c r="E4" s="11">
        <v>308.86</v>
      </c>
      <c r="F4" s="11">
        <f>CHOOSE(MATCH(Setup!$B$7,{"STD","Half-PPR","PPR"},0),C4,D4,E4)</f>
        <v>308.86</v>
      </c>
      <c r="G4" s="11">
        <f>COUNTIFS('Draft Board'!$H$2:$H$61,"&gt;="&amp;H4,'Draft Board'!$L$2:$L$61,1)</f>
        <v>3</v>
      </c>
      <c r="H4" s="11">
        <f>MAX(0,F4-'Live Calc'!$H$19)^'Live Calc'!$E$19</f>
        <v>100.42960562174648</v>
      </c>
      <c r="I4" s="11">
        <v>4</v>
      </c>
      <c r="J4" s="11">
        <f>IF(I4&lt;&gt;_xlfn.MINIFS('Draft Board'!$I$2:$I$61,'Draft Board'!$H$2:$H$61,"="&amp;H4),0,IF(_xlfn.MINIFS('Draft Board'!$H$2:$H$61,'Draft Board'!$H$2:$H$61,"&gt;"&amp;H4)=0,1,IF((_xlfn.MINIFS('Draft Board'!$H$2:$H$61,'Draft Board'!$H$2:$H$61,"&gt;"&amp;H4)-H4)/_xlfn.MINIFS('Draft Board'!$H$2:$H$61,'Draft Board'!$H$2:$H$61,"&gt;"&amp;H4)&gt;0.08,1,0)))</f>
        <v>1</v>
      </c>
      <c r="K4" s="11">
        <f>_xlfn.MINIFS('Draft Board'!$H$2:$H$61,'Draft Board'!$H$2:$H$61,"&gt;="&amp;H4,'Draft Board'!$J$2:$J$61,1)</f>
        <v>100.42960562174648</v>
      </c>
      <c r="L4" s="11">
        <f>IF(I4&lt;&gt;_xlfn.MINIFS('Draft Board'!$I$2:$I$61,'Draft Board'!$H$2:$H$61,"="&amp;H4),0,IF(OR(J4=1,IFERROR(FLOOR((K4-H4)/K4/0.25,1),0)&lt;&gt;IFERROR(FLOOR((K4-_xlfn.MINIFS('Draft Board'!$H$2:$H$61,'Draft Board'!$H$2:$H$61,"&gt;"&amp;H4))/K4/0.25,1),0)),1,0))</f>
        <v>1</v>
      </c>
      <c r="M4" s="11">
        <f>ROUND(1+H4*'Live Calc'!$D$26,0)</f>
        <v>15</v>
      </c>
      <c r="N4" s="11"/>
      <c r="O4" s="11">
        <f>IF(N4&lt;&gt;"",N4,ROUND(M4*INDEX('Live Calc'!$G$33:$G$92,MATCH(G4,'Live Calc'!$A$33:$A$92,0))*'Live Calc'!$J$543,0))</f>
        <v>15</v>
      </c>
      <c r="Q4" s="12" t="s">
        <v>78</v>
      </c>
      <c r="R4" s="12" t="s">
        <v>79</v>
      </c>
      <c r="S4" s="12">
        <v>248.02</v>
      </c>
      <c r="T4" s="12">
        <v>285.60000000000002</v>
      </c>
      <c r="U4" s="12">
        <v>323.19</v>
      </c>
      <c r="V4" s="12">
        <f>CHOOSE(MATCH(Setup!$B$7,{"STD","Half-PPR","PPR"},0),S4,T4,U4)</f>
        <v>285.60000000000002</v>
      </c>
      <c r="W4" s="12">
        <f>COUNTIFS('Draft Board'!$X$2:$X$162,"&gt;="&amp;X4,'Draft Board'!$AB$2:$AB$162,1)</f>
        <v>2</v>
      </c>
      <c r="X4" s="12">
        <f>MAX(0,V4-'Live Calc'!$H$20)^'Live Calc'!$E$20</f>
        <v>506.13606076225278</v>
      </c>
      <c r="Y4" s="12">
        <v>4</v>
      </c>
      <c r="Z4" s="12">
        <f>IF(Y4&lt;&gt;_xlfn.MINIFS('Draft Board'!$Y$2:$Y$162,'Draft Board'!$X$2:$X$162,"="&amp;X4),0,IF(_xlfn.MINIFS('Draft Board'!$X$2:$X$162,'Draft Board'!$X$2:$X$162,"&gt;"&amp;X4)=0,1,IF((_xlfn.MINIFS('Draft Board'!$X$2:$X$162,'Draft Board'!$X$2:$X$162,"&gt;"&amp;X4)-X4)/_xlfn.MINIFS('Draft Board'!$X$2:$X$162,'Draft Board'!$X$2:$X$162,"&gt;"&amp;X4)&gt;0.08,1,0)))</f>
        <v>1</v>
      </c>
      <c r="AA4" s="12">
        <f>_xlfn.MINIFS('Draft Board'!$X$2:$X$162,'Draft Board'!$X$2:$X$162,"&gt;="&amp;X4,'Draft Board'!$Z$2:$Z$162,1)</f>
        <v>506.13606076225278</v>
      </c>
      <c r="AB4" s="12">
        <f>IF(Y4&lt;&gt;_xlfn.MINIFS('Draft Board'!$Y$2:$Y$162,'Draft Board'!$X$2:$X$162,"="&amp;X4),0,IF(OR(Z4=1,IFERROR(FLOOR((AA4-X4)/AA4/0.25,1),0)&lt;&gt;IFERROR(FLOOR((AA4-_xlfn.MINIFS('Draft Board'!$X$2:$X$162,'Draft Board'!$X$2:$X$162,"&gt;"&amp;X4))/AA4/0.25,1),0)),1,0))</f>
        <v>1</v>
      </c>
      <c r="AC4" s="12">
        <f>ROUND(1+X4*'Live Calc'!$D$27,0)</f>
        <v>51</v>
      </c>
      <c r="AD4" s="12"/>
      <c r="AE4" s="12">
        <f>IF(AD4&lt;&gt;"",AD4,ROUND(AC4*INDEX('Live Calc'!$G$96:$G$256,MATCH(W4,'Live Calc'!$A$96:$A$256,0))*'Live Calc'!$J$543,0))</f>
        <v>51</v>
      </c>
      <c r="AG4" s="13" t="s">
        <v>80</v>
      </c>
      <c r="AH4" s="13" t="s">
        <v>81</v>
      </c>
      <c r="AI4" s="13">
        <v>207.41</v>
      </c>
      <c r="AJ4" s="13">
        <v>261.32</v>
      </c>
      <c r="AK4" s="13">
        <v>315.23</v>
      </c>
      <c r="AL4" s="13">
        <f>CHOOSE(MATCH(Setup!$B$7,{"STD","Half-PPR","PPR"},0),AI4,AJ4,AK4)</f>
        <v>261.32</v>
      </c>
      <c r="AM4" s="13">
        <f>COUNTIFS('Draft Board'!$AN$2:$AN$192,"&gt;="&amp;AN4,'Draft Board'!$AR$2:$AR$192,1)</f>
        <v>2</v>
      </c>
      <c r="AN4" s="13">
        <f>MAX(0,AL4-'Live Calc'!$H$21)^'Live Calc'!$E$21</f>
        <v>1979.6973917169639</v>
      </c>
      <c r="AO4" s="13">
        <v>4</v>
      </c>
      <c r="AP4" s="13">
        <f>IF(AO4&lt;&gt;_xlfn.MINIFS('Draft Board'!$AO$2:$AO$192,'Draft Board'!$AN$2:$AN$192,"="&amp;AN4),0,IF(_xlfn.MINIFS('Draft Board'!$AN$2:$AN$192,'Draft Board'!$AN$2:$AN$192,"&gt;"&amp;AN4)=0,1,IF((_xlfn.MINIFS('Draft Board'!$AN$2:$AN$192,'Draft Board'!$AN$2:$AN$192,"&gt;"&amp;AN4)-AN4)/_xlfn.MINIFS('Draft Board'!$AN$2:$AN$192,'Draft Board'!$AN$2:$AN$192,"&gt;"&amp;AN4)&gt;0.08,1,0)))</f>
        <v>1</v>
      </c>
      <c r="AQ4" s="13">
        <f>_xlfn.MINIFS('Draft Board'!$AN$2:$AN$192,'Draft Board'!$AN$2:$AN$192,"&gt;="&amp;AN4,'Draft Board'!$AP$2:$AP$192,1)</f>
        <v>1979.6973917169639</v>
      </c>
      <c r="AR4" s="13">
        <f>IF(AO4&lt;&gt;_xlfn.MINIFS('Draft Board'!$AO$2:$AO$192,'Draft Board'!$AN$2:$AN$192,"="&amp;AN4),0,IF(OR(AP4=1,IFERROR(FLOOR((AQ4-AN4)/AQ4/0.25,1),0)&lt;&gt;IFERROR(FLOOR((AQ4-_xlfn.MINIFS('Draft Board'!$AN$2:$AN$192,'Draft Board'!$AN$2:$AN$192,"&gt;"&amp;AN4))/AQ4/0.25,1),0)),1,0))</f>
        <v>1</v>
      </c>
      <c r="AS4" s="13">
        <f>ROUND(1+AN4*'Live Calc'!$D$28,0)</f>
        <v>55</v>
      </c>
      <c r="AT4" s="13"/>
      <c r="AU4" s="13">
        <f>IF(AT4&lt;&gt;"",AT4,ROUND(AS4*INDEX('Live Calc'!$G$260:$G$450,MATCH(AM4,'Live Calc'!$A$260:$A$450,0))*'Live Calc'!$J$543,0))</f>
        <v>55</v>
      </c>
      <c r="AW4" s="14" t="s">
        <v>82</v>
      </c>
      <c r="AX4" s="14" t="s">
        <v>83</v>
      </c>
      <c r="AY4" s="14">
        <v>133.52000000000001</v>
      </c>
      <c r="AZ4" s="14">
        <v>172.41</v>
      </c>
      <c r="BA4" s="14">
        <v>211.3</v>
      </c>
      <c r="BB4" s="14">
        <f>CHOOSE(MATCH(Setup!$B$7,{"STD","Half-PPR","PPR"},0),AY4,AZ4,BA4)</f>
        <v>172.41</v>
      </c>
      <c r="BC4" s="14">
        <f>COUNTIFS('Draft Board'!$BD$2:$BD$87,"&gt;="&amp;BD4,'Draft Board'!$BH$2:$BH$87,1)</f>
        <v>2</v>
      </c>
      <c r="BD4" s="14">
        <f>MAX(0,BB4-'Live Calc'!$H$22)^'Live Calc'!$E$22</f>
        <v>921.08504518777738</v>
      </c>
      <c r="BE4" s="14">
        <v>4</v>
      </c>
      <c r="BF4" s="14">
        <f>IF(BE4&lt;&gt;_xlfn.MINIFS('Draft Board'!$BE$2:$BE$87,'Draft Board'!$BD$2:$BD$87,"="&amp;BD4),0,IF(_xlfn.MINIFS('Draft Board'!$BD$2:$BD$87,'Draft Board'!$BD$2:$BD$87,"&gt;"&amp;BD4)=0,1,IF((_xlfn.MINIFS('Draft Board'!$BD$2:$BD$87,'Draft Board'!$BD$2:$BD$87,"&gt;"&amp;BD4)-BD4)/_xlfn.MINIFS('Draft Board'!$BD$2:$BD$87,'Draft Board'!$BD$2:$BD$87,"&gt;"&amp;BD4)&gt;0.08,1,0)))</f>
        <v>1</v>
      </c>
      <c r="BG4" s="14">
        <f>_xlfn.MINIFS('Draft Board'!$BD$2:$BD$87,'Draft Board'!$BD$2:$BD$87,"&gt;="&amp;BD4,'Draft Board'!$BF$2:$BF$87,1)</f>
        <v>921.08504518777738</v>
      </c>
      <c r="BH4" s="14">
        <f>IF(BE4&lt;&gt;_xlfn.MINIFS('Draft Board'!$BE$2:$BE$87,'Draft Board'!$BD$2:$BD$87,"="&amp;BD4),0,IF(OR(BF4=1,IFERROR(FLOOR((BG4-BD4)/BG4/0.25,1),0)&lt;&gt;IFERROR(FLOOR((BG4-_xlfn.MINIFS('Draft Board'!$BD$2:$BD$87,'Draft Board'!$BD$2:$BD$87,"&gt;"&amp;BD4))/BG4/0.25,1),0)),1,0))</f>
        <v>1</v>
      </c>
      <c r="BI4" s="14">
        <f>ROUND(1+BD4*'Live Calc'!$D$29,0)</f>
        <v>23</v>
      </c>
      <c r="BJ4" s="14"/>
      <c r="BK4" s="14">
        <f>IF(BJ4&lt;&gt;"",BJ4,ROUND(BI4*INDEX('Live Calc'!$G$454:$G$539,MATCH(BC4,'Live Calc'!$A$454:$A$539,0))*'Live Calc'!$J$543,0))</f>
        <v>23</v>
      </c>
    </row>
    <row r="5" spans="1:63" x14ac:dyDescent="0.25">
      <c r="A5" s="11" t="s">
        <v>84</v>
      </c>
      <c r="B5" s="11" t="s">
        <v>85</v>
      </c>
      <c r="C5" s="11">
        <v>307.20999999999998</v>
      </c>
      <c r="D5" s="11">
        <v>307.20999999999998</v>
      </c>
      <c r="E5" s="11">
        <v>307.20999999999998</v>
      </c>
      <c r="F5" s="11">
        <f>CHOOSE(MATCH(Setup!$B$7,{"STD","Half-PPR","PPR"},0),C5,D5,E5)</f>
        <v>307.20999999999998</v>
      </c>
      <c r="G5" s="11">
        <f>COUNTIFS('Draft Board'!$H$2:$H$61,"&gt;="&amp;H5,'Draft Board'!$L$2:$L$61,1)</f>
        <v>3</v>
      </c>
      <c r="H5" s="11">
        <f>MAX(0,F5-'Live Calc'!$H$19)^'Live Calc'!$E$19</f>
        <v>96.176041994142025</v>
      </c>
      <c r="I5" s="11">
        <v>5</v>
      </c>
      <c r="J5" s="11">
        <f>IF(I5&lt;&gt;_xlfn.MINIFS('Draft Board'!$I$2:$I$61,'Draft Board'!$H$2:$H$61,"="&amp;H5),0,IF(_xlfn.MINIFS('Draft Board'!$H$2:$H$61,'Draft Board'!$H$2:$H$61,"&gt;"&amp;H5)=0,1,IF((_xlfn.MINIFS('Draft Board'!$H$2:$H$61,'Draft Board'!$H$2:$H$61,"&gt;"&amp;H5)-H5)/_xlfn.MINIFS('Draft Board'!$H$2:$H$61,'Draft Board'!$H$2:$H$61,"&gt;"&amp;H5)&gt;0.08,1,0)))</f>
        <v>0</v>
      </c>
      <c r="K5" s="11">
        <f>_xlfn.MINIFS('Draft Board'!$H$2:$H$61,'Draft Board'!$H$2:$H$61,"&gt;="&amp;H5,'Draft Board'!$J$2:$J$61,1)</f>
        <v>100.42960562174648</v>
      </c>
      <c r="L5" s="11">
        <f>IF(I5&lt;&gt;_xlfn.MINIFS('Draft Board'!$I$2:$I$61,'Draft Board'!$H$2:$H$61,"="&amp;H5),0,IF(OR(J5=1,IFERROR(FLOOR((K5-H5)/K5/0.25,1),0)&lt;&gt;IFERROR(FLOOR((K5-_xlfn.MINIFS('Draft Board'!$H$2:$H$61,'Draft Board'!$H$2:$H$61,"&gt;"&amp;H5))/K5/0.25,1),0)),1,0))</f>
        <v>0</v>
      </c>
      <c r="M5" s="11">
        <f>ROUND(1+H5*'Live Calc'!$D$26,0)</f>
        <v>14</v>
      </c>
      <c r="N5" s="11"/>
      <c r="O5" s="11">
        <f>IF(N5&lt;&gt;"",N5,ROUND(M5*INDEX('Live Calc'!$G$33:$G$92,MATCH(G5,'Live Calc'!$A$33:$A$92,0))*'Live Calc'!$J$543,0))</f>
        <v>14</v>
      </c>
      <c r="Q5" s="12" t="s">
        <v>86</v>
      </c>
      <c r="R5" s="12" t="s">
        <v>87</v>
      </c>
      <c r="S5" s="12">
        <v>257.54000000000002</v>
      </c>
      <c r="T5" s="12">
        <v>278.56</v>
      </c>
      <c r="U5" s="12">
        <v>299.58</v>
      </c>
      <c r="V5" s="12">
        <f>CHOOSE(MATCH(Setup!$B$7,{"STD","Half-PPR","PPR"},0),S5,T5,U5)</f>
        <v>278.56</v>
      </c>
      <c r="W5" s="12">
        <f>COUNTIFS('Draft Board'!$X$2:$X$162,"&gt;="&amp;X5,'Draft Board'!$AB$2:$AB$162,1)</f>
        <v>2</v>
      </c>
      <c r="X5" s="12">
        <f>MAX(0,V5-'Live Calc'!$H$20)^'Live Calc'!$E$20</f>
        <v>482.38198098862392</v>
      </c>
      <c r="Y5" s="12">
        <v>5</v>
      </c>
      <c r="Z5" s="12">
        <f>IF(Y5&lt;&gt;_xlfn.MINIFS('Draft Board'!$Y$2:$Y$162,'Draft Board'!$X$2:$X$162,"="&amp;X5),0,IF(_xlfn.MINIFS('Draft Board'!$X$2:$X$162,'Draft Board'!$X$2:$X$162,"&gt;"&amp;X5)=0,1,IF((_xlfn.MINIFS('Draft Board'!$X$2:$X$162,'Draft Board'!$X$2:$X$162,"&gt;"&amp;X5)-X5)/_xlfn.MINIFS('Draft Board'!$X$2:$X$162,'Draft Board'!$X$2:$X$162,"&gt;"&amp;X5)&gt;0.08,1,0)))</f>
        <v>0</v>
      </c>
      <c r="AA5" s="12">
        <f>_xlfn.MINIFS('Draft Board'!$X$2:$X$162,'Draft Board'!$X$2:$X$162,"&gt;="&amp;X5,'Draft Board'!$Z$2:$Z$162,1)</f>
        <v>506.13606076225278</v>
      </c>
      <c r="AB5" s="12">
        <f>IF(Y5&lt;&gt;_xlfn.MINIFS('Draft Board'!$Y$2:$Y$162,'Draft Board'!$X$2:$X$162,"="&amp;X5),0,IF(OR(Z5=1,IFERROR(FLOOR((AA5-X5)/AA5/0.25,1),0)&lt;&gt;IFERROR(FLOOR((AA5-_xlfn.MINIFS('Draft Board'!$X$2:$X$162,'Draft Board'!$X$2:$X$162,"&gt;"&amp;X5))/AA5/0.25,1),0)),1,0))</f>
        <v>0</v>
      </c>
      <c r="AC5" s="12">
        <f>ROUND(1+X5*'Live Calc'!$D$27,0)</f>
        <v>49</v>
      </c>
      <c r="AD5" s="12"/>
      <c r="AE5" s="12">
        <f>IF(AD5&lt;&gt;"",AD5,ROUND(AC5*INDEX('Live Calc'!$G$96:$G$256,MATCH(W5,'Live Calc'!$A$96:$A$256,0))*'Live Calc'!$J$543,0))</f>
        <v>49</v>
      </c>
      <c r="AG5" s="13" t="s">
        <v>88</v>
      </c>
      <c r="AH5" s="13" t="s">
        <v>63</v>
      </c>
      <c r="AI5" s="13">
        <v>194.69</v>
      </c>
      <c r="AJ5" s="13">
        <v>251.56</v>
      </c>
      <c r="AK5" s="13">
        <v>308.43</v>
      </c>
      <c r="AL5" s="13">
        <f>CHOOSE(MATCH(Setup!$B$7,{"STD","Half-PPR","PPR"},0),AI5,AJ5,AK5)</f>
        <v>251.56</v>
      </c>
      <c r="AM5" s="13">
        <f>COUNTIFS('Draft Board'!$AN$2:$AN$192,"&gt;="&amp;AN5,'Draft Board'!$AR$2:$AR$192,1)</f>
        <v>3</v>
      </c>
      <c r="AN5" s="13">
        <f>MAX(0,AL5-'Live Calc'!$H$21)^'Live Calc'!$E$21</f>
        <v>1798.7461574717154</v>
      </c>
      <c r="AO5" s="13">
        <v>5</v>
      </c>
      <c r="AP5" s="13">
        <f>IF(AO5&lt;&gt;_xlfn.MINIFS('Draft Board'!$AO$2:$AO$192,'Draft Board'!$AN$2:$AN$192,"="&amp;AN5),0,IF(_xlfn.MINIFS('Draft Board'!$AN$2:$AN$192,'Draft Board'!$AN$2:$AN$192,"&gt;"&amp;AN5)=0,1,IF((_xlfn.MINIFS('Draft Board'!$AN$2:$AN$192,'Draft Board'!$AN$2:$AN$192,"&gt;"&amp;AN5)-AN5)/_xlfn.MINIFS('Draft Board'!$AN$2:$AN$192,'Draft Board'!$AN$2:$AN$192,"&gt;"&amp;AN5)&gt;0.08,1,0)))</f>
        <v>1</v>
      </c>
      <c r="AQ5" s="13">
        <f>_xlfn.MINIFS('Draft Board'!$AN$2:$AN$192,'Draft Board'!$AN$2:$AN$192,"&gt;="&amp;AN5,'Draft Board'!$AP$2:$AP$192,1)</f>
        <v>1798.7461574717154</v>
      </c>
      <c r="AR5" s="13">
        <f>IF(AO5&lt;&gt;_xlfn.MINIFS('Draft Board'!$AO$2:$AO$192,'Draft Board'!$AN$2:$AN$192,"="&amp;AN5),0,IF(OR(AP5=1,IFERROR(FLOOR((AQ5-AN5)/AQ5/0.25,1),0)&lt;&gt;IFERROR(FLOOR((AQ5-_xlfn.MINIFS('Draft Board'!$AN$2:$AN$192,'Draft Board'!$AN$2:$AN$192,"&gt;"&amp;AN5))/AQ5/0.25,1),0)),1,0))</f>
        <v>1</v>
      </c>
      <c r="AS5" s="13">
        <f>ROUND(1+AN5*'Live Calc'!$D$28,0)</f>
        <v>50</v>
      </c>
      <c r="AT5" s="13"/>
      <c r="AU5" s="13">
        <f>IF(AT5&lt;&gt;"",AT5,ROUND(AS5*INDEX('Live Calc'!$G$260:$G$450,MATCH(AM5,'Live Calc'!$A$260:$A$450,0))*'Live Calc'!$J$543,0))</f>
        <v>50</v>
      </c>
      <c r="AW5" s="14" t="s">
        <v>89</v>
      </c>
      <c r="AX5" s="14" t="s">
        <v>87</v>
      </c>
      <c r="AY5" s="14">
        <v>123.21</v>
      </c>
      <c r="AZ5" s="14">
        <v>162.91999999999999</v>
      </c>
      <c r="BA5" s="14">
        <v>202.63</v>
      </c>
      <c r="BB5" s="14">
        <f>CHOOSE(MATCH(Setup!$B$7,{"STD","Half-PPR","PPR"},0),AY5,AZ5,BA5)</f>
        <v>162.91999999999999</v>
      </c>
      <c r="BC5" s="14">
        <f>COUNTIFS('Draft Board'!$BD$2:$BD$87,"&gt;="&amp;BD5,'Draft Board'!$BH$2:$BH$87,1)</f>
        <v>3</v>
      </c>
      <c r="BD5" s="14">
        <f>MAX(0,BB5-'Live Calc'!$H$22)^'Live Calc'!$E$22</f>
        <v>732.74289828107453</v>
      </c>
      <c r="BE5" s="14">
        <v>5</v>
      </c>
      <c r="BF5" s="14">
        <f>IF(BE5&lt;&gt;_xlfn.MINIFS('Draft Board'!$BE$2:$BE$87,'Draft Board'!$BD$2:$BD$87,"="&amp;BD5),0,IF(_xlfn.MINIFS('Draft Board'!$BD$2:$BD$87,'Draft Board'!$BD$2:$BD$87,"&gt;"&amp;BD5)=0,1,IF((_xlfn.MINIFS('Draft Board'!$BD$2:$BD$87,'Draft Board'!$BD$2:$BD$87,"&gt;"&amp;BD5)-BD5)/_xlfn.MINIFS('Draft Board'!$BD$2:$BD$87,'Draft Board'!$BD$2:$BD$87,"&gt;"&amp;BD5)&gt;0.08,1,0)))</f>
        <v>1</v>
      </c>
      <c r="BG5" s="14">
        <f>_xlfn.MINIFS('Draft Board'!$BD$2:$BD$87,'Draft Board'!$BD$2:$BD$87,"&gt;="&amp;BD5,'Draft Board'!$BF$2:$BF$87,1)</f>
        <v>732.74289828107453</v>
      </c>
      <c r="BH5" s="14">
        <f>IF(BE5&lt;&gt;_xlfn.MINIFS('Draft Board'!$BE$2:$BE$87,'Draft Board'!$BD$2:$BD$87,"="&amp;BD5),0,IF(OR(BF5=1,IFERROR(FLOOR((BG5-BD5)/BG5/0.25,1),0)&lt;&gt;IFERROR(FLOOR((BG5-_xlfn.MINIFS('Draft Board'!$BD$2:$BD$87,'Draft Board'!$BD$2:$BD$87,"&gt;"&amp;BD5))/BG5/0.25,1),0)),1,0))</f>
        <v>1</v>
      </c>
      <c r="BI5" s="14">
        <f>ROUND(1+BD5*'Live Calc'!$D$29,0)</f>
        <v>18</v>
      </c>
      <c r="BJ5" s="14"/>
      <c r="BK5" s="14">
        <f>IF(BJ5&lt;&gt;"",BJ5,ROUND(BI5*INDEX('Live Calc'!$G$454:$G$539,MATCH(BC5,'Live Calc'!$A$454:$A$539,0))*'Live Calc'!$J$543,0))</f>
        <v>18</v>
      </c>
    </row>
    <row r="6" spans="1:63" x14ac:dyDescent="0.25">
      <c r="A6" s="11" t="s">
        <v>90</v>
      </c>
      <c r="B6" s="11" t="s">
        <v>91</v>
      </c>
      <c r="C6" s="11">
        <v>303.28800000000001</v>
      </c>
      <c r="D6" s="11">
        <v>303.28800000000001</v>
      </c>
      <c r="E6" s="11">
        <v>303.28800000000001</v>
      </c>
      <c r="F6" s="11">
        <f>CHOOSE(MATCH(Setup!$B$7,{"STD","Half-PPR","PPR"},0),C6,D6,E6)</f>
        <v>303.28800000000001</v>
      </c>
      <c r="G6" s="11">
        <f>COUNTIFS('Draft Board'!$H$2:$H$61,"&gt;="&amp;H6,'Draft Board'!$L$2:$L$61,1)</f>
        <v>4</v>
      </c>
      <c r="H6" s="11">
        <f>MAX(0,F6-'Live Calc'!$H$19)^'Live Calc'!$E$19</f>
        <v>86.19215181411839</v>
      </c>
      <c r="I6" s="11">
        <v>6</v>
      </c>
      <c r="J6" s="11">
        <f>IF(I6&lt;&gt;_xlfn.MINIFS('Draft Board'!$I$2:$I$61,'Draft Board'!$H$2:$H$61,"="&amp;H6),0,IF(_xlfn.MINIFS('Draft Board'!$H$2:$H$61,'Draft Board'!$H$2:$H$61,"&gt;"&amp;H6)=0,1,IF((_xlfn.MINIFS('Draft Board'!$H$2:$H$61,'Draft Board'!$H$2:$H$61,"&gt;"&amp;H6)-H6)/_xlfn.MINIFS('Draft Board'!$H$2:$H$61,'Draft Board'!$H$2:$H$61,"&gt;"&amp;H6)&gt;0.08,1,0)))</f>
        <v>1</v>
      </c>
      <c r="K6" s="11">
        <f>_xlfn.MINIFS('Draft Board'!$H$2:$H$61,'Draft Board'!$H$2:$H$61,"&gt;="&amp;H6,'Draft Board'!$J$2:$J$61,1)</f>
        <v>86.19215181411839</v>
      </c>
      <c r="L6" s="11">
        <f>IF(I6&lt;&gt;_xlfn.MINIFS('Draft Board'!$I$2:$I$61,'Draft Board'!$H$2:$H$61,"="&amp;H6),0,IF(OR(J6=1,IFERROR(FLOOR((K6-H6)/K6/0.25,1),0)&lt;&gt;IFERROR(FLOOR((K6-_xlfn.MINIFS('Draft Board'!$H$2:$H$61,'Draft Board'!$H$2:$H$61,"&gt;"&amp;H6))/K6/0.25,1),0)),1,0))</f>
        <v>1</v>
      </c>
      <c r="M6" s="11">
        <f>ROUND(1+H6*'Live Calc'!$D$26,0)</f>
        <v>13</v>
      </c>
      <c r="N6" s="11"/>
      <c r="O6" s="11">
        <f>IF(N6&lt;&gt;"",N6,ROUND(M6*INDEX('Live Calc'!$G$33:$G$92,MATCH(G6,'Live Calc'!$A$33:$A$92,0))*'Live Calc'!$J$543,0))</f>
        <v>13</v>
      </c>
      <c r="Q6" s="12" t="s">
        <v>92</v>
      </c>
      <c r="R6" s="12" t="s">
        <v>61</v>
      </c>
      <c r="S6" s="12">
        <v>233.84399999999999</v>
      </c>
      <c r="T6" s="12">
        <v>248.9</v>
      </c>
      <c r="U6" s="12">
        <v>267.26400000000001</v>
      </c>
      <c r="V6" s="12">
        <f>CHOOSE(MATCH(Setup!$B$7,{"STD","Half-PPR","PPR"},0),S6,T6,U6)</f>
        <v>248.9</v>
      </c>
      <c r="W6" s="12">
        <f>COUNTIFS('Draft Board'!$X$2:$X$162,"&gt;="&amp;X6,'Draft Board'!$AB$2:$AB$162,1)</f>
        <v>3</v>
      </c>
      <c r="X6" s="12">
        <f>MAX(0,V6-'Live Calc'!$H$20)^'Live Calc'!$E$20</f>
        <v>384.5093304698504</v>
      </c>
      <c r="Y6" s="12">
        <v>6</v>
      </c>
      <c r="Z6" s="12">
        <f>IF(Y6&lt;&gt;_xlfn.MINIFS('Draft Board'!$Y$2:$Y$162,'Draft Board'!$X$2:$X$162,"="&amp;X6),0,IF(_xlfn.MINIFS('Draft Board'!$X$2:$X$162,'Draft Board'!$X$2:$X$162,"&gt;"&amp;X6)=0,1,IF((_xlfn.MINIFS('Draft Board'!$X$2:$X$162,'Draft Board'!$X$2:$X$162,"&gt;"&amp;X6)-X6)/_xlfn.MINIFS('Draft Board'!$X$2:$X$162,'Draft Board'!$X$2:$X$162,"&gt;"&amp;X6)&gt;0.08,1,0)))</f>
        <v>1</v>
      </c>
      <c r="AA6" s="12">
        <f>_xlfn.MINIFS('Draft Board'!$X$2:$X$162,'Draft Board'!$X$2:$X$162,"&gt;="&amp;X6,'Draft Board'!$Z$2:$Z$162,1)</f>
        <v>384.5093304698504</v>
      </c>
      <c r="AB6" s="12">
        <f>IF(Y6&lt;&gt;_xlfn.MINIFS('Draft Board'!$Y$2:$Y$162,'Draft Board'!$X$2:$X$162,"="&amp;X6),0,IF(OR(Z6=1,IFERROR(FLOOR((AA6-X6)/AA6/0.25,1),0)&lt;&gt;IFERROR(FLOOR((AA6-_xlfn.MINIFS('Draft Board'!$X$2:$X$162,'Draft Board'!$X$2:$X$162,"&gt;"&amp;X6))/AA6/0.25,1),0)),1,0))</f>
        <v>1</v>
      </c>
      <c r="AC6" s="12">
        <f>ROUND(1+X6*'Live Calc'!$D$27,0)</f>
        <v>39</v>
      </c>
      <c r="AD6" s="12"/>
      <c r="AE6" s="12">
        <f>IF(AD6&lt;&gt;"",AD6,ROUND(AC6*INDEX('Live Calc'!$G$96:$G$256,MATCH(W6,'Live Calc'!$A$96:$A$256,0))*'Live Calc'!$J$543,0))</f>
        <v>39</v>
      </c>
      <c r="AG6" s="13" t="s">
        <v>93</v>
      </c>
      <c r="AH6" s="13" t="s">
        <v>94</v>
      </c>
      <c r="AI6" s="13">
        <v>174.83199999999999</v>
      </c>
      <c r="AJ6" s="13">
        <v>222.99799999999999</v>
      </c>
      <c r="AK6" s="13">
        <v>271.24</v>
      </c>
      <c r="AL6" s="13">
        <f>CHOOSE(MATCH(Setup!$B$7,{"STD","Half-PPR","PPR"},0),AI6,AJ6,AK6)</f>
        <v>222.99799999999999</v>
      </c>
      <c r="AM6" s="13">
        <f>COUNTIFS('Draft Board'!$AN$2:$AN$192,"&gt;="&amp;AN6,'Draft Board'!$AR$2:$AR$192,1)</f>
        <v>4</v>
      </c>
      <c r="AN6" s="13">
        <f>MAX(0,AL6-'Live Calc'!$H$21)^'Live Calc'!$E$21</f>
        <v>1303.7369298097249</v>
      </c>
      <c r="AO6" s="13">
        <v>6</v>
      </c>
      <c r="AP6" s="13">
        <f>IF(AO6&lt;&gt;_xlfn.MINIFS('Draft Board'!$AO$2:$AO$192,'Draft Board'!$AN$2:$AN$192,"="&amp;AN6),0,IF(_xlfn.MINIFS('Draft Board'!$AN$2:$AN$192,'Draft Board'!$AN$2:$AN$192,"&gt;"&amp;AN6)=0,1,IF((_xlfn.MINIFS('Draft Board'!$AN$2:$AN$192,'Draft Board'!$AN$2:$AN$192,"&gt;"&amp;AN6)-AN6)/_xlfn.MINIFS('Draft Board'!$AN$2:$AN$192,'Draft Board'!$AN$2:$AN$192,"&gt;"&amp;AN6)&gt;0.08,1,0)))</f>
        <v>1</v>
      </c>
      <c r="AQ6" s="13">
        <f>_xlfn.MINIFS('Draft Board'!$AN$2:$AN$192,'Draft Board'!$AN$2:$AN$192,"&gt;="&amp;AN6,'Draft Board'!$AP$2:$AP$192,1)</f>
        <v>1303.7369298097249</v>
      </c>
      <c r="AR6" s="13">
        <f>IF(AO6&lt;&gt;_xlfn.MINIFS('Draft Board'!$AO$2:$AO$192,'Draft Board'!$AN$2:$AN$192,"="&amp;AN6),0,IF(OR(AP6=1,IFERROR(FLOOR((AQ6-AN6)/AQ6/0.25,1),0)&lt;&gt;IFERROR(FLOOR((AQ6-_xlfn.MINIFS('Draft Board'!$AN$2:$AN$192,'Draft Board'!$AN$2:$AN$192,"&gt;"&amp;AN6))/AQ6/0.25,1),0)),1,0))</f>
        <v>1</v>
      </c>
      <c r="AS6" s="13">
        <f>ROUND(1+AN6*'Live Calc'!$D$28,0)</f>
        <v>36</v>
      </c>
      <c r="AT6" s="13"/>
      <c r="AU6" s="13">
        <f>IF(AT6&lt;&gt;"",AT6,ROUND(AS6*INDEX('Live Calc'!$G$260:$G$450,MATCH(AM6,'Live Calc'!$A$260:$A$450,0))*'Live Calc'!$J$543,0))</f>
        <v>36</v>
      </c>
      <c r="AW6" s="14" t="s">
        <v>95</v>
      </c>
      <c r="AX6" s="14" t="s">
        <v>96</v>
      </c>
      <c r="AY6" s="14">
        <v>118.71</v>
      </c>
      <c r="AZ6" s="14">
        <v>149.94</v>
      </c>
      <c r="BA6" s="14">
        <v>181.58</v>
      </c>
      <c r="BB6" s="14">
        <f>CHOOSE(MATCH(Setup!$B$7,{"STD","Half-PPR","PPR"},0),AY6,AZ6,BA6)</f>
        <v>149.94</v>
      </c>
      <c r="BC6" s="14">
        <f>COUNTIFS('Draft Board'!$BD$2:$BD$87,"&gt;="&amp;BD6,'Draft Board'!$BH$2:$BH$87,1)</f>
        <v>4</v>
      </c>
      <c r="BD6" s="14">
        <f>MAX(0,BB6-'Live Calc'!$H$22)^'Live Calc'!$E$22</f>
        <v>502.29507063715602</v>
      </c>
      <c r="BE6" s="14">
        <v>6</v>
      </c>
      <c r="BF6" s="14">
        <f>IF(BE6&lt;&gt;_xlfn.MINIFS('Draft Board'!$BE$2:$BE$87,'Draft Board'!$BD$2:$BD$87,"="&amp;BD6),0,IF(_xlfn.MINIFS('Draft Board'!$BD$2:$BD$87,'Draft Board'!$BD$2:$BD$87,"&gt;"&amp;BD6)=0,1,IF((_xlfn.MINIFS('Draft Board'!$BD$2:$BD$87,'Draft Board'!$BD$2:$BD$87,"&gt;"&amp;BD6)-BD6)/_xlfn.MINIFS('Draft Board'!$BD$2:$BD$87,'Draft Board'!$BD$2:$BD$87,"&gt;"&amp;BD6)&gt;0.08,1,0)))</f>
        <v>1</v>
      </c>
      <c r="BG6" s="14">
        <f>_xlfn.MINIFS('Draft Board'!$BD$2:$BD$87,'Draft Board'!$BD$2:$BD$87,"&gt;="&amp;BD6,'Draft Board'!$BF$2:$BF$87,1)</f>
        <v>502.29507063715602</v>
      </c>
      <c r="BH6" s="14">
        <f>IF(BE6&lt;&gt;_xlfn.MINIFS('Draft Board'!$BE$2:$BE$87,'Draft Board'!$BD$2:$BD$87,"="&amp;BD6),0,IF(OR(BF6=1,IFERROR(FLOOR((BG6-BD6)/BG6/0.25,1),0)&lt;&gt;IFERROR(FLOOR((BG6-_xlfn.MINIFS('Draft Board'!$BD$2:$BD$87,'Draft Board'!$BD$2:$BD$87,"&gt;"&amp;BD6))/BG6/0.25,1),0)),1,0))</f>
        <v>1</v>
      </c>
      <c r="BI6" s="14">
        <f>ROUND(1+BD6*'Live Calc'!$D$29,0)</f>
        <v>13</v>
      </c>
      <c r="BJ6" s="14"/>
      <c r="BK6" s="14">
        <f>IF(BJ6&lt;&gt;"",BJ6,ROUND(BI6*INDEX('Live Calc'!$G$454:$G$539,MATCH(BC6,'Live Calc'!$A$454:$A$539,0))*'Live Calc'!$J$543,0))</f>
        <v>13</v>
      </c>
    </row>
    <row r="7" spans="1:63" x14ac:dyDescent="0.25">
      <c r="A7" s="11" t="s">
        <v>97</v>
      </c>
      <c r="B7" s="11" t="s">
        <v>73</v>
      </c>
      <c r="C7" s="11">
        <v>301.93200000000002</v>
      </c>
      <c r="D7" s="11">
        <v>301.93200000000002</v>
      </c>
      <c r="E7" s="11">
        <v>301.93200000000002</v>
      </c>
      <c r="F7" s="11">
        <f>CHOOSE(MATCH(Setup!$B$7,{"STD","Half-PPR","PPR"},0),C7,D7,E7)</f>
        <v>301.93200000000002</v>
      </c>
      <c r="G7" s="11">
        <f>COUNTIFS('Draft Board'!$H$2:$H$61,"&gt;="&amp;H7,'Draft Board'!$L$2:$L$61,1)</f>
        <v>4</v>
      </c>
      <c r="H7" s="11">
        <f>MAX(0,F7-'Live Calc'!$H$19)^'Live Calc'!$E$19</f>
        <v>82.783617940802856</v>
      </c>
      <c r="I7" s="11">
        <v>7</v>
      </c>
      <c r="J7" s="11">
        <f>IF(I7&lt;&gt;_xlfn.MINIFS('Draft Board'!$I$2:$I$61,'Draft Board'!$H$2:$H$61,"="&amp;H7),0,IF(_xlfn.MINIFS('Draft Board'!$H$2:$H$61,'Draft Board'!$H$2:$H$61,"&gt;"&amp;H7)=0,1,IF((_xlfn.MINIFS('Draft Board'!$H$2:$H$61,'Draft Board'!$H$2:$H$61,"&gt;"&amp;H7)-H7)/_xlfn.MINIFS('Draft Board'!$H$2:$H$61,'Draft Board'!$H$2:$H$61,"&gt;"&amp;H7)&gt;0.08,1,0)))</f>
        <v>0</v>
      </c>
      <c r="K7" s="11">
        <f>_xlfn.MINIFS('Draft Board'!$H$2:$H$61,'Draft Board'!$H$2:$H$61,"&gt;="&amp;H7,'Draft Board'!$J$2:$J$61,1)</f>
        <v>86.19215181411839</v>
      </c>
      <c r="L7" s="11">
        <f>IF(I7&lt;&gt;_xlfn.MINIFS('Draft Board'!$I$2:$I$61,'Draft Board'!$H$2:$H$61,"="&amp;H7),0,IF(OR(J7=1,IFERROR(FLOOR((K7-H7)/K7/0.25,1),0)&lt;&gt;IFERROR(FLOOR((K7-_xlfn.MINIFS('Draft Board'!$H$2:$H$61,'Draft Board'!$H$2:$H$61,"&gt;"&amp;H7))/K7/0.25,1),0)),1,0))</f>
        <v>0</v>
      </c>
      <c r="M7" s="11">
        <f>ROUND(1+H7*'Live Calc'!$D$26,0)</f>
        <v>12</v>
      </c>
      <c r="N7" s="11"/>
      <c r="O7" s="11">
        <f>IF(N7&lt;&gt;"",N7,ROUND(M7*INDEX('Live Calc'!$G$33:$G$92,MATCH(G7,'Live Calc'!$A$33:$A$92,0))*'Live Calc'!$J$543,0))</f>
        <v>12</v>
      </c>
      <c r="Q7" s="12" t="s">
        <v>98</v>
      </c>
      <c r="R7" s="12" t="s">
        <v>75</v>
      </c>
      <c r="S7" s="12">
        <v>214.39</v>
      </c>
      <c r="T7" s="12">
        <v>242.97800000000001</v>
      </c>
      <c r="U7" s="12">
        <v>270.786</v>
      </c>
      <c r="V7" s="12">
        <f>CHOOSE(MATCH(Setup!$B$7,{"STD","Half-PPR","PPR"},0),S7,T7,U7)</f>
        <v>242.97800000000001</v>
      </c>
      <c r="W7" s="12">
        <f>COUNTIFS('Draft Board'!$X$2:$X$162,"&gt;="&amp;X7,'Draft Board'!$AB$2:$AB$162,1)</f>
        <v>3</v>
      </c>
      <c r="X7" s="12">
        <f>MAX(0,V7-'Live Calc'!$H$20)^'Live Calc'!$E$20</f>
        <v>365.42664175622298</v>
      </c>
      <c r="Y7" s="12">
        <v>7</v>
      </c>
      <c r="Z7" s="12">
        <f>IF(Y7&lt;&gt;_xlfn.MINIFS('Draft Board'!$Y$2:$Y$162,'Draft Board'!$X$2:$X$162,"="&amp;X7),0,IF(_xlfn.MINIFS('Draft Board'!$X$2:$X$162,'Draft Board'!$X$2:$X$162,"&gt;"&amp;X7)=0,1,IF((_xlfn.MINIFS('Draft Board'!$X$2:$X$162,'Draft Board'!$X$2:$X$162,"&gt;"&amp;X7)-X7)/_xlfn.MINIFS('Draft Board'!$X$2:$X$162,'Draft Board'!$X$2:$X$162,"&gt;"&amp;X7)&gt;0.08,1,0)))</f>
        <v>0</v>
      </c>
      <c r="AA7" s="12">
        <f>_xlfn.MINIFS('Draft Board'!$X$2:$X$162,'Draft Board'!$X$2:$X$162,"&gt;="&amp;X7,'Draft Board'!$Z$2:$Z$162,1)</f>
        <v>384.5093304698504</v>
      </c>
      <c r="AB7" s="12">
        <f>IF(Y7&lt;&gt;_xlfn.MINIFS('Draft Board'!$Y$2:$Y$162,'Draft Board'!$X$2:$X$162,"="&amp;X7),0,IF(OR(Z7=1,IFERROR(FLOOR((AA7-X7)/AA7/0.25,1),0)&lt;&gt;IFERROR(FLOOR((AA7-_xlfn.MINIFS('Draft Board'!$X$2:$X$162,'Draft Board'!$X$2:$X$162,"&gt;"&amp;X7))/AA7/0.25,1),0)),1,0))</f>
        <v>0</v>
      </c>
      <c r="AC7" s="12">
        <f>ROUND(1+X7*'Live Calc'!$D$27,0)</f>
        <v>37</v>
      </c>
      <c r="AD7" s="12"/>
      <c r="AE7" s="12">
        <f>IF(AD7&lt;&gt;"",AD7,ROUND(AC7*INDEX('Live Calc'!$G$96:$G$256,MATCH(W7,'Live Calc'!$A$96:$A$256,0))*'Live Calc'!$J$543,0))</f>
        <v>37</v>
      </c>
      <c r="AG7" s="13" t="s">
        <v>99</v>
      </c>
      <c r="AH7" s="13" t="s">
        <v>71</v>
      </c>
      <c r="AI7" s="13">
        <v>172.58199999999999</v>
      </c>
      <c r="AJ7" s="13">
        <v>222.58600000000001</v>
      </c>
      <c r="AK7" s="13">
        <v>270.95</v>
      </c>
      <c r="AL7" s="13">
        <f>CHOOSE(MATCH(Setup!$B$7,{"STD","Half-PPR","PPR"},0),AI7,AJ7,AK7)</f>
        <v>222.58600000000001</v>
      </c>
      <c r="AM7" s="13">
        <f>COUNTIFS('Draft Board'!$AN$2:$AN$192,"&gt;="&amp;AN7,'Draft Board'!$AR$2:$AR$192,1)</f>
        <v>4</v>
      </c>
      <c r="AN7" s="13">
        <f>MAX(0,AL7-'Live Calc'!$H$21)^'Live Calc'!$E$21</f>
        <v>1296.9914953294801</v>
      </c>
      <c r="AO7" s="13">
        <v>7</v>
      </c>
      <c r="AP7" s="13">
        <f>IF(AO7&lt;&gt;_xlfn.MINIFS('Draft Board'!$AO$2:$AO$192,'Draft Board'!$AN$2:$AN$192,"="&amp;AN7),0,IF(_xlfn.MINIFS('Draft Board'!$AN$2:$AN$192,'Draft Board'!$AN$2:$AN$192,"&gt;"&amp;AN7)=0,1,IF((_xlfn.MINIFS('Draft Board'!$AN$2:$AN$192,'Draft Board'!$AN$2:$AN$192,"&gt;"&amp;AN7)-AN7)/_xlfn.MINIFS('Draft Board'!$AN$2:$AN$192,'Draft Board'!$AN$2:$AN$192,"&gt;"&amp;AN7)&gt;0.08,1,0)))</f>
        <v>0</v>
      </c>
      <c r="AQ7" s="13">
        <f>_xlfn.MINIFS('Draft Board'!$AN$2:$AN$192,'Draft Board'!$AN$2:$AN$192,"&gt;="&amp;AN7,'Draft Board'!$AP$2:$AP$192,1)</f>
        <v>1303.7369298097249</v>
      </c>
      <c r="AR7" s="13">
        <f>IF(AO7&lt;&gt;_xlfn.MINIFS('Draft Board'!$AO$2:$AO$192,'Draft Board'!$AN$2:$AN$192,"="&amp;AN7),0,IF(OR(AP7=1,IFERROR(FLOOR((AQ7-AN7)/AQ7/0.25,1),0)&lt;&gt;IFERROR(FLOOR((AQ7-_xlfn.MINIFS('Draft Board'!$AN$2:$AN$192,'Draft Board'!$AN$2:$AN$192,"&gt;"&amp;AN7))/AQ7/0.25,1),0)),1,0))</f>
        <v>0</v>
      </c>
      <c r="AS7" s="13">
        <f>ROUND(1+AN7*'Live Calc'!$D$28,0)</f>
        <v>36</v>
      </c>
      <c r="AT7" s="13"/>
      <c r="AU7" s="13">
        <f>IF(AT7&lt;&gt;"",AT7,ROUND(AS7*INDEX('Live Calc'!$G$260:$G$450,MATCH(AM7,'Live Calc'!$A$260:$A$450,0))*'Live Calc'!$J$543,0))</f>
        <v>36</v>
      </c>
      <c r="AW7" s="14" t="s">
        <v>100</v>
      </c>
      <c r="AX7" s="14" t="s">
        <v>101</v>
      </c>
      <c r="AY7" s="14">
        <v>110.502</v>
      </c>
      <c r="AZ7" s="14">
        <v>148.29</v>
      </c>
      <c r="BA7" s="14">
        <v>184.72</v>
      </c>
      <c r="BB7" s="14">
        <f>CHOOSE(MATCH(Setup!$B$7,{"STD","Half-PPR","PPR"},0),AY7,AZ7,BA7)</f>
        <v>148.29</v>
      </c>
      <c r="BC7" s="14">
        <f>COUNTIFS('Draft Board'!$BD$2:$BD$87,"&gt;="&amp;BD7,'Draft Board'!$BH$2:$BH$87,1)</f>
        <v>4</v>
      </c>
      <c r="BD7" s="14">
        <f>MAX(0,BB7-'Live Calc'!$H$22)^'Live Calc'!$E$22</f>
        <v>475.3789687247999</v>
      </c>
      <c r="BE7" s="14">
        <v>7</v>
      </c>
      <c r="BF7" s="14">
        <f>IF(BE7&lt;&gt;_xlfn.MINIFS('Draft Board'!$BE$2:$BE$87,'Draft Board'!$BD$2:$BD$87,"="&amp;BD7),0,IF(_xlfn.MINIFS('Draft Board'!$BD$2:$BD$87,'Draft Board'!$BD$2:$BD$87,"&gt;"&amp;BD7)=0,1,IF((_xlfn.MINIFS('Draft Board'!$BD$2:$BD$87,'Draft Board'!$BD$2:$BD$87,"&gt;"&amp;BD7)-BD7)/_xlfn.MINIFS('Draft Board'!$BD$2:$BD$87,'Draft Board'!$BD$2:$BD$87,"&gt;"&amp;BD7)&gt;0.08,1,0)))</f>
        <v>0</v>
      </c>
      <c r="BG7" s="14">
        <f>_xlfn.MINIFS('Draft Board'!$BD$2:$BD$87,'Draft Board'!$BD$2:$BD$87,"&gt;="&amp;BD7,'Draft Board'!$BF$2:$BF$87,1)</f>
        <v>502.29507063715602</v>
      </c>
      <c r="BH7" s="14">
        <f>IF(BE7&lt;&gt;_xlfn.MINIFS('Draft Board'!$BE$2:$BE$87,'Draft Board'!$BD$2:$BD$87,"="&amp;BD7),0,IF(OR(BF7=1,IFERROR(FLOOR((BG7-BD7)/BG7/0.25,1),0)&lt;&gt;IFERROR(FLOOR((BG7-_xlfn.MINIFS('Draft Board'!$BD$2:$BD$87,'Draft Board'!$BD$2:$BD$87,"&gt;"&amp;BD7))/BG7/0.25,1),0)),1,0))</f>
        <v>0</v>
      </c>
      <c r="BI7" s="14">
        <f>ROUND(1+BD7*'Live Calc'!$D$29,0)</f>
        <v>12</v>
      </c>
      <c r="BJ7" s="14"/>
      <c r="BK7" s="14">
        <f>IF(BJ7&lt;&gt;"",BJ7,ROUND(BI7*INDEX('Live Calc'!$G$454:$G$539,MATCH(BC7,'Live Calc'!$A$454:$A$539,0))*'Live Calc'!$J$543,0))</f>
        <v>12</v>
      </c>
    </row>
    <row r="8" spans="1:63" x14ac:dyDescent="0.25">
      <c r="A8" s="11" t="s">
        <v>102</v>
      </c>
      <c r="B8" s="11" t="s">
        <v>83</v>
      </c>
      <c r="C8" s="11">
        <v>292.45999999999998</v>
      </c>
      <c r="D8" s="11">
        <v>292.24400000000003</v>
      </c>
      <c r="E8" s="11">
        <v>292.24400000000003</v>
      </c>
      <c r="F8" s="11">
        <f>CHOOSE(MATCH(Setup!$B$7,{"STD","Half-PPR","PPR"},0),C8,D8,E8)</f>
        <v>292.24400000000003</v>
      </c>
      <c r="G8" s="11">
        <f>COUNTIFS('Draft Board'!$H$2:$H$61,"&gt;="&amp;H8,'Draft Board'!$L$2:$L$61,1)</f>
        <v>5</v>
      </c>
      <c r="H8" s="11">
        <f>MAX(0,F8-'Live Calc'!$H$19)^'Live Calc'!$E$19</f>
        <v>59.149970207379681</v>
      </c>
      <c r="I8" s="11">
        <v>8</v>
      </c>
      <c r="J8" s="11">
        <f>IF(I8&lt;&gt;_xlfn.MINIFS('Draft Board'!$I$2:$I$61,'Draft Board'!$H$2:$H$61,"="&amp;H8),0,IF(_xlfn.MINIFS('Draft Board'!$H$2:$H$61,'Draft Board'!$H$2:$H$61,"&gt;"&amp;H8)=0,1,IF((_xlfn.MINIFS('Draft Board'!$H$2:$H$61,'Draft Board'!$H$2:$H$61,"&gt;"&amp;H8)-H8)/_xlfn.MINIFS('Draft Board'!$H$2:$H$61,'Draft Board'!$H$2:$H$61,"&gt;"&amp;H8)&gt;0.08,1,0)))</f>
        <v>1</v>
      </c>
      <c r="K8" s="11">
        <f>_xlfn.MINIFS('Draft Board'!$H$2:$H$61,'Draft Board'!$H$2:$H$61,"&gt;="&amp;H8,'Draft Board'!$J$2:$J$61,1)</f>
        <v>59.149970207379681</v>
      </c>
      <c r="L8" s="11">
        <f>IF(I8&lt;&gt;_xlfn.MINIFS('Draft Board'!$I$2:$I$61,'Draft Board'!$H$2:$H$61,"="&amp;H8),0,IF(OR(J8=1,IFERROR(FLOOR((K8-H8)/K8/0.25,1),0)&lt;&gt;IFERROR(FLOOR((K8-_xlfn.MINIFS('Draft Board'!$H$2:$H$61,'Draft Board'!$H$2:$H$61,"&gt;"&amp;H8))/K8/0.25,1),0)),1,0))</f>
        <v>1</v>
      </c>
      <c r="M8" s="11">
        <f>ROUND(1+H8*'Live Calc'!$D$26,0)</f>
        <v>9</v>
      </c>
      <c r="N8" s="11"/>
      <c r="O8" s="11">
        <f>IF(N8&lt;&gt;"",N8,ROUND(M8*INDEX('Live Calc'!$G$33:$G$92,MATCH(G8,'Live Calc'!$A$33:$A$92,0))*'Live Calc'!$J$543,0))</f>
        <v>9</v>
      </c>
      <c r="Q8" s="12" t="s">
        <v>103</v>
      </c>
      <c r="R8" s="12" t="s">
        <v>69</v>
      </c>
      <c r="S8" s="12">
        <v>234.756</v>
      </c>
      <c r="T8" s="12">
        <v>241.416</v>
      </c>
      <c r="U8" s="12">
        <v>250.846</v>
      </c>
      <c r="V8" s="12">
        <f>CHOOSE(MATCH(Setup!$B$7,{"STD","Half-PPR","PPR"},0),S8,T8,U8)</f>
        <v>241.416</v>
      </c>
      <c r="W8" s="12">
        <f>COUNTIFS('Draft Board'!$X$2:$X$162,"&gt;="&amp;X8,'Draft Board'!$AB$2:$AB$162,1)</f>
        <v>3</v>
      </c>
      <c r="X8" s="12">
        <f>MAX(0,V8-'Live Calc'!$H$20)^'Live Calc'!$E$20</f>
        <v>360.42056533444645</v>
      </c>
      <c r="Y8" s="12">
        <v>8</v>
      </c>
      <c r="Z8" s="12">
        <f>IF(Y8&lt;&gt;_xlfn.MINIFS('Draft Board'!$Y$2:$Y$162,'Draft Board'!$X$2:$X$162,"="&amp;X8),0,IF(_xlfn.MINIFS('Draft Board'!$X$2:$X$162,'Draft Board'!$X$2:$X$162,"&gt;"&amp;X8)=0,1,IF((_xlfn.MINIFS('Draft Board'!$X$2:$X$162,'Draft Board'!$X$2:$X$162,"&gt;"&amp;X8)-X8)/_xlfn.MINIFS('Draft Board'!$X$2:$X$162,'Draft Board'!$X$2:$X$162,"&gt;"&amp;X8)&gt;0.08,1,0)))</f>
        <v>0</v>
      </c>
      <c r="AA8" s="12">
        <f>_xlfn.MINIFS('Draft Board'!$X$2:$X$162,'Draft Board'!$X$2:$X$162,"&gt;="&amp;X8,'Draft Board'!$Z$2:$Z$162,1)</f>
        <v>384.5093304698504</v>
      </c>
      <c r="AB8" s="12">
        <f>IF(Y8&lt;&gt;_xlfn.MINIFS('Draft Board'!$Y$2:$Y$162,'Draft Board'!$X$2:$X$162,"="&amp;X8),0,IF(OR(Z8=1,IFERROR(FLOOR((AA8-X8)/AA8/0.25,1),0)&lt;&gt;IFERROR(FLOOR((AA8-_xlfn.MINIFS('Draft Board'!$X$2:$X$162,'Draft Board'!$X$2:$X$162,"&gt;"&amp;X8))/AA8/0.25,1),0)),1,0))</f>
        <v>0</v>
      </c>
      <c r="AC8" s="12">
        <f>ROUND(1+X8*'Live Calc'!$D$27,0)</f>
        <v>37</v>
      </c>
      <c r="AD8" s="12"/>
      <c r="AE8" s="12">
        <f>IF(AD8&lt;&gt;"",AD8,ROUND(AC8*INDEX('Live Calc'!$G$96:$G$256,MATCH(W8,'Live Calc'!$A$96:$A$256,0))*'Live Calc'!$J$543,0))</f>
        <v>37</v>
      </c>
      <c r="AG8" s="13" t="s">
        <v>104</v>
      </c>
      <c r="AH8" s="13" t="s">
        <v>105</v>
      </c>
      <c r="AI8" s="13">
        <v>173.762</v>
      </c>
      <c r="AJ8" s="13">
        <v>222.36600000000001</v>
      </c>
      <c r="AK8" s="13">
        <v>270.89999999999998</v>
      </c>
      <c r="AL8" s="13">
        <f>CHOOSE(MATCH(Setup!$B$7,{"STD","Half-PPR","PPR"},0),AI8,AJ8,AK8)</f>
        <v>222.36600000000001</v>
      </c>
      <c r="AM8" s="13">
        <f>COUNTIFS('Draft Board'!$AN$2:$AN$192,"&gt;="&amp;AN8,'Draft Board'!$AR$2:$AR$192,1)</f>
        <v>4</v>
      </c>
      <c r="AN8" s="13">
        <f>MAX(0,AL8-'Live Calc'!$H$21)^'Live Calc'!$E$21</f>
        <v>1293.3943440849748</v>
      </c>
      <c r="AO8" s="13">
        <v>8</v>
      </c>
      <c r="AP8" s="13">
        <f>IF(AO8&lt;&gt;_xlfn.MINIFS('Draft Board'!$AO$2:$AO$192,'Draft Board'!$AN$2:$AN$192,"="&amp;AN8),0,IF(_xlfn.MINIFS('Draft Board'!$AN$2:$AN$192,'Draft Board'!$AN$2:$AN$192,"&gt;"&amp;AN8)=0,1,IF((_xlfn.MINIFS('Draft Board'!$AN$2:$AN$192,'Draft Board'!$AN$2:$AN$192,"&gt;"&amp;AN8)-AN8)/_xlfn.MINIFS('Draft Board'!$AN$2:$AN$192,'Draft Board'!$AN$2:$AN$192,"&gt;"&amp;AN8)&gt;0.08,1,0)))</f>
        <v>0</v>
      </c>
      <c r="AQ8" s="13">
        <f>_xlfn.MINIFS('Draft Board'!$AN$2:$AN$192,'Draft Board'!$AN$2:$AN$192,"&gt;="&amp;AN8,'Draft Board'!$AP$2:$AP$192,1)</f>
        <v>1303.7369298097249</v>
      </c>
      <c r="AR8" s="13">
        <f>IF(AO8&lt;&gt;_xlfn.MINIFS('Draft Board'!$AO$2:$AO$192,'Draft Board'!$AN$2:$AN$192,"="&amp;AN8),0,IF(OR(AP8=1,IFERROR(FLOOR((AQ8-AN8)/AQ8/0.25,1),0)&lt;&gt;IFERROR(FLOOR((AQ8-_xlfn.MINIFS('Draft Board'!$AN$2:$AN$192,'Draft Board'!$AN$2:$AN$192,"&gt;"&amp;AN8))/AQ8/0.25,1),0)),1,0))</f>
        <v>0</v>
      </c>
      <c r="AS8" s="13">
        <f>ROUND(1+AN8*'Live Calc'!$D$28,0)</f>
        <v>36</v>
      </c>
      <c r="AT8" s="13"/>
      <c r="AU8" s="13">
        <f>IF(AT8&lt;&gt;"",AT8,ROUND(AS8*INDEX('Live Calc'!$G$260:$G$450,MATCH(AM8,'Live Calc'!$A$260:$A$450,0))*'Live Calc'!$J$543,0))</f>
        <v>36</v>
      </c>
      <c r="AW8" s="14" t="s">
        <v>106</v>
      </c>
      <c r="AX8" s="14" t="s">
        <v>71</v>
      </c>
      <c r="AY8" s="14">
        <v>108.126</v>
      </c>
      <c r="AZ8" s="14">
        <v>143.91999999999999</v>
      </c>
      <c r="BA8" s="14">
        <v>179.72399999999999</v>
      </c>
      <c r="BB8" s="14">
        <f>CHOOSE(MATCH(Setup!$B$7,{"STD","Half-PPR","PPR"},0),AY8,AZ8,BA8)</f>
        <v>143.91999999999999</v>
      </c>
      <c r="BC8" s="14">
        <f>COUNTIFS('Draft Board'!$BD$2:$BD$87,"&gt;="&amp;BD8,'Draft Board'!$BH$2:$BH$87,1)</f>
        <v>5</v>
      </c>
      <c r="BD8" s="14">
        <f>MAX(0,BB8-'Live Calc'!$H$22)^'Live Calc'!$E$22</f>
        <v>406.81809131667353</v>
      </c>
      <c r="BE8" s="14">
        <v>8</v>
      </c>
      <c r="BF8" s="14">
        <f>IF(BE8&lt;&gt;_xlfn.MINIFS('Draft Board'!$BE$2:$BE$87,'Draft Board'!$BD$2:$BD$87,"="&amp;BD8),0,IF(_xlfn.MINIFS('Draft Board'!$BD$2:$BD$87,'Draft Board'!$BD$2:$BD$87,"&gt;"&amp;BD8)=0,1,IF((_xlfn.MINIFS('Draft Board'!$BD$2:$BD$87,'Draft Board'!$BD$2:$BD$87,"&gt;"&amp;BD8)-BD8)/_xlfn.MINIFS('Draft Board'!$BD$2:$BD$87,'Draft Board'!$BD$2:$BD$87,"&gt;"&amp;BD8)&gt;0.08,1,0)))</f>
        <v>1</v>
      </c>
      <c r="BG8" s="14">
        <f>_xlfn.MINIFS('Draft Board'!$BD$2:$BD$87,'Draft Board'!$BD$2:$BD$87,"&gt;="&amp;BD8,'Draft Board'!$BF$2:$BF$87,1)</f>
        <v>406.81809131667353</v>
      </c>
      <c r="BH8" s="14">
        <f>IF(BE8&lt;&gt;_xlfn.MINIFS('Draft Board'!$BE$2:$BE$87,'Draft Board'!$BD$2:$BD$87,"="&amp;BD8),0,IF(OR(BF8=1,IFERROR(FLOOR((BG8-BD8)/BG8/0.25,1),0)&lt;&gt;IFERROR(FLOOR((BG8-_xlfn.MINIFS('Draft Board'!$BD$2:$BD$87,'Draft Board'!$BD$2:$BD$87,"&gt;"&amp;BD8))/BG8/0.25,1),0)),1,0))</f>
        <v>1</v>
      </c>
      <c r="BI8" s="14">
        <f>ROUND(1+BD8*'Live Calc'!$D$29,0)</f>
        <v>11</v>
      </c>
      <c r="BJ8" s="14"/>
      <c r="BK8" s="14">
        <f>IF(BJ8&lt;&gt;"",BJ8,ROUND(BI8*INDEX('Live Calc'!$G$454:$G$539,MATCH(BC8,'Live Calc'!$A$454:$A$539,0))*'Live Calc'!$J$543,0))</f>
        <v>11</v>
      </c>
    </row>
    <row r="9" spans="1:63" x14ac:dyDescent="0.25">
      <c r="A9" s="11" t="s">
        <v>107</v>
      </c>
      <c r="B9" s="11" t="s">
        <v>108</v>
      </c>
      <c r="C9" s="11">
        <v>291.20600000000002</v>
      </c>
      <c r="D9" s="11">
        <v>291.42200000000003</v>
      </c>
      <c r="E9" s="11">
        <v>291.42200000000003</v>
      </c>
      <c r="F9" s="11">
        <f>CHOOSE(MATCH(Setup!$B$7,{"STD","Half-PPR","PPR"},0),C9,D9,E9)</f>
        <v>291.42200000000003</v>
      </c>
      <c r="G9" s="11">
        <f>COUNTIFS('Draft Board'!$H$2:$H$61,"&gt;="&amp;H9,'Draft Board'!$L$2:$L$61,1)</f>
        <v>5</v>
      </c>
      <c r="H9" s="11">
        <f>MAX(0,F9-'Live Calc'!$H$19)^'Live Calc'!$E$19</f>
        <v>57.208293071695145</v>
      </c>
      <c r="I9" s="11">
        <v>9</v>
      </c>
      <c r="J9" s="11">
        <f>IF(I9&lt;&gt;_xlfn.MINIFS('Draft Board'!$I$2:$I$61,'Draft Board'!$H$2:$H$61,"="&amp;H9),0,IF(_xlfn.MINIFS('Draft Board'!$H$2:$H$61,'Draft Board'!$H$2:$H$61,"&gt;"&amp;H9)=0,1,IF((_xlfn.MINIFS('Draft Board'!$H$2:$H$61,'Draft Board'!$H$2:$H$61,"&gt;"&amp;H9)-H9)/_xlfn.MINIFS('Draft Board'!$H$2:$H$61,'Draft Board'!$H$2:$H$61,"&gt;"&amp;H9)&gt;0.08,1,0)))</f>
        <v>0</v>
      </c>
      <c r="K9" s="11">
        <f>_xlfn.MINIFS('Draft Board'!$H$2:$H$61,'Draft Board'!$H$2:$H$61,"&gt;="&amp;H9,'Draft Board'!$J$2:$J$61,1)</f>
        <v>59.149970207379681</v>
      </c>
      <c r="L9" s="11">
        <f>IF(I9&lt;&gt;_xlfn.MINIFS('Draft Board'!$I$2:$I$61,'Draft Board'!$H$2:$H$61,"="&amp;H9),0,IF(OR(J9=1,IFERROR(FLOOR((K9-H9)/K9/0.25,1),0)&lt;&gt;IFERROR(FLOOR((K9-_xlfn.MINIFS('Draft Board'!$H$2:$H$61,'Draft Board'!$H$2:$H$61,"&gt;"&amp;H9))/K9/0.25,1),0)),1,0))</f>
        <v>0</v>
      </c>
      <c r="M9" s="11">
        <f>ROUND(1+H9*'Live Calc'!$D$26,0)</f>
        <v>9</v>
      </c>
      <c r="N9" s="11"/>
      <c r="O9" s="11">
        <f>IF(N9&lt;&gt;"",N9,ROUND(M9*INDEX('Live Calc'!$G$33:$G$92,MATCH(G9,'Live Calc'!$A$33:$A$92,0))*'Live Calc'!$J$543,0))</f>
        <v>9</v>
      </c>
      <c r="Q9" s="12" t="s">
        <v>109</v>
      </c>
      <c r="R9" s="12" t="s">
        <v>91</v>
      </c>
      <c r="S9" s="12">
        <v>214.94</v>
      </c>
      <c r="T9" s="12">
        <v>238.084</v>
      </c>
      <c r="U9" s="12">
        <v>259.09199999999998</v>
      </c>
      <c r="V9" s="12">
        <f>CHOOSE(MATCH(Setup!$B$7,{"STD","Half-PPR","PPR"},0),S9,T9,U9)</f>
        <v>238.084</v>
      </c>
      <c r="W9" s="12">
        <f>COUNTIFS('Draft Board'!$X$2:$X$162,"&gt;="&amp;X9,'Draft Board'!$AB$2:$AB$162,1)</f>
        <v>3</v>
      </c>
      <c r="X9" s="12">
        <f>MAX(0,V9-'Live Calc'!$H$20)^'Live Calc'!$E$20</f>
        <v>349.78056503594621</v>
      </c>
      <c r="Y9" s="12">
        <v>9</v>
      </c>
      <c r="Z9" s="12">
        <f>IF(Y9&lt;&gt;_xlfn.MINIFS('Draft Board'!$Y$2:$Y$162,'Draft Board'!$X$2:$X$162,"="&amp;X9),0,IF(_xlfn.MINIFS('Draft Board'!$X$2:$X$162,'Draft Board'!$X$2:$X$162,"&gt;"&amp;X9)=0,1,IF((_xlfn.MINIFS('Draft Board'!$X$2:$X$162,'Draft Board'!$X$2:$X$162,"&gt;"&amp;X9)-X9)/_xlfn.MINIFS('Draft Board'!$X$2:$X$162,'Draft Board'!$X$2:$X$162,"&gt;"&amp;X9)&gt;0.08,1,0)))</f>
        <v>0</v>
      </c>
      <c r="AA9" s="12">
        <f>_xlfn.MINIFS('Draft Board'!$X$2:$X$162,'Draft Board'!$X$2:$X$162,"&gt;="&amp;X9,'Draft Board'!$Z$2:$Z$162,1)</f>
        <v>384.5093304698504</v>
      </c>
      <c r="AB9" s="12">
        <f>IF(Y9&lt;&gt;_xlfn.MINIFS('Draft Board'!$Y$2:$Y$162,'Draft Board'!$X$2:$X$162,"="&amp;X9),0,IF(OR(Z9=1,IFERROR(FLOOR((AA9-X9)/AA9/0.25,1),0)&lt;&gt;IFERROR(FLOOR((AA9-_xlfn.MINIFS('Draft Board'!$X$2:$X$162,'Draft Board'!$X$2:$X$162,"&gt;"&amp;X9))/AA9/0.25,1),0)),1,0))</f>
        <v>0</v>
      </c>
      <c r="AC9" s="12">
        <f>ROUND(1+X9*'Live Calc'!$D$27,0)</f>
        <v>36</v>
      </c>
      <c r="AD9" s="12"/>
      <c r="AE9" s="12">
        <f>IF(AD9&lt;&gt;"",AD9,ROUND(AC9*INDEX('Live Calc'!$G$96:$G$256,MATCH(W9,'Live Calc'!$A$96:$A$256,0))*'Live Calc'!$J$543,0))</f>
        <v>36</v>
      </c>
      <c r="AG9" s="13" t="s">
        <v>110</v>
      </c>
      <c r="AH9" s="13" t="s">
        <v>111</v>
      </c>
      <c r="AI9" s="13">
        <v>170.64400000000001</v>
      </c>
      <c r="AJ9" s="13">
        <v>209.566</v>
      </c>
      <c r="AK9" s="13">
        <v>251.89</v>
      </c>
      <c r="AL9" s="13">
        <f>CHOOSE(MATCH(Setup!$B$7,{"STD","Half-PPR","PPR"},0),AI9,AJ9,AK9)</f>
        <v>209.566</v>
      </c>
      <c r="AM9" s="13">
        <f>COUNTIFS('Draft Board'!$AN$2:$AN$192,"&gt;="&amp;AN9,'Draft Board'!$AR$2:$AR$192,1)</f>
        <v>5</v>
      </c>
      <c r="AN9" s="13">
        <f>MAX(0,AL9-'Live Calc'!$H$21)^'Live Calc'!$E$21</f>
        <v>1089.9471799454309</v>
      </c>
      <c r="AO9" s="13">
        <v>9</v>
      </c>
      <c r="AP9" s="13">
        <f>IF(AO9&lt;&gt;_xlfn.MINIFS('Draft Board'!$AO$2:$AO$192,'Draft Board'!$AN$2:$AN$192,"="&amp;AN9),0,IF(_xlfn.MINIFS('Draft Board'!$AN$2:$AN$192,'Draft Board'!$AN$2:$AN$192,"&gt;"&amp;AN9)=0,1,IF((_xlfn.MINIFS('Draft Board'!$AN$2:$AN$192,'Draft Board'!$AN$2:$AN$192,"&gt;"&amp;AN9)-AN9)/_xlfn.MINIFS('Draft Board'!$AN$2:$AN$192,'Draft Board'!$AN$2:$AN$192,"&gt;"&amp;AN9)&gt;0.08,1,0)))</f>
        <v>1</v>
      </c>
      <c r="AQ9" s="13">
        <f>_xlfn.MINIFS('Draft Board'!$AN$2:$AN$192,'Draft Board'!$AN$2:$AN$192,"&gt;="&amp;AN9,'Draft Board'!$AP$2:$AP$192,1)</f>
        <v>1089.9471799454309</v>
      </c>
      <c r="AR9" s="13">
        <f>IF(AO9&lt;&gt;_xlfn.MINIFS('Draft Board'!$AO$2:$AO$192,'Draft Board'!$AN$2:$AN$192,"="&amp;AN9),0,IF(OR(AP9=1,IFERROR(FLOOR((AQ9-AN9)/AQ9/0.25,1),0)&lt;&gt;IFERROR(FLOOR((AQ9-_xlfn.MINIFS('Draft Board'!$AN$2:$AN$192,'Draft Board'!$AN$2:$AN$192,"&gt;"&amp;AN9))/AQ9/0.25,1),0)),1,0))</f>
        <v>1</v>
      </c>
      <c r="AS9" s="13">
        <f>ROUND(1+AN9*'Live Calc'!$D$28,0)</f>
        <v>30</v>
      </c>
      <c r="AT9" s="13"/>
      <c r="AU9" s="13">
        <f>IF(AT9&lt;&gt;"",AT9,ROUND(AS9*INDEX('Live Calc'!$G$260:$G$450,MATCH(AM9,'Live Calc'!$A$260:$A$450,0))*'Live Calc'!$J$543,0))</f>
        <v>30</v>
      </c>
      <c r="AW9" s="14" t="s">
        <v>112</v>
      </c>
      <c r="AX9" s="14" t="s">
        <v>63</v>
      </c>
      <c r="AY9" s="14">
        <v>109.53</v>
      </c>
      <c r="AZ9" s="14">
        <v>143.28</v>
      </c>
      <c r="BA9" s="14">
        <v>178.096</v>
      </c>
      <c r="BB9" s="14">
        <f>CHOOSE(MATCH(Setup!$B$7,{"STD","Half-PPR","PPR"},0),AY9,AZ9,BA9)</f>
        <v>143.28</v>
      </c>
      <c r="BC9" s="14">
        <f>COUNTIFS('Draft Board'!$BD$2:$BD$87,"&gt;="&amp;BD9,'Draft Board'!$BH$2:$BH$87,1)</f>
        <v>5</v>
      </c>
      <c r="BD9" s="14">
        <f>MAX(0,BB9-'Live Calc'!$H$22)^'Live Calc'!$E$22</f>
        <v>397.11598706951025</v>
      </c>
      <c r="BE9" s="14">
        <v>9</v>
      </c>
      <c r="BF9" s="14">
        <f>IF(BE9&lt;&gt;_xlfn.MINIFS('Draft Board'!$BE$2:$BE$87,'Draft Board'!$BD$2:$BD$87,"="&amp;BD9),0,IF(_xlfn.MINIFS('Draft Board'!$BD$2:$BD$87,'Draft Board'!$BD$2:$BD$87,"&gt;"&amp;BD9)=0,1,IF((_xlfn.MINIFS('Draft Board'!$BD$2:$BD$87,'Draft Board'!$BD$2:$BD$87,"&gt;"&amp;BD9)-BD9)/_xlfn.MINIFS('Draft Board'!$BD$2:$BD$87,'Draft Board'!$BD$2:$BD$87,"&gt;"&amp;BD9)&gt;0.08,1,0)))</f>
        <v>0</v>
      </c>
      <c r="BG9" s="14">
        <f>_xlfn.MINIFS('Draft Board'!$BD$2:$BD$87,'Draft Board'!$BD$2:$BD$87,"&gt;="&amp;BD9,'Draft Board'!$BF$2:$BF$87,1)</f>
        <v>406.81809131667353</v>
      </c>
      <c r="BH9" s="14">
        <f>IF(BE9&lt;&gt;_xlfn.MINIFS('Draft Board'!$BE$2:$BE$87,'Draft Board'!$BD$2:$BD$87,"="&amp;BD9),0,IF(OR(BF9=1,IFERROR(FLOOR((BG9-BD9)/BG9/0.25,1),0)&lt;&gt;IFERROR(FLOOR((BG9-_xlfn.MINIFS('Draft Board'!$BD$2:$BD$87,'Draft Board'!$BD$2:$BD$87,"&gt;"&amp;BD9))/BG9/0.25,1),0)),1,0))</f>
        <v>0</v>
      </c>
      <c r="BI9" s="14">
        <f>ROUND(1+BD9*'Live Calc'!$D$29,0)</f>
        <v>10</v>
      </c>
      <c r="BJ9" s="14"/>
      <c r="BK9" s="14">
        <f>IF(BJ9&lt;&gt;"",BJ9,ROUND(BI9*INDEX('Live Calc'!$G$454:$G$539,MATCH(BC9,'Live Calc'!$A$454:$A$539,0))*'Live Calc'!$J$543,0))</f>
        <v>10</v>
      </c>
    </row>
    <row r="10" spans="1:63" x14ac:dyDescent="0.25">
      <c r="A10" s="11" t="s">
        <v>113</v>
      </c>
      <c r="B10" s="11" t="s">
        <v>94</v>
      </c>
      <c r="C10" s="11">
        <v>291.10399999999998</v>
      </c>
      <c r="D10" s="11">
        <v>290.27999999999997</v>
      </c>
      <c r="E10" s="11">
        <v>290.27999999999997</v>
      </c>
      <c r="F10" s="11">
        <f>CHOOSE(MATCH(Setup!$B$7,{"STD","Half-PPR","PPR"},0),C10,D10,E10)</f>
        <v>290.27999999999997</v>
      </c>
      <c r="G10" s="11">
        <f>COUNTIFS('Draft Board'!$H$2:$H$61,"&gt;="&amp;H10,'Draft Board'!$L$2:$L$61,1)</f>
        <v>5</v>
      </c>
      <c r="H10" s="11">
        <f>MAX(0,F10-'Live Calc'!$H$19)^'Live Calc'!$E$19</f>
        <v>54.528915654297784</v>
      </c>
      <c r="I10" s="11">
        <v>10</v>
      </c>
      <c r="J10" s="11">
        <f>IF(I10&lt;&gt;_xlfn.MINIFS('Draft Board'!$I$2:$I$61,'Draft Board'!$H$2:$H$61,"="&amp;H10),0,IF(_xlfn.MINIFS('Draft Board'!$H$2:$H$61,'Draft Board'!$H$2:$H$61,"&gt;"&amp;H10)=0,1,IF((_xlfn.MINIFS('Draft Board'!$H$2:$H$61,'Draft Board'!$H$2:$H$61,"&gt;"&amp;H10)-H10)/_xlfn.MINIFS('Draft Board'!$H$2:$H$61,'Draft Board'!$H$2:$H$61,"&gt;"&amp;H10)&gt;0.08,1,0)))</f>
        <v>0</v>
      </c>
      <c r="K10" s="11">
        <f>_xlfn.MINIFS('Draft Board'!$H$2:$H$61,'Draft Board'!$H$2:$H$61,"&gt;="&amp;H10,'Draft Board'!$J$2:$J$61,1)</f>
        <v>59.149970207379681</v>
      </c>
      <c r="L10" s="11">
        <f>IF(I10&lt;&gt;_xlfn.MINIFS('Draft Board'!$I$2:$I$61,'Draft Board'!$H$2:$H$61,"="&amp;H10),0,IF(OR(J10=1,IFERROR(FLOOR((K10-H10)/K10/0.25,1),0)&lt;&gt;IFERROR(FLOOR((K10-_xlfn.MINIFS('Draft Board'!$H$2:$H$61,'Draft Board'!$H$2:$H$61,"&gt;"&amp;H10))/K10/0.25,1),0)),1,0))</f>
        <v>0</v>
      </c>
      <c r="M10" s="11">
        <f>ROUND(1+H10*'Live Calc'!$D$26,0)</f>
        <v>8</v>
      </c>
      <c r="N10" s="11"/>
      <c r="O10" s="11">
        <f>IF(N10&lt;&gt;"",N10,ROUND(M10*INDEX('Live Calc'!$G$33:$G$92,MATCH(G10,'Live Calc'!$A$33:$A$92,0))*'Live Calc'!$J$543,0))</f>
        <v>8</v>
      </c>
      <c r="Q10" s="12" t="s">
        <v>114</v>
      </c>
      <c r="R10" s="12" t="s">
        <v>73</v>
      </c>
      <c r="S10" s="12">
        <v>203.41</v>
      </c>
      <c r="T10" s="12">
        <v>234.35</v>
      </c>
      <c r="U10" s="12">
        <v>261.15800000000002</v>
      </c>
      <c r="V10" s="12">
        <f>CHOOSE(MATCH(Setup!$B$7,{"STD","Half-PPR","PPR"},0),S10,T10,U10)</f>
        <v>234.35</v>
      </c>
      <c r="W10" s="12">
        <f>COUNTIFS('Draft Board'!$X$2:$X$162,"&gt;="&amp;X10,'Draft Board'!$AB$2:$AB$162,1)</f>
        <v>3</v>
      </c>
      <c r="X10" s="12">
        <f>MAX(0,V10-'Live Calc'!$H$20)^'Live Calc'!$E$20</f>
        <v>337.92070187548899</v>
      </c>
      <c r="Y10" s="12">
        <v>10</v>
      </c>
      <c r="Z10" s="12">
        <f>IF(Y10&lt;&gt;_xlfn.MINIFS('Draft Board'!$Y$2:$Y$162,'Draft Board'!$X$2:$X$162,"="&amp;X10),0,IF(_xlfn.MINIFS('Draft Board'!$X$2:$X$162,'Draft Board'!$X$2:$X$162,"&gt;"&amp;X10)=0,1,IF((_xlfn.MINIFS('Draft Board'!$X$2:$X$162,'Draft Board'!$X$2:$X$162,"&gt;"&amp;X10)-X10)/_xlfn.MINIFS('Draft Board'!$X$2:$X$162,'Draft Board'!$X$2:$X$162,"&gt;"&amp;X10)&gt;0.08,1,0)))</f>
        <v>0</v>
      </c>
      <c r="AA10" s="12">
        <f>_xlfn.MINIFS('Draft Board'!$X$2:$X$162,'Draft Board'!$X$2:$X$162,"&gt;="&amp;X10,'Draft Board'!$Z$2:$Z$162,1)</f>
        <v>384.5093304698504</v>
      </c>
      <c r="AB10" s="12">
        <f>IF(Y10&lt;&gt;_xlfn.MINIFS('Draft Board'!$Y$2:$Y$162,'Draft Board'!$X$2:$X$162,"="&amp;X10),0,IF(OR(Z10=1,IFERROR(FLOOR((AA10-X10)/AA10/0.25,1),0)&lt;&gt;IFERROR(FLOOR((AA10-_xlfn.MINIFS('Draft Board'!$X$2:$X$162,'Draft Board'!$X$2:$X$162,"&gt;"&amp;X10))/AA10/0.25,1),0)),1,0))</f>
        <v>0</v>
      </c>
      <c r="AC10" s="12">
        <f>ROUND(1+X10*'Live Calc'!$D$27,0)</f>
        <v>34</v>
      </c>
      <c r="AD10" s="12"/>
      <c r="AE10" s="12">
        <f>IF(AD10&lt;&gt;"",AD10,ROUND(AC10*INDEX('Live Calc'!$G$96:$G$256,MATCH(W10,'Live Calc'!$A$96:$A$256,0))*'Live Calc'!$J$543,0))</f>
        <v>34</v>
      </c>
      <c r="AG10" s="13" t="s">
        <v>115</v>
      </c>
      <c r="AH10" s="13" t="s">
        <v>77</v>
      </c>
      <c r="AI10" s="13">
        <v>164.27199999999999</v>
      </c>
      <c r="AJ10" s="13">
        <v>208.16399999999999</v>
      </c>
      <c r="AK10" s="13">
        <v>251.77199999999999</v>
      </c>
      <c r="AL10" s="13">
        <f>CHOOSE(MATCH(Setup!$B$7,{"STD","Half-PPR","PPR"},0),AI10,AJ10,AK10)</f>
        <v>208.16399999999999</v>
      </c>
      <c r="AM10" s="13">
        <f>COUNTIFS('Draft Board'!$AN$2:$AN$192,"&gt;="&amp;AN10,'Draft Board'!$AR$2:$AR$192,1)</f>
        <v>5</v>
      </c>
      <c r="AN10" s="13">
        <f>MAX(0,AL10-'Live Calc'!$H$21)^'Live Calc'!$E$21</f>
        <v>1068.3764463261589</v>
      </c>
      <c r="AO10" s="13">
        <v>10</v>
      </c>
      <c r="AP10" s="13">
        <f>IF(AO10&lt;&gt;_xlfn.MINIFS('Draft Board'!$AO$2:$AO$192,'Draft Board'!$AN$2:$AN$192,"="&amp;AN10),0,IF(_xlfn.MINIFS('Draft Board'!$AN$2:$AN$192,'Draft Board'!$AN$2:$AN$192,"&gt;"&amp;AN10)=0,1,IF((_xlfn.MINIFS('Draft Board'!$AN$2:$AN$192,'Draft Board'!$AN$2:$AN$192,"&gt;"&amp;AN10)-AN10)/_xlfn.MINIFS('Draft Board'!$AN$2:$AN$192,'Draft Board'!$AN$2:$AN$192,"&gt;"&amp;AN10)&gt;0.08,1,0)))</f>
        <v>0</v>
      </c>
      <c r="AQ10" s="13">
        <f>_xlfn.MINIFS('Draft Board'!$AN$2:$AN$192,'Draft Board'!$AN$2:$AN$192,"&gt;="&amp;AN10,'Draft Board'!$AP$2:$AP$192,1)</f>
        <v>1089.9471799454309</v>
      </c>
      <c r="AR10" s="13">
        <f>IF(AO10&lt;&gt;_xlfn.MINIFS('Draft Board'!$AO$2:$AO$192,'Draft Board'!$AN$2:$AN$192,"="&amp;AN10),0,IF(OR(AP10=1,IFERROR(FLOOR((AQ10-AN10)/AQ10/0.25,1),0)&lt;&gt;IFERROR(FLOOR((AQ10-_xlfn.MINIFS('Draft Board'!$AN$2:$AN$192,'Draft Board'!$AN$2:$AN$192,"&gt;"&amp;AN10))/AQ10/0.25,1),0)),1,0))</f>
        <v>0</v>
      </c>
      <c r="AS10" s="13">
        <f>ROUND(1+AN10*'Live Calc'!$D$28,0)</f>
        <v>30</v>
      </c>
      <c r="AT10" s="13"/>
      <c r="AU10" s="13">
        <f>IF(AT10&lt;&gt;"",AT10,ROUND(AS10*INDEX('Live Calc'!$G$260:$G$450,MATCH(AM10,'Live Calc'!$A$260:$A$450,0))*'Live Calc'!$J$543,0))</f>
        <v>30</v>
      </c>
      <c r="AW10" s="14" t="s">
        <v>116</v>
      </c>
      <c r="AX10" s="14" t="s">
        <v>79</v>
      </c>
      <c r="AY10" s="14">
        <v>108.36199999999999</v>
      </c>
      <c r="AZ10" s="14">
        <v>140.57</v>
      </c>
      <c r="BA10" s="14">
        <v>173.08799999999999</v>
      </c>
      <c r="BB10" s="14">
        <f>CHOOSE(MATCH(Setup!$B$7,{"STD","Half-PPR","PPR"},0),AY10,AZ10,BA10)</f>
        <v>140.57</v>
      </c>
      <c r="BC10" s="14">
        <f>COUNTIFS('Draft Board'!$BD$2:$BD$87,"&gt;="&amp;BD10,'Draft Board'!$BH$2:$BH$87,1)</f>
        <v>6</v>
      </c>
      <c r="BD10" s="14">
        <f>MAX(0,BB10-'Live Calc'!$H$22)^'Live Calc'!$E$22</f>
        <v>357.01636915726527</v>
      </c>
      <c r="BE10" s="14">
        <v>10</v>
      </c>
      <c r="BF10" s="14">
        <f>IF(BE10&lt;&gt;_xlfn.MINIFS('Draft Board'!$BE$2:$BE$87,'Draft Board'!$BD$2:$BD$87,"="&amp;BD10),0,IF(_xlfn.MINIFS('Draft Board'!$BD$2:$BD$87,'Draft Board'!$BD$2:$BD$87,"&gt;"&amp;BD10)=0,1,IF((_xlfn.MINIFS('Draft Board'!$BD$2:$BD$87,'Draft Board'!$BD$2:$BD$87,"&gt;"&amp;BD10)-BD10)/_xlfn.MINIFS('Draft Board'!$BD$2:$BD$87,'Draft Board'!$BD$2:$BD$87,"&gt;"&amp;BD10)&gt;0.08,1,0)))</f>
        <v>1</v>
      </c>
      <c r="BG10" s="14">
        <f>_xlfn.MINIFS('Draft Board'!$BD$2:$BD$87,'Draft Board'!$BD$2:$BD$87,"&gt;="&amp;BD10,'Draft Board'!$BF$2:$BF$87,1)</f>
        <v>357.01636915726527</v>
      </c>
      <c r="BH10" s="14">
        <f>IF(BE10&lt;&gt;_xlfn.MINIFS('Draft Board'!$BE$2:$BE$87,'Draft Board'!$BD$2:$BD$87,"="&amp;BD10),0,IF(OR(BF10=1,IFERROR(FLOOR((BG10-BD10)/BG10/0.25,1),0)&lt;&gt;IFERROR(FLOOR((BG10-_xlfn.MINIFS('Draft Board'!$BD$2:$BD$87,'Draft Board'!$BD$2:$BD$87,"&gt;"&amp;BD10))/BG10/0.25,1),0)),1,0))</f>
        <v>1</v>
      </c>
      <c r="BI10" s="14">
        <f>ROUND(1+BD10*'Live Calc'!$D$29,0)</f>
        <v>9</v>
      </c>
      <c r="BJ10" s="14"/>
      <c r="BK10" s="14">
        <f>IF(BJ10&lt;&gt;"",BJ10,ROUND(BI10*INDEX('Live Calc'!$G$454:$G$539,MATCH(BC10,'Live Calc'!$A$454:$A$539,0))*'Live Calc'!$J$543,0))</f>
        <v>9</v>
      </c>
    </row>
    <row r="11" spans="1:63" x14ac:dyDescent="0.25">
      <c r="A11" s="11" t="s">
        <v>117</v>
      </c>
      <c r="B11" s="11" t="s">
        <v>118</v>
      </c>
      <c r="C11" s="11">
        <v>288.98399999999998</v>
      </c>
      <c r="D11" s="11">
        <v>288.98399999999998</v>
      </c>
      <c r="E11" s="11">
        <v>288.98399999999998</v>
      </c>
      <c r="F11" s="11">
        <f>CHOOSE(MATCH(Setup!$B$7,{"STD","Half-PPR","PPR"},0),C11,D11,E11)</f>
        <v>288.98399999999998</v>
      </c>
      <c r="G11" s="11">
        <f>COUNTIFS('Draft Board'!$H$2:$H$61,"&gt;="&amp;H11,'Draft Board'!$L$2:$L$61,1)</f>
        <v>5</v>
      </c>
      <c r="H11" s="11">
        <f>MAX(0,F11-'Live Calc'!$H$19)^'Live Calc'!$E$19</f>
        <v>51.514633405990452</v>
      </c>
      <c r="I11" s="11">
        <v>11</v>
      </c>
      <c r="J11" s="11">
        <f>IF(I11&lt;&gt;_xlfn.MINIFS('Draft Board'!$I$2:$I$61,'Draft Board'!$H$2:$H$61,"="&amp;H11),0,IF(_xlfn.MINIFS('Draft Board'!$H$2:$H$61,'Draft Board'!$H$2:$H$61,"&gt;"&amp;H11)=0,1,IF((_xlfn.MINIFS('Draft Board'!$H$2:$H$61,'Draft Board'!$H$2:$H$61,"&gt;"&amp;H11)-H11)/_xlfn.MINIFS('Draft Board'!$H$2:$H$61,'Draft Board'!$H$2:$H$61,"&gt;"&amp;H11)&gt;0.08,1,0)))</f>
        <v>0</v>
      </c>
      <c r="K11" s="11">
        <f>_xlfn.MINIFS('Draft Board'!$H$2:$H$61,'Draft Board'!$H$2:$H$61,"&gt;="&amp;H11,'Draft Board'!$J$2:$J$61,1)</f>
        <v>59.149970207379681</v>
      </c>
      <c r="L11" s="11">
        <f>IF(I11&lt;&gt;_xlfn.MINIFS('Draft Board'!$I$2:$I$61,'Draft Board'!$H$2:$H$61,"="&amp;H11),0,IF(OR(J11=1,IFERROR(FLOOR((K11-H11)/K11/0.25,1),0)&lt;&gt;IFERROR(FLOOR((K11-_xlfn.MINIFS('Draft Board'!$H$2:$H$61,'Draft Board'!$H$2:$H$61,"&gt;"&amp;H11))/K11/0.25,1),0)),1,0))</f>
        <v>0</v>
      </c>
      <c r="M11" s="11">
        <f>ROUND(1+H11*'Live Calc'!$D$26,0)</f>
        <v>8</v>
      </c>
      <c r="N11" s="11"/>
      <c r="O11" s="11">
        <f>IF(N11&lt;&gt;"",N11,ROUND(M11*INDEX('Live Calc'!$G$33:$G$92,MATCH(G11,'Live Calc'!$A$33:$A$92,0))*'Live Calc'!$J$543,0))</f>
        <v>8</v>
      </c>
      <c r="Q11" s="12" t="s">
        <v>119</v>
      </c>
      <c r="R11" s="12" t="s">
        <v>120</v>
      </c>
      <c r="S11" s="12">
        <v>208.47800000000001</v>
      </c>
      <c r="T11" s="12">
        <v>233.99799999999999</v>
      </c>
      <c r="U11" s="12">
        <v>257.18799999999999</v>
      </c>
      <c r="V11" s="12">
        <f>CHOOSE(MATCH(Setup!$B$7,{"STD","Half-PPR","PPR"},0),S11,T11,U11)</f>
        <v>233.99799999999999</v>
      </c>
      <c r="W11" s="12">
        <f>COUNTIFS('Draft Board'!$X$2:$X$162,"&gt;="&amp;X11,'Draft Board'!$AB$2:$AB$162,1)</f>
        <v>3</v>
      </c>
      <c r="X11" s="12">
        <f>MAX(0,V11-'Live Calc'!$H$20)^'Live Calc'!$E$20</f>
        <v>336.80621862757357</v>
      </c>
      <c r="Y11" s="12">
        <v>11</v>
      </c>
      <c r="Z11" s="12">
        <f>IF(Y11&lt;&gt;_xlfn.MINIFS('Draft Board'!$Y$2:$Y$162,'Draft Board'!$X$2:$X$162,"="&amp;X11),0,IF(_xlfn.MINIFS('Draft Board'!$X$2:$X$162,'Draft Board'!$X$2:$X$162,"&gt;"&amp;X11)=0,1,IF((_xlfn.MINIFS('Draft Board'!$X$2:$X$162,'Draft Board'!$X$2:$X$162,"&gt;"&amp;X11)-X11)/_xlfn.MINIFS('Draft Board'!$X$2:$X$162,'Draft Board'!$X$2:$X$162,"&gt;"&amp;X11)&gt;0.08,1,0)))</f>
        <v>0</v>
      </c>
      <c r="AA11" s="12">
        <f>_xlfn.MINIFS('Draft Board'!$X$2:$X$162,'Draft Board'!$X$2:$X$162,"&gt;="&amp;X11,'Draft Board'!$Z$2:$Z$162,1)</f>
        <v>384.5093304698504</v>
      </c>
      <c r="AB11" s="12">
        <f>IF(Y11&lt;&gt;_xlfn.MINIFS('Draft Board'!$Y$2:$Y$162,'Draft Board'!$X$2:$X$162,"="&amp;X11),0,IF(OR(Z11=1,IFERROR(FLOOR((AA11-X11)/AA11/0.25,1),0)&lt;&gt;IFERROR(FLOOR((AA11-_xlfn.MINIFS('Draft Board'!$X$2:$X$162,'Draft Board'!$X$2:$X$162,"&gt;"&amp;X11))/AA11/0.25,1),0)),1,0))</f>
        <v>0</v>
      </c>
      <c r="AC11" s="12">
        <f>ROUND(1+X11*'Live Calc'!$D$27,0)</f>
        <v>34</v>
      </c>
      <c r="AD11" s="12"/>
      <c r="AE11" s="12">
        <f>IF(AD11&lt;&gt;"",AD11,ROUND(AC11*INDEX('Live Calc'!$G$96:$G$256,MATCH(W11,'Live Calc'!$A$96:$A$256,0))*'Live Calc'!$J$543,0))</f>
        <v>34</v>
      </c>
      <c r="AG11" s="13" t="s">
        <v>121</v>
      </c>
      <c r="AH11" s="13" t="s">
        <v>94</v>
      </c>
      <c r="AI11" s="13">
        <v>164.66800000000001</v>
      </c>
      <c r="AJ11" s="13">
        <v>206.136</v>
      </c>
      <c r="AK11" s="13">
        <v>247.61</v>
      </c>
      <c r="AL11" s="13">
        <f>CHOOSE(MATCH(Setup!$B$7,{"STD","Half-PPR","PPR"},0),AI11,AJ11,AK11)</f>
        <v>206.136</v>
      </c>
      <c r="AM11" s="13">
        <f>COUNTIFS('Draft Board'!$AN$2:$AN$192,"&gt;="&amp;AN11,'Draft Board'!$AR$2:$AR$192,1)</f>
        <v>5</v>
      </c>
      <c r="AN11" s="13">
        <f>MAX(0,AL11-'Live Calc'!$H$21)^'Live Calc'!$E$21</f>
        <v>1037.4296954454308</v>
      </c>
      <c r="AO11" s="13">
        <v>11</v>
      </c>
      <c r="AP11" s="13">
        <f>IF(AO11&lt;&gt;_xlfn.MINIFS('Draft Board'!$AO$2:$AO$192,'Draft Board'!$AN$2:$AN$192,"="&amp;AN11),0,IF(_xlfn.MINIFS('Draft Board'!$AN$2:$AN$192,'Draft Board'!$AN$2:$AN$192,"&gt;"&amp;AN11)=0,1,IF((_xlfn.MINIFS('Draft Board'!$AN$2:$AN$192,'Draft Board'!$AN$2:$AN$192,"&gt;"&amp;AN11)-AN11)/_xlfn.MINIFS('Draft Board'!$AN$2:$AN$192,'Draft Board'!$AN$2:$AN$192,"&gt;"&amp;AN11)&gt;0.08,1,0)))</f>
        <v>0</v>
      </c>
      <c r="AQ11" s="13">
        <f>_xlfn.MINIFS('Draft Board'!$AN$2:$AN$192,'Draft Board'!$AN$2:$AN$192,"&gt;="&amp;AN11,'Draft Board'!$AP$2:$AP$192,1)</f>
        <v>1089.9471799454309</v>
      </c>
      <c r="AR11" s="13">
        <f>IF(AO11&lt;&gt;_xlfn.MINIFS('Draft Board'!$AO$2:$AO$192,'Draft Board'!$AN$2:$AN$192,"="&amp;AN11),0,IF(OR(AP11=1,IFERROR(FLOOR((AQ11-AN11)/AQ11/0.25,1),0)&lt;&gt;IFERROR(FLOOR((AQ11-_xlfn.MINIFS('Draft Board'!$AN$2:$AN$192,'Draft Board'!$AN$2:$AN$192,"&gt;"&amp;AN11))/AQ11/0.25,1),0)),1,0))</f>
        <v>0</v>
      </c>
      <c r="AS11" s="13">
        <f>ROUND(1+AN11*'Live Calc'!$D$28,0)</f>
        <v>29</v>
      </c>
      <c r="AT11" s="13"/>
      <c r="AU11" s="13">
        <f>IF(AT11&lt;&gt;"",AT11,ROUND(AS11*INDEX('Live Calc'!$G$260:$G$450,MATCH(AM11,'Live Calc'!$A$260:$A$450,0))*'Live Calc'!$J$543,0))</f>
        <v>29</v>
      </c>
      <c r="AW11" s="14" t="s">
        <v>122</v>
      </c>
      <c r="AX11" s="14" t="s">
        <v>120</v>
      </c>
      <c r="AY11" s="14">
        <v>102.854</v>
      </c>
      <c r="AZ11" s="14">
        <v>138.06</v>
      </c>
      <c r="BA11" s="14">
        <v>173.28200000000001</v>
      </c>
      <c r="BB11" s="14">
        <f>CHOOSE(MATCH(Setup!$B$7,{"STD","Half-PPR","PPR"},0),AY11,AZ11,BA11)</f>
        <v>138.06</v>
      </c>
      <c r="BC11" s="14">
        <f>COUNTIFS('Draft Board'!$BD$2:$BD$87,"&gt;="&amp;BD11,'Draft Board'!$BH$2:$BH$87,1)</f>
        <v>7</v>
      </c>
      <c r="BD11" s="14">
        <f>MAX(0,BB11-'Live Calc'!$H$22)^'Live Calc'!$E$22</f>
        <v>321.32226627069662</v>
      </c>
      <c r="BE11" s="14">
        <v>11</v>
      </c>
      <c r="BF11" s="14">
        <f>IF(BE11&lt;&gt;_xlfn.MINIFS('Draft Board'!$BE$2:$BE$87,'Draft Board'!$BD$2:$BD$87,"="&amp;BD11),0,IF(_xlfn.MINIFS('Draft Board'!$BD$2:$BD$87,'Draft Board'!$BD$2:$BD$87,"&gt;"&amp;BD11)=0,1,IF((_xlfn.MINIFS('Draft Board'!$BD$2:$BD$87,'Draft Board'!$BD$2:$BD$87,"&gt;"&amp;BD11)-BD11)/_xlfn.MINIFS('Draft Board'!$BD$2:$BD$87,'Draft Board'!$BD$2:$BD$87,"&gt;"&amp;BD11)&gt;0.08,1,0)))</f>
        <v>1</v>
      </c>
      <c r="BG11" s="14">
        <f>_xlfn.MINIFS('Draft Board'!$BD$2:$BD$87,'Draft Board'!$BD$2:$BD$87,"&gt;="&amp;BD11,'Draft Board'!$BF$2:$BF$87,1)</f>
        <v>321.32226627069662</v>
      </c>
      <c r="BH11" s="14">
        <f>IF(BE11&lt;&gt;_xlfn.MINIFS('Draft Board'!$BE$2:$BE$87,'Draft Board'!$BD$2:$BD$87,"="&amp;BD11),0,IF(OR(BF11=1,IFERROR(FLOOR((BG11-BD11)/BG11/0.25,1),0)&lt;&gt;IFERROR(FLOOR((BG11-_xlfn.MINIFS('Draft Board'!$BD$2:$BD$87,'Draft Board'!$BD$2:$BD$87,"&gt;"&amp;BD11))/BG11/0.25,1),0)),1,0))</f>
        <v>1</v>
      </c>
      <c r="BI11" s="14">
        <f>ROUND(1+BD11*'Live Calc'!$D$29,0)</f>
        <v>9</v>
      </c>
      <c r="BJ11" s="14"/>
      <c r="BK11" s="14">
        <f>IF(BJ11&lt;&gt;"",BJ11,ROUND(BI11*INDEX('Live Calc'!$G$454:$G$539,MATCH(BC11,'Live Calc'!$A$454:$A$539,0))*'Live Calc'!$J$543,0))</f>
        <v>9</v>
      </c>
    </row>
    <row r="12" spans="1:63" x14ac:dyDescent="0.25">
      <c r="A12" s="11" t="s">
        <v>123</v>
      </c>
      <c r="B12" s="11" t="s">
        <v>79</v>
      </c>
      <c r="C12" s="11">
        <v>287.13600000000002</v>
      </c>
      <c r="D12" s="11">
        <v>287.95999999999998</v>
      </c>
      <c r="E12" s="11">
        <v>287.95999999999998</v>
      </c>
      <c r="F12" s="11">
        <f>CHOOSE(MATCH(Setup!$B$7,{"STD","Half-PPR","PPR"},0),C12,D12,E12)</f>
        <v>287.95999999999998</v>
      </c>
      <c r="G12" s="11">
        <f>COUNTIFS('Draft Board'!$H$2:$H$61,"&gt;="&amp;H12,'Draft Board'!$L$2:$L$61,1)</f>
        <v>5</v>
      </c>
      <c r="H12" s="11">
        <f>MAX(0,F12-'Live Calc'!$H$19)^'Live Calc'!$E$19</f>
        <v>49.15351839585891</v>
      </c>
      <c r="I12" s="11">
        <v>12</v>
      </c>
      <c r="J12" s="11">
        <f>IF(I12&lt;&gt;_xlfn.MINIFS('Draft Board'!$I$2:$I$61,'Draft Board'!$H$2:$H$61,"="&amp;H12),0,IF(_xlfn.MINIFS('Draft Board'!$H$2:$H$61,'Draft Board'!$H$2:$H$61,"&gt;"&amp;H12)=0,1,IF((_xlfn.MINIFS('Draft Board'!$H$2:$H$61,'Draft Board'!$H$2:$H$61,"&gt;"&amp;H12)-H12)/_xlfn.MINIFS('Draft Board'!$H$2:$H$61,'Draft Board'!$H$2:$H$61,"&gt;"&amp;H12)&gt;0.08,1,0)))</f>
        <v>0</v>
      </c>
      <c r="K12" s="11">
        <f>_xlfn.MINIFS('Draft Board'!$H$2:$H$61,'Draft Board'!$H$2:$H$61,"&gt;="&amp;H12,'Draft Board'!$J$2:$J$61,1)</f>
        <v>59.149970207379681</v>
      </c>
      <c r="L12" s="11">
        <f>IF(I12&lt;&gt;_xlfn.MINIFS('Draft Board'!$I$2:$I$61,'Draft Board'!$H$2:$H$61,"="&amp;H12),0,IF(OR(J12=1,IFERROR(FLOOR((K12-H12)/K12/0.25,1),0)&lt;&gt;IFERROR(FLOOR((K12-_xlfn.MINIFS('Draft Board'!$H$2:$H$61,'Draft Board'!$H$2:$H$61,"&gt;"&amp;H12))/K12/0.25,1),0)),1,0))</f>
        <v>0</v>
      </c>
      <c r="M12" s="11">
        <f>ROUND(1+H12*'Live Calc'!$D$26,0)</f>
        <v>8</v>
      </c>
      <c r="N12" s="11"/>
      <c r="O12" s="11">
        <f>IF(N12&lt;&gt;"",N12,ROUND(M12*INDEX('Live Calc'!$G$33:$G$92,MATCH(G12,'Live Calc'!$A$33:$A$92,0))*'Live Calc'!$J$543,0))</f>
        <v>8</v>
      </c>
      <c r="Q12" s="12" t="s">
        <v>124</v>
      </c>
      <c r="R12" s="12" t="s">
        <v>125</v>
      </c>
      <c r="S12" s="12">
        <v>207.578</v>
      </c>
      <c r="T12" s="12">
        <v>233.81200000000001</v>
      </c>
      <c r="U12" s="12">
        <v>264.22199999999998</v>
      </c>
      <c r="V12" s="12">
        <f>CHOOSE(MATCH(Setup!$B$7,{"STD","Half-PPR","PPR"},0),S12,T12,U12)</f>
        <v>233.81200000000001</v>
      </c>
      <c r="W12" s="12">
        <f>COUNTIFS('Draft Board'!$X$2:$X$162,"&gt;="&amp;X12,'Draft Board'!$AB$2:$AB$162,1)</f>
        <v>3</v>
      </c>
      <c r="X12" s="12">
        <f>MAX(0,V12-'Live Calc'!$H$20)^'Live Calc'!$E$20</f>
        <v>336.21756352168711</v>
      </c>
      <c r="Y12" s="12">
        <v>12</v>
      </c>
      <c r="Z12" s="12">
        <f>IF(Y12&lt;&gt;_xlfn.MINIFS('Draft Board'!$Y$2:$Y$162,'Draft Board'!$X$2:$X$162,"="&amp;X12),0,IF(_xlfn.MINIFS('Draft Board'!$X$2:$X$162,'Draft Board'!$X$2:$X$162,"&gt;"&amp;X12)=0,1,IF((_xlfn.MINIFS('Draft Board'!$X$2:$X$162,'Draft Board'!$X$2:$X$162,"&gt;"&amp;X12)-X12)/_xlfn.MINIFS('Draft Board'!$X$2:$X$162,'Draft Board'!$X$2:$X$162,"&gt;"&amp;X12)&gt;0.08,1,0)))</f>
        <v>0</v>
      </c>
      <c r="AA12" s="12">
        <f>_xlfn.MINIFS('Draft Board'!$X$2:$X$162,'Draft Board'!$X$2:$X$162,"&gt;="&amp;X12,'Draft Board'!$Z$2:$Z$162,1)</f>
        <v>384.5093304698504</v>
      </c>
      <c r="AB12" s="12">
        <f>IF(Y12&lt;&gt;_xlfn.MINIFS('Draft Board'!$Y$2:$Y$162,'Draft Board'!$X$2:$X$162,"="&amp;X12),0,IF(OR(Z12=1,IFERROR(FLOOR((AA12-X12)/AA12/0.25,1),0)&lt;&gt;IFERROR(FLOOR((AA12-_xlfn.MINIFS('Draft Board'!$X$2:$X$162,'Draft Board'!$X$2:$X$162,"&gt;"&amp;X12))/AA12/0.25,1),0)),1,0))</f>
        <v>0</v>
      </c>
      <c r="AC12" s="12">
        <f>ROUND(1+X12*'Live Calc'!$D$27,0)</f>
        <v>34</v>
      </c>
      <c r="AD12" s="12"/>
      <c r="AE12" s="12">
        <f>IF(AD12&lt;&gt;"",AD12,ROUND(AC12*INDEX('Live Calc'!$G$96:$G$256,MATCH(W12,'Live Calc'!$A$96:$A$256,0))*'Live Calc'!$J$543,0))</f>
        <v>34</v>
      </c>
      <c r="AG12" s="13" t="s">
        <v>126</v>
      </c>
      <c r="AH12" s="13" t="s">
        <v>120</v>
      </c>
      <c r="AI12" s="13">
        <v>160.15799999999999</v>
      </c>
      <c r="AJ12" s="13">
        <v>203.452</v>
      </c>
      <c r="AK12" s="13">
        <v>251.298</v>
      </c>
      <c r="AL12" s="13">
        <f>CHOOSE(MATCH(Setup!$B$7,{"STD","Half-PPR","PPR"},0),AI12,AJ12,AK12)</f>
        <v>203.452</v>
      </c>
      <c r="AM12" s="13">
        <f>COUNTIFS('Draft Board'!$AN$2:$AN$192,"&gt;="&amp;AN12,'Draft Board'!$AR$2:$AR$192,1)</f>
        <v>5</v>
      </c>
      <c r="AN12" s="13">
        <f>MAX(0,AL12-'Live Calc'!$H$21)^'Live Calc'!$E$21</f>
        <v>996.94156113100996</v>
      </c>
      <c r="AO12" s="13">
        <v>12</v>
      </c>
      <c r="AP12" s="13">
        <f>IF(AO12&lt;&gt;_xlfn.MINIFS('Draft Board'!$AO$2:$AO$192,'Draft Board'!$AN$2:$AN$192,"="&amp;AN12),0,IF(_xlfn.MINIFS('Draft Board'!$AN$2:$AN$192,'Draft Board'!$AN$2:$AN$192,"&gt;"&amp;AN12)=0,1,IF((_xlfn.MINIFS('Draft Board'!$AN$2:$AN$192,'Draft Board'!$AN$2:$AN$192,"&gt;"&amp;AN12)-AN12)/_xlfn.MINIFS('Draft Board'!$AN$2:$AN$192,'Draft Board'!$AN$2:$AN$192,"&gt;"&amp;AN12)&gt;0.08,1,0)))</f>
        <v>0</v>
      </c>
      <c r="AQ12" s="13">
        <f>_xlfn.MINIFS('Draft Board'!$AN$2:$AN$192,'Draft Board'!$AN$2:$AN$192,"&gt;="&amp;AN12,'Draft Board'!$AP$2:$AP$192,1)</f>
        <v>1089.9471799454309</v>
      </c>
      <c r="AR12" s="13">
        <f>IF(AO12&lt;&gt;_xlfn.MINIFS('Draft Board'!$AO$2:$AO$192,'Draft Board'!$AN$2:$AN$192,"="&amp;AN12),0,IF(OR(AP12=1,IFERROR(FLOOR((AQ12-AN12)/AQ12/0.25,1),0)&lt;&gt;IFERROR(FLOOR((AQ12-_xlfn.MINIFS('Draft Board'!$AN$2:$AN$192,'Draft Board'!$AN$2:$AN$192,"&gt;"&amp;AN12))/AQ12/0.25,1),0)),1,0))</f>
        <v>0</v>
      </c>
      <c r="AS12" s="13">
        <f>ROUND(1+AN12*'Live Calc'!$D$28,0)</f>
        <v>28</v>
      </c>
      <c r="AT12" s="13"/>
      <c r="AU12" s="13">
        <f>IF(AT12&lt;&gt;"",AT12,ROUND(AS12*INDEX('Live Calc'!$G$260:$G$450,MATCH(AM12,'Live Calc'!$A$260:$A$450,0))*'Live Calc'!$J$543,0))</f>
        <v>28</v>
      </c>
      <c r="AW12" s="14" t="s">
        <v>127</v>
      </c>
      <c r="AX12" s="14" t="s">
        <v>91</v>
      </c>
      <c r="AY12" s="14">
        <v>101.444</v>
      </c>
      <c r="AZ12" s="14">
        <v>134.19200000000001</v>
      </c>
      <c r="BA12" s="14">
        <v>164.376</v>
      </c>
      <c r="BB12" s="14">
        <f>CHOOSE(MATCH(Setup!$B$7,{"STD","Half-PPR","PPR"},0),AY12,AZ12,BA12)</f>
        <v>134.19200000000001</v>
      </c>
      <c r="BC12" s="14">
        <f>COUNTIFS('Draft Board'!$BD$2:$BD$87,"&gt;="&amp;BD12,'Draft Board'!$BH$2:$BH$87,1)</f>
        <v>8</v>
      </c>
      <c r="BD12" s="14">
        <f>MAX(0,BB12-'Live Calc'!$H$22)^'Live Calc'!$E$22</f>
        <v>269.12815207395158</v>
      </c>
      <c r="BE12" s="14">
        <v>12</v>
      </c>
      <c r="BF12" s="14">
        <f>IF(BE12&lt;&gt;_xlfn.MINIFS('Draft Board'!$BE$2:$BE$87,'Draft Board'!$BD$2:$BD$87,"="&amp;BD12),0,IF(_xlfn.MINIFS('Draft Board'!$BD$2:$BD$87,'Draft Board'!$BD$2:$BD$87,"&gt;"&amp;BD12)=0,1,IF((_xlfn.MINIFS('Draft Board'!$BD$2:$BD$87,'Draft Board'!$BD$2:$BD$87,"&gt;"&amp;BD12)-BD12)/_xlfn.MINIFS('Draft Board'!$BD$2:$BD$87,'Draft Board'!$BD$2:$BD$87,"&gt;"&amp;BD12)&gt;0.08,1,0)))</f>
        <v>1</v>
      </c>
      <c r="BG12" s="14">
        <f>_xlfn.MINIFS('Draft Board'!$BD$2:$BD$87,'Draft Board'!$BD$2:$BD$87,"&gt;="&amp;BD12,'Draft Board'!$BF$2:$BF$87,1)</f>
        <v>269.12815207395158</v>
      </c>
      <c r="BH12" s="14">
        <f>IF(BE12&lt;&gt;_xlfn.MINIFS('Draft Board'!$BE$2:$BE$87,'Draft Board'!$BD$2:$BD$87,"="&amp;BD12),0,IF(OR(BF12=1,IFERROR(FLOOR((BG12-BD12)/BG12/0.25,1),0)&lt;&gt;IFERROR(FLOOR((BG12-_xlfn.MINIFS('Draft Board'!$BD$2:$BD$87,'Draft Board'!$BD$2:$BD$87,"&gt;"&amp;BD12))/BG12/0.25,1),0)),1,0))</f>
        <v>1</v>
      </c>
      <c r="BI12" s="14">
        <f>ROUND(1+BD12*'Live Calc'!$D$29,0)</f>
        <v>7</v>
      </c>
      <c r="BJ12" s="14"/>
      <c r="BK12" s="14">
        <f>IF(BJ12&lt;&gt;"",BJ12,ROUND(BI12*INDEX('Live Calc'!$G$454:$G$539,MATCH(BC12,'Live Calc'!$A$454:$A$539,0))*'Live Calc'!$J$543,0))</f>
        <v>7</v>
      </c>
    </row>
    <row r="13" spans="1:63" x14ac:dyDescent="0.25">
      <c r="A13" s="11" t="s">
        <v>128</v>
      </c>
      <c r="B13" s="11" t="s">
        <v>120</v>
      </c>
      <c r="C13" s="11">
        <v>284.83800000000002</v>
      </c>
      <c r="D13" s="11">
        <v>284.83800000000002</v>
      </c>
      <c r="E13" s="11">
        <v>284.83800000000002</v>
      </c>
      <c r="F13" s="11">
        <f>CHOOSE(MATCH(Setup!$B$7,{"STD","Half-PPR","PPR"},0),C13,D13,E13)</f>
        <v>284.83800000000002</v>
      </c>
      <c r="G13" s="11">
        <f>COUNTIFS('Draft Board'!$H$2:$H$61,"&gt;="&amp;H13,'Draft Board'!$L$2:$L$61,1)</f>
        <v>6</v>
      </c>
      <c r="H13" s="11">
        <f>MAX(0,F13-'Live Calc'!$H$19)^'Live Calc'!$E$19</f>
        <v>42.073332679843837</v>
      </c>
      <c r="I13" s="11">
        <v>13</v>
      </c>
      <c r="J13" s="11">
        <f>IF(I13&lt;&gt;_xlfn.MINIFS('Draft Board'!$I$2:$I$61,'Draft Board'!$H$2:$H$61,"="&amp;H13),0,IF(_xlfn.MINIFS('Draft Board'!$H$2:$H$61,'Draft Board'!$H$2:$H$61,"&gt;"&amp;H13)=0,1,IF((_xlfn.MINIFS('Draft Board'!$H$2:$H$61,'Draft Board'!$H$2:$H$61,"&gt;"&amp;H13)-H13)/_xlfn.MINIFS('Draft Board'!$H$2:$H$61,'Draft Board'!$H$2:$H$61,"&gt;"&amp;H13)&gt;0.08,1,0)))</f>
        <v>1</v>
      </c>
      <c r="K13" s="11">
        <f>_xlfn.MINIFS('Draft Board'!$H$2:$H$61,'Draft Board'!$H$2:$H$61,"&gt;="&amp;H13,'Draft Board'!$J$2:$J$61,1)</f>
        <v>42.073332679843837</v>
      </c>
      <c r="L13" s="11">
        <f>IF(I13&lt;&gt;_xlfn.MINIFS('Draft Board'!$I$2:$I$61,'Draft Board'!$H$2:$H$61,"="&amp;H13),0,IF(OR(J13=1,IFERROR(FLOOR((K13-H13)/K13/0.25,1),0)&lt;&gt;IFERROR(FLOOR((K13-_xlfn.MINIFS('Draft Board'!$H$2:$H$61,'Draft Board'!$H$2:$H$61,"&gt;"&amp;H13))/K13/0.25,1),0)),1,0))</f>
        <v>1</v>
      </c>
      <c r="M13" s="11">
        <f>ROUND(1+H13*'Live Calc'!$D$26,0)</f>
        <v>7</v>
      </c>
      <c r="N13" s="11"/>
      <c r="O13" s="11">
        <f>IF(N13&lt;&gt;"",N13,ROUND(M13*INDEX('Live Calc'!$G$33:$G$92,MATCH(G13,'Live Calc'!$A$33:$A$92,0))*'Live Calc'!$J$543,0))</f>
        <v>7</v>
      </c>
      <c r="Q13" s="12" t="s">
        <v>129</v>
      </c>
      <c r="R13" s="12" t="s">
        <v>118</v>
      </c>
      <c r="S13" s="12">
        <v>201.042</v>
      </c>
      <c r="T13" s="12">
        <v>224.58199999999999</v>
      </c>
      <c r="U13" s="12">
        <v>249.19399999999999</v>
      </c>
      <c r="V13" s="12">
        <f>CHOOSE(MATCH(Setup!$B$7,{"STD","Half-PPR","PPR"},0),S13,T13,U13)</f>
        <v>224.58199999999999</v>
      </c>
      <c r="W13" s="12">
        <f>COUNTIFS('Draft Board'!$X$2:$X$162,"&gt;="&amp;X13,'Draft Board'!$AB$2:$AB$162,1)</f>
        <v>4</v>
      </c>
      <c r="X13" s="12">
        <f>MAX(0,V13-'Live Calc'!$H$20)^'Live Calc'!$E$20</f>
        <v>307.22625646812838</v>
      </c>
      <c r="Y13" s="12">
        <v>13</v>
      </c>
      <c r="Z13" s="12">
        <f>IF(Y13&lt;&gt;_xlfn.MINIFS('Draft Board'!$Y$2:$Y$162,'Draft Board'!$X$2:$X$162,"="&amp;X13),0,IF(_xlfn.MINIFS('Draft Board'!$X$2:$X$162,'Draft Board'!$X$2:$X$162,"&gt;"&amp;X13)=0,1,IF((_xlfn.MINIFS('Draft Board'!$X$2:$X$162,'Draft Board'!$X$2:$X$162,"&gt;"&amp;X13)-X13)/_xlfn.MINIFS('Draft Board'!$X$2:$X$162,'Draft Board'!$X$2:$X$162,"&gt;"&amp;X13)&gt;0.08,1,0)))</f>
        <v>1</v>
      </c>
      <c r="AA13" s="12">
        <f>_xlfn.MINIFS('Draft Board'!$X$2:$X$162,'Draft Board'!$X$2:$X$162,"&gt;="&amp;X13,'Draft Board'!$Z$2:$Z$162,1)</f>
        <v>307.22625646812838</v>
      </c>
      <c r="AB13" s="12">
        <f>IF(Y13&lt;&gt;_xlfn.MINIFS('Draft Board'!$Y$2:$Y$162,'Draft Board'!$X$2:$X$162,"="&amp;X13),0,IF(OR(Z13=1,IFERROR(FLOOR((AA13-X13)/AA13/0.25,1),0)&lt;&gt;IFERROR(FLOOR((AA13-_xlfn.MINIFS('Draft Board'!$X$2:$X$162,'Draft Board'!$X$2:$X$162,"&gt;"&amp;X13))/AA13/0.25,1),0)),1,0))</f>
        <v>1</v>
      </c>
      <c r="AC13" s="12">
        <f>ROUND(1+X13*'Live Calc'!$D$27,0)</f>
        <v>31</v>
      </c>
      <c r="AD13" s="12"/>
      <c r="AE13" s="12">
        <f>IF(AD13&lt;&gt;"",AD13,ROUND(AC13*INDEX('Live Calc'!$G$96:$G$256,MATCH(W13,'Live Calc'!$A$96:$A$256,0))*'Live Calc'!$J$543,0))</f>
        <v>31</v>
      </c>
      <c r="AG13" s="13" t="s">
        <v>130</v>
      </c>
      <c r="AH13" s="13" t="s">
        <v>131</v>
      </c>
      <c r="AI13" s="13">
        <v>154.84200000000001</v>
      </c>
      <c r="AJ13" s="13">
        <v>202.71</v>
      </c>
      <c r="AK13" s="13">
        <v>243.24199999999999</v>
      </c>
      <c r="AL13" s="13">
        <f>CHOOSE(MATCH(Setup!$B$7,{"STD","Half-PPR","PPR"},0),AI13,AJ13,AK13)</f>
        <v>202.71</v>
      </c>
      <c r="AM13" s="13">
        <f>COUNTIFS('Draft Board'!$AN$2:$AN$192,"&gt;="&amp;AN13,'Draft Board'!$AR$2:$AR$192,1)</f>
        <v>5</v>
      </c>
      <c r="AN13" s="13">
        <f>MAX(0,AL13-'Live Calc'!$H$21)^'Live Calc'!$E$21</f>
        <v>985.84361245050547</v>
      </c>
      <c r="AO13" s="13">
        <v>13</v>
      </c>
      <c r="AP13" s="13">
        <f>IF(AO13&lt;&gt;_xlfn.MINIFS('Draft Board'!$AO$2:$AO$192,'Draft Board'!$AN$2:$AN$192,"="&amp;AN13),0,IF(_xlfn.MINIFS('Draft Board'!$AN$2:$AN$192,'Draft Board'!$AN$2:$AN$192,"&gt;"&amp;AN13)=0,1,IF((_xlfn.MINIFS('Draft Board'!$AN$2:$AN$192,'Draft Board'!$AN$2:$AN$192,"&gt;"&amp;AN13)-AN13)/_xlfn.MINIFS('Draft Board'!$AN$2:$AN$192,'Draft Board'!$AN$2:$AN$192,"&gt;"&amp;AN13)&gt;0.08,1,0)))</f>
        <v>0</v>
      </c>
      <c r="AQ13" s="13">
        <f>_xlfn.MINIFS('Draft Board'!$AN$2:$AN$192,'Draft Board'!$AN$2:$AN$192,"&gt;="&amp;AN13,'Draft Board'!$AP$2:$AP$192,1)</f>
        <v>1089.9471799454309</v>
      </c>
      <c r="AR13" s="13">
        <f>IF(AO13&lt;&gt;_xlfn.MINIFS('Draft Board'!$AO$2:$AO$192,'Draft Board'!$AN$2:$AN$192,"="&amp;AN13),0,IF(OR(AP13=1,IFERROR(FLOOR((AQ13-AN13)/AQ13/0.25,1),0)&lt;&gt;IFERROR(FLOOR((AQ13-_xlfn.MINIFS('Draft Board'!$AN$2:$AN$192,'Draft Board'!$AN$2:$AN$192,"&gt;"&amp;AN13))/AQ13/0.25,1),0)),1,0))</f>
        <v>0</v>
      </c>
      <c r="AS13" s="13">
        <f>ROUND(1+AN13*'Live Calc'!$D$28,0)</f>
        <v>28</v>
      </c>
      <c r="AT13" s="13"/>
      <c r="AU13" s="13">
        <f>IF(AT13&lt;&gt;"",AT13,ROUND(AS13*INDEX('Live Calc'!$G$260:$G$450,MATCH(AM13,'Live Calc'!$A$260:$A$450,0))*'Live Calc'!$J$543,0))</f>
        <v>28</v>
      </c>
      <c r="AW13" s="14" t="s">
        <v>132</v>
      </c>
      <c r="AX13" s="14" t="s">
        <v>69</v>
      </c>
      <c r="AY13" s="14">
        <v>104.292</v>
      </c>
      <c r="AZ13" s="14">
        <v>130.48400000000001</v>
      </c>
      <c r="BA13" s="14">
        <v>158.23599999999999</v>
      </c>
      <c r="BB13" s="14">
        <f>CHOOSE(MATCH(Setup!$B$7,{"STD","Half-PPR","PPR"},0),AY13,AZ13,BA13)</f>
        <v>130.48400000000001</v>
      </c>
      <c r="BC13" s="14">
        <f>COUNTIFS('Draft Board'!$BD$2:$BD$87,"&gt;="&amp;BD13,'Draft Board'!$BH$2:$BH$87,1)</f>
        <v>9</v>
      </c>
      <c r="BD13" s="14">
        <f>MAX(0,BB13-'Live Calc'!$H$22)^'Live Calc'!$E$22</f>
        <v>222.42207734258363</v>
      </c>
      <c r="BE13" s="14">
        <v>13</v>
      </c>
      <c r="BF13" s="14">
        <f>IF(BE13&lt;&gt;_xlfn.MINIFS('Draft Board'!$BE$2:$BE$87,'Draft Board'!$BD$2:$BD$87,"="&amp;BD13),0,IF(_xlfn.MINIFS('Draft Board'!$BD$2:$BD$87,'Draft Board'!$BD$2:$BD$87,"&gt;"&amp;BD13)=0,1,IF((_xlfn.MINIFS('Draft Board'!$BD$2:$BD$87,'Draft Board'!$BD$2:$BD$87,"&gt;"&amp;BD13)-BD13)/_xlfn.MINIFS('Draft Board'!$BD$2:$BD$87,'Draft Board'!$BD$2:$BD$87,"&gt;"&amp;BD13)&gt;0.08,1,0)))</f>
        <v>1</v>
      </c>
      <c r="BG13" s="14">
        <f>_xlfn.MINIFS('Draft Board'!$BD$2:$BD$87,'Draft Board'!$BD$2:$BD$87,"&gt;="&amp;BD13,'Draft Board'!$BF$2:$BF$87,1)</f>
        <v>222.42207734258363</v>
      </c>
      <c r="BH13" s="14">
        <f>IF(BE13&lt;&gt;_xlfn.MINIFS('Draft Board'!$BE$2:$BE$87,'Draft Board'!$BD$2:$BD$87,"="&amp;BD13),0,IF(OR(BF13=1,IFERROR(FLOOR((BG13-BD13)/BG13/0.25,1),0)&lt;&gt;IFERROR(FLOOR((BG13-_xlfn.MINIFS('Draft Board'!$BD$2:$BD$87,'Draft Board'!$BD$2:$BD$87,"&gt;"&amp;BD13))/BG13/0.25,1),0)),1,0))</f>
        <v>1</v>
      </c>
      <c r="BI13" s="14">
        <f>ROUND(1+BD13*'Live Calc'!$D$29,0)</f>
        <v>6</v>
      </c>
      <c r="BJ13" s="14"/>
      <c r="BK13" s="14">
        <f>IF(BJ13&lt;&gt;"",BJ13,ROUND(BI13*INDEX('Live Calc'!$G$454:$G$539,MATCH(BC13,'Live Calc'!$A$454:$A$539,0))*'Live Calc'!$J$543,0))</f>
        <v>6</v>
      </c>
    </row>
    <row r="14" spans="1:63" x14ac:dyDescent="0.25">
      <c r="A14" s="11" t="s">
        <v>133</v>
      </c>
      <c r="B14" s="11" t="s">
        <v>134</v>
      </c>
      <c r="C14" s="11">
        <v>284.452</v>
      </c>
      <c r="D14" s="11">
        <v>284.452</v>
      </c>
      <c r="E14" s="11">
        <v>284.452</v>
      </c>
      <c r="F14" s="11">
        <f>CHOOSE(MATCH(Setup!$B$7,{"STD","Half-PPR","PPR"},0),C14,D14,E14)</f>
        <v>284.452</v>
      </c>
      <c r="G14" s="11">
        <f>COUNTIFS('Draft Board'!$H$2:$H$61,"&gt;="&amp;H14,'Draft Board'!$L$2:$L$61,1)</f>
        <v>6</v>
      </c>
      <c r="H14" s="11">
        <f>MAX(0,F14-'Live Calc'!$H$19)^'Live Calc'!$E$19</f>
        <v>41.210971424673929</v>
      </c>
      <c r="I14" s="11">
        <v>14</v>
      </c>
      <c r="J14" s="11">
        <f>IF(I14&lt;&gt;_xlfn.MINIFS('Draft Board'!$I$2:$I$61,'Draft Board'!$H$2:$H$61,"="&amp;H14),0,IF(_xlfn.MINIFS('Draft Board'!$H$2:$H$61,'Draft Board'!$H$2:$H$61,"&gt;"&amp;H14)=0,1,IF((_xlfn.MINIFS('Draft Board'!$H$2:$H$61,'Draft Board'!$H$2:$H$61,"&gt;"&amp;H14)-H14)/_xlfn.MINIFS('Draft Board'!$H$2:$H$61,'Draft Board'!$H$2:$H$61,"&gt;"&amp;H14)&gt;0.08,1,0)))</f>
        <v>0</v>
      </c>
      <c r="K14" s="11">
        <f>_xlfn.MINIFS('Draft Board'!$H$2:$H$61,'Draft Board'!$H$2:$H$61,"&gt;="&amp;H14,'Draft Board'!$J$2:$J$61,1)</f>
        <v>42.073332679843837</v>
      </c>
      <c r="L14" s="11">
        <f>IF(I14&lt;&gt;_xlfn.MINIFS('Draft Board'!$I$2:$I$61,'Draft Board'!$H$2:$H$61,"="&amp;H14),0,IF(OR(J14=1,IFERROR(FLOOR((K14-H14)/K14/0.25,1),0)&lt;&gt;IFERROR(FLOOR((K14-_xlfn.MINIFS('Draft Board'!$H$2:$H$61,'Draft Board'!$H$2:$H$61,"&gt;"&amp;H14))/K14/0.25,1),0)),1,0))</f>
        <v>0</v>
      </c>
      <c r="M14" s="11">
        <f>ROUND(1+H14*'Live Calc'!$D$26,0)</f>
        <v>7</v>
      </c>
      <c r="N14" s="11"/>
      <c r="O14" s="11">
        <f>IF(N14&lt;&gt;"",N14,ROUND(M14*INDEX('Live Calc'!$G$33:$G$92,MATCH(G14,'Live Calc'!$A$33:$A$92,0))*'Live Calc'!$J$543,0))</f>
        <v>7</v>
      </c>
      <c r="Q14" s="12" t="s">
        <v>135</v>
      </c>
      <c r="R14" s="12" t="s">
        <v>96</v>
      </c>
      <c r="S14" s="12">
        <v>198.51599999999999</v>
      </c>
      <c r="T14" s="12">
        <v>216.596</v>
      </c>
      <c r="U14" s="12">
        <v>232.62799999999999</v>
      </c>
      <c r="V14" s="12">
        <f>CHOOSE(MATCH(Setup!$B$7,{"STD","Half-PPR","PPR"},0),S14,T14,U14)</f>
        <v>216.596</v>
      </c>
      <c r="W14" s="12">
        <f>COUNTIFS('Draft Board'!$X$2:$X$162,"&gt;="&amp;X14,'Draft Board'!$AB$2:$AB$162,1)</f>
        <v>5</v>
      </c>
      <c r="X14" s="12">
        <f>MAX(0,V14-'Live Calc'!$H$20)^'Live Calc'!$E$20</f>
        <v>282.50390965222084</v>
      </c>
      <c r="Y14" s="12">
        <v>14</v>
      </c>
      <c r="Z14" s="12">
        <f>IF(Y14&lt;&gt;_xlfn.MINIFS('Draft Board'!$Y$2:$Y$162,'Draft Board'!$X$2:$X$162,"="&amp;X14),0,IF(_xlfn.MINIFS('Draft Board'!$X$2:$X$162,'Draft Board'!$X$2:$X$162,"&gt;"&amp;X14)=0,1,IF((_xlfn.MINIFS('Draft Board'!$X$2:$X$162,'Draft Board'!$X$2:$X$162,"&gt;"&amp;X14)-X14)/_xlfn.MINIFS('Draft Board'!$X$2:$X$162,'Draft Board'!$X$2:$X$162,"&gt;"&amp;X14)&gt;0.08,1,0)))</f>
        <v>1</v>
      </c>
      <c r="AA14" s="12">
        <f>_xlfn.MINIFS('Draft Board'!$X$2:$X$162,'Draft Board'!$X$2:$X$162,"&gt;="&amp;X14,'Draft Board'!$Z$2:$Z$162,1)</f>
        <v>282.50390965222084</v>
      </c>
      <c r="AB14" s="12">
        <f>IF(Y14&lt;&gt;_xlfn.MINIFS('Draft Board'!$Y$2:$Y$162,'Draft Board'!$X$2:$X$162,"="&amp;X14),0,IF(OR(Z14=1,IFERROR(FLOOR((AA14-X14)/AA14/0.25,1),0)&lt;&gt;IFERROR(FLOOR((AA14-_xlfn.MINIFS('Draft Board'!$X$2:$X$162,'Draft Board'!$X$2:$X$162,"&gt;"&amp;X14))/AA14/0.25,1),0)),1,0))</f>
        <v>1</v>
      </c>
      <c r="AC14" s="12">
        <f>ROUND(1+X14*'Live Calc'!$D$27,0)</f>
        <v>29</v>
      </c>
      <c r="AD14" s="12"/>
      <c r="AE14" s="12">
        <f>IF(AD14&lt;&gt;"",AD14,ROUND(AC14*INDEX('Live Calc'!$G$96:$G$256,MATCH(W14,'Live Calc'!$A$96:$A$256,0))*'Live Calc'!$J$543,0))</f>
        <v>29</v>
      </c>
      <c r="AG14" s="13" t="s">
        <v>136</v>
      </c>
      <c r="AH14" s="13" t="s">
        <v>134</v>
      </c>
      <c r="AI14" s="13">
        <v>156.82400000000001</v>
      </c>
      <c r="AJ14" s="13">
        <v>199.07400000000001</v>
      </c>
      <c r="AK14" s="13">
        <v>240.44399999999999</v>
      </c>
      <c r="AL14" s="13">
        <f>CHOOSE(MATCH(Setup!$B$7,{"STD","Half-PPR","PPR"},0),AI14,AJ14,AK14)</f>
        <v>199.07400000000001</v>
      </c>
      <c r="AM14" s="13">
        <f>COUNTIFS('Draft Board'!$AN$2:$AN$192,"&gt;="&amp;AN14,'Draft Board'!$AR$2:$AR$192,1)</f>
        <v>5</v>
      </c>
      <c r="AN14" s="13">
        <f>MAX(0,AL14-'Live Calc'!$H$21)^'Live Calc'!$E$21</f>
        <v>932.06342025348806</v>
      </c>
      <c r="AO14" s="13">
        <v>14</v>
      </c>
      <c r="AP14" s="13">
        <f>IF(AO14&lt;&gt;_xlfn.MINIFS('Draft Board'!$AO$2:$AO$192,'Draft Board'!$AN$2:$AN$192,"="&amp;AN14),0,IF(_xlfn.MINIFS('Draft Board'!$AN$2:$AN$192,'Draft Board'!$AN$2:$AN$192,"&gt;"&amp;AN14)=0,1,IF((_xlfn.MINIFS('Draft Board'!$AN$2:$AN$192,'Draft Board'!$AN$2:$AN$192,"&gt;"&amp;AN14)-AN14)/_xlfn.MINIFS('Draft Board'!$AN$2:$AN$192,'Draft Board'!$AN$2:$AN$192,"&gt;"&amp;AN14)&gt;0.08,1,0)))</f>
        <v>0</v>
      </c>
      <c r="AQ14" s="13">
        <f>_xlfn.MINIFS('Draft Board'!$AN$2:$AN$192,'Draft Board'!$AN$2:$AN$192,"&gt;="&amp;AN14,'Draft Board'!$AP$2:$AP$192,1)</f>
        <v>1089.9471799454309</v>
      </c>
      <c r="AR14" s="13">
        <f>IF(AO14&lt;&gt;_xlfn.MINIFS('Draft Board'!$AO$2:$AO$192,'Draft Board'!$AN$2:$AN$192,"="&amp;AN14),0,IF(OR(AP14=1,IFERROR(FLOOR((AQ14-AN14)/AQ14/0.25,1),0)&lt;&gt;IFERROR(FLOOR((AQ14-_xlfn.MINIFS('Draft Board'!$AN$2:$AN$192,'Draft Board'!$AN$2:$AN$192,"&gt;"&amp;AN14))/AQ14/0.25,1),0)),1,0))</f>
        <v>0</v>
      </c>
      <c r="AS14" s="13">
        <f>ROUND(1+AN14*'Live Calc'!$D$28,0)</f>
        <v>26</v>
      </c>
      <c r="AT14" s="13"/>
      <c r="AU14" s="13">
        <f>IF(AT14&lt;&gt;"",AT14,ROUND(AS14*INDEX('Live Calc'!$G$260:$G$450,MATCH(AM14,'Live Calc'!$A$260:$A$450,0))*'Live Calc'!$J$543,0))</f>
        <v>26</v>
      </c>
      <c r="AW14" s="14" t="s">
        <v>137</v>
      </c>
      <c r="AX14" s="14" t="s">
        <v>61</v>
      </c>
      <c r="AY14" s="14">
        <v>101.34399999999999</v>
      </c>
      <c r="AZ14" s="14">
        <v>129.97399999999999</v>
      </c>
      <c r="BA14" s="14">
        <v>159.434</v>
      </c>
      <c r="BB14" s="14">
        <f>CHOOSE(MATCH(Setup!$B$7,{"STD","Half-PPR","PPR"},0),AY14,AZ14,BA14)</f>
        <v>129.97399999999999</v>
      </c>
      <c r="BC14" s="14">
        <f>COUNTIFS('Draft Board'!$BD$2:$BD$87,"&gt;="&amp;BD14,'Draft Board'!$BH$2:$BH$87,1)</f>
        <v>9</v>
      </c>
      <c r="BD14" s="14">
        <f>MAX(0,BB14-'Live Calc'!$H$22)^'Live Calc'!$E$22</f>
        <v>216.26175537664091</v>
      </c>
      <c r="BE14" s="14">
        <v>14</v>
      </c>
      <c r="BF14" s="14">
        <f>IF(BE14&lt;&gt;_xlfn.MINIFS('Draft Board'!$BE$2:$BE$87,'Draft Board'!$BD$2:$BD$87,"="&amp;BD14),0,IF(_xlfn.MINIFS('Draft Board'!$BD$2:$BD$87,'Draft Board'!$BD$2:$BD$87,"&gt;"&amp;BD14)=0,1,IF((_xlfn.MINIFS('Draft Board'!$BD$2:$BD$87,'Draft Board'!$BD$2:$BD$87,"&gt;"&amp;BD14)-BD14)/_xlfn.MINIFS('Draft Board'!$BD$2:$BD$87,'Draft Board'!$BD$2:$BD$87,"&gt;"&amp;BD14)&gt;0.08,1,0)))</f>
        <v>0</v>
      </c>
      <c r="BG14" s="14">
        <f>_xlfn.MINIFS('Draft Board'!$BD$2:$BD$87,'Draft Board'!$BD$2:$BD$87,"&gt;="&amp;BD14,'Draft Board'!$BF$2:$BF$87,1)</f>
        <v>222.42207734258363</v>
      </c>
      <c r="BH14" s="14">
        <f>IF(BE14&lt;&gt;_xlfn.MINIFS('Draft Board'!$BE$2:$BE$87,'Draft Board'!$BD$2:$BD$87,"="&amp;BD14),0,IF(OR(BF14=1,IFERROR(FLOOR((BG14-BD14)/BG14/0.25,1),0)&lt;&gt;IFERROR(FLOOR((BG14-_xlfn.MINIFS('Draft Board'!$BD$2:$BD$87,'Draft Board'!$BD$2:$BD$87,"&gt;"&amp;BD14))/BG14/0.25,1),0)),1,0))</f>
        <v>0</v>
      </c>
      <c r="BI14" s="14">
        <f>ROUND(1+BD14*'Live Calc'!$D$29,0)</f>
        <v>6</v>
      </c>
      <c r="BJ14" s="14"/>
      <c r="BK14" s="14">
        <f>IF(BJ14&lt;&gt;"",BJ14,ROUND(BI14*INDEX('Live Calc'!$G$454:$G$539,MATCH(BC14,'Live Calc'!$A$454:$A$539,0))*'Live Calc'!$J$543,0))</f>
        <v>6</v>
      </c>
    </row>
    <row r="15" spans="1:63" x14ac:dyDescent="0.25">
      <c r="A15" s="11" t="s">
        <v>138</v>
      </c>
      <c r="B15" s="11" t="s">
        <v>139</v>
      </c>
      <c r="C15" s="11">
        <v>283.142</v>
      </c>
      <c r="D15" s="11">
        <v>283.142</v>
      </c>
      <c r="E15" s="11">
        <v>283.142</v>
      </c>
      <c r="F15" s="11">
        <f>CHOOSE(MATCH(Setup!$B$7,{"STD","Half-PPR","PPR"},0),C15,D15,E15)</f>
        <v>283.142</v>
      </c>
      <c r="G15" s="11">
        <f>COUNTIFS('Draft Board'!$H$2:$H$61,"&gt;="&amp;H15,'Draft Board'!$L$2:$L$61,1)</f>
        <v>6</v>
      </c>
      <c r="H15" s="11">
        <f>MAX(0,F15-'Live Calc'!$H$19)^'Live Calc'!$E$19</f>
        <v>38.306907135610309</v>
      </c>
      <c r="I15" s="11">
        <v>15</v>
      </c>
      <c r="J15" s="11">
        <f>IF(I15&lt;&gt;_xlfn.MINIFS('Draft Board'!$I$2:$I$61,'Draft Board'!$H$2:$H$61,"="&amp;H15),0,IF(_xlfn.MINIFS('Draft Board'!$H$2:$H$61,'Draft Board'!$H$2:$H$61,"&gt;"&amp;H15)=0,1,IF((_xlfn.MINIFS('Draft Board'!$H$2:$H$61,'Draft Board'!$H$2:$H$61,"&gt;"&amp;H15)-H15)/_xlfn.MINIFS('Draft Board'!$H$2:$H$61,'Draft Board'!$H$2:$H$61,"&gt;"&amp;H15)&gt;0.08,1,0)))</f>
        <v>0</v>
      </c>
      <c r="K15" s="11">
        <f>_xlfn.MINIFS('Draft Board'!$H$2:$H$61,'Draft Board'!$H$2:$H$61,"&gt;="&amp;H15,'Draft Board'!$J$2:$J$61,1)</f>
        <v>42.073332679843837</v>
      </c>
      <c r="L15" s="11">
        <f>IF(I15&lt;&gt;_xlfn.MINIFS('Draft Board'!$I$2:$I$61,'Draft Board'!$H$2:$H$61,"="&amp;H15),0,IF(OR(J15=1,IFERROR(FLOOR((K15-H15)/K15/0.25,1),0)&lt;&gt;IFERROR(FLOOR((K15-_xlfn.MINIFS('Draft Board'!$H$2:$H$61,'Draft Board'!$H$2:$H$61,"&gt;"&amp;H15))/K15/0.25,1),0)),1,0))</f>
        <v>0</v>
      </c>
      <c r="M15" s="11">
        <f>ROUND(1+H15*'Live Calc'!$D$26,0)</f>
        <v>6</v>
      </c>
      <c r="N15" s="11"/>
      <c r="O15" s="11">
        <f>IF(N15&lt;&gt;"",N15,ROUND(M15*INDEX('Live Calc'!$G$33:$G$92,MATCH(G15,'Live Calc'!$A$33:$A$92,0))*'Live Calc'!$J$543,0))</f>
        <v>6</v>
      </c>
      <c r="Q15" s="12" t="s">
        <v>140</v>
      </c>
      <c r="R15" s="12" t="s">
        <v>65</v>
      </c>
      <c r="S15" s="12">
        <v>197.73</v>
      </c>
      <c r="T15" s="12">
        <v>215.98</v>
      </c>
      <c r="U15" s="12">
        <v>232.452</v>
      </c>
      <c r="V15" s="12">
        <f>CHOOSE(MATCH(Setup!$B$7,{"STD","Half-PPR","PPR"},0),S15,T15,U15)</f>
        <v>215.98</v>
      </c>
      <c r="W15" s="12">
        <f>COUNTIFS('Draft Board'!$X$2:$X$162,"&gt;="&amp;X15,'Draft Board'!$AB$2:$AB$162,1)</f>
        <v>5</v>
      </c>
      <c r="X15" s="12">
        <f>MAX(0,V15-'Live Calc'!$H$20)^'Live Calc'!$E$20</f>
        <v>280.61146567881002</v>
      </c>
      <c r="Y15" s="12">
        <v>15</v>
      </c>
      <c r="Z15" s="12">
        <f>IF(Y15&lt;&gt;_xlfn.MINIFS('Draft Board'!$Y$2:$Y$162,'Draft Board'!$X$2:$X$162,"="&amp;X15),0,IF(_xlfn.MINIFS('Draft Board'!$X$2:$X$162,'Draft Board'!$X$2:$X$162,"&gt;"&amp;X15)=0,1,IF((_xlfn.MINIFS('Draft Board'!$X$2:$X$162,'Draft Board'!$X$2:$X$162,"&gt;"&amp;X15)-X15)/_xlfn.MINIFS('Draft Board'!$X$2:$X$162,'Draft Board'!$X$2:$X$162,"&gt;"&amp;X15)&gt;0.08,1,0)))</f>
        <v>0</v>
      </c>
      <c r="AA15" s="12">
        <f>_xlfn.MINIFS('Draft Board'!$X$2:$X$162,'Draft Board'!$X$2:$X$162,"&gt;="&amp;X15,'Draft Board'!$Z$2:$Z$162,1)</f>
        <v>282.50390965222084</v>
      </c>
      <c r="AB15" s="12">
        <f>IF(Y15&lt;&gt;_xlfn.MINIFS('Draft Board'!$Y$2:$Y$162,'Draft Board'!$X$2:$X$162,"="&amp;X15),0,IF(OR(Z15=1,IFERROR(FLOOR((AA15-X15)/AA15/0.25,1),0)&lt;&gt;IFERROR(FLOOR((AA15-_xlfn.MINIFS('Draft Board'!$X$2:$X$162,'Draft Board'!$X$2:$X$162,"&gt;"&amp;X15))/AA15/0.25,1),0)),1,0))</f>
        <v>0</v>
      </c>
      <c r="AC15" s="12">
        <f>ROUND(1+X15*'Live Calc'!$D$27,0)</f>
        <v>29</v>
      </c>
      <c r="AD15" s="12"/>
      <c r="AE15" s="12">
        <f>IF(AD15&lt;&gt;"",AD15,ROUND(AC15*INDEX('Live Calc'!$G$96:$G$256,MATCH(W15,'Live Calc'!$A$96:$A$256,0))*'Live Calc'!$J$543,0))</f>
        <v>29</v>
      </c>
      <c r="AG15" s="13" t="s">
        <v>141</v>
      </c>
      <c r="AH15" s="13" t="s">
        <v>69</v>
      </c>
      <c r="AI15" s="13">
        <v>155.91</v>
      </c>
      <c r="AJ15" s="13">
        <v>194.518</v>
      </c>
      <c r="AK15" s="13">
        <v>235.90600000000001</v>
      </c>
      <c r="AL15" s="13">
        <f>CHOOSE(MATCH(Setup!$B$7,{"STD","Half-PPR","PPR"},0),AI15,AJ15,AK15)</f>
        <v>194.518</v>
      </c>
      <c r="AM15" s="13">
        <f>COUNTIFS('Draft Board'!$AN$2:$AN$192,"&gt;="&amp;AN15,'Draft Board'!$AR$2:$AR$192,1)</f>
        <v>5</v>
      </c>
      <c r="AN15" s="13">
        <f>MAX(0,AL15-'Live Calc'!$H$21)^'Live Calc'!$E$21</f>
        <v>866.11076796442603</v>
      </c>
      <c r="AO15" s="13">
        <v>15</v>
      </c>
      <c r="AP15" s="13">
        <f>IF(AO15&lt;&gt;_xlfn.MINIFS('Draft Board'!$AO$2:$AO$192,'Draft Board'!$AN$2:$AN$192,"="&amp;AN15),0,IF(_xlfn.MINIFS('Draft Board'!$AN$2:$AN$192,'Draft Board'!$AN$2:$AN$192,"&gt;"&amp;AN15)=0,1,IF((_xlfn.MINIFS('Draft Board'!$AN$2:$AN$192,'Draft Board'!$AN$2:$AN$192,"&gt;"&amp;AN15)-AN15)/_xlfn.MINIFS('Draft Board'!$AN$2:$AN$192,'Draft Board'!$AN$2:$AN$192,"&gt;"&amp;AN15)&gt;0.08,1,0)))</f>
        <v>0</v>
      </c>
      <c r="AQ15" s="13">
        <f>_xlfn.MINIFS('Draft Board'!$AN$2:$AN$192,'Draft Board'!$AN$2:$AN$192,"&gt;="&amp;AN15,'Draft Board'!$AP$2:$AP$192,1)</f>
        <v>1089.9471799454309</v>
      </c>
      <c r="AR15" s="13">
        <f>IF(AO15&lt;&gt;_xlfn.MINIFS('Draft Board'!$AO$2:$AO$192,'Draft Board'!$AN$2:$AN$192,"="&amp;AN15),0,IF(OR(AP15=1,IFERROR(FLOOR((AQ15-AN15)/AQ15/0.25,1),0)&lt;&gt;IFERROR(FLOOR((AQ15-_xlfn.MINIFS('Draft Board'!$AN$2:$AN$192,'Draft Board'!$AN$2:$AN$192,"&gt;"&amp;AN15))/AQ15/0.25,1),0)),1,0))</f>
        <v>0</v>
      </c>
      <c r="AS15" s="13">
        <f>ROUND(1+AN15*'Live Calc'!$D$28,0)</f>
        <v>24</v>
      </c>
      <c r="AT15" s="13"/>
      <c r="AU15" s="13">
        <f>IF(AT15&lt;&gt;"",AT15,ROUND(AS15*INDEX('Live Calc'!$G$260:$G$450,MATCH(AM15,'Live Calc'!$A$260:$A$450,0))*'Live Calc'!$J$543,0))</f>
        <v>24</v>
      </c>
      <c r="AW15" s="14" t="s">
        <v>142</v>
      </c>
      <c r="AX15" s="14" t="s">
        <v>134</v>
      </c>
      <c r="AY15" s="14">
        <v>98.475999999999999</v>
      </c>
      <c r="AZ15" s="14">
        <v>128.88999999999999</v>
      </c>
      <c r="BA15" s="14">
        <v>159.36000000000001</v>
      </c>
      <c r="BB15" s="14">
        <f>CHOOSE(MATCH(Setup!$B$7,{"STD","Half-PPR","PPR"},0),AY15,AZ15,BA15)</f>
        <v>128.88999999999999</v>
      </c>
      <c r="BC15" s="14">
        <f>COUNTIFS('Draft Board'!$BD$2:$BD$87,"&gt;="&amp;BD15,'Draft Board'!$BH$2:$BH$87,1)</f>
        <v>9</v>
      </c>
      <c r="BD15" s="14">
        <f>MAX(0,BB15-'Live Calc'!$H$22)^'Live Calc'!$E$22</f>
        <v>203.3849159003309</v>
      </c>
      <c r="BE15" s="14">
        <v>15</v>
      </c>
      <c r="BF15" s="14">
        <f>IF(BE15&lt;&gt;_xlfn.MINIFS('Draft Board'!$BE$2:$BE$87,'Draft Board'!$BD$2:$BD$87,"="&amp;BD15),0,IF(_xlfn.MINIFS('Draft Board'!$BD$2:$BD$87,'Draft Board'!$BD$2:$BD$87,"&gt;"&amp;BD15)=0,1,IF((_xlfn.MINIFS('Draft Board'!$BD$2:$BD$87,'Draft Board'!$BD$2:$BD$87,"&gt;"&amp;BD15)-BD15)/_xlfn.MINIFS('Draft Board'!$BD$2:$BD$87,'Draft Board'!$BD$2:$BD$87,"&gt;"&amp;BD15)&gt;0.08,1,0)))</f>
        <v>0</v>
      </c>
      <c r="BG15" s="14">
        <f>_xlfn.MINIFS('Draft Board'!$BD$2:$BD$87,'Draft Board'!$BD$2:$BD$87,"&gt;="&amp;BD15,'Draft Board'!$BF$2:$BF$87,1)</f>
        <v>222.42207734258363</v>
      </c>
      <c r="BH15" s="14">
        <f>IF(BE15&lt;&gt;_xlfn.MINIFS('Draft Board'!$BE$2:$BE$87,'Draft Board'!$BD$2:$BD$87,"="&amp;BD15),0,IF(OR(BF15=1,IFERROR(FLOOR((BG15-BD15)/BG15/0.25,1),0)&lt;&gt;IFERROR(FLOOR((BG15-_xlfn.MINIFS('Draft Board'!$BD$2:$BD$87,'Draft Board'!$BD$2:$BD$87,"&gt;"&amp;BD15))/BG15/0.25,1),0)),1,0))</f>
        <v>0</v>
      </c>
      <c r="BI15" s="14">
        <f>ROUND(1+BD15*'Live Calc'!$D$29,0)</f>
        <v>6</v>
      </c>
      <c r="BJ15" s="14"/>
      <c r="BK15" s="14">
        <f>IF(BJ15&lt;&gt;"",BJ15,ROUND(BI15*INDEX('Live Calc'!$G$454:$G$539,MATCH(BC15,'Live Calc'!$A$454:$A$539,0))*'Live Calc'!$J$543,0))</f>
        <v>6</v>
      </c>
    </row>
    <row r="16" spans="1:63" x14ac:dyDescent="0.25">
      <c r="A16" s="11" t="s">
        <v>143</v>
      </c>
      <c r="B16" s="11" t="s">
        <v>105</v>
      </c>
      <c r="C16" s="11">
        <v>276.03199999999998</v>
      </c>
      <c r="D16" s="11">
        <v>276.03199999999998</v>
      </c>
      <c r="E16" s="11">
        <v>276.03199999999998</v>
      </c>
      <c r="F16" s="11">
        <f>CHOOSE(MATCH(Setup!$B$7,{"STD","Half-PPR","PPR"},0),C16,D16,E16)</f>
        <v>276.03199999999998</v>
      </c>
      <c r="G16" s="11">
        <f>COUNTIFS('Draft Board'!$H$2:$H$61,"&gt;="&amp;H16,'Draft Board'!$L$2:$L$61,1)</f>
        <v>7</v>
      </c>
      <c r="H16" s="11">
        <f>MAX(0,F16-'Live Calc'!$H$19)^'Live Calc'!$E$19</f>
        <v>23.233509906845121</v>
      </c>
      <c r="I16" s="11">
        <v>16</v>
      </c>
      <c r="J16" s="11">
        <f>IF(I16&lt;&gt;_xlfn.MINIFS('Draft Board'!$I$2:$I$61,'Draft Board'!$H$2:$H$61,"="&amp;H16),0,IF(_xlfn.MINIFS('Draft Board'!$H$2:$H$61,'Draft Board'!$H$2:$H$61,"&gt;"&amp;H16)=0,1,IF((_xlfn.MINIFS('Draft Board'!$H$2:$H$61,'Draft Board'!$H$2:$H$61,"&gt;"&amp;H16)-H16)/_xlfn.MINIFS('Draft Board'!$H$2:$H$61,'Draft Board'!$H$2:$H$61,"&gt;"&amp;H16)&gt;0.08,1,0)))</f>
        <v>1</v>
      </c>
      <c r="K16" s="11">
        <f>_xlfn.MINIFS('Draft Board'!$H$2:$H$61,'Draft Board'!$H$2:$H$61,"&gt;="&amp;H16,'Draft Board'!$J$2:$J$61,1)</f>
        <v>23.233509906845121</v>
      </c>
      <c r="L16" s="11">
        <f>IF(I16&lt;&gt;_xlfn.MINIFS('Draft Board'!$I$2:$I$61,'Draft Board'!$H$2:$H$61,"="&amp;H16),0,IF(OR(J16=1,IFERROR(FLOOR((K16-H16)/K16/0.25,1),0)&lt;&gt;IFERROR(FLOOR((K16-_xlfn.MINIFS('Draft Board'!$H$2:$H$61,'Draft Board'!$H$2:$H$61,"&gt;"&amp;H16))/K16/0.25,1),0)),1,0))</f>
        <v>1</v>
      </c>
      <c r="M16" s="11">
        <f>ROUND(1+H16*'Live Calc'!$D$26,0)</f>
        <v>4</v>
      </c>
      <c r="N16" s="11"/>
      <c r="O16" s="11">
        <f>IF(N16&lt;&gt;"",N16,ROUND(M16*INDEX('Live Calc'!$G$33:$G$92,MATCH(G16,'Live Calc'!$A$33:$A$92,0))*'Live Calc'!$J$543,0))</f>
        <v>4</v>
      </c>
      <c r="Q16" s="12" t="s">
        <v>144</v>
      </c>
      <c r="R16" s="12" t="s">
        <v>67</v>
      </c>
      <c r="S16" s="12">
        <v>188.49</v>
      </c>
      <c r="T16" s="12">
        <v>215.77</v>
      </c>
      <c r="U16" s="12">
        <v>243.04</v>
      </c>
      <c r="V16" s="12">
        <f>CHOOSE(MATCH(Setup!$B$7,{"STD","Half-PPR","PPR"},0),S16,T16,U16)</f>
        <v>215.77</v>
      </c>
      <c r="W16" s="12">
        <f>COUNTIFS('Draft Board'!$X$2:$X$162,"&gt;="&amp;X16,'Draft Board'!$AB$2:$AB$162,1)</f>
        <v>5</v>
      </c>
      <c r="X16" s="12">
        <f>MAX(0,V16-'Live Calc'!$H$20)^'Live Calc'!$E$20</f>
        <v>279.96679948161227</v>
      </c>
      <c r="Y16" s="12">
        <v>16</v>
      </c>
      <c r="Z16" s="12">
        <f>IF(Y16&lt;&gt;_xlfn.MINIFS('Draft Board'!$Y$2:$Y$162,'Draft Board'!$X$2:$X$162,"="&amp;X16),0,IF(_xlfn.MINIFS('Draft Board'!$X$2:$X$162,'Draft Board'!$X$2:$X$162,"&gt;"&amp;X16)=0,1,IF((_xlfn.MINIFS('Draft Board'!$X$2:$X$162,'Draft Board'!$X$2:$X$162,"&gt;"&amp;X16)-X16)/_xlfn.MINIFS('Draft Board'!$X$2:$X$162,'Draft Board'!$X$2:$X$162,"&gt;"&amp;X16)&gt;0.08,1,0)))</f>
        <v>0</v>
      </c>
      <c r="AA16" s="12">
        <f>_xlfn.MINIFS('Draft Board'!$X$2:$X$162,'Draft Board'!$X$2:$X$162,"&gt;="&amp;X16,'Draft Board'!$Z$2:$Z$162,1)</f>
        <v>282.50390965222084</v>
      </c>
      <c r="AB16" s="12">
        <f>IF(Y16&lt;&gt;_xlfn.MINIFS('Draft Board'!$Y$2:$Y$162,'Draft Board'!$X$2:$X$162,"="&amp;X16),0,IF(OR(Z16=1,IFERROR(FLOOR((AA16-X16)/AA16/0.25,1),0)&lt;&gt;IFERROR(FLOOR((AA16-_xlfn.MINIFS('Draft Board'!$X$2:$X$162,'Draft Board'!$X$2:$X$162,"&gt;"&amp;X16))/AA16/0.25,1),0)),1,0))</f>
        <v>0</v>
      </c>
      <c r="AC16" s="12">
        <f>ROUND(1+X16*'Live Calc'!$D$27,0)</f>
        <v>29</v>
      </c>
      <c r="AD16" s="12"/>
      <c r="AE16" s="12">
        <f>IF(AD16&lt;&gt;"",AD16,ROUND(AC16*INDEX('Live Calc'!$G$96:$G$256,MATCH(W16,'Live Calc'!$A$96:$A$256,0))*'Live Calc'!$J$543,0))</f>
        <v>29</v>
      </c>
      <c r="AG16" s="13" t="s">
        <v>145</v>
      </c>
      <c r="AH16" s="13" t="s">
        <v>91</v>
      </c>
      <c r="AI16" s="13">
        <v>148.96</v>
      </c>
      <c r="AJ16" s="13">
        <v>192.97</v>
      </c>
      <c r="AK16" s="13">
        <v>235.148</v>
      </c>
      <c r="AL16" s="13">
        <f>CHOOSE(MATCH(Setup!$B$7,{"STD","Half-PPR","PPR"},0),AI16,AJ16,AK16)</f>
        <v>192.97</v>
      </c>
      <c r="AM16" s="13">
        <f>COUNTIFS('Draft Board'!$AN$2:$AN$192,"&gt;="&amp;AN16,'Draft Board'!$AR$2:$AR$192,1)</f>
        <v>5</v>
      </c>
      <c r="AN16" s="13">
        <f>MAX(0,AL16-'Live Calc'!$H$21)^'Live Calc'!$E$21</f>
        <v>844.07164274790387</v>
      </c>
      <c r="AO16" s="13">
        <v>16</v>
      </c>
      <c r="AP16" s="13">
        <f>IF(AO16&lt;&gt;_xlfn.MINIFS('Draft Board'!$AO$2:$AO$192,'Draft Board'!$AN$2:$AN$192,"="&amp;AN16),0,IF(_xlfn.MINIFS('Draft Board'!$AN$2:$AN$192,'Draft Board'!$AN$2:$AN$192,"&gt;"&amp;AN16)=0,1,IF((_xlfn.MINIFS('Draft Board'!$AN$2:$AN$192,'Draft Board'!$AN$2:$AN$192,"&gt;"&amp;AN16)-AN16)/_xlfn.MINIFS('Draft Board'!$AN$2:$AN$192,'Draft Board'!$AN$2:$AN$192,"&gt;"&amp;AN16)&gt;0.08,1,0)))</f>
        <v>0</v>
      </c>
      <c r="AQ16" s="13">
        <f>_xlfn.MINIFS('Draft Board'!$AN$2:$AN$192,'Draft Board'!$AN$2:$AN$192,"&gt;="&amp;AN16,'Draft Board'!$AP$2:$AP$192,1)</f>
        <v>1089.9471799454309</v>
      </c>
      <c r="AR16" s="13">
        <f>IF(AO16&lt;&gt;_xlfn.MINIFS('Draft Board'!$AO$2:$AO$192,'Draft Board'!$AN$2:$AN$192,"="&amp;AN16),0,IF(OR(AP16=1,IFERROR(FLOOR((AQ16-AN16)/AQ16/0.25,1),0)&lt;&gt;IFERROR(FLOOR((AQ16-_xlfn.MINIFS('Draft Board'!$AN$2:$AN$192,'Draft Board'!$AN$2:$AN$192,"&gt;"&amp;AN16))/AQ16/0.25,1),0)),1,0))</f>
        <v>0</v>
      </c>
      <c r="AS16" s="13">
        <f>ROUND(1+AN16*'Live Calc'!$D$28,0)</f>
        <v>24</v>
      </c>
      <c r="AT16" s="13"/>
      <c r="AU16" s="13">
        <f>IF(AT16&lt;&gt;"",AT16,ROUND(AS16*INDEX('Live Calc'!$G$260:$G$450,MATCH(AM16,'Live Calc'!$A$260:$A$450,0))*'Live Calc'!$J$543,0))</f>
        <v>24</v>
      </c>
      <c r="AW16" s="14" t="s">
        <v>146</v>
      </c>
      <c r="AX16" s="14" t="s">
        <v>94</v>
      </c>
      <c r="AY16" s="14">
        <v>91.74</v>
      </c>
      <c r="AZ16" s="14">
        <v>126.36</v>
      </c>
      <c r="BA16" s="14">
        <v>160.97399999999999</v>
      </c>
      <c r="BB16" s="14">
        <f>CHOOSE(MATCH(Setup!$B$7,{"STD","Half-PPR","PPR"},0),AY16,AZ16,BA16)</f>
        <v>126.36</v>
      </c>
      <c r="BC16" s="14">
        <f>COUNTIFS('Draft Board'!$BD$2:$BD$87,"&gt;="&amp;BD16,'Draft Board'!$BH$2:$BH$87,1)</f>
        <v>10</v>
      </c>
      <c r="BD16" s="14">
        <f>MAX(0,BB16-'Live Calc'!$H$22)^'Live Calc'!$E$22</f>
        <v>174.50164971919494</v>
      </c>
      <c r="BE16" s="14">
        <v>16</v>
      </c>
      <c r="BF16" s="14">
        <f>IF(BE16&lt;&gt;_xlfn.MINIFS('Draft Board'!$BE$2:$BE$87,'Draft Board'!$BD$2:$BD$87,"="&amp;BD16),0,IF(_xlfn.MINIFS('Draft Board'!$BD$2:$BD$87,'Draft Board'!$BD$2:$BD$87,"&gt;"&amp;BD16)=0,1,IF((_xlfn.MINIFS('Draft Board'!$BD$2:$BD$87,'Draft Board'!$BD$2:$BD$87,"&gt;"&amp;BD16)-BD16)/_xlfn.MINIFS('Draft Board'!$BD$2:$BD$87,'Draft Board'!$BD$2:$BD$87,"&gt;"&amp;BD16)&gt;0.08,1,0)))</f>
        <v>1</v>
      </c>
      <c r="BG16" s="14">
        <f>_xlfn.MINIFS('Draft Board'!$BD$2:$BD$87,'Draft Board'!$BD$2:$BD$87,"&gt;="&amp;BD16,'Draft Board'!$BF$2:$BF$87,1)</f>
        <v>174.50164971919494</v>
      </c>
      <c r="BH16" s="14">
        <f>IF(BE16&lt;&gt;_xlfn.MINIFS('Draft Board'!$BE$2:$BE$87,'Draft Board'!$BD$2:$BD$87,"="&amp;BD16),0,IF(OR(BF16=1,IFERROR(FLOOR((BG16-BD16)/BG16/0.25,1),0)&lt;&gt;IFERROR(FLOOR((BG16-_xlfn.MINIFS('Draft Board'!$BD$2:$BD$87,'Draft Board'!$BD$2:$BD$87,"&gt;"&amp;BD16))/BG16/0.25,1),0)),1,0))</f>
        <v>1</v>
      </c>
      <c r="BI16" s="14">
        <f>ROUND(1+BD16*'Live Calc'!$D$29,0)</f>
        <v>5</v>
      </c>
      <c r="BJ16" s="14"/>
      <c r="BK16" s="14">
        <f>IF(BJ16&lt;&gt;"",BJ16,ROUND(BI16*INDEX('Live Calc'!$G$454:$G$539,MATCH(BC16,'Live Calc'!$A$454:$A$539,0))*'Live Calc'!$J$543,0))</f>
        <v>5</v>
      </c>
    </row>
    <row r="17" spans="1:63" x14ac:dyDescent="0.25">
      <c r="A17" s="11" t="s">
        <v>147</v>
      </c>
      <c r="B17" s="11" t="s">
        <v>63</v>
      </c>
      <c r="C17" s="11">
        <v>276.02</v>
      </c>
      <c r="D17" s="11">
        <v>276.02</v>
      </c>
      <c r="E17" s="11">
        <v>276.02</v>
      </c>
      <c r="F17" s="11">
        <f>CHOOSE(MATCH(Setup!$B$7,{"STD","Half-PPR","PPR"},0),C17,D17,E17)</f>
        <v>276.02</v>
      </c>
      <c r="G17" s="11">
        <f>COUNTIFS('Draft Board'!$H$2:$H$61,"&gt;="&amp;H17,'Draft Board'!$L$2:$L$61,1)</f>
        <v>7</v>
      </c>
      <c r="H17" s="11">
        <f>MAX(0,F17-'Live Calc'!$H$19)^'Live Calc'!$E$19</f>
        <v>23.209187284613737</v>
      </c>
      <c r="I17" s="11">
        <v>17</v>
      </c>
      <c r="J17" s="11">
        <f>IF(I17&lt;&gt;_xlfn.MINIFS('Draft Board'!$I$2:$I$61,'Draft Board'!$H$2:$H$61,"="&amp;H17),0,IF(_xlfn.MINIFS('Draft Board'!$H$2:$H$61,'Draft Board'!$H$2:$H$61,"&gt;"&amp;H17)=0,1,IF((_xlfn.MINIFS('Draft Board'!$H$2:$H$61,'Draft Board'!$H$2:$H$61,"&gt;"&amp;H17)-H17)/_xlfn.MINIFS('Draft Board'!$H$2:$H$61,'Draft Board'!$H$2:$H$61,"&gt;"&amp;H17)&gt;0.08,1,0)))</f>
        <v>0</v>
      </c>
      <c r="K17" s="11">
        <f>_xlfn.MINIFS('Draft Board'!$H$2:$H$61,'Draft Board'!$H$2:$H$61,"&gt;="&amp;H17,'Draft Board'!$J$2:$J$61,1)</f>
        <v>23.233509906845121</v>
      </c>
      <c r="L17" s="11">
        <f>IF(I17&lt;&gt;_xlfn.MINIFS('Draft Board'!$I$2:$I$61,'Draft Board'!$H$2:$H$61,"="&amp;H17),0,IF(OR(J17=1,IFERROR(FLOOR((K17-H17)/K17/0.25,1),0)&lt;&gt;IFERROR(FLOOR((K17-_xlfn.MINIFS('Draft Board'!$H$2:$H$61,'Draft Board'!$H$2:$H$61,"&gt;"&amp;H17))/K17/0.25,1),0)),1,0))</f>
        <v>0</v>
      </c>
      <c r="M17" s="11">
        <f>ROUND(1+H17*'Live Calc'!$D$26,0)</f>
        <v>4</v>
      </c>
      <c r="N17" s="11"/>
      <c r="O17" s="11">
        <f>IF(N17&lt;&gt;"",N17,ROUND(M17*INDEX('Live Calc'!$G$33:$G$92,MATCH(G17,'Live Calc'!$A$33:$A$92,0))*'Live Calc'!$J$543,0))</f>
        <v>4</v>
      </c>
      <c r="Q17" s="12" t="s">
        <v>148</v>
      </c>
      <c r="R17" s="12" t="s">
        <v>94</v>
      </c>
      <c r="S17" s="12">
        <v>194.74600000000001</v>
      </c>
      <c r="T17" s="12">
        <v>211.16800000000001</v>
      </c>
      <c r="U17" s="12">
        <v>227.41</v>
      </c>
      <c r="V17" s="12">
        <f>CHOOSE(MATCH(Setup!$B$7,{"STD","Half-PPR","PPR"},0),S17,T17,U17)</f>
        <v>211.16800000000001</v>
      </c>
      <c r="W17" s="12">
        <f>COUNTIFS('Draft Board'!$X$2:$X$162,"&gt;="&amp;X17,'Draft Board'!$AB$2:$AB$162,1)</f>
        <v>5</v>
      </c>
      <c r="X17" s="12">
        <f>MAX(0,V17-'Live Calc'!$H$20)^'Live Calc'!$E$20</f>
        <v>265.90217146693288</v>
      </c>
      <c r="Y17" s="12">
        <v>17</v>
      </c>
      <c r="Z17" s="12">
        <f>IF(Y17&lt;&gt;_xlfn.MINIFS('Draft Board'!$Y$2:$Y$162,'Draft Board'!$X$2:$X$162,"="&amp;X17),0,IF(_xlfn.MINIFS('Draft Board'!$X$2:$X$162,'Draft Board'!$X$2:$X$162,"&gt;"&amp;X17)=0,1,IF((_xlfn.MINIFS('Draft Board'!$X$2:$X$162,'Draft Board'!$X$2:$X$162,"&gt;"&amp;X17)-X17)/_xlfn.MINIFS('Draft Board'!$X$2:$X$162,'Draft Board'!$X$2:$X$162,"&gt;"&amp;X17)&gt;0.08,1,0)))</f>
        <v>0</v>
      </c>
      <c r="AA17" s="12">
        <f>_xlfn.MINIFS('Draft Board'!$X$2:$X$162,'Draft Board'!$X$2:$X$162,"&gt;="&amp;X17,'Draft Board'!$Z$2:$Z$162,1)</f>
        <v>282.50390965222084</v>
      </c>
      <c r="AB17" s="12">
        <f>IF(Y17&lt;&gt;_xlfn.MINIFS('Draft Board'!$Y$2:$Y$162,'Draft Board'!$X$2:$X$162,"="&amp;X17),0,IF(OR(Z17=1,IFERROR(FLOOR((AA17-X17)/AA17/0.25,1),0)&lt;&gt;IFERROR(FLOOR((AA17-_xlfn.MINIFS('Draft Board'!$X$2:$X$162,'Draft Board'!$X$2:$X$162,"&gt;"&amp;X17))/AA17/0.25,1),0)),1,0))</f>
        <v>0</v>
      </c>
      <c r="AC17" s="12">
        <f>ROUND(1+X17*'Live Calc'!$D$27,0)</f>
        <v>27</v>
      </c>
      <c r="AD17" s="12"/>
      <c r="AE17" s="12">
        <f>IF(AD17&lt;&gt;"",AD17,ROUND(AC17*INDEX('Live Calc'!$G$96:$G$256,MATCH(W17,'Live Calc'!$A$96:$A$256,0))*'Live Calc'!$J$543,0))</f>
        <v>27</v>
      </c>
      <c r="AG17" s="13" t="s">
        <v>149</v>
      </c>
      <c r="AH17" s="13" t="s">
        <v>73</v>
      </c>
      <c r="AI17" s="13">
        <v>151.68600000000001</v>
      </c>
      <c r="AJ17" s="13">
        <v>186.05</v>
      </c>
      <c r="AK17" s="13">
        <v>225.018</v>
      </c>
      <c r="AL17" s="13">
        <f>CHOOSE(MATCH(Setup!$B$7,{"STD","Half-PPR","PPR"},0),AI17,AJ17,AK17)</f>
        <v>186.05</v>
      </c>
      <c r="AM17" s="13">
        <f>COUNTIFS('Draft Board'!$AN$2:$AN$192,"&gt;="&amp;AN17,'Draft Board'!$AR$2:$AR$192,1)</f>
        <v>6</v>
      </c>
      <c r="AN17" s="13">
        <f>MAX(0,AL17-'Live Calc'!$H$21)^'Live Calc'!$E$21</f>
        <v>747.89973741069355</v>
      </c>
      <c r="AO17" s="13">
        <v>17</v>
      </c>
      <c r="AP17" s="13">
        <f>IF(AO17&lt;&gt;_xlfn.MINIFS('Draft Board'!$AO$2:$AO$192,'Draft Board'!$AN$2:$AN$192,"="&amp;AN17),0,IF(_xlfn.MINIFS('Draft Board'!$AN$2:$AN$192,'Draft Board'!$AN$2:$AN$192,"&gt;"&amp;AN17)=0,1,IF((_xlfn.MINIFS('Draft Board'!$AN$2:$AN$192,'Draft Board'!$AN$2:$AN$192,"&gt;"&amp;AN17)-AN17)/_xlfn.MINIFS('Draft Board'!$AN$2:$AN$192,'Draft Board'!$AN$2:$AN$192,"&gt;"&amp;AN17)&gt;0.08,1,0)))</f>
        <v>1</v>
      </c>
      <c r="AQ17" s="13">
        <f>_xlfn.MINIFS('Draft Board'!$AN$2:$AN$192,'Draft Board'!$AN$2:$AN$192,"&gt;="&amp;AN17,'Draft Board'!$AP$2:$AP$192,1)</f>
        <v>747.89973741069355</v>
      </c>
      <c r="AR17" s="13">
        <f>IF(AO17&lt;&gt;_xlfn.MINIFS('Draft Board'!$AO$2:$AO$192,'Draft Board'!$AN$2:$AN$192,"="&amp;AN17),0,IF(OR(AP17=1,IFERROR(FLOOR((AQ17-AN17)/AQ17/0.25,1),0)&lt;&gt;IFERROR(FLOOR((AQ17-_xlfn.MINIFS('Draft Board'!$AN$2:$AN$192,'Draft Board'!$AN$2:$AN$192,"&gt;"&amp;AN17))/AQ17/0.25,1),0)),1,0))</f>
        <v>1</v>
      </c>
      <c r="AS17" s="13">
        <f>ROUND(1+AN17*'Live Calc'!$D$28,0)</f>
        <v>21</v>
      </c>
      <c r="AT17" s="13"/>
      <c r="AU17" s="13">
        <f>IF(AT17&lt;&gt;"",AT17,ROUND(AS17*INDEX('Live Calc'!$G$260:$G$450,MATCH(AM17,'Live Calc'!$A$260:$A$450,0))*'Live Calc'!$J$543,0))</f>
        <v>21</v>
      </c>
      <c r="AW17" s="14" t="s">
        <v>150</v>
      </c>
      <c r="AX17" s="14" t="s">
        <v>131</v>
      </c>
      <c r="AY17" s="14">
        <v>89.55</v>
      </c>
      <c r="AZ17" s="14">
        <v>120.53</v>
      </c>
      <c r="BA17" s="14">
        <v>151.51</v>
      </c>
      <c r="BB17" s="14">
        <f>CHOOSE(MATCH(Setup!$B$7,{"STD","Half-PPR","PPR"},0),AY17,AZ17,BA17)</f>
        <v>120.53</v>
      </c>
      <c r="BC17" s="14">
        <f>COUNTIFS('Draft Board'!$BD$2:$BD$87,"&gt;="&amp;BD17,'Draft Board'!$BH$2:$BH$87,1)</f>
        <v>11</v>
      </c>
      <c r="BD17" s="14">
        <f>MAX(0,BB17-'Live Calc'!$H$22)^'Live Calc'!$E$22</f>
        <v>114.50730113516637</v>
      </c>
      <c r="BE17" s="14">
        <v>17</v>
      </c>
      <c r="BF17" s="14">
        <f>IF(BE17&lt;&gt;_xlfn.MINIFS('Draft Board'!$BE$2:$BE$87,'Draft Board'!$BD$2:$BD$87,"="&amp;BD17),0,IF(_xlfn.MINIFS('Draft Board'!$BD$2:$BD$87,'Draft Board'!$BD$2:$BD$87,"&gt;"&amp;BD17)=0,1,IF((_xlfn.MINIFS('Draft Board'!$BD$2:$BD$87,'Draft Board'!$BD$2:$BD$87,"&gt;"&amp;BD17)-BD17)/_xlfn.MINIFS('Draft Board'!$BD$2:$BD$87,'Draft Board'!$BD$2:$BD$87,"&gt;"&amp;BD17)&gt;0.08,1,0)))</f>
        <v>1</v>
      </c>
      <c r="BG17" s="14">
        <f>_xlfn.MINIFS('Draft Board'!$BD$2:$BD$87,'Draft Board'!$BD$2:$BD$87,"&gt;="&amp;BD17,'Draft Board'!$BF$2:$BF$87,1)</f>
        <v>114.50730113516637</v>
      </c>
      <c r="BH17" s="14">
        <f>IF(BE17&lt;&gt;_xlfn.MINIFS('Draft Board'!$BE$2:$BE$87,'Draft Board'!$BD$2:$BD$87,"="&amp;BD17),0,IF(OR(BF17=1,IFERROR(FLOOR((BG17-BD17)/BG17/0.25,1),0)&lt;&gt;IFERROR(FLOOR((BG17-_xlfn.MINIFS('Draft Board'!$BD$2:$BD$87,'Draft Board'!$BD$2:$BD$87,"&gt;"&amp;BD17))/BG17/0.25,1),0)),1,0))</f>
        <v>1</v>
      </c>
      <c r="BI17" s="14">
        <f>ROUND(1+BD17*'Live Calc'!$D$29,0)</f>
        <v>4</v>
      </c>
      <c r="BJ17" s="14"/>
      <c r="BK17" s="14">
        <f>IF(BJ17&lt;&gt;"",BJ17,ROUND(BI17*INDEX('Live Calc'!$G$454:$G$539,MATCH(BC17,'Live Calc'!$A$454:$A$539,0))*'Live Calc'!$J$543,0))</f>
        <v>4</v>
      </c>
    </row>
    <row r="18" spans="1:63" x14ac:dyDescent="0.25">
      <c r="A18" s="11" t="s">
        <v>151</v>
      </c>
      <c r="B18" s="11" t="s">
        <v>65</v>
      </c>
      <c r="C18" s="11">
        <v>274.38600000000002</v>
      </c>
      <c r="D18" s="11">
        <v>274.38600000000002</v>
      </c>
      <c r="E18" s="11">
        <v>274.38600000000002</v>
      </c>
      <c r="F18" s="11">
        <f>CHOOSE(MATCH(Setup!$B$7,{"STD","Half-PPR","PPR"},0),C18,D18,E18)</f>
        <v>274.38600000000002</v>
      </c>
      <c r="G18" s="11">
        <f>COUNTIFS('Draft Board'!$H$2:$H$61,"&gt;="&amp;H18,'Draft Board'!$L$2:$L$61,1)</f>
        <v>8</v>
      </c>
      <c r="H18" s="11">
        <f>MAX(0,F18-'Live Calc'!$H$19)^'Live Calc'!$E$19</f>
        <v>19.938243460234478</v>
      </c>
      <c r="I18" s="11">
        <v>18</v>
      </c>
      <c r="J18" s="11">
        <f>IF(I18&lt;&gt;_xlfn.MINIFS('Draft Board'!$I$2:$I$61,'Draft Board'!$H$2:$H$61,"="&amp;H18),0,IF(_xlfn.MINIFS('Draft Board'!$H$2:$H$61,'Draft Board'!$H$2:$H$61,"&gt;"&amp;H18)=0,1,IF((_xlfn.MINIFS('Draft Board'!$H$2:$H$61,'Draft Board'!$H$2:$H$61,"&gt;"&amp;H18)-H18)/_xlfn.MINIFS('Draft Board'!$H$2:$H$61,'Draft Board'!$H$2:$H$61,"&gt;"&amp;H18)&gt;0.08,1,0)))</f>
        <v>1</v>
      </c>
      <c r="K18" s="11">
        <f>_xlfn.MINIFS('Draft Board'!$H$2:$H$61,'Draft Board'!$H$2:$H$61,"&gt;="&amp;H18,'Draft Board'!$J$2:$J$61,1)</f>
        <v>19.938243460234478</v>
      </c>
      <c r="L18" s="11">
        <f>IF(I18&lt;&gt;_xlfn.MINIFS('Draft Board'!$I$2:$I$61,'Draft Board'!$H$2:$H$61,"="&amp;H18),0,IF(OR(J18=1,IFERROR(FLOOR((K18-H18)/K18/0.25,1),0)&lt;&gt;IFERROR(FLOOR((K18-_xlfn.MINIFS('Draft Board'!$H$2:$H$61,'Draft Board'!$H$2:$H$61,"&gt;"&amp;H18))/K18/0.25,1),0)),1,0))</f>
        <v>1</v>
      </c>
      <c r="M18" s="11">
        <f>ROUND(1+H18*'Live Calc'!$D$26,0)</f>
        <v>4</v>
      </c>
      <c r="N18" s="11"/>
      <c r="O18" s="11">
        <f>IF(N18&lt;&gt;"",N18,ROUND(M18*INDEX('Live Calc'!$G$33:$G$92,MATCH(G18,'Live Calc'!$A$33:$A$92,0))*'Live Calc'!$J$543,0))</f>
        <v>4</v>
      </c>
      <c r="Q18" s="12" t="s">
        <v>152</v>
      </c>
      <c r="R18" s="12" t="s">
        <v>153</v>
      </c>
      <c r="S18" s="12">
        <v>189.39</v>
      </c>
      <c r="T18" s="12">
        <v>211.096</v>
      </c>
      <c r="U18" s="12">
        <v>234.85</v>
      </c>
      <c r="V18" s="12">
        <f>CHOOSE(MATCH(Setup!$B$7,{"STD","Half-PPR","PPR"},0),S18,T18,U18)</f>
        <v>211.096</v>
      </c>
      <c r="W18" s="12">
        <f>COUNTIFS('Draft Board'!$X$2:$X$162,"&gt;="&amp;X18,'Draft Board'!$AB$2:$AB$162,1)</f>
        <v>5</v>
      </c>
      <c r="X18" s="12">
        <f>MAX(0,V18-'Live Calc'!$H$20)^'Live Calc'!$E$20</f>
        <v>265.68309071166357</v>
      </c>
      <c r="Y18" s="12">
        <v>18</v>
      </c>
      <c r="Z18" s="12">
        <f>IF(Y18&lt;&gt;_xlfn.MINIFS('Draft Board'!$Y$2:$Y$162,'Draft Board'!$X$2:$X$162,"="&amp;X18),0,IF(_xlfn.MINIFS('Draft Board'!$X$2:$X$162,'Draft Board'!$X$2:$X$162,"&gt;"&amp;X18)=0,1,IF((_xlfn.MINIFS('Draft Board'!$X$2:$X$162,'Draft Board'!$X$2:$X$162,"&gt;"&amp;X18)-X18)/_xlfn.MINIFS('Draft Board'!$X$2:$X$162,'Draft Board'!$X$2:$X$162,"&gt;"&amp;X18)&gt;0.08,1,0)))</f>
        <v>0</v>
      </c>
      <c r="AA18" s="12">
        <f>_xlfn.MINIFS('Draft Board'!$X$2:$X$162,'Draft Board'!$X$2:$X$162,"&gt;="&amp;X18,'Draft Board'!$Z$2:$Z$162,1)</f>
        <v>282.50390965222084</v>
      </c>
      <c r="AB18" s="12">
        <f>IF(Y18&lt;&gt;_xlfn.MINIFS('Draft Board'!$Y$2:$Y$162,'Draft Board'!$X$2:$X$162,"="&amp;X18),0,IF(OR(Z18=1,IFERROR(FLOOR((AA18-X18)/AA18/0.25,1),0)&lt;&gt;IFERROR(FLOOR((AA18-_xlfn.MINIFS('Draft Board'!$X$2:$X$162,'Draft Board'!$X$2:$X$162,"&gt;"&amp;X18))/AA18/0.25,1),0)),1,0))</f>
        <v>0</v>
      </c>
      <c r="AC18" s="12">
        <f>ROUND(1+X18*'Live Calc'!$D$27,0)</f>
        <v>27</v>
      </c>
      <c r="AD18" s="12"/>
      <c r="AE18" s="12">
        <f>IF(AD18&lt;&gt;"",AD18,ROUND(AC18*INDEX('Live Calc'!$G$96:$G$256,MATCH(W18,'Live Calc'!$A$96:$A$256,0))*'Live Calc'!$J$543,0))</f>
        <v>27</v>
      </c>
      <c r="AG18" s="13" t="s">
        <v>154</v>
      </c>
      <c r="AH18" s="13" t="s">
        <v>153</v>
      </c>
      <c r="AI18" s="13">
        <v>138.88999999999999</v>
      </c>
      <c r="AJ18" s="13">
        <v>184.928</v>
      </c>
      <c r="AK18" s="13">
        <v>227.654</v>
      </c>
      <c r="AL18" s="13">
        <f>CHOOSE(MATCH(Setup!$B$7,{"STD","Half-PPR","PPR"},0),AI18,AJ18,AK18)</f>
        <v>184.928</v>
      </c>
      <c r="AM18" s="13">
        <f>COUNTIFS('Draft Board'!$AN$2:$AN$192,"&gt;="&amp;AN18,'Draft Board'!$AR$2:$AR$192,1)</f>
        <v>6</v>
      </c>
      <c r="AN18" s="13">
        <f>MAX(0,AL18-'Live Calc'!$H$21)^'Live Calc'!$E$21</f>
        <v>732.67508094355776</v>
      </c>
      <c r="AO18" s="13">
        <v>18</v>
      </c>
      <c r="AP18" s="13">
        <f>IF(AO18&lt;&gt;_xlfn.MINIFS('Draft Board'!$AO$2:$AO$192,'Draft Board'!$AN$2:$AN$192,"="&amp;AN18),0,IF(_xlfn.MINIFS('Draft Board'!$AN$2:$AN$192,'Draft Board'!$AN$2:$AN$192,"&gt;"&amp;AN18)=0,1,IF((_xlfn.MINIFS('Draft Board'!$AN$2:$AN$192,'Draft Board'!$AN$2:$AN$192,"&gt;"&amp;AN18)-AN18)/_xlfn.MINIFS('Draft Board'!$AN$2:$AN$192,'Draft Board'!$AN$2:$AN$192,"&gt;"&amp;AN18)&gt;0.08,1,0)))</f>
        <v>0</v>
      </c>
      <c r="AQ18" s="13">
        <f>_xlfn.MINIFS('Draft Board'!$AN$2:$AN$192,'Draft Board'!$AN$2:$AN$192,"&gt;="&amp;AN18,'Draft Board'!$AP$2:$AP$192,1)</f>
        <v>747.89973741069355</v>
      </c>
      <c r="AR18" s="13">
        <f>IF(AO18&lt;&gt;_xlfn.MINIFS('Draft Board'!$AO$2:$AO$192,'Draft Board'!$AN$2:$AN$192,"="&amp;AN18),0,IF(OR(AP18=1,IFERROR(FLOOR((AQ18-AN18)/AQ18/0.25,1),0)&lt;&gt;IFERROR(FLOOR((AQ18-_xlfn.MINIFS('Draft Board'!$AN$2:$AN$192,'Draft Board'!$AN$2:$AN$192,"&gt;"&amp;AN18))/AQ18/0.25,1),0)),1,0))</f>
        <v>0</v>
      </c>
      <c r="AS18" s="13">
        <f>ROUND(1+AN18*'Live Calc'!$D$28,0)</f>
        <v>21</v>
      </c>
      <c r="AT18" s="13"/>
      <c r="AU18" s="13">
        <f>IF(AT18&lt;&gt;"",AT18,ROUND(AS18*INDEX('Live Calc'!$G$260:$G$450,MATCH(AM18,'Live Calc'!$A$260:$A$450,0))*'Live Calc'!$J$543,0))</f>
        <v>21</v>
      </c>
      <c r="AW18" s="14" t="s">
        <v>155</v>
      </c>
      <c r="AX18" s="14" t="s">
        <v>77</v>
      </c>
      <c r="AY18" s="14">
        <v>91.87</v>
      </c>
      <c r="AZ18" s="14">
        <v>118.462</v>
      </c>
      <c r="BA18" s="14">
        <v>146.08000000000001</v>
      </c>
      <c r="BB18" s="14">
        <f>CHOOSE(MATCH(Setup!$B$7,{"STD","Half-PPR","PPR"},0),AY18,AZ18,BA18)</f>
        <v>118.462</v>
      </c>
      <c r="BC18" s="14">
        <f>COUNTIFS('Draft Board'!$BD$2:$BD$87,"&gt;="&amp;BD18,'Draft Board'!$BH$2:$BH$87,1)</f>
        <v>12</v>
      </c>
      <c r="BD18" s="14">
        <f>MAX(0,BB18-'Live Calc'!$H$22)^'Live Calc'!$E$22</f>
        <v>95.567717552898046</v>
      </c>
      <c r="BE18" s="14">
        <v>18</v>
      </c>
      <c r="BF18" s="14">
        <f>IF(BE18&lt;&gt;_xlfn.MINIFS('Draft Board'!$BE$2:$BE$87,'Draft Board'!$BD$2:$BD$87,"="&amp;BD18),0,IF(_xlfn.MINIFS('Draft Board'!$BD$2:$BD$87,'Draft Board'!$BD$2:$BD$87,"&gt;"&amp;BD18)=0,1,IF((_xlfn.MINIFS('Draft Board'!$BD$2:$BD$87,'Draft Board'!$BD$2:$BD$87,"&gt;"&amp;BD18)-BD18)/_xlfn.MINIFS('Draft Board'!$BD$2:$BD$87,'Draft Board'!$BD$2:$BD$87,"&gt;"&amp;BD18)&gt;0.08,1,0)))</f>
        <v>1</v>
      </c>
      <c r="BG18" s="14">
        <f>_xlfn.MINIFS('Draft Board'!$BD$2:$BD$87,'Draft Board'!$BD$2:$BD$87,"&gt;="&amp;BD18,'Draft Board'!$BF$2:$BF$87,1)</f>
        <v>95.567717552898046</v>
      </c>
      <c r="BH18" s="14">
        <f>IF(BE18&lt;&gt;_xlfn.MINIFS('Draft Board'!$BE$2:$BE$87,'Draft Board'!$BD$2:$BD$87,"="&amp;BD18),0,IF(OR(BF18=1,IFERROR(FLOOR((BG18-BD18)/BG18/0.25,1),0)&lt;&gt;IFERROR(FLOOR((BG18-_xlfn.MINIFS('Draft Board'!$BD$2:$BD$87,'Draft Board'!$BD$2:$BD$87,"&gt;"&amp;BD18))/BG18/0.25,1),0)),1,0))</f>
        <v>1</v>
      </c>
      <c r="BI18" s="14">
        <f>ROUND(1+BD18*'Live Calc'!$D$29,0)</f>
        <v>3</v>
      </c>
      <c r="BJ18" s="14"/>
      <c r="BK18" s="14">
        <f>IF(BJ18&lt;&gt;"",BJ18,ROUND(BI18*INDEX('Live Calc'!$G$454:$G$539,MATCH(BC18,'Live Calc'!$A$454:$A$539,0))*'Live Calc'!$J$543,0))</f>
        <v>3</v>
      </c>
    </row>
    <row r="19" spans="1:63" x14ac:dyDescent="0.25">
      <c r="A19" s="11" t="s">
        <v>156</v>
      </c>
      <c r="B19" s="11" t="s">
        <v>131</v>
      </c>
      <c r="C19" s="11">
        <v>268.10000000000002</v>
      </c>
      <c r="D19" s="11">
        <v>268.10000000000002</v>
      </c>
      <c r="E19" s="11">
        <v>268.10000000000002</v>
      </c>
      <c r="F19" s="11">
        <f>CHOOSE(MATCH(Setup!$B$7,{"STD","Half-PPR","PPR"},0),C19,D19,E19)</f>
        <v>268.10000000000002</v>
      </c>
      <c r="G19" s="11">
        <f>COUNTIFS('Draft Board'!$H$2:$H$61,"&gt;="&amp;H19,'Draft Board'!$L$2:$L$61,1)</f>
        <v>9</v>
      </c>
      <c r="H19" s="11">
        <f>MAX(0,F19-'Live Calc'!$H$19)^'Live Calc'!$E$19</f>
        <v>8.2810735383935352</v>
      </c>
      <c r="I19" s="11">
        <v>19</v>
      </c>
      <c r="J19" s="11">
        <f>IF(I19&lt;&gt;_xlfn.MINIFS('Draft Board'!$I$2:$I$61,'Draft Board'!$H$2:$H$61,"="&amp;H19),0,IF(_xlfn.MINIFS('Draft Board'!$H$2:$H$61,'Draft Board'!$H$2:$H$61,"&gt;"&amp;H19)=0,1,IF((_xlfn.MINIFS('Draft Board'!$H$2:$H$61,'Draft Board'!$H$2:$H$61,"&gt;"&amp;H19)-H19)/_xlfn.MINIFS('Draft Board'!$H$2:$H$61,'Draft Board'!$H$2:$H$61,"&gt;"&amp;H19)&gt;0.08,1,0)))</f>
        <v>1</v>
      </c>
      <c r="K19" s="11">
        <f>_xlfn.MINIFS('Draft Board'!$H$2:$H$61,'Draft Board'!$H$2:$H$61,"&gt;="&amp;H19,'Draft Board'!$J$2:$J$61,1)</f>
        <v>8.2810735383935352</v>
      </c>
      <c r="L19" s="11">
        <f>IF(I19&lt;&gt;_xlfn.MINIFS('Draft Board'!$I$2:$I$61,'Draft Board'!$H$2:$H$61,"="&amp;H19),0,IF(OR(J19=1,IFERROR(FLOOR((K19-H19)/K19/0.25,1),0)&lt;&gt;IFERROR(FLOOR((K19-_xlfn.MINIFS('Draft Board'!$H$2:$H$61,'Draft Board'!$H$2:$H$61,"&gt;"&amp;H19))/K19/0.25,1),0)),1,0))</f>
        <v>1</v>
      </c>
      <c r="M19" s="11">
        <f>ROUND(1+H19*'Live Calc'!$D$26,0)</f>
        <v>2</v>
      </c>
      <c r="N19" s="11"/>
      <c r="O19" s="11">
        <f>IF(N19&lt;&gt;"",N19,ROUND(M19*INDEX('Live Calc'!$G$33:$G$92,MATCH(G19,'Live Calc'!$A$33:$A$92,0))*'Live Calc'!$J$543,0))</f>
        <v>2</v>
      </c>
      <c r="Q19" s="12" t="s">
        <v>157</v>
      </c>
      <c r="R19" s="12" t="s">
        <v>131</v>
      </c>
      <c r="S19" s="12">
        <v>181.7</v>
      </c>
      <c r="T19" s="12">
        <v>201.99</v>
      </c>
      <c r="U19" s="12">
        <v>222.43199999999999</v>
      </c>
      <c r="V19" s="12">
        <f>CHOOSE(MATCH(Setup!$B$7,{"STD","Half-PPR","PPR"},0),S19,T19,U19)</f>
        <v>201.99</v>
      </c>
      <c r="W19" s="12">
        <f>COUNTIFS('Draft Board'!$X$2:$X$162,"&gt;="&amp;X19,'Draft Board'!$AB$2:$AB$162,1)</f>
        <v>6</v>
      </c>
      <c r="X19" s="12">
        <f>MAX(0,V19-'Live Calc'!$H$20)^'Live Calc'!$E$20</f>
        <v>238.2239382355742</v>
      </c>
      <c r="Y19" s="12">
        <v>19</v>
      </c>
      <c r="Z19" s="12">
        <f>IF(Y19&lt;&gt;_xlfn.MINIFS('Draft Board'!$Y$2:$Y$162,'Draft Board'!$X$2:$X$162,"="&amp;X19),0,IF(_xlfn.MINIFS('Draft Board'!$X$2:$X$162,'Draft Board'!$X$2:$X$162,"&gt;"&amp;X19)=0,1,IF((_xlfn.MINIFS('Draft Board'!$X$2:$X$162,'Draft Board'!$X$2:$X$162,"&gt;"&amp;X19)-X19)/_xlfn.MINIFS('Draft Board'!$X$2:$X$162,'Draft Board'!$X$2:$X$162,"&gt;"&amp;X19)&gt;0.08,1,0)))</f>
        <v>1</v>
      </c>
      <c r="AA19" s="12">
        <f>_xlfn.MINIFS('Draft Board'!$X$2:$X$162,'Draft Board'!$X$2:$X$162,"&gt;="&amp;X19,'Draft Board'!$Z$2:$Z$162,1)</f>
        <v>238.2239382355742</v>
      </c>
      <c r="AB19" s="12">
        <f>IF(Y19&lt;&gt;_xlfn.MINIFS('Draft Board'!$Y$2:$Y$162,'Draft Board'!$X$2:$X$162,"="&amp;X19),0,IF(OR(Z19=1,IFERROR(FLOOR((AA19-X19)/AA19/0.25,1),0)&lt;&gt;IFERROR(FLOOR((AA19-_xlfn.MINIFS('Draft Board'!$X$2:$X$162,'Draft Board'!$X$2:$X$162,"&gt;"&amp;X19))/AA19/0.25,1),0)),1,0))</f>
        <v>1</v>
      </c>
      <c r="AC19" s="12">
        <f>ROUND(1+X19*'Live Calc'!$D$27,0)</f>
        <v>25</v>
      </c>
      <c r="AD19" s="12"/>
      <c r="AE19" s="12">
        <f>IF(AD19&lt;&gt;"",AD19,ROUND(AC19*INDEX('Live Calc'!$G$96:$G$256,MATCH(W19,'Live Calc'!$A$96:$A$256,0))*'Live Calc'!$J$543,0))</f>
        <v>25</v>
      </c>
      <c r="AG19" s="13" t="s">
        <v>158</v>
      </c>
      <c r="AH19" s="13" t="s">
        <v>159</v>
      </c>
      <c r="AI19" s="13">
        <v>146.90199999999999</v>
      </c>
      <c r="AJ19" s="13">
        <v>182.68</v>
      </c>
      <c r="AK19" s="13">
        <v>218.62</v>
      </c>
      <c r="AL19" s="13">
        <f>CHOOSE(MATCH(Setup!$B$7,{"STD","Half-PPR","PPR"},0),AI19,AJ19,AK19)</f>
        <v>182.68</v>
      </c>
      <c r="AM19" s="13">
        <f>COUNTIFS('Draft Board'!$AN$2:$AN$192,"&gt;="&amp;AN19,'Draft Board'!$AR$2:$AR$192,1)</f>
        <v>6</v>
      </c>
      <c r="AN19" s="13">
        <f>MAX(0,AL19-'Live Calc'!$H$21)^'Live Calc'!$E$21</f>
        <v>702.48735826762334</v>
      </c>
      <c r="AO19" s="13">
        <v>19</v>
      </c>
      <c r="AP19" s="13">
        <f>IF(AO19&lt;&gt;_xlfn.MINIFS('Draft Board'!$AO$2:$AO$192,'Draft Board'!$AN$2:$AN$192,"="&amp;AN19),0,IF(_xlfn.MINIFS('Draft Board'!$AN$2:$AN$192,'Draft Board'!$AN$2:$AN$192,"&gt;"&amp;AN19)=0,1,IF((_xlfn.MINIFS('Draft Board'!$AN$2:$AN$192,'Draft Board'!$AN$2:$AN$192,"&gt;"&amp;AN19)-AN19)/_xlfn.MINIFS('Draft Board'!$AN$2:$AN$192,'Draft Board'!$AN$2:$AN$192,"&gt;"&amp;AN19)&gt;0.08,1,0)))</f>
        <v>0</v>
      </c>
      <c r="AQ19" s="13">
        <f>_xlfn.MINIFS('Draft Board'!$AN$2:$AN$192,'Draft Board'!$AN$2:$AN$192,"&gt;="&amp;AN19,'Draft Board'!$AP$2:$AP$192,1)</f>
        <v>747.89973741069355</v>
      </c>
      <c r="AR19" s="13">
        <f>IF(AO19&lt;&gt;_xlfn.MINIFS('Draft Board'!$AO$2:$AO$192,'Draft Board'!$AN$2:$AN$192,"="&amp;AN19),0,IF(OR(AP19=1,IFERROR(FLOOR((AQ19-AN19)/AQ19/0.25,1),0)&lt;&gt;IFERROR(FLOOR((AQ19-_xlfn.MINIFS('Draft Board'!$AN$2:$AN$192,'Draft Board'!$AN$2:$AN$192,"&gt;"&amp;AN19))/AQ19/0.25,1),0)),1,0))</f>
        <v>0</v>
      </c>
      <c r="AS19" s="13">
        <f>ROUND(1+AN19*'Live Calc'!$D$28,0)</f>
        <v>20</v>
      </c>
      <c r="AT19" s="13"/>
      <c r="AU19" s="13">
        <f>IF(AT19&lt;&gt;"",AT19,ROUND(AS19*INDEX('Live Calc'!$G$260:$G$450,MATCH(AM19,'Live Calc'!$A$260:$A$450,0))*'Live Calc'!$J$543,0))</f>
        <v>20</v>
      </c>
      <c r="AW19" s="14" t="s">
        <v>160</v>
      </c>
      <c r="AX19" s="14" t="s">
        <v>108</v>
      </c>
      <c r="AY19" s="14">
        <v>88.24</v>
      </c>
      <c r="AZ19" s="14">
        <v>118.13800000000001</v>
      </c>
      <c r="BA19" s="14">
        <v>146.74</v>
      </c>
      <c r="BB19" s="14">
        <f>CHOOSE(MATCH(Setup!$B$7,{"STD","Half-PPR","PPR"},0),AY19,AZ19,BA19)</f>
        <v>118.13800000000001</v>
      </c>
      <c r="BC19" s="14">
        <f>COUNTIFS('Draft Board'!$BD$2:$BD$87,"&gt;="&amp;BD19,'Draft Board'!$BH$2:$BH$87,1)</f>
        <v>12</v>
      </c>
      <c r="BD19" s="14">
        <f>MAX(0,BB19-'Live Calc'!$H$22)^'Live Calc'!$E$22</f>
        <v>92.717837578938116</v>
      </c>
      <c r="BE19" s="14">
        <v>19</v>
      </c>
      <c r="BF19" s="14">
        <f>IF(BE19&lt;&gt;_xlfn.MINIFS('Draft Board'!$BE$2:$BE$87,'Draft Board'!$BD$2:$BD$87,"="&amp;BD19),0,IF(_xlfn.MINIFS('Draft Board'!$BD$2:$BD$87,'Draft Board'!$BD$2:$BD$87,"&gt;"&amp;BD19)=0,1,IF((_xlfn.MINIFS('Draft Board'!$BD$2:$BD$87,'Draft Board'!$BD$2:$BD$87,"&gt;"&amp;BD19)-BD19)/_xlfn.MINIFS('Draft Board'!$BD$2:$BD$87,'Draft Board'!$BD$2:$BD$87,"&gt;"&amp;BD19)&gt;0.08,1,0)))</f>
        <v>0</v>
      </c>
      <c r="BG19" s="14">
        <f>_xlfn.MINIFS('Draft Board'!$BD$2:$BD$87,'Draft Board'!$BD$2:$BD$87,"&gt;="&amp;BD19,'Draft Board'!$BF$2:$BF$87,1)</f>
        <v>95.567717552898046</v>
      </c>
      <c r="BH19" s="14">
        <f>IF(BE19&lt;&gt;_xlfn.MINIFS('Draft Board'!$BE$2:$BE$87,'Draft Board'!$BD$2:$BD$87,"="&amp;BD19),0,IF(OR(BF19=1,IFERROR(FLOOR((BG19-BD19)/BG19/0.25,1),0)&lt;&gt;IFERROR(FLOOR((BG19-_xlfn.MINIFS('Draft Board'!$BD$2:$BD$87,'Draft Board'!$BD$2:$BD$87,"&gt;"&amp;BD19))/BG19/0.25,1),0)),1,0))</f>
        <v>0</v>
      </c>
      <c r="BI19" s="14">
        <f>ROUND(1+BD19*'Live Calc'!$D$29,0)</f>
        <v>3</v>
      </c>
      <c r="BJ19" s="14"/>
      <c r="BK19" s="14">
        <f>IF(BJ19&lt;&gt;"",BJ19,ROUND(BI19*INDEX('Live Calc'!$G$454:$G$539,MATCH(BC19,'Live Calc'!$A$454:$A$539,0))*'Live Calc'!$J$543,0))</f>
        <v>3</v>
      </c>
    </row>
    <row r="20" spans="1:63" x14ac:dyDescent="0.25">
      <c r="A20" s="11" t="s">
        <v>161</v>
      </c>
      <c r="B20" s="11" t="s">
        <v>159</v>
      </c>
      <c r="C20" s="11">
        <v>262.48200000000003</v>
      </c>
      <c r="D20" s="11">
        <v>262.48200000000003</v>
      </c>
      <c r="E20" s="11">
        <v>262.48200000000003</v>
      </c>
      <c r="F20" s="11">
        <f>CHOOSE(MATCH(Setup!$B$7,{"STD","Half-PPR","PPR"},0),C20,D20,E20)</f>
        <v>262.48200000000003</v>
      </c>
      <c r="G20" s="11">
        <f>COUNTIFS('Draft Board'!$H$2:$H$61,"&gt;="&amp;H20,'Draft Board'!$L$2:$L$61,1)</f>
        <v>10</v>
      </c>
      <c r="H20" s="11">
        <f>MAX(0,F20-'Live Calc'!$H$19)^'Live Calc'!$E$19</f>
        <v>0.14844179622753598</v>
      </c>
      <c r="I20" s="11">
        <v>20</v>
      </c>
      <c r="J20" s="11">
        <f>IF(I20&lt;&gt;_xlfn.MINIFS('Draft Board'!$I$2:$I$61,'Draft Board'!$H$2:$H$61,"="&amp;H20),0,IF(_xlfn.MINIFS('Draft Board'!$H$2:$H$61,'Draft Board'!$H$2:$H$61,"&gt;"&amp;H20)=0,1,IF((_xlfn.MINIFS('Draft Board'!$H$2:$H$61,'Draft Board'!$H$2:$H$61,"&gt;"&amp;H20)-H20)/_xlfn.MINIFS('Draft Board'!$H$2:$H$61,'Draft Board'!$H$2:$H$61,"&gt;"&amp;H20)&gt;0.08,1,0)))</f>
        <v>1</v>
      </c>
      <c r="K20" s="11">
        <f>_xlfn.MINIFS('Draft Board'!$H$2:$H$61,'Draft Board'!$H$2:$H$61,"&gt;="&amp;H20,'Draft Board'!$J$2:$J$61,1)</f>
        <v>0.14844179622753598</v>
      </c>
      <c r="L20" s="11">
        <f>IF(I20&lt;&gt;_xlfn.MINIFS('Draft Board'!$I$2:$I$61,'Draft Board'!$H$2:$H$61,"="&amp;H20),0,IF(OR(J20=1,IFERROR(FLOOR((K20-H20)/K20/0.25,1),0)&lt;&gt;IFERROR(FLOOR((K20-_xlfn.MINIFS('Draft Board'!$H$2:$H$61,'Draft Board'!$H$2:$H$61,"&gt;"&amp;H20))/K20/0.25,1),0)),1,0))</f>
        <v>1</v>
      </c>
      <c r="M20" s="11">
        <f>ROUND(1+H20*'Live Calc'!$D$26,0)</f>
        <v>1</v>
      </c>
      <c r="N20" s="11"/>
      <c r="O20" s="11">
        <f>IF(N20&lt;&gt;"",N20,ROUND(M20*INDEX('Live Calc'!$G$33:$G$92,MATCH(G20,'Live Calc'!$A$33:$A$92,0))*'Live Calc'!$J$543,0))</f>
        <v>1</v>
      </c>
      <c r="Q20" s="12" t="s">
        <v>162</v>
      </c>
      <c r="R20" s="12" t="s">
        <v>134</v>
      </c>
      <c r="S20" s="12">
        <v>179.02600000000001</v>
      </c>
      <c r="T20" s="12">
        <v>201.65</v>
      </c>
      <c r="U20" s="12">
        <v>222.50800000000001</v>
      </c>
      <c r="V20" s="12">
        <f>CHOOSE(MATCH(Setup!$B$7,{"STD","Half-PPR","PPR"},0),S20,T20,U20)</f>
        <v>201.65</v>
      </c>
      <c r="W20" s="12">
        <f>COUNTIFS('Draft Board'!$X$2:$X$162,"&gt;="&amp;X20,'Draft Board'!$AB$2:$AB$162,1)</f>
        <v>6</v>
      </c>
      <c r="X20" s="12">
        <f>MAX(0,V20-'Live Calc'!$H$20)^'Live Calc'!$E$20</f>
        <v>237.20846169364765</v>
      </c>
      <c r="Y20" s="12">
        <v>20</v>
      </c>
      <c r="Z20" s="12">
        <f>IF(Y20&lt;&gt;_xlfn.MINIFS('Draft Board'!$Y$2:$Y$162,'Draft Board'!$X$2:$X$162,"="&amp;X20),0,IF(_xlfn.MINIFS('Draft Board'!$X$2:$X$162,'Draft Board'!$X$2:$X$162,"&gt;"&amp;X20)=0,1,IF((_xlfn.MINIFS('Draft Board'!$X$2:$X$162,'Draft Board'!$X$2:$X$162,"&gt;"&amp;X20)-X20)/_xlfn.MINIFS('Draft Board'!$X$2:$X$162,'Draft Board'!$X$2:$X$162,"&gt;"&amp;X20)&gt;0.08,1,0)))</f>
        <v>0</v>
      </c>
      <c r="AA20" s="12">
        <f>_xlfn.MINIFS('Draft Board'!$X$2:$X$162,'Draft Board'!$X$2:$X$162,"&gt;="&amp;X20,'Draft Board'!$Z$2:$Z$162,1)</f>
        <v>238.2239382355742</v>
      </c>
      <c r="AB20" s="12">
        <f>IF(Y20&lt;&gt;_xlfn.MINIFS('Draft Board'!$Y$2:$Y$162,'Draft Board'!$X$2:$X$162,"="&amp;X20),0,IF(OR(Z20=1,IFERROR(FLOOR((AA20-X20)/AA20/0.25,1),0)&lt;&gt;IFERROR(FLOOR((AA20-_xlfn.MINIFS('Draft Board'!$X$2:$X$162,'Draft Board'!$X$2:$X$162,"&gt;"&amp;X20))/AA20/0.25,1),0)),1,0))</f>
        <v>0</v>
      </c>
      <c r="AC20" s="12">
        <f>ROUND(1+X20*'Live Calc'!$D$27,0)</f>
        <v>24</v>
      </c>
      <c r="AD20" s="12"/>
      <c r="AE20" s="12">
        <f>IF(AD20&lt;&gt;"",AD20,ROUND(AC20*INDEX('Live Calc'!$G$96:$G$256,MATCH(W20,'Live Calc'!$A$96:$A$256,0))*'Live Calc'!$J$543,0))</f>
        <v>24</v>
      </c>
      <c r="AG20" s="13" t="s">
        <v>163</v>
      </c>
      <c r="AH20" s="13" t="s">
        <v>164</v>
      </c>
      <c r="AI20" s="13">
        <v>144.952</v>
      </c>
      <c r="AJ20" s="13">
        <v>182.56</v>
      </c>
      <c r="AK20" s="13">
        <v>218.89400000000001</v>
      </c>
      <c r="AL20" s="13">
        <f>CHOOSE(MATCH(Setup!$B$7,{"STD","Half-PPR","PPR"},0),AI20,AJ20,AK20)</f>
        <v>182.56</v>
      </c>
      <c r="AM20" s="13">
        <f>COUNTIFS('Draft Board'!$AN$2:$AN$192,"&gt;="&amp;AN20,'Draft Board'!$AR$2:$AR$192,1)</f>
        <v>6</v>
      </c>
      <c r="AN20" s="13">
        <f>MAX(0,AL20-'Live Calc'!$H$21)^'Live Calc'!$E$21</f>
        <v>700.88784788100361</v>
      </c>
      <c r="AO20" s="13">
        <v>20</v>
      </c>
      <c r="AP20" s="13">
        <f>IF(AO20&lt;&gt;_xlfn.MINIFS('Draft Board'!$AO$2:$AO$192,'Draft Board'!$AN$2:$AN$192,"="&amp;AN20),0,IF(_xlfn.MINIFS('Draft Board'!$AN$2:$AN$192,'Draft Board'!$AN$2:$AN$192,"&gt;"&amp;AN20)=0,1,IF((_xlfn.MINIFS('Draft Board'!$AN$2:$AN$192,'Draft Board'!$AN$2:$AN$192,"&gt;"&amp;AN20)-AN20)/_xlfn.MINIFS('Draft Board'!$AN$2:$AN$192,'Draft Board'!$AN$2:$AN$192,"&gt;"&amp;AN20)&gt;0.08,1,0)))</f>
        <v>0</v>
      </c>
      <c r="AQ20" s="13">
        <f>_xlfn.MINIFS('Draft Board'!$AN$2:$AN$192,'Draft Board'!$AN$2:$AN$192,"&gt;="&amp;AN20,'Draft Board'!$AP$2:$AP$192,1)</f>
        <v>747.89973741069355</v>
      </c>
      <c r="AR20" s="13">
        <f>IF(AO20&lt;&gt;_xlfn.MINIFS('Draft Board'!$AO$2:$AO$192,'Draft Board'!$AN$2:$AN$192,"="&amp;AN20),0,IF(OR(AP20=1,IFERROR(FLOOR((AQ20-AN20)/AQ20/0.25,1),0)&lt;&gt;IFERROR(FLOOR((AQ20-_xlfn.MINIFS('Draft Board'!$AN$2:$AN$192,'Draft Board'!$AN$2:$AN$192,"&gt;"&amp;AN20))/AQ20/0.25,1),0)),1,0))</f>
        <v>0</v>
      </c>
      <c r="AS20" s="13">
        <f>ROUND(1+AN20*'Live Calc'!$D$28,0)</f>
        <v>20</v>
      </c>
      <c r="AT20" s="13"/>
      <c r="AU20" s="13">
        <f>IF(AT20&lt;&gt;"",AT20,ROUND(AS20*INDEX('Live Calc'!$G$260:$G$450,MATCH(AM20,'Live Calc'!$A$260:$A$450,0))*'Live Calc'!$J$543,0))</f>
        <v>20</v>
      </c>
      <c r="AW20" s="14" t="s">
        <v>165</v>
      </c>
      <c r="AX20" s="14" t="s">
        <v>111</v>
      </c>
      <c r="AY20" s="14">
        <v>80.936000000000007</v>
      </c>
      <c r="AZ20" s="14">
        <v>110.726</v>
      </c>
      <c r="BA20" s="14">
        <v>142.70599999999999</v>
      </c>
      <c r="BB20" s="14">
        <f>CHOOSE(MATCH(Setup!$B$7,{"STD","Half-PPR","PPR"},0),AY20,AZ20,BA20)</f>
        <v>110.726</v>
      </c>
      <c r="BC20" s="14">
        <f>COUNTIFS('Draft Board'!$BD$2:$BD$87,"&gt;="&amp;BD20,'Draft Board'!$BH$2:$BH$87,1)</f>
        <v>13</v>
      </c>
      <c r="BD20" s="14">
        <f>MAX(0,BB20-'Live Calc'!$H$22)^'Live Calc'!$E$22</f>
        <v>36.983277358277022</v>
      </c>
      <c r="BE20" s="14">
        <v>20</v>
      </c>
      <c r="BF20" s="14">
        <f>IF(BE20&lt;&gt;_xlfn.MINIFS('Draft Board'!$BE$2:$BE$87,'Draft Board'!$BD$2:$BD$87,"="&amp;BD20),0,IF(_xlfn.MINIFS('Draft Board'!$BD$2:$BD$87,'Draft Board'!$BD$2:$BD$87,"&gt;"&amp;BD20)=0,1,IF((_xlfn.MINIFS('Draft Board'!$BD$2:$BD$87,'Draft Board'!$BD$2:$BD$87,"&gt;"&amp;BD20)-BD20)/_xlfn.MINIFS('Draft Board'!$BD$2:$BD$87,'Draft Board'!$BD$2:$BD$87,"&gt;"&amp;BD20)&gt;0.08,1,0)))</f>
        <v>1</v>
      </c>
      <c r="BG20" s="14">
        <f>_xlfn.MINIFS('Draft Board'!$BD$2:$BD$87,'Draft Board'!$BD$2:$BD$87,"&gt;="&amp;BD20,'Draft Board'!$BF$2:$BF$87,1)</f>
        <v>36.983277358277022</v>
      </c>
      <c r="BH20" s="14">
        <f>IF(BE20&lt;&gt;_xlfn.MINIFS('Draft Board'!$BE$2:$BE$87,'Draft Board'!$BD$2:$BD$87,"="&amp;BD20),0,IF(OR(BF20=1,IFERROR(FLOOR((BG20-BD20)/BG20/0.25,1),0)&lt;&gt;IFERROR(FLOOR((BG20-_xlfn.MINIFS('Draft Board'!$BD$2:$BD$87,'Draft Board'!$BD$2:$BD$87,"&gt;"&amp;BD20))/BG20/0.25,1),0)),1,0))</f>
        <v>1</v>
      </c>
      <c r="BI20" s="14">
        <f>ROUND(1+BD20*'Live Calc'!$D$29,0)</f>
        <v>2</v>
      </c>
      <c r="BJ20" s="14"/>
      <c r="BK20" s="14">
        <f>IF(BJ20&lt;&gt;"",BJ20,ROUND(BI20*INDEX('Live Calc'!$G$454:$G$539,MATCH(BC20,'Live Calc'!$A$454:$A$539,0))*'Live Calc'!$J$543,0))</f>
        <v>2</v>
      </c>
    </row>
    <row r="21" spans="1:63" x14ac:dyDescent="0.25">
      <c r="A21" s="11" t="s">
        <v>166</v>
      </c>
      <c r="B21" s="11" t="s">
        <v>96</v>
      </c>
      <c r="C21" s="11">
        <v>262.27800000000002</v>
      </c>
      <c r="D21" s="11">
        <v>262.27800000000002</v>
      </c>
      <c r="E21" s="11">
        <v>262.27800000000002</v>
      </c>
      <c r="F21" s="11">
        <f>CHOOSE(MATCH(Setup!$B$7,{"STD","Half-PPR","PPR"},0),C21,D21,E21)</f>
        <v>262.27800000000002</v>
      </c>
      <c r="G21" s="11">
        <f>COUNTIFS('Draft Board'!$H$2:$H$61,"&gt;="&amp;H21,'Draft Board'!$L$2:$L$61,1)</f>
        <v>11</v>
      </c>
      <c r="H21" s="11">
        <f>MAX(0,F21-'Live Calc'!$H$19)^'Live Calc'!$E$19</f>
        <v>0</v>
      </c>
      <c r="I21" s="11">
        <v>21</v>
      </c>
      <c r="J21" s="11">
        <f>IF(I21&lt;&gt;_xlfn.MINIFS('Draft Board'!$I$2:$I$61,'Draft Board'!$H$2:$H$61,"="&amp;H21),0,IF(_xlfn.MINIFS('Draft Board'!$H$2:$H$61,'Draft Board'!$H$2:$H$61,"&gt;"&amp;H21)=0,1,IF((_xlfn.MINIFS('Draft Board'!$H$2:$H$61,'Draft Board'!$H$2:$H$61,"&gt;"&amp;H21)-H21)/_xlfn.MINIFS('Draft Board'!$H$2:$H$61,'Draft Board'!$H$2:$H$61,"&gt;"&amp;H21)&gt;0.08,1,0)))</f>
        <v>1</v>
      </c>
      <c r="K21" s="11">
        <f>_xlfn.MINIFS('Draft Board'!$H$2:$H$61,'Draft Board'!$H$2:$H$61,"&gt;="&amp;H21,'Draft Board'!$J$2:$J$61,1)</f>
        <v>0</v>
      </c>
      <c r="L21" s="11">
        <f>IF(I21&lt;&gt;_xlfn.MINIFS('Draft Board'!$I$2:$I$61,'Draft Board'!$H$2:$H$61,"="&amp;H21),0,IF(OR(J21=1,IFERROR(FLOOR((K21-H21)/K21/0.25,1),0)&lt;&gt;IFERROR(FLOOR((K21-_xlfn.MINIFS('Draft Board'!$H$2:$H$61,'Draft Board'!$H$2:$H$61,"&gt;"&amp;H21))/K21/0.25,1),0)),1,0))</f>
        <v>1</v>
      </c>
      <c r="M21" s="11">
        <f>ROUND(1+H21*'Live Calc'!$D$26,0)</f>
        <v>1</v>
      </c>
      <c r="N21" s="11"/>
      <c r="O21" s="11">
        <f>IF(N21&lt;&gt;"",N21,ROUND(M21*INDEX('Live Calc'!$G$33:$G$92,MATCH(G21,'Live Calc'!$A$33:$A$92,0))*'Live Calc'!$J$543,0))</f>
        <v>1</v>
      </c>
      <c r="Q21" s="12" t="s">
        <v>167</v>
      </c>
      <c r="R21" s="12" t="s">
        <v>83</v>
      </c>
      <c r="S21" s="12">
        <v>178.214</v>
      </c>
      <c r="T21" s="12">
        <v>193.06</v>
      </c>
      <c r="U21" s="12">
        <v>209.53</v>
      </c>
      <c r="V21" s="12">
        <f>CHOOSE(MATCH(Setup!$B$7,{"STD","Half-PPR","PPR"},0),S21,T21,U21)</f>
        <v>193.06</v>
      </c>
      <c r="W21" s="12">
        <f>COUNTIFS('Draft Board'!$X$2:$X$162,"&gt;="&amp;X21,'Draft Board'!$AB$2:$AB$162,1)</f>
        <v>7</v>
      </c>
      <c r="X21" s="12">
        <f>MAX(0,V21-'Live Calc'!$H$20)^'Live Calc'!$E$20</f>
        <v>211.79874390795152</v>
      </c>
      <c r="Y21" s="12">
        <v>21</v>
      </c>
      <c r="Z21" s="12">
        <f>IF(Y21&lt;&gt;_xlfn.MINIFS('Draft Board'!$Y$2:$Y$162,'Draft Board'!$X$2:$X$162,"="&amp;X21),0,IF(_xlfn.MINIFS('Draft Board'!$X$2:$X$162,'Draft Board'!$X$2:$X$162,"&gt;"&amp;X21)=0,1,IF((_xlfn.MINIFS('Draft Board'!$X$2:$X$162,'Draft Board'!$X$2:$X$162,"&gt;"&amp;X21)-X21)/_xlfn.MINIFS('Draft Board'!$X$2:$X$162,'Draft Board'!$X$2:$X$162,"&gt;"&amp;X21)&gt;0.08,1,0)))</f>
        <v>1</v>
      </c>
      <c r="AA21" s="12">
        <f>_xlfn.MINIFS('Draft Board'!$X$2:$X$162,'Draft Board'!$X$2:$X$162,"&gt;="&amp;X21,'Draft Board'!$Z$2:$Z$162,1)</f>
        <v>211.79874390795152</v>
      </c>
      <c r="AB21" s="12">
        <f>IF(Y21&lt;&gt;_xlfn.MINIFS('Draft Board'!$Y$2:$Y$162,'Draft Board'!$X$2:$X$162,"="&amp;X21),0,IF(OR(Z21=1,IFERROR(FLOOR((AA21-X21)/AA21/0.25,1),0)&lt;&gt;IFERROR(FLOOR((AA21-_xlfn.MINIFS('Draft Board'!$X$2:$X$162,'Draft Board'!$X$2:$X$162,"&gt;"&amp;X21))/AA21/0.25,1),0)),1,0))</f>
        <v>1</v>
      </c>
      <c r="AC21" s="12">
        <f>ROUND(1+X21*'Live Calc'!$D$27,0)</f>
        <v>22</v>
      </c>
      <c r="AD21" s="12"/>
      <c r="AE21" s="12">
        <f>IF(AD21&lt;&gt;"",AD21,ROUND(AC21*INDEX('Live Calc'!$G$96:$G$256,MATCH(W21,'Live Calc'!$A$96:$A$256,0))*'Live Calc'!$J$543,0))</f>
        <v>22</v>
      </c>
      <c r="AG21" s="13" t="s">
        <v>168</v>
      </c>
      <c r="AH21" s="13" t="s">
        <v>139</v>
      </c>
      <c r="AI21" s="13">
        <v>142.72800000000001</v>
      </c>
      <c r="AJ21" s="13">
        <v>181.006</v>
      </c>
      <c r="AK21" s="13">
        <v>219.05799999999999</v>
      </c>
      <c r="AL21" s="13">
        <f>CHOOSE(MATCH(Setup!$B$7,{"STD","Half-PPR","PPR"},0),AI21,AJ21,AK21)</f>
        <v>181.006</v>
      </c>
      <c r="AM21" s="13">
        <f>COUNTIFS('Draft Board'!$AN$2:$AN$192,"&gt;="&amp;AN21,'Draft Board'!$AR$2:$AR$192,1)</f>
        <v>6</v>
      </c>
      <c r="AN21" s="13">
        <f>MAX(0,AL21-'Live Calc'!$H$21)^'Live Calc'!$E$21</f>
        <v>680.28434523734211</v>
      </c>
      <c r="AO21" s="13">
        <v>21</v>
      </c>
      <c r="AP21" s="13">
        <f>IF(AO21&lt;&gt;_xlfn.MINIFS('Draft Board'!$AO$2:$AO$192,'Draft Board'!$AN$2:$AN$192,"="&amp;AN21),0,IF(_xlfn.MINIFS('Draft Board'!$AN$2:$AN$192,'Draft Board'!$AN$2:$AN$192,"&gt;"&amp;AN21)=0,1,IF((_xlfn.MINIFS('Draft Board'!$AN$2:$AN$192,'Draft Board'!$AN$2:$AN$192,"&gt;"&amp;AN21)-AN21)/_xlfn.MINIFS('Draft Board'!$AN$2:$AN$192,'Draft Board'!$AN$2:$AN$192,"&gt;"&amp;AN21)&gt;0.08,1,0)))</f>
        <v>0</v>
      </c>
      <c r="AQ21" s="13">
        <f>_xlfn.MINIFS('Draft Board'!$AN$2:$AN$192,'Draft Board'!$AN$2:$AN$192,"&gt;="&amp;AN21,'Draft Board'!$AP$2:$AP$192,1)</f>
        <v>747.89973741069355</v>
      </c>
      <c r="AR21" s="13">
        <f>IF(AO21&lt;&gt;_xlfn.MINIFS('Draft Board'!$AO$2:$AO$192,'Draft Board'!$AN$2:$AN$192,"="&amp;AN21),0,IF(OR(AP21=1,IFERROR(FLOOR((AQ21-AN21)/AQ21/0.25,1),0)&lt;&gt;IFERROR(FLOOR((AQ21-_xlfn.MINIFS('Draft Board'!$AN$2:$AN$192,'Draft Board'!$AN$2:$AN$192,"&gt;"&amp;AN21))/AQ21/0.25,1),0)),1,0))</f>
        <v>0</v>
      </c>
      <c r="AS21" s="13">
        <f>ROUND(1+AN21*'Live Calc'!$D$28,0)</f>
        <v>19</v>
      </c>
      <c r="AT21" s="13"/>
      <c r="AU21" s="13">
        <f>IF(AT21&lt;&gt;"",AT21,ROUND(AS21*INDEX('Live Calc'!$G$260:$G$450,MATCH(AM21,'Live Calc'!$A$260:$A$450,0))*'Live Calc'!$J$543,0))</f>
        <v>19</v>
      </c>
      <c r="AW21" s="14" t="s">
        <v>169</v>
      </c>
      <c r="AX21" s="14" t="s">
        <v>85</v>
      </c>
      <c r="AY21" s="14">
        <v>78.39</v>
      </c>
      <c r="AZ21" s="14">
        <v>108.72</v>
      </c>
      <c r="BA21" s="14">
        <v>137.80199999999999</v>
      </c>
      <c r="BB21" s="14">
        <f>CHOOSE(MATCH(Setup!$B$7,{"STD","Half-PPR","PPR"},0),AY21,AZ21,BA21)</f>
        <v>108.72</v>
      </c>
      <c r="BC21" s="14">
        <f>COUNTIFS('Draft Board'!$BD$2:$BD$87,"&gt;="&amp;BD21,'Draft Board'!$BH$2:$BH$87,1)</f>
        <v>14</v>
      </c>
      <c r="BD21" s="14">
        <f>MAX(0,BB21-'Live Calc'!$H$22)^'Live Calc'!$E$22</f>
        <v>25.360784725627319</v>
      </c>
      <c r="BE21" s="14">
        <v>21</v>
      </c>
      <c r="BF21" s="14">
        <f>IF(BE21&lt;&gt;_xlfn.MINIFS('Draft Board'!$BE$2:$BE$87,'Draft Board'!$BD$2:$BD$87,"="&amp;BD21),0,IF(_xlfn.MINIFS('Draft Board'!$BD$2:$BD$87,'Draft Board'!$BD$2:$BD$87,"&gt;"&amp;BD21)=0,1,IF((_xlfn.MINIFS('Draft Board'!$BD$2:$BD$87,'Draft Board'!$BD$2:$BD$87,"&gt;"&amp;BD21)-BD21)/_xlfn.MINIFS('Draft Board'!$BD$2:$BD$87,'Draft Board'!$BD$2:$BD$87,"&gt;"&amp;BD21)&gt;0.08,1,0)))</f>
        <v>1</v>
      </c>
      <c r="BG21" s="14">
        <f>_xlfn.MINIFS('Draft Board'!$BD$2:$BD$87,'Draft Board'!$BD$2:$BD$87,"&gt;="&amp;BD21,'Draft Board'!$BF$2:$BF$87,1)</f>
        <v>25.360784725627319</v>
      </c>
      <c r="BH21" s="14">
        <f>IF(BE21&lt;&gt;_xlfn.MINIFS('Draft Board'!$BE$2:$BE$87,'Draft Board'!$BD$2:$BD$87,"="&amp;BD21),0,IF(OR(BF21=1,IFERROR(FLOOR((BG21-BD21)/BG21/0.25,1),0)&lt;&gt;IFERROR(FLOOR((BG21-_xlfn.MINIFS('Draft Board'!$BD$2:$BD$87,'Draft Board'!$BD$2:$BD$87,"&gt;"&amp;BD21))/BG21/0.25,1),0)),1,0))</f>
        <v>1</v>
      </c>
      <c r="BI21" s="14">
        <f>ROUND(1+BD21*'Live Calc'!$D$29,0)</f>
        <v>2</v>
      </c>
      <c r="BJ21" s="14"/>
      <c r="BK21" s="14">
        <f>IF(BJ21&lt;&gt;"",BJ21,ROUND(BI21*INDEX('Live Calc'!$G$454:$G$539,MATCH(BC21,'Live Calc'!$A$454:$A$539,0))*'Live Calc'!$J$543,0))</f>
        <v>2</v>
      </c>
    </row>
    <row r="22" spans="1:63" x14ac:dyDescent="0.25">
      <c r="A22" s="11" t="s">
        <v>170</v>
      </c>
      <c r="B22" s="11" t="s">
        <v>125</v>
      </c>
      <c r="C22" s="11">
        <v>254.57</v>
      </c>
      <c r="D22" s="11">
        <v>255.31</v>
      </c>
      <c r="E22" s="11">
        <v>255.31</v>
      </c>
      <c r="F22" s="11">
        <f>CHOOSE(MATCH(Setup!$B$7,{"STD","Half-PPR","PPR"},0),C22,D22,E22)</f>
        <v>255.31</v>
      </c>
      <c r="G22" s="11">
        <f>COUNTIFS('Draft Board'!$H$2:$H$61,"&gt;="&amp;H22,'Draft Board'!$L$2:$L$61,1)</f>
        <v>11</v>
      </c>
      <c r="H22" s="11">
        <f>MAX(0,F22-'Live Calc'!$H$19)^'Live Calc'!$E$19</f>
        <v>0</v>
      </c>
      <c r="I22" s="11">
        <v>22</v>
      </c>
      <c r="J22" s="11">
        <f>IF(I22&lt;&gt;_xlfn.MINIFS('Draft Board'!$I$2:$I$61,'Draft Board'!$H$2:$H$61,"="&amp;H22),0,IF(_xlfn.MINIFS('Draft Board'!$H$2:$H$61,'Draft Board'!$H$2:$H$61,"&gt;"&amp;H22)=0,1,IF((_xlfn.MINIFS('Draft Board'!$H$2:$H$61,'Draft Board'!$H$2:$H$61,"&gt;"&amp;H22)-H22)/_xlfn.MINIFS('Draft Board'!$H$2:$H$61,'Draft Board'!$H$2:$H$61,"&gt;"&amp;H22)&gt;0.08,1,0)))</f>
        <v>0</v>
      </c>
      <c r="K22" s="11">
        <f>_xlfn.MINIFS('Draft Board'!$H$2:$H$61,'Draft Board'!$H$2:$H$61,"&gt;="&amp;H22,'Draft Board'!$J$2:$J$61,1)</f>
        <v>0</v>
      </c>
      <c r="L22" s="11">
        <f>IF(I22&lt;&gt;_xlfn.MINIFS('Draft Board'!$I$2:$I$61,'Draft Board'!$H$2:$H$61,"="&amp;H22),0,IF(OR(J22=1,IFERROR(FLOOR((K22-H22)/K22/0.25,1),0)&lt;&gt;IFERROR(FLOOR((K22-_xlfn.MINIFS('Draft Board'!$H$2:$H$61,'Draft Board'!$H$2:$H$61,"&gt;"&amp;H22))/K22/0.25,1),0)),1,0))</f>
        <v>0</v>
      </c>
      <c r="M22" s="11">
        <f>ROUND(1+H22*'Live Calc'!$D$26,0)</f>
        <v>1</v>
      </c>
      <c r="N22" s="11"/>
      <c r="O22" s="11">
        <f>IF(N22&lt;&gt;"",N22,ROUND(M22*INDEX('Live Calc'!$G$33:$G$92,MATCH(G22,'Live Calc'!$A$33:$A$92,0))*'Live Calc'!$J$543,0))</f>
        <v>1</v>
      </c>
      <c r="Q22" s="12" t="s">
        <v>171</v>
      </c>
      <c r="R22" s="12" t="s">
        <v>159</v>
      </c>
      <c r="S22" s="12">
        <v>170.05</v>
      </c>
      <c r="T22" s="12">
        <v>189.08</v>
      </c>
      <c r="U22" s="12">
        <v>208.11</v>
      </c>
      <c r="V22" s="12">
        <f>CHOOSE(MATCH(Setup!$B$7,{"STD","Half-PPR","PPR"},0),S22,T22,U22)</f>
        <v>189.08</v>
      </c>
      <c r="W22" s="12">
        <f>COUNTIFS('Draft Board'!$X$2:$X$162,"&gt;="&amp;X22,'Draft Board'!$AB$2:$AB$162,1)</f>
        <v>7</v>
      </c>
      <c r="X22" s="12">
        <f>MAX(0,V22-'Live Calc'!$H$20)^'Live Calc'!$E$20</f>
        <v>200.19238161316639</v>
      </c>
      <c r="Y22" s="12">
        <v>22</v>
      </c>
      <c r="Z22" s="12">
        <f>IF(Y22&lt;&gt;_xlfn.MINIFS('Draft Board'!$Y$2:$Y$162,'Draft Board'!$X$2:$X$162,"="&amp;X22),0,IF(_xlfn.MINIFS('Draft Board'!$X$2:$X$162,'Draft Board'!$X$2:$X$162,"&gt;"&amp;X22)=0,1,IF((_xlfn.MINIFS('Draft Board'!$X$2:$X$162,'Draft Board'!$X$2:$X$162,"&gt;"&amp;X22)-X22)/_xlfn.MINIFS('Draft Board'!$X$2:$X$162,'Draft Board'!$X$2:$X$162,"&gt;"&amp;X22)&gt;0.08,1,0)))</f>
        <v>0</v>
      </c>
      <c r="AA22" s="12">
        <f>_xlfn.MINIFS('Draft Board'!$X$2:$X$162,'Draft Board'!$X$2:$X$162,"&gt;="&amp;X22,'Draft Board'!$Z$2:$Z$162,1)</f>
        <v>211.79874390795152</v>
      </c>
      <c r="AB22" s="12">
        <f>IF(Y22&lt;&gt;_xlfn.MINIFS('Draft Board'!$Y$2:$Y$162,'Draft Board'!$X$2:$X$162,"="&amp;X22),0,IF(OR(Z22=1,IFERROR(FLOOR((AA22-X22)/AA22/0.25,1),0)&lt;&gt;IFERROR(FLOOR((AA22-_xlfn.MINIFS('Draft Board'!$X$2:$X$162,'Draft Board'!$X$2:$X$162,"&gt;"&amp;X22))/AA22/0.25,1),0)),1,0))</f>
        <v>0</v>
      </c>
      <c r="AC22" s="12">
        <f>ROUND(1+X22*'Live Calc'!$D$27,0)</f>
        <v>21</v>
      </c>
      <c r="AD22" s="12"/>
      <c r="AE22" s="12">
        <f>IF(AD22&lt;&gt;"",AD22,ROUND(AC22*INDEX('Live Calc'!$G$96:$G$256,MATCH(W22,'Live Calc'!$A$96:$A$256,0))*'Live Calc'!$J$543,0))</f>
        <v>21</v>
      </c>
      <c r="AG22" s="13" t="s">
        <v>172</v>
      </c>
      <c r="AH22" s="13" t="s">
        <v>118</v>
      </c>
      <c r="AI22" s="13">
        <v>139.13999999999999</v>
      </c>
      <c r="AJ22" s="13">
        <v>178.23400000000001</v>
      </c>
      <c r="AK22" s="13">
        <v>216.97</v>
      </c>
      <c r="AL22" s="13">
        <f>CHOOSE(MATCH(Setup!$B$7,{"STD","Half-PPR","PPR"},0),AI22,AJ22,AK22)</f>
        <v>178.23400000000001</v>
      </c>
      <c r="AM22" s="13">
        <f>COUNTIFS('Draft Board'!$AN$2:$AN$192,"&gt;="&amp;AN22,'Draft Board'!$AR$2:$AR$192,1)</f>
        <v>6</v>
      </c>
      <c r="AN22" s="13">
        <f>MAX(0,AL22-'Live Calc'!$H$21)^'Live Calc'!$E$21</f>
        <v>644.04483054252648</v>
      </c>
      <c r="AO22" s="13">
        <v>22</v>
      </c>
      <c r="AP22" s="13">
        <f>IF(AO22&lt;&gt;_xlfn.MINIFS('Draft Board'!$AO$2:$AO$192,'Draft Board'!$AN$2:$AN$192,"="&amp;AN22),0,IF(_xlfn.MINIFS('Draft Board'!$AN$2:$AN$192,'Draft Board'!$AN$2:$AN$192,"&gt;"&amp;AN22)=0,1,IF((_xlfn.MINIFS('Draft Board'!$AN$2:$AN$192,'Draft Board'!$AN$2:$AN$192,"&gt;"&amp;AN22)-AN22)/_xlfn.MINIFS('Draft Board'!$AN$2:$AN$192,'Draft Board'!$AN$2:$AN$192,"&gt;"&amp;AN22)&gt;0.08,1,0)))</f>
        <v>0</v>
      </c>
      <c r="AQ22" s="13">
        <f>_xlfn.MINIFS('Draft Board'!$AN$2:$AN$192,'Draft Board'!$AN$2:$AN$192,"&gt;="&amp;AN22,'Draft Board'!$AP$2:$AP$192,1)</f>
        <v>747.89973741069355</v>
      </c>
      <c r="AR22" s="13">
        <f>IF(AO22&lt;&gt;_xlfn.MINIFS('Draft Board'!$AO$2:$AO$192,'Draft Board'!$AN$2:$AN$192,"="&amp;AN22),0,IF(OR(AP22=1,IFERROR(FLOOR((AQ22-AN22)/AQ22/0.25,1),0)&lt;&gt;IFERROR(FLOOR((AQ22-_xlfn.MINIFS('Draft Board'!$AN$2:$AN$192,'Draft Board'!$AN$2:$AN$192,"&gt;"&amp;AN22))/AQ22/0.25,1),0)),1,0))</f>
        <v>0</v>
      </c>
      <c r="AS22" s="13">
        <f>ROUND(1+AN22*'Live Calc'!$D$28,0)</f>
        <v>18</v>
      </c>
      <c r="AT22" s="13"/>
      <c r="AU22" s="13">
        <f>IF(AT22&lt;&gt;"",AT22,ROUND(AS22*INDEX('Live Calc'!$G$260:$G$450,MATCH(AM22,'Live Calc'!$A$260:$A$450,0))*'Live Calc'!$J$543,0))</f>
        <v>18</v>
      </c>
      <c r="AW22" s="14" t="s">
        <v>173</v>
      </c>
      <c r="AX22" s="14" t="s">
        <v>105</v>
      </c>
      <c r="AY22" s="14">
        <v>76.430000000000007</v>
      </c>
      <c r="AZ22" s="14">
        <v>106.604</v>
      </c>
      <c r="BA22" s="14">
        <v>136.21199999999999</v>
      </c>
      <c r="BB22" s="14">
        <f>CHOOSE(MATCH(Setup!$B$7,{"STD","Half-PPR","PPR"},0),AY22,AZ22,BA22)</f>
        <v>106.604</v>
      </c>
      <c r="BC22" s="14">
        <f>COUNTIFS('Draft Board'!$BD$2:$BD$87,"&gt;="&amp;BD22,'Draft Board'!$BH$2:$BH$87,1)</f>
        <v>15</v>
      </c>
      <c r="BD22" s="14">
        <f>MAX(0,BB22-'Live Calc'!$H$22)^'Live Calc'!$E$22</f>
        <v>14.976962499824646</v>
      </c>
      <c r="BE22" s="14">
        <v>22</v>
      </c>
      <c r="BF22" s="14">
        <f>IF(BE22&lt;&gt;_xlfn.MINIFS('Draft Board'!$BE$2:$BE$87,'Draft Board'!$BD$2:$BD$87,"="&amp;BD22),0,IF(_xlfn.MINIFS('Draft Board'!$BD$2:$BD$87,'Draft Board'!$BD$2:$BD$87,"&gt;"&amp;BD22)=0,1,IF((_xlfn.MINIFS('Draft Board'!$BD$2:$BD$87,'Draft Board'!$BD$2:$BD$87,"&gt;"&amp;BD22)-BD22)/_xlfn.MINIFS('Draft Board'!$BD$2:$BD$87,'Draft Board'!$BD$2:$BD$87,"&gt;"&amp;BD22)&gt;0.08,1,0)))</f>
        <v>1</v>
      </c>
      <c r="BG22" s="14">
        <f>_xlfn.MINIFS('Draft Board'!$BD$2:$BD$87,'Draft Board'!$BD$2:$BD$87,"&gt;="&amp;BD22,'Draft Board'!$BF$2:$BF$87,1)</f>
        <v>14.976962499824646</v>
      </c>
      <c r="BH22" s="14">
        <f>IF(BE22&lt;&gt;_xlfn.MINIFS('Draft Board'!$BE$2:$BE$87,'Draft Board'!$BD$2:$BD$87,"="&amp;BD22),0,IF(OR(BF22=1,IFERROR(FLOOR((BG22-BD22)/BG22/0.25,1),0)&lt;&gt;IFERROR(FLOOR((BG22-_xlfn.MINIFS('Draft Board'!$BD$2:$BD$87,'Draft Board'!$BD$2:$BD$87,"&gt;"&amp;BD22))/BG22/0.25,1),0)),1,0))</f>
        <v>1</v>
      </c>
      <c r="BI22" s="14">
        <f>ROUND(1+BD22*'Live Calc'!$D$29,0)</f>
        <v>1</v>
      </c>
      <c r="BJ22" s="14"/>
      <c r="BK22" s="14">
        <f>IF(BJ22&lt;&gt;"",BJ22,ROUND(BI22*INDEX('Live Calc'!$G$454:$G$539,MATCH(BC22,'Live Calc'!$A$454:$A$539,0))*'Live Calc'!$J$543,0))</f>
        <v>1</v>
      </c>
    </row>
    <row r="23" spans="1:63" x14ac:dyDescent="0.25">
      <c r="A23" s="11" t="s">
        <v>174</v>
      </c>
      <c r="B23" s="11" t="s">
        <v>87</v>
      </c>
      <c r="C23" s="11">
        <v>254.2</v>
      </c>
      <c r="D23" s="11">
        <v>253.46</v>
      </c>
      <c r="E23" s="11">
        <v>253.46</v>
      </c>
      <c r="F23" s="11">
        <f>CHOOSE(MATCH(Setup!$B$7,{"STD","Half-PPR","PPR"},0),C23,D23,E23)</f>
        <v>253.46</v>
      </c>
      <c r="G23" s="11">
        <f>COUNTIFS('Draft Board'!$H$2:$H$61,"&gt;="&amp;H23,'Draft Board'!$L$2:$L$61,1)</f>
        <v>11</v>
      </c>
      <c r="H23" s="11">
        <f>MAX(0,F23-'Live Calc'!$H$19)^'Live Calc'!$E$19</f>
        <v>0</v>
      </c>
      <c r="I23" s="11">
        <v>23</v>
      </c>
      <c r="J23" s="11">
        <f>IF(I23&lt;&gt;_xlfn.MINIFS('Draft Board'!$I$2:$I$61,'Draft Board'!$H$2:$H$61,"="&amp;H23),0,IF(_xlfn.MINIFS('Draft Board'!$H$2:$H$61,'Draft Board'!$H$2:$H$61,"&gt;"&amp;H23)=0,1,IF((_xlfn.MINIFS('Draft Board'!$H$2:$H$61,'Draft Board'!$H$2:$H$61,"&gt;"&amp;H23)-H23)/_xlfn.MINIFS('Draft Board'!$H$2:$H$61,'Draft Board'!$H$2:$H$61,"&gt;"&amp;H23)&gt;0.08,1,0)))</f>
        <v>0</v>
      </c>
      <c r="K23" s="11">
        <f>_xlfn.MINIFS('Draft Board'!$H$2:$H$61,'Draft Board'!$H$2:$H$61,"&gt;="&amp;H23,'Draft Board'!$J$2:$J$61,1)</f>
        <v>0</v>
      </c>
      <c r="L23" s="11">
        <f>IF(I23&lt;&gt;_xlfn.MINIFS('Draft Board'!$I$2:$I$61,'Draft Board'!$H$2:$H$61,"="&amp;H23),0,IF(OR(J23=1,IFERROR(FLOOR((K23-H23)/K23/0.25,1),0)&lt;&gt;IFERROR(FLOOR((K23-_xlfn.MINIFS('Draft Board'!$H$2:$H$61,'Draft Board'!$H$2:$H$61,"&gt;"&amp;H23))/K23/0.25,1),0)),1,0))</f>
        <v>0</v>
      </c>
      <c r="M23" s="11">
        <f>ROUND(1+H23*'Live Calc'!$D$26,0)</f>
        <v>1</v>
      </c>
      <c r="N23" s="11"/>
      <c r="O23" s="11">
        <f>IF(N23&lt;&gt;"",N23,ROUND(M23*INDEX('Live Calc'!$G$33:$G$92,MATCH(G23,'Live Calc'!$A$33:$A$92,0))*'Live Calc'!$J$543,0))</f>
        <v>1</v>
      </c>
      <c r="Q23" s="12" t="s">
        <v>175</v>
      </c>
      <c r="R23" s="12" t="s">
        <v>101</v>
      </c>
      <c r="S23" s="12">
        <v>172.74</v>
      </c>
      <c r="T23" s="12">
        <v>187.6</v>
      </c>
      <c r="U23" s="12">
        <v>199.85</v>
      </c>
      <c r="V23" s="12">
        <f>CHOOSE(MATCH(Setup!$B$7,{"STD","Half-PPR","PPR"},0),S23,T23,U23)</f>
        <v>187.6</v>
      </c>
      <c r="W23" s="12">
        <f>COUNTIFS('Draft Board'!$X$2:$X$162,"&gt;="&amp;X23,'Draft Board'!$AB$2:$AB$162,1)</f>
        <v>7</v>
      </c>
      <c r="X23" s="12">
        <f>MAX(0,V23-'Live Calc'!$H$20)^'Live Calc'!$E$20</f>
        <v>195.90456145916687</v>
      </c>
      <c r="Y23" s="12">
        <v>23</v>
      </c>
      <c r="Z23" s="12">
        <f>IF(Y23&lt;&gt;_xlfn.MINIFS('Draft Board'!$Y$2:$Y$162,'Draft Board'!$X$2:$X$162,"="&amp;X23),0,IF(_xlfn.MINIFS('Draft Board'!$X$2:$X$162,'Draft Board'!$X$2:$X$162,"&gt;"&amp;X23)=0,1,IF((_xlfn.MINIFS('Draft Board'!$X$2:$X$162,'Draft Board'!$X$2:$X$162,"&gt;"&amp;X23)-X23)/_xlfn.MINIFS('Draft Board'!$X$2:$X$162,'Draft Board'!$X$2:$X$162,"&gt;"&amp;X23)&gt;0.08,1,0)))</f>
        <v>0</v>
      </c>
      <c r="AA23" s="12">
        <f>_xlfn.MINIFS('Draft Board'!$X$2:$X$162,'Draft Board'!$X$2:$X$162,"&gt;="&amp;X23,'Draft Board'!$Z$2:$Z$162,1)</f>
        <v>211.79874390795152</v>
      </c>
      <c r="AB23" s="12">
        <f>IF(Y23&lt;&gt;_xlfn.MINIFS('Draft Board'!$Y$2:$Y$162,'Draft Board'!$X$2:$X$162,"="&amp;X23),0,IF(OR(Z23=1,IFERROR(FLOOR((AA23-X23)/AA23/0.25,1),0)&lt;&gt;IFERROR(FLOOR((AA23-_xlfn.MINIFS('Draft Board'!$X$2:$X$162,'Draft Board'!$X$2:$X$162,"&gt;"&amp;X23))/AA23/0.25,1),0)),1,0))</f>
        <v>0</v>
      </c>
      <c r="AC23" s="12">
        <f>ROUND(1+X23*'Live Calc'!$D$27,0)</f>
        <v>20</v>
      </c>
      <c r="AD23" s="12"/>
      <c r="AE23" s="12">
        <f>IF(AD23&lt;&gt;"",AD23,ROUND(AC23*INDEX('Live Calc'!$G$96:$G$256,MATCH(W23,'Live Calc'!$A$96:$A$256,0))*'Live Calc'!$J$543,0))</f>
        <v>20</v>
      </c>
      <c r="AG23" s="13" t="s">
        <v>176</v>
      </c>
      <c r="AH23" s="13" t="s">
        <v>65</v>
      </c>
      <c r="AI23" s="13">
        <v>144.81</v>
      </c>
      <c r="AJ23" s="13">
        <v>177.148</v>
      </c>
      <c r="AK23" s="13">
        <v>210.77799999999999</v>
      </c>
      <c r="AL23" s="13">
        <f>CHOOSE(MATCH(Setup!$B$7,{"STD","Half-PPR","PPR"},0),AI23,AJ23,AK23)</f>
        <v>177.148</v>
      </c>
      <c r="AM23" s="13">
        <f>COUNTIFS('Draft Board'!$AN$2:$AN$192,"&gt;="&amp;AN23,'Draft Board'!$AR$2:$AR$192,1)</f>
        <v>6</v>
      </c>
      <c r="AN23" s="13">
        <f>MAX(0,AL23-'Live Calc'!$H$21)^'Live Calc'!$E$21</f>
        <v>630.0283605612434</v>
      </c>
      <c r="AO23" s="13">
        <v>23</v>
      </c>
      <c r="AP23" s="13">
        <f>IF(AO23&lt;&gt;_xlfn.MINIFS('Draft Board'!$AO$2:$AO$192,'Draft Board'!$AN$2:$AN$192,"="&amp;AN23),0,IF(_xlfn.MINIFS('Draft Board'!$AN$2:$AN$192,'Draft Board'!$AN$2:$AN$192,"&gt;"&amp;AN23)=0,1,IF((_xlfn.MINIFS('Draft Board'!$AN$2:$AN$192,'Draft Board'!$AN$2:$AN$192,"&gt;"&amp;AN23)-AN23)/_xlfn.MINIFS('Draft Board'!$AN$2:$AN$192,'Draft Board'!$AN$2:$AN$192,"&gt;"&amp;AN23)&gt;0.08,1,0)))</f>
        <v>0</v>
      </c>
      <c r="AQ23" s="13">
        <f>_xlfn.MINIFS('Draft Board'!$AN$2:$AN$192,'Draft Board'!$AN$2:$AN$192,"&gt;="&amp;AN23,'Draft Board'!$AP$2:$AP$192,1)</f>
        <v>747.89973741069355</v>
      </c>
      <c r="AR23" s="13">
        <f>IF(AO23&lt;&gt;_xlfn.MINIFS('Draft Board'!$AO$2:$AO$192,'Draft Board'!$AN$2:$AN$192,"="&amp;AN23),0,IF(OR(AP23=1,IFERROR(FLOOR((AQ23-AN23)/AQ23/0.25,1),0)&lt;&gt;IFERROR(FLOOR((AQ23-_xlfn.MINIFS('Draft Board'!$AN$2:$AN$192,'Draft Board'!$AN$2:$AN$192,"&gt;"&amp;AN23))/AQ23/0.25,1),0)),1,0))</f>
        <v>0</v>
      </c>
      <c r="AS23" s="13">
        <f>ROUND(1+AN23*'Live Calc'!$D$28,0)</f>
        <v>18</v>
      </c>
      <c r="AT23" s="13"/>
      <c r="AU23" s="13">
        <f>IF(AT23&lt;&gt;"",AT23,ROUND(AS23*INDEX('Live Calc'!$G$260:$G$450,MATCH(AM23,'Live Calc'!$A$260:$A$450,0))*'Live Calc'!$J$543,0))</f>
        <v>18</v>
      </c>
      <c r="AW23" s="14" t="s">
        <v>177</v>
      </c>
      <c r="AX23" s="14" t="s">
        <v>153</v>
      </c>
      <c r="AY23" s="14">
        <v>78.67</v>
      </c>
      <c r="AZ23" s="14">
        <v>104.68600000000001</v>
      </c>
      <c r="BA23" s="14">
        <v>130.52600000000001</v>
      </c>
      <c r="BB23" s="14">
        <f>CHOOSE(MATCH(Setup!$B$7,{"STD","Half-PPR","PPR"},0),AY23,AZ23,BA23)</f>
        <v>104.68600000000001</v>
      </c>
      <c r="BC23" s="14">
        <f>COUNTIFS('Draft Board'!$BD$2:$BD$87,"&gt;="&amp;BD23,'Draft Board'!$BH$2:$BH$87,1)</f>
        <v>16</v>
      </c>
      <c r="BD23" s="14">
        <f>MAX(0,BB23-'Live Calc'!$H$22)^'Live Calc'!$E$22</f>
        <v>7.4557508438881639</v>
      </c>
      <c r="BE23" s="14">
        <v>23</v>
      </c>
      <c r="BF23" s="14">
        <f>IF(BE23&lt;&gt;_xlfn.MINIFS('Draft Board'!$BE$2:$BE$87,'Draft Board'!$BD$2:$BD$87,"="&amp;BD23),0,IF(_xlfn.MINIFS('Draft Board'!$BD$2:$BD$87,'Draft Board'!$BD$2:$BD$87,"&gt;"&amp;BD23)=0,1,IF((_xlfn.MINIFS('Draft Board'!$BD$2:$BD$87,'Draft Board'!$BD$2:$BD$87,"&gt;"&amp;BD23)-BD23)/_xlfn.MINIFS('Draft Board'!$BD$2:$BD$87,'Draft Board'!$BD$2:$BD$87,"&gt;"&amp;BD23)&gt;0.08,1,0)))</f>
        <v>1</v>
      </c>
      <c r="BG23" s="14">
        <f>_xlfn.MINIFS('Draft Board'!$BD$2:$BD$87,'Draft Board'!$BD$2:$BD$87,"&gt;="&amp;BD23,'Draft Board'!$BF$2:$BF$87,1)</f>
        <v>7.4557508438881639</v>
      </c>
      <c r="BH23" s="14">
        <f>IF(BE23&lt;&gt;_xlfn.MINIFS('Draft Board'!$BE$2:$BE$87,'Draft Board'!$BD$2:$BD$87,"="&amp;BD23),0,IF(OR(BF23=1,IFERROR(FLOOR((BG23-BD23)/BG23/0.25,1),0)&lt;&gt;IFERROR(FLOOR((BG23-_xlfn.MINIFS('Draft Board'!$BD$2:$BD$87,'Draft Board'!$BD$2:$BD$87,"&gt;"&amp;BD23))/BG23/0.25,1),0)),1,0))</f>
        <v>1</v>
      </c>
      <c r="BI23" s="14">
        <f>ROUND(1+BD23*'Live Calc'!$D$29,0)</f>
        <v>1</v>
      </c>
      <c r="BJ23" s="14"/>
      <c r="BK23" s="14">
        <f>IF(BJ23&lt;&gt;"",BJ23,ROUND(BI23*INDEX('Live Calc'!$G$454:$G$539,MATCH(BC23,'Live Calc'!$A$454:$A$539,0))*'Live Calc'!$J$543,0))</f>
        <v>1</v>
      </c>
    </row>
    <row r="24" spans="1:63" x14ac:dyDescent="0.25">
      <c r="A24" s="11" t="s">
        <v>178</v>
      </c>
      <c r="B24" s="11" t="s">
        <v>111</v>
      </c>
      <c r="C24" s="11">
        <v>248.02</v>
      </c>
      <c r="D24" s="11">
        <v>247.06800000000001</v>
      </c>
      <c r="E24" s="11">
        <v>247.06800000000001</v>
      </c>
      <c r="F24" s="11">
        <f>CHOOSE(MATCH(Setup!$B$7,{"STD","Half-PPR","PPR"},0),C24,D24,E24)</f>
        <v>247.06800000000001</v>
      </c>
      <c r="G24" s="11">
        <f>COUNTIFS('Draft Board'!$H$2:$H$61,"&gt;="&amp;H24,'Draft Board'!$L$2:$L$61,1)</f>
        <v>11</v>
      </c>
      <c r="H24" s="11">
        <f>MAX(0,F24-'Live Calc'!$H$19)^'Live Calc'!$E$19</f>
        <v>0</v>
      </c>
      <c r="I24" s="11">
        <v>24</v>
      </c>
      <c r="J24" s="11">
        <f>IF(I24&lt;&gt;_xlfn.MINIFS('Draft Board'!$I$2:$I$61,'Draft Board'!$H$2:$H$61,"="&amp;H24),0,IF(_xlfn.MINIFS('Draft Board'!$H$2:$H$61,'Draft Board'!$H$2:$H$61,"&gt;"&amp;H24)=0,1,IF((_xlfn.MINIFS('Draft Board'!$H$2:$H$61,'Draft Board'!$H$2:$H$61,"&gt;"&amp;H24)-H24)/_xlfn.MINIFS('Draft Board'!$H$2:$H$61,'Draft Board'!$H$2:$H$61,"&gt;"&amp;H24)&gt;0.08,1,0)))</f>
        <v>0</v>
      </c>
      <c r="K24" s="11">
        <f>_xlfn.MINIFS('Draft Board'!$H$2:$H$61,'Draft Board'!$H$2:$H$61,"&gt;="&amp;H24,'Draft Board'!$J$2:$J$61,1)</f>
        <v>0</v>
      </c>
      <c r="L24" s="11">
        <f>IF(I24&lt;&gt;_xlfn.MINIFS('Draft Board'!$I$2:$I$61,'Draft Board'!$H$2:$H$61,"="&amp;H24),0,IF(OR(J24=1,IFERROR(FLOOR((K24-H24)/K24/0.25,1),0)&lt;&gt;IFERROR(FLOOR((K24-_xlfn.MINIFS('Draft Board'!$H$2:$H$61,'Draft Board'!$H$2:$H$61,"&gt;"&amp;H24))/K24/0.25,1),0)),1,0))</f>
        <v>0</v>
      </c>
      <c r="M24" s="11">
        <f>ROUND(1+H24*'Live Calc'!$D$26,0)</f>
        <v>1</v>
      </c>
      <c r="N24" s="11"/>
      <c r="O24" s="11">
        <f>IF(N24&lt;&gt;"",N24,ROUND(M24*INDEX('Live Calc'!$G$33:$G$92,MATCH(G24,'Live Calc'!$A$33:$A$92,0))*'Live Calc'!$J$543,0))</f>
        <v>1</v>
      </c>
      <c r="Q24" s="12" t="s">
        <v>179</v>
      </c>
      <c r="R24" s="12" t="s">
        <v>111</v>
      </c>
      <c r="S24" s="12">
        <v>165.24</v>
      </c>
      <c r="T24" s="12">
        <v>180.58</v>
      </c>
      <c r="U24" s="12">
        <v>198.54</v>
      </c>
      <c r="V24" s="12">
        <f>CHOOSE(MATCH(Setup!$B$7,{"STD","Half-PPR","PPR"},0),S24,T24,U24)</f>
        <v>180.58</v>
      </c>
      <c r="W24" s="12">
        <f>COUNTIFS('Draft Board'!$X$2:$X$162,"&gt;="&amp;X24,'Draft Board'!$AB$2:$AB$162,1)</f>
        <v>8</v>
      </c>
      <c r="X24" s="12">
        <f>MAX(0,V24-'Live Calc'!$H$20)^'Live Calc'!$E$20</f>
        <v>175.78269101569111</v>
      </c>
      <c r="Y24" s="12">
        <v>24</v>
      </c>
      <c r="Z24" s="12">
        <f>IF(Y24&lt;&gt;_xlfn.MINIFS('Draft Board'!$Y$2:$Y$162,'Draft Board'!$X$2:$X$162,"="&amp;X24),0,IF(_xlfn.MINIFS('Draft Board'!$X$2:$X$162,'Draft Board'!$X$2:$X$162,"&gt;"&amp;X24)=0,1,IF((_xlfn.MINIFS('Draft Board'!$X$2:$X$162,'Draft Board'!$X$2:$X$162,"&gt;"&amp;X24)-X24)/_xlfn.MINIFS('Draft Board'!$X$2:$X$162,'Draft Board'!$X$2:$X$162,"&gt;"&amp;X24)&gt;0.08,1,0)))</f>
        <v>1</v>
      </c>
      <c r="AA24" s="12">
        <f>_xlfn.MINIFS('Draft Board'!$X$2:$X$162,'Draft Board'!$X$2:$X$162,"&gt;="&amp;X24,'Draft Board'!$Z$2:$Z$162,1)</f>
        <v>175.78269101569111</v>
      </c>
      <c r="AB24" s="12">
        <f>IF(Y24&lt;&gt;_xlfn.MINIFS('Draft Board'!$Y$2:$Y$162,'Draft Board'!$X$2:$X$162,"="&amp;X24),0,IF(OR(Z24=1,IFERROR(FLOOR((AA24-X24)/AA24/0.25,1),0)&lt;&gt;IFERROR(FLOOR((AA24-_xlfn.MINIFS('Draft Board'!$X$2:$X$162,'Draft Board'!$X$2:$X$162,"&gt;"&amp;X24))/AA24/0.25,1),0)),1,0))</f>
        <v>1</v>
      </c>
      <c r="AC24" s="12">
        <f>ROUND(1+X24*'Live Calc'!$D$27,0)</f>
        <v>18</v>
      </c>
      <c r="AD24" s="12"/>
      <c r="AE24" s="12">
        <f>IF(AD24&lt;&gt;"",AD24,ROUND(AC24*INDEX('Live Calc'!$G$96:$G$256,MATCH(W24,'Live Calc'!$A$96:$A$256,0))*'Live Calc'!$J$543,0))</f>
        <v>18</v>
      </c>
      <c r="AG24" s="13" t="s">
        <v>180</v>
      </c>
      <c r="AH24" s="13" t="s">
        <v>83</v>
      </c>
      <c r="AI24" s="13">
        <v>136.54</v>
      </c>
      <c r="AJ24" s="13">
        <v>175.18199999999999</v>
      </c>
      <c r="AK24" s="13">
        <v>212.78800000000001</v>
      </c>
      <c r="AL24" s="13">
        <f>CHOOSE(MATCH(Setup!$B$7,{"STD","Half-PPR","PPR"},0),AI24,AJ24,AK24)</f>
        <v>175.18199999999999</v>
      </c>
      <c r="AM24" s="13">
        <f>COUNTIFS('Draft Board'!$AN$2:$AN$192,"&gt;="&amp;AN24,'Draft Board'!$AR$2:$AR$192,1)</f>
        <v>6</v>
      </c>
      <c r="AN24" s="13">
        <f>MAX(0,AL24-'Live Calc'!$H$21)^'Live Calc'!$E$21</f>
        <v>604.91716418000271</v>
      </c>
      <c r="AO24" s="13">
        <v>24</v>
      </c>
      <c r="AP24" s="13">
        <f>IF(AO24&lt;&gt;_xlfn.MINIFS('Draft Board'!$AO$2:$AO$192,'Draft Board'!$AN$2:$AN$192,"="&amp;AN24),0,IF(_xlfn.MINIFS('Draft Board'!$AN$2:$AN$192,'Draft Board'!$AN$2:$AN$192,"&gt;"&amp;AN24)=0,1,IF((_xlfn.MINIFS('Draft Board'!$AN$2:$AN$192,'Draft Board'!$AN$2:$AN$192,"&gt;"&amp;AN24)-AN24)/_xlfn.MINIFS('Draft Board'!$AN$2:$AN$192,'Draft Board'!$AN$2:$AN$192,"&gt;"&amp;AN24)&gt;0.08,1,0)))</f>
        <v>0</v>
      </c>
      <c r="AQ24" s="13">
        <f>_xlfn.MINIFS('Draft Board'!$AN$2:$AN$192,'Draft Board'!$AN$2:$AN$192,"&gt;="&amp;AN24,'Draft Board'!$AP$2:$AP$192,1)</f>
        <v>747.89973741069355</v>
      </c>
      <c r="AR24" s="13">
        <f>IF(AO24&lt;&gt;_xlfn.MINIFS('Draft Board'!$AO$2:$AO$192,'Draft Board'!$AN$2:$AN$192,"="&amp;AN24),0,IF(OR(AP24=1,IFERROR(FLOOR((AQ24-AN24)/AQ24/0.25,1),0)&lt;&gt;IFERROR(FLOOR((AQ24-_xlfn.MINIFS('Draft Board'!$AN$2:$AN$192,'Draft Board'!$AN$2:$AN$192,"&gt;"&amp;AN24))/AQ24/0.25,1),0)),1,0))</f>
        <v>0</v>
      </c>
      <c r="AS24" s="13">
        <f>ROUND(1+AN24*'Live Calc'!$D$28,0)</f>
        <v>17</v>
      </c>
      <c r="AT24" s="13"/>
      <c r="AU24" s="13">
        <f>IF(AT24&lt;&gt;"",AT24,ROUND(AS24*INDEX('Live Calc'!$G$260:$G$450,MATCH(AM24,'Live Calc'!$A$260:$A$450,0))*'Live Calc'!$J$543,0))</f>
        <v>17</v>
      </c>
      <c r="AW24" s="14" t="s">
        <v>181</v>
      </c>
      <c r="AX24" s="14" t="s">
        <v>81</v>
      </c>
      <c r="AY24" s="14">
        <v>77.617999999999995</v>
      </c>
      <c r="AZ24" s="14">
        <v>102.294</v>
      </c>
      <c r="BA24" s="14">
        <v>126.126</v>
      </c>
      <c r="BB24" s="14">
        <f>CHOOSE(MATCH(Setup!$B$7,{"STD","Half-PPR","PPR"},0),AY24,AZ24,BA24)</f>
        <v>102.294</v>
      </c>
      <c r="BC24" s="14">
        <f>COUNTIFS('Draft Board'!$BD$2:$BD$87,"&gt;="&amp;BD24,'Draft Board'!$BH$2:$BH$87,1)</f>
        <v>17</v>
      </c>
      <c r="BD24" s="14">
        <f>MAX(0,BB24-'Live Calc'!$H$22)^'Live Calc'!$E$22</f>
        <v>1.1953824781520128</v>
      </c>
      <c r="BE24" s="14">
        <v>24</v>
      </c>
      <c r="BF24" s="14">
        <f>IF(BE24&lt;&gt;_xlfn.MINIFS('Draft Board'!$BE$2:$BE$87,'Draft Board'!$BD$2:$BD$87,"="&amp;BD24),0,IF(_xlfn.MINIFS('Draft Board'!$BD$2:$BD$87,'Draft Board'!$BD$2:$BD$87,"&gt;"&amp;BD24)=0,1,IF((_xlfn.MINIFS('Draft Board'!$BD$2:$BD$87,'Draft Board'!$BD$2:$BD$87,"&gt;"&amp;BD24)-BD24)/_xlfn.MINIFS('Draft Board'!$BD$2:$BD$87,'Draft Board'!$BD$2:$BD$87,"&gt;"&amp;BD24)&gt;0.08,1,0)))</f>
        <v>1</v>
      </c>
      <c r="BG24" s="14">
        <f>_xlfn.MINIFS('Draft Board'!$BD$2:$BD$87,'Draft Board'!$BD$2:$BD$87,"&gt;="&amp;BD24,'Draft Board'!$BF$2:$BF$87,1)</f>
        <v>1.1953824781520128</v>
      </c>
      <c r="BH24" s="14">
        <f>IF(BE24&lt;&gt;_xlfn.MINIFS('Draft Board'!$BE$2:$BE$87,'Draft Board'!$BD$2:$BD$87,"="&amp;BD24),0,IF(OR(BF24=1,IFERROR(FLOOR((BG24-BD24)/BG24/0.25,1),0)&lt;&gt;IFERROR(FLOOR((BG24-_xlfn.MINIFS('Draft Board'!$BD$2:$BD$87,'Draft Board'!$BD$2:$BD$87,"&gt;"&amp;BD24))/BG24/0.25,1),0)),1,0))</f>
        <v>1</v>
      </c>
      <c r="BI24" s="14">
        <f>ROUND(1+BD24*'Live Calc'!$D$29,0)</f>
        <v>1</v>
      </c>
      <c r="BJ24" s="14"/>
      <c r="BK24" s="14">
        <f>IF(BJ24&lt;&gt;"",BJ24,ROUND(BI24*INDEX('Live Calc'!$G$454:$G$539,MATCH(BC24,'Live Calc'!$A$454:$A$539,0))*'Live Calc'!$J$543,0))</f>
        <v>1</v>
      </c>
    </row>
    <row r="25" spans="1:63" x14ac:dyDescent="0.25">
      <c r="A25" s="11" t="s">
        <v>182</v>
      </c>
      <c r="B25" s="11" t="s">
        <v>81</v>
      </c>
      <c r="C25" s="11">
        <v>241.292</v>
      </c>
      <c r="D25" s="11">
        <v>246.59200000000001</v>
      </c>
      <c r="E25" s="11">
        <v>246.59200000000001</v>
      </c>
      <c r="F25" s="11">
        <f>CHOOSE(MATCH(Setup!$B$7,{"STD","Half-PPR","PPR"},0),C25,D25,E25)</f>
        <v>246.59200000000001</v>
      </c>
      <c r="G25" s="11">
        <f>COUNTIFS('Draft Board'!$H$2:$H$61,"&gt;="&amp;H25,'Draft Board'!$L$2:$L$61,1)</f>
        <v>11</v>
      </c>
      <c r="H25" s="11">
        <f>MAX(0,F25-'Live Calc'!$H$19)^'Live Calc'!$E$19</f>
        <v>0</v>
      </c>
      <c r="I25" s="11">
        <v>25</v>
      </c>
      <c r="J25" s="11">
        <f>IF(I25&lt;&gt;_xlfn.MINIFS('Draft Board'!$I$2:$I$61,'Draft Board'!$H$2:$H$61,"="&amp;H25),0,IF(_xlfn.MINIFS('Draft Board'!$H$2:$H$61,'Draft Board'!$H$2:$H$61,"&gt;"&amp;H25)=0,1,IF((_xlfn.MINIFS('Draft Board'!$H$2:$H$61,'Draft Board'!$H$2:$H$61,"&gt;"&amp;H25)-H25)/_xlfn.MINIFS('Draft Board'!$H$2:$H$61,'Draft Board'!$H$2:$H$61,"&gt;"&amp;H25)&gt;0.08,1,0)))</f>
        <v>0</v>
      </c>
      <c r="K25" s="11">
        <f>_xlfn.MINIFS('Draft Board'!$H$2:$H$61,'Draft Board'!$H$2:$H$61,"&gt;="&amp;H25,'Draft Board'!$J$2:$J$61,1)</f>
        <v>0</v>
      </c>
      <c r="L25" s="11">
        <f>IF(I25&lt;&gt;_xlfn.MINIFS('Draft Board'!$I$2:$I$61,'Draft Board'!$H$2:$H$61,"="&amp;H25),0,IF(OR(J25=1,IFERROR(FLOOR((K25-H25)/K25/0.25,1),0)&lt;&gt;IFERROR(FLOOR((K25-_xlfn.MINIFS('Draft Board'!$H$2:$H$61,'Draft Board'!$H$2:$H$61,"&gt;"&amp;H25))/K25/0.25,1),0)),1,0))</f>
        <v>0</v>
      </c>
      <c r="M25" s="11">
        <f>ROUND(1+H25*'Live Calc'!$D$26,0)</f>
        <v>1</v>
      </c>
      <c r="N25" s="11"/>
      <c r="O25" s="11">
        <f>IF(N25&lt;&gt;"",N25,ROUND(M25*INDEX('Live Calc'!$G$33:$G$92,MATCH(G25,'Live Calc'!$A$33:$A$92,0))*'Live Calc'!$J$543,0))</f>
        <v>1</v>
      </c>
      <c r="Q25" s="12" t="s">
        <v>183</v>
      </c>
      <c r="R25" s="12" t="s">
        <v>108</v>
      </c>
      <c r="S25" s="12">
        <v>160.88</v>
      </c>
      <c r="T25" s="12">
        <v>175.232</v>
      </c>
      <c r="U25" s="12">
        <v>192.91</v>
      </c>
      <c r="V25" s="12">
        <f>CHOOSE(MATCH(Setup!$B$7,{"STD","Half-PPR","PPR"},0),S25,T25,U25)</f>
        <v>175.232</v>
      </c>
      <c r="W25" s="12">
        <f>COUNTIFS('Draft Board'!$X$2:$X$162,"&gt;="&amp;X25,'Draft Board'!$AB$2:$AB$162,1)</f>
        <v>9</v>
      </c>
      <c r="X25" s="12">
        <f>MAX(0,V25-'Live Calc'!$H$20)^'Live Calc'!$E$20</f>
        <v>160.70502094522354</v>
      </c>
      <c r="Y25" s="12">
        <v>25</v>
      </c>
      <c r="Z25" s="12">
        <f>IF(Y25&lt;&gt;_xlfn.MINIFS('Draft Board'!$Y$2:$Y$162,'Draft Board'!$X$2:$X$162,"="&amp;X25),0,IF(_xlfn.MINIFS('Draft Board'!$X$2:$X$162,'Draft Board'!$X$2:$X$162,"&gt;"&amp;X25)=0,1,IF((_xlfn.MINIFS('Draft Board'!$X$2:$X$162,'Draft Board'!$X$2:$X$162,"&gt;"&amp;X25)-X25)/_xlfn.MINIFS('Draft Board'!$X$2:$X$162,'Draft Board'!$X$2:$X$162,"&gt;"&amp;X25)&gt;0.08,1,0)))</f>
        <v>1</v>
      </c>
      <c r="AA25" s="12">
        <f>_xlfn.MINIFS('Draft Board'!$X$2:$X$162,'Draft Board'!$X$2:$X$162,"&gt;="&amp;X25,'Draft Board'!$Z$2:$Z$162,1)</f>
        <v>160.70502094522354</v>
      </c>
      <c r="AB25" s="12">
        <f>IF(Y25&lt;&gt;_xlfn.MINIFS('Draft Board'!$Y$2:$Y$162,'Draft Board'!$X$2:$X$162,"="&amp;X25),0,IF(OR(Z25=1,IFERROR(FLOOR((AA25-X25)/AA25/0.25,1),0)&lt;&gt;IFERROR(FLOOR((AA25-_xlfn.MINIFS('Draft Board'!$X$2:$X$162,'Draft Board'!$X$2:$X$162,"&gt;"&amp;X25))/AA25/0.25,1),0)),1,0))</f>
        <v>1</v>
      </c>
      <c r="AC25" s="12">
        <f>ROUND(1+X25*'Live Calc'!$D$27,0)</f>
        <v>17</v>
      </c>
      <c r="AD25" s="12"/>
      <c r="AE25" s="12">
        <f>IF(AD25&lt;&gt;"",AD25,ROUND(AC25*INDEX('Live Calc'!$G$96:$G$256,MATCH(W25,'Live Calc'!$A$96:$A$256,0))*'Live Calc'!$J$543,0))</f>
        <v>17</v>
      </c>
      <c r="AG25" s="13" t="s">
        <v>184</v>
      </c>
      <c r="AH25" s="13" t="s">
        <v>63</v>
      </c>
      <c r="AI25" s="13">
        <v>144.66999999999999</v>
      </c>
      <c r="AJ25" s="13">
        <v>173.958</v>
      </c>
      <c r="AK25" s="13">
        <v>205.21199999999999</v>
      </c>
      <c r="AL25" s="13">
        <f>CHOOSE(MATCH(Setup!$B$7,{"STD","Half-PPR","PPR"},0),AI25,AJ25,AK25)</f>
        <v>173.958</v>
      </c>
      <c r="AM25" s="13">
        <f>COUNTIFS('Draft Board'!$AN$2:$AN$192,"&gt;="&amp;AN25,'Draft Board'!$AR$2:$AR$192,1)</f>
        <v>6</v>
      </c>
      <c r="AN25" s="13">
        <f>MAX(0,AL25-'Live Calc'!$H$21)^'Live Calc'!$E$21</f>
        <v>589.45617342055914</v>
      </c>
      <c r="AO25" s="13">
        <v>25</v>
      </c>
      <c r="AP25" s="13">
        <f>IF(AO25&lt;&gt;_xlfn.MINIFS('Draft Board'!$AO$2:$AO$192,'Draft Board'!$AN$2:$AN$192,"="&amp;AN25),0,IF(_xlfn.MINIFS('Draft Board'!$AN$2:$AN$192,'Draft Board'!$AN$2:$AN$192,"&gt;"&amp;AN25)=0,1,IF((_xlfn.MINIFS('Draft Board'!$AN$2:$AN$192,'Draft Board'!$AN$2:$AN$192,"&gt;"&amp;AN25)-AN25)/_xlfn.MINIFS('Draft Board'!$AN$2:$AN$192,'Draft Board'!$AN$2:$AN$192,"&gt;"&amp;AN25)&gt;0.08,1,0)))</f>
        <v>0</v>
      </c>
      <c r="AQ25" s="13">
        <f>_xlfn.MINIFS('Draft Board'!$AN$2:$AN$192,'Draft Board'!$AN$2:$AN$192,"&gt;="&amp;AN25,'Draft Board'!$AP$2:$AP$192,1)</f>
        <v>747.89973741069355</v>
      </c>
      <c r="AR25" s="13">
        <f>IF(AO25&lt;&gt;_xlfn.MINIFS('Draft Board'!$AO$2:$AO$192,'Draft Board'!$AN$2:$AN$192,"="&amp;AN25),0,IF(OR(AP25=1,IFERROR(FLOOR((AQ25-AN25)/AQ25/0.25,1),0)&lt;&gt;IFERROR(FLOOR((AQ25-_xlfn.MINIFS('Draft Board'!$AN$2:$AN$192,'Draft Board'!$AN$2:$AN$192,"&gt;"&amp;AN25))/AQ25/0.25,1),0)),1,0))</f>
        <v>0</v>
      </c>
      <c r="AS25" s="13">
        <f>ROUND(1+AN25*'Live Calc'!$D$28,0)</f>
        <v>17</v>
      </c>
      <c r="AT25" s="13"/>
      <c r="AU25" s="13">
        <f>IF(AT25&lt;&gt;"",AT25,ROUND(AS25*INDEX('Live Calc'!$G$260:$G$450,MATCH(AM25,'Live Calc'!$A$260:$A$450,0))*'Live Calc'!$J$543,0))</f>
        <v>17</v>
      </c>
      <c r="AW25" s="14" t="s">
        <v>185</v>
      </c>
      <c r="AX25" s="14" t="s">
        <v>65</v>
      </c>
      <c r="AY25" s="14">
        <v>79.567999999999998</v>
      </c>
      <c r="AZ25" s="14">
        <v>101.176</v>
      </c>
      <c r="BA25" s="14">
        <v>122.788</v>
      </c>
      <c r="BB25" s="14">
        <f>CHOOSE(MATCH(Setup!$B$7,{"STD","Half-PPR","PPR"},0),AY25,AZ25,BA25)</f>
        <v>101.176</v>
      </c>
      <c r="BC25" s="14">
        <f>COUNTIFS('Draft Board'!$BD$2:$BD$87,"&gt;="&amp;BD25,'Draft Board'!$BH$2:$BH$87,1)</f>
        <v>18</v>
      </c>
      <c r="BD25" s="14">
        <f>MAX(0,BB25-'Live Calc'!$H$22)^'Live Calc'!$E$22</f>
        <v>0</v>
      </c>
      <c r="BE25" s="14">
        <v>25</v>
      </c>
      <c r="BF25" s="14">
        <f>IF(BE25&lt;&gt;_xlfn.MINIFS('Draft Board'!$BE$2:$BE$87,'Draft Board'!$BD$2:$BD$87,"="&amp;BD25),0,IF(_xlfn.MINIFS('Draft Board'!$BD$2:$BD$87,'Draft Board'!$BD$2:$BD$87,"&gt;"&amp;BD25)=0,1,IF((_xlfn.MINIFS('Draft Board'!$BD$2:$BD$87,'Draft Board'!$BD$2:$BD$87,"&gt;"&amp;BD25)-BD25)/_xlfn.MINIFS('Draft Board'!$BD$2:$BD$87,'Draft Board'!$BD$2:$BD$87,"&gt;"&amp;BD25)&gt;0.08,1,0)))</f>
        <v>1</v>
      </c>
      <c r="BG25" s="14">
        <f>_xlfn.MINIFS('Draft Board'!$BD$2:$BD$87,'Draft Board'!$BD$2:$BD$87,"&gt;="&amp;BD25,'Draft Board'!$BF$2:$BF$87,1)</f>
        <v>0</v>
      </c>
      <c r="BH25" s="14">
        <f>IF(BE25&lt;&gt;_xlfn.MINIFS('Draft Board'!$BE$2:$BE$87,'Draft Board'!$BD$2:$BD$87,"="&amp;BD25),0,IF(OR(BF25=1,IFERROR(FLOOR((BG25-BD25)/BG25/0.25,1),0)&lt;&gt;IFERROR(FLOOR((BG25-_xlfn.MINIFS('Draft Board'!$BD$2:$BD$87,'Draft Board'!$BD$2:$BD$87,"&gt;"&amp;BD25))/BG25/0.25,1),0)),1,0))</f>
        <v>1</v>
      </c>
      <c r="BI25" s="14">
        <f>ROUND(1+BD25*'Live Calc'!$D$29,0)</f>
        <v>1</v>
      </c>
      <c r="BJ25" s="14"/>
      <c r="BK25" s="14">
        <f>IF(BJ25&lt;&gt;"",BJ25,ROUND(BI25*INDEX('Live Calc'!$G$454:$G$539,MATCH(BC25,'Live Calc'!$A$454:$A$539,0))*'Live Calc'!$J$543,0))</f>
        <v>1</v>
      </c>
    </row>
    <row r="26" spans="1:63" x14ac:dyDescent="0.25">
      <c r="A26" s="11" t="s">
        <v>186</v>
      </c>
      <c r="B26" s="11" t="s">
        <v>164</v>
      </c>
      <c r="C26" s="11">
        <v>231.69</v>
      </c>
      <c r="D26" s="11">
        <v>231.69</v>
      </c>
      <c r="E26" s="11">
        <v>231.69</v>
      </c>
      <c r="F26" s="11">
        <f>CHOOSE(MATCH(Setup!$B$7,{"STD","Half-PPR","PPR"},0),C26,D26,E26)</f>
        <v>231.69</v>
      </c>
      <c r="G26" s="11">
        <f>COUNTIFS('Draft Board'!$H$2:$H$61,"&gt;="&amp;H26,'Draft Board'!$L$2:$L$61,1)</f>
        <v>11</v>
      </c>
      <c r="H26" s="11">
        <f>MAX(0,F26-'Live Calc'!$H$19)^'Live Calc'!$E$19</f>
        <v>0</v>
      </c>
      <c r="I26" s="11">
        <v>26</v>
      </c>
      <c r="J26" s="11">
        <f>IF(I26&lt;&gt;_xlfn.MINIFS('Draft Board'!$I$2:$I$61,'Draft Board'!$H$2:$H$61,"="&amp;H26),0,IF(_xlfn.MINIFS('Draft Board'!$H$2:$H$61,'Draft Board'!$H$2:$H$61,"&gt;"&amp;H26)=0,1,IF((_xlfn.MINIFS('Draft Board'!$H$2:$H$61,'Draft Board'!$H$2:$H$61,"&gt;"&amp;H26)-H26)/_xlfn.MINIFS('Draft Board'!$H$2:$H$61,'Draft Board'!$H$2:$H$61,"&gt;"&amp;H26)&gt;0.08,1,0)))</f>
        <v>0</v>
      </c>
      <c r="K26" s="11">
        <f>_xlfn.MINIFS('Draft Board'!$H$2:$H$61,'Draft Board'!$H$2:$H$61,"&gt;="&amp;H26,'Draft Board'!$J$2:$J$61,1)</f>
        <v>0</v>
      </c>
      <c r="L26" s="11">
        <f>IF(I26&lt;&gt;_xlfn.MINIFS('Draft Board'!$I$2:$I$61,'Draft Board'!$H$2:$H$61,"="&amp;H26),0,IF(OR(J26=1,IFERROR(FLOOR((K26-H26)/K26/0.25,1),0)&lt;&gt;IFERROR(FLOOR((K26-_xlfn.MINIFS('Draft Board'!$H$2:$H$61,'Draft Board'!$H$2:$H$61,"&gt;"&amp;H26))/K26/0.25,1),0)),1,0))</f>
        <v>0</v>
      </c>
      <c r="M26" s="11">
        <f>ROUND(1+H26*'Live Calc'!$D$26,0)</f>
        <v>1</v>
      </c>
      <c r="N26" s="11"/>
      <c r="O26" s="11">
        <f>IF(N26&lt;&gt;"",N26,ROUND(M26*INDEX('Live Calc'!$G$33:$G$92,MATCH(G26,'Live Calc'!$A$33:$A$92,0))*'Live Calc'!$J$543,0))</f>
        <v>1</v>
      </c>
      <c r="Q26" s="12" t="s">
        <v>187</v>
      </c>
      <c r="R26" s="12" t="s">
        <v>81</v>
      </c>
      <c r="S26" s="12">
        <v>159.54</v>
      </c>
      <c r="T26" s="12">
        <v>172.81800000000001</v>
      </c>
      <c r="U26" s="12">
        <v>186.09200000000001</v>
      </c>
      <c r="V26" s="12">
        <f>CHOOSE(MATCH(Setup!$B$7,{"STD","Half-PPR","PPR"},0),S26,T26,U26)</f>
        <v>172.81800000000001</v>
      </c>
      <c r="W26" s="12">
        <f>COUNTIFS('Draft Board'!$X$2:$X$162,"&gt;="&amp;X26,'Draft Board'!$AB$2:$AB$162,1)</f>
        <v>9</v>
      </c>
      <c r="X26" s="12">
        <f>MAX(0,V26-'Live Calc'!$H$20)^'Live Calc'!$E$20</f>
        <v>153.97445151749145</v>
      </c>
      <c r="Y26" s="12">
        <v>26</v>
      </c>
      <c r="Z26" s="12">
        <f>IF(Y26&lt;&gt;_xlfn.MINIFS('Draft Board'!$Y$2:$Y$162,'Draft Board'!$X$2:$X$162,"="&amp;X26),0,IF(_xlfn.MINIFS('Draft Board'!$X$2:$X$162,'Draft Board'!$X$2:$X$162,"&gt;"&amp;X26)=0,1,IF((_xlfn.MINIFS('Draft Board'!$X$2:$X$162,'Draft Board'!$X$2:$X$162,"&gt;"&amp;X26)-X26)/_xlfn.MINIFS('Draft Board'!$X$2:$X$162,'Draft Board'!$X$2:$X$162,"&gt;"&amp;X26)&gt;0.08,1,0)))</f>
        <v>0</v>
      </c>
      <c r="AA26" s="12">
        <f>_xlfn.MINIFS('Draft Board'!$X$2:$X$162,'Draft Board'!$X$2:$X$162,"&gt;="&amp;X26,'Draft Board'!$Z$2:$Z$162,1)</f>
        <v>160.70502094522354</v>
      </c>
      <c r="AB26" s="12">
        <f>IF(Y26&lt;&gt;_xlfn.MINIFS('Draft Board'!$Y$2:$Y$162,'Draft Board'!$X$2:$X$162,"="&amp;X26),0,IF(OR(Z26=1,IFERROR(FLOOR((AA26-X26)/AA26/0.25,1),0)&lt;&gt;IFERROR(FLOOR((AA26-_xlfn.MINIFS('Draft Board'!$X$2:$X$162,'Draft Board'!$X$2:$X$162,"&gt;"&amp;X26))/AA26/0.25,1),0)),1,0))</f>
        <v>0</v>
      </c>
      <c r="AC26" s="12">
        <f>ROUND(1+X26*'Live Calc'!$D$27,0)</f>
        <v>16</v>
      </c>
      <c r="AD26" s="12"/>
      <c r="AE26" s="12">
        <f>IF(AD26&lt;&gt;"",AD26,ROUND(AC26*INDEX('Live Calc'!$G$96:$G$256,MATCH(W26,'Live Calc'!$A$96:$A$256,0))*'Live Calc'!$J$543,0))</f>
        <v>16</v>
      </c>
      <c r="AG26" s="13" t="s">
        <v>188</v>
      </c>
      <c r="AH26" s="13" t="s">
        <v>96</v>
      </c>
      <c r="AI26" s="13">
        <v>140.54400000000001</v>
      </c>
      <c r="AJ26" s="13">
        <v>171.994</v>
      </c>
      <c r="AK26" s="13">
        <v>201.148</v>
      </c>
      <c r="AL26" s="13">
        <f>CHOOSE(MATCH(Setup!$B$7,{"STD","Half-PPR","PPR"},0),AI26,AJ26,AK26)</f>
        <v>171.994</v>
      </c>
      <c r="AM26" s="13">
        <f>COUNTIFS('Draft Board'!$AN$2:$AN$192,"&gt;="&amp;AN26,'Draft Board'!$AR$2:$AR$192,1)</f>
        <v>6</v>
      </c>
      <c r="AN26" s="13">
        <f>MAX(0,AL26-'Live Calc'!$H$21)^'Live Calc'!$E$21</f>
        <v>564.92838518742565</v>
      </c>
      <c r="AO26" s="13">
        <v>26</v>
      </c>
      <c r="AP26" s="13">
        <f>IF(AO26&lt;&gt;_xlfn.MINIFS('Draft Board'!$AO$2:$AO$192,'Draft Board'!$AN$2:$AN$192,"="&amp;AN26),0,IF(_xlfn.MINIFS('Draft Board'!$AN$2:$AN$192,'Draft Board'!$AN$2:$AN$192,"&gt;"&amp;AN26)=0,1,IF((_xlfn.MINIFS('Draft Board'!$AN$2:$AN$192,'Draft Board'!$AN$2:$AN$192,"&gt;"&amp;AN26)-AN26)/_xlfn.MINIFS('Draft Board'!$AN$2:$AN$192,'Draft Board'!$AN$2:$AN$192,"&gt;"&amp;AN26)&gt;0.08,1,0)))</f>
        <v>0</v>
      </c>
      <c r="AQ26" s="13">
        <f>_xlfn.MINIFS('Draft Board'!$AN$2:$AN$192,'Draft Board'!$AN$2:$AN$192,"&gt;="&amp;AN26,'Draft Board'!$AP$2:$AP$192,1)</f>
        <v>747.89973741069355</v>
      </c>
      <c r="AR26" s="13">
        <f>IF(AO26&lt;&gt;_xlfn.MINIFS('Draft Board'!$AO$2:$AO$192,'Draft Board'!$AN$2:$AN$192,"="&amp;AN26),0,IF(OR(AP26=1,IFERROR(FLOOR((AQ26-AN26)/AQ26/0.25,1),0)&lt;&gt;IFERROR(FLOOR((AQ26-_xlfn.MINIFS('Draft Board'!$AN$2:$AN$192,'Draft Board'!$AN$2:$AN$192,"&gt;"&amp;AN26))/AQ26/0.25,1),0)),1,0))</f>
        <v>0</v>
      </c>
      <c r="AS26" s="13">
        <f>ROUND(1+AN26*'Live Calc'!$D$28,0)</f>
        <v>16</v>
      </c>
      <c r="AT26" s="13"/>
      <c r="AU26" s="13">
        <f>IF(AT26&lt;&gt;"",AT26,ROUND(AS26*INDEX('Live Calc'!$G$260:$G$450,MATCH(AM26,'Live Calc'!$A$260:$A$450,0))*'Live Calc'!$J$543,0))</f>
        <v>16</v>
      </c>
      <c r="AW26" s="14" t="s">
        <v>189</v>
      </c>
      <c r="AX26" s="14" t="s">
        <v>190</v>
      </c>
      <c r="AY26" s="14">
        <v>75.69</v>
      </c>
      <c r="AZ26" s="14">
        <v>99.343999999999994</v>
      </c>
      <c r="BA26" s="14">
        <v>125.81399999999999</v>
      </c>
      <c r="BB26" s="14">
        <f>CHOOSE(MATCH(Setup!$B$7,{"STD","Half-PPR","PPR"},0),AY26,AZ26,BA26)</f>
        <v>99.343999999999994</v>
      </c>
      <c r="BC26" s="14">
        <f>COUNTIFS('Draft Board'!$BD$2:$BD$87,"&gt;="&amp;BD26,'Draft Board'!$BH$2:$BH$87,1)</f>
        <v>18</v>
      </c>
      <c r="BD26" s="14">
        <f>MAX(0,BB26-'Live Calc'!$H$22)^'Live Calc'!$E$22</f>
        <v>0</v>
      </c>
      <c r="BE26" s="14">
        <v>26</v>
      </c>
      <c r="BF26" s="14">
        <f>IF(BE26&lt;&gt;_xlfn.MINIFS('Draft Board'!$BE$2:$BE$87,'Draft Board'!$BD$2:$BD$87,"="&amp;BD26),0,IF(_xlfn.MINIFS('Draft Board'!$BD$2:$BD$87,'Draft Board'!$BD$2:$BD$87,"&gt;"&amp;BD26)=0,1,IF((_xlfn.MINIFS('Draft Board'!$BD$2:$BD$87,'Draft Board'!$BD$2:$BD$87,"&gt;"&amp;BD26)-BD26)/_xlfn.MINIFS('Draft Board'!$BD$2:$BD$87,'Draft Board'!$BD$2:$BD$87,"&gt;"&amp;BD26)&gt;0.08,1,0)))</f>
        <v>0</v>
      </c>
      <c r="BG26" s="14">
        <f>_xlfn.MINIFS('Draft Board'!$BD$2:$BD$87,'Draft Board'!$BD$2:$BD$87,"&gt;="&amp;BD26,'Draft Board'!$BF$2:$BF$87,1)</f>
        <v>0</v>
      </c>
      <c r="BH26" s="14">
        <f>IF(BE26&lt;&gt;_xlfn.MINIFS('Draft Board'!$BE$2:$BE$87,'Draft Board'!$BD$2:$BD$87,"="&amp;BD26),0,IF(OR(BF26=1,IFERROR(FLOOR((BG26-BD26)/BG26/0.25,1),0)&lt;&gt;IFERROR(FLOOR((BG26-_xlfn.MINIFS('Draft Board'!$BD$2:$BD$87,'Draft Board'!$BD$2:$BD$87,"&gt;"&amp;BD26))/BG26/0.25,1),0)),1,0))</f>
        <v>0</v>
      </c>
      <c r="BI26" s="14">
        <f>ROUND(1+BD26*'Live Calc'!$D$29,0)</f>
        <v>1</v>
      </c>
      <c r="BJ26" s="14"/>
      <c r="BK26" s="14">
        <f>IF(BJ26&lt;&gt;"",BJ26,ROUND(BI26*INDEX('Live Calc'!$G$454:$G$539,MATCH(BC26,'Live Calc'!$A$454:$A$539,0))*'Live Calc'!$J$543,0))</f>
        <v>1</v>
      </c>
    </row>
    <row r="27" spans="1:63" x14ac:dyDescent="0.25">
      <c r="A27" s="11" t="s">
        <v>191</v>
      </c>
      <c r="B27" s="11" t="s">
        <v>192</v>
      </c>
      <c r="C27" s="11">
        <v>234.49799999999999</v>
      </c>
      <c r="D27" s="11">
        <v>230.15</v>
      </c>
      <c r="E27" s="11">
        <v>230.15</v>
      </c>
      <c r="F27" s="11">
        <f>CHOOSE(MATCH(Setup!$B$7,{"STD","Half-PPR","PPR"},0),C27,D27,E27)</f>
        <v>230.15</v>
      </c>
      <c r="G27" s="11">
        <f>COUNTIFS('Draft Board'!$H$2:$H$61,"&gt;="&amp;H27,'Draft Board'!$L$2:$L$61,1)</f>
        <v>11</v>
      </c>
      <c r="H27" s="11">
        <f>MAX(0,F27-'Live Calc'!$H$19)^'Live Calc'!$E$19</f>
        <v>0</v>
      </c>
      <c r="I27" s="11">
        <v>27</v>
      </c>
      <c r="J27" s="11">
        <f>IF(I27&lt;&gt;_xlfn.MINIFS('Draft Board'!$I$2:$I$61,'Draft Board'!$H$2:$H$61,"="&amp;H27),0,IF(_xlfn.MINIFS('Draft Board'!$H$2:$H$61,'Draft Board'!$H$2:$H$61,"&gt;"&amp;H27)=0,1,IF((_xlfn.MINIFS('Draft Board'!$H$2:$H$61,'Draft Board'!$H$2:$H$61,"&gt;"&amp;H27)-H27)/_xlfn.MINIFS('Draft Board'!$H$2:$H$61,'Draft Board'!$H$2:$H$61,"&gt;"&amp;H27)&gt;0.08,1,0)))</f>
        <v>0</v>
      </c>
      <c r="K27" s="11">
        <f>_xlfn.MINIFS('Draft Board'!$H$2:$H$61,'Draft Board'!$H$2:$H$61,"&gt;="&amp;H27,'Draft Board'!$J$2:$J$61,1)</f>
        <v>0</v>
      </c>
      <c r="L27" s="11">
        <f>IF(I27&lt;&gt;_xlfn.MINIFS('Draft Board'!$I$2:$I$61,'Draft Board'!$H$2:$H$61,"="&amp;H27),0,IF(OR(J27=1,IFERROR(FLOOR((K27-H27)/K27/0.25,1),0)&lt;&gt;IFERROR(FLOOR((K27-_xlfn.MINIFS('Draft Board'!$H$2:$H$61,'Draft Board'!$H$2:$H$61,"&gt;"&amp;H27))/K27/0.25,1),0)),1,0))</f>
        <v>0</v>
      </c>
      <c r="M27" s="11">
        <f>ROUND(1+H27*'Live Calc'!$D$26,0)</f>
        <v>1</v>
      </c>
      <c r="N27" s="11"/>
      <c r="O27" s="11">
        <f>IF(N27&lt;&gt;"",N27,ROUND(M27*INDEX('Live Calc'!$G$33:$G$92,MATCH(G27,'Live Calc'!$A$33:$A$92,0))*'Live Calc'!$J$543,0))</f>
        <v>1</v>
      </c>
      <c r="Q27" s="12" t="s">
        <v>193</v>
      </c>
      <c r="R27" s="12" t="s">
        <v>77</v>
      </c>
      <c r="S27" s="12">
        <v>152.66999999999999</v>
      </c>
      <c r="T27" s="12">
        <v>170.42</v>
      </c>
      <c r="U27" s="12">
        <v>188.16</v>
      </c>
      <c r="V27" s="12">
        <f>CHOOSE(MATCH(Setup!$B$7,{"STD","Half-PPR","PPR"},0),S27,T27,U27)</f>
        <v>170.42</v>
      </c>
      <c r="W27" s="12">
        <f>COUNTIFS('Draft Board'!$X$2:$X$162,"&gt;="&amp;X27,'Draft Board'!$AB$2:$AB$162,1)</f>
        <v>9</v>
      </c>
      <c r="X27" s="12">
        <f>MAX(0,V27-'Live Calc'!$H$20)^'Live Calc'!$E$20</f>
        <v>147.3366979036567</v>
      </c>
      <c r="Y27" s="12">
        <v>27</v>
      </c>
      <c r="Z27" s="12">
        <f>IF(Y27&lt;&gt;_xlfn.MINIFS('Draft Board'!$Y$2:$Y$162,'Draft Board'!$X$2:$X$162,"="&amp;X27),0,IF(_xlfn.MINIFS('Draft Board'!$X$2:$X$162,'Draft Board'!$X$2:$X$162,"&gt;"&amp;X27)=0,1,IF((_xlfn.MINIFS('Draft Board'!$X$2:$X$162,'Draft Board'!$X$2:$X$162,"&gt;"&amp;X27)-X27)/_xlfn.MINIFS('Draft Board'!$X$2:$X$162,'Draft Board'!$X$2:$X$162,"&gt;"&amp;X27)&gt;0.08,1,0)))</f>
        <v>0</v>
      </c>
      <c r="AA27" s="12">
        <f>_xlfn.MINIFS('Draft Board'!$X$2:$X$162,'Draft Board'!$X$2:$X$162,"&gt;="&amp;X27,'Draft Board'!$Z$2:$Z$162,1)</f>
        <v>160.70502094522354</v>
      </c>
      <c r="AB27" s="12">
        <f>IF(Y27&lt;&gt;_xlfn.MINIFS('Draft Board'!$Y$2:$Y$162,'Draft Board'!$X$2:$X$162,"="&amp;X27),0,IF(OR(Z27=1,IFERROR(FLOOR((AA27-X27)/AA27/0.25,1),0)&lt;&gt;IFERROR(FLOOR((AA27-_xlfn.MINIFS('Draft Board'!$X$2:$X$162,'Draft Board'!$X$2:$X$162,"&gt;"&amp;X27))/AA27/0.25,1),0)),1,0))</f>
        <v>0</v>
      </c>
      <c r="AC27" s="12">
        <f>ROUND(1+X27*'Live Calc'!$D$27,0)</f>
        <v>16</v>
      </c>
      <c r="AD27" s="12"/>
      <c r="AE27" s="12">
        <f>IF(AD27&lt;&gt;"",AD27,ROUND(AC27*INDEX('Live Calc'!$G$96:$G$256,MATCH(W27,'Live Calc'!$A$96:$A$256,0))*'Live Calc'!$J$543,0))</f>
        <v>16</v>
      </c>
      <c r="AG27" s="13" t="s">
        <v>194</v>
      </c>
      <c r="AH27" s="13" t="s">
        <v>85</v>
      </c>
      <c r="AI27" s="13">
        <v>137.684</v>
      </c>
      <c r="AJ27" s="13">
        <v>171.91200000000001</v>
      </c>
      <c r="AK27" s="13">
        <v>208.86</v>
      </c>
      <c r="AL27" s="13">
        <f>CHOOSE(MATCH(Setup!$B$7,{"STD","Half-PPR","PPR"},0),AI27,AJ27,AK27)</f>
        <v>171.91200000000001</v>
      </c>
      <c r="AM27" s="13">
        <f>COUNTIFS('Draft Board'!$AN$2:$AN$192,"&gt;="&amp;AN27,'Draft Board'!$AR$2:$AR$192,1)</f>
        <v>6</v>
      </c>
      <c r="AN27" s="13">
        <f>MAX(0,AL27-'Live Calc'!$H$21)^'Live Calc'!$E$21</f>
        <v>563.91188861489331</v>
      </c>
      <c r="AO27" s="13">
        <v>27</v>
      </c>
      <c r="AP27" s="13">
        <f>IF(AO27&lt;&gt;_xlfn.MINIFS('Draft Board'!$AO$2:$AO$192,'Draft Board'!$AN$2:$AN$192,"="&amp;AN27),0,IF(_xlfn.MINIFS('Draft Board'!$AN$2:$AN$192,'Draft Board'!$AN$2:$AN$192,"&gt;"&amp;AN27)=0,1,IF((_xlfn.MINIFS('Draft Board'!$AN$2:$AN$192,'Draft Board'!$AN$2:$AN$192,"&gt;"&amp;AN27)-AN27)/_xlfn.MINIFS('Draft Board'!$AN$2:$AN$192,'Draft Board'!$AN$2:$AN$192,"&gt;"&amp;AN27)&gt;0.08,1,0)))</f>
        <v>0</v>
      </c>
      <c r="AQ27" s="13">
        <f>_xlfn.MINIFS('Draft Board'!$AN$2:$AN$192,'Draft Board'!$AN$2:$AN$192,"&gt;="&amp;AN27,'Draft Board'!$AP$2:$AP$192,1)</f>
        <v>747.89973741069355</v>
      </c>
      <c r="AR27" s="13">
        <f>IF(AO27&lt;&gt;_xlfn.MINIFS('Draft Board'!$AO$2:$AO$192,'Draft Board'!$AN$2:$AN$192,"="&amp;AN27),0,IF(OR(AP27=1,IFERROR(FLOOR((AQ27-AN27)/AQ27/0.25,1),0)&lt;&gt;IFERROR(FLOOR((AQ27-_xlfn.MINIFS('Draft Board'!$AN$2:$AN$192,'Draft Board'!$AN$2:$AN$192,"&gt;"&amp;AN27))/AQ27/0.25,1),0)),1,0))</f>
        <v>0</v>
      </c>
      <c r="AS27" s="13">
        <f>ROUND(1+AN27*'Live Calc'!$D$28,0)</f>
        <v>16</v>
      </c>
      <c r="AT27" s="13"/>
      <c r="AU27" s="13">
        <f>IF(AT27&lt;&gt;"",AT27,ROUND(AS27*INDEX('Live Calc'!$G$260:$G$450,MATCH(AM27,'Live Calc'!$A$260:$A$450,0))*'Live Calc'!$J$543,0))</f>
        <v>16</v>
      </c>
      <c r="AW27" s="14" t="s">
        <v>195</v>
      </c>
      <c r="AX27" s="14" t="s">
        <v>125</v>
      </c>
      <c r="AY27" s="14">
        <v>71.804000000000002</v>
      </c>
      <c r="AZ27" s="14">
        <v>97.426000000000002</v>
      </c>
      <c r="BA27" s="14">
        <v>122.866</v>
      </c>
      <c r="BB27" s="14">
        <f>CHOOSE(MATCH(Setup!$B$7,{"STD","Half-PPR","PPR"},0),AY27,AZ27,BA27)</f>
        <v>97.426000000000002</v>
      </c>
      <c r="BC27" s="14">
        <f>COUNTIFS('Draft Board'!$BD$2:$BD$87,"&gt;="&amp;BD27,'Draft Board'!$BH$2:$BH$87,1)</f>
        <v>18</v>
      </c>
      <c r="BD27" s="14">
        <f>MAX(0,BB27-'Live Calc'!$H$22)^'Live Calc'!$E$22</f>
        <v>0</v>
      </c>
      <c r="BE27" s="14">
        <v>27</v>
      </c>
      <c r="BF27" s="14">
        <f>IF(BE27&lt;&gt;_xlfn.MINIFS('Draft Board'!$BE$2:$BE$87,'Draft Board'!$BD$2:$BD$87,"="&amp;BD27),0,IF(_xlfn.MINIFS('Draft Board'!$BD$2:$BD$87,'Draft Board'!$BD$2:$BD$87,"&gt;"&amp;BD27)=0,1,IF((_xlfn.MINIFS('Draft Board'!$BD$2:$BD$87,'Draft Board'!$BD$2:$BD$87,"&gt;"&amp;BD27)-BD27)/_xlfn.MINIFS('Draft Board'!$BD$2:$BD$87,'Draft Board'!$BD$2:$BD$87,"&gt;"&amp;BD27)&gt;0.08,1,0)))</f>
        <v>0</v>
      </c>
      <c r="BG27" s="14">
        <f>_xlfn.MINIFS('Draft Board'!$BD$2:$BD$87,'Draft Board'!$BD$2:$BD$87,"&gt;="&amp;BD27,'Draft Board'!$BF$2:$BF$87,1)</f>
        <v>0</v>
      </c>
      <c r="BH27" s="14">
        <f>IF(BE27&lt;&gt;_xlfn.MINIFS('Draft Board'!$BE$2:$BE$87,'Draft Board'!$BD$2:$BD$87,"="&amp;BD27),0,IF(OR(BF27=1,IFERROR(FLOOR((BG27-BD27)/BG27/0.25,1),0)&lt;&gt;IFERROR(FLOOR((BG27-_xlfn.MINIFS('Draft Board'!$BD$2:$BD$87,'Draft Board'!$BD$2:$BD$87,"&gt;"&amp;BD27))/BG27/0.25,1),0)),1,0))</f>
        <v>0</v>
      </c>
      <c r="BI27" s="14">
        <f>ROUND(1+BD27*'Live Calc'!$D$29,0)</f>
        <v>1</v>
      </c>
      <c r="BJ27" s="14"/>
      <c r="BK27" s="14">
        <f>IF(BJ27&lt;&gt;"",BJ27,ROUND(BI27*INDEX('Live Calc'!$G$454:$G$539,MATCH(BC27,'Live Calc'!$A$454:$A$539,0))*'Live Calc'!$J$543,0))</f>
        <v>1</v>
      </c>
    </row>
    <row r="28" spans="1:63" x14ac:dyDescent="0.25">
      <c r="A28" s="11" t="s">
        <v>196</v>
      </c>
      <c r="B28" s="11" t="s">
        <v>190</v>
      </c>
      <c r="C28" s="11">
        <v>215.096</v>
      </c>
      <c r="D28" s="11">
        <v>218.24</v>
      </c>
      <c r="E28" s="11">
        <v>218.24</v>
      </c>
      <c r="F28" s="11">
        <f>CHOOSE(MATCH(Setup!$B$7,{"STD","Half-PPR","PPR"},0),C28,D28,E28)</f>
        <v>218.24</v>
      </c>
      <c r="G28" s="11">
        <f>COUNTIFS('Draft Board'!$H$2:$H$61,"&gt;="&amp;H28,'Draft Board'!$L$2:$L$61,1)</f>
        <v>11</v>
      </c>
      <c r="H28" s="11">
        <f>MAX(0,F28-'Live Calc'!$H$19)^'Live Calc'!$E$19</f>
        <v>0</v>
      </c>
      <c r="I28" s="11">
        <v>28</v>
      </c>
      <c r="J28" s="11">
        <f>IF(I28&lt;&gt;_xlfn.MINIFS('Draft Board'!$I$2:$I$61,'Draft Board'!$H$2:$H$61,"="&amp;H28),0,IF(_xlfn.MINIFS('Draft Board'!$H$2:$H$61,'Draft Board'!$H$2:$H$61,"&gt;"&amp;H28)=0,1,IF((_xlfn.MINIFS('Draft Board'!$H$2:$H$61,'Draft Board'!$H$2:$H$61,"&gt;"&amp;H28)-H28)/_xlfn.MINIFS('Draft Board'!$H$2:$H$61,'Draft Board'!$H$2:$H$61,"&gt;"&amp;H28)&gt;0.08,1,0)))</f>
        <v>0</v>
      </c>
      <c r="K28" s="11">
        <f>_xlfn.MINIFS('Draft Board'!$H$2:$H$61,'Draft Board'!$H$2:$H$61,"&gt;="&amp;H28,'Draft Board'!$J$2:$J$61,1)</f>
        <v>0</v>
      </c>
      <c r="L28" s="11">
        <f>IF(I28&lt;&gt;_xlfn.MINIFS('Draft Board'!$I$2:$I$61,'Draft Board'!$H$2:$H$61,"="&amp;H28),0,IF(OR(J28=1,IFERROR(FLOOR((K28-H28)/K28/0.25,1),0)&lt;&gt;IFERROR(FLOOR((K28-_xlfn.MINIFS('Draft Board'!$H$2:$H$61,'Draft Board'!$H$2:$H$61,"&gt;"&amp;H28))/K28/0.25,1),0)),1,0))</f>
        <v>0</v>
      </c>
      <c r="M28" s="11">
        <f>ROUND(1+H28*'Live Calc'!$D$26,0)</f>
        <v>1</v>
      </c>
      <c r="N28" s="11"/>
      <c r="O28" s="11">
        <f>IF(N28&lt;&gt;"",N28,ROUND(M28*INDEX('Live Calc'!$G$33:$G$92,MATCH(G28,'Live Calc'!$A$33:$A$92,0))*'Live Calc'!$J$543,0))</f>
        <v>1</v>
      </c>
      <c r="Q28" s="12" t="s">
        <v>197</v>
      </c>
      <c r="R28" s="12" t="s">
        <v>190</v>
      </c>
      <c r="S28" s="12">
        <v>143.11799999999999</v>
      </c>
      <c r="T28" s="12">
        <v>169.84399999999999</v>
      </c>
      <c r="U28" s="12">
        <v>190.214</v>
      </c>
      <c r="V28" s="12">
        <f>CHOOSE(MATCH(Setup!$B$7,{"STD","Half-PPR","PPR"},0),S28,T28,U28)</f>
        <v>169.84399999999999</v>
      </c>
      <c r="W28" s="12">
        <f>COUNTIFS('Draft Board'!$X$2:$X$162,"&gt;="&amp;X28,'Draft Board'!$AB$2:$AB$162,1)</f>
        <v>9</v>
      </c>
      <c r="X28" s="12">
        <f>MAX(0,V28-'Live Calc'!$H$20)^'Live Calc'!$E$20</f>
        <v>145.74962244692628</v>
      </c>
      <c r="Y28" s="12">
        <v>28</v>
      </c>
      <c r="Z28" s="12">
        <f>IF(Y28&lt;&gt;_xlfn.MINIFS('Draft Board'!$Y$2:$Y$162,'Draft Board'!$X$2:$X$162,"="&amp;X28),0,IF(_xlfn.MINIFS('Draft Board'!$X$2:$X$162,'Draft Board'!$X$2:$X$162,"&gt;"&amp;X28)=0,1,IF((_xlfn.MINIFS('Draft Board'!$X$2:$X$162,'Draft Board'!$X$2:$X$162,"&gt;"&amp;X28)-X28)/_xlfn.MINIFS('Draft Board'!$X$2:$X$162,'Draft Board'!$X$2:$X$162,"&gt;"&amp;X28)&gt;0.08,1,0)))</f>
        <v>0</v>
      </c>
      <c r="AA28" s="12">
        <f>_xlfn.MINIFS('Draft Board'!$X$2:$X$162,'Draft Board'!$X$2:$X$162,"&gt;="&amp;X28,'Draft Board'!$Z$2:$Z$162,1)</f>
        <v>160.70502094522354</v>
      </c>
      <c r="AB28" s="12">
        <f>IF(Y28&lt;&gt;_xlfn.MINIFS('Draft Board'!$Y$2:$Y$162,'Draft Board'!$X$2:$X$162,"="&amp;X28),0,IF(OR(Z28=1,IFERROR(FLOOR((AA28-X28)/AA28/0.25,1),0)&lt;&gt;IFERROR(FLOOR((AA28-_xlfn.MINIFS('Draft Board'!$X$2:$X$162,'Draft Board'!$X$2:$X$162,"&gt;"&amp;X28))/AA28/0.25,1),0)),1,0))</f>
        <v>0</v>
      </c>
      <c r="AC28" s="12">
        <f>ROUND(1+X28*'Live Calc'!$D$27,0)</f>
        <v>15</v>
      </c>
      <c r="AD28" s="12"/>
      <c r="AE28" s="12">
        <f>IF(AD28&lt;&gt;"",AD28,ROUND(AC28*INDEX('Live Calc'!$G$96:$G$256,MATCH(W28,'Live Calc'!$A$96:$A$256,0))*'Live Calc'!$J$543,0))</f>
        <v>15</v>
      </c>
      <c r="AG28" s="13" t="s">
        <v>198</v>
      </c>
      <c r="AH28" s="13" t="s">
        <v>79</v>
      </c>
      <c r="AI28" s="13">
        <v>137.54</v>
      </c>
      <c r="AJ28" s="13">
        <v>170.928</v>
      </c>
      <c r="AK28" s="13">
        <v>204.06800000000001</v>
      </c>
      <c r="AL28" s="13">
        <f>CHOOSE(MATCH(Setup!$B$7,{"STD","Half-PPR","PPR"},0),AI28,AJ28,AK28)</f>
        <v>170.928</v>
      </c>
      <c r="AM28" s="13">
        <f>COUNTIFS('Draft Board'!$AN$2:$AN$192,"&gt;="&amp;AN28,'Draft Board'!$AR$2:$AR$192,1)</f>
        <v>7</v>
      </c>
      <c r="AN28" s="13">
        <f>MAX(0,AL28-'Live Calc'!$H$21)^'Live Calc'!$E$21</f>
        <v>551.76164682555441</v>
      </c>
      <c r="AO28" s="13">
        <v>28</v>
      </c>
      <c r="AP28" s="13">
        <f>IF(AO28&lt;&gt;_xlfn.MINIFS('Draft Board'!$AO$2:$AO$192,'Draft Board'!$AN$2:$AN$192,"="&amp;AN28),0,IF(_xlfn.MINIFS('Draft Board'!$AN$2:$AN$192,'Draft Board'!$AN$2:$AN$192,"&gt;"&amp;AN28)=0,1,IF((_xlfn.MINIFS('Draft Board'!$AN$2:$AN$192,'Draft Board'!$AN$2:$AN$192,"&gt;"&amp;AN28)-AN28)/_xlfn.MINIFS('Draft Board'!$AN$2:$AN$192,'Draft Board'!$AN$2:$AN$192,"&gt;"&amp;AN28)&gt;0.08,1,0)))</f>
        <v>0</v>
      </c>
      <c r="AQ28" s="13">
        <f>_xlfn.MINIFS('Draft Board'!$AN$2:$AN$192,'Draft Board'!$AN$2:$AN$192,"&gt;="&amp;AN28,'Draft Board'!$AP$2:$AP$192,1)</f>
        <v>747.89973741069355</v>
      </c>
      <c r="AR28" s="13">
        <f>IF(AO28&lt;&gt;_xlfn.MINIFS('Draft Board'!$AO$2:$AO$192,'Draft Board'!$AN$2:$AN$192,"="&amp;AN28),0,IF(OR(AP28=1,IFERROR(FLOOR((AQ28-AN28)/AQ28/0.25,1),0)&lt;&gt;IFERROR(FLOOR((AQ28-_xlfn.MINIFS('Draft Board'!$AN$2:$AN$192,'Draft Board'!$AN$2:$AN$192,"&gt;"&amp;AN28))/AQ28/0.25,1),0)),1,0))</f>
        <v>1</v>
      </c>
      <c r="AS28" s="13">
        <f>ROUND(1+AN28*'Live Calc'!$D$28,0)</f>
        <v>16</v>
      </c>
      <c r="AT28" s="13"/>
      <c r="AU28" s="13">
        <f>IF(AT28&lt;&gt;"",AT28,ROUND(AS28*INDEX('Live Calc'!$G$260:$G$450,MATCH(AM28,'Live Calc'!$A$260:$A$450,0))*'Live Calc'!$J$543,0))</f>
        <v>16</v>
      </c>
      <c r="AW28" s="14" t="s">
        <v>199</v>
      </c>
      <c r="AX28" s="14" t="s">
        <v>159</v>
      </c>
      <c r="AY28" s="14">
        <v>70.819999999999993</v>
      </c>
      <c r="AZ28" s="14">
        <v>97.403999999999996</v>
      </c>
      <c r="BA28" s="14">
        <v>124.57</v>
      </c>
      <c r="BB28" s="14">
        <f>CHOOSE(MATCH(Setup!$B$7,{"STD","Half-PPR","PPR"},0),AY28,AZ28,BA28)</f>
        <v>97.403999999999996</v>
      </c>
      <c r="BC28" s="14">
        <f>COUNTIFS('Draft Board'!$BD$2:$BD$87,"&gt;="&amp;BD28,'Draft Board'!$BH$2:$BH$87,1)</f>
        <v>18</v>
      </c>
      <c r="BD28" s="14">
        <f>MAX(0,BB28-'Live Calc'!$H$22)^'Live Calc'!$E$22</f>
        <v>0</v>
      </c>
      <c r="BE28" s="14">
        <v>28</v>
      </c>
      <c r="BF28" s="14">
        <f>IF(BE28&lt;&gt;_xlfn.MINIFS('Draft Board'!$BE$2:$BE$87,'Draft Board'!$BD$2:$BD$87,"="&amp;BD28),0,IF(_xlfn.MINIFS('Draft Board'!$BD$2:$BD$87,'Draft Board'!$BD$2:$BD$87,"&gt;"&amp;BD28)=0,1,IF((_xlfn.MINIFS('Draft Board'!$BD$2:$BD$87,'Draft Board'!$BD$2:$BD$87,"&gt;"&amp;BD28)-BD28)/_xlfn.MINIFS('Draft Board'!$BD$2:$BD$87,'Draft Board'!$BD$2:$BD$87,"&gt;"&amp;BD28)&gt;0.08,1,0)))</f>
        <v>0</v>
      </c>
      <c r="BG28" s="14">
        <f>_xlfn.MINIFS('Draft Board'!$BD$2:$BD$87,'Draft Board'!$BD$2:$BD$87,"&gt;="&amp;BD28,'Draft Board'!$BF$2:$BF$87,1)</f>
        <v>0</v>
      </c>
      <c r="BH28" s="14">
        <f>IF(BE28&lt;&gt;_xlfn.MINIFS('Draft Board'!$BE$2:$BE$87,'Draft Board'!$BD$2:$BD$87,"="&amp;BD28),0,IF(OR(BF28=1,IFERROR(FLOOR((BG28-BD28)/BG28/0.25,1),0)&lt;&gt;IFERROR(FLOOR((BG28-_xlfn.MINIFS('Draft Board'!$BD$2:$BD$87,'Draft Board'!$BD$2:$BD$87,"&gt;"&amp;BD28))/BG28/0.25,1),0)),1,0))</f>
        <v>0</v>
      </c>
      <c r="BI28" s="14">
        <f>ROUND(1+BD28*'Live Calc'!$D$29,0)</f>
        <v>1</v>
      </c>
      <c r="BJ28" s="14"/>
      <c r="BK28" s="14">
        <f>IF(BJ28&lt;&gt;"",BJ28,ROUND(BI28*INDEX('Live Calc'!$G$454:$G$539,MATCH(BC28,'Live Calc'!$A$454:$A$539,0))*'Live Calc'!$J$543,0))</f>
        <v>1</v>
      </c>
    </row>
    <row r="29" spans="1:63" x14ac:dyDescent="0.25">
      <c r="A29" s="11" t="s">
        <v>200</v>
      </c>
      <c r="B29" s="11" t="s">
        <v>67</v>
      </c>
      <c r="C29" s="11">
        <v>213.524</v>
      </c>
      <c r="D29" s="11">
        <v>208.3</v>
      </c>
      <c r="E29" s="11">
        <v>208.3</v>
      </c>
      <c r="F29" s="11">
        <f>CHOOSE(MATCH(Setup!$B$7,{"STD","Half-PPR","PPR"},0),C29,D29,E29)</f>
        <v>208.3</v>
      </c>
      <c r="G29" s="11">
        <f>COUNTIFS('Draft Board'!$H$2:$H$61,"&gt;="&amp;H29,'Draft Board'!$L$2:$L$61,1)</f>
        <v>11</v>
      </c>
      <c r="H29" s="11">
        <f>MAX(0,F29-'Live Calc'!$H$19)^'Live Calc'!$E$19</f>
        <v>0</v>
      </c>
      <c r="I29" s="11">
        <v>29</v>
      </c>
      <c r="J29" s="11">
        <f>IF(I29&lt;&gt;_xlfn.MINIFS('Draft Board'!$I$2:$I$61,'Draft Board'!$H$2:$H$61,"="&amp;H29),0,IF(_xlfn.MINIFS('Draft Board'!$H$2:$H$61,'Draft Board'!$H$2:$H$61,"&gt;"&amp;H29)=0,1,IF((_xlfn.MINIFS('Draft Board'!$H$2:$H$61,'Draft Board'!$H$2:$H$61,"&gt;"&amp;H29)-H29)/_xlfn.MINIFS('Draft Board'!$H$2:$H$61,'Draft Board'!$H$2:$H$61,"&gt;"&amp;H29)&gt;0.08,1,0)))</f>
        <v>0</v>
      </c>
      <c r="K29" s="11">
        <f>_xlfn.MINIFS('Draft Board'!$H$2:$H$61,'Draft Board'!$H$2:$H$61,"&gt;="&amp;H29,'Draft Board'!$J$2:$J$61,1)</f>
        <v>0</v>
      </c>
      <c r="L29" s="11">
        <f>IF(I29&lt;&gt;_xlfn.MINIFS('Draft Board'!$I$2:$I$61,'Draft Board'!$H$2:$H$61,"="&amp;H29),0,IF(OR(J29=1,IFERROR(FLOOR((K29-H29)/K29/0.25,1),0)&lt;&gt;IFERROR(FLOOR((K29-_xlfn.MINIFS('Draft Board'!$H$2:$H$61,'Draft Board'!$H$2:$H$61,"&gt;"&amp;H29))/K29/0.25,1),0)),1,0))</f>
        <v>0</v>
      </c>
      <c r="M29" s="11">
        <f>ROUND(1+H29*'Live Calc'!$D$26,0)</f>
        <v>1</v>
      </c>
      <c r="N29" s="11"/>
      <c r="O29" s="11">
        <f>IF(N29&lt;&gt;"",N29,ROUND(M29*INDEX('Live Calc'!$G$33:$G$92,MATCH(G29,'Live Calc'!$A$33:$A$92,0))*'Live Calc'!$J$543,0))</f>
        <v>1</v>
      </c>
      <c r="Q29" s="12" t="s">
        <v>201</v>
      </c>
      <c r="R29" s="12" t="s">
        <v>77</v>
      </c>
      <c r="S29" s="12">
        <v>150.88</v>
      </c>
      <c r="T29" s="12">
        <v>169.01599999999999</v>
      </c>
      <c r="U29" s="12">
        <v>184.75399999999999</v>
      </c>
      <c r="V29" s="12">
        <f>CHOOSE(MATCH(Setup!$B$7,{"STD","Half-PPR","PPR"},0),S29,T29,U29)</f>
        <v>169.01599999999999</v>
      </c>
      <c r="W29" s="12">
        <f>COUNTIFS('Draft Board'!$X$2:$X$162,"&gt;="&amp;X29,'Draft Board'!$AB$2:$AB$162,1)</f>
        <v>9</v>
      </c>
      <c r="X29" s="12">
        <f>MAX(0,V29-'Live Calc'!$H$20)^'Live Calc'!$E$20</f>
        <v>143.47324390746209</v>
      </c>
      <c r="Y29" s="12">
        <v>29</v>
      </c>
      <c r="Z29" s="12">
        <f>IF(Y29&lt;&gt;_xlfn.MINIFS('Draft Board'!$Y$2:$Y$162,'Draft Board'!$X$2:$X$162,"="&amp;X29),0,IF(_xlfn.MINIFS('Draft Board'!$X$2:$X$162,'Draft Board'!$X$2:$X$162,"&gt;"&amp;X29)=0,1,IF((_xlfn.MINIFS('Draft Board'!$X$2:$X$162,'Draft Board'!$X$2:$X$162,"&gt;"&amp;X29)-X29)/_xlfn.MINIFS('Draft Board'!$X$2:$X$162,'Draft Board'!$X$2:$X$162,"&gt;"&amp;X29)&gt;0.08,1,0)))</f>
        <v>0</v>
      </c>
      <c r="AA29" s="12">
        <f>_xlfn.MINIFS('Draft Board'!$X$2:$X$162,'Draft Board'!$X$2:$X$162,"&gt;="&amp;X29,'Draft Board'!$Z$2:$Z$162,1)</f>
        <v>160.70502094522354</v>
      </c>
      <c r="AB29" s="12">
        <f>IF(Y29&lt;&gt;_xlfn.MINIFS('Draft Board'!$Y$2:$Y$162,'Draft Board'!$X$2:$X$162,"="&amp;X29),0,IF(OR(Z29=1,IFERROR(FLOOR((AA29-X29)/AA29/0.25,1),0)&lt;&gt;IFERROR(FLOOR((AA29-_xlfn.MINIFS('Draft Board'!$X$2:$X$162,'Draft Board'!$X$2:$X$162,"&gt;"&amp;X29))/AA29/0.25,1),0)),1,0))</f>
        <v>0</v>
      </c>
      <c r="AC29" s="12">
        <f>ROUND(1+X29*'Live Calc'!$D$27,0)</f>
        <v>15</v>
      </c>
      <c r="AD29" s="12"/>
      <c r="AE29" s="12">
        <f>IF(AD29&lt;&gt;"",AD29,ROUND(AC29*INDEX('Live Calc'!$G$96:$G$256,MATCH(W29,'Live Calc'!$A$96:$A$256,0))*'Live Calc'!$J$543,0))</f>
        <v>15</v>
      </c>
      <c r="AG29" s="13" t="s">
        <v>202</v>
      </c>
      <c r="AH29" s="13" t="s">
        <v>61</v>
      </c>
      <c r="AI29" s="13">
        <v>133.6</v>
      </c>
      <c r="AJ29" s="13">
        <v>167.178</v>
      </c>
      <c r="AK29" s="13">
        <v>200.042</v>
      </c>
      <c r="AL29" s="13">
        <f>CHOOSE(MATCH(Setup!$B$7,{"STD","Half-PPR","PPR"},0),AI29,AJ29,AK29)</f>
        <v>167.178</v>
      </c>
      <c r="AM29" s="13">
        <f>COUNTIFS('Draft Board'!$AN$2:$AN$192,"&gt;="&amp;AN29,'Draft Board'!$AR$2:$AR$192,1)</f>
        <v>8</v>
      </c>
      <c r="AN29" s="13">
        <f>MAX(0,AL29-'Live Calc'!$H$21)^'Live Calc'!$E$21</f>
        <v>506.27472355693146</v>
      </c>
      <c r="AO29" s="13">
        <v>29</v>
      </c>
      <c r="AP29" s="13">
        <f>IF(AO29&lt;&gt;_xlfn.MINIFS('Draft Board'!$AO$2:$AO$192,'Draft Board'!$AN$2:$AN$192,"="&amp;AN29),0,IF(_xlfn.MINIFS('Draft Board'!$AN$2:$AN$192,'Draft Board'!$AN$2:$AN$192,"&gt;"&amp;AN29)=0,1,IF((_xlfn.MINIFS('Draft Board'!$AN$2:$AN$192,'Draft Board'!$AN$2:$AN$192,"&gt;"&amp;AN29)-AN29)/_xlfn.MINIFS('Draft Board'!$AN$2:$AN$192,'Draft Board'!$AN$2:$AN$192,"&gt;"&amp;AN29)&gt;0.08,1,0)))</f>
        <v>1</v>
      </c>
      <c r="AQ29" s="13">
        <f>_xlfn.MINIFS('Draft Board'!$AN$2:$AN$192,'Draft Board'!$AN$2:$AN$192,"&gt;="&amp;AN29,'Draft Board'!$AP$2:$AP$192,1)</f>
        <v>506.27472355693146</v>
      </c>
      <c r="AR29" s="13">
        <f>IF(AO29&lt;&gt;_xlfn.MINIFS('Draft Board'!$AO$2:$AO$192,'Draft Board'!$AN$2:$AN$192,"="&amp;AN29),0,IF(OR(AP29=1,IFERROR(FLOOR((AQ29-AN29)/AQ29/0.25,1),0)&lt;&gt;IFERROR(FLOOR((AQ29-_xlfn.MINIFS('Draft Board'!$AN$2:$AN$192,'Draft Board'!$AN$2:$AN$192,"&gt;"&amp;AN29))/AQ29/0.25,1),0)),1,0))</f>
        <v>1</v>
      </c>
      <c r="AS29" s="13">
        <f>ROUND(1+AN29*'Live Calc'!$D$28,0)</f>
        <v>15</v>
      </c>
      <c r="AT29" s="13"/>
      <c r="AU29" s="13">
        <f>IF(AT29&lt;&gt;"",AT29,ROUND(AS29*INDEX('Live Calc'!$G$260:$G$450,MATCH(AM29,'Live Calc'!$A$260:$A$450,0))*'Live Calc'!$J$543,0))</f>
        <v>15</v>
      </c>
      <c r="AW29" s="14" t="s">
        <v>203</v>
      </c>
      <c r="AX29" s="14" t="s">
        <v>118</v>
      </c>
      <c r="AY29" s="14">
        <v>72.091999999999999</v>
      </c>
      <c r="AZ29" s="14">
        <v>93.114000000000004</v>
      </c>
      <c r="BA29" s="14">
        <v>111.54600000000001</v>
      </c>
      <c r="BB29" s="14">
        <f>CHOOSE(MATCH(Setup!$B$7,{"STD","Half-PPR","PPR"},0),AY29,AZ29,BA29)</f>
        <v>93.114000000000004</v>
      </c>
      <c r="BC29" s="14">
        <f>COUNTIFS('Draft Board'!$BD$2:$BD$87,"&gt;="&amp;BD29,'Draft Board'!$BH$2:$BH$87,1)</f>
        <v>18</v>
      </c>
      <c r="BD29" s="14">
        <f>MAX(0,BB29-'Live Calc'!$H$22)^'Live Calc'!$E$22</f>
        <v>0</v>
      </c>
      <c r="BE29" s="14">
        <v>29</v>
      </c>
      <c r="BF29" s="14">
        <f>IF(BE29&lt;&gt;_xlfn.MINIFS('Draft Board'!$BE$2:$BE$87,'Draft Board'!$BD$2:$BD$87,"="&amp;BD29),0,IF(_xlfn.MINIFS('Draft Board'!$BD$2:$BD$87,'Draft Board'!$BD$2:$BD$87,"&gt;"&amp;BD29)=0,1,IF((_xlfn.MINIFS('Draft Board'!$BD$2:$BD$87,'Draft Board'!$BD$2:$BD$87,"&gt;"&amp;BD29)-BD29)/_xlfn.MINIFS('Draft Board'!$BD$2:$BD$87,'Draft Board'!$BD$2:$BD$87,"&gt;"&amp;BD29)&gt;0.08,1,0)))</f>
        <v>0</v>
      </c>
      <c r="BG29" s="14">
        <f>_xlfn.MINIFS('Draft Board'!$BD$2:$BD$87,'Draft Board'!$BD$2:$BD$87,"&gt;="&amp;BD29,'Draft Board'!$BF$2:$BF$87,1)</f>
        <v>0</v>
      </c>
      <c r="BH29" s="14">
        <f>IF(BE29&lt;&gt;_xlfn.MINIFS('Draft Board'!$BE$2:$BE$87,'Draft Board'!$BD$2:$BD$87,"="&amp;BD29),0,IF(OR(BF29=1,IFERROR(FLOOR((BG29-BD29)/BG29/0.25,1),0)&lt;&gt;IFERROR(FLOOR((BG29-_xlfn.MINIFS('Draft Board'!$BD$2:$BD$87,'Draft Board'!$BD$2:$BD$87,"&gt;"&amp;BD29))/BG29/0.25,1),0)),1,0))</f>
        <v>0</v>
      </c>
      <c r="BI29" s="14">
        <f>ROUND(1+BD29*'Live Calc'!$D$29,0)</f>
        <v>1</v>
      </c>
      <c r="BJ29" s="14"/>
      <c r="BK29" s="14">
        <f>IF(BJ29&lt;&gt;"",BJ29,ROUND(BI29*INDEX('Live Calc'!$G$454:$G$539,MATCH(BC29,'Live Calc'!$A$454:$A$539,0))*'Live Calc'!$J$543,0))</f>
        <v>1</v>
      </c>
    </row>
    <row r="30" spans="1:63" x14ac:dyDescent="0.25">
      <c r="A30" s="11" t="s">
        <v>204</v>
      </c>
      <c r="B30" s="11" t="s">
        <v>153</v>
      </c>
      <c r="C30" s="11">
        <v>176.11199999999999</v>
      </c>
      <c r="D30" s="11">
        <v>196.28399999999999</v>
      </c>
      <c r="E30" s="11">
        <v>196.28399999999999</v>
      </c>
      <c r="F30" s="11">
        <f>CHOOSE(MATCH(Setup!$B$7,{"STD","Half-PPR","PPR"},0),C30,D30,E30)</f>
        <v>196.28399999999999</v>
      </c>
      <c r="G30" s="11">
        <f>COUNTIFS('Draft Board'!$H$2:$H$61,"&gt;="&amp;H30,'Draft Board'!$L$2:$L$61,1)</f>
        <v>11</v>
      </c>
      <c r="H30" s="11">
        <f>MAX(0,F30-'Live Calc'!$H$19)^'Live Calc'!$E$19</f>
        <v>0</v>
      </c>
      <c r="I30" s="11">
        <v>30</v>
      </c>
      <c r="J30" s="11">
        <f>IF(I30&lt;&gt;_xlfn.MINIFS('Draft Board'!$I$2:$I$61,'Draft Board'!$H$2:$H$61,"="&amp;H30),0,IF(_xlfn.MINIFS('Draft Board'!$H$2:$H$61,'Draft Board'!$H$2:$H$61,"&gt;"&amp;H30)=0,1,IF((_xlfn.MINIFS('Draft Board'!$H$2:$H$61,'Draft Board'!$H$2:$H$61,"&gt;"&amp;H30)-H30)/_xlfn.MINIFS('Draft Board'!$H$2:$H$61,'Draft Board'!$H$2:$H$61,"&gt;"&amp;H30)&gt;0.08,1,0)))</f>
        <v>0</v>
      </c>
      <c r="K30" s="11">
        <f>_xlfn.MINIFS('Draft Board'!$H$2:$H$61,'Draft Board'!$H$2:$H$61,"&gt;="&amp;H30,'Draft Board'!$J$2:$J$61,1)</f>
        <v>0</v>
      </c>
      <c r="L30" s="11">
        <f>IF(I30&lt;&gt;_xlfn.MINIFS('Draft Board'!$I$2:$I$61,'Draft Board'!$H$2:$H$61,"="&amp;H30),0,IF(OR(J30=1,IFERROR(FLOOR((K30-H30)/K30/0.25,1),0)&lt;&gt;IFERROR(FLOOR((K30-_xlfn.MINIFS('Draft Board'!$H$2:$H$61,'Draft Board'!$H$2:$H$61,"&gt;"&amp;H30))/K30/0.25,1),0)),1,0))</f>
        <v>0</v>
      </c>
      <c r="M30" s="11">
        <f>ROUND(1+H30*'Live Calc'!$D$26,0)</f>
        <v>1</v>
      </c>
      <c r="N30" s="11"/>
      <c r="O30" s="11">
        <f>IF(N30&lt;&gt;"",N30,ROUND(M30*INDEX('Live Calc'!$G$33:$G$92,MATCH(G30,'Live Calc'!$A$33:$A$92,0))*'Live Calc'!$J$543,0))</f>
        <v>1</v>
      </c>
      <c r="Q30" s="12" t="s">
        <v>205</v>
      </c>
      <c r="R30" s="12" t="s">
        <v>190</v>
      </c>
      <c r="S30" s="12">
        <v>147.678</v>
      </c>
      <c r="T30" s="12">
        <v>162.16200000000001</v>
      </c>
      <c r="U30" s="12">
        <v>177.756</v>
      </c>
      <c r="V30" s="12">
        <f>CHOOSE(MATCH(Setup!$B$7,{"STD","Half-PPR","PPR"},0),S30,T30,U30)</f>
        <v>162.16200000000001</v>
      </c>
      <c r="W30" s="12">
        <f>COUNTIFS('Draft Board'!$X$2:$X$162,"&gt;="&amp;X30,'Draft Board'!$AB$2:$AB$162,1)</f>
        <v>10</v>
      </c>
      <c r="X30" s="12">
        <f>MAX(0,V30-'Live Calc'!$H$20)^'Live Calc'!$E$20</f>
        <v>124.86665427415747</v>
      </c>
      <c r="Y30" s="12">
        <v>30</v>
      </c>
      <c r="Z30" s="12">
        <f>IF(Y30&lt;&gt;_xlfn.MINIFS('Draft Board'!$Y$2:$Y$162,'Draft Board'!$X$2:$X$162,"="&amp;X30),0,IF(_xlfn.MINIFS('Draft Board'!$X$2:$X$162,'Draft Board'!$X$2:$X$162,"&gt;"&amp;X30)=0,1,IF((_xlfn.MINIFS('Draft Board'!$X$2:$X$162,'Draft Board'!$X$2:$X$162,"&gt;"&amp;X30)-X30)/_xlfn.MINIFS('Draft Board'!$X$2:$X$162,'Draft Board'!$X$2:$X$162,"&gt;"&amp;X30)&gt;0.08,1,0)))</f>
        <v>1</v>
      </c>
      <c r="AA30" s="12">
        <f>_xlfn.MINIFS('Draft Board'!$X$2:$X$162,'Draft Board'!$X$2:$X$162,"&gt;="&amp;X30,'Draft Board'!$Z$2:$Z$162,1)</f>
        <v>124.86665427415747</v>
      </c>
      <c r="AB30" s="12">
        <f>IF(Y30&lt;&gt;_xlfn.MINIFS('Draft Board'!$Y$2:$Y$162,'Draft Board'!$X$2:$X$162,"="&amp;X30),0,IF(OR(Z30=1,IFERROR(FLOOR((AA30-X30)/AA30/0.25,1),0)&lt;&gt;IFERROR(FLOOR((AA30-_xlfn.MINIFS('Draft Board'!$X$2:$X$162,'Draft Board'!$X$2:$X$162,"&gt;"&amp;X30))/AA30/0.25,1),0)),1,0))</f>
        <v>1</v>
      </c>
      <c r="AC30" s="12">
        <f>ROUND(1+X30*'Live Calc'!$D$27,0)</f>
        <v>13</v>
      </c>
      <c r="AD30" s="12"/>
      <c r="AE30" s="12">
        <f>IF(AD30&lt;&gt;"",AD30,ROUND(AC30*INDEX('Live Calc'!$G$96:$G$256,MATCH(W30,'Live Calc'!$A$96:$A$256,0))*'Live Calc'!$J$543,0))</f>
        <v>13</v>
      </c>
      <c r="AG30" s="13" t="s">
        <v>206</v>
      </c>
      <c r="AH30" s="13" t="s">
        <v>83</v>
      </c>
      <c r="AI30" s="13">
        <v>135.37</v>
      </c>
      <c r="AJ30" s="13">
        <v>166.762</v>
      </c>
      <c r="AK30" s="13">
        <v>198.11</v>
      </c>
      <c r="AL30" s="13">
        <f>CHOOSE(MATCH(Setup!$B$7,{"STD","Half-PPR","PPR"},0),AI30,AJ30,AK30)</f>
        <v>166.762</v>
      </c>
      <c r="AM30" s="13">
        <f>COUNTIFS('Draft Board'!$AN$2:$AN$192,"&gt;="&amp;AN30,'Draft Board'!$AR$2:$AR$192,1)</f>
        <v>8</v>
      </c>
      <c r="AN30" s="13">
        <f>MAX(0,AL30-'Live Calc'!$H$21)^'Live Calc'!$E$21</f>
        <v>501.30955186891862</v>
      </c>
      <c r="AO30" s="13">
        <v>30</v>
      </c>
      <c r="AP30" s="13">
        <f>IF(AO30&lt;&gt;_xlfn.MINIFS('Draft Board'!$AO$2:$AO$192,'Draft Board'!$AN$2:$AN$192,"="&amp;AN30),0,IF(_xlfn.MINIFS('Draft Board'!$AN$2:$AN$192,'Draft Board'!$AN$2:$AN$192,"&gt;"&amp;AN30)=0,1,IF((_xlfn.MINIFS('Draft Board'!$AN$2:$AN$192,'Draft Board'!$AN$2:$AN$192,"&gt;"&amp;AN30)-AN30)/_xlfn.MINIFS('Draft Board'!$AN$2:$AN$192,'Draft Board'!$AN$2:$AN$192,"&gt;"&amp;AN30)&gt;0.08,1,0)))</f>
        <v>0</v>
      </c>
      <c r="AQ30" s="13">
        <f>_xlfn.MINIFS('Draft Board'!$AN$2:$AN$192,'Draft Board'!$AN$2:$AN$192,"&gt;="&amp;AN30,'Draft Board'!$AP$2:$AP$192,1)</f>
        <v>506.27472355693146</v>
      </c>
      <c r="AR30" s="13">
        <f>IF(AO30&lt;&gt;_xlfn.MINIFS('Draft Board'!$AO$2:$AO$192,'Draft Board'!$AN$2:$AN$192,"="&amp;AN30),0,IF(OR(AP30=1,IFERROR(FLOOR((AQ30-AN30)/AQ30/0.25,1),0)&lt;&gt;IFERROR(FLOOR((AQ30-_xlfn.MINIFS('Draft Board'!$AN$2:$AN$192,'Draft Board'!$AN$2:$AN$192,"&gt;"&amp;AN30))/AQ30/0.25,1),0)),1,0))</f>
        <v>0</v>
      </c>
      <c r="AS30" s="13">
        <f>ROUND(1+AN30*'Live Calc'!$D$28,0)</f>
        <v>15</v>
      </c>
      <c r="AT30" s="13"/>
      <c r="AU30" s="13">
        <f>IF(AT30&lt;&gt;"",AT30,ROUND(AS30*INDEX('Live Calc'!$G$260:$G$450,MATCH(AM30,'Live Calc'!$A$260:$A$450,0))*'Live Calc'!$J$543,0))</f>
        <v>15</v>
      </c>
      <c r="AW30" s="14" t="s">
        <v>207</v>
      </c>
      <c r="AX30" s="14" t="s">
        <v>192</v>
      </c>
      <c r="AY30" s="14">
        <v>66.822000000000003</v>
      </c>
      <c r="AZ30" s="14">
        <v>90.036000000000001</v>
      </c>
      <c r="BA30" s="14">
        <v>113.254</v>
      </c>
      <c r="BB30" s="14">
        <f>CHOOSE(MATCH(Setup!$B$7,{"STD","Half-PPR","PPR"},0),AY30,AZ30,BA30)</f>
        <v>90.036000000000001</v>
      </c>
      <c r="BC30" s="14">
        <f>COUNTIFS('Draft Board'!$BD$2:$BD$87,"&gt;="&amp;BD30,'Draft Board'!$BH$2:$BH$87,1)</f>
        <v>18</v>
      </c>
      <c r="BD30" s="14">
        <f>MAX(0,BB30-'Live Calc'!$H$22)^'Live Calc'!$E$22</f>
        <v>0</v>
      </c>
      <c r="BE30" s="14">
        <v>30</v>
      </c>
      <c r="BF30" s="14">
        <f>IF(BE30&lt;&gt;_xlfn.MINIFS('Draft Board'!$BE$2:$BE$87,'Draft Board'!$BD$2:$BD$87,"="&amp;BD30),0,IF(_xlfn.MINIFS('Draft Board'!$BD$2:$BD$87,'Draft Board'!$BD$2:$BD$87,"&gt;"&amp;BD30)=0,1,IF((_xlfn.MINIFS('Draft Board'!$BD$2:$BD$87,'Draft Board'!$BD$2:$BD$87,"&gt;"&amp;BD30)-BD30)/_xlfn.MINIFS('Draft Board'!$BD$2:$BD$87,'Draft Board'!$BD$2:$BD$87,"&gt;"&amp;BD30)&gt;0.08,1,0)))</f>
        <v>0</v>
      </c>
      <c r="BG30" s="14">
        <f>_xlfn.MINIFS('Draft Board'!$BD$2:$BD$87,'Draft Board'!$BD$2:$BD$87,"&gt;="&amp;BD30,'Draft Board'!$BF$2:$BF$87,1)</f>
        <v>0</v>
      </c>
      <c r="BH30" s="14">
        <f>IF(BE30&lt;&gt;_xlfn.MINIFS('Draft Board'!$BE$2:$BE$87,'Draft Board'!$BD$2:$BD$87,"="&amp;BD30),0,IF(OR(BF30=1,IFERROR(FLOOR((BG30-BD30)/BG30/0.25,1),0)&lt;&gt;IFERROR(FLOOR((BG30-_xlfn.MINIFS('Draft Board'!$BD$2:$BD$87,'Draft Board'!$BD$2:$BD$87,"&gt;"&amp;BD30))/BG30/0.25,1),0)),1,0))</f>
        <v>0</v>
      </c>
      <c r="BI30" s="14">
        <f>ROUND(1+BD30*'Live Calc'!$D$29,0)</f>
        <v>1</v>
      </c>
      <c r="BJ30" s="14"/>
      <c r="BK30" s="14">
        <f>IF(BJ30&lt;&gt;"",BJ30,ROUND(BI30*INDEX('Live Calc'!$G$454:$G$539,MATCH(BC30,'Live Calc'!$A$454:$A$539,0))*'Live Calc'!$J$543,0))</f>
        <v>1</v>
      </c>
    </row>
    <row r="31" spans="1:63" x14ac:dyDescent="0.25">
      <c r="A31" s="11" t="s">
        <v>208</v>
      </c>
      <c r="B31" s="11" t="s">
        <v>75</v>
      </c>
      <c r="C31" s="11">
        <v>191.83600000000001</v>
      </c>
      <c r="D31" s="11">
        <v>193.916</v>
      </c>
      <c r="E31" s="11">
        <v>193.916</v>
      </c>
      <c r="F31" s="11">
        <f>CHOOSE(MATCH(Setup!$B$7,{"STD","Half-PPR","PPR"},0),C31,D31,E31)</f>
        <v>193.916</v>
      </c>
      <c r="G31" s="11">
        <f>COUNTIFS('Draft Board'!$H$2:$H$61,"&gt;="&amp;H31,'Draft Board'!$L$2:$L$61,1)</f>
        <v>11</v>
      </c>
      <c r="H31" s="11">
        <f>MAX(0,F31-'Live Calc'!$H$19)^'Live Calc'!$E$19</f>
        <v>0</v>
      </c>
      <c r="I31" s="11">
        <v>31</v>
      </c>
      <c r="J31" s="11">
        <f>IF(I31&lt;&gt;_xlfn.MINIFS('Draft Board'!$I$2:$I$61,'Draft Board'!$H$2:$H$61,"="&amp;H31),0,IF(_xlfn.MINIFS('Draft Board'!$H$2:$H$61,'Draft Board'!$H$2:$H$61,"&gt;"&amp;H31)=0,1,IF((_xlfn.MINIFS('Draft Board'!$H$2:$H$61,'Draft Board'!$H$2:$H$61,"&gt;"&amp;H31)-H31)/_xlfn.MINIFS('Draft Board'!$H$2:$H$61,'Draft Board'!$H$2:$H$61,"&gt;"&amp;H31)&gt;0.08,1,0)))</f>
        <v>0</v>
      </c>
      <c r="K31" s="11">
        <f>_xlfn.MINIFS('Draft Board'!$H$2:$H$61,'Draft Board'!$H$2:$H$61,"&gt;="&amp;H31,'Draft Board'!$J$2:$J$61,1)</f>
        <v>0</v>
      </c>
      <c r="L31" s="11">
        <f>IF(I31&lt;&gt;_xlfn.MINIFS('Draft Board'!$I$2:$I$61,'Draft Board'!$H$2:$H$61,"="&amp;H31),0,IF(OR(J31=1,IFERROR(FLOOR((K31-H31)/K31/0.25,1),0)&lt;&gt;IFERROR(FLOOR((K31-_xlfn.MINIFS('Draft Board'!$H$2:$H$61,'Draft Board'!$H$2:$H$61,"&gt;"&amp;H31))/K31/0.25,1),0)),1,0))</f>
        <v>0</v>
      </c>
      <c r="M31" s="11">
        <f>ROUND(1+H31*'Live Calc'!$D$26,0)</f>
        <v>1</v>
      </c>
      <c r="N31" s="11"/>
      <c r="O31" s="11">
        <f>IF(N31&lt;&gt;"",N31,ROUND(M31*INDEX('Live Calc'!$G$33:$G$92,MATCH(G31,'Live Calc'!$A$33:$A$92,0))*'Live Calc'!$J$543,0))</f>
        <v>1</v>
      </c>
      <c r="Q31" s="12" t="s">
        <v>209</v>
      </c>
      <c r="R31" s="12" t="s">
        <v>192</v>
      </c>
      <c r="S31" s="12">
        <v>146.30600000000001</v>
      </c>
      <c r="T31" s="12">
        <v>156.60599999999999</v>
      </c>
      <c r="U31" s="12">
        <v>171.374</v>
      </c>
      <c r="V31" s="12">
        <f>CHOOSE(MATCH(Setup!$B$7,{"STD","Half-PPR","PPR"},0),S31,T31,U31)</f>
        <v>156.60599999999999</v>
      </c>
      <c r="W31" s="12">
        <f>COUNTIFS('Draft Board'!$X$2:$X$162,"&gt;="&amp;X31,'Draft Board'!$AB$2:$AB$162,1)</f>
        <v>11</v>
      </c>
      <c r="X31" s="12">
        <f>MAX(0,V31-'Live Calc'!$H$20)^'Live Calc'!$E$20</f>
        <v>110.11339090853576</v>
      </c>
      <c r="Y31" s="12">
        <v>31</v>
      </c>
      <c r="Z31" s="12">
        <f>IF(Y31&lt;&gt;_xlfn.MINIFS('Draft Board'!$Y$2:$Y$162,'Draft Board'!$X$2:$X$162,"="&amp;X31),0,IF(_xlfn.MINIFS('Draft Board'!$X$2:$X$162,'Draft Board'!$X$2:$X$162,"&gt;"&amp;X31)=0,1,IF((_xlfn.MINIFS('Draft Board'!$X$2:$X$162,'Draft Board'!$X$2:$X$162,"&gt;"&amp;X31)-X31)/_xlfn.MINIFS('Draft Board'!$X$2:$X$162,'Draft Board'!$X$2:$X$162,"&gt;"&amp;X31)&gt;0.08,1,0)))</f>
        <v>1</v>
      </c>
      <c r="AA31" s="12">
        <f>_xlfn.MINIFS('Draft Board'!$X$2:$X$162,'Draft Board'!$X$2:$X$162,"&gt;="&amp;X31,'Draft Board'!$Z$2:$Z$162,1)</f>
        <v>110.11339090853576</v>
      </c>
      <c r="AB31" s="12">
        <f>IF(Y31&lt;&gt;_xlfn.MINIFS('Draft Board'!$Y$2:$Y$162,'Draft Board'!$X$2:$X$162,"="&amp;X31),0,IF(OR(Z31=1,IFERROR(FLOOR((AA31-X31)/AA31/0.25,1),0)&lt;&gt;IFERROR(FLOOR((AA31-_xlfn.MINIFS('Draft Board'!$X$2:$X$162,'Draft Board'!$X$2:$X$162,"&gt;"&amp;X31))/AA31/0.25,1),0)),1,0))</f>
        <v>1</v>
      </c>
      <c r="AC31" s="12">
        <f>ROUND(1+X31*'Live Calc'!$D$27,0)</f>
        <v>12</v>
      </c>
      <c r="AD31" s="12"/>
      <c r="AE31" s="12">
        <f>IF(AD31&lt;&gt;"",AD31,ROUND(AC31*INDEX('Live Calc'!$G$96:$G$256,MATCH(W31,'Live Calc'!$A$96:$A$256,0))*'Live Calc'!$J$543,0))</f>
        <v>12</v>
      </c>
      <c r="AG31" s="13" t="s">
        <v>210</v>
      </c>
      <c r="AH31" s="13" t="s">
        <v>108</v>
      </c>
      <c r="AI31" s="13">
        <v>126.03</v>
      </c>
      <c r="AJ31" s="13">
        <v>158.66800000000001</v>
      </c>
      <c r="AK31" s="13">
        <v>191.30199999999999</v>
      </c>
      <c r="AL31" s="13">
        <f>CHOOSE(MATCH(Setup!$B$7,{"STD","Half-PPR","PPR"},0),AI31,AJ31,AK31)</f>
        <v>158.66800000000001</v>
      </c>
      <c r="AM31" s="13">
        <f>COUNTIFS('Draft Board'!$AN$2:$AN$192,"&gt;="&amp;AN31,'Draft Board'!$AR$2:$AR$192,1)</f>
        <v>9</v>
      </c>
      <c r="AN31" s="13">
        <f>MAX(0,AL31-'Live Calc'!$H$21)^'Live Calc'!$E$21</f>
        <v>408.02441564412283</v>
      </c>
      <c r="AO31" s="13">
        <v>31</v>
      </c>
      <c r="AP31" s="13">
        <f>IF(AO31&lt;&gt;_xlfn.MINIFS('Draft Board'!$AO$2:$AO$192,'Draft Board'!$AN$2:$AN$192,"="&amp;AN31),0,IF(_xlfn.MINIFS('Draft Board'!$AN$2:$AN$192,'Draft Board'!$AN$2:$AN$192,"&gt;"&amp;AN31)=0,1,IF((_xlfn.MINIFS('Draft Board'!$AN$2:$AN$192,'Draft Board'!$AN$2:$AN$192,"&gt;"&amp;AN31)-AN31)/_xlfn.MINIFS('Draft Board'!$AN$2:$AN$192,'Draft Board'!$AN$2:$AN$192,"&gt;"&amp;AN31)&gt;0.08,1,0)))</f>
        <v>1</v>
      </c>
      <c r="AQ31" s="13">
        <f>_xlfn.MINIFS('Draft Board'!$AN$2:$AN$192,'Draft Board'!$AN$2:$AN$192,"&gt;="&amp;AN31,'Draft Board'!$AP$2:$AP$192,1)</f>
        <v>408.02441564412283</v>
      </c>
      <c r="AR31" s="13">
        <f>IF(AO31&lt;&gt;_xlfn.MINIFS('Draft Board'!$AO$2:$AO$192,'Draft Board'!$AN$2:$AN$192,"="&amp;AN31),0,IF(OR(AP31=1,IFERROR(FLOOR((AQ31-AN31)/AQ31/0.25,1),0)&lt;&gt;IFERROR(FLOOR((AQ31-_xlfn.MINIFS('Draft Board'!$AN$2:$AN$192,'Draft Board'!$AN$2:$AN$192,"&gt;"&amp;AN31))/AQ31/0.25,1),0)),1,0))</f>
        <v>1</v>
      </c>
      <c r="AS31" s="13">
        <f>ROUND(1+AN31*'Live Calc'!$D$28,0)</f>
        <v>12</v>
      </c>
      <c r="AT31" s="13"/>
      <c r="AU31" s="13">
        <f>IF(AT31&lt;&gt;"",AT31,ROUND(AS31*INDEX('Live Calc'!$G$260:$G$450,MATCH(AM31,'Live Calc'!$A$260:$A$450,0))*'Live Calc'!$J$543,0))</f>
        <v>12</v>
      </c>
      <c r="AW31" s="14" t="s">
        <v>211</v>
      </c>
      <c r="AX31" s="14" t="s">
        <v>164</v>
      </c>
      <c r="AY31" s="14">
        <v>59.962000000000003</v>
      </c>
      <c r="AZ31" s="14">
        <v>79.233999999999995</v>
      </c>
      <c r="BA31" s="14">
        <v>99.62</v>
      </c>
      <c r="BB31" s="14">
        <f>CHOOSE(MATCH(Setup!$B$7,{"STD","Half-PPR","PPR"},0),AY31,AZ31,BA31)</f>
        <v>79.233999999999995</v>
      </c>
      <c r="BC31" s="14">
        <f>COUNTIFS('Draft Board'!$BD$2:$BD$87,"&gt;="&amp;BD31,'Draft Board'!$BH$2:$BH$87,1)</f>
        <v>18</v>
      </c>
      <c r="BD31" s="14">
        <f>MAX(0,BB31-'Live Calc'!$H$22)^'Live Calc'!$E$22</f>
        <v>0</v>
      </c>
      <c r="BE31" s="14">
        <v>31</v>
      </c>
      <c r="BF31" s="14">
        <f>IF(BE31&lt;&gt;_xlfn.MINIFS('Draft Board'!$BE$2:$BE$87,'Draft Board'!$BD$2:$BD$87,"="&amp;BD31),0,IF(_xlfn.MINIFS('Draft Board'!$BD$2:$BD$87,'Draft Board'!$BD$2:$BD$87,"&gt;"&amp;BD31)=0,1,IF((_xlfn.MINIFS('Draft Board'!$BD$2:$BD$87,'Draft Board'!$BD$2:$BD$87,"&gt;"&amp;BD31)-BD31)/_xlfn.MINIFS('Draft Board'!$BD$2:$BD$87,'Draft Board'!$BD$2:$BD$87,"&gt;"&amp;BD31)&gt;0.08,1,0)))</f>
        <v>0</v>
      </c>
      <c r="BG31" s="14">
        <f>_xlfn.MINIFS('Draft Board'!$BD$2:$BD$87,'Draft Board'!$BD$2:$BD$87,"&gt;="&amp;BD31,'Draft Board'!$BF$2:$BF$87,1)</f>
        <v>0</v>
      </c>
      <c r="BH31" s="14">
        <f>IF(BE31&lt;&gt;_xlfn.MINIFS('Draft Board'!$BE$2:$BE$87,'Draft Board'!$BD$2:$BD$87,"="&amp;BD31),0,IF(OR(BF31=1,IFERROR(FLOOR((BG31-BD31)/BG31/0.25,1),0)&lt;&gt;IFERROR(FLOOR((BG31-_xlfn.MINIFS('Draft Board'!$BD$2:$BD$87,'Draft Board'!$BD$2:$BD$87,"&gt;"&amp;BD31))/BG31/0.25,1),0)),1,0))</f>
        <v>0</v>
      </c>
      <c r="BI31" s="14">
        <f>ROUND(1+BD31*'Live Calc'!$D$29,0)</f>
        <v>1</v>
      </c>
      <c r="BJ31" s="14"/>
      <c r="BK31" s="14">
        <f>IF(BJ31&lt;&gt;"",BJ31,ROUND(BI31*INDEX('Live Calc'!$G$454:$G$539,MATCH(BC31,'Live Calc'!$A$454:$A$539,0))*'Live Calc'!$J$543,0))</f>
        <v>1</v>
      </c>
    </row>
    <row r="32" spans="1:63" x14ac:dyDescent="0.25">
      <c r="A32" s="11" t="s">
        <v>212</v>
      </c>
      <c r="B32" s="11" t="s">
        <v>71</v>
      </c>
      <c r="C32" s="11">
        <v>152.68199999999999</v>
      </c>
      <c r="D32" s="11">
        <v>132.51</v>
      </c>
      <c r="E32" s="11">
        <v>132.51</v>
      </c>
      <c r="F32" s="11">
        <f>CHOOSE(MATCH(Setup!$B$7,{"STD","Half-PPR","PPR"},0),C32,D32,E32)</f>
        <v>132.51</v>
      </c>
      <c r="G32" s="11">
        <f>COUNTIFS('Draft Board'!$H$2:$H$61,"&gt;="&amp;H32,'Draft Board'!$L$2:$L$61,1)</f>
        <v>11</v>
      </c>
      <c r="H32" s="11">
        <f>MAX(0,F32-'Live Calc'!$H$19)^'Live Calc'!$E$19</f>
        <v>0</v>
      </c>
      <c r="I32" s="11">
        <v>32</v>
      </c>
      <c r="J32" s="11">
        <f>IF(I32&lt;&gt;_xlfn.MINIFS('Draft Board'!$I$2:$I$61,'Draft Board'!$H$2:$H$61,"="&amp;H32),0,IF(_xlfn.MINIFS('Draft Board'!$H$2:$H$61,'Draft Board'!$H$2:$H$61,"&gt;"&amp;H32)=0,1,IF((_xlfn.MINIFS('Draft Board'!$H$2:$H$61,'Draft Board'!$H$2:$H$61,"&gt;"&amp;H32)-H32)/_xlfn.MINIFS('Draft Board'!$H$2:$H$61,'Draft Board'!$H$2:$H$61,"&gt;"&amp;H32)&gt;0.08,1,0)))</f>
        <v>0</v>
      </c>
      <c r="K32" s="11">
        <f>_xlfn.MINIFS('Draft Board'!$H$2:$H$61,'Draft Board'!$H$2:$H$61,"&gt;="&amp;H32,'Draft Board'!$J$2:$J$61,1)</f>
        <v>0</v>
      </c>
      <c r="L32" s="11">
        <f>IF(I32&lt;&gt;_xlfn.MINIFS('Draft Board'!$I$2:$I$61,'Draft Board'!$H$2:$H$61,"="&amp;H32),0,IF(OR(J32=1,IFERROR(FLOOR((K32-H32)/K32/0.25,1),0)&lt;&gt;IFERROR(FLOOR((K32-_xlfn.MINIFS('Draft Board'!$H$2:$H$61,'Draft Board'!$H$2:$H$61,"&gt;"&amp;H32))/K32/0.25,1),0)),1,0))</f>
        <v>0</v>
      </c>
      <c r="M32" s="11">
        <f>ROUND(1+H32*'Live Calc'!$D$26,0)</f>
        <v>1</v>
      </c>
      <c r="N32" s="11"/>
      <c r="O32" s="11">
        <f>IF(N32&lt;&gt;"",N32,ROUND(M32*INDEX('Live Calc'!$G$33:$G$92,MATCH(G32,'Live Calc'!$A$33:$A$92,0))*'Live Calc'!$J$543,0))</f>
        <v>1</v>
      </c>
      <c r="Q32" s="12" t="s">
        <v>213</v>
      </c>
      <c r="R32" s="12" t="s">
        <v>164</v>
      </c>
      <c r="S32" s="12">
        <v>139.30799999999999</v>
      </c>
      <c r="T32" s="12">
        <v>155.52000000000001</v>
      </c>
      <c r="U32" s="12">
        <v>171.2</v>
      </c>
      <c r="V32" s="12">
        <f>CHOOSE(MATCH(Setup!$B$7,{"STD","Half-PPR","PPR"},0),S32,T32,U32)</f>
        <v>155.52000000000001</v>
      </c>
      <c r="W32" s="12">
        <f>COUNTIFS('Draft Board'!$X$2:$X$162,"&gt;="&amp;X32,'Draft Board'!$AB$2:$AB$162,1)</f>
        <v>11</v>
      </c>
      <c r="X32" s="12">
        <f>MAX(0,V32-'Live Calc'!$H$20)^'Live Calc'!$E$20</f>
        <v>107.26648216422105</v>
      </c>
      <c r="Y32" s="12">
        <v>32</v>
      </c>
      <c r="Z32" s="12">
        <f>IF(Y32&lt;&gt;_xlfn.MINIFS('Draft Board'!$Y$2:$Y$162,'Draft Board'!$X$2:$X$162,"="&amp;X32),0,IF(_xlfn.MINIFS('Draft Board'!$X$2:$X$162,'Draft Board'!$X$2:$X$162,"&gt;"&amp;X32)=0,1,IF((_xlfn.MINIFS('Draft Board'!$X$2:$X$162,'Draft Board'!$X$2:$X$162,"&gt;"&amp;X32)-X32)/_xlfn.MINIFS('Draft Board'!$X$2:$X$162,'Draft Board'!$X$2:$X$162,"&gt;"&amp;X32)&gt;0.08,1,0)))</f>
        <v>0</v>
      </c>
      <c r="AA32" s="12">
        <f>_xlfn.MINIFS('Draft Board'!$X$2:$X$162,'Draft Board'!$X$2:$X$162,"&gt;="&amp;X32,'Draft Board'!$Z$2:$Z$162,1)</f>
        <v>110.11339090853576</v>
      </c>
      <c r="AB32" s="12">
        <f>IF(Y32&lt;&gt;_xlfn.MINIFS('Draft Board'!$Y$2:$Y$162,'Draft Board'!$X$2:$X$162,"="&amp;X32),0,IF(OR(Z32=1,IFERROR(FLOOR((AA32-X32)/AA32/0.25,1),0)&lt;&gt;IFERROR(FLOOR((AA32-_xlfn.MINIFS('Draft Board'!$X$2:$X$162,'Draft Board'!$X$2:$X$162,"&gt;"&amp;X32))/AA32/0.25,1),0)),1,0))</f>
        <v>0</v>
      </c>
      <c r="AC32" s="12">
        <f>ROUND(1+X32*'Live Calc'!$D$27,0)</f>
        <v>12</v>
      </c>
      <c r="AD32" s="12"/>
      <c r="AE32" s="12">
        <f>IF(AD32&lt;&gt;"",AD32,ROUND(AC32*INDEX('Live Calc'!$G$96:$G$256,MATCH(W32,'Live Calc'!$A$96:$A$256,0))*'Live Calc'!$J$543,0))</f>
        <v>12</v>
      </c>
      <c r="AG32" s="13" t="s">
        <v>214</v>
      </c>
      <c r="AH32" s="13" t="s">
        <v>190</v>
      </c>
      <c r="AI32" s="13">
        <v>126.54600000000001</v>
      </c>
      <c r="AJ32" s="13">
        <v>157.43799999999999</v>
      </c>
      <c r="AK32" s="13">
        <v>188.75200000000001</v>
      </c>
      <c r="AL32" s="13">
        <f>CHOOSE(MATCH(Setup!$B$7,{"STD","Half-PPR","PPR"},0),AI32,AJ32,AK32)</f>
        <v>157.43799999999999</v>
      </c>
      <c r="AM32" s="13">
        <f>COUNTIFS('Draft Board'!$AN$2:$AN$192,"&gt;="&amp;AN32,'Draft Board'!$AR$2:$AR$192,1)</f>
        <v>9</v>
      </c>
      <c r="AN32" s="13">
        <f>MAX(0,AL32-'Live Calc'!$H$21)^'Live Calc'!$E$21</f>
        <v>394.4168157264188</v>
      </c>
      <c r="AO32" s="13">
        <v>32</v>
      </c>
      <c r="AP32" s="13">
        <f>IF(AO32&lt;&gt;_xlfn.MINIFS('Draft Board'!$AO$2:$AO$192,'Draft Board'!$AN$2:$AN$192,"="&amp;AN32),0,IF(_xlfn.MINIFS('Draft Board'!$AN$2:$AN$192,'Draft Board'!$AN$2:$AN$192,"&gt;"&amp;AN32)=0,1,IF((_xlfn.MINIFS('Draft Board'!$AN$2:$AN$192,'Draft Board'!$AN$2:$AN$192,"&gt;"&amp;AN32)-AN32)/_xlfn.MINIFS('Draft Board'!$AN$2:$AN$192,'Draft Board'!$AN$2:$AN$192,"&gt;"&amp;AN32)&gt;0.08,1,0)))</f>
        <v>0</v>
      </c>
      <c r="AQ32" s="13">
        <f>_xlfn.MINIFS('Draft Board'!$AN$2:$AN$192,'Draft Board'!$AN$2:$AN$192,"&gt;="&amp;AN32,'Draft Board'!$AP$2:$AP$192,1)</f>
        <v>408.02441564412283</v>
      </c>
      <c r="AR32" s="13">
        <f>IF(AO32&lt;&gt;_xlfn.MINIFS('Draft Board'!$AO$2:$AO$192,'Draft Board'!$AN$2:$AN$192,"="&amp;AN32),0,IF(OR(AP32=1,IFERROR(FLOOR((AQ32-AN32)/AQ32/0.25,1),0)&lt;&gt;IFERROR(FLOOR((AQ32-_xlfn.MINIFS('Draft Board'!$AN$2:$AN$192,'Draft Board'!$AN$2:$AN$192,"&gt;"&amp;AN32))/AQ32/0.25,1),0)),1,0))</f>
        <v>0</v>
      </c>
      <c r="AS32" s="13">
        <f>ROUND(1+AN32*'Live Calc'!$D$28,0)</f>
        <v>12</v>
      </c>
      <c r="AT32" s="13"/>
      <c r="AU32" s="13">
        <f>IF(AT32&lt;&gt;"",AT32,ROUND(AS32*INDEX('Live Calc'!$G$260:$G$450,MATCH(AM32,'Live Calc'!$A$260:$A$450,0))*'Live Calc'!$J$543,0))</f>
        <v>12</v>
      </c>
      <c r="AW32" s="14" t="s">
        <v>215</v>
      </c>
      <c r="AX32" s="14" t="s">
        <v>73</v>
      </c>
      <c r="AY32" s="14">
        <v>58.603999999999999</v>
      </c>
      <c r="AZ32" s="14">
        <v>77.83</v>
      </c>
      <c r="BA32" s="14">
        <v>95.191999999999993</v>
      </c>
      <c r="BB32" s="14">
        <f>CHOOSE(MATCH(Setup!$B$7,{"STD","Half-PPR","PPR"},0),AY32,AZ32,BA32)</f>
        <v>77.83</v>
      </c>
      <c r="BC32" s="14">
        <f>COUNTIFS('Draft Board'!$BD$2:$BD$87,"&gt;="&amp;BD32,'Draft Board'!$BH$2:$BH$87,1)</f>
        <v>18</v>
      </c>
      <c r="BD32" s="14">
        <f>MAX(0,BB32-'Live Calc'!$H$22)^'Live Calc'!$E$22</f>
        <v>0</v>
      </c>
      <c r="BE32" s="14">
        <v>32</v>
      </c>
      <c r="BF32" s="14">
        <f>IF(BE32&lt;&gt;_xlfn.MINIFS('Draft Board'!$BE$2:$BE$87,'Draft Board'!$BD$2:$BD$87,"="&amp;BD32),0,IF(_xlfn.MINIFS('Draft Board'!$BD$2:$BD$87,'Draft Board'!$BD$2:$BD$87,"&gt;"&amp;BD32)=0,1,IF((_xlfn.MINIFS('Draft Board'!$BD$2:$BD$87,'Draft Board'!$BD$2:$BD$87,"&gt;"&amp;BD32)-BD32)/_xlfn.MINIFS('Draft Board'!$BD$2:$BD$87,'Draft Board'!$BD$2:$BD$87,"&gt;"&amp;BD32)&gt;0.08,1,0)))</f>
        <v>0</v>
      </c>
      <c r="BG32" s="14">
        <f>_xlfn.MINIFS('Draft Board'!$BD$2:$BD$87,'Draft Board'!$BD$2:$BD$87,"&gt;="&amp;BD32,'Draft Board'!$BF$2:$BF$87,1)</f>
        <v>0</v>
      </c>
      <c r="BH32" s="14">
        <f>IF(BE32&lt;&gt;_xlfn.MINIFS('Draft Board'!$BE$2:$BE$87,'Draft Board'!$BD$2:$BD$87,"="&amp;BD32),0,IF(OR(BF32=1,IFERROR(FLOOR((BG32-BD32)/BG32/0.25,1),0)&lt;&gt;IFERROR(FLOOR((BG32-_xlfn.MINIFS('Draft Board'!$BD$2:$BD$87,'Draft Board'!$BD$2:$BD$87,"&gt;"&amp;BD32))/BG32/0.25,1),0)),1,0))</f>
        <v>0</v>
      </c>
      <c r="BI32" s="14">
        <f>ROUND(1+BD32*'Live Calc'!$D$29,0)</f>
        <v>1</v>
      </c>
      <c r="BJ32" s="14"/>
      <c r="BK32" s="14">
        <f>IF(BJ32&lt;&gt;"",BJ32,ROUND(BI32*INDEX('Live Calc'!$G$454:$G$539,MATCH(BC32,'Live Calc'!$A$454:$A$539,0))*'Live Calc'!$J$543,0))</f>
        <v>1</v>
      </c>
    </row>
    <row r="33" spans="1:63" x14ac:dyDescent="0.25">
      <c r="A33" s="11" t="s">
        <v>216</v>
      </c>
      <c r="B33" s="11" t="s">
        <v>101</v>
      </c>
      <c r="C33" s="11">
        <v>118.22</v>
      </c>
      <c r="D33" s="11">
        <v>111.98</v>
      </c>
      <c r="E33" s="11">
        <v>111.98</v>
      </c>
      <c r="F33" s="11">
        <f>CHOOSE(MATCH(Setup!$B$7,{"STD","Half-PPR","PPR"},0),C33,D33,E33)</f>
        <v>111.98</v>
      </c>
      <c r="G33" s="11">
        <f>COUNTIFS('Draft Board'!$H$2:$H$61,"&gt;="&amp;H33,'Draft Board'!$L$2:$L$61,1)</f>
        <v>11</v>
      </c>
      <c r="H33" s="11">
        <f>MAX(0,F33-'Live Calc'!$H$19)^'Live Calc'!$E$19</f>
        <v>0</v>
      </c>
      <c r="I33" s="11">
        <v>33</v>
      </c>
      <c r="J33" s="11">
        <f>IF(I33&lt;&gt;_xlfn.MINIFS('Draft Board'!$I$2:$I$61,'Draft Board'!$H$2:$H$61,"="&amp;H33),0,IF(_xlfn.MINIFS('Draft Board'!$H$2:$H$61,'Draft Board'!$H$2:$H$61,"&gt;"&amp;H33)=0,1,IF((_xlfn.MINIFS('Draft Board'!$H$2:$H$61,'Draft Board'!$H$2:$H$61,"&gt;"&amp;H33)-H33)/_xlfn.MINIFS('Draft Board'!$H$2:$H$61,'Draft Board'!$H$2:$H$61,"&gt;"&amp;H33)&gt;0.08,1,0)))</f>
        <v>0</v>
      </c>
      <c r="K33" s="11">
        <f>_xlfn.MINIFS('Draft Board'!$H$2:$H$61,'Draft Board'!$H$2:$H$61,"&gt;="&amp;H33,'Draft Board'!$J$2:$J$61,1)</f>
        <v>0</v>
      </c>
      <c r="L33" s="11">
        <f>IF(I33&lt;&gt;_xlfn.MINIFS('Draft Board'!$I$2:$I$61,'Draft Board'!$H$2:$H$61,"="&amp;H33),0,IF(OR(J33=1,IFERROR(FLOOR((K33-H33)/K33/0.25,1),0)&lt;&gt;IFERROR(FLOOR((K33-_xlfn.MINIFS('Draft Board'!$H$2:$H$61,'Draft Board'!$H$2:$H$61,"&gt;"&amp;H33))/K33/0.25,1),0)),1,0))</f>
        <v>0</v>
      </c>
      <c r="M33" s="11">
        <f>ROUND(1+H33*'Live Calc'!$D$26,0)</f>
        <v>1</v>
      </c>
      <c r="N33" s="11"/>
      <c r="O33" s="11">
        <f>IF(N33&lt;&gt;"",N33,ROUND(M33*INDEX('Live Calc'!$G$33:$G$92,MATCH(G33,'Live Calc'!$A$33:$A$92,0))*'Live Calc'!$J$543,0))</f>
        <v>1</v>
      </c>
      <c r="Q33" s="12" t="s">
        <v>217</v>
      </c>
      <c r="R33" s="12" t="s">
        <v>139</v>
      </c>
      <c r="S33" s="12">
        <v>138.68600000000001</v>
      </c>
      <c r="T33" s="12">
        <v>150.62200000000001</v>
      </c>
      <c r="U33" s="12">
        <v>160.47</v>
      </c>
      <c r="V33" s="12">
        <f>CHOOSE(MATCH(Setup!$B$7,{"STD","Half-PPR","PPR"},0),S33,T33,U33)</f>
        <v>150.62200000000001</v>
      </c>
      <c r="W33" s="12">
        <f>COUNTIFS('Draft Board'!$X$2:$X$162,"&gt;="&amp;X33,'Draft Board'!$AB$2:$AB$162,1)</f>
        <v>12</v>
      </c>
      <c r="X33" s="12">
        <f>MAX(0,V33-'Live Calc'!$H$20)^'Live Calc'!$E$20</f>
        <v>94.5857305545982</v>
      </c>
      <c r="Y33" s="12">
        <v>33</v>
      </c>
      <c r="Z33" s="12">
        <f>IF(Y33&lt;&gt;_xlfn.MINIFS('Draft Board'!$Y$2:$Y$162,'Draft Board'!$X$2:$X$162,"="&amp;X33),0,IF(_xlfn.MINIFS('Draft Board'!$X$2:$X$162,'Draft Board'!$X$2:$X$162,"&gt;"&amp;X33)=0,1,IF((_xlfn.MINIFS('Draft Board'!$X$2:$X$162,'Draft Board'!$X$2:$X$162,"&gt;"&amp;X33)-X33)/_xlfn.MINIFS('Draft Board'!$X$2:$X$162,'Draft Board'!$X$2:$X$162,"&gt;"&amp;X33)&gt;0.08,1,0)))</f>
        <v>1</v>
      </c>
      <c r="AA33" s="12">
        <f>_xlfn.MINIFS('Draft Board'!$X$2:$X$162,'Draft Board'!$X$2:$X$162,"&gt;="&amp;X33,'Draft Board'!$Z$2:$Z$162,1)</f>
        <v>94.5857305545982</v>
      </c>
      <c r="AB33" s="12">
        <f>IF(Y33&lt;&gt;_xlfn.MINIFS('Draft Board'!$Y$2:$Y$162,'Draft Board'!$X$2:$X$162,"="&amp;X33),0,IF(OR(Z33=1,IFERROR(FLOOR((AA33-X33)/AA33/0.25,1),0)&lt;&gt;IFERROR(FLOOR((AA33-_xlfn.MINIFS('Draft Board'!$X$2:$X$162,'Draft Board'!$X$2:$X$162,"&gt;"&amp;X33))/AA33/0.25,1),0)),1,0))</f>
        <v>1</v>
      </c>
      <c r="AC33" s="12">
        <f>ROUND(1+X33*'Live Calc'!$D$27,0)</f>
        <v>10</v>
      </c>
      <c r="AD33" s="12"/>
      <c r="AE33" s="12">
        <f>IF(AD33&lt;&gt;"",AD33,ROUND(AC33*INDEX('Live Calc'!$G$96:$G$256,MATCH(W33,'Live Calc'!$A$96:$A$256,0))*'Live Calc'!$J$543,0))</f>
        <v>10</v>
      </c>
      <c r="AG33" s="13" t="s">
        <v>218</v>
      </c>
      <c r="AH33" s="13" t="s">
        <v>67</v>
      </c>
      <c r="AI33" s="13">
        <v>123.364</v>
      </c>
      <c r="AJ33" s="13">
        <v>155.374</v>
      </c>
      <c r="AK33" s="13">
        <v>185.78</v>
      </c>
      <c r="AL33" s="13">
        <f>CHOOSE(MATCH(Setup!$B$7,{"STD","Half-PPR","PPR"},0),AI33,AJ33,AK33)</f>
        <v>155.374</v>
      </c>
      <c r="AM33" s="13">
        <f>COUNTIFS('Draft Board'!$AN$2:$AN$192,"&gt;="&amp;AN33,'Draft Board'!$AR$2:$AR$192,1)</f>
        <v>9</v>
      </c>
      <c r="AN33" s="13">
        <f>MAX(0,AL33-'Live Calc'!$H$21)^'Live Calc'!$E$21</f>
        <v>371.93117551266374</v>
      </c>
      <c r="AO33" s="13">
        <v>33</v>
      </c>
      <c r="AP33" s="13">
        <f>IF(AO33&lt;&gt;_xlfn.MINIFS('Draft Board'!$AO$2:$AO$192,'Draft Board'!$AN$2:$AN$192,"="&amp;AN33),0,IF(_xlfn.MINIFS('Draft Board'!$AN$2:$AN$192,'Draft Board'!$AN$2:$AN$192,"&gt;"&amp;AN33)=0,1,IF((_xlfn.MINIFS('Draft Board'!$AN$2:$AN$192,'Draft Board'!$AN$2:$AN$192,"&gt;"&amp;AN33)-AN33)/_xlfn.MINIFS('Draft Board'!$AN$2:$AN$192,'Draft Board'!$AN$2:$AN$192,"&gt;"&amp;AN33)&gt;0.08,1,0)))</f>
        <v>0</v>
      </c>
      <c r="AQ33" s="13">
        <f>_xlfn.MINIFS('Draft Board'!$AN$2:$AN$192,'Draft Board'!$AN$2:$AN$192,"&gt;="&amp;AN33,'Draft Board'!$AP$2:$AP$192,1)</f>
        <v>408.02441564412283</v>
      </c>
      <c r="AR33" s="13">
        <f>IF(AO33&lt;&gt;_xlfn.MINIFS('Draft Board'!$AO$2:$AO$192,'Draft Board'!$AN$2:$AN$192,"="&amp;AN33),0,IF(OR(AP33=1,IFERROR(FLOOR((AQ33-AN33)/AQ33/0.25,1),0)&lt;&gt;IFERROR(FLOOR((AQ33-_xlfn.MINIFS('Draft Board'!$AN$2:$AN$192,'Draft Board'!$AN$2:$AN$192,"&gt;"&amp;AN33))/AQ33/0.25,1),0)),1,0))</f>
        <v>0</v>
      </c>
      <c r="AS33" s="13">
        <f>ROUND(1+AN33*'Live Calc'!$D$28,0)</f>
        <v>11</v>
      </c>
      <c r="AT33" s="13"/>
      <c r="AU33" s="13">
        <f>IF(AT33&lt;&gt;"",AT33,ROUND(AS33*INDEX('Live Calc'!$G$260:$G$450,MATCH(AM33,'Live Calc'!$A$260:$A$450,0))*'Live Calc'!$J$543,0))</f>
        <v>11</v>
      </c>
      <c r="AW33" s="14" t="s">
        <v>219</v>
      </c>
      <c r="AX33" s="14" t="s">
        <v>65</v>
      </c>
      <c r="AY33" s="14">
        <v>59.234000000000002</v>
      </c>
      <c r="AZ33" s="14">
        <v>77.367999999999995</v>
      </c>
      <c r="BA33" s="14">
        <v>96.013999999999996</v>
      </c>
      <c r="BB33" s="14">
        <f>CHOOSE(MATCH(Setup!$B$7,{"STD","Half-PPR","PPR"},0),AY33,AZ33,BA33)</f>
        <v>77.367999999999995</v>
      </c>
      <c r="BC33" s="14">
        <f>COUNTIFS('Draft Board'!$BD$2:$BD$87,"&gt;="&amp;BD33,'Draft Board'!$BH$2:$BH$87,1)</f>
        <v>18</v>
      </c>
      <c r="BD33" s="14">
        <f>MAX(0,BB33-'Live Calc'!$H$22)^'Live Calc'!$E$22</f>
        <v>0</v>
      </c>
      <c r="BE33" s="14">
        <v>33</v>
      </c>
      <c r="BF33" s="14">
        <f>IF(BE33&lt;&gt;_xlfn.MINIFS('Draft Board'!$BE$2:$BE$87,'Draft Board'!$BD$2:$BD$87,"="&amp;BD33),0,IF(_xlfn.MINIFS('Draft Board'!$BD$2:$BD$87,'Draft Board'!$BD$2:$BD$87,"&gt;"&amp;BD33)=0,1,IF((_xlfn.MINIFS('Draft Board'!$BD$2:$BD$87,'Draft Board'!$BD$2:$BD$87,"&gt;"&amp;BD33)-BD33)/_xlfn.MINIFS('Draft Board'!$BD$2:$BD$87,'Draft Board'!$BD$2:$BD$87,"&gt;"&amp;BD33)&gt;0.08,1,0)))</f>
        <v>0</v>
      </c>
      <c r="BG33" s="14">
        <f>_xlfn.MINIFS('Draft Board'!$BD$2:$BD$87,'Draft Board'!$BD$2:$BD$87,"&gt;="&amp;BD33,'Draft Board'!$BF$2:$BF$87,1)</f>
        <v>0</v>
      </c>
      <c r="BH33" s="14">
        <f>IF(BE33&lt;&gt;_xlfn.MINIFS('Draft Board'!$BE$2:$BE$87,'Draft Board'!$BD$2:$BD$87,"="&amp;BD33),0,IF(OR(BF33=1,IFERROR(FLOOR((BG33-BD33)/BG33/0.25,1),0)&lt;&gt;IFERROR(FLOOR((BG33-_xlfn.MINIFS('Draft Board'!$BD$2:$BD$87,'Draft Board'!$BD$2:$BD$87,"&gt;"&amp;BD33))/BG33/0.25,1),0)),1,0))</f>
        <v>0</v>
      </c>
      <c r="BI33" s="14">
        <f>ROUND(1+BD33*'Live Calc'!$D$29,0)</f>
        <v>1</v>
      </c>
      <c r="BJ33" s="14"/>
      <c r="BK33" s="14">
        <f>IF(BJ33&lt;&gt;"",BJ33,ROUND(BI33*INDEX('Live Calc'!$G$454:$G$539,MATCH(BC33,'Live Calc'!$A$454:$A$539,0))*'Live Calc'!$J$543,0))</f>
        <v>1</v>
      </c>
    </row>
    <row r="34" spans="1:63" x14ac:dyDescent="0.25">
      <c r="A34" s="11" t="s">
        <v>220</v>
      </c>
      <c r="B34" s="11" t="s">
        <v>71</v>
      </c>
      <c r="C34" s="11">
        <v>100.596</v>
      </c>
      <c r="D34" s="11">
        <v>108.86</v>
      </c>
      <c r="E34" s="11">
        <v>108.86</v>
      </c>
      <c r="F34" s="11">
        <f>CHOOSE(MATCH(Setup!$B$7,{"STD","Half-PPR","PPR"},0),C34,D34,E34)</f>
        <v>108.86</v>
      </c>
      <c r="G34" s="11">
        <f>COUNTIFS('Draft Board'!$H$2:$H$61,"&gt;="&amp;H34,'Draft Board'!$L$2:$L$61,1)</f>
        <v>11</v>
      </c>
      <c r="H34" s="11">
        <f>MAX(0,F34-'Live Calc'!$H$19)^'Live Calc'!$E$19</f>
        <v>0</v>
      </c>
      <c r="I34" s="11">
        <v>34</v>
      </c>
      <c r="J34" s="11">
        <f>IF(I34&lt;&gt;_xlfn.MINIFS('Draft Board'!$I$2:$I$61,'Draft Board'!$H$2:$H$61,"="&amp;H34),0,IF(_xlfn.MINIFS('Draft Board'!$H$2:$H$61,'Draft Board'!$H$2:$H$61,"&gt;"&amp;H34)=0,1,IF((_xlfn.MINIFS('Draft Board'!$H$2:$H$61,'Draft Board'!$H$2:$H$61,"&gt;"&amp;H34)-H34)/_xlfn.MINIFS('Draft Board'!$H$2:$H$61,'Draft Board'!$H$2:$H$61,"&gt;"&amp;H34)&gt;0.08,1,0)))</f>
        <v>0</v>
      </c>
      <c r="K34" s="11">
        <f>_xlfn.MINIFS('Draft Board'!$H$2:$H$61,'Draft Board'!$H$2:$H$61,"&gt;="&amp;H34,'Draft Board'!$J$2:$J$61,1)</f>
        <v>0</v>
      </c>
      <c r="L34" s="11">
        <f>IF(I34&lt;&gt;_xlfn.MINIFS('Draft Board'!$I$2:$I$61,'Draft Board'!$H$2:$H$61,"="&amp;H34),0,IF(OR(J34=1,IFERROR(FLOOR((K34-H34)/K34/0.25,1),0)&lt;&gt;IFERROR(FLOOR((K34-_xlfn.MINIFS('Draft Board'!$H$2:$H$61,'Draft Board'!$H$2:$H$61,"&gt;"&amp;H34))/K34/0.25,1),0)),1,0))</f>
        <v>0</v>
      </c>
      <c r="M34" s="11">
        <f>ROUND(1+H34*'Live Calc'!$D$26,0)</f>
        <v>1</v>
      </c>
      <c r="N34" s="11"/>
      <c r="O34" s="11">
        <f>IF(N34&lt;&gt;"",N34,ROUND(M34*INDEX('Live Calc'!$G$33:$G$92,MATCH(G34,'Live Calc'!$A$33:$A$92,0))*'Live Calc'!$J$543,0))</f>
        <v>1</v>
      </c>
      <c r="Q34" s="12" t="s">
        <v>221</v>
      </c>
      <c r="R34" s="12" t="s">
        <v>164</v>
      </c>
      <c r="S34" s="12">
        <v>129.298</v>
      </c>
      <c r="T34" s="12">
        <v>143.93799999999999</v>
      </c>
      <c r="U34" s="12">
        <v>161.08799999999999</v>
      </c>
      <c r="V34" s="12">
        <f>CHOOSE(MATCH(Setup!$B$7,{"STD","Half-PPR","PPR"},0),S34,T34,U34)</f>
        <v>143.93799999999999</v>
      </c>
      <c r="W34" s="12">
        <f>COUNTIFS('Draft Board'!$X$2:$X$162,"&gt;="&amp;X34,'Draft Board'!$AB$2:$AB$162,1)</f>
        <v>13</v>
      </c>
      <c r="X34" s="12">
        <f>MAX(0,V34-'Live Calc'!$H$20)^'Live Calc'!$E$20</f>
        <v>77.734419984788843</v>
      </c>
      <c r="Y34" s="12">
        <v>34</v>
      </c>
      <c r="Z34" s="12">
        <f>IF(Y34&lt;&gt;_xlfn.MINIFS('Draft Board'!$Y$2:$Y$162,'Draft Board'!$X$2:$X$162,"="&amp;X34),0,IF(_xlfn.MINIFS('Draft Board'!$X$2:$X$162,'Draft Board'!$X$2:$X$162,"&gt;"&amp;X34)=0,1,IF((_xlfn.MINIFS('Draft Board'!$X$2:$X$162,'Draft Board'!$X$2:$X$162,"&gt;"&amp;X34)-X34)/_xlfn.MINIFS('Draft Board'!$X$2:$X$162,'Draft Board'!$X$2:$X$162,"&gt;"&amp;X34)&gt;0.08,1,0)))</f>
        <v>1</v>
      </c>
      <c r="AA34" s="12">
        <f>_xlfn.MINIFS('Draft Board'!$X$2:$X$162,'Draft Board'!$X$2:$X$162,"&gt;="&amp;X34,'Draft Board'!$Z$2:$Z$162,1)</f>
        <v>77.734419984788843</v>
      </c>
      <c r="AB34" s="12">
        <f>IF(Y34&lt;&gt;_xlfn.MINIFS('Draft Board'!$Y$2:$Y$162,'Draft Board'!$X$2:$X$162,"="&amp;X34),0,IF(OR(Z34=1,IFERROR(FLOOR((AA34-X34)/AA34/0.25,1),0)&lt;&gt;IFERROR(FLOOR((AA34-_xlfn.MINIFS('Draft Board'!$X$2:$X$162,'Draft Board'!$X$2:$X$162,"&gt;"&amp;X34))/AA34/0.25,1),0)),1,0))</f>
        <v>1</v>
      </c>
      <c r="AC34" s="12">
        <f>ROUND(1+X34*'Live Calc'!$D$27,0)</f>
        <v>9</v>
      </c>
      <c r="AD34" s="12"/>
      <c r="AE34" s="12">
        <f>IF(AD34&lt;&gt;"",AD34,ROUND(AC34*INDEX('Live Calc'!$G$96:$G$256,MATCH(W34,'Live Calc'!$A$96:$A$256,0))*'Live Calc'!$J$543,0))</f>
        <v>9</v>
      </c>
      <c r="AG34" s="13" t="s">
        <v>222</v>
      </c>
      <c r="AH34" s="13" t="s">
        <v>139</v>
      </c>
      <c r="AI34" s="13">
        <v>120.598</v>
      </c>
      <c r="AJ34" s="13">
        <v>152.85</v>
      </c>
      <c r="AK34" s="13">
        <v>182.672</v>
      </c>
      <c r="AL34" s="13">
        <f>CHOOSE(MATCH(Setup!$B$7,{"STD","Half-PPR","PPR"},0),AI34,AJ34,AK34)</f>
        <v>152.85</v>
      </c>
      <c r="AM34" s="13">
        <f>COUNTIFS('Draft Board'!$AN$2:$AN$192,"&gt;="&amp;AN34,'Draft Board'!$AR$2:$AR$192,1)</f>
        <v>9</v>
      </c>
      <c r="AN34" s="13">
        <f>MAX(0,AL34-'Live Calc'!$H$21)^'Live Calc'!$E$21</f>
        <v>345.03901488582983</v>
      </c>
      <c r="AO34" s="13">
        <v>34</v>
      </c>
      <c r="AP34" s="13">
        <f>IF(AO34&lt;&gt;_xlfn.MINIFS('Draft Board'!$AO$2:$AO$192,'Draft Board'!$AN$2:$AN$192,"="&amp;AN34),0,IF(_xlfn.MINIFS('Draft Board'!$AN$2:$AN$192,'Draft Board'!$AN$2:$AN$192,"&gt;"&amp;AN34)=0,1,IF((_xlfn.MINIFS('Draft Board'!$AN$2:$AN$192,'Draft Board'!$AN$2:$AN$192,"&gt;"&amp;AN34)-AN34)/_xlfn.MINIFS('Draft Board'!$AN$2:$AN$192,'Draft Board'!$AN$2:$AN$192,"&gt;"&amp;AN34)&gt;0.08,1,0)))</f>
        <v>0</v>
      </c>
      <c r="AQ34" s="13">
        <f>_xlfn.MINIFS('Draft Board'!$AN$2:$AN$192,'Draft Board'!$AN$2:$AN$192,"&gt;="&amp;AN34,'Draft Board'!$AP$2:$AP$192,1)</f>
        <v>408.02441564412283</v>
      </c>
      <c r="AR34" s="13">
        <f>IF(AO34&lt;&gt;_xlfn.MINIFS('Draft Board'!$AO$2:$AO$192,'Draft Board'!$AN$2:$AN$192,"="&amp;AN34),0,IF(OR(AP34=1,IFERROR(FLOOR((AQ34-AN34)/AQ34/0.25,1),0)&lt;&gt;IFERROR(FLOOR((AQ34-_xlfn.MINIFS('Draft Board'!$AN$2:$AN$192,'Draft Board'!$AN$2:$AN$192,"&gt;"&amp;AN34))/AQ34/0.25,1),0)),1,0))</f>
        <v>0</v>
      </c>
      <c r="AS34" s="13">
        <f>ROUND(1+AN34*'Live Calc'!$D$28,0)</f>
        <v>10</v>
      </c>
      <c r="AT34" s="13"/>
      <c r="AU34" s="13">
        <f>IF(AT34&lt;&gt;"",AT34,ROUND(AS34*INDEX('Live Calc'!$G$260:$G$450,MATCH(AM34,'Live Calc'!$A$260:$A$450,0))*'Live Calc'!$J$543,0))</f>
        <v>10</v>
      </c>
      <c r="AW34" s="14" t="s">
        <v>223</v>
      </c>
      <c r="AX34" s="14" t="s">
        <v>139</v>
      </c>
      <c r="AY34" s="14">
        <v>54.744</v>
      </c>
      <c r="AZ34" s="14">
        <v>76.897999999999996</v>
      </c>
      <c r="BA34" s="14">
        <v>99.274000000000001</v>
      </c>
      <c r="BB34" s="14">
        <f>CHOOSE(MATCH(Setup!$B$7,{"STD","Half-PPR","PPR"},0),AY34,AZ34,BA34)</f>
        <v>76.897999999999996</v>
      </c>
      <c r="BC34" s="14">
        <f>COUNTIFS('Draft Board'!$BD$2:$BD$87,"&gt;="&amp;BD34,'Draft Board'!$BH$2:$BH$87,1)</f>
        <v>18</v>
      </c>
      <c r="BD34" s="14">
        <f>MAX(0,BB34-'Live Calc'!$H$22)^'Live Calc'!$E$22</f>
        <v>0</v>
      </c>
      <c r="BE34" s="14">
        <v>34</v>
      </c>
      <c r="BF34" s="14">
        <f>IF(BE34&lt;&gt;_xlfn.MINIFS('Draft Board'!$BE$2:$BE$87,'Draft Board'!$BD$2:$BD$87,"="&amp;BD34),0,IF(_xlfn.MINIFS('Draft Board'!$BD$2:$BD$87,'Draft Board'!$BD$2:$BD$87,"&gt;"&amp;BD34)=0,1,IF((_xlfn.MINIFS('Draft Board'!$BD$2:$BD$87,'Draft Board'!$BD$2:$BD$87,"&gt;"&amp;BD34)-BD34)/_xlfn.MINIFS('Draft Board'!$BD$2:$BD$87,'Draft Board'!$BD$2:$BD$87,"&gt;"&amp;BD34)&gt;0.08,1,0)))</f>
        <v>0</v>
      </c>
      <c r="BG34" s="14">
        <f>_xlfn.MINIFS('Draft Board'!$BD$2:$BD$87,'Draft Board'!$BD$2:$BD$87,"&gt;="&amp;BD34,'Draft Board'!$BF$2:$BF$87,1)</f>
        <v>0</v>
      </c>
      <c r="BH34" s="14">
        <f>IF(BE34&lt;&gt;_xlfn.MINIFS('Draft Board'!$BE$2:$BE$87,'Draft Board'!$BD$2:$BD$87,"="&amp;BD34),0,IF(OR(BF34=1,IFERROR(FLOOR((BG34-BD34)/BG34/0.25,1),0)&lt;&gt;IFERROR(FLOOR((BG34-_xlfn.MINIFS('Draft Board'!$BD$2:$BD$87,'Draft Board'!$BD$2:$BD$87,"&gt;"&amp;BD34))/BG34/0.25,1),0)),1,0))</f>
        <v>0</v>
      </c>
      <c r="BI34" s="14">
        <f>ROUND(1+BD34*'Live Calc'!$D$29,0)</f>
        <v>1</v>
      </c>
      <c r="BJ34" s="14"/>
      <c r="BK34" s="14">
        <f>IF(BJ34&lt;&gt;"",BJ34,ROUND(BI34*INDEX('Live Calc'!$G$454:$G$539,MATCH(BC34,'Live Calc'!$A$454:$A$539,0))*'Live Calc'!$J$543,0))</f>
        <v>1</v>
      </c>
    </row>
    <row r="35" spans="1:63" x14ac:dyDescent="0.25">
      <c r="A35" s="11" t="s">
        <v>224</v>
      </c>
      <c r="B35" s="11" t="s">
        <v>101</v>
      </c>
      <c r="C35" s="11">
        <v>78.492000000000004</v>
      </c>
      <c r="D35" s="11">
        <v>97.56</v>
      </c>
      <c r="E35" s="11">
        <v>97.56</v>
      </c>
      <c r="F35" s="11">
        <f>CHOOSE(MATCH(Setup!$B$7,{"STD","Half-PPR","PPR"},0),C35,D35,E35)</f>
        <v>97.56</v>
      </c>
      <c r="G35" s="11">
        <f>COUNTIFS('Draft Board'!$H$2:$H$61,"&gt;="&amp;H35,'Draft Board'!$L$2:$L$61,1)</f>
        <v>11</v>
      </c>
      <c r="H35" s="11">
        <f>MAX(0,F35-'Live Calc'!$H$19)^'Live Calc'!$E$19</f>
        <v>0</v>
      </c>
      <c r="I35" s="11">
        <v>35</v>
      </c>
      <c r="J35" s="11">
        <f>IF(I35&lt;&gt;_xlfn.MINIFS('Draft Board'!$I$2:$I$61,'Draft Board'!$H$2:$H$61,"="&amp;H35),0,IF(_xlfn.MINIFS('Draft Board'!$H$2:$H$61,'Draft Board'!$H$2:$H$61,"&gt;"&amp;H35)=0,1,IF((_xlfn.MINIFS('Draft Board'!$H$2:$H$61,'Draft Board'!$H$2:$H$61,"&gt;"&amp;H35)-H35)/_xlfn.MINIFS('Draft Board'!$H$2:$H$61,'Draft Board'!$H$2:$H$61,"&gt;"&amp;H35)&gt;0.08,1,0)))</f>
        <v>0</v>
      </c>
      <c r="K35" s="11">
        <f>_xlfn.MINIFS('Draft Board'!$H$2:$H$61,'Draft Board'!$H$2:$H$61,"&gt;="&amp;H35,'Draft Board'!$J$2:$J$61,1)</f>
        <v>0</v>
      </c>
      <c r="L35" s="11">
        <f>IF(I35&lt;&gt;_xlfn.MINIFS('Draft Board'!$I$2:$I$61,'Draft Board'!$H$2:$H$61,"="&amp;H35),0,IF(OR(J35=1,IFERROR(FLOOR((K35-H35)/K35/0.25,1),0)&lt;&gt;IFERROR(FLOOR((K35-_xlfn.MINIFS('Draft Board'!$H$2:$H$61,'Draft Board'!$H$2:$H$61,"&gt;"&amp;H35))/K35/0.25,1),0)),1,0))</f>
        <v>0</v>
      </c>
      <c r="M35" s="11">
        <f>ROUND(1+H35*'Live Calc'!$D$26,0)</f>
        <v>1</v>
      </c>
      <c r="N35" s="11"/>
      <c r="O35" s="11">
        <f>IF(N35&lt;&gt;"",N35,ROUND(M35*INDEX('Live Calc'!$G$33:$G$92,MATCH(G35,'Live Calc'!$A$33:$A$92,0))*'Live Calc'!$J$543,0))</f>
        <v>1</v>
      </c>
      <c r="Q35" s="12" t="s">
        <v>225</v>
      </c>
      <c r="R35" s="12" t="s">
        <v>65</v>
      </c>
      <c r="S35" s="12">
        <v>133.84200000000001</v>
      </c>
      <c r="T35" s="12">
        <v>139.28200000000001</v>
      </c>
      <c r="U35" s="12">
        <v>144.46600000000001</v>
      </c>
      <c r="V35" s="12">
        <f>CHOOSE(MATCH(Setup!$B$7,{"STD","Half-PPR","PPR"},0),S35,T35,U35)</f>
        <v>139.28200000000001</v>
      </c>
      <c r="W35" s="12">
        <f>COUNTIFS('Draft Board'!$X$2:$X$162,"&gt;="&amp;X35,'Draft Board'!$AB$2:$AB$162,1)</f>
        <v>14</v>
      </c>
      <c r="X35" s="12">
        <f>MAX(0,V35-'Live Calc'!$H$20)^'Live Calc'!$E$20</f>
        <v>66.339829255805213</v>
      </c>
      <c r="Y35" s="12">
        <v>35</v>
      </c>
      <c r="Z35" s="12">
        <f>IF(Y35&lt;&gt;_xlfn.MINIFS('Draft Board'!$Y$2:$Y$162,'Draft Board'!$X$2:$X$162,"="&amp;X35),0,IF(_xlfn.MINIFS('Draft Board'!$X$2:$X$162,'Draft Board'!$X$2:$X$162,"&gt;"&amp;X35)=0,1,IF((_xlfn.MINIFS('Draft Board'!$X$2:$X$162,'Draft Board'!$X$2:$X$162,"&gt;"&amp;X35)-X35)/_xlfn.MINIFS('Draft Board'!$X$2:$X$162,'Draft Board'!$X$2:$X$162,"&gt;"&amp;X35)&gt;0.08,1,0)))</f>
        <v>1</v>
      </c>
      <c r="AA35" s="12">
        <f>_xlfn.MINIFS('Draft Board'!$X$2:$X$162,'Draft Board'!$X$2:$X$162,"&gt;="&amp;X35,'Draft Board'!$Z$2:$Z$162,1)</f>
        <v>66.339829255805213</v>
      </c>
      <c r="AB35" s="12">
        <f>IF(Y35&lt;&gt;_xlfn.MINIFS('Draft Board'!$Y$2:$Y$162,'Draft Board'!$X$2:$X$162,"="&amp;X35),0,IF(OR(Z35=1,IFERROR(FLOOR((AA35-X35)/AA35/0.25,1),0)&lt;&gt;IFERROR(FLOOR((AA35-_xlfn.MINIFS('Draft Board'!$X$2:$X$162,'Draft Board'!$X$2:$X$162,"&gt;"&amp;X35))/AA35/0.25,1),0)),1,0))</f>
        <v>1</v>
      </c>
      <c r="AC35" s="12">
        <f>ROUND(1+X35*'Live Calc'!$D$27,0)</f>
        <v>8</v>
      </c>
      <c r="AD35" s="12"/>
      <c r="AE35" s="12">
        <f>IF(AD35&lt;&gt;"",AD35,ROUND(AC35*INDEX('Live Calc'!$G$96:$G$256,MATCH(W35,'Live Calc'!$A$96:$A$256,0))*'Live Calc'!$J$543,0))</f>
        <v>8</v>
      </c>
      <c r="AG35" s="13" t="s">
        <v>226</v>
      </c>
      <c r="AH35" s="13" t="s">
        <v>192</v>
      </c>
      <c r="AI35" s="13">
        <v>118.702</v>
      </c>
      <c r="AJ35" s="13">
        <v>151.55000000000001</v>
      </c>
      <c r="AK35" s="13">
        <v>185.62</v>
      </c>
      <c r="AL35" s="13">
        <f>CHOOSE(MATCH(Setup!$B$7,{"STD","Half-PPR","PPR"},0),AI35,AJ35,AK35)</f>
        <v>151.55000000000001</v>
      </c>
      <c r="AM35" s="13">
        <f>COUNTIFS('Draft Board'!$AN$2:$AN$192,"&gt;="&amp;AN35,'Draft Board'!$AR$2:$AR$192,1)</f>
        <v>9</v>
      </c>
      <c r="AN35" s="13">
        <f>MAX(0,AL35-'Live Calc'!$H$21)^'Live Calc'!$E$21</f>
        <v>331.45277912997506</v>
      </c>
      <c r="AO35" s="13">
        <v>35</v>
      </c>
      <c r="AP35" s="13">
        <f>IF(AO35&lt;&gt;_xlfn.MINIFS('Draft Board'!$AO$2:$AO$192,'Draft Board'!$AN$2:$AN$192,"="&amp;AN35),0,IF(_xlfn.MINIFS('Draft Board'!$AN$2:$AN$192,'Draft Board'!$AN$2:$AN$192,"&gt;"&amp;AN35)=0,1,IF((_xlfn.MINIFS('Draft Board'!$AN$2:$AN$192,'Draft Board'!$AN$2:$AN$192,"&gt;"&amp;AN35)-AN35)/_xlfn.MINIFS('Draft Board'!$AN$2:$AN$192,'Draft Board'!$AN$2:$AN$192,"&gt;"&amp;AN35)&gt;0.08,1,0)))</f>
        <v>0</v>
      </c>
      <c r="AQ35" s="13">
        <f>_xlfn.MINIFS('Draft Board'!$AN$2:$AN$192,'Draft Board'!$AN$2:$AN$192,"&gt;="&amp;AN35,'Draft Board'!$AP$2:$AP$192,1)</f>
        <v>408.02441564412283</v>
      </c>
      <c r="AR35" s="13">
        <f>IF(AO35&lt;&gt;_xlfn.MINIFS('Draft Board'!$AO$2:$AO$192,'Draft Board'!$AN$2:$AN$192,"="&amp;AN35),0,IF(OR(AP35=1,IFERROR(FLOOR((AQ35-AN35)/AQ35/0.25,1),0)&lt;&gt;IFERROR(FLOOR((AQ35-_xlfn.MINIFS('Draft Board'!$AN$2:$AN$192,'Draft Board'!$AN$2:$AN$192,"&gt;"&amp;AN35))/AQ35/0.25,1),0)),1,0))</f>
        <v>0</v>
      </c>
      <c r="AS35" s="13">
        <f>ROUND(1+AN35*'Live Calc'!$D$28,0)</f>
        <v>10</v>
      </c>
      <c r="AT35" s="13"/>
      <c r="AU35" s="13">
        <f>IF(AT35&lt;&gt;"",AT35,ROUND(AS35*INDEX('Live Calc'!$G$260:$G$450,MATCH(AM35,'Live Calc'!$A$260:$A$450,0))*'Live Calc'!$J$543,0))</f>
        <v>10</v>
      </c>
      <c r="AW35" s="14" t="s">
        <v>227</v>
      </c>
      <c r="AX35" s="14" t="s">
        <v>118</v>
      </c>
      <c r="AY35" s="14">
        <v>54.735999999999997</v>
      </c>
      <c r="AZ35" s="14">
        <v>71.98</v>
      </c>
      <c r="BA35" s="14">
        <v>87.296000000000006</v>
      </c>
      <c r="BB35" s="14">
        <f>CHOOSE(MATCH(Setup!$B$7,{"STD","Half-PPR","PPR"},0),AY35,AZ35,BA35)</f>
        <v>71.98</v>
      </c>
      <c r="BC35" s="14">
        <f>COUNTIFS('Draft Board'!$BD$2:$BD$87,"&gt;="&amp;BD35,'Draft Board'!$BH$2:$BH$87,1)</f>
        <v>18</v>
      </c>
      <c r="BD35" s="14">
        <f>MAX(0,BB35-'Live Calc'!$H$22)^'Live Calc'!$E$22</f>
        <v>0</v>
      </c>
      <c r="BE35" s="14">
        <v>35</v>
      </c>
      <c r="BF35" s="14">
        <f>IF(BE35&lt;&gt;_xlfn.MINIFS('Draft Board'!$BE$2:$BE$87,'Draft Board'!$BD$2:$BD$87,"="&amp;BD35),0,IF(_xlfn.MINIFS('Draft Board'!$BD$2:$BD$87,'Draft Board'!$BD$2:$BD$87,"&gt;"&amp;BD35)=0,1,IF((_xlfn.MINIFS('Draft Board'!$BD$2:$BD$87,'Draft Board'!$BD$2:$BD$87,"&gt;"&amp;BD35)-BD35)/_xlfn.MINIFS('Draft Board'!$BD$2:$BD$87,'Draft Board'!$BD$2:$BD$87,"&gt;"&amp;BD35)&gt;0.08,1,0)))</f>
        <v>0</v>
      </c>
      <c r="BG35" s="14">
        <f>_xlfn.MINIFS('Draft Board'!$BD$2:$BD$87,'Draft Board'!$BD$2:$BD$87,"&gt;="&amp;BD35,'Draft Board'!$BF$2:$BF$87,1)</f>
        <v>0</v>
      </c>
      <c r="BH35" s="14">
        <f>IF(BE35&lt;&gt;_xlfn.MINIFS('Draft Board'!$BE$2:$BE$87,'Draft Board'!$BD$2:$BD$87,"="&amp;BD35),0,IF(OR(BF35=1,IFERROR(FLOOR((BG35-BD35)/BG35/0.25,1),0)&lt;&gt;IFERROR(FLOOR((BG35-_xlfn.MINIFS('Draft Board'!$BD$2:$BD$87,'Draft Board'!$BD$2:$BD$87,"&gt;"&amp;BD35))/BG35/0.25,1),0)),1,0))</f>
        <v>0</v>
      </c>
      <c r="BI35" s="14">
        <f>ROUND(1+BD35*'Live Calc'!$D$29,0)</f>
        <v>1</v>
      </c>
      <c r="BJ35" s="14"/>
      <c r="BK35" s="14">
        <f>IF(BJ35&lt;&gt;"",BJ35,ROUND(BI35*INDEX('Live Calc'!$G$454:$G$539,MATCH(BC35,'Live Calc'!$A$454:$A$539,0))*'Live Calc'!$J$543,0))</f>
        <v>1</v>
      </c>
    </row>
    <row r="36" spans="1:63" x14ac:dyDescent="0.25">
      <c r="A36" s="11" t="s">
        <v>228</v>
      </c>
      <c r="B36" s="11" t="s">
        <v>75</v>
      </c>
      <c r="C36" s="11">
        <v>70.981999999999999</v>
      </c>
      <c r="D36" s="11">
        <v>49.89</v>
      </c>
      <c r="E36" s="11">
        <v>49.89</v>
      </c>
      <c r="F36" s="11">
        <f>CHOOSE(MATCH(Setup!$B$7,{"STD","Half-PPR","PPR"},0),C36,D36,E36)</f>
        <v>49.89</v>
      </c>
      <c r="G36" s="11">
        <f>COUNTIFS('Draft Board'!$H$2:$H$61,"&gt;="&amp;H36,'Draft Board'!$L$2:$L$61,1)</f>
        <v>11</v>
      </c>
      <c r="H36" s="11">
        <f>MAX(0,F36-'Live Calc'!$H$19)^'Live Calc'!$E$19</f>
        <v>0</v>
      </c>
      <c r="I36" s="11">
        <v>36</v>
      </c>
      <c r="J36" s="11">
        <f>IF(I36&lt;&gt;_xlfn.MINIFS('Draft Board'!$I$2:$I$61,'Draft Board'!$H$2:$H$61,"="&amp;H36),0,IF(_xlfn.MINIFS('Draft Board'!$H$2:$H$61,'Draft Board'!$H$2:$H$61,"&gt;"&amp;H36)=0,1,IF((_xlfn.MINIFS('Draft Board'!$H$2:$H$61,'Draft Board'!$H$2:$H$61,"&gt;"&amp;H36)-H36)/_xlfn.MINIFS('Draft Board'!$H$2:$H$61,'Draft Board'!$H$2:$H$61,"&gt;"&amp;H36)&gt;0.08,1,0)))</f>
        <v>0</v>
      </c>
      <c r="K36" s="11">
        <f>_xlfn.MINIFS('Draft Board'!$H$2:$H$61,'Draft Board'!$H$2:$H$61,"&gt;="&amp;H36,'Draft Board'!$J$2:$J$61,1)</f>
        <v>0</v>
      </c>
      <c r="L36" s="11">
        <f>IF(I36&lt;&gt;_xlfn.MINIFS('Draft Board'!$I$2:$I$61,'Draft Board'!$H$2:$H$61,"="&amp;H36),0,IF(OR(J36=1,IFERROR(FLOOR((K36-H36)/K36/0.25,1),0)&lt;&gt;IFERROR(FLOOR((K36-_xlfn.MINIFS('Draft Board'!$H$2:$H$61,'Draft Board'!$H$2:$H$61,"&gt;"&amp;H36))/K36/0.25,1),0)),1,0))</f>
        <v>0</v>
      </c>
      <c r="M36" s="11">
        <f>ROUND(1+H36*'Live Calc'!$D$26,0)</f>
        <v>1</v>
      </c>
      <c r="N36" s="11"/>
      <c r="O36" s="11">
        <f>IF(N36&lt;&gt;"",N36,ROUND(M36*INDEX('Live Calc'!$G$33:$G$92,MATCH(G36,'Live Calc'!$A$33:$A$92,0))*'Live Calc'!$J$543,0))</f>
        <v>1</v>
      </c>
      <c r="Q36" s="12" t="s">
        <v>229</v>
      </c>
      <c r="R36" s="12" t="s">
        <v>85</v>
      </c>
      <c r="S36" s="12">
        <v>131.81200000000001</v>
      </c>
      <c r="T36" s="12">
        <v>139.244</v>
      </c>
      <c r="U36" s="12">
        <v>147.18199999999999</v>
      </c>
      <c r="V36" s="12">
        <f>CHOOSE(MATCH(Setup!$B$7,{"STD","Half-PPR","PPR"},0),S36,T36,U36)</f>
        <v>139.244</v>
      </c>
      <c r="W36" s="12">
        <f>COUNTIFS('Draft Board'!$X$2:$X$162,"&gt;="&amp;X36,'Draft Board'!$AB$2:$AB$162,1)</f>
        <v>14</v>
      </c>
      <c r="X36" s="12">
        <f>MAX(0,V36-'Live Calc'!$H$20)^'Live Calc'!$E$20</f>
        <v>66.248092404336276</v>
      </c>
      <c r="Y36" s="12">
        <v>36</v>
      </c>
      <c r="Z36" s="12">
        <f>IF(Y36&lt;&gt;_xlfn.MINIFS('Draft Board'!$Y$2:$Y$162,'Draft Board'!$X$2:$X$162,"="&amp;X36),0,IF(_xlfn.MINIFS('Draft Board'!$X$2:$X$162,'Draft Board'!$X$2:$X$162,"&gt;"&amp;X36)=0,1,IF((_xlfn.MINIFS('Draft Board'!$X$2:$X$162,'Draft Board'!$X$2:$X$162,"&gt;"&amp;X36)-X36)/_xlfn.MINIFS('Draft Board'!$X$2:$X$162,'Draft Board'!$X$2:$X$162,"&gt;"&amp;X36)&gt;0.08,1,0)))</f>
        <v>0</v>
      </c>
      <c r="AA36" s="12">
        <f>_xlfn.MINIFS('Draft Board'!$X$2:$X$162,'Draft Board'!$X$2:$X$162,"&gt;="&amp;X36,'Draft Board'!$Z$2:$Z$162,1)</f>
        <v>66.339829255805213</v>
      </c>
      <c r="AB36" s="12">
        <f>IF(Y36&lt;&gt;_xlfn.MINIFS('Draft Board'!$Y$2:$Y$162,'Draft Board'!$X$2:$X$162,"="&amp;X36),0,IF(OR(Z36=1,IFERROR(FLOOR((AA36-X36)/AA36/0.25,1),0)&lt;&gt;IFERROR(FLOOR((AA36-_xlfn.MINIFS('Draft Board'!$X$2:$X$162,'Draft Board'!$X$2:$X$162,"&gt;"&amp;X36))/AA36/0.25,1),0)),1,0))</f>
        <v>0</v>
      </c>
      <c r="AC36" s="12">
        <f>ROUND(1+X36*'Live Calc'!$D$27,0)</f>
        <v>8</v>
      </c>
      <c r="AD36" s="12"/>
      <c r="AE36" s="12">
        <f>IF(AD36&lt;&gt;"",AD36,ROUND(AC36*INDEX('Live Calc'!$G$96:$G$256,MATCH(W36,'Live Calc'!$A$96:$A$256,0))*'Live Calc'!$J$543,0))</f>
        <v>8</v>
      </c>
      <c r="AG36" s="13" t="s">
        <v>230</v>
      </c>
      <c r="AH36" s="13" t="s">
        <v>108</v>
      </c>
      <c r="AI36" s="13">
        <v>121.944</v>
      </c>
      <c r="AJ36" s="13">
        <v>149.72200000000001</v>
      </c>
      <c r="AK36" s="13">
        <v>180.7</v>
      </c>
      <c r="AL36" s="13">
        <f>CHOOSE(MATCH(Setup!$B$7,{"STD","Half-PPR","PPR"},0),AI36,AJ36,AK36)</f>
        <v>149.72200000000001</v>
      </c>
      <c r="AM36" s="13">
        <f>COUNTIFS('Draft Board'!$AN$2:$AN$192,"&gt;="&amp;AN36,'Draft Board'!$AR$2:$AR$192,1)</f>
        <v>9</v>
      </c>
      <c r="AN36" s="13">
        <f>MAX(0,AL36-'Live Calc'!$H$21)^'Live Calc'!$E$21</f>
        <v>312.65887068096441</v>
      </c>
      <c r="AO36" s="13">
        <v>36</v>
      </c>
      <c r="AP36" s="13">
        <f>IF(AO36&lt;&gt;_xlfn.MINIFS('Draft Board'!$AO$2:$AO$192,'Draft Board'!$AN$2:$AN$192,"="&amp;AN36),0,IF(_xlfn.MINIFS('Draft Board'!$AN$2:$AN$192,'Draft Board'!$AN$2:$AN$192,"&gt;"&amp;AN36)=0,1,IF((_xlfn.MINIFS('Draft Board'!$AN$2:$AN$192,'Draft Board'!$AN$2:$AN$192,"&gt;"&amp;AN36)-AN36)/_xlfn.MINIFS('Draft Board'!$AN$2:$AN$192,'Draft Board'!$AN$2:$AN$192,"&gt;"&amp;AN36)&gt;0.08,1,0)))</f>
        <v>0</v>
      </c>
      <c r="AQ36" s="13">
        <f>_xlfn.MINIFS('Draft Board'!$AN$2:$AN$192,'Draft Board'!$AN$2:$AN$192,"&gt;="&amp;AN36,'Draft Board'!$AP$2:$AP$192,1)</f>
        <v>408.02441564412283</v>
      </c>
      <c r="AR36" s="13">
        <f>IF(AO36&lt;&gt;_xlfn.MINIFS('Draft Board'!$AO$2:$AO$192,'Draft Board'!$AN$2:$AN$192,"="&amp;AN36),0,IF(OR(AP36=1,IFERROR(FLOOR((AQ36-AN36)/AQ36/0.25,1),0)&lt;&gt;IFERROR(FLOOR((AQ36-_xlfn.MINIFS('Draft Board'!$AN$2:$AN$192,'Draft Board'!$AN$2:$AN$192,"&gt;"&amp;AN36))/AQ36/0.25,1),0)),1,0))</f>
        <v>0</v>
      </c>
      <c r="AS36" s="13">
        <f>ROUND(1+AN36*'Live Calc'!$D$28,0)</f>
        <v>9</v>
      </c>
      <c r="AT36" s="13"/>
      <c r="AU36" s="13">
        <f>IF(AT36&lt;&gt;"",AT36,ROUND(AS36*INDEX('Live Calc'!$G$260:$G$450,MATCH(AM36,'Live Calc'!$A$260:$A$450,0))*'Live Calc'!$J$543,0))</f>
        <v>9</v>
      </c>
      <c r="AW36" s="14" t="s">
        <v>231</v>
      </c>
      <c r="AX36" s="14" t="s">
        <v>190</v>
      </c>
      <c r="AY36" s="14">
        <v>47.686</v>
      </c>
      <c r="AZ36" s="14">
        <v>64.861999999999995</v>
      </c>
      <c r="BA36" s="14">
        <v>82.024000000000001</v>
      </c>
      <c r="BB36" s="14">
        <f>CHOOSE(MATCH(Setup!$B$7,{"STD","Half-PPR","PPR"},0),AY36,AZ36,BA36)</f>
        <v>64.861999999999995</v>
      </c>
      <c r="BC36" s="14">
        <f>COUNTIFS('Draft Board'!$BD$2:$BD$87,"&gt;="&amp;BD36,'Draft Board'!$BH$2:$BH$87,1)</f>
        <v>18</v>
      </c>
      <c r="BD36" s="14">
        <f>MAX(0,BB36-'Live Calc'!$H$22)^'Live Calc'!$E$22</f>
        <v>0</v>
      </c>
      <c r="BE36" s="14">
        <v>36</v>
      </c>
      <c r="BF36" s="14">
        <f>IF(BE36&lt;&gt;_xlfn.MINIFS('Draft Board'!$BE$2:$BE$87,'Draft Board'!$BD$2:$BD$87,"="&amp;BD36),0,IF(_xlfn.MINIFS('Draft Board'!$BD$2:$BD$87,'Draft Board'!$BD$2:$BD$87,"&gt;"&amp;BD36)=0,1,IF((_xlfn.MINIFS('Draft Board'!$BD$2:$BD$87,'Draft Board'!$BD$2:$BD$87,"&gt;"&amp;BD36)-BD36)/_xlfn.MINIFS('Draft Board'!$BD$2:$BD$87,'Draft Board'!$BD$2:$BD$87,"&gt;"&amp;BD36)&gt;0.08,1,0)))</f>
        <v>0</v>
      </c>
      <c r="BG36" s="14">
        <f>_xlfn.MINIFS('Draft Board'!$BD$2:$BD$87,'Draft Board'!$BD$2:$BD$87,"&gt;="&amp;BD36,'Draft Board'!$BF$2:$BF$87,1)</f>
        <v>0</v>
      </c>
      <c r="BH36" s="14">
        <f>IF(BE36&lt;&gt;_xlfn.MINIFS('Draft Board'!$BE$2:$BE$87,'Draft Board'!$BD$2:$BD$87,"="&amp;BD36),0,IF(OR(BF36=1,IFERROR(FLOOR((BG36-BD36)/BG36/0.25,1),0)&lt;&gt;IFERROR(FLOOR((BG36-_xlfn.MINIFS('Draft Board'!$BD$2:$BD$87,'Draft Board'!$BD$2:$BD$87,"&gt;"&amp;BD36))/BG36/0.25,1),0)),1,0))</f>
        <v>0</v>
      </c>
      <c r="BI36" s="14">
        <f>ROUND(1+BD36*'Live Calc'!$D$29,0)</f>
        <v>1</v>
      </c>
      <c r="BJ36" s="14"/>
      <c r="BK36" s="14">
        <f>IF(BJ36&lt;&gt;"",BJ36,ROUND(BI36*INDEX('Live Calc'!$G$454:$G$539,MATCH(BC36,'Live Calc'!$A$454:$A$539,0))*'Live Calc'!$J$543,0))</f>
        <v>1</v>
      </c>
    </row>
    <row r="37" spans="1:63" x14ac:dyDescent="0.25">
      <c r="A37" s="11" t="s">
        <v>232</v>
      </c>
      <c r="B37" s="11" t="s">
        <v>67</v>
      </c>
      <c r="C37" s="11">
        <v>34.43</v>
      </c>
      <c r="D37" s="11">
        <v>34.43</v>
      </c>
      <c r="E37" s="11">
        <v>34.43</v>
      </c>
      <c r="F37" s="11">
        <f>CHOOSE(MATCH(Setup!$B$7,{"STD","Half-PPR","PPR"},0),C37,D37,E37)</f>
        <v>34.43</v>
      </c>
      <c r="G37" s="11">
        <f>COUNTIFS('Draft Board'!$H$2:$H$61,"&gt;="&amp;H37,'Draft Board'!$L$2:$L$61,1)</f>
        <v>11</v>
      </c>
      <c r="H37" s="11">
        <f>MAX(0,F37-'Live Calc'!$H$19)^'Live Calc'!$E$19</f>
        <v>0</v>
      </c>
      <c r="I37" s="11">
        <v>37</v>
      </c>
      <c r="J37" s="11">
        <f>IF(I37&lt;&gt;_xlfn.MINIFS('Draft Board'!$I$2:$I$61,'Draft Board'!$H$2:$H$61,"="&amp;H37),0,IF(_xlfn.MINIFS('Draft Board'!$H$2:$H$61,'Draft Board'!$H$2:$H$61,"&gt;"&amp;H37)=0,1,IF((_xlfn.MINIFS('Draft Board'!$H$2:$H$61,'Draft Board'!$H$2:$H$61,"&gt;"&amp;H37)-H37)/_xlfn.MINIFS('Draft Board'!$H$2:$H$61,'Draft Board'!$H$2:$H$61,"&gt;"&amp;H37)&gt;0.08,1,0)))</f>
        <v>0</v>
      </c>
      <c r="K37" s="11">
        <f>_xlfn.MINIFS('Draft Board'!$H$2:$H$61,'Draft Board'!$H$2:$H$61,"&gt;="&amp;H37,'Draft Board'!$J$2:$J$61,1)</f>
        <v>0</v>
      </c>
      <c r="L37" s="11">
        <f>IF(I37&lt;&gt;_xlfn.MINIFS('Draft Board'!$I$2:$I$61,'Draft Board'!$H$2:$H$61,"="&amp;H37),0,IF(OR(J37=1,IFERROR(FLOOR((K37-H37)/K37/0.25,1),0)&lt;&gt;IFERROR(FLOOR((K37-_xlfn.MINIFS('Draft Board'!$H$2:$H$61,'Draft Board'!$H$2:$H$61,"&gt;"&amp;H37))/K37/0.25,1),0)),1,0))</f>
        <v>0</v>
      </c>
      <c r="M37" s="11">
        <f>ROUND(1+H37*'Live Calc'!$D$26,0)</f>
        <v>1</v>
      </c>
      <c r="N37" s="11"/>
      <c r="O37" s="11">
        <f>IF(N37&lt;&gt;"",N37,ROUND(M37*INDEX('Live Calc'!$G$33:$G$92,MATCH(G37,'Live Calc'!$A$33:$A$92,0))*'Live Calc'!$J$543,0))</f>
        <v>1</v>
      </c>
      <c r="Q37" s="12" t="s">
        <v>233</v>
      </c>
      <c r="R37" s="12" t="s">
        <v>139</v>
      </c>
      <c r="S37" s="12">
        <v>116.8</v>
      </c>
      <c r="T37" s="12">
        <v>138.66999999999999</v>
      </c>
      <c r="U37" s="12">
        <v>161.33799999999999</v>
      </c>
      <c r="V37" s="12">
        <f>CHOOSE(MATCH(Setup!$B$7,{"STD","Half-PPR","PPR"},0),S37,T37,U37)</f>
        <v>138.66999999999999</v>
      </c>
      <c r="W37" s="12">
        <f>COUNTIFS('Draft Board'!$X$2:$X$162,"&gt;="&amp;X37,'Draft Board'!$AB$2:$AB$162,1)</f>
        <v>14</v>
      </c>
      <c r="X37" s="12">
        <f>MAX(0,V37-'Live Calc'!$H$20)^'Live Calc'!$E$20</f>
        <v>64.864969098669846</v>
      </c>
      <c r="Y37" s="12">
        <v>37</v>
      </c>
      <c r="Z37" s="12">
        <f>IF(Y37&lt;&gt;_xlfn.MINIFS('Draft Board'!$Y$2:$Y$162,'Draft Board'!$X$2:$X$162,"="&amp;X37),0,IF(_xlfn.MINIFS('Draft Board'!$X$2:$X$162,'Draft Board'!$X$2:$X$162,"&gt;"&amp;X37)=0,1,IF((_xlfn.MINIFS('Draft Board'!$X$2:$X$162,'Draft Board'!$X$2:$X$162,"&gt;"&amp;X37)-X37)/_xlfn.MINIFS('Draft Board'!$X$2:$X$162,'Draft Board'!$X$2:$X$162,"&gt;"&amp;X37)&gt;0.08,1,0)))</f>
        <v>0</v>
      </c>
      <c r="AA37" s="12">
        <f>_xlfn.MINIFS('Draft Board'!$X$2:$X$162,'Draft Board'!$X$2:$X$162,"&gt;="&amp;X37,'Draft Board'!$Z$2:$Z$162,1)</f>
        <v>66.339829255805213</v>
      </c>
      <c r="AB37" s="12">
        <f>IF(Y37&lt;&gt;_xlfn.MINIFS('Draft Board'!$Y$2:$Y$162,'Draft Board'!$X$2:$X$162,"="&amp;X37),0,IF(OR(Z37=1,IFERROR(FLOOR((AA37-X37)/AA37/0.25,1),0)&lt;&gt;IFERROR(FLOOR((AA37-_xlfn.MINIFS('Draft Board'!$X$2:$X$162,'Draft Board'!$X$2:$X$162,"&gt;"&amp;X37))/AA37/0.25,1),0)),1,0))</f>
        <v>0</v>
      </c>
      <c r="AC37" s="12">
        <f>ROUND(1+X37*'Live Calc'!$D$27,0)</f>
        <v>7</v>
      </c>
      <c r="AD37" s="12"/>
      <c r="AE37" s="12">
        <f>IF(AD37&lt;&gt;"",AD37,ROUND(AC37*INDEX('Live Calc'!$G$96:$G$256,MATCH(W37,'Live Calc'!$A$96:$A$256,0))*'Live Calc'!$J$543,0))</f>
        <v>7</v>
      </c>
      <c r="AG37" s="13" t="s">
        <v>234</v>
      </c>
      <c r="AH37" s="13" t="s">
        <v>159</v>
      </c>
      <c r="AI37" s="13">
        <v>109.70399999999999</v>
      </c>
      <c r="AJ37" s="13">
        <v>145.40799999999999</v>
      </c>
      <c r="AK37" s="13">
        <v>179.33</v>
      </c>
      <c r="AL37" s="13">
        <f>CHOOSE(MATCH(Setup!$B$7,{"STD","Half-PPR","PPR"},0),AI37,AJ37,AK37)</f>
        <v>145.40799999999999</v>
      </c>
      <c r="AM37" s="13">
        <f>COUNTIFS('Draft Board'!$AN$2:$AN$192,"&gt;="&amp;AN37,'Draft Board'!$AR$2:$AR$192,1)</f>
        <v>10</v>
      </c>
      <c r="AN37" s="13">
        <f>MAX(0,AL37-'Live Calc'!$H$21)^'Live Calc'!$E$21</f>
        <v>269.78383615592662</v>
      </c>
      <c r="AO37" s="13">
        <v>37</v>
      </c>
      <c r="AP37" s="13">
        <f>IF(AO37&lt;&gt;_xlfn.MINIFS('Draft Board'!$AO$2:$AO$192,'Draft Board'!$AN$2:$AN$192,"="&amp;AN37),0,IF(_xlfn.MINIFS('Draft Board'!$AN$2:$AN$192,'Draft Board'!$AN$2:$AN$192,"&gt;"&amp;AN37)=0,1,IF((_xlfn.MINIFS('Draft Board'!$AN$2:$AN$192,'Draft Board'!$AN$2:$AN$192,"&gt;"&amp;AN37)-AN37)/_xlfn.MINIFS('Draft Board'!$AN$2:$AN$192,'Draft Board'!$AN$2:$AN$192,"&gt;"&amp;AN37)&gt;0.08,1,0)))</f>
        <v>1</v>
      </c>
      <c r="AQ37" s="13">
        <f>_xlfn.MINIFS('Draft Board'!$AN$2:$AN$192,'Draft Board'!$AN$2:$AN$192,"&gt;="&amp;AN37,'Draft Board'!$AP$2:$AP$192,1)</f>
        <v>269.78383615592662</v>
      </c>
      <c r="AR37" s="13">
        <f>IF(AO37&lt;&gt;_xlfn.MINIFS('Draft Board'!$AO$2:$AO$192,'Draft Board'!$AN$2:$AN$192,"="&amp;AN37),0,IF(OR(AP37=1,IFERROR(FLOOR((AQ37-AN37)/AQ37/0.25,1),0)&lt;&gt;IFERROR(FLOOR((AQ37-_xlfn.MINIFS('Draft Board'!$AN$2:$AN$192,'Draft Board'!$AN$2:$AN$192,"&gt;"&amp;AN37))/AQ37/0.25,1),0)),1,0))</f>
        <v>1</v>
      </c>
      <c r="AS37" s="13">
        <f>ROUND(1+AN37*'Live Calc'!$D$28,0)</f>
        <v>8</v>
      </c>
      <c r="AT37" s="13"/>
      <c r="AU37" s="13">
        <f>IF(AT37&lt;&gt;"",AT37,ROUND(AS37*INDEX('Live Calc'!$G$260:$G$450,MATCH(AM37,'Live Calc'!$A$260:$A$450,0))*'Live Calc'!$J$543,0))</f>
        <v>8</v>
      </c>
      <c r="AW37" s="14" t="s">
        <v>235</v>
      </c>
      <c r="AX37" s="14" t="s">
        <v>75</v>
      </c>
      <c r="AY37" s="14">
        <v>47.154000000000003</v>
      </c>
      <c r="AZ37" s="14">
        <v>64.852000000000004</v>
      </c>
      <c r="BA37" s="14">
        <v>85.85</v>
      </c>
      <c r="BB37" s="14">
        <f>CHOOSE(MATCH(Setup!$B$7,{"STD","Half-PPR","PPR"},0),AY37,AZ37,BA37)</f>
        <v>64.852000000000004</v>
      </c>
      <c r="BC37" s="14">
        <f>COUNTIFS('Draft Board'!$BD$2:$BD$87,"&gt;="&amp;BD37,'Draft Board'!$BH$2:$BH$87,1)</f>
        <v>18</v>
      </c>
      <c r="BD37" s="14">
        <f>MAX(0,BB37-'Live Calc'!$H$22)^'Live Calc'!$E$22</f>
        <v>0</v>
      </c>
      <c r="BE37" s="14">
        <v>37</v>
      </c>
      <c r="BF37" s="14">
        <f>IF(BE37&lt;&gt;_xlfn.MINIFS('Draft Board'!$BE$2:$BE$87,'Draft Board'!$BD$2:$BD$87,"="&amp;BD37),0,IF(_xlfn.MINIFS('Draft Board'!$BD$2:$BD$87,'Draft Board'!$BD$2:$BD$87,"&gt;"&amp;BD37)=0,1,IF((_xlfn.MINIFS('Draft Board'!$BD$2:$BD$87,'Draft Board'!$BD$2:$BD$87,"&gt;"&amp;BD37)-BD37)/_xlfn.MINIFS('Draft Board'!$BD$2:$BD$87,'Draft Board'!$BD$2:$BD$87,"&gt;"&amp;BD37)&gt;0.08,1,0)))</f>
        <v>0</v>
      </c>
      <c r="BG37" s="14">
        <f>_xlfn.MINIFS('Draft Board'!$BD$2:$BD$87,'Draft Board'!$BD$2:$BD$87,"&gt;="&amp;BD37,'Draft Board'!$BF$2:$BF$87,1)</f>
        <v>0</v>
      </c>
      <c r="BH37" s="14">
        <f>IF(BE37&lt;&gt;_xlfn.MINIFS('Draft Board'!$BE$2:$BE$87,'Draft Board'!$BD$2:$BD$87,"="&amp;BD37),0,IF(OR(BF37=1,IFERROR(FLOOR((BG37-BD37)/BG37/0.25,1),0)&lt;&gt;IFERROR(FLOOR((BG37-_xlfn.MINIFS('Draft Board'!$BD$2:$BD$87,'Draft Board'!$BD$2:$BD$87,"&gt;"&amp;BD37))/BG37/0.25,1),0)),1,0))</f>
        <v>0</v>
      </c>
      <c r="BI37" s="14">
        <f>ROUND(1+BD37*'Live Calc'!$D$29,0)</f>
        <v>1</v>
      </c>
      <c r="BJ37" s="14"/>
      <c r="BK37" s="14">
        <f>IF(BJ37&lt;&gt;"",BJ37,ROUND(BI37*INDEX('Live Calc'!$G$454:$G$539,MATCH(BC37,'Live Calc'!$A$454:$A$539,0))*'Live Calc'!$J$543,0))</f>
        <v>1</v>
      </c>
    </row>
    <row r="38" spans="1:63" x14ac:dyDescent="0.25">
      <c r="A38" s="11" t="s">
        <v>236</v>
      </c>
      <c r="B38" s="11" t="s">
        <v>105</v>
      </c>
      <c r="C38" s="11">
        <v>25.71</v>
      </c>
      <c r="D38" s="11">
        <v>25.71</v>
      </c>
      <c r="E38" s="11">
        <v>25.71</v>
      </c>
      <c r="F38" s="11">
        <f>CHOOSE(MATCH(Setup!$B$7,{"STD","Half-PPR","PPR"},0),C38,D38,E38)</f>
        <v>25.71</v>
      </c>
      <c r="G38" s="11">
        <f>COUNTIFS('Draft Board'!$H$2:$H$61,"&gt;="&amp;H38,'Draft Board'!$L$2:$L$61,1)</f>
        <v>11</v>
      </c>
      <c r="H38" s="11">
        <f>MAX(0,F38-'Live Calc'!$H$19)^'Live Calc'!$E$19</f>
        <v>0</v>
      </c>
      <c r="I38" s="11">
        <v>38</v>
      </c>
      <c r="J38" s="11">
        <f>IF(I38&lt;&gt;_xlfn.MINIFS('Draft Board'!$I$2:$I$61,'Draft Board'!$H$2:$H$61,"="&amp;H38),0,IF(_xlfn.MINIFS('Draft Board'!$H$2:$H$61,'Draft Board'!$H$2:$H$61,"&gt;"&amp;H38)=0,1,IF((_xlfn.MINIFS('Draft Board'!$H$2:$H$61,'Draft Board'!$H$2:$H$61,"&gt;"&amp;H38)-H38)/_xlfn.MINIFS('Draft Board'!$H$2:$H$61,'Draft Board'!$H$2:$H$61,"&gt;"&amp;H38)&gt;0.08,1,0)))</f>
        <v>0</v>
      </c>
      <c r="K38" s="11">
        <f>_xlfn.MINIFS('Draft Board'!$H$2:$H$61,'Draft Board'!$H$2:$H$61,"&gt;="&amp;H38,'Draft Board'!$J$2:$J$61,1)</f>
        <v>0</v>
      </c>
      <c r="L38" s="11">
        <f>IF(I38&lt;&gt;_xlfn.MINIFS('Draft Board'!$I$2:$I$61,'Draft Board'!$H$2:$H$61,"="&amp;H38),0,IF(OR(J38=1,IFERROR(FLOOR((K38-H38)/K38/0.25,1),0)&lt;&gt;IFERROR(FLOOR((K38-_xlfn.MINIFS('Draft Board'!$H$2:$H$61,'Draft Board'!$H$2:$H$61,"&gt;"&amp;H38))/K38/0.25,1),0)),1,0))</f>
        <v>0</v>
      </c>
      <c r="M38" s="11">
        <f>ROUND(1+H38*'Live Calc'!$D$26,0)</f>
        <v>1</v>
      </c>
      <c r="N38" s="11"/>
      <c r="O38" s="11">
        <f>IF(N38&lt;&gt;"",N38,ROUND(M38*INDEX('Live Calc'!$G$33:$G$92,MATCH(G38,'Live Calc'!$A$33:$A$92,0))*'Live Calc'!$J$543,0))</f>
        <v>1</v>
      </c>
      <c r="Q38" s="12" t="s">
        <v>237</v>
      </c>
      <c r="R38" s="12" t="s">
        <v>159</v>
      </c>
      <c r="S38" s="12">
        <v>113.176</v>
      </c>
      <c r="T38" s="12">
        <v>137.16800000000001</v>
      </c>
      <c r="U38" s="12">
        <v>161.45400000000001</v>
      </c>
      <c r="V38" s="12">
        <f>CHOOSE(MATCH(Setup!$B$7,{"STD","Half-PPR","PPR"},0),S38,T38,U38)</f>
        <v>137.16800000000001</v>
      </c>
      <c r="W38" s="12">
        <f>COUNTIFS('Draft Board'!$X$2:$X$162,"&gt;="&amp;X38,'Draft Board'!$AB$2:$AB$162,1)</f>
        <v>14</v>
      </c>
      <c r="X38" s="12">
        <f>MAX(0,V38-'Live Calc'!$H$20)^'Live Calc'!$E$20</f>
        <v>61.269075840155153</v>
      </c>
      <c r="Y38" s="12">
        <v>38</v>
      </c>
      <c r="Z38" s="12">
        <f>IF(Y38&lt;&gt;_xlfn.MINIFS('Draft Board'!$Y$2:$Y$162,'Draft Board'!$X$2:$X$162,"="&amp;X38),0,IF(_xlfn.MINIFS('Draft Board'!$X$2:$X$162,'Draft Board'!$X$2:$X$162,"&gt;"&amp;X38)=0,1,IF((_xlfn.MINIFS('Draft Board'!$X$2:$X$162,'Draft Board'!$X$2:$X$162,"&gt;"&amp;X38)-X38)/_xlfn.MINIFS('Draft Board'!$X$2:$X$162,'Draft Board'!$X$2:$X$162,"&gt;"&amp;X38)&gt;0.08,1,0)))</f>
        <v>0</v>
      </c>
      <c r="AA38" s="12">
        <f>_xlfn.MINIFS('Draft Board'!$X$2:$X$162,'Draft Board'!$X$2:$X$162,"&gt;="&amp;X38,'Draft Board'!$Z$2:$Z$162,1)</f>
        <v>66.339829255805213</v>
      </c>
      <c r="AB38" s="12">
        <f>IF(Y38&lt;&gt;_xlfn.MINIFS('Draft Board'!$Y$2:$Y$162,'Draft Board'!$X$2:$X$162,"="&amp;X38),0,IF(OR(Z38=1,IFERROR(FLOOR((AA38-X38)/AA38/0.25,1),0)&lt;&gt;IFERROR(FLOOR((AA38-_xlfn.MINIFS('Draft Board'!$X$2:$X$162,'Draft Board'!$X$2:$X$162,"&gt;"&amp;X38))/AA38/0.25,1),0)),1,0))</f>
        <v>0</v>
      </c>
      <c r="AC38" s="12">
        <f>ROUND(1+X38*'Live Calc'!$D$27,0)</f>
        <v>7</v>
      </c>
      <c r="AD38" s="12"/>
      <c r="AE38" s="12">
        <f>IF(AD38&lt;&gt;"",AD38,ROUND(AC38*INDEX('Live Calc'!$G$96:$G$256,MATCH(W38,'Live Calc'!$A$96:$A$256,0))*'Live Calc'!$J$543,0))</f>
        <v>7</v>
      </c>
      <c r="AG38" s="13" t="s">
        <v>238</v>
      </c>
      <c r="AH38" s="13" t="s">
        <v>87</v>
      </c>
      <c r="AI38" s="13">
        <v>119.98399999999999</v>
      </c>
      <c r="AJ38" s="13">
        <v>145.11000000000001</v>
      </c>
      <c r="AK38" s="13">
        <v>169.29599999999999</v>
      </c>
      <c r="AL38" s="13">
        <f>CHOOSE(MATCH(Setup!$B$7,{"STD","Half-PPR","PPR"},0),AI38,AJ38,AK38)</f>
        <v>145.11000000000001</v>
      </c>
      <c r="AM38" s="13">
        <f>COUNTIFS('Draft Board'!$AN$2:$AN$192,"&gt;="&amp;AN38,'Draft Board'!$AR$2:$AR$192,1)</f>
        <v>10</v>
      </c>
      <c r="AN38" s="13">
        <f>MAX(0,AL38-'Live Calc'!$H$21)^'Live Calc'!$E$21</f>
        <v>266.90067037132752</v>
      </c>
      <c r="AO38" s="13">
        <v>38</v>
      </c>
      <c r="AP38" s="13">
        <f>IF(AO38&lt;&gt;_xlfn.MINIFS('Draft Board'!$AO$2:$AO$192,'Draft Board'!$AN$2:$AN$192,"="&amp;AN38),0,IF(_xlfn.MINIFS('Draft Board'!$AN$2:$AN$192,'Draft Board'!$AN$2:$AN$192,"&gt;"&amp;AN38)=0,1,IF((_xlfn.MINIFS('Draft Board'!$AN$2:$AN$192,'Draft Board'!$AN$2:$AN$192,"&gt;"&amp;AN38)-AN38)/_xlfn.MINIFS('Draft Board'!$AN$2:$AN$192,'Draft Board'!$AN$2:$AN$192,"&gt;"&amp;AN38)&gt;0.08,1,0)))</f>
        <v>0</v>
      </c>
      <c r="AQ38" s="13">
        <f>_xlfn.MINIFS('Draft Board'!$AN$2:$AN$192,'Draft Board'!$AN$2:$AN$192,"&gt;="&amp;AN38,'Draft Board'!$AP$2:$AP$192,1)</f>
        <v>269.78383615592662</v>
      </c>
      <c r="AR38" s="13">
        <f>IF(AO38&lt;&gt;_xlfn.MINIFS('Draft Board'!$AO$2:$AO$192,'Draft Board'!$AN$2:$AN$192,"="&amp;AN38),0,IF(OR(AP38=1,IFERROR(FLOOR((AQ38-AN38)/AQ38/0.25,1),0)&lt;&gt;IFERROR(FLOOR((AQ38-_xlfn.MINIFS('Draft Board'!$AN$2:$AN$192,'Draft Board'!$AN$2:$AN$192,"&gt;"&amp;AN38))/AQ38/0.25,1),0)),1,0))</f>
        <v>0</v>
      </c>
      <c r="AS38" s="13">
        <f>ROUND(1+AN38*'Live Calc'!$D$28,0)</f>
        <v>8</v>
      </c>
      <c r="AT38" s="13"/>
      <c r="AU38" s="13">
        <f>IF(AT38&lt;&gt;"",AT38,ROUND(AS38*INDEX('Live Calc'!$G$260:$G$450,MATCH(AM38,'Live Calc'!$A$260:$A$450,0))*'Live Calc'!$J$543,0))</f>
        <v>8</v>
      </c>
      <c r="AW38" s="14" t="s">
        <v>239</v>
      </c>
      <c r="AX38" s="14" t="s">
        <v>153</v>
      </c>
      <c r="AY38" s="14">
        <v>42.281999999999996</v>
      </c>
      <c r="AZ38" s="14">
        <v>59.73</v>
      </c>
      <c r="BA38" s="14">
        <v>77.183999999999997</v>
      </c>
      <c r="BB38" s="14">
        <f>CHOOSE(MATCH(Setup!$B$7,{"STD","Half-PPR","PPR"},0),AY38,AZ38,BA38)</f>
        <v>59.73</v>
      </c>
      <c r="BC38" s="14">
        <f>COUNTIFS('Draft Board'!$BD$2:$BD$87,"&gt;="&amp;BD38,'Draft Board'!$BH$2:$BH$87,1)</f>
        <v>18</v>
      </c>
      <c r="BD38" s="14">
        <f>MAX(0,BB38-'Live Calc'!$H$22)^'Live Calc'!$E$22</f>
        <v>0</v>
      </c>
      <c r="BE38" s="14">
        <v>38</v>
      </c>
      <c r="BF38" s="14">
        <f>IF(BE38&lt;&gt;_xlfn.MINIFS('Draft Board'!$BE$2:$BE$87,'Draft Board'!$BD$2:$BD$87,"="&amp;BD38),0,IF(_xlfn.MINIFS('Draft Board'!$BD$2:$BD$87,'Draft Board'!$BD$2:$BD$87,"&gt;"&amp;BD38)=0,1,IF((_xlfn.MINIFS('Draft Board'!$BD$2:$BD$87,'Draft Board'!$BD$2:$BD$87,"&gt;"&amp;BD38)-BD38)/_xlfn.MINIFS('Draft Board'!$BD$2:$BD$87,'Draft Board'!$BD$2:$BD$87,"&gt;"&amp;BD38)&gt;0.08,1,0)))</f>
        <v>0</v>
      </c>
      <c r="BG38" s="14">
        <f>_xlfn.MINIFS('Draft Board'!$BD$2:$BD$87,'Draft Board'!$BD$2:$BD$87,"&gt;="&amp;BD38,'Draft Board'!$BF$2:$BF$87,1)</f>
        <v>0</v>
      </c>
      <c r="BH38" s="14">
        <f>IF(BE38&lt;&gt;_xlfn.MINIFS('Draft Board'!$BE$2:$BE$87,'Draft Board'!$BD$2:$BD$87,"="&amp;BD38),0,IF(OR(BF38=1,IFERROR(FLOOR((BG38-BD38)/BG38/0.25,1),0)&lt;&gt;IFERROR(FLOOR((BG38-_xlfn.MINIFS('Draft Board'!$BD$2:$BD$87,'Draft Board'!$BD$2:$BD$87,"&gt;"&amp;BD38))/BG38/0.25,1),0)),1,0))</f>
        <v>0</v>
      </c>
      <c r="BI38" s="14">
        <f>ROUND(1+BD38*'Live Calc'!$D$29,0)</f>
        <v>1</v>
      </c>
      <c r="BJ38" s="14"/>
      <c r="BK38" s="14">
        <f>IF(BJ38&lt;&gt;"",BJ38,ROUND(BI38*INDEX('Live Calc'!$G$454:$G$539,MATCH(BC38,'Live Calc'!$A$454:$A$539,0))*'Live Calc'!$J$543,0))</f>
        <v>1</v>
      </c>
    </row>
    <row r="39" spans="1:63" x14ac:dyDescent="0.25">
      <c r="A39" s="11" t="s">
        <v>240</v>
      </c>
      <c r="B39" s="11" t="s">
        <v>120</v>
      </c>
      <c r="C39" s="11">
        <v>21.14</v>
      </c>
      <c r="D39" s="11">
        <v>21.14</v>
      </c>
      <c r="E39" s="11">
        <v>21.14</v>
      </c>
      <c r="F39" s="11">
        <f>CHOOSE(MATCH(Setup!$B$7,{"STD","Half-PPR","PPR"},0),C39,D39,E39)</f>
        <v>21.14</v>
      </c>
      <c r="G39" s="11">
        <f>COUNTIFS('Draft Board'!$H$2:$H$61,"&gt;="&amp;H39,'Draft Board'!$L$2:$L$61,1)</f>
        <v>11</v>
      </c>
      <c r="H39" s="11">
        <f>MAX(0,F39-'Live Calc'!$H$19)^'Live Calc'!$E$19</f>
        <v>0</v>
      </c>
      <c r="I39" s="11">
        <v>39</v>
      </c>
      <c r="J39" s="11">
        <f>IF(I39&lt;&gt;_xlfn.MINIFS('Draft Board'!$I$2:$I$61,'Draft Board'!$H$2:$H$61,"="&amp;H39),0,IF(_xlfn.MINIFS('Draft Board'!$H$2:$H$61,'Draft Board'!$H$2:$H$61,"&gt;"&amp;H39)=0,1,IF((_xlfn.MINIFS('Draft Board'!$H$2:$H$61,'Draft Board'!$H$2:$H$61,"&gt;"&amp;H39)-H39)/_xlfn.MINIFS('Draft Board'!$H$2:$H$61,'Draft Board'!$H$2:$H$61,"&gt;"&amp;H39)&gt;0.08,1,0)))</f>
        <v>0</v>
      </c>
      <c r="K39" s="11">
        <f>_xlfn.MINIFS('Draft Board'!$H$2:$H$61,'Draft Board'!$H$2:$H$61,"&gt;="&amp;H39,'Draft Board'!$J$2:$J$61,1)</f>
        <v>0</v>
      </c>
      <c r="L39" s="11">
        <f>IF(I39&lt;&gt;_xlfn.MINIFS('Draft Board'!$I$2:$I$61,'Draft Board'!$H$2:$H$61,"="&amp;H39),0,IF(OR(J39=1,IFERROR(FLOOR((K39-H39)/K39/0.25,1),0)&lt;&gt;IFERROR(FLOOR((K39-_xlfn.MINIFS('Draft Board'!$H$2:$H$61,'Draft Board'!$H$2:$H$61,"&gt;"&amp;H39))/K39/0.25,1),0)),1,0))</f>
        <v>0</v>
      </c>
      <c r="M39" s="11">
        <f>ROUND(1+H39*'Live Calc'!$D$26,0)</f>
        <v>1</v>
      </c>
      <c r="N39" s="11"/>
      <c r="O39" s="11">
        <f>IF(N39&lt;&gt;"",N39,ROUND(M39*INDEX('Live Calc'!$G$33:$G$92,MATCH(G39,'Live Calc'!$A$33:$A$92,0))*'Live Calc'!$J$543,0))</f>
        <v>1</v>
      </c>
      <c r="Q39" s="12" t="s">
        <v>241</v>
      </c>
      <c r="R39" s="12" t="s">
        <v>105</v>
      </c>
      <c r="S39" s="12">
        <v>129.05199999999999</v>
      </c>
      <c r="T39" s="12">
        <v>137.03800000000001</v>
      </c>
      <c r="U39" s="12">
        <v>145.58000000000001</v>
      </c>
      <c r="V39" s="12">
        <f>CHOOSE(MATCH(Setup!$B$7,{"STD","Half-PPR","PPR"},0),S39,T39,U39)</f>
        <v>137.03800000000001</v>
      </c>
      <c r="W39" s="12">
        <f>COUNTIFS('Draft Board'!$X$2:$X$162,"&gt;="&amp;X39,'Draft Board'!$AB$2:$AB$162,1)</f>
        <v>14</v>
      </c>
      <c r="X39" s="12">
        <f>MAX(0,V39-'Live Calc'!$H$20)^'Live Calc'!$E$20</f>
        <v>60.959465863135087</v>
      </c>
      <c r="Y39" s="12">
        <v>39</v>
      </c>
      <c r="Z39" s="12">
        <f>IF(Y39&lt;&gt;_xlfn.MINIFS('Draft Board'!$Y$2:$Y$162,'Draft Board'!$X$2:$X$162,"="&amp;X39),0,IF(_xlfn.MINIFS('Draft Board'!$X$2:$X$162,'Draft Board'!$X$2:$X$162,"&gt;"&amp;X39)=0,1,IF((_xlfn.MINIFS('Draft Board'!$X$2:$X$162,'Draft Board'!$X$2:$X$162,"&gt;"&amp;X39)-X39)/_xlfn.MINIFS('Draft Board'!$X$2:$X$162,'Draft Board'!$X$2:$X$162,"&gt;"&amp;X39)&gt;0.08,1,0)))</f>
        <v>0</v>
      </c>
      <c r="AA39" s="12">
        <f>_xlfn.MINIFS('Draft Board'!$X$2:$X$162,'Draft Board'!$X$2:$X$162,"&gt;="&amp;X39,'Draft Board'!$Z$2:$Z$162,1)</f>
        <v>66.339829255805213</v>
      </c>
      <c r="AB39" s="12">
        <f>IF(Y39&lt;&gt;_xlfn.MINIFS('Draft Board'!$Y$2:$Y$162,'Draft Board'!$X$2:$X$162,"="&amp;X39),0,IF(OR(Z39=1,IFERROR(FLOOR((AA39-X39)/AA39/0.25,1),0)&lt;&gt;IFERROR(FLOOR((AA39-_xlfn.MINIFS('Draft Board'!$X$2:$X$162,'Draft Board'!$X$2:$X$162,"&gt;"&amp;X39))/AA39/0.25,1),0)),1,0))</f>
        <v>0</v>
      </c>
      <c r="AC39" s="12">
        <f>ROUND(1+X39*'Live Calc'!$D$27,0)</f>
        <v>7</v>
      </c>
      <c r="AD39" s="12"/>
      <c r="AE39" s="12">
        <f>IF(AD39&lt;&gt;"",AD39,ROUND(AC39*INDEX('Live Calc'!$G$96:$G$256,MATCH(W39,'Live Calc'!$A$96:$A$256,0))*'Live Calc'!$J$543,0))</f>
        <v>7</v>
      </c>
      <c r="AG39" s="13" t="s">
        <v>242</v>
      </c>
      <c r="AH39" s="13" t="s">
        <v>118</v>
      </c>
      <c r="AI39" s="13">
        <v>116.792</v>
      </c>
      <c r="AJ39" s="13">
        <v>144.24199999999999</v>
      </c>
      <c r="AK39" s="13">
        <v>170.738</v>
      </c>
      <c r="AL39" s="13">
        <f>CHOOSE(MATCH(Setup!$B$7,{"STD","Half-PPR","PPR"},0),AI39,AJ39,AK39)</f>
        <v>144.24199999999999</v>
      </c>
      <c r="AM39" s="13">
        <f>COUNTIFS('Draft Board'!$AN$2:$AN$192,"&gt;="&amp;AN39,'Draft Board'!$AR$2:$AR$192,1)</f>
        <v>10</v>
      </c>
      <c r="AN39" s="13">
        <f>MAX(0,AL39-'Live Calc'!$H$21)^'Live Calc'!$E$21</f>
        <v>258.56180837481764</v>
      </c>
      <c r="AO39" s="13">
        <v>39</v>
      </c>
      <c r="AP39" s="13">
        <f>IF(AO39&lt;&gt;_xlfn.MINIFS('Draft Board'!$AO$2:$AO$192,'Draft Board'!$AN$2:$AN$192,"="&amp;AN39),0,IF(_xlfn.MINIFS('Draft Board'!$AN$2:$AN$192,'Draft Board'!$AN$2:$AN$192,"&gt;"&amp;AN39)=0,1,IF((_xlfn.MINIFS('Draft Board'!$AN$2:$AN$192,'Draft Board'!$AN$2:$AN$192,"&gt;"&amp;AN39)-AN39)/_xlfn.MINIFS('Draft Board'!$AN$2:$AN$192,'Draft Board'!$AN$2:$AN$192,"&gt;"&amp;AN39)&gt;0.08,1,0)))</f>
        <v>0</v>
      </c>
      <c r="AQ39" s="13">
        <f>_xlfn.MINIFS('Draft Board'!$AN$2:$AN$192,'Draft Board'!$AN$2:$AN$192,"&gt;="&amp;AN39,'Draft Board'!$AP$2:$AP$192,1)</f>
        <v>269.78383615592662</v>
      </c>
      <c r="AR39" s="13">
        <f>IF(AO39&lt;&gt;_xlfn.MINIFS('Draft Board'!$AO$2:$AO$192,'Draft Board'!$AN$2:$AN$192,"="&amp;AN39),0,IF(OR(AP39=1,IFERROR(FLOOR((AQ39-AN39)/AQ39/0.25,1),0)&lt;&gt;IFERROR(FLOOR((AQ39-_xlfn.MINIFS('Draft Board'!$AN$2:$AN$192,'Draft Board'!$AN$2:$AN$192,"&gt;"&amp;AN39))/AQ39/0.25,1),0)),1,0))</f>
        <v>0</v>
      </c>
      <c r="AS39" s="13">
        <f>ROUND(1+AN39*'Live Calc'!$D$28,0)</f>
        <v>8</v>
      </c>
      <c r="AT39" s="13"/>
      <c r="AU39" s="13">
        <f>IF(AT39&lt;&gt;"",AT39,ROUND(AS39*INDEX('Live Calc'!$G$260:$G$450,MATCH(AM39,'Live Calc'!$A$260:$A$450,0))*'Live Calc'!$J$543,0))</f>
        <v>8</v>
      </c>
      <c r="AW39" s="14" t="s">
        <v>243</v>
      </c>
      <c r="AX39" s="14" t="s">
        <v>61</v>
      </c>
      <c r="AY39" s="14">
        <v>43.231999999999999</v>
      </c>
      <c r="AZ39" s="14">
        <v>55.863999999999997</v>
      </c>
      <c r="BA39" s="14">
        <v>66.87</v>
      </c>
      <c r="BB39" s="14">
        <f>CHOOSE(MATCH(Setup!$B$7,{"STD","Half-PPR","PPR"},0),AY39,AZ39,BA39)</f>
        <v>55.863999999999997</v>
      </c>
      <c r="BC39" s="14">
        <f>COUNTIFS('Draft Board'!$BD$2:$BD$87,"&gt;="&amp;BD39,'Draft Board'!$BH$2:$BH$87,1)</f>
        <v>18</v>
      </c>
      <c r="BD39" s="14">
        <f>MAX(0,BB39-'Live Calc'!$H$22)^'Live Calc'!$E$22</f>
        <v>0</v>
      </c>
      <c r="BE39" s="14">
        <v>39</v>
      </c>
      <c r="BF39" s="14">
        <f>IF(BE39&lt;&gt;_xlfn.MINIFS('Draft Board'!$BE$2:$BE$87,'Draft Board'!$BD$2:$BD$87,"="&amp;BD39),0,IF(_xlfn.MINIFS('Draft Board'!$BD$2:$BD$87,'Draft Board'!$BD$2:$BD$87,"&gt;"&amp;BD39)=0,1,IF((_xlfn.MINIFS('Draft Board'!$BD$2:$BD$87,'Draft Board'!$BD$2:$BD$87,"&gt;"&amp;BD39)-BD39)/_xlfn.MINIFS('Draft Board'!$BD$2:$BD$87,'Draft Board'!$BD$2:$BD$87,"&gt;"&amp;BD39)&gt;0.08,1,0)))</f>
        <v>0</v>
      </c>
      <c r="BG39" s="14">
        <f>_xlfn.MINIFS('Draft Board'!$BD$2:$BD$87,'Draft Board'!$BD$2:$BD$87,"&gt;="&amp;BD39,'Draft Board'!$BF$2:$BF$87,1)</f>
        <v>0</v>
      </c>
      <c r="BH39" s="14">
        <f>IF(BE39&lt;&gt;_xlfn.MINIFS('Draft Board'!$BE$2:$BE$87,'Draft Board'!$BD$2:$BD$87,"="&amp;BD39),0,IF(OR(BF39=1,IFERROR(FLOOR((BG39-BD39)/BG39/0.25,1),0)&lt;&gt;IFERROR(FLOOR((BG39-_xlfn.MINIFS('Draft Board'!$BD$2:$BD$87,'Draft Board'!$BD$2:$BD$87,"&gt;"&amp;BD39))/BG39/0.25,1),0)),1,0))</f>
        <v>0</v>
      </c>
      <c r="BI39" s="14">
        <f>ROUND(1+BD39*'Live Calc'!$D$29,0)</f>
        <v>1</v>
      </c>
      <c r="BJ39" s="14"/>
      <c r="BK39" s="14">
        <f>IF(BJ39&lt;&gt;"",BJ39,ROUND(BI39*INDEX('Live Calc'!$G$454:$G$539,MATCH(BC39,'Live Calc'!$A$454:$A$539,0))*'Live Calc'!$J$543,0))</f>
        <v>1</v>
      </c>
    </row>
    <row r="40" spans="1:63" x14ac:dyDescent="0.25">
      <c r="A40" s="11" t="s">
        <v>244</v>
      </c>
      <c r="B40" s="11" t="s">
        <v>65</v>
      </c>
      <c r="C40" s="11">
        <v>20.815999999999999</v>
      </c>
      <c r="D40" s="11">
        <v>20.815999999999999</v>
      </c>
      <c r="E40" s="11">
        <v>20.815999999999999</v>
      </c>
      <c r="F40" s="11">
        <f>CHOOSE(MATCH(Setup!$B$7,{"STD","Half-PPR","PPR"},0),C40,D40,E40)</f>
        <v>20.815999999999999</v>
      </c>
      <c r="G40" s="11">
        <f>COUNTIFS('Draft Board'!$H$2:$H$61,"&gt;="&amp;H40,'Draft Board'!$L$2:$L$61,1)</f>
        <v>11</v>
      </c>
      <c r="H40" s="11">
        <f>MAX(0,F40-'Live Calc'!$H$19)^'Live Calc'!$E$19</f>
        <v>0</v>
      </c>
      <c r="I40" s="11">
        <v>40</v>
      </c>
      <c r="J40" s="11">
        <f>IF(I40&lt;&gt;_xlfn.MINIFS('Draft Board'!$I$2:$I$61,'Draft Board'!$H$2:$H$61,"="&amp;H40),0,IF(_xlfn.MINIFS('Draft Board'!$H$2:$H$61,'Draft Board'!$H$2:$H$61,"&gt;"&amp;H40)=0,1,IF((_xlfn.MINIFS('Draft Board'!$H$2:$H$61,'Draft Board'!$H$2:$H$61,"&gt;"&amp;H40)-H40)/_xlfn.MINIFS('Draft Board'!$H$2:$H$61,'Draft Board'!$H$2:$H$61,"&gt;"&amp;H40)&gt;0.08,1,0)))</f>
        <v>0</v>
      </c>
      <c r="K40" s="11">
        <f>_xlfn.MINIFS('Draft Board'!$H$2:$H$61,'Draft Board'!$H$2:$H$61,"&gt;="&amp;H40,'Draft Board'!$J$2:$J$61,1)</f>
        <v>0</v>
      </c>
      <c r="L40" s="11">
        <f>IF(I40&lt;&gt;_xlfn.MINIFS('Draft Board'!$I$2:$I$61,'Draft Board'!$H$2:$H$61,"="&amp;H40),0,IF(OR(J40=1,IFERROR(FLOOR((K40-H40)/K40/0.25,1),0)&lt;&gt;IFERROR(FLOOR((K40-_xlfn.MINIFS('Draft Board'!$H$2:$H$61,'Draft Board'!$H$2:$H$61,"&gt;"&amp;H40))/K40/0.25,1),0)),1,0))</f>
        <v>0</v>
      </c>
      <c r="M40" s="11">
        <f>ROUND(1+H40*'Live Calc'!$D$26,0)</f>
        <v>1</v>
      </c>
      <c r="N40" s="11"/>
      <c r="O40" s="11">
        <f>IF(N40&lt;&gt;"",N40,ROUND(M40*INDEX('Live Calc'!$G$33:$G$92,MATCH(G40,'Live Calc'!$A$33:$A$92,0))*'Live Calc'!$J$543,0))</f>
        <v>1</v>
      </c>
      <c r="Q40" s="12" t="s">
        <v>245</v>
      </c>
      <c r="R40" s="12" t="s">
        <v>83</v>
      </c>
      <c r="S40" s="12">
        <v>124.85</v>
      </c>
      <c r="T40" s="12">
        <v>135.58000000000001</v>
      </c>
      <c r="U40" s="12">
        <v>146.30000000000001</v>
      </c>
      <c r="V40" s="12">
        <f>CHOOSE(MATCH(Setup!$B$7,{"STD","Half-PPR","PPR"},0),S40,T40,U40)</f>
        <v>135.58000000000001</v>
      </c>
      <c r="W40" s="12">
        <f>COUNTIFS('Draft Board'!$X$2:$X$162,"&gt;="&amp;X40,'Draft Board'!$AB$2:$AB$162,1)</f>
        <v>14</v>
      </c>
      <c r="X40" s="12">
        <f>MAX(0,V40-'Live Calc'!$H$20)^'Live Calc'!$E$20</f>
        <v>57.505219686771653</v>
      </c>
      <c r="Y40" s="12">
        <v>40</v>
      </c>
      <c r="Z40" s="12">
        <f>IF(Y40&lt;&gt;_xlfn.MINIFS('Draft Board'!$Y$2:$Y$162,'Draft Board'!$X$2:$X$162,"="&amp;X40),0,IF(_xlfn.MINIFS('Draft Board'!$X$2:$X$162,'Draft Board'!$X$2:$X$162,"&gt;"&amp;X40)=0,1,IF((_xlfn.MINIFS('Draft Board'!$X$2:$X$162,'Draft Board'!$X$2:$X$162,"&gt;"&amp;X40)-X40)/_xlfn.MINIFS('Draft Board'!$X$2:$X$162,'Draft Board'!$X$2:$X$162,"&gt;"&amp;X40)&gt;0.08,1,0)))</f>
        <v>0</v>
      </c>
      <c r="AA40" s="12">
        <f>_xlfn.MINIFS('Draft Board'!$X$2:$X$162,'Draft Board'!$X$2:$X$162,"&gt;="&amp;X40,'Draft Board'!$Z$2:$Z$162,1)</f>
        <v>66.339829255805213</v>
      </c>
      <c r="AB40" s="12">
        <f>IF(Y40&lt;&gt;_xlfn.MINIFS('Draft Board'!$Y$2:$Y$162,'Draft Board'!$X$2:$X$162,"="&amp;X40),0,IF(OR(Z40=1,IFERROR(FLOOR((AA40-X40)/AA40/0.25,1),0)&lt;&gt;IFERROR(FLOOR((AA40-_xlfn.MINIFS('Draft Board'!$X$2:$X$162,'Draft Board'!$X$2:$X$162,"&gt;"&amp;X40))/AA40/0.25,1),0)),1,0))</f>
        <v>0</v>
      </c>
      <c r="AC40" s="12">
        <f>ROUND(1+X40*'Live Calc'!$D$27,0)</f>
        <v>7</v>
      </c>
      <c r="AD40" s="12"/>
      <c r="AE40" s="12">
        <f>IF(AD40&lt;&gt;"",AD40,ROUND(AC40*INDEX('Live Calc'!$G$96:$G$256,MATCH(W40,'Live Calc'!$A$96:$A$256,0))*'Live Calc'!$J$543,0))</f>
        <v>7</v>
      </c>
      <c r="AG40" s="13" t="s">
        <v>246</v>
      </c>
      <c r="AH40" s="13" t="s">
        <v>96</v>
      </c>
      <c r="AI40" s="13">
        <v>114.4</v>
      </c>
      <c r="AJ40" s="13">
        <v>143.74799999999999</v>
      </c>
      <c r="AK40" s="13">
        <v>175.22200000000001</v>
      </c>
      <c r="AL40" s="13">
        <f>CHOOSE(MATCH(Setup!$B$7,{"STD","Half-PPR","PPR"},0),AI40,AJ40,AK40)</f>
        <v>143.74799999999999</v>
      </c>
      <c r="AM40" s="13">
        <f>COUNTIFS('Draft Board'!$AN$2:$AN$192,"&gt;="&amp;AN40,'Draft Board'!$AR$2:$AR$192,1)</f>
        <v>10</v>
      </c>
      <c r="AN40" s="13">
        <f>MAX(0,AL40-'Live Calc'!$H$21)^'Live Calc'!$E$21</f>
        <v>253.85550310892984</v>
      </c>
      <c r="AO40" s="13">
        <v>40</v>
      </c>
      <c r="AP40" s="13">
        <f>IF(AO40&lt;&gt;_xlfn.MINIFS('Draft Board'!$AO$2:$AO$192,'Draft Board'!$AN$2:$AN$192,"="&amp;AN40),0,IF(_xlfn.MINIFS('Draft Board'!$AN$2:$AN$192,'Draft Board'!$AN$2:$AN$192,"&gt;"&amp;AN40)=0,1,IF((_xlfn.MINIFS('Draft Board'!$AN$2:$AN$192,'Draft Board'!$AN$2:$AN$192,"&gt;"&amp;AN40)-AN40)/_xlfn.MINIFS('Draft Board'!$AN$2:$AN$192,'Draft Board'!$AN$2:$AN$192,"&gt;"&amp;AN40)&gt;0.08,1,0)))</f>
        <v>0</v>
      </c>
      <c r="AQ40" s="13">
        <f>_xlfn.MINIFS('Draft Board'!$AN$2:$AN$192,'Draft Board'!$AN$2:$AN$192,"&gt;="&amp;AN40,'Draft Board'!$AP$2:$AP$192,1)</f>
        <v>269.78383615592662</v>
      </c>
      <c r="AR40" s="13">
        <f>IF(AO40&lt;&gt;_xlfn.MINIFS('Draft Board'!$AO$2:$AO$192,'Draft Board'!$AN$2:$AN$192,"="&amp;AN40),0,IF(OR(AP40=1,IFERROR(FLOOR((AQ40-AN40)/AQ40/0.25,1),0)&lt;&gt;IFERROR(FLOOR((AQ40-_xlfn.MINIFS('Draft Board'!$AN$2:$AN$192,'Draft Board'!$AN$2:$AN$192,"&gt;"&amp;AN40))/AQ40/0.25,1),0)),1,0))</f>
        <v>0</v>
      </c>
      <c r="AS40" s="13">
        <f>ROUND(1+AN40*'Live Calc'!$D$28,0)</f>
        <v>8</v>
      </c>
      <c r="AT40" s="13"/>
      <c r="AU40" s="13">
        <f>IF(AT40&lt;&gt;"",AT40,ROUND(AS40*INDEX('Live Calc'!$G$260:$G$450,MATCH(AM40,'Live Calc'!$A$260:$A$450,0))*'Live Calc'!$J$543,0))</f>
        <v>8</v>
      </c>
      <c r="AW40" s="14" t="s">
        <v>247</v>
      </c>
      <c r="AX40" s="14" t="s">
        <v>134</v>
      </c>
      <c r="AY40" s="14">
        <v>41.33</v>
      </c>
      <c r="AZ40" s="14">
        <v>54.25</v>
      </c>
      <c r="BA40" s="14">
        <v>66.346000000000004</v>
      </c>
      <c r="BB40" s="14">
        <f>CHOOSE(MATCH(Setup!$B$7,{"STD","Half-PPR","PPR"},0),AY40,AZ40,BA40)</f>
        <v>54.25</v>
      </c>
      <c r="BC40" s="14">
        <f>COUNTIFS('Draft Board'!$BD$2:$BD$87,"&gt;="&amp;BD40,'Draft Board'!$BH$2:$BH$87,1)</f>
        <v>18</v>
      </c>
      <c r="BD40" s="14">
        <f>MAX(0,BB40-'Live Calc'!$H$22)^'Live Calc'!$E$22</f>
        <v>0</v>
      </c>
      <c r="BE40" s="14">
        <v>40</v>
      </c>
      <c r="BF40" s="14">
        <f>IF(BE40&lt;&gt;_xlfn.MINIFS('Draft Board'!$BE$2:$BE$87,'Draft Board'!$BD$2:$BD$87,"="&amp;BD40),0,IF(_xlfn.MINIFS('Draft Board'!$BD$2:$BD$87,'Draft Board'!$BD$2:$BD$87,"&gt;"&amp;BD40)=0,1,IF((_xlfn.MINIFS('Draft Board'!$BD$2:$BD$87,'Draft Board'!$BD$2:$BD$87,"&gt;"&amp;BD40)-BD40)/_xlfn.MINIFS('Draft Board'!$BD$2:$BD$87,'Draft Board'!$BD$2:$BD$87,"&gt;"&amp;BD40)&gt;0.08,1,0)))</f>
        <v>0</v>
      </c>
      <c r="BG40" s="14">
        <f>_xlfn.MINIFS('Draft Board'!$BD$2:$BD$87,'Draft Board'!$BD$2:$BD$87,"&gt;="&amp;BD40,'Draft Board'!$BF$2:$BF$87,1)</f>
        <v>0</v>
      </c>
      <c r="BH40" s="14">
        <f>IF(BE40&lt;&gt;_xlfn.MINIFS('Draft Board'!$BE$2:$BE$87,'Draft Board'!$BD$2:$BD$87,"="&amp;BD40),0,IF(OR(BF40=1,IFERROR(FLOOR((BG40-BD40)/BG40/0.25,1),0)&lt;&gt;IFERROR(FLOOR((BG40-_xlfn.MINIFS('Draft Board'!$BD$2:$BD$87,'Draft Board'!$BD$2:$BD$87,"&gt;"&amp;BD40))/BG40/0.25,1),0)),1,0))</f>
        <v>0</v>
      </c>
      <c r="BI40" s="14">
        <f>ROUND(1+BD40*'Live Calc'!$D$29,0)</f>
        <v>1</v>
      </c>
      <c r="BJ40" s="14"/>
      <c r="BK40" s="14">
        <f>IF(BJ40&lt;&gt;"",BJ40,ROUND(BI40*INDEX('Live Calc'!$G$454:$G$539,MATCH(BC40,'Live Calc'!$A$454:$A$539,0))*'Live Calc'!$J$543,0))</f>
        <v>1</v>
      </c>
    </row>
    <row r="41" spans="1:63" x14ac:dyDescent="0.25">
      <c r="A41" s="11" t="s">
        <v>248</v>
      </c>
      <c r="B41" s="11" t="s">
        <v>87</v>
      </c>
      <c r="C41" s="11">
        <v>20.51</v>
      </c>
      <c r="D41" s="11">
        <v>20.51</v>
      </c>
      <c r="E41" s="11">
        <v>20.51</v>
      </c>
      <c r="F41" s="11">
        <f>CHOOSE(MATCH(Setup!$B$7,{"STD","Half-PPR","PPR"},0),C41,D41,E41)</f>
        <v>20.51</v>
      </c>
      <c r="G41" s="11">
        <f>COUNTIFS('Draft Board'!$H$2:$H$61,"&gt;="&amp;H41,'Draft Board'!$L$2:$L$61,1)</f>
        <v>11</v>
      </c>
      <c r="H41" s="11">
        <f>MAX(0,F41-'Live Calc'!$H$19)^'Live Calc'!$E$19</f>
        <v>0</v>
      </c>
      <c r="I41" s="11">
        <v>41</v>
      </c>
      <c r="J41" s="11">
        <f>IF(I41&lt;&gt;_xlfn.MINIFS('Draft Board'!$I$2:$I$61,'Draft Board'!$H$2:$H$61,"="&amp;H41),0,IF(_xlfn.MINIFS('Draft Board'!$H$2:$H$61,'Draft Board'!$H$2:$H$61,"&gt;"&amp;H41)=0,1,IF((_xlfn.MINIFS('Draft Board'!$H$2:$H$61,'Draft Board'!$H$2:$H$61,"&gt;"&amp;H41)-H41)/_xlfn.MINIFS('Draft Board'!$H$2:$H$61,'Draft Board'!$H$2:$H$61,"&gt;"&amp;H41)&gt;0.08,1,0)))</f>
        <v>0</v>
      </c>
      <c r="K41" s="11">
        <f>_xlfn.MINIFS('Draft Board'!$H$2:$H$61,'Draft Board'!$H$2:$H$61,"&gt;="&amp;H41,'Draft Board'!$J$2:$J$61,1)</f>
        <v>0</v>
      </c>
      <c r="L41" s="11">
        <f>IF(I41&lt;&gt;_xlfn.MINIFS('Draft Board'!$I$2:$I$61,'Draft Board'!$H$2:$H$61,"="&amp;H41),0,IF(OR(J41=1,IFERROR(FLOOR((K41-H41)/K41/0.25,1),0)&lt;&gt;IFERROR(FLOOR((K41-_xlfn.MINIFS('Draft Board'!$H$2:$H$61,'Draft Board'!$H$2:$H$61,"&gt;"&amp;H41))/K41/0.25,1),0)),1,0))</f>
        <v>0</v>
      </c>
      <c r="M41" s="11">
        <f>ROUND(1+H41*'Live Calc'!$D$26,0)</f>
        <v>1</v>
      </c>
      <c r="N41" s="11"/>
      <c r="O41" s="11">
        <f>IF(N41&lt;&gt;"",N41,ROUND(M41*INDEX('Live Calc'!$G$33:$G$92,MATCH(G41,'Live Calc'!$A$33:$A$92,0))*'Live Calc'!$J$543,0))</f>
        <v>1</v>
      </c>
      <c r="Q41" s="12" t="s">
        <v>249</v>
      </c>
      <c r="R41" s="12" t="s">
        <v>85</v>
      </c>
      <c r="S41" s="12">
        <v>109.74</v>
      </c>
      <c r="T41" s="12">
        <v>128.304</v>
      </c>
      <c r="U41" s="12">
        <v>144.22800000000001</v>
      </c>
      <c r="V41" s="12">
        <f>CHOOSE(MATCH(Setup!$B$7,{"STD","Half-PPR","PPR"},0),S41,T41,U41)</f>
        <v>128.304</v>
      </c>
      <c r="W41" s="12">
        <f>COUNTIFS('Draft Board'!$X$2:$X$162,"&gt;="&amp;X41,'Draft Board'!$AB$2:$AB$162,1)</f>
        <v>15</v>
      </c>
      <c r="X41" s="12">
        <f>MAX(0,V41-'Live Calc'!$H$20)^'Live Calc'!$E$20</f>
        <v>40.809856236775801</v>
      </c>
      <c r="Y41" s="12">
        <v>41</v>
      </c>
      <c r="Z41" s="12">
        <f>IF(Y41&lt;&gt;_xlfn.MINIFS('Draft Board'!$Y$2:$Y$162,'Draft Board'!$X$2:$X$162,"="&amp;X41),0,IF(_xlfn.MINIFS('Draft Board'!$X$2:$X$162,'Draft Board'!$X$2:$X$162,"&gt;"&amp;X41)=0,1,IF((_xlfn.MINIFS('Draft Board'!$X$2:$X$162,'Draft Board'!$X$2:$X$162,"&gt;"&amp;X41)-X41)/_xlfn.MINIFS('Draft Board'!$X$2:$X$162,'Draft Board'!$X$2:$X$162,"&gt;"&amp;X41)&gt;0.08,1,0)))</f>
        <v>1</v>
      </c>
      <c r="AA41" s="12">
        <f>_xlfn.MINIFS('Draft Board'!$X$2:$X$162,'Draft Board'!$X$2:$X$162,"&gt;="&amp;X41,'Draft Board'!$Z$2:$Z$162,1)</f>
        <v>40.809856236775801</v>
      </c>
      <c r="AB41" s="12">
        <f>IF(Y41&lt;&gt;_xlfn.MINIFS('Draft Board'!$Y$2:$Y$162,'Draft Board'!$X$2:$X$162,"="&amp;X41),0,IF(OR(Z41=1,IFERROR(FLOOR((AA41-X41)/AA41/0.25,1),0)&lt;&gt;IFERROR(FLOOR((AA41-_xlfn.MINIFS('Draft Board'!$X$2:$X$162,'Draft Board'!$X$2:$X$162,"&gt;"&amp;X41))/AA41/0.25,1),0)),1,0))</f>
        <v>1</v>
      </c>
      <c r="AC41" s="12">
        <f>ROUND(1+X41*'Live Calc'!$D$27,0)</f>
        <v>5</v>
      </c>
      <c r="AD41" s="12"/>
      <c r="AE41" s="12">
        <f>IF(AD41&lt;&gt;"",AD41,ROUND(AC41*INDEX('Live Calc'!$G$96:$G$256,MATCH(W41,'Live Calc'!$A$96:$A$256,0))*'Live Calc'!$J$543,0))</f>
        <v>5</v>
      </c>
      <c r="AG41" s="13" t="s">
        <v>250</v>
      </c>
      <c r="AH41" s="13" t="s">
        <v>190</v>
      </c>
      <c r="AI41" s="13">
        <v>105.54600000000001</v>
      </c>
      <c r="AJ41" s="13">
        <v>143.68</v>
      </c>
      <c r="AK41" s="13">
        <v>182.13200000000001</v>
      </c>
      <c r="AL41" s="13">
        <f>CHOOSE(MATCH(Setup!$B$7,{"STD","Half-PPR","PPR"},0),AI41,AJ41,AK41)</f>
        <v>143.68</v>
      </c>
      <c r="AM41" s="13">
        <f>COUNTIFS('Draft Board'!$AN$2:$AN$192,"&gt;="&amp;AN41,'Draft Board'!$AR$2:$AR$192,1)</f>
        <v>10</v>
      </c>
      <c r="AN41" s="13">
        <f>MAX(0,AL41-'Live Calc'!$H$21)^'Live Calc'!$E$21</f>
        <v>253.20993095418675</v>
      </c>
      <c r="AO41" s="13">
        <v>41</v>
      </c>
      <c r="AP41" s="13">
        <f>IF(AO41&lt;&gt;_xlfn.MINIFS('Draft Board'!$AO$2:$AO$192,'Draft Board'!$AN$2:$AN$192,"="&amp;AN41),0,IF(_xlfn.MINIFS('Draft Board'!$AN$2:$AN$192,'Draft Board'!$AN$2:$AN$192,"&gt;"&amp;AN41)=0,1,IF((_xlfn.MINIFS('Draft Board'!$AN$2:$AN$192,'Draft Board'!$AN$2:$AN$192,"&gt;"&amp;AN41)-AN41)/_xlfn.MINIFS('Draft Board'!$AN$2:$AN$192,'Draft Board'!$AN$2:$AN$192,"&gt;"&amp;AN41)&gt;0.08,1,0)))</f>
        <v>0</v>
      </c>
      <c r="AQ41" s="13">
        <f>_xlfn.MINIFS('Draft Board'!$AN$2:$AN$192,'Draft Board'!$AN$2:$AN$192,"&gt;="&amp;AN41,'Draft Board'!$AP$2:$AP$192,1)</f>
        <v>269.78383615592662</v>
      </c>
      <c r="AR41" s="13">
        <f>IF(AO41&lt;&gt;_xlfn.MINIFS('Draft Board'!$AO$2:$AO$192,'Draft Board'!$AN$2:$AN$192,"="&amp;AN41),0,IF(OR(AP41=1,IFERROR(FLOOR((AQ41-AN41)/AQ41/0.25,1),0)&lt;&gt;IFERROR(FLOOR((AQ41-_xlfn.MINIFS('Draft Board'!$AN$2:$AN$192,'Draft Board'!$AN$2:$AN$192,"&gt;"&amp;AN41))/AQ41/0.25,1),0)),1,0))</f>
        <v>0</v>
      </c>
      <c r="AS41" s="13">
        <f>ROUND(1+AN41*'Live Calc'!$D$28,0)</f>
        <v>8</v>
      </c>
      <c r="AT41" s="13"/>
      <c r="AU41" s="13">
        <f>IF(AT41&lt;&gt;"",AT41,ROUND(AS41*INDEX('Live Calc'!$G$260:$G$450,MATCH(AM41,'Live Calc'!$A$260:$A$450,0))*'Live Calc'!$J$543,0))</f>
        <v>8</v>
      </c>
      <c r="AW41" s="14" t="s">
        <v>251</v>
      </c>
      <c r="AX41" s="14" t="s">
        <v>118</v>
      </c>
      <c r="AY41" s="14">
        <v>41.948</v>
      </c>
      <c r="AZ41" s="14">
        <v>54.235999999999997</v>
      </c>
      <c r="BA41" s="14">
        <v>66.534000000000006</v>
      </c>
      <c r="BB41" s="14">
        <f>CHOOSE(MATCH(Setup!$B$7,{"STD","Half-PPR","PPR"},0),AY41,AZ41,BA41)</f>
        <v>54.235999999999997</v>
      </c>
      <c r="BC41" s="14">
        <f>COUNTIFS('Draft Board'!$BD$2:$BD$87,"&gt;="&amp;BD41,'Draft Board'!$BH$2:$BH$87,1)</f>
        <v>18</v>
      </c>
      <c r="BD41" s="14">
        <f>MAX(0,BB41-'Live Calc'!$H$22)^'Live Calc'!$E$22</f>
        <v>0</v>
      </c>
      <c r="BE41" s="14">
        <v>41</v>
      </c>
      <c r="BF41" s="14">
        <f>IF(BE41&lt;&gt;_xlfn.MINIFS('Draft Board'!$BE$2:$BE$87,'Draft Board'!$BD$2:$BD$87,"="&amp;BD41),0,IF(_xlfn.MINIFS('Draft Board'!$BD$2:$BD$87,'Draft Board'!$BD$2:$BD$87,"&gt;"&amp;BD41)=0,1,IF((_xlfn.MINIFS('Draft Board'!$BD$2:$BD$87,'Draft Board'!$BD$2:$BD$87,"&gt;"&amp;BD41)-BD41)/_xlfn.MINIFS('Draft Board'!$BD$2:$BD$87,'Draft Board'!$BD$2:$BD$87,"&gt;"&amp;BD41)&gt;0.08,1,0)))</f>
        <v>0</v>
      </c>
      <c r="BG41" s="14">
        <f>_xlfn.MINIFS('Draft Board'!$BD$2:$BD$87,'Draft Board'!$BD$2:$BD$87,"&gt;="&amp;BD41,'Draft Board'!$BF$2:$BF$87,1)</f>
        <v>0</v>
      </c>
      <c r="BH41" s="14">
        <f>IF(BE41&lt;&gt;_xlfn.MINIFS('Draft Board'!$BE$2:$BE$87,'Draft Board'!$BD$2:$BD$87,"="&amp;BD41),0,IF(OR(BF41=1,IFERROR(FLOOR((BG41-BD41)/BG41/0.25,1),0)&lt;&gt;IFERROR(FLOOR((BG41-_xlfn.MINIFS('Draft Board'!$BD$2:$BD$87,'Draft Board'!$BD$2:$BD$87,"&gt;"&amp;BD41))/BG41/0.25,1),0)),1,0))</f>
        <v>0</v>
      </c>
      <c r="BI41" s="14">
        <f>ROUND(1+BD41*'Live Calc'!$D$29,0)</f>
        <v>1</v>
      </c>
      <c r="BJ41" s="14"/>
      <c r="BK41" s="14">
        <f>IF(BJ41&lt;&gt;"",BJ41,ROUND(BI41*INDEX('Live Calc'!$G$454:$G$539,MATCH(BC41,'Live Calc'!$A$454:$A$539,0))*'Live Calc'!$J$543,0))</f>
        <v>1</v>
      </c>
    </row>
    <row r="42" spans="1:63" x14ac:dyDescent="0.25">
      <c r="A42" s="11" t="s">
        <v>252</v>
      </c>
      <c r="B42" s="11" t="s">
        <v>101</v>
      </c>
      <c r="C42" s="11">
        <v>20.12</v>
      </c>
      <c r="D42" s="11">
        <v>20.12</v>
      </c>
      <c r="E42" s="11">
        <v>20.12</v>
      </c>
      <c r="F42" s="11">
        <f>CHOOSE(MATCH(Setup!$B$7,{"STD","Half-PPR","PPR"},0),C42,D42,E42)</f>
        <v>20.12</v>
      </c>
      <c r="G42" s="11">
        <f>COUNTIFS('Draft Board'!$H$2:$H$61,"&gt;="&amp;H42,'Draft Board'!$L$2:$L$61,1)</f>
        <v>11</v>
      </c>
      <c r="H42" s="11">
        <f>MAX(0,F42-'Live Calc'!$H$19)^'Live Calc'!$E$19</f>
        <v>0</v>
      </c>
      <c r="I42" s="11">
        <v>42</v>
      </c>
      <c r="J42" s="11">
        <f>IF(I42&lt;&gt;_xlfn.MINIFS('Draft Board'!$I$2:$I$61,'Draft Board'!$H$2:$H$61,"="&amp;H42),0,IF(_xlfn.MINIFS('Draft Board'!$H$2:$H$61,'Draft Board'!$H$2:$H$61,"&gt;"&amp;H42)=0,1,IF((_xlfn.MINIFS('Draft Board'!$H$2:$H$61,'Draft Board'!$H$2:$H$61,"&gt;"&amp;H42)-H42)/_xlfn.MINIFS('Draft Board'!$H$2:$H$61,'Draft Board'!$H$2:$H$61,"&gt;"&amp;H42)&gt;0.08,1,0)))</f>
        <v>0</v>
      </c>
      <c r="K42" s="11">
        <f>_xlfn.MINIFS('Draft Board'!$H$2:$H$61,'Draft Board'!$H$2:$H$61,"&gt;="&amp;H42,'Draft Board'!$J$2:$J$61,1)</f>
        <v>0</v>
      </c>
      <c r="L42" s="11">
        <f>IF(I42&lt;&gt;_xlfn.MINIFS('Draft Board'!$I$2:$I$61,'Draft Board'!$H$2:$H$61,"="&amp;H42),0,IF(OR(J42=1,IFERROR(FLOOR((K42-H42)/K42/0.25,1),0)&lt;&gt;IFERROR(FLOOR((K42-_xlfn.MINIFS('Draft Board'!$H$2:$H$61,'Draft Board'!$H$2:$H$61,"&gt;"&amp;H42))/K42/0.25,1),0)),1,0))</f>
        <v>0</v>
      </c>
      <c r="M42" s="11">
        <f>ROUND(1+H42*'Live Calc'!$D$26,0)</f>
        <v>1</v>
      </c>
      <c r="N42" s="11"/>
      <c r="O42" s="11">
        <f>IF(N42&lt;&gt;"",N42,ROUND(M42*INDEX('Live Calc'!$G$33:$G$92,MATCH(G42,'Live Calc'!$A$33:$A$92,0))*'Live Calc'!$J$543,0))</f>
        <v>1</v>
      </c>
      <c r="Q42" s="12" t="s">
        <v>253</v>
      </c>
      <c r="R42" s="12" t="s">
        <v>105</v>
      </c>
      <c r="S42" s="12">
        <v>106.188</v>
      </c>
      <c r="T42" s="12">
        <v>123.86799999999999</v>
      </c>
      <c r="U42" s="12">
        <v>145.88399999999999</v>
      </c>
      <c r="V42" s="12">
        <f>CHOOSE(MATCH(Setup!$B$7,{"STD","Half-PPR","PPR"},0),S42,T42,U42)</f>
        <v>123.86799999999999</v>
      </c>
      <c r="W42" s="12">
        <f>COUNTIFS('Draft Board'!$X$2:$X$162,"&gt;="&amp;X42,'Draft Board'!$AB$2:$AB$162,1)</f>
        <v>16</v>
      </c>
      <c r="X42" s="12">
        <f>MAX(0,V42-'Live Calc'!$H$20)^'Live Calc'!$E$20</f>
        <v>31.143688981893131</v>
      </c>
      <c r="Y42" s="12">
        <v>42</v>
      </c>
      <c r="Z42" s="12">
        <f>IF(Y42&lt;&gt;_xlfn.MINIFS('Draft Board'!$Y$2:$Y$162,'Draft Board'!$X$2:$X$162,"="&amp;X42),0,IF(_xlfn.MINIFS('Draft Board'!$X$2:$X$162,'Draft Board'!$X$2:$X$162,"&gt;"&amp;X42)=0,1,IF((_xlfn.MINIFS('Draft Board'!$X$2:$X$162,'Draft Board'!$X$2:$X$162,"&gt;"&amp;X42)-X42)/_xlfn.MINIFS('Draft Board'!$X$2:$X$162,'Draft Board'!$X$2:$X$162,"&gt;"&amp;X42)&gt;0.08,1,0)))</f>
        <v>1</v>
      </c>
      <c r="AA42" s="12">
        <f>_xlfn.MINIFS('Draft Board'!$X$2:$X$162,'Draft Board'!$X$2:$X$162,"&gt;="&amp;X42,'Draft Board'!$Z$2:$Z$162,1)</f>
        <v>31.143688981893131</v>
      </c>
      <c r="AB42" s="12">
        <f>IF(Y42&lt;&gt;_xlfn.MINIFS('Draft Board'!$Y$2:$Y$162,'Draft Board'!$X$2:$X$162,"="&amp;X42),0,IF(OR(Z42=1,IFERROR(FLOOR((AA42-X42)/AA42/0.25,1),0)&lt;&gt;IFERROR(FLOOR((AA42-_xlfn.MINIFS('Draft Board'!$X$2:$X$162,'Draft Board'!$X$2:$X$162,"&gt;"&amp;X42))/AA42/0.25,1),0)),1,0))</f>
        <v>1</v>
      </c>
      <c r="AC42" s="12">
        <f>ROUND(1+X42*'Live Calc'!$D$27,0)</f>
        <v>4</v>
      </c>
      <c r="AD42" s="12"/>
      <c r="AE42" s="12">
        <f>IF(AD42&lt;&gt;"",AD42,ROUND(AC42*INDEX('Live Calc'!$G$96:$G$256,MATCH(W42,'Live Calc'!$A$96:$A$256,0))*'Live Calc'!$J$543,0))</f>
        <v>4</v>
      </c>
      <c r="AG42" s="13" t="s">
        <v>254</v>
      </c>
      <c r="AH42" s="13" t="s">
        <v>105</v>
      </c>
      <c r="AI42" s="13">
        <v>111.18</v>
      </c>
      <c r="AJ42" s="13">
        <v>140.05799999999999</v>
      </c>
      <c r="AK42" s="13">
        <v>169.76400000000001</v>
      </c>
      <c r="AL42" s="13">
        <f>CHOOSE(MATCH(Setup!$B$7,{"STD","Half-PPR","PPR"},0),AI42,AJ42,AK42)</f>
        <v>140.05799999999999</v>
      </c>
      <c r="AM42" s="13">
        <f>COUNTIFS('Draft Board'!$AN$2:$AN$192,"&gt;="&amp;AN42,'Draft Board'!$AR$2:$AR$192,1)</f>
        <v>11</v>
      </c>
      <c r="AN42" s="13">
        <f>MAX(0,AL42-'Live Calc'!$H$21)^'Live Calc'!$E$21</f>
        <v>219.62808153059112</v>
      </c>
      <c r="AO42" s="13">
        <v>42</v>
      </c>
      <c r="AP42" s="13">
        <f>IF(AO42&lt;&gt;_xlfn.MINIFS('Draft Board'!$AO$2:$AO$192,'Draft Board'!$AN$2:$AN$192,"="&amp;AN42),0,IF(_xlfn.MINIFS('Draft Board'!$AN$2:$AN$192,'Draft Board'!$AN$2:$AN$192,"&gt;"&amp;AN42)=0,1,IF((_xlfn.MINIFS('Draft Board'!$AN$2:$AN$192,'Draft Board'!$AN$2:$AN$192,"&gt;"&amp;AN42)-AN42)/_xlfn.MINIFS('Draft Board'!$AN$2:$AN$192,'Draft Board'!$AN$2:$AN$192,"&gt;"&amp;AN42)&gt;0.08,1,0)))</f>
        <v>1</v>
      </c>
      <c r="AQ42" s="13">
        <f>_xlfn.MINIFS('Draft Board'!$AN$2:$AN$192,'Draft Board'!$AN$2:$AN$192,"&gt;="&amp;AN42,'Draft Board'!$AP$2:$AP$192,1)</f>
        <v>219.62808153059112</v>
      </c>
      <c r="AR42" s="13">
        <f>IF(AO42&lt;&gt;_xlfn.MINIFS('Draft Board'!$AO$2:$AO$192,'Draft Board'!$AN$2:$AN$192,"="&amp;AN42),0,IF(OR(AP42=1,IFERROR(FLOOR((AQ42-AN42)/AQ42/0.25,1),0)&lt;&gt;IFERROR(FLOOR((AQ42-_xlfn.MINIFS('Draft Board'!$AN$2:$AN$192,'Draft Board'!$AN$2:$AN$192,"&gt;"&amp;AN42))/AQ42/0.25,1),0)),1,0))</f>
        <v>1</v>
      </c>
      <c r="AS42" s="13">
        <f>ROUND(1+AN42*'Live Calc'!$D$28,0)</f>
        <v>7</v>
      </c>
      <c r="AT42" s="13"/>
      <c r="AU42" s="13">
        <f>IF(AT42&lt;&gt;"",AT42,ROUND(AS42*INDEX('Live Calc'!$G$260:$G$450,MATCH(AM42,'Live Calc'!$A$260:$A$450,0))*'Live Calc'!$J$543,0))</f>
        <v>7</v>
      </c>
      <c r="AW42" s="14" t="s">
        <v>255</v>
      </c>
      <c r="AX42" s="14" t="s">
        <v>91</v>
      </c>
      <c r="AY42" s="14">
        <v>39.234000000000002</v>
      </c>
      <c r="AZ42" s="14">
        <v>54.04</v>
      </c>
      <c r="BA42" s="14">
        <v>67.492000000000004</v>
      </c>
      <c r="BB42" s="14">
        <f>CHOOSE(MATCH(Setup!$B$7,{"STD","Half-PPR","PPR"},0),AY42,AZ42,BA42)</f>
        <v>54.04</v>
      </c>
      <c r="BC42" s="14">
        <f>COUNTIFS('Draft Board'!$BD$2:$BD$87,"&gt;="&amp;BD42,'Draft Board'!$BH$2:$BH$87,1)</f>
        <v>18</v>
      </c>
      <c r="BD42" s="14">
        <f>MAX(0,BB42-'Live Calc'!$H$22)^'Live Calc'!$E$22</f>
        <v>0</v>
      </c>
      <c r="BE42" s="14">
        <v>42</v>
      </c>
      <c r="BF42" s="14">
        <f>IF(BE42&lt;&gt;_xlfn.MINIFS('Draft Board'!$BE$2:$BE$87,'Draft Board'!$BD$2:$BD$87,"="&amp;BD42),0,IF(_xlfn.MINIFS('Draft Board'!$BD$2:$BD$87,'Draft Board'!$BD$2:$BD$87,"&gt;"&amp;BD42)=0,1,IF((_xlfn.MINIFS('Draft Board'!$BD$2:$BD$87,'Draft Board'!$BD$2:$BD$87,"&gt;"&amp;BD42)-BD42)/_xlfn.MINIFS('Draft Board'!$BD$2:$BD$87,'Draft Board'!$BD$2:$BD$87,"&gt;"&amp;BD42)&gt;0.08,1,0)))</f>
        <v>0</v>
      </c>
      <c r="BG42" s="14">
        <f>_xlfn.MINIFS('Draft Board'!$BD$2:$BD$87,'Draft Board'!$BD$2:$BD$87,"&gt;="&amp;BD42,'Draft Board'!$BF$2:$BF$87,1)</f>
        <v>0</v>
      </c>
      <c r="BH42" s="14">
        <f>IF(BE42&lt;&gt;_xlfn.MINIFS('Draft Board'!$BE$2:$BE$87,'Draft Board'!$BD$2:$BD$87,"="&amp;BD42),0,IF(OR(BF42=1,IFERROR(FLOOR((BG42-BD42)/BG42/0.25,1),0)&lt;&gt;IFERROR(FLOOR((BG42-_xlfn.MINIFS('Draft Board'!$BD$2:$BD$87,'Draft Board'!$BD$2:$BD$87,"&gt;"&amp;BD42))/BG42/0.25,1),0)),1,0))</f>
        <v>0</v>
      </c>
      <c r="BI42" s="14">
        <f>ROUND(1+BD42*'Live Calc'!$D$29,0)</f>
        <v>1</v>
      </c>
      <c r="BJ42" s="14"/>
      <c r="BK42" s="14">
        <f>IF(BJ42&lt;&gt;"",BJ42,ROUND(BI42*INDEX('Live Calc'!$G$454:$G$539,MATCH(BC42,'Live Calc'!$A$454:$A$539,0))*'Live Calc'!$J$543,0))</f>
        <v>1</v>
      </c>
    </row>
    <row r="43" spans="1:63" x14ac:dyDescent="0.25">
      <c r="A43" s="11" t="s">
        <v>256</v>
      </c>
      <c r="B43" s="11" t="s">
        <v>153</v>
      </c>
      <c r="C43" s="11">
        <v>19.975999999999999</v>
      </c>
      <c r="D43" s="11">
        <v>19.975999999999999</v>
      </c>
      <c r="E43" s="11">
        <v>19.975999999999999</v>
      </c>
      <c r="F43" s="11">
        <f>CHOOSE(MATCH(Setup!$B$7,{"STD","Half-PPR","PPR"},0),C43,D43,E43)</f>
        <v>19.975999999999999</v>
      </c>
      <c r="G43" s="11">
        <f>COUNTIFS('Draft Board'!$H$2:$H$61,"&gt;="&amp;H43,'Draft Board'!$L$2:$L$61,1)</f>
        <v>11</v>
      </c>
      <c r="H43" s="11">
        <f>MAX(0,F43-'Live Calc'!$H$19)^'Live Calc'!$E$19</f>
        <v>0</v>
      </c>
      <c r="I43" s="11">
        <v>43</v>
      </c>
      <c r="J43" s="11">
        <f>IF(I43&lt;&gt;_xlfn.MINIFS('Draft Board'!$I$2:$I$61,'Draft Board'!$H$2:$H$61,"="&amp;H43),0,IF(_xlfn.MINIFS('Draft Board'!$H$2:$H$61,'Draft Board'!$H$2:$H$61,"&gt;"&amp;H43)=0,1,IF((_xlfn.MINIFS('Draft Board'!$H$2:$H$61,'Draft Board'!$H$2:$H$61,"&gt;"&amp;H43)-H43)/_xlfn.MINIFS('Draft Board'!$H$2:$H$61,'Draft Board'!$H$2:$H$61,"&gt;"&amp;H43)&gt;0.08,1,0)))</f>
        <v>0</v>
      </c>
      <c r="K43" s="11">
        <f>_xlfn.MINIFS('Draft Board'!$H$2:$H$61,'Draft Board'!$H$2:$H$61,"&gt;="&amp;H43,'Draft Board'!$J$2:$J$61,1)</f>
        <v>0</v>
      </c>
      <c r="L43" s="11">
        <f>IF(I43&lt;&gt;_xlfn.MINIFS('Draft Board'!$I$2:$I$61,'Draft Board'!$H$2:$H$61,"="&amp;H43),0,IF(OR(J43=1,IFERROR(FLOOR((K43-H43)/K43/0.25,1),0)&lt;&gt;IFERROR(FLOOR((K43-_xlfn.MINIFS('Draft Board'!$H$2:$H$61,'Draft Board'!$H$2:$H$61,"&gt;"&amp;H43))/K43/0.25,1),0)),1,0))</f>
        <v>0</v>
      </c>
      <c r="M43" s="11">
        <f>ROUND(1+H43*'Live Calc'!$D$26,0)</f>
        <v>1</v>
      </c>
      <c r="N43" s="11"/>
      <c r="O43" s="11">
        <f>IF(N43&lt;&gt;"",N43,ROUND(M43*INDEX('Live Calc'!$G$33:$G$92,MATCH(G43,'Live Calc'!$A$33:$A$92,0))*'Live Calc'!$J$543,0))</f>
        <v>1</v>
      </c>
      <c r="Q43" s="12" t="s">
        <v>257</v>
      </c>
      <c r="R43" s="12" t="s">
        <v>108</v>
      </c>
      <c r="S43" s="12">
        <v>105.18600000000001</v>
      </c>
      <c r="T43" s="12">
        <v>112.306</v>
      </c>
      <c r="U43" s="12">
        <v>107.38</v>
      </c>
      <c r="V43" s="12">
        <f>CHOOSE(MATCH(Setup!$B$7,{"STD","Half-PPR","PPR"},0),S43,T43,U43)</f>
        <v>112.306</v>
      </c>
      <c r="W43" s="12">
        <f>COUNTIFS('Draft Board'!$X$2:$X$162,"&gt;="&amp;X43,'Draft Board'!$AB$2:$AB$162,1)</f>
        <v>17</v>
      </c>
      <c r="X43" s="12">
        <f>MAX(0,V43-'Live Calc'!$H$20)^'Live Calc'!$E$20</f>
        <v>8.5789462930337574</v>
      </c>
      <c r="Y43" s="12">
        <v>43</v>
      </c>
      <c r="Z43" s="12">
        <f>IF(Y43&lt;&gt;_xlfn.MINIFS('Draft Board'!$Y$2:$Y$162,'Draft Board'!$X$2:$X$162,"="&amp;X43),0,IF(_xlfn.MINIFS('Draft Board'!$X$2:$X$162,'Draft Board'!$X$2:$X$162,"&gt;"&amp;X43)=0,1,IF((_xlfn.MINIFS('Draft Board'!$X$2:$X$162,'Draft Board'!$X$2:$X$162,"&gt;"&amp;X43)-X43)/_xlfn.MINIFS('Draft Board'!$X$2:$X$162,'Draft Board'!$X$2:$X$162,"&gt;"&amp;X43)&gt;0.08,1,0)))</f>
        <v>1</v>
      </c>
      <c r="AA43" s="12">
        <f>_xlfn.MINIFS('Draft Board'!$X$2:$X$162,'Draft Board'!$X$2:$X$162,"&gt;="&amp;X43,'Draft Board'!$Z$2:$Z$162,1)</f>
        <v>8.5789462930337574</v>
      </c>
      <c r="AB43" s="12">
        <f>IF(Y43&lt;&gt;_xlfn.MINIFS('Draft Board'!$Y$2:$Y$162,'Draft Board'!$X$2:$X$162,"="&amp;X43),0,IF(OR(Z43=1,IFERROR(FLOOR((AA43-X43)/AA43/0.25,1),0)&lt;&gt;IFERROR(FLOOR((AA43-_xlfn.MINIFS('Draft Board'!$X$2:$X$162,'Draft Board'!$X$2:$X$162,"&gt;"&amp;X43))/AA43/0.25,1),0)),1,0))</f>
        <v>1</v>
      </c>
      <c r="AC43" s="12">
        <f>ROUND(1+X43*'Live Calc'!$D$27,0)</f>
        <v>2</v>
      </c>
      <c r="AD43" s="12"/>
      <c r="AE43" s="12">
        <f>IF(AD43&lt;&gt;"",AD43,ROUND(AC43*INDEX('Live Calc'!$G$96:$G$256,MATCH(W43,'Live Calc'!$A$96:$A$256,0))*'Live Calc'!$J$543,0))</f>
        <v>2</v>
      </c>
      <c r="AG43" s="13" t="s">
        <v>258</v>
      </c>
      <c r="AH43" s="13" t="s">
        <v>85</v>
      </c>
      <c r="AI43" s="13">
        <v>105.95399999999999</v>
      </c>
      <c r="AJ43" s="13">
        <v>140.02199999999999</v>
      </c>
      <c r="AK43" s="13">
        <v>173.066</v>
      </c>
      <c r="AL43" s="13">
        <f>CHOOSE(MATCH(Setup!$B$7,{"STD","Half-PPR","PPR"},0),AI43,AJ43,AK43)</f>
        <v>140.02199999999999</v>
      </c>
      <c r="AM43" s="13">
        <f>COUNTIFS('Draft Board'!$AN$2:$AN$192,"&gt;="&amp;AN43,'Draft Board'!$AR$2:$AR$192,1)</f>
        <v>11</v>
      </c>
      <c r="AN43" s="13">
        <f>MAX(0,AL43-'Live Calc'!$H$21)^'Live Calc'!$E$21</f>
        <v>219.30235811749938</v>
      </c>
      <c r="AO43" s="13">
        <v>43</v>
      </c>
      <c r="AP43" s="13">
        <f>IF(AO43&lt;&gt;_xlfn.MINIFS('Draft Board'!$AO$2:$AO$192,'Draft Board'!$AN$2:$AN$192,"="&amp;AN43),0,IF(_xlfn.MINIFS('Draft Board'!$AN$2:$AN$192,'Draft Board'!$AN$2:$AN$192,"&gt;"&amp;AN43)=0,1,IF((_xlfn.MINIFS('Draft Board'!$AN$2:$AN$192,'Draft Board'!$AN$2:$AN$192,"&gt;"&amp;AN43)-AN43)/_xlfn.MINIFS('Draft Board'!$AN$2:$AN$192,'Draft Board'!$AN$2:$AN$192,"&gt;"&amp;AN43)&gt;0.08,1,0)))</f>
        <v>0</v>
      </c>
      <c r="AQ43" s="13">
        <f>_xlfn.MINIFS('Draft Board'!$AN$2:$AN$192,'Draft Board'!$AN$2:$AN$192,"&gt;="&amp;AN43,'Draft Board'!$AP$2:$AP$192,1)</f>
        <v>219.62808153059112</v>
      </c>
      <c r="AR43" s="13">
        <f>IF(AO43&lt;&gt;_xlfn.MINIFS('Draft Board'!$AO$2:$AO$192,'Draft Board'!$AN$2:$AN$192,"="&amp;AN43),0,IF(OR(AP43=1,IFERROR(FLOOR((AQ43-AN43)/AQ43/0.25,1),0)&lt;&gt;IFERROR(FLOOR((AQ43-_xlfn.MINIFS('Draft Board'!$AN$2:$AN$192,'Draft Board'!$AN$2:$AN$192,"&gt;"&amp;AN43))/AQ43/0.25,1),0)),1,0))</f>
        <v>0</v>
      </c>
      <c r="AS43" s="13">
        <f>ROUND(1+AN43*'Live Calc'!$D$28,0)</f>
        <v>7</v>
      </c>
      <c r="AT43" s="13"/>
      <c r="AU43" s="13">
        <f>IF(AT43&lt;&gt;"",AT43,ROUND(AS43*INDEX('Live Calc'!$G$260:$G$450,MATCH(AM43,'Live Calc'!$A$260:$A$450,0))*'Live Calc'!$J$543,0))</f>
        <v>7</v>
      </c>
      <c r="AW43" s="14" t="s">
        <v>259</v>
      </c>
      <c r="AX43" s="14" t="s">
        <v>81</v>
      </c>
      <c r="AY43" s="14">
        <v>38.765999999999998</v>
      </c>
      <c r="AZ43" s="14">
        <v>50.646000000000001</v>
      </c>
      <c r="BA43" s="14">
        <v>62.531999999999996</v>
      </c>
      <c r="BB43" s="14">
        <f>CHOOSE(MATCH(Setup!$B$7,{"STD","Half-PPR","PPR"},0),AY43,AZ43,BA43)</f>
        <v>50.646000000000001</v>
      </c>
      <c r="BC43" s="14">
        <f>COUNTIFS('Draft Board'!$BD$2:$BD$87,"&gt;="&amp;BD43,'Draft Board'!$BH$2:$BH$87,1)</f>
        <v>18</v>
      </c>
      <c r="BD43" s="14">
        <f>MAX(0,BB43-'Live Calc'!$H$22)^'Live Calc'!$E$22</f>
        <v>0</v>
      </c>
      <c r="BE43" s="14">
        <v>43</v>
      </c>
      <c r="BF43" s="14">
        <f>IF(BE43&lt;&gt;_xlfn.MINIFS('Draft Board'!$BE$2:$BE$87,'Draft Board'!$BD$2:$BD$87,"="&amp;BD43),0,IF(_xlfn.MINIFS('Draft Board'!$BD$2:$BD$87,'Draft Board'!$BD$2:$BD$87,"&gt;"&amp;BD43)=0,1,IF((_xlfn.MINIFS('Draft Board'!$BD$2:$BD$87,'Draft Board'!$BD$2:$BD$87,"&gt;"&amp;BD43)-BD43)/_xlfn.MINIFS('Draft Board'!$BD$2:$BD$87,'Draft Board'!$BD$2:$BD$87,"&gt;"&amp;BD43)&gt;0.08,1,0)))</f>
        <v>0</v>
      </c>
      <c r="BG43" s="14">
        <f>_xlfn.MINIFS('Draft Board'!$BD$2:$BD$87,'Draft Board'!$BD$2:$BD$87,"&gt;="&amp;BD43,'Draft Board'!$BF$2:$BF$87,1)</f>
        <v>0</v>
      </c>
      <c r="BH43" s="14">
        <f>IF(BE43&lt;&gt;_xlfn.MINIFS('Draft Board'!$BE$2:$BE$87,'Draft Board'!$BD$2:$BD$87,"="&amp;BD43),0,IF(OR(BF43=1,IFERROR(FLOOR((BG43-BD43)/BG43/0.25,1),0)&lt;&gt;IFERROR(FLOOR((BG43-_xlfn.MINIFS('Draft Board'!$BD$2:$BD$87,'Draft Board'!$BD$2:$BD$87,"&gt;"&amp;BD43))/BG43/0.25,1),0)),1,0))</f>
        <v>0</v>
      </c>
      <c r="BI43" s="14">
        <f>ROUND(1+BD43*'Live Calc'!$D$29,0)</f>
        <v>1</v>
      </c>
      <c r="BJ43" s="14"/>
      <c r="BK43" s="14">
        <f>IF(BJ43&lt;&gt;"",BJ43,ROUND(BI43*INDEX('Live Calc'!$G$454:$G$539,MATCH(BC43,'Live Calc'!$A$454:$A$539,0))*'Live Calc'!$J$543,0))</f>
        <v>1</v>
      </c>
    </row>
    <row r="44" spans="1:63" x14ac:dyDescent="0.25">
      <c r="A44" s="11" t="s">
        <v>260</v>
      </c>
      <c r="B44" s="11" t="s">
        <v>85</v>
      </c>
      <c r="C44" s="11">
        <v>18.45</v>
      </c>
      <c r="D44" s="11">
        <v>18.45</v>
      </c>
      <c r="E44" s="11">
        <v>18.45</v>
      </c>
      <c r="F44" s="11">
        <f>CHOOSE(MATCH(Setup!$B$7,{"STD","Half-PPR","PPR"},0),C44,D44,E44)</f>
        <v>18.45</v>
      </c>
      <c r="G44" s="11">
        <f>COUNTIFS('Draft Board'!$H$2:$H$61,"&gt;="&amp;H44,'Draft Board'!$L$2:$L$61,1)</f>
        <v>11</v>
      </c>
      <c r="H44" s="11">
        <f>MAX(0,F44-'Live Calc'!$H$19)^'Live Calc'!$E$19</f>
        <v>0</v>
      </c>
      <c r="I44" s="11">
        <v>44</v>
      </c>
      <c r="J44" s="11">
        <f>IF(I44&lt;&gt;_xlfn.MINIFS('Draft Board'!$I$2:$I$61,'Draft Board'!$H$2:$H$61,"="&amp;H44),0,IF(_xlfn.MINIFS('Draft Board'!$H$2:$H$61,'Draft Board'!$H$2:$H$61,"&gt;"&amp;H44)=0,1,IF((_xlfn.MINIFS('Draft Board'!$H$2:$H$61,'Draft Board'!$H$2:$H$61,"&gt;"&amp;H44)-H44)/_xlfn.MINIFS('Draft Board'!$H$2:$H$61,'Draft Board'!$H$2:$H$61,"&gt;"&amp;H44)&gt;0.08,1,0)))</f>
        <v>0</v>
      </c>
      <c r="K44" s="11">
        <f>_xlfn.MINIFS('Draft Board'!$H$2:$H$61,'Draft Board'!$H$2:$H$61,"&gt;="&amp;H44,'Draft Board'!$J$2:$J$61,1)</f>
        <v>0</v>
      </c>
      <c r="L44" s="11">
        <f>IF(I44&lt;&gt;_xlfn.MINIFS('Draft Board'!$I$2:$I$61,'Draft Board'!$H$2:$H$61,"="&amp;H44),0,IF(OR(J44=1,IFERROR(FLOOR((K44-H44)/K44/0.25,1),0)&lt;&gt;IFERROR(FLOOR((K44-_xlfn.MINIFS('Draft Board'!$H$2:$H$61,'Draft Board'!$H$2:$H$61,"&gt;"&amp;H44))/K44/0.25,1),0)),1,0))</f>
        <v>0</v>
      </c>
      <c r="M44" s="11">
        <f>ROUND(1+H44*'Live Calc'!$D$26,0)</f>
        <v>1</v>
      </c>
      <c r="N44" s="11"/>
      <c r="O44" s="11">
        <f>IF(N44&lt;&gt;"",N44,ROUND(M44*INDEX('Live Calc'!$G$33:$G$92,MATCH(G44,'Live Calc'!$A$33:$A$92,0))*'Live Calc'!$J$543,0))</f>
        <v>1</v>
      </c>
      <c r="Q44" s="12" t="s">
        <v>261</v>
      </c>
      <c r="R44" s="12" t="s">
        <v>192</v>
      </c>
      <c r="S44" s="12">
        <v>89.397999999999996</v>
      </c>
      <c r="T44" s="12">
        <v>109.35599999999999</v>
      </c>
      <c r="U44" s="12">
        <v>135.51</v>
      </c>
      <c r="V44" s="12">
        <f>CHOOSE(MATCH(Setup!$B$7,{"STD","Half-PPR","PPR"},0),S44,T44,U44)</f>
        <v>109.35599999999999</v>
      </c>
      <c r="W44" s="12">
        <f>COUNTIFS('Draft Board'!$X$2:$X$162,"&gt;="&amp;X44,'Draft Board'!$AB$2:$AB$162,1)</f>
        <v>18</v>
      </c>
      <c r="X44" s="12">
        <f>MAX(0,V44-'Live Calc'!$H$20)^'Live Calc'!$E$20</f>
        <v>3.8060621772025316</v>
      </c>
      <c r="Y44" s="12">
        <v>44</v>
      </c>
      <c r="Z44" s="12">
        <f>IF(Y44&lt;&gt;_xlfn.MINIFS('Draft Board'!$Y$2:$Y$162,'Draft Board'!$X$2:$X$162,"="&amp;X44),0,IF(_xlfn.MINIFS('Draft Board'!$X$2:$X$162,'Draft Board'!$X$2:$X$162,"&gt;"&amp;X44)=0,1,IF((_xlfn.MINIFS('Draft Board'!$X$2:$X$162,'Draft Board'!$X$2:$X$162,"&gt;"&amp;X44)-X44)/_xlfn.MINIFS('Draft Board'!$X$2:$X$162,'Draft Board'!$X$2:$X$162,"&gt;"&amp;X44)&gt;0.08,1,0)))</f>
        <v>1</v>
      </c>
      <c r="AA44" s="12">
        <f>_xlfn.MINIFS('Draft Board'!$X$2:$X$162,'Draft Board'!$X$2:$X$162,"&gt;="&amp;X44,'Draft Board'!$Z$2:$Z$162,1)</f>
        <v>3.8060621772025316</v>
      </c>
      <c r="AB44" s="12">
        <f>IF(Y44&lt;&gt;_xlfn.MINIFS('Draft Board'!$Y$2:$Y$162,'Draft Board'!$X$2:$X$162,"="&amp;X44),0,IF(OR(Z44=1,IFERROR(FLOOR((AA44-X44)/AA44/0.25,1),0)&lt;&gt;IFERROR(FLOOR((AA44-_xlfn.MINIFS('Draft Board'!$X$2:$X$162,'Draft Board'!$X$2:$X$162,"&gt;"&amp;X44))/AA44/0.25,1),0)),1,0))</f>
        <v>1</v>
      </c>
      <c r="AC44" s="12">
        <f>ROUND(1+X44*'Live Calc'!$D$27,0)</f>
        <v>1</v>
      </c>
      <c r="AD44" s="12"/>
      <c r="AE44" s="12">
        <f>IF(AD44&lt;&gt;"",AD44,ROUND(AC44*INDEX('Live Calc'!$G$96:$G$256,MATCH(W44,'Live Calc'!$A$96:$A$256,0))*'Live Calc'!$J$543,0))</f>
        <v>1</v>
      </c>
      <c r="AG44" s="13" t="s">
        <v>262</v>
      </c>
      <c r="AH44" s="13" t="s">
        <v>87</v>
      </c>
      <c r="AI44" s="13">
        <v>103.218</v>
      </c>
      <c r="AJ44" s="13">
        <v>140.00200000000001</v>
      </c>
      <c r="AK44" s="13">
        <v>176.04400000000001</v>
      </c>
      <c r="AL44" s="13">
        <f>CHOOSE(MATCH(Setup!$B$7,{"STD","Half-PPR","PPR"},0),AI44,AJ44,AK44)</f>
        <v>140.00200000000001</v>
      </c>
      <c r="AM44" s="13">
        <f>COUNTIFS('Draft Board'!$AN$2:$AN$192,"&gt;="&amp;AN44,'Draft Board'!$AR$2:$AR$192,1)</f>
        <v>11</v>
      </c>
      <c r="AN44" s="13">
        <f>MAX(0,AL44-'Live Calc'!$H$21)^'Live Calc'!$E$21</f>
        <v>219.12147030753513</v>
      </c>
      <c r="AO44" s="13">
        <v>44</v>
      </c>
      <c r="AP44" s="13">
        <f>IF(AO44&lt;&gt;_xlfn.MINIFS('Draft Board'!$AO$2:$AO$192,'Draft Board'!$AN$2:$AN$192,"="&amp;AN44),0,IF(_xlfn.MINIFS('Draft Board'!$AN$2:$AN$192,'Draft Board'!$AN$2:$AN$192,"&gt;"&amp;AN44)=0,1,IF((_xlfn.MINIFS('Draft Board'!$AN$2:$AN$192,'Draft Board'!$AN$2:$AN$192,"&gt;"&amp;AN44)-AN44)/_xlfn.MINIFS('Draft Board'!$AN$2:$AN$192,'Draft Board'!$AN$2:$AN$192,"&gt;"&amp;AN44)&gt;0.08,1,0)))</f>
        <v>0</v>
      </c>
      <c r="AQ44" s="13">
        <f>_xlfn.MINIFS('Draft Board'!$AN$2:$AN$192,'Draft Board'!$AN$2:$AN$192,"&gt;="&amp;AN44,'Draft Board'!$AP$2:$AP$192,1)</f>
        <v>219.62808153059112</v>
      </c>
      <c r="AR44" s="13">
        <f>IF(AO44&lt;&gt;_xlfn.MINIFS('Draft Board'!$AO$2:$AO$192,'Draft Board'!$AN$2:$AN$192,"="&amp;AN44),0,IF(OR(AP44=1,IFERROR(FLOOR((AQ44-AN44)/AQ44/0.25,1),0)&lt;&gt;IFERROR(FLOOR((AQ44-_xlfn.MINIFS('Draft Board'!$AN$2:$AN$192,'Draft Board'!$AN$2:$AN$192,"&gt;"&amp;AN44))/AQ44/0.25,1),0)),1,0))</f>
        <v>0</v>
      </c>
      <c r="AS44" s="13">
        <f>ROUND(1+AN44*'Live Calc'!$D$28,0)</f>
        <v>7</v>
      </c>
      <c r="AT44" s="13"/>
      <c r="AU44" s="13">
        <f>IF(AT44&lt;&gt;"",AT44,ROUND(AS44*INDEX('Live Calc'!$G$260:$G$450,MATCH(AM44,'Live Calc'!$A$260:$A$450,0))*'Live Calc'!$J$543,0))</f>
        <v>7</v>
      </c>
      <c r="AW44" s="14" t="s">
        <v>263</v>
      </c>
      <c r="AX44" s="14" t="s">
        <v>83</v>
      </c>
      <c r="AY44" s="14">
        <v>38.033999999999999</v>
      </c>
      <c r="AZ44" s="14">
        <v>50.353999999999999</v>
      </c>
      <c r="BA44" s="14">
        <v>62.112000000000002</v>
      </c>
      <c r="BB44" s="14">
        <f>CHOOSE(MATCH(Setup!$B$7,{"STD","Half-PPR","PPR"},0),AY44,AZ44,BA44)</f>
        <v>50.353999999999999</v>
      </c>
      <c r="BC44" s="14">
        <f>COUNTIFS('Draft Board'!$BD$2:$BD$87,"&gt;="&amp;BD44,'Draft Board'!$BH$2:$BH$87,1)</f>
        <v>18</v>
      </c>
      <c r="BD44" s="14">
        <f>MAX(0,BB44-'Live Calc'!$H$22)^'Live Calc'!$E$22</f>
        <v>0</v>
      </c>
      <c r="BE44" s="14">
        <v>44</v>
      </c>
      <c r="BF44" s="14">
        <f>IF(BE44&lt;&gt;_xlfn.MINIFS('Draft Board'!$BE$2:$BE$87,'Draft Board'!$BD$2:$BD$87,"="&amp;BD44),0,IF(_xlfn.MINIFS('Draft Board'!$BD$2:$BD$87,'Draft Board'!$BD$2:$BD$87,"&gt;"&amp;BD44)=0,1,IF((_xlfn.MINIFS('Draft Board'!$BD$2:$BD$87,'Draft Board'!$BD$2:$BD$87,"&gt;"&amp;BD44)-BD44)/_xlfn.MINIFS('Draft Board'!$BD$2:$BD$87,'Draft Board'!$BD$2:$BD$87,"&gt;"&amp;BD44)&gt;0.08,1,0)))</f>
        <v>0</v>
      </c>
      <c r="BG44" s="14">
        <f>_xlfn.MINIFS('Draft Board'!$BD$2:$BD$87,'Draft Board'!$BD$2:$BD$87,"&gt;="&amp;BD44,'Draft Board'!$BF$2:$BF$87,1)</f>
        <v>0</v>
      </c>
      <c r="BH44" s="14">
        <f>IF(BE44&lt;&gt;_xlfn.MINIFS('Draft Board'!$BE$2:$BE$87,'Draft Board'!$BD$2:$BD$87,"="&amp;BD44),0,IF(OR(BF44=1,IFERROR(FLOOR((BG44-BD44)/BG44/0.25,1),0)&lt;&gt;IFERROR(FLOOR((BG44-_xlfn.MINIFS('Draft Board'!$BD$2:$BD$87,'Draft Board'!$BD$2:$BD$87,"&gt;"&amp;BD44))/BG44/0.25,1),0)),1,0))</f>
        <v>0</v>
      </c>
      <c r="BI44" s="14">
        <f>ROUND(1+BD44*'Live Calc'!$D$29,0)</f>
        <v>1</v>
      </c>
      <c r="BJ44" s="14"/>
      <c r="BK44" s="14">
        <f>IF(BJ44&lt;&gt;"",BJ44,ROUND(BI44*INDEX('Live Calc'!$G$454:$G$539,MATCH(BC44,'Live Calc'!$A$454:$A$539,0))*'Live Calc'!$J$543,0))</f>
        <v>1</v>
      </c>
    </row>
    <row r="45" spans="1:63" x14ac:dyDescent="0.25">
      <c r="A45" s="11" t="s">
        <v>264</v>
      </c>
      <c r="B45" s="11" t="s">
        <v>79</v>
      </c>
      <c r="C45" s="11">
        <v>17.829999999999998</v>
      </c>
      <c r="D45" s="11">
        <v>17.829999999999998</v>
      </c>
      <c r="E45" s="11">
        <v>17.829999999999998</v>
      </c>
      <c r="F45" s="11">
        <f>CHOOSE(MATCH(Setup!$B$7,{"STD","Half-PPR","PPR"},0),C45,D45,E45)</f>
        <v>17.829999999999998</v>
      </c>
      <c r="G45" s="11">
        <f>COUNTIFS('Draft Board'!$H$2:$H$61,"&gt;="&amp;H45,'Draft Board'!$L$2:$L$61,1)</f>
        <v>11</v>
      </c>
      <c r="H45" s="11">
        <f>MAX(0,F45-'Live Calc'!$H$19)^'Live Calc'!$E$19</f>
        <v>0</v>
      </c>
      <c r="I45" s="11">
        <v>45</v>
      </c>
      <c r="J45" s="11">
        <f>IF(I45&lt;&gt;_xlfn.MINIFS('Draft Board'!$I$2:$I$61,'Draft Board'!$H$2:$H$61,"="&amp;H45),0,IF(_xlfn.MINIFS('Draft Board'!$H$2:$H$61,'Draft Board'!$H$2:$H$61,"&gt;"&amp;H45)=0,1,IF((_xlfn.MINIFS('Draft Board'!$H$2:$H$61,'Draft Board'!$H$2:$H$61,"&gt;"&amp;H45)-H45)/_xlfn.MINIFS('Draft Board'!$H$2:$H$61,'Draft Board'!$H$2:$H$61,"&gt;"&amp;H45)&gt;0.08,1,0)))</f>
        <v>0</v>
      </c>
      <c r="K45" s="11">
        <f>_xlfn.MINIFS('Draft Board'!$H$2:$H$61,'Draft Board'!$H$2:$H$61,"&gt;="&amp;H45,'Draft Board'!$J$2:$J$61,1)</f>
        <v>0</v>
      </c>
      <c r="L45" s="11">
        <f>IF(I45&lt;&gt;_xlfn.MINIFS('Draft Board'!$I$2:$I$61,'Draft Board'!$H$2:$H$61,"="&amp;H45),0,IF(OR(J45=1,IFERROR(FLOOR((K45-H45)/K45/0.25,1),0)&lt;&gt;IFERROR(FLOOR((K45-_xlfn.MINIFS('Draft Board'!$H$2:$H$61,'Draft Board'!$H$2:$H$61,"&gt;"&amp;H45))/K45/0.25,1),0)),1,0))</f>
        <v>0</v>
      </c>
      <c r="M45" s="11">
        <f>ROUND(1+H45*'Live Calc'!$D$26,0)</f>
        <v>1</v>
      </c>
      <c r="N45" s="11"/>
      <c r="O45" s="11">
        <f>IF(N45&lt;&gt;"",N45,ROUND(M45*INDEX('Live Calc'!$G$33:$G$92,MATCH(G45,'Live Calc'!$A$33:$A$92,0))*'Live Calc'!$J$543,0))</f>
        <v>1</v>
      </c>
      <c r="Q45" s="12" t="s">
        <v>265</v>
      </c>
      <c r="R45" s="12" t="s">
        <v>111</v>
      </c>
      <c r="S45" s="12">
        <v>95.87</v>
      </c>
      <c r="T45" s="12">
        <v>106.31</v>
      </c>
      <c r="U45" s="12">
        <v>115.334</v>
      </c>
      <c r="V45" s="12">
        <f>CHOOSE(MATCH(Setup!$B$7,{"STD","Half-PPR","PPR"},0),S45,T45,U45)</f>
        <v>106.31</v>
      </c>
      <c r="W45" s="12">
        <f>COUNTIFS('Draft Board'!$X$2:$X$162,"&gt;="&amp;X45,'Draft Board'!$AB$2:$AB$162,1)</f>
        <v>19</v>
      </c>
      <c r="X45" s="12">
        <f>MAX(0,V45-'Live Calc'!$H$20)^'Live Calc'!$E$20</f>
        <v>0</v>
      </c>
      <c r="Y45" s="12">
        <v>45</v>
      </c>
      <c r="Z45" s="12">
        <f>IF(Y45&lt;&gt;_xlfn.MINIFS('Draft Board'!$Y$2:$Y$162,'Draft Board'!$X$2:$X$162,"="&amp;X45),0,IF(_xlfn.MINIFS('Draft Board'!$X$2:$X$162,'Draft Board'!$X$2:$X$162,"&gt;"&amp;X45)=0,1,IF((_xlfn.MINIFS('Draft Board'!$X$2:$X$162,'Draft Board'!$X$2:$X$162,"&gt;"&amp;X45)-X45)/_xlfn.MINIFS('Draft Board'!$X$2:$X$162,'Draft Board'!$X$2:$X$162,"&gt;"&amp;X45)&gt;0.08,1,0)))</f>
        <v>1</v>
      </c>
      <c r="AA45" s="12">
        <f>_xlfn.MINIFS('Draft Board'!$X$2:$X$162,'Draft Board'!$X$2:$X$162,"&gt;="&amp;X45,'Draft Board'!$Z$2:$Z$162,1)</f>
        <v>0</v>
      </c>
      <c r="AB45" s="12">
        <f>IF(Y45&lt;&gt;_xlfn.MINIFS('Draft Board'!$Y$2:$Y$162,'Draft Board'!$X$2:$X$162,"="&amp;X45),0,IF(OR(Z45=1,IFERROR(FLOOR((AA45-X45)/AA45/0.25,1),0)&lt;&gt;IFERROR(FLOOR((AA45-_xlfn.MINIFS('Draft Board'!$X$2:$X$162,'Draft Board'!$X$2:$X$162,"&gt;"&amp;X45))/AA45/0.25,1),0)),1,0))</f>
        <v>1</v>
      </c>
      <c r="AC45" s="12">
        <f>ROUND(1+X45*'Live Calc'!$D$27,0)</f>
        <v>1</v>
      </c>
      <c r="AD45" s="12"/>
      <c r="AE45" s="12">
        <f>IF(AD45&lt;&gt;"",AD45,ROUND(AC45*INDEX('Live Calc'!$G$96:$G$256,MATCH(W45,'Live Calc'!$A$96:$A$256,0))*'Live Calc'!$J$543,0))</f>
        <v>1</v>
      </c>
      <c r="AG45" s="13" t="s">
        <v>266</v>
      </c>
      <c r="AH45" s="13" t="s">
        <v>67</v>
      </c>
      <c r="AI45" s="13">
        <v>106.866</v>
      </c>
      <c r="AJ45" s="13">
        <v>139.87799999999999</v>
      </c>
      <c r="AK45" s="13">
        <v>173.65600000000001</v>
      </c>
      <c r="AL45" s="13">
        <f>CHOOSE(MATCH(Setup!$B$7,{"STD","Half-PPR","PPR"},0),AI45,AJ45,AK45)</f>
        <v>139.87799999999999</v>
      </c>
      <c r="AM45" s="13">
        <f>COUNTIFS('Draft Board'!$AN$2:$AN$192,"&gt;="&amp;AN45,'Draft Board'!$AR$2:$AR$192,1)</f>
        <v>11</v>
      </c>
      <c r="AN45" s="13">
        <f>MAX(0,AL45-'Live Calc'!$H$21)^'Live Calc'!$E$21</f>
        <v>218.00107709148568</v>
      </c>
      <c r="AO45" s="13">
        <v>45</v>
      </c>
      <c r="AP45" s="13">
        <f>IF(AO45&lt;&gt;_xlfn.MINIFS('Draft Board'!$AO$2:$AO$192,'Draft Board'!$AN$2:$AN$192,"="&amp;AN45),0,IF(_xlfn.MINIFS('Draft Board'!$AN$2:$AN$192,'Draft Board'!$AN$2:$AN$192,"&gt;"&amp;AN45)=0,1,IF((_xlfn.MINIFS('Draft Board'!$AN$2:$AN$192,'Draft Board'!$AN$2:$AN$192,"&gt;"&amp;AN45)-AN45)/_xlfn.MINIFS('Draft Board'!$AN$2:$AN$192,'Draft Board'!$AN$2:$AN$192,"&gt;"&amp;AN45)&gt;0.08,1,0)))</f>
        <v>0</v>
      </c>
      <c r="AQ45" s="13">
        <f>_xlfn.MINIFS('Draft Board'!$AN$2:$AN$192,'Draft Board'!$AN$2:$AN$192,"&gt;="&amp;AN45,'Draft Board'!$AP$2:$AP$192,1)</f>
        <v>219.62808153059112</v>
      </c>
      <c r="AR45" s="13">
        <f>IF(AO45&lt;&gt;_xlfn.MINIFS('Draft Board'!$AO$2:$AO$192,'Draft Board'!$AN$2:$AN$192,"="&amp;AN45),0,IF(OR(AP45=1,IFERROR(FLOOR((AQ45-AN45)/AQ45/0.25,1),0)&lt;&gt;IFERROR(FLOOR((AQ45-_xlfn.MINIFS('Draft Board'!$AN$2:$AN$192,'Draft Board'!$AN$2:$AN$192,"&gt;"&amp;AN45))/AQ45/0.25,1),0)),1,0))</f>
        <v>0</v>
      </c>
      <c r="AS45" s="13">
        <f>ROUND(1+AN45*'Live Calc'!$D$28,0)</f>
        <v>7</v>
      </c>
      <c r="AT45" s="13"/>
      <c r="AU45" s="13">
        <f>IF(AT45&lt;&gt;"",AT45,ROUND(AS45*INDEX('Live Calc'!$G$260:$G$450,MATCH(AM45,'Live Calc'!$A$260:$A$450,0))*'Live Calc'!$J$543,0))</f>
        <v>7</v>
      </c>
      <c r="AW45" s="14" t="s">
        <v>267</v>
      </c>
      <c r="AX45" s="14" t="s">
        <v>73</v>
      </c>
      <c r="AY45" s="14">
        <v>36.834000000000003</v>
      </c>
      <c r="AZ45" s="14">
        <v>49.966000000000001</v>
      </c>
      <c r="BA45" s="14">
        <v>65.69</v>
      </c>
      <c r="BB45" s="14">
        <f>CHOOSE(MATCH(Setup!$B$7,{"STD","Half-PPR","PPR"},0),AY45,AZ45,BA45)</f>
        <v>49.966000000000001</v>
      </c>
      <c r="BC45" s="14">
        <f>COUNTIFS('Draft Board'!$BD$2:$BD$87,"&gt;="&amp;BD45,'Draft Board'!$BH$2:$BH$87,1)</f>
        <v>18</v>
      </c>
      <c r="BD45" s="14">
        <f>MAX(0,BB45-'Live Calc'!$H$22)^'Live Calc'!$E$22</f>
        <v>0</v>
      </c>
      <c r="BE45" s="14">
        <v>45</v>
      </c>
      <c r="BF45" s="14">
        <f>IF(BE45&lt;&gt;_xlfn.MINIFS('Draft Board'!$BE$2:$BE$87,'Draft Board'!$BD$2:$BD$87,"="&amp;BD45),0,IF(_xlfn.MINIFS('Draft Board'!$BD$2:$BD$87,'Draft Board'!$BD$2:$BD$87,"&gt;"&amp;BD45)=0,1,IF((_xlfn.MINIFS('Draft Board'!$BD$2:$BD$87,'Draft Board'!$BD$2:$BD$87,"&gt;"&amp;BD45)-BD45)/_xlfn.MINIFS('Draft Board'!$BD$2:$BD$87,'Draft Board'!$BD$2:$BD$87,"&gt;"&amp;BD45)&gt;0.08,1,0)))</f>
        <v>0</v>
      </c>
      <c r="BG45" s="14">
        <f>_xlfn.MINIFS('Draft Board'!$BD$2:$BD$87,'Draft Board'!$BD$2:$BD$87,"&gt;="&amp;BD45,'Draft Board'!$BF$2:$BF$87,1)</f>
        <v>0</v>
      </c>
      <c r="BH45" s="14">
        <f>IF(BE45&lt;&gt;_xlfn.MINIFS('Draft Board'!$BE$2:$BE$87,'Draft Board'!$BD$2:$BD$87,"="&amp;BD45),0,IF(OR(BF45=1,IFERROR(FLOOR((BG45-BD45)/BG45/0.25,1),0)&lt;&gt;IFERROR(FLOOR((BG45-_xlfn.MINIFS('Draft Board'!$BD$2:$BD$87,'Draft Board'!$BD$2:$BD$87,"&gt;"&amp;BD45))/BG45/0.25,1),0)),1,0))</f>
        <v>0</v>
      </c>
      <c r="BI45" s="14">
        <f>ROUND(1+BD45*'Live Calc'!$D$29,0)</f>
        <v>1</v>
      </c>
      <c r="BJ45" s="14"/>
      <c r="BK45" s="14">
        <f>IF(BJ45&lt;&gt;"",BJ45,ROUND(BI45*INDEX('Live Calc'!$G$454:$G$539,MATCH(BC45,'Live Calc'!$A$454:$A$539,0))*'Live Calc'!$J$543,0))</f>
        <v>1</v>
      </c>
    </row>
    <row r="46" spans="1:63" x14ac:dyDescent="0.25">
      <c r="A46" s="11" t="s">
        <v>268</v>
      </c>
      <c r="B46" s="11" t="s">
        <v>73</v>
      </c>
      <c r="C46" s="11">
        <v>16.73</v>
      </c>
      <c r="D46" s="11">
        <v>16.73</v>
      </c>
      <c r="E46" s="11">
        <v>16.73</v>
      </c>
      <c r="F46" s="11">
        <f>CHOOSE(MATCH(Setup!$B$7,{"STD","Half-PPR","PPR"},0),C46,D46,E46)</f>
        <v>16.73</v>
      </c>
      <c r="G46" s="11">
        <f>COUNTIFS('Draft Board'!$H$2:$H$61,"&gt;="&amp;H46,'Draft Board'!$L$2:$L$61,1)</f>
        <v>11</v>
      </c>
      <c r="H46" s="11">
        <f>MAX(0,F46-'Live Calc'!$H$19)^'Live Calc'!$E$19</f>
        <v>0</v>
      </c>
      <c r="I46" s="11">
        <v>46</v>
      </c>
      <c r="J46" s="11">
        <f>IF(I46&lt;&gt;_xlfn.MINIFS('Draft Board'!$I$2:$I$61,'Draft Board'!$H$2:$H$61,"="&amp;H46),0,IF(_xlfn.MINIFS('Draft Board'!$H$2:$H$61,'Draft Board'!$H$2:$H$61,"&gt;"&amp;H46)=0,1,IF((_xlfn.MINIFS('Draft Board'!$H$2:$H$61,'Draft Board'!$H$2:$H$61,"&gt;"&amp;H46)-H46)/_xlfn.MINIFS('Draft Board'!$H$2:$H$61,'Draft Board'!$H$2:$H$61,"&gt;"&amp;H46)&gt;0.08,1,0)))</f>
        <v>0</v>
      </c>
      <c r="K46" s="11">
        <f>_xlfn.MINIFS('Draft Board'!$H$2:$H$61,'Draft Board'!$H$2:$H$61,"&gt;="&amp;H46,'Draft Board'!$J$2:$J$61,1)</f>
        <v>0</v>
      </c>
      <c r="L46" s="11">
        <f>IF(I46&lt;&gt;_xlfn.MINIFS('Draft Board'!$I$2:$I$61,'Draft Board'!$H$2:$H$61,"="&amp;H46),0,IF(OR(J46=1,IFERROR(FLOOR((K46-H46)/K46/0.25,1),0)&lt;&gt;IFERROR(FLOOR((K46-_xlfn.MINIFS('Draft Board'!$H$2:$H$61,'Draft Board'!$H$2:$H$61,"&gt;"&amp;H46))/K46/0.25,1),0)),1,0))</f>
        <v>0</v>
      </c>
      <c r="M46" s="11">
        <f>ROUND(1+H46*'Live Calc'!$D$26,0)</f>
        <v>1</v>
      </c>
      <c r="N46" s="11"/>
      <c r="O46" s="11">
        <f>IF(N46&lt;&gt;"",N46,ROUND(M46*INDEX('Live Calc'!$G$33:$G$92,MATCH(G46,'Live Calc'!$A$33:$A$92,0))*'Live Calc'!$J$543,0))</f>
        <v>1</v>
      </c>
      <c r="Q46" s="12" t="s">
        <v>269</v>
      </c>
      <c r="R46" s="12" t="s">
        <v>81</v>
      </c>
      <c r="S46" s="12">
        <v>91.84</v>
      </c>
      <c r="T46" s="12">
        <v>96.067999999999998</v>
      </c>
      <c r="U46" s="12">
        <v>104.386</v>
      </c>
      <c r="V46" s="12">
        <f>CHOOSE(MATCH(Setup!$B$7,{"STD","Half-PPR","PPR"},0),S46,T46,U46)</f>
        <v>96.067999999999998</v>
      </c>
      <c r="W46" s="12">
        <f>COUNTIFS('Draft Board'!$X$2:$X$162,"&gt;="&amp;X46,'Draft Board'!$AB$2:$AB$162,1)</f>
        <v>19</v>
      </c>
      <c r="X46" s="12">
        <f>MAX(0,V46-'Live Calc'!$H$20)^'Live Calc'!$E$20</f>
        <v>0</v>
      </c>
      <c r="Y46" s="12">
        <v>46</v>
      </c>
      <c r="Z46" s="12">
        <f>IF(Y46&lt;&gt;_xlfn.MINIFS('Draft Board'!$Y$2:$Y$162,'Draft Board'!$X$2:$X$162,"="&amp;X46),0,IF(_xlfn.MINIFS('Draft Board'!$X$2:$X$162,'Draft Board'!$X$2:$X$162,"&gt;"&amp;X46)=0,1,IF((_xlfn.MINIFS('Draft Board'!$X$2:$X$162,'Draft Board'!$X$2:$X$162,"&gt;"&amp;X46)-X46)/_xlfn.MINIFS('Draft Board'!$X$2:$X$162,'Draft Board'!$X$2:$X$162,"&gt;"&amp;X46)&gt;0.08,1,0)))</f>
        <v>0</v>
      </c>
      <c r="AA46" s="12">
        <f>_xlfn.MINIFS('Draft Board'!$X$2:$X$162,'Draft Board'!$X$2:$X$162,"&gt;="&amp;X46,'Draft Board'!$Z$2:$Z$162,1)</f>
        <v>0</v>
      </c>
      <c r="AB46" s="12">
        <f>IF(Y46&lt;&gt;_xlfn.MINIFS('Draft Board'!$Y$2:$Y$162,'Draft Board'!$X$2:$X$162,"="&amp;X46),0,IF(OR(Z46=1,IFERROR(FLOOR((AA46-X46)/AA46/0.25,1),0)&lt;&gt;IFERROR(FLOOR((AA46-_xlfn.MINIFS('Draft Board'!$X$2:$X$162,'Draft Board'!$X$2:$X$162,"&gt;"&amp;X46))/AA46/0.25,1),0)),1,0))</f>
        <v>0</v>
      </c>
      <c r="AC46" s="12">
        <f>ROUND(1+X46*'Live Calc'!$D$27,0)</f>
        <v>1</v>
      </c>
      <c r="AD46" s="12"/>
      <c r="AE46" s="12">
        <f>IF(AD46&lt;&gt;"",AD46,ROUND(AC46*INDEX('Live Calc'!$G$96:$G$256,MATCH(W46,'Live Calc'!$A$96:$A$256,0))*'Live Calc'!$J$543,0))</f>
        <v>1</v>
      </c>
      <c r="AG46" s="13" t="s">
        <v>270</v>
      </c>
      <c r="AH46" s="13" t="s">
        <v>108</v>
      </c>
      <c r="AI46" s="13">
        <v>104.36199999999999</v>
      </c>
      <c r="AJ46" s="13">
        <v>138.392</v>
      </c>
      <c r="AK46" s="13">
        <v>170.70599999999999</v>
      </c>
      <c r="AL46" s="13">
        <f>CHOOSE(MATCH(Setup!$B$7,{"STD","Half-PPR","PPR"},0),AI46,AJ46,AK46)</f>
        <v>138.392</v>
      </c>
      <c r="AM46" s="13">
        <f>COUNTIFS('Draft Board'!$AN$2:$AN$192,"&gt;="&amp;AN46,'Draft Board'!$AR$2:$AR$192,1)</f>
        <v>11</v>
      </c>
      <c r="AN46" s="13">
        <f>MAX(0,AL46-'Live Calc'!$H$21)^'Live Calc'!$E$21</f>
        <v>204.72444817426165</v>
      </c>
      <c r="AO46" s="13">
        <v>46</v>
      </c>
      <c r="AP46" s="13">
        <f>IF(AO46&lt;&gt;_xlfn.MINIFS('Draft Board'!$AO$2:$AO$192,'Draft Board'!$AN$2:$AN$192,"="&amp;AN46),0,IF(_xlfn.MINIFS('Draft Board'!$AN$2:$AN$192,'Draft Board'!$AN$2:$AN$192,"&gt;"&amp;AN46)=0,1,IF((_xlfn.MINIFS('Draft Board'!$AN$2:$AN$192,'Draft Board'!$AN$2:$AN$192,"&gt;"&amp;AN46)-AN46)/_xlfn.MINIFS('Draft Board'!$AN$2:$AN$192,'Draft Board'!$AN$2:$AN$192,"&gt;"&amp;AN46)&gt;0.08,1,0)))</f>
        <v>0</v>
      </c>
      <c r="AQ46" s="13">
        <f>_xlfn.MINIFS('Draft Board'!$AN$2:$AN$192,'Draft Board'!$AN$2:$AN$192,"&gt;="&amp;AN46,'Draft Board'!$AP$2:$AP$192,1)</f>
        <v>219.62808153059112</v>
      </c>
      <c r="AR46" s="13">
        <f>IF(AO46&lt;&gt;_xlfn.MINIFS('Draft Board'!$AO$2:$AO$192,'Draft Board'!$AN$2:$AN$192,"="&amp;AN46),0,IF(OR(AP46=1,IFERROR(FLOOR((AQ46-AN46)/AQ46/0.25,1),0)&lt;&gt;IFERROR(FLOOR((AQ46-_xlfn.MINIFS('Draft Board'!$AN$2:$AN$192,'Draft Board'!$AN$2:$AN$192,"&gt;"&amp;AN46))/AQ46/0.25,1),0)),1,0))</f>
        <v>0</v>
      </c>
      <c r="AS46" s="13">
        <f>ROUND(1+AN46*'Live Calc'!$D$28,0)</f>
        <v>7</v>
      </c>
      <c r="AT46" s="13"/>
      <c r="AU46" s="13">
        <f>IF(AT46&lt;&gt;"",AT46,ROUND(AS46*INDEX('Live Calc'!$G$260:$G$450,MATCH(AM46,'Live Calc'!$A$260:$A$450,0))*'Live Calc'!$J$543,0))</f>
        <v>7</v>
      </c>
      <c r="AW46" s="14" t="s">
        <v>271</v>
      </c>
      <c r="AX46" s="14" t="s">
        <v>65</v>
      </c>
      <c r="AY46" s="14">
        <v>34.238</v>
      </c>
      <c r="AZ46" s="14">
        <v>44.966000000000001</v>
      </c>
      <c r="BA46" s="14">
        <v>55.253999999999998</v>
      </c>
      <c r="BB46" s="14">
        <f>CHOOSE(MATCH(Setup!$B$7,{"STD","Half-PPR","PPR"},0),AY46,AZ46,BA46)</f>
        <v>44.966000000000001</v>
      </c>
      <c r="BC46" s="14">
        <f>COUNTIFS('Draft Board'!$BD$2:$BD$87,"&gt;="&amp;BD46,'Draft Board'!$BH$2:$BH$87,1)</f>
        <v>18</v>
      </c>
      <c r="BD46" s="14">
        <f>MAX(0,BB46-'Live Calc'!$H$22)^'Live Calc'!$E$22</f>
        <v>0</v>
      </c>
      <c r="BE46" s="14">
        <v>46</v>
      </c>
      <c r="BF46" s="14">
        <f>IF(BE46&lt;&gt;_xlfn.MINIFS('Draft Board'!$BE$2:$BE$87,'Draft Board'!$BD$2:$BD$87,"="&amp;BD46),0,IF(_xlfn.MINIFS('Draft Board'!$BD$2:$BD$87,'Draft Board'!$BD$2:$BD$87,"&gt;"&amp;BD46)=0,1,IF((_xlfn.MINIFS('Draft Board'!$BD$2:$BD$87,'Draft Board'!$BD$2:$BD$87,"&gt;"&amp;BD46)-BD46)/_xlfn.MINIFS('Draft Board'!$BD$2:$BD$87,'Draft Board'!$BD$2:$BD$87,"&gt;"&amp;BD46)&gt;0.08,1,0)))</f>
        <v>0</v>
      </c>
      <c r="BG46" s="14">
        <f>_xlfn.MINIFS('Draft Board'!$BD$2:$BD$87,'Draft Board'!$BD$2:$BD$87,"&gt;="&amp;BD46,'Draft Board'!$BF$2:$BF$87,1)</f>
        <v>0</v>
      </c>
      <c r="BH46" s="14">
        <f>IF(BE46&lt;&gt;_xlfn.MINIFS('Draft Board'!$BE$2:$BE$87,'Draft Board'!$BD$2:$BD$87,"="&amp;BD46),0,IF(OR(BF46=1,IFERROR(FLOOR((BG46-BD46)/BG46/0.25,1),0)&lt;&gt;IFERROR(FLOOR((BG46-_xlfn.MINIFS('Draft Board'!$BD$2:$BD$87,'Draft Board'!$BD$2:$BD$87,"&gt;"&amp;BD46))/BG46/0.25,1),0)),1,0))</f>
        <v>0</v>
      </c>
      <c r="BI46" s="14">
        <f>ROUND(1+BD46*'Live Calc'!$D$29,0)</f>
        <v>1</v>
      </c>
      <c r="BJ46" s="14"/>
      <c r="BK46" s="14">
        <f>IF(BJ46&lt;&gt;"",BJ46,ROUND(BI46*INDEX('Live Calc'!$G$454:$G$539,MATCH(BC46,'Live Calc'!$A$454:$A$539,0))*'Live Calc'!$J$543,0))</f>
        <v>1</v>
      </c>
    </row>
    <row r="47" spans="1:63" x14ac:dyDescent="0.25">
      <c r="A47" s="11" t="s">
        <v>272</v>
      </c>
      <c r="B47" s="11" t="s">
        <v>190</v>
      </c>
      <c r="C47" s="11">
        <v>16.3</v>
      </c>
      <c r="D47" s="11">
        <v>16.3</v>
      </c>
      <c r="E47" s="11">
        <v>16.3</v>
      </c>
      <c r="F47" s="11">
        <f>CHOOSE(MATCH(Setup!$B$7,{"STD","Half-PPR","PPR"},0),C47,D47,E47)</f>
        <v>16.3</v>
      </c>
      <c r="G47" s="11">
        <f>COUNTIFS('Draft Board'!$H$2:$H$61,"&gt;="&amp;H47,'Draft Board'!$L$2:$L$61,1)</f>
        <v>11</v>
      </c>
      <c r="H47" s="11">
        <f>MAX(0,F47-'Live Calc'!$H$19)^'Live Calc'!$E$19</f>
        <v>0</v>
      </c>
      <c r="I47" s="11">
        <v>47</v>
      </c>
      <c r="J47" s="11">
        <f>IF(I47&lt;&gt;_xlfn.MINIFS('Draft Board'!$I$2:$I$61,'Draft Board'!$H$2:$H$61,"="&amp;H47),0,IF(_xlfn.MINIFS('Draft Board'!$H$2:$H$61,'Draft Board'!$H$2:$H$61,"&gt;"&amp;H47)=0,1,IF((_xlfn.MINIFS('Draft Board'!$H$2:$H$61,'Draft Board'!$H$2:$H$61,"&gt;"&amp;H47)-H47)/_xlfn.MINIFS('Draft Board'!$H$2:$H$61,'Draft Board'!$H$2:$H$61,"&gt;"&amp;H47)&gt;0.08,1,0)))</f>
        <v>0</v>
      </c>
      <c r="K47" s="11">
        <f>_xlfn.MINIFS('Draft Board'!$H$2:$H$61,'Draft Board'!$H$2:$H$61,"&gt;="&amp;H47,'Draft Board'!$J$2:$J$61,1)</f>
        <v>0</v>
      </c>
      <c r="L47" s="11">
        <f>IF(I47&lt;&gt;_xlfn.MINIFS('Draft Board'!$I$2:$I$61,'Draft Board'!$H$2:$H$61,"="&amp;H47),0,IF(OR(J47=1,IFERROR(FLOOR((K47-H47)/K47/0.25,1),0)&lt;&gt;IFERROR(FLOOR((K47-_xlfn.MINIFS('Draft Board'!$H$2:$H$61,'Draft Board'!$H$2:$H$61,"&gt;"&amp;H47))/K47/0.25,1),0)),1,0))</f>
        <v>0</v>
      </c>
      <c r="M47" s="11">
        <f>ROUND(1+H47*'Live Calc'!$D$26,0)</f>
        <v>1</v>
      </c>
      <c r="N47" s="11"/>
      <c r="O47" s="11">
        <f>IF(N47&lt;&gt;"",N47,ROUND(M47*INDEX('Live Calc'!$G$33:$G$92,MATCH(G47,'Live Calc'!$A$33:$A$92,0))*'Live Calc'!$J$543,0))</f>
        <v>1</v>
      </c>
      <c r="Q47" s="12" t="s">
        <v>273</v>
      </c>
      <c r="R47" s="12" t="s">
        <v>118</v>
      </c>
      <c r="S47" s="12">
        <v>83.956000000000003</v>
      </c>
      <c r="T47" s="12">
        <v>94.915999999999997</v>
      </c>
      <c r="U47" s="12">
        <v>105.88200000000001</v>
      </c>
      <c r="V47" s="12">
        <f>CHOOSE(MATCH(Setup!$B$7,{"STD","Half-PPR","PPR"},0),S47,T47,U47)</f>
        <v>94.915999999999997</v>
      </c>
      <c r="W47" s="12">
        <f>COUNTIFS('Draft Board'!$X$2:$X$162,"&gt;="&amp;X47,'Draft Board'!$AB$2:$AB$162,1)</f>
        <v>19</v>
      </c>
      <c r="X47" s="12">
        <f>MAX(0,V47-'Live Calc'!$H$20)^'Live Calc'!$E$20</f>
        <v>0</v>
      </c>
      <c r="Y47" s="12">
        <v>47</v>
      </c>
      <c r="Z47" s="12">
        <f>IF(Y47&lt;&gt;_xlfn.MINIFS('Draft Board'!$Y$2:$Y$162,'Draft Board'!$X$2:$X$162,"="&amp;X47),0,IF(_xlfn.MINIFS('Draft Board'!$X$2:$X$162,'Draft Board'!$X$2:$X$162,"&gt;"&amp;X47)=0,1,IF((_xlfn.MINIFS('Draft Board'!$X$2:$X$162,'Draft Board'!$X$2:$X$162,"&gt;"&amp;X47)-X47)/_xlfn.MINIFS('Draft Board'!$X$2:$X$162,'Draft Board'!$X$2:$X$162,"&gt;"&amp;X47)&gt;0.08,1,0)))</f>
        <v>0</v>
      </c>
      <c r="AA47" s="12">
        <f>_xlfn.MINIFS('Draft Board'!$X$2:$X$162,'Draft Board'!$X$2:$X$162,"&gt;="&amp;X47,'Draft Board'!$Z$2:$Z$162,1)</f>
        <v>0</v>
      </c>
      <c r="AB47" s="12">
        <f>IF(Y47&lt;&gt;_xlfn.MINIFS('Draft Board'!$Y$2:$Y$162,'Draft Board'!$X$2:$X$162,"="&amp;X47),0,IF(OR(Z47=1,IFERROR(FLOOR((AA47-X47)/AA47/0.25,1),0)&lt;&gt;IFERROR(FLOOR((AA47-_xlfn.MINIFS('Draft Board'!$X$2:$X$162,'Draft Board'!$X$2:$X$162,"&gt;"&amp;X47))/AA47/0.25,1),0)),1,0))</f>
        <v>0</v>
      </c>
      <c r="AC47" s="12">
        <f>ROUND(1+X47*'Live Calc'!$D$27,0)</f>
        <v>1</v>
      </c>
      <c r="AD47" s="12"/>
      <c r="AE47" s="12">
        <f>IF(AD47&lt;&gt;"",AD47,ROUND(AC47*INDEX('Live Calc'!$G$96:$G$256,MATCH(W47,'Live Calc'!$A$96:$A$256,0))*'Live Calc'!$J$543,0))</f>
        <v>1</v>
      </c>
      <c r="AG47" s="13" t="s">
        <v>274</v>
      </c>
      <c r="AH47" s="13" t="s">
        <v>192</v>
      </c>
      <c r="AI47" s="13">
        <v>96.412000000000006</v>
      </c>
      <c r="AJ47" s="13">
        <v>134.29400000000001</v>
      </c>
      <c r="AK47" s="13">
        <v>172.452</v>
      </c>
      <c r="AL47" s="13">
        <f>CHOOSE(MATCH(Setup!$B$7,{"STD","Half-PPR","PPR"},0),AI47,AJ47,AK47)</f>
        <v>134.29400000000001</v>
      </c>
      <c r="AM47" s="13">
        <f>COUNTIFS('Draft Board'!$AN$2:$AN$192,"&gt;="&amp;AN47,'Draft Board'!$AR$2:$AR$192,1)</f>
        <v>12</v>
      </c>
      <c r="AN47" s="13">
        <f>MAX(0,AL47-'Live Calc'!$H$21)^'Live Calc'!$E$21</f>
        <v>169.58624252595487</v>
      </c>
      <c r="AO47" s="13">
        <v>47</v>
      </c>
      <c r="AP47" s="13">
        <f>IF(AO47&lt;&gt;_xlfn.MINIFS('Draft Board'!$AO$2:$AO$192,'Draft Board'!$AN$2:$AN$192,"="&amp;AN47),0,IF(_xlfn.MINIFS('Draft Board'!$AN$2:$AN$192,'Draft Board'!$AN$2:$AN$192,"&gt;"&amp;AN47)=0,1,IF((_xlfn.MINIFS('Draft Board'!$AN$2:$AN$192,'Draft Board'!$AN$2:$AN$192,"&gt;"&amp;AN47)-AN47)/_xlfn.MINIFS('Draft Board'!$AN$2:$AN$192,'Draft Board'!$AN$2:$AN$192,"&gt;"&amp;AN47)&gt;0.08,1,0)))</f>
        <v>1</v>
      </c>
      <c r="AQ47" s="13">
        <f>_xlfn.MINIFS('Draft Board'!$AN$2:$AN$192,'Draft Board'!$AN$2:$AN$192,"&gt;="&amp;AN47,'Draft Board'!$AP$2:$AP$192,1)</f>
        <v>169.58624252595487</v>
      </c>
      <c r="AR47" s="13">
        <f>IF(AO47&lt;&gt;_xlfn.MINIFS('Draft Board'!$AO$2:$AO$192,'Draft Board'!$AN$2:$AN$192,"="&amp;AN47),0,IF(OR(AP47=1,IFERROR(FLOOR((AQ47-AN47)/AQ47/0.25,1),0)&lt;&gt;IFERROR(FLOOR((AQ47-_xlfn.MINIFS('Draft Board'!$AN$2:$AN$192,'Draft Board'!$AN$2:$AN$192,"&gt;"&amp;AN47))/AQ47/0.25,1),0)),1,0))</f>
        <v>1</v>
      </c>
      <c r="AS47" s="13">
        <f>ROUND(1+AN47*'Live Calc'!$D$28,0)</f>
        <v>6</v>
      </c>
      <c r="AT47" s="13"/>
      <c r="AU47" s="13">
        <f>IF(AT47&lt;&gt;"",AT47,ROUND(AS47*INDEX('Live Calc'!$G$260:$G$450,MATCH(AM47,'Live Calc'!$A$260:$A$450,0))*'Live Calc'!$J$543,0))</f>
        <v>6</v>
      </c>
      <c r="AW47" s="14" t="s">
        <v>275</v>
      </c>
      <c r="AX47" s="14" t="s">
        <v>77</v>
      </c>
      <c r="AY47" s="14">
        <v>32.902000000000001</v>
      </c>
      <c r="AZ47" s="14">
        <v>43.204000000000001</v>
      </c>
      <c r="BA47" s="14">
        <v>54.066000000000003</v>
      </c>
      <c r="BB47" s="14">
        <f>CHOOSE(MATCH(Setup!$B$7,{"STD","Half-PPR","PPR"},0),AY47,AZ47,BA47)</f>
        <v>43.204000000000001</v>
      </c>
      <c r="BC47" s="14">
        <f>COUNTIFS('Draft Board'!$BD$2:$BD$87,"&gt;="&amp;BD47,'Draft Board'!$BH$2:$BH$87,1)</f>
        <v>18</v>
      </c>
      <c r="BD47" s="14">
        <f>MAX(0,BB47-'Live Calc'!$H$22)^'Live Calc'!$E$22</f>
        <v>0</v>
      </c>
      <c r="BE47" s="14">
        <v>47</v>
      </c>
      <c r="BF47" s="14">
        <f>IF(BE47&lt;&gt;_xlfn.MINIFS('Draft Board'!$BE$2:$BE$87,'Draft Board'!$BD$2:$BD$87,"="&amp;BD47),0,IF(_xlfn.MINIFS('Draft Board'!$BD$2:$BD$87,'Draft Board'!$BD$2:$BD$87,"&gt;"&amp;BD47)=0,1,IF((_xlfn.MINIFS('Draft Board'!$BD$2:$BD$87,'Draft Board'!$BD$2:$BD$87,"&gt;"&amp;BD47)-BD47)/_xlfn.MINIFS('Draft Board'!$BD$2:$BD$87,'Draft Board'!$BD$2:$BD$87,"&gt;"&amp;BD47)&gt;0.08,1,0)))</f>
        <v>0</v>
      </c>
      <c r="BG47" s="14">
        <f>_xlfn.MINIFS('Draft Board'!$BD$2:$BD$87,'Draft Board'!$BD$2:$BD$87,"&gt;="&amp;BD47,'Draft Board'!$BF$2:$BF$87,1)</f>
        <v>0</v>
      </c>
      <c r="BH47" s="14">
        <f>IF(BE47&lt;&gt;_xlfn.MINIFS('Draft Board'!$BE$2:$BE$87,'Draft Board'!$BD$2:$BD$87,"="&amp;BD47),0,IF(OR(BF47=1,IFERROR(FLOOR((BG47-BD47)/BG47/0.25,1),0)&lt;&gt;IFERROR(FLOOR((BG47-_xlfn.MINIFS('Draft Board'!$BD$2:$BD$87,'Draft Board'!$BD$2:$BD$87,"&gt;"&amp;BD47))/BG47/0.25,1),0)),1,0))</f>
        <v>0</v>
      </c>
      <c r="BI47" s="14">
        <f>ROUND(1+BD47*'Live Calc'!$D$29,0)</f>
        <v>1</v>
      </c>
      <c r="BJ47" s="14"/>
      <c r="BK47" s="14">
        <f>IF(BJ47&lt;&gt;"",BJ47,ROUND(BI47*INDEX('Live Calc'!$G$454:$G$539,MATCH(BC47,'Live Calc'!$A$454:$A$539,0))*'Live Calc'!$J$543,0))</f>
        <v>1</v>
      </c>
    </row>
    <row r="48" spans="1:63" x14ac:dyDescent="0.25">
      <c r="A48" s="11" t="s">
        <v>276</v>
      </c>
      <c r="B48" s="11" t="s">
        <v>96</v>
      </c>
      <c r="C48" s="11">
        <v>16.16</v>
      </c>
      <c r="D48" s="11">
        <v>16.16</v>
      </c>
      <c r="E48" s="11">
        <v>16.16</v>
      </c>
      <c r="F48" s="11">
        <f>CHOOSE(MATCH(Setup!$B$7,{"STD","Half-PPR","PPR"},0),C48,D48,E48)</f>
        <v>16.16</v>
      </c>
      <c r="G48" s="11">
        <f>COUNTIFS('Draft Board'!$H$2:$H$61,"&gt;="&amp;H48,'Draft Board'!$L$2:$L$61,1)</f>
        <v>11</v>
      </c>
      <c r="H48" s="11">
        <f>MAX(0,F48-'Live Calc'!$H$19)^'Live Calc'!$E$19</f>
        <v>0</v>
      </c>
      <c r="I48" s="11">
        <v>48</v>
      </c>
      <c r="J48" s="11">
        <f>IF(I48&lt;&gt;_xlfn.MINIFS('Draft Board'!$I$2:$I$61,'Draft Board'!$H$2:$H$61,"="&amp;H48),0,IF(_xlfn.MINIFS('Draft Board'!$H$2:$H$61,'Draft Board'!$H$2:$H$61,"&gt;"&amp;H48)=0,1,IF((_xlfn.MINIFS('Draft Board'!$H$2:$H$61,'Draft Board'!$H$2:$H$61,"&gt;"&amp;H48)-H48)/_xlfn.MINIFS('Draft Board'!$H$2:$H$61,'Draft Board'!$H$2:$H$61,"&gt;"&amp;H48)&gt;0.08,1,0)))</f>
        <v>0</v>
      </c>
      <c r="K48" s="11">
        <f>_xlfn.MINIFS('Draft Board'!$H$2:$H$61,'Draft Board'!$H$2:$H$61,"&gt;="&amp;H48,'Draft Board'!$J$2:$J$61,1)</f>
        <v>0</v>
      </c>
      <c r="L48" s="11">
        <f>IF(I48&lt;&gt;_xlfn.MINIFS('Draft Board'!$I$2:$I$61,'Draft Board'!$H$2:$H$61,"="&amp;H48),0,IF(OR(J48=1,IFERROR(FLOOR((K48-H48)/K48/0.25,1),0)&lt;&gt;IFERROR(FLOOR((K48-_xlfn.MINIFS('Draft Board'!$H$2:$H$61,'Draft Board'!$H$2:$H$61,"&gt;"&amp;H48))/K48/0.25,1),0)),1,0))</f>
        <v>0</v>
      </c>
      <c r="M48" s="11">
        <f>ROUND(1+H48*'Live Calc'!$D$26,0)</f>
        <v>1</v>
      </c>
      <c r="N48" s="11"/>
      <c r="O48" s="11">
        <f>IF(N48&lt;&gt;"",N48,ROUND(M48*INDEX('Live Calc'!$G$33:$G$92,MATCH(G48,'Live Calc'!$A$33:$A$92,0))*'Live Calc'!$J$543,0))</f>
        <v>1</v>
      </c>
      <c r="Q48" s="12" t="s">
        <v>277</v>
      </c>
      <c r="R48" s="12" t="s">
        <v>67</v>
      </c>
      <c r="S48" s="12">
        <v>85.162000000000006</v>
      </c>
      <c r="T48" s="12">
        <v>92.53</v>
      </c>
      <c r="U48" s="12">
        <v>99.936000000000007</v>
      </c>
      <c r="V48" s="12">
        <f>CHOOSE(MATCH(Setup!$B$7,{"STD","Half-PPR","PPR"},0),S48,T48,U48)</f>
        <v>92.53</v>
      </c>
      <c r="W48" s="12">
        <f>COUNTIFS('Draft Board'!$X$2:$X$162,"&gt;="&amp;X48,'Draft Board'!$AB$2:$AB$162,1)</f>
        <v>19</v>
      </c>
      <c r="X48" s="12">
        <f>MAX(0,V48-'Live Calc'!$H$20)^'Live Calc'!$E$20</f>
        <v>0</v>
      </c>
      <c r="Y48" s="12">
        <v>48</v>
      </c>
      <c r="Z48" s="12">
        <f>IF(Y48&lt;&gt;_xlfn.MINIFS('Draft Board'!$Y$2:$Y$162,'Draft Board'!$X$2:$X$162,"="&amp;X48),0,IF(_xlfn.MINIFS('Draft Board'!$X$2:$X$162,'Draft Board'!$X$2:$X$162,"&gt;"&amp;X48)=0,1,IF((_xlfn.MINIFS('Draft Board'!$X$2:$X$162,'Draft Board'!$X$2:$X$162,"&gt;"&amp;X48)-X48)/_xlfn.MINIFS('Draft Board'!$X$2:$X$162,'Draft Board'!$X$2:$X$162,"&gt;"&amp;X48)&gt;0.08,1,0)))</f>
        <v>0</v>
      </c>
      <c r="AA48" s="12">
        <f>_xlfn.MINIFS('Draft Board'!$X$2:$X$162,'Draft Board'!$X$2:$X$162,"&gt;="&amp;X48,'Draft Board'!$Z$2:$Z$162,1)</f>
        <v>0</v>
      </c>
      <c r="AB48" s="12">
        <f>IF(Y48&lt;&gt;_xlfn.MINIFS('Draft Board'!$Y$2:$Y$162,'Draft Board'!$X$2:$X$162,"="&amp;X48),0,IF(OR(Z48=1,IFERROR(FLOOR((AA48-X48)/AA48/0.25,1),0)&lt;&gt;IFERROR(FLOOR((AA48-_xlfn.MINIFS('Draft Board'!$X$2:$X$162,'Draft Board'!$X$2:$X$162,"&gt;"&amp;X48))/AA48/0.25,1),0)),1,0))</f>
        <v>0</v>
      </c>
      <c r="AC48" s="12">
        <f>ROUND(1+X48*'Live Calc'!$D$27,0)</f>
        <v>1</v>
      </c>
      <c r="AD48" s="12"/>
      <c r="AE48" s="12">
        <f>IF(AD48&lt;&gt;"",AD48,ROUND(AC48*INDEX('Live Calc'!$G$96:$G$256,MATCH(W48,'Live Calc'!$A$96:$A$256,0))*'Live Calc'!$J$543,0))</f>
        <v>1</v>
      </c>
      <c r="AG48" s="13" t="s">
        <v>278</v>
      </c>
      <c r="AH48" s="13" t="s">
        <v>91</v>
      </c>
      <c r="AI48" s="13">
        <v>103.47799999999999</v>
      </c>
      <c r="AJ48" s="13">
        <v>133.67400000000001</v>
      </c>
      <c r="AK48" s="13">
        <v>163.078</v>
      </c>
      <c r="AL48" s="13">
        <f>CHOOSE(MATCH(Setup!$B$7,{"STD","Half-PPR","PPR"},0),AI48,AJ48,AK48)</f>
        <v>133.67400000000001</v>
      </c>
      <c r="AM48" s="13">
        <f>COUNTIFS('Draft Board'!$AN$2:$AN$192,"&gt;="&amp;AN48,'Draft Board'!$AR$2:$AR$192,1)</f>
        <v>12</v>
      </c>
      <c r="AN48" s="13">
        <f>MAX(0,AL48-'Live Calc'!$H$21)^'Live Calc'!$E$21</f>
        <v>164.464674522622</v>
      </c>
      <c r="AO48" s="13">
        <v>48</v>
      </c>
      <c r="AP48" s="13">
        <f>IF(AO48&lt;&gt;_xlfn.MINIFS('Draft Board'!$AO$2:$AO$192,'Draft Board'!$AN$2:$AN$192,"="&amp;AN48),0,IF(_xlfn.MINIFS('Draft Board'!$AN$2:$AN$192,'Draft Board'!$AN$2:$AN$192,"&gt;"&amp;AN48)=0,1,IF((_xlfn.MINIFS('Draft Board'!$AN$2:$AN$192,'Draft Board'!$AN$2:$AN$192,"&gt;"&amp;AN48)-AN48)/_xlfn.MINIFS('Draft Board'!$AN$2:$AN$192,'Draft Board'!$AN$2:$AN$192,"&gt;"&amp;AN48)&gt;0.08,1,0)))</f>
        <v>0</v>
      </c>
      <c r="AQ48" s="13">
        <f>_xlfn.MINIFS('Draft Board'!$AN$2:$AN$192,'Draft Board'!$AN$2:$AN$192,"&gt;="&amp;AN48,'Draft Board'!$AP$2:$AP$192,1)</f>
        <v>169.58624252595487</v>
      </c>
      <c r="AR48" s="13">
        <f>IF(AO48&lt;&gt;_xlfn.MINIFS('Draft Board'!$AO$2:$AO$192,'Draft Board'!$AN$2:$AN$192,"="&amp;AN48),0,IF(OR(AP48=1,IFERROR(FLOOR((AQ48-AN48)/AQ48/0.25,1),0)&lt;&gt;IFERROR(FLOOR((AQ48-_xlfn.MINIFS('Draft Board'!$AN$2:$AN$192,'Draft Board'!$AN$2:$AN$192,"&gt;"&amp;AN48))/AQ48/0.25,1),0)),1,0))</f>
        <v>0</v>
      </c>
      <c r="AS48" s="13">
        <f>ROUND(1+AN48*'Live Calc'!$D$28,0)</f>
        <v>5</v>
      </c>
      <c r="AT48" s="13"/>
      <c r="AU48" s="13">
        <f>IF(AT48&lt;&gt;"",AT48,ROUND(AS48*INDEX('Live Calc'!$G$260:$G$450,MATCH(AM48,'Live Calc'!$A$260:$A$450,0))*'Live Calc'!$J$543,0))</f>
        <v>5</v>
      </c>
      <c r="AW48" s="14" t="s">
        <v>279</v>
      </c>
      <c r="AX48" s="14" t="s">
        <v>120</v>
      </c>
      <c r="AY48" s="14">
        <v>31.353999999999999</v>
      </c>
      <c r="AZ48" s="14">
        <v>42.69</v>
      </c>
      <c r="BA48" s="14">
        <v>55.192</v>
      </c>
      <c r="BB48" s="14">
        <f>CHOOSE(MATCH(Setup!$B$7,{"STD","Half-PPR","PPR"},0),AY48,AZ48,BA48)</f>
        <v>42.69</v>
      </c>
      <c r="BC48" s="14">
        <f>COUNTIFS('Draft Board'!$BD$2:$BD$87,"&gt;="&amp;BD48,'Draft Board'!$BH$2:$BH$87,1)</f>
        <v>18</v>
      </c>
      <c r="BD48" s="14">
        <f>MAX(0,BB48-'Live Calc'!$H$22)^'Live Calc'!$E$22</f>
        <v>0</v>
      </c>
      <c r="BE48" s="14">
        <v>48</v>
      </c>
      <c r="BF48" s="14">
        <f>IF(BE48&lt;&gt;_xlfn.MINIFS('Draft Board'!$BE$2:$BE$87,'Draft Board'!$BD$2:$BD$87,"="&amp;BD48),0,IF(_xlfn.MINIFS('Draft Board'!$BD$2:$BD$87,'Draft Board'!$BD$2:$BD$87,"&gt;"&amp;BD48)=0,1,IF((_xlfn.MINIFS('Draft Board'!$BD$2:$BD$87,'Draft Board'!$BD$2:$BD$87,"&gt;"&amp;BD48)-BD48)/_xlfn.MINIFS('Draft Board'!$BD$2:$BD$87,'Draft Board'!$BD$2:$BD$87,"&gt;"&amp;BD48)&gt;0.08,1,0)))</f>
        <v>0</v>
      </c>
      <c r="BG48" s="14">
        <f>_xlfn.MINIFS('Draft Board'!$BD$2:$BD$87,'Draft Board'!$BD$2:$BD$87,"&gt;="&amp;BD48,'Draft Board'!$BF$2:$BF$87,1)</f>
        <v>0</v>
      </c>
      <c r="BH48" s="14">
        <f>IF(BE48&lt;&gt;_xlfn.MINIFS('Draft Board'!$BE$2:$BE$87,'Draft Board'!$BD$2:$BD$87,"="&amp;BD48),0,IF(OR(BF48=1,IFERROR(FLOOR((BG48-BD48)/BG48/0.25,1),0)&lt;&gt;IFERROR(FLOOR((BG48-_xlfn.MINIFS('Draft Board'!$BD$2:$BD$87,'Draft Board'!$BD$2:$BD$87,"&gt;"&amp;BD48))/BG48/0.25,1),0)),1,0))</f>
        <v>0</v>
      </c>
      <c r="BI48" s="14">
        <f>ROUND(1+BD48*'Live Calc'!$D$29,0)</f>
        <v>1</v>
      </c>
      <c r="BJ48" s="14"/>
      <c r="BK48" s="14">
        <f>IF(BJ48&lt;&gt;"",BJ48,ROUND(BI48*INDEX('Live Calc'!$G$454:$G$539,MATCH(BC48,'Live Calc'!$A$454:$A$539,0))*'Live Calc'!$J$543,0))</f>
        <v>1</v>
      </c>
    </row>
    <row r="49" spans="1:63" x14ac:dyDescent="0.25">
      <c r="A49" s="11" t="s">
        <v>280</v>
      </c>
      <c r="B49" s="11" t="s">
        <v>131</v>
      </c>
      <c r="C49" s="11">
        <v>15.49</v>
      </c>
      <c r="D49" s="11">
        <v>15.49</v>
      </c>
      <c r="E49" s="11">
        <v>15.49</v>
      </c>
      <c r="F49" s="11">
        <f>CHOOSE(MATCH(Setup!$B$7,{"STD","Half-PPR","PPR"},0),C49,D49,E49)</f>
        <v>15.49</v>
      </c>
      <c r="G49" s="11">
        <f>COUNTIFS('Draft Board'!$H$2:$H$61,"&gt;="&amp;H49,'Draft Board'!$L$2:$L$61,1)</f>
        <v>11</v>
      </c>
      <c r="H49" s="11">
        <f>MAX(0,F49-'Live Calc'!$H$19)^'Live Calc'!$E$19</f>
        <v>0</v>
      </c>
      <c r="I49" s="11">
        <v>49</v>
      </c>
      <c r="J49" s="11">
        <f>IF(I49&lt;&gt;_xlfn.MINIFS('Draft Board'!$I$2:$I$61,'Draft Board'!$H$2:$H$61,"="&amp;H49),0,IF(_xlfn.MINIFS('Draft Board'!$H$2:$H$61,'Draft Board'!$H$2:$H$61,"&gt;"&amp;H49)=0,1,IF((_xlfn.MINIFS('Draft Board'!$H$2:$H$61,'Draft Board'!$H$2:$H$61,"&gt;"&amp;H49)-H49)/_xlfn.MINIFS('Draft Board'!$H$2:$H$61,'Draft Board'!$H$2:$H$61,"&gt;"&amp;H49)&gt;0.08,1,0)))</f>
        <v>0</v>
      </c>
      <c r="K49" s="11">
        <f>_xlfn.MINIFS('Draft Board'!$H$2:$H$61,'Draft Board'!$H$2:$H$61,"&gt;="&amp;H49,'Draft Board'!$J$2:$J$61,1)</f>
        <v>0</v>
      </c>
      <c r="L49" s="11">
        <f>IF(I49&lt;&gt;_xlfn.MINIFS('Draft Board'!$I$2:$I$61,'Draft Board'!$H$2:$H$61,"="&amp;H49),0,IF(OR(J49=1,IFERROR(FLOOR((K49-H49)/K49/0.25,1),0)&lt;&gt;IFERROR(FLOOR((K49-_xlfn.MINIFS('Draft Board'!$H$2:$H$61,'Draft Board'!$H$2:$H$61,"&gt;"&amp;H49))/K49/0.25,1),0)),1,0))</f>
        <v>0</v>
      </c>
      <c r="M49" s="11">
        <f>ROUND(1+H49*'Live Calc'!$D$26,0)</f>
        <v>1</v>
      </c>
      <c r="N49" s="11"/>
      <c r="O49" s="11">
        <f>IF(N49&lt;&gt;"",N49,ROUND(M49*INDEX('Live Calc'!$G$33:$G$92,MATCH(G49,'Live Calc'!$A$33:$A$92,0))*'Live Calc'!$J$543,0))</f>
        <v>1</v>
      </c>
      <c r="Q49" s="12" t="s">
        <v>281</v>
      </c>
      <c r="R49" s="12" t="s">
        <v>63</v>
      </c>
      <c r="S49" s="12">
        <v>81.62</v>
      </c>
      <c r="T49" s="12">
        <v>88.578000000000003</v>
      </c>
      <c r="U49" s="12">
        <v>95.918000000000006</v>
      </c>
      <c r="V49" s="12">
        <f>CHOOSE(MATCH(Setup!$B$7,{"STD","Half-PPR","PPR"},0),S49,T49,U49)</f>
        <v>88.578000000000003</v>
      </c>
      <c r="W49" s="12">
        <f>COUNTIFS('Draft Board'!$X$2:$X$162,"&gt;="&amp;X49,'Draft Board'!$AB$2:$AB$162,1)</f>
        <v>19</v>
      </c>
      <c r="X49" s="12">
        <f>MAX(0,V49-'Live Calc'!$H$20)^'Live Calc'!$E$20</f>
        <v>0</v>
      </c>
      <c r="Y49" s="12">
        <v>49</v>
      </c>
      <c r="Z49" s="12">
        <f>IF(Y49&lt;&gt;_xlfn.MINIFS('Draft Board'!$Y$2:$Y$162,'Draft Board'!$X$2:$X$162,"="&amp;X49),0,IF(_xlfn.MINIFS('Draft Board'!$X$2:$X$162,'Draft Board'!$X$2:$X$162,"&gt;"&amp;X49)=0,1,IF((_xlfn.MINIFS('Draft Board'!$X$2:$X$162,'Draft Board'!$X$2:$X$162,"&gt;"&amp;X49)-X49)/_xlfn.MINIFS('Draft Board'!$X$2:$X$162,'Draft Board'!$X$2:$X$162,"&gt;"&amp;X49)&gt;0.08,1,0)))</f>
        <v>0</v>
      </c>
      <c r="AA49" s="12">
        <f>_xlfn.MINIFS('Draft Board'!$X$2:$X$162,'Draft Board'!$X$2:$X$162,"&gt;="&amp;X49,'Draft Board'!$Z$2:$Z$162,1)</f>
        <v>0</v>
      </c>
      <c r="AB49" s="12">
        <f>IF(Y49&lt;&gt;_xlfn.MINIFS('Draft Board'!$Y$2:$Y$162,'Draft Board'!$X$2:$X$162,"="&amp;X49),0,IF(OR(Z49=1,IFERROR(FLOOR((AA49-X49)/AA49/0.25,1),0)&lt;&gt;IFERROR(FLOOR((AA49-_xlfn.MINIFS('Draft Board'!$X$2:$X$162,'Draft Board'!$X$2:$X$162,"&gt;"&amp;X49))/AA49/0.25,1),0)),1,0))</f>
        <v>0</v>
      </c>
      <c r="AC49" s="12">
        <f>ROUND(1+X49*'Live Calc'!$D$27,0)</f>
        <v>1</v>
      </c>
      <c r="AD49" s="12"/>
      <c r="AE49" s="12">
        <f>IF(AD49&lt;&gt;"",AD49,ROUND(AC49*INDEX('Live Calc'!$G$96:$G$256,MATCH(W49,'Live Calc'!$A$96:$A$256,0))*'Live Calc'!$J$543,0))</f>
        <v>1</v>
      </c>
      <c r="AG49" s="13" t="s">
        <v>282</v>
      </c>
      <c r="AH49" s="13" t="s">
        <v>120</v>
      </c>
      <c r="AI49" s="13">
        <v>106.97</v>
      </c>
      <c r="AJ49" s="13">
        <v>133.04</v>
      </c>
      <c r="AK49" s="13">
        <v>159.86000000000001</v>
      </c>
      <c r="AL49" s="13">
        <f>CHOOSE(MATCH(Setup!$B$7,{"STD","Half-PPR","PPR"},0),AI49,AJ49,AK49)</f>
        <v>133.04</v>
      </c>
      <c r="AM49" s="13">
        <f>COUNTIFS('Draft Board'!$AN$2:$AN$192,"&gt;="&amp;AN49,'Draft Board'!$AR$2:$AR$192,1)</f>
        <v>12</v>
      </c>
      <c r="AN49" s="13">
        <f>MAX(0,AL49-'Live Calc'!$H$21)^'Live Calc'!$E$21</f>
        <v>159.28187999613749</v>
      </c>
      <c r="AO49" s="13">
        <v>49</v>
      </c>
      <c r="AP49" s="13">
        <f>IF(AO49&lt;&gt;_xlfn.MINIFS('Draft Board'!$AO$2:$AO$192,'Draft Board'!$AN$2:$AN$192,"="&amp;AN49),0,IF(_xlfn.MINIFS('Draft Board'!$AN$2:$AN$192,'Draft Board'!$AN$2:$AN$192,"&gt;"&amp;AN49)=0,1,IF((_xlfn.MINIFS('Draft Board'!$AN$2:$AN$192,'Draft Board'!$AN$2:$AN$192,"&gt;"&amp;AN49)-AN49)/_xlfn.MINIFS('Draft Board'!$AN$2:$AN$192,'Draft Board'!$AN$2:$AN$192,"&gt;"&amp;AN49)&gt;0.08,1,0)))</f>
        <v>0</v>
      </c>
      <c r="AQ49" s="13">
        <f>_xlfn.MINIFS('Draft Board'!$AN$2:$AN$192,'Draft Board'!$AN$2:$AN$192,"&gt;="&amp;AN49,'Draft Board'!$AP$2:$AP$192,1)</f>
        <v>169.58624252595487</v>
      </c>
      <c r="AR49" s="13">
        <f>IF(AO49&lt;&gt;_xlfn.MINIFS('Draft Board'!$AO$2:$AO$192,'Draft Board'!$AN$2:$AN$192,"="&amp;AN49),0,IF(OR(AP49=1,IFERROR(FLOOR((AQ49-AN49)/AQ49/0.25,1),0)&lt;&gt;IFERROR(FLOOR((AQ49-_xlfn.MINIFS('Draft Board'!$AN$2:$AN$192,'Draft Board'!$AN$2:$AN$192,"&gt;"&amp;AN49))/AQ49/0.25,1),0)),1,0))</f>
        <v>0</v>
      </c>
      <c r="AS49" s="13">
        <f>ROUND(1+AN49*'Live Calc'!$D$28,0)</f>
        <v>5</v>
      </c>
      <c r="AT49" s="13"/>
      <c r="AU49" s="13">
        <f>IF(AT49&lt;&gt;"",AT49,ROUND(AS49*INDEX('Live Calc'!$G$260:$G$450,MATCH(AM49,'Live Calc'!$A$260:$A$450,0))*'Live Calc'!$J$543,0))</f>
        <v>5</v>
      </c>
      <c r="AW49" s="14" t="s">
        <v>283</v>
      </c>
      <c r="AX49" s="14" t="s">
        <v>284</v>
      </c>
      <c r="AY49" s="14">
        <v>33.247999999999998</v>
      </c>
      <c r="AZ49" s="14">
        <v>42.543999999999997</v>
      </c>
      <c r="BA49" s="14">
        <v>53.851999999999997</v>
      </c>
      <c r="BB49" s="14">
        <f>CHOOSE(MATCH(Setup!$B$7,{"STD","Half-PPR","PPR"},0),AY49,AZ49,BA49)</f>
        <v>42.543999999999997</v>
      </c>
      <c r="BC49" s="14">
        <f>COUNTIFS('Draft Board'!$BD$2:$BD$87,"&gt;="&amp;BD49,'Draft Board'!$BH$2:$BH$87,1)</f>
        <v>18</v>
      </c>
      <c r="BD49" s="14">
        <f>MAX(0,BB49-'Live Calc'!$H$22)^'Live Calc'!$E$22</f>
        <v>0</v>
      </c>
      <c r="BE49" s="14">
        <v>49</v>
      </c>
      <c r="BF49" s="14">
        <f>IF(BE49&lt;&gt;_xlfn.MINIFS('Draft Board'!$BE$2:$BE$87,'Draft Board'!$BD$2:$BD$87,"="&amp;BD49),0,IF(_xlfn.MINIFS('Draft Board'!$BD$2:$BD$87,'Draft Board'!$BD$2:$BD$87,"&gt;"&amp;BD49)=0,1,IF((_xlfn.MINIFS('Draft Board'!$BD$2:$BD$87,'Draft Board'!$BD$2:$BD$87,"&gt;"&amp;BD49)-BD49)/_xlfn.MINIFS('Draft Board'!$BD$2:$BD$87,'Draft Board'!$BD$2:$BD$87,"&gt;"&amp;BD49)&gt;0.08,1,0)))</f>
        <v>0</v>
      </c>
      <c r="BG49" s="14">
        <f>_xlfn.MINIFS('Draft Board'!$BD$2:$BD$87,'Draft Board'!$BD$2:$BD$87,"&gt;="&amp;BD49,'Draft Board'!$BF$2:$BF$87,1)</f>
        <v>0</v>
      </c>
      <c r="BH49" s="14">
        <f>IF(BE49&lt;&gt;_xlfn.MINIFS('Draft Board'!$BE$2:$BE$87,'Draft Board'!$BD$2:$BD$87,"="&amp;BD49),0,IF(OR(BF49=1,IFERROR(FLOOR((BG49-BD49)/BG49/0.25,1),0)&lt;&gt;IFERROR(FLOOR((BG49-_xlfn.MINIFS('Draft Board'!$BD$2:$BD$87,'Draft Board'!$BD$2:$BD$87,"&gt;"&amp;BD49))/BG49/0.25,1),0)),1,0))</f>
        <v>0</v>
      </c>
      <c r="BI49" s="14">
        <f>ROUND(1+BD49*'Live Calc'!$D$29,0)</f>
        <v>1</v>
      </c>
      <c r="BJ49" s="14"/>
      <c r="BK49" s="14">
        <f>IF(BJ49&lt;&gt;"",BJ49,ROUND(BI49*INDEX('Live Calc'!$G$454:$G$539,MATCH(BC49,'Live Calc'!$A$454:$A$539,0))*'Live Calc'!$J$543,0))</f>
        <v>1</v>
      </c>
    </row>
    <row r="50" spans="1:63" x14ac:dyDescent="0.25">
      <c r="A50" s="11" t="s">
        <v>285</v>
      </c>
      <c r="B50" s="11" t="s">
        <v>134</v>
      </c>
      <c r="C50" s="11">
        <v>15.46</v>
      </c>
      <c r="D50" s="11">
        <v>15.46</v>
      </c>
      <c r="E50" s="11">
        <v>15.46</v>
      </c>
      <c r="F50" s="11">
        <f>CHOOSE(MATCH(Setup!$B$7,{"STD","Half-PPR","PPR"},0),C50,D50,E50)</f>
        <v>15.46</v>
      </c>
      <c r="G50" s="11">
        <f>COUNTIFS('Draft Board'!$H$2:$H$61,"&gt;="&amp;H50,'Draft Board'!$L$2:$L$61,1)</f>
        <v>11</v>
      </c>
      <c r="H50" s="11">
        <f>MAX(0,F50-'Live Calc'!$H$19)^'Live Calc'!$E$19</f>
        <v>0</v>
      </c>
      <c r="I50" s="11">
        <v>50</v>
      </c>
      <c r="J50" s="11">
        <f>IF(I50&lt;&gt;_xlfn.MINIFS('Draft Board'!$I$2:$I$61,'Draft Board'!$H$2:$H$61,"="&amp;H50),0,IF(_xlfn.MINIFS('Draft Board'!$H$2:$H$61,'Draft Board'!$H$2:$H$61,"&gt;"&amp;H50)=0,1,IF((_xlfn.MINIFS('Draft Board'!$H$2:$H$61,'Draft Board'!$H$2:$H$61,"&gt;"&amp;H50)-H50)/_xlfn.MINIFS('Draft Board'!$H$2:$H$61,'Draft Board'!$H$2:$H$61,"&gt;"&amp;H50)&gt;0.08,1,0)))</f>
        <v>0</v>
      </c>
      <c r="K50" s="11">
        <f>_xlfn.MINIFS('Draft Board'!$H$2:$H$61,'Draft Board'!$H$2:$H$61,"&gt;="&amp;H50,'Draft Board'!$J$2:$J$61,1)</f>
        <v>0</v>
      </c>
      <c r="L50" s="11">
        <f>IF(I50&lt;&gt;_xlfn.MINIFS('Draft Board'!$I$2:$I$61,'Draft Board'!$H$2:$H$61,"="&amp;H50),0,IF(OR(J50=1,IFERROR(FLOOR((K50-H50)/K50/0.25,1),0)&lt;&gt;IFERROR(FLOOR((K50-_xlfn.MINIFS('Draft Board'!$H$2:$H$61,'Draft Board'!$H$2:$H$61,"&gt;"&amp;H50))/K50/0.25,1),0)),1,0))</f>
        <v>0</v>
      </c>
      <c r="M50" s="11">
        <f>ROUND(1+H50*'Live Calc'!$D$26,0)</f>
        <v>1</v>
      </c>
      <c r="N50" s="11"/>
      <c r="O50" s="11">
        <f>IF(N50&lt;&gt;"",N50,ROUND(M50*INDEX('Live Calc'!$G$33:$G$92,MATCH(G50,'Live Calc'!$A$33:$A$92,0))*'Live Calc'!$J$543,0))</f>
        <v>1</v>
      </c>
      <c r="Q50" s="12" t="s">
        <v>286</v>
      </c>
      <c r="R50" s="12" t="s">
        <v>134</v>
      </c>
      <c r="S50" s="12">
        <v>75.486000000000004</v>
      </c>
      <c r="T50" s="12">
        <v>88.316000000000003</v>
      </c>
      <c r="U50" s="12">
        <v>98.11</v>
      </c>
      <c r="V50" s="12">
        <f>CHOOSE(MATCH(Setup!$B$7,{"STD","Half-PPR","PPR"},0),S50,T50,U50)</f>
        <v>88.316000000000003</v>
      </c>
      <c r="W50" s="12">
        <f>COUNTIFS('Draft Board'!$X$2:$X$162,"&gt;="&amp;X50,'Draft Board'!$AB$2:$AB$162,1)</f>
        <v>19</v>
      </c>
      <c r="X50" s="12">
        <f>MAX(0,V50-'Live Calc'!$H$20)^'Live Calc'!$E$20</f>
        <v>0</v>
      </c>
      <c r="Y50" s="12">
        <v>50</v>
      </c>
      <c r="Z50" s="12">
        <f>IF(Y50&lt;&gt;_xlfn.MINIFS('Draft Board'!$Y$2:$Y$162,'Draft Board'!$X$2:$X$162,"="&amp;X50),0,IF(_xlfn.MINIFS('Draft Board'!$X$2:$X$162,'Draft Board'!$X$2:$X$162,"&gt;"&amp;X50)=0,1,IF((_xlfn.MINIFS('Draft Board'!$X$2:$X$162,'Draft Board'!$X$2:$X$162,"&gt;"&amp;X50)-X50)/_xlfn.MINIFS('Draft Board'!$X$2:$X$162,'Draft Board'!$X$2:$X$162,"&gt;"&amp;X50)&gt;0.08,1,0)))</f>
        <v>0</v>
      </c>
      <c r="AA50" s="12">
        <f>_xlfn.MINIFS('Draft Board'!$X$2:$X$162,'Draft Board'!$X$2:$X$162,"&gt;="&amp;X50,'Draft Board'!$Z$2:$Z$162,1)</f>
        <v>0</v>
      </c>
      <c r="AB50" s="12">
        <f>IF(Y50&lt;&gt;_xlfn.MINIFS('Draft Board'!$Y$2:$Y$162,'Draft Board'!$X$2:$X$162,"="&amp;X50),0,IF(OR(Z50=1,IFERROR(FLOOR((AA50-X50)/AA50/0.25,1),0)&lt;&gt;IFERROR(FLOOR((AA50-_xlfn.MINIFS('Draft Board'!$X$2:$X$162,'Draft Board'!$X$2:$X$162,"&gt;"&amp;X50))/AA50/0.25,1),0)),1,0))</f>
        <v>0</v>
      </c>
      <c r="AC50" s="12">
        <f>ROUND(1+X50*'Live Calc'!$D$27,0)</f>
        <v>1</v>
      </c>
      <c r="AD50" s="12"/>
      <c r="AE50" s="12">
        <f>IF(AD50&lt;&gt;"",AD50,ROUND(AC50*INDEX('Live Calc'!$G$96:$G$256,MATCH(W50,'Live Calc'!$A$96:$A$256,0))*'Live Calc'!$J$543,0))</f>
        <v>1</v>
      </c>
      <c r="AG50" s="13" t="s">
        <v>287</v>
      </c>
      <c r="AH50" s="13" t="s">
        <v>96</v>
      </c>
      <c r="AI50" s="13">
        <v>103.376</v>
      </c>
      <c r="AJ50" s="13">
        <v>131.30000000000001</v>
      </c>
      <c r="AK50" s="13">
        <v>159.09</v>
      </c>
      <c r="AL50" s="13">
        <f>CHOOSE(MATCH(Setup!$B$7,{"STD","Half-PPR","PPR"},0),AI50,AJ50,AK50)</f>
        <v>131.30000000000001</v>
      </c>
      <c r="AM50" s="13">
        <f>COUNTIFS('Draft Board'!$AN$2:$AN$192,"&gt;="&amp;AN50,'Draft Board'!$AR$2:$AR$192,1)</f>
        <v>13</v>
      </c>
      <c r="AN50" s="13">
        <f>MAX(0,AL50-'Live Calc'!$H$21)^'Live Calc'!$E$21</f>
        <v>145.3454117128712</v>
      </c>
      <c r="AO50" s="13">
        <v>50</v>
      </c>
      <c r="AP50" s="13">
        <f>IF(AO50&lt;&gt;_xlfn.MINIFS('Draft Board'!$AO$2:$AO$192,'Draft Board'!$AN$2:$AN$192,"="&amp;AN50),0,IF(_xlfn.MINIFS('Draft Board'!$AN$2:$AN$192,'Draft Board'!$AN$2:$AN$192,"&gt;"&amp;AN50)=0,1,IF((_xlfn.MINIFS('Draft Board'!$AN$2:$AN$192,'Draft Board'!$AN$2:$AN$192,"&gt;"&amp;AN50)-AN50)/_xlfn.MINIFS('Draft Board'!$AN$2:$AN$192,'Draft Board'!$AN$2:$AN$192,"&gt;"&amp;AN50)&gt;0.08,1,0)))</f>
        <v>1</v>
      </c>
      <c r="AQ50" s="13">
        <f>_xlfn.MINIFS('Draft Board'!$AN$2:$AN$192,'Draft Board'!$AN$2:$AN$192,"&gt;="&amp;AN50,'Draft Board'!$AP$2:$AP$192,1)</f>
        <v>145.3454117128712</v>
      </c>
      <c r="AR50" s="13">
        <f>IF(AO50&lt;&gt;_xlfn.MINIFS('Draft Board'!$AO$2:$AO$192,'Draft Board'!$AN$2:$AN$192,"="&amp;AN50),0,IF(OR(AP50=1,IFERROR(FLOOR((AQ50-AN50)/AQ50/0.25,1),0)&lt;&gt;IFERROR(FLOOR((AQ50-_xlfn.MINIFS('Draft Board'!$AN$2:$AN$192,'Draft Board'!$AN$2:$AN$192,"&gt;"&amp;AN50))/AQ50/0.25,1),0)),1,0))</f>
        <v>1</v>
      </c>
      <c r="AS50" s="13">
        <f>ROUND(1+AN50*'Live Calc'!$D$28,0)</f>
        <v>5</v>
      </c>
      <c r="AT50" s="13"/>
      <c r="AU50" s="13">
        <f>IF(AT50&lt;&gt;"",AT50,ROUND(AS50*INDEX('Live Calc'!$G$260:$G$450,MATCH(AM50,'Live Calc'!$A$260:$A$450,0))*'Live Calc'!$J$543,0))</f>
        <v>5</v>
      </c>
      <c r="AW50" s="14" t="s">
        <v>288</v>
      </c>
      <c r="AX50" s="14" t="s">
        <v>131</v>
      </c>
      <c r="AY50" s="14">
        <v>30.58</v>
      </c>
      <c r="AZ50" s="14">
        <v>41.723999999999997</v>
      </c>
      <c r="BA50" s="14">
        <v>52.914000000000001</v>
      </c>
      <c r="BB50" s="14">
        <f>CHOOSE(MATCH(Setup!$B$7,{"STD","Half-PPR","PPR"},0),AY50,AZ50,BA50)</f>
        <v>41.723999999999997</v>
      </c>
      <c r="BC50" s="14">
        <f>COUNTIFS('Draft Board'!$BD$2:$BD$87,"&gt;="&amp;BD50,'Draft Board'!$BH$2:$BH$87,1)</f>
        <v>18</v>
      </c>
      <c r="BD50" s="14">
        <f>MAX(0,BB50-'Live Calc'!$H$22)^'Live Calc'!$E$22</f>
        <v>0</v>
      </c>
      <c r="BE50" s="14">
        <v>50</v>
      </c>
      <c r="BF50" s="14">
        <f>IF(BE50&lt;&gt;_xlfn.MINIFS('Draft Board'!$BE$2:$BE$87,'Draft Board'!$BD$2:$BD$87,"="&amp;BD50),0,IF(_xlfn.MINIFS('Draft Board'!$BD$2:$BD$87,'Draft Board'!$BD$2:$BD$87,"&gt;"&amp;BD50)=0,1,IF((_xlfn.MINIFS('Draft Board'!$BD$2:$BD$87,'Draft Board'!$BD$2:$BD$87,"&gt;"&amp;BD50)-BD50)/_xlfn.MINIFS('Draft Board'!$BD$2:$BD$87,'Draft Board'!$BD$2:$BD$87,"&gt;"&amp;BD50)&gt;0.08,1,0)))</f>
        <v>0</v>
      </c>
      <c r="BG50" s="14">
        <f>_xlfn.MINIFS('Draft Board'!$BD$2:$BD$87,'Draft Board'!$BD$2:$BD$87,"&gt;="&amp;BD50,'Draft Board'!$BF$2:$BF$87,1)</f>
        <v>0</v>
      </c>
      <c r="BH50" s="14">
        <f>IF(BE50&lt;&gt;_xlfn.MINIFS('Draft Board'!$BE$2:$BE$87,'Draft Board'!$BD$2:$BD$87,"="&amp;BD50),0,IF(OR(BF50=1,IFERROR(FLOOR((BG50-BD50)/BG50/0.25,1),0)&lt;&gt;IFERROR(FLOOR((BG50-_xlfn.MINIFS('Draft Board'!$BD$2:$BD$87,'Draft Board'!$BD$2:$BD$87,"&gt;"&amp;BD50))/BG50/0.25,1),0)),1,0))</f>
        <v>0</v>
      </c>
      <c r="BI50" s="14">
        <f>ROUND(1+BD50*'Live Calc'!$D$29,0)</f>
        <v>1</v>
      </c>
      <c r="BJ50" s="14"/>
      <c r="BK50" s="14">
        <f>IF(BJ50&lt;&gt;"",BJ50,ROUND(BI50*INDEX('Live Calc'!$G$454:$G$539,MATCH(BC50,'Live Calc'!$A$454:$A$539,0))*'Live Calc'!$J$543,0))</f>
        <v>1</v>
      </c>
    </row>
    <row r="51" spans="1:63" x14ac:dyDescent="0.25">
      <c r="A51" s="11" t="s">
        <v>289</v>
      </c>
      <c r="B51" s="11" t="s">
        <v>111</v>
      </c>
      <c r="C51" s="11">
        <v>14.73</v>
      </c>
      <c r="D51" s="11">
        <v>14.73</v>
      </c>
      <c r="E51" s="11">
        <v>14.73</v>
      </c>
      <c r="F51" s="11">
        <f>CHOOSE(MATCH(Setup!$B$7,{"STD","Half-PPR","PPR"},0),C51,D51,E51)</f>
        <v>14.73</v>
      </c>
      <c r="G51" s="11">
        <f>COUNTIFS('Draft Board'!$H$2:$H$61,"&gt;="&amp;H51,'Draft Board'!$L$2:$L$61,1)</f>
        <v>11</v>
      </c>
      <c r="H51" s="11">
        <f>MAX(0,F51-'Live Calc'!$H$19)^'Live Calc'!$E$19</f>
        <v>0</v>
      </c>
      <c r="I51" s="11">
        <v>51</v>
      </c>
      <c r="J51" s="11">
        <f>IF(I51&lt;&gt;_xlfn.MINIFS('Draft Board'!$I$2:$I$61,'Draft Board'!$H$2:$H$61,"="&amp;H51),0,IF(_xlfn.MINIFS('Draft Board'!$H$2:$H$61,'Draft Board'!$H$2:$H$61,"&gt;"&amp;H51)=0,1,IF((_xlfn.MINIFS('Draft Board'!$H$2:$H$61,'Draft Board'!$H$2:$H$61,"&gt;"&amp;H51)-H51)/_xlfn.MINIFS('Draft Board'!$H$2:$H$61,'Draft Board'!$H$2:$H$61,"&gt;"&amp;H51)&gt;0.08,1,0)))</f>
        <v>0</v>
      </c>
      <c r="K51" s="11">
        <f>_xlfn.MINIFS('Draft Board'!$H$2:$H$61,'Draft Board'!$H$2:$H$61,"&gt;="&amp;H51,'Draft Board'!$J$2:$J$61,1)</f>
        <v>0</v>
      </c>
      <c r="L51" s="11">
        <f>IF(I51&lt;&gt;_xlfn.MINIFS('Draft Board'!$I$2:$I$61,'Draft Board'!$H$2:$H$61,"="&amp;H51),0,IF(OR(J51=1,IFERROR(FLOOR((K51-H51)/K51/0.25,1),0)&lt;&gt;IFERROR(FLOOR((K51-_xlfn.MINIFS('Draft Board'!$H$2:$H$61,'Draft Board'!$H$2:$H$61,"&gt;"&amp;H51))/K51/0.25,1),0)),1,0))</f>
        <v>0</v>
      </c>
      <c r="M51" s="11">
        <f>ROUND(1+H51*'Live Calc'!$D$26,0)</f>
        <v>1</v>
      </c>
      <c r="N51" s="11"/>
      <c r="O51" s="11">
        <f>IF(N51&lt;&gt;"",N51,ROUND(M51*INDEX('Live Calc'!$G$33:$G$92,MATCH(G51,'Live Calc'!$A$33:$A$92,0))*'Live Calc'!$J$543,0))</f>
        <v>1</v>
      </c>
      <c r="Q51" s="12" t="s">
        <v>290</v>
      </c>
      <c r="R51" s="12" t="s">
        <v>131</v>
      </c>
      <c r="S51" s="12">
        <v>70.322000000000003</v>
      </c>
      <c r="T51" s="12">
        <v>86.724000000000004</v>
      </c>
      <c r="U51" s="12">
        <v>99.24</v>
      </c>
      <c r="V51" s="12">
        <f>CHOOSE(MATCH(Setup!$B$7,{"STD","Half-PPR","PPR"},0),S51,T51,U51)</f>
        <v>86.724000000000004</v>
      </c>
      <c r="W51" s="12">
        <f>COUNTIFS('Draft Board'!$X$2:$X$162,"&gt;="&amp;X51,'Draft Board'!$AB$2:$AB$162,1)</f>
        <v>19</v>
      </c>
      <c r="X51" s="12">
        <f>MAX(0,V51-'Live Calc'!$H$20)^'Live Calc'!$E$20</f>
        <v>0</v>
      </c>
      <c r="Y51" s="12">
        <v>51</v>
      </c>
      <c r="Z51" s="12">
        <f>IF(Y51&lt;&gt;_xlfn.MINIFS('Draft Board'!$Y$2:$Y$162,'Draft Board'!$X$2:$X$162,"="&amp;X51),0,IF(_xlfn.MINIFS('Draft Board'!$X$2:$X$162,'Draft Board'!$X$2:$X$162,"&gt;"&amp;X51)=0,1,IF((_xlfn.MINIFS('Draft Board'!$X$2:$X$162,'Draft Board'!$X$2:$X$162,"&gt;"&amp;X51)-X51)/_xlfn.MINIFS('Draft Board'!$X$2:$X$162,'Draft Board'!$X$2:$X$162,"&gt;"&amp;X51)&gt;0.08,1,0)))</f>
        <v>0</v>
      </c>
      <c r="AA51" s="12">
        <f>_xlfn.MINIFS('Draft Board'!$X$2:$X$162,'Draft Board'!$X$2:$X$162,"&gt;="&amp;X51,'Draft Board'!$Z$2:$Z$162,1)</f>
        <v>0</v>
      </c>
      <c r="AB51" s="12">
        <f>IF(Y51&lt;&gt;_xlfn.MINIFS('Draft Board'!$Y$2:$Y$162,'Draft Board'!$X$2:$X$162,"="&amp;X51),0,IF(OR(Z51=1,IFERROR(FLOOR((AA51-X51)/AA51/0.25,1),0)&lt;&gt;IFERROR(FLOOR((AA51-_xlfn.MINIFS('Draft Board'!$X$2:$X$162,'Draft Board'!$X$2:$X$162,"&gt;"&amp;X51))/AA51/0.25,1),0)),1,0))</f>
        <v>0</v>
      </c>
      <c r="AC51" s="12">
        <f>ROUND(1+X51*'Live Calc'!$D$27,0)</f>
        <v>1</v>
      </c>
      <c r="AD51" s="12"/>
      <c r="AE51" s="12">
        <f>IF(AD51&lt;&gt;"",AD51,ROUND(AC51*INDEX('Live Calc'!$G$96:$G$256,MATCH(W51,'Live Calc'!$A$96:$A$256,0))*'Live Calc'!$J$543,0))</f>
        <v>1</v>
      </c>
      <c r="AG51" s="13" t="s">
        <v>291</v>
      </c>
      <c r="AH51" s="13" t="s">
        <v>101</v>
      </c>
      <c r="AI51" s="13">
        <v>98.96</v>
      </c>
      <c r="AJ51" s="13">
        <v>128.83799999999999</v>
      </c>
      <c r="AK51" s="13">
        <v>158.642</v>
      </c>
      <c r="AL51" s="13">
        <f>CHOOSE(MATCH(Setup!$B$7,{"STD","Half-PPR","PPR"},0),AI51,AJ51,AK51)</f>
        <v>128.83799999999999</v>
      </c>
      <c r="AM51" s="13">
        <f>COUNTIFS('Draft Board'!$AN$2:$AN$192,"&gt;="&amp;AN51,'Draft Board'!$AR$2:$AR$192,1)</f>
        <v>14</v>
      </c>
      <c r="AN51" s="13">
        <f>MAX(0,AL51-'Live Calc'!$H$21)^'Live Calc'!$E$21</f>
        <v>126.36748129391509</v>
      </c>
      <c r="AO51" s="13">
        <v>51</v>
      </c>
      <c r="AP51" s="13">
        <f>IF(AO51&lt;&gt;_xlfn.MINIFS('Draft Board'!$AO$2:$AO$192,'Draft Board'!$AN$2:$AN$192,"="&amp;AN51),0,IF(_xlfn.MINIFS('Draft Board'!$AN$2:$AN$192,'Draft Board'!$AN$2:$AN$192,"&gt;"&amp;AN51)=0,1,IF((_xlfn.MINIFS('Draft Board'!$AN$2:$AN$192,'Draft Board'!$AN$2:$AN$192,"&gt;"&amp;AN51)-AN51)/_xlfn.MINIFS('Draft Board'!$AN$2:$AN$192,'Draft Board'!$AN$2:$AN$192,"&gt;"&amp;AN51)&gt;0.08,1,0)))</f>
        <v>1</v>
      </c>
      <c r="AQ51" s="13">
        <f>_xlfn.MINIFS('Draft Board'!$AN$2:$AN$192,'Draft Board'!$AN$2:$AN$192,"&gt;="&amp;AN51,'Draft Board'!$AP$2:$AP$192,1)</f>
        <v>126.36748129391509</v>
      </c>
      <c r="AR51" s="13">
        <f>IF(AO51&lt;&gt;_xlfn.MINIFS('Draft Board'!$AO$2:$AO$192,'Draft Board'!$AN$2:$AN$192,"="&amp;AN51),0,IF(OR(AP51=1,IFERROR(FLOOR((AQ51-AN51)/AQ51/0.25,1),0)&lt;&gt;IFERROR(FLOOR((AQ51-_xlfn.MINIFS('Draft Board'!$AN$2:$AN$192,'Draft Board'!$AN$2:$AN$192,"&gt;"&amp;AN51))/AQ51/0.25,1),0)),1,0))</f>
        <v>1</v>
      </c>
      <c r="AS51" s="13">
        <f>ROUND(1+AN51*'Live Calc'!$D$28,0)</f>
        <v>4</v>
      </c>
      <c r="AT51" s="13"/>
      <c r="AU51" s="13">
        <f>IF(AT51&lt;&gt;"",AT51,ROUND(AS51*INDEX('Live Calc'!$G$260:$G$450,MATCH(AM51,'Live Calc'!$A$260:$A$450,0))*'Live Calc'!$J$543,0))</f>
        <v>4</v>
      </c>
      <c r="AW51" s="14" t="s">
        <v>292</v>
      </c>
      <c r="AX51" s="14" t="s">
        <v>79</v>
      </c>
      <c r="AY51" s="14">
        <v>30.364000000000001</v>
      </c>
      <c r="AZ51" s="14">
        <v>40.798000000000002</v>
      </c>
      <c r="BA51" s="14">
        <v>51.515999999999998</v>
      </c>
      <c r="BB51" s="14">
        <f>CHOOSE(MATCH(Setup!$B$7,{"STD","Half-PPR","PPR"},0),AY51,AZ51,BA51)</f>
        <v>40.798000000000002</v>
      </c>
      <c r="BC51" s="14">
        <f>COUNTIFS('Draft Board'!$BD$2:$BD$87,"&gt;="&amp;BD51,'Draft Board'!$BH$2:$BH$87,1)</f>
        <v>18</v>
      </c>
      <c r="BD51" s="14">
        <f>MAX(0,BB51-'Live Calc'!$H$22)^'Live Calc'!$E$22</f>
        <v>0</v>
      </c>
      <c r="BE51" s="14">
        <v>51</v>
      </c>
      <c r="BF51" s="14">
        <f>IF(BE51&lt;&gt;_xlfn.MINIFS('Draft Board'!$BE$2:$BE$87,'Draft Board'!$BD$2:$BD$87,"="&amp;BD51),0,IF(_xlfn.MINIFS('Draft Board'!$BD$2:$BD$87,'Draft Board'!$BD$2:$BD$87,"&gt;"&amp;BD51)=0,1,IF((_xlfn.MINIFS('Draft Board'!$BD$2:$BD$87,'Draft Board'!$BD$2:$BD$87,"&gt;"&amp;BD51)-BD51)/_xlfn.MINIFS('Draft Board'!$BD$2:$BD$87,'Draft Board'!$BD$2:$BD$87,"&gt;"&amp;BD51)&gt;0.08,1,0)))</f>
        <v>0</v>
      </c>
      <c r="BG51" s="14">
        <f>_xlfn.MINIFS('Draft Board'!$BD$2:$BD$87,'Draft Board'!$BD$2:$BD$87,"&gt;="&amp;BD51,'Draft Board'!$BF$2:$BF$87,1)</f>
        <v>0</v>
      </c>
      <c r="BH51" s="14">
        <f>IF(BE51&lt;&gt;_xlfn.MINIFS('Draft Board'!$BE$2:$BE$87,'Draft Board'!$BD$2:$BD$87,"="&amp;BD51),0,IF(OR(BF51=1,IFERROR(FLOOR((BG51-BD51)/BG51/0.25,1),0)&lt;&gt;IFERROR(FLOOR((BG51-_xlfn.MINIFS('Draft Board'!$BD$2:$BD$87,'Draft Board'!$BD$2:$BD$87,"&gt;"&amp;BD51))/BG51/0.25,1),0)),1,0))</f>
        <v>0</v>
      </c>
      <c r="BI51" s="14">
        <f>ROUND(1+BD51*'Live Calc'!$D$29,0)</f>
        <v>1</v>
      </c>
      <c r="BJ51" s="14"/>
      <c r="BK51" s="14">
        <f>IF(BJ51&lt;&gt;"",BJ51,ROUND(BI51*INDEX('Live Calc'!$G$454:$G$539,MATCH(BC51,'Live Calc'!$A$454:$A$539,0))*'Live Calc'!$J$543,0))</f>
        <v>1</v>
      </c>
    </row>
    <row r="52" spans="1:63" x14ac:dyDescent="0.25">
      <c r="A52" s="11" t="s">
        <v>293</v>
      </c>
      <c r="B52" s="11" t="s">
        <v>83</v>
      </c>
      <c r="C52" s="11">
        <v>14.69</v>
      </c>
      <c r="D52" s="11">
        <v>14.69</v>
      </c>
      <c r="E52" s="11">
        <v>14.69</v>
      </c>
      <c r="F52" s="11">
        <f>CHOOSE(MATCH(Setup!$B$7,{"STD","Half-PPR","PPR"},0),C52,D52,E52)</f>
        <v>14.69</v>
      </c>
      <c r="G52" s="11">
        <f>COUNTIFS('Draft Board'!$H$2:$H$61,"&gt;="&amp;H52,'Draft Board'!$L$2:$L$61,1)</f>
        <v>11</v>
      </c>
      <c r="H52" s="11">
        <f>MAX(0,F52-'Live Calc'!$H$19)^'Live Calc'!$E$19</f>
        <v>0</v>
      </c>
      <c r="I52" s="11">
        <v>52</v>
      </c>
      <c r="J52" s="11">
        <f>IF(I52&lt;&gt;_xlfn.MINIFS('Draft Board'!$I$2:$I$61,'Draft Board'!$H$2:$H$61,"="&amp;H52),0,IF(_xlfn.MINIFS('Draft Board'!$H$2:$H$61,'Draft Board'!$H$2:$H$61,"&gt;"&amp;H52)=0,1,IF((_xlfn.MINIFS('Draft Board'!$H$2:$H$61,'Draft Board'!$H$2:$H$61,"&gt;"&amp;H52)-H52)/_xlfn.MINIFS('Draft Board'!$H$2:$H$61,'Draft Board'!$H$2:$H$61,"&gt;"&amp;H52)&gt;0.08,1,0)))</f>
        <v>0</v>
      </c>
      <c r="K52" s="11">
        <f>_xlfn.MINIFS('Draft Board'!$H$2:$H$61,'Draft Board'!$H$2:$H$61,"&gt;="&amp;H52,'Draft Board'!$J$2:$J$61,1)</f>
        <v>0</v>
      </c>
      <c r="L52" s="11">
        <f>IF(I52&lt;&gt;_xlfn.MINIFS('Draft Board'!$I$2:$I$61,'Draft Board'!$H$2:$H$61,"="&amp;H52),0,IF(OR(J52=1,IFERROR(FLOOR((K52-H52)/K52/0.25,1),0)&lt;&gt;IFERROR(FLOOR((K52-_xlfn.MINIFS('Draft Board'!$H$2:$H$61,'Draft Board'!$H$2:$H$61,"&gt;"&amp;H52))/K52/0.25,1),0)),1,0))</f>
        <v>0</v>
      </c>
      <c r="M52" s="11">
        <f>ROUND(1+H52*'Live Calc'!$D$26,0)</f>
        <v>1</v>
      </c>
      <c r="N52" s="11"/>
      <c r="O52" s="11">
        <f>IF(N52&lt;&gt;"",N52,ROUND(M52*INDEX('Live Calc'!$G$33:$G$92,MATCH(G52,'Live Calc'!$A$33:$A$92,0))*'Live Calc'!$J$543,0))</f>
        <v>1</v>
      </c>
      <c r="Q52" s="12" t="s">
        <v>294</v>
      </c>
      <c r="R52" s="12" t="s">
        <v>101</v>
      </c>
      <c r="S52" s="12">
        <v>68.811999999999998</v>
      </c>
      <c r="T52" s="12">
        <v>85.162000000000006</v>
      </c>
      <c r="U52" s="12">
        <v>103.822</v>
      </c>
      <c r="V52" s="12">
        <f>CHOOSE(MATCH(Setup!$B$7,{"STD","Half-PPR","PPR"},0),S52,T52,U52)</f>
        <v>85.162000000000006</v>
      </c>
      <c r="W52" s="12">
        <f>COUNTIFS('Draft Board'!$X$2:$X$162,"&gt;="&amp;X52,'Draft Board'!$AB$2:$AB$162,1)</f>
        <v>19</v>
      </c>
      <c r="X52" s="12">
        <f>MAX(0,V52-'Live Calc'!$H$20)^'Live Calc'!$E$20</f>
        <v>0</v>
      </c>
      <c r="Y52" s="12">
        <v>52</v>
      </c>
      <c r="Z52" s="12">
        <f>IF(Y52&lt;&gt;_xlfn.MINIFS('Draft Board'!$Y$2:$Y$162,'Draft Board'!$X$2:$X$162,"="&amp;X52),0,IF(_xlfn.MINIFS('Draft Board'!$X$2:$X$162,'Draft Board'!$X$2:$X$162,"&gt;"&amp;X52)=0,1,IF((_xlfn.MINIFS('Draft Board'!$X$2:$X$162,'Draft Board'!$X$2:$X$162,"&gt;"&amp;X52)-X52)/_xlfn.MINIFS('Draft Board'!$X$2:$X$162,'Draft Board'!$X$2:$X$162,"&gt;"&amp;X52)&gt;0.08,1,0)))</f>
        <v>0</v>
      </c>
      <c r="AA52" s="12">
        <f>_xlfn.MINIFS('Draft Board'!$X$2:$X$162,'Draft Board'!$X$2:$X$162,"&gt;="&amp;X52,'Draft Board'!$Z$2:$Z$162,1)</f>
        <v>0</v>
      </c>
      <c r="AB52" s="12">
        <f>IF(Y52&lt;&gt;_xlfn.MINIFS('Draft Board'!$Y$2:$Y$162,'Draft Board'!$X$2:$X$162,"="&amp;X52),0,IF(OR(Z52=1,IFERROR(FLOOR((AA52-X52)/AA52/0.25,1),0)&lt;&gt;IFERROR(FLOOR((AA52-_xlfn.MINIFS('Draft Board'!$X$2:$X$162,'Draft Board'!$X$2:$X$162,"&gt;"&amp;X52))/AA52/0.25,1),0)),1,0))</f>
        <v>0</v>
      </c>
      <c r="AC52" s="12">
        <f>ROUND(1+X52*'Live Calc'!$D$27,0)</f>
        <v>1</v>
      </c>
      <c r="AD52" s="12"/>
      <c r="AE52" s="12">
        <f>IF(AD52&lt;&gt;"",AD52,ROUND(AC52*INDEX('Live Calc'!$G$96:$G$256,MATCH(W52,'Live Calc'!$A$96:$A$256,0))*'Live Calc'!$J$543,0))</f>
        <v>1</v>
      </c>
      <c r="AG52" s="13" t="s">
        <v>295</v>
      </c>
      <c r="AH52" s="13" t="s">
        <v>77</v>
      </c>
      <c r="AI52" s="13">
        <v>100.672</v>
      </c>
      <c r="AJ52" s="13">
        <v>128.304</v>
      </c>
      <c r="AK52" s="13">
        <v>157.39599999999999</v>
      </c>
      <c r="AL52" s="13">
        <f>CHOOSE(MATCH(Setup!$B$7,{"STD","Half-PPR","PPR"},0),AI52,AJ52,AK52)</f>
        <v>128.304</v>
      </c>
      <c r="AM52" s="13">
        <f>COUNTIFS('Draft Board'!$AN$2:$AN$192,"&gt;="&amp;AN52,'Draft Board'!$AR$2:$AR$192,1)</f>
        <v>14</v>
      </c>
      <c r="AN52" s="13">
        <f>MAX(0,AL52-'Live Calc'!$H$21)^'Live Calc'!$E$21</f>
        <v>122.36931472306279</v>
      </c>
      <c r="AO52" s="13">
        <v>52</v>
      </c>
      <c r="AP52" s="13">
        <f>IF(AO52&lt;&gt;_xlfn.MINIFS('Draft Board'!$AO$2:$AO$192,'Draft Board'!$AN$2:$AN$192,"="&amp;AN52),0,IF(_xlfn.MINIFS('Draft Board'!$AN$2:$AN$192,'Draft Board'!$AN$2:$AN$192,"&gt;"&amp;AN52)=0,1,IF((_xlfn.MINIFS('Draft Board'!$AN$2:$AN$192,'Draft Board'!$AN$2:$AN$192,"&gt;"&amp;AN52)-AN52)/_xlfn.MINIFS('Draft Board'!$AN$2:$AN$192,'Draft Board'!$AN$2:$AN$192,"&gt;"&amp;AN52)&gt;0.08,1,0)))</f>
        <v>0</v>
      </c>
      <c r="AQ52" s="13">
        <f>_xlfn.MINIFS('Draft Board'!$AN$2:$AN$192,'Draft Board'!$AN$2:$AN$192,"&gt;="&amp;AN52,'Draft Board'!$AP$2:$AP$192,1)</f>
        <v>126.36748129391509</v>
      </c>
      <c r="AR52" s="13">
        <f>IF(AO52&lt;&gt;_xlfn.MINIFS('Draft Board'!$AO$2:$AO$192,'Draft Board'!$AN$2:$AN$192,"="&amp;AN52),0,IF(OR(AP52=1,IFERROR(FLOOR((AQ52-AN52)/AQ52/0.25,1),0)&lt;&gt;IFERROR(FLOOR((AQ52-_xlfn.MINIFS('Draft Board'!$AN$2:$AN$192,'Draft Board'!$AN$2:$AN$192,"&gt;"&amp;AN52))/AQ52/0.25,1),0)),1,0))</f>
        <v>0</v>
      </c>
      <c r="AS52" s="13">
        <f>ROUND(1+AN52*'Live Calc'!$D$28,0)</f>
        <v>4</v>
      </c>
      <c r="AT52" s="13"/>
      <c r="AU52" s="13">
        <f>IF(AT52&lt;&gt;"",AT52,ROUND(AS52*INDEX('Live Calc'!$G$260:$G$450,MATCH(AM52,'Live Calc'!$A$260:$A$450,0))*'Live Calc'!$J$543,0))</f>
        <v>4</v>
      </c>
      <c r="AW52" s="14" t="s">
        <v>296</v>
      </c>
      <c r="AX52" s="14" t="s">
        <v>105</v>
      </c>
      <c r="AY52" s="14">
        <v>31.66</v>
      </c>
      <c r="AZ52" s="14">
        <v>40.69</v>
      </c>
      <c r="BA52" s="14">
        <v>49.71</v>
      </c>
      <c r="BB52" s="14">
        <f>CHOOSE(MATCH(Setup!$B$7,{"STD","Half-PPR","PPR"},0),AY52,AZ52,BA52)</f>
        <v>40.69</v>
      </c>
      <c r="BC52" s="14">
        <f>COUNTIFS('Draft Board'!$BD$2:$BD$87,"&gt;="&amp;BD52,'Draft Board'!$BH$2:$BH$87,1)</f>
        <v>18</v>
      </c>
      <c r="BD52" s="14">
        <f>MAX(0,BB52-'Live Calc'!$H$22)^'Live Calc'!$E$22</f>
        <v>0</v>
      </c>
      <c r="BE52" s="14">
        <v>52</v>
      </c>
      <c r="BF52" s="14">
        <f>IF(BE52&lt;&gt;_xlfn.MINIFS('Draft Board'!$BE$2:$BE$87,'Draft Board'!$BD$2:$BD$87,"="&amp;BD52),0,IF(_xlfn.MINIFS('Draft Board'!$BD$2:$BD$87,'Draft Board'!$BD$2:$BD$87,"&gt;"&amp;BD52)=0,1,IF((_xlfn.MINIFS('Draft Board'!$BD$2:$BD$87,'Draft Board'!$BD$2:$BD$87,"&gt;"&amp;BD52)-BD52)/_xlfn.MINIFS('Draft Board'!$BD$2:$BD$87,'Draft Board'!$BD$2:$BD$87,"&gt;"&amp;BD52)&gt;0.08,1,0)))</f>
        <v>0</v>
      </c>
      <c r="BG52" s="14">
        <f>_xlfn.MINIFS('Draft Board'!$BD$2:$BD$87,'Draft Board'!$BD$2:$BD$87,"&gt;="&amp;BD52,'Draft Board'!$BF$2:$BF$87,1)</f>
        <v>0</v>
      </c>
      <c r="BH52" s="14">
        <f>IF(BE52&lt;&gt;_xlfn.MINIFS('Draft Board'!$BE$2:$BE$87,'Draft Board'!$BD$2:$BD$87,"="&amp;BD52),0,IF(OR(BF52=1,IFERROR(FLOOR((BG52-BD52)/BG52/0.25,1),0)&lt;&gt;IFERROR(FLOOR((BG52-_xlfn.MINIFS('Draft Board'!$BD$2:$BD$87,'Draft Board'!$BD$2:$BD$87,"&gt;"&amp;BD52))/BG52/0.25,1),0)),1,0))</f>
        <v>0</v>
      </c>
      <c r="BI52" s="14">
        <f>ROUND(1+BD52*'Live Calc'!$D$29,0)</f>
        <v>1</v>
      </c>
      <c r="BJ52" s="14"/>
      <c r="BK52" s="14">
        <f>IF(BJ52&lt;&gt;"",BJ52,ROUND(BI52*INDEX('Live Calc'!$G$454:$G$539,MATCH(BC52,'Live Calc'!$A$454:$A$539,0))*'Live Calc'!$J$543,0))</f>
        <v>1</v>
      </c>
    </row>
    <row r="53" spans="1:63" x14ac:dyDescent="0.25">
      <c r="A53" s="11" t="s">
        <v>297</v>
      </c>
      <c r="B53" s="11" t="s">
        <v>94</v>
      </c>
      <c r="C53" s="11">
        <v>14.59</v>
      </c>
      <c r="D53" s="11">
        <v>14.59</v>
      </c>
      <c r="E53" s="11">
        <v>14.59</v>
      </c>
      <c r="F53" s="11">
        <f>CHOOSE(MATCH(Setup!$B$7,{"STD","Half-PPR","PPR"},0),C53,D53,E53)</f>
        <v>14.59</v>
      </c>
      <c r="G53" s="11">
        <f>COUNTIFS('Draft Board'!$H$2:$H$61,"&gt;="&amp;H53,'Draft Board'!$L$2:$L$61,1)</f>
        <v>11</v>
      </c>
      <c r="H53" s="11">
        <f>MAX(0,F53-'Live Calc'!$H$19)^'Live Calc'!$E$19</f>
        <v>0</v>
      </c>
      <c r="I53" s="11">
        <v>53</v>
      </c>
      <c r="J53" s="11">
        <f>IF(I53&lt;&gt;_xlfn.MINIFS('Draft Board'!$I$2:$I$61,'Draft Board'!$H$2:$H$61,"="&amp;H53),0,IF(_xlfn.MINIFS('Draft Board'!$H$2:$H$61,'Draft Board'!$H$2:$H$61,"&gt;"&amp;H53)=0,1,IF((_xlfn.MINIFS('Draft Board'!$H$2:$H$61,'Draft Board'!$H$2:$H$61,"&gt;"&amp;H53)-H53)/_xlfn.MINIFS('Draft Board'!$H$2:$H$61,'Draft Board'!$H$2:$H$61,"&gt;"&amp;H53)&gt;0.08,1,0)))</f>
        <v>0</v>
      </c>
      <c r="K53" s="11">
        <f>_xlfn.MINIFS('Draft Board'!$H$2:$H$61,'Draft Board'!$H$2:$H$61,"&gt;="&amp;H53,'Draft Board'!$J$2:$J$61,1)</f>
        <v>0</v>
      </c>
      <c r="L53" s="11">
        <f>IF(I53&lt;&gt;_xlfn.MINIFS('Draft Board'!$I$2:$I$61,'Draft Board'!$H$2:$H$61,"="&amp;H53),0,IF(OR(J53=1,IFERROR(FLOOR((K53-H53)/K53/0.25,1),0)&lt;&gt;IFERROR(FLOOR((K53-_xlfn.MINIFS('Draft Board'!$H$2:$H$61,'Draft Board'!$H$2:$H$61,"&gt;"&amp;H53))/K53/0.25,1),0)),1,0))</f>
        <v>0</v>
      </c>
      <c r="M53" s="11">
        <f>ROUND(1+H53*'Live Calc'!$D$26,0)</f>
        <v>1</v>
      </c>
      <c r="N53" s="11"/>
      <c r="O53" s="11">
        <f>IF(N53&lt;&gt;"",N53,ROUND(M53*INDEX('Live Calc'!$G$33:$G$92,MATCH(G53,'Live Calc'!$A$33:$A$92,0))*'Live Calc'!$J$543,0))</f>
        <v>1</v>
      </c>
      <c r="Q53" s="12" t="s">
        <v>298</v>
      </c>
      <c r="R53" s="12" t="s">
        <v>71</v>
      </c>
      <c r="S53" s="12">
        <v>78.751999999999995</v>
      </c>
      <c r="T53" s="12">
        <v>81.195999999999998</v>
      </c>
      <c r="U53" s="12">
        <v>86.742000000000004</v>
      </c>
      <c r="V53" s="12">
        <f>CHOOSE(MATCH(Setup!$B$7,{"STD","Half-PPR","PPR"},0),S53,T53,U53)</f>
        <v>81.195999999999998</v>
      </c>
      <c r="W53" s="12">
        <f>COUNTIFS('Draft Board'!$X$2:$X$162,"&gt;="&amp;X53,'Draft Board'!$AB$2:$AB$162,1)</f>
        <v>19</v>
      </c>
      <c r="X53" s="12">
        <f>MAX(0,V53-'Live Calc'!$H$20)^'Live Calc'!$E$20</f>
        <v>0</v>
      </c>
      <c r="Y53" s="12">
        <v>53</v>
      </c>
      <c r="Z53" s="12">
        <f>IF(Y53&lt;&gt;_xlfn.MINIFS('Draft Board'!$Y$2:$Y$162,'Draft Board'!$X$2:$X$162,"="&amp;X53),0,IF(_xlfn.MINIFS('Draft Board'!$X$2:$X$162,'Draft Board'!$X$2:$X$162,"&gt;"&amp;X53)=0,1,IF((_xlfn.MINIFS('Draft Board'!$X$2:$X$162,'Draft Board'!$X$2:$X$162,"&gt;"&amp;X53)-X53)/_xlfn.MINIFS('Draft Board'!$X$2:$X$162,'Draft Board'!$X$2:$X$162,"&gt;"&amp;X53)&gt;0.08,1,0)))</f>
        <v>0</v>
      </c>
      <c r="AA53" s="12">
        <f>_xlfn.MINIFS('Draft Board'!$X$2:$X$162,'Draft Board'!$X$2:$X$162,"&gt;="&amp;X53,'Draft Board'!$Z$2:$Z$162,1)</f>
        <v>0</v>
      </c>
      <c r="AB53" s="12">
        <f>IF(Y53&lt;&gt;_xlfn.MINIFS('Draft Board'!$Y$2:$Y$162,'Draft Board'!$X$2:$X$162,"="&amp;X53),0,IF(OR(Z53=1,IFERROR(FLOOR((AA53-X53)/AA53/0.25,1),0)&lt;&gt;IFERROR(FLOOR((AA53-_xlfn.MINIFS('Draft Board'!$X$2:$X$162,'Draft Board'!$X$2:$X$162,"&gt;"&amp;X53))/AA53/0.25,1),0)),1,0))</f>
        <v>0</v>
      </c>
      <c r="AC53" s="12">
        <f>ROUND(1+X53*'Live Calc'!$D$27,0)</f>
        <v>1</v>
      </c>
      <c r="AD53" s="12"/>
      <c r="AE53" s="12">
        <f>IF(AD53&lt;&gt;"",AD53,ROUND(AC53*INDEX('Live Calc'!$G$96:$G$256,MATCH(W53,'Live Calc'!$A$96:$A$256,0))*'Live Calc'!$J$543,0))</f>
        <v>1</v>
      </c>
      <c r="AG53" s="13" t="s">
        <v>299</v>
      </c>
      <c r="AH53" s="13" t="s">
        <v>61</v>
      </c>
      <c r="AI53" s="13">
        <v>88.39</v>
      </c>
      <c r="AJ53" s="13">
        <v>122.69199999999999</v>
      </c>
      <c r="AK53" s="13">
        <v>152.506</v>
      </c>
      <c r="AL53" s="13">
        <f>CHOOSE(MATCH(Setup!$B$7,{"STD","Half-PPR","PPR"},0),AI53,AJ53,AK53)</f>
        <v>122.69199999999999</v>
      </c>
      <c r="AM53" s="13">
        <f>COUNTIFS('Draft Board'!$AN$2:$AN$192,"&gt;="&amp;AN53,'Draft Board'!$AR$2:$AR$192,1)</f>
        <v>15</v>
      </c>
      <c r="AN53" s="13">
        <f>MAX(0,AL53-'Live Calc'!$H$21)^'Live Calc'!$E$21</f>
        <v>83.054571931086272</v>
      </c>
      <c r="AO53" s="13">
        <v>53</v>
      </c>
      <c r="AP53" s="13">
        <f>IF(AO53&lt;&gt;_xlfn.MINIFS('Draft Board'!$AO$2:$AO$192,'Draft Board'!$AN$2:$AN$192,"="&amp;AN53),0,IF(_xlfn.MINIFS('Draft Board'!$AN$2:$AN$192,'Draft Board'!$AN$2:$AN$192,"&gt;"&amp;AN53)=0,1,IF((_xlfn.MINIFS('Draft Board'!$AN$2:$AN$192,'Draft Board'!$AN$2:$AN$192,"&gt;"&amp;AN53)-AN53)/_xlfn.MINIFS('Draft Board'!$AN$2:$AN$192,'Draft Board'!$AN$2:$AN$192,"&gt;"&amp;AN53)&gt;0.08,1,0)))</f>
        <v>1</v>
      </c>
      <c r="AQ53" s="13">
        <f>_xlfn.MINIFS('Draft Board'!$AN$2:$AN$192,'Draft Board'!$AN$2:$AN$192,"&gt;="&amp;AN53,'Draft Board'!$AP$2:$AP$192,1)</f>
        <v>83.054571931086272</v>
      </c>
      <c r="AR53" s="13">
        <f>IF(AO53&lt;&gt;_xlfn.MINIFS('Draft Board'!$AO$2:$AO$192,'Draft Board'!$AN$2:$AN$192,"="&amp;AN53),0,IF(OR(AP53=1,IFERROR(FLOOR((AQ53-AN53)/AQ53/0.25,1),0)&lt;&gt;IFERROR(FLOOR((AQ53-_xlfn.MINIFS('Draft Board'!$AN$2:$AN$192,'Draft Board'!$AN$2:$AN$192,"&gt;"&amp;AN53))/AQ53/0.25,1),0)),1,0))</f>
        <v>1</v>
      </c>
      <c r="AS53" s="13">
        <f>ROUND(1+AN53*'Live Calc'!$D$28,0)</f>
        <v>3</v>
      </c>
      <c r="AT53" s="13"/>
      <c r="AU53" s="13">
        <f>IF(AT53&lt;&gt;"",AT53,ROUND(AS53*INDEX('Live Calc'!$G$260:$G$450,MATCH(AM53,'Live Calc'!$A$260:$A$450,0))*'Live Calc'!$J$543,0))</f>
        <v>3</v>
      </c>
      <c r="AW53" s="14" t="s">
        <v>300</v>
      </c>
      <c r="AX53" s="14" t="s">
        <v>71</v>
      </c>
      <c r="AY53" s="14">
        <v>29.158000000000001</v>
      </c>
      <c r="AZ53" s="14">
        <v>38.932000000000002</v>
      </c>
      <c r="BA53" s="14">
        <v>48.71</v>
      </c>
      <c r="BB53" s="14">
        <f>CHOOSE(MATCH(Setup!$B$7,{"STD","Half-PPR","PPR"},0),AY53,AZ53,BA53)</f>
        <v>38.932000000000002</v>
      </c>
      <c r="BC53" s="14">
        <f>COUNTIFS('Draft Board'!$BD$2:$BD$87,"&gt;="&amp;BD53,'Draft Board'!$BH$2:$BH$87,1)</f>
        <v>18</v>
      </c>
      <c r="BD53" s="14">
        <f>MAX(0,BB53-'Live Calc'!$H$22)^'Live Calc'!$E$22</f>
        <v>0</v>
      </c>
      <c r="BE53" s="14">
        <v>53</v>
      </c>
      <c r="BF53" s="14">
        <f>IF(BE53&lt;&gt;_xlfn.MINIFS('Draft Board'!$BE$2:$BE$87,'Draft Board'!$BD$2:$BD$87,"="&amp;BD53),0,IF(_xlfn.MINIFS('Draft Board'!$BD$2:$BD$87,'Draft Board'!$BD$2:$BD$87,"&gt;"&amp;BD53)=0,1,IF((_xlfn.MINIFS('Draft Board'!$BD$2:$BD$87,'Draft Board'!$BD$2:$BD$87,"&gt;"&amp;BD53)-BD53)/_xlfn.MINIFS('Draft Board'!$BD$2:$BD$87,'Draft Board'!$BD$2:$BD$87,"&gt;"&amp;BD53)&gt;0.08,1,0)))</f>
        <v>0</v>
      </c>
      <c r="BG53" s="14">
        <f>_xlfn.MINIFS('Draft Board'!$BD$2:$BD$87,'Draft Board'!$BD$2:$BD$87,"&gt;="&amp;BD53,'Draft Board'!$BF$2:$BF$87,1)</f>
        <v>0</v>
      </c>
      <c r="BH53" s="14">
        <f>IF(BE53&lt;&gt;_xlfn.MINIFS('Draft Board'!$BE$2:$BE$87,'Draft Board'!$BD$2:$BD$87,"="&amp;BD53),0,IF(OR(BF53=1,IFERROR(FLOOR((BG53-BD53)/BG53/0.25,1),0)&lt;&gt;IFERROR(FLOOR((BG53-_xlfn.MINIFS('Draft Board'!$BD$2:$BD$87,'Draft Board'!$BD$2:$BD$87,"&gt;"&amp;BD53))/BG53/0.25,1),0)),1,0))</f>
        <v>0</v>
      </c>
      <c r="BI53" s="14">
        <f>ROUND(1+BD53*'Live Calc'!$D$29,0)</f>
        <v>1</v>
      </c>
      <c r="BJ53" s="14"/>
      <c r="BK53" s="14">
        <f>IF(BJ53&lt;&gt;"",BJ53,ROUND(BI53*INDEX('Live Calc'!$G$454:$G$539,MATCH(BC53,'Live Calc'!$A$454:$A$539,0))*'Live Calc'!$J$543,0))</f>
        <v>1</v>
      </c>
    </row>
    <row r="54" spans="1:63" x14ac:dyDescent="0.25">
      <c r="A54" s="11" t="s">
        <v>301</v>
      </c>
      <c r="B54" s="11" t="s">
        <v>118</v>
      </c>
      <c r="C54" s="11">
        <v>14.58</v>
      </c>
      <c r="D54" s="11">
        <v>14.58</v>
      </c>
      <c r="E54" s="11">
        <v>14.58</v>
      </c>
      <c r="F54" s="11">
        <f>CHOOSE(MATCH(Setup!$B$7,{"STD","Half-PPR","PPR"},0),C54,D54,E54)</f>
        <v>14.58</v>
      </c>
      <c r="G54" s="11">
        <f>COUNTIFS('Draft Board'!$H$2:$H$61,"&gt;="&amp;H54,'Draft Board'!$L$2:$L$61,1)</f>
        <v>11</v>
      </c>
      <c r="H54" s="11">
        <f>MAX(0,F54-'Live Calc'!$H$19)^'Live Calc'!$E$19</f>
        <v>0</v>
      </c>
      <c r="I54" s="11">
        <v>54</v>
      </c>
      <c r="J54" s="11">
        <f>IF(I54&lt;&gt;_xlfn.MINIFS('Draft Board'!$I$2:$I$61,'Draft Board'!$H$2:$H$61,"="&amp;H54),0,IF(_xlfn.MINIFS('Draft Board'!$H$2:$H$61,'Draft Board'!$H$2:$H$61,"&gt;"&amp;H54)=0,1,IF((_xlfn.MINIFS('Draft Board'!$H$2:$H$61,'Draft Board'!$H$2:$H$61,"&gt;"&amp;H54)-H54)/_xlfn.MINIFS('Draft Board'!$H$2:$H$61,'Draft Board'!$H$2:$H$61,"&gt;"&amp;H54)&gt;0.08,1,0)))</f>
        <v>0</v>
      </c>
      <c r="K54" s="11">
        <f>_xlfn.MINIFS('Draft Board'!$H$2:$H$61,'Draft Board'!$H$2:$H$61,"&gt;="&amp;H54,'Draft Board'!$J$2:$J$61,1)</f>
        <v>0</v>
      </c>
      <c r="L54" s="11">
        <f>IF(I54&lt;&gt;_xlfn.MINIFS('Draft Board'!$I$2:$I$61,'Draft Board'!$H$2:$H$61,"="&amp;H54),0,IF(OR(J54=1,IFERROR(FLOOR((K54-H54)/K54/0.25,1),0)&lt;&gt;IFERROR(FLOOR((K54-_xlfn.MINIFS('Draft Board'!$H$2:$H$61,'Draft Board'!$H$2:$H$61,"&gt;"&amp;H54))/K54/0.25,1),0)),1,0))</f>
        <v>0</v>
      </c>
      <c r="M54" s="11">
        <f>ROUND(1+H54*'Live Calc'!$D$26,0)</f>
        <v>1</v>
      </c>
      <c r="N54" s="11"/>
      <c r="O54" s="11">
        <f>IF(N54&lt;&gt;"",N54,ROUND(M54*INDEX('Live Calc'!$G$33:$G$92,MATCH(G54,'Live Calc'!$A$33:$A$92,0))*'Live Calc'!$J$543,0))</f>
        <v>1</v>
      </c>
      <c r="Q54" s="12" t="s">
        <v>302</v>
      </c>
      <c r="R54" s="12" t="s">
        <v>96</v>
      </c>
      <c r="S54" s="12">
        <v>70.647999999999996</v>
      </c>
      <c r="T54" s="12">
        <v>78.918000000000006</v>
      </c>
      <c r="U54" s="12">
        <v>87.644000000000005</v>
      </c>
      <c r="V54" s="12">
        <f>CHOOSE(MATCH(Setup!$B$7,{"STD","Half-PPR","PPR"},0),S54,T54,U54)</f>
        <v>78.918000000000006</v>
      </c>
      <c r="W54" s="12">
        <f>COUNTIFS('Draft Board'!$X$2:$X$162,"&gt;="&amp;X54,'Draft Board'!$AB$2:$AB$162,1)</f>
        <v>19</v>
      </c>
      <c r="X54" s="12">
        <f>MAX(0,V54-'Live Calc'!$H$20)^'Live Calc'!$E$20</f>
        <v>0</v>
      </c>
      <c r="Y54" s="12">
        <v>54</v>
      </c>
      <c r="Z54" s="12">
        <f>IF(Y54&lt;&gt;_xlfn.MINIFS('Draft Board'!$Y$2:$Y$162,'Draft Board'!$X$2:$X$162,"="&amp;X54),0,IF(_xlfn.MINIFS('Draft Board'!$X$2:$X$162,'Draft Board'!$X$2:$X$162,"&gt;"&amp;X54)=0,1,IF((_xlfn.MINIFS('Draft Board'!$X$2:$X$162,'Draft Board'!$X$2:$X$162,"&gt;"&amp;X54)-X54)/_xlfn.MINIFS('Draft Board'!$X$2:$X$162,'Draft Board'!$X$2:$X$162,"&gt;"&amp;X54)&gt;0.08,1,0)))</f>
        <v>0</v>
      </c>
      <c r="AA54" s="12">
        <f>_xlfn.MINIFS('Draft Board'!$X$2:$X$162,'Draft Board'!$X$2:$X$162,"&gt;="&amp;X54,'Draft Board'!$Z$2:$Z$162,1)</f>
        <v>0</v>
      </c>
      <c r="AB54" s="12">
        <f>IF(Y54&lt;&gt;_xlfn.MINIFS('Draft Board'!$Y$2:$Y$162,'Draft Board'!$X$2:$X$162,"="&amp;X54),0,IF(OR(Z54=1,IFERROR(FLOOR((AA54-X54)/AA54/0.25,1),0)&lt;&gt;IFERROR(FLOOR((AA54-_xlfn.MINIFS('Draft Board'!$X$2:$X$162,'Draft Board'!$X$2:$X$162,"&gt;"&amp;X54))/AA54/0.25,1),0)),1,0))</f>
        <v>0</v>
      </c>
      <c r="AC54" s="12">
        <f>ROUND(1+X54*'Live Calc'!$D$27,0)</f>
        <v>1</v>
      </c>
      <c r="AD54" s="12"/>
      <c r="AE54" s="12">
        <f>IF(AD54&lt;&gt;"",AD54,ROUND(AC54*INDEX('Live Calc'!$G$96:$G$256,MATCH(W54,'Live Calc'!$A$96:$A$256,0))*'Live Calc'!$J$543,0))</f>
        <v>1</v>
      </c>
      <c r="AG54" s="13" t="s">
        <v>303</v>
      </c>
      <c r="AH54" s="13" t="s">
        <v>79</v>
      </c>
      <c r="AI54" s="13">
        <v>96.087999999999994</v>
      </c>
      <c r="AJ54" s="13">
        <v>121.51600000000001</v>
      </c>
      <c r="AK54" s="13">
        <v>147.636</v>
      </c>
      <c r="AL54" s="13">
        <f>CHOOSE(MATCH(Setup!$B$7,{"STD","Half-PPR","PPR"},0),AI54,AJ54,AK54)</f>
        <v>121.51600000000001</v>
      </c>
      <c r="AM54" s="13">
        <f>COUNTIFS('Draft Board'!$AN$2:$AN$192,"&gt;="&amp;AN54,'Draft Board'!$AR$2:$AR$192,1)</f>
        <v>16</v>
      </c>
      <c r="AN54" s="13">
        <f>MAX(0,AL54-'Live Calc'!$H$21)^'Live Calc'!$E$21</f>
        <v>75.478312487760377</v>
      </c>
      <c r="AO54" s="13">
        <v>54</v>
      </c>
      <c r="AP54" s="13">
        <f>IF(AO54&lt;&gt;_xlfn.MINIFS('Draft Board'!$AO$2:$AO$192,'Draft Board'!$AN$2:$AN$192,"="&amp;AN54),0,IF(_xlfn.MINIFS('Draft Board'!$AN$2:$AN$192,'Draft Board'!$AN$2:$AN$192,"&gt;"&amp;AN54)=0,1,IF((_xlfn.MINIFS('Draft Board'!$AN$2:$AN$192,'Draft Board'!$AN$2:$AN$192,"&gt;"&amp;AN54)-AN54)/_xlfn.MINIFS('Draft Board'!$AN$2:$AN$192,'Draft Board'!$AN$2:$AN$192,"&gt;"&amp;AN54)&gt;0.08,1,0)))</f>
        <v>1</v>
      </c>
      <c r="AQ54" s="13">
        <f>_xlfn.MINIFS('Draft Board'!$AN$2:$AN$192,'Draft Board'!$AN$2:$AN$192,"&gt;="&amp;AN54,'Draft Board'!$AP$2:$AP$192,1)</f>
        <v>75.478312487760377</v>
      </c>
      <c r="AR54" s="13">
        <f>IF(AO54&lt;&gt;_xlfn.MINIFS('Draft Board'!$AO$2:$AO$192,'Draft Board'!$AN$2:$AN$192,"="&amp;AN54),0,IF(OR(AP54=1,IFERROR(FLOOR((AQ54-AN54)/AQ54/0.25,1),0)&lt;&gt;IFERROR(FLOOR((AQ54-_xlfn.MINIFS('Draft Board'!$AN$2:$AN$192,'Draft Board'!$AN$2:$AN$192,"&gt;"&amp;AN54))/AQ54/0.25,1),0)),1,0))</f>
        <v>1</v>
      </c>
      <c r="AS54" s="13">
        <f>ROUND(1+AN54*'Live Calc'!$D$28,0)</f>
        <v>3</v>
      </c>
      <c r="AT54" s="13"/>
      <c r="AU54" s="13">
        <f>IF(AT54&lt;&gt;"",AT54,ROUND(AS54*INDEX('Live Calc'!$G$260:$G$450,MATCH(AM54,'Live Calc'!$A$260:$A$450,0))*'Live Calc'!$J$543,0))</f>
        <v>3</v>
      </c>
      <c r="AW54" s="14" t="s">
        <v>304</v>
      </c>
      <c r="AX54" s="14" t="s">
        <v>192</v>
      </c>
      <c r="AY54" s="14">
        <v>28.512</v>
      </c>
      <c r="AZ54" s="14">
        <v>37.954000000000001</v>
      </c>
      <c r="BA54" s="14">
        <v>47.353999999999999</v>
      </c>
      <c r="BB54" s="14">
        <f>CHOOSE(MATCH(Setup!$B$7,{"STD","Half-PPR","PPR"},0),AY54,AZ54,BA54)</f>
        <v>37.954000000000001</v>
      </c>
      <c r="BC54" s="14">
        <f>COUNTIFS('Draft Board'!$BD$2:$BD$87,"&gt;="&amp;BD54,'Draft Board'!$BH$2:$BH$87,1)</f>
        <v>18</v>
      </c>
      <c r="BD54" s="14">
        <f>MAX(0,BB54-'Live Calc'!$H$22)^'Live Calc'!$E$22</f>
        <v>0</v>
      </c>
      <c r="BE54" s="14">
        <v>54</v>
      </c>
      <c r="BF54" s="14">
        <f>IF(BE54&lt;&gt;_xlfn.MINIFS('Draft Board'!$BE$2:$BE$87,'Draft Board'!$BD$2:$BD$87,"="&amp;BD54),0,IF(_xlfn.MINIFS('Draft Board'!$BD$2:$BD$87,'Draft Board'!$BD$2:$BD$87,"&gt;"&amp;BD54)=0,1,IF((_xlfn.MINIFS('Draft Board'!$BD$2:$BD$87,'Draft Board'!$BD$2:$BD$87,"&gt;"&amp;BD54)-BD54)/_xlfn.MINIFS('Draft Board'!$BD$2:$BD$87,'Draft Board'!$BD$2:$BD$87,"&gt;"&amp;BD54)&gt;0.08,1,0)))</f>
        <v>0</v>
      </c>
      <c r="BG54" s="14">
        <f>_xlfn.MINIFS('Draft Board'!$BD$2:$BD$87,'Draft Board'!$BD$2:$BD$87,"&gt;="&amp;BD54,'Draft Board'!$BF$2:$BF$87,1)</f>
        <v>0</v>
      </c>
      <c r="BH54" s="14">
        <f>IF(BE54&lt;&gt;_xlfn.MINIFS('Draft Board'!$BE$2:$BE$87,'Draft Board'!$BD$2:$BD$87,"="&amp;BD54),0,IF(OR(BF54=1,IFERROR(FLOOR((BG54-BD54)/BG54/0.25,1),0)&lt;&gt;IFERROR(FLOOR((BG54-_xlfn.MINIFS('Draft Board'!$BD$2:$BD$87,'Draft Board'!$BD$2:$BD$87,"&gt;"&amp;BD54))/BG54/0.25,1),0)),1,0))</f>
        <v>0</v>
      </c>
      <c r="BI54" s="14">
        <f>ROUND(1+BD54*'Live Calc'!$D$29,0)</f>
        <v>1</v>
      </c>
      <c r="BJ54" s="14"/>
      <c r="BK54" s="14">
        <f>IF(BJ54&lt;&gt;"",BJ54,ROUND(BI54*INDEX('Live Calc'!$G$454:$G$539,MATCH(BC54,'Live Calc'!$A$454:$A$539,0))*'Live Calc'!$J$543,0))</f>
        <v>1</v>
      </c>
    </row>
    <row r="55" spans="1:63" x14ac:dyDescent="0.25">
      <c r="A55" s="11" t="s">
        <v>305</v>
      </c>
      <c r="B55" s="11" t="s">
        <v>69</v>
      </c>
      <c r="C55" s="11">
        <v>14.2</v>
      </c>
      <c r="D55" s="11">
        <v>14.2</v>
      </c>
      <c r="E55" s="11">
        <v>14.2</v>
      </c>
      <c r="F55" s="11">
        <f>CHOOSE(MATCH(Setup!$B$7,{"STD","Half-PPR","PPR"},0),C55,D55,E55)</f>
        <v>14.2</v>
      </c>
      <c r="G55" s="11">
        <f>COUNTIFS('Draft Board'!$H$2:$H$61,"&gt;="&amp;H55,'Draft Board'!$L$2:$L$61,1)</f>
        <v>11</v>
      </c>
      <c r="H55" s="11">
        <f>MAX(0,F55-'Live Calc'!$H$19)^'Live Calc'!$E$19</f>
        <v>0</v>
      </c>
      <c r="I55" s="11">
        <v>55</v>
      </c>
      <c r="J55" s="11">
        <f>IF(I55&lt;&gt;_xlfn.MINIFS('Draft Board'!$I$2:$I$61,'Draft Board'!$H$2:$H$61,"="&amp;H55),0,IF(_xlfn.MINIFS('Draft Board'!$H$2:$H$61,'Draft Board'!$H$2:$H$61,"&gt;"&amp;H55)=0,1,IF((_xlfn.MINIFS('Draft Board'!$H$2:$H$61,'Draft Board'!$H$2:$H$61,"&gt;"&amp;H55)-H55)/_xlfn.MINIFS('Draft Board'!$H$2:$H$61,'Draft Board'!$H$2:$H$61,"&gt;"&amp;H55)&gt;0.08,1,0)))</f>
        <v>0</v>
      </c>
      <c r="K55" s="11">
        <f>_xlfn.MINIFS('Draft Board'!$H$2:$H$61,'Draft Board'!$H$2:$H$61,"&gt;="&amp;H55,'Draft Board'!$J$2:$J$61,1)</f>
        <v>0</v>
      </c>
      <c r="L55" s="11">
        <f>IF(I55&lt;&gt;_xlfn.MINIFS('Draft Board'!$I$2:$I$61,'Draft Board'!$H$2:$H$61,"="&amp;H55),0,IF(OR(J55=1,IFERROR(FLOOR((K55-H55)/K55/0.25,1),0)&lt;&gt;IFERROR(FLOOR((K55-_xlfn.MINIFS('Draft Board'!$H$2:$H$61,'Draft Board'!$H$2:$H$61,"&gt;"&amp;H55))/K55/0.25,1),0)),1,0))</f>
        <v>0</v>
      </c>
      <c r="M55" s="11">
        <f>ROUND(1+H55*'Live Calc'!$D$26,0)</f>
        <v>1</v>
      </c>
      <c r="N55" s="11"/>
      <c r="O55" s="11">
        <f>IF(N55&lt;&gt;"",N55,ROUND(M55*INDEX('Live Calc'!$G$33:$G$92,MATCH(G55,'Live Calc'!$A$33:$A$92,0))*'Live Calc'!$J$543,0))</f>
        <v>1</v>
      </c>
      <c r="Q55" s="12" t="s">
        <v>306</v>
      </c>
      <c r="R55" s="12" t="s">
        <v>91</v>
      </c>
      <c r="S55" s="12">
        <v>70.841999999999999</v>
      </c>
      <c r="T55" s="12">
        <v>77.093999999999994</v>
      </c>
      <c r="U55" s="12">
        <v>80.512</v>
      </c>
      <c r="V55" s="12">
        <f>CHOOSE(MATCH(Setup!$B$7,{"STD","Half-PPR","PPR"},0),S55,T55,U55)</f>
        <v>77.093999999999994</v>
      </c>
      <c r="W55" s="12">
        <f>COUNTIFS('Draft Board'!$X$2:$X$162,"&gt;="&amp;X55,'Draft Board'!$AB$2:$AB$162,1)</f>
        <v>19</v>
      </c>
      <c r="X55" s="12">
        <f>MAX(0,V55-'Live Calc'!$H$20)^'Live Calc'!$E$20</f>
        <v>0</v>
      </c>
      <c r="Y55" s="12">
        <v>55</v>
      </c>
      <c r="Z55" s="12">
        <f>IF(Y55&lt;&gt;_xlfn.MINIFS('Draft Board'!$Y$2:$Y$162,'Draft Board'!$X$2:$X$162,"="&amp;X55),0,IF(_xlfn.MINIFS('Draft Board'!$X$2:$X$162,'Draft Board'!$X$2:$X$162,"&gt;"&amp;X55)=0,1,IF((_xlfn.MINIFS('Draft Board'!$X$2:$X$162,'Draft Board'!$X$2:$X$162,"&gt;"&amp;X55)-X55)/_xlfn.MINIFS('Draft Board'!$X$2:$X$162,'Draft Board'!$X$2:$X$162,"&gt;"&amp;X55)&gt;0.08,1,0)))</f>
        <v>0</v>
      </c>
      <c r="AA55" s="12">
        <f>_xlfn.MINIFS('Draft Board'!$X$2:$X$162,'Draft Board'!$X$2:$X$162,"&gt;="&amp;X55,'Draft Board'!$Z$2:$Z$162,1)</f>
        <v>0</v>
      </c>
      <c r="AB55" s="12">
        <f>IF(Y55&lt;&gt;_xlfn.MINIFS('Draft Board'!$Y$2:$Y$162,'Draft Board'!$X$2:$X$162,"="&amp;X55),0,IF(OR(Z55=1,IFERROR(FLOOR((AA55-X55)/AA55/0.25,1),0)&lt;&gt;IFERROR(FLOOR((AA55-_xlfn.MINIFS('Draft Board'!$X$2:$X$162,'Draft Board'!$X$2:$X$162,"&gt;"&amp;X55))/AA55/0.25,1),0)),1,0))</f>
        <v>0</v>
      </c>
      <c r="AC55" s="12">
        <f>ROUND(1+X55*'Live Calc'!$D$27,0)</f>
        <v>1</v>
      </c>
      <c r="AD55" s="12"/>
      <c r="AE55" s="12">
        <f>IF(AD55&lt;&gt;"",AD55,ROUND(AC55*INDEX('Live Calc'!$G$96:$G$256,MATCH(W55,'Live Calc'!$A$96:$A$256,0))*'Live Calc'!$J$543,0))</f>
        <v>1</v>
      </c>
      <c r="AG55" s="13" t="s">
        <v>307</v>
      </c>
      <c r="AH55" s="13" t="s">
        <v>164</v>
      </c>
      <c r="AI55" s="13">
        <v>93.537999999999997</v>
      </c>
      <c r="AJ55" s="13">
        <v>121.33</v>
      </c>
      <c r="AK55" s="13">
        <v>151.41</v>
      </c>
      <c r="AL55" s="13">
        <f>CHOOSE(MATCH(Setup!$B$7,{"STD","Half-PPR","PPR"},0),AI55,AJ55,AK55)</f>
        <v>121.33</v>
      </c>
      <c r="AM55" s="13">
        <f>COUNTIFS('Draft Board'!$AN$2:$AN$192,"&gt;="&amp;AN55,'Draft Board'!$AR$2:$AR$192,1)</f>
        <v>16</v>
      </c>
      <c r="AN55" s="13">
        <f>MAX(0,AL55-'Live Calc'!$H$21)^'Live Calc'!$E$21</f>
        <v>74.302303181153093</v>
      </c>
      <c r="AO55" s="13">
        <v>55</v>
      </c>
      <c r="AP55" s="13">
        <f>IF(AO55&lt;&gt;_xlfn.MINIFS('Draft Board'!$AO$2:$AO$192,'Draft Board'!$AN$2:$AN$192,"="&amp;AN55),0,IF(_xlfn.MINIFS('Draft Board'!$AN$2:$AN$192,'Draft Board'!$AN$2:$AN$192,"&gt;"&amp;AN55)=0,1,IF((_xlfn.MINIFS('Draft Board'!$AN$2:$AN$192,'Draft Board'!$AN$2:$AN$192,"&gt;"&amp;AN55)-AN55)/_xlfn.MINIFS('Draft Board'!$AN$2:$AN$192,'Draft Board'!$AN$2:$AN$192,"&gt;"&amp;AN55)&gt;0.08,1,0)))</f>
        <v>0</v>
      </c>
      <c r="AQ55" s="13">
        <f>_xlfn.MINIFS('Draft Board'!$AN$2:$AN$192,'Draft Board'!$AN$2:$AN$192,"&gt;="&amp;AN55,'Draft Board'!$AP$2:$AP$192,1)</f>
        <v>75.478312487760377</v>
      </c>
      <c r="AR55" s="13">
        <f>IF(AO55&lt;&gt;_xlfn.MINIFS('Draft Board'!$AO$2:$AO$192,'Draft Board'!$AN$2:$AN$192,"="&amp;AN55),0,IF(OR(AP55=1,IFERROR(FLOOR((AQ55-AN55)/AQ55/0.25,1),0)&lt;&gt;IFERROR(FLOOR((AQ55-_xlfn.MINIFS('Draft Board'!$AN$2:$AN$192,'Draft Board'!$AN$2:$AN$192,"&gt;"&amp;AN55))/AQ55/0.25,1),0)),1,0))</f>
        <v>0</v>
      </c>
      <c r="AS55" s="13">
        <f>ROUND(1+AN55*'Live Calc'!$D$28,0)</f>
        <v>3</v>
      </c>
      <c r="AT55" s="13"/>
      <c r="AU55" s="13">
        <f>IF(AT55&lt;&gt;"",AT55,ROUND(AS55*INDEX('Live Calc'!$G$260:$G$450,MATCH(AM55,'Live Calc'!$A$260:$A$450,0))*'Live Calc'!$J$543,0))</f>
        <v>3</v>
      </c>
      <c r="AW55" s="14" t="s">
        <v>308</v>
      </c>
      <c r="AX55" s="14" t="s">
        <v>125</v>
      </c>
      <c r="AY55" s="14">
        <v>27.3</v>
      </c>
      <c r="AZ55" s="14">
        <v>37.24</v>
      </c>
      <c r="BA55" s="14">
        <v>47.17</v>
      </c>
      <c r="BB55" s="14">
        <f>CHOOSE(MATCH(Setup!$B$7,{"STD","Half-PPR","PPR"},0),AY55,AZ55,BA55)</f>
        <v>37.24</v>
      </c>
      <c r="BC55" s="14">
        <f>COUNTIFS('Draft Board'!$BD$2:$BD$87,"&gt;="&amp;BD55,'Draft Board'!$BH$2:$BH$87,1)</f>
        <v>18</v>
      </c>
      <c r="BD55" s="14">
        <f>MAX(0,BB55-'Live Calc'!$H$22)^'Live Calc'!$E$22</f>
        <v>0</v>
      </c>
      <c r="BE55" s="14">
        <v>55</v>
      </c>
      <c r="BF55" s="14">
        <f>IF(BE55&lt;&gt;_xlfn.MINIFS('Draft Board'!$BE$2:$BE$87,'Draft Board'!$BD$2:$BD$87,"="&amp;BD55),0,IF(_xlfn.MINIFS('Draft Board'!$BD$2:$BD$87,'Draft Board'!$BD$2:$BD$87,"&gt;"&amp;BD55)=0,1,IF((_xlfn.MINIFS('Draft Board'!$BD$2:$BD$87,'Draft Board'!$BD$2:$BD$87,"&gt;"&amp;BD55)-BD55)/_xlfn.MINIFS('Draft Board'!$BD$2:$BD$87,'Draft Board'!$BD$2:$BD$87,"&gt;"&amp;BD55)&gt;0.08,1,0)))</f>
        <v>0</v>
      </c>
      <c r="BG55" s="14">
        <f>_xlfn.MINIFS('Draft Board'!$BD$2:$BD$87,'Draft Board'!$BD$2:$BD$87,"&gt;="&amp;BD55,'Draft Board'!$BF$2:$BF$87,1)</f>
        <v>0</v>
      </c>
      <c r="BH55" s="14">
        <f>IF(BE55&lt;&gt;_xlfn.MINIFS('Draft Board'!$BE$2:$BE$87,'Draft Board'!$BD$2:$BD$87,"="&amp;BD55),0,IF(OR(BF55=1,IFERROR(FLOOR((BG55-BD55)/BG55/0.25,1),0)&lt;&gt;IFERROR(FLOOR((BG55-_xlfn.MINIFS('Draft Board'!$BD$2:$BD$87,'Draft Board'!$BD$2:$BD$87,"&gt;"&amp;BD55))/BG55/0.25,1),0)),1,0))</f>
        <v>0</v>
      </c>
      <c r="BI55" s="14">
        <f>ROUND(1+BD55*'Live Calc'!$D$29,0)</f>
        <v>1</v>
      </c>
      <c r="BJ55" s="14"/>
      <c r="BK55" s="14">
        <f>IF(BJ55&lt;&gt;"",BJ55,ROUND(BI55*INDEX('Live Calc'!$G$454:$G$539,MATCH(BC55,'Live Calc'!$A$454:$A$539,0))*'Live Calc'!$J$543,0))</f>
        <v>1</v>
      </c>
    </row>
    <row r="56" spans="1:63" x14ac:dyDescent="0.25">
      <c r="A56" s="11" t="s">
        <v>309</v>
      </c>
      <c r="B56" s="11" t="s">
        <v>67</v>
      </c>
      <c r="C56" s="11">
        <v>13.79</v>
      </c>
      <c r="D56" s="11">
        <v>13.79</v>
      </c>
      <c r="E56" s="11">
        <v>13.79</v>
      </c>
      <c r="F56" s="11">
        <f>CHOOSE(MATCH(Setup!$B$7,{"STD","Half-PPR","PPR"},0),C56,D56,E56)</f>
        <v>13.79</v>
      </c>
      <c r="G56" s="11">
        <f>COUNTIFS('Draft Board'!$H$2:$H$61,"&gt;="&amp;H56,'Draft Board'!$L$2:$L$61,1)</f>
        <v>11</v>
      </c>
      <c r="H56" s="11">
        <f>MAX(0,F56-'Live Calc'!$H$19)^'Live Calc'!$E$19</f>
        <v>0</v>
      </c>
      <c r="I56" s="11">
        <v>56</v>
      </c>
      <c r="J56" s="11">
        <f>IF(I56&lt;&gt;_xlfn.MINIFS('Draft Board'!$I$2:$I$61,'Draft Board'!$H$2:$H$61,"="&amp;H56),0,IF(_xlfn.MINIFS('Draft Board'!$H$2:$H$61,'Draft Board'!$H$2:$H$61,"&gt;"&amp;H56)=0,1,IF((_xlfn.MINIFS('Draft Board'!$H$2:$H$61,'Draft Board'!$H$2:$H$61,"&gt;"&amp;H56)-H56)/_xlfn.MINIFS('Draft Board'!$H$2:$H$61,'Draft Board'!$H$2:$H$61,"&gt;"&amp;H56)&gt;0.08,1,0)))</f>
        <v>0</v>
      </c>
      <c r="K56" s="11">
        <f>_xlfn.MINIFS('Draft Board'!$H$2:$H$61,'Draft Board'!$H$2:$H$61,"&gt;="&amp;H56,'Draft Board'!$J$2:$J$61,1)</f>
        <v>0</v>
      </c>
      <c r="L56" s="11">
        <f>IF(I56&lt;&gt;_xlfn.MINIFS('Draft Board'!$I$2:$I$61,'Draft Board'!$H$2:$H$61,"="&amp;H56),0,IF(OR(J56=1,IFERROR(FLOOR((K56-H56)/K56/0.25,1),0)&lt;&gt;IFERROR(FLOOR((K56-_xlfn.MINIFS('Draft Board'!$H$2:$H$61,'Draft Board'!$H$2:$H$61,"&gt;"&amp;H56))/K56/0.25,1),0)),1,0))</f>
        <v>0</v>
      </c>
      <c r="M56" s="11">
        <f>ROUND(1+H56*'Live Calc'!$D$26,0)</f>
        <v>1</v>
      </c>
      <c r="N56" s="11"/>
      <c r="O56" s="11">
        <f>IF(N56&lt;&gt;"",N56,ROUND(M56*INDEX('Live Calc'!$G$33:$G$92,MATCH(G56,'Live Calc'!$A$33:$A$92,0))*'Live Calc'!$J$543,0))</f>
        <v>1</v>
      </c>
      <c r="Q56" s="12" t="s">
        <v>310</v>
      </c>
      <c r="R56" s="12" t="s">
        <v>139</v>
      </c>
      <c r="S56" s="12">
        <v>64.786000000000001</v>
      </c>
      <c r="T56" s="12">
        <v>72.372</v>
      </c>
      <c r="U56" s="12">
        <v>83.281999999999996</v>
      </c>
      <c r="V56" s="12">
        <f>CHOOSE(MATCH(Setup!$B$7,{"STD","Half-PPR","PPR"},0),S56,T56,U56)</f>
        <v>72.372</v>
      </c>
      <c r="W56" s="12">
        <f>COUNTIFS('Draft Board'!$X$2:$X$162,"&gt;="&amp;X56,'Draft Board'!$AB$2:$AB$162,1)</f>
        <v>19</v>
      </c>
      <c r="X56" s="12">
        <f>MAX(0,V56-'Live Calc'!$H$20)^'Live Calc'!$E$20</f>
        <v>0</v>
      </c>
      <c r="Y56" s="12">
        <v>56</v>
      </c>
      <c r="Z56" s="12">
        <f>IF(Y56&lt;&gt;_xlfn.MINIFS('Draft Board'!$Y$2:$Y$162,'Draft Board'!$X$2:$X$162,"="&amp;X56),0,IF(_xlfn.MINIFS('Draft Board'!$X$2:$X$162,'Draft Board'!$X$2:$X$162,"&gt;"&amp;X56)=0,1,IF((_xlfn.MINIFS('Draft Board'!$X$2:$X$162,'Draft Board'!$X$2:$X$162,"&gt;"&amp;X56)-X56)/_xlfn.MINIFS('Draft Board'!$X$2:$X$162,'Draft Board'!$X$2:$X$162,"&gt;"&amp;X56)&gt;0.08,1,0)))</f>
        <v>0</v>
      </c>
      <c r="AA56" s="12">
        <f>_xlfn.MINIFS('Draft Board'!$X$2:$X$162,'Draft Board'!$X$2:$X$162,"&gt;="&amp;X56,'Draft Board'!$Z$2:$Z$162,1)</f>
        <v>0</v>
      </c>
      <c r="AB56" s="12">
        <f>IF(Y56&lt;&gt;_xlfn.MINIFS('Draft Board'!$Y$2:$Y$162,'Draft Board'!$X$2:$X$162,"="&amp;X56),0,IF(OR(Z56=1,IFERROR(FLOOR((AA56-X56)/AA56/0.25,1),0)&lt;&gt;IFERROR(FLOOR((AA56-_xlfn.MINIFS('Draft Board'!$X$2:$X$162,'Draft Board'!$X$2:$X$162,"&gt;"&amp;X56))/AA56/0.25,1),0)),1,0))</f>
        <v>0</v>
      </c>
      <c r="AC56" s="12">
        <f>ROUND(1+X56*'Live Calc'!$D$27,0)</f>
        <v>1</v>
      </c>
      <c r="AD56" s="12"/>
      <c r="AE56" s="12">
        <f>IF(AD56&lt;&gt;"",AD56,ROUND(AC56*INDEX('Live Calc'!$G$96:$G$256,MATCH(W56,'Live Calc'!$A$96:$A$256,0))*'Live Calc'!$J$543,0))</f>
        <v>1</v>
      </c>
      <c r="AG56" s="13" t="s">
        <v>311</v>
      </c>
      <c r="AH56" s="13" t="s">
        <v>79</v>
      </c>
      <c r="AI56" s="13">
        <v>94.171999999999997</v>
      </c>
      <c r="AJ56" s="13">
        <v>120.012</v>
      </c>
      <c r="AK56" s="13">
        <v>143.83000000000001</v>
      </c>
      <c r="AL56" s="13">
        <f>CHOOSE(MATCH(Setup!$B$7,{"STD","Half-PPR","PPR"},0),AI56,AJ56,AK56)</f>
        <v>120.012</v>
      </c>
      <c r="AM56" s="13">
        <f>COUNTIFS('Draft Board'!$AN$2:$AN$192,"&gt;="&amp;AN56,'Draft Board'!$AR$2:$AR$192,1)</f>
        <v>17</v>
      </c>
      <c r="AN56" s="13">
        <f>MAX(0,AL56-'Live Calc'!$H$21)^'Live Calc'!$E$21</f>
        <v>66.147837803030257</v>
      </c>
      <c r="AO56" s="13">
        <v>56</v>
      </c>
      <c r="AP56" s="13">
        <f>IF(AO56&lt;&gt;_xlfn.MINIFS('Draft Board'!$AO$2:$AO$192,'Draft Board'!$AN$2:$AN$192,"="&amp;AN56),0,IF(_xlfn.MINIFS('Draft Board'!$AN$2:$AN$192,'Draft Board'!$AN$2:$AN$192,"&gt;"&amp;AN56)=0,1,IF((_xlfn.MINIFS('Draft Board'!$AN$2:$AN$192,'Draft Board'!$AN$2:$AN$192,"&gt;"&amp;AN56)-AN56)/_xlfn.MINIFS('Draft Board'!$AN$2:$AN$192,'Draft Board'!$AN$2:$AN$192,"&gt;"&amp;AN56)&gt;0.08,1,0)))</f>
        <v>1</v>
      </c>
      <c r="AQ56" s="13">
        <f>_xlfn.MINIFS('Draft Board'!$AN$2:$AN$192,'Draft Board'!$AN$2:$AN$192,"&gt;="&amp;AN56,'Draft Board'!$AP$2:$AP$192,1)</f>
        <v>66.147837803030257</v>
      </c>
      <c r="AR56" s="13">
        <f>IF(AO56&lt;&gt;_xlfn.MINIFS('Draft Board'!$AO$2:$AO$192,'Draft Board'!$AN$2:$AN$192,"="&amp;AN56),0,IF(OR(AP56=1,IFERROR(FLOOR((AQ56-AN56)/AQ56/0.25,1),0)&lt;&gt;IFERROR(FLOOR((AQ56-_xlfn.MINIFS('Draft Board'!$AN$2:$AN$192,'Draft Board'!$AN$2:$AN$192,"&gt;"&amp;AN56))/AQ56/0.25,1),0)),1,0))</f>
        <v>1</v>
      </c>
      <c r="AS56" s="13">
        <f>ROUND(1+AN56*'Live Calc'!$D$28,0)</f>
        <v>3</v>
      </c>
      <c r="AT56" s="13"/>
      <c r="AU56" s="13">
        <f>IF(AT56&lt;&gt;"",AT56,ROUND(AS56*INDEX('Live Calc'!$G$260:$G$450,MATCH(AM56,'Live Calc'!$A$260:$A$450,0))*'Live Calc'!$J$543,0))</f>
        <v>3</v>
      </c>
      <c r="AW56" s="14" t="s">
        <v>312</v>
      </c>
      <c r="AX56" s="14" t="s">
        <v>63</v>
      </c>
      <c r="AY56" s="14">
        <v>27.08</v>
      </c>
      <c r="AZ56" s="14">
        <v>35.869999999999997</v>
      </c>
      <c r="BA56" s="14">
        <v>44.66</v>
      </c>
      <c r="BB56" s="14">
        <f>CHOOSE(MATCH(Setup!$B$7,{"STD","Half-PPR","PPR"},0),AY56,AZ56,BA56)</f>
        <v>35.869999999999997</v>
      </c>
      <c r="BC56" s="14">
        <f>COUNTIFS('Draft Board'!$BD$2:$BD$87,"&gt;="&amp;BD56,'Draft Board'!$BH$2:$BH$87,1)</f>
        <v>18</v>
      </c>
      <c r="BD56" s="14">
        <f>MAX(0,BB56-'Live Calc'!$H$22)^'Live Calc'!$E$22</f>
        <v>0</v>
      </c>
      <c r="BE56" s="14">
        <v>56</v>
      </c>
      <c r="BF56" s="14">
        <f>IF(BE56&lt;&gt;_xlfn.MINIFS('Draft Board'!$BE$2:$BE$87,'Draft Board'!$BD$2:$BD$87,"="&amp;BD56),0,IF(_xlfn.MINIFS('Draft Board'!$BD$2:$BD$87,'Draft Board'!$BD$2:$BD$87,"&gt;"&amp;BD56)=0,1,IF((_xlfn.MINIFS('Draft Board'!$BD$2:$BD$87,'Draft Board'!$BD$2:$BD$87,"&gt;"&amp;BD56)-BD56)/_xlfn.MINIFS('Draft Board'!$BD$2:$BD$87,'Draft Board'!$BD$2:$BD$87,"&gt;"&amp;BD56)&gt;0.08,1,0)))</f>
        <v>0</v>
      </c>
      <c r="BG56" s="14">
        <f>_xlfn.MINIFS('Draft Board'!$BD$2:$BD$87,'Draft Board'!$BD$2:$BD$87,"&gt;="&amp;BD56,'Draft Board'!$BF$2:$BF$87,1)</f>
        <v>0</v>
      </c>
      <c r="BH56" s="14">
        <f>IF(BE56&lt;&gt;_xlfn.MINIFS('Draft Board'!$BE$2:$BE$87,'Draft Board'!$BD$2:$BD$87,"="&amp;BD56),0,IF(OR(BF56=1,IFERROR(FLOOR((BG56-BD56)/BG56/0.25,1),0)&lt;&gt;IFERROR(FLOOR((BG56-_xlfn.MINIFS('Draft Board'!$BD$2:$BD$87,'Draft Board'!$BD$2:$BD$87,"&gt;"&amp;BD56))/BG56/0.25,1),0)),1,0))</f>
        <v>0</v>
      </c>
      <c r="BI56" s="14">
        <f>ROUND(1+BD56*'Live Calc'!$D$29,0)</f>
        <v>1</v>
      </c>
      <c r="BJ56" s="14"/>
      <c r="BK56" s="14">
        <f>IF(BJ56&lt;&gt;"",BJ56,ROUND(BI56*INDEX('Live Calc'!$G$454:$G$539,MATCH(BC56,'Live Calc'!$A$454:$A$539,0))*'Live Calc'!$J$543,0))</f>
        <v>1</v>
      </c>
    </row>
    <row r="57" spans="1:63" x14ac:dyDescent="0.25">
      <c r="A57" s="11" t="s">
        <v>313</v>
      </c>
      <c r="B57" s="11" t="s">
        <v>91</v>
      </c>
      <c r="C57" s="11">
        <v>13.77</v>
      </c>
      <c r="D57" s="11">
        <v>13.77</v>
      </c>
      <c r="E57" s="11">
        <v>13.77</v>
      </c>
      <c r="F57" s="11">
        <f>CHOOSE(MATCH(Setup!$B$7,{"STD","Half-PPR","PPR"},0),C57,D57,E57)</f>
        <v>13.77</v>
      </c>
      <c r="G57" s="11">
        <f>COUNTIFS('Draft Board'!$H$2:$H$61,"&gt;="&amp;H57,'Draft Board'!$L$2:$L$61,1)</f>
        <v>11</v>
      </c>
      <c r="H57" s="11">
        <f>MAX(0,F57-'Live Calc'!$H$19)^'Live Calc'!$E$19</f>
        <v>0</v>
      </c>
      <c r="I57" s="11">
        <v>57</v>
      </c>
      <c r="J57" s="11">
        <f>IF(I57&lt;&gt;_xlfn.MINIFS('Draft Board'!$I$2:$I$61,'Draft Board'!$H$2:$H$61,"="&amp;H57),0,IF(_xlfn.MINIFS('Draft Board'!$H$2:$H$61,'Draft Board'!$H$2:$H$61,"&gt;"&amp;H57)=0,1,IF((_xlfn.MINIFS('Draft Board'!$H$2:$H$61,'Draft Board'!$H$2:$H$61,"&gt;"&amp;H57)-H57)/_xlfn.MINIFS('Draft Board'!$H$2:$H$61,'Draft Board'!$H$2:$H$61,"&gt;"&amp;H57)&gt;0.08,1,0)))</f>
        <v>0</v>
      </c>
      <c r="K57" s="11">
        <f>_xlfn.MINIFS('Draft Board'!$H$2:$H$61,'Draft Board'!$H$2:$H$61,"&gt;="&amp;H57,'Draft Board'!$J$2:$J$61,1)</f>
        <v>0</v>
      </c>
      <c r="L57" s="11">
        <f>IF(I57&lt;&gt;_xlfn.MINIFS('Draft Board'!$I$2:$I$61,'Draft Board'!$H$2:$H$61,"="&amp;H57),0,IF(OR(J57=1,IFERROR(FLOOR((K57-H57)/K57/0.25,1),0)&lt;&gt;IFERROR(FLOOR((K57-_xlfn.MINIFS('Draft Board'!$H$2:$H$61,'Draft Board'!$H$2:$H$61,"&gt;"&amp;H57))/K57/0.25,1),0)),1,0))</f>
        <v>0</v>
      </c>
      <c r="M57" s="11">
        <f>ROUND(1+H57*'Live Calc'!$D$26,0)</f>
        <v>1</v>
      </c>
      <c r="N57" s="11"/>
      <c r="O57" s="11">
        <f>IF(N57&lt;&gt;"",N57,ROUND(M57*INDEX('Live Calc'!$G$33:$G$92,MATCH(G57,'Live Calc'!$A$33:$A$92,0))*'Live Calc'!$J$543,0))</f>
        <v>1</v>
      </c>
      <c r="Q57" s="12" t="s">
        <v>314</v>
      </c>
      <c r="R57" s="12" t="s">
        <v>153</v>
      </c>
      <c r="S57" s="12">
        <v>65.725999999999999</v>
      </c>
      <c r="T57" s="12">
        <v>71.072000000000003</v>
      </c>
      <c r="U57" s="12">
        <v>76.286000000000001</v>
      </c>
      <c r="V57" s="12">
        <f>CHOOSE(MATCH(Setup!$B$7,{"STD","Half-PPR","PPR"},0),S57,T57,U57)</f>
        <v>71.072000000000003</v>
      </c>
      <c r="W57" s="12">
        <f>COUNTIFS('Draft Board'!$X$2:$X$162,"&gt;="&amp;X57,'Draft Board'!$AB$2:$AB$162,1)</f>
        <v>19</v>
      </c>
      <c r="X57" s="12">
        <f>MAX(0,V57-'Live Calc'!$H$20)^'Live Calc'!$E$20</f>
        <v>0</v>
      </c>
      <c r="Y57" s="12">
        <v>57</v>
      </c>
      <c r="Z57" s="12">
        <f>IF(Y57&lt;&gt;_xlfn.MINIFS('Draft Board'!$Y$2:$Y$162,'Draft Board'!$X$2:$X$162,"="&amp;X57),0,IF(_xlfn.MINIFS('Draft Board'!$X$2:$X$162,'Draft Board'!$X$2:$X$162,"&gt;"&amp;X57)=0,1,IF((_xlfn.MINIFS('Draft Board'!$X$2:$X$162,'Draft Board'!$X$2:$X$162,"&gt;"&amp;X57)-X57)/_xlfn.MINIFS('Draft Board'!$X$2:$X$162,'Draft Board'!$X$2:$X$162,"&gt;"&amp;X57)&gt;0.08,1,0)))</f>
        <v>0</v>
      </c>
      <c r="AA57" s="12">
        <f>_xlfn.MINIFS('Draft Board'!$X$2:$X$162,'Draft Board'!$X$2:$X$162,"&gt;="&amp;X57,'Draft Board'!$Z$2:$Z$162,1)</f>
        <v>0</v>
      </c>
      <c r="AB57" s="12">
        <f>IF(Y57&lt;&gt;_xlfn.MINIFS('Draft Board'!$Y$2:$Y$162,'Draft Board'!$X$2:$X$162,"="&amp;X57),0,IF(OR(Z57=1,IFERROR(FLOOR((AA57-X57)/AA57/0.25,1),0)&lt;&gt;IFERROR(FLOOR((AA57-_xlfn.MINIFS('Draft Board'!$X$2:$X$162,'Draft Board'!$X$2:$X$162,"&gt;"&amp;X57))/AA57/0.25,1),0)),1,0))</f>
        <v>0</v>
      </c>
      <c r="AC57" s="12">
        <f>ROUND(1+X57*'Live Calc'!$D$27,0)</f>
        <v>1</v>
      </c>
      <c r="AD57" s="12"/>
      <c r="AE57" s="12">
        <f>IF(AD57&lt;&gt;"",AD57,ROUND(AC57*INDEX('Live Calc'!$G$96:$G$256,MATCH(W57,'Live Calc'!$A$96:$A$256,0))*'Live Calc'!$J$543,0))</f>
        <v>1</v>
      </c>
      <c r="AG57" s="13" t="s">
        <v>315</v>
      </c>
      <c r="AH57" s="13" t="s">
        <v>81</v>
      </c>
      <c r="AI57" s="13">
        <v>94.792000000000002</v>
      </c>
      <c r="AJ57" s="13">
        <v>114.83</v>
      </c>
      <c r="AK57" s="13">
        <v>138.91</v>
      </c>
      <c r="AL57" s="13">
        <f>CHOOSE(MATCH(Setup!$B$7,{"STD","Half-PPR","PPR"},0),AI57,AJ57,AK57)</f>
        <v>114.83</v>
      </c>
      <c r="AM57" s="13">
        <f>COUNTIFS('Draft Board'!$AN$2:$AN$192,"&gt;="&amp;AN57,'Draft Board'!$AR$2:$AR$192,1)</f>
        <v>18</v>
      </c>
      <c r="AN57" s="13">
        <f>MAX(0,AL57-'Live Calc'!$H$21)^'Live Calc'!$E$21</f>
        <v>37.351926001533009</v>
      </c>
      <c r="AO57" s="13">
        <v>57</v>
      </c>
      <c r="AP57" s="13">
        <f>IF(AO57&lt;&gt;_xlfn.MINIFS('Draft Board'!$AO$2:$AO$192,'Draft Board'!$AN$2:$AN$192,"="&amp;AN57),0,IF(_xlfn.MINIFS('Draft Board'!$AN$2:$AN$192,'Draft Board'!$AN$2:$AN$192,"&gt;"&amp;AN57)=0,1,IF((_xlfn.MINIFS('Draft Board'!$AN$2:$AN$192,'Draft Board'!$AN$2:$AN$192,"&gt;"&amp;AN57)-AN57)/_xlfn.MINIFS('Draft Board'!$AN$2:$AN$192,'Draft Board'!$AN$2:$AN$192,"&gt;"&amp;AN57)&gt;0.08,1,0)))</f>
        <v>1</v>
      </c>
      <c r="AQ57" s="13">
        <f>_xlfn.MINIFS('Draft Board'!$AN$2:$AN$192,'Draft Board'!$AN$2:$AN$192,"&gt;="&amp;AN57,'Draft Board'!$AP$2:$AP$192,1)</f>
        <v>37.351926001533009</v>
      </c>
      <c r="AR57" s="13">
        <f>IF(AO57&lt;&gt;_xlfn.MINIFS('Draft Board'!$AO$2:$AO$192,'Draft Board'!$AN$2:$AN$192,"="&amp;AN57),0,IF(OR(AP57=1,IFERROR(FLOOR((AQ57-AN57)/AQ57/0.25,1),0)&lt;&gt;IFERROR(FLOOR((AQ57-_xlfn.MINIFS('Draft Board'!$AN$2:$AN$192,'Draft Board'!$AN$2:$AN$192,"&gt;"&amp;AN57))/AQ57/0.25,1),0)),1,0))</f>
        <v>1</v>
      </c>
      <c r="AS57" s="13">
        <f>ROUND(1+AN57*'Live Calc'!$D$28,0)</f>
        <v>2</v>
      </c>
      <c r="AT57" s="13"/>
      <c r="AU57" s="13">
        <f>IF(AT57&lt;&gt;"",AT57,ROUND(AS57*INDEX('Live Calc'!$G$260:$G$450,MATCH(AM57,'Live Calc'!$A$260:$A$450,0))*'Live Calc'!$J$543,0))</f>
        <v>2</v>
      </c>
      <c r="AW57" s="14" t="s">
        <v>316</v>
      </c>
      <c r="AX57" s="14" t="s">
        <v>164</v>
      </c>
      <c r="AY57" s="14">
        <v>25.49</v>
      </c>
      <c r="AZ57" s="14">
        <v>34.78</v>
      </c>
      <c r="BA57" s="14">
        <v>44.08</v>
      </c>
      <c r="BB57" s="14">
        <f>CHOOSE(MATCH(Setup!$B$7,{"STD","Half-PPR","PPR"},0),AY57,AZ57,BA57)</f>
        <v>34.78</v>
      </c>
      <c r="BC57" s="14">
        <f>COUNTIFS('Draft Board'!$BD$2:$BD$87,"&gt;="&amp;BD57,'Draft Board'!$BH$2:$BH$87,1)</f>
        <v>18</v>
      </c>
      <c r="BD57" s="14">
        <f>MAX(0,BB57-'Live Calc'!$H$22)^'Live Calc'!$E$22</f>
        <v>0</v>
      </c>
      <c r="BE57" s="14">
        <v>57</v>
      </c>
      <c r="BF57" s="14">
        <f>IF(BE57&lt;&gt;_xlfn.MINIFS('Draft Board'!$BE$2:$BE$87,'Draft Board'!$BD$2:$BD$87,"="&amp;BD57),0,IF(_xlfn.MINIFS('Draft Board'!$BD$2:$BD$87,'Draft Board'!$BD$2:$BD$87,"&gt;"&amp;BD57)=0,1,IF((_xlfn.MINIFS('Draft Board'!$BD$2:$BD$87,'Draft Board'!$BD$2:$BD$87,"&gt;"&amp;BD57)-BD57)/_xlfn.MINIFS('Draft Board'!$BD$2:$BD$87,'Draft Board'!$BD$2:$BD$87,"&gt;"&amp;BD57)&gt;0.08,1,0)))</f>
        <v>0</v>
      </c>
      <c r="BG57" s="14">
        <f>_xlfn.MINIFS('Draft Board'!$BD$2:$BD$87,'Draft Board'!$BD$2:$BD$87,"&gt;="&amp;BD57,'Draft Board'!$BF$2:$BF$87,1)</f>
        <v>0</v>
      </c>
      <c r="BH57" s="14">
        <f>IF(BE57&lt;&gt;_xlfn.MINIFS('Draft Board'!$BE$2:$BE$87,'Draft Board'!$BD$2:$BD$87,"="&amp;BD57),0,IF(OR(BF57=1,IFERROR(FLOOR((BG57-BD57)/BG57/0.25,1),0)&lt;&gt;IFERROR(FLOOR((BG57-_xlfn.MINIFS('Draft Board'!$BD$2:$BD$87,'Draft Board'!$BD$2:$BD$87,"&gt;"&amp;BD57))/BG57/0.25,1),0)),1,0))</f>
        <v>0</v>
      </c>
      <c r="BI57" s="14">
        <f>ROUND(1+BD57*'Live Calc'!$D$29,0)</f>
        <v>1</v>
      </c>
      <c r="BJ57" s="14"/>
      <c r="BK57" s="14">
        <f>IF(BJ57&lt;&gt;"",BJ57,ROUND(BI57*INDEX('Live Calc'!$G$454:$G$539,MATCH(BC57,'Live Calc'!$A$454:$A$539,0))*'Live Calc'!$J$543,0))</f>
        <v>1</v>
      </c>
    </row>
    <row r="58" spans="1:63" x14ac:dyDescent="0.25">
      <c r="A58" s="11" t="s">
        <v>317</v>
      </c>
      <c r="B58" s="11" t="s">
        <v>125</v>
      </c>
      <c r="C58" s="11">
        <v>13.63</v>
      </c>
      <c r="D58" s="11">
        <v>13.63</v>
      </c>
      <c r="E58" s="11">
        <v>13.63</v>
      </c>
      <c r="F58" s="11">
        <f>CHOOSE(MATCH(Setup!$B$7,{"STD","Half-PPR","PPR"},0),C58,D58,E58)</f>
        <v>13.63</v>
      </c>
      <c r="G58" s="11">
        <f>COUNTIFS('Draft Board'!$H$2:$H$61,"&gt;="&amp;H58,'Draft Board'!$L$2:$L$61,1)</f>
        <v>11</v>
      </c>
      <c r="H58" s="11">
        <f>MAX(0,F58-'Live Calc'!$H$19)^'Live Calc'!$E$19</f>
        <v>0</v>
      </c>
      <c r="I58" s="11">
        <v>58</v>
      </c>
      <c r="J58" s="11">
        <f>IF(I58&lt;&gt;_xlfn.MINIFS('Draft Board'!$I$2:$I$61,'Draft Board'!$H$2:$H$61,"="&amp;H58),0,IF(_xlfn.MINIFS('Draft Board'!$H$2:$H$61,'Draft Board'!$H$2:$H$61,"&gt;"&amp;H58)=0,1,IF((_xlfn.MINIFS('Draft Board'!$H$2:$H$61,'Draft Board'!$H$2:$H$61,"&gt;"&amp;H58)-H58)/_xlfn.MINIFS('Draft Board'!$H$2:$H$61,'Draft Board'!$H$2:$H$61,"&gt;"&amp;H58)&gt;0.08,1,0)))</f>
        <v>0</v>
      </c>
      <c r="K58" s="11">
        <f>_xlfn.MINIFS('Draft Board'!$H$2:$H$61,'Draft Board'!$H$2:$H$61,"&gt;="&amp;H58,'Draft Board'!$J$2:$J$61,1)</f>
        <v>0</v>
      </c>
      <c r="L58" s="11">
        <f>IF(I58&lt;&gt;_xlfn.MINIFS('Draft Board'!$I$2:$I$61,'Draft Board'!$H$2:$H$61,"="&amp;H58),0,IF(OR(J58=1,IFERROR(FLOOR((K58-H58)/K58/0.25,1),0)&lt;&gt;IFERROR(FLOOR((K58-_xlfn.MINIFS('Draft Board'!$H$2:$H$61,'Draft Board'!$H$2:$H$61,"&gt;"&amp;H58))/K58/0.25,1),0)),1,0))</f>
        <v>0</v>
      </c>
      <c r="M58" s="11">
        <f>ROUND(1+H58*'Live Calc'!$D$26,0)</f>
        <v>1</v>
      </c>
      <c r="N58" s="11"/>
      <c r="O58" s="11">
        <f>IF(N58&lt;&gt;"",N58,ROUND(M58*INDEX('Live Calc'!$G$33:$G$92,MATCH(G58,'Live Calc'!$A$33:$A$92,0))*'Live Calc'!$J$543,0))</f>
        <v>1</v>
      </c>
      <c r="Q58" s="12" t="s">
        <v>318</v>
      </c>
      <c r="R58" s="12" t="s">
        <v>69</v>
      </c>
      <c r="S58" s="12">
        <v>55.61</v>
      </c>
      <c r="T58" s="12">
        <v>69.084000000000003</v>
      </c>
      <c r="U58" s="12">
        <v>81.635999999999996</v>
      </c>
      <c r="V58" s="12">
        <f>CHOOSE(MATCH(Setup!$B$7,{"STD","Half-PPR","PPR"},0),S58,T58,U58)</f>
        <v>69.084000000000003</v>
      </c>
      <c r="W58" s="12">
        <f>COUNTIFS('Draft Board'!$X$2:$X$162,"&gt;="&amp;X58,'Draft Board'!$AB$2:$AB$162,1)</f>
        <v>19</v>
      </c>
      <c r="X58" s="12">
        <f>MAX(0,V58-'Live Calc'!$H$20)^'Live Calc'!$E$20</f>
        <v>0</v>
      </c>
      <c r="Y58" s="12">
        <v>58</v>
      </c>
      <c r="Z58" s="12">
        <f>IF(Y58&lt;&gt;_xlfn.MINIFS('Draft Board'!$Y$2:$Y$162,'Draft Board'!$X$2:$X$162,"="&amp;X58),0,IF(_xlfn.MINIFS('Draft Board'!$X$2:$X$162,'Draft Board'!$X$2:$X$162,"&gt;"&amp;X58)=0,1,IF((_xlfn.MINIFS('Draft Board'!$X$2:$X$162,'Draft Board'!$X$2:$X$162,"&gt;"&amp;X58)-X58)/_xlfn.MINIFS('Draft Board'!$X$2:$X$162,'Draft Board'!$X$2:$X$162,"&gt;"&amp;X58)&gt;0.08,1,0)))</f>
        <v>0</v>
      </c>
      <c r="AA58" s="12">
        <f>_xlfn.MINIFS('Draft Board'!$X$2:$X$162,'Draft Board'!$X$2:$X$162,"&gt;="&amp;X58,'Draft Board'!$Z$2:$Z$162,1)</f>
        <v>0</v>
      </c>
      <c r="AB58" s="12">
        <f>IF(Y58&lt;&gt;_xlfn.MINIFS('Draft Board'!$Y$2:$Y$162,'Draft Board'!$X$2:$X$162,"="&amp;X58),0,IF(OR(Z58=1,IFERROR(FLOOR((AA58-X58)/AA58/0.25,1),0)&lt;&gt;IFERROR(FLOOR((AA58-_xlfn.MINIFS('Draft Board'!$X$2:$X$162,'Draft Board'!$X$2:$X$162,"&gt;"&amp;X58))/AA58/0.25,1),0)),1,0))</f>
        <v>0</v>
      </c>
      <c r="AC58" s="12">
        <f>ROUND(1+X58*'Live Calc'!$D$27,0)</f>
        <v>1</v>
      </c>
      <c r="AD58" s="12"/>
      <c r="AE58" s="12">
        <f>IF(AD58&lt;&gt;"",AD58,ROUND(AC58*INDEX('Live Calc'!$G$96:$G$256,MATCH(W58,'Live Calc'!$A$96:$A$256,0))*'Live Calc'!$J$543,0))</f>
        <v>1</v>
      </c>
      <c r="AG58" s="13" t="s">
        <v>319</v>
      </c>
      <c r="AH58" s="13" t="s">
        <v>101</v>
      </c>
      <c r="AI58" s="13">
        <v>83.444000000000003</v>
      </c>
      <c r="AJ58" s="13">
        <v>107.86</v>
      </c>
      <c r="AK58" s="13">
        <v>133.22</v>
      </c>
      <c r="AL58" s="13">
        <f>CHOOSE(MATCH(Setup!$B$7,{"STD","Half-PPR","PPR"},0),AI58,AJ58,AK58)</f>
        <v>107.86</v>
      </c>
      <c r="AM58" s="13">
        <f>COUNTIFS('Draft Board'!$AN$2:$AN$192,"&gt;="&amp;AN58,'Draft Board'!$AR$2:$AR$192,1)</f>
        <v>19</v>
      </c>
      <c r="AN58" s="13">
        <f>MAX(0,AL58-'Live Calc'!$H$21)^'Live Calc'!$E$21</f>
        <v>8.6197379115608666</v>
      </c>
      <c r="AO58" s="13">
        <v>58</v>
      </c>
      <c r="AP58" s="13">
        <f>IF(AO58&lt;&gt;_xlfn.MINIFS('Draft Board'!$AO$2:$AO$192,'Draft Board'!$AN$2:$AN$192,"="&amp;AN58),0,IF(_xlfn.MINIFS('Draft Board'!$AN$2:$AN$192,'Draft Board'!$AN$2:$AN$192,"&gt;"&amp;AN58)=0,1,IF((_xlfn.MINIFS('Draft Board'!$AN$2:$AN$192,'Draft Board'!$AN$2:$AN$192,"&gt;"&amp;AN58)-AN58)/_xlfn.MINIFS('Draft Board'!$AN$2:$AN$192,'Draft Board'!$AN$2:$AN$192,"&gt;"&amp;AN58)&gt;0.08,1,0)))</f>
        <v>1</v>
      </c>
      <c r="AQ58" s="13">
        <f>_xlfn.MINIFS('Draft Board'!$AN$2:$AN$192,'Draft Board'!$AN$2:$AN$192,"&gt;="&amp;AN58,'Draft Board'!$AP$2:$AP$192,1)</f>
        <v>8.6197379115608666</v>
      </c>
      <c r="AR58" s="13">
        <f>IF(AO58&lt;&gt;_xlfn.MINIFS('Draft Board'!$AO$2:$AO$192,'Draft Board'!$AN$2:$AN$192,"="&amp;AN58),0,IF(OR(AP58=1,IFERROR(FLOOR((AQ58-AN58)/AQ58/0.25,1),0)&lt;&gt;IFERROR(FLOOR((AQ58-_xlfn.MINIFS('Draft Board'!$AN$2:$AN$192,'Draft Board'!$AN$2:$AN$192,"&gt;"&amp;AN58))/AQ58/0.25,1),0)),1,0))</f>
        <v>1</v>
      </c>
      <c r="AS58" s="13">
        <f>ROUND(1+AN58*'Live Calc'!$D$28,0)</f>
        <v>1</v>
      </c>
      <c r="AT58" s="13"/>
      <c r="AU58" s="13">
        <f>IF(AT58&lt;&gt;"",AT58,ROUND(AS58*INDEX('Live Calc'!$G$260:$G$450,MATCH(AM58,'Live Calc'!$A$260:$A$450,0))*'Live Calc'!$J$543,0))</f>
        <v>1</v>
      </c>
      <c r="AW58" s="14" t="s">
        <v>320</v>
      </c>
      <c r="AX58" s="14" t="s">
        <v>131</v>
      </c>
      <c r="AY58" s="14">
        <v>25.474</v>
      </c>
      <c r="AZ58" s="14">
        <v>33.96</v>
      </c>
      <c r="BA58" s="14">
        <v>41.286000000000001</v>
      </c>
      <c r="BB58" s="14">
        <f>CHOOSE(MATCH(Setup!$B$7,{"STD","Half-PPR","PPR"},0),AY58,AZ58,BA58)</f>
        <v>33.96</v>
      </c>
      <c r="BC58" s="14">
        <f>COUNTIFS('Draft Board'!$BD$2:$BD$87,"&gt;="&amp;BD58,'Draft Board'!$BH$2:$BH$87,1)</f>
        <v>18</v>
      </c>
      <c r="BD58" s="14">
        <f>MAX(0,BB58-'Live Calc'!$H$22)^'Live Calc'!$E$22</f>
        <v>0</v>
      </c>
      <c r="BE58" s="14">
        <v>58</v>
      </c>
      <c r="BF58" s="14">
        <f>IF(BE58&lt;&gt;_xlfn.MINIFS('Draft Board'!$BE$2:$BE$87,'Draft Board'!$BD$2:$BD$87,"="&amp;BD58),0,IF(_xlfn.MINIFS('Draft Board'!$BD$2:$BD$87,'Draft Board'!$BD$2:$BD$87,"&gt;"&amp;BD58)=0,1,IF((_xlfn.MINIFS('Draft Board'!$BD$2:$BD$87,'Draft Board'!$BD$2:$BD$87,"&gt;"&amp;BD58)-BD58)/_xlfn.MINIFS('Draft Board'!$BD$2:$BD$87,'Draft Board'!$BD$2:$BD$87,"&gt;"&amp;BD58)&gt;0.08,1,0)))</f>
        <v>0</v>
      </c>
      <c r="BG58" s="14">
        <f>_xlfn.MINIFS('Draft Board'!$BD$2:$BD$87,'Draft Board'!$BD$2:$BD$87,"&gt;="&amp;BD58,'Draft Board'!$BF$2:$BF$87,1)</f>
        <v>0</v>
      </c>
      <c r="BH58" s="14">
        <f>IF(BE58&lt;&gt;_xlfn.MINIFS('Draft Board'!$BE$2:$BE$87,'Draft Board'!$BD$2:$BD$87,"="&amp;BD58),0,IF(OR(BF58=1,IFERROR(FLOOR((BG58-BD58)/BG58/0.25,1),0)&lt;&gt;IFERROR(FLOOR((BG58-_xlfn.MINIFS('Draft Board'!$BD$2:$BD$87,'Draft Board'!$BD$2:$BD$87,"&gt;"&amp;BD58))/BG58/0.25,1),0)),1,0))</f>
        <v>0</v>
      </c>
      <c r="BI58" s="14">
        <f>ROUND(1+BD58*'Live Calc'!$D$29,0)</f>
        <v>1</v>
      </c>
      <c r="BJ58" s="14"/>
      <c r="BK58" s="14">
        <f>IF(BJ58&lt;&gt;"",BJ58,ROUND(BI58*INDEX('Live Calc'!$G$454:$G$539,MATCH(BC58,'Live Calc'!$A$454:$A$539,0))*'Live Calc'!$J$543,0))</f>
        <v>1</v>
      </c>
    </row>
    <row r="59" spans="1:63" x14ac:dyDescent="0.25">
      <c r="A59" s="11" t="s">
        <v>321</v>
      </c>
      <c r="B59" s="11" t="s">
        <v>77</v>
      </c>
      <c r="C59" s="11">
        <v>12.76</v>
      </c>
      <c r="D59" s="11">
        <v>12.76</v>
      </c>
      <c r="E59" s="11">
        <v>12.76</v>
      </c>
      <c r="F59" s="11">
        <f>CHOOSE(MATCH(Setup!$B$7,{"STD","Half-PPR","PPR"},0),C59,D59,E59)</f>
        <v>12.76</v>
      </c>
      <c r="G59" s="11">
        <f>COUNTIFS('Draft Board'!$H$2:$H$61,"&gt;="&amp;H59,'Draft Board'!$L$2:$L$61,1)</f>
        <v>11</v>
      </c>
      <c r="H59" s="11">
        <f>MAX(0,F59-'Live Calc'!$H$19)^'Live Calc'!$E$19</f>
        <v>0</v>
      </c>
      <c r="I59" s="11">
        <v>59</v>
      </c>
      <c r="J59" s="11">
        <f>IF(I59&lt;&gt;_xlfn.MINIFS('Draft Board'!$I$2:$I$61,'Draft Board'!$H$2:$H$61,"="&amp;H59),0,IF(_xlfn.MINIFS('Draft Board'!$H$2:$H$61,'Draft Board'!$H$2:$H$61,"&gt;"&amp;H59)=0,1,IF((_xlfn.MINIFS('Draft Board'!$H$2:$H$61,'Draft Board'!$H$2:$H$61,"&gt;"&amp;H59)-H59)/_xlfn.MINIFS('Draft Board'!$H$2:$H$61,'Draft Board'!$H$2:$H$61,"&gt;"&amp;H59)&gt;0.08,1,0)))</f>
        <v>0</v>
      </c>
      <c r="K59" s="11">
        <f>_xlfn.MINIFS('Draft Board'!$H$2:$H$61,'Draft Board'!$H$2:$H$61,"&gt;="&amp;H59,'Draft Board'!$J$2:$J$61,1)</f>
        <v>0</v>
      </c>
      <c r="L59" s="11">
        <f>IF(I59&lt;&gt;_xlfn.MINIFS('Draft Board'!$I$2:$I$61,'Draft Board'!$H$2:$H$61,"="&amp;H59),0,IF(OR(J59=1,IFERROR(FLOOR((K59-H59)/K59/0.25,1),0)&lt;&gt;IFERROR(FLOOR((K59-_xlfn.MINIFS('Draft Board'!$H$2:$H$61,'Draft Board'!$H$2:$H$61,"&gt;"&amp;H59))/K59/0.25,1),0)),1,0))</f>
        <v>0</v>
      </c>
      <c r="M59" s="11">
        <f>ROUND(1+H59*'Live Calc'!$D$26,0)</f>
        <v>1</v>
      </c>
      <c r="N59" s="11"/>
      <c r="O59" s="11">
        <f>IF(N59&lt;&gt;"",N59,ROUND(M59*INDEX('Live Calc'!$G$33:$G$92,MATCH(G59,'Live Calc'!$A$33:$A$92,0))*'Live Calc'!$J$543,0))</f>
        <v>1</v>
      </c>
      <c r="Q59" s="12" t="s">
        <v>322</v>
      </c>
      <c r="R59" s="12" t="s">
        <v>75</v>
      </c>
      <c r="S59" s="12">
        <v>59.67</v>
      </c>
      <c r="T59" s="12">
        <v>66.040000000000006</v>
      </c>
      <c r="U59" s="12">
        <v>72.400000000000006</v>
      </c>
      <c r="V59" s="12">
        <f>CHOOSE(MATCH(Setup!$B$7,{"STD","Half-PPR","PPR"},0),S59,T59,U59)</f>
        <v>66.040000000000006</v>
      </c>
      <c r="W59" s="12">
        <f>COUNTIFS('Draft Board'!$X$2:$X$162,"&gt;="&amp;X59,'Draft Board'!$AB$2:$AB$162,1)</f>
        <v>19</v>
      </c>
      <c r="X59" s="12">
        <f>MAX(0,V59-'Live Calc'!$H$20)^'Live Calc'!$E$20</f>
        <v>0</v>
      </c>
      <c r="Y59" s="12">
        <v>59</v>
      </c>
      <c r="Z59" s="12">
        <f>IF(Y59&lt;&gt;_xlfn.MINIFS('Draft Board'!$Y$2:$Y$162,'Draft Board'!$X$2:$X$162,"="&amp;X59),0,IF(_xlfn.MINIFS('Draft Board'!$X$2:$X$162,'Draft Board'!$X$2:$X$162,"&gt;"&amp;X59)=0,1,IF((_xlfn.MINIFS('Draft Board'!$X$2:$X$162,'Draft Board'!$X$2:$X$162,"&gt;"&amp;X59)-X59)/_xlfn.MINIFS('Draft Board'!$X$2:$X$162,'Draft Board'!$X$2:$X$162,"&gt;"&amp;X59)&gt;0.08,1,0)))</f>
        <v>0</v>
      </c>
      <c r="AA59" s="12">
        <f>_xlfn.MINIFS('Draft Board'!$X$2:$X$162,'Draft Board'!$X$2:$X$162,"&gt;="&amp;X59,'Draft Board'!$Z$2:$Z$162,1)</f>
        <v>0</v>
      </c>
      <c r="AB59" s="12">
        <f>IF(Y59&lt;&gt;_xlfn.MINIFS('Draft Board'!$Y$2:$Y$162,'Draft Board'!$X$2:$X$162,"="&amp;X59),0,IF(OR(Z59=1,IFERROR(FLOOR((AA59-X59)/AA59/0.25,1),0)&lt;&gt;IFERROR(FLOOR((AA59-_xlfn.MINIFS('Draft Board'!$X$2:$X$162,'Draft Board'!$X$2:$X$162,"&gt;"&amp;X59))/AA59/0.25,1),0)),1,0))</f>
        <v>0</v>
      </c>
      <c r="AC59" s="12">
        <f>ROUND(1+X59*'Live Calc'!$D$27,0)</f>
        <v>1</v>
      </c>
      <c r="AD59" s="12"/>
      <c r="AE59" s="12">
        <f>IF(AD59&lt;&gt;"",AD59,ROUND(AC59*INDEX('Live Calc'!$G$96:$G$256,MATCH(W59,'Live Calc'!$A$96:$A$256,0))*'Live Calc'!$J$543,0))</f>
        <v>1</v>
      </c>
      <c r="AG59" s="13" t="s">
        <v>323</v>
      </c>
      <c r="AH59" s="13" t="s">
        <v>131</v>
      </c>
      <c r="AI59" s="13">
        <v>83.718000000000004</v>
      </c>
      <c r="AJ59" s="13">
        <v>106.712</v>
      </c>
      <c r="AK59" s="13">
        <v>129.61600000000001</v>
      </c>
      <c r="AL59" s="13">
        <f>CHOOSE(MATCH(Setup!$B$7,{"STD","Half-PPR","PPR"},0),AI59,AJ59,AK59)</f>
        <v>106.712</v>
      </c>
      <c r="AM59" s="13">
        <f>COUNTIFS('Draft Board'!$AN$2:$AN$192,"&gt;="&amp;AN59,'Draft Board'!$AR$2:$AR$192,1)</f>
        <v>20</v>
      </c>
      <c r="AN59" s="13">
        <f>MAX(0,AL59-'Live Calc'!$H$21)^'Live Calc'!$E$21</f>
        <v>5.3423215567765974</v>
      </c>
      <c r="AO59" s="13">
        <v>59</v>
      </c>
      <c r="AP59" s="13">
        <f>IF(AO59&lt;&gt;_xlfn.MINIFS('Draft Board'!$AO$2:$AO$192,'Draft Board'!$AN$2:$AN$192,"="&amp;AN59),0,IF(_xlfn.MINIFS('Draft Board'!$AN$2:$AN$192,'Draft Board'!$AN$2:$AN$192,"&gt;"&amp;AN59)=0,1,IF((_xlfn.MINIFS('Draft Board'!$AN$2:$AN$192,'Draft Board'!$AN$2:$AN$192,"&gt;"&amp;AN59)-AN59)/_xlfn.MINIFS('Draft Board'!$AN$2:$AN$192,'Draft Board'!$AN$2:$AN$192,"&gt;"&amp;AN59)&gt;0.08,1,0)))</f>
        <v>1</v>
      </c>
      <c r="AQ59" s="13">
        <f>_xlfn.MINIFS('Draft Board'!$AN$2:$AN$192,'Draft Board'!$AN$2:$AN$192,"&gt;="&amp;AN59,'Draft Board'!$AP$2:$AP$192,1)</f>
        <v>5.3423215567765974</v>
      </c>
      <c r="AR59" s="13">
        <f>IF(AO59&lt;&gt;_xlfn.MINIFS('Draft Board'!$AO$2:$AO$192,'Draft Board'!$AN$2:$AN$192,"="&amp;AN59),0,IF(OR(AP59=1,IFERROR(FLOOR((AQ59-AN59)/AQ59/0.25,1),0)&lt;&gt;IFERROR(FLOOR((AQ59-_xlfn.MINIFS('Draft Board'!$AN$2:$AN$192,'Draft Board'!$AN$2:$AN$192,"&gt;"&amp;AN59))/AQ59/0.25,1),0)),1,0))</f>
        <v>1</v>
      </c>
      <c r="AS59" s="13">
        <f>ROUND(1+AN59*'Live Calc'!$D$28,0)</f>
        <v>1</v>
      </c>
      <c r="AT59" s="13"/>
      <c r="AU59" s="13">
        <f>IF(AT59&lt;&gt;"",AT59,ROUND(AS59*INDEX('Live Calc'!$G$260:$G$450,MATCH(AM59,'Live Calc'!$A$260:$A$450,0))*'Live Calc'!$J$543,0))</f>
        <v>1</v>
      </c>
      <c r="AW59" s="14" t="s">
        <v>324</v>
      </c>
      <c r="AX59" s="14" t="s">
        <v>67</v>
      </c>
      <c r="AY59" s="14">
        <v>23.488</v>
      </c>
      <c r="AZ59" s="14">
        <v>32.533999999999999</v>
      </c>
      <c r="BA59" s="14">
        <v>41.764000000000003</v>
      </c>
      <c r="BB59" s="14">
        <f>CHOOSE(MATCH(Setup!$B$7,{"STD","Half-PPR","PPR"},0),AY59,AZ59,BA59)</f>
        <v>32.533999999999999</v>
      </c>
      <c r="BC59" s="14">
        <f>COUNTIFS('Draft Board'!$BD$2:$BD$87,"&gt;="&amp;BD59,'Draft Board'!$BH$2:$BH$87,1)</f>
        <v>18</v>
      </c>
      <c r="BD59" s="14">
        <f>MAX(0,BB59-'Live Calc'!$H$22)^'Live Calc'!$E$22</f>
        <v>0</v>
      </c>
      <c r="BE59" s="14">
        <v>59</v>
      </c>
      <c r="BF59" s="14">
        <f>IF(BE59&lt;&gt;_xlfn.MINIFS('Draft Board'!$BE$2:$BE$87,'Draft Board'!$BD$2:$BD$87,"="&amp;BD59),0,IF(_xlfn.MINIFS('Draft Board'!$BD$2:$BD$87,'Draft Board'!$BD$2:$BD$87,"&gt;"&amp;BD59)=0,1,IF((_xlfn.MINIFS('Draft Board'!$BD$2:$BD$87,'Draft Board'!$BD$2:$BD$87,"&gt;"&amp;BD59)-BD59)/_xlfn.MINIFS('Draft Board'!$BD$2:$BD$87,'Draft Board'!$BD$2:$BD$87,"&gt;"&amp;BD59)&gt;0.08,1,0)))</f>
        <v>0</v>
      </c>
      <c r="BG59" s="14">
        <f>_xlfn.MINIFS('Draft Board'!$BD$2:$BD$87,'Draft Board'!$BD$2:$BD$87,"&gt;="&amp;BD59,'Draft Board'!$BF$2:$BF$87,1)</f>
        <v>0</v>
      </c>
      <c r="BH59" s="14">
        <f>IF(BE59&lt;&gt;_xlfn.MINIFS('Draft Board'!$BE$2:$BE$87,'Draft Board'!$BD$2:$BD$87,"="&amp;BD59),0,IF(OR(BF59=1,IFERROR(FLOOR((BG59-BD59)/BG59/0.25,1),0)&lt;&gt;IFERROR(FLOOR((BG59-_xlfn.MINIFS('Draft Board'!$BD$2:$BD$87,'Draft Board'!$BD$2:$BD$87,"&gt;"&amp;BD59))/BG59/0.25,1),0)),1,0))</f>
        <v>0</v>
      </c>
      <c r="BI59" s="14">
        <f>ROUND(1+BD59*'Live Calc'!$D$29,0)</f>
        <v>1</v>
      </c>
      <c r="BJ59" s="14"/>
      <c r="BK59" s="14">
        <f>IF(BJ59&lt;&gt;"",BJ59,ROUND(BI59*INDEX('Live Calc'!$G$454:$G$539,MATCH(BC59,'Live Calc'!$A$454:$A$539,0))*'Live Calc'!$J$543,0))</f>
        <v>1</v>
      </c>
    </row>
    <row r="60" spans="1:63" x14ac:dyDescent="0.25">
      <c r="A60" s="11" t="s">
        <v>325</v>
      </c>
      <c r="B60" s="11" t="s">
        <v>61</v>
      </c>
      <c r="C60" s="11">
        <v>12.71</v>
      </c>
      <c r="D60" s="11">
        <v>12.71</v>
      </c>
      <c r="E60" s="11">
        <v>12.71</v>
      </c>
      <c r="F60" s="11">
        <f>CHOOSE(MATCH(Setup!$B$7,{"STD","Half-PPR","PPR"},0),C60,D60,E60)</f>
        <v>12.71</v>
      </c>
      <c r="G60" s="11">
        <f>COUNTIFS('Draft Board'!$H$2:$H$61,"&gt;="&amp;H60,'Draft Board'!$L$2:$L$61,1)</f>
        <v>11</v>
      </c>
      <c r="H60" s="11">
        <f>MAX(0,F60-'Live Calc'!$H$19)^'Live Calc'!$E$19</f>
        <v>0</v>
      </c>
      <c r="I60" s="11">
        <v>60</v>
      </c>
      <c r="J60" s="11">
        <f>IF(I60&lt;&gt;_xlfn.MINIFS('Draft Board'!$I$2:$I$61,'Draft Board'!$H$2:$H$61,"="&amp;H60),0,IF(_xlfn.MINIFS('Draft Board'!$H$2:$H$61,'Draft Board'!$H$2:$H$61,"&gt;"&amp;H60)=0,1,IF((_xlfn.MINIFS('Draft Board'!$H$2:$H$61,'Draft Board'!$H$2:$H$61,"&gt;"&amp;H60)-H60)/_xlfn.MINIFS('Draft Board'!$H$2:$H$61,'Draft Board'!$H$2:$H$61,"&gt;"&amp;H60)&gt;0.08,1,0)))</f>
        <v>0</v>
      </c>
      <c r="K60" s="11">
        <f>_xlfn.MINIFS('Draft Board'!$H$2:$H$61,'Draft Board'!$H$2:$H$61,"&gt;="&amp;H60,'Draft Board'!$J$2:$J$61,1)</f>
        <v>0</v>
      </c>
      <c r="L60" s="11">
        <f>IF(I60&lt;&gt;_xlfn.MINIFS('Draft Board'!$I$2:$I$61,'Draft Board'!$H$2:$H$61,"="&amp;H60),0,IF(OR(J60=1,IFERROR(FLOOR((K60-H60)/K60/0.25,1),0)&lt;&gt;IFERROR(FLOOR((K60-_xlfn.MINIFS('Draft Board'!$H$2:$H$61,'Draft Board'!$H$2:$H$61,"&gt;"&amp;H60))/K60/0.25,1),0)),1,0))</f>
        <v>0</v>
      </c>
      <c r="M60" s="11">
        <f>ROUND(1+H60*'Live Calc'!$D$26,0)</f>
        <v>1</v>
      </c>
      <c r="N60" s="11"/>
      <c r="O60" s="11">
        <f>IF(N60&lt;&gt;"",N60,ROUND(M60*INDEX('Live Calc'!$G$33:$G$92,MATCH(G60,'Live Calc'!$A$33:$A$92,0))*'Live Calc'!$J$543,0))</f>
        <v>1</v>
      </c>
      <c r="Q60" s="12" t="s">
        <v>326</v>
      </c>
      <c r="R60" s="12" t="s">
        <v>94</v>
      </c>
      <c r="S60" s="12">
        <v>58.143999999999998</v>
      </c>
      <c r="T60" s="12">
        <v>64.099999999999994</v>
      </c>
      <c r="U60" s="12">
        <v>71.488</v>
      </c>
      <c r="V60" s="12">
        <f>CHOOSE(MATCH(Setup!$B$7,{"STD","Half-PPR","PPR"},0),S60,T60,U60)</f>
        <v>64.099999999999994</v>
      </c>
      <c r="W60" s="12">
        <f>COUNTIFS('Draft Board'!$X$2:$X$162,"&gt;="&amp;X60,'Draft Board'!$AB$2:$AB$162,1)</f>
        <v>19</v>
      </c>
      <c r="X60" s="12">
        <f>MAX(0,V60-'Live Calc'!$H$20)^'Live Calc'!$E$20</f>
        <v>0</v>
      </c>
      <c r="Y60" s="12">
        <v>60</v>
      </c>
      <c r="Z60" s="12">
        <f>IF(Y60&lt;&gt;_xlfn.MINIFS('Draft Board'!$Y$2:$Y$162,'Draft Board'!$X$2:$X$162,"="&amp;X60),0,IF(_xlfn.MINIFS('Draft Board'!$X$2:$X$162,'Draft Board'!$X$2:$X$162,"&gt;"&amp;X60)=0,1,IF((_xlfn.MINIFS('Draft Board'!$X$2:$X$162,'Draft Board'!$X$2:$X$162,"&gt;"&amp;X60)-X60)/_xlfn.MINIFS('Draft Board'!$X$2:$X$162,'Draft Board'!$X$2:$X$162,"&gt;"&amp;X60)&gt;0.08,1,0)))</f>
        <v>0</v>
      </c>
      <c r="AA60" s="12">
        <f>_xlfn.MINIFS('Draft Board'!$X$2:$X$162,'Draft Board'!$X$2:$X$162,"&gt;="&amp;X60,'Draft Board'!$Z$2:$Z$162,1)</f>
        <v>0</v>
      </c>
      <c r="AB60" s="12">
        <f>IF(Y60&lt;&gt;_xlfn.MINIFS('Draft Board'!$Y$2:$Y$162,'Draft Board'!$X$2:$X$162,"="&amp;X60),0,IF(OR(Z60=1,IFERROR(FLOOR((AA60-X60)/AA60/0.25,1),0)&lt;&gt;IFERROR(FLOOR((AA60-_xlfn.MINIFS('Draft Board'!$X$2:$X$162,'Draft Board'!$X$2:$X$162,"&gt;"&amp;X60))/AA60/0.25,1),0)),1,0))</f>
        <v>0</v>
      </c>
      <c r="AC60" s="12">
        <f>ROUND(1+X60*'Live Calc'!$D$27,0)</f>
        <v>1</v>
      </c>
      <c r="AD60" s="12"/>
      <c r="AE60" s="12">
        <f>IF(AD60&lt;&gt;"",AD60,ROUND(AC60*INDEX('Live Calc'!$G$96:$G$256,MATCH(W60,'Live Calc'!$A$96:$A$256,0))*'Live Calc'!$J$543,0))</f>
        <v>1</v>
      </c>
      <c r="AG60" s="13" t="s">
        <v>327</v>
      </c>
      <c r="AH60" s="13" t="s">
        <v>75</v>
      </c>
      <c r="AI60" s="13">
        <v>81.956000000000003</v>
      </c>
      <c r="AJ60" s="13">
        <v>105.462</v>
      </c>
      <c r="AK60" s="13">
        <v>127.914</v>
      </c>
      <c r="AL60" s="13">
        <f>CHOOSE(MATCH(Setup!$B$7,{"STD","Half-PPR","PPR"},0),AI60,AJ60,AK60)</f>
        <v>105.462</v>
      </c>
      <c r="AM60" s="13">
        <f>COUNTIFS('Draft Board'!$AN$2:$AN$192,"&gt;="&amp;AN60,'Draft Board'!$AR$2:$AR$192,1)</f>
        <v>21</v>
      </c>
      <c r="AN60" s="13">
        <f>MAX(0,AL60-'Live Calc'!$H$21)^'Live Calc'!$E$21</f>
        <v>2.4270382395009711</v>
      </c>
      <c r="AO60" s="13">
        <v>60</v>
      </c>
      <c r="AP60" s="13">
        <f>IF(AO60&lt;&gt;_xlfn.MINIFS('Draft Board'!$AO$2:$AO$192,'Draft Board'!$AN$2:$AN$192,"="&amp;AN60),0,IF(_xlfn.MINIFS('Draft Board'!$AN$2:$AN$192,'Draft Board'!$AN$2:$AN$192,"&gt;"&amp;AN60)=0,1,IF((_xlfn.MINIFS('Draft Board'!$AN$2:$AN$192,'Draft Board'!$AN$2:$AN$192,"&gt;"&amp;AN60)-AN60)/_xlfn.MINIFS('Draft Board'!$AN$2:$AN$192,'Draft Board'!$AN$2:$AN$192,"&gt;"&amp;AN60)&gt;0.08,1,0)))</f>
        <v>1</v>
      </c>
      <c r="AQ60" s="13">
        <f>_xlfn.MINIFS('Draft Board'!$AN$2:$AN$192,'Draft Board'!$AN$2:$AN$192,"&gt;="&amp;AN60,'Draft Board'!$AP$2:$AP$192,1)</f>
        <v>2.4270382395009711</v>
      </c>
      <c r="AR60" s="13">
        <f>IF(AO60&lt;&gt;_xlfn.MINIFS('Draft Board'!$AO$2:$AO$192,'Draft Board'!$AN$2:$AN$192,"="&amp;AN60),0,IF(OR(AP60=1,IFERROR(FLOOR((AQ60-AN60)/AQ60/0.25,1),0)&lt;&gt;IFERROR(FLOOR((AQ60-_xlfn.MINIFS('Draft Board'!$AN$2:$AN$192,'Draft Board'!$AN$2:$AN$192,"&gt;"&amp;AN60))/AQ60/0.25,1),0)),1,0))</f>
        <v>1</v>
      </c>
      <c r="AS60" s="13">
        <f>ROUND(1+AN60*'Live Calc'!$D$28,0)</f>
        <v>1</v>
      </c>
      <c r="AT60" s="13"/>
      <c r="AU60" s="13">
        <f>IF(AT60&lt;&gt;"",AT60,ROUND(AS60*INDEX('Live Calc'!$G$260:$G$450,MATCH(AM60,'Live Calc'!$A$260:$A$450,0))*'Live Calc'!$J$543,0))</f>
        <v>1</v>
      </c>
      <c r="AW60" s="14" t="s">
        <v>328</v>
      </c>
      <c r="AX60" s="14" t="s">
        <v>65</v>
      </c>
      <c r="AY60" s="14">
        <v>23.442</v>
      </c>
      <c r="AZ60" s="14">
        <v>32.51</v>
      </c>
      <c r="BA60" s="14">
        <v>39.549999999999997</v>
      </c>
      <c r="BB60" s="14">
        <f>CHOOSE(MATCH(Setup!$B$7,{"STD","Half-PPR","PPR"},0),AY60,AZ60,BA60)</f>
        <v>32.51</v>
      </c>
      <c r="BC60" s="14">
        <f>COUNTIFS('Draft Board'!$BD$2:$BD$87,"&gt;="&amp;BD60,'Draft Board'!$BH$2:$BH$87,1)</f>
        <v>18</v>
      </c>
      <c r="BD60" s="14">
        <f>MAX(0,BB60-'Live Calc'!$H$22)^'Live Calc'!$E$22</f>
        <v>0</v>
      </c>
      <c r="BE60" s="14">
        <v>60</v>
      </c>
      <c r="BF60" s="14">
        <f>IF(BE60&lt;&gt;_xlfn.MINIFS('Draft Board'!$BE$2:$BE$87,'Draft Board'!$BD$2:$BD$87,"="&amp;BD60),0,IF(_xlfn.MINIFS('Draft Board'!$BD$2:$BD$87,'Draft Board'!$BD$2:$BD$87,"&gt;"&amp;BD60)=0,1,IF((_xlfn.MINIFS('Draft Board'!$BD$2:$BD$87,'Draft Board'!$BD$2:$BD$87,"&gt;"&amp;BD60)-BD60)/_xlfn.MINIFS('Draft Board'!$BD$2:$BD$87,'Draft Board'!$BD$2:$BD$87,"&gt;"&amp;BD60)&gt;0.08,1,0)))</f>
        <v>0</v>
      </c>
      <c r="BG60" s="14">
        <f>_xlfn.MINIFS('Draft Board'!$BD$2:$BD$87,'Draft Board'!$BD$2:$BD$87,"&gt;="&amp;BD60,'Draft Board'!$BF$2:$BF$87,1)</f>
        <v>0</v>
      </c>
      <c r="BH60" s="14">
        <f>IF(BE60&lt;&gt;_xlfn.MINIFS('Draft Board'!$BE$2:$BE$87,'Draft Board'!$BD$2:$BD$87,"="&amp;BD60),0,IF(OR(BF60=1,IFERROR(FLOOR((BG60-BD60)/BG60/0.25,1),0)&lt;&gt;IFERROR(FLOOR((BG60-_xlfn.MINIFS('Draft Board'!$BD$2:$BD$87,'Draft Board'!$BD$2:$BD$87,"&gt;"&amp;BD60))/BG60/0.25,1),0)),1,0))</f>
        <v>0</v>
      </c>
      <c r="BI60" s="14">
        <f>ROUND(1+BD60*'Live Calc'!$D$29,0)</f>
        <v>1</v>
      </c>
      <c r="BJ60" s="14"/>
      <c r="BK60" s="14">
        <f>IF(BJ60&lt;&gt;"",BJ60,ROUND(BI60*INDEX('Live Calc'!$G$454:$G$539,MATCH(BC60,'Live Calc'!$A$454:$A$539,0))*'Live Calc'!$J$543,0))</f>
        <v>1</v>
      </c>
    </row>
    <row r="61" spans="1:63" x14ac:dyDescent="0.25">
      <c r="A61" s="11" t="s">
        <v>329</v>
      </c>
      <c r="B61" s="11" t="s">
        <v>94</v>
      </c>
      <c r="C61" s="11">
        <v>12.59</v>
      </c>
      <c r="D61" s="11">
        <v>12.59</v>
      </c>
      <c r="E61" s="11">
        <v>12.59</v>
      </c>
      <c r="F61" s="11">
        <f>CHOOSE(MATCH(Setup!$B$7,{"STD","Half-PPR","PPR"},0),C61,D61,E61)</f>
        <v>12.59</v>
      </c>
      <c r="G61" s="11">
        <f>COUNTIFS('Draft Board'!$H$2:$H$61,"&gt;="&amp;H61,'Draft Board'!$L$2:$L$61,1)</f>
        <v>11</v>
      </c>
      <c r="H61" s="11">
        <f>MAX(0,F61-'Live Calc'!$H$19)^'Live Calc'!$E$19</f>
        <v>0</v>
      </c>
      <c r="I61" s="11">
        <v>61</v>
      </c>
      <c r="J61" s="11">
        <f>IF(I61&lt;&gt;_xlfn.MINIFS('Draft Board'!$I$2:$I$61,'Draft Board'!$H$2:$H$61,"="&amp;H61),0,IF(_xlfn.MINIFS('Draft Board'!$H$2:$H$61,'Draft Board'!$H$2:$H$61,"&gt;"&amp;H61)=0,1,IF((_xlfn.MINIFS('Draft Board'!$H$2:$H$61,'Draft Board'!$H$2:$H$61,"&gt;"&amp;H61)-H61)/_xlfn.MINIFS('Draft Board'!$H$2:$H$61,'Draft Board'!$H$2:$H$61,"&gt;"&amp;H61)&gt;0.08,1,0)))</f>
        <v>0</v>
      </c>
      <c r="K61" s="11">
        <f>_xlfn.MINIFS('Draft Board'!$H$2:$H$61,'Draft Board'!$H$2:$H$61,"&gt;="&amp;H61,'Draft Board'!$J$2:$J$61,1)</f>
        <v>0</v>
      </c>
      <c r="L61" s="11">
        <f>IF(I61&lt;&gt;_xlfn.MINIFS('Draft Board'!$I$2:$I$61,'Draft Board'!$H$2:$H$61,"="&amp;H61),0,IF(OR(J61=1,IFERROR(FLOOR((K61-H61)/K61/0.25,1),0)&lt;&gt;IFERROR(FLOOR((K61-_xlfn.MINIFS('Draft Board'!$H$2:$H$61,'Draft Board'!$H$2:$H$61,"&gt;"&amp;H61))/K61/0.25,1),0)),1,0))</f>
        <v>0</v>
      </c>
      <c r="M61" s="11">
        <f>ROUND(1+H61*'Live Calc'!$D$26,0)</f>
        <v>1</v>
      </c>
      <c r="N61" s="11"/>
      <c r="O61" s="11">
        <f>IF(N61&lt;&gt;"",N61,ROUND(M61*INDEX('Live Calc'!$G$33:$G$92,MATCH(G61,'Live Calc'!$A$33:$A$92,0))*'Live Calc'!$J$543,0))</f>
        <v>1</v>
      </c>
      <c r="Q61" s="12" t="s">
        <v>330</v>
      </c>
      <c r="R61" s="12" t="s">
        <v>73</v>
      </c>
      <c r="S61" s="12">
        <v>56.021999999999998</v>
      </c>
      <c r="T61" s="12">
        <v>62.77</v>
      </c>
      <c r="U61" s="12">
        <v>70.290000000000006</v>
      </c>
      <c r="V61" s="12">
        <f>CHOOSE(MATCH(Setup!$B$7,{"STD","Half-PPR","PPR"},0),S61,T61,U61)</f>
        <v>62.77</v>
      </c>
      <c r="W61" s="12">
        <f>COUNTIFS('Draft Board'!$X$2:$X$162,"&gt;="&amp;X61,'Draft Board'!$AB$2:$AB$162,1)</f>
        <v>19</v>
      </c>
      <c r="X61" s="12">
        <f>MAX(0,V61-'Live Calc'!$H$20)^'Live Calc'!$E$20</f>
        <v>0</v>
      </c>
      <c r="Y61" s="12">
        <v>61</v>
      </c>
      <c r="Z61" s="12">
        <f>IF(Y61&lt;&gt;_xlfn.MINIFS('Draft Board'!$Y$2:$Y$162,'Draft Board'!$X$2:$X$162,"="&amp;X61),0,IF(_xlfn.MINIFS('Draft Board'!$X$2:$X$162,'Draft Board'!$X$2:$X$162,"&gt;"&amp;X61)=0,1,IF((_xlfn.MINIFS('Draft Board'!$X$2:$X$162,'Draft Board'!$X$2:$X$162,"&gt;"&amp;X61)-X61)/_xlfn.MINIFS('Draft Board'!$X$2:$X$162,'Draft Board'!$X$2:$X$162,"&gt;"&amp;X61)&gt;0.08,1,0)))</f>
        <v>0</v>
      </c>
      <c r="AA61" s="12">
        <f>_xlfn.MINIFS('Draft Board'!$X$2:$X$162,'Draft Board'!$X$2:$X$162,"&gt;="&amp;X61,'Draft Board'!$Z$2:$Z$162,1)</f>
        <v>0</v>
      </c>
      <c r="AB61" s="12">
        <f>IF(Y61&lt;&gt;_xlfn.MINIFS('Draft Board'!$Y$2:$Y$162,'Draft Board'!$X$2:$X$162,"="&amp;X61),0,IF(OR(Z61=1,IFERROR(FLOOR((AA61-X61)/AA61/0.25,1),0)&lt;&gt;IFERROR(FLOOR((AA61-_xlfn.MINIFS('Draft Board'!$X$2:$X$162,'Draft Board'!$X$2:$X$162,"&gt;"&amp;X61))/AA61/0.25,1),0)),1,0))</f>
        <v>0</v>
      </c>
      <c r="AC61" s="12">
        <f>ROUND(1+X61*'Live Calc'!$D$27,0)</f>
        <v>1</v>
      </c>
      <c r="AD61" s="12"/>
      <c r="AE61" s="12">
        <f>IF(AD61&lt;&gt;"",AD61,ROUND(AC61*INDEX('Live Calc'!$G$96:$G$256,MATCH(W61,'Live Calc'!$A$96:$A$256,0))*'Live Calc'!$J$543,0))</f>
        <v>1</v>
      </c>
      <c r="AG61" s="13" t="s">
        <v>331</v>
      </c>
      <c r="AH61" s="13" t="s">
        <v>159</v>
      </c>
      <c r="AI61" s="13">
        <v>81.847999999999999</v>
      </c>
      <c r="AJ61" s="13">
        <v>103.65600000000001</v>
      </c>
      <c r="AK61" s="13">
        <v>126.43600000000001</v>
      </c>
      <c r="AL61" s="13">
        <f>CHOOSE(MATCH(Setup!$B$7,{"STD","Half-PPR","PPR"},0),AI61,AJ61,AK61)</f>
        <v>103.65600000000001</v>
      </c>
      <c r="AM61" s="13">
        <f>COUNTIFS('Draft Board'!$AN$2:$AN$192,"&gt;="&amp;AN61,'Draft Board'!$AR$2:$AR$192,1)</f>
        <v>22</v>
      </c>
      <c r="AN61" s="13">
        <f>MAX(0,AL61-'Live Calc'!$H$21)^'Live Calc'!$E$21</f>
        <v>0</v>
      </c>
      <c r="AO61" s="13">
        <v>61</v>
      </c>
      <c r="AP61" s="13">
        <f>IF(AO61&lt;&gt;_xlfn.MINIFS('Draft Board'!$AO$2:$AO$192,'Draft Board'!$AN$2:$AN$192,"="&amp;AN61),0,IF(_xlfn.MINIFS('Draft Board'!$AN$2:$AN$192,'Draft Board'!$AN$2:$AN$192,"&gt;"&amp;AN61)=0,1,IF((_xlfn.MINIFS('Draft Board'!$AN$2:$AN$192,'Draft Board'!$AN$2:$AN$192,"&gt;"&amp;AN61)-AN61)/_xlfn.MINIFS('Draft Board'!$AN$2:$AN$192,'Draft Board'!$AN$2:$AN$192,"&gt;"&amp;AN61)&gt;0.08,1,0)))</f>
        <v>1</v>
      </c>
      <c r="AQ61" s="13">
        <f>_xlfn.MINIFS('Draft Board'!$AN$2:$AN$192,'Draft Board'!$AN$2:$AN$192,"&gt;="&amp;AN61,'Draft Board'!$AP$2:$AP$192,1)</f>
        <v>0</v>
      </c>
      <c r="AR61" s="13">
        <f>IF(AO61&lt;&gt;_xlfn.MINIFS('Draft Board'!$AO$2:$AO$192,'Draft Board'!$AN$2:$AN$192,"="&amp;AN61),0,IF(OR(AP61=1,IFERROR(FLOOR((AQ61-AN61)/AQ61/0.25,1),0)&lt;&gt;IFERROR(FLOOR((AQ61-_xlfn.MINIFS('Draft Board'!$AN$2:$AN$192,'Draft Board'!$AN$2:$AN$192,"&gt;"&amp;AN61))/AQ61/0.25,1),0)),1,0))</f>
        <v>1</v>
      </c>
      <c r="AS61" s="13">
        <f>ROUND(1+AN61*'Live Calc'!$D$28,0)</f>
        <v>1</v>
      </c>
      <c r="AT61" s="13"/>
      <c r="AU61" s="13">
        <f>IF(AT61&lt;&gt;"",AT61,ROUND(AS61*INDEX('Live Calc'!$G$260:$G$450,MATCH(AM61,'Live Calc'!$A$260:$A$450,0))*'Live Calc'!$J$543,0))</f>
        <v>1</v>
      </c>
      <c r="AW61" s="14" t="s">
        <v>332</v>
      </c>
      <c r="AX61" s="14" t="s">
        <v>139</v>
      </c>
      <c r="AY61" s="14">
        <v>23.68</v>
      </c>
      <c r="AZ61" s="14">
        <v>32.03</v>
      </c>
      <c r="BA61" s="14">
        <v>40.380000000000003</v>
      </c>
      <c r="BB61" s="14">
        <f>CHOOSE(MATCH(Setup!$B$7,{"STD","Half-PPR","PPR"},0),AY61,AZ61,BA61)</f>
        <v>32.03</v>
      </c>
      <c r="BC61" s="14">
        <f>COUNTIFS('Draft Board'!$BD$2:$BD$87,"&gt;="&amp;BD61,'Draft Board'!$BH$2:$BH$87,1)</f>
        <v>18</v>
      </c>
      <c r="BD61" s="14">
        <f>MAX(0,BB61-'Live Calc'!$H$22)^'Live Calc'!$E$22</f>
        <v>0</v>
      </c>
      <c r="BE61" s="14">
        <v>61</v>
      </c>
      <c r="BF61" s="14">
        <f>IF(BE61&lt;&gt;_xlfn.MINIFS('Draft Board'!$BE$2:$BE$87,'Draft Board'!$BD$2:$BD$87,"="&amp;BD61),0,IF(_xlfn.MINIFS('Draft Board'!$BD$2:$BD$87,'Draft Board'!$BD$2:$BD$87,"&gt;"&amp;BD61)=0,1,IF((_xlfn.MINIFS('Draft Board'!$BD$2:$BD$87,'Draft Board'!$BD$2:$BD$87,"&gt;"&amp;BD61)-BD61)/_xlfn.MINIFS('Draft Board'!$BD$2:$BD$87,'Draft Board'!$BD$2:$BD$87,"&gt;"&amp;BD61)&gt;0.08,1,0)))</f>
        <v>0</v>
      </c>
      <c r="BG61" s="14">
        <f>_xlfn.MINIFS('Draft Board'!$BD$2:$BD$87,'Draft Board'!$BD$2:$BD$87,"&gt;="&amp;BD61,'Draft Board'!$BF$2:$BF$87,1)</f>
        <v>0</v>
      </c>
      <c r="BH61" s="14">
        <f>IF(BE61&lt;&gt;_xlfn.MINIFS('Draft Board'!$BE$2:$BE$87,'Draft Board'!$BD$2:$BD$87,"="&amp;BD61),0,IF(OR(BF61=1,IFERROR(FLOOR((BG61-BD61)/BG61/0.25,1),0)&lt;&gt;IFERROR(FLOOR((BG61-_xlfn.MINIFS('Draft Board'!$BD$2:$BD$87,'Draft Board'!$BD$2:$BD$87,"&gt;"&amp;BD61))/BG61/0.25,1),0)),1,0))</f>
        <v>0</v>
      </c>
      <c r="BI61" s="14">
        <f>ROUND(1+BD61*'Live Calc'!$D$29,0)</f>
        <v>1</v>
      </c>
      <c r="BJ61" s="14"/>
      <c r="BK61" s="14">
        <f>IF(BJ61&lt;&gt;"",BJ61,ROUND(BI61*INDEX('Live Calc'!$G$454:$G$539,MATCH(BC61,'Live Calc'!$A$454:$A$539,0))*'Live Calc'!$J$543,0))</f>
        <v>1</v>
      </c>
    </row>
    <row r="62" spans="1:63" x14ac:dyDescent="0.25">
      <c r="Q62" s="12" t="s">
        <v>333</v>
      </c>
      <c r="R62" s="12" t="s">
        <v>120</v>
      </c>
      <c r="S62" s="12">
        <v>50.677999999999997</v>
      </c>
      <c r="T62" s="12">
        <v>59.62</v>
      </c>
      <c r="U62" s="12">
        <v>66.882000000000005</v>
      </c>
      <c r="V62" s="12">
        <f>CHOOSE(MATCH(Setup!$B$7,{"STD","Half-PPR","PPR"},0),S62,T62,U62)</f>
        <v>59.62</v>
      </c>
      <c r="W62" s="12">
        <f>COUNTIFS('Draft Board'!$X$2:$X$162,"&gt;="&amp;X62,'Draft Board'!$AB$2:$AB$162,1)</f>
        <v>19</v>
      </c>
      <c r="X62" s="12">
        <f>MAX(0,V62-'Live Calc'!$H$20)^'Live Calc'!$E$20</f>
        <v>0</v>
      </c>
      <c r="Y62" s="12">
        <v>62</v>
      </c>
      <c r="Z62" s="12">
        <f>IF(Y62&lt;&gt;_xlfn.MINIFS('Draft Board'!$Y$2:$Y$162,'Draft Board'!$X$2:$X$162,"="&amp;X62),0,IF(_xlfn.MINIFS('Draft Board'!$X$2:$X$162,'Draft Board'!$X$2:$X$162,"&gt;"&amp;X62)=0,1,IF((_xlfn.MINIFS('Draft Board'!$X$2:$X$162,'Draft Board'!$X$2:$X$162,"&gt;"&amp;X62)-X62)/_xlfn.MINIFS('Draft Board'!$X$2:$X$162,'Draft Board'!$X$2:$X$162,"&gt;"&amp;X62)&gt;0.08,1,0)))</f>
        <v>0</v>
      </c>
      <c r="AA62" s="12">
        <f>_xlfn.MINIFS('Draft Board'!$X$2:$X$162,'Draft Board'!$X$2:$X$162,"&gt;="&amp;X62,'Draft Board'!$Z$2:$Z$162,1)</f>
        <v>0</v>
      </c>
      <c r="AB62" s="12">
        <f>IF(Y62&lt;&gt;_xlfn.MINIFS('Draft Board'!$Y$2:$Y$162,'Draft Board'!$X$2:$X$162,"="&amp;X62),0,IF(OR(Z62=1,IFERROR(FLOOR((AA62-X62)/AA62/0.25,1),0)&lt;&gt;IFERROR(FLOOR((AA62-_xlfn.MINIFS('Draft Board'!$X$2:$X$162,'Draft Board'!$X$2:$X$162,"&gt;"&amp;X62))/AA62/0.25,1),0)),1,0))</f>
        <v>0</v>
      </c>
      <c r="AC62" s="12">
        <f>ROUND(1+X62*'Live Calc'!$D$27,0)</f>
        <v>1</v>
      </c>
      <c r="AD62" s="12"/>
      <c r="AE62" s="12">
        <f>IF(AD62&lt;&gt;"",AD62,ROUND(AC62*INDEX('Live Calc'!$G$96:$G$256,MATCH(W62,'Live Calc'!$A$96:$A$256,0))*'Live Calc'!$J$543,0))</f>
        <v>1</v>
      </c>
      <c r="AG62" s="13" t="s">
        <v>334</v>
      </c>
      <c r="AH62" s="13" t="s">
        <v>75</v>
      </c>
      <c r="AI62" s="13">
        <v>80.02</v>
      </c>
      <c r="AJ62" s="13">
        <v>102.206</v>
      </c>
      <c r="AK62" s="13">
        <v>124.19799999999999</v>
      </c>
      <c r="AL62" s="13">
        <f>CHOOSE(MATCH(Setup!$B$7,{"STD","Half-PPR","PPR"},0),AI62,AJ62,AK62)</f>
        <v>102.206</v>
      </c>
      <c r="AM62" s="13">
        <f>COUNTIFS('Draft Board'!$AN$2:$AN$192,"&gt;="&amp;AN62,'Draft Board'!$AR$2:$AR$192,1)</f>
        <v>22</v>
      </c>
      <c r="AN62" s="13">
        <f>MAX(0,AL62-'Live Calc'!$H$21)^'Live Calc'!$E$21</f>
        <v>0</v>
      </c>
      <c r="AO62" s="13">
        <v>62</v>
      </c>
      <c r="AP62" s="13">
        <f>IF(AO62&lt;&gt;_xlfn.MINIFS('Draft Board'!$AO$2:$AO$192,'Draft Board'!$AN$2:$AN$192,"="&amp;AN62),0,IF(_xlfn.MINIFS('Draft Board'!$AN$2:$AN$192,'Draft Board'!$AN$2:$AN$192,"&gt;"&amp;AN62)=0,1,IF((_xlfn.MINIFS('Draft Board'!$AN$2:$AN$192,'Draft Board'!$AN$2:$AN$192,"&gt;"&amp;AN62)-AN62)/_xlfn.MINIFS('Draft Board'!$AN$2:$AN$192,'Draft Board'!$AN$2:$AN$192,"&gt;"&amp;AN62)&gt;0.08,1,0)))</f>
        <v>0</v>
      </c>
      <c r="AQ62" s="13">
        <f>_xlfn.MINIFS('Draft Board'!$AN$2:$AN$192,'Draft Board'!$AN$2:$AN$192,"&gt;="&amp;AN62,'Draft Board'!$AP$2:$AP$192,1)</f>
        <v>0</v>
      </c>
      <c r="AR62" s="13">
        <f>IF(AO62&lt;&gt;_xlfn.MINIFS('Draft Board'!$AO$2:$AO$192,'Draft Board'!$AN$2:$AN$192,"="&amp;AN62),0,IF(OR(AP62=1,IFERROR(FLOOR((AQ62-AN62)/AQ62/0.25,1),0)&lt;&gt;IFERROR(FLOOR((AQ62-_xlfn.MINIFS('Draft Board'!$AN$2:$AN$192,'Draft Board'!$AN$2:$AN$192,"&gt;"&amp;AN62))/AQ62/0.25,1),0)),1,0))</f>
        <v>0</v>
      </c>
      <c r="AS62" s="13">
        <f>ROUND(1+AN62*'Live Calc'!$D$28,0)</f>
        <v>1</v>
      </c>
      <c r="AT62" s="13"/>
      <c r="AU62" s="13">
        <f>IF(AT62&lt;&gt;"",AT62,ROUND(AS62*INDEX('Live Calc'!$G$260:$G$450,MATCH(AM62,'Live Calc'!$A$260:$A$450,0))*'Live Calc'!$J$543,0))</f>
        <v>1</v>
      </c>
      <c r="AW62" s="14" t="s">
        <v>335</v>
      </c>
      <c r="AX62" s="14" t="s">
        <v>96</v>
      </c>
      <c r="AY62" s="14">
        <v>23.14</v>
      </c>
      <c r="AZ62" s="14">
        <v>31.99</v>
      </c>
      <c r="BA62" s="14">
        <v>40.479999999999997</v>
      </c>
      <c r="BB62" s="14">
        <f>CHOOSE(MATCH(Setup!$B$7,{"STD","Half-PPR","PPR"},0),AY62,AZ62,BA62)</f>
        <v>31.99</v>
      </c>
      <c r="BC62" s="14">
        <f>COUNTIFS('Draft Board'!$BD$2:$BD$87,"&gt;="&amp;BD62,'Draft Board'!$BH$2:$BH$87,1)</f>
        <v>18</v>
      </c>
      <c r="BD62" s="14">
        <f>MAX(0,BB62-'Live Calc'!$H$22)^'Live Calc'!$E$22</f>
        <v>0</v>
      </c>
      <c r="BE62" s="14">
        <v>62</v>
      </c>
      <c r="BF62" s="14">
        <f>IF(BE62&lt;&gt;_xlfn.MINIFS('Draft Board'!$BE$2:$BE$87,'Draft Board'!$BD$2:$BD$87,"="&amp;BD62),0,IF(_xlfn.MINIFS('Draft Board'!$BD$2:$BD$87,'Draft Board'!$BD$2:$BD$87,"&gt;"&amp;BD62)=0,1,IF((_xlfn.MINIFS('Draft Board'!$BD$2:$BD$87,'Draft Board'!$BD$2:$BD$87,"&gt;"&amp;BD62)-BD62)/_xlfn.MINIFS('Draft Board'!$BD$2:$BD$87,'Draft Board'!$BD$2:$BD$87,"&gt;"&amp;BD62)&gt;0.08,1,0)))</f>
        <v>0</v>
      </c>
      <c r="BG62" s="14">
        <f>_xlfn.MINIFS('Draft Board'!$BD$2:$BD$87,'Draft Board'!$BD$2:$BD$87,"&gt;="&amp;BD62,'Draft Board'!$BF$2:$BF$87,1)</f>
        <v>0</v>
      </c>
      <c r="BH62" s="14">
        <f>IF(BE62&lt;&gt;_xlfn.MINIFS('Draft Board'!$BE$2:$BE$87,'Draft Board'!$BD$2:$BD$87,"="&amp;BD62),0,IF(OR(BF62=1,IFERROR(FLOOR((BG62-BD62)/BG62/0.25,1),0)&lt;&gt;IFERROR(FLOOR((BG62-_xlfn.MINIFS('Draft Board'!$BD$2:$BD$87,'Draft Board'!$BD$2:$BD$87,"&gt;"&amp;BD62))/BG62/0.25,1),0)),1,0))</f>
        <v>0</v>
      </c>
      <c r="BI62" s="14">
        <f>ROUND(1+BD62*'Live Calc'!$D$29,0)</f>
        <v>1</v>
      </c>
      <c r="BJ62" s="14"/>
      <c r="BK62" s="14">
        <f>IF(BJ62&lt;&gt;"",BJ62,ROUND(BI62*INDEX('Live Calc'!$G$454:$G$539,MATCH(BC62,'Live Calc'!$A$454:$A$539,0))*'Live Calc'!$J$543,0))</f>
        <v>1</v>
      </c>
    </row>
    <row r="63" spans="1:63" x14ac:dyDescent="0.25">
      <c r="Q63" s="12" t="s">
        <v>336</v>
      </c>
      <c r="R63" s="12" t="s">
        <v>61</v>
      </c>
      <c r="S63" s="12">
        <v>49.19</v>
      </c>
      <c r="T63" s="12">
        <v>57.39</v>
      </c>
      <c r="U63" s="12">
        <v>66.006</v>
      </c>
      <c r="V63" s="12">
        <f>CHOOSE(MATCH(Setup!$B$7,{"STD","Half-PPR","PPR"},0),S63,T63,U63)</f>
        <v>57.39</v>
      </c>
      <c r="W63" s="12">
        <f>COUNTIFS('Draft Board'!$X$2:$X$162,"&gt;="&amp;X63,'Draft Board'!$AB$2:$AB$162,1)</f>
        <v>19</v>
      </c>
      <c r="X63" s="12">
        <f>MAX(0,V63-'Live Calc'!$H$20)^'Live Calc'!$E$20</f>
        <v>0</v>
      </c>
      <c r="Y63" s="12">
        <v>63</v>
      </c>
      <c r="Z63" s="12">
        <f>IF(Y63&lt;&gt;_xlfn.MINIFS('Draft Board'!$Y$2:$Y$162,'Draft Board'!$X$2:$X$162,"="&amp;X63),0,IF(_xlfn.MINIFS('Draft Board'!$X$2:$X$162,'Draft Board'!$X$2:$X$162,"&gt;"&amp;X63)=0,1,IF((_xlfn.MINIFS('Draft Board'!$X$2:$X$162,'Draft Board'!$X$2:$X$162,"&gt;"&amp;X63)-X63)/_xlfn.MINIFS('Draft Board'!$X$2:$X$162,'Draft Board'!$X$2:$X$162,"&gt;"&amp;X63)&gt;0.08,1,0)))</f>
        <v>0</v>
      </c>
      <c r="AA63" s="12">
        <f>_xlfn.MINIFS('Draft Board'!$X$2:$X$162,'Draft Board'!$X$2:$X$162,"&gt;="&amp;X63,'Draft Board'!$Z$2:$Z$162,1)</f>
        <v>0</v>
      </c>
      <c r="AB63" s="12">
        <f>IF(Y63&lt;&gt;_xlfn.MINIFS('Draft Board'!$Y$2:$Y$162,'Draft Board'!$X$2:$X$162,"="&amp;X63),0,IF(OR(Z63=1,IFERROR(FLOOR((AA63-X63)/AA63/0.25,1),0)&lt;&gt;IFERROR(FLOOR((AA63-_xlfn.MINIFS('Draft Board'!$X$2:$X$162,'Draft Board'!$X$2:$X$162,"&gt;"&amp;X63))/AA63/0.25,1),0)),1,0))</f>
        <v>0</v>
      </c>
      <c r="AC63" s="12">
        <f>ROUND(1+X63*'Live Calc'!$D$27,0)</f>
        <v>1</v>
      </c>
      <c r="AD63" s="12"/>
      <c r="AE63" s="12">
        <f>IF(AD63&lt;&gt;"",AD63,ROUND(AC63*INDEX('Live Calc'!$G$96:$G$256,MATCH(W63,'Live Calc'!$A$96:$A$256,0))*'Live Calc'!$J$543,0))</f>
        <v>1</v>
      </c>
      <c r="AG63" s="13" t="s">
        <v>337</v>
      </c>
      <c r="AH63" s="13" t="s">
        <v>87</v>
      </c>
      <c r="AI63" s="13">
        <v>76.78</v>
      </c>
      <c r="AJ63" s="13">
        <v>102.19</v>
      </c>
      <c r="AK63" s="13">
        <v>127.09399999999999</v>
      </c>
      <c r="AL63" s="13">
        <f>CHOOSE(MATCH(Setup!$B$7,{"STD","Half-PPR","PPR"},0),AI63,AJ63,AK63)</f>
        <v>102.19</v>
      </c>
      <c r="AM63" s="13">
        <f>COUNTIFS('Draft Board'!$AN$2:$AN$192,"&gt;="&amp;AN63,'Draft Board'!$AR$2:$AR$192,1)</f>
        <v>22</v>
      </c>
      <c r="AN63" s="13">
        <f>MAX(0,AL63-'Live Calc'!$H$21)^'Live Calc'!$E$21</f>
        <v>0</v>
      </c>
      <c r="AO63" s="13">
        <v>63</v>
      </c>
      <c r="AP63" s="13">
        <f>IF(AO63&lt;&gt;_xlfn.MINIFS('Draft Board'!$AO$2:$AO$192,'Draft Board'!$AN$2:$AN$192,"="&amp;AN63),0,IF(_xlfn.MINIFS('Draft Board'!$AN$2:$AN$192,'Draft Board'!$AN$2:$AN$192,"&gt;"&amp;AN63)=0,1,IF((_xlfn.MINIFS('Draft Board'!$AN$2:$AN$192,'Draft Board'!$AN$2:$AN$192,"&gt;"&amp;AN63)-AN63)/_xlfn.MINIFS('Draft Board'!$AN$2:$AN$192,'Draft Board'!$AN$2:$AN$192,"&gt;"&amp;AN63)&gt;0.08,1,0)))</f>
        <v>0</v>
      </c>
      <c r="AQ63" s="13">
        <f>_xlfn.MINIFS('Draft Board'!$AN$2:$AN$192,'Draft Board'!$AN$2:$AN$192,"&gt;="&amp;AN63,'Draft Board'!$AP$2:$AP$192,1)</f>
        <v>0</v>
      </c>
      <c r="AR63" s="13">
        <f>IF(AO63&lt;&gt;_xlfn.MINIFS('Draft Board'!$AO$2:$AO$192,'Draft Board'!$AN$2:$AN$192,"="&amp;AN63),0,IF(OR(AP63=1,IFERROR(FLOOR((AQ63-AN63)/AQ63/0.25,1),0)&lt;&gt;IFERROR(FLOOR((AQ63-_xlfn.MINIFS('Draft Board'!$AN$2:$AN$192,'Draft Board'!$AN$2:$AN$192,"&gt;"&amp;AN63))/AQ63/0.25,1),0)),1,0))</f>
        <v>0</v>
      </c>
      <c r="AS63" s="13">
        <f>ROUND(1+AN63*'Live Calc'!$D$28,0)</f>
        <v>1</v>
      </c>
      <c r="AT63" s="13"/>
      <c r="AU63" s="13">
        <f>IF(AT63&lt;&gt;"",AT63,ROUND(AS63*INDEX('Live Calc'!$G$260:$G$450,MATCH(AM63,'Live Calc'!$A$260:$A$450,0))*'Live Calc'!$J$543,0))</f>
        <v>1</v>
      </c>
      <c r="AW63" s="14" t="s">
        <v>338</v>
      </c>
      <c r="AX63" s="14" t="s">
        <v>108</v>
      </c>
      <c r="AY63" s="14">
        <v>23.18</v>
      </c>
      <c r="AZ63" s="14">
        <v>30.722000000000001</v>
      </c>
      <c r="BA63" s="14">
        <v>38.264000000000003</v>
      </c>
      <c r="BB63" s="14">
        <f>CHOOSE(MATCH(Setup!$B$7,{"STD","Half-PPR","PPR"},0),AY63,AZ63,BA63)</f>
        <v>30.722000000000001</v>
      </c>
      <c r="BC63" s="14">
        <f>COUNTIFS('Draft Board'!$BD$2:$BD$87,"&gt;="&amp;BD63,'Draft Board'!$BH$2:$BH$87,1)</f>
        <v>18</v>
      </c>
      <c r="BD63" s="14">
        <f>MAX(0,BB63-'Live Calc'!$H$22)^'Live Calc'!$E$22</f>
        <v>0</v>
      </c>
      <c r="BE63" s="14">
        <v>63</v>
      </c>
      <c r="BF63" s="14">
        <f>IF(BE63&lt;&gt;_xlfn.MINIFS('Draft Board'!$BE$2:$BE$87,'Draft Board'!$BD$2:$BD$87,"="&amp;BD63),0,IF(_xlfn.MINIFS('Draft Board'!$BD$2:$BD$87,'Draft Board'!$BD$2:$BD$87,"&gt;"&amp;BD63)=0,1,IF((_xlfn.MINIFS('Draft Board'!$BD$2:$BD$87,'Draft Board'!$BD$2:$BD$87,"&gt;"&amp;BD63)-BD63)/_xlfn.MINIFS('Draft Board'!$BD$2:$BD$87,'Draft Board'!$BD$2:$BD$87,"&gt;"&amp;BD63)&gt;0.08,1,0)))</f>
        <v>0</v>
      </c>
      <c r="BG63" s="14">
        <f>_xlfn.MINIFS('Draft Board'!$BD$2:$BD$87,'Draft Board'!$BD$2:$BD$87,"&gt;="&amp;BD63,'Draft Board'!$BF$2:$BF$87,1)</f>
        <v>0</v>
      </c>
      <c r="BH63" s="14">
        <f>IF(BE63&lt;&gt;_xlfn.MINIFS('Draft Board'!$BE$2:$BE$87,'Draft Board'!$BD$2:$BD$87,"="&amp;BD63),0,IF(OR(BF63=1,IFERROR(FLOOR((BG63-BD63)/BG63/0.25,1),0)&lt;&gt;IFERROR(FLOOR((BG63-_xlfn.MINIFS('Draft Board'!$BD$2:$BD$87,'Draft Board'!$BD$2:$BD$87,"&gt;"&amp;BD63))/BG63/0.25,1),0)),1,0))</f>
        <v>0</v>
      </c>
      <c r="BI63" s="14">
        <f>ROUND(1+BD63*'Live Calc'!$D$29,0)</f>
        <v>1</v>
      </c>
      <c r="BJ63" s="14"/>
      <c r="BK63" s="14">
        <f>IF(BJ63&lt;&gt;"",BJ63,ROUND(BI63*INDEX('Live Calc'!$G$454:$G$539,MATCH(BC63,'Live Calc'!$A$454:$A$539,0))*'Live Calc'!$J$543,0))</f>
        <v>1</v>
      </c>
    </row>
    <row r="64" spans="1:63" x14ac:dyDescent="0.25">
      <c r="Q64" s="12" t="s">
        <v>339</v>
      </c>
      <c r="R64" s="12" t="s">
        <v>159</v>
      </c>
      <c r="S64" s="12">
        <v>49.491999999999997</v>
      </c>
      <c r="T64" s="12">
        <v>53.951999999999998</v>
      </c>
      <c r="U64" s="12">
        <v>58.405999999999999</v>
      </c>
      <c r="V64" s="12">
        <f>CHOOSE(MATCH(Setup!$B$7,{"STD","Half-PPR","PPR"},0),S64,T64,U64)</f>
        <v>53.951999999999998</v>
      </c>
      <c r="W64" s="12">
        <f>COUNTIFS('Draft Board'!$X$2:$X$162,"&gt;="&amp;X64,'Draft Board'!$AB$2:$AB$162,1)</f>
        <v>19</v>
      </c>
      <c r="X64" s="12">
        <f>MAX(0,V64-'Live Calc'!$H$20)^'Live Calc'!$E$20</f>
        <v>0</v>
      </c>
      <c r="Y64" s="12">
        <v>64</v>
      </c>
      <c r="Z64" s="12">
        <f>IF(Y64&lt;&gt;_xlfn.MINIFS('Draft Board'!$Y$2:$Y$162,'Draft Board'!$X$2:$X$162,"="&amp;X64),0,IF(_xlfn.MINIFS('Draft Board'!$X$2:$X$162,'Draft Board'!$X$2:$X$162,"&gt;"&amp;X64)=0,1,IF((_xlfn.MINIFS('Draft Board'!$X$2:$X$162,'Draft Board'!$X$2:$X$162,"&gt;"&amp;X64)-X64)/_xlfn.MINIFS('Draft Board'!$X$2:$X$162,'Draft Board'!$X$2:$X$162,"&gt;"&amp;X64)&gt;0.08,1,0)))</f>
        <v>0</v>
      </c>
      <c r="AA64" s="12">
        <f>_xlfn.MINIFS('Draft Board'!$X$2:$X$162,'Draft Board'!$X$2:$X$162,"&gt;="&amp;X64,'Draft Board'!$Z$2:$Z$162,1)</f>
        <v>0</v>
      </c>
      <c r="AB64" s="12">
        <f>IF(Y64&lt;&gt;_xlfn.MINIFS('Draft Board'!$Y$2:$Y$162,'Draft Board'!$X$2:$X$162,"="&amp;X64),0,IF(OR(Z64=1,IFERROR(FLOOR((AA64-X64)/AA64/0.25,1),0)&lt;&gt;IFERROR(FLOOR((AA64-_xlfn.MINIFS('Draft Board'!$X$2:$X$162,'Draft Board'!$X$2:$X$162,"&gt;"&amp;X64))/AA64/0.25,1),0)),1,0))</f>
        <v>0</v>
      </c>
      <c r="AC64" s="12">
        <f>ROUND(1+X64*'Live Calc'!$D$27,0)</f>
        <v>1</v>
      </c>
      <c r="AD64" s="12"/>
      <c r="AE64" s="12">
        <f>IF(AD64&lt;&gt;"",AD64,ROUND(AC64*INDEX('Live Calc'!$G$96:$G$256,MATCH(W64,'Live Calc'!$A$96:$A$256,0))*'Live Calc'!$J$543,0))</f>
        <v>1</v>
      </c>
      <c r="AG64" s="13" t="s">
        <v>340</v>
      </c>
      <c r="AH64" s="13" t="s">
        <v>153</v>
      </c>
      <c r="AI64" s="13">
        <v>76.644000000000005</v>
      </c>
      <c r="AJ64" s="13">
        <v>98.366</v>
      </c>
      <c r="AK64" s="13">
        <v>120.05800000000001</v>
      </c>
      <c r="AL64" s="13">
        <f>CHOOSE(MATCH(Setup!$B$7,{"STD","Half-PPR","PPR"},0),AI64,AJ64,AK64)</f>
        <v>98.366</v>
      </c>
      <c r="AM64" s="13">
        <f>COUNTIFS('Draft Board'!$AN$2:$AN$192,"&gt;="&amp;AN64,'Draft Board'!$AR$2:$AR$192,1)</f>
        <v>22</v>
      </c>
      <c r="AN64" s="13">
        <f>MAX(0,AL64-'Live Calc'!$H$21)^'Live Calc'!$E$21</f>
        <v>0</v>
      </c>
      <c r="AO64" s="13">
        <v>64</v>
      </c>
      <c r="AP64" s="13">
        <f>IF(AO64&lt;&gt;_xlfn.MINIFS('Draft Board'!$AO$2:$AO$192,'Draft Board'!$AN$2:$AN$192,"="&amp;AN64),0,IF(_xlfn.MINIFS('Draft Board'!$AN$2:$AN$192,'Draft Board'!$AN$2:$AN$192,"&gt;"&amp;AN64)=0,1,IF((_xlfn.MINIFS('Draft Board'!$AN$2:$AN$192,'Draft Board'!$AN$2:$AN$192,"&gt;"&amp;AN64)-AN64)/_xlfn.MINIFS('Draft Board'!$AN$2:$AN$192,'Draft Board'!$AN$2:$AN$192,"&gt;"&amp;AN64)&gt;0.08,1,0)))</f>
        <v>0</v>
      </c>
      <c r="AQ64" s="13">
        <f>_xlfn.MINIFS('Draft Board'!$AN$2:$AN$192,'Draft Board'!$AN$2:$AN$192,"&gt;="&amp;AN64,'Draft Board'!$AP$2:$AP$192,1)</f>
        <v>0</v>
      </c>
      <c r="AR64" s="13">
        <f>IF(AO64&lt;&gt;_xlfn.MINIFS('Draft Board'!$AO$2:$AO$192,'Draft Board'!$AN$2:$AN$192,"="&amp;AN64),0,IF(OR(AP64=1,IFERROR(FLOOR((AQ64-AN64)/AQ64/0.25,1),0)&lt;&gt;IFERROR(FLOOR((AQ64-_xlfn.MINIFS('Draft Board'!$AN$2:$AN$192,'Draft Board'!$AN$2:$AN$192,"&gt;"&amp;AN64))/AQ64/0.25,1),0)),1,0))</f>
        <v>0</v>
      </c>
      <c r="AS64" s="13">
        <f>ROUND(1+AN64*'Live Calc'!$D$28,0)</f>
        <v>1</v>
      </c>
      <c r="AT64" s="13"/>
      <c r="AU64" s="13">
        <f>IF(AT64&lt;&gt;"",AT64,ROUND(AS64*INDEX('Live Calc'!$G$260:$G$450,MATCH(AM64,'Live Calc'!$A$260:$A$450,0))*'Live Calc'!$J$543,0))</f>
        <v>1</v>
      </c>
      <c r="AW64" s="14" t="s">
        <v>341</v>
      </c>
      <c r="AX64" s="14" t="s">
        <v>164</v>
      </c>
      <c r="AY64" s="14">
        <v>21.46</v>
      </c>
      <c r="AZ64" s="14">
        <v>30.7</v>
      </c>
      <c r="BA64" s="14">
        <v>39.94</v>
      </c>
      <c r="BB64" s="14">
        <f>CHOOSE(MATCH(Setup!$B$7,{"STD","Half-PPR","PPR"},0),AY64,AZ64,BA64)</f>
        <v>30.7</v>
      </c>
      <c r="BC64" s="14">
        <f>COUNTIFS('Draft Board'!$BD$2:$BD$87,"&gt;="&amp;BD64,'Draft Board'!$BH$2:$BH$87,1)</f>
        <v>18</v>
      </c>
      <c r="BD64" s="14">
        <f>MAX(0,BB64-'Live Calc'!$H$22)^'Live Calc'!$E$22</f>
        <v>0</v>
      </c>
      <c r="BE64" s="14">
        <v>64</v>
      </c>
      <c r="BF64" s="14">
        <f>IF(BE64&lt;&gt;_xlfn.MINIFS('Draft Board'!$BE$2:$BE$87,'Draft Board'!$BD$2:$BD$87,"="&amp;BD64),0,IF(_xlfn.MINIFS('Draft Board'!$BD$2:$BD$87,'Draft Board'!$BD$2:$BD$87,"&gt;"&amp;BD64)=0,1,IF((_xlfn.MINIFS('Draft Board'!$BD$2:$BD$87,'Draft Board'!$BD$2:$BD$87,"&gt;"&amp;BD64)-BD64)/_xlfn.MINIFS('Draft Board'!$BD$2:$BD$87,'Draft Board'!$BD$2:$BD$87,"&gt;"&amp;BD64)&gt;0.08,1,0)))</f>
        <v>0</v>
      </c>
      <c r="BG64" s="14">
        <f>_xlfn.MINIFS('Draft Board'!$BD$2:$BD$87,'Draft Board'!$BD$2:$BD$87,"&gt;="&amp;BD64,'Draft Board'!$BF$2:$BF$87,1)</f>
        <v>0</v>
      </c>
      <c r="BH64" s="14">
        <f>IF(BE64&lt;&gt;_xlfn.MINIFS('Draft Board'!$BE$2:$BE$87,'Draft Board'!$BD$2:$BD$87,"="&amp;BD64),0,IF(OR(BF64=1,IFERROR(FLOOR((BG64-BD64)/BG64/0.25,1),0)&lt;&gt;IFERROR(FLOOR((BG64-_xlfn.MINIFS('Draft Board'!$BD$2:$BD$87,'Draft Board'!$BD$2:$BD$87,"&gt;"&amp;BD64))/BG64/0.25,1),0)),1,0))</f>
        <v>0</v>
      </c>
      <c r="BI64" s="14">
        <f>ROUND(1+BD64*'Live Calc'!$D$29,0)</f>
        <v>1</v>
      </c>
      <c r="BJ64" s="14"/>
      <c r="BK64" s="14">
        <f>IF(BJ64&lt;&gt;"",BJ64,ROUND(BI64*INDEX('Live Calc'!$G$454:$G$539,MATCH(BC64,'Live Calc'!$A$454:$A$539,0))*'Live Calc'!$J$543,0))</f>
        <v>1</v>
      </c>
    </row>
    <row r="65" spans="17:63" x14ac:dyDescent="0.25">
      <c r="Q65" s="12" t="s">
        <v>342</v>
      </c>
      <c r="R65" s="12" t="s">
        <v>79</v>
      </c>
      <c r="S65" s="12">
        <v>49.037999999999997</v>
      </c>
      <c r="T65" s="12">
        <v>53.152000000000001</v>
      </c>
      <c r="U65" s="12">
        <v>57.002000000000002</v>
      </c>
      <c r="V65" s="12">
        <f>CHOOSE(MATCH(Setup!$B$7,{"STD","Half-PPR","PPR"},0),S65,T65,U65)</f>
        <v>53.152000000000001</v>
      </c>
      <c r="W65" s="12">
        <f>COUNTIFS('Draft Board'!$X$2:$X$162,"&gt;="&amp;X65,'Draft Board'!$AB$2:$AB$162,1)</f>
        <v>19</v>
      </c>
      <c r="X65" s="12">
        <f>MAX(0,V65-'Live Calc'!$H$20)^'Live Calc'!$E$20</f>
        <v>0</v>
      </c>
      <c r="Y65" s="12">
        <v>65</v>
      </c>
      <c r="Z65" s="12">
        <f>IF(Y65&lt;&gt;_xlfn.MINIFS('Draft Board'!$Y$2:$Y$162,'Draft Board'!$X$2:$X$162,"="&amp;X65),0,IF(_xlfn.MINIFS('Draft Board'!$X$2:$X$162,'Draft Board'!$X$2:$X$162,"&gt;"&amp;X65)=0,1,IF((_xlfn.MINIFS('Draft Board'!$X$2:$X$162,'Draft Board'!$X$2:$X$162,"&gt;"&amp;X65)-X65)/_xlfn.MINIFS('Draft Board'!$X$2:$X$162,'Draft Board'!$X$2:$X$162,"&gt;"&amp;X65)&gt;0.08,1,0)))</f>
        <v>0</v>
      </c>
      <c r="AA65" s="12">
        <f>_xlfn.MINIFS('Draft Board'!$X$2:$X$162,'Draft Board'!$X$2:$X$162,"&gt;="&amp;X65,'Draft Board'!$Z$2:$Z$162,1)</f>
        <v>0</v>
      </c>
      <c r="AB65" s="12">
        <f>IF(Y65&lt;&gt;_xlfn.MINIFS('Draft Board'!$Y$2:$Y$162,'Draft Board'!$X$2:$X$162,"="&amp;X65),0,IF(OR(Z65=1,IFERROR(FLOOR((AA65-X65)/AA65/0.25,1),0)&lt;&gt;IFERROR(FLOOR((AA65-_xlfn.MINIFS('Draft Board'!$X$2:$X$162,'Draft Board'!$X$2:$X$162,"&gt;"&amp;X65))/AA65/0.25,1),0)),1,0))</f>
        <v>0</v>
      </c>
      <c r="AC65" s="12">
        <f>ROUND(1+X65*'Live Calc'!$D$27,0)</f>
        <v>1</v>
      </c>
      <c r="AD65" s="12"/>
      <c r="AE65" s="12">
        <f>IF(AD65&lt;&gt;"",AD65,ROUND(AC65*INDEX('Live Calc'!$G$96:$G$256,MATCH(W65,'Live Calc'!$A$96:$A$256,0))*'Live Calc'!$J$543,0))</f>
        <v>1</v>
      </c>
      <c r="AG65" s="13" t="s">
        <v>343</v>
      </c>
      <c r="AH65" s="13" t="s">
        <v>101</v>
      </c>
      <c r="AI65" s="13">
        <v>73.45</v>
      </c>
      <c r="AJ65" s="13">
        <v>96.988</v>
      </c>
      <c r="AK65" s="13">
        <v>120.014</v>
      </c>
      <c r="AL65" s="13">
        <f>CHOOSE(MATCH(Setup!$B$7,{"STD","Half-PPR","PPR"},0),AI65,AJ65,AK65)</f>
        <v>96.988</v>
      </c>
      <c r="AM65" s="13">
        <f>COUNTIFS('Draft Board'!$AN$2:$AN$192,"&gt;="&amp;AN65,'Draft Board'!$AR$2:$AR$192,1)</f>
        <v>22</v>
      </c>
      <c r="AN65" s="13">
        <f>MAX(0,AL65-'Live Calc'!$H$21)^'Live Calc'!$E$21</f>
        <v>0</v>
      </c>
      <c r="AO65" s="13">
        <v>65</v>
      </c>
      <c r="AP65" s="13">
        <f>IF(AO65&lt;&gt;_xlfn.MINIFS('Draft Board'!$AO$2:$AO$192,'Draft Board'!$AN$2:$AN$192,"="&amp;AN65),0,IF(_xlfn.MINIFS('Draft Board'!$AN$2:$AN$192,'Draft Board'!$AN$2:$AN$192,"&gt;"&amp;AN65)=0,1,IF((_xlfn.MINIFS('Draft Board'!$AN$2:$AN$192,'Draft Board'!$AN$2:$AN$192,"&gt;"&amp;AN65)-AN65)/_xlfn.MINIFS('Draft Board'!$AN$2:$AN$192,'Draft Board'!$AN$2:$AN$192,"&gt;"&amp;AN65)&gt;0.08,1,0)))</f>
        <v>0</v>
      </c>
      <c r="AQ65" s="13">
        <f>_xlfn.MINIFS('Draft Board'!$AN$2:$AN$192,'Draft Board'!$AN$2:$AN$192,"&gt;="&amp;AN65,'Draft Board'!$AP$2:$AP$192,1)</f>
        <v>0</v>
      </c>
      <c r="AR65" s="13">
        <f>IF(AO65&lt;&gt;_xlfn.MINIFS('Draft Board'!$AO$2:$AO$192,'Draft Board'!$AN$2:$AN$192,"="&amp;AN65),0,IF(OR(AP65=1,IFERROR(FLOOR((AQ65-AN65)/AQ65/0.25,1),0)&lt;&gt;IFERROR(FLOOR((AQ65-_xlfn.MINIFS('Draft Board'!$AN$2:$AN$192,'Draft Board'!$AN$2:$AN$192,"&gt;"&amp;AN65))/AQ65/0.25,1),0)),1,0))</f>
        <v>0</v>
      </c>
      <c r="AS65" s="13">
        <f>ROUND(1+AN65*'Live Calc'!$D$28,0)</f>
        <v>1</v>
      </c>
      <c r="AT65" s="13"/>
      <c r="AU65" s="13">
        <f>IF(AT65&lt;&gt;"",AT65,ROUND(AS65*INDEX('Live Calc'!$G$260:$G$450,MATCH(AM65,'Live Calc'!$A$260:$A$450,0))*'Live Calc'!$J$543,0))</f>
        <v>1</v>
      </c>
      <c r="AW65" s="14" t="s">
        <v>344</v>
      </c>
      <c r="AX65" s="14" t="s">
        <v>284</v>
      </c>
      <c r="AY65" s="14">
        <v>22.172000000000001</v>
      </c>
      <c r="AZ65" s="14">
        <v>30.076000000000001</v>
      </c>
      <c r="BA65" s="14">
        <v>37.89</v>
      </c>
      <c r="BB65" s="14">
        <f>CHOOSE(MATCH(Setup!$B$7,{"STD","Half-PPR","PPR"},0),AY65,AZ65,BA65)</f>
        <v>30.076000000000001</v>
      </c>
      <c r="BC65" s="14">
        <f>COUNTIFS('Draft Board'!$BD$2:$BD$87,"&gt;="&amp;BD65,'Draft Board'!$BH$2:$BH$87,1)</f>
        <v>18</v>
      </c>
      <c r="BD65" s="14">
        <f>MAX(0,BB65-'Live Calc'!$H$22)^'Live Calc'!$E$22</f>
        <v>0</v>
      </c>
      <c r="BE65" s="14">
        <v>65</v>
      </c>
      <c r="BF65" s="14">
        <f>IF(BE65&lt;&gt;_xlfn.MINIFS('Draft Board'!$BE$2:$BE$87,'Draft Board'!$BD$2:$BD$87,"="&amp;BD65),0,IF(_xlfn.MINIFS('Draft Board'!$BD$2:$BD$87,'Draft Board'!$BD$2:$BD$87,"&gt;"&amp;BD65)=0,1,IF((_xlfn.MINIFS('Draft Board'!$BD$2:$BD$87,'Draft Board'!$BD$2:$BD$87,"&gt;"&amp;BD65)-BD65)/_xlfn.MINIFS('Draft Board'!$BD$2:$BD$87,'Draft Board'!$BD$2:$BD$87,"&gt;"&amp;BD65)&gt;0.08,1,0)))</f>
        <v>0</v>
      </c>
      <c r="BG65" s="14">
        <f>_xlfn.MINIFS('Draft Board'!$BD$2:$BD$87,'Draft Board'!$BD$2:$BD$87,"&gt;="&amp;BD65,'Draft Board'!$BF$2:$BF$87,1)</f>
        <v>0</v>
      </c>
      <c r="BH65" s="14">
        <f>IF(BE65&lt;&gt;_xlfn.MINIFS('Draft Board'!$BE$2:$BE$87,'Draft Board'!$BD$2:$BD$87,"="&amp;BD65),0,IF(OR(BF65=1,IFERROR(FLOOR((BG65-BD65)/BG65/0.25,1),0)&lt;&gt;IFERROR(FLOOR((BG65-_xlfn.MINIFS('Draft Board'!$BD$2:$BD$87,'Draft Board'!$BD$2:$BD$87,"&gt;"&amp;BD65))/BG65/0.25,1),0)),1,0))</f>
        <v>0</v>
      </c>
      <c r="BI65" s="14">
        <f>ROUND(1+BD65*'Live Calc'!$D$29,0)</f>
        <v>1</v>
      </c>
      <c r="BJ65" s="14"/>
      <c r="BK65" s="14">
        <f>IF(BJ65&lt;&gt;"",BJ65,ROUND(BI65*INDEX('Live Calc'!$G$454:$G$539,MATCH(BC65,'Live Calc'!$A$454:$A$539,0))*'Live Calc'!$J$543,0))</f>
        <v>1</v>
      </c>
    </row>
    <row r="66" spans="17:63" x14ac:dyDescent="0.25">
      <c r="Q66" s="12" t="s">
        <v>345</v>
      </c>
      <c r="R66" s="12" t="s">
        <v>61</v>
      </c>
      <c r="S66" s="12">
        <v>49.36</v>
      </c>
      <c r="T66" s="12">
        <v>52.82</v>
      </c>
      <c r="U66" s="12">
        <v>58.542000000000002</v>
      </c>
      <c r="V66" s="12">
        <f>CHOOSE(MATCH(Setup!$B$7,{"STD","Half-PPR","PPR"},0),S66,T66,U66)</f>
        <v>52.82</v>
      </c>
      <c r="W66" s="12">
        <f>COUNTIFS('Draft Board'!$X$2:$X$162,"&gt;="&amp;X66,'Draft Board'!$AB$2:$AB$162,1)</f>
        <v>19</v>
      </c>
      <c r="X66" s="12">
        <f>MAX(0,V66-'Live Calc'!$H$20)^'Live Calc'!$E$20</f>
        <v>0</v>
      </c>
      <c r="Y66" s="12">
        <v>66</v>
      </c>
      <c r="Z66" s="12">
        <f>IF(Y66&lt;&gt;_xlfn.MINIFS('Draft Board'!$Y$2:$Y$162,'Draft Board'!$X$2:$X$162,"="&amp;X66),0,IF(_xlfn.MINIFS('Draft Board'!$X$2:$X$162,'Draft Board'!$X$2:$X$162,"&gt;"&amp;X66)=0,1,IF((_xlfn.MINIFS('Draft Board'!$X$2:$X$162,'Draft Board'!$X$2:$X$162,"&gt;"&amp;X66)-X66)/_xlfn.MINIFS('Draft Board'!$X$2:$X$162,'Draft Board'!$X$2:$X$162,"&gt;"&amp;X66)&gt;0.08,1,0)))</f>
        <v>0</v>
      </c>
      <c r="AA66" s="12">
        <f>_xlfn.MINIFS('Draft Board'!$X$2:$X$162,'Draft Board'!$X$2:$X$162,"&gt;="&amp;X66,'Draft Board'!$Z$2:$Z$162,1)</f>
        <v>0</v>
      </c>
      <c r="AB66" s="12">
        <f>IF(Y66&lt;&gt;_xlfn.MINIFS('Draft Board'!$Y$2:$Y$162,'Draft Board'!$X$2:$X$162,"="&amp;X66),0,IF(OR(Z66=1,IFERROR(FLOOR((AA66-X66)/AA66/0.25,1),0)&lt;&gt;IFERROR(FLOOR((AA66-_xlfn.MINIFS('Draft Board'!$X$2:$X$162,'Draft Board'!$X$2:$X$162,"&gt;"&amp;X66))/AA66/0.25,1),0)),1,0))</f>
        <v>0</v>
      </c>
      <c r="AC66" s="12">
        <f>ROUND(1+X66*'Live Calc'!$D$27,0)</f>
        <v>1</v>
      </c>
      <c r="AD66" s="12"/>
      <c r="AE66" s="12">
        <f>IF(AD66&lt;&gt;"",AD66,ROUND(AC66*INDEX('Live Calc'!$G$96:$G$256,MATCH(W66,'Live Calc'!$A$96:$A$256,0))*'Live Calc'!$J$543,0))</f>
        <v>1</v>
      </c>
      <c r="AG66" s="13" t="s">
        <v>346</v>
      </c>
      <c r="AH66" s="13" t="s">
        <v>111</v>
      </c>
      <c r="AI66" s="13">
        <v>74.262</v>
      </c>
      <c r="AJ66" s="13">
        <v>95.91</v>
      </c>
      <c r="AK66" s="13">
        <v>117.81</v>
      </c>
      <c r="AL66" s="13">
        <f>CHOOSE(MATCH(Setup!$B$7,{"STD","Half-PPR","PPR"},0),AI66,AJ66,AK66)</f>
        <v>95.91</v>
      </c>
      <c r="AM66" s="13">
        <f>COUNTIFS('Draft Board'!$AN$2:$AN$192,"&gt;="&amp;AN66,'Draft Board'!$AR$2:$AR$192,1)</f>
        <v>22</v>
      </c>
      <c r="AN66" s="13">
        <f>MAX(0,AL66-'Live Calc'!$H$21)^'Live Calc'!$E$21</f>
        <v>0</v>
      </c>
      <c r="AO66" s="13">
        <v>66</v>
      </c>
      <c r="AP66" s="13">
        <f>IF(AO66&lt;&gt;_xlfn.MINIFS('Draft Board'!$AO$2:$AO$192,'Draft Board'!$AN$2:$AN$192,"="&amp;AN66),0,IF(_xlfn.MINIFS('Draft Board'!$AN$2:$AN$192,'Draft Board'!$AN$2:$AN$192,"&gt;"&amp;AN66)=0,1,IF((_xlfn.MINIFS('Draft Board'!$AN$2:$AN$192,'Draft Board'!$AN$2:$AN$192,"&gt;"&amp;AN66)-AN66)/_xlfn.MINIFS('Draft Board'!$AN$2:$AN$192,'Draft Board'!$AN$2:$AN$192,"&gt;"&amp;AN66)&gt;0.08,1,0)))</f>
        <v>0</v>
      </c>
      <c r="AQ66" s="13">
        <f>_xlfn.MINIFS('Draft Board'!$AN$2:$AN$192,'Draft Board'!$AN$2:$AN$192,"&gt;="&amp;AN66,'Draft Board'!$AP$2:$AP$192,1)</f>
        <v>0</v>
      </c>
      <c r="AR66" s="13">
        <f>IF(AO66&lt;&gt;_xlfn.MINIFS('Draft Board'!$AO$2:$AO$192,'Draft Board'!$AN$2:$AN$192,"="&amp;AN66),0,IF(OR(AP66=1,IFERROR(FLOOR((AQ66-AN66)/AQ66/0.25,1),0)&lt;&gt;IFERROR(FLOOR((AQ66-_xlfn.MINIFS('Draft Board'!$AN$2:$AN$192,'Draft Board'!$AN$2:$AN$192,"&gt;"&amp;AN66))/AQ66/0.25,1),0)),1,0))</f>
        <v>0</v>
      </c>
      <c r="AS66" s="13">
        <f>ROUND(1+AN66*'Live Calc'!$D$28,0)</f>
        <v>1</v>
      </c>
      <c r="AT66" s="13"/>
      <c r="AU66" s="13">
        <f>IF(AT66&lt;&gt;"",AT66,ROUND(AS66*INDEX('Live Calc'!$G$260:$G$450,MATCH(AM66,'Live Calc'!$A$260:$A$450,0))*'Live Calc'!$J$543,0))</f>
        <v>1</v>
      </c>
      <c r="AW66" s="14" t="s">
        <v>347</v>
      </c>
      <c r="AX66" s="14" t="s">
        <v>111</v>
      </c>
      <c r="AY66" s="14">
        <v>20.404</v>
      </c>
      <c r="AZ66" s="14">
        <v>29.872</v>
      </c>
      <c r="BA66" s="14">
        <v>38.067999999999998</v>
      </c>
      <c r="BB66" s="14">
        <f>CHOOSE(MATCH(Setup!$B$7,{"STD","Half-PPR","PPR"},0),AY66,AZ66,BA66)</f>
        <v>29.872</v>
      </c>
      <c r="BC66" s="14">
        <f>COUNTIFS('Draft Board'!$BD$2:$BD$87,"&gt;="&amp;BD66,'Draft Board'!$BH$2:$BH$87,1)</f>
        <v>18</v>
      </c>
      <c r="BD66" s="14">
        <f>MAX(0,BB66-'Live Calc'!$H$22)^'Live Calc'!$E$22</f>
        <v>0</v>
      </c>
      <c r="BE66" s="14">
        <v>66</v>
      </c>
      <c r="BF66" s="14">
        <f>IF(BE66&lt;&gt;_xlfn.MINIFS('Draft Board'!$BE$2:$BE$87,'Draft Board'!$BD$2:$BD$87,"="&amp;BD66),0,IF(_xlfn.MINIFS('Draft Board'!$BD$2:$BD$87,'Draft Board'!$BD$2:$BD$87,"&gt;"&amp;BD66)=0,1,IF((_xlfn.MINIFS('Draft Board'!$BD$2:$BD$87,'Draft Board'!$BD$2:$BD$87,"&gt;"&amp;BD66)-BD66)/_xlfn.MINIFS('Draft Board'!$BD$2:$BD$87,'Draft Board'!$BD$2:$BD$87,"&gt;"&amp;BD66)&gt;0.08,1,0)))</f>
        <v>0</v>
      </c>
      <c r="BG66" s="14">
        <f>_xlfn.MINIFS('Draft Board'!$BD$2:$BD$87,'Draft Board'!$BD$2:$BD$87,"&gt;="&amp;BD66,'Draft Board'!$BF$2:$BF$87,1)</f>
        <v>0</v>
      </c>
      <c r="BH66" s="14">
        <f>IF(BE66&lt;&gt;_xlfn.MINIFS('Draft Board'!$BE$2:$BE$87,'Draft Board'!$BD$2:$BD$87,"="&amp;BD66),0,IF(OR(BF66=1,IFERROR(FLOOR((BG66-BD66)/BG66/0.25,1),0)&lt;&gt;IFERROR(FLOOR((BG66-_xlfn.MINIFS('Draft Board'!$BD$2:$BD$87,'Draft Board'!$BD$2:$BD$87,"&gt;"&amp;BD66))/BG66/0.25,1),0)),1,0))</f>
        <v>0</v>
      </c>
      <c r="BI66" s="14">
        <f>ROUND(1+BD66*'Live Calc'!$D$29,0)</f>
        <v>1</v>
      </c>
      <c r="BJ66" s="14"/>
      <c r="BK66" s="14">
        <f>IF(BJ66&lt;&gt;"",BJ66,ROUND(BI66*INDEX('Live Calc'!$G$454:$G$539,MATCH(BC66,'Live Calc'!$A$454:$A$539,0))*'Live Calc'!$J$543,0))</f>
        <v>1</v>
      </c>
    </row>
    <row r="67" spans="17:63" x14ac:dyDescent="0.25">
      <c r="Q67" s="12" t="s">
        <v>348</v>
      </c>
      <c r="R67" s="12" t="s">
        <v>67</v>
      </c>
      <c r="S67" s="12">
        <v>43.158000000000001</v>
      </c>
      <c r="T67" s="12">
        <v>51.378</v>
      </c>
      <c r="U67" s="12">
        <v>57.768000000000001</v>
      </c>
      <c r="V67" s="12">
        <f>CHOOSE(MATCH(Setup!$B$7,{"STD","Half-PPR","PPR"},0),S67,T67,U67)</f>
        <v>51.378</v>
      </c>
      <c r="W67" s="12">
        <f>COUNTIFS('Draft Board'!$X$2:$X$162,"&gt;="&amp;X67,'Draft Board'!$AB$2:$AB$162,1)</f>
        <v>19</v>
      </c>
      <c r="X67" s="12">
        <f>MAX(0,V67-'Live Calc'!$H$20)^'Live Calc'!$E$20</f>
        <v>0</v>
      </c>
      <c r="Y67" s="12">
        <v>67</v>
      </c>
      <c r="Z67" s="12">
        <f>IF(Y67&lt;&gt;_xlfn.MINIFS('Draft Board'!$Y$2:$Y$162,'Draft Board'!$X$2:$X$162,"="&amp;X67),0,IF(_xlfn.MINIFS('Draft Board'!$X$2:$X$162,'Draft Board'!$X$2:$X$162,"&gt;"&amp;X67)=0,1,IF((_xlfn.MINIFS('Draft Board'!$X$2:$X$162,'Draft Board'!$X$2:$X$162,"&gt;"&amp;X67)-X67)/_xlfn.MINIFS('Draft Board'!$X$2:$X$162,'Draft Board'!$X$2:$X$162,"&gt;"&amp;X67)&gt;0.08,1,0)))</f>
        <v>0</v>
      </c>
      <c r="AA67" s="12">
        <f>_xlfn.MINIFS('Draft Board'!$X$2:$X$162,'Draft Board'!$X$2:$X$162,"&gt;="&amp;X67,'Draft Board'!$Z$2:$Z$162,1)</f>
        <v>0</v>
      </c>
      <c r="AB67" s="12">
        <f>IF(Y67&lt;&gt;_xlfn.MINIFS('Draft Board'!$Y$2:$Y$162,'Draft Board'!$X$2:$X$162,"="&amp;X67),0,IF(OR(Z67=1,IFERROR(FLOOR((AA67-X67)/AA67/0.25,1),0)&lt;&gt;IFERROR(FLOOR((AA67-_xlfn.MINIFS('Draft Board'!$X$2:$X$162,'Draft Board'!$X$2:$X$162,"&gt;"&amp;X67))/AA67/0.25,1),0)),1,0))</f>
        <v>0</v>
      </c>
      <c r="AC67" s="12">
        <f>ROUND(1+X67*'Live Calc'!$D$27,0)</f>
        <v>1</v>
      </c>
      <c r="AD67" s="12"/>
      <c r="AE67" s="12">
        <f>IF(AD67&lt;&gt;"",AD67,ROUND(AC67*INDEX('Live Calc'!$G$96:$G$256,MATCH(W67,'Live Calc'!$A$96:$A$256,0))*'Live Calc'!$J$543,0))</f>
        <v>1</v>
      </c>
      <c r="AG67" s="13" t="s">
        <v>349</v>
      </c>
      <c r="AH67" s="13" t="s">
        <v>105</v>
      </c>
      <c r="AI67" s="13">
        <v>74.462000000000003</v>
      </c>
      <c r="AJ67" s="13">
        <v>95.46</v>
      </c>
      <c r="AK67" s="13">
        <v>116.75</v>
      </c>
      <c r="AL67" s="13">
        <f>CHOOSE(MATCH(Setup!$B$7,{"STD","Half-PPR","PPR"},0),AI67,AJ67,AK67)</f>
        <v>95.46</v>
      </c>
      <c r="AM67" s="13">
        <f>COUNTIFS('Draft Board'!$AN$2:$AN$192,"&gt;="&amp;AN67,'Draft Board'!$AR$2:$AR$192,1)</f>
        <v>22</v>
      </c>
      <c r="AN67" s="13">
        <f>MAX(0,AL67-'Live Calc'!$H$21)^'Live Calc'!$E$21</f>
        <v>0</v>
      </c>
      <c r="AO67" s="13">
        <v>67</v>
      </c>
      <c r="AP67" s="13">
        <f>IF(AO67&lt;&gt;_xlfn.MINIFS('Draft Board'!$AO$2:$AO$192,'Draft Board'!$AN$2:$AN$192,"="&amp;AN67),0,IF(_xlfn.MINIFS('Draft Board'!$AN$2:$AN$192,'Draft Board'!$AN$2:$AN$192,"&gt;"&amp;AN67)=0,1,IF((_xlfn.MINIFS('Draft Board'!$AN$2:$AN$192,'Draft Board'!$AN$2:$AN$192,"&gt;"&amp;AN67)-AN67)/_xlfn.MINIFS('Draft Board'!$AN$2:$AN$192,'Draft Board'!$AN$2:$AN$192,"&gt;"&amp;AN67)&gt;0.08,1,0)))</f>
        <v>0</v>
      </c>
      <c r="AQ67" s="13">
        <f>_xlfn.MINIFS('Draft Board'!$AN$2:$AN$192,'Draft Board'!$AN$2:$AN$192,"&gt;="&amp;AN67,'Draft Board'!$AP$2:$AP$192,1)</f>
        <v>0</v>
      </c>
      <c r="AR67" s="13">
        <f>IF(AO67&lt;&gt;_xlfn.MINIFS('Draft Board'!$AO$2:$AO$192,'Draft Board'!$AN$2:$AN$192,"="&amp;AN67),0,IF(OR(AP67=1,IFERROR(FLOOR((AQ67-AN67)/AQ67/0.25,1),0)&lt;&gt;IFERROR(FLOOR((AQ67-_xlfn.MINIFS('Draft Board'!$AN$2:$AN$192,'Draft Board'!$AN$2:$AN$192,"&gt;"&amp;AN67))/AQ67/0.25,1),0)),1,0))</f>
        <v>0</v>
      </c>
      <c r="AS67" s="13">
        <f>ROUND(1+AN67*'Live Calc'!$D$28,0)</f>
        <v>1</v>
      </c>
      <c r="AT67" s="13"/>
      <c r="AU67" s="13">
        <f>IF(AT67&lt;&gt;"",AT67,ROUND(AS67*INDEX('Live Calc'!$G$260:$G$450,MATCH(AM67,'Live Calc'!$A$260:$A$450,0))*'Live Calc'!$J$543,0))</f>
        <v>1</v>
      </c>
      <c r="AW67" s="14" t="s">
        <v>350</v>
      </c>
      <c r="AX67" s="14" t="s">
        <v>75</v>
      </c>
      <c r="AY67" s="14">
        <v>22.3</v>
      </c>
      <c r="AZ67" s="14">
        <v>29.3</v>
      </c>
      <c r="BA67" s="14">
        <v>36.299999999999997</v>
      </c>
      <c r="BB67" s="14">
        <f>CHOOSE(MATCH(Setup!$B$7,{"STD","Half-PPR","PPR"},0),AY67,AZ67,BA67)</f>
        <v>29.3</v>
      </c>
      <c r="BC67" s="14">
        <f>COUNTIFS('Draft Board'!$BD$2:$BD$87,"&gt;="&amp;BD67,'Draft Board'!$BH$2:$BH$87,1)</f>
        <v>18</v>
      </c>
      <c r="BD67" s="14">
        <f>MAX(0,BB67-'Live Calc'!$H$22)^'Live Calc'!$E$22</f>
        <v>0</v>
      </c>
      <c r="BE67" s="14">
        <v>67</v>
      </c>
      <c r="BF67" s="14">
        <f>IF(BE67&lt;&gt;_xlfn.MINIFS('Draft Board'!$BE$2:$BE$87,'Draft Board'!$BD$2:$BD$87,"="&amp;BD67),0,IF(_xlfn.MINIFS('Draft Board'!$BD$2:$BD$87,'Draft Board'!$BD$2:$BD$87,"&gt;"&amp;BD67)=0,1,IF((_xlfn.MINIFS('Draft Board'!$BD$2:$BD$87,'Draft Board'!$BD$2:$BD$87,"&gt;"&amp;BD67)-BD67)/_xlfn.MINIFS('Draft Board'!$BD$2:$BD$87,'Draft Board'!$BD$2:$BD$87,"&gt;"&amp;BD67)&gt;0.08,1,0)))</f>
        <v>0</v>
      </c>
      <c r="BG67" s="14">
        <f>_xlfn.MINIFS('Draft Board'!$BD$2:$BD$87,'Draft Board'!$BD$2:$BD$87,"&gt;="&amp;BD67,'Draft Board'!$BF$2:$BF$87,1)</f>
        <v>0</v>
      </c>
      <c r="BH67" s="14">
        <f>IF(BE67&lt;&gt;_xlfn.MINIFS('Draft Board'!$BE$2:$BE$87,'Draft Board'!$BD$2:$BD$87,"="&amp;BD67),0,IF(OR(BF67=1,IFERROR(FLOOR((BG67-BD67)/BG67/0.25,1),0)&lt;&gt;IFERROR(FLOOR((BG67-_xlfn.MINIFS('Draft Board'!$BD$2:$BD$87,'Draft Board'!$BD$2:$BD$87,"&gt;"&amp;BD67))/BG67/0.25,1),0)),1,0))</f>
        <v>0</v>
      </c>
      <c r="BI67" s="14">
        <f>ROUND(1+BD67*'Live Calc'!$D$29,0)</f>
        <v>1</v>
      </c>
      <c r="BJ67" s="14"/>
      <c r="BK67" s="14">
        <f>IF(BJ67&lt;&gt;"",BJ67,ROUND(BI67*INDEX('Live Calc'!$G$454:$G$539,MATCH(BC67,'Live Calc'!$A$454:$A$539,0))*'Live Calc'!$J$543,0))</f>
        <v>1</v>
      </c>
    </row>
    <row r="68" spans="17:63" x14ac:dyDescent="0.25">
      <c r="Q68" s="12" t="s">
        <v>351</v>
      </c>
      <c r="R68" s="12" t="s">
        <v>118</v>
      </c>
      <c r="S68" s="12">
        <v>44.3</v>
      </c>
      <c r="T68" s="12">
        <v>49.582000000000001</v>
      </c>
      <c r="U68" s="12">
        <v>55.64</v>
      </c>
      <c r="V68" s="12">
        <f>CHOOSE(MATCH(Setup!$B$7,{"STD","Half-PPR","PPR"},0),S68,T68,U68)</f>
        <v>49.582000000000001</v>
      </c>
      <c r="W68" s="12">
        <f>COUNTIFS('Draft Board'!$X$2:$X$162,"&gt;="&amp;X68,'Draft Board'!$AB$2:$AB$162,1)</f>
        <v>19</v>
      </c>
      <c r="X68" s="12">
        <f>MAX(0,V68-'Live Calc'!$H$20)^'Live Calc'!$E$20</f>
        <v>0</v>
      </c>
      <c r="Y68" s="12">
        <v>68</v>
      </c>
      <c r="Z68" s="12">
        <f>IF(Y68&lt;&gt;_xlfn.MINIFS('Draft Board'!$Y$2:$Y$162,'Draft Board'!$X$2:$X$162,"="&amp;X68),0,IF(_xlfn.MINIFS('Draft Board'!$X$2:$X$162,'Draft Board'!$X$2:$X$162,"&gt;"&amp;X68)=0,1,IF((_xlfn.MINIFS('Draft Board'!$X$2:$X$162,'Draft Board'!$X$2:$X$162,"&gt;"&amp;X68)-X68)/_xlfn.MINIFS('Draft Board'!$X$2:$X$162,'Draft Board'!$X$2:$X$162,"&gt;"&amp;X68)&gt;0.08,1,0)))</f>
        <v>0</v>
      </c>
      <c r="AA68" s="12">
        <f>_xlfn.MINIFS('Draft Board'!$X$2:$X$162,'Draft Board'!$X$2:$X$162,"&gt;="&amp;X68,'Draft Board'!$Z$2:$Z$162,1)</f>
        <v>0</v>
      </c>
      <c r="AB68" s="12">
        <f>IF(Y68&lt;&gt;_xlfn.MINIFS('Draft Board'!$Y$2:$Y$162,'Draft Board'!$X$2:$X$162,"="&amp;X68),0,IF(OR(Z68=1,IFERROR(FLOOR((AA68-X68)/AA68/0.25,1),0)&lt;&gt;IFERROR(FLOOR((AA68-_xlfn.MINIFS('Draft Board'!$X$2:$X$162,'Draft Board'!$X$2:$X$162,"&gt;"&amp;X68))/AA68/0.25,1),0)),1,0))</f>
        <v>0</v>
      </c>
      <c r="AC68" s="12">
        <f>ROUND(1+X68*'Live Calc'!$D$27,0)</f>
        <v>1</v>
      </c>
      <c r="AD68" s="12"/>
      <c r="AE68" s="12">
        <f>IF(AD68&lt;&gt;"",AD68,ROUND(AC68*INDEX('Live Calc'!$G$96:$G$256,MATCH(W68,'Live Calc'!$A$96:$A$256,0))*'Live Calc'!$J$543,0))</f>
        <v>1</v>
      </c>
      <c r="AG68" s="13" t="s">
        <v>352</v>
      </c>
      <c r="AH68" s="13" t="s">
        <v>111</v>
      </c>
      <c r="AI68" s="13">
        <v>70.677999999999997</v>
      </c>
      <c r="AJ68" s="13">
        <v>91.498000000000005</v>
      </c>
      <c r="AK68" s="13">
        <v>111.05200000000001</v>
      </c>
      <c r="AL68" s="13">
        <f>CHOOSE(MATCH(Setup!$B$7,{"STD","Half-PPR","PPR"},0),AI68,AJ68,AK68)</f>
        <v>91.498000000000005</v>
      </c>
      <c r="AM68" s="13">
        <f>COUNTIFS('Draft Board'!$AN$2:$AN$192,"&gt;="&amp;AN68,'Draft Board'!$AR$2:$AR$192,1)</f>
        <v>22</v>
      </c>
      <c r="AN68" s="13">
        <f>MAX(0,AL68-'Live Calc'!$H$21)^'Live Calc'!$E$21</f>
        <v>0</v>
      </c>
      <c r="AO68" s="13">
        <v>68</v>
      </c>
      <c r="AP68" s="13">
        <f>IF(AO68&lt;&gt;_xlfn.MINIFS('Draft Board'!$AO$2:$AO$192,'Draft Board'!$AN$2:$AN$192,"="&amp;AN68),0,IF(_xlfn.MINIFS('Draft Board'!$AN$2:$AN$192,'Draft Board'!$AN$2:$AN$192,"&gt;"&amp;AN68)=0,1,IF((_xlfn.MINIFS('Draft Board'!$AN$2:$AN$192,'Draft Board'!$AN$2:$AN$192,"&gt;"&amp;AN68)-AN68)/_xlfn.MINIFS('Draft Board'!$AN$2:$AN$192,'Draft Board'!$AN$2:$AN$192,"&gt;"&amp;AN68)&gt;0.08,1,0)))</f>
        <v>0</v>
      </c>
      <c r="AQ68" s="13">
        <f>_xlfn.MINIFS('Draft Board'!$AN$2:$AN$192,'Draft Board'!$AN$2:$AN$192,"&gt;="&amp;AN68,'Draft Board'!$AP$2:$AP$192,1)</f>
        <v>0</v>
      </c>
      <c r="AR68" s="13">
        <f>IF(AO68&lt;&gt;_xlfn.MINIFS('Draft Board'!$AO$2:$AO$192,'Draft Board'!$AN$2:$AN$192,"="&amp;AN68),0,IF(OR(AP68=1,IFERROR(FLOOR((AQ68-AN68)/AQ68/0.25,1),0)&lt;&gt;IFERROR(FLOOR((AQ68-_xlfn.MINIFS('Draft Board'!$AN$2:$AN$192,'Draft Board'!$AN$2:$AN$192,"&gt;"&amp;AN68))/AQ68/0.25,1),0)),1,0))</f>
        <v>0</v>
      </c>
      <c r="AS68" s="13">
        <f>ROUND(1+AN68*'Live Calc'!$D$28,0)</f>
        <v>1</v>
      </c>
      <c r="AT68" s="13"/>
      <c r="AU68" s="13">
        <f>IF(AT68&lt;&gt;"",AT68,ROUND(AS68*INDEX('Live Calc'!$G$260:$G$450,MATCH(AM68,'Live Calc'!$A$260:$A$450,0))*'Live Calc'!$J$543,0))</f>
        <v>1</v>
      </c>
      <c r="AW68" s="14" t="s">
        <v>353</v>
      </c>
      <c r="AX68" s="14" t="s">
        <v>111</v>
      </c>
      <c r="AY68" s="14">
        <v>21.34</v>
      </c>
      <c r="AZ68" s="14">
        <v>29.04</v>
      </c>
      <c r="BA68" s="14">
        <v>36.74</v>
      </c>
      <c r="BB68" s="14">
        <f>CHOOSE(MATCH(Setup!$B$7,{"STD","Half-PPR","PPR"},0),AY68,AZ68,BA68)</f>
        <v>29.04</v>
      </c>
      <c r="BC68" s="14">
        <f>COUNTIFS('Draft Board'!$BD$2:$BD$87,"&gt;="&amp;BD68,'Draft Board'!$BH$2:$BH$87,1)</f>
        <v>18</v>
      </c>
      <c r="BD68" s="14">
        <f>MAX(0,BB68-'Live Calc'!$H$22)^'Live Calc'!$E$22</f>
        <v>0</v>
      </c>
      <c r="BE68" s="14">
        <v>68</v>
      </c>
      <c r="BF68" s="14">
        <f>IF(BE68&lt;&gt;_xlfn.MINIFS('Draft Board'!$BE$2:$BE$87,'Draft Board'!$BD$2:$BD$87,"="&amp;BD68),0,IF(_xlfn.MINIFS('Draft Board'!$BD$2:$BD$87,'Draft Board'!$BD$2:$BD$87,"&gt;"&amp;BD68)=0,1,IF((_xlfn.MINIFS('Draft Board'!$BD$2:$BD$87,'Draft Board'!$BD$2:$BD$87,"&gt;"&amp;BD68)-BD68)/_xlfn.MINIFS('Draft Board'!$BD$2:$BD$87,'Draft Board'!$BD$2:$BD$87,"&gt;"&amp;BD68)&gt;0.08,1,0)))</f>
        <v>0</v>
      </c>
      <c r="BG68" s="14">
        <f>_xlfn.MINIFS('Draft Board'!$BD$2:$BD$87,'Draft Board'!$BD$2:$BD$87,"&gt;="&amp;BD68,'Draft Board'!$BF$2:$BF$87,1)</f>
        <v>0</v>
      </c>
      <c r="BH68" s="14">
        <f>IF(BE68&lt;&gt;_xlfn.MINIFS('Draft Board'!$BE$2:$BE$87,'Draft Board'!$BD$2:$BD$87,"="&amp;BD68),0,IF(OR(BF68=1,IFERROR(FLOOR((BG68-BD68)/BG68/0.25,1),0)&lt;&gt;IFERROR(FLOOR((BG68-_xlfn.MINIFS('Draft Board'!$BD$2:$BD$87,'Draft Board'!$BD$2:$BD$87,"&gt;"&amp;BD68))/BG68/0.25,1),0)),1,0))</f>
        <v>0</v>
      </c>
      <c r="BI68" s="14">
        <f>ROUND(1+BD68*'Live Calc'!$D$29,0)</f>
        <v>1</v>
      </c>
      <c r="BJ68" s="14"/>
      <c r="BK68" s="14">
        <f>IF(BJ68&lt;&gt;"",BJ68,ROUND(BI68*INDEX('Live Calc'!$G$454:$G$539,MATCH(BC68,'Live Calc'!$A$454:$A$539,0))*'Live Calc'!$J$543,0))</f>
        <v>1</v>
      </c>
    </row>
    <row r="69" spans="17:63" x14ac:dyDescent="0.25">
      <c r="Q69" s="12" t="s">
        <v>354</v>
      </c>
      <c r="R69" s="12" t="s">
        <v>134</v>
      </c>
      <c r="S69" s="12">
        <v>45.338000000000001</v>
      </c>
      <c r="T69" s="12">
        <v>49.024000000000001</v>
      </c>
      <c r="U69" s="12">
        <v>53.09</v>
      </c>
      <c r="V69" s="12">
        <f>CHOOSE(MATCH(Setup!$B$7,{"STD","Half-PPR","PPR"},0),S69,T69,U69)</f>
        <v>49.024000000000001</v>
      </c>
      <c r="W69" s="12">
        <f>COUNTIFS('Draft Board'!$X$2:$X$162,"&gt;="&amp;X69,'Draft Board'!$AB$2:$AB$162,1)</f>
        <v>19</v>
      </c>
      <c r="X69" s="12">
        <f>MAX(0,V69-'Live Calc'!$H$20)^'Live Calc'!$E$20</f>
        <v>0</v>
      </c>
      <c r="Y69" s="12">
        <v>69</v>
      </c>
      <c r="Z69" s="12">
        <f>IF(Y69&lt;&gt;_xlfn.MINIFS('Draft Board'!$Y$2:$Y$162,'Draft Board'!$X$2:$X$162,"="&amp;X69),0,IF(_xlfn.MINIFS('Draft Board'!$X$2:$X$162,'Draft Board'!$X$2:$X$162,"&gt;"&amp;X69)=0,1,IF((_xlfn.MINIFS('Draft Board'!$X$2:$X$162,'Draft Board'!$X$2:$X$162,"&gt;"&amp;X69)-X69)/_xlfn.MINIFS('Draft Board'!$X$2:$X$162,'Draft Board'!$X$2:$X$162,"&gt;"&amp;X69)&gt;0.08,1,0)))</f>
        <v>0</v>
      </c>
      <c r="AA69" s="12">
        <f>_xlfn.MINIFS('Draft Board'!$X$2:$X$162,'Draft Board'!$X$2:$X$162,"&gt;="&amp;X69,'Draft Board'!$Z$2:$Z$162,1)</f>
        <v>0</v>
      </c>
      <c r="AB69" s="12">
        <f>IF(Y69&lt;&gt;_xlfn.MINIFS('Draft Board'!$Y$2:$Y$162,'Draft Board'!$X$2:$X$162,"="&amp;X69),0,IF(OR(Z69=1,IFERROR(FLOOR((AA69-X69)/AA69/0.25,1),0)&lt;&gt;IFERROR(FLOOR((AA69-_xlfn.MINIFS('Draft Board'!$X$2:$X$162,'Draft Board'!$X$2:$X$162,"&gt;"&amp;X69))/AA69/0.25,1),0)),1,0))</f>
        <v>0</v>
      </c>
      <c r="AC69" s="12">
        <f>ROUND(1+X69*'Live Calc'!$D$27,0)</f>
        <v>1</v>
      </c>
      <c r="AD69" s="12"/>
      <c r="AE69" s="12">
        <f>IF(AD69&lt;&gt;"",AD69,ROUND(AC69*INDEX('Live Calc'!$G$96:$G$256,MATCH(W69,'Live Calc'!$A$96:$A$256,0))*'Live Calc'!$J$543,0))</f>
        <v>1</v>
      </c>
      <c r="AG69" s="13" t="s">
        <v>355</v>
      </c>
      <c r="AH69" s="13" t="s">
        <v>94</v>
      </c>
      <c r="AI69" s="13">
        <v>69.957999999999998</v>
      </c>
      <c r="AJ69" s="13">
        <v>90.123999999999995</v>
      </c>
      <c r="AK69" s="13">
        <v>111.072</v>
      </c>
      <c r="AL69" s="13">
        <f>CHOOSE(MATCH(Setup!$B$7,{"STD","Half-PPR","PPR"},0),AI69,AJ69,AK69)</f>
        <v>90.123999999999995</v>
      </c>
      <c r="AM69" s="13">
        <f>COUNTIFS('Draft Board'!$AN$2:$AN$192,"&gt;="&amp;AN69,'Draft Board'!$AR$2:$AR$192,1)</f>
        <v>22</v>
      </c>
      <c r="AN69" s="13">
        <f>MAX(0,AL69-'Live Calc'!$H$21)^'Live Calc'!$E$21</f>
        <v>0</v>
      </c>
      <c r="AO69" s="13">
        <v>69</v>
      </c>
      <c r="AP69" s="13">
        <f>IF(AO69&lt;&gt;_xlfn.MINIFS('Draft Board'!$AO$2:$AO$192,'Draft Board'!$AN$2:$AN$192,"="&amp;AN69),0,IF(_xlfn.MINIFS('Draft Board'!$AN$2:$AN$192,'Draft Board'!$AN$2:$AN$192,"&gt;"&amp;AN69)=0,1,IF((_xlfn.MINIFS('Draft Board'!$AN$2:$AN$192,'Draft Board'!$AN$2:$AN$192,"&gt;"&amp;AN69)-AN69)/_xlfn.MINIFS('Draft Board'!$AN$2:$AN$192,'Draft Board'!$AN$2:$AN$192,"&gt;"&amp;AN69)&gt;0.08,1,0)))</f>
        <v>0</v>
      </c>
      <c r="AQ69" s="13">
        <f>_xlfn.MINIFS('Draft Board'!$AN$2:$AN$192,'Draft Board'!$AN$2:$AN$192,"&gt;="&amp;AN69,'Draft Board'!$AP$2:$AP$192,1)</f>
        <v>0</v>
      </c>
      <c r="AR69" s="13">
        <f>IF(AO69&lt;&gt;_xlfn.MINIFS('Draft Board'!$AO$2:$AO$192,'Draft Board'!$AN$2:$AN$192,"="&amp;AN69),0,IF(OR(AP69=1,IFERROR(FLOOR((AQ69-AN69)/AQ69/0.25,1),0)&lt;&gt;IFERROR(FLOOR((AQ69-_xlfn.MINIFS('Draft Board'!$AN$2:$AN$192,'Draft Board'!$AN$2:$AN$192,"&gt;"&amp;AN69))/AQ69/0.25,1),0)),1,0))</f>
        <v>0</v>
      </c>
      <c r="AS69" s="13">
        <f>ROUND(1+AN69*'Live Calc'!$D$28,0)</f>
        <v>1</v>
      </c>
      <c r="AT69" s="13"/>
      <c r="AU69" s="13">
        <f>IF(AT69&lt;&gt;"",AT69,ROUND(AS69*INDEX('Live Calc'!$G$260:$G$450,MATCH(AM69,'Live Calc'!$A$260:$A$450,0))*'Live Calc'!$J$543,0))</f>
        <v>1</v>
      </c>
      <c r="AW69" s="14" t="s">
        <v>356</v>
      </c>
      <c r="AX69" s="14" t="s">
        <v>284</v>
      </c>
      <c r="AY69" s="14">
        <v>20.7</v>
      </c>
      <c r="AZ69" s="14">
        <v>28.7</v>
      </c>
      <c r="BA69" s="14">
        <v>36.700000000000003</v>
      </c>
      <c r="BB69" s="14">
        <f>CHOOSE(MATCH(Setup!$B$7,{"STD","Half-PPR","PPR"},0),AY69,AZ69,BA69)</f>
        <v>28.7</v>
      </c>
      <c r="BC69" s="14">
        <f>COUNTIFS('Draft Board'!$BD$2:$BD$87,"&gt;="&amp;BD69,'Draft Board'!$BH$2:$BH$87,1)</f>
        <v>18</v>
      </c>
      <c r="BD69" s="14">
        <f>MAX(0,BB69-'Live Calc'!$H$22)^'Live Calc'!$E$22</f>
        <v>0</v>
      </c>
      <c r="BE69" s="14">
        <v>69</v>
      </c>
      <c r="BF69" s="14">
        <f>IF(BE69&lt;&gt;_xlfn.MINIFS('Draft Board'!$BE$2:$BE$87,'Draft Board'!$BD$2:$BD$87,"="&amp;BD69),0,IF(_xlfn.MINIFS('Draft Board'!$BD$2:$BD$87,'Draft Board'!$BD$2:$BD$87,"&gt;"&amp;BD69)=0,1,IF((_xlfn.MINIFS('Draft Board'!$BD$2:$BD$87,'Draft Board'!$BD$2:$BD$87,"&gt;"&amp;BD69)-BD69)/_xlfn.MINIFS('Draft Board'!$BD$2:$BD$87,'Draft Board'!$BD$2:$BD$87,"&gt;"&amp;BD69)&gt;0.08,1,0)))</f>
        <v>0</v>
      </c>
      <c r="BG69" s="14">
        <f>_xlfn.MINIFS('Draft Board'!$BD$2:$BD$87,'Draft Board'!$BD$2:$BD$87,"&gt;="&amp;BD69,'Draft Board'!$BF$2:$BF$87,1)</f>
        <v>0</v>
      </c>
      <c r="BH69" s="14">
        <f>IF(BE69&lt;&gt;_xlfn.MINIFS('Draft Board'!$BE$2:$BE$87,'Draft Board'!$BD$2:$BD$87,"="&amp;BD69),0,IF(OR(BF69=1,IFERROR(FLOOR((BG69-BD69)/BG69/0.25,1),0)&lt;&gt;IFERROR(FLOOR((BG69-_xlfn.MINIFS('Draft Board'!$BD$2:$BD$87,'Draft Board'!$BD$2:$BD$87,"&gt;"&amp;BD69))/BG69/0.25,1),0)),1,0))</f>
        <v>0</v>
      </c>
      <c r="BI69" s="14">
        <f>ROUND(1+BD69*'Live Calc'!$D$29,0)</f>
        <v>1</v>
      </c>
      <c r="BJ69" s="14"/>
      <c r="BK69" s="14">
        <f>IF(BJ69&lt;&gt;"",BJ69,ROUND(BI69*INDEX('Live Calc'!$G$454:$G$539,MATCH(BC69,'Live Calc'!$A$454:$A$539,0))*'Live Calc'!$J$543,0))</f>
        <v>1</v>
      </c>
    </row>
    <row r="70" spans="17:63" x14ac:dyDescent="0.25">
      <c r="Q70" s="12" t="s">
        <v>357</v>
      </c>
      <c r="R70" s="12" t="s">
        <v>125</v>
      </c>
      <c r="S70" s="12">
        <v>41.722000000000001</v>
      </c>
      <c r="T70" s="12">
        <v>45.468000000000004</v>
      </c>
      <c r="U70" s="12">
        <v>48.886000000000003</v>
      </c>
      <c r="V70" s="12">
        <f>CHOOSE(MATCH(Setup!$B$7,{"STD","Half-PPR","PPR"},0),S70,T70,U70)</f>
        <v>45.468000000000004</v>
      </c>
      <c r="W70" s="12">
        <f>COUNTIFS('Draft Board'!$X$2:$X$162,"&gt;="&amp;X70,'Draft Board'!$AB$2:$AB$162,1)</f>
        <v>19</v>
      </c>
      <c r="X70" s="12">
        <f>MAX(0,V70-'Live Calc'!$H$20)^'Live Calc'!$E$20</f>
        <v>0</v>
      </c>
      <c r="Y70" s="12">
        <v>70</v>
      </c>
      <c r="Z70" s="12">
        <f>IF(Y70&lt;&gt;_xlfn.MINIFS('Draft Board'!$Y$2:$Y$162,'Draft Board'!$X$2:$X$162,"="&amp;X70),0,IF(_xlfn.MINIFS('Draft Board'!$X$2:$X$162,'Draft Board'!$X$2:$X$162,"&gt;"&amp;X70)=0,1,IF((_xlfn.MINIFS('Draft Board'!$X$2:$X$162,'Draft Board'!$X$2:$X$162,"&gt;"&amp;X70)-X70)/_xlfn.MINIFS('Draft Board'!$X$2:$X$162,'Draft Board'!$X$2:$X$162,"&gt;"&amp;X70)&gt;0.08,1,0)))</f>
        <v>0</v>
      </c>
      <c r="AA70" s="12">
        <f>_xlfn.MINIFS('Draft Board'!$X$2:$X$162,'Draft Board'!$X$2:$X$162,"&gt;="&amp;X70,'Draft Board'!$Z$2:$Z$162,1)</f>
        <v>0</v>
      </c>
      <c r="AB70" s="12">
        <f>IF(Y70&lt;&gt;_xlfn.MINIFS('Draft Board'!$Y$2:$Y$162,'Draft Board'!$X$2:$X$162,"="&amp;X70),0,IF(OR(Z70=1,IFERROR(FLOOR((AA70-X70)/AA70/0.25,1),0)&lt;&gt;IFERROR(FLOOR((AA70-_xlfn.MINIFS('Draft Board'!$X$2:$X$162,'Draft Board'!$X$2:$X$162,"&gt;"&amp;X70))/AA70/0.25,1),0)),1,0))</f>
        <v>0</v>
      </c>
      <c r="AC70" s="12">
        <f>ROUND(1+X70*'Live Calc'!$D$27,0)</f>
        <v>1</v>
      </c>
      <c r="AD70" s="12"/>
      <c r="AE70" s="12">
        <f>IF(AD70&lt;&gt;"",AD70,ROUND(AC70*INDEX('Live Calc'!$G$96:$G$256,MATCH(W70,'Live Calc'!$A$96:$A$256,0))*'Live Calc'!$J$543,0))</f>
        <v>1</v>
      </c>
      <c r="AG70" s="13" t="s">
        <v>358</v>
      </c>
      <c r="AH70" s="13" t="s">
        <v>69</v>
      </c>
      <c r="AI70" s="13">
        <v>71.861999999999995</v>
      </c>
      <c r="AJ70" s="13">
        <v>90.028000000000006</v>
      </c>
      <c r="AK70" s="13">
        <v>107.45</v>
      </c>
      <c r="AL70" s="13">
        <f>CHOOSE(MATCH(Setup!$B$7,{"STD","Half-PPR","PPR"},0),AI70,AJ70,AK70)</f>
        <v>90.028000000000006</v>
      </c>
      <c r="AM70" s="13">
        <f>COUNTIFS('Draft Board'!$AN$2:$AN$192,"&gt;="&amp;AN70,'Draft Board'!$AR$2:$AR$192,1)</f>
        <v>22</v>
      </c>
      <c r="AN70" s="13">
        <f>MAX(0,AL70-'Live Calc'!$H$21)^'Live Calc'!$E$21</f>
        <v>0</v>
      </c>
      <c r="AO70" s="13">
        <v>70</v>
      </c>
      <c r="AP70" s="13">
        <f>IF(AO70&lt;&gt;_xlfn.MINIFS('Draft Board'!$AO$2:$AO$192,'Draft Board'!$AN$2:$AN$192,"="&amp;AN70),0,IF(_xlfn.MINIFS('Draft Board'!$AN$2:$AN$192,'Draft Board'!$AN$2:$AN$192,"&gt;"&amp;AN70)=0,1,IF((_xlfn.MINIFS('Draft Board'!$AN$2:$AN$192,'Draft Board'!$AN$2:$AN$192,"&gt;"&amp;AN70)-AN70)/_xlfn.MINIFS('Draft Board'!$AN$2:$AN$192,'Draft Board'!$AN$2:$AN$192,"&gt;"&amp;AN70)&gt;0.08,1,0)))</f>
        <v>0</v>
      </c>
      <c r="AQ70" s="13">
        <f>_xlfn.MINIFS('Draft Board'!$AN$2:$AN$192,'Draft Board'!$AN$2:$AN$192,"&gt;="&amp;AN70,'Draft Board'!$AP$2:$AP$192,1)</f>
        <v>0</v>
      </c>
      <c r="AR70" s="13">
        <f>IF(AO70&lt;&gt;_xlfn.MINIFS('Draft Board'!$AO$2:$AO$192,'Draft Board'!$AN$2:$AN$192,"="&amp;AN70),0,IF(OR(AP70=1,IFERROR(FLOOR((AQ70-AN70)/AQ70/0.25,1),0)&lt;&gt;IFERROR(FLOOR((AQ70-_xlfn.MINIFS('Draft Board'!$AN$2:$AN$192,'Draft Board'!$AN$2:$AN$192,"&gt;"&amp;AN70))/AQ70/0.25,1),0)),1,0))</f>
        <v>0</v>
      </c>
      <c r="AS70" s="13">
        <f>ROUND(1+AN70*'Live Calc'!$D$28,0)</f>
        <v>1</v>
      </c>
      <c r="AT70" s="13"/>
      <c r="AU70" s="13">
        <f>IF(AT70&lt;&gt;"",AT70,ROUND(AS70*INDEX('Live Calc'!$G$260:$G$450,MATCH(AM70,'Live Calc'!$A$260:$A$450,0))*'Live Calc'!$J$543,0))</f>
        <v>1</v>
      </c>
      <c r="AW70" s="14" t="s">
        <v>359</v>
      </c>
      <c r="AX70" s="14" t="s">
        <v>85</v>
      </c>
      <c r="AY70" s="14">
        <v>20.79</v>
      </c>
      <c r="AZ70" s="14">
        <v>27.42</v>
      </c>
      <c r="BA70" s="14">
        <v>34.04</v>
      </c>
      <c r="BB70" s="14">
        <f>CHOOSE(MATCH(Setup!$B$7,{"STD","Half-PPR","PPR"},0),AY70,AZ70,BA70)</f>
        <v>27.42</v>
      </c>
      <c r="BC70" s="14">
        <f>COUNTIFS('Draft Board'!$BD$2:$BD$87,"&gt;="&amp;BD70,'Draft Board'!$BH$2:$BH$87,1)</f>
        <v>18</v>
      </c>
      <c r="BD70" s="14">
        <f>MAX(0,BB70-'Live Calc'!$H$22)^'Live Calc'!$E$22</f>
        <v>0</v>
      </c>
      <c r="BE70" s="14">
        <v>70</v>
      </c>
      <c r="BF70" s="14">
        <f>IF(BE70&lt;&gt;_xlfn.MINIFS('Draft Board'!$BE$2:$BE$87,'Draft Board'!$BD$2:$BD$87,"="&amp;BD70),0,IF(_xlfn.MINIFS('Draft Board'!$BD$2:$BD$87,'Draft Board'!$BD$2:$BD$87,"&gt;"&amp;BD70)=0,1,IF((_xlfn.MINIFS('Draft Board'!$BD$2:$BD$87,'Draft Board'!$BD$2:$BD$87,"&gt;"&amp;BD70)-BD70)/_xlfn.MINIFS('Draft Board'!$BD$2:$BD$87,'Draft Board'!$BD$2:$BD$87,"&gt;"&amp;BD70)&gt;0.08,1,0)))</f>
        <v>0</v>
      </c>
      <c r="BG70" s="14">
        <f>_xlfn.MINIFS('Draft Board'!$BD$2:$BD$87,'Draft Board'!$BD$2:$BD$87,"&gt;="&amp;BD70,'Draft Board'!$BF$2:$BF$87,1)</f>
        <v>0</v>
      </c>
      <c r="BH70" s="14">
        <f>IF(BE70&lt;&gt;_xlfn.MINIFS('Draft Board'!$BE$2:$BE$87,'Draft Board'!$BD$2:$BD$87,"="&amp;BD70),0,IF(OR(BF70=1,IFERROR(FLOOR((BG70-BD70)/BG70/0.25,1),0)&lt;&gt;IFERROR(FLOOR((BG70-_xlfn.MINIFS('Draft Board'!$BD$2:$BD$87,'Draft Board'!$BD$2:$BD$87,"&gt;"&amp;BD70))/BG70/0.25,1),0)),1,0))</f>
        <v>0</v>
      </c>
      <c r="BI70" s="14">
        <f>ROUND(1+BD70*'Live Calc'!$D$29,0)</f>
        <v>1</v>
      </c>
      <c r="BJ70" s="14"/>
      <c r="BK70" s="14">
        <f>IF(BJ70&lt;&gt;"",BJ70,ROUND(BI70*INDEX('Live Calc'!$G$454:$G$539,MATCH(BC70,'Live Calc'!$A$454:$A$539,0))*'Live Calc'!$J$543,0))</f>
        <v>1</v>
      </c>
    </row>
    <row r="71" spans="17:63" x14ac:dyDescent="0.25">
      <c r="Q71" s="12" t="s">
        <v>360</v>
      </c>
      <c r="R71" s="12" t="s">
        <v>79</v>
      </c>
      <c r="S71" s="12">
        <v>39.787999999999997</v>
      </c>
      <c r="T71" s="12">
        <v>44.097999999999999</v>
      </c>
      <c r="U71" s="12">
        <v>49.448</v>
      </c>
      <c r="V71" s="12">
        <f>CHOOSE(MATCH(Setup!$B$7,{"STD","Half-PPR","PPR"},0),S71,T71,U71)</f>
        <v>44.097999999999999</v>
      </c>
      <c r="W71" s="12">
        <f>COUNTIFS('Draft Board'!$X$2:$X$162,"&gt;="&amp;X71,'Draft Board'!$AB$2:$AB$162,1)</f>
        <v>19</v>
      </c>
      <c r="X71" s="12">
        <f>MAX(0,V71-'Live Calc'!$H$20)^'Live Calc'!$E$20</f>
        <v>0</v>
      </c>
      <c r="Y71" s="12">
        <v>71</v>
      </c>
      <c r="Z71" s="12">
        <f>IF(Y71&lt;&gt;_xlfn.MINIFS('Draft Board'!$Y$2:$Y$162,'Draft Board'!$X$2:$X$162,"="&amp;X71),0,IF(_xlfn.MINIFS('Draft Board'!$X$2:$X$162,'Draft Board'!$X$2:$X$162,"&gt;"&amp;X71)=0,1,IF((_xlfn.MINIFS('Draft Board'!$X$2:$X$162,'Draft Board'!$X$2:$X$162,"&gt;"&amp;X71)-X71)/_xlfn.MINIFS('Draft Board'!$X$2:$X$162,'Draft Board'!$X$2:$X$162,"&gt;"&amp;X71)&gt;0.08,1,0)))</f>
        <v>0</v>
      </c>
      <c r="AA71" s="12">
        <f>_xlfn.MINIFS('Draft Board'!$X$2:$X$162,'Draft Board'!$X$2:$X$162,"&gt;="&amp;X71,'Draft Board'!$Z$2:$Z$162,1)</f>
        <v>0</v>
      </c>
      <c r="AB71" s="12">
        <f>IF(Y71&lt;&gt;_xlfn.MINIFS('Draft Board'!$Y$2:$Y$162,'Draft Board'!$X$2:$X$162,"="&amp;X71),0,IF(OR(Z71=1,IFERROR(FLOOR((AA71-X71)/AA71/0.25,1),0)&lt;&gt;IFERROR(FLOOR((AA71-_xlfn.MINIFS('Draft Board'!$X$2:$X$162,'Draft Board'!$X$2:$X$162,"&gt;"&amp;X71))/AA71/0.25,1),0)),1,0))</f>
        <v>0</v>
      </c>
      <c r="AC71" s="12">
        <f>ROUND(1+X71*'Live Calc'!$D$27,0)</f>
        <v>1</v>
      </c>
      <c r="AD71" s="12"/>
      <c r="AE71" s="12">
        <f>IF(AD71&lt;&gt;"",AD71,ROUND(AC71*INDEX('Live Calc'!$G$96:$G$256,MATCH(W71,'Live Calc'!$A$96:$A$256,0))*'Live Calc'!$J$543,0))</f>
        <v>1</v>
      </c>
      <c r="AG71" s="13" t="s">
        <v>361</v>
      </c>
      <c r="AH71" s="13" t="s">
        <v>192</v>
      </c>
      <c r="AI71" s="13">
        <v>72.034000000000006</v>
      </c>
      <c r="AJ71" s="13">
        <v>89.78</v>
      </c>
      <c r="AK71" s="13">
        <v>108.55800000000001</v>
      </c>
      <c r="AL71" s="13">
        <f>CHOOSE(MATCH(Setup!$B$7,{"STD","Half-PPR","PPR"},0),AI71,AJ71,AK71)</f>
        <v>89.78</v>
      </c>
      <c r="AM71" s="13">
        <f>COUNTIFS('Draft Board'!$AN$2:$AN$192,"&gt;="&amp;AN71,'Draft Board'!$AR$2:$AR$192,1)</f>
        <v>22</v>
      </c>
      <c r="AN71" s="13">
        <f>MAX(0,AL71-'Live Calc'!$H$21)^'Live Calc'!$E$21</f>
        <v>0</v>
      </c>
      <c r="AO71" s="13">
        <v>71</v>
      </c>
      <c r="AP71" s="13">
        <f>IF(AO71&lt;&gt;_xlfn.MINIFS('Draft Board'!$AO$2:$AO$192,'Draft Board'!$AN$2:$AN$192,"="&amp;AN71),0,IF(_xlfn.MINIFS('Draft Board'!$AN$2:$AN$192,'Draft Board'!$AN$2:$AN$192,"&gt;"&amp;AN71)=0,1,IF((_xlfn.MINIFS('Draft Board'!$AN$2:$AN$192,'Draft Board'!$AN$2:$AN$192,"&gt;"&amp;AN71)-AN71)/_xlfn.MINIFS('Draft Board'!$AN$2:$AN$192,'Draft Board'!$AN$2:$AN$192,"&gt;"&amp;AN71)&gt;0.08,1,0)))</f>
        <v>0</v>
      </c>
      <c r="AQ71" s="13">
        <f>_xlfn.MINIFS('Draft Board'!$AN$2:$AN$192,'Draft Board'!$AN$2:$AN$192,"&gt;="&amp;AN71,'Draft Board'!$AP$2:$AP$192,1)</f>
        <v>0</v>
      </c>
      <c r="AR71" s="13">
        <f>IF(AO71&lt;&gt;_xlfn.MINIFS('Draft Board'!$AO$2:$AO$192,'Draft Board'!$AN$2:$AN$192,"="&amp;AN71),0,IF(OR(AP71=1,IFERROR(FLOOR((AQ71-AN71)/AQ71/0.25,1),0)&lt;&gt;IFERROR(FLOOR((AQ71-_xlfn.MINIFS('Draft Board'!$AN$2:$AN$192,'Draft Board'!$AN$2:$AN$192,"&gt;"&amp;AN71))/AQ71/0.25,1),0)),1,0))</f>
        <v>0</v>
      </c>
      <c r="AS71" s="13">
        <f>ROUND(1+AN71*'Live Calc'!$D$28,0)</f>
        <v>1</v>
      </c>
      <c r="AT71" s="13"/>
      <c r="AU71" s="13">
        <f>IF(AT71&lt;&gt;"",AT71,ROUND(AS71*INDEX('Live Calc'!$G$260:$G$450,MATCH(AM71,'Live Calc'!$A$260:$A$450,0))*'Live Calc'!$J$543,0))</f>
        <v>1</v>
      </c>
      <c r="AW71" s="14" t="s">
        <v>362</v>
      </c>
      <c r="AX71" s="14" t="s">
        <v>164</v>
      </c>
      <c r="AY71" s="14">
        <v>18.68</v>
      </c>
      <c r="AZ71" s="14">
        <v>27.334</v>
      </c>
      <c r="BA71" s="14">
        <v>31.52</v>
      </c>
      <c r="BB71" s="14">
        <f>CHOOSE(MATCH(Setup!$B$7,{"STD","Half-PPR","PPR"},0),AY71,AZ71,BA71)</f>
        <v>27.334</v>
      </c>
      <c r="BC71" s="14">
        <f>COUNTIFS('Draft Board'!$BD$2:$BD$87,"&gt;="&amp;BD71,'Draft Board'!$BH$2:$BH$87,1)</f>
        <v>18</v>
      </c>
      <c r="BD71" s="14">
        <f>MAX(0,BB71-'Live Calc'!$H$22)^'Live Calc'!$E$22</f>
        <v>0</v>
      </c>
      <c r="BE71" s="14">
        <v>71</v>
      </c>
      <c r="BF71" s="14">
        <f>IF(BE71&lt;&gt;_xlfn.MINIFS('Draft Board'!$BE$2:$BE$87,'Draft Board'!$BD$2:$BD$87,"="&amp;BD71),0,IF(_xlfn.MINIFS('Draft Board'!$BD$2:$BD$87,'Draft Board'!$BD$2:$BD$87,"&gt;"&amp;BD71)=0,1,IF((_xlfn.MINIFS('Draft Board'!$BD$2:$BD$87,'Draft Board'!$BD$2:$BD$87,"&gt;"&amp;BD71)-BD71)/_xlfn.MINIFS('Draft Board'!$BD$2:$BD$87,'Draft Board'!$BD$2:$BD$87,"&gt;"&amp;BD71)&gt;0.08,1,0)))</f>
        <v>0</v>
      </c>
      <c r="BG71" s="14">
        <f>_xlfn.MINIFS('Draft Board'!$BD$2:$BD$87,'Draft Board'!$BD$2:$BD$87,"&gt;="&amp;BD71,'Draft Board'!$BF$2:$BF$87,1)</f>
        <v>0</v>
      </c>
      <c r="BH71" s="14">
        <f>IF(BE71&lt;&gt;_xlfn.MINIFS('Draft Board'!$BE$2:$BE$87,'Draft Board'!$BD$2:$BD$87,"="&amp;BD71),0,IF(OR(BF71=1,IFERROR(FLOOR((BG71-BD71)/BG71/0.25,1),0)&lt;&gt;IFERROR(FLOOR((BG71-_xlfn.MINIFS('Draft Board'!$BD$2:$BD$87,'Draft Board'!$BD$2:$BD$87,"&gt;"&amp;BD71))/BG71/0.25,1),0)),1,0))</f>
        <v>0</v>
      </c>
      <c r="BI71" s="14">
        <f>ROUND(1+BD71*'Live Calc'!$D$29,0)</f>
        <v>1</v>
      </c>
      <c r="BJ71" s="14"/>
      <c r="BK71" s="14">
        <f>IF(BJ71&lt;&gt;"",BJ71,ROUND(BI71*INDEX('Live Calc'!$G$454:$G$539,MATCH(BC71,'Live Calc'!$A$454:$A$539,0))*'Live Calc'!$J$543,0))</f>
        <v>1</v>
      </c>
    </row>
    <row r="72" spans="17:63" x14ac:dyDescent="0.25">
      <c r="Q72" s="12" t="s">
        <v>363</v>
      </c>
      <c r="R72" s="12" t="s">
        <v>153</v>
      </c>
      <c r="S72" s="12">
        <v>37.384</v>
      </c>
      <c r="T72" s="12">
        <v>43.838000000000001</v>
      </c>
      <c r="U72" s="12">
        <v>50.56</v>
      </c>
      <c r="V72" s="12">
        <f>CHOOSE(MATCH(Setup!$B$7,{"STD","Half-PPR","PPR"},0),S72,T72,U72)</f>
        <v>43.838000000000001</v>
      </c>
      <c r="W72" s="12">
        <f>COUNTIFS('Draft Board'!$X$2:$X$162,"&gt;="&amp;X72,'Draft Board'!$AB$2:$AB$162,1)</f>
        <v>19</v>
      </c>
      <c r="X72" s="12">
        <f>MAX(0,V72-'Live Calc'!$H$20)^'Live Calc'!$E$20</f>
        <v>0</v>
      </c>
      <c r="Y72" s="12">
        <v>72</v>
      </c>
      <c r="Z72" s="12">
        <f>IF(Y72&lt;&gt;_xlfn.MINIFS('Draft Board'!$Y$2:$Y$162,'Draft Board'!$X$2:$X$162,"="&amp;X72),0,IF(_xlfn.MINIFS('Draft Board'!$X$2:$X$162,'Draft Board'!$X$2:$X$162,"&gt;"&amp;X72)=0,1,IF((_xlfn.MINIFS('Draft Board'!$X$2:$X$162,'Draft Board'!$X$2:$X$162,"&gt;"&amp;X72)-X72)/_xlfn.MINIFS('Draft Board'!$X$2:$X$162,'Draft Board'!$X$2:$X$162,"&gt;"&amp;X72)&gt;0.08,1,0)))</f>
        <v>0</v>
      </c>
      <c r="AA72" s="12">
        <f>_xlfn.MINIFS('Draft Board'!$X$2:$X$162,'Draft Board'!$X$2:$X$162,"&gt;="&amp;X72,'Draft Board'!$Z$2:$Z$162,1)</f>
        <v>0</v>
      </c>
      <c r="AB72" s="12">
        <f>IF(Y72&lt;&gt;_xlfn.MINIFS('Draft Board'!$Y$2:$Y$162,'Draft Board'!$X$2:$X$162,"="&amp;X72),0,IF(OR(Z72=1,IFERROR(FLOOR((AA72-X72)/AA72/0.25,1),0)&lt;&gt;IFERROR(FLOOR((AA72-_xlfn.MINIFS('Draft Board'!$X$2:$X$162,'Draft Board'!$X$2:$X$162,"&gt;"&amp;X72))/AA72/0.25,1),0)),1,0))</f>
        <v>0</v>
      </c>
      <c r="AC72" s="12">
        <f>ROUND(1+X72*'Live Calc'!$D$27,0)</f>
        <v>1</v>
      </c>
      <c r="AD72" s="12"/>
      <c r="AE72" s="12">
        <f>IF(AD72&lt;&gt;"",AD72,ROUND(AC72*INDEX('Live Calc'!$G$96:$G$256,MATCH(W72,'Live Calc'!$A$96:$A$256,0))*'Live Calc'!$J$543,0))</f>
        <v>1</v>
      </c>
      <c r="AG72" s="13" t="s">
        <v>364</v>
      </c>
      <c r="AH72" s="13" t="s">
        <v>69</v>
      </c>
      <c r="AI72" s="13">
        <v>73.19</v>
      </c>
      <c r="AJ72" s="13">
        <v>89.691999999999993</v>
      </c>
      <c r="AK72" s="13">
        <v>108.428</v>
      </c>
      <c r="AL72" s="13">
        <f>CHOOSE(MATCH(Setup!$B$7,{"STD","Half-PPR","PPR"},0),AI72,AJ72,AK72)</f>
        <v>89.691999999999993</v>
      </c>
      <c r="AM72" s="13">
        <f>COUNTIFS('Draft Board'!$AN$2:$AN$192,"&gt;="&amp;AN72,'Draft Board'!$AR$2:$AR$192,1)</f>
        <v>22</v>
      </c>
      <c r="AN72" s="13">
        <f>MAX(0,AL72-'Live Calc'!$H$21)^'Live Calc'!$E$21</f>
        <v>0</v>
      </c>
      <c r="AO72" s="13">
        <v>72</v>
      </c>
      <c r="AP72" s="13">
        <f>IF(AO72&lt;&gt;_xlfn.MINIFS('Draft Board'!$AO$2:$AO$192,'Draft Board'!$AN$2:$AN$192,"="&amp;AN72),0,IF(_xlfn.MINIFS('Draft Board'!$AN$2:$AN$192,'Draft Board'!$AN$2:$AN$192,"&gt;"&amp;AN72)=0,1,IF((_xlfn.MINIFS('Draft Board'!$AN$2:$AN$192,'Draft Board'!$AN$2:$AN$192,"&gt;"&amp;AN72)-AN72)/_xlfn.MINIFS('Draft Board'!$AN$2:$AN$192,'Draft Board'!$AN$2:$AN$192,"&gt;"&amp;AN72)&gt;0.08,1,0)))</f>
        <v>0</v>
      </c>
      <c r="AQ72" s="13">
        <f>_xlfn.MINIFS('Draft Board'!$AN$2:$AN$192,'Draft Board'!$AN$2:$AN$192,"&gt;="&amp;AN72,'Draft Board'!$AP$2:$AP$192,1)</f>
        <v>0</v>
      </c>
      <c r="AR72" s="13">
        <f>IF(AO72&lt;&gt;_xlfn.MINIFS('Draft Board'!$AO$2:$AO$192,'Draft Board'!$AN$2:$AN$192,"="&amp;AN72),0,IF(OR(AP72=1,IFERROR(FLOOR((AQ72-AN72)/AQ72/0.25,1),0)&lt;&gt;IFERROR(FLOOR((AQ72-_xlfn.MINIFS('Draft Board'!$AN$2:$AN$192,'Draft Board'!$AN$2:$AN$192,"&gt;"&amp;AN72))/AQ72/0.25,1),0)),1,0))</f>
        <v>0</v>
      </c>
      <c r="AS72" s="13">
        <f>ROUND(1+AN72*'Live Calc'!$D$28,0)</f>
        <v>1</v>
      </c>
      <c r="AT72" s="13"/>
      <c r="AU72" s="13">
        <f>IF(AT72&lt;&gt;"",AT72,ROUND(AS72*INDEX('Live Calc'!$G$260:$G$450,MATCH(AM72,'Live Calc'!$A$260:$A$450,0))*'Live Calc'!$J$543,0))</f>
        <v>1</v>
      </c>
      <c r="AW72" s="14" t="s">
        <v>365</v>
      </c>
      <c r="AX72" s="14" t="s">
        <v>139</v>
      </c>
      <c r="AY72" s="14">
        <v>20.18</v>
      </c>
      <c r="AZ72" s="14">
        <v>26.78</v>
      </c>
      <c r="BA72" s="14">
        <v>34.231999999999999</v>
      </c>
      <c r="BB72" s="14">
        <f>CHOOSE(MATCH(Setup!$B$7,{"STD","Half-PPR","PPR"},0),AY72,AZ72,BA72)</f>
        <v>26.78</v>
      </c>
      <c r="BC72" s="14">
        <f>COUNTIFS('Draft Board'!$BD$2:$BD$87,"&gt;="&amp;BD72,'Draft Board'!$BH$2:$BH$87,1)</f>
        <v>18</v>
      </c>
      <c r="BD72" s="14">
        <f>MAX(0,BB72-'Live Calc'!$H$22)^'Live Calc'!$E$22</f>
        <v>0</v>
      </c>
      <c r="BE72" s="14">
        <v>72</v>
      </c>
      <c r="BF72" s="14">
        <f>IF(BE72&lt;&gt;_xlfn.MINIFS('Draft Board'!$BE$2:$BE$87,'Draft Board'!$BD$2:$BD$87,"="&amp;BD72),0,IF(_xlfn.MINIFS('Draft Board'!$BD$2:$BD$87,'Draft Board'!$BD$2:$BD$87,"&gt;"&amp;BD72)=0,1,IF((_xlfn.MINIFS('Draft Board'!$BD$2:$BD$87,'Draft Board'!$BD$2:$BD$87,"&gt;"&amp;BD72)-BD72)/_xlfn.MINIFS('Draft Board'!$BD$2:$BD$87,'Draft Board'!$BD$2:$BD$87,"&gt;"&amp;BD72)&gt;0.08,1,0)))</f>
        <v>0</v>
      </c>
      <c r="BG72" s="14">
        <f>_xlfn.MINIFS('Draft Board'!$BD$2:$BD$87,'Draft Board'!$BD$2:$BD$87,"&gt;="&amp;BD72,'Draft Board'!$BF$2:$BF$87,1)</f>
        <v>0</v>
      </c>
      <c r="BH72" s="14">
        <f>IF(BE72&lt;&gt;_xlfn.MINIFS('Draft Board'!$BE$2:$BE$87,'Draft Board'!$BD$2:$BD$87,"="&amp;BD72),0,IF(OR(BF72=1,IFERROR(FLOOR((BG72-BD72)/BG72/0.25,1),0)&lt;&gt;IFERROR(FLOOR((BG72-_xlfn.MINIFS('Draft Board'!$BD$2:$BD$87,'Draft Board'!$BD$2:$BD$87,"&gt;"&amp;BD72))/BG72/0.25,1),0)),1,0))</f>
        <v>0</v>
      </c>
      <c r="BI72" s="14">
        <f>ROUND(1+BD72*'Live Calc'!$D$29,0)</f>
        <v>1</v>
      </c>
      <c r="BJ72" s="14"/>
      <c r="BK72" s="14">
        <f>IF(BJ72&lt;&gt;"",BJ72,ROUND(BI72*INDEX('Live Calc'!$G$454:$G$539,MATCH(BC72,'Live Calc'!$A$454:$A$539,0))*'Live Calc'!$J$543,0))</f>
        <v>1</v>
      </c>
    </row>
    <row r="73" spans="17:63" x14ac:dyDescent="0.25">
      <c r="Q73" s="12" t="s">
        <v>366</v>
      </c>
      <c r="R73" s="12" t="s">
        <v>192</v>
      </c>
      <c r="S73" s="12">
        <v>38.677999999999997</v>
      </c>
      <c r="T73" s="12">
        <v>43.433999999999997</v>
      </c>
      <c r="U73" s="12">
        <v>48.19</v>
      </c>
      <c r="V73" s="12">
        <f>CHOOSE(MATCH(Setup!$B$7,{"STD","Half-PPR","PPR"},0),S73,T73,U73)</f>
        <v>43.433999999999997</v>
      </c>
      <c r="W73" s="12">
        <f>COUNTIFS('Draft Board'!$X$2:$X$162,"&gt;="&amp;X73,'Draft Board'!$AB$2:$AB$162,1)</f>
        <v>19</v>
      </c>
      <c r="X73" s="12">
        <f>MAX(0,V73-'Live Calc'!$H$20)^'Live Calc'!$E$20</f>
        <v>0</v>
      </c>
      <c r="Y73" s="12">
        <v>73</v>
      </c>
      <c r="Z73" s="12">
        <f>IF(Y73&lt;&gt;_xlfn.MINIFS('Draft Board'!$Y$2:$Y$162,'Draft Board'!$X$2:$X$162,"="&amp;X73),0,IF(_xlfn.MINIFS('Draft Board'!$X$2:$X$162,'Draft Board'!$X$2:$X$162,"&gt;"&amp;X73)=0,1,IF((_xlfn.MINIFS('Draft Board'!$X$2:$X$162,'Draft Board'!$X$2:$X$162,"&gt;"&amp;X73)-X73)/_xlfn.MINIFS('Draft Board'!$X$2:$X$162,'Draft Board'!$X$2:$X$162,"&gt;"&amp;X73)&gt;0.08,1,0)))</f>
        <v>0</v>
      </c>
      <c r="AA73" s="12">
        <f>_xlfn.MINIFS('Draft Board'!$X$2:$X$162,'Draft Board'!$X$2:$X$162,"&gt;="&amp;X73,'Draft Board'!$Z$2:$Z$162,1)</f>
        <v>0</v>
      </c>
      <c r="AB73" s="12">
        <f>IF(Y73&lt;&gt;_xlfn.MINIFS('Draft Board'!$Y$2:$Y$162,'Draft Board'!$X$2:$X$162,"="&amp;X73),0,IF(OR(Z73=1,IFERROR(FLOOR((AA73-X73)/AA73/0.25,1),0)&lt;&gt;IFERROR(FLOOR((AA73-_xlfn.MINIFS('Draft Board'!$X$2:$X$162,'Draft Board'!$X$2:$X$162,"&gt;"&amp;X73))/AA73/0.25,1),0)),1,0))</f>
        <v>0</v>
      </c>
      <c r="AC73" s="12">
        <f>ROUND(1+X73*'Live Calc'!$D$27,0)</f>
        <v>1</v>
      </c>
      <c r="AD73" s="12"/>
      <c r="AE73" s="12">
        <f>IF(AD73&lt;&gt;"",AD73,ROUND(AC73*INDEX('Live Calc'!$G$96:$G$256,MATCH(W73,'Live Calc'!$A$96:$A$256,0))*'Live Calc'!$J$543,0))</f>
        <v>1</v>
      </c>
      <c r="AG73" s="13" t="s">
        <v>367</v>
      </c>
      <c r="AH73" s="13" t="s">
        <v>118</v>
      </c>
      <c r="AI73" s="13">
        <v>66.561999999999998</v>
      </c>
      <c r="AJ73" s="13">
        <v>85.376000000000005</v>
      </c>
      <c r="AK73" s="13">
        <v>104.598</v>
      </c>
      <c r="AL73" s="13">
        <f>CHOOSE(MATCH(Setup!$B$7,{"STD","Half-PPR","PPR"},0),AI73,AJ73,AK73)</f>
        <v>85.376000000000005</v>
      </c>
      <c r="AM73" s="13">
        <f>COUNTIFS('Draft Board'!$AN$2:$AN$192,"&gt;="&amp;AN73,'Draft Board'!$AR$2:$AR$192,1)</f>
        <v>22</v>
      </c>
      <c r="AN73" s="13">
        <f>MAX(0,AL73-'Live Calc'!$H$21)^'Live Calc'!$E$21</f>
        <v>0</v>
      </c>
      <c r="AO73" s="13">
        <v>73</v>
      </c>
      <c r="AP73" s="13">
        <f>IF(AO73&lt;&gt;_xlfn.MINIFS('Draft Board'!$AO$2:$AO$192,'Draft Board'!$AN$2:$AN$192,"="&amp;AN73),0,IF(_xlfn.MINIFS('Draft Board'!$AN$2:$AN$192,'Draft Board'!$AN$2:$AN$192,"&gt;"&amp;AN73)=0,1,IF((_xlfn.MINIFS('Draft Board'!$AN$2:$AN$192,'Draft Board'!$AN$2:$AN$192,"&gt;"&amp;AN73)-AN73)/_xlfn.MINIFS('Draft Board'!$AN$2:$AN$192,'Draft Board'!$AN$2:$AN$192,"&gt;"&amp;AN73)&gt;0.08,1,0)))</f>
        <v>0</v>
      </c>
      <c r="AQ73" s="13">
        <f>_xlfn.MINIFS('Draft Board'!$AN$2:$AN$192,'Draft Board'!$AN$2:$AN$192,"&gt;="&amp;AN73,'Draft Board'!$AP$2:$AP$192,1)</f>
        <v>0</v>
      </c>
      <c r="AR73" s="13">
        <f>IF(AO73&lt;&gt;_xlfn.MINIFS('Draft Board'!$AO$2:$AO$192,'Draft Board'!$AN$2:$AN$192,"="&amp;AN73),0,IF(OR(AP73=1,IFERROR(FLOOR((AQ73-AN73)/AQ73/0.25,1),0)&lt;&gt;IFERROR(FLOOR((AQ73-_xlfn.MINIFS('Draft Board'!$AN$2:$AN$192,'Draft Board'!$AN$2:$AN$192,"&gt;"&amp;AN73))/AQ73/0.25,1),0)),1,0))</f>
        <v>0</v>
      </c>
      <c r="AS73" s="13">
        <f>ROUND(1+AN73*'Live Calc'!$D$28,0)</f>
        <v>1</v>
      </c>
      <c r="AT73" s="13"/>
      <c r="AU73" s="13">
        <f>IF(AT73&lt;&gt;"",AT73,ROUND(AS73*INDEX('Live Calc'!$G$260:$G$450,MATCH(AM73,'Live Calc'!$A$260:$A$450,0))*'Live Calc'!$J$543,0))</f>
        <v>1</v>
      </c>
      <c r="AW73" s="14" t="s">
        <v>368</v>
      </c>
      <c r="AX73" s="14" t="s">
        <v>73</v>
      </c>
      <c r="AY73" s="14">
        <v>19.57</v>
      </c>
      <c r="AZ73" s="14">
        <v>26.34</v>
      </c>
      <c r="BA73" s="14">
        <v>33.11</v>
      </c>
      <c r="BB73" s="14">
        <f>CHOOSE(MATCH(Setup!$B$7,{"STD","Half-PPR","PPR"},0),AY73,AZ73,BA73)</f>
        <v>26.34</v>
      </c>
      <c r="BC73" s="14">
        <f>COUNTIFS('Draft Board'!$BD$2:$BD$87,"&gt;="&amp;BD73,'Draft Board'!$BH$2:$BH$87,1)</f>
        <v>18</v>
      </c>
      <c r="BD73" s="14">
        <f>MAX(0,BB73-'Live Calc'!$H$22)^'Live Calc'!$E$22</f>
        <v>0</v>
      </c>
      <c r="BE73" s="14">
        <v>73</v>
      </c>
      <c r="BF73" s="14">
        <f>IF(BE73&lt;&gt;_xlfn.MINIFS('Draft Board'!$BE$2:$BE$87,'Draft Board'!$BD$2:$BD$87,"="&amp;BD73),0,IF(_xlfn.MINIFS('Draft Board'!$BD$2:$BD$87,'Draft Board'!$BD$2:$BD$87,"&gt;"&amp;BD73)=0,1,IF((_xlfn.MINIFS('Draft Board'!$BD$2:$BD$87,'Draft Board'!$BD$2:$BD$87,"&gt;"&amp;BD73)-BD73)/_xlfn.MINIFS('Draft Board'!$BD$2:$BD$87,'Draft Board'!$BD$2:$BD$87,"&gt;"&amp;BD73)&gt;0.08,1,0)))</f>
        <v>0</v>
      </c>
      <c r="BG73" s="14">
        <f>_xlfn.MINIFS('Draft Board'!$BD$2:$BD$87,'Draft Board'!$BD$2:$BD$87,"&gt;="&amp;BD73,'Draft Board'!$BF$2:$BF$87,1)</f>
        <v>0</v>
      </c>
      <c r="BH73" s="14">
        <f>IF(BE73&lt;&gt;_xlfn.MINIFS('Draft Board'!$BE$2:$BE$87,'Draft Board'!$BD$2:$BD$87,"="&amp;BD73),0,IF(OR(BF73=1,IFERROR(FLOOR((BG73-BD73)/BG73/0.25,1),0)&lt;&gt;IFERROR(FLOOR((BG73-_xlfn.MINIFS('Draft Board'!$BD$2:$BD$87,'Draft Board'!$BD$2:$BD$87,"&gt;"&amp;BD73))/BG73/0.25,1),0)),1,0))</f>
        <v>0</v>
      </c>
      <c r="BI73" s="14">
        <f>ROUND(1+BD73*'Live Calc'!$D$29,0)</f>
        <v>1</v>
      </c>
      <c r="BJ73" s="14"/>
      <c r="BK73" s="14">
        <f>IF(BJ73&lt;&gt;"",BJ73,ROUND(BI73*INDEX('Live Calc'!$G$454:$G$539,MATCH(BC73,'Live Calc'!$A$454:$A$539,0))*'Live Calc'!$J$543,0))</f>
        <v>1</v>
      </c>
    </row>
    <row r="74" spans="17:63" x14ac:dyDescent="0.25">
      <c r="Q74" s="12" t="s">
        <v>369</v>
      </c>
      <c r="R74" s="12" t="s">
        <v>81</v>
      </c>
      <c r="S74" s="12">
        <v>38.799999999999997</v>
      </c>
      <c r="T74" s="12">
        <v>43.32</v>
      </c>
      <c r="U74" s="12">
        <v>47.908000000000001</v>
      </c>
      <c r="V74" s="12">
        <f>CHOOSE(MATCH(Setup!$B$7,{"STD","Half-PPR","PPR"},0),S74,T74,U74)</f>
        <v>43.32</v>
      </c>
      <c r="W74" s="12">
        <f>COUNTIFS('Draft Board'!$X$2:$X$162,"&gt;="&amp;X74,'Draft Board'!$AB$2:$AB$162,1)</f>
        <v>19</v>
      </c>
      <c r="X74" s="12">
        <f>MAX(0,V74-'Live Calc'!$H$20)^'Live Calc'!$E$20</f>
        <v>0</v>
      </c>
      <c r="Y74" s="12">
        <v>74</v>
      </c>
      <c r="Z74" s="12">
        <f>IF(Y74&lt;&gt;_xlfn.MINIFS('Draft Board'!$Y$2:$Y$162,'Draft Board'!$X$2:$X$162,"="&amp;X74),0,IF(_xlfn.MINIFS('Draft Board'!$X$2:$X$162,'Draft Board'!$X$2:$X$162,"&gt;"&amp;X74)=0,1,IF((_xlfn.MINIFS('Draft Board'!$X$2:$X$162,'Draft Board'!$X$2:$X$162,"&gt;"&amp;X74)-X74)/_xlfn.MINIFS('Draft Board'!$X$2:$X$162,'Draft Board'!$X$2:$X$162,"&gt;"&amp;X74)&gt;0.08,1,0)))</f>
        <v>0</v>
      </c>
      <c r="AA74" s="12">
        <f>_xlfn.MINIFS('Draft Board'!$X$2:$X$162,'Draft Board'!$X$2:$X$162,"&gt;="&amp;X74,'Draft Board'!$Z$2:$Z$162,1)</f>
        <v>0</v>
      </c>
      <c r="AB74" s="12">
        <f>IF(Y74&lt;&gt;_xlfn.MINIFS('Draft Board'!$Y$2:$Y$162,'Draft Board'!$X$2:$X$162,"="&amp;X74),0,IF(OR(Z74=1,IFERROR(FLOOR((AA74-X74)/AA74/0.25,1),0)&lt;&gt;IFERROR(FLOOR((AA74-_xlfn.MINIFS('Draft Board'!$X$2:$X$162,'Draft Board'!$X$2:$X$162,"&gt;"&amp;X74))/AA74/0.25,1),0)),1,0))</f>
        <v>0</v>
      </c>
      <c r="AC74" s="12">
        <f>ROUND(1+X74*'Live Calc'!$D$27,0)</f>
        <v>1</v>
      </c>
      <c r="AD74" s="12"/>
      <c r="AE74" s="12">
        <f>IF(AD74&lt;&gt;"",AD74,ROUND(AC74*INDEX('Live Calc'!$G$96:$G$256,MATCH(W74,'Live Calc'!$A$96:$A$256,0))*'Live Calc'!$J$543,0))</f>
        <v>1</v>
      </c>
      <c r="AG74" s="13" t="s">
        <v>370</v>
      </c>
      <c r="AH74" s="13" t="s">
        <v>125</v>
      </c>
      <c r="AI74" s="13">
        <v>63.186</v>
      </c>
      <c r="AJ74" s="13">
        <v>85.168000000000006</v>
      </c>
      <c r="AK74" s="13">
        <v>106.438</v>
      </c>
      <c r="AL74" s="13">
        <f>CHOOSE(MATCH(Setup!$B$7,{"STD","Half-PPR","PPR"},0),AI74,AJ74,AK74)</f>
        <v>85.168000000000006</v>
      </c>
      <c r="AM74" s="13">
        <f>COUNTIFS('Draft Board'!$AN$2:$AN$192,"&gt;="&amp;AN74,'Draft Board'!$AR$2:$AR$192,1)</f>
        <v>22</v>
      </c>
      <c r="AN74" s="13">
        <f>MAX(0,AL74-'Live Calc'!$H$21)^'Live Calc'!$E$21</f>
        <v>0</v>
      </c>
      <c r="AO74" s="13">
        <v>74</v>
      </c>
      <c r="AP74" s="13">
        <f>IF(AO74&lt;&gt;_xlfn.MINIFS('Draft Board'!$AO$2:$AO$192,'Draft Board'!$AN$2:$AN$192,"="&amp;AN74),0,IF(_xlfn.MINIFS('Draft Board'!$AN$2:$AN$192,'Draft Board'!$AN$2:$AN$192,"&gt;"&amp;AN74)=0,1,IF((_xlfn.MINIFS('Draft Board'!$AN$2:$AN$192,'Draft Board'!$AN$2:$AN$192,"&gt;"&amp;AN74)-AN74)/_xlfn.MINIFS('Draft Board'!$AN$2:$AN$192,'Draft Board'!$AN$2:$AN$192,"&gt;"&amp;AN74)&gt;0.08,1,0)))</f>
        <v>0</v>
      </c>
      <c r="AQ74" s="13">
        <f>_xlfn.MINIFS('Draft Board'!$AN$2:$AN$192,'Draft Board'!$AN$2:$AN$192,"&gt;="&amp;AN74,'Draft Board'!$AP$2:$AP$192,1)</f>
        <v>0</v>
      </c>
      <c r="AR74" s="13">
        <f>IF(AO74&lt;&gt;_xlfn.MINIFS('Draft Board'!$AO$2:$AO$192,'Draft Board'!$AN$2:$AN$192,"="&amp;AN74),0,IF(OR(AP74=1,IFERROR(FLOOR((AQ74-AN74)/AQ74/0.25,1),0)&lt;&gt;IFERROR(FLOOR((AQ74-_xlfn.MINIFS('Draft Board'!$AN$2:$AN$192,'Draft Board'!$AN$2:$AN$192,"&gt;"&amp;AN74))/AQ74/0.25,1),0)),1,0))</f>
        <v>0</v>
      </c>
      <c r="AS74" s="13">
        <f>ROUND(1+AN74*'Live Calc'!$D$28,0)</f>
        <v>1</v>
      </c>
      <c r="AT74" s="13"/>
      <c r="AU74" s="13">
        <f>IF(AT74&lt;&gt;"",AT74,ROUND(AS74*INDEX('Live Calc'!$G$260:$G$450,MATCH(AM74,'Live Calc'!$A$260:$A$450,0))*'Live Calc'!$J$543,0))</f>
        <v>1</v>
      </c>
      <c r="AW74" s="14" t="s">
        <v>371</v>
      </c>
      <c r="AX74" s="14" t="s">
        <v>65</v>
      </c>
      <c r="AY74" s="14">
        <v>20.010000000000002</v>
      </c>
      <c r="AZ74" s="14">
        <v>26.22</v>
      </c>
      <c r="BA74" s="14">
        <v>32.44</v>
      </c>
      <c r="BB74" s="14">
        <f>CHOOSE(MATCH(Setup!$B$7,{"STD","Half-PPR","PPR"},0),AY74,AZ74,BA74)</f>
        <v>26.22</v>
      </c>
      <c r="BC74" s="14">
        <f>COUNTIFS('Draft Board'!$BD$2:$BD$87,"&gt;="&amp;BD74,'Draft Board'!$BH$2:$BH$87,1)</f>
        <v>18</v>
      </c>
      <c r="BD74" s="14">
        <f>MAX(0,BB74-'Live Calc'!$H$22)^'Live Calc'!$E$22</f>
        <v>0</v>
      </c>
      <c r="BE74" s="14">
        <v>74</v>
      </c>
      <c r="BF74" s="14">
        <f>IF(BE74&lt;&gt;_xlfn.MINIFS('Draft Board'!$BE$2:$BE$87,'Draft Board'!$BD$2:$BD$87,"="&amp;BD74),0,IF(_xlfn.MINIFS('Draft Board'!$BD$2:$BD$87,'Draft Board'!$BD$2:$BD$87,"&gt;"&amp;BD74)=0,1,IF((_xlfn.MINIFS('Draft Board'!$BD$2:$BD$87,'Draft Board'!$BD$2:$BD$87,"&gt;"&amp;BD74)-BD74)/_xlfn.MINIFS('Draft Board'!$BD$2:$BD$87,'Draft Board'!$BD$2:$BD$87,"&gt;"&amp;BD74)&gt;0.08,1,0)))</f>
        <v>0</v>
      </c>
      <c r="BG74" s="14">
        <f>_xlfn.MINIFS('Draft Board'!$BD$2:$BD$87,'Draft Board'!$BD$2:$BD$87,"&gt;="&amp;BD74,'Draft Board'!$BF$2:$BF$87,1)</f>
        <v>0</v>
      </c>
      <c r="BH74" s="14">
        <f>IF(BE74&lt;&gt;_xlfn.MINIFS('Draft Board'!$BE$2:$BE$87,'Draft Board'!$BD$2:$BD$87,"="&amp;BD74),0,IF(OR(BF74=1,IFERROR(FLOOR((BG74-BD74)/BG74/0.25,1),0)&lt;&gt;IFERROR(FLOOR((BG74-_xlfn.MINIFS('Draft Board'!$BD$2:$BD$87,'Draft Board'!$BD$2:$BD$87,"&gt;"&amp;BD74))/BG74/0.25,1),0)),1,0))</f>
        <v>0</v>
      </c>
      <c r="BI74" s="14">
        <f>ROUND(1+BD74*'Live Calc'!$D$29,0)</f>
        <v>1</v>
      </c>
      <c r="BJ74" s="14"/>
      <c r="BK74" s="14">
        <f>IF(BJ74&lt;&gt;"",BJ74,ROUND(BI74*INDEX('Live Calc'!$G$454:$G$539,MATCH(BC74,'Live Calc'!$A$454:$A$539,0))*'Live Calc'!$J$543,0))</f>
        <v>1</v>
      </c>
    </row>
    <row r="75" spans="17:63" x14ac:dyDescent="0.25">
      <c r="Q75" s="12" t="s">
        <v>372</v>
      </c>
      <c r="R75" s="12" t="s">
        <v>85</v>
      </c>
      <c r="S75" s="12">
        <v>38.21</v>
      </c>
      <c r="T75" s="12">
        <v>41.781999999999996</v>
      </c>
      <c r="U75" s="12">
        <v>44.868000000000002</v>
      </c>
      <c r="V75" s="12">
        <f>CHOOSE(MATCH(Setup!$B$7,{"STD","Half-PPR","PPR"},0),S75,T75,U75)</f>
        <v>41.781999999999996</v>
      </c>
      <c r="W75" s="12">
        <f>COUNTIFS('Draft Board'!$X$2:$X$162,"&gt;="&amp;X75,'Draft Board'!$AB$2:$AB$162,1)</f>
        <v>19</v>
      </c>
      <c r="X75" s="12">
        <f>MAX(0,V75-'Live Calc'!$H$20)^'Live Calc'!$E$20</f>
        <v>0</v>
      </c>
      <c r="Y75" s="12">
        <v>75</v>
      </c>
      <c r="Z75" s="12">
        <f>IF(Y75&lt;&gt;_xlfn.MINIFS('Draft Board'!$Y$2:$Y$162,'Draft Board'!$X$2:$X$162,"="&amp;X75),0,IF(_xlfn.MINIFS('Draft Board'!$X$2:$X$162,'Draft Board'!$X$2:$X$162,"&gt;"&amp;X75)=0,1,IF((_xlfn.MINIFS('Draft Board'!$X$2:$X$162,'Draft Board'!$X$2:$X$162,"&gt;"&amp;X75)-X75)/_xlfn.MINIFS('Draft Board'!$X$2:$X$162,'Draft Board'!$X$2:$X$162,"&gt;"&amp;X75)&gt;0.08,1,0)))</f>
        <v>0</v>
      </c>
      <c r="AA75" s="12">
        <f>_xlfn.MINIFS('Draft Board'!$X$2:$X$162,'Draft Board'!$X$2:$X$162,"&gt;="&amp;X75,'Draft Board'!$Z$2:$Z$162,1)</f>
        <v>0</v>
      </c>
      <c r="AB75" s="12">
        <f>IF(Y75&lt;&gt;_xlfn.MINIFS('Draft Board'!$Y$2:$Y$162,'Draft Board'!$X$2:$X$162,"="&amp;X75),0,IF(OR(Z75=1,IFERROR(FLOOR((AA75-X75)/AA75/0.25,1),0)&lt;&gt;IFERROR(FLOOR((AA75-_xlfn.MINIFS('Draft Board'!$X$2:$X$162,'Draft Board'!$X$2:$X$162,"&gt;"&amp;X75))/AA75/0.25,1),0)),1,0))</f>
        <v>0</v>
      </c>
      <c r="AC75" s="12">
        <f>ROUND(1+X75*'Live Calc'!$D$27,0)</f>
        <v>1</v>
      </c>
      <c r="AD75" s="12"/>
      <c r="AE75" s="12">
        <f>IF(AD75&lt;&gt;"",AD75,ROUND(AC75*INDEX('Live Calc'!$G$96:$G$256,MATCH(W75,'Live Calc'!$A$96:$A$256,0))*'Live Calc'!$J$543,0))</f>
        <v>1</v>
      </c>
      <c r="AG75" s="13" t="s">
        <v>373</v>
      </c>
      <c r="AH75" s="13" t="s">
        <v>125</v>
      </c>
      <c r="AI75" s="13">
        <v>65.23</v>
      </c>
      <c r="AJ75" s="13">
        <v>84.822000000000003</v>
      </c>
      <c r="AK75" s="13">
        <v>105.86199999999999</v>
      </c>
      <c r="AL75" s="13">
        <f>CHOOSE(MATCH(Setup!$B$7,{"STD","Half-PPR","PPR"},0),AI75,AJ75,AK75)</f>
        <v>84.822000000000003</v>
      </c>
      <c r="AM75" s="13">
        <f>COUNTIFS('Draft Board'!$AN$2:$AN$192,"&gt;="&amp;AN75,'Draft Board'!$AR$2:$AR$192,1)</f>
        <v>22</v>
      </c>
      <c r="AN75" s="13">
        <f>MAX(0,AL75-'Live Calc'!$H$21)^'Live Calc'!$E$21</f>
        <v>0</v>
      </c>
      <c r="AO75" s="13">
        <v>75</v>
      </c>
      <c r="AP75" s="13">
        <f>IF(AO75&lt;&gt;_xlfn.MINIFS('Draft Board'!$AO$2:$AO$192,'Draft Board'!$AN$2:$AN$192,"="&amp;AN75),0,IF(_xlfn.MINIFS('Draft Board'!$AN$2:$AN$192,'Draft Board'!$AN$2:$AN$192,"&gt;"&amp;AN75)=0,1,IF((_xlfn.MINIFS('Draft Board'!$AN$2:$AN$192,'Draft Board'!$AN$2:$AN$192,"&gt;"&amp;AN75)-AN75)/_xlfn.MINIFS('Draft Board'!$AN$2:$AN$192,'Draft Board'!$AN$2:$AN$192,"&gt;"&amp;AN75)&gt;0.08,1,0)))</f>
        <v>0</v>
      </c>
      <c r="AQ75" s="13">
        <f>_xlfn.MINIFS('Draft Board'!$AN$2:$AN$192,'Draft Board'!$AN$2:$AN$192,"&gt;="&amp;AN75,'Draft Board'!$AP$2:$AP$192,1)</f>
        <v>0</v>
      </c>
      <c r="AR75" s="13">
        <f>IF(AO75&lt;&gt;_xlfn.MINIFS('Draft Board'!$AO$2:$AO$192,'Draft Board'!$AN$2:$AN$192,"="&amp;AN75),0,IF(OR(AP75=1,IFERROR(FLOOR((AQ75-AN75)/AQ75/0.25,1),0)&lt;&gt;IFERROR(FLOOR((AQ75-_xlfn.MINIFS('Draft Board'!$AN$2:$AN$192,'Draft Board'!$AN$2:$AN$192,"&gt;"&amp;AN75))/AQ75/0.25,1),0)),1,0))</f>
        <v>0</v>
      </c>
      <c r="AS75" s="13">
        <f>ROUND(1+AN75*'Live Calc'!$D$28,0)</f>
        <v>1</v>
      </c>
      <c r="AT75" s="13"/>
      <c r="AU75" s="13">
        <f>IF(AT75&lt;&gt;"",AT75,ROUND(AS75*INDEX('Live Calc'!$G$260:$G$450,MATCH(AM75,'Live Calc'!$A$260:$A$450,0))*'Live Calc'!$J$543,0))</f>
        <v>1</v>
      </c>
      <c r="AW75" s="14" t="s">
        <v>374</v>
      </c>
      <c r="AX75" s="14" t="s">
        <v>61</v>
      </c>
      <c r="AY75" s="14">
        <v>20.04</v>
      </c>
      <c r="AZ75" s="14">
        <v>25.83</v>
      </c>
      <c r="BA75" s="14">
        <v>31.62</v>
      </c>
      <c r="BB75" s="14">
        <f>CHOOSE(MATCH(Setup!$B$7,{"STD","Half-PPR","PPR"},0),AY75,AZ75,BA75)</f>
        <v>25.83</v>
      </c>
      <c r="BC75" s="14">
        <f>COUNTIFS('Draft Board'!$BD$2:$BD$87,"&gt;="&amp;BD75,'Draft Board'!$BH$2:$BH$87,1)</f>
        <v>18</v>
      </c>
      <c r="BD75" s="14">
        <f>MAX(0,BB75-'Live Calc'!$H$22)^'Live Calc'!$E$22</f>
        <v>0</v>
      </c>
      <c r="BE75" s="14">
        <v>75</v>
      </c>
      <c r="BF75" s="14">
        <f>IF(BE75&lt;&gt;_xlfn.MINIFS('Draft Board'!$BE$2:$BE$87,'Draft Board'!$BD$2:$BD$87,"="&amp;BD75),0,IF(_xlfn.MINIFS('Draft Board'!$BD$2:$BD$87,'Draft Board'!$BD$2:$BD$87,"&gt;"&amp;BD75)=0,1,IF((_xlfn.MINIFS('Draft Board'!$BD$2:$BD$87,'Draft Board'!$BD$2:$BD$87,"&gt;"&amp;BD75)-BD75)/_xlfn.MINIFS('Draft Board'!$BD$2:$BD$87,'Draft Board'!$BD$2:$BD$87,"&gt;"&amp;BD75)&gt;0.08,1,0)))</f>
        <v>0</v>
      </c>
      <c r="BG75" s="14">
        <f>_xlfn.MINIFS('Draft Board'!$BD$2:$BD$87,'Draft Board'!$BD$2:$BD$87,"&gt;="&amp;BD75,'Draft Board'!$BF$2:$BF$87,1)</f>
        <v>0</v>
      </c>
      <c r="BH75" s="14">
        <f>IF(BE75&lt;&gt;_xlfn.MINIFS('Draft Board'!$BE$2:$BE$87,'Draft Board'!$BD$2:$BD$87,"="&amp;BD75),0,IF(OR(BF75=1,IFERROR(FLOOR((BG75-BD75)/BG75/0.25,1),0)&lt;&gt;IFERROR(FLOOR((BG75-_xlfn.MINIFS('Draft Board'!$BD$2:$BD$87,'Draft Board'!$BD$2:$BD$87,"&gt;"&amp;BD75))/BG75/0.25,1),0)),1,0))</f>
        <v>0</v>
      </c>
      <c r="BI75" s="14">
        <f>ROUND(1+BD75*'Live Calc'!$D$29,0)</f>
        <v>1</v>
      </c>
      <c r="BJ75" s="14"/>
      <c r="BK75" s="14">
        <f>IF(BJ75&lt;&gt;"",BJ75,ROUND(BI75*INDEX('Live Calc'!$G$454:$G$539,MATCH(BC75,'Live Calc'!$A$454:$A$539,0))*'Live Calc'!$J$543,0))</f>
        <v>1</v>
      </c>
    </row>
    <row r="76" spans="17:63" x14ac:dyDescent="0.25">
      <c r="Q76" s="12" t="s">
        <v>375</v>
      </c>
      <c r="R76" s="12" t="s">
        <v>81</v>
      </c>
      <c r="S76" s="12">
        <v>36.884</v>
      </c>
      <c r="T76" s="12">
        <v>40.752000000000002</v>
      </c>
      <c r="U76" s="12">
        <v>44.59</v>
      </c>
      <c r="V76" s="12">
        <f>CHOOSE(MATCH(Setup!$B$7,{"STD","Half-PPR","PPR"},0),S76,T76,U76)</f>
        <v>40.752000000000002</v>
      </c>
      <c r="W76" s="12">
        <f>COUNTIFS('Draft Board'!$X$2:$X$162,"&gt;="&amp;X76,'Draft Board'!$AB$2:$AB$162,1)</f>
        <v>19</v>
      </c>
      <c r="X76" s="12">
        <f>MAX(0,V76-'Live Calc'!$H$20)^'Live Calc'!$E$20</f>
        <v>0</v>
      </c>
      <c r="Y76" s="12">
        <v>76</v>
      </c>
      <c r="Z76" s="12">
        <f>IF(Y76&lt;&gt;_xlfn.MINIFS('Draft Board'!$Y$2:$Y$162,'Draft Board'!$X$2:$X$162,"="&amp;X76),0,IF(_xlfn.MINIFS('Draft Board'!$X$2:$X$162,'Draft Board'!$X$2:$X$162,"&gt;"&amp;X76)=0,1,IF((_xlfn.MINIFS('Draft Board'!$X$2:$X$162,'Draft Board'!$X$2:$X$162,"&gt;"&amp;X76)-X76)/_xlfn.MINIFS('Draft Board'!$X$2:$X$162,'Draft Board'!$X$2:$X$162,"&gt;"&amp;X76)&gt;0.08,1,0)))</f>
        <v>0</v>
      </c>
      <c r="AA76" s="12">
        <f>_xlfn.MINIFS('Draft Board'!$X$2:$X$162,'Draft Board'!$X$2:$X$162,"&gt;="&amp;X76,'Draft Board'!$Z$2:$Z$162,1)</f>
        <v>0</v>
      </c>
      <c r="AB76" s="12">
        <f>IF(Y76&lt;&gt;_xlfn.MINIFS('Draft Board'!$Y$2:$Y$162,'Draft Board'!$X$2:$X$162,"="&amp;X76),0,IF(OR(Z76=1,IFERROR(FLOOR((AA76-X76)/AA76/0.25,1),0)&lt;&gt;IFERROR(FLOOR((AA76-_xlfn.MINIFS('Draft Board'!$X$2:$X$162,'Draft Board'!$X$2:$X$162,"&gt;"&amp;X76))/AA76/0.25,1),0)),1,0))</f>
        <v>0</v>
      </c>
      <c r="AC76" s="12">
        <f>ROUND(1+X76*'Live Calc'!$D$27,0)</f>
        <v>1</v>
      </c>
      <c r="AD76" s="12"/>
      <c r="AE76" s="12">
        <f>IF(AD76&lt;&gt;"",AD76,ROUND(AC76*INDEX('Live Calc'!$G$96:$G$256,MATCH(W76,'Live Calc'!$A$96:$A$256,0))*'Live Calc'!$J$543,0))</f>
        <v>1</v>
      </c>
      <c r="AG76" s="13" t="s">
        <v>376</v>
      </c>
      <c r="AH76" s="13" t="s">
        <v>139</v>
      </c>
      <c r="AI76" s="13">
        <v>64.945999999999998</v>
      </c>
      <c r="AJ76" s="13">
        <v>84.32</v>
      </c>
      <c r="AK76" s="13">
        <v>103.69199999999999</v>
      </c>
      <c r="AL76" s="13">
        <f>CHOOSE(MATCH(Setup!$B$7,{"STD","Half-PPR","PPR"},0),AI76,AJ76,AK76)</f>
        <v>84.32</v>
      </c>
      <c r="AM76" s="13">
        <f>COUNTIFS('Draft Board'!$AN$2:$AN$192,"&gt;="&amp;AN76,'Draft Board'!$AR$2:$AR$192,1)</f>
        <v>22</v>
      </c>
      <c r="AN76" s="13">
        <f>MAX(0,AL76-'Live Calc'!$H$21)^'Live Calc'!$E$21</f>
        <v>0</v>
      </c>
      <c r="AO76" s="13">
        <v>76</v>
      </c>
      <c r="AP76" s="13">
        <f>IF(AO76&lt;&gt;_xlfn.MINIFS('Draft Board'!$AO$2:$AO$192,'Draft Board'!$AN$2:$AN$192,"="&amp;AN76),0,IF(_xlfn.MINIFS('Draft Board'!$AN$2:$AN$192,'Draft Board'!$AN$2:$AN$192,"&gt;"&amp;AN76)=0,1,IF((_xlfn.MINIFS('Draft Board'!$AN$2:$AN$192,'Draft Board'!$AN$2:$AN$192,"&gt;"&amp;AN76)-AN76)/_xlfn.MINIFS('Draft Board'!$AN$2:$AN$192,'Draft Board'!$AN$2:$AN$192,"&gt;"&amp;AN76)&gt;0.08,1,0)))</f>
        <v>0</v>
      </c>
      <c r="AQ76" s="13">
        <f>_xlfn.MINIFS('Draft Board'!$AN$2:$AN$192,'Draft Board'!$AN$2:$AN$192,"&gt;="&amp;AN76,'Draft Board'!$AP$2:$AP$192,1)</f>
        <v>0</v>
      </c>
      <c r="AR76" s="13">
        <f>IF(AO76&lt;&gt;_xlfn.MINIFS('Draft Board'!$AO$2:$AO$192,'Draft Board'!$AN$2:$AN$192,"="&amp;AN76),0,IF(OR(AP76=1,IFERROR(FLOOR((AQ76-AN76)/AQ76/0.25,1),0)&lt;&gt;IFERROR(FLOOR((AQ76-_xlfn.MINIFS('Draft Board'!$AN$2:$AN$192,'Draft Board'!$AN$2:$AN$192,"&gt;"&amp;AN76))/AQ76/0.25,1),0)),1,0))</f>
        <v>0</v>
      </c>
      <c r="AS76" s="13">
        <f>ROUND(1+AN76*'Live Calc'!$D$28,0)</f>
        <v>1</v>
      </c>
      <c r="AT76" s="13"/>
      <c r="AU76" s="13">
        <f>IF(AT76&lt;&gt;"",AT76,ROUND(AS76*INDEX('Live Calc'!$G$260:$G$450,MATCH(AM76,'Live Calc'!$A$260:$A$450,0))*'Live Calc'!$J$543,0))</f>
        <v>1</v>
      </c>
      <c r="AW76" s="14" t="s">
        <v>377</v>
      </c>
      <c r="AX76" s="14" t="s">
        <v>190</v>
      </c>
      <c r="AY76" s="14">
        <v>18.600000000000001</v>
      </c>
      <c r="AZ76" s="14">
        <v>25.1</v>
      </c>
      <c r="BA76" s="14">
        <v>31.6</v>
      </c>
      <c r="BB76" s="14">
        <f>CHOOSE(MATCH(Setup!$B$7,{"STD","Half-PPR","PPR"},0),AY76,AZ76,BA76)</f>
        <v>25.1</v>
      </c>
      <c r="BC76" s="14">
        <f>COUNTIFS('Draft Board'!$BD$2:$BD$87,"&gt;="&amp;BD76,'Draft Board'!$BH$2:$BH$87,1)</f>
        <v>18</v>
      </c>
      <c r="BD76" s="14">
        <f>MAX(0,BB76-'Live Calc'!$H$22)^'Live Calc'!$E$22</f>
        <v>0</v>
      </c>
      <c r="BE76" s="14">
        <v>76</v>
      </c>
      <c r="BF76" s="14">
        <f>IF(BE76&lt;&gt;_xlfn.MINIFS('Draft Board'!$BE$2:$BE$87,'Draft Board'!$BD$2:$BD$87,"="&amp;BD76),0,IF(_xlfn.MINIFS('Draft Board'!$BD$2:$BD$87,'Draft Board'!$BD$2:$BD$87,"&gt;"&amp;BD76)=0,1,IF((_xlfn.MINIFS('Draft Board'!$BD$2:$BD$87,'Draft Board'!$BD$2:$BD$87,"&gt;"&amp;BD76)-BD76)/_xlfn.MINIFS('Draft Board'!$BD$2:$BD$87,'Draft Board'!$BD$2:$BD$87,"&gt;"&amp;BD76)&gt;0.08,1,0)))</f>
        <v>0</v>
      </c>
      <c r="BG76" s="14">
        <f>_xlfn.MINIFS('Draft Board'!$BD$2:$BD$87,'Draft Board'!$BD$2:$BD$87,"&gt;="&amp;BD76,'Draft Board'!$BF$2:$BF$87,1)</f>
        <v>0</v>
      </c>
      <c r="BH76" s="14">
        <f>IF(BE76&lt;&gt;_xlfn.MINIFS('Draft Board'!$BE$2:$BE$87,'Draft Board'!$BD$2:$BD$87,"="&amp;BD76),0,IF(OR(BF76=1,IFERROR(FLOOR((BG76-BD76)/BG76/0.25,1),0)&lt;&gt;IFERROR(FLOOR((BG76-_xlfn.MINIFS('Draft Board'!$BD$2:$BD$87,'Draft Board'!$BD$2:$BD$87,"&gt;"&amp;BD76))/BG76/0.25,1),0)),1,0))</f>
        <v>0</v>
      </c>
      <c r="BI76" s="14">
        <f>ROUND(1+BD76*'Live Calc'!$D$29,0)</f>
        <v>1</v>
      </c>
      <c r="BJ76" s="14"/>
      <c r="BK76" s="14">
        <f>IF(BJ76&lt;&gt;"",BJ76,ROUND(BI76*INDEX('Live Calc'!$G$454:$G$539,MATCH(BC76,'Live Calc'!$A$454:$A$539,0))*'Live Calc'!$J$543,0))</f>
        <v>1</v>
      </c>
    </row>
    <row r="77" spans="17:63" x14ac:dyDescent="0.25">
      <c r="Q77" s="12" t="s">
        <v>378</v>
      </c>
      <c r="R77" s="12" t="s">
        <v>69</v>
      </c>
      <c r="S77" s="12">
        <v>36.591999999999999</v>
      </c>
      <c r="T77" s="12">
        <v>40.015999999999998</v>
      </c>
      <c r="U77" s="12">
        <v>44.805999999999997</v>
      </c>
      <c r="V77" s="12">
        <f>CHOOSE(MATCH(Setup!$B$7,{"STD","Half-PPR","PPR"},0),S77,T77,U77)</f>
        <v>40.015999999999998</v>
      </c>
      <c r="W77" s="12">
        <f>COUNTIFS('Draft Board'!$X$2:$X$162,"&gt;="&amp;X77,'Draft Board'!$AB$2:$AB$162,1)</f>
        <v>19</v>
      </c>
      <c r="X77" s="12">
        <f>MAX(0,V77-'Live Calc'!$H$20)^'Live Calc'!$E$20</f>
        <v>0</v>
      </c>
      <c r="Y77" s="12">
        <v>77</v>
      </c>
      <c r="Z77" s="12">
        <f>IF(Y77&lt;&gt;_xlfn.MINIFS('Draft Board'!$Y$2:$Y$162,'Draft Board'!$X$2:$X$162,"="&amp;X77),0,IF(_xlfn.MINIFS('Draft Board'!$X$2:$X$162,'Draft Board'!$X$2:$X$162,"&gt;"&amp;X77)=0,1,IF((_xlfn.MINIFS('Draft Board'!$X$2:$X$162,'Draft Board'!$X$2:$X$162,"&gt;"&amp;X77)-X77)/_xlfn.MINIFS('Draft Board'!$X$2:$X$162,'Draft Board'!$X$2:$X$162,"&gt;"&amp;X77)&gt;0.08,1,0)))</f>
        <v>0</v>
      </c>
      <c r="AA77" s="12">
        <f>_xlfn.MINIFS('Draft Board'!$X$2:$X$162,'Draft Board'!$X$2:$X$162,"&gt;="&amp;X77,'Draft Board'!$Z$2:$Z$162,1)</f>
        <v>0</v>
      </c>
      <c r="AB77" s="12">
        <f>IF(Y77&lt;&gt;_xlfn.MINIFS('Draft Board'!$Y$2:$Y$162,'Draft Board'!$X$2:$X$162,"="&amp;X77),0,IF(OR(Z77=1,IFERROR(FLOOR((AA77-X77)/AA77/0.25,1),0)&lt;&gt;IFERROR(FLOOR((AA77-_xlfn.MINIFS('Draft Board'!$X$2:$X$162,'Draft Board'!$X$2:$X$162,"&gt;"&amp;X77))/AA77/0.25,1),0)),1,0))</f>
        <v>0</v>
      </c>
      <c r="AC77" s="12">
        <f>ROUND(1+X77*'Live Calc'!$D$27,0)</f>
        <v>1</v>
      </c>
      <c r="AD77" s="12"/>
      <c r="AE77" s="12">
        <f>IF(AD77&lt;&gt;"",AD77,ROUND(AC77*INDEX('Live Calc'!$G$96:$G$256,MATCH(W77,'Live Calc'!$A$96:$A$256,0))*'Live Calc'!$J$543,0))</f>
        <v>1</v>
      </c>
      <c r="AG77" s="13" t="s">
        <v>379</v>
      </c>
      <c r="AH77" s="13" t="s">
        <v>91</v>
      </c>
      <c r="AI77" s="13">
        <v>64.878</v>
      </c>
      <c r="AJ77" s="13">
        <v>83.992000000000004</v>
      </c>
      <c r="AK77" s="13">
        <v>101.72199999999999</v>
      </c>
      <c r="AL77" s="13">
        <f>CHOOSE(MATCH(Setup!$B$7,{"STD","Half-PPR","PPR"},0),AI77,AJ77,AK77)</f>
        <v>83.992000000000004</v>
      </c>
      <c r="AM77" s="13">
        <f>COUNTIFS('Draft Board'!$AN$2:$AN$192,"&gt;="&amp;AN77,'Draft Board'!$AR$2:$AR$192,1)</f>
        <v>22</v>
      </c>
      <c r="AN77" s="13">
        <f>MAX(0,AL77-'Live Calc'!$H$21)^'Live Calc'!$E$21</f>
        <v>0</v>
      </c>
      <c r="AO77" s="13">
        <v>77</v>
      </c>
      <c r="AP77" s="13">
        <f>IF(AO77&lt;&gt;_xlfn.MINIFS('Draft Board'!$AO$2:$AO$192,'Draft Board'!$AN$2:$AN$192,"="&amp;AN77),0,IF(_xlfn.MINIFS('Draft Board'!$AN$2:$AN$192,'Draft Board'!$AN$2:$AN$192,"&gt;"&amp;AN77)=0,1,IF((_xlfn.MINIFS('Draft Board'!$AN$2:$AN$192,'Draft Board'!$AN$2:$AN$192,"&gt;"&amp;AN77)-AN77)/_xlfn.MINIFS('Draft Board'!$AN$2:$AN$192,'Draft Board'!$AN$2:$AN$192,"&gt;"&amp;AN77)&gt;0.08,1,0)))</f>
        <v>0</v>
      </c>
      <c r="AQ77" s="13">
        <f>_xlfn.MINIFS('Draft Board'!$AN$2:$AN$192,'Draft Board'!$AN$2:$AN$192,"&gt;="&amp;AN77,'Draft Board'!$AP$2:$AP$192,1)</f>
        <v>0</v>
      </c>
      <c r="AR77" s="13">
        <f>IF(AO77&lt;&gt;_xlfn.MINIFS('Draft Board'!$AO$2:$AO$192,'Draft Board'!$AN$2:$AN$192,"="&amp;AN77),0,IF(OR(AP77=1,IFERROR(FLOOR((AQ77-AN77)/AQ77/0.25,1),0)&lt;&gt;IFERROR(FLOOR((AQ77-_xlfn.MINIFS('Draft Board'!$AN$2:$AN$192,'Draft Board'!$AN$2:$AN$192,"&gt;"&amp;AN77))/AQ77/0.25,1),0)),1,0))</f>
        <v>0</v>
      </c>
      <c r="AS77" s="13">
        <f>ROUND(1+AN77*'Live Calc'!$D$28,0)</f>
        <v>1</v>
      </c>
      <c r="AT77" s="13"/>
      <c r="AU77" s="13">
        <f>IF(AT77&lt;&gt;"",AT77,ROUND(AS77*INDEX('Live Calc'!$G$260:$G$450,MATCH(AM77,'Live Calc'!$A$260:$A$450,0))*'Live Calc'!$J$543,0))</f>
        <v>1</v>
      </c>
      <c r="AW77" s="14" t="s">
        <v>380</v>
      </c>
      <c r="AX77" s="14" t="s">
        <v>284</v>
      </c>
      <c r="AY77" s="14">
        <v>18.600000000000001</v>
      </c>
      <c r="AZ77" s="14">
        <v>25.1</v>
      </c>
      <c r="BA77" s="14">
        <v>31.6</v>
      </c>
      <c r="BB77" s="14">
        <f>CHOOSE(MATCH(Setup!$B$7,{"STD","Half-PPR","PPR"},0),AY77,AZ77,BA77)</f>
        <v>25.1</v>
      </c>
      <c r="BC77" s="14">
        <f>COUNTIFS('Draft Board'!$BD$2:$BD$87,"&gt;="&amp;BD77,'Draft Board'!$BH$2:$BH$87,1)</f>
        <v>18</v>
      </c>
      <c r="BD77" s="14">
        <f>MAX(0,BB77-'Live Calc'!$H$22)^'Live Calc'!$E$22</f>
        <v>0</v>
      </c>
      <c r="BE77" s="14">
        <v>77</v>
      </c>
      <c r="BF77" s="14">
        <f>IF(BE77&lt;&gt;_xlfn.MINIFS('Draft Board'!$BE$2:$BE$87,'Draft Board'!$BD$2:$BD$87,"="&amp;BD77),0,IF(_xlfn.MINIFS('Draft Board'!$BD$2:$BD$87,'Draft Board'!$BD$2:$BD$87,"&gt;"&amp;BD77)=0,1,IF((_xlfn.MINIFS('Draft Board'!$BD$2:$BD$87,'Draft Board'!$BD$2:$BD$87,"&gt;"&amp;BD77)-BD77)/_xlfn.MINIFS('Draft Board'!$BD$2:$BD$87,'Draft Board'!$BD$2:$BD$87,"&gt;"&amp;BD77)&gt;0.08,1,0)))</f>
        <v>0</v>
      </c>
      <c r="BG77" s="14">
        <f>_xlfn.MINIFS('Draft Board'!$BD$2:$BD$87,'Draft Board'!$BD$2:$BD$87,"&gt;="&amp;BD77,'Draft Board'!$BF$2:$BF$87,1)</f>
        <v>0</v>
      </c>
      <c r="BH77" s="14">
        <f>IF(BE77&lt;&gt;_xlfn.MINIFS('Draft Board'!$BE$2:$BE$87,'Draft Board'!$BD$2:$BD$87,"="&amp;BD77),0,IF(OR(BF77=1,IFERROR(FLOOR((BG77-BD77)/BG77/0.25,1),0)&lt;&gt;IFERROR(FLOOR((BG77-_xlfn.MINIFS('Draft Board'!$BD$2:$BD$87,'Draft Board'!$BD$2:$BD$87,"&gt;"&amp;BD77))/BG77/0.25,1),0)),1,0))</f>
        <v>0</v>
      </c>
      <c r="BI77" s="14">
        <f>ROUND(1+BD77*'Live Calc'!$D$29,0)</f>
        <v>1</v>
      </c>
      <c r="BJ77" s="14"/>
      <c r="BK77" s="14">
        <f>IF(BJ77&lt;&gt;"",BJ77,ROUND(BI77*INDEX('Live Calc'!$G$454:$G$539,MATCH(BC77,'Live Calc'!$A$454:$A$539,0))*'Live Calc'!$J$543,0))</f>
        <v>1</v>
      </c>
    </row>
    <row r="78" spans="17:63" x14ac:dyDescent="0.25">
      <c r="Q78" s="12" t="s">
        <v>381</v>
      </c>
      <c r="R78" s="12" t="s">
        <v>96</v>
      </c>
      <c r="S78" s="12">
        <v>33.14</v>
      </c>
      <c r="T78" s="12">
        <v>39.552</v>
      </c>
      <c r="U78" s="12">
        <v>44.832000000000001</v>
      </c>
      <c r="V78" s="12">
        <f>CHOOSE(MATCH(Setup!$B$7,{"STD","Half-PPR","PPR"},0),S78,T78,U78)</f>
        <v>39.552</v>
      </c>
      <c r="W78" s="12">
        <f>COUNTIFS('Draft Board'!$X$2:$X$162,"&gt;="&amp;X78,'Draft Board'!$AB$2:$AB$162,1)</f>
        <v>19</v>
      </c>
      <c r="X78" s="12">
        <f>MAX(0,V78-'Live Calc'!$H$20)^'Live Calc'!$E$20</f>
        <v>0</v>
      </c>
      <c r="Y78" s="12">
        <v>78</v>
      </c>
      <c r="Z78" s="12">
        <f>IF(Y78&lt;&gt;_xlfn.MINIFS('Draft Board'!$Y$2:$Y$162,'Draft Board'!$X$2:$X$162,"="&amp;X78),0,IF(_xlfn.MINIFS('Draft Board'!$X$2:$X$162,'Draft Board'!$X$2:$X$162,"&gt;"&amp;X78)=0,1,IF((_xlfn.MINIFS('Draft Board'!$X$2:$X$162,'Draft Board'!$X$2:$X$162,"&gt;"&amp;X78)-X78)/_xlfn.MINIFS('Draft Board'!$X$2:$X$162,'Draft Board'!$X$2:$X$162,"&gt;"&amp;X78)&gt;0.08,1,0)))</f>
        <v>0</v>
      </c>
      <c r="AA78" s="12">
        <f>_xlfn.MINIFS('Draft Board'!$X$2:$X$162,'Draft Board'!$X$2:$X$162,"&gt;="&amp;X78,'Draft Board'!$Z$2:$Z$162,1)</f>
        <v>0</v>
      </c>
      <c r="AB78" s="12">
        <f>IF(Y78&lt;&gt;_xlfn.MINIFS('Draft Board'!$Y$2:$Y$162,'Draft Board'!$X$2:$X$162,"="&amp;X78),0,IF(OR(Z78=1,IFERROR(FLOOR((AA78-X78)/AA78/0.25,1),0)&lt;&gt;IFERROR(FLOOR((AA78-_xlfn.MINIFS('Draft Board'!$X$2:$X$162,'Draft Board'!$X$2:$X$162,"&gt;"&amp;X78))/AA78/0.25,1),0)),1,0))</f>
        <v>0</v>
      </c>
      <c r="AC78" s="12">
        <f>ROUND(1+X78*'Live Calc'!$D$27,0)</f>
        <v>1</v>
      </c>
      <c r="AD78" s="12"/>
      <c r="AE78" s="12">
        <f>IF(AD78&lt;&gt;"",AD78,ROUND(AC78*INDEX('Live Calc'!$G$96:$G$256,MATCH(W78,'Live Calc'!$A$96:$A$256,0))*'Live Calc'!$J$543,0))</f>
        <v>1</v>
      </c>
      <c r="AG78" s="13" t="s">
        <v>382</v>
      </c>
      <c r="AH78" s="13" t="s">
        <v>108</v>
      </c>
      <c r="AI78" s="13">
        <v>63.31</v>
      </c>
      <c r="AJ78" s="13">
        <v>83.43</v>
      </c>
      <c r="AK78" s="13">
        <v>101.842</v>
      </c>
      <c r="AL78" s="13">
        <f>CHOOSE(MATCH(Setup!$B$7,{"STD","Half-PPR","PPR"},0),AI78,AJ78,AK78)</f>
        <v>83.43</v>
      </c>
      <c r="AM78" s="13">
        <f>COUNTIFS('Draft Board'!$AN$2:$AN$192,"&gt;="&amp;AN78,'Draft Board'!$AR$2:$AR$192,1)</f>
        <v>22</v>
      </c>
      <c r="AN78" s="13">
        <f>MAX(0,AL78-'Live Calc'!$H$21)^'Live Calc'!$E$21</f>
        <v>0</v>
      </c>
      <c r="AO78" s="13">
        <v>78</v>
      </c>
      <c r="AP78" s="13">
        <f>IF(AO78&lt;&gt;_xlfn.MINIFS('Draft Board'!$AO$2:$AO$192,'Draft Board'!$AN$2:$AN$192,"="&amp;AN78),0,IF(_xlfn.MINIFS('Draft Board'!$AN$2:$AN$192,'Draft Board'!$AN$2:$AN$192,"&gt;"&amp;AN78)=0,1,IF((_xlfn.MINIFS('Draft Board'!$AN$2:$AN$192,'Draft Board'!$AN$2:$AN$192,"&gt;"&amp;AN78)-AN78)/_xlfn.MINIFS('Draft Board'!$AN$2:$AN$192,'Draft Board'!$AN$2:$AN$192,"&gt;"&amp;AN78)&gt;0.08,1,0)))</f>
        <v>0</v>
      </c>
      <c r="AQ78" s="13">
        <f>_xlfn.MINIFS('Draft Board'!$AN$2:$AN$192,'Draft Board'!$AN$2:$AN$192,"&gt;="&amp;AN78,'Draft Board'!$AP$2:$AP$192,1)</f>
        <v>0</v>
      </c>
      <c r="AR78" s="13">
        <f>IF(AO78&lt;&gt;_xlfn.MINIFS('Draft Board'!$AO$2:$AO$192,'Draft Board'!$AN$2:$AN$192,"="&amp;AN78),0,IF(OR(AP78=1,IFERROR(FLOOR((AQ78-AN78)/AQ78/0.25,1),0)&lt;&gt;IFERROR(FLOOR((AQ78-_xlfn.MINIFS('Draft Board'!$AN$2:$AN$192,'Draft Board'!$AN$2:$AN$192,"&gt;"&amp;AN78))/AQ78/0.25,1),0)),1,0))</f>
        <v>0</v>
      </c>
      <c r="AS78" s="13">
        <f>ROUND(1+AN78*'Live Calc'!$D$28,0)</f>
        <v>1</v>
      </c>
      <c r="AT78" s="13"/>
      <c r="AU78" s="13">
        <f>IF(AT78&lt;&gt;"",AT78,ROUND(AS78*INDEX('Live Calc'!$G$260:$G$450,MATCH(AM78,'Live Calc'!$A$260:$A$450,0))*'Live Calc'!$J$543,0))</f>
        <v>1</v>
      </c>
      <c r="AW78" s="14" t="s">
        <v>383</v>
      </c>
      <c r="AX78" s="14" t="s">
        <v>94</v>
      </c>
      <c r="AY78" s="14">
        <v>18.34</v>
      </c>
      <c r="AZ78" s="14">
        <v>24.68</v>
      </c>
      <c r="BA78" s="14">
        <v>31.02</v>
      </c>
      <c r="BB78" s="14">
        <f>CHOOSE(MATCH(Setup!$B$7,{"STD","Half-PPR","PPR"},0),AY78,AZ78,BA78)</f>
        <v>24.68</v>
      </c>
      <c r="BC78" s="14">
        <f>COUNTIFS('Draft Board'!$BD$2:$BD$87,"&gt;="&amp;BD78,'Draft Board'!$BH$2:$BH$87,1)</f>
        <v>18</v>
      </c>
      <c r="BD78" s="14">
        <f>MAX(0,BB78-'Live Calc'!$H$22)^'Live Calc'!$E$22</f>
        <v>0</v>
      </c>
      <c r="BE78" s="14">
        <v>78</v>
      </c>
      <c r="BF78" s="14">
        <f>IF(BE78&lt;&gt;_xlfn.MINIFS('Draft Board'!$BE$2:$BE$87,'Draft Board'!$BD$2:$BD$87,"="&amp;BD78),0,IF(_xlfn.MINIFS('Draft Board'!$BD$2:$BD$87,'Draft Board'!$BD$2:$BD$87,"&gt;"&amp;BD78)=0,1,IF((_xlfn.MINIFS('Draft Board'!$BD$2:$BD$87,'Draft Board'!$BD$2:$BD$87,"&gt;"&amp;BD78)-BD78)/_xlfn.MINIFS('Draft Board'!$BD$2:$BD$87,'Draft Board'!$BD$2:$BD$87,"&gt;"&amp;BD78)&gt;0.08,1,0)))</f>
        <v>0</v>
      </c>
      <c r="BG78" s="14">
        <f>_xlfn.MINIFS('Draft Board'!$BD$2:$BD$87,'Draft Board'!$BD$2:$BD$87,"&gt;="&amp;BD78,'Draft Board'!$BF$2:$BF$87,1)</f>
        <v>0</v>
      </c>
      <c r="BH78" s="14">
        <f>IF(BE78&lt;&gt;_xlfn.MINIFS('Draft Board'!$BE$2:$BE$87,'Draft Board'!$BD$2:$BD$87,"="&amp;BD78),0,IF(OR(BF78=1,IFERROR(FLOOR((BG78-BD78)/BG78/0.25,1),0)&lt;&gt;IFERROR(FLOOR((BG78-_xlfn.MINIFS('Draft Board'!$BD$2:$BD$87,'Draft Board'!$BD$2:$BD$87,"&gt;"&amp;BD78))/BG78/0.25,1),0)),1,0))</f>
        <v>0</v>
      </c>
      <c r="BI78" s="14">
        <f>ROUND(1+BD78*'Live Calc'!$D$29,0)</f>
        <v>1</v>
      </c>
      <c r="BJ78" s="14"/>
      <c r="BK78" s="14">
        <f>IF(BJ78&lt;&gt;"",BJ78,ROUND(BI78*INDEX('Live Calc'!$G$454:$G$539,MATCH(BC78,'Live Calc'!$A$454:$A$539,0))*'Live Calc'!$J$543,0))</f>
        <v>1</v>
      </c>
    </row>
    <row r="79" spans="17:63" x14ac:dyDescent="0.25">
      <c r="Q79" s="12" t="s">
        <v>384</v>
      </c>
      <c r="R79" s="12" t="s">
        <v>164</v>
      </c>
      <c r="S79" s="12">
        <v>35.06</v>
      </c>
      <c r="T79" s="12">
        <v>38.909999999999997</v>
      </c>
      <c r="U79" s="12">
        <v>42.76</v>
      </c>
      <c r="V79" s="12">
        <f>CHOOSE(MATCH(Setup!$B$7,{"STD","Half-PPR","PPR"},0),S79,T79,U79)</f>
        <v>38.909999999999997</v>
      </c>
      <c r="W79" s="12">
        <f>COUNTIFS('Draft Board'!$X$2:$X$162,"&gt;="&amp;X79,'Draft Board'!$AB$2:$AB$162,1)</f>
        <v>19</v>
      </c>
      <c r="X79" s="12">
        <f>MAX(0,V79-'Live Calc'!$H$20)^'Live Calc'!$E$20</f>
        <v>0</v>
      </c>
      <c r="Y79" s="12">
        <v>79</v>
      </c>
      <c r="Z79" s="12">
        <f>IF(Y79&lt;&gt;_xlfn.MINIFS('Draft Board'!$Y$2:$Y$162,'Draft Board'!$X$2:$X$162,"="&amp;X79),0,IF(_xlfn.MINIFS('Draft Board'!$X$2:$X$162,'Draft Board'!$X$2:$X$162,"&gt;"&amp;X79)=0,1,IF((_xlfn.MINIFS('Draft Board'!$X$2:$X$162,'Draft Board'!$X$2:$X$162,"&gt;"&amp;X79)-X79)/_xlfn.MINIFS('Draft Board'!$X$2:$X$162,'Draft Board'!$X$2:$X$162,"&gt;"&amp;X79)&gt;0.08,1,0)))</f>
        <v>0</v>
      </c>
      <c r="AA79" s="12">
        <f>_xlfn.MINIFS('Draft Board'!$X$2:$X$162,'Draft Board'!$X$2:$X$162,"&gt;="&amp;X79,'Draft Board'!$Z$2:$Z$162,1)</f>
        <v>0</v>
      </c>
      <c r="AB79" s="12">
        <f>IF(Y79&lt;&gt;_xlfn.MINIFS('Draft Board'!$Y$2:$Y$162,'Draft Board'!$X$2:$X$162,"="&amp;X79),0,IF(OR(Z79=1,IFERROR(FLOOR((AA79-X79)/AA79/0.25,1),0)&lt;&gt;IFERROR(FLOOR((AA79-_xlfn.MINIFS('Draft Board'!$X$2:$X$162,'Draft Board'!$X$2:$X$162,"&gt;"&amp;X79))/AA79/0.25,1),0)),1,0))</f>
        <v>0</v>
      </c>
      <c r="AC79" s="12">
        <f>ROUND(1+X79*'Live Calc'!$D$27,0)</f>
        <v>1</v>
      </c>
      <c r="AD79" s="12"/>
      <c r="AE79" s="12">
        <f>IF(AD79&lt;&gt;"",AD79,ROUND(AC79*INDEX('Live Calc'!$G$96:$G$256,MATCH(W79,'Live Calc'!$A$96:$A$256,0))*'Live Calc'!$J$543,0))</f>
        <v>1</v>
      </c>
      <c r="AG79" s="13" t="s">
        <v>385</v>
      </c>
      <c r="AH79" s="13" t="s">
        <v>131</v>
      </c>
      <c r="AI79" s="13">
        <v>63.896000000000001</v>
      </c>
      <c r="AJ79" s="13">
        <v>83.296000000000006</v>
      </c>
      <c r="AK79" s="13">
        <v>102.754</v>
      </c>
      <c r="AL79" s="13">
        <f>CHOOSE(MATCH(Setup!$B$7,{"STD","Half-PPR","PPR"},0),AI79,AJ79,AK79)</f>
        <v>83.296000000000006</v>
      </c>
      <c r="AM79" s="13">
        <f>COUNTIFS('Draft Board'!$AN$2:$AN$192,"&gt;="&amp;AN79,'Draft Board'!$AR$2:$AR$192,1)</f>
        <v>22</v>
      </c>
      <c r="AN79" s="13">
        <f>MAX(0,AL79-'Live Calc'!$H$21)^'Live Calc'!$E$21</f>
        <v>0</v>
      </c>
      <c r="AO79" s="13">
        <v>79</v>
      </c>
      <c r="AP79" s="13">
        <f>IF(AO79&lt;&gt;_xlfn.MINIFS('Draft Board'!$AO$2:$AO$192,'Draft Board'!$AN$2:$AN$192,"="&amp;AN79),0,IF(_xlfn.MINIFS('Draft Board'!$AN$2:$AN$192,'Draft Board'!$AN$2:$AN$192,"&gt;"&amp;AN79)=0,1,IF((_xlfn.MINIFS('Draft Board'!$AN$2:$AN$192,'Draft Board'!$AN$2:$AN$192,"&gt;"&amp;AN79)-AN79)/_xlfn.MINIFS('Draft Board'!$AN$2:$AN$192,'Draft Board'!$AN$2:$AN$192,"&gt;"&amp;AN79)&gt;0.08,1,0)))</f>
        <v>0</v>
      </c>
      <c r="AQ79" s="13">
        <f>_xlfn.MINIFS('Draft Board'!$AN$2:$AN$192,'Draft Board'!$AN$2:$AN$192,"&gt;="&amp;AN79,'Draft Board'!$AP$2:$AP$192,1)</f>
        <v>0</v>
      </c>
      <c r="AR79" s="13">
        <f>IF(AO79&lt;&gt;_xlfn.MINIFS('Draft Board'!$AO$2:$AO$192,'Draft Board'!$AN$2:$AN$192,"="&amp;AN79),0,IF(OR(AP79=1,IFERROR(FLOOR((AQ79-AN79)/AQ79/0.25,1),0)&lt;&gt;IFERROR(FLOOR((AQ79-_xlfn.MINIFS('Draft Board'!$AN$2:$AN$192,'Draft Board'!$AN$2:$AN$192,"&gt;"&amp;AN79))/AQ79/0.25,1),0)),1,0))</f>
        <v>0</v>
      </c>
      <c r="AS79" s="13">
        <f>ROUND(1+AN79*'Live Calc'!$D$28,0)</f>
        <v>1</v>
      </c>
      <c r="AT79" s="13"/>
      <c r="AU79" s="13">
        <f>IF(AT79&lt;&gt;"",AT79,ROUND(AS79*INDEX('Live Calc'!$G$260:$G$450,MATCH(AM79,'Live Calc'!$A$260:$A$450,0))*'Live Calc'!$J$543,0))</f>
        <v>1</v>
      </c>
      <c r="AW79" s="14" t="s">
        <v>386</v>
      </c>
      <c r="AX79" s="14" t="s">
        <v>94</v>
      </c>
      <c r="AY79" s="14">
        <v>17.899999999999999</v>
      </c>
      <c r="AZ79" s="14">
        <v>24.67</v>
      </c>
      <c r="BA79" s="14">
        <v>31.44</v>
      </c>
      <c r="BB79" s="14">
        <f>CHOOSE(MATCH(Setup!$B$7,{"STD","Half-PPR","PPR"},0),AY79,AZ79,BA79)</f>
        <v>24.67</v>
      </c>
      <c r="BC79" s="14">
        <f>COUNTIFS('Draft Board'!$BD$2:$BD$87,"&gt;="&amp;BD79,'Draft Board'!$BH$2:$BH$87,1)</f>
        <v>18</v>
      </c>
      <c r="BD79" s="14">
        <f>MAX(0,BB79-'Live Calc'!$H$22)^'Live Calc'!$E$22</f>
        <v>0</v>
      </c>
      <c r="BE79" s="14">
        <v>79</v>
      </c>
      <c r="BF79" s="14">
        <f>IF(BE79&lt;&gt;_xlfn.MINIFS('Draft Board'!$BE$2:$BE$87,'Draft Board'!$BD$2:$BD$87,"="&amp;BD79),0,IF(_xlfn.MINIFS('Draft Board'!$BD$2:$BD$87,'Draft Board'!$BD$2:$BD$87,"&gt;"&amp;BD79)=0,1,IF((_xlfn.MINIFS('Draft Board'!$BD$2:$BD$87,'Draft Board'!$BD$2:$BD$87,"&gt;"&amp;BD79)-BD79)/_xlfn.MINIFS('Draft Board'!$BD$2:$BD$87,'Draft Board'!$BD$2:$BD$87,"&gt;"&amp;BD79)&gt;0.08,1,0)))</f>
        <v>0</v>
      </c>
      <c r="BG79" s="14">
        <f>_xlfn.MINIFS('Draft Board'!$BD$2:$BD$87,'Draft Board'!$BD$2:$BD$87,"&gt;="&amp;BD79,'Draft Board'!$BF$2:$BF$87,1)</f>
        <v>0</v>
      </c>
      <c r="BH79" s="14">
        <f>IF(BE79&lt;&gt;_xlfn.MINIFS('Draft Board'!$BE$2:$BE$87,'Draft Board'!$BD$2:$BD$87,"="&amp;BD79),0,IF(OR(BF79=1,IFERROR(FLOOR((BG79-BD79)/BG79/0.25,1),0)&lt;&gt;IFERROR(FLOOR((BG79-_xlfn.MINIFS('Draft Board'!$BD$2:$BD$87,'Draft Board'!$BD$2:$BD$87,"&gt;"&amp;BD79))/BG79/0.25,1),0)),1,0))</f>
        <v>0</v>
      </c>
      <c r="BI79" s="14">
        <f>ROUND(1+BD79*'Live Calc'!$D$29,0)</f>
        <v>1</v>
      </c>
      <c r="BJ79" s="14"/>
      <c r="BK79" s="14">
        <f>IF(BJ79&lt;&gt;"",BJ79,ROUND(BI79*INDEX('Live Calc'!$G$454:$G$539,MATCH(BC79,'Live Calc'!$A$454:$A$539,0))*'Live Calc'!$J$543,0))</f>
        <v>1</v>
      </c>
    </row>
    <row r="80" spans="17:63" x14ac:dyDescent="0.25">
      <c r="Q80" s="12" t="s">
        <v>387</v>
      </c>
      <c r="R80" s="12" t="s">
        <v>87</v>
      </c>
      <c r="S80" s="12">
        <v>33.872</v>
      </c>
      <c r="T80" s="12">
        <v>38.01</v>
      </c>
      <c r="U80" s="12">
        <v>43.996000000000002</v>
      </c>
      <c r="V80" s="12">
        <f>CHOOSE(MATCH(Setup!$B$7,{"STD","Half-PPR","PPR"},0),S80,T80,U80)</f>
        <v>38.01</v>
      </c>
      <c r="W80" s="12">
        <f>COUNTIFS('Draft Board'!$X$2:$X$162,"&gt;="&amp;X80,'Draft Board'!$AB$2:$AB$162,1)</f>
        <v>19</v>
      </c>
      <c r="X80" s="12">
        <f>MAX(0,V80-'Live Calc'!$H$20)^'Live Calc'!$E$20</f>
        <v>0</v>
      </c>
      <c r="Y80" s="12">
        <v>80</v>
      </c>
      <c r="Z80" s="12">
        <f>IF(Y80&lt;&gt;_xlfn.MINIFS('Draft Board'!$Y$2:$Y$162,'Draft Board'!$X$2:$X$162,"="&amp;X80),0,IF(_xlfn.MINIFS('Draft Board'!$X$2:$X$162,'Draft Board'!$X$2:$X$162,"&gt;"&amp;X80)=0,1,IF((_xlfn.MINIFS('Draft Board'!$X$2:$X$162,'Draft Board'!$X$2:$X$162,"&gt;"&amp;X80)-X80)/_xlfn.MINIFS('Draft Board'!$X$2:$X$162,'Draft Board'!$X$2:$X$162,"&gt;"&amp;X80)&gt;0.08,1,0)))</f>
        <v>0</v>
      </c>
      <c r="AA80" s="12">
        <f>_xlfn.MINIFS('Draft Board'!$X$2:$X$162,'Draft Board'!$X$2:$X$162,"&gt;="&amp;X80,'Draft Board'!$Z$2:$Z$162,1)</f>
        <v>0</v>
      </c>
      <c r="AB80" s="12">
        <f>IF(Y80&lt;&gt;_xlfn.MINIFS('Draft Board'!$Y$2:$Y$162,'Draft Board'!$X$2:$X$162,"="&amp;X80),0,IF(OR(Z80=1,IFERROR(FLOOR((AA80-X80)/AA80/0.25,1),0)&lt;&gt;IFERROR(FLOOR((AA80-_xlfn.MINIFS('Draft Board'!$X$2:$X$162,'Draft Board'!$X$2:$X$162,"&gt;"&amp;X80))/AA80/0.25,1),0)),1,0))</f>
        <v>0</v>
      </c>
      <c r="AC80" s="12">
        <f>ROUND(1+X80*'Live Calc'!$D$27,0)</f>
        <v>1</v>
      </c>
      <c r="AD80" s="12"/>
      <c r="AE80" s="12">
        <f>IF(AD80&lt;&gt;"",AD80,ROUND(AC80*INDEX('Live Calc'!$G$96:$G$256,MATCH(W80,'Live Calc'!$A$96:$A$256,0))*'Live Calc'!$J$543,0))</f>
        <v>1</v>
      </c>
      <c r="AG80" s="13" t="s">
        <v>388</v>
      </c>
      <c r="AH80" s="13" t="s">
        <v>153</v>
      </c>
      <c r="AI80" s="13">
        <v>61.37</v>
      </c>
      <c r="AJ80" s="13">
        <v>79.891999999999996</v>
      </c>
      <c r="AK80" s="13">
        <v>98.977999999999994</v>
      </c>
      <c r="AL80" s="13">
        <f>CHOOSE(MATCH(Setup!$B$7,{"STD","Half-PPR","PPR"},0),AI80,AJ80,AK80)</f>
        <v>79.891999999999996</v>
      </c>
      <c r="AM80" s="13">
        <f>COUNTIFS('Draft Board'!$AN$2:$AN$192,"&gt;="&amp;AN80,'Draft Board'!$AR$2:$AR$192,1)</f>
        <v>22</v>
      </c>
      <c r="AN80" s="13">
        <f>MAX(0,AL80-'Live Calc'!$H$21)^'Live Calc'!$E$21</f>
        <v>0</v>
      </c>
      <c r="AO80" s="13">
        <v>80</v>
      </c>
      <c r="AP80" s="13">
        <f>IF(AO80&lt;&gt;_xlfn.MINIFS('Draft Board'!$AO$2:$AO$192,'Draft Board'!$AN$2:$AN$192,"="&amp;AN80),0,IF(_xlfn.MINIFS('Draft Board'!$AN$2:$AN$192,'Draft Board'!$AN$2:$AN$192,"&gt;"&amp;AN80)=0,1,IF((_xlfn.MINIFS('Draft Board'!$AN$2:$AN$192,'Draft Board'!$AN$2:$AN$192,"&gt;"&amp;AN80)-AN80)/_xlfn.MINIFS('Draft Board'!$AN$2:$AN$192,'Draft Board'!$AN$2:$AN$192,"&gt;"&amp;AN80)&gt;0.08,1,0)))</f>
        <v>0</v>
      </c>
      <c r="AQ80" s="13">
        <f>_xlfn.MINIFS('Draft Board'!$AN$2:$AN$192,'Draft Board'!$AN$2:$AN$192,"&gt;="&amp;AN80,'Draft Board'!$AP$2:$AP$192,1)</f>
        <v>0</v>
      </c>
      <c r="AR80" s="13">
        <f>IF(AO80&lt;&gt;_xlfn.MINIFS('Draft Board'!$AO$2:$AO$192,'Draft Board'!$AN$2:$AN$192,"="&amp;AN80),0,IF(OR(AP80=1,IFERROR(FLOOR((AQ80-AN80)/AQ80/0.25,1),0)&lt;&gt;IFERROR(FLOOR((AQ80-_xlfn.MINIFS('Draft Board'!$AN$2:$AN$192,'Draft Board'!$AN$2:$AN$192,"&gt;"&amp;AN80))/AQ80/0.25,1),0)),1,0))</f>
        <v>0</v>
      </c>
      <c r="AS80" s="13">
        <f>ROUND(1+AN80*'Live Calc'!$D$28,0)</f>
        <v>1</v>
      </c>
      <c r="AT80" s="13"/>
      <c r="AU80" s="13">
        <f>IF(AT80&lt;&gt;"",AT80,ROUND(AS80*INDEX('Live Calc'!$G$260:$G$450,MATCH(AM80,'Live Calc'!$A$260:$A$450,0))*'Live Calc'!$J$543,0))</f>
        <v>1</v>
      </c>
      <c r="AW80" s="14" t="s">
        <v>389</v>
      </c>
      <c r="AX80" s="14" t="s">
        <v>85</v>
      </c>
      <c r="AY80" s="14">
        <v>17.87</v>
      </c>
      <c r="AZ80" s="14">
        <v>24.06</v>
      </c>
      <c r="BA80" s="14">
        <v>30.26</v>
      </c>
      <c r="BB80" s="14">
        <f>CHOOSE(MATCH(Setup!$B$7,{"STD","Half-PPR","PPR"},0),AY80,AZ80,BA80)</f>
        <v>24.06</v>
      </c>
      <c r="BC80" s="14">
        <f>COUNTIFS('Draft Board'!$BD$2:$BD$87,"&gt;="&amp;BD80,'Draft Board'!$BH$2:$BH$87,1)</f>
        <v>18</v>
      </c>
      <c r="BD80" s="14">
        <f>MAX(0,BB80-'Live Calc'!$H$22)^'Live Calc'!$E$22</f>
        <v>0</v>
      </c>
      <c r="BE80" s="14">
        <v>80</v>
      </c>
      <c r="BF80" s="14">
        <f>IF(BE80&lt;&gt;_xlfn.MINIFS('Draft Board'!$BE$2:$BE$87,'Draft Board'!$BD$2:$BD$87,"="&amp;BD80),0,IF(_xlfn.MINIFS('Draft Board'!$BD$2:$BD$87,'Draft Board'!$BD$2:$BD$87,"&gt;"&amp;BD80)=0,1,IF((_xlfn.MINIFS('Draft Board'!$BD$2:$BD$87,'Draft Board'!$BD$2:$BD$87,"&gt;"&amp;BD80)-BD80)/_xlfn.MINIFS('Draft Board'!$BD$2:$BD$87,'Draft Board'!$BD$2:$BD$87,"&gt;"&amp;BD80)&gt;0.08,1,0)))</f>
        <v>0</v>
      </c>
      <c r="BG80" s="14">
        <f>_xlfn.MINIFS('Draft Board'!$BD$2:$BD$87,'Draft Board'!$BD$2:$BD$87,"&gt;="&amp;BD80,'Draft Board'!$BF$2:$BF$87,1)</f>
        <v>0</v>
      </c>
      <c r="BH80" s="14">
        <f>IF(BE80&lt;&gt;_xlfn.MINIFS('Draft Board'!$BE$2:$BE$87,'Draft Board'!$BD$2:$BD$87,"="&amp;BD80),0,IF(OR(BF80=1,IFERROR(FLOOR((BG80-BD80)/BG80/0.25,1),0)&lt;&gt;IFERROR(FLOOR((BG80-_xlfn.MINIFS('Draft Board'!$BD$2:$BD$87,'Draft Board'!$BD$2:$BD$87,"&gt;"&amp;BD80))/BG80/0.25,1),0)),1,0))</f>
        <v>0</v>
      </c>
      <c r="BI80" s="14">
        <f>ROUND(1+BD80*'Live Calc'!$D$29,0)</f>
        <v>1</v>
      </c>
      <c r="BJ80" s="14"/>
      <c r="BK80" s="14">
        <f>IF(BJ80&lt;&gt;"",BJ80,ROUND(BI80*INDEX('Live Calc'!$G$454:$G$539,MATCH(BC80,'Live Calc'!$A$454:$A$539,0))*'Live Calc'!$J$543,0))</f>
        <v>1</v>
      </c>
    </row>
    <row r="81" spans="17:63" x14ac:dyDescent="0.25">
      <c r="Q81" s="12" t="s">
        <v>390</v>
      </c>
      <c r="R81" s="12" t="s">
        <v>94</v>
      </c>
      <c r="S81" s="12">
        <v>33.256</v>
      </c>
      <c r="T81" s="12">
        <v>36.979999999999997</v>
      </c>
      <c r="U81" s="12">
        <v>39.353999999999999</v>
      </c>
      <c r="V81" s="12">
        <f>CHOOSE(MATCH(Setup!$B$7,{"STD","Half-PPR","PPR"},0),S81,T81,U81)</f>
        <v>36.979999999999997</v>
      </c>
      <c r="W81" s="12">
        <f>COUNTIFS('Draft Board'!$X$2:$X$162,"&gt;="&amp;X81,'Draft Board'!$AB$2:$AB$162,1)</f>
        <v>19</v>
      </c>
      <c r="X81" s="12">
        <f>MAX(0,V81-'Live Calc'!$H$20)^'Live Calc'!$E$20</f>
        <v>0</v>
      </c>
      <c r="Y81" s="12">
        <v>81</v>
      </c>
      <c r="Z81" s="12">
        <f>IF(Y81&lt;&gt;_xlfn.MINIFS('Draft Board'!$Y$2:$Y$162,'Draft Board'!$X$2:$X$162,"="&amp;X81),0,IF(_xlfn.MINIFS('Draft Board'!$X$2:$X$162,'Draft Board'!$X$2:$X$162,"&gt;"&amp;X81)=0,1,IF((_xlfn.MINIFS('Draft Board'!$X$2:$X$162,'Draft Board'!$X$2:$X$162,"&gt;"&amp;X81)-X81)/_xlfn.MINIFS('Draft Board'!$X$2:$X$162,'Draft Board'!$X$2:$X$162,"&gt;"&amp;X81)&gt;0.08,1,0)))</f>
        <v>0</v>
      </c>
      <c r="AA81" s="12">
        <f>_xlfn.MINIFS('Draft Board'!$X$2:$X$162,'Draft Board'!$X$2:$X$162,"&gt;="&amp;X81,'Draft Board'!$Z$2:$Z$162,1)</f>
        <v>0</v>
      </c>
      <c r="AB81" s="12">
        <f>IF(Y81&lt;&gt;_xlfn.MINIFS('Draft Board'!$Y$2:$Y$162,'Draft Board'!$X$2:$X$162,"="&amp;X81),0,IF(OR(Z81=1,IFERROR(FLOOR((AA81-X81)/AA81/0.25,1),0)&lt;&gt;IFERROR(FLOOR((AA81-_xlfn.MINIFS('Draft Board'!$X$2:$X$162,'Draft Board'!$X$2:$X$162,"&gt;"&amp;X81))/AA81/0.25,1),0)),1,0))</f>
        <v>0</v>
      </c>
      <c r="AC81" s="12">
        <f>ROUND(1+X81*'Live Calc'!$D$27,0)</f>
        <v>1</v>
      </c>
      <c r="AD81" s="12"/>
      <c r="AE81" s="12">
        <f>IF(AD81&lt;&gt;"",AD81,ROUND(AC81*INDEX('Live Calc'!$G$96:$G$256,MATCH(W81,'Live Calc'!$A$96:$A$256,0))*'Live Calc'!$J$543,0))</f>
        <v>1</v>
      </c>
      <c r="AG81" s="13" t="s">
        <v>391</v>
      </c>
      <c r="AH81" s="13" t="s">
        <v>77</v>
      </c>
      <c r="AI81" s="13">
        <v>63.27</v>
      </c>
      <c r="AJ81" s="13">
        <v>77.872</v>
      </c>
      <c r="AK81" s="13">
        <v>93.703999999999994</v>
      </c>
      <c r="AL81" s="13">
        <f>CHOOSE(MATCH(Setup!$B$7,{"STD","Half-PPR","PPR"},0),AI81,AJ81,AK81)</f>
        <v>77.872</v>
      </c>
      <c r="AM81" s="13">
        <f>COUNTIFS('Draft Board'!$AN$2:$AN$192,"&gt;="&amp;AN81,'Draft Board'!$AR$2:$AR$192,1)</f>
        <v>22</v>
      </c>
      <c r="AN81" s="13">
        <f>MAX(0,AL81-'Live Calc'!$H$21)^'Live Calc'!$E$21</f>
        <v>0</v>
      </c>
      <c r="AO81" s="13">
        <v>81</v>
      </c>
      <c r="AP81" s="13">
        <f>IF(AO81&lt;&gt;_xlfn.MINIFS('Draft Board'!$AO$2:$AO$192,'Draft Board'!$AN$2:$AN$192,"="&amp;AN81),0,IF(_xlfn.MINIFS('Draft Board'!$AN$2:$AN$192,'Draft Board'!$AN$2:$AN$192,"&gt;"&amp;AN81)=0,1,IF((_xlfn.MINIFS('Draft Board'!$AN$2:$AN$192,'Draft Board'!$AN$2:$AN$192,"&gt;"&amp;AN81)-AN81)/_xlfn.MINIFS('Draft Board'!$AN$2:$AN$192,'Draft Board'!$AN$2:$AN$192,"&gt;"&amp;AN81)&gt;0.08,1,0)))</f>
        <v>0</v>
      </c>
      <c r="AQ81" s="13">
        <f>_xlfn.MINIFS('Draft Board'!$AN$2:$AN$192,'Draft Board'!$AN$2:$AN$192,"&gt;="&amp;AN81,'Draft Board'!$AP$2:$AP$192,1)</f>
        <v>0</v>
      </c>
      <c r="AR81" s="13">
        <f>IF(AO81&lt;&gt;_xlfn.MINIFS('Draft Board'!$AO$2:$AO$192,'Draft Board'!$AN$2:$AN$192,"="&amp;AN81),0,IF(OR(AP81=1,IFERROR(FLOOR((AQ81-AN81)/AQ81/0.25,1),0)&lt;&gt;IFERROR(FLOOR((AQ81-_xlfn.MINIFS('Draft Board'!$AN$2:$AN$192,'Draft Board'!$AN$2:$AN$192,"&gt;"&amp;AN81))/AQ81/0.25,1),0)),1,0))</f>
        <v>0</v>
      </c>
      <c r="AS81" s="13">
        <f>ROUND(1+AN81*'Live Calc'!$D$28,0)</f>
        <v>1</v>
      </c>
      <c r="AT81" s="13"/>
      <c r="AU81" s="13">
        <f>IF(AT81&lt;&gt;"",AT81,ROUND(AS81*INDEX('Live Calc'!$G$260:$G$450,MATCH(AM81,'Live Calc'!$A$260:$A$450,0))*'Live Calc'!$J$543,0))</f>
        <v>1</v>
      </c>
      <c r="AW81" s="14" t="s">
        <v>392</v>
      </c>
      <c r="AX81" s="14" t="s">
        <v>73</v>
      </c>
      <c r="AY81" s="14">
        <v>16.78</v>
      </c>
      <c r="AZ81" s="14">
        <v>23.76</v>
      </c>
      <c r="BA81" s="14">
        <v>30.75</v>
      </c>
      <c r="BB81" s="14">
        <f>CHOOSE(MATCH(Setup!$B$7,{"STD","Half-PPR","PPR"},0),AY81,AZ81,BA81)</f>
        <v>23.76</v>
      </c>
      <c r="BC81" s="14">
        <f>COUNTIFS('Draft Board'!$BD$2:$BD$87,"&gt;="&amp;BD81,'Draft Board'!$BH$2:$BH$87,1)</f>
        <v>18</v>
      </c>
      <c r="BD81" s="14">
        <f>MAX(0,BB81-'Live Calc'!$H$22)^'Live Calc'!$E$22</f>
        <v>0</v>
      </c>
      <c r="BE81" s="14">
        <v>81</v>
      </c>
      <c r="BF81" s="14">
        <f>IF(BE81&lt;&gt;_xlfn.MINIFS('Draft Board'!$BE$2:$BE$87,'Draft Board'!$BD$2:$BD$87,"="&amp;BD81),0,IF(_xlfn.MINIFS('Draft Board'!$BD$2:$BD$87,'Draft Board'!$BD$2:$BD$87,"&gt;"&amp;BD81)=0,1,IF((_xlfn.MINIFS('Draft Board'!$BD$2:$BD$87,'Draft Board'!$BD$2:$BD$87,"&gt;"&amp;BD81)-BD81)/_xlfn.MINIFS('Draft Board'!$BD$2:$BD$87,'Draft Board'!$BD$2:$BD$87,"&gt;"&amp;BD81)&gt;0.08,1,0)))</f>
        <v>0</v>
      </c>
      <c r="BG81" s="14">
        <f>_xlfn.MINIFS('Draft Board'!$BD$2:$BD$87,'Draft Board'!$BD$2:$BD$87,"&gt;="&amp;BD81,'Draft Board'!$BF$2:$BF$87,1)</f>
        <v>0</v>
      </c>
      <c r="BH81" s="14">
        <f>IF(BE81&lt;&gt;_xlfn.MINIFS('Draft Board'!$BE$2:$BE$87,'Draft Board'!$BD$2:$BD$87,"="&amp;BD81),0,IF(OR(BF81=1,IFERROR(FLOOR((BG81-BD81)/BG81/0.25,1),0)&lt;&gt;IFERROR(FLOOR((BG81-_xlfn.MINIFS('Draft Board'!$BD$2:$BD$87,'Draft Board'!$BD$2:$BD$87,"&gt;"&amp;BD81))/BG81/0.25,1),0)),1,0))</f>
        <v>0</v>
      </c>
      <c r="BI81" s="14">
        <f>ROUND(1+BD81*'Live Calc'!$D$29,0)</f>
        <v>1</v>
      </c>
      <c r="BJ81" s="14"/>
      <c r="BK81" s="14">
        <f>IF(BJ81&lt;&gt;"",BJ81,ROUND(BI81*INDEX('Live Calc'!$G$454:$G$539,MATCH(BC81,'Live Calc'!$A$454:$A$539,0))*'Live Calc'!$J$543,0))</f>
        <v>1</v>
      </c>
    </row>
    <row r="82" spans="17:63" x14ac:dyDescent="0.25">
      <c r="Q82" s="12" t="s">
        <v>393</v>
      </c>
      <c r="R82" s="12" t="s">
        <v>108</v>
      </c>
      <c r="S82" s="12">
        <v>28.76</v>
      </c>
      <c r="T82" s="12">
        <v>36.881999999999998</v>
      </c>
      <c r="U82" s="12">
        <v>43.345999999999997</v>
      </c>
      <c r="V82" s="12">
        <f>CHOOSE(MATCH(Setup!$B$7,{"STD","Half-PPR","PPR"},0),S82,T82,U82)</f>
        <v>36.881999999999998</v>
      </c>
      <c r="W82" s="12">
        <f>COUNTIFS('Draft Board'!$X$2:$X$162,"&gt;="&amp;X82,'Draft Board'!$AB$2:$AB$162,1)</f>
        <v>19</v>
      </c>
      <c r="X82" s="12">
        <f>MAX(0,V82-'Live Calc'!$H$20)^'Live Calc'!$E$20</f>
        <v>0</v>
      </c>
      <c r="Y82" s="12">
        <v>82</v>
      </c>
      <c r="Z82" s="12">
        <f>IF(Y82&lt;&gt;_xlfn.MINIFS('Draft Board'!$Y$2:$Y$162,'Draft Board'!$X$2:$X$162,"="&amp;X82),0,IF(_xlfn.MINIFS('Draft Board'!$X$2:$X$162,'Draft Board'!$X$2:$X$162,"&gt;"&amp;X82)=0,1,IF((_xlfn.MINIFS('Draft Board'!$X$2:$X$162,'Draft Board'!$X$2:$X$162,"&gt;"&amp;X82)-X82)/_xlfn.MINIFS('Draft Board'!$X$2:$X$162,'Draft Board'!$X$2:$X$162,"&gt;"&amp;X82)&gt;0.08,1,0)))</f>
        <v>0</v>
      </c>
      <c r="AA82" s="12">
        <f>_xlfn.MINIFS('Draft Board'!$X$2:$X$162,'Draft Board'!$X$2:$X$162,"&gt;="&amp;X82,'Draft Board'!$Z$2:$Z$162,1)</f>
        <v>0</v>
      </c>
      <c r="AB82" s="12">
        <f>IF(Y82&lt;&gt;_xlfn.MINIFS('Draft Board'!$Y$2:$Y$162,'Draft Board'!$X$2:$X$162,"="&amp;X82),0,IF(OR(Z82=1,IFERROR(FLOOR((AA82-X82)/AA82/0.25,1),0)&lt;&gt;IFERROR(FLOOR((AA82-_xlfn.MINIFS('Draft Board'!$X$2:$X$162,'Draft Board'!$X$2:$X$162,"&gt;"&amp;X82))/AA82/0.25,1),0)),1,0))</f>
        <v>0</v>
      </c>
      <c r="AC82" s="12">
        <f>ROUND(1+X82*'Live Calc'!$D$27,0)</f>
        <v>1</v>
      </c>
      <c r="AD82" s="12"/>
      <c r="AE82" s="12">
        <f>IF(AD82&lt;&gt;"",AD82,ROUND(AC82*INDEX('Live Calc'!$G$96:$G$256,MATCH(W82,'Live Calc'!$A$96:$A$256,0))*'Live Calc'!$J$543,0))</f>
        <v>1</v>
      </c>
      <c r="AG82" s="13" t="s">
        <v>394</v>
      </c>
      <c r="AH82" s="13" t="s">
        <v>81</v>
      </c>
      <c r="AI82" s="13">
        <v>59.71</v>
      </c>
      <c r="AJ82" s="13">
        <v>77.867999999999995</v>
      </c>
      <c r="AK82" s="13">
        <v>96.346000000000004</v>
      </c>
      <c r="AL82" s="13">
        <f>CHOOSE(MATCH(Setup!$B$7,{"STD","Half-PPR","PPR"},0),AI82,AJ82,AK82)</f>
        <v>77.867999999999995</v>
      </c>
      <c r="AM82" s="13">
        <f>COUNTIFS('Draft Board'!$AN$2:$AN$192,"&gt;="&amp;AN82,'Draft Board'!$AR$2:$AR$192,1)</f>
        <v>22</v>
      </c>
      <c r="AN82" s="13">
        <f>MAX(0,AL82-'Live Calc'!$H$21)^'Live Calc'!$E$21</f>
        <v>0</v>
      </c>
      <c r="AO82" s="13">
        <v>82</v>
      </c>
      <c r="AP82" s="13">
        <f>IF(AO82&lt;&gt;_xlfn.MINIFS('Draft Board'!$AO$2:$AO$192,'Draft Board'!$AN$2:$AN$192,"="&amp;AN82),0,IF(_xlfn.MINIFS('Draft Board'!$AN$2:$AN$192,'Draft Board'!$AN$2:$AN$192,"&gt;"&amp;AN82)=0,1,IF((_xlfn.MINIFS('Draft Board'!$AN$2:$AN$192,'Draft Board'!$AN$2:$AN$192,"&gt;"&amp;AN82)-AN82)/_xlfn.MINIFS('Draft Board'!$AN$2:$AN$192,'Draft Board'!$AN$2:$AN$192,"&gt;"&amp;AN82)&gt;0.08,1,0)))</f>
        <v>0</v>
      </c>
      <c r="AQ82" s="13">
        <f>_xlfn.MINIFS('Draft Board'!$AN$2:$AN$192,'Draft Board'!$AN$2:$AN$192,"&gt;="&amp;AN82,'Draft Board'!$AP$2:$AP$192,1)</f>
        <v>0</v>
      </c>
      <c r="AR82" s="13">
        <f>IF(AO82&lt;&gt;_xlfn.MINIFS('Draft Board'!$AO$2:$AO$192,'Draft Board'!$AN$2:$AN$192,"="&amp;AN82),0,IF(OR(AP82=1,IFERROR(FLOOR((AQ82-AN82)/AQ82/0.25,1),0)&lt;&gt;IFERROR(FLOOR((AQ82-_xlfn.MINIFS('Draft Board'!$AN$2:$AN$192,'Draft Board'!$AN$2:$AN$192,"&gt;"&amp;AN82))/AQ82/0.25,1),0)),1,0))</f>
        <v>0</v>
      </c>
      <c r="AS82" s="13">
        <f>ROUND(1+AN82*'Live Calc'!$D$28,0)</f>
        <v>1</v>
      </c>
      <c r="AT82" s="13"/>
      <c r="AU82" s="13">
        <f>IF(AT82&lt;&gt;"",AT82,ROUND(AS82*INDEX('Live Calc'!$G$260:$G$450,MATCH(AM82,'Live Calc'!$A$260:$A$450,0))*'Live Calc'!$J$543,0))</f>
        <v>1</v>
      </c>
      <c r="AW82" s="14" t="s">
        <v>395</v>
      </c>
      <c r="AX82" s="14" t="s">
        <v>73</v>
      </c>
      <c r="AY82" s="14">
        <v>16.43</v>
      </c>
      <c r="AZ82" s="14">
        <v>23.36</v>
      </c>
      <c r="BA82" s="14">
        <v>30.28</v>
      </c>
      <c r="BB82" s="14">
        <f>CHOOSE(MATCH(Setup!$B$7,{"STD","Half-PPR","PPR"},0),AY82,AZ82,BA82)</f>
        <v>23.36</v>
      </c>
      <c r="BC82" s="14">
        <f>COUNTIFS('Draft Board'!$BD$2:$BD$87,"&gt;="&amp;BD82,'Draft Board'!$BH$2:$BH$87,1)</f>
        <v>18</v>
      </c>
      <c r="BD82" s="14">
        <f>MAX(0,BB82-'Live Calc'!$H$22)^'Live Calc'!$E$22</f>
        <v>0</v>
      </c>
      <c r="BE82" s="14">
        <v>82</v>
      </c>
      <c r="BF82" s="14">
        <f>IF(BE82&lt;&gt;_xlfn.MINIFS('Draft Board'!$BE$2:$BE$87,'Draft Board'!$BD$2:$BD$87,"="&amp;BD82),0,IF(_xlfn.MINIFS('Draft Board'!$BD$2:$BD$87,'Draft Board'!$BD$2:$BD$87,"&gt;"&amp;BD82)=0,1,IF((_xlfn.MINIFS('Draft Board'!$BD$2:$BD$87,'Draft Board'!$BD$2:$BD$87,"&gt;"&amp;BD82)-BD82)/_xlfn.MINIFS('Draft Board'!$BD$2:$BD$87,'Draft Board'!$BD$2:$BD$87,"&gt;"&amp;BD82)&gt;0.08,1,0)))</f>
        <v>0</v>
      </c>
      <c r="BG82" s="14">
        <f>_xlfn.MINIFS('Draft Board'!$BD$2:$BD$87,'Draft Board'!$BD$2:$BD$87,"&gt;="&amp;BD82,'Draft Board'!$BF$2:$BF$87,1)</f>
        <v>0</v>
      </c>
      <c r="BH82" s="14">
        <f>IF(BE82&lt;&gt;_xlfn.MINIFS('Draft Board'!$BE$2:$BE$87,'Draft Board'!$BD$2:$BD$87,"="&amp;BD82),0,IF(OR(BF82=1,IFERROR(FLOOR((BG82-BD82)/BG82/0.25,1),0)&lt;&gt;IFERROR(FLOOR((BG82-_xlfn.MINIFS('Draft Board'!$BD$2:$BD$87,'Draft Board'!$BD$2:$BD$87,"&gt;"&amp;BD82))/BG82/0.25,1),0)),1,0))</f>
        <v>0</v>
      </c>
      <c r="BI82" s="14">
        <f>ROUND(1+BD82*'Live Calc'!$D$29,0)</f>
        <v>1</v>
      </c>
      <c r="BJ82" s="14"/>
      <c r="BK82" s="14">
        <f>IF(BJ82&lt;&gt;"",BJ82,ROUND(BI82*INDEX('Live Calc'!$G$454:$G$539,MATCH(BC82,'Live Calc'!$A$454:$A$539,0))*'Live Calc'!$J$543,0))</f>
        <v>1</v>
      </c>
    </row>
    <row r="83" spans="17:63" x14ac:dyDescent="0.25">
      <c r="Q83" s="12" t="s">
        <v>396</v>
      </c>
      <c r="R83" s="12" t="s">
        <v>125</v>
      </c>
      <c r="S83" s="12">
        <v>33.533999999999999</v>
      </c>
      <c r="T83" s="12">
        <v>36.398000000000003</v>
      </c>
      <c r="U83" s="12">
        <v>39.338000000000001</v>
      </c>
      <c r="V83" s="12">
        <f>CHOOSE(MATCH(Setup!$B$7,{"STD","Half-PPR","PPR"},0),S83,T83,U83)</f>
        <v>36.398000000000003</v>
      </c>
      <c r="W83" s="12">
        <f>COUNTIFS('Draft Board'!$X$2:$X$162,"&gt;="&amp;X83,'Draft Board'!$AB$2:$AB$162,1)</f>
        <v>19</v>
      </c>
      <c r="X83" s="12">
        <f>MAX(0,V83-'Live Calc'!$H$20)^'Live Calc'!$E$20</f>
        <v>0</v>
      </c>
      <c r="Y83" s="12">
        <v>83</v>
      </c>
      <c r="Z83" s="12">
        <f>IF(Y83&lt;&gt;_xlfn.MINIFS('Draft Board'!$Y$2:$Y$162,'Draft Board'!$X$2:$X$162,"="&amp;X83),0,IF(_xlfn.MINIFS('Draft Board'!$X$2:$X$162,'Draft Board'!$X$2:$X$162,"&gt;"&amp;X83)=0,1,IF((_xlfn.MINIFS('Draft Board'!$X$2:$X$162,'Draft Board'!$X$2:$X$162,"&gt;"&amp;X83)-X83)/_xlfn.MINIFS('Draft Board'!$X$2:$X$162,'Draft Board'!$X$2:$X$162,"&gt;"&amp;X83)&gt;0.08,1,0)))</f>
        <v>0</v>
      </c>
      <c r="AA83" s="12">
        <f>_xlfn.MINIFS('Draft Board'!$X$2:$X$162,'Draft Board'!$X$2:$X$162,"&gt;="&amp;X83,'Draft Board'!$Z$2:$Z$162,1)</f>
        <v>0</v>
      </c>
      <c r="AB83" s="12">
        <f>IF(Y83&lt;&gt;_xlfn.MINIFS('Draft Board'!$Y$2:$Y$162,'Draft Board'!$X$2:$X$162,"="&amp;X83),0,IF(OR(Z83=1,IFERROR(FLOOR((AA83-X83)/AA83/0.25,1),0)&lt;&gt;IFERROR(FLOOR((AA83-_xlfn.MINIFS('Draft Board'!$X$2:$X$162,'Draft Board'!$X$2:$X$162,"&gt;"&amp;X83))/AA83/0.25,1),0)),1,0))</f>
        <v>0</v>
      </c>
      <c r="AC83" s="12">
        <f>ROUND(1+X83*'Live Calc'!$D$27,0)</f>
        <v>1</v>
      </c>
      <c r="AD83" s="12"/>
      <c r="AE83" s="12">
        <f>IF(AD83&lt;&gt;"",AD83,ROUND(AC83*INDEX('Live Calc'!$G$96:$G$256,MATCH(W83,'Live Calc'!$A$96:$A$256,0))*'Live Calc'!$J$543,0))</f>
        <v>1</v>
      </c>
      <c r="AG83" s="13" t="s">
        <v>397</v>
      </c>
      <c r="AH83" s="13" t="s">
        <v>63</v>
      </c>
      <c r="AI83" s="13">
        <v>61.978000000000002</v>
      </c>
      <c r="AJ83" s="13">
        <v>77.462000000000003</v>
      </c>
      <c r="AK83" s="13">
        <v>91.811999999999998</v>
      </c>
      <c r="AL83" s="13">
        <f>CHOOSE(MATCH(Setup!$B$7,{"STD","Half-PPR","PPR"},0),AI83,AJ83,AK83)</f>
        <v>77.462000000000003</v>
      </c>
      <c r="AM83" s="13">
        <f>COUNTIFS('Draft Board'!$AN$2:$AN$192,"&gt;="&amp;AN83,'Draft Board'!$AR$2:$AR$192,1)</f>
        <v>22</v>
      </c>
      <c r="AN83" s="13">
        <f>MAX(0,AL83-'Live Calc'!$H$21)^'Live Calc'!$E$21</f>
        <v>0</v>
      </c>
      <c r="AO83" s="13">
        <v>83</v>
      </c>
      <c r="AP83" s="13">
        <f>IF(AO83&lt;&gt;_xlfn.MINIFS('Draft Board'!$AO$2:$AO$192,'Draft Board'!$AN$2:$AN$192,"="&amp;AN83),0,IF(_xlfn.MINIFS('Draft Board'!$AN$2:$AN$192,'Draft Board'!$AN$2:$AN$192,"&gt;"&amp;AN83)=0,1,IF((_xlfn.MINIFS('Draft Board'!$AN$2:$AN$192,'Draft Board'!$AN$2:$AN$192,"&gt;"&amp;AN83)-AN83)/_xlfn.MINIFS('Draft Board'!$AN$2:$AN$192,'Draft Board'!$AN$2:$AN$192,"&gt;"&amp;AN83)&gt;0.08,1,0)))</f>
        <v>0</v>
      </c>
      <c r="AQ83" s="13">
        <f>_xlfn.MINIFS('Draft Board'!$AN$2:$AN$192,'Draft Board'!$AN$2:$AN$192,"&gt;="&amp;AN83,'Draft Board'!$AP$2:$AP$192,1)</f>
        <v>0</v>
      </c>
      <c r="AR83" s="13">
        <f>IF(AO83&lt;&gt;_xlfn.MINIFS('Draft Board'!$AO$2:$AO$192,'Draft Board'!$AN$2:$AN$192,"="&amp;AN83),0,IF(OR(AP83=1,IFERROR(FLOOR((AQ83-AN83)/AQ83/0.25,1),0)&lt;&gt;IFERROR(FLOOR((AQ83-_xlfn.MINIFS('Draft Board'!$AN$2:$AN$192,'Draft Board'!$AN$2:$AN$192,"&gt;"&amp;AN83))/AQ83/0.25,1),0)),1,0))</f>
        <v>0</v>
      </c>
      <c r="AS83" s="13">
        <f>ROUND(1+AN83*'Live Calc'!$D$28,0)</f>
        <v>1</v>
      </c>
      <c r="AT83" s="13"/>
      <c r="AU83" s="13">
        <f>IF(AT83&lt;&gt;"",AT83,ROUND(AS83*INDEX('Live Calc'!$G$260:$G$450,MATCH(AM83,'Live Calc'!$A$260:$A$450,0))*'Live Calc'!$J$543,0))</f>
        <v>1</v>
      </c>
      <c r="AW83" s="14" t="s">
        <v>398</v>
      </c>
      <c r="AX83" s="14" t="s">
        <v>284</v>
      </c>
      <c r="AY83" s="14">
        <v>17.399999999999999</v>
      </c>
      <c r="AZ83" s="14">
        <v>22.9</v>
      </c>
      <c r="BA83" s="14">
        <v>28.4</v>
      </c>
      <c r="BB83" s="14">
        <f>CHOOSE(MATCH(Setup!$B$7,{"STD","Half-PPR","PPR"},0),AY83,AZ83,BA83)</f>
        <v>22.9</v>
      </c>
      <c r="BC83" s="14">
        <f>COUNTIFS('Draft Board'!$BD$2:$BD$87,"&gt;="&amp;BD83,'Draft Board'!$BH$2:$BH$87,1)</f>
        <v>18</v>
      </c>
      <c r="BD83" s="14">
        <f>MAX(0,BB83-'Live Calc'!$H$22)^'Live Calc'!$E$22</f>
        <v>0</v>
      </c>
      <c r="BE83" s="14">
        <v>83</v>
      </c>
      <c r="BF83" s="14">
        <f>IF(BE83&lt;&gt;_xlfn.MINIFS('Draft Board'!$BE$2:$BE$87,'Draft Board'!$BD$2:$BD$87,"="&amp;BD83),0,IF(_xlfn.MINIFS('Draft Board'!$BD$2:$BD$87,'Draft Board'!$BD$2:$BD$87,"&gt;"&amp;BD83)=0,1,IF((_xlfn.MINIFS('Draft Board'!$BD$2:$BD$87,'Draft Board'!$BD$2:$BD$87,"&gt;"&amp;BD83)-BD83)/_xlfn.MINIFS('Draft Board'!$BD$2:$BD$87,'Draft Board'!$BD$2:$BD$87,"&gt;"&amp;BD83)&gt;0.08,1,0)))</f>
        <v>0</v>
      </c>
      <c r="BG83" s="14">
        <f>_xlfn.MINIFS('Draft Board'!$BD$2:$BD$87,'Draft Board'!$BD$2:$BD$87,"&gt;="&amp;BD83,'Draft Board'!$BF$2:$BF$87,1)</f>
        <v>0</v>
      </c>
      <c r="BH83" s="14">
        <f>IF(BE83&lt;&gt;_xlfn.MINIFS('Draft Board'!$BE$2:$BE$87,'Draft Board'!$BD$2:$BD$87,"="&amp;BD83),0,IF(OR(BF83=1,IFERROR(FLOOR((BG83-BD83)/BG83/0.25,1),0)&lt;&gt;IFERROR(FLOOR((BG83-_xlfn.MINIFS('Draft Board'!$BD$2:$BD$87,'Draft Board'!$BD$2:$BD$87,"&gt;"&amp;BD83))/BG83/0.25,1),0)),1,0))</f>
        <v>0</v>
      </c>
      <c r="BI83" s="14">
        <f>ROUND(1+BD83*'Live Calc'!$D$29,0)</f>
        <v>1</v>
      </c>
      <c r="BJ83" s="14"/>
      <c r="BK83" s="14">
        <f>IF(BJ83&lt;&gt;"",BJ83,ROUND(BI83*INDEX('Live Calc'!$G$454:$G$539,MATCH(BC83,'Live Calc'!$A$454:$A$539,0))*'Live Calc'!$J$543,0))</f>
        <v>1</v>
      </c>
    </row>
    <row r="84" spans="17:63" x14ac:dyDescent="0.25">
      <c r="Q84" s="12" t="s">
        <v>399</v>
      </c>
      <c r="R84" s="12" t="s">
        <v>120</v>
      </c>
      <c r="S84" s="12">
        <v>30.696000000000002</v>
      </c>
      <c r="T84" s="12">
        <v>36.113999999999997</v>
      </c>
      <c r="U84" s="12">
        <v>43.152000000000001</v>
      </c>
      <c r="V84" s="12">
        <f>CHOOSE(MATCH(Setup!$B$7,{"STD","Half-PPR","PPR"},0),S84,T84,U84)</f>
        <v>36.113999999999997</v>
      </c>
      <c r="W84" s="12">
        <f>COUNTIFS('Draft Board'!$X$2:$X$162,"&gt;="&amp;X84,'Draft Board'!$AB$2:$AB$162,1)</f>
        <v>19</v>
      </c>
      <c r="X84" s="12">
        <f>MAX(0,V84-'Live Calc'!$H$20)^'Live Calc'!$E$20</f>
        <v>0</v>
      </c>
      <c r="Y84" s="12">
        <v>84</v>
      </c>
      <c r="Z84" s="12">
        <f>IF(Y84&lt;&gt;_xlfn.MINIFS('Draft Board'!$Y$2:$Y$162,'Draft Board'!$X$2:$X$162,"="&amp;X84),0,IF(_xlfn.MINIFS('Draft Board'!$X$2:$X$162,'Draft Board'!$X$2:$X$162,"&gt;"&amp;X84)=0,1,IF((_xlfn.MINIFS('Draft Board'!$X$2:$X$162,'Draft Board'!$X$2:$X$162,"&gt;"&amp;X84)-X84)/_xlfn.MINIFS('Draft Board'!$X$2:$X$162,'Draft Board'!$X$2:$X$162,"&gt;"&amp;X84)&gt;0.08,1,0)))</f>
        <v>0</v>
      </c>
      <c r="AA84" s="12">
        <f>_xlfn.MINIFS('Draft Board'!$X$2:$X$162,'Draft Board'!$X$2:$X$162,"&gt;="&amp;X84,'Draft Board'!$Z$2:$Z$162,1)</f>
        <v>0</v>
      </c>
      <c r="AB84" s="12">
        <f>IF(Y84&lt;&gt;_xlfn.MINIFS('Draft Board'!$Y$2:$Y$162,'Draft Board'!$X$2:$X$162,"="&amp;X84),0,IF(OR(Z84=1,IFERROR(FLOOR((AA84-X84)/AA84/0.25,1),0)&lt;&gt;IFERROR(FLOOR((AA84-_xlfn.MINIFS('Draft Board'!$X$2:$X$162,'Draft Board'!$X$2:$X$162,"&gt;"&amp;X84))/AA84/0.25,1),0)),1,0))</f>
        <v>0</v>
      </c>
      <c r="AC84" s="12">
        <f>ROUND(1+X84*'Live Calc'!$D$27,0)</f>
        <v>1</v>
      </c>
      <c r="AD84" s="12"/>
      <c r="AE84" s="12">
        <f>IF(AD84&lt;&gt;"",AD84,ROUND(AC84*INDEX('Live Calc'!$G$96:$G$256,MATCH(W84,'Live Calc'!$A$96:$A$256,0))*'Live Calc'!$J$543,0))</f>
        <v>1</v>
      </c>
      <c r="AG84" s="13" t="s">
        <v>400</v>
      </c>
      <c r="AH84" s="13" t="s">
        <v>190</v>
      </c>
      <c r="AI84" s="13">
        <v>61.256</v>
      </c>
      <c r="AJ84" s="13">
        <v>77.02</v>
      </c>
      <c r="AK84" s="13">
        <v>94.947999999999993</v>
      </c>
      <c r="AL84" s="13">
        <f>CHOOSE(MATCH(Setup!$B$7,{"STD","Half-PPR","PPR"},0),AI84,AJ84,AK84)</f>
        <v>77.02</v>
      </c>
      <c r="AM84" s="13">
        <f>COUNTIFS('Draft Board'!$AN$2:$AN$192,"&gt;="&amp;AN84,'Draft Board'!$AR$2:$AR$192,1)</f>
        <v>22</v>
      </c>
      <c r="AN84" s="13">
        <f>MAX(0,AL84-'Live Calc'!$H$21)^'Live Calc'!$E$21</f>
        <v>0</v>
      </c>
      <c r="AO84" s="13">
        <v>84</v>
      </c>
      <c r="AP84" s="13">
        <f>IF(AO84&lt;&gt;_xlfn.MINIFS('Draft Board'!$AO$2:$AO$192,'Draft Board'!$AN$2:$AN$192,"="&amp;AN84),0,IF(_xlfn.MINIFS('Draft Board'!$AN$2:$AN$192,'Draft Board'!$AN$2:$AN$192,"&gt;"&amp;AN84)=0,1,IF((_xlfn.MINIFS('Draft Board'!$AN$2:$AN$192,'Draft Board'!$AN$2:$AN$192,"&gt;"&amp;AN84)-AN84)/_xlfn.MINIFS('Draft Board'!$AN$2:$AN$192,'Draft Board'!$AN$2:$AN$192,"&gt;"&amp;AN84)&gt;0.08,1,0)))</f>
        <v>0</v>
      </c>
      <c r="AQ84" s="13">
        <f>_xlfn.MINIFS('Draft Board'!$AN$2:$AN$192,'Draft Board'!$AN$2:$AN$192,"&gt;="&amp;AN84,'Draft Board'!$AP$2:$AP$192,1)</f>
        <v>0</v>
      </c>
      <c r="AR84" s="13">
        <f>IF(AO84&lt;&gt;_xlfn.MINIFS('Draft Board'!$AO$2:$AO$192,'Draft Board'!$AN$2:$AN$192,"="&amp;AN84),0,IF(OR(AP84=1,IFERROR(FLOOR((AQ84-AN84)/AQ84/0.25,1),0)&lt;&gt;IFERROR(FLOOR((AQ84-_xlfn.MINIFS('Draft Board'!$AN$2:$AN$192,'Draft Board'!$AN$2:$AN$192,"&gt;"&amp;AN84))/AQ84/0.25,1),0)),1,0))</f>
        <v>0</v>
      </c>
      <c r="AS84" s="13">
        <f>ROUND(1+AN84*'Live Calc'!$D$28,0)</f>
        <v>1</v>
      </c>
      <c r="AT84" s="13"/>
      <c r="AU84" s="13">
        <f>IF(AT84&lt;&gt;"",AT84,ROUND(AS84*INDEX('Live Calc'!$G$260:$G$450,MATCH(AM84,'Live Calc'!$A$260:$A$450,0))*'Live Calc'!$J$543,0))</f>
        <v>1</v>
      </c>
      <c r="AW84" s="14" t="s">
        <v>401</v>
      </c>
      <c r="AX84" s="14" t="s">
        <v>120</v>
      </c>
      <c r="AY84" s="14">
        <v>17.399999999999999</v>
      </c>
      <c r="AZ84" s="14">
        <v>22.9</v>
      </c>
      <c r="BA84" s="14">
        <v>28.4</v>
      </c>
      <c r="BB84" s="14">
        <f>CHOOSE(MATCH(Setup!$B$7,{"STD","Half-PPR","PPR"},0),AY84,AZ84,BA84)</f>
        <v>22.9</v>
      </c>
      <c r="BC84" s="14">
        <f>COUNTIFS('Draft Board'!$BD$2:$BD$87,"&gt;="&amp;BD84,'Draft Board'!$BH$2:$BH$87,1)</f>
        <v>18</v>
      </c>
      <c r="BD84" s="14">
        <f>MAX(0,BB84-'Live Calc'!$H$22)^'Live Calc'!$E$22</f>
        <v>0</v>
      </c>
      <c r="BE84" s="14">
        <v>84</v>
      </c>
      <c r="BF84" s="14">
        <f>IF(BE84&lt;&gt;_xlfn.MINIFS('Draft Board'!$BE$2:$BE$87,'Draft Board'!$BD$2:$BD$87,"="&amp;BD84),0,IF(_xlfn.MINIFS('Draft Board'!$BD$2:$BD$87,'Draft Board'!$BD$2:$BD$87,"&gt;"&amp;BD84)=0,1,IF((_xlfn.MINIFS('Draft Board'!$BD$2:$BD$87,'Draft Board'!$BD$2:$BD$87,"&gt;"&amp;BD84)-BD84)/_xlfn.MINIFS('Draft Board'!$BD$2:$BD$87,'Draft Board'!$BD$2:$BD$87,"&gt;"&amp;BD84)&gt;0.08,1,0)))</f>
        <v>0</v>
      </c>
      <c r="BG84" s="14">
        <f>_xlfn.MINIFS('Draft Board'!$BD$2:$BD$87,'Draft Board'!$BD$2:$BD$87,"&gt;="&amp;BD84,'Draft Board'!$BF$2:$BF$87,1)</f>
        <v>0</v>
      </c>
      <c r="BH84" s="14">
        <f>IF(BE84&lt;&gt;_xlfn.MINIFS('Draft Board'!$BE$2:$BE$87,'Draft Board'!$BD$2:$BD$87,"="&amp;BD84),0,IF(OR(BF84=1,IFERROR(FLOOR((BG84-BD84)/BG84/0.25,1),0)&lt;&gt;IFERROR(FLOOR((BG84-_xlfn.MINIFS('Draft Board'!$BD$2:$BD$87,'Draft Board'!$BD$2:$BD$87,"&gt;"&amp;BD84))/BG84/0.25,1),0)),1,0))</f>
        <v>0</v>
      </c>
      <c r="BI84" s="14">
        <f>ROUND(1+BD84*'Live Calc'!$D$29,0)</f>
        <v>1</v>
      </c>
      <c r="BJ84" s="14"/>
      <c r="BK84" s="14">
        <f>IF(BJ84&lt;&gt;"",BJ84,ROUND(BI84*INDEX('Live Calc'!$G$454:$G$539,MATCH(BC84,'Live Calc'!$A$454:$A$539,0))*'Live Calc'!$J$543,0))</f>
        <v>1</v>
      </c>
    </row>
    <row r="85" spans="17:63" x14ac:dyDescent="0.25">
      <c r="Q85" s="12" t="s">
        <v>402</v>
      </c>
      <c r="R85" s="12" t="s">
        <v>120</v>
      </c>
      <c r="S85" s="12">
        <v>26.37</v>
      </c>
      <c r="T85" s="12">
        <v>34.33</v>
      </c>
      <c r="U85" s="12">
        <v>41.914000000000001</v>
      </c>
      <c r="V85" s="12">
        <f>CHOOSE(MATCH(Setup!$B$7,{"STD","Half-PPR","PPR"},0),S85,T85,U85)</f>
        <v>34.33</v>
      </c>
      <c r="W85" s="12">
        <f>COUNTIFS('Draft Board'!$X$2:$X$162,"&gt;="&amp;X85,'Draft Board'!$AB$2:$AB$162,1)</f>
        <v>19</v>
      </c>
      <c r="X85" s="12">
        <f>MAX(0,V85-'Live Calc'!$H$20)^'Live Calc'!$E$20</f>
        <v>0</v>
      </c>
      <c r="Y85" s="12">
        <v>85</v>
      </c>
      <c r="Z85" s="12">
        <f>IF(Y85&lt;&gt;_xlfn.MINIFS('Draft Board'!$Y$2:$Y$162,'Draft Board'!$X$2:$X$162,"="&amp;X85),0,IF(_xlfn.MINIFS('Draft Board'!$X$2:$X$162,'Draft Board'!$X$2:$X$162,"&gt;"&amp;X85)=0,1,IF((_xlfn.MINIFS('Draft Board'!$X$2:$X$162,'Draft Board'!$X$2:$X$162,"&gt;"&amp;X85)-X85)/_xlfn.MINIFS('Draft Board'!$X$2:$X$162,'Draft Board'!$X$2:$X$162,"&gt;"&amp;X85)&gt;0.08,1,0)))</f>
        <v>0</v>
      </c>
      <c r="AA85" s="12">
        <f>_xlfn.MINIFS('Draft Board'!$X$2:$X$162,'Draft Board'!$X$2:$X$162,"&gt;="&amp;X85,'Draft Board'!$Z$2:$Z$162,1)</f>
        <v>0</v>
      </c>
      <c r="AB85" s="12">
        <f>IF(Y85&lt;&gt;_xlfn.MINIFS('Draft Board'!$Y$2:$Y$162,'Draft Board'!$X$2:$X$162,"="&amp;X85),0,IF(OR(Z85=1,IFERROR(FLOOR((AA85-X85)/AA85/0.25,1),0)&lt;&gt;IFERROR(FLOOR((AA85-_xlfn.MINIFS('Draft Board'!$X$2:$X$162,'Draft Board'!$X$2:$X$162,"&gt;"&amp;X85))/AA85/0.25,1),0)),1,0))</f>
        <v>0</v>
      </c>
      <c r="AC85" s="12">
        <f>ROUND(1+X85*'Live Calc'!$D$27,0)</f>
        <v>1</v>
      </c>
      <c r="AD85" s="12"/>
      <c r="AE85" s="12">
        <f>IF(AD85&lt;&gt;"",AD85,ROUND(AC85*INDEX('Live Calc'!$G$96:$G$256,MATCH(W85,'Live Calc'!$A$96:$A$256,0))*'Live Calc'!$J$543,0))</f>
        <v>1</v>
      </c>
      <c r="AG85" s="13" t="s">
        <v>403</v>
      </c>
      <c r="AH85" s="13" t="s">
        <v>71</v>
      </c>
      <c r="AI85" s="13">
        <v>53.55</v>
      </c>
      <c r="AJ85" s="13">
        <v>69.831999999999994</v>
      </c>
      <c r="AK85" s="13">
        <v>84.59</v>
      </c>
      <c r="AL85" s="13">
        <f>CHOOSE(MATCH(Setup!$B$7,{"STD","Half-PPR","PPR"},0),AI85,AJ85,AK85)</f>
        <v>69.831999999999994</v>
      </c>
      <c r="AM85" s="13">
        <f>COUNTIFS('Draft Board'!$AN$2:$AN$192,"&gt;="&amp;AN85,'Draft Board'!$AR$2:$AR$192,1)</f>
        <v>22</v>
      </c>
      <c r="AN85" s="13">
        <f>MAX(0,AL85-'Live Calc'!$H$21)^'Live Calc'!$E$21</f>
        <v>0</v>
      </c>
      <c r="AO85" s="13">
        <v>85</v>
      </c>
      <c r="AP85" s="13">
        <f>IF(AO85&lt;&gt;_xlfn.MINIFS('Draft Board'!$AO$2:$AO$192,'Draft Board'!$AN$2:$AN$192,"="&amp;AN85),0,IF(_xlfn.MINIFS('Draft Board'!$AN$2:$AN$192,'Draft Board'!$AN$2:$AN$192,"&gt;"&amp;AN85)=0,1,IF((_xlfn.MINIFS('Draft Board'!$AN$2:$AN$192,'Draft Board'!$AN$2:$AN$192,"&gt;"&amp;AN85)-AN85)/_xlfn.MINIFS('Draft Board'!$AN$2:$AN$192,'Draft Board'!$AN$2:$AN$192,"&gt;"&amp;AN85)&gt;0.08,1,0)))</f>
        <v>0</v>
      </c>
      <c r="AQ85" s="13">
        <f>_xlfn.MINIFS('Draft Board'!$AN$2:$AN$192,'Draft Board'!$AN$2:$AN$192,"&gt;="&amp;AN85,'Draft Board'!$AP$2:$AP$192,1)</f>
        <v>0</v>
      </c>
      <c r="AR85" s="13">
        <f>IF(AO85&lt;&gt;_xlfn.MINIFS('Draft Board'!$AO$2:$AO$192,'Draft Board'!$AN$2:$AN$192,"="&amp;AN85),0,IF(OR(AP85=1,IFERROR(FLOOR((AQ85-AN85)/AQ85/0.25,1),0)&lt;&gt;IFERROR(FLOOR((AQ85-_xlfn.MINIFS('Draft Board'!$AN$2:$AN$192,'Draft Board'!$AN$2:$AN$192,"&gt;"&amp;AN85))/AQ85/0.25,1),0)),1,0))</f>
        <v>0</v>
      </c>
      <c r="AS85" s="13">
        <f>ROUND(1+AN85*'Live Calc'!$D$28,0)</f>
        <v>1</v>
      </c>
      <c r="AT85" s="13"/>
      <c r="AU85" s="13">
        <f>IF(AT85&lt;&gt;"",AT85,ROUND(AS85*INDEX('Live Calc'!$G$260:$G$450,MATCH(AM85,'Live Calc'!$A$260:$A$450,0))*'Live Calc'!$J$543,0))</f>
        <v>1</v>
      </c>
      <c r="AW85" s="14" t="s">
        <v>404</v>
      </c>
      <c r="AX85" s="14" t="s">
        <v>153</v>
      </c>
      <c r="AY85" s="14">
        <v>14.92</v>
      </c>
      <c r="AZ85" s="14">
        <v>21.29</v>
      </c>
      <c r="BA85" s="14">
        <v>27.67</v>
      </c>
      <c r="BB85" s="14">
        <f>CHOOSE(MATCH(Setup!$B$7,{"STD","Half-PPR","PPR"},0),AY85,AZ85,BA85)</f>
        <v>21.29</v>
      </c>
      <c r="BC85" s="14">
        <f>COUNTIFS('Draft Board'!$BD$2:$BD$87,"&gt;="&amp;BD85,'Draft Board'!$BH$2:$BH$87,1)</f>
        <v>18</v>
      </c>
      <c r="BD85" s="14">
        <f>MAX(0,BB85-'Live Calc'!$H$22)^'Live Calc'!$E$22</f>
        <v>0</v>
      </c>
      <c r="BE85" s="14">
        <v>85</v>
      </c>
      <c r="BF85" s="14">
        <f>IF(BE85&lt;&gt;_xlfn.MINIFS('Draft Board'!$BE$2:$BE$87,'Draft Board'!$BD$2:$BD$87,"="&amp;BD85),0,IF(_xlfn.MINIFS('Draft Board'!$BD$2:$BD$87,'Draft Board'!$BD$2:$BD$87,"&gt;"&amp;BD85)=0,1,IF((_xlfn.MINIFS('Draft Board'!$BD$2:$BD$87,'Draft Board'!$BD$2:$BD$87,"&gt;"&amp;BD85)-BD85)/_xlfn.MINIFS('Draft Board'!$BD$2:$BD$87,'Draft Board'!$BD$2:$BD$87,"&gt;"&amp;BD85)&gt;0.08,1,0)))</f>
        <v>0</v>
      </c>
      <c r="BG85" s="14">
        <f>_xlfn.MINIFS('Draft Board'!$BD$2:$BD$87,'Draft Board'!$BD$2:$BD$87,"&gt;="&amp;BD85,'Draft Board'!$BF$2:$BF$87,1)</f>
        <v>0</v>
      </c>
      <c r="BH85" s="14">
        <f>IF(BE85&lt;&gt;_xlfn.MINIFS('Draft Board'!$BE$2:$BE$87,'Draft Board'!$BD$2:$BD$87,"="&amp;BD85),0,IF(OR(BF85=1,IFERROR(FLOOR((BG85-BD85)/BG85/0.25,1),0)&lt;&gt;IFERROR(FLOOR((BG85-_xlfn.MINIFS('Draft Board'!$BD$2:$BD$87,'Draft Board'!$BD$2:$BD$87,"&gt;"&amp;BD85))/BG85/0.25,1),0)),1,0))</f>
        <v>0</v>
      </c>
      <c r="BI85" s="14">
        <f>ROUND(1+BD85*'Live Calc'!$D$29,0)</f>
        <v>1</v>
      </c>
      <c r="BJ85" s="14"/>
      <c r="BK85" s="14">
        <f>IF(BJ85&lt;&gt;"",BJ85,ROUND(BI85*INDEX('Live Calc'!$G$454:$G$539,MATCH(BC85,'Live Calc'!$A$454:$A$539,0))*'Live Calc'!$J$543,0))</f>
        <v>1</v>
      </c>
    </row>
    <row r="86" spans="17:63" x14ac:dyDescent="0.25">
      <c r="Q86" s="12" t="s">
        <v>405</v>
      </c>
      <c r="R86" s="12" t="s">
        <v>284</v>
      </c>
      <c r="S86" s="12">
        <v>31.06</v>
      </c>
      <c r="T86" s="12">
        <v>33.9</v>
      </c>
      <c r="U86" s="12">
        <v>36.92</v>
      </c>
      <c r="V86" s="12">
        <f>CHOOSE(MATCH(Setup!$B$7,{"STD","Half-PPR","PPR"},0),S86,T86,U86)</f>
        <v>33.9</v>
      </c>
      <c r="W86" s="12">
        <f>COUNTIFS('Draft Board'!$X$2:$X$162,"&gt;="&amp;X86,'Draft Board'!$AB$2:$AB$162,1)</f>
        <v>19</v>
      </c>
      <c r="X86" s="12">
        <f>MAX(0,V86-'Live Calc'!$H$20)^'Live Calc'!$E$20</f>
        <v>0</v>
      </c>
      <c r="Y86" s="12">
        <v>86</v>
      </c>
      <c r="Z86" s="12">
        <f>IF(Y86&lt;&gt;_xlfn.MINIFS('Draft Board'!$Y$2:$Y$162,'Draft Board'!$X$2:$X$162,"="&amp;X86),0,IF(_xlfn.MINIFS('Draft Board'!$X$2:$X$162,'Draft Board'!$X$2:$X$162,"&gt;"&amp;X86)=0,1,IF((_xlfn.MINIFS('Draft Board'!$X$2:$X$162,'Draft Board'!$X$2:$X$162,"&gt;"&amp;X86)-X86)/_xlfn.MINIFS('Draft Board'!$X$2:$X$162,'Draft Board'!$X$2:$X$162,"&gt;"&amp;X86)&gt;0.08,1,0)))</f>
        <v>0</v>
      </c>
      <c r="AA86" s="12">
        <f>_xlfn.MINIFS('Draft Board'!$X$2:$X$162,'Draft Board'!$X$2:$X$162,"&gt;="&amp;X86,'Draft Board'!$Z$2:$Z$162,1)</f>
        <v>0</v>
      </c>
      <c r="AB86" s="12">
        <f>IF(Y86&lt;&gt;_xlfn.MINIFS('Draft Board'!$Y$2:$Y$162,'Draft Board'!$X$2:$X$162,"="&amp;X86),0,IF(OR(Z86=1,IFERROR(FLOOR((AA86-X86)/AA86/0.25,1),0)&lt;&gt;IFERROR(FLOOR((AA86-_xlfn.MINIFS('Draft Board'!$X$2:$X$162,'Draft Board'!$X$2:$X$162,"&gt;"&amp;X86))/AA86/0.25,1),0)),1,0))</f>
        <v>0</v>
      </c>
      <c r="AC86" s="12">
        <f>ROUND(1+X86*'Live Calc'!$D$27,0)</f>
        <v>1</v>
      </c>
      <c r="AD86" s="12"/>
      <c r="AE86" s="12">
        <f>IF(AD86&lt;&gt;"",AD86,ROUND(AC86*INDEX('Live Calc'!$G$96:$G$256,MATCH(W86,'Live Calc'!$A$96:$A$256,0))*'Live Calc'!$J$543,0))</f>
        <v>1</v>
      </c>
      <c r="AG86" s="13" t="s">
        <v>406</v>
      </c>
      <c r="AH86" s="13" t="s">
        <v>125</v>
      </c>
      <c r="AI86" s="13">
        <v>52.567999999999998</v>
      </c>
      <c r="AJ86" s="13">
        <v>67.834000000000003</v>
      </c>
      <c r="AK86" s="13">
        <v>82.707999999999998</v>
      </c>
      <c r="AL86" s="13">
        <f>CHOOSE(MATCH(Setup!$B$7,{"STD","Half-PPR","PPR"},0),AI86,AJ86,AK86)</f>
        <v>67.834000000000003</v>
      </c>
      <c r="AM86" s="13">
        <f>COUNTIFS('Draft Board'!$AN$2:$AN$192,"&gt;="&amp;AN86,'Draft Board'!$AR$2:$AR$192,1)</f>
        <v>22</v>
      </c>
      <c r="AN86" s="13">
        <f>MAX(0,AL86-'Live Calc'!$H$21)^'Live Calc'!$E$21</f>
        <v>0</v>
      </c>
      <c r="AO86" s="13">
        <v>86</v>
      </c>
      <c r="AP86" s="13">
        <f>IF(AO86&lt;&gt;_xlfn.MINIFS('Draft Board'!$AO$2:$AO$192,'Draft Board'!$AN$2:$AN$192,"="&amp;AN86),0,IF(_xlfn.MINIFS('Draft Board'!$AN$2:$AN$192,'Draft Board'!$AN$2:$AN$192,"&gt;"&amp;AN86)=0,1,IF((_xlfn.MINIFS('Draft Board'!$AN$2:$AN$192,'Draft Board'!$AN$2:$AN$192,"&gt;"&amp;AN86)-AN86)/_xlfn.MINIFS('Draft Board'!$AN$2:$AN$192,'Draft Board'!$AN$2:$AN$192,"&gt;"&amp;AN86)&gt;0.08,1,0)))</f>
        <v>0</v>
      </c>
      <c r="AQ86" s="13">
        <f>_xlfn.MINIFS('Draft Board'!$AN$2:$AN$192,'Draft Board'!$AN$2:$AN$192,"&gt;="&amp;AN86,'Draft Board'!$AP$2:$AP$192,1)</f>
        <v>0</v>
      </c>
      <c r="AR86" s="13">
        <f>IF(AO86&lt;&gt;_xlfn.MINIFS('Draft Board'!$AO$2:$AO$192,'Draft Board'!$AN$2:$AN$192,"="&amp;AN86),0,IF(OR(AP86=1,IFERROR(FLOOR((AQ86-AN86)/AQ86/0.25,1),0)&lt;&gt;IFERROR(FLOOR((AQ86-_xlfn.MINIFS('Draft Board'!$AN$2:$AN$192,'Draft Board'!$AN$2:$AN$192,"&gt;"&amp;AN86))/AQ86/0.25,1),0)),1,0))</f>
        <v>0</v>
      </c>
      <c r="AS86" s="13">
        <f>ROUND(1+AN86*'Live Calc'!$D$28,0)</f>
        <v>1</v>
      </c>
      <c r="AT86" s="13"/>
      <c r="AU86" s="13">
        <f>IF(AT86&lt;&gt;"",AT86,ROUND(AS86*INDEX('Live Calc'!$G$260:$G$450,MATCH(AM86,'Live Calc'!$A$260:$A$450,0))*'Live Calc'!$J$543,0))</f>
        <v>1</v>
      </c>
      <c r="AW86" s="14" t="s">
        <v>407</v>
      </c>
      <c r="AX86" s="14" t="s">
        <v>111</v>
      </c>
      <c r="AY86" s="14">
        <v>16.11</v>
      </c>
      <c r="AZ86" s="14">
        <v>21.14</v>
      </c>
      <c r="BA86" s="14">
        <v>26.18</v>
      </c>
      <c r="BB86" s="14">
        <f>CHOOSE(MATCH(Setup!$B$7,{"STD","Half-PPR","PPR"},0),AY86,AZ86,BA86)</f>
        <v>21.14</v>
      </c>
      <c r="BC86" s="14">
        <f>COUNTIFS('Draft Board'!$BD$2:$BD$87,"&gt;="&amp;BD86,'Draft Board'!$BH$2:$BH$87,1)</f>
        <v>18</v>
      </c>
      <c r="BD86" s="14">
        <f>MAX(0,BB86-'Live Calc'!$H$22)^'Live Calc'!$E$22</f>
        <v>0</v>
      </c>
      <c r="BE86" s="14">
        <v>86</v>
      </c>
      <c r="BF86" s="14">
        <f>IF(BE86&lt;&gt;_xlfn.MINIFS('Draft Board'!$BE$2:$BE$87,'Draft Board'!$BD$2:$BD$87,"="&amp;BD86),0,IF(_xlfn.MINIFS('Draft Board'!$BD$2:$BD$87,'Draft Board'!$BD$2:$BD$87,"&gt;"&amp;BD86)=0,1,IF((_xlfn.MINIFS('Draft Board'!$BD$2:$BD$87,'Draft Board'!$BD$2:$BD$87,"&gt;"&amp;BD86)-BD86)/_xlfn.MINIFS('Draft Board'!$BD$2:$BD$87,'Draft Board'!$BD$2:$BD$87,"&gt;"&amp;BD86)&gt;0.08,1,0)))</f>
        <v>0</v>
      </c>
      <c r="BG86" s="14">
        <f>_xlfn.MINIFS('Draft Board'!$BD$2:$BD$87,'Draft Board'!$BD$2:$BD$87,"&gt;="&amp;BD86,'Draft Board'!$BF$2:$BF$87,1)</f>
        <v>0</v>
      </c>
      <c r="BH86" s="14">
        <f>IF(BE86&lt;&gt;_xlfn.MINIFS('Draft Board'!$BE$2:$BE$87,'Draft Board'!$BD$2:$BD$87,"="&amp;BD86),0,IF(OR(BF86=1,IFERROR(FLOOR((BG86-BD86)/BG86/0.25,1),0)&lt;&gt;IFERROR(FLOOR((BG86-_xlfn.MINIFS('Draft Board'!$BD$2:$BD$87,'Draft Board'!$BD$2:$BD$87,"&gt;"&amp;BD86))/BG86/0.25,1),0)),1,0))</f>
        <v>0</v>
      </c>
      <c r="BI86" s="14">
        <f>ROUND(1+BD86*'Live Calc'!$D$29,0)</f>
        <v>1</v>
      </c>
      <c r="BJ86" s="14"/>
      <c r="BK86" s="14">
        <f>IF(BJ86&lt;&gt;"",BJ86,ROUND(BI86*INDEX('Live Calc'!$G$454:$G$539,MATCH(BC86,'Live Calc'!$A$454:$A$539,0))*'Live Calc'!$J$543,0))</f>
        <v>1</v>
      </c>
    </row>
    <row r="87" spans="17:63" x14ac:dyDescent="0.25">
      <c r="Q87" s="12" t="s">
        <v>408</v>
      </c>
      <c r="R87" s="12" t="s">
        <v>105</v>
      </c>
      <c r="S87" s="12">
        <v>28.96</v>
      </c>
      <c r="T87" s="12">
        <v>33.764000000000003</v>
      </c>
      <c r="U87" s="12">
        <v>37.603999999999999</v>
      </c>
      <c r="V87" s="12">
        <f>CHOOSE(MATCH(Setup!$B$7,{"STD","Half-PPR","PPR"},0),S87,T87,U87)</f>
        <v>33.764000000000003</v>
      </c>
      <c r="W87" s="12">
        <f>COUNTIFS('Draft Board'!$X$2:$X$162,"&gt;="&amp;X87,'Draft Board'!$AB$2:$AB$162,1)</f>
        <v>19</v>
      </c>
      <c r="X87" s="12">
        <f>MAX(0,V87-'Live Calc'!$H$20)^'Live Calc'!$E$20</f>
        <v>0</v>
      </c>
      <c r="Y87" s="12">
        <v>87</v>
      </c>
      <c r="Z87" s="12">
        <f>IF(Y87&lt;&gt;_xlfn.MINIFS('Draft Board'!$Y$2:$Y$162,'Draft Board'!$X$2:$X$162,"="&amp;X87),0,IF(_xlfn.MINIFS('Draft Board'!$X$2:$X$162,'Draft Board'!$X$2:$X$162,"&gt;"&amp;X87)=0,1,IF((_xlfn.MINIFS('Draft Board'!$X$2:$X$162,'Draft Board'!$X$2:$X$162,"&gt;"&amp;X87)-X87)/_xlfn.MINIFS('Draft Board'!$X$2:$X$162,'Draft Board'!$X$2:$X$162,"&gt;"&amp;X87)&gt;0.08,1,0)))</f>
        <v>0</v>
      </c>
      <c r="AA87" s="12">
        <f>_xlfn.MINIFS('Draft Board'!$X$2:$X$162,'Draft Board'!$X$2:$X$162,"&gt;="&amp;X87,'Draft Board'!$Z$2:$Z$162,1)</f>
        <v>0</v>
      </c>
      <c r="AB87" s="12">
        <f>IF(Y87&lt;&gt;_xlfn.MINIFS('Draft Board'!$Y$2:$Y$162,'Draft Board'!$X$2:$X$162,"="&amp;X87),0,IF(OR(Z87=1,IFERROR(FLOOR((AA87-X87)/AA87/0.25,1),0)&lt;&gt;IFERROR(FLOOR((AA87-_xlfn.MINIFS('Draft Board'!$X$2:$X$162,'Draft Board'!$X$2:$X$162,"&gt;"&amp;X87))/AA87/0.25,1),0)),1,0))</f>
        <v>0</v>
      </c>
      <c r="AC87" s="12">
        <f>ROUND(1+X87*'Live Calc'!$D$27,0)</f>
        <v>1</v>
      </c>
      <c r="AD87" s="12"/>
      <c r="AE87" s="12">
        <f>IF(AD87&lt;&gt;"",AD87,ROUND(AC87*INDEX('Live Calc'!$G$96:$G$256,MATCH(W87,'Live Calc'!$A$96:$A$256,0))*'Live Calc'!$J$543,0))</f>
        <v>1</v>
      </c>
      <c r="AG87" s="13" t="s">
        <v>409</v>
      </c>
      <c r="AH87" s="13" t="s">
        <v>120</v>
      </c>
      <c r="AI87" s="13">
        <v>51.585999999999999</v>
      </c>
      <c r="AJ87" s="13">
        <v>66.959999999999994</v>
      </c>
      <c r="AK87" s="13">
        <v>82.646000000000001</v>
      </c>
      <c r="AL87" s="13">
        <f>CHOOSE(MATCH(Setup!$B$7,{"STD","Half-PPR","PPR"},0),AI87,AJ87,AK87)</f>
        <v>66.959999999999994</v>
      </c>
      <c r="AM87" s="13">
        <f>COUNTIFS('Draft Board'!$AN$2:$AN$192,"&gt;="&amp;AN87,'Draft Board'!$AR$2:$AR$192,1)</f>
        <v>22</v>
      </c>
      <c r="AN87" s="13">
        <f>MAX(0,AL87-'Live Calc'!$H$21)^'Live Calc'!$E$21</f>
        <v>0</v>
      </c>
      <c r="AO87" s="13">
        <v>87</v>
      </c>
      <c r="AP87" s="13">
        <f>IF(AO87&lt;&gt;_xlfn.MINIFS('Draft Board'!$AO$2:$AO$192,'Draft Board'!$AN$2:$AN$192,"="&amp;AN87),0,IF(_xlfn.MINIFS('Draft Board'!$AN$2:$AN$192,'Draft Board'!$AN$2:$AN$192,"&gt;"&amp;AN87)=0,1,IF((_xlfn.MINIFS('Draft Board'!$AN$2:$AN$192,'Draft Board'!$AN$2:$AN$192,"&gt;"&amp;AN87)-AN87)/_xlfn.MINIFS('Draft Board'!$AN$2:$AN$192,'Draft Board'!$AN$2:$AN$192,"&gt;"&amp;AN87)&gt;0.08,1,0)))</f>
        <v>0</v>
      </c>
      <c r="AQ87" s="13">
        <f>_xlfn.MINIFS('Draft Board'!$AN$2:$AN$192,'Draft Board'!$AN$2:$AN$192,"&gt;="&amp;AN87,'Draft Board'!$AP$2:$AP$192,1)</f>
        <v>0</v>
      </c>
      <c r="AR87" s="13">
        <f>IF(AO87&lt;&gt;_xlfn.MINIFS('Draft Board'!$AO$2:$AO$192,'Draft Board'!$AN$2:$AN$192,"="&amp;AN87),0,IF(OR(AP87=1,IFERROR(FLOOR((AQ87-AN87)/AQ87/0.25,1),0)&lt;&gt;IFERROR(FLOOR((AQ87-_xlfn.MINIFS('Draft Board'!$AN$2:$AN$192,'Draft Board'!$AN$2:$AN$192,"&gt;"&amp;AN87))/AQ87/0.25,1),0)),1,0))</f>
        <v>0</v>
      </c>
      <c r="AS87" s="13">
        <f>ROUND(1+AN87*'Live Calc'!$D$28,0)</f>
        <v>1</v>
      </c>
      <c r="AT87" s="13"/>
      <c r="AU87" s="13">
        <f>IF(AT87&lt;&gt;"",AT87,ROUND(AS87*INDEX('Live Calc'!$G$260:$G$450,MATCH(AM87,'Live Calc'!$A$260:$A$450,0))*'Live Calc'!$J$543,0))</f>
        <v>1</v>
      </c>
      <c r="AW87" s="14" t="s">
        <v>410</v>
      </c>
      <c r="AX87" s="14" t="s">
        <v>87</v>
      </c>
      <c r="AY87" s="14">
        <v>15.67</v>
      </c>
      <c r="AZ87" s="14">
        <v>21.08</v>
      </c>
      <c r="BA87" s="14">
        <v>26.48</v>
      </c>
      <c r="BB87" s="14">
        <f>CHOOSE(MATCH(Setup!$B$7,{"STD","Half-PPR","PPR"},0),AY87,AZ87,BA87)</f>
        <v>21.08</v>
      </c>
      <c r="BC87" s="14">
        <f>COUNTIFS('Draft Board'!$BD$2:$BD$87,"&gt;="&amp;BD87,'Draft Board'!$BH$2:$BH$87,1)</f>
        <v>18</v>
      </c>
      <c r="BD87" s="14">
        <f>MAX(0,BB87-'Live Calc'!$H$22)^'Live Calc'!$E$22</f>
        <v>0</v>
      </c>
      <c r="BE87" s="14">
        <v>87</v>
      </c>
      <c r="BF87" s="14">
        <f>IF(BE87&lt;&gt;_xlfn.MINIFS('Draft Board'!$BE$2:$BE$87,'Draft Board'!$BD$2:$BD$87,"="&amp;BD87),0,IF(_xlfn.MINIFS('Draft Board'!$BD$2:$BD$87,'Draft Board'!$BD$2:$BD$87,"&gt;"&amp;BD87)=0,1,IF((_xlfn.MINIFS('Draft Board'!$BD$2:$BD$87,'Draft Board'!$BD$2:$BD$87,"&gt;"&amp;BD87)-BD87)/_xlfn.MINIFS('Draft Board'!$BD$2:$BD$87,'Draft Board'!$BD$2:$BD$87,"&gt;"&amp;BD87)&gt;0.08,1,0)))</f>
        <v>0</v>
      </c>
      <c r="BG87" s="14">
        <f>_xlfn.MINIFS('Draft Board'!$BD$2:$BD$87,'Draft Board'!$BD$2:$BD$87,"&gt;="&amp;BD87,'Draft Board'!$BF$2:$BF$87,1)</f>
        <v>0</v>
      </c>
      <c r="BH87" s="14">
        <f>IF(BE87&lt;&gt;_xlfn.MINIFS('Draft Board'!$BE$2:$BE$87,'Draft Board'!$BD$2:$BD$87,"="&amp;BD87),0,IF(OR(BF87=1,IFERROR(FLOOR((BG87-BD87)/BG87/0.25,1),0)&lt;&gt;IFERROR(FLOOR((BG87-_xlfn.MINIFS('Draft Board'!$BD$2:$BD$87,'Draft Board'!$BD$2:$BD$87,"&gt;"&amp;BD87))/BG87/0.25,1),0)),1,0))</f>
        <v>0</v>
      </c>
      <c r="BI87" s="14">
        <f>ROUND(1+BD87*'Live Calc'!$D$29,0)</f>
        <v>1</v>
      </c>
      <c r="BJ87" s="14"/>
      <c r="BK87" s="14">
        <f>IF(BJ87&lt;&gt;"",BJ87,ROUND(BI87*INDEX('Live Calc'!$G$454:$G$539,MATCH(BC87,'Live Calc'!$A$454:$A$539,0))*'Live Calc'!$J$543,0))</f>
        <v>1</v>
      </c>
    </row>
    <row r="88" spans="17:63" x14ac:dyDescent="0.25">
      <c r="Q88" s="12" t="s">
        <v>411</v>
      </c>
      <c r="R88" s="12" t="s">
        <v>79</v>
      </c>
      <c r="S88" s="12">
        <v>24.698</v>
      </c>
      <c r="T88" s="12">
        <v>32.515999999999998</v>
      </c>
      <c r="U88" s="12">
        <v>40.915999999999997</v>
      </c>
      <c r="V88" s="12">
        <f>CHOOSE(MATCH(Setup!$B$7,{"STD","Half-PPR","PPR"},0),S88,T88,U88)</f>
        <v>32.515999999999998</v>
      </c>
      <c r="W88" s="12">
        <f>COUNTIFS('Draft Board'!$X$2:$X$162,"&gt;="&amp;X88,'Draft Board'!$AB$2:$AB$162,1)</f>
        <v>19</v>
      </c>
      <c r="X88" s="12">
        <f>MAX(0,V88-'Live Calc'!$H$20)^'Live Calc'!$E$20</f>
        <v>0</v>
      </c>
      <c r="Y88" s="12">
        <v>88</v>
      </c>
      <c r="Z88" s="12">
        <f>IF(Y88&lt;&gt;_xlfn.MINIFS('Draft Board'!$Y$2:$Y$162,'Draft Board'!$X$2:$X$162,"="&amp;X88),0,IF(_xlfn.MINIFS('Draft Board'!$X$2:$X$162,'Draft Board'!$X$2:$X$162,"&gt;"&amp;X88)=0,1,IF((_xlfn.MINIFS('Draft Board'!$X$2:$X$162,'Draft Board'!$X$2:$X$162,"&gt;"&amp;X88)-X88)/_xlfn.MINIFS('Draft Board'!$X$2:$X$162,'Draft Board'!$X$2:$X$162,"&gt;"&amp;X88)&gt;0.08,1,0)))</f>
        <v>0</v>
      </c>
      <c r="AA88" s="12">
        <f>_xlfn.MINIFS('Draft Board'!$X$2:$X$162,'Draft Board'!$X$2:$X$162,"&gt;="&amp;X88,'Draft Board'!$Z$2:$Z$162,1)</f>
        <v>0</v>
      </c>
      <c r="AB88" s="12">
        <f>IF(Y88&lt;&gt;_xlfn.MINIFS('Draft Board'!$Y$2:$Y$162,'Draft Board'!$X$2:$X$162,"="&amp;X88),0,IF(OR(Z88=1,IFERROR(FLOOR((AA88-X88)/AA88/0.25,1),0)&lt;&gt;IFERROR(FLOOR((AA88-_xlfn.MINIFS('Draft Board'!$X$2:$X$162,'Draft Board'!$X$2:$X$162,"&gt;"&amp;X88))/AA88/0.25,1),0)),1,0))</f>
        <v>0</v>
      </c>
      <c r="AC88" s="12">
        <f>ROUND(1+X88*'Live Calc'!$D$27,0)</f>
        <v>1</v>
      </c>
      <c r="AD88" s="12"/>
      <c r="AE88" s="12">
        <f>IF(AD88&lt;&gt;"",AD88,ROUND(AC88*INDEX('Live Calc'!$G$96:$G$256,MATCH(W88,'Live Calc'!$A$96:$A$256,0))*'Live Calc'!$J$543,0))</f>
        <v>1</v>
      </c>
      <c r="AG88" s="13" t="s">
        <v>412</v>
      </c>
      <c r="AH88" s="13" t="s">
        <v>120</v>
      </c>
      <c r="AI88" s="13">
        <v>54.57</v>
      </c>
      <c r="AJ88" s="13">
        <v>65.512</v>
      </c>
      <c r="AK88" s="13">
        <v>78.043999999999997</v>
      </c>
      <c r="AL88" s="13">
        <f>CHOOSE(MATCH(Setup!$B$7,{"STD","Half-PPR","PPR"},0),AI88,AJ88,AK88)</f>
        <v>65.512</v>
      </c>
      <c r="AM88" s="13">
        <f>COUNTIFS('Draft Board'!$AN$2:$AN$192,"&gt;="&amp;AN88,'Draft Board'!$AR$2:$AR$192,1)</f>
        <v>22</v>
      </c>
      <c r="AN88" s="13">
        <f>MAX(0,AL88-'Live Calc'!$H$21)^'Live Calc'!$E$21</f>
        <v>0</v>
      </c>
      <c r="AO88" s="13">
        <v>88</v>
      </c>
      <c r="AP88" s="13">
        <f>IF(AO88&lt;&gt;_xlfn.MINIFS('Draft Board'!$AO$2:$AO$192,'Draft Board'!$AN$2:$AN$192,"="&amp;AN88),0,IF(_xlfn.MINIFS('Draft Board'!$AN$2:$AN$192,'Draft Board'!$AN$2:$AN$192,"&gt;"&amp;AN88)=0,1,IF((_xlfn.MINIFS('Draft Board'!$AN$2:$AN$192,'Draft Board'!$AN$2:$AN$192,"&gt;"&amp;AN88)-AN88)/_xlfn.MINIFS('Draft Board'!$AN$2:$AN$192,'Draft Board'!$AN$2:$AN$192,"&gt;"&amp;AN88)&gt;0.08,1,0)))</f>
        <v>0</v>
      </c>
      <c r="AQ88" s="13">
        <f>_xlfn.MINIFS('Draft Board'!$AN$2:$AN$192,'Draft Board'!$AN$2:$AN$192,"&gt;="&amp;AN88,'Draft Board'!$AP$2:$AP$192,1)</f>
        <v>0</v>
      </c>
      <c r="AR88" s="13">
        <f>IF(AO88&lt;&gt;_xlfn.MINIFS('Draft Board'!$AO$2:$AO$192,'Draft Board'!$AN$2:$AN$192,"="&amp;AN88),0,IF(OR(AP88=1,IFERROR(FLOOR((AQ88-AN88)/AQ88/0.25,1),0)&lt;&gt;IFERROR(FLOOR((AQ88-_xlfn.MINIFS('Draft Board'!$AN$2:$AN$192,'Draft Board'!$AN$2:$AN$192,"&gt;"&amp;AN88))/AQ88/0.25,1),0)),1,0))</f>
        <v>0</v>
      </c>
      <c r="AS88" s="13">
        <f>ROUND(1+AN88*'Live Calc'!$D$28,0)</f>
        <v>1</v>
      </c>
      <c r="AT88" s="13"/>
      <c r="AU88" s="13">
        <f>IF(AT88&lt;&gt;"",AT88,ROUND(AS88*INDEX('Live Calc'!$G$260:$G$450,MATCH(AM88,'Live Calc'!$A$260:$A$450,0))*'Live Calc'!$J$543,0))</f>
        <v>1</v>
      </c>
    </row>
    <row r="89" spans="17:63" x14ac:dyDescent="0.25">
      <c r="Q89" s="12" t="s">
        <v>413</v>
      </c>
      <c r="R89" s="12" t="s">
        <v>94</v>
      </c>
      <c r="S89" s="12">
        <v>25.972000000000001</v>
      </c>
      <c r="T89" s="12">
        <v>29.558</v>
      </c>
      <c r="U89" s="12">
        <v>30.468</v>
      </c>
      <c r="V89" s="12">
        <f>CHOOSE(MATCH(Setup!$B$7,{"STD","Half-PPR","PPR"},0),S89,T89,U89)</f>
        <v>29.558</v>
      </c>
      <c r="W89" s="12">
        <f>COUNTIFS('Draft Board'!$X$2:$X$162,"&gt;="&amp;X89,'Draft Board'!$AB$2:$AB$162,1)</f>
        <v>19</v>
      </c>
      <c r="X89" s="12">
        <f>MAX(0,V89-'Live Calc'!$H$20)^'Live Calc'!$E$20</f>
        <v>0</v>
      </c>
      <c r="Y89" s="12">
        <v>89</v>
      </c>
      <c r="Z89" s="12">
        <f>IF(Y89&lt;&gt;_xlfn.MINIFS('Draft Board'!$Y$2:$Y$162,'Draft Board'!$X$2:$X$162,"="&amp;X89),0,IF(_xlfn.MINIFS('Draft Board'!$X$2:$X$162,'Draft Board'!$X$2:$X$162,"&gt;"&amp;X89)=0,1,IF((_xlfn.MINIFS('Draft Board'!$X$2:$X$162,'Draft Board'!$X$2:$X$162,"&gt;"&amp;X89)-X89)/_xlfn.MINIFS('Draft Board'!$X$2:$X$162,'Draft Board'!$X$2:$X$162,"&gt;"&amp;X89)&gt;0.08,1,0)))</f>
        <v>0</v>
      </c>
      <c r="AA89" s="12">
        <f>_xlfn.MINIFS('Draft Board'!$X$2:$X$162,'Draft Board'!$X$2:$X$162,"&gt;="&amp;X89,'Draft Board'!$Z$2:$Z$162,1)</f>
        <v>0</v>
      </c>
      <c r="AB89" s="12">
        <f>IF(Y89&lt;&gt;_xlfn.MINIFS('Draft Board'!$Y$2:$Y$162,'Draft Board'!$X$2:$X$162,"="&amp;X89),0,IF(OR(Z89=1,IFERROR(FLOOR((AA89-X89)/AA89/0.25,1),0)&lt;&gt;IFERROR(FLOOR((AA89-_xlfn.MINIFS('Draft Board'!$X$2:$X$162,'Draft Board'!$X$2:$X$162,"&gt;"&amp;X89))/AA89/0.25,1),0)),1,0))</f>
        <v>0</v>
      </c>
      <c r="AC89" s="12">
        <f>ROUND(1+X89*'Live Calc'!$D$27,0)</f>
        <v>1</v>
      </c>
      <c r="AD89" s="12"/>
      <c r="AE89" s="12">
        <f>IF(AD89&lt;&gt;"",AD89,ROUND(AC89*INDEX('Live Calc'!$G$96:$G$256,MATCH(W89,'Live Calc'!$A$96:$A$256,0))*'Live Calc'!$J$543,0))</f>
        <v>1</v>
      </c>
      <c r="AG89" s="13" t="s">
        <v>414</v>
      </c>
      <c r="AH89" s="13" t="s">
        <v>85</v>
      </c>
      <c r="AI89" s="13">
        <v>50.514000000000003</v>
      </c>
      <c r="AJ89" s="13">
        <v>65.331999999999994</v>
      </c>
      <c r="AK89" s="13">
        <v>80.465999999999994</v>
      </c>
      <c r="AL89" s="13">
        <f>CHOOSE(MATCH(Setup!$B$7,{"STD","Half-PPR","PPR"},0),AI89,AJ89,AK89)</f>
        <v>65.331999999999994</v>
      </c>
      <c r="AM89" s="13">
        <f>COUNTIFS('Draft Board'!$AN$2:$AN$192,"&gt;="&amp;AN89,'Draft Board'!$AR$2:$AR$192,1)</f>
        <v>22</v>
      </c>
      <c r="AN89" s="13">
        <f>MAX(0,AL89-'Live Calc'!$H$21)^'Live Calc'!$E$21</f>
        <v>0</v>
      </c>
      <c r="AO89" s="13">
        <v>89</v>
      </c>
      <c r="AP89" s="13">
        <f>IF(AO89&lt;&gt;_xlfn.MINIFS('Draft Board'!$AO$2:$AO$192,'Draft Board'!$AN$2:$AN$192,"="&amp;AN89),0,IF(_xlfn.MINIFS('Draft Board'!$AN$2:$AN$192,'Draft Board'!$AN$2:$AN$192,"&gt;"&amp;AN89)=0,1,IF((_xlfn.MINIFS('Draft Board'!$AN$2:$AN$192,'Draft Board'!$AN$2:$AN$192,"&gt;"&amp;AN89)-AN89)/_xlfn.MINIFS('Draft Board'!$AN$2:$AN$192,'Draft Board'!$AN$2:$AN$192,"&gt;"&amp;AN89)&gt;0.08,1,0)))</f>
        <v>0</v>
      </c>
      <c r="AQ89" s="13">
        <f>_xlfn.MINIFS('Draft Board'!$AN$2:$AN$192,'Draft Board'!$AN$2:$AN$192,"&gt;="&amp;AN89,'Draft Board'!$AP$2:$AP$192,1)</f>
        <v>0</v>
      </c>
      <c r="AR89" s="13">
        <f>IF(AO89&lt;&gt;_xlfn.MINIFS('Draft Board'!$AO$2:$AO$192,'Draft Board'!$AN$2:$AN$192,"="&amp;AN89),0,IF(OR(AP89=1,IFERROR(FLOOR((AQ89-AN89)/AQ89/0.25,1),0)&lt;&gt;IFERROR(FLOOR((AQ89-_xlfn.MINIFS('Draft Board'!$AN$2:$AN$192,'Draft Board'!$AN$2:$AN$192,"&gt;"&amp;AN89))/AQ89/0.25,1),0)),1,0))</f>
        <v>0</v>
      </c>
      <c r="AS89" s="13">
        <f>ROUND(1+AN89*'Live Calc'!$D$28,0)</f>
        <v>1</v>
      </c>
      <c r="AT89" s="13"/>
      <c r="AU89" s="13">
        <f>IF(AT89&lt;&gt;"",AT89,ROUND(AS89*INDEX('Live Calc'!$G$260:$G$450,MATCH(AM89,'Live Calc'!$A$260:$A$450,0))*'Live Calc'!$J$543,0))</f>
        <v>1</v>
      </c>
    </row>
    <row r="90" spans="17:63" x14ac:dyDescent="0.25">
      <c r="Q90" s="12" t="s">
        <v>415</v>
      </c>
      <c r="R90" s="12" t="s">
        <v>131</v>
      </c>
      <c r="S90" s="12">
        <v>25.632000000000001</v>
      </c>
      <c r="T90" s="12">
        <v>28.422000000000001</v>
      </c>
      <c r="U90" s="12">
        <v>28.696000000000002</v>
      </c>
      <c r="V90" s="12">
        <f>CHOOSE(MATCH(Setup!$B$7,{"STD","Half-PPR","PPR"},0),S90,T90,U90)</f>
        <v>28.422000000000001</v>
      </c>
      <c r="W90" s="12">
        <f>COUNTIFS('Draft Board'!$X$2:$X$162,"&gt;="&amp;X90,'Draft Board'!$AB$2:$AB$162,1)</f>
        <v>19</v>
      </c>
      <c r="X90" s="12">
        <f>MAX(0,V90-'Live Calc'!$H$20)^'Live Calc'!$E$20</f>
        <v>0</v>
      </c>
      <c r="Y90" s="12">
        <v>90</v>
      </c>
      <c r="Z90" s="12">
        <f>IF(Y90&lt;&gt;_xlfn.MINIFS('Draft Board'!$Y$2:$Y$162,'Draft Board'!$X$2:$X$162,"="&amp;X90),0,IF(_xlfn.MINIFS('Draft Board'!$X$2:$X$162,'Draft Board'!$X$2:$X$162,"&gt;"&amp;X90)=0,1,IF((_xlfn.MINIFS('Draft Board'!$X$2:$X$162,'Draft Board'!$X$2:$X$162,"&gt;"&amp;X90)-X90)/_xlfn.MINIFS('Draft Board'!$X$2:$X$162,'Draft Board'!$X$2:$X$162,"&gt;"&amp;X90)&gt;0.08,1,0)))</f>
        <v>0</v>
      </c>
      <c r="AA90" s="12">
        <f>_xlfn.MINIFS('Draft Board'!$X$2:$X$162,'Draft Board'!$X$2:$X$162,"&gt;="&amp;X90,'Draft Board'!$Z$2:$Z$162,1)</f>
        <v>0</v>
      </c>
      <c r="AB90" s="12">
        <f>IF(Y90&lt;&gt;_xlfn.MINIFS('Draft Board'!$Y$2:$Y$162,'Draft Board'!$X$2:$X$162,"="&amp;X90),0,IF(OR(Z90=1,IFERROR(FLOOR((AA90-X90)/AA90/0.25,1),0)&lt;&gt;IFERROR(FLOOR((AA90-_xlfn.MINIFS('Draft Board'!$X$2:$X$162,'Draft Board'!$X$2:$X$162,"&gt;"&amp;X90))/AA90/0.25,1),0)),1,0))</f>
        <v>0</v>
      </c>
      <c r="AC90" s="12">
        <f>ROUND(1+X90*'Live Calc'!$D$27,0)</f>
        <v>1</v>
      </c>
      <c r="AD90" s="12"/>
      <c r="AE90" s="12">
        <f>IF(AD90&lt;&gt;"",AD90,ROUND(AC90*INDEX('Live Calc'!$G$96:$G$256,MATCH(W90,'Live Calc'!$A$96:$A$256,0))*'Live Calc'!$J$543,0))</f>
        <v>1</v>
      </c>
      <c r="AG90" s="13" t="s">
        <v>416</v>
      </c>
      <c r="AH90" s="13" t="s">
        <v>91</v>
      </c>
      <c r="AI90" s="13">
        <v>50.89</v>
      </c>
      <c r="AJ90" s="13">
        <v>65.23</v>
      </c>
      <c r="AK90" s="13">
        <v>79.56</v>
      </c>
      <c r="AL90" s="13">
        <f>CHOOSE(MATCH(Setup!$B$7,{"STD","Half-PPR","PPR"},0),AI90,AJ90,AK90)</f>
        <v>65.23</v>
      </c>
      <c r="AM90" s="13">
        <f>COUNTIFS('Draft Board'!$AN$2:$AN$192,"&gt;="&amp;AN90,'Draft Board'!$AR$2:$AR$192,1)</f>
        <v>22</v>
      </c>
      <c r="AN90" s="13">
        <f>MAX(0,AL90-'Live Calc'!$H$21)^'Live Calc'!$E$21</f>
        <v>0</v>
      </c>
      <c r="AO90" s="13">
        <v>90</v>
      </c>
      <c r="AP90" s="13">
        <f>IF(AO90&lt;&gt;_xlfn.MINIFS('Draft Board'!$AO$2:$AO$192,'Draft Board'!$AN$2:$AN$192,"="&amp;AN90),0,IF(_xlfn.MINIFS('Draft Board'!$AN$2:$AN$192,'Draft Board'!$AN$2:$AN$192,"&gt;"&amp;AN90)=0,1,IF((_xlfn.MINIFS('Draft Board'!$AN$2:$AN$192,'Draft Board'!$AN$2:$AN$192,"&gt;"&amp;AN90)-AN90)/_xlfn.MINIFS('Draft Board'!$AN$2:$AN$192,'Draft Board'!$AN$2:$AN$192,"&gt;"&amp;AN90)&gt;0.08,1,0)))</f>
        <v>0</v>
      </c>
      <c r="AQ90" s="13">
        <f>_xlfn.MINIFS('Draft Board'!$AN$2:$AN$192,'Draft Board'!$AN$2:$AN$192,"&gt;="&amp;AN90,'Draft Board'!$AP$2:$AP$192,1)</f>
        <v>0</v>
      </c>
      <c r="AR90" s="13">
        <f>IF(AO90&lt;&gt;_xlfn.MINIFS('Draft Board'!$AO$2:$AO$192,'Draft Board'!$AN$2:$AN$192,"="&amp;AN90),0,IF(OR(AP90=1,IFERROR(FLOOR((AQ90-AN90)/AQ90/0.25,1),0)&lt;&gt;IFERROR(FLOOR((AQ90-_xlfn.MINIFS('Draft Board'!$AN$2:$AN$192,'Draft Board'!$AN$2:$AN$192,"&gt;"&amp;AN90))/AQ90/0.25,1),0)),1,0))</f>
        <v>0</v>
      </c>
      <c r="AS90" s="13">
        <f>ROUND(1+AN90*'Live Calc'!$D$28,0)</f>
        <v>1</v>
      </c>
      <c r="AT90" s="13"/>
      <c r="AU90" s="13">
        <f>IF(AT90&lt;&gt;"",AT90,ROUND(AS90*INDEX('Live Calc'!$G$260:$G$450,MATCH(AM90,'Live Calc'!$A$260:$A$450,0))*'Live Calc'!$J$543,0))</f>
        <v>1</v>
      </c>
    </row>
    <row r="91" spans="17:63" x14ac:dyDescent="0.25">
      <c r="Q91" s="12" t="s">
        <v>417</v>
      </c>
      <c r="R91" s="12" t="s">
        <v>134</v>
      </c>
      <c r="S91" s="12">
        <v>25.152000000000001</v>
      </c>
      <c r="T91" s="12">
        <v>28.42</v>
      </c>
      <c r="U91" s="12">
        <v>31.582000000000001</v>
      </c>
      <c r="V91" s="12">
        <f>CHOOSE(MATCH(Setup!$B$7,{"STD","Half-PPR","PPR"},0),S91,T91,U91)</f>
        <v>28.42</v>
      </c>
      <c r="W91" s="12">
        <f>COUNTIFS('Draft Board'!$X$2:$X$162,"&gt;="&amp;X91,'Draft Board'!$AB$2:$AB$162,1)</f>
        <v>19</v>
      </c>
      <c r="X91" s="12">
        <f>MAX(0,V91-'Live Calc'!$H$20)^'Live Calc'!$E$20</f>
        <v>0</v>
      </c>
      <c r="Y91" s="12">
        <v>91</v>
      </c>
      <c r="Z91" s="12">
        <f>IF(Y91&lt;&gt;_xlfn.MINIFS('Draft Board'!$Y$2:$Y$162,'Draft Board'!$X$2:$X$162,"="&amp;X91),0,IF(_xlfn.MINIFS('Draft Board'!$X$2:$X$162,'Draft Board'!$X$2:$X$162,"&gt;"&amp;X91)=0,1,IF((_xlfn.MINIFS('Draft Board'!$X$2:$X$162,'Draft Board'!$X$2:$X$162,"&gt;"&amp;X91)-X91)/_xlfn.MINIFS('Draft Board'!$X$2:$X$162,'Draft Board'!$X$2:$X$162,"&gt;"&amp;X91)&gt;0.08,1,0)))</f>
        <v>0</v>
      </c>
      <c r="AA91" s="12">
        <f>_xlfn.MINIFS('Draft Board'!$X$2:$X$162,'Draft Board'!$X$2:$X$162,"&gt;="&amp;X91,'Draft Board'!$Z$2:$Z$162,1)</f>
        <v>0</v>
      </c>
      <c r="AB91" s="12">
        <f>IF(Y91&lt;&gt;_xlfn.MINIFS('Draft Board'!$Y$2:$Y$162,'Draft Board'!$X$2:$X$162,"="&amp;X91),0,IF(OR(Z91=1,IFERROR(FLOOR((AA91-X91)/AA91/0.25,1),0)&lt;&gt;IFERROR(FLOOR((AA91-_xlfn.MINIFS('Draft Board'!$X$2:$X$162,'Draft Board'!$X$2:$X$162,"&gt;"&amp;X91))/AA91/0.25,1),0)),1,0))</f>
        <v>0</v>
      </c>
      <c r="AC91" s="12">
        <f>ROUND(1+X91*'Live Calc'!$D$27,0)</f>
        <v>1</v>
      </c>
      <c r="AD91" s="12"/>
      <c r="AE91" s="12">
        <f>IF(AD91&lt;&gt;"",AD91,ROUND(AC91*INDEX('Live Calc'!$G$96:$G$256,MATCH(W91,'Live Calc'!$A$96:$A$256,0))*'Live Calc'!$J$543,0))</f>
        <v>1</v>
      </c>
      <c r="AG91" s="13" t="s">
        <v>418</v>
      </c>
      <c r="AH91" s="13" t="s">
        <v>164</v>
      </c>
      <c r="AI91" s="13">
        <v>49.292000000000002</v>
      </c>
      <c r="AJ91" s="13">
        <v>65.08</v>
      </c>
      <c r="AK91" s="13">
        <v>80.575999999999993</v>
      </c>
      <c r="AL91" s="13">
        <f>CHOOSE(MATCH(Setup!$B$7,{"STD","Half-PPR","PPR"},0),AI91,AJ91,AK91)</f>
        <v>65.08</v>
      </c>
      <c r="AM91" s="13">
        <f>COUNTIFS('Draft Board'!$AN$2:$AN$192,"&gt;="&amp;AN91,'Draft Board'!$AR$2:$AR$192,1)</f>
        <v>22</v>
      </c>
      <c r="AN91" s="13">
        <f>MAX(0,AL91-'Live Calc'!$H$21)^'Live Calc'!$E$21</f>
        <v>0</v>
      </c>
      <c r="AO91" s="13">
        <v>91</v>
      </c>
      <c r="AP91" s="13">
        <f>IF(AO91&lt;&gt;_xlfn.MINIFS('Draft Board'!$AO$2:$AO$192,'Draft Board'!$AN$2:$AN$192,"="&amp;AN91),0,IF(_xlfn.MINIFS('Draft Board'!$AN$2:$AN$192,'Draft Board'!$AN$2:$AN$192,"&gt;"&amp;AN91)=0,1,IF((_xlfn.MINIFS('Draft Board'!$AN$2:$AN$192,'Draft Board'!$AN$2:$AN$192,"&gt;"&amp;AN91)-AN91)/_xlfn.MINIFS('Draft Board'!$AN$2:$AN$192,'Draft Board'!$AN$2:$AN$192,"&gt;"&amp;AN91)&gt;0.08,1,0)))</f>
        <v>0</v>
      </c>
      <c r="AQ91" s="13">
        <f>_xlfn.MINIFS('Draft Board'!$AN$2:$AN$192,'Draft Board'!$AN$2:$AN$192,"&gt;="&amp;AN91,'Draft Board'!$AP$2:$AP$192,1)</f>
        <v>0</v>
      </c>
      <c r="AR91" s="13">
        <f>IF(AO91&lt;&gt;_xlfn.MINIFS('Draft Board'!$AO$2:$AO$192,'Draft Board'!$AN$2:$AN$192,"="&amp;AN91),0,IF(OR(AP91=1,IFERROR(FLOOR((AQ91-AN91)/AQ91/0.25,1),0)&lt;&gt;IFERROR(FLOOR((AQ91-_xlfn.MINIFS('Draft Board'!$AN$2:$AN$192,'Draft Board'!$AN$2:$AN$192,"&gt;"&amp;AN91))/AQ91/0.25,1),0)),1,0))</f>
        <v>0</v>
      </c>
      <c r="AS91" s="13">
        <f>ROUND(1+AN91*'Live Calc'!$D$28,0)</f>
        <v>1</v>
      </c>
      <c r="AT91" s="13"/>
      <c r="AU91" s="13">
        <f>IF(AT91&lt;&gt;"",AT91,ROUND(AS91*INDEX('Live Calc'!$G$260:$G$450,MATCH(AM91,'Live Calc'!$A$260:$A$450,0))*'Live Calc'!$J$543,0))</f>
        <v>1</v>
      </c>
    </row>
    <row r="92" spans="17:63" x14ac:dyDescent="0.25">
      <c r="Q92" s="12" t="s">
        <v>419</v>
      </c>
      <c r="R92" s="12" t="s">
        <v>85</v>
      </c>
      <c r="S92" s="12">
        <v>24.391999999999999</v>
      </c>
      <c r="T92" s="12">
        <v>27.948</v>
      </c>
      <c r="U92" s="12">
        <v>32.369999999999997</v>
      </c>
      <c r="V92" s="12">
        <f>CHOOSE(MATCH(Setup!$B$7,{"STD","Half-PPR","PPR"},0),S92,T92,U92)</f>
        <v>27.948</v>
      </c>
      <c r="W92" s="12">
        <f>COUNTIFS('Draft Board'!$X$2:$X$162,"&gt;="&amp;X92,'Draft Board'!$AB$2:$AB$162,1)</f>
        <v>19</v>
      </c>
      <c r="X92" s="12">
        <f>MAX(0,V92-'Live Calc'!$H$20)^'Live Calc'!$E$20</f>
        <v>0</v>
      </c>
      <c r="Y92" s="12">
        <v>92</v>
      </c>
      <c r="Z92" s="12">
        <f>IF(Y92&lt;&gt;_xlfn.MINIFS('Draft Board'!$Y$2:$Y$162,'Draft Board'!$X$2:$X$162,"="&amp;X92),0,IF(_xlfn.MINIFS('Draft Board'!$X$2:$X$162,'Draft Board'!$X$2:$X$162,"&gt;"&amp;X92)=0,1,IF((_xlfn.MINIFS('Draft Board'!$X$2:$X$162,'Draft Board'!$X$2:$X$162,"&gt;"&amp;X92)-X92)/_xlfn.MINIFS('Draft Board'!$X$2:$X$162,'Draft Board'!$X$2:$X$162,"&gt;"&amp;X92)&gt;0.08,1,0)))</f>
        <v>0</v>
      </c>
      <c r="AA92" s="12">
        <f>_xlfn.MINIFS('Draft Board'!$X$2:$X$162,'Draft Board'!$X$2:$X$162,"&gt;="&amp;X92,'Draft Board'!$Z$2:$Z$162,1)</f>
        <v>0</v>
      </c>
      <c r="AB92" s="12">
        <f>IF(Y92&lt;&gt;_xlfn.MINIFS('Draft Board'!$Y$2:$Y$162,'Draft Board'!$X$2:$X$162,"="&amp;X92),0,IF(OR(Z92=1,IFERROR(FLOOR((AA92-X92)/AA92/0.25,1),0)&lt;&gt;IFERROR(FLOOR((AA92-_xlfn.MINIFS('Draft Board'!$X$2:$X$162,'Draft Board'!$X$2:$X$162,"&gt;"&amp;X92))/AA92/0.25,1),0)),1,0))</f>
        <v>0</v>
      </c>
      <c r="AC92" s="12">
        <f>ROUND(1+X92*'Live Calc'!$D$27,0)</f>
        <v>1</v>
      </c>
      <c r="AD92" s="12"/>
      <c r="AE92" s="12">
        <f>IF(AD92&lt;&gt;"",AD92,ROUND(AC92*INDEX('Live Calc'!$G$96:$G$256,MATCH(W92,'Live Calc'!$A$96:$A$256,0))*'Live Calc'!$J$543,0))</f>
        <v>1</v>
      </c>
      <c r="AG92" s="13" t="s">
        <v>420</v>
      </c>
      <c r="AH92" s="13" t="s">
        <v>73</v>
      </c>
      <c r="AI92" s="13">
        <v>50.17</v>
      </c>
      <c r="AJ92" s="13">
        <v>64.209999999999994</v>
      </c>
      <c r="AK92" s="13">
        <v>77.677999999999997</v>
      </c>
      <c r="AL92" s="13">
        <f>CHOOSE(MATCH(Setup!$B$7,{"STD","Half-PPR","PPR"},0),AI92,AJ92,AK92)</f>
        <v>64.209999999999994</v>
      </c>
      <c r="AM92" s="13">
        <f>COUNTIFS('Draft Board'!$AN$2:$AN$192,"&gt;="&amp;AN92,'Draft Board'!$AR$2:$AR$192,1)</f>
        <v>22</v>
      </c>
      <c r="AN92" s="13">
        <f>MAX(0,AL92-'Live Calc'!$H$21)^'Live Calc'!$E$21</f>
        <v>0</v>
      </c>
      <c r="AO92" s="13">
        <v>92</v>
      </c>
      <c r="AP92" s="13">
        <f>IF(AO92&lt;&gt;_xlfn.MINIFS('Draft Board'!$AO$2:$AO$192,'Draft Board'!$AN$2:$AN$192,"="&amp;AN92),0,IF(_xlfn.MINIFS('Draft Board'!$AN$2:$AN$192,'Draft Board'!$AN$2:$AN$192,"&gt;"&amp;AN92)=0,1,IF((_xlfn.MINIFS('Draft Board'!$AN$2:$AN$192,'Draft Board'!$AN$2:$AN$192,"&gt;"&amp;AN92)-AN92)/_xlfn.MINIFS('Draft Board'!$AN$2:$AN$192,'Draft Board'!$AN$2:$AN$192,"&gt;"&amp;AN92)&gt;0.08,1,0)))</f>
        <v>0</v>
      </c>
      <c r="AQ92" s="13">
        <f>_xlfn.MINIFS('Draft Board'!$AN$2:$AN$192,'Draft Board'!$AN$2:$AN$192,"&gt;="&amp;AN92,'Draft Board'!$AP$2:$AP$192,1)</f>
        <v>0</v>
      </c>
      <c r="AR92" s="13">
        <f>IF(AO92&lt;&gt;_xlfn.MINIFS('Draft Board'!$AO$2:$AO$192,'Draft Board'!$AN$2:$AN$192,"="&amp;AN92),0,IF(OR(AP92=1,IFERROR(FLOOR((AQ92-AN92)/AQ92/0.25,1),0)&lt;&gt;IFERROR(FLOOR((AQ92-_xlfn.MINIFS('Draft Board'!$AN$2:$AN$192,'Draft Board'!$AN$2:$AN$192,"&gt;"&amp;AN92))/AQ92/0.25,1),0)),1,0))</f>
        <v>0</v>
      </c>
      <c r="AS92" s="13">
        <f>ROUND(1+AN92*'Live Calc'!$D$28,0)</f>
        <v>1</v>
      </c>
      <c r="AT92" s="13"/>
      <c r="AU92" s="13">
        <f>IF(AT92&lt;&gt;"",AT92,ROUND(AS92*INDEX('Live Calc'!$G$260:$G$450,MATCH(AM92,'Live Calc'!$A$260:$A$450,0))*'Live Calc'!$J$543,0))</f>
        <v>1</v>
      </c>
    </row>
    <row r="93" spans="17:63" x14ac:dyDescent="0.25">
      <c r="Q93" s="12" t="s">
        <v>421</v>
      </c>
      <c r="R93" s="12" t="s">
        <v>87</v>
      </c>
      <c r="S93" s="12">
        <v>23.103999999999999</v>
      </c>
      <c r="T93" s="12">
        <v>26.344000000000001</v>
      </c>
      <c r="U93" s="12">
        <v>29.97</v>
      </c>
      <c r="V93" s="12">
        <f>CHOOSE(MATCH(Setup!$B$7,{"STD","Half-PPR","PPR"},0),S93,T93,U93)</f>
        <v>26.344000000000001</v>
      </c>
      <c r="W93" s="12">
        <f>COUNTIFS('Draft Board'!$X$2:$X$162,"&gt;="&amp;X93,'Draft Board'!$AB$2:$AB$162,1)</f>
        <v>19</v>
      </c>
      <c r="X93" s="12">
        <f>MAX(0,V93-'Live Calc'!$H$20)^'Live Calc'!$E$20</f>
        <v>0</v>
      </c>
      <c r="Y93" s="12">
        <v>93</v>
      </c>
      <c r="Z93" s="12">
        <f>IF(Y93&lt;&gt;_xlfn.MINIFS('Draft Board'!$Y$2:$Y$162,'Draft Board'!$X$2:$X$162,"="&amp;X93),0,IF(_xlfn.MINIFS('Draft Board'!$X$2:$X$162,'Draft Board'!$X$2:$X$162,"&gt;"&amp;X93)=0,1,IF((_xlfn.MINIFS('Draft Board'!$X$2:$X$162,'Draft Board'!$X$2:$X$162,"&gt;"&amp;X93)-X93)/_xlfn.MINIFS('Draft Board'!$X$2:$X$162,'Draft Board'!$X$2:$X$162,"&gt;"&amp;X93)&gt;0.08,1,0)))</f>
        <v>0</v>
      </c>
      <c r="AA93" s="12">
        <f>_xlfn.MINIFS('Draft Board'!$X$2:$X$162,'Draft Board'!$X$2:$X$162,"&gt;="&amp;X93,'Draft Board'!$Z$2:$Z$162,1)</f>
        <v>0</v>
      </c>
      <c r="AB93" s="12">
        <f>IF(Y93&lt;&gt;_xlfn.MINIFS('Draft Board'!$Y$2:$Y$162,'Draft Board'!$X$2:$X$162,"="&amp;X93),0,IF(OR(Z93=1,IFERROR(FLOOR((AA93-X93)/AA93/0.25,1),0)&lt;&gt;IFERROR(FLOOR((AA93-_xlfn.MINIFS('Draft Board'!$X$2:$X$162,'Draft Board'!$X$2:$X$162,"&gt;"&amp;X93))/AA93/0.25,1),0)),1,0))</f>
        <v>0</v>
      </c>
      <c r="AC93" s="12">
        <f>ROUND(1+X93*'Live Calc'!$D$27,0)</f>
        <v>1</v>
      </c>
      <c r="AD93" s="12"/>
      <c r="AE93" s="12">
        <f>IF(AD93&lt;&gt;"",AD93,ROUND(AC93*INDEX('Live Calc'!$G$96:$G$256,MATCH(W93,'Live Calc'!$A$96:$A$256,0))*'Live Calc'!$J$543,0))</f>
        <v>1</v>
      </c>
      <c r="AG93" s="13" t="s">
        <v>422</v>
      </c>
      <c r="AH93" s="13" t="s">
        <v>75</v>
      </c>
      <c r="AI93" s="13">
        <v>48.338000000000001</v>
      </c>
      <c r="AJ93" s="13">
        <v>64.096000000000004</v>
      </c>
      <c r="AK93" s="13">
        <v>79.671999999999997</v>
      </c>
      <c r="AL93" s="13">
        <f>CHOOSE(MATCH(Setup!$B$7,{"STD","Half-PPR","PPR"},0),AI93,AJ93,AK93)</f>
        <v>64.096000000000004</v>
      </c>
      <c r="AM93" s="13">
        <f>COUNTIFS('Draft Board'!$AN$2:$AN$192,"&gt;="&amp;AN93,'Draft Board'!$AR$2:$AR$192,1)</f>
        <v>22</v>
      </c>
      <c r="AN93" s="13">
        <f>MAX(0,AL93-'Live Calc'!$H$21)^'Live Calc'!$E$21</f>
        <v>0</v>
      </c>
      <c r="AO93" s="13">
        <v>93</v>
      </c>
      <c r="AP93" s="13">
        <f>IF(AO93&lt;&gt;_xlfn.MINIFS('Draft Board'!$AO$2:$AO$192,'Draft Board'!$AN$2:$AN$192,"="&amp;AN93),0,IF(_xlfn.MINIFS('Draft Board'!$AN$2:$AN$192,'Draft Board'!$AN$2:$AN$192,"&gt;"&amp;AN93)=0,1,IF((_xlfn.MINIFS('Draft Board'!$AN$2:$AN$192,'Draft Board'!$AN$2:$AN$192,"&gt;"&amp;AN93)-AN93)/_xlfn.MINIFS('Draft Board'!$AN$2:$AN$192,'Draft Board'!$AN$2:$AN$192,"&gt;"&amp;AN93)&gt;0.08,1,0)))</f>
        <v>0</v>
      </c>
      <c r="AQ93" s="13">
        <f>_xlfn.MINIFS('Draft Board'!$AN$2:$AN$192,'Draft Board'!$AN$2:$AN$192,"&gt;="&amp;AN93,'Draft Board'!$AP$2:$AP$192,1)</f>
        <v>0</v>
      </c>
      <c r="AR93" s="13">
        <f>IF(AO93&lt;&gt;_xlfn.MINIFS('Draft Board'!$AO$2:$AO$192,'Draft Board'!$AN$2:$AN$192,"="&amp;AN93),0,IF(OR(AP93=1,IFERROR(FLOOR((AQ93-AN93)/AQ93/0.25,1),0)&lt;&gt;IFERROR(FLOOR((AQ93-_xlfn.MINIFS('Draft Board'!$AN$2:$AN$192,'Draft Board'!$AN$2:$AN$192,"&gt;"&amp;AN93))/AQ93/0.25,1),0)),1,0))</f>
        <v>0</v>
      </c>
      <c r="AS93" s="13">
        <f>ROUND(1+AN93*'Live Calc'!$D$28,0)</f>
        <v>1</v>
      </c>
      <c r="AT93" s="13"/>
      <c r="AU93" s="13">
        <f>IF(AT93&lt;&gt;"",AT93,ROUND(AS93*INDEX('Live Calc'!$G$260:$G$450,MATCH(AM93,'Live Calc'!$A$260:$A$450,0))*'Live Calc'!$J$543,0))</f>
        <v>1</v>
      </c>
    </row>
    <row r="94" spans="17:63" x14ac:dyDescent="0.25">
      <c r="Q94" s="12" t="s">
        <v>423</v>
      </c>
      <c r="R94" s="12" t="s">
        <v>67</v>
      </c>
      <c r="S94" s="12">
        <v>22.616</v>
      </c>
      <c r="T94" s="12">
        <v>26.15</v>
      </c>
      <c r="U94" s="12">
        <v>29.294</v>
      </c>
      <c r="V94" s="12">
        <f>CHOOSE(MATCH(Setup!$B$7,{"STD","Half-PPR","PPR"},0),S94,T94,U94)</f>
        <v>26.15</v>
      </c>
      <c r="W94" s="12">
        <f>COUNTIFS('Draft Board'!$X$2:$X$162,"&gt;="&amp;X94,'Draft Board'!$AB$2:$AB$162,1)</f>
        <v>19</v>
      </c>
      <c r="X94" s="12">
        <f>MAX(0,V94-'Live Calc'!$H$20)^'Live Calc'!$E$20</f>
        <v>0</v>
      </c>
      <c r="Y94" s="12">
        <v>94</v>
      </c>
      <c r="Z94" s="12">
        <f>IF(Y94&lt;&gt;_xlfn.MINIFS('Draft Board'!$Y$2:$Y$162,'Draft Board'!$X$2:$X$162,"="&amp;X94),0,IF(_xlfn.MINIFS('Draft Board'!$X$2:$X$162,'Draft Board'!$X$2:$X$162,"&gt;"&amp;X94)=0,1,IF((_xlfn.MINIFS('Draft Board'!$X$2:$X$162,'Draft Board'!$X$2:$X$162,"&gt;"&amp;X94)-X94)/_xlfn.MINIFS('Draft Board'!$X$2:$X$162,'Draft Board'!$X$2:$X$162,"&gt;"&amp;X94)&gt;0.08,1,0)))</f>
        <v>0</v>
      </c>
      <c r="AA94" s="12">
        <f>_xlfn.MINIFS('Draft Board'!$X$2:$X$162,'Draft Board'!$X$2:$X$162,"&gt;="&amp;X94,'Draft Board'!$Z$2:$Z$162,1)</f>
        <v>0</v>
      </c>
      <c r="AB94" s="12">
        <f>IF(Y94&lt;&gt;_xlfn.MINIFS('Draft Board'!$Y$2:$Y$162,'Draft Board'!$X$2:$X$162,"="&amp;X94),0,IF(OR(Z94=1,IFERROR(FLOOR((AA94-X94)/AA94/0.25,1),0)&lt;&gt;IFERROR(FLOOR((AA94-_xlfn.MINIFS('Draft Board'!$X$2:$X$162,'Draft Board'!$X$2:$X$162,"&gt;"&amp;X94))/AA94/0.25,1),0)),1,0))</f>
        <v>0</v>
      </c>
      <c r="AC94" s="12">
        <f>ROUND(1+X94*'Live Calc'!$D$27,0)</f>
        <v>1</v>
      </c>
      <c r="AD94" s="12"/>
      <c r="AE94" s="12">
        <f>IF(AD94&lt;&gt;"",AD94,ROUND(AC94*INDEX('Live Calc'!$G$96:$G$256,MATCH(W94,'Live Calc'!$A$96:$A$256,0))*'Live Calc'!$J$543,0))</f>
        <v>1</v>
      </c>
      <c r="AG94" s="13" t="s">
        <v>424</v>
      </c>
      <c r="AH94" s="13" t="s">
        <v>134</v>
      </c>
      <c r="AI94" s="13">
        <v>49.311999999999998</v>
      </c>
      <c r="AJ94" s="13">
        <v>63.146000000000001</v>
      </c>
      <c r="AK94" s="13">
        <v>75.914000000000001</v>
      </c>
      <c r="AL94" s="13">
        <f>CHOOSE(MATCH(Setup!$B$7,{"STD","Half-PPR","PPR"},0),AI94,AJ94,AK94)</f>
        <v>63.146000000000001</v>
      </c>
      <c r="AM94" s="13">
        <f>COUNTIFS('Draft Board'!$AN$2:$AN$192,"&gt;="&amp;AN94,'Draft Board'!$AR$2:$AR$192,1)</f>
        <v>22</v>
      </c>
      <c r="AN94" s="13">
        <f>MAX(0,AL94-'Live Calc'!$H$21)^'Live Calc'!$E$21</f>
        <v>0</v>
      </c>
      <c r="AO94" s="13">
        <v>94</v>
      </c>
      <c r="AP94" s="13">
        <f>IF(AO94&lt;&gt;_xlfn.MINIFS('Draft Board'!$AO$2:$AO$192,'Draft Board'!$AN$2:$AN$192,"="&amp;AN94),0,IF(_xlfn.MINIFS('Draft Board'!$AN$2:$AN$192,'Draft Board'!$AN$2:$AN$192,"&gt;"&amp;AN94)=0,1,IF((_xlfn.MINIFS('Draft Board'!$AN$2:$AN$192,'Draft Board'!$AN$2:$AN$192,"&gt;"&amp;AN94)-AN94)/_xlfn.MINIFS('Draft Board'!$AN$2:$AN$192,'Draft Board'!$AN$2:$AN$192,"&gt;"&amp;AN94)&gt;0.08,1,0)))</f>
        <v>0</v>
      </c>
      <c r="AQ94" s="13">
        <f>_xlfn.MINIFS('Draft Board'!$AN$2:$AN$192,'Draft Board'!$AN$2:$AN$192,"&gt;="&amp;AN94,'Draft Board'!$AP$2:$AP$192,1)</f>
        <v>0</v>
      </c>
      <c r="AR94" s="13">
        <f>IF(AO94&lt;&gt;_xlfn.MINIFS('Draft Board'!$AO$2:$AO$192,'Draft Board'!$AN$2:$AN$192,"="&amp;AN94),0,IF(OR(AP94=1,IFERROR(FLOOR((AQ94-AN94)/AQ94/0.25,1),0)&lt;&gt;IFERROR(FLOOR((AQ94-_xlfn.MINIFS('Draft Board'!$AN$2:$AN$192,'Draft Board'!$AN$2:$AN$192,"&gt;"&amp;AN94))/AQ94/0.25,1),0)),1,0))</f>
        <v>0</v>
      </c>
      <c r="AS94" s="13">
        <f>ROUND(1+AN94*'Live Calc'!$D$28,0)</f>
        <v>1</v>
      </c>
      <c r="AT94" s="13"/>
      <c r="AU94" s="13">
        <f>IF(AT94&lt;&gt;"",AT94,ROUND(AS94*INDEX('Live Calc'!$G$260:$G$450,MATCH(AM94,'Live Calc'!$A$260:$A$450,0))*'Live Calc'!$J$543,0))</f>
        <v>1</v>
      </c>
    </row>
    <row r="95" spans="17:63" x14ac:dyDescent="0.25">
      <c r="Q95" s="12" t="s">
        <v>425</v>
      </c>
      <c r="R95" s="12" t="s">
        <v>284</v>
      </c>
      <c r="S95" s="12">
        <v>22.428000000000001</v>
      </c>
      <c r="T95" s="12">
        <v>25.62</v>
      </c>
      <c r="U95" s="12">
        <v>29.495999999999999</v>
      </c>
      <c r="V95" s="12">
        <f>CHOOSE(MATCH(Setup!$B$7,{"STD","Half-PPR","PPR"},0),S95,T95,U95)</f>
        <v>25.62</v>
      </c>
      <c r="W95" s="12">
        <f>COUNTIFS('Draft Board'!$X$2:$X$162,"&gt;="&amp;X95,'Draft Board'!$AB$2:$AB$162,1)</f>
        <v>19</v>
      </c>
      <c r="X95" s="12">
        <f>MAX(0,V95-'Live Calc'!$H$20)^'Live Calc'!$E$20</f>
        <v>0</v>
      </c>
      <c r="Y95" s="12">
        <v>95</v>
      </c>
      <c r="Z95" s="12">
        <f>IF(Y95&lt;&gt;_xlfn.MINIFS('Draft Board'!$Y$2:$Y$162,'Draft Board'!$X$2:$X$162,"="&amp;X95),0,IF(_xlfn.MINIFS('Draft Board'!$X$2:$X$162,'Draft Board'!$X$2:$X$162,"&gt;"&amp;X95)=0,1,IF((_xlfn.MINIFS('Draft Board'!$X$2:$X$162,'Draft Board'!$X$2:$X$162,"&gt;"&amp;X95)-X95)/_xlfn.MINIFS('Draft Board'!$X$2:$X$162,'Draft Board'!$X$2:$X$162,"&gt;"&amp;X95)&gt;0.08,1,0)))</f>
        <v>0</v>
      </c>
      <c r="AA95" s="12">
        <f>_xlfn.MINIFS('Draft Board'!$X$2:$X$162,'Draft Board'!$X$2:$X$162,"&gt;="&amp;X95,'Draft Board'!$Z$2:$Z$162,1)</f>
        <v>0</v>
      </c>
      <c r="AB95" s="12">
        <f>IF(Y95&lt;&gt;_xlfn.MINIFS('Draft Board'!$Y$2:$Y$162,'Draft Board'!$X$2:$X$162,"="&amp;X95),0,IF(OR(Z95=1,IFERROR(FLOOR((AA95-X95)/AA95/0.25,1),0)&lt;&gt;IFERROR(FLOOR((AA95-_xlfn.MINIFS('Draft Board'!$X$2:$X$162,'Draft Board'!$X$2:$X$162,"&gt;"&amp;X95))/AA95/0.25,1),0)),1,0))</f>
        <v>0</v>
      </c>
      <c r="AC95" s="12">
        <f>ROUND(1+X95*'Live Calc'!$D$27,0)</f>
        <v>1</v>
      </c>
      <c r="AD95" s="12"/>
      <c r="AE95" s="12">
        <f>IF(AD95&lt;&gt;"",AD95,ROUND(AC95*INDEX('Live Calc'!$G$96:$G$256,MATCH(W95,'Live Calc'!$A$96:$A$256,0))*'Live Calc'!$J$543,0))</f>
        <v>1</v>
      </c>
      <c r="AG95" s="13" t="s">
        <v>426</v>
      </c>
      <c r="AH95" s="13" t="s">
        <v>139</v>
      </c>
      <c r="AI95" s="13">
        <v>47.853999999999999</v>
      </c>
      <c r="AJ95" s="13">
        <v>62.433999999999997</v>
      </c>
      <c r="AK95" s="13">
        <v>76.823999999999998</v>
      </c>
      <c r="AL95" s="13">
        <f>CHOOSE(MATCH(Setup!$B$7,{"STD","Half-PPR","PPR"},0),AI95,AJ95,AK95)</f>
        <v>62.433999999999997</v>
      </c>
      <c r="AM95" s="13">
        <f>COUNTIFS('Draft Board'!$AN$2:$AN$192,"&gt;="&amp;AN95,'Draft Board'!$AR$2:$AR$192,1)</f>
        <v>22</v>
      </c>
      <c r="AN95" s="13">
        <f>MAX(0,AL95-'Live Calc'!$H$21)^'Live Calc'!$E$21</f>
        <v>0</v>
      </c>
      <c r="AO95" s="13">
        <v>95</v>
      </c>
      <c r="AP95" s="13">
        <f>IF(AO95&lt;&gt;_xlfn.MINIFS('Draft Board'!$AO$2:$AO$192,'Draft Board'!$AN$2:$AN$192,"="&amp;AN95),0,IF(_xlfn.MINIFS('Draft Board'!$AN$2:$AN$192,'Draft Board'!$AN$2:$AN$192,"&gt;"&amp;AN95)=0,1,IF((_xlfn.MINIFS('Draft Board'!$AN$2:$AN$192,'Draft Board'!$AN$2:$AN$192,"&gt;"&amp;AN95)-AN95)/_xlfn.MINIFS('Draft Board'!$AN$2:$AN$192,'Draft Board'!$AN$2:$AN$192,"&gt;"&amp;AN95)&gt;0.08,1,0)))</f>
        <v>0</v>
      </c>
      <c r="AQ95" s="13">
        <f>_xlfn.MINIFS('Draft Board'!$AN$2:$AN$192,'Draft Board'!$AN$2:$AN$192,"&gt;="&amp;AN95,'Draft Board'!$AP$2:$AP$192,1)</f>
        <v>0</v>
      </c>
      <c r="AR95" s="13">
        <f>IF(AO95&lt;&gt;_xlfn.MINIFS('Draft Board'!$AO$2:$AO$192,'Draft Board'!$AN$2:$AN$192,"="&amp;AN95),0,IF(OR(AP95=1,IFERROR(FLOOR((AQ95-AN95)/AQ95/0.25,1),0)&lt;&gt;IFERROR(FLOOR((AQ95-_xlfn.MINIFS('Draft Board'!$AN$2:$AN$192,'Draft Board'!$AN$2:$AN$192,"&gt;"&amp;AN95))/AQ95/0.25,1),0)),1,0))</f>
        <v>0</v>
      </c>
      <c r="AS95" s="13">
        <f>ROUND(1+AN95*'Live Calc'!$D$28,0)</f>
        <v>1</v>
      </c>
      <c r="AT95" s="13"/>
      <c r="AU95" s="13">
        <f>IF(AT95&lt;&gt;"",AT95,ROUND(AS95*INDEX('Live Calc'!$G$260:$G$450,MATCH(AM95,'Live Calc'!$A$260:$A$450,0))*'Live Calc'!$J$543,0))</f>
        <v>1</v>
      </c>
    </row>
    <row r="96" spans="17:63" x14ac:dyDescent="0.25">
      <c r="Q96" s="12" t="s">
        <v>427</v>
      </c>
      <c r="R96" s="12" t="s">
        <v>284</v>
      </c>
      <c r="S96" s="12">
        <v>22.9</v>
      </c>
      <c r="T96" s="12">
        <v>25.512</v>
      </c>
      <c r="U96" s="12">
        <v>28.228000000000002</v>
      </c>
      <c r="V96" s="12">
        <f>CHOOSE(MATCH(Setup!$B$7,{"STD","Half-PPR","PPR"},0),S96,T96,U96)</f>
        <v>25.512</v>
      </c>
      <c r="W96" s="12">
        <f>COUNTIFS('Draft Board'!$X$2:$X$162,"&gt;="&amp;X96,'Draft Board'!$AB$2:$AB$162,1)</f>
        <v>19</v>
      </c>
      <c r="X96" s="12">
        <f>MAX(0,V96-'Live Calc'!$H$20)^'Live Calc'!$E$20</f>
        <v>0</v>
      </c>
      <c r="Y96" s="12">
        <v>96</v>
      </c>
      <c r="Z96" s="12">
        <f>IF(Y96&lt;&gt;_xlfn.MINIFS('Draft Board'!$Y$2:$Y$162,'Draft Board'!$X$2:$X$162,"="&amp;X96),0,IF(_xlfn.MINIFS('Draft Board'!$X$2:$X$162,'Draft Board'!$X$2:$X$162,"&gt;"&amp;X96)=0,1,IF((_xlfn.MINIFS('Draft Board'!$X$2:$X$162,'Draft Board'!$X$2:$X$162,"&gt;"&amp;X96)-X96)/_xlfn.MINIFS('Draft Board'!$X$2:$X$162,'Draft Board'!$X$2:$X$162,"&gt;"&amp;X96)&gt;0.08,1,0)))</f>
        <v>0</v>
      </c>
      <c r="AA96" s="12">
        <f>_xlfn.MINIFS('Draft Board'!$X$2:$X$162,'Draft Board'!$X$2:$X$162,"&gt;="&amp;X96,'Draft Board'!$Z$2:$Z$162,1)</f>
        <v>0</v>
      </c>
      <c r="AB96" s="12">
        <f>IF(Y96&lt;&gt;_xlfn.MINIFS('Draft Board'!$Y$2:$Y$162,'Draft Board'!$X$2:$X$162,"="&amp;X96),0,IF(OR(Z96=1,IFERROR(FLOOR((AA96-X96)/AA96/0.25,1),0)&lt;&gt;IFERROR(FLOOR((AA96-_xlfn.MINIFS('Draft Board'!$X$2:$X$162,'Draft Board'!$X$2:$X$162,"&gt;"&amp;X96))/AA96/0.25,1),0)),1,0))</f>
        <v>0</v>
      </c>
      <c r="AC96" s="12">
        <f>ROUND(1+X96*'Live Calc'!$D$27,0)</f>
        <v>1</v>
      </c>
      <c r="AD96" s="12"/>
      <c r="AE96" s="12">
        <f>IF(AD96&lt;&gt;"",AD96,ROUND(AC96*INDEX('Live Calc'!$G$96:$G$256,MATCH(W96,'Live Calc'!$A$96:$A$256,0))*'Live Calc'!$J$543,0))</f>
        <v>1</v>
      </c>
      <c r="AG96" s="13" t="s">
        <v>428</v>
      </c>
      <c r="AH96" s="13" t="s">
        <v>134</v>
      </c>
      <c r="AI96" s="13">
        <v>47.103999999999999</v>
      </c>
      <c r="AJ96" s="13">
        <v>61.305999999999997</v>
      </c>
      <c r="AK96" s="13">
        <v>74.602000000000004</v>
      </c>
      <c r="AL96" s="13">
        <f>CHOOSE(MATCH(Setup!$B$7,{"STD","Half-PPR","PPR"},0),AI96,AJ96,AK96)</f>
        <v>61.305999999999997</v>
      </c>
      <c r="AM96" s="13">
        <f>COUNTIFS('Draft Board'!$AN$2:$AN$192,"&gt;="&amp;AN96,'Draft Board'!$AR$2:$AR$192,1)</f>
        <v>22</v>
      </c>
      <c r="AN96" s="13">
        <f>MAX(0,AL96-'Live Calc'!$H$21)^'Live Calc'!$E$21</f>
        <v>0</v>
      </c>
      <c r="AO96" s="13">
        <v>96</v>
      </c>
      <c r="AP96" s="13">
        <f>IF(AO96&lt;&gt;_xlfn.MINIFS('Draft Board'!$AO$2:$AO$192,'Draft Board'!$AN$2:$AN$192,"="&amp;AN96),0,IF(_xlfn.MINIFS('Draft Board'!$AN$2:$AN$192,'Draft Board'!$AN$2:$AN$192,"&gt;"&amp;AN96)=0,1,IF((_xlfn.MINIFS('Draft Board'!$AN$2:$AN$192,'Draft Board'!$AN$2:$AN$192,"&gt;"&amp;AN96)-AN96)/_xlfn.MINIFS('Draft Board'!$AN$2:$AN$192,'Draft Board'!$AN$2:$AN$192,"&gt;"&amp;AN96)&gt;0.08,1,0)))</f>
        <v>0</v>
      </c>
      <c r="AQ96" s="13">
        <f>_xlfn.MINIFS('Draft Board'!$AN$2:$AN$192,'Draft Board'!$AN$2:$AN$192,"&gt;="&amp;AN96,'Draft Board'!$AP$2:$AP$192,1)</f>
        <v>0</v>
      </c>
      <c r="AR96" s="13">
        <f>IF(AO96&lt;&gt;_xlfn.MINIFS('Draft Board'!$AO$2:$AO$192,'Draft Board'!$AN$2:$AN$192,"="&amp;AN96),0,IF(OR(AP96=1,IFERROR(FLOOR((AQ96-AN96)/AQ96/0.25,1),0)&lt;&gt;IFERROR(FLOOR((AQ96-_xlfn.MINIFS('Draft Board'!$AN$2:$AN$192,'Draft Board'!$AN$2:$AN$192,"&gt;"&amp;AN96))/AQ96/0.25,1),0)),1,0))</f>
        <v>0</v>
      </c>
      <c r="AS96" s="13">
        <f>ROUND(1+AN96*'Live Calc'!$D$28,0)</f>
        <v>1</v>
      </c>
      <c r="AT96" s="13"/>
      <c r="AU96" s="13">
        <f>IF(AT96&lt;&gt;"",AT96,ROUND(AS96*INDEX('Live Calc'!$G$260:$G$450,MATCH(AM96,'Live Calc'!$A$260:$A$450,0))*'Live Calc'!$J$543,0))</f>
        <v>1</v>
      </c>
    </row>
    <row r="97" spans="17:47" x14ac:dyDescent="0.25">
      <c r="Q97" s="12" t="s">
        <v>429</v>
      </c>
      <c r="R97" s="12" t="s">
        <v>85</v>
      </c>
      <c r="S97" s="12">
        <v>21.036000000000001</v>
      </c>
      <c r="T97" s="12">
        <v>25.064</v>
      </c>
      <c r="U97" s="12">
        <v>29.334</v>
      </c>
      <c r="V97" s="12">
        <f>CHOOSE(MATCH(Setup!$B$7,{"STD","Half-PPR","PPR"},0),S97,T97,U97)</f>
        <v>25.064</v>
      </c>
      <c r="W97" s="12">
        <f>COUNTIFS('Draft Board'!$X$2:$X$162,"&gt;="&amp;X97,'Draft Board'!$AB$2:$AB$162,1)</f>
        <v>19</v>
      </c>
      <c r="X97" s="12">
        <f>MAX(0,V97-'Live Calc'!$H$20)^'Live Calc'!$E$20</f>
        <v>0</v>
      </c>
      <c r="Y97" s="12">
        <v>97</v>
      </c>
      <c r="Z97" s="12">
        <f>IF(Y97&lt;&gt;_xlfn.MINIFS('Draft Board'!$Y$2:$Y$162,'Draft Board'!$X$2:$X$162,"="&amp;X97),0,IF(_xlfn.MINIFS('Draft Board'!$X$2:$X$162,'Draft Board'!$X$2:$X$162,"&gt;"&amp;X97)=0,1,IF((_xlfn.MINIFS('Draft Board'!$X$2:$X$162,'Draft Board'!$X$2:$X$162,"&gt;"&amp;X97)-X97)/_xlfn.MINIFS('Draft Board'!$X$2:$X$162,'Draft Board'!$X$2:$X$162,"&gt;"&amp;X97)&gt;0.08,1,0)))</f>
        <v>0</v>
      </c>
      <c r="AA97" s="12">
        <f>_xlfn.MINIFS('Draft Board'!$X$2:$X$162,'Draft Board'!$X$2:$X$162,"&gt;="&amp;X97,'Draft Board'!$Z$2:$Z$162,1)</f>
        <v>0</v>
      </c>
      <c r="AB97" s="12">
        <f>IF(Y97&lt;&gt;_xlfn.MINIFS('Draft Board'!$Y$2:$Y$162,'Draft Board'!$X$2:$X$162,"="&amp;X97),0,IF(OR(Z97=1,IFERROR(FLOOR((AA97-X97)/AA97/0.25,1),0)&lt;&gt;IFERROR(FLOOR((AA97-_xlfn.MINIFS('Draft Board'!$X$2:$X$162,'Draft Board'!$X$2:$X$162,"&gt;"&amp;X97))/AA97/0.25,1),0)),1,0))</f>
        <v>0</v>
      </c>
      <c r="AC97" s="12">
        <f>ROUND(1+X97*'Live Calc'!$D$27,0)</f>
        <v>1</v>
      </c>
      <c r="AD97" s="12"/>
      <c r="AE97" s="12">
        <f>IF(AD97&lt;&gt;"",AD97,ROUND(AC97*INDEX('Live Calc'!$G$96:$G$256,MATCH(W97,'Live Calc'!$A$96:$A$256,0))*'Live Calc'!$J$543,0))</f>
        <v>1</v>
      </c>
      <c r="AG97" s="13" t="s">
        <v>430</v>
      </c>
      <c r="AH97" s="13" t="s">
        <v>61</v>
      </c>
      <c r="AI97" s="13">
        <v>48.058</v>
      </c>
      <c r="AJ97" s="13">
        <v>60.491999999999997</v>
      </c>
      <c r="AK97" s="13">
        <v>72.992000000000004</v>
      </c>
      <c r="AL97" s="13">
        <f>CHOOSE(MATCH(Setup!$B$7,{"STD","Half-PPR","PPR"},0),AI97,AJ97,AK97)</f>
        <v>60.491999999999997</v>
      </c>
      <c r="AM97" s="13">
        <f>COUNTIFS('Draft Board'!$AN$2:$AN$192,"&gt;="&amp;AN97,'Draft Board'!$AR$2:$AR$192,1)</f>
        <v>22</v>
      </c>
      <c r="AN97" s="13">
        <f>MAX(0,AL97-'Live Calc'!$H$21)^'Live Calc'!$E$21</f>
        <v>0</v>
      </c>
      <c r="AO97" s="13">
        <v>97</v>
      </c>
      <c r="AP97" s="13">
        <f>IF(AO97&lt;&gt;_xlfn.MINIFS('Draft Board'!$AO$2:$AO$192,'Draft Board'!$AN$2:$AN$192,"="&amp;AN97),0,IF(_xlfn.MINIFS('Draft Board'!$AN$2:$AN$192,'Draft Board'!$AN$2:$AN$192,"&gt;"&amp;AN97)=0,1,IF((_xlfn.MINIFS('Draft Board'!$AN$2:$AN$192,'Draft Board'!$AN$2:$AN$192,"&gt;"&amp;AN97)-AN97)/_xlfn.MINIFS('Draft Board'!$AN$2:$AN$192,'Draft Board'!$AN$2:$AN$192,"&gt;"&amp;AN97)&gt;0.08,1,0)))</f>
        <v>0</v>
      </c>
      <c r="AQ97" s="13">
        <f>_xlfn.MINIFS('Draft Board'!$AN$2:$AN$192,'Draft Board'!$AN$2:$AN$192,"&gt;="&amp;AN97,'Draft Board'!$AP$2:$AP$192,1)</f>
        <v>0</v>
      </c>
      <c r="AR97" s="13">
        <f>IF(AO97&lt;&gt;_xlfn.MINIFS('Draft Board'!$AO$2:$AO$192,'Draft Board'!$AN$2:$AN$192,"="&amp;AN97),0,IF(OR(AP97=1,IFERROR(FLOOR((AQ97-AN97)/AQ97/0.25,1),0)&lt;&gt;IFERROR(FLOOR((AQ97-_xlfn.MINIFS('Draft Board'!$AN$2:$AN$192,'Draft Board'!$AN$2:$AN$192,"&gt;"&amp;AN97))/AQ97/0.25,1),0)),1,0))</f>
        <v>0</v>
      </c>
      <c r="AS97" s="13">
        <f>ROUND(1+AN97*'Live Calc'!$D$28,0)</f>
        <v>1</v>
      </c>
      <c r="AT97" s="13"/>
      <c r="AU97" s="13">
        <f>IF(AT97&lt;&gt;"",AT97,ROUND(AS97*INDEX('Live Calc'!$G$260:$G$450,MATCH(AM97,'Live Calc'!$A$260:$A$450,0))*'Live Calc'!$J$543,0))</f>
        <v>1</v>
      </c>
    </row>
    <row r="98" spans="17:47" x14ac:dyDescent="0.25">
      <c r="Q98" s="12" t="s">
        <v>431</v>
      </c>
      <c r="R98" s="12" t="s">
        <v>101</v>
      </c>
      <c r="S98" s="12">
        <v>21.372</v>
      </c>
      <c r="T98" s="12">
        <v>24.326000000000001</v>
      </c>
      <c r="U98" s="12">
        <v>26.702000000000002</v>
      </c>
      <c r="V98" s="12">
        <f>CHOOSE(MATCH(Setup!$B$7,{"STD","Half-PPR","PPR"},0),S98,T98,U98)</f>
        <v>24.326000000000001</v>
      </c>
      <c r="W98" s="12">
        <f>COUNTIFS('Draft Board'!$X$2:$X$162,"&gt;="&amp;X98,'Draft Board'!$AB$2:$AB$162,1)</f>
        <v>19</v>
      </c>
      <c r="X98" s="12">
        <f>MAX(0,V98-'Live Calc'!$H$20)^'Live Calc'!$E$20</f>
        <v>0</v>
      </c>
      <c r="Y98" s="12">
        <v>98</v>
      </c>
      <c r="Z98" s="12">
        <f>IF(Y98&lt;&gt;_xlfn.MINIFS('Draft Board'!$Y$2:$Y$162,'Draft Board'!$X$2:$X$162,"="&amp;X98),0,IF(_xlfn.MINIFS('Draft Board'!$X$2:$X$162,'Draft Board'!$X$2:$X$162,"&gt;"&amp;X98)=0,1,IF((_xlfn.MINIFS('Draft Board'!$X$2:$X$162,'Draft Board'!$X$2:$X$162,"&gt;"&amp;X98)-X98)/_xlfn.MINIFS('Draft Board'!$X$2:$X$162,'Draft Board'!$X$2:$X$162,"&gt;"&amp;X98)&gt;0.08,1,0)))</f>
        <v>0</v>
      </c>
      <c r="AA98" s="12">
        <f>_xlfn.MINIFS('Draft Board'!$X$2:$X$162,'Draft Board'!$X$2:$X$162,"&gt;="&amp;X98,'Draft Board'!$Z$2:$Z$162,1)</f>
        <v>0</v>
      </c>
      <c r="AB98" s="12">
        <f>IF(Y98&lt;&gt;_xlfn.MINIFS('Draft Board'!$Y$2:$Y$162,'Draft Board'!$X$2:$X$162,"="&amp;X98),0,IF(OR(Z98=1,IFERROR(FLOOR((AA98-X98)/AA98/0.25,1),0)&lt;&gt;IFERROR(FLOOR((AA98-_xlfn.MINIFS('Draft Board'!$X$2:$X$162,'Draft Board'!$X$2:$X$162,"&gt;"&amp;X98))/AA98/0.25,1),0)),1,0))</f>
        <v>0</v>
      </c>
      <c r="AC98" s="12">
        <f>ROUND(1+X98*'Live Calc'!$D$27,0)</f>
        <v>1</v>
      </c>
      <c r="AD98" s="12"/>
      <c r="AE98" s="12">
        <f>IF(AD98&lt;&gt;"",AD98,ROUND(AC98*INDEX('Live Calc'!$G$96:$G$256,MATCH(W98,'Live Calc'!$A$96:$A$256,0))*'Live Calc'!$J$543,0))</f>
        <v>1</v>
      </c>
      <c r="AG98" s="13" t="s">
        <v>432</v>
      </c>
      <c r="AH98" s="13" t="s">
        <v>81</v>
      </c>
      <c r="AI98" s="13">
        <v>47.213999999999999</v>
      </c>
      <c r="AJ98" s="13">
        <v>59.042000000000002</v>
      </c>
      <c r="AK98" s="13">
        <v>71.23</v>
      </c>
      <c r="AL98" s="13">
        <f>CHOOSE(MATCH(Setup!$B$7,{"STD","Half-PPR","PPR"},0),AI98,AJ98,AK98)</f>
        <v>59.042000000000002</v>
      </c>
      <c r="AM98" s="13">
        <f>COUNTIFS('Draft Board'!$AN$2:$AN$192,"&gt;="&amp;AN98,'Draft Board'!$AR$2:$AR$192,1)</f>
        <v>22</v>
      </c>
      <c r="AN98" s="13">
        <f>MAX(0,AL98-'Live Calc'!$H$21)^'Live Calc'!$E$21</f>
        <v>0</v>
      </c>
      <c r="AO98" s="13">
        <v>98</v>
      </c>
      <c r="AP98" s="13">
        <f>IF(AO98&lt;&gt;_xlfn.MINIFS('Draft Board'!$AO$2:$AO$192,'Draft Board'!$AN$2:$AN$192,"="&amp;AN98),0,IF(_xlfn.MINIFS('Draft Board'!$AN$2:$AN$192,'Draft Board'!$AN$2:$AN$192,"&gt;"&amp;AN98)=0,1,IF((_xlfn.MINIFS('Draft Board'!$AN$2:$AN$192,'Draft Board'!$AN$2:$AN$192,"&gt;"&amp;AN98)-AN98)/_xlfn.MINIFS('Draft Board'!$AN$2:$AN$192,'Draft Board'!$AN$2:$AN$192,"&gt;"&amp;AN98)&gt;0.08,1,0)))</f>
        <v>0</v>
      </c>
      <c r="AQ98" s="13">
        <f>_xlfn.MINIFS('Draft Board'!$AN$2:$AN$192,'Draft Board'!$AN$2:$AN$192,"&gt;="&amp;AN98,'Draft Board'!$AP$2:$AP$192,1)</f>
        <v>0</v>
      </c>
      <c r="AR98" s="13">
        <f>IF(AO98&lt;&gt;_xlfn.MINIFS('Draft Board'!$AO$2:$AO$192,'Draft Board'!$AN$2:$AN$192,"="&amp;AN98),0,IF(OR(AP98=1,IFERROR(FLOOR((AQ98-AN98)/AQ98/0.25,1),0)&lt;&gt;IFERROR(FLOOR((AQ98-_xlfn.MINIFS('Draft Board'!$AN$2:$AN$192,'Draft Board'!$AN$2:$AN$192,"&gt;"&amp;AN98))/AQ98/0.25,1),0)),1,0))</f>
        <v>0</v>
      </c>
      <c r="AS98" s="13">
        <f>ROUND(1+AN98*'Live Calc'!$D$28,0)</f>
        <v>1</v>
      </c>
      <c r="AT98" s="13"/>
      <c r="AU98" s="13">
        <f>IF(AT98&lt;&gt;"",AT98,ROUND(AS98*INDEX('Live Calc'!$G$260:$G$450,MATCH(AM98,'Live Calc'!$A$260:$A$450,0))*'Live Calc'!$J$543,0))</f>
        <v>1</v>
      </c>
    </row>
    <row r="99" spans="17:47" x14ac:dyDescent="0.25">
      <c r="Q99" s="12" t="s">
        <v>433</v>
      </c>
      <c r="R99" s="12" t="s">
        <v>111</v>
      </c>
      <c r="S99" s="12">
        <v>21.373999999999999</v>
      </c>
      <c r="T99" s="12">
        <v>23.888000000000002</v>
      </c>
      <c r="U99" s="12">
        <v>31.12</v>
      </c>
      <c r="V99" s="12">
        <f>CHOOSE(MATCH(Setup!$B$7,{"STD","Half-PPR","PPR"},0),S99,T99,U99)</f>
        <v>23.888000000000002</v>
      </c>
      <c r="W99" s="12">
        <f>COUNTIFS('Draft Board'!$X$2:$X$162,"&gt;="&amp;X99,'Draft Board'!$AB$2:$AB$162,1)</f>
        <v>19</v>
      </c>
      <c r="X99" s="12">
        <f>MAX(0,V99-'Live Calc'!$H$20)^'Live Calc'!$E$20</f>
        <v>0</v>
      </c>
      <c r="Y99" s="12">
        <v>99</v>
      </c>
      <c r="Z99" s="12">
        <f>IF(Y99&lt;&gt;_xlfn.MINIFS('Draft Board'!$Y$2:$Y$162,'Draft Board'!$X$2:$X$162,"="&amp;X99),0,IF(_xlfn.MINIFS('Draft Board'!$X$2:$X$162,'Draft Board'!$X$2:$X$162,"&gt;"&amp;X99)=0,1,IF((_xlfn.MINIFS('Draft Board'!$X$2:$X$162,'Draft Board'!$X$2:$X$162,"&gt;"&amp;X99)-X99)/_xlfn.MINIFS('Draft Board'!$X$2:$X$162,'Draft Board'!$X$2:$X$162,"&gt;"&amp;X99)&gt;0.08,1,0)))</f>
        <v>0</v>
      </c>
      <c r="AA99" s="12">
        <f>_xlfn.MINIFS('Draft Board'!$X$2:$X$162,'Draft Board'!$X$2:$X$162,"&gt;="&amp;X99,'Draft Board'!$Z$2:$Z$162,1)</f>
        <v>0</v>
      </c>
      <c r="AB99" s="12">
        <f>IF(Y99&lt;&gt;_xlfn.MINIFS('Draft Board'!$Y$2:$Y$162,'Draft Board'!$X$2:$X$162,"="&amp;X99),0,IF(OR(Z99=1,IFERROR(FLOOR((AA99-X99)/AA99/0.25,1),0)&lt;&gt;IFERROR(FLOOR((AA99-_xlfn.MINIFS('Draft Board'!$X$2:$X$162,'Draft Board'!$X$2:$X$162,"&gt;"&amp;X99))/AA99/0.25,1),0)),1,0))</f>
        <v>0</v>
      </c>
      <c r="AC99" s="12">
        <f>ROUND(1+X99*'Live Calc'!$D$27,0)</f>
        <v>1</v>
      </c>
      <c r="AD99" s="12"/>
      <c r="AE99" s="12">
        <f>IF(AD99&lt;&gt;"",AD99,ROUND(AC99*INDEX('Live Calc'!$G$96:$G$256,MATCH(W99,'Live Calc'!$A$96:$A$256,0))*'Live Calc'!$J$543,0))</f>
        <v>1</v>
      </c>
      <c r="AG99" s="13" t="s">
        <v>434</v>
      </c>
      <c r="AH99" s="13" t="s">
        <v>71</v>
      </c>
      <c r="AI99" s="13">
        <v>45.444000000000003</v>
      </c>
      <c r="AJ99" s="13">
        <v>58.777999999999999</v>
      </c>
      <c r="AK99" s="13">
        <v>72.296000000000006</v>
      </c>
      <c r="AL99" s="13">
        <f>CHOOSE(MATCH(Setup!$B$7,{"STD","Half-PPR","PPR"},0),AI99,AJ99,AK99)</f>
        <v>58.777999999999999</v>
      </c>
      <c r="AM99" s="13">
        <f>COUNTIFS('Draft Board'!$AN$2:$AN$192,"&gt;="&amp;AN99,'Draft Board'!$AR$2:$AR$192,1)</f>
        <v>22</v>
      </c>
      <c r="AN99" s="13">
        <f>MAX(0,AL99-'Live Calc'!$H$21)^'Live Calc'!$E$21</f>
        <v>0</v>
      </c>
      <c r="AO99" s="13">
        <v>99</v>
      </c>
      <c r="AP99" s="13">
        <f>IF(AO99&lt;&gt;_xlfn.MINIFS('Draft Board'!$AO$2:$AO$192,'Draft Board'!$AN$2:$AN$192,"="&amp;AN99),0,IF(_xlfn.MINIFS('Draft Board'!$AN$2:$AN$192,'Draft Board'!$AN$2:$AN$192,"&gt;"&amp;AN99)=0,1,IF((_xlfn.MINIFS('Draft Board'!$AN$2:$AN$192,'Draft Board'!$AN$2:$AN$192,"&gt;"&amp;AN99)-AN99)/_xlfn.MINIFS('Draft Board'!$AN$2:$AN$192,'Draft Board'!$AN$2:$AN$192,"&gt;"&amp;AN99)&gt;0.08,1,0)))</f>
        <v>0</v>
      </c>
      <c r="AQ99" s="13">
        <f>_xlfn.MINIFS('Draft Board'!$AN$2:$AN$192,'Draft Board'!$AN$2:$AN$192,"&gt;="&amp;AN99,'Draft Board'!$AP$2:$AP$192,1)</f>
        <v>0</v>
      </c>
      <c r="AR99" s="13">
        <f>IF(AO99&lt;&gt;_xlfn.MINIFS('Draft Board'!$AO$2:$AO$192,'Draft Board'!$AN$2:$AN$192,"="&amp;AN99),0,IF(OR(AP99=1,IFERROR(FLOOR((AQ99-AN99)/AQ99/0.25,1),0)&lt;&gt;IFERROR(FLOOR((AQ99-_xlfn.MINIFS('Draft Board'!$AN$2:$AN$192,'Draft Board'!$AN$2:$AN$192,"&gt;"&amp;AN99))/AQ99/0.25,1),0)),1,0))</f>
        <v>0</v>
      </c>
      <c r="AS99" s="13">
        <f>ROUND(1+AN99*'Live Calc'!$D$28,0)</f>
        <v>1</v>
      </c>
      <c r="AT99" s="13"/>
      <c r="AU99" s="13">
        <f>IF(AT99&lt;&gt;"",AT99,ROUND(AS99*INDEX('Live Calc'!$G$260:$G$450,MATCH(AM99,'Live Calc'!$A$260:$A$450,0))*'Live Calc'!$J$543,0))</f>
        <v>1</v>
      </c>
    </row>
    <row r="100" spans="17:47" x14ac:dyDescent="0.25">
      <c r="Q100" s="12" t="s">
        <v>435</v>
      </c>
      <c r="R100" s="12" t="s">
        <v>131</v>
      </c>
      <c r="S100" s="12">
        <v>19.148</v>
      </c>
      <c r="T100" s="12">
        <v>22.95</v>
      </c>
      <c r="U100" s="12">
        <v>26.957999999999998</v>
      </c>
      <c r="V100" s="12">
        <f>CHOOSE(MATCH(Setup!$B$7,{"STD","Half-PPR","PPR"},0),S100,T100,U100)</f>
        <v>22.95</v>
      </c>
      <c r="W100" s="12">
        <f>COUNTIFS('Draft Board'!$X$2:$X$162,"&gt;="&amp;X100,'Draft Board'!$AB$2:$AB$162,1)</f>
        <v>19</v>
      </c>
      <c r="X100" s="12">
        <f>MAX(0,V100-'Live Calc'!$H$20)^'Live Calc'!$E$20</f>
        <v>0</v>
      </c>
      <c r="Y100" s="12">
        <v>100</v>
      </c>
      <c r="Z100" s="12">
        <f>IF(Y100&lt;&gt;_xlfn.MINIFS('Draft Board'!$Y$2:$Y$162,'Draft Board'!$X$2:$X$162,"="&amp;X100),0,IF(_xlfn.MINIFS('Draft Board'!$X$2:$X$162,'Draft Board'!$X$2:$X$162,"&gt;"&amp;X100)=0,1,IF((_xlfn.MINIFS('Draft Board'!$X$2:$X$162,'Draft Board'!$X$2:$X$162,"&gt;"&amp;X100)-X100)/_xlfn.MINIFS('Draft Board'!$X$2:$X$162,'Draft Board'!$X$2:$X$162,"&gt;"&amp;X100)&gt;0.08,1,0)))</f>
        <v>0</v>
      </c>
      <c r="AA100" s="12">
        <f>_xlfn.MINIFS('Draft Board'!$X$2:$X$162,'Draft Board'!$X$2:$X$162,"&gt;="&amp;X100,'Draft Board'!$Z$2:$Z$162,1)</f>
        <v>0</v>
      </c>
      <c r="AB100" s="12">
        <f>IF(Y100&lt;&gt;_xlfn.MINIFS('Draft Board'!$Y$2:$Y$162,'Draft Board'!$X$2:$X$162,"="&amp;X100),0,IF(OR(Z100=1,IFERROR(FLOOR((AA100-X100)/AA100/0.25,1),0)&lt;&gt;IFERROR(FLOOR((AA100-_xlfn.MINIFS('Draft Board'!$X$2:$X$162,'Draft Board'!$X$2:$X$162,"&gt;"&amp;X100))/AA100/0.25,1),0)),1,0))</f>
        <v>0</v>
      </c>
      <c r="AC100" s="12">
        <f>ROUND(1+X100*'Live Calc'!$D$27,0)</f>
        <v>1</v>
      </c>
      <c r="AD100" s="12"/>
      <c r="AE100" s="12">
        <f>IF(AD100&lt;&gt;"",AD100,ROUND(AC100*INDEX('Live Calc'!$G$96:$G$256,MATCH(W100,'Live Calc'!$A$96:$A$256,0))*'Live Calc'!$J$543,0))</f>
        <v>1</v>
      </c>
      <c r="AG100" s="13" t="s">
        <v>436</v>
      </c>
      <c r="AH100" s="13" t="s">
        <v>134</v>
      </c>
      <c r="AI100" s="13">
        <v>45.064</v>
      </c>
      <c r="AJ100" s="13">
        <v>57.57</v>
      </c>
      <c r="AK100" s="13">
        <v>69.591999999999999</v>
      </c>
      <c r="AL100" s="13">
        <f>CHOOSE(MATCH(Setup!$B$7,{"STD","Half-PPR","PPR"},0),AI100,AJ100,AK100)</f>
        <v>57.57</v>
      </c>
      <c r="AM100" s="13">
        <f>COUNTIFS('Draft Board'!$AN$2:$AN$192,"&gt;="&amp;AN100,'Draft Board'!$AR$2:$AR$192,1)</f>
        <v>22</v>
      </c>
      <c r="AN100" s="13">
        <f>MAX(0,AL100-'Live Calc'!$H$21)^'Live Calc'!$E$21</f>
        <v>0</v>
      </c>
      <c r="AO100" s="13">
        <v>100</v>
      </c>
      <c r="AP100" s="13">
        <f>IF(AO100&lt;&gt;_xlfn.MINIFS('Draft Board'!$AO$2:$AO$192,'Draft Board'!$AN$2:$AN$192,"="&amp;AN100),0,IF(_xlfn.MINIFS('Draft Board'!$AN$2:$AN$192,'Draft Board'!$AN$2:$AN$192,"&gt;"&amp;AN100)=0,1,IF((_xlfn.MINIFS('Draft Board'!$AN$2:$AN$192,'Draft Board'!$AN$2:$AN$192,"&gt;"&amp;AN100)-AN100)/_xlfn.MINIFS('Draft Board'!$AN$2:$AN$192,'Draft Board'!$AN$2:$AN$192,"&gt;"&amp;AN100)&gt;0.08,1,0)))</f>
        <v>0</v>
      </c>
      <c r="AQ100" s="13">
        <f>_xlfn.MINIFS('Draft Board'!$AN$2:$AN$192,'Draft Board'!$AN$2:$AN$192,"&gt;="&amp;AN100,'Draft Board'!$AP$2:$AP$192,1)</f>
        <v>0</v>
      </c>
      <c r="AR100" s="13">
        <f>IF(AO100&lt;&gt;_xlfn.MINIFS('Draft Board'!$AO$2:$AO$192,'Draft Board'!$AN$2:$AN$192,"="&amp;AN100),0,IF(OR(AP100=1,IFERROR(FLOOR((AQ100-AN100)/AQ100/0.25,1),0)&lt;&gt;IFERROR(FLOOR((AQ100-_xlfn.MINIFS('Draft Board'!$AN$2:$AN$192,'Draft Board'!$AN$2:$AN$192,"&gt;"&amp;AN100))/AQ100/0.25,1),0)),1,0))</f>
        <v>0</v>
      </c>
      <c r="AS100" s="13">
        <f>ROUND(1+AN100*'Live Calc'!$D$28,0)</f>
        <v>1</v>
      </c>
      <c r="AT100" s="13"/>
      <c r="AU100" s="13">
        <f>IF(AT100&lt;&gt;"",AT100,ROUND(AS100*INDEX('Live Calc'!$G$260:$G$450,MATCH(AM100,'Live Calc'!$A$260:$A$450,0))*'Live Calc'!$J$543,0))</f>
        <v>1</v>
      </c>
    </row>
    <row r="101" spans="17:47" x14ac:dyDescent="0.25">
      <c r="Q101" s="12" t="s">
        <v>437</v>
      </c>
      <c r="R101" s="12" t="s">
        <v>190</v>
      </c>
      <c r="S101" s="12">
        <v>20.928000000000001</v>
      </c>
      <c r="T101" s="12">
        <v>22.468</v>
      </c>
      <c r="U101" s="12">
        <v>26.66</v>
      </c>
      <c r="V101" s="12">
        <f>CHOOSE(MATCH(Setup!$B$7,{"STD","Half-PPR","PPR"},0),S101,T101,U101)</f>
        <v>22.468</v>
      </c>
      <c r="W101" s="12">
        <f>COUNTIFS('Draft Board'!$X$2:$X$162,"&gt;="&amp;X101,'Draft Board'!$AB$2:$AB$162,1)</f>
        <v>19</v>
      </c>
      <c r="X101" s="12">
        <f>MAX(0,V101-'Live Calc'!$H$20)^'Live Calc'!$E$20</f>
        <v>0</v>
      </c>
      <c r="Y101" s="12">
        <v>101</v>
      </c>
      <c r="Z101" s="12">
        <f>IF(Y101&lt;&gt;_xlfn.MINIFS('Draft Board'!$Y$2:$Y$162,'Draft Board'!$X$2:$X$162,"="&amp;X101),0,IF(_xlfn.MINIFS('Draft Board'!$X$2:$X$162,'Draft Board'!$X$2:$X$162,"&gt;"&amp;X101)=0,1,IF((_xlfn.MINIFS('Draft Board'!$X$2:$X$162,'Draft Board'!$X$2:$X$162,"&gt;"&amp;X101)-X101)/_xlfn.MINIFS('Draft Board'!$X$2:$X$162,'Draft Board'!$X$2:$X$162,"&gt;"&amp;X101)&gt;0.08,1,0)))</f>
        <v>0</v>
      </c>
      <c r="AA101" s="12">
        <f>_xlfn.MINIFS('Draft Board'!$X$2:$X$162,'Draft Board'!$X$2:$X$162,"&gt;="&amp;X101,'Draft Board'!$Z$2:$Z$162,1)</f>
        <v>0</v>
      </c>
      <c r="AB101" s="12">
        <f>IF(Y101&lt;&gt;_xlfn.MINIFS('Draft Board'!$Y$2:$Y$162,'Draft Board'!$X$2:$X$162,"="&amp;X101),0,IF(OR(Z101=1,IFERROR(FLOOR((AA101-X101)/AA101/0.25,1),0)&lt;&gt;IFERROR(FLOOR((AA101-_xlfn.MINIFS('Draft Board'!$X$2:$X$162,'Draft Board'!$X$2:$X$162,"&gt;"&amp;X101))/AA101/0.25,1),0)),1,0))</f>
        <v>0</v>
      </c>
      <c r="AC101" s="12">
        <f>ROUND(1+X101*'Live Calc'!$D$27,0)</f>
        <v>1</v>
      </c>
      <c r="AD101" s="12"/>
      <c r="AE101" s="12">
        <f>IF(AD101&lt;&gt;"",AD101,ROUND(AC101*INDEX('Live Calc'!$G$96:$G$256,MATCH(W101,'Live Calc'!$A$96:$A$256,0))*'Live Calc'!$J$543,0))</f>
        <v>1</v>
      </c>
      <c r="AG101" s="13" t="s">
        <v>438</v>
      </c>
      <c r="AH101" s="13" t="s">
        <v>94</v>
      </c>
      <c r="AI101" s="13">
        <v>45.287999999999997</v>
      </c>
      <c r="AJ101" s="13">
        <v>56.177999999999997</v>
      </c>
      <c r="AK101" s="13">
        <v>66.951999999999998</v>
      </c>
      <c r="AL101" s="13">
        <f>CHOOSE(MATCH(Setup!$B$7,{"STD","Half-PPR","PPR"},0),AI101,AJ101,AK101)</f>
        <v>56.177999999999997</v>
      </c>
      <c r="AM101" s="13">
        <f>COUNTIFS('Draft Board'!$AN$2:$AN$192,"&gt;="&amp;AN101,'Draft Board'!$AR$2:$AR$192,1)</f>
        <v>22</v>
      </c>
      <c r="AN101" s="13">
        <f>MAX(0,AL101-'Live Calc'!$H$21)^'Live Calc'!$E$21</f>
        <v>0</v>
      </c>
      <c r="AO101" s="13">
        <v>101</v>
      </c>
      <c r="AP101" s="13">
        <f>IF(AO101&lt;&gt;_xlfn.MINIFS('Draft Board'!$AO$2:$AO$192,'Draft Board'!$AN$2:$AN$192,"="&amp;AN101),0,IF(_xlfn.MINIFS('Draft Board'!$AN$2:$AN$192,'Draft Board'!$AN$2:$AN$192,"&gt;"&amp;AN101)=0,1,IF((_xlfn.MINIFS('Draft Board'!$AN$2:$AN$192,'Draft Board'!$AN$2:$AN$192,"&gt;"&amp;AN101)-AN101)/_xlfn.MINIFS('Draft Board'!$AN$2:$AN$192,'Draft Board'!$AN$2:$AN$192,"&gt;"&amp;AN101)&gt;0.08,1,0)))</f>
        <v>0</v>
      </c>
      <c r="AQ101" s="13">
        <f>_xlfn.MINIFS('Draft Board'!$AN$2:$AN$192,'Draft Board'!$AN$2:$AN$192,"&gt;="&amp;AN101,'Draft Board'!$AP$2:$AP$192,1)</f>
        <v>0</v>
      </c>
      <c r="AR101" s="13">
        <f>IF(AO101&lt;&gt;_xlfn.MINIFS('Draft Board'!$AO$2:$AO$192,'Draft Board'!$AN$2:$AN$192,"="&amp;AN101),0,IF(OR(AP101=1,IFERROR(FLOOR((AQ101-AN101)/AQ101/0.25,1),0)&lt;&gt;IFERROR(FLOOR((AQ101-_xlfn.MINIFS('Draft Board'!$AN$2:$AN$192,'Draft Board'!$AN$2:$AN$192,"&gt;"&amp;AN101))/AQ101/0.25,1),0)),1,0))</f>
        <v>0</v>
      </c>
      <c r="AS101" s="13">
        <f>ROUND(1+AN101*'Live Calc'!$D$28,0)</f>
        <v>1</v>
      </c>
      <c r="AT101" s="13"/>
      <c r="AU101" s="13">
        <f>IF(AT101&lt;&gt;"",AT101,ROUND(AS101*INDEX('Live Calc'!$G$260:$G$450,MATCH(AM101,'Live Calc'!$A$260:$A$450,0))*'Live Calc'!$J$543,0))</f>
        <v>1</v>
      </c>
    </row>
    <row r="102" spans="17:47" x14ac:dyDescent="0.25">
      <c r="Q102" s="12" t="s">
        <v>439</v>
      </c>
      <c r="R102" s="12" t="s">
        <v>105</v>
      </c>
      <c r="S102" s="12">
        <v>19.34</v>
      </c>
      <c r="T102" s="12">
        <v>22.46</v>
      </c>
      <c r="U102" s="12">
        <v>25.58</v>
      </c>
      <c r="V102" s="12">
        <f>CHOOSE(MATCH(Setup!$B$7,{"STD","Half-PPR","PPR"},0),S102,T102,U102)</f>
        <v>22.46</v>
      </c>
      <c r="W102" s="12">
        <f>COUNTIFS('Draft Board'!$X$2:$X$162,"&gt;="&amp;X102,'Draft Board'!$AB$2:$AB$162,1)</f>
        <v>19</v>
      </c>
      <c r="X102" s="12">
        <f>MAX(0,V102-'Live Calc'!$H$20)^'Live Calc'!$E$20</f>
        <v>0</v>
      </c>
      <c r="Y102" s="12">
        <v>102</v>
      </c>
      <c r="Z102" s="12">
        <f>IF(Y102&lt;&gt;_xlfn.MINIFS('Draft Board'!$Y$2:$Y$162,'Draft Board'!$X$2:$X$162,"="&amp;X102),0,IF(_xlfn.MINIFS('Draft Board'!$X$2:$X$162,'Draft Board'!$X$2:$X$162,"&gt;"&amp;X102)=0,1,IF((_xlfn.MINIFS('Draft Board'!$X$2:$X$162,'Draft Board'!$X$2:$X$162,"&gt;"&amp;X102)-X102)/_xlfn.MINIFS('Draft Board'!$X$2:$X$162,'Draft Board'!$X$2:$X$162,"&gt;"&amp;X102)&gt;0.08,1,0)))</f>
        <v>0</v>
      </c>
      <c r="AA102" s="12">
        <f>_xlfn.MINIFS('Draft Board'!$X$2:$X$162,'Draft Board'!$X$2:$X$162,"&gt;="&amp;X102,'Draft Board'!$Z$2:$Z$162,1)</f>
        <v>0</v>
      </c>
      <c r="AB102" s="12">
        <f>IF(Y102&lt;&gt;_xlfn.MINIFS('Draft Board'!$Y$2:$Y$162,'Draft Board'!$X$2:$X$162,"="&amp;X102),0,IF(OR(Z102=1,IFERROR(FLOOR((AA102-X102)/AA102/0.25,1),0)&lt;&gt;IFERROR(FLOOR((AA102-_xlfn.MINIFS('Draft Board'!$X$2:$X$162,'Draft Board'!$X$2:$X$162,"&gt;"&amp;X102))/AA102/0.25,1),0)),1,0))</f>
        <v>0</v>
      </c>
      <c r="AC102" s="12">
        <f>ROUND(1+X102*'Live Calc'!$D$27,0)</f>
        <v>1</v>
      </c>
      <c r="AD102" s="12"/>
      <c r="AE102" s="12">
        <f>IF(AD102&lt;&gt;"",AD102,ROUND(AC102*INDEX('Live Calc'!$G$96:$G$256,MATCH(W102,'Live Calc'!$A$96:$A$256,0))*'Live Calc'!$J$543,0))</f>
        <v>1</v>
      </c>
      <c r="AG102" s="13" t="s">
        <v>440</v>
      </c>
      <c r="AH102" s="13" t="s">
        <v>159</v>
      </c>
      <c r="AI102" s="13">
        <v>42.814</v>
      </c>
      <c r="AJ102" s="13">
        <v>55.186</v>
      </c>
      <c r="AK102" s="13">
        <v>67.293999999999997</v>
      </c>
      <c r="AL102" s="13">
        <f>CHOOSE(MATCH(Setup!$B$7,{"STD","Half-PPR","PPR"},0),AI102,AJ102,AK102)</f>
        <v>55.186</v>
      </c>
      <c r="AM102" s="13">
        <f>COUNTIFS('Draft Board'!$AN$2:$AN$192,"&gt;="&amp;AN102,'Draft Board'!$AR$2:$AR$192,1)</f>
        <v>22</v>
      </c>
      <c r="AN102" s="13">
        <f>MAX(0,AL102-'Live Calc'!$H$21)^'Live Calc'!$E$21</f>
        <v>0</v>
      </c>
      <c r="AO102" s="13">
        <v>102</v>
      </c>
      <c r="AP102" s="13">
        <f>IF(AO102&lt;&gt;_xlfn.MINIFS('Draft Board'!$AO$2:$AO$192,'Draft Board'!$AN$2:$AN$192,"="&amp;AN102),0,IF(_xlfn.MINIFS('Draft Board'!$AN$2:$AN$192,'Draft Board'!$AN$2:$AN$192,"&gt;"&amp;AN102)=0,1,IF((_xlfn.MINIFS('Draft Board'!$AN$2:$AN$192,'Draft Board'!$AN$2:$AN$192,"&gt;"&amp;AN102)-AN102)/_xlfn.MINIFS('Draft Board'!$AN$2:$AN$192,'Draft Board'!$AN$2:$AN$192,"&gt;"&amp;AN102)&gt;0.08,1,0)))</f>
        <v>0</v>
      </c>
      <c r="AQ102" s="13">
        <f>_xlfn.MINIFS('Draft Board'!$AN$2:$AN$192,'Draft Board'!$AN$2:$AN$192,"&gt;="&amp;AN102,'Draft Board'!$AP$2:$AP$192,1)</f>
        <v>0</v>
      </c>
      <c r="AR102" s="13">
        <f>IF(AO102&lt;&gt;_xlfn.MINIFS('Draft Board'!$AO$2:$AO$192,'Draft Board'!$AN$2:$AN$192,"="&amp;AN102),0,IF(OR(AP102=1,IFERROR(FLOOR((AQ102-AN102)/AQ102/0.25,1),0)&lt;&gt;IFERROR(FLOOR((AQ102-_xlfn.MINIFS('Draft Board'!$AN$2:$AN$192,'Draft Board'!$AN$2:$AN$192,"&gt;"&amp;AN102))/AQ102/0.25,1),0)),1,0))</f>
        <v>0</v>
      </c>
      <c r="AS102" s="13">
        <f>ROUND(1+AN102*'Live Calc'!$D$28,0)</f>
        <v>1</v>
      </c>
      <c r="AT102" s="13"/>
      <c r="AU102" s="13">
        <f>IF(AT102&lt;&gt;"",AT102,ROUND(AS102*INDEX('Live Calc'!$G$260:$G$450,MATCH(AM102,'Live Calc'!$A$260:$A$450,0))*'Live Calc'!$J$543,0))</f>
        <v>1</v>
      </c>
    </row>
    <row r="103" spans="17:47" x14ac:dyDescent="0.25">
      <c r="Q103" s="12" t="s">
        <v>441</v>
      </c>
      <c r="R103" s="12" t="s">
        <v>73</v>
      </c>
      <c r="S103" s="12">
        <v>20.39</v>
      </c>
      <c r="T103" s="12">
        <v>22.308</v>
      </c>
      <c r="U103" s="12">
        <v>23.846</v>
      </c>
      <c r="V103" s="12">
        <f>CHOOSE(MATCH(Setup!$B$7,{"STD","Half-PPR","PPR"},0),S103,T103,U103)</f>
        <v>22.308</v>
      </c>
      <c r="W103" s="12">
        <f>COUNTIFS('Draft Board'!$X$2:$X$162,"&gt;="&amp;X103,'Draft Board'!$AB$2:$AB$162,1)</f>
        <v>19</v>
      </c>
      <c r="X103" s="12">
        <f>MAX(0,V103-'Live Calc'!$H$20)^'Live Calc'!$E$20</f>
        <v>0</v>
      </c>
      <c r="Y103" s="12">
        <v>103</v>
      </c>
      <c r="Z103" s="12">
        <f>IF(Y103&lt;&gt;_xlfn.MINIFS('Draft Board'!$Y$2:$Y$162,'Draft Board'!$X$2:$X$162,"="&amp;X103),0,IF(_xlfn.MINIFS('Draft Board'!$X$2:$X$162,'Draft Board'!$X$2:$X$162,"&gt;"&amp;X103)=0,1,IF((_xlfn.MINIFS('Draft Board'!$X$2:$X$162,'Draft Board'!$X$2:$X$162,"&gt;"&amp;X103)-X103)/_xlfn.MINIFS('Draft Board'!$X$2:$X$162,'Draft Board'!$X$2:$X$162,"&gt;"&amp;X103)&gt;0.08,1,0)))</f>
        <v>0</v>
      </c>
      <c r="AA103" s="12">
        <f>_xlfn.MINIFS('Draft Board'!$X$2:$X$162,'Draft Board'!$X$2:$X$162,"&gt;="&amp;X103,'Draft Board'!$Z$2:$Z$162,1)</f>
        <v>0</v>
      </c>
      <c r="AB103" s="12">
        <f>IF(Y103&lt;&gt;_xlfn.MINIFS('Draft Board'!$Y$2:$Y$162,'Draft Board'!$X$2:$X$162,"="&amp;X103),0,IF(OR(Z103=1,IFERROR(FLOOR((AA103-X103)/AA103/0.25,1),0)&lt;&gt;IFERROR(FLOOR((AA103-_xlfn.MINIFS('Draft Board'!$X$2:$X$162,'Draft Board'!$X$2:$X$162,"&gt;"&amp;X103))/AA103/0.25,1),0)),1,0))</f>
        <v>0</v>
      </c>
      <c r="AC103" s="12">
        <f>ROUND(1+X103*'Live Calc'!$D$27,0)</f>
        <v>1</v>
      </c>
      <c r="AD103" s="12"/>
      <c r="AE103" s="12">
        <f>IF(AD103&lt;&gt;"",AD103,ROUND(AC103*INDEX('Live Calc'!$G$96:$G$256,MATCH(W103,'Live Calc'!$A$96:$A$256,0))*'Live Calc'!$J$543,0))</f>
        <v>1</v>
      </c>
      <c r="AG103" s="13" t="s">
        <v>442</v>
      </c>
      <c r="AH103" s="13" t="s">
        <v>192</v>
      </c>
      <c r="AI103" s="13">
        <v>42.781999999999996</v>
      </c>
      <c r="AJ103" s="13">
        <v>54.118000000000002</v>
      </c>
      <c r="AK103" s="13">
        <v>65.45</v>
      </c>
      <c r="AL103" s="13">
        <f>CHOOSE(MATCH(Setup!$B$7,{"STD","Half-PPR","PPR"},0),AI103,AJ103,AK103)</f>
        <v>54.118000000000002</v>
      </c>
      <c r="AM103" s="13">
        <f>COUNTIFS('Draft Board'!$AN$2:$AN$192,"&gt;="&amp;AN103,'Draft Board'!$AR$2:$AR$192,1)</f>
        <v>22</v>
      </c>
      <c r="AN103" s="13">
        <f>MAX(0,AL103-'Live Calc'!$H$21)^'Live Calc'!$E$21</f>
        <v>0</v>
      </c>
      <c r="AO103" s="13">
        <v>103</v>
      </c>
      <c r="AP103" s="13">
        <f>IF(AO103&lt;&gt;_xlfn.MINIFS('Draft Board'!$AO$2:$AO$192,'Draft Board'!$AN$2:$AN$192,"="&amp;AN103),0,IF(_xlfn.MINIFS('Draft Board'!$AN$2:$AN$192,'Draft Board'!$AN$2:$AN$192,"&gt;"&amp;AN103)=0,1,IF((_xlfn.MINIFS('Draft Board'!$AN$2:$AN$192,'Draft Board'!$AN$2:$AN$192,"&gt;"&amp;AN103)-AN103)/_xlfn.MINIFS('Draft Board'!$AN$2:$AN$192,'Draft Board'!$AN$2:$AN$192,"&gt;"&amp;AN103)&gt;0.08,1,0)))</f>
        <v>0</v>
      </c>
      <c r="AQ103" s="13">
        <f>_xlfn.MINIFS('Draft Board'!$AN$2:$AN$192,'Draft Board'!$AN$2:$AN$192,"&gt;="&amp;AN103,'Draft Board'!$AP$2:$AP$192,1)</f>
        <v>0</v>
      </c>
      <c r="AR103" s="13">
        <f>IF(AO103&lt;&gt;_xlfn.MINIFS('Draft Board'!$AO$2:$AO$192,'Draft Board'!$AN$2:$AN$192,"="&amp;AN103),0,IF(OR(AP103=1,IFERROR(FLOOR((AQ103-AN103)/AQ103/0.25,1),0)&lt;&gt;IFERROR(FLOOR((AQ103-_xlfn.MINIFS('Draft Board'!$AN$2:$AN$192,'Draft Board'!$AN$2:$AN$192,"&gt;"&amp;AN103))/AQ103/0.25,1),0)),1,0))</f>
        <v>0</v>
      </c>
      <c r="AS103" s="13">
        <f>ROUND(1+AN103*'Live Calc'!$D$28,0)</f>
        <v>1</v>
      </c>
      <c r="AT103" s="13"/>
      <c r="AU103" s="13">
        <f>IF(AT103&lt;&gt;"",AT103,ROUND(AS103*INDEX('Live Calc'!$G$260:$G$450,MATCH(AM103,'Live Calc'!$A$260:$A$450,0))*'Live Calc'!$J$543,0))</f>
        <v>1</v>
      </c>
    </row>
    <row r="104" spans="17:47" x14ac:dyDescent="0.25">
      <c r="Q104" s="12" t="s">
        <v>443</v>
      </c>
      <c r="R104" s="12" t="s">
        <v>131</v>
      </c>
      <c r="S104" s="12">
        <v>19.521999999999998</v>
      </c>
      <c r="T104" s="12">
        <v>22.24</v>
      </c>
      <c r="U104" s="12">
        <v>24.928000000000001</v>
      </c>
      <c r="V104" s="12">
        <f>CHOOSE(MATCH(Setup!$B$7,{"STD","Half-PPR","PPR"},0),S104,T104,U104)</f>
        <v>22.24</v>
      </c>
      <c r="W104" s="12">
        <f>COUNTIFS('Draft Board'!$X$2:$X$162,"&gt;="&amp;X104,'Draft Board'!$AB$2:$AB$162,1)</f>
        <v>19</v>
      </c>
      <c r="X104" s="12">
        <f>MAX(0,V104-'Live Calc'!$H$20)^'Live Calc'!$E$20</f>
        <v>0</v>
      </c>
      <c r="Y104" s="12">
        <v>104</v>
      </c>
      <c r="Z104" s="12">
        <f>IF(Y104&lt;&gt;_xlfn.MINIFS('Draft Board'!$Y$2:$Y$162,'Draft Board'!$X$2:$X$162,"="&amp;X104),0,IF(_xlfn.MINIFS('Draft Board'!$X$2:$X$162,'Draft Board'!$X$2:$X$162,"&gt;"&amp;X104)=0,1,IF((_xlfn.MINIFS('Draft Board'!$X$2:$X$162,'Draft Board'!$X$2:$X$162,"&gt;"&amp;X104)-X104)/_xlfn.MINIFS('Draft Board'!$X$2:$X$162,'Draft Board'!$X$2:$X$162,"&gt;"&amp;X104)&gt;0.08,1,0)))</f>
        <v>0</v>
      </c>
      <c r="AA104" s="12">
        <f>_xlfn.MINIFS('Draft Board'!$X$2:$X$162,'Draft Board'!$X$2:$X$162,"&gt;="&amp;X104,'Draft Board'!$Z$2:$Z$162,1)</f>
        <v>0</v>
      </c>
      <c r="AB104" s="12">
        <f>IF(Y104&lt;&gt;_xlfn.MINIFS('Draft Board'!$Y$2:$Y$162,'Draft Board'!$X$2:$X$162,"="&amp;X104),0,IF(OR(Z104=1,IFERROR(FLOOR((AA104-X104)/AA104/0.25,1),0)&lt;&gt;IFERROR(FLOOR((AA104-_xlfn.MINIFS('Draft Board'!$X$2:$X$162,'Draft Board'!$X$2:$X$162,"&gt;"&amp;X104))/AA104/0.25,1),0)),1,0))</f>
        <v>0</v>
      </c>
      <c r="AC104" s="12">
        <f>ROUND(1+X104*'Live Calc'!$D$27,0)</f>
        <v>1</v>
      </c>
      <c r="AD104" s="12"/>
      <c r="AE104" s="12">
        <f>IF(AD104&lt;&gt;"",AD104,ROUND(AC104*INDEX('Live Calc'!$G$96:$G$256,MATCH(W104,'Live Calc'!$A$96:$A$256,0))*'Live Calc'!$J$543,0))</f>
        <v>1</v>
      </c>
      <c r="AG104" s="13" t="s">
        <v>444</v>
      </c>
      <c r="AH104" s="13" t="s">
        <v>67</v>
      </c>
      <c r="AI104" s="13">
        <v>39.991999999999997</v>
      </c>
      <c r="AJ104" s="13">
        <v>53.526000000000003</v>
      </c>
      <c r="AK104" s="13">
        <v>66.248000000000005</v>
      </c>
      <c r="AL104" s="13">
        <f>CHOOSE(MATCH(Setup!$B$7,{"STD","Half-PPR","PPR"},0),AI104,AJ104,AK104)</f>
        <v>53.526000000000003</v>
      </c>
      <c r="AM104" s="13">
        <f>COUNTIFS('Draft Board'!$AN$2:$AN$192,"&gt;="&amp;AN104,'Draft Board'!$AR$2:$AR$192,1)</f>
        <v>22</v>
      </c>
      <c r="AN104" s="13">
        <f>MAX(0,AL104-'Live Calc'!$H$21)^'Live Calc'!$E$21</f>
        <v>0</v>
      </c>
      <c r="AO104" s="13">
        <v>104</v>
      </c>
      <c r="AP104" s="13">
        <f>IF(AO104&lt;&gt;_xlfn.MINIFS('Draft Board'!$AO$2:$AO$192,'Draft Board'!$AN$2:$AN$192,"="&amp;AN104),0,IF(_xlfn.MINIFS('Draft Board'!$AN$2:$AN$192,'Draft Board'!$AN$2:$AN$192,"&gt;"&amp;AN104)=0,1,IF((_xlfn.MINIFS('Draft Board'!$AN$2:$AN$192,'Draft Board'!$AN$2:$AN$192,"&gt;"&amp;AN104)-AN104)/_xlfn.MINIFS('Draft Board'!$AN$2:$AN$192,'Draft Board'!$AN$2:$AN$192,"&gt;"&amp;AN104)&gt;0.08,1,0)))</f>
        <v>0</v>
      </c>
      <c r="AQ104" s="13">
        <f>_xlfn.MINIFS('Draft Board'!$AN$2:$AN$192,'Draft Board'!$AN$2:$AN$192,"&gt;="&amp;AN104,'Draft Board'!$AP$2:$AP$192,1)</f>
        <v>0</v>
      </c>
      <c r="AR104" s="13">
        <f>IF(AO104&lt;&gt;_xlfn.MINIFS('Draft Board'!$AO$2:$AO$192,'Draft Board'!$AN$2:$AN$192,"="&amp;AN104),0,IF(OR(AP104=1,IFERROR(FLOOR((AQ104-AN104)/AQ104/0.25,1),0)&lt;&gt;IFERROR(FLOOR((AQ104-_xlfn.MINIFS('Draft Board'!$AN$2:$AN$192,'Draft Board'!$AN$2:$AN$192,"&gt;"&amp;AN104))/AQ104/0.25,1),0)),1,0))</f>
        <v>0</v>
      </c>
      <c r="AS104" s="13">
        <f>ROUND(1+AN104*'Live Calc'!$D$28,0)</f>
        <v>1</v>
      </c>
      <c r="AT104" s="13"/>
      <c r="AU104" s="13">
        <f>IF(AT104&lt;&gt;"",AT104,ROUND(AS104*INDEX('Live Calc'!$G$260:$G$450,MATCH(AM104,'Live Calc'!$A$260:$A$450,0))*'Live Calc'!$J$543,0))</f>
        <v>1</v>
      </c>
    </row>
    <row r="105" spans="17:47" x14ac:dyDescent="0.25">
      <c r="Q105" s="12" t="s">
        <v>445</v>
      </c>
      <c r="R105" s="12" t="s">
        <v>91</v>
      </c>
      <c r="S105" s="12">
        <v>17.39</v>
      </c>
      <c r="T105" s="12">
        <v>21.664000000000001</v>
      </c>
      <c r="U105" s="12">
        <v>25.957999999999998</v>
      </c>
      <c r="V105" s="12">
        <f>CHOOSE(MATCH(Setup!$B$7,{"STD","Half-PPR","PPR"},0),S105,T105,U105)</f>
        <v>21.664000000000001</v>
      </c>
      <c r="W105" s="12">
        <f>COUNTIFS('Draft Board'!$X$2:$X$162,"&gt;="&amp;X105,'Draft Board'!$AB$2:$AB$162,1)</f>
        <v>19</v>
      </c>
      <c r="X105" s="12">
        <f>MAX(0,V105-'Live Calc'!$H$20)^'Live Calc'!$E$20</f>
        <v>0</v>
      </c>
      <c r="Y105" s="12">
        <v>105</v>
      </c>
      <c r="Z105" s="12">
        <f>IF(Y105&lt;&gt;_xlfn.MINIFS('Draft Board'!$Y$2:$Y$162,'Draft Board'!$X$2:$X$162,"="&amp;X105),0,IF(_xlfn.MINIFS('Draft Board'!$X$2:$X$162,'Draft Board'!$X$2:$X$162,"&gt;"&amp;X105)=0,1,IF((_xlfn.MINIFS('Draft Board'!$X$2:$X$162,'Draft Board'!$X$2:$X$162,"&gt;"&amp;X105)-X105)/_xlfn.MINIFS('Draft Board'!$X$2:$X$162,'Draft Board'!$X$2:$X$162,"&gt;"&amp;X105)&gt;0.08,1,0)))</f>
        <v>0</v>
      </c>
      <c r="AA105" s="12">
        <f>_xlfn.MINIFS('Draft Board'!$X$2:$X$162,'Draft Board'!$X$2:$X$162,"&gt;="&amp;X105,'Draft Board'!$Z$2:$Z$162,1)</f>
        <v>0</v>
      </c>
      <c r="AB105" s="12">
        <f>IF(Y105&lt;&gt;_xlfn.MINIFS('Draft Board'!$Y$2:$Y$162,'Draft Board'!$X$2:$X$162,"="&amp;X105),0,IF(OR(Z105=1,IFERROR(FLOOR((AA105-X105)/AA105/0.25,1),0)&lt;&gt;IFERROR(FLOOR((AA105-_xlfn.MINIFS('Draft Board'!$X$2:$X$162,'Draft Board'!$X$2:$X$162,"&gt;"&amp;X105))/AA105/0.25,1),0)),1,0))</f>
        <v>0</v>
      </c>
      <c r="AC105" s="12">
        <f>ROUND(1+X105*'Live Calc'!$D$27,0)</f>
        <v>1</v>
      </c>
      <c r="AD105" s="12"/>
      <c r="AE105" s="12">
        <f>IF(AD105&lt;&gt;"",AD105,ROUND(AC105*INDEX('Live Calc'!$G$96:$G$256,MATCH(W105,'Live Calc'!$A$96:$A$256,0))*'Live Calc'!$J$543,0))</f>
        <v>1</v>
      </c>
      <c r="AG105" s="13" t="s">
        <v>446</v>
      </c>
      <c r="AH105" s="13" t="s">
        <v>284</v>
      </c>
      <c r="AI105" s="13">
        <v>41.472000000000001</v>
      </c>
      <c r="AJ105" s="13">
        <v>53.015999999999998</v>
      </c>
      <c r="AK105" s="13">
        <v>62.734000000000002</v>
      </c>
      <c r="AL105" s="13">
        <f>CHOOSE(MATCH(Setup!$B$7,{"STD","Half-PPR","PPR"},0),AI105,AJ105,AK105)</f>
        <v>53.015999999999998</v>
      </c>
      <c r="AM105" s="13">
        <f>COUNTIFS('Draft Board'!$AN$2:$AN$192,"&gt;="&amp;AN105,'Draft Board'!$AR$2:$AR$192,1)</f>
        <v>22</v>
      </c>
      <c r="AN105" s="13">
        <f>MAX(0,AL105-'Live Calc'!$H$21)^'Live Calc'!$E$21</f>
        <v>0</v>
      </c>
      <c r="AO105" s="13">
        <v>105</v>
      </c>
      <c r="AP105" s="13">
        <f>IF(AO105&lt;&gt;_xlfn.MINIFS('Draft Board'!$AO$2:$AO$192,'Draft Board'!$AN$2:$AN$192,"="&amp;AN105),0,IF(_xlfn.MINIFS('Draft Board'!$AN$2:$AN$192,'Draft Board'!$AN$2:$AN$192,"&gt;"&amp;AN105)=0,1,IF((_xlfn.MINIFS('Draft Board'!$AN$2:$AN$192,'Draft Board'!$AN$2:$AN$192,"&gt;"&amp;AN105)-AN105)/_xlfn.MINIFS('Draft Board'!$AN$2:$AN$192,'Draft Board'!$AN$2:$AN$192,"&gt;"&amp;AN105)&gt;0.08,1,0)))</f>
        <v>0</v>
      </c>
      <c r="AQ105" s="13">
        <f>_xlfn.MINIFS('Draft Board'!$AN$2:$AN$192,'Draft Board'!$AN$2:$AN$192,"&gt;="&amp;AN105,'Draft Board'!$AP$2:$AP$192,1)</f>
        <v>0</v>
      </c>
      <c r="AR105" s="13">
        <f>IF(AO105&lt;&gt;_xlfn.MINIFS('Draft Board'!$AO$2:$AO$192,'Draft Board'!$AN$2:$AN$192,"="&amp;AN105),0,IF(OR(AP105=1,IFERROR(FLOOR((AQ105-AN105)/AQ105/0.25,1),0)&lt;&gt;IFERROR(FLOOR((AQ105-_xlfn.MINIFS('Draft Board'!$AN$2:$AN$192,'Draft Board'!$AN$2:$AN$192,"&gt;"&amp;AN105))/AQ105/0.25,1),0)),1,0))</f>
        <v>0</v>
      </c>
      <c r="AS105" s="13">
        <f>ROUND(1+AN105*'Live Calc'!$D$28,0)</f>
        <v>1</v>
      </c>
      <c r="AT105" s="13"/>
      <c r="AU105" s="13">
        <f>IF(AT105&lt;&gt;"",AT105,ROUND(AS105*INDEX('Live Calc'!$G$260:$G$450,MATCH(AM105,'Live Calc'!$A$260:$A$450,0))*'Live Calc'!$J$543,0))</f>
        <v>1</v>
      </c>
    </row>
    <row r="106" spans="17:47" x14ac:dyDescent="0.25">
      <c r="Q106" s="12" t="s">
        <v>447</v>
      </c>
      <c r="R106" s="12" t="s">
        <v>164</v>
      </c>
      <c r="S106" s="12">
        <v>18.675999999999998</v>
      </c>
      <c r="T106" s="12">
        <v>21.654</v>
      </c>
      <c r="U106" s="12">
        <v>26.286000000000001</v>
      </c>
      <c r="V106" s="12">
        <f>CHOOSE(MATCH(Setup!$B$7,{"STD","Half-PPR","PPR"},0),S106,T106,U106)</f>
        <v>21.654</v>
      </c>
      <c r="W106" s="12">
        <f>COUNTIFS('Draft Board'!$X$2:$X$162,"&gt;="&amp;X106,'Draft Board'!$AB$2:$AB$162,1)</f>
        <v>19</v>
      </c>
      <c r="X106" s="12">
        <f>MAX(0,V106-'Live Calc'!$H$20)^'Live Calc'!$E$20</f>
        <v>0</v>
      </c>
      <c r="Y106" s="12">
        <v>106</v>
      </c>
      <c r="Z106" s="12">
        <f>IF(Y106&lt;&gt;_xlfn.MINIFS('Draft Board'!$Y$2:$Y$162,'Draft Board'!$X$2:$X$162,"="&amp;X106),0,IF(_xlfn.MINIFS('Draft Board'!$X$2:$X$162,'Draft Board'!$X$2:$X$162,"&gt;"&amp;X106)=0,1,IF((_xlfn.MINIFS('Draft Board'!$X$2:$X$162,'Draft Board'!$X$2:$X$162,"&gt;"&amp;X106)-X106)/_xlfn.MINIFS('Draft Board'!$X$2:$X$162,'Draft Board'!$X$2:$X$162,"&gt;"&amp;X106)&gt;0.08,1,0)))</f>
        <v>0</v>
      </c>
      <c r="AA106" s="12">
        <f>_xlfn.MINIFS('Draft Board'!$X$2:$X$162,'Draft Board'!$X$2:$X$162,"&gt;="&amp;X106,'Draft Board'!$Z$2:$Z$162,1)</f>
        <v>0</v>
      </c>
      <c r="AB106" s="12">
        <f>IF(Y106&lt;&gt;_xlfn.MINIFS('Draft Board'!$Y$2:$Y$162,'Draft Board'!$X$2:$X$162,"="&amp;X106),0,IF(OR(Z106=1,IFERROR(FLOOR((AA106-X106)/AA106/0.25,1),0)&lt;&gt;IFERROR(FLOOR((AA106-_xlfn.MINIFS('Draft Board'!$X$2:$X$162,'Draft Board'!$X$2:$X$162,"&gt;"&amp;X106))/AA106/0.25,1),0)),1,0))</f>
        <v>0</v>
      </c>
      <c r="AC106" s="12">
        <f>ROUND(1+X106*'Live Calc'!$D$27,0)</f>
        <v>1</v>
      </c>
      <c r="AD106" s="12"/>
      <c r="AE106" s="12">
        <f>IF(AD106&lt;&gt;"",AD106,ROUND(AC106*INDEX('Live Calc'!$G$96:$G$256,MATCH(W106,'Live Calc'!$A$96:$A$256,0))*'Live Calc'!$J$543,0))</f>
        <v>1</v>
      </c>
      <c r="AG106" s="13" t="s">
        <v>448</v>
      </c>
      <c r="AH106" s="13" t="s">
        <v>139</v>
      </c>
      <c r="AI106" s="13">
        <v>41.106000000000002</v>
      </c>
      <c r="AJ106" s="13">
        <v>52.048000000000002</v>
      </c>
      <c r="AK106" s="13">
        <v>64.680000000000007</v>
      </c>
      <c r="AL106" s="13">
        <f>CHOOSE(MATCH(Setup!$B$7,{"STD","Half-PPR","PPR"},0),AI106,AJ106,AK106)</f>
        <v>52.048000000000002</v>
      </c>
      <c r="AM106" s="13">
        <f>COUNTIFS('Draft Board'!$AN$2:$AN$192,"&gt;="&amp;AN106,'Draft Board'!$AR$2:$AR$192,1)</f>
        <v>22</v>
      </c>
      <c r="AN106" s="13">
        <f>MAX(0,AL106-'Live Calc'!$H$21)^'Live Calc'!$E$21</f>
        <v>0</v>
      </c>
      <c r="AO106" s="13">
        <v>106</v>
      </c>
      <c r="AP106" s="13">
        <f>IF(AO106&lt;&gt;_xlfn.MINIFS('Draft Board'!$AO$2:$AO$192,'Draft Board'!$AN$2:$AN$192,"="&amp;AN106),0,IF(_xlfn.MINIFS('Draft Board'!$AN$2:$AN$192,'Draft Board'!$AN$2:$AN$192,"&gt;"&amp;AN106)=0,1,IF((_xlfn.MINIFS('Draft Board'!$AN$2:$AN$192,'Draft Board'!$AN$2:$AN$192,"&gt;"&amp;AN106)-AN106)/_xlfn.MINIFS('Draft Board'!$AN$2:$AN$192,'Draft Board'!$AN$2:$AN$192,"&gt;"&amp;AN106)&gt;0.08,1,0)))</f>
        <v>0</v>
      </c>
      <c r="AQ106" s="13">
        <f>_xlfn.MINIFS('Draft Board'!$AN$2:$AN$192,'Draft Board'!$AN$2:$AN$192,"&gt;="&amp;AN106,'Draft Board'!$AP$2:$AP$192,1)</f>
        <v>0</v>
      </c>
      <c r="AR106" s="13">
        <f>IF(AO106&lt;&gt;_xlfn.MINIFS('Draft Board'!$AO$2:$AO$192,'Draft Board'!$AN$2:$AN$192,"="&amp;AN106),0,IF(OR(AP106=1,IFERROR(FLOOR((AQ106-AN106)/AQ106/0.25,1),0)&lt;&gt;IFERROR(FLOOR((AQ106-_xlfn.MINIFS('Draft Board'!$AN$2:$AN$192,'Draft Board'!$AN$2:$AN$192,"&gt;"&amp;AN106))/AQ106/0.25,1),0)),1,0))</f>
        <v>0</v>
      </c>
      <c r="AS106" s="13">
        <f>ROUND(1+AN106*'Live Calc'!$D$28,0)</f>
        <v>1</v>
      </c>
      <c r="AT106" s="13"/>
      <c r="AU106" s="13">
        <f>IF(AT106&lt;&gt;"",AT106,ROUND(AS106*INDEX('Live Calc'!$G$260:$G$450,MATCH(AM106,'Live Calc'!$A$260:$A$450,0))*'Live Calc'!$J$543,0))</f>
        <v>1</v>
      </c>
    </row>
    <row r="107" spans="17:47" x14ac:dyDescent="0.25">
      <c r="Q107" s="12" t="s">
        <v>449</v>
      </c>
      <c r="R107" s="12" t="s">
        <v>108</v>
      </c>
      <c r="S107" s="12">
        <v>17.978000000000002</v>
      </c>
      <c r="T107" s="12">
        <v>20.968</v>
      </c>
      <c r="U107" s="12">
        <v>23.838000000000001</v>
      </c>
      <c r="V107" s="12">
        <f>CHOOSE(MATCH(Setup!$B$7,{"STD","Half-PPR","PPR"},0),S107,T107,U107)</f>
        <v>20.968</v>
      </c>
      <c r="W107" s="12">
        <f>COUNTIFS('Draft Board'!$X$2:$X$162,"&gt;="&amp;X107,'Draft Board'!$AB$2:$AB$162,1)</f>
        <v>19</v>
      </c>
      <c r="X107" s="12">
        <f>MAX(0,V107-'Live Calc'!$H$20)^'Live Calc'!$E$20</f>
        <v>0</v>
      </c>
      <c r="Y107" s="12">
        <v>107</v>
      </c>
      <c r="Z107" s="12">
        <f>IF(Y107&lt;&gt;_xlfn.MINIFS('Draft Board'!$Y$2:$Y$162,'Draft Board'!$X$2:$X$162,"="&amp;X107),0,IF(_xlfn.MINIFS('Draft Board'!$X$2:$X$162,'Draft Board'!$X$2:$X$162,"&gt;"&amp;X107)=0,1,IF((_xlfn.MINIFS('Draft Board'!$X$2:$X$162,'Draft Board'!$X$2:$X$162,"&gt;"&amp;X107)-X107)/_xlfn.MINIFS('Draft Board'!$X$2:$X$162,'Draft Board'!$X$2:$X$162,"&gt;"&amp;X107)&gt;0.08,1,0)))</f>
        <v>0</v>
      </c>
      <c r="AA107" s="12">
        <f>_xlfn.MINIFS('Draft Board'!$X$2:$X$162,'Draft Board'!$X$2:$X$162,"&gt;="&amp;X107,'Draft Board'!$Z$2:$Z$162,1)</f>
        <v>0</v>
      </c>
      <c r="AB107" s="12">
        <f>IF(Y107&lt;&gt;_xlfn.MINIFS('Draft Board'!$Y$2:$Y$162,'Draft Board'!$X$2:$X$162,"="&amp;X107),0,IF(OR(Z107=1,IFERROR(FLOOR((AA107-X107)/AA107/0.25,1),0)&lt;&gt;IFERROR(FLOOR((AA107-_xlfn.MINIFS('Draft Board'!$X$2:$X$162,'Draft Board'!$X$2:$X$162,"&gt;"&amp;X107))/AA107/0.25,1),0)),1,0))</f>
        <v>0</v>
      </c>
      <c r="AC107" s="12">
        <f>ROUND(1+X107*'Live Calc'!$D$27,0)</f>
        <v>1</v>
      </c>
      <c r="AD107" s="12"/>
      <c r="AE107" s="12">
        <f>IF(AD107&lt;&gt;"",AD107,ROUND(AC107*INDEX('Live Calc'!$G$96:$G$256,MATCH(W107,'Live Calc'!$A$96:$A$256,0))*'Live Calc'!$J$543,0))</f>
        <v>1</v>
      </c>
      <c r="AG107" s="13" t="s">
        <v>450</v>
      </c>
      <c r="AH107" s="13" t="s">
        <v>77</v>
      </c>
      <c r="AI107" s="13">
        <v>39.5</v>
      </c>
      <c r="AJ107" s="13">
        <v>51.311999999999998</v>
      </c>
      <c r="AK107" s="13">
        <v>62.537999999999997</v>
      </c>
      <c r="AL107" s="13">
        <f>CHOOSE(MATCH(Setup!$B$7,{"STD","Half-PPR","PPR"},0),AI107,AJ107,AK107)</f>
        <v>51.311999999999998</v>
      </c>
      <c r="AM107" s="13">
        <f>COUNTIFS('Draft Board'!$AN$2:$AN$192,"&gt;="&amp;AN107,'Draft Board'!$AR$2:$AR$192,1)</f>
        <v>22</v>
      </c>
      <c r="AN107" s="13">
        <f>MAX(0,AL107-'Live Calc'!$H$21)^'Live Calc'!$E$21</f>
        <v>0</v>
      </c>
      <c r="AO107" s="13">
        <v>107</v>
      </c>
      <c r="AP107" s="13">
        <f>IF(AO107&lt;&gt;_xlfn.MINIFS('Draft Board'!$AO$2:$AO$192,'Draft Board'!$AN$2:$AN$192,"="&amp;AN107),0,IF(_xlfn.MINIFS('Draft Board'!$AN$2:$AN$192,'Draft Board'!$AN$2:$AN$192,"&gt;"&amp;AN107)=0,1,IF((_xlfn.MINIFS('Draft Board'!$AN$2:$AN$192,'Draft Board'!$AN$2:$AN$192,"&gt;"&amp;AN107)-AN107)/_xlfn.MINIFS('Draft Board'!$AN$2:$AN$192,'Draft Board'!$AN$2:$AN$192,"&gt;"&amp;AN107)&gt;0.08,1,0)))</f>
        <v>0</v>
      </c>
      <c r="AQ107" s="13">
        <f>_xlfn.MINIFS('Draft Board'!$AN$2:$AN$192,'Draft Board'!$AN$2:$AN$192,"&gt;="&amp;AN107,'Draft Board'!$AP$2:$AP$192,1)</f>
        <v>0</v>
      </c>
      <c r="AR107" s="13">
        <f>IF(AO107&lt;&gt;_xlfn.MINIFS('Draft Board'!$AO$2:$AO$192,'Draft Board'!$AN$2:$AN$192,"="&amp;AN107),0,IF(OR(AP107=1,IFERROR(FLOOR((AQ107-AN107)/AQ107/0.25,1),0)&lt;&gt;IFERROR(FLOOR((AQ107-_xlfn.MINIFS('Draft Board'!$AN$2:$AN$192,'Draft Board'!$AN$2:$AN$192,"&gt;"&amp;AN107))/AQ107/0.25,1),0)),1,0))</f>
        <v>0</v>
      </c>
      <c r="AS107" s="13">
        <f>ROUND(1+AN107*'Live Calc'!$D$28,0)</f>
        <v>1</v>
      </c>
      <c r="AT107" s="13"/>
      <c r="AU107" s="13">
        <f>IF(AT107&lt;&gt;"",AT107,ROUND(AS107*INDEX('Live Calc'!$G$260:$G$450,MATCH(AM107,'Live Calc'!$A$260:$A$450,0))*'Live Calc'!$J$543,0))</f>
        <v>1</v>
      </c>
    </row>
    <row r="108" spans="17:47" x14ac:dyDescent="0.25">
      <c r="Q108" s="12" t="s">
        <v>451</v>
      </c>
      <c r="R108" s="12" t="s">
        <v>190</v>
      </c>
      <c r="S108" s="12">
        <v>17.792000000000002</v>
      </c>
      <c r="T108" s="12">
        <v>20.882000000000001</v>
      </c>
      <c r="U108" s="12">
        <v>23.891999999999999</v>
      </c>
      <c r="V108" s="12">
        <f>CHOOSE(MATCH(Setup!$B$7,{"STD","Half-PPR","PPR"},0),S108,T108,U108)</f>
        <v>20.882000000000001</v>
      </c>
      <c r="W108" s="12">
        <f>COUNTIFS('Draft Board'!$X$2:$X$162,"&gt;="&amp;X108,'Draft Board'!$AB$2:$AB$162,1)</f>
        <v>19</v>
      </c>
      <c r="X108" s="12">
        <f>MAX(0,V108-'Live Calc'!$H$20)^'Live Calc'!$E$20</f>
        <v>0</v>
      </c>
      <c r="Y108" s="12">
        <v>108</v>
      </c>
      <c r="Z108" s="12">
        <f>IF(Y108&lt;&gt;_xlfn.MINIFS('Draft Board'!$Y$2:$Y$162,'Draft Board'!$X$2:$X$162,"="&amp;X108),0,IF(_xlfn.MINIFS('Draft Board'!$X$2:$X$162,'Draft Board'!$X$2:$X$162,"&gt;"&amp;X108)=0,1,IF((_xlfn.MINIFS('Draft Board'!$X$2:$X$162,'Draft Board'!$X$2:$X$162,"&gt;"&amp;X108)-X108)/_xlfn.MINIFS('Draft Board'!$X$2:$X$162,'Draft Board'!$X$2:$X$162,"&gt;"&amp;X108)&gt;0.08,1,0)))</f>
        <v>0</v>
      </c>
      <c r="AA108" s="12">
        <f>_xlfn.MINIFS('Draft Board'!$X$2:$X$162,'Draft Board'!$X$2:$X$162,"&gt;="&amp;X108,'Draft Board'!$Z$2:$Z$162,1)</f>
        <v>0</v>
      </c>
      <c r="AB108" s="12">
        <f>IF(Y108&lt;&gt;_xlfn.MINIFS('Draft Board'!$Y$2:$Y$162,'Draft Board'!$X$2:$X$162,"="&amp;X108),0,IF(OR(Z108=1,IFERROR(FLOOR((AA108-X108)/AA108/0.25,1),0)&lt;&gt;IFERROR(FLOOR((AA108-_xlfn.MINIFS('Draft Board'!$X$2:$X$162,'Draft Board'!$X$2:$X$162,"&gt;"&amp;X108))/AA108/0.25,1),0)),1,0))</f>
        <v>0</v>
      </c>
      <c r="AC108" s="12">
        <f>ROUND(1+X108*'Live Calc'!$D$27,0)</f>
        <v>1</v>
      </c>
      <c r="AD108" s="12"/>
      <c r="AE108" s="12">
        <f>IF(AD108&lt;&gt;"",AD108,ROUND(AC108*INDEX('Live Calc'!$G$96:$G$256,MATCH(W108,'Live Calc'!$A$96:$A$256,0))*'Live Calc'!$J$543,0))</f>
        <v>1</v>
      </c>
      <c r="AG108" s="13" t="s">
        <v>452</v>
      </c>
      <c r="AH108" s="13" t="s">
        <v>75</v>
      </c>
      <c r="AI108" s="13">
        <v>38.456000000000003</v>
      </c>
      <c r="AJ108" s="13">
        <v>50.7</v>
      </c>
      <c r="AK108" s="13">
        <v>62.334000000000003</v>
      </c>
      <c r="AL108" s="13">
        <f>CHOOSE(MATCH(Setup!$B$7,{"STD","Half-PPR","PPR"},0),AI108,AJ108,AK108)</f>
        <v>50.7</v>
      </c>
      <c r="AM108" s="13">
        <f>COUNTIFS('Draft Board'!$AN$2:$AN$192,"&gt;="&amp;AN108,'Draft Board'!$AR$2:$AR$192,1)</f>
        <v>22</v>
      </c>
      <c r="AN108" s="13">
        <f>MAX(0,AL108-'Live Calc'!$H$21)^'Live Calc'!$E$21</f>
        <v>0</v>
      </c>
      <c r="AO108" s="13">
        <v>108</v>
      </c>
      <c r="AP108" s="13">
        <f>IF(AO108&lt;&gt;_xlfn.MINIFS('Draft Board'!$AO$2:$AO$192,'Draft Board'!$AN$2:$AN$192,"="&amp;AN108),0,IF(_xlfn.MINIFS('Draft Board'!$AN$2:$AN$192,'Draft Board'!$AN$2:$AN$192,"&gt;"&amp;AN108)=0,1,IF((_xlfn.MINIFS('Draft Board'!$AN$2:$AN$192,'Draft Board'!$AN$2:$AN$192,"&gt;"&amp;AN108)-AN108)/_xlfn.MINIFS('Draft Board'!$AN$2:$AN$192,'Draft Board'!$AN$2:$AN$192,"&gt;"&amp;AN108)&gt;0.08,1,0)))</f>
        <v>0</v>
      </c>
      <c r="AQ108" s="13">
        <f>_xlfn.MINIFS('Draft Board'!$AN$2:$AN$192,'Draft Board'!$AN$2:$AN$192,"&gt;="&amp;AN108,'Draft Board'!$AP$2:$AP$192,1)</f>
        <v>0</v>
      </c>
      <c r="AR108" s="13">
        <f>IF(AO108&lt;&gt;_xlfn.MINIFS('Draft Board'!$AO$2:$AO$192,'Draft Board'!$AN$2:$AN$192,"="&amp;AN108),0,IF(OR(AP108=1,IFERROR(FLOOR((AQ108-AN108)/AQ108/0.25,1),0)&lt;&gt;IFERROR(FLOOR((AQ108-_xlfn.MINIFS('Draft Board'!$AN$2:$AN$192,'Draft Board'!$AN$2:$AN$192,"&gt;"&amp;AN108))/AQ108/0.25,1),0)),1,0))</f>
        <v>0</v>
      </c>
      <c r="AS108" s="13">
        <f>ROUND(1+AN108*'Live Calc'!$D$28,0)</f>
        <v>1</v>
      </c>
      <c r="AT108" s="13"/>
      <c r="AU108" s="13">
        <f>IF(AT108&lt;&gt;"",AT108,ROUND(AS108*INDEX('Live Calc'!$G$260:$G$450,MATCH(AM108,'Live Calc'!$A$260:$A$450,0))*'Live Calc'!$J$543,0))</f>
        <v>1</v>
      </c>
    </row>
    <row r="109" spans="17:47" x14ac:dyDescent="0.25">
      <c r="Q109" s="12" t="s">
        <v>453</v>
      </c>
      <c r="R109" s="12" t="s">
        <v>284</v>
      </c>
      <c r="S109" s="12">
        <v>18.867999999999999</v>
      </c>
      <c r="T109" s="12">
        <v>20.85</v>
      </c>
      <c r="U109" s="12">
        <v>22.698</v>
      </c>
      <c r="V109" s="12">
        <f>CHOOSE(MATCH(Setup!$B$7,{"STD","Half-PPR","PPR"},0),S109,T109,U109)</f>
        <v>20.85</v>
      </c>
      <c r="W109" s="12">
        <f>COUNTIFS('Draft Board'!$X$2:$X$162,"&gt;="&amp;X109,'Draft Board'!$AB$2:$AB$162,1)</f>
        <v>19</v>
      </c>
      <c r="X109" s="12">
        <f>MAX(0,V109-'Live Calc'!$H$20)^'Live Calc'!$E$20</f>
        <v>0</v>
      </c>
      <c r="Y109" s="12">
        <v>109</v>
      </c>
      <c r="Z109" s="12">
        <f>IF(Y109&lt;&gt;_xlfn.MINIFS('Draft Board'!$Y$2:$Y$162,'Draft Board'!$X$2:$X$162,"="&amp;X109),0,IF(_xlfn.MINIFS('Draft Board'!$X$2:$X$162,'Draft Board'!$X$2:$X$162,"&gt;"&amp;X109)=0,1,IF((_xlfn.MINIFS('Draft Board'!$X$2:$X$162,'Draft Board'!$X$2:$X$162,"&gt;"&amp;X109)-X109)/_xlfn.MINIFS('Draft Board'!$X$2:$X$162,'Draft Board'!$X$2:$X$162,"&gt;"&amp;X109)&gt;0.08,1,0)))</f>
        <v>0</v>
      </c>
      <c r="AA109" s="12">
        <f>_xlfn.MINIFS('Draft Board'!$X$2:$X$162,'Draft Board'!$X$2:$X$162,"&gt;="&amp;X109,'Draft Board'!$Z$2:$Z$162,1)</f>
        <v>0</v>
      </c>
      <c r="AB109" s="12">
        <f>IF(Y109&lt;&gt;_xlfn.MINIFS('Draft Board'!$Y$2:$Y$162,'Draft Board'!$X$2:$X$162,"="&amp;X109),0,IF(OR(Z109=1,IFERROR(FLOOR((AA109-X109)/AA109/0.25,1),0)&lt;&gt;IFERROR(FLOOR((AA109-_xlfn.MINIFS('Draft Board'!$X$2:$X$162,'Draft Board'!$X$2:$X$162,"&gt;"&amp;X109))/AA109/0.25,1),0)),1,0))</f>
        <v>0</v>
      </c>
      <c r="AC109" s="12">
        <f>ROUND(1+X109*'Live Calc'!$D$27,0)</f>
        <v>1</v>
      </c>
      <c r="AD109" s="12"/>
      <c r="AE109" s="12">
        <f>IF(AD109&lt;&gt;"",AD109,ROUND(AC109*INDEX('Live Calc'!$G$96:$G$256,MATCH(W109,'Live Calc'!$A$96:$A$256,0))*'Live Calc'!$J$543,0))</f>
        <v>1</v>
      </c>
      <c r="AG109" s="13" t="s">
        <v>454</v>
      </c>
      <c r="AH109" s="13" t="s">
        <v>111</v>
      </c>
      <c r="AI109" s="13">
        <v>39.054000000000002</v>
      </c>
      <c r="AJ109" s="13">
        <v>50.024000000000001</v>
      </c>
      <c r="AK109" s="13">
        <v>61.97</v>
      </c>
      <c r="AL109" s="13">
        <f>CHOOSE(MATCH(Setup!$B$7,{"STD","Half-PPR","PPR"},0),AI109,AJ109,AK109)</f>
        <v>50.024000000000001</v>
      </c>
      <c r="AM109" s="13">
        <f>COUNTIFS('Draft Board'!$AN$2:$AN$192,"&gt;="&amp;AN109,'Draft Board'!$AR$2:$AR$192,1)</f>
        <v>22</v>
      </c>
      <c r="AN109" s="13">
        <f>MAX(0,AL109-'Live Calc'!$H$21)^'Live Calc'!$E$21</f>
        <v>0</v>
      </c>
      <c r="AO109" s="13">
        <v>109</v>
      </c>
      <c r="AP109" s="13">
        <f>IF(AO109&lt;&gt;_xlfn.MINIFS('Draft Board'!$AO$2:$AO$192,'Draft Board'!$AN$2:$AN$192,"="&amp;AN109),0,IF(_xlfn.MINIFS('Draft Board'!$AN$2:$AN$192,'Draft Board'!$AN$2:$AN$192,"&gt;"&amp;AN109)=0,1,IF((_xlfn.MINIFS('Draft Board'!$AN$2:$AN$192,'Draft Board'!$AN$2:$AN$192,"&gt;"&amp;AN109)-AN109)/_xlfn.MINIFS('Draft Board'!$AN$2:$AN$192,'Draft Board'!$AN$2:$AN$192,"&gt;"&amp;AN109)&gt;0.08,1,0)))</f>
        <v>0</v>
      </c>
      <c r="AQ109" s="13">
        <f>_xlfn.MINIFS('Draft Board'!$AN$2:$AN$192,'Draft Board'!$AN$2:$AN$192,"&gt;="&amp;AN109,'Draft Board'!$AP$2:$AP$192,1)</f>
        <v>0</v>
      </c>
      <c r="AR109" s="13">
        <f>IF(AO109&lt;&gt;_xlfn.MINIFS('Draft Board'!$AO$2:$AO$192,'Draft Board'!$AN$2:$AN$192,"="&amp;AN109),0,IF(OR(AP109=1,IFERROR(FLOOR((AQ109-AN109)/AQ109/0.25,1),0)&lt;&gt;IFERROR(FLOOR((AQ109-_xlfn.MINIFS('Draft Board'!$AN$2:$AN$192,'Draft Board'!$AN$2:$AN$192,"&gt;"&amp;AN109))/AQ109/0.25,1),0)),1,0))</f>
        <v>0</v>
      </c>
      <c r="AS109" s="13">
        <f>ROUND(1+AN109*'Live Calc'!$D$28,0)</f>
        <v>1</v>
      </c>
      <c r="AT109" s="13"/>
      <c r="AU109" s="13">
        <f>IF(AT109&lt;&gt;"",AT109,ROUND(AS109*INDEX('Live Calc'!$G$260:$G$450,MATCH(AM109,'Live Calc'!$A$260:$A$450,0))*'Live Calc'!$J$543,0))</f>
        <v>1</v>
      </c>
    </row>
    <row r="110" spans="17:47" x14ac:dyDescent="0.25">
      <c r="Q110" s="12" t="s">
        <v>455</v>
      </c>
      <c r="R110" s="12" t="s">
        <v>284</v>
      </c>
      <c r="S110" s="12">
        <v>18.507999999999999</v>
      </c>
      <c r="T110" s="12">
        <v>20.591999999999999</v>
      </c>
      <c r="U110" s="12">
        <v>22.638000000000002</v>
      </c>
      <c r="V110" s="12">
        <f>CHOOSE(MATCH(Setup!$B$7,{"STD","Half-PPR","PPR"},0),S110,T110,U110)</f>
        <v>20.591999999999999</v>
      </c>
      <c r="W110" s="12">
        <f>COUNTIFS('Draft Board'!$X$2:$X$162,"&gt;="&amp;X110,'Draft Board'!$AB$2:$AB$162,1)</f>
        <v>19</v>
      </c>
      <c r="X110" s="12">
        <f>MAX(0,V110-'Live Calc'!$H$20)^'Live Calc'!$E$20</f>
        <v>0</v>
      </c>
      <c r="Y110" s="12">
        <v>110</v>
      </c>
      <c r="Z110" s="12">
        <f>IF(Y110&lt;&gt;_xlfn.MINIFS('Draft Board'!$Y$2:$Y$162,'Draft Board'!$X$2:$X$162,"="&amp;X110),0,IF(_xlfn.MINIFS('Draft Board'!$X$2:$X$162,'Draft Board'!$X$2:$X$162,"&gt;"&amp;X110)=0,1,IF((_xlfn.MINIFS('Draft Board'!$X$2:$X$162,'Draft Board'!$X$2:$X$162,"&gt;"&amp;X110)-X110)/_xlfn.MINIFS('Draft Board'!$X$2:$X$162,'Draft Board'!$X$2:$X$162,"&gt;"&amp;X110)&gt;0.08,1,0)))</f>
        <v>0</v>
      </c>
      <c r="AA110" s="12">
        <f>_xlfn.MINIFS('Draft Board'!$X$2:$X$162,'Draft Board'!$X$2:$X$162,"&gt;="&amp;X110,'Draft Board'!$Z$2:$Z$162,1)</f>
        <v>0</v>
      </c>
      <c r="AB110" s="12">
        <f>IF(Y110&lt;&gt;_xlfn.MINIFS('Draft Board'!$Y$2:$Y$162,'Draft Board'!$X$2:$X$162,"="&amp;X110),0,IF(OR(Z110=1,IFERROR(FLOOR((AA110-X110)/AA110/0.25,1),0)&lt;&gt;IFERROR(FLOOR((AA110-_xlfn.MINIFS('Draft Board'!$X$2:$X$162,'Draft Board'!$X$2:$X$162,"&gt;"&amp;X110))/AA110/0.25,1),0)),1,0))</f>
        <v>0</v>
      </c>
      <c r="AC110" s="12">
        <f>ROUND(1+X110*'Live Calc'!$D$27,0)</f>
        <v>1</v>
      </c>
      <c r="AD110" s="12"/>
      <c r="AE110" s="12">
        <f>IF(AD110&lt;&gt;"",AD110,ROUND(AC110*INDEX('Live Calc'!$G$96:$G$256,MATCH(W110,'Live Calc'!$A$96:$A$256,0))*'Live Calc'!$J$543,0))</f>
        <v>1</v>
      </c>
      <c r="AG110" s="13" t="s">
        <v>456</v>
      </c>
      <c r="AH110" s="13" t="s">
        <v>79</v>
      </c>
      <c r="AI110" s="13">
        <v>38.436</v>
      </c>
      <c r="AJ110" s="13">
        <v>49.988</v>
      </c>
      <c r="AK110" s="13">
        <v>61.241999999999997</v>
      </c>
      <c r="AL110" s="13">
        <f>CHOOSE(MATCH(Setup!$B$7,{"STD","Half-PPR","PPR"},0),AI110,AJ110,AK110)</f>
        <v>49.988</v>
      </c>
      <c r="AM110" s="13">
        <f>COUNTIFS('Draft Board'!$AN$2:$AN$192,"&gt;="&amp;AN110,'Draft Board'!$AR$2:$AR$192,1)</f>
        <v>22</v>
      </c>
      <c r="AN110" s="13">
        <f>MAX(0,AL110-'Live Calc'!$H$21)^'Live Calc'!$E$21</f>
        <v>0</v>
      </c>
      <c r="AO110" s="13">
        <v>110</v>
      </c>
      <c r="AP110" s="13">
        <f>IF(AO110&lt;&gt;_xlfn.MINIFS('Draft Board'!$AO$2:$AO$192,'Draft Board'!$AN$2:$AN$192,"="&amp;AN110),0,IF(_xlfn.MINIFS('Draft Board'!$AN$2:$AN$192,'Draft Board'!$AN$2:$AN$192,"&gt;"&amp;AN110)=0,1,IF((_xlfn.MINIFS('Draft Board'!$AN$2:$AN$192,'Draft Board'!$AN$2:$AN$192,"&gt;"&amp;AN110)-AN110)/_xlfn.MINIFS('Draft Board'!$AN$2:$AN$192,'Draft Board'!$AN$2:$AN$192,"&gt;"&amp;AN110)&gt;0.08,1,0)))</f>
        <v>0</v>
      </c>
      <c r="AQ110" s="13">
        <f>_xlfn.MINIFS('Draft Board'!$AN$2:$AN$192,'Draft Board'!$AN$2:$AN$192,"&gt;="&amp;AN110,'Draft Board'!$AP$2:$AP$192,1)</f>
        <v>0</v>
      </c>
      <c r="AR110" s="13">
        <f>IF(AO110&lt;&gt;_xlfn.MINIFS('Draft Board'!$AO$2:$AO$192,'Draft Board'!$AN$2:$AN$192,"="&amp;AN110),0,IF(OR(AP110=1,IFERROR(FLOOR((AQ110-AN110)/AQ110/0.25,1),0)&lt;&gt;IFERROR(FLOOR((AQ110-_xlfn.MINIFS('Draft Board'!$AN$2:$AN$192,'Draft Board'!$AN$2:$AN$192,"&gt;"&amp;AN110))/AQ110/0.25,1),0)),1,0))</f>
        <v>0</v>
      </c>
      <c r="AS110" s="13">
        <f>ROUND(1+AN110*'Live Calc'!$D$28,0)</f>
        <v>1</v>
      </c>
      <c r="AT110" s="13"/>
      <c r="AU110" s="13">
        <f>IF(AT110&lt;&gt;"",AT110,ROUND(AS110*INDEX('Live Calc'!$G$260:$G$450,MATCH(AM110,'Live Calc'!$A$260:$A$450,0))*'Live Calc'!$J$543,0))</f>
        <v>1</v>
      </c>
    </row>
    <row r="111" spans="17:47" x14ac:dyDescent="0.25">
      <c r="Q111" s="12" t="s">
        <v>457</v>
      </c>
      <c r="R111" s="12" t="s">
        <v>83</v>
      </c>
      <c r="S111" s="12">
        <v>18.600000000000001</v>
      </c>
      <c r="T111" s="12">
        <v>20.524000000000001</v>
      </c>
      <c r="U111" s="12">
        <v>21.634</v>
      </c>
      <c r="V111" s="12">
        <f>CHOOSE(MATCH(Setup!$B$7,{"STD","Half-PPR","PPR"},0),S111,T111,U111)</f>
        <v>20.524000000000001</v>
      </c>
      <c r="W111" s="12">
        <f>COUNTIFS('Draft Board'!$X$2:$X$162,"&gt;="&amp;X111,'Draft Board'!$AB$2:$AB$162,1)</f>
        <v>19</v>
      </c>
      <c r="X111" s="12">
        <f>MAX(0,V111-'Live Calc'!$H$20)^'Live Calc'!$E$20</f>
        <v>0</v>
      </c>
      <c r="Y111" s="12">
        <v>111</v>
      </c>
      <c r="Z111" s="12">
        <f>IF(Y111&lt;&gt;_xlfn.MINIFS('Draft Board'!$Y$2:$Y$162,'Draft Board'!$X$2:$X$162,"="&amp;X111),0,IF(_xlfn.MINIFS('Draft Board'!$X$2:$X$162,'Draft Board'!$X$2:$X$162,"&gt;"&amp;X111)=0,1,IF((_xlfn.MINIFS('Draft Board'!$X$2:$X$162,'Draft Board'!$X$2:$X$162,"&gt;"&amp;X111)-X111)/_xlfn.MINIFS('Draft Board'!$X$2:$X$162,'Draft Board'!$X$2:$X$162,"&gt;"&amp;X111)&gt;0.08,1,0)))</f>
        <v>0</v>
      </c>
      <c r="AA111" s="12">
        <f>_xlfn.MINIFS('Draft Board'!$X$2:$X$162,'Draft Board'!$X$2:$X$162,"&gt;="&amp;X111,'Draft Board'!$Z$2:$Z$162,1)</f>
        <v>0</v>
      </c>
      <c r="AB111" s="12">
        <f>IF(Y111&lt;&gt;_xlfn.MINIFS('Draft Board'!$Y$2:$Y$162,'Draft Board'!$X$2:$X$162,"="&amp;X111),0,IF(OR(Z111=1,IFERROR(FLOOR((AA111-X111)/AA111/0.25,1),0)&lt;&gt;IFERROR(FLOOR((AA111-_xlfn.MINIFS('Draft Board'!$X$2:$X$162,'Draft Board'!$X$2:$X$162,"&gt;"&amp;X111))/AA111/0.25,1),0)),1,0))</f>
        <v>0</v>
      </c>
      <c r="AC111" s="12">
        <f>ROUND(1+X111*'Live Calc'!$D$27,0)</f>
        <v>1</v>
      </c>
      <c r="AD111" s="12"/>
      <c r="AE111" s="12">
        <f>IF(AD111&lt;&gt;"",AD111,ROUND(AC111*INDEX('Live Calc'!$G$96:$G$256,MATCH(W111,'Live Calc'!$A$96:$A$256,0))*'Live Calc'!$J$543,0))</f>
        <v>1</v>
      </c>
      <c r="AG111" s="13" t="s">
        <v>458</v>
      </c>
      <c r="AH111" s="13" t="s">
        <v>125</v>
      </c>
      <c r="AI111" s="13">
        <v>37.99</v>
      </c>
      <c r="AJ111" s="13">
        <v>49.905999999999999</v>
      </c>
      <c r="AK111" s="13">
        <v>61.828000000000003</v>
      </c>
      <c r="AL111" s="13">
        <f>CHOOSE(MATCH(Setup!$B$7,{"STD","Half-PPR","PPR"},0),AI111,AJ111,AK111)</f>
        <v>49.905999999999999</v>
      </c>
      <c r="AM111" s="13">
        <f>COUNTIFS('Draft Board'!$AN$2:$AN$192,"&gt;="&amp;AN111,'Draft Board'!$AR$2:$AR$192,1)</f>
        <v>22</v>
      </c>
      <c r="AN111" s="13">
        <f>MAX(0,AL111-'Live Calc'!$H$21)^'Live Calc'!$E$21</f>
        <v>0</v>
      </c>
      <c r="AO111" s="13">
        <v>111</v>
      </c>
      <c r="AP111" s="13">
        <f>IF(AO111&lt;&gt;_xlfn.MINIFS('Draft Board'!$AO$2:$AO$192,'Draft Board'!$AN$2:$AN$192,"="&amp;AN111),0,IF(_xlfn.MINIFS('Draft Board'!$AN$2:$AN$192,'Draft Board'!$AN$2:$AN$192,"&gt;"&amp;AN111)=0,1,IF((_xlfn.MINIFS('Draft Board'!$AN$2:$AN$192,'Draft Board'!$AN$2:$AN$192,"&gt;"&amp;AN111)-AN111)/_xlfn.MINIFS('Draft Board'!$AN$2:$AN$192,'Draft Board'!$AN$2:$AN$192,"&gt;"&amp;AN111)&gt;0.08,1,0)))</f>
        <v>0</v>
      </c>
      <c r="AQ111" s="13">
        <f>_xlfn.MINIFS('Draft Board'!$AN$2:$AN$192,'Draft Board'!$AN$2:$AN$192,"&gt;="&amp;AN111,'Draft Board'!$AP$2:$AP$192,1)</f>
        <v>0</v>
      </c>
      <c r="AR111" s="13">
        <f>IF(AO111&lt;&gt;_xlfn.MINIFS('Draft Board'!$AO$2:$AO$192,'Draft Board'!$AN$2:$AN$192,"="&amp;AN111),0,IF(OR(AP111=1,IFERROR(FLOOR((AQ111-AN111)/AQ111/0.25,1),0)&lt;&gt;IFERROR(FLOOR((AQ111-_xlfn.MINIFS('Draft Board'!$AN$2:$AN$192,'Draft Board'!$AN$2:$AN$192,"&gt;"&amp;AN111))/AQ111/0.25,1),0)),1,0))</f>
        <v>0</v>
      </c>
      <c r="AS111" s="13">
        <f>ROUND(1+AN111*'Live Calc'!$D$28,0)</f>
        <v>1</v>
      </c>
      <c r="AT111" s="13"/>
      <c r="AU111" s="13">
        <f>IF(AT111&lt;&gt;"",AT111,ROUND(AS111*INDEX('Live Calc'!$G$260:$G$450,MATCH(AM111,'Live Calc'!$A$260:$A$450,0))*'Live Calc'!$J$543,0))</f>
        <v>1</v>
      </c>
    </row>
    <row r="112" spans="17:47" x14ac:dyDescent="0.25">
      <c r="Q112" s="12" t="s">
        <v>459</v>
      </c>
      <c r="R112" s="12" t="s">
        <v>94</v>
      </c>
      <c r="S112" s="12">
        <v>15.27</v>
      </c>
      <c r="T112" s="12">
        <v>20.07</v>
      </c>
      <c r="U112" s="12">
        <v>24.87</v>
      </c>
      <c r="V112" s="12">
        <f>CHOOSE(MATCH(Setup!$B$7,{"STD","Half-PPR","PPR"},0),S112,T112,U112)</f>
        <v>20.07</v>
      </c>
      <c r="W112" s="12">
        <f>COUNTIFS('Draft Board'!$X$2:$X$162,"&gt;="&amp;X112,'Draft Board'!$AB$2:$AB$162,1)</f>
        <v>19</v>
      </c>
      <c r="X112" s="12">
        <f>MAX(0,V112-'Live Calc'!$H$20)^'Live Calc'!$E$20</f>
        <v>0</v>
      </c>
      <c r="Y112" s="12">
        <v>112</v>
      </c>
      <c r="Z112" s="12">
        <f>IF(Y112&lt;&gt;_xlfn.MINIFS('Draft Board'!$Y$2:$Y$162,'Draft Board'!$X$2:$X$162,"="&amp;X112),0,IF(_xlfn.MINIFS('Draft Board'!$X$2:$X$162,'Draft Board'!$X$2:$X$162,"&gt;"&amp;X112)=0,1,IF((_xlfn.MINIFS('Draft Board'!$X$2:$X$162,'Draft Board'!$X$2:$X$162,"&gt;"&amp;X112)-X112)/_xlfn.MINIFS('Draft Board'!$X$2:$X$162,'Draft Board'!$X$2:$X$162,"&gt;"&amp;X112)&gt;0.08,1,0)))</f>
        <v>0</v>
      </c>
      <c r="AA112" s="12">
        <f>_xlfn.MINIFS('Draft Board'!$X$2:$X$162,'Draft Board'!$X$2:$X$162,"&gt;="&amp;X112,'Draft Board'!$Z$2:$Z$162,1)</f>
        <v>0</v>
      </c>
      <c r="AB112" s="12">
        <f>IF(Y112&lt;&gt;_xlfn.MINIFS('Draft Board'!$Y$2:$Y$162,'Draft Board'!$X$2:$X$162,"="&amp;X112),0,IF(OR(Z112=1,IFERROR(FLOOR((AA112-X112)/AA112/0.25,1),0)&lt;&gt;IFERROR(FLOOR((AA112-_xlfn.MINIFS('Draft Board'!$X$2:$X$162,'Draft Board'!$X$2:$X$162,"&gt;"&amp;X112))/AA112/0.25,1),0)),1,0))</f>
        <v>0</v>
      </c>
      <c r="AC112" s="12">
        <f>ROUND(1+X112*'Live Calc'!$D$27,0)</f>
        <v>1</v>
      </c>
      <c r="AD112" s="12"/>
      <c r="AE112" s="12">
        <f>IF(AD112&lt;&gt;"",AD112,ROUND(AC112*INDEX('Live Calc'!$G$96:$G$256,MATCH(W112,'Live Calc'!$A$96:$A$256,0))*'Live Calc'!$J$543,0))</f>
        <v>1</v>
      </c>
      <c r="AG112" s="13" t="s">
        <v>460</v>
      </c>
      <c r="AH112" s="13" t="s">
        <v>61</v>
      </c>
      <c r="AI112" s="13">
        <v>38.362000000000002</v>
      </c>
      <c r="AJ112" s="13">
        <v>49.892000000000003</v>
      </c>
      <c r="AK112" s="13">
        <v>61.421999999999997</v>
      </c>
      <c r="AL112" s="13">
        <f>CHOOSE(MATCH(Setup!$B$7,{"STD","Half-PPR","PPR"},0),AI112,AJ112,AK112)</f>
        <v>49.892000000000003</v>
      </c>
      <c r="AM112" s="13">
        <f>COUNTIFS('Draft Board'!$AN$2:$AN$192,"&gt;="&amp;AN112,'Draft Board'!$AR$2:$AR$192,1)</f>
        <v>22</v>
      </c>
      <c r="AN112" s="13">
        <f>MAX(0,AL112-'Live Calc'!$H$21)^'Live Calc'!$E$21</f>
        <v>0</v>
      </c>
      <c r="AO112" s="13">
        <v>112</v>
      </c>
      <c r="AP112" s="13">
        <f>IF(AO112&lt;&gt;_xlfn.MINIFS('Draft Board'!$AO$2:$AO$192,'Draft Board'!$AN$2:$AN$192,"="&amp;AN112),0,IF(_xlfn.MINIFS('Draft Board'!$AN$2:$AN$192,'Draft Board'!$AN$2:$AN$192,"&gt;"&amp;AN112)=0,1,IF((_xlfn.MINIFS('Draft Board'!$AN$2:$AN$192,'Draft Board'!$AN$2:$AN$192,"&gt;"&amp;AN112)-AN112)/_xlfn.MINIFS('Draft Board'!$AN$2:$AN$192,'Draft Board'!$AN$2:$AN$192,"&gt;"&amp;AN112)&gt;0.08,1,0)))</f>
        <v>0</v>
      </c>
      <c r="AQ112" s="13">
        <f>_xlfn.MINIFS('Draft Board'!$AN$2:$AN$192,'Draft Board'!$AN$2:$AN$192,"&gt;="&amp;AN112,'Draft Board'!$AP$2:$AP$192,1)</f>
        <v>0</v>
      </c>
      <c r="AR112" s="13">
        <f>IF(AO112&lt;&gt;_xlfn.MINIFS('Draft Board'!$AO$2:$AO$192,'Draft Board'!$AN$2:$AN$192,"="&amp;AN112),0,IF(OR(AP112=1,IFERROR(FLOOR((AQ112-AN112)/AQ112/0.25,1),0)&lt;&gt;IFERROR(FLOOR((AQ112-_xlfn.MINIFS('Draft Board'!$AN$2:$AN$192,'Draft Board'!$AN$2:$AN$192,"&gt;"&amp;AN112))/AQ112/0.25,1),0)),1,0))</f>
        <v>0</v>
      </c>
      <c r="AS112" s="13">
        <f>ROUND(1+AN112*'Live Calc'!$D$28,0)</f>
        <v>1</v>
      </c>
      <c r="AT112" s="13"/>
      <c r="AU112" s="13">
        <f>IF(AT112&lt;&gt;"",AT112,ROUND(AS112*INDEX('Live Calc'!$G$260:$G$450,MATCH(AM112,'Live Calc'!$A$260:$A$450,0))*'Live Calc'!$J$543,0))</f>
        <v>1</v>
      </c>
    </row>
    <row r="113" spans="17:47" x14ac:dyDescent="0.25">
      <c r="Q113" s="12" t="s">
        <v>461</v>
      </c>
      <c r="R113" s="12" t="s">
        <v>77</v>
      </c>
      <c r="S113" s="12">
        <v>17.594000000000001</v>
      </c>
      <c r="T113" s="12">
        <v>19.802</v>
      </c>
      <c r="U113" s="12">
        <v>21.038</v>
      </c>
      <c r="V113" s="12">
        <f>CHOOSE(MATCH(Setup!$B$7,{"STD","Half-PPR","PPR"},0),S113,T113,U113)</f>
        <v>19.802</v>
      </c>
      <c r="W113" s="12">
        <f>COUNTIFS('Draft Board'!$X$2:$X$162,"&gt;="&amp;X113,'Draft Board'!$AB$2:$AB$162,1)</f>
        <v>19</v>
      </c>
      <c r="X113" s="12">
        <f>MAX(0,V113-'Live Calc'!$H$20)^'Live Calc'!$E$20</f>
        <v>0</v>
      </c>
      <c r="Y113" s="12">
        <v>113</v>
      </c>
      <c r="Z113" s="12">
        <f>IF(Y113&lt;&gt;_xlfn.MINIFS('Draft Board'!$Y$2:$Y$162,'Draft Board'!$X$2:$X$162,"="&amp;X113),0,IF(_xlfn.MINIFS('Draft Board'!$X$2:$X$162,'Draft Board'!$X$2:$X$162,"&gt;"&amp;X113)=0,1,IF((_xlfn.MINIFS('Draft Board'!$X$2:$X$162,'Draft Board'!$X$2:$X$162,"&gt;"&amp;X113)-X113)/_xlfn.MINIFS('Draft Board'!$X$2:$X$162,'Draft Board'!$X$2:$X$162,"&gt;"&amp;X113)&gt;0.08,1,0)))</f>
        <v>0</v>
      </c>
      <c r="AA113" s="12">
        <f>_xlfn.MINIFS('Draft Board'!$X$2:$X$162,'Draft Board'!$X$2:$X$162,"&gt;="&amp;X113,'Draft Board'!$Z$2:$Z$162,1)</f>
        <v>0</v>
      </c>
      <c r="AB113" s="12">
        <f>IF(Y113&lt;&gt;_xlfn.MINIFS('Draft Board'!$Y$2:$Y$162,'Draft Board'!$X$2:$X$162,"="&amp;X113),0,IF(OR(Z113=1,IFERROR(FLOOR((AA113-X113)/AA113/0.25,1),0)&lt;&gt;IFERROR(FLOOR((AA113-_xlfn.MINIFS('Draft Board'!$X$2:$X$162,'Draft Board'!$X$2:$X$162,"&gt;"&amp;X113))/AA113/0.25,1),0)),1,0))</f>
        <v>0</v>
      </c>
      <c r="AC113" s="12">
        <f>ROUND(1+X113*'Live Calc'!$D$27,0)</f>
        <v>1</v>
      </c>
      <c r="AD113" s="12"/>
      <c r="AE113" s="12">
        <f>IF(AD113&lt;&gt;"",AD113,ROUND(AC113*INDEX('Live Calc'!$G$96:$G$256,MATCH(W113,'Live Calc'!$A$96:$A$256,0))*'Live Calc'!$J$543,0))</f>
        <v>1</v>
      </c>
      <c r="AG113" s="13" t="s">
        <v>462</v>
      </c>
      <c r="AH113" s="13" t="s">
        <v>79</v>
      </c>
      <c r="AI113" s="13">
        <v>38.154000000000003</v>
      </c>
      <c r="AJ113" s="13">
        <v>48.414000000000001</v>
      </c>
      <c r="AK113" s="13">
        <v>58.927999999999997</v>
      </c>
      <c r="AL113" s="13">
        <f>CHOOSE(MATCH(Setup!$B$7,{"STD","Half-PPR","PPR"},0),AI113,AJ113,AK113)</f>
        <v>48.414000000000001</v>
      </c>
      <c r="AM113" s="13">
        <f>COUNTIFS('Draft Board'!$AN$2:$AN$192,"&gt;="&amp;AN113,'Draft Board'!$AR$2:$AR$192,1)</f>
        <v>22</v>
      </c>
      <c r="AN113" s="13">
        <f>MAX(0,AL113-'Live Calc'!$H$21)^'Live Calc'!$E$21</f>
        <v>0</v>
      </c>
      <c r="AO113" s="13">
        <v>113</v>
      </c>
      <c r="AP113" s="13">
        <f>IF(AO113&lt;&gt;_xlfn.MINIFS('Draft Board'!$AO$2:$AO$192,'Draft Board'!$AN$2:$AN$192,"="&amp;AN113),0,IF(_xlfn.MINIFS('Draft Board'!$AN$2:$AN$192,'Draft Board'!$AN$2:$AN$192,"&gt;"&amp;AN113)=0,1,IF((_xlfn.MINIFS('Draft Board'!$AN$2:$AN$192,'Draft Board'!$AN$2:$AN$192,"&gt;"&amp;AN113)-AN113)/_xlfn.MINIFS('Draft Board'!$AN$2:$AN$192,'Draft Board'!$AN$2:$AN$192,"&gt;"&amp;AN113)&gt;0.08,1,0)))</f>
        <v>0</v>
      </c>
      <c r="AQ113" s="13">
        <f>_xlfn.MINIFS('Draft Board'!$AN$2:$AN$192,'Draft Board'!$AN$2:$AN$192,"&gt;="&amp;AN113,'Draft Board'!$AP$2:$AP$192,1)</f>
        <v>0</v>
      </c>
      <c r="AR113" s="13">
        <f>IF(AO113&lt;&gt;_xlfn.MINIFS('Draft Board'!$AO$2:$AO$192,'Draft Board'!$AN$2:$AN$192,"="&amp;AN113),0,IF(OR(AP113=1,IFERROR(FLOOR((AQ113-AN113)/AQ113/0.25,1),0)&lt;&gt;IFERROR(FLOOR((AQ113-_xlfn.MINIFS('Draft Board'!$AN$2:$AN$192,'Draft Board'!$AN$2:$AN$192,"&gt;"&amp;AN113))/AQ113/0.25,1),0)),1,0))</f>
        <v>0</v>
      </c>
      <c r="AS113" s="13">
        <f>ROUND(1+AN113*'Live Calc'!$D$28,0)</f>
        <v>1</v>
      </c>
      <c r="AT113" s="13"/>
      <c r="AU113" s="13">
        <f>IF(AT113&lt;&gt;"",AT113,ROUND(AS113*INDEX('Live Calc'!$G$260:$G$450,MATCH(AM113,'Live Calc'!$A$260:$A$450,0))*'Live Calc'!$J$543,0))</f>
        <v>1</v>
      </c>
    </row>
    <row r="114" spans="17:47" x14ac:dyDescent="0.25">
      <c r="Q114" s="12" t="s">
        <v>463</v>
      </c>
      <c r="R114" s="12" t="s">
        <v>69</v>
      </c>
      <c r="S114" s="12">
        <v>17.25</v>
      </c>
      <c r="T114" s="12">
        <v>19.8</v>
      </c>
      <c r="U114" s="12">
        <v>22.35</v>
      </c>
      <c r="V114" s="12">
        <f>CHOOSE(MATCH(Setup!$B$7,{"STD","Half-PPR","PPR"},0),S114,T114,U114)</f>
        <v>19.8</v>
      </c>
      <c r="W114" s="12">
        <f>COUNTIFS('Draft Board'!$X$2:$X$162,"&gt;="&amp;X114,'Draft Board'!$AB$2:$AB$162,1)</f>
        <v>19</v>
      </c>
      <c r="X114" s="12">
        <f>MAX(0,V114-'Live Calc'!$H$20)^'Live Calc'!$E$20</f>
        <v>0</v>
      </c>
      <c r="Y114" s="12">
        <v>114</v>
      </c>
      <c r="Z114" s="12">
        <f>IF(Y114&lt;&gt;_xlfn.MINIFS('Draft Board'!$Y$2:$Y$162,'Draft Board'!$X$2:$X$162,"="&amp;X114),0,IF(_xlfn.MINIFS('Draft Board'!$X$2:$X$162,'Draft Board'!$X$2:$X$162,"&gt;"&amp;X114)=0,1,IF((_xlfn.MINIFS('Draft Board'!$X$2:$X$162,'Draft Board'!$X$2:$X$162,"&gt;"&amp;X114)-X114)/_xlfn.MINIFS('Draft Board'!$X$2:$X$162,'Draft Board'!$X$2:$X$162,"&gt;"&amp;X114)&gt;0.08,1,0)))</f>
        <v>0</v>
      </c>
      <c r="AA114" s="12">
        <f>_xlfn.MINIFS('Draft Board'!$X$2:$X$162,'Draft Board'!$X$2:$X$162,"&gt;="&amp;X114,'Draft Board'!$Z$2:$Z$162,1)</f>
        <v>0</v>
      </c>
      <c r="AB114" s="12">
        <f>IF(Y114&lt;&gt;_xlfn.MINIFS('Draft Board'!$Y$2:$Y$162,'Draft Board'!$X$2:$X$162,"="&amp;X114),0,IF(OR(Z114=1,IFERROR(FLOOR((AA114-X114)/AA114/0.25,1),0)&lt;&gt;IFERROR(FLOOR((AA114-_xlfn.MINIFS('Draft Board'!$X$2:$X$162,'Draft Board'!$X$2:$X$162,"&gt;"&amp;X114))/AA114/0.25,1),0)),1,0))</f>
        <v>0</v>
      </c>
      <c r="AC114" s="12">
        <f>ROUND(1+X114*'Live Calc'!$D$27,0)</f>
        <v>1</v>
      </c>
      <c r="AD114" s="12"/>
      <c r="AE114" s="12">
        <f>IF(AD114&lt;&gt;"",AD114,ROUND(AC114*INDEX('Live Calc'!$G$96:$G$256,MATCH(W114,'Live Calc'!$A$96:$A$256,0))*'Live Calc'!$J$543,0))</f>
        <v>1</v>
      </c>
      <c r="AG114" s="13" t="s">
        <v>464</v>
      </c>
      <c r="AH114" s="13" t="s">
        <v>192</v>
      </c>
      <c r="AI114" s="13">
        <v>38.045999999999999</v>
      </c>
      <c r="AJ114" s="13">
        <v>48.41</v>
      </c>
      <c r="AK114" s="13">
        <v>59.698</v>
      </c>
      <c r="AL114" s="13">
        <f>CHOOSE(MATCH(Setup!$B$7,{"STD","Half-PPR","PPR"},0),AI114,AJ114,AK114)</f>
        <v>48.41</v>
      </c>
      <c r="AM114" s="13">
        <f>COUNTIFS('Draft Board'!$AN$2:$AN$192,"&gt;="&amp;AN114,'Draft Board'!$AR$2:$AR$192,1)</f>
        <v>22</v>
      </c>
      <c r="AN114" s="13">
        <f>MAX(0,AL114-'Live Calc'!$H$21)^'Live Calc'!$E$21</f>
        <v>0</v>
      </c>
      <c r="AO114" s="13">
        <v>114</v>
      </c>
      <c r="AP114" s="13">
        <f>IF(AO114&lt;&gt;_xlfn.MINIFS('Draft Board'!$AO$2:$AO$192,'Draft Board'!$AN$2:$AN$192,"="&amp;AN114),0,IF(_xlfn.MINIFS('Draft Board'!$AN$2:$AN$192,'Draft Board'!$AN$2:$AN$192,"&gt;"&amp;AN114)=0,1,IF((_xlfn.MINIFS('Draft Board'!$AN$2:$AN$192,'Draft Board'!$AN$2:$AN$192,"&gt;"&amp;AN114)-AN114)/_xlfn.MINIFS('Draft Board'!$AN$2:$AN$192,'Draft Board'!$AN$2:$AN$192,"&gt;"&amp;AN114)&gt;0.08,1,0)))</f>
        <v>0</v>
      </c>
      <c r="AQ114" s="13">
        <f>_xlfn.MINIFS('Draft Board'!$AN$2:$AN$192,'Draft Board'!$AN$2:$AN$192,"&gt;="&amp;AN114,'Draft Board'!$AP$2:$AP$192,1)</f>
        <v>0</v>
      </c>
      <c r="AR114" s="13">
        <f>IF(AO114&lt;&gt;_xlfn.MINIFS('Draft Board'!$AO$2:$AO$192,'Draft Board'!$AN$2:$AN$192,"="&amp;AN114),0,IF(OR(AP114=1,IFERROR(FLOOR((AQ114-AN114)/AQ114/0.25,1),0)&lt;&gt;IFERROR(FLOOR((AQ114-_xlfn.MINIFS('Draft Board'!$AN$2:$AN$192,'Draft Board'!$AN$2:$AN$192,"&gt;"&amp;AN114))/AQ114/0.25,1),0)),1,0))</f>
        <v>0</v>
      </c>
      <c r="AS114" s="13">
        <f>ROUND(1+AN114*'Live Calc'!$D$28,0)</f>
        <v>1</v>
      </c>
      <c r="AT114" s="13"/>
      <c r="AU114" s="13">
        <f>IF(AT114&lt;&gt;"",AT114,ROUND(AS114*INDEX('Live Calc'!$G$260:$G$450,MATCH(AM114,'Live Calc'!$A$260:$A$450,0))*'Live Calc'!$J$543,0))</f>
        <v>1</v>
      </c>
    </row>
    <row r="115" spans="17:47" x14ac:dyDescent="0.25">
      <c r="Q115" s="12" t="s">
        <v>465</v>
      </c>
      <c r="R115" s="12" t="s">
        <v>131</v>
      </c>
      <c r="S115" s="12">
        <v>16.521999999999998</v>
      </c>
      <c r="T115" s="12">
        <v>18.776</v>
      </c>
      <c r="U115" s="12">
        <v>21.032</v>
      </c>
      <c r="V115" s="12">
        <f>CHOOSE(MATCH(Setup!$B$7,{"STD","Half-PPR","PPR"},0),S115,T115,U115)</f>
        <v>18.776</v>
      </c>
      <c r="W115" s="12">
        <f>COUNTIFS('Draft Board'!$X$2:$X$162,"&gt;="&amp;X115,'Draft Board'!$AB$2:$AB$162,1)</f>
        <v>19</v>
      </c>
      <c r="X115" s="12">
        <f>MAX(0,V115-'Live Calc'!$H$20)^'Live Calc'!$E$20</f>
        <v>0</v>
      </c>
      <c r="Y115" s="12">
        <v>115</v>
      </c>
      <c r="Z115" s="12">
        <f>IF(Y115&lt;&gt;_xlfn.MINIFS('Draft Board'!$Y$2:$Y$162,'Draft Board'!$X$2:$X$162,"="&amp;X115),0,IF(_xlfn.MINIFS('Draft Board'!$X$2:$X$162,'Draft Board'!$X$2:$X$162,"&gt;"&amp;X115)=0,1,IF((_xlfn.MINIFS('Draft Board'!$X$2:$X$162,'Draft Board'!$X$2:$X$162,"&gt;"&amp;X115)-X115)/_xlfn.MINIFS('Draft Board'!$X$2:$X$162,'Draft Board'!$X$2:$X$162,"&gt;"&amp;X115)&gt;0.08,1,0)))</f>
        <v>0</v>
      </c>
      <c r="AA115" s="12">
        <f>_xlfn.MINIFS('Draft Board'!$X$2:$X$162,'Draft Board'!$X$2:$X$162,"&gt;="&amp;X115,'Draft Board'!$Z$2:$Z$162,1)</f>
        <v>0</v>
      </c>
      <c r="AB115" s="12">
        <f>IF(Y115&lt;&gt;_xlfn.MINIFS('Draft Board'!$Y$2:$Y$162,'Draft Board'!$X$2:$X$162,"="&amp;X115),0,IF(OR(Z115=1,IFERROR(FLOOR((AA115-X115)/AA115/0.25,1),0)&lt;&gt;IFERROR(FLOOR((AA115-_xlfn.MINIFS('Draft Board'!$X$2:$X$162,'Draft Board'!$X$2:$X$162,"&gt;"&amp;X115))/AA115/0.25,1),0)),1,0))</f>
        <v>0</v>
      </c>
      <c r="AC115" s="12">
        <f>ROUND(1+X115*'Live Calc'!$D$27,0)</f>
        <v>1</v>
      </c>
      <c r="AD115" s="12"/>
      <c r="AE115" s="12">
        <f>IF(AD115&lt;&gt;"",AD115,ROUND(AC115*INDEX('Live Calc'!$G$96:$G$256,MATCH(W115,'Live Calc'!$A$96:$A$256,0))*'Live Calc'!$J$543,0))</f>
        <v>1</v>
      </c>
      <c r="AG115" s="13" t="s">
        <v>466</v>
      </c>
      <c r="AH115" s="13" t="s">
        <v>131</v>
      </c>
      <c r="AI115" s="13">
        <v>37.17</v>
      </c>
      <c r="AJ115" s="13">
        <v>47.57</v>
      </c>
      <c r="AK115" s="13">
        <v>57.97</v>
      </c>
      <c r="AL115" s="13">
        <f>CHOOSE(MATCH(Setup!$B$7,{"STD","Half-PPR","PPR"},0),AI115,AJ115,AK115)</f>
        <v>47.57</v>
      </c>
      <c r="AM115" s="13">
        <f>COUNTIFS('Draft Board'!$AN$2:$AN$192,"&gt;="&amp;AN115,'Draft Board'!$AR$2:$AR$192,1)</f>
        <v>22</v>
      </c>
      <c r="AN115" s="13">
        <f>MAX(0,AL115-'Live Calc'!$H$21)^'Live Calc'!$E$21</f>
        <v>0</v>
      </c>
      <c r="AO115" s="13">
        <v>115</v>
      </c>
      <c r="AP115" s="13">
        <f>IF(AO115&lt;&gt;_xlfn.MINIFS('Draft Board'!$AO$2:$AO$192,'Draft Board'!$AN$2:$AN$192,"="&amp;AN115),0,IF(_xlfn.MINIFS('Draft Board'!$AN$2:$AN$192,'Draft Board'!$AN$2:$AN$192,"&gt;"&amp;AN115)=0,1,IF((_xlfn.MINIFS('Draft Board'!$AN$2:$AN$192,'Draft Board'!$AN$2:$AN$192,"&gt;"&amp;AN115)-AN115)/_xlfn.MINIFS('Draft Board'!$AN$2:$AN$192,'Draft Board'!$AN$2:$AN$192,"&gt;"&amp;AN115)&gt;0.08,1,0)))</f>
        <v>0</v>
      </c>
      <c r="AQ115" s="13">
        <f>_xlfn.MINIFS('Draft Board'!$AN$2:$AN$192,'Draft Board'!$AN$2:$AN$192,"&gt;="&amp;AN115,'Draft Board'!$AP$2:$AP$192,1)</f>
        <v>0</v>
      </c>
      <c r="AR115" s="13">
        <f>IF(AO115&lt;&gt;_xlfn.MINIFS('Draft Board'!$AO$2:$AO$192,'Draft Board'!$AN$2:$AN$192,"="&amp;AN115),0,IF(OR(AP115=1,IFERROR(FLOOR((AQ115-AN115)/AQ115/0.25,1),0)&lt;&gt;IFERROR(FLOOR((AQ115-_xlfn.MINIFS('Draft Board'!$AN$2:$AN$192,'Draft Board'!$AN$2:$AN$192,"&gt;"&amp;AN115))/AQ115/0.25,1),0)),1,0))</f>
        <v>0</v>
      </c>
      <c r="AS115" s="13">
        <f>ROUND(1+AN115*'Live Calc'!$D$28,0)</f>
        <v>1</v>
      </c>
      <c r="AT115" s="13"/>
      <c r="AU115" s="13">
        <f>IF(AT115&lt;&gt;"",AT115,ROUND(AS115*INDEX('Live Calc'!$G$260:$G$450,MATCH(AM115,'Live Calc'!$A$260:$A$450,0))*'Live Calc'!$J$543,0))</f>
        <v>1</v>
      </c>
    </row>
    <row r="116" spans="17:47" x14ac:dyDescent="0.25">
      <c r="Q116" s="12" t="s">
        <v>467</v>
      </c>
      <c r="R116" s="12" t="s">
        <v>79</v>
      </c>
      <c r="S116" s="12">
        <v>16.898</v>
      </c>
      <c r="T116" s="12">
        <v>18.678000000000001</v>
      </c>
      <c r="U116" s="12">
        <v>21.001999999999999</v>
      </c>
      <c r="V116" s="12">
        <f>CHOOSE(MATCH(Setup!$B$7,{"STD","Half-PPR","PPR"},0),S116,T116,U116)</f>
        <v>18.678000000000001</v>
      </c>
      <c r="W116" s="12">
        <f>COUNTIFS('Draft Board'!$X$2:$X$162,"&gt;="&amp;X116,'Draft Board'!$AB$2:$AB$162,1)</f>
        <v>19</v>
      </c>
      <c r="X116" s="12">
        <f>MAX(0,V116-'Live Calc'!$H$20)^'Live Calc'!$E$20</f>
        <v>0</v>
      </c>
      <c r="Y116" s="12">
        <v>116</v>
      </c>
      <c r="Z116" s="12">
        <f>IF(Y116&lt;&gt;_xlfn.MINIFS('Draft Board'!$Y$2:$Y$162,'Draft Board'!$X$2:$X$162,"="&amp;X116),0,IF(_xlfn.MINIFS('Draft Board'!$X$2:$X$162,'Draft Board'!$X$2:$X$162,"&gt;"&amp;X116)=0,1,IF((_xlfn.MINIFS('Draft Board'!$X$2:$X$162,'Draft Board'!$X$2:$X$162,"&gt;"&amp;X116)-X116)/_xlfn.MINIFS('Draft Board'!$X$2:$X$162,'Draft Board'!$X$2:$X$162,"&gt;"&amp;X116)&gt;0.08,1,0)))</f>
        <v>0</v>
      </c>
      <c r="AA116" s="12">
        <f>_xlfn.MINIFS('Draft Board'!$X$2:$X$162,'Draft Board'!$X$2:$X$162,"&gt;="&amp;X116,'Draft Board'!$Z$2:$Z$162,1)</f>
        <v>0</v>
      </c>
      <c r="AB116" s="12">
        <f>IF(Y116&lt;&gt;_xlfn.MINIFS('Draft Board'!$Y$2:$Y$162,'Draft Board'!$X$2:$X$162,"="&amp;X116),0,IF(OR(Z116=1,IFERROR(FLOOR((AA116-X116)/AA116/0.25,1),0)&lt;&gt;IFERROR(FLOOR((AA116-_xlfn.MINIFS('Draft Board'!$X$2:$X$162,'Draft Board'!$X$2:$X$162,"&gt;"&amp;X116))/AA116/0.25,1),0)),1,0))</f>
        <v>0</v>
      </c>
      <c r="AC116" s="12">
        <f>ROUND(1+X116*'Live Calc'!$D$27,0)</f>
        <v>1</v>
      </c>
      <c r="AD116" s="12"/>
      <c r="AE116" s="12">
        <f>IF(AD116&lt;&gt;"",AD116,ROUND(AC116*INDEX('Live Calc'!$G$96:$G$256,MATCH(W116,'Live Calc'!$A$96:$A$256,0))*'Live Calc'!$J$543,0))</f>
        <v>1</v>
      </c>
      <c r="AG116" s="13" t="s">
        <v>468</v>
      </c>
      <c r="AH116" s="13" t="s">
        <v>71</v>
      </c>
      <c r="AI116" s="13">
        <v>33.402000000000001</v>
      </c>
      <c r="AJ116" s="13">
        <v>44.618000000000002</v>
      </c>
      <c r="AK116" s="13">
        <v>55.868000000000002</v>
      </c>
      <c r="AL116" s="13">
        <f>CHOOSE(MATCH(Setup!$B$7,{"STD","Half-PPR","PPR"},0),AI116,AJ116,AK116)</f>
        <v>44.618000000000002</v>
      </c>
      <c r="AM116" s="13">
        <f>COUNTIFS('Draft Board'!$AN$2:$AN$192,"&gt;="&amp;AN116,'Draft Board'!$AR$2:$AR$192,1)</f>
        <v>22</v>
      </c>
      <c r="AN116" s="13">
        <f>MAX(0,AL116-'Live Calc'!$H$21)^'Live Calc'!$E$21</f>
        <v>0</v>
      </c>
      <c r="AO116" s="13">
        <v>116</v>
      </c>
      <c r="AP116" s="13">
        <f>IF(AO116&lt;&gt;_xlfn.MINIFS('Draft Board'!$AO$2:$AO$192,'Draft Board'!$AN$2:$AN$192,"="&amp;AN116),0,IF(_xlfn.MINIFS('Draft Board'!$AN$2:$AN$192,'Draft Board'!$AN$2:$AN$192,"&gt;"&amp;AN116)=0,1,IF((_xlfn.MINIFS('Draft Board'!$AN$2:$AN$192,'Draft Board'!$AN$2:$AN$192,"&gt;"&amp;AN116)-AN116)/_xlfn.MINIFS('Draft Board'!$AN$2:$AN$192,'Draft Board'!$AN$2:$AN$192,"&gt;"&amp;AN116)&gt;0.08,1,0)))</f>
        <v>0</v>
      </c>
      <c r="AQ116" s="13">
        <f>_xlfn.MINIFS('Draft Board'!$AN$2:$AN$192,'Draft Board'!$AN$2:$AN$192,"&gt;="&amp;AN116,'Draft Board'!$AP$2:$AP$192,1)</f>
        <v>0</v>
      </c>
      <c r="AR116" s="13">
        <f>IF(AO116&lt;&gt;_xlfn.MINIFS('Draft Board'!$AO$2:$AO$192,'Draft Board'!$AN$2:$AN$192,"="&amp;AN116),0,IF(OR(AP116=1,IFERROR(FLOOR((AQ116-AN116)/AQ116/0.25,1),0)&lt;&gt;IFERROR(FLOOR((AQ116-_xlfn.MINIFS('Draft Board'!$AN$2:$AN$192,'Draft Board'!$AN$2:$AN$192,"&gt;"&amp;AN116))/AQ116/0.25,1),0)),1,0))</f>
        <v>0</v>
      </c>
      <c r="AS116" s="13">
        <f>ROUND(1+AN116*'Live Calc'!$D$28,0)</f>
        <v>1</v>
      </c>
      <c r="AT116" s="13"/>
      <c r="AU116" s="13">
        <f>IF(AT116&lt;&gt;"",AT116,ROUND(AS116*INDEX('Live Calc'!$G$260:$G$450,MATCH(AM116,'Live Calc'!$A$260:$A$450,0))*'Live Calc'!$J$543,0))</f>
        <v>1</v>
      </c>
    </row>
    <row r="117" spans="17:47" x14ac:dyDescent="0.25">
      <c r="Q117" s="12" t="s">
        <v>469</v>
      </c>
      <c r="R117" s="12" t="s">
        <v>63</v>
      </c>
      <c r="S117" s="12">
        <v>15.54</v>
      </c>
      <c r="T117" s="12">
        <v>18.23</v>
      </c>
      <c r="U117" s="12">
        <v>20.91</v>
      </c>
      <c r="V117" s="12">
        <f>CHOOSE(MATCH(Setup!$B$7,{"STD","Half-PPR","PPR"},0),S117,T117,U117)</f>
        <v>18.23</v>
      </c>
      <c r="W117" s="12">
        <f>COUNTIFS('Draft Board'!$X$2:$X$162,"&gt;="&amp;X117,'Draft Board'!$AB$2:$AB$162,1)</f>
        <v>19</v>
      </c>
      <c r="X117" s="12">
        <f>MAX(0,V117-'Live Calc'!$H$20)^'Live Calc'!$E$20</f>
        <v>0</v>
      </c>
      <c r="Y117" s="12">
        <v>117</v>
      </c>
      <c r="Z117" s="12">
        <f>IF(Y117&lt;&gt;_xlfn.MINIFS('Draft Board'!$Y$2:$Y$162,'Draft Board'!$X$2:$X$162,"="&amp;X117),0,IF(_xlfn.MINIFS('Draft Board'!$X$2:$X$162,'Draft Board'!$X$2:$X$162,"&gt;"&amp;X117)=0,1,IF((_xlfn.MINIFS('Draft Board'!$X$2:$X$162,'Draft Board'!$X$2:$X$162,"&gt;"&amp;X117)-X117)/_xlfn.MINIFS('Draft Board'!$X$2:$X$162,'Draft Board'!$X$2:$X$162,"&gt;"&amp;X117)&gt;0.08,1,0)))</f>
        <v>0</v>
      </c>
      <c r="AA117" s="12">
        <f>_xlfn.MINIFS('Draft Board'!$X$2:$X$162,'Draft Board'!$X$2:$X$162,"&gt;="&amp;X117,'Draft Board'!$Z$2:$Z$162,1)</f>
        <v>0</v>
      </c>
      <c r="AB117" s="12">
        <f>IF(Y117&lt;&gt;_xlfn.MINIFS('Draft Board'!$Y$2:$Y$162,'Draft Board'!$X$2:$X$162,"="&amp;X117),0,IF(OR(Z117=1,IFERROR(FLOOR((AA117-X117)/AA117/0.25,1),0)&lt;&gt;IFERROR(FLOOR((AA117-_xlfn.MINIFS('Draft Board'!$X$2:$X$162,'Draft Board'!$X$2:$X$162,"&gt;"&amp;X117))/AA117/0.25,1),0)),1,0))</f>
        <v>0</v>
      </c>
      <c r="AC117" s="12">
        <f>ROUND(1+X117*'Live Calc'!$D$27,0)</f>
        <v>1</v>
      </c>
      <c r="AD117" s="12"/>
      <c r="AE117" s="12">
        <f>IF(AD117&lt;&gt;"",AD117,ROUND(AC117*INDEX('Live Calc'!$G$96:$G$256,MATCH(W117,'Live Calc'!$A$96:$A$256,0))*'Live Calc'!$J$543,0))</f>
        <v>1</v>
      </c>
      <c r="AG117" s="13" t="s">
        <v>470</v>
      </c>
      <c r="AH117" s="13" t="s">
        <v>69</v>
      </c>
      <c r="AI117" s="13">
        <v>34.71</v>
      </c>
      <c r="AJ117" s="13">
        <v>43.84</v>
      </c>
      <c r="AK117" s="13">
        <v>53.036000000000001</v>
      </c>
      <c r="AL117" s="13">
        <f>CHOOSE(MATCH(Setup!$B$7,{"STD","Half-PPR","PPR"},0),AI117,AJ117,AK117)</f>
        <v>43.84</v>
      </c>
      <c r="AM117" s="13">
        <f>COUNTIFS('Draft Board'!$AN$2:$AN$192,"&gt;="&amp;AN117,'Draft Board'!$AR$2:$AR$192,1)</f>
        <v>22</v>
      </c>
      <c r="AN117" s="13">
        <f>MAX(0,AL117-'Live Calc'!$H$21)^'Live Calc'!$E$21</f>
        <v>0</v>
      </c>
      <c r="AO117" s="13">
        <v>117</v>
      </c>
      <c r="AP117" s="13">
        <f>IF(AO117&lt;&gt;_xlfn.MINIFS('Draft Board'!$AO$2:$AO$192,'Draft Board'!$AN$2:$AN$192,"="&amp;AN117),0,IF(_xlfn.MINIFS('Draft Board'!$AN$2:$AN$192,'Draft Board'!$AN$2:$AN$192,"&gt;"&amp;AN117)=0,1,IF((_xlfn.MINIFS('Draft Board'!$AN$2:$AN$192,'Draft Board'!$AN$2:$AN$192,"&gt;"&amp;AN117)-AN117)/_xlfn.MINIFS('Draft Board'!$AN$2:$AN$192,'Draft Board'!$AN$2:$AN$192,"&gt;"&amp;AN117)&gt;0.08,1,0)))</f>
        <v>0</v>
      </c>
      <c r="AQ117" s="13">
        <f>_xlfn.MINIFS('Draft Board'!$AN$2:$AN$192,'Draft Board'!$AN$2:$AN$192,"&gt;="&amp;AN117,'Draft Board'!$AP$2:$AP$192,1)</f>
        <v>0</v>
      </c>
      <c r="AR117" s="13">
        <f>IF(AO117&lt;&gt;_xlfn.MINIFS('Draft Board'!$AO$2:$AO$192,'Draft Board'!$AN$2:$AN$192,"="&amp;AN117),0,IF(OR(AP117=1,IFERROR(FLOOR((AQ117-AN117)/AQ117/0.25,1),0)&lt;&gt;IFERROR(FLOOR((AQ117-_xlfn.MINIFS('Draft Board'!$AN$2:$AN$192,'Draft Board'!$AN$2:$AN$192,"&gt;"&amp;AN117))/AQ117/0.25,1),0)),1,0))</f>
        <v>0</v>
      </c>
      <c r="AS117" s="13">
        <f>ROUND(1+AN117*'Live Calc'!$D$28,0)</f>
        <v>1</v>
      </c>
      <c r="AT117" s="13"/>
      <c r="AU117" s="13">
        <f>IF(AT117&lt;&gt;"",AT117,ROUND(AS117*INDEX('Live Calc'!$G$260:$G$450,MATCH(AM117,'Live Calc'!$A$260:$A$450,0))*'Live Calc'!$J$543,0))</f>
        <v>1</v>
      </c>
    </row>
    <row r="118" spans="17:47" x14ac:dyDescent="0.25">
      <c r="Q118" s="12" t="s">
        <v>471</v>
      </c>
      <c r="R118" s="12" t="s">
        <v>77</v>
      </c>
      <c r="S118" s="12">
        <v>15.68</v>
      </c>
      <c r="T118" s="12">
        <v>17.989999999999998</v>
      </c>
      <c r="U118" s="12">
        <v>18.776</v>
      </c>
      <c r="V118" s="12">
        <f>CHOOSE(MATCH(Setup!$B$7,{"STD","Half-PPR","PPR"},0),S118,T118,U118)</f>
        <v>17.989999999999998</v>
      </c>
      <c r="W118" s="12">
        <f>COUNTIFS('Draft Board'!$X$2:$X$162,"&gt;="&amp;X118,'Draft Board'!$AB$2:$AB$162,1)</f>
        <v>19</v>
      </c>
      <c r="X118" s="12">
        <f>MAX(0,V118-'Live Calc'!$H$20)^'Live Calc'!$E$20</f>
        <v>0</v>
      </c>
      <c r="Y118" s="12">
        <v>118</v>
      </c>
      <c r="Z118" s="12">
        <f>IF(Y118&lt;&gt;_xlfn.MINIFS('Draft Board'!$Y$2:$Y$162,'Draft Board'!$X$2:$X$162,"="&amp;X118),0,IF(_xlfn.MINIFS('Draft Board'!$X$2:$X$162,'Draft Board'!$X$2:$X$162,"&gt;"&amp;X118)=0,1,IF((_xlfn.MINIFS('Draft Board'!$X$2:$X$162,'Draft Board'!$X$2:$X$162,"&gt;"&amp;X118)-X118)/_xlfn.MINIFS('Draft Board'!$X$2:$X$162,'Draft Board'!$X$2:$X$162,"&gt;"&amp;X118)&gt;0.08,1,0)))</f>
        <v>0</v>
      </c>
      <c r="AA118" s="12">
        <f>_xlfn.MINIFS('Draft Board'!$X$2:$X$162,'Draft Board'!$X$2:$X$162,"&gt;="&amp;X118,'Draft Board'!$Z$2:$Z$162,1)</f>
        <v>0</v>
      </c>
      <c r="AB118" s="12">
        <f>IF(Y118&lt;&gt;_xlfn.MINIFS('Draft Board'!$Y$2:$Y$162,'Draft Board'!$X$2:$X$162,"="&amp;X118),0,IF(OR(Z118=1,IFERROR(FLOOR((AA118-X118)/AA118/0.25,1),0)&lt;&gt;IFERROR(FLOOR((AA118-_xlfn.MINIFS('Draft Board'!$X$2:$X$162,'Draft Board'!$X$2:$X$162,"&gt;"&amp;X118))/AA118/0.25,1),0)),1,0))</f>
        <v>0</v>
      </c>
      <c r="AC118" s="12">
        <f>ROUND(1+X118*'Live Calc'!$D$27,0)</f>
        <v>1</v>
      </c>
      <c r="AD118" s="12"/>
      <c r="AE118" s="12">
        <f>IF(AD118&lt;&gt;"",AD118,ROUND(AC118*INDEX('Live Calc'!$G$96:$G$256,MATCH(W118,'Live Calc'!$A$96:$A$256,0))*'Live Calc'!$J$543,0))</f>
        <v>1</v>
      </c>
      <c r="AG118" s="13" t="s">
        <v>472</v>
      </c>
      <c r="AH118" s="13" t="s">
        <v>131</v>
      </c>
      <c r="AI118" s="13">
        <v>32.308</v>
      </c>
      <c r="AJ118" s="13">
        <v>42.533999999999999</v>
      </c>
      <c r="AK118" s="13">
        <v>52.753999999999998</v>
      </c>
      <c r="AL118" s="13">
        <f>CHOOSE(MATCH(Setup!$B$7,{"STD","Half-PPR","PPR"},0),AI118,AJ118,AK118)</f>
        <v>42.533999999999999</v>
      </c>
      <c r="AM118" s="13">
        <f>COUNTIFS('Draft Board'!$AN$2:$AN$192,"&gt;="&amp;AN118,'Draft Board'!$AR$2:$AR$192,1)</f>
        <v>22</v>
      </c>
      <c r="AN118" s="13">
        <f>MAX(0,AL118-'Live Calc'!$H$21)^'Live Calc'!$E$21</f>
        <v>0</v>
      </c>
      <c r="AO118" s="13">
        <v>118</v>
      </c>
      <c r="AP118" s="13">
        <f>IF(AO118&lt;&gt;_xlfn.MINIFS('Draft Board'!$AO$2:$AO$192,'Draft Board'!$AN$2:$AN$192,"="&amp;AN118),0,IF(_xlfn.MINIFS('Draft Board'!$AN$2:$AN$192,'Draft Board'!$AN$2:$AN$192,"&gt;"&amp;AN118)=0,1,IF((_xlfn.MINIFS('Draft Board'!$AN$2:$AN$192,'Draft Board'!$AN$2:$AN$192,"&gt;"&amp;AN118)-AN118)/_xlfn.MINIFS('Draft Board'!$AN$2:$AN$192,'Draft Board'!$AN$2:$AN$192,"&gt;"&amp;AN118)&gt;0.08,1,0)))</f>
        <v>0</v>
      </c>
      <c r="AQ118" s="13">
        <f>_xlfn.MINIFS('Draft Board'!$AN$2:$AN$192,'Draft Board'!$AN$2:$AN$192,"&gt;="&amp;AN118,'Draft Board'!$AP$2:$AP$192,1)</f>
        <v>0</v>
      </c>
      <c r="AR118" s="13">
        <f>IF(AO118&lt;&gt;_xlfn.MINIFS('Draft Board'!$AO$2:$AO$192,'Draft Board'!$AN$2:$AN$192,"="&amp;AN118),0,IF(OR(AP118=1,IFERROR(FLOOR((AQ118-AN118)/AQ118/0.25,1),0)&lt;&gt;IFERROR(FLOOR((AQ118-_xlfn.MINIFS('Draft Board'!$AN$2:$AN$192,'Draft Board'!$AN$2:$AN$192,"&gt;"&amp;AN118))/AQ118/0.25,1),0)),1,0))</f>
        <v>0</v>
      </c>
      <c r="AS118" s="13">
        <f>ROUND(1+AN118*'Live Calc'!$D$28,0)</f>
        <v>1</v>
      </c>
      <c r="AT118" s="13"/>
      <c r="AU118" s="13">
        <f>IF(AT118&lt;&gt;"",AT118,ROUND(AS118*INDEX('Live Calc'!$G$260:$G$450,MATCH(AM118,'Live Calc'!$A$260:$A$450,0))*'Live Calc'!$J$543,0))</f>
        <v>1</v>
      </c>
    </row>
    <row r="119" spans="17:47" x14ac:dyDescent="0.25">
      <c r="Q119" s="12" t="s">
        <v>473</v>
      </c>
      <c r="R119" s="12" t="s">
        <v>65</v>
      </c>
      <c r="S119" s="12">
        <v>15.742000000000001</v>
      </c>
      <c r="T119" s="12">
        <v>17.533999999999999</v>
      </c>
      <c r="U119" s="12">
        <v>19.43</v>
      </c>
      <c r="V119" s="12">
        <f>CHOOSE(MATCH(Setup!$B$7,{"STD","Half-PPR","PPR"},0),S119,T119,U119)</f>
        <v>17.533999999999999</v>
      </c>
      <c r="W119" s="12">
        <f>COUNTIFS('Draft Board'!$X$2:$X$162,"&gt;="&amp;X119,'Draft Board'!$AB$2:$AB$162,1)</f>
        <v>19</v>
      </c>
      <c r="X119" s="12">
        <f>MAX(0,V119-'Live Calc'!$H$20)^'Live Calc'!$E$20</f>
        <v>0</v>
      </c>
      <c r="Y119" s="12">
        <v>119</v>
      </c>
      <c r="Z119" s="12">
        <f>IF(Y119&lt;&gt;_xlfn.MINIFS('Draft Board'!$Y$2:$Y$162,'Draft Board'!$X$2:$X$162,"="&amp;X119),0,IF(_xlfn.MINIFS('Draft Board'!$X$2:$X$162,'Draft Board'!$X$2:$X$162,"&gt;"&amp;X119)=0,1,IF((_xlfn.MINIFS('Draft Board'!$X$2:$X$162,'Draft Board'!$X$2:$X$162,"&gt;"&amp;X119)-X119)/_xlfn.MINIFS('Draft Board'!$X$2:$X$162,'Draft Board'!$X$2:$X$162,"&gt;"&amp;X119)&gt;0.08,1,0)))</f>
        <v>0</v>
      </c>
      <c r="AA119" s="12">
        <f>_xlfn.MINIFS('Draft Board'!$X$2:$X$162,'Draft Board'!$X$2:$X$162,"&gt;="&amp;X119,'Draft Board'!$Z$2:$Z$162,1)</f>
        <v>0</v>
      </c>
      <c r="AB119" s="12">
        <f>IF(Y119&lt;&gt;_xlfn.MINIFS('Draft Board'!$Y$2:$Y$162,'Draft Board'!$X$2:$X$162,"="&amp;X119),0,IF(OR(Z119=1,IFERROR(FLOOR((AA119-X119)/AA119/0.25,1),0)&lt;&gt;IFERROR(FLOOR((AA119-_xlfn.MINIFS('Draft Board'!$X$2:$X$162,'Draft Board'!$X$2:$X$162,"&gt;"&amp;X119))/AA119/0.25,1),0)),1,0))</f>
        <v>0</v>
      </c>
      <c r="AC119" s="12">
        <f>ROUND(1+X119*'Live Calc'!$D$27,0)</f>
        <v>1</v>
      </c>
      <c r="AD119" s="12"/>
      <c r="AE119" s="12">
        <f>IF(AD119&lt;&gt;"",AD119,ROUND(AC119*INDEX('Live Calc'!$G$96:$G$256,MATCH(W119,'Live Calc'!$A$96:$A$256,0))*'Live Calc'!$J$543,0))</f>
        <v>1</v>
      </c>
      <c r="AG119" s="13" t="s">
        <v>474</v>
      </c>
      <c r="AH119" s="13" t="s">
        <v>118</v>
      </c>
      <c r="AI119" s="13">
        <v>31.678000000000001</v>
      </c>
      <c r="AJ119" s="13">
        <v>41.201999999999998</v>
      </c>
      <c r="AK119" s="13">
        <v>50.518000000000001</v>
      </c>
      <c r="AL119" s="13">
        <f>CHOOSE(MATCH(Setup!$B$7,{"STD","Half-PPR","PPR"},0),AI119,AJ119,AK119)</f>
        <v>41.201999999999998</v>
      </c>
      <c r="AM119" s="13">
        <f>COUNTIFS('Draft Board'!$AN$2:$AN$192,"&gt;="&amp;AN119,'Draft Board'!$AR$2:$AR$192,1)</f>
        <v>22</v>
      </c>
      <c r="AN119" s="13">
        <f>MAX(0,AL119-'Live Calc'!$H$21)^'Live Calc'!$E$21</f>
        <v>0</v>
      </c>
      <c r="AO119" s="13">
        <v>119</v>
      </c>
      <c r="AP119" s="13">
        <f>IF(AO119&lt;&gt;_xlfn.MINIFS('Draft Board'!$AO$2:$AO$192,'Draft Board'!$AN$2:$AN$192,"="&amp;AN119),0,IF(_xlfn.MINIFS('Draft Board'!$AN$2:$AN$192,'Draft Board'!$AN$2:$AN$192,"&gt;"&amp;AN119)=0,1,IF((_xlfn.MINIFS('Draft Board'!$AN$2:$AN$192,'Draft Board'!$AN$2:$AN$192,"&gt;"&amp;AN119)-AN119)/_xlfn.MINIFS('Draft Board'!$AN$2:$AN$192,'Draft Board'!$AN$2:$AN$192,"&gt;"&amp;AN119)&gt;0.08,1,0)))</f>
        <v>0</v>
      </c>
      <c r="AQ119" s="13">
        <f>_xlfn.MINIFS('Draft Board'!$AN$2:$AN$192,'Draft Board'!$AN$2:$AN$192,"&gt;="&amp;AN119,'Draft Board'!$AP$2:$AP$192,1)</f>
        <v>0</v>
      </c>
      <c r="AR119" s="13">
        <f>IF(AO119&lt;&gt;_xlfn.MINIFS('Draft Board'!$AO$2:$AO$192,'Draft Board'!$AN$2:$AN$192,"="&amp;AN119),0,IF(OR(AP119=1,IFERROR(FLOOR((AQ119-AN119)/AQ119/0.25,1),0)&lt;&gt;IFERROR(FLOOR((AQ119-_xlfn.MINIFS('Draft Board'!$AN$2:$AN$192,'Draft Board'!$AN$2:$AN$192,"&gt;"&amp;AN119))/AQ119/0.25,1),0)),1,0))</f>
        <v>0</v>
      </c>
      <c r="AS119" s="13">
        <f>ROUND(1+AN119*'Live Calc'!$D$28,0)</f>
        <v>1</v>
      </c>
      <c r="AT119" s="13"/>
      <c r="AU119" s="13">
        <f>IF(AT119&lt;&gt;"",AT119,ROUND(AS119*INDEX('Live Calc'!$G$260:$G$450,MATCH(AM119,'Live Calc'!$A$260:$A$450,0))*'Live Calc'!$J$543,0))</f>
        <v>1</v>
      </c>
    </row>
    <row r="120" spans="17:47" x14ac:dyDescent="0.25">
      <c r="Q120" s="12" t="s">
        <v>475</v>
      </c>
      <c r="R120" s="12" t="s">
        <v>77</v>
      </c>
      <c r="S120" s="12">
        <v>14.93</v>
      </c>
      <c r="T120" s="12">
        <v>16.98</v>
      </c>
      <c r="U120" s="12">
        <v>19.03</v>
      </c>
      <c r="V120" s="12">
        <f>CHOOSE(MATCH(Setup!$B$7,{"STD","Half-PPR","PPR"},0),S120,T120,U120)</f>
        <v>16.98</v>
      </c>
      <c r="W120" s="12">
        <f>COUNTIFS('Draft Board'!$X$2:$X$162,"&gt;="&amp;X120,'Draft Board'!$AB$2:$AB$162,1)</f>
        <v>19</v>
      </c>
      <c r="X120" s="12">
        <f>MAX(0,V120-'Live Calc'!$H$20)^'Live Calc'!$E$20</f>
        <v>0</v>
      </c>
      <c r="Y120" s="12">
        <v>120</v>
      </c>
      <c r="Z120" s="12">
        <f>IF(Y120&lt;&gt;_xlfn.MINIFS('Draft Board'!$Y$2:$Y$162,'Draft Board'!$X$2:$X$162,"="&amp;X120),0,IF(_xlfn.MINIFS('Draft Board'!$X$2:$X$162,'Draft Board'!$X$2:$X$162,"&gt;"&amp;X120)=0,1,IF((_xlfn.MINIFS('Draft Board'!$X$2:$X$162,'Draft Board'!$X$2:$X$162,"&gt;"&amp;X120)-X120)/_xlfn.MINIFS('Draft Board'!$X$2:$X$162,'Draft Board'!$X$2:$X$162,"&gt;"&amp;X120)&gt;0.08,1,0)))</f>
        <v>0</v>
      </c>
      <c r="AA120" s="12">
        <f>_xlfn.MINIFS('Draft Board'!$X$2:$X$162,'Draft Board'!$X$2:$X$162,"&gt;="&amp;X120,'Draft Board'!$Z$2:$Z$162,1)</f>
        <v>0</v>
      </c>
      <c r="AB120" s="12">
        <f>IF(Y120&lt;&gt;_xlfn.MINIFS('Draft Board'!$Y$2:$Y$162,'Draft Board'!$X$2:$X$162,"="&amp;X120),0,IF(OR(Z120=1,IFERROR(FLOOR((AA120-X120)/AA120/0.25,1),0)&lt;&gt;IFERROR(FLOOR((AA120-_xlfn.MINIFS('Draft Board'!$X$2:$X$162,'Draft Board'!$X$2:$X$162,"&gt;"&amp;X120))/AA120/0.25,1),0)),1,0))</f>
        <v>0</v>
      </c>
      <c r="AC120" s="12">
        <f>ROUND(1+X120*'Live Calc'!$D$27,0)</f>
        <v>1</v>
      </c>
      <c r="AD120" s="12"/>
      <c r="AE120" s="12">
        <f>IF(AD120&lt;&gt;"",AD120,ROUND(AC120*INDEX('Live Calc'!$G$96:$G$256,MATCH(W120,'Live Calc'!$A$96:$A$256,0))*'Live Calc'!$J$543,0))</f>
        <v>1</v>
      </c>
      <c r="AG120" s="13" t="s">
        <v>476</v>
      </c>
      <c r="AH120" s="13" t="s">
        <v>83</v>
      </c>
      <c r="AI120" s="13">
        <v>30.425999999999998</v>
      </c>
      <c r="AJ120" s="13">
        <v>40.415999999999997</v>
      </c>
      <c r="AK120" s="13">
        <v>48.503999999999998</v>
      </c>
      <c r="AL120" s="13">
        <f>CHOOSE(MATCH(Setup!$B$7,{"STD","Half-PPR","PPR"},0),AI120,AJ120,AK120)</f>
        <v>40.415999999999997</v>
      </c>
      <c r="AM120" s="13">
        <f>COUNTIFS('Draft Board'!$AN$2:$AN$192,"&gt;="&amp;AN120,'Draft Board'!$AR$2:$AR$192,1)</f>
        <v>22</v>
      </c>
      <c r="AN120" s="13">
        <f>MAX(0,AL120-'Live Calc'!$H$21)^'Live Calc'!$E$21</f>
        <v>0</v>
      </c>
      <c r="AO120" s="13">
        <v>120</v>
      </c>
      <c r="AP120" s="13">
        <f>IF(AO120&lt;&gt;_xlfn.MINIFS('Draft Board'!$AO$2:$AO$192,'Draft Board'!$AN$2:$AN$192,"="&amp;AN120),0,IF(_xlfn.MINIFS('Draft Board'!$AN$2:$AN$192,'Draft Board'!$AN$2:$AN$192,"&gt;"&amp;AN120)=0,1,IF((_xlfn.MINIFS('Draft Board'!$AN$2:$AN$192,'Draft Board'!$AN$2:$AN$192,"&gt;"&amp;AN120)-AN120)/_xlfn.MINIFS('Draft Board'!$AN$2:$AN$192,'Draft Board'!$AN$2:$AN$192,"&gt;"&amp;AN120)&gt;0.08,1,0)))</f>
        <v>0</v>
      </c>
      <c r="AQ120" s="13">
        <f>_xlfn.MINIFS('Draft Board'!$AN$2:$AN$192,'Draft Board'!$AN$2:$AN$192,"&gt;="&amp;AN120,'Draft Board'!$AP$2:$AP$192,1)</f>
        <v>0</v>
      </c>
      <c r="AR120" s="13">
        <f>IF(AO120&lt;&gt;_xlfn.MINIFS('Draft Board'!$AO$2:$AO$192,'Draft Board'!$AN$2:$AN$192,"="&amp;AN120),0,IF(OR(AP120=1,IFERROR(FLOOR((AQ120-AN120)/AQ120/0.25,1),0)&lt;&gt;IFERROR(FLOOR((AQ120-_xlfn.MINIFS('Draft Board'!$AN$2:$AN$192,'Draft Board'!$AN$2:$AN$192,"&gt;"&amp;AN120))/AQ120/0.25,1),0)),1,0))</f>
        <v>0</v>
      </c>
      <c r="AS120" s="13">
        <f>ROUND(1+AN120*'Live Calc'!$D$28,0)</f>
        <v>1</v>
      </c>
      <c r="AT120" s="13"/>
      <c r="AU120" s="13">
        <f>IF(AT120&lt;&gt;"",AT120,ROUND(AS120*INDEX('Live Calc'!$G$260:$G$450,MATCH(AM120,'Live Calc'!$A$260:$A$450,0))*'Live Calc'!$J$543,0))</f>
        <v>1</v>
      </c>
    </row>
    <row r="121" spans="17:47" x14ac:dyDescent="0.25">
      <c r="Q121" s="12" t="s">
        <v>477</v>
      </c>
      <c r="R121" s="12" t="s">
        <v>61</v>
      </c>
      <c r="S121" s="12">
        <v>15.24</v>
      </c>
      <c r="T121" s="12">
        <v>15.87</v>
      </c>
      <c r="U121" s="12">
        <v>16.489999999999998</v>
      </c>
      <c r="V121" s="12">
        <f>CHOOSE(MATCH(Setup!$B$7,{"STD","Half-PPR","PPR"},0),S121,T121,U121)</f>
        <v>15.87</v>
      </c>
      <c r="W121" s="12">
        <f>COUNTIFS('Draft Board'!$X$2:$X$162,"&gt;="&amp;X121,'Draft Board'!$AB$2:$AB$162,1)</f>
        <v>19</v>
      </c>
      <c r="X121" s="12">
        <f>MAX(0,V121-'Live Calc'!$H$20)^'Live Calc'!$E$20</f>
        <v>0</v>
      </c>
      <c r="Y121" s="12">
        <v>121</v>
      </c>
      <c r="Z121" s="12">
        <f>IF(Y121&lt;&gt;_xlfn.MINIFS('Draft Board'!$Y$2:$Y$162,'Draft Board'!$X$2:$X$162,"="&amp;X121),0,IF(_xlfn.MINIFS('Draft Board'!$X$2:$X$162,'Draft Board'!$X$2:$X$162,"&gt;"&amp;X121)=0,1,IF((_xlfn.MINIFS('Draft Board'!$X$2:$X$162,'Draft Board'!$X$2:$X$162,"&gt;"&amp;X121)-X121)/_xlfn.MINIFS('Draft Board'!$X$2:$X$162,'Draft Board'!$X$2:$X$162,"&gt;"&amp;X121)&gt;0.08,1,0)))</f>
        <v>0</v>
      </c>
      <c r="AA121" s="12">
        <f>_xlfn.MINIFS('Draft Board'!$X$2:$X$162,'Draft Board'!$X$2:$X$162,"&gt;="&amp;X121,'Draft Board'!$Z$2:$Z$162,1)</f>
        <v>0</v>
      </c>
      <c r="AB121" s="12">
        <f>IF(Y121&lt;&gt;_xlfn.MINIFS('Draft Board'!$Y$2:$Y$162,'Draft Board'!$X$2:$X$162,"="&amp;X121),0,IF(OR(Z121=1,IFERROR(FLOOR((AA121-X121)/AA121/0.25,1),0)&lt;&gt;IFERROR(FLOOR((AA121-_xlfn.MINIFS('Draft Board'!$X$2:$X$162,'Draft Board'!$X$2:$X$162,"&gt;"&amp;X121))/AA121/0.25,1),0)),1,0))</f>
        <v>0</v>
      </c>
      <c r="AC121" s="12">
        <f>ROUND(1+X121*'Live Calc'!$D$27,0)</f>
        <v>1</v>
      </c>
      <c r="AD121" s="12"/>
      <c r="AE121" s="12">
        <f>IF(AD121&lt;&gt;"",AD121,ROUND(AC121*INDEX('Live Calc'!$G$96:$G$256,MATCH(W121,'Live Calc'!$A$96:$A$256,0))*'Live Calc'!$J$543,0))</f>
        <v>1</v>
      </c>
      <c r="AG121" s="13" t="s">
        <v>478</v>
      </c>
      <c r="AH121" s="13" t="s">
        <v>190</v>
      </c>
      <c r="AI121" s="13">
        <v>28.172000000000001</v>
      </c>
      <c r="AJ121" s="13">
        <v>38.630000000000003</v>
      </c>
      <c r="AK121" s="13">
        <v>47.247999999999998</v>
      </c>
      <c r="AL121" s="13">
        <f>CHOOSE(MATCH(Setup!$B$7,{"STD","Half-PPR","PPR"},0),AI121,AJ121,AK121)</f>
        <v>38.630000000000003</v>
      </c>
      <c r="AM121" s="13">
        <f>COUNTIFS('Draft Board'!$AN$2:$AN$192,"&gt;="&amp;AN121,'Draft Board'!$AR$2:$AR$192,1)</f>
        <v>22</v>
      </c>
      <c r="AN121" s="13">
        <f>MAX(0,AL121-'Live Calc'!$H$21)^'Live Calc'!$E$21</f>
        <v>0</v>
      </c>
      <c r="AO121" s="13">
        <v>121</v>
      </c>
      <c r="AP121" s="13">
        <f>IF(AO121&lt;&gt;_xlfn.MINIFS('Draft Board'!$AO$2:$AO$192,'Draft Board'!$AN$2:$AN$192,"="&amp;AN121),0,IF(_xlfn.MINIFS('Draft Board'!$AN$2:$AN$192,'Draft Board'!$AN$2:$AN$192,"&gt;"&amp;AN121)=0,1,IF((_xlfn.MINIFS('Draft Board'!$AN$2:$AN$192,'Draft Board'!$AN$2:$AN$192,"&gt;"&amp;AN121)-AN121)/_xlfn.MINIFS('Draft Board'!$AN$2:$AN$192,'Draft Board'!$AN$2:$AN$192,"&gt;"&amp;AN121)&gt;0.08,1,0)))</f>
        <v>0</v>
      </c>
      <c r="AQ121" s="13">
        <f>_xlfn.MINIFS('Draft Board'!$AN$2:$AN$192,'Draft Board'!$AN$2:$AN$192,"&gt;="&amp;AN121,'Draft Board'!$AP$2:$AP$192,1)</f>
        <v>0</v>
      </c>
      <c r="AR121" s="13">
        <f>IF(AO121&lt;&gt;_xlfn.MINIFS('Draft Board'!$AO$2:$AO$192,'Draft Board'!$AN$2:$AN$192,"="&amp;AN121),0,IF(OR(AP121=1,IFERROR(FLOOR((AQ121-AN121)/AQ121/0.25,1),0)&lt;&gt;IFERROR(FLOOR((AQ121-_xlfn.MINIFS('Draft Board'!$AN$2:$AN$192,'Draft Board'!$AN$2:$AN$192,"&gt;"&amp;AN121))/AQ121/0.25,1),0)),1,0))</f>
        <v>0</v>
      </c>
      <c r="AS121" s="13">
        <f>ROUND(1+AN121*'Live Calc'!$D$28,0)</f>
        <v>1</v>
      </c>
      <c r="AT121" s="13"/>
      <c r="AU121" s="13">
        <f>IF(AT121&lt;&gt;"",AT121,ROUND(AS121*INDEX('Live Calc'!$G$260:$G$450,MATCH(AM121,'Live Calc'!$A$260:$A$450,0))*'Live Calc'!$J$543,0))</f>
        <v>1</v>
      </c>
    </row>
    <row r="122" spans="17:47" x14ac:dyDescent="0.25">
      <c r="Q122" s="12" t="s">
        <v>479</v>
      </c>
      <c r="R122" s="12" t="s">
        <v>83</v>
      </c>
      <c r="S122" s="12">
        <v>15.67</v>
      </c>
      <c r="T122" s="12">
        <v>15.67</v>
      </c>
      <c r="U122" s="12">
        <v>15.67</v>
      </c>
      <c r="V122" s="12">
        <f>CHOOSE(MATCH(Setup!$B$7,{"STD","Half-PPR","PPR"},0),S122,T122,U122)</f>
        <v>15.67</v>
      </c>
      <c r="W122" s="12">
        <f>COUNTIFS('Draft Board'!$X$2:$X$162,"&gt;="&amp;X122,'Draft Board'!$AB$2:$AB$162,1)</f>
        <v>19</v>
      </c>
      <c r="X122" s="12">
        <f>MAX(0,V122-'Live Calc'!$H$20)^'Live Calc'!$E$20</f>
        <v>0</v>
      </c>
      <c r="Y122" s="12">
        <v>122</v>
      </c>
      <c r="Z122" s="12">
        <f>IF(Y122&lt;&gt;_xlfn.MINIFS('Draft Board'!$Y$2:$Y$162,'Draft Board'!$X$2:$X$162,"="&amp;X122),0,IF(_xlfn.MINIFS('Draft Board'!$X$2:$X$162,'Draft Board'!$X$2:$X$162,"&gt;"&amp;X122)=0,1,IF((_xlfn.MINIFS('Draft Board'!$X$2:$X$162,'Draft Board'!$X$2:$X$162,"&gt;"&amp;X122)-X122)/_xlfn.MINIFS('Draft Board'!$X$2:$X$162,'Draft Board'!$X$2:$X$162,"&gt;"&amp;X122)&gt;0.08,1,0)))</f>
        <v>0</v>
      </c>
      <c r="AA122" s="12">
        <f>_xlfn.MINIFS('Draft Board'!$X$2:$X$162,'Draft Board'!$X$2:$X$162,"&gt;="&amp;X122,'Draft Board'!$Z$2:$Z$162,1)</f>
        <v>0</v>
      </c>
      <c r="AB122" s="12">
        <f>IF(Y122&lt;&gt;_xlfn.MINIFS('Draft Board'!$Y$2:$Y$162,'Draft Board'!$X$2:$X$162,"="&amp;X122),0,IF(OR(Z122=1,IFERROR(FLOOR((AA122-X122)/AA122/0.25,1),0)&lt;&gt;IFERROR(FLOOR((AA122-_xlfn.MINIFS('Draft Board'!$X$2:$X$162,'Draft Board'!$X$2:$X$162,"&gt;"&amp;X122))/AA122/0.25,1),0)),1,0))</f>
        <v>0</v>
      </c>
      <c r="AC122" s="12">
        <f>ROUND(1+X122*'Live Calc'!$D$27,0)</f>
        <v>1</v>
      </c>
      <c r="AD122" s="12"/>
      <c r="AE122" s="12">
        <f>IF(AD122&lt;&gt;"",AD122,ROUND(AC122*INDEX('Live Calc'!$G$96:$G$256,MATCH(W122,'Live Calc'!$A$96:$A$256,0))*'Live Calc'!$J$543,0))</f>
        <v>1</v>
      </c>
      <c r="AG122" s="13" t="s">
        <v>480</v>
      </c>
      <c r="AH122" s="13" t="s">
        <v>91</v>
      </c>
      <c r="AI122" s="13">
        <v>27.891999999999999</v>
      </c>
      <c r="AJ122" s="13">
        <v>37.436</v>
      </c>
      <c r="AK122" s="13">
        <v>48.006</v>
      </c>
      <c r="AL122" s="13">
        <f>CHOOSE(MATCH(Setup!$B$7,{"STD","Half-PPR","PPR"},0),AI122,AJ122,AK122)</f>
        <v>37.436</v>
      </c>
      <c r="AM122" s="13">
        <f>COUNTIFS('Draft Board'!$AN$2:$AN$192,"&gt;="&amp;AN122,'Draft Board'!$AR$2:$AR$192,1)</f>
        <v>22</v>
      </c>
      <c r="AN122" s="13">
        <f>MAX(0,AL122-'Live Calc'!$H$21)^'Live Calc'!$E$21</f>
        <v>0</v>
      </c>
      <c r="AO122" s="13">
        <v>122</v>
      </c>
      <c r="AP122" s="13">
        <f>IF(AO122&lt;&gt;_xlfn.MINIFS('Draft Board'!$AO$2:$AO$192,'Draft Board'!$AN$2:$AN$192,"="&amp;AN122),0,IF(_xlfn.MINIFS('Draft Board'!$AN$2:$AN$192,'Draft Board'!$AN$2:$AN$192,"&gt;"&amp;AN122)=0,1,IF((_xlfn.MINIFS('Draft Board'!$AN$2:$AN$192,'Draft Board'!$AN$2:$AN$192,"&gt;"&amp;AN122)-AN122)/_xlfn.MINIFS('Draft Board'!$AN$2:$AN$192,'Draft Board'!$AN$2:$AN$192,"&gt;"&amp;AN122)&gt;0.08,1,0)))</f>
        <v>0</v>
      </c>
      <c r="AQ122" s="13">
        <f>_xlfn.MINIFS('Draft Board'!$AN$2:$AN$192,'Draft Board'!$AN$2:$AN$192,"&gt;="&amp;AN122,'Draft Board'!$AP$2:$AP$192,1)</f>
        <v>0</v>
      </c>
      <c r="AR122" s="13">
        <f>IF(AO122&lt;&gt;_xlfn.MINIFS('Draft Board'!$AO$2:$AO$192,'Draft Board'!$AN$2:$AN$192,"="&amp;AN122),0,IF(OR(AP122=1,IFERROR(FLOOR((AQ122-AN122)/AQ122/0.25,1),0)&lt;&gt;IFERROR(FLOOR((AQ122-_xlfn.MINIFS('Draft Board'!$AN$2:$AN$192,'Draft Board'!$AN$2:$AN$192,"&gt;"&amp;AN122))/AQ122/0.25,1),0)),1,0))</f>
        <v>0</v>
      </c>
      <c r="AS122" s="13">
        <f>ROUND(1+AN122*'Live Calc'!$D$28,0)</f>
        <v>1</v>
      </c>
      <c r="AT122" s="13"/>
      <c r="AU122" s="13">
        <f>IF(AT122&lt;&gt;"",AT122,ROUND(AS122*INDEX('Live Calc'!$G$260:$G$450,MATCH(AM122,'Live Calc'!$A$260:$A$450,0))*'Live Calc'!$J$543,0))</f>
        <v>1</v>
      </c>
    </row>
    <row r="123" spans="17:47" x14ac:dyDescent="0.25">
      <c r="Q123" s="12" t="s">
        <v>481</v>
      </c>
      <c r="R123" s="12" t="s">
        <v>71</v>
      </c>
      <c r="S123" s="12">
        <v>13.698</v>
      </c>
      <c r="T123" s="12">
        <v>15.375999999999999</v>
      </c>
      <c r="U123" s="12">
        <v>17.164000000000001</v>
      </c>
      <c r="V123" s="12">
        <f>CHOOSE(MATCH(Setup!$B$7,{"STD","Half-PPR","PPR"},0),S123,T123,U123)</f>
        <v>15.375999999999999</v>
      </c>
      <c r="W123" s="12">
        <f>COUNTIFS('Draft Board'!$X$2:$X$162,"&gt;="&amp;X123,'Draft Board'!$AB$2:$AB$162,1)</f>
        <v>19</v>
      </c>
      <c r="X123" s="12">
        <f>MAX(0,V123-'Live Calc'!$H$20)^'Live Calc'!$E$20</f>
        <v>0</v>
      </c>
      <c r="Y123" s="12">
        <v>123</v>
      </c>
      <c r="Z123" s="12">
        <f>IF(Y123&lt;&gt;_xlfn.MINIFS('Draft Board'!$Y$2:$Y$162,'Draft Board'!$X$2:$X$162,"="&amp;X123),0,IF(_xlfn.MINIFS('Draft Board'!$X$2:$X$162,'Draft Board'!$X$2:$X$162,"&gt;"&amp;X123)=0,1,IF((_xlfn.MINIFS('Draft Board'!$X$2:$X$162,'Draft Board'!$X$2:$X$162,"&gt;"&amp;X123)-X123)/_xlfn.MINIFS('Draft Board'!$X$2:$X$162,'Draft Board'!$X$2:$X$162,"&gt;"&amp;X123)&gt;0.08,1,0)))</f>
        <v>0</v>
      </c>
      <c r="AA123" s="12">
        <f>_xlfn.MINIFS('Draft Board'!$X$2:$X$162,'Draft Board'!$X$2:$X$162,"&gt;="&amp;X123,'Draft Board'!$Z$2:$Z$162,1)</f>
        <v>0</v>
      </c>
      <c r="AB123" s="12">
        <f>IF(Y123&lt;&gt;_xlfn.MINIFS('Draft Board'!$Y$2:$Y$162,'Draft Board'!$X$2:$X$162,"="&amp;X123),0,IF(OR(Z123=1,IFERROR(FLOOR((AA123-X123)/AA123/0.25,1),0)&lt;&gt;IFERROR(FLOOR((AA123-_xlfn.MINIFS('Draft Board'!$X$2:$X$162,'Draft Board'!$X$2:$X$162,"&gt;"&amp;X123))/AA123/0.25,1),0)),1,0))</f>
        <v>0</v>
      </c>
      <c r="AC123" s="12">
        <f>ROUND(1+X123*'Live Calc'!$D$27,0)</f>
        <v>1</v>
      </c>
      <c r="AD123" s="12"/>
      <c r="AE123" s="12">
        <f>IF(AD123&lt;&gt;"",AD123,ROUND(AC123*INDEX('Live Calc'!$G$96:$G$256,MATCH(W123,'Live Calc'!$A$96:$A$256,0))*'Live Calc'!$J$543,0))</f>
        <v>1</v>
      </c>
      <c r="AG123" s="13" t="s">
        <v>482</v>
      </c>
      <c r="AH123" s="13" t="s">
        <v>134</v>
      </c>
      <c r="AI123" s="13">
        <v>32.134</v>
      </c>
      <c r="AJ123" s="13">
        <v>37.380000000000003</v>
      </c>
      <c r="AK123" s="13">
        <v>45.554000000000002</v>
      </c>
      <c r="AL123" s="13">
        <f>CHOOSE(MATCH(Setup!$B$7,{"STD","Half-PPR","PPR"},0),AI123,AJ123,AK123)</f>
        <v>37.380000000000003</v>
      </c>
      <c r="AM123" s="13">
        <f>COUNTIFS('Draft Board'!$AN$2:$AN$192,"&gt;="&amp;AN123,'Draft Board'!$AR$2:$AR$192,1)</f>
        <v>22</v>
      </c>
      <c r="AN123" s="13">
        <f>MAX(0,AL123-'Live Calc'!$H$21)^'Live Calc'!$E$21</f>
        <v>0</v>
      </c>
      <c r="AO123" s="13">
        <v>123</v>
      </c>
      <c r="AP123" s="13">
        <f>IF(AO123&lt;&gt;_xlfn.MINIFS('Draft Board'!$AO$2:$AO$192,'Draft Board'!$AN$2:$AN$192,"="&amp;AN123),0,IF(_xlfn.MINIFS('Draft Board'!$AN$2:$AN$192,'Draft Board'!$AN$2:$AN$192,"&gt;"&amp;AN123)=0,1,IF((_xlfn.MINIFS('Draft Board'!$AN$2:$AN$192,'Draft Board'!$AN$2:$AN$192,"&gt;"&amp;AN123)-AN123)/_xlfn.MINIFS('Draft Board'!$AN$2:$AN$192,'Draft Board'!$AN$2:$AN$192,"&gt;"&amp;AN123)&gt;0.08,1,0)))</f>
        <v>0</v>
      </c>
      <c r="AQ123" s="13">
        <f>_xlfn.MINIFS('Draft Board'!$AN$2:$AN$192,'Draft Board'!$AN$2:$AN$192,"&gt;="&amp;AN123,'Draft Board'!$AP$2:$AP$192,1)</f>
        <v>0</v>
      </c>
      <c r="AR123" s="13">
        <f>IF(AO123&lt;&gt;_xlfn.MINIFS('Draft Board'!$AO$2:$AO$192,'Draft Board'!$AN$2:$AN$192,"="&amp;AN123),0,IF(OR(AP123=1,IFERROR(FLOOR((AQ123-AN123)/AQ123/0.25,1),0)&lt;&gt;IFERROR(FLOOR((AQ123-_xlfn.MINIFS('Draft Board'!$AN$2:$AN$192,'Draft Board'!$AN$2:$AN$192,"&gt;"&amp;AN123))/AQ123/0.25,1),0)),1,0))</f>
        <v>0</v>
      </c>
      <c r="AS123" s="13">
        <f>ROUND(1+AN123*'Live Calc'!$D$28,0)</f>
        <v>1</v>
      </c>
      <c r="AT123" s="13"/>
      <c r="AU123" s="13">
        <f>IF(AT123&lt;&gt;"",AT123,ROUND(AS123*INDEX('Live Calc'!$G$260:$G$450,MATCH(AM123,'Live Calc'!$A$260:$A$450,0))*'Live Calc'!$J$543,0))</f>
        <v>1</v>
      </c>
    </row>
    <row r="124" spans="17:47" x14ac:dyDescent="0.25">
      <c r="Q124" s="12" t="s">
        <v>483</v>
      </c>
      <c r="R124" s="12" t="s">
        <v>65</v>
      </c>
      <c r="S124" s="12">
        <v>13.87</v>
      </c>
      <c r="T124" s="12">
        <v>14.83</v>
      </c>
      <c r="U124" s="12">
        <v>15.8</v>
      </c>
      <c r="V124" s="12">
        <f>CHOOSE(MATCH(Setup!$B$7,{"STD","Half-PPR","PPR"},0),S124,T124,U124)</f>
        <v>14.83</v>
      </c>
      <c r="W124" s="12">
        <f>COUNTIFS('Draft Board'!$X$2:$X$162,"&gt;="&amp;X124,'Draft Board'!$AB$2:$AB$162,1)</f>
        <v>19</v>
      </c>
      <c r="X124" s="12">
        <f>MAX(0,V124-'Live Calc'!$H$20)^'Live Calc'!$E$20</f>
        <v>0</v>
      </c>
      <c r="Y124" s="12">
        <v>124</v>
      </c>
      <c r="Z124" s="12">
        <f>IF(Y124&lt;&gt;_xlfn.MINIFS('Draft Board'!$Y$2:$Y$162,'Draft Board'!$X$2:$X$162,"="&amp;X124),0,IF(_xlfn.MINIFS('Draft Board'!$X$2:$X$162,'Draft Board'!$X$2:$X$162,"&gt;"&amp;X124)=0,1,IF((_xlfn.MINIFS('Draft Board'!$X$2:$X$162,'Draft Board'!$X$2:$X$162,"&gt;"&amp;X124)-X124)/_xlfn.MINIFS('Draft Board'!$X$2:$X$162,'Draft Board'!$X$2:$X$162,"&gt;"&amp;X124)&gt;0.08,1,0)))</f>
        <v>0</v>
      </c>
      <c r="AA124" s="12">
        <f>_xlfn.MINIFS('Draft Board'!$X$2:$X$162,'Draft Board'!$X$2:$X$162,"&gt;="&amp;X124,'Draft Board'!$Z$2:$Z$162,1)</f>
        <v>0</v>
      </c>
      <c r="AB124" s="12">
        <f>IF(Y124&lt;&gt;_xlfn.MINIFS('Draft Board'!$Y$2:$Y$162,'Draft Board'!$X$2:$X$162,"="&amp;X124),0,IF(OR(Z124=1,IFERROR(FLOOR((AA124-X124)/AA124/0.25,1),0)&lt;&gt;IFERROR(FLOOR((AA124-_xlfn.MINIFS('Draft Board'!$X$2:$X$162,'Draft Board'!$X$2:$X$162,"&gt;"&amp;X124))/AA124/0.25,1),0)),1,0))</f>
        <v>0</v>
      </c>
      <c r="AC124" s="12">
        <f>ROUND(1+X124*'Live Calc'!$D$27,0)</f>
        <v>1</v>
      </c>
      <c r="AD124" s="12"/>
      <c r="AE124" s="12">
        <f>IF(AD124&lt;&gt;"",AD124,ROUND(AC124*INDEX('Live Calc'!$G$96:$G$256,MATCH(W124,'Live Calc'!$A$96:$A$256,0))*'Live Calc'!$J$543,0))</f>
        <v>1</v>
      </c>
      <c r="AG124" s="13" t="s">
        <v>484</v>
      </c>
      <c r="AH124" s="13" t="s">
        <v>69</v>
      </c>
      <c r="AI124" s="13">
        <v>30.58</v>
      </c>
      <c r="AJ124" s="13">
        <v>37.200000000000003</v>
      </c>
      <c r="AK124" s="13">
        <v>43.82</v>
      </c>
      <c r="AL124" s="13">
        <f>CHOOSE(MATCH(Setup!$B$7,{"STD","Half-PPR","PPR"},0),AI124,AJ124,AK124)</f>
        <v>37.200000000000003</v>
      </c>
      <c r="AM124" s="13">
        <f>COUNTIFS('Draft Board'!$AN$2:$AN$192,"&gt;="&amp;AN124,'Draft Board'!$AR$2:$AR$192,1)</f>
        <v>22</v>
      </c>
      <c r="AN124" s="13">
        <f>MAX(0,AL124-'Live Calc'!$H$21)^'Live Calc'!$E$21</f>
        <v>0</v>
      </c>
      <c r="AO124" s="13">
        <v>124</v>
      </c>
      <c r="AP124" s="13">
        <f>IF(AO124&lt;&gt;_xlfn.MINIFS('Draft Board'!$AO$2:$AO$192,'Draft Board'!$AN$2:$AN$192,"="&amp;AN124),0,IF(_xlfn.MINIFS('Draft Board'!$AN$2:$AN$192,'Draft Board'!$AN$2:$AN$192,"&gt;"&amp;AN124)=0,1,IF((_xlfn.MINIFS('Draft Board'!$AN$2:$AN$192,'Draft Board'!$AN$2:$AN$192,"&gt;"&amp;AN124)-AN124)/_xlfn.MINIFS('Draft Board'!$AN$2:$AN$192,'Draft Board'!$AN$2:$AN$192,"&gt;"&amp;AN124)&gt;0.08,1,0)))</f>
        <v>0</v>
      </c>
      <c r="AQ124" s="13">
        <f>_xlfn.MINIFS('Draft Board'!$AN$2:$AN$192,'Draft Board'!$AN$2:$AN$192,"&gt;="&amp;AN124,'Draft Board'!$AP$2:$AP$192,1)</f>
        <v>0</v>
      </c>
      <c r="AR124" s="13">
        <f>IF(AO124&lt;&gt;_xlfn.MINIFS('Draft Board'!$AO$2:$AO$192,'Draft Board'!$AN$2:$AN$192,"="&amp;AN124),0,IF(OR(AP124=1,IFERROR(FLOOR((AQ124-AN124)/AQ124/0.25,1),0)&lt;&gt;IFERROR(FLOOR((AQ124-_xlfn.MINIFS('Draft Board'!$AN$2:$AN$192,'Draft Board'!$AN$2:$AN$192,"&gt;"&amp;AN124))/AQ124/0.25,1),0)),1,0))</f>
        <v>0</v>
      </c>
      <c r="AS124" s="13">
        <f>ROUND(1+AN124*'Live Calc'!$D$28,0)</f>
        <v>1</v>
      </c>
      <c r="AT124" s="13"/>
      <c r="AU124" s="13">
        <f>IF(AT124&lt;&gt;"",AT124,ROUND(AS124*INDEX('Live Calc'!$G$260:$G$450,MATCH(AM124,'Live Calc'!$A$260:$A$450,0))*'Live Calc'!$J$543,0))</f>
        <v>1</v>
      </c>
    </row>
    <row r="125" spans="17:47" x14ac:dyDescent="0.25">
      <c r="Q125" s="12" t="s">
        <v>485</v>
      </c>
      <c r="R125" s="12" t="s">
        <v>139</v>
      </c>
      <c r="S125" s="12">
        <v>11.936</v>
      </c>
      <c r="T125" s="12">
        <v>14.64</v>
      </c>
      <c r="U125" s="12">
        <v>17.015999999999998</v>
      </c>
      <c r="V125" s="12">
        <f>CHOOSE(MATCH(Setup!$B$7,{"STD","Half-PPR","PPR"},0),S125,T125,U125)</f>
        <v>14.64</v>
      </c>
      <c r="W125" s="12">
        <f>COUNTIFS('Draft Board'!$X$2:$X$162,"&gt;="&amp;X125,'Draft Board'!$AB$2:$AB$162,1)</f>
        <v>19</v>
      </c>
      <c r="X125" s="12">
        <f>MAX(0,V125-'Live Calc'!$H$20)^'Live Calc'!$E$20</f>
        <v>0</v>
      </c>
      <c r="Y125" s="12">
        <v>125</v>
      </c>
      <c r="Z125" s="12">
        <f>IF(Y125&lt;&gt;_xlfn.MINIFS('Draft Board'!$Y$2:$Y$162,'Draft Board'!$X$2:$X$162,"="&amp;X125),0,IF(_xlfn.MINIFS('Draft Board'!$X$2:$X$162,'Draft Board'!$X$2:$X$162,"&gt;"&amp;X125)=0,1,IF((_xlfn.MINIFS('Draft Board'!$X$2:$X$162,'Draft Board'!$X$2:$X$162,"&gt;"&amp;X125)-X125)/_xlfn.MINIFS('Draft Board'!$X$2:$X$162,'Draft Board'!$X$2:$X$162,"&gt;"&amp;X125)&gt;0.08,1,0)))</f>
        <v>0</v>
      </c>
      <c r="AA125" s="12">
        <f>_xlfn.MINIFS('Draft Board'!$X$2:$X$162,'Draft Board'!$X$2:$X$162,"&gt;="&amp;X125,'Draft Board'!$Z$2:$Z$162,1)</f>
        <v>0</v>
      </c>
      <c r="AB125" s="12">
        <f>IF(Y125&lt;&gt;_xlfn.MINIFS('Draft Board'!$Y$2:$Y$162,'Draft Board'!$X$2:$X$162,"="&amp;X125),0,IF(OR(Z125=1,IFERROR(FLOOR((AA125-X125)/AA125/0.25,1),0)&lt;&gt;IFERROR(FLOOR((AA125-_xlfn.MINIFS('Draft Board'!$X$2:$X$162,'Draft Board'!$X$2:$X$162,"&gt;"&amp;X125))/AA125/0.25,1),0)),1,0))</f>
        <v>0</v>
      </c>
      <c r="AC125" s="12">
        <f>ROUND(1+X125*'Live Calc'!$D$27,0)</f>
        <v>1</v>
      </c>
      <c r="AD125" s="12"/>
      <c r="AE125" s="12">
        <f>IF(AD125&lt;&gt;"",AD125,ROUND(AC125*INDEX('Live Calc'!$G$96:$G$256,MATCH(W125,'Live Calc'!$A$96:$A$256,0))*'Live Calc'!$J$543,0))</f>
        <v>1</v>
      </c>
      <c r="AG125" s="13" t="s">
        <v>486</v>
      </c>
      <c r="AH125" s="13" t="s">
        <v>96</v>
      </c>
      <c r="AI125" s="13">
        <v>27.585999999999999</v>
      </c>
      <c r="AJ125" s="13">
        <v>35.792000000000002</v>
      </c>
      <c r="AK125" s="13">
        <v>44.052</v>
      </c>
      <c r="AL125" s="13">
        <f>CHOOSE(MATCH(Setup!$B$7,{"STD","Half-PPR","PPR"},0),AI125,AJ125,AK125)</f>
        <v>35.792000000000002</v>
      </c>
      <c r="AM125" s="13">
        <f>COUNTIFS('Draft Board'!$AN$2:$AN$192,"&gt;="&amp;AN125,'Draft Board'!$AR$2:$AR$192,1)</f>
        <v>22</v>
      </c>
      <c r="AN125" s="13">
        <f>MAX(0,AL125-'Live Calc'!$H$21)^'Live Calc'!$E$21</f>
        <v>0</v>
      </c>
      <c r="AO125" s="13">
        <v>125</v>
      </c>
      <c r="AP125" s="13">
        <f>IF(AO125&lt;&gt;_xlfn.MINIFS('Draft Board'!$AO$2:$AO$192,'Draft Board'!$AN$2:$AN$192,"="&amp;AN125),0,IF(_xlfn.MINIFS('Draft Board'!$AN$2:$AN$192,'Draft Board'!$AN$2:$AN$192,"&gt;"&amp;AN125)=0,1,IF((_xlfn.MINIFS('Draft Board'!$AN$2:$AN$192,'Draft Board'!$AN$2:$AN$192,"&gt;"&amp;AN125)-AN125)/_xlfn.MINIFS('Draft Board'!$AN$2:$AN$192,'Draft Board'!$AN$2:$AN$192,"&gt;"&amp;AN125)&gt;0.08,1,0)))</f>
        <v>0</v>
      </c>
      <c r="AQ125" s="13">
        <f>_xlfn.MINIFS('Draft Board'!$AN$2:$AN$192,'Draft Board'!$AN$2:$AN$192,"&gt;="&amp;AN125,'Draft Board'!$AP$2:$AP$192,1)</f>
        <v>0</v>
      </c>
      <c r="AR125" s="13">
        <f>IF(AO125&lt;&gt;_xlfn.MINIFS('Draft Board'!$AO$2:$AO$192,'Draft Board'!$AN$2:$AN$192,"="&amp;AN125),0,IF(OR(AP125=1,IFERROR(FLOOR((AQ125-AN125)/AQ125/0.25,1),0)&lt;&gt;IFERROR(FLOOR((AQ125-_xlfn.MINIFS('Draft Board'!$AN$2:$AN$192,'Draft Board'!$AN$2:$AN$192,"&gt;"&amp;AN125))/AQ125/0.25,1),0)),1,0))</f>
        <v>0</v>
      </c>
      <c r="AS125" s="13">
        <f>ROUND(1+AN125*'Live Calc'!$D$28,0)</f>
        <v>1</v>
      </c>
      <c r="AT125" s="13"/>
      <c r="AU125" s="13">
        <f>IF(AT125&lt;&gt;"",AT125,ROUND(AS125*INDEX('Live Calc'!$G$260:$G$450,MATCH(AM125,'Live Calc'!$A$260:$A$450,0))*'Live Calc'!$J$543,0))</f>
        <v>1</v>
      </c>
    </row>
    <row r="126" spans="17:47" x14ac:dyDescent="0.25">
      <c r="Q126" s="12" t="s">
        <v>487</v>
      </c>
      <c r="R126" s="12" t="s">
        <v>85</v>
      </c>
      <c r="S126" s="12">
        <v>11.82</v>
      </c>
      <c r="T126" s="12">
        <v>14.13</v>
      </c>
      <c r="U126" s="12">
        <v>16.288</v>
      </c>
      <c r="V126" s="12">
        <f>CHOOSE(MATCH(Setup!$B$7,{"STD","Half-PPR","PPR"},0),S126,T126,U126)</f>
        <v>14.13</v>
      </c>
      <c r="W126" s="12">
        <f>COUNTIFS('Draft Board'!$X$2:$X$162,"&gt;="&amp;X126,'Draft Board'!$AB$2:$AB$162,1)</f>
        <v>19</v>
      </c>
      <c r="X126" s="12">
        <f>MAX(0,V126-'Live Calc'!$H$20)^'Live Calc'!$E$20</f>
        <v>0</v>
      </c>
      <c r="Y126" s="12">
        <v>126</v>
      </c>
      <c r="Z126" s="12">
        <f>IF(Y126&lt;&gt;_xlfn.MINIFS('Draft Board'!$Y$2:$Y$162,'Draft Board'!$X$2:$X$162,"="&amp;X126),0,IF(_xlfn.MINIFS('Draft Board'!$X$2:$X$162,'Draft Board'!$X$2:$X$162,"&gt;"&amp;X126)=0,1,IF((_xlfn.MINIFS('Draft Board'!$X$2:$X$162,'Draft Board'!$X$2:$X$162,"&gt;"&amp;X126)-X126)/_xlfn.MINIFS('Draft Board'!$X$2:$X$162,'Draft Board'!$X$2:$X$162,"&gt;"&amp;X126)&gt;0.08,1,0)))</f>
        <v>0</v>
      </c>
      <c r="AA126" s="12">
        <f>_xlfn.MINIFS('Draft Board'!$X$2:$X$162,'Draft Board'!$X$2:$X$162,"&gt;="&amp;X126,'Draft Board'!$Z$2:$Z$162,1)</f>
        <v>0</v>
      </c>
      <c r="AB126" s="12">
        <f>IF(Y126&lt;&gt;_xlfn.MINIFS('Draft Board'!$Y$2:$Y$162,'Draft Board'!$X$2:$X$162,"="&amp;X126),0,IF(OR(Z126=1,IFERROR(FLOOR((AA126-X126)/AA126/0.25,1),0)&lt;&gt;IFERROR(FLOOR((AA126-_xlfn.MINIFS('Draft Board'!$X$2:$X$162,'Draft Board'!$X$2:$X$162,"&gt;"&amp;X126))/AA126/0.25,1),0)),1,0))</f>
        <v>0</v>
      </c>
      <c r="AC126" s="12">
        <f>ROUND(1+X126*'Live Calc'!$D$27,0)</f>
        <v>1</v>
      </c>
      <c r="AD126" s="12"/>
      <c r="AE126" s="12">
        <f>IF(AD126&lt;&gt;"",AD126,ROUND(AC126*INDEX('Live Calc'!$G$96:$G$256,MATCH(W126,'Live Calc'!$A$96:$A$256,0))*'Live Calc'!$J$543,0))</f>
        <v>1</v>
      </c>
      <c r="AG126" s="13" t="s">
        <v>488</v>
      </c>
      <c r="AH126" s="13" t="s">
        <v>125</v>
      </c>
      <c r="AI126" s="13">
        <v>27.058</v>
      </c>
      <c r="AJ126" s="13">
        <v>35.631999999999998</v>
      </c>
      <c r="AK126" s="13">
        <v>44.78</v>
      </c>
      <c r="AL126" s="13">
        <f>CHOOSE(MATCH(Setup!$B$7,{"STD","Half-PPR","PPR"},0),AI126,AJ126,AK126)</f>
        <v>35.631999999999998</v>
      </c>
      <c r="AM126" s="13">
        <f>COUNTIFS('Draft Board'!$AN$2:$AN$192,"&gt;="&amp;AN126,'Draft Board'!$AR$2:$AR$192,1)</f>
        <v>22</v>
      </c>
      <c r="AN126" s="13">
        <f>MAX(0,AL126-'Live Calc'!$H$21)^'Live Calc'!$E$21</f>
        <v>0</v>
      </c>
      <c r="AO126" s="13">
        <v>126</v>
      </c>
      <c r="AP126" s="13">
        <f>IF(AO126&lt;&gt;_xlfn.MINIFS('Draft Board'!$AO$2:$AO$192,'Draft Board'!$AN$2:$AN$192,"="&amp;AN126),0,IF(_xlfn.MINIFS('Draft Board'!$AN$2:$AN$192,'Draft Board'!$AN$2:$AN$192,"&gt;"&amp;AN126)=0,1,IF((_xlfn.MINIFS('Draft Board'!$AN$2:$AN$192,'Draft Board'!$AN$2:$AN$192,"&gt;"&amp;AN126)-AN126)/_xlfn.MINIFS('Draft Board'!$AN$2:$AN$192,'Draft Board'!$AN$2:$AN$192,"&gt;"&amp;AN126)&gt;0.08,1,0)))</f>
        <v>0</v>
      </c>
      <c r="AQ126" s="13">
        <f>_xlfn.MINIFS('Draft Board'!$AN$2:$AN$192,'Draft Board'!$AN$2:$AN$192,"&gt;="&amp;AN126,'Draft Board'!$AP$2:$AP$192,1)</f>
        <v>0</v>
      </c>
      <c r="AR126" s="13">
        <f>IF(AO126&lt;&gt;_xlfn.MINIFS('Draft Board'!$AO$2:$AO$192,'Draft Board'!$AN$2:$AN$192,"="&amp;AN126),0,IF(OR(AP126=1,IFERROR(FLOOR((AQ126-AN126)/AQ126/0.25,1),0)&lt;&gt;IFERROR(FLOOR((AQ126-_xlfn.MINIFS('Draft Board'!$AN$2:$AN$192,'Draft Board'!$AN$2:$AN$192,"&gt;"&amp;AN126))/AQ126/0.25,1),0)),1,0))</f>
        <v>0</v>
      </c>
      <c r="AS126" s="13">
        <f>ROUND(1+AN126*'Live Calc'!$D$28,0)</f>
        <v>1</v>
      </c>
      <c r="AT126" s="13"/>
      <c r="AU126" s="13">
        <f>IF(AT126&lt;&gt;"",AT126,ROUND(AS126*INDEX('Live Calc'!$G$260:$G$450,MATCH(AM126,'Live Calc'!$A$260:$A$450,0))*'Live Calc'!$J$543,0))</f>
        <v>1</v>
      </c>
    </row>
    <row r="127" spans="17:47" x14ac:dyDescent="0.25">
      <c r="Q127" s="12" t="s">
        <v>489</v>
      </c>
      <c r="R127" s="12" t="s">
        <v>120</v>
      </c>
      <c r="S127" s="12">
        <v>11.576000000000001</v>
      </c>
      <c r="T127" s="12">
        <v>13.074</v>
      </c>
      <c r="U127" s="12">
        <v>15.362</v>
      </c>
      <c r="V127" s="12">
        <f>CHOOSE(MATCH(Setup!$B$7,{"STD","Half-PPR","PPR"},0),S127,T127,U127)</f>
        <v>13.074</v>
      </c>
      <c r="W127" s="12">
        <f>COUNTIFS('Draft Board'!$X$2:$X$162,"&gt;="&amp;X127,'Draft Board'!$AB$2:$AB$162,1)</f>
        <v>19</v>
      </c>
      <c r="X127" s="12">
        <f>MAX(0,V127-'Live Calc'!$H$20)^'Live Calc'!$E$20</f>
        <v>0</v>
      </c>
      <c r="Y127" s="12">
        <v>127</v>
      </c>
      <c r="Z127" s="12">
        <f>IF(Y127&lt;&gt;_xlfn.MINIFS('Draft Board'!$Y$2:$Y$162,'Draft Board'!$X$2:$X$162,"="&amp;X127),0,IF(_xlfn.MINIFS('Draft Board'!$X$2:$X$162,'Draft Board'!$X$2:$X$162,"&gt;"&amp;X127)=0,1,IF((_xlfn.MINIFS('Draft Board'!$X$2:$X$162,'Draft Board'!$X$2:$X$162,"&gt;"&amp;X127)-X127)/_xlfn.MINIFS('Draft Board'!$X$2:$X$162,'Draft Board'!$X$2:$X$162,"&gt;"&amp;X127)&gt;0.08,1,0)))</f>
        <v>0</v>
      </c>
      <c r="AA127" s="12">
        <f>_xlfn.MINIFS('Draft Board'!$X$2:$X$162,'Draft Board'!$X$2:$X$162,"&gt;="&amp;X127,'Draft Board'!$Z$2:$Z$162,1)</f>
        <v>0</v>
      </c>
      <c r="AB127" s="12">
        <f>IF(Y127&lt;&gt;_xlfn.MINIFS('Draft Board'!$Y$2:$Y$162,'Draft Board'!$X$2:$X$162,"="&amp;X127),0,IF(OR(Z127=1,IFERROR(FLOOR((AA127-X127)/AA127/0.25,1),0)&lt;&gt;IFERROR(FLOOR((AA127-_xlfn.MINIFS('Draft Board'!$X$2:$X$162,'Draft Board'!$X$2:$X$162,"&gt;"&amp;X127))/AA127/0.25,1),0)),1,0))</f>
        <v>0</v>
      </c>
      <c r="AC127" s="12">
        <f>ROUND(1+X127*'Live Calc'!$D$27,0)</f>
        <v>1</v>
      </c>
      <c r="AD127" s="12"/>
      <c r="AE127" s="12">
        <f>IF(AD127&lt;&gt;"",AD127,ROUND(AC127*INDEX('Live Calc'!$G$96:$G$256,MATCH(W127,'Live Calc'!$A$96:$A$256,0))*'Live Calc'!$J$543,0))</f>
        <v>1</v>
      </c>
      <c r="AG127" s="13" t="s">
        <v>490</v>
      </c>
      <c r="AH127" s="13" t="s">
        <v>101</v>
      </c>
      <c r="AI127" s="13">
        <v>27.384</v>
      </c>
      <c r="AJ127" s="13">
        <v>34.701999999999998</v>
      </c>
      <c r="AK127" s="13">
        <v>42.222000000000001</v>
      </c>
      <c r="AL127" s="13">
        <f>CHOOSE(MATCH(Setup!$B$7,{"STD","Half-PPR","PPR"},0),AI127,AJ127,AK127)</f>
        <v>34.701999999999998</v>
      </c>
      <c r="AM127" s="13">
        <f>COUNTIFS('Draft Board'!$AN$2:$AN$192,"&gt;="&amp;AN127,'Draft Board'!$AR$2:$AR$192,1)</f>
        <v>22</v>
      </c>
      <c r="AN127" s="13">
        <f>MAX(0,AL127-'Live Calc'!$H$21)^'Live Calc'!$E$21</f>
        <v>0</v>
      </c>
      <c r="AO127" s="13">
        <v>127</v>
      </c>
      <c r="AP127" s="13">
        <f>IF(AO127&lt;&gt;_xlfn.MINIFS('Draft Board'!$AO$2:$AO$192,'Draft Board'!$AN$2:$AN$192,"="&amp;AN127),0,IF(_xlfn.MINIFS('Draft Board'!$AN$2:$AN$192,'Draft Board'!$AN$2:$AN$192,"&gt;"&amp;AN127)=0,1,IF((_xlfn.MINIFS('Draft Board'!$AN$2:$AN$192,'Draft Board'!$AN$2:$AN$192,"&gt;"&amp;AN127)-AN127)/_xlfn.MINIFS('Draft Board'!$AN$2:$AN$192,'Draft Board'!$AN$2:$AN$192,"&gt;"&amp;AN127)&gt;0.08,1,0)))</f>
        <v>0</v>
      </c>
      <c r="AQ127" s="13">
        <f>_xlfn.MINIFS('Draft Board'!$AN$2:$AN$192,'Draft Board'!$AN$2:$AN$192,"&gt;="&amp;AN127,'Draft Board'!$AP$2:$AP$192,1)</f>
        <v>0</v>
      </c>
      <c r="AR127" s="13">
        <f>IF(AO127&lt;&gt;_xlfn.MINIFS('Draft Board'!$AO$2:$AO$192,'Draft Board'!$AN$2:$AN$192,"="&amp;AN127),0,IF(OR(AP127=1,IFERROR(FLOOR((AQ127-AN127)/AQ127/0.25,1),0)&lt;&gt;IFERROR(FLOOR((AQ127-_xlfn.MINIFS('Draft Board'!$AN$2:$AN$192,'Draft Board'!$AN$2:$AN$192,"&gt;"&amp;AN127))/AQ127/0.25,1),0)),1,0))</f>
        <v>0</v>
      </c>
      <c r="AS127" s="13">
        <f>ROUND(1+AN127*'Live Calc'!$D$28,0)</f>
        <v>1</v>
      </c>
      <c r="AT127" s="13"/>
      <c r="AU127" s="13">
        <f>IF(AT127&lt;&gt;"",AT127,ROUND(AS127*INDEX('Live Calc'!$G$260:$G$450,MATCH(AM127,'Live Calc'!$A$260:$A$450,0))*'Live Calc'!$J$543,0))</f>
        <v>1</v>
      </c>
    </row>
    <row r="128" spans="17:47" x14ac:dyDescent="0.25">
      <c r="Q128" s="12" t="s">
        <v>491</v>
      </c>
      <c r="R128" s="12" t="s">
        <v>63</v>
      </c>
      <c r="S128" s="12">
        <v>10.375999999999999</v>
      </c>
      <c r="T128" s="12">
        <v>12.532</v>
      </c>
      <c r="U128" s="12">
        <v>14.176</v>
      </c>
      <c r="V128" s="12">
        <f>CHOOSE(MATCH(Setup!$B$7,{"STD","Half-PPR","PPR"},0),S128,T128,U128)</f>
        <v>12.532</v>
      </c>
      <c r="W128" s="12">
        <f>COUNTIFS('Draft Board'!$X$2:$X$162,"&gt;="&amp;X128,'Draft Board'!$AB$2:$AB$162,1)</f>
        <v>19</v>
      </c>
      <c r="X128" s="12">
        <f>MAX(0,V128-'Live Calc'!$H$20)^'Live Calc'!$E$20</f>
        <v>0</v>
      </c>
      <c r="Y128" s="12">
        <v>128</v>
      </c>
      <c r="Z128" s="12">
        <f>IF(Y128&lt;&gt;_xlfn.MINIFS('Draft Board'!$Y$2:$Y$162,'Draft Board'!$X$2:$X$162,"="&amp;X128),0,IF(_xlfn.MINIFS('Draft Board'!$X$2:$X$162,'Draft Board'!$X$2:$X$162,"&gt;"&amp;X128)=0,1,IF((_xlfn.MINIFS('Draft Board'!$X$2:$X$162,'Draft Board'!$X$2:$X$162,"&gt;"&amp;X128)-X128)/_xlfn.MINIFS('Draft Board'!$X$2:$X$162,'Draft Board'!$X$2:$X$162,"&gt;"&amp;X128)&gt;0.08,1,0)))</f>
        <v>0</v>
      </c>
      <c r="AA128" s="12">
        <f>_xlfn.MINIFS('Draft Board'!$X$2:$X$162,'Draft Board'!$X$2:$X$162,"&gt;="&amp;X128,'Draft Board'!$Z$2:$Z$162,1)</f>
        <v>0</v>
      </c>
      <c r="AB128" s="12">
        <f>IF(Y128&lt;&gt;_xlfn.MINIFS('Draft Board'!$Y$2:$Y$162,'Draft Board'!$X$2:$X$162,"="&amp;X128),0,IF(OR(Z128=1,IFERROR(FLOOR((AA128-X128)/AA128/0.25,1),0)&lt;&gt;IFERROR(FLOOR((AA128-_xlfn.MINIFS('Draft Board'!$X$2:$X$162,'Draft Board'!$X$2:$X$162,"&gt;"&amp;X128))/AA128/0.25,1),0)),1,0))</f>
        <v>0</v>
      </c>
      <c r="AC128" s="12">
        <f>ROUND(1+X128*'Live Calc'!$D$27,0)</f>
        <v>1</v>
      </c>
      <c r="AD128" s="12"/>
      <c r="AE128" s="12">
        <f>IF(AD128&lt;&gt;"",AD128,ROUND(AC128*INDEX('Live Calc'!$G$96:$G$256,MATCH(W128,'Live Calc'!$A$96:$A$256,0))*'Live Calc'!$J$543,0))</f>
        <v>1</v>
      </c>
      <c r="AG128" s="13" t="s">
        <v>492</v>
      </c>
      <c r="AH128" s="13" t="s">
        <v>87</v>
      </c>
      <c r="AI128" s="13">
        <v>28.53</v>
      </c>
      <c r="AJ128" s="13">
        <v>34.61</v>
      </c>
      <c r="AK128" s="13">
        <v>40.69</v>
      </c>
      <c r="AL128" s="13">
        <f>CHOOSE(MATCH(Setup!$B$7,{"STD","Half-PPR","PPR"},0),AI128,AJ128,AK128)</f>
        <v>34.61</v>
      </c>
      <c r="AM128" s="13">
        <f>COUNTIFS('Draft Board'!$AN$2:$AN$192,"&gt;="&amp;AN128,'Draft Board'!$AR$2:$AR$192,1)</f>
        <v>22</v>
      </c>
      <c r="AN128" s="13">
        <f>MAX(0,AL128-'Live Calc'!$H$21)^'Live Calc'!$E$21</f>
        <v>0</v>
      </c>
      <c r="AO128" s="13">
        <v>128</v>
      </c>
      <c r="AP128" s="13">
        <f>IF(AO128&lt;&gt;_xlfn.MINIFS('Draft Board'!$AO$2:$AO$192,'Draft Board'!$AN$2:$AN$192,"="&amp;AN128),0,IF(_xlfn.MINIFS('Draft Board'!$AN$2:$AN$192,'Draft Board'!$AN$2:$AN$192,"&gt;"&amp;AN128)=0,1,IF((_xlfn.MINIFS('Draft Board'!$AN$2:$AN$192,'Draft Board'!$AN$2:$AN$192,"&gt;"&amp;AN128)-AN128)/_xlfn.MINIFS('Draft Board'!$AN$2:$AN$192,'Draft Board'!$AN$2:$AN$192,"&gt;"&amp;AN128)&gt;0.08,1,0)))</f>
        <v>0</v>
      </c>
      <c r="AQ128" s="13">
        <f>_xlfn.MINIFS('Draft Board'!$AN$2:$AN$192,'Draft Board'!$AN$2:$AN$192,"&gt;="&amp;AN128,'Draft Board'!$AP$2:$AP$192,1)</f>
        <v>0</v>
      </c>
      <c r="AR128" s="13">
        <f>IF(AO128&lt;&gt;_xlfn.MINIFS('Draft Board'!$AO$2:$AO$192,'Draft Board'!$AN$2:$AN$192,"="&amp;AN128),0,IF(OR(AP128=1,IFERROR(FLOOR((AQ128-AN128)/AQ128/0.25,1),0)&lt;&gt;IFERROR(FLOOR((AQ128-_xlfn.MINIFS('Draft Board'!$AN$2:$AN$192,'Draft Board'!$AN$2:$AN$192,"&gt;"&amp;AN128))/AQ128/0.25,1),0)),1,0))</f>
        <v>0</v>
      </c>
      <c r="AS128" s="13">
        <f>ROUND(1+AN128*'Live Calc'!$D$28,0)</f>
        <v>1</v>
      </c>
      <c r="AT128" s="13"/>
      <c r="AU128" s="13">
        <f>IF(AT128&lt;&gt;"",AT128,ROUND(AS128*INDEX('Live Calc'!$G$260:$G$450,MATCH(AM128,'Live Calc'!$A$260:$A$450,0))*'Live Calc'!$J$543,0))</f>
        <v>1</v>
      </c>
    </row>
    <row r="129" spans="17:47" x14ac:dyDescent="0.25">
      <c r="Q129" s="12" t="s">
        <v>350</v>
      </c>
      <c r="R129" s="12" t="s">
        <v>75</v>
      </c>
      <c r="S129" s="12">
        <v>9.8800000000000008</v>
      </c>
      <c r="T129" s="12">
        <v>12.52</v>
      </c>
      <c r="U129" s="12">
        <v>15.17</v>
      </c>
      <c r="V129" s="12">
        <f>CHOOSE(MATCH(Setup!$B$7,{"STD","Half-PPR","PPR"},0),S129,T129,U129)</f>
        <v>12.52</v>
      </c>
      <c r="W129" s="12">
        <f>COUNTIFS('Draft Board'!$X$2:$X$162,"&gt;="&amp;X129,'Draft Board'!$AB$2:$AB$162,1)</f>
        <v>19</v>
      </c>
      <c r="X129" s="12">
        <f>MAX(0,V129-'Live Calc'!$H$20)^'Live Calc'!$E$20</f>
        <v>0</v>
      </c>
      <c r="Y129" s="12">
        <v>129</v>
      </c>
      <c r="Z129" s="12">
        <f>IF(Y129&lt;&gt;_xlfn.MINIFS('Draft Board'!$Y$2:$Y$162,'Draft Board'!$X$2:$X$162,"="&amp;X129),0,IF(_xlfn.MINIFS('Draft Board'!$X$2:$X$162,'Draft Board'!$X$2:$X$162,"&gt;"&amp;X129)=0,1,IF((_xlfn.MINIFS('Draft Board'!$X$2:$X$162,'Draft Board'!$X$2:$X$162,"&gt;"&amp;X129)-X129)/_xlfn.MINIFS('Draft Board'!$X$2:$X$162,'Draft Board'!$X$2:$X$162,"&gt;"&amp;X129)&gt;0.08,1,0)))</f>
        <v>0</v>
      </c>
      <c r="AA129" s="12">
        <f>_xlfn.MINIFS('Draft Board'!$X$2:$X$162,'Draft Board'!$X$2:$X$162,"&gt;="&amp;X129,'Draft Board'!$Z$2:$Z$162,1)</f>
        <v>0</v>
      </c>
      <c r="AB129" s="12">
        <f>IF(Y129&lt;&gt;_xlfn.MINIFS('Draft Board'!$Y$2:$Y$162,'Draft Board'!$X$2:$X$162,"="&amp;X129),0,IF(OR(Z129=1,IFERROR(FLOOR((AA129-X129)/AA129/0.25,1),0)&lt;&gt;IFERROR(FLOOR((AA129-_xlfn.MINIFS('Draft Board'!$X$2:$X$162,'Draft Board'!$X$2:$X$162,"&gt;"&amp;X129))/AA129/0.25,1),0)),1,0))</f>
        <v>0</v>
      </c>
      <c r="AC129" s="12">
        <f>ROUND(1+X129*'Live Calc'!$D$27,0)</f>
        <v>1</v>
      </c>
      <c r="AD129" s="12"/>
      <c r="AE129" s="12">
        <f>IF(AD129&lt;&gt;"",AD129,ROUND(AC129*INDEX('Live Calc'!$G$96:$G$256,MATCH(W129,'Live Calc'!$A$96:$A$256,0))*'Live Calc'!$J$543,0))</f>
        <v>1</v>
      </c>
      <c r="AG129" s="13" t="s">
        <v>493</v>
      </c>
      <c r="AH129" s="13" t="s">
        <v>77</v>
      </c>
      <c r="AI129" s="13">
        <v>26.66</v>
      </c>
      <c r="AJ129" s="13">
        <v>34.542000000000002</v>
      </c>
      <c r="AK129" s="13">
        <v>42.277999999999999</v>
      </c>
      <c r="AL129" s="13">
        <f>CHOOSE(MATCH(Setup!$B$7,{"STD","Half-PPR","PPR"},0),AI129,AJ129,AK129)</f>
        <v>34.542000000000002</v>
      </c>
      <c r="AM129" s="13">
        <f>COUNTIFS('Draft Board'!$AN$2:$AN$192,"&gt;="&amp;AN129,'Draft Board'!$AR$2:$AR$192,1)</f>
        <v>22</v>
      </c>
      <c r="AN129" s="13">
        <f>MAX(0,AL129-'Live Calc'!$H$21)^'Live Calc'!$E$21</f>
        <v>0</v>
      </c>
      <c r="AO129" s="13">
        <v>129</v>
      </c>
      <c r="AP129" s="13">
        <f>IF(AO129&lt;&gt;_xlfn.MINIFS('Draft Board'!$AO$2:$AO$192,'Draft Board'!$AN$2:$AN$192,"="&amp;AN129),0,IF(_xlfn.MINIFS('Draft Board'!$AN$2:$AN$192,'Draft Board'!$AN$2:$AN$192,"&gt;"&amp;AN129)=0,1,IF((_xlfn.MINIFS('Draft Board'!$AN$2:$AN$192,'Draft Board'!$AN$2:$AN$192,"&gt;"&amp;AN129)-AN129)/_xlfn.MINIFS('Draft Board'!$AN$2:$AN$192,'Draft Board'!$AN$2:$AN$192,"&gt;"&amp;AN129)&gt;0.08,1,0)))</f>
        <v>0</v>
      </c>
      <c r="AQ129" s="13">
        <f>_xlfn.MINIFS('Draft Board'!$AN$2:$AN$192,'Draft Board'!$AN$2:$AN$192,"&gt;="&amp;AN129,'Draft Board'!$AP$2:$AP$192,1)</f>
        <v>0</v>
      </c>
      <c r="AR129" s="13">
        <f>IF(AO129&lt;&gt;_xlfn.MINIFS('Draft Board'!$AO$2:$AO$192,'Draft Board'!$AN$2:$AN$192,"="&amp;AN129),0,IF(OR(AP129=1,IFERROR(FLOOR((AQ129-AN129)/AQ129/0.25,1),0)&lt;&gt;IFERROR(FLOOR((AQ129-_xlfn.MINIFS('Draft Board'!$AN$2:$AN$192,'Draft Board'!$AN$2:$AN$192,"&gt;"&amp;AN129))/AQ129/0.25,1),0)),1,0))</f>
        <v>0</v>
      </c>
      <c r="AS129" s="13">
        <f>ROUND(1+AN129*'Live Calc'!$D$28,0)</f>
        <v>1</v>
      </c>
      <c r="AT129" s="13"/>
      <c r="AU129" s="13">
        <f>IF(AT129&lt;&gt;"",AT129,ROUND(AS129*INDEX('Live Calc'!$G$260:$G$450,MATCH(AM129,'Live Calc'!$A$260:$A$450,0))*'Live Calc'!$J$543,0))</f>
        <v>1</v>
      </c>
    </row>
    <row r="130" spans="17:47" x14ac:dyDescent="0.25">
      <c r="Q130" s="12" t="s">
        <v>494</v>
      </c>
      <c r="R130" s="12" t="s">
        <v>192</v>
      </c>
      <c r="S130" s="12">
        <v>10.734</v>
      </c>
      <c r="T130" s="12">
        <v>12.282</v>
      </c>
      <c r="U130" s="12">
        <v>14.188000000000001</v>
      </c>
      <c r="V130" s="12">
        <f>CHOOSE(MATCH(Setup!$B$7,{"STD","Half-PPR","PPR"},0),S130,T130,U130)</f>
        <v>12.282</v>
      </c>
      <c r="W130" s="12">
        <f>COUNTIFS('Draft Board'!$X$2:$X$162,"&gt;="&amp;X130,'Draft Board'!$AB$2:$AB$162,1)</f>
        <v>19</v>
      </c>
      <c r="X130" s="12">
        <f>MAX(0,V130-'Live Calc'!$H$20)^'Live Calc'!$E$20</f>
        <v>0</v>
      </c>
      <c r="Y130" s="12">
        <v>130</v>
      </c>
      <c r="Z130" s="12">
        <f>IF(Y130&lt;&gt;_xlfn.MINIFS('Draft Board'!$Y$2:$Y$162,'Draft Board'!$X$2:$X$162,"="&amp;X130),0,IF(_xlfn.MINIFS('Draft Board'!$X$2:$X$162,'Draft Board'!$X$2:$X$162,"&gt;"&amp;X130)=0,1,IF((_xlfn.MINIFS('Draft Board'!$X$2:$X$162,'Draft Board'!$X$2:$X$162,"&gt;"&amp;X130)-X130)/_xlfn.MINIFS('Draft Board'!$X$2:$X$162,'Draft Board'!$X$2:$X$162,"&gt;"&amp;X130)&gt;0.08,1,0)))</f>
        <v>0</v>
      </c>
      <c r="AA130" s="12">
        <f>_xlfn.MINIFS('Draft Board'!$X$2:$X$162,'Draft Board'!$X$2:$X$162,"&gt;="&amp;X130,'Draft Board'!$Z$2:$Z$162,1)</f>
        <v>0</v>
      </c>
      <c r="AB130" s="12">
        <f>IF(Y130&lt;&gt;_xlfn.MINIFS('Draft Board'!$Y$2:$Y$162,'Draft Board'!$X$2:$X$162,"="&amp;X130),0,IF(OR(Z130=1,IFERROR(FLOOR((AA130-X130)/AA130/0.25,1),0)&lt;&gt;IFERROR(FLOOR((AA130-_xlfn.MINIFS('Draft Board'!$X$2:$X$162,'Draft Board'!$X$2:$X$162,"&gt;"&amp;X130))/AA130/0.25,1),0)),1,0))</f>
        <v>0</v>
      </c>
      <c r="AC130" s="12">
        <f>ROUND(1+X130*'Live Calc'!$D$27,0)</f>
        <v>1</v>
      </c>
      <c r="AD130" s="12"/>
      <c r="AE130" s="12">
        <f>IF(AD130&lt;&gt;"",AD130,ROUND(AC130*INDEX('Live Calc'!$G$96:$G$256,MATCH(W130,'Live Calc'!$A$96:$A$256,0))*'Live Calc'!$J$543,0))</f>
        <v>1</v>
      </c>
      <c r="AG130" s="13" t="s">
        <v>495</v>
      </c>
      <c r="AH130" s="13" t="s">
        <v>83</v>
      </c>
      <c r="AI130" s="13">
        <v>26.943999999999999</v>
      </c>
      <c r="AJ130" s="13">
        <v>34.444000000000003</v>
      </c>
      <c r="AK130" s="13">
        <v>41.281999999999996</v>
      </c>
      <c r="AL130" s="13">
        <f>CHOOSE(MATCH(Setup!$B$7,{"STD","Half-PPR","PPR"},0),AI130,AJ130,AK130)</f>
        <v>34.444000000000003</v>
      </c>
      <c r="AM130" s="13">
        <f>COUNTIFS('Draft Board'!$AN$2:$AN$192,"&gt;="&amp;AN130,'Draft Board'!$AR$2:$AR$192,1)</f>
        <v>22</v>
      </c>
      <c r="AN130" s="13">
        <f>MAX(0,AL130-'Live Calc'!$H$21)^'Live Calc'!$E$21</f>
        <v>0</v>
      </c>
      <c r="AO130" s="13">
        <v>130</v>
      </c>
      <c r="AP130" s="13">
        <f>IF(AO130&lt;&gt;_xlfn.MINIFS('Draft Board'!$AO$2:$AO$192,'Draft Board'!$AN$2:$AN$192,"="&amp;AN130),0,IF(_xlfn.MINIFS('Draft Board'!$AN$2:$AN$192,'Draft Board'!$AN$2:$AN$192,"&gt;"&amp;AN130)=0,1,IF((_xlfn.MINIFS('Draft Board'!$AN$2:$AN$192,'Draft Board'!$AN$2:$AN$192,"&gt;"&amp;AN130)-AN130)/_xlfn.MINIFS('Draft Board'!$AN$2:$AN$192,'Draft Board'!$AN$2:$AN$192,"&gt;"&amp;AN130)&gt;0.08,1,0)))</f>
        <v>0</v>
      </c>
      <c r="AQ130" s="13">
        <f>_xlfn.MINIFS('Draft Board'!$AN$2:$AN$192,'Draft Board'!$AN$2:$AN$192,"&gt;="&amp;AN130,'Draft Board'!$AP$2:$AP$192,1)</f>
        <v>0</v>
      </c>
      <c r="AR130" s="13">
        <f>IF(AO130&lt;&gt;_xlfn.MINIFS('Draft Board'!$AO$2:$AO$192,'Draft Board'!$AN$2:$AN$192,"="&amp;AN130),0,IF(OR(AP130=1,IFERROR(FLOOR((AQ130-AN130)/AQ130/0.25,1),0)&lt;&gt;IFERROR(FLOOR((AQ130-_xlfn.MINIFS('Draft Board'!$AN$2:$AN$192,'Draft Board'!$AN$2:$AN$192,"&gt;"&amp;AN130))/AQ130/0.25,1),0)),1,0))</f>
        <v>0</v>
      </c>
      <c r="AS130" s="13">
        <f>ROUND(1+AN130*'Live Calc'!$D$28,0)</f>
        <v>1</v>
      </c>
      <c r="AT130" s="13"/>
      <c r="AU130" s="13">
        <f>IF(AT130&lt;&gt;"",AT130,ROUND(AS130*INDEX('Live Calc'!$G$260:$G$450,MATCH(AM130,'Live Calc'!$A$260:$A$450,0))*'Live Calc'!$J$543,0))</f>
        <v>1</v>
      </c>
    </row>
    <row r="131" spans="17:47" x14ac:dyDescent="0.25">
      <c r="Q131" s="12" t="s">
        <v>496</v>
      </c>
      <c r="R131" s="12" t="s">
        <v>108</v>
      </c>
      <c r="S131" s="12">
        <v>9.9</v>
      </c>
      <c r="T131" s="12">
        <v>12.09</v>
      </c>
      <c r="U131" s="12">
        <v>14.27</v>
      </c>
      <c r="V131" s="12">
        <f>CHOOSE(MATCH(Setup!$B$7,{"STD","Half-PPR","PPR"},0),S131,T131,U131)</f>
        <v>12.09</v>
      </c>
      <c r="W131" s="12">
        <f>COUNTIFS('Draft Board'!$X$2:$X$162,"&gt;="&amp;X131,'Draft Board'!$AB$2:$AB$162,1)</f>
        <v>19</v>
      </c>
      <c r="X131" s="12">
        <f>MAX(0,V131-'Live Calc'!$H$20)^'Live Calc'!$E$20</f>
        <v>0</v>
      </c>
      <c r="Y131" s="12">
        <v>131</v>
      </c>
      <c r="Z131" s="12">
        <f>IF(Y131&lt;&gt;_xlfn.MINIFS('Draft Board'!$Y$2:$Y$162,'Draft Board'!$X$2:$X$162,"="&amp;X131),0,IF(_xlfn.MINIFS('Draft Board'!$X$2:$X$162,'Draft Board'!$X$2:$X$162,"&gt;"&amp;X131)=0,1,IF((_xlfn.MINIFS('Draft Board'!$X$2:$X$162,'Draft Board'!$X$2:$X$162,"&gt;"&amp;X131)-X131)/_xlfn.MINIFS('Draft Board'!$X$2:$X$162,'Draft Board'!$X$2:$X$162,"&gt;"&amp;X131)&gt;0.08,1,0)))</f>
        <v>0</v>
      </c>
      <c r="AA131" s="12">
        <f>_xlfn.MINIFS('Draft Board'!$X$2:$X$162,'Draft Board'!$X$2:$X$162,"&gt;="&amp;X131,'Draft Board'!$Z$2:$Z$162,1)</f>
        <v>0</v>
      </c>
      <c r="AB131" s="12">
        <f>IF(Y131&lt;&gt;_xlfn.MINIFS('Draft Board'!$Y$2:$Y$162,'Draft Board'!$X$2:$X$162,"="&amp;X131),0,IF(OR(Z131=1,IFERROR(FLOOR((AA131-X131)/AA131/0.25,1),0)&lt;&gt;IFERROR(FLOOR((AA131-_xlfn.MINIFS('Draft Board'!$X$2:$X$162,'Draft Board'!$X$2:$X$162,"&gt;"&amp;X131))/AA131/0.25,1),0)),1,0))</f>
        <v>0</v>
      </c>
      <c r="AC131" s="12">
        <f>ROUND(1+X131*'Live Calc'!$D$27,0)</f>
        <v>1</v>
      </c>
      <c r="AD131" s="12"/>
      <c r="AE131" s="12">
        <f>IF(AD131&lt;&gt;"",AD131,ROUND(AC131*INDEX('Live Calc'!$G$96:$G$256,MATCH(W131,'Live Calc'!$A$96:$A$256,0))*'Live Calc'!$J$543,0))</f>
        <v>1</v>
      </c>
      <c r="AG131" s="13" t="s">
        <v>497</v>
      </c>
      <c r="AH131" s="13" t="s">
        <v>65</v>
      </c>
      <c r="AI131" s="13">
        <v>25.64</v>
      </c>
      <c r="AJ131" s="13">
        <v>34.436</v>
      </c>
      <c r="AK131" s="13">
        <v>42.96</v>
      </c>
      <c r="AL131" s="13">
        <f>CHOOSE(MATCH(Setup!$B$7,{"STD","Half-PPR","PPR"},0),AI131,AJ131,AK131)</f>
        <v>34.436</v>
      </c>
      <c r="AM131" s="13">
        <f>COUNTIFS('Draft Board'!$AN$2:$AN$192,"&gt;="&amp;AN131,'Draft Board'!$AR$2:$AR$192,1)</f>
        <v>22</v>
      </c>
      <c r="AN131" s="13">
        <f>MAX(0,AL131-'Live Calc'!$H$21)^'Live Calc'!$E$21</f>
        <v>0</v>
      </c>
      <c r="AO131" s="13">
        <v>131</v>
      </c>
      <c r="AP131" s="13">
        <f>IF(AO131&lt;&gt;_xlfn.MINIFS('Draft Board'!$AO$2:$AO$192,'Draft Board'!$AN$2:$AN$192,"="&amp;AN131),0,IF(_xlfn.MINIFS('Draft Board'!$AN$2:$AN$192,'Draft Board'!$AN$2:$AN$192,"&gt;"&amp;AN131)=0,1,IF((_xlfn.MINIFS('Draft Board'!$AN$2:$AN$192,'Draft Board'!$AN$2:$AN$192,"&gt;"&amp;AN131)-AN131)/_xlfn.MINIFS('Draft Board'!$AN$2:$AN$192,'Draft Board'!$AN$2:$AN$192,"&gt;"&amp;AN131)&gt;0.08,1,0)))</f>
        <v>0</v>
      </c>
      <c r="AQ131" s="13">
        <f>_xlfn.MINIFS('Draft Board'!$AN$2:$AN$192,'Draft Board'!$AN$2:$AN$192,"&gt;="&amp;AN131,'Draft Board'!$AP$2:$AP$192,1)</f>
        <v>0</v>
      </c>
      <c r="AR131" s="13">
        <f>IF(AO131&lt;&gt;_xlfn.MINIFS('Draft Board'!$AO$2:$AO$192,'Draft Board'!$AN$2:$AN$192,"="&amp;AN131),0,IF(OR(AP131=1,IFERROR(FLOOR((AQ131-AN131)/AQ131/0.25,1),0)&lt;&gt;IFERROR(FLOOR((AQ131-_xlfn.MINIFS('Draft Board'!$AN$2:$AN$192,'Draft Board'!$AN$2:$AN$192,"&gt;"&amp;AN131))/AQ131/0.25,1),0)),1,0))</f>
        <v>0</v>
      </c>
      <c r="AS131" s="13">
        <f>ROUND(1+AN131*'Live Calc'!$D$28,0)</f>
        <v>1</v>
      </c>
      <c r="AT131" s="13"/>
      <c r="AU131" s="13">
        <f>IF(AT131&lt;&gt;"",AT131,ROUND(AS131*INDEX('Live Calc'!$G$260:$G$450,MATCH(AM131,'Live Calc'!$A$260:$A$450,0))*'Live Calc'!$J$543,0))</f>
        <v>1</v>
      </c>
    </row>
    <row r="132" spans="17:47" x14ac:dyDescent="0.25">
      <c r="Q132" s="12" t="s">
        <v>498</v>
      </c>
      <c r="R132" s="12" t="s">
        <v>85</v>
      </c>
      <c r="S132" s="12">
        <v>10.662000000000001</v>
      </c>
      <c r="T132" s="12">
        <v>11.962</v>
      </c>
      <c r="U132" s="12">
        <v>13.294</v>
      </c>
      <c r="V132" s="12">
        <f>CHOOSE(MATCH(Setup!$B$7,{"STD","Half-PPR","PPR"},0),S132,T132,U132)</f>
        <v>11.962</v>
      </c>
      <c r="W132" s="12">
        <f>COUNTIFS('Draft Board'!$X$2:$X$162,"&gt;="&amp;X132,'Draft Board'!$AB$2:$AB$162,1)</f>
        <v>19</v>
      </c>
      <c r="X132" s="12">
        <f>MAX(0,V132-'Live Calc'!$H$20)^'Live Calc'!$E$20</f>
        <v>0</v>
      </c>
      <c r="Y132" s="12">
        <v>132</v>
      </c>
      <c r="Z132" s="12">
        <f>IF(Y132&lt;&gt;_xlfn.MINIFS('Draft Board'!$Y$2:$Y$162,'Draft Board'!$X$2:$X$162,"="&amp;X132),0,IF(_xlfn.MINIFS('Draft Board'!$X$2:$X$162,'Draft Board'!$X$2:$X$162,"&gt;"&amp;X132)=0,1,IF((_xlfn.MINIFS('Draft Board'!$X$2:$X$162,'Draft Board'!$X$2:$X$162,"&gt;"&amp;X132)-X132)/_xlfn.MINIFS('Draft Board'!$X$2:$X$162,'Draft Board'!$X$2:$X$162,"&gt;"&amp;X132)&gt;0.08,1,0)))</f>
        <v>0</v>
      </c>
      <c r="AA132" s="12">
        <f>_xlfn.MINIFS('Draft Board'!$X$2:$X$162,'Draft Board'!$X$2:$X$162,"&gt;="&amp;X132,'Draft Board'!$Z$2:$Z$162,1)</f>
        <v>0</v>
      </c>
      <c r="AB132" s="12">
        <f>IF(Y132&lt;&gt;_xlfn.MINIFS('Draft Board'!$Y$2:$Y$162,'Draft Board'!$X$2:$X$162,"="&amp;X132),0,IF(OR(Z132=1,IFERROR(FLOOR((AA132-X132)/AA132/0.25,1),0)&lt;&gt;IFERROR(FLOOR((AA132-_xlfn.MINIFS('Draft Board'!$X$2:$X$162,'Draft Board'!$X$2:$X$162,"&gt;"&amp;X132))/AA132/0.25,1),0)),1,0))</f>
        <v>0</v>
      </c>
      <c r="AC132" s="12">
        <f>ROUND(1+X132*'Live Calc'!$D$27,0)</f>
        <v>1</v>
      </c>
      <c r="AD132" s="12"/>
      <c r="AE132" s="12">
        <f>IF(AD132&lt;&gt;"",AD132,ROUND(AC132*INDEX('Live Calc'!$G$96:$G$256,MATCH(W132,'Live Calc'!$A$96:$A$256,0))*'Live Calc'!$J$543,0))</f>
        <v>1</v>
      </c>
      <c r="AG132" s="13" t="s">
        <v>499</v>
      </c>
      <c r="AH132" s="13" t="s">
        <v>284</v>
      </c>
      <c r="AI132" s="13">
        <v>26.582000000000001</v>
      </c>
      <c r="AJ132" s="13">
        <v>34.212000000000003</v>
      </c>
      <c r="AK132" s="13">
        <v>42.146000000000001</v>
      </c>
      <c r="AL132" s="13">
        <f>CHOOSE(MATCH(Setup!$B$7,{"STD","Half-PPR","PPR"},0),AI132,AJ132,AK132)</f>
        <v>34.212000000000003</v>
      </c>
      <c r="AM132" s="13">
        <f>COUNTIFS('Draft Board'!$AN$2:$AN$192,"&gt;="&amp;AN132,'Draft Board'!$AR$2:$AR$192,1)</f>
        <v>22</v>
      </c>
      <c r="AN132" s="13">
        <f>MAX(0,AL132-'Live Calc'!$H$21)^'Live Calc'!$E$21</f>
        <v>0</v>
      </c>
      <c r="AO132" s="13">
        <v>132</v>
      </c>
      <c r="AP132" s="13">
        <f>IF(AO132&lt;&gt;_xlfn.MINIFS('Draft Board'!$AO$2:$AO$192,'Draft Board'!$AN$2:$AN$192,"="&amp;AN132),0,IF(_xlfn.MINIFS('Draft Board'!$AN$2:$AN$192,'Draft Board'!$AN$2:$AN$192,"&gt;"&amp;AN132)=0,1,IF((_xlfn.MINIFS('Draft Board'!$AN$2:$AN$192,'Draft Board'!$AN$2:$AN$192,"&gt;"&amp;AN132)-AN132)/_xlfn.MINIFS('Draft Board'!$AN$2:$AN$192,'Draft Board'!$AN$2:$AN$192,"&gt;"&amp;AN132)&gt;0.08,1,0)))</f>
        <v>0</v>
      </c>
      <c r="AQ132" s="13">
        <f>_xlfn.MINIFS('Draft Board'!$AN$2:$AN$192,'Draft Board'!$AN$2:$AN$192,"&gt;="&amp;AN132,'Draft Board'!$AP$2:$AP$192,1)</f>
        <v>0</v>
      </c>
      <c r="AR132" s="13">
        <f>IF(AO132&lt;&gt;_xlfn.MINIFS('Draft Board'!$AO$2:$AO$192,'Draft Board'!$AN$2:$AN$192,"="&amp;AN132),0,IF(OR(AP132=1,IFERROR(FLOOR((AQ132-AN132)/AQ132/0.25,1),0)&lt;&gt;IFERROR(FLOOR((AQ132-_xlfn.MINIFS('Draft Board'!$AN$2:$AN$192,'Draft Board'!$AN$2:$AN$192,"&gt;"&amp;AN132))/AQ132/0.25,1),0)),1,0))</f>
        <v>0</v>
      </c>
      <c r="AS132" s="13">
        <f>ROUND(1+AN132*'Live Calc'!$D$28,0)</f>
        <v>1</v>
      </c>
      <c r="AT132" s="13"/>
      <c r="AU132" s="13">
        <f>IF(AT132&lt;&gt;"",AT132,ROUND(AS132*INDEX('Live Calc'!$G$260:$G$450,MATCH(AM132,'Live Calc'!$A$260:$A$450,0))*'Live Calc'!$J$543,0))</f>
        <v>1</v>
      </c>
    </row>
    <row r="133" spans="17:47" x14ac:dyDescent="0.25">
      <c r="Q133" s="12" t="s">
        <v>500</v>
      </c>
      <c r="R133" s="12" t="s">
        <v>61</v>
      </c>
      <c r="S133" s="12">
        <v>10.71</v>
      </c>
      <c r="T133" s="12">
        <v>11.95</v>
      </c>
      <c r="U133" s="12">
        <v>13.18</v>
      </c>
      <c r="V133" s="12">
        <f>CHOOSE(MATCH(Setup!$B$7,{"STD","Half-PPR","PPR"},0),S133,T133,U133)</f>
        <v>11.95</v>
      </c>
      <c r="W133" s="12">
        <f>COUNTIFS('Draft Board'!$X$2:$X$162,"&gt;="&amp;X133,'Draft Board'!$AB$2:$AB$162,1)</f>
        <v>19</v>
      </c>
      <c r="X133" s="12">
        <f>MAX(0,V133-'Live Calc'!$H$20)^'Live Calc'!$E$20</f>
        <v>0</v>
      </c>
      <c r="Y133" s="12">
        <v>133</v>
      </c>
      <c r="Z133" s="12">
        <f>IF(Y133&lt;&gt;_xlfn.MINIFS('Draft Board'!$Y$2:$Y$162,'Draft Board'!$X$2:$X$162,"="&amp;X133),0,IF(_xlfn.MINIFS('Draft Board'!$X$2:$X$162,'Draft Board'!$X$2:$X$162,"&gt;"&amp;X133)=0,1,IF((_xlfn.MINIFS('Draft Board'!$X$2:$X$162,'Draft Board'!$X$2:$X$162,"&gt;"&amp;X133)-X133)/_xlfn.MINIFS('Draft Board'!$X$2:$X$162,'Draft Board'!$X$2:$X$162,"&gt;"&amp;X133)&gt;0.08,1,0)))</f>
        <v>0</v>
      </c>
      <c r="AA133" s="12">
        <f>_xlfn.MINIFS('Draft Board'!$X$2:$X$162,'Draft Board'!$X$2:$X$162,"&gt;="&amp;X133,'Draft Board'!$Z$2:$Z$162,1)</f>
        <v>0</v>
      </c>
      <c r="AB133" s="12">
        <f>IF(Y133&lt;&gt;_xlfn.MINIFS('Draft Board'!$Y$2:$Y$162,'Draft Board'!$X$2:$X$162,"="&amp;X133),0,IF(OR(Z133=1,IFERROR(FLOOR((AA133-X133)/AA133/0.25,1),0)&lt;&gt;IFERROR(FLOOR((AA133-_xlfn.MINIFS('Draft Board'!$X$2:$X$162,'Draft Board'!$X$2:$X$162,"&gt;"&amp;X133))/AA133/0.25,1),0)),1,0))</f>
        <v>0</v>
      </c>
      <c r="AC133" s="12">
        <f>ROUND(1+X133*'Live Calc'!$D$27,0)</f>
        <v>1</v>
      </c>
      <c r="AD133" s="12"/>
      <c r="AE133" s="12">
        <f>IF(AD133&lt;&gt;"",AD133,ROUND(AC133*INDEX('Live Calc'!$G$96:$G$256,MATCH(W133,'Live Calc'!$A$96:$A$256,0))*'Live Calc'!$J$543,0))</f>
        <v>1</v>
      </c>
      <c r="AG133" s="13" t="s">
        <v>501</v>
      </c>
      <c r="AH133" s="13" t="s">
        <v>73</v>
      </c>
      <c r="AI133" s="13">
        <v>26.574000000000002</v>
      </c>
      <c r="AJ133" s="13">
        <v>34.182000000000002</v>
      </c>
      <c r="AK133" s="13">
        <v>41.607999999999997</v>
      </c>
      <c r="AL133" s="13">
        <f>CHOOSE(MATCH(Setup!$B$7,{"STD","Half-PPR","PPR"},0),AI133,AJ133,AK133)</f>
        <v>34.182000000000002</v>
      </c>
      <c r="AM133" s="13">
        <f>COUNTIFS('Draft Board'!$AN$2:$AN$192,"&gt;="&amp;AN133,'Draft Board'!$AR$2:$AR$192,1)</f>
        <v>22</v>
      </c>
      <c r="AN133" s="13">
        <f>MAX(0,AL133-'Live Calc'!$H$21)^'Live Calc'!$E$21</f>
        <v>0</v>
      </c>
      <c r="AO133" s="13">
        <v>133</v>
      </c>
      <c r="AP133" s="13">
        <f>IF(AO133&lt;&gt;_xlfn.MINIFS('Draft Board'!$AO$2:$AO$192,'Draft Board'!$AN$2:$AN$192,"="&amp;AN133),0,IF(_xlfn.MINIFS('Draft Board'!$AN$2:$AN$192,'Draft Board'!$AN$2:$AN$192,"&gt;"&amp;AN133)=0,1,IF((_xlfn.MINIFS('Draft Board'!$AN$2:$AN$192,'Draft Board'!$AN$2:$AN$192,"&gt;"&amp;AN133)-AN133)/_xlfn.MINIFS('Draft Board'!$AN$2:$AN$192,'Draft Board'!$AN$2:$AN$192,"&gt;"&amp;AN133)&gt;0.08,1,0)))</f>
        <v>0</v>
      </c>
      <c r="AQ133" s="13">
        <f>_xlfn.MINIFS('Draft Board'!$AN$2:$AN$192,'Draft Board'!$AN$2:$AN$192,"&gt;="&amp;AN133,'Draft Board'!$AP$2:$AP$192,1)</f>
        <v>0</v>
      </c>
      <c r="AR133" s="13">
        <f>IF(AO133&lt;&gt;_xlfn.MINIFS('Draft Board'!$AO$2:$AO$192,'Draft Board'!$AN$2:$AN$192,"="&amp;AN133),0,IF(OR(AP133=1,IFERROR(FLOOR((AQ133-AN133)/AQ133/0.25,1),0)&lt;&gt;IFERROR(FLOOR((AQ133-_xlfn.MINIFS('Draft Board'!$AN$2:$AN$192,'Draft Board'!$AN$2:$AN$192,"&gt;"&amp;AN133))/AQ133/0.25,1),0)),1,0))</f>
        <v>0</v>
      </c>
      <c r="AS133" s="13">
        <f>ROUND(1+AN133*'Live Calc'!$D$28,0)</f>
        <v>1</v>
      </c>
      <c r="AT133" s="13"/>
      <c r="AU133" s="13">
        <f>IF(AT133&lt;&gt;"",AT133,ROUND(AS133*INDEX('Live Calc'!$G$260:$G$450,MATCH(AM133,'Live Calc'!$A$260:$A$450,0))*'Live Calc'!$J$543,0))</f>
        <v>1</v>
      </c>
    </row>
    <row r="134" spans="17:47" x14ac:dyDescent="0.25">
      <c r="Q134" s="12" t="s">
        <v>502</v>
      </c>
      <c r="R134" s="12" t="s">
        <v>75</v>
      </c>
      <c r="S134" s="12">
        <v>10.566000000000001</v>
      </c>
      <c r="T134" s="12">
        <v>11.596</v>
      </c>
      <c r="U134" s="12">
        <v>12.566000000000001</v>
      </c>
      <c r="V134" s="12">
        <f>CHOOSE(MATCH(Setup!$B$7,{"STD","Half-PPR","PPR"},0),S134,T134,U134)</f>
        <v>11.596</v>
      </c>
      <c r="W134" s="12">
        <f>COUNTIFS('Draft Board'!$X$2:$X$162,"&gt;="&amp;X134,'Draft Board'!$AB$2:$AB$162,1)</f>
        <v>19</v>
      </c>
      <c r="X134" s="12">
        <f>MAX(0,V134-'Live Calc'!$H$20)^'Live Calc'!$E$20</f>
        <v>0</v>
      </c>
      <c r="Y134" s="12">
        <v>134</v>
      </c>
      <c r="Z134" s="12">
        <f>IF(Y134&lt;&gt;_xlfn.MINIFS('Draft Board'!$Y$2:$Y$162,'Draft Board'!$X$2:$X$162,"="&amp;X134),0,IF(_xlfn.MINIFS('Draft Board'!$X$2:$X$162,'Draft Board'!$X$2:$X$162,"&gt;"&amp;X134)=0,1,IF((_xlfn.MINIFS('Draft Board'!$X$2:$X$162,'Draft Board'!$X$2:$X$162,"&gt;"&amp;X134)-X134)/_xlfn.MINIFS('Draft Board'!$X$2:$X$162,'Draft Board'!$X$2:$X$162,"&gt;"&amp;X134)&gt;0.08,1,0)))</f>
        <v>0</v>
      </c>
      <c r="AA134" s="12">
        <f>_xlfn.MINIFS('Draft Board'!$X$2:$X$162,'Draft Board'!$X$2:$X$162,"&gt;="&amp;X134,'Draft Board'!$Z$2:$Z$162,1)</f>
        <v>0</v>
      </c>
      <c r="AB134" s="12">
        <f>IF(Y134&lt;&gt;_xlfn.MINIFS('Draft Board'!$Y$2:$Y$162,'Draft Board'!$X$2:$X$162,"="&amp;X134),0,IF(OR(Z134=1,IFERROR(FLOOR((AA134-X134)/AA134/0.25,1),0)&lt;&gt;IFERROR(FLOOR((AA134-_xlfn.MINIFS('Draft Board'!$X$2:$X$162,'Draft Board'!$X$2:$X$162,"&gt;"&amp;X134))/AA134/0.25,1),0)),1,0))</f>
        <v>0</v>
      </c>
      <c r="AC134" s="12">
        <f>ROUND(1+X134*'Live Calc'!$D$27,0)</f>
        <v>1</v>
      </c>
      <c r="AD134" s="12"/>
      <c r="AE134" s="12">
        <f>IF(AD134&lt;&gt;"",AD134,ROUND(AC134*INDEX('Live Calc'!$G$96:$G$256,MATCH(W134,'Live Calc'!$A$96:$A$256,0))*'Live Calc'!$J$543,0))</f>
        <v>1</v>
      </c>
      <c r="AG134" s="13" t="s">
        <v>503</v>
      </c>
      <c r="AH134" s="13" t="s">
        <v>101</v>
      </c>
      <c r="AI134" s="13">
        <v>26.87</v>
      </c>
      <c r="AJ134" s="13">
        <v>34.130000000000003</v>
      </c>
      <c r="AK134" s="13">
        <v>41.39</v>
      </c>
      <c r="AL134" s="13">
        <f>CHOOSE(MATCH(Setup!$B$7,{"STD","Half-PPR","PPR"},0),AI134,AJ134,AK134)</f>
        <v>34.130000000000003</v>
      </c>
      <c r="AM134" s="13">
        <f>COUNTIFS('Draft Board'!$AN$2:$AN$192,"&gt;="&amp;AN134,'Draft Board'!$AR$2:$AR$192,1)</f>
        <v>22</v>
      </c>
      <c r="AN134" s="13">
        <f>MAX(0,AL134-'Live Calc'!$H$21)^'Live Calc'!$E$21</f>
        <v>0</v>
      </c>
      <c r="AO134" s="13">
        <v>134</v>
      </c>
      <c r="AP134" s="13">
        <f>IF(AO134&lt;&gt;_xlfn.MINIFS('Draft Board'!$AO$2:$AO$192,'Draft Board'!$AN$2:$AN$192,"="&amp;AN134),0,IF(_xlfn.MINIFS('Draft Board'!$AN$2:$AN$192,'Draft Board'!$AN$2:$AN$192,"&gt;"&amp;AN134)=0,1,IF((_xlfn.MINIFS('Draft Board'!$AN$2:$AN$192,'Draft Board'!$AN$2:$AN$192,"&gt;"&amp;AN134)-AN134)/_xlfn.MINIFS('Draft Board'!$AN$2:$AN$192,'Draft Board'!$AN$2:$AN$192,"&gt;"&amp;AN134)&gt;0.08,1,0)))</f>
        <v>0</v>
      </c>
      <c r="AQ134" s="13">
        <f>_xlfn.MINIFS('Draft Board'!$AN$2:$AN$192,'Draft Board'!$AN$2:$AN$192,"&gt;="&amp;AN134,'Draft Board'!$AP$2:$AP$192,1)</f>
        <v>0</v>
      </c>
      <c r="AR134" s="13">
        <f>IF(AO134&lt;&gt;_xlfn.MINIFS('Draft Board'!$AO$2:$AO$192,'Draft Board'!$AN$2:$AN$192,"="&amp;AN134),0,IF(OR(AP134=1,IFERROR(FLOOR((AQ134-AN134)/AQ134/0.25,1),0)&lt;&gt;IFERROR(FLOOR((AQ134-_xlfn.MINIFS('Draft Board'!$AN$2:$AN$192,'Draft Board'!$AN$2:$AN$192,"&gt;"&amp;AN134))/AQ134/0.25,1),0)),1,0))</f>
        <v>0</v>
      </c>
      <c r="AS134" s="13">
        <f>ROUND(1+AN134*'Live Calc'!$D$28,0)</f>
        <v>1</v>
      </c>
      <c r="AT134" s="13"/>
      <c r="AU134" s="13">
        <f>IF(AT134&lt;&gt;"",AT134,ROUND(AS134*INDEX('Live Calc'!$G$260:$G$450,MATCH(AM134,'Live Calc'!$A$260:$A$450,0))*'Live Calc'!$J$543,0))</f>
        <v>1</v>
      </c>
    </row>
    <row r="135" spans="17:47" x14ac:dyDescent="0.25">
      <c r="Q135" s="12" t="s">
        <v>504</v>
      </c>
      <c r="R135" s="12" t="s">
        <v>91</v>
      </c>
      <c r="S135" s="12">
        <v>10.45</v>
      </c>
      <c r="T135" s="12">
        <v>11.11</v>
      </c>
      <c r="U135" s="12">
        <v>11.78</v>
      </c>
      <c r="V135" s="12">
        <f>CHOOSE(MATCH(Setup!$B$7,{"STD","Half-PPR","PPR"},0),S135,T135,U135)</f>
        <v>11.11</v>
      </c>
      <c r="W135" s="12">
        <f>COUNTIFS('Draft Board'!$X$2:$X$162,"&gt;="&amp;X135,'Draft Board'!$AB$2:$AB$162,1)</f>
        <v>19</v>
      </c>
      <c r="X135" s="12">
        <f>MAX(0,V135-'Live Calc'!$H$20)^'Live Calc'!$E$20</f>
        <v>0</v>
      </c>
      <c r="Y135" s="12">
        <v>135</v>
      </c>
      <c r="Z135" s="12">
        <f>IF(Y135&lt;&gt;_xlfn.MINIFS('Draft Board'!$Y$2:$Y$162,'Draft Board'!$X$2:$X$162,"="&amp;X135),0,IF(_xlfn.MINIFS('Draft Board'!$X$2:$X$162,'Draft Board'!$X$2:$X$162,"&gt;"&amp;X135)=0,1,IF((_xlfn.MINIFS('Draft Board'!$X$2:$X$162,'Draft Board'!$X$2:$X$162,"&gt;"&amp;X135)-X135)/_xlfn.MINIFS('Draft Board'!$X$2:$X$162,'Draft Board'!$X$2:$X$162,"&gt;"&amp;X135)&gt;0.08,1,0)))</f>
        <v>0</v>
      </c>
      <c r="AA135" s="12">
        <f>_xlfn.MINIFS('Draft Board'!$X$2:$X$162,'Draft Board'!$X$2:$X$162,"&gt;="&amp;X135,'Draft Board'!$Z$2:$Z$162,1)</f>
        <v>0</v>
      </c>
      <c r="AB135" s="12">
        <f>IF(Y135&lt;&gt;_xlfn.MINIFS('Draft Board'!$Y$2:$Y$162,'Draft Board'!$X$2:$X$162,"="&amp;X135),0,IF(OR(Z135=1,IFERROR(FLOOR((AA135-X135)/AA135/0.25,1),0)&lt;&gt;IFERROR(FLOOR((AA135-_xlfn.MINIFS('Draft Board'!$X$2:$X$162,'Draft Board'!$X$2:$X$162,"&gt;"&amp;X135))/AA135/0.25,1),0)),1,0))</f>
        <v>0</v>
      </c>
      <c r="AC135" s="12">
        <f>ROUND(1+X135*'Live Calc'!$D$27,0)</f>
        <v>1</v>
      </c>
      <c r="AD135" s="12"/>
      <c r="AE135" s="12">
        <f>IF(AD135&lt;&gt;"",AD135,ROUND(AC135*INDEX('Live Calc'!$G$96:$G$256,MATCH(W135,'Live Calc'!$A$96:$A$256,0))*'Live Calc'!$J$543,0))</f>
        <v>1</v>
      </c>
      <c r="AG135" s="13" t="s">
        <v>505</v>
      </c>
      <c r="AH135" s="13" t="s">
        <v>284</v>
      </c>
      <c r="AI135" s="13">
        <v>26.911999999999999</v>
      </c>
      <c r="AJ135" s="13">
        <v>33.985999999999997</v>
      </c>
      <c r="AK135" s="13">
        <v>41.378</v>
      </c>
      <c r="AL135" s="13">
        <f>CHOOSE(MATCH(Setup!$B$7,{"STD","Half-PPR","PPR"},0),AI135,AJ135,AK135)</f>
        <v>33.985999999999997</v>
      </c>
      <c r="AM135" s="13">
        <f>COUNTIFS('Draft Board'!$AN$2:$AN$192,"&gt;="&amp;AN135,'Draft Board'!$AR$2:$AR$192,1)</f>
        <v>22</v>
      </c>
      <c r="AN135" s="13">
        <f>MAX(0,AL135-'Live Calc'!$H$21)^'Live Calc'!$E$21</f>
        <v>0</v>
      </c>
      <c r="AO135" s="13">
        <v>135</v>
      </c>
      <c r="AP135" s="13">
        <f>IF(AO135&lt;&gt;_xlfn.MINIFS('Draft Board'!$AO$2:$AO$192,'Draft Board'!$AN$2:$AN$192,"="&amp;AN135),0,IF(_xlfn.MINIFS('Draft Board'!$AN$2:$AN$192,'Draft Board'!$AN$2:$AN$192,"&gt;"&amp;AN135)=0,1,IF((_xlfn.MINIFS('Draft Board'!$AN$2:$AN$192,'Draft Board'!$AN$2:$AN$192,"&gt;"&amp;AN135)-AN135)/_xlfn.MINIFS('Draft Board'!$AN$2:$AN$192,'Draft Board'!$AN$2:$AN$192,"&gt;"&amp;AN135)&gt;0.08,1,0)))</f>
        <v>0</v>
      </c>
      <c r="AQ135" s="13">
        <f>_xlfn.MINIFS('Draft Board'!$AN$2:$AN$192,'Draft Board'!$AN$2:$AN$192,"&gt;="&amp;AN135,'Draft Board'!$AP$2:$AP$192,1)</f>
        <v>0</v>
      </c>
      <c r="AR135" s="13">
        <f>IF(AO135&lt;&gt;_xlfn.MINIFS('Draft Board'!$AO$2:$AO$192,'Draft Board'!$AN$2:$AN$192,"="&amp;AN135),0,IF(OR(AP135=1,IFERROR(FLOOR((AQ135-AN135)/AQ135/0.25,1),0)&lt;&gt;IFERROR(FLOOR((AQ135-_xlfn.MINIFS('Draft Board'!$AN$2:$AN$192,'Draft Board'!$AN$2:$AN$192,"&gt;"&amp;AN135))/AQ135/0.25,1),0)),1,0))</f>
        <v>0</v>
      </c>
      <c r="AS135" s="13">
        <f>ROUND(1+AN135*'Live Calc'!$D$28,0)</f>
        <v>1</v>
      </c>
      <c r="AT135" s="13"/>
      <c r="AU135" s="13">
        <f>IF(AT135&lt;&gt;"",AT135,ROUND(AS135*INDEX('Live Calc'!$G$260:$G$450,MATCH(AM135,'Live Calc'!$A$260:$A$450,0))*'Live Calc'!$J$543,0))</f>
        <v>1</v>
      </c>
    </row>
    <row r="136" spans="17:47" x14ac:dyDescent="0.25">
      <c r="Q136" s="12" t="s">
        <v>506</v>
      </c>
      <c r="R136" s="12" t="s">
        <v>125</v>
      </c>
      <c r="S136" s="12">
        <v>10.45</v>
      </c>
      <c r="T136" s="12">
        <v>10.95</v>
      </c>
      <c r="U136" s="12">
        <v>11.45</v>
      </c>
      <c r="V136" s="12">
        <f>CHOOSE(MATCH(Setup!$B$7,{"STD","Half-PPR","PPR"},0),S136,T136,U136)</f>
        <v>10.95</v>
      </c>
      <c r="W136" s="12">
        <f>COUNTIFS('Draft Board'!$X$2:$X$162,"&gt;="&amp;X136,'Draft Board'!$AB$2:$AB$162,1)</f>
        <v>19</v>
      </c>
      <c r="X136" s="12">
        <f>MAX(0,V136-'Live Calc'!$H$20)^'Live Calc'!$E$20</f>
        <v>0</v>
      </c>
      <c r="Y136" s="12">
        <v>136</v>
      </c>
      <c r="Z136" s="12">
        <f>IF(Y136&lt;&gt;_xlfn.MINIFS('Draft Board'!$Y$2:$Y$162,'Draft Board'!$X$2:$X$162,"="&amp;X136),0,IF(_xlfn.MINIFS('Draft Board'!$X$2:$X$162,'Draft Board'!$X$2:$X$162,"&gt;"&amp;X136)=0,1,IF((_xlfn.MINIFS('Draft Board'!$X$2:$X$162,'Draft Board'!$X$2:$X$162,"&gt;"&amp;X136)-X136)/_xlfn.MINIFS('Draft Board'!$X$2:$X$162,'Draft Board'!$X$2:$X$162,"&gt;"&amp;X136)&gt;0.08,1,0)))</f>
        <v>0</v>
      </c>
      <c r="AA136" s="12">
        <f>_xlfn.MINIFS('Draft Board'!$X$2:$X$162,'Draft Board'!$X$2:$X$162,"&gt;="&amp;X136,'Draft Board'!$Z$2:$Z$162,1)</f>
        <v>0</v>
      </c>
      <c r="AB136" s="12">
        <f>IF(Y136&lt;&gt;_xlfn.MINIFS('Draft Board'!$Y$2:$Y$162,'Draft Board'!$X$2:$X$162,"="&amp;X136),0,IF(OR(Z136=1,IFERROR(FLOOR((AA136-X136)/AA136/0.25,1),0)&lt;&gt;IFERROR(FLOOR((AA136-_xlfn.MINIFS('Draft Board'!$X$2:$X$162,'Draft Board'!$X$2:$X$162,"&gt;"&amp;X136))/AA136/0.25,1),0)),1,0))</f>
        <v>0</v>
      </c>
      <c r="AC136" s="12">
        <f>ROUND(1+X136*'Live Calc'!$D$27,0)</f>
        <v>1</v>
      </c>
      <c r="AD136" s="12"/>
      <c r="AE136" s="12">
        <f>IF(AD136&lt;&gt;"",AD136,ROUND(AC136*INDEX('Live Calc'!$G$96:$G$256,MATCH(W136,'Live Calc'!$A$96:$A$256,0))*'Live Calc'!$J$543,0))</f>
        <v>1</v>
      </c>
      <c r="AG136" s="13" t="s">
        <v>507</v>
      </c>
      <c r="AH136" s="13" t="s">
        <v>79</v>
      </c>
      <c r="AI136" s="13">
        <v>26.372</v>
      </c>
      <c r="AJ136" s="13">
        <v>33.26</v>
      </c>
      <c r="AK136" s="13">
        <v>39.735999999999997</v>
      </c>
      <c r="AL136" s="13">
        <f>CHOOSE(MATCH(Setup!$B$7,{"STD","Half-PPR","PPR"},0),AI136,AJ136,AK136)</f>
        <v>33.26</v>
      </c>
      <c r="AM136" s="13">
        <f>COUNTIFS('Draft Board'!$AN$2:$AN$192,"&gt;="&amp;AN136,'Draft Board'!$AR$2:$AR$192,1)</f>
        <v>22</v>
      </c>
      <c r="AN136" s="13">
        <f>MAX(0,AL136-'Live Calc'!$H$21)^'Live Calc'!$E$21</f>
        <v>0</v>
      </c>
      <c r="AO136" s="13">
        <v>136</v>
      </c>
      <c r="AP136" s="13">
        <f>IF(AO136&lt;&gt;_xlfn.MINIFS('Draft Board'!$AO$2:$AO$192,'Draft Board'!$AN$2:$AN$192,"="&amp;AN136),0,IF(_xlfn.MINIFS('Draft Board'!$AN$2:$AN$192,'Draft Board'!$AN$2:$AN$192,"&gt;"&amp;AN136)=0,1,IF((_xlfn.MINIFS('Draft Board'!$AN$2:$AN$192,'Draft Board'!$AN$2:$AN$192,"&gt;"&amp;AN136)-AN136)/_xlfn.MINIFS('Draft Board'!$AN$2:$AN$192,'Draft Board'!$AN$2:$AN$192,"&gt;"&amp;AN136)&gt;0.08,1,0)))</f>
        <v>0</v>
      </c>
      <c r="AQ136" s="13">
        <f>_xlfn.MINIFS('Draft Board'!$AN$2:$AN$192,'Draft Board'!$AN$2:$AN$192,"&gt;="&amp;AN136,'Draft Board'!$AP$2:$AP$192,1)</f>
        <v>0</v>
      </c>
      <c r="AR136" s="13">
        <f>IF(AO136&lt;&gt;_xlfn.MINIFS('Draft Board'!$AO$2:$AO$192,'Draft Board'!$AN$2:$AN$192,"="&amp;AN136),0,IF(OR(AP136=1,IFERROR(FLOOR((AQ136-AN136)/AQ136/0.25,1),0)&lt;&gt;IFERROR(FLOOR((AQ136-_xlfn.MINIFS('Draft Board'!$AN$2:$AN$192,'Draft Board'!$AN$2:$AN$192,"&gt;"&amp;AN136))/AQ136/0.25,1),0)),1,0))</f>
        <v>0</v>
      </c>
      <c r="AS136" s="13">
        <f>ROUND(1+AN136*'Live Calc'!$D$28,0)</f>
        <v>1</v>
      </c>
      <c r="AT136" s="13"/>
      <c r="AU136" s="13">
        <f>IF(AT136&lt;&gt;"",AT136,ROUND(AS136*INDEX('Live Calc'!$G$260:$G$450,MATCH(AM136,'Live Calc'!$A$260:$A$450,0))*'Live Calc'!$J$543,0))</f>
        <v>1</v>
      </c>
    </row>
    <row r="137" spans="17:47" x14ac:dyDescent="0.25">
      <c r="Q137" s="12" t="s">
        <v>508</v>
      </c>
      <c r="R137" s="12" t="s">
        <v>190</v>
      </c>
      <c r="S137" s="12">
        <v>7.21</v>
      </c>
      <c r="T137" s="12">
        <v>10.72</v>
      </c>
      <c r="U137" s="12">
        <v>14.23</v>
      </c>
      <c r="V137" s="12">
        <f>CHOOSE(MATCH(Setup!$B$7,{"STD","Half-PPR","PPR"},0),S137,T137,U137)</f>
        <v>10.72</v>
      </c>
      <c r="W137" s="12">
        <f>COUNTIFS('Draft Board'!$X$2:$X$162,"&gt;="&amp;X137,'Draft Board'!$AB$2:$AB$162,1)</f>
        <v>19</v>
      </c>
      <c r="X137" s="12">
        <f>MAX(0,V137-'Live Calc'!$H$20)^'Live Calc'!$E$20</f>
        <v>0</v>
      </c>
      <c r="Y137" s="12">
        <v>137</v>
      </c>
      <c r="Z137" s="12">
        <f>IF(Y137&lt;&gt;_xlfn.MINIFS('Draft Board'!$Y$2:$Y$162,'Draft Board'!$X$2:$X$162,"="&amp;X137),0,IF(_xlfn.MINIFS('Draft Board'!$X$2:$X$162,'Draft Board'!$X$2:$X$162,"&gt;"&amp;X137)=0,1,IF((_xlfn.MINIFS('Draft Board'!$X$2:$X$162,'Draft Board'!$X$2:$X$162,"&gt;"&amp;X137)-X137)/_xlfn.MINIFS('Draft Board'!$X$2:$X$162,'Draft Board'!$X$2:$X$162,"&gt;"&amp;X137)&gt;0.08,1,0)))</f>
        <v>0</v>
      </c>
      <c r="AA137" s="12">
        <f>_xlfn.MINIFS('Draft Board'!$X$2:$X$162,'Draft Board'!$X$2:$X$162,"&gt;="&amp;X137,'Draft Board'!$Z$2:$Z$162,1)</f>
        <v>0</v>
      </c>
      <c r="AB137" s="12">
        <f>IF(Y137&lt;&gt;_xlfn.MINIFS('Draft Board'!$Y$2:$Y$162,'Draft Board'!$X$2:$X$162,"="&amp;X137),0,IF(OR(Z137=1,IFERROR(FLOOR((AA137-X137)/AA137/0.25,1),0)&lt;&gt;IFERROR(FLOOR((AA137-_xlfn.MINIFS('Draft Board'!$X$2:$X$162,'Draft Board'!$X$2:$X$162,"&gt;"&amp;X137))/AA137/0.25,1),0)),1,0))</f>
        <v>0</v>
      </c>
      <c r="AC137" s="12">
        <f>ROUND(1+X137*'Live Calc'!$D$27,0)</f>
        <v>1</v>
      </c>
      <c r="AD137" s="12"/>
      <c r="AE137" s="12">
        <f>IF(AD137&lt;&gt;"",AD137,ROUND(AC137*INDEX('Live Calc'!$G$96:$G$256,MATCH(W137,'Live Calc'!$A$96:$A$256,0))*'Live Calc'!$J$543,0))</f>
        <v>1</v>
      </c>
      <c r="AG137" s="13" t="s">
        <v>509</v>
      </c>
      <c r="AH137" s="13" t="s">
        <v>153</v>
      </c>
      <c r="AI137" s="13">
        <v>24.436</v>
      </c>
      <c r="AJ137" s="13">
        <v>32.704000000000001</v>
      </c>
      <c r="AK137" s="13">
        <v>41.676000000000002</v>
      </c>
      <c r="AL137" s="13">
        <f>CHOOSE(MATCH(Setup!$B$7,{"STD","Half-PPR","PPR"},0),AI137,AJ137,AK137)</f>
        <v>32.704000000000001</v>
      </c>
      <c r="AM137" s="13">
        <f>COUNTIFS('Draft Board'!$AN$2:$AN$192,"&gt;="&amp;AN137,'Draft Board'!$AR$2:$AR$192,1)</f>
        <v>22</v>
      </c>
      <c r="AN137" s="13">
        <f>MAX(0,AL137-'Live Calc'!$H$21)^'Live Calc'!$E$21</f>
        <v>0</v>
      </c>
      <c r="AO137" s="13">
        <v>137</v>
      </c>
      <c r="AP137" s="13">
        <f>IF(AO137&lt;&gt;_xlfn.MINIFS('Draft Board'!$AO$2:$AO$192,'Draft Board'!$AN$2:$AN$192,"="&amp;AN137),0,IF(_xlfn.MINIFS('Draft Board'!$AN$2:$AN$192,'Draft Board'!$AN$2:$AN$192,"&gt;"&amp;AN137)=0,1,IF((_xlfn.MINIFS('Draft Board'!$AN$2:$AN$192,'Draft Board'!$AN$2:$AN$192,"&gt;"&amp;AN137)-AN137)/_xlfn.MINIFS('Draft Board'!$AN$2:$AN$192,'Draft Board'!$AN$2:$AN$192,"&gt;"&amp;AN137)&gt;0.08,1,0)))</f>
        <v>0</v>
      </c>
      <c r="AQ137" s="13">
        <f>_xlfn.MINIFS('Draft Board'!$AN$2:$AN$192,'Draft Board'!$AN$2:$AN$192,"&gt;="&amp;AN137,'Draft Board'!$AP$2:$AP$192,1)</f>
        <v>0</v>
      </c>
      <c r="AR137" s="13">
        <f>IF(AO137&lt;&gt;_xlfn.MINIFS('Draft Board'!$AO$2:$AO$192,'Draft Board'!$AN$2:$AN$192,"="&amp;AN137),0,IF(OR(AP137=1,IFERROR(FLOOR((AQ137-AN137)/AQ137/0.25,1),0)&lt;&gt;IFERROR(FLOOR((AQ137-_xlfn.MINIFS('Draft Board'!$AN$2:$AN$192,'Draft Board'!$AN$2:$AN$192,"&gt;"&amp;AN137))/AQ137/0.25,1),0)),1,0))</f>
        <v>0</v>
      </c>
      <c r="AS137" s="13">
        <f>ROUND(1+AN137*'Live Calc'!$D$28,0)</f>
        <v>1</v>
      </c>
      <c r="AT137" s="13"/>
      <c r="AU137" s="13">
        <f>IF(AT137&lt;&gt;"",AT137,ROUND(AS137*INDEX('Live Calc'!$G$260:$G$450,MATCH(AM137,'Live Calc'!$A$260:$A$450,0))*'Live Calc'!$J$543,0))</f>
        <v>1</v>
      </c>
    </row>
    <row r="138" spans="17:47" x14ac:dyDescent="0.25">
      <c r="Q138" s="12" t="s">
        <v>510</v>
      </c>
      <c r="R138" s="12" t="s">
        <v>91</v>
      </c>
      <c r="S138" s="12">
        <v>9.76</v>
      </c>
      <c r="T138" s="12">
        <v>10.17</v>
      </c>
      <c r="U138" s="12">
        <v>10.58</v>
      </c>
      <c r="V138" s="12">
        <f>CHOOSE(MATCH(Setup!$B$7,{"STD","Half-PPR","PPR"},0),S138,T138,U138)</f>
        <v>10.17</v>
      </c>
      <c r="W138" s="12">
        <f>COUNTIFS('Draft Board'!$X$2:$X$162,"&gt;="&amp;X138,'Draft Board'!$AB$2:$AB$162,1)</f>
        <v>19</v>
      </c>
      <c r="X138" s="12">
        <f>MAX(0,V138-'Live Calc'!$H$20)^'Live Calc'!$E$20</f>
        <v>0</v>
      </c>
      <c r="Y138" s="12">
        <v>138</v>
      </c>
      <c r="Z138" s="12">
        <f>IF(Y138&lt;&gt;_xlfn.MINIFS('Draft Board'!$Y$2:$Y$162,'Draft Board'!$X$2:$X$162,"="&amp;X138),0,IF(_xlfn.MINIFS('Draft Board'!$X$2:$X$162,'Draft Board'!$X$2:$X$162,"&gt;"&amp;X138)=0,1,IF((_xlfn.MINIFS('Draft Board'!$X$2:$X$162,'Draft Board'!$X$2:$X$162,"&gt;"&amp;X138)-X138)/_xlfn.MINIFS('Draft Board'!$X$2:$X$162,'Draft Board'!$X$2:$X$162,"&gt;"&amp;X138)&gt;0.08,1,0)))</f>
        <v>0</v>
      </c>
      <c r="AA138" s="12">
        <f>_xlfn.MINIFS('Draft Board'!$X$2:$X$162,'Draft Board'!$X$2:$X$162,"&gt;="&amp;X138,'Draft Board'!$Z$2:$Z$162,1)</f>
        <v>0</v>
      </c>
      <c r="AB138" s="12">
        <f>IF(Y138&lt;&gt;_xlfn.MINIFS('Draft Board'!$Y$2:$Y$162,'Draft Board'!$X$2:$X$162,"="&amp;X138),0,IF(OR(Z138=1,IFERROR(FLOOR((AA138-X138)/AA138/0.25,1),0)&lt;&gt;IFERROR(FLOOR((AA138-_xlfn.MINIFS('Draft Board'!$X$2:$X$162,'Draft Board'!$X$2:$X$162,"&gt;"&amp;X138))/AA138/0.25,1),0)),1,0))</f>
        <v>0</v>
      </c>
      <c r="AC138" s="12">
        <f>ROUND(1+X138*'Live Calc'!$D$27,0)</f>
        <v>1</v>
      </c>
      <c r="AD138" s="12"/>
      <c r="AE138" s="12">
        <f>IF(AD138&lt;&gt;"",AD138,ROUND(AC138*INDEX('Live Calc'!$G$96:$G$256,MATCH(W138,'Live Calc'!$A$96:$A$256,0))*'Live Calc'!$J$543,0))</f>
        <v>1</v>
      </c>
      <c r="AG138" s="13" t="s">
        <v>511</v>
      </c>
      <c r="AH138" s="13" t="s">
        <v>85</v>
      </c>
      <c r="AI138" s="13">
        <v>25.25</v>
      </c>
      <c r="AJ138" s="13">
        <v>32.51</v>
      </c>
      <c r="AK138" s="13">
        <v>39.770000000000003</v>
      </c>
      <c r="AL138" s="13">
        <f>CHOOSE(MATCH(Setup!$B$7,{"STD","Half-PPR","PPR"},0),AI138,AJ138,AK138)</f>
        <v>32.51</v>
      </c>
      <c r="AM138" s="13">
        <f>COUNTIFS('Draft Board'!$AN$2:$AN$192,"&gt;="&amp;AN138,'Draft Board'!$AR$2:$AR$192,1)</f>
        <v>22</v>
      </c>
      <c r="AN138" s="13">
        <f>MAX(0,AL138-'Live Calc'!$H$21)^'Live Calc'!$E$21</f>
        <v>0</v>
      </c>
      <c r="AO138" s="13">
        <v>138</v>
      </c>
      <c r="AP138" s="13">
        <f>IF(AO138&lt;&gt;_xlfn.MINIFS('Draft Board'!$AO$2:$AO$192,'Draft Board'!$AN$2:$AN$192,"="&amp;AN138),0,IF(_xlfn.MINIFS('Draft Board'!$AN$2:$AN$192,'Draft Board'!$AN$2:$AN$192,"&gt;"&amp;AN138)=0,1,IF((_xlfn.MINIFS('Draft Board'!$AN$2:$AN$192,'Draft Board'!$AN$2:$AN$192,"&gt;"&amp;AN138)-AN138)/_xlfn.MINIFS('Draft Board'!$AN$2:$AN$192,'Draft Board'!$AN$2:$AN$192,"&gt;"&amp;AN138)&gt;0.08,1,0)))</f>
        <v>0</v>
      </c>
      <c r="AQ138" s="13">
        <f>_xlfn.MINIFS('Draft Board'!$AN$2:$AN$192,'Draft Board'!$AN$2:$AN$192,"&gt;="&amp;AN138,'Draft Board'!$AP$2:$AP$192,1)</f>
        <v>0</v>
      </c>
      <c r="AR138" s="13">
        <f>IF(AO138&lt;&gt;_xlfn.MINIFS('Draft Board'!$AO$2:$AO$192,'Draft Board'!$AN$2:$AN$192,"="&amp;AN138),0,IF(OR(AP138=1,IFERROR(FLOOR((AQ138-AN138)/AQ138/0.25,1),0)&lt;&gt;IFERROR(FLOOR((AQ138-_xlfn.MINIFS('Draft Board'!$AN$2:$AN$192,'Draft Board'!$AN$2:$AN$192,"&gt;"&amp;AN138))/AQ138/0.25,1),0)),1,0))</f>
        <v>0</v>
      </c>
      <c r="AS138" s="13">
        <f>ROUND(1+AN138*'Live Calc'!$D$28,0)</f>
        <v>1</v>
      </c>
      <c r="AT138" s="13"/>
      <c r="AU138" s="13">
        <f>IF(AT138&lt;&gt;"",AT138,ROUND(AS138*INDEX('Live Calc'!$G$260:$G$450,MATCH(AM138,'Live Calc'!$A$260:$A$450,0))*'Live Calc'!$J$543,0))</f>
        <v>1</v>
      </c>
    </row>
    <row r="139" spans="17:47" x14ac:dyDescent="0.25">
      <c r="Q139" s="12" t="s">
        <v>512</v>
      </c>
      <c r="R139" s="12" t="s">
        <v>284</v>
      </c>
      <c r="S139" s="12">
        <v>7.5</v>
      </c>
      <c r="T139" s="12">
        <v>10</v>
      </c>
      <c r="U139" s="12">
        <v>12.5</v>
      </c>
      <c r="V139" s="12">
        <f>CHOOSE(MATCH(Setup!$B$7,{"STD","Half-PPR","PPR"},0),S139,T139,U139)</f>
        <v>10</v>
      </c>
      <c r="W139" s="12">
        <f>COUNTIFS('Draft Board'!$X$2:$X$162,"&gt;="&amp;X139,'Draft Board'!$AB$2:$AB$162,1)</f>
        <v>19</v>
      </c>
      <c r="X139" s="12">
        <f>MAX(0,V139-'Live Calc'!$H$20)^'Live Calc'!$E$20</f>
        <v>0</v>
      </c>
      <c r="Y139" s="12">
        <v>139</v>
      </c>
      <c r="Z139" s="12">
        <f>IF(Y139&lt;&gt;_xlfn.MINIFS('Draft Board'!$Y$2:$Y$162,'Draft Board'!$X$2:$X$162,"="&amp;X139),0,IF(_xlfn.MINIFS('Draft Board'!$X$2:$X$162,'Draft Board'!$X$2:$X$162,"&gt;"&amp;X139)=0,1,IF((_xlfn.MINIFS('Draft Board'!$X$2:$X$162,'Draft Board'!$X$2:$X$162,"&gt;"&amp;X139)-X139)/_xlfn.MINIFS('Draft Board'!$X$2:$X$162,'Draft Board'!$X$2:$X$162,"&gt;"&amp;X139)&gt;0.08,1,0)))</f>
        <v>0</v>
      </c>
      <c r="AA139" s="12">
        <f>_xlfn.MINIFS('Draft Board'!$X$2:$X$162,'Draft Board'!$X$2:$X$162,"&gt;="&amp;X139,'Draft Board'!$Z$2:$Z$162,1)</f>
        <v>0</v>
      </c>
      <c r="AB139" s="12">
        <f>IF(Y139&lt;&gt;_xlfn.MINIFS('Draft Board'!$Y$2:$Y$162,'Draft Board'!$X$2:$X$162,"="&amp;X139),0,IF(OR(Z139=1,IFERROR(FLOOR((AA139-X139)/AA139/0.25,1),0)&lt;&gt;IFERROR(FLOOR((AA139-_xlfn.MINIFS('Draft Board'!$X$2:$X$162,'Draft Board'!$X$2:$X$162,"&gt;"&amp;X139))/AA139/0.25,1),0)),1,0))</f>
        <v>0</v>
      </c>
      <c r="AC139" s="12">
        <f>ROUND(1+X139*'Live Calc'!$D$27,0)</f>
        <v>1</v>
      </c>
      <c r="AD139" s="12"/>
      <c r="AE139" s="12">
        <f>IF(AD139&lt;&gt;"",AD139,ROUND(AC139*INDEX('Live Calc'!$G$96:$G$256,MATCH(W139,'Live Calc'!$A$96:$A$256,0))*'Live Calc'!$J$543,0))</f>
        <v>1</v>
      </c>
      <c r="AG139" s="13" t="s">
        <v>513</v>
      </c>
      <c r="AH139" s="13" t="s">
        <v>85</v>
      </c>
      <c r="AI139" s="13">
        <v>25.231999999999999</v>
      </c>
      <c r="AJ139" s="13">
        <v>32.49</v>
      </c>
      <c r="AK139" s="13">
        <v>39.31</v>
      </c>
      <c r="AL139" s="13">
        <f>CHOOSE(MATCH(Setup!$B$7,{"STD","Half-PPR","PPR"},0),AI139,AJ139,AK139)</f>
        <v>32.49</v>
      </c>
      <c r="AM139" s="13">
        <f>COUNTIFS('Draft Board'!$AN$2:$AN$192,"&gt;="&amp;AN139,'Draft Board'!$AR$2:$AR$192,1)</f>
        <v>22</v>
      </c>
      <c r="AN139" s="13">
        <f>MAX(0,AL139-'Live Calc'!$H$21)^'Live Calc'!$E$21</f>
        <v>0</v>
      </c>
      <c r="AO139" s="13">
        <v>139</v>
      </c>
      <c r="AP139" s="13">
        <f>IF(AO139&lt;&gt;_xlfn.MINIFS('Draft Board'!$AO$2:$AO$192,'Draft Board'!$AN$2:$AN$192,"="&amp;AN139),0,IF(_xlfn.MINIFS('Draft Board'!$AN$2:$AN$192,'Draft Board'!$AN$2:$AN$192,"&gt;"&amp;AN139)=0,1,IF((_xlfn.MINIFS('Draft Board'!$AN$2:$AN$192,'Draft Board'!$AN$2:$AN$192,"&gt;"&amp;AN139)-AN139)/_xlfn.MINIFS('Draft Board'!$AN$2:$AN$192,'Draft Board'!$AN$2:$AN$192,"&gt;"&amp;AN139)&gt;0.08,1,0)))</f>
        <v>0</v>
      </c>
      <c r="AQ139" s="13">
        <f>_xlfn.MINIFS('Draft Board'!$AN$2:$AN$192,'Draft Board'!$AN$2:$AN$192,"&gt;="&amp;AN139,'Draft Board'!$AP$2:$AP$192,1)</f>
        <v>0</v>
      </c>
      <c r="AR139" s="13">
        <f>IF(AO139&lt;&gt;_xlfn.MINIFS('Draft Board'!$AO$2:$AO$192,'Draft Board'!$AN$2:$AN$192,"="&amp;AN139),0,IF(OR(AP139=1,IFERROR(FLOOR((AQ139-AN139)/AQ139/0.25,1),0)&lt;&gt;IFERROR(FLOOR((AQ139-_xlfn.MINIFS('Draft Board'!$AN$2:$AN$192,'Draft Board'!$AN$2:$AN$192,"&gt;"&amp;AN139))/AQ139/0.25,1),0)),1,0))</f>
        <v>0</v>
      </c>
      <c r="AS139" s="13">
        <f>ROUND(1+AN139*'Live Calc'!$D$28,0)</f>
        <v>1</v>
      </c>
      <c r="AT139" s="13"/>
      <c r="AU139" s="13">
        <f>IF(AT139&lt;&gt;"",AT139,ROUND(AS139*INDEX('Live Calc'!$G$260:$G$450,MATCH(AM139,'Live Calc'!$A$260:$A$450,0))*'Live Calc'!$J$543,0))</f>
        <v>1</v>
      </c>
    </row>
    <row r="140" spans="17:47" x14ac:dyDescent="0.25">
      <c r="Q140" s="12" t="s">
        <v>514</v>
      </c>
      <c r="R140" s="12" t="s">
        <v>96</v>
      </c>
      <c r="S140" s="12">
        <v>8.9700000000000006</v>
      </c>
      <c r="T140" s="12">
        <v>9.7799999999999994</v>
      </c>
      <c r="U140" s="12">
        <v>10.59</v>
      </c>
      <c r="V140" s="12">
        <f>CHOOSE(MATCH(Setup!$B$7,{"STD","Half-PPR","PPR"},0),S140,T140,U140)</f>
        <v>9.7799999999999994</v>
      </c>
      <c r="W140" s="12">
        <f>COUNTIFS('Draft Board'!$X$2:$X$162,"&gt;="&amp;X140,'Draft Board'!$AB$2:$AB$162,1)</f>
        <v>19</v>
      </c>
      <c r="X140" s="12">
        <f>MAX(0,V140-'Live Calc'!$H$20)^'Live Calc'!$E$20</f>
        <v>0</v>
      </c>
      <c r="Y140" s="12">
        <v>140</v>
      </c>
      <c r="Z140" s="12">
        <f>IF(Y140&lt;&gt;_xlfn.MINIFS('Draft Board'!$Y$2:$Y$162,'Draft Board'!$X$2:$X$162,"="&amp;X140),0,IF(_xlfn.MINIFS('Draft Board'!$X$2:$X$162,'Draft Board'!$X$2:$X$162,"&gt;"&amp;X140)=0,1,IF((_xlfn.MINIFS('Draft Board'!$X$2:$X$162,'Draft Board'!$X$2:$X$162,"&gt;"&amp;X140)-X140)/_xlfn.MINIFS('Draft Board'!$X$2:$X$162,'Draft Board'!$X$2:$X$162,"&gt;"&amp;X140)&gt;0.08,1,0)))</f>
        <v>0</v>
      </c>
      <c r="AA140" s="12">
        <f>_xlfn.MINIFS('Draft Board'!$X$2:$X$162,'Draft Board'!$X$2:$X$162,"&gt;="&amp;X140,'Draft Board'!$Z$2:$Z$162,1)</f>
        <v>0</v>
      </c>
      <c r="AB140" s="12">
        <f>IF(Y140&lt;&gt;_xlfn.MINIFS('Draft Board'!$Y$2:$Y$162,'Draft Board'!$X$2:$X$162,"="&amp;X140),0,IF(OR(Z140=1,IFERROR(FLOOR((AA140-X140)/AA140/0.25,1),0)&lt;&gt;IFERROR(FLOOR((AA140-_xlfn.MINIFS('Draft Board'!$X$2:$X$162,'Draft Board'!$X$2:$X$162,"&gt;"&amp;X140))/AA140/0.25,1),0)),1,0))</f>
        <v>0</v>
      </c>
      <c r="AC140" s="12">
        <f>ROUND(1+X140*'Live Calc'!$D$27,0)</f>
        <v>1</v>
      </c>
      <c r="AD140" s="12"/>
      <c r="AE140" s="12">
        <f>IF(AD140&lt;&gt;"",AD140,ROUND(AC140*INDEX('Live Calc'!$G$96:$G$256,MATCH(W140,'Live Calc'!$A$96:$A$256,0))*'Live Calc'!$J$543,0))</f>
        <v>1</v>
      </c>
      <c r="AG140" s="13" t="s">
        <v>515</v>
      </c>
      <c r="AH140" s="13" t="s">
        <v>85</v>
      </c>
      <c r="AI140" s="13">
        <v>25.344000000000001</v>
      </c>
      <c r="AJ140" s="13">
        <v>31.834</v>
      </c>
      <c r="AK140" s="13">
        <v>39.393999999999998</v>
      </c>
      <c r="AL140" s="13">
        <f>CHOOSE(MATCH(Setup!$B$7,{"STD","Half-PPR","PPR"},0),AI140,AJ140,AK140)</f>
        <v>31.834</v>
      </c>
      <c r="AM140" s="13">
        <f>COUNTIFS('Draft Board'!$AN$2:$AN$192,"&gt;="&amp;AN140,'Draft Board'!$AR$2:$AR$192,1)</f>
        <v>22</v>
      </c>
      <c r="AN140" s="13">
        <f>MAX(0,AL140-'Live Calc'!$H$21)^'Live Calc'!$E$21</f>
        <v>0</v>
      </c>
      <c r="AO140" s="13">
        <v>140</v>
      </c>
      <c r="AP140" s="13">
        <f>IF(AO140&lt;&gt;_xlfn.MINIFS('Draft Board'!$AO$2:$AO$192,'Draft Board'!$AN$2:$AN$192,"="&amp;AN140),0,IF(_xlfn.MINIFS('Draft Board'!$AN$2:$AN$192,'Draft Board'!$AN$2:$AN$192,"&gt;"&amp;AN140)=0,1,IF((_xlfn.MINIFS('Draft Board'!$AN$2:$AN$192,'Draft Board'!$AN$2:$AN$192,"&gt;"&amp;AN140)-AN140)/_xlfn.MINIFS('Draft Board'!$AN$2:$AN$192,'Draft Board'!$AN$2:$AN$192,"&gt;"&amp;AN140)&gt;0.08,1,0)))</f>
        <v>0</v>
      </c>
      <c r="AQ140" s="13">
        <f>_xlfn.MINIFS('Draft Board'!$AN$2:$AN$192,'Draft Board'!$AN$2:$AN$192,"&gt;="&amp;AN140,'Draft Board'!$AP$2:$AP$192,1)</f>
        <v>0</v>
      </c>
      <c r="AR140" s="13">
        <f>IF(AO140&lt;&gt;_xlfn.MINIFS('Draft Board'!$AO$2:$AO$192,'Draft Board'!$AN$2:$AN$192,"="&amp;AN140),0,IF(OR(AP140=1,IFERROR(FLOOR((AQ140-AN140)/AQ140/0.25,1),0)&lt;&gt;IFERROR(FLOOR((AQ140-_xlfn.MINIFS('Draft Board'!$AN$2:$AN$192,'Draft Board'!$AN$2:$AN$192,"&gt;"&amp;AN140))/AQ140/0.25,1),0)),1,0))</f>
        <v>0</v>
      </c>
      <c r="AS140" s="13">
        <f>ROUND(1+AN140*'Live Calc'!$D$28,0)</f>
        <v>1</v>
      </c>
      <c r="AT140" s="13"/>
      <c r="AU140" s="13">
        <f>IF(AT140&lt;&gt;"",AT140,ROUND(AS140*INDEX('Live Calc'!$G$260:$G$450,MATCH(AM140,'Live Calc'!$A$260:$A$450,0))*'Live Calc'!$J$543,0))</f>
        <v>1</v>
      </c>
    </row>
    <row r="141" spans="17:47" x14ac:dyDescent="0.25">
      <c r="Q141" s="12" t="s">
        <v>516</v>
      </c>
      <c r="R141" s="12" t="s">
        <v>153</v>
      </c>
      <c r="S141" s="12">
        <v>7.97</v>
      </c>
      <c r="T141" s="12">
        <v>9.76</v>
      </c>
      <c r="U141" s="12">
        <v>11.54</v>
      </c>
      <c r="V141" s="12">
        <f>CHOOSE(MATCH(Setup!$B$7,{"STD","Half-PPR","PPR"},0),S141,T141,U141)</f>
        <v>9.76</v>
      </c>
      <c r="W141" s="12">
        <f>COUNTIFS('Draft Board'!$X$2:$X$162,"&gt;="&amp;X141,'Draft Board'!$AB$2:$AB$162,1)</f>
        <v>19</v>
      </c>
      <c r="X141" s="12">
        <f>MAX(0,V141-'Live Calc'!$H$20)^'Live Calc'!$E$20</f>
        <v>0</v>
      </c>
      <c r="Y141" s="12">
        <v>141</v>
      </c>
      <c r="Z141" s="12">
        <f>IF(Y141&lt;&gt;_xlfn.MINIFS('Draft Board'!$Y$2:$Y$162,'Draft Board'!$X$2:$X$162,"="&amp;X141),0,IF(_xlfn.MINIFS('Draft Board'!$X$2:$X$162,'Draft Board'!$X$2:$X$162,"&gt;"&amp;X141)=0,1,IF((_xlfn.MINIFS('Draft Board'!$X$2:$X$162,'Draft Board'!$X$2:$X$162,"&gt;"&amp;X141)-X141)/_xlfn.MINIFS('Draft Board'!$X$2:$X$162,'Draft Board'!$X$2:$X$162,"&gt;"&amp;X141)&gt;0.08,1,0)))</f>
        <v>0</v>
      </c>
      <c r="AA141" s="12">
        <f>_xlfn.MINIFS('Draft Board'!$X$2:$X$162,'Draft Board'!$X$2:$X$162,"&gt;="&amp;X141,'Draft Board'!$Z$2:$Z$162,1)</f>
        <v>0</v>
      </c>
      <c r="AB141" s="12">
        <f>IF(Y141&lt;&gt;_xlfn.MINIFS('Draft Board'!$Y$2:$Y$162,'Draft Board'!$X$2:$X$162,"="&amp;X141),0,IF(OR(Z141=1,IFERROR(FLOOR((AA141-X141)/AA141/0.25,1),0)&lt;&gt;IFERROR(FLOOR((AA141-_xlfn.MINIFS('Draft Board'!$X$2:$X$162,'Draft Board'!$X$2:$X$162,"&gt;"&amp;X141))/AA141/0.25,1),0)),1,0))</f>
        <v>0</v>
      </c>
      <c r="AC141" s="12">
        <f>ROUND(1+X141*'Live Calc'!$D$27,0)</f>
        <v>1</v>
      </c>
      <c r="AD141" s="12"/>
      <c r="AE141" s="12">
        <f>IF(AD141&lt;&gt;"",AD141,ROUND(AC141*INDEX('Live Calc'!$G$96:$G$256,MATCH(W141,'Live Calc'!$A$96:$A$256,0))*'Live Calc'!$J$543,0))</f>
        <v>1</v>
      </c>
      <c r="AG141" s="13" t="s">
        <v>517</v>
      </c>
      <c r="AH141" s="13" t="s">
        <v>83</v>
      </c>
      <c r="AI141" s="13">
        <v>25.19</v>
      </c>
      <c r="AJ141" s="13">
        <v>31.777999999999999</v>
      </c>
      <c r="AK141" s="13">
        <v>38.277999999999999</v>
      </c>
      <c r="AL141" s="13">
        <f>CHOOSE(MATCH(Setup!$B$7,{"STD","Half-PPR","PPR"},0),AI141,AJ141,AK141)</f>
        <v>31.777999999999999</v>
      </c>
      <c r="AM141" s="13">
        <f>COUNTIFS('Draft Board'!$AN$2:$AN$192,"&gt;="&amp;AN141,'Draft Board'!$AR$2:$AR$192,1)</f>
        <v>22</v>
      </c>
      <c r="AN141" s="13">
        <f>MAX(0,AL141-'Live Calc'!$H$21)^'Live Calc'!$E$21</f>
        <v>0</v>
      </c>
      <c r="AO141" s="13">
        <v>141</v>
      </c>
      <c r="AP141" s="13">
        <f>IF(AO141&lt;&gt;_xlfn.MINIFS('Draft Board'!$AO$2:$AO$192,'Draft Board'!$AN$2:$AN$192,"="&amp;AN141),0,IF(_xlfn.MINIFS('Draft Board'!$AN$2:$AN$192,'Draft Board'!$AN$2:$AN$192,"&gt;"&amp;AN141)=0,1,IF((_xlfn.MINIFS('Draft Board'!$AN$2:$AN$192,'Draft Board'!$AN$2:$AN$192,"&gt;"&amp;AN141)-AN141)/_xlfn.MINIFS('Draft Board'!$AN$2:$AN$192,'Draft Board'!$AN$2:$AN$192,"&gt;"&amp;AN141)&gt;0.08,1,0)))</f>
        <v>0</v>
      </c>
      <c r="AQ141" s="13">
        <f>_xlfn.MINIFS('Draft Board'!$AN$2:$AN$192,'Draft Board'!$AN$2:$AN$192,"&gt;="&amp;AN141,'Draft Board'!$AP$2:$AP$192,1)</f>
        <v>0</v>
      </c>
      <c r="AR141" s="13">
        <f>IF(AO141&lt;&gt;_xlfn.MINIFS('Draft Board'!$AO$2:$AO$192,'Draft Board'!$AN$2:$AN$192,"="&amp;AN141),0,IF(OR(AP141=1,IFERROR(FLOOR((AQ141-AN141)/AQ141/0.25,1),0)&lt;&gt;IFERROR(FLOOR((AQ141-_xlfn.MINIFS('Draft Board'!$AN$2:$AN$192,'Draft Board'!$AN$2:$AN$192,"&gt;"&amp;AN141))/AQ141/0.25,1),0)),1,0))</f>
        <v>0</v>
      </c>
      <c r="AS141" s="13">
        <f>ROUND(1+AN141*'Live Calc'!$D$28,0)</f>
        <v>1</v>
      </c>
      <c r="AT141" s="13"/>
      <c r="AU141" s="13">
        <f>IF(AT141&lt;&gt;"",AT141,ROUND(AS141*INDEX('Live Calc'!$G$260:$G$450,MATCH(AM141,'Live Calc'!$A$260:$A$450,0))*'Live Calc'!$J$543,0))</f>
        <v>1</v>
      </c>
    </row>
    <row r="142" spans="17:47" x14ac:dyDescent="0.25">
      <c r="Q142" s="12" t="s">
        <v>518</v>
      </c>
      <c r="R142" s="12" t="s">
        <v>96</v>
      </c>
      <c r="S142" s="12">
        <v>7.72</v>
      </c>
      <c r="T142" s="12">
        <v>9.61</v>
      </c>
      <c r="U142" s="12">
        <v>11.49</v>
      </c>
      <c r="V142" s="12">
        <f>CHOOSE(MATCH(Setup!$B$7,{"STD","Half-PPR","PPR"},0),S142,T142,U142)</f>
        <v>9.61</v>
      </c>
      <c r="W142" s="12">
        <f>COUNTIFS('Draft Board'!$X$2:$X$162,"&gt;="&amp;X142,'Draft Board'!$AB$2:$AB$162,1)</f>
        <v>19</v>
      </c>
      <c r="X142" s="12">
        <f>MAX(0,V142-'Live Calc'!$H$20)^'Live Calc'!$E$20</f>
        <v>0</v>
      </c>
      <c r="Y142" s="12">
        <v>142</v>
      </c>
      <c r="Z142" s="12">
        <f>IF(Y142&lt;&gt;_xlfn.MINIFS('Draft Board'!$Y$2:$Y$162,'Draft Board'!$X$2:$X$162,"="&amp;X142),0,IF(_xlfn.MINIFS('Draft Board'!$X$2:$X$162,'Draft Board'!$X$2:$X$162,"&gt;"&amp;X142)=0,1,IF((_xlfn.MINIFS('Draft Board'!$X$2:$X$162,'Draft Board'!$X$2:$X$162,"&gt;"&amp;X142)-X142)/_xlfn.MINIFS('Draft Board'!$X$2:$X$162,'Draft Board'!$X$2:$X$162,"&gt;"&amp;X142)&gt;0.08,1,0)))</f>
        <v>0</v>
      </c>
      <c r="AA142" s="12">
        <f>_xlfn.MINIFS('Draft Board'!$X$2:$X$162,'Draft Board'!$X$2:$X$162,"&gt;="&amp;X142,'Draft Board'!$Z$2:$Z$162,1)</f>
        <v>0</v>
      </c>
      <c r="AB142" s="12">
        <f>IF(Y142&lt;&gt;_xlfn.MINIFS('Draft Board'!$Y$2:$Y$162,'Draft Board'!$X$2:$X$162,"="&amp;X142),0,IF(OR(Z142=1,IFERROR(FLOOR((AA142-X142)/AA142/0.25,1),0)&lt;&gt;IFERROR(FLOOR((AA142-_xlfn.MINIFS('Draft Board'!$X$2:$X$162,'Draft Board'!$X$2:$X$162,"&gt;"&amp;X142))/AA142/0.25,1),0)),1,0))</f>
        <v>0</v>
      </c>
      <c r="AC142" s="12">
        <f>ROUND(1+X142*'Live Calc'!$D$27,0)</f>
        <v>1</v>
      </c>
      <c r="AD142" s="12"/>
      <c r="AE142" s="12">
        <f>IF(AD142&lt;&gt;"",AD142,ROUND(AC142*INDEX('Live Calc'!$G$96:$G$256,MATCH(W142,'Live Calc'!$A$96:$A$256,0))*'Live Calc'!$J$543,0))</f>
        <v>1</v>
      </c>
      <c r="AG142" s="13" t="s">
        <v>519</v>
      </c>
      <c r="AH142" s="13" t="s">
        <v>159</v>
      </c>
      <c r="AI142" s="13">
        <v>25.16</v>
      </c>
      <c r="AJ142" s="13">
        <v>31.736000000000001</v>
      </c>
      <c r="AK142" s="13">
        <v>38.853999999999999</v>
      </c>
      <c r="AL142" s="13">
        <f>CHOOSE(MATCH(Setup!$B$7,{"STD","Half-PPR","PPR"},0),AI142,AJ142,AK142)</f>
        <v>31.736000000000001</v>
      </c>
      <c r="AM142" s="13">
        <f>COUNTIFS('Draft Board'!$AN$2:$AN$192,"&gt;="&amp;AN142,'Draft Board'!$AR$2:$AR$192,1)</f>
        <v>22</v>
      </c>
      <c r="AN142" s="13">
        <f>MAX(0,AL142-'Live Calc'!$H$21)^'Live Calc'!$E$21</f>
        <v>0</v>
      </c>
      <c r="AO142" s="13">
        <v>142</v>
      </c>
      <c r="AP142" s="13">
        <f>IF(AO142&lt;&gt;_xlfn.MINIFS('Draft Board'!$AO$2:$AO$192,'Draft Board'!$AN$2:$AN$192,"="&amp;AN142),0,IF(_xlfn.MINIFS('Draft Board'!$AN$2:$AN$192,'Draft Board'!$AN$2:$AN$192,"&gt;"&amp;AN142)=0,1,IF((_xlfn.MINIFS('Draft Board'!$AN$2:$AN$192,'Draft Board'!$AN$2:$AN$192,"&gt;"&amp;AN142)-AN142)/_xlfn.MINIFS('Draft Board'!$AN$2:$AN$192,'Draft Board'!$AN$2:$AN$192,"&gt;"&amp;AN142)&gt;0.08,1,0)))</f>
        <v>0</v>
      </c>
      <c r="AQ142" s="13">
        <f>_xlfn.MINIFS('Draft Board'!$AN$2:$AN$192,'Draft Board'!$AN$2:$AN$192,"&gt;="&amp;AN142,'Draft Board'!$AP$2:$AP$192,1)</f>
        <v>0</v>
      </c>
      <c r="AR142" s="13">
        <f>IF(AO142&lt;&gt;_xlfn.MINIFS('Draft Board'!$AO$2:$AO$192,'Draft Board'!$AN$2:$AN$192,"="&amp;AN142),0,IF(OR(AP142=1,IFERROR(FLOOR((AQ142-AN142)/AQ142/0.25,1),0)&lt;&gt;IFERROR(FLOOR((AQ142-_xlfn.MINIFS('Draft Board'!$AN$2:$AN$192,'Draft Board'!$AN$2:$AN$192,"&gt;"&amp;AN142))/AQ142/0.25,1),0)),1,0))</f>
        <v>0</v>
      </c>
      <c r="AS142" s="13">
        <f>ROUND(1+AN142*'Live Calc'!$D$28,0)</f>
        <v>1</v>
      </c>
      <c r="AT142" s="13"/>
      <c r="AU142" s="13">
        <f>IF(AT142&lt;&gt;"",AT142,ROUND(AS142*INDEX('Live Calc'!$G$260:$G$450,MATCH(AM142,'Live Calc'!$A$260:$A$450,0))*'Live Calc'!$J$543,0))</f>
        <v>1</v>
      </c>
    </row>
    <row r="143" spans="17:47" x14ac:dyDescent="0.25">
      <c r="Q143" s="12" t="s">
        <v>520</v>
      </c>
      <c r="R143" s="12" t="s">
        <v>101</v>
      </c>
      <c r="S143" s="12">
        <v>7.85</v>
      </c>
      <c r="T143" s="12">
        <v>9.6</v>
      </c>
      <c r="U143" s="12">
        <v>11.35</v>
      </c>
      <c r="V143" s="12">
        <f>CHOOSE(MATCH(Setup!$B$7,{"STD","Half-PPR","PPR"},0),S143,T143,U143)</f>
        <v>9.6</v>
      </c>
      <c r="W143" s="12">
        <f>COUNTIFS('Draft Board'!$X$2:$X$162,"&gt;="&amp;X143,'Draft Board'!$AB$2:$AB$162,1)</f>
        <v>19</v>
      </c>
      <c r="X143" s="12">
        <f>MAX(0,V143-'Live Calc'!$H$20)^'Live Calc'!$E$20</f>
        <v>0</v>
      </c>
      <c r="Y143" s="12">
        <v>143</v>
      </c>
      <c r="Z143" s="12">
        <f>IF(Y143&lt;&gt;_xlfn.MINIFS('Draft Board'!$Y$2:$Y$162,'Draft Board'!$X$2:$X$162,"="&amp;X143),0,IF(_xlfn.MINIFS('Draft Board'!$X$2:$X$162,'Draft Board'!$X$2:$X$162,"&gt;"&amp;X143)=0,1,IF((_xlfn.MINIFS('Draft Board'!$X$2:$X$162,'Draft Board'!$X$2:$X$162,"&gt;"&amp;X143)-X143)/_xlfn.MINIFS('Draft Board'!$X$2:$X$162,'Draft Board'!$X$2:$X$162,"&gt;"&amp;X143)&gt;0.08,1,0)))</f>
        <v>0</v>
      </c>
      <c r="AA143" s="12">
        <f>_xlfn.MINIFS('Draft Board'!$X$2:$X$162,'Draft Board'!$X$2:$X$162,"&gt;="&amp;X143,'Draft Board'!$Z$2:$Z$162,1)</f>
        <v>0</v>
      </c>
      <c r="AB143" s="12">
        <f>IF(Y143&lt;&gt;_xlfn.MINIFS('Draft Board'!$Y$2:$Y$162,'Draft Board'!$X$2:$X$162,"="&amp;X143),0,IF(OR(Z143=1,IFERROR(FLOOR((AA143-X143)/AA143/0.25,1),0)&lt;&gt;IFERROR(FLOOR((AA143-_xlfn.MINIFS('Draft Board'!$X$2:$X$162,'Draft Board'!$X$2:$X$162,"&gt;"&amp;X143))/AA143/0.25,1),0)),1,0))</f>
        <v>0</v>
      </c>
      <c r="AC143" s="12">
        <f>ROUND(1+X143*'Live Calc'!$D$27,0)</f>
        <v>1</v>
      </c>
      <c r="AD143" s="12"/>
      <c r="AE143" s="12">
        <f>IF(AD143&lt;&gt;"",AD143,ROUND(AC143*INDEX('Live Calc'!$G$96:$G$256,MATCH(W143,'Live Calc'!$A$96:$A$256,0))*'Live Calc'!$J$543,0))</f>
        <v>1</v>
      </c>
      <c r="AG143" s="13" t="s">
        <v>521</v>
      </c>
      <c r="AH143" s="13" t="s">
        <v>61</v>
      </c>
      <c r="AI143" s="13">
        <v>23.513999999999999</v>
      </c>
      <c r="AJ143" s="13">
        <v>30.315999999999999</v>
      </c>
      <c r="AK143" s="13">
        <v>37.07</v>
      </c>
      <c r="AL143" s="13">
        <f>CHOOSE(MATCH(Setup!$B$7,{"STD","Half-PPR","PPR"},0),AI143,AJ143,AK143)</f>
        <v>30.315999999999999</v>
      </c>
      <c r="AM143" s="13">
        <f>COUNTIFS('Draft Board'!$AN$2:$AN$192,"&gt;="&amp;AN143,'Draft Board'!$AR$2:$AR$192,1)</f>
        <v>22</v>
      </c>
      <c r="AN143" s="13">
        <f>MAX(0,AL143-'Live Calc'!$H$21)^'Live Calc'!$E$21</f>
        <v>0</v>
      </c>
      <c r="AO143" s="13">
        <v>143</v>
      </c>
      <c r="AP143" s="13">
        <f>IF(AO143&lt;&gt;_xlfn.MINIFS('Draft Board'!$AO$2:$AO$192,'Draft Board'!$AN$2:$AN$192,"="&amp;AN143),0,IF(_xlfn.MINIFS('Draft Board'!$AN$2:$AN$192,'Draft Board'!$AN$2:$AN$192,"&gt;"&amp;AN143)=0,1,IF((_xlfn.MINIFS('Draft Board'!$AN$2:$AN$192,'Draft Board'!$AN$2:$AN$192,"&gt;"&amp;AN143)-AN143)/_xlfn.MINIFS('Draft Board'!$AN$2:$AN$192,'Draft Board'!$AN$2:$AN$192,"&gt;"&amp;AN143)&gt;0.08,1,0)))</f>
        <v>0</v>
      </c>
      <c r="AQ143" s="13">
        <f>_xlfn.MINIFS('Draft Board'!$AN$2:$AN$192,'Draft Board'!$AN$2:$AN$192,"&gt;="&amp;AN143,'Draft Board'!$AP$2:$AP$192,1)</f>
        <v>0</v>
      </c>
      <c r="AR143" s="13">
        <f>IF(AO143&lt;&gt;_xlfn.MINIFS('Draft Board'!$AO$2:$AO$192,'Draft Board'!$AN$2:$AN$192,"="&amp;AN143),0,IF(OR(AP143=1,IFERROR(FLOOR((AQ143-AN143)/AQ143/0.25,1),0)&lt;&gt;IFERROR(FLOOR((AQ143-_xlfn.MINIFS('Draft Board'!$AN$2:$AN$192,'Draft Board'!$AN$2:$AN$192,"&gt;"&amp;AN143))/AQ143/0.25,1),0)),1,0))</f>
        <v>0</v>
      </c>
      <c r="AS143" s="13">
        <f>ROUND(1+AN143*'Live Calc'!$D$28,0)</f>
        <v>1</v>
      </c>
      <c r="AT143" s="13"/>
      <c r="AU143" s="13">
        <f>IF(AT143&lt;&gt;"",AT143,ROUND(AS143*INDEX('Live Calc'!$G$260:$G$450,MATCH(AM143,'Live Calc'!$A$260:$A$450,0))*'Live Calc'!$J$543,0))</f>
        <v>1</v>
      </c>
    </row>
    <row r="144" spans="17:47" x14ac:dyDescent="0.25">
      <c r="Q144" s="12" t="s">
        <v>522</v>
      </c>
      <c r="R144" s="12" t="s">
        <v>71</v>
      </c>
      <c r="S144" s="12">
        <v>9.49</v>
      </c>
      <c r="T144" s="12">
        <v>9.49</v>
      </c>
      <c r="U144" s="12">
        <v>9.49</v>
      </c>
      <c r="V144" s="12">
        <f>CHOOSE(MATCH(Setup!$B$7,{"STD","Half-PPR","PPR"},0),S144,T144,U144)</f>
        <v>9.49</v>
      </c>
      <c r="W144" s="12">
        <f>COUNTIFS('Draft Board'!$X$2:$X$162,"&gt;="&amp;X144,'Draft Board'!$AB$2:$AB$162,1)</f>
        <v>19</v>
      </c>
      <c r="X144" s="12">
        <f>MAX(0,V144-'Live Calc'!$H$20)^'Live Calc'!$E$20</f>
        <v>0</v>
      </c>
      <c r="Y144" s="12">
        <v>144</v>
      </c>
      <c r="Z144" s="12">
        <f>IF(Y144&lt;&gt;_xlfn.MINIFS('Draft Board'!$Y$2:$Y$162,'Draft Board'!$X$2:$X$162,"="&amp;X144),0,IF(_xlfn.MINIFS('Draft Board'!$X$2:$X$162,'Draft Board'!$X$2:$X$162,"&gt;"&amp;X144)=0,1,IF((_xlfn.MINIFS('Draft Board'!$X$2:$X$162,'Draft Board'!$X$2:$X$162,"&gt;"&amp;X144)-X144)/_xlfn.MINIFS('Draft Board'!$X$2:$X$162,'Draft Board'!$X$2:$X$162,"&gt;"&amp;X144)&gt;0.08,1,0)))</f>
        <v>0</v>
      </c>
      <c r="AA144" s="12">
        <f>_xlfn.MINIFS('Draft Board'!$X$2:$X$162,'Draft Board'!$X$2:$X$162,"&gt;="&amp;X144,'Draft Board'!$Z$2:$Z$162,1)</f>
        <v>0</v>
      </c>
      <c r="AB144" s="12">
        <f>IF(Y144&lt;&gt;_xlfn.MINIFS('Draft Board'!$Y$2:$Y$162,'Draft Board'!$X$2:$X$162,"="&amp;X144),0,IF(OR(Z144=1,IFERROR(FLOOR((AA144-X144)/AA144/0.25,1),0)&lt;&gt;IFERROR(FLOOR((AA144-_xlfn.MINIFS('Draft Board'!$X$2:$X$162,'Draft Board'!$X$2:$X$162,"&gt;"&amp;X144))/AA144/0.25,1),0)),1,0))</f>
        <v>0</v>
      </c>
      <c r="AC144" s="12">
        <f>ROUND(1+X144*'Live Calc'!$D$27,0)</f>
        <v>1</v>
      </c>
      <c r="AD144" s="12"/>
      <c r="AE144" s="12">
        <f>IF(AD144&lt;&gt;"",AD144,ROUND(AC144*INDEX('Live Calc'!$G$96:$G$256,MATCH(W144,'Live Calc'!$A$96:$A$256,0))*'Live Calc'!$J$543,0))</f>
        <v>1</v>
      </c>
      <c r="AG144" s="13" t="s">
        <v>523</v>
      </c>
      <c r="AH144" s="13" t="s">
        <v>65</v>
      </c>
      <c r="AI144" s="13">
        <v>20.25</v>
      </c>
      <c r="AJ144" s="13">
        <v>28.513999999999999</v>
      </c>
      <c r="AK144" s="13">
        <v>35.052</v>
      </c>
      <c r="AL144" s="13">
        <f>CHOOSE(MATCH(Setup!$B$7,{"STD","Half-PPR","PPR"},0),AI144,AJ144,AK144)</f>
        <v>28.513999999999999</v>
      </c>
      <c r="AM144" s="13">
        <f>COUNTIFS('Draft Board'!$AN$2:$AN$192,"&gt;="&amp;AN144,'Draft Board'!$AR$2:$AR$192,1)</f>
        <v>22</v>
      </c>
      <c r="AN144" s="13">
        <f>MAX(0,AL144-'Live Calc'!$H$21)^'Live Calc'!$E$21</f>
        <v>0</v>
      </c>
      <c r="AO144" s="13">
        <v>144</v>
      </c>
      <c r="AP144" s="13">
        <f>IF(AO144&lt;&gt;_xlfn.MINIFS('Draft Board'!$AO$2:$AO$192,'Draft Board'!$AN$2:$AN$192,"="&amp;AN144),0,IF(_xlfn.MINIFS('Draft Board'!$AN$2:$AN$192,'Draft Board'!$AN$2:$AN$192,"&gt;"&amp;AN144)=0,1,IF((_xlfn.MINIFS('Draft Board'!$AN$2:$AN$192,'Draft Board'!$AN$2:$AN$192,"&gt;"&amp;AN144)-AN144)/_xlfn.MINIFS('Draft Board'!$AN$2:$AN$192,'Draft Board'!$AN$2:$AN$192,"&gt;"&amp;AN144)&gt;0.08,1,0)))</f>
        <v>0</v>
      </c>
      <c r="AQ144" s="13">
        <f>_xlfn.MINIFS('Draft Board'!$AN$2:$AN$192,'Draft Board'!$AN$2:$AN$192,"&gt;="&amp;AN144,'Draft Board'!$AP$2:$AP$192,1)</f>
        <v>0</v>
      </c>
      <c r="AR144" s="13">
        <f>IF(AO144&lt;&gt;_xlfn.MINIFS('Draft Board'!$AO$2:$AO$192,'Draft Board'!$AN$2:$AN$192,"="&amp;AN144),0,IF(OR(AP144=1,IFERROR(FLOOR((AQ144-AN144)/AQ144/0.25,1),0)&lt;&gt;IFERROR(FLOOR((AQ144-_xlfn.MINIFS('Draft Board'!$AN$2:$AN$192,'Draft Board'!$AN$2:$AN$192,"&gt;"&amp;AN144))/AQ144/0.25,1),0)),1,0))</f>
        <v>0</v>
      </c>
      <c r="AS144" s="13">
        <f>ROUND(1+AN144*'Live Calc'!$D$28,0)</f>
        <v>1</v>
      </c>
      <c r="AT144" s="13"/>
      <c r="AU144" s="13">
        <f>IF(AT144&lt;&gt;"",AT144,ROUND(AS144*INDEX('Live Calc'!$G$260:$G$450,MATCH(AM144,'Live Calc'!$A$260:$A$450,0))*'Live Calc'!$J$543,0))</f>
        <v>1</v>
      </c>
    </row>
    <row r="145" spans="17:47" x14ac:dyDescent="0.25">
      <c r="Q145" s="12" t="s">
        <v>524</v>
      </c>
      <c r="R145" s="12" t="s">
        <v>118</v>
      </c>
      <c r="S145" s="12">
        <v>7.81</v>
      </c>
      <c r="T145" s="12">
        <v>8.93</v>
      </c>
      <c r="U145" s="12">
        <v>10.039999999999999</v>
      </c>
      <c r="V145" s="12">
        <f>CHOOSE(MATCH(Setup!$B$7,{"STD","Half-PPR","PPR"},0),S145,T145,U145)</f>
        <v>8.93</v>
      </c>
      <c r="W145" s="12">
        <f>COUNTIFS('Draft Board'!$X$2:$X$162,"&gt;="&amp;X145,'Draft Board'!$AB$2:$AB$162,1)</f>
        <v>19</v>
      </c>
      <c r="X145" s="12">
        <f>MAX(0,V145-'Live Calc'!$H$20)^'Live Calc'!$E$20</f>
        <v>0</v>
      </c>
      <c r="Y145" s="12">
        <v>145</v>
      </c>
      <c r="Z145" s="12">
        <f>IF(Y145&lt;&gt;_xlfn.MINIFS('Draft Board'!$Y$2:$Y$162,'Draft Board'!$X$2:$X$162,"="&amp;X145),0,IF(_xlfn.MINIFS('Draft Board'!$X$2:$X$162,'Draft Board'!$X$2:$X$162,"&gt;"&amp;X145)=0,1,IF((_xlfn.MINIFS('Draft Board'!$X$2:$X$162,'Draft Board'!$X$2:$X$162,"&gt;"&amp;X145)-X145)/_xlfn.MINIFS('Draft Board'!$X$2:$X$162,'Draft Board'!$X$2:$X$162,"&gt;"&amp;X145)&gt;0.08,1,0)))</f>
        <v>0</v>
      </c>
      <c r="AA145" s="12">
        <f>_xlfn.MINIFS('Draft Board'!$X$2:$X$162,'Draft Board'!$X$2:$X$162,"&gt;="&amp;X145,'Draft Board'!$Z$2:$Z$162,1)</f>
        <v>0</v>
      </c>
      <c r="AB145" s="12">
        <f>IF(Y145&lt;&gt;_xlfn.MINIFS('Draft Board'!$Y$2:$Y$162,'Draft Board'!$X$2:$X$162,"="&amp;X145),0,IF(OR(Z145=1,IFERROR(FLOOR((AA145-X145)/AA145/0.25,1),0)&lt;&gt;IFERROR(FLOOR((AA145-_xlfn.MINIFS('Draft Board'!$X$2:$X$162,'Draft Board'!$X$2:$X$162,"&gt;"&amp;X145))/AA145/0.25,1),0)),1,0))</f>
        <v>0</v>
      </c>
      <c r="AC145" s="12">
        <f>ROUND(1+X145*'Live Calc'!$D$27,0)</f>
        <v>1</v>
      </c>
      <c r="AD145" s="12"/>
      <c r="AE145" s="12">
        <f>IF(AD145&lt;&gt;"",AD145,ROUND(AC145*INDEX('Live Calc'!$G$96:$G$256,MATCH(W145,'Live Calc'!$A$96:$A$256,0))*'Live Calc'!$J$543,0))</f>
        <v>1</v>
      </c>
      <c r="AG145" s="13" t="s">
        <v>525</v>
      </c>
      <c r="AH145" s="13" t="s">
        <v>131</v>
      </c>
      <c r="AI145" s="13">
        <v>21.622</v>
      </c>
      <c r="AJ145" s="13">
        <v>28.076000000000001</v>
      </c>
      <c r="AK145" s="13">
        <v>35.277999999999999</v>
      </c>
      <c r="AL145" s="13">
        <f>CHOOSE(MATCH(Setup!$B$7,{"STD","Half-PPR","PPR"},0),AI145,AJ145,AK145)</f>
        <v>28.076000000000001</v>
      </c>
      <c r="AM145" s="13">
        <f>COUNTIFS('Draft Board'!$AN$2:$AN$192,"&gt;="&amp;AN145,'Draft Board'!$AR$2:$AR$192,1)</f>
        <v>22</v>
      </c>
      <c r="AN145" s="13">
        <f>MAX(0,AL145-'Live Calc'!$H$21)^'Live Calc'!$E$21</f>
        <v>0</v>
      </c>
      <c r="AO145" s="13">
        <v>145</v>
      </c>
      <c r="AP145" s="13">
        <f>IF(AO145&lt;&gt;_xlfn.MINIFS('Draft Board'!$AO$2:$AO$192,'Draft Board'!$AN$2:$AN$192,"="&amp;AN145),0,IF(_xlfn.MINIFS('Draft Board'!$AN$2:$AN$192,'Draft Board'!$AN$2:$AN$192,"&gt;"&amp;AN145)=0,1,IF((_xlfn.MINIFS('Draft Board'!$AN$2:$AN$192,'Draft Board'!$AN$2:$AN$192,"&gt;"&amp;AN145)-AN145)/_xlfn.MINIFS('Draft Board'!$AN$2:$AN$192,'Draft Board'!$AN$2:$AN$192,"&gt;"&amp;AN145)&gt;0.08,1,0)))</f>
        <v>0</v>
      </c>
      <c r="AQ145" s="13">
        <f>_xlfn.MINIFS('Draft Board'!$AN$2:$AN$192,'Draft Board'!$AN$2:$AN$192,"&gt;="&amp;AN145,'Draft Board'!$AP$2:$AP$192,1)</f>
        <v>0</v>
      </c>
      <c r="AR145" s="13">
        <f>IF(AO145&lt;&gt;_xlfn.MINIFS('Draft Board'!$AO$2:$AO$192,'Draft Board'!$AN$2:$AN$192,"="&amp;AN145),0,IF(OR(AP145=1,IFERROR(FLOOR((AQ145-AN145)/AQ145/0.25,1),0)&lt;&gt;IFERROR(FLOOR((AQ145-_xlfn.MINIFS('Draft Board'!$AN$2:$AN$192,'Draft Board'!$AN$2:$AN$192,"&gt;"&amp;AN145))/AQ145/0.25,1),0)),1,0))</f>
        <v>0</v>
      </c>
      <c r="AS145" s="13">
        <f>ROUND(1+AN145*'Live Calc'!$D$28,0)</f>
        <v>1</v>
      </c>
      <c r="AT145" s="13"/>
      <c r="AU145" s="13">
        <f>IF(AT145&lt;&gt;"",AT145,ROUND(AS145*INDEX('Live Calc'!$G$260:$G$450,MATCH(AM145,'Live Calc'!$A$260:$A$450,0))*'Live Calc'!$J$543,0))</f>
        <v>1</v>
      </c>
    </row>
    <row r="146" spans="17:47" x14ac:dyDescent="0.25">
      <c r="Q146" s="12" t="s">
        <v>526</v>
      </c>
      <c r="R146" s="12" t="s">
        <v>118</v>
      </c>
      <c r="S146" s="12">
        <v>5.81</v>
      </c>
      <c r="T146" s="12">
        <v>8.57</v>
      </c>
      <c r="U146" s="12">
        <v>11.32</v>
      </c>
      <c r="V146" s="12">
        <f>CHOOSE(MATCH(Setup!$B$7,{"STD","Half-PPR","PPR"},0),S146,T146,U146)</f>
        <v>8.57</v>
      </c>
      <c r="W146" s="12">
        <f>COUNTIFS('Draft Board'!$X$2:$X$162,"&gt;="&amp;X146,'Draft Board'!$AB$2:$AB$162,1)</f>
        <v>19</v>
      </c>
      <c r="X146" s="12">
        <f>MAX(0,V146-'Live Calc'!$H$20)^'Live Calc'!$E$20</f>
        <v>0</v>
      </c>
      <c r="Y146" s="12">
        <v>146</v>
      </c>
      <c r="Z146" s="12">
        <f>IF(Y146&lt;&gt;_xlfn.MINIFS('Draft Board'!$Y$2:$Y$162,'Draft Board'!$X$2:$X$162,"="&amp;X146),0,IF(_xlfn.MINIFS('Draft Board'!$X$2:$X$162,'Draft Board'!$X$2:$X$162,"&gt;"&amp;X146)=0,1,IF((_xlfn.MINIFS('Draft Board'!$X$2:$X$162,'Draft Board'!$X$2:$X$162,"&gt;"&amp;X146)-X146)/_xlfn.MINIFS('Draft Board'!$X$2:$X$162,'Draft Board'!$X$2:$X$162,"&gt;"&amp;X146)&gt;0.08,1,0)))</f>
        <v>0</v>
      </c>
      <c r="AA146" s="12">
        <f>_xlfn.MINIFS('Draft Board'!$X$2:$X$162,'Draft Board'!$X$2:$X$162,"&gt;="&amp;X146,'Draft Board'!$Z$2:$Z$162,1)</f>
        <v>0</v>
      </c>
      <c r="AB146" s="12">
        <f>IF(Y146&lt;&gt;_xlfn.MINIFS('Draft Board'!$Y$2:$Y$162,'Draft Board'!$X$2:$X$162,"="&amp;X146),0,IF(OR(Z146=1,IFERROR(FLOOR((AA146-X146)/AA146/0.25,1),0)&lt;&gt;IFERROR(FLOOR((AA146-_xlfn.MINIFS('Draft Board'!$X$2:$X$162,'Draft Board'!$X$2:$X$162,"&gt;"&amp;X146))/AA146/0.25,1),0)),1,0))</f>
        <v>0</v>
      </c>
      <c r="AC146" s="12">
        <f>ROUND(1+X146*'Live Calc'!$D$27,0)</f>
        <v>1</v>
      </c>
      <c r="AD146" s="12"/>
      <c r="AE146" s="12">
        <f>IF(AD146&lt;&gt;"",AD146,ROUND(AC146*INDEX('Live Calc'!$G$96:$G$256,MATCH(W146,'Live Calc'!$A$96:$A$256,0))*'Live Calc'!$J$543,0))</f>
        <v>1</v>
      </c>
      <c r="AG146" s="13" t="s">
        <v>527</v>
      </c>
      <c r="AH146" s="13" t="s">
        <v>63</v>
      </c>
      <c r="AI146" s="13">
        <v>20.13</v>
      </c>
      <c r="AJ146" s="13">
        <v>27.59</v>
      </c>
      <c r="AK146" s="13">
        <v>35.049999999999997</v>
      </c>
      <c r="AL146" s="13">
        <f>CHOOSE(MATCH(Setup!$B$7,{"STD","Half-PPR","PPR"},0),AI146,AJ146,AK146)</f>
        <v>27.59</v>
      </c>
      <c r="AM146" s="13">
        <f>COUNTIFS('Draft Board'!$AN$2:$AN$192,"&gt;="&amp;AN146,'Draft Board'!$AR$2:$AR$192,1)</f>
        <v>22</v>
      </c>
      <c r="AN146" s="13">
        <f>MAX(0,AL146-'Live Calc'!$H$21)^'Live Calc'!$E$21</f>
        <v>0</v>
      </c>
      <c r="AO146" s="13">
        <v>146</v>
      </c>
      <c r="AP146" s="13">
        <f>IF(AO146&lt;&gt;_xlfn.MINIFS('Draft Board'!$AO$2:$AO$192,'Draft Board'!$AN$2:$AN$192,"="&amp;AN146),0,IF(_xlfn.MINIFS('Draft Board'!$AN$2:$AN$192,'Draft Board'!$AN$2:$AN$192,"&gt;"&amp;AN146)=0,1,IF((_xlfn.MINIFS('Draft Board'!$AN$2:$AN$192,'Draft Board'!$AN$2:$AN$192,"&gt;"&amp;AN146)-AN146)/_xlfn.MINIFS('Draft Board'!$AN$2:$AN$192,'Draft Board'!$AN$2:$AN$192,"&gt;"&amp;AN146)&gt;0.08,1,0)))</f>
        <v>0</v>
      </c>
      <c r="AQ146" s="13">
        <f>_xlfn.MINIFS('Draft Board'!$AN$2:$AN$192,'Draft Board'!$AN$2:$AN$192,"&gt;="&amp;AN146,'Draft Board'!$AP$2:$AP$192,1)</f>
        <v>0</v>
      </c>
      <c r="AR146" s="13">
        <f>IF(AO146&lt;&gt;_xlfn.MINIFS('Draft Board'!$AO$2:$AO$192,'Draft Board'!$AN$2:$AN$192,"="&amp;AN146),0,IF(OR(AP146=1,IFERROR(FLOOR((AQ146-AN146)/AQ146/0.25,1),0)&lt;&gt;IFERROR(FLOOR((AQ146-_xlfn.MINIFS('Draft Board'!$AN$2:$AN$192,'Draft Board'!$AN$2:$AN$192,"&gt;"&amp;AN146))/AQ146/0.25,1),0)),1,0))</f>
        <v>0</v>
      </c>
      <c r="AS146" s="13">
        <f>ROUND(1+AN146*'Live Calc'!$D$28,0)</f>
        <v>1</v>
      </c>
      <c r="AT146" s="13"/>
      <c r="AU146" s="13">
        <f>IF(AT146&lt;&gt;"",AT146,ROUND(AS146*INDEX('Live Calc'!$G$260:$G$450,MATCH(AM146,'Live Calc'!$A$260:$A$450,0))*'Live Calc'!$J$543,0))</f>
        <v>1</v>
      </c>
    </row>
    <row r="147" spans="17:47" x14ac:dyDescent="0.25">
      <c r="Q147" s="12" t="s">
        <v>528</v>
      </c>
      <c r="R147" s="12" t="s">
        <v>111</v>
      </c>
      <c r="S147" s="12">
        <v>7.19</v>
      </c>
      <c r="T147" s="12">
        <v>8.41</v>
      </c>
      <c r="U147" s="12">
        <v>9.64</v>
      </c>
      <c r="V147" s="12">
        <f>CHOOSE(MATCH(Setup!$B$7,{"STD","Half-PPR","PPR"},0),S147,T147,U147)</f>
        <v>8.41</v>
      </c>
      <c r="W147" s="12">
        <f>COUNTIFS('Draft Board'!$X$2:$X$162,"&gt;="&amp;X147,'Draft Board'!$AB$2:$AB$162,1)</f>
        <v>19</v>
      </c>
      <c r="X147" s="12">
        <f>MAX(0,V147-'Live Calc'!$H$20)^'Live Calc'!$E$20</f>
        <v>0</v>
      </c>
      <c r="Y147" s="12">
        <v>147</v>
      </c>
      <c r="Z147" s="12">
        <f>IF(Y147&lt;&gt;_xlfn.MINIFS('Draft Board'!$Y$2:$Y$162,'Draft Board'!$X$2:$X$162,"="&amp;X147),0,IF(_xlfn.MINIFS('Draft Board'!$X$2:$X$162,'Draft Board'!$X$2:$X$162,"&gt;"&amp;X147)=0,1,IF((_xlfn.MINIFS('Draft Board'!$X$2:$X$162,'Draft Board'!$X$2:$X$162,"&gt;"&amp;X147)-X147)/_xlfn.MINIFS('Draft Board'!$X$2:$X$162,'Draft Board'!$X$2:$X$162,"&gt;"&amp;X147)&gt;0.08,1,0)))</f>
        <v>0</v>
      </c>
      <c r="AA147" s="12">
        <f>_xlfn.MINIFS('Draft Board'!$X$2:$X$162,'Draft Board'!$X$2:$X$162,"&gt;="&amp;X147,'Draft Board'!$Z$2:$Z$162,1)</f>
        <v>0</v>
      </c>
      <c r="AB147" s="12">
        <f>IF(Y147&lt;&gt;_xlfn.MINIFS('Draft Board'!$Y$2:$Y$162,'Draft Board'!$X$2:$X$162,"="&amp;X147),0,IF(OR(Z147=1,IFERROR(FLOOR((AA147-X147)/AA147/0.25,1),0)&lt;&gt;IFERROR(FLOOR((AA147-_xlfn.MINIFS('Draft Board'!$X$2:$X$162,'Draft Board'!$X$2:$X$162,"&gt;"&amp;X147))/AA147/0.25,1),0)),1,0))</f>
        <v>0</v>
      </c>
      <c r="AC147" s="12">
        <f>ROUND(1+X147*'Live Calc'!$D$27,0)</f>
        <v>1</v>
      </c>
      <c r="AD147" s="12"/>
      <c r="AE147" s="12">
        <f>IF(AD147&lt;&gt;"",AD147,ROUND(AC147*INDEX('Live Calc'!$G$96:$G$256,MATCH(W147,'Live Calc'!$A$96:$A$256,0))*'Live Calc'!$J$543,0))</f>
        <v>1</v>
      </c>
      <c r="AG147" s="13" t="s">
        <v>529</v>
      </c>
      <c r="AH147" s="13" t="s">
        <v>77</v>
      </c>
      <c r="AI147" s="13">
        <v>22.02</v>
      </c>
      <c r="AJ147" s="13">
        <v>27.414000000000001</v>
      </c>
      <c r="AK147" s="13">
        <v>32.78</v>
      </c>
      <c r="AL147" s="13">
        <f>CHOOSE(MATCH(Setup!$B$7,{"STD","Half-PPR","PPR"},0),AI147,AJ147,AK147)</f>
        <v>27.414000000000001</v>
      </c>
      <c r="AM147" s="13">
        <f>COUNTIFS('Draft Board'!$AN$2:$AN$192,"&gt;="&amp;AN147,'Draft Board'!$AR$2:$AR$192,1)</f>
        <v>22</v>
      </c>
      <c r="AN147" s="13">
        <f>MAX(0,AL147-'Live Calc'!$H$21)^'Live Calc'!$E$21</f>
        <v>0</v>
      </c>
      <c r="AO147" s="13">
        <v>147</v>
      </c>
      <c r="AP147" s="13">
        <f>IF(AO147&lt;&gt;_xlfn.MINIFS('Draft Board'!$AO$2:$AO$192,'Draft Board'!$AN$2:$AN$192,"="&amp;AN147),0,IF(_xlfn.MINIFS('Draft Board'!$AN$2:$AN$192,'Draft Board'!$AN$2:$AN$192,"&gt;"&amp;AN147)=0,1,IF((_xlfn.MINIFS('Draft Board'!$AN$2:$AN$192,'Draft Board'!$AN$2:$AN$192,"&gt;"&amp;AN147)-AN147)/_xlfn.MINIFS('Draft Board'!$AN$2:$AN$192,'Draft Board'!$AN$2:$AN$192,"&gt;"&amp;AN147)&gt;0.08,1,0)))</f>
        <v>0</v>
      </c>
      <c r="AQ147" s="13">
        <f>_xlfn.MINIFS('Draft Board'!$AN$2:$AN$192,'Draft Board'!$AN$2:$AN$192,"&gt;="&amp;AN147,'Draft Board'!$AP$2:$AP$192,1)</f>
        <v>0</v>
      </c>
      <c r="AR147" s="13">
        <f>IF(AO147&lt;&gt;_xlfn.MINIFS('Draft Board'!$AO$2:$AO$192,'Draft Board'!$AN$2:$AN$192,"="&amp;AN147),0,IF(OR(AP147=1,IFERROR(FLOOR((AQ147-AN147)/AQ147/0.25,1),0)&lt;&gt;IFERROR(FLOOR((AQ147-_xlfn.MINIFS('Draft Board'!$AN$2:$AN$192,'Draft Board'!$AN$2:$AN$192,"&gt;"&amp;AN147))/AQ147/0.25,1),0)),1,0))</f>
        <v>0</v>
      </c>
      <c r="AS147" s="13">
        <f>ROUND(1+AN147*'Live Calc'!$D$28,0)</f>
        <v>1</v>
      </c>
      <c r="AT147" s="13"/>
      <c r="AU147" s="13">
        <f>IF(AT147&lt;&gt;"",AT147,ROUND(AS147*INDEX('Live Calc'!$G$260:$G$450,MATCH(AM147,'Live Calc'!$A$260:$A$450,0))*'Live Calc'!$J$543,0))</f>
        <v>1</v>
      </c>
    </row>
    <row r="148" spans="17:47" x14ac:dyDescent="0.25">
      <c r="Q148" s="12" t="s">
        <v>530</v>
      </c>
      <c r="R148" s="12" t="s">
        <v>75</v>
      </c>
      <c r="S148" s="12">
        <v>6.31</v>
      </c>
      <c r="T148" s="12">
        <v>8.15</v>
      </c>
      <c r="U148" s="12">
        <v>9.98</v>
      </c>
      <c r="V148" s="12">
        <f>CHOOSE(MATCH(Setup!$B$7,{"STD","Half-PPR","PPR"},0),S148,T148,U148)</f>
        <v>8.15</v>
      </c>
      <c r="W148" s="12">
        <f>COUNTIFS('Draft Board'!$X$2:$X$162,"&gt;="&amp;X148,'Draft Board'!$AB$2:$AB$162,1)</f>
        <v>19</v>
      </c>
      <c r="X148" s="12">
        <f>MAX(0,V148-'Live Calc'!$H$20)^'Live Calc'!$E$20</f>
        <v>0</v>
      </c>
      <c r="Y148" s="12">
        <v>148</v>
      </c>
      <c r="Z148" s="12">
        <f>IF(Y148&lt;&gt;_xlfn.MINIFS('Draft Board'!$Y$2:$Y$162,'Draft Board'!$X$2:$X$162,"="&amp;X148),0,IF(_xlfn.MINIFS('Draft Board'!$X$2:$X$162,'Draft Board'!$X$2:$X$162,"&gt;"&amp;X148)=0,1,IF((_xlfn.MINIFS('Draft Board'!$X$2:$X$162,'Draft Board'!$X$2:$X$162,"&gt;"&amp;X148)-X148)/_xlfn.MINIFS('Draft Board'!$X$2:$X$162,'Draft Board'!$X$2:$X$162,"&gt;"&amp;X148)&gt;0.08,1,0)))</f>
        <v>0</v>
      </c>
      <c r="AA148" s="12">
        <f>_xlfn.MINIFS('Draft Board'!$X$2:$X$162,'Draft Board'!$X$2:$X$162,"&gt;="&amp;X148,'Draft Board'!$Z$2:$Z$162,1)</f>
        <v>0</v>
      </c>
      <c r="AB148" s="12">
        <f>IF(Y148&lt;&gt;_xlfn.MINIFS('Draft Board'!$Y$2:$Y$162,'Draft Board'!$X$2:$X$162,"="&amp;X148),0,IF(OR(Z148=1,IFERROR(FLOOR((AA148-X148)/AA148/0.25,1),0)&lt;&gt;IFERROR(FLOOR((AA148-_xlfn.MINIFS('Draft Board'!$X$2:$X$162,'Draft Board'!$X$2:$X$162,"&gt;"&amp;X148))/AA148/0.25,1),0)),1,0))</f>
        <v>0</v>
      </c>
      <c r="AC148" s="12">
        <f>ROUND(1+X148*'Live Calc'!$D$27,0)</f>
        <v>1</v>
      </c>
      <c r="AD148" s="12"/>
      <c r="AE148" s="12">
        <f>IF(AD148&lt;&gt;"",AD148,ROUND(AC148*INDEX('Live Calc'!$G$96:$G$256,MATCH(W148,'Live Calc'!$A$96:$A$256,0))*'Live Calc'!$J$543,0))</f>
        <v>1</v>
      </c>
      <c r="AG148" s="13" t="s">
        <v>531</v>
      </c>
      <c r="AH148" s="13" t="s">
        <v>120</v>
      </c>
      <c r="AI148" s="13">
        <v>19.940000000000001</v>
      </c>
      <c r="AJ148" s="13">
        <v>25.276</v>
      </c>
      <c r="AK148" s="13">
        <v>31.62</v>
      </c>
      <c r="AL148" s="13">
        <f>CHOOSE(MATCH(Setup!$B$7,{"STD","Half-PPR","PPR"},0),AI148,AJ148,AK148)</f>
        <v>25.276</v>
      </c>
      <c r="AM148" s="13">
        <f>COUNTIFS('Draft Board'!$AN$2:$AN$192,"&gt;="&amp;AN148,'Draft Board'!$AR$2:$AR$192,1)</f>
        <v>22</v>
      </c>
      <c r="AN148" s="13">
        <f>MAX(0,AL148-'Live Calc'!$H$21)^'Live Calc'!$E$21</f>
        <v>0</v>
      </c>
      <c r="AO148" s="13">
        <v>148</v>
      </c>
      <c r="AP148" s="13">
        <f>IF(AO148&lt;&gt;_xlfn.MINIFS('Draft Board'!$AO$2:$AO$192,'Draft Board'!$AN$2:$AN$192,"="&amp;AN148),0,IF(_xlfn.MINIFS('Draft Board'!$AN$2:$AN$192,'Draft Board'!$AN$2:$AN$192,"&gt;"&amp;AN148)=0,1,IF((_xlfn.MINIFS('Draft Board'!$AN$2:$AN$192,'Draft Board'!$AN$2:$AN$192,"&gt;"&amp;AN148)-AN148)/_xlfn.MINIFS('Draft Board'!$AN$2:$AN$192,'Draft Board'!$AN$2:$AN$192,"&gt;"&amp;AN148)&gt;0.08,1,0)))</f>
        <v>0</v>
      </c>
      <c r="AQ148" s="13">
        <f>_xlfn.MINIFS('Draft Board'!$AN$2:$AN$192,'Draft Board'!$AN$2:$AN$192,"&gt;="&amp;AN148,'Draft Board'!$AP$2:$AP$192,1)</f>
        <v>0</v>
      </c>
      <c r="AR148" s="13">
        <f>IF(AO148&lt;&gt;_xlfn.MINIFS('Draft Board'!$AO$2:$AO$192,'Draft Board'!$AN$2:$AN$192,"="&amp;AN148),0,IF(OR(AP148=1,IFERROR(FLOOR((AQ148-AN148)/AQ148/0.25,1),0)&lt;&gt;IFERROR(FLOOR((AQ148-_xlfn.MINIFS('Draft Board'!$AN$2:$AN$192,'Draft Board'!$AN$2:$AN$192,"&gt;"&amp;AN148))/AQ148/0.25,1),0)),1,0))</f>
        <v>0</v>
      </c>
      <c r="AS148" s="13">
        <f>ROUND(1+AN148*'Live Calc'!$D$28,0)</f>
        <v>1</v>
      </c>
      <c r="AT148" s="13"/>
      <c r="AU148" s="13">
        <f>IF(AT148&lt;&gt;"",AT148,ROUND(AS148*INDEX('Live Calc'!$G$260:$G$450,MATCH(AM148,'Live Calc'!$A$260:$A$450,0))*'Live Calc'!$J$543,0))</f>
        <v>1</v>
      </c>
    </row>
    <row r="149" spans="17:47" x14ac:dyDescent="0.25">
      <c r="Q149" s="12" t="s">
        <v>532</v>
      </c>
      <c r="R149" s="12" t="s">
        <v>65</v>
      </c>
      <c r="S149" s="12">
        <v>6.4</v>
      </c>
      <c r="T149" s="12">
        <v>7.4</v>
      </c>
      <c r="U149" s="12">
        <v>8.4</v>
      </c>
      <c r="V149" s="12">
        <f>CHOOSE(MATCH(Setup!$B$7,{"STD","Half-PPR","PPR"},0),S149,T149,U149)</f>
        <v>7.4</v>
      </c>
      <c r="W149" s="12">
        <f>COUNTIFS('Draft Board'!$X$2:$X$162,"&gt;="&amp;X149,'Draft Board'!$AB$2:$AB$162,1)</f>
        <v>19</v>
      </c>
      <c r="X149" s="12">
        <f>MAX(0,V149-'Live Calc'!$H$20)^'Live Calc'!$E$20</f>
        <v>0</v>
      </c>
      <c r="Y149" s="12">
        <v>149</v>
      </c>
      <c r="Z149" s="12">
        <f>IF(Y149&lt;&gt;_xlfn.MINIFS('Draft Board'!$Y$2:$Y$162,'Draft Board'!$X$2:$X$162,"="&amp;X149),0,IF(_xlfn.MINIFS('Draft Board'!$X$2:$X$162,'Draft Board'!$X$2:$X$162,"&gt;"&amp;X149)=0,1,IF((_xlfn.MINIFS('Draft Board'!$X$2:$X$162,'Draft Board'!$X$2:$X$162,"&gt;"&amp;X149)-X149)/_xlfn.MINIFS('Draft Board'!$X$2:$X$162,'Draft Board'!$X$2:$X$162,"&gt;"&amp;X149)&gt;0.08,1,0)))</f>
        <v>0</v>
      </c>
      <c r="AA149" s="12">
        <f>_xlfn.MINIFS('Draft Board'!$X$2:$X$162,'Draft Board'!$X$2:$X$162,"&gt;="&amp;X149,'Draft Board'!$Z$2:$Z$162,1)</f>
        <v>0</v>
      </c>
      <c r="AB149" s="12">
        <f>IF(Y149&lt;&gt;_xlfn.MINIFS('Draft Board'!$Y$2:$Y$162,'Draft Board'!$X$2:$X$162,"="&amp;X149),0,IF(OR(Z149=1,IFERROR(FLOOR((AA149-X149)/AA149/0.25,1),0)&lt;&gt;IFERROR(FLOOR((AA149-_xlfn.MINIFS('Draft Board'!$X$2:$X$162,'Draft Board'!$X$2:$X$162,"&gt;"&amp;X149))/AA149/0.25,1),0)),1,0))</f>
        <v>0</v>
      </c>
      <c r="AC149" s="12">
        <f>ROUND(1+X149*'Live Calc'!$D$27,0)</f>
        <v>1</v>
      </c>
      <c r="AD149" s="12"/>
      <c r="AE149" s="12">
        <f>IF(AD149&lt;&gt;"",AD149,ROUND(AC149*INDEX('Live Calc'!$G$96:$G$256,MATCH(W149,'Live Calc'!$A$96:$A$256,0))*'Live Calc'!$J$543,0))</f>
        <v>1</v>
      </c>
      <c r="AG149" s="13" t="s">
        <v>533</v>
      </c>
      <c r="AH149" s="13" t="s">
        <v>164</v>
      </c>
      <c r="AI149" s="13">
        <v>19.59</v>
      </c>
      <c r="AJ149" s="13">
        <v>25.03</v>
      </c>
      <c r="AK149" s="13">
        <v>30.46</v>
      </c>
      <c r="AL149" s="13">
        <f>CHOOSE(MATCH(Setup!$B$7,{"STD","Half-PPR","PPR"},0),AI149,AJ149,AK149)</f>
        <v>25.03</v>
      </c>
      <c r="AM149" s="13">
        <f>COUNTIFS('Draft Board'!$AN$2:$AN$192,"&gt;="&amp;AN149,'Draft Board'!$AR$2:$AR$192,1)</f>
        <v>22</v>
      </c>
      <c r="AN149" s="13">
        <f>MAX(0,AL149-'Live Calc'!$H$21)^'Live Calc'!$E$21</f>
        <v>0</v>
      </c>
      <c r="AO149" s="13">
        <v>149</v>
      </c>
      <c r="AP149" s="13">
        <f>IF(AO149&lt;&gt;_xlfn.MINIFS('Draft Board'!$AO$2:$AO$192,'Draft Board'!$AN$2:$AN$192,"="&amp;AN149),0,IF(_xlfn.MINIFS('Draft Board'!$AN$2:$AN$192,'Draft Board'!$AN$2:$AN$192,"&gt;"&amp;AN149)=0,1,IF((_xlfn.MINIFS('Draft Board'!$AN$2:$AN$192,'Draft Board'!$AN$2:$AN$192,"&gt;"&amp;AN149)-AN149)/_xlfn.MINIFS('Draft Board'!$AN$2:$AN$192,'Draft Board'!$AN$2:$AN$192,"&gt;"&amp;AN149)&gt;0.08,1,0)))</f>
        <v>0</v>
      </c>
      <c r="AQ149" s="13">
        <f>_xlfn.MINIFS('Draft Board'!$AN$2:$AN$192,'Draft Board'!$AN$2:$AN$192,"&gt;="&amp;AN149,'Draft Board'!$AP$2:$AP$192,1)</f>
        <v>0</v>
      </c>
      <c r="AR149" s="13">
        <f>IF(AO149&lt;&gt;_xlfn.MINIFS('Draft Board'!$AO$2:$AO$192,'Draft Board'!$AN$2:$AN$192,"="&amp;AN149),0,IF(OR(AP149=1,IFERROR(FLOOR((AQ149-AN149)/AQ149/0.25,1),0)&lt;&gt;IFERROR(FLOOR((AQ149-_xlfn.MINIFS('Draft Board'!$AN$2:$AN$192,'Draft Board'!$AN$2:$AN$192,"&gt;"&amp;AN149))/AQ149/0.25,1),0)),1,0))</f>
        <v>0</v>
      </c>
      <c r="AS149" s="13">
        <f>ROUND(1+AN149*'Live Calc'!$D$28,0)</f>
        <v>1</v>
      </c>
      <c r="AT149" s="13"/>
      <c r="AU149" s="13">
        <f>IF(AT149&lt;&gt;"",AT149,ROUND(AS149*INDEX('Live Calc'!$G$260:$G$450,MATCH(AM149,'Live Calc'!$A$260:$A$450,0))*'Live Calc'!$J$543,0))</f>
        <v>1</v>
      </c>
    </row>
    <row r="150" spans="17:47" x14ac:dyDescent="0.25">
      <c r="Q150" s="12" t="s">
        <v>534</v>
      </c>
      <c r="R150" s="12" t="s">
        <v>73</v>
      </c>
      <c r="S150" s="12">
        <v>6.46</v>
      </c>
      <c r="T150" s="12">
        <v>7.25</v>
      </c>
      <c r="U150" s="12">
        <v>8.0299999999999994</v>
      </c>
      <c r="V150" s="12">
        <f>CHOOSE(MATCH(Setup!$B$7,{"STD","Half-PPR","PPR"},0),S150,T150,U150)</f>
        <v>7.25</v>
      </c>
      <c r="W150" s="12">
        <f>COUNTIFS('Draft Board'!$X$2:$X$162,"&gt;="&amp;X150,'Draft Board'!$AB$2:$AB$162,1)</f>
        <v>19</v>
      </c>
      <c r="X150" s="12">
        <f>MAX(0,V150-'Live Calc'!$H$20)^'Live Calc'!$E$20</f>
        <v>0</v>
      </c>
      <c r="Y150" s="12">
        <v>150</v>
      </c>
      <c r="Z150" s="12">
        <f>IF(Y150&lt;&gt;_xlfn.MINIFS('Draft Board'!$Y$2:$Y$162,'Draft Board'!$X$2:$X$162,"="&amp;X150),0,IF(_xlfn.MINIFS('Draft Board'!$X$2:$X$162,'Draft Board'!$X$2:$X$162,"&gt;"&amp;X150)=0,1,IF((_xlfn.MINIFS('Draft Board'!$X$2:$X$162,'Draft Board'!$X$2:$X$162,"&gt;"&amp;X150)-X150)/_xlfn.MINIFS('Draft Board'!$X$2:$X$162,'Draft Board'!$X$2:$X$162,"&gt;"&amp;X150)&gt;0.08,1,0)))</f>
        <v>0</v>
      </c>
      <c r="AA150" s="12">
        <f>_xlfn.MINIFS('Draft Board'!$X$2:$X$162,'Draft Board'!$X$2:$X$162,"&gt;="&amp;X150,'Draft Board'!$Z$2:$Z$162,1)</f>
        <v>0</v>
      </c>
      <c r="AB150" s="12">
        <f>IF(Y150&lt;&gt;_xlfn.MINIFS('Draft Board'!$Y$2:$Y$162,'Draft Board'!$X$2:$X$162,"="&amp;X150),0,IF(OR(Z150=1,IFERROR(FLOOR((AA150-X150)/AA150/0.25,1),0)&lt;&gt;IFERROR(FLOOR((AA150-_xlfn.MINIFS('Draft Board'!$X$2:$X$162,'Draft Board'!$X$2:$X$162,"&gt;"&amp;X150))/AA150/0.25,1),0)),1,0))</f>
        <v>0</v>
      </c>
      <c r="AC150" s="12">
        <f>ROUND(1+X150*'Live Calc'!$D$27,0)</f>
        <v>1</v>
      </c>
      <c r="AD150" s="12"/>
      <c r="AE150" s="12">
        <f>IF(AD150&lt;&gt;"",AD150,ROUND(AC150*INDEX('Live Calc'!$G$96:$G$256,MATCH(W150,'Live Calc'!$A$96:$A$256,0))*'Live Calc'!$J$543,0))</f>
        <v>1</v>
      </c>
      <c r="AG150" s="13" t="s">
        <v>535</v>
      </c>
      <c r="AH150" s="13" t="s">
        <v>284</v>
      </c>
      <c r="AI150" s="13">
        <v>18.36</v>
      </c>
      <c r="AJ150" s="13">
        <v>24.31</v>
      </c>
      <c r="AK150" s="13">
        <v>30.26</v>
      </c>
      <c r="AL150" s="13">
        <f>CHOOSE(MATCH(Setup!$B$7,{"STD","Half-PPR","PPR"},0),AI150,AJ150,AK150)</f>
        <v>24.31</v>
      </c>
      <c r="AM150" s="13">
        <f>COUNTIFS('Draft Board'!$AN$2:$AN$192,"&gt;="&amp;AN150,'Draft Board'!$AR$2:$AR$192,1)</f>
        <v>22</v>
      </c>
      <c r="AN150" s="13">
        <f>MAX(0,AL150-'Live Calc'!$H$21)^'Live Calc'!$E$21</f>
        <v>0</v>
      </c>
      <c r="AO150" s="13">
        <v>150</v>
      </c>
      <c r="AP150" s="13">
        <f>IF(AO150&lt;&gt;_xlfn.MINIFS('Draft Board'!$AO$2:$AO$192,'Draft Board'!$AN$2:$AN$192,"="&amp;AN150),0,IF(_xlfn.MINIFS('Draft Board'!$AN$2:$AN$192,'Draft Board'!$AN$2:$AN$192,"&gt;"&amp;AN150)=0,1,IF((_xlfn.MINIFS('Draft Board'!$AN$2:$AN$192,'Draft Board'!$AN$2:$AN$192,"&gt;"&amp;AN150)-AN150)/_xlfn.MINIFS('Draft Board'!$AN$2:$AN$192,'Draft Board'!$AN$2:$AN$192,"&gt;"&amp;AN150)&gt;0.08,1,0)))</f>
        <v>0</v>
      </c>
      <c r="AQ150" s="13">
        <f>_xlfn.MINIFS('Draft Board'!$AN$2:$AN$192,'Draft Board'!$AN$2:$AN$192,"&gt;="&amp;AN150,'Draft Board'!$AP$2:$AP$192,1)</f>
        <v>0</v>
      </c>
      <c r="AR150" s="13">
        <f>IF(AO150&lt;&gt;_xlfn.MINIFS('Draft Board'!$AO$2:$AO$192,'Draft Board'!$AN$2:$AN$192,"="&amp;AN150),0,IF(OR(AP150=1,IFERROR(FLOOR((AQ150-AN150)/AQ150/0.25,1),0)&lt;&gt;IFERROR(FLOOR((AQ150-_xlfn.MINIFS('Draft Board'!$AN$2:$AN$192,'Draft Board'!$AN$2:$AN$192,"&gt;"&amp;AN150))/AQ150/0.25,1),0)),1,0))</f>
        <v>0</v>
      </c>
      <c r="AS150" s="13">
        <f>ROUND(1+AN150*'Live Calc'!$D$28,0)</f>
        <v>1</v>
      </c>
      <c r="AT150" s="13"/>
      <c r="AU150" s="13">
        <f>IF(AT150&lt;&gt;"",AT150,ROUND(AS150*INDEX('Live Calc'!$G$260:$G$450,MATCH(AM150,'Live Calc'!$A$260:$A$450,0))*'Live Calc'!$J$543,0))</f>
        <v>1</v>
      </c>
    </row>
    <row r="151" spans="17:47" x14ac:dyDescent="0.25">
      <c r="Q151" s="12" t="s">
        <v>536</v>
      </c>
      <c r="R151" s="12" t="s">
        <v>139</v>
      </c>
      <c r="S151" s="12">
        <v>5.21</v>
      </c>
      <c r="T151" s="12">
        <v>6.61</v>
      </c>
      <c r="U151" s="12">
        <v>8.01</v>
      </c>
      <c r="V151" s="12">
        <f>CHOOSE(MATCH(Setup!$B$7,{"STD","Half-PPR","PPR"},0),S151,T151,U151)</f>
        <v>6.61</v>
      </c>
      <c r="W151" s="12">
        <f>COUNTIFS('Draft Board'!$X$2:$X$162,"&gt;="&amp;X151,'Draft Board'!$AB$2:$AB$162,1)</f>
        <v>19</v>
      </c>
      <c r="X151" s="12">
        <f>MAX(0,V151-'Live Calc'!$H$20)^'Live Calc'!$E$20</f>
        <v>0</v>
      </c>
      <c r="Y151" s="12">
        <v>151</v>
      </c>
      <c r="Z151" s="12">
        <f>IF(Y151&lt;&gt;_xlfn.MINIFS('Draft Board'!$Y$2:$Y$162,'Draft Board'!$X$2:$X$162,"="&amp;X151),0,IF(_xlfn.MINIFS('Draft Board'!$X$2:$X$162,'Draft Board'!$X$2:$X$162,"&gt;"&amp;X151)=0,1,IF((_xlfn.MINIFS('Draft Board'!$X$2:$X$162,'Draft Board'!$X$2:$X$162,"&gt;"&amp;X151)-X151)/_xlfn.MINIFS('Draft Board'!$X$2:$X$162,'Draft Board'!$X$2:$X$162,"&gt;"&amp;X151)&gt;0.08,1,0)))</f>
        <v>0</v>
      </c>
      <c r="AA151" s="12">
        <f>_xlfn.MINIFS('Draft Board'!$X$2:$X$162,'Draft Board'!$X$2:$X$162,"&gt;="&amp;X151,'Draft Board'!$Z$2:$Z$162,1)</f>
        <v>0</v>
      </c>
      <c r="AB151" s="12">
        <f>IF(Y151&lt;&gt;_xlfn.MINIFS('Draft Board'!$Y$2:$Y$162,'Draft Board'!$X$2:$X$162,"="&amp;X151),0,IF(OR(Z151=1,IFERROR(FLOOR((AA151-X151)/AA151/0.25,1),0)&lt;&gt;IFERROR(FLOOR((AA151-_xlfn.MINIFS('Draft Board'!$X$2:$X$162,'Draft Board'!$X$2:$X$162,"&gt;"&amp;X151))/AA151/0.25,1),0)),1,0))</f>
        <v>0</v>
      </c>
      <c r="AC151" s="12">
        <f>ROUND(1+X151*'Live Calc'!$D$27,0)</f>
        <v>1</v>
      </c>
      <c r="AD151" s="12"/>
      <c r="AE151" s="12">
        <f>IF(AD151&lt;&gt;"",AD151,ROUND(AC151*INDEX('Live Calc'!$G$96:$G$256,MATCH(W151,'Live Calc'!$A$96:$A$256,0))*'Live Calc'!$J$543,0))</f>
        <v>1</v>
      </c>
      <c r="AG151" s="13" t="s">
        <v>537</v>
      </c>
      <c r="AH151" s="13" t="s">
        <v>153</v>
      </c>
      <c r="AI151" s="13">
        <v>18.23</v>
      </c>
      <c r="AJ151" s="13">
        <v>24.28</v>
      </c>
      <c r="AK151" s="13">
        <v>30.33</v>
      </c>
      <c r="AL151" s="13">
        <f>CHOOSE(MATCH(Setup!$B$7,{"STD","Half-PPR","PPR"},0),AI151,AJ151,AK151)</f>
        <v>24.28</v>
      </c>
      <c r="AM151" s="13">
        <f>COUNTIFS('Draft Board'!$AN$2:$AN$192,"&gt;="&amp;AN151,'Draft Board'!$AR$2:$AR$192,1)</f>
        <v>22</v>
      </c>
      <c r="AN151" s="13">
        <f>MAX(0,AL151-'Live Calc'!$H$21)^'Live Calc'!$E$21</f>
        <v>0</v>
      </c>
      <c r="AO151" s="13">
        <v>151</v>
      </c>
      <c r="AP151" s="13">
        <f>IF(AO151&lt;&gt;_xlfn.MINIFS('Draft Board'!$AO$2:$AO$192,'Draft Board'!$AN$2:$AN$192,"="&amp;AN151),0,IF(_xlfn.MINIFS('Draft Board'!$AN$2:$AN$192,'Draft Board'!$AN$2:$AN$192,"&gt;"&amp;AN151)=0,1,IF((_xlfn.MINIFS('Draft Board'!$AN$2:$AN$192,'Draft Board'!$AN$2:$AN$192,"&gt;"&amp;AN151)-AN151)/_xlfn.MINIFS('Draft Board'!$AN$2:$AN$192,'Draft Board'!$AN$2:$AN$192,"&gt;"&amp;AN151)&gt;0.08,1,0)))</f>
        <v>0</v>
      </c>
      <c r="AQ151" s="13">
        <f>_xlfn.MINIFS('Draft Board'!$AN$2:$AN$192,'Draft Board'!$AN$2:$AN$192,"&gt;="&amp;AN151,'Draft Board'!$AP$2:$AP$192,1)</f>
        <v>0</v>
      </c>
      <c r="AR151" s="13">
        <f>IF(AO151&lt;&gt;_xlfn.MINIFS('Draft Board'!$AO$2:$AO$192,'Draft Board'!$AN$2:$AN$192,"="&amp;AN151),0,IF(OR(AP151=1,IFERROR(FLOOR((AQ151-AN151)/AQ151/0.25,1),0)&lt;&gt;IFERROR(FLOOR((AQ151-_xlfn.MINIFS('Draft Board'!$AN$2:$AN$192,'Draft Board'!$AN$2:$AN$192,"&gt;"&amp;AN151))/AQ151/0.25,1),0)),1,0))</f>
        <v>0</v>
      </c>
      <c r="AS151" s="13">
        <f>ROUND(1+AN151*'Live Calc'!$D$28,0)</f>
        <v>1</v>
      </c>
      <c r="AT151" s="13"/>
      <c r="AU151" s="13">
        <f>IF(AT151&lt;&gt;"",AT151,ROUND(AS151*INDEX('Live Calc'!$G$260:$G$450,MATCH(AM151,'Live Calc'!$A$260:$A$450,0))*'Live Calc'!$J$543,0))</f>
        <v>1</v>
      </c>
    </row>
    <row r="152" spans="17:47" x14ac:dyDescent="0.25">
      <c r="Q152" s="12" t="s">
        <v>538</v>
      </c>
      <c r="R152" s="12" t="s">
        <v>63</v>
      </c>
      <c r="S152" s="12">
        <v>6.03</v>
      </c>
      <c r="T152" s="12">
        <v>6.56</v>
      </c>
      <c r="U152" s="12">
        <v>7.09</v>
      </c>
      <c r="V152" s="12">
        <f>CHOOSE(MATCH(Setup!$B$7,{"STD","Half-PPR","PPR"},0),S152,T152,U152)</f>
        <v>6.56</v>
      </c>
      <c r="W152" s="12">
        <f>COUNTIFS('Draft Board'!$X$2:$X$162,"&gt;="&amp;X152,'Draft Board'!$AB$2:$AB$162,1)</f>
        <v>19</v>
      </c>
      <c r="X152" s="12">
        <f>MAX(0,V152-'Live Calc'!$H$20)^'Live Calc'!$E$20</f>
        <v>0</v>
      </c>
      <c r="Y152" s="12">
        <v>152</v>
      </c>
      <c r="Z152" s="12">
        <f>IF(Y152&lt;&gt;_xlfn.MINIFS('Draft Board'!$Y$2:$Y$162,'Draft Board'!$X$2:$X$162,"="&amp;X152),0,IF(_xlfn.MINIFS('Draft Board'!$X$2:$X$162,'Draft Board'!$X$2:$X$162,"&gt;"&amp;X152)=0,1,IF((_xlfn.MINIFS('Draft Board'!$X$2:$X$162,'Draft Board'!$X$2:$X$162,"&gt;"&amp;X152)-X152)/_xlfn.MINIFS('Draft Board'!$X$2:$X$162,'Draft Board'!$X$2:$X$162,"&gt;"&amp;X152)&gt;0.08,1,0)))</f>
        <v>0</v>
      </c>
      <c r="AA152" s="12">
        <f>_xlfn.MINIFS('Draft Board'!$X$2:$X$162,'Draft Board'!$X$2:$X$162,"&gt;="&amp;X152,'Draft Board'!$Z$2:$Z$162,1)</f>
        <v>0</v>
      </c>
      <c r="AB152" s="12">
        <f>IF(Y152&lt;&gt;_xlfn.MINIFS('Draft Board'!$Y$2:$Y$162,'Draft Board'!$X$2:$X$162,"="&amp;X152),0,IF(OR(Z152=1,IFERROR(FLOOR((AA152-X152)/AA152/0.25,1),0)&lt;&gt;IFERROR(FLOOR((AA152-_xlfn.MINIFS('Draft Board'!$X$2:$X$162,'Draft Board'!$X$2:$X$162,"&gt;"&amp;X152))/AA152/0.25,1),0)),1,0))</f>
        <v>0</v>
      </c>
      <c r="AC152" s="12">
        <f>ROUND(1+X152*'Live Calc'!$D$27,0)</f>
        <v>1</v>
      </c>
      <c r="AD152" s="12"/>
      <c r="AE152" s="12">
        <f>IF(AD152&lt;&gt;"",AD152,ROUND(AC152*INDEX('Live Calc'!$G$96:$G$256,MATCH(W152,'Live Calc'!$A$96:$A$256,0))*'Live Calc'!$J$543,0))</f>
        <v>1</v>
      </c>
      <c r="AG152" s="13" t="s">
        <v>539</v>
      </c>
      <c r="AH152" s="13" t="s">
        <v>284</v>
      </c>
      <c r="AI152" s="13">
        <v>18.8</v>
      </c>
      <c r="AJ152" s="13">
        <v>23.8</v>
      </c>
      <c r="AK152" s="13">
        <v>28.8</v>
      </c>
      <c r="AL152" s="13">
        <f>CHOOSE(MATCH(Setup!$B$7,{"STD","Half-PPR","PPR"},0),AI152,AJ152,AK152)</f>
        <v>23.8</v>
      </c>
      <c r="AM152" s="13">
        <f>COUNTIFS('Draft Board'!$AN$2:$AN$192,"&gt;="&amp;AN152,'Draft Board'!$AR$2:$AR$192,1)</f>
        <v>22</v>
      </c>
      <c r="AN152" s="13">
        <f>MAX(0,AL152-'Live Calc'!$H$21)^'Live Calc'!$E$21</f>
        <v>0</v>
      </c>
      <c r="AO152" s="13">
        <v>152</v>
      </c>
      <c r="AP152" s="13">
        <f>IF(AO152&lt;&gt;_xlfn.MINIFS('Draft Board'!$AO$2:$AO$192,'Draft Board'!$AN$2:$AN$192,"="&amp;AN152),0,IF(_xlfn.MINIFS('Draft Board'!$AN$2:$AN$192,'Draft Board'!$AN$2:$AN$192,"&gt;"&amp;AN152)=0,1,IF((_xlfn.MINIFS('Draft Board'!$AN$2:$AN$192,'Draft Board'!$AN$2:$AN$192,"&gt;"&amp;AN152)-AN152)/_xlfn.MINIFS('Draft Board'!$AN$2:$AN$192,'Draft Board'!$AN$2:$AN$192,"&gt;"&amp;AN152)&gt;0.08,1,0)))</f>
        <v>0</v>
      </c>
      <c r="AQ152" s="13">
        <f>_xlfn.MINIFS('Draft Board'!$AN$2:$AN$192,'Draft Board'!$AN$2:$AN$192,"&gt;="&amp;AN152,'Draft Board'!$AP$2:$AP$192,1)</f>
        <v>0</v>
      </c>
      <c r="AR152" s="13">
        <f>IF(AO152&lt;&gt;_xlfn.MINIFS('Draft Board'!$AO$2:$AO$192,'Draft Board'!$AN$2:$AN$192,"="&amp;AN152),0,IF(OR(AP152=1,IFERROR(FLOOR((AQ152-AN152)/AQ152/0.25,1),0)&lt;&gt;IFERROR(FLOOR((AQ152-_xlfn.MINIFS('Draft Board'!$AN$2:$AN$192,'Draft Board'!$AN$2:$AN$192,"&gt;"&amp;AN152))/AQ152/0.25,1),0)),1,0))</f>
        <v>0</v>
      </c>
      <c r="AS152" s="13">
        <f>ROUND(1+AN152*'Live Calc'!$D$28,0)</f>
        <v>1</v>
      </c>
      <c r="AT152" s="13"/>
      <c r="AU152" s="13">
        <f>IF(AT152&lt;&gt;"",AT152,ROUND(AS152*INDEX('Live Calc'!$G$260:$G$450,MATCH(AM152,'Live Calc'!$A$260:$A$450,0))*'Live Calc'!$J$543,0))</f>
        <v>1</v>
      </c>
    </row>
    <row r="153" spans="17:47" x14ac:dyDescent="0.25">
      <c r="Q153" s="12" t="s">
        <v>540</v>
      </c>
      <c r="R153" s="12" t="s">
        <v>118</v>
      </c>
      <c r="S153" s="12">
        <v>4.8499999999999996</v>
      </c>
      <c r="T153" s="12">
        <v>6.46</v>
      </c>
      <c r="U153" s="12">
        <v>8.08</v>
      </c>
      <c r="V153" s="12">
        <f>CHOOSE(MATCH(Setup!$B$7,{"STD","Half-PPR","PPR"},0),S153,T153,U153)</f>
        <v>6.46</v>
      </c>
      <c r="W153" s="12">
        <f>COUNTIFS('Draft Board'!$X$2:$X$162,"&gt;="&amp;X153,'Draft Board'!$AB$2:$AB$162,1)</f>
        <v>19</v>
      </c>
      <c r="X153" s="12">
        <f>MAX(0,V153-'Live Calc'!$H$20)^'Live Calc'!$E$20</f>
        <v>0</v>
      </c>
      <c r="Y153" s="12">
        <v>153</v>
      </c>
      <c r="Z153" s="12">
        <f>IF(Y153&lt;&gt;_xlfn.MINIFS('Draft Board'!$Y$2:$Y$162,'Draft Board'!$X$2:$X$162,"="&amp;X153),0,IF(_xlfn.MINIFS('Draft Board'!$X$2:$X$162,'Draft Board'!$X$2:$X$162,"&gt;"&amp;X153)=0,1,IF((_xlfn.MINIFS('Draft Board'!$X$2:$X$162,'Draft Board'!$X$2:$X$162,"&gt;"&amp;X153)-X153)/_xlfn.MINIFS('Draft Board'!$X$2:$X$162,'Draft Board'!$X$2:$X$162,"&gt;"&amp;X153)&gt;0.08,1,0)))</f>
        <v>0</v>
      </c>
      <c r="AA153" s="12">
        <f>_xlfn.MINIFS('Draft Board'!$X$2:$X$162,'Draft Board'!$X$2:$X$162,"&gt;="&amp;X153,'Draft Board'!$Z$2:$Z$162,1)</f>
        <v>0</v>
      </c>
      <c r="AB153" s="12">
        <f>IF(Y153&lt;&gt;_xlfn.MINIFS('Draft Board'!$Y$2:$Y$162,'Draft Board'!$X$2:$X$162,"="&amp;X153),0,IF(OR(Z153=1,IFERROR(FLOOR((AA153-X153)/AA153/0.25,1),0)&lt;&gt;IFERROR(FLOOR((AA153-_xlfn.MINIFS('Draft Board'!$X$2:$X$162,'Draft Board'!$X$2:$X$162,"&gt;"&amp;X153))/AA153/0.25,1),0)),1,0))</f>
        <v>0</v>
      </c>
      <c r="AC153" s="12">
        <f>ROUND(1+X153*'Live Calc'!$D$27,0)</f>
        <v>1</v>
      </c>
      <c r="AD153" s="12"/>
      <c r="AE153" s="12">
        <f>IF(AD153&lt;&gt;"",AD153,ROUND(AC153*INDEX('Live Calc'!$G$96:$G$256,MATCH(W153,'Live Calc'!$A$96:$A$256,0))*'Live Calc'!$J$543,0))</f>
        <v>1</v>
      </c>
      <c r="AG153" s="13" t="s">
        <v>541</v>
      </c>
      <c r="AH153" s="13" t="s">
        <v>284</v>
      </c>
      <c r="AI153" s="13">
        <v>17.3</v>
      </c>
      <c r="AJ153" s="13">
        <v>22.8</v>
      </c>
      <c r="AK153" s="13">
        <v>28.3</v>
      </c>
      <c r="AL153" s="13">
        <f>CHOOSE(MATCH(Setup!$B$7,{"STD","Half-PPR","PPR"},0),AI153,AJ153,AK153)</f>
        <v>22.8</v>
      </c>
      <c r="AM153" s="13">
        <f>COUNTIFS('Draft Board'!$AN$2:$AN$192,"&gt;="&amp;AN153,'Draft Board'!$AR$2:$AR$192,1)</f>
        <v>22</v>
      </c>
      <c r="AN153" s="13">
        <f>MAX(0,AL153-'Live Calc'!$H$21)^'Live Calc'!$E$21</f>
        <v>0</v>
      </c>
      <c r="AO153" s="13">
        <v>153</v>
      </c>
      <c r="AP153" s="13">
        <f>IF(AO153&lt;&gt;_xlfn.MINIFS('Draft Board'!$AO$2:$AO$192,'Draft Board'!$AN$2:$AN$192,"="&amp;AN153),0,IF(_xlfn.MINIFS('Draft Board'!$AN$2:$AN$192,'Draft Board'!$AN$2:$AN$192,"&gt;"&amp;AN153)=0,1,IF((_xlfn.MINIFS('Draft Board'!$AN$2:$AN$192,'Draft Board'!$AN$2:$AN$192,"&gt;"&amp;AN153)-AN153)/_xlfn.MINIFS('Draft Board'!$AN$2:$AN$192,'Draft Board'!$AN$2:$AN$192,"&gt;"&amp;AN153)&gt;0.08,1,0)))</f>
        <v>0</v>
      </c>
      <c r="AQ153" s="13">
        <f>_xlfn.MINIFS('Draft Board'!$AN$2:$AN$192,'Draft Board'!$AN$2:$AN$192,"&gt;="&amp;AN153,'Draft Board'!$AP$2:$AP$192,1)</f>
        <v>0</v>
      </c>
      <c r="AR153" s="13">
        <f>IF(AO153&lt;&gt;_xlfn.MINIFS('Draft Board'!$AO$2:$AO$192,'Draft Board'!$AN$2:$AN$192,"="&amp;AN153),0,IF(OR(AP153=1,IFERROR(FLOOR((AQ153-AN153)/AQ153/0.25,1),0)&lt;&gt;IFERROR(FLOOR((AQ153-_xlfn.MINIFS('Draft Board'!$AN$2:$AN$192,'Draft Board'!$AN$2:$AN$192,"&gt;"&amp;AN153))/AQ153/0.25,1),0)),1,0))</f>
        <v>0</v>
      </c>
      <c r="AS153" s="13">
        <f>ROUND(1+AN153*'Live Calc'!$D$28,0)</f>
        <v>1</v>
      </c>
      <c r="AT153" s="13"/>
      <c r="AU153" s="13">
        <f>IF(AT153&lt;&gt;"",AT153,ROUND(AS153*INDEX('Live Calc'!$G$260:$G$450,MATCH(AM153,'Live Calc'!$A$260:$A$450,0))*'Live Calc'!$J$543,0))</f>
        <v>1</v>
      </c>
    </row>
    <row r="154" spans="17:47" x14ac:dyDescent="0.25">
      <c r="Q154" s="12" t="s">
        <v>542</v>
      </c>
      <c r="R154" s="12" t="s">
        <v>125</v>
      </c>
      <c r="S154" s="12">
        <v>6.2</v>
      </c>
      <c r="T154" s="12">
        <v>6.45</v>
      </c>
      <c r="U154" s="12">
        <v>6.7</v>
      </c>
      <c r="V154" s="12">
        <f>CHOOSE(MATCH(Setup!$B$7,{"STD","Half-PPR","PPR"},0),S154,T154,U154)</f>
        <v>6.45</v>
      </c>
      <c r="W154" s="12">
        <f>COUNTIFS('Draft Board'!$X$2:$X$162,"&gt;="&amp;X154,'Draft Board'!$AB$2:$AB$162,1)</f>
        <v>19</v>
      </c>
      <c r="X154" s="12">
        <f>MAX(0,V154-'Live Calc'!$H$20)^'Live Calc'!$E$20</f>
        <v>0</v>
      </c>
      <c r="Y154" s="12">
        <v>154</v>
      </c>
      <c r="Z154" s="12">
        <f>IF(Y154&lt;&gt;_xlfn.MINIFS('Draft Board'!$Y$2:$Y$162,'Draft Board'!$X$2:$X$162,"="&amp;X154),0,IF(_xlfn.MINIFS('Draft Board'!$X$2:$X$162,'Draft Board'!$X$2:$X$162,"&gt;"&amp;X154)=0,1,IF((_xlfn.MINIFS('Draft Board'!$X$2:$X$162,'Draft Board'!$X$2:$X$162,"&gt;"&amp;X154)-X154)/_xlfn.MINIFS('Draft Board'!$X$2:$X$162,'Draft Board'!$X$2:$X$162,"&gt;"&amp;X154)&gt;0.08,1,0)))</f>
        <v>0</v>
      </c>
      <c r="AA154" s="12">
        <f>_xlfn.MINIFS('Draft Board'!$X$2:$X$162,'Draft Board'!$X$2:$X$162,"&gt;="&amp;X154,'Draft Board'!$Z$2:$Z$162,1)</f>
        <v>0</v>
      </c>
      <c r="AB154" s="12">
        <f>IF(Y154&lt;&gt;_xlfn.MINIFS('Draft Board'!$Y$2:$Y$162,'Draft Board'!$X$2:$X$162,"="&amp;X154),0,IF(OR(Z154=1,IFERROR(FLOOR((AA154-X154)/AA154/0.25,1),0)&lt;&gt;IFERROR(FLOOR((AA154-_xlfn.MINIFS('Draft Board'!$X$2:$X$162,'Draft Board'!$X$2:$X$162,"&gt;"&amp;X154))/AA154/0.25,1),0)),1,0))</f>
        <v>0</v>
      </c>
      <c r="AC154" s="12">
        <f>ROUND(1+X154*'Live Calc'!$D$27,0)</f>
        <v>1</v>
      </c>
      <c r="AD154" s="12"/>
      <c r="AE154" s="12">
        <f>IF(AD154&lt;&gt;"",AD154,ROUND(AC154*INDEX('Live Calc'!$G$96:$G$256,MATCH(W154,'Live Calc'!$A$96:$A$256,0))*'Live Calc'!$J$543,0))</f>
        <v>1</v>
      </c>
      <c r="AG154" s="13" t="s">
        <v>543</v>
      </c>
      <c r="AH154" s="13" t="s">
        <v>85</v>
      </c>
      <c r="AI154" s="13">
        <v>19.893999999999998</v>
      </c>
      <c r="AJ154" s="13">
        <v>22.55</v>
      </c>
      <c r="AK154" s="13">
        <v>27.46</v>
      </c>
      <c r="AL154" s="13">
        <f>CHOOSE(MATCH(Setup!$B$7,{"STD","Half-PPR","PPR"},0),AI154,AJ154,AK154)</f>
        <v>22.55</v>
      </c>
      <c r="AM154" s="13">
        <f>COUNTIFS('Draft Board'!$AN$2:$AN$192,"&gt;="&amp;AN154,'Draft Board'!$AR$2:$AR$192,1)</f>
        <v>22</v>
      </c>
      <c r="AN154" s="13">
        <f>MAX(0,AL154-'Live Calc'!$H$21)^'Live Calc'!$E$21</f>
        <v>0</v>
      </c>
      <c r="AO154" s="13">
        <v>154</v>
      </c>
      <c r="AP154" s="13">
        <f>IF(AO154&lt;&gt;_xlfn.MINIFS('Draft Board'!$AO$2:$AO$192,'Draft Board'!$AN$2:$AN$192,"="&amp;AN154),0,IF(_xlfn.MINIFS('Draft Board'!$AN$2:$AN$192,'Draft Board'!$AN$2:$AN$192,"&gt;"&amp;AN154)=0,1,IF((_xlfn.MINIFS('Draft Board'!$AN$2:$AN$192,'Draft Board'!$AN$2:$AN$192,"&gt;"&amp;AN154)-AN154)/_xlfn.MINIFS('Draft Board'!$AN$2:$AN$192,'Draft Board'!$AN$2:$AN$192,"&gt;"&amp;AN154)&gt;0.08,1,0)))</f>
        <v>0</v>
      </c>
      <c r="AQ154" s="13">
        <f>_xlfn.MINIFS('Draft Board'!$AN$2:$AN$192,'Draft Board'!$AN$2:$AN$192,"&gt;="&amp;AN154,'Draft Board'!$AP$2:$AP$192,1)</f>
        <v>0</v>
      </c>
      <c r="AR154" s="13">
        <f>IF(AO154&lt;&gt;_xlfn.MINIFS('Draft Board'!$AO$2:$AO$192,'Draft Board'!$AN$2:$AN$192,"="&amp;AN154),0,IF(OR(AP154=1,IFERROR(FLOOR((AQ154-AN154)/AQ154/0.25,1),0)&lt;&gt;IFERROR(FLOOR((AQ154-_xlfn.MINIFS('Draft Board'!$AN$2:$AN$192,'Draft Board'!$AN$2:$AN$192,"&gt;"&amp;AN154))/AQ154/0.25,1),0)),1,0))</f>
        <v>0</v>
      </c>
      <c r="AS154" s="13">
        <f>ROUND(1+AN154*'Live Calc'!$D$28,0)</f>
        <v>1</v>
      </c>
      <c r="AT154" s="13"/>
      <c r="AU154" s="13">
        <f>IF(AT154&lt;&gt;"",AT154,ROUND(AS154*INDEX('Live Calc'!$G$260:$G$450,MATCH(AM154,'Live Calc'!$A$260:$A$450,0))*'Live Calc'!$J$543,0))</f>
        <v>1</v>
      </c>
    </row>
    <row r="155" spans="17:47" x14ac:dyDescent="0.25">
      <c r="Q155" s="12" t="s">
        <v>544</v>
      </c>
      <c r="R155" s="12" t="s">
        <v>192</v>
      </c>
      <c r="S155" s="12">
        <v>5.23</v>
      </c>
      <c r="T155" s="12">
        <v>6.04</v>
      </c>
      <c r="U155" s="12">
        <v>6.86</v>
      </c>
      <c r="V155" s="12">
        <f>CHOOSE(MATCH(Setup!$B$7,{"STD","Half-PPR","PPR"},0),S155,T155,U155)</f>
        <v>6.04</v>
      </c>
      <c r="W155" s="12">
        <f>COUNTIFS('Draft Board'!$X$2:$X$162,"&gt;="&amp;X155,'Draft Board'!$AB$2:$AB$162,1)</f>
        <v>19</v>
      </c>
      <c r="X155" s="12">
        <f>MAX(0,V155-'Live Calc'!$H$20)^'Live Calc'!$E$20</f>
        <v>0</v>
      </c>
      <c r="Y155" s="12">
        <v>155</v>
      </c>
      <c r="Z155" s="12">
        <f>IF(Y155&lt;&gt;_xlfn.MINIFS('Draft Board'!$Y$2:$Y$162,'Draft Board'!$X$2:$X$162,"="&amp;X155),0,IF(_xlfn.MINIFS('Draft Board'!$X$2:$X$162,'Draft Board'!$X$2:$X$162,"&gt;"&amp;X155)=0,1,IF((_xlfn.MINIFS('Draft Board'!$X$2:$X$162,'Draft Board'!$X$2:$X$162,"&gt;"&amp;X155)-X155)/_xlfn.MINIFS('Draft Board'!$X$2:$X$162,'Draft Board'!$X$2:$X$162,"&gt;"&amp;X155)&gt;0.08,1,0)))</f>
        <v>0</v>
      </c>
      <c r="AA155" s="12">
        <f>_xlfn.MINIFS('Draft Board'!$X$2:$X$162,'Draft Board'!$X$2:$X$162,"&gt;="&amp;X155,'Draft Board'!$Z$2:$Z$162,1)</f>
        <v>0</v>
      </c>
      <c r="AB155" s="12">
        <f>IF(Y155&lt;&gt;_xlfn.MINIFS('Draft Board'!$Y$2:$Y$162,'Draft Board'!$X$2:$X$162,"="&amp;X155),0,IF(OR(Z155=1,IFERROR(FLOOR((AA155-X155)/AA155/0.25,1),0)&lt;&gt;IFERROR(FLOOR((AA155-_xlfn.MINIFS('Draft Board'!$X$2:$X$162,'Draft Board'!$X$2:$X$162,"&gt;"&amp;X155))/AA155/0.25,1),0)),1,0))</f>
        <v>0</v>
      </c>
      <c r="AC155" s="12">
        <f>ROUND(1+X155*'Live Calc'!$D$27,0)</f>
        <v>1</v>
      </c>
      <c r="AD155" s="12"/>
      <c r="AE155" s="12">
        <f>IF(AD155&lt;&gt;"",AD155,ROUND(AC155*INDEX('Live Calc'!$G$96:$G$256,MATCH(W155,'Live Calc'!$A$96:$A$256,0))*'Live Calc'!$J$543,0))</f>
        <v>1</v>
      </c>
      <c r="AG155" s="13" t="s">
        <v>545</v>
      </c>
      <c r="AH155" s="13" t="s">
        <v>111</v>
      </c>
      <c r="AI155" s="13">
        <v>17.71</v>
      </c>
      <c r="AJ155" s="13">
        <v>22.42</v>
      </c>
      <c r="AK155" s="13">
        <v>27.12</v>
      </c>
      <c r="AL155" s="13">
        <f>CHOOSE(MATCH(Setup!$B$7,{"STD","Half-PPR","PPR"},0),AI155,AJ155,AK155)</f>
        <v>22.42</v>
      </c>
      <c r="AM155" s="13">
        <f>COUNTIFS('Draft Board'!$AN$2:$AN$192,"&gt;="&amp;AN155,'Draft Board'!$AR$2:$AR$192,1)</f>
        <v>22</v>
      </c>
      <c r="AN155" s="13">
        <f>MAX(0,AL155-'Live Calc'!$H$21)^'Live Calc'!$E$21</f>
        <v>0</v>
      </c>
      <c r="AO155" s="13">
        <v>155</v>
      </c>
      <c r="AP155" s="13">
        <f>IF(AO155&lt;&gt;_xlfn.MINIFS('Draft Board'!$AO$2:$AO$192,'Draft Board'!$AN$2:$AN$192,"="&amp;AN155),0,IF(_xlfn.MINIFS('Draft Board'!$AN$2:$AN$192,'Draft Board'!$AN$2:$AN$192,"&gt;"&amp;AN155)=0,1,IF((_xlfn.MINIFS('Draft Board'!$AN$2:$AN$192,'Draft Board'!$AN$2:$AN$192,"&gt;"&amp;AN155)-AN155)/_xlfn.MINIFS('Draft Board'!$AN$2:$AN$192,'Draft Board'!$AN$2:$AN$192,"&gt;"&amp;AN155)&gt;0.08,1,0)))</f>
        <v>0</v>
      </c>
      <c r="AQ155" s="13">
        <f>_xlfn.MINIFS('Draft Board'!$AN$2:$AN$192,'Draft Board'!$AN$2:$AN$192,"&gt;="&amp;AN155,'Draft Board'!$AP$2:$AP$192,1)</f>
        <v>0</v>
      </c>
      <c r="AR155" s="13">
        <f>IF(AO155&lt;&gt;_xlfn.MINIFS('Draft Board'!$AO$2:$AO$192,'Draft Board'!$AN$2:$AN$192,"="&amp;AN155),0,IF(OR(AP155=1,IFERROR(FLOOR((AQ155-AN155)/AQ155/0.25,1),0)&lt;&gt;IFERROR(FLOOR((AQ155-_xlfn.MINIFS('Draft Board'!$AN$2:$AN$192,'Draft Board'!$AN$2:$AN$192,"&gt;"&amp;AN155))/AQ155/0.25,1),0)),1,0))</f>
        <v>0</v>
      </c>
      <c r="AS155" s="13">
        <f>ROUND(1+AN155*'Live Calc'!$D$28,0)</f>
        <v>1</v>
      </c>
      <c r="AT155" s="13"/>
      <c r="AU155" s="13">
        <f>IF(AT155&lt;&gt;"",AT155,ROUND(AS155*INDEX('Live Calc'!$G$260:$G$450,MATCH(AM155,'Live Calc'!$A$260:$A$450,0))*'Live Calc'!$J$543,0))</f>
        <v>1</v>
      </c>
    </row>
    <row r="156" spans="17:47" x14ac:dyDescent="0.25">
      <c r="Q156" s="12" t="s">
        <v>546</v>
      </c>
      <c r="R156" s="12" t="s">
        <v>105</v>
      </c>
      <c r="S156" s="12">
        <v>4.04</v>
      </c>
      <c r="T156" s="12">
        <v>5.81</v>
      </c>
      <c r="U156" s="12">
        <v>7.57</v>
      </c>
      <c r="V156" s="12">
        <f>CHOOSE(MATCH(Setup!$B$7,{"STD","Half-PPR","PPR"},0),S156,T156,U156)</f>
        <v>5.81</v>
      </c>
      <c r="W156" s="12">
        <f>COUNTIFS('Draft Board'!$X$2:$X$162,"&gt;="&amp;X156,'Draft Board'!$AB$2:$AB$162,1)</f>
        <v>19</v>
      </c>
      <c r="X156" s="12">
        <f>MAX(0,V156-'Live Calc'!$H$20)^'Live Calc'!$E$20</f>
        <v>0</v>
      </c>
      <c r="Y156" s="12">
        <v>156</v>
      </c>
      <c r="Z156" s="12">
        <f>IF(Y156&lt;&gt;_xlfn.MINIFS('Draft Board'!$Y$2:$Y$162,'Draft Board'!$X$2:$X$162,"="&amp;X156),0,IF(_xlfn.MINIFS('Draft Board'!$X$2:$X$162,'Draft Board'!$X$2:$X$162,"&gt;"&amp;X156)=0,1,IF((_xlfn.MINIFS('Draft Board'!$X$2:$X$162,'Draft Board'!$X$2:$X$162,"&gt;"&amp;X156)-X156)/_xlfn.MINIFS('Draft Board'!$X$2:$X$162,'Draft Board'!$X$2:$X$162,"&gt;"&amp;X156)&gt;0.08,1,0)))</f>
        <v>0</v>
      </c>
      <c r="AA156" s="12">
        <f>_xlfn.MINIFS('Draft Board'!$X$2:$X$162,'Draft Board'!$X$2:$X$162,"&gt;="&amp;X156,'Draft Board'!$Z$2:$Z$162,1)</f>
        <v>0</v>
      </c>
      <c r="AB156" s="12">
        <f>IF(Y156&lt;&gt;_xlfn.MINIFS('Draft Board'!$Y$2:$Y$162,'Draft Board'!$X$2:$X$162,"="&amp;X156),0,IF(OR(Z156=1,IFERROR(FLOOR((AA156-X156)/AA156/0.25,1),0)&lt;&gt;IFERROR(FLOOR((AA156-_xlfn.MINIFS('Draft Board'!$X$2:$X$162,'Draft Board'!$X$2:$X$162,"&gt;"&amp;X156))/AA156/0.25,1),0)),1,0))</f>
        <v>0</v>
      </c>
      <c r="AC156" s="12">
        <f>ROUND(1+X156*'Live Calc'!$D$27,0)</f>
        <v>1</v>
      </c>
      <c r="AD156" s="12"/>
      <c r="AE156" s="12">
        <f>IF(AD156&lt;&gt;"",AD156,ROUND(AC156*INDEX('Live Calc'!$G$96:$G$256,MATCH(W156,'Live Calc'!$A$96:$A$256,0))*'Live Calc'!$J$543,0))</f>
        <v>1</v>
      </c>
      <c r="AG156" s="13" t="s">
        <v>547</v>
      </c>
      <c r="AH156" s="13" t="s">
        <v>164</v>
      </c>
      <c r="AI156" s="13">
        <v>16.75</v>
      </c>
      <c r="AJ156" s="13">
        <v>22.37</v>
      </c>
      <c r="AK156" s="13">
        <v>27.98</v>
      </c>
      <c r="AL156" s="13">
        <f>CHOOSE(MATCH(Setup!$B$7,{"STD","Half-PPR","PPR"},0),AI156,AJ156,AK156)</f>
        <v>22.37</v>
      </c>
      <c r="AM156" s="13">
        <f>COUNTIFS('Draft Board'!$AN$2:$AN$192,"&gt;="&amp;AN156,'Draft Board'!$AR$2:$AR$192,1)</f>
        <v>22</v>
      </c>
      <c r="AN156" s="13">
        <f>MAX(0,AL156-'Live Calc'!$H$21)^'Live Calc'!$E$21</f>
        <v>0</v>
      </c>
      <c r="AO156" s="13">
        <v>156</v>
      </c>
      <c r="AP156" s="13">
        <f>IF(AO156&lt;&gt;_xlfn.MINIFS('Draft Board'!$AO$2:$AO$192,'Draft Board'!$AN$2:$AN$192,"="&amp;AN156),0,IF(_xlfn.MINIFS('Draft Board'!$AN$2:$AN$192,'Draft Board'!$AN$2:$AN$192,"&gt;"&amp;AN156)=0,1,IF((_xlfn.MINIFS('Draft Board'!$AN$2:$AN$192,'Draft Board'!$AN$2:$AN$192,"&gt;"&amp;AN156)-AN156)/_xlfn.MINIFS('Draft Board'!$AN$2:$AN$192,'Draft Board'!$AN$2:$AN$192,"&gt;"&amp;AN156)&gt;0.08,1,0)))</f>
        <v>0</v>
      </c>
      <c r="AQ156" s="13">
        <f>_xlfn.MINIFS('Draft Board'!$AN$2:$AN$192,'Draft Board'!$AN$2:$AN$192,"&gt;="&amp;AN156,'Draft Board'!$AP$2:$AP$192,1)</f>
        <v>0</v>
      </c>
      <c r="AR156" s="13">
        <f>IF(AO156&lt;&gt;_xlfn.MINIFS('Draft Board'!$AO$2:$AO$192,'Draft Board'!$AN$2:$AN$192,"="&amp;AN156),0,IF(OR(AP156=1,IFERROR(FLOOR((AQ156-AN156)/AQ156/0.25,1),0)&lt;&gt;IFERROR(FLOOR((AQ156-_xlfn.MINIFS('Draft Board'!$AN$2:$AN$192,'Draft Board'!$AN$2:$AN$192,"&gt;"&amp;AN156))/AQ156/0.25,1),0)),1,0))</f>
        <v>0</v>
      </c>
      <c r="AS156" s="13">
        <f>ROUND(1+AN156*'Live Calc'!$D$28,0)</f>
        <v>1</v>
      </c>
      <c r="AT156" s="13"/>
      <c r="AU156" s="13">
        <f>IF(AT156&lt;&gt;"",AT156,ROUND(AS156*INDEX('Live Calc'!$G$260:$G$450,MATCH(AM156,'Live Calc'!$A$260:$A$450,0))*'Live Calc'!$J$543,0))</f>
        <v>1</v>
      </c>
    </row>
    <row r="157" spans="17:47" x14ac:dyDescent="0.25">
      <c r="Q157" s="12" t="s">
        <v>548</v>
      </c>
      <c r="R157" s="12" t="s">
        <v>139</v>
      </c>
      <c r="S157" s="12">
        <v>4.3</v>
      </c>
      <c r="T157" s="12">
        <v>5.69</v>
      </c>
      <c r="U157" s="12">
        <v>7.08</v>
      </c>
      <c r="V157" s="12">
        <f>CHOOSE(MATCH(Setup!$B$7,{"STD","Half-PPR","PPR"},0),S157,T157,U157)</f>
        <v>5.69</v>
      </c>
      <c r="W157" s="12">
        <f>COUNTIFS('Draft Board'!$X$2:$X$162,"&gt;="&amp;X157,'Draft Board'!$AB$2:$AB$162,1)</f>
        <v>19</v>
      </c>
      <c r="X157" s="12">
        <f>MAX(0,V157-'Live Calc'!$H$20)^'Live Calc'!$E$20</f>
        <v>0</v>
      </c>
      <c r="Y157" s="12">
        <v>157</v>
      </c>
      <c r="Z157" s="12">
        <f>IF(Y157&lt;&gt;_xlfn.MINIFS('Draft Board'!$Y$2:$Y$162,'Draft Board'!$X$2:$X$162,"="&amp;X157),0,IF(_xlfn.MINIFS('Draft Board'!$X$2:$X$162,'Draft Board'!$X$2:$X$162,"&gt;"&amp;X157)=0,1,IF((_xlfn.MINIFS('Draft Board'!$X$2:$X$162,'Draft Board'!$X$2:$X$162,"&gt;"&amp;X157)-X157)/_xlfn.MINIFS('Draft Board'!$X$2:$X$162,'Draft Board'!$X$2:$X$162,"&gt;"&amp;X157)&gt;0.08,1,0)))</f>
        <v>0</v>
      </c>
      <c r="AA157" s="12">
        <f>_xlfn.MINIFS('Draft Board'!$X$2:$X$162,'Draft Board'!$X$2:$X$162,"&gt;="&amp;X157,'Draft Board'!$Z$2:$Z$162,1)</f>
        <v>0</v>
      </c>
      <c r="AB157" s="12">
        <f>IF(Y157&lt;&gt;_xlfn.MINIFS('Draft Board'!$Y$2:$Y$162,'Draft Board'!$X$2:$X$162,"="&amp;X157),0,IF(OR(Z157=1,IFERROR(FLOOR((AA157-X157)/AA157/0.25,1),0)&lt;&gt;IFERROR(FLOOR((AA157-_xlfn.MINIFS('Draft Board'!$X$2:$X$162,'Draft Board'!$X$2:$X$162,"&gt;"&amp;X157))/AA157/0.25,1),0)),1,0))</f>
        <v>0</v>
      </c>
      <c r="AC157" s="12">
        <f>ROUND(1+X157*'Live Calc'!$D$27,0)</f>
        <v>1</v>
      </c>
      <c r="AD157" s="12"/>
      <c r="AE157" s="12">
        <f>IF(AD157&lt;&gt;"",AD157,ROUND(AC157*INDEX('Live Calc'!$G$96:$G$256,MATCH(W157,'Live Calc'!$A$96:$A$256,0))*'Live Calc'!$J$543,0))</f>
        <v>1</v>
      </c>
      <c r="AG157" s="13" t="s">
        <v>549</v>
      </c>
      <c r="AH157" s="13" t="s">
        <v>284</v>
      </c>
      <c r="AI157" s="13">
        <v>16.350000000000001</v>
      </c>
      <c r="AJ157" s="13">
        <v>22.3</v>
      </c>
      <c r="AK157" s="13">
        <v>28.25</v>
      </c>
      <c r="AL157" s="13">
        <f>CHOOSE(MATCH(Setup!$B$7,{"STD","Half-PPR","PPR"},0),AI157,AJ157,AK157)</f>
        <v>22.3</v>
      </c>
      <c r="AM157" s="13">
        <f>COUNTIFS('Draft Board'!$AN$2:$AN$192,"&gt;="&amp;AN157,'Draft Board'!$AR$2:$AR$192,1)</f>
        <v>22</v>
      </c>
      <c r="AN157" s="13">
        <f>MAX(0,AL157-'Live Calc'!$H$21)^'Live Calc'!$E$21</f>
        <v>0</v>
      </c>
      <c r="AO157" s="13">
        <v>157</v>
      </c>
      <c r="AP157" s="13">
        <f>IF(AO157&lt;&gt;_xlfn.MINIFS('Draft Board'!$AO$2:$AO$192,'Draft Board'!$AN$2:$AN$192,"="&amp;AN157),0,IF(_xlfn.MINIFS('Draft Board'!$AN$2:$AN$192,'Draft Board'!$AN$2:$AN$192,"&gt;"&amp;AN157)=0,1,IF((_xlfn.MINIFS('Draft Board'!$AN$2:$AN$192,'Draft Board'!$AN$2:$AN$192,"&gt;"&amp;AN157)-AN157)/_xlfn.MINIFS('Draft Board'!$AN$2:$AN$192,'Draft Board'!$AN$2:$AN$192,"&gt;"&amp;AN157)&gt;0.08,1,0)))</f>
        <v>0</v>
      </c>
      <c r="AQ157" s="13">
        <f>_xlfn.MINIFS('Draft Board'!$AN$2:$AN$192,'Draft Board'!$AN$2:$AN$192,"&gt;="&amp;AN157,'Draft Board'!$AP$2:$AP$192,1)</f>
        <v>0</v>
      </c>
      <c r="AR157" s="13">
        <f>IF(AO157&lt;&gt;_xlfn.MINIFS('Draft Board'!$AO$2:$AO$192,'Draft Board'!$AN$2:$AN$192,"="&amp;AN157),0,IF(OR(AP157=1,IFERROR(FLOOR((AQ157-AN157)/AQ157/0.25,1),0)&lt;&gt;IFERROR(FLOOR((AQ157-_xlfn.MINIFS('Draft Board'!$AN$2:$AN$192,'Draft Board'!$AN$2:$AN$192,"&gt;"&amp;AN157))/AQ157/0.25,1),0)),1,0))</f>
        <v>0</v>
      </c>
      <c r="AS157" s="13">
        <f>ROUND(1+AN157*'Live Calc'!$D$28,0)</f>
        <v>1</v>
      </c>
      <c r="AT157" s="13"/>
      <c r="AU157" s="13">
        <f>IF(AT157&lt;&gt;"",AT157,ROUND(AS157*INDEX('Live Calc'!$G$260:$G$450,MATCH(AM157,'Live Calc'!$A$260:$A$450,0))*'Live Calc'!$J$543,0))</f>
        <v>1</v>
      </c>
    </row>
    <row r="158" spans="17:47" x14ac:dyDescent="0.25">
      <c r="Q158" s="12" t="s">
        <v>550</v>
      </c>
      <c r="R158" s="12" t="s">
        <v>131</v>
      </c>
      <c r="S158" s="12">
        <v>5.04</v>
      </c>
      <c r="T158" s="12">
        <v>5.47</v>
      </c>
      <c r="U158" s="12">
        <v>5.9</v>
      </c>
      <c r="V158" s="12">
        <f>CHOOSE(MATCH(Setup!$B$7,{"STD","Half-PPR","PPR"},0),S158,T158,U158)</f>
        <v>5.47</v>
      </c>
      <c r="W158" s="12">
        <f>COUNTIFS('Draft Board'!$X$2:$X$162,"&gt;="&amp;X158,'Draft Board'!$AB$2:$AB$162,1)</f>
        <v>19</v>
      </c>
      <c r="X158" s="12">
        <f>MAX(0,V158-'Live Calc'!$H$20)^'Live Calc'!$E$20</f>
        <v>0</v>
      </c>
      <c r="Y158" s="12">
        <v>158</v>
      </c>
      <c r="Z158" s="12">
        <f>IF(Y158&lt;&gt;_xlfn.MINIFS('Draft Board'!$Y$2:$Y$162,'Draft Board'!$X$2:$X$162,"="&amp;X158),0,IF(_xlfn.MINIFS('Draft Board'!$X$2:$X$162,'Draft Board'!$X$2:$X$162,"&gt;"&amp;X158)=0,1,IF((_xlfn.MINIFS('Draft Board'!$X$2:$X$162,'Draft Board'!$X$2:$X$162,"&gt;"&amp;X158)-X158)/_xlfn.MINIFS('Draft Board'!$X$2:$X$162,'Draft Board'!$X$2:$X$162,"&gt;"&amp;X158)&gt;0.08,1,0)))</f>
        <v>0</v>
      </c>
      <c r="AA158" s="12">
        <f>_xlfn.MINIFS('Draft Board'!$X$2:$X$162,'Draft Board'!$X$2:$X$162,"&gt;="&amp;X158,'Draft Board'!$Z$2:$Z$162,1)</f>
        <v>0</v>
      </c>
      <c r="AB158" s="12">
        <f>IF(Y158&lt;&gt;_xlfn.MINIFS('Draft Board'!$Y$2:$Y$162,'Draft Board'!$X$2:$X$162,"="&amp;X158),0,IF(OR(Z158=1,IFERROR(FLOOR((AA158-X158)/AA158/0.25,1),0)&lt;&gt;IFERROR(FLOOR((AA158-_xlfn.MINIFS('Draft Board'!$X$2:$X$162,'Draft Board'!$X$2:$X$162,"&gt;"&amp;X158))/AA158/0.25,1),0)),1,0))</f>
        <v>0</v>
      </c>
      <c r="AC158" s="12">
        <f>ROUND(1+X158*'Live Calc'!$D$27,0)</f>
        <v>1</v>
      </c>
      <c r="AD158" s="12"/>
      <c r="AE158" s="12">
        <f>IF(AD158&lt;&gt;"",AD158,ROUND(AC158*INDEX('Live Calc'!$G$96:$G$256,MATCH(W158,'Live Calc'!$A$96:$A$256,0))*'Live Calc'!$J$543,0))</f>
        <v>1</v>
      </c>
      <c r="AG158" s="13" t="s">
        <v>551</v>
      </c>
      <c r="AH158" s="13" t="s">
        <v>111</v>
      </c>
      <c r="AI158" s="13">
        <v>17.41</v>
      </c>
      <c r="AJ158" s="13">
        <v>22.18</v>
      </c>
      <c r="AK158" s="13">
        <v>26.94</v>
      </c>
      <c r="AL158" s="13">
        <f>CHOOSE(MATCH(Setup!$B$7,{"STD","Half-PPR","PPR"},0),AI158,AJ158,AK158)</f>
        <v>22.18</v>
      </c>
      <c r="AM158" s="13">
        <f>COUNTIFS('Draft Board'!$AN$2:$AN$192,"&gt;="&amp;AN158,'Draft Board'!$AR$2:$AR$192,1)</f>
        <v>22</v>
      </c>
      <c r="AN158" s="13">
        <f>MAX(0,AL158-'Live Calc'!$H$21)^'Live Calc'!$E$21</f>
        <v>0</v>
      </c>
      <c r="AO158" s="13">
        <v>158</v>
      </c>
      <c r="AP158" s="13">
        <f>IF(AO158&lt;&gt;_xlfn.MINIFS('Draft Board'!$AO$2:$AO$192,'Draft Board'!$AN$2:$AN$192,"="&amp;AN158),0,IF(_xlfn.MINIFS('Draft Board'!$AN$2:$AN$192,'Draft Board'!$AN$2:$AN$192,"&gt;"&amp;AN158)=0,1,IF((_xlfn.MINIFS('Draft Board'!$AN$2:$AN$192,'Draft Board'!$AN$2:$AN$192,"&gt;"&amp;AN158)-AN158)/_xlfn.MINIFS('Draft Board'!$AN$2:$AN$192,'Draft Board'!$AN$2:$AN$192,"&gt;"&amp;AN158)&gt;0.08,1,0)))</f>
        <v>0</v>
      </c>
      <c r="AQ158" s="13">
        <f>_xlfn.MINIFS('Draft Board'!$AN$2:$AN$192,'Draft Board'!$AN$2:$AN$192,"&gt;="&amp;AN158,'Draft Board'!$AP$2:$AP$192,1)</f>
        <v>0</v>
      </c>
      <c r="AR158" s="13">
        <f>IF(AO158&lt;&gt;_xlfn.MINIFS('Draft Board'!$AO$2:$AO$192,'Draft Board'!$AN$2:$AN$192,"="&amp;AN158),0,IF(OR(AP158=1,IFERROR(FLOOR((AQ158-AN158)/AQ158/0.25,1),0)&lt;&gt;IFERROR(FLOOR((AQ158-_xlfn.MINIFS('Draft Board'!$AN$2:$AN$192,'Draft Board'!$AN$2:$AN$192,"&gt;"&amp;AN158))/AQ158/0.25,1),0)),1,0))</f>
        <v>0</v>
      </c>
      <c r="AS158" s="13">
        <f>ROUND(1+AN158*'Live Calc'!$D$28,0)</f>
        <v>1</v>
      </c>
      <c r="AT158" s="13"/>
      <c r="AU158" s="13">
        <f>IF(AT158&lt;&gt;"",AT158,ROUND(AS158*INDEX('Live Calc'!$G$260:$G$450,MATCH(AM158,'Live Calc'!$A$260:$A$450,0))*'Live Calc'!$J$543,0))</f>
        <v>1</v>
      </c>
    </row>
    <row r="159" spans="17:47" x14ac:dyDescent="0.25">
      <c r="Q159" s="12" t="s">
        <v>552</v>
      </c>
      <c r="R159" s="12" t="s">
        <v>120</v>
      </c>
      <c r="S159" s="12">
        <v>3.33</v>
      </c>
      <c r="T159" s="12">
        <v>4.21</v>
      </c>
      <c r="U159" s="12">
        <v>5.08</v>
      </c>
      <c r="V159" s="12">
        <f>CHOOSE(MATCH(Setup!$B$7,{"STD","Half-PPR","PPR"},0),S159,T159,U159)</f>
        <v>4.21</v>
      </c>
      <c r="W159" s="12">
        <f>COUNTIFS('Draft Board'!$X$2:$X$162,"&gt;="&amp;X159,'Draft Board'!$AB$2:$AB$162,1)</f>
        <v>19</v>
      </c>
      <c r="X159" s="12">
        <f>MAX(0,V159-'Live Calc'!$H$20)^'Live Calc'!$E$20</f>
        <v>0</v>
      </c>
      <c r="Y159" s="12">
        <v>159</v>
      </c>
      <c r="Z159" s="12">
        <f>IF(Y159&lt;&gt;_xlfn.MINIFS('Draft Board'!$Y$2:$Y$162,'Draft Board'!$X$2:$X$162,"="&amp;X159),0,IF(_xlfn.MINIFS('Draft Board'!$X$2:$X$162,'Draft Board'!$X$2:$X$162,"&gt;"&amp;X159)=0,1,IF((_xlfn.MINIFS('Draft Board'!$X$2:$X$162,'Draft Board'!$X$2:$X$162,"&gt;"&amp;X159)-X159)/_xlfn.MINIFS('Draft Board'!$X$2:$X$162,'Draft Board'!$X$2:$X$162,"&gt;"&amp;X159)&gt;0.08,1,0)))</f>
        <v>0</v>
      </c>
      <c r="AA159" s="12">
        <f>_xlfn.MINIFS('Draft Board'!$X$2:$X$162,'Draft Board'!$X$2:$X$162,"&gt;="&amp;X159,'Draft Board'!$Z$2:$Z$162,1)</f>
        <v>0</v>
      </c>
      <c r="AB159" s="12">
        <f>IF(Y159&lt;&gt;_xlfn.MINIFS('Draft Board'!$Y$2:$Y$162,'Draft Board'!$X$2:$X$162,"="&amp;X159),0,IF(OR(Z159=1,IFERROR(FLOOR((AA159-X159)/AA159/0.25,1),0)&lt;&gt;IFERROR(FLOOR((AA159-_xlfn.MINIFS('Draft Board'!$X$2:$X$162,'Draft Board'!$X$2:$X$162,"&gt;"&amp;X159))/AA159/0.25,1),0)),1,0))</f>
        <v>0</v>
      </c>
      <c r="AC159" s="12">
        <f>ROUND(1+X159*'Live Calc'!$D$27,0)</f>
        <v>1</v>
      </c>
      <c r="AD159" s="12"/>
      <c r="AE159" s="12">
        <f>IF(AD159&lt;&gt;"",AD159,ROUND(AC159*INDEX('Live Calc'!$G$96:$G$256,MATCH(W159,'Live Calc'!$A$96:$A$256,0))*'Live Calc'!$J$543,0))</f>
        <v>1</v>
      </c>
      <c r="AG159" s="13" t="s">
        <v>553</v>
      </c>
      <c r="AH159" s="13" t="s">
        <v>75</v>
      </c>
      <c r="AI159" s="13">
        <v>17.14</v>
      </c>
      <c r="AJ159" s="13">
        <v>22.14</v>
      </c>
      <c r="AK159" s="13">
        <v>27.14</v>
      </c>
      <c r="AL159" s="13">
        <f>CHOOSE(MATCH(Setup!$B$7,{"STD","Half-PPR","PPR"},0),AI159,AJ159,AK159)</f>
        <v>22.14</v>
      </c>
      <c r="AM159" s="13">
        <f>COUNTIFS('Draft Board'!$AN$2:$AN$192,"&gt;="&amp;AN159,'Draft Board'!$AR$2:$AR$192,1)</f>
        <v>22</v>
      </c>
      <c r="AN159" s="13">
        <f>MAX(0,AL159-'Live Calc'!$H$21)^'Live Calc'!$E$21</f>
        <v>0</v>
      </c>
      <c r="AO159" s="13">
        <v>159</v>
      </c>
      <c r="AP159" s="13">
        <f>IF(AO159&lt;&gt;_xlfn.MINIFS('Draft Board'!$AO$2:$AO$192,'Draft Board'!$AN$2:$AN$192,"="&amp;AN159),0,IF(_xlfn.MINIFS('Draft Board'!$AN$2:$AN$192,'Draft Board'!$AN$2:$AN$192,"&gt;"&amp;AN159)=0,1,IF((_xlfn.MINIFS('Draft Board'!$AN$2:$AN$192,'Draft Board'!$AN$2:$AN$192,"&gt;"&amp;AN159)-AN159)/_xlfn.MINIFS('Draft Board'!$AN$2:$AN$192,'Draft Board'!$AN$2:$AN$192,"&gt;"&amp;AN159)&gt;0.08,1,0)))</f>
        <v>0</v>
      </c>
      <c r="AQ159" s="13">
        <f>_xlfn.MINIFS('Draft Board'!$AN$2:$AN$192,'Draft Board'!$AN$2:$AN$192,"&gt;="&amp;AN159,'Draft Board'!$AP$2:$AP$192,1)</f>
        <v>0</v>
      </c>
      <c r="AR159" s="13">
        <f>IF(AO159&lt;&gt;_xlfn.MINIFS('Draft Board'!$AO$2:$AO$192,'Draft Board'!$AN$2:$AN$192,"="&amp;AN159),0,IF(OR(AP159=1,IFERROR(FLOOR((AQ159-AN159)/AQ159/0.25,1),0)&lt;&gt;IFERROR(FLOOR((AQ159-_xlfn.MINIFS('Draft Board'!$AN$2:$AN$192,'Draft Board'!$AN$2:$AN$192,"&gt;"&amp;AN159))/AQ159/0.25,1),0)),1,0))</f>
        <v>0</v>
      </c>
      <c r="AS159" s="13">
        <f>ROUND(1+AN159*'Live Calc'!$D$28,0)</f>
        <v>1</v>
      </c>
      <c r="AT159" s="13"/>
      <c r="AU159" s="13">
        <f>IF(AT159&lt;&gt;"",AT159,ROUND(AS159*INDEX('Live Calc'!$G$260:$G$450,MATCH(AM159,'Live Calc'!$A$260:$A$450,0))*'Live Calc'!$J$543,0))</f>
        <v>1</v>
      </c>
    </row>
    <row r="160" spans="17:47" x14ac:dyDescent="0.25">
      <c r="Q160" s="12" t="s">
        <v>554</v>
      </c>
      <c r="R160" s="12" t="s">
        <v>81</v>
      </c>
      <c r="S160" s="12">
        <v>3.2</v>
      </c>
      <c r="T160" s="12">
        <v>4.2</v>
      </c>
      <c r="U160" s="12">
        <v>5.2</v>
      </c>
      <c r="V160" s="12">
        <f>CHOOSE(MATCH(Setup!$B$7,{"STD","Half-PPR","PPR"},0),S160,T160,U160)</f>
        <v>4.2</v>
      </c>
      <c r="W160" s="12">
        <f>COUNTIFS('Draft Board'!$X$2:$X$162,"&gt;="&amp;X160,'Draft Board'!$AB$2:$AB$162,1)</f>
        <v>19</v>
      </c>
      <c r="X160" s="12">
        <f>MAX(0,V160-'Live Calc'!$H$20)^'Live Calc'!$E$20</f>
        <v>0</v>
      </c>
      <c r="Y160" s="12">
        <v>160</v>
      </c>
      <c r="Z160" s="12">
        <f>IF(Y160&lt;&gt;_xlfn.MINIFS('Draft Board'!$Y$2:$Y$162,'Draft Board'!$X$2:$X$162,"="&amp;X160),0,IF(_xlfn.MINIFS('Draft Board'!$X$2:$X$162,'Draft Board'!$X$2:$X$162,"&gt;"&amp;X160)=0,1,IF((_xlfn.MINIFS('Draft Board'!$X$2:$X$162,'Draft Board'!$X$2:$X$162,"&gt;"&amp;X160)-X160)/_xlfn.MINIFS('Draft Board'!$X$2:$X$162,'Draft Board'!$X$2:$X$162,"&gt;"&amp;X160)&gt;0.08,1,0)))</f>
        <v>0</v>
      </c>
      <c r="AA160" s="12">
        <f>_xlfn.MINIFS('Draft Board'!$X$2:$X$162,'Draft Board'!$X$2:$X$162,"&gt;="&amp;X160,'Draft Board'!$Z$2:$Z$162,1)</f>
        <v>0</v>
      </c>
      <c r="AB160" s="12">
        <f>IF(Y160&lt;&gt;_xlfn.MINIFS('Draft Board'!$Y$2:$Y$162,'Draft Board'!$X$2:$X$162,"="&amp;X160),0,IF(OR(Z160=1,IFERROR(FLOOR((AA160-X160)/AA160/0.25,1),0)&lt;&gt;IFERROR(FLOOR((AA160-_xlfn.MINIFS('Draft Board'!$X$2:$X$162,'Draft Board'!$X$2:$X$162,"&gt;"&amp;X160))/AA160/0.25,1),0)),1,0))</f>
        <v>0</v>
      </c>
      <c r="AC160" s="12">
        <f>ROUND(1+X160*'Live Calc'!$D$27,0)</f>
        <v>1</v>
      </c>
      <c r="AD160" s="12"/>
      <c r="AE160" s="12">
        <f>IF(AD160&lt;&gt;"",AD160,ROUND(AC160*INDEX('Live Calc'!$G$96:$G$256,MATCH(W160,'Live Calc'!$A$96:$A$256,0))*'Live Calc'!$J$543,0))</f>
        <v>1</v>
      </c>
      <c r="AG160" s="13" t="s">
        <v>555</v>
      </c>
      <c r="AH160" s="13" t="s">
        <v>91</v>
      </c>
      <c r="AI160" s="13">
        <v>17.364000000000001</v>
      </c>
      <c r="AJ160" s="13">
        <v>22.06</v>
      </c>
      <c r="AK160" s="13">
        <v>27.532</v>
      </c>
      <c r="AL160" s="13">
        <f>CHOOSE(MATCH(Setup!$B$7,{"STD","Half-PPR","PPR"},0),AI160,AJ160,AK160)</f>
        <v>22.06</v>
      </c>
      <c r="AM160" s="13">
        <f>COUNTIFS('Draft Board'!$AN$2:$AN$192,"&gt;="&amp;AN160,'Draft Board'!$AR$2:$AR$192,1)</f>
        <v>22</v>
      </c>
      <c r="AN160" s="13">
        <f>MAX(0,AL160-'Live Calc'!$H$21)^'Live Calc'!$E$21</f>
        <v>0</v>
      </c>
      <c r="AO160" s="13">
        <v>160</v>
      </c>
      <c r="AP160" s="13">
        <f>IF(AO160&lt;&gt;_xlfn.MINIFS('Draft Board'!$AO$2:$AO$192,'Draft Board'!$AN$2:$AN$192,"="&amp;AN160),0,IF(_xlfn.MINIFS('Draft Board'!$AN$2:$AN$192,'Draft Board'!$AN$2:$AN$192,"&gt;"&amp;AN160)=0,1,IF((_xlfn.MINIFS('Draft Board'!$AN$2:$AN$192,'Draft Board'!$AN$2:$AN$192,"&gt;"&amp;AN160)-AN160)/_xlfn.MINIFS('Draft Board'!$AN$2:$AN$192,'Draft Board'!$AN$2:$AN$192,"&gt;"&amp;AN160)&gt;0.08,1,0)))</f>
        <v>0</v>
      </c>
      <c r="AQ160" s="13">
        <f>_xlfn.MINIFS('Draft Board'!$AN$2:$AN$192,'Draft Board'!$AN$2:$AN$192,"&gt;="&amp;AN160,'Draft Board'!$AP$2:$AP$192,1)</f>
        <v>0</v>
      </c>
      <c r="AR160" s="13">
        <f>IF(AO160&lt;&gt;_xlfn.MINIFS('Draft Board'!$AO$2:$AO$192,'Draft Board'!$AN$2:$AN$192,"="&amp;AN160),0,IF(OR(AP160=1,IFERROR(FLOOR((AQ160-AN160)/AQ160/0.25,1),0)&lt;&gt;IFERROR(FLOOR((AQ160-_xlfn.MINIFS('Draft Board'!$AN$2:$AN$192,'Draft Board'!$AN$2:$AN$192,"&gt;"&amp;AN160))/AQ160/0.25,1),0)),1,0))</f>
        <v>0</v>
      </c>
      <c r="AS160" s="13">
        <f>ROUND(1+AN160*'Live Calc'!$D$28,0)</f>
        <v>1</v>
      </c>
      <c r="AT160" s="13"/>
      <c r="AU160" s="13">
        <f>IF(AT160&lt;&gt;"",AT160,ROUND(AS160*INDEX('Live Calc'!$G$260:$G$450,MATCH(AM160,'Live Calc'!$A$260:$A$450,0))*'Live Calc'!$J$543,0))</f>
        <v>1</v>
      </c>
    </row>
    <row r="161" spans="17:47" x14ac:dyDescent="0.25">
      <c r="Q161" s="12" t="s">
        <v>556</v>
      </c>
      <c r="R161" s="12" t="s">
        <v>75</v>
      </c>
      <c r="S161" s="12">
        <v>3.16</v>
      </c>
      <c r="T161" s="12">
        <v>3.99</v>
      </c>
      <c r="U161" s="12">
        <v>4.82</v>
      </c>
      <c r="V161" s="12">
        <f>CHOOSE(MATCH(Setup!$B$7,{"STD","Half-PPR","PPR"},0),S161,T161,U161)</f>
        <v>3.99</v>
      </c>
      <c r="W161" s="12">
        <f>COUNTIFS('Draft Board'!$X$2:$X$162,"&gt;="&amp;X161,'Draft Board'!$AB$2:$AB$162,1)</f>
        <v>19</v>
      </c>
      <c r="X161" s="12">
        <f>MAX(0,V161-'Live Calc'!$H$20)^'Live Calc'!$E$20</f>
        <v>0</v>
      </c>
      <c r="Y161" s="12">
        <v>161</v>
      </c>
      <c r="Z161" s="12">
        <f>IF(Y161&lt;&gt;_xlfn.MINIFS('Draft Board'!$Y$2:$Y$162,'Draft Board'!$X$2:$X$162,"="&amp;X161),0,IF(_xlfn.MINIFS('Draft Board'!$X$2:$X$162,'Draft Board'!$X$2:$X$162,"&gt;"&amp;X161)=0,1,IF((_xlfn.MINIFS('Draft Board'!$X$2:$X$162,'Draft Board'!$X$2:$X$162,"&gt;"&amp;X161)-X161)/_xlfn.MINIFS('Draft Board'!$X$2:$X$162,'Draft Board'!$X$2:$X$162,"&gt;"&amp;X161)&gt;0.08,1,0)))</f>
        <v>0</v>
      </c>
      <c r="AA161" s="12">
        <f>_xlfn.MINIFS('Draft Board'!$X$2:$X$162,'Draft Board'!$X$2:$X$162,"&gt;="&amp;X161,'Draft Board'!$Z$2:$Z$162,1)</f>
        <v>0</v>
      </c>
      <c r="AB161" s="12">
        <f>IF(Y161&lt;&gt;_xlfn.MINIFS('Draft Board'!$Y$2:$Y$162,'Draft Board'!$X$2:$X$162,"="&amp;X161),0,IF(OR(Z161=1,IFERROR(FLOOR((AA161-X161)/AA161/0.25,1),0)&lt;&gt;IFERROR(FLOOR((AA161-_xlfn.MINIFS('Draft Board'!$X$2:$X$162,'Draft Board'!$X$2:$X$162,"&gt;"&amp;X161))/AA161/0.25,1),0)),1,0))</f>
        <v>0</v>
      </c>
      <c r="AC161" s="12">
        <f>ROUND(1+X161*'Live Calc'!$D$27,0)</f>
        <v>1</v>
      </c>
      <c r="AD161" s="12"/>
      <c r="AE161" s="12">
        <f>IF(AD161&lt;&gt;"",AD161,ROUND(AC161*INDEX('Live Calc'!$G$96:$G$256,MATCH(W161,'Live Calc'!$A$96:$A$256,0))*'Live Calc'!$J$543,0))</f>
        <v>1</v>
      </c>
      <c r="AG161" s="13" t="s">
        <v>557</v>
      </c>
      <c r="AH161" s="13" t="s">
        <v>125</v>
      </c>
      <c r="AI161" s="13">
        <v>16.14</v>
      </c>
      <c r="AJ161" s="13">
        <v>22.04</v>
      </c>
      <c r="AK161" s="13">
        <v>27.94</v>
      </c>
      <c r="AL161" s="13">
        <f>CHOOSE(MATCH(Setup!$B$7,{"STD","Half-PPR","PPR"},0),AI161,AJ161,AK161)</f>
        <v>22.04</v>
      </c>
      <c r="AM161" s="13">
        <f>COUNTIFS('Draft Board'!$AN$2:$AN$192,"&gt;="&amp;AN161,'Draft Board'!$AR$2:$AR$192,1)</f>
        <v>22</v>
      </c>
      <c r="AN161" s="13">
        <f>MAX(0,AL161-'Live Calc'!$H$21)^'Live Calc'!$E$21</f>
        <v>0</v>
      </c>
      <c r="AO161" s="13">
        <v>161</v>
      </c>
      <c r="AP161" s="13">
        <f>IF(AO161&lt;&gt;_xlfn.MINIFS('Draft Board'!$AO$2:$AO$192,'Draft Board'!$AN$2:$AN$192,"="&amp;AN161),0,IF(_xlfn.MINIFS('Draft Board'!$AN$2:$AN$192,'Draft Board'!$AN$2:$AN$192,"&gt;"&amp;AN161)=0,1,IF((_xlfn.MINIFS('Draft Board'!$AN$2:$AN$192,'Draft Board'!$AN$2:$AN$192,"&gt;"&amp;AN161)-AN161)/_xlfn.MINIFS('Draft Board'!$AN$2:$AN$192,'Draft Board'!$AN$2:$AN$192,"&gt;"&amp;AN161)&gt;0.08,1,0)))</f>
        <v>0</v>
      </c>
      <c r="AQ161" s="13">
        <f>_xlfn.MINIFS('Draft Board'!$AN$2:$AN$192,'Draft Board'!$AN$2:$AN$192,"&gt;="&amp;AN161,'Draft Board'!$AP$2:$AP$192,1)</f>
        <v>0</v>
      </c>
      <c r="AR161" s="13">
        <f>IF(AO161&lt;&gt;_xlfn.MINIFS('Draft Board'!$AO$2:$AO$192,'Draft Board'!$AN$2:$AN$192,"="&amp;AN161),0,IF(OR(AP161=1,IFERROR(FLOOR((AQ161-AN161)/AQ161/0.25,1),0)&lt;&gt;IFERROR(FLOOR((AQ161-_xlfn.MINIFS('Draft Board'!$AN$2:$AN$192,'Draft Board'!$AN$2:$AN$192,"&gt;"&amp;AN161))/AQ161/0.25,1),0)),1,0))</f>
        <v>0</v>
      </c>
      <c r="AS161" s="13">
        <f>ROUND(1+AN161*'Live Calc'!$D$28,0)</f>
        <v>1</v>
      </c>
      <c r="AT161" s="13"/>
      <c r="AU161" s="13">
        <f>IF(AT161&lt;&gt;"",AT161,ROUND(AS161*INDEX('Live Calc'!$G$260:$G$450,MATCH(AM161,'Live Calc'!$A$260:$A$450,0))*'Live Calc'!$J$543,0))</f>
        <v>1</v>
      </c>
    </row>
    <row r="162" spans="17:47" x14ac:dyDescent="0.25">
      <c r="Q162" s="12" t="s">
        <v>558</v>
      </c>
      <c r="R162" s="12" t="s">
        <v>67</v>
      </c>
      <c r="S162" s="12">
        <v>2.99</v>
      </c>
      <c r="T162" s="12">
        <v>3.92</v>
      </c>
      <c r="U162" s="12">
        <v>4.84</v>
      </c>
      <c r="V162" s="12">
        <f>CHOOSE(MATCH(Setup!$B$7,{"STD","Half-PPR","PPR"},0),S162,T162,U162)</f>
        <v>3.92</v>
      </c>
      <c r="W162" s="12">
        <f>COUNTIFS('Draft Board'!$X$2:$X$162,"&gt;="&amp;X162,'Draft Board'!$AB$2:$AB$162,1)</f>
        <v>19</v>
      </c>
      <c r="X162" s="12">
        <f>MAX(0,V162-'Live Calc'!$H$20)^'Live Calc'!$E$20</f>
        <v>0</v>
      </c>
      <c r="Y162" s="12">
        <v>162</v>
      </c>
      <c r="Z162" s="12">
        <f>IF(Y162&lt;&gt;_xlfn.MINIFS('Draft Board'!$Y$2:$Y$162,'Draft Board'!$X$2:$X$162,"="&amp;X162),0,IF(_xlfn.MINIFS('Draft Board'!$X$2:$X$162,'Draft Board'!$X$2:$X$162,"&gt;"&amp;X162)=0,1,IF((_xlfn.MINIFS('Draft Board'!$X$2:$X$162,'Draft Board'!$X$2:$X$162,"&gt;"&amp;X162)-X162)/_xlfn.MINIFS('Draft Board'!$X$2:$X$162,'Draft Board'!$X$2:$X$162,"&gt;"&amp;X162)&gt;0.08,1,0)))</f>
        <v>0</v>
      </c>
      <c r="AA162" s="12">
        <f>_xlfn.MINIFS('Draft Board'!$X$2:$X$162,'Draft Board'!$X$2:$X$162,"&gt;="&amp;X162,'Draft Board'!$Z$2:$Z$162,1)</f>
        <v>0</v>
      </c>
      <c r="AB162" s="12">
        <f>IF(Y162&lt;&gt;_xlfn.MINIFS('Draft Board'!$Y$2:$Y$162,'Draft Board'!$X$2:$X$162,"="&amp;X162),0,IF(OR(Z162=1,IFERROR(FLOOR((AA162-X162)/AA162/0.25,1),0)&lt;&gt;IFERROR(FLOOR((AA162-_xlfn.MINIFS('Draft Board'!$X$2:$X$162,'Draft Board'!$X$2:$X$162,"&gt;"&amp;X162))/AA162/0.25,1),0)),1,0))</f>
        <v>0</v>
      </c>
      <c r="AC162" s="12">
        <f>ROUND(1+X162*'Live Calc'!$D$27,0)</f>
        <v>1</v>
      </c>
      <c r="AD162" s="12"/>
      <c r="AE162" s="12">
        <f>IF(AD162&lt;&gt;"",AD162,ROUND(AC162*INDEX('Live Calc'!$G$96:$G$256,MATCH(W162,'Live Calc'!$A$96:$A$256,0))*'Live Calc'!$J$543,0))</f>
        <v>1</v>
      </c>
      <c r="AG162" s="13" t="s">
        <v>559</v>
      </c>
      <c r="AH162" s="13" t="s">
        <v>111</v>
      </c>
      <c r="AI162" s="13">
        <v>15.89</v>
      </c>
      <c r="AJ162" s="13">
        <v>21.41</v>
      </c>
      <c r="AK162" s="13">
        <v>31.54</v>
      </c>
      <c r="AL162" s="13">
        <f>CHOOSE(MATCH(Setup!$B$7,{"STD","Half-PPR","PPR"},0),AI162,AJ162,AK162)</f>
        <v>21.41</v>
      </c>
      <c r="AM162" s="13">
        <f>COUNTIFS('Draft Board'!$AN$2:$AN$192,"&gt;="&amp;AN162,'Draft Board'!$AR$2:$AR$192,1)</f>
        <v>22</v>
      </c>
      <c r="AN162" s="13">
        <f>MAX(0,AL162-'Live Calc'!$H$21)^'Live Calc'!$E$21</f>
        <v>0</v>
      </c>
      <c r="AO162" s="13">
        <v>162</v>
      </c>
      <c r="AP162" s="13">
        <f>IF(AO162&lt;&gt;_xlfn.MINIFS('Draft Board'!$AO$2:$AO$192,'Draft Board'!$AN$2:$AN$192,"="&amp;AN162),0,IF(_xlfn.MINIFS('Draft Board'!$AN$2:$AN$192,'Draft Board'!$AN$2:$AN$192,"&gt;"&amp;AN162)=0,1,IF((_xlfn.MINIFS('Draft Board'!$AN$2:$AN$192,'Draft Board'!$AN$2:$AN$192,"&gt;"&amp;AN162)-AN162)/_xlfn.MINIFS('Draft Board'!$AN$2:$AN$192,'Draft Board'!$AN$2:$AN$192,"&gt;"&amp;AN162)&gt;0.08,1,0)))</f>
        <v>0</v>
      </c>
      <c r="AQ162" s="13">
        <f>_xlfn.MINIFS('Draft Board'!$AN$2:$AN$192,'Draft Board'!$AN$2:$AN$192,"&gt;="&amp;AN162,'Draft Board'!$AP$2:$AP$192,1)</f>
        <v>0</v>
      </c>
      <c r="AR162" s="13">
        <f>IF(AO162&lt;&gt;_xlfn.MINIFS('Draft Board'!$AO$2:$AO$192,'Draft Board'!$AN$2:$AN$192,"="&amp;AN162),0,IF(OR(AP162=1,IFERROR(FLOOR((AQ162-AN162)/AQ162/0.25,1),0)&lt;&gt;IFERROR(FLOOR((AQ162-_xlfn.MINIFS('Draft Board'!$AN$2:$AN$192,'Draft Board'!$AN$2:$AN$192,"&gt;"&amp;AN162))/AQ162/0.25,1),0)),1,0))</f>
        <v>0</v>
      </c>
      <c r="AS162" s="13">
        <f>ROUND(1+AN162*'Live Calc'!$D$28,0)</f>
        <v>1</v>
      </c>
      <c r="AT162" s="13"/>
      <c r="AU162" s="13">
        <f>IF(AT162&lt;&gt;"",AT162,ROUND(AS162*INDEX('Live Calc'!$G$260:$G$450,MATCH(AM162,'Live Calc'!$A$260:$A$450,0))*'Live Calc'!$J$543,0))</f>
        <v>1</v>
      </c>
    </row>
    <row r="163" spans="17:47" x14ac:dyDescent="0.25">
      <c r="AG163" s="13" t="s">
        <v>560</v>
      </c>
      <c r="AH163" s="13" t="s">
        <v>105</v>
      </c>
      <c r="AI163" s="13">
        <v>15.44</v>
      </c>
      <c r="AJ163" s="13">
        <v>20.92</v>
      </c>
      <c r="AK163" s="13">
        <v>26.39</v>
      </c>
      <c r="AL163" s="13">
        <f>CHOOSE(MATCH(Setup!$B$7,{"STD","Half-PPR","PPR"},0),AI163,AJ163,AK163)</f>
        <v>20.92</v>
      </c>
      <c r="AM163" s="13">
        <f>COUNTIFS('Draft Board'!$AN$2:$AN$192,"&gt;="&amp;AN163,'Draft Board'!$AR$2:$AR$192,1)</f>
        <v>22</v>
      </c>
      <c r="AN163" s="13">
        <f>MAX(0,AL163-'Live Calc'!$H$21)^'Live Calc'!$E$21</f>
        <v>0</v>
      </c>
      <c r="AO163" s="13">
        <v>163</v>
      </c>
      <c r="AP163" s="13">
        <f>IF(AO163&lt;&gt;_xlfn.MINIFS('Draft Board'!$AO$2:$AO$192,'Draft Board'!$AN$2:$AN$192,"="&amp;AN163),0,IF(_xlfn.MINIFS('Draft Board'!$AN$2:$AN$192,'Draft Board'!$AN$2:$AN$192,"&gt;"&amp;AN163)=0,1,IF((_xlfn.MINIFS('Draft Board'!$AN$2:$AN$192,'Draft Board'!$AN$2:$AN$192,"&gt;"&amp;AN163)-AN163)/_xlfn.MINIFS('Draft Board'!$AN$2:$AN$192,'Draft Board'!$AN$2:$AN$192,"&gt;"&amp;AN163)&gt;0.08,1,0)))</f>
        <v>0</v>
      </c>
      <c r="AQ163" s="13">
        <f>_xlfn.MINIFS('Draft Board'!$AN$2:$AN$192,'Draft Board'!$AN$2:$AN$192,"&gt;="&amp;AN163,'Draft Board'!$AP$2:$AP$192,1)</f>
        <v>0</v>
      </c>
      <c r="AR163" s="13">
        <f>IF(AO163&lt;&gt;_xlfn.MINIFS('Draft Board'!$AO$2:$AO$192,'Draft Board'!$AN$2:$AN$192,"="&amp;AN163),0,IF(OR(AP163=1,IFERROR(FLOOR((AQ163-AN163)/AQ163/0.25,1),0)&lt;&gt;IFERROR(FLOOR((AQ163-_xlfn.MINIFS('Draft Board'!$AN$2:$AN$192,'Draft Board'!$AN$2:$AN$192,"&gt;"&amp;AN163))/AQ163/0.25,1),0)),1,0))</f>
        <v>0</v>
      </c>
      <c r="AS163" s="13">
        <f>ROUND(1+AN163*'Live Calc'!$D$28,0)</f>
        <v>1</v>
      </c>
      <c r="AT163" s="13"/>
      <c r="AU163" s="13">
        <f>IF(AT163&lt;&gt;"",AT163,ROUND(AS163*INDEX('Live Calc'!$G$260:$G$450,MATCH(AM163,'Live Calc'!$A$260:$A$450,0))*'Live Calc'!$J$543,0))</f>
        <v>1</v>
      </c>
    </row>
    <row r="164" spans="17:47" x14ac:dyDescent="0.25">
      <c r="AG164" s="13" t="s">
        <v>561</v>
      </c>
      <c r="AH164" s="13" t="s">
        <v>159</v>
      </c>
      <c r="AI164" s="13">
        <v>15.16</v>
      </c>
      <c r="AJ164" s="13">
        <v>19.670000000000002</v>
      </c>
      <c r="AK164" s="13">
        <v>24.19</v>
      </c>
      <c r="AL164" s="13">
        <f>CHOOSE(MATCH(Setup!$B$7,{"STD","Half-PPR","PPR"},0),AI164,AJ164,AK164)</f>
        <v>19.670000000000002</v>
      </c>
      <c r="AM164" s="13">
        <f>COUNTIFS('Draft Board'!$AN$2:$AN$192,"&gt;="&amp;AN164,'Draft Board'!$AR$2:$AR$192,1)</f>
        <v>22</v>
      </c>
      <c r="AN164" s="13">
        <f>MAX(0,AL164-'Live Calc'!$H$21)^'Live Calc'!$E$21</f>
        <v>0</v>
      </c>
      <c r="AO164" s="13">
        <v>164</v>
      </c>
      <c r="AP164" s="13">
        <f>IF(AO164&lt;&gt;_xlfn.MINIFS('Draft Board'!$AO$2:$AO$192,'Draft Board'!$AN$2:$AN$192,"="&amp;AN164),0,IF(_xlfn.MINIFS('Draft Board'!$AN$2:$AN$192,'Draft Board'!$AN$2:$AN$192,"&gt;"&amp;AN164)=0,1,IF((_xlfn.MINIFS('Draft Board'!$AN$2:$AN$192,'Draft Board'!$AN$2:$AN$192,"&gt;"&amp;AN164)-AN164)/_xlfn.MINIFS('Draft Board'!$AN$2:$AN$192,'Draft Board'!$AN$2:$AN$192,"&gt;"&amp;AN164)&gt;0.08,1,0)))</f>
        <v>0</v>
      </c>
      <c r="AQ164" s="13">
        <f>_xlfn.MINIFS('Draft Board'!$AN$2:$AN$192,'Draft Board'!$AN$2:$AN$192,"&gt;="&amp;AN164,'Draft Board'!$AP$2:$AP$192,1)</f>
        <v>0</v>
      </c>
      <c r="AR164" s="13">
        <f>IF(AO164&lt;&gt;_xlfn.MINIFS('Draft Board'!$AO$2:$AO$192,'Draft Board'!$AN$2:$AN$192,"="&amp;AN164),0,IF(OR(AP164=1,IFERROR(FLOOR((AQ164-AN164)/AQ164/0.25,1),0)&lt;&gt;IFERROR(FLOOR((AQ164-_xlfn.MINIFS('Draft Board'!$AN$2:$AN$192,'Draft Board'!$AN$2:$AN$192,"&gt;"&amp;AN164))/AQ164/0.25,1),0)),1,0))</f>
        <v>0</v>
      </c>
      <c r="AS164" s="13">
        <f>ROUND(1+AN164*'Live Calc'!$D$28,0)</f>
        <v>1</v>
      </c>
      <c r="AT164" s="13"/>
      <c r="AU164" s="13">
        <f>IF(AT164&lt;&gt;"",AT164,ROUND(AS164*INDEX('Live Calc'!$G$260:$G$450,MATCH(AM164,'Live Calc'!$A$260:$A$450,0))*'Live Calc'!$J$543,0))</f>
        <v>1</v>
      </c>
    </row>
    <row r="165" spans="17:47" x14ac:dyDescent="0.25">
      <c r="AG165" s="13" t="s">
        <v>562</v>
      </c>
      <c r="AH165" s="13" t="s">
        <v>87</v>
      </c>
      <c r="AI165" s="13">
        <v>19.111999999999998</v>
      </c>
      <c r="AJ165" s="13">
        <v>19.45</v>
      </c>
      <c r="AK165" s="13">
        <v>23.84</v>
      </c>
      <c r="AL165" s="13">
        <f>CHOOSE(MATCH(Setup!$B$7,{"STD","Half-PPR","PPR"},0),AI165,AJ165,AK165)</f>
        <v>19.45</v>
      </c>
      <c r="AM165" s="13">
        <f>COUNTIFS('Draft Board'!$AN$2:$AN$192,"&gt;="&amp;AN165,'Draft Board'!$AR$2:$AR$192,1)</f>
        <v>22</v>
      </c>
      <c r="AN165" s="13">
        <f>MAX(0,AL165-'Live Calc'!$H$21)^'Live Calc'!$E$21</f>
        <v>0</v>
      </c>
      <c r="AO165" s="13">
        <v>165</v>
      </c>
      <c r="AP165" s="13">
        <f>IF(AO165&lt;&gt;_xlfn.MINIFS('Draft Board'!$AO$2:$AO$192,'Draft Board'!$AN$2:$AN$192,"="&amp;AN165),0,IF(_xlfn.MINIFS('Draft Board'!$AN$2:$AN$192,'Draft Board'!$AN$2:$AN$192,"&gt;"&amp;AN165)=0,1,IF((_xlfn.MINIFS('Draft Board'!$AN$2:$AN$192,'Draft Board'!$AN$2:$AN$192,"&gt;"&amp;AN165)-AN165)/_xlfn.MINIFS('Draft Board'!$AN$2:$AN$192,'Draft Board'!$AN$2:$AN$192,"&gt;"&amp;AN165)&gt;0.08,1,0)))</f>
        <v>0</v>
      </c>
      <c r="AQ165" s="13">
        <f>_xlfn.MINIFS('Draft Board'!$AN$2:$AN$192,'Draft Board'!$AN$2:$AN$192,"&gt;="&amp;AN165,'Draft Board'!$AP$2:$AP$192,1)</f>
        <v>0</v>
      </c>
      <c r="AR165" s="13">
        <f>IF(AO165&lt;&gt;_xlfn.MINIFS('Draft Board'!$AO$2:$AO$192,'Draft Board'!$AN$2:$AN$192,"="&amp;AN165),0,IF(OR(AP165=1,IFERROR(FLOOR((AQ165-AN165)/AQ165/0.25,1),0)&lt;&gt;IFERROR(FLOOR((AQ165-_xlfn.MINIFS('Draft Board'!$AN$2:$AN$192,'Draft Board'!$AN$2:$AN$192,"&gt;"&amp;AN165))/AQ165/0.25,1),0)),1,0))</f>
        <v>0</v>
      </c>
      <c r="AS165" s="13">
        <f>ROUND(1+AN165*'Live Calc'!$D$28,0)</f>
        <v>1</v>
      </c>
      <c r="AT165" s="13"/>
      <c r="AU165" s="13">
        <f>IF(AT165&lt;&gt;"",AT165,ROUND(AS165*INDEX('Live Calc'!$G$260:$G$450,MATCH(AM165,'Live Calc'!$A$260:$A$450,0))*'Live Calc'!$J$543,0))</f>
        <v>1</v>
      </c>
    </row>
    <row r="166" spans="17:47" x14ac:dyDescent="0.25">
      <c r="AG166" s="13" t="s">
        <v>563</v>
      </c>
      <c r="AH166" s="13" t="s">
        <v>101</v>
      </c>
      <c r="AI166" s="13">
        <v>14.42</v>
      </c>
      <c r="AJ166" s="13">
        <v>18.66</v>
      </c>
      <c r="AK166" s="13">
        <v>22.89</v>
      </c>
      <c r="AL166" s="13">
        <f>CHOOSE(MATCH(Setup!$B$7,{"STD","Half-PPR","PPR"},0),AI166,AJ166,AK166)</f>
        <v>18.66</v>
      </c>
      <c r="AM166" s="13">
        <f>COUNTIFS('Draft Board'!$AN$2:$AN$192,"&gt;="&amp;AN166,'Draft Board'!$AR$2:$AR$192,1)</f>
        <v>22</v>
      </c>
      <c r="AN166" s="13">
        <f>MAX(0,AL166-'Live Calc'!$H$21)^'Live Calc'!$E$21</f>
        <v>0</v>
      </c>
      <c r="AO166" s="13">
        <v>166</v>
      </c>
      <c r="AP166" s="13">
        <f>IF(AO166&lt;&gt;_xlfn.MINIFS('Draft Board'!$AO$2:$AO$192,'Draft Board'!$AN$2:$AN$192,"="&amp;AN166),0,IF(_xlfn.MINIFS('Draft Board'!$AN$2:$AN$192,'Draft Board'!$AN$2:$AN$192,"&gt;"&amp;AN166)=0,1,IF((_xlfn.MINIFS('Draft Board'!$AN$2:$AN$192,'Draft Board'!$AN$2:$AN$192,"&gt;"&amp;AN166)-AN166)/_xlfn.MINIFS('Draft Board'!$AN$2:$AN$192,'Draft Board'!$AN$2:$AN$192,"&gt;"&amp;AN166)&gt;0.08,1,0)))</f>
        <v>0</v>
      </c>
      <c r="AQ166" s="13">
        <f>_xlfn.MINIFS('Draft Board'!$AN$2:$AN$192,'Draft Board'!$AN$2:$AN$192,"&gt;="&amp;AN166,'Draft Board'!$AP$2:$AP$192,1)</f>
        <v>0</v>
      </c>
      <c r="AR166" s="13">
        <f>IF(AO166&lt;&gt;_xlfn.MINIFS('Draft Board'!$AO$2:$AO$192,'Draft Board'!$AN$2:$AN$192,"="&amp;AN166),0,IF(OR(AP166=1,IFERROR(FLOOR((AQ166-AN166)/AQ166/0.25,1),0)&lt;&gt;IFERROR(FLOOR((AQ166-_xlfn.MINIFS('Draft Board'!$AN$2:$AN$192,'Draft Board'!$AN$2:$AN$192,"&gt;"&amp;AN166))/AQ166/0.25,1),0)),1,0))</f>
        <v>0</v>
      </c>
      <c r="AS166" s="13">
        <f>ROUND(1+AN166*'Live Calc'!$D$28,0)</f>
        <v>1</v>
      </c>
      <c r="AT166" s="13"/>
      <c r="AU166" s="13">
        <f>IF(AT166&lt;&gt;"",AT166,ROUND(AS166*INDEX('Live Calc'!$G$260:$G$450,MATCH(AM166,'Live Calc'!$A$260:$A$450,0))*'Live Calc'!$J$543,0))</f>
        <v>1</v>
      </c>
    </row>
    <row r="167" spans="17:47" x14ac:dyDescent="0.25">
      <c r="AG167" s="13" t="s">
        <v>564</v>
      </c>
      <c r="AH167" s="13" t="s">
        <v>118</v>
      </c>
      <c r="AI167" s="13">
        <v>13.1</v>
      </c>
      <c r="AJ167" s="13">
        <v>16.82</v>
      </c>
      <c r="AK167" s="13">
        <v>20.53</v>
      </c>
      <c r="AL167" s="13">
        <f>CHOOSE(MATCH(Setup!$B$7,{"STD","Half-PPR","PPR"},0),AI167,AJ167,AK167)</f>
        <v>16.82</v>
      </c>
      <c r="AM167" s="13">
        <f>COUNTIFS('Draft Board'!$AN$2:$AN$192,"&gt;="&amp;AN167,'Draft Board'!$AR$2:$AR$192,1)</f>
        <v>22</v>
      </c>
      <c r="AN167" s="13">
        <f>MAX(0,AL167-'Live Calc'!$H$21)^'Live Calc'!$E$21</f>
        <v>0</v>
      </c>
      <c r="AO167" s="13">
        <v>167</v>
      </c>
      <c r="AP167" s="13">
        <f>IF(AO167&lt;&gt;_xlfn.MINIFS('Draft Board'!$AO$2:$AO$192,'Draft Board'!$AN$2:$AN$192,"="&amp;AN167),0,IF(_xlfn.MINIFS('Draft Board'!$AN$2:$AN$192,'Draft Board'!$AN$2:$AN$192,"&gt;"&amp;AN167)=0,1,IF((_xlfn.MINIFS('Draft Board'!$AN$2:$AN$192,'Draft Board'!$AN$2:$AN$192,"&gt;"&amp;AN167)-AN167)/_xlfn.MINIFS('Draft Board'!$AN$2:$AN$192,'Draft Board'!$AN$2:$AN$192,"&gt;"&amp;AN167)&gt;0.08,1,0)))</f>
        <v>0</v>
      </c>
      <c r="AQ167" s="13">
        <f>_xlfn.MINIFS('Draft Board'!$AN$2:$AN$192,'Draft Board'!$AN$2:$AN$192,"&gt;="&amp;AN167,'Draft Board'!$AP$2:$AP$192,1)</f>
        <v>0</v>
      </c>
      <c r="AR167" s="13">
        <f>IF(AO167&lt;&gt;_xlfn.MINIFS('Draft Board'!$AO$2:$AO$192,'Draft Board'!$AN$2:$AN$192,"="&amp;AN167),0,IF(OR(AP167=1,IFERROR(FLOOR((AQ167-AN167)/AQ167/0.25,1),0)&lt;&gt;IFERROR(FLOOR((AQ167-_xlfn.MINIFS('Draft Board'!$AN$2:$AN$192,'Draft Board'!$AN$2:$AN$192,"&gt;"&amp;AN167))/AQ167/0.25,1),0)),1,0))</f>
        <v>0</v>
      </c>
      <c r="AS167" s="13">
        <f>ROUND(1+AN167*'Live Calc'!$D$28,0)</f>
        <v>1</v>
      </c>
      <c r="AT167" s="13"/>
      <c r="AU167" s="13">
        <f>IF(AT167&lt;&gt;"",AT167,ROUND(AS167*INDEX('Live Calc'!$G$260:$G$450,MATCH(AM167,'Live Calc'!$A$260:$A$450,0))*'Live Calc'!$J$543,0))</f>
        <v>1</v>
      </c>
    </row>
    <row r="168" spans="17:47" x14ac:dyDescent="0.25">
      <c r="AG168" s="13" t="s">
        <v>565</v>
      </c>
      <c r="AH168" s="13" t="s">
        <v>65</v>
      </c>
      <c r="AI168" s="13">
        <v>13.12</v>
      </c>
      <c r="AJ168" s="13">
        <v>16.809999999999999</v>
      </c>
      <c r="AK168" s="13">
        <v>20.5</v>
      </c>
      <c r="AL168" s="13">
        <f>CHOOSE(MATCH(Setup!$B$7,{"STD","Half-PPR","PPR"},0),AI168,AJ168,AK168)</f>
        <v>16.809999999999999</v>
      </c>
      <c r="AM168" s="13">
        <f>COUNTIFS('Draft Board'!$AN$2:$AN$192,"&gt;="&amp;AN168,'Draft Board'!$AR$2:$AR$192,1)</f>
        <v>22</v>
      </c>
      <c r="AN168" s="13">
        <f>MAX(0,AL168-'Live Calc'!$H$21)^'Live Calc'!$E$21</f>
        <v>0</v>
      </c>
      <c r="AO168" s="13">
        <v>168</v>
      </c>
      <c r="AP168" s="13">
        <f>IF(AO168&lt;&gt;_xlfn.MINIFS('Draft Board'!$AO$2:$AO$192,'Draft Board'!$AN$2:$AN$192,"="&amp;AN168),0,IF(_xlfn.MINIFS('Draft Board'!$AN$2:$AN$192,'Draft Board'!$AN$2:$AN$192,"&gt;"&amp;AN168)=0,1,IF((_xlfn.MINIFS('Draft Board'!$AN$2:$AN$192,'Draft Board'!$AN$2:$AN$192,"&gt;"&amp;AN168)-AN168)/_xlfn.MINIFS('Draft Board'!$AN$2:$AN$192,'Draft Board'!$AN$2:$AN$192,"&gt;"&amp;AN168)&gt;0.08,1,0)))</f>
        <v>0</v>
      </c>
      <c r="AQ168" s="13">
        <f>_xlfn.MINIFS('Draft Board'!$AN$2:$AN$192,'Draft Board'!$AN$2:$AN$192,"&gt;="&amp;AN168,'Draft Board'!$AP$2:$AP$192,1)</f>
        <v>0</v>
      </c>
      <c r="AR168" s="13">
        <f>IF(AO168&lt;&gt;_xlfn.MINIFS('Draft Board'!$AO$2:$AO$192,'Draft Board'!$AN$2:$AN$192,"="&amp;AN168),0,IF(OR(AP168=1,IFERROR(FLOOR((AQ168-AN168)/AQ168/0.25,1),0)&lt;&gt;IFERROR(FLOOR((AQ168-_xlfn.MINIFS('Draft Board'!$AN$2:$AN$192,'Draft Board'!$AN$2:$AN$192,"&gt;"&amp;AN168))/AQ168/0.25,1),0)),1,0))</f>
        <v>0</v>
      </c>
      <c r="AS168" s="13">
        <f>ROUND(1+AN168*'Live Calc'!$D$28,0)</f>
        <v>1</v>
      </c>
      <c r="AT168" s="13"/>
      <c r="AU168" s="13">
        <f>IF(AT168&lt;&gt;"",AT168,ROUND(AS168*INDEX('Live Calc'!$G$260:$G$450,MATCH(AM168,'Live Calc'!$A$260:$A$450,0))*'Live Calc'!$J$543,0))</f>
        <v>1</v>
      </c>
    </row>
    <row r="169" spans="17:47" x14ac:dyDescent="0.25">
      <c r="AG169" s="13" t="s">
        <v>566</v>
      </c>
      <c r="AH169" s="13" t="s">
        <v>94</v>
      </c>
      <c r="AI169" s="13">
        <v>12.97</v>
      </c>
      <c r="AJ169" s="13">
        <v>16.02</v>
      </c>
      <c r="AK169" s="13">
        <v>19.07</v>
      </c>
      <c r="AL169" s="13">
        <f>CHOOSE(MATCH(Setup!$B$7,{"STD","Half-PPR","PPR"},0),AI169,AJ169,AK169)</f>
        <v>16.02</v>
      </c>
      <c r="AM169" s="13">
        <f>COUNTIFS('Draft Board'!$AN$2:$AN$192,"&gt;="&amp;AN169,'Draft Board'!$AR$2:$AR$192,1)</f>
        <v>22</v>
      </c>
      <c r="AN169" s="13">
        <f>MAX(0,AL169-'Live Calc'!$H$21)^'Live Calc'!$E$21</f>
        <v>0</v>
      </c>
      <c r="AO169" s="13">
        <v>169</v>
      </c>
      <c r="AP169" s="13">
        <f>IF(AO169&lt;&gt;_xlfn.MINIFS('Draft Board'!$AO$2:$AO$192,'Draft Board'!$AN$2:$AN$192,"="&amp;AN169),0,IF(_xlfn.MINIFS('Draft Board'!$AN$2:$AN$192,'Draft Board'!$AN$2:$AN$192,"&gt;"&amp;AN169)=0,1,IF((_xlfn.MINIFS('Draft Board'!$AN$2:$AN$192,'Draft Board'!$AN$2:$AN$192,"&gt;"&amp;AN169)-AN169)/_xlfn.MINIFS('Draft Board'!$AN$2:$AN$192,'Draft Board'!$AN$2:$AN$192,"&gt;"&amp;AN169)&gt;0.08,1,0)))</f>
        <v>0</v>
      </c>
      <c r="AQ169" s="13">
        <f>_xlfn.MINIFS('Draft Board'!$AN$2:$AN$192,'Draft Board'!$AN$2:$AN$192,"&gt;="&amp;AN169,'Draft Board'!$AP$2:$AP$192,1)</f>
        <v>0</v>
      </c>
      <c r="AR169" s="13">
        <f>IF(AO169&lt;&gt;_xlfn.MINIFS('Draft Board'!$AO$2:$AO$192,'Draft Board'!$AN$2:$AN$192,"="&amp;AN169),0,IF(OR(AP169=1,IFERROR(FLOOR((AQ169-AN169)/AQ169/0.25,1),0)&lt;&gt;IFERROR(FLOOR((AQ169-_xlfn.MINIFS('Draft Board'!$AN$2:$AN$192,'Draft Board'!$AN$2:$AN$192,"&gt;"&amp;AN169))/AQ169/0.25,1),0)),1,0))</f>
        <v>0</v>
      </c>
      <c r="AS169" s="13">
        <f>ROUND(1+AN169*'Live Calc'!$D$28,0)</f>
        <v>1</v>
      </c>
      <c r="AT169" s="13"/>
      <c r="AU169" s="13">
        <f>IF(AT169&lt;&gt;"",AT169,ROUND(AS169*INDEX('Live Calc'!$G$260:$G$450,MATCH(AM169,'Live Calc'!$A$260:$A$450,0))*'Live Calc'!$J$543,0))</f>
        <v>1</v>
      </c>
    </row>
    <row r="170" spans="17:47" x14ac:dyDescent="0.25">
      <c r="AG170" s="13" t="s">
        <v>567</v>
      </c>
      <c r="AH170" s="13" t="s">
        <v>73</v>
      </c>
      <c r="AI170" s="13">
        <v>12.01</v>
      </c>
      <c r="AJ170" s="13">
        <v>15.99</v>
      </c>
      <c r="AK170" s="13">
        <v>19.989999999999998</v>
      </c>
      <c r="AL170" s="13">
        <f>CHOOSE(MATCH(Setup!$B$7,{"STD","Half-PPR","PPR"},0),AI170,AJ170,AK170)</f>
        <v>15.99</v>
      </c>
      <c r="AM170" s="13">
        <f>COUNTIFS('Draft Board'!$AN$2:$AN$192,"&gt;="&amp;AN170,'Draft Board'!$AR$2:$AR$192,1)</f>
        <v>22</v>
      </c>
      <c r="AN170" s="13">
        <f>MAX(0,AL170-'Live Calc'!$H$21)^'Live Calc'!$E$21</f>
        <v>0</v>
      </c>
      <c r="AO170" s="13">
        <v>170</v>
      </c>
      <c r="AP170" s="13">
        <f>IF(AO170&lt;&gt;_xlfn.MINIFS('Draft Board'!$AO$2:$AO$192,'Draft Board'!$AN$2:$AN$192,"="&amp;AN170),0,IF(_xlfn.MINIFS('Draft Board'!$AN$2:$AN$192,'Draft Board'!$AN$2:$AN$192,"&gt;"&amp;AN170)=0,1,IF((_xlfn.MINIFS('Draft Board'!$AN$2:$AN$192,'Draft Board'!$AN$2:$AN$192,"&gt;"&amp;AN170)-AN170)/_xlfn.MINIFS('Draft Board'!$AN$2:$AN$192,'Draft Board'!$AN$2:$AN$192,"&gt;"&amp;AN170)&gt;0.08,1,0)))</f>
        <v>0</v>
      </c>
      <c r="AQ170" s="13">
        <f>_xlfn.MINIFS('Draft Board'!$AN$2:$AN$192,'Draft Board'!$AN$2:$AN$192,"&gt;="&amp;AN170,'Draft Board'!$AP$2:$AP$192,1)</f>
        <v>0</v>
      </c>
      <c r="AR170" s="13">
        <f>IF(AO170&lt;&gt;_xlfn.MINIFS('Draft Board'!$AO$2:$AO$192,'Draft Board'!$AN$2:$AN$192,"="&amp;AN170),0,IF(OR(AP170=1,IFERROR(FLOOR((AQ170-AN170)/AQ170/0.25,1),0)&lt;&gt;IFERROR(FLOOR((AQ170-_xlfn.MINIFS('Draft Board'!$AN$2:$AN$192,'Draft Board'!$AN$2:$AN$192,"&gt;"&amp;AN170))/AQ170/0.25,1),0)),1,0))</f>
        <v>0</v>
      </c>
      <c r="AS170" s="13">
        <f>ROUND(1+AN170*'Live Calc'!$D$28,0)</f>
        <v>1</v>
      </c>
      <c r="AT170" s="13"/>
      <c r="AU170" s="13">
        <f>IF(AT170&lt;&gt;"",AT170,ROUND(AS170*INDEX('Live Calc'!$G$260:$G$450,MATCH(AM170,'Live Calc'!$A$260:$A$450,0))*'Live Calc'!$J$543,0))</f>
        <v>1</v>
      </c>
    </row>
    <row r="171" spans="17:47" x14ac:dyDescent="0.25">
      <c r="AG171" s="13" t="s">
        <v>568</v>
      </c>
      <c r="AH171" s="13" t="s">
        <v>134</v>
      </c>
      <c r="AI171" s="13">
        <v>11.58</v>
      </c>
      <c r="AJ171" s="13">
        <v>15.24</v>
      </c>
      <c r="AK171" s="13">
        <v>18.89</v>
      </c>
      <c r="AL171" s="13">
        <f>CHOOSE(MATCH(Setup!$B$7,{"STD","Half-PPR","PPR"},0),AI171,AJ171,AK171)</f>
        <v>15.24</v>
      </c>
      <c r="AM171" s="13">
        <f>COUNTIFS('Draft Board'!$AN$2:$AN$192,"&gt;="&amp;AN171,'Draft Board'!$AR$2:$AR$192,1)</f>
        <v>22</v>
      </c>
      <c r="AN171" s="13">
        <f>MAX(0,AL171-'Live Calc'!$H$21)^'Live Calc'!$E$21</f>
        <v>0</v>
      </c>
      <c r="AO171" s="13">
        <v>171</v>
      </c>
      <c r="AP171" s="13">
        <f>IF(AO171&lt;&gt;_xlfn.MINIFS('Draft Board'!$AO$2:$AO$192,'Draft Board'!$AN$2:$AN$192,"="&amp;AN171),0,IF(_xlfn.MINIFS('Draft Board'!$AN$2:$AN$192,'Draft Board'!$AN$2:$AN$192,"&gt;"&amp;AN171)=0,1,IF((_xlfn.MINIFS('Draft Board'!$AN$2:$AN$192,'Draft Board'!$AN$2:$AN$192,"&gt;"&amp;AN171)-AN171)/_xlfn.MINIFS('Draft Board'!$AN$2:$AN$192,'Draft Board'!$AN$2:$AN$192,"&gt;"&amp;AN171)&gt;0.08,1,0)))</f>
        <v>0</v>
      </c>
      <c r="AQ171" s="13">
        <f>_xlfn.MINIFS('Draft Board'!$AN$2:$AN$192,'Draft Board'!$AN$2:$AN$192,"&gt;="&amp;AN171,'Draft Board'!$AP$2:$AP$192,1)</f>
        <v>0</v>
      </c>
      <c r="AR171" s="13">
        <f>IF(AO171&lt;&gt;_xlfn.MINIFS('Draft Board'!$AO$2:$AO$192,'Draft Board'!$AN$2:$AN$192,"="&amp;AN171),0,IF(OR(AP171=1,IFERROR(FLOOR((AQ171-AN171)/AQ171/0.25,1),0)&lt;&gt;IFERROR(FLOOR((AQ171-_xlfn.MINIFS('Draft Board'!$AN$2:$AN$192,'Draft Board'!$AN$2:$AN$192,"&gt;"&amp;AN171))/AQ171/0.25,1),0)),1,0))</f>
        <v>0</v>
      </c>
      <c r="AS171" s="13">
        <f>ROUND(1+AN171*'Live Calc'!$D$28,0)</f>
        <v>1</v>
      </c>
      <c r="AT171" s="13"/>
      <c r="AU171" s="13">
        <f>IF(AT171&lt;&gt;"",AT171,ROUND(AS171*INDEX('Live Calc'!$G$260:$G$450,MATCH(AM171,'Live Calc'!$A$260:$A$450,0))*'Live Calc'!$J$543,0))</f>
        <v>1</v>
      </c>
    </row>
    <row r="172" spans="17:47" x14ac:dyDescent="0.25">
      <c r="AG172" s="13" t="s">
        <v>569</v>
      </c>
      <c r="AH172" s="13" t="s">
        <v>75</v>
      </c>
      <c r="AI172" s="13">
        <v>11.13</v>
      </c>
      <c r="AJ172" s="13">
        <v>14.43</v>
      </c>
      <c r="AK172" s="13">
        <v>17.73</v>
      </c>
      <c r="AL172" s="13">
        <f>CHOOSE(MATCH(Setup!$B$7,{"STD","Half-PPR","PPR"},0),AI172,AJ172,AK172)</f>
        <v>14.43</v>
      </c>
      <c r="AM172" s="13">
        <f>COUNTIFS('Draft Board'!$AN$2:$AN$192,"&gt;="&amp;AN172,'Draft Board'!$AR$2:$AR$192,1)</f>
        <v>22</v>
      </c>
      <c r="AN172" s="13">
        <f>MAX(0,AL172-'Live Calc'!$H$21)^'Live Calc'!$E$21</f>
        <v>0</v>
      </c>
      <c r="AO172" s="13">
        <v>172</v>
      </c>
      <c r="AP172" s="13">
        <f>IF(AO172&lt;&gt;_xlfn.MINIFS('Draft Board'!$AO$2:$AO$192,'Draft Board'!$AN$2:$AN$192,"="&amp;AN172),0,IF(_xlfn.MINIFS('Draft Board'!$AN$2:$AN$192,'Draft Board'!$AN$2:$AN$192,"&gt;"&amp;AN172)=0,1,IF((_xlfn.MINIFS('Draft Board'!$AN$2:$AN$192,'Draft Board'!$AN$2:$AN$192,"&gt;"&amp;AN172)-AN172)/_xlfn.MINIFS('Draft Board'!$AN$2:$AN$192,'Draft Board'!$AN$2:$AN$192,"&gt;"&amp;AN172)&gt;0.08,1,0)))</f>
        <v>0</v>
      </c>
      <c r="AQ172" s="13">
        <f>_xlfn.MINIFS('Draft Board'!$AN$2:$AN$192,'Draft Board'!$AN$2:$AN$192,"&gt;="&amp;AN172,'Draft Board'!$AP$2:$AP$192,1)</f>
        <v>0</v>
      </c>
      <c r="AR172" s="13">
        <f>IF(AO172&lt;&gt;_xlfn.MINIFS('Draft Board'!$AO$2:$AO$192,'Draft Board'!$AN$2:$AN$192,"="&amp;AN172),0,IF(OR(AP172=1,IFERROR(FLOOR((AQ172-AN172)/AQ172/0.25,1),0)&lt;&gt;IFERROR(FLOOR((AQ172-_xlfn.MINIFS('Draft Board'!$AN$2:$AN$192,'Draft Board'!$AN$2:$AN$192,"&gt;"&amp;AN172))/AQ172/0.25,1),0)),1,0))</f>
        <v>0</v>
      </c>
      <c r="AS172" s="13">
        <f>ROUND(1+AN172*'Live Calc'!$D$28,0)</f>
        <v>1</v>
      </c>
      <c r="AT172" s="13"/>
      <c r="AU172" s="13">
        <f>IF(AT172&lt;&gt;"",AT172,ROUND(AS172*INDEX('Live Calc'!$G$260:$G$450,MATCH(AM172,'Live Calc'!$A$260:$A$450,0))*'Live Calc'!$J$543,0))</f>
        <v>1</v>
      </c>
    </row>
    <row r="173" spans="17:47" x14ac:dyDescent="0.25">
      <c r="AG173" s="13" t="s">
        <v>570</v>
      </c>
      <c r="AH173" s="13" t="s">
        <v>67</v>
      </c>
      <c r="AI173" s="13">
        <v>10.27</v>
      </c>
      <c r="AJ173" s="13">
        <v>13.38</v>
      </c>
      <c r="AK173" s="13">
        <v>16.48</v>
      </c>
      <c r="AL173" s="13">
        <f>CHOOSE(MATCH(Setup!$B$7,{"STD","Half-PPR","PPR"},0),AI173,AJ173,AK173)</f>
        <v>13.38</v>
      </c>
      <c r="AM173" s="13">
        <f>COUNTIFS('Draft Board'!$AN$2:$AN$192,"&gt;="&amp;AN173,'Draft Board'!$AR$2:$AR$192,1)</f>
        <v>22</v>
      </c>
      <c r="AN173" s="13">
        <f>MAX(0,AL173-'Live Calc'!$H$21)^'Live Calc'!$E$21</f>
        <v>0</v>
      </c>
      <c r="AO173" s="13">
        <v>173</v>
      </c>
      <c r="AP173" s="13">
        <f>IF(AO173&lt;&gt;_xlfn.MINIFS('Draft Board'!$AO$2:$AO$192,'Draft Board'!$AN$2:$AN$192,"="&amp;AN173),0,IF(_xlfn.MINIFS('Draft Board'!$AN$2:$AN$192,'Draft Board'!$AN$2:$AN$192,"&gt;"&amp;AN173)=0,1,IF((_xlfn.MINIFS('Draft Board'!$AN$2:$AN$192,'Draft Board'!$AN$2:$AN$192,"&gt;"&amp;AN173)-AN173)/_xlfn.MINIFS('Draft Board'!$AN$2:$AN$192,'Draft Board'!$AN$2:$AN$192,"&gt;"&amp;AN173)&gt;0.08,1,0)))</f>
        <v>0</v>
      </c>
      <c r="AQ173" s="13">
        <f>_xlfn.MINIFS('Draft Board'!$AN$2:$AN$192,'Draft Board'!$AN$2:$AN$192,"&gt;="&amp;AN173,'Draft Board'!$AP$2:$AP$192,1)</f>
        <v>0</v>
      </c>
      <c r="AR173" s="13">
        <f>IF(AO173&lt;&gt;_xlfn.MINIFS('Draft Board'!$AO$2:$AO$192,'Draft Board'!$AN$2:$AN$192,"="&amp;AN173),0,IF(OR(AP173=1,IFERROR(FLOOR((AQ173-AN173)/AQ173/0.25,1),0)&lt;&gt;IFERROR(FLOOR((AQ173-_xlfn.MINIFS('Draft Board'!$AN$2:$AN$192,'Draft Board'!$AN$2:$AN$192,"&gt;"&amp;AN173))/AQ173/0.25,1),0)),1,0))</f>
        <v>0</v>
      </c>
      <c r="AS173" s="13">
        <f>ROUND(1+AN173*'Live Calc'!$D$28,0)</f>
        <v>1</v>
      </c>
      <c r="AT173" s="13"/>
      <c r="AU173" s="13">
        <f>IF(AT173&lt;&gt;"",AT173,ROUND(AS173*INDEX('Live Calc'!$G$260:$G$450,MATCH(AM173,'Live Calc'!$A$260:$A$450,0))*'Live Calc'!$J$543,0))</f>
        <v>1</v>
      </c>
    </row>
    <row r="174" spans="17:47" x14ac:dyDescent="0.25">
      <c r="AG174" s="13" t="s">
        <v>571</v>
      </c>
      <c r="AH174" s="13" t="s">
        <v>65</v>
      </c>
      <c r="AI174" s="13">
        <v>10.27</v>
      </c>
      <c r="AJ174" s="13">
        <v>13.02</v>
      </c>
      <c r="AK174" s="13">
        <v>15.78</v>
      </c>
      <c r="AL174" s="13">
        <f>CHOOSE(MATCH(Setup!$B$7,{"STD","Half-PPR","PPR"},0),AI174,AJ174,AK174)</f>
        <v>13.02</v>
      </c>
      <c r="AM174" s="13">
        <f>COUNTIFS('Draft Board'!$AN$2:$AN$192,"&gt;="&amp;AN174,'Draft Board'!$AR$2:$AR$192,1)</f>
        <v>22</v>
      </c>
      <c r="AN174" s="13">
        <f>MAX(0,AL174-'Live Calc'!$H$21)^'Live Calc'!$E$21</f>
        <v>0</v>
      </c>
      <c r="AO174" s="13">
        <v>174</v>
      </c>
      <c r="AP174" s="13">
        <f>IF(AO174&lt;&gt;_xlfn.MINIFS('Draft Board'!$AO$2:$AO$192,'Draft Board'!$AN$2:$AN$192,"="&amp;AN174),0,IF(_xlfn.MINIFS('Draft Board'!$AN$2:$AN$192,'Draft Board'!$AN$2:$AN$192,"&gt;"&amp;AN174)=0,1,IF((_xlfn.MINIFS('Draft Board'!$AN$2:$AN$192,'Draft Board'!$AN$2:$AN$192,"&gt;"&amp;AN174)-AN174)/_xlfn.MINIFS('Draft Board'!$AN$2:$AN$192,'Draft Board'!$AN$2:$AN$192,"&gt;"&amp;AN174)&gt;0.08,1,0)))</f>
        <v>0</v>
      </c>
      <c r="AQ174" s="13">
        <f>_xlfn.MINIFS('Draft Board'!$AN$2:$AN$192,'Draft Board'!$AN$2:$AN$192,"&gt;="&amp;AN174,'Draft Board'!$AP$2:$AP$192,1)</f>
        <v>0</v>
      </c>
      <c r="AR174" s="13">
        <f>IF(AO174&lt;&gt;_xlfn.MINIFS('Draft Board'!$AO$2:$AO$192,'Draft Board'!$AN$2:$AN$192,"="&amp;AN174),0,IF(OR(AP174=1,IFERROR(FLOOR((AQ174-AN174)/AQ174/0.25,1),0)&lt;&gt;IFERROR(FLOOR((AQ174-_xlfn.MINIFS('Draft Board'!$AN$2:$AN$192,'Draft Board'!$AN$2:$AN$192,"&gt;"&amp;AN174))/AQ174/0.25,1),0)),1,0))</f>
        <v>0</v>
      </c>
      <c r="AS174" s="13">
        <f>ROUND(1+AN174*'Live Calc'!$D$28,0)</f>
        <v>1</v>
      </c>
      <c r="AT174" s="13"/>
      <c r="AU174" s="13">
        <f>IF(AT174&lt;&gt;"",AT174,ROUND(AS174*INDEX('Live Calc'!$G$260:$G$450,MATCH(AM174,'Live Calc'!$A$260:$A$450,0))*'Live Calc'!$J$543,0))</f>
        <v>1</v>
      </c>
    </row>
    <row r="175" spans="17:47" x14ac:dyDescent="0.25">
      <c r="AG175" s="13" t="s">
        <v>572</v>
      </c>
      <c r="AH175" s="13" t="s">
        <v>94</v>
      </c>
      <c r="AI175" s="13">
        <v>9.9700000000000006</v>
      </c>
      <c r="AJ175" s="13">
        <v>12.92</v>
      </c>
      <c r="AK175" s="13">
        <v>15.87</v>
      </c>
      <c r="AL175" s="13">
        <f>CHOOSE(MATCH(Setup!$B$7,{"STD","Half-PPR","PPR"},0),AI175,AJ175,AK175)</f>
        <v>12.92</v>
      </c>
      <c r="AM175" s="13">
        <f>COUNTIFS('Draft Board'!$AN$2:$AN$192,"&gt;="&amp;AN175,'Draft Board'!$AR$2:$AR$192,1)</f>
        <v>22</v>
      </c>
      <c r="AN175" s="13">
        <f>MAX(0,AL175-'Live Calc'!$H$21)^'Live Calc'!$E$21</f>
        <v>0</v>
      </c>
      <c r="AO175" s="13">
        <v>175</v>
      </c>
      <c r="AP175" s="13">
        <f>IF(AO175&lt;&gt;_xlfn.MINIFS('Draft Board'!$AO$2:$AO$192,'Draft Board'!$AN$2:$AN$192,"="&amp;AN175),0,IF(_xlfn.MINIFS('Draft Board'!$AN$2:$AN$192,'Draft Board'!$AN$2:$AN$192,"&gt;"&amp;AN175)=0,1,IF((_xlfn.MINIFS('Draft Board'!$AN$2:$AN$192,'Draft Board'!$AN$2:$AN$192,"&gt;"&amp;AN175)-AN175)/_xlfn.MINIFS('Draft Board'!$AN$2:$AN$192,'Draft Board'!$AN$2:$AN$192,"&gt;"&amp;AN175)&gt;0.08,1,0)))</f>
        <v>0</v>
      </c>
      <c r="AQ175" s="13">
        <f>_xlfn.MINIFS('Draft Board'!$AN$2:$AN$192,'Draft Board'!$AN$2:$AN$192,"&gt;="&amp;AN175,'Draft Board'!$AP$2:$AP$192,1)</f>
        <v>0</v>
      </c>
      <c r="AR175" s="13">
        <f>IF(AO175&lt;&gt;_xlfn.MINIFS('Draft Board'!$AO$2:$AO$192,'Draft Board'!$AN$2:$AN$192,"="&amp;AN175),0,IF(OR(AP175=1,IFERROR(FLOOR((AQ175-AN175)/AQ175/0.25,1),0)&lt;&gt;IFERROR(FLOOR((AQ175-_xlfn.MINIFS('Draft Board'!$AN$2:$AN$192,'Draft Board'!$AN$2:$AN$192,"&gt;"&amp;AN175))/AQ175/0.25,1),0)),1,0))</f>
        <v>0</v>
      </c>
      <c r="AS175" s="13">
        <f>ROUND(1+AN175*'Live Calc'!$D$28,0)</f>
        <v>1</v>
      </c>
      <c r="AT175" s="13"/>
      <c r="AU175" s="13">
        <f>IF(AT175&lt;&gt;"",AT175,ROUND(AS175*INDEX('Live Calc'!$G$260:$G$450,MATCH(AM175,'Live Calc'!$A$260:$A$450,0))*'Live Calc'!$J$543,0))</f>
        <v>1</v>
      </c>
    </row>
    <row r="176" spans="17:47" x14ac:dyDescent="0.25">
      <c r="AG176" s="13" t="s">
        <v>573</v>
      </c>
      <c r="AH176" s="13" t="s">
        <v>159</v>
      </c>
      <c r="AI176" s="13">
        <v>9.86</v>
      </c>
      <c r="AJ176" s="13">
        <v>12.77</v>
      </c>
      <c r="AK176" s="13">
        <v>15.69</v>
      </c>
      <c r="AL176" s="13">
        <f>CHOOSE(MATCH(Setup!$B$7,{"STD","Half-PPR","PPR"},0),AI176,AJ176,AK176)</f>
        <v>12.77</v>
      </c>
      <c r="AM176" s="13">
        <f>COUNTIFS('Draft Board'!$AN$2:$AN$192,"&gt;="&amp;AN176,'Draft Board'!$AR$2:$AR$192,1)</f>
        <v>22</v>
      </c>
      <c r="AN176" s="13">
        <f>MAX(0,AL176-'Live Calc'!$H$21)^'Live Calc'!$E$21</f>
        <v>0</v>
      </c>
      <c r="AO176" s="13">
        <v>176</v>
      </c>
      <c r="AP176" s="13">
        <f>IF(AO176&lt;&gt;_xlfn.MINIFS('Draft Board'!$AO$2:$AO$192,'Draft Board'!$AN$2:$AN$192,"="&amp;AN176),0,IF(_xlfn.MINIFS('Draft Board'!$AN$2:$AN$192,'Draft Board'!$AN$2:$AN$192,"&gt;"&amp;AN176)=0,1,IF((_xlfn.MINIFS('Draft Board'!$AN$2:$AN$192,'Draft Board'!$AN$2:$AN$192,"&gt;"&amp;AN176)-AN176)/_xlfn.MINIFS('Draft Board'!$AN$2:$AN$192,'Draft Board'!$AN$2:$AN$192,"&gt;"&amp;AN176)&gt;0.08,1,0)))</f>
        <v>0</v>
      </c>
      <c r="AQ176" s="13">
        <f>_xlfn.MINIFS('Draft Board'!$AN$2:$AN$192,'Draft Board'!$AN$2:$AN$192,"&gt;="&amp;AN176,'Draft Board'!$AP$2:$AP$192,1)</f>
        <v>0</v>
      </c>
      <c r="AR176" s="13">
        <f>IF(AO176&lt;&gt;_xlfn.MINIFS('Draft Board'!$AO$2:$AO$192,'Draft Board'!$AN$2:$AN$192,"="&amp;AN176),0,IF(OR(AP176=1,IFERROR(FLOOR((AQ176-AN176)/AQ176/0.25,1),0)&lt;&gt;IFERROR(FLOOR((AQ176-_xlfn.MINIFS('Draft Board'!$AN$2:$AN$192,'Draft Board'!$AN$2:$AN$192,"&gt;"&amp;AN176))/AQ176/0.25,1),0)),1,0))</f>
        <v>0</v>
      </c>
      <c r="AS176" s="13">
        <f>ROUND(1+AN176*'Live Calc'!$D$28,0)</f>
        <v>1</v>
      </c>
      <c r="AT176" s="13"/>
      <c r="AU176" s="13">
        <f>IF(AT176&lt;&gt;"",AT176,ROUND(AS176*INDEX('Live Calc'!$G$260:$G$450,MATCH(AM176,'Live Calc'!$A$260:$A$450,0))*'Live Calc'!$J$543,0))</f>
        <v>1</v>
      </c>
    </row>
    <row r="177" spans="33:47" x14ac:dyDescent="0.25">
      <c r="AG177" s="13" t="s">
        <v>574</v>
      </c>
      <c r="AH177" s="13" t="s">
        <v>125</v>
      </c>
      <c r="AI177" s="13">
        <v>9.9</v>
      </c>
      <c r="AJ177" s="13">
        <v>12.75</v>
      </c>
      <c r="AK177" s="13">
        <v>15.59</v>
      </c>
      <c r="AL177" s="13">
        <f>CHOOSE(MATCH(Setup!$B$7,{"STD","Half-PPR","PPR"},0),AI177,AJ177,AK177)</f>
        <v>12.75</v>
      </c>
      <c r="AM177" s="13">
        <f>COUNTIFS('Draft Board'!$AN$2:$AN$192,"&gt;="&amp;AN177,'Draft Board'!$AR$2:$AR$192,1)</f>
        <v>22</v>
      </c>
      <c r="AN177" s="13">
        <f>MAX(0,AL177-'Live Calc'!$H$21)^'Live Calc'!$E$21</f>
        <v>0</v>
      </c>
      <c r="AO177" s="13">
        <v>177</v>
      </c>
      <c r="AP177" s="13">
        <f>IF(AO177&lt;&gt;_xlfn.MINIFS('Draft Board'!$AO$2:$AO$192,'Draft Board'!$AN$2:$AN$192,"="&amp;AN177),0,IF(_xlfn.MINIFS('Draft Board'!$AN$2:$AN$192,'Draft Board'!$AN$2:$AN$192,"&gt;"&amp;AN177)=0,1,IF((_xlfn.MINIFS('Draft Board'!$AN$2:$AN$192,'Draft Board'!$AN$2:$AN$192,"&gt;"&amp;AN177)-AN177)/_xlfn.MINIFS('Draft Board'!$AN$2:$AN$192,'Draft Board'!$AN$2:$AN$192,"&gt;"&amp;AN177)&gt;0.08,1,0)))</f>
        <v>0</v>
      </c>
      <c r="AQ177" s="13">
        <f>_xlfn.MINIFS('Draft Board'!$AN$2:$AN$192,'Draft Board'!$AN$2:$AN$192,"&gt;="&amp;AN177,'Draft Board'!$AP$2:$AP$192,1)</f>
        <v>0</v>
      </c>
      <c r="AR177" s="13">
        <f>IF(AO177&lt;&gt;_xlfn.MINIFS('Draft Board'!$AO$2:$AO$192,'Draft Board'!$AN$2:$AN$192,"="&amp;AN177),0,IF(OR(AP177=1,IFERROR(FLOOR((AQ177-AN177)/AQ177/0.25,1),0)&lt;&gt;IFERROR(FLOOR((AQ177-_xlfn.MINIFS('Draft Board'!$AN$2:$AN$192,'Draft Board'!$AN$2:$AN$192,"&gt;"&amp;AN177))/AQ177/0.25,1),0)),1,0))</f>
        <v>0</v>
      </c>
      <c r="AS177" s="13">
        <f>ROUND(1+AN177*'Live Calc'!$D$28,0)</f>
        <v>1</v>
      </c>
      <c r="AT177" s="13"/>
      <c r="AU177" s="13">
        <f>IF(AT177&lt;&gt;"",AT177,ROUND(AS177*INDEX('Live Calc'!$G$260:$G$450,MATCH(AM177,'Live Calc'!$A$260:$A$450,0))*'Live Calc'!$J$543,0))</f>
        <v>1</v>
      </c>
    </row>
    <row r="178" spans="33:47" x14ac:dyDescent="0.25">
      <c r="AG178" s="13" t="s">
        <v>575</v>
      </c>
      <c r="AH178" s="13" t="s">
        <v>87</v>
      </c>
      <c r="AI178" s="13">
        <v>9.65</v>
      </c>
      <c r="AJ178" s="13">
        <v>12.48</v>
      </c>
      <c r="AK178" s="13">
        <v>15.31</v>
      </c>
      <c r="AL178" s="13">
        <f>CHOOSE(MATCH(Setup!$B$7,{"STD","Half-PPR","PPR"},0),AI178,AJ178,AK178)</f>
        <v>12.48</v>
      </c>
      <c r="AM178" s="13">
        <f>COUNTIFS('Draft Board'!$AN$2:$AN$192,"&gt;="&amp;AN178,'Draft Board'!$AR$2:$AR$192,1)</f>
        <v>22</v>
      </c>
      <c r="AN178" s="13">
        <f>MAX(0,AL178-'Live Calc'!$H$21)^'Live Calc'!$E$21</f>
        <v>0</v>
      </c>
      <c r="AO178" s="13">
        <v>178</v>
      </c>
      <c r="AP178" s="13">
        <f>IF(AO178&lt;&gt;_xlfn.MINIFS('Draft Board'!$AO$2:$AO$192,'Draft Board'!$AN$2:$AN$192,"="&amp;AN178),0,IF(_xlfn.MINIFS('Draft Board'!$AN$2:$AN$192,'Draft Board'!$AN$2:$AN$192,"&gt;"&amp;AN178)=0,1,IF((_xlfn.MINIFS('Draft Board'!$AN$2:$AN$192,'Draft Board'!$AN$2:$AN$192,"&gt;"&amp;AN178)-AN178)/_xlfn.MINIFS('Draft Board'!$AN$2:$AN$192,'Draft Board'!$AN$2:$AN$192,"&gt;"&amp;AN178)&gt;0.08,1,0)))</f>
        <v>0</v>
      </c>
      <c r="AQ178" s="13">
        <f>_xlfn.MINIFS('Draft Board'!$AN$2:$AN$192,'Draft Board'!$AN$2:$AN$192,"&gt;="&amp;AN178,'Draft Board'!$AP$2:$AP$192,1)</f>
        <v>0</v>
      </c>
      <c r="AR178" s="13">
        <f>IF(AO178&lt;&gt;_xlfn.MINIFS('Draft Board'!$AO$2:$AO$192,'Draft Board'!$AN$2:$AN$192,"="&amp;AN178),0,IF(OR(AP178=1,IFERROR(FLOOR((AQ178-AN178)/AQ178/0.25,1),0)&lt;&gt;IFERROR(FLOOR((AQ178-_xlfn.MINIFS('Draft Board'!$AN$2:$AN$192,'Draft Board'!$AN$2:$AN$192,"&gt;"&amp;AN178))/AQ178/0.25,1),0)),1,0))</f>
        <v>0</v>
      </c>
      <c r="AS178" s="13">
        <f>ROUND(1+AN178*'Live Calc'!$D$28,0)</f>
        <v>1</v>
      </c>
      <c r="AT178" s="13"/>
      <c r="AU178" s="13">
        <f>IF(AT178&lt;&gt;"",AT178,ROUND(AS178*INDEX('Live Calc'!$G$260:$G$450,MATCH(AM178,'Live Calc'!$A$260:$A$450,0))*'Live Calc'!$J$543,0))</f>
        <v>1</v>
      </c>
    </row>
    <row r="179" spans="33:47" x14ac:dyDescent="0.25">
      <c r="AG179" s="13" t="s">
        <v>576</v>
      </c>
      <c r="AH179" s="13" t="s">
        <v>131</v>
      </c>
      <c r="AI179" s="13">
        <v>8.32</v>
      </c>
      <c r="AJ179" s="13">
        <v>11.91</v>
      </c>
      <c r="AK179" s="13">
        <v>15.5</v>
      </c>
      <c r="AL179" s="13">
        <f>CHOOSE(MATCH(Setup!$B$7,{"STD","Half-PPR","PPR"},0),AI179,AJ179,AK179)</f>
        <v>11.91</v>
      </c>
      <c r="AM179" s="13">
        <f>COUNTIFS('Draft Board'!$AN$2:$AN$192,"&gt;="&amp;AN179,'Draft Board'!$AR$2:$AR$192,1)</f>
        <v>22</v>
      </c>
      <c r="AN179" s="13">
        <f>MAX(0,AL179-'Live Calc'!$H$21)^'Live Calc'!$E$21</f>
        <v>0</v>
      </c>
      <c r="AO179" s="13">
        <v>179</v>
      </c>
      <c r="AP179" s="13">
        <f>IF(AO179&lt;&gt;_xlfn.MINIFS('Draft Board'!$AO$2:$AO$192,'Draft Board'!$AN$2:$AN$192,"="&amp;AN179),0,IF(_xlfn.MINIFS('Draft Board'!$AN$2:$AN$192,'Draft Board'!$AN$2:$AN$192,"&gt;"&amp;AN179)=0,1,IF((_xlfn.MINIFS('Draft Board'!$AN$2:$AN$192,'Draft Board'!$AN$2:$AN$192,"&gt;"&amp;AN179)-AN179)/_xlfn.MINIFS('Draft Board'!$AN$2:$AN$192,'Draft Board'!$AN$2:$AN$192,"&gt;"&amp;AN179)&gt;0.08,1,0)))</f>
        <v>0</v>
      </c>
      <c r="AQ179" s="13">
        <f>_xlfn.MINIFS('Draft Board'!$AN$2:$AN$192,'Draft Board'!$AN$2:$AN$192,"&gt;="&amp;AN179,'Draft Board'!$AP$2:$AP$192,1)</f>
        <v>0</v>
      </c>
      <c r="AR179" s="13">
        <f>IF(AO179&lt;&gt;_xlfn.MINIFS('Draft Board'!$AO$2:$AO$192,'Draft Board'!$AN$2:$AN$192,"="&amp;AN179),0,IF(OR(AP179=1,IFERROR(FLOOR((AQ179-AN179)/AQ179/0.25,1),0)&lt;&gt;IFERROR(FLOOR((AQ179-_xlfn.MINIFS('Draft Board'!$AN$2:$AN$192,'Draft Board'!$AN$2:$AN$192,"&gt;"&amp;AN179))/AQ179/0.25,1),0)),1,0))</f>
        <v>0</v>
      </c>
      <c r="AS179" s="13">
        <f>ROUND(1+AN179*'Live Calc'!$D$28,0)</f>
        <v>1</v>
      </c>
      <c r="AT179" s="13"/>
      <c r="AU179" s="13">
        <f>IF(AT179&lt;&gt;"",AT179,ROUND(AS179*INDEX('Live Calc'!$G$260:$G$450,MATCH(AM179,'Live Calc'!$A$260:$A$450,0))*'Live Calc'!$J$543,0))</f>
        <v>1</v>
      </c>
    </row>
    <row r="180" spans="33:47" x14ac:dyDescent="0.25">
      <c r="AG180" s="13" t="s">
        <v>577</v>
      </c>
      <c r="AH180" s="13" t="s">
        <v>108</v>
      </c>
      <c r="AI180" s="13">
        <v>8.99</v>
      </c>
      <c r="AJ180" s="13">
        <v>11.69</v>
      </c>
      <c r="AK180" s="13">
        <v>14.39</v>
      </c>
      <c r="AL180" s="13">
        <f>CHOOSE(MATCH(Setup!$B$7,{"STD","Half-PPR","PPR"},0),AI180,AJ180,AK180)</f>
        <v>11.69</v>
      </c>
      <c r="AM180" s="13">
        <f>COUNTIFS('Draft Board'!$AN$2:$AN$192,"&gt;="&amp;AN180,'Draft Board'!$AR$2:$AR$192,1)</f>
        <v>22</v>
      </c>
      <c r="AN180" s="13">
        <f>MAX(0,AL180-'Live Calc'!$H$21)^'Live Calc'!$E$21</f>
        <v>0</v>
      </c>
      <c r="AO180" s="13">
        <v>180</v>
      </c>
      <c r="AP180" s="13">
        <f>IF(AO180&lt;&gt;_xlfn.MINIFS('Draft Board'!$AO$2:$AO$192,'Draft Board'!$AN$2:$AN$192,"="&amp;AN180),0,IF(_xlfn.MINIFS('Draft Board'!$AN$2:$AN$192,'Draft Board'!$AN$2:$AN$192,"&gt;"&amp;AN180)=0,1,IF((_xlfn.MINIFS('Draft Board'!$AN$2:$AN$192,'Draft Board'!$AN$2:$AN$192,"&gt;"&amp;AN180)-AN180)/_xlfn.MINIFS('Draft Board'!$AN$2:$AN$192,'Draft Board'!$AN$2:$AN$192,"&gt;"&amp;AN180)&gt;0.08,1,0)))</f>
        <v>0</v>
      </c>
      <c r="AQ180" s="13">
        <f>_xlfn.MINIFS('Draft Board'!$AN$2:$AN$192,'Draft Board'!$AN$2:$AN$192,"&gt;="&amp;AN180,'Draft Board'!$AP$2:$AP$192,1)</f>
        <v>0</v>
      </c>
      <c r="AR180" s="13">
        <f>IF(AO180&lt;&gt;_xlfn.MINIFS('Draft Board'!$AO$2:$AO$192,'Draft Board'!$AN$2:$AN$192,"="&amp;AN180),0,IF(OR(AP180=1,IFERROR(FLOOR((AQ180-AN180)/AQ180/0.25,1),0)&lt;&gt;IFERROR(FLOOR((AQ180-_xlfn.MINIFS('Draft Board'!$AN$2:$AN$192,'Draft Board'!$AN$2:$AN$192,"&gt;"&amp;AN180))/AQ180/0.25,1),0)),1,0))</f>
        <v>0</v>
      </c>
      <c r="AS180" s="13">
        <f>ROUND(1+AN180*'Live Calc'!$D$28,0)</f>
        <v>1</v>
      </c>
      <c r="AT180" s="13"/>
      <c r="AU180" s="13">
        <f>IF(AT180&lt;&gt;"",AT180,ROUND(AS180*INDEX('Live Calc'!$G$260:$G$450,MATCH(AM180,'Live Calc'!$A$260:$A$450,0))*'Live Calc'!$J$543,0))</f>
        <v>1</v>
      </c>
    </row>
    <row r="181" spans="33:47" x14ac:dyDescent="0.25">
      <c r="AG181" s="13" t="s">
        <v>578</v>
      </c>
      <c r="AH181" s="13" t="s">
        <v>61</v>
      </c>
      <c r="AI181" s="13">
        <v>9.25</v>
      </c>
      <c r="AJ181" s="13">
        <v>11.61</v>
      </c>
      <c r="AK181" s="13">
        <v>13.98</v>
      </c>
      <c r="AL181" s="13">
        <f>CHOOSE(MATCH(Setup!$B$7,{"STD","Half-PPR","PPR"},0),AI181,AJ181,AK181)</f>
        <v>11.61</v>
      </c>
      <c r="AM181" s="13">
        <f>COUNTIFS('Draft Board'!$AN$2:$AN$192,"&gt;="&amp;AN181,'Draft Board'!$AR$2:$AR$192,1)</f>
        <v>22</v>
      </c>
      <c r="AN181" s="13">
        <f>MAX(0,AL181-'Live Calc'!$H$21)^'Live Calc'!$E$21</f>
        <v>0</v>
      </c>
      <c r="AO181" s="13">
        <v>181</v>
      </c>
      <c r="AP181" s="13">
        <f>IF(AO181&lt;&gt;_xlfn.MINIFS('Draft Board'!$AO$2:$AO$192,'Draft Board'!$AN$2:$AN$192,"="&amp;AN181),0,IF(_xlfn.MINIFS('Draft Board'!$AN$2:$AN$192,'Draft Board'!$AN$2:$AN$192,"&gt;"&amp;AN181)=0,1,IF((_xlfn.MINIFS('Draft Board'!$AN$2:$AN$192,'Draft Board'!$AN$2:$AN$192,"&gt;"&amp;AN181)-AN181)/_xlfn.MINIFS('Draft Board'!$AN$2:$AN$192,'Draft Board'!$AN$2:$AN$192,"&gt;"&amp;AN181)&gt;0.08,1,0)))</f>
        <v>0</v>
      </c>
      <c r="AQ181" s="13">
        <f>_xlfn.MINIFS('Draft Board'!$AN$2:$AN$192,'Draft Board'!$AN$2:$AN$192,"&gt;="&amp;AN181,'Draft Board'!$AP$2:$AP$192,1)</f>
        <v>0</v>
      </c>
      <c r="AR181" s="13">
        <f>IF(AO181&lt;&gt;_xlfn.MINIFS('Draft Board'!$AO$2:$AO$192,'Draft Board'!$AN$2:$AN$192,"="&amp;AN181),0,IF(OR(AP181=1,IFERROR(FLOOR((AQ181-AN181)/AQ181/0.25,1),0)&lt;&gt;IFERROR(FLOOR((AQ181-_xlfn.MINIFS('Draft Board'!$AN$2:$AN$192,'Draft Board'!$AN$2:$AN$192,"&gt;"&amp;AN181))/AQ181/0.25,1),0)),1,0))</f>
        <v>0</v>
      </c>
      <c r="AS181" s="13">
        <f>ROUND(1+AN181*'Live Calc'!$D$28,0)</f>
        <v>1</v>
      </c>
      <c r="AT181" s="13"/>
      <c r="AU181" s="13">
        <f>IF(AT181&lt;&gt;"",AT181,ROUND(AS181*INDEX('Live Calc'!$G$260:$G$450,MATCH(AM181,'Live Calc'!$A$260:$A$450,0))*'Live Calc'!$J$543,0))</f>
        <v>1</v>
      </c>
    </row>
    <row r="182" spans="33:47" x14ac:dyDescent="0.25">
      <c r="AG182" s="13" t="s">
        <v>579</v>
      </c>
      <c r="AH182" s="13" t="s">
        <v>83</v>
      </c>
      <c r="AI182" s="13">
        <v>7.55</v>
      </c>
      <c r="AJ182" s="13">
        <v>10.95</v>
      </c>
      <c r="AK182" s="13">
        <v>14.35</v>
      </c>
      <c r="AL182" s="13">
        <f>CHOOSE(MATCH(Setup!$B$7,{"STD","Half-PPR","PPR"},0),AI182,AJ182,AK182)</f>
        <v>10.95</v>
      </c>
      <c r="AM182" s="13">
        <f>COUNTIFS('Draft Board'!$AN$2:$AN$192,"&gt;="&amp;AN182,'Draft Board'!$AR$2:$AR$192,1)</f>
        <v>22</v>
      </c>
      <c r="AN182" s="13">
        <f>MAX(0,AL182-'Live Calc'!$H$21)^'Live Calc'!$E$21</f>
        <v>0</v>
      </c>
      <c r="AO182" s="13">
        <v>182</v>
      </c>
      <c r="AP182" s="13">
        <f>IF(AO182&lt;&gt;_xlfn.MINIFS('Draft Board'!$AO$2:$AO$192,'Draft Board'!$AN$2:$AN$192,"="&amp;AN182),0,IF(_xlfn.MINIFS('Draft Board'!$AN$2:$AN$192,'Draft Board'!$AN$2:$AN$192,"&gt;"&amp;AN182)=0,1,IF((_xlfn.MINIFS('Draft Board'!$AN$2:$AN$192,'Draft Board'!$AN$2:$AN$192,"&gt;"&amp;AN182)-AN182)/_xlfn.MINIFS('Draft Board'!$AN$2:$AN$192,'Draft Board'!$AN$2:$AN$192,"&gt;"&amp;AN182)&gt;0.08,1,0)))</f>
        <v>0</v>
      </c>
      <c r="AQ182" s="13">
        <f>_xlfn.MINIFS('Draft Board'!$AN$2:$AN$192,'Draft Board'!$AN$2:$AN$192,"&gt;="&amp;AN182,'Draft Board'!$AP$2:$AP$192,1)</f>
        <v>0</v>
      </c>
      <c r="AR182" s="13">
        <f>IF(AO182&lt;&gt;_xlfn.MINIFS('Draft Board'!$AO$2:$AO$192,'Draft Board'!$AN$2:$AN$192,"="&amp;AN182),0,IF(OR(AP182=1,IFERROR(FLOOR((AQ182-AN182)/AQ182/0.25,1),0)&lt;&gt;IFERROR(FLOOR((AQ182-_xlfn.MINIFS('Draft Board'!$AN$2:$AN$192,'Draft Board'!$AN$2:$AN$192,"&gt;"&amp;AN182))/AQ182/0.25,1),0)),1,0))</f>
        <v>0</v>
      </c>
      <c r="AS182" s="13">
        <f>ROUND(1+AN182*'Live Calc'!$D$28,0)</f>
        <v>1</v>
      </c>
      <c r="AT182" s="13"/>
      <c r="AU182" s="13">
        <f>IF(AT182&lt;&gt;"",AT182,ROUND(AS182*INDEX('Live Calc'!$G$260:$G$450,MATCH(AM182,'Live Calc'!$A$260:$A$450,0))*'Live Calc'!$J$543,0))</f>
        <v>1</v>
      </c>
    </row>
    <row r="183" spans="33:47" x14ac:dyDescent="0.25">
      <c r="AG183" s="13" t="s">
        <v>580</v>
      </c>
      <c r="AH183" s="13" t="s">
        <v>164</v>
      </c>
      <c r="AI183" s="13">
        <v>7.99</v>
      </c>
      <c r="AJ183" s="13">
        <v>10.48</v>
      </c>
      <c r="AK183" s="13">
        <v>12.97</v>
      </c>
      <c r="AL183" s="13">
        <f>CHOOSE(MATCH(Setup!$B$7,{"STD","Half-PPR","PPR"},0),AI183,AJ183,AK183)</f>
        <v>10.48</v>
      </c>
      <c r="AM183" s="13">
        <f>COUNTIFS('Draft Board'!$AN$2:$AN$192,"&gt;="&amp;AN183,'Draft Board'!$AR$2:$AR$192,1)</f>
        <v>22</v>
      </c>
      <c r="AN183" s="13">
        <f>MAX(0,AL183-'Live Calc'!$H$21)^'Live Calc'!$E$21</f>
        <v>0</v>
      </c>
      <c r="AO183" s="13">
        <v>183</v>
      </c>
      <c r="AP183" s="13">
        <f>IF(AO183&lt;&gt;_xlfn.MINIFS('Draft Board'!$AO$2:$AO$192,'Draft Board'!$AN$2:$AN$192,"="&amp;AN183),0,IF(_xlfn.MINIFS('Draft Board'!$AN$2:$AN$192,'Draft Board'!$AN$2:$AN$192,"&gt;"&amp;AN183)=0,1,IF((_xlfn.MINIFS('Draft Board'!$AN$2:$AN$192,'Draft Board'!$AN$2:$AN$192,"&gt;"&amp;AN183)-AN183)/_xlfn.MINIFS('Draft Board'!$AN$2:$AN$192,'Draft Board'!$AN$2:$AN$192,"&gt;"&amp;AN183)&gt;0.08,1,0)))</f>
        <v>0</v>
      </c>
      <c r="AQ183" s="13">
        <f>_xlfn.MINIFS('Draft Board'!$AN$2:$AN$192,'Draft Board'!$AN$2:$AN$192,"&gt;="&amp;AN183,'Draft Board'!$AP$2:$AP$192,1)</f>
        <v>0</v>
      </c>
      <c r="AR183" s="13">
        <f>IF(AO183&lt;&gt;_xlfn.MINIFS('Draft Board'!$AO$2:$AO$192,'Draft Board'!$AN$2:$AN$192,"="&amp;AN183),0,IF(OR(AP183=1,IFERROR(FLOOR((AQ183-AN183)/AQ183/0.25,1),0)&lt;&gt;IFERROR(FLOOR((AQ183-_xlfn.MINIFS('Draft Board'!$AN$2:$AN$192,'Draft Board'!$AN$2:$AN$192,"&gt;"&amp;AN183))/AQ183/0.25,1),0)),1,0))</f>
        <v>0</v>
      </c>
      <c r="AS183" s="13">
        <f>ROUND(1+AN183*'Live Calc'!$D$28,0)</f>
        <v>1</v>
      </c>
      <c r="AT183" s="13"/>
      <c r="AU183" s="13">
        <f>IF(AT183&lt;&gt;"",AT183,ROUND(AS183*INDEX('Live Calc'!$G$260:$G$450,MATCH(AM183,'Live Calc'!$A$260:$A$450,0))*'Live Calc'!$J$543,0))</f>
        <v>1</v>
      </c>
    </row>
    <row r="184" spans="33:47" x14ac:dyDescent="0.25">
      <c r="AG184" s="13" t="s">
        <v>581</v>
      </c>
      <c r="AH184" s="13" t="s">
        <v>118</v>
      </c>
      <c r="AI184" s="13">
        <v>7.74</v>
      </c>
      <c r="AJ184" s="13">
        <v>10.15</v>
      </c>
      <c r="AK184" s="13">
        <v>12.56</v>
      </c>
      <c r="AL184" s="13">
        <f>CHOOSE(MATCH(Setup!$B$7,{"STD","Half-PPR","PPR"},0),AI184,AJ184,AK184)</f>
        <v>10.15</v>
      </c>
      <c r="AM184" s="13">
        <f>COUNTIFS('Draft Board'!$AN$2:$AN$192,"&gt;="&amp;AN184,'Draft Board'!$AR$2:$AR$192,1)</f>
        <v>22</v>
      </c>
      <c r="AN184" s="13">
        <f>MAX(0,AL184-'Live Calc'!$H$21)^'Live Calc'!$E$21</f>
        <v>0</v>
      </c>
      <c r="AO184" s="13">
        <v>184</v>
      </c>
      <c r="AP184" s="13">
        <f>IF(AO184&lt;&gt;_xlfn.MINIFS('Draft Board'!$AO$2:$AO$192,'Draft Board'!$AN$2:$AN$192,"="&amp;AN184),0,IF(_xlfn.MINIFS('Draft Board'!$AN$2:$AN$192,'Draft Board'!$AN$2:$AN$192,"&gt;"&amp;AN184)=0,1,IF((_xlfn.MINIFS('Draft Board'!$AN$2:$AN$192,'Draft Board'!$AN$2:$AN$192,"&gt;"&amp;AN184)-AN184)/_xlfn.MINIFS('Draft Board'!$AN$2:$AN$192,'Draft Board'!$AN$2:$AN$192,"&gt;"&amp;AN184)&gt;0.08,1,0)))</f>
        <v>0</v>
      </c>
      <c r="AQ184" s="13">
        <f>_xlfn.MINIFS('Draft Board'!$AN$2:$AN$192,'Draft Board'!$AN$2:$AN$192,"&gt;="&amp;AN184,'Draft Board'!$AP$2:$AP$192,1)</f>
        <v>0</v>
      </c>
      <c r="AR184" s="13">
        <f>IF(AO184&lt;&gt;_xlfn.MINIFS('Draft Board'!$AO$2:$AO$192,'Draft Board'!$AN$2:$AN$192,"="&amp;AN184),0,IF(OR(AP184=1,IFERROR(FLOOR((AQ184-AN184)/AQ184/0.25,1),0)&lt;&gt;IFERROR(FLOOR((AQ184-_xlfn.MINIFS('Draft Board'!$AN$2:$AN$192,'Draft Board'!$AN$2:$AN$192,"&gt;"&amp;AN184))/AQ184/0.25,1),0)),1,0))</f>
        <v>0</v>
      </c>
      <c r="AS184" s="13">
        <f>ROUND(1+AN184*'Live Calc'!$D$28,0)</f>
        <v>1</v>
      </c>
      <c r="AT184" s="13"/>
      <c r="AU184" s="13">
        <f>IF(AT184&lt;&gt;"",AT184,ROUND(AS184*INDEX('Live Calc'!$G$260:$G$450,MATCH(AM184,'Live Calc'!$A$260:$A$450,0))*'Live Calc'!$J$543,0))</f>
        <v>1</v>
      </c>
    </row>
    <row r="185" spans="33:47" x14ac:dyDescent="0.25">
      <c r="AG185" s="13" t="s">
        <v>582</v>
      </c>
      <c r="AH185" s="13" t="s">
        <v>190</v>
      </c>
      <c r="AI185" s="13">
        <v>7.2</v>
      </c>
      <c r="AJ185" s="13">
        <v>10.119999999999999</v>
      </c>
      <c r="AK185" s="13">
        <v>13.04</v>
      </c>
      <c r="AL185" s="13">
        <f>CHOOSE(MATCH(Setup!$B$7,{"STD","Half-PPR","PPR"},0),AI185,AJ185,AK185)</f>
        <v>10.119999999999999</v>
      </c>
      <c r="AM185" s="13">
        <f>COUNTIFS('Draft Board'!$AN$2:$AN$192,"&gt;="&amp;AN185,'Draft Board'!$AR$2:$AR$192,1)</f>
        <v>22</v>
      </c>
      <c r="AN185" s="13">
        <f>MAX(0,AL185-'Live Calc'!$H$21)^'Live Calc'!$E$21</f>
        <v>0</v>
      </c>
      <c r="AO185" s="13">
        <v>185</v>
      </c>
      <c r="AP185" s="13">
        <f>IF(AO185&lt;&gt;_xlfn.MINIFS('Draft Board'!$AO$2:$AO$192,'Draft Board'!$AN$2:$AN$192,"="&amp;AN185),0,IF(_xlfn.MINIFS('Draft Board'!$AN$2:$AN$192,'Draft Board'!$AN$2:$AN$192,"&gt;"&amp;AN185)=0,1,IF((_xlfn.MINIFS('Draft Board'!$AN$2:$AN$192,'Draft Board'!$AN$2:$AN$192,"&gt;"&amp;AN185)-AN185)/_xlfn.MINIFS('Draft Board'!$AN$2:$AN$192,'Draft Board'!$AN$2:$AN$192,"&gt;"&amp;AN185)&gt;0.08,1,0)))</f>
        <v>0</v>
      </c>
      <c r="AQ185" s="13">
        <f>_xlfn.MINIFS('Draft Board'!$AN$2:$AN$192,'Draft Board'!$AN$2:$AN$192,"&gt;="&amp;AN185,'Draft Board'!$AP$2:$AP$192,1)</f>
        <v>0</v>
      </c>
      <c r="AR185" s="13">
        <f>IF(AO185&lt;&gt;_xlfn.MINIFS('Draft Board'!$AO$2:$AO$192,'Draft Board'!$AN$2:$AN$192,"="&amp;AN185),0,IF(OR(AP185=1,IFERROR(FLOOR((AQ185-AN185)/AQ185/0.25,1),0)&lt;&gt;IFERROR(FLOOR((AQ185-_xlfn.MINIFS('Draft Board'!$AN$2:$AN$192,'Draft Board'!$AN$2:$AN$192,"&gt;"&amp;AN185))/AQ185/0.25,1),0)),1,0))</f>
        <v>0</v>
      </c>
      <c r="AS185" s="13">
        <f>ROUND(1+AN185*'Live Calc'!$D$28,0)</f>
        <v>1</v>
      </c>
      <c r="AT185" s="13"/>
      <c r="AU185" s="13">
        <f>IF(AT185&lt;&gt;"",AT185,ROUND(AS185*INDEX('Live Calc'!$G$260:$G$450,MATCH(AM185,'Live Calc'!$A$260:$A$450,0))*'Live Calc'!$J$543,0))</f>
        <v>1</v>
      </c>
    </row>
    <row r="186" spans="33:47" x14ac:dyDescent="0.25">
      <c r="AG186" s="13" t="s">
        <v>583</v>
      </c>
      <c r="AH186" s="13" t="s">
        <v>101</v>
      </c>
      <c r="AI186" s="13">
        <v>8.83</v>
      </c>
      <c r="AJ186" s="13">
        <v>9.94</v>
      </c>
      <c r="AK186" s="13">
        <v>11.06</v>
      </c>
      <c r="AL186" s="13">
        <f>CHOOSE(MATCH(Setup!$B$7,{"STD","Half-PPR","PPR"},0),AI186,AJ186,AK186)</f>
        <v>9.94</v>
      </c>
      <c r="AM186" s="13">
        <f>COUNTIFS('Draft Board'!$AN$2:$AN$192,"&gt;="&amp;AN186,'Draft Board'!$AR$2:$AR$192,1)</f>
        <v>22</v>
      </c>
      <c r="AN186" s="13">
        <f>MAX(0,AL186-'Live Calc'!$H$21)^'Live Calc'!$E$21</f>
        <v>0</v>
      </c>
      <c r="AO186" s="13">
        <v>186</v>
      </c>
      <c r="AP186" s="13">
        <f>IF(AO186&lt;&gt;_xlfn.MINIFS('Draft Board'!$AO$2:$AO$192,'Draft Board'!$AN$2:$AN$192,"="&amp;AN186),0,IF(_xlfn.MINIFS('Draft Board'!$AN$2:$AN$192,'Draft Board'!$AN$2:$AN$192,"&gt;"&amp;AN186)=0,1,IF((_xlfn.MINIFS('Draft Board'!$AN$2:$AN$192,'Draft Board'!$AN$2:$AN$192,"&gt;"&amp;AN186)-AN186)/_xlfn.MINIFS('Draft Board'!$AN$2:$AN$192,'Draft Board'!$AN$2:$AN$192,"&gt;"&amp;AN186)&gt;0.08,1,0)))</f>
        <v>0</v>
      </c>
      <c r="AQ186" s="13">
        <f>_xlfn.MINIFS('Draft Board'!$AN$2:$AN$192,'Draft Board'!$AN$2:$AN$192,"&gt;="&amp;AN186,'Draft Board'!$AP$2:$AP$192,1)</f>
        <v>0</v>
      </c>
      <c r="AR186" s="13">
        <f>IF(AO186&lt;&gt;_xlfn.MINIFS('Draft Board'!$AO$2:$AO$192,'Draft Board'!$AN$2:$AN$192,"="&amp;AN186),0,IF(OR(AP186=1,IFERROR(FLOOR((AQ186-AN186)/AQ186/0.25,1),0)&lt;&gt;IFERROR(FLOOR((AQ186-_xlfn.MINIFS('Draft Board'!$AN$2:$AN$192,'Draft Board'!$AN$2:$AN$192,"&gt;"&amp;AN186))/AQ186/0.25,1),0)),1,0))</f>
        <v>0</v>
      </c>
      <c r="AS186" s="13">
        <f>ROUND(1+AN186*'Live Calc'!$D$28,0)</f>
        <v>1</v>
      </c>
      <c r="AT186" s="13"/>
      <c r="AU186" s="13">
        <f>IF(AT186&lt;&gt;"",AT186,ROUND(AS186*INDEX('Live Calc'!$G$260:$G$450,MATCH(AM186,'Live Calc'!$A$260:$A$450,0))*'Live Calc'!$J$543,0))</f>
        <v>1</v>
      </c>
    </row>
    <row r="187" spans="33:47" x14ac:dyDescent="0.25">
      <c r="AG187" s="13" t="s">
        <v>584</v>
      </c>
      <c r="AH187" s="13" t="s">
        <v>96</v>
      </c>
      <c r="AI187" s="13">
        <v>7.44</v>
      </c>
      <c r="AJ187" s="13">
        <v>9.69</v>
      </c>
      <c r="AK187" s="13">
        <v>11.94</v>
      </c>
      <c r="AL187" s="13">
        <f>CHOOSE(MATCH(Setup!$B$7,{"STD","Half-PPR","PPR"},0),AI187,AJ187,AK187)</f>
        <v>9.69</v>
      </c>
      <c r="AM187" s="13">
        <f>COUNTIFS('Draft Board'!$AN$2:$AN$192,"&gt;="&amp;AN187,'Draft Board'!$AR$2:$AR$192,1)</f>
        <v>22</v>
      </c>
      <c r="AN187" s="13">
        <f>MAX(0,AL187-'Live Calc'!$H$21)^'Live Calc'!$E$21</f>
        <v>0</v>
      </c>
      <c r="AO187" s="13">
        <v>187</v>
      </c>
      <c r="AP187" s="13">
        <f>IF(AO187&lt;&gt;_xlfn.MINIFS('Draft Board'!$AO$2:$AO$192,'Draft Board'!$AN$2:$AN$192,"="&amp;AN187),0,IF(_xlfn.MINIFS('Draft Board'!$AN$2:$AN$192,'Draft Board'!$AN$2:$AN$192,"&gt;"&amp;AN187)=0,1,IF((_xlfn.MINIFS('Draft Board'!$AN$2:$AN$192,'Draft Board'!$AN$2:$AN$192,"&gt;"&amp;AN187)-AN187)/_xlfn.MINIFS('Draft Board'!$AN$2:$AN$192,'Draft Board'!$AN$2:$AN$192,"&gt;"&amp;AN187)&gt;0.08,1,0)))</f>
        <v>0</v>
      </c>
      <c r="AQ187" s="13">
        <f>_xlfn.MINIFS('Draft Board'!$AN$2:$AN$192,'Draft Board'!$AN$2:$AN$192,"&gt;="&amp;AN187,'Draft Board'!$AP$2:$AP$192,1)</f>
        <v>0</v>
      </c>
      <c r="AR187" s="13">
        <f>IF(AO187&lt;&gt;_xlfn.MINIFS('Draft Board'!$AO$2:$AO$192,'Draft Board'!$AN$2:$AN$192,"="&amp;AN187),0,IF(OR(AP187=1,IFERROR(FLOOR((AQ187-AN187)/AQ187/0.25,1),0)&lt;&gt;IFERROR(FLOOR((AQ187-_xlfn.MINIFS('Draft Board'!$AN$2:$AN$192,'Draft Board'!$AN$2:$AN$192,"&gt;"&amp;AN187))/AQ187/0.25,1),0)),1,0))</f>
        <v>0</v>
      </c>
      <c r="AS187" s="13">
        <f>ROUND(1+AN187*'Live Calc'!$D$28,0)</f>
        <v>1</v>
      </c>
      <c r="AT187" s="13"/>
      <c r="AU187" s="13">
        <f>IF(AT187&lt;&gt;"",AT187,ROUND(AS187*INDEX('Live Calc'!$G$260:$G$450,MATCH(AM187,'Live Calc'!$A$260:$A$450,0))*'Live Calc'!$J$543,0))</f>
        <v>1</v>
      </c>
    </row>
    <row r="188" spans="33:47" x14ac:dyDescent="0.25">
      <c r="AG188" s="13" t="s">
        <v>585</v>
      </c>
      <c r="AH188" s="13" t="s">
        <v>192</v>
      </c>
      <c r="AI188" s="13">
        <v>7.2</v>
      </c>
      <c r="AJ188" s="13">
        <v>9.4600000000000009</v>
      </c>
      <c r="AK188" s="13">
        <v>11.73</v>
      </c>
      <c r="AL188" s="13">
        <f>CHOOSE(MATCH(Setup!$B$7,{"STD","Half-PPR","PPR"},0),AI188,AJ188,AK188)</f>
        <v>9.4600000000000009</v>
      </c>
      <c r="AM188" s="13">
        <f>COUNTIFS('Draft Board'!$AN$2:$AN$192,"&gt;="&amp;AN188,'Draft Board'!$AR$2:$AR$192,1)</f>
        <v>22</v>
      </c>
      <c r="AN188" s="13">
        <f>MAX(0,AL188-'Live Calc'!$H$21)^'Live Calc'!$E$21</f>
        <v>0</v>
      </c>
      <c r="AO188" s="13">
        <v>188</v>
      </c>
      <c r="AP188" s="13">
        <f>IF(AO188&lt;&gt;_xlfn.MINIFS('Draft Board'!$AO$2:$AO$192,'Draft Board'!$AN$2:$AN$192,"="&amp;AN188),0,IF(_xlfn.MINIFS('Draft Board'!$AN$2:$AN$192,'Draft Board'!$AN$2:$AN$192,"&gt;"&amp;AN188)=0,1,IF((_xlfn.MINIFS('Draft Board'!$AN$2:$AN$192,'Draft Board'!$AN$2:$AN$192,"&gt;"&amp;AN188)-AN188)/_xlfn.MINIFS('Draft Board'!$AN$2:$AN$192,'Draft Board'!$AN$2:$AN$192,"&gt;"&amp;AN188)&gt;0.08,1,0)))</f>
        <v>0</v>
      </c>
      <c r="AQ188" s="13">
        <f>_xlfn.MINIFS('Draft Board'!$AN$2:$AN$192,'Draft Board'!$AN$2:$AN$192,"&gt;="&amp;AN188,'Draft Board'!$AP$2:$AP$192,1)</f>
        <v>0</v>
      </c>
      <c r="AR188" s="13">
        <f>IF(AO188&lt;&gt;_xlfn.MINIFS('Draft Board'!$AO$2:$AO$192,'Draft Board'!$AN$2:$AN$192,"="&amp;AN188),0,IF(OR(AP188=1,IFERROR(FLOOR((AQ188-AN188)/AQ188/0.25,1),0)&lt;&gt;IFERROR(FLOOR((AQ188-_xlfn.MINIFS('Draft Board'!$AN$2:$AN$192,'Draft Board'!$AN$2:$AN$192,"&gt;"&amp;AN188))/AQ188/0.25,1),0)),1,0))</f>
        <v>0</v>
      </c>
      <c r="AS188" s="13">
        <f>ROUND(1+AN188*'Live Calc'!$D$28,0)</f>
        <v>1</v>
      </c>
      <c r="AT188" s="13"/>
      <c r="AU188" s="13">
        <f>IF(AT188&lt;&gt;"",AT188,ROUND(AS188*INDEX('Live Calc'!$G$260:$G$450,MATCH(AM188,'Live Calc'!$A$260:$A$450,0))*'Live Calc'!$J$543,0))</f>
        <v>1</v>
      </c>
    </row>
    <row r="189" spans="33:47" x14ac:dyDescent="0.25">
      <c r="AG189" s="13" t="s">
        <v>586</v>
      </c>
      <c r="AH189" s="13" t="s">
        <v>153</v>
      </c>
      <c r="AI189" s="13">
        <v>7.28</v>
      </c>
      <c r="AJ189" s="13">
        <v>9.3000000000000007</v>
      </c>
      <c r="AK189" s="13">
        <v>11.32</v>
      </c>
      <c r="AL189" s="13">
        <f>CHOOSE(MATCH(Setup!$B$7,{"STD","Half-PPR","PPR"},0),AI189,AJ189,AK189)</f>
        <v>9.3000000000000007</v>
      </c>
      <c r="AM189" s="13">
        <f>COUNTIFS('Draft Board'!$AN$2:$AN$192,"&gt;="&amp;AN189,'Draft Board'!$AR$2:$AR$192,1)</f>
        <v>22</v>
      </c>
      <c r="AN189" s="13">
        <f>MAX(0,AL189-'Live Calc'!$H$21)^'Live Calc'!$E$21</f>
        <v>0</v>
      </c>
      <c r="AO189" s="13">
        <v>189</v>
      </c>
      <c r="AP189" s="13">
        <f>IF(AO189&lt;&gt;_xlfn.MINIFS('Draft Board'!$AO$2:$AO$192,'Draft Board'!$AN$2:$AN$192,"="&amp;AN189),0,IF(_xlfn.MINIFS('Draft Board'!$AN$2:$AN$192,'Draft Board'!$AN$2:$AN$192,"&gt;"&amp;AN189)=0,1,IF((_xlfn.MINIFS('Draft Board'!$AN$2:$AN$192,'Draft Board'!$AN$2:$AN$192,"&gt;"&amp;AN189)-AN189)/_xlfn.MINIFS('Draft Board'!$AN$2:$AN$192,'Draft Board'!$AN$2:$AN$192,"&gt;"&amp;AN189)&gt;0.08,1,0)))</f>
        <v>0</v>
      </c>
      <c r="AQ189" s="13">
        <f>_xlfn.MINIFS('Draft Board'!$AN$2:$AN$192,'Draft Board'!$AN$2:$AN$192,"&gt;="&amp;AN189,'Draft Board'!$AP$2:$AP$192,1)</f>
        <v>0</v>
      </c>
      <c r="AR189" s="13">
        <f>IF(AO189&lt;&gt;_xlfn.MINIFS('Draft Board'!$AO$2:$AO$192,'Draft Board'!$AN$2:$AN$192,"="&amp;AN189),0,IF(OR(AP189=1,IFERROR(FLOOR((AQ189-AN189)/AQ189/0.25,1),0)&lt;&gt;IFERROR(FLOOR((AQ189-_xlfn.MINIFS('Draft Board'!$AN$2:$AN$192,'Draft Board'!$AN$2:$AN$192,"&gt;"&amp;AN189))/AQ189/0.25,1),0)),1,0))</f>
        <v>0</v>
      </c>
      <c r="AS189" s="13">
        <f>ROUND(1+AN189*'Live Calc'!$D$28,0)</f>
        <v>1</v>
      </c>
      <c r="AT189" s="13"/>
      <c r="AU189" s="13">
        <f>IF(AT189&lt;&gt;"",AT189,ROUND(AS189*INDEX('Live Calc'!$G$260:$G$450,MATCH(AM189,'Live Calc'!$A$260:$A$450,0))*'Live Calc'!$J$543,0))</f>
        <v>1</v>
      </c>
    </row>
    <row r="190" spans="33:47" x14ac:dyDescent="0.25">
      <c r="AG190" s="13" t="s">
        <v>587</v>
      </c>
      <c r="AH190" s="13" t="s">
        <v>79</v>
      </c>
      <c r="AI190" s="13">
        <v>7.15</v>
      </c>
      <c r="AJ190" s="13">
        <v>9.06</v>
      </c>
      <c r="AK190" s="13">
        <v>10.98</v>
      </c>
      <c r="AL190" s="13">
        <f>CHOOSE(MATCH(Setup!$B$7,{"STD","Half-PPR","PPR"},0),AI190,AJ190,AK190)</f>
        <v>9.06</v>
      </c>
      <c r="AM190" s="13">
        <f>COUNTIFS('Draft Board'!$AN$2:$AN$192,"&gt;="&amp;AN190,'Draft Board'!$AR$2:$AR$192,1)</f>
        <v>22</v>
      </c>
      <c r="AN190" s="13">
        <f>MAX(0,AL190-'Live Calc'!$H$21)^'Live Calc'!$E$21</f>
        <v>0</v>
      </c>
      <c r="AO190" s="13">
        <v>190</v>
      </c>
      <c r="AP190" s="13">
        <f>IF(AO190&lt;&gt;_xlfn.MINIFS('Draft Board'!$AO$2:$AO$192,'Draft Board'!$AN$2:$AN$192,"="&amp;AN190),0,IF(_xlfn.MINIFS('Draft Board'!$AN$2:$AN$192,'Draft Board'!$AN$2:$AN$192,"&gt;"&amp;AN190)=0,1,IF((_xlfn.MINIFS('Draft Board'!$AN$2:$AN$192,'Draft Board'!$AN$2:$AN$192,"&gt;"&amp;AN190)-AN190)/_xlfn.MINIFS('Draft Board'!$AN$2:$AN$192,'Draft Board'!$AN$2:$AN$192,"&gt;"&amp;AN190)&gt;0.08,1,0)))</f>
        <v>0</v>
      </c>
      <c r="AQ190" s="13">
        <f>_xlfn.MINIFS('Draft Board'!$AN$2:$AN$192,'Draft Board'!$AN$2:$AN$192,"&gt;="&amp;AN190,'Draft Board'!$AP$2:$AP$192,1)</f>
        <v>0</v>
      </c>
      <c r="AR190" s="13">
        <f>IF(AO190&lt;&gt;_xlfn.MINIFS('Draft Board'!$AO$2:$AO$192,'Draft Board'!$AN$2:$AN$192,"="&amp;AN190),0,IF(OR(AP190=1,IFERROR(FLOOR((AQ190-AN190)/AQ190/0.25,1),0)&lt;&gt;IFERROR(FLOOR((AQ190-_xlfn.MINIFS('Draft Board'!$AN$2:$AN$192,'Draft Board'!$AN$2:$AN$192,"&gt;"&amp;AN190))/AQ190/0.25,1),0)),1,0))</f>
        <v>0</v>
      </c>
      <c r="AS190" s="13">
        <f>ROUND(1+AN190*'Live Calc'!$D$28,0)</f>
        <v>1</v>
      </c>
      <c r="AT190" s="13"/>
      <c r="AU190" s="13">
        <f>IF(AT190&lt;&gt;"",AT190,ROUND(AS190*INDEX('Live Calc'!$G$260:$G$450,MATCH(AM190,'Live Calc'!$A$260:$A$450,0))*'Live Calc'!$J$543,0))</f>
        <v>1</v>
      </c>
    </row>
    <row r="191" spans="33:47" x14ac:dyDescent="0.25">
      <c r="AG191" s="13" t="s">
        <v>588</v>
      </c>
      <c r="AH191" s="13" t="s">
        <v>69</v>
      </c>
      <c r="AI191" s="13">
        <v>6.78</v>
      </c>
      <c r="AJ191" s="13">
        <v>8.84</v>
      </c>
      <c r="AK191" s="13">
        <v>10.89</v>
      </c>
      <c r="AL191" s="13">
        <f>CHOOSE(MATCH(Setup!$B$7,{"STD","Half-PPR","PPR"},0),AI191,AJ191,AK191)</f>
        <v>8.84</v>
      </c>
      <c r="AM191" s="13">
        <f>COUNTIFS('Draft Board'!$AN$2:$AN$192,"&gt;="&amp;AN191,'Draft Board'!$AR$2:$AR$192,1)</f>
        <v>22</v>
      </c>
      <c r="AN191" s="13">
        <f>MAX(0,AL191-'Live Calc'!$H$21)^'Live Calc'!$E$21</f>
        <v>0</v>
      </c>
      <c r="AO191" s="13">
        <v>191</v>
      </c>
      <c r="AP191" s="13">
        <f>IF(AO191&lt;&gt;_xlfn.MINIFS('Draft Board'!$AO$2:$AO$192,'Draft Board'!$AN$2:$AN$192,"="&amp;AN191),0,IF(_xlfn.MINIFS('Draft Board'!$AN$2:$AN$192,'Draft Board'!$AN$2:$AN$192,"&gt;"&amp;AN191)=0,1,IF((_xlfn.MINIFS('Draft Board'!$AN$2:$AN$192,'Draft Board'!$AN$2:$AN$192,"&gt;"&amp;AN191)-AN191)/_xlfn.MINIFS('Draft Board'!$AN$2:$AN$192,'Draft Board'!$AN$2:$AN$192,"&gt;"&amp;AN191)&gt;0.08,1,0)))</f>
        <v>0</v>
      </c>
      <c r="AQ191" s="13">
        <f>_xlfn.MINIFS('Draft Board'!$AN$2:$AN$192,'Draft Board'!$AN$2:$AN$192,"&gt;="&amp;AN191,'Draft Board'!$AP$2:$AP$192,1)</f>
        <v>0</v>
      </c>
      <c r="AR191" s="13">
        <f>IF(AO191&lt;&gt;_xlfn.MINIFS('Draft Board'!$AO$2:$AO$192,'Draft Board'!$AN$2:$AN$192,"="&amp;AN191),0,IF(OR(AP191=1,IFERROR(FLOOR((AQ191-AN191)/AQ191/0.25,1),0)&lt;&gt;IFERROR(FLOOR((AQ191-_xlfn.MINIFS('Draft Board'!$AN$2:$AN$192,'Draft Board'!$AN$2:$AN$192,"&gt;"&amp;AN191))/AQ191/0.25,1),0)),1,0))</f>
        <v>0</v>
      </c>
      <c r="AS191" s="13">
        <f>ROUND(1+AN191*'Live Calc'!$D$28,0)</f>
        <v>1</v>
      </c>
      <c r="AT191" s="13"/>
      <c r="AU191" s="13">
        <f>IF(AT191&lt;&gt;"",AT191,ROUND(AS191*INDEX('Live Calc'!$G$260:$G$450,MATCH(AM191,'Live Calc'!$A$260:$A$450,0))*'Live Calc'!$J$543,0))</f>
        <v>1</v>
      </c>
    </row>
    <row r="192" spans="33:47" x14ac:dyDescent="0.25">
      <c r="AG192" s="13" t="s">
        <v>589</v>
      </c>
      <c r="AH192" s="13" t="s">
        <v>94</v>
      </c>
      <c r="AI192" s="13">
        <v>6.85</v>
      </c>
      <c r="AJ192" s="13">
        <v>8.8000000000000007</v>
      </c>
      <c r="AK192" s="13">
        <v>10.75</v>
      </c>
      <c r="AL192" s="13">
        <f>CHOOSE(MATCH(Setup!$B$7,{"STD","Half-PPR","PPR"},0),AI192,AJ192,AK192)</f>
        <v>8.8000000000000007</v>
      </c>
      <c r="AM192" s="13">
        <f>COUNTIFS('Draft Board'!$AN$2:$AN$192,"&gt;="&amp;AN192,'Draft Board'!$AR$2:$AR$192,1)</f>
        <v>22</v>
      </c>
      <c r="AN192" s="13">
        <f>MAX(0,AL192-'Live Calc'!$H$21)^'Live Calc'!$E$21</f>
        <v>0</v>
      </c>
      <c r="AO192" s="13">
        <v>192</v>
      </c>
      <c r="AP192" s="13">
        <f>IF(AO192&lt;&gt;_xlfn.MINIFS('Draft Board'!$AO$2:$AO$192,'Draft Board'!$AN$2:$AN$192,"="&amp;AN192),0,IF(_xlfn.MINIFS('Draft Board'!$AN$2:$AN$192,'Draft Board'!$AN$2:$AN$192,"&gt;"&amp;AN192)=0,1,IF((_xlfn.MINIFS('Draft Board'!$AN$2:$AN$192,'Draft Board'!$AN$2:$AN$192,"&gt;"&amp;AN192)-AN192)/_xlfn.MINIFS('Draft Board'!$AN$2:$AN$192,'Draft Board'!$AN$2:$AN$192,"&gt;"&amp;AN192)&gt;0.08,1,0)))</f>
        <v>0</v>
      </c>
      <c r="AQ192" s="13">
        <f>_xlfn.MINIFS('Draft Board'!$AN$2:$AN$192,'Draft Board'!$AN$2:$AN$192,"&gt;="&amp;AN192,'Draft Board'!$AP$2:$AP$192,1)</f>
        <v>0</v>
      </c>
      <c r="AR192" s="13">
        <f>IF(AO192&lt;&gt;_xlfn.MINIFS('Draft Board'!$AO$2:$AO$192,'Draft Board'!$AN$2:$AN$192,"="&amp;AN192),0,IF(OR(AP192=1,IFERROR(FLOOR((AQ192-AN192)/AQ192/0.25,1),0)&lt;&gt;IFERROR(FLOOR((AQ192-_xlfn.MINIFS('Draft Board'!$AN$2:$AN$192,'Draft Board'!$AN$2:$AN$192,"&gt;"&amp;AN192))/AQ192/0.25,1),0)),1,0))</f>
        <v>0</v>
      </c>
      <c r="AS192" s="13">
        <f>ROUND(1+AN192*'Live Calc'!$D$28,0)</f>
        <v>1</v>
      </c>
      <c r="AT192" s="13"/>
      <c r="AU192" s="13">
        <f>IF(AT192&lt;&gt;"",AT192,ROUND(AS192*INDEX('Live Calc'!$G$260:$G$450,MATCH(AM192,'Live Calc'!$A$260:$A$450,0))*'Live Calc'!$J$543,0))</f>
        <v>1</v>
      </c>
    </row>
  </sheetData>
  <dataValidations count="1">
    <dataValidation type="whole" allowBlank="1" showErrorMessage="1" errorTitle="Invalid price" error="Enter a whole-dollar amount (0-400)." sqref="N2:N61 BJ2:BJ87 AT2:AT192 AD2:AD162" xr:uid="{00000000-0002-0000-0200-000000000000}">
      <formula1>0</formula1>
      <formula2>400</formula2>
    </dataValidation>
  </dataValidations>
  <pageMargins left="0.75" right="0.75" top="1" bottom="1" header="0.5" footer="0.5"/>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N543"/>
  <sheetViews>
    <sheetView workbookViewId="0"/>
  </sheetViews>
  <sheetFormatPr defaultRowHeight="15" x14ac:dyDescent="0.25"/>
  <cols>
    <col min="1" max="1" width="16" customWidth="1"/>
    <col min="2" max="3" width="20" customWidth="1"/>
    <col min="4" max="4" width="16" customWidth="1"/>
    <col min="5" max="5" width="22" customWidth="1"/>
    <col min="6" max="7" width="18" customWidth="1"/>
    <col min="8" max="8" width="16" customWidth="1"/>
    <col min="9" max="9" width="20" customWidth="1"/>
    <col min="10" max="10" width="18" customWidth="1"/>
  </cols>
  <sheetData>
    <row r="1" spans="1:66" x14ac:dyDescent="0.25">
      <c r="A1" s="15" t="s">
        <v>590</v>
      </c>
    </row>
    <row r="2" spans="1:66" x14ac:dyDescent="0.25">
      <c r="A2" t="s">
        <v>591</v>
      </c>
      <c r="B2">
        <f>Setup!$B$5</f>
        <v>12</v>
      </c>
    </row>
    <row r="3" spans="1:66" x14ac:dyDescent="0.25">
      <c r="A3" t="s">
        <v>592</v>
      </c>
      <c r="B3">
        <f>B2*(Setup!$B$11+Setup!$B$13+Setup!$B$15+Setup!$B$17+(Setup!$B$19+Setup!$B$21+Setup!$B$23+Setup!$B$25)+Setup!$B$27+Setup!$B$29+Setup!$B$31)</f>
        <v>192</v>
      </c>
    </row>
    <row r="4" spans="1:66" x14ac:dyDescent="0.25">
      <c r="A4" t="s">
        <v>593</v>
      </c>
      <c r="B4">
        <f>B2*Setup!$B$3</f>
        <v>2400</v>
      </c>
    </row>
    <row r="5" spans="1:66" x14ac:dyDescent="0.25">
      <c r="A5" t="s">
        <v>594</v>
      </c>
      <c r="B5">
        <f>B4-B3*1</f>
        <v>2208</v>
      </c>
    </row>
    <row r="7" spans="1:66" x14ac:dyDescent="0.25">
      <c r="A7" s="15" t="s">
        <v>595</v>
      </c>
    </row>
    <row r="8" spans="1:66" x14ac:dyDescent="0.25">
      <c r="A8" t="s">
        <v>596</v>
      </c>
      <c r="B8" t="b">
        <f>OR(Setup!$B$11=2,Setup!$B$25&gt;=1)</f>
        <v>0</v>
      </c>
    </row>
    <row r="10" spans="1:66" x14ac:dyDescent="0.25">
      <c r="A10" s="15" t="s">
        <v>597</v>
      </c>
    </row>
    <row r="11" spans="1:66" x14ac:dyDescent="0.25">
      <c r="A11" s="15" t="s">
        <v>598</v>
      </c>
      <c r="B11" s="15" t="s">
        <v>599</v>
      </c>
      <c r="C11" s="15" t="s">
        <v>600</v>
      </c>
      <c r="D11" s="15" t="s">
        <v>601</v>
      </c>
      <c r="E11" s="15" t="s">
        <v>602</v>
      </c>
      <c r="F11" s="15" t="s">
        <v>603</v>
      </c>
      <c r="G11" s="15" t="s">
        <v>604</v>
      </c>
      <c r="H11" s="15" t="s">
        <v>605</v>
      </c>
    </row>
    <row r="12" spans="1:66" x14ac:dyDescent="0.25">
      <c r="A12" t="s">
        <v>606</v>
      </c>
      <c r="B12">
        <f>CHOOSE(MATCH(Setup!$B$5,{8,10,12,14,16},0)+(MATCH(Setup!$B$7,{"STD","Half-PPR","PPR"},0)-1)*5,V12,Y12,AB12,AE12,AH12,AK12,AN12,AQ12,AT12,AW12,AZ12,BC12,BF12,BI12,BL12)</f>
        <v>20</v>
      </c>
      <c r="C12">
        <f>CHOOSE(MATCH(Setup!$B$5,{8,10,12,14,16},0)+(MATCH(Setup!$B$7,{"STD","Half-PPR","PPR"},0)-1)*5,W12,Z12,AC12,AF12,AI12,AL12,AO12,AR12,AU12,AX12,BA12,BD12,BG12,BJ12,BM12)</f>
        <v>1.2</v>
      </c>
      <c r="D12">
        <f>CHOOSE(MATCH(Setup!$B$5,{8,10,12,14,16},0)+(MATCH(Setup!$B$7,{"STD","Half-PPR","PPR"},0)-1)*5,X12,AA12,AD12,AG12,AJ12,AM12,AP12,AS12,AV12,AY12,BB12,BE12,BH12,BK12,BN12)</f>
        <v>7.1599999999999997E-2</v>
      </c>
      <c r="E12">
        <v>1.1667000000000001</v>
      </c>
      <c r="F12">
        <v>4.1494</v>
      </c>
      <c r="G12">
        <v>-0.05</v>
      </c>
      <c r="H12">
        <v>-5.5500000000000002E-3</v>
      </c>
      <c r="V12">
        <v>14</v>
      </c>
      <c r="W12">
        <v>1.1000000000000001</v>
      </c>
      <c r="X12">
        <v>7.4099999999999999E-2</v>
      </c>
      <c r="Y12">
        <v>16</v>
      </c>
      <c r="Z12">
        <v>1.2</v>
      </c>
      <c r="AA12">
        <v>7.4099999999999999E-2</v>
      </c>
      <c r="AB12">
        <v>20</v>
      </c>
      <c r="AC12">
        <v>1.3</v>
      </c>
      <c r="AD12">
        <v>7.4099999999999999E-2</v>
      </c>
      <c r="AE12">
        <v>22</v>
      </c>
      <c r="AF12">
        <v>1.4</v>
      </c>
      <c r="AG12">
        <v>7.4099999999999999E-2</v>
      </c>
      <c r="AH12">
        <v>22</v>
      </c>
      <c r="AI12">
        <v>1.3</v>
      </c>
      <c r="AJ12">
        <v>7.4099999999999999E-2</v>
      </c>
      <c r="AK12">
        <v>14</v>
      </c>
      <c r="AL12">
        <v>1.05</v>
      </c>
      <c r="AM12">
        <v>7.1599999999999997E-2</v>
      </c>
      <c r="AN12">
        <v>16</v>
      </c>
      <c r="AO12">
        <v>1.1000000000000001</v>
      </c>
      <c r="AP12">
        <v>7.1599999999999997E-2</v>
      </c>
      <c r="AQ12">
        <v>20</v>
      </c>
      <c r="AR12">
        <v>1.2</v>
      </c>
      <c r="AS12">
        <v>7.1599999999999997E-2</v>
      </c>
      <c r="AT12">
        <v>22</v>
      </c>
      <c r="AU12">
        <v>1.3</v>
      </c>
      <c r="AV12">
        <v>7.1599999999999997E-2</v>
      </c>
      <c r="AW12">
        <v>22</v>
      </c>
      <c r="AX12">
        <v>1.2</v>
      </c>
      <c r="AY12">
        <v>7.1599999999999997E-2</v>
      </c>
      <c r="AZ12">
        <v>16</v>
      </c>
      <c r="BA12">
        <v>1.4</v>
      </c>
      <c r="BB12">
        <v>7.1099999999999997E-2</v>
      </c>
      <c r="BC12">
        <v>18</v>
      </c>
      <c r="BD12">
        <v>1.3</v>
      </c>
      <c r="BE12">
        <v>7.1099999999999997E-2</v>
      </c>
      <c r="BF12">
        <v>20</v>
      </c>
      <c r="BG12">
        <v>1.1499999999999999</v>
      </c>
      <c r="BH12">
        <v>7.1099999999999997E-2</v>
      </c>
      <c r="BI12">
        <v>22</v>
      </c>
      <c r="BJ12">
        <v>1.3</v>
      </c>
      <c r="BK12">
        <v>7.1099999999999997E-2</v>
      </c>
      <c r="BL12">
        <v>24</v>
      </c>
      <c r="BM12">
        <v>1.2</v>
      </c>
      <c r="BN12">
        <v>7.1099999999999997E-2</v>
      </c>
    </row>
    <row r="13" spans="1:66" x14ac:dyDescent="0.25">
      <c r="A13" t="s">
        <v>607</v>
      </c>
      <c r="B13">
        <f>CHOOSE(MATCH(Setup!$B$5,{8,10,12,14,16},0)+(MATCH(Setup!$B$7,{"STD","Half-PPR","PPR"},0)-1)*5,V13,Y13,AB13,AE13,AH13,AK13,AN13,AQ13,AT13,AW13,AZ13,BC13,BF13,BI13,BL13)</f>
        <v>44</v>
      </c>
      <c r="C13">
        <f>CHOOSE(MATCH(Setup!$B$5,{8,10,12,14,16},0)+(MATCH(Setup!$B$7,{"STD","Half-PPR","PPR"},0)-1)*5,W13,Z13,AC13,AF13,AI13,AL13,AO13,AR13,AU13,AX13,BA13,BD13,BG13,BJ13,BM13)</f>
        <v>1.2</v>
      </c>
      <c r="D13">
        <f>CHOOSE(MATCH(Setup!$B$5,{8,10,12,14,16},0)+(MATCH(Setup!$B$7,{"STD","Half-PPR","PPR"},0)-1)*5,X13,AA13,AD13,AG13,AJ13,AM13,AP13,AS13,AV13,AY13,BB13,BE13,BH13,BK13,BN13)</f>
        <v>0.41789999999999999</v>
      </c>
      <c r="E13">
        <v>1</v>
      </c>
      <c r="F13">
        <v>0.7026</v>
      </c>
      <c r="G13">
        <v>2.5000000000000001E-2</v>
      </c>
      <c r="H13">
        <v>8.6999999999999994E-3</v>
      </c>
      <c r="V13">
        <v>32</v>
      </c>
      <c r="W13">
        <v>1</v>
      </c>
      <c r="X13">
        <v>0.43490000000000001</v>
      </c>
      <c r="Y13">
        <v>36</v>
      </c>
      <c r="Z13">
        <v>1.1499999999999999</v>
      </c>
      <c r="AA13">
        <v>0.43490000000000001</v>
      </c>
      <c r="AB13">
        <v>44</v>
      </c>
      <c r="AC13">
        <v>1.3</v>
      </c>
      <c r="AD13">
        <v>0.43490000000000001</v>
      </c>
      <c r="AE13">
        <v>48</v>
      </c>
      <c r="AF13">
        <v>1.1000000000000001</v>
      </c>
      <c r="AG13">
        <v>0.43490000000000001</v>
      </c>
      <c r="AH13">
        <v>52</v>
      </c>
      <c r="AI13">
        <v>1.1499999999999999</v>
      </c>
      <c r="AJ13">
        <v>0.43490000000000001</v>
      </c>
      <c r="AK13">
        <v>32</v>
      </c>
      <c r="AL13">
        <v>1.2</v>
      </c>
      <c r="AM13">
        <v>0.41789999999999999</v>
      </c>
      <c r="AN13">
        <v>36</v>
      </c>
      <c r="AO13">
        <v>1.1000000000000001</v>
      </c>
      <c r="AP13">
        <v>0.41789999999999999</v>
      </c>
      <c r="AQ13">
        <v>44</v>
      </c>
      <c r="AR13">
        <v>1.2</v>
      </c>
      <c r="AS13">
        <v>0.41789999999999999</v>
      </c>
      <c r="AT13">
        <v>52</v>
      </c>
      <c r="AU13">
        <v>1.3</v>
      </c>
      <c r="AV13">
        <v>0.41789999999999999</v>
      </c>
      <c r="AW13">
        <v>56</v>
      </c>
      <c r="AX13">
        <v>1.2</v>
      </c>
      <c r="AY13">
        <v>0.41789999999999999</v>
      </c>
      <c r="AZ13">
        <v>32</v>
      </c>
      <c r="BA13">
        <v>1.1499999999999999</v>
      </c>
      <c r="BB13">
        <v>0.40360000000000001</v>
      </c>
      <c r="BC13">
        <v>36</v>
      </c>
      <c r="BD13">
        <v>1.05</v>
      </c>
      <c r="BE13">
        <v>0.40360000000000001</v>
      </c>
      <c r="BF13">
        <v>40</v>
      </c>
      <c r="BG13">
        <v>1.05</v>
      </c>
      <c r="BH13">
        <v>0.40360000000000001</v>
      </c>
      <c r="BI13">
        <v>48</v>
      </c>
      <c r="BJ13">
        <v>1.1000000000000001</v>
      </c>
      <c r="BK13">
        <v>0.40360000000000001</v>
      </c>
      <c r="BL13">
        <v>56</v>
      </c>
      <c r="BM13">
        <v>1.2</v>
      </c>
      <c r="BN13">
        <v>0.40360000000000001</v>
      </c>
    </row>
    <row r="14" spans="1:66" x14ac:dyDescent="0.25">
      <c r="A14" t="s">
        <v>608</v>
      </c>
      <c r="B14">
        <f>CHOOSE(MATCH(Setup!$B$5,{8,10,12,14,16},0)+(MATCH(Setup!$B$7,{"STD","Half-PPR","PPR"},0)-1)*5,V14,Y14,AB14,AE14,AH14,AK14,AN14,AQ14,AT14,AW14,AZ14,BC14,BF14,BI14,BL14)</f>
        <v>60</v>
      </c>
      <c r="C14">
        <f>CHOOSE(MATCH(Setup!$B$5,{8,10,12,14,16},0)+(MATCH(Setup!$B$7,{"STD","Half-PPR","PPR"},0)-1)*5,W14,Z14,AC14,AF14,AI14,AL14,AO14,AR14,AU14,AX14,BA14,BD14,BG14,BJ14,BM14)</f>
        <v>1.25</v>
      </c>
      <c r="D14">
        <f>CHOOSE(MATCH(Setup!$B$5,{8,10,12,14,16},0)+(MATCH(Setup!$B$7,{"STD","Half-PPR","PPR"},0)-1)*5,X14,AA14,AD14,AG14,AJ14,AM14,AP14,AS14,AV14,AY14,BB14,BE14,BH14,BK14,BN14)</f>
        <v>0.4219</v>
      </c>
      <c r="E14">
        <v>1.04</v>
      </c>
      <c r="F14">
        <v>0.78359999999999996</v>
      </c>
      <c r="G14">
        <v>-0.05</v>
      </c>
      <c r="H14">
        <v>-4.5500000000000002E-3</v>
      </c>
      <c r="V14">
        <v>40</v>
      </c>
      <c r="W14">
        <v>1.25</v>
      </c>
      <c r="X14">
        <v>0.40110000000000001</v>
      </c>
      <c r="Y14">
        <v>55</v>
      </c>
      <c r="Z14">
        <v>1.3</v>
      </c>
      <c r="AA14">
        <v>0.40110000000000001</v>
      </c>
      <c r="AB14">
        <v>60</v>
      </c>
      <c r="AC14">
        <v>1.2</v>
      </c>
      <c r="AD14">
        <v>0.40110000000000001</v>
      </c>
      <c r="AE14">
        <v>70</v>
      </c>
      <c r="AF14">
        <v>1.3</v>
      </c>
      <c r="AG14">
        <v>0.40110000000000001</v>
      </c>
      <c r="AH14">
        <v>80</v>
      </c>
      <c r="AI14">
        <v>1.25</v>
      </c>
      <c r="AJ14">
        <v>0.40110000000000001</v>
      </c>
      <c r="AK14">
        <v>40</v>
      </c>
      <c r="AL14">
        <v>1.2</v>
      </c>
      <c r="AM14">
        <v>0.4219</v>
      </c>
      <c r="AN14">
        <v>55</v>
      </c>
      <c r="AO14">
        <v>1.3</v>
      </c>
      <c r="AP14">
        <v>0.4219</v>
      </c>
      <c r="AQ14">
        <v>60</v>
      </c>
      <c r="AR14">
        <v>1.25</v>
      </c>
      <c r="AS14">
        <v>0.4219</v>
      </c>
      <c r="AT14">
        <v>70</v>
      </c>
      <c r="AU14">
        <v>1.3</v>
      </c>
      <c r="AV14">
        <v>0.4219</v>
      </c>
      <c r="AW14">
        <v>75</v>
      </c>
      <c r="AX14">
        <v>1.2</v>
      </c>
      <c r="AY14">
        <v>0.4219</v>
      </c>
      <c r="AZ14">
        <v>40</v>
      </c>
      <c r="BA14">
        <v>1.1499999999999999</v>
      </c>
      <c r="BB14">
        <v>0.437</v>
      </c>
      <c r="BC14">
        <v>55</v>
      </c>
      <c r="BD14">
        <v>1.3</v>
      </c>
      <c r="BE14">
        <v>0.437</v>
      </c>
      <c r="BF14">
        <v>60</v>
      </c>
      <c r="BG14">
        <v>1.25</v>
      </c>
      <c r="BH14">
        <v>0.437</v>
      </c>
      <c r="BI14">
        <v>70</v>
      </c>
      <c r="BJ14">
        <v>1.3</v>
      </c>
      <c r="BK14">
        <v>0.437</v>
      </c>
      <c r="BL14">
        <v>75</v>
      </c>
      <c r="BM14">
        <v>1.2</v>
      </c>
      <c r="BN14">
        <v>0.437</v>
      </c>
    </row>
    <row r="15" spans="1:66" x14ac:dyDescent="0.25">
      <c r="A15" t="s">
        <v>609</v>
      </c>
      <c r="B15">
        <f>CHOOSE(MATCH(Setup!$B$5,{8,10,12,14,16},0)+(MATCH(Setup!$B$7,{"STD","Half-PPR","PPR"},0)-1)*5,V15,Y15,AB15,AE15,AH15,AK15,AN15,AQ15,AT15,AW15,AZ15,BC15,BF15,BI15,BL15)</f>
        <v>24</v>
      </c>
      <c r="C15">
        <f>CHOOSE(MATCH(Setup!$B$5,{8,10,12,14,16},0)+(MATCH(Setup!$B$7,{"STD","Half-PPR","PPR"},0)-1)*5,W15,Z15,AC15,AF15,AI15,AL15,AO15,AR15,AU15,AX15,BA15,BD15,BG15,BJ15,BM15)</f>
        <v>1</v>
      </c>
      <c r="D15">
        <f>CHOOSE(MATCH(Setup!$B$5,{8,10,12,14,16},0)+(MATCH(Setup!$B$7,{"STD","Half-PPR","PPR"},0)-1)*5,X15,AA15,AD15,AG15,AJ15,AM15,AP15,AS15,AV15,AY15,BB15,BE15,BH15,BK15,BN15)</f>
        <v>8.8599999999999998E-2</v>
      </c>
      <c r="E15">
        <v>1</v>
      </c>
      <c r="F15">
        <v>0.88829999999999998</v>
      </c>
      <c r="G15">
        <v>0</v>
      </c>
      <c r="H15">
        <v>1.4E-3</v>
      </c>
      <c r="V15">
        <v>16</v>
      </c>
      <c r="W15">
        <v>0.9</v>
      </c>
      <c r="X15">
        <v>8.9800000000000005E-2</v>
      </c>
      <c r="Y15">
        <v>20</v>
      </c>
      <c r="Z15">
        <v>1.1000000000000001</v>
      </c>
      <c r="AA15">
        <v>8.9800000000000005E-2</v>
      </c>
      <c r="AB15">
        <v>24</v>
      </c>
      <c r="AC15">
        <v>0.9</v>
      </c>
      <c r="AD15">
        <v>8.9800000000000005E-2</v>
      </c>
      <c r="AE15">
        <v>28</v>
      </c>
      <c r="AF15">
        <v>0.9</v>
      </c>
      <c r="AG15">
        <v>8.9800000000000005E-2</v>
      </c>
      <c r="AH15">
        <v>30</v>
      </c>
      <c r="AI15">
        <v>0.85</v>
      </c>
      <c r="AJ15">
        <v>8.9800000000000005E-2</v>
      </c>
      <c r="AK15">
        <v>16</v>
      </c>
      <c r="AL15">
        <v>1</v>
      </c>
      <c r="AM15">
        <v>8.8599999999999998E-2</v>
      </c>
      <c r="AN15">
        <v>18</v>
      </c>
      <c r="AO15">
        <v>0.9</v>
      </c>
      <c r="AP15">
        <v>8.8599999999999998E-2</v>
      </c>
      <c r="AQ15">
        <v>24</v>
      </c>
      <c r="AR15">
        <v>1</v>
      </c>
      <c r="AS15">
        <v>8.8599999999999998E-2</v>
      </c>
      <c r="AT15">
        <v>28</v>
      </c>
      <c r="AU15">
        <v>1</v>
      </c>
      <c r="AV15">
        <v>8.8599999999999998E-2</v>
      </c>
      <c r="AW15">
        <v>30</v>
      </c>
      <c r="AX15">
        <v>1.1000000000000001</v>
      </c>
      <c r="AY15">
        <v>8.8599999999999998E-2</v>
      </c>
      <c r="AZ15">
        <v>14</v>
      </c>
      <c r="BA15">
        <v>1</v>
      </c>
      <c r="BB15">
        <v>8.8300000000000003E-2</v>
      </c>
      <c r="BC15">
        <v>18</v>
      </c>
      <c r="BD15">
        <v>0.9</v>
      </c>
      <c r="BE15">
        <v>8.8300000000000003E-2</v>
      </c>
      <c r="BF15">
        <v>24</v>
      </c>
      <c r="BG15">
        <v>1</v>
      </c>
      <c r="BH15">
        <v>8.8300000000000003E-2</v>
      </c>
      <c r="BI15">
        <v>28</v>
      </c>
      <c r="BJ15">
        <v>1.1000000000000001</v>
      </c>
      <c r="BK15">
        <v>8.8300000000000003E-2</v>
      </c>
      <c r="BL15">
        <v>30</v>
      </c>
      <c r="BM15">
        <v>1.1000000000000001</v>
      </c>
      <c r="BN15">
        <v>8.8300000000000003E-2</v>
      </c>
    </row>
    <row r="17" spans="1:10" x14ac:dyDescent="0.25">
      <c r="A17" s="15" t="s">
        <v>610</v>
      </c>
      <c r="J17" s="15" t="s">
        <v>611</v>
      </c>
    </row>
    <row r="18" spans="1:10" x14ac:dyDescent="0.25">
      <c r="A18" s="15" t="s">
        <v>598</v>
      </c>
      <c r="B18" s="15" t="s">
        <v>612</v>
      </c>
      <c r="C18" s="15" t="s">
        <v>613</v>
      </c>
      <c r="D18" s="15" t="s">
        <v>614</v>
      </c>
      <c r="E18" s="15" t="s">
        <v>615</v>
      </c>
      <c r="F18" s="15" t="s">
        <v>616</v>
      </c>
      <c r="G18" s="15" t="s">
        <v>617</v>
      </c>
      <c r="H18" s="15" t="s">
        <v>618</v>
      </c>
      <c r="I18" s="15" t="s">
        <v>619</v>
      </c>
      <c r="J18">
        <f>Setup!$B$19</f>
        <v>1</v>
      </c>
    </row>
    <row r="19" spans="1:10" x14ac:dyDescent="0.25">
      <c r="A19" t="s">
        <v>606</v>
      </c>
      <c r="B19">
        <f>Setup!$B$11+0*Setup!$B$19+0*Setup!$B$21+0*Setup!$B$23+0.4*Setup!$B$25</f>
        <v>1</v>
      </c>
      <c r="C19">
        <f>1+0*1</f>
        <v>1</v>
      </c>
      <c r="D19">
        <f>MAX(1,ROUND(B12*IFERROR(B19/(Setup!$B$11+C19-1),1)*I19^1,0))</f>
        <v>20</v>
      </c>
      <c r="E19">
        <f>MAX(0,IF($B$8,C12*E12,C12+G12*($J$18-1)))</f>
        <v>1.2</v>
      </c>
      <c r="F19">
        <f>IF($B$8,D12*F12*IFERROR(B19/1.4,1),(D12+H12*($J$18-1))*I19)</f>
        <v>7.1599999999999997E-2</v>
      </c>
      <c r="G19">
        <f>F19/(F19+F20+F21+F22)</f>
        <v>7.1599999999999997E-2</v>
      </c>
      <c r="H19">
        <f>LARGE('Draft Board'!$F$2:$F$61,MIN(D19,60))</f>
        <v>262.27800000000002</v>
      </c>
      <c r="I19">
        <f>IFERROR((Setup!$B$11+C19-1)/C19,1)</f>
        <v>1</v>
      </c>
    </row>
    <row r="20" spans="1:10" x14ac:dyDescent="0.25">
      <c r="A20" t="s">
        <v>607</v>
      </c>
      <c r="B20">
        <f>Setup!$B$13+0.1818*Setup!$B$19+0.2048*Setup!$B$21+0*Setup!$B$23+0.3306*Setup!$B$25</f>
        <v>2.1818</v>
      </c>
      <c r="C20">
        <f>2+0.1818*1</f>
        <v>2.1818</v>
      </c>
      <c r="D20">
        <f>MAX(1,ROUND(B13*IFERROR(B20/(Setup!$B$13+C20-2),1)*I20^1,0))</f>
        <v>44</v>
      </c>
      <c r="E20">
        <f>MAX(0,IF($B$8,C13*E13,C13+G13*($J$18-1)))</f>
        <v>1.2</v>
      </c>
      <c r="F20">
        <f>IF($B$8,D13*F13*IFERROR(B20/2.3306,1),(D13+H13*($J$18-1))*I20)</f>
        <v>0.41789999999999999</v>
      </c>
      <c r="G20">
        <f>F20/(F19+F20+F21+F22)</f>
        <v>0.41789999999999999</v>
      </c>
      <c r="H20">
        <f>LARGE('Draft Board'!$V$2:$V$162,MIN(D20,161))</f>
        <v>106.31</v>
      </c>
      <c r="I20">
        <f>IFERROR((Setup!$B$13+C20-2)/C20,1)</f>
        <v>1</v>
      </c>
    </row>
    <row r="21" spans="1:10" x14ac:dyDescent="0.25">
      <c r="A21" t="s">
        <v>608</v>
      </c>
      <c r="B21">
        <f>Setup!$B$15+0.1111*Setup!$B$19+0.1251*Setup!$B$21+0.2475*Setup!$B$23+0.2021*Setup!$B$25</f>
        <v>3.1111</v>
      </c>
      <c r="C21">
        <f>3+0.1111*1</f>
        <v>3.1111</v>
      </c>
      <c r="D21">
        <f>MAX(1,ROUND(B14*IFERROR(B21/(Setup!$B$15+C21-3),1)*I21^1,0))</f>
        <v>60</v>
      </c>
      <c r="E21">
        <f>MAX(1.5,IF($B$8,C14*E14,C14+G14*($J$18-1)))</f>
        <v>1.5</v>
      </c>
      <c r="F21">
        <f>IF($B$8,D14*F14*IFERROR(B21/3.2021,1),(D14+H14*($J$18-1))*I21)</f>
        <v>0.42190000000000011</v>
      </c>
      <c r="G21">
        <f>F21/(F19+F20+F21+F22)</f>
        <v>0.42190000000000011</v>
      </c>
      <c r="H21">
        <f>LARGE('Draft Board'!$AL$2:$AL$192,MIN(D21,191))</f>
        <v>103.65600000000001</v>
      </c>
      <c r="I21">
        <f>IFERROR((Setup!$B$15+C21-3)/C21,1)</f>
        <v>1.0000000000000002</v>
      </c>
    </row>
    <row r="22" spans="1:10" x14ac:dyDescent="0.25">
      <c r="A22" t="s">
        <v>609</v>
      </c>
      <c r="B22">
        <f>Setup!$B$17+0.037*Setup!$B$19+0*Setup!$B$21+0.0824*Setup!$B$23+0.0673*Setup!$B$25</f>
        <v>1.0369999999999999</v>
      </c>
      <c r="C22">
        <f>1+0.037*1</f>
        <v>1.0369999999999999</v>
      </c>
      <c r="D22">
        <f>MAX(1,ROUND(B15*IFERROR(B22/(Setup!$B$17+C22-1),1)*I22^1,0))</f>
        <v>24</v>
      </c>
      <c r="E22">
        <f>MAX(1.6,IF($B$8,C15*E15,C15+G15*($J$18-1)))</f>
        <v>1.6</v>
      </c>
      <c r="F22">
        <f>IF($B$8,D15*F15*IFERROR(B22/1.0673,1),(D15+H15*($J$18-1))*I22)</f>
        <v>8.8599999999999998E-2</v>
      </c>
      <c r="G22">
        <f>F22/(F19+F20+F21+F22)</f>
        <v>8.8599999999999998E-2</v>
      </c>
      <c r="H22">
        <f>LARGE('Draft Board'!$BB$2:$BB$87,MIN(D22,86))</f>
        <v>101.176</v>
      </c>
      <c r="I22">
        <f>IFERROR((Setup!$B$17+C22-1)/C22,1)</f>
        <v>1</v>
      </c>
    </row>
    <row r="24" spans="1:10" x14ac:dyDescent="0.25">
      <c r="A24" s="15" t="s">
        <v>620</v>
      </c>
    </row>
    <row r="25" spans="1:10" x14ac:dyDescent="0.25">
      <c r="A25" s="15" t="s">
        <v>598</v>
      </c>
      <c r="B25" s="15" t="s">
        <v>621</v>
      </c>
      <c r="C25" s="15" t="s">
        <v>622</v>
      </c>
      <c r="D25" s="15" t="s">
        <v>623</v>
      </c>
    </row>
    <row r="26" spans="1:10" x14ac:dyDescent="0.25">
      <c r="A26" t="s">
        <v>606</v>
      </c>
      <c r="B26">
        <f>$B$5*G19</f>
        <v>158.09279999999998</v>
      </c>
      <c r="C26">
        <f>SUM('Draft Board'!$H$2:$H$61)</f>
        <v>1171.9582868845785</v>
      </c>
      <c r="D26">
        <f>IF(C26&lt;20,0,IFERROR(B26/C26,0))</f>
        <v>0.13489626872323138</v>
      </c>
    </row>
    <row r="27" spans="1:10" x14ac:dyDescent="0.25">
      <c r="A27" t="s">
        <v>607</v>
      </c>
      <c r="B27">
        <f>$B$5*G20</f>
        <v>922.72320000000002</v>
      </c>
      <c r="C27">
        <f>SUM('Draft Board'!$X$2:$X$162)</f>
        <v>9338.9555143192538</v>
      </c>
      <c r="D27">
        <f>IF(C27&lt;20,0,IFERROR(B27/C27,0))</f>
        <v>9.880368297987982E-2</v>
      </c>
    </row>
    <row r="28" spans="1:10" x14ac:dyDescent="0.25">
      <c r="A28" t="s">
        <v>608</v>
      </c>
      <c r="B28">
        <f>$B$5*G21</f>
        <v>931.55520000000024</v>
      </c>
      <c r="C28">
        <f>SUM('Draft Board'!$AN$2:$AN$192)</f>
        <v>34470.445139690368</v>
      </c>
      <c r="D28">
        <f>IF(C28&lt;20,0,IFERROR(B28/C28,0))</f>
        <v>2.7024751094014098E-2</v>
      </c>
    </row>
    <row r="29" spans="1:10" x14ac:dyDescent="0.25">
      <c r="A29" t="s">
        <v>609</v>
      </c>
      <c r="B29">
        <f>$B$5*G22</f>
        <v>195.62879999999998</v>
      </c>
      <c r="C29">
        <f>SUM('Draft Board'!$BD$2:$BD$87)</f>
        <v>8338.4887222845464</v>
      </c>
      <c r="D29">
        <f>IF(C29&lt;20,0,IFERROR(B29/C29,0))</f>
        <v>2.3460941966280235E-2</v>
      </c>
    </row>
    <row r="31" spans="1:10" x14ac:dyDescent="0.25">
      <c r="A31" s="15" t="s">
        <v>624</v>
      </c>
    </row>
    <row r="32" spans="1:10" x14ac:dyDescent="0.25">
      <c r="A32" s="15" t="s">
        <v>54</v>
      </c>
      <c r="B32" s="15" t="s">
        <v>625</v>
      </c>
      <c r="C32" s="15" t="s">
        <v>626</v>
      </c>
      <c r="D32" s="15" t="s">
        <v>627</v>
      </c>
      <c r="E32" s="15" t="s">
        <v>628</v>
      </c>
      <c r="F32" s="15" t="s">
        <v>629</v>
      </c>
      <c r="G32" s="15" t="s">
        <v>630</v>
      </c>
    </row>
    <row r="33" spans="1:7" x14ac:dyDescent="0.25">
      <c r="A33">
        <v>1</v>
      </c>
      <c r="B33">
        <f>SUMIFS('Draft Board'!$N$2:$N$61,'Draft Board'!$G$2:$G$61,A33,'Draft Board'!$N$2:$N$61,"&lt;&gt;")</f>
        <v>0</v>
      </c>
      <c r="C33">
        <f>SUMIFS('Draft Board'!$M$2:$M$61,'Draft Board'!$G$2:$G$61,A33,'Draft Board'!$N$2:$N$61,"&lt;&gt;")</f>
        <v>0</v>
      </c>
      <c r="D33">
        <f>COUNTIFS('Draft Board'!$G$2:$G$61,A33,'Draft Board'!$N$2:$N$61,"&lt;&gt;")</f>
        <v>0</v>
      </c>
      <c r="E33">
        <f>IFERROR(AVERAGEIFS('Draft Board'!$M$2:$M$61,'Draft Board'!$G$2:$G$61,A33),0)</f>
        <v>31</v>
      </c>
      <c r="F33">
        <f>MIN(1,E33/(Setup!$B$3*0.1))</f>
        <v>1</v>
      </c>
      <c r="G33">
        <f t="shared" ref="G33:G64" si="0">IF(D33&lt;2,1,MEDIAN(0.5,2,1+(IFERROR(B33/C33,1)-1)*F33))</f>
        <v>1</v>
      </c>
    </row>
    <row r="34" spans="1:7" x14ac:dyDescent="0.25">
      <c r="A34">
        <v>2</v>
      </c>
      <c r="B34">
        <f>SUMIFS('Draft Board'!$N$2:$N$61,'Draft Board'!$G$2:$G$61,A34,'Draft Board'!$N$2:$N$61,"&lt;&gt;")</f>
        <v>0</v>
      </c>
      <c r="C34">
        <f>SUMIFS('Draft Board'!$M$2:$M$61,'Draft Board'!$G$2:$G$61,A34,'Draft Board'!$N$2:$N$61,"&lt;&gt;")</f>
        <v>0</v>
      </c>
      <c r="D34">
        <f>COUNTIFS('Draft Board'!$G$2:$G$61,A34,'Draft Board'!$N$2:$N$61,"&lt;&gt;")</f>
        <v>0</v>
      </c>
      <c r="E34">
        <f>IFERROR(AVERAGEIFS('Draft Board'!$M$2:$M$61,'Draft Board'!$G$2:$G$61,A34),0)</f>
        <v>17</v>
      </c>
      <c r="F34">
        <f>MIN(1,E34/(Setup!$B$3*0.1))</f>
        <v>0.85</v>
      </c>
      <c r="G34">
        <f t="shared" si="0"/>
        <v>1</v>
      </c>
    </row>
    <row r="35" spans="1:7" x14ac:dyDescent="0.25">
      <c r="A35">
        <v>3</v>
      </c>
      <c r="B35">
        <f>SUMIFS('Draft Board'!$N$2:$N$61,'Draft Board'!$G$2:$G$61,A35,'Draft Board'!$N$2:$N$61,"&lt;&gt;")</f>
        <v>0</v>
      </c>
      <c r="C35">
        <f>SUMIFS('Draft Board'!$M$2:$M$61,'Draft Board'!$G$2:$G$61,A35,'Draft Board'!$N$2:$N$61,"&lt;&gt;")</f>
        <v>0</v>
      </c>
      <c r="D35">
        <f>COUNTIFS('Draft Board'!$G$2:$G$61,A35,'Draft Board'!$N$2:$N$61,"&lt;&gt;")</f>
        <v>0</v>
      </c>
      <c r="E35">
        <f>IFERROR(AVERAGEIFS('Draft Board'!$M$2:$M$61,'Draft Board'!$G$2:$G$61,A35),0)</f>
        <v>14.5</v>
      </c>
      <c r="F35">
        <f>MIN(1,E35/(Setup!$B$3*0.1))</f>
        <v>0.72499999999999998</v>
      </c>
      <c r="G35">
        <f t="shared" si="0"/>
        <v>1</v>
      </c>
    </row>
    <row r="36" spans="1:7" x14ac:dyDescent="0.25">
      <c r="A36">
        <v>4</v>
      </c>
      <c r="B36">
        <f>SUMIFS('Draft Board'!$N$2:$N$61,'Draft Board'!$G$2:$G$61,A36,'Draft Board'!$N$2:$N$61,"&lt;&gt;")</f>
        <v>0</v>
      </c>
      <c r="C36">
        <f>SUMIFS('Draft Board'!$M$2:$M$61,'Draft Board'!$G$2:$G$61,A36,'Draft Board'!$N$2:$N$61,"&lt;&gt;")</f>
        <v>0</v>
      </c>
      <c r="D36">
        <f>COUNTIFS('Draft Board'!$G$2:$G$61,A36,'Draft Board'!$N$2:$N$61,"&lt;&gt;")</f>
        <v>0</v>
      </c>
      <c r="E36">
        <f>IFERROR(AVERAGEIFS('Draft Board'!$M$2:$M$61,'Draft Board'!$G$2:$G$61,A36),0)</f>
        <v>12.5</v>
      </c>
      <c r="F36">
        <f>MIN(1,E36/(Setup!$B$3*0.1))</f>
        <v>0.625</v>
      </c>
      <c r="G36">
        <f t="shared" si="0"/>
        <v>1</v>
      </c>
    </row>
    <row r="37" spans="1:7" x14ac:dyDescent="0.25">
      <c r="A37">
        <v>5</v>
      </c>
      <c r="B37">
        <f>SUMIFS('Draft Board'!$N$2:$N$61,'Draft Board'!$G$2:$G$61,A37,'Draft Board'!$N$2:$N$61,"&lt;&gt;")</f>
        <v>0</v>
      </c>
      <c r="C37">
        <f>SUMIFS('Draft Board'!$M$2:$M$61,'Draft Board'!$G$2:$G$61,A37,'Draft Board'!$N$2:$N$61,"&lt;&gt;")</f>
        <v>0</v>
      </c>
      <c r="D37">
        <f>COUNTIFS('Draft Board'!$G$2:$G$61,A37,'Draft Board'!$N$2:$N$61,"&lt;&gt;")</f>
        <v>0</v>
      </c>
      <c r="E37">
        <f>IFERROR(AVERAGEIFS('Draft Board'!$M$2:$M$61,'Draft Board'!$G$2:$G$61,A37),0)</f>
        <v>8.4</v>
      </c>
      <c r="F37">
        <f>MIN(1,E37/(Setup!$B$3*0.1))</f>
        <v>0.42000000000000004</v>
      </c>
      <c r="G37">
        <f t="shared" si="0"/>
        <v>1</v>
      </c>
    </row>
    <row r="38" spans="1:7" x14ac:dyDescent="0.25">
      <c r="A38">
        <v>6</v>
      </c>
      <c r="B38">
        <f>SUMIFS('Draft Board'!$N$2:$N$61,'Draft Board'!$G$2:$G$61,A38,'Draft Board'!$N$2:$N$61,"&lt;&gt;")</f>
        <v>0</v>
      </c>
      <c r="C38">
        <f>SUMIFS('Draft Board'!$M$2:$M$61,'Draft Board'!$G$2:$G$61,A38,'Draft Board'!$N$2:$N$61,"&lt;&gt;")</f>
        <v>0</v>
      </c>
      <c r="D38">
        <f>COUNTIFS('Draft Board'!$G$2:$G$61,A38,'Draft Board'!$N$2:$N$61,"&lt;&gt;")</f>
        <v>0</v>
      </c>
      <c r="E38">
        <f>IFERROR(AVERAGEIFS('Draft Board'!$M$2:$M$61,'Draft Board'!$G$2:$G$61,A38),0)</f>
        <v>6.666666666666667</v>
      </c>
      <c r="F38">
        <f>MIN(1,E38/(Setup!$B$3*0.1))</f>
        <v>0.33333333333333337</v>
      </c>
      <c r="G38">
        <f t="shared" si="0"/>
        <v>1</v>
      </c>
    </row>
    <row r="39" spans="1:7" x14ac:dyDescent="0.25">
      <c r="A39">
        <v>7</v>
      </c>
      <c r="B39">
        <f>SUMIFS('Draft Board'!$N$2:$N$61,'Draft Board'!$G$2:$G$61,A39,'Draft Board'!$N$2:$N$61,"&lt;&gt;")</f>
        <v>0</v>
      </c>
      <c r="C39">
        <f>SUMIFS('Draft Board'!$M$2:$M$61,'Draft Board'!$G$2:$G$61,A39,'Draft Board'!$N$2:$N$61,"&lt;&gt;")</f>
        <v>0</v>
      </c>
      <c r="D39">
        <f>COUNTIFS('Draft Board'!$G$2:$G$61,A39,'Draft Board'!$N$2:$N$61,"&lt;&gt;")</f>
        <v>0</v>
      </c>
      <c r="E39">
        <f>IFERROR(AVERAGEIFS('Draft Board'!$M$2:$M$61,'Draft Board'!$G$2:$G$61,A39),0)</f>
        <v>4</v>
      </c>
      <c r="F39">
        <f>MIN(1,E39/(Setup!$B$3*0.1))</f>
        <v>0.2</v>
      </c>
      <c r="G39">
        <f t="shared" si="0"/>
        <v>1</v>
      </c>
    </row>
    <row r="40" spans="1:7" x14ac:dyDescent="0.25">
      <c r="A40">
        <v>8</v>
      </c>
      <c r="B40">
        <f>SUMIFS('Draft Board'!$N$2:$N$61,'Draft Board'!$G$2:$G$61,A40,'Draft Board'!$N$2:$N$61,"&lt;&gt;")</f>
        <v>0</v>
      </c>
      <c r="C40">
        <f>SUMIFS('Draft Board'!$M$2:$M$61,'Draft Board'!$G$2:$G$61,A40,'Draft Board'!$N$2:$N$61,"&lt;&gt;")</f>
        <v>0</v>
      </c>
      <c r="D40">
        <f>COUNTIFS('Draft Board'!$G$2:$G$61,A40,'Draft Board'!$N$2:$N$61,"&lt;&gt;")</f>
        <v>0</v>
      </c>
      <c r="E40">
        <f>IFERROR(AVERAGEIFS('Draft Board'!$M$2:$M$61,'Draft Board'!$G$2:$G$61,A40),0)</f>
        <v>4</v>
      </c>
      <c r="F40">
        <f>MIN(1,E40/(Setup!$B$3*0.1))</f>
        <v>0.2</v>
      </c>
      <c r="G40">
        <f t="shared" si="0"/>
        <v>1</v>
      </c>
    </row>
    <row r="41" spans="1:7" x14ac:dyDescent="0.25">
      <c r="A41">
        <v>9</v>
      </c>
      <c r="B41">
        <f>SUMIFS('Draft Board'!$N$2:$N$61,'Draft Board'!$G$2:$G$61,A41,'Draft Board'!$N$2:$N$61,"&lt;&gt;")</f>
        <v>0</v>
      </c>
      <c r="C41">
        <f>SUMIFS('Draft Board'!$M$2:$M$61,'Draft Board'!$G$2:$G$61,A41,'Draft Board'!$N$2:$N$61,"&lt;&gt;")</f>
        <v>0</v>
      </c>
      <c r="D41">
        <f>COUNTIFS('Draft Board'!$G$2:$G$61,A41,'Draft Board'!$N$2:$N$61,"&lt;&gt;")</f>
        <v>0</v>
      </c>
      <c r="E41">
        <f>IFERROR(AVERAGEIFS('Draft Board'!$M$2:$M$61,'Draft Board'!$G$2:$G$61,A41),0)</f>
        <v>2</v>
      </c>
      <c r="F41">
        <f>MIN(1,E41/(Setup!$B$3*0.1))</f>
        <v>0.1</v>
      </c>
      <c r="G41">
        <f t="shared" si="0"/>
        <v>1</v>
      </c>
    </row>
    <row r="42" spans="1:7" x14ac:dyDescent="0.25">
      <c r="A42">
        <v>10</v>
      </c>
      <c r="B42">
        <f>SUMIFS('Draft Board'!$N$2:$N$61,'Draft Board'!$G$2:$G$61,A42,'Draft Board'!$N$2:$N$61,"&lt;&gt;")</f>
        <v>0</v>
      </c>
      <c r="C42">
        <f>SUMIFS('Draft Board'!$M$2:$M$61,'Draft Board'!$G$2:$G$61,A42,'Draft Board'!$N$2:$N$61,"&lt;&gt;")</f>
        <v>0</v>
      </c>
      <c r="D42">
        <f>COUNTIFS('Draft Board'!$G$2:$G$61,A42,'Draft Board'!$N$2:$N$61,"&lt;&gt;")</f>
        <v>0</v>
      </c>
      <c r="E42">
        <f>IFERROR(AVERAGEIFS('Draft Board'!$M$2:$M$61,'Draft Board'!$G$2:$G$61,A42),0)</f>
        <v>1</v>
      </c>
      <c r="F42">
        <f>MIN(1,E42/(Setup!$B$3*0.1))</f>
        <v>0.05</v>
      </c>
      <c r="G42">
        <f t="shared" si="0"/>
        <v>1</v>
      </c>
    </row>
    <row r="43" spans="1:7" x14ac:dyDescent="0.25">
      <c r="A43">
        <v>11</v>
      </c>
      <c r="B43">
        <f>SUMIFS('Draft Board'!$N$2:$N$61,'Draft Board'!$G$2:$G$61,A43,'Draft Board'!$N$2:$N$61,"&lt;&gt;")</f>
        <v>0</v>
      </c>
      <c r="C43">
        <f>SUMIFS('Draft Board'!$M$2:$M$61,'Draft Board'!$G$2:$G$61,A43,'Draft Board'!$N$2:$N$61,"&lt;&gt;")</f>
        <v>0</v>
      </c>
      <c r="D43">
        <f>COUNTIFS('Draft Board'!$G$2:$G$61,A43,'Draft Board'!$N$2:$N$61,"&lt;&gt;")</f>
        <v>0</v>
      </c>
      <c r="E43">
        <f>IFERROR(AVERAGEIFS('Draft Board'!$M$2:$M$61,'Draft Board'!$G$2:$G$61,A43),0)</f>
        <v>1</v>
      </c>
      <c r="F43">
        <f>MIN(1,E43/(Setup!$B$3*0.1))</f>
        <v>0.05</v>
      </c>
      <c r="G43">
        <f t="shared" si="0"/>
        <v>1</v>
      </c>
    </row>
    <row r="44" spans="1:7" x14ac:dyDescent="0.25">
      <c r="A44">
        <v>12</v>
      </c>
      <c r="B44">
        <f>SUMIFS('Draft Board'!$N$2:$N$61,'Draft Board'!$G$2:$G$61,A44,'Draft Board'!$N$2:$N$61,"&lt;&gt;")</f>
        <v>0</v>
      </c>
      <c r="C44">
        <f>SUMIFS('Draft Board'!$M$2:$M$61,'Draft Board'!$G$2:$G$61,A44,'Draft Board'!$N$2:$N$61,"&lt;&gt;")</f>
        <v>0</v>
      </c>
      <c r="D44">
        <f>COUNTIFS('Draft Board'!$G$2:$G$61,A44,'Draft Board'!$N$2:$N$61,"&lt;&gt;")</f>
        <v>0</v>
      </c>
      <c r="E44">
        <f>IFERROR(AVERAGEIFS('Draft Board'!$M$2:$M$61,'Draft Board'!$G$2:$G$61,A44),0)</f>
        <v>0</v>
      </c>
      <c r="F44">
        <f>MIN(1,E44/(Setup!$B$3*0.1))</f>
        <v>0</v>
      </c>
      <c r="G44">
        <f t="shared" si="0"/>
        <v>1</v>
      </c>
    </row>
    <row r="45" spans="1:7" x14ac:dyDescent="0.25">
      <c r="A45">
        <v>13</v>
      </c>
      <c r="B45">
        <f>SUMIFS('Draft Board'!$N$2:$N$61,'Draft Board'!$G$2:$G$61,A45,'Draft Board'!$N$2:$N$61,"&lt;&gt;")</f>
        <v>0</v>
      </c>
      <c r="C45">
        <f>SUMIFS('Draft Board'!$M$2:$M$61,'Draft Board'!$G$2:$G$61,A45,'Draft Board'!$N$2:$N$61,"&lt;&gt;")</f>
        <v>0</v>
      </c>
      <c r="D45">
        <f>COUNTIFS('Draft Board'!$G$2:$G$61,A45,'Draft Board'!$N$2:$N$61,"&lt;&gt;")</f>
        <v>0</v>
      </c>
      <c r="E45">
        <f>IFERROR(AVERAGEIFS('Draft Board'!$M$2:$M$61,'Draft Board'!$G$2:$G$61,A45),0)</f>
        <v>0</v>
      </c>
      <c r="F45">
        <f>MIN(1,E45/(Setup!$B$3*0.1))</f>
        <v>0</v>
      </c>
      <c r="G45">
        <f t="shared" si="0"/>
        <v>1</v>
      </c>
    </row>
    <row r="46" spans="1:7" x14ac:dyDescent="0.25">
      <c r="A46">
        <v>14</v>
      </c>
      <c r="B46">
        <f>SUMIFS('Draft Board'!$N$2:$N$61,'Draft Board'!$G$2:$G$61,A46,'Draft Board'!$N$2:$N$61,"&lt;&gt;")</f>
        <v>0</v>
      </c>
      <c r="C46">
        <f>SUMIFS('Draft Board'!$M$2:$M$61,'Draft Board'!$G$2:$G$61,A46,'Draft Board'!$N$2:$N$61,"&lt;&gt;")</f>
        <v>0</v>
      </c>
      <c r="D46">
        <f>COUNTIFS('Draft Board'!$G$2:$G$61,A46,'Draft Board'!$N$2:$N$61,"&lt;&gt;")</f>
        <v>0</v>
      </c>
      <c r="E46">
        <f>IFERROR(AVERAGEIFS('Draft Board'!$M$2:$M$61,'Draft Board'!$G$2:$G$61,A46),0)</f>
        <v>0</v>
      </c>
      <c r="F46">
        <f>MIN(1,E46/(Setup!$B$3*0.1))</f>
        <v>0</v>
      </c>
      <c r="G46">
        <f t="shared" si="0"/>
        <v>1</v>
      </c>
    </row>
    <row r="47" spans="1:7" x14ac:dyDescent="0.25">
      <c r="A47">
        <v>15</v>
      </c>
      <c r="B47">
        <f>SUMIFS('Draft Board'!$N$2:$N$61,'Draft Board'!$G$2:$G$61,A47,'Draft Board'!$N$2:$N$61,"&lt;&gt;")</f>
        <v>0</v>
      </c>
      <c r="C47">
        <f>SUMIFS('Draft Board'!$M$2:$M$61,'Draft Board'!$G$2:$G$61,A47,'Draft Board'!$N$2:$N$61,"&lt;&gt;")</f>
        <v>0</v>
      </c>
      <c r="D47">
        <f>COUNTIFS('Draft Board'!$G$2:$G$61,A47,'Draft Board'!$N$2:$N$61,"&lt;&gt;")</f>
        <v>0</v>
      </c>
      <c r="E47">
        <f>IFERROR(AVERAGEIFS('Draft Board'!$M$2:$M$61,'Draft Board'!$G$2:$G$61,A47),0)</f>
        <v>0</v>
      </c>
      <c r="F47">
        <f>MIN(1,E47/(Setup!$B$3*0.1))</f>
        <v>0</v>
      </c>
      <c r="G47">
        <f t="shared" si="0"/>
        <v>1</v>
      </c>
    </row>
    <row r="48" spans="1:7" x14ac:dyDescent="0.25">
      <c r="A48">
        <v>16</v>
      </c>
      <c r="B48">
        <f>SUMIFS('Draft Board'!$N$2:$N$61,'Draft Board'!$G$2:$G$61,A48,'Draft Board'!$N$2:$N$61,"&lt;&gt;")</f>
        <v>0</v>
      </c>
      <c r="C48">
        <f>SUMIFS('Draft Board'!$M$2:$M$61,'Draft Board'!$G$2:$G$61,A48,'Draft Board'!$N$2:$N$61,"&lt;&gt;")</f>
        <v>0</v>
      </c>
      <c r="D48">
        <f>COUNTIFS('Draft Board'!$G$2:$G$61,A48,'Draft Board'!$N$2:$N$61,"&lt;&gt;")</f>
        <v>0</v>
      </c>
      <c r="E48">
        <f>IFERROR(AVERAGEIFS('Draft Board'!$M$2:$M$61,'Draft Board'!$G$2:$G$61,A48),0)</f>
        <v>0</v>
      </c>
      <c r="F48">
        <f>MIN(1,E48/(Setup!$B$3*0.1))</f>
        <v>0</v>
      </c>
      <c r="G48">
        <f t="shared" si="0"/>
        <v>1</v>
      </c>
    </row>
    <row r="49" spans="1:7" x14ac:dyDescent="0.25">
      <c r="A49">
        <v>17</v>
      </c>
      <c r="B49">
        <f>SUMIFS('Draft Board'!$N$2:$N$61,'Draft Board'!$G$2:$G$61,A49,'Draft Board'!$N$2:$N$61,"&lt;&gt;")</f>
        <v>0</v>
      </c>
      <c r="C49">
        <f>SUMIFS('Draft Board'!$M$2:$M$61,'Draft Board'!$G$2:$G$61,A49,'Draft Board'!$N$2:$N$61,"&lt;&gt;")</f>
        <v>0</v>
      </c>
      <c r="D49">
        <f>COUNTIFS('Draft Board'!$G$2:$G$61,A49,'Draft Board'!$N$2:$N$61,"&lt;&gt;")</f>
        <v>0</v>
      </c>
      <c r="E49">
        <f>IFERROR(AVERAGEIFS('Draft Board'!$M$2:$M$61,'Draft Board'!$G$2:$G$61,A49),0)</f>
        <v>0</v>
      </c>
      <c r="F49">
        <f>MIN(1,E49/(Setup!$B$3*0.1))</f>
        <v>0</v>
      </c>
      <c r="G49">
        <f t="shared" si="0"/>
        <v>1</v>
      </c>
    </row>
    <row r="50" spans="1:7" x14ac:dyDescent="0.25">
      <c r="A50">
        <v>18</v>
      </c>
      <c r="B50">
        <f>SUMIFS('Draft Board'!$N$2:$N$61,'Draft Board'!$G$2:$G$61,A50,'Draft Board'!$N$2:$N$61,"&lt;&gt;")</f>
        <v>0</v>
      </c>
      <c r="C50">
        <f>SUMIFS('Draft Board'!$M$2:$M$61,'Draft Board'!$G$2:$G$61,A50,'Draft Board'!$N$2:$N$61,"&lt;&gt;")</f>
        <v>0</v>
      </c>
      <c r="D50">
        <f>COUNTIFS('Draft Board'!$G$2:$G$61,A50,'Draft Board'!$N$2:$N$61,"&lt;&gt;")</f>
        <v>0</v>
      </c>
      <c r="E50">
        <f>IFERROR(AVERAGEIFS('Draft Board'!$M$2:$M$61,'Draft Board'!$G$2:$G$61,A50),0)</f>
        <v>0</v>
      </c>
      <c r="F50">
        <f>MIN(1,E50/(Setup!$B$3*0.1))</f>
        <v>0</v>
      </c>
      <c r="G50">
        <f t="shared" si="0"/>
        <v>1</v>
      </c>
    </row>
    <row r="51" spans="1:7" x14ac:dyDescent="0.25">
      <c r="A51">
        <v>19</v>
      </c>
      <c r="B51">
        <f>SUMIFS('Draft Board'!$N$2:$N$61,'Draft Board'!$G$2:$G$61,A51,'Draft Board'!$N$2:$N$61,"&lt;&gt;")</f>
        <v>0</v>
      </c>
      <c r="C51">
        <f>SUMIFS('Draft Board'!$M$2:$M$61,'Draft Board'!$G$2:$G$61,A51,'Draft Board'!$N$2:$N$61,"&lt;&gt;")</f>
        <v>0</v>
      </c>
      <c r="D51">
        <f>COUNTIFS('Draft Board'!$G$2:$G$61,A51,'Draft Board'!$N$2:$N$61,"&lt;&gt;")</f>
        <v>0</v>
      </c>
      <c r="E51">
        <f>IFERROR(AVERAGEIFS('Draft Board'!$M$2:$M$61,'Draft Board'!$G$2:$G$61,A51),0)</f>
        <v>0</v>
      </c>
      <c r="F51">
        <f>MIN(1,E51/(Setup!$B$3*0.1))</f>
        <v>0</v>
      </c>
      <c r="G51">
        <f t="shared" si="0"/>
        <v>1</v>
      </c>
    </row>
    <row r="52" spans="1:7" x14ac:dyDescent="0.25">
      <c r="A52">
        <v>20</v>
      </c>
      <c r="B52">
        <f>SUMIFS('Draft Board'!$N$2:$N$61,'Draft Board'!$G$2:$G$61,A52,'Draft Board'!$N$2:$N$61,"&lt;&gt;")</f>
        <v>0</v>
      </c>
      <c r="C52">
        <f>SUMIFS('Draft Board'!$M$2:$M$61,'Draft Board'!$G$2:$G$61,A52,'Draft Board'!$N$2:$N$61,"&lt;&gt;")</f>
        <v>0</v>
      </c>
      <c r="D52">
        <f>COUNTIFS('Draft Board'!$G$2:$G$61,A52,'Draft Board'!$N$2:$N$61,"&lt;&gt;")</f>
        <v>0</v>
      </c>
      <c r="E52">
        <f>IFERROR(AVERAGEIFS('Draft Board'!$M$2:$M$61,'Draft Board'!$G$2:$G$61,A52),0)</f>
        <v>0</v>
      </c>
      <c r="F52">
        <f>MIN(1,E52/(Setup!$B$3*0.1))</f>
        <v>0</v>
      </c>
      <c r="G52">
        <f t="shared" si="0"/>
        <v>1</v>
      </c>
    </row>
    <row r="53" spans="1:7" x14ac:dyDescent="0.25">
      <c r="A53">
        <v>21</v>
      </c>
      <c r="B53">
        <f>SUMIFS('Draft Board'!$N$2:$N$61,'Draft Board'!$G$2:$G$61,A53,'Draft Board'!$N$2:$N$61,"&lt;&gt;")</f>
        <v>0</v>
      </c>
      <c r="C53">
        <f>SUMIFS('Draft Board'!$M$2:$M$61,'Draft Board'!$G$2:$G$61,A53,'Draft Board'!$N$2:$N$61,"&lt;&gt;")</f>
        <v>0</v>
      </c>
      <c r="D53">
        <f>COUNTIFS('Draft Board'!$G$2:$G$61,A53,'Draft Board'!$N$2:$N$61,"&lt;&gt;")</f>
        <v>0</v>
      </c>
      <c r="E53">
        <f>IFERROR(AVERAGEIFS('Draft Board'!$M$2:$M$61,'Draft Board'!$G$2:$G$61,A53),0)</f>
        <v>0</v>
      </c>
      <c r="F53">
        <f>MIN(1,E53/(Setup!$B$3*0.1))</f>
        <v>0</v>
      </c>
      <c r="G53">
        <f t="shared" si="0"/>
        <v>1</v>
      </c>
    </row>
    <row r="54" spans="1:7" x14ac:dyDescent="0.25">
      <c r="A54">
        <v>22</v>
      </c>
      <c r="B54">
        <f>SUMIFS('Draft Board'!$N$2:$N$61,'Draft Board'!$G$2:$G$61,A54,'Draft Board'!$N$2:$N$61,"&lt;&gt;")</f>
        <v>0</v>
      </c>
      <c r="C54">
        <f>SUMIFS('Draft Board'!$M$2:$M$61,'Draft Board'!$G$2:$G$61,A54,'Draft Board'!$N$2:$N$61,"&lt;&gt;")</f>
        <v>0</v>
      </c>
      <c r="D54">
        <f>COUNTIFS('Draft Board'!$G$2:$G$61,A54,'Draft Board'!$N$2:$N$61,"&lt;&gt;")</f>
        <v>0</v>
      </c>
      <c r="E54">
        <f>IFERROR(AVERAGEIFS('Draft Board'!$M$2:$M$61,'Draft Board'!$G$2:$G$61,A54),0)</f>
        <v>0</v>
      </c>
      <c r="F54">
        <f>MIN(1,E54/(Setup!$B$3*0.1))</f>
        <v>0</v>
      </c>
      <c r="G54">
        <f t="shared" si="0"/>
        <v>1</v>
      </c>
    </row>
    <row r="55" spans="1:7" x14ac:dyDescent="0.25">
      <c r="A55">
        <v>23</v>
      </c>
      <c r="B55">
        <f>SUMIFS('Draft Board'!$N$2:$N$61,'Draft Board'!$G$2:$G$61,A55,'Draft Board'!$N$2:$N$61,"&lt;&gt;")</f>
        <v>0</v>
      </c>
      <c r="C55">
        <f>SUMIFS('Draft Board'!$M$2:$M$61,'Draft Board'!$G$2:$G$61,A55,'Draft Board'!$N$2:$N$61,"&lt;&gt;")</f>
        <v>0</v>
      </c>
      <c r="D55">
        <f>COUNTIFS('Draft Board'!$G$2:$G$61,A55,'Draft Board'!$N$2:$N$61,"&lt;&gt;")</f>
        <v>0</v>
      </c>
      <c r="E55">
        <f>IFERROR(AVERAGEIFS('Draft Board'!$M$2:$M$61,'Draft Board'!$G$2:$G$61,A55),0)</f>
        <v>0</v>
      </c>
      <c r="F55">
        <f>MIN(1,E55/(Setup!$B$3*0.1))</f>
        <v>0</v>
      </c>
      <c r="G55">
        <f t="shared" si="0"/>
        <v>1</v>
      </c>
    </row>
    <row r="56" spans="1:7" x14ac:dyDescent="0.25">
      <c r="A56">
        <v>24</v>
      </c>
      <c r="B56">
        <f>SUMIFS('Draft Board'!$N$2:$N$61,'Draft Board'!$G$2:$G$61,A56,'Draft Board'!$N$2:$N$61,"&lt;&gt;")</f>
        <v>0</v>
      </c>
      <c r="C56">
        <f>SUMIFS('Draft Board'!$M$2:$M$61,'Draft Board'!$G$2:$G$61,A56,'Draft Board'!$N$2:$N$61,"&lt;&gt;")</f>
        <v>0</v>
      </c>
      <c r="D56">
        <f>COUNTIFS('Draft Board'!$G$2:$G$61,A56,'Draft Board'!$N$2:$N$61,"&lt;&gt;")</f>
        <v>0</v>
      </c>
      <c r="E56">
        <f>IFERROR(AVERAGEIFS('Draft Board'!$M$2:$M$61,'Draft Board'!$G$2:$G$61,A56),0)</f>
        <v>0</v>
      </c>
      <c r="F56">
        <f>MIN(1,E56/(Setup!$B$3*0.1))</f>
        <v>0</v>
      </c>
      <c r="G56">
        <f t="shared" si="0"/>
        <v>1</v>
      </c>
    </row>
    <row r="57" spans="1:7" x14ac:dyDescent="0.25">
      <c r="A57">
        <v>25</v>
      </c>
      <c r="B57">
        <f>SUMIFS('Draft Board'!$N$2:$N$61,'Draft Board'!$G$2:$G$61,A57,'Draft Board'!$N$2:$N$61,"&lt;&gt;")</f>
        <v>0</v>
      </c>
      <c r="C57">
        <f>SUMIFS('Draft Board'!$M$2:$M$61,'Draft Board'!$G$2:$G$61,A57,'Draft Board'!$N$2:$N$61,"&lt;&gt;")</f>
        <v>0</v>
      </c>
      <c r="D57">
        <f>COUNTIFS('Draft Board'!$G$2:$G$61,A57,'Draft Board'!$N$2:$N$61,"&lt;&gt;")</f>
        <v>0</v>
      </c>
      <c r="E57">
        <f>IFERROR(AVERAGEIFS('Draft Board'!$M$2:$M$61,'Draft Board'!$G$2:$G$61,A57),0)</f>
        <v>0</v>
      </c>
      <c r="F57">
        <f>MIN(1,E57/(Setup!$B$3*0.1))</f>
        <v>0</v>
      </c>
      <c r="G57">
        <f t="shared" si="0"/>
        <v>1</v>
      </c>
    </row>
    <row r="58" spans="1:7" x14ac:dyDescent="0.25">
      <c r="A58">
        <v>26</v>
      </c>
      <c r="B58">
        <f>SUMIFS('Draft Board'!$N$2:$N$61,'Draft Board'!$G$2:$G$61,A58,'Draft Board'!$N$2:$N$61,"&lt;&gt;")</f>
        <v>0</v>
      </c>
      <c r="C58">
        <f>SUMIFS('Draft Board'!$M$2:$M$61,'Draft Board'!$G$2:$G$61,A58,'Draft Board'!$N$2:$N$61,"&lt;&gt;")</f>
        <v>0</v>
      </c>
      <c r="D58">
        <f>COUNTIFS('Draft Board'!$G$2:$G$61,A58,'Draft Board'!$N$2:$N$61,"&lt;&gt;")</f>
        <v>0</v>
      </c>
      <c r="E58">
        <f>IFERROR(AVERAGEIFS('Draft Board'!$M$2:$M$61,'Draft Board'!$G$2:$G$61,A58),0)</f>
        <v>0</v>
      </c>
      <c r="F58">
        <f>MIN(1,E58/(Setup!$B$3*0.1))</f>
        <v>0</v>
      </c>
      <c r="G58">
        <f t="shared" si="0"/>
        <v>1</v>
      </c>
    </row>
    <row r="59" spans="1:7" x14ac:dyDescent="0.25">
      <c r="A59">
        <v>27</v>
      </c>
      <c r="B59">
        <f>SUMIFS('Draft Board'!$N$2:$N$61,'Draft Board'!$G$2:$G$61,A59,'Draft Board'!$N$2:$N$61,"&lt;&gt;")</f>
        <v>0</v>
      </c>
      <c r="C59">
        <f>SUMIFS('Draft Board'!$M$2:$M$61,'Draft Board'!$G$2:$G$61,A59,'Draft Board'!$N$2:$N$61,"&lt;&gt;")</f>
        <v>0</v>
      </c>
      <c r="D59">
        <f>COUNTIFS('Draft Board'!$G$2:$G$61,A59,'Draft Board'!$N$2:$N$61,"&lt;&gt;")</f>
        <v>0</v>
      </c>
      <c r="E59">
        <f>IFERROR(AVERAGEIFS('Draft Board'!$M$2:$M$61,'Draft Board'!$G$2:$G$61,A59),0)</f>
        <v>0</v>
      </c>
      <c r="F59">
        <f>MIN(1,E59/(Setup!$B$3*0.1))</f>
        <v>0</v>
      </c>
      <c r="G59">
        <f t="shared" si="0"/>
        <v>1</v>
      </c>
    </row>
    <row r="60" spans="1:7" x14ac:dyDescent="0.25">
      <c r="A60">
        <v>28</v>
      </c>
      <c r="B60">
        <f>SUMIFS('Draft Board'!$N$2:$N$61,'Draft Board'!$G$2:$G$61,A60,'Draft Board'!$N$2:$N$61,"&lt;&gt;")</f>
        <v>0</v>
      </c>
      <c r="C60">
        <f>SUMIFS('Draft Board'!$M$2:$M$61,'Draft Board'!$G$2:$G$61,A60,'Draft Board'!$N$2:$N$61,"&lt;&gt;")</f>
        <v>0</v>
      </c>
      <c r="D60">
        <f>COUNTIFS('Draft Board'!$G$2:$G$61,A60,'Draft Board'!$N$2:$N$61,"&lt;&gt;")</f>
        <v>0</v>
      </c>
      <c r="E60">
        <f>IFERROR(AVERAGEIFS('Draft Board'!$M$2:$M$61,'Draft Board'!$G$2:$G$61,A60),0)</f>
        <v>0</v>
      </c>
      <c r="F60">
        <f>MIN(1,E60/(Setup!$B$3*0.1))</f>
        <v>0</v>
      </c>
      <c r="G60">
        <f t="shared" si="0"/>
        <v>1</v>
      </c>
    </row>
    <row r="61" spans="1:7" x14ac:dyDescent="0.25">
      <c r="A61">
        <v>29</v>
      </c>
      <c r="B61">
        <f>SUMIFS('Draft Board'!$N$2:$N$61,'Draft Board'!$G$2:$G$61,A61,'Draft Board'!$N$2:$N$61,"&lt;&gt;")</f>
        <v>0</v>
      </c>
      <c r="C61">
        <f>SUMIFS('Draft Board'!$M$2:$M$61,'Draft Board'!$G$2:$G$61,A61,'Draft Board'!$N$2:$N$61,"&lt;&gt;")</f>
        <v>0</v>
      </c>
      <c r="D61">
        <f>COUNTIFS('Draft Board'!$G$2:$G$61,A61,'Draft Board'!$N$2:$N$61,"&lt;&gt;")</f>
        <v>0</v>
      </c>
      <c r="E61">
        <f>IFERROR(AVERAGEIFS('Draft Board'!$M$2:$M$61,'Draft Board'!$G$2:$G$61,A61),0)</f>
        <v>0</v>
      </c>
      <c r="F61">
        <f>MIN(1,E61/(Setup!$B$3*0.1))</f>
        <v>0</v>
      </c>
      <c r="G61">
        <f t="shared" si="0"/>
        <v>1</v>
      </c>
    </row>
    <row r="62" spans="1:7" x14ac:dyDescent="0.25">
      <c r="A62">
        <v>30</v>
      </c>
      <c r="B62">
        <f>SUMIFS('Draft Board'!$N$2:$N$61,'Draft Board'!$G$2:$G$61,A62,'Draft Board'!$N$2:$N$61,"&lt;&gt;")</f>
        <v>0</v>
      </c>
      <c r="C62">
        <f>SUMIFS('Draft Board'!$M$2:$M$61,'Draft Board'!$G$2:$G$61,A62,'Draft Board'!$N$2:$N$61,"&lt;&gt;")</f>
        <v>0</v>
      </c>
      <c r="D62">
        <f>COUNTIFS('Draft Board'!$G$2:$G$61,A62,'Draft Board'!$N$2:$N$61,"&lt;&gt;")</f>
        <v>0</v>
      </c>
      <c r="E62">
        <f>IFERROR(AVERAGEIFS('Draft Board'!$M$2:$M$61,'Draft Board'!$G$2:$G$61,A62),0)</f>
        <v>0</v>
      </c>
      <c r="F62">
        <f>MIN(1,E62/(Setup!$B$3*0.1))</f>
        <v>0</v>
      </c>
      <c r="G62">
        <f t="shared" si="0"/>
        <v>1</v>
      </c>
    </row>
    <row r="63" spans="1:7" x14ac:dyDescent="0.25">
      <c r="A63">
        <v>31</v>
      </c>
      <c r="B63">
        <f>SUMIFS('Draft Board'!$N$2:$N$61,'Draft Board'!$G$2:$G$61,A63,'Draft Board'!$N$2:$N$61,"&lt;&gt;")</f>
        <v>0</v>
      </c>
      <c r="C63">
        <f>SUMIFS('Draft Board'!$M$2:$M$61,'Draft Board'!$G$2:$G$61,A63,'Draft Board'!$N$2:$N$61,"&lt;&gt;")</f>
        <v>0</v>
      </c>
      <c r="D63">
        <f>COUNTIFS('Draft Board'!$G$2:$G$61,A63,'Draft Board'!$N$2:$N$61,"&lt;&gt;")</f>
        <v>0</v>
      </c>
      <c r="E63">
        <f>IFERROR(AVERAGEIFS('Draft Board'!$M$2:$M$61,'Draft Board'!$G$2:$G$61,A63),0)</f>
        <v>0</v>
      </c>
      <c r="F63">
        <f>MIN(1,E63/(Setup!$B$3*0.1))</f>
        <v>0</v>
      </c>
      <c r="G63">
        <f t="shared" si="0"/>
        <v>1</v>
      </c>
    </row>
    <row r="64" spans="1:7" x14ac:dyDescent="0.25">
      <c r="A64">
        <v>32</v>
      </c>
      <c r="B64">
        <f>SUMIFS('Draft Board'!$N$2:$N$61,'Draft Board'!$G$2:$G$61,A64,'Draft Board'!$N$2:$N$61,"&lt;&gt;")</f>
        <v>0</v>
      </c>
      <c r="C64">
        <f>SUMIFS('Draft Board'!$M$2:$M$61,'Draft Board'!$G$2:$G$61,A64,'Draft Board'!$N$2:$N$61,"&lt;&gt;")</f>
        <v>0</v>
      </c>
      <c r="D64">
        <f>COUNTIFS('Draft Board'!$G$2:$G$61,A64,'Draft Board'!$N$2:$N$61,"&lt;&gt;")</f>
        <v>0</v>
      </c>
      <c r="E64">
        <f>IFERROR(AVERAGEIFS('Draft Board'!$M$2:$M$61,'Draft Board'!$G$2:$G$61,A64),0)</f>
        <v>0</v>
      </c>
      <c r="F64">
        <f>MIN(1,E64/(Setup!$B$3*0.1))</f>
        <v>0</v>
      </c>
      <c r="G64">
        <f t="shared" si="0"/>
        <v>1</v>
      </c>
    </row>
    <row r="65" spans="1:7" x14ac:dyDescent="0.25">
      <c r="A65">
        <v>33</v>
      </c>
      <c r="B65">
        <f>SUMIFS('Draft Board'!$N$2:$N$61,'Draft Board'!$G$2:$G$61,A65,'Draft Board'!$N$2:$N$61,"&lt;&gt;")</f>
        <v>0</v>
      </c>
      <c r="C65">
        <f>SUMIFS('Draft Board'!$M$2:$M$61,'Draft Board'!$G$2:$G$61,A65,'Draft Board'!$N$2:$N$61,"&lt;&gt;")</f>
        <v>0</v>
      </c>
      <c r="D65">
        <f>COUNTIFS('Draft Board'!$G$2:$G$61,A65,'Draft Board'!$N$2:$N$61,"&lt;&gt;")</f>
        <v>0</v>
      </c>
      <c r="E65">
        <f>IFERROR(AVERAGEIFS('Draft Board'!$M$2:$M$61,'Draft Board'!$G$2:$G$61,A65),0)</f>
        <v>0</v>
      </c>
      <c r="F65">
        <f>MIN(1,E65/(Setup!$B$3*0.1))</f>
        <v>0</v>
      </c>
      <c r="G65">
        <f t="shared" ref="G65:G96" si="1">IF(D65&lt;2,1,MEDIAN(0.5,2,1+(IFERROR(B65/C65,1)-1)*F65))</f>
        <v>1</v>
      </c>
    </row>
    <row r="66" spans="1:7" x14ac:dyDescent="0.25">
      <c r="A66">
        <v>34</v>
      </c>
      <c r="B66">
        <f>SUMIFS('Draft Board'!$N$2:$N$61,'Draft Board'!$G$2:$G$61,A66,'Draft Board'!$N$2:$N$61,"&lt;&gt;")</f>
        <v>0</v>
      </c>
      <c r="C66">
        <f>SUMIFS('Draft Board'!$M$2:$M$61,'Draft Board'!$G$2:$G$61,A66,'Draft Board'!$N$2:$N$61,"&lt;&gt;")</f>
        <v>0</v>
      </c>
      <c r="D66">
        <f>COUNTIFS('Draft Board'!$G$2:$G$61,A66,'Draft Board'!$N$2:$N$61,"&lt;&gt;")</f>
        <v>0</v>
      </c>
      <c r="E66">
        <f>IFERROR(AVERAGEIFS('Draft Board'!$M$2:$M$61,'Draft Board'!$G$2:$G$61,A66),0)</f>
        <v>0</v>
      </c>
      <c r="F66">
        <f>MIN(1,E66/(Setup!$B$3*0.1))</f>
        <v>0</v>
      </c>
      <c r="G66">
        <f t="shared" si="1"/>
        <v>1</v>
      </c>
    </row>
    <row r="67" spans="1:7" x14ac:dyDescent="0.25">
      <c r="A67">
        <v>35</v>
      </c>
      <c r="B67">
        <f>SUMIFS('Draft Board'!$N$2:$N$61,'Draft Board'!$G$2:$G$61,A67,'Draft Board'!$N$2:$N$61,"&lt;&gt;")</f>
        <v>0</v>
      </c>
      <c r="C67">
        <f>SUMIFS('Draft Board'!$M$2:$M$61,'Draft Board'!$G$2:$G$61,A67,'Draft Board'!$N$2:$N$61,"&lt;&gt;")</f>
        <v>0</v>
      </c>
      <c r="D67">
        <f>COUNTIFS('Draft Board'!$G$2:$G$61,A67,'Draft Board'!$N$2:$N$61,"&lt;&gt;")</f>
        <v>0</v>
      </c>
      <c r="E67">
        <f>IFERROR(AVERAGEIFS('Draft Board'!$M$2:$M$61,'Draft Board'!$G$2:$G$61,A67),0)</f>
        <v>0</v>
      </c>
      <c r="F67">
        <f>MIN(1,E67/(Setup!$B$3*0.1))</f>
        <v>0</v>
      </c>
      <c r="G67">
        <f t="shared" si="1"/>
        <v>1</v>
      </c>
    </row>
    <row r="68" spans="1:7" x14ac:dyDescent="0.25">
      <c r="A68">
        <v>36</v>
      </c>
      <c r="B68">
        <f>SUMIFS('Draft Board'!$N$2:$N$61,'Draft Board'!$G$2:$G$61,A68,'Draft Board'!$N$2:$N$61,"&lt;&gt;")</f>
        <v>0</v>
      </c>
      <c r="C68">
        <f>SUMIFS('Draft Board'!$M$2:$M$61,'Draft Board'!$G$2:$G$61,A68,'Draft Board'!$N$2:$N$61,"&lt;&gt;")</f>
        <v>0</v>
      </c>
      <c r="D68">
        <f>COUNTIFS('Draft Board'!$G$2:$G$61,A68,'Draft Board'!$N$2:$N$61,"&lt;&gt;")</f>
        <v>0</v>
      </c>
      <c r="E68">
        <f>IFERROR(AVERAGEIFS('Draft Board'!$M$2:$M$61,'Draft Board'!$G$2:$G$61,A68),0)</f>
        <v>0</v>
      </c>
      <c r="F68">
        <f>MIN(1,E68/(Setup!$B$3*0.1))</f>
        <v>0</v>
      </c>
      <c r="G68">
        <f t="shared" si="1"/>
        <v>1</v>
      </c>
    </row>
    <row r="69" spans="1:7" x14ac:dyDescent="0.25">
      <c r="A69">
        <v>37</v>
      </c>
      <c r="B69">
        <f>SUMIFS('Draft Board'!$N$2:$N$61,'Draft Board'!$G$2:$G$61,A69,'Draft Board'!$N$2:$N$61,"&lt;&gt;")</f>
        <v>0</v>
      </c>
      <c r="C69">
        <f>SUMIFS('Draft Board'!$M$2:$M$61,'Draft Board'!$G$2:$G$61,A69,'Draft Board'!$N$2:$N$61,"&lt;&gt;")</f>
        <v>0</v>
      </c>
      <c r="D69">
        <f>COUNTIFS('Draft Board'!$G$2:$G$61,A69,'Draft Board'!$N$2:$N$61,"&lt;&gt;")</f>
        <v>0</v>
      </c>
      <c r="E69">
        <f>IFERROR(AVERAGEIFS('Draft Board'!$M$2:$M$61,'Draft Board'!$G$2:$G$61,A69),0)</f>
        <v>0</v>
      </c>
      <c r="F69">
        <f>MIN(1,E69/(Setup!$B$3*0.1))</f>
        <v>0</v>
      </c>
      <c r="G69">
        <f t="shared" si="1"/>
        <v>1</v>
      </c>
    </row>
    <row r="70" spans="1:7" x14ac:dyDescent="0.25">
      <c r="A70">
        <v>38</v>
      </c>
      <c r="B70">
        <f>SUMIFS('Draft Board'!$N$2:$N$61,'Draft Board'!$G$2:$G$61,A70,'Draft Board'!$N$2:$N$61,"&lt;&gt;")</f>
        <v>0</v>
      </c>
      <c r="C70">
        <f>SUMIFS('Draft Board'!$M$2:$M$61,'Draft Board'!$G$2:$G$61,A70,'Draft Board'!$N$2:$N$61,"&lt;&gt;")</f>
        <v>0</v>
      </c>
      <c r="D70">
        <f>COUNTIFS('Draft Board'!$G$2:$G$61,A70,'Draft Board'!$N$2:$N$61,"&lt;&gt;")</f>
        <v>0</v>
      </c>
      <c r="E70">
        <f>IFERROR(AVERAGEIFS('Draft Board'!$M$2:$M$61,'Draft Board'!$G$2:$G$61,A70),0)</f>
        <v>0</v>
      </c>
      <c r="F70">
        <f>MIN(1,E70/(Setup!$B$3*0.1))</f>
        <v>0</v>
      </c>
      <c r="G70">
        <f t="shared" si="1"/>
        <v>1</v>
      </c>
    </row>
    <row r="71" spans="1:7" x14ac:dyDescent="0.25">
      <c r="A71">
        <v>39</v>
      </c>
      <c r="B71">
        <f>SUMIFS('Draft Board'!$N$2:$N$61,'Draft Board'!$G$2:$G$61,A71,'Draft Board'!$N$2:$N$61,"&lt;&gt;")</f>
        <v>0</v>
      </c>
      <c r="C71">
        <f>SUMIFS('Draft Board'!$M$2:$M$61,'Draft Board'!$G$2:$G$61,A71,'Draft Board'!$N$2:$N$61,"&lt;&gt;")</f>
        <v>0</v>
      </c>
      <c r="D71">
        <f>COUNTIFS('Draft Board'!$G$2:$G$61,A71,'Draft Board'!$N$2:$N$61,"&lt;&gt;")</f>
        <v>0</v>
      </c>
      <c r="E71">
        <f>IFERROR(AVERAGEIFS('Draft Board'!$M$2:$M$61,'Draft Board'!$G$2:$G$61,A71),0)</f>
        <v>0</v>
      </c>
      <c r="F71">
        <f>MIN(1,E71/(Setup!$B$3*0.1))</f>
        <v>0</v>
      </c>
      <c r="G71">
        <f t="shared" si="1"/>
        <v>1</v>
      </c>
    </row>
    <row r="72" spans="1:7" x14ac:dyDescent="0.25">
      <c r="A72">
        <v>40</v>
      </c>
      <c r="B72">
        <f>SUMIFS('Draft Board'!$N$2:$N$61,'Draft Board'!$G$2:$G$61,A72,'Draft Board'!$N$2:$N$61,"&lt;&gt;")</f>
        <v>0</v>
      </c>
      <c r="C72">
        <f>SUMIFS('Draft Board'!$M$2:$M$61,'Draft Board'!$G$2:$G$61,A72,'Draft Board'!$N$2:$N$61,"&lt;&gt;")</f>
        <v>0</v>
      </c>
      <c r="D72">
        <f>COUNTIFS('Draft Board'!$G$2:$G$61,A72,'Draft Board'!$N$2:$N$61,"&lt;&gt;")</f>
        <v>0</v>
      </c>
      <c r="E72">
        <f>IFERROR(AVERAGEIFS('Draft Board'!$M$2:$M$61,'Draft Board'!$G$2:$G$61,A72),0)</f>
        <v>0</v>
      </c>
      <c r="F72">
        <f>MIN(1,E72/(Setup!$B$3*0.1))</f>
        <v>0</v>
      </c>
      <c r="G72">
        <f t="shared" si="1"/>
        <v>1</v>
      </c>
    </row>
    <row r="73" spans="1:7" x14ac:dyDescent="0.25">
      <c r="A73">
        <v>41</v>
      </c>
      <c r="B73">
        <f>SUMIFS('Draft Board'!$N$2:$N$61,'Draft Board'!$G$2:$G$61,A73,'Draft Board'!$N$2:$N$61,"&lt;&gt;")</f>
        <v>0</v>
      </c>
      <c r="C73">
        <f>SUMIFS('Draft Board'!$M$2:$M$61,'Draft Board'!$G$2:$G$61,A73,'Draft Board'!$N$2:$N$61,"&lt;&gt;")</f>
        <v>0</v>
      </c>
      <c r="D73">
        <f>COUNTIFS('Draft Board'!$G$2:$G$61,A73,'Draft Board'!$N$2:$N$61,"&lt;&gt;")</f>
        <v>0</v>
      </c>
      <c r="E73">
        <f>IFERROR(AVERAGEIFS('Draft Board'!$M$2:$M$61,'Draft Board'!$G$2:$G$61,A73),0)</f>
        <v>0</v>
      </c>
      <c r="F73">
        <f>MIN(1,E73/(Setup!$B$3*0.1))</f>
        <v>0</v>
      </c>
      <c r="G73">
        <f t="shared" si="1"/>
        <v>1</v>
      </c>
    </row>
    <row r="74" spans="1:7" x14ac:dyDescent="0.25">
      <c r="A74">
        <v>42</v>
      </c>
      <c r="B74">
        <f>SUMIFS('Draft Board'!$N$2:$N$61,'Draft Board'!$G$2:$G$61,A74,'Draft Board'!$N$2:$N$61,"&lt;&gt;")</f>
        <v>0</v>
      </c>
      <c r="C74">
        <f>SUMIFS('Draft Board'!$M$2:$M$61,'Draft Board'!$G$2:$G$61,A74,'Draft Board'!$N$2:$N$61,"&lt;&gt;")</f>
        <v>0</v>
      </c>
      <c r="D74">
        <f>COUNTIFS('Draft Board'!$G$2:$G$61,A74,'Draft Board'!$N$2:$N$61,"&lt;&gt;")</f>
        <v>0</v>
      </c>
      <c r="E74">
        <f>IFERROR(AVERAGEIFS('Draft Board'!$M$2:$M$61,'Draft Board'!$G$2:$G$61,A74),0)</f>
        <v>0</v>
      </c>
      <c r="F74">
        <f>MIN(1,E74/(Setup!$B$3*0.1))</f>
        <v>0</v>
      </c>
      <c r="G74">
        <f t="shared" si="1"/>
        <v>1</v>
      </c>
    </row>
    <row r="75" spans="1:7" x14ac:dyDescent="0.25">
      <c r="A75">
        <v>43</v>
      </c>
      <c r="B75">
        <f>SUMIFS('Draft Board'!$N$2:$N$61,'Draft Board'!$G$2:$G$61,A75,'Draft Board'!$N$2:$N$61,"&lt;&gt;")</f>
        <v>0</v>
      </c>
      <c r="C75">
        <f>SUMIFS('Draft Board'!$M$2:$M$61,'Draft Board'!$G$2:$G$61,A75,'Draft Board'!$N$2:$N$61,"&lt;&gt;")</f>
        <v>0</v>
      </c>
      <c r="D75">
        <f>COUNTIFS('Draft Board'!$G$2:$G$61,A75,'Draft Board'!$N$2:$N$61,"&lt;&gt;")</f>
        <v>0</v>
      </c>
      <c r="E75">
        <f>IFERROR(AVERAGEIFS('Draft Board'!$M$2:$M$61,'Draft Board'!$G$2:$G$61,A75),0)</f>
        <v>0</v>
      </c>
      <c r="F75">
        <f>MIN(1,E75/(Setup!$B$3*0.1))</f>
        <v>0</v>
      </c>
      <c r="G75">
        <f t="shared" si="1"/>
        <v>1</v>
      </c>
    </row>
    <row r="76" spans="1:7" x14ac:dyDescent="0.25">
      <c r="A76">
        <v>44</v>
      </c>
      <c r="B76">
        <f>SUMIFS('Draft Board'!$N$2:$N$61,'Draft Board'!$G$2:$G$61,A76,'Draft Board'!$N$2:$N$61,"&lt;&gt;")</f>
        <v>0</v>
      </c>
      <c r="C76">
        <f>SUMIFS('Draft Board'!$M$2:$M$61,'Draft Board'!$G$2:$G$61,A76,'Draft Board'!$N$2:$N$61,"&lt;&gt;")</f>
        <v>0</v>
      </c>
      <c r="D76">
        <f>COUNTIFS('Draft Board'!$G$2:$G$61,A76,'Draft Board'!$N$2:$N$61,"&lt;&gt;")</f>
        <v>0</v>
      </c>
      <c r="E76">
        <f>IFERROR(AVERAGEIFS('Draft Board'!$M$2:$M$61,'Draft Board'!$G$2:$G$61,A76),0)</f>
        <v>0</v>
      </c>
      <c r="F76">
        <f>MIN(1,E76/(Setup!$B$3*0.1))</f>
        <v>0</v>
      </c>
      <c r="G76">
        <f t="shared" si="1"/>
        <v>1</v>
      </c>
    </row>
    <row r="77" spans="1:7" x14ac:dyDescent="0.25">
      <c r="A77">
        <v>45</v>
      </c>
      <c r="B77">
        <f>SUMIFS('Draft Board'!$N$2:$N$61,'Draft Board'!$G$2:$G$61,A77,'Draft Board'!$N$2:$N$61,"&lt;&gt;")</f>
        <v>0</v>
      </c>
      <c r="C77">
        <f>SUMIFS('Draft Board'!$M$2:$M$61,'Draft Board'!$G$2:$G$61,A77,'Draft Board'!$N$2:$N$61,"&lt;&gt;")</f>
        <v>0</v>
      </c>
      <c r="D77">
        <f>COUNTIFS('Draft Board'!$G$2:$G$61,A77,'Draft Board'!$N$2:$N$61,"&lt;&gt;")</f>
        <v>0</v>
      </c>
      <c r="E77">
        <f>IFERROR(AVERAGEIFS('Draft Board'!$M$2:$M$61,'Draft Board'!$G$2:$G$61,A77),0)</f>
        <v>0</v>
      </c>
      <c r="F77">
        <f>MIN(1,E77/(Setup!$B$3*0.1))</f>
        <v>0</v>
      </c>
      <c r="G77">
        <f t="shared" si="1"/>
        <v>1</v>
      </c>
    </row>
    <row r="78" spans="1:7" x14ac:dyDescent="0.25">
      <c r="A78">
        <v>46</v>
      </c>
      <c r="B78">
        <f>SUMIFS('Draft Board'!$N$2:$N$61,'Draft Board'!$G$2:$G$61,A78,'Draft Board'!$N$2:$N$61,"&lt;&gt;")</f>
        <v>0</v>
      </c>
      <c r="C78">
        <f>SUMIFS('Draft Board'!$M$2:$M$61,'Draft Board'!$G$2:$G$61,A78,'Draft Board'!$N$2:$N$61,"&lt;&gt;")</f>
        <v>0</v>
      </c>
      <c r="D78">
        <f>COUNTIFS('Draft Board'!$G$2:$G$61,A78,'Draft Board'!$N$2:$N$61,"&lt;&gt;")</f>
        <v>0</v>
      </c>
      <c r="E78">
        <f>IFERROR(AVERAGEIFS('Draft Board'!$M$2:$M$61,'Draft Board'!$G$2:$G$61,A78),0)</f>
        <v>0</v>
      </c>
      <c r="F78">
        <f>MIN(1,E78/(Setup!$B$3*0.1))</f>
        <v>0</v>
      </c>
      <c r="G78">
        <f t="shared" si="1"/>
        <v>1</v>
      </c>
    </row>
    <row r="79" spans="1:7" x14ac:dyDescent="0.25">
      <c r="A79">
        <v>47</v>
      </c>
      <c r="B79">
        <f>SUMIFS('Draft Board'!$N$2:$N$61,'Draft Board'!$G$2:$G$61,A79,'Draft Board'!$N$2:$N$61,"&lt;&gt;")</f>
        <v>0</v>
      </c>
      <c r="C79">
        <f>SUMIFS('Draft Board'!$M$2:$M$61,'Draft Board'!$G$2:$G$61,A79,'Draft Board'!$N$2:$N$61,"&lt;&gt;")</f>
        <v>0</v>
      </c>
      <c r="D79">
        <f>COUNTIFS('Draft Board'!$G$2:$G$61,A79,'Draft Board'!$N$2:$N$61,"&lt;&gt;")</f>
        <v>0</v>
      </c>
      <c r="E79">
        <f>IFERROR(AVERAGEIFS('Draft Board'!$M$2:$M$61,'Draft Board'!$G$2:$G$61,A79),0)</f>
        <v>0</v>
      </c>
      <c r="F79">
        <f>MIN(1,E79/(Setup!$B$3*0.1))</f>
        <v>0</v>
      </c>
      <c r="G79">
        <f t="shared" si="1"/>
        <v>1</v>
      </c>
    </row>
    <row r="80" spans="1:7" x14ac:dyDescent="0.25">
      <c r="A80">
        <v>48</v>
      </c>
      <c r="B80">
        <f>SUMIFS('Draft Board'!$N$2:$N$61,'Draft Board'!$G$2:$G$61,A80,'Draft Board'!$N$2:$N$61,"&lt;&gt;")</f>
        <v>0</v>
      </c>
      <c r="C80">
        <f>SUMIFS('Draft Board'!$M$2:$M$61,'Draft Board'!$G$2:$G$61,A80,'Draft Board'!$N$2:$N$61,"&lt;&gt;")</f>
        <v>0</v>
      </c>
      <c r="D80">
        <f>COUNTIFS('Draft Board'!$G$2:$G$61,A80,'Draft Board'!$N$2:$N$61,"&lt;&gt;")</f>
        <v>0</v>
      </c>
      <c r="E80">
        <f>IFERROR(AVERAGEIFS('Draft Board'!$M$2:$M$61,'Draft Board'!$G$2:$G$61,A80),0)</f>
        <v>0</v>
      </c>
      <c r="F80">
        <f>MIN(1,E80/(Setup!$B$3*0.1))</f>
        <v>0</v>
      </c>
      <c r="G80">
        <f t="shared" si="1"/>
        <v>1</v>
      </c>
    </row>
    <row r="81" spans="1:7" x14ac:dyDescent="0.25">
      <c r="A81">
        <v>49</v>
      </c>
      <c r="B81">
        <f>SUMIFS('Draft Board'!$N$2:$N$61,'Draft Board'!$G$2:$G$61,A81,'Draft Board'!$N$2:$N$61,"&lt;&gt;")</f>
        <v>0</v>
      </c>
      <c r="C81">
        <f>SUMIFS('Draft Board'!$M$2:$M$61,'Draft Board'!$G$2:$G$61,A81,'Draft Board'!$N$2:$N$61,"&lt;&gt;")</f>
        <v>0</v>
      </c>
      <c r="D81">
        <f>COUNTIFS('Draft Board'!$G$2:$G$61,A81,'Draft Board'!$N$2:$N$61,"&lt;&gt;")</f>
        <v>0</v>
      </c>
      <c r="E81">
        <f>IFERROR(AVERAGEIFS('Draft Board'!$M$2:$M$61,'Draft Board'!$G$2:$G$61,A81),0)</f>
        <v>0</v>
      </c>
      <c r="F81">
        <f>MIN(1,E81/(Setup!$B$3*0.1))</f>
        <v>0</v>
      </c>
      <c r="G81">
        <f t="shared" si="1"/>
        <v>1</v>
      </c>
    </row>
    <row r="82" spans="1:7" x14ac:dyDescent="0.25">
      <c r="A82">
        <v>50</v>
      </c>
      <c r="B82">
        <f>SUMIFS('Draft Board'!$N$2:$N$61,'Draft Board'!$G$2:$G$61,A82,'Draft Board'!$N$2:$N$61,"&lt;&gt;")</f>
        <v>0</v>
      </c>
      <c r="C82">
        <f>SUMIFS('Draft Board'!$M$2:$M$61,'Draft Board'!$G$2:$G$61,A82,'Draft Board'!$N$2:$N$61,"&lt;&gt;")</f>
        <v>0</v>
      </c>
      <c r="D82">
        <f>COUNTIFS('Draft Board'!$G$2:$G$61,A82,'Draft Board'!$N$2:$N$61,"&lt;&gt;")</f>
        <v>0</v>
      </c>
      <c r="E82">
        <f>IFERROR(AVERAGEIFS('Draft Board'!$M$2:$M$61,'Draft Board'!$G$2:$G$61,A82),0)</f>
        <v>0</v>
      </c>
      <c r="F82">
        <f>MIN(1,E82/(Setup!$B$3*0.1))</f>
        <v>0</v>
      </c>
      <c r="G82">
        <f t="shared" si="1"/>
        <v>1</v>
      </c>
    </row>
    <row r="83" spans="1:7" x14ac:dyDescent="0.25">
      <c r="A83">
        <v>51</v>
      </c>
      <c r="B83">
        <f>SUMIFS('Draft Board'!$N$2:$N$61,'Draft Board'!$G$2:$G$61,A83,'Draft Board'!$N$2:$N$61,"&lt;&gt;")</f>
        <v>0</v>
      </c>
      <c r="C83">
        <f>SUMIFS('Draft Board'!$M$2:$M$61,'Draft Board'!$G$2:$G$61,A83,'Draft Board'!$N$2:$N$61,"&lt;&gt;")</f>
        <v>0</v>
      </c>
      <c r="D83">
        <f>COUNTIFS('Draft Board'!$G$2:$G$61,A83,'Draft Board'!$N$2:$N$61,"&lt;&gt;")</f>
        <v>0</v>
      </c>
      <c r="E83">
        <f>IFERROR(AVERAGEIFS('Draft Board'!$M$2:$M$61,'Draft Board'!$G$2:$G$61,A83),0)</f>
        <v>0</v>
      </c>
      <c r="F83">
        <f>MIN(1,E83/(Setup!$B$3*0.1))</f>
        <v>0</v>
      </c>
      <c r="G83">
        <f t="shared" si="1"/>
        <v>1</v>
      </c>
    </row>
    <row r="84" spans="1:7" x14ac:dyDescent="0.25">
      <c r="A84">
        <v>52</v>
      </c>
      <c r="B84">
        <f>SUMIFS('Draft Board'!$N$2:$N$61,'Draft Board'!$G$2:$G$61,A84,'Draft Board'!$N$2:$N$61,"&lt;&gt;")</f>
        <v>0</v>
      </c>
      <c r="C84">
        <f>SUMIFS('Draft Board'!$M$2:$M$61,'Draft Board'!$G$2:$G$61,A84,'Draft Board'!$N$2:$N$61,"&lt;&gt;")</f>
        <v>0</v>
      </c>
      <c r="D84">
        <f>COUNTIFS('Draft Board'!$G$2:$G$61,A84,'Draft Board'!$N$2:$N$61,"&lt;&gt;")</f>
        <v>0</v>
      </c>
      <c r="E84">
        <f>IFERROR(AVERAGEIFS('Draft Board'!$M$2:$M$61,'Draft Board'!$G$2:$G$61,A84),0)</f>
        <v>0</v>
      </c>
      <c r="F84">
        <f>MIN(1,E84/(Setup!$B$3*0.1))</f>
        <v>0</v>
      </c>
      <c r="G84">
        <f t="shared" si="1"/>
        <v>1</v>
      </c>
    </row>
    <row r="85" spans="1:7" x14ac:dyDescent="0.25">
      <c r="A85">
        <v>53</v>
      </c>
      <c r="B85">
        <f>SUMIFS('Draft Board'!$N$2:$N$61,'Draft Board'!$G$2:$G$61,A85,'Draft Board'!$N$2:$N$61,"&lt;&gt;")</f>
        <v>0</v>
      </c>
      <c r="C85">
        <f>SUMIFS('Draft Board'!$M$2:$M$61,'Draft Board'!$G$2:$G$61,A85,'Draft Board'!$N$2:$N$61,"&lt;&gt;")</f>
        <v>0</v>
      </c>
      <c r="D85">
        <f>COUNTIFS('Draft Board'!$G$2:$G$61,A85,'Draft Board'!$N$2:$N$61,"&lt;&gt;")</f>
        <v>0</v>
      </c>
      <c r="E85">
        <f>IFERROR(AVERAGEIFS('Draft Board'!$M$2:$M$61,'Draft Board'!$G$2:$G$61,A85),0)</f>
        <v>0</v>
      </c>
      <c r="F85">
        <f>MIN(1,E85/(Setup!$B$3*0.1))</f>
        <v>0</v>
      </c>
      <c r="G85">
        <f t="shared" si="1"/>
        <v>1</v>
      </c>
    </row>
    <row r="86" spans="1:7" x14ac:dyDescent="0.25">
      <c r="A86">
        <v>54</v>
      </c>
      <c r="B86">
        <f>SUMIFS('Draft Board'!$N$2:$N$61,'Draft Board'!$G$2:$G$61,A86,'Draft Board'!$N$2:$N$61,"&lt;&gt;")</f>
        <v>0</v>
      </c>
      <c r="C86">
        <f>SUMIFS('Draft Board'!$M$2:$M$61,'Draft Board'!$G$2:$G$61,A86,'Draft Board'!$N$2:$N$61,"&lt;&gt;")</f>
        <v>0</v>
      </c>
      <c r="D86">
        <f>COUNTIFS('Draft Board'!$G$2:$G$61,A86,'Draft Board'!$N$2:$N$61,"&lt;&gt;")</f>
        <v>0</v>
      </c>
      <c r="E86">
        <f>IFERROR(AVERAGEIFS('Draft Board'!$M$2:$M$61,'Draft Board'!$G$2:$G$61,A86),0)</f>
        <v>0</v>
      </c>
      <c r="F86">
        <f>MIN(1,E86/(Setup!$B$3*0.1))</f>
        <v>0</v>
      </c>
      <c r="G86">
        <f t="shared" si="1"/>
        <v>1</v>
      </c>
    </row>
    <row r="87" spans="1:7" x14ac:dyDescent="0.25">
      <c r="A87">
        <v>55</v>
      </c>
      <c r="B87">
        <f>SUMIFS('Draft Board'!$N$2:$N$61,'Draft Board'!$G$2:$G$61,A87,'Draft Board'!$N$2:$N$61,"&lt;&gt;")</f>
        <v>0</v>
      </c>
      <c r="C87">
        <f>SUMIFS('Draft Board'!$M$2:$M$61,'Draft Board'!$G$2:$G$61,A87,'Draft Board'!$N$2:$N$61,"&lt;&gt;")</f>
        <v>0</v>
      </c>
      <c r="D87">
        <f>COUNTIFS('Draft Board'!$G$2:$G$61,A87,'Draft Board'!$N$2:$N$61,"&lt;&gt;")</f>
        <v>0</v>
      </c>
      <c r="E87">
        <f>IFERROR(AVERAGEIFS('Draft Board'!$M$2:$M$61,'Draft Board'!$G$2:$G$61,A87),0)</f>
        <v>0</v>
      </c>
      <c r="F87">
        <f>MIN(1,E87/(Setup!$B$3*0.1))</f>
        <v>0</v>
      </c>
      <c r="G87">
        <f t="shared" si="1"/>
        <v>1</v>
      </c>
    </row>
    <row r="88" spans="1:7" x14ac:dyDescent="0.25">
      <c r="A88">
        <v>56</v>
      </c>
      <c r="B88">
        <f>SUMIFS('Draft Board'!$N$2:$N$61,'Draft Board'!$G$2:$G$61,A88,'Draft Board'!$N$2:$N$61,"&lt;&gt;")</f>
        <v>0</v>
      </c>
      <c r="C88">
        <f>SUMIFS('Draft Board'!$M$2:$M$61,'Draft Board'!$G$2:$G$61,A88,'Draft Board'!$N$2:$N$61,"&lt;&gt;")</f>
        <v>0</v>
      </c>
      <c r="D88">
        <f>COUNTIFS('Draft Board'!$G$2:$G$61,A88,'Draft Board'!$N$2:$N$61,"&lt;&gt;")</f>
        <v>0</v>
      </c>
      <c r="E88">
        <f>IFERROR(AVERAGEIFS('Draft Board'!$M$2:$M$61,'Draft Board'!$G$2:$G$61,A88),0)</f>
        <v>0</v>
      </c>
      <c r="F88">
        <f>MIN(1,E88/(Setup!$B$3*0.1))</f>
        <v>0</v>
      </c>
      <c r="G88">
        <f t="shared" si="1"/>
        <v>1</v>
      </c>
    </row>
    <row r="89" spans="1:7" x14ac:dyDescent="0.25">
      <c r="A89">
        <v>57</v>
      </c>
      <c r="B89">
        <f>SUMIFS('Draft Board'!$N$2:$N$61,'Draft Board'!$G$2:$G$61,A89,'Draft Board'!$N$2:$N$61,"&lt;&gt;")</f>
        <v>0</v>
      </c>
      <c r="C89">
        <f>SUMIFS('Draft Board'!$M$2:$M$61,'Draft Board'!$G$2:$G$61,A89,'Draft Board'!$N$2:$N$61,"&lt;&gt;")</f>
        <v>0</v>
      </c>
      <c r="D89">
        <f>COUNTIFS('Draft Board'!$G$2:$G$61,A89,'Draft Board'!$N$2:$N$61,"&lt;&gt;")</f>
        <v>0</v>
      </c>
      <c r="E89">
        <f>IFERROR(AVERAGEIFS('Draft Board'!$M$2:$M$61,'Draft Board'!$G$2:$G$61,A89),0)</f>
        <v>0</v>
      </c>
      <c r="F89">
        <f>MIN(1,E89/(Setup!$B$3*0.1))</f>
        <v>0</v>
      </c>
      <c r="G89">
        <f t="shared" si="1"/>
        <v>1</v>
      </c>
    </row>
    <row r="90" spans="1:7" x14ac:dyDescent="0.25">
      <c r="A90">
        <v>58</v>
      </c>
      <c r="B90">
        <f>SUMIFS('Draft Board'!$N$2:$N$61,'Draft Board'!$G$2:$G$61,A90,'Draft Board'!$N$2:$N$61,"&lt;&gt;")</f>
        <v>0</v>
      </c>
      <c r="C90">
        <f>SUMIFS('Draft Board'!$M$2:$M$61,'Draft Board'!$G$2:$G$61,A90,'Draft Board'!$N$2:$N$61,"&lt;&gt;")</f>
        <v>0</v>
      </c>
      <c r="D90">
        <f>COUNTIFS('Draft Board'!$G$2:$G$61,A90,'Draft Board'!$N$2:$N$61,"&lt;&gt;")</f>
        <v>0</v>
      </c>
      <c r="E90">
        <f>IFERROR(AVERAGEIFS('Draft Board'!$M$2:$M$61,'Draft Board'!$G$2:$G$61,A90),0)</f>
        <v>0</v>
      </c>
      <c r="F90">
        <f>MIN(1,E90/(Setup!$B$3*0.1))</f>
        <v>0</v>
      </c>
      <c r="G90">
        <f t="shared" si="1"/>
        <v>1</v>
      </c>
    </row>
    <row r="91" spans="1:7" x14ac:dyDescent="0.25">
      <c r="A91">
        <v>59</v>
      </c>
      <c r="B91">
        <f>SUMIFS('Draft Board'!$N$2:$N$61,'Draft Board'!$G$2:$G$61,A91,'Draft Board'!$N$2:$N$61,"&lt;&gt;")</f>
        <v>0</v>
      </c>
      <c r="C91">
        <f>SUMIFS('Draft Board'!$M$2:$M$61,'Draft Board'!$G$2:$G$61,A91,'Draft Board'!$N$2:$N$61,"&lt;&gt;")</f>
        <v>0</v>
      </c>
      <c r="D91">
        <f>COUNTIFS('Draft Board'!$G$2:$G$61,A91,'Draft Board'!$N$2:$N$61,"&lt;&gt;")</f>
        <v>0</v>
      </c>
      <c r="E91">
        <f>IFERROR(AVERAGEIFS('Draft Board'!$M$2:$M$61,'Draft Board'!$G$2:$G$61,A91),0)</f>
        <v>0</v>
      </c>
      <c r="F91">
        <f>MIN(1,E91/(Setup!$B$3*0.1))</f>
        <v>0</v>
      </c>
      <c r="G91">
        <f t="shared" si="1"/>
        <v>1</v>
      </c>
    </row>
    <row r="92" spans="1:7" x14ac:dyDescent="0.25">
      <c r="A92">
        <v>60</v>
      </c>
      <c r="B92">
        <f>SUMIFS('Draft Board'!$N$2:$N$61,'Draft Board'!$G$2:$G$61,A92,'Draft Board'!$N$2:$N$61,"&lt;&gt;")</f>
        <v>0</v>
      </c>
      <c r="C92">
        <f>SUMIFS('Draft Board'!$M$2:$M$61,'Draft Board'!$G$2:$G$61,A92,'Draft Board'!$N$2:$N$61,"&lt;&gt;")</f>
        <v>0</v>
      </c>
      <c r="D92">
        <f>COUNTIFS('Draft Board'!$G$2:$G$61,A92,'Draft Board'!$N$2:$N$61,"&lt;&gt;")</f>
        <v>0</v>
      </c>
      <c r="E92">
        <f>IFERROR(AVERAGEIFS('Draft Board'!$M$2:$M$61,'Draft Board'!$G$2:$G$61,A92),0)</f>
        <v>0</v>
      </c>
      <c r="F92">
        <f>MIN(1,E92/(Setup!$B$3*0.1))</f>
        <v>0</v>
      </c>
      <c r="G92">
        <f t="shared" si="1"/>
        <v>1</v>
      </c>
    </row>
    <row r="94" spans="1:7" x14ac:dyDescent="0.25">
      <c r="A94" s="15" t="s">
        <v>631</v>
      </c>
    </row>
    <row r="95" spans="1:7" x14ac:dyDescent="0.25">
      <c r="A95" s="15" t="s">
        <v>54</v>
      </c>
      <c r="B95" s="15" t="s">
        <v>625</v>
      </c>
      <c r="C95" s="15" t="s">
        <v>626</v>
      </c>
      <c r="D95" s="15" t="s">
        <v>627</v>
      </c>
      <c r="E95" s="15" t="s">
        <v>628</v>
      </c>
      <c r="F95" s="15" t="s">
        <v>629</v>
      </c>
      <c r="G95" s="15" t="s">
        <v>630</v>
      </c>
    </row>
    <row r="96" spans="1:7" x14ac:dyDescent="0.25">
      <c r="A96">
        <v>1</v>
      </c>
      <c r="B96">
        <f>SUMIFS('Draft Board'!$AD$2:$AD$162,'Draft Board'!$W$2:$W$162,A96,'Draft Board'!$AD$2:$AD$162,"&lt;&gt;")</f>
        <v>0</v>
      </c>
      <c r="C96">
        <f>SUMIFS('Draft Board'!$AC$2:$AC$162,'Draft Board'!$W$2:$W$162,A96,'Draft Board'!$AD$2:$AD$162,"&lt;&gt;")</f>
        <v>0</v>
      </c>
      <c r="D96">
        <f>COUNTIFS('Draft Board'!$W$2:$W$162,A96,'Draft Board'!$AD$2:$AD$162,"&lt;&gt;")</f>
        <v>0</v>
      </c>
      <c r="E96">
        <f>IFERROR(AVERAGEIFS('Draft Board'!$AC$2:$AC$162,'Draft Board'!$W$2:$W$162,A96),0)</f>
        <v>60.5</v>
      </c>
      <c r="F96">
        <f>MIN(1,E96/(Setup!$B$3*0.1))</f>
        <v>1</v>
      </c>
      <c r="G96">
        <f t="shared" ref="G96:G127" si="2">IF(D96&lt;2,1,MEDIAN(0.5,2,1+(IFERROR(B96/C96,1)-1)*F96))</f>
        <v>1</v>
      </c>
    </row>
    <row r="97" spans="1:7" x14ac:dyDescent="0.25">
      <c r="A97">
        <v>2</v>
      </c>
      <c r="B97">
        <f>SUMIFS('Draft Board'!$AD$2:$AD$162,'Draft Board'!$W$2:$W$162,A97,'Draft Board'!$AD$2:$AD$162,"&lt;&gt;")</f>
        <v>0</v>
      </c>
      <c r="C97">
        <f>SUMIFS('Draft Board'!$AC$2:$AC$162,'Draft Board'!$W$2:$W$162,A97,'Draft Board'!$AD$2:$AD$162,"&lt;&gt;")</f>
        <v>0</v>
      </c>
      <c r="D97">
        <f>COUNTIFS('Draft Board'!$W$2:$W$162,A97,'Draft Board'!$AD$2:$AD$162,"&lt;&gt;")</f>
        <v>0</v>
      </c>
      <c r="E97">
        <f>IFERROR(AVERAGEIFS('Draft Board'!$AC$2:$AC$162,'Draft Board'!$W$2:$W$162,A97),0)</f>
        <v>50</v>
      </c>
      <c r="F97">
        <f>MIN(1,E97/(Setup!$B$3*0.1))</f>
        <v>1</v>
      </c>
      <c r="G97">
        <f t="shared" si="2"/>
        <v>1</v>
      </c>
    </row>
    <row r="98" spans="1:7" x14ac:dyDescent="0.25">
      <c r="A98">
        <v>3</v>
      </c>
      <c r="B98">
        <f>SUMIFS('Draft Board'!$AD$2:$AD$162,'Draft Board'!$W$2:$W$162,A98,'Draft Board'!$AD$2:$AD$162,"&lt;&gt;")</f>
        <v>0</v>
      </c>
      <c r="C98">
        <f>SUMIFS('Draft Board'!$AC$2:$AC$162,'Draft Board'!$W$2:$W$162,A98,'Draft Board'!$AD$2:$AD$162,"&lt;&gt;")</f>
        <v>0</v>
      </c>
      <c r="D98">
        <f>COUNTIFS('Draft Board'!$W$2:$W$162,A98,'Draft Board'!$AD$2:$AD$162,"&lt;&gt;")</f>
        <v>0</v>
      </c>
      <c r="E98">
        <f>IFERROR(AVERAGEIFS('Draft Board'!$AC$2:$AC$162,'Draft Board'!$W$2:$W$162,A98),0)</f>
        <v>35.857142857142854</v>
      </c>
      <c r="F98">
        <f>MIN(1,E98/(Setup!$B$3*0.1))</f>
        <v>1</v>
      </c>
      <c r="G98">
        <f t="shared" si="2"/>
        <v>1</v>
      </c>
    </row>
    <row r="99" spans="1:7" x14ac:dyDescent="0.25">
      <c r="A99">
        <v>4</v>
      </c>
      <c r="B99">
        <f>SUMIFS('Draft Board'!$AD$2:$AD$162,'Draft Board'!$W$2:$W$162,A99,'Draft Board'!$AD$2:$AD$162,"&lt;&gt;")</f>
        <v>0</v>
      </c>
      <c r="C99">
        <f>SUMIFS('Draft Board'!$AC$2:$AC$162,'Draft Board'!$W$2:$W$162,A99,'Draft Board'!$AD$2:$AD$162,"&lt;&gt;")</f>
        <v>0</v>
      </c>
      <c r="D99">
        <f>COUNTIFS('Draft Board'!$W$2:$W$162,A99,'Draft Board'!$AD$2:$AD$162,"&lt;&gt;")</f>
        <v>0</v>
      </c>
      <c r="E99">
        <f>IFERROR(AVERAGEIFS('Draft Board'!$AC$2:$AC$162,'Draft Board'!$W$2:$W$162,A99),0)</f>
        <v>31</v>
      </c>
      <c r="F99">
        <f>MIN(1,E99/(Setup!$B$3*0.1))</f>
        <v>1</v>
      </c>
      <c r="G99">
        <f t="shared" si="2"/>
        <v>1</v>
      </c>
    </row>
    <row r="100" spans="1:7" x14ac:dyDescent="0.25">
      <c r="A100">
        <v>5</v>
      </c>
      <c r="B100">
        <f>SUMIFS('Draft Board'!$AD$2:$AD$162,'Draft Board'!$W$2:$W$162,A100,'Draft Board'!$AD$2:$AD$162,"&lt;&gt;")</f>
        <v>0</v>
      </c>
      <c r="C100">
        <f>SUMIFS('Draft Board'!$AC$2:$AC$162,'Draft Board'!$W$2:$W$162,A100,'Draft Board'!$AD$2:$AD$162,"&lt;&gt;")</f>
        <v>0</v>
      </c>
      <c r="D100">
        <f>COUNTIFS('Draft Board'!$W$2:$W$162,A100,'Draft Board'!$AD$2:$AD$162,"&lt;&gt;")</f>
        <v>0</v>
      </c>
      <c r="E100">
        <f>IFERROR(AVERAGEIFS('Draft Board'!$AC$2:$AC$162,'Draft Board'!$W$2:$W$162,A100),0)</f>
        <v>28.2</v>
      </c>
      <c r="F100">
        <f>MIN(1,E100/(Setup!$B$3*0.1))</f>
        <v>1</v>
      </c>
      <c r="G100">
        <f t="shared" si="2"/>
        <v>1</v>
      </c>
    </row>
    <row r="101" spans="1:7" x14ac:dyDescent="0.25">
      <c r="A101">
        <v>6</v>
      </c>
      <c r="B101">
        <f>SUMIFS('Draft Board'!$AD$2:$AD$162,'Draft Board'!$W$2:$W$162,A101,'Draft Board'!$AD$2:$AD$162,"&lt;&gt;")</f>
        <v>0</v>
      </c>
      <c r="C101">
        <f>SUMIFS('Draft Board'!$AC$2:$AC$162,'Draft Board'!$W$2:$W$162,A101,'Draft Board'!$AD$2:$AD$162,"&lt;&gt;")</f>
        <v>0</v>
      </c>
      <c r="D101">
        <f>COUNTIFS('Draft Board'!$W$2:$W$162,A101,'Draft Board'!$AD$2:$AD$162,"&lt;&gt;")</f>
        <v>0</v>
      </c>
      <c r="E101">
        <f>IFERROR(AVERAGEIFS('Draft Board'!$AC$2:$AC$162,'Draft Board'!$W$2:$W$162,A101),0)</f>
        <v>24.5</v>
      </c>
      <c r="F101">
        <f>MIN(1,E101/(Setup!$B$3*0.1))</f>
        <v>1</v>
      </c>
      <c r="G101">
        <f t="shared" si="2"/>
        <v>1</v>
      </c>
    </row>
    <row r="102" spans="1:7" x14ac:dyDescent="0.25">
      <c r="A102">
        <v>7</v>
      </c>
      <c r="B102">
        <f>SUMIFS('Draft Board'!$AD$2:$AD$162,'Draft Board'!$W$2:$W$162,A102,'Draft Board'!$AD$2:$AD$162,"&lt;&gt;")</f>
        <v>0</v>
      </c>
      <c r="C102">
        <f>SUMIFS('Draft Board'!$AC$2:$AC$162,'Draft Board'!$W$2:$W$162,A102,'Draft Board'!$AD$2:$AD$162,"&lt;&gt;")</f>
        <v>0</v>
      </c>
      <c r="D102">
        <f>COUNTIFS('Draft Board'!$W$2:$W$162,A102,'Draft Board'!$AD$2:$AD$162,"&lt;&gt;")</f>
        <v>0</v>
      </c>
      <c r="E102">
        <f>IFERROR(AVERAGEIFS('Draft Board'!$AC$2:$AC$162,'Draft Board'!$W$2:$W$162,A102),0)</f>
        <v>21</v>
      </c>
      <c r="F102">
        <f>MIN(1,E102/(Setup!$B$3*0.1))</f>
        <v>1</v>
      </c>
      <c r="G102">
        <f t="shared" si="2"/>
        <v>1</v>
      </c>
    </row>
    <row r="103" spans="1:7" x14ac:dyDescent="0.25">
      <c r="A103">
        <v>8</v>
      </c>
      <c r="B103">
        <f>SUMIFS('Draft Board'!$AD$2:$AD$162,'Draft Board'!$W$2:$W$162,A103,'Draft Board'!$AD$2:$AD$162,"&lt;&gt;")</f>
        <v>0</v>
      </c>
      <c r="C103">
        <f>SUMIFS('Draft Board'!$AC$2:$AC$162,'Draft Board'!$W$2:$W$162,A103,'Draft Board'!$AD$2:$AD$162,"&lt;&gt;")</f>
        <v>0</v>
      </c>
      <c r="D103">
        <f>COUNTIFS('Draft Board'!$W$2:$W$162,A103,'Draft Board'!$AD$2:$AD$162,"&lt;&gt;")</f>
        <v>0</v>
      </c>
      <c r="E103">
        <f>IFERROR(AVERAGEIFS('Draft Board'!$AC$2:$AC$162,'Draft Board'!$W$2:$W$162,A103),0)</f>
        <v>18</v>
      </c>
      <c r="F103">
        <f>MIN(1,E103/(Setup!$B$3*0.1))</f>
        <v>0.9</v>
      </c>
      <c r="G103">
        <f t="shared" si="2"/>
        <v>1</v>
      </c>
    </row>
    <row r="104" spans="1:7" x14ac:dyDescent="0.25">
      <c r="A104">
        <v>9</v>
      </c>
      <c r="B104">
        <f>SUMIFS('Draft Board'!$AD$2:$AD$162,'Draft Board'!$W$2:$W$162,A104,'Draft Board'!$AD$2:$AD$162,"&lt;&gt;")</f>
        <v>0</v>
      </c>
      <c r="C104">
        <f>SUMIFS('Draft Board'!$AC$2:$AC$162,'Draft Board'!$W$2:$W$162,A104,'Draft Board'!$AD$2:$AD$162,"&lt;&gt;")</f>
        <v>0</v>
      </c>
      <c r="D104">
        <f>COUNTIFS('Draft Board'!$W$2:$W$162,A104,'Draft Board'!$AD$2:$AD$162,"&lt;&gt;")</f>
        <v>0</v>
      </c>
      <c r="E104">
        <f>IFERROR(AVERAGEIFS('Draft Board'!$AC$2:$AC$162,'Draft Board'!$W$2:$W$162,A104),0)</f>
        <v>15.8</v>
      </c>
      <c r="F104">
        <f>MIN(1,E104/(Setup!$B$3*0.1))</f>
        <v>0.79</v>
      </c>
      <c r="G104">
        <f t="shared" si="2"/>
        <v>1</v>
      </c>
    </row>
    <row r="105" spans="1:7" x14ac:dyDescent="0.25">
      <c r="A105">
        <v>10</v>
      </c>
      <c r="B105">
        <f>SUMIFS('Draft Board'!$AD$2:$AD$162,'Draft Board'!$W$2:$W$162,A105,'Draft Board'!$AD$2:$AD$162,"&lt;&gt;")</f>
        <v>0</v>
      </c>
      <c r="C105">
        <f>SUMIFS('Draft Board'!$AC$2:$AC$162,'Draft Board'!$W$2:$W$162,A105,'Draft Board'!$AD$2:$AD$162,"&lt;&gt;")</f>
        <v>0</v>
      </c>
      <c r="D105">
        <f>COUNTIFS('Draft Board'!$W$2:$W$162,A105,'Draft Board'!$AD$2:$AD$162,"&lt;&gt;")</f>
        <v>0</v>
      </c>
      <c r="E105">
        <f>IFERROR(AVERAGEIFS('Draft Board'!$AC$2:$AC$162,'Draft Board'!$W$2:$W$162,A105),0)</f>
        <v>13</v>
      </c>
      <c r="F105">
        <f>MIN(1,E105/(Setup!$B$3*0.1))</f>
        <v>0.65</v>
      </c>
      <c r="G105">
        <f t="shared" si="2"/>
        <v>1</v>
      </c>
    </row>
    <row r="106" spans="1:7" x14ac:dyDescent="0.25">
      <c r="A106">
        <v>11</v>
      </c>
      <c r="B106">
        <f>SUMIFS('Draft Board'!$AD$2:$AD$162,'Draft Board'!$W$2:$W$162,A106,'Draft Board'!$AD$2:$AD$162,"&lt;&gt;")</f>
        <v>0</v>
      </c>
      <c r="C106">
        <f>SUMIFS('Draft Board'!$AC$2:$AC$162,'Draft Board'!$W$2:$W$162,A106,'Draft Board'!$AD$2:$AD$162,"&lt;&gt;")</f>
        <v>0</v>
      </c>
      <c r="D106">
        <f>COUNTIFS('Draft Board'!$W$2:$W$162,A106,'Draft Board'!$AD$2:$AD$162,"&lt;&gt;")</f>
        <v>0</v>
      </c>
      <c r="E106">
        <f>IFERROR(AVERAGEIFS('Draft Board'!$AC$2:$AC$162,'Draft Board'!$W$2:$W$162,A106),0)</f>
        <v>12</v>
      </c>
      <c r="F106">
        <f>MIN(1,E106/(Setup!$B$3*0.1))</f>
        <v>0.6</v>
      </c>
      <c r="G106">
        <f t="shared" si="2"/>
        <v>1</v>
      </c>
    </row>
    <row r="107" spans="1:7" x14ac:dyDescent="0.25">
      <c r="A107">
        <v>12</v>
      </c>
      <c r="B107">
        <f>SUMIFS('Draft Board'!$AD$2:$AD$162,'Draft Board'!$W$2:$W$162,A107,'Draft Board'!$AD$2:$AD$162,"&lt;&gt;")</f>
        <v>0</v>
      </c>
      <c r="C107">
        <f>SUMIFS('Draft Board'!$AC$2:$AC$162,'Draft Board'!$W$2:$W$162,A107,'Draft Board'!$AD$2:$AD$162,"&lt;&gt;")</f>
        <v>0</v>
      </c>
      <c r="D107">
        <f>COUNTIFS('Draft Board'!$W$2:$W$162,A107,'Draft Board'!$AD$2:$AD$162,"&lt;&gt;")</f>
        <v>0</v>
      </c>
      <c r="E107">
        <f>IFERROR(AVERAGEIFS('Draft Board'!$AC$2:$AC$162,'Draft Board'!$W$2:$W$162,A107),0)</f>
        <v>10</v>
      </c>
      <c r="F107">
        <f>MIN(1,E107/(Setup!$B$3*0.1))</f>
        <v>0.5</v>
      </c>
      <c r="G107">
        <f t="shared" si="2"/>
        <v>1</v>
      </c>
    </row>
    <row r="108" spans="1:7" x14ac:dyDescent="0.25">
      <c r="A108">
        <v>13</v>
      </c>
      <c r="B108">
        <f>SUMIFS('Draft Board'!$AD$2:$AD$162,'Draft Board'!$W$2:$W$162,A108,'Draft Board'!$AD$2:$AD$162,"&lt;&gt;")</f>
        <v>0</v>
      </c>
      <c r="C108">
        <f>SUMIFS('Draft Board'!$AC$2:$AC$162,'Draft Board'!$W$2:$W$162,A108,'Draft Board'!$AD$2:$AD$162,"&lt;&gt;")</f>
        <v>0</v>
      </c>
      <c r="D108">
        <f>COUNTIFS('Draft Board'!$W$2:$W$162,A108,'Draft Board'!$AD$2:$AD$162,"&lt;&gt;")</f>
        <v>0</v>
      </c>
      <c r="E108">
        <f>IFERROR(AVERAGEIFS('Draft Board'!$AC$2:$AC$162,'Draft Board'!$W$2:$W$162,A108),0)</f>
        <v>9</v>
      </c>
      <c r="F108">
        <f>MIN(1,E108/(Setup!$B$3*0.1))</f>
        <v>0.45</v>
      </c>
      <c r="G108">
        <f t="shared" si="2"/>
        <v>1</v>
      </c>
    </row>
    <row r="109" spans="1:7" x14ac:dyDescent="0.25">
      <c r="A109">
        <v>14</v>
      </c>
      <c r="B109">
        <f>SUMIFS('Draft Board'!$AD$2:$AD$162,'Draft Board'!$W$2:$W$162,A109,'Draft Board'!$AD$2:$AD$162,"&lt;&gt;")</f>
        <v>0</v>
      </c>
      <c r="C109">
        <f>SUMIFS('Draft Board'!$AC$2:$AC$162,'Draft Board'!$W$2:$W$162,A109,'Draft Board'!$AD$2:$AD$162,"&lt;&gt;")</f>
        <v>0</v>
      </c>
      <c r="D109">
        <f>COUNTIFS('Draft Board'!$W$2:$W$162,A109,'Draft Board'!$AD$2:$AD$162,"&lt;&gt;")</f>
        <v>0</v>
      </c>
      <c r="E109">
        <f>IFERROR(AVERAGEIFS('Draft Board'!$AC$2:$AC$162,'Draft Board'!$W$2:$W$162,A109),0)</f>
        <v>7.333333333333333</v>
      </c>
      <c r="F109">
        <f>MIN(1,E109/(Setup!$B$3*0.1))</f>
        <v>0.36666666666666664</v>
      </c>
      <c r="G109">
        <f t="shared" si="2"/>
        <v>1</v>
      </c>
    </row>
    <row r="110" spans="1:7" x14ac:dyDescent="0.25">
      <c r="A110">
        <v>15</v>
      </c>
      <c r="B110">
        <f>SUMIFS('Draft Board'!$AD$2:$AD$162,'Draft Board'!$W$2:$W$162,A110,'Draft Board'!$AD$2:$AD$162,"&lt;&gt;")</f>
        <v>0</v>
      </c>
      <c r="C110">
        <f>SUMIFS('Draft Board'!$AC$2:$AC$162,'Draft Board'!$W$2:$W$162,A110,'Draft Board'!$AD$2:$AD$162,"&lt;&gt;")</f>
        <v>0</v>
      </c>
      <c r="D110">
        <f>COUNTIFS('Draft Board'!$W$2:$W$162,A110,'Draft Board'!$AD$2:$AD$162,"&lt;&gt;")</f>
        <v>0</v>
      </c>
      <c r="E110">
        <f>IFERROR(AVERAGEIFS('Draft Board'!$AC$2:$AC$162,'Draft Board'!$W$2:$W$162,A110),0)</f>
        <v>5</v>
      </c>
      <c r="F110">
        <f>MIN(1,E110/(Setup!$B$3*0.1))</f>
        <v>0.25</v>
      </c>
      <c r="G110">
        <f t="shared" si="2"/>
        <v>1</v>
      </c>
    </row>
    <row r="111" spans="1:7" x14ac:dyDescent="0.25">
      <c r="A111">
        <v>16</v>
      </c>
      <c r="B111">
        <f>SUMIFS('Draft Board'!$AD$2:$AD$162,'Draft Board'!$W$2:$W$162,A111,'Draft Board'!$AD$2:$AD$162,"&lt;&gt;")</f>
        <v>0</v>
      </c>
      <c r="C111">
        <f>SUMIFS('Draft Board'!$AC$2:$AC$162,'Draft Board'!$W$2:$W$162,A111,'Draft Board'!$AD$2:$AD$162,"&lt;&gt;")</f>
        <v>0</v>
      </c>
      <c r="D111">
        <f>COUNTIFS('Draft Board'!$W$2:$W$162,A111,'Draft Board'!$AD$2:$AD$162,"&lt;&gt;")</f>
        <v>0</v>
      </c>
      <c r="E111">
        <f>IFERROR(AVERAGEIFS('Draft Board'!$AC$2:$AC$162,'Draft Board'!$W$2:$W$162,A111),0)</f>
        <v>4</v>
      </c>
      <c r="F111">
        <f>MIN(1,E111/(Setup!$B$3*0.1))</f>
        <v>0.2</v>
      </c>
      <c r="G111">
        <f t="shared" si="2"/>
        <v>1</v>
      </c>
    </row>
    <row r="112" spans="1:7" x14ac:dyDescent="0.25">
      <c r="A112">
        <v>17</v>
      </c>
      <c r="B112">
        <f>SUMIFS('Draft Board'!$AD$2:$AD$162,'Draft Board'!$W$2:$W$162,A112,'Draft Board'!$AD$2:$AD$162,"&lt;&gt;")</f>
        <v>0</v>
      </c>
      <c r="C112">
        <f>SUMIFS('Draft Board'!$AC$2:$AC$162,'Draft Board'!$W$2:$W$162,A112,'Draft Board'!$AD$2:$AD$162,"&lt;&gt;")</f>
        <v>0</v>
      </c>
      <c r="D112">
        <f>COUNTIFS('Draft Board'!$W$2:$W$162,A112,'Draft Board'!$AD$2:$AD$162,"&lt;&gt;")</f>
        <v>0</v>
      </c>
      <c r="E112">
        <f>IFERROR(AVERAGEIFS('Draft Board'!$AC$2:$AC$162,'Draft Board'!$W$2:$W$162,A112),0)</f>
        <v>2</v>
      </c>
      <c r="F112">
        <f>MIN(1,E112/(Setup!$B$3*0.1))</f>
        <v>0.1</v>
      </c>
      <c r="G112">
        <f t="shared" si="2"/>
        <v>1</v>
      </c>
    </row>
    <row r="113" spans="1:7" x14ac:dyDescent="0.25">
      <c r="A113">
        <v>18</v>
      </c>
      <c r="B113">
        <f>SUMIFS('Draft Board'!$AD$2:$AD$162,'Draft Board'!$W$2:$W$162,A113,'Draft Board'!$AD$2:$AD$162,"&lt;&gt;")</f>
        <v>0</v>
      </c>
      <c r="C113">
        <f>SUMIFS('Draft Board'!$AC$2:$AC$162,'Draft Board'!$W$2:$W$162,A113,'Draft Board'!$AD$2:$AD$162,"&lt;&gt;")</f>
        <v>0</v>
      </c>
      <c r="D113">
        <f>COUNTIFS('Draft Board'!$W$2:$W$162,A113,'Draft Board'!$AD$2:$AD$162,"&lt;&gt;")</f>
        <v>0</v>
      </c>
      <c r="E113">
        <f>IFERROR(AVERAGEIFS('Draft Board'!$AC$2:$AC$162,'Draft Board'!$W$2:$W$162,A113),0)</f>
        <v>1</v>
      </c>
      <c r="F113">
        <f>MIN(1,E113/(Setup!$B$3*0.1))</f>
        <v>0.05</v>
      </c>
      <c r="G113">
        <f t="shared" si="2"/>
        <v>1</v>
      </c>
    </row>
    <row r="114" spans="1:7" x14ac:dyDescent="0.25">
      <c r="A114">
        <v>19</v>
      </c>
      <c r="B114">
        <f>SUMIFS('Draft Board'!$AD$2:$AD$162,'Draft Board'!$W$2:$W$162,A114,'Draft Board'!$AD$2:$AD$162,"&lt;&gt;")</f>
        <v>0</v>
      </c>
      <c r="C114">
        <f>SUMIFS('Draft Board'!$AC$2:$AC$162,'Draft Board'!$W$2:$W$162,A114,'Draft Board'!$AD$2:$AD$162,"&lt;&gt;")</f>
        <v>0</v>
      </c>
      <c r="D114">
        <f>COUNTIFS('Draft Board'!$W$2:$W$162,A114,'Draft Board'!$AD$2:$AD$162,"&lt;&gt;")</f>
        <v>0</v>
      </c>
      <c r="E114">
        <f>IFERROR(AVERAGEIFS('Draft Board'!$AC$2:$AC$162,'Draft Board'!$W$2:$W$162,A114),0)</f>
        <v>1</v>
      </c>
      <c r="F114">
        <f>MIN(1,E114/(Setup!$B$3*0.1))</f>
        <v>0.05</v>
      </c>
      <c r="G114">
        <f t="shared" si="2"/>
        <v>1</v>
      </c>
    </row>
    <row r="115" spans="1:7" x14ac:dyDescent="0.25">
      <c r="A115">
        <v>20</v>
      </c>
      <c r="B115">
        <f>SUMIFS('Draft Board'!$AD$2:$AD$162,'Draft Board'!$W$2:$W$162,A115,'Draft Board'!$AD$2:$AD$162,"&lt;&gt;")</f>
        <v>0</v>
      </c>
      <c r="C115">
        <f>SUMIFS('Draft Board'!$AC$2:$AC$162,'Draft Board'!$W$2:$W$162,A115,'Draft Board'!$AD$2:$AD$162,"&lt;&gt;")</f>
        <v>0</v>
      </c>
      <c r="D115">
        <f>COUNTIFS('Draft Board'!$W$2:$W$162,A115,'Draft Board'!$AD$2:$AD$162,"&lt;&gt;")</f>
        <v>0</v>
      </c>
      <c r="E115">
        <f>IFERROR(AVERAGEIFS('Draft Board'!$AC$2:$AC$162,'Draft Board'!$W$2:$W$162,A115),0)</f>
        <v>0</v>
      </c>
      <c r="F115">
        <f>MIN(1,E115/(Setup!$B$3*0.1))</f>
        <v>0</v>
      </c>
      <c r="G115">
        <f t="shared" si="2"/>
        <v>1</v>
      </c>
    </row>
    <row r="116" spans="1:7" x14ac:dyDescent="0.25">
      <c r="A116">
        <v>21</v>
      </c>
      <c r="B116">
        <f>SUMIFS('Draft Board'!$AD$2:$AD$162,'Draft Board'!$W$2:$W$162,A116,'Draft Board'!$AD$2:$AD$162,"&lt;&gt;")</f>
        <v>0</v>
      </c>
      <c r="C116">
        <f>SUMIFS('Draft Board'!$AC$2:$AC$162,'Draft Board'!$W$2:$W$162,A116,'Draft Board'!$AD$2:$AD$162,"&lt;&gt;")</f>
        <v>0</v>
      </c>
      <c r="D116">
        <f>COUNTIFS('Draft Board'!$W$2:$W$162,A116,'Draft Board'!$AD$2:$AD$162,"&lt;&gt;")</f>
        <v>0</v>
      </c>
      <c r="E116">
        <f>IFERROR(AVERAGEIFS('Draft Board'!$AC$2:$AC$162,'Draft Board'!$W$2:$W$162,A116),0)</f>
        <v>0</v>
      </c>
      <c r="F116">
        <f>MIN(1,E116/(Setup!$B$3*0.1))</f>
        <v>0</v>
      </c>
      <c r="G116">
        <f t="shared" si="2"/>
        <v>1</v>
      </c>
    </row>
    <row r="117" spans="1:7" x14ac:dyDescent="0.25">
      <c r="A117">
        <v>22</v>
      </c>
      <c r="B117">
        <f>SUMIFS('Draft Board'!$AD$2:$AD$162,'Draft Board'!$W$2:$W$162,A117,'Draft Board'!$AD$2:$AD$162,"&lt;&gt;")</f>
        <v>0</v>
      </c>
      <c r="C117">
        <f>SUMIFS('Draft Board'!$AC$2:$AC$162,'Draft Board'!$W$2:$W$162,A117,'Draft Board'!$AD$2:$AD$162,"&lt;&gt;")</f>
        <v>0</v>
      </c>
      <c r="D117">
        <f>COUNTIFS('Draft Board'!$W$2:$W$162,A117,'Draft Board'!$AD$2:$AD$162,"&lt;&gt;")</f>
        <v>0</v>
      </c>
      <c r="E117">
        <f>IFERROR(AVERAGEIFS('Draft Board'!$AC$2:$AC$162,'Draft Board'!$W$2:$W$162,A117),0)</f>
        <v>0</v>
      </c>
      <c r="F117">
        <f>MIN(1,E117/(Setup!$B$3*0.1))</f>
        <v>0</v>
      </c>
      <c r="G117">
        <f t="shared" si="2"/>
        <v>1</v>
      </c>
    </row>
    <row r="118" spans="1:7" x14ac:dyDescent="0.25">
      <c r="A118">
        <v>23</v>
      </c>
      <c r="B118">
        <f>SUMIFS('Draft Board'!$AD$2:$AD$162,'Draft Board'!$W$2:$W$162,A118,'Draft Board'!$AD$2:$AD$162,"&lt;&gt;")</f>
        <v>0</v>
      </c>
      <c r="C118">
        <f>SUMIFS('Draft Board'!$AC$2:$AC$162,'Draft Board'!$W$2:$W$162,A118,'Draft Board'!$AD$2:$AD$162,"&lt;&gt;")</f>
        <v>0</v>
      </c>
      <c r="D118">
        <f>COUNTIFS('Draft Board'!$W$2:$W$162,A118,'Draft Board'!$AD$2:$AD$162,"&lt;&gt;")</f>
        <v>0</v>
      </c>
      <c r="E118">
        <f>IFERROR(AVERAGEIFS('Draft Board'!$AC$2:$AC$162,'Draft Board'!$W$2:$W$162,A118),0)</f>
        <v>0</v>
      </c>
      <c r="F118">
        <f>MIN(1,E118/(Setup!$B$3*0.1))</f>
        <v>0</v>
      </c>
      <c r="G118">
        <f t="shared" si="2"/>
        <v>1</v>
      </c>
    </row>
    <row r="119" spans="1:7" x14ac:dyDescent="0.25">
      <c r="A119">
        <v>24</v>
      </c>
      <c r="B119">
        <f>SUMIFS('Draft Board'!$AD$2:$AD$162,'Draft Board'!$W$2:$W$162,A119,'Draft Board'!$AD$2:$AD$162,"&lt;&gt;")</f>
        <v>0</v>
      </c>
      <c r="C119">
        <f>SUMIFS('Draft Board'!$AC$2:$AC$162,'Draft Board'!$W$2:$W$162,A119,'Draft Board'!$AD$2:$AD$162,"&lt;&gt;")</f>
        <v>0</v>
      </c>
      <c r="D119">
        <f>COUNTIFS('Draft Board'!$W$2:$W$162,A119,'Draft Board'!$AD$2:$AD$162,"&lt;&gt;")</f>
        <v>0</v>
      </c>
      <c r="E119">
        <f>IFERROR(AVERAGEIFS('Draft Board'!$AC$2:$AC$162,'Draft Board'!$W$2:$W$162,A119),0)</f>
        <v>0</v>
      </c>
      <c r="F119">
        <f>MIN(1,E119/(Setup!$B$3*0.1))</f>
        <v>0</v>
      </c>
      <c r="G119">
        <f t="shared" si="2"/>
        <v>1</v>
      </c>
    </row>
    <row r="120" spans="1:7" x14ac:dyDescent="0.25">
      <c r="A120">
        <v>25</v>
      </c>
      <c r="B120">
        <f>SUMIFS('Draft Board'!$AD$2:$AD$162,'Draft Board'!$W$2:$W$162,A120,'Draft Board'!$AD$2:$AD$162,"&lt;&gt;")</f>
        <v>0</v>
      </c>
      <c r="C120">
        <f>SUMIFS('Draft Board'!$AC$2:$AC$162,'Draft Board'!$W$2:$W$162,A120,'Draft Board'!$AD$2:$AD$162,"&lt;&gt;")</f>
        <v>0</v>
      </c>
      <c r="D120">
        <f>COUNTIFS('Draft Board'!$W$2:$W$162,A120,'Draft Board'!$AD$2:$AD$162,"&lt;&gt;")</f>
        <v>0</v>
      </c>
      <c r="E120">
        <f>IFERROR(AVERAGEIFS('Draft Board'!$AC$2:$AC$162,'Draft Board'!$W$2:$W$162,A120),0)</f>
        <v>0</v>
      </c>
      <c r="F120">
        <f>MIN(1,E120/(Setup!$B$3*0.1))</f>
        <v>0</v>
      </c>
      <c r="G120">
        <f t="shared" si="2"/>
        <v>1</v>
      </c>
    </row>
    <row r="121" spans="1:7" x14ac:dyDescent="0.25">
      <c r="A121">
        <v>26</v>
      </c>
      <c r="B121">
        <f>SUMIFS('Draft Board'!$AD$2:$AD$162,'Draft Board'!$W$2:$W$162,A121,'Draft Board'!$AD$2:$AD$162,"&lt;&gt;")</f>
        <v>0</v>
      </c>
      <c r="C121">
        <f>SUMIFS('Draft Board'!$AC$2:$AC$162,'Draft Board'!$W$2:$W$162,A121,'Draft Board'!$AD$2:$AD$162,"&lt;&gt;")</f>
        <v>0</v>
      </c>
      <c r="D121">
        <f>COUNTIFS('Draft Board'!$W$2:$W$162,A121,'Draft Board'!$AD$2:$AD$162,"&lt;&gt;")</f>
        <v>0</v>
      </c>
      <c r="E121">
        <f>IFERROR(AVERAGEIFS('Draft Board'!$AC$2:$AC$162,'Draft Board'!$W$2:$W$162,A121),0)</f>
        <v>0</v>
      </c>
      <c r="F121">
        <f>MIN(1,E121/(Setup!$B$3*0.1))</f>
        <v>0</v>
      </c>
      <c r="G121">
        <f t="shared" si="2"/>
        <v>1</v>
      </c>
    </row>
    <row r="122" spans="1:7" x14ac:dyDescent="0.25">
      <c r="A122">
        <v>27</v>
      </c>
      <c r="B122">
        <f>SUMIFS('Draft Board'!$AD$2:$AD$162,'Draft Board'!$W$2:$W$162,A122,'Draft Board'!$AD$2:$AD$162,"&lt;&gt;")</f>
        <v>0</v>
      </c>
      <c r="C122">
        <f>SUMIFS('Draft Board'!$AC$2:$AC$162,'Draft Board'!$W$2:$W$162,A122,'Draft Board'!$AD$2:$AD$162,"&lt;&gt;")</f>
        <v>0</v>
      </c>
      <c r="D122">
        <f>COUNTIFS('Draft Board'!$W$2:$W$162,A122,'Draft Board'!$AD$2:$AD$162,"&lt;&gt;")</f>
        <v>0</v>
      </c>
      <c r="E122">
        <f>IFERROR(AVERAGEIFS('Draft Board'!$AC$2:$AC$162,'Draft Board'!$W$2:$W$162,A122),0)</f>
        <v>0</v>
      </c>
      <c r="F122">
        <f>MIN(1,E122/(Setup!$B$3*0.1))</f>
        <v>0</v>
      </c>
      <c r="G122">
        <f t="shared" si="2"/>
        <v>1</v>
      </c>
    </row>
    <row r="123" spans="1:7" x14ac:dyDescent="0.25">
      <c r="A123">
        <v>28</v>
      </c>
      <c r="B123">
        <f>SUMIFS('Draft Board'!$AD$2:$AD$162,'Draft Board'!$W$2:$W$162,A123,'Draft Board'!$AD$2:$AD$162,"&lt;&gt;")</f>
        <v>0</v>
      </c>
      <c r="C123">
        <f>SUMIFS('Draft Board'!$AC$2:$AC$162,'Draft Board'!$W$2:$W$162,A123,'Draft Board'!$AD$2:$AD$162,"&lt;&gt;")</f>
        <v>0</v>
      </c>
      <c r="D123">
        <f>COUNTIFS('Draft Board'!$W$2:$W$162,A123,'Draft Board'!$AD$2:$AD$162,"&lt;&gt;")</f>
        <v>0</v>
      </c>
      <c r="E123">
        <f>IFERROR(AVERAGEIFS('Draft Board'!$AC$2:$AC$162,'Draft Board'!$W$2:$W$162,A123),0)</f>
        <v>0</v>
      </c>
      <c r="F123">
        <f>MIN(1,E123/(Setup!$B$3*0.1))</f>
        <v>0</v>
      </c>
      <c r="G123">
        <f t="shared" si="2"/>
        <v>1</v>
      </c>
    </row>
    <row r="124" spans="1:7" x14ac:dyDescent="0.25">
      <c r="A124">
        <v>29</v>
      </c>
      <c r="B124">
        <f>SUMIFS('Draft Board'!$AD$2:$AD$162,'Draft Board'!$W$2:$W$162,A124,'Draft Board'!$AD$2:$AD$162,"&lt;&gt;")</f>
        <v>0</v>
      </c>
      <c r="C124">
        <f>SUMIFS('Draft Board'!$AC$2:$AC$162,'Draft Board'!$W$2:$W$162,A124,'Draft Board'!$AD$2:$AD$162,"&lt;&gt;")</f>
        <v>0</v>
      </c>
      <c r="D124">
        <f>COUNTIFS('Draft Board'!$W$2:$W$162,A124,'Draft Board'!$AD$2:$AD$162,"&lt;&gt;")</f>
        <v>0</v>
      </c>
      <c r="E124">
        <f>IFERROR(AVERAGEIFS('Draft Board'!$AC$2:$AC$162,'Draft Board'!$W$2:$W$162,A124),0)</f>
        <v>0</v>
      </c>
      <c r="F124">
        <f>MIN(1,E124/(Setup!$B$3*0.1))</f>
        <v>0</v>
      </c>
      <c r="G124">
        <f t="shared" si="2"/>
        <v>1</v>
      </c>
    </row>
    <row r="125" spans="1:7" x14ac:dyDescent="0.25">
      <c r="A125">
        <v>30</v>
      </c>
      <c r="B125">
        <f>SUMIFS('Draft Board'!$AD$2:$AD$162,'Draft Board'!$W$2:$W$162,A125,'Draft Board'!$AD$2:$AD$162,"&lt;&gt;")</f>
        <v>0</v>
      </c>
      <c r="C125">
        <f>SUMIFS('Draft Board'!$AC$2:$AC$162,'Draft Board'!$W$2:$W$162,A125,'Draft Board'!$AD$2:$AD$162,"&lt;&gt;")</f>
        <v>0</v>
      </c>
      <c r="D125">
        <f>COUNTIFS('Draft Board'!$W$2:$W$162,A125,'Draft Board'!$AD$2:$AD$162,"&lt;&gt;")</f>
        <v>0</v>
      </c>
      <c r="E125">
        <f>IFERROR(AVERAGEIFS('Draft Board'!$AC$2:$AC$162,'Draft Board'!$W$2:$W$162,A125),0)</f>
        <v>0</v>
      </c>
      <c r="F125">
        <f>MIN(1,E125/(Setup!$B$3*0.1))</f>
        <v>0</v>
      </c>
      <c r="G125">
        <f t="shared" si="2"/>
        <v>1</v>
      </c>
    </row>
    <row r="126" spans="1:7" x14ac:dyDescent="0.25">
      <c r="A126">
        <v>31</v>
      </c>
      <c r="B126">
        <f>SUMIFS('Draft Board'!$AD$2:$AD$162,'Draft Board'!$W$2:$W$162,A126,'Draft Board'!$AD$2:$AD$162,"&lt;&gt;")</f>
        <v>0</v>
      </c>
      <c r="C126">
        <f>SUMIFS('Draft Board'!$AC$2:$AC$162,'Draft Board'!$W$2:$W$162,A126,'Draft Board'!$AD$2:$AD$162,"&lt;&gt;")</f>
        <v>0</v>
      </c>
      <c r="D126">
        <f>COUNTIFS('Draft Board'!$W$2:$W$162,A126,'Draft Board'!$AD$2:$AD$162,"&lt;&gt;")</f>
        <v>0</v>
      </c>
      <c r="E126">
        <f>IFERROR(AVERAGEIFS('Draft Board'!$AC$2:$AC$162,'Draft Board'!$W$2:$W$162,A126),0)</f>
        <v>0</v>
      </c>
      <c r="F126">
        <f>MIN(1,E126/(Setup!$B$3*0.1))</f>
        <v>0</v>
      </c>
      <c r="G126">
        <f t="shared" si="2"/>
        <v>1</v>
      </c>
    </row>
    <row r="127" spans="1:7" x14ac:dyDescent="0.25">
      <c r="A127">
        <v>32</v>
      </c>
      <c r="B127">
        <f>SUMIFS('Draft Board'!$AD$2:$AD$162,'Draft Board'!$W$2:$W$162,A127,'Draft Board'!$AD$2:$AD$162,"&lt;&gt;")</f>
        <v>0</v>
      </c>
      <c r="C127">
        <f>SUMIFS('Draft Board'!$AC$2:$AC$162,'Draft Board'!$W$2:$W$162,A127,'Draft Board'!$AD$2:$AD$162,"&lt;&gt;")</f>
        <v>0</v>
      </c>
      <c r="D127">
        <f>COUNTIFS('Draft Board'!$W$2:$W$162,A127,'Draft Board'!$AD$2:$AD$162,"&lt;&gt;")</f>
        <v>0</v>
      </c>
      <c r="E127">
        <f>IFERROR(AVERAGEIFS('Draft Board'!$AC$2:$AC$162,'Draft Board'!$W$2:$W$162,A127),0)</f>
        <v>0</v>
      </c>
      <c r="F127">
        <f>MIN(1,E127/(Setup!$B$3*0.1))</f>
        <v>0</v>
      </c>
      <c r="G127">
        <f t="shared" si="2"/>
        <v>1</v>
      </c>
    </row>
    <row r="128" spans="1:7" x14ac:dyDescent="0.25">
      <c r="A128">
        <v>33</v>
      </c>
      <c r="B128">
        <f>SUMIFS('Draft Board'!$AD$2:$AD$162,'Draft Board'!$W$2:$W$162,A128,'Draft Board'!$AD$2:$AD$162,"&lt;&gt;")</f>
        <v>0</v>
      </c>
      <c r="C128">
        <f>SUMIFS('Draft Board'!$AC$2:$AC$162,'Draft Board'!$W$2:$W$162,A128,'Draft Board'!$AD$2:$AD$162,"&lt;&gt;")</f>
        <v>0</v>
      </c>
      <c r="D128">
        <f>COUNTIFS('Draft Board'!$W$2:$W$162,A128,'Draft Board'!$AD$2:$AD$162,"&lt;&gt;")</f>
        <v>0</v>
      </c>
      <c r="E128">
        <f>IFERROR(AVERAGEIFS('Draft Board'!$AC$2:$AC$162,'Draft Board'!$W$2:$W$162,A128),0)</f>
        <v>0</v>
      </c>
      <c r="F128">
        <f>MIN(1,E128/(Setup!$B$3*0.1))</f>
        <v>0</v>
      </c>
      <c r="G128">
        <f t="shared" ref="G128:G159" si="3">IF(D128&lt;2,1,MEDIAN(0.5,2,1+(IFERROR(B128/C128,1)-1)*F128))</f>
        <v>1</v>
      </c>
    </row>
    <row r="129" spans="1:7" x14ac:dyDescent="0.25">
      <c r="A129">
        <v>34</v>
      </c>
      <c r="B129">
        <f>SUMIFS('Draft Board'!$AD$2:$AD$162,'Draft Board'!$W$2:$W$162,A129,'Draft Board'!$AD$2:$AD$162,"&lt;&gt;")</f>
        <v>0</v>
      </c>
      <c r="C129">
        <f>SUMIFS('Draft Board'!$AC$2:$AC$162,'Draft Board'!$W$2:$W$162,A129,'Draft Board'!$AD$2:$AD$162,"&lt;&gt;")</f>
        <v>0</v>
      </c>
      <c r="D129">
        <f>COUNTIFS('Draft Board'!$W$2:$W$162,A129,'Draft Board'!$AD$2:$AD$162,"&lt;&gt;")</f>
        <v>0</v>
      </c>
      <c r="E129">
        <f>IFERROR(AVERAGEIFS('Draft Board'!$AC$2:$AC$162,'Draft Board'!$W$2:$W$162,A129),0)</f>
        <v>0</v>
      </c>
      <c r="F129">
        <f>MIN(1,E129/(Setup!$B$3*0.1))</f>
        <v>0</v>
      </c>
      <c r="G129">
        <f t="shared" si="3"/>
        <v>1</v>
      </c>
    </row>
    <row r="130" spans="1:7" x14ac:dyDescent="0.25">
      <c r="A130">
        <v>35</v>
      </c>
      <c r="B130">
        <f>SUMIFS('Draft Board'!$AD$2:$AD$162,'Draft Board'!$W$2:$W$162,A130,'Draft Board'!$AD$2:$AD$162,"&lt;&gt;")</f>
        <v>0</v>
      </c>
      <c r="C130">
        <f>SUMIFS('Draft Board'!$AC$2:$AC$162,'Draft Board'!$W$2:$W$162,A130,'Draft Board'!$AD$2:$AD$162,"&lt;&gt;")</f>
        <v>0</v>
      </c>
      <c r="D130">
        <f>COUNTIFS('Draft Board'!$W$2:$W$162,A130,'Draft Board'!$AD$2:$AD$162,"&lt;&gt;")</f>
        <v>0</v>
      </c>
      <c r="E130">
        <f>IFERROR(AVERAGEIFS('Draft Board'!$AC$2:$AC$162,'Draft Board'!$W$2:$W$162,A130),0)</f>
        <v>0</v>
      </c>
      <c r="F130">
        <f>MIN(1,E130/(Setup!$B$3*0.1))</f>
        <v>0</v>
      </c>
      <c r="G130">
        <f t="shared" si="3"/>
        <v>1</v>
      </c>
    </row>
    <row r="131" spans="1:7" x14ac:dyDescent="0.25">
      <c r="A131">
        <v>36</v>
      </c>
      <c r="B131">
        <f>SUMIFS('Draft Board'!$AD$2:$AD$162,'Draft Board'!$W$2:$W$162,A131,'Draft Board'!$AD$2:$AD$162,"&lt;&gt;")</f>
        <v>0</v>
      </c>
      <c r="C131">
        <f>SUMIFS('Draft Board'!$AC$2:$AC$162,'Draft Board'!$W$2:$W$162,A131,'Draft Board'!$AD$2:$AD$162,"&lt;&gt;")</f>
        <v>0</v>
      </c>
      <c r="D131">
        <f>COUNTIFS('Draft Board'!$W$2:$W$162,A131,'Draft Board'!$AD$2:$AD$162,"&lt;&gt;")</f>
        <v>0</v>
      </c>
      <c r="E131">
        <f>IFERROR(AVERAGEIFS('Draft Board'!$AC$2:$AC$162,'Draft Board'!$W$2:$W$162,A131),0)</f>
        <v>0</v>
      </c>
      <c r="F131">
        <f>MIN(1,E131/(Setup!$B$3*0.1))</f>
        <v>0</v>
      </c>
      <c r="G131">
        <f t="shared" si="3"/>
        <v>1</v>
      </c>
    </row>
    <row r="132" spans="1:7" x14ac:dyDescent="0.25">
      <c r="A132">
        <v>37</v>
      </c>
      <c r="B132">
        <f>SUMIFS('Draft Board'!$AD$2:$AD$162,'Draft Board'!$W$2:$W$162,A132,'Draft Board'!$AD$2:$AD$162,"&lt;&gt;")</f>
        <v>0</v>
      </c>
      <c r="C132">
        <f>SUMIFS('Draft Board'!$AC$2:$AC$162,'Draft Board'!$W$2:$W$162,A132,'Draft Board'!$AD$2:$AD$162,"&lt;&gt;")</f>
        <v>0</v>
      </c>
      <c r="D132">
        <f>COUNTIFS('Draft Board'!$W$2:$W$162,A132,'Draft Board'!$AD$2:$AD$162,"&lt;&gt;")</f>
        <v>0</v>
      </c>
      <c r="E132">
        <f>IFERROR(AVERAGEIFS('Draft Board'!$AC$2:$AC$162,'Draft Board'!$W$2:$W$162,A132),0)</f>
        <v>0</v>
      </c>
      <c r="F132">
        <f>MIN(1,E132/(Setup!$B$3*0.1))</f>
        <v>0</v>
      </c>
      <c r="G132">
        <f t="shared" si="3"/>
        <v>1</v>
      </c>
    </row>
    <row r="133" spans="1:7" x14ac:dyDescent="0.25">
      <c r="A133">
        <v>38</v>
      </c>
      <c r="B133">
        <f>SUMIFS('Draft Board'!$AD$2:$AD$162,'Draft Board'!$W$2:$W$162,A133,'Draft Board'!$AD$2:$AD$162,"&lt;&gt;")</f>
        <v>0</v>
      </c>
      <c r="C133">
        <f>SUMIFS('Draft Board'!$AC$2:$AC$162,'Draft Board'!$W$2:$W$162,A133,'Draft Board'!$AD$2:$AD$162,"&lt;&gt;")</f>
        <v>0</v>
      </c>
      <c r="D133">
        <f>COUNTIFS('Draft Board'!$W$2:$W$162,A133,'Draft Board'!$AD$2:$AD$162,"&lt;&gt;")</f>
        <v>0</v>
      </c>
      <c r="E133">
        <f>IFERROR(AVERAGEIFS('Draft Board'!$AC$2:$AC$162,'Draft Board'!$W$2:$W$162,A133),0)</f>
        <v>0</v>
      </c>
      <c r="F133">
        <f>MIN(1,E133/(Setup!$B$3*0.1))</f>
        <v>0</v>
      </c>
      <c r="G133">
        <f t="shared" si="3"/>
        <v>1</v>
      </c>
    </row>
    <row r="134" spans="1:7" x14ac:dyDescent="0.25">
      <c r="A134">
        <v>39</v>
      </c>
      <c r="B134">
        <f>SUMIFS('Draft Board'!$AD$2:$AD$162,'Draft Board'!$W$2:$W$162,A134,'Draft Board'!$AD$2:$AD$162,"&lt;&gt;")</f>
        <v>0</v>
      </c>
      <c r="C134">
        <f>SUMIFS('Draft Board'!$AC$2:$AC$162,'Draft Board'!$W$2:$W$162,A134,'Draft Board'!$AD$2:$AD$162,"&lt;&gt;")</f>
        <v>0</v>
      </c>
      <c r="D134">
        <f>COUNTIFS('Draft Board'!$W$2:$W$162,A134,'Draft Board'!$AD$2:$AD$162,"&lt;&gt;")</f>
        <v>0</v>
      </c>
      <c r="E134">
        <f>IFERROR(AVERAGEIFS('Draft Board'!$AC$2:$AC$162,'Draft Board'!$W$2:$W$162,A134),0)</f>
        <v>0</v>
      </c>
      <c r="F134">
        <f>MIN(1,E134/(Setup!$B$3*0.1))</f>
        <v>0</v>
      </c>
      <c r="G134">
        <f t="shared" si="3"/>
        <v>1</v>
      </c>
    </row>
    <row r="135" spans="1:7" x14ac:dyDescent="0.25">
      <c r="A135">
        <v>40</v>
      </c>
      <c r="B135">
        <f>SUMIFS('Draft Board'!$AD$2:$AD$162,'Draft Board'!$W$2:$W$162,A135,'Draft Board'!$AD$2:$AD$162,"&lt;&gt;")</f>
        <v>0</v>
      </c>
      <c r="C135">
        <f>SUMIFS('Draft Board'!$AC$2:$AC$162,'Draft Board'!$W$2:$W$162,A135,'Draft Board'!$AD$2:$AD$162,"&lt;&gt;")</f>
        <v>0</v>
      </c>
      <c r="D135">
        <f>COUNTIFS('Draft Board'!$W$2:$W$162,A135,'Draft Board'!$AD$2:$AD$162,"&lt;&gt;")</f>
        <v>0</v>
      </c>
      <c r="E135">
        <f>IFERROR(AVERAGEIFS('Draft Board'!$AC$2:$AC$162,'Draft Board'!$W$2:$W$162,A135),0)</f>
        <v>0</v>
      </c>
      <c r="F135">
        <f>MIN(1,E135/(Setup!$B$3*0.1))</f>
        <v>0</v>
      </c>
      <c r="G135">
        <f t="shared" si="3"/>
        <v>1</v>
      </c>
    </row>
    <row r="136" spans="1:7" x14ac:dyDescent="0.25">
      <c r="A136">
        <v>41</v>
      </c>
      <c r="B136">
        <f>SUMIFS('Draft Board'!$AD$2:$AD$162,'Draft Board'!$W$2:$W$162,A136,'Draft Board'!$AD$2:$AD$162,"&lt;&gt;")</f>
        <v>0</v>
      </c>
      <c r="C136">
        <f>SUMIFS('Draft Board'!$AC$2:$AC$162,'Draft Board'!$W$2:$W$162,A136,'Draft Board'!$AD$2:$AD$162,"&lt;&gt;")</f>
        <v>0</v>
      </c>
      <c r="D136">
        <f>COUNTIFS('Draft Board'!$W$2:$W$162,A136,'Draft Board'!$AD$2:$AD$162,"&lt;&gt;")</f>
        <v>0</v>
      </c>
      <c r="E136">
        <f>IFERROR(AVERAGEIFS('Draft Board'!$AC$2:$AC$162,'Draft Board'!$W$2:$W$162,A136),0)</f>
        <v>0</v>
      </c>
      <c r="F136">
        <f>MIN(1,E136/(Setup!$B$3*0.1))</f>
        <v>0</v>
      </c>
      <c r="G136">
        <f t="shared" si="3"/>
        <v>1</v>
      </c>
    </row>
    <row r="137" spans="1:7" x14ac:dyDescent="0.25">
      <c r="A137">
        <v>42</v>
      </c>
      <c r="B137">
        <f>SUMIFS('Draft Board'!$AD$2:$AD$162,'Draft Board'!$W$2:$W$162,A137,'Draft Board'!$AD$2:$AD$162,"&lt;&gt;")</f>
        <v>0</v>
      </c>
      <c r="C137">
        <f>SUMIFS('Draft Board'!$AC$2:$AC$162,'Draft Board'!$W$2:$W$162,A137,'Draft Board'!$AD$2:$AD$162,"&lt;&gt;")</f>
        <v>0</v>
      </c>
      <c r="D137">
        <f>COUNTIFS('Draft Board'!$W$2:$W$162,A137,'Draft Board'!$AD$2:$AD$162,"&lt;&gt;")</f>
        <v>0</v>
      </c>
      <c r="E137">
        <f>IFERROR(AVERAGEIFS('Draft Board'!$AC$2:$AC$162,'Draft Board'!$W$2:$W$162,A137),0)</f>
        <v>0</v>
      </c>
      <c r="F137">
        <f>MIN(1,E137/(Setup!$B$3*0.1))</f>
        <v>0</v>
      </c>
      <c r="G137">
        <f t="shared" si="3"/>
        <v>1</v>
      </c>
    </row>
    <row r="138" spans="1:7" x14ac:dyDescent="0.25">
      <c r="A138">
        <v>43</v>
      </c>
      <c r="B138">
        <f>SUMIFS('Draft Board'!$AD$2:$AD$162,'Draft Board'!$W$2:$W$162,A138,'Draft Board'!$AD$2:$AD$162,"&lt;&gt;")</f>
        <v>0</v>
      </c>
      <c r="C138">
        <f>SUMIFS('Draft Board'!$AC$2:$AC$162,'Draft Board'!$W$2:$W$162,A138,'Draft Board'!$AD$2:$AD$162,"&lt;&gt;")</f>
        <v>0</v>
      </c>
      <c r="D138">
        <f>COUNTIFS('Draft Board'!$W$2:$W$162,A138,'Draft Board'!$AD$2:$AD$162,"&lt;&gt;")</f>
        <v>0</v>
      </c>
      <c r="E138">
        <f>IFERROR(AVERAGEIFS('Draft Board'!$AC$2:$AC$162,'Draft Board'!$W$2:$W$162,A138),0)</f>
        <v>0</v>
      </c>
      <c r="F138">
        <f>MIN(1,E138/(Setup!$B$3*0.1))</f>
        <v>0</v>
      </c>
      <c r="G138">
        <f t="shared" si="3"/>
        <v>1</v>
      </c>
    </row>
    <row r="139" spans="1:7" x14ac:dyDescent="0.25">
      <c r="A139">
        <v>44</v>
      </c>
      <c r="B139">
        <f>SUMIFS('Draft Board'!$AD$2:$AD$162,'Draft Board'!$W$2:$W$162,A139,'Draft Board'!$AD$2:$AD$162,"&lt;&gt;")</f>
        <v>0</v>
      </c>
      <c r="C139">
        <f>SUMIFS('Draft Board'!$AC$2:$AC$162,'Draft Board'!$W$2:$W$162,A139,'Draft Board'!$AD$2:$AD$162,"&lt;&gt;")</f>
        <v>0</v>
      </c>
      <c r="D139">
        <f>COUNTIFS('Draft Board'!$W$2:$W$162,A139,'Draft Board'!$AD$2:$AD$162,"&lt;&gt;")</f>
        <v>0</v>
      </c>
      <c r="E139">
        <f>IFERROR(AVERAGEIFS('Draft Board'!$AC$2:$AC$162,'Draft Board'!$W$2:$W$162,A139),0)</f>
        <v>0</v>
      </c>
      <c r="F139">
        <f>MIN(1,E139/(Setup!$B$3*0.1))</f>
        <v>0</v>
      </c>
      <c r="G139">
        <f t="shared" si="3"/>
        <v>1</v>
      </c>
    </row>
    <row r="140" spans="1:7" x14ac:dyDescent="0.25">
      <c r="A140">
        <v>45</v>
      </c>
      <c r="B140">
        <f>SUMIFS('Draft Board'!$AD$2:$AD$162,'Draft Board'!$W$2:$W$162,A140,'Draft Board'!$AD$2:$AD$162,"&lt;&gt;")</f>
        <v>0</v>
      </c>
      <c r="C140">
        <f>SUMIFS('Draft Board'!$AC$2:$AC$162,'Draft Board'!$W$2:$W$162,A140,'Draft Board'!$AD$2:$AD$162,"&lt;&gt;")</f>
        <v>0</v>
      </c>
      <c r="D140">
        <f>COUNTIFS('Draft Board'!$W$2:$W$162,A140,'Draft Board'!$AD$2:$AD$162,"&lt;&gt;")</f>
        <v>0</v>
      </c>
      <c r="E140">
        <f>IFERROR(AVERAGEIFS('Draft Board'!$AC$2:$AC$162,'Draft Board'!$W$2:$W$162,A140),0)</f>
        <v>0</v>
      </c>
      <c r="F140">
        <f>MIN(1,E140/(Setup!$B$3*0.1))</f>
        <v>0</v>
      </c>
      <c r="G140">
        <f t="shared" si="3"/>
        <v>1</v>
      </c>
    </row>
    <row r="141" spans="1:7" x14ac:dyDescent="0.25">
      <c r="A141">
        <v>46</v>
      </c>
      <c r="B141">
        <f>SUMIFS('Draft Board'!$AD$2:$AD$162,'Draft Board'!$W$2:$W$162,A141,'Draft Board'!$AD$2:$AD$162,"&lt;&gt;")</f>
        <v>0</v>
      </c>
      <c r="C141">
        <f>SUMIFS('Draft Board'!$AC$2:$AC$162,'Draft Board'!$W$2:$W$162,A141,'Draft Board'!$AD$2:$AD$162,"&lt;&gt;")</f>
        <v>0</v>
      </c>
      <c r="D141">
        <f>COUNTIFS('Draft Board'!$W$2:$W$162,A141,'Draft Board'!$AD$2:$AD$162,"&lt;&gt;")</f>
        <v>0</v>
      </c>
      <c r="E141">
        <f>IFERROR(AVERAGEIFS('Draft Board'!$AC$2:$AC$162,'Draft Board'!$W$2:$W$162,A141),0)</f>
        <v>0</v>
      </c>
      <c r="F141">
        <f>MIN(1,E141/(Setup!$B$3*0.1))</f>
        <v>0</v>
      </c>
      <c r="G141">
        <f t="shared" si="3"/>
        <v>1</v>
      </c>
    </row>
    <row r="142" spans="1:7" x14ac:dyDescent="0.25">
      <c r="A142">
        <v>47</v>
      </c>
      <c r="B142">
        <f>SUMIFS('Draft Board'!$AD$2:$AD$162,'Draft Board'!$W$2:$W$162,A142,'Draft Board'!$AD$2:$AD$162,"&lt;&gt;")</f>
        <v>0</v>
      </c>
      <c r="C142">
        <f>SUMIFS('Draft Board'!$AC$2:$AC$162,'Draft Board'!$W$2:$W$162,A142,'Draft Board'!$AD$2:$AD$162,"&lt;&gt;")</f>
        <v>0</v>
      </c>
      <c r="D142">
        <f>COUNTIFS('Draft Board'!$W$2:$W$162,A142,'Draft Board'!$AD$2:$AD$162,"&lt;&gt;")</f>
        <v>0</v>
      </c>
      <c r="E142">
        <f>IFERROR(AVERAGEIFS('Draft Board'!$AC$2:$AC$162,'Draft Board'!$W$2:$W$162,A142),0)</f>
        <v>0</v>
      </c>
      <c r="F142">
        <f>MIN(1,E142/(Setup!$B$3*0.1))</f>
        <v>0</v>
      </c>
      <c r="G142">
        <f t="shared" si="3"/>
        <v>1</v>
      </c>
    </row>
    <row r="143" spans="1:7" x14ac:dyDescent="0.25">
      <c r="A143">
        <v>48</v>
      </c>
      <c r="B143">
        <f>SUMIFS('Draft Board'!$AD$2:$AD$162,'Draft Board'!$W$2:$W$162,A143,'Draft Board'!$AD$2:$AD$162,"&lt;&gt;")</f>
        <v>0</v>
      </c>
      <c r="C143">
        <f>SUMIFS('Draft Board'!$AC$2:$AC$162,'Draft Board'!$W$2:$W$162,A143,'Draft Board'!$AD$2:$AD$162,"&lt;&gt;")</f>
        <v>0</v>
      </c>
      <c r="D143">
        <f>COUNTIFS('Draft Board'!$W$2:$W$162,A143,'Draft Board'!$AD$2:$AD$162,"&lt;&gt;")</f>
        <v>0</v>
      </c>
      <c r="E143">
        <f>IFERROR(AVERAGEIFS('Draft Board'!$AC$2:$AC$162,'Draft Board'!$W$2:$W$162,A143),0)</f>
        <v>0</v>
      </c>
      <c r="F143">
        <f>MIN(1,E143/(Setup!$B$3*0.1))</f>
        <v>0</v>
      </c>
      <c r="G143">
        <f t="shared" si="3"/>
        <v>1</v>
      </c>
    </row>
    <row r="144" spans="1:7" x14ac:dyDescent="0.25">
      <c r="A144">
        <v>49</v>
      </c>
      <c r="B144">
        <f>SUMIFS('Draft Board'!$AD$2:$AD$162,'Draft Board'!$W$2:$W$162,A144,'Draft Board'!$AD$2:$AD$162,"&lt;&gt;")</f>
        <v>0</v>
      </c>
      <c r="C144">
        <f>SUMIFS('Draft Board'!$AC$2:$AC$162,'Draft Board'!$W$2:$W$162,A144,'Draft Board'!$AD$2:$AD$162,"&lt;&gt;")</f>
        <v>0</v>
      </c>
      <c r="D144">
        <f>COUNTIFS('Draft Board'!$W$2:$W$162,A144,'Draft Board'!$AD$2:$AD$162,"&lt;&gt;")</f>
        <v>0</v>
      </c>
      <c r="E144">
        <f>IFERROR(AVERAGEIFS('Draft Board'!$AC$2:$AC$162,'Draft Board'!$W$2:$W$162,A144),0)</f>
        <v>0</v>
      </c>
      <c r="F144">
        <f>MIN(1,E144/(Setup!$B$3*0.1))</f>
        <v>0</v>
      </c>
      <c r="G144">
        <f t="shared" si="3"/>
        <v>1</v>
      </c>
    </row>
    <row r="145" spans="1:7" x14ac:dyDescent="0.25">
      <c r="A145">
        <v>50</v>
      </c>
      <c r="B145">
        <f>SUMIFS('Draft Board'!$AD$2:$AD$162,'Draft Board'!$W$2:$W$162,A145,'Draft Board'!$AD$2:$AD$162,"&lt;&gt;")</f>
        <v>0</v>
      </c>
      <c r="C145">
        <f>SUMIFS('Draft Board'!$AC$2:$AC$162,'Draft Board'!$W$2:$W$162,A145,'Draft Board'!$AD$2:$AD$162,"&lt;&gt;")</f>
        <v>0</v>
      </c>
      <c r="D145">
        <f>COUNTIFS('Draft Board'!$W$2:$W$162,A145,'Draft Board'!$AD$2:$AD$162,"&lt;&gt;")</f>
        <v>0</v>
      </c>
      <c r="E145">
        <f>IFERROR(AVERAGEIFS('Draft Board'!$AC$2:$AC$162,'Draft Board'!$W$2:$W$162,A145),0)</f>
        <v>0</v>
      </c>
      <c r="F145">
        <f>MIN(1,E145/(Setup!$B$3*0.1))</f>
        <v>0</v>
      </c>
      <c r="G145">
        <f t="shared" si="3"/>
        <v>1</v>
      </c>
    </row>
    <row r="146" spans="1:7" x14ac:dyDescent="0.25">
      <c r="A146">
        <v>51</v>
      </c>
      <c r="B146">
        <f>SUMIFS('Draft Board'!$AD$2:$AD$162,'Draft Board'!$W$2:$W$162,A146,'Draft Board'!$AD$2:$AD$162,"&lt;&gt;")</f>
        <v>0</v>
      </c>
      <c r="C146">
        <f>SUMIFS('Draft Board'!$AC$2:$AC$162,'Draft Board'!$W$2:$W$162,A146,'Draft Board'!$AD$2:$AD$162,"&lt;&gt;")</f>
        <v>0</v>
      </c>
      <c r="D146">
        <f>COUNTIFS('Draft Board'!$W$2:$W$162,A146,'Draft Board'!$AD$2:$AD$162,"&lt;&gt;")</f>
        <v>0</v>
      </c>
      <c r="E146">
        <f>IFERROR(AVERAGEIFS('Draft Board'!$AC$2:$AC$162,'Draft Board'!$W$2:$W$162,A146),0)</f>
        <v>0</v>
      </c>
      <c r="F146">
        <f>MIN(1,E146/(Setup!$B$3*0.1))</f>
        <v>0</v>
      </c>
      <c r="G146">
        <f t="shared" si="3"/>
        <v>1</v>
      </c>
    </row>
    <row r="147" spans="1:7" x14ac:dyDescent="0.25">
      <c r="A147">
        <v>52</v>
      </c>
      <c r="B147">
        <f>SUMIFS('Draft Board'!$AD$2:$AD$162,'Draft Board'!$W$2:$W$162,A147,'Draft Board'!$AD$2:$AD$162,"&lt;&gt;")</f>
        <v>0</v>
      </c>
      <c r="C147">
        <f>SUMIFS('Draft Board'!$AC$2:$AC$162,'Draft Board'!$W$2:$W$162,A147,'Draft Board'!$AD$2:$AD$162,"&lt;&gt;")</f>
        <v>0</v>
      </c>
      <c r="D147">
        <f>COUNTIFS('Draft Board'!$W$2:$W$162,A147,'Draft Board'!$AD$2:$AD$162,"&lt;&gt;")</f>
        <v>0</v>
      </c>
      <c r="E147">
        <f>IFERROR(AVERAGEIFS('Draft Board'!$AC$2:$AC$162,'Draft Board'!$W$2:$W$162,A147),0)</f>
        <v>0</v>
      </c>
      <c r="F147">
        <f>MIN(1,E147/(Setup!$B$3*0.1))</f>
        <v>0</v>
      </c>
      <c r="G147">
        <f t="shared" si="3"/>
        <v>1</v>
      </c>
    </row>
    <row r="148" spans="1:7" x14ac:dyDescent="0.25">
      <c r="A148">
        <v>53</v>
      </c>
      <c r="B148">
        <f>SUMIFS('Draft Board'!$AD$2:$AD$162,'Draft Board'!$W$2:$W$162,A148,'Draft Board'!$AD$2:$AD$162,"&lt;&gt;")</f>
        <v>0</v>
      </c>
      <c r="C148">
        <f>SUMIFS('Draft Board'!$AC$2:$AC$162,'Draft Board'!$W$2:$W$162,A148,'Draft Board'!$AD$2:$AD$162,"&lt;&gt;")</f>
        <v>0</v>
      </c>
      <c r="D148">
        <f>COUNTIFS('Draft Board'!$W$2:$W$162,A148,'Draft Board'!$AD$2:$AD$162,"&lt;&gt;")</f>
        <v>0</v>
      </c>
      <c r="E148">
        <f>IFERROR(AVERAGEIFS('Draft Board'!$AC$2:$AC$162,'Draft Board'!$W$2:$W$162,A148),0)</f>
        <v>0</v>
      </c>
      <c r="F148">
        <f>MIN(1,E148/(Setup!$B$3*0.1))</f>
        <v>0</v>
      </c>
      <c r="G148">
        <f t="shared" si="3"/>
        <v>1</v>
      </c>
    </row>
    <row r="149" spans="1:7" x14ac:dyDescent="0.25">
      <c r="A149">
        <v>54</v>
      </c>
      <c r="B149">
        <f>SUMIFS('Draft Board'!$AD$2:$AD$162,'Draft Board'!$W$2:$W$162,A149,'Draft Board'!$AD$2:$AD$162,"&lt;&gt;")</f>
        <v>0</v>
      </c>
      <c r="C149">
        <f>SUMIFS('Draft Board'!$AC$2:$AC$162,'Draft Board'!$W$2:$W$162,A149,'Draft Board'!$AD$2:$AD$162,"&lt;&gt;")</f>
        <v>0</v>
      </c>
      <c r="D149">
        <f>COUNTIFS('Draft Board'!$W$2:$W$162,A149,'Draft Board'!$AD$2:$AD$162,"&lt;&gt;")</f>
        <v>0</v>
      </c>
      <c r="E149">
        <f>IFERROR(AVERAGEIFS('Draft Board'!$AC$2:$AC$162,'Draft Board'!$W$2:$W$162,A149),0)</f>
        <v>0</v>
      </c>
      <c r="F149">
        <f>MIN(1,E149/(Setup!$B$3*0.1))</f>
        <v>0</v>
      </c>
      <c r="G149">
        <f t="shared" si="3"/>
        <v>1</v>
      </c>
    </row>
    <row r="150" spans="1:7" x14ac:dyDescent="0.25">
      <c r="A150">
        <v>55</v>
      </c>
      <c r="B150">
        <f>SUMIFS('Draft Board'!$AD$2:$AD$162,'Draft Board'!$W$2:$W$162,A150,'Draft Board'!$AD$2:$AD$162,"&lt;&gt;")</f>
        <v>0</v>
      </c>
      <c r="C150">
        <f>SUMIFS('Draft Board'!$AC$2:$AC$162,'Draft Board'!$W$2:$W$162,A150,'Draft Board'!$AD$2:$AD$162,"&lt;&gt;")</f>
        <v>0</v>
      </c>
      <c r="D150">
        <f>COUNTIFS('Draft Board'!$W$2:$W$162,A150,'Draft Board'!$AD$2:$AD$162,"&lt;&gt;")</f>
        <v>0</v>
      </c>
      <c r="E150">
        <f>IFERROR(AVERAGEIFS('Draft Board'!$AC$2:$AC$162,'Draft Board'!$W$2:$W$162,A150),0)</f>
        <v>0</v>
      </c>
      <c r="F150">
        <f>MIN(1,E150/(Setup!$B$3*0.1))</f>
        <v>0</v>
      </c>
      <c r="G150">
        <f t="shared" si="3"/>
        <v>1</v>
      </c>
    </row>
    <row r="151" spans="1:7" x14ac:dyDescent="0.25">
      <c r="A151">
        <v>56</v>
      </c>
      <c r="B151">
        <f>SUMIFS('Draft Board'!$AD$2:$AD$162,'Draft Board'!$W$2:$W$162,A151,'Draft Board'!$AD$2:$AD$162,"&lt;&gt;")</f>
        <v>0</v>
      </c>
      <c r="C151">
        <f>SUMIFS('Draft Board'!$AC$2:$AC$162,'Draft Board'!$W$2:$W$162,A151,'Draft Board'!$AD$2:$AD$162,"&lt;&gt;")</f>
        <v>0</v>
      </c>
      <c r="D151">
        <f>COUNTIFS('Draft Board'!$W$2:$W$162,A151,'Draft Board'!$AD$2:$AD$162,"&lt;&gt;")</f>
        <v>0</v>
      </c>
      <c r="E151">
        <f>IFERROR(AVERAGEIFS('Draft Board'!$AC$2:$AC$162,'Draft Board'!$W$2:$W$162,A151),0)</f>
        <v>0</v>
      </c>
      <c r="F151">
        <f>MIN(1,E151/(Setup!$B$3*0.1))</f>
        <v>0</v>
      </c>
      <c r="G151">
        <f t="shared" si="3"/>
        <v>1</v>
      </c>
    </row>
    <row r="152" spans="1:7" x14ac:dyDescent="0.25">
      <c r="A152">
        <v>57</v>
      </c>
      <c r="B152">
        <f>SUMIFS('Draft Board'!$AD$2:$AD$162,'Draft Board'!$W$2:$W$162,A152,'Draft Board'!$AD$2:$AD$162,"&lt;&gt;")</f>
        <v>0</v>
      </c>
      <c r="C152">
        <f>SUMIFS('Draft Board'!$AC$2:$AC$162,'Draft Board'!$W$2:$W$162,A152,'Draft Board'!$AD$2:$AD$162,"&lt;&gt;")</f>
        <v>0</v>
      </c>
      <c r="D152">
        <f>COUNTIFS('Draft Board'!$W$2:$W$162,A152,'Draft Board'!$AD$2:$AD$162,"&lt;&gt;")</f>
        <v>0</v>
      </c>
      <c r="E152">
        <f>IFERROR(AVERAGEIFS('Draft Board'!$AC$2:$AC$162,'Draft Board'!$W$2:$W$162,A152),0)</f>
        <v>0</v>
      </c>
      <c r="F152">
        <f>MIN(1,E152/(Setup!$B$3*0.1))</f>
        <v>0</v>
      </c>
      <c r="G152">
        <f t="shared" si="3"/>
        <v>1</v>
      </c>
    </row>
    <row r="153" spans="1:7" x14ac:dyDescent="0.25">
      <c r="A153">
        <v>58</v>
      </c>
      <c r="B153">
        <f>SUMIFS('Draft Board'!$AD$2:$AD$162,'Draft Board'!$W$2:$W$162,A153,'Draft Board'!$AD$2:$AD$162,"&lt;&gt;")</f>
        <v>0</v>
      </c>
      <c r="C153">
        <f>SUMIFS('Draft Board'!$AC$2:$AC$162,'Draft Board'!$W$2:$W$162,A153,'Draft Board'!$AD$2:$AD$162,"&lt;&gt;")</f>
        <v>0</v>
      </c>
      <c r="D153">
        <f>COUNTIFS('Draft Board'!$W$2:$W$162,A153,'Draft Board'!$AD$2:$AD$162,"&lt;&gt;")</f>
        <v>0</v>
      </c>
      <c r="E153">
        <f>IFERROR(AVERAGEIFS('Draft Board'!$AC$2:$AC$162,'Draft Board'!$W$2:$W$162,A153),0)</f>
        <v>0</v>
      </c>
      <c r="F153">
        <f>MIN(1,E153/(Setup!$B$3*0.1))</f>
        <v>0</v>
      </c>
      <c r="G153">
        <f t="shared" si="3"/>
        <v>1</v>
      </c>
    </row>
    <row r="154" spans="1:7" x14ac:dyDescent="0.25">
      <c r="A154">
        <v>59</v>
      </c>
      <c r="B154">
        <f>SUMIFS('Draft Board'!$AD$2:$AD$162,'Draft Board'!$W$2:$W$162,A154,'Draft Board'!$AD$2:$AD$162,"&lt;&gt;")</f>
        <v>0</v>
      </c>
      <c r="C154">
        <f>SUMIFS('Draft Board'!$AC$2:$AC$162,'Draft Board'!$W$2:$W$162,A154,'Draft Board'!$AD$2:$AD$162,"&lt;&gt;")</f>
        <v>0</v>
      </c>
      <c r="D154">
        <f>COUNTIFS('Draft Board'!$W$2:$W$162,A154,'Draft Board'!$AD$2:$AD$162,"&lt;&gt;")</f>
        <v>0</v>
      </c>
      <c r="E154">
        <f>IFERROR(AVERAGEIFS('Draft Board'!$AC$2:$AC$162,'Draft Board'!$W$2:$W$162,A154),0)</f>
        <v>0</v>
      </c>
      <c r="F154">
        <f>MIN(1,E154/(Setup!$B$3*0.1))</f>
        <v>0</v>
      </c>
      <c r="G154">
        <f t="shared" si="3"/>
        <v>1</v>
      </c>
    </row>
    <row r="155" spans="1:7" x14ac:dyDescent="0.25">
      <c r="A155">
        <v>60</v>
      </c>
      <c r="B155">
        <f>SUMIFS('Draft Board'!$AD$2:$AD$162,'Draft Board'!$W$2:$W$162,A155,'Draft Board'!$AD$2:$AD$162,"&lt;&gt;")</f>
        <v>0</v>
      </c>
      <c r="C155">
        <f>SUMIFS('Draft Board'!$AC$2:$AC$162,'Draft Board'!$W$2:$W$162,A155,'Draft Board'!$AD$2:$AD$162,"&lt;&gt;")</f>
        <v>0</v>
      </c>
      <c r="D155">
        <f>COUNTIFS('Draft Board'!$W$2:$W$162,A155,'Draft Board'!$AD$2:$AD$162,"&lt;&gt;")</f>
        <v>0</v>
      </c>
      <c r="E155">
        <f>IFERROR(AVERAGEIFS('Draft Board'!$AC$2:$AC$162,'Draft Board'!$W$2:$W$162,A155),0)</f>
        <v>0</v>
      </c>
      <c r="F155">
        <f>MIN(1,E155/(Setup!$B$3*0.1))</f>
        <v>0</v>
      </c>
      <c r="G155">
        <f t="shared" si="3"/>
        <v>1</v>
      </c>
    </row>
    <row r="156" spans="1:7" x14ac:dyDescent="0.25">
      <c r="A156">
        <v>61</v>
      </c>
      <c r="B156">
        <f>SUMIFS('Draft Board'!$AD$2:$AD$162,'Draft Board'!$W$2:$W$162,A156,'Draft Board'!$AD$2:$AD$162,"&lt;&gt;")</f>
        <v>0</v>
      </c>
      <c r="C156">
        <f>SUMIFS('Draft Board'!$AC$2:$AC$162,'Draft Board'!$W$2:$W$162,A156,'Draft Board'!$AD$2:$AD$162,"&lt;&gt;")</f>
        <v>0</v>
      </c>
      <c r="D156">
        <f>COUNTIFS('Draft Board'!$W$2:$W$162,A156,'Draft Board'!$AD$2:$AD$162,"&lt;&gt;")</f>
        <v>0</v>
      </c>
      <c r="E156">
        <f>IFERROR(AVERAGEIFS('Draft Board'!$AC$2:$AC$162,'Draft Board'!$W$2:$W$162,A156),0)</f>
        <v>0</v>
      </c>
      <c r="F156">
        <f>MIN(1,E156/(Setup!$B$3*0.1))</f>
        <v>0</v>
      </c>
      <c r="G156">
        <f t="shared" si="3"/>
        <v>1</v>
      </c>
    </row>
    <row r="157" spans="1:7" x14ac:dyDescent="0.25">
      <c r="A157">
        <v>62</v>
      </c>
      <c r="B157">
        <f>SUMIFS('Draft Board'!$AD$2:$AD$162,'Draft Board'!$W$2:$W$162,A157,'Draft Board'!$AD$2:$AD$162,"&lt;&gt;")</f>
        <v>0</v>
      </c>
      <c r="C157">
        <f>SUMIFS('Draft Board'!$AC$2:$AC$162,'Draft Board'!$W$2:$W$162,A157,'Draft Board'!$AD$2:$AD$162,"&lt;&gt;")</f>
        <v>0</v>
      </c>
      <c r="D157">
        <f>COUNTIFS('Draft Board'!$W$2:$W$162,A157,'Draft Board'!$AD$2:$AD$162,"&lt;&gt;")</f>
        <v>0</v>
      </c>
      <c r="E157">
        <f>IFERROR(AVERAGEIFS('Draft Board'!$AC$2:$AC$162,'Draft Board'!$W$2:$W$162,A157),0)</f>
        <v>0</v>
      </c>
      <c r="F157">
        <f>MIN(1,E157/(Setup!$B$3*0.1))</f>
        <v>0</v>
      </c>
      <c r="G157">
        <f t="shared" si="3"/>
        <v>1</v>
      </c>
    </row>
    <row r="158" spans="1:7" x14ac:dyDescent="0.25">
      <c r="A158">
        <v>63</v>
      </c>
      <c r="B158">
        <f>SUMIFS('Draft Board'!$AD$2:$AD$162,'Draft Board'!$W$2:$W$162,A158,'Draft Board'!$AD$2:$AD$162,"&lt;&gt;")</f>
        <v>0</v>
      </c>
      <c r="C158">
        <f>SUMIFS('Draft Board'!$AC$2:$AC$162,'Draft Board'!$W$2:$W$162,A158,'Draft Board'!$AD$2:$AD$162,"&lt;&gt;")</f>
        <v>0</v>
      </c>
      <c r="D158">
        <f>COUNTIFS('Draft Board'!$W$2:$W$162,A158,'Draft Board'!$AD$2:$AD$162,"&lt;&gt;")</f>
        <v>0</v>
      </c>
      <c r="E158">
        <f>IFERROR(AVERAGEIFS('Draft Board'!$AC$2:$AC$162,'Draft Board'!$W$2:$W$162,A158),0)</f>
        <v>0</v>
      </c>
      <c r="F158">
        <f>MIN(1,E158/(Setup!$B$3*0.1))</f>
        <v>0</v>
      </c>
      <c r="G158">
        <f t="shared" si="3"/>
        <v>1</v>
      </c>
    </row>
    <row r="159" spans="1:7" x14ac:dyDescent="0.25">
      <c r="A159">
        <v>64</v>
      </c>
      <c r="B159">
        <f>SUMIFS('Draft Board'!$AD$2:$AD$162,'Draft Board'!$W$2:$W$162,A159,'Draft Board'!$AD$2:$AD$162,"&lt;&gt;")</f>
        <v>0</v>
      </c>
      <c r="C159">
        <f>SUMIFS('Draft Board'!$AC$2:$AC$162,'Draft Board'!$W$2:$W$162,A159,'Draft Board'!$AD$2:$AD$162,"&lt;&gt;")</f>
        <v>0</v>
      </c>
      <c r="D159">
        <f>COUNTIFS('Draft Board'!$W$2:$W$162,A159,'Draft Board'!$AD$2:$AD$162,"&lt;&gt;")</f>
        <v>0</v>
      </c>
      <c r="E159">
        <f>IFERROR(AVERAGEIFS('Draft Board'!$AC$2:$AC$162,'Draft Board'!$W$2:$W$162,A159),0)</f>
        <v>0</v>
      </c>
      <c r="F159">
        <f>MIN(1,E159/(Setup!$B$3*0.1))</f>
        <v>0</v>
      </c>
      <c r="G159">
        <f t="shared" si="3"/>
        <v>1</v>
      </c>
    </row>
    <row r="160" spans="1:7" x14ac:dyDescent="0.25">
      <c r="A160">
        <v>65</v>
      </c>
      <c r="B160">
        <f>SUMIFS('Draft Board'!$AD$2:$AD$162,'Draft Board'!$W$2:$W$162,A160,'Draft Board'!$AD$2:$AD$162,"&lt;&gt;")</f>
        <v>0</v>
      </c>
      <c r="C160">
        <f>SUMIFS('Draft Board'!$AC$2:$AC$162,'Draft Board'!$W$2:$W$162,A160,'Draft Board'!$AD$2:$AD$162,"&lt;&gt;")</f>
        <v>0</v>
      </c>
      <c r="D160">
        <f>COUNTIFS('Draft Board'!$W$2:$W$162,A160,'Draft Board'!$AD$2:$AD$162,"&lt;&gt;")</f>
        <v>0</v>
      </c>
      <c r="E160">
        <f>IFERROR(AVERAGEIFS('Draft Board'!$AC$2:$AC$162,'Draft Board'!$W$2:$W$162,A160),0)</f>
        <v>0</v>
      </c>
      <c r="F160">
        <f>MIN(1,E160/(Setup!$B$3*0.1))</f>
        <v>0</v>
      </c>
      <c r="G160">
        <f t="shared" ref="G160:G191" si="4">IF(D160&lt;2,1,MEDIAN(0.5,2,1+(IFERROR(B160/C160,1)-1)*F160))</f>
        <v>1</v>
      </c>
    </row>
    <row r="161" spans="1:7" x14ac:dyDescent="0.25">
      <c r="A161">
        <v>66</v>
      </c>
      <c r="B161">
        <f>SUMIFS('Draft Board'!$AD$2:$AD$162,'Draft Board'!$W$2:$W$162,A161,'Draft Board'!$AD$2:$AD$162,"&lt;&gt;")</f>
        <v>0</v>
      </c>
      <c r="C161">
        <f>SUMIFS('Draft Board'!$AC$2:$AC$162,'Draft Board'!$W$2:$W$162,A161,'Draft Board'!$AD$2:$AD$162,"&lt;&gt;")</f>
        <v>0</v>
      </c>
      <c r="D161">
        <f>COUNTIFS('Draft Board'!$W$2:$W$162,A161,'Draft Board'!$AD$2:$AD$162,"&lt;&gt;")</f>
        <v>0</v>
      </c>
      <c r="E161">
        <f>IFERROR(AVERAGEIFS('Draft Board'!$AC$2:$AC$162,'Draft Board'!$W$2:$W$162,A161),0)</f>
        <v>0</v>
      </c>
      <c r="F161">
        <f>MIN(1,E161/(Setup!$B$3*0.1))</f>
        <v>0</v>
      </c>
      <c r="G161">
        <f t="shared" si="4"/>
        <v>1</v>
      </c>
    </row>
    <row r="162" spans="1:7" x14ac:dyDescent="0.25">
      <c r="A162">
        <v>67</v>
      </c>
      <c r="B162">
        <f>SUMIFS('Draft Board'!$AD$2:$AD$162,'Draft Board'!$W$2:$W$162,A162,'Draft Board'!$AD$2:$AD$162,"&lt;&gt;")</f>
        <v>0</v>
      </c>
      <c r="C162">
        <f>SUMIFS('Draft Board'!$AC$2:$AC$162,'Draft Board'!$W$2:$W$162,A162,'Draft Board'!$AD$2:$AD$162,"&lt;&gt;")</f>
        <v>0</v>
      </c>
      <c r="D162">
        <f>COUNTIFS('Draft Board'!$W$2:$W$162,A162,'Draft Board'!$AD$2:$AD$162,"&lt;&gt;")</f>
        <v>0</v>
      </c>
      <c r="E162">
        <f>IFERROR(AVERAGEIFS('Draft Board'!$AC$2:$AC$162,'Draft Board'!$W$2:$W$162,A162),0)</f>
        <v>0</v>
      </c>
      <c r="F162">
        <f>MIN(1,E162/(Setup!$B$3*0.1))</f>
        <v>0</v>
      </c>
      <c r="G162">
        <f t="shared" si="4"/>
        <v>1</v>
      </c>
    </row>
    <row r="163" spans="1:7" x14ac:dyDescent="0.25">
      <c r="A163">
        <v>68</v>
      </c>
      <c r="B163">
        <f>SUMIFS('Draft Board'!$AD$2:$AD$162,'Draft Board'!$W$2:$W$162,A163,'Draft Board'!$AD$2:$AD$162,"&lt;&gt;")</f>
        <v>0</v>
      </c>
      <c r="C163">
        <f>SUMIFS('Draft Board'!$AC$2:$AC$162,'Draft Board'!$W$2:$W$162,A163,'Draft Board'!$AD$2:$AD$162,"&lt;&gt;")</f>
        <v>0</v>
      </c>
      <c r="D163">
        <f>COUNTIFS('Draft Board'!$W$2:$W$162,A163,'Draft Board'!$AD$2:$AD$162,"&lt;&gt;")</f>
        <v>0</v>
      </c>
      <c r="E163">
        <f>IFERROR(AVERAGEIFS('Draft Board'!$AC$2:$AC$162,'Draft Board'!$W$2:$W$162,A163),0)</f>
        <v>0</v>
      </c>
      <c r="F163">
        <f>MIN(1,E163/(Setup!$B$3*0.1))</f>
        <v>0</v>
      </c>
      <c r="G163">
        <f t="shared" si="4"/>
        <v>1</v>
      </c>
    </row>
    <row r="164" spans="1:7" x14ac:dyDescent="0.25">
      <c r="A164">
        <v>69</v>
      </c>
      <c r="B164">
        <f>SUMIFS('Draft Board'!$AD$2:$AD$162,'Draft Board'!$W$2:$W$162,A164,'Draft Board'!$AD$2:$AD$162,"&lt;&gt;")</f>
        <v>0</v>
      </c>
      <c r="C164">
        <f>SUMIFS('Draft Board'!$AC$2:$AC$162,'Draft Board'!$W$2:$W$162,A164,'Draft Board'!$AD$2:$AD$162,"&lt;&gt;")</f>
        <v>0</v>
      </c>
      <c r="D164">
        <f>COUNTIFS('Draft Board'!$W$2:$W$162,A164,'Draft Board'!$AD$2:$AD$162,"&lt;&gt;")</f>
        <v>0</v>
      </c>
      <c r="E164">
        <f>IFERROR(AVERAGEIFS('Draft Board'!$AC$2:$AC$162,'Draft Board'!$W$2:$W$162,A164),0)</f>
        <v>0</v>
      </c>
      <c r="F164">
        <f>MIN(1,E164/(Setup!$B$3*0.1))</f>
        <v>0</v>
      </c>
      <c r="G164">
        <f t="shared" si="4"/>
        <v>1</v>
      </c>
    </row>
    <row r="165" spans="1:7" x14ac:dyDescent="0.25">
      <c r="A165">
        <v>70</v>
      </c>
      <c r="B165">
        <f>SUMIFS('Draft Board'!$AD$2:$AD$162,'Draft Board'!$W$2:$W$162,A165,'Draft Board'!$AD$2:$AD$162,"&lt;&gt;")</f>
        <v>0</v>
      </c>
      <c r="C165">
        <f>SUMIFS('Draft Board'!$AC$2:$AC$162,'Draft Board'!$W$2:$W$162,A165,'Draft Board'!$AD$2:$AD$162,"&lt;&gt;")</f>
        <v>0</v>
      </c>
      <c r="D165">
        <f>COUNTIFS('Draft Board'!$W$2:$W$162,A165,'Draft Board'!$AD$2:$AD$162,"&lt;&gt;")</f>
        <v>0</v>
      </c>
      <c r="E165">
        <f>IFERROR(AVERAGEIFS('Draft Board'!$AC$2:$AC$162,'Draft Board'!$W$2:$W$162,A165),0)</f>
        <v>0</v>
      </c>
      <c r="F165">
        <f>MIN(1,E165/(Setup!$B$3*0.1))</f>
        <v>0</v>
      </c>
      <c r="G165">
        <f t="shared" si="4"/>
        <v>1</v>
      </c>
    </row>
    <row r="166" spans="1:7" x14ac:dyDescent="0.25">
      <c r="A166">
        <v>71</v>
      </c>
      <c r="B166">
        <f>SUMIFS('Draft Board'!$AD$2:$AD$162,'Draft Board'!$W$2:$W$162,A166,'Draft Board'!$AD$2:$AD$162,"&lt;&gt;")</f>
        <v>0</v>
      </c>
      <c r="C166">
        <f>SUMIFS('Draft Board'!$AC$2:$AC$162,'Draft Board'!$W$2:$W$162,A166,'Draft Board'!$AD$2:$AD$162,"&lt;&gt;")</f>
        <v>0</v>
      </c>
      <c r="D166">
        <f>COUNTIFS('Draft Board'!$W$2:$W$162,A166,'Draft Board'!$AD$2:$AD$162,"&lt;&gt;")</f>
        <v>0</v>
      </c>
      <c r="E166">
        <f>IFERROR(AVERAGEIFS('Draft Board'!$AC$2:$AC$162,'Draft Board'!$W$2:$W$162,A166),0)</f>
        <v>0</v>
      </c>
      <c r="F166">
        <f>MIN(1,E166/(Setup!$B$3*0.1))</f>
        <v>0</v>
      </c>
      <c r="G166">
        <f t="shared" si="4"/>
        <v>1</v>
      </c>
    </row>
    <row r="167" spans="1:7" x14ac:dyDescent="0.25">
      <c r="A167">
        <v>72</v>
      </c>
      <c r="B167">
        <f>SUMIFS('Draft Board'!$AD$2:$AD$162,'Draft Board'!$W$2:$W$162,A167,'Draft Board'!$AD$2:$AD$162,"&lt;&gt;")</f>
        <v>0</v>
      </c>
      <c r="C167">
        <f>SUMIFS('Draft Board'!$AC$2:$AC$162,'Draft Board'!$W$2:$W$162,A167,'Draft Board'!$AD$2:$AD$162,"&lt;&gt;")</f>
        <v>0</v>
      </c>
      <c r="D167">
        <f>COUNTIFS('Draft Board'!$W$2:$W$162,A167,'Draft Board'!$AD$2:$AD$162,"&lt;&gt;")</f>
        <v>0</v>
      </c>
      <c r="E167">
        <f>IFERROR(AVERAGEIFS('Draft Board'!$AC$2:$AC$162,'Draft Board'!$W$2:$W$162,A167),0)</f>
        <v>0</v>
      </c>
      <c r="F167">
        <f>MIN(1,E167/(Setup!$B$3*0.1))</f>
        <v>0</v>
      </c>
      <c r="G167">
        <f t="shared" si="4"/>
        <v>1</v>
      </c>
    </row>
    <row r="168" spans="1:7" x14ac:dyDescent="0.25">
      <c r="A168">
        <v>73</v>
      </c>
      <c r="B168">
        <f>SUMIFS('Draft Board'!$AD$2:$AD$162,'Draft Board'!$W$2:$W$162,A168,'Draft Board'!$AD$2:$AD$162,"&lt;&gt;")</f>
        <v>0</v>
      </c>
      <c r="C168">
        <f>SUMIFS('Draft Board'!$AC$2:$AC$162,'Draft Board'!$W$2:$W$162,A168,'Draft Board'!$AD$2:$AD$162,"&lt;&gt;")</f>
        <v>0</v>
      </c>
      <c r="D168">
        <f>COUNTIFS('Draft Board'!$W$2:$W$162,A168,'Draft Board'!$AD$2:$AD$162,"&lt;&gt;")</f>
        <v>0</v>
      </c>
      <c r="E168">
        <f>IFERROR(AVERAGEIFS('Draft Board'!$AC$2:$AC$162,'Draft Board'!$W$2:$W$162,A168),0)</f>
        <v>0</v>
      </c>
      <c r="F168">
        <f>MIN(1,E168/(Setup!$B$3*0.1))</f>
        <v>0</v>
      </c>
      <c r="G168">
        <f t="shared" si="4"/>
        <v>1</v>
      </c>
    </row>
    <row r="169" spans="1:7" x14ac:dyDescent="0.25">
      <c r="A169">
        <v>74</v>
      </c>
      <c r="B169">
        <f>SUMIFS('Draft Board'!$AD$2:$AD$162,'Draft Board'!$W$2:$W$162,A169,'Draft Board'!$AD$2:$AD$162,"&lt;&gt;")</f>
        <v>0</v>
      </c>
      <c r="C169">
        <f>SUMIFS('Draft Board'!$AC$2:$AC$162,'Draft Board'!$W$2:$W$162,A169,'Draft Board'!$AD$2:$AD$162,"&lt;&gt;")</f>
        <v>0</v>
      </c>
      <c r="D169">
        <f>COUNTIFS('Draft Board'!$W$2:$W$162,A169,'Draft Board'!$AD$2:$AD$162,"&lt;&gt;")</f>
        <v>0</v>
      </c>
      <c r="E169">
        <f>IFERROR(AVERAGEIFS('Draft Board'!$AC$2:$AC$162,'Draft Board'!$W$2:$W$162,A169),0)</f>
        <v>0</v>
      </c>
      <c r="F169">
        <f>MIN(1,E169/(Setup!$B$3*0.1))</f>
        <v>0</v>
      </c>
      <c r="G169">
        <f t="shared" si="4"/>
        <v>1</v>
      </c>
    </row>
    <row r="170" spans="1:7" x14ac:dyDescent="0.25">
      <c r="A170">
        <v>75</v>
      </c>
      <c r="B170">
        <f>SUMIFS('Draft Board'!$AD$2:$AD$162,'Draft Board'!$W$2:$W$162,A170,'Draft Board'!$AD$2:$AD$162,"&lt;&gt;")</f>
        <v>0</v>
      </c>
      <c r="C170">
        <f>SUMIFS('Draft Board'!$AC$2:$AC$162,'Draft Board'!$W$2:$W$162,A170,'Draft Board'!$AD$2:$AD$162,"&lt;&gt;")</f>
        <v>0</v>
      </c>
      <c r="D170">
        <f>COUNTIFS('Draft Board'!$W$2:$W$162,A170,'Draft Board'!$AD$2:$AD$162,"&lt;&gt;")</f>
        <v>0</v>
      </c>
      <c r="E170">
        <f>IFERROR(AVERAGEIFS('Draft Board'!$AC$2:$AC$162,'Draft Board'!$W$2:$W$162,A170),0)</f>
        <v>0</v>
      </c>
      <c r="F170">
        <f>MIN(1,E170/(Setup!$B$3*0.1))</f>
        <v>0</v>
      </c>
      <c r="G170">
        <f t="shared" si="4"/>
        <v>1</v>
      </c>
    </row>
    <row r="171" spans="1:7" x14ac:dyDescent="0.25">
      <c r="A171">
        <v>76</v>
      </c>
      <c r="B171">
        <f>SUMIFS('Draft Board'!$AD$2:$AD$162,'Draft Board'!$W$2:$W$162,A171,'Draft Board'!$AD$2:$AD$162,"&lt;&gt;")</f>
        <v>0</v>
      </c>
      <c r="C171">
        <f>SUMIFS('Draft Board'!$AC$2:$AC$162,'Draft Board'!$W$2:$W$162,A171,'Draft Board'!$AD$2:$AD$162,"&lt;&gt;")</f>
        <v>0</v>
      </c>
      <c r="D171">
        <f>COUNTIFS('Draft Board'!$W$2:$W$162,A171,'Draft Board'!$AD$2:$AD$162,"&lt;&gt;")</f>
        <v>0</v>
      </c>
      <c r="E171">
        <f>IFERROR(AVERAGEIFS('Draft Board'!$AC$2:$AC$162,'Draft Board'!$W$2:$W$162,A171),0)</f>
        <v>0</v>
      </c>
      <c r="F171">
        <f>MIN(1,E171/(Setup!$B$3*0.1))</f>
        <v>0</v>
      </c>
      <c r="G171">
        <f t="shared" si="4"/>
        <v>1</v>
      </c>
    </row>
    <row r="172" spans="1:7" x14ac:dyDescent="0.25">
      <c r="A172">
        <v>77</v>
      </c>
      <c r="B172">
        <f>SUMIFS('Draft Board'!$AD$2:$AD$162,'Draft Board'!$W$2:$W$162,A172,'Draft Board'!$AD$2:$AD$162,"&lt;&gt;")</f>
        <v>0</v>
      </c>
      <c r="C172">
        <f>SUMIFS('Draft Board'!$AC$2:$AC$162,'Draft Board'!$W$2:$W$162,A172,'Draft Board'!$AD$2:$AD$162,"&lt;&gt;")</f>
        <v>0</v>
      </c>
      <c r="D172">
        <f>COUNTIFS('Draft Board'!$W$2:$W$162,A172,'Draft Board'!$AD$2:$AD$162,"&lt;&gt;")</f>
        <v>0</v>
      </c>
      <c r="E172">
        <f>IFERROR(AVERAGEIFS('Draft Board'!$AC$2:$AC$162,'Draft Board'!$W$2:$W$162,A172),0)</f>
        <v>0</v>
      </c>
      <c r="F172">
        <f>MIN(1,E172/(Setup!$B$3*0.1))</f>
        <v>0</v>
      </c>
      <c r="G172">
        <f t="shared" si="4"/>
        <v>1</v>
      </c>
    </row>
    <row r="173" spans="1:7" x14ac:dyDescent="0.25">
      <c r="A173">
        <v>78</v>
      </c>
      <c r="B173">
        <f>SUMIFS('Draft Board'!$AD$2:$AD$162,'Draft Board'!$W$2:$W$162,A173,'Draft Board'!$AD$2:$AD$162,"&lt;&gt;")</f>
        <v>0</v>
      </c>
      <c r="C173">
        <f>SUMIFS('Draft Board'!$AC$2:$AC$162,'Draft Board'!$W$2:$W$162,A173,'Draft Board'!$AD$2:$AD$162,"&lt;&gt;")</f>
        <v>0</v>
      </c>
      <c r="D173">
        <f>COUNTIFS('Draft Board'!$W$2:$W$162,A173,'Draft Board'!$AD$2:$AD$162,"&lt;&gt;")</f>
        <v>0</v>
      </c>
      <c r="E173">
        <f>IFERROR(AVERAGEIFS('Draft Board'!$AC$2:$AC$162,'Draft Board'!$W$2:$W$162,A173),0)</f>
        <v>0</v>
      </c>
      <c r="F173">
        <f>MIN(1,E173/(Setup!$B$3*0.1))</f>
        <v>0</v>
      </c>
      <c r="G173">
        <f t="shared" si="4"/>
        <v>1</v>
      </c>
    </row>
    <row r="174" spans="1:7" x14ac:dyDescent="0.25">
      <c r="A174">
        <v>79</v>
      </c>
      <c r="B174">
        <f>SUMIFS('Draft Board'!$AD$2:$AD$162,'Draft Board'!$W$2:$W$162,A174,'Draft Board'!$AD$2:$AD$162,"&lt;&gt;")</f>
        <v>0</v>
      </c>
      <c r="C174">
        <f>SUMIFS('Draft Board'!$AC$2:$AC$162,'Draft Board'!$W$2:$W$162,A174,'Draft Board'!$AD$2:$AD$162,"&lt;&gt;")</f>
        <v>0</v>
      </c>
      <c r="D174">
        <f>COUNTIFS('Draft Board'!$W$2:$W$162,A174,'Draft Board'!$AD$2:$AD$162,"&lt;&gt;")</f>
        <v>0</v>
      </c>
      <c r="E174">
        <f>IFERROR(AVERAGEIFS('Draft Board'!$AC$2:$AC$162,'Draft Board'!$W$2:$W$162,A174),0)</f>
        <v>0</v>
      </c>
      <c r="F174">
        <f>MIN(1,E174/(Setup!$B$3*0.1))</f>
        <v>0</v>
      </c>
      <c r="G174">
        <f t="shared" si="4"/>
        <v>1</v>
      </c>
    </row>
    <row r="175" spans="1:7" x14ac:dyDescent="0.25">
      <c r="A175">
        <v>80</v>
      </c>
      <c r="B175">
        <f>SUMIFS('Draft Board'!$AD$2:$AD$162,'Draft Board'!$W$2:$W$162,A175,'Draft Board'!$AD$2:$AD$162,"&lt;&gt;")</f>
        <v>0</v>
      </c>
      <c r="C175">
        <f>SUMIFS('Draft Board'!$AC$2:$AC$162,'Draft Board'!$W$2:$W$162,A175,'Draft Board'!$AD$2:$AD$162,"&lt;&gt;")</f>
        <v>0</v>
      </c>
      <c r="D175">
        <f>COUNTIFS('Draft Board'!$W$2:$W$162,A175,'Draft Board'!$AD$2:$AD$162,"&lt;&gt;")</f>
        <v>0</v>
      </c>
      <c r="E175">
        <f>IFERROR(AVERAGEIFS('Draft Board'!$AC$2:$AC$162,'Draft Board'!$W$2:$W$162,A175),0)</f>
        <v>0</v>
      </c>
      <c r="F175">
        <f>MIN(1,E175/(Setup!$B$3*0.1))</f>
        <v>0</v>
      </c>
      <c r="G175">
        <f t="shared" si="4"/>
        <v>1</v>
      </c>
    </row>
    <row r="176" spans="1:7" x14ac:dyDescent="0.25">
      <c r="A176">
        <v>81</v>
      </c>
      <c r="B176">
        <f>SUMIFS('Draft Board'!$AD$2:$AD$162,'Draft Board'!$W$2:$W$162,A176,'Draft Board'!$AD$2:$AD$162,"&lt;&gt;")</f>
        <v>0</v>
      </c>
      <c r="C176">
        <f>SUMIFS('Draft Board'!$AC$2:$AC$162,'Draft Board'!$W$2:$W$162,A176,'Draft Board'!$AD$2:$AD$162,"&lt;&gt;")</f>
        <v>0</v>
      </c>
      <c r="D176">
        <f>COUNTIFS('Draft Board'!$W$2:$W$162,A176,'Draft Board'!$AD$2:$AD$162,"&lt;&gt;")</f>
        <v>0</v>
      </c>
      <c r="E176">
        <f>IFERROR(AVERAGEIFS('Draft Board'!$AC$2:$AC$162,'Draft Board'!$W$2:$W$162,A176),0)</f>
        <v>0</v>
      </c>
      <c r="F176">
        <f>MIN(1,E176/(Setup!$B$3*0.1))</f>
        <v>0</v>
      </c>
      <c r="G176">
        <f t="shared" si="4"/>
        <v>1</v>
      </c>
    </row>
    <row r="177" spans="1:7" x14ac:dyDescent="0.25">
      <c r="A177">
        <v>82</v>
      </c>
      <c r="B177">
        <f>SUMIFS('Draft Board'!$AD$2:$AD$162,'Draft Board'!$W$2:$W$162,A177,'Draft Board'!$AD$2:$AD$162,"&lt;&gt;")</f>
        <v>0</v>
      </c>
      <c r="C177">
        <f>SUMIFS('Draft Board'!$AC$2:$AC$162,'Draft Board'!$W$2:$W$162,A177,'Draft Board'!$AD$2:$AD$162,"&lt;&gt;")</f>
        <v>0</v>
      </c>
      <c r="D177">
        <f>COUNTIFS('Draft Board'!$W$2:$W$162,A177,'Draft Board'!$AD$2:$AD$162,"&lt;&gt;")</f>
        <v>0</v>
      </c>
      <c r="E177">
        <f>IFERROR(AVERAGEIFS('Draft Board'!$AC$2:$AC$162,'Draft Board'!$W$2:$W$162,A177),0)</f>
        <v>0</v>
      </c>
      <c r="F177">
        <f>MIN(1,E177/(Setup!$B$3*0.1))</f>
        <v>0</v>
      </c>
      <c r="G177">
        <f t="shared" si="4"/>
        <v>1</v>
      </c>
    </row>
    <row r="178" spans="1:7" x14ac:dyDescent="0.25">
      <c r="A178">
        <v>83</v>
      </c>
      <c r="B178">
        <f>SUMIFS('Draft Board'!$AD$2:$AD$162,'Draft Board'!$W$2:$W$162,A178,'Draft Board'!$AD$2:$AD$162,"&lt;&gt;")</f>
        <v>0</v>
      </c>
      <c r="C178">
        <f>SUMIFS('Draft Board'!$AC$2:$AC$162,'Draft Board'!$W$2:$W$162,A178,'Draft Board'!$AD$2:$AD$162,"&lt;&gt;")</f>
        <v>0</v>
      </c>
      <c r="D178">
        <f>COUNTIFS('Draft Board'!$W$2:$W$162,A178,'Draft Board'!$AD$2:$AD$162,"&lt;&gt;")</f>
        <v>0</v>
      </c>
      <c r="E178">
        <f>IFERROR(AVERAGEIFS('Draft Board'!$AC$2:$AC$162,'Draft Board'!$W$2:$W$162,A178),0)</f>
        <v>0</v>
      </c>
      <c r="F178">
        <f>MIN(1,E178/(Setup!$B$3*0.1))</f>
        <v>0</v>
      </c>
      <c r="G178">
        <f t="shared" si="4"/>
        <v>1</v>
      </c>
    </row>
    <row r="179" spans="1:7" x14ac:dyDescent="0.25">
      <c r="A179">
        <v>84</v>
      </c>
      <c r="B179">
        <f>SUMIFS('Draft Board'!$AD$2:$AD$162,'Draft Board'!$W$2:$W$162,A179,'Draft Board'!$AD$2:$AD$162,"&lt;&gt;")</f>
        <v>0</v>
      </c>
      <c r="C179">
        <f>SUMIFS('Draft Board'!$AC$2:$AC$162,'Draft Board'!$W$2:$W$162,A179,'Draft Board'!$AD$2:$AD$162,"&lt;&gt;")</f>
        <v>0</v>
      </c>
      <c r="D179">
        <f>COUNTIFS('Draft Board'!$W$2:$W$162,A179,'Draft Board'!$AD$2:$AD$162,"&lt;&gt;")</f>
        <v>0</v>
      </c>
      <c r="E179">
        <f>IFERROR(AVERAGEIFS('Draft Board'!$AC$2:$AC$162,'Draft Board'!$W$2:$W$162,A179),0)</f>
        <v>0</v>
      </c>
      <c r="F179">
        <f>MIN(1,E179/(Setup!$B$3*0.1))</f>
        <v>0</v>
      </c>
      <c r="G179">
        <f t="shared" si="4"/>
        <v>1</v>
      </c>
    </row>
    <row r="180" spans="1:7" x14ac:dyDescent="0.25">
      <c r="A180">
        <v>85</v>
      </c>
      <c r="B180">
        <f>SUMIFS('Draft Board'!$AD$2:$AD$162,'Draft Board'!$W$2:$W$162,A180,'Draft Board'!$AD$2:$AD$162,"&lt;&gt;")</f>
        <v>0</v>
      </c>
      <c r="C180">
        <f>SUMIFS('Draft Board'!$AC$2:$AC$162,'Draft Board'!$W$2:$W$162,A180,'Draft Board'!$AD$2:$AD$162,"&lt;&gt;")</f>
        <v>0</v>
      </c>
      <c r="D180">
        <f>COUNTIFS('Draft Board'!$W$2:$W$162,A180,'Draft Board'!$AD$2:$AD$162,"&lt;&gt;")</f>
        <v>0</v>
      </c>
      <c r="E180">
        <f>IFERROR(AVERAGEIFS('Draft Board'!$AC$2:$AC$162,'Draft Board'!$W$2:$W$162,A180),0)</f>
        <v>0</v>
      </c>
      <c r="F180">
        <f>MIN(1,E180/(Setup!$B$3*0.1))</f>
        <v>0</v>
      </c>
      <c r="G180">
        <f t="shared" si="4"/>
        <v>1</v>
      </c>
    </row>
    <row r="181" spans="1:7" x14ac:dyDescent="0.25">
      <c r="A181">
        <v>86</v>
      </c>
      <c r="B181">
        <f>SUMIFS('Draft Board'!$AD$2:$AD$162,'Draft Board'!$W$2:$W$162,A181,'Draft Board'!$AD$2:$AD$162,"&lt;&gt;")</f>
        <v>0</v>
      </c>
      <c r="C181">
        <f>SUMIFS('Draft Board'!$AC$2:$AC$162,'Draft Board'!$W$2:$W$162,A181,'Draft Board'!$AD$2:$AD$162,"&lt;&gt;")</f>
        <v>0</v>
      </c>
      <c r="D181">
        <f>COUNTIFS('Draft Board'!$W$2:$W$162,A181,'Draft Board'!$AD$2:$AD$162,"&lt;&gt;")</f>
        <v>0</v>
      </c>
      <c r="E181">
        <f>IFERROR(AVERAGEIFS('Draft Board'!$AC$2:$AC$162,'Draft Board'!$W$2:$W$162,A181),0)</f>
        <v>0</v>
      </c>
      <c r="F181">
        <f>MIN(1,E181/(Setup!$B$3*0.1))</f>
        <v>0</v>
      </c>
      <c r="G181">
        <f t="shared" si="4"/>
        <v>1</v>
      </c>
    </row>
    <row r="182" spans="1:7" x14ac:dyDescent="0.25">
      <c r="A182">
        <v>87</v>
      </c>
      <c r="B182">
        <f>SUMIFS('Draft Board'!$AD$2:$AD$162,'Draft Board'!$W$2:$W$162,A182,'Draft Board'!$AD$2:$AD$162,"&lt;&gt;")</f>
        <v>0</v>
      </c>
      <c r="C182">
        <f>SUMIFS('Draft Board'!$AC$2:$AC$162,'Draft Board'!$W$2:$W$162,A182,'Draft Board'!$AD$2:$AD$162,"&lt;&gt;")</f>
        <v>0</v>
      </c>
      <c r="D182">
        <f>COUNTIFS('Draft Board'!$W$2:$W$162,A182,'Draft Board'!$AD$2:$AD$162,"&lt;&gt;")</f>
        <v>0</v>
      </c>
      <c r="E182">
        <f>IFERROR(AVERAGEIFS('Draft Board'!$AC$2:$AC$162,'Draft Board'!$W$2:$W$162,A182),0)</f>
        <v>0</v>
      </c>
      <c r="F182">
        <f>MIN(1,E182/(Setup!$B$3*0.1))</f>
        <v>0</v>
      </c>
      <c r="G182">
        <f t="shared" si="4"/>
        <v>1</v>
      </c>
    </row>
    <row r="183" spans="1:7" x14ac:dyDescent="0.25">
      <c r="A183">
        <v>88</v>
      </c>
      <c r="B183">
        <f>SUMIFS('Draft Board'!$AD$2:$AD$162,'Draft Board'!$W$2:$W$162,A183,'Draft Board'!$AD$2:$AD$162,"&lt;&gt;")</f>
        <v>0</v>
      </c>
      <c r="C183">
        <f>SUMIFS('Draft Board'!$AC$2:$AC$162,'Draft Board'!$W$2:$W$162,A183,'Draft Board'!$AD$2:$AD$162,"&lt;&gt;")</f>
        <v>0</v>
      </c>
      <c r="D183">
        <f>COUNTIFS('Draft Board'!$W$2:$W$162,A183,'Draft Board'!$AD$2:$AD$162,"&lt;&gt;")</f>
        <v>0</v>
      </c>
      <c r="E183">
        <f>IFERROR(AVERAGEIFS('Draft Board'!$AC$2:$AC$162,'Draft Board'!$W$2:$W$162,A183),0)</f>
        <v>0</v>
      </c>
      <c r="F183">
        <f>MIN(1,E183/(Setup!$B$3*0.1))</f>
        <v>0</v>
      </c>
      <c r="G183">
        <f t="shared" si="4"/>
        <v>1</v>
      </c>
    </row>
    <row r="184" spans="1:7" x14ac:dyDescent="0.25">
      <c r="A184">
        <v>89</v>
      </c>
      <c r="B184">
        <f>SUMIFS('Draft Board'!$AD$2:$AD$162,'Draft Board'!$W$2:$W$162,A184,'Draft Board'!$AD$2:$AD$162,"&lt;&gt;")</f>
        <v>0</v>
      </c>
      <c r="C184">
        <f>SUMIFS('Draft Board'!$AC$2:$AC$162,'Draft Board'!$W$2:$W$162,A184,'Draft Board'!$AD$2:$AD$162,"&lt;&gt;")</f>
        <v>0</v>
      </c>
      <c r="D184">
        <f>COUNTIFS('Draft Board'!$W$2:$W$162,A184,'Draft Board'!$AD$2:$AD$162,"&lt;&gt;")</f>
        <v>0</v>
      </c>
      <c r="E184">
        <f>IFERROR(AVERAGEIFS('Draft Board'!$AC$2:$AC$162,'Draft Board'!$W$2:$W$162,A184),0)</f>
        <v>0</v>
      </c>
      <c r="F184">
        <f>MIN(1,E184/(Setup!$B$3*0.1))</f>
        <v>0</v>
      </c>
      <c r="G184">
        <f t="shared" si="4"/>
        <v>1</v>
      </c>
    </row>
    <row r="185" spans="1:7" x14ac:dyDescent="0.25">
      <c r="A185">
        <v>90</v>
      </c>
      <c r="B185">
        <f>SUMIFS('Draft Board'!$AD$2:$AD$162,'Draft Board'!$W$2:$W$162,A185,'Draft Board'!$AD$2:$AD$162,"&lt;&gt;")</f>
        <v>0</v>
      </c>
      <c r="C185">
        <f>SUMIFS('Draft Board'!$AC$2:$AC$162,'Draft Board'!$W$2:$W$162,A185,'Draft Board'!$AD$2:$AD$162,"&lt;&gt;")</f>
        <v>0</v>
      </c>
      <c r="D185">
        <f>COUNTIFS('Draft Board'!$W$2:$W$162,A185,'Draft Board'!$AD$2:$AD$162,"&lt;&gt;")</f>
        <v>0</v>
      </c>
      <c r="E185">
        <f>IFERROR(AVERAGEIFS('Draft Board'!$AC$2:$AC$162,'Draft Board'!$W$2:$W$162,A185),0)</f>
        <v>0</v>
      </c>
      <c r="F185">
        <f>MIN(1,E185/(Setup!$B$3*0.1))</f>
        <v>0</v>
      </c>
      <c r="G185">
        <f t="shared" si="4"/>
        <v>1</v>
      </c>
    </row>
    <row r="186" spans="1:7" x14ac:dyDescent="0.25">
      <c r="A186">
        <v>91</v>
      </c>
      <c r="B186">
        <f>SUMIFS('Draft Board'!$AD$2:$AD$162,'Draft Board'!$W$2:$W$162,A186,'Draft Board'!$AD$2:$AD$162,"&lt;&gt;")</f>
        <v>0</v>
      </c>
      <c r="C186">
        <f>SUMIFS('Draft Board'!$AC$2:$AC$162,'Draft Board'!$W$2:$W$162,A186,'Draft Board'!$AD$2:$AD$162,"&lt;&gt;")</f>
        <v>0</v>
      </c>
      <c r="D186">
        <f>COUNTIFS('Draft Board'!$W$2:$W$162,A186,'Draft Board'!$AD$2:$AD$162,"&lt;&gt;")</f>
        <v>0</v>
      </c>
      <c r="E186">
        <f>IFERROR(AVERAGEIFS('Draft Board'!$AC$2:$AC$162,'Draft Board'!$W$2:$W$162,A186),0)</f>
        <v>0</v>
      </c>
      <c r="F186">
        <f>MIN(1,E186/(Setup!$B$3*0.1))</f>
        <v>0</v>
      </c>
      <c r="G186">
        <f t="shared" si="4"/>
        <v>1</v>
      </c>
    </row>
    <row r="187" spans="1:7" x14ac:dyDescent="0.25">
      <c r="A187">
        <v>92</v>
      </c>
      <c r="B187">
        <f>SUMIFS('Draft Board'!$AD$2:$AD$162,'Draft Board'!$W$2:$W$162,A187,'Draft Board'!$AD$2:$AD$162,"&lt;&gt;")</f>
        <v>0</v>
      </c>
      <c r="C187">
        <f>SUMIFS('Draft Board'!$AC$2:$AC$162,'Draft Board'!$W$2:$W$162,A187,'Draft Board'!$AD$2:$AD$162,"&lt;&gt;")</f>
        <v>0</v>
      </c>
      <c r="D187">
        <f>COUNTIFS('Draft Board'!$W$2:$W$162,A187,'Draft Board'!$AD$2:$AD$162,"&lt;&gt;")</f>
        <v>0</v>
      </c>
      <c r="E187">
        <f>IFERROR(AVERAGEIFS('Draft Board'!$AC$2:$AC$162,'Draft Board'!$W$2:$W$162,A187),0)</f>
        <v>0</v>
      </c>
      <c r="F187">
        <f>MIN(1,E187/(Setup!$B$3*0.1))</f>
        <v>0</v>
      </c>
      <c r="G187">
        <f t="shared" si="4"/>
        <v>1</v>
      </c>
    </row>
    <row r="188" spans="1:7" x14ac:dyDescent="0.25">
      <c r="A188">
        <v>93</v>
      </c>
      <c r="B188">
        <f>SUMIFS('Draft Board'!$AD$2:$AD$162,'Draft Board'!$W$2:$W$162,A188,'Draft Board'!$AD$2:$AD$162,"&lt;&gt;")</f>
        <v>0</v>
      </c>
      <c r="C188">
        <f>SUMIFS('Draft Board'!$AC$2:$AC$162,'Draft Board'!$W$2:$W$162,A188,'Draft Board'!$AD$2:$AD$162,"&lt;&gt;")</f>
        <v>0</v>
      </c>
      <c r="D188">
        <f>COUNTIFS('Draft Board'!$W$2:$W$162,A188,'Draft Board'!$AD$2:$AD$162,"&lt;&gt;")</f>
        <v>0</v>
      </c>
      <c r="E188">
        <f>IFERROR(AVERAGEIFS('Draft Board'!$AC$2:$AC$162,'Draft Board'!$W$2:$W$162,A188),0)</f>
        <v>0</v>
      </c>
      <c r="F188">
        <f>MIN(1,E188/(Setup!$B$3*0.1))</f>
        <v>0</v>
      </c>
      <c r="G188">
        <f t="shared" si="4"/>
        <v>1</v>
      </c>
    </row>
    <row r="189" spans="1:7" x14ac:dyDescent="0.25">
      <c r="A189">
        <v>94</v>
      </c>
      <c r="B189">
        <f>SUMIFS('Draft Board'!$AD$2:$AD$162,'Draft Board'!$W$2:$W$162,A189,'Draft Board'!$AD$2:$AD$162,"&lt;&gt;")</f>
        <v>0</v>
      </c>
      <c r="C189">
        <f>SUMIFS('Draft Board'!$AC$2:$AC$162,'Draft Board'!$W$2:$W$162,A189,'Draft Board'!$AD$2:$AD$162,"&lt;&gt;")</f>
        <v>0</v>
      </c>
      <c r="D189">
        <f>COUNTIFS('Draft Board'!$W$2:$W$162,A189,'Draft Board'!$AD$2:$AD$162,"&lt;&gt;")</f>
        <v>0</v>
      </c>
      <c r="E189">
        <f>IFERROR(AVERAGEIFS('Draft Board'!$AC$2:$AC$162,'Draft Board'!$W$2:$W$162,A189),0)</f>
        <v>0</v>
      </c>
      <c r="F189">
        <f>MIN(1,E189/(Setup!$B$3*0.1))</f>
        <v>0</v>
      </c>
      <c r="G189">
        <f t="shared" si="4"/>
        <v>1</v>
      </c>
    </row>
    <row r="190" spans="1:7" x14ac:dyDescent="0.25">
      <c r="A190">
        <v>95</v>
      </c>
      <c r="B190">
        <f>SUMIFS('Draft Board'!$AD$2:$AD$162,'Draft Board'!$W$2:$W$162,A190,'Draft Board'!$AD$2:$AD$162,"&lt;&gt;")</f>
        <v>0</v>
      </c>
      <c r="C190">
        <f>SUMIFS('Draft Board'!$AC$2:$AC$162,'Draft Board'!$W$2:$W$162,A190,'Draft Board'!$AD$2:$AD$162,"&lt;&gt;")</f>
        <v>0</v>
      </c>
      <c r="D190">
        <f>COUNTIFS('Draft Board'!$W$2:$W$162,A190,'Draft Board'!$AD$2:$AD$162,"&lt;&gt;")</f>
        <v>0</v>
      </c>
      <c r="E190">
        <f>IFERROR(AVERAGEIFS('Draft Board'!$AC$2:$AC$162,'Draft Board'!$W$2:$W$162,A190),0)</f>
        <v>0</v>
      </c>
      <c r="F190">
        <f>MIN(1,E190/(Setup!$B$3*0.1))</f>
        <v>0</v>
      </c>
      <c r="G190">
        <f t="shared" si="4"/>
        <v>1</v>
      </c>
    </row>
    <row r="191" spans="1:7" x14ac:dyDescent="0.25">
      <c r="A191">
        <v>96</v>
      </c>
      <c r="B191">
        <f>SUMIFS('Draft Board'!$AD$2:$AD$162,'Draft Board'!$W$2:$W$162,A191,'Draft Board'!$AD$2:$AD$162,"&lt;&gt;")</f>
        <v>0</v>
      </c>
      <c r="C191">
        <f>SUMIFS('Draft Board'!$AC$2:$AC$162,'Draft Board'!$W$2:$W$162,A191,'Draft Board'!$AD$2:$AD$162,"&lt;&gt;")</f>
        <v>0</v>
      </c>
      <c r="D191">
        <f>COUNTIFS('Draft Board'!$W$2:$W$162,A191,'Draft Board'!$AD$2:$AD$162,"&lt;&gt;")</f>
        <v>0</v>
      </c>
      <c r="E191">
        <f>IFERROR(AVERAGEIFS('Draft Board'!$AC$2:$AC$162,'Draft Board'!$W$2:$W$162,A191),0)</f>
        <v>0</v>
      </c>
      <c r="F191">
        <f>MIN(1,E191/(Setup!$B$3*0.1))</f>
        <v>0</v>
      </c>
      <c r="G191">
        <f t="shared" si="4"/>
        <v>1</v>
      </c>
    </row>
    <row r="192" spans="1:7" x14ac:dyDescent="0.25">
      <c r="A192">
        <v>97</v>
      </c>
      <c r="B192">
        <f>SUMIFS('Draft Board'!$AD$2:$AD$162,'Draft Board'!$W$2:$W$162,A192,'Draft Board'!$AD$2:$AD$162,"&lt;&gt;")</f>
        <v>0</v>
      </c>
      <c r="C192">
        <f>SUMIFS('Draft Board'!$AC$2:$AC$162,'Draft Board'!$W$2:$W$162,A192,'Draft Board'!$AD$2:$AD$162,"&lt;&gt;")</f>
        <v>0</v>
      </c>
      <c r="D192">
        <f>COUNTIFS('Draft Board'!$W$2:$W$162,A192,'Draft Board'!$AD$2:$AD$162,"&lt;&gt;")</f>
        <v>0</v>
      </c>
      <c r="E192">
        <f>IFERROR(AVERAGEIFS('Draft Board'!$AC$2:$AC$162,'Draft Board'!$W$2:$W$162,A192),0)</f>
        <v>0</v>
      </c>
      <c r="F192">
        <f>MIN(1,E192/(Setup!$B$3*0.1))</f>
        <v>0</v>
      </c>
      <c r="G192">
        <f t="shared" ref="G192:G223" si="5">IF(D192&lt;2,1,MEDIAN(0.5,2,1+(IFERROR(B192/C192,1)-1)*F192))</f>
        <v>1</v>
      </c>
    </row>
    <row r="193" spans="1:7" x14ac:dyDescent="0.25">
      <c r="A193">
        <v>98</v>
      </c>
      <c r="B193">
        <f>SUMIFS('Draft Board'!$AD$2:$AD$162,'Draft Board'!$W$2:$W$162,A193,'Draft Board'!$AD$2:$AD$162,"&lt;&gt;")</f>
        <v>0</v>
      </c>
      <c r="C193">
        <f>SUMIFS('Draft Board'!$AC$2:$AC$162,'Draft Board'!$W$2:$W$162,A193,'Draft Board'!$AD$2:$AD$162,"&lt;&gt;")</f>
        <v>0</v>
      </c>
      <c r="D193">
        <f>COUNTIFS('Draft Board'!$W$2:$W$162,A193,'Draft Board'!$AD$2:$AD$162,"&lt;&gt;")</f>
        <v>0</v>
      </c>
      <c r="E193">
        <f>IFERROR(AVERAGEIFS('Draft Board'!$AC$2:$AC$162,'Draft Board'!$W$2:$W$162,A193),0)</f>
        <v>0</v>
      </c>
      <c r="F193">
        <f>MIN(1,E193/(Setup!$B$3*0.1))</f>
        <v>0</v>
      </c>
      <c r="G193">
        <f t="shared" si="5"/>
        <v>1</v>
      </c>
    </row>
    <row r="194" spans="1:7" x14ac:dyDescent="0.25">
      <c r="A194">
        <v>99</v>
      </c>
      <c r="B194">
        <f>SUMIFS('Draft Board'!$AD$2:$AD$162,'Draft Board'!$W$2:$W$162,A194,'Draft Board'!$AD$2:$AD$162,"&lt;&gt;")</f>
        <v>0</v>
      </c>
      <c r="C194">
        <f>SUMIFS('Draft Board'!$AC$2:$AC$162,'Draft Board'!$W$2:$W$162,A194,'Draft Board'!$AD$2:$AD$162,"&lt;&gt;")</f>
        <v>0</v>
      </c>
      <c r="D194">
        <f>COUNTIFS('Draft Board'!$W$2:$W$162,A194,'Draft Board'!$AD$2:$AD$162,"&lt;&gt;")</f>
        <v>0</v>
      </c>
      <c r="E194">
        <f>IFERROR(AVERAGEIFS('Draft Board'!$AC$2:$AC$162,'Draft Board'!$W$2:$W$162,A194),0)</f>
        <v>0</v>
      </c>
      <c r="F194">
        <f>MIN(1,E194/(Setup!$B$3*0.1))</f>
        <v>0</v>
      </c>
      <c r="G194">
        <f t="shared" si="5"/>
        <v>1</v>
      </c>
    </row>
    <row r="195" spans="1:7" x14ac:dyDescent="0.25">
      <c r="A195">
        <v>100</v>
      </c>
      <c r="B195">
        <f>SUMIFS('Draft Board'!$AD$2:$AD$162,'Draft Board'!$W$2:$W$162,A195,'Draft Board'!$AD$2:$AD$162,"&lt;&gt;")</f>
        <v>0</v>
      </c>
      <c r="C195">
        <f>SUMIFS('Draft Board'!$AC$2:$AC$162,'Draft Board'!$W$2:$W$162,A195,'Draft Board'!$AD$2:$AD$162,"&lt;&gt;")</f>
        <v>0</v>
      </c>
      <c r="D195">
        <f>COUNTIFS('Draft Board'!$W$2:$W$162,A195,'Draft Board'!$AD$2:$AD$162,"&lt;&gt;")</f>
        <v>0</v>
      </c>
      <c r="E195">
        <f>IFERROR(AVERAGEIFS('Draft Board'!$AC$2:$AC$162,'Draft Board'!$W$2:$W$162,A195),0)</f>
        <v>0</v>
      </c>
      <c r="F195">
        <f>MIN(1,E195/(Setup!$B$3*0.1))</f>
        <v>0</v>
      </c>
      <c r="G195">
        <f t="shared" si="5"/>
        <v>1</v>
      </c>
    </row>
    <row r="196" spans="1:7" x14ac:dyDescent="0.25">
      <c r="A196">
        <v>101</v>
      </c>
      <c r="B196">
        <f>SUMIFS('Draft Board'!$AD$2:$AD$162,'Draft Board'!$W$2:$W$162,A196,'Draft Board'!$AD$2:$AD$162,"&lt;&gt;")</f>
        <v>0</v>
      </c>
      <c r="C196">
        <f>SUMIFS('Draft Board'!$AC$2:$AC$162,'Draft Board'!$W$2:$W$162,A196,'Draft Board'!$AD$2:$AD$162,"&lt;&gt;")</f>
        <v>0</v>
      </c>
      <c r="D196">
        <f>COUNTIFS('Draft Board'!$W$2:$W$162,A196,'Draft Board'!$AD$2:$AD$162,"&lt;&gt;")</f>
        <v>0</v>
      </c>
      <c r="E196">
        <f>IFERROR(AVERAGEIFS('Draft Board'!$AC$2:$AC$162,'Draft Board'!$W$2:$W$162,A196),0)</f>
        <v>0</v>
      </c>
      <c r="F196">
        <f>MIN(1,E196/(Setup!$B$3*0.1))</f>
        <v>0</v>
      </c>
      <c r="G196">
        <f t="shared" si="5"/>
        <v>1</v>
      </c>
    </row>
    <row r="197" spans="1:7" x14ac:dyDescent="0.25">
      <c r="A197">
        <v>102</v>
      </c>
      <c r="B197">
        <f>SUMIFS('Draft Board'!$AD$2:$AD$162,'Draft Board'!$W$2:$W$162,A197,'Draft Board'!$AD$2:$AD$162,"&lt;&gt;")</f>
        <v>0</v>
      </c>
      <c r="C197">
        <f>SUMIFS('Draft Board'!$AC$2:$AC$162,'Draft Board'!$W$2:$W$162,A197,'Draft Board'!$AD$2:$AD$162,"&lt;&gt;")</f>
        <v>0</v>
      </c>
      <c r="D197">
        <f>COUNTIFS('Draft Board'!$W$2:$W$162,A197,'Draft Board'!$AD$2:$AD$162,"&lt;&gt;")</f>
        <v>0</v>
      </c>
      <c r="E197">
        <f>IFERROR(AVERAGEIFS('Draft Board'!$AC$2:$AC$162,'Draft Board'!$W$2:$W$162,A197),0)</f>
        <v>0</v>
      </c>
      <c r="F197">
        <f>MIN(1,E197/(Setup!$B$3*0.1))</f>
        <v>0</v>
      </c>
      <c r="G197">
        <f t="shared" si="5"/>
        <v>1</v>
      </c>
    </row>
    <row r="198" spans="1:7" x14ac:dyDescent="0.25">
      <c r="A198">
        <v>103</v>
      </c>
      <c r="B198">
        <f>SUMIFS('Draft Board'!$AD$2:$AD$162,'Draft Board'!$W$2:$W$162,A198,'Draft Board'!$AD$2:$AD$162,"&lt;&gt;")</f>
        <v>0</v>
      </c>
      <c r="C198">
        <f>SUMIFS('Draft Board'!$AC$2:$AC$162,'Draft Board'!$W$2:$W$162,A198,'Draft Board'!$AD$2:$AD$162,"&lt;&gt;")</f>
        <v>0</v>
      </c>
      <c r="D198">
        <f>COUNTIFS('Draft Board'!$W$2:$W$162,A198,'Draft Board'!$AD$2:$AD$162,"&lt;&gt;")</f>
        <v>0</v>
      </c>
      <c r="E198">
        <f>IFERROR(AVERAGEIFS('Draft Board'!$AC$2:$AC$162,'Draft Board'!$W$2:$W$162,A198),0)</f>
        <v>0</v>
      </c>
      <c r="F198">
        <f>MIN(1,E198/(Setup!$B$3*0.1))</f>
        <v>0</v>
      </c>
      <c r="G198">
        <f t="shared" si="5"/>
        <v>1</v>
      </c>
    </row>
    <row r="199" spans="1:7" x14ac:dyDescent="0.25">
      <c r="A199">
        <v>104</v>
      </c>
      <c r="B199">
        <f>SUMIFS('Draft Board'!$AD$2:$AD$162,'Draft Board'!$W$2:$W$162,A199,'Draft Board'!$AD$2:$AD$162,"&lt;&gt;")</f>
        <v>0</v>
      </c>
      <c r="C199">
        <f>SUMIFS('Draft Board'!$AC$2:$AC$162,'Draft Board'!$W$2:$W$162,A199,'Draft Board'!$AD$2:$AD$162,"&lt;&gt;")</f>
        <v>0</v>
      </c>
      <c r="D199">
        <f>COUNTIFS('Draft Board'!$W$2:$W$162,A199,'Draft Board'!$AD$2:$AD$162,"&lt;&gt;")</f>
        <v>0</v>
      </c>
      <c r="E199">
        <f>IFERROR(AVERAGEIFS('Draft Board'!$AC$2:$AC$162,'Draft Board'!$W$2:$W$162,A199),0)</f>
        <v>0</v>
      </c>
      <c r="F199">
        <f>MIN(1,E199/(Setup!$B$3*0.1))</f>
        <v>0</v>
      </c>
      <c r="G199">
        <f t="shared" si="5"/>
        <v>1</v>
      </c>
    </row>
    <row r="200" spans="1:7" x14ac:dyDescent="0.25">
      <c r="A200">
        <v>105</v>
      </c>
      <c r="B200">
        <f>SUMIFS('Draft Board'!$AD$2:$AD$162,'Draft Board'!$W$2:$W$162,A200,'Draft Board'!$AD$2:$AD$162,"&lt;&gt;")</f>
        <v>0</v>
      </c>
      <c r="C200">
        <f>SUMIFS('Draft Board'!$AC$2:$AC$162,'Draft Board'!$W$2:$W$162,A200,'Draft Board'!$AD$2:$AD$162,"&lt;&gt;")</f>
        <v>0</v>
      </c>
      <c r="D200">
        <f>COUNTIFS('Draft Board'!$W$2:$W$162,A200,'Draft Board'!$AD$2:$AD$162,"&lt;&gt;")</f>
        <v>0</v>
      </c>
      <c r="E200">
        <f>IFERROR(AVERAGEIFS('Draft Board'!$AC$2:$AC$162,'Draft Board'!$W$2:$W$162,A200),0)</f>
        <v>0</v>
      </c>
      <c r="F200">
        <f>MIN(1,E200/(Setup!$B$3*0.1))</f>
        <v>0</v>
      </c>
      <c r="G200">
        <f t="shared" si="5"/>
        <v>1</v>
      </c>
    </row>
    <row r="201" spans="1:7" x14ac:dyDescent="0.25">
      <c r="A201">
        <v>106</v>
      </c>
      <c r="B201">
        <f>SUMIFS('Draft Board'!$AD$2:$AD$162,'Draft Board'!$W$2:$W$162,A201,'Draft Board'!$AD$2:$AD$162,"&lt;&gt;")</f>
        <v>0</v>
      </c>
      <c r="C201">
        <f>SUMIFS('Draft Board'!$AC$2:$AC$162,'Draft Board'!$W$2:$W$162,A201,'Draft Board'!$AD$2:$AD$162,"&lt;&gt;")</f>
        <v>0</v>
      </c>
      <c r="D201">
        <f>COUNTIFS('Draft Board'!$W$2:$W$162,A201,'Draft Board'!$AD$2:$AD$162,"&lt;&gt;")</f>
        <v>0</v>
      </c>
      <c r="E201">
        <f>IFERROR(AVERAGEIFS('Draft Board'!$AC$2:$AC$162,'Draft Board'!$W$2:$W$162,A201),0)</f>
        <v>0</v>
      </c>
      <c r="F201">
        <f>MIN(1,E201/(Setup!$B$3*0.1))</f>
        <v>0</v>
      </c>
      <c r="G201">
        <f t="shared" si="5"/>
        <v>1</v>
      </c>
    </row>
    <row r="202" spans="1:7" x14ac:dyDescent="0.25">
      <c r="A202">
        <v>107</v>
      </c>
      <c r="B202">
        <f>SUMIFS('Draft Board'!$AD$2:$AD$162,'Draft Board'!$W$2:$W$162,A202,'Draft Board'!$AD$2:$AD$162,"&lt;&gt;")</f>
        <v>0</v>
      </c>
      <c r="C202">
        <f>SUMIFS('Draft Board'!$AC$2:$AC$162,'Draft Board'!$W$2:$W$162,A202,'Draft Board'!$AD$2:$AD$162,"&lt;&gt;")</f>
        <v>0</v>
      </c>
      <c r="D202">
        <f>COUNTIFS('Draft Board'!$W$2:$W$162,A202,'Draft Board'!$AD$2:$AD$162,"&lt;&gt;")</f>
        <v>0</v>
      </c>
      <c r="E202">
        <f>IFERROR(AVERAGEIFS('Draft Board'!$AC$2:$AC$162,'Draft Board'!$W$2:$W$162,A202),0)</f>
        <v>0</v>
      </c>
      <c r="F202">
        <f>MIN(1,E202/(Setup!$B$3*0.1))</f>
        <v>0</v>
      </c>
      <c r="G202">
        <f t="shared" si="5"/>
        <v>1</v>
      </c>
    </row>
    <row r="203" spans="1:7" x14ac:dyDescent="0.25">
      <c r="A203">
        <v>108</v>
      </c>
      <c r="B203">
        <f>SUMIFS('Draft Board'!$AD$2:$AD$162,'Draft Board'!$W$2:$W$162,A203,'Draft Board'!$AD$2:$AD$162,"&lt;&gt;")</f>
        <v>0</v>
      </c>
      <c r="C203">
        <f>SUMIFS('Draft Board'!$AC$2:$AC$162,'Draft Board'!$W$2:$W$162,A203,'Draft Board'!$AD$2:$AD$162,"&lt;&gt;")</f>
        <v>0</v>
      </c>
      <c r="D203">
        <f>COUNTIFS('Draft Board'!$W$2:$W$162,A203,'Draft Board'!$AD$2:$AD$162,"&lt;&gt;")</f>
        <v>0</v>
      </c>
      <c r="E203">
        <f>IFERROR(AVERAGEIFS('Draft Board'!$AC$2:$AC$162,'Draft Board'!$W$2:$W$162,A203),0)</f>
        <v>0</v>
      </c>
      <c r="F203">
        <f>MIN(1,E203/(Setup!$B$3*0.1))</f>
        <v>0</v>
      </c>
      <c r="G203">
        <f t="shared" si="5"/>
        <v>1</v>
      </c>
    </row>
    <row r="204" spans="1:7" x14ac:dyDescent="0.25">
      <c r="A204">
        <v>109</v>
      </c>
      <c r="B204">
        <f>SUMIFS('Draft Board'!$AD$2:$AD$162,'Draft Board'!$W$2:$W$162,A204,'Draft Board'!$AD$2:$AD$162,"&lt;&gt;")</f>
        <v>0</v>
      </c>
      <c r="C204">
        <f>SUMIFS('Draft Board'!$AC$2:$AC$162,'Draft Board'!$W$2:$W$162,A204,'Draft Board'!$AD$2:$AD$162,"&lt;&gt;")</f>
        <v>0</v>
      </c>
      <c r="D204">
        <f>COUNTIFS('Draft Board'!$W$2:$W$162,A204,'Draft Board'!$AD$2:$AD$162,"&lt;&gt;")</f>
        <v>0</v>
      </c>
      <c r="E204">
        <f>IFERROR(AVERAGEIFS('Draft Board'!$AC$2:$AC$162,'Draft Board'!$W$2:$W$162,A204),0)</f>
        <v>0</v>
      </c>
      <c r="F204">
        <f>MIN(1,E204/(Setup!$B$3*0.1))</f>
        <v>0</v>
      </c>
      <c r="G204">
        <f t="shared" si="5"/>
        <v>1</v>
      </c>
    </row>
    <row r="205" spans="1:7" x14ac:dyDescent="0.25">
      <c r="A205">
        <v>110</v>
      </c>
      <c r="B205">
        <f>SUMIFS('Draft Board'!$AD$2:$AD$162,'Draft Board'!$W$2:$W$162,A205,'Draft Board'!$AD$2:$AD$162,"&lt;&gt;")</f>
        <v>0</v>
      </c>
      <c r="C205">
        <f>SUMIFS('Draft Board'!$AC$2:$AC$162,'Draft Board'!$W$2:$W$162,A205,'Draft Board'!$AD$2:$AD$162,"&lt;&gt;")</f>
        <v>0</v>
      </c>
      <c r="D205">
        <f>COUNTIFS('Draft Board'!$W$2:$W$162,A205,'Draft Board'!$AD$2:$AD$162,"&lt;&gt;")</f>
        <v>0</v>
      </c>
      <c r="E205">
        <f>IFERROR(AVERAGEIFS('Draft Board'!$AC$2:$AC$162,'Draft Board'!$W$2:$W$162,A205),0)</f>
        <v>0</v>
      </c>
      <c r="F205">
        <f>MIN(1,E205/(Setup!$B$3*0.1))</f>
        <v>0</v>
      </c>
      <c r="G205">
        <f t="shared" si="5"/>
        <v>1</v>
      </c>
    </row>
    <row r="206" spans="1:7" x14ac:dyDescent="0.25">
      <c r="A206">
        <v>111</v>
      </c>
      <c r="B206">
        <f>SUMIFS('Draft Board'!$AD$2:$AD$162,'Draft Board'!$W$2:$W$162,A206,'Draft Board'!$AD$2:$AD$162,"&lt;&gt;")</f>
        <v>0</v>
      </c>
      <c r="C206">
        <f>SUMIFS('Draft Board'!$AC$2:$AC$162,'Draft Board'!$W$2:$W$162,A206,'Draft Board'!$AD$2:$AD$162,"&lt;&gt;")</f>
        <v>0</v>
      </c>
      <c r="D206">
        <f>COUNTIFS('Draft Board'!$W$2:$W$162,A206,'Draft Board'!$AD$2:$AD$162,"&lt;&gt;")</f>
        <v>0</v>
      </c>
      <c r="E206">
        <f>IFERROR(AVERAGEIFS('Draft Board'!$AC$2:$AC$162,'Draft Board'!$W$2:$W$162,A206),0)</f>
        <v>0</v>
      </c>
      <c r="F206">
        <f>MIN(1,E206/(Setup!$B$3*0.1))</f>
        <v>0</v>
      </c>
      <c r="G206">
        <f t="shared" si="5"/>
        <v>1</v>
      </c>
    </row>
    <row r="207" spans="1:7" x14ac:dyDescent="0.25">
      <c r="A207">
        <v>112</v>
      </c>
      <c r="B207">
        <f>SUMIFS('Draft Board'!$AD$2:$AD$162,'Draft Board'!$W$2:$W$162,A207,'Draft Board'!$AD$2:$AD$162,"&lt;&gt;")</f>
        <v>0</v>
      </c>
      <c r="C207">
        <f>SUMIFS('Draft Board'!$AC$2:$AC$162,'Draft Board'!$W$2:$W$162,A207,'Draft Board'!$AD$2:$AD$162,"&lt;&gt;")</f>
        <v>0</v>
      </c>
      <c r="D207">
        <f>COUNTIFS('Draft Board'!$W$2:$W$162,A207,'Draft Board'!$AD$2:$AD$162,"&lt;&gt;")</f>
        <v>0</v>
      </c>
      <c r="E207">
        <f>IFERROR(AVERAGEIFS('Draft Board'!$AC$2:$AC$162,'Draft Board'!$W$2:$W$162,A207),0)</f>
        <v>0</v>
      </c>
      <c r="F207">
        <f>MIN(1,E207/(Setup!$B$3*0.1))</f>
        <v>0</v>
      </c>
      <c r="G207">
        <f t="shared" si="5"/>
        <v>1</v>
      </c>
    </row>
    <row r="208" spans="1:7" x14ac:dyDescent="0.25">
      <c r="A208">
        <v>113</v>
      </c>
      <c r="B208">
        <f>SUMIFS('Draft Board'!$AD$2:$AD$162,'Draft Board'!$W$2:$W$162,A208,'Draft Board'!$AD$2:$AD$162,"&lt;&gt;")</f>
        <v>0</v>
      </c>
      <c r="C208">
        <f>SUMIFS('Draft Board'!$AC$2:$AC$162,'Draft Board'!$W$2:$W$162,A208,'Draft Board'!$AD$2:$AD$162,"&lt;&gt;")</f>
        <v>0</v>
      </c>
      <c r="D208">
        <f>COUNTIFS('Draft Board'!$W$2:$W$162,A208,'Draft Board'!$AD$2:$AD$162,"&lt;&gt;")</f>
        <v>0</v>
      </c>
      <c r="E208">
        <f>IFERROR(AVERAGEIFS('Draft Board'!$AC$2:$AC$162,'Draft Board'!$W$2:$W$162,A208),0)</f>
        <v>0</v>
      </c>
      <c r="F208">
        <f>MIN(1,E208/(Setup!$B$3*0.1))</f>
        <v>0</v>
      </c>
      <c r="G208">
        <f t="shared" si="5"/>
        <v>1</v>
      </c>
    </row>
    <row r="209" spans="1:7" x14ac:dyDescent="0.25">
      <c r="A209">
        <v>114</v>
      </c>
      <c r="B209">
        <f>SUMIFS('Draft Board'!$AD$2:$AD$162,'Draft Board'!$W$2:$W$162,A209,'Draft Board'!$AD$2:$AD$162,"&lt;&gt;")</f>
        <v>0</v>
      </c>
      <c r="C209">
        <f>SUMIFS('Draft Board'!$AC$2:$AC$162,'Draft Board'!$W$2:$W$162,A209,'Draft Board'!$AD$2:$AD$162,"&lt;&gt;")</f>
        <v>0</v>
      </c>
      <c r="D209">
        <f>COUNTIFS('Draft Board'!$W$2:$W$162,A209,'Draft Board'!$AD$2:$AD$162,"&lt;&gt;")</f>
        <v>0</v>
      </c>
      <c r="E209">
        <f>IFERROR(AVERAGEIFS('Draft Board'!$AC$2:$AC$162,'Draft Board'!$W$2:$W$162,A209),0)</f>
        <v>0</v>
      </c>
      <c r="F209">
        <f>MIN(1,E209/(Setup!$B$3*0.1))</f>
        <v>0</v>
      </c>
      <c r="G209">
        <f t="shared" si="5"/>
        <v>1</v>
      </c>
    </row>
    <row r="210" spans="1:7" x14ac:dyDescent="0.25">
      <c r="A210">
        <v>115</v>
      </c>
      <c r="B210">
        <f>SUMIFS('Draft Board'!$AD$2:$AD$162,'Draft Board'!$W$2:$W$162,A210,'Draft Board'!$AD$2:$AD$162,"&lt;&gt;")</f>
        <v>0</v>
      </c>
      <c r="C210">
        <f>SUMIFS('Draft Board'!$AC$2:$AC$162,'Draft Board'!$W$2:$W$162,A210,'Draft Board'!$AD$2:$AD$162,"&lt;&gt;")</f>
        <v>0</v>
      </c>
      <c r="D210">
        <f>COUNTIFS('Draft Board'!$W$2:$W$162,A210,'Draft Board'!$AD$2:$AD$162,"&lt;&gt;")</f>
        <v>0</v>
      </c>
      <c r="E210">
        <f>IFERROR(AVERAGEIFS('Draft Board'!$AC$2:$AC$162,'Draft Board'!$W$2:$W$162,A210),0)</f>
        <v>0</v>
      </c>
      <c r="F210">
        <f>MIN(1,E210/(Setup!$B$3*0.1))</f>
        <v>0</v>
      </c>
      <c r="G210">
        <f t="shared" si="5"/>
        <v>1</v>
      </c>
    </row>
    <row r="211" spans="1:7" x14ac:dyDescent="0.25">
      <c r="A211">
        <v>116</v>
      </c>
      <c r="B211">
        <f>SUMIFS('Draft Board'!$AD$2:$AD$162,'Draft Board'!$W$2:$W$162,A211,'Draft Board'!$AD$2:$AD$162,"&lt;&gt;")</f>
        <v>0</v>
      </c>
      <c r="C211">
        <f>SUMIFS('Draft Board'!$AC$2:$AC$162,'Draft Board'!$W$2:$W$162,A211,'Draft Board'!$AD$2:$AD$162,"&lt;&gt;")</f>
        <v>0</v>
      </c>
      <c r="D211">
        <f>COUNTIFS('Draft Board'!$W$2:$W$162,A211,'Draft Board'!$AD$2:$AD$162,"&lt;&gt;")</f>
        <v>0</v>
      </c>
      <c r="E211">
        <f>IFERROR(AVERAGEIFS('Draft Board'!$AC$2:$AC$162,'Draft Board'!$W$2:$W$162,A211),0)</f>
        <v>0</v>
      </c>
      <c r="F211">
        <f>MIN(1,E211/(Setup!$B$3*0.1))</f>
        <v>0</v>
      </c>
      <c r="G211">
        <f t="shared" si="5"/>
        <v>1</v>
      </c>
    </row>
    <row r="212" spans="1:7" x14ac:dyDescent="0.25">
      <c r="A212">
        <v>117</v>
      </c>
      <c r="B212">
        <f>SUMIFS('Draft Board'!$AD$2:$AD$162,'Draft Board'!$W$2:$W$162,A212,'Draft Board'!$AD$2:$AD$162,"&lt;&gt;")</f>
        <v>0</v>
      </c>
      <c r="C212">
        <f>SUMIFS('Draft Board'!$AC$2:$AC$162,'Draft Board'!$W$2:$W$162,A212,'Draft Board'!$AD$2:$AD$162,"&lt;&gt;")</f>
        <v>0</v>
      </c>
      <c r="D212">
        <f>COUNTIFS('Draft Board'!$W$2:$W$162,A212,'Draft Board'!$AD$2:$AD$162,"&lt;&gt;")</f>
        <v>0</v>
      </c>
      <c r="E212">
        <f>IFERROR(AVERAGEIFS('Draft Board'!$AC$2:$AC$162,'Draft Board'!$W$2:$W$162,A212),0)</f>
        <v>0</v>
      </c>
      <c r="F212">
        <f>MIN(1,E212/(Setup!$B$3*0.1))</f>
        <v>0</v>
      </c>
      <c r="G212">
        <f t="shared" si="5"/>
        <v>1</v>
      </c>
    </row>
    <row r="213" spans="1:7" x14ac:dyDescent="0.25">
      <c r="A213">
        <v>118</v>
      </c>
      <c r="B213">
        <f>SUMIFS('Draft Board'!$AD$2:$AD$162,'Draft Board'!$W$2:$W$162,A213,'Draft Board'!$AD$2:$AD$162,"&lt;&gt;")</f>
        <v>0</v>
      </c>
      <c r="C213">
        <f>SUMIFS('Draft Board'!$AC$2:$AC$162,'Draft Board'!$W$2:$W$162,A213,'Draft Board'!$AD$2:$AD$162,"&lt;&gt;")</f>
        <v>0</v>
      </c>
      <c r="D213">
        <f>COUNTIFS('Draft Board'!$W$2:$W$162,A213,'Draft Board'!$AD$2:$AD$162,"&lt;&gt;")</f>
        <v>0</v>
      </c>
      <c r="E213">
        <f>IFERROR(AVERAGEIFS('Draft Board'!$AC$2:$AC$162,'Draft Board'!$W$2:$W$162,A213),0)</f>
        <v>0</v>
      </c>
      <c r="F213">
        <f>MIN(1,E213/(Setup!$B$3*0.1))</f>
        <v>0</v>
      </c>
      <c r="G213">
        <f t="shared" si="5"/>
        <v>1</v>
      </c>
    </row>
    <row r="214" spans="1:7" x14ac:dyDescent="0.25">
      <c r="A214">
        <v>119</v>
      </c>
      <c r="B214">
        <f>SUMIFS('Draft Board'!$AD$2:$AD$162,'Draft Board'!$W$2:$W$162,A214,'Draft Board'!$AD$2:$AD$162,"&lt;&gt;")</f>
        <v>0</v>
      </c>
      <c r="C214">
        <f>SUMIFS('Draft Board'!$AC$2:$AC$162,'Draft Board'!$W$2:$W$162,A214,'Draft Board'!$AD$2:$AD$162,"&lt;&gt;")</f>
        <v>0</v>
      </c>
      <c r="D214">
        <f>COUNTIFS('Draft Board'!$W$2:$W$162,A214,'Draft Board'!$AD$2:$AD$162,"&lt;&gt;")</f>
        <v>0</v>
      </c>
      <c r="E214">
        <f>IFERROR(AVERAGEIFS('Draft Board'!$AC$2:$AC$162,'Draft Board'!$W$2:$W$162,A214),0)</f>
        <v>0</v>
      </c>
      <c r="F214">
        <f>MIN(1,E214/(Setup!$B$3*0.1))</f>
        <v>0</v>
      </c>
      <c r="G214">
        <f t="shared" si="5"/>
        <v>1</v>
      </c>
    </row>
    <row r="215" spans="1:7" x14ac:dyDescent="0.25">
      <c r="A215">
        <v>120</v>
      </c>
      <c r="B215">
        <f>SUMIFS('Draft Board'!$AD$2:$AD$162,'Draft Board'!$W$2:$W$162,A215,'Draft Board'!$AD$2:$AD$162,"&lt;&gt;")</f>
        <v>0</v>
      </c>
      <c r="C215">
        <f>SUMIFS('Draft Board'!$AC$2:$AC$162,'Draft Board'!$W$2:$W$162,A215,'Draft Board'!$AD$2:$AD$162,"&lt;&gt;")</f>
        <v>0</v>
      </c>
      <c r="D215">
        <f>COUNTIFS('Draft Board'!$W$2:$W$162,A215,'Draft Board'!$AD$2:$AD$162,"&lt;&gt;")</f>
        <v>0</v>
      </c>
      <c r="E215">
        <f>IFERROR(AVERAGEIFS('Draft Board'!$AC$2:$AC$162,'Draft Board'!$W$2:$W$162,A215),0)</f>
        <v>0</v>
      </c>
      <c r="F215">
        <f>MIN(1,E215/(Setup!$B$3*0.1))</f>
        <v>0</v>
      </c>
      <c r="G215">
        <f t="shared" si="5"/>
        <v>1</v>
      </c>
    </row>
    <row r="216" spans="1:7" x14ac:dyDescent="0.25">
      <c r="A216">
        <v>121</v>
      </c>
      <c r="B216">
        <f>SUMIFS('Draft Board'!$AD$2:$AD$162,'Draft Board'!$W$2:$W$162,A216,'Draft Board'!$AD$2:$AD$162,"&lt;&gt;")</f>
        <v>0</v>
      </c>
      <c r="C216">
        <f>SUMIFS('Draft Board'!$AC$2:$AC$162,'Draft Board'!$W$2:$W$162,A216,'Draft Board'!$AD$2:$AD$162,"&lt;&gt;")</f>
        <v>0</v>
      </c>
      <c r="D216">
        <f>COUNTIFS('Draft Board'!$W$2:$W$162,A216,'Draft Board'!$AD$2:$AD$162,"&lt;&gt;")</f>
        <v>0</v>
      </c>
      <c r="E216">
        <f>IFERROR(AVERAGEIFS('Draft Board'!$AC$2:$AC$162,'Draft Board'!$W$2:$W$162,A216),0)</f>
        <v>0</v>
      </c>
      <c r="F216">
        <f>MIN(1,E216/(Setup!$B$3*0.1))</f>
        <v>0</v>
      </c>
      <c r="G216">
        <f t="shared" si="5"/>
        <v>1</v>
      </c>
    </row>
    <row r="217" spans="1:7" x14ac:dyDescent="0.25">
      <c r="A217">
        <v>122</v>
      </c>
      <c r="B217">
        <f>SUMIFS('Draft Board'!$AD$2:$AD$162,'Draft Board'!$W$2:$W$162,A217,'Draft Board'!$AD$2:$AD$162,"&lt;&gt;")</f>
        <v>0</v>
      </c>
      <c r="C217">
        <f>SUMIFS('Draft Board'!$AC$2:$AC$162,'Draft Board'!$W$2:$W$162,A217,'Draft Board'!$AD$2:$AD$162,"&lt;&gt;")</f>
        <v>0</v>
      </c>
      <c r="D217">
        <f>COUNTIFS('Draft Board'!$W$2:$W$162,A217,'Draft Board'!$AD$2:$AD$162,"&lt;&gt;")</f>
        <v>0</v>
      </c>
      <c r="E217">
        <f>IFERROR(AVERAGEIFS('Draft Board'!$AC$2:$AC$162,'Draft Board'!$W$2:$W$162,A217),0)</f>
        <v>0</v>
      </c>
      <c r="F217">
        <f>MIN(1,E217/(Setup!$B$3*0.1))</f>
        <v>0</v>
      </c>
      <c r="G217">
        <f t="shared" si="5"/>
        <v>1</v>
      </c>
    </row>
    <row r="218" spans="1:7" x14ac:dyDescent="0.25">
      <c r="A218">
        <v>123</v>
      </c>
      <c r="B218">
        <f>SUMIFS('Draft Board'!$AD$2:$AD$162,'Draft Board'!$W$2:$W$162,A218,'Draft Board'!$AD$2:$AD$162,"&lt;&gt;")</f>
        <v>0</v>
      </c>
      <c r="C218">
        <f>SUMIFS('Draft Board'!$AC$2:$AC$162,'Draft Board'!$W$2:$W$162,A218,'Draft Board'!$AD$2:$AD$162,"&lt;&gt;")</f>
        <v>0</v>
      </c>
      <c r="D218">
        <f>COUNTIFS('Draft Board'!$W$2:$W$162,A218,'Draft Board'!$AD$2:$AD$162,"&lt;&gt;")</f>
        <v>0</v>
      </c>
      <c r="E218">
        <f>IFERROR(AVERAGEIFS('Draft Board'!$AC$2:$AC$162,'Draft Board'!$W$2:$W$162,A218),0)</f>
        <v>0</v>
      </c>
      <c r="F218">
        <f>MIN(1,E218/(Setup!$B$3*0.1))</f>
        <v>0</v>
      </c>
      <c r="G218">
        <f t="shared" si="5"/>
        <v>1</v>
      </c>
    </row>
    <row r="219" spans="1:7" x14ac:dyDescent="0.25">
      <c r="A219">
        <v>124</v>
      </c>
      <c r="B219">
        <f>SUMIFS('Draft Board'!$AD$2:$AD$162,'Draft Board'!$W$2:$W$162,A219,'Draft Board'!$AD$2:$AD$162,"&lt;&gt;")</f>
        <v>0</v>
      </c>
      <c r="C219">
        <f>SUMIFS('Draft Board'!$AC$2:$AC$162,'Draft Board'!$W$2:$W$162,A219,'Draft Board'!$AD$2:$AD$162,"&lt;&gt;")</f>
        <v>0</v>
      </c>
      <c r="D219">
        <f>COUNTIFS('Draft Board'!$W$2:$W$162,A219,'Draft Board'!$AD$2:$AD$162,"&lt;&gt;")</f>
        <v>0</v>
      </c>
      <c r="E219">
        <f>IFERROR(AVERAGEIFS('Draft Board'!$AC$2:$AC$162,'Draft Board'!$W$2:$W$162,A219),0)</f>
        <v>0</v>
      </c>
      <c r="F219">
        <f>MIN(1,E219/(Setup!$B$3*0.1))</f>
        <v>0</v>
      </c>
      <c r="G219">
        <f t="shared" si="5"/>
        <v>1</v>
      </c>
    </row>
    <row r="220" spans="1:7" x14ac:dyDescent="0.25">
      <c r="A220">
        <v>125</v>
      </c>
      <c r="B220">
        <f>SUMIFS('Draft Board'!$AD$2:$AD$162,'Draft Board'!$W$2:$W$162,A220,'Draft Board'!$AD$2:$AD$162,"&lt;&gt;")</f>
        <v>0</v>
      </c>
      <c r="C220">
        <f>SUMIFS('Draft Board'!$AC$2:$AC$162,'Draft Board'!$W$2:$W$162,A220,'Draft Board'!$AD$2:$AD$162,"&lt;&gt;")</f>
        <v>0</v>
      </c>
      <c r="D220">
        <f>COUNTIFS('Draft Board'!$W$2:$W$162,A220,'Draft Board'!$AD$2:$AD$162,"&lt;&gt;")</f>
        <v>0</v>
      </c>
      <c r="E220">
        <f>IFERROR(AVERAGEIFS('Draft Board'!$AC$2:$AC$162,'Draft Board'!$W$2:$W$162,A220),0)</f>
        <v>0</v>
      </c>
      <c r="F220">
        <f>MIN(1,E220/(Setup!$B$3*0.1))</f>
        <v>0</v>
      </c>
      <c r="G220">
        <f t="shared" si="5"/>
        <v>1</v>
      </c>
    </row>
    <row r="221" spans="1:7" x14ac:dyDescent="0.25">
      <c r="A221">
        <v>126</v>
      </c>
      <c r="B221">
        <f>SUMIFS('Draft Board'!$AD$2:$AD$162,'Draft Board'!$W$2:$W$162,A221,'Draft Board'!$AD$2:$AD$162,"&lt;&gt;")</f>
        <v>0</v>
      </c>
      <c r="C221">
        <f>SUMIFS('Draft Board'!$AC$2:$AC$162,'Draft Board'!$W$2:$W$162,A221,'Draft Board'!$AD$2:$AD$162,"&lt;&gt;")</f>
        <v>0</v>
      </c>
      <c r="D221">
        <f>COUNTIFS('Draft Board'!$W$2:$W$162,A221,'Draft Board'!$AD$2:$AD$162,"&lt;&gt;")</f>
        <v>0</v>
      </c>
      <c r="E221">
        <f>IFERROR(AVERAGEIFS('Draft Board'!$AC$2:$AC$162,'Draft Board'!$W$2:$W$162,A221),0)</f>
        <v>0</v>
      </c>
      <c r="F221">
        <f>MIN(1,E221/(Setup!$B$3*0.1))</f>
        <v>0</v>
      </c>
      <c r="G221">
        <f t="shared" si="5"/>
        <v>1</v>
      </c>
    </row>
    <row r="222" spans="1:7" x14ac:dyDescent="0.25">
      <c r="A222">
        <v>127</v>
      </c>
      <c r="B222">
        <f>SUMIFS('Draft Board'!$AD$2:$AD$162,'Draft Board'!$W$2:$W$162,A222,'Draft Board'!$AD$2:$AD$162,"&lt;&gt;")</f>
        <v>0</v>
      </c>
      <c r="C222">
        <f>SUMIFS('Draft Board'!$AC$2:$AC$162,'Draft Board'!$W$2:$W$162,A222,'Draft Board'!$AD$2:$AD$162,"&lt;&gt;")</f>
        <v>0</v>
      </c>
      <c r="D222">
        <f>COUNTIFS('Draft Board'!$W$2:$W$162,A222,'Draft Board'!$AD$2:$AD$162,"&lt;&gt;")</f>
        <v>0</v>
      </c>
      <c r="E222">
        <f>IFERROR(AVERAGEIFS('Draft Board'!$AC$2:$AC$162,'Draft Board'!$W$2:$W$162,A222),0)</f>
        <v>0</v>
      </c>
      <c r="F222">
        <f>MIN(1,E222/(Setup!$B$3*0.1))</f>
        <v>0</v>
      </c>
      <c r="G222">
        <f t="shared" si="5"/>
        <v>1</v>
      </c>
    </row>
    <row r="223" spans="1:7" x14ac:dyDescent="0.25">
      <c r="A223">
        <v>128</v>
      </c>
      <c r="B223">
        <f>SUMIFS('Draft Board'!$AD$2:$AD$162,'Draft Board'!$W$2:$W$162,A223,'Draft Board'!$AD$2:$AD$162,"&lt;&gt;")</f>
        <v>0</v>
      </c>
      <c r="C223">
        <f>SUMIFS('Draft Board'!$AC$2:$AC$162,'Draft Board'!$W$2:$W$162,A223,'Draft Board'!$AD$2:$AD$162,"&lt;&gt;")</f>
        <v>0</v>
      </c>
      <c r="D223">
        <f>COUNTIFS('Draft Board'!$W$2:$W$162,A223,'Draft Board'!$AD$2:$AD$162,"&lt;&gt;")</f>
        <v>0</v>
      </c>
      <c r="E223">
        <f>IFERROR(AVERAGEIFS('Draft Board'!$AC$2:$AC$162,'Draft Board'!$W$2:$W$162,A223),0)</f>
        <v>0</v>
      </c>
      <c r="F223">
        <f>MIN(1,E223/(Setup!$B$3*0.1))</f>
        <v>0</v>
      </c>
      <c r="G223">
        <f t="shared" si="5"/>
        <v>1</v>
      </c>
    </row>
    <row r="224" spans="1:7" x14ac:dyDescent="0.25">
      <c r="A224">
        <v>129</v>
      </c>
      <c r="B224">
        <f>SUMIFS('Draft Board'!$AD$2:$AD$162,'Draft Board'!$W$2:$W$162,A224,'Draft Board'!$AD$2:$AD$162,"&lt;&gt;")</f>
        <v>0</v>
      </c>
      <c r="C224">
        <f>SUMIFS('Draft Board'!$AC$2:$AC$162,'Draft Board'!$W$2:$W$162,A224,'Draft Board'!$AD$2:$AD$162,"&lt;&gt;")</f>
        <v>0</v>
      </c>
      <c r="D224">
        <f>COUNTIFS('Draft Board'!$W$2:$W$162,A224,'Draft Board'!$AD$2:$AD$162,"&lt;&gt;")</f>
        <v>0</v>
      </c>
      <c r="E224">
        <f>IFERROR(AVERAGEIFS('Draft Board'!$AC$2:$AC$162,'Draft Board'!$W$2:$W$162,A224),0)</f>
        <v>0</v>
      </c>
      <c r="F224">
        <f>MIN(1,E224/(Setup!$B$3*0.1))</f>
        <v>0</v>
      </c>
      <c r="G224">
        <f t="shared" ref="G224:G255" si="6">IF(D224&lt;2,1,MEDIAN(0.5,2,1+(IFERROR(B224/C224,1)-1)*F224))</f>
        <v>1</v>
      </c>
    </row>
    <row r="225" spans="1:7" x14ac:dyDescent="0.25">
      <c r="A225">
        <v>130</v>
      </c>
      <c r="B225">
        <f>SUMIFS('Draft Board'!$AD$2:$AD$162,'Draft Board'!$W$2:$W$162,A225,'Draft Board'!$AD$2:$AD$162,"&lt;&gt;")</f>
        <v>0</v>
      </c>
      <c r="C225">
        <f>SUMIFS('Draft Board'!$AC$2:$AC$162,'Draft Board'!$W$2:$W$162,A225,'Draft Board'!$AD$2:$AD$162,"&lt;&gt;")</f>
        <v>0</v>
      </c>
      <c r="D225">
        <f>COUNTIFS('Draft Board'!$W$2:$W$162,A225,'Draft Board'!$AD$2:$AD$162,"&lt;&gt;")</f>
        <v>0</v>
      </c>
      <c r="E225">
        <f>IFERROR(AVERAGEIFS('Draft Board'!$AC$2:$AC$162,'Draft Board'!$W$2:$W$162,A225),0)</f>
        <v>0</v>
      </c>
      <c r="F225">
        <f>MIN(1,E225/(Setup!$B$3*0.1))</f>
        <v>0</v>
      </c>
      <c r="G225">
        <f t="shared" si="6"/>
        <v>1</v>
      </c>
    </row>
    <row r="226" spans="1:7" x14ac:dyDescent="0.25">
      <c r="A226">
        <v>131</v>
      </c>
      <c r="B226">
        <f>SUMIFS('Draft Board'!$AD$2:$AD$162,'Draft Board'!$W$2:$W$162,A226,'Draft Board'!$AD$2:$AD$162,"&lt;&gt;")</f>
        <v>0</v>
      </c>
      <c r="C226">
        <f>SUMIFS('Draft Board'!$AC$2:$AC$162,'Draft Board'!$W$2:$W$162,A226,'Draft Board'!$AD$2:$AD$162,"&lt;&gt;")</f>
        <v>0</v>
      </c>
      <c r="D226">
        <f>COUNTIFS('Draft Board'!$W$2:$W$162,A226,'Draft Board'!$AD$2:$AD$162,"&lt;&gt;")</f>
        <v>0</v>
      </c>
      <c r="E226">
        <f>IFERROR(AVERAGEIFS('Draft Board'!$AC$2:$AC$162,'Draft Board'!$W$2:$W$162,A226),0)</f>
        <v>0</v>
      </c>
      <c r="F226">
        <f>MIN(1,E226/(Setup!$B$3*0.1))</f>
        <v>0</v>
      </c>
      <c r="G226">
        <f t="shared" si="6"/>
        <v>1</v>
      </c>
    </row>
    <row r="227" spans="1:7" x14ac:dyDescent="0.25">
      <c r="A227">
        <v>132</v>
      </c>
      <c r="B227">
        <f>SUMIFS('Draft Board'!$AD$2:$AD$162,'Draft Board'!$W$2:$W$162,A227,'Draft Board'!$AD$2:$AD$162,"&lt;&gt;")</f>
        <v>0</v>
      </c>
      <c r="C227">
        <f>SUMIFS('Draft Board'!$AC$2:$AC$162,'Draft Board'!$W$2:$W$162,A227,'Draft Board'!$AD$2:$AD$162,"&lt;&gt;")</f>
        <v>0</v>
      </c>
      <c r="D227">
        <f>COUNTIFS('Draft Board'!$W$2:$W$162,A227,'Draft Board'!$AD$2:$AD$162,"&lt;&gt;")</f>
        <v>0</v>
      </c>
      <c r="E227">
        <f>IFERROR(AVERAGEIFS('Draft Board'!$AC$2:$AC$162,'Draft Board'!$W$2:$W$162,A227),0)</f>
        <v>0</v>
      </c>
      <c r="F227">
        <f>MIN(1,E227/(Setup!$B$3*0.1))</f>
        <v>0</v>
      </c>
      <c r="G227">
        <f t="shared" si="6"/>
        <v>1</v>
      </c>
    </row>
    <row r="228" spans="1:7" x14ac:dyDescent="0.25">
      <c r="A228">
        <v>133</v>
      </c>
      <c r="B228">
        <f>SUMIFS('Draft Board'!$AD$2:$AD$162,'Draft Board'!$W$2:$W$162,A228,'Draft Board'!$AD$2:$AD$162,"&lt;&gt;")</f>
        <v>0</v>
      </c>
      <c r="C228">
        <f>SUMIFS('Draft Board'!$AC$2:$AC$162,'Draft Board'!$W$2:$W$162,A228,'Draft Board'!$AD$2:$AD$162,"&lt;&gt;")</f>
        <v>0</v>
      </c>
      <c r="D228">
        <f>COUNTIFS('Draft Board'!$W$2:$W$162,A228,'Draft Board'!$AD$2:$AD$162,"&lt;&gt;")</f>
        <v>0</v>
      </c>
      <c r="E228">
        <f>IFERROR(AVERAGEIFS('Draft Board'!$AC$2:$AC$162,'Draft Board'!$W$2:$W$162,A228),0)</f>
        <v>0</v>
      </c>
      <c r="F228">
        <f>MIN(1,E228/(Setup!$B$3*0.1))</f>
        <v>0</v>
      </c>
      <c r="G228">
        <f t="shared" si="6"/>
        <v>1</v>
      </c>
    </row>
    <row r="229" spans="1:7" x14ac:dyDescent="0.25">
      <c r="A229">
        <v>134</v>
      </c>
      <c r="B229">
        <f>SUMIFS('Draft Board'!$AD$2:$AD$162,'Draft Board'!$W$2:$W$162,A229,'Draft Board'!$AD$2:$AD$162,"&lt;&gt;")</f>
        <v>0</v>
      </c>
      <c r="C229">
        <f>SUMIFS('Draft Board'!$AC$2:$AC$162,'Draft Board'!$W$2:$W$162,A229,'Draft Board'!$AD$2:$AD$162,"&lt;&gt;")</f>
        <v>0</v>
      </c>
      <c r="D229">
        <f>COUNTIFS('Draft Board'!$W$2:$W$162,A229,'Draft Board'!$AD$2:$AD$162,"&lt;&gt;")</f>
        <v>0</v>
      </c>
      <c r="E229">
        <f>IFERROR(AVERAGEIFS('Draft Board'!$AC$2:$AC$162,'Draft Board'!$W$2:$W$162,A229),0)</f>
        <v>0</v>
      </c>
      <c r="F229">
        <f>MIN(1,E229/(Setup!$B$3*0.1))</f>
        <v>0</v>
      </c>
      <c r="G229">
        <f t="shared" si="6"/>
        <v>1</v>
      </c>
    </row>
    <row r="230" spans="1:7" x14ac:dyDescent="0.25">
      <c r="A230">
        <v>135</v>
      </c>
      <c r="B230">
        <f>SUMIFS('Draft Board'!$AD$2:$AD$162,'Draft Board'!$W$2:$W$162,A230,'Draft Board'!$AD$2:$AD$162,"&lt;&gt;")</f>
        <v>0</v>
      </c>
      <c r="C230">
        <f>SUMIFS('Draft Board'!$AC$2:$AC$162,'Draft Board'!$W$2:$W$162,A230,'Draft Board'!$AD$2:$AD$162,"&lt;&gt;")</f>
        <v>0</v>
      </c>
      <c r="D230">
        <f>COUNTIFS('Draft Board'!$W$2:$W$162,A230,'Draft Board'!$AD$2:$AD$162,"&lt;&gt;")</f>
        <v>0</v>
      </c>
      <c r="E230">
        <f>IFERROR(AVERAGEIFS('Draft Board'!$AC$2:$AC$162,'Draft Board'!$W$2:$W$162,A230),0)</f>
        <v>0</v>
      </c>
      <c r="F230">
        <f>MIN(1,E230/(Setup!$B$3*0.1))</f>
        <v>0</v>
      </c>
      <c r="G230">
        <f t="shared" si="6"/>
        <v>1</v>
      </c>
    </row>
    <row r="231" spans="1:7" x14ac:dyDescent="0.25">
      <c r="A231">
        <v>136</v>
      </c>
      <c r="B231">
        <f>SUMIFS('Draft Board'!$AD$2:$AD$162,'Draft Board'!$W$2:$W$162,A231,'Draft Board'!$AD$2:$AD$162,"&lt;&gt;")</f>
        <v>0</v>
      </c>
      <c r="C231">
        <f>SUMIFS('Draft Board'!$AC$2:$AC$162,'Draft Board'!$W$2:$W$162,A231,'Draft Board'!$AD$2:$AD$162,"&lt;&gt;")</f>
        <v>0</v>
      </c>
      <c r="D231">
        <f>COUNTIFS('Draft Board'!$W$2:$W$162,A231,'Draft Board'!$AD$2:$AD$162,"&lt;&gt;")</f>
        <v>0</v>
      </c>
      <c r="E231">
        <f>IFERROR(AVERAGEIFS('Draft Board'!$AC$2:$AC$162,'Draft Board'!$W$2:$W$162,A231),0)</f>
        <v>0</v>
      </c>
      <c r="F231">
        <f>MIN(1,E231/(Setup!$B$3*0.1))</f>
        <v>0</v>
      </c>
      <c r="G231">
        <f t="shared" si="6"/>
        <v>1</v>
      </c>
    </row>
    <row r="232" spans="1:7" x14ac:dyDescent="0.25">
      <c r="A232">
        <v>137</v>
      </c>
      <c r="B232">
        <f>SUMIFS('Draft Board'!$AD$2:$AD$162,'Draft Board'!$W$2:$W$162,A232,'Draft Board'!$AD$2:$AD$162,"&lt;&gt;")</f>
        <v>0</v>
      </c>
      <c r="C232">
        <f>SUMIFS('Draft Board'!$AC$2:$AC$162,'Draft Board'!$W$2:$W$162,A232,'Draft Board'!$AD$2:$AD$162,"&lt;&gt;")</f>
        <v>0</v>
      </c>
      <c r="D232">
        <f>COUNTIFS('Draft Board'!$W$2:$W$162,A232,'Draft Board'!$AD$2:$AD$162,"&lt;&gt;")</f>
        <v>0</v>
      </c>
      <c r="E232">
        <f>IFERROR(AVERAGEIFS('Draft Board'!$AC$2:$AC$162,'Draft Board'!$W$2:$W$162,A232),0)</f>
        <v>0</v>
      </c>
      <c r="F232">
        <f>MIN(1,E232/(Setup!$B$3*0.1))</f>
        <v>0</v>
      </c>
      <c r="G232">
        <f t="shared" si="6"/>
        <v>1</v>
      </c>
    </row>
    <row r="233" spans="1:7" x14ac:dyDescent="0.25">
      <c r="A233">
        <v>138</v>
      </c>
      <c r="B233">
        <f>SUMIFS('Draft Board'!$AD$2:$AD$162,'Draft Board'!$W$2:$W$162,A233,'Draft Board'!$AD$2:$AD$162,"&lt;&gt;")</f>
        <v>0</v>
      </c>
      <c r="C233">
        <f>SUMIFS('Draft Board'!$AC$2:$AC$162,'Draft Board'!$W$2:$W$162,A233,'Draft Board'!$AD$2:$AD$162,"&lt;&gt;")</f>
        <v>0</v>
      </c>
      <c r="D233">
        <f>COUNTIFS('Draft Board'!$W$2:$W$162,A233,'Draft Board'!$AD$2:$AD$162,"&lt;&gt;")</f>
        <v>0</v>
      </c>
      <c r="E233">
        <f>IFERROR(AVERAGEIFS('Draft Board'!$AC$2:$AC$162,'Draft Board'!$W$2:$W$162,A233),0)</f>
        <v>0</v>
      </c>
      <c r="F233">
        <f>MIN(1,E233/(Setup!$B$3*0.1))</f>
        <v>0</v>
      </c>
      <c r="G233">
        <f t="shared" si="6"/>
        <v>1</v>
      </c>
    </row>
    <row r="234" spans="1:7" x14ac:dyDescent="0.25">
      <c r="A234">
        <v>139</v>
      </c>
      <c r="B234">
        <f>SUMIFS('Draft Board'!$AD$2:$AD$162,'Draft Board'!$W$2:$W$162,A234,'Draft Board'!$AD$2:$AD$162,"&lt;&gt;")</f>
        <v>0</v>
      </c>
      <c r="C234">
        <f>SUMIFS('Draft Board'!$AC$2:$AC$162,'Draft Board'!$W$2:$W$162,A234,'Draft Board'!$AD$2:$AD$162,"&lt;&gt;")</f>
        <v>0</v>
      </c>
      <c r="D234">
        <f>COUNTIFS('Draft Board'!$W$2:$W$162,A234,'Draft Board'!$AD$2:$AD$162,"&lt;&gt;")</f>
        <v>0</v>
      </c>
      <c r="E234">
        <f>IFERROR(AVERAGEIFS('Draft Board'!$AC$2:$AC$162,'Draft Board'!$W$2:$W$162,A234),0)</f>
        <v>0</v>
      </c>
      <c r="F234">
        <f>MIN(1,E234/(Setup!$B$3*0.1))</f>
        <v>0</v>
      </c>
      <c r="G234">
        <f t="shared" si="6"/>
        <v>1</v>
      </c>
    </row>
    <row r="235" spans="1:7" x14ac:dyDescent="0.25">
      <c r="A235">
        <v>140</v>
      </c>
      <c r="B235">
        <f>SUMIFS('Draft Board'!$AD$2:$AD$162,'Draft Board'!$W$2:$W$162,A235,'Draft Board'!$AD$2:$AD$162,"&lt;&gt;")</f>
        <v>0</v>
      </c>
      <c r="C235">
        <f>SUMIFS('Draft Board'!$AC$2:$AC$162,'Draft Board'!$W$2:$W$162,A235,'Draft Board'!$AD$2:$AD$162,"&lt;&gt;")</f>
        <v>0</v>
      </c>
      <c r="D235">
        <f>COUNTIFS('Draft Board'!$W$2:$W$162,A235,'Draft Board'!$AD$2:$AD$162,"&lt;&gt;")</f>
        <v>0</v>
      </c>
      <c r="E235">
        <f>IFERROR(AVERAGEIFS('Draft Board'!$AC$2:$AC$162,'Draft Board'!$W$2:$W$162,A235),0)</f>
        <v>0</v>
      </c>
      <c r="F235">
        <f>MIN(1,E235/(Setup!$B$3*0.1))</f>
        <v>0</v>
      </c>
      <c r="G235">
        <f t="shared" si="6"/>
        <v>1</v>
      </c>
    </row>
    <row r="236" spans="1:7" x14ac:dyDescent="0.25">
      <c r="A236">
        <v>141</v>
      </c>
      <c r="B236">
        <f>SUMIFS('Draft Board'!$AD$2:$AD$162,'Draft Board'!$W$2:$W$162,A236,'Draft Board'!$AD$2:$AD$162,"&lt;&gt;")</f>
        <v>0</v>
      </c>
      <c r="C236">
        <f>SUMIFS('Draft Board'!$AC$2:$AC$162,'Draft Board'!$W$2:$W$162,A236,'Draft Board'!$AD$2:$AD$162,"&lt;&gt;")</f>
        <v>0</v>
      </c>
      <c r="D236">
        <f>COUNTIFS('Draft Board'!$W$2:$W$162,A236,'Draft Board'!$AD$2:$AD$162,"&lt;&gt;")</f>
        <v>0</v>
      </c>
      <c r="E236">
        <f>IFERROR(AVERAGEIFS('Draft Board'!$AC$2:$AC$162,'Draft Board'!$W$2:$W$162,A236),0)</f>
        <v>0</v>
      </c>
      <c r="F236">
        <f>MIN(1,E236/(Setup!$B$3*0.1))</f>
        <v>0</v>
      </c>
      <c r="G236">
        <f t="shared" si="6"/>
        <v>1</v>
      </c>
    </row>
    <row r="237" spans="1:7" x14ac:dyDescent="0.25">
      <c r="A237">
        <v>142</v>
      </c>
      <c r="B237">
        <f>SUMIFS('Draft Board'!$AD$2:$AD$162,'Draft Board'!$W$2:$W$162,A237,'Draft Board'!$AD$2:$AD$162,"&lt;&gt;")</f>
        <v>0</v>
      </c>
      <c r="C237">
        <f>SUMIFS('Draft Board'!$AC$2:$AC$162,'Draft Board'!$W$2:$W$162,A237,'Draft Board'!$AD$2:$AD$162,"&lt;&gt;")</f>
        <v>0</v>
      </c>
      <c r="D237">
        <f>COUNTIFS('Draft Board'!$W$2:$W$162,A237,'Draft Board'!$AD$2:$AD$162,"&lt;&gt;")</f>
        <v>0</v>
      </c>
      <c r="E237">
        <f>IFERROR(AVERAGEIFS('Draft Board'!$AC$2:$AC$162,'Draft Board'!$W$2:$W$162,A237),0)</f>
        <v>0</v>
      </c>
      <c r="F237">
        <f>MIN(1,E237/(Setup!$B$3*0.1))</f>
        <v>0</v>
      </c>
      <c r="G237">
        <f t="shared" si="6"/>
        <v>1</v>
      </c>
    </row>
    <row r="238" spans="1:7" x14ac:dyDescent="0.25">
      <c r="A238">
        <v>143</v>
      </c>
      <c r="B238">
        <f>SUMIFS('Draft Board'!$AD$2:$AD$162,'Draft Board'!$W$2:$W$162,A238,'Draft Board'!$AD$2:$AD$162,"&lt;&gt;")</f>
        <v>0</v>
      </c>
      <c r="C238">
        <f>SUMIFS('Draft Board'!$AC$2:$AC$162,'Draft Board'!$W$2:$W$162,A238,'Draft Board'!$AD$2:$AD$162,"&lt;&gt;")</f>
        <v>0</v>
      </c>
      <c r="D238">
        <f>COUNTIFS('Draft Board'!$W$2:$W$162,A238,'Draft Board'!$AD$2:$AD$162,"&lt;&gt;")</f>
        <v>0</v>
      </c>
      <c r="E238">
        <f>IFERROR(AVERAGEIFS('Draft Board'!$AC$2:$AC$162,'Draft Board'!$W$2:$W$162,A238),0)</f>
        <v>0</v>
      </c>
      <c r="F238">
        <f>MIN(1,E238/(Setup!$B$3*0.1))</f>
        <v>0</v>
      </c>
      <c r="G238">
        <f t="shared" si="6"/>
        <v>1</v>
      </c>
    </row>
    <row r="239" spans="1:7" x14ac:dyDescent="0.25">
      <c r="A239">
        <v>144</v>
      </c>
      <c r="B239">
        <f>SUMIFS('Draft Board'!$AD$2:$AD$162,'Draft Board'!$W$2:$W$162,A239,'Draft Board'!$AD$2:$AD$162,"&lt;&gt;")</f>
        <v>0</v>
      </c>
      <c r="C239">
        <f>SUMIFS('Draft Board'!$AC$2:$AC$162,'Draft Board'!$W$2:$W$162,A239,'Draft Board'!$AD$2:$AD$162,"&lt;&gt;")</f>
        <v>0</v>
      </c>
      <c r="D239">
        <f>COUNTIFS('Draft Board'!$W$2:$W$162,A239,'Draft Board'!$AD$2:$AD$162,"&lt;&gt;")</f>
        <v>0</v>
      </c>
      <c r="E239">
        <f>IFERROR(AVERAGEIFS('Draft Board'!$AC$2:$AC$162,'Draft Board'!$W$2:$W$162,A239),0)</f>
        <v>0</v>
      </c>
      <c r="F239">
        <f>MIN(1,E239/(Setup!$B$3*0.1))</f>
        <v>0</v>
      </c>
      <c r="G239">
        <f t="shared" si="6"/>
        <v>1</v>
      </c>
    </row>
    <row r="240" spans="1:7" x14ac:dyDescent="0.25">
      <c r="A240">
        <v>145</v>
      </c>
      <c r="B240">
        <f>SUMIFS('Draft Board'!$AD$2:$AD$162,'Draft Board'!$W$2:$W$162,A240,'Draft Board'!$AD$2:$AD$162,"&lt;&gt;")</f>
        <v>0</v>
      </c>
      <c r="C240">
        <f>SUMIFS('Draft Board'!$AC$2:$AC$162,'Draft Board'!$W$2:$W$162,A240,'Draft Board'!$AD$2:$AD$162,"&lt;&gt;")</f>
        <v>0</v>
      </c>
      <c r="D240">
        <f>COUNTIFS('Draft Board'!$W$2:$W$162,A240,'Draft Board'!$AD$2:$AD$162,"&lt;&gt;")</f>
        <v>0</v>
      </c>
      <c r="E240">
        <f>IFERROR(AVERAGEIFS('Draft Board'!$AC$2:$AC$162,'Draft Board'!$W$2:$W$162,A240),0)</f>
        <v>0</v>
      </c>
      <c r="F240">
        <f>MIN(1,E240/(Setup!$B$3*0.1))</f>
        <v>0</v>
      </c>
      <c r="G240">
        <f t="shared" si="6"/>
        <v>1</v>
      </c>
    </row>
    <row r="241" spans="1:7" x14ac:dyDescent="0.25">
      <c r="A241">
        <v>146</v>
      </c>
      <c r="B241">
        <f>SUMIFS('Draft Board'!$AD$2:$AD$162,'Draft Board'!$W$2:$W$162,A241,'Draft Board'!$AD$2:$AD$162,"&lt;&gt;")</f>
        <v>0</v>
      </c>
      <c r="C241">
        <f>SUMIFS('Draft Board'!$AC$2:$AC$162,'Draft Board'!$W$2:$W$162,A241,'Draft Board'!$AD$2:$AD$162,"&lt;&gt;")</f>
        <v>0</v>
      </c>
      <c r="D241">
        <f>COUNTIFS('Draft Board'!$W$2:$W$162,A241,'Draft Board'!$AD$2:$AD$162,"&lt;&gt;")</f>
        <v>0</v>
      </c>
      <c r="E241">
        <f>IFERROR(AVERAGEIFS('Draft Board'!$AC$2:$AC$162,'Draft Board'!$W$2:$W$162,A241),0)</f>
        <v>0</v>
      </c>
      <c r="F241">
        <f>MIN(1,E241/(Setup!$B$3*0.1))</f>
        <v>0</v>
      </c>
      <c r="G241">
        <f t="shared" si="6"/>
        <v>1</v>
      </c>
    </row>
    <row r="242" spans="1:7" x14ac:dyDescent="0.25">
      <c r="A242">
        <v>147</v>
      </c>
      <c r="B242">
        <f>SUMIFS('Draft Board'!$AD$2:$AD$162,'Draft Board'!$W$2:$W$162,A242,'Draft Board'!$AD$2:$AD$162,"&lt;&gt;")</f>
        <v>0</v>
      </c>
      <c r="C242">
        <f>SUMIFS('Draft Board'!$AC$2:$AC$162,'Draft Board'!$W$2:$W$162,A242,'Draft Board'!$AD$2:$AD$162,"&lt;&gt;")</f>
        <v>0</v>
      </c>
      <c r="D242">
        <f>COUNTIFS('Draft Board'!$W$2:$W$162,A242,'Draft Board'!$AD$2:$AD$162,"&lt;&gt;")</f>
        <v>0</v>
      </c>
      <c r="E242">
        <f>IFERROR(AVERAGEIFS('Draft Board'!$AC$2:$AC$162,'Draft Board'!$W$2:$W$162,A242),0)</f>
        <v>0</v>
      </c>
      <c r="F242">
        <f>MIN(1,E242/(Setup!$B$3*0.1))</f>
        <v>0</v>
      </c>
      <c r="G242">
        <f t="shared" si="6"/>
        <v>1</v>
      </c>
    </row>
    <row r="243" spans="1:7" x14ac:dyDescent="0.25">
      <c r="A243">
        <v>148</v>
      </c>
      <c r="B243">
        <f>SUMIFS('Draft Board'!$AD$2:$AD$162,'Draft Board'!$W$2:$W$162,A243,'Draft Board'!$AD$2:$AD$162,"&lt;&gt;")</f>
        <v>0</v>
      </c>
      <c r="C243">
        <f>SUMIFS('Draft Board'!$AC$2:$AC$162,'Draft Board'!$W$2:$W$162,A243,'Draft Board'!$AD$2:$AD$162,"&lt;&gt;")</f>
        <v>0</v>
      </c>
      <c r="D243">
        <f>COUNTIFS('Draft Board'!$W$2:$W$162,A243,'Draft Board'!$AD$2:$AD$162,"&lt;&gt;")</f>
        <v>0</v>
      </c>
      <c r="E243">
        <f>IFERROR(AVERAGEIFS('Draft Board'!$AC$2:$AC$162,'Draft Board'!$W$2:$W$162,A243),0)</f>
        <v>0</v>
      </c>
      <c r="F243">
        <f>MIN(1,E243/(Setup!$B$3*0.1))</f>
        <v>0</v>
      </c>
      <c r="G243">
        <f t="shared" si="6"/>
        <v>1</v>
      </c>
    </row>
    <row r="244" spans="1:7" x14ac:dyDescent="0.25">
      <c r="A244">
        <v>149</v>
      </c>
      <c r="B244">
        <f>SUMIFS('Draft Board'!$AD$2:$AD$162,'Draft Board'!$W$2:$W$162,A244,'Draft Board'!$AD$2:$AD$162,"&lt;&gt;")</f>
        <v>0</v>
      </c>
      <c r="C244">
        <f>SUMIFS('Draft Board'!$AC$2:$AC$162,'Draft Board'!$W$2:$W$162,A244,'Draft Board'!$AD$2:$AD$162,"&lt;&gt;")</f>
        <v>0</v>
      </c>
      <c r="D244">
        <f>COUNTIFS('Draft Board'!$W$2:$W$162,A244,'Draft Board'!$AD$2:$AD$162,"&lt;&gt;")</f>
        <v>0</v>
      </c>
      <c r="E244">
        <f>IFERROR(AVERAGEIFS('Draft Board'!$AC$2:$AC$162,'Draft Board'!$W$2:$W$162,A244),0)</f>
        <v>0</v>
      </c>
      <c r="F244">
        <f>MIN(1,E244/(Setup!$B$3*0.1))</f>
        <v>0</v>
      </c>
      <c r="G244">
        <f t="shared" si="6"/>
        <v>1</v>
      </c>
    </row>
    <row r="245" spans="1:7" x14ac:dyDescent="0.25">
      <c r="A245">
        <v>150</v>
      </c>
      <c r="B245">
        <f>SUMIFS('Draft Board'!$AD$2:$AD$162,'Draft Board'!$W$2:$W$162,A245,'Draft Board'!$AD$2:$AD$162,"&lt;&gt;")</f>
        <v>0</v>
      </c>
      <c r="C245">
        <f>SUMIFS('Draft Board'!$AC$2:$AC$162,'Draft Board'!$W$2:$W$162,A245,'Draft Board'!$AD$2:$AD$162,"&lt;&gt;")</f>
        <v>0</v>
      </c>
      <c r="D245">
        <f>COUNTIFS('Draft Board'!$W$2:$W$162,A245,'Draft Board'!$AD$2:$AD$162,"&lt;&gt;")</f>
        <v>0</v>
      </c>
      <c r="E245">
        <f>IFERROR(AVERAGEIFS('Draft Board'!$AC$2:$AC$162,'Draft Board'!$W$2:$W$162,A245),0)</f>
        <v>0</v>
      </c>
      <c r="F245">
        <f>MIN(1,E245/(Setup!$B$3*0.1))</f>
        <v>0</v>
      </c>
      <c r="G245">
        <f t="shared" si="6"/>
        <v>1</v>
      </c>
    </row>
    <row r="246" spans="1:7" x14ac:dyDescent="0.25">
      <c r="A246">
        <v>151</v>
      </c>
      <c r="B246">
        <f>SUMIFS('Draft Board'!$AD$2:$AD$162,'Draft Board'!$W$2:$W$162,A246,'Draft Board'!$AD$2:$AD$162,"&lt;&gt;")</f>
        <v>0</v>
      </c>
      <c r="C246">
        <f>SUMIFS('Draft Board'!$AC$2:$AC$162,'Draft Board'!$W$2:$W$162,A246,'Draft Board'!$AD$2:$AD$162,"&lt;&gt;")</f>
        <v>0</v>
      </c>
      <c r="D246">
        <f>COUNTIFS('Draft Board'!$W$2:$W$162,A246,'Draft Board'!$AD$2:$AD$162,"&lt;&gt;")</f>
        <v>0</v>
      </c>
      <c r="E246">
        <f>IFERROR(AVERAGEIFS('Draft Board'!$AC$2:$AC$162,'Draft Board'!$W$2:$W$162,A246),0)</f>
        <v>0</v>
      </c>
      <c r="F246">
        <f>MIN(1,E246/(Setup!$B$3*0.1))</f>
        <v>0</v>
      </c>
      <c r="G246">
        <f t="shared" si="6"/>
        <v>1</v>
      </c>
    </row>
    <row r="247" spans="1:7" x14ac:dyDescent="0.25">
      <c r="A247">
        <v>152</v>
      </c>
      <c r="B247">
        <f>SUMIFS('Draft Board'!$AD$2:$AD$162,'Draft Board'!$W$2:$W$162,A247,'Draft Board'!$AD$2:$AD$162,"&lt;&gt;")</f>
        <v>0</v>
      </c>
      <c r="C247">
        <f>SUMIFS('Draft Board'!$AC$2:$AC$162,'Draft Board'!$W$2:$W$162,A247,'Draft Board'!$AD$2:$AD$162,"&lt;&gt;")</f>
        <v>0</v>
      </c>
      <c r="D247">
        <f>COUNTIFS('Draft Board'!$W$2:$W$162,A247,'Draft Board'!$AD$2:$AD$162,"&lt;&gt;")</f>
        <v>0</v>
      </c>
      <c r="E247">
        <f>IFERROR(AVERAGEIFS('Draft Board'!$AC$2:$AC$162,'Draft Board'!$W$2:$W$162,A247),0)</f>
        <v>0</v>
      </c>
      <c r="F247">
        <f>MIN(1,E247/(Setup!$B$3*0.1))</f>
        <v>0</v>
      </c>
      <c r="G247">
        <f t="shared" si="6"/>
        <v>1</v>
      </c>
    </row>
    <row r="248" spans="1:7" x14ac:dyDescent="0.25">
      <c r="A248">
        <v>153</v>
      </c>
      <c r="B248">
        <f>SUMIFS('Draft Board'!$AD$2:$AD$162,'Draft Board'!$W$2:$W$162,A248,'Draft Board'!$AD$2:$AD$162,"&lt;&gt;")</f>
        <v>0</v>
      </c>
      <c r="C248">
        <f>SUMIFS('Draft Board'!$AC$2:$AC$162,'Draft Board'!$W$2:$W$162,A248,'Draft Board'!$AD$2:$AD$162,"&lt;&gt;")</f>
        <v>0</v>
      </c>
      <c r="D248">
        <f>COUNTIFS('Draft Board'!$W$2:$W$162,A248,'Draft Board'!$AD$2:$AD$162,"&lt;&gt;")</f>
        <v>0</v>
      </c>
      <c r="E248">
        <f>IFERROR(AVERAGEIFS('Draft Board'!$AC$2:$AC$162,'Draft Board'!$W$2:$W$162,A248),0)</f>
        <v>0</v>
      </c>
      <c r="F248">
        <f>MIN(1,E248/(Setup!$B$3*0.1))</f>
        <v>0</v>
      </c>
      <c r="G248">
        <f t="shared" si="6"/>
        <v>1</v>
      </c>
    </row>
    <row r="249" spans="1:7" x14ac:dyDescent="0.25">
      <c r="A249">
        <v>154</v>
      </c>
      <c r="B249">
        <f>SUMIFS('Draft Board'!$AD$2:$AD$162,'Draft Board'!$W$2:$W$162,A249,'Draft Board'!$AD$2:$AD$162,"&lt;&gt;")</f>
        <v>0</v>
      </c>
      <c r="C249">
        <f>SUMIFS('Draft Board'!$AC$2:$AC$162,'Draft Board'!$W$2:$W$162,A249,'Draft Board'!$AD$2:$AD$162,"&lt;&gt;")</f>
        <v>0</v>
      </c>
      <c r="D249">
        <f>COUNTIFS('Draft Board'!$W$2:$W$162,A249,'Draft Board'!$AD$2:$AD$162,"&lt;&gt;")</f>
        <v>0</v>
      </c>
      <c r="E249">
        <f>IFERROR(AVERAGEIFS('Draft Board'!$AC$2:$AC$162,'Draft Board'!$W$2:$W$162,A249),0)</f>
        <v>0</v>
      </c>
      <c r="F249">
        <f>MIN(1,E249/(Setup!$B$3*0.1))</f>
        <v>0</v>
      </c>
      <c r="G249">
        <f t="shared" si="6"/>
        <v>1</v>
      </c>
    </row>
    <row r="250" spans="1:7" x14ac:dyDescent="0.25">
      <c r="A250">
        <v>155</v>
      </c>
      <c r="B250">
        <f>SUMIFS('Draft Board'!$AD$2:$AD$162,'Draft Board'!$W$2:$W$162,A250,'Draft Board'!$AD$2:$AD$162,"&lt;&gt;")</f>
        <v>0</v>
      </c>
      <c r="C250">
        <f>SUMIFS('Draft Board'!$AC$2:$AC$162,'Draft Board'!$W$2:$W$162,A250,'Draft Board'!$AD$2:$AD$162,"&lt;&gt;")</f>
        <v>0</v>
      </c>
      <c r="D250">
        <f>COUNTIFS('Draft Board'!$W$2:$W$162,A250,'Draft Board'!$AD$2:$AD$162,"&lt;&gt;")</f>
        <v>0</v>
      </c>
      <c r="E250">
        <f>IFERROR(AVERAGEIFS('Draft Board'!$AC$2:$AC$162,'Draft Board'!$W$2:$W$162,A250),0)</f>
        <v>0</v>
      </c>
      <c r="F250">
        <f>MIN(1,E250/(Setup!$B$3*0.1))</f>
        <v>0</v>
      </c>
      <c r="G250">
        <f t="shared" si="6"/>
        <v>1</v>
      </c>
    </row>
    <row r="251" spans="1:7" x14ac:dyDescent="0.25">
      <c r="A251">
        <v>156</v>
      </c>
      <c r="B251">
        <f>SUMIFS('Draft Board'!$AD$2:$AD$162,'Draft Board'!$W$2:$W$162,A251,'Draft Board'!$AD$2:$AD$162,"&lt;&gt;")</f>
        <v>0</v>
      </c>
      <c r="C251">
        <f>SUMIFS('Draft Board'!$AC$2:$AC$162,'Draft Board'!$W$2:$W$162,A251,'Draft Board'!$AD$2:$AD$162,"&lt;&gt;")</f>
        <v>0</v>
      </c>
      <c r="D251">
        <f>COUNTIFS('Draft Board'!$W$2:$W$162,A251,'Draft Board'!$AD$2:$AD$162,"&lt;&gt;")</f>
        <v>0</v>
      </c>
      <c r="E251">
        <f>IFERROR(AVERAGEIFS('Draft Board'!$AC$2:$AC$162,'Draft Board'!$W$2:$W$162,A251),0)</f>
        <v>0</v>
      </c>
      <c r="F251">
        <f>MIN(1,E251/(Setup!$B$3*0.1))</f>
        <v>0</v>
      </c>
      <c r="G251">
        <f t="shared" si="6"/>
        <v>1</v>
      </c>
    </row>
    <row r="252" spans="1:7" x14ac:dyDescent="0.25">
      <c r="A252">
        <v>157</v>
      </c>
      <c r="B252">
        <f>SUMIFS('Draft Board'!$AD$2:$AD$162,'Draft Board'!$W$2:$W$162,A252,'Draft Board'!$AD$2:$AD$162,"&lt;&gt;")</f>
        <v>0</v>
      </c>
      <c r="C252">
        <f>SUMIFS('Draft Board'!$AC$2:$AC$162,'Draft Board'!$W$2:$W$162,A252,'Draft Board'!$AD$2:$AD$162,"&lt;&gt;")</f>
        <v>0</v>
      </c>
      <c r="D252">
        <f>COUNTIFS('Draft Board'!$W$2:$W$162,A252,'Draft Board'!$AD$2:$AD$162,"&lt;&gt;")</f>
        <v>0</v>
      </c>
      <c r="E252">
        <f>IFERROR(AVERAGEIFS('Draft Board'!$AC$2:$AC$162,'Draft Board'!$W$2:$W$162,A252),0)</f>
        <v>0</v>
      </c>
      <c r="F252">
        <f>MIN(1,E252/(Setup!$B$3*0.1))</f>
        <v>0</v>
      </c>
      <c r="G252">
        <f t="shared" si="6"/>
        <v>1</v>
      </c>
    </row>
    <row r="253" spans="1:7" x14ac:dyDescent="0.25">
      <c r="A253">
        <v>158</v>
      </c>
      <c r="B253">
        <f>SUMIFS('Draft Board'!$AD$2:$AD$162,'Draft Board'!$W$2:$W$162,A253,'Draft Board'!$AD$2:$AD$162,"&lt;&gt;")</f>
        <v>0</v>
      </c>
      <c r="C253">
        <f>SUMIFS('Draft Board'!$AC$2:$AC$162,'Draft Board'!$W$2:$W$162,A253,'Draft Board'!$AD$2:$AD$162,"&lt;&gt;")</f>
        <v>0</v>
      </c>
      <c r="D253">
        <f>COUNTIFS('Draft Board'!$W$2:$W$162,A253,'Draft Board'!$AD$2:$AD$162,"&lt;&gt;")</f>
        <v>0</v>
      </c>
      <c r="E253">
        <f>IFERROR(AVERAGEIFS('Draft Board'!$AC$2:$AC$162,'Draft Board'!$W$2:$W$162,A253),0)</f>
        <v>0</v>
      </c>
      <c r="F253">
        <f>MIN(1,E253/(Setup!$B$3*0.1))</f>
        <v>0</v>
      </c>
      <c r="G253">
        <f t="shared" si="6"/>
        <v>1</v>
      </c>
    </row>
    <row r="254" spans="1:7" x14ac:dyDescent="0.25">
      <c r="A254">
        <v>159</v>
      </c>
      <c r="B254">
        <f>SUMIFS('Draft Board'!$AD$2:$AD$162,'Draft Board'!$W$2:$W$162,A254,'Draft Board'!$AD$2:$AD$162,"&lt;&gt;")</f>
        <v>0</v>
      </c>
      <c r="C254">
        <f>SUMIFS('Draft Board'!$AC$2:$AC$162,'Draft Board'!$W$2:$W$162,A254,'Draft Board'!$AD$2:$AD$162,"&lt;&gt;")</f>
        <v>0</v>
      </c>
      <c r="D254">
        <f>COUNTIFS('Draft Board'!$W$2:$W$162,A254,'Draft Board'!$AD$2:$AD$162,"&lt;&gt;")</f>
        <v>0</v>
      </c>
      <c r="E254">
        <f>IFERROR(AVERAGEIFS('Draft Board'!$AC$2:$AC$162,'Draft Board'!$W$2:$W$162,A254),0)</f>
        <v>0</v>
      </c>
      <c r="F254">
        <f>MIN(1,E254/(Setup!$B$3*0.1))</f>
        <v>0</v>
      </c>
      <c r="G254">
        <f t="shared" si="6"/>
        <v>1</v>
      </c>
    </row>
    <row r="255" spans="1:7" x14ac:dyDescent="0.25">
      <c r="A255">
        <v>160</v>
      </c>
      <c r="B255">
        <f>SUMIFS('Draft Board'!$AD$2:$AD$162,'Draft Board'!$W$2:$W$162,A255,'Draft Board'!$AD$2:$AD$162,"&lt;&gt;")</f>
        <v>0</v>
      </c>
      <c r="C255">
        <f>SUMIFS('Draft Board'!$AC$2:$AC$162,'Draft Board'!$W$2:$W$162,A255,'Draft Board'!$AD$2:$AD$162,"&lt;&gt;")</f>
        <v>0</v>
      </c>
      <c r="D255">
        <f>COUNTIFS('Draft Board'!$W$2:$W$162,A255,'Draft Board'!$AD$2:$AD$162,"&lt;&gt;")</f>
        <v>0</v>
      </c>
      <c r="E255">
        <f>IFERROR(AVERAGEIFS('Draft Board'!$AC$2:$AC$162,'Draft Board'!$W$2:$W$162,A255),0)</f>
        <v>0</v>
      </c>
      <c r="F255">
        <f>MIN(1,E255/(Setup!$B$3*0.1))</f>
        <v>0</v>
      </c>
      <c r="G255">
        <f t="shared" si="6"/>
        <v>1</v>
      </c>
    </row>
    <row r="256" spans="1:7" x14ac:dyDescent="0.25">
      <c r="A256">
        <v>161</v>
      </c>
      <c r="B256">
        <f>SUMIFS('Draft Board'!$AD$2:$AD$162,'Draft Board'!$W$2:$W$162,A256,'Draft Board'!$AD$2:$AD$162,"&lt;&gt;")</f>
        <v>0</v>
      </c>
      <c r="C256">
        <f>SUMIFS('Draft Board'!$AC$2:$AC$162,'Draft Board'!$W$2:$W$162,A256,'Draft Board'!$AD$2:$AD$162,"&lt;&gt;")</f>
        <v>0</v>
      </c>
      <c r="D256">
        <f>COUNTIFS('Draft Board'!$W$2:$W$162,A256,'Draft Board'!$AD$2:$AD$162,"&lt;&gt;")</f>
        <v>0</v>
      </c>
      <c r="E256">
        <f>IFERROR(AVERAGEIFS('Draft Board'!$AC$2:$AC$162,'Draft Board'!$W$2:$W$162,A256),0)</f>
        <v>0</v>
      </c>
      <c r="F256">
        <f>MIN(1,E256/(Setup!$B$3*0.1))</f>
        <v>0</v>
      </c>
      <c r="G256">
        <f t="shared" ref="G256:G287" si="7">IF(D256&lt;2,1,MEDIAN(0.5,2,1+(IFERROR(B256/C256,1)-1)*F256))</f>
        <v>1</v>
      </c>
    </row>
    <row r="258" spans="1:7" x14ac:dyDescent="0.25">
      <c r="A258" s="15" t="s">
        <v>632</v>
      </c>
    </row>
    <row r="259" spans="1:7" x14ac:dyDescent="0.25">
      <c r="A259" s="15" t="s">
        <v>54</v>
      </c>
      <c r="B259" s="15" t="s">
        <v>625</v>
      </c>
      <c r="C259" s="15" t="s">
        <v>626</v>
      </c>
      <c r="D259" s="15" t="s">
        <v>627</v>
      </c>
      <c r="E259" s="15" t="s">
        <v>628</v>
      </c>
      <c r="F259" s="15" t="s">
        <v>629</v>
      </c>
      <c r="G259" s="15" t="s">
        <v>630</v>
      </c>
    </row>
    <row r="260" spans="1:7" x14ac:dyDescent="0.25">
      <c r="A260">
        <v>1</v>
      </c>
      <c r="B260">
        <f>SUMIFS('Draft Board'!$AT$2:$AT$192,'Draft Board'!$AM$2:$AM$192,A260,'Draft Board'!$AT$2:$AT$192,"&lt;&gt;")</f>
        <v>0</v>
      </c>
      <c r="C260">
        <f>SUMIFS('Draft Board'!$AS$2:$AS$192,'Draft Board'!$AM$2:$AM$192,A260,'Draft Board'!$AT$2:$AT$192,"&lt;&gt;")</f>
        <v>0</v>
      </c>
      <c r="D260">
        <f>COUNTIFS('Draft Board'!$AM$2:$AM$192,A260,'Draft Board'!$AT$2:$AT$192,"&lt;&gt;")</f>
        <v>0</v>
      </c>
      <c r="E260">
        <f>IFERROR(AVERAGEIFS('Draft Board'!$AS$2:$AS$192,'Draft Board'!$AM$2:$AM$192,A260),0)</f>
        <v>61.5</v>
      </c>
      <c r="F260">
        <f>MIN(1,E260/(Setup!$B$3*0.1))</f>
        <v>1</v>
      </c>
      <c r="G260">
        <f t="shared" ref="G260:G291" si="8">IF(D260&lt;2,1,MEDIAN(0.5,2,1+(IFERROR(B260/C260,1)-1)*F260))</f>
        <v>1</v>
      </c>
    </row>
    <row r="261" spans="1:7" x14ac:dyDescent="0.25">
      <c r="A261">
        <v>2</v>
      </c>
      <c r="B261">
        <f>SUMIFS('Draft Board'!$AT$2:$AT$192,'Draft Board'!$AM$2:$AM$192,A261,'Draft Board'!$AT$2:$AT$192,"&lt;&gt;")</f>
        <v>0</v>
      </c>
      <c r="C261">
        <f>SUMIFS('Draft Board'!$AS$2:$AS$192,'Draft Board'!$AM$2:$AM$192,A261,'Draft Board'!$AT$2:$AT$192,"&lt;&gt;")</f>
        <v>0</v>
      </c>
      <c r="D261">
        <f>COUNTIFS('Draft Board'!$AM$2:$AM$192,A261,'Draft Board'!$AT$2:$AT$192,"&lt;&gt;")</f>
        <v>0</v>
      </c>
      <c r="E261">
        <f>IFERROR(AVERAGEIFS('Draft Board'!$AS$2:$AS$192,'Draft Board'!$AM$2:$AM$192,A261),0)</f>
        <v>55</v>
      </c>
      <c r="F261">
        <f>MIN(1,E261/(Setup!$B$3*0.1))</f>
        <v>1</v>
      </c>
      <c r="G261">
        <f t="shared" si="8"/>
        <v>1</v>
      </c>
    </row>
    <row r="262" spans="1:7" x14ac:dyDescent="0.25">
      <c r="A262">
        <v>3</v>
      </c>
      <c r="B262">
        <f>SUMIFS('Draft Board'!$AT$2:$AT$192,'Draft Board'!$AM$2:$AM$192,A262,'Draft Board'!$AT$2:$AT$192,"&lt;&gt;")</f>
        <v>0</v>
      </c>
      <c r="C262">
        <f>SUMIFS('Draft Board'!$AS$2:$AS$192,'Draft Board'!$AM$2:$AM$192,A262,'Draft Board'!$AT$2:$AT$192,"&lt;&gt;")</f>
        <v>0</v>
      </c>
      <c r="D262">
        <f>COUNTIFS('Draft Board'!$AM$2:$AM$192,A262,'Draft Board'!$AT$2:$AT$192,"&lt;&gt;")</f>
        <v>0</v>
      </c>
      <c r="E262">
        <f>IFERROR(AVERAGEIFS('Draft Board'!$AS$2:$AS$192,'Draft Board'!$AM$2:$AM$192,A262),0)</f>
        <v>50</v>
      </c>
      <c r="F262">
        <f>MIN(1,E262/(Setup!$B$3*0.1))</f>
        <v>1</v>
      </c>
      <c r="G262">
        <f t="shared" si="8"/>
        <v>1</v>
      </c>
    </row>
    <row r="263" spans="1:7" x14ac:dyDescent="0.25">
      <c r="A263">
        <v>4</v>
      </c>
      <c r="B263">
        <f>SUMIFS('Draft Board'!$AT$2:$AT$192,'Draft Board'!$AM$2:$AM$192,A263,'Draft Board'!$AT$2:$AT$192,"&lt;&gt;")</f>
        <v>0</v>
      </c>
      <c r="C263">
        <f>SUMIFS('Draft Board'!$AS$2:$AS$192,'Draft Board'!$AM$2:$AM$192,A263,'Draft Board'!$AT$2:$AT$192,"&lt;&gt;")</f>
        <v>0</v>
      </c>
      <c r="D263">
        <f>COUNTIFS('Draft Board'!$AM$2:$AM$192,A263,'Draft Board'!$AT$2:$AT$192,"&lt;&gt;")</f>
        <v>0</v>
      </c>
      <c r="E263">
        <f>IFERROR(AVERAGEIFS('Draft Board'!$AS$2:$AS$192,'Draft Board'!$AM$2:$AM$192,A263),0)</f>
        <v>36</v>
      </c>
      <c r="F263">
        <f>MIN(1,E263/(Setup!$B$3*0.1))</f>
        <v>1</v>
      </c>
      <c r="G263">
        <f t="shared" si="8"/>
        <v>1</v>
      </c>
    </row>
    <row r="264" spans="1:7" x14ac:dyDescent="0.25">
      <c r="A264">
        <v>5</v>
      </c>
      <c r="B264">
        <f>SUMIFS('Draft Board'!$AT$2:$AT$192,'Draft Board'!$AM$2:$AM$192,A264,'Draft Board'!$AT$2:$AT$192,"&lt;&gt;")</f>
        <v>0</v>
      </c>
      <c r="C264">
        <f>SUMIFS('Draft Board'!$AS$2:$AS$192,'Draft Board'!$AM$2:$AM$192,A264,'Draft Board'!$AT$2:$AT$192,"&lt;&gt;")</f>
        <v>0</v>
      </c>
      <c r="D264">
        <f>COUNTIFS('Draft Board'!$AM$2:$AM$192,A264,'Draft Board'!$AT$2:$AT$192,"&lt;&gt;")</f>
        <v>0</v>
      </c>
      <c r="E264">
        <f>IFERROR(AVERAGEIFS('Draft Board'!$AS$2:$AS$192,'Draft Board'!$AM$2:$AM$192,A264),0)</f>
        <v>27.375</v>
      </c>
      <c r="F264">
        <f>MIN(1,E264/(Setup!$B$3*0.1))</f>
        <v>1</v>
      </c>
      <c r="G264">
        <f t="shared" si="8"/>
        <v>1</v>
      </c>
    </row>
    <row r="265" spans="1:7" x14ac:dyDescent="0.25">
      <c r="A265">
        <v>6</v>
      </c>
      <c r="B265">
        <f>SUMIFS('Draft Board'!$AT$2:$AT$192,'Draft Board'!$AM$2:$AM$192,A265,'Draft Board'!$AT$2:$AT$192,"&lt;&gt;")</f>
        <v>0</v>
      </c>
      <c r="C265">
        <f>SUMIFS('Draft Board'!$AS$2:$AS$192,'Draft Board'!$AM$2:$AM$192,A265,'Draft Board'!$AT$2:$AT$192,"&lt;&gt;")</f>
        <v>0</v>
      </c>
      <c r="D265">
        <f>COUNTIFS('Draft Board'!$AM$2:$AM$192,A265,'Draft Board'!$AT$2:$AT$192,"&lt;&gt;")</f>
        <v>0</v>
      </c>
      <c r="E265">
        <f>IFERROR(AVERAGEIFS('Draft Board'!$AS$2:$AS$192,'Draft Board'!$AM$2:$AM$192,A265),0)</f>
        <v>18.454545454545453</v>
      </c>
      <c r="F265">
        <f>MIN(1,E265/(Setup!$B$3*0.1))</f>
        <v>0.92272727272727262</v>
      </c>
      <c r="G265">
        <f t="shared" si="8"/>
        <v>1</v>
      </c>
    </row>
    <row r="266" spans="1:7" x14ac:dyDescent="0.25">
      <c r="A266">
        <v>7</v>
      </c>
      <c r="B266">
        <f>SUMIFS('Draft Board'!$AT$2:$AT$192,'Draft Board'!$AM$2:$AM$192,A266,'Draft Board'!$AT$2:$AT$192,"&lt;&gt;")</f>
        <v>0</v>
      </c>
      <c r="C266">
        <f>SUMIFS('Draft Board'!$AS$2:$AS$192,'Draft Board'!$AM$2:$AM$192,A266,'Draft Board'!$AT$2:$AT$192,"&lt;&gt;")</f>
        <v>0</v>
      </c>
      <c r="D266">
        <f>COUNTIFS('Draft Board'!$AM$2:$AM$192,A266,'Draft Board'!$AT$2:$AT$192,"&lt;&gt;")</f>
        <v>0</v>
      </c>
      <c r="E266">
        <f>IFERROR(AVERAGEIFS('Draft Board'!$AS$2:$AS$192,'Draft Board'!$AM$2:$AM$192,A266),0)</f>
        <v>16</v>
      </c>
      <c r="F266">
        <f>MIN(1,E266/(Setup!$B$3*0.1))</f>
        <v>0.8</v>
      </c>
      <c r="G266">
        <f t="shared" si="8"/>
        <v>1</v>
      </c>
    </row>
    <row r="267" spans="1:7" x14ac:dyDescent="0.25">
      <c r="A267">
        <v>8</v>
      </c>
      <c r="B267">
        <f>SUMIFS('Draft Board'!$AT$2:$AT$192,'Draft Board'!$AM$2:$AM$192,A267,'Draft Board'!$AT$2:$AT$192,"&lt;&gt;")</f>
        <v>0</v>
      </c>
      <c r="C267">
        <f>SUMIFS('Draft Board'!$AS$2:$AS$192,'Draft Board'!$AM$2:$AM$192,A267,'Draft Board'!$AT$2:$AT$192,"&lt;&gt;")</f>
        <v>0</v>
      </c>
      <c r="D267">
        <f>COUNTIFS('Draft Board'!$AM$2:$AM$192,A267,'Draft Board'!$AT$2:$AT$192,"&lt;&gt;")</f>
        <v>0</v>
      </c>
      <c r="E267">
        <f>IFERROR(AVERAGEIFS('Draft Board'!$AS$2:$AS$192,'Draft Board'!$AM$2:$AM$192,A267),0)</f>
        <v>15</v>
      </c>
      <c r="F267">
        <f>MIN(1,E267/(Setup!$B$3*0.1))</f>
        <v>0.75</v>
      </c>
      <c r="G267">
        <f t="shared" si="8"/>
        <v>1</v>
      </c>
    </row>
    <row r="268" spans="1:7" x14ac:dyDescent="0.25">
      <c r="A268">
        <v>9</v>
      </c>
      <c r="B268">
        <f>SUMIFS('Draft Board'!$AT$2:$AT$192,'Draft Board'!$AM$2:$AM$192,A268,'Draft Board'!$AT$2:$AT$192,"&lt;&gt;")</f>
        <v>0</v>
      </c>
      <c r="C268">
        <f>SUMIFS('Draft Board'!$AS$2:$AS$192,'Draft Board'!$AM$2:$AM$192,A268,'Draft Board'!$AT$2:$AT$192,"&lt;&gt;")</f>
        <v>0</v>
      </c>
      <c r="D268">
        <f>COUNTIFS('Draft Board'!$AM$2:$AM$192,A268,'Draft Board'!$AT$2:$AT$192,"&lt;&gt;")</f>
        <v>0</v>
      </c>
      <c r="E268">
        <f>IFERROR(AVERAGEIFS('Draft Board'!$AS$2:$AS$192,'Draft Board'!$AM$2:$AM$192,A268),0)</f>
        <v>10.666666666666666</v>
      </c>
      <c r="F268">
        <f>MIN(1,E268/(Setup!$B$3*0.1))</f>
        <v>0.53333333333333333</v>
      </c>
      <c r="G268">
        <f t="shared" si="8"/>
        <v>1</v>
      </c>
    </row>
    <row r="269" spans="1:7" x14ac:dyDescent="0.25">
      <c r="A269">
        <v>10</v>
      </c>
      <c r="B269">
        <f>SUMIFS('Draft Board'!$AT$2:$AT$192,'Draft Board'!$AM$2:$AM$192,A269,'Draft Board'!$AT$2:$AT$192,"&lt;&gt;")</f>
        <v>0</v>
      </c>
      <c r="C269">
        <f>SUMIFS('Draft Board'!$AS$2:$AS$192,'Draft Board'!$AM$2:$AM$192,A269,'Draft Board'!$AT$2:$AT$192,"&lt;&gt;")</f>
        <v>0</v>
      </c>
      <c r="D269">
        <f>COUNTIFS('Draft Board'!$AM$2:$AM$192,A269,'Draft Board'!$AT$2:$AT$192,"&lt;&gt;")</f>
        <v>0</v>
      </c>
      <c r="E269">
        <f>IFERROR(AVERAGEIFS('Draft Board'!$AS$2:$AS$192,'Draft Board'!$AM$2:$AM$192,A269),0)</f>
        <v>8</v>
      </c>
      <c r="F269">
        <f>MIN(1,E269/(Setup!$B$3*0.1))</f>
        <v>0.4</v>
      </c>
      <c r="G269">
        <f t="shared" si="8"/>
        <v>1</v>
      </c>
    </row>
    <row r="270" spans="1:7" x14ac:dyDescent="0.25">
      <c r="A270">
        <v>11</v>
      </c>
      <c r="B270">
        <f>SUMIFS('Draft Board'!$AT$2:$AT$192,'Draft Board'!$AM$2:$AM$192,A270,'Draft Board'!$AT$2:$AT$192,"&lt;&gt;")</f>
        <v>0</v>
      </c>
      <c r="C270">
        <f>SUMIFS('Draft Board'!$AS$2:$AS$192,'Draft Board'!$AM$2:$AM$192,A270,'Draft Board'!$AT$2:$AT$192,"&lt;&gt;")</f>
        <v>0</v>
      </c>
      <c r="D270">
        <f>COUNTIFS('Draft Board'!$AM$2:$AM$192,A270,'Draft Board'!$AT$2:$AT$192,"&lt;&gt;")</f>
        <v>0</v>
      </c>
      <c r="E270">
        <f>IFERROR(AVERAGEIFS('Draft Board'!$AS$2:$AS$192,'Draft Board'!$AM$2:$AM$192,A270),0)</f>
        <v>7</v>
      </c>
      <c r="F270">
        <f>MIN(1,E270/(Setup!$B$3*0.1))</f>
        <v>0.35</v>
      </c>
      <c r="G270">
        <f t="shared" si="8"/>
        <v>1</v>
      </c>
    </row>
    <row r="271" spans="1:7" x14ac:dyDescent="0.25">
      <c r="A271">
        <v>12</v>
      </c>
      <c r="B271">
        <f>SUMIFS('Draft Board'!$AT$2:$AT$192,'Draft Board'!$AM$2:$AM$192,A271,'Draft Board'!$AT$2:$AT$192,"&lt;&gt;")</f>
        <v>0</v>
      </c>
      <c r="C271">
        <f>SUMIFS('Draft Board'!$AS$2:$AS$192,'Draft Board'!$AM$2:$AM$192,A271,'Draft Board'!$AT$2:$AT$192,"&lt;&gt;")</f>
        <v>0</v>
      </c>
      <c r="D271">
        <f>COUNTIFS('Draft Board'!$AM$2:$AM$192,A271,'Draft Board'!$AT$2:$AT$192,"&lt;&gt;")</f>
        <v>0</v>
      </c>
      <c r="E271">
        <f>IFERROR(AVERAGEIFS('Draft Board'!$AS$2:$AS$192,'Draft Board'!$AM$2:$AM$192,A271),0)</f>
        <v>5.333333333333333</v>
      </c>
      <c r="F271">
        <f>MIN(1,E271/(Setup!$B$3*0.1))</f>
        <v>0.26666666666666666</v>
      </c>
      <c r="G271">
        <f t="shared" si="8"/>
        <v>1</v>
      </c>
    </row>
    <row r="272" spans="1:7" x14ac:dyDescent="0.25">
      <c r="A272">
        <v>13</v>
      </c>
      <c r="B272">
        <f>SUMIFS('Draft Board'!$AT$2:$AT$192,'Draft Board'!$AM$2:$AM$192,A272,'Draft Board'!$AT$2:$AT$192,"&lt;&gt;")</f>
        <v>0</v>
      </c>
      <c r="C272">
        <f>SUMIFS('Draft Board'!$AS$2:$AS$192,'Draft Board'!$AM$2:$AM$192,A272,'Draft Board'!$AT$2:$AT$192,"&lt;&gt;")</f>
        <v>0</v>
      </c>
      <c r="D272">
        <f>COUNTIFS('Draft Board'!$AM$2:$AM$192,A272,'Draft Board'!$AT$2:$AT$192,"&lt;&gt;")</f>
        <v>0</v>
      </c>
      <c r="E272">
        <f>IFERROR(AVERAGEIFS('Draft Board'!$AS$2:$AS$192,'Draft Board'!$AM$2:$AM$192,A272),0)</f>
        <v>5</v>
      </c>
      <c r="F272">
        <f>MIN(1,E272/(Setup!$B$3*0.1))</f>
        <v>0.25</v>
      </c>
      <c r="G272">
        <f t="shared" si="8"/>
        <v>1</v>
      </c>
    </row>
    <row r="273" spans="1:7" x14ac:dyDescent="0.25">
      <c r="A273">
        <v>14</v>
      </c>
      <c r="B273">
        <f>SUMIFS('Draft Board'!$AT$2:$AT$192,'Draft Board'!$AM$2:$AM$192,A273,'Draft Board'!$AT$2:$AT$192,"&lt;&gt;")</f>
        <v>0</v>
      </c>
      <c r="C273">
        <f>SUMIFS('Draft Board'!$AS$2:$AS$192,'Draft Board'!$AM$2:$AM$192,A273,'Draft Board'!$AT$2:$AT$192,"&lt;&gt;")</f>
        <v>0</v>
      </c>
      <c r="D273">
        <f>COUNTIFS('Draft Board'!$AM$2:$AM$192,A273,'Draft Board'!$AT$2:$AT$192,"&lt;&gt;")</f>
        <v>0</v>
      </c>
      <c r="E273">
        <f>IFERROR(AVERAGEIFS('Draft Board'!$AS$2:$AS$192,'Draft Board'!$AM$2:$AM$192,A273),0)</f>
        <v>4</v>
      </c>
      <c r="F273">
        <f>MIN(1,E273/(Setup!$B$3*0.1))</f>
        <v>0.2</v>
      </c>
      <c r="G273">
        <f t="shared" si="8"/>
        <v>1</v>
      </c>
    </row>
    <row r="274" spans="1:7" x14ac:dyDescent="0.25">
      <c r="A274">
        <v>15</v>
      </c>
      <c r="B274">
        <f>SUMIFS('Draft Board'!$AT$2:$AT$192,'Draft Board'!$AM$2:$AM$192,A274,'Draft Board'!$AT$2:$AT$192,"&lt;&gt;")</f>
        <v>0</v>
      </c>
      <c r="C274">
        <f>SUMIFS('Draft Board'!$AS$2:$AS$192,'Draft Board'!$AM$2:$AM$192,A274,'Draft Board'!$AT$2:$AT$192,"&lt;&gt;")</f>
        <v>0</v>
      </c>
      <c r="D274">
        <f>COUNTIFS('Draft Board'!$AM$2:$AM$192,A274,'Draft Board'!$AT$2:$AT$192,"&lt;&gt;")</f>
        <v>0</v>
      </c>
      <c r="E274">
        <f>IFERROR(AVERAGEIFS('Draft Board'!$AS$2:$AS$192,'Draft Board'!$AM$2:$AM$192,A274),0)</f>
        <v>3</v>
      </c>
      <c r="F274">
        <f>MIN(1,E274/(Setup!$B$3*0.1))</f>
        <v>0.15</v>
      </c>
      <c r="G274">
        <f t="shared" si="8"/>
        <v>1</v>
      </c>
    </row>
    <row r="275" spans="1:7" x14ac:dyDescent="0.25">
      <c r="A275">
        <v>16</v>
      </c>
      <c r="B275">
        <f>SUMIFS('Draft Board'!$AT$2:$AT$192,'Draft Board'!$AM$2:$AM$192,A275,'Draft Board'!$AT$2:$AT$192,"&lt;&gt;")</f>
        <v>0</v>
      </c>
      <c r="C275">
        <f>SUMIFS('Draft Board'!$AS$2:$AS$192,'Draft Board'!$AM$2:$AM$192,A275,'Draft Board'!$AT$2:$AT$192,"&lt;&gt;")</f>
        <v>0</v>
      </c>
      <c r="D275">
        <f>COUNTIFS('Draft Board'!$AM$2:$AM$192,A275,'Draft Board'!$AT$2:$AT$192,"&lt;&gt;")</f>
        <v>0</v>
      </c>
      <c r="E275">
        <f>IFERROR(AVERAGEIFS('Draft Board'!$AS$2:$AS$192,'Draft Board'!$AM$2:$AM$192,A275),0)</f>
        <v>3</v>
      </c>
      <c r="F275">
        <f>MIN(1,E275/(Setup!$B$3*0.1))</f>
        <v>0.15</v>
      </c>
      <c r="G275">
        <f t="shared" si="8"/>
        <v>1</v>
      </c>
    </row>
    <row r="276" spans="1:7" x14ac:dyDescent="0.25">
      <c r="A276">
        <v>17</v>
      </c>
      <c r="B276">
        <f>SUMIFS('Draft Board'!$AT$2:$AT$192,'Draft Board'!$AM$2:$AM$192,A276,'Draft Board'!$AT$2:$AT$192,"&lt;&gt;")</f>
        <v>0</v>
      </c>
      <c r="C276">
        <f>SUMIFS('Draft Board'!$AS$2:$AS$192,'Draft Board'!$AM$2:$AM$192,A276,'Draft Board'!$AT$2:$AT$192,"&lt;&gt;")</f>
        <v>0</v>
      </c>
      <c r="D276">
        <f>COUNTIFS('Draft Board'!$AM$2:$AM$192,A276,'Draft Board'!$AT$2:$AT$192,"&lt;&gt;")</f>
        <v>0</v>
      </c>
      <c r="E276">
        <f>IFERROR(AVERAGEIFS('Draft Board'!$AS$2:$AS$192,'Draft Board'!$AM$2:$AM$192,A276),0)</f>
        <v>3</v>
      </c>
      <c r="F276">
        <f>MIN(1,E276/(Setup!$B$3*0.1))</f>
        <v>0.15</v>
      </c>
      <c r="G276">
        <f t="shared" si="8"/>
        <v>1</v>
      </c>
    </row>
    <row r="277" spans="1:7" x14ac:dyDescent="0.25">
      <c r="A277">
        <v>18</v>
      </c>
      <c r="B277">
        <f>SUMIFS('Draft Board'!$AT$2:$AT$192,'Draft Board'!$AM$2:$AM$192,A277,'Draft Board'!$AT$2:$AT$192,"&lt;&gt;")</f>
        <v>0</v>
      </c>
      <c r="C277">
        <f>SUMIFS('Draft Board'!$AS$2:$AS$192,'Draft Board'!$AM$2:$AM$192,A277,'Draft Board'!$AT$2:$AT$192,"&lt;&gt;")</f>
        <v>0</v>
      </c>
      <c r="D277">
        <f>COUNTIFS('Draft Board'!$AM$2:$AM$192,A277,'Draft Board'!$AT$2:$AT$192,"&lt;&gt;")</f>
        <v>0</v>
      </c>
      <c r="E277">
        <f>IFERROR(AVERAGEIFS('Draft Board'!$AS$2:$AS$192,'Draft Board'!$AM$2:$AM$192,A277),0)</f>
        <v>2</v>
      </c>
      <c r="F277">
        <f>MIN(1,E277/(Setup!$B$3*0.1))</f>
        <v>0.1</v>
      </c>
      <c r="G277">
        <f t="shared" si="8"/>
        <v>1</v>
      </c>
    </row>
    <row r="278" spans="1:7" x14ac:dyDescent="0.25">
      <c r="A278">
        <v>19</v>
      </c>
      <c r="B278">
        <f>SUMIFS('Draft Board'!$AT$2:$AT$192,'Draft Board'!$AM$2:$AM$192,A278,'Draft Board'!$AT$2:$AT$192,"&lt;&gt;")</f>
        <v>0</v>
      </c>
      <c r="C278">
        <f>SUMIFS('Draft Board'!$AS$2:$AS$192,'Draft Board'!$AM$2:$AM$192,A278,'Draft Board'!$AT$2:$AT$192,"&lt;&gt;")</f>
        <v>0</v>
      </c>
      <c r="D278">
        <f>COUNTIFS('Draft Board'!$AM$2:$AM$192,A278,'Draft Board'!$AT$2:$AT$192,"&lt;&gt;")</f>
        <v>0</v>
      </c>
      <c r="E278">
        <f>IFERROR(AVERAGEIFS('Draft Board'!$AS$2:$AS$192,'Draft Board'!$AM$2:$AM$192,A278),0)</f>
        <v>1</v>
      </c>
      <c r="F278">
        <f>MIN(1,E278/(Setup!$B$3*0.1))</f>
        <v>0.05</v>
      </c>
      <c r="G278">
        <f t="shared" si="8"/>
        <v>1</v>
      </c>
    </row>
    <row r="279" spans="1:7" x14ac:dyDescent="0.25">
      <c r="A279">
        <v>20</v>
      </c>
      <c r="B279">
        <f>SUMIFS('Draft Board'!$AT$2:$AT$192,'Draft Board'!$AM$2:$AM$192,A279,'Draft Board'!$AT$2:$AT$192,"&lt;&gt;")</f>
        <v>0</v>
      </c>
      <c r="C279">
        <f>SUMIFS('Draft Board'!$AS$2:$AS$192,'Draft Board'!$AM$2:$AM$192,A279,'Draft Board'!$AT$2:$AT$192,"&lt;&gt;")</f>
        <v>0</v>
      </c>
      <c r="D279">
        <f>COUNTIFS('Draft Board'!$AM$2:$AM$192,A279,'Draft Board'!$AT$2:$AT$192,"&lt;&gt;")</f>
        <v>0</v>
      </c>
      <c r="E279">
        <f>IFERROR(AVERAGEIFS('Draft Board'!$AS$2:$AS$192,'Draft Board'!$AM$2:$AM$192,A279),0)</f>
        <v>1</v>
      </c>
      <c r="F279">
        <f>MIN(1,E279/(Setup!$B$3*0.1))</f>
        <v>0.05</v>
      </c>
      <c r="G279">
        <f t="shared" si="8"/>
        <v>1</v>
      </c>
    </row>
    <row r="280" spans="1:7" x14ac:dyDescent="0.25">
      <c r="A280">
        <v>21</v>
      </c>
      <c r="B280">
        <f>SUMIFS('Draft Board'!$AT$2:$AT$192,'Draft Board'!$AM$2:$AM$192,A280,'Draft Board'!$AT$2:$AT$192,"&lt;&gt;")</f>
        <v>0</v>
      </c>
      <c r="C280">
        <f>SUMIFS('Draft Board'!$AS$2:$AS$192,'Draft Board'!$AM$2:$AM$192,A280,'Draft Board'!$AT$2:$AT$192,"&lt;&gt;")</f>
        <v>0</v>
      </c>
      <c r="D280">
        <f>COUNTIFS('Draft Board'!$AM$2:$AM$192,A280,'Draft Board'!$AT$2:$AT$192,"&lt;&gt;")</f>
        <v>0</v>
      </c>
      <c r="E280">
        <f>IFERROR(AVERAGEIFS('Draft Board'!$AS$2:$AS$192,'Draft Board'!$AM$2:$AM$192,A280),0)</f>
        <v>1</v>
      </c>
      <c r="F280">
        <f>MIN(1,E280/(Setup!$B$3*0.1))</f>
        <v>0.05</v>
      </c>
      <c r="G280">
        <f t="shared" si="8"/>
        <v>1</v>
      </c>
    </row>
    <row r="281" spans="1:7" x14ac:dyDescent="0.25">
      <c r="A281">
        <v>22</v>
      </c>
      <c r="B281">
        <f>SUMIFS('Draft Board'!$AT$2:$AT$192,'Draft Board'!$AM$2:$AM$192,A281,'Draft Board'!$AT$2:$AT$192,"&lt;&gt;")</f>
        <v>0</v>
      </c>
      <c r="C281">
        <f>SUMIFS('Draft Board'!$AS$2:$AS$192,'Draft Board'!$AM$2:$AM$192,A281,'Draft Board'!$AT$2:$AT$192,"&lt;&gt;")</f>
        <v>0</v>
      </c>
      <c r="D281">
        <f>COUNTIFS('Draft Board'!$AM$2:$AM$192,A281,'Draft Board'!$AT$2:$AT$192,"&lt;&gt;")</f>
        <v>0</v>
      </c>
      <c r="E281">
        <f>IFERROR(AVERAGEIFS('Draft Board'!$AS$2:$AS$192,'Draft Board'!$AM$2:$AM$192,A281),0)</f>
        <v>1</v>
      </c>
      <c r="F281">
        <f>MIN(1,E281/(Setup!$B$3*0.1))</f>
        <v>0.05</v>
      </c>
      <c r="G281">
        <f t="shared" si="8"/>
        <v>1</v>
      </c>
    </row>
    <row r="282" spans="1:7" x14ac:dyDescent="0.25">
      <c r="A282">
        <v>23</v>
      </c>
      <c r="B282">
        <f>SUMIFS('Draft Board'!$AT$2:$AT$192,'Draft Board'!$AM$2:$AM$192,A282,'Draft Board'!$AT$2:$AT$192,"&lt;&gt;")</f>
        <v>0</v>
      </c>
      <c r="C282">
        <f>SUMIFS('Draft Board'!$AS$2:$AS$192,'Draft Board'!$AM$2:$AM$192,A282,'Draft Board'!$AT$2:$AT$192,"&lt;&gt;")</f>
        <v>0</v>
      </c>
      <c r="D282">
        <f>COUNTIFS('Draft Board'!$AM$2:$AM$192,A282,'Draft Board'!$AT$2:$AT$192,"&lt;&gt;")</f>
        <v>0</v>
      </c>
      <c r="E282">
        <f>IFERROR(AVERAGEIFS('Draft Board'!$AS$2:$AS$192,'Draft Board'!$AM$2:$AM$192,A282),0)</f>
        <v>0</v>
      </c>
      <c r="F282">
        <f>MIN(1,E282/(Setup!$B$3*0.1))</f>
        <v>0</v>
      </c>
      <c r="G282">
        <f t="shared" si="8"/>
        <v>1</v>
      </c>
    </row>
    <row r="283" spans="1:7" x14ac:dyDescent="0.25">
      <c r="A283">
        <v>24</v>
      </c>
      <c r="B283">
        <f>SUMIFS('Draft Board'!$AT$2:$AT$192,'Draft Board'!$AM$2:$AM$192,A283,'Draft Board'!$AT$2:$AT$192,"&lt;&gt;")</f>
        <v>0</v>
      </c>
      <c r="C283">
        <f>SUMIFS('Draft Board'!$AS$2:$AS$192,'Draft Board'!$AM$2:$AM$192,A283,'Draft Board'!$AT$2:$AT$192,"&lt;&gt;")</f>
        <v>0</v>
      </c>
      <c r="D283">
        <f>COUNTIFS('Draft Board'!$AM$2:$AM$192,A283,'Draft Board'!$AT$2:$AT$192,"&lt;&gt;")</f>
        <v>0</v>
      </c>
      <c r="E283">
        <f>IFERROR(AVERAGEIFS('Draft Board'!$AS$2:$AS$192,'Draft Board'!$AM$2:$AM$192,A283),0)</f>
        <v>0</v>
      </c>
      <c r="F283">
        <f>MIN(1,E283/(Setup!$B$3*0.1))</f>
        <v>0</v>
      </c>
      <c r="G283">
        <f t="shared" si="8"/>
        <v>1</v>
      </c>
    </row>
    <row r="284" spans="1:7" x14ac:dyDescent="0.25">
      <c r="A284">
        <v>25</v>
      </c>
      <c r="B284">
        <f>SUMIFS('Draft Board'!$AT$2:$AT$192,'Draft Board'!$AM$2:$AM$192,A284,'Draft Board'!$AT$2:$AT$192,"&lt;&gt;")</f>
        <v>0</v>
      </c>
      <c r="C284">
        <f>SUMIFS('Draft Board'!$AS$2:$AS$192,'Draft Board'!$AM$2:$AM$192,A284,'Draft Board'!$AT$2:$AT$192,"&lt;&gt;")</f>
        <v>0</v>
      </c>
      <c r="D284">
        <f>COUNTIFS('Draft Board'!$AM$2:$AM$192,A284,'Draft Board'!$AT$2:$AT$192,"&lt;&gt;")</f>
        <v>0</v>
      </c>
      <c r="E284">
        <f>IFERROR(AVERAGEIFS('Draft Board'!$AS$2:$AS$192,'Draft Board'!$AM$2:$AM$192,A284),0)</f>
        <v>0</v>
      </c>
      <c r="F284">
        <f>MIN(1,E284/(Setup!$B$3*0.1))</f>
        <v>0</v>
      </c>
      <c r="G284">
        <f t="shared" si="8"/>
        <v>1</v>
      </c>
    </row>
    <row r="285" spans="1:7" x14ac:dyDescent="0.25">
      <c r="A285">
        <v>26</v>
      </c>
      <c r="B285">
        <f>SUMIFS('Draft Board'!$AT$2:$AT$192,'Draft Board'!$AM$2:$AM$192,A285,'Draft Board'!$AT$2:$AT$192,"&lt;&gt;")</f>
        <v>0</v>
      </c>
      <c r="C285">
        <f>SUMIFS('Draft Board'!$AS$2:$AS$192,'Draft Board'!$AM$2:$AM$192,A285,'Draft Board'!$AT$2:$AT$192,"&lt;&gt;")</f>
        <v>0</v>
      </c>
      <c r="D285">
        <f>COUNTIFS('Draft Board'!$AM$2:$AM$192,A285,'Draft Board'!$AT$2:$AT$192,"&lt;&gt;")</f>
        <v>0</v>
      </c>
      <c r="E285">
        <f>IFERROR(AVERAGEIFS('Draft Board'!$AS$2:$AS$192,'Draft Board'!$AM$2:$AM$192,A285),0)</f>
        <v>0</v>
      </c>
      <c r="F285">
        <f>MIN(1,E285/(Setup!$B$3*0.1))</f>
        <v>0</v>
      </c>
      <c r="G285">
        <f t="shared" si="8"/>
        <v>1</v>
      </c>
    </row>
    <row r="286" spans="1:7" x14ac:dyDescent="0.25">
      <c r="A286">
        <v>27</v>
      </c>
      <c r="B286">
        <f>SUMIFS('Draft Board'!$AT$2:$AT$192,'Draft Board'!$AM$2:$AM$192,A286,'Draft Board'!$AT$2:$AT$192,"&lt;&gt;")</f>
        <v>0</v>
      </c>
      <c r="C286">
        <f>SUMIFS('Draft Board'!$AS$2:$AS$192,'Draft Board'!$AM$2:$AM$192,A286,'Draft Board'!$AT$2:$AT$192,"&lt;&gt;")</f>
        <v>0</v>
      </c>
      <c r="D286">
        <f>COUNTIFS('Draft Board'!$AM$2:$AM$192,A286,'Draft Board'!$AT$2:$AT$192,"&lt;&gt;")</f>
        <v>0</v>
      </c>
      <c r="E286">
        <f>IFERROR(AVERAGEIFS('Draft Board'!$AS$2:$AS$192,'Draft Board'!$AM$2:$AM$192,A286),0)</f>
        <v>0</v>
      </c>
      <c r="F286">
        <f>MIN(1,E286/(Setup!$B$3*0.1))</f>
        <v>0</v>
      </c>
      <c r="G286">
        <f t="shared" si="8"/>
        <v>1</v>
      </c>
    </row>
    <row r="287" spans="1:7" x14ac:dyDescent="0.25">
      <c r="A287">
        <v>28</v>
      </c>
      <c r="B287">
        <f>SUMIFS('Draft Board'!$AT$2:$AT$192,'Draft Board'!$AM$2:$AM$192,A287,'Draft Board'!$AT$2:$AT$192,"&lt;&gt;")</f>
        <v>0</v>
      </c>
      <c r="C287">
        <f>SUMIFS('Draft Board'!$AS$2:$AS$192,'Draft Board'!$AM$2:$AM$192,A287,'Draft Board'!$AT$2:$AT$192,"&lt;&gt;")</f>
        <v>0</v>
      </c>
      <c r="D287">
        <f>COUNTIFS('Draft Board'!$AM$2:$AM$192,A287,'Draft Board'!$AT$2:$AT$192,"&lt;&gt;")</f>
        <v>0</v>
      </c>
      <c r="E287">
        <f>IFERROR(AVERAGEIFS('Draft Board'!$AS$2:$AS$192,'Draft Board'!$AM$2:$AM$192,A287),0)</f>
        <v>0</v>
      </c>
      <c r="F287">
        <f>MIN(1,E287/(Setup!$B$3*0.1))</f>
        <v>0</v>
      </c>
      <c r="G287">
        <f t="shared" si="8"/>
        <v>1</v>
      </c>
    </row>
    <row r="288" spans="1:7" x14ac:dyDescent="0.25">
      <c r="A288">
        <v>29</v>
      </c>
      <c r="B288">
        <f>SUMIFS('Draft Board'!$AT$2:$AT$192,'Draft Board'!$AM$2:$AM$192,A288,'Draft Board'!$AT$2:$AT$192,"&lt;&gt;")</f>
        <v>0</v>
      </c>
      <c r="C288">
        <f>SUMIFS('Draft Board'!$AS$2:$AS$192,'Draft Board'!$AM$2:$AM$192,A288,'Draft Board'!$AT$2:$AT$192,"&lt;&gt;")</f>
        <v>0</v>
      </c>
      <c r="D288">
        <f>COUNTIFS('Draft Board'!$AM$2:$AM$192,A288,'Draft Board'!$AT$2:$AT$192,"&lt;&gt;")</f>
        <v>0</v>
      </c>
      <c r="E288">
        <f>IFERROR(AVERAGEIFS('Draft Board'!$AS$2:$AS$192,'Draft Board'!$AM$2:$AM$192,A288),0)</f>
        <v>0</v>
      </c>
      <c r="F288">
        <f>MIN(1,E288/(Setup!$B$3*0.1))</f>
        <v>0</v>
      </c>
      <c r="G288">
        <f t="shared" si="8"/>
        <v>1</v>
      </c>
    </row>
    <row r="289" spans="1:7" x14ac:dyDescent="0.25">
      <c r="A289">
        <v>30</v>
      </c>
      <c r="B289">
        <f>SUMIFS('Draft Board'!$AT$2:$AT$192,'Draft Board'!$AM$2:$AM$192,A289,'Draft Board'!$AT$2:$AT$192,"&lt;&gt;")</f>
        <v>0</v>
      </c>
      <c r="C289">
        <f>SUMIFS('Draft Board'!$AS$2:$AS$192,'Draft Board'!$AM$2:$AM$192,A289,'Draft Board'!$AT$2:$AT$192,"&lt;&gt;")</f>
        <v>0</v>
      </c>
      <c r="D289">
        <f>COUNTIFS('Draft Board'!$AM$2:$AM$192,A289,'Draft Board'!$AT$2:$AT$192,"&lt;&gt;")</f>
        <v>0</v>
      </c>
      <c r="E289">
        <f>IFERROR(AVERAGEIFS('Draft Board'!$AS$2:$AS$192,'Draft Board'!$AM$2:$AM$192,A289),0)</f>
        <v>0</v>
      </c>
      <c r="F289">
        <f>MIN(1,E289/(Setup!$B$3*0.1))</f>
        <v>0</v>
      </c>
      <c r="G289">
        <f t="shared" si="8"/>
        <v>1</v>
      </c>
    </row>
    <row r="290" spans="1:7" x14ac:dyDescent="0.25">
      <c r="A290">
        <v>31</v>
      </c>
      <c r="B290">
        <f>SUMIFS('Draft Board'!$AT$2:$AT$192,'Draft Board'!$AM$2:$AM$192,A290,'Draft Board'!$AT$2:$AT$192,"&lt;&gt;")</f>
        <v>0</v>
      </c>
      <c r="C290">
        <f>SUMIFS('Draft Board'!$AS$2:$AS$192,'Draft Board'!$AM$2:$AM$192,A290,'Draft Board'!$AT$2:$AT$192,"&lt;&gt;")</f>
        <v>0</v>
      </c>
      <c r="D290">
        <f>COUNTIFS('Draft Board'!$AM$2:$AM$192,A290,'Draft Board'!$AT$2:$AT$192,"&lt;&gt;")</f>
        <v>0</v>
      </c>
      <c r="E290">
        <f>IFERROR(AVERAGEIFS('Draft Board'!$AS$2:$AS$192,'Draft Board'!$AM$2:$AM$192,A290),0)</f>
        <v>0</v>
      </c>
      <c r="F290">
        <f>MIN(1,E290/(Setup!$B$3*0.1))</f>
        <v>0</v>
      </c>
      <c r="G290">
        <f t="shared" si="8"/>
        <v>1</v>
      </c>
    </row>
    <row r="291" spans="1:7" x14ac:dyDescent="0.25">
      <c r="A291">
        <v>32</v>
      </c>
      <c r="B291">
        <f>SUMIFS('Draft Board'!$AT$2:$AT$192,'Draft Board'!$AM$2:$AM$192,A291,'Draft Board'!$AT$2:$AT$192,"&lt;&gt;")</f>
        <v>0</v>
      </c>
      <c r="C291">
        <f>SUMIFS('Draft Board'!$AS$2:$AS$192,'Draft Board'!$AM$2:$AM$192,A291,'Draft Board'!$AT$2:$AT$192,"&lt;&gt;")</f>
        <v>0</v>
      </c>
      <c r="D291">
        <f>COUNTIFS('Draft Board'!$AM$2:$AM$192,A291,'Draft Board'!$AT$2:$AT$192,"&lt;&gt;")</f>
        <v>0</v>
      </c>
      <c r="E291">
        <f>IFERROR(AVERAGEIFS('Draft Board'!$AS$2:$AS$192,'Draft Board'!$AM$2:$AM$192,A291),0)</f>
        <v>0</v>
      </c>
      <c r="F291">
        <f>MIN(1,E291/(Setup!$B$3*0.1))</f>
        <v>0</v>
      </c>
      <c r="G291">
        <f t="shared" si="8"/>
        <v>1</v>
      </c>
    </row>
    <row r="292" spans="1:7" x14ac:dyDescent="0.25">
      <c r="A292">
        <v>33</v>
      </c>
      <c r="B292">
        <f>SUMIFS('Draft Board'!$AT$2:$AT$192,'Draft Board'!$AM$2:$AM$192,A292,'Draft Board'!$AT$2:$AT$192,"&lt;&gt;")</f>
        <v>0</v>
      </c>
      <c r="C292">
        <f>SUMIFS('Draft Board'!$AS$2:$AS$192,'Draft Board'!$AM$2:$AM$192,A292,'Draft Board'!$AT$2:$AT$192,"&lt;&gt;")</f>
        <v>0</v>
      </c>
      <c r="D292">
        <f>COUNTIFS('Draft Board'!$AM$2:$AM$192,A292,'Draft Board'!$AT$2:$AT$192,"&lt;&gt;")</f>
        <v>0</v>
      </c>
      <c r="E292">
        <f>IFERROR(AVERAGEIFS('Draft Board'!$AS$2:$AS$192,'Draft Board'!$AM$2:$AM$192,A292),0)</f>
        <v>0</v>
      </c>
      <c r="F292">
        <f>MIN(1,E292/(Setup!$B$3*0.1))</f>
        <v>0</v>
      </c>
      <c r="G292">
        <f t="shared" ref="G292:G323" si="9">IF(D292&lt;2,1,MEDIAN(0.5,2,1+(IFERROR(B292/C292,1)-1)*F292))</f>
        <v>1</v>
      </c>
    </row>
    <row r="293" spans="1:7" x14ac:dyDescent="0.25">
      <c r="A293">
        <v>34</v>
      </c>
      <c r="B293">
        <f>SUMIFS('Draft Board'!$AT$2:$AT$192,'Draft Board'!$AM$2:$AM$192,A293,'Draft Board'!$AT$2:$AT$192,"&lt;&gt;")</f>
        <v>0</v>
      </c>
      <c r="C293">
        <f>SUMIFS('Draft Board'!$AS$2:$AS$192,'Draft Board'!$AM$2:$AM$192,A293,'Draft Board'!$AT$2:$AT$192,"&lt;&gt;")</f>
        <v>0</v>
      </c>
      <c r="D293">
        <f>COUNTIFS('Draft Board'!$AM$2:$AM$192,A293,'Draft Board'!$AT$2:$AT$192,"&lt;&gt;")</f>
        <v>0</v>
      </c>
      <c r="E293">
        <f>IFERROR(AVERAGEIFS('Draft Board'!$AS$2:$AS$192,'Draft Board'!$AM$2:$AM$192,A293),0)</f>
        <v>0</v>
      </c>
      <c r="F293">
        <f>MIN(1,E293/(Setup!$B$3*0.1))</f>
        <v>0</v>
      </c>
      <c r="G293">
        <f t="shared" si="9"/>
        <v>1</v>
      </c>
    </row>
    <row r="294" spans="1:7" x14ac:dyDescent="0.25">
      <c r="A294">
        <v>35</v>
      </c>
      <c r="B294">
        <f>SUMIFS('Draft Board'!$AT$2:$AT$192,'Draft Board'!$AM$2:$AM$192,A294,'Draft Board'!$AT$2:$AT$192,"&lt;&gt;")</f>
        <v>0</v>
      </c>
      <c r="C294">
        <f>SUMIFS('Draft Board'!$AS$2:$AS$192,'Draft Board'!$AM$2:$AM$192,A294,'Draft Board'!$AT$2:$AT$192,"&lt;&gt;")</f>
        <v>0</v>
      </c>
      <c r="D294">
        <f>COUNTIFS('Draft Board'!$AM$2:$AM$192,A294,'Draft Board'!$AT$2:$AT$192,"&lt;&gt;")</f>
        <v>0</v>
      </c>
      <c r="E294">
        <f>IFERROR(AVERAGEIFS('Draft Board'!$AS$2:$AS$192,'Draft Board'!$AM$2:$AM$192,A294),0)</f>
        <v>0</v>
      </c>
      <c r="F294">
        <f>MIN(1,E294/(Setup!$B$3*0.1))</f>
        <v>0</v>
      </c>
      <c r="G294">
        <f t="shared" si="9"/>
        <v>1</v>
      </c>
    </row>
    <row r="295" spans="1:7" x14ac:dyDescent="0.25">
      <c r="A295">
        <v>36</v>
      </c>
      <c r="B295">
        <f>SUMIFS('Draft Board'!$AT$2:$AT$192,'Draft Board'!$AM$2:$AM$192,A295,'Draft Board'!$AT$2:$AT$192,"&lt;&gt;")</f>
        <v>0</v>
      </c>
      <c r="C295">
        <f>SUMIFS('Draft Board'!$AS$2:$AS$192,'Draft Board'!$AM$2:$AM$192,A295,'Draft Board'!$AT$2:$AT$192,"&lt;&gt;")</f>
        <v>0</v>
      </c>
      <c r="D295">
        <f>COUNTIFS('Draft Board'!$AM$2:$AM$192,A295,'Draft Board'!$AT$2:$AT$192,"&lt;&gt;")</f>
        <v>0</v>
      </c>
      <c r="E295">
        <f>IFERROR(AVERAGEIFS('Draft Board'!$AS$2:$AS$192,'Draft Board'!$AM$2:$AM$192,A295),0)</f>
        <v>0</v>
      </c>
      <c r="F295">
        <f>MIN(1,E295/(Setup!$B$3*0.1))</f>
        <v>0</v>
      </c>
      <c r="G295">
        <f t="shared" si="9"/>
        <v>1</v>
      </c>
    </row>
    <row r="296" spans="1:7" x14ac:dyDescent="0.25">
      <c r="A296">
        <v>37</v>
      </c>
      <c r="B296">
        <f>SUMIFS('Draft Board'!$AT$2:$AT$192,'Draft Board'!$AM$2:$AM$192,A296,'Draft Board'!$AT$2:$AT$192,"&lt;&gt;")</f>
        <v>0</v>
      </c>
      <c r="C296">
        <f>SUMIFS('Draft Board'!$AS$2:$AS$192,'Draft Board'!$AM$2:$AM$192,A296,'Draft Board'!$AT$2:$AT$192,"&lt;&gt;")</f>
        <v>0</v>
      </c>
      <c r="D296">
        <f>COUNTIFS('Draft Board'!$AM$2:$AM$192,A296,'Draft Board'!$AT$2:$AT$192,"&lt;&gt;")</f>
        <v>0</v>
      </c>
      <c r="E296">
        <f>IFERROR(AVERAGEIFS('Draft Board'!$AS$2:$AS$192,'Draft Board'!$AM$2:$AM$192,A296),0)</f>
        <v>0</v>
      </c>
      <c r="F296">
        <f>MIN(1,E296/(Setup!$B$3*0.1))</f>
        <v>0</v>
      </c>
      <c r="G296">
        <f t="shared" si="9"/>
        <v>1</v>
      </c>
    </row>
    <row r="297" spans="1:7" x14ac:dyDescent="0.25">
      <c r="A297">
        <v>38</v>
      </c>
      <c r="B297">
        <f>SUMIFS('Draft Board'!$AT$2:$AT$192,'Draft Board'!$AM$2:$AM$192,A297,'Draft Board'!$AT$2:$AT$192,"&lt;&gt;")</f>
        <v>0</v>
      </c>
      <c r="C297">
        <f>SUMIFS('Draft Board'!$AS$2:$AS$192,'Draft Board'!$AM$2:$AM$192,A297,'Draft Board'!$AT$2:$AT$192,"&lt;&gt;")</f>
        <v>0</v>
      </c>
      <c r="D297">
        <f>COUNTIFS('Draft Board'!$AM$2:$AM$192,A297,'Draft Board'!$AT$2:$AT$192,"&lt;&gt;")</f>
        <v>0</v>
      </c>
      <c r="E297">
        <f>IFERROR(AVERAGEIFS('Draft Board'!$AS$2:$AS$192,'Draft Board'!$AM$2:$AM$192,A297),0)</f>
        <v>0</v>
      </c>
      <c r="F297">
        <f>MIN(1,E297/(Setup!$B$3*0.1))</f>
        <v>0</v>
      </c>
      <c r="G297">
        <f t="shared" si="9"/>
        <v>1</v>
      </c>
    </row>
    <row r="298" spans="1:7" x14ac:dyDescent="0.25">
      <c r="A298">
        <v>39</v>
      </c>
      <c r="B298">
        <f>SUMIFS('Draft Board'!$AT$2:$AT$192,'Draft Board'!$AM$2:$AM$192,A298,'Draft Board'!$AT$2:$AT$192,"&lt;&gt;")</f>
        <v>0</v>
      </c>
      <c r="C298">
        <f>SUMIFS('Draft Board'!$AS$2:$AS$192,'Draft Board'!$AM$2:$AM$192,A298,'Draft Board'!$AT$2:$AT$192,"&lt;&gt;")</f>
        <v>0</v>
      </c>
      <c r="D298">
        <f>COUNTIFS('Draft Board'!$AM$2:$AM$192,A298,'Draft Board'!$AT$2:$AT$192,"&lt;&gt;")</f>
        <v>0</v>
      </c>
      <c r="E298">
        <f>IFERROR(AVERAGEIFS('Draft Board'!$AS$2:$AS$192,'Draft Board'!$AM$2:$AM$192,A298),0)</f>
        <v>0</v>
      </c>
      <c r="F298">
        <f>MIN(1,E298/(Setup!$B$3*0.1))</f>
        <v>0</v>
      </c>
      <c r="G298">
        <f t="shared" si="9"/>
        <v>1</v>
      </c>
    </row>
    <row r="299" spans="1:7" x14ac:dyDescent="0.25">
      <c r="A299">
        <v>40</v>
      </c>
      <c r="B299">
        <f>SUMIFS('Draft Board'!$AT$2:$AT$192,'Draft Board'!$AM$2:$AM$192,A299,'Draft Board'!$AT$2:$AT$192,"&lt;&gt;")</f>
        <v>0</v>
      </c>
      <c r="C299">
        <f>SUMIFS('Draft Board'!$AS$2:$AS$192,'Draft Board'!$AM$2:$AM$192,A299,'Draft Board'!$AT$2:$AT$192,"&lt;&gt;")</f>
        <v>0</v>
      </c>
      <c r="D299">
        <f>COUNTIFS('Draft Board'!$AM$2:$AM$192,A299,'Draft Board'!$AT$2:$AT$192,"&lt;&gt;")</f>
        <v>0</v>
      </c>
      <c r="E299">
        <f>IFERROR(AVERAGEIFS('Draft Board'!$AS$2:$AS$192,'Draft Board'!$AM$2:$AM$192,A299),0)</f>
        <v>0</v>
      </c>
      <c r="F299">
        <f>MIN(1,E299/(Setup!$B$3*0.1))</f>
        <v>0</v>
      </c>
      <c r="G299">
        <f t="shared" si="9"/>
        <v>1</v>
      </c>
    </row>
    <row r="300" spans="1:7" x14ac:dyDescent="0.25">
      <c r="A300">
        <v>41</v>
      </c>
      <c r="B300">
        <f>SUMIFS('Draft Board'!$AT$2:$AT$192,'Draft Board'!$AM$2:$AM$192,A300,'Draft Board'!$AT$2:$AT$192,"&lt;&gt;")</f>
        <v>0</v>
      </c>
      <c r="C300">
        <f>SUMIFS('Draft Board'!$AS$2:$AS$192,'Draft Board'!$AM$2:$AM$192,A300,'Draft Board'!$AT$2:$AT$192,"&lt;&gt;")</f>
        <v>0</v>
      </c>
      <c r="D300">
        <f>COUNTIFS('Draft Board'!$AM$2:$AM$192,A300,'Draft Board'!$AT$2:$AT$192,"&lt;&gt;")</f>
        <v>0</v>
      </c>
      <c r="E300">
        <f>IFERROR(AVERAGEIFS('Draft Board'!$AS$2:$AS$192,'Draft Board'!$AM$2:$AM$192,A300),0)</f>
        <v>0</v>
      </c>
      <c r="F300">
        <f>MIN(1,E300/(Setup!$B$3*0.1))</f>
        <v>0</v>
      </c>
      <c r="G300">
        <f t="shared" si="9"/>
        <v>1</v>
      </c>
    </row>
    <row r="301" spans="1:7" x14ac:dyDescent="0.25">
      <c r="A301">
        <v>42</v>
      </c>
      <c r="B301">
        <f>SUMIFS('Draft Board'!$AT$2:$AT$192,'Draft Board'!$AM$2:$AM$192,A301,'Draft Board'!$AT$2:$AT$192,"&lt;&gt;")</f>
        <v>0</v>
      </c>
      <c r="C301">
        <f>SUMIFS('Draft Board'!$AS$2:$AS$192,'Draft Board'!$AM$2:$AM$192,A301,'Draft Board'!$AT$2:$AT$192,"&lt;&gt;")</f>
        <v>0</v>
      </c>
      <c r="D301">
        <f>COUNTIFS('Draft Board'!$AM$2:$AM$192,A301,'Draft Board'!$AT$2:$AT$192,"&lt;&gt;")</f>
        <v>0</v>
      </c>
      <c r="E301">
        <f>IFERROR(AVERAGEIFS('Draft Board'!$AS$2:$AS$192,'Draft Board'!$AM$2:$AM$192,A301),0)</f>
        <v>0</v>
      </c>
      <c r="F301">
        <f>MIN(1,E301/(Setup!$B$3*0.1))</f>
        <v>0</v>
      </c>
      <c r="G301">
        <f t="shared" si="9"/>
        <v>1</v>
      </c>
    </row>
    <row r="302" spans="1:7" x14ac:dyDescent="0.25">
      <c r="A302">
        <v>43</v>
      </c>
      <c r="B302">
        <f>SUMIFS('Draft Board'!$AT$2:$AT$192,'Draft Board'!$AM$2:$AM$192,A302,'Draft Board'!$AT$2:$AT$192,"&lt;&gt;")</f>
        <v>0</v>
      </c>
      <c r="C302">
        <f>SUMIFS('Draft Board'!$AS$2:$AS$192,'Draft Board'!$AM$2:$AM$192,A302,'Draft Board'!$AT$2:$AT$192,"&lt;&gt;")</f>
        <v>0</v>
      </c>
      <c r="D302">
        <f>COUNTIFS('Draft Board'!$AM$2:$AM$192,A302,'Draft Board'!$AT$2:$AT$192,"&lt;&gt;")</f>
        <v>0</v>
      </c>
      <c r="E302">
        <f>IFERROR(AVERAGEIFS('Draft Board'!$AS$2:$AS$192,'Draft Board'!$AM$2:$AM$192,A302),0)</f>
        <v>0</v>
      </c>
      <c r="F302">
        <f>MIN(1,E302/(Setup!$B$3*0.1))</f>
        <v>0</v>
      </c>
      <c r="G302">
        <f t="shared" si="9"/>
        <v>1</v>
      </c>
    </row>
    <row r="303" spans="1:7" x14ac:dyDescent="0.25">
      <c r="A303">
        <v>44</v>
      </c>
      <c r="B303">
        <f>SUMIFS('Draft Board'!$AT$2:$AT$192,'Draft Board'!$AM$2:$AM$192,A303,'Draft Board'!$AT$2:$AT$192,"&lt;&gt;")</f>
        <v>0</v>
      </c>
      <c r="C303">
        <f>SUMIFS('Draft Board'!$AS$2:$AS$192,'Draft Board'!$AM$2:$AM$192,A303,'Draft Board'!$AT$2:$AT$192,"&lt;&gt;")</f>
        <v>0</v>
      </c>
      <c r="D303">
        <f>COUNTIFS('Draft Board'!$AM$2:$AM$192,A303,'Draft Board'!$AT$2:$AT$192,"&lt;&gt;")</f>
        <v>0</v>
      </c>
      <c r="E303">
        <f>IFERROR(AVERAGEIFS('Draft Board'!$AS$2:$AS$192,'Draft Board'!$AM$2:$AM$192,A303),0)</f>
        <v>0</v>
      </c>
      <c r="F303">
        <f>MIN(1,E303/(Setup!$B$3*0.1))</f>
        <v>0</v>
      </c>
      <c r="G303">
        <f t="shared" si="9"/>
        <v>1</v>
      </c>
    </row>
    <row r="304" spans="1:7" x14ac:dyDescent="0.25">
      <c r="A304">
        <v>45</v>
      </c>
      <c r="B304">
        <f>SUMIFS('Draft Board'!$AT$2:$AT$192,'Draft Board'!$AM$2:$AM$192,A304,'Draft Board'!$AT$2:$AT$192,"&lt;&gt;")</f>
        <v>0</v>
      </c>
      <c r="C304">
        <f>SUMIFS('Draft Board'!$AS$2:$AS$192,'Draft Board'!$AM$2:$AM$192,A304,'Draft Board'!$AT$2:$AT$192,"&lt;&gt;")</f>
        <v>0</v>
      </c>
      <c r="D304">
        <f>COUNTIFS('Draft Board'!$AM$2:$AM$192,A304,'Draft Board'!$AT$2:$AT$192,"&lt;&gt;")</f>
        <v>0</v>
      </c>
      <c r="E304">
        <f>IFERROR(AVERAGEIFS('Draft Board'!$AS$2:$AS$192,'Draft Board'!$AM$2:$AM$192,A304),0)</f>
        <v>0</v>
      </c>
      <c r="F304">
        <f>MIN(1,E304/(Setup!$B$3*0.1))</f>
        <v>0</v>
      </c>
      <c r="G304">
        <f t="shared" si="9"/>
        <v>1</v>
      </c>
    </row>
    <row r="305" spans="1:7" x14ac:dyDescent="0.25">
      <c r="A305">
        <v>46</v>
      </c>
      <c r="B305">
        <f>SUMIFS('Draft Board'!$AT$2:$AT$192,'Draft Board'!$AM$2:$AM$192,A305,'Draft Board'!$AT$2:$AT$192,"&lt;&gt;")</f>
        <v>0</v>
      </c>
      <c r="C305">
        <f>SUMIFS('Draft Board'!$AS$2:$AS$192,'Draft Board'!$AM$2:$AM$192,A305,'Draft Board'!$AT$2:$AT$192,"&lt;&gt;")</f>
        <v>0</v>
      </c>
      <c r="D305">
        <f>COUNTIFS('Draft Board'!$AM$2:$AM$192,A305,'Draft Board'!$AT$2:$AT$192,"&lt;&gt;")</f>
        <v>0</v>
      </c>
      <c r="E305">
        <f>IFERROR(AVERAGEIFS('Draft Board'!$AS$2:$AS$192,'Draft Board'!$AM$2:$AM$192,A305),0)</f>
        <v>0</v>
      </c>
      <c r="F305">
        <f>MIN(1,E305/(Setup!$B$3*0.1))</f>
        <v>0</v>
      </c>
      <c r="G305">
        <f t="shared" si="9"/>
        <v>1</v>
      </c>
    </row>
    <row r="306" spans="1:7" x14ac:dyDescent="0.25">
      <c r="A306">
        <v>47</v>
      </c>
      <c r="B306">
        <f>SUMIFS('Draft Board'!$AT$2:$AT$192,'Draft Board'!$AM$2:$AM$192,A306,'Draft Board'!$AT$2:$AT$192,"&lt;&gt;")</f>
        <v>0</v>
      </c>
      <c r="C306">
        <f>SUMIFS('Draft Board'!$AS$2:$AS$192,'Draft Board'!$AM$2:$AM$192,A306,'Draft Board'!$AT$2:$AT$192,"&lt;&gt;")</f>
        <v>0</v>
      </c>
      <c r="D306">
        <f>COUNTIFS('Draft Board'!$AM$2:$AM$192,A306,'Draft Board'!$AT$2:$AT$192,"&lt;&gt;")</f>
        <v>0</v>
      </c>
      <c r="E306">
        <f>IFERROR(AVERAGEIFS('Draft Board'!$AS$2:$AS$192,'Draft Board'!$AM$2:$AM$192,A306),0)</f>
        <v>0</v>
      </c>
      <c r="F306">
        <f>MIN(1,E306/(Setup!$B$3*0.1))</f>
        <v>0</v>
      </c>
      <c r="G306">
        <f t="shared" si="9"/>
        <v>1</v>
      </c>
    </row>
    <row r="307" spans="1:7" x14ac:dyDescent="0.25">
      <c r="A307">
        <v>48</v>
      </c>
      <c r="B307">
        <f>SUMIFS('Draft Board'!$AT$2:$AT$192,'Draft Board'!$AM$2:$AM$192,A307,'Draft Board'!$AT$2:$AT$192,"&lt;&gt;")</f>
        <v>0</v>
      </c>
      <c r="C307">
        <f>SUMIFS('Draft Board'!$AS$2:$AS$192,'Draft Board'!$AM$2:$AM$192,A307,'Draft Board'!$AT$2:$AT$192,"&lt;&gt;")</f>
        <v>0</v>
      </c>
      <c r="D307">
        <f>COUNTIFS('Draft Board'!$AM$2:$AM$192,A307,'Draft Board'!$AT$2:$AT$192,"&lt;&gt;")</f>
        <v>0</v>
      </c>
      <c r="E307">
        <f>IFERROR(AVERAGEIFS('Draft Board'!$AS$2:$AS$192,'Draft Board'!$AM$2:$AM$192,A307),0)</f>
        <v>0</v>
      </c>
      <c r="F307">
        <f>MIN(1,E307/(Setup!$B$3*0.1))</f>
        <v>0</v>
      </c>
      <c r="G307">
        <f t="shared" si="9"/>
        <v>1</v>
      </c>
    </row>
    <row r="308" spans="1:7" x14ac:dyDescent="0.25">
      <c r="A308">
        <v>49</v>
      </c>
      <c r="B308">
        <f>SUMIFS('Draft Board'!$AT$2:$AT$192,'Draft Board'!$AM$2:$AM$192,A308,'Draft Board'!$AT$2:$AT$192,"&lt;&gt;")</f>
        <v>0</v>
      </c>
      <c r="C308">
        <f>SUMIFS('Draft Board'!$AS$2:$AS$192,'Draft Board'!$AM$2:$AM$192,A308,'Draft Board'!$AT$2:$AT$192,"&lt;&gt;")</f>
        <v>0</v>
      </c>
      <c r="D308">
        <f>COUNTIFS('Draft Board'!$AM$2:$AM$192,A308,'Draft Board'!$AT$2:$AT$192,"&lt;&gt;")</f>
        <v>0</v>
      </c>
      <c r="E308">
        <f>IFERROR(AVERAGEIFS('Draft Board'!$AS$2:$AS$192,'Draft Board'!$AM$2:$AM$192,A308),0)</f>
        <v>0</v>
      </c>
      <c r="F308">
        <f>MIN(1,E308/(Setup!$B$3*0.1))</f>
        <v>0</v>
      </c>
      <c r="G308">
        <f t="shared" si="9"/>
        <v>1</v>
      </c>
    </row>
    <row r="309" spans="1:7" x14ac:dyDescent="0.25">
      <c r="A309">
        <v>50</v>
      </c>
      <c r="B309">
        <f>SUMIFS('Draft Board'!$AT$2:$AT$192,'Draft Board'!$AM$2:$AM$192,A309,'Draft Board'!$AT$2:$AT$192,"&lt;&gt;")</f>
        <v>0</v>
      </c>
      <c r="C309">
        <f>SUMIFS('Draft Board'!$AS$2:$AS$192,'Draft Board'!$AM$2:$AM$192,A309,'Draft Board'!$AT$2:$AT$192,"&lt;&gt;")</f>
        <v>0</v>
      </c>
      <c r="D309">
        <f>COUNTIFS('Draft Board'!$AM$2:$AM$192,A309,'Draft Board'!$AT$2:$AT$192,"&lt;&gt;")</f>
        <v>0</v>
      </c>
      <c r="E309">
        <f>IFERROR(AVERAGEIFS('Draft Board'!$AS$2:$AS$192,'Draft Board'!$AM$2:$AM$192,A309),0)</f>
        <v>0</v>
      </c>
      <c r="F309">
        <f>MIN(1,E309/(Setup!$B$3*0.1))</f>
        <v>0</v>
      </c>
      <c r="G309">
        <f t="shared" si="9"/>
        <v>1</v>
      </c>
    </row>
    <row r="310" spans="1:7" x14ac:dyDescent="0.25">
      <c r="A310">
        <v>51</v>
      </c>
      <c r="B310">
        <f>SUMIFS('Draft Board'!$AT$2:$AT$192,'Draft Board'!$AM$2:$AM$192,A310,'Draft Board'!$AT$2:$AT$192,"&lt;&gt;")</f>
        <v>0</v>
      </c>
      <c r="C310">
        <f>SUMIFS('Draft Board'!$AS$2:$AS$192,'Draft Board'!$AM$2:$AM$192,A310,'Draft Board'!$AT$2:$AT$192,"&lt;&gt;")</f>
        <v>0</v>
      </c>
      <c r="D310">
        <f>COUNTIFS('Draft Board'!$AM$2:$AM$192,A310,'Draft Board'!$AT$2:$AT$192,"&lt;&gt;")</f>
        <v>0</v>
      </c>
      <c r="E310">
        <f>IFERROR(AVERAGEIFS('Draft Board'!$AS$2:$AS$192,'Draft Board'!$AM$2:$AM$192,A310),0)</f>
        <v>0</v>
      </c>
      <c r="F310">
        <f>MIN(1,E310/(Setup!$B$3*0.1))</f>
        <v>0</v>
      </c>
      <c r="G310">
        <f t="shared" si="9"/>
        <v>1</v>
      </c>
    </row>
    <row r="311" spans="1:7" x14ac:dyDescent="0.25">
      <c r="A311">
        <v>52</v>
      </c>
      <c r="B311">
        <f>SUMIFS('Draft Board'!$AT$2:$AT$192,'Draft Board'!$AM$2:$AM$192,A311,'Draft Board'!$AT$2:$AT$192,"&lt;&gt;")</f>
        <v>0</v>
      </c>
      <c r="C311">
        <f>SUMIFS('Draft Board'!$AS$2:$AS$192,'Draft Board'!$AM$2:$AM$192,A311,'Draft Board'!$AT$2:$AT$192,"&lt;&gt;")</f>
        <v>0</v>
      </c>
      <c r="D311">
        <f>COUNTIFS('Draft Board'!$AM$2:$AM$192,A311,'Draft Board'!$AT$2:$AT$192,"&lt;&gt;")</f>
        <v>0</v>
      </c>
      <c r="E311">
        <f>IFERROR(AVERAGEIFS('Draft Board'!$AS$2:$AS$192,'Draft Board'!$AM$2:$AM$192,A311),0)</f>
        <v>0</v>
      </c>
      <c r="F311">
        <f>MIN(1,E311/(Setup!$B$3*0.1))</f>
        <v>0</v>
      </c>
      <c r="G311">
        <f t="shared" si="9"/>
        <v>1</v>
      </c>
    </row>
    <row r="312" spans="1:7" x14ac:dyDescent="0.25">
      <c r="A312">
        <v>53</v>
      </c>
      <c r="B312">
        <f>SUMIFS('Draft Board'!$AT$2:$AT$192,'Draft Board'!$AM$2:$AM$192,A312,'Draft Board'!$AT$2:$AT$192,"&lt;&gt;")</f>
        <v>0</v>
      </c>
      <c r="C312">
        <f>SUMIFS('Draft Board'!$AS$2:$AS$192,'Draft Board'!$AM$2:$AM$192,A312,'Draft Board'!$AT$2:$AT$192,"&lt;&gt;")</f>
        <v>0</v>
      </c>
      <c r="D312">
        <f>COUNTIFS('Draft Board'!$AM$2:$AM$192,A312,'Draft Board'!$AT$2:$AT$192,"&lt;&gt;")</f>
        <v>0</v>
      </c>
      <c r="E312">
        <f>IFERROR(AVERAGEIFS('Draft Board'!$AS$2:$AS$192,'Draft Board'!$AM$2:$AM$192,A312),0)</f>
        <v>0</v>
      </c>
      <c r="F312">
        <f>MIN(1,E312/(Setup!$B$3*0.1))</f>
        <v>0</v>
      </c>
      <c r="G312">
        <f t="shared" si="9"/>
        <v>1</v>
      </c>
    </row>
    <row r="313" spans="1:7" x14ac:dyDescent="0.25">
      <c r="A313">
        <v>54</v>
      </c>
      <c r="B313">
        <f>SUMIFS('Draft Board'!$AT$2:$AT$192,'Draft Board'!$AM$2:$AM$192,A313,'Draft Board'!$AT$2:$AT$192,"&lt;&gt;")</f>
        <v>0</v>
      </c>
      <c r="C313">
        <f>SUMIFS('Draft Board'!$AS$2:$AS$192,'Draft Board'!$AM$2:$AM$192,A313,'Draft Board'!$AT$2:$AT$192,"&lt;&gt;")</f>
        <v>0</v>
      </c>
      <c r="D313">
        <f>COUNTIFS('Draft Board'!$AM$2:$AM$192,A313,'Draft Board'!$AT$2:$AT$192,"&lt;&gt;")</f>
        <v>0</v>
      </c>
      <c r="E313">
        <f>IFERROR(AVERAGEIFS('Draft Board'!$AS$2:$AS$192,'Draft Board'!$AM$2:$AM$192,A313),0)</f>
        <v>0</v>
      </c>
      <c r="F313">
        <f>MIN(1,E313/(Setup!$B$3*0.1))</f>
        <v>0</v>
      </c>
      <c r="G313">
        <f t="shared" si="9"/>
        <v>1</v>
      </c>
    </row>
    <row r="314" spans="1:7" x14ac:dyDescent="0.25">
      <c r="A314">
        <v>55</v>
      </c>
      <c r="B314">
        <f>SUMIFS('Draft Board'!$AT$2:$AT$192,'Draft Board'!$AM$2:$AM$192,A314,'Draft Board'!$AT$2:$AT$192,"&lt;&gt;")</f>
        <v>0</v>
      </c>
      <c r="C314">
        <f>SUMIFS('Draft Board'!$AS$2:$AS$192,'Draft Board'!$AM$2:$AM$192,A314,'Draft Board'!$AT$2:$AT$192,"&lt;&gt;")</f>
        <v>0</v>
      </c>
      <c r="D314">
        <f>COUNTIFS('Draft Board'!$AM$2:$AM$192,A314,'Draft Board'!$AT$2:$AT$192,"&lt;&gt;")</f>
        <v>0</v>
      </c>
      <c r="E314">
        <f>IFERROR(AVERAGEIFS('Draft Board'!$AS$2:$AS$192,'Draft Board'!$AM$2:$AM$192,A314),0)</f>
        <v>0</v>
      </c>
      <c r="F314">
        <f>MIN(1,E314/(Setup!$B$3*0.1))</f>
        <v>0</v>
      </c>
      <c r="G314">
        <f t="shared" si="9"/>
        <v>1</v>
      </c>
    </row>
    <row r="315" spans="1:7" x14ac:dyDescent="0.25">
      <c r="A315">
        <v>56</v>
      </c>
      <c r="B315">
        <f>SUMIFS('Draft Board'!$AT$2:$AT$192,'Draft Board'!$AM$2:$AM$192,A315,'Draft Board'!$AT$2:$AT$192,"&lt;&gt;")</f>
        <v>0</v>
      </c>
      <c r="C315">
        <f>SUMIFS('Draft Board'!$AS$2:$AS$192,'Draft Board'!$AM$2:$AM$192,A315,'Draft Board'!$AT$2:$AT$192,"&lt;&gt;")</f>
        <v>0</v>
      </c>
      <c r="D315">
        <f>COUNTIFS('Draft Board'!$AM$2:$AM$192,A315,'Draft Board'!$AT$2:$AT$192,"&lt;&gt;")</f>
        <v>0</v>
      </c>
      <c r="E315">
        <f>IFERROR(AVERAGEIFS('Draft Board'!$AS$2:$AS$192,'Draft Board'!$AM$2:$AM$192,A315),0)</f>
        <v>0</v>
      </c>
      <c r="F315">
        <f>MIN(1,E315/(Setup!$B$3*0.1))</f>
        <v>0</v>
      </c>
      <c r="G315">
        <f t="shared" si="9"/>
        <v>1</v>
      </c>
    </row>
    <row r="316" spans="1:7" x14ac:dyDescent="0.25">
      <c r="A316">
        <v>57</v>
      </c>
      <c r="B316">
        <f>SUMIFS('Draft Board'!$AT$2:$AT$192,'Draft Board'!$AM$2:$AM$192,A316,'Draft Board'!$AT$2:$AT$192,"&lt;&gt;")</f>
        <v>0</v>
      </c>
      <c r="C316">
        <f>SUMIFS('Draft Board'!$AS$2:$AS$192,'Draft Board'!$AM$2:$AM$192,A316,'Draft Board'!$AT$2:$AT$192,"&lt;&gt;")</f>
        <v>0</v>
      </c>
      <c r="D316">
        <f>COUNTIFS('Draft Board'!$AM$2:$AM$192,A316,'Draft Board'!$AT$2:$AT$192,"&lt;&gt;")</f>
        <v>0</v>
      </c>
      <c r="E316">
        <f>IFERROR(AVERAGEIFS('Draft Board'!$AS$2:$AS$192,'Draft Board'!$AM$2:$AM$192,A316),0)</f>
        <v>0</v>
      </c>
      <c r="F316">
        <f>MIN(1,E316/(Setup!$B$3*0.1))</f>
        <v>0</v>
      </c>
      <c r="G316">
        <f t="shared" si="9"/>
        <v>1</v>
      </c>
    </row>
    <row r="317" spans="1:7" x14ac:dyDescent="0.25">
      <c r="A317">
        <v>58</v>
      </c>
      <c r="B317">
        <f>SUMIFS('Draft Board'!$AT$2:$AT$192,'Draft Board'!$AM$2:$AM$192,A317,'Draft Board'!$AT$2:$AT$192,"&lt;&gt;")</f>
        <v>0</v>
      </c>
      <c r="C317">
        <f>SUMIFS('Draft Board'!$AS$2:$AS$192,'Draft Board'!$AM$2:$AM$192,A317,'Draft Board'!$AT$2:$AT$192,"&lt;&gt;")</f>
        <v>0</v>
      </c>
      <c r="D317">
        <f>COUNTIFS('Draft Board'!$AM$2:$AM$192,A317,'Draft Board'!$AT$2:$AT$192,"&lt;&gt;")</f>
        <v>0</v>
      </c>
      <c r="E317">
        <f>IFERROR(AVERAGEIFS('Draft Board'!$AS$2:$AS$192,'Draft Board'!$AM$2:$AM$192,A317),0)</f>
        <v>0</v>
      </c>
      <c r="F317">
        <f>MIN(1,E317/(Setup!$B$3*0.1))</f>
        <v>0</v>
      </c>
      <c r="G317">
        <f t="shared" si="9"/>
        <v>1</v>
      </c>
    </row>
    <row r="318" spans="1:7" x14ac:dyDescent="0.25">
      <c r="A318">
        <v>59</v>
      </c>
      <c r="B318">
        <f>SUMIFS('Draft Board'!$AT$2:$AT$192,'Draft Board'!$AM$2:$AM$192,A318,'Draft Board'!$AT$2:$AT$192,"&lt;&gt;")</f>
        <v>0</v>
      </c>
      <c r="C318">
        <f>SUMIFS('Draft Board'!$AS$2:$AS$192,'Draft Board'!$AM$2:$AM$192,A318,'Draft Board'!$AT$2:$AT$192,"&lt;&gt;")</f>
        <v>0</v>
      </c>
      <c r="D318">
        <f>COUNTIFS('Draft Board'!$AM$2:$AM$192,A318,'Draft Board'!$AT$2:$AT$192,"&lt;&gt;")</f>
        <v>0</v>
      </c>
      <c r="E318">
        <f>IFERROR(AVERAGEIFS('Draft Board'!$AS$2:$AS$192,'Draft Board'!$AM$2:$AM$192,A318),0)</f>
        <v>0</v>
      </c>
      <c r="F318">
        <f>MIN(1,E318/(Setup!$B$3*0.1))</f>
        <v>0</v>
      </c>
      <c r="G318">
        <f t="shared" si="9"/>
        <v>1</v>
      </c>
    </row>
    <row r="319" spans="1:7" x14ac:dyDescent="0.25">
      <c r="A319">
        <v>60</v>
      </c>
      <c r="B319">
        <f>SUMIFS('Draft Board'!$AT$2:$AT$192,'Draft Board'!$AM$2:$AM$192,A319,'Draft Board'!$AT$2:$AT$192,"&lt;&gt;")</f>
        <v>0</v>
      </c>
      <c r="C319">
        <f>SUMIFS('Draft Board'!$AS$2:$AS$192,'Draft Board'!$AM$2:$AM$192,A319,'Draft Board'!$AT$2:$AT$192,"&lt;&gt;")</f>
        <v>0</v>
      </c>
      <c r="D319">
        <f>COUNTIFS('Draft Board'!$AM$2:$AM$192,A319,'Draft Board'!$AT$2:$AT$192,"&lt;&gt;")</f>
        <v>0</v>
      </c>
      <c r="E319">
        <f>IFERROR(AVERAGEIFS('Draft Board'!$AS$2:$AS$192,'Draft Board'!$AM$2:$AM$192,A319),0)</f>
        <v>0</v>
      </c>
      <c r="F319">
        <f>MIN(1,E319/(Setup!$B$3*0.1))</f>
        <v>0</v>
      </c>
      <c r="G319">
        <f t="shared" si="9"/>
        <v>1</v>
      </c>
    </row>
    <row r="320" spans="1:7" x14ac:dyDescent="0.25">
      <c r="A320">
        <v>61</v>
      </c>
      <c r="B320">
        <f>SUMIFS('Draft Board'!$AT$2:$AT$192,'Draft Board'!$AM$2:$AM$192,A320,'Draft Board'!$AT$2:$AT$192,"&lt;&gt;")</f>
        <v>0</v>
      </c>
      <c r="C320">
        <f>SUMIFS('Draft Board'!$AS$2:$AS$192,'Draft Board'!$AM$2:$AM$192,A320,'Draft Board'!$AT$2:$AT$192,"&lt;&gt;")</f>
        <v>0</v>
      </c>
      <c r="D320">
        <f>COUNTIFS('Draft Board'!$AM$2:$AM$192,A320,'Draft Board'!$AT$2:$AT$192,"&lt;&gt;")</f>
        <v>0</v>
      </c>
      <c r="E320">
        <f>IFERROR(AVERAGEIFS('Draft Board'!$AS$2:$AS$192,'Draft Board'!$AM$2:$AM$192,A320),0)</f>
        <v>0</v>
      </c>
      <c r="F320">
        <f>MIN(1,E320/(Setup!$B$3*0.1))</f>
        <v>0</v>
      </c>
      <c r="G320">
        <f t="shared" si="9"/>
        <v>1</v>
      </c>
    </row>
    <row r="321" spans="1:7" x14ac:dyDescent="0.25">
      <c r="A321">
        <v>62</v>
      </c>
      <c r="B321">
        <f>SUMIFS('Draft Board'!$AT$2:$AT$192,'Draft Board'!$AM$2:$AM$192,A321,'Draft Board'!$AT$2:$AT$192,"&lt;&gt;")</f>
        <v>0</v>
      </c>
      <c r="C321">
        <f>SUMIFS('Draft Board'!$AS$2:$AS$192,'Draft Board'!$AM$2:$AM$192,A321,'Draft Board'!$AT$2:$AT$192,"&lt;&gt;")</f>
        <v>0</v>
      </c>
      <c r="D321">
        <f>COUNTIFS('Draft Board'!$AM$2:$AM$192,A321,'Draft Board'!$AT$2:$AT$192,"&lt;&gt;")</f>
        <v>0</v>
      </c>
      <c r="E321">
        <f>IFERROR(AVERAGEIFS('Draft Board'!$AS$2:$AS$192,'Draft Board'!$AM$2:$AM$192,A321),0)</f>
        <v>0</v>
      </c>
      <c r="F321">
        <f>MIN(1,E321/(Setup!$B$3*0.1))</f>
        <v>0</v>
      </c>
      <c r="G321">
        <f t="shared" si="9"/>
        <v>1</v>
      </c>
    </row>
    <row r="322" spans="1:7" x14ac:dyDescent="0.25">
      <c r="A322">
        <v>63</v>
      </c>
      <c r="B322">
        <f>SUMIFS('Draft Board'!$AT$2:$AT$192,'Draft Board'!$AM$2:$AM$192,A322,'Draft Board'!$AT$2:$AT$192,"&lt;&gt;")</f>
        <v>0</v>
      </c>
      <c r="C322">
        <f>SUMIFS('Draft Board'!$AS$2:$AS$192,'Draft Board'!$AM$2:$AM$192,A322,'Draft Board'!$AT$2:$AT$192,"&lt;&gt;")</f>
        <v>0</v>
      </c>
      <c r="D322">
        <f>COUNTIFS('Draft Board'!$AM$2:$AM$192,A322,'Draft Board'!$AT$2:$AT$192,"&lt;&gt;")</f>
        <v>0</v>
      </c>
      <c r="E322">
        <f>IFERROR(AVERAGEIFS('Draft Board'!$AS$2:$AS$192,'Draft Board'!$AM$2:$AM$192,A322),0)</f>
        <v>0</v>
      </c>
      <c r="F322">
        <f>MIN(1,E322/(Setup!$B$3*0.1))</f>
        <v>0</v>
      </c>
      <c r="G322">
        <f t="shared" si="9"/>
        <v>1</v>
      </c>
    </row>
    <row r="323" spans="1:7" x14ac:dyDescent="0.25">
      <c r="A323">
        <v>64</v>
      </c>
      <c r="B323">
        <f>SUMIFS('Draft Board'!$AT$2:$AT$192,'Draft Board'!$AM$2:$AM$192,A323,'Draft Board'!$AT$2:$AT$192,"&lt;&gt;")</f>
        <v>0</v>
      </c>
      <c r="C323">
        <f>SUMIFS('Draft Board'!$AS$2:$AS$192,'Draft Board'!$AM$2:$AM$192,A323,'Draft Board'!$AT$2:$AT$192,"&lt;&gt;")</f>
        <v>0</v>
      </c>
      <c r="D323">
        <f>COUNTIFS('Draft Board'!$AM$2:$AM$192,A323,'Draft Board'!$AT$2:$AT$192,"&lt;&gt;")</f>
        <v>0</v>
      </c>
      <c r="E323">
        <f>IFERROR(AVERAGEIFS('Draft Board'!$AS$2:$AS$192,'Draft Board'!$AM$2:$AM$192,A323),0)</f>
        <v>0</v>
      </c>
      <c r="F323">
        <f>MIN(1,E323/(Setup!$B$3*0.1))</f>
        <v>0</v>
      </c>
      <c r="G323">
        <f t="shared" si="9"/>
        <v>1</v>
      </c>
    </row>
    <row r="324" spans="1:7" x14ac:dyDescent="0.25">
      <c r="A324">
        <v>65</v>
      </c>
      <c r="B324">
        <f>SUMIFS('Draft Board'!$AT$2:$AT$192,'Draft Board'!$AM$2:$AM$192,A324,'Draft Board'!$AT$2:$AT$192,"&lt;&gt;")</f>
        <v>0</v>
      </c>
      <c r="C324">
        <f>SUMIFS('Draft Board'!$AS$2:$AS$192,'Draft Board'!$AM$2:$AM$192,A324,'Draft Board'!$AT$2:$AT$192,"&lt;&gt;")</f>
        <v>0</v>
      </c>
      <c r="D324">
        <f>COUNTIFS('Draft Board'!$AM$2:$AM$192,A324,'Draft Board'!$AT$2:$AT$192,"&lt;&gt;")</f>
        <v>0</v>
      </c>
      <c r="E324">
        <f>IFERROR(AVERAGEIFS('Draft Board'!$AS$2:$AS$192,'Draft Board'!$AM$2:$AM$192,A324),0)</f>
        <v>0</v>
      </c>
      <c r="F324">
        <f>MIN(1,E324/(Setup!$B$3*0.1))</f>
        <v>0</v>
      </c>
      <c r="G324">
        <f t="shared" ref="G324:G355" si="10">IF(D324&lt;2,1,MEDIAN(0.5,2,1+(IFERROR(B324/C324,1)-1)*F324))</f>
        <v>1</v>
      </c>
    </row>
    <row r="325" spans="1:7" x14ac:dyDescent="0.25">
      <c r="A325">
        <v>66</v>
      </c>
      <c r="B325">
        <f>SUMIFS('Draft Board'!$AT$2:$AT$192,'Draft Board'!$AM$2:$AM$192,A325,'Draft Board'!$AT$2:$AT$192,"&lt;&gt;")</f>
        <v>0</v>
      </c>
      <c r="C325">
        <f>SUMIFS('Draft Board'!$AS$2:$AS$192,'Draft Board'!$AM$2:$AM$192,A325,'Draft Board'!$AT$2:$AT$192,"&lt;&gt;")</f>
        <v>0</v>
      </c>
      <c r="D325">
        <f>COUNTIFS('Draft Board'!$AM$2:$AM$192,A325,'Draft Board'!$AT$2:$AT$192,"&lt;&gt;")</f>
        <v>0</v>
      </c>
      <c r="E325">
        <f>IFERROR(AVERAGEIFS('Draft Board'!$AS$2:$AS$192,'Draft Board'!$AM$2:$AM$192,A325),0)</f>
        <v>0</v>
      </c>
      <c r="F325">
        <f>MIN(1,E325/(Setup!$B$3*0.1))</f>
        <v>0</v>
      </c>
      <c r="G325">
        <f t="shared" si="10"/>
        <v>1</v>
      </c>
    </row>
    <row r="326" spans="1:7" x14ac:dyDescent="0.25">
      <c r="A326">
        <v>67</v>
      </c>
      <c r="B326">
        <f>SUMIFS('Draft Board'!$AT$2:$AT$192,'Draft Board'!$AM$2:$AM$192,A326,'Draft Board'!$AT$2:$AT$192,"&lt;&gt;")</f>
        <v>0</v>
      </c>
      <c r="C326">
        <f>SUMIFS('Draft Board'!$AS$2:$AS$192,'Draft Board'!$AM$2:$AM$192,A326,'Draft Board'!$AT$2:$AT$192,"&lt;&gt;")</f>
        <v>0</v>
      </c>
      <c r="D326">
        <f>COUNTIFS('Draft Board'!$AM$2:$AM$192,A326,'Draft Board'!$AT$2:$AT$192,"&lt;&gt;")</f>
        <v>0</v>
      </c>
      <c r="E326">
        <f>IFERROR(AVERAGEIFS('Draft Board'!$AS$2:$AS$192,'Draft Board'!$AM$2:$AM$192,A326),0)</f>
        <v>0</v>
      </c>
      <c r="F326">
        <f>MIN(1,E326/(Setup!$B$3*0.1))</f>
        <v>0</v>
      </c>
      <c r="G326">
        <f t="shared" si="10"/>
        <v>1</v>
      </c>
    </row>
    <row r="327" spans="1:7" x14ac:dyDescent="0.25">
      <c r="A327">
        <v>68</v>
      </c>
      <c r="B327">
        <f>SUMIFS('Draft Board'!$AT$2:$AT$192,'Draft Board'!$AM$2:$AM$192,A327,'Draft Board'!$AT$2:$AT$192,"&lt;&gt;")</f>
        <v>0</v>
      </c>
      <c r="C327">
        <f>SUMIFS('Draft Board'!$AS$2:$AS$192,'Draft Board'!$AM$2:$AM$192,A327,'Draft Board'!$AT$2:$AT$192,"&lt;&gt;")</f>
        <v>0</v>
      </c>
      <c r="D327">
        <f>COUNTIFS('Draft Board'!$AM$2:$AM$192,A327,'Draft Board'!$AT$2:$AT$192,"&lt;&gt;")</f>
        <v>0</v>
      </c>
      <c r="E327">
        <f>IFERROR(AVERAGEIFS('Draft Board'!$AS$2:$AS$192,'Draft Board'!$AM$2:$AM$192,A327),0)</f>
        <v>0</v>
      </c>
      <c r="F327">
        <f>MIN(1,E327/(Setup!$B$3*0.1))</f>
        <v>0</v>
      </c>
      <c r="G327">
        <f t="shared" si="10"/>
        <v>1</v>
      </c>
    </row>
    <row r="328" spans="1:7" x14ac:dyDescent="0.25">
      <c r="A328">
        <v>69</v>
      </c>
      <c r="B328">
        <f>SUMIFS('Draft Board'!$AT$2:$AT$192,'Draft Board'!$AM$2:$AM$192,A328,'Draft Board'!$AT$2:$AT$192,"&lt;&gt;")</f>
        <v>0</v>
      </c>
      <c r="C328">
        <f>SUMIFS('Draft Board'!$AS$2:$AS$192,'Draft Board'!$AM$2:$AM$192,A328,'Draft Board'!$AT$2:$AT$192,"&lt;&gt;")</f>
        <v>0</v>
      </c>
      <c r="D328">
        <f>COUNTIFS('Draft Board'!$AM$2:$AM$192,A328,'Draft Board'!$AT$2:$AT$192,"&lt;&gt;")</f>
        <v>0</v>
      </c>
      <c r="E328">
        <f>IFERROR(AVERAGEIFS('Draft Board'!$AS$2:$AS$192,'Draft Board'!$AM$2:$AM$192,A328),0)</f>
        <v>0</v>
      </c>
      <c r="F328">
        <f>MIN(1,E328/(Setup!$B$3*0.1))</f>
        <v>0</v>
      </c>
      <c r="G328">
        <f t="shared" si="10"/>
        <v>1</v>
      </c>
    </row>
    <row r="329" spans="1:7" x14ac:dyDescent="0.25">
      <c r="A329">
        <v>70</v>
      </c>
      <c r="B329">
        <f>SUMIFS('Draft Board'!$AT$2:$AT$192,'Draft Board'!$AM$2:$AM$192,A329,'Draft Board'!$AT$2:$AT$192,"&lt;&gt;")</f>
        <v>0</v>
      </c>
      <c r="C329">
        <f>SUMIFS('Draft Board'!$AS$2:$AS$192,'Draft Board'!$AM$2:$AM$192,A329,'Draft Board'!$AT$2:$AT$192,"&lt;&gt;")</f>
        <v>0</v>
      </c>
      <c r="D329">
        <f>COUNTIFS('Draft Board'!$AM$2:$AM$192,A329,'Draft Board'!$AT$2:$AT$192,"&lt;&gt;")</f>
        <v>0</v>
      </c>
      <c r="E329">
        <f>IFERROR(AVERAGEIFS('Draft Board'!$AS$2:$AS$192,'Draft Board'!$AM$2:$AM$192,A329),0)</f>
        <v>0</v>
      </c>
      <c r="F329">
        <f>MIN(1,E329/(Setup!$B$3*0.1))</f>
        <v>0</v>
      </c>
      <c r="G329">
        <f t="shared" si="10"/>
        <v>1</v>
      </c>
    </row>
    <row r="330" spans="1:7" x14ac:dyDescent="0.25">
      <c r="A330">
        <v>71</v>
      </c>
      <c r="B330">
        <f>SUMIFS('Draft Board'!$AT$2:$AT$192,'Draft Board'!$AM$2:$AM$192,A330,'Draft Board'!$AT$2:$AT$192,"&lt;&gt;")</f>
        <v>0</v>
      </c>
      <c r="C330">
        <f>SUMIFS('Draft Board'!$AS$2:$AS$192,'Draft Board'!$AM$2:$AM$192,A330,'Draft Board'!$AT$2:$AT$192,"&lt;&gt;")</f>
        <v>0</v>
      </c>
      <c r="D330">
        <f>COUNTIFS('Draft Board'!$AM$2:$AM$192,A330,'Draft Board'!$AT$2:$AT$192,"&lt;&gt;")</f>
        <v>0</v>
      </c>
      <c r="E330">
        <f>IFERROR(AVERAGEIFS('Draft Board'!$AS$2:$AS$192,'Draft Board'!$AM$2:$AM$192,A330),0)</f>
        <v>0</v>
      </c>
      <c r="F330">
        <f>MIN(1,E330/(Setup!$B$3*0.1))</f>
        <v>0</v>
      </c>
      <c r="G330">
        <f t="shared" si="10"/>
        <v>1</v>
      </c>
    </row>
    <row r="331" spans="1:7" x14ac:dyDescent="0.25">
      <c r="A331">
        <v>72</v>
      </c>
      <c r="B331">
        <f>SUMIFS('Draft Board'!$AT$2:$AT$192,'Draft Board'!$AM$2:$AM$192,A331,'Draft Board'!$AT$2:$AT$192,"&lt;&gt;")</f>
        <v>0</v>
      </c>
      <c r="C331">
        <f>SUMIFS('Draft Board'!$AS$2:$AS$192,'Draft Board'!$AM$2:$AM$192,A331,'Draft Board'!$AT$2:$AT$192,"&lt;&gt;")</f>
        <v>0</v>
      </c>
      <c r="D331">
        <f>COUNTIFS('Draft Board'!$AM$2:$AM$192,A331,'Draft Board'!$AT$2:$AT$192,"&lt;&gt;")</f>
        <v>0</v>
      </c>
      <c r="E331">
        <f>IFERROR(AVERAGEIFS('Draft Board'!$AS$2:$AS$192,'Draft Board'!$AM$2:$AM$192,A331),0)</f>
        <v>0</v>
      </c>
      <c r="F331">
        <f>MIN(1,E331/(Setup!$B$3*0.1))</f>
        <v>0</v>
      </c>
      <c r="G331">
        <f t="shared" si="10"/>
        <v>1</v>
      </c>
    </row>
    <row r="332" spans="1:7" x14ac:dyDescent="0.25">
      <c r="A332">
        <v>73</v>
      </c>
      <c r="B332">
        <f>SUMIFS('Draft Board'!$AT$2:$AT$192,'Draft Board'!$AM$2:$AM$192,A332,'Draft Board'!$AT$2:$AT$192,"&lt;&gt;")</f>
        <v>0</v>
      </c>
      <c r="C332">
        <f>SUMIFS('Draft Board'!$AS$2:$AS$192,'Draft Board'!$AM$2:$AM$192,A332,'Draft Board'!$AT$2:$AT$192,"&lt;&gt;")</f>
        <v>0</v>
      </c>
      <c r="D332">
        <f>COUNTIFS('Draft Board'!$AM$2:$AM$192,A332,'Draft Board'!$AT$2:$AT$192,"&lt;&gt;")</f>
        <v>0</v>
      </c>
      <c r="E332">
        <f>IFERROR(AVERAGEIFS('Draft Board'!$AS$2:$AS$192,'Draft Board'!$AM$2:$AM$192,A332),0)</f>
        <v>0</v>
      </c>
      <c r="F332">
        <f>MIN(1,E332/(Setup!$B$3*0.1))</f>
        <v>0</v>
      </c>
      <c r="G332">
        <f t="shared" si="10"/>
        <v>1</v>
      </c>
    </row>
    <row r="333" spans="1:7" x14ac:dyDescent="0.25">
      <c r="A333">
        <v>74</v>
      </c>
      <c r="B333">
        <f>SUMIFS('Draft Board'!$AT$2:$AT$192,'Draft Board'!$AM$2:$AM$192,A333,'Draft Board'!$AT$2:$AT$192,"&lt;&gt;")</f>
        <v>0</v>
      </c>
      <c r="C333">
        <f>SUMIFS('Draft Board'!$AS$2:$AS$192,'Draft Board'!$AM$2:$AM$192,A333,'Draft Board'!$AT$2:$AT$192,"&lt;&gt;")</f>
        <v>0</v>
      </c>
      <c r="D333">
        <f>COUNTIFS('Draft Board'!$AM$2:$AM$192,A333,'Draft Board'!$AT$2:$AT$192,"&lt;&gt;")</f>
        <v>0</v>
      </c>
      <c r="E333">
        <f>IFERROR(AVERAGEIFS('Draft Board'!$AS$2:$AS$192,'Draft Board'!$AM$2:$AM$192,A333),0)</f>
        <v>0</v>
      </c>
      <c r="F333">
        <f>MIN(1,E333/(Setup!$B$3*0.1))</f>
        <v>0</v>
      </c>
      <c r="G333">
        <f t="shared" si="10"/>
        <v>1</v>
      </c>
    </row>
    <row r="334" spans="1:7" x14ac:dyDescent="0.25">
      <c r="A334">
        <v>75</v>
      </c>
      <c r="B334">
        <f>SUMIFS('Draft Board'!$AT$2:$AT$192,'Draft Board'!$AM$2:$AM$192,A334,'Draft Board'!$AT$2:$AT$192,"&lt;&gt;")</f>
        <v>0</v>
      </c>
      <c r="C334">
        <f>SUMIFS('Draft Board'!$AS$2:$AS$192,'Draft Board'!$AM$2:$AM$192,A334,'Draft Board'!$AT$2:$AT$192,"&lt;&gt;")</f>
        <v>0</v>
      </c>
      <c r="D334">
        <f>COUNTIFS('Draft Board'!$AM$2:$AM$192,A334,'Draft Board'!$AT$2:$AT$192,"&lt;&gt;")</f>
        <v>0</v>
      </c>
      <c r="E334">
        <f>IFERROR(AVERAGEIFS('Draft Board'!$AS$2:$AS$192,'Draft Board'!$AM$2:$AM$192,A334),0)</f>
        <v>0</v>
      </c>
      <c r="F334">
        <f>MIN(1,E334/(Setup!$B$3*0.1))</f>
        <v>0</v>
      </c>
      <c r="G334">
        <f t="shared" si="10"/>
        <v>1</v>
      </c>
    </row>
    <row r="335" spans="1:7" x14ac:dyDescent="0.25">
      <c r="A335">
        <v>76</v>
      </c>
      <c r="B335">
        <f>SUMIFS('Draft Board'!$AT$2:$AT$192,'Draft Board'!$AM$2:$AM$192,A335,'Draft Board'!$AT$2:$AT$192,"&lt;&gt;")</f>
        <v>0</v>
      </c>
      <c r="C335">
        <f>SUMIFS('Draft Board'!$AS$2:$AS$192,'Draft Board'!$AM$2:$AM$192,A335,'Draft Board'!$AT$2:$AT$192,"&lt;&gt;")</f>
        <v>0</v>
      </c>
      <c r="D335">
        <f>COUNTIFS('Draft Board'!$AM$2:$AM$192,A335,'Draft Board'!$AT$2:$AT$192,"&lt;&gt;")</f>
        <v>0</v>
      </c>
      <c r="E335">
        <f>IFERROR(AVERAGEIFS('Draft Board'!$AS$2:$AS$192,'Draft Board'!$AM$2:$AM$192,A335),0)</f>
        <v>0</v>
      </c>
      <c r="F335">
        <f>MIN(1,E335/(Setup!$B$3*0.1))</f>
        <v>0</v>
      </c>
      <c r="G335">
        <f t="shared" si="10"/>
        <v>1</v>
      </c>
    </row>
    <row r="336" spans="1:7" x14ac:dyDescent="0.25">
      <c r="A336">
        <v>77</v>
      </c>
      <c r="B336">
        <f>SUMIFS('Draft Board'!$AT$2:$AT$192,'Draft Board'!$AM$2:$AM$192,A336,'Draft Board'!$AT$2:$AT$192,"&lt;&gt;")</f>
        <v>0</v>
      </c>
      <c r="C336">
        <f>SUMIFS('Draft Board'!$AS$2:$AS$192,'Draft Board'!$AM$2:$AM$192,A336,'Draft Board'!$AT$2:$AT$192,"&lt;&gt;")</f>
        <v>0</v>
      </c>
      <c r="D336">
        <f>COUNTIFS('Draft Board'!$AM$2:$AM$192,A336,'Draft Board'!$AT$2:$AT$192,"&lt;&gt;")</f>
        <v>0</v>
      </c>
      <c r="E336">
        <f>IFERROR(AVERAGEIFS('Draft Board'!$AS$2:$AS$192,'Draft Board'!$AM$2:$AM$192,A336),0)</f>
        <v>0</v>
      </c>
      <c r="F336">
        <f>MIN(1,E336/(Setup!$B$3*0.1))</f>
        <v>0</v>
      </c>
      <c r="G336">
        <f t="shared" si="10"/>
        <v>1</v>
      </c>
    </row>
    <row r="337" spans="1:7" x14ac:dyDescent="0.25">
      <c r="A337">
        <v>78</v>
      </c>
      <c r="B337">
        <f>SUMIFS('Draft Board'!$AT$2:$AT$192,'Draft Board'!$AM$2:$AM$192,A337,'Draft Board'!$AT$2:$AT$192,"&lt;&gt;")</f>
        <v>0</v>
      </c>
      <c r="C337">
        <f>SUMIFS('Draft Board'!$AS$2:$AS$192,'Draft Board'!$AM$2:$AM$192,A337,'Draft Board'!$AT$2:$AT$192,"&lt;&gt;")</f>
        <v>0</v>
      </c>
      <c r="D337">
        <f>COUNTIFS('Draft Board'!$AM$2:$AM$192,A337,'Draft Board'!$AT$2:$AT$192,"&lt;&gt;")</f>
        <v>0</v>
      </c>
      <c r="E337">
        <f>IFERROR(AVERAGEIFS('Draft Board'!$AS$2:$AS$192,'Draft Board'!$AM$2:$AM$192,A337),0)</f>
        <v>0</v>
      </c>
      <c r="F337">
        <f>MIN(1,E337/(Setup!$B$3*0.1))</f>
        <v>0</v>
      </c>
      <c r="G337">
        <f t="shared" si="10"/>
        <v>1</v>
      </c>
    </row>
    <row r="338" spans="1:7" x14ac:dyDescent="0.25">
      <c r="A338">
        <v>79</v>
      </c>
      <c r="B338">
        <f>SUMIFS('Draft Board'!$AT$2:$AT$192,'Draft Board'!$AM$2:$AM$192,A338,'Draft Board'!$AT$2:$AT$192,"&lt;&gt;")</f>
        <v>0</v>
      </c>
      <c r="C338">
        <f>SUMIFS('Draft Board'!$AS$2:$AS$192,'Draft Board'!$AM$2:$AM$192,A338,'Draft Board'!$AT$2:$AT$192,"&lt;&gt;")</f>
        <v>0</v>
      </c>
      <c r="D338">
        <f>COUNTIFS('Draft Board'!$AM$2:$AM$192,A338,'Draft Board'!$AT$2:$AT$192,"&lt;&gt;")</f>
        <v>0</v>
      </c>
      <c r="E338">
        <f>IFERROR(AVERAGEIFS('Draft Board'!$AS$2:$AS$192,'Draft Board'!$AM$2:$AM$192,A338),0)</f>
        <v>0</v>
      </c>
      <c r="F338">
        <f>MIN(1,E338/(Setup!$B$3*0.1))</f>
        <v>0</v>
      </c>
      <c r="G338">
        <f t="shared" si="10"/>
        <v>1</v>
      </c>
    </row>
    <row r="339" spans="1:7" x14ac:dyDescent="0.25">
      <c r="A339">
        <v>80</v>
      </c>
      <c r="B339">
        <f>SUMIFS('Draft Board'!$AT$2:$AT$192,'Draft Board'!$AM$2:$AM$192,A339,'Draft Board'!$AT$2:$AT$192,"&lt;&gt;")</f>
        <v>0</v>
      </c>
      <c r="C339">
        <f>SUMIFS('Draft Board'!$AS$2:$AS$192,'Draft Board'!$AM$2:$AM$192,A339,'Draft Board'!$AT$2:$AT$192,"&lt;&gt;")</f>
        <v>0</v>
      </c>
      <c r="D339">
        <f>COUNTIFS('Draft Board'!$AM$2:$AM$192,A339,'Draft Board'!$AT$2:$AT$192,"&lt;&gt;")</f>
        <v>0</v>
      </c>
      <c r="E339">
        <f>IFERROR(AVERAGEIFS('Draft Board'!$AS$2:$AS$192,'Draft Board'!$AM$2:$AM$192,A339),0)</f>
        <v>0</v>
      </c>
      <c r="F339">
        <f>MIN(1,E339/(Setup!$B$3*0.1))</f>
        <v>0</v>
      </c>
      <c r="G339">
        <f t="shared" si="10"/>
        <v>1</v>
      </c>
    </row>
    <row r="340" spans="1:7" x14ac:dyDescent="0.25">
      <c r="A340">
        <v>81</v>
      </c>
      <c r="B340">
        <f>SUMIFS('Draft Board'!$AT$2:$AT$192,'Draft Board'!$AM$2:$AM$192,A340,'Draft Board'!$AT$2:$AT$192,"&lt;&gt;")</f>
        <v>0</v>
      </c>
      <c r="C340">
        <f>SUMIFS('Draft Board'!$AS$2:$AS$192,'Draft Board'!$AM$2:$AM$192,A340,'Draft Board'!$AT$2:$AT$192,"&lt;&gt;")</f>
        <v>0</v>
      </c>
      <c r="D340">
        <f>COUNTIFS('Draft Board'!$AM$2:$AM$192,A340,'Draft Board'!$AT$2:$AT$192,"&lt;&gt;")</f>
        <v>0</v>
      </c>
      <c r="E340">
        <f>IFERROR(AVERAGEIFS('Draft Board'!$AS$2:$AS$192,'Draft Board'!$AM$2:$AM$192,A340),0)</f>
        <v>0</v>
      </c>
      <c r="F340">
        <f>MIN(1,E340/(Setup!$B$3*0.1))</f>
        <v>0</v>
      </c>
      <c r="G340">
        <f t="shared" si="10"/>
        <v>1</v>
      </c>
    </row>
    <row r="341" spans="1:7" x14ac:dyDescent="0.25">
      <c r="A341">
        <v>82</v>
      </c>
      <c r="B341">
        <f>SUMIFS('Draft Board'!$AT$2:$AT$192,'Draft Board'!$AM$2:$AM$192,A341,'Draft Board'!$AT$2:$AT$192,"&lt;&gt;")</f>
        <v>0</v>
      </c>
      <c r="C341">
        <f>SUMIFS('Draft Board'!$AS$2:$AS$192,'Draft Board'!$AM$2:$AM$192,A341,'Draft Board'!$AT$2:$AT$192,"&lt;&gt;")</f>
        <v>0</v>
      </c>
      <c r="D341">
        <f>COUNTIFS('Draft Board'!$AM$2:$AM$192,A341,'Draft Board'!$AT$2:$AT$192,"&lt;&gt;")</f>
        <v>0</v>
      </c>
      <c r="E341">
        <f>IFERROR(AVERAGEIFS('Draft Board'!$AS$2:$AS$192,'Draft Board'!$AM$2:$AM$192,A341),0)</f>
        <v>0</v>
      </c>
      <c r="F341">
        <f>MIN(1,E341/(Setup!$B$3*0.1))</f>
        <v>0</v>
      </c>
      <c r="G341">
        <f t="shared" si="10"/>
        <v>1</v>
      </c>
    </row>
    <row r="342" spans="1:7" x14ac:dyDescent="0.25">
      <c r="A342">
        <v>83</v>
      </c>
      <c r="B342">
        <f>SUMIFS('Draft Board'!$AT$2:$AT$192,'Draft Board'!$AM$2:$AM$192,A342,'Draft Board'!$AT$2:$AT$192,"&lt;&gt;")</f>
        <v>0</v>
      </c>
      <c r="C342">
        <f>SUMIFS('Draft Board'!$AS$2:$AS$192,'Draft Board'!$AM$2:$AM$192,A342,'Draft Board'!$AT$2:$AT$192,"&lt;&gt;")</f>
        <v>0</v>
      </c>
      <c r="D342">
        <f>COUNTIFS('Draft Board'!$AM$2:$AM$192,A342,'Draft Board'!$AT$2:$AT$192,"&lt;&gt;")</f>
        <v>0</v>
      </c>
      <c r="E342">
        <f>IFERROR(AVERAGEIFS('Draft Board'!$AS$2:$AS$192,'Draft Board'!$AM$2:$AM$192,A342),0)</f>
        <v>0</v>
      </c>
      <c r="F342">
        <f>MIN(1,E342/(Setup!$B$3*0.1))</f>
        <v>0</v>
      </c>
      <c r="G342">
        <f t="shared" si="10"/>
        <v>1</v>
      </c>
    </row>
    <row r="343" spans="1:7" x14ac:dyDescent="0.25">
      <c r="A343">
        <v>84</v>
      </c>
      <c r="B343">
        <f>SUMIFS('Draft Board'!$AT$2:$AT$192,'Draft Board'!$AM$2:$AM$192,A343,'Draft Board'!$AT$2:$AT$192,"&lt;&gt;")</f>
        <v>0</v>
      </c>
      <c r="C343">
        <f>SUMIFS('Draft Board'!$AS$2:$AS$192,'Draft Board'!$AM$2:$AM$192,A343,'Draft Board'!$AT$2:$AT$192,"&lt;&gt;")</f>
        <v>0</v>
      </c>
      <c r="D343">
        <f>COUNTIFS('Draft Board'!$AM$2:$AM$192,A343,'Draft Board'!$AT$2:$AT$192,"&lt;&gt;")</f>
        <v>0</v>
      </c>
      <c r="E343">
        <f>IFERROR(AVERAGEIFS('Draft Board'!$AS$2:$AS$192,'Draft Board'!$AM$2:$AM$192,A343),0)</f>
        <v>0</v>
      </c>
      <c r="F343">
        <f>MIN(1,E343/(Setup!$B$3*0.1))</f>
        <v>0</v>
      </c>
      <c r="G343">
        <f t="shared" si="10"/>
        <v>1</v>
      </c>
    </row>
    <row r="344" spans="1:7" x14ac:dyDescent="0.25">
      <c r="A344">
        <v>85</v>
      </c>
      <c r="B344">
        <f>SUMIFS('Draft Board'!$AT$2:$AT$192,'Draft Board'!$AM$2:$AM$192,A344,'Draft Board'!$AT$2:$AT$192,"&lt;&gt;")</f>
        <v>0</v>
      </c>
      <c r="C344">
        <f>SUMIFS('Draft Board'!$AS$2:$AS$192,'Draft Board'!$AM$2:$AM$192,A344,'Draft Board'!$AT$2:$AT$192,"&lt;&gt;")</f>
        <v>0</v>
      </c>
      <c r="D344">
        <f>COUNTIFS('Draft Board'!$AM$2:$AM$192,A344,'Draft Board'!$AT$2:$AT$192,"&lt;&gt;")</f>
        <v>0</v>
      </c>
      <c r="E344">
        <f>IFERROR(AVERAGEIFS('Draft Board'!$AS$2:$AS$192,'Draft Board'!$AM$2:$AM$192,A344),0)</f>
        <v>0</v>
      </c>
      <c r="F344">
        <f>MIN(1,E344/(Setup!$B$3*0.1))</f>
        <v>0</v>
      </c>
      <c r="G344">
        <f t="shared" si="10"/>
        <v>1</v>
      </c>
    </row>
    <row r="345" spans="1:7" x14ac:dyDescent="0.25">
      <c r="A345">
        <v>86</v>
      </c>
      <c r="B345">
        <f>SUMIFS('Draft Board'!$AT$2:$AT$192,'Draft Board'!$AM$2:$AM$192,A345,'Draft Board'!$AT$2:$AT$192,"&lt;&gt;")</f>
        <v>0</v>
      </c>
      <c r="C345">
        <f>SUMIFS('Draft Board'!$AS$2:$AS$192,'Draft Board'!$AM$2:$AM$192,A345,'Draft Board'!$AT$2:$AT$192,"&lt;&gt;")</f>
        <v>0</v>
      </c>
      <c r="D345">
        <f>COUNTIFS('Draft Board'!$AM$2:$AM$192,A345,'Draft Board'!$AT$2:$AT$192,"&lt;&gt;")</f>
        <v>0</v>
      </c>
      <c r="E345">
        <f>IFERROR(AVERAGEIFS('Draft Board'!$AS$2:$AS$192,'Draft Board'!$AM$2:$AM$192,A345),0)</f>
        <v>0</v>
      </c>
      <c r="F345">
        <f>MIN(1,E345/(Setup!$B$3*0.1))</f>
        <v>0</v>
      </c>
      <c r="G345">
        <f t="shared" si="10"/>
        <v>1</v>
      </c>
    </row>
    <row r="346" spans="1:7" x14ac:dyDescent="0.25">
      <c r="A346">
        <v>87</v>
      </c>
      <c r="B346">
        <f>SUMIFS('Draft Board'!$AT$2:$AT$192,'Draft Board'!$AM$2:$AM$192,A346,'Draft Board'!$AT$2:$AT$192,"&lt;&gt;")</f>
        <v>0</v>
      </c>
      <c r="C346">
        <f>SUMIFS('Draft Board'!$AS$2:$AS$192,'Draft Board'!$AM$2:$AM$192,A346,'Draft Board'!$AT$2:$AT$192,"&lt;&gt;")</f>
        <v>0</v>
      </c>
      <c r="D346">
        <f>COUNTIFS('Draft Board'!$AM$2:$AM$192,A346,'Draft Board'!$AT$2:$AT$192,"&lt;&gt;")</f>
        <v>0</v>
      </c>
      <c r="E346">
        <f>IFERROR(AVERAGEIFS('Draft Board'!$AS$2:$AS$192,'Draft Board'!$AM$2:$AM$192,A346),0)</f>
        <v>0</v>
      </c>
      <c r="F346">
        <f>MIN(1,E346/(Setup!$B$3*0.1))</f>
        <v>0</v>
      </c>
      <c r="G346">
        <f t="shared" si="10"/>
        <v>1</v>
      </c>
    </row>
    <row r="347" spans="1:7" x14ac:dyDescent="0.25">
      <c r="A347">
        <v>88</v>
      </c>
      <c r="B347">
        <f>SUMIFS('Draft Board'!$AT$2:$AT$192,'Draft Board'!$AM$2:$AM$192,A347,'Draft Board'!$AT$2:$AT$192,"&lt;&gt;")</f>
        <v>0</v>
      </c>
      <c r="C347">
        <f>SUMIFS('Draft Board'!$AS$2:$AS$192,'Draft Board'!$AM$2:$AM$192,A347,'Draft Board'!$AT$2:$AT$192,"&lt;&gt;")</f>
        <v>0</v>
      </c>
      <c r="D347">
        <f>COUNTIFS('Draft Board'!$AM$2:$AM$192,A347,'Draft Board'!$AT$2:$AT$192,"&lt;&gt;")</f>
        <v>0</v>
      </c>
      <c r="E347">
        <f>IFERROR(AVERAGEIFS('Draft Board'!$AS$2:$AS$192,'Draft Board'!$AM$2:$AM$192,A347),0)</f>
        <v>0</v>
      </c>
      <c r="F347">
        <f>MIN(1,E347/(Setup!$B$3*0.1))</f>
        <v>0</v>
      </c>
      <c r="G347">
        <f t="shared" si="10"/>
        <v>1</v>
      </c>
    </row>
    <row r="348" spans="1:7" x14ac:dyDescent="0.25">
      <c r="A348">
        <v>89</v>
      </c>
      <c r="B348">
        <f>SUMIFS('Draft Board'!$AT$2:$AT$192,'Draft Board'!$AM$2:$AM$192,A348,'Draft Board'!$AT$2:$AT$192,"&lt;&gt;")</f>
        <v>0</v>
      </c>
      <c r="C348">
        <f>SUMIFS('Draft Board'!$AS$2:$AS$192,'Draft Board'!$AM$2:$AM$192,A348,'Draft Board'!$AT$2:$AT$192,"&lt;&gt;")</f>
        <v>0</v>
      </c>
      <c r="D348">
        <f>COUNTIFS('Draft Board'!$AM$2:$AM$192,A348,'Draft Board'!$AT$2:$AT$192,"&lt;&gt;")</f>
        <v>0</v>
      </c>
      <c r="E348">
        <f>IFERROR(AVERAGEIFS('Draft Board'!$AS$2:$AS$192,'Draft Board'!$AM$2:$AM$192,A348),0)</f>
        <v>0</v>
      </c>
      <c r="F348">
        <f>MIN(1,E348/(Setup!$B$3*0.1))</f>
        <v>0</v>
      </c>
      <c r="G348">
        <f t="shared" si="10"/>
        <v>1</v>
      </c>
    </row>
    <row r="349" spans="1:7" x14ac:dyDescent="0.25">
      <c r="A349">
        <v>90</v>
      </c>
      <c r="B349">
        <f>SUMIFS('Draft Board'!$AT$2:$AT$192,'Draft Board'!$AM$2:$AM$192,A349,'Draft Board'!$AT$2:$AT$192,"&lt;&gt;")</f>
        <v>0</v>
      </c>
      <c r="C349">
        <f>SUMIFS('Draft Board'!$AS$2:$AS$192,'Draft Board'!$AM$2:$AM$192,A349,'Draft Board'!$AT$2:$AT$192,"&lt;&gt;")</f>
        <v>0</v>
      </c>
      <c r="D349">
        <f>COUNTIFS('Draft Board'!$AM$2:$AM$192,A349,'Draft Board'!$AT$2:$AT$192,"&lt;&gt;")</f>
        <v>0</v>
      </c>
      <c r="E349">
        <f>IFERROR(AVERAGEIFS('Draft Board'!$AS$2:$AS$192,'Draft Board'!$AM$2:$AM$192,A349),0)</f>
        <v>0</v>
      </c>
      <c r="F349">
        <f>MIN(1,E349/(Setup!$B$3*0.1))</f>
        <v>0</v>
      </c>
      <c r="G349">
        <f t="shared" si="10"/>
        <v>1</v>
      </c>
    </row>
    <row r="350" spans="1:7" x14ac:dyDescent="0.25">
      <c r="A350">
        <v>91</v>
      </c>
      <c r="B350">
        <f>SUMIFS('Draft Board'!$AT$2:$AT$192,'Draft Board'!$AM$2:$AM$192,A350,'Draft Board'!$AT$2:$AT$192,"&lt;&gt;")</f>
        <v>0</v>
      </c>
      <c r="C350">
        <f>SUMIFS('Draft Board'!$AS$2:$AS$192,'Draft Board'!$AM$2:$AM$192,A350,'Draft Board'!$AT$2:$AT$192,"&lt;&gt;")</f>
        <v>0</v>
      </c>
      <c r="D350">
        <f>COUNTIFS('Draft Board'!$AM$2:$AM$192,A350,'Draft Board'!$AT$2:$AT$192,"&lt;&gt;")</f>
        <v>0</v>
      </c>
      <c r="E350">
        <f>IFERROR(AVERAGEIFS('Draft Board'!$AS$2:$AS$192,'Draft Board'!$AM$2:$AM$192,A350),0)</f>
        <v>0</v>
      </c>
      <c r="F350">
        <f>MIN(1,E350/(Setup!$B$3*0.1))</f>
        <v>0</v>
      </c>
      <c r="G350">
        <f t="shared" si="10"/>
        <v>1</v>
      </c>
    </row>
    <row r="351" spans="1:7" x14ac:dyDescent="0.25">
      <c r="A351">
        <v>92</v>
      </c>
      <c r="B351">
        <f>SUMIFS('Draft Board'!$AT$2:$AT$192,'Draft Board'!$AM$2:$AM$192,A351,'Draft Board'!$AT$2:$AT$192,"&lt;&gt;")</f>
        <v>0</v>
      </c>
      <c r="C351">
        <f>SUMIFS('Draft Board'!$AS$2:$AS$192,'Draft Board'!$AM$2:$AM$192,A351,'Draft Board'!$AT$2:$AT$192,"&lt;&gt;")</f>
        <v>0</v>
      </c>
      <c r="D351">
        <f>COUNTIFS('Draft Board'!$AM$2:$AM$192,A351,'Draft Board'!$AT$2:$AT$192,"&lt;&gt;")</f>
        <v>0</v>
      </c>
      <c r="E351">
        <f>IFERROR(AVERAGEIFS('Draft Board'!$AS$2:$AS$192,'Draft Board'!$AM$2:$AM$192,A351),0)</f>
        <v>0</v>
      </c>
      <c r="F351">
        <f>MIN(1,E351/(Setup!$B$3*0.1))</f>
        <v>0</v>
      </c>
      <c r="G351">
        <f t="shared" si="10"/>
        <v>1</v>
      </c>
    </row>
    <row r="352" spans="1:7" x14ac:dyDescent="0.25">
      <c r="A352">
        <v>93</v>
      </c>
      <c r="B352">
        <f>SUMIFS('Draft Board'!$AT$2:$AT$192,'Draft Board'!$AM$2:$AM$192,A352,'Draft Board'!$AT$2:$AT$192,"&lt;&gt;")</f>
        <v>0</v>
      </c>
      <c r="C352">
        <f>SUMIFS('Draft Board'!$AS$2:$AS$192,'Draft Board'!$AM$2:$AM$192,A352,'Draft Board'!$AT$2:$AT$192,"&lt;&gt;")</f>
        <v>0</v>
      </c>
      <c r="D352">
        <f>COUNTIFS('Draft Board'!$AM$2:$AM$192,A352,'Draft Board'!$AT$2:$AT$192,"&lt;&gt;")</f>
        <v>0</v>
      </c>
      <c r="E352">
        <f>IFERROR(AVERAGEIFS('Draft Board'!$AS$2:$AS$192,'Draft Board'!$AM$2:$AM$192,A352),0)</f>
        <v>0</v>
      </c>
      <c r="F352">
        <f>MIN(1,E352/(Setup!$B$3*0.1))</f>
        <v>0</v>
      </c>
      <c r="G352">
        <f t="shared" si="10"/>
        <v>1</v>
      </c>
    </row>
    <row r="353" spans="1:7" x14ac:dyDescent="0.25">
      <c r="A353">
        <v>94</v>
      </c>
      <c r="B353">
        <f>SUMIFS('Draft Board'!$AT$2:$AT$192,'Draft Board'!$AM$2:$AM$192,A353,'Draft Board'!$AT$2:$AT$192,"&lt;&gt;")</f>
        <v>0</v>
      </c>
      <c r="C353">
        <f>SUMIFS('Draft Board'!$AS$2:$AS$192,'Draft Board'!$AM$2:$AM$192,A353,'Draft Board'!$AT$2:$AT$192,"&lt;&gt;")</f>
        <v>0</v>
      </c>
      <c r="D353">
        <f>COUNTIFS('Draft Board'!$AM$2:$AM$192,A353,'Draft Board'!$AT$2:$AT$192,"&lt;&gt;")</f>
        <v>0</v>
      </c>
      <c r="E353">
        <f>IFERROR(AVERAGEIFS('Draft Board'!$AS$2:$AS$192,'Draft Board'!$AM$2:$AM$192,A353),0)</f>
        <v>0</v>
      </c>
      <c r="F353">
        <f>MIN(1,E353/(Setup!$B$3*0.1))</f>
        <v>0</v>
      </c>
      <c r="G353">
        <f t="shared" si="10"/>
        <v>1</v>
      </c>
    </row>
    <row r="354" spans="1:7" x14ac:dyDescent="0.25">
      <c r="A354">
        <v>95</v>
      </c>
      <c r="B354">
        <f>SUMIFS('Draft Board'!$AT$2:$AT$192,'Draft Board'!$AM$2:$AM$192,A354,'Draft Board'!$AT$2:$AT$192,"&lt;&gt;")</f>
        <v>0</v>
      </c>
      <c r="C354">
        <f>SUMIFS('Draft Board'!$AS$2:$AS$192,'Draft Board'!$AM$2:$AM$192,A354,'Draft Board'!$AT$2:$AT$192,"&lt;&gt;")</f>
        <v>0</v>
      </c>
      <c r="D354">
        <f>COUNTIFS('Draft Board'!$AM$2:$AM$192,A354,'Draft Board'!$AT$2:$AT$192,"&lt;&gt;")</f>
        <v>0</v>
      </c>
      <c r="E354">
        <f>IFERROR(AVERAGEIFS('Draft Board'!$AS$2:$AS$192,'Draft Board'!$AM$2:$AM$192,A354),0)</f>
        <v>0</v>
      </c>
      <c r="F354">
        <f>MIN(1,E354/(Setup!$B$3*0.1))</f>
        <v>0</v>
      </c>
      <c r="G354">
        <f t="shared" si="10"/>
        <v>1</v>
      </c>
    </row>
    <row r="355" spans="1:7" x14ac:dyDescent="0.25">
      <c r="A355">
        <v>96</v>
      </c>
      <c r="B355">
        <f>SUMIFS('Draft Board'!$AT$2:$AT$192,'Draft Board'!$AM$2:$AM$192,A355,'Draft Board'!$AT$2:$AT$192,"&lt;&gt;")</f>
        <v>0</v>
      </c>
      <c r="C355">
        <f>SUMIFS('Draft Board'!$AS$2:$AS$192,'Draft Board'!$AM$2:$AM$192,A355,'Draft Board'!$AT$2:$AT$192,"&lt;&gt;")</f>
        <v>0</v>
      </c>
      <c r="D355">
        <f>COUNTIFS('Draft Board'!$AM$2:$AM$192,A355,'Draft Board'!$AT$2:$AT$192,"&lt;&gt;")</f>
        <v>0</v>
      </c>
      <c r="E355">
        <f>IFERROR(AVERAGEIFS('Draft Board'!$AS$2:$AS$192,'Draft Board'!$AM$2:$AM$192,A355),0)</f>
        <v>0</v>
      </c>
      <c r="F355">
        <f>MIN(1,E355/(Setup!$B$3*0.1))</f>
        <v>0</v>
      </c>
      <c r="G355">
        <f t="shared" si="10"/>
        <v>1</v>
      </c>
    </row>
    <row r="356" spans="1:7" x14ac:dyDescent="0.25">
      <c r="A356">
        <v>97</v>
      </c>
      <c r="B356">
        <f>SUMIFS('Draft Board'!$AT$2:$AT$192,'Draft Board'!$AM$2:$AM$192,A356,'Draft Board'!$AT$2:$AT$192,"&lt;&gt;")</f>
        <v>0</v>
      </c>
      <c r="C356">
        <f>SUMIFS('Draft Board'!$AS$2:$AS$192,'Draft Board'!$AM$2:$AM$192,A356,'Draft Board'!$AT$2:$AT$192,"&lt;&gt;")</f>
        <v>0</v>
      </c>
      <c r="D356">
        <f>COUNTIFS('Draft Board'!$AM$2:$AM$192,A356,'Draft Board'!$AT$2:$AT$192,"&lt;&gt;")</f>
        <v>0</v>
      </c>
      <c r="E356">
        <f>IFERROR(AVERAGEIFS('Draft Board'!$AS$2:$AS$192,'Draft Board'!$AM$2:$AM$192,A356),0)</f>
        <v>0</v>
      </c>
      <c r="F356">
        <f>MIN(1,E356/(Setup!$B$3*0.1))</f>
        <v>0</v>
      </c>
      <c r="G356">
        <f t="shared" ref="G356:G387" si="11">IF(D356&lt;2,1,MEDIAN(0.5,2,1+(IFERROR(B356/C356,1)-1)*F356))</f>
        <v>1</v>
      </c>
    </row>
    <row r="357" spans="1:7" x14ac:dyDescent="0.25">
      <c r="A357">
        <v>98</v>
      </c>
      <c r="B357">
        <f>SUMIFS('Draft Board'!$AT$2:$AT$192,'Draft Board'!$AM$2:$AM$192,A357,'Draft Board'!$AT$2:$AT$192,"&lt;&gt;")</f>
        <v>0</v>
      </c>
      <c r="C357">
        <f>SUMIFS('Draft Board'!$AS$2:$AS$192,'Draft Board'!$AM$2:$AM$192,A357,'Draft Board'!$AT$2:$AT$192,"&lt;&gt;")</f>
        <v>0</v>
      </c>
      <c r="D357">
        <f>COUNTIFS('Draft Board'!$AM$2:$AM$192,A357,'Draft Board'!$AT$2:$AT$192,"&lt;&gt;")</f>
        <v>0</v>
      </c>
      <c r="E357">
        <f>IFERROR(AVERAGEIFS('Draft Board'!$AS$2:$AS$192,'Draft Board'!$AM$2:$AM$192,A357),0)</f>
        <v>0</v>
      </c>
      <c r="F357">
        <f>MIN(1,E357/(Setup!$B$3*0.1))</f>
        <v>0</v>
      </c>
      <c r="G357">
        <f t="shared" si="11"/>
        <v>1</v>
      </c>
    </row>
    <row r="358" spans="1:7" x14ac:dyDescent="0.25">
      <c r="A358">
        <v>99</v>
      </c>
      <c r="B358">
        <f>SUMIFS('Draft Board'!$AT$2:$AT$192,'Draft Board'!$AM$2:$AM$192,A358,'Draft Board'!$AT$2:$AT$192,"&lt;&gt;")</f>
        <v>0</v>
      </c>
      <c r="C358">
        <f>SUMIFS('Draft Board'!$AS$2:$AS$192,'Draft Board'!$AM$2:$AM$192,A358,'Draft Board'!$AT$2:$AT$192,"&lt;&gt;")</f>
        <v>0</v>
      </c>
      <c r="D358">
        <f>COUNTIFS('Draft Board'!$AM$2:$AM$192,A358,'Draft Board'!$AT$2:$AT$192,"&lt;&gt;")</f>
        <v>0</v>
      </c>
      <c r="E358">
        <f>IFERROR(AVERAGEIFS('Draft Board'!$AS$2:$AS$192,'Draft Board'!$AM$2:$AM$192,A358),0)</f>
        <v>0</v>
      </c>
      <c r="F358">
        <f>MIN(1,E358/(Setup!$B$3*0.1))</f>
        <v>0</v>
      </c>
      <c r="G358">
        <f t="shared" si="11"/>
        <v>1</v>
      </c>
    </row>
    <row r="359" spans="1:7" x14ac:dyDescent="0.25">
      <c r="A359">
        <v>100</v>
      </c>
      <c r="B359">
        <f>SUMIFS('Draft Board'!$AT$2:$AT$192,'Draft Board'!$AM$2:$AM$192,A359,'Draft Board'!$AT$2:$AT$192,"&lt;&gt;")</f>
        <v>0</v>
      </c>
      <c r="C359">
        <f>SUMIFS('Draft Board'!$AS$2:$AS$192,'Draft Board'!$AM$2:$AM$192,A359,'Draft Board'!$AT$2:$AT$192,"&lt;&gt;")</f>
        <v>0</v>
      </c>
      <c r="D359">
        <f>COUNTIFS('Draft Board'!$AM$2:$AM$192,A359,'Draft Board'!$AT$2:$AT$192,"&lt;&gt;")</f>
        <v>0</v>
      </c>
      <c r="E359">
        <f>IFERROR(AVERAGEIFS('Draft Board'!$AS$2:$AS$192,'Draft Board'!$AM$2:$AM$192,A359),0)</f>
        <v>0</v>
      </c>
      <c r="F359">
        <f>MIN(1,E359/(Setup!$B$3*0.1))</f>
        <v>0</v>
      </c>
      <c r="G359">
        <f t="shared" si="11"/>
        <v>1</v>
      </c>
    </row>
    <row r="360" spans="1:7" x14ac:dyDescent="0.25">
      <c r="A360">
        <v>101</v>
      </c>
      <c r="B360">
        <f>SUMIFS('Draft Board'!$AT$2:$AT$192,'Draft Board'!$AM$2:$AM$192,A360,'Draft Board'!$AT$2:$AT$192,"&lt;&gt;")</f>
        <v>0</v>
      </c>
      <c r="C360">
        <f>SUMIFS('Draft Board'!$AS$2:$AS$192,'Draft Board'!$AM$2:$AM$192,A360,'Draft Board'!$AT$2:$AT$192,"&lt;&gt;")</f>
        <v>0</v>
      </c>
      <c r="D360">
        <f>COUNTIFS('Draft Board'!$AM$2:$AM$192,A360,'Draft Board'!$AT$2:$AT$192,"&lt;&gt;")</f>
        <v>0</v>
      </c>
      <c r="E360">
        <f>IFERROR(AVERAGEIFS('Draft Board'!$AS$2:$AS$192,'Draft Board'!$AM$2:$AM$192,A360),0)</f>
        <v>0</v>
      </c>
      <c r="F360">
        <f>MIN(1,E360/(Setup!$B$3*0.1))</f>
        <v>0</v>
      </c>
      <c r="G360">
        <f t="shared" si="11"/>
        <v>1</v>
      </c>
    </row>
    <row r="361" spans="1:7" x14ac:dyDescent="0.25">
      <c r="A361">
        <v>102</v>
      </c>
      <c r="B361">
        <f>SUMIFS('Draft Board'!$AT$2:$AT$192,'Draft Board'!$AM$2:$AM$192,A361,'Draft Board'!$AT$2:$AT$192,"&lt;&gt;")</f>
        <v>0</v>
      </c>
      <c r="C361">
        <f>SUMIFS('Draft Board'!$AS$2:$AS$192,'Draft Board'!$AM$2:$AM$192,A361,'Draft Board'!$AT$2:$AT$192,"&lt;&gt;")</f>
        <v>0</v>
      </c>
      <c r="D361">
        <f>COUNTIFS('Draft Board'!$AM$2:$AM$192,A361,'Draft Board'!$AT$2:$AT$192,"&lt;&gt;")</f>
        <v>0</v>
      </c>
      <c r="E361">
        <f>IFERROR(AVERAGEIFS('Draft Board'!$AS$2:$AS$192,'Draft Board'!$AM$2:$AM$192,A361),0)</f>
        <v>0</v>
      </c>
      <c r="F361">
        <f>MIN(1,E361/(Setup!$B$3*0.1))</f>
        <v>0</v>
      </c>
      <c r="G361">
        <f t="shared" si="11"/>
        <v>1</v>
      </c>
    </row>
    <row r="362" spans="1:7" x14ac:dyDescent="0.25">
      <c r="A362">
        <v>103</v>
      </c>
      <c r="B362">
        <f>SUMIFS('Draft Board'!$AT$2:$AT$192,'Draft Board'!$AM$2:$AM$192,A362,'Draft Board'!$AT$2:$AT$192,"&lt;&gt;")</f>
        <v>0</v>
      </c>
      <c r="C362">
        <f>SUMIFS('Draft Board'!$AS$2:$AS$192,'Draft Board'!$AM$2:$AM$192,A362,'Draft Board'!$AT$2:$AT$192,"&lt;&gt;")</f>
        <v>0</v>
      </c>
      <c r="D362">
        <f>COUNTIFS('Draft Board'!$AM$2:$AM$192,A362,'Draft Board'!$AT$2:$AT$192,"&lt;&gt;")</f>
        <v>0</v>
      </c>
      <c r="E362">
        <f>IFERROR(AVERAGEIFS('Draft Board'!$AS$2:$AS$192,'Draft Board'!$AM$2:$AM$192,A362),0)</f>
        <v>0</v>
      </c>
      <c r="F362">
        <f>MIN(1,E362/(Setup!$B$3*0.1))</f>
        <v>0</v>
      </c>
      <c r="G362">
        <f t="shared" si="11"/>
        <v>1</v>
      </c>
    </row>
    <row r="363" spans="1:7" x14ac:dyDescent="0.25">
      <c r="A363">
        <v>104</v>
      </c>
      <c r="B363">
        <f>SUMIFS('Draft Board'!$AT$2:$AT$192,'Draft Board'!$AM$2:$AM$192,A363,'Draft Board'!$AT$2:$AT$192,"&lt;&gt;")</f>
        <v>0</v>
      </c>
      <c r="C363">
        <f>SUMIFS('Draft Board'!$AS$2:$AS$192,'Draft Board'!$AM$2:$AM$192,A363,'Draft Board'!$AT$2:$AT$192,"&lt;&gt;")</f>
        <v>0</v>
      </c>
      <c r="D363">
        <f>COUNTIFS('Draft Board'!$AM$2:$AM$192,A363,'Draft Board'!$AT$2:$AT$192,"&lt;&gt;")</f>
        <v>0</v>
      </c>
      <c r="E363">
        <f>IFERROR(AVERAGEIFS('Draft Board'!$AS$2:$AS$192,'Draft Board'!$AM$2:$AM$192,A363),0)</f>
        <v>0</v>
      </c>
      <c r="F363">
        <f>MIN(1,E363/(Setup!$B$3*0.1))</f>
        <v>0</v>
      </c>
      <c r="G363">
        <f t="shared" si="11"/>
        <v>1</v>
      </c>
    </row>
    <row r="364" spans="1:7" x14ac:dyDescent="0.25">
      <c r="A364">
        <v>105</v>
      </c>
      <c r="B364">
        <f>SUMIFS('Draft Board'!$AT$2:$AT$192,'Draft Board'!$AM$2:$AM$192,A364,'Draft Board'!$AT$2:$AT$192,"&lt;&gt;")</f>
        <v>0</v>
      </c>
      <c r="C364">
        <f>SUMIFS('Draft Board'!$AS$2:$AS$192,'Draft Board'!$AM$2:$AM$192,A364,'Draft Board'!$AT$2:$AT$192,"&lt;&gt;")</f>
        <v>0</v>
      </c>
      <c r="D364">
        <f>COUNTIFS('Draft Board'!$AM$2:$AM$192,A364,'Draft Board'!$AT$2:$AT$192,"&lt;&gt;")</f>
        <v>0</v>
      </c>
      <c r="E364">
        <f>IFERROR(AVERAGEIFS('Draft Board'!$AS$2:$AS$192,'Draft Board'!$AM$2:$AM$192,A364),0)</f>
        <v>0</v>
      </c>
      <c r="F364">
        <f>MIN(1,E364/(Setup!$B$3*0.1))</f>
        <v>0</v>
      </c>
      <c r="G364">
        <f t="shared" si="11"/>
        <v>1</v>
      </c>
    </row>
    <row r="365" spans="1:7" x14ac:dyDescent="0.25">
      <c r="A365">
        <v>106</v>
      </c>
      <c r="B365">
        <f>SUMIFS('Draft Board'!$AT$2:$AT$192,'Draft Board'!$AM$2:$AM$192,A365,'Draft Board'!$AT$2:$AT$192,"&lt;&gt;")</f>
        <v>0</v>
      </c>
      <c r="C365">
        <f>SUMIFS('Draft Board'!$AS$2:$AS$192,'Draft Board'!$AM$2:$AM$192,A365,'Draft Board'!$AT$2:$AT$192,"&lt;&gt;")</f>
        <v>0</v>
      </c>
      <c r="D365">
        <f>COUNTIFS('Draft Board'!$AM$2:$AM$192,A365,'Draft Board'!$AT$2:$AT$192,"&lt;&gt;")</f>
        <v>0</v>
      </c>
      <c r="E365">
        <f>IFERROR(AVERAGEIFS('Draft Board'!$AS$2:$AS$192,'Draft Board'!$AM$2:$AM$192,A365),0)</f>
        <v>0</v>
      </c>
      <c r="F365">
        <f>MIN(1,E365/(Setup!$B$3*0.1))</f>
        <v>0</v>
      </c>
      <c r="G365">
        <f t="shared" si="11"/>
        <v>1</v>
      </c>
    </row>
    <row r="366" spans="1:7" x14ac:dyDescent="0.25">
      <c r="A366">
        <v>107</v>
      </c>
      <c r="B366">
        <f>SUMIFS('Draft Board'!$AT$2:$AT$192,'Draft Board'!$AM$2:$AM$192,A366,'Draft Board'!$AT$2:$AT$192,"&lt;&gt;")</f>
        <v>0</v>
      </c>
      <c r="C366">
        <f>SUMIFS('Draft Board'!$AS$2:$AS$192,'Draft Board'!$AM$2:$AM$192,A366,'Draft Board'!$AT$2:$AT$192,"&lt;&gt;")</f>
        <v>0</v>
      </c>
      <c r="D366">
        <f>COUNTIFS('Draft Board'!$AM$2:$AM$192,A366,'Draft Board'!$AT$2:$AT$192,"&lt;&gt;")</f>
        <v>0</v>
      </c>
      <c r="E366">
        <f>IFERROR(AVERAGEIFS('Draft Board'!$AS$2:$AS$192,'Draft Board'!$AM$2:$AM$192,A366),0)</f>
        <v>0</v>
      </c>
      <c r="F366">
        <f>MIN(1,E366/(Setup!$B$3*0.1))</f>
        <v>0</v>
      </c>
      <c r="G366">
        <f t="shared" si="11"/>
        <v>1</v>
      </c>
    </row>
    <row r="367" spans="1:7" x14ac:dyDescent="0.25">
      <c r="A367">
        <v>108</v>
      </c>
      <c r="B367">
        <f>SUMIFS('Draft Board'!$AT$2:$AT$192,'Draft Board'!$AM$2:$AM$192,A367,'Draft Board'!$AT$2:$AT$192,"&lt;&gt;")</f>
        <v>0</v>
      </c>
      <c r="C367">
        <f>SUMIFS('Draft Board'!$AS$2:$AS$192,'Draft Board'!$AM$2:$AM$192,A367,'Draft Board'!$AT$2:$AT$192,"&lt;&gt;")</f>
        <v>0</v>
      </c>
      <c r="D367">
        <f>COUNTIFS('Draft Board'!$AM$2:$AM$192,A367,'Draft Board'!$AT$2:$AT$192,"&lt;&gt;")</f>
        <v>0</v>
      </c>
      <c r="E367">
        <f>IFERROR(AVERAGEIFS('Draft Board'!$AS$2:$AS$192,'Draft Board'!$AM$2:$AM$192,A367),0)</f>
        <v>0</v>
      </c>
      <c r="F367">
        <f>MIN(1,E367/(Setup!$B$3*0.1))</f>
        <v>0</v>
      </c>
      <c r="G367">
        <f t="shared" si="11"/>
        <v>1</v>
      </c>
    </row>
    <row r="368" spans="1:7" x14ac:dyDescent="0.25">
      <c r="A368">
        <v>109</v>
      </c>
      <c r="B368">
        <f>SUMIFS('Draft Board'!$AT$2:$AT$192,'Draft Board'!$AM$2:$AM$192,A368,'Draft Board'!$AT$2:$AT$192,"&lt;&gt;")</f>
        <v>0</v>
      </c>
      <c r="C368">
        <f>SUMIFS('Draft Board'!$AS$2:$AS$192,'Draft Board'!$AM$2:$AM$192,A368,'Draft Board'!$AT$2:$AT$192,"&lt;&gt;")</f>
        <v>0</v>
      </c>
      <c r="D368">
        <f>COUNTIFS('Draft Board'!$AM$2:$AM$192,A368,'Draft Board'!$AT$2:$AT$192,"&lt;&gt;")</f>
        <v>0</v>
      </c>
      <c r="E368">
        <f>IFERROR(AVERAGEIFS('Draft Board'!$AS$2:$AS$192,'Draft Board'!$AM$2:$AM$192,A368),0)</f>
        <v>0</v>
      </c>
      <c r="F368">
        <f>MIN(1,E368/(Setup!$B$3*0.1))</f>
        <v>0</v>
      </c>
      <c r="G368">
        <f t="shared" si="11"/>
        <v>1</v>
      </c>
    </row>
    <row r="369" spans="1:7" x14ac:dyDescent="0.25">
      <c r="A369">
        <v>110</v>
      </c>
      <c r="B369">
        <f>SUMIFS('Draft Board'!$AT$2:$AT$192,'Draft Board'!$AM$2:$AM$192,A369,'Draft Board'!$AT$2:$AT$192,"&lt;&gt;")</f>
        <v>0</v>
      </c>
      <c r="C369">
        <f>SUMIFS('Draft Board'!$AS$2:$AS$192,'Draft Board'!$AM$2:$AM$192,A369,'Draft Board'!$AT$2:$AT$192,"&lt;&gt;")</f>
        <v>0</v>
      </c>
      <c r="D369">
        <f>COUNTIFS('Draft Board'!$AM$2:$AM$192,A369,'Draft Board'!$AT$2:$AT$192,"&lt;&gt;")</f>
        <v>0</v>
      </c>
      <c r="E369">
        <f>IFERROR(AVERAGEIFS('Draft Board'!$AS$2:$AS$192,'Draft Board'!$AM$2:$AM$192,A369),0)</f>
        <v>0</v>
      </c>
      <c r="F369">
        <f>MIN(1,E369/(Setup!$B$3*0.1))</f>
        <v>0</v>
      </c>
      <c r="G369">
        <f t="shared" si="11"/>
        <v>1</v>
      </c>
    </row>
    <row r="370" spans="1:7" x14ac:dyDescent="0.25">
      <c r="A370">
        <v>111</v>
      </c>
      <c r="B370">
        <f>SUMIFS('Draft Board'!$AT$2:$AT$192,'Draft Board'!$AM$2:$AM$192,A370,'Draft Board'!$AT$2:$AT$192,"&lt;&gt;")</f>
        <v>0</v>
      </c>
      <c r="C370">
        <f>SUMIFS('Draft Board'!$AS$2:$AS$192,'Draft Board'!$AM$2:$AM$192,A370,'Draft Board'!$AT$2:$AT$192,"&lt;&gt;")</f>
        <v>0</v>
      </c>
      <c r="D370">
        <f>COUNTIFS('Draft Board'!$AM$2:$AM$192,A370,'Draft Board'!$AT$2:$AT$192,"&lt;&gt;")</f>
        <v>0</v>
      </c>
      <c r="E370">
        <f>IFERROR(AVERAGEIFS('Draft Board'!$AS$2:$AS$192,'Draft Board'!$AM$2:$AM$192,A370),0)</f>
        <v>0</v>
      </c>
      <c r="F370">
        <f>MIN(1,E370/(Setup!$B$3*0.1))</f>
        <v>0</v>
      </c>
      <c r="G370">
        <f t="shared" si="11"/>
        <v>1</v>
      </c>
    </row>
    <row r="371" spans="1:7" x14ac:dyDescent="0.25">
      <c r="A371">
        <v>112</v>
      </c>
      <c r="B371">
        <f>SUMIFS('Draft Board'!$AT$2:$AT$192,'Draft Board'!$AM$2:$AM$192,A371,'Draft Board'!$AT$2:$AT$192,"&lt;&gt;")</f>
        <v>0</v>
      </c>
      <c r="C371">
        <f>SUMIFS('Draft Board'!$AS$2:$AS$192,'Draft Board'!$AM$2:$AM$192,A371,'Draft Board'!$AT$2:$AT$192,"&lt;&gt;")</f>
        <v>0</v>
      </c>
      <c r="D371">
        <f>COUNTIFS('Draft Board'!$AM$2:$AM$192,A371,'Draft Board'!$AT$2:$AT$192,"&lt;&gt;")</f>
        <v>0</v>
      </c>
      <c r="E371">
        <f>IFERROR(AVERAGEIFS('Draft Board'!$AS$2:$AS$192,'Draft Board'!$AM$2:$AM$192,A371),0)</f>
        <v>0</v>
      </c>
      <c r="F371">
        <f>MIN(1,E371/(Setup!$B$3*0.1))</f>
        <v>0</v>
      </c>
      <c r="G371">
        <f t="shared" si="11"/>
        <v>1</v>
      </c>
    </row>
    <row r="372" spans="1:7" x14ac:dyDescent="0.25">
      <c r="A372">
        <v>113</v>
      </c>
      <c r="B372">
        <f>SUMIFS('Draft Board'!$AT$2:$AT$192,'Draft Board'!$AM$2:$AM$192,A372,'Draft Board'!$AT$2:$AT$192,"&lt;&gt;")</f>
        <v>0</v>
      </c>
      <c r="C372">
        <f>SUMIFS('Draft Board'!$AS$2:$AS$192,'Draft Board'!$AM$2:$AM$192,A372,'Draft Board'!$AT$2:$AT$192,"&lt;&gt;")</f>
        <v>0</v>
      </c>
      <c r="D372">
        <f>COUNTIFS('Draft Board'!$AM$2:$AM$192,A372,'Draft Board'!$AT$2:$AT$192,"&lt;&gt;")</f>
        <v>0</v>
      </c>
      <c r="E372">
        <f>IFERROR(AVERAGEIFS('Draft Board'!$AS$2:$AS$192,'Draft Board'!$AM$2:$AM$192,A372),0)</f>
        <v>0</v>
      </c>
      <c r="F372">
        <f>MIN(1,E372/(Setup!$B$3*0.1))</f>
        <v>0</v>
      </c>
      <c r="G372">
        <f t="shared" si="11"/>
        <v>1</v>
      </c>
    </row>
    <row r="373" spans="1:7" x14ac:dyDescent="0.25">
      <c r="A373">
        <v>114</v>
      </c>
      <c r="B373">
        <f>SUMIFS('Draft Board'!$AT$2:$AT$192,'Draft Board'!$AM$2:$AM$192,A373,'Draft Board'!$AT$2:$AT$192,"&lt;&gt;")</f>
        <v>0</v>
      </c>
      <c r="C373">
        <f>SUMIFS('Draft Board'!$AS$2:$AS$192,'Draft Board'!$AM$2:$AM$192,A373,'Draft Board'!$AT$2:$AT$192,"&lt;&gt;")</f>
        <v>0</v>
      </c>
      <c r="D373">
        <f>COUNTIFS('Draft Board'!$AM$2:$AM$192,A373,'Draft Board'!$AT$2:$AT$192,"&lt;&gt;")</f>
        <v>0</v>
      </c>
      <c r="E373">
        <f>IFERROR(AVERAGEIFS('Draft Board'!$AS$2:$AS$192,'Draft Board'!$AM$2:$AM$192,A373),0)</f>
        <v>0</v>
      </c>
      <c r="F373">
        <f>MIN(1,E373/(Setup!$B$3*0.1))</f>
        <v>0</v>
      </c>
      <c r="G373">
        <f t="shared" si="11"/>
        <v>1</v>
      </c>
    </row>
    <row r="374" spans="1:7" x14ac:dyDescent="0.25">
      <c r="A374">
        <v>115</v>
      </c>
      <c r="B374">
        <f>SUMIFS('Draft Board'!$AT$2:$AT$192,'Draft Board'!$AM$2:$AM$192,A374,'Draft Board'!$AT$2:$AT$192,"&lt;&gt;")</f>
        <v>0</v>
      </c>
      <c r="C374">
        <f>SUMIFS('Draft Board'!$AS$2:$AS$192,'Draft Board'!$AM$2:$AM$192,A374,'Draft Board'!$AT$2:$AT$192,"&lt;&gt;")</f>
        <v>0</v>
      </c>
      <c r="D374">
        <f>COUNTIFS('Draft Board'!$AM$2:$AM$192,A374,'Draft Board'!$AT$2:$AT$192,"&lt;&gt;")</f>
        <v>0</v>
      </c>
      <c r="E374">
        <f>IFERROR(AVERAGEIFS('Draft Board'!$AS$2:$AS$192,'Draft Board'!$AM$2:$AM$192,A374),0)</f>
        <v>0</v>
      </c>
      <c r="F374">
        <f>MIN(1,E374/(Setup!$B$3*0.1))</f>
        <v>0</v>
      </c>
      <c r="G374">
        <f t="shared" si="11"/>
        <v>1</v>
      </c>
    </row>
    <row r="375" spans="1:7" x14ac:dyDescent="0.25">
      <c r="A375">
        <v>116</v>
      </c>
      <c r="B375">
        <f>SUMIFS('Draft Board'!$AT$2:$AT$192,'Draft Board'!$AM$2:$AM$192,A375,'Draft Board'!$AT$2:$AT$192,"&lt;&gt;")</f>
        <v>0</v>
      </c>
      <c r="C375">
        <f>SUMIFS('Draft Board'!$AS$2:$AS$192,'Draft Board'!$AM$2:$AM$192,A375,'Draft Board'!$AT$2:$AT$192,"&lt;&gt;")</f>
        <v>0</v>
      </c>
      <c r="D375">
        <f>COUNTIFS('Draft Board'!$AM$2:$AM$192,A375,'Draft Board'!$AT$2:$AT$192,"&lt;&gt;")</f>
        <v>0</v>
      </c>
      <c r="E375">
        <f>IFERROR(AVERAGEIFS('Draft Board'!$AS$2:$AS$192,'Draft Board'!$AM$2:$AM$192,A375),0)</f>
        <v>0</v>
      </c>
      <c r="F375">
        <f>MIN(1,E375/(Setup!$B$3*0.1))</f>
        <v>0</v>
      </c>
      <c r="G375">
        <f t="shared" si="11"/>
        <v>1</v>
      </c>
    </row>
    <row r="376" spans="1:7" x14ac:dyDescent="0.25">
      <c r="A376">
        <v>117</v>
      </c>
      <c r="B376">
        <f>SUMIFS('Draft Board'!$AT$2:$AT$192,'Draft Board'!$AM$2:$AM$192,A376,'Draft Board'!$AT$2:$AT$192,"&lt;&gt;")</f>
        <v>0</v>
      </c>
      <c r="C376">
        <f>SUMIFS('Draft Board'!$AS$2:$AS$192,'Draft Board'!$AM$2:$AM$192,A376,'Draft Board'!$AT$2:$AT$192,"&lt;&gt;")</f>
        <v>0</v>
      </c>
      <c r="D376">
        <f>COUNTIFS('Draft Board'!$AM$2:$AM$192,A376,'Draft Board'!$AT$2:$AT$192,"&lt;&gt;")</f>
        <v>0</v>
      </c>
      <c r="E376">
        <f>IFERROR(AVERAGEIFS('Draft Board'!$AS$2:$AS$192,'Draft Board'!$AM$2:$AM$192,A376),0)</f>
        <v>0</v>
      </c>
      <c r="F376">
        <f>MIN(1,E376/(Setup!$B$3*0.1))</f>
        <v>0</v>
      </c>
      <c r="G376">
        <f t="shared" si="11"/>
        <v>1</v>
      </c>
    </row>
    <row r="377" spans="1:7" x14ac:dyDescent="0.25">
      <c r="A377">
        <v>118</v>
      </c>
      <c r="B377">
        <f>SUMIFS('Draft Board'!$AT$2:$AT$192,'Draft Board'!$AM$2:$AM$192,A377,'Draft Board'!$AT$2:$AT$192,"&lt;&gt;")</f>
        <v>0</v>
      </c>
      <c r="C377">
        <f>SUMIFS('Draft Board'!$AS$2:$AS$192,'Draft Board'!$AM$2:$AM$192,A377,'Draft Board'!$AT$2:$AT$192,"&lt;&gt;")</f>
        <v>0</v>
      </c>
      <c r="D377">
        <f>COUNTIFS('Draft Board'!$AM$2:$AM$192,A377,'Draft Board'!$AT$2:$AT$192,"&lt;&gt;")</f>
        <v>0</v>
      </c>
      <c r="E377">
        <f>IFERROR(AVERAGEIFS('Draft Board'!$AS$2:$AS$192,'Draft Board'!$AM$2:$AM$192,A377),0)</f>
        <v>0</v>
      </c>
      <c r="F377">
        <f>MIN(1,E377/(Setup!$B$3*0.1))</f>
        <v>0</v>
      </c>
      <c r="G377">
        <f t="shared" si="11"/>
        <v>1</v>
      </c>
    </row>
    <row r="378" spans="1:7" x14ac:dyDescent="0.25">
      <c r="A378">
        <v>119</v>
      </c>
      <c r="B378">
        <f>SUMIFS('Draft Board'!$AT$2:$AT$192,'Draft Board'!$AM$2:$AM$192,A378,'Draft Board'!$AT$2:$AT$192,"&lt;&gt;")</f>
        <v>0</v>
      </c>
      <c r="C378">
        <f>SUMIFS('Draft Board'!$AS$2:$AS$192,'Draft Board'!$AM$2:$AM$192,A378,'Draft Board'!$AT$2:$AT$192,"&lt;&gt;")</f>
        <v>0</v>
      </c>
      <c r="D378">
        <f>COUNTIFS('Draft Board'!$AM$2:$AM$192,A378,'Draft Board'!$AT$2:$AT$192,"&lt;&gt;")</f>
        <v>0</v>
      </c>
      <c r="E378">
        <f>IFERROR(AVERAGEIFS('Draft Board'!$AS$2:$AS$192,'Draft Board'!$AM$2:$AM$192,A378),0)</f>
        <v>0</v>
      </c>
      <c r="F378">
        <f>MIN(1,E378/(Setup!$B$3*0.1))</f>
        <v>0</v>
      </c>
      <c r="G378">
        <f t="shared" si="11"/>
        <v>1</v>
      </c>
    </row>
    <row r="379" spans="1:7" x14ac:dyDescent="0.25">
      <c r="A379">
        <v>120</v>
      </c>
      <c r="B379">
        <f>SUMIFS('Draft Board'!$AT$2:$AT$192,'Draft Board'!$AM$2:$AM$192,A379,'Draft Board'!$AT$2:$AT$192,"&lt;&gt;")</f>
        <v>0</v>
      </c>
      <c r="C379">
        <f>SUMIFS('Draft Board'!$AS$2:$AS$192,'Draft Board'!$AM$2:$AM$192,A379,'Draft Board'!$AT$2:$AT$192,"&lt;&gt;")</f>
        <v>0</v>
      </c>
      <c r="D379">
        <f>COUNTIFS('Draft Board'!$AM$2:$AM$192,A379,'Draft Board'!$AT$2:$AT$192,"&lt;&gt;")</f>
        <v>0</v>
      </c>
      <c r="E379">
        <f>IFERROR(AVERAGEIFS('Draft Board'!$AS$2:$AS$192,'Draft Board'!$AM$2:$AM$192,A379),0)</f>
        <v>0</v>
      </c>
      <c r="F379">
        <f>MIN(1,E379/(Setup!$B$3*0.1))</f>
        <v>0</v>
      </c>
      <c r="G379">
        <f t="shared" si="11"/>
        <v>1</v>
      </c>
    </row>
    <row r="380" spans="1:7" x14ac:dyDescent="0.25">
      <c r="A380">
        <v>121</v>
      </c>
      <c r="B380">
        <f>SUMIFS('Draft Board'!$AT$2:$AT$192,'Draft Board'!$AM$2:$AM$192,A380,'Draft Board'!$AT$2:$AT$192,"&lt;&gt;")</f>
        <v>0</v>
      </c>
      <c r="C380">
        <f>SUMIFS('Draft Board'!$AS$2:$AS$192,'Draft Board'!$AM$2:$AM$192,A380,'Draft Board'!$AT$2:$AT$192,"&lt;&gt;")</f>
        <v>0</v>
      </c>
      <c r="D380">
        <f>COUNTIFS('Draft Board'!$AM$2:$AM$192,A380,'Draft Board'!$AT$2:$AT$192,"&lt;&gt;")</f>
        <v>0</v>
      </c>
      <c r="E380">
        <f>IFERROR(AVERAGEIFS('Draft Board'!$AS$2:$AS$192,'Draft Board'!$AM$2:$AM$192,A380),0)</f>
        <v>0</v>
      </c>
      <c r="F380">
        <f>MIN(1,E380/(Setup!$B$3*0.1))</f>
        <v>0</v>
      </c>
      <c r="G380">
        <f t="shared" si="11"/>
        <v>1</v>
      </c>
    </row>
    <row r="381" spans="1:7" x14ac:dyDescent="0.25">
      <c r="A381">
        <v>122</v>
      </c>
      <c r="B381">
        <f>SUMIFS('Draft Board'!$AT$2:$AT$192,'Draft Board'!$AM$2:$AM$192,A381,'Draft Board'!$AT$2:$AT$192,"&lt;&gt;")</f>
        <v>0</v>
      </c>
      <c r="C381">
        <f>SUMIFS('Draft Board'!$AS$2:$AS$192,'Draft Board'!$AM$2:$AM$192,A381,'Draft Board'!$AT$2:$AT$192,"&lt;&gt;")</f>
        <v>0</v>
      </c>
      <c r="D381">
        <f>COUNTIFS('Draft Board'!$AM$2:$AM$192,A381,'Draft Board'!$AT$2:$AT$192,"&lt;&gt;")</f>
        <v>0</v>
      </c>
      <c r="E381">
        <f>IFERROR(AVERAGEIFS('Draft Board'!$AS$2:$AS$192,'Draft Board'!$AM$2:$AM$192,A381),0)</f>
        <v>0</v>
      </c>
      <c r="F381">
        <f>MIN(1,E381/(Setup!$B$3*0.1))</f>
        <v>0</v>
      </c>
      <c r="G381">
        <f t="shared" si="11"/>
        <v>1</v>
      </c>
    </row>
    <row r="382" spans="1:7" x14ac:dyDescent="0.25">
      <c r="A382">
        <v>123</v>
      </c>
      <c r="B382">
        <f>SUMIFS('Draft Board'!$AT$2:$AT$192,'Draft Board'!$AM$2:$AM$192,A382,'Draft Board'!$AT$2:$AT$192,"&lt;&gt;")</f>
        <v>0</v>
      </c>
      <c r="C382">
        <f>SUMIFS('Draft Board'!$AS$2:$AS$192,'Draft Board'!$AM$2:$AM$192,A382,'Draft Board'!$AT$2:$AT$192,"&lt;&gt;")</f>
        <v>0</v>
      </c>
      <c r="D382">
        <f>COUNTIFS('Draft Board'!$AM$2:$AM$192,A382,'Draft Board'!$AT$2:$AT$192,"&lt;&gt;")</f>
        <v>0</v>
      </c>
      <c r="E382">
        <f>IFERROR(AVERAGEIFS('Draft Board'!$AS$2:$AS$192,'Draft Board'!$AM$2:$AM$192,A382),0)</f>
        <v>0</v>
      </c>
      <c r="F382">
        <f>MIN(1,E382/(Setup!$B$3*0.1))</f>
        <v>0</v>
      </c>
      <c r="G382">
        <f t="shared" si="11"/>
        <v>1</v>
      </c>
    </row>
    <row r="383" spans="1:7" x14ac:dyDescent="0.25">
      <c r="A383">
        <v>124</v>
      </c>
      <c r="B383">
        <f>SUMIFS('Draft Board'!$AT$2:$AT$192,'Draft Board'!$AM$2:$AM$192,A383,'Draft Board'!$AT$2:$AT$192,"&lt;&gt;")</f>
        <v>0</v>
      </c>
      <c r="C383">
        <f>SUMIFS('Draft Board'!$AS$2:$AS$192,'Draft Board'!$AM$2:$AM$192,A383,'Draft Board'!$AT$2:$AT$192,"&lt;&gt;")</f>
        <v>0</v>
      </c>
      <c r="D383">
        <f>COUNTIFS('Draft Board'!$AM$2:$AM$192,A383,'Draft Board'!$AT$2:$AT$192,"&lt;&gt;")</f>
        <v>0</v>
      </c>
      <c r="E383">
        <f>IFERROR(AVERAGEIFS('Draft Board'!$AS$2:$AS$192,'Draft Board'!$AM$2:$AM$192,A383),0)</f>
        <v>0</v>
      </c>
      <c r="F383">
        <f>MIN(1,E383/(Setup!$B$3*0.1))</f>
        <v>0</v>
      </c>
      <c r="G383">
        <f t="shared" si="11"/>
        <v>1</v>
      </c>
    </row>
    <row r="384" spans="1:7" x14ac:dyDescent="0.25">
      <c r="A384">
        <v>125</v>
      </c>
      <c r="B384">
        <f>SUMIFS('Draft Board'!$AT$2:$AT$192,'Draft Board'!$AM$2:$AM$192,A384,'Draft Board'!$AT$2:$AT$192,"&lt;&gt;")</f>
        <v>0</v>
      </c>
      <c r="C384">
        <f>SUMIFS('Draft Board'!$AS$2:$AS$192,'Draft Board'!$AM$2:$AM$192,A384,'Draft Board'!$AT$2:$AT$192,"&lt;&gt;")</f>
        <v>0</v>
      </c>
      <c r="D384">
        <f>COUNTIFS('Draft Board'!$AM$2:$AM$192,A384,'Draft Board'!$AT$2:$AT$192,"&lt;&gt;")</f>
        <v>0</v>
      </c>
      <c r="E384">
        <f>IFERROR(AVERAGEIFS('Draft Board'!$AS$2:$AS$192,'Draft Board'!$AM$2:$AM$192,A384),0)</f>
        <v>0</v>
      </c>
      <c r="F384">
        <f>MIN(1,E384/(Setup!$B$3*0.1))</f>
        <v>0</v>
      </c>
      <c r="G384">
        <f t="shared" si="11"/>
        <v>1</v>
      </c>
    </row>
    <row r="385" spans="1:7" x14ac:dyDescent="0.25">
      <c r="A385">
        <v>126</v>
      </c>
      <c r="B385">
        <f>SUMIFS('Draft Board'!$AT$2:$AT$192,'Draft Board'!$AM$2:$AM$192,A385,'Draft Board'!$AT$2:$AT$192,"&lt;&gt;")</f>
        <v>0</v>
      </c>
      <c r="C385">
        <f>SUMIFS('Draft Board'!$AS$2:$AS$192,'Draft Board'!$AM$2:$AM$192,A385,'Draft Board'!$AT$2:$AT$192,"&lt;&gt;")</f>
        <v>0</v>
      </c>
      <c r="D385">
        <f>COUNTIFS('Draft Board'!$AM$2:$AM$192,A385,'Draft Board'!$AT$2:$AT$192,"&lt;&gt;")</f>
        <v>0</v>
      </c>
      <c r="E385">
        <f>IFERROR(AVERAGEIFS('Draft Board'!$AS$2:$AS$192,'Draft Board'!$AM$2:$AM$192,A385),0)</f>
        <v>0</v>
      </c>
      <c r="F385">
        <f>MIN(1,E385/(Setup!$B$3*0.1))</f>
        <v>0</v>
      </c>
      <c r="G385">
        <f t="shared" si="11"/>
        <v>1</v>
      </c>
    </row>
    <row r="386" spans="1:7" x14ac:dyDescent="0.25">
      <c r="A386">
        <v>127</v>
      </c>
      <c r="B386">
        <f>SUMIFS('Draft Board'!$AT$2:$AT$192,'Draft Board'!$AM$2:$AM$192,A386,'Draft Board'!$AT$2:$AT$192,"&lt;&gt;")</f>
        <v>0</v>
      </c>
      <c r="C386">
        <f>SUMIFS('Draft Board'!$AS$2:$AS$192,'Draft Board'!$AM$2:$AM$192,A386,'Draft Board'!$AT$2:$AT$192,"&lt;&gt;")</f>
        <v>0</v>
      </c>
      <c r="D386">
        <f>COUNTIFS('Draft Board'!$AM$2:$AM$192,A386,'Draft Board'!$AT$2:$AT$192,"&lt;&gt;")</f>
        <v>0</v>
      </c>
      <c r="E386">
        <f>IFERROR(AVERAGEIFS('Draft Board'!$AS$2:$AS$192,'Draft Board'!$AM$2:$AM$192,A386),0)</f>
        <v>0</v>
      </c>
      <c r="F386">
        <f>MIN(1,E386/(Setup!$B$3*0.1))</f>
        <v>0</v>
      </c>
      <c r="G386">
        <f t="shared" si="11"/>
        <v>1</v>
      </c>
    </row>
    <row r="387" spans="1:7" x14ac:dyDescent="0.25">
      <c r="A387">
        <v>128</v>
      </c>
      <c r="B387">
        <f>SUMIFS('Draft Board'!$AT$2:$AT$192,'Draft Board'!$AM$2:$AM$192,A387,'Draft Board'!$AT$2:$AT$192,"&lt;&gt;")</f>
        <v>0</v>
      </c>
      <c r="C387">
        <f>SUMIFS('Draft Board'!$AS$2:$AS$192,'Draft Board'!$AM$2:$AM$192,A387,'Draft Board'!$AT$2:$AT$192,"&lt;&gt;")</f>
        <v>0</v>
      </c>
      <c r="D387">
        <f>COUNTIFS('Draft Board'!$AM$2:$AM$192,A387,'Draft Board'!$AT$2:$AT$192,"&lt;&gt;")</f>
        <v>0</v>
      </c>
      <c r="E387">
        <f>IFERROR(AVERAGEIFS('Draft Board'!$AS$2:$AS$192,'Draft Board'!$AM$2:$AM$192,A387),0)</f>
        <v>0</v>
      </c>
      <c r="F387">
        <f>MIN(1,E387/(Setup!$B$3*0.1))</f>
        <v>0</v>
      </c>
      <c r="G387">
        <f t="shared" si="11"/>
        <v>1</v>
      </c>
    </row>
    <row r="388" spans="1:7" x14ac:dyDescent="0.25">
      <c r="A388">
        <v>129</v>
      </c>
      <c r="B388">
        <f>SUMIFS('Draft Board'!$AT$2:$AT$192,'Draft Board'!$AM$2:$AM$192,A388,'Draft Board'!$AT$2:$AT$192,"&lt;&gt;")</f>
        <v>0</v>
      </c>
      <c r="C388">
        <f>SUMIFS('Draft Board'!$AS$2:$AS$192,'Draft Board'!$AM$2:$AM$192,A388,'Draft Board'!$AT$2:$AT$192,"&lt;&gt;")</f>
        <v>0</v>
      </c>
      <c r="D388">
        <f>COUNTIFS('Draft Board'!$AM$2:$AM$192,A388,'Draft Board'!$AT$2:$AT$192,"&lt;&gt;")</f>
        <v>0</v>
      </c>
      <c r="E388">
        <f>IFERROR(AVERAGEIFS('Draft Board'!$AS$2:$AS$192,'Draft Board'!$AM$2:$AM$192,A388),0)</f>
        <v>0</v>
      </c>
      <c r="F388">
        <f>MIN(1,E388/(Setup!$B$3*0.1))</f>
        <v>0</v>
      </c>
      <c r="G388">
        <f t="shared" ref="G388:G419" si="12">IF(D388&lt;2,1,MEDIAN(0.5,2,1+(IFERROR(B388/C388,1)-1)*F388))</f>
        <v>1</v>
      </c>
    </row>
    <row r="389" spans="1:7" x14ac:dyDescent="0.25">
      <c r="A389">
        <v>130</v>
      </c>
      <c r="B389">
        <f>SUMIFS('Draft Board'!$AT$2:$AT$192,'Draft Board'!$AM$2:$AM$192,A389,'Draft Board'!$AT$2:$AT$192,"&lt;&gt;")</f>
        <v>0</v>
      </c>
      <c r="C389">
        <f>SUMIFS('Draft Board'!$AS$2:$AS$192,'Draft Board'!$AM$2:$AM$192,A389,'Draft Board'!$AT$2:$AT$192,"&lt;&gt;")</f>
        <v>0</v>
      </c>
      <c r="D389">
        <f>COUNTIFS('Draft Board'!$AM$2:$AM$192,A389,'Draft Board'!$AT$2:$AT$192,"&lt;&gt;")</f>
        <v>0</v>
      </c>
      <c r="E389">
        <f>IFERROR(AVERAGEIFS('Draft Board'!$AS$2:$AS$192,'Draft Board'!$AM$2:$AM$192,A389),0)</f>
        <v>0</v>
      </c>
      <c r="F389">
        <f>MIN(1,E389/(Setup!$B$3*0.1))</f>
        <v>0</v>
      </c>
      <c r="G389">
        <f t="shared" si="12"/>
        <v>1</v>
      </c>
    </row>
    <row r="390" spans="1:7" x14ac:dyDescent="0.25">
      <c r="A390">
        <v>131</v>
      </c>
      <c r="B390">
        <f>SUMIFS('Draft Board'!$AT$2:$AT$192,'Draft Board'!$AM$2:$AM$192,A390,'Draft Board'!$AT$2:$AT$192,"&lt;&gt;")</f>
        <v>0</v>
      </c>
      <c r="C390">
        <f>SUMIFS('Draft Board'!$AS$2:$AS$192,'Draft Board'!$AM$2:$AM$192,A390,'Draft Board'!$AT$2:$AT$192,"&lt;&gt;")</f>
        <v>0</v>
      </c>
      <c r="D390">
        <f>COUNTIFS('Draft Board'!$AM$2:$AM$192,A390,'Draft Board'!$AT$2:$AT$192,"&lt;&gt;")</f>
        <v>0</v>
      </c>
      <c r="E390">
        <f>IFERROR(AVERAGEIFS('Draft Board'!$AS$2:$AS$192,'Draft Board'!$AM$2:$AM$192,A390),0)</f>
        <v>0</v>
      </c>
      <c r="F390">
        <f>MIN(1,E390/(Setup!$B$3*0.1))</f>
        <v>0</v>
      </c>
      <c r="G390">
        <f t="shared" si="12"/>
        <v>1</v>
      </c>
    </row>
    <row r="391" spans="1:7" x14ac:dyDescent="0.25">
      <c r="A391">
        <v>132</v>
      </c>
      <c r="B391">
        <f>SUMIFS('Draft Board'!$AT$2:$AT$192,'Draft Board'!$AM$2:$AM$192,A391,'Draft Board'!$AT$2:$AT$192,"&lt;&gt;")</f>
        <v>0</v>
      </c>
      <c r="C391">
        <f>SUMIFS('Draft Board'!$AS$2:$AS$192,'Draft Board'!$AM$2:$AM$192,A391,'Draft Board'!$AT$2:$AT$192,"&lt;&gt;")</f>
        <v>0</v>
      </c>
      <c r="D391">
        <f>COUNTIFS('Draft Board'!$AM$2:$AM$192,A391,'Draft Board'!$AT$2:$AT$192,"&lt;&gt;")</f>
        <v>0</v>
      </c>
      <c r="E391">
        <f>IFERROR(AVERAGEIFS('Draft Board'!$AS$2:$AS$192,'Draft Board'!$AM$2:$AM$192,A391),0)</f>
        <v>0</v>
      </c>
      <c r="F391">
        <f>MIN(1,E391/(Setup!$B$3*0.1))</f>
        <v>0</v>
      </c>
      <c r="G391">
        <f t="shared" si="12"/>
        <v>1</v>
      </c>
    </row>
    <row r="392" spans="1:7" x14ac:dyDescent="0.25">
      <c r="A392">
        <v>133</v>
      </c>
      <c r="B392">
        <f>SUMIFS('Draft Board'!$AT$2:$AT$192,'Draft Board'!$AM$2:$AM$192,A392,'Draft Board'!$AT$2:$AT$192,"&lt;&gt;")</f>
        <v>0</v>
      </c>
      <c r="C392">
        <f>SUMIFS('Draft Board'!$AS$2:$AS$192,'Draft Board'!$AM$2:$AM$192,A392,'Draft Board'!$AT$2:$AT$192,"&lt;&gt;")</f>
        <v>0</v>
      </c>
      <c r="D392">
        <f>COUNTIFS('Draft Board'!$AM$2:$AM$192,A392,'Draft Board'!$AT$2:$AT$192,"&lt;&gt;")</f>
        <v>0</v>
      </c>
      <c r="E392">
        <f>IFERROR(AVERAGEIFS('Draft Board'!$AS$2:$AS$192,'Draft Board'!$AM$2:$AM$192,A392),0)</f>
        <v>0</v>
      </c>
      <c r="F392">
        <f>MIN(1,E392/(Setup!$B$3*0.1))</f>
        <v>0</v>
      </c>
      <c r="G392">
        <f t="shared" si="12"/>
        <v>1</v>
      </c>
    </row>
    <row r="393" spans="1:7" x14ac:dyDescent="0.25">
      <c r="A393">
        <v>134</v>
      </c>
      <c r="B393">
        <f>SUMIFS('Draft Board'!$AT$2:$AT$192,'Draft Board'!$AM$2:$AM$192,A393,'Draft Board'!$AT$2:$AT$192,"&lt;&gt;")</f>
        <v>0</v>
      </c>
      <c r="C393">
        <f>SUMIFS('Draft Board'!$AS$2:$AS$192,'Draft Board'!$AM$2:$AM$192,A393,'Draft Board'!$AT$2:$AT$192,"&lt;&gt;")</f>
        <v>0</v>
      </c>
      <c r="D393">
        <f>COUNTIFS('Draft Board'!$AM$2:$AM$192,A393,'Draft Board'!$AT$2:$AT$192,"&lt;&gt;")</f>
        <v>0</v>
      </c>
      <c r="E393">
        <f>IFERROR(AVERAGEIFS('Draft Board'!$AS$2:$AS$192,'Draft Board'!$AM$2:$AM$192,A393),0)</f>
        <v>0</v>
      </c>
      <c r="F393">
        <f>MIN(1,E393/(Setup!$B$3*0.1))</f>
        <v>0</v>
      </c>
      <c r="G393">
        <f t="shared" si="12"/>
        <v>1</v>
      </c>
    </row>
    <row r="394" spans="1:7" x14ac:dyDescent="0.25">
      <c r="A394">
        <v>135</v>
      </c>
      <c r="B394">
        <f>SUMIFS('Draft Board'!$AT$2:$AT$192,'Draft Board'!$AM$2:$AM$192,A394,'Draft Board'!$AT$2:$AT$192,"&lt;&gt;")</f>
        <v>0</v>
      </c>
      <c r="C394">
        <f>SUMIFS('Draft Board'!$AS$2:$AS$192,'Draft Board'!$AM$2:$AM$192,A394,'Draft Board'!$AT$2:$AT$192,"&lt;&gt;")</f>
        <v>0</v>
      </c>
      <c r="D394">
        <f>COUNTIFS('Draft Board'!$AM$2:$AM$192,A394,'Draft Board'!$AT$2:$AT$192,"&lt;&gt;")</f>
        <v>0</v>
      </c>
      <c r="E394">
        <f>IFERROR(AVERAGEIFS('Draft Board'!$AS$2:$AS$192,'Draft Board'!$AM$2:$AM$192,A394),0)</f>
        <v>0</v>
      </c>
      <c r="F394">
        <f>MIN(1,E394/(Setup!$B$3*0.1))</f>
        <v>0</v>
      </c>
      <c r="G394">
        <f t="shared" si="12"/>
        <v>1</v>
      </c>
    </row>
    <row r="395" spans="1:7" x14ac:dyDescent="0.25">
      <c r="A395">
        <v>136</v>
      </c>
      <c r="B395">
        <f>SUMIFS('Draft Board'!$AT$2:$AT$192,'Draft Board'!$AM$2:$AM$192,A395,'Draft Board'!$AT$2:$AT$192,"&lt;&gt;")</f>
        <v>0</v>
      </c>
      <c r="C395">
        <f>SUMIFS('Draft Board'!$AS$2:$AS$192,'Draft Board'!$AM$2:$AM$192,A395,'Draft Board'!$AT$2:$AT$192,"&lt;&gt;")</f>
        <v>0</v>
      </c>
      <c r="D395">
        <f>COUNTIFS('Draft Board'!$AM$2:$AM$192,A395,'Draft Board'!$AT$2:$AT$192,"&lt;&gt;")</f>
        <v>0</v>
      </c>
      <c r="E395">
        <f>IFERROR(AVERAGEIFS('Draft Board'!$AS$2:$AS$192,'Draft Board'!$AM$2:$AM$192,A395),0)</f>
        <v>0</v>
      </c>
      <c r="F395">
        <f>MIN(1,E395/(Setup!$B$3*0.1))</f>
        <v>0</v>
      </c>
      <c r="G395">
        <f t="shared" si="12"/>
        <v>1</v>
      </c>
    </row>
    <row r="396" spans="1:7" x14ac:dyDescent="0.25">
      <c r="A396">
        <v>137</v>
      </c>
      <c r="B396">
        <f>SUMIFS('Draft Board'!$AT$2:$AT$192,'Draft Board'!$AM$2:$AM$192,A396,'Draft Board'!$AT$2:$AT$192,"&lt;&gt;")</f>
        <v>0</v>
      </c>
      <c r="C396">
        <f>SUMIFS('Draft Board'!$AS$2:$AS$192,'Draft Board'!$AM$2:$AM$192,A396,'Draft Board'!$AT$2:$AT$192,"&lt;&gt;")</f>
        <v>0</v>
      </c>
      <c r="D396">
        <f>COUNTIFS('Draft Board'!$AM$2:$AM$192,A396,'Draft Board'!$AT$2:$AT$192,"&lt;&gt;")</f>
        <v>0</v>
      </c>
      <c r="E396">
        <f>IFERROR(AVERAGEIFS('Draft Board'!$AS$2:$AS$192,'Draft Board'!$AM$2:$AM$192,A396),0)</f>
        <v>0</v>
      </c>
      <c r="F396">
        <f>MIN(1,E396/(Setup!$B$3*0.1))</f>
        <v>0</v>
      </c>
      <c r="G396">
        <f t="shared" si="12"/>
        <v>1</v>
      </c>
    </row>
    <row r="397" spans="1:7" x14ac:dyDescent="0.25">
      <c r="A397">
        <v>138</v>
      </c>
      <c r="B397">
        <f>SUMIFS('Draft Board'!$AT$2:$AT$192,'Draft Board'!$AM$2:$AM$192,A397,'Draft Board'!$AT$2:$AT$192,"&lt;&gt;")</f>
        <v>0</v>
      </c>
      <c r="C397">
        <f>SUMIFS('Draft Board'!$AS$2:$AS$192,'Draft Board'!$AM$2:$AM$192,A397,'Draft Board'!$AT$2:$AT$192,"&lt;&gt;")</f>
        <v>0</v>
      </c>
      <c r="D397">
        <f>COUNTIFS('Draft Board'!$AM$2:$AM$192,A397,'Draft Board'!$AT$2:$AT$192,"&lt;&gt;")</f>
        <v>0</v>
      </c>
      <c r="E397">
        <f>IFERROR(AVERAGEIFS('Draft Board'!$AS$2:$AS$192,'Draft Board'!$AM$2:$AM$192,A397),0)</f>
        <v>0</v>
      </c>
      <c r="F397">
        <f>MIN(1,E397/(Setup!$B$3*0.1))</f>
        <v>0</v>
      </c>
      <c r="G397">
        <f t="shared" si="12"/>
        <v>1</v>
      </c>
    </row>
    <row r="398" spans="1:7" x14ac:dyDescent="0.25">
      <c r="A398">
        <v>139</v>
      </c>
      <c r="B398">
        <f>SUMIFS('Draft Board'!$AT$2:$AT$192,'Draft Board'!$AM$2:$AM$192,A398,'Draft Board'!$AT$2:$AT$192,"&lt;&gt;")</f>
        <v>0</v>
      </c>
      <c r="C398">
        <f>SUMIFS('Draft Board'!$AS$2:$AS$192,'Draft Board'!$AM$2:$AM$192,A398,'Draft Board'!$AT$2:$AT$192,"&lt;&gt;")</f>
        <v>0</v>
      </c>
      <c r="D398">
        <f>COUNTIFS('Draft Board'!$AM$2:$AM$192,A398,'Draft Board'!$AT$2:$AT$192,"&lt;&gt;")</f>
        <v>0</v>
      </c>
      <c r="E398">
        <f>IFERROR(AVERAGEIFS('Draft Board'!$AS$2:$AS$192,'Draft Board'!$AM$2:$AM$192,A398),0)</f>
        <v>0</v>
      </c>
      <c r="F398">
        <f>MIN(1,E398/(Setup!$B$3*0.1))</f>
        <v>0</v>
      </c>
      <c r="G398">
        <f t="shared" si="12"/>
        <v>1</v>
      </c>
    </row>
    <row r="399" spans="1:7" x14ac:dyDescent="0.25">
      <c r="A399">
        <v>140</v>
      </c>
      <c r="B399">
        <f>SUMIFS('Draft Board'!$AT$2:$AT$192,'Draft Board'!$AM$2:$AM$192,A399,'Draft Board'!$AT$2:$AT$192,"&lt;&gt;")</f>
        <v>0</v>
      </c>
      <c r="C399">
        <f>SUMIFS('Draft Board'!$AS$2:$AS$192,'Draft Board'!$AM$2:$AM$192,A399,'Draft Board'!$AT$2:$AT$192,"&lt;&gt;")</f>
        <v>0</v>
      </c>
      <c r="D399">
        <f>COUNTIFS('Draft Board'!$AM$2:$AM$192,A399,'Draft Board'!$AT$2:$AT$192,"&lt;&gt;")</f>
        <v>0</v>
      </c>
      <c r="E399">
        <f>IFERROR(AVERAGEIFS('Draft Board'!$AS$2:$AS$192,'Draft Board'!$AM$2:$AM$192,A399),0)</f>
        <v>0</v>
      </c>
      <c r="F399">
        <f>MIN(1,E399/(Setup!$B$3*0.1))</f>
        <v>0</v>
      </c>
      <c r="G399">
        <f t="shared" si="12"/>
        <v>1</v>
      </c>
    </row>
    <row r="400" spans="1:7" x14ac:dyDescent="0.25">
      <c r="A400">
        <v>141</v>
      </c>
      <c r="B400">
        <f>SUMIFS('Draft Board'!$AT$2:$AT$192,'Draft Board'!$AM$2:$AM$192,A400,'Draft Board'!$AT$2:$AT$192,"&lt;&gt;")</f>
        <v>0</v>
      </c>
      <c r="C400">
        <f>SUMIFS('Draft Board'!$AS$2:$AS$192,'Draft Board'!$AM$2:$AM$192,A400,'Draft Board'!$AT$2:$AT$192,"&lt;&gt;")</f>
        <v>0</v>
      </c>
      <c r="D400">
        <f>COUNTIFS('Draft Board'!$AM$2:$AM$192,A400,'Draft Board'!$AT$2:$AT$192,"&lt;&gt;")</f>
        <v>0</v>
      </c>
      <c r="E400">
        <f>IFERROR(AVERAGEIFS('Draft Board'!$AS$2:$AS$192,'Draft Board'!$AM$2:$AM$192,A400),0)</f>
        <v>0</v>
      </c>
      <c r="F400">
        <f>MIN(1,E400/(Setup!$B$3*0.1))</f>
        <v>0</v>
      </c>
      <c r="G400">
        <f t="shared" si="12"/>
        <v>1</v>
      </c>
    </row>
    <row r="401" spans="1:7" x14ac:dyDescent="0.25">
      <c r="A401">
        <v>142</v>
      </c>
      <c r="B401">
        <f>SUMIFS('Draft Board'!$AT$2:$AT$192,'Draft Board'!$AM$2:$AM$192,A401,'Draft Board'!$AT$2:$AT$192,"&lt;&gt;")</f>
        <v>0</v>
      </c>
      <c r="C401">
        <f>SUMIFS('Draft Board'!$AS$2:$AS$192,'Draft Board'!$AM$2:$AM$192,A401,'Draft Board'!$AT$2:$AT$192,"&lt;&gt;")</f>
        <v>0</v>
      </c>
      <c r="D401">
        <f>COUNTIFS('Draft Board'!$AM$2:$AM$192,A401,'Draft Board'!$AT$2:$AT$192,"&lt;&gt;")</f>
        <v>0</v>
      </c>
      <c r="E401">
        <f>IFERROR(AVERAGEIFS('Draft Board'!$AS$2:$AS$192,'Draft Board'!$AM$2:$AM$192,A401),0)</f>
        <v>0</v>
      </c>
      <c r="F401">
        <f>MIN(1,E401/(Setup!$B$3*0.1))</f>
        <v>0</v>
      </c>
      <c r="G401">
        <f t="shared" si="12"/>
        <v>1</v>
      </c>
    </row>
    <row r="402" spans="1:7" x14ac:dyDescent="0.25">
      <c r="A402">
        <v>143</v>
      </c>
      <c r="B402">
        <f>SUMIFS('Draft Board'!$AT$2:$AT$192,'Draft Board'!$AM$2:$AM$192,A402,'Draft Board'!$AT$2:$AT$192,"&lt;&gt;")</f>
        <v>0</v>
      </c>
      <c r="C402">
        <f>SUMIFS('Draft Board'!$AS$2:$AS$192,'Draft Board'!$AM$2:$AM$192,A402,'Draft Board'!$AT$2:$AT$192,"&lt;&gt;")</f>
        <v>0</v>
      </c>
      <c r="D402">
        <f>COUNTIFS('Draft Board'!$AM$2:$AM$192,A402,'Draft Board'!$AT$2:$AT$192,"&lt;&gt;")</f>
        <v>0</v>
      </c>
      <c r="E402">
        <f>IFERROR(AVERAGEIFS('Draft Board'!$AS$2:$AS$192,'Draft Board'!$AM$2:$AM$192,A402),0)</f>
        <v>0</v>
      </c>
      <c r="F402">
        <f>MIN(1,E402/(Setup!$B$3*0.1))</f>
        <v>0</v>
      </c>
      <c r="G402">
        <f t="shared" si="12"/>
        <v>1</v>
      </c>
    </row>
    <row r="403" spans="1:7" x14ac:dyDescent="0.25">
      <c r="A403">
        <v>144</v>
      </c>
      <c r="B403">
        <f>SUMIFS('Draft Board'!$AT$2:$AT$192,'Draft Board'!$AM$2:$AM$192,A403,'Draft Board'!$AT$2:$AT$192,"&lt;&gt;")</f>
        <v>0</v>
      </c>
      <c r="C403">
        <f>SUMIFS('Draft Board'!$AS$2:$AS$192,'Draft Board'!$AM$2:$AM$192,A403,'Draft Board'!$AT$2:$AT$192,"&lt;&gt;")</f>
        <v>0</v>
      </c>
      <c r="D403">
        <f>COUNTIFS('Draft Board'!$AM$2:$AM$192,A403,'Draft Board'!$AT$2:$AT$192,"&lt;&gt;")</f>
        <v>0</v>
      </c>
      <c r="E403">
        <f>IFERROR(AVERAGEIFS('Draft Board'!$AS$2:$AS$192,'Draft Board'!$AM$2:$AM$192,A403),0)</f>
        <v>0</v>
      </c>
      <c r="F403">
        <f>MIN(1,E403/(Setup!$B$3*0.1))</f>
        <v>0</v>
      </c>
      <c r="G403">
        <f t="shared" si="12"/>
        <v>1</v>
      </c>
    </row>
    <row r="404" spans="1:7" x14ac:dyDescent="0.25">
      <c r="A404">
        <v>145</v>
      </c>
      <c r="B404">
        <f>SUMIFS('Draft Board'!$AT$2:$AT$192,'Draft Board'!$AM$2:$AM$192,A404,'Draft Board'!$AT$2:$AT$192,"&lt;&gt;")</f>
        <v>0</v>
      </c>
      <c r="C404">
        <f>SUMIFS('Draft Board'!$AS$2:$AS$192,'Draft Board'!$AM$2:$AM$192,A404,'Draft Board'!$AT$2:$AT$192,"&lt;&gt;")</f>
        <v>0</v>
      </c>
      <c r="D404">
        <f>COUNTIFS('Draft Board'!$AM$2:$AM$192,A404,'Draft Board'!$AT$2:$AT$192,"&lt;&gt;")</f>
        <v>0</v>
      </c>
      <c r="E404">
        <f>IFERROR(AVERAGEIFS('Draft Board'!$AS$2:$AS$192,'Draft Board'!$AM$2:$AM$192,A404),0)</f>
        <v>0</v>
      </c>
      <c r="F404">
        <f>MIN(1,E404/(Setup!$B$3*0.1))</f>
        <v>0</v>
      </c>
      <c r="G404">
        <f t="shared" si="12"/>
        <v>1</v>
      </c>
    </row>
    <row r="405" spans="1:7" x14ac:dyDescent="0.25">
      <c r="A405">
        <v>146</v>
      </c>
      <c r="B405">
        <f>SUMIFS('Draft Board'!$AT$2:$AT$192,'Draft Board'!$AM$2:$AM$192,A405,'Draft Board'!$AT$2:$AT$192,"&lt;&gt;")</f>
        <v>0</v>
      </c>
      <c r="C405">
        <f>SUMIFS('Draft Board'!$AS$2:$AS$192,'Draft Board'!$AM$2:$AM$192,A405,'Draft Board'!$AT$2:$AT$192,"&lt;&gt;")</f>
        <v>0</v>
      </c>
      <c r="D405">
        <f>COUNTIFS('Draft Board'!$AM$2:$AM$192,A405,'Draft Board'!$AT$2:$AT$192,"&lt;&gt;")</f>
        <v>0</v>
      </c>
      <c r="E405">
        <f>IFERROR(AVERAGEIFS('Draft Board'!$AS$2:$AS$192,'Draft Board'!$AM$2:$AM$192,A405),0)</f>
        <v>0</v>
      </c>
      <c r="F405">
        <f>MIN(1,E405/(Setup!$B$3*0.1))</f>
        <v>0</v>
      </c>
      <c r="G405">
        <f t="shared" si="12"/>
        <v>1</v>
      </c>
    </row>
    <row r="406" spans="1:7" x14ac:dyDescent="0.25">
      <c r="A406">
        <v>147</v>
      </c>
      <c r="B406">
        <f>SUMIFS('Draft Board'!$AT$2:$AT$192,'Draft Board'!$AM$2:$AM$192,A406,'Draft Board'!$AT$2:$AT$192,"&lt;&gt;")</f>
        <v>0</v>
      </c>
      <c r="C406">
        <f>SUMIFS('Draft Board'!$AS$2:$AS$192,'Draft Board'!$AM$2:$AM$192,A406,'Draft Board'!$AT$2:$AT$192,"&lt;&gt;")</f>
        <v>0</v>
      </c>
      <c r="D406">
        <f>COUNTIFS('Draft Board'!$AM$2:$AM$192,A406,'Draft Board'!$AT$2:$AT$192,"&lt;&gt;")</f>
        <v>0</v>
      </c>
      <c r="E406">
        <f>IFERROR(AVERAGEIFS('Draft Board'!$AS$2:$AS$192,'Draft Board'!$AM$2:$AM$192,A406),0)</f>
        <v>0</v>
      </c>
      <c r="F406">
        <f>MIN(1,E406/(Setup!$B$3*0.1))</f>
        <v>0</v>
      </c>
      <c r="G406">
        <f t="shared" si="12"/>
        <v>1</v>
      </c>
    </row>
    <row r="407" spans="1:7" x14ac:dyDescent="0.25">
      <c r="A407">
        <v>148</v>
      </c>
      <c r="B407">
        <f>SUMIFS('Draft Board'!$AT$2:$AT$192,'Draft Board'!$AM$2:$AM$192,A407,'Draft Board'!$AT$2:$AT$192,"&lt;&gt;")</f>
        <v>0</v>
      </c>
      <c r="C407">
        <f>SUMIFS('Draft Board'!$AS$2:$AS$192,'Draft Board'!$AM$2:$AM$192,A407,'Draft Board'!$AT$2:$AT$192,"&lt;&gt;")</f>
        <v>0</v>
      </c>
      <c r="D407">
        <f>COUNTIFS('Draft Board'!$AM$2:$AM$192,A407,'Draft Board'!$AT$2:$AT$192,"&lt;&gt;")</f>
        <v>0</v>
      </c>
      <c r="E407">
        <f>IFERROR(AVERAGEIFS('Draft Board'!$AS$2:$AS$192,'Draft Board'!$AM$2:$AM$192,A407),0)</f>
        <v>0</v>
      </c>
      <c r="F407">
        <f>MIN(1,E407/(Setup!$B$3*0.1))</f>
        <v>0</v>
      </c>
      <c r="G407">
        <f t="shared" si="12"/>
        <v>1</v>
      </c>
    </row>
    <row r="408" spans="1:7" x14ac:dyDescent="0.25">
      <c r="A408">
        <v>149</v>
      </c>
      <c r="B408">
        <f>SUMIFS('Draft Board'!$AT$2:$AT$192,'Draft Board'!$AM$2:$AM$192,A408,'Draft Board'!$AT$2:$AT$192,"&lt;&gt;")</f>
        <v>0</v>
      </c>
      <c r="C408">
        <f>SUMIFS('Draft Board'!$AS$2:$AS$192,'Draft Board'!$AM$2:$AM$192,A408,'Draft Board'!$AT$2:$AT$192,"&lt;&gt;")</f>
        <v>0</v>
      </c>
      <c r="D408">
        <f>COUNTIFS('Draft Board'!$AM$2:$AM$192,A408,'Draft Board'!$AT$2:$AT$192,"&lt;&gt;")</f>
        <v>0</v>
      </c>
      <c r="E408">
        <f>IFERROR(AVERAGEIFS('Draft Board'!$AS$2:$AS$192,'Draft Board'!$AM$2:$AM$192,A408),0)</f>
        <v>0</v>
      </c>
      <c r="F408">
        <f>MIN(1,E408/(Setup!$B$3*0.1))</f>
        <v>0</v>
      </c>
      <c r="G408">
        <f t="shared" si="12"/>
        <v>1</v>
      </c>
    </row>
    <row r="409" spans="1:7" x14ac:dyDescent="0.25">
      <c r="A409">
        <v>150</v>
      </c>
      <c r="B409">
        <f>SUMIFS('Draft Board'!$AT$2:$AT$192,'Draft Board'!$AM$2:$AM$192,A409,'Draft Board'!$AT$2:$AT$192,"&lt;&gt;")</f>
        <v>0</v>
      </c>
      <c r="C409">
        <f>SUMIFS('Draft Board'!$AS$2:$AS$192,'Draft Board'!$AM$2:$AM$192,A409,'Draft Board'!$AT$2:$AT$192,"&lt;&gt;")</f>
        <v>0</v>
      </c>
      <c r="D409">
        <f>COUNTIFS('Draft Board'!$AM$2:$AM$192,A409,'Draft Board'!$AT$2:$AT$192,"&lt;&gt;")</f>
        <v>0</v>
      </c>
      <c r="E409">
        <f>IFERROR(AVERAGEIFS('Draft Board'!$AS$2:$AS$192,'Draft Board'!$AM$2:$AM$192,A409),0)</f>
        <v>0</v>
      </c>
      <c r="F409">
        <f>MIN(1,E409/(Setup!$B$3*0.1))</f>
        <v>0</v>
      </c>
      <c r="G409">
        <f t="shared" si="12"/>
        <v>1</v>
      </c>
    </row>
    <row r="410" spans="1:7" x14ac:dyDescent="0.25">
      <c r="A410">
        <v>151</v>
      </c>
      <c r="B410">
        <f>SUMIFS('Draft Board'!$AT$2:$AT$192,'Draft Board'!$AM$2:$AM$192,A410,'Draft Board'!$AT$2:$AT$192,"&lt;&gt;")</f>
        <v>0</v>
      </c>
      <c r="C410">
        <f>SUMIFS('Draft Board'!$AS$2:$AS$192,'Draft Board'!$AM$2:$AM$192,A410,'Draft Board'!$AT$2:$AT$192,"&lt;&gt;")</f>
        <v>0</v>
      </c>
      <c r="D410">
        <f>COUNTIFS('Draft Board'!$AM$2:$AM$192,A410,'Draft Board'!$AT$2:$AT$192,"&lt;&gt;")</f>
        <v>0</v>
      </c>
      <c r="E410">
        <f>IFERROR(AVERAGEIFS('Draft Board'!$AS$2:$AS$192,'Draft Board'!$AM$2:$AM$192,A410),0)</f>
        <v>0</v>
      </c>
      <c r="F410">
        <f>MIN(1,E410/(Setup!$B$3*0.1))</f>
        <v>0</v>
      </c>
      <c r="G410">
        <f t="shared" si="12"/>
        <v>1</v>
      </c>
    </row>
    <row r="411" spans="1:7" x14ac:dyDescent="0.25">
      <c r="A411">
        <v>152</v>
      </c>
      <c r="B411">
        <f>SUMIFS('Draft Board'!$AT$2:$AT$192,'Draft Board'!$AM$2:$AM$192,A411,'Draft Board'!$AT$2:$AT$192,"&lt;&gt;")</f>
        <v>0</v>
      </c>
      <c r="C411">
        <f>SUMIFS('Draft Board'!$AS$2:$AS$192,'Draft Board'!$AM$2:$AM$192,A411,'Draft Board'!$AT$2:$AT$192,"&lt;&gt;")</f>
        <v>0</v>
      </c>
      <c r="D411">
        <f>COUNTIFS('Draft Board'!$AM$2:$AM$192,A411,'Draft Board'!$AT$2:$AT$192,"&lt;&gt;")</f>
        <v>0</v>
      </c>
      <c r="E411">
        <f>IFERROR(AVERAGEIFS('Draft Board'!$AS$2:$AS$192,'Draft Board'!$AM$2:$AM$192,A411),0)</f>
        <v>0</v>
      </c>
      <c r="F411">
        <f>MIN(1,E411/(Setup!$B$3*0.1))</f>
        <v>0</v>
      </c>
      <c r="G411">
        <f t="shared" si="12"/>
        <v>1</v>
      </c>
    </row>
    <row r="412" spans="1:7" x14ac:dyDescent="0.25">
      <c r="A412">
        <v>153</v>
      </c>
      <c r="B412">
        <f>SUMIFS('Draft Board'!$AT$2:$AT$192,'Draft Board'!$AM$2:$AM$192,A412,'Draft Board'!$AT$2:$AT$192,"&lt;&gt;")</f>
        <v>0</v>
      </c>
      <c r="C412">
        <f>SUMIFS('Draft Board'!$AS$2:$AS$192,'Draft Board'!$AM$2:$AM$192,A412,'Draft Board'!$AT$2:$AT$192,"&lt;&gt;")</f>
        <v>0</v>
      </c>
      <c r="D412">
        <f>COUNTIFS('Draft Board'!$AM$2:$AM$192,A412,'Draft Board'!$AT$2:$AT$192,"&lt;&gt;")</f>
        <v>0</v>
      </c>
      <c r="E412">
        <f>IFERROR(AVERAGEIFS('Draft Board'!$AS$2:$AS$192,'Draft Board'!$AM$2:$AM$192,A412),0)</f>
        <v>0</v>
      </c>
      <c r="F412">
        <f>MIN(1,E412/(Setup!$B$3*0.1))</f>
        <v>0</v>
      </c>
      <c r="G412">
        <f t="shared" si="12"/>
        <v>1</v>
      </c>
    </row>
    <row r="413" spans="1:7" x14ac:dyDescent="0.25">
      <c r="A413">
        <v>154</v>
      </c>
      <c r="B413">
        <f>SUMIFS('Draft Board'!$AT$2:$AT$192,'Draft Board'!$AM$2:$AM$192,A413,'Draft Board'!$AT$2:$AT$192,"&lt;&gt;")</f>
        <v>0</v>
      </c>
      <c r="C413">
        <f>SUMIFS('Draft Board'!$AS$2:$AS$192,'Draft Board'!$AM$2:$AM$192,A413,'Draft Board'!$AT$2:$AT$192,"&lt;&gt;")</f>
        <v>0</v>
      </c>
      <c r="D413">
        <f>COUNTIFS('Draft Board'!$AM$2:$AM$192,A413,'Draft Board'!$AT$2:$AT$192,"&lt;&gt;")</f>
        <v>0</v>
      </c>
      <c r="E413">
        <f>IFERROR(AVERAGEIFS('Draft Board'!$AS$2:$AS$192,'Draft Board'!$AM$2:$AM$192,A413),0)</f>
        <v>0</v>
      </c>
      <c r="F413">
        <f>MIN(1,E413/(Setup!$B$3*0.1))</f>
        <v>0</v>
      </c>
      <c r="G413">
        <f t="shared" si="12"/>
        <v>1</v>
      </c>
    </row>
    <row r="414" spans="1:7" x14ac:dyDescent="0.25">
      <c r="A414">
        <v>155</v>
      </c>
      <c r="B414">
        <f>SUMIFS('Draft Board'!$AT$2:$AT$192,'Draft Board'!$AM$2:$AM$192,A414,'Draft Board'!$AT$2:$AT$192,"&lt;&gt;")</f>
        <v>0</v>
      </c>
      <c r="C414">
        <f>SUMIFS('Draft Board'!$AS$2:$AS$192,'Draft Board'!$AM$2:$AM$192,A414,'Draft Board'!$AT$2:$AT$192,"&lt;&gt;")</f>
        <v>0</v>
      </c>
      <c r="D414">
        <f>COUNTIFS('Draft Board'!$AM$2:$AM$192,A414,'Draft Board'!$AT$2:$AT$192,"&lt;&gt;")</f>
        <v>0</v>
      </c>
      <c r="E414">
        <f>IFERROR(AVERAGEIFS('Draft Board'!$AS$2:$AS$192,'Draft Board'!$AM$2:$AM$192,A414),0)</f>
        <v>0</v>
      </c>
      <c r="F414">
        <f>MIN(1,E414/(Setup!$B$3*0.1))</f>
        <v>0</v>
      </c>
      <c r="G414">
        <f t="shared" si="12"/>
        <v>1</v>
      </c>
    </row>
    <row r="415" spans="1:7" x14ac:dyDescent="0.25">
      <c r="A415">
        <v>156</v>
      </c>
      <c r="B415">
        <f>SUMIFS('Draft Board'!$AT$2:$AT$192,'Draft Board'!$AM$2:$AM$192,A415,'Draft Board'!$AT$2:$AT$192,"&lt;&gt;")</f>
        <v>0</v>
      </c>
      <c r="C415">
        <f>SUMIFS('Draft Board'!$AS$2:$AS$192,'Draft Board'!$AM$2:$AM$192,A415,'Draft Board'!$AT$2:$AT$192,"&lt;&gt;")</f>
        <v>0</v>
      </c>
      <c r="D415">
        <f>COUNTIFS('Draft Board'!$AM$2:$AM$192,A415,'Draft Board'!$AT$2:$AT$192,"&lt;&gt;")</f>
        <v>0</v>
      </c>
      <c r="E415">
        <f>IFERROR(AVERAGEIFS('Draft Board'!$AS$2:$AS$192,'Draft Board'!$AM$2:$AM$192,A415),0)</f>
        <v>0</v>
      </c>
      <c r="F415">
        <f>MIN(1,E415/(Setup!$B$3*0.1))</f>
        <v>0</v>
      </c>
      <c r="G415">
        <f t="shared" si="12"/>
        <v>1</v>
      </c>
    </row>
    <row r="416" spans="1:7" x14ac:dyDescent="0.25">
      <c r="A416">
        <v>157</v>
      </c>
      <c r="B416">
        <f>SUMIFS('Draft Board'!$AT$2:$AT$192,'Draft Board'!$AM$2:$AM$192,A416,'Draft Board'!$AT$2:$AT$192,"&lt;&gt;")</f>
        <v>0</v>
      </c>
      <c r="C416">
        <f>SUMIFS('Draft Board'!$AS$2:$AS$192,'Draft Board'!$AM$2:$AM$192,A416,'Draft Board'!$AT$2:$AT$192,"&lt;&gt;")</f>
        <v>0</v>
      </c>
      <c r="D416">
        <f>COUNTIFS('Draft Board'!$AM$2:$AM$192,A416,'Draft Board'!$AT$2:$AT$192,"&lt;&gt;")</f>
        <v>0</v>
      </c>
      <c r="E416">
        <f>IFERROR(AVERAGEIFS('Draft Board'!$AS$2:$AS$192,'Draft Board'!$AM$2:$AM$192,A416),0)</f>
        <v>0</v>
      </c>
      <c r="F416">
        <f>MIN(1,E416/(Setup!$B$3*0.1))</f>
        <v>0</v>
      </c>
      <c r="G416">
        <f t="shared" si="12"/>
        <v>1</v>
      </c>
    </row>
    <row r="417" spans="1:7" x14ac:dyDescent="0.25">
      <c r="A417">
        <v>158</v>
      </c>
      <c r="B417">
        <f>SUMIFS('Draft Board'!$AT$2:$AT$192,'Draft Board'!$AM$2:$AM$192,A417,'Draft Board'!$AT$2:$AT$192,"&lt;&gt;")</f>
        <v>0</v>
      </c>
      <c r="C417">
        <f>SUMIFS('Draft Board'!$AS$2:$AS$192,'Draft Board'!$AM$2:$AM$192,A417,'Draft Board'!$AT$2:$AT$192,"&lt;&gt;")</f>
        <v>0</v>
      </c>
      <c r="D417">
        <f>COUNTIFS('Draft Board'!$AM$2:$AM$192,A417,'Draft Board'!$AT$2:$AT$192,"&lt;&gt;")</f>
        <v>0</v>
      </c>
      <c r="E417">
        <f>IFERROR(AVERAGEIFS('Draft Board'!$AS$2:$AS$192,'Draft Board'!$AM$2:$AM$192,A417),0)</f>
        <v>0</v>
      </c>
      <c r="F417">
        <f>MIN(1,E417/(Setup!$B$3*0.1))</f>
        <v>0</v>
      </c>
      <c r="G417">
        <f t="shared" si="12"/>
        <v>1</v>
      </c>
    </row>
    <row r="418" spans="1:7" x14ac:dyDescent="0.25">
      <c r="A418">
        <v>159</v>
      </c>
      <c r="B418">
        <f>SUMIFS('Draft Board'!$AT$2:$AT$192,'Draft Board'!$AM$2:$AM$192,A418,'Draft Board'!$AT$2:$AT$192,"&lt;&gt;")</f>
        <v>0</v>
      </c>
      <c r="C418">
        <f>SUMIFS('Draft Board'!$AS$2:$AS$192,'Draft Board'!$AM$2:$AM$192,A418,'Draft Board'!$AT$2:$AT$192,"&lt;&gt;")</f>
        <v>0</v>
      </c>
      <c r="D418">
        <f>COUNTIFS('Draft Board'!$AM$2:$AM$192,A418,'Draft Board'!$AT$2:$AT$192,"&lt;&gt;")</f>
        <v>0</v>
      </c>
      <c r="E418">
        <f>IFERROR(AVERAGEIFS('Draft Board'!$AS$2:$AS$192,'Draft Board'!$AM$2:$AM$192,A418),0)</f>
        <v>0</v>
      </c>
      <c r="F418">
        <f>MIN(1,E418/(Setup!$B$3*0.1))</f>
        <v>0</v>
      </c>
      <c r="G418">
        <f t="shared" si="12"/>
        <v>1</v>
      </c>
    </row>
    <row r="419" spans="1:7" x14ac:dyDescent="0.25">
      <c r="A419">
        <v>160</v>
      </c>
      <c r="B419">
        <f>SUMIFS('Draft Board'!$AT$2:$AT$192,'Draft Board'!$AM$2:$AM$192,A419,'Draft Board'!$AT$2:$AT$192,"&lt;&gt;")</f>
        <v>0</v>
      </c>
      <c r="C419">
        <f>SUMIFS('Draft Board'!$AS$2:$AS$192,'Draft Board'!$AM$2:$AM$192,A419,'Draft Board'!$AT$2:$AT$192,"&lt;&gt;")</f>
        <v>0</v>
      </c>
      <c r="D419">
        <f>COUNTIFS('Draft Board'!$AM$2:$AM$192,A419,'Draft Board'!$AT$2:$AT$192,"&lt;&gt;")</f>
        <v>0</v>
      </c>
      <c r="E419">
        <f>IFERROR(AVERAGEIFS('Draft Board'!$AS$2:$AS$192,'Draft Board'!$AM$2:$AM$192,A419),0)</f>
        <v>0</v>
      </c>
      <c r="F419">
        <f>MIN(1,E419/(Setup!$B$3*0.1))</f>
        <v>0</v>
      </c>
      <c r="G419">
        <f t="shared" si="12"/>
        <v>1</v>
      </c>
    </row>
    <row r="420" spans="1:7" x14ac:dyDescent="0.25">
      <c r="A420">
        <v>161</v>
      </c>
      <c r="B420">
        <f>SUMIFS('Draft Board'!$AT$2:$AT$192,'Draft Board'!$AM$2:$AM$192,A420,'Draft Board'!$AT$2:$AT$192,"&lt;&gt;")</f>
        <v>0</v>
      </c>
      <c r="C420">
        <f>SUMIFS('Draft Board'!$AS$2:$AS$192,'Draft Board'!$AM$2:$AM$192,A420,'Draft Board'!$AT$2:$AT$192,"&lt;&gt;")</f>
        <v>0</v>
      </c>
      <c r="D420">
        <f>COUNTIFS('Draft Board'!$AM$2:$AM$192,A420,'Draft Board'!$AT$2:$AT$192,"&lt;&gt;")</f>
        <v>0</v>
      </c>
      <c r="E420">
        <f>IFERROR(AVERAGEIFS('Draft Board'!$AS$2:$AS$192,'Draft Board'!$AM$2:$AM$192,A420),0)</f>
        <v>0</v>
      </c>
      <c r="F420">
        <f>MIN(1,E420/(Setup!$B$3*0.1))</f>
        <v>0</v>
      </c>
      <c r="G420">
        <f t="shared" ref="G420:G451" si="13">IF(D420&lt;2,1,MEDIAN(0.5,2,1+(IFERROR(B420/C420,1)-1)*F420))</f>
        <v>1</v>
      </c>
    </row>
    <row r="421" spans="1:7" x14ac:dyDescent="0.25">
      <c r="A421">
        <v>162</v>
      </c>
      <c r="B421">
        <f>SUMIFS('Draft Board'!$AT$2:$AT$192,'Draft Board'!$AM$2:$AM$192,A421,'Draft Board'!$AT$2:$AT$192,"&lt;&gt;")</f>
        <v>0</v>
      </c>
      <c r="C421">
        <f>SUMIFS('Draft Board'!$AS$2:$AS$192,'Draft Board'!$AM$2:$AM$192,A421,'Draft Board'!$AT$2:$AT$192,"&lt;&gt;")</f>
        <v>0</v>
      </c>
      <c r="D421">
        <f>COUNTIFS('Draft Board'!$AM$2:$AM$192,A421,'Draft Board'!$AT$2:$AT$192,"&lt;&gt;")</f>
        <v>0</v>
      </c>
      <c r="E421">
        <f>IFERROR(AVERAGEIFS('Draft Board'!$AS$2:$AS$192,'Draft Board'!$AM$2:$AM$192,A421),0)</f>
        <v>0</v>
      </c>
      <c r="F421">
        <f>MIN(1,E421/(Setup!$B$3*0.1))</f>
        <v>0</v>
      </c>
      <c r="G421">
        <f t="shared" si="13"/>
        <v>1</v>
      </c>
    </row>
    <row r="422" spans="1:7" x14ac:dyDescent="0.25">
      <c r="A422">
        <v>163</v>
      </c>
      <c r="B422">
        <f>SUMIFS('Draft Board'!$AT$2:$AT$192,'Draft Board'!$AM$2:$AM$192,A422,'Draft Board'!$AT$2:$AT$192,"&lt;&gt;")</f>
        <v>0</v>
      </c>
      <c r="C422">
        <f>SUMIFS('Draft Board'!$AS$2:$AS$192,'Draft Board'!$AM$2:$AM$192,A422,'Draft Board'!$AT$2:$AT$192,"&lt;&gt;")</f>
        <v>0</v>
      </c>
      <c r="D422">
        <f>COUNTIFS('Draft Board'!$AM$2:$AM$192,A422,'Draft Board'!$AT$2:$AT$192,"&lt;&gt;")</f>
        <v>0</v>
      </c>
      <c r="E422">
        <f>IFERROR(AVERAGEIFS('Draft Board'!$AS$2:$AS$192,'Draft Board'!$AM$2:$AM$192,A422),0)</f>
        <v>0</v>
      </c>
      <c r="F422">
        <f>MIN(1,E422/(Setup!$B$3*0.1))</f>
        <v>0</v>
      </c>
      <c r="G422">
        <f t="shared" si="13"/>
        <v>1</v>
      </c>
    </row>
    <row r="423" spans="1:7" x14ac:dyDescent="0.25">
      <c r="A423">
        <v>164</v>
      </c>
      <c r="B423">
        <f>SUMIFS('Draft Board'!$AT$2:$AT$192,'Draft Board'!$AM$2:$AM$192,A423,'Draft Board'!$AT$2:$AT$192,"&lt;&gt;")</f>
        <v>0</v>
      </c>
      <c r="C423">
        <f>SUMIFS('Draft Board'!$AS$2:$AS$192,'Draft Board'!$AM$2:$AM$192,A423,'Draft Board'!$AT$2:$AT$192,"&lt;&gt;")</f>
        <v>0</v>
      </c>
      <c r="D423">
        <f>COUNTIFS('Draft Board'!$AM$2:$AM$192,A423,'Draft Board'!$AT$2:$AT$192,"&lt;&gt;")</f>
        <v>0</v>
      </c>
      <c r="E423">
        <f>IFERROR(AVERAGEIFS('Draft Board'!$AS$2:$AS$192,'Draft Board'!$AM$2:$AM$192,A423),0)</f>
        <v>0</v>
      </c>
      <c r="F423">
        <f>MIN(1,E423/(Setup!$B$3*0.1))</f>
        <v>0</v>
      </c>
      <c r="G423">
        <f t="shared" si="13"/>
        <v>1</v>
      </c>
    </row>
    <row r="424" spans="1:7" x14ac:dyDescent="0.25">
      <c r="A424">
        <v>165</v>
      </c>
      <c r="B424">
        <f>SUMIFS('Draft Board'!$AT$2:$AT$192,'Draft Board'!$AM$2:$AM$192,A424,'Draft Board'!$AT$2:$AT$192,"&lt;&gt;")</f>
        <v>0</v>
      </c>
      <c r="C424">
        <f>SUMIFS('Draft Board'!$AS$2:$AS$192,'Draft Board'!$AM$2:$AM$192,A424,'Draft Board'!$AT$2:$AT$192,"&lt;&gt;")</f>
        <v>0</v>
      </c>
      <c r="D424">
        <f>COUNTIFS('Draft Board'!$AM$2:$AM$192,A424,'Draft Board'!$AT$2:$AT$192,"&lt;&gt;")</f>
        <v>0</v>
      </c>
      <c r="E424">
        <f>IFERROR(AVERAGEIFS('Draft Board'!$AS$2:$AS$192,'Draft Board'!$AM$2:$AM$192,A424),0)</f>
        <v>0</v>
      </c>
      <c r="F424">
        <f>MIN(1,E424/(Setup!$B$3*0.1))</f>
        <v>0</v>
      </c>
      <c r="G424">
        <f t="shared" si="13"/>
        <v>1</v>
      </c>
    </row>
    <row r="425" spans="1:7" x14ac:dyDescent="0.25">
      <c r="A425">
        <v>166</v>
      </c>
      <c r="B425">
        <f>SUMIFS('Draft Board'!$AT$2:$AT$192,'Draft Board'!$AM$2:$AM$192,A425,'Draft Board'!$AT$2:$AT$192,"&lt;&gt;")</f>
        <v>0</v>
      </c>
      <c r="C425">
        <f>SUMIFS('Draft Board'!$AS$2:$AS$192,'Draft Board'!$AM$2:$AM$192,A425,'Draft Board'!$AT$2:$AT$192,"&lt;&gt;")</f>
        <v>0</v>
      </c>
      <c r="D425">
        <f>COUNTIFS('Draft Board'!$AM$2:$AM$192,A425,'Draft Board'!$AT$2:$AT$192,"&lt;&gt;")</f>
        <v>0</v>
      </c>
      <c r="E425">
        <f>IFERROR(AVERAGEIFS('Draft Board'!$AS$2:$AS$192,'Draft Board'!$AM$2:$AM$192,A425),0)</f>
        <v>0</v>
      </c>
      <c r="F425">
        <f>MIN(1,E425/(Setup!$B$3*0.1))</f>
        <v>0</v>
      </c>
      <c r="G425">
        <f t="shared" si="13"/>
        <v>1</v>
      </c>
    </row>
    <row r="426" spans="1:7" x14ac:dyDescent="0.25">
      <c r="A426">
        <v>167</v>
      </c>
      <c r="B426">
        <f>SUMIFS('Draft Board'!$AT$2:$AT$192,'Draft Board'!$AM$2:$AM$192,A426,'Draft Board'!$AT$2:$AT$192,"&lt;&gt;")</f>
        <v>0</v>
      </c>
      <c r="C426">
        <f>SUMIFS('Draft Board'!$AS$2:$AS$192,'Draft Board'!$AM$2:$AM$192,A426,'Draft Board'!$AT$2:$AT$192,"&lt;&gt;")</f>
        <v>0</v>
      </c>
      <c r="D426">
        <f>COUNTIFS('Draft Board'!$AM$2:$AM$192,A426,'Draft Board'!$AT$2:$AT$192,"&lt;&gt;")</f>
        <v>0</v>
      </c>
      <c r="E426">
        <f>IFERROR(AVERAGEIFS('Draft Board'!$AS$2:$AS$192,'Draft Board'!$AM$2:$AM$192,A426),0)</f>
        <v>0</v>
      </c>
      <c r="F426">
        <f>MIN(1,E426/(Setup!$B$3*0.1))</f>
        <v>0</v>
      </c>
      <c r="G426">
        <f t="shared" si="13"/>
        <v>1</v>
      </c>
    </row>
    <row r="427" spans="1:7" x14ac:dyDescent="0.25">
      <c r="A427">
        <v>168</v>
      </c>
      <c r="B427">
        <f>SUMIFS('Draft Board'!$AT$2:$AT$192,'Draft Board'!$AM$2:$AM$192,A427,'Draft Board'!$AT$2:$AT$192,"&lt;&gt;")</f>
        <v>0</v>
      </c>
      <c r="C427">
        <f>SUMIFS('Draft Board'!$AS$2:$AS$192,'Draft Board'!$AM$2:$AM$192,A427,'Draft Board'!$AT$2:$AT$192,"&lt;&gt;")</f>
        <v>0</v>
      </c>
      <c r="D427">
        <f>COUNTIFS('Draft Board'!$AM$2:$AM$192,A427,'Draft Board'!$AT$2:$AT$192,"&lt;&gt;")</f>
        <v>0</v>
      </c>
      <c r="E427">
        <f>IFERROR(AVERAGEIFS('Draft Board'!$AS$2:$AS$192,'Draft Board'!$AM$2:$AM$192,A427),0)</f>
        <v>0</v>
      </c>
      <c r="F427">
        <f>MIN(1,E427/(Setup!$B$3*0.1))</f>
        <v>0</v>
      </c>
      <c r="G427">
        <f t="shared" si="13"/>
        <v>1</v>
      </c>
    </row>
    <row r="428" spans="1:7" x14ac:dyDescent="0.25">
      <c r="A428">
        <v>169</v>
      </c>
      <c r="B428">
        <f>SUMIFS('Draft Board'!$AT$2:$AT$192,'Draft Board'!$AM$2:$AM$192,A428,'Draft Board'!$AT$2:$AT$192,"&lt;&gt;")</f>
        <v>0</v>
      </c>
      <c r="C428">
        <f>SUMIFS('Draft Board'!$AS$2:$AS$192,'Draft Board'!$AM$2:$AM$192,A428,'Draft Board'!$AT$2:$AT$192,"&lt;&gt;")</f>
        <v>0</v>
      </c>
      <c r="D428">
        <f>COUNTIFS('Draft Board'!$AM$2:$AM$192,A428,'Draft Board'!$AT$2:$AT$192,"&lt;&gt;")</f>
        <v>0</v>
      </c>
      <c r="E428">
        <f>IFERROR(AVERAGEIFS('Draft Board'!$AS$2:$AS$192,'Draft Board'!$AM$2:$AM$192,A428),0)</f>
        <v>0</v>
      </c>
      <c r="F428">
        <f>MIN(1,E428/(Setup!$B$3*0.1))</f>
        <v>0</v>
      </c>
      <c r="G428">
        <f t="shared" si="13"/>
        <v>1</v>
      </c>
    </row>
    <row r="429" spans="1:7" x14ac:dyDescent="0.25">
      <c r="A429">
        <v>170</v>
      </c>
      <c r="B429">
        <f>SUMIFS('Draft Board'!$AT$2:$AT$192,'Draft Board'!$AM$2:$AM$192,A429,'Draft Board'!$AT$2:$AT$192,"&lt;&gt;")</f>
        <v>0</v>
      </c>
      <c r="C429">
        <f>SUMIFS('Draft Board'!$AS$2:$AS$192,'Draft Board'!$AM$2:$AM$192,A429,'Draft Board'!$AT$2:$AT$192,"&lt;&gt;")</f>
        <v>0</v>
      </c>
      <c r="D429">
        <f>COUNTIFS('Draft Board'!$AM$2:$AM$192,A429,'Draft Board'!$AT$2:$AT$192,"&lt;&gt;")</f>
        <v>0</v>
      </c>
      <c r="E429">
        <f>IFERROR(AVERAGEIFS('Draft Board'!$AS$2:$AS$192,'Draft Board'!$AM$2:$AM$192,A429),0)</f>
        <v>0</v>
      </c>
      <c r="F429">
        <f>MIN(1,E429/(Setup!$B$3*0.1))</f>
        <v>0</v>
      </c>
      <c r="G429">
        <f t="shared" si="13"/>
        <v>1</v>
      </c>
    </row>
    <row r="430" spans="1:7" x14ac:dyDescent="0.25">
      <c r="A430">
        <v>171</v>
      </c>
      <c r="B430">
        <f>SUMIFS('Draft Board'!$AT$2:$AT$192,'Draft Board'!$AM$2:$AM$192,A430,'Draft Board'!$AT$2:$AT$192,"&lt;&gt;")</f>
        <v>0</v>
      </c>
      <c r="C430">
        <f>SUMIFS('Draft Board'!$AS$2:$AS$192,'Draft Board'!$AM$2:$AM$192,A430,'Draft Board'!$AT$2:$AT$192,"&lt;&gt;")</f>
        <v>0</v>
      </c>
      <c r="D430">
        <f>COUNTIFS('Draft Board'!$AM$2:$AM$192,A430,'Draft Board'!$AT$2:$AT$192,"&lt;&gt;")</f>
        <v>0</v>
      </c>
      <c r="E430">
        <f>IFERROR(AVERAGEIFS('Draft Board'!$AS$2:$AS$192,'Draft Board'!$AM$2:$AM$192,A430),0)</f>
        <v>0</v>
      </c>
      <c r="F430">
        <f>MIN(1,E430/(Setup!$B$3*0.1))</f>
        <v>0</v>
      </c>
      <c r="G430">
        <f t="shared" si="13"/>
        <v>1</v>
      </c>
    </row>
    <row r="431" spans="1:7" x14ac:dyDescent="0.25">
      <c r="A431">
        <v>172</v>
      </c>
      <c r="B431">
        <f>SUMIFS('Draft Board'!$AT$2:$AT$192,'Draft Board'!$AM$2:$AM$192,A431,'Draft Board'!$AT$2:$AT$192,"&lt;&gt;")</f>
        <v>0</v>
      </c>
      <c r="C431">
        <f>SUMIFS('Draft Board'!$AS$2:$AS$192,'Draft Board'!$AM$2:$AM$192,A431,'Draft Board'!$AT$2:$AT$192,"&lt;&gt;")</f>
        <v>0</v>
      </c>
      <c r="D431">
        <f>COUNTIFS('Draft Board'!$AM$2:$AM$192,A431,'Draft Board'!$AT$2:$AT$192,"&lt;&gt;")</f>
        <v>0</v>
      </c>
      <c r="E431">
        <f>IFERROR(AVERAGEIFS('Draft Board'!$AS$2:$AS$192,'Draft Board'!$AM$2:$AM$192,A431),0)</f>
        <v>0</v>
      </c>
      <c r="F431">
        <f>MIN(1,E431/(Setup!$B$3*0.1))</f>
        <v>0</v>
      </c>
      <c r="G431">
        <f t="shared" si="13"/>
        <v>1</v>
      </c>
    </row>
    <row r="432" spans="1:7" x14ac:dyDescent="0.25">
      <c r="A432">
        <v>173</v>
      </c>
      <c r="B432">
        <f>SUMIFS('Draft Board'!$AT$2:$AT$192,'Draft Board'!$AM$2:$AM$192,A432,'Draft Board'!$AT$2:$AT$192,"&lt;&gt;")</f>
        <v>0</v>
      </c>
      <c r="C432">
        <f>SUMIFS('Draft Board'!$AS$2:$AS$192,'Draft Board'!$AM$2:$AM$192,A432,'Draft Board'!$AT$2:$AT$192,"&lt;&gt;")</f>
        <v>0</v>
      </c>
      <c r="D432">
        <f>COUNTIFS('Draft Board'!$AM$2:$AM$192,A432,'Draft Board'!$AT$2:$AT$192,"&lt;&gt;")</f>
        <v>0</v>
      </c>
      <c r="E432">
        <f>IFERROR(AVERAGEIFS('Draft Board'!$AS$2:$AS$192,'Draft Board'!$AM$2:$AM$192,A432),0)</f>
        <v>0</v>
      </c>
      <c r="F432">
        <f>MIN(1,E432/(Setup!$B$3*0.1))</f>
        <v>0</v>
      </c>
      <c r="G432">
        <f t="shared" si="13"/>
        <v>1</v>
      </c>
    </row>
    <row r="433" spans="1:7" x14ac:dyDescent="0.25">
      <c r="A433">
        <v>174</v>
      </c>
      <c r="B433">
        <f>SUMIFS('Draft Board'!$AT$2:$AT$192,'Draft Board'!$AM$2:$AM$192,A433,'Draft Board'!$AT$2:$AT$192,"&lt;&gt;")</f>
        <v>0</v>
      </c>
      <c r="C433">
        <f>SUMIFS('Draft Board'!$AS$2:$AS$192,'Draft Board'!$AM$2:$AM$192,A433,'Draft Board'!$AT$2:$AT$192,"&lt;&gt;")</f>
        <v>0</v>
      </c>
      <c r="D433">
        <f>COUNTIFS('Draft Board'!$AM$2:$AM$192,A433,'Draft Board'!$AT$2:$AT$192,"&lt;&gt;")</f>
        <v>0</v>
      </c>
      <c r="E433">
        <f>IFERROR(AVERAGEIFS('Draft Board'!$AS$2:$AS$192,'Draft Board'!$AM$2:$AM$192,A433),0)</f>
        <v>0</v>
      </c>
      <c r="F433">
        <f>MIN(1,E433/(Setup!$B$3*0.1))</f>
        <v>0</v>
      </c>
      <c r="G433">
        <f t="shared" si="13"/>
        <v>1</v>
      </c>
    </row>
    <row r="434" spans="1:7" x14ac:dyDescent="0.25">
      <c r="A434">
        <v>175</v>
      </c>
      <c r="B434">
        <f>SUMIFS('Draft Board'!$AT$2:$AT$192,'Draft Board'!$AM$2:$AM$192,A434,'Draft Board'!$AT$2:$AT$192,"&lt;&gt;")</f>
        <v>0</v>
      </c>
      <c r="C434">
        <f>SUMIFS('Draft Board'!$AS$2:$AS$192,'Draft Board'!$AM$2:$AM$192,A434,'Draft Board'!$AT$2:$AT$192,"&lt;&gt;")</f>
        <v>0</v>
      </c>
      <c r="D434">
        <f>COUNTIFS('Draft Board'!$AM$2:$AM$192,A434,'Draft Board'!$AT$2:$AT$192,"&lt;&gt;")</f>
        <v>0</v>
      </c>
      <c r="E434">
        <f>IFERROR(AVERAGEIFS('Draft Board'!$AS$2:$AS$192,'Draft Board'!$AM$2:$AM$192,A434),0)</f>
        <v>0</v>
      </c>
      <c r="F434">
        <f>MIN(1,E434/(Setup!$B$3*0.1))</f>
        <v>0</v>
      </c>
      <c r="G434">
        <f t="shared" si="13"/>
        <v>1</v>
      </c>
    </row>
    <row r="435" spans="1:7" x14ac:dyDescent="0.25">
      <c r="A435">
        <v>176</v>
      </c>
      <c r="B435">
        <f>SUMIFS('Draft Board'!$AT$2:$AT$192,'Draft Board'!$AM$2:$AM$192,A435,'Draft Board'!$AT$2:$AT$192,"&lt;&gt;")</f>
        <v>0</v>
      </c>
      <c r="C435">
        <f>SUMIFS('Draft Board'!$AS$2:$AS$192,'Draft Board'!$AM$2:$AM$192,A435,'Draft Board'!$AT$2:$AT$192,"&lt;&gt;")</f>
        <v>0</v>
      </c>
      <c r="D435">
        <f>COUNTIFS('Draft Board'!$AM$2:$AM$192,A435,'Draft Board'!$AT$2:$AT$192,"&lt;&gt;")</f>
        <v>0</v>
      </c>
      <c r="E435">
        <f>IFERROR(AVERAGEIFS('Draft Board'!$AS$2:$AS$192,'Draft Board'!$AM$2:$AM$192,A435),0)</f>
        <v>0</v>
      </c>
      <c r="F435">
        <f>MIN(1,E435/(Setup!$B$3*0.1))</f>
        <v>0</v>
      </c>
      <c r="G435">
        <f t="shared" si="13"/>
        <v>1</v>
      </c>
    </row>
    <row r="436" spans="1:7" x14ac:dyDescent="0.25">
      <c r="A436">
        <v>177</v>
      </c>
      <c r="B436">
        <f>SUMIFS('Draft Board'!$AT$2:$AT$192,'Draft Board'!$AM$2:$AM$192,A436,'Draft Board'!$AT$2:$AT$192,"&lt;&gt;")</f>
        <v>0</v>
      </c>
      <c r="C436">
        <f>SUMIFS('Draft Board'!$AS$2:$AS$192,'Draft Board'!$AM$2:$AM$192,A436,'Draft Board'!$AT$2:$AT$192,"&lt;&gt;")</f>
        <v>0</v>
      </c>
      <c r="D436">
        <f>COUNTIFS('Draft Board'!$AM$2:$AM$192,A436,'Draft Board'!$AT$2:$AT$192,"&lt;&gt;")</f>
        <v>0</v>
      </c>
      <c r="E436">
        <f>IFERROR(AVERAGEIFS('Draft Board'!$AS$2:$AS$192,'Draft Board'!$AM$2:$AM$192,A436),0)</f>
        <v>0</v>
      </c>
      <c r="F436">
        <f>MIN(1,E436/(Setup!$B$3*0.1))</f>
        <v>0</v>
      </c>
      <c r="G436">
        <f t="shared" si="13"/>
        <v>1</v>
      </c>
    </row>
    <row r="437" spans="1:7" x14ac:dyDescent="0.25">
      <c r="A437">
        <v>178</v>
      </c>
      <c r="B437">
        <f>SUMIFS('Draft Board'!$AT$2:$AT$192,'Draft Board'!$AM$2:$AM$192,A437,'Draft Board'!$AT$2:$AT$192,"&lt;&gt;")</f>
        <v>0</v>
      </c>
      <c r="C437">
        <f>SUMIFS('Draft Board'!$AS$2:$AS$192,'Draft Board'!$AM$2:$AM$192,A437,'Draft Board'!$AT$2:$AT$192,"&lt;&gt;")</f>
        <v>0</v>
      </c>
      <c r="D437">
        <f>COUNTIFS('Draft Board'!$AM$2:$AM$192,A437,'Draft Board'!$AT$2:$AT$192,"&lt;&gt;")</f>
        <v>0</v>
      </c>
      <c r="E437">
        <f>IFERROR(AVERAGEIFS('Draft Board'!$AS$2:$AS$192,'Draft Board'!$AM$2:$AM$192,A437),0)</f>
        <v>0</v>
      </c>
      <c r="F437">
        <f>MIN(1,E437/(Setup!$B$3*0.1))</f>
        <v>0</v>
      </c>
      <c r="G437">
        <f t="shared" si="13"/>
        <v>1</v>
      </c>
    </row>
    <row r="438" spans="1:7" x14ac:dyDescent="0.25">
      <c r="A438">
        <v>179</v>
      </c>
      <c r="B438">
        <f>SUMIFS('Draft Board'!$AT$2:$AT$192,'Draft Board'!$AM$2:$AM$192,A438,'Draft Board'!$AT$2:$AT$192,"&lt;&gt;")</f>
        <v>0</v>
      </c>
      <c r="C438">
        <f>SUMIFS('Draft Board'!$AS$2:$AS$192,'Draft Board'!$AM$2:$AM$192,A438,'Draft Board'!$AT$2:$AT$192,"&lt;&gt;")</f>
        <v>0</v>
      </c>
      <c r="D438">
        <f>COUNTIFS('Draft Board'!$AM$2:$AM$192,A438,'Draft Board'!$AT$2:$AT$192,"&lt;&gt;")</f>
        <v>0</v>
      </c>
      <c r="E438">
        <f>IFERROR(AVERAGEIFS('Draft Board'!$AS$2:$AS$192,'Draft Board'!$AM$2:$AM$192,A438),0)</f>
        <v>0</v>
      </c>
      <c r="F438">
        <f>MIN(1,E438/(Setup!$B$3*0.1))</f>
        <v>0</v>
      </c>
      <c r="G438">
        <f t="shared" si="13"/>
        <v>1</v>
      </c>
    </row>
    <row r="439" spans="1:7" x14ac:dyDescent="0.25">
      <c r="A439">
        <v>180</v>
      </c>
      <c r="B439">
        <f>SUMIFS('Draft Board'!$AT$2:$AT$192,'Draft Board'!$AM$2:$AM$192,A439,'Draft Board'!$AT$2:$AT$192,"&lt;&gt;")</f>
        <v>0</v>
      </c>
      <c r="C439">
        <f>SUMIFS('Draft Board'!$AS$2:$AS$192,'Draft Board'!$AM$2:$AM$192,A439,'Draft Board'!$AT$2:$AT$192,"&lt;&gt;")</f>
        <v>0</v>
      </c>
      <c r="D439">
        <f>COUNTIFS('Draft Board'!$AM$2:$AM$192,A439,'Draft Board'!$AT$2:$AT$192,"&lt;&gt;")</f>
        <v>0</v>
      </c>
      <c r="E439">
        <f>IFERROR(AVERAGEIFS('Draft Board'!$AS$2:$AS$192,'Draft Board'!$AM$2:$AM$192,A439),0)</f>
        <v>0</v>
      </c>
      <c r="F439">
        <f>MIN(1,E439/(Setup!$B$3*0.1))</f>
        <v>0</v>
      </c>
      <c r="G439">
        <f t="shared" si="13"/>
        <v>1</v>
      </c>
    </row>
    <row r="440" spans="1:7" x14ac:dyDescent="0.25">
      <c r="A440">
        <v>181</v>
      </c>
      <c r="B440">
        <f>SUMIFS('Draft Board'!$AT$2:$AT$192,'Draft Board'!$AM$2:$AM$192,A440,'Draft Board'!$AT$2:$AT$192,"&lt;&gt;")</f>
        <v>0</v>
      </c>
      <c r="C440">
        <f>SUMIFS('Draft Board'!$AS$2:$AS$192,'Draft Board'!$AM$2:$AM$192,A440,'Draft Board'!$AT$2:$AT$192,"&lt;&gt;")</f>
        <v>0</v>
      </c>
      <c r="D440">
        <f>COUNTIFS('Draft Board'!$AM$2:$AM$192,A440,'Draft Board'!$AT$2:$AT$192,"&lt;&gt;")</f>
        <v>0</v>
      </c>
      <c r="E440">
        <f>IFERROR(AVERAGEIFS('Draft Board'!$AS$2:$AS$192,'Draft Board'!$AM$2:$AM$192,A440),0)</f>
        <v>0</v>
      </c>
      <c r="F440">
        <f>MIN(1,E440/(Setup!$B$3*0.1))</f>
        <v>0</v>
      </c>
      <c r="G440">
        <f t="shared" si="13"/>
        <v>1</v>
      </c>
    </row>
    <row r="441" spans="1:7" x14ac:dyDescent="0.25">
      <c r="A441">
        <v>182</v>
      </c>
      <c r="B441">
        <f>SUMIFS('Draft Board'!$AT$2:$AT$192,'Draft Board'!$AM$2:$AM$192,A441,'Draft Board'!$AT$2:$AT$192,"&lt;&gt;")</f>
        <v>0</v>
      </c>
      <c r="C441">
        <f>SUMIFS('Draft Board'!$AS$2:$AS$192,'Draft Board'!$AM$2:$AM$192,A441,'Draft Board'!$AT$2:$AT$192,"&lt;&gt;")</f>
        <v>0</v>
      </c>
      <c r="D441">
        <f>COUNTIFS('Draft Board'!$AM$2:$AM$192,A441,'Draft Board'!$AT$2:$AT$192,"&lt;&gt;")</f>
        <v>0</v>
      </c>
      <c r="E441">
        <f>IFERROR(AVERAGEIFS('Draft Board'!$AS$2:$AS$192,'Draft Board'!$AM$2:$AM$192,A441),0)</f>
        <v>0</v>
      </c>
      <c r="F441">
        <f>MIN(1,E441/(Setup!$B$3*0.1))</f>
        <v>0</v>
      </c>
      <c r="G441">
        <f t="shared" si="13"/>
        <v>1</v>
      </c>
    </row>
    <row r="442" spans="1:7" x14ac:dyDescent="0.25">
      <c r="A442">
        <v>183</v>
      </c>
      <c r="B442">
        <f>SUMIFS('Draft Board'!$AT$2:$AT$192,'Draft Board'!$AM$2:$AM$192,A442,'Draft Board'!$AT$2:$AT$192,"&lt;&gt;")</f>
        <v>0</v>
      </c>
      <c r="C442">
        <f>SUMIFS('Draft Board'!$AS$2:$AS$192,'Draft Board'!$AM$2:$AM$192,A442,'Draft Board'!$AT$2:$AT$192,"&lt;&gt;")</f>
        <v>0</v>
      </c>
      <c r="D442">
        <f>COUNTIFS('Draft Board'!$AM$2:$AM$192,A442,'Draft Board'!$AT$2:$AT$192,"&lt;&gt;")</f>
        <v>0</v>
      </c>
      <c r="E442">
        <f>IFERROR(AVERAGEIFS('Draft Board'!$AS$2:$AS$192,'Draft Board'!$AM$2:$AM$192,A442),0)</f>
        <v>0</v>
      </c>
      <c r="F442">
        <f>MIN(1,E442/(Setup!$B$3*0.1))</f>
        <v>0</v>
      </c>
      <c r="G442">
        <f t="shared" si="13"/>
        <v>1</v>
      </c>
    </row>
    <row r="443" spans="1:7" x14ac:dyDescent="0.25">
      <c r="A443">
        <v>184</v>
      </c>
      <c r="B443">
        <f>SUMIFS('Draft Board'!$AT$2:$AT$192,'Draft Board'!$AM$2:$AM$192,A443,'Draft Board'!$AT$2:$AT$192,"&lt;&gt;")</f>
        <v>0</v>
      </c>
      <c r="C443">
        <f>SUMIFS('Draft Board'!$AS$2:$AS$192,'Draft Board'!$AM$2:$AM$192,A443,'Draft Board'!$AT$2:$AT$192,"&lt;&gt;")</f>
        <v>0</v>
      </c>
      <c r="D443">
        <f>COUNTIFS('Draft Board'!$AM$2:$AM$192,A443,'Draft Board'!$AT$2:$AT$192,"&lt;&gt;")</f>
        <v>0</v>
      </c>
      <c r="E443">
        <f>IFERROR(AVERAGEIFS('Draft Board'!$AS$2:$AS$192,'Draft Board'!$AM$2:$AM$192,A443),0)</f>
        <v>0</v>
      </c>
      <c r="F443">
        <f>MIN(1,E443/(Setup!$B$3*0.1))</f>
        <v>0</v>
      </c>
      <c r="G443">
        <f t="shared" si="13"/>
        <v>1</v>
      </c>
    </row>
    <row r="444" spans="1:7" x14ac:dyDescent="0.25">
      <c r="A444">
        <v>185</v>
      </c>
      <c r="B444">
        <f>SUMIFS('Draft Board'!$AT$2:$AT$192,'Draft Board'!$AM$2:$AM$192,A444,'Draft Board'!$AT$2:$AT$192,"&lt;&gt;")</f>
        <v>0</v>
      </c>
      <c r="C444">
        <f>SUMIFS('Draft Board'!$AS$2:$AS$192,'Draft Board'!$AM$2:$AM$192,A444,'Draft Board'!$AT$2:$AT$192,"&lt;&gt;")</f>
        <v>0</v>
      </c>
      <c r="D444">
        <f>COUNTIFS('Draft Board'!$AM$2:$AM$192,A444,'Draft Board'!$AT$2:$AT$192,"&lt;&gt;")</f>
        <v>0</v>
      </c>
      <c r="E444">
        <f>IFERROR(AVERAGEIFS('Draft Board'!$AS$2:$AS$192,'Draft Board'!$AM$2:$AM$192,A444),0)</f>
        <v>0</v>
      </c>
      <c r="F444">
        <f>MIN(1,E444/(Setup!$B$3*0.1))</f>
        <v>0</v>
      </c>
      <c r="G444">
        <f t="shared" si="13"/>
        <v>1</v>
      </c>
    </row>
    <row r="445" spans="1:7" x14ac:dyDescent="0.25">
      <c r="A445">
        <v>186</v>
      </c>
      <c r="B445">
        <f>SUMIFS('Draft Board'!$AT$2:$AT$192,'Draft Board'!$AM$2:$AM$192,A445,'Draft Board'!$AT$2:$AT$192,"&lt;&gt;")</f>
        <v>0</v>
      </c>
      <c r="C445">
        <f>SUMIFS('Draft Board'!$AS$2:$AS$192,'Draft Board'!$AM$2:$AM$192,A445,'Draft Board'!$AT$2:$AT$192,"&lt;&gt;")</f>
        <v>0</v>
      </c>
      <c r="D445">
        <f>COUNTIFS('Draft Board'!$AM$2:$AM$192,A445,'Draft Board'!$AT$2:$AT$192,"&lt;&gt;")</f>
        <v>0</v>
      </c>
      <c r="E445">
        <f>IFERROR(AVERAGEIFS('Draft Board'!$AS$2:$AS$192,'Draft Board'!$AM$2:$AM$192,A445),0)</f>
        <v>0</v>
      </c>
      <c r="F445">
        <f>MIN(1,E445/(Setup!$B$3*0.1))</f>
        <v>0</v>
      </c>
      <c r="G445">
        <f t="shared" si="13"/>
        <v>1</v>
      </c>
    </row>
    <row r="446" spans="1:7" x14ac:dyDescent="0.25">
      <c r="A446">
        <v>187</v>
      </c>
      <c r="B446">
        <f>SUMIFS('Draft Board'!$AT$2:$AT$192,'Draft Board'!$AM$2:$AM$192,A446,'Draft Board'!$AT$2:$AT$192,"&lt;&gt;")</f>
        <v>0</v>
      </c>
      <c r="C446">
        <f>SUMIFS('Draft Board'!$AS$2:$AS$192,'Draft Board'!$AM$2:$AM$192,A446,'Draft Board'!$AT$2:$AT$192,"&lt;&gt;")</f>
        <v>0</v>
      </c>
      <c r="D446">
        <f>COUNTIFS('Draft Board'!$AM$2:$AM$192,A446,'Draft Board'!$AT$2:$AT$192,"&lt;&gt;")</f>
        <v>0</v>
      </c>
      <c r="E446">
        <f>IFERROR(AVERAGEIFS('Draft Board'!$AS$2:$AS$192,'Draft Board'!$AM$2:$AM$192,A446),0)</f>
        <v>0</v>
      </c>
      <c r="F446">
        <f>MIN(1,E446/(Setup!$B$3*0.1))</f>
        <v>0</v>
      </c>
      <c r="G446">
        <f t="shared" si="13"/>
        <v>1</v>
      </c>
    </row>
    <row r="447" spans="1:7" x14ac:dyDescent="0.25">
      <c r="A447">
        <v>188</v>
      </c>
      <c r="B447">
        <f>SUMIFS('Draft Board'!$AT$2:$AT$192,'Draft Board'!$AM$2:$AM$192,A447,'Draft Board'!$AT$2:$AT$192,"&lt;&gt;")</f>
        <v>0</v>
      </c>
      <c r="C447">
        <f>SUMIFS('Draft Board'!$AS$2:$AS$192,'Draft Board'!$AM$2:$AM$192,A447,'Draft Board'!$AT$2:$AT$192,"&lt;&gt;")</f>
        <v>0</v>
      </c>
      <c r="D447">
        <f>COUNTIFS('Draft Board'!$AM$2:$AM$192,A447,'Draft Board'!$AT$2:$AT$192,"&lt;&gt;")</f>
        <v>0</v>
      </c>
      <c r="E447">
        <f>IFERROR(AVERAGEIFS('Draft Board'!$AS$2:$AS$192,'Draft Board'!$AM$2:$AM$192,A447),0)</f>
        <v>0</v>
      </c>
      <c r="F447">
        <f>MIN(1,E447/(Setup!$B$3*0.1))</f>
        <v>0</v>
      </c>
      <c r="G447">
        <f t="shared" si="13"/>
        <v>1</v>
      </c>
    </row>
    <row r="448" spans="1:7" x14ac:dyDescent="0.25">
      <c r="A448">
        <v>189</v>
      </c>
      <c r="B448">
        <f>SUMIFS('Draft Board'!$AT$2:$AT$192,'Draft Board'!$AM$2:$AM$192,A448,'Draft Board'!$AT$2:$AT$192,"&lt;&gt;")</f>
        <v>0</v>
      </c>
      <c r="C448">
        <f>SUMIFS('Draft Board'!$AS$2:$AS$192,'Draft Board'!$AM$2:$AM$192,A448,'Draft Board'!$AT$2:$AT$192,"&lt;&gt;")</f>
        <v>0</v>
      </c>
      <c r="D448">
        <f>COUNTIFS('Draft Board'!$AM$2:$AM$192,A448,'Draft Board'!$AT$2:$AT$192,"&lt;&gt;")</f>
        <v>0</v>
      </c>
      <c r="E448">
        <f>IFERROR(AVERAGEIFS('Draft Board'!$AS$2:$AS$192,'Draft Board'!$AM$2:$AM$192,A448),0)</f>
        <v>0</v>
      </c>
      <c r="F448">
        <f>MIN(1,E448/(Setup!$B$3*0.1))</f>
        <v>0</v>
      </c>
      <c r="G448">
        <f t="shared" si="13"/>
        <v>1</v>
      </c>
    </row>
    <row r="449" spans="1:7" x14ac:dyDescent="0.25">
      <c r="A449">
        <v>190</v>
      </c>
      <c r="B449">
        <f>SUMIFS('Draft Board'!$AT$2:$AT$192,'Draft Board'!$AM$2:$AM$192,A449,'Draft Board'!$AT$2:$AT$192,"&lt;&gt;")</f>
        <v>0</v>
      </c>
      <c r="C449">
        <f>SUMIFS('Draft Board'!$AS$2:$AS$192,'Draft Board'!$AM$2:$AM$192,A449,'Draft Board'!$AT$2:$AT$192,"&lt;&gt;")</f>
        <v>0</v>
      </c>
      <c r="D449">
        <f>COUNTIFS('Draft Board'!$AM$2:$AM$192,A449,'Draft Board'!$AT$2:$AT$192,"&lt;&gt;")</f>
        <v>0</v>
      </c>
      <c r="E449">
        <f>IFERROR(AVERAGEIFS('Draft Board'!$AS$2:$AS$192,'Draft Board'!$AM$2:$AM$192,A449),0)</f>
        <v>0</v>
      </c>
      <c r="F449">
        <f>MIN(1,E449/(Setup!$B$3*0.1))</f>
        <v>0</v>
      </c>
      <c r="G449">
        <f t="shared" si="13"/>
        <v>1</v>
      </c>
    </row>
    <row r="450" spans="1:7" x14ac:dyDescent="0.25">
      <c r="A450">
        <v>191</v>
      </c>
      <c r="B450">
        <f>SUMIFS('Draft Board'!$AT$2:$AT$192,'Draft Board'!$AM$2:$AM$192,A450,'Draft Board'!$AT$2:$AT$192,"&lt;&gt;")</f>
        <v>0</v>
      </c>
      <c r="C450">
        <f>SUMIFS('Draft Board'!$AS$2:$AS$192,'Draft Board'!$AM$2:$AM$192,A450,'Draft Board'!$AT$2:$AT$192,"&lt;&gt;")</f>
        <v>0</v>
      </c>
      <c r="D450">
        <f>COUNTIFS('Draft Board'!$AM$2:$AM$192,A450,'Draft Board'!$AT$2:$AT$192,"&lt;&gt;")</f>
        <v>0</v>
      </c>
      <c r="E450">
        <f>IFERROR(AVERAGEIFS('Draft Board'!$AS$2:$AS$192,'Draft Board'!$AM$2:$AM$192,A450),0)</f>
        <v>0</v>
      </c>
      <c r="F450">
        <f>MIN(1,E450/(Setup!$B$3*0.1))</f>
        <v>0</v>
      </c>
      <c r="G450">
        <f t="shared" si="13"/>
        <v>1</v>
      </c>
    </row>
    <row r="452" spans="1:7" x14ac:dyDescent="0.25">
      <c r="A452" s="15" t="s">
        <v>633</v>
      </c>
    </row>
    <row r="453" spans="1:7" x14ac:dyDescent="0.25">
      <c r="A453" s="15" t="s">
        <v>54</v>
      </c>
      <c r="B453" s="15" t="s">
        <v>625</v>
      </c>
      <c r="C453" s="15" t="s">
        <v>626</v>
      </c>
      <c r="D453" s="15" t="s">
        <v>627</v>
      </c>
      <c r="E453" s="15" t="s">
        <v>628</v>
      </c>
      <c r="F453" s="15" t="s">
        <v>629</v>
      </c>
      <c r="G453" s="15" t="s">
        <v>630</v>
      </c>
    </row>
    <row r="454" spans="1:7" x14ac:dyDescent="0.25">
      <c r="A454">
        <v>1</v>
      </c>
      <c r="B454">
        <f>SUMIFS('Draft Board'!$BJ$2:$BJ$87,'Draft Board'!$BC$2:$BC$87,A454,'Draft Board'!$BJ$2:$BJ$87,"&lt;&gt;")</f>
        <v>0</v>
      </c>
      <c r="C454">
        <f>SUMIFS('Draft Board'!$BI$2:$BI$87,'Draft Board'!$BC$2:$BC$87,A454,'Draft Board'!$BJ$2:$BJ$87,"&lt;&gt;")</f>
        <v>0</v>
      </c>
      <c r="D454">
        <f>COUNTIFS('Draft Board'!$BC$2:$BC$87,A454,'Draft Board'!$BJ$2:$BJ$87,"&lt;&gt;")</f>
        <v>0</v>
      </c>
      <c r="E454">
        <f>IFERROR(AVERAGEIFS('Draft Board'!$BI$2:$BI$87,'Draft Board'!$BC$2:$BC$87,A454),0)</f>
        <v>33</v>
      </c>
      <c r="F454">
        <f>MIN(1,E454/(Setup!$B$3*0.1))</f>
        <v>1</v>
      </c>
      <c r="G454">
        <f t="shared" ref="G454:G485" si="14">IF(D454&lt;2,1,MEDIAN(0.5,2,1+(IFERROR(B454/C454,1)-1)*F454))</f>
        <v>1</v>
      </c>
    </row>
    <row r="455" spans="1:7" x14ac:dyDescent="0.25">
      <c r="A455">
        <v>2</v>
      </c>
      <c r="B455">
        <f>SUMIFS('Draft Board'!$BJ$2:$BJ$87,'Draft Board'!$BC$2:$BC$87,A455,'Draft Board'!$BJ$2:$BJ$87,"&lt;&gt;")</f>
        <v>0</v>
      </c>
      <c r="C455">
        <f>SUMIFS('Draft Board'!$BI$2:$BI$87,'Draft Board'!$BC$2:$BC$87,A455,'Draft Board'!$BJ$2:$BJ$87,"&lt;&gt;")</f>
        <v>0</v>
      </c>
      <c r="D455">
        <f>COUNTIFS('Draft Board'!$BC$2:$BC$87,A455,'Draft Board'!$BJ$2:$BJ$87,"&lt;&gt;")</f>
        <v>0</v>
      </c>
      <c r="E455">
        <f>IFERROR(AVERAGEIFS('Draft Board'!$BI$2:$BI$87,'Draft Board'!$BC$2:$BC$87,A455),0)</f>
        <v>23</v>
      </c>
      <c r="F455">
        <f>MIN(1,E455/(Setup!$B$3*0.1))</f>
        <v>1</v>
      </c>
      <c r="G455">
        <f t="shared" si="14"/>
        <v>1</v>
      </c>
    </row>
    <row r="456" spans="1:7" x14ac:dyDescent="0.25">
      <c r="A456">
        <v>3</v>
      </c>
      <c r="B456">
        <f>SUMIFS('Draft Board'!$BJ$2:$BJ$87,'Draft Board'!$BC$2:$BC$87,A456,'Draft Board'!$BJ$2:$BJ$87,"&lt;&gt;")</f>
        <v>0</v>
      </c>
      <c r="C456">
        <f>SUMIFS('Draft Board'!$BI$2:$BI$87,'Draft Board'!$BC$2:$BC$87,A456,'Draft Board'!$BJ$2:$BJ$87,"&lt;&gt;")</f>
        <v>0</v>
      </c>
      <c r="D456">
        <f>COUNTIFS('Draft Board'!$BC$2:$BC$87,A456,'Draft Board'!$BJ$2:$BJ$87,"&lt;&gt;")</f>
        <v>0</v>
      </c>
      <c r="E456">
        <f>IFERROR(AVERAGEIFS('Draft Board'!$BI$2:$BI$87,'Draft Board'!$BC$2:$BC$87,A456),0)</f>
        <v>18</v>
      </c>
      <c r="F456">
        <f>MIN(1,E456/(Setup!$B$3*0.1))</f>
        <v>0.9</v>
      </c>
      <c r="G456">
        <f t="shared" si="14"/>
        <v>1</v>
      </c>
    </row>
    <row r="457" spans="1:7" x14ac:dyDescent="0.25">
      <c r="A457">
        <v>4</v>
      </c>
      <c r="B457">
        <f>SUMIFS('Draft Board'!$BJ$2:$BJ$87,'Draft Board'!$BC$2:$BC$87,A457,'Draft Board'!$BJ$2:$BJ$87,"&lt;&gt;")</f>
        <v>0</v>
      </c>
      <c r="C457">
        <f>SUMIFS('Draft Board'!$BI$2:$BI$87,'Draft Board'!$BC$2:$BC$87,A457,'Draft Board'!$BJ$2:$BJ$87,"&lt;&gt;")</f>
        <v>0</v>
      </c>
      <c r="D457">
        <f>COUNTIFS('Draft Board'!$BC$2:$BC$87,A457,'Draft Board'!$BJ$2:$BJ$87,"&lt;&gt;")</f>
        <v>0</v>
      </c>
      <c r="E457">
        <f>IFERROR(AVERAGEIFS('Draft Board'!$BI$2:$BI$87,'Draft Board'!$BC$2:$BC$87,A457),0)</f>
        <v>12.5</v>
      </c>
      <c r="F457">
        <f>MIN(1,E457/(Setup!$B$3*0.1))</f>
        <v>0.625</v>
      </c>
      <c r="G457">
        <f t="shared" si="14"/>
        <v>1</v>
      </c>
    </row>
    <row r="458" spans="1:7" x14ac:dyDescent="0.25">
      <c r="A458">
        <v>5</v>
      </c>
      <c r="B458">
        <f>SUMIFS('Draft Board'!$BJ$2:$BJ$87,'Draft Board'!$BC$2:$BC$87,A458,'Draft Board'!$BJ$2:$BJ$87,"&lt;&gt;")</f>
        <v>0</v>
      </c>
      <c r="C458">
        <f>SUMIFS('Draft Board'!$BI$2:$BI$87,'Draft Board'!$BC$2:$BC$87,A458,'Draft Board'!$BJ$2:$BJ$87,"&lt;&gt;")</f>
        <v>0</v>
      </c>
      <c r="D458">
        <f>COUNTIFS('Draft Board'!$BC$2:$BC$87,A458,'Draft Board'!$BJ$2:$BJ$87,"&lt;&gt;")</f>
        <v>0</v>
      </c>
      <c r="E458">
        <f>IFERROR(AVERAGEIFS('Draft Board'!$BI$2:$BI$87,'Draft Board'!$BC$2:$BC$87,A458),0)</f>
        <v>10.5</v>
      </c>
      <c r="F458">
        <f>MIN(1,E458/(Setup!$B$3*0.1))</f>
        <v>0.52500000000000002</v>
      </c>
      <c r="G458">
        <f t="shared" si="14"/>
        <v>1</v>
      </c>
    </row>
    <row r="459" spans="1:7" x14ac:dyDescent="0.25">
      <c r="A459">
        <v>6</v>
      </c>
      <c r="B459">
        <f>SUMIFS('Draft Board'!$BJ$2:$BJ$87,'Draft Board'!$BC$2:$BC$87,A459,'Draft Board'!$BJ$2:$BJ$87,"&lt;&gt;")</f>
        <v>0</v>
      </c>
      <c r="C459">
        <f>SUMIFS('Draft Board'!$BI$2:$BI$87,'Draft Board'!$BC$2:$BC$87,A459,'Draft Board'!$BJ$2:$BJ$87,"&lt;&gt;")</f>
        <v>0</v>
      </c>
      <c r="D459">
        <f>COUNTIFS('Draft Board'!$BC$2:$BC$87,A459,'Draft Board'!$BJ$2:$BJ$87,"&lt;&gt;")</f>
        <v>0</v>
      </c>
      <c r="E459">
        <f>IFERROR(AVERAGEIFS('Draft Board'!$BI$2:$BI$87,'Draft Board'!$BC$2:$BC$87,A459),0)</f>
        <v>9</v>
      </c>
      <c r="F459">
        <f>MIN(1,E459/(Setup!$B$3*0.1))</f>
        <v>0.45</v>
      </c>
      <c r="G459">
        <f t="shared" si="14"/>
        <v>1</v>
      </c>
    </row>
    <row r="460" spans="1:7" x14ac:dyDescent="0.25">
      <c r="A460">
        <v>7</v>
      </c>
      <c r="B460">
        <f>SUMIFS('Draft Board'!$BJ$2:$BJ$87,'Draft Board'!$BC$2:$BC$87,A460,'Draft Board'!$BJ$2:$BJ$87,"&lt;&gt;")</f>
        <v>0</v>
      </c>
      <c r="C460">
        <f>SUMIFS('Draft Board'!$BI$2:$BI$87,'Draft Board'!$BC$2:$BC$87,A460,'Draft Board'!$BJ$2:$BJ$87,"&lt;&gt;")</f>
        <v>0</v>
      </c>
      <c r="D460">
        <f>COUNTIFS('Draft Board'!$BC$2:$BC$87,A460,'Draft Board'!$BJ$2:$BJ$87,"&lt;&gt;")</f>
        <v>0</v>
      </c>
      <c r="E460">
        <f>IFERROR(AVERAGEIFS('Draft Board'!$BI$2:$BI$87,'Draft Board'!$BC$2:$BC$87,A460),0)</f>
        <v>9</v>
      </c>
      <c r="F460">
        <f>MIN(1,E460/(Setup!$B$3*0.1))</f>
        <v>0.45</v>
      </c>
      <c r="G460">
        <f t="shared" si="14"/>
        <v>1</v>
      </c>
    </row>
    <row r="461" spans="1:7" x14ac:dyDescent="0.25">
      <c r="A461">
        <v>8</v>
      </c>
      <c r="B461">
        <f>SUMIFS('Draft Board'!$BJ$2:$BJ$87,'Draft Board'!$BC$2:$BC$87,A461,'Draft Board'!$BJ$2:$BJ$87,"&lt;&gt;")</f>
        <v>0</v>
      </c>
      <c r="C461">
        <f>SUMIFS('Draft Board'!$BI$2:$BI$87,'Draft Board'!$BC$2:$BC$87,A461,'Draft Board'!$BJ$2:$BJ$87,"&lt;&gt;")</f>
        <v>0</v>
      </c>
      <c r="D461">
        <f>COUNTIFS('Draft Board'!$BC$2:$BC$87,A461,'Draft Board'!$BJ$2:$BJ$87,"&lt;&gt;")</f>
        <v>0</v>
      </c>
      <c r="E461">
        <f>IFERROR(AVERAGEIFS('Draft Board'!$BI$2:$BI$87,'Draft Board'!$BC$2:$BC$87,A461),0)</f>
        <v>7</v>
      </c>
      <c r="F461">
        <f>MIN(1,E461/(Setup!$B$3*0.1))</f>
        <v>0.35</v>
      </c>
      <c r="G461">
        <f t="shared" si="14"/>
        <v>1</v>
      </c>
    </row>
    <row r="462" spans="1:7" x14ac:dyDescent="0.25">
      <c r="A462">
        <v>9</v>
      </c>
      <c r="B462">
        <f>SUMIFS('Draft Board'!$BJ$2:$BJ$87,'Draft Board'!$BC$2:$BC$87,A462,'Draft Board'!$BJ$2:$BJ$87,"&lt;&gt;")</f>
        <v>0</v>
      </c>
      <c r="C462">
        <f>SUMIFS('Draft Board'!$BI$2:$BI$87,'Draft Board'!$BC$2:$BC$87,A462,'Draft Board'!$BJ$2:$BJ$87,"&lt;&gt;")</f>
        <v>0</v>
      </c>
      <c r="D462">
        <f>COUNTIFS('Draft Board'!$BC$2:$BC$87,A462,'Draft Board'!$BJ$2:$BJ$87,"&lt;&gt;")</f>
        <v>0</v>
      </c>
      <c r="E462">
        <f>IFERROR(AVERAGEIFS('Draft Board'!$BI$2:$BI$87,'Draft Board'!$BC$2:$BC$87,A462),0)</f>
        <v>6</v>
      </c>
      <c r="F462">
        <f>MIN(1,E462/(Setup!$B$3*0.1))</f>
        <v>0.3</v>
      </c>
      <c r="G462">
        <f t="shared" si="14"/>
        <v>1</v>
      </c>
    </row>
    <row r="463" spans="1:7" x14ac:dyDescent="0.25">
      <c r="A463">
        <v>10</v>
      </c>
      <c r="B463">
        <f>SUMIFS('Draft Board'!$BJ$2:$BJ$87,'Draft Board'!$BC$2:$BC$87,A463,'Draft Board'!$BJ$2:$BJ$87,"&lt;&gt;")</f>
        <v>0</v>
      </c>
      <c r="C463">
        <f>SUMIFS('Draft Board'!$BI$2:$BI$87,'Draft Board'!$BC$2:$BC$87,A463,'Draft Board'!$BJ$2:$BJ$87,"&lt;&gt;")</f>
        <v>0</v>
      </c>
      <c r="D463">
        <f>COUNTIFS('Draft Board'!$BC$2:$BC$87,A463,'Draft Board'!$BJ$2:$BJ$87,"&lt;&gt;")</f>
        <v>0</v>
      </c>
      <c r="E463">
        <f>IFERROR(AVERAGEIFS('Draft Board'!$BI$2:$BI$87,'Draft Board'!$BC$2:$BC$87,A463),0)</f>
        <v>5</v>
      </c>
      <c r="F463">
        <f>MIN(1,E463/(Setup!$B$3*0.1))</f>
        <v>0.25</v>
      </c>
      <c r="G463">
        <f t="shared" si="14"/>
        <v>1</v>
      </c>
    </row>
    <row r="464" spans="1:7" x14ac:dyDescent="0.25">
      <c r="A464">
        <v>11</v>
      </c>
      <c r="B464">
        <f>SUMIFS('Draft Board'!$BJ$2:$BJ$87,'Draft Board'!$BC$2:$BC$87,A464,'Draft Board'!$BJ$2:$BJ$87,"&lt;&gt;")</f>
        <v>0</v>
      </c>
      <c r="C464">
        <f>SUMIFS('Draft Board'!$BI$2:$BI$87,'Draft Board'!$BC$2:$BC$87,A464,'Draft Board'!$BJ$2:$BJ$87,"&lt;&gt;")</f>
        <v>0</v>
      </c>
      <c r="D464">
        <f>COUNTIFS('Draft Board'!$BC$2:$BC$87,A464,'Draft Board'!$BJ$2:$BJ$87,"&lt;&gt;")</f>
        <v>0</v>
      </c>
      <c r="E464">
        <f>IFERROR(AVERAGEIFS('Draft Board'!$BI$2:$BI$87,'Draft Board'!$BC$2:$BC$87,A464),0)</f>
        <v>4</v>
      </c>
      <c r="F464">
        <f>MIN(1,E464/(Setup!$B$3*0.1))</f>
        <v>0.2</v>
      </c>
      <c r="G464">
        <f t="shared" si="14"/>
        <v>1</v>
      </c>
    </row>
    <row r="465" spans="1:7" x14ac:dyDescent="0.25">
      <c r="A465">
        <v>12</v>
      </c>
      <c r="B465">
        <f>SUMIFS('Draft Board'!$BJ$2:$BJ$87,'Draft Board'!$BC$2:$BC$87,A465,'Draft Board'!$BJ$2:$BJ$87,"&lt;&gt;")</f>
        <v>0</v>
      </c>
      <c r="C465">
        <f>SUMIFS('Draft Board'!$BI$2:$BI$87,'Draft Board'!$BC$2:$BC$87,A465,'Draft Board'!$BJ$2:$BJ$87,"&lt;&gt;")</f>
        <v>0</v>
      </c>
      <c r="D465">
        <f>COUNTIFS('Draft Board'!$BC$2:$BC$87,A465,'Draft Board'!$BJ$2:$BJ$87,"&lt;&gt;")</f>
        <v>0</v>
      </c>
      <c r="E465">
        <f>IFERROR(AVERAGEIFS('Draft Board'!$BI$2:$BI$87,'Draft Board'!$BC$2:$BC$87,A465),0)</f>
        <v>3</v>
      </c>
      <c r="F465">
        <f>MIN(1,E465/(Setup!$B$3*0.1))</f>
        <v>0.15</v>
      </c>
      <c r="G465">
        <f t="shared" si="14"/>
        <v>1</v>
      </c>
    </row>
    <row r="466" spans="1:7" x14ac:dyDescent="0.25">
      <c r="A466">
        <v>13</v>
      </c>
      <c r="B466">
        <f>SUMIFS('Draft Board'!$BJ$2:$BJ$87,'Draft Board'!$BC$2:$BC$87,A466,'Draft Board'!$BJ$2:$BJ$87,"&lt;&gt;")</f>
        <v>0</v>
      </c>
      <c r="C466">
        <f>SUMIFS('Draft Board'!$BI$2:$BI$87,'Draft Board'!$BC$2:$BC$87,A466,'Draft Board'!$BJ$2:$BJ$87,"&lt;&gt;")</f>
        <v>0</v>
      </c>
      <c r="D466">
        <f>COUNTIFS('Draft Board'!$BC$2:$BC$87,A466,'Draft Board'!$BJ$2:$BJ$87,"&lt;&gt;")</f>
        <v>0</v>
      </c>
      <c r="E466">
        <f>IFERROR(AVERAGEIFS('Draft Board'!$BI$2:$BI$87,'Draft Board'!$BC$2:$BC$87,A466),0)</f>
        <v>2</v>
      </c>
      <c r="F466">
        <f>MIN(1,E466/(Setup!$B$3*0.1))</f>
        <v>0.1</v>
      </c>
      <c r="G466">
        <f t="shared" si="14"/>
        <v>1</v>
      </c>
    </row>
    <row r="467" spans="1:7" x14ac:dyDescent="0.25">
      <c r="A467">
        <v>14</v>
      </c>
      <c r="B467">
        <f>SUMIFS('Draft Board'!$BJ$2:$BJ$87,'Draft Board'!$BC$2:$BC$87,A467,'Draft Board'!$BJ$2:$BJ$87,"&lt;&gt;")</f>
        <v>0</v>
      </c>
      <c r="C467">
        <f>SUMIFS('Draft Board'!$BI$2:$BI$87,'Draft Board'!$BC$2:$BC$87,A467,'Draft Board'!$BJ$2:$BJ$87,"&lt;&gt;")</f>
        <v>0</v>
      </c>
      <c r="D467">
        <f>COUNTIFS('Draft Board'!$BC$2:$BC$87,A467,'Draft Board'!$BJ$2:$BJ$87,"&lt;&gt;")</f>
        <v>0</v>
      </c>
      <c r="E467">
        <f>IFERROR(AVERAGEIFS('Draft Board'!$BI$2:$BI$87,'Draft Board'!$BC$2:$BC$87,A467),0)</f>
        <v>2</v>
      </c>
      <c r="F467">
        <f>MIN(1,E467/(Setup!$B$3*0.1))</f>
        <v>0.1</v>
      </c>
      <c r="G467">
        <f t="shared" si="14"/>
        <v>1</v>
      </c>
    </row>
    <row r="468" spans="1:7" x14ac:dyDescent="0.25">
      <c r="A468">
        <v>15</v>
      </c>
      <c r="B468">
        <f>SUMIFS('Draft Board'!$BJ$2:$BJ$87,'Draft Board'!$BC$2:$BC$87,A468,'Draft Board'!$BJ$2:$BJ$87,"&lt;&gt;")</f>
        <v>0</v>
      </c>
      <c r="C468">
        <f>SUMIFS('Draft Board'!$BI$2:$BI$87,'Draft Board'!$BC$2:$BC$87,A468,'Draft Board'!$BJ$2:$BJ$87,"&lt;&gt;")</f>
        <v>0</v>
      </c>
      <c r="D468">
        <f>COUNTIFS('Draft Board'!$BC$2:$BC$87,A468,'Draft Board'!$BJ$2:$BJ$87,"&lt;&gt;")</f>
        <v>0</v>
      </c>
      <c r="E468">
        <f>IFERROR(AVERAGEIFS('Draft Board'!$BI$2:$BI$87,'Draft Board'!$BC$2:$BC$87,A468),0)</f>
        <v>1</v>
      </c>
      <c r="F468">
        <f>MIN(1,E468/(Setup!$B$3*0.1))</f>
        <v>0.05</v>
      </c>
      <c r="G468">
        <f t="shared" si="14"/>
        <v>1</v>
      </c>
    </row>
    <row r="469" spans="1:7" x14ac:dyDescent="0.25">
      <c r="A469">
        <v>16</v>
      </c>
      <c r="B469">
        <f>SUMIFS('Draft Board'!$BJ$2:$BJ$87,'Draft Board'!$BC$2:$BC$87,A469,'Draft Board'!$BJ$2:$BJ$87,"&lt;&gt;")</f>
        <v>0</v>
      </c>
      <c r="C469">
        <f>SUMIFS('Draft Board'!$BI$2:$BI$87,'Draft Board'!$BC$2:$BC$87,A469,'Draft Board'!$BJ$2:$BJ$87,"&lt;&gt;")</f>
        <v>0</v>
      </c>
      <c r="D469">
        <f>COUNTIFS('Draft Board'!$BC$2:$BC$87,A469,'Draft Board'!$BJ$2:$BJ$87,"&lt;&gt;")</f>
        <v>0</v>
      </c>
      <c r="E469">
        <f>IFERROR(AVERAGEIFS('Draft Board'!$BI$2:$BI$87,'Draft Board'!$BC$2:$BC$87,A469),0)</f>
        <v>1</v>
      </c>
      <c r="F469">
        <f>MIN(1,E469/(Setup!$B$3*0.1))</f>
        <v>0.05</v>
      </c>
      <c r="G469">
        <f t="shared" si="14"/>
        <v>1</v>
      </c>
    </row>
    <row r="470" spans="1:7" x14ac:dyDescent="0.25">
      <c r="A470">
        <v>17</v>
      </c>
      <c r="B470">
        <f>SUMIFS('Draft Board'!$BJ$2:$BJ$87,'Draft Board'!$BC$2:$BC$87,A470,'Draft Board'!$BJ$2:$BJ$87,"&lt;&gt;")</f>
        <v>0</v>
      </c>
      <c r="C470">
        <f>SUMIFS('Draft Board'!$BI$2:$BI$87,'Draft Board'!$BC$2:$BC$87,A470,'Draft Board'!$BJ$2:$BJ$87,"&lt;&gt;")</f>
        <v>0</v>
      </c>
      <c r="D470">
        <f>COUNTIFS('Draft Board'!$BC$2:$BC$87,A470,'Draft Board'!$BJ$2:$BJ$87,"&lt;&gt;")</f>
        <v>0</v>
      </c>
      <c r="E470">
        <f>IFERROR(AVERAGEIFS('Draft Board'!$BI$2:$BI$87,'Draft Board'!$BC$2:$BC$87,A470),0)</f>
        <v>1</v>
      </c>
      <c r="F470">
        <f>MIN(1,E470/(Setup!$B$3*0.1))</f>
        <v>0.05</v>
      </c>
      <c r="G470">
        <f t="shared" si="14"/>
        <v>1</v>
      </c>
    </row>
    <row r="471" spans="1:7" x14ac:dyDescent="0.25">
      <c r="A471">
        <v>18</v>
      </c>
      <c r="B471">
        <f>SUMIFS('Draft Board'!$BJ$2:$BJ$87,'Draft Board'!$BC$2:$BC$87,A471,'Draft Board'!$BJ$2:$BJ$87,"&lt;&gt;")</f>
        <v>0</v>
      </c>
      <c r="C471">
        <f>SUMIFS('Draft Board'!$BI$2:$BI$87,'Draft Board'!$BC$2:$BC$87,A471,'Draft Board'!$BJ$2:$BJ$87,"&lt;&gt;")</f>
        <v>0</v>
      </c>
      <c r="D471">
        <f>COUNTIFS('Draft Board'!$BC$2:$BC$87,A471,'Draft Board'!$BJ$2:$BJ$87,"&lt;&gt;")</f>
        <v>0</v>
      </c>
      <c r="E471">
        <f>IFERROR(AVERAGEIFS('Draft Board'!$BI$2:$BI$87,'Draft Board'!$BC$2:$BC$87,A471),0)</f>
        <v>1</v>
      </c>
      <c r="F471">
        <f>MIN(1,E471/(Setup!$B$3*0.1))</f>
        <v>0.05</v>
      </c>
      <c r="G471">
        <f t="shared" si="14"/>
        <v>1</v>
      </c>
    </row>
    <row r="472" spans="1:7" x14ac:dyDescent="0.25">
      <c r="A472">
        <v>19</v>
      </c>
      <c r="B472">
        <f>SUMIFS('Draft Board'!$BJ$2:$BJ$87,'Draft Board'!$BC$2:$BC$87,A472,'Draft Board'!$BJ$2:$BJ$87,"&lt;&gt;")</f>
        <v>0</v>
      </c>
      <c r="C472">
        <f>SUMIFS('Draft Board'!$BI$2:$BI$87,'Draft Board'!$BC$2:$BC$87,A472,'Draft Board'!$BJ$2:$BJ$87,"&lt;&gt;")</f>
        <v>0</v>
      </c>
      <c r="D472">
        <f>COUNTIFS('Draft Board'!$BC$2:$BC$87,A472,'Draft Board'!$BJ$2:$BJ$87,"&lt;&gt;")</f>
        <v>0</v>
      </c>
      <c r="E472">
        <f>IFERROR(AVERAGEIFS('Draft Board'!$BI$2:$BI$87,'Draft Board'!$BC$2:$BC$87,A472),0)</f>
        <v>0</v>
      </c>
      <c r="F472">
        <f>MIN(1,E472/(Setup!$B$3*0.1))</f>
        <v>0</v>
      </c>
      <c r="G472">
        <f t="shared" si="14"/>
        <v>1</v>
      </c>
    </row>
    <row r="473" spans="1:7" x14ac:dyDescent="0.25">
      <c r="A473">
        <v>20</v>
      </c>
      <c r="B473">
        <f>SUMIFS('Draft Board'!$BJ$2:$BJ$87,'Draft Board'!$BC$2:$BC$87,A473,'Draft Board'!$BJ$2:$BJ$87,"&lt;&gt;")</f>
        <v>0</v>
      </c>
      <c r="C473">
        <f>SUMIFS('Draft Board'!$BI$2:$BI$87,'Draft Board'!$BC$2:$BC$87,A473,'Draft Board'!$BJ$2:$BJ$87,"&lt;&gt;")</f>
        <v>0</v>
      </c>
      <c r="D473">
        <f>COUNTIFS('Draft Board'!$BC$2:$BC$87,A473,'Draft Board'!$BJ$2:$BJ$87,"&lt;&gt;")</f>
        <v>0</v>
      </c>
      <c r="E473">
        <f>IFERROR(AVERAGEIFS('Draft Board'!$BI$2:$BI$87,'Draft Board'!$BC$2:$BC$87,A473),0)</f>
        <v>0</v>
      </c>
      <c r="F473">
        <f>MIN(1,E473/(Setup!$B$3*0.1))</f>
        <v>0</v>
      </c>
      <c r="G473">
        <f t="shared" si="14"/>
        <v>1</v>
      </c>
    </row>
    <row r="474" spans="1:7" x14ac:dyDescent="0.25">
      <c r="A474">
        <v>21</v>
      </c>
      <c r="B474">
        <f>SUMIFS('Draft Board'!$BJ$2:$BJ$87,'Draft Board'!$BC$2:$BC$87,A474,'Draft Board'!$BJ$2:$BJ$87,"&lt;&gt;")</f>
        <v>0</v>
      </c>
      <c r="C474">
        <f>SUMIFS('Draft Board'!$BI$2:$BI$87,'Draft Board'!$BC$2:$BC$87,A474,'Draft Board'!$BJ$2:$BJ$87,"&lt;&gt;")</f>
        <v>0</v>
      </c>
      <c r="D474">
        <f>COUNTIFS('Draft Board'!$BC$2:$BC$87,A474,'Draft Board'!$BJ$2:$BJ$87,"&lt;&gt;")</f>
        <v>0</v>
      </c>
      <c r="E474">
        <f>IFERROR(AVERAGEIFS('Draft Board'!$BI$2:$BI$87,'Draft Board'!$BC$2:$BC$87,A474),0)</f>
        <v>0</v>
      </c>
      <c r="F474">
        <f>MIN(1,E474/(Setup!$B$3*0.1))</f>
        <v>0</v>
      </c>
      <c r="G474">
        <f t="shared" si="14"/>
        <v>1</v>
      </c>
    </row>
    <row r="475" spans="1:7" x14ac:dyDescent="0.25">
      <c r="A475">
        <v>22</v>
      </c>
      <c r="B475">
        <f>SUMIFS('Draft Board'!$BJ$2:$BJ$87,'Draft Board'!$BC$2:$BC$87,A475,'Draft Board'!$BJ$2:$BJ$87,"&lt;&gt;")</f>
        <v>0</v>
      </c>
      <c r="C475">
        <f>SUMIFS('Draft Board'!$BI$2:$BI$87,'Draft Board'!$BC$2:$BC$87,A475,'Draft Board'!$BJ$2:$BJ$87,"&lt;&gt;")</f>
        <v>0</v>
      </c>
      <c r="D475">
        <f>COUNTIFS('Draft Board'!$BC$2:$BC$87,A475,'Draft Board'!$BJ$2:$BJ$87,"&lt;&gt;")</f>
        <v>0</v>
      </c>
      <c r="E475">
        <f>IFERROR(AVERAGEIFS('Draft Board'!$BI$2:$BI$87,'Draft Board'!$BC$2:$BC$87,A475),0)</f>
        <v>0</v>
      </c>
      <c r="F475">
        <f>MIN(1,E475/(Setup!$B$3*0.1))</f>
        <v>0</v>
      </c>
      <c r="G475">
        <f t="shared" si="14"/>
        <v>1</v>
      </c>
    </row>
    <row r="476" spans="1:7" x14ac:dyDescent="0.25">
      <c r="A476">
        <v>23</v>
      </c>
      <c r="B476">
        <f>SUMIFS('Draft Board'!$BJ$2:$BJ$87,'Draft Board'!$BC$2:$BC$87,A476,'Draft Board'!$BJ$2:$BJ$87,"&lt;&gt;")</f>
        <v>0</v>
      </c>
      <c r="C476">
        <f>SUMIFS('Draft Board'!$BI$2:$BI$87,'Draft Board'!$BC$2:$BC$87,A476,'Draft Board'!$BJ$2:$BJ$87,"&lt;&gt;")</f>
        <v>0</v>
      </c>
      <c r="D476">
        <f>COUNTIFS('Draft Board'!$BC$2:$BC$87,A476,'Draft Board'!$BJ$2:$BJ$87,"&lt;&gt;")</f>
        <v>0</v>
      </c>
      <c r="E476">
        <f>IFERROR(AVERAGEIFS('Draft Board'!$BI$2:$BI$87,'Draft Board'!$BC$2:$BC$87,A476),0)</f>
        <v>0</v>
      </c>
      <c r="F476">
        <f>MIN(1,E476/(Setup!$B$3*0.1))</f>
        <v>0</v>
      </c>
      <c r="G476">
        <f t="shared" si="14"/>
        <v>1</v>
      </c>
    </row>
    <row r="477" spans="1:7" x14ac:dyDescent="0.25">
      <c r="A477">
        <v>24</v>
      </c>
      <c r="B477">
        <f>SUMIFS('Draft Board'!$BJ$2:$BJ$87,'Draft Board'!$BC$2:$BC$87,A477,'Draft Board'!$BJ$2:$BJ$87,"&lt;&gt;")</f>
        <v>0</v>
      </c>
      <c r="C477">
        <f>SUMIFS('Draft Board'!$BI$2:$BI$87,'Draft Board'!$BC$2:$BC$87,A477,'Draft Board'!$BJ$2:$BJ$87,"&lt;&gt;")</f>
        <v>0</v>
      </c>
      <c r="D477">
        <f>COUNTIFS('Draft Board'!$BC$2:$BC$87,A477,'Draft Board'!$BJ$2:$BJ$87,"&lt;&gt;")</f>
        <v>0</v>
      </c>
      <c r="E477">
        <f>IFERROR(AVERAGEIFS('Draft Board'!$BI$2:$BI$87,'Draft Board'!$BC$2:$BC$87,A477),0)</f>
        <v>0</v>
      </c>
      <c r="F477">
        <f>MIN(1,E477/(Setup!$B$3*0.1))</f>
        <v>0</v>
      </c>
      <c r="G477">
        <f t="shared" si="14"/>
        <v>1</v>
      </c>
    </row>
    <row r="478" spans="1:7" x14ac:dyDescent="0.25">
      <c r="A478">
        <v>25</v>
      </c>
      <c r="B478">
        <f>SUMIFS('Draft Board'!$BJ$2:$BJ$87,'Draft Board'!$BC$2:$BC$87,A478,'Draft Board'!$BJ$2:$BJ$87,"&lt;&gt;")</f>
        <v>0</v>
      </c>
      <c r="C478">
        <f>SUMIFS('Draft Board'!$BI$2:$BI$87,'Draft Board'!$BC$2:$BC$87,A478,'Draft Board'!$BJ$2:$BJ$87,"&lt;&gt;")</f>
        <v>0</v>
      </c>
      <c r="D478">
        <f>COUNTIFS('Draft Board'!$BC$2:$BC$87,A478,'Draft Board'!$BJ$2:$BJ$87,"&lt;&gt;")</f>
        <v>0</v>
      </c>
      <c r="E478">
        <f>IFERROR(AVERAGEIFS('Draft Board'!$BI$2:$BI$87,'Draft Board'!$BC$2:$BC$87,A478),0)</f>
        <v>0</v>
      </c>
      <c r="F478">
        <f>MIN(1,E478/(Setup!$B$3*0.1))</f>
        <v>0</v>
      </c>
      <c r="G478">
        <f t="shared" si="14"/>
        <v>1</v>
      </c>
    </row>
    <row r="479" spans="1:7" x14ac:dyDescent="0.25">
      <c r="A479">
        <v>26</v>
      </c>
      <c r="B479">
        <f>SUMIFS('Draft Board'!$BJ$2:$BJ$87,'Draft Board'!$BC$2:$BC$87,A479,'Draft Board'!$BJ$2:$BJ$87,"&lt;&gt;")</f>
        <v>0</v>
      </c>
      <c r="C479">
        <f>SUMIFS('Draft Board'!$BI$2:$BI$87,'Draft Board'!$BC$2:$BC$87,A479,'Draft Board'!$BJ$2:$BJ$87,"&lt;&gt;")</f>
        <v>0</v>
      </c>
      <c r="D479">
        <f>COUNTIFS('Draft Board'!$BC$2:$BC$87,A479,'Draft Board'!$BJ$2:$BJ$87,"&lt;&gt;")</f>
        <v>0</v>
      </c>
      <c r="E479">
        <f>IFERROR(AVERAGEIFS('Draft Board'!$BI$2:$BI$87,'Draft Board'!$BC$2:$BC$87,A479),0)</f>
        <v>0</v>
      </c>
      <c r="F479">
        <f>MIN(1,E479/(Setup!$B$3*0.1))</f>
        <v>0</v>
      </c>
      <c r="G479">
        <f t="shared" si="14"/>
        <v>1</v>
      </c>
    </row>
    <row r="480" spans="1:7" x14ac:dyDescent="0.25">
      <c r="A480">
        <v>27</v>
      </c>
      <c r="B480">
        <f>SUMIFS('Draft Board'!$BJ$2:$BJ$87,'Draft Board'!$BC$2:$BC$87,A480,'Draft Board'!$BJ$2:$BJ$87,"&lt;&gt;")</f>
        <v>0</v>
      </c>
      <c r="C480">
        <f>SUMIFS('Draft Board'!$BI$2:$BI$87,'Draft Board'!$BC$2:$BC$87,A480,'Draft Board'!$BJ$2:$BJ$87,"&lt;&gt;")</f>
        <v>0</v>
      </c>
      <c r="D480">
        <f>COUNTIFS('Draft Board'!$BC$2:$BC$87,A480,'Draft Board'!$BJ$2:$BJ$87,"&lt;&gt;")</f>
        <v>0</v>
      </c>
      <c r="E480">
        <f>IFERROR(AVERAGEIFS('Draft Board'!$BI$2:$BI$87,'Draft Board'!$BC$2:$BC$87,A480),0)</f>
        <v>0</v>
      </c>
      <c r="F480">
        <f>MIN(1,E480/(Setup!$B$3*0.1))</f>
        <v>0</v>
      </c>
      <c r="G480">
        <f t="shared" si="14"/>
        <v>1</v>
      </c>
    </row>
    <row r="481" spans="1:7" x14ac:dyDescent="0.25">
      <c r="A481">
        <v>28</v>
      </c>
      <c r="B481">
        <f>SUMIFS('Draft Board'!$BJ$2:$BJ$87,'Draft Board'!$BC$2:$BC$87,A481,'Draft Board'!$BJ$2:$BJ$87,"&lt;&gt;")</f>
        <v>0</v>
      </c>
      <c r="C481">
        <f>SUMIFS('Draft Board'!$BI$2:$BI$87,'Draft Board'!$BC$2:$BC$87,A481,'Draft Board'!$BJ$2:$BJ$87,"&lt;&gt;")</f>
        <v>0</v>
      </c>
      <c r="D481">
        <f>COUNTIFS('Draft Board'!$BC$2:$BC$87,A481,'Draft Board'!$BJ$2:$BJ$87,"&lt;&gt;")</f>
        <v>0</v>
      </c>
      <c r="E481">
        <f>IFERROR(AVERAGEIFS('Draft Board'!$BI$2:$BI$87,'Draft Board'!$BC$2:$BC$87,A481),0)</f>
        <v>0</v>
      </c>
      <c r="F481">
        <f>MIN(1,E481/(Setup!$B$3*0.1))</f>
        <v>0</v>
      </c>
      <c r="G481">
        <f t="shared" si="14"/>
        <v>1</v>
      </c>
    </row>
    <row r="482" spans="1:7" x14ac:dyDescent="0.25">
      <c r="A482">
        <v>29</v>
      </c>
      <c r="B482">
        <f>SUMIFS('Draft Board'!$BJ$2:$BJ$87,'Draft Board'!$BC$2:$BC$87,A482,'Draft Board'!$BJ$2:$BJ$87,"&lt;&gt;")</f>
        <v>0</v>
      </c>
      <c r="C482">
        <f>SUMIFS('Draft Board'!$BI$2:$BI$87,'Draft Board'!$BC$2:$BC$87,A482,'Draft Board'!$BJ$2:$BJ$87,"&lt;&gt;")</f>
        <v>0</v>
      </c>
      <c r="D482">
        <f>COUNTIFS('Draft Board'!$BC$2:$BC$87,A482,'Draft Board'!$BJ$2:$BJ$87,"&lt;&gt;")</f>
        <v>0</v>
      </c>
      <c r="E482">
        <f>IFERROR(AVERAGEIFS('Draft Board'!$BI$2:$BI$87,'Draft Board'!$BC$2:$BC$87,A482),0)</f>
        <v>0</v>
      </c>
      <c r="F482">
        <f>MIN(1,E482/(Setup!$B$3*0.1))</f>
        <v>0</v>
      </c>
      <c r="G482">
        <f t="shared" si="14"/>
        <v>1</v>
      </c>
    </row>
    <row r="483" spans="1:7" x14ac:dyDescent="0.25">
      <c r="A483">
        <v>30</v>
      </c>
      <c r="B483">
        <f>SUMIFS('Draft Board'!$BJ$2:$BJ$87,'Draft Board'!$BC$2:$BC$87,A483,'Draft Board'!$BJ$2:$BJ$87,"&lt;&gt;")</f>
        <v>0</v>
      </c>
      <c r="C483">
        <f>SUMIFS('Draft Board'!$BI$2:$BI$87,'Draft Board'!$BC$2:$BC$87,A483,'Draft Board'!$BJ$2:$BJ$87,"&lt;&gt;")</f>
        <v>0</v>
      </c>
      <c r="D483">
        <f>COUNTIFS('Draft Board'!$BC$2:$BC$87,A483,'Draft Board'!$BJ$2:$BJ$87,"&lt;&gt;")</f>
        <v>0</v>
      </c>
      <c r="E483">
        <f>IFERROR(AVERAGEIFS('Draft Board'!$BI$2:$BI$87,'Draft Board'!$BC$2:$BC$87,A483),0)</f>
        <v>0</v>
      </c>
      <c r="F483">
        <f>MIN(1,E483/(Setup!$B$3*0.1))</f>
        <v>0</v>
      </c>
      <c r="G483">
        <f t="shared" si="14"/>
        <v>1</v>
      </c>
    </row>
    <row r="484" spans="1:7" x14ac:dyDescent="0.25">
      <c r="A484">
        <v>31</v>
      </c>
      <c r="B484">
        <f>SUMIFS('Draft Board'!$BJ$2:$BJ$87,'Draft Board'!$BC$2:$BC$87,A484,'Draft Board'!$BJ$2:$BJ$87,"&lt;&gt;")</f>
        <v>0</v>
      </c>
      <c r="C484">
        <f>SUMIFS('Draft Board'!$BI$2:$BI$87,'Draft Board'!$BC$2:$BC$87,A484,'Draft Board'!$BJ$2:$BJ$87,"&lt;&gt;")</f>
        <v>0</v>
      </c>
      <c r="D484">
        <f>COUNTIFS('Draft Board'!$BC$2:$BC$87,A484,'Draft Board'!$BJ$2:$BJ$87,"&lt;&gt;")</f>
        <v>0</v>
      </c>
      <c r="E484">
        <f>IFERROR(AVERAGEIFS('Draft Board'!$BI$2:$BI$87,'Draft Board'!$BC$2:$BC$87,A484),0)</f>
        <v>0</v>
      </c>
      <c r="F484">
        <f>MIN(1,E484/(Setup!$B$3*0.1))</f>
        <v>0</v>
      </c>
      <c r="G484">
        <f t="shared" si="14"/>
        <v>1</v>
      </c>
    </row>
    <row r="485" spans="1:7" x14ac:dyDescent="0.25">
      <c r="A485">
        <v>32</v>
      </c>
      <c r="B485">
        <f>SUMIFS('Draft Board'!$BJ$2:$BJ$87,'Draft Board'!$BC$2:$BC$87,A485,'Draft Board'!$BJ$2:$BJ$87,"&lt;&gt;")</f>
        <v>0</v>
      </c>
      <c r="C485">
        <f>SUMIFS('Draft Board'!$BI$2:$BI$87,'Draft Board'!$BC$2:$BC$87,A485,'Draft Board'!$BJ$2:$BJ$87,"&lt;&gt;")</f>
        <v>0</v>
      </c>
      <c r="D485">
        <f>COUNTIFS('Draft Board'!$BC$2:$BC$87,A485,'Draft Board'!$BJ$2:$BJ$87,"&lt;&gt;")</f>
        <v>0</v>
      </c>
      <c r="E485">
        <f>IFERROR(AVERAGEIFS('Draft Board'!$BI$2:$BI$87,'Draft Board'!$BC$2:$BC$87,A485),0)</f>
        <v>0</v>
      </c>
      <c r="F485">
        <f>MIN(1,E485/(Setup!$B$3*0.1))</f>
        <v>0</v>
      </c>
      <c r="G485">
        <f t="shared" si="14"/>
        <v>1</v>
      </c>
    </row>
    <row r="486" spans="1:7" x14ac:dyDescent="0.25">
      <c r="A486">
        <v>33</v>
      </c>
      <c r="B486">
        <f>SUMIFS('Draft Board'!$BJ$2:$BJ$87,'Draft Board'!$BC$2:$BC$87,A486,'Draft Board'!$BJ$2:$BJ$87,"&lt;&gt;")</f>
        <v>0</v>
      </c>
      <c r="C486">
        <f>SUMIFS('Draft Board'!$BI$2:$BI$87,'Draft Board'!$BC$2:$BC$87,A486,'Draft Board'!$BJ$2:$BJ$87,"&lt;&gt;")</f>
        <v>0</v>
      </c>
      <c r="D486">
        <f>COUNTIFS('Draft Board'!$BC$2:$BC$87,A486,'Draft Board'!$BJ$2:$BJ$87,"&lt;&gt;")</f>
        <v>0</v>
      </c>
      <c r="E486">
        <f>IFERROR(AVERAGEIFS('Draft Board'!$BI$2:$BI$87,'Draft Board'!$BC$2:$BC$87,A486),0)</f>
        <v>0</v>
      </c>
      <c r="F486">
        <f>MIN(1,E486/(Setup!$B$3*0.1))</f>
        <v>0</v>
      </c>
      <c r="G486">
        <f t="shared" ref="G486:G517" si="15">IF(D486&lt;2,1,MEDIAN(0.5,2,1+(IFERROR(B486/C486,1)-1)*F486))</f>
        <v>1</v>
      </c>
    </row>
    <row r="487" spans="1:7" x14ac:dyDescent="0.25">
      <c r="A487">
        <v>34</v>
      </c>
      <c r="B487">
        <f>SUMIFS('Draft Board'!$BJ$2:$BJ$87,'Draft Board'!$BC$2:$BC$87,A487,'Draft Board'!$BJ$2:$BJ$87,"&lt;&gt;")</f>
        <v>0</v>
      </c>
      <c r="C487">
        <f>SUMIFS('Draft Board'!$BI$2:$BI$87,'Draft Board'!$BC$2:$BC$87,A487,'Draft Board'!$BJ$2:$BJ$87,"&lt;&gt;")</f>
        <v>0</v>
      </c>
      <c r="D487">
        <f>COUNTIFS('Draft Board'!$BC$2:$BC$87,A487,'Draft Board'!$BJ$2:$BJ$87,"&lt;&gt;")</f>
        <v>0</v>
      </c>
      <c r="E487">
        <f>IFERROR(AVERAGEIFS('Draft Board'!$BI$2:$BI$87,'Draft Board'!$BC$2:$BC$87,A487),0)</f>
        <v>0</v>
      </c>
      <c r="F487">
        <f>MIN(1,E487/(Setup!$B$3*0.1))</f>
        <v>0</v>
      </c>
      <c r="G487">
        <f t="shared" si="15"/>
        <v>1</v>
      </c>
    </row>
    <row r="488" spans="1:7" x14ac:dyDescent="0.25">
      <c r="A488">
        <v>35</v>
      </c>
      <c r="B488">
        <f>SUMIFS('Draft Board'!$BJ$2:$BJ$87,'Draft Board'!$BC$2:$BC$87,A488,'Draft Board'!$BJ$2:$BJ$87,"&lt;&gt;")</f>
        <v>0</v>
      </c>
      <c r="C488">
        <f>SUMIFS('Draft Board'!$BI$2:$BI$87,'Draft Board'!$BC$2:$BC$87,A488,'Draft Board'!$BJ$2:$BJ$87,"&lt;&gt;")</f>
        <v>0</v>
      </c>
      <c r="D488">
        <f>COUNTIFS('Draft Board'!$BC$2:$BC$87,A488,'Draft Board'!$BJ$2:$BJ$87,"&lt;&gt;")</f>
        <v>0</v>
      </c>
      <c r="E488">
        <f>IFERROR(AVERAGEIFS('Draft Board'!$BI$2:$BI$87,'Draft Board'!$BC$2:$BC$87,A488),0)</f>
        <v>0</v>
      </c>
      <c r="F488">
        <f>MIN(1,E488/(Setup!$B$3*0.1))</f>
        <v>0</v>
      </c>
      <c r="G488">
        <f t="shared" si="15"/>
        <v>1</v>
      </c>
    </row>
    <row r="489" spans="1:7" x14ac:dyDescent="0.25">
      <c r="A489">
        <v>36</v>
      </c>
      <c r="B489">
        <f>SUMIFS('Draft Board'!$BJ$2:$BJ$87,'Draft Board'!$BC$2:$BC$87,A489,'Draft Board'!$BJ$2:$BJ$87,"&lt;&gt;")</f>
        <v>0</v>
      </c>
      <c r="C489">
        <f>SUMIFS('Draft Board'!$BI$2:$BI$87,'Draft Board'!$BC$2:$BC$87,A489,'Draft Board'!$BJ$2:$BJ$87,"&lt;&gt;")</f>
        <v>0</v>
      </c>
      <c r="D489">
        <f>COUNTIFS('Draft Board'!$BC$2:$BC$87,A489,'Draft Board'!$BJ$2:$BJ$87,"&lt;&gt;")</f>
        <v>0</v>
      </c>
      <c r="E489">
        <f>IFERROR(AVERAGEIFS('Draft Board'!$BI$2:$BI$87,'Draft Board'!$BC$2:$BC$87,A489),0)</f>
        <v>0</v>
      </c>
      <c r="F489">
        <f>MIN(1,E489/(Setup!$B$3*0.1))</f>
        <v>0</v>
      </c>
      <c r="G489">
        <f t="shared" si="15"/>
        <v>1</v>
      </c>
    </row>
    <row r="490" spans="1:7" x14ac:dyDescent="0.25">
      <c r="A490">
        <v>37</v>
      </c>
      <c r="B490">
        <f>SUMIFS('Draft Board'!$BJ$2:$BJ$87,'Draft Board'!$BC$2:$BC$87,A490,'Draft Board'!$BJ$2:$BJ$87,"&lt;&gt;")</f>
        <v>0</v>
      </c>
      <c r="C490">
        <f>SUMIFS('Draft Board'!$BI$2:$BI$87,'Draft Board'!$BC$2:$BC$87,A490,'Draft Board'!$BJ$2:$BJ$87,"&lt;&gt;")</f>
        <v>0</v>
      </c>
      <c r="D490">
        <f>COUNTIFS('Draft Board'!$BC$2:$BC$87,A490,'Draft Board'!$BJ$2:$BJ$87,"&lt;&gt;")</f>
        <v>0</v>
      </c>
      <c r="E490">
        <f>IFERROR(AVERAGEIFS('Draft Board'!$BI$2:$BI$87,'Draft Board'!$BC$2:$BC$87,A490),0)</f>
        <v>0</v>
      </c>
      <c r="F490">
        <f>MIN(1,E490/(Setup!$B$3*0.1))</f>
        <v>0</v>
      </c>
      <c r="G490">
        <f t="shared" si="15"/>
        <v>1</v>
      </c>
    </row>
    <row r="491" spans="1:7" x14ac:dyDescent="0.25">
      <c r="A491">
        <v>38</v>
      </c>
      <c r="B491">
        <f>SUMIFS('Draft Board'!$BJ$2:$BJ$87,'Draft Board'!$BC$2:$BC$87,A491,'Draft Board'!$BJ$2:$BJ$87,"&lt;&gt;")</f>
        <v>0</v>
      </c>
      <c r="C491">
        <f>SUMIFS('Draft Board'!$BI$2:$BI$87,'Draft Board'!$BC$2:$BC$87,A491,'Draft Board'!$BJ$2:$BJ$87,"&lt;&gt;")</f>
        <v>0</v>
      </c>
      <c r="D491">
        <f>COUNTIFS('Draft Board'!$BC$2:$BC$87,A491,'Draft Board'!$BJ$2:$BJ$87,"&lt;&gt;")</f>
        <v>0</v>
      </c>
      <c r="E491">
        <f>IFERROR(AVERAGEIFS('Draft Board'!$BI$2:$BI$87,'Draft Board'!$BC$2:$BC$87,A491),0)</f>
        <v>0</v>
      </c>
      <c r="F491">
        <f>MIN(1,E491/(Setup!$B$3*0.1))</f>
        <v>0</v>
      </c>
      <c r="G491">
        <f t="shared" si="15"/>
        <v>1</v>
      </c>
    </row>
    <row r="492" spans="1:7" x14ac:dyDescent="0.25">
      <c r="A492">
        <v>39</v>
      </c>
      <c r="B492">
        <f>SUMIFS('Draft Board'!$BJ$2:$BJ$87,'Draft Board'!$BC$2:$BC$87,A492,'Draft Board'!$BJ$2:$BJ$87,"&lt;&gt;")</f>
        <v>0</v>
      </c>
      <c r="C492">
        <f>SUMIFS('Draft Board'!$BI$2:$BI$87,'Draft Board'!$BC$2:$BC$87,A492,'Draft Board'!$BJ$2:$BJ$87,"&lt;&gt;")</f>
        <v>0</v>
      </c>
      <c r="D492">
        <f>COUNTIFS('Draft Board'!$BC$2:$BC$87,A492,'Draft Board'!$BJ$2:$BJ$87,"&lt;&gt;")</f>
        <v>0</v>
      </c>
      <c r="E492">
        <f>IFERROR(AVERAGEIFS('Draft Board'!$BI$2:$BI$87,'Draft Board'!$BC$2:$BC$87,A492),0)</f>
        <v>0</v>
      </c>
      <c r="F492">
        <f>MIN(1,E492/(Setup!$B$3*0.1))</f>
        <v>0</v>
      </c>
      <c r="G492">
        <f t="shared" si="15"/>
        <v>1</v>
      </c>
    </row>
    <row r="493" spans="1:7" x14ac:dyDescent="0.25">
      <c r="A493">
        <v>40</v>
      </c>
      <c r="B493">
        <f>SUMIFS('Draft Board'!$BJ$2:$BJ$87,'Draft Board'!$BC$2:$BC$87,A493,'Draft Board'!$BJ$2:$BJ$87,"&lt;&gt;")</f>
        <v>0</v>
      </c>
      <c r="C493">
        <f>SUMIFS('Draft Board'!$BI$2:$BI$87,'Draft Board'!$BC$2:$BC$87,A493,'Draft Board'!$BJ$2:$BJ$87,"&lt;&gt;")</f>
        <v>0</v>
      </c>
      <c r="D493">
        <f>COUNTIFS('Draft Board'!$BC$2:$BC$87,A493,'Draft Board'!$BJ$2:$BJ$87,"&lt;&gt;")</f>
        <v>0</v>
      </c>
      <c r="E493">
        <f>IFERROR(AVERAGEIFS('Draft Board'!$BI$2:$BI$87,'Draft Board'!$BC$2:$BC$87,A493),0)</f>
        <v>0</v>
      </c>
      <c r="F493">
        <f>MIN(1,E493/(Setup!$B$3*0.1))</f>
        <v>0</v>
      </c>
      <c r="G493">
        <f t="shared" si="15"/>
        <v>1</v>
      </c>
    </row>
    <row r="494" spans="1:7" x14ac:dyDescent="0.25">
      <c r="A494">
        <v>41</v>
      </c>
      <c r="B494">
        <f>SUMIFS('Draft Board'!$BJ$2:$BJ$87,'Draft Board'!$BC$2:$BC$87,A494,'Draft Board'!$BJ$2:$BJ$87,"&lt;&gt;")</f>
        <v>0</v>
      </c>
      <c r="C494">
        <f>SUMIFS('Draft Board'!$BI$2:$BI$87,'Draft Board'!$BC$2:$BC$87,A494,'Draft Board'!$BJ$2:$BJ$87,"&lt;&gt;")</f>
        <v>0</v>
      </c>
      <c r="D494">
        <f>COUNTIFS('Draft Board'!$BC$2:$BC$87,A494,'Draft Board'!$BJ$2:$BJ$87,"&lt;&gt;")</f>
        <v>0</v>
      </c>
      <c r="E494">
        <f>IFERROR(AVERAGEIFS('Draft Board'!$BI$2:$BI$87,'Draft Board'!$BC$2:$BC$87,A494),0)</f>
        <v>0</v>
      </c>
      <c r="F494">
        <f>MIN(1,E494/(Setup!$B$3*0.1))</f>
        <v>0</v>
      </c>
      <c r="G494">
        <f t="shared" si="15"/>
        <v>1</v>
      </c>
    </row>
    <row r="495" spans="1:7" x14ac:dyDescent="0.25">
      <c r="A495">
        <v>42</v>
      </c>
      <c r="B495">
        <f>SUMIFS('Draft Board'!$BJ$2:$BJ$87,'Draft Board'!$BC$2:$BC$87,A495,'Draft Board'!$BJ$2:$BJ$87,"&lt;&gt;")</f>
        <v>0</v>
      </c>
      <c r="C495">
        <f>SUMIFS('Draft Board'!$BI$2:$BI$87,'Draft Board'!$BC$2:$BC$87,A495,'Draft Board'!$BJ$2:$BJ$87,"&lt;&gt;")</f>
        <v>0</v>
      </c>
      <c r="D495">
        <f>COUNTIFS('Draft Board'!$BC$2:$BC$87,A495,'Draft Board'!$BJ$2:$BJ$87,"&lt;&gt;")</f>
        <v>0</v>
      </c>
      <c r="E495">
        <f>IFERROR(AVERAGEIFS('Draft Board'!$BI$2:$BI$87,'Draft Board'!$BC$2:$BC$87,A495),0)</f>
        <v>0</v>
      </c>
      <c r="F495">
        <f>MIN(1,E495/(Setup!$B$3*0.1))</f>
        <v>0</v>
      </c>
      <c r="G495">
        <f t="shared" si="15"/>
        <v>1</v>
      </c>
    </row>
    <row r="496" spans="1:7" x14ac:dyDescent="0.25">
      <c r="A496">
        <v>43</v>
      </c>
      <c r="B496">
        <f>SUMIFS('Draft Board'!$BJ$2:$BJ$87,'Draft Board'!$BC$2:$BC$87,A496,'Draft Board'!$BJ$2:$BJ$87,"&lt;&gt;")</f>
        <v>0</v>
      </c>
      <c r="C496">
        <f>SUMIFS('Draft Board'!$BI$2:$BI$87,'Draft Board'!$BC$2:$BC$87,A496,'Draft Board'!$BJ$2:$BJ$87,"&lt;&gt;")</f>
        <v>0</v>
      </c>
      <c r="D496">
        <f>COUNTIFS('Draft Board'!$BC$2:$BC$87,A496,'Draft Board'!$BJ$2:$BJ$87,"&lt;&gt;")</f>
        <v>0</v>
      </c>
      <c r="E496">
        <f>IFERROR(AVERAGEIFS('Draft Board'!$BI$2:$BI$87,'Draft Board'!$BC$2:$BC$87,A496),0)</f>
        <v>0</v>
      </c>
      <c r="F496">
        <f>MIN(1,E496/(Setup!$B$3*0.1))</f>
        <v>0</v>
      </c>
      <c r="G496">
        <f t="shared" si="15"/>
        <v>1</v>
      </c>
    </row>
    <row r="497" spans="1:7" x14ac:dyDescent="0.25">
      <c r="A497">
        <v>44</v>
      </c>
      <c r="B497">
        <f>SUMIFS('Draft Board'!$BJ$2:$BJ$87,'Draft Board'!$BC$2:$BC$87,A497,'Draft Board'!$BJ$2:$BJ$87,"&lt;&gt;")</f>
        <v>0</v>
      </c>
      <c r="C497">
        <f>SUMIFS('Draft Board'!$BI$2:$BI$87,'Draft Board'!$BC$2:$BC$87,A497,'Draft Board'!$BJ$2:$BJ$87,"&lt;&gt;")</f>
        <v>0</v>
      </c>
      <c r="D497">
        <f>COUNTIFS('Draft Board'!$BC$2:$BC$87,A497,'Draft Board'!$BJ$2:$BJ$87,"&lt;&gt;")</f>
        <v>0</v>
      </c>
      <c r="E497">
        <f>IFERROR(AVERAGEIFS('Draft Board'!$BI$2:$BI$87,'Draft Board'!$BC$2:$BC$87,A497),0)</f>
        <v>0</v>
      </c>
      <c r="F497">
        <f>MIN(1,E497/(Setup!$B$3*0.1))</f>
        <v>0</v>
      </c>
      <c r="G497">
        <f t="shared" si="15"/>
        <v>1</v>
      </c>
    </row>
    <row r="498" spans="1:7" x14ac:dyDescent="0.25">
      <c r="A498">
        <v>45</v>
      </c>
      <c r="B498">
        <f>SUMIFS('Draft Board'!$BJ$2:$BJ$87,'Draft Board'!$BC$2:$BC$87,A498,'Draft Board'!$BJ$2:$BJ$87,"&lt;&gt;")</f>
        <v>0</v>
      </c>
      <c r="C498">
        <f>SUMIFS('Draft Board'!$BI$2:$BI$87,'Draft Board'!$BC$2:$BC$87,A498,'Draft Board'!$BJ$2:$BJ$87,"&lt;&gt;")</f>
        <v>0</v>
      </c>
      <c r="D498">
        <f>COUNTIFS('Draft Board'!$BC$2:$BC$87,A498,'Draft Board'!$BJ$2:$BJ$87,"&lt;&gt;")</f>
        <v>0</v>
      </c>
      <c r="E498">
        <f>IFERROR(AVERAGEIFS('Draft Board'!$BI$2:$BI$87,'Draft Board'!$BC$2:$BC$87,A498),0)</f>
        <v>0</v>
      </c>
      <c r="F498">
        <f>MIN(1,E498/(Setup!$B$3*0.1))</f>
        <v>0</v>
      </c>
      <c r="G498">
        <f t="shared" si="15"/>
        <v>1</v>
      </c>
    </row>
    <row r="499" spans="1:7" x14ac:dyDescent="0.25">
      <c r="A499">
        <v>46</v>
      </c>
      <c r="B499">
        <f>SUMIFS('Draft Board'!$BJ$2:$BJ$87,'Draft Board'!$BC$2:$BC$87,A499,'Draft Board'!$BJ$2:$BJ$87,"&lt;&gt;")</f>
        <v>0</v>
      </c>
      <c r="C499">
        <f>SUMIFS('Draft Board'!$BI$2:$BI$87,'Draft Board'!$BC$2:$BC$87,A499,'Draft Board'!$BJ$2:$BJ$87,"&lt;&gt;")</f>
        <v>0</v>
      </c>
      <c r="D499">
        <f>COUNTIFS('Draft Board'!$BC$2:$BC$87,A499,'Draft Board'!$BJ$2:$BJ$87,"&lt;&gt;")</f>
        <v>0</v>
      </c>
      <c r="E499">
        <f>IFERROR(AVERAGEIFS('Draft Board'!$BI$2:$BI$87,'Draft Board'!$BC$2:$BC$87,A499),0)</f>
        <v>0</v>
      </c>
      <c r="F499">
        <f>MIN(1,E499/(Setup!$B$3*0.1))</f>
        <v>0</v>
      </c>
      <c r="G499">
        <f t="shared" si="15"/>
        <v>1</v>
      </c>
    </row>
    <row r="500" spans="1:7" x14ac:dyDescent="0.25">
      <c r="A500">
        <v>47</v>
      </c>
      <c r="B500">
        <f>SUMIFS('Draft Board'!$BJ$2:$BJ$87,'Draft Board'!$BC$2:$BC$87,A500,'Draft Board'!$BJ$2:$BJ$87,"&lt;&gt;")</f>
        <v>0</v>
      </c>
      <c r="C500">
        <f>SUMIFS('Draft Board'!$BI$2:$BI$87,'Draft Board'!$BC$2:$BC$87,A500,'Draft Board'!$BJ$2:$BJ$87,"&lt;&gt;")</f>
        <v>0</v>
      </c>
      <c r="D500">
        <f>COUNTIFS('Draft Board'!$BC$2:$BC$87,A500,'Draft Board'!$BJ$2:$BJ$87,"&lt;&gt;")</f>
        <v>0</v>
      </c>
      <c r="E500">
        <f>IFERROR(AVERAGEIFS('Draft Board'!$BI$2:$BI$87,'Draft Board'!$BC$2:$BC$87,A500),0)</f>
        <v>0</v>
      </c>
      <c r="F500">
        <f>MIN(1,E500/(Setup!$B$3*0.1))</f>
        <v>0</v>
      </c>
      <c r="G500">
        <f t="shared" si="15"/>
        <v>1</v>
      </c>
    </row>
    <row r="501" spans="1:7" x14ac:dyDescent="0.25">
      <c r="A501">
        <v>48</v>
      </c>
      <c r="B501">
        <f>SUMIFS('Draft Board'!$BJ$2:$BJ$87,'Draft Board'!$BC$2:$BC$87,A501,'Draft Board'!$BJ$2:$BJ$87,"&lt;&gt;")</f>
        <v>0</v>
      </c>
      <c r="C501">
        <f>SUMIFS('Draft Board'!$BI$2:$BI$87,'Draft Board'!$BC$2:$BC$87,A501,'Draft Board'!$BJ$2:$BJ$87,"&lt;&gt;")</f>
        <v>0</v>
      </c>
      <c r="D501">
        <f>COUNTIFS('Draft Board'!$BC$2:$BC$87,A501,'Draft Board'!$BJ$2:$BJ$87,"&lt;&gt;")</f>
        <v>0</v>
      </c>
      <c r="E501">
        <f>IFERROR(AVERAGEIFS('Draft Board'!$BI$2:$BI$87,'Draft Board'!$BC$2:$BC$87,A501),0)</f>
        <v>0</v>
      </c>
      <c r="F501">
        <f>MIN(1,E501/(Setup!$B$3*0.1))</f>
        <v>0</v>
      </c>
      <c r="G501">
        <f t="shared" si="15"/>
        <v>1</v>
      </c>
    </row>
    <row r="502" spans="1:7" x14ac:dyDescent="0.25">
      <c r="A502">
        <v>49</v>
      </c>
      <c r="B502">
        <f>SUMIFS('Draft Board'!$BJ$2:$BJ$87,'Draft Board'!$BC$2:$BC$87,A502,'Draft Board'!$BJ$2:$BJ$87,"&lt;&gt;")</f>
        <v>0</v>
      </c>
      <c r="C502">
        <f>SUMIFS('Draft Board'!$BI$2:$BI$87,'Draft Board'!$BC$2:$BC$87,A502,'Draft Board'!$BJ$2:$BJ$87,"&lt;&gt;")</f>
        <v>0</v>
      </c>
      <c r="D502">
        <f>COUNTIFS('Draft Board'!$BC$2:$BC$87,A502,'Draft Board'!$BJ$2:$BJ$87,"&lt;&gt;")</f>
        <v>0</v>
      </c>
      <c r="E502">
        <f>IFERROR(AVERAGEIFS('Draft Board'!$BI$2:$BI$87,'Draft Board'!$BC$2:$BC$87,A502),0)</f>
        <v>0</v>
      </c>
      <c r="F502">
        <f>MIN(1,E502/(Setup!$B$3*0.1))</f>
        <v>0</v>
      </c>
      <c r="G502">
        <f t="shared" si="15"/>
        <v>1</v>
      </c>
    </row>
    <row r="503" spans="1:7" x14ac:dyDescent="0.25">
      <c r="A503">
        <v>50</v>
      </c>
      <c r="B503">
        <f>SUMIFS('Draft Board'!$BJ$2:$BJ$87,'Draft Board'!$BC$2:$BC$87,A503,'Draft Board'!$BJ$2:$BJ$87,"&lt;&gt;")</f>
        <v>0</v>
      </c>
      <c r="C503">
        <f>SUMIFS('Draft Board'!$BI$2:$BI$87,'Draft Board'!$BC$2:$BC$87,A503,'Draft Board'!$BJ$2:$BJ$87,"&lt;&gt;")</f>
        <v>0</v>
      </c>
      <c r="D503">
        <f>COUNTIFS('Draft Board'!$BC$2:$BC$87,A503,'Draft Board'!$BJ$2:$BJ$87,"&lt;&gt;")</f>
        <v>0</v>
      </c>
      <c r="E503">
        <f>IFERROR(AVERAGEIFS('Draft Board'!$BI$2:$BI$87,'Draft Board'!$BC$2:$BC$87,A503),0)</f>
        <v>0</v>
      </c>
      <c r="F503">
        <f>MIN(1,E503/(Setup!$B$3*0.1))</f>
        <v>0</v>
      </c>
      <c r="G503">
        <f t="shared" si="15"/>
        <v>1</v>
      </c>
    </row>
    <row r="504" spans="1:7" x14ac:dyDescent="0.25">
      <c r="A504">
        <v>51</v>
      </c>
      <c r="B504">
        <f>SUMIFS('Draft Board'!$BJ$2:$BJ$87,'Draft Board'!$BC$2:$BC$87,A504,'Draft Board'!$BJ$2:$BJ$87,"&lt;&gt;")</f>
        <v>0</v>
      </c>
      <c r="C504">
        <f>SUMIFS('Draft Board'!$BI$2:$BI$87,'Draft Board'!$BC$2:$BC$87,A504,'Draft Board'!$BJ$2:$BJ$87,"&lt;&gt;")</f>
        <v>0</v>
      </c>
      <c r="D504">
        <f>COUNTIFS('Draft Board'!$BC$2:$BC$87,A504,'Draft Board'!$BJ$2:$BJ$87,"&lt;&gt;")</f>
        <v>0</v>
      </c>
      <c r="E504">
        <f>IFERROR(AVERAGEIFS('Draft Board'!$BI$2:$BI$87,'Draft Board'!$BC$2:$BC$87,A504),0)</f>
        <v>0</v>
      </c>
      <c r="F504">
        <f>MIN(1,E504/(Setup!$B$3*0.1))</f>
        <v>0</v>
      </c>
      <c r="G504">
        <f t="shared" si="15"/>
        <v>1</v>
      </c>
    </row>
    <row r="505" spans="1:7" x14ac:dyDescent="0.25">
      <c r="A505">
        <v>52</v>
      </c>
      <c r="B505">
        <f>SUMIFS('Draft Board'!$BJ$2:$BJ$87,'Draft Board'!$BC$2:$BC$87,A505,'Draft Board'!$BJ$2:$BJ$87,"&lt;&gt;")</f>
        <v>0</v>
      </c>
      <c r="C505">
        <f>SUMIFS('Draft Board'!$BI$2:$BI$87,'Draft Board'!$BC$2:$BC$87,A505,'Draft Board'!$BJ$2:$BJ$87,"&lt;&gt;")</f>
        <v>0</v>
      </c>
      <c r="D505">
        <f>COUNTIFS('Draft Board'!$BC$2:$BC$87,A505,'Draft Board'!$BJ$2:$BJ$87,"&lt;&gt;")</f>
        <v>0</v>
      </c>
      <c r="E505">
        <f>IFERROR(AVERAGEIFS('Draft Board'!$BI$2:$BI$87,'Draft Board'!$BC$2:$BC$87,A505),0)</f>
        <v>0</v>
      </c>
      <c r="F505">
        <f>MIN(1,E505/(Setup!$B$3*0.1))</f>
        <v>0</v>
      </c>
      <c r="G505">
        <f t="shared" si="15"/>
        <v>1</v>
      </c>
    </row>
    <row r="506" spans="1:7" x14ac:dyDescent="0.25">
      <c r="A506">
        <v>53</v>
      </c>
      <c r="B506">
        <f>SUMIFS('Draft Board'!$BJ$2:$BJ$87,'Draft Board'!$BC$2:$BC$87,A506,'Draft Board'!$BJ$2:$BJ$87,"&lt;&gt;")</f>
        <v>0</v>
      </c>
      <c r="C506">
        <f>SUMIFS('Draft Board'!$BI$2:$BI$87,'Draft Board'!$BC$2:$BC$87,A506,'Draft Board'!$BJ$2:$BJ$87,"&lt;&gt;")</f>
        <v>0</v>
      </c>
      <c r="D506">
        <f>COUNTIFS('Draft Board'!$BC$2:$BC$87,A506,'Draft Board'!$BJ$2:$BJ$87,"&lt;&gt;")</f>
        <v>0</v>
      </c>
      <c r="E506">
        <f>IFERROR(AVERAGEIFS('Draft Board'!$BI$2:$BI$87,'Draft Board'!$BC$2:$BC$87,A506),0)</f>
        <v>0</v>
      </c>
      <c r="F506">
        <f>MIN(1,E506/(Setup!$B$3*0.1))</f>
        <v>0</v>
      </c>
      <c r="G506">
        <f t="shared" si="15"/>
        <v>1</v>
      </c>
    </row>
    <row r="507" spans="1:7" x14ac:dyDescent="0.25">
      <c r="A507">
        <v>54</v>
      </c>
      <c r="B507">
        <f>SUMIFS('Draft Board'!$BJ$2:$BJ$87,'Draft Board'!$BC$2:$BC$87,A507,'Draft Board'!$BJ$2:$BJ$87,"&lt;&gt;")</f>
        <v>0</v>
      </c>
      <c r="C507">
        <f>SUMIFS('Draft Board'!$BI$2:$BI$87,'Draft Board'!$BC$2:$BC$87,A507,'Draft Board'!$BJ$2:$BJ$87,"&lt;&gt;")</f>
        <v>0</v>
      </c>
      <c r="D507">
        <f>COUNTIFS('Draft Board'!$BC$2:$BC$87,A507,'Draft Board'!$BJ$2:$BJ$87,"&lt;&gt;")</f>
        <v>0</v>
      </c>
      <c r="E507">
        <f>IFERROR(AVERAGEIFS('Draft Board'!$BI$2:$BI$87,'Draft Board'!$BC$2:$BC$87,A507),0)</f>
        <v>0</v>
      </c>
      <c r="F507">
        <f>MIN(1,E507/(Setup!$B$3*0.1))</f>
        <v>0</v>
      </c>
      <c r="G507">
        <f t="shared" si="15"/>
        <v>1</v>
      </c>
    </row>
    <row r="508" spans="1:7" x14ac:dyDescent="0.25">
      <c r="A508">
        <v>55</v>
      </c>
      <c r="B508">
        <f>SUMIFS('Draft Board'!$BJ$2:$BJ$87,'Draft Board'!$BC$2:$BC$87,A508,'Draft Board'!$BJ$2:$BJ$87,"&lt;&gt;")</f>
        <v>0</v>
      </c>
      <c r="C508">
        <f>SUMIFS('Draft Board'!$BI$2:$BI$87,'Draft Board'!$BC$2:$BC$87,A508,'Draft Board'!$BJ$2:$BJ$87,"&lt;&gt;")</f>
        <v>0</v>
      </c>
      <c r="D508">
        <f>COUNTIFS('Draft Board'!$BC$2:$BC$87,A508,'Draft Board'!$BJ$2:$BJ$87,"&lt;&gt;")</f>
        <v>0</v>
      </c>
      <c r="E508">
        <f>IFERROR(AVERAGEIFS('Draft Board'!$BI$2:$BI$87,'Draft Board'!$BC$2:$BC$87,A508),0)</f>
        <v>0</v>
      </c>
      <c r="F508">
        <f>MIN(1,E508/(Setup!$B$3*0.1))</f>
        <v>0</v>
      </c>
      <c r="G508">
        <f t="shared" si="15"/>
        <v>1</v>
      </c>
    </row>
    <row r="509" spans="1:7" x14ac:dyDescent="0.25">
      <c r="A509">
        <v>56</v>
      </c>
      <c r="B509">
        <f>SUMIFS('Draft Board'!$BJ$2:$BJ$87,'Draft Board'!$BC$2:$BC$87,A509,'Draft Board'!$BJ$2:$BJ$87,"&lt;&gt;")</f>
        <v>0</v>
      </c>
      <c r="C509">
        <f>SUMIFS('Draft Board'!$BI$2:$BI$87,'Draft Board'!$BC$2:$BC$87,A509,'Draft Board'!$BJ$2:$BJ$87,"&lt;&gt;")</f>
        <v>0</v>
      </c>
      <c r="D509">
        <f>COUNTIFS('Draft Board'!$BC$2:$BC$87,A509,'Draft Board'!$BJ$2:$BJ$87,"&lt;&gt;")</f>
        <v>0</v>
      </c>
      <c r="E509">
        <f>IFERROR(AVERAGEIFS('Draft Board'!$BI$2:$BI$87,'Draft Board'!$BC$2:$BC$87,A509),0)</f>
        <v>0</v>
      </c>
      <c r="F509">
        <f>MIN(1,E509/(Setup!$B$3*0.1))</f>
        <v>0</v>
      </c>
      <c r="G509">
        <f t="shared" si="15"/>
        <v>1</v>
      </c>
    </row>
    <row r="510" spans="1:7" x14ac:dyDescent="0.25">
      <c r="A510">
        <v>57</v>
      </c>
      <c r="B510">
        <f>SUMIFS('Draft Board'!$BJ$2:$BJ$87,'Draft Board'!$BC$2:$BC$87,A510,'Draft Board'!$BJ$2:$BJ$87,"&lt;&gt;")</f>
        <v>0</v>
      </c>
      <c r="C510">
        <f>SUMIFS('Draft Board'!$BI$2:$BI$87,'Draft Board'!$BC$2:$BC$87,A510,'Draft Board'!$BJ$2:$BJ$87,"&lt;&gt;")</f>
        <v>0</v>
      </c>
      <c r="D510">
        <f>COUNTIFS('Draft Board'!$BC$2:$BC$87,A510,'Draft Board'!$BJ$2:$BJ$87,"&lt;&gt;")</f>
        <v>0</v>
      </c>
      <c r="E510">
        <f>IFERROR(AVERAGEIFS('Draft Board'!$BI$2:$BI$87,'Draft Board'!$BC$2:$BC$87,A510),0)</f>
        <v>0</v>
      </c>
      <c r="F510">
        <f>MIN(1,E510/(Setup!$B$3*0.1))</f>
        <v>0</v>
      </c>
      <c r="G510">
        <f t="shared" si="15"/>
        <v>1</v>
      </c>
    </row>
    <row r="511" spans="1:7" x14ac:dyDescent="0.25">
      <c r="A511">
        <v>58</v>
      </c>
      <c r="B511">
        <f>SUMIFS('Draft Board'!$BJ$2:$BJ$87,'Draft Board'!$BC$2:$BC$87,A511,'Draft Board'!$BJ$2:$BJ$87,"&lt;&gt;")</f>
        <v>0</v>
      </c>
      <c r="C511">
        <f>SUMIFS('Draft Board'!$BI$2:$BI$87,'Draft Board'!$BC$2:$BC$87,A511,'Draft Board'!$BJ$2:$BJ$87,"&lt;&gt;")</f>
        <v>0</v>
      </c>
      <c r="D511">
        <f>COUNTIFS('Draft Board'!$BC$2:$BC$87,A511,'Draft Board'!$BJ$2:$BJ$87,"&lt;&gt;")</f>
        <v>0</v>
      </c>
      <c r="E511">
        <f>IFERROR(AVERAGEIFS('Draft Board'!$BI$2:$BI$87,'Draft Board'!$BC$2:$BC$87,A511),0)</f>
        <v>0</v>
      </c>
      <c r="F511">
        <f>MIN(1,E511/(Setup!$B$3*0.1))</f>
        <v>0</v>
      </c>
      <c r="G511">
        <f t="shared" si="15"/>
        <v>1</v>
      </c>
    </row>
    <row r="512" spans="1:7" x14ac:dyDescent="0.25">
      <c r="A512">
        <v>59</v>
      </c>
      <c r="B512">
        <f>SUMIFS('Draft Board'!$BJ$2:$BJ$87,'Draft Board'!$BC$2:$BC$87,A512,'Draft Board'!$BJ$2:$BJ$87,"&lt;&gt;")</f>
        <v>0</v>
      </c>
      <c r="C512">
        <f>SUMIFS('Draft Board'!$BI$2:$BI$87,'Draft Board'!$BC$2:$BC$87,A512,'Draft Board'!$BJ$2:$BJ$87,"&lt;&gt;")</f>
        <v>0</v>
      </c>
      <c r="D512">
        <f>COUNTIFS('Draft Board'!$BC$2:$BC$87,A512,'Draft Board'!$BJ$2:$BJ$87,"&lt;&gt;")</f>
        <v>0</v>
      </c>
      <c r="E512">
        <f>IFERROR(AVERAGEIFS('Draft Board'!$BI$2:$BI$87,'Draft Board'!$BC$2:$BC$87,A512),0)</f>
        <v>0</v>
      </c>
      <c r="F512">
        <f>MIN(1,E512/(Setup!$B$3*0.1))</f>
        <v>0</v>
      </c>
      <c r="G512">
        <f t="shared" si="15"/>
        <v>1</v>
      </c>
    </row>
    <row r="513" spans="1:7" x14ac:dyDescent="0.25">
      <c r="A513">
        <v>60</v>
      </c>
      <c r="B513">
        <f>SUMIFS('Draft Board'!$BJ$2:$BJ$87,'Draft Board'!$BC$2:$BC$87,A513,'Draft Board'!$BJ$2:$BJ$87,"&lt;&gt;")</f>
        <v>0</v>
      </c>
      <c r="C513">
        <f>SUMIFS('Draft Board'!$BI$2:$BI$87,'Draft Board'!$BC$2:$BC$87,A513,'Draft Board'!$BJ$2:$BJ$87,"&lt;&gt;")</f>
        <v>0</v>
      </c>
      <c r="D513">
        <f>COUNTIFS('Draft Board'!$BC$2:$BC$87,A513,'Draft Board'!$BJ$2:$BJ$87,"&lt;&gt;")</f>
        <v>0</v>
      </c>
      <c r="E513">
        <f>IFERROR(AVERAGEIFS('Draft Board'!$BI$2:$BI$87,'Draft Board'!$BC$2:$BC$87,A513),0)</f>
        <v>0</v>
      </c>
      <c r="F513">
        <f>MIN(1,E513/(Setup!$B$3*0.1))</f>
        <v>0</v>
      </c>
      <c r="G513">
        <f t="shared" si="15"/>
        <v>1</v>
      </c>
    </row>
    <row r="514" spans="1:7" x14ac:dyDescent="0.25">
      <c r="A514">
        <v>61</v>
      </c>
      <c r="B514">
        <f>SUMIFS('Draft Board'!$BJ$2:$BJ$87,'Draft Board'!$BC$2:$BC$87,A514,'Draft Board'!$BJ$2:$BJ$87,"&lt;&gt;")</f>
        <v>0</v>
      </c>
      <c r="C514">
        <f>SUMIFS('Draft Board'!$BI$2:$BI$87,'Draft Board'!$BC$2:$BC$87,A514,'Draft Board'!$BJ$2:$BJ$87,"&lt;&gt;")</f>
        <v>0</v>
      </c>
      <c r="D514">
        <f>COUNTIFS('Draft Board'!$BC$2:$BC$87,A514,'Draft Board'!$BJ$2:$BJ$87,"&lt;&gt;")</f>
        <v>0</v>
      </c>
      <c r="E514">
        <f>IFERROR(AVERAGEIFS('Draft Board'!$BI$2:$BI$87,'Draft Board'!$BC$2:$BC$87,A514),0)</f>
        <v>0</v>
      </c>
      <c r="F514">
        <f>MIN(1,E514/(Setup!$B$3*0.1))</f>
        <v>0</v>
      </c>
      <c r="G514">
        <f t="shared" si="15"/>
        <v>1</v>
      </c>
    </row>
    <row r="515" spans="1:7" x14ac:dyDescent="0.25">
      <c r="A515">
        <v>62</v>
      </c>
      <c r="B515">
        <f>SUMIFS('Draft Board'!$BJ$2:$BJ$87,'Draft Board'!$BC$2:$BC$87,A515,'Draft Board'!$BJ$2:$BJ$87,"&lt;&gt;")</f>
        <v>0</v>
      </c>
      <c r="C515">
        <f>SUMIFS('Draft Board'!$BI$2:$BI$87,'Draft Board'!$BC$2:$BC$87,A515,'Draft Board'!$BJ$2:$BJ$87,"&lt;&gt;")</f>
        <v>0</v>
      </c>
      <c r="D515">
        <f>COUNTIFS('Draft Board'!$BC$2:$BC$87,A515,'Draft Board'!$BJ$2:$BJ$87,"&lt;&gt;")</f>
        <v>0</v>
      </c>
      <c r="E515">
        <f>IFERROR(AVERAGEIFS('Draft Board'!$BI$2:$BI$87,'Draft Board'!$BC$2:$BC$87,A515),0)</f>
        <v>0</v>
      </c>
      <c r="F515">
        <f>MIN(1,E515/(Setup!$B$3*0.1))</f>
        <v>0</v>
      </c>
      <c r="G515">
        <f t="shared" si="15"/>
        <v>1</v>
      </c>
    </row>
    <row r="516" spans="1:7" x14ac:dyDescent="0.25">
      <c r="A516">
        <v>63</v>
      </c>
      <c r="B516">
        <f>SUMIFS('Draft Board'!$BJ$2:$BJ$87,'Draft Board'!$BC$2:$BC$87,A516,'Draft Board'!$BJ$2:$BJ$87,"&lt;&gt;")</f>
        <v>0</v>
      </c>
      <c r="C516">
        <f>SUMIFS('Draft Board'!$BI$2:$BI$87,'Draft Board'!$BC$2:$BC$87,A516,'Draft Board'!$BJ$2:$BJ$87,"&lt;&gt;")</f>
        <v>0</v>
      </c>
      <c r="D516">
        <f>COUNTIFS('Draft Board'!$BC$2:$BC$87,A516,'Draft Board'!$BJ$2:$BJ$87,"&lt;&gt;")</f>
        <v>0</v>
      </c>
      <c r="E516">
        <f>IFERROR(AVERAGEIFS('Draft Board'!$BI$2:$BI$87,'Draft Board'!$BC$2:$BC$87,A516),0)</f>
        <v>0</v>
      </c>
      <c r="F516">
        <f>MIN(1,E516/(Setup!$B$3*0.1))</f>
        <v>0</v>
      </c>
      <c r="G516">
        <f t="shared" si="15"/>
        <v>1</v>
      </c>
    </row>
    <row r="517" spans="1:7" x14ac:dyDescent="0.25">
      <c r="A517">
        <v>64</v>
      </c>
      <c r="B517">
        <f>SUMIFS('Draft Board'!$BJ$2:$BJ$87,'Draft Board'!$BC$2:$BC$87,A517,'Draft Board'!$BJ$2:$BJ$87,"&lt;&gt;")</f>
        <v>0</v>
      </c>
      <c r="C517">
        <f>SUMIFS('Draft Board'!$BI$2:$BI$87,'Draft Board'!$BC$2:$BC$87,A517,'Draft Board'!$BJ$2:$BJ$87,"&lt;&gt;")</f>
        <v>0</v>
      </c>
      <c r="D517">
        <f>COUNTIFS('Draft Board'!$BC$2:$BC$87,A517,'Draft Board'!$BJ$2:$BJ$87,"&lt;&gt;")</f>
        <v>0</v>
      </c>
      <c r="E517">
        <f>IFERROR(AVERAGEIFS('Draft Board'!$BI$2:$BI$87,'Draft Board'!$BC$2:$BC$87,A517),0)</f>
        <v>0</v>
      </c>
      <c r="F517">
        <f>MIN(1,E517/(Setup!$B$3*0.1))</f>
        <v>0</v>
      </c>
      <c r="G517">
        <f t="shared" si="15"/>
        <v>1</v>
      </c>
    </row>
    <row r="518" spans="1:7" x14ac:dyDescent="0.25">
      <c r="A518">
        <v>65</v>
      </c>
      <c r="B518">
        <f>SUMIFS('Draft Board'!$BJ$2:$BJ$87,'Draft Board'!$BC$2:$BC$87,A518,'Draft Board'!$BJ$2:$BJ$87,"&lt;&gt;")</f>
        <v>0</v>
      </c>
      <c r="C518">
        <f>SUMIFS('Draft Board'!$BI$2:$BI$87,'Draft Board'!$BC$2:$BC$87,A518,'Draft Board'!$BJ$2:$BJ$87,"&lt;&gt;")</f>
        <v>0</v>
      </c>
      <c r="D518">
        <f>COUNTIFS('Draft Board'!$BC$2:$BC$87,A518,'Draft Board'!$BJ$2:$BJ$87,"&lt;&gt;")</f>
        <v>0</v>
      </c>
      <c r="E518">
        <f>IFERROR(AVERAGEIFS('Draft Board'!$BI$2:$BI$87,'Draft Board'!$BC$2:$BC$87,A518),0)</f>
        <v>0</v>
      </c>
      <c r="F518">
        <f>MIN(1,E518/(Setup!$B$3*0.1))</f>
        <v>0</v>
      </c>
      <c r="G518">
        <f t="shared" ref="G518:G549" si="16">IF(D518&lt;2,1,MEDIAN(0.5,2,1+(IFERROR(B518/C518,1)-1)*F518))</f>
        <v>1</v>
      </c>
    </row>
    <row r="519" spans="1:7" x14ac:dyDescent="0.25">
      <c r="A519">
        <v>66</v>
      </c>
      <c r="B519">
        <f>SUMIFS('Draft Board'!$BJ$2:$BJ$87,'Draft Board'!$BC$2:$BC$87,A519,'Draft Board'!$BJ$2:$BJ$87,"&lt;&gt;")</f>
        <v>0</v>
      </c>
      <c r="C519">
        <f>SUMIFS('Draft Board'!$BI$2:$BI$87,'Draft Board'!$BC$2:$BC$87,A519,'Draft Board'!$BJ$2:$BJ$87,"&lt;&gt;")</f>
        <v>0</v>
      </c>
      <c r="D519">
        <f>COUNTIFS('Draft Board'!$BC$2:$BC$87,A519,'Draft Board'!$BJ$2:$BJ$87,"&lt;&gt;")</f>
        <v>0</v>
      </c>
      <c r="E519">
        <f>IFERROR(AVERAGEIFS('Draft Board'!$BI$2:$BI$87,'Draft Board'!$BC$2:$BC$87,A519),0)</f>
        <v>0</v>
      </c>
      <c r="F519">
        <f>MIN(1,E519/(Setup!$B$3*0.1))</f>
        <v>0</v>
      </c>
      <c r="G519">
        <f t="shared" si="16"/>
        <v>1</v>
      </c>
    </row>
    <row r="520" spans="1:7" x14ac:dyDescent="0.25">
      <c r="A520">
        <v>67</v>
      </c>
      <c r="B520">
        <f>SUMIFS('Draft Board'!$BJ$2:$BJ$87,'Draft Board'!$BC$2:$BC$87,A520,'Draft Board'!$BJ$2:$BJ$87,"&lt;&gt;")</f>
        <v>0</v>
      </c>
      <c r="C520">
        <f>SUMIFS('Draft Board'!$BI$2:$BI$87,'Draft Board'!$BC$2:$BC$87,A520,'Draft Board'!$BJ$2:$BJ$87,"&lt;&gt;")</f>
        <v>0</v>
      </c>
      <c r="D520">
        <f>COUNTIFS('Draft Board'!$BC$2:$BC$87,A520,'Draft Board'!$BJ$2:$BJ$87,"&lt;&gt;")</f>
        <v>0</v>
      </c>
      <c r="E520">
        <f>IFERROR(AVERAGEIFS('Draft Board'!$BI$2:$BI$87,'Draft Board'!$BC$2:$BC$87,A520),0)</f>
        <v>0</v>
      </c>
      <c r="F520">
        <f>MIN(1,E520/(Setup!$B$3*0.1))</f>
        <v>0</v>
      </c>
      <c r="G520">
        <f t="shared" si="16"/>
        <v>1</v>
      </c>
    </row>
    <row r="521" spans="1:7" x14ac:dyDescent="0.25">
      <c r="A521">
        <v>68</v>
      </c>
      <c r="B521">
        <f>SUMIFS('Draft Board'!$BJ$2:$BJ$87,'Draft Board'!$BC$2:$BC$87,A521,'Draft Board'!$BJ$2:$BJ$87,"&lt;&gt;")</f>
        <v>0</v>
      </c>
      <c r="C521">
        <f>SUMIFS('Draft Board'!$BI$2:$BI$87,'Draft Board'!$BC$2:$BC$87,A521,'Draft Board'!$BJ$2:$BJ$87,"&lt;&gt;")</f>
        <v>0</v>
      </c>
      <c r="D521">
        <f>COUNTIFS('Draft Board'!$BC$2:$BC$87,A521,'Draft Board'!$BJ$2:$BJ$87,"&lt;&gt;")</f>
        <v>0</v>
      </c>
      <c r="E521">
        <f>IFERROR(AVERAGEIFS('Draft Board'!$BI$2:$BI$87,'Draft Board'!$BC$2:$BC$87,A521),0)</f>
        <v>0</v>
      </c>
      <c r="F521">
        <f>MIN(1,E521/(Setup!$B$3*0.1))</f>
        <v>0</v>
      </c>
      <c r="G521">
        <f t="shared" si="16"/>
        <v>1</v>
      </c>
    </row>
    <row r="522" spans="1:7" x14ac:dyDescent="0.25">
      <c r="A522">
        <v>69</v>
      </c>
      <c r="B522">
        <f>SUMIFS('Draft Board'!$BJ$2:$BJ$87,'Draft Board'!$BC$2:$BC$87,A522,'Draft Board'!$BJ$2:$BJ$87,"&lt;&gt;")</f>
        <v>0</v>
      </c>
      <c r="C522">
        <f>SUMIFS('Draft Board'!$BI$2:$BI$87,'Draft Board'!$BC$2:$BC$87,A522,'Draft Board'!$BJ$2:$BJ$87,"&lt;&gt;")</f>
        <v>0</v>
      </c>
      <c r="D522">
        <f>COUNTIFS('Draft Board'!$BC$2:$BC$87,A522,'Draft Board'!$BJ$2:$BJ$87,"&lt;&gt;")</f>
        <v>0</v>
      </c>
      <c r="E522">
        <f>IFERROR(AVERAGEIFS('Draft Board'!$BI$2:$BI$87,'Draft Board'!$BC$2:$BC$87,A522),0)</f>
        <v>0</v>
      </c>
      <c r="F522">
        <f>MIN(1,E522/(Setup!$B$3*0.1))</f>
        <v>0</v>
      </c>
      <c r="G522">
        <f t="shared" si="16"/>
        <v>1</v>
      </c>
    </row>
    <row r="523" spans="1:7" x14ac:dyDescent="0.25">
      <c r="A523">
        <v>70</v>
      </c>
      <c r="B523">
        <f>SUMIFS('Draft Board'!$BJ$2:$BJ$87,'Draft Board'!$BC$2:$BC$87,A523,'Draft Board'!$BJ$2:$BJ$87,"&lt;&gt;")</f>
        <v>0</v>
      </c>
      <c r="C523">
        <f>SUMIFS('Draft Board'!$BI$2:$BI$87,'Draft Board'!$BC$2:$BC$87,A523,'Draft Board'!$BJ$2:$BJ$87,"&lt;&gt;")</f>
        <v>0</v>
      </c>
      <c r="D523">
        <f>COUNTIFS('Draft Board'!$BC$2:$BC$87,A523,'Draft Board'!$BJ$2:$BJ$87,"&lt;&gt;")</f>
        <v>0</v>
      </c>
      <c r="E523">
        <f>IFERROR(AVERAGEIFS('Draft Board'!$BI$2:$BI$87,'Draft Board'!$BC$2:$BC$87,A523),0)</f>
        <v>0</v>
      </c>
      <c r="F523">
        <f>MIN(1,E523/(Setup!$B$3*0.1))</f>
        <v>0</v>
      </c>
      <c r="G523">
        <f t="shared" si="16"/>
        <v>1</v>
      </c>
    </row>
    <row r="524" spans="1:7" x14ac:dyDescent="0.25">
      <c r="A524">
        <v>71</v>
      </c>
      <c r="B524">
        <f>SUMIFS('Draft Board'!$BJ$2:$BJ$87,'Draft Board'!$BC$2:$BC$87,A524,'Draft Board'!$BJ$2:$BJ$87,"&lt;&gt;")</f>
        <v>0</v>
      </c>
      <c r="C524">
        <f>SUMIFS('Draft Board'!$BI$2:$BI$87,'Draft Board'!$BC$2:$BC$87,A524,'Draft Board'!$BJ$2:$BJ$87,"&lt;&gt;")</f>
        <v>0</v>
      </c>
      <c r="D524">
        <f>COUNTIFS('Draft Board'!$BC$2:$BC$87,A524,'Draft Board'!$BJ$2:$BJ$87,"&lt;&gt;")</f>
        <v>0</v>
      </c>
      <c r="E524">
        <f>IFERROR(AVERAGEIFS('Draft Board'!$BI$2:$BI$87,'Draft Board'!$BC$2:$BC$87,A524),0)</f>
        <v>0</v>
      </c>
      <c r="F524">
        <f>MIN(1,E524/(Setup!$B$3*0.1))</f>
        <v>0</v>
      </c>
      <c r="G524">
        <f t="shared" si="16"/>
        <v>1</v>
      </c>
    </row>
    <row r="525" spans="1:7" x14ac:dyDescent="0.25">
      <c r="A525">
        <v>72</v>
      </c>
      <c r="B525">
        <f>SUMIFS('Draft Board'!$BJ$2:$BJ$87,'Draft Board'!$BC$2:$BC$87,A525,'Draft Board'!$BJ$2:$BJ$87,"&lt;&gt;")</f>
        <v>0</v>
      </c>
      <c r="C525">
        <f>SUMIFS('Draft Board'!$BI$2:$BI$87,'Draft Board'!$BC$2:$BC$87,A525,'Draft Board'!$BJ$2:$BJ$87,"&lt;&gt;")</f>
        <v>0</v>
      </c>
      <c r="D525">
        <f>COUNTIFS('Draft Board'!$BC$2:$BC$87,A525,'Draft Board'!$BJ$2:$BJ$87,"&lt;&gt;")</f>
        <v>0</v>
      </c>
      <c r="E525">
        <f>IFERROR(AVERAGEIFS('Draft Board'!$BI$2:$BI$87,'Draft Board'!$BC$2:$BC$87,A525),0)</f>
        <v>0</v>
      </c>
      <c r="F525">
        <f>MIN(1,E525/(Setup!$B$3*0.1))</f>
        <v>0</v>
      </c>
      <c r="G525">
        <f t="shared" si="16"/>
        <v>1</v>
      </c>
    </row>
    <row r="526" spans="1:7" x14ac:dyDescent="0.25">
      <c r="A526">
        <v>73</v>
      </c>
      <c r="B526">
        <f>SUMIFS('Draft Board'!$BJ$2:$BJ$87,'Draft Board'!$BC$2:$BC$87,A526,'Draft Board'!$BJ$2:$BJ$87,"&lt;&gt;")</f>
        <v>0</v>
      </c>
      <c r="C526">
        <f>SUMIFS('Draft Board'!$BI$2:$BI$87,'Draft Board'!$BC$2:$BC$87,A526,'Draft Board'!$BJ$2:$BJ$87,"&lt;&gt;")</f>
        <v>0</v>
      </c>
      <c r="D526">
        <f>COUNTIFS('Draft Board'!$BC$2:$BC$87,A526,'Draft Board'!$BJ$2:$BJ$87,"&lt;&gt;")</f>
        <v>0</v>
      </c>
      <c r="E526">
        <f>IFERROR(AVERAGEIFS('Draft Board'!$BI$2:$BI$87,'Draft Board'!$BC$2:$BC$87,A526),0)</f>
        <v>0</v>
      </c>
      <c r="F526">
        <f>MIN(1,E526/(Setup!$B$3*0.1))</f>
        <v>0</v>
      </c>
      <c r="G526">
        <f t="shared" si="16"/>
        <v>1</v>
      </c>
    </row>
    <row r="527" spans="1:7" x14ac:dyDescent="0.25">
      <c r="A527">
        <v>74</v>
      </c>
      <c r="B527">
        <f>SUMIFS('Draft Board'!$BJ$2:$BJ$87,'Draft Board'!$BC$2:$BC$87,A527,'Draft Board'!$BJ$2:$BJ$87,"&lt;&gt;")</f>
        <v>0</v>
      </c>
      <c r="C527">
        <f>SUMIFS('Draft Board'!$BI$2:$BI$87,'Draft Board'!$BC$2:$BC$87,A527,'Draft Board'!$BJ$2:$BJ$87,"&lt;&gt;")</f>
        <v>0</v>
      </c>
      <c r="D527">
        <f>COUNTIFS('Draft Board'!$BC$2:$BC$87,A527,'Draft Board'!$BJ$2:$BJ$87,"&lt;&gt;")</f>
        <v>0</v>
      </c>
      <c r="E527">
        <f>IFERROR(AVERAGEIFS('Draft Board'!$BI$2:$BI$87,'Draft Board'!$BC$2:$BC$87,A527),0)</f>
        <v>0</v>
      </c>
      <c r="F527">
        <f>MIN(1,E527/(Setup!$B$3*0.1))</f>
        <v>0</v>
      </c>
      <c r="G527">
        <f t="shared" si="16"/>
        <v>1</v>
      </c>
    </row>
    <row r="528" spans="1:7" x14ac:dyDescent="0.25">
      <c r="A528">
        <v>75</v>
      </c>
      <c r="B528">
        <f>SUMIFS('Draft Board'!$BJ$2:$BJ$87,'Draft Board'!$BC$2:$BC$87,A528,'Draft Board'!$BJ$2:$BJ$87,"&lt;&gt;")</f>
        <v>0</v>
      </c>
      <c r="C528">
        <f>SUMIFS('Draft Board'!$BI$2:$BI$87,'Draft Board'!$BC$2:$BC$87,A528,'Draft Board'!$BJ$2:$BJ$87,"&lt;&gt;")</f>
        <v>0</v>
      </c>
      <c r="D528">
        <f>COUNTIFS('Draft Board'!$BC$2:$BC$87,A528,'Draft Board'!$BJ$2:$BJ$87,"&lt;&gt;")</f>
        <v>0</v>
      </c>
      <c r="E528">
        <f>IFERROR(AVERAGEIFS('Draft Board'!$BI$2:$BI$87,'Draft Board'!$BC$2:$BC$87,A528),0)</f>
        <v>0</v>
      </c>
      <c r="F528">
        <f>MIN(1,E528/(Setup!$B$3*0.1))</f>
        <v>0</v>
      </c>
      <c r="G528">
        <f t="shared" si="16"/>
        <v>1</v>
      </c>
    </row>
    <row r="529" spans="1:10" x14ac:dyDescent="0.25">
      <c r="A529">
        <v>76</v>
      </c>
      <c r="B529">
        <f>SUMIFS('Draft Board'!$BJ$2:$BJ$87,'Draft Board'!$BC$2:$BC$87,A529,'Draft Board'!$BJ$2:$BJ$87,"&lt;&gt;")</f>
        <v>0</v>
      </c>
      <c r="C529">
        <f>SUMIFS('Draft Board'!$BI$2:$BI$87,'Draft Board'!$BC$2:$BC$87,A529,'Draft Board'!$BJ$2:$BJ$87,"&lt;&gt;")</f>
        <v>0</v>
      </c>
      <c r="D529">
        <f>COUNTIFS('Draft Board'!$BC$2:$BC$87,A529,'Draft Board'!$BJ$2:$BJ$87,"&lt;&gt;")</f>
        <v>0</v>
      </c>
      <c r="E529">
        <f>IFERROR(AVERAGEIFS('Draft Board'!$BI$2:$BI$87,'Draft Board'!$BC$2:$BC$87,A529),0)</f>
        <v>0</v>
      </c>
      <c r="F529">
        <f>MIN(1,E529/(Setup!$B$3*0.1))</f>
        <v>0</v>
      </c>
      <c r="G529">
        <f t="shared" si="16"/>
        <v>1</v>
      </c>
    </row>
    <row r="530" spans="1:10" x14ac:dyDescent="0.25">
      <c r="A530">
        <v>77</v>
      </c>
      <c r="B530">
        <f>SUMIFS('Draft Board'!$BJ$2:$BJ$87,'Draft Board'!$BC$2:$BC$87,A530,'Draft Board'!$BJ$2:$BJ$87,"&lt;&gt;")</f>
        <v>0</v>
      </c>
      <c r="C530">
        <f>SUMIFS('Draft Board'!$BI$2:$BI$87,'Draft Board'!$BC$2:$BC$87,A530,'Draft Board'!$BJ$2:$BJ$87,"&lt;&gt;")</f>
        <v>0</v>
      </c>
      <c r="D530">
        <f>COUNTIFS('Draft Board'!$BC$2:$BC$87,A530,'Draft Board'!$BJ$2:$BJ$87,"&lt;&gt;")</f>
        <v>0</v>
      </c>
      <c r="E530">
        <f>IFERROR(AVERAGEIFS('Draft Board'!$BI$2:$BI$87,'Draft Board'!$BC$2:$BC$87,A530),0)</f>
        <v>0</v>
      </c>
      <c r="F530">
        <f>MIN(1,E530/(Setup!$B$3*0.1))</f>
        <v>0</v>
      </c>
      <c r="G530">
        <f t="shared" si="16"/>
        <v>1</v>
      </c>
    </row>
    <row r="531" spans="1:10" x14ac:dyDescent="0.25">
      <c r="A531">
        <v>78</v>
      </c>
      <c r="B531">
        <f>SUMIFS('Draft Board'!$BJ$2:$BJ$87,'Draft Board'!$BC$2:$BC$87,A531,'Draft Board'!$BJ$2:$BJ$87,"&lt;&gt;")</f>
        <v>0</v>
      </c>
      <c r="C531">
        <f>SUMIFS('Draft Board'!$BI$2:$BI$87,'Draft Board'!$BC$2:$BC$87,A531,'Draft Board'!$BJ$2:$BJ$87,"&lt;&gt;")</f>
        <v>0</v>
      </c>
      <c r="D531">
        <f>COUNTIFS('Draft Board'!$BC$2:$BC$87,A531,'Draft Board'!$BJ$2:$BJ$87,"&lt;&gt;")</f>
        <v>0</v>
      </c>
      <c r="E531">
        <f>IFERROR(AVERAGEIFS('Draft Board'!$BI$2:$BI$87,'Draft Board'!$BC$2:$BC$87,A531),0)</f>
        <v>0</v>
      </c>
      <c r="F531">
        <f>MIN(1,E531/(Setup!$B$3*0.1))</f>
        <v>0</v>
      </c>
      <c r="G531">
        <f t="shared" si="16"/>
        <v>1</v>
      </c>
    </row>
    <row r="532" spans="1:10" x14ac:dyDescent="0.25">
      <c r="A532">
        <v>79</v>
      </c>
      <c r="B532">
        <f>SUMIFS('Draft Board'!$BJ$2:$BJ$87,'Draft Board'!$BC$2:$BC$87,A532,'Draft Board'!$BJ$2:$BJ$87,"&lt;&gt;")</f>
        <v>0</v>
      </c>
      <c r="C532">
        <f>SUMIFS('Draft Board'!$BI$2:$BI$87,'Draft Board'!$BC$2:$BC$87,A532,'Draft Board'!$BJ$2:$BJ$87,"&lt;&gt;")</f>
        <v>0</v>
      </c>
      <c r="D532">
        <f>COUNTIFS('Draft Board'!$BC$2:$BC$87,A532,'Draft Board'!$BJ$2:$BJ$87,"&lt;&gt;")</f>
        <v>0</v>
      </c>
      <c r="E532">
        <f>IFERROR(AVERAGEIFS('Draft Board'!$BI$2:$BI$87,'Draft Board'!$BC$2:$BC$87,A532),0)</f>
        <v>0</v>
      </c>
      <c r="F532">
        <f>MIN(1,E532/(Setup!$B$3*0.1))</f>
        <v>0</v>
      </c>
      <c r="G532">
        <f t="shared" si="16"/>
        <v>1</v>
      </c>
    </row>
    <row r="533" spans="1:10" x14ac:dyDescent="0.25">
      <c r="A533">
        <v>80</v>
      </c>
      <c r="B533">
        <f>SUMIFS('Draft Board'!$BJ$2:$BJ$87,'Draft Board'!$BC$2:$BC$87,A533,'Draft Board'!$BJ$2:$BJ$87,"&lt;&gt;")</f>
        <v>0</v>
      </c>
      <c r="C533">
        <f>SUMIFS('Draft Board'!$BI$2:$BI$87,'Draft Board'!$BC$2:$BC$87,A533,'Draft Board'!$BJ$2:$BJ$87,"&lt;&gt;")</f>
        <v>0</v>
      </c>
      <c r="D533">
        <f>COUNTIFS('Draft Board'!$BC$2:$BC$87,A533,'Draft Board'!$BJ$2:$BJ$87,"&lt;&gt;")</f>
        <v>0</v>
      </c>
      <c r="E533">
        <f>IFERROR(AVERAGEIFS('Draft Board'!$BI$2:$BI$87,'Draft Board'!$BC$2:$BC$87,A533),0)</f>
        <v>0</v>
      </c>
      <c r="F533">
        <f>MIN(1,E533/(Setup!$B$3*0.1))</f>
        <v>0</v>
      </c>
      <c r="G533">
        <f t="shared" si="16"/>
        <v>1</v>
      </c>
    </row>
    <row r="534" spans="1:10" x14ac:dyDescent="0.25">
      <c r="A534">
        <v>81</v>
      </c>
      <c r="B534">
        <f>SUMIFS('Draft Board'!$BJ$2:$BJ$87,'Draft Board'!$BC$2:$BC$87,A534,'Draft Board'!$BJ$2:$BJ$87,"&lt;&gt;")</f>
        <v>0</v>
      </c>
      <c r="C534">
        <f>SUMIFS('Draft Board'!$BI$2:$BI$87,'Draft Board'!$BC$2:$BC$87,A534,'Draft Board'!$BJ$2:$BJ$87,"&lt;&gt;")</f>
        <v>0</v>
      </c>
      <c r="D534">
        <f>COUNTIFS('Draft Board'!$BC$2:$BC$87,A534,'Draft Board'!$BJ$2:$BJ$87,"&lt;&gt;")</f>
        <v>0</v>
      </c>
      <c r="E534">
        <f>IFERROR(AVERAGEIFS('Draft Board'!$BI$2:$BI$87,'Draft Board'!$BC$2:$BC$87,A534),0)</f>
        <v>0</v>
      </c>
      <c r="F534">
        <f>MIN(1,E534/(Setup!$B$3*0.1))</f>
        <v>0</v>
      </c>
      <c r="G534">
        <f t="shared" si="16"/>
        <v>1</v>
      </c>
    </row>
    <row r="535" spans="1:10" x14ac:dyDescent="0.25">
      <c r="A535">
        <v>82</v>
      </c>
      <c r="B535">
        <f>SUMIFS('Draft Board'!$BJ$2:$BJ$87,'Draft Board'!$BC$2:$BC$87,A535,'Draft Board'!$BJ$2:$BJ$87,"&lt;&gt;")</f>
        <v>0</v>
      </c>
      <c r="C535">
        <f>SUMIFS('Draft Board'!$BI$2:$BI$87,'Draft Board'!$BC$2:$BC$87,A535,'Draft Board'!$BJ$2:$BJ$87,"&lt;&gt;")</f>
        <v>0</v>
      </c>
      <c r="D535">
        <f>COUNTIFS('Draft Board'!$BC$2:$BC$87,A535,'Draft Board'!$BJ$2:$BJ$87,"&lt;&gt;")</f>
        <v>0</v>
      </c>
      <c r="E535">
        <f>IFERROR(AVERAGEIFS('Draft Board'!$BI$2:$BI$87,'Draft Board'!$BC$2:$BC$87,A535),0)</f>
        <v>0</v>
      </c>
      <c r="F535">
        <f>MIN(1,E535/(Setup!$B$3*0.1))</f>
        <v>0</v>
      </c>
      <c r="G535">
        <f t="shared" si="16"/>
        <v>1</v>
      </c>
    </row>
    <row r="536" spans="1:10" x14ac:dyDescent="0.25">
      <c r="A536">
        <v>83</v>
      </c>
      <c r="B536">
        <f>SUMIFS('Draft Board'!$BJ$2:$BJ$87,'Draft Board'!$BC$2:$BC$87,A536,'Draft Board'!$BJ$2:$BJ$87,"&lt;&gt;")</f>
        <v>0</v>
      </c>
      <c r="C536">
        <f>SUMIFS('Draft Board'!$BI$2:$BI$87,'Draft Board'!$BC$2:$BC$87,A536,'Draft Board'!$BJ$2:$BJ$87,"&lt;&gt;")</f>
        <v>0</v>
      </c>
      <c r="D536">
        <f>COUNTIFS('Draft Board'!$BC$2:$BC$87,A536,'Draft Board'!$BJ$2:$BJ$87,"&lt;&gt;")</f>
        <v>0</v>
      </c>
      <c r="E536">
        <f>IFERROR(AVERAGEIFS('Draft Board'!$BI$2:$BI$87,'Draft Board'!$BC$2:$BC$87,A536),0)</f>
        <v>0</v>
      </c>
      <c r="F536">
        <f>MIN(1,E536/(Setup!$B$3*0.1))</f>
        <v>0</v>
      </c>
      <c r="G536">
        <f t="shared" si="16"/>
        <v>1</v>
      </c>
    </row>
    <row r="537" spans="1:10" x14ac:dyDescent="0.25">
      <c r="A537">
        <v>84</v>
      </c>
      <c r="B537">
        <f>SUMIFS('Draft Board'!$BJ$2:$BJ$87,'Draft Board'!$BC$2:$BC$87,A537,'Draft Board'!$BJ$2:$BJ$87,"&lt;&gt;")</f>
        <v>0</v>
      </c>
      <c r="C537">
        <f>SUMIFS('Draft Board'!$BI$2:$BI$87,'Draft Board'!$BC$2:$BC$87,A537,'Draft Board'!$BJ$2:$BJ$87,"&lt;&gt;")</f>
        <v>0</v>
      </c>
      <c r="D537">
        <f>COUNTIFS('Draft Board'!$BC$2:$BC$87,A537,'Draft Board'!$BJ$2:$BJ$87,"&lt;&gt;")</f>
        <v>0</v>
      </c>
      <c r="E537">
        <f>IFERROR(AVERAGEIFS('Draft Board'!$BI$2:$BI$87,'Draft Board'!$BC$2:$BC$87,A537),0)</f>
        <v>0</v>
      </c>
      <c r="F537">
        <f>MIN(1,E537/(Setup!$B$3*0.1))</f>
        <v>0</v>
      </c>
      <c r="G537">
        <f t="shared" si="16"/>
        <v>1</v>
      </c>
    </row>
    <row r="538" spans="1:10" x14ac:dyDescent="0.25">
      <c r="A538">
        <v>85</v>
      </c>
      <c r="B538">
        <f>SUMIFS('Draft Board'!$BJ$2:$BJ$87,'Draft Board'!$BC$2:$BC$87,A538,'Draft Board'!$BJ$2:$BJ$87,"&lt;&gt;")</f>
        <v>0</v>
      </c>
      <c r="C538">
        <f>SUMIFS('Draft Board'!$BI$2:$BI$87,'Draft Board'!$BC$2:$BC$87,A538,'Draft Board'!$BJ$2:$BJ$87,"&lt;&gt;")</f>
        <v>0</v>
      </c>
      <c r="D538">
        <f>COUNTIFS('Draft Board'!$BC$2:$BC$87,A538,'Draft Board'!$BJ$2:$BJ$87,"&lt;&gt;")</f>
        <v>0</v>
      </c>
      <c r="E538">
        <f>IFERROR(AVERAGEIFS('Draft Board'!$BI$2:$BI$87,'Draft Board'!$BC$2:$BC$87,A538),0)</f>
        <v>0</v>
      </c>
      <c r="F538">
        <f>MIN(1,E538/(Setup!$B$3*0.1))</f>
        <v>0</v>
      </c>
      <c r="G538">
        <f t="shared" si="16"/>
        <v>1</v>
      </c>
    </row>
    <row r="539" spans="1:10" x14ac:dyDescent="0.25">
      <c r="A539">
        <v>86</v>
      </c>
      <c r="B539">
        <f>SUMIFS('Draft Board'!$BJ$2:$BJ$87,'Draft Board'!$BC$2:$BC$87,A539,'Draft Board'!$BJ$2:$BJ$87,"&lt;&gt;")</f>
        <v>0</v>
      </c>
      <c r="C539">
        <f>SUMIFS('Draft Board'!$BI$2:$BI$87,'Draft Board'!$BC$2:$BC$87,A539,'Draft Board'!$BJ$2:$BJ$87,"&lt;&gt;")</f>
        <v>0</v>
      </c>
      <c r="D539">
        <f>COUNTIFS('Draft Board'!$BC$2:$BC$87,A539,'Draft Board'!$BJ$2:$BJ$87,"&lt;&gt;")</f>
        <v>0</v>
      </c>
      <c r="E539">
        <f>IFERROR(AVERAGEIFS('Draft Board'!$BI$2:$BI$87,'Draft Board'!$BC$2:$BC$87,A539),0)</f>
        <v>0</v>
      </c>
      <c r="F539">
        <f>MIN(1,E539/(Setup!$B$3*0.1))</f>
        <v>0</v>
      </c>
      <c r="G539">
        <f t="shared" si="16"/>
        <v>1</v>
      </c>
    </row>
    <row r="541" spans="1:10" x14ac:dyDescent="0.25">
      <c r="A541" s="15" t="s">
        <v>634</v>
      </c>
    </row>
    <row r="542" spans="1:10" x14ac:dyDescent="0.25">
      <c r="A542" s="15" t="s">
        <v>635</v>
      </c>
      <c r="B542" s="15" t="s">
        <v>636</v>
      </c>
      <c r="C542" s="15" t="s">
        <v>637</v>
      </c>
      <c r="D542" s="15" t="s">
        <v>638</v>
      </c>
      <c r="E542" s="15" t="s">
        <v>639</v>
      </c>
      <c r="F542" s="15" t="s">
        <v>640</v>
      </c>
      <c r="G542" s="15" t="s">
        <v>641</v>
      </c>
      <c r="H542" s="15" t="s">
        <v>642</v>
      </c>
      <c r="I542" s="15" t="s">
        <v>643</v>
      </c>
      <c r="J542" s="15" t="s">
        <v>644</v>
      </c>
    </row>
    <row r="543" spans="1:10" x14ac:dyDescent="0.25">
      <c r="A543">
        <f>B5</f>
        <v>2208</v>
      </c>
      <c r="B543">
        <f>C26+C27+C28+C29</f>
        <v>53319.847663178749</v>
      </c>
      <c r="C543">
        <f>IFERROR(A543/B543,0)</f>
        <v>4.141047089909046E-2</v>
      </c>
      <c r="D543">
        <f>SUM('Draft Board'!$N$2:$N$61)+SUM('Draft Board'!$AD$2:$AD$162)+SUM('Draft Board'!$AT$2:$AT$192)+SUM('Draft Board'!$BJ$2:$BJ$87)</f>
        <v>0</v>
      </c>
      <c r="E543">
        <f>COUNT('Draft Board'!$N$2:$N$61)+COUNT('Draft Board'!$AD$2:$AD$162)+COUNT('Draft Board'!$AT$2:$AT$192)+COUNT('Draft Board'!$BJ$2:$BJ$87)</f>
        <v>0</v>
      </c>
      <c r="F543">
        <f>SUMIFS('Draft Board'!$H$2:$H$61,'Draft Board'!$N$2:$N$61,"&lt;&gt;")+SUMIFS('Draft Board'!$X$2:$X$162,'Draft Board'!$AD$2:$AD$162,"&lt;&gt;")+SUMIFS('Draft Board'!$AN$2:$AN$192,'Draft Board'!$AT$2:$AT$192,"&lt;&gt;")+SUMIFS('Draft Board'!$BD$2:$BD$87,'Draft Board'!$BJ$2:$BJ$87,"&lt;&gt;")</f>
        <v>0</v>
      </c>
      <c r="G543">
        <f>A543-(D543-E543)</f>
        <v>2208</v>
      </c>
      <c r="H543">
        <f>B543-F543</f>
        <v>53319.847663178749</v>
      </c>
      <c r="I543">
        <f>IFERROR(G543/H543,0)</f>
        <v>4.141047089909046E-2</v>
      </c>
      <c r="J543">
        <f>MEDIAN(0.7,1.3,IFERROR(I543/C543,1))</f>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
  <sheetViews>
    <sheetView workbookViewId="0"/>
  </sheetViews>
  <sheetFormatPr defaultRowHeight="15" x14ac:dyDescent="0.25"/>
  <cols>
    <col min="1" max="1" width="20" customWidth="1"/>
    <col min="2" max="2" width="26" customWidth="1"/>
    <col min="3" max="3" width="15" customWidth="1"/>
    <col min="4" max="4" width="3" customWidth="1"/>
    <col min="5" max="5" width="26" customWidth="1"/>
    <col min="6" max="6" width="15" customWidth="1"/>
  </cols>
  <sheetData>
    <row r="1" spans="1:6" x14ac:dyDescent="0.25">
      <c r="A1" s="15" t="s">
        <v>645</v>
      </c>
      <c r="B1" s="15" t="s">
        <v>49</v>
      </c>
      <c r="C1" s="15" t="s">
        <v>646</v>
      </c>
    </row>
    <row r="2" spans="1:6" x14ac:dyDescent="0.25">
      <c r="A2" t="str">
        <f>IF(AND((2-1)&gt;0,(2-1)&lt;=(0+Setup!$B$11)),"QB",IF(AND((2-1)&gt;(0+Setup!$B$11),(2-1)&lt;=((0+Setup!$B$11)+Setup!$B$13)),"RB",IF(AND((2-1)&gt;((0+Setup!$B$11)+Setup!$B$13),(2-1)&lt;=(((0+Setup!$B$11)+Setup!$B$13)+Setup!$B$15)),"WR",IF(AND((2-1)&gt;(((0+Setup!$B$11)+Setup!$B$13)+Setup!$B$15),(2-1)&lt;=((((0+Setup!$B$11)+Setup!$B$13)+Setup!$B$15)+Setup!$B$17)),"TE",IF(AND((2-1)&gt;((((0+Setup!$B$11)+Setup!$B$13)+Setup!$B$15)+Setup!$B$17),(2-1)&lt;=(((((0+Setup!$B$11)+Setup!$B$13)+Setup!$B$15)+Setup!$B$17)+Setup!$B$19)),"FLEX (RB/WR/TE)",IF(AND((2-1)&gt;(((((0+Setup!$B$11)+Setup!$B$13)+Setup!$B$15)+Setup!$B$17)+Setup!$B$19),(2-1)&lt;=((((((0+Setup!$B$11)+Setup!$B$13)+Setup!$B$15)+Setup!$B$17)+Setup!$B$19)+Setup!$B$21)),"FLEX (RB/WR)",IF(AND((2-1)&gt;((((((0+Setup!$B$11)+Setup!$B$13)+Setup!$B$15)+Setup!$B$17)+Setup!$B$19)+Setup!$B$21),(2-1)&lt;=(((((((0+Setup!$B$11)+Setup!$B$13)+Setup!$B$15)+Setup!$B$17)+Setup!$B$19)+Setup!$B$21)+Setup!$B$23)),"FLEX (WR/TE)",IF(AND((2-1)&gt;(((((((0+Setup!$B$11)+Setup!$B$13)+Setup!$B$15)+Setup!$B$17)+Setup!$B$19)+Setup!$B$21)+Setup!$B$23),(2-1)&lt;=((((((((0+Setup!$B$11)+Setup!$B$13)+Setup!$B$15)+Setup!$B$17)+Setup!$B$19)+Setup!$B$21)+Setup!$B$23)+Setup!$B$25)),"SUPERFLEX",IF(AND((2-1)&gt;((((((((0+Setup!$B$11)+Setup!$B$13)+Setup!$B$15)+Setup!$B$17)+Setup!$B$19)+Setup!$B$21)+Setup!$B$23)+Setup!$B$25),(2-1)&lt;=(((((((((0+Setup!$B$11)+Setup!$B$13)+Setup!$B$15)+Setup!$B$17)+Setup!$B$19)+Setup!$B$21)+Setup!$B$23)+Setup!$B$25)+Setup!$B$27)),"DEF",IF(AND((2-1)&gt;(((((((((0+Setup!$B$11)+Setup!$B$13)+Setup!$B$15)+Setup!$B$17)+Setup!$B$19)+Setup!$B$21)+Setup!$B$23)+Setup!$B$25)+Setup!$B$27),(2-1)&lt;=((((((((((0+Setup!$B$11)+Setup!$B$13)+Setup!$B$15)+Setup!$B$17)+Setup!$B$19)+Setup!$B$21)+Setup!$B$23)+Setup!$B$25)+Setup!$B$27)+Setup!$B$29)),"K",IF(AND((2-1)&gt;((((((((((0+Setup!$B$11)+Setup!$B$13)+Setup!$B$15)+Setup!$B$17)+Setup!$B$19)+Setup!$B$21)+Setup!$B$23)+Setup!$B$25)+Setup!$B$27)+Setup!$B$29),(2-1)&lt;=(((((((((((0+Setup!$B$11)+Setup!$B$13)+Setup!$B$15)+Setup!$B$17)+Setup!$B$19)+Setup!$B$21)+Setup!$B$23)+Setup!$B$25)+Setup!$B$27)+Setup!$B$29)+Setup!$B$31)),"BENCH","")))))))))))</f>
        <v>QB</v>
      </c>
      <c r="E2" s="20" t="s">
        <v>647</v>
      </c>
      <c r="F2" s="21"/>
    </row>
    <row r="3" spans="1:6" x14ac:dyDescent="0.25">
      <c r="A3" t="str">
        <f>IF(AND((3-1)&gt;0,(3-1)&lt;=(0+Setup!$B$11)),"QB",IF(AND((3-1)&gt;(0+Setup!$B$11),(3-1)&lt;=((0+Setup!$B$11)+Setup!$B$13)),"RB",IF(AND((3-1)&gt;((0+Setup!$B$11)+Setup!$B$13),(3-1)&lt;=(((0+Setup!$B$11)+Setup!$B$13)+Setup!$B$15)),"WR",IF(AND((3-1)&gt;(((0+Setup!$B$11)+Setup!$B$13)+Setup!$B$15),(3-1)&lt;=((((0+Setup!$B$11)+Setup!$B$13)+Setup!$B$15)+Setup!$B$17)),"TE",IF(AND((3-1)&gt;((((0+Setup!$B$11)+Setup!$B$13)+Setup!$B$15)+Setup!$B$17),(3-1)&lt;=(((((0+Setup!$B$11)+Setup!$B$13)+Setup!$B$15)+Setup!$B$17)+Setup!$B$19)),"FLEX (RB/WR/TE)",IF(AND((3-1)&gt;(((((0+Setup!$B$11)+Setup!$B$13)+Setup!$B$15)+Setup!$B$17)+Setup!$B$19),(3-1)&lt;=((((((0+Setup!$B$11)+Setup!$B$13)+Setup!$B$15)+Setup!$B$17)+Setup!$B$19)+Setup!$B$21)),"FLEX (RB/WR)",IF(AND((3-1)&gt;((((((0+Setup!$B$11)+Setup!$B$13)+Setup!$B$15)+Setup!$B$17)+Setup!$B$19)+Setup!$B$21),(3-1)&lt;=(((((((0+Setup!$B$11)+Setup!$B$13)+Setup!$B$15)+Setup!$B$17)+Setup!$B$19)+Setup!$B$21)+Setup!$B$23)),"FLEX (WR/TE)",IF(AND((3-1)&gt;(((((((0+Setup!$B$11)+Setup!$B$13)+Setup!$B$15)+Setup!$B$17)+Setup!$B$19)+Setup!$B$21)+Setup!$B$23),(3-1)&lt;=((((((((0+Setup!$B$11)+Setup!$B$13)+Setup!$B$15)+Setup!$B$17)+Setup!$B$19)+Setup!$B$21)+Setup!$B$23)+Setup!$B$25)),"SUPERFLEX",IF(AND((3-1)&gt;((((((((0+Setup!$B$11)+Setup!$B$13)+Setup!$B$15)+Setup!$B$17)+Setup!$B$19)+Setup!$B$21)+Setup!$B$23)+Setup!$B$25),(3-1)&lt;=(((((((((0+Setup!$B$11)+Setup!$B$13)+Setup!$B$15)+Setup!$B$17)+Setup!$B$19)+Setup!$B$21)+Setup!$B$23)+Setup!$B$25)+Setup!$B$27)),"DEF",IF(AND((3-1)&gt;(((((((((0+Setup!$B$11)+Setup!$B$13)+Setup!$B$15)+Setup!$B$17)+Setup!$B$19)+Setup!$B$21)+Setup!$B$23)+Setup!$B$25)+Setup!$B$27),(3-1)&lt;=((((((((((0+Setup!$B$11)+Setup!$B$13)+Setup!$B$15)+Setup!$B$17)+Setup!$B$19)+Setup!$B$21)+Setup!$B$23)+Setup!$B$25)+Setup!$B$27)+Setup!$B$29)),"K",IF(AND((3-1)&gt;((((((((((0+Setup!$B$11)+Setup!$B$13)+Setup!$B$15)+Setup!$B$17)+Setup!$B$19)+Setup!$B$21)+Setup!$B$23)+Setup!$B$25)+Setup!$B$27)+Setup!$B$29),(3-1)&lt;=(((((((((((0+Setup!$B$11)+Setup!$B$13)+Setup!$B$15)+Setup!$B$17)+Setup!$B$19)+Setup!$B$21)+Setup!$B$23)+Setup!$B$25)+Setup!$B$27)+Setup!$B$29)+Setup!$B$31)),"BENCH","")))))))))))</f>
        <v>RB</v>
      </c>
      <c r="E3" s="16" t="s">
        <v>648</v>
      </c>
      <c r="F3" s="17">
        <f>Setup!$B$3</f>
        <v>200</v>
      </c>
    </row>
    <row r="4" spans="1:6" x14ac:dyDescent="0.25">
      <c r="A4" t="str">
        <f>IF(AND((4-1)&gt;0,(4-1)&lt;=(0+Setup!$B$11)),"QB",IF(AND((4-1)&gt;(0+Setup!$B$11),(4-1)&lt;=((0+Setup!$B$11)+Setup!$B$13)),"RB",IF(AND((4-1)&gt;((0+Setup!$B$11)+Setup!$B$13),(4-1)&lt;=(((0+Setup!$B$11)+Setup!$B$13)+Setup!$B$15)),"WR",IF(AND((4-1)&gt;(((0+Setup!$B$11)+Setup!$B$13)+Setup!$B$15),(4-1)&lt;=((((0+Setup!$B$11)+Setup!$B$13)+Setup!$B$15)+Setup!$B$17)),"TE",IF(AND((4-1)&gt;((((0+Setup!$B$11)+Setup!$B$13)+Setup!$B$15)+Setup!$B$17),(4-1)&lt;=(((((0+Setup!$B$11)+Setup!$B$13)+Setup!$B$15)+Setup!$B$17)+Setup!$B$19)),"FLEX (RB/WR/TE)",IF(AND((4-1)&gt;(((((0+Setup!$B$11)+Setup!$B$13)+Setup!$B$15)+Setup!$B$17)+Setup!$B$19),(4-1)&lt;=((((((0+Setup!$B$11)+Setup!$B$13)+Setup!$B$15)+Setup!$B$17)+Setup!$B$19)+Setup!$B$21)),"FLEX (RB/WR)",IF(AND((4-1)&gt;((((((0+Setup!$B$11)+Setup!$B$13)+Setup!$B$15)+Setup!$B$17)+Setup!$B$19)+Setup!$B$21),(4-1)&lt;=(((((((0+Setup!$B$11)+Setup!$B$13)+Setup!$B$15)+Setup!$B$17)+Setup!$B$19)+Setup!$B$21)+Setup!$B$23)),"FLEX (WR/TE)",IF(AND((4-1)&gt;(((((((0+Setup!$B$11)+Setup!$B$13)+Setup!$B$15)+Setup!$B$17)+Setup!$B$19)+Setup!$B$21)+Setup!$B$23),(4-1)&lt;=((((((((0+Setup!$B$11)+Setup!$B$13)+Setup!$B$15)+Setup!$B$17)+Setup!$B$19)+Setup!$B$21)+Setup!$B$23)+Setup!$B$25)),"SUPERFLEX",IF(AND((4-1)&gt;((((((((0+Setup!$B$11)+Setup!$B$13)+Setup!$B$15)+Setup!$B$17)+Setup!$B$19)+Setup!$B$21)+Setup!$B$23)+Setup!$B$25),(4-1)&lt;=(((((((((0+Setup!$B$11)+Setup!$B$13)+Setup!$B$15)+Setup!$B$17)+Setup!$B$19)+Setup!$B$21)+Setup!$B$23)+Setup!$B$25)+Setup!$B$27)),"DEF",IF(AND((4-1)&gt;(((((((((0+Setup!$B$11)+Setup!$B$13)+Setup!$B$15)+Setup!$B$17)+Setup!$B$19)+Setup!$B$21)+Setup!$B$23)+Setup!$B$25)+Setup!$B$27),(4-1)&lt;=((((((((((0+Setup!$B$11)+Setup!$B$13)+Setup!$B$15)+Setup!$B$17)+Setup!$B$19)+Setup!$B$21)+Setup!$B$23)+Setup!$B$25)+Setup!$B$27)+Setup!$B$29)),"K",IF(AND((4-1)&gt;((((((((((0+Setup!$B$11)+Setup!$B$13)+Setup!$B$15)+Setup!$B$17)+Setup!$B$19)+Setup!$B$21)+Setup!$B$23)+Setup!$B$25)+Setup!$B$27)+Setup!$B$29),(4-1)&lt;=(((((((((((0+Setup!$B$11)+Setup!$B$13)+Setup!$B$15)+Setup!$B$17)+Setup!$B$19)+Setup!$B$21)+Setup!$B$23)+Setup!$B$25)+Setup!$B$27)+Setup!$B$29)+Setup!$B$31)),"BENCH","")))))))))))</f>
        <v>RB</v>
      </c>
      <c r="E4" s="16" t="s">
        <v>649</v>
      </c>
      <c r="F4" s="17">
        <f>Setup!$B$11+Setup!$B$13+Setup!$B$15+Setup!$B$17+Setup!$B$19+Setup!$B$21+Setup!$B$23+Setup!$B$25+Setup!$B$27+Setup!$B$29+Setup!$B$31</f>
        <v>16</v>
      </c>
    </row>
    <row r="5" spans="1:6" x14ac:dyDescent="0.25">
      <c r="A5" t="str">
        <f>IF(AND((5-1)&gt;0,(5-1)&lt;=(0+Setup!$B$11)),"QB",IF(AND((5-1)&gt;(0+Setup!$B$11),(5-1)&lt;=((0+Setup!$B$11)+Setup!$B$13)),"RB",IF(AND((5-1)&gt;((0+Setup!$B$11)+Setup!$B$13),(5-1)&lt;=(((0+Setup!$B$11)+Setup!$B$13)+Setup!$B$15)),"WR",IF(AND((5-1)&gt;(((0+Setup!$B$11)+Setup!$B$13)+Setup!$B$15),(5-1)&lt;=((((0+Setup!$B$11)+Setup!$B$13)+Setup!$B$15)+Setup!$B$17)),"TE",IF(AND((5-1)&gt;((((0+Setup!$B$11)+Setup!$B$13)+Setup!$B$15)+Setup!$B$17),(5-1)&lt;=(((((0+Setup!$B$11)+Setup!$B$13)+Setup!$B$15)+Setup!$B$17)+Setup!$B$19)),"FLEX (RB/WR/TE)",IF(AND((5-1)&gt;(((((0+Setup!$B$11)+Setup!$B$13)+Setup!$B$15)+Setup!$B$17)+Setup!$B$19),(5-1)&lt;=((((((0+Setup!$B$11)+Setup!$B$13)+Setup!$B$15)+Setup!$B$17)+Setup!$B$19)+Setup!$B$21)),"FLEX (RB/WR)",IF(AND((5-1)&gt;((((((0+Setup!$B$11)+Setup!$B$13)+Setup!$B$15)+Setup!$B$17)+Setup!$B$19)+Setup!$B$21),(5-1)&lt;=(((((((0+Setup!$B$11)+Setup!$B$13)+Setup!$B$15)+Setup!$B$17)+Setup!$B$19)+Setup!$B$21)+Setup!$B$23)),"FLEX (WR/TE)",IF(AND((5-1)&gt;(((((((0+Setup!$B$11)+Setup!$B$13)+Setup!$B$15)+Setup!$B$17)+Setup!$B$19)+Setup!$B$21)+Setup!$B$23),(5-1)&lt;=((((((((0+Setup!$B$11)+Setup!$B$13)+Setup!$B$15)+Setup!$B$17)+Setup!$B$19)+Setup!$B$21)+Setup!$B$23)+Setup!$B$25)),"SUPERFLEX",IF(AND((5-1)&gt;((((((((0+Setup!$B$11)+Setup!$B$13)+Setup!$B$15)+Setup!$B$17)+Setup!$B$19)+Setup!$B$21)+Setup!$B$23)+Setup!$B$25),(5-1)&lt;=(((((((((0+Setup!$B$11)+Setup!$B$13)+Setup!$B$15)+Setup!$B$17)+Setup!$B$19)+Setup!$B$21)+Setup!$B$23)+Setup!$B$25)+Setup!$B$27)),"DEF",IF(AND((5-1)&gt;(((((((((0+Setup!$B$11)+Setup!$B$13)+Setup!$B$15)+Setup!$B$17)+Setup!$B$19)+Setup!$B$21)+Setup!$B$23)+Setup!$B$25)+Setup!$B$27),(5-1)&lt;=((((((((((0+Setup!$B$11)+Setup!$B$13)+Setup!$B$15)+Setup!$B$17)+Setup!$B$19)+Setup!$B$21)+Setup!$B$23)+Setup!$B$25)+Setup!$B$27)+Setup!$B$29)),"K",IF(AND((5-1)&gt;((((((((((0+Setup!$B$11)+Setup!$B$13)+Setup!$B$15)+Setup!$B$17)+Setup!$B$19)+Setup!$B$21)+Setup!$B$23)+Setup!$B$25)+Setup!$B$27)+Setup!$B$29),(5-1)&lt;=(((((((((((0+Setup!$B$11)+Setup!$B$13)+Setup!$B$15)+Setup!$B$17)+Setup!$B$19)+Setup!$B$21)+Setup!$B$23)+Setup!$B$25)+Setup!$B$27)+Setup!$B$29)+Setup!$B$31)),"BENCH","")))))))))))</f>
        <v>WR</v>
      </c>
      <c r="E5" s="16" t="s">
        <v>650</v>
      </c>
      <c r="F5" s="17">
        <f>COUNTIFS(A2:A50,"&lt;&gt;",C2:C50,"&lt;&gt;")</f>
        <v>0</v>
      </c>
    </row>
    <row r="6" spans="1:6" x14ac:dyDescent="0.25">
      <c r="A6" t="str">
        <f>IF(AND((6-1)&gt;0,(6-1)&lt;=(0+Setup!$B$11)),"QB",IF(AND((6-1)&gt;(0+Setup!$B$11),(6-1)&lt;=((0+Setup!$B$11)+Setup!$B$13)),"RB",IF(AND((6-1)&gt;((0+Setup!$B$11)+Setup!$B$13),(6-1)&lt;=(((0+Setup!$B$11)+Setup!$B$13)+Setup!$B$15)),"WR",IF(AND((6-1)&gt;(((0+Setup!$B$11)+Setup!$B$13)+Setup!$B$15),(6-1)&lt;=((((0+Setup!$B$11)+Setup!$B$13)+Setup!$B$15)+Setup!$B$17)),"TE",IF(AND((6-1)&gt;((((0+Setup!$B$11)+Setup!$B$13)+Setup!$B$15)+Setup!$B$17),(6-1)&lt;=(((((0+Setup!$B$11)+Setup!$B$13)+Setup!$B$15)+Setup!$B$17)+Setup!$B$19)),"FLEX (RB/WR/TE)",IF(AND((6-1)&gt;(((((0+Setup!$B$11)+Setup!$B$13)+Setup!$B$15)+Setup!$B$17)+Setup!$B$19),(6-1)&lt;=((((((0+Setup!$B$11)+Setup!$B$13)+Setup!$B$15)+Setup!$B$17)+Setup!$B$19)+Setup!$B$21)),"FLEX (RB/WR)",IF(AND((6-1)&gt;((((((0+Setup!$B$11)+Setup!$B$13)+Setup!$B$15)+Setup!$B$17)+Setup!$B$19)+Setup!$B$21),(6-1)&lt;=(((((((0+Setup!$B$11)+Setup!$B$13)+Setup!$B$15)+Setup!$B$17)+Setup!$B$19)+Setup!$B$21)+Setup!$B$23)),"FLEX (WR/TE)",IF(AND((6-1)&gt;(((((((0+Setup!$B$11)+Setup!$B$13)+Setup!$B$15)+Setup!$B$17)+Setup!$B$19)+Setup!$B$21)+Setup!$B$23),(6-1)&lt;=((((((((0+Setup!$B$11)+Setup!$B$13)+Setup!$B$15)+Setup!$B$17)+Setup!$B$19)+Setup!$B$21)+Setup!$B$23)+Setup!$B$25)),"SUPERFLEX",IF(AND((6-1)&gt;((((((((0+Setup!$B$11)+Setup!$B$13)+Setup!$B$15)+Setup!$B$17)+Setup!$B$19)+Setup!$B$21)+Setup!$B$23)+Setup!$B$25),(6-1)&lt;=(((((((((0+Setup!$B$11)+Setup!$B$13)+Setup!$B$15)+Setup!$B$17)+Setup!$B$19)+Setup!$B$21)+Setup!$B$23)+Setup!$B$25)+Setup!$B$27)),"DEF",IF(AND((6-1)&gt;(((((((((0+Setup!$B$11)+Setup!$B$13)+Setup!$B$15)+Setup!$B$17)+Setup!$B$19)+Setup!$B$21)+Setup!$B$23)+Setup!$B$25)+Setup!$B$27),(6-1)&lt;=((((((((((0+Setup!$B$11)+Setup!$B$13)+Setup!$B$15)+Setup!$B$17)+Setup!$B$19)+Setup!$B$21)+Setup!$B$23)+Setup!$B$25)+Setup!$B$27)+Setup!$B$29)),"K",IF(AND((6-1)&gt;((((((((((0+Setup!$B$11)+Setup!$B$13)+Setup!$B$15)+Setup!$B$17)+Setup!$B$19)+Setup!$B$21)+Setup!$B$23)+Setup!$B$25)+Setup!$B$27)+Setup!$B$29),(6-1)&lt;=(((((((((((0+Setup!$B$11)+Setup!$B$13)+Setup!$B$15)+Setup!$B$17)+Setup!$B$19)+Setup!$B$21)+Setup!$B$23)+Setup!$B$25)+Setup!$B$27)+Setup!$B$29)+Setup!$B$31)),"BENCH","")))))))))))</f>
        <v>WR</v>
      </c>
      <c r="E6" s="16" t="s">
        <v>651</v>
      </c>
      <c r="F6" s="17">
        <f>F4-F5</f>
        <v>16</v>
      </c>
    </row>
    <row r="7" spans="1:6" x14ac:dyDescent="0.25">
      <c r="A7" t="str">
        <f>IF(AND((7-1)&gt;0,(7-1)&lt;=(0+Setup!$B$11)),"QB",IF(AND((7-1)&gt;(0+Setup!$B$11),(7-1)&lt;=((0+Setup!$B$11)+Setup!$B$13)),"RB",IF(AND((7-1)&gt;((0+Setup!$B$11)+Setup!$B$13),(7-1)&lt;=(((0+Setup!$B$11)+Setup!$B$13)+Setup!$B$15)),"WR",IF(AND((7-1)&gt;(((0+Setup!$B$11)+Setup!$B$13)+Setup!$B$15),(7-1)&lt;=((((0+Setup!$B$11)+Setup!$B$13)+Setup!$B$15)+Setup!$B$17)),"TE",IF(AND((7-1)&gt;((((0+Setup!$B$11)+Setup!$B$13)+Setup!$B$15)+Setup!$B$17),(7-1)&lt;=(((((0+Setup!$B$11)+Setup!$B$13)+Setup!$B$15)+Setup!$B$17)+Setup!$B$19)),"FLEX (RB/WR/TE)",IF(AND((7-1)&gt;(((((0+Setup!$B$11)+Setup!$B$13)+Setup!$B$15)+Setup!$B$17)+Setup!$B$19),(7-1)&lt;=((((((0+Setup!$B$11)+Setup!$B$13)+Setup!$B$15)+Setup!$B$17)+Setup!$B$19)+Setup!$B$21)),"FLEX (RB/WR)",IF(AND((7-1)&gt;((((((0+Setup!$B$11)+Setup!$B$13)+Setup!$B$15)+Setup!$B$17)+Setup!$B$19)+Setup!$B$21),(7-1)&lt;=(((((((0+Setup!$B$11)+Setup!$B$13)+Setup!$B$15)+Setup!$B$17)+Setup!$B$19)+Setup!$B$21)+Setup!$B$23)),"FLEX (WR/TE)",IF(AND((7-1)&gt;(((((((0+Setup!$B$11)+Setup!$B$13)+Setup!$B$15)+Setup!$B$17)+Setup!$B$19)+Setup!$B$21)+Setup!$B$23),(7-1)&lt;=((((((((0+Setup!$B$11)+Setup!$B$13)+Setup!$B$15)+Setup!$B$17)+Setup!$B$19)+Setup!$B$21)+Setup!$B$23)+Setup!$B$25)),"SUPERFLEX",IF(AND((7-1)&gt;((((((((0+Setup!$B$11)+Setup!$B$13)+Setup!$B$15)+Setup!$B$17)+Setup!$B$19)+Setup!$B$21)+Setup!$B$23)+Setup!$B$25),(7-1)&lt;=(((((((((0+Setup!$B$11)+Setup!$B$13)+Setup!$B$15)+Setup!$B$17)+Setup!$B$19)+Setup!$B$21)+Setup!$B$23)+Setup!$B$25)+Setup!$B$27)),"DEF",IF(AND((7-1)&gt;(((((((((0+Setup!$B$11)+Setup!$B$13)+Setup!$B$15)+Setup!$B$17)+Setup!$B$19)+Setup!$B$21)+Setup!$B$23)+Setup!$B$25)+Setup!$B$27),(7-1)&lt;=((((((((((0+Setup!$B$11)+Setup!$B$13)+Setup!$B$15)+Setup!$B$17)+Setup!$B$19)+Setup!$B$21)+Setup!$B$23)+Setup!$B$25)+Setup!$B$27)+Setup!$B$29)),"K",IF(AND((7-1)&gt;((((((((((0+Setup!$B$11)+Setup!$B$13)+Setup!$B$15)+Setup!$B$17)+Setup!$B$19)+Setup!$B$21)+Setup!$B$23)+Setup!$B$25)+Setup!$B$27)+Setup!$B$29),(7-1)&lt;=(((((((((((0+Setup!$B$11)+Setup!$B$13)+Setup!$B$15)+Setup!$B$17)+Setup!$B$19)+Setup!$B$21)+Setup!$B$23)+Setup!$B$25)+Setup!$B$27)+Setup!$B$29)+Setup!$B$31)),"BENCH","")))))))))))</f>
        <v>WR</v>
      </c>
      <c r="E7" s="16" t="s">
        <v>652</v>
      </c>
      <c r="F7" s="17">
        <f>SUM(C2:C50)</f>
        <v>0</v>
      </c>
    </row>
    <row r="8" spans="1:6" x14ac:dyDescent="0.25">
      <c r="A8" t="str">
        <f>IF(AND((8-1)&gt;0,(8-1)&lt;=(0+Setup!$B$11)),"QB",IF(AND((8-1)&gt;(0+Setup!$B$11),(8-1)&lt;=((0+Setup!$B$11)+Setup!$B$13)),"RB",IF(AND((8-1)&gt;((0+Setup!$B$11)+Setup!$B$13),(8-1)&lt;=(((0+Setup!$B$11)+Setup!$B$13)+Setup!$B$15)),"WR",IF(AND((8-1)&gt;(((0+Setup!$B$11)+Setup!$B$13)+Setup!$B$15),(8-1)&lt;=((((0+Setup!$B$11)+Setup!$B$13)+Setup!$B$15)+Setup!$B$17)),"TE",IF(AND((8-1)&gt;((((0+Setup!$B$11)+Setup!$B$13)+Setup!$B$15)+Setup!$B$17),(8-1)&lt;=(((((0+Setup!$B$11)+Setup!$B$13)+Setup!$B$15)+Setup!$B$17)+Setup!$B$19)),"FLEX (RB/WR/TE)",IF(AND((8-1)&gt;(((((0+Setup!$B$11)+Setup!$B$13)+Setup!$B$15)+Setup!$B$17)+Setup!$B$19),(8-1)&lt;=((((((0+Setup!$B$11)+Setup!$B$13)+Setup!$B$15)+Setup!$B$17)+Setup!$B$19)+Setup!$B$21)),"FLEX (RB/WR)",IF(AND((8-1)&gt;((((((0+Setup!$B$11)+Setup!$B$13)+Setup!$B$15)+Setup!$B$17)+Setup!$B$19)+Setup!$B$21),(8-1)&lt;=(((((((0+Setup!$B$11)+Setup!$B$13)+Setup!$B$15)+Setup!$B$17)+Setup!$B$19)+Setup!$B$21)+Setup!$B$23)),"FLEX (WR/TE)",IF(AND((8-1)&gt;(((((((0+Setup!$B$11)+Setup!$B$13)+Setup!$B$15)+Setup!$B$17)+Setup!$B$19)+Setup!$B$21)+Setup!$B$23),(8-1)&lt;=((((((((0+Setup!$B$11)+Setup!$B$13)+Setup!$B$15)+Setup!$B$17)+Setup!$B$19)+Setup!$B$21)+Setup!$B$23)+Setup!$B$25)),"SUPERFLEX",IF(AND((8-1)&gt;((((((((0+Setup!$B$11)+Setup!$B$13)+Setup!$B$15)+Setup!$B$17)+Setup!$B$19)+Setup!$B$21)+Setup!$B$23)+Setup!$B$25),(8-1)&lt;=(((((((((0+Setup!$B$11)+Setup!$B$13)+Setup!$B$15)+Setup!$B$17)+Setup!$B$19)+Setup!$B$21)+Setup!$B$23)+Setup!$B$25)+Setup!$B$27)),"DEF",IF(AND((8-1)&gt;(((((((((0+Setup!$B$11)+Setup!$B$13)+Setup!$B$15)+Setup!$B$17)+Setup!$B$19)+Setup!$B$21)+Setup!$B$23)+Setup!$B$25)+Setup!$B$27),(8-1)&lt;=((((((((((0+Setup!$B$11)+Setup!$B$13)+Setup!$B$15)+Setup!$B$17)+Setup!$B$19)+Setup!$B$21)+Setup!$B$23)+Setup!$B$25)+Setup!$B$27)+Setup!$B$29)),"K",IF(AND((8-1)&gt;((((((((((0+Setup!$B$11)+Setup!$B$13)+Setup!$B$15)+Setup!$B$17)+Setup!$B$19)+Setup!$B$21)+Setup!$B$23)+Setup!$B$25)+Setup!$B$27)+Setup!$B$29),(8-1)&lt;=(((((((((((0+Setup!$B$11)+Setup!$B$13)+Setup!$B$15)+Setup!$B$17)+Setup!$B$19)+Setup!$B$21)+Setup!$B$23)+Setup!$B$25)+Setup!$B$27)+Setup!$B$29)+Setup!$B$31)),"BENCH","")))))))))))</f>
        <v>TE</v>
      </c>
      <c r="E8" s="16" t="s">
        <v>653</v>
      </c>
      <c r="F8" s="17">
        <f>F3-F7</f>
        <v>200</v>
      </c>
    </row>
    <row r="9" spans="1:6" x14ac:dyDescent="0.25">
      <c r="A9" t="str">
        <f>IF(AND((9-1)&gt;0,(9-1)&lt;=(0+Setup!$B$11)),"QB",IF(AND((9-1)&gt;(0+Setup!$B$11),(9-1)&lt;=((0+Setup!$B$11)+Setup!$B$13)),"RB",IF(AND((9-1)&gt;((0+Setup!$B$11)+Setup!$B$13),(9-1)&lt;=(((0+Setup!$B$11)+Setup!$B$13)+Setup!$B$15)),"WR",IF(AND((9-1)&gt;(((0+Setup!$B$11)+Setup!$B$13)+Setup!$B$15),(9-1)&lt;=((((0+Setup!$B$11)+Setup!$B$13)+Setup!$B$15)+Setup!$B$17)),"TE",IF(AND((9-1)&gt;((((0+Setup!$B$11)+Setup!$B$13)+Setup!$B$15)+Setup!$B$17),(9-1)&lt;=(((((0+Setup!$B$11)+Setup!$B$13)+Setup!$B$15)+Setup!$B$17)+Setup!$B$19)),"FLEX (RB/WR/TE)",IF(AND((9-1)&gt;(((((0+Setup!$B$11)+Setup!$B$13)+Setup!$B$15)+Setup!$B$17)+Setup!$B$19),(9-1)&lt;=((((((0+Setup!$B$11)+Setup!$B$13)+Setup!$B$15)+Setup!$B$17)+Setup!$B$19)+Setup!$B$21)),"FLEX (RB/WR)",IF(AND((9-1)&gt;((((((0+Setup!$B$11)+Setup!$B$13)+Setup!$B$15)+Setup!$B$17)+Setup!$B$19)+Setup!$B$21),(9-1)&lt;=(((((((0+Setup!$B$11)+Setup!$B$13)+Setup!$B$15)+Setup!$B$17)+Setup!$B$19)+Setup!$B$21)+Setup!$B$23)),"FLEX (WR/TE)",IF(AND((9-1)&gt;(((((((0+Setup!$B$11)+Setup!$B$13)+Setup!$B$15)+Setup!$B$17)+Setup!$B$19)+Setup!$B$21)+Setup!$B$23),(9-1)&lt;=((((((((0+Setup!$B$11)+Setup!$B$13)+Setup!$B$15)+Setup!$B$17)+Setup!$B$19)+Setup!$B$21)+Setup!$B$23)+Setup!$B$25)),"SUPERFLEX",IF(AND((9-1)&gt;((((((((0+Setup!$B$11)+Setup!$B$13)+Setup!$B$15)+Setup!$B$17)+Setup!$B$19)+Setup!$B$21)+Setup!$B$23)+Setup!$B$25),(9-1)&lt;=(((((((((0+Setup!$B$11)+Setup!$B$13)+Setup!$B$15)+Setup!$B$17)+Setup!$B$19)+Setup!$B$21)+Setup!$B$23)+Setup!$B$25)+Setup!$B$27)),"DEF",IF(AND((9-1)&gt;(((((((((0+Setup!$B$11)+Setup!$B$13)+Setup!$B$15)+Setup!$B$17)+Setup!$B$19)+Setup!$B$21)+Setup!$B$23)+Setup!$B$25)+Setup!$B$27),(9-1)&lt;=((((((((((0+Setup!$B$11)+Setup!$B$13)+Setup!$B$15)+Setup!$B$17)+Setup!$B$19)+Setup!$B$21)+Setup!$B$23)+Setup!$B$25)+Setup!$B$27)+Setup!$B$29)),"K",IF(AND((9-1)&gt;((((((((((0+Setup!$B$11)+Setup!$B$13)+Setup!$B$15)+Setup!$B$17)+Setup!$B$19)+Setup!$B$21)+Setup!$B$23)+Setup!$B$25)+Setup!$B$27)+Setup!$B$29),(9-1)&lt;=(((((((((((0+Setup!$B$11)+Setup!$B$13)+Setup!$B$15)+Setup!$B$17)+Setup!$B$19)+Setup!$B$21)+Setup!$B$23)+Setup!$B$25)+Setup!$B$27)+Setup!$B$29)+Setup!$B$31)),"BENCH","")))))))))))</f>
        <v>FLEX (RB/WR/TE)</v>
      </c>
      <c r="E9" s="16" t="s">
        <v>654</v>
      </c>
      <c r="F9" s="17">
        <f>IF(F6&gt;0,F8-(F6-1)*1,"Roster full")</f>
        <v>185</v>
      </c>
    </row>
    <row r="10" spans="1:6" x14ac:dyDescent="0.25">
      <c r="A10" t="str">
        <f>IF(AND((10-1)&gt;0,(10-1)&lt;=(0+Setup!$B$11)),"QB",IF(AND((10-1)&gt;(0+Setup!$B$11),(10-1)&lt;=((0+Setup!$B$11)+Setup!$B$13)),"RB",IF(AND((10-1)&gt;((0+Setup!$B$11)+Setup!$B$13),(10-1)&lt;=(((0+Setup!$B$11)+Setup!$B$13)+Setup!$B$15)),"WR",IF(AND((10-1)&gt;(((0+Setup!$B$11)+Setup!$B$13)+Setup!$B$15),(10-1)&lt;=((((0+Setup!$B$11)+Setup!$B$13)+Setup!$B$15)+Setup!$B$17)),"TE",IF(AND((10-1)&gt;((((0+Setup!$B$11)+Setup!$B$13)+Setup!$B$15)+Setup!$B$17),(10-1)&lt;=(((((0+Setup!$B$11)+Setup!$B$13)+Setup!$B$15)+Setup!$B$17)+Setup!$B$19)),"FLEX (RB/WR/TE)",IF(AND((10-1)&gt;(((((0+Setup!$B$11)+Setup!$B$13)+Setup!$B$15)+Setup!$B$17)+Setup!$B$19),(10-1)&lt;=((((((0+Setup!$B$11)+Setup!$B$13)+Setup!$B$15)+Setup!$B$17)+Setup!$B$19)+Setup!$B$21)),"FLEX (RB/WR)",IF(AND((10-1)&gt;((((((0+Setup!$B$11)+Setup!$B$13)+Setup!$B$15)+Setup!$B$17)+Setup!$B$19)+Setup!$B$21),(10-1)&lt;=(((((((0+Setup!$B$11)+Setup!$B$13)+Setup!$B$15)+Setup!$B$17)+Setup!$B$19)+Setup!$B$21)+Setup!$B$23)),"FLEX (WR/TE)",IF(AND((10-1)&gt;(((((((0+Setup!$B$11)+Setup!$B$13)+Setup!$B$15)+Setup!$B$17)+Setup!$B$19)+Setup!$B$21)+Setup!$B$23),(10-1)&lt;=((((((((0+Setup!$B$11)+Setup!$B$13)+Setup!$B$15)+Setup!$B$17)+Setup!$B$19)+Setup!$B$21)+Setup!$B$23)+Setup!$B$25)),"SUPERFLEX",IF(AND((10-1)&gt;((((((((0+Setup!$B$11)+Setup!$B$13)+Setup!$B$15)+Setup!$B$17)+Setup!$B$19)+Setup!$B$21)+Setup!$B$23)+Setup!$B$25),(10-1)&lt;=(((((((((0+Setup!$B$11)+Setup!$B$13)+Setup!$B$15)+Setup!$B$17)+Setup!$B$19)+Setup!$B$21)+Setup!$B$23)+Setup!$B$25)+Setup!$B$27)),"DEF",IF(AND((10-1)&gt;(((((((((0+Setup!$B$11)+Setup!$B$13)+Setup!$B$15)+Setup!$B$17)+Setup!$B$19)+Setup!$B$21)+Setup!$B$23)+Setup!$B$25)+Setup!$B$27),(10-1)&lt;=((((((((((0+Setup!$B$11)+Setup!$B$13)+Setup!$B$15)+Setup!$B$17)+Setup!$B$19)+Setup!$B$21)+Setup!$B$23)+Setup!$B$25)+Setup!$B$27)+Setup!$B$29)),"K",IF(AND((10-1)&gt;((((((((((0+Setup!$B$11)+Setup!$B$13)+Setup!$B$15)+Setup!$B$17)+Setup!$B$19)+Setup!$B$21)+Setup!$B$23)+Setup!$B$25)+Setup!$B$27)+Setup!$B$29),(10-1)&lt;=(((((((((((0+Setup!$B$11)+Setup!$B$13)+Setup!$B$15)+Setup!$B$17)+Setup!$B$19)+Setup!$B$21)+Setup!$B$23)+Setup!$B$25)+Setup!$B$27)+Setup!$B$29)+Setup!$B$31)),"BENCH","")))))))))))</f>
        <v>DEF</v>
      </c>
      <c r="E10" s="16" t="s">
        <v>655</v>
      </c>
      <c r="F10" s="17">
        <f>IFERROR(F8/F6,"Roster full")</f>
        <v>12.5</v>
      </c>
    </row>
    <row r="11" spans="1:6" x14ac:dyDescent="0.25">
      <c r="A11" t="str">
        <f>IF(AND((11-1)&gt;0,(11-1)&lt;=(0+Setup!$B$11)),"QB",IF(AND((11-1)&gt;(0+Setup!$B$11),(11-1)&lt;=((0+Setup!$B$11)+Setup!$B$13)),"RB",IF(AND((11-1)&gt;((0+Setup!$B$11)+Setup!$B$13),(11-1)&lt;=(((0+Setup!$B$11)+Setup!$B$13)+Setup!$B$15)),"WR",IF(AND((11-1)&gt;(((0+Setup!$B$11)+Setup!$B$13)+Setup!$B$15),(11-1)&lt;=((((0+Setup!$B$11)+Setup!$B$13)+Setup!$B$15)+Setup!$B$17)),"TE",IF(AND((11-1)&gt;((((0+Setup!$B$11)+Setup!$B$13)+Setup!$B$15)+Setup!$B$17),(11-1)&lt;=(((((0+Setup!$B$11)+Setup!$B$13)+Setup!$B$15)+Setup!$B$17)+Setup!$B$19)),"FLEX (RB/WR/TE)",IF(AND((11-1)&gt;(((((0+Setup!$B$11)+Setup!$B$13)+Setup!$B$15)+Setup!$B$17)+Setup!$B$19),(11-1)&lt;=((((((0+Setup!$B$11)+Setup!$B$13)+Setup!$B$15)+Setup!$B$17)+Setup!$B$19)+Setup!$B$21)),"FLEX (RB/WR)",IF(AND((11-1)&gt;((((((0+Setup!$B$11)+Setup!$B$13)+Setup!$B$15)+Setup!$B$17)+Setup!$B$19)+Setup!$B$21),(11-1)&lt;=(((((((0+Setup!$B$11)+Setup!$B$13)+Setup!$B$15)+Setup!$B$17)+Setup!$B$19)+Setup!$B$21)+Setup!$B$23)),"FLEX (WR/TE)",IF(AND((11-1)&gt;(((((((0+Setup!$B$11)+Setup!$B$13)+Setup!$B$15)+Setup!$B$17)+Setup!$B$19)+Setup!$B$21)+Setup!$B$23),(11-1)&lt;=((((((((0+Setup!$B$11)+Setup!$B$13)+Setup!$B$15)+Setup!$B$17)+Setup!$B$19)+Setup!$B$21)+Setup!$B$23)+Setup!$B$25)),"SUPERFLEX",IF(AND((11-1)&gt;((((((((0+Setup!$B$11)+Setup!$B$13)+Setup!$B$15)+Setup!$B$17)+Setup!$B$19)+Setup!$B$21)+Setup!$B$23)+Setup!$B$25),(11-1)&lt;=(((((((((0+Setup!$B$11)+Setup!$B$13)+Setup!$B$15)+Setup!$B$17)+Setup!$B$19)+Setup!$B$21)+Setup!$B$23)+Setup!$B$25)+Setup!$B$27)),"DEF",IF(AND((11-1)&gt;(((((((((0+Setup!$B$11)+Setup!$B$13)+Setup!$B$15)+Setup!$B$17)+Setup!$B$19)+Setup!$B$21)+Setup!$B$23)+Setup!$B$25)+Setup!$B$27),(11-1)&lt;=((((((((((0+Setup!$B$11)+Setup!$B$13)+Setup!$B$15)+Setup!$B$17)+Setup!$B$19)+Setup!$B$21)+Setup!$B$23)+Setup!$B$25)+Setup!$B$27)+Setup!$B$29)),"K",IF(AND((11-1)&gt;((((((((((0+Setup!$B$11)+Setup!$B$13)+Setup!$B$15)+Setup!$B$17)+Setup!$B$19)+Setup!$B$21)+Setup!$B$23)+Setup!$B$25)+Setup!$B$27)+Setup!$B$29),(11-1)&lt;=(((((((((((0+Setup!$B$11)+Setup!$B$13)+Setup!$B$15)+Setup!$B$17)+Setup!$B$19)+Setup!$B$21)+Setup!$B$23)+Setup!$B$25)+Setup!$B$27)+Setup!$B$29)+Setup!$B$31)),"BENCH","")))))))))))</f>
        <v>K</v>
      </c>
    </row>
    <row r="12" spans="1:6" x14ac:dyDescent="0.25">
      <c r="A12" t="str">
        <f>IF(AND((12-1)&gt;0,(12-1)&lt;=(0+Setup!$B$11)),"QB",IF(AND((12-1)&gt;(0+Setup!$B$11),(12-1)&lt;=((0+Setup!$B$11)+Setup!$B$13)),"RB",IF(AND((12-1)&gt;((0+Setup!$B$11)+Setup!$B$13),(12-1)&lt;=(((0+Setup!$B$11)+Setup!$B$13)+Setup!$B$15)),"WR",IF(AND((12-1)&gt;(((0+Setup!$B$11)+Setup!$B$13)+Setup!$B$15),(12-1)&lt;=((((0+Setup!$B$11)+Setup!$B$13)+Setup!$B$15)+Setup!$B$17)),"TE",IF(AND((12-1)&gt;((((0+Setup!$B$11)+Setup!$B$13)+Setup!$B$15)+Setup!$B$17),(12-1)&lt;=(((((0+Setup!$B$11)+Setup!$B$13)+Setup!$B$15)+Setup!$B$17)+Setup!$B$19)),"FLEX (RB/WR/TE)",IF(AND((12-1)&gt;(((((0+Setup!$B$11)+Setup!$B$13)+Setup!$B$15)+Setup!$B$17)+Setup!$B$19),(12-1)&lt;=((((((0+Setup!$B$11)+Setup!$B$13)+Setup!$B$15)+Setup!$B$17)+Setup!$B$19)+Setup!$B$21)),"FLEX (RB/WR)",IF(AND((12-1)&gt;((((((0+Setup!$B$11)+Setup!$B$13)+Setup!$B$15)+Setup!$B$17)+Setup!$B$19)+Setup!$B$21),(12-1)&lt;=(((((((0+Setup!$B$11)+Setup!$B$13)+Setup!$B$15)+Setup!$B$17)+Setup!$B$19)+Setup!$B$21)+Setup!$B$23)),"FLEX (WR/TE)",IF(AND((12-1)&gt;(((((((0+Setup!$B$11)+Setup!$B$13)+Setup!$B$15)+Setup!$B$17)+Setup!$B$19)+Setup!$B$21)+Setup!$B$23),(12-1)&lt;=((((((((0+Setup!$B$11)+Setup!$B$13)+Setup!$B$15)+Setup!$B$17)+Setup!$B$19)+Setup!$B$21)+Setup!$B$23)+Setup!$B$25)),"SUPERFLEX",IF(AND((12-1)&gt;((((((((0+Setup!$B$11)+Setup!$B$13)+Setup!$B$15)+Setup!$B$17)+Setup!$B$19)+Setup!$B$21)+Setup!$B$23)+Setup!$B$25),(12-1)&lt;=(((((((((0+Setup!$B$11)+Setup!$B$13)+Setup!$B$15)+Setup!$B$17)+Setup!$B$19)+Setup!$B$21)+Setup!$B$23)+Setup!$B$25)+Setup!$B$27)),"DEF",IF(AND((12-1)&gt;(((((((((0+Setup!$B$11)+Setup!$B$13)+Setup!$B$15)+Setup!$B$17)+Setup!$B$19)+Setup!$B$21)+Setup!$B$23)+Setup!$B$25)+Setup!$B$27),(12-1)&lt;=((((((((((0+Setup!$B$11)+Setup!$B$13)+Setup!$B$15)+Setup!$B$17)+Setup!$B$19)+Setup!$B$21)+Setup!$B$23)+Setup!$B$25)+Setup!$B$27)+Setup!$B$29)),"K",IF(AND((12-1)&gt;((((((((((0+Setup!$B$11)+Setup!$B$13)+Setup!$B$15)+Setup!$B$17)+Setup!$B$19)+Setup!$B$21)+Setup!$B$23)+Setup!$B$25)+Setup!$B$27)+Setup!$B$29),(12-1)&lt;=(((((((((((0+Setup!$B$11)+Setup!$B$13)+Setup!$B$15)+Setup!$B$17)+Setup!$B$19)+Setup!$B$21)+Setup!$B$23)+Setup!$B$25)+Setup!$B$27)+Setup!$B$29)+Setup!$B$31)),"BENCH","")))))))))))</f>
        <v>BENCH</v>
      </c>
    </row>
    <row r="13" spans="1:6" x14ac:dyDescent="0.25">
      <c r="A13" t="str">
        <f>IF(AND((13-1)&gt;0,(13-1)&lt;=(0+Setup!$B$11)),"QB",IF(AND((13-1)&gt;(0+Setup!$B$11),(13-1)&lt;=((0+Setup!$B$11)+Setup!$B$13)),"RB",IF(AND((13-1)&gt;((0+Setup!$B$11)+Setup!$B$13),(13-1)&lt;=(((0+Setup!$B$11)+Setup!$B$13)+Setup!$B$15)),"WR",IF(AND((13-1)&gt;(((0+Setup!$B$11)+Setup!$B$13)+Setup!$B$15),(13-1)&lt;=((((0+Setup!$B$11)+Setup!$B$13)+Setup!$B$15)+Setup!$B$17)),"TE",IF(AND((13-1)&gt;((((0+Setup!$B$11)+Setup!$B$13)+Setup!$B$15)+Setup!$B$17),(13-1)&lt;=(((((0+Setup!$B$11)+Setup!$B$13)+Setup!$B$15)+Setup!$B$17)+Setup!$B$19)),"FLEX (RB/WR/TE)",IF(AND((13-1)&gt;(((((0+Setup!$B$11)+Setup!$B$13)+Setup!$B$15)+Setup!$B$17)+Setup!$B$19),(13-1)&lt;=((((((0+Setup!$B$11)+Setup!$B$13)+Setup!$B$15)+Setup!$B$17)+Setup!$B$19)+Setup!$B$21)),"FLEX (RB/WR)",IF(AND((13-1)&gt;((((((0+Setup!$B$11)+Setup!$B$13)+Setup!$B$15)+Setup!$B$17)+Setup!$B$19)+Setup!$B$21),(13-1)&lt;=(((((((0+Setup!$B$11)+Setup!$B$13)+Setup!$B$15)+Setup!$B$17)+Setup!$B$19)+Setup!$B$21)+Setup!$B$23)),"FLEX (WR/TE)",IF(AND((13-1)&gt;(((((((0+Setup!$B$11)+Setup!$B$13)+Setup!$B$15)+Setup!$B$17)+Setup!$B$19)+Setup!$B$21)+Setup!$B$23),(13-1)&lt;=((((((((0+Setup!$B$11)+Setup!$B$13)+Setup!$B$15)+Setup!$B$17)+Setup!$B$19)+Setup!$B$21)+Setup!$B$23)+Setup!$B$25)),"SUPERFLEX",IF(AND((13-1)&gt;((((((((0+Setup!$B$11)+Setup!$B$13)+Setup!$B$15)+Setup!$B$17)+Setup!$B$19)+Setup!$B$21)+Setup!$B$23)+Setup!$B$25),(13-1)&lt;=(((((((((0+Setup!$B$11)+Setup!$B$13)+Setup!$B$15)+Setup!$B$17)+Setup!$B$19)+Setup!$B$21)+Setup!$B$23)+Setup!$B$25)+Setup!$B$27)),"DEF",IF(AND((13-1)&gt;(((((((((0+Setup!$B$11)+Setup!$B$13)+Setup!$B$15)+Setup!$B$17)+Setup!$B$19)+Setup!$B$21)+Setup!$B$23)+Setup!$B$25)+Setup!$B$27),(13-1)&lt;=((((((((((0+Setup!$B$11)+Setup!$B$13)+Setup!$B$15)+Setup!$B$17)+Setup!$B$19)+Setup!$B$21)+Setup!$B$23)+Setup!$B$25)+Setup!$B$27)+Setup!$B$29)),"K",IF(AND((13-1)&gt;((((((((((0+Setup!$B$11)+Setup!$B$13)+Setup!$B$15)+Setup!$B$17)+Setup!$B$19)+Setup!$B$21)+Setup!$B$23)+Setup!$B$25)+Setup!$B$27)+Setup!$B$29),(13-1)&lt;=(((((((((((0+Setup!$B$11)+Setup!$B$13)+Setup!$B$15)+Setup!$B$17)+Setup!$B$19)+Setup!$B$21)+Setup!$B$23)+Setup!$B$25)+Setup!$B$27)+Setup!$B$29)+Setup!$B$31)),"BENCH","")))))))))))</f>
        <v>BENCH</v>
      </c>
    </row>
    <row r="14" spans="1:6" x14ac:dyDescent="0.25">
      <c r="A14" t="str">
        <f>IF(AND((14-1)&gt;0,(14-1)&lt;=(0+Setup!$B$11)),"QB",IF(AND((14-1)&gt;(0+Setup!$B$11),(14-1)&lt;=((0+Setup!$B$11)+Setup!$B$13)),"RB",IF(AND((14-1)&gt;((0+Setup!$B$11)+Setup!$B$13),(14-1)&lt;=(((0+Setup!$B$11)+Setup!$B$13)+Setup!$B$15)),"WR",IF(AND((14-1)&gt;(((0+Setup!$B$11)+Setup!$B$13)+Setup!$B$15),(14-1)&lt;=((((0+Setup!$B$11)+Setup!$B$13)+Setup!$B$15)+Setup!$B$17)),"TE",IF(AND((14-1)&gt;((((0+Setup!$B$11)+Setup!$B$13)+Setup!$B$15)+Setup!$B$17),(14-1)&lt;=(((((0+Setup!$B$11)+Setup!$B$13)+Setup!$B$15)+Setup!$B$17)+Setup!$B$19)),"FLEX (RB/WR/TE)",IF(AND((14-1)&gt;(((((0+Setup!$B$11)+Setup!$B$13)+Setup!$B$15)+Setup!$B$17)+Setup!$B$19),(14-1)&lt;=((((((0+Setup!$B$11)+Setup!$B$13)+Setup!$B$15)+Setup!$B$17)+Setup!$B$19)+Setup!$B$21)),"FLEX (RB/WR)",IF(AND((14-1)&gt;((((((0+Setup!$B$11)+Setup!$B$13)+Setup!$B$15)+Setup!$B$17)+Setup!$B$19)+Setup!$B$21),(14-1)&lt;=(((((((0+Setup!$B$11)+Setup!$B$13)+Setup!$B$15)+Setup!$B$17)+Setup!$B$19)+Setup!$B$21)+Setup!$B$23)),"FLEX (WR/TE)",IF(AND((14-1)&gt;(((((((0+Setup!$B$11)+Setup!$B$13)+Setup!$B$15)+Setup!$B$17)+Setup!$B$19)+Setup!$B$21)+Setup!$B$23),(14-1)&lt;=((((((((0+Setup!$B$11)+Setup!$B$13)+Setup!$B$15)+Setup!$B$17)+Setup!$B$19)+Setup!$B$21)+Setup!$B$23)+Setup!$B$25)),"SUPERFLEX",IF(AND((14-1)&gt;((((((((0+Setup!$B$11)+Setup!$B$13)+Setup!$B$15)+Setup!$B$17)+Setup!$B$19)+Setup!$B$21)+Setup!$B$23)+Setup!$B$25),(14-1)&lt;=(((((((((0+Setup!$B$11)+Setup!$B$13)+Setup!$B$15)+Setup!$B$17)+Setup!$B$19)+Setup!$B$21)+Setup!$B$23)+Setup!$B$25)+Setup!$B$27)),"DEF",IF(AND((14-1)&gt;(((((((((0+Setup!$B$11)+Setup!$B$13)+Setup!$B$15)+Setup!$B$17)+Setup!$B$19)+Setup!$B$21)+Setup!$B$23)+Setup!$B$25)+Setup!$B$27),(14-1)&lt;=((((((((((0+Setup!$B$11)+Setup!$B$13)+Setup!$B$15)+Setup!$B$17)+Setup!$B$19)+Setup!$B$21)+Setup!$B$23)+Setup!$B$25)+Setup!$B$27)+Setup!$B$29)),"K",IF(AND((14-1)&gt;((((((((((0+Setup!$B$11)+Setup!$B$13)+Setup!$B$15)+Setup!$B$17)+Setup!$B$19)+Setup!$B$21)+Setup!$B$23)+Setup!$B$25)+Setup!$B$27)+Setup!$B$29),(14-1)&lt;=(((((((((((0+Setup!$B$11)+Setup!$B$13)+Setup!$B$15)+Setup!$B$17)+Setup!$B$19)+Setup!$B$21)+Setup!$B$23)+Setup!$B$25)+Setup!$B$27)+Setup!$B$29)+Setup!$B$31)),"BENCH","")))))))))))</f>
        <v>BENCH</v>
      </c>
    </row>
    <row r="15" spans="1:6" x14ac:dyDescent="0.25">
      <c r="A15" t="str">
        <f>IF(AND((15-1)&gt;0,(15-1)&lt;=(0+Setup!$B$11)),"QB",IF(AND((15-1)&gt;(0+Setup!$B$11),(15-1)&lt;=((0+Setup!$B$11)+Setup!$B$13)),"RB",IF(AND((15-1)&gt;((0+Setup!$B$11)+Setup!$B$13),(15-1)&lt;=(((0+Setup!$B$11)+Setup!$B$13)+Setup!$B$15)),"WR",IF(AND((15-1)&gt;(((0+Setup!$B$11)+Setup!$B$13)+Setup!$B$15),(15-1)&lt;=((((0+Setup!$B$11)+Setup!$B$13)+Setup!$B$15)+Setup!$B$17)),"TE",IF(AND((15-1)&gt;((((0+Setup!$B$11)+Setup!$B$13)+Setup!$B$15)+Setup!$B$17),(15-1)&lt;=(((((0+Setup!$B$11)+Setup!$B$13)+Setup!$B$15)+Setup!$B$17)+Setup!$B$19)),"FLEX (RB/WR/TE)",IF(AND((15-1)&gt;(((((0+Setup!$B$11)+Setup!$B$13)+Setup!$B$15)+Setup!$B$17)+Setup!$B$19),(15-1)&lt;=((((((0+Setup!$B$11)+Setup!$B$13)+Setup!$B$15)+Setup!$B$17)+Setup!$B$19)+Setup!$B$21)),"FLEX (RB/WR)",IF(AND((15-1)&gt;((((((0+Setup!$B$11)+Setup!$B$13)+Setup!$B$15)+Setup!$B$17)+Setup!$B$19)+Setup!$B$21),(15-1)&lt;=(((((((0+Setup!$B$11)+Setup!$B$13)+Setup!$B$15)+Setup!$B$17)+Setup!$B$19)+Setup!$B$21)+Setup!$B$23)),"FLEX (WR/TE)",IF(AND((15-1)&gt;(((((((0+Setup!$B$11)+Setup!$B$13)+Setup!$B$15)+Setup!$B$17)+Setup!$B$19)+Setup!$B$21)+Setup!$B$23),(15-1)&lt;=((((((((0+Setup!$B$11)+Setup!$B$13)+Setup!$B$15)+Setup!$B$17)+Setup!$B$19)+Setup!$B$21)+Setup!$B$23)+Setup!$B$25)),"SUPERFLEX",IF(AND((15-1)&gt;((((((((0+Setup!$B$11)+Setup!$B$13)+Setup!$B$15)+Setup!$B$17)+Setup!$B$19)+Setup!$B$21)+Setup!$B$23)+Setup!$B$25),(15-1)&lt;=(((((((((0+Setup!$B$11)+Setup!$B$13)+Setup!$B$15)+Setup!$B$17)+Setup!$B$19)+Setup!$B$21)+Setup!$B$23)+Setup!$B$25)+Setup!$B$27)),"DEF",IF(AND((15-1)&gt;(((((((((0+Setup!$B$11)+Setup!$B$13)+Setup!$B$15)+Setup!$B$17)+Setup!$B$19)+Setup!$B$21)+Setup!$B$23)+Setup!$B$25)+Setup!$B$27),(15-1)&lt;=((((((((((0+Setup!$B$11)+Setup!$B$13)+Setup!$B$15)+Setup!$B$17)+Setup!$B$19)+Setup!$B$21)+Setup!$B$23)+Setup!$B$25)+Setup!$B$27)+Setup!$B$29)),"K",IF(AND((15-1)&gt;((((((((((0+Setup!$B$11)+Setup!$B$13)+Setup!$B$15)+Setup!$B$17)+Setup!$B$19)+Setup!$B$21)+Setup!$B$23)+Setup!$B$25)+Setup!$B$27)+Setup!$B$29),(15-1)&lt;=(((((((((((0+Setup!$B$11)+Setup!$B$13)+Setup!$B$15)+Setup!$B$17)+Setup!$B$19)+Setup!$B$21)+Setup!$B$23)+Setup!$B$25)+Setup!$B$27)+Setup!$B$29)+Setup!$B$31)),"BENCH","")))))))))))</f>
        <v>BENCH</v>
      </c>
    </row>
    <row r="16" spans="1:6" x14ac:dyDescent="0.25">
      <c r="A16" t="str">
        <f>IF(AND((16-1)&gt;0,(16-1)&lt;=(0+Setup!$B$11)),"QB",IF(AND((16-1)&gt;(0+Setup!$B$11),(16-1)&lt;=((0+Setup!$B$11)+Setup!$B$13)),"RB",IF(AND((16-1)&gt;((0+Setup!$B$11)+Setup!$B$13),(16-1)&lt;=(((0+Setup!$B$11)+Setup!$B$13)+Setup!$B$15)),"WR",IF(AND((16-1)&gt;(((0+Setup!$B$11)+Setup!$B$13)+Setup!$B$15),(16-1)&lt;=((((0+Setup!$B$11)+Setup!$B$13)+Setup!$B$15)+Setup!$B$17)),"TE",IF(AND((16-1)&gt;((((0+Setup!$B$11)+Setup!$B$13)+Setup!$B$15)+Setup!$B$17),(16-1)&lt;=(((((0+Setup!$B$11)+Setup!$B$13)+Setup!$B$15)+Setup!$B$17)+Setup!$B$19)),"FLEX (RB/WR/TE)",IF(AND((16-1)&gt;(((((0+Setup!$B$11)+Setup!$B$13)+Setup!$B$15)+Setup!$B$17)+Setup!$B$19),(16-1)&lt;=((((((0+Setup!$B$11)+Setup!$B$13)+Setup!$B$15)+Setup!$B$17)+Setup!$B$19)+Setup!$B$21)),"FLEX (RB/WR)",IF(AND((16-1)&gt;((((((0+Setup!$B$11)+Setup!$B$13)+Setup!$B$15)+Setup!$B$17)+Setup!$B$19)+Setup!$B$21),(16-1)&lt;=(((((((0+Setup!$B$11)+Setup!$B$13)+Setup!$B$15)+Setup!$B$17)+Setup!$B$19)+Setup!$B$21)+Setup!$B$23)),"FLEX (WR/TE)",IF(AND((16-1)&gt;(((((((0+Setup!$B$11)+Setup!$B$13)+Setup!$B$15)+Setup!$B$17)+Setup!$B$19)+Setup!$B$21)+Setup!$B$23),(16-1)&lt;=((((((((0+Setup!$B$11)+Setup!$B$13)+Setup!$B$15)+Setup!$B$17)+Setup!$B$19)+Setup!$B$21)+Setup!$B$23)+Setup!$B$25)),"SUPERFLEX",IF(AND((16-1)&gt;((((((((0+Setup!$B$11)+Setup!$B$13)+Setup!$B$15)+Setup!$B$17)+Setup!$B$19)+Setup!$B$21)+Setup!$B$23)+Setup!$B$25),(16-1)&lt;=(((((((((0+Setup!$B$11)+Setup!$B$13)+Setup!$B$15)+Setup!$B$17)+Setup!$B$19)+Setup!$B$21)+Setup!$B$23)+Setup!$B$25)+Setup!$B$27)),"DEF",IF(AND((16-1)&gt;(((((((((0+Setup!$B$11)+Setup!$B$13)+Setup!$B$15)+Setup!$B$17)+Setup!$B$19)+Setup!$B$21)+Setup!$B$23)+Setup!$B$25)+Setup!$B$27),(16-1)&lt;=((((((((((0+Setup!$B$11)+Setup!$B$13)+Setup!$B$15)+Setup!$B$17)+Setup!$B$19)+Setup!$B$21)+Setup!$B$23)+Setup!$B$25)+Setup!$B$27)+Setup!$B$29)),"K",IF(AND((16-1)&gt;((((((((((0+Setup!$B$11)+Setup!$B$13)+Setup!$B$15)+Setup!$B$17)+Setup!$B$19)+Setup!$B$21)+Setup!$B$23)+Setup!$B$25)+Setup!$B$27)+Setup!$B$29),(16-1)&lt;=(((((((((((0+Setup!$B$11)+Setup!$B$13)+Setup!$B$15)+Setup!$B$17)+Setup!$B$19)+Setup!$B$21)+Setup!$B$23)+Setup!$B$25)+Setup!$B$27)+Setup!$B$29)+Setup!$B$31)),"BENCH","")))))))))))</f>
        <v>BENCH</v>
      </c>
    </row>
    <row r="17" spans="1:1" x14ac:dyDescent="0.25">
      <c r="A17" t="str">
        <f>IF(AND((17-1)&gt;0,(17-1)&lt;=(0+Setup!$B$11)),"QB",IF(AND((17-1)&gt;(0+Setup!$B$11),(17-1)&lt;=((0+Setup!$B$11)+Setup!$B$13)),"RB",IF(AND((17-1)&gt;((0+Setup!$B$11)+Setup!$B$13),(17-1)&lt;=(((0+Setup!$B$11)+Setup!$B$13)+Setup!$B$15)),"WR",IF(AND((17-1)&gt;(((0+Setup!$B$11)+Setup!$B$13)+Setup!$B$15),(17-1)&lt;=((((0+Setup!$B$11)+Setup!$B$13)+Setup!$B$15)+Setup!$B$17)),"TE",IF(AND((17-1)&gt;((((0+Setup!$B$11)+Setup!$B$13)+Setup!$B$15)+Setup!$B$17),(17-1)&lt;=(((((0+Setup!$B$11)+Setup!$B$13)+Setup!$B$15)+Setup!$B$17)+Setup!$B$19)),"FLEX (RB/WR/TE)",IF(AND((17-1)&gt;(((((0+Setup!$B$11)+Setup!$B$13)+Setup!$B$15)+Setup!$B$17)+Setup!$B$19),(17-1)&lt;=((((((0+Setup!$B$11)+Setup!$B$13)+Setup!$B$15)+Setup!$B$17)+Setup!$B$19)+Setup!$B$21)),"FLEX (RB/WR)",IF(AND((17-1)&gt;((((((0+Setup!$B$11)+Setup!$B$13)+Setup!$B$15)+Setup!$B$17)+Setup!$B$19)+Setup!$B$21),(17-1)&lt;=(((((((0+Setup!$B$11)+Setup!$B$13)+Setup!$B$15)+Setup!$B$17)+Setup!$B$19)+Setup!$B$21)+Setup!$B$23)),"FLEX (WR/TE)",IF(AND((17-1)&gt;(((((((0+Setup!$B$11)+Setup!$B$13)+Setup!$B$15)+Setup!$B$17)+Setup!$B$19)+Setup!$B$21)+Setup!$B$23),(17-1)&lt;=((((((((0+Setup!$B$11)+Setup!$B$13)+Setup!$B$15)+Setup!$B$17)+Setup!$B$19)+Setup!$B$21)+Setup!$B$23)+Setup!$B$25)),"SUPERFLEX",IF(AND((17-1)&gt;((((((((0+Setup!$B$11)+Setup!$B$13)+Setup!$B$15)+Setup!$B$17)+Setup!$B$19)+Setup!$B$21)+Setup!$B$23)+Setup!$B$25),(17-1)&lt;=(((((((((0+Setup!$B$11)+Setup!$B$13)+Setup!$B$15)+Setup!$B$17)+Setup!$B$19)+Setup!$B$21)+Setup!$B$23)+Setup!$B$25)+Setup!$B$27)),"DEF",IF(AND((17-1)&gt;(((((((((0+Setup!$B$11)+Setup!$B$13)+Setup!$B$15)+Setup!$B$17)+Setup!$B$19)+Setup!$B$21)+Setup!$B$23)+Setup!$B$25)+Setup!$B$27),(17-1)&lt;=((((((((((0+Setup!$B$11)+Setup!$B$13)+Setup!$B$15)+Setup!$B$17)+Setup!$B$19)+Setup!$B$21)+Setup!$B$23)+Setup!$B$25)+Setup!$B$27)+Setup!$B$29)),"K",IF(AND((17-1)&gt;((((((((((0+Setup!$B$11)+Setup!$B$13)+Setup!$B$15)+Setup!$B$17)+Setup!$B$19)+Setup!$B$21)+Setup!$B$23)+Setup!$B$25)+Setup!$B$27)+Setup!$B$29),(17-1)&lt;=(((((((((((0+Setup!$B$11)+Setup!$B$13)+Setup!$B$15)+Setup!$B$17)+Setup!$B$19)+Setup!$B$21)+Setup!$B$23)+Setup!$B$25)+Setup!$B$27)+Setup!$B$29)+Setup!$B$31)),"BENCH","")))))))))))</f>
        <v>BENCH</v>
      </c>
    </row>
    <row r="18" spans="1:1" x14ac:dyDescent="0.25">
      <c r="A18" t="str">
        <f>IF(AND((18-1)&gt;0,(18-1)&lt;=(0+Setup!$B$11)),"QB",IF(AND((18-1)&gt;(0+Setup!$B$11),(18-1)&lt;=((0+Setup!$B$11)+Setup!$B$13)),"RB",IF(AND((18-1)&gt;((0+Setup!$B$11)+Setup!$B$13),(18-1)&lt;=(((0+Setup!$B$11)+Setup!$B$13)+Setup!$B$15)),"WR",IF(AND((18-1)&gt;(((0+Setup!$B$11)+Setup!$B$13)+Setup!$B$15),(18-1)&lt;=((((0+Setup!$B$11)+Setup!$B$13)+Setup!$B$15)+Setup!$B$17)),"TE",IF(AND((18-1)&gt;((((0+Setup!$B$11)+Setup!$B$13)+Setup!$B$15)+Setup!$B$17),(18-1)&lt;=(((((0+Setup!$B$11)+Setup!$B$13)+Setup!$B$15)+Setup!$B$17)+Setup!$B$19)),"FLEX (RB/WR/TE)",IF(AND((18-1)&gt;(((((0+Setup!$B$11)+Setup!$B$13)+Setup!$B$15)+Setup!$B$17)+Setup!$B$19),(18-1)&lt;=((((((0+Setup!$B$11)+Setup!$B$13)+Setup!$B$15)+Setup!$B$17)+Setup!$B$19)+Setup!$B$21)),"FLEX (RB/WR)",IF(AND((18-1)&gt;((((((0+Setup!$B$11)+Setup!$B$13)+Setup!$B$15)+Setup!$B$17)+Setup!$B$19)+Setup!$B$21),(18-1)&lt;=(((((((0+Setup!$B$11)+Setup!$B$13)+Setup!$B$15)+Setup!$B$17)+Setup!$B$19)+Setup!$B$21)+Setup!$B$23)),"FLEX (WR/TE)",IF(AND((18-1)&gt;(((((((0+Setup!$B$11)+Setup!$B$13)+Setup!$B$15)+Setup!$B$17)+Setup!$B$19)+Setup!$B$21)+Setup!$B$23),(18-1)&lt;=((((((((0+Setup!$B$11)+Setup!$B$13)+Setup!$B$15)+Setup!$B$17)+Setup!$B$19)+Setup!$B$21)+Setup!$B$23)+Setup!$B$25)),"SUPERFLEX",IF(AND((18-1)&gt;((((((((0+Setup!$B$11)+Setup!$B$13)+Setup!$B$15)+Setup!$B$17)+Setup!$B$19)+Setup!$B$21)+Setup!$B$23)+Setup!$B$25),(18-1)&lt;=(((((((((0+Setup!$B$11)+Setup!$B$13)+Setup!$B$15)+Setup!$B$17)+Setup!$B$19)+Setup!$B$21)+Setup!$B$23)+Setup!$B$25)+Setup!$B$27)),"DEF",IF(AND((18-1)&gt;(((((((((0+Setup!$B$11)+Setup!$B$13)+Setup!$B$15)+Setup!$B$17)+Setup!$B$19)+Setup!$B$21)+Setup!$B$23)+Setup!$B$25)+Setup!$B$27),(18-1)&lt;=((((((((((0+Setup!$B$11)+Setup!$B$13)+Setup!$B$15)+Setup!$B$17)+Setup!$B$19)+Setup!$B$21)+Setup!$B$23)+Setup!$B$25)+Setup!$B$27)+Setup!$B$29)),"K",IF(AND((18-1)&gt;((((((((((0+Setup!$B$11)+Setup!$B$13)+Setup!$B$15)+Setup!$B$17)+Setup!$B$19)+Setup!$B$21)+Setup!$B$23)+Setup!$B$25)+Setup!$B$27)+Setup!$B$29),(18-1)&lt;=(((((((((((0+Setup!$B$11)+Setup!$B$13)+Setup!$B$15)+Setup!$B$17)+Setup!$B$19)+Setup!$B$21)+Setup!$B$23)+Setup!$B$25)+Setup!$B$27)+Setup!$B$29)+Setup!$B$31)),"BENCH","")))))))))))</f>
        <v/>
      </c>
    </row>
    <row r="19" spans="1:1" x14ac:dyDescent="0.25">
      <c r="A19" t="str">
        <f>IF(AND((19-1)&gt;0,(19-1)&lt;=(0+Setup!$B$11)),"QB",IF(AND((19-1)&gt;(0+Setup!$B$11),(19-1)&lt;=((0+Setup!$B$11)+Setup!$B$13)),"RB",IF(AND((19-1)&gt;((0+Setup!$B$11)+Setup!$B$13),(19-1)&lt;=(((0+Setup!$B$11)+Setup!$B$13)+Setup!$B$15)),"WR",IF(AND((19-1)&gt;(((0+Setup!$B$11)+Setup!$B$13)+Setup!$B$15),(19-1)&lt;=((((0+Setup!$B$11)+Setup!$B$13)+Setup!$B$15)+Setup!$B$17)),"TE",IF(AND((19-1)&gt;((((0+Setup!$B$11)+Setup!$B$13)+Setup!$B$15)+Setup!$B$17),(19-1)&lt;=(((((0+Setup!$B$11)+Setup!$B$13)+Setup!$B$15)+Setup!$B$17)+Setup!$B$19)),"FLEX (RB/WR/TE)",IF(AND((19-1)&gt;(((((0+Setup!$B$11)+Setup!$B$13)+Setup!$B$15)+Setup!$B$17)+Setup!$B$19),(19-1)&lt;=((((((0+Setup!$B$11)+Setup!$B$13)+Setup!$B$15)+Setup!$B$17)+Setup!$B$19)+Setup!$B$21)),"FLEX (RB/WR)",IF(AND((19-1)&gt;((((((0+Setup!$B$11)+Setup!$B$13)+Setup!$B$15)+Setup!$B$17)+Setup!$B$19)+Setup!$B$21),(19-1)&lt;=(((((((0+Setup!$B$11)+Setup!$B$13)+Setup!$B$15)+Setup!$B$17)+Setup!$B$19)+Setup!$B$21)+Setup!$B$23)),"FLEX (WR/TE)",IF(AND((19-1)&gt;(((((((0+Setup!$B$11)+Setup!$B$13)+Setup!$B$15)+Setup!$B$17)+Setup!$B$19)+Setup!$B$21)+Setup!$B$23),(19-1)&lt;=((((((((0+Setup!$B$11)+Setup!$B$13)+Setup!$B$15)+Setup!$B$17)+Setup!$B$19)+Setup!$B$21)+Setup!$B$23)+Setup!$B$25)),"SUPERFLEX",IF(AND((19-1)&gt;((((((((0+Setup!$B$11)+Setup!$B$13)+Setup!$B$15)+Setup!$B$17)+Setup!$B$19)+Setup!$B$21)+Setup!$B$23)+Setup!$B$25),(19-1)&lt;=(((((((((0+Setup!$B$11)+Setup!$B$13)+Setup!$B$15)+Setup!$B$17)+Setup!$B$19)+Setup!$B$21)+Setup!$B$23)+Setup!$B$25)+Setup!$B$27)),"DEF",IF(AND((19-1)&gt;(((((((((0+Setup!$B$11)+Setup!$B$13)+Setup!$B$15)+Setup!$B$17)+Setup!$B$19)+Setup!$B$21)+Setup!$B$23)+Setup!$B$25)+Setup!$B$27),(19-1)&lt;=((((((((((0+Setup!$B$11)+Setup!$B$13)+Setup!$B$15)+Setup!$B$17)+Setup!$B$19)+Setup!$B$21)+Setup!$B$23)+Setup!$B$25)+Setup!$B$27)+Setup!$B$29)),"K",IF(AND((19-1)&gt;((((((((((0+Setup!$B$11)+Setup!$B$13)+Setup!$B$15)+Setup!$B$17)+Setup!$B$19)+Setup!$B$21)+Setup!$B$23)+Setup!$B$25)+Setup!$B$27)+Setup!$B$29),(19-1)&lt;=(((((((((((0+Setup!$B$11)+Setup!$B$13)+Setup!$B$15)+Setup!$B$17)+Setup!$B$19)+Setup!$B$21)+Setup!$B$23)+Setup!$B$25)+Setup!$B$27)+Setup!$B$29)+Setup!$B$31)),"BENCH","")))))))))))</f>
        <v/>
      </c>
    </row>
    <row r="20" spans="1:1" x14ac:dyDescent="0.25">
      <c r="A20" t="str">
        <f>IF(AND((20-1)&gt;0,(20-1)&lt;=(0+Setup!$B$11)),"QB",IF(AND((20-1)&gt;(0+Setup!$B$11),(20-1)&lt;=((0+Setup!$B$11)+Setup!$B$13)),"RB",IF(AND((20-1)&gt;((0+Setup!$B$11)+Setup!$B$13),(20-1)&lt;=(((0+Setup!$B$11)+Setup!$B$13)+Setup!$B$15)),"WR",IF(AND((20-1)&gt;(((0+Setup!$B$11)+Setup!$B$13)+Setup!$B$15),(20-1)&lt;=((((0+Setup!$B$11)+Setup!$B$13)+Setup!$B$15)+Setup!$B$17)),"TE",IF(AND((20-1)&gt;((((0+Setup!$B$11)+Setup!$B$13)+Setup!$B$15)+Setup!$B$17),(20-1)&lt;=(((((0+Setup!$B$11)+Setup!$B$13)+Setup!$B$15)+Setup!$B$17)+Setup!$B$19)),"FLEX (RB/WR/TE)",IF(AND((20-1)&gt;(((((0+Setup!$B$11)+Setup!$B$13)+Setup!$B$15)+Setup!$B$17)+Setup!$B$19),(20-1)&lt;=((((((0+Setup!$B$11)+Setup!$B$13)+Setup!$B$15)+Setup!$B$17)+Setup!$B$19)+Setup!$B$21)),"FLEX (RB/WR)",IF(AND((20-1)&gt;((((((0+Setup!$B$11)+Setup!$B$13)+Setup!$B$15)+Setup!$B$17)+Setup!$B$19)+Setup!$B$21),(20-1)&lt;=(((((((0+Setup!$B$11)+Setup!$B$13)+Setup!$B$15)+Setup!$B$17)+Setup!$B$19)+Setup!$B$21)+Setup!$B$23)),"FLEX (WR/TE)",IF(AND((20-1)&gt;(((((((0+Setup!$B$11)+Setup!$B$13)+Setup!$B$15)+Setup!$B$17)+Setup!$B$19)+Setup!$B$21)+Setup!$B$23),(20-1)&lt;=((((((((0+Setup!$B$11)+Setup!$B$13)+Setup!$B$15)+Setup!$B$17)+Setup!$B$19)+Setup!$B$21)+Setup!$B$23)+Setup!$B$25)),"SUPERFLEX",IF(AND((20-1)&gt;((((((((0+Setup!$B$11)+Setup!$B$13)+Setup!$B$15)+Setup!$B$17)+Setup!$B$19)+Setup!$B$21)+Setup!$B$23)+Setup!$B$25),(20-1)&lt;=(((((((((0+Setup!$B$11)+Setup!$B$13)+Setup!$B$15)+Setup!$B$17)+Setup!$B$19)+Setup!$B$21)+Setup!$B$23)+Setup!$B$25)+Setup!$B$27)),"DEF",IF(AND((20-1)&gt;(((((((((0+Setup!$B$11)+Setup!$B$13)+Setup!$B$15)+Setup!$B$17)+Setup!$B$19)+Setup!$B$21)+Setup!$B$23)+Setup!$B$25)+Setup!$B$27),(20-1)&lt;=((((((((((0+Setup!$B$11)+Setup!$B$13)+Setup!$B$15)+Setup!$B$17)+Setup!$B$19)+Setup!$B$21)+Setup!$B$23)+Setup!$B$25)+Setup!$B$27)+Setup!$B$29)),"K",IF(AND((20-1)&gt;((((((((((0+Setup!$B$11)+Setup!$B$13)+Setup!$B$15)+Setup!$B$17)+Setup!$B$19)+Setup!$B$21)+Setup!$B$23)+Setup!$B$25)+Setup!$B$27)+Setup!$B$29),(20-1)&lt;=(((((((((((0+Setup!$B$11)+Setup!$B$13)+Setup!$B$15)+Setup!$B$17)+Setup!$B$19)+Setup!$B$21)+Setup!$B$23)+Setup!$B$25)+Setup!$B$27)+Setup!$B$29)+Setup!$B$31)),"BENCH","")))))))))))</f>
        <v/>
      </c>
    </row>
    <row r="21" spans="1:1" x14ac:dyDescent="0.25">
      <c r="A21" t="str">
        <f>IF(AND((21-1)&gt;0,(21-1)&lt;=(0+Setup!$B$11)),"QB",IF(AND((21-1)&gt;(0+Setup!$B$11),(21-1)&lt;=((0+Setup!$B$11)+Setup!$B$13)),"RB",IF(AND((21-1)&gt;((0+Setup!$B$11)+Setup!$B$13),(21-1)&lt;=(((0+Setup!$B$11)+Setup!$B$13)+Setup!$B$15)),"WR",IF(AND((21-1)&gt;(((0+Setup!$B$11)+Setup!$B$13)+Setup!$B$15),(21-1)&lt;=((((0+Setup!$B$11)+Setup!$B$13)+Setup!$B$15)+Setup!$B$17)),"TE",IF(AND((21-1)&gt;((((0+Setup!$B$11)+Setup!$B$13)+Setup!$B$15)+Setup!$B$17),(21-1)&lt;=(((((0+Setup!$B$11)+Setup!$B$13)+Setup!$B$15)+Setup!$B$17)+Setup!$B$19)),"FLEX (RB/WR/TE)",IF(AND((21-1)&gt;(((((0+Setup!$B$11)+Setup!$B$13)+Setup!$B$15)+Setup!$B$17)+Setup!$B$19),(21-1)&lt;=((((((0+Setup!$B$11)+Setup!$B$13)+Setup!$B$15)+Setup!$B$17)+Setup!$B$19)+Setup!$B$21)),"FLEX (RB/WR)",IF(AND((21-1)&gt;((((((0+Setup!$B$11)+Setup!$B$13)+Setup!$B$15)+Setup!$B$17)+Setup!$B$19)+Setup!$B$21),(21-1)&lt;=(((((((0+Setup!$B$11)+Setup!$B$13)+Setup!$B$15)+Setup!$B$17)+Setup!$B$19)+Setup!$B$21)+Setup!$B$23)),"FLEX (WR/TE)",IF(AND((21-1)&gt;(((((((0+Setup!$B$11)+Setup!$B$13)+Setup!$B$15)+Setup!$B$17)+Setup!$B$19)+Setup!$B$21)+Setup!$B$23),(21-1)&lt;=((((((((0+Setup!$B$11)+Setup!$B$13)+Setup!$B$15)+Setup!$B$17)+Setup!$B$19)+Setup!$B$21)+Setup!$B$23)+Setup!$B$25)),"SUPERFLEX",IF(AND((21-1)&gt;((((((((0+Setup!$B$11)+Setup!$B$13)+Setup!$B$15)+Setup!$B$17)+Setup!$B$19)+Setup!$B$21)+Setup!$B$23)+Setup!$B$25),(21-1)&lt;=(((((((((0+Setup!$B$11)+Setup!$B$13)+Setup!$B$15)+Setup!$B$17)+Setup!$B$19)+Setup!$B$21)+Setup!$B$23)+Setup!$B$25)+Setup!$B$27)),"DEF",IF(AND((21-1)&gt;(((((((((0+Setup!$B$11)+Setup!$B$13)+Setup!$B$15)+Setup!$B$17)+Setup!$B$19)+Setup!$B$21)+Setup!$B$23)+Setup!$B$25)+Setup!$B$27),(21-1)&lt;=((((((((((0+Setup!$B$11)+Setup!$B$13)+Setup!$B$15)+Setup!$B$17)+Setup!$B$19)+Setup!$B$21)+Setup!$B$23)+Setup!$B$25)+Setup!$B$27)+Setup!$B$29)),"K",IF(AND((21-1)&gt;((((((((((0+Setup!$B$11)+Setup!$B$13)+Setup!$B$15)+Setup!$B$17)+Setup!$B$19)+Setup!$B$21)+Setup!$B$23)+Setup!$B$25)+Setup!$B$27)+Setup!$B$29),(21-1)&lt;=(((((((((((0+Setup!$B$11)+Setup!$B$13)+Setup!$B$15)+Setup!$B$17)+Setup!$B$19)+Setup!$B$21)+Setup!$B$23)+Setup!$B$25)+Setup!$B$27)+Setup!$B$29)+Setup!$B$31)),"BENCH","")))))))))))</f>
        <v/>
      </c>
    </row>
    <row r="22" spans="1:1" x14ac:dyDescent="0.25">
      <c r="A22" t="str">
        <f>IF(AND((22-1)&gt;0,(22-1)&lt;=(0+Setup!$B$11)),"QB",IF(AND((22-1)&gt;(0+Setup!$B$11),(22-1)&lt;=((0+Setup!$B$11)+Setup!$B$13)),"RB",IF(AND((22-1)&gt;((0+Setup!$B$11)+Setup!$B$13),(22-1)&lt;=(((0+Setup!$B$11)+Setup!$B$13)+Setup!$B$15)),"WR",IF(AND((22-1)&gt;(((0+Setup!$B$11)+Setup!$B$13)+Setup!$B$15),(22-1)&lt;=((((0+Setup!$B$11)+Setup!$B$13)+Setup!$B$15)+Setup!$B$17)),"TE",IF(AND((22-1)&gt;((((0+Setup!$B$11)+Setup!$B$13)+Setup!$B$15)+Setup!$B$17),(22-1)&lt;=(((((0+Setup!$B$11)+Setup!$B$13)+Setup!$B$15)+Setup!$B$17)+Setup!$B$19)),"FLEX (RB/WR/TE)",IF(AND((22-1)&gt;(((((0+Setup!$B$11)+Setup!$B$13)+Setup!$B$15)+Setup!$B$17)+Setup!$B$19),(22-1)&lt;=((((((0+Setup!$B$11)+Setup!$B$13)+Setup!$B$15)+Setup!$B$17)+Setup!$B$19)+Setup!$B$21)),"FLEX (RB/WR)",IF(AND((22-1)&gt;((((((0+Setup!$B$11)+Setup!$B$13)+Setup!$B$15)+Setup!$B$17)+Setup!$B$19)+Setup!$B$21),(22-1)&lt;=(((((((0+Setup!$B$11)+Setup!$B$13)+Setup!$B$15)+Setup!$B$17)+Setup!$B$19)+Setup!$B$21)+Setup!$B$23)),"FLEX (WR/TE)",IF(AND((22-1)&gt;(((((((0+Setup!$B$11)+Setup!$B$13)+Setup!$B$15)+Setup!$B$17)+Setup!$B$19)+Setup!$B$21)+Setup!$B$23),(22-1)&lt;=((((((((0+Setup!$B$11)+Setup!$B$13)+Setup!$B$15)+Setup!$B$17)+Setup!$B$19)+Setup!$B$21)+Setup!$B$23)+Setup!$B$25)),"SUPERFLEX",IF(AND((22-1)&gt;((((((((0+Setup!$B$11)+Setup!$B$13)+Setup!$B$15)+Setup!$B$17)+Setup!$B$19)+Setup!$B$21)+Setup!$B$23)+Setup!$B$25),(22-1)&lt;=(((((((((0+Setup!$B$11)+Setup!$B$13)+Setup!$B$15)+Setup!$B$17)+Setup!$B$19)+Setup!$B$21)+Setup!$B$23)+Setup!$B$25)+Setup!$B$27)),"DEF",IF(AND((22-1)&gt;(((((((((0+Setup!$B$11)+Setup!$B$13)+Setup!$B$15)+Setup!$B$17)+Setup!$B$19)+Setup!$B$21)+Setup!$B$23)+Setup!$B$25)+Setup!$B$27),(22-1)&lt;=((((((((((0+Setup!$B$11)+Setup!$B$13)+Setup!$B$15)+Setup!$B$17)+Setup!$B$19)+Setup!$B$21)+Setup!$B$23)+Setup!$B$25)+Setup!$B$27)+Setup!$B$29)),"K",IF(AND((22-1)&gt;((((((((((0+Setup!$B$11)+Setup!$B$13)+Setup!$B$15)+Setup!$B$17)+Setup!$B$19)+Setup!$B$21)+Setup!$B$23)+Setup!$B$25)+Setup!$B$27)+Setup!$B$29),(22-1)&lt;=(((((((((((0+Setup!$B$11)+Setup!$B$13)+Setup!$B$15)+Setup!$B$17)+Setup!$B$19)+Setup!$B$21)+Setup!$B$23)+Setup!$B$25)+Setup!$B$27)+Setup!$B$29)+Setup!$B$31)),"BENCH","")))))))))))</f>
        <v/>
      </c>
    </row>
    <row r="23" spans="1:1" x14ac:dyDescent="0.25">
      <c r="A23" t="str">
        <f>IF(AND((23-1)&gt;0,(23-1)&lt;=(0+Setup!$B$11)),"QB",IF(AND((23-1)&gt;(0+Setup!$B$11),(23-1)&lt;=((0+Setup!$B$11)+Setup!$B$13)),"RB",IF(AND((23-1)&gt;((0+Setup!$B$11)+Setup!$B$13),(23-1)&lt;=(((0+Setup!$B$11)+Setup!$B$13)+Setup!$B$15)),"WR",IF(AND((23-1)&gt;(((0+Setup!$B$11)+Setup!$B$13)+Setup!$B$15),(23-1)&lt;=((((0+Setup!$B$11)+Setup!$B$13)+Setup!$B$15)+Setup!$B$17)),"TE",IF(AND((23-1)&gt;((((0+Setup!$B$11)+Setup!$B$13)+Setup!$B$15)+Setup!$B$17),(23-1)&lt;=(((((0+Setup!$B$11)+Setup!$B$13)+Setup!$B$15)+Setup!$B$17)+Setup!$B$19)),"FLEX (RB/WR/TE)",IF(AND((23-1)&gt;(((((0+Setup!$B$11)+Setup!$B$13)+Setup!$B$15)+Setup!$B$17)+Setup!$B$19),(23-1)&lt;=((((((0+Setup!$B$11)+Setup!$B$13)+Setup!$B$15)+Setup!$B$17)+Setup!$B$19)+Setup!$B$21)),"FLEX (RB/WR)",IF(AND((23-1)&gt;((((((0+Setup!$B$11)+Setup!$B$13)+Setup!$B$15)+Setup!$B$17)+Setup!$B$19)+Setup!$B$21),(23-1)&lt;=(((((((0+Setup!$B$11)+Setup!$B$13)+Setup!$B$15)+Setup!$B$17)+Setup!$B$19)+Setup!$B$21)+Setup!$B$23)),"FLEX (WR/TE)",IF(AND((23-1)&gt;(((((((0+Setup!$B$11)+Setup!$B$13)+Setup!$B$15)+Setup!$B$17)+Setup!$B$19)+Setup!$B$21)+Setup!$B$23),(23-1)&lt;=((((((((0+Setup!$B$11)+Setup!$B$13)+Setup!$B$15)+Setup!$B$17)+Setup!$B$19)+Setup!$B$21)+Setup!$B$23)+Setup!$B$25)),"SUPERFLEX",IF(AND((23-1)&gt;((((((((0+Setup!$B$11)+Setup!$B$13)+Setup!$B$15)+Setup!$B$17)+Setup!$B$19)+Setup!$B$21)+Setup!$B$23)+Setup!$B$25),(23-1)&lt;=(((((((((0+Setup!$B$11)+Setup!$B$13)+Setup!$B$15)+Setup!$B$17)+Setup!$B$19)+Setup!$B$21)+Setup!$B$23)+Setup!$B$25)+Setup!$B$27)),"DEF",IF(AND((23-1)&gt;(((((((((0+Setup!$B$11)+Setup!$B$13)+Setup!$B$15)+Setup!$B$17)+Setup!$B$19)+Setup!$B$21)+Setup!$B$23)+Setup!$B$25)+Setup!$B$27),(23-1)&lt;=((((((((((0+Setup!$B$11)+Setup!$B$13)+Setup!$B$15)+Setup!$B$17)+Setup!$B$19)+Setup!$B$21)+Setup!$B$23)+Setup!$B$25)+Setup!$B$27)+Setup!$B$29)),"K",IF(AND((23-1)&gt;((((((((((0+Setup!$B$11)+Setup!$B$13)+Setup!$B$15)+Setup!$B$17)+Setup!$B$19)+Setup!$B$21)+Setup!$B$23)+Setup!$B$25)+Setup!$B$27)+Setup!$B$29),(23-1)&lt;=(((((((((((0+Setup!$B$11)+Setup!$B$13)+Setup!$B$15)+Setup!$B$17)+Setup!$B$19)+Setup!$B$21)+Setup!$B$23)+Setup!$B$25)+Setup!$B$27)+Setup!$B$29)+Setup!$B$31)),"BENCH","")))))))))))</f>
        <v/>
      </c>
    </row>
    <row r="24" spans="1:1" x14ac:dyDescent="0.25">
      <c r="A24" t="str">
        <f>IF(AND((24-1)&gt;0,(24-1)&lt;=(0+Setup!$B$11)),"QB",IF(AND((24-1)&gt;(0+Setup!$B$11),(24-1)&lt;=((0+Setup!$B$11)+Setup!$B$13)),"RB",IF(AND((24-1)&gt;((0+Setup!$B$11)+Setup!$B$13),(24-1)&lt;=(((0+Setup!$B$11)+Setup!$B$13)+Setup!$B$15)),"WR",IF(AND((24-1)&gt;(((0+Setup!$B$11)+Setup!$B$13)+Setup!$B$15),(24-1)&lt;=((((0+Setup!$B$11)+Setup!$B$13)+Setup!$B$15)+Setup!$B$17)),"TE",IF(AND((24-1)&gt;((((0+Setup!$B$11)+Setup!$B$13)+Setup!$B$15)+Setup!$B$17),(24-1)&lt;=(((((0+Setup!$B$11)+Setup!$B$13)+Setup!$B$15)+Setup!$B$17)+Setup!$B$19)),"FLEX (RB/WR/TE)",IF(AND((24-1)&gt;(((((0+Setup!$B$11)+Setup!$B$13)+Setup!$B$15)+Setup!$B$17)+Setup!$B$19),(24-1)&lt;=((((((0+Setup!$B$11)+Setup!$B$13)+Setup!$B$15)+Setup!$B$17)+Setup!$B$19)+Setup!$B$21)),"FLEX (RB/WR)",IF(AND((24-1)&gt;((((((0+Setup!$B$11)+Setup!$B$13)+Setup!$B$15)+Setup!$B$17)+Setup!$B$19)+Setup!$B$21),(24-1)&lt;=(((((((0+Setup!$B$11)+Setup!$B$13)+Setup!$B$15)+Setup!$B$17)+Setup!$B$19)+Setup!$B$21)+Setup!$B$23)),"FLEX (WR/TE)",IF(AND((24-1)&gt;(((((((0+Setup!$B$11)+Setup!$B$13)+Setup!$B$15)+Setup!$B$17)+Setup!$B$19)+Setup!$B$21)+Setup!$B$23),(24-1)&lt;=((((((((0+Setup!$B$11)+Setup!$B$13)+Setup!$B$15)+Setup!$B$17)+Setup!$B$19)+Setup!$B$21)+Setup!$B$23)+Setup!$B$25)),"SUPERFLEX",IF(AND((24-1)&gt;((((((((0+Setup!$B$11)+Setup!$B$13)+Setup!$B$15)+Setup!$B$17)+Setup!$B$19)+Setup!$B$21)+Setup!$B$23)+Setup!$B$25),(24-1)&lt;=(((((((((0+Setup!$B$11)+Setup!$B$13)+Setup!$B$15)+Setup!$B$17)+Setup!$B$19)+Setup!$B$21)+Setup!$B$23)+Setup!$B$25)+Setup!$B$27)),"DEF",IF(AND((24-1)&gt;(((((((((0+Setup!$B$11)+Setup!$B$13)+Setup!$B$15)+Setup!$B$17)+Setup!$B$19)+Setup!$B$21)+Setup!$B$23)+Setup!$B$25)+Setup!$B$27),(24-1)&lt;=((((((((((0+Setup!$B$11)+Setup!$B$13)+Setup!$B$15)+Setup!$B$17)+Setup!$B$19)+Setup!$B$21)+Setup!$B$23)+Setup!$B$25)+Setup!$B$27)+Setup!$B$29)),"K",IF(AND((24-1)&gt;((((((((((0+Setup!$B$11)+Setup!$B$13)+Setup!$B$15)+Setup!$B$17)+Setup!$B$19)+Setup!$B$21)+Setup!$B$23)+Setup!$B$25)+Setup!$B$27)+Setup!$B$29),(24-1)&lt;=(((((((((((0+Setup!$B$11)+Setup!$B$13)+Setup!$B$15)+Setup!$B$17)+Setup!$B$19)+Setup!$B$21)+Setup!$B$23)+Setup!$B$25)+Setup!$B$27)+Setup!$B$29)+Setup!$B$31)),"BENCH","")))))))))))</f>
        <v/>
      </c>
    </row>
    <row r="25" spans="1:1" x14ac:dyDescent="0.25">
      <c r="A25" t="str">
        <f>IF(AND((25-1)&gt;0,(25-1)&lt;=(0+Setup!$B$11)),"QB",IF(AND((25-1)&gt;(0+Setup!$B$11),(25-1)&lt;=((0+Setup!$B$11)+Setup!$B$13)),"RB",IF(AND((25-1)&gt;((0+Setup!$B$11)+Setup!$B$13),(25-1)&lt;=(((0+Setup!$B$11)+Setup!$B$13)+Setup!$B$15)),"WR",IF(AND((25-1)&gt;(((0+Setup!$B$11)+Setup!$B$13)+Setup!$B$15),(25-1)&lt;=((((0+Setup!$B$11)+Setup!$B$13)+Setup!$B$15)+Setup!$B$17)),"TE",IF(AND((25-1)&gt;((((0+Setup!$B$11)+Setup!$B$13)+Setup!$B$15)+Setup!$B$17),(25-1)&lt;=(((((0+Setup!$B$11)+Setup!$B$13)+Setup!$B$15)+Setup!$B$17)+Setup!$B$19)),"FLEX (RB/WR/TE)",IF(AND((25-1)&gt;(((((0+Setup!$B$11)+Setup!$B$13)+Setup!$B$15)+Setup!$B$17)+Setup!$B$19),(25-1)&lt;=((((((0+Setup!$B$11)+Setup!$B$13)+Setup!$B$15)+Setup!$B$17)+Setup!$B$19)+Setup!$B$21)),"FLEX (RB/WR)",IF(AND((25-1)&gt;((((((0+Setup!$B$11)+Setup!$B$13)+Setup!$B$15)+Setup!$B$17)+Setup!$B$19)+Setup!$B$21),(25-1)&lt;=(((((((0+Setup!$B$11)+Setup!$B$13)+Setup!$B$15)+Setup!$B$17)+Setup!$B$19)+Setup!$B$21)+Setup!$B$23)),"FLEX (WR/TE)",IF(AND((25-1)&gt;(((((((0+Setup!$B$11)+Setup!$B$13)+Setup!$B$15)+Setup!$B$17)+Setup!$B$19)+Setup!$B$21)+Setup!$B$23),(25-1)&lt;=((((((((0+Setup!$B$11)+Setup!$B$13)+Setup!$B$15)+Setup!$B$17)+Setup!$B$19)+Setup!$B$21)+Setup!$B$23)+Setup!$B$25)),"SUPERFLEX",IF(AND((25-1)&gt;((((((((0+Setup!$B$11)+Setup!$B$13)+Setup!$B$15)+Setup!$B$17)+Setup!$B$19)+Setup!$B$21)+Setup!$B$23)+Setup!$B$25),(25-1)&lt;=(((((((((0+Setup!$B$11)+Setup!$B$13)+Setup!$B$15)+Setup!$B$17)+Setup!$B$19)+Setup!$B$21)+Setup!$B$23)+Setup!$B$25)+Setup!$B$27)),"DEF",IF(AND((25-1)&gt;(((((((((0+Setup!$B$11)+Setup!$B$13)+Setup!$B$15)+Setup!$B$17)+Setup!$B$19)+Setup!$B$21)+Setup!$B$23)+Setup!$B$25)+Setup!$B$27),(25-1)&lt;=((((((((((0+Setup!$B$11)+Setup!$B$13)+Setup!$B$15)+Setup!$B$17)+Setup!$B$19)+Setup!$B$21)+Setup!$B$23)+Setup!$B$25)+Setup!$B$27)+Setup!$B$29)),"K",IF(AND((25-1)&gt;((((((((((0+Setup!$B$11)+Setup!$B$13)+Setup!$B$15)+Setup!$B$17)+Setup!$B$19)+Setup!$B$21)+Setup!$B$23)+Setup!$B$25)+Setup!$B$27)+Setup!$B$29),(25-1)&lt;=(((((((((((0+Setup!$B$11)+Setup!$B$13)+Setup!$B$15)+Setup!$B$17)+Setup!$B$19)+Setup!$B$21)+Setup!$B$23)+Setup!$B$25)+Setup!$B$27)+Setup!$B$29)+Setup!$B$31)),"BENCH","")))))))))))</f>
        <v/>
      </c>
    </row>
    <row r="26" spans="1:1" x14ac:dyDescent="0.25">
      <c r="A26" t="str">
        <f>IF(AND((26-1)&gt;0,(26-1)&lt;=(0+Setup!$B$11)),"QB",IF(AND((26-1)&gt;(0+Setup!$B$11),(26-1)&lt;=((0+Setup!$B$11)+Setup!$B$13)),"RB",IF(AND((26-1)&gt;((0+Setup!$B$11)+Setup!$B$13),(26-1)&lt;=(((0+Setup!$B$11)+Setup!$B$13)+Setup!$B$15)),"WR",IF(AND((26-1)&gt;(((0+Setup!$B$11)+Setup!$B$13)+Setup!$B$15),(26-1)&lt;=((((0+Setup!$B$11)+Setup!$B$13)+Setup!$B$15)+Setup!$B$17)),"TE",IF(AND((26-1)&gt;((((0+Setup!$B$11)+Setup!$B$13)+Setup!$B$15)+Setup!$B$17),(26-1)&lt;=(((((0+Setup!$B$11)+Setup!$B$13)+Setup!$B$15)+Setup!$B$17)+Setup!$B$19)),"FLEX (RB/WR/TE)",IF(AND((26-1)&gt;(((((0+Setup!$B$11)+Setup!$B$13)+Setup!$B$15)+Setup!$B$17)+Setup!$B$19),(26-1)&lt;=((((((0+Setup!$B$11)+Setup!$B$13)+Setup!$B$15)+Setup!$B$17)+Setup!$B$19)+Setup!$B$21)),"FLEX (RB/WR)",IF(AND((26-1)&gt;((((((0+Setup!$B$11)+Setup!$B$13)+Setup!$B$15)+Setup!$B$17)+Setup!$B$19)+Setup!$B$21),(26-1)&lt;=(((((((0+Setup!$B$11)+Setup!$B$13)+Setup!$B$15)+Setup!$B$17)+Setup!$B$19)+Setup!$B$21)+Setup!$B$23)),"FLEX (WR/TE)",IF(AND((26-1)&gt;(((((((0+Setup!$B$11)+Setup!$B$13)+Setup!$B$15)+Setup!$B$17)+Setup!$B$19)+Setup!$B$21)+Setup!$B$23),(26-1)&lt;=((((((((0+Setup!$B$11)+Setup!$B$13)+Setup!$B$15)+Setup!$B$17)+Setup!$B$19)+Setup!$B$21)+Setup!$B$23)+Setup!$B$25)),"SUPERFLEX",IF(AND((26-1)&gt;((((((((0+Setup!$B$11)+Setup!$B$13)+Setup!$B$15)+Setup!$B$17)+Setup!$B$19)+Setup!$B$21)+Setup!$B$23)+Setup!$B$25),(26-1)&lt;=(((((((((0+Setup!$B$11)+Setup!$B$13)+Setup!$B$15)+Setup!$B$17)+Setup!$B$19)+Setup!$B$21)+Setup!$B$23)+Setup!$B$25)+Setup!$B$27)),"DEF",IF(AND((26-1)&gt;(((((((((0+Setup!$B$11)+Setup!$B$13)+Setup!$B$15)+Setup!$B$17)+Setup!$B$19)+Setup!$B$21)+Setup!$B$23)+Setup!$B$25)+Setup!$B$27),(26-1)&lt;=((((((((((0+Setup!$B$11)+Setup!$B$13)+Setup!$B$15)+Setup!$B$17)+Setup!$B$19)+Setup!$B$21)+Setup!$B$23)+Setup!$B$25)+Setup!$B$27)+Setup!$B$29)),"K",IF(AND((26-1)&gt;((((((((((0+Setup!$B$11)+Setup!$B$13)+Setup!$B$15)+Setup!$B$17)+Setup!$B$19)+Setup!$B$21)+Setup!$B$23)+Setup!$B$25)+Setup!$B$27)+Setup!$B$29),(26-1)&lt;=(((((((((((0+Setup!$B$11)+Setup!$B$13)+Setup!$B$15)+Setup!$B$17)+Setup!$B$19)+Setup!$B$21)+Setup!$B$23)+Setup!$B$25)+Setup!$B$27)+Setup!$B$29)+Setup!$B$31)),"BENCH","")))))))))))</f>
        <v/>
      </c>
    </row>
    <row r="27" spans="1:1" x14ac:dyDescent="0.25">
      <c r="A27" t="str">
        <f>IF(AND((27-1)&gt;0,(27-1)&lt;=(0+Setup!$B$11)),"QB",IF(AND((27-1)&gt;(0+Setup!$B$11),(27-1)&lt;=((0+Setup!$B$11)+Setup!$B$13)),"RB",IF(AND((27-1)&gt;((0+Setup!$B$11)+Setup!$B$13),(27-1)&lt;=(((0+Setup!$B$11)+Setup!$B$13)+Setup!$B$15)),"WR",IF(AND((27-1)&gt;(((0+Setup!$B$11)+Setup!$B$13)+Setup!$B$15),(27-1)&lt;=((((0+Setup!$B$11)+Setup!$B$13)+Setup!$B$15)+Setup!$B$17)),"TE",IF(AND((27-1)&gt;((((0+Setup!$B$11)+Setup!$B$13)+Setup!$B$15)+Setup!$B$17),(27-1)&lt;=(((((0+Setup!$B$11)+Setup!$B$13)+Setup!$B$15)+Setup!$B$17)+Setup!$B$19)),"FLEX (RB/WR/TE)",IF(AND((27-1)&gt;(((((0+Setup!$B$11)+Setup!$B$13)+Setup!$B$15)+Setup!$B$17)+Setup!$B$19),(27-1)&lt;=((((((0+Setup!$B$11)+Setup!$B$13)+Setup!$B$15)+Setup!$B$17)+Setup!$B$19)+Setup!$B$21)),"FLEX (RB/WR)",IF(AND((27-1)&gt;((((((0+Setup!$B$11)+Setup!$B$13)+Setup!$B$15)+Setup!$B$17)+Setup!$B$19)+Setup!$B$21),(27-1)&lt;=(((((((0+Setup!$B$11)+Setup!$B$13)+Setup!$B$15)+Setup!$B$17)+Setup!$B$19)+Setup!$B$21)+Setup!$B$23)),"FLEX (WR/TE)",IF(AND((27-1)&gt;(((((((0+Setup!$B$11)+Setup!$B$13)+Setup!$B$15)+Setup!$B$17)+Setup!$B$19)+Setup!$B$21)+Setup!$B$23),(27-1)&lt;=((((((((0+Setup!$B$11)+Setup!$B$13)+Setup!$B$15)+Setup!$B$17)+Setup!$B$19)+Setup!$B$21)+Setup!$B$23)+Setup!$B$25)),"SUPERFLEX",IF(AND((27-1)&gt;((((((((0+Setup!$B$11)+Setup!$B$13)+Setup!$B$15)+Setup!$B$17)+Setup!$B$19)+Setup!$B$21)+Setup!$B$23)+Setup!$B$25),(27-1)&lt;=(((((((((0+Setup!$B$11)+Setup!$B$13)+Setup!$B$15)+Setup!$B$17)+Setup!$B$19)+Setup!$B$21)+Setup!$B$23)+Setup!$B$25)+Setup!$B$27)),"DEF",IF(AND((27-1)&gt;(((((((((0+Setup!$B$11)+Setup!$B$13)+Setup!$B$15)+Setup!$B$17)+Setup!$B$19)+Setup!$B$21)+Setup!$B$23)+Setup!$B$25)+Setup!$B$27),(27-1)&lt;=((((((((((0+Setup!$B$11)+Setup!$B$13)+Setup!$B$15)+Setup!$B$17)+Setup!$B$19)+Setup!$B$21)+Setup!$B$23)+Setup!$B$25)+Setup!$B$27)+Setup!$B$29)),"K",IF(AND((27-1)&gt;((((((((((0+Setup!$B$11)+Setup!$B$13)+Setup!$B$15)+Setup!$B$17)+Setup!$B$19)+Setup!$B$21)+Setup!$B$23)+Setup!$B$25)+Setup!$B$27)+Setup!$B$29),(27-1)&lt;=(((((((((((0+Setup!$B$11)+Setup!$B$13)+Setup!$B$15)+Setup!$B$17)+Setup!$B$19)+Setup!$B$21)+Setup!$B$23)+Setup!$B$25)+Setup!$B$27)+Setup!$B$29)+Setup!$B$31)),"BENCH","")))))))))))</f>
        <v/>
      </c>
    </row>
    <row r="28" spans="1:1" x14ac:dyDescent="0.25">
      <c r="A28" t="str">
        <f>IF(AND((28-1)&gt;0,(28-1)&lt;=(0+Setup!$B$11)),"QB",IF(AND((28-1)&gt;(0+Setup!$B$11),(28-1)&lt;=((0+Setup!$B$11)+Setup!$B$13)),"RB",IF(AND((28-1)&gt;((0+Setup!$B$11)+Setup!$B$13),(28-1)&lt;=(((0+Setup!$B$11)+Setup!$B$13)+Setup!$B$15)),"WR",IF(AND((28-1)&gt;(((0+Setup!$B$11)+Setup!$B$13)+Setup!$B$15),(28-1)&lt;=((((0+Setup!$B$11)+Setup!$B$13)+Setup!$B$15)+Setup!$B$17)),"TE",IF(AND((28-1)&gt;((((0+Setup!$B$11)+Setup!$B$13)+Setup!$B$15)+Setup!$B$17),(28-1)&lt;=(((((0+Setup!$B$11)+Setup!$B$13)+Setup!$B$15)+Setup!$B$17)+Setup!$B$19)),"FLEX (RB/WR/TE)",IF(AND((28-1)&gt;(((((0+Setup!$B$11)+Setup!$B$13)+Setup!$B$15)+Setup!$B$17)+Setup!$B$19),(28-1)&lt;=((((((0+Setup!$B$11)+Setup!$B$13)+Setup!$B$15)+Setup!$B$17)+Setup!$B$19)+Setup!$B$21)),"FLEX (RB/WR)",IF(AND((28-1)&gt;((((((0+Setup!$B$11)+Setup!$B$13)+Setup!$B$15)+Setup!$B$17)+Setup!$B$19)+Setup!$B$21),(28-1)&lt;=(((((((0+Setup!$B$11)+Setup!$B$13)+Setup!$B$15)+Setup!$B$17)+Setup!$B$19)+Setup!$B$21)+Setup!$B$23)),"FLEX (WR/TE)",IF(AND((28-1)&gt;(((((((0+Setup!$B$11)+Setup!$B$13)+Setup!$B$15)+Setup!$B$17)+Setup!$B$19)+Setup!$B$21)+Setup!$B$23),(28-1)&lt;=((((((((0+Setup!$B$11)+Setup!$B$13)+Setup!$B$15)+Setup!$B$17)+Setup!$B$19)+Setup!$B$21)+Setup!$B$23)+Setup!$B$25)),"SUPERFLEX",IF(AND((28-1)&gt;((((((((0+Setup!$B$11)+Setup!$B$13)+Setup!$B$15)+Setup!$B$17)+Setup!$B$19)+Setup!$B$21)+Setup!$B$23)+Setup!$B$25),(28-1)&lt;=(((((((((0+Setup!$B$11)+Setup!$B$13)+Setup!$B$15)+Setup!$B$17)+Setup!$B$19)+Setup!$B$21)+Setup!$B$23)+Setup!$B$25)+Setup!$B$27)),"DEF",IF(AND((28-1)&gt;(((((((((0+Setup!$B$11)+Setup!$B$13)+Setup!$B$15)+Setup!$B$17)+Setup!$B$19)+Setup!$B$21)+Setup!$B$23)+Setup!$B$25)+Setup!$B$27),(28-1)&lt;=((((((((((0+Setup!$B$11)+Setup!$B$13)+Setup!$B$15)+Setup!$B$17)+Setup!$B$19)+Setup!$B$21)+Setup!$B$23)+Setup!$B$25)+Setup!$B$27)+Setup!$B$29)),"K",IF(AND((28-1)&gt;((((((((((0+Setup!$B$11)+Setup!$B$13)+Setup!$B$15)+Setup!$B$17)+Setup!$B$19)+Setup!$B$21)+Setup!$B$23)+Setup!$B$25)+Setup!$B$27)+Setup!$B$29),(28-1)&lt;=(((((((((((0+Setup!$B$11)+Setup!$B$13)+Setup!$B$15)+Setup!$B$17)+Setup!$B$19)+Setup!$B$21)+Setup!$B$23)+Setup!$B$25)+Setup!$B$27)+Setup!$B$29)+Setup!$B$31)),"BENCH","")))))))))))</f>
        <v/>
      </c>
    </row>
    <row r="29" spans="1:1" x14ac:dyDescent="0.25">
      <c r="A29" t="str">
        <f>IF(AND((29-1)&gt;0,(29-1)&lt;=(0+Setup!$B$11)),"QB",IF(AND((29-1)&gt;(0+Setup!$B$11),(29-1)&lt;=((0+Setup!$B$11)+Setup!$B$13)),"RB",IF(AND((29-1)&gt;((0+Setup!$B$11)+Setup!$B$13),(29-1)&lt;=(((0+Setup!$B$11)+Setup!$B$13)+Setup!$B$15)),"WR",IF(AND((29-1)&gt;(((0+Setup!$B$11)+Setup!$B$13)+Setup!$B$15),(29-1)&lt;=((((0+Setup!$B$11)+Setup!$B$13)+Setup!$B$15)+Setup!$B$17)),"TE",IF(AND((29-1)&gt;((((0+Setup!$B$11)+Setup!$B$13)+Setup!$B$15)+Setup!$B$17),(29-1)&lt;=(((((0+Setup!$B$11)+Setup!$B$13)+Setup!$B$15)+Setup!$B$17)+Setup!$B$19)),"FLEX (RB/WR/TE)",IF(AND((29-1)&gt;(((((0+Setup!$B$11)+Setup!$B$13)+Setup!$B$15)+Setup!$B$17)+Setup!$B$19),(29-1)&lt;=((((((0+Setup!$B$11)+Setup!$B$13)+Setup!$B$15)+Setup!$B$17)+Setup!$B$19)+Setup!$B$21)),"FLEX (RB/WR)",IF(AND((29-1)&gt;((((((0+Setup!$B$11)+Setup!$B$13)+Setup!$B$15)+Setup!$B$17)+Setup!$B$19)+Setup!$B$21),(29-1)&lt;=(((((((0+Setup!$B$11)+Setup!$B$13)+Setup!$B$15)+Setup!$B$17)+Setup!$B$19)+Setup!$B$21)+Setup!$B$23)),"FLEX (WR/TE)",IF(AND((29-1)&gt;(((((((0+Setup!$B$11)+Setup!$B$13)+Setup!$B$15)+Setup!$B$17)+Setup!$B$19)+Setup!$B$21)+Setup!$B$23),(29-1)&lt;=((((((((0+Setup!$B$11)+Setup!$B$13)+Setup!$B$15)+Setup!$B$17)+Setup!$B$19)+Setup!$B$21)+Setup!$B$23)+Setup!$B$25)),"SUPERFLEX",IF(AND((29-1)&gt;((((((((0+Setup!$B$11)+Setup!$B$13)+Setup!$B$15)+Setup!$B$17)+Setup!$B$19)+Setup!$B$21)+Setup!$B$23)+Setup!$B$25),(29-1)&lt;=(((((((((0+Setup!$B$11)+Setup!$B$13)+Setup!$B$15)+Setup!$B$17)+Setup!$B$19)+Setup!$B$21)+Setup!$B$23)+Setup!$B$25)+Setup!$B$27)),"DEF",IF(AND((29-1)&gt;(((((((((0+Setup!$B$11)+Setup!$B$13)+Setup!$B$15)+Setup!$B$17)+Setup!$B$19)+Setup!$B$21)+Setup!$B$23)+Setup!$B$25)+Setup!$B$27),(29-1)&lt;=((((((((((0+Setup!$B$11)+Setup!$B$13)+Setup!$B$15)+Setup!$B$17)+Setup!$B$19)+Setup!$B$21)+Setup!$B$23)+Setup!$B$25)+Setup!$B$27)+Setup!$B$29)),"K",IF(AND((29-1)&gt;((((((((((0+Setup!$B$11)+Setup!$B$13)+Setup!$B$15)+Setup!$B$17)+Setup!$B$19)+Setup!$B$21)+Setup!$B$23)+Setup!$B$25)+Setup!$B$27)+Setup!$B$29),(29-1)&lt;=(((((((((((0+Setup!$B$11)+Setup!$B$13)+Setup!$B$15)+Setup!$B$17)+Setup!$B$19)+Setup!$B$21)+Setup!$B$23)+Setup!$B$25)+Setup!$B$27)+Setup!$B$29)+Setup!$B$31)),"BENCH","")))))))))))</f>
        <v/>
      </c>
    </row>
    <row r="30" spans="1:1" x14ac:dyDescent="0.25">
      <c r="A30" t="str">
        <f>IF(AND((30-1)&gt;0,(30-1)&lt;=(0+Setup!$B$11)),"QB",IF(AND((30-1)&gt;(0+Setup!$B$11),(30-1)&lt;=((0+Setup!$B$11)+Setup!$B$13)),"RB",IF(AND((30-1)&gt;((0+Setup!$B$11)+Setup!$B$13),(30-1)&lt;=(((0+Setup!$B$11)+Setup!$B$13)+Setup!$B$15)),"WR",IF(AND((30-1)&gt;(((0+Setup!$B$11)+Setup!$B$13)+Setup!$B$15),(30-1)&lt;=((((0+Setup!$B$11)+Setup!$B$13)+Setup!$B$15)+Setup!$B$17)),"TE",IF(AND((30-1)&gt;((((0+Setup!$B$11)+Setup!$B$13)+Setup!$B$15)+Setup!$B$17),(30-1)&lt;=(((((0+Setup!$B$11)+Setup!$B$13)+Setup!$B$15)+Setup!$B$17)+Setup!$B$19)),"FLEX (RB/WR/TE)",IF(AND((30-1)&gt;(((((0+Setup!$B$11)+Setup!$B$13)+Setup!$B$15)+Setup!$B$17)+Setup!$B$19),(30-1)&lt;=((((((0+Setup!$B$11)+Setup!$B$13)+Setup!$B$15)+Setup!$B$17)+Setup!$B$19)+Setup!$B$21)),"FLEX (RB/WR)",IF(AND((30-1)&gt;((((((0+Setup!$B$11)+Setup!$B$13)+Setup!$B$15)+Setup!$B$17)+Setup!$B$19)+Setup!$B$21),(30-1)&lt;=(((((((0+Setup!$B$11)+Setup!$B$13)+Setup!$B$15)+Setup!$B$17)+Setup!$B$19)+Setup!$B$21)+Setup!$B$23)),"FLEX (WR/TE)",IF(AND((30-1)&gt;(((((((0+Setup!$B$11)+Setup!$B$13)+Setup!$B$15)+Setup!$B$17)+Setup!$B$19)+Setup!$B$21)+Setup!$B$23),(30-1)&lt;=((((((((0+Setup!$B$11)+Setup!$B$13)+Setup!$B$15)+Setup!$B$17)+Setup!$B$19)+Setup!$B$21)+Setup!$B$23)+Setup!$B$25)),"SUPERFLEX",IF(AND((30-1)&gt;((((((((0+Setup!$B$11)+Setup!$B$13)+Setup!$B$15)+Setup!$B$17)+Setup!$B$19)+Setup!$B$21)+Setup!$B$23)+Setup!$B$25),(30-1)&lt;=(((((((((0+Setup!$B$11)+Setup!$B$13)+Setup!$B$15)+Setup!$B$17)+Setup!$B$19)+Setup!$B$21)+Setup!$B$23)+Setup!$B$25)+Setup!$B$27)),"DEF",IF(AND((30-1)&gt;(((((((((0+Setup!$B$11)+Setup!$B$13)+Setup!$B$15)+Setup!$B$17)+Setup!$B$19)+Setup!$B$21)+Setup!$B$23)+Setup!$B$25)+Setup!$B$27),(30-1)&lt;=((((((((((0+Setup!$B$11)+Setup!$B$13)+Setup!$B$15)+Setup!$B$17)+Setup!$B$19)+Setup!$B$21)+Setup!$B$23)+Setup!$B$25)+Setup!$B$27)+Setup!$B$29)),"K",IF(AND((30-1)&gt;((((((((((0+Setup!$B$11)+Setup!$B$13)+Setup!$B$15)+Setup!$B$17)+Setup!$B$19)+Setup!$B$21)+Setup!$B$23)+Setup!$B$25)+Setup!$B$27)+Setup!$B$29),(30-1)&lt;=(((((((((((0+Setup!$B$11)+Setup!$B$13)+Setup!$B$15)+Setup!$B$17)+Setup!$B$19)+Setup!$B$21)+Setup!$B$23)+Setup!$B$25)+Setup!$B$27)+Setup!$B$29)+Setup!$B$31)),"BENCH","")))))))))))</f>
        <v/>
      </c>
    </row>
    <row r="31" spans="1:1" x14ac:dyDescent="0.25">
      <c r="A31" t="str">
        <f>IF(AND((31-1)&gt;0,(31-1)&lt;=(0+Setup!$B$11)),"QB",IF(AND((31-1)&gt;(0+Setup!$B$11),(31-1)&lt;=((0+Setup!$B$11)+Setup!$B$13)),"RB",IF(AND((31-1)&gt;((0+Setup!$B$11)+Setup!$B$13),(31-1)&lt;=(((0+Setup!$B$11)+Setup!$B$13)+Setup!$B$15)),"WR",IF(AND((31-1)&gt;(((0+Setup!$B$11)+Setup!$B$13)+Setup!$B$15),(31-1)&lt;=((((0+Setup!$B$11)+Setup!$B$13)+Setup!$B$15)+Setup!$B$17)),"TE",IF(AND((31-1)&gt;((((0+Setup!$B$11)+Setup!$B$13)+Setup!$B$15)+Setup!$B$17),(31-1)&lt;=(((((0+Setup!$B$11)+Setup!$B$13)+Setup!$B$15)+Setup!$B$17)+Setup!$B$19)),"FLEX (RB/WR/TE)",IF(AND((31-1)&gt;(((((0+Setup!$B$11)+Setup!$B$13)+Setup!$B$15)+Setup!$B$17)+Setup!$B$19),(31-1)&lt;=((((((0+Setup!$B$11)+Setup!$B$13)+Setup!$B$15)+Setup!$B$17)+Setup!$B$19)+Setup!$B$21)),"FLEX (RB/WR)",IF(AND((31-1)&gt;((((((0+Setup!$B$11)+Setup!$B$13)+Setup!$B$15)+Setup!$B$17)+Setup!$B$19)+Setup!$B$21),(31-1)&lt;=(((((((0+Setup!$B$11)+Setup!$B$13)+Setup!$B$15)+Setup!$B$17)+Setup!$B$19)+Setup!$B$21)+Setup!$B$23)),"FLEX (WR/TE)",IF(AND((31-1)&gt;(((((((0+Setup!$B$11)+Setup!$B$13)+Setup!$B$15)+Setup!$B$17)+Setup!$B$19)+Setup!$B$21)+Setup!$B$23),(31-1)&lt;=((((((((0+Setup!$B$11)+Setup!$B$13)+Setup!$B$15)+Setup!$B$17)+Setup!$B$19)+Setup!$B$21)+Setup!$B$23)+Setup!$B$25)),"SUPERFLEX",IF(AND((31-1)&gt;((((((((0+Setup!$B$11)+Setup!$B$13)+Setup!$B$15)+Setup!$B$17)+Setup!$B$19)+Setup!$B$21)+Setup!$B$23)+Setup!$B$25),(31-1)&lt;=(((((((((0+Setup!$B$11)+Setup!$B$13)+Setup!$B$15)+Setup!$B$17)+Setup!$B$19)+Setup!$B$21)+Setup!$B$23)+Setup!$B$25)+Setup!$B$27)),"DEF",IF(AND((31-1)&gt;(((((((((0+Setup!$B$11)+Setup!$B$13)+Setup!$B$15)+Setup!$B$17)+Setup!$B$19)+Setup!$B$21)+Setup!$B$23)+Setup!$B$25)+Setup!$B$27),(31-1)&lt;=((((((((((0+Setup!$B$11)+Setup!$B$13)+Setup!$B$15)+Setup!$B$17)+Setup!$B$19)+Setup!$B$21)+Setup!$B$23)+Setup!$B$25)+Setup!$B$27)+Setup!$B$29)),"K",IF(AND((31-1)&gt;((((((((((0+Setup!$B$11)+Setup!$B$13)+Setup!$B$15)+Setup!$B$17)+Setup!$B$19)+Setup!$B$21)+Setup!$B$23)+Setup!$B$25)+Setup!$B$27)+Setup!$B$29),(31-1)&lt;=(((((((((((0+Setup!$B$11)+Setup!$B$13)+Setup!$B$15)+Setup!$B$17)+Setup!$B$19)+Setup!$B$21)+Setup!$B$23)+Setup!$B$25)+Setup!$B$27)+Setup!$B$29)+Setup!$B$31)),"BENCH","")))))))))))</f>
        <v/>
      </c>
    </row>
    <row r="32" spans="1:1" x14ac:dyDescent="0.25">
      <c r="A32" t="str">
        <f>IF(AND((32-1)&gt;0,(32-1)&lt;=(0+Setup!$B$11)),"QB",IF(AND((32-1)&gt;(0+Setup!$B$11),(32-1)&lt;=((0+Setup!$B$11)+Setup!$B$13)),"RB",IF(AND((32-1)&gt;((0+Setup!$B$11)+Setup!$B$13),(32-1)&lt;=(((0+Setup!$B$11)+Setup!$B$13)+Setup!$B$15)),"WR",IF(AND((32-1)&gt;(((0+Setup!$B$11)+Setup!$B$13)+Setup!$B$15),(32-1)&lt;=((((0+Setup!$B$11)+Setup!$B$13)+Setup!$B$15)+Setup!$B$17)),"TE",IF(AND((32-1)&gt;((((0+Setup!$B$11)+Setup!$B$13)+Setup!$B$15)+Setup!$B$17),(32-1)&lt;=(((((0+Setup!$B$11)+Setup!$B$13)+Setup!$B$15)+Setup!$B$17)+Setup!$B$19)),"FLEX (RB/WR/TE)",IF(AND((32-1)&gt;(((((0+Setup!$B$11)+Setup!$B$13)+Setup!$B$15)+Setup!$B$17)+Setup!$B$19),(32-1)&lt;=((((((0+Setup!$B$11)+Setup!$B$13)+Setup!$B$15)+Setup!$B$17)+Setup!$B$19)+Setup!$B$21)),"FLEX (RB/WR)",IF(AND((32-1)&gt;((((((0+Setup!$B$11)+Setup!$B$13)+Setup!$B$15)+Setup!$B$17)+Setup!$B$19)+Setup!$B$21),(32-1)&lt;=(((((((0+Setup!$B$11)+Setup!$B$13)+Setup!$B$15)+Setup!$B$17)+Setup!$B$19)+Setup!$B$21)+Setup!$B$23)),"FLEX (WR/TE)",IF(AND((32-1)&gt;(((((((0+Setup!$B$11)+Setup!$B$13)+Setup!$B$15)+Setup!$B$17)+Setup!$B$19)+Setup!$B$21)+Setup!$B$23),(32-1)&lt;=((((((((0+Setup!$B$11)+Setup!$B$13)+Setup!$B$15)+Setup!$B$17)+Setup!$B$19)+Setup!$B$21)+Setup!$B$23)+Setup!$B$25)),"SUPERFLEX",IF(AND((32-1)&gt;((((((((0+Setup!$B$11)+Setup!$B$13)+Setup!$B$15)+Setup!$B$17)+Setup!$B$19)+Setup!$B$21)+Setup!$B$23)+Setup!$B$25),(32-1)&lt;=(((((((((0+Setup!$B$11)+Setup!$B$13)+Setup!$B$15)+Setup!$B$17)+Setup!$B$19)+Setup!$B$21)+Setup!$B$23)+Setup!$B$25)+Setup!$B$27)),"DEF",IF(AND((32-1)&gt;(((((((((0+Setup!$B$11)+Setup!$B$13)+Setup!$B$15)+Setup!$B$17)+Setup!$B$19)+Setup!$B$21)+Setup!$B$23)+Setup!$B$25)+Setup!$B$27),(32-1)&lt;=((((((((((0+Setup!$B$11)+Setup!$B$13)+Setup!$B$15)+Setup!$B$17)+Setup!$B$19)+Setup!$B$21)+Setup!$B$23)+Setup!$B$25)+Setup!$B$27)+Setup!$B$29)),"K",IF(AND((32-1)&gt;((((((((((0+Setup!$B$11)+Setup!$B$13)+Setup!$B$15)+Setup!$B$17)+Setup!$B$19)+Setup!$B$21)+Setup!$B$23)+Setup!$B$25)+Setup!$B$27)+Setup!$B$29),(32-1)&lt;=(((((((((((0+Setup!$B$11)+Setup!$B$13)+Setup!$B$15)+Setup!$B$17)+Setup!$B$19)+Setup!$B$21)+Setup!$B$23)+Setup!$B$25)+Setup!$B$27)+Setup!$B$29)+Setup!$B$31)),"BENCH","")))))))))))</f>
        <v/>
      </c>
    </row>
    <row r="33" spans="1:1" x14ac:dyDescent="0.25">
      <c r="A33" t="str">
        <f>IF(AND((33-1)&gt;0,(33-1)&lt;=(0+Setup!$B$11)),"QB",IF(AND((33-1)&gt;(0+Setup!$B$11),(33-1)&lt;=((0+Setup!$B$11)+Setup!$B$13)),"RB",IF(AND((33-1)&gt;((0+Setup!$B$11)+Setup!$B$13),(33-1)&lt;=(((0+Setup!$B$11)+Setup!$B$13)+Setup!$B$15)),"WR",IF(AND((33-1)&gt;(((0+Setup!$B$11)+Setup!$B$13)+Setup!$B$15),(33-1)&lt;=((((0+Setup!$B$11)+Setup!$B$13)+Setup!$B$15)+Setup!$B$17)),"TE",IF(AND((33-1)&gt;((((0+Setup!$B$11)+Setup!$B$13)+Setup!$B$15)+Setup!$B$17),(33-1)&lt;=(((((0+Setup!$B$11)+Setup!$B$13)+Setup!$B$15)+Setup!$B$17)+Setup!$B$19)),"FLEX (RB/WR/TE)",IF(AND((33-1)&gt;(((((0+Setup!$B$11)+Setup!$B$13)+Setup!$B$15)+Setup!$B$17)+Setup!$B$19),(33-1)&lt;=((((((0+Setup!$B$11)+Setup!$B$13)+Setup!$B$15)+Setup!$B$17)+Setup!$B$19)+Setup!$B$21)),"FLEX (RB/WR)",IF(AND((33-1)&gt;((((((0+Setup!$B$11)+Setup!$B$13)+Setup!$B$15)+Setup!$B$17)+Setup!$B$19)+Setup!$B$21),(33-1)&lt;=(((((((0+Setup!$B$11)+Setup!$B$13)+Setup!$B$15)+Setup!$B$17)+Setup!$B$19)+Setup!$B$21)+Setup!$B$23)),"FLEX (WR/TE)",IF(AND((33-1)&gt;(((((((0+Setup!$B$11)+Setup!$B$13)+Setup!$B$15)+Setup!$B$17)+Setup!$B$19)+Setup!$B$21)+Setup!$B$23),(33-1)&lt;=((((((((0+Setup!$B$11)+Setup!$B$13)+Setup!$B$15)+Setup!$B$17)+Setup!$B$19)+Setup!$B$21)+Setup!$B$23)+Setup!$B$25)),"SUPERFLEX",IF(AND((33-1)&gt;((((((((0+Setup!$B$11)+Setup!$B$13)+Setup!$B$15)+Setup!$B$17)+Setup!$B$19)+Setup!$B$21)+Setup!$B$23)+Setup!$B$25),(33-1)&lt;=(((((((((0+Setup!$B$11)+Setup!$B$13)+Setup!$B$15)+Setup!$B$17)+Setup!$B$19)+Setup!$B$21)+Setup!$B$23)+Setup!$B$25)+Setup!$B$27)),"DEF",IF(AND((33-1)&gt;(((((((((0+Setup!$B$11)+Setup!$B$13)+Setup!$B$15)+Setup!$B$17)+Setup!$B$19)+Setup!$B$21)+Setup!$B$23)+Setup!$B$25)+Setup!$B$27),(33-1)&lt;=((((((((((0+Setup!$B$11)+Setup!$B$13)+Setup!$B$15)+Setup!$B$17)+Setup!$B$19)+Setup!$B$21)+Setup!$B$23)+Setup!$B$25)+Setup!$B$27)+Setup!$B$29)),"K",IF(AND((33-1)&gt;((((((((((0+Setup!$B$11)+Setup!$B$13)+Setup!$B$15)+Setup!$B$17)+Setup!$B$19)+Setup!$B$21)+Setup!$B$23)+Setup!$B$25)+Setup!$B$27)+Setup!$B$29),(33-1)&lt;=(((((((((((0+Setup!$B$11)+Setup!$B$13)+Setup!$B$15)+Setup!$B$17)+Setup!$B$19)+Setup!$B$21)+Setup!$B$23)+Setup!$B$25)+Setup!$B$27)+Setup!$B$29)+Setup!$B$31)),"BENCH","")))))))))))</f>
        <v/>
      </c>
    </row>
    <row r="34" spans="1:1" x14ac:dyDescent="0.25">
      <c r="A34" t="str">
        <f>IF(AND((34-1)&gt;0,(34-1)&lt;=(0+Setup!$B$11)),"QB",IF(AND((34-1)&gt;(0+Setup!$B$11),(34-1)&lt;=((0+Setup!$B$11)+Setup!$B$13)),"RB",IF(AND((34-1)&gt;((0+Setup!$B$11)+Setup!$B$13),(34-1)&lt;=(((0+Setup!$B$11)+Setup!$B$13)+Setup!$B$15)),"WR",IF(AND((34-1)&gt;(((0+Setup!$B$11)+Setup!$B$13)+Setup!$B$15),(34-1)&lt;=((((0+Setup!$B$11)+Setup!$B$13)+Setup!$B$15)+Setup!$B$17)),"TE",IF(AND((34-1)&gt;((((0+Setup!$B$11)+Setup!$B$13)+Setup!$B$15)+Setup!$B$17),(34-1)&lt;=(((((0+Setup!$B$11)+Setup!$B$13)+Setup!$B$15)+Setup!$B$17)+Setup!$B$19)),"FLEX (RB/WR/TE)",IF(AND((34-1)&gt;(((((0+Setup!$B$11)+Setup!$B$13)+Setup!$B$15)+Setup!$B$17)+Setup!$B$19),(34-1)&lt;=((((((0+Setup!$B$11)+Setup!$B$13)+Setup!$B$15)+Setup!$B$17)+Setup!$B$19)+Setup!$B$21)),"FLEX (RB/WR)",IF(AND((34-1)&gt;((((((0+Setup!$B$11)+Setup!$B$13)+Setup!$B$15)+Setup!$B$17)+Setup!$B$19)+Setup!$B$21),(34-1)&lt;=(((((((0+Setup!$B$11)+Setup!$B$13)+Setup!$B$15)+Setup!$B$17)+Setup!$B$19)+Setup!$B$21)+Setup!$B$23)),"FLEX (WR/TE)",IF(AND((34-1)&gt;(((((((0+Setup!$B$11)+Setup!$B$13)+Setup!$B$15)+Setup!$B$17)+Setup!$B$19)+Setup!$B$21)+Setup!$B$23),(34-1)&lt;=((((((((0+Setup!$B$11)+Setup!$B$13)+Setup!$B$15)+Setup!$B$17)+Setup!$B$19)+Setup!$B$21)+Setup!$B$23)+Setup!$B$25)),"SUPERFLEX",IF(AND((34-1)&gt;((((((((0+Setup!$B$11)+Setup!$B$13)+Setup!$B$15)+Setup!$B$17)+Setup!$B$19)+Setup!$B$21)+Setup!$B$23)+Setup!$B$25),(34-1)&lt;=(((((((((0+Setup!$B$11)+Setup!$B$13)+Setup!$B$15)+Setup!$B$17)+Setup!$B$19)+Setup!$B$21)+Setup!$B$23)+Setup!$B$25)+Setup!$B$27)),"DEF",IF(AND((34-1)&gt;(((((((((0+Setup!$B$11)+Setup!$B$13)+Setup!$B$15)+Setup!$B$17)+Setup!$B$19)+Setup!$B$21)+Setup!$B$23)+Setup!$B$25)+Setup!$B$27),(34-1)&lt;=((((((((((0+Setup!$B$11)+Setup!$B$13)+Setup!$B$15)+Setup!$B$17)+Setup!$B$19)+Setup!$B$21)+Setup!$B$23)+Setup!$B$25)+Setup!$B$27)+Setup!$B$29)),"K",IF(AND((34-1)&gt;((((((((((0+Setup!$B$11)+Setup!$B$13)+Setup!$B$15)+Setup!$B$17)+Setup!$B$19)+Setup!$B$21)+Setup!$B$23)+Setup!$B$25)+Setup!$B$27)+Setup!$B$29),(34-1)&lt;=(((((((((((0+Setup!$B$11)+Setup!$B$13)+Setup!$B$15)+Setup!$B$17)+Setup!$B$19)+Setup!$B$21)+Setup!$B$23)+Setup!$B$25)+Setup!$B$27)+Setup!$B$29)+Setup!$B$31)),"BENCH","")))))))))))</f>
        <v/>
      </c>
    </row>
    <row r="35" spans="1:1" x14ac:dyDescent="0.25">
      <c r="A35" t="str">
        <f>IF(AND((35-1)&gt;0,(35-1)&lt;=(0+Setup!$B$11)),"QB",IF(AND((35-1)&gt;(0+Setup!$B$11),(35-1)&lt;=((0+Setup!$B$11)+Setup!$B$13)),"RB",IF(AND((35-1)&gt;((0+Setup!$B$11)+Setup!$B$13),(35-1)&lt;=(((0+Setup!$B$11)+Setup!$B$13)+Setup!$B$15)),"WR",IF(AND((35-1)&gt;(((0+Setup!$B$11)+Setup!$B$13)+Setup!$B$15),(35-1)&lt;=((((0+Setup!$B$11)+Setup!$B$13)+Setup!$B$15)+Setup!$B$17)),"TE",IF(AND((35-1)&gt;((((0+Setup!$B$11)+Setup!$B$13)+Setup!$B$15)+Setup!$B$17),(35-1)&lt;=(((((0+Setup!$B$11)+Setup!$B$13)+Setup!$B$15)+Setup!$B$17)+Setup!$B$19)),"FLEX (RB/WR/TE)",IF(AND((35-1)&gt;(((((0+Setup!$B$11)+Setup!$B$13)+Setup!$B$15)+Setup!$B$17)+Setup!$B$19),(35-1)&lt;=((((((0+Setup!$B$11)+Setup!$B$13)+Setup!$B$15)+Setup!$B$17)+Setup!$B$19)+Setup!$B$21)),"FLEX (RB/WR)",IF(AND((35-1)&gt;((((((0+Setup!$B$11)+Setup!$B$13)+Setup!$B$15)+Setup!$B$17)+Setup!$B$19)+Setup!$B$21),(35-1)&lt;=(((((((0+Setup!$B$11)+Setup!$B$13)+Setup!$B$15)+Setup!$B$17)+Setup!$B$19)+Setup!$B$21)+Setup!$B$23)),"FLEX (WR/TE)",IF(AND((35-1)&gt;(((((((0+Setup!$B$11)+Setup!$B$13)+Setup!$B$15)+Setup!$B$17)+Setup!$B$19)+Setup!$B$21)+Setup!$B$23),(35-1)&lt;=((((((((0+Setup!$B$11)+Setup!$B$13)+Setup!$B$15)+Setup!$B$17)+Setup!$B$19)+Setup!$B$21)+Setup!$B$23)+Setup!$B$25)),"SUPERFLEX",IF(AND((35-1)&gt;((((((((0+Setup!$B$11)+Setup!$B$13)+Setup!$B$15)+Setup!$B$17)+Setup!$B$19)+Setup!$B$21)+Setup!$B$23)+Setup!$B$25),(35-1)&lt;=(((((((((0+Setup!$B$11)+Setup!$B$13)+Setup!$B$15)+Setup!$B$17)+Setup!$B$19)+Setup!$B$21)+Setup!$B$23)+Setup!$B$25)+Setup!$B$27)),"DEF",IF(AND((35-1)&gt;(((((((((0+Setup!$B$11)+Setup!$B$13)+Setup!$B$15)+Setup!$B$17)+Setup!$B$19)+Setup!$B$21)+Setup!$B$23)+Setup!$B$25)+Setup!$B$27),(35-1)&lt;=((((((((((0+Setup!$B$11)+Setup!$B$13)+Setup!$B$15)+Setup!$B$17)+Setup!$B$19)+Setup!$B$21)+Setup!$B$23)+Setup!$B$25)+Setup!$B$27)+Setup!$B$29)),"K",IF(AND((35-1)&gt;((((((((((0+Setup!$B$11)+Setup!$B$13)+Setup!$B$15)+Setup!$B$17)+Setup!$B$19)+Setup!$B$21)+Setup!$B$23)+Setup!$B$25)+Setup!$B$27)+Setup!$B$29),(35-1)&lt;=(((((((((((0+Setup!$B$11)+Setup!$B$13)+Setup!$B$15)+Setup!$B$17)+Setup!$B$19)+Setup!$B$21)+Setup!$B$23)+Setup!$B$25)+Setup!$B$27)+Setup!$B$29)+Setup!$B$31)),"BENCH","")))))))))))</f>
        <v/>
      </c>
    </row>
    <row r="36" spans="1:1" x14ac:dyDescent="0.25">
      <c r="A36" t="str">
        <f>IF(AND((36-1)&gt;0,(36-1)&lt;=(0+Setup!$B$11)),"QB",IF(AND((36-1)&gt;(0+Setup!$B$11),(36-1)&lt;=((0+Setup!$B$11)+Setup!$B$13)),"RB",IF(AND((36-1)&gt;((0+Setup!$B$11)+Setup!$B$13),(36-1)&lt;=(((0+Setup!$B$11)+Setup!$B$13)+Setup!$B$15)),"WR",IF(AND((36-1)&gt;(((0+Setup!$B$11)+Setup!$B$13)+Setup!$B$15),(36-1)&lt;=((((0+Setup!$B$11)+Setup!$B$13)+Setup!$B$15)+Setup!$B$17)),"TE",IF(AND((36-1)&gt;((((0+Setup!$B$11)+Setup!$B$13)+Setup!$B$15)+Setup!$B$17),(36-1)&lt;=(((((0+Setup!$B$11)+Setup!$B$13)+Setup!$B$15)+Setup!$B$17)+Setup!$B$19)),"FLEX (RB/WR/TE)",IF(AND((36-1)&gt;(((((0+Setup!$B$11)+Setup!$B$13)+Setup!$B$15)+Setup!$B$17)+Setup!$B$19),(36-1)&lt;=((((((0+Setup!$B$11)+Setup!$B$13)+Setup!$B$15)+Setup!$B$17)+Setup!$B$19)+Setup!$B$21)),"FLEX (RB/WR)",IF(AND((36-1)&gt;((((((0+Setup!$B$11)+Setup!$B$13)+Setup!$B$15)+Setup!$B$17)+Setup!$B$19)+Setup!$B$21),(36-1)&lt;=(((((((0+Setup!$B$11)+Setup!$B$13)+Setup!$B$15)+Setup!$B$17)+Setup!$B$19)+Setup!$B$21)+Setup!$B$23)),"FLEX (WR/TE)",IF(AND((36-1)&gt;(((((((0+Setup!$B$11)+Setup!$B$13)+Setup!$B$15)+Setup!$B$17)+Setup!$B$19)+Setup!$B$21)+Setup!$B$23),(36-1)&lt;=((((((((0+Setup!$B$11)+Setup!$B$13)+Setup!$B$15)+Setup!$B$17)+Setup!$B$19)+Setup!$B$21)+Setup!$B$23)+Setup!$B$25)),"SUPERFLEX",IF(AND((36-1)&gt;((((((((0+Setup!$B$11)+Setup!$B$13)+Setup!$B$15)+Setup!$B$17)+Setup!$B$19)+Setup!$B$21)+Setup!$B$23)+Setup!$B$25),(36-1)&lt;=(((((((((0+Setup!$B$11)+Setup!$B$13)+Setup!$B$15)+Setup!$B$17)+Setup!$B$19)+Setup!$B$21)+Setup!$B$23)+Setup!$B$25)+Setup!$B$27)),"DEF",IF(AND((36-1)&gt;(((((((((0+Setup!$B$11)+Setup!$B$13)+Setup!$B$15)+Setup!$B$17)+Setup!$B$19)+Setup!$B$21)+Setup!$B$23)+Setup!$B$25)+Setup!$B$27),(36-1)&lt;=((((((((((0+Setup!$B$11)+Setup!$B$13)+Setup!$B$15)+Setup!$B$17)+Setup!$B$19)+Setup!$B$21)+Setup!$B$23)+Setup!$B$25)+Setup!$B$27)+Setup!$B$29)),"K",IF(AND((36-1)&gt;((((((((((0+Setup!$B$11)+Setup!$B$13)+Setup!$B$15)+Setup!$B$17)+Setup!$B$19)+Setup!$B$21)+Setup!$B$23)+Setup!$B$25)+Setup!$B$27)+Setup!$B$29),(36-1)&lt;=(((((((((((0+Setup!$B$11)+Setup!$B$13)+Setup!$B$15)+Setup!$B$17)+Setup!$B$19)+Setup!$B$21)+Setup!$B$23)+Setup!$B$25)+Setup!$B$27)+Setup!$B$29)+Setup!$B$31)),"BENCH","")))))))))))</f>
        <v/>
      </c>
    </row>
    <row r="37" spans="1:1" x14ac:dyDescent="0.25">
      <c r="A37" t="str">
        <f>IF(AND((37-1)&gt;0,(37-1)&lt;=(0+Setup!$B$11)),"QB",IF(AND((37-1)&gt;(0+Setup!$B$11),(37-1)&lt;=((0+Setup!$B$11)+Setup!$B$13)),"RB",IF(AND((37-1)&gt;((0+Setup!$B$11)+Setup!$B$13),(37-1)&lt;=(((0+Setup!$B$11)+Setup!$B$13)+Setup!$B$15)),"WR",IF(AND((37-1)&gt;(((0+Setup!$B$11)+Setup!$B$13)+Setup!$B$15),(37-1)&lt;=((((0+Setup!$B$11)+Setup!$B$13)+Setup!$B$15)+Setup!$B$17)),"TE",IF(AND((37-1)&gt;((((0+Setup!$B$11)+Setup!$B$13)+Setup!$B$15)+Setup!$B$17),(37-1)&lt;=(((((0+Setup!$B$11)+Setup!$B$13)+Setup!$B$15)+Setup!$B$17)+Setup!$B$19)),"FLEX (RB/WR/TE)",IF(AND((37-1)&gt;(((((0+Setup!$B$11)+Setup!$B$13)+Setup!$B$15)+Setup!$B$17)+Setup!$B$19),(37-1)&lt;=((((((0+Setup!$B$11)+Setup!$B$13)+Setup!$B$15)+Setup!$B$17)+Setup!$B$19)+Setup!$B$21)),"FLEX (RB/WR)",IF(AND((37-1)&gt;((((((0+Setup!$B$11)+Setup!$B$13)+Setup!$B$15)+Setup!$B$17)+Setup!$B$19)+Setup!$B$21),(37-1)&lt;=(((((((0+Setup!$B$11)+Setup!$B$13)+Setup!$B$15)+Setup!$B$17)+Setup!$B$19)+Setup!$B$21)+Setup!$B$23)),"FLEX (WR/TE)",IF(AND((37-1)&gt;(((((((0+Setup!$B$11)+Setup!$B$13)+Setup!$B$15)+Setup!$B$17)+Setup!$B$19)+Setup!$B$21)+Setup!$B$23),(37-1)&lt;=((((((((0+Setup!$B$11)+Setup!$B$13)+Setup!$B$15)+Setup!$B$17)+Setup!$B$19)+Setup!$B$21)+Setup!$B$23)+Setup!$B$25)),"SUPERFLEX",IF(AND((37-1)&gt;((((((((0+Setup!$B$11)+Setup!$B$13)+Setup!$B$15)+Setup!$B$17)+Setup!$B$19)+Setup!$B$21)+Setup!$B$23)+Setup!$B$25),(37-1)&lt;=(((((((((0+Setup!$B$11)+Setup!$B$13)+Setup!$B$15)+Setup!$B$17)+Setup!$B$19)+Setup!$B$21)+Setup!$B$23)+Setup!$B$25)+Setup!$B$27)),"DEF",IF(AND((37-1)&gt;(((((((((0+Setup!$B$11)+Setup!$B$13)+Setup!$B$15)+Setup!$B$17)+Setup!$B$19)+Setup!$B$21)+Setup!$B$23)+Setup!$B$25)+Setup!$B$27),(37-1)&lt;=((((((((((0+Setup!$B$11)+Setup!$B$13)+Setup!$B$15)+Setup!$B$17)+Setup!$B$19)+Setup!$B$21)+Setup!$B$23)+Setup!$B$25)+Setup!$B$27)+Setup!$B$29)),"K",IF(AND((37-1)&gt;((((((((((0+Setup!$B$11)+Setup!$B$13)+Setup!$B$15)+Setup!$B$17)+Setup!$B$19)+Setup!$B$21)+Setup!$B$23)+Setup!$B$25)+Setup!$B$27)+Setup!$B$29),(37-1)&lt;=(((((((((((0+Setup!$B$11)+Setup!$B$13)+Setup!$B$15)+Setup!$B$17)+Setup!$B$19)+Setup!$B$21)+Setup!$B$23)+Setup!$B$25)+Setup!$B$27)+Setup!$B$29)+Setup!$B$31)),"BENCH","")))))))))))</f>
        <v/>
      </c>
    </row>
    <row r="38" spans="1:1" x14ac:dyDescent="0.25">
      <c r="A38" t="str">
        <f>IF(AND((38-1)&gt;0,(38-1)&lt;=(0+Setup!$B$11)),"QB",IF(AND((38-1)&gt;(0+Setup!$B$11),(38-1)&lt;=((0+Setup!$B$11)+Setup!$B$13)),"RB",IF(AND((38-1)&gt;((0+Setup!$B$11)+Setup!$B$13),(38-1)&lt;=(((0+Setup!$B$11)+Setup!$B$13)+Setup!$B$15)),"WR",IF(AND((38-1)&gt;(((0+Setup!$B$11)+Setup!$B$13)+Setup!$B$15),(38-1)&lt;=((((0+Setup!$B$11)+Setup!$B$13)+Setup!$B$15)+Setup!$B$17)),"TE",IF(AND((38-1)&gt;((((0+Setup!$B$11)+Setup!$B$13)+Setup!$B$15)+Setup!$B$17),(38-1)&lt;=(((((0+Setup!$B$11)+Setup!$B$13)+Setup!$B$15)+Setup!$B$17)+Setup!$B$19)),"FLEX (RB/WR/TE)",IF(AND((38-1)&gt;(((((0+Setup!$B$11)+Setup!$B$13)+Setup!$B$15)+Setup!$B$17)+Setup!$B$19),(38-1)&lt;=((((((0+Setup!$B$11)+Setup!$B$13)+Setup!$B$15)+Setup!$B$17)+Setup!$B$19)+Setup!$B$21)),"FLEX (RB/WR)",IF(AND((38-1)&gt;((((((0+Setup!$B$11)+Setup!$B$13)+Setup!$B$15)+Setup!$B$17)+Setup!$B$19)+Setup!$B$21),(38-1)&lt;=(((((((0+Setup!$B$11)+Setup!$B$13)+Setup!$B$15)+Setup!$B$17)+Setup!$B$19)+Setup!$B$21)+Setup!$B$23)),"FLEX (WR/TE)",IF(AND((38-1)&gt;(((((((0+Setup!$B$11)+Setup!$B$13)+Setup!$B$15)+Setup!$B$17)+Setup!$B$19)+Setup!$B$21)+Setup!$B$23),(38-1)&lt;=((((((((0+Setup!$B$11)+Setup!$B$13)+Setup!$B$15)+Setup!$B$17)+Setup!$B$19)+Setup!$B$21)+Setup!$B$23)+Setup!$B$25)),"SUPERFLEX",IF(AND((38-1)&gt;((((((((0+Setup!$B$11)+Setup!$B$13)+Setup!$B$15)+Setup!$B$17)+Setup!$B$19)+Setup!$B$21)+Setup!$B$23)+Setup!$B$25),(38-1)&lt;=(((((((((0+Setup!$B$11)+Setup!$B$13)+Setup!$B$15)+Setup!$B$17)+Setup!$B$19)+Setup!$B$21)+Setup!$B$23)+Setup!$B$25)+Setup!$B$27)),"DEF",IF(AND((38-1)&gt;(((((((((0+Setup!$B$11)+Setup!$B$13)+Setup!$B$15)+Setup!$B$17)+Setup!$B$19)+Setup!$B$21)+Setup!$B$23)+Setup!$B$25)+Setup!$B$27),(38-1)&lt;=((((((((((0+Setup!$B$11)+Setup!$B$13)+Setup!$B$15)+Setup!$B$17)+Setup!$B$19)+Setup!$B$21)+Setup!$B$23)+Setup!$B$25)+Setup!$B$27)+Setup!$B$29)),"K",IF(AND((38-1)&gt;((((((((((0+Setup!$B$11)+Setup!$B$13)+Setup!$B$15)+Setup!$B$17)+Setup!$B$19)+Setup!$B$21)+Setup!$B$23)+Setup!$B$25)+Setup!$B$27)+Setup!$B$29),(38-1)&lt;=(((((((((((0+Setup!$B$11)+Setup!$B$13)+Setup!$B$15)+Setup!$B$17)+Setup!$B$19)+Setup!$B$21)+Setup!$B$23)+Setup!$B$25)+Setup!$B$27)+Setup!$B$29)+Setup!$B$31)),"BENCH","")))))))))))</f>
        <v/>
      </c>
    </row>
    <row r="39" spans="1:1" x14ac:dyDescent="0.25">
      <c r="A39" t="str">
        <f>IF(AND((39-1)&gt;0,(39-1)&lt;=(0+Setup!$B$11)),"QB",IF(AND((39-1)&gt;(0+Setup!$B$11),(39-1)&lt;=((0+Setup!$B$11)+Setup!$B$13)),"RB",IF(AND((39-1)&gt;((0+Setup!$B$11)+Setup!$B$13),(39-1)&lt;=(((0+Setup!$B$11)+Setup!$B$13)+Setup!$B$15)),"WR",IF(AND((39-1)&gt;(((0+Setup!$B$11)+Setup!$B$13)+Setup!$B$15),(39-1)&lt;=((((0+Setup!$B$11)+Setup!$B$13)+Setup!$B$15)+Setup!$B$17)),"TE",IF(AND((39-1)&gt;((((0+Setup!$B$11)+Setup!$B$13)+Setup!$B$15)+Setup!$B$17),(39-1)&lt;=(((((0+Setup!$B$11)+Setup!$B$13)+Setup!$B$15)+Setup!$B$17)+Setup!$B$19)),"FLEX (RB/WR/TE)",IF(AND((39-1)&gt;(((((0+Setup!$B$11)+Setup!$B$13)+Setup!$B$15)+Setup!$B$17)+Setup!$B$19),(39-1)&lt;=((((((0+Setup!$B$11)+Setup!$B$13)+Setup!$B$15)+Setup!$B$17)+Setup!$B$19)+Setup!$B$21)),"FLEX (RB/WR)",IF(AND((39-1)&gt;((((((0+Setup!$B$11)+Setup!$B$13)+Setup!$B$15)+Setup!$B$17)+Setup!$B$19)+Setup!$B$21),(39-1)&lt;=(((((((0+Setup!$B$11)+Setup!$B$13)+Setup!$B$15)+Setup!$B$17)+Setup!$B$19)+Setup!$B$21)+Setup!$B$23)),"FLEX (WR/TE)",IF(AND((39-1)&gt;(((((((0+Setup!$B$11)+Setup!$B$13)+Setup!$B$15)+Setup!$B$17)+Setup!$B$19)+Setup!$B$21)+Setup!$B$23),(39-1)&lt;=((((((((0+Setup!$B$11)+Setup!$B$13)+Setup!$B$15)+Setup!$B$17)+Setup!$B$19)+Setup!$B$21)+Setup!$B$23)+Setup!$B$25)),"SUPERFLEX",IF(AND((39-1)&gt;((((((((0+Setup!$B$11)+Setup!$B$13)+Setup!$B$15)+Setup!$B$17)+Setup!$B$19)+Setup!$B$21)+Setup!$B$23)+Setup!$B$25),(39-1)&lt;=(((((((((0+Setup!$B$11)+Setup!$B$13)+Setup!$B$15)+Setup!$B$17)+Setup!$B$19)+Setup!$B$21)+Setup!$B$23)+Setup!$B$25)+Setup!$B$27)),"DEF",IF(AND((39-1)&gt;(((((((((0+Setup!$B$11)+Setup!$B$13)+Setup!$B$15)+Setup!$B$17)+Setup!$B$19)+Setup!$B$21)+Setup!$B$23)+Setup!$B$25)+Setup!$B$27),(39-1)&lt;=((((((((((0+Setup!$B$11)+Setup!$B$13)+Setup!$B$15)+Setup!$B$17)+Setup!$B$19)+Setup!$B$21)+Setup!$B$23)+Setup!$B$25)+Setup!$B$27)+Setup!$B$29)),"K",IF(AND((39-1)&gt;((((((((((0+Setup!$B$11)+Setup!$B$13)+Setup!$B$15)+Setup!$B$17)+Setup!$B$19)+Setup!$B$21)+Setup!$B$23)+Setup!$B$25)+Setup!$B$27)+Setup!$B$29),(39-1)&lt;=(((((((((((0+Setup!$B$11)+Setup!$B$13)+Setup!$B$15)+Setup!$B$17)+Setup!$B$19)+Setup!$B$21)+Setup!$B$23)+Setup!$B$25)+Setup!$B$27)+Setup!$B$29)+Setup!$B$31)),"BENCH","")))))))))))</f>
        <v/>
      </c>
    </row>
    <row r="40" spans="1:1" x14ac:dyDescent="0.25">
      <c r="A40" t="str">
        <f>IF(AND((40-1)&gt;0,(40-1)&lt;=(0+Setup!$B$11)),"QB",IF(AND((40-1)&gt;(0+Setup!$B$11),(40-1)&lt;=((0+Setup!$B$11)+Setup!$B$13)),"RB",IF(AND((40-1)&gt;((0+Setup!$B$11)+Setup!$B$13),(40-1)&lt;=(((0+Setup!$B$11)+Setup!$B$13)+Setup!$B$15)),"WR",IF(AND((40-1)&gt;(((0+Setup!$B$11)+Setup!$B$13)+Setup!$B$15),(40-1)&lt;=((((0+Setup!$B$11)+Setup!$B$13)+Setup!$B$15)+Setup!$B$17)),"TE",IF(AND((40-1)&gt;((((0+Setup!$B$11)+Setup!$B$13)+Setup!$B$15)+Setup!$B$17),(40-1)&lt;=(((((0+Setup!$B$11)+Setup!$B$13)+Setup!$B$15)+Setup!$B$17)+Setup!$B$19)),"FLEX (RB/WR/TE)",IF(AND((40-1)&gt;(((((0+Setup!$B$11)+Setup!$B$13)+Setup!$B$15)+Setup!$B$17)+Setup!$B$19),(40-1)&lt;=((((((0+Setup!$B$11)+Setup!$B$13)+Setup!$B$15)+Setup!$B$17)+Setup!$B$19)+Setup!$B$21)),"FLEX (RB/WR)",IF(AND((40-1)&gt;((((((0+Setup!$B$11)+Setup!$B$13)+Setup!$B$15)+Setup!$B$17)+Setup!$B$19)+Setup!$B$21),(40-1)&lt;=(((((((0+Setup!$B$11)+Setup!$B$13)+Setup!$B$15)+Setup!$B$17)+Setup!$B$19)+Setup!$B$21)+Setup!$B$23)),"FLEX (WR/TE)",IF(AND((40-1)&gt;(((((((0+Setup!$B$11)+Setup!$B$13)+Setup!$B$15)+Setup!$B$17)+Setup!$B$19)+Setup!$B$21)+Setup!$B$23),(40-1)&lt;=((((((((0+Setup!$B$11)+Setup!$B$13)+Setup!$B$15)+Setup!$B$17)+Setup!$B$19)+Setup!$B$21)+Setup!$B$23)+Setup!$B$25)),"SUPERFLEX",IF(AND((40-1)&gt;((((((((0+Setup!$B$11)+Setup!$B$13)+Setup!$B$15)+Setup!$B$17)+Setup!$B$19)+Setup!$B$21)+Setup!$B$23)+Setup!$B$25),(40-1)&lt;=(((((((((0+Setup!$B$11)+Setup!$B$13)+Setup!$B$15)+Setup!$B$17)+Setup!$B$19)+Setup!$B$21)+Setup!$B$23)+Setup!$B$25)+Setup!$B$27)),"DEF",IF(AND((40-1)&gt;(((((((((0+Setup!$B$11)+Setup!$B$13)+Setup!$B$15)+Setup!$B$17)+Setup!$B$19)+Setup!$B$21)+Setup!$B$23)+Setup!$B$25)+Setup!$B$27),(40-1)&lt;=((((((((((0+Setup!$B$11)+Setup!$B$13)+Setup!$B$15)+Setup!$B$17)+Setup!$B$19)+Setup!$B$21)+Setup!$B$23)+Setup!$B$25)+Setup!$B$27)+Setup!$B$29)),"K",IF(AND((40-1)&gt;((((((((((0+Setup!$B$11)+Setup!$B$13)+Setup!$B$15)+Setup!$B$17)+Setup!$B$19)+Setup!$B$21)+Setup!$B$23)+Setup!$B$25)+Setup!$B$27)+Setup!$B$29),(40-1)&lt;=(((((((((((0+Setup!$B$11)+Setup!$B$13)+Setup!$B$15)+Setup!$B$17)+Setup!$B$19)+Setup!$B$21)+Setup!$B$23)+Setup!$B$25)+Setup!$B$27)+Setup!$B$29)+Setup!$B$31)),"BENCH","")))))))))))</f>
        <v/>
      </c>
    </row>
    <row r="41" spans="1:1" x14ac:dyDescent="0.25">
      <c r="A41" t="str">
        <f>IF(AND((41-1)&gt;0,(41-1)&lt;=(0+Setup!$B$11)),"QB",IF(AND((41-1)&gt;(0+Setup!$B$11),(41-1)&lt;=((0+Setup!$B$11)+Setup!$B$13)),"RB",IF(AND((41-1)&gt;((0+Setup!$B$11)+Setup!$B$13),(41-1)&lt;=(((0+Setup!$B$11)+Setup!$B$13)+Setup!$B$15)),"WR",IF(AND((41-1)&gt;(((0+Setup!$B$11)+Setup!$B$13)+Setup!$B$15),(41-1)&lt;=((((0+Setup!$B$11)+Setup!$B$13)+Setup!$B$15)+Setup!$B$17)),"TE",IF(AND((41-1)&gt;((((0+Setup!$B$11)+Setup!$B$13)+Setup!$B$15)+Setup!$B$17),(41-1)&lt;=(((((0+Setup!$B$11)+Setup!$B$13)+Setup!$B$15)+Setup!$B$17)+Setup!$B$19)),"FLEX (RB/WR/TE)",IF(AND((41-1)&gt;(((((0+Setup!$B$11)+Setup!$B$13)+Setup!$B$15)+Setup!$B$17)+Setup!$B$19),(41-1)&lt;=((((((0+Setup!$B$11)+Setup!$B$13)+Setup!$B$15)+Setup!$B$17)+Setup!$B$19)+Setup!$B$21)),"FLEX (RB/WR)",IF(AND((41-1)&gt;((((((0+Setup!$B$11)+Setup!$B$13)+Setup!$B$15)+Setup!$B$17)+Setup!$B$19)+Setup!$B$21),(41-1)&lt;=(((((((0+Setup!$B$11)+Setup!$B$13)+Setup!$B$15)+Setup!$B$17)+Setup!$B$19)+Setup!$B$21)+Setup!$B$23)),"FLEX (WR/TE)",IF(AND((41-1)&gt;(((((((0+Setup!$B$11)+Setup!$B$13)+Setup!$B$15)+Setup!$B$17)+Setup!$B$19)+Setup!$B$21)+Setup!$B$23),(41-1)&lt;=((((((((0+Setup!$B$11)+Setup!$B$13)+Setup!$B$15)+Setup!$B$17)+Setup!$B$19)+Setup!$B$21)+Setup!$B$23)+Setup!$B$25)),"SUPERFLEX",IF(AND((41-1)&gt;((((((((0+Setup!$B$11)+Setup!$B$13)+Setup!$B$15)+Setup!$B$17)+Setup!$B$19)+Setup!$B$21)+Setup!$B$23)+Setup!$B$25),(41-1)&lt;=(((((((((0+Setup!$B$11)+Setup!$B$13)+Setup!$B$15)+Setup!$B$17)+Setup!$B$19)+Setup!$B$21)+Setup!$B$23)+Setup!$B$25)+Setup!$B$27)),"DEF",IF(AND((41-1)&gt;(((((((((0+Setup!$B$11)+Setup!$B$13)+Setup!$B$15)+Setup!$B$17)+Setup!$B$19)+Setup!$B$21)+Setup!$B$23)+Setup!$B$25)+Setup!$B$27),(41-1)&lt;=((((((((((0+Setup!$B$11)+Setup!$B$13)+Setup!$B$15)+Setup!$B$17)+Setup!$B$19)+Setup!$B$21)+Setup!$B$23)+Setup!$B$25)+Setup!$B$27)+Setup!$B$29)),"K",IF(AND((41-1)&gt;((((((((((0+Setup!$B$11)+Setup!$B$13)+Setup!$B$15)+Setup!$B$17)+Setup!$B$19)+Setup!$B$21)+Setup!$B$23)+Setup!$B$25)+Setup!$B$27)+Setup!$B$29),(41-1)&lt;=(((((((((((0+Setup!$B$11)+Setup!$B$13)+Setup!$B$15)+Setup!$B$17)+Setup!$B$19)+Setup!$B$21)+Setup!$B$23)+Setup!$B$25)+Setup!$B$27)+Setup!$B$29)+Setup!$B$31)),"BENCH","")))))))))))</f>
        <v/>
      </c>
    </row>
    <row r="42" spans="1:1" x14ac:dyDescent="0.25">
      <c r="A42" t="str">
        <f>IF(AND((42-1)&gt;0,(42-1)&lt;=(0+Setup!$B$11)),"QB",IF(AND((42-1)&gt;(0+Setup!$B$11),(42-1)&lt;=((0+Setup!$B$11)+Setup!$B$13)),"RB",IF(AND((42-1)&gt;((0+Setup!$B$11)+Setup!$B$13),(42-1)&lt;=(((0+Setup!$B$11)+Setup!$B$13)+Setup!$B$15)),"WR",IF(AND((42-1)&gt;(((0+Setup!$B$11)+Setup!$B$13)+Setup!$B$15),(42-1)&lt;=((((0+Setup!$B$11)+Setup!$B$13)+Setup!$B$15)+Setup!$B$17)),"TE",IF(AND((42-1)&gt;((((0+Setup!$B$11)+Setup!$B$13)+Setup!$B$15)+Setup!$B$17),(42-1)&lt;=(((((0+Setup!$B$11)+Setup!$B$13)+Setup!$B$15)+Setup!$B$17)+Setup!$B$19)),"FLEX (RB/WR/TE)",IF(AND((42-1)&gt;(((((0+Setup!$B$11)+Setup!$B$13)+Setup!$B$15)+Setup!$B$17)+Setup!$B$19),(42-1)&lt;=((((((0+Setup!$B$11)+Setup!$B$13)+Setup!$B$15)+Setup!$B$17)+Setup!$B$19)+Setup!$B$21)),"FLEX (RB/WR)",IF(AND((42-1)&gt;((((((0+Setup!$B$11)+Setup!$B$13)+Setup!$B$15)+Setup!$B$17)+Setup!$B$19)+Setup!$B$21),(42-1)&lt;=(((((((0+Setup!$B$11)+Setup!$B$13)+Setup!$B$15)+Setup!$B$17)+Setup!$B$19)+Setup!$B$21)+Setup!$B$23)),"FLEX (WR/TE)",IF(AND((42-1)&gt;(((((((0+Setup!$B$11)+Setup!$B$13)+Setup!$B$15)+Setup!$B$17)+Setup!$B$19)+Setup!$B$21)+Setup!$B$23),(42-1)&lt;=((((((((0+Setup!$B$11)+Setup!$B$13)+Setup!$B$15)+Setup!$B$17)+Setup!$B$19)+Setup!$B$21)+Setup!$B$23)+Setup!$B$25)),"SUPERFLEX",IF(AND((42-1)&gt;((((((((0+Setup!$B$11)+Setup!$B$13)+Setup!$B$15)+Setup!$B$17)+Setup!$B$19)+Setup!$B$21)+Setup!$B$23)+Setup!$B$25),(42-1)&lt;=(((((((((0+Setup!$B$11)+Setup!$B$13)+Setup!$B$15)+Setup!$B$17)+Setup!$B$19)+Setup!$B$21)+Setup!$B$23)+Setup!$B$25)+Setup!$B$27)),"DEF",IF(AND((42-1)&gt;(((((((((0+Setup!$B$11)+Setup!$B$13)+Setup!$B$15)+Setup!$B$17)+Setup!$B$19)+Setup!$B$21)+Setup!$B$23)+Setup!$B$25)+Setup!$B$27),(42-1)&lt;=((((((((((0+Setup!$B$11)+Setup!$B$13)+Setup!$B$15)+Setup!$B$17)+Setup!$B$19)+Setup!$B$21)+Setup!$B$23)+Setup!$B$25)+Setup!$B$27)+Setup!$B$29)),"K",IF(AND((42-1)&gt;((((((((((0+Setup!$B$11)+Setup!$B$13)+Setup!$B$15)+Setup!$B$17)+Setup!$B$19)+Setup!$B$21)+Setup!$B$23)+Setup!$B$25)+Setup!$B$27)+Setup!$B$29),(42-1)&lt;=(((((((((((0+Setup!$B$11)+Setup!$B$13)+Setup!$B$15)+Setup!$B$17)+Setup!$B$19)+Setup!$B$21)+Setup!$B$23)+Setup!$B$25)+Setup!$B$27)+Setup!$B$29)+Setup!$B$31)),"BENCH","")))))))))))</f>
        <v/>
      </c>
    </row>
    <row r="43" spans="1:1" x14ac:dyDescent="0.25">
      <c r="A43" t="str">
        <f>IF(AND((43-1)&gt;0,(43-1)&lt;=(0+Setup!$B$11)),"QB",IF(AND((43-1)&gt;(0+Setup!$B$11),(43-1)&lt;=((0+Setup!$B$11)+Setup!$B$13)),"RB",IF(AND((43-1)&gt;((0+Setup!$B$11)+Setup!$B$13),(43-1)&lt;=(((0+Setup!$B$11)+Setup!$B$13)+Setup!$B$15)),"WR",IF(AND((43-1)&gt;(((0+Setup!$B$11)+Setup!$B$13)+Setup!$B$15),(43-1)&lt;=((((0+Setup!$B$11)+Setup!$B$13)+Setup!$B$15)+Setup!$B$17)),"TE",IF(AND((43-1)&gt;((((0+Setup!$B$11)+Setup!$B$13)+Setup!$B$15)+Setup!$B$17),(43-1)&lt;=(((((0+Setup!$B$11)+Setup!$B$13)+Setup!$B$15)+Setup!$B$17)+Setup!$B$19)),"FLEX (RB/WR/TE)",IF(AND((43-1)&gt;(((((0+Setup!$B$11)+Setup!$B$13)+Setup!$B$15)+Setup!$B$17)+Setup!$B$19),(43-1)&lt;=((((((0+Setup!$B$11)+Setup!$B$13)+Setup!$B$15)+Setup!$B$17)+Setup!$B$19)+Setup!$B$21)),"FLEX (RB/WR)",IF(AND((43-1)&gt;((((((0+Setup!$B$11)+Setup!$B$13)+Setup!$B$15)+Setup!$B$17)+Setup!$B$19)+Setup!$B$21),(43-1)&lt;=(((((((0+Setup!$B$11)+Setup!$B$13)+Setup!$B$15)+Setup!$B$17)+Setup!$B$19)+Setup!$B$21)+Setup!$B$23)),"FLEX (WR/TE)",IF(AND((43-1)&gt;(((((((0+Setup!$B$11)+Setup!$B$13)+Setup!$B$15)+Setup!$B$17)+Setup!$B$19)+Setup!$B$21)+Setup!$B$23),(43-1)&lt;=((((((((0+Setup!$B$11)+Setup!$B$13)+Setup!$B$15)+Setup!$B$17)+Setup!$B$19)+Setup!$B$21)+Setup!$B$23)+Setup!$B$25)),"SUPERFLEX",IF(AND((43-1)&gt;((((((((0+Setup!$B$11)+Setup!$B$13)+Setup!$B$15)+Setup!$B$17)+Setup!$B$19)+Setup!$B$21)+Setup!$B$23)+Setup!$B$25),(43-1)&lt;=(((((((((0+Setup!$B$11)+Setup!$B$13)+Setup!$B$15)+Setup!$B$17)+Setup!$B$19)+Setup!$B$21)+Setup!$B$23)+Setup!$B$25)+Setup!$B$27)),"DEF",IF(AND((43-1)&gt;(((((((((0+Setup!$B$11)+Setup!$B$13)+Setup!$B$15)+Setup!$B$17)+Setup!$B$19)+Setup!$B$21)+Setup!$B$23)+Setup!$B$25)+Setup!$B$27),(43-1)&lt;=((((((((((0+Setup!$B$11)+Setup!$B$13)+Setup!$B$15)+Setup!$B$17)+Setup!$B$19)+Setup!$B$21)+Setup!$B$23)+Setup!$B$25)+Setup!$B$27)+Setup!$B$29)),"K",IF(AND((43-1)&gt;((((((((((0+Setup!$B$11)+Setup!$B$13)+Setup!$B$15)+Setup!$B$17)+Setup!$B$19)+Setup!$B$21)+Setup!$B$23)+Setup!$B$25)+Setup!$B$27)+Setup!$B$29),(43-1)&lt;=(((((((((((0+Setup!$B$11)+Setup!$B$13)+Setup!$B$15)+Setup!$B$17)+Setup!$B$19)+Setup!$B$21)+Setup!$B$23)+Setup!$B$25)+Setup!$B$27)+Setup!$B$29)+Setup!$B$31)),"BENCH","")))))))))))</f>
        <v/>
      </c>
    </row>
    <row r="44" spans="1:1" x14ac:dyDescent="0.25">
      <c r="A44" t="str">
        <f>IF(AND((44-1)&gt;0,(44-1)&lt;=(0+Setup!$B$11)),"QB",IF(AND((44-1)&gt;(0+Setup!$B$11),(44-1)&lt;=((0+Setup!$B$11)+Setup!$B$13)),"RB",IF(AND((44-1)&gt;((0+Setup!$B$11)+Setup!$B$13),(44-1)&lt;=(((0+Setup!$B$11)+Setup!$B$13)+Setup!$B$15)),"WR",IF(AND((44-1)&gt;(((0+Setup!$B$11)+Setup!$B$13)+Setup!$B$15),(44-1)&lt;=((((0+Setup!$B$11)+Setup!$B$13)+Setup!$B$15)+Setup!$B$17)),"TE",IF(AND((44-1)&gt;((((0+Setup!$B$11)+Setup!$B$13)+Setup!$B$15)+Setup!$B$17),(44-1)&lt;=(((((0+Setup!$B$11)+Setup!$B$13)+Setup!$B$15)+Setup!$B$17)+Setup!$B$19)),"FLEX (RB/WR/TE)",IF(AND((44-1)&gt;(((((0+Setup!$B$11)+Setup!$B$13)+Setup!$B$15)+Setup!$B$17)+Setup!$B$19),(44-1)&lt;=((((((0+Setup!$B$11)+Setup!$B$13)+Setup!$B$15)+Setup!$B$17)+Setup!$B$19)+Setup!$B$21)),"FLEX (RB/WR)",IF(AND((44-1)&gt;((((((0+Setup!$B$11)+Setup!$B$13)+Setup!$B$15)+Setup!$B$17)+Setup!$B$19)+Setup!$B$21),(44-1)&lt;=(((((((0+Setup!$B$11)+Setup!$B$13)+Setup!$B$15)+Setup!$B$17)+Setup!$B$19)+Setup!$B$21)+Setup!$B$23)),"FLEX (WR/TE)",IF(AND((44-1)&gt;(((((((0+Setup!$B$11)+Setup!$B$13)+Setup!$B$15)+Setup!$B$17)+Setup!$B$19)+Setup!$B$21)+Setup!$B$23),(44-1)&lt;=((((((((0+Setup!$B$11)+Setup!$B$13)+Setup!$B$15)+Setup!$B$17)+Setup!$B$19)+Setup!$B$21)+Setup!$B$23)+Setup!$B$25)),"SUPERFLEX",IF(AND((44-1)&gt;((((((((0+Setup!$B$11)+Setup!$B$13)+Setup!$B$15)+Setup!$B$17)+Setup!$B$19)+Setup!$B$21)+Setup!$B$23)+Setup!$B$25),(44-1)&lt;=(((((((((0+Setup!$B$11)+Setup!$B$13)+Setup!$B$15)+Setup!$B$17)+Setup!$B$19)+Setup!$B$21)+Setup!$B$23)+Setup!$B$25)+Setup!$B$27)),"DEF",IF(AND((44-1)&gt;(((((((((0+Setup!$B$11)+Setup!$B$13)+Setup!$B$15)+Setup!$B$17)+Setup!$B$19)+Setup!$B$21)+Setup!$B$23)+Setup!$B$25)+Setup!$B$27),(44-1)&lt;=((((((((((0+Setup!$B$11)+Setup!$B$13)+Setup!$B$15)+Setup!$B$17)+Setup!$B$19)+Setup!$B$21)+Setup!$B$23)+Setup!$B$25)+Setup!$B$27)+Setup!$B$29)),"K",IF(AND((44-1)&gt;((((((((((0+Setup!$B$11)+Setup!$B$13)+Setup!$B$15)+Setup!$B$17)+Setup!$B$19)+Setup!$B$21)+Setup!$B$23)+Setup!$B$25)+Setup!$B$27)+Setup!$B$29),(44-1)&lt;=(((((((((((0+Setup!$B$11)+Setup!$B$13)+Setup!$B$15)+Setup!$B$17)+Setup!$B$19)+Setup!$B$21)+Setup!$B$23)+Setup!$B$25)+Setup!$B$27)+Setup!$B$29)+Setup!$B$31)),"BENCH","")))))))))))</f>
        <v/>
      </c>
    </row>
    <row r="45" spans="1:1" x14ac:dyDescent="0.25">
      <c r="A45" t="str">
        <f>IF(AND((45-1)&gt;0,(45-1)&lt;=(0+Setup!$B$11)),"QB",IF(AND((45-1)&gt;(0+Setup!$B$11),(45-1)&lt;=((0+Setup!$B$11)+Setup!$B$13)),"RB",IF(AND((45-1)&gt;((0+Setup!$B$11)+Setup!$B$13),(45-1)&lt;=(((0+Setup!$B$11)+Setup!$B$13)+Setup!$B$15)),"WR",IF(AND((45-1)&gt;(((0+Setup!$B$11)+Setup!$B$13)+Setup!$B$15),(45-1)&lt;=((((0+Setup!$B$11)+Setup!$B$13)+Setup!$B$15)+Setup!$B$17)),"TE",IF(AND((45-1)&gt;((((0+Setup!$B$11)+Setup!$B$13)+Setup!$B$15)+Setup!$B$17),(45-1)&lt;=(((((0+Setup!$B$11)+Setup!$B$13)+Setup!$B$15)+Setup!$B$17)+Setup!$B$19)),"FLEX (RB/WR/TE)",IF(AND((45-1)&gt;(((((0+Setup!$B$11)+Setup!$B$13)+Setup!$B$15)+Setup!$B$17)+Setup!$B$19),(45-1)&lt;=((((((0+Setup!$B$11)+Setup!$B$13)+Setup!$B$15)+Setup!$B$17)+Setup!$B$19)+Setup!$B$21)),"FLEX (RB/WR)",IF(AND((45-1)&gt;((((((0+Setup!$B$11)+Setup!$B$13)+Setup!$B$15)+Setup!$B$17)+Setup!$B$19)+Setup!$B$21),(45-1)&lt;=(((((((0+Setup!$B$11)+Setup!$B$13)+Setup!$B$15)+Setup!$B$17)+Setup!$B$19)+Setup!$B$21)+Setup!$B$23)),"FLEX (WR/TE)",IF(AND((45-1)&gt;(((((((0+Setup!$B$11)+Setup!$B$13)+Setup!$B$15)+Setup!$B$17)+Setup!$B$19)+Setup!$B$21)+Setup!$B$23),(45-1)&lt;=((((((((0+Setup!$B$11)+Setup!$B$13)+Setup!$B$15)+Setup!$B$17)+Setup!$B$19)+Setup!$B$21)+Setup!$B$23)+Setup!$B$25)),"SUPERFLEX",IF(AND((45-1)&gt;((((((((0+Setup!$B$11)+Setup!$B$13)+Setup!$B$15)+Setup!$B$17)+Setup!$B$19)+Setup!$B$21)+Setup!$B$23)+Setup!$B$25),(45-1)&lt;=(((((((((0+Setup!$B$11)+Setup!$B$13)+Setup!$B$15)+Setup!$B$17)+Setup!$B$19)+Setup!$B$21)+Setup!$B$23)+Setup!$B$25)+Setup!$B$27)),"DEF",IF(AND((45-1)&gt;(((((((((0+Setup!$B$11)+Setup!$B$13)+Setup!$B$15)+Setup!$B$17)+Setup!$B$19)+Setup!$B$21)+Setup!$B$23)+Setup!$B$25)+Setup!$B$27),(45-1)&lt;=((((((((((0+Setup!$B$11)+Setup!$B$13)+Setup!$B$15)+Setup!$B$17)+Setup!$B$19)+Setup!$B$21)+Setup!$B$23)+Setup!$B$25)+Setup!$B$27)+Setup!$B$29)),"K",IF(AND((45-1)&gt;((((((((((0+Setup!$B$11)+Setup!$B$13)+Setup!$B$15)+Setup!$B$17)+Setup!$B$19)+Setup!$B$21)+Setup!$B$23)+Setup!$B$25)+Setup!$B$27)+Setup!$B$29),(45-1)&lt;=(((((((((((0+Setup!$B$11)+Setup!$B$13)+Setup!$B$15)+Setup!$B$17)+Setup!$B$19)+Setup!$B$21)+Setup!$B$23)+Setup!$B$25)+Setup!$B$27)+Setup!$B$29)+Setup!$B$31)),"BENCH","")))))))))))</f>
        <v/>
      </c>
    </row>
    <row r="46" spans="1:1" x14ac:dyDescent="0.25">
      <c r="A46" t="str">
        <f>IF(AND((46-1)&gt;0,(46-1)&lt;=(0+Setup!$B$11)),"QB",IF(AND((46-1)&gt;(0+Setup!$B$11),(46-1)&lt;=((0+Setup!$B$11)+Setup!$B$13)),"RB",IF(AND((46-1)&gt;((0+Setup!$B$11)+Setup!$B$13),(46-1)&lt;=(((0+Setup!$B$11)+Setup!$B$13)+Setup!$B$15)),"WR",IF(AND((46-1)&gt;(((0+Setup!$B$11)+Setup!$B$13)+Setup!$B$15),(46-1)&lt;=((((0+Setup!$B$11)+Setup!$B$13)+Setup!$B$15)+Setup!$B$17)),"TE",IF(AND((46-1)&gt;((((0+Setup!$B$11)+Setup!$B$13)+Setup!$B$15)+Setup!$B$17),(46-1)&lt;=(((((0+Setup!$B$11)+Setup!$B$13)+Setup!$B$15)+Setup!$B$17)+Setup!$B$19)),"FLEX (RB/WR/TE)",IF(AND((46-1)&gt;(((((0+Setup!$B$11)+Setup!$B$13)+Setup!$B$15)+Setup!$B$17)+Setup!$B$19),(46-1)&lt;=((((((0+Setup!$B$11)+Setup!$B$13)+Setup!$B$15)+Setup!$B$17)+Setup!$B$19)+Setup!$B$21)),"FLEX (RB/WR)",IF(AND((46-1)&gt;((((((0+Setup!$B$11)+Setup!$B$13)+Setup!$B$15)+Setup!$B$17)+Setup!$B$19)+Setup!$B$21),(46-1)&lt;=(((((((0+Setup!$B$11)+Setup!$B$13)+Setup!$B$15)+Setup!$B$17)+Setup!$B$19)+Setup!$B$21)+Setup!$B$23)),"FLEX (WR/TE)",IF(AND((46-1)&gt;(((((((0+Setup!$B$11)+Setup!$B$13)+Setup!$B$15)+Setup!$B$17)+Setup!$B$19)+Setup!$B$21)+Setup!$B$23),(46-1)&lt;=((((((((0+Setup!$B$11)+Setup!$B$13)+Setup!$B$15)+Setup!$B$17)+Setup!$B$19)+Setup!$B$21)+Setup!$B$23)+Setup!$B$25)),"SUPERFLEX",IF(AND((46-1)&gt;((((((((0+Setup!$B$11)+Setup!$B$13)+Setup!$B$15)+Setup!$B$17)+Setup!$B$19)+Setup!$B$21)+Setup!$B$23)+Setup!$B$25),(46-1)&lt;=(((((((((0+Setup!$B$11)+Setup!$B$13)+Setup!$B$15)+Setup!$B$17)+Setup!$B$19)+Setup!$B$21)+Setup!$B$23)+Setup!$B$25)+Setup!$B$27)),"DEF",IF(AND((46-1)&gt;(((((((((0+Setup!$B$11)+Setup!$B$13)+Setup!$B$15)+Setup!$B$17)+Setup!$B$19)+Setup!$B$21)+Setup!$B$23)+Setup!$B$25)+Setup!$B$27),(46-1)&lt;=((((((((((0+Setup!$B$11)+Setup!$B$13)+Setup!$B$15)+Setup!$B$17)+Setup!$B$19)+Setup!$B$21)+Setup!$B$23)+Setup!$B$25)+Setup!$B$27)+Setup!$B$29)),"K",IF(AND((46-1)&gt;((((((((((0+Setup!$B$11)+Setup!$B$13)+Setup!$B$15)+Setup!$B$17)+Setup!$B$19)+Setup!$B$21)+Setup!$B$23)+Setup!$B$25)+Setup!$B$27)+Setup!$B$29),(46-1)&lt;=(((((((((((0+Setup!$B$11)+Setup!$B$13)+Setup!$B$15)+Setup!$B$17)+Setup!$B$19)+Setup!$B$21)+Setup!$B$23)+Setup!$B$25)+Setup!$B$27)+Setup!$B$29)+Setup!$B$31)),"BENCH","")))))))))))</f>
        <v/>
      </c>
    </row>
    <row r="47" spans="1:1" x14ac:dyDescent="0.25">
      <c r="A47" t="str">
        <f>IF(AND((47-1)&gt;0,(47-1)&lt;=(0+Setup!$B$11)),"QB",IF(AND((47-1)&gt;(0+Setup!$B$11),(47-1)&lt;=((0+Setup!$B$11)+Setup!$B$13)),"RB",IF(AND((47-1)&gt;((0+Setup!$B$11)+Setup!$B$13),(47-1)&lt;=(((0+Setup!$B$11)+Setup!$B$13)+Setup!$B$15)),"WR",IF(AND((47-1)&gt;(((0+Setup!$B$11)+Setup!$B$13)+Setup!$B$15),(47-1)&lt;=((((0+Setup!$B$11)+Setup!$B$13)+Setup!$B$15)+Setup!$B$17)),"TE",IF(AND((47-1)&gt;((((0+Setup!$B$11)+Setup!$B$13)+Setup!$B$15)+Setup!$B$17),(47-1)&lt;=(((((0+Setup!$B$11)+Setup!$B$13)+Setup!$B$15)+Setup!$B$17)+Setup!$B$19)),"FLEX (RB/WR/TE)",IF(AND((47-1)&gt;(((((0+Setup!$B$11)+Setup!$B$13)+Setup!$B$15)+Setup!$B$17)+Setup!$B$19),(47-1)&lt;=((((((0+Setup!$B$11)+Setup!$B$13)+Setup!$B$15)+Setup!$B$17)+Setup!$B$19)+Setup!$B$21)),"FLEX (RB/WR)",IF(AND((47-1)&gt;((((((0+Setup!$B$11)+Setup!$B$13)+Setup!$B$15)+Setup!$B$17)+Setup!$B$19)+Setup!$B$21),(47-1)&lt;=(((((((0+Setup!$B$11)+Setup!$B$13)+Setup!$B$15)+Setup!$B$17)+Setup!$B$19)+Setup!$B$21)+Setup!$B$23)),"FLEX (WR/TE)",IF(AND((47-1)&gt;(((((((0+Setup!$B$11)+Setup!$B$13)+Setup!$B$15)+Setup!$B$17)+Setup!$B$19)+Setup!$B$21)+Setup!$B$23),(47-1)&lt;=((((((((0+Setup!$B$11)+Setup!$B$13)+Setup!$B$15)+Setup!$B$17)+Setup!$B$19)+Setup!$B$21)+Setup!$B$23)+Setup!$B$25)),"SUPERFLEX",IF(AND((47-1)&gt;((((((((0+Setup!$B$11)+Setup!$B$13)+Setup!$B$15)+Setup!$B$17)+Setup!$B$19)+Setup!$B$21)+Setup!$B$23)+Setup!$B$25),(47-1)&lt;=(((((((((0+Setup!$B$11)+Setup!$B$13)+Setup!$B$15)+Setup!$B$17)+Setup!$B$19)+Setup!$B$21)+Setup!$B$23)+Setup!$B$25)+Setup!$B$27)),"DEF",IF(AND((47-1)&gt;(((((((((0+Setup!$B$11)+Setup!$B$13)+Setup!$B$15)+Setup!$B$17)+Setup!$B$19)+Setup!$B$21)+Setup!$B$23)+Setup!$B$25)+Setup!$B$27),(47-1)&lt;=((((((((((0+Setup!$B$11)+Setup!$B$13)+Setup!$B$15)+Setup!$B$17)+Setup!$B$19)+Setup!$B$21)+Setup!$B$23)+Setup!$B$25)+Setup!$B$27)+Setup!$B$29)),"K",IF(AND((47-1)&gt;((((((((((0+Setup!$B$11)+Setup!$B$13)+Setup!$B$15)+Setup!$B$17)+Setup!$B$19)+Setup!$B$21)+Setup!$B$23)+Setup!$B$25)+Setup!$B$27)+Setup!$B$29),(47-1)&lt;=(((((((((((0+Setup!$B$11)+Setup!$B$13)+Setup!$B$15)+Setup!$B$17)+Setup!$B$19)+Setup!$B$21)+Setup!$B$23)+Setup!$B$25)+Setup!$B$27)+Setup!$B$29)+Setup!$B$31)),"BENCH","")))))))))))</f>
        <v/>
      </c>
    </row>
    <row r="48" spans="1:1" x14ac:dyDescent="0.25">
      <c r="A48" t="str">
        <f>IF(AND((48-1)&gt;0,(48-1)&lt;=(0+Setup!$B$11)),"QB",IF(AND((48-1)&gt;(0+Setup!$B$11),(48-1)&lt;=((0+Setup!$B$11)+Setup!$B$13)),"RB",IF(AND((48-1)&gt;((0+Setup!$B$11)+Setup!$B$13),(48-1)&lt;=(((0+Setup!$B$11)+Setup!$B$13)+Setup!$B$15)),"WR",IF(AND((48-1)&gt;(((0+Setup!$B$11)+Setup!$B$13)+Setup!$B$15),(48-1)&lt;=((((0+Setup!$B$11)+Setup!$B$13)+Setup!$B$15)+Setup!$B$17)),"TE",IF(AND((48-1)&gt;((((0+Setup!$B$11)+Setup!$B$13)+Setup!$B$15)+Setup!$B$17),(48-1)&lt;=(((((0+Setup!$B$11)+Setup!$B$13)+Setup!$B$15)+Setup!$B$17)+Setup!$B$19)),"FLEX (RB/WR/TE)",IF(AND((48-1)&gt;(((((0+Setup!$B$11)+Setup!$B$13)+Setup!$B$15)+Setup!$B$17)+Setup!$B$19),(48-1)&lt;=((((((0+Setup!$B$11)+Setup!$B$13)+Setup!$B$15)+Setup!$B$17)+Setup!$B$19)+Setup!$B$21)),"FLEX (RB/WR)",IF(AND((48-1)&gt;((((((0+Setup!$B$11)+Setup!$B$13)+Setup!$B$15)+Setup!$B$17)+Setup!$B$19)+Setup!$B$21),(48-1)&lt;=(((((((0+Setup!$B$11)+Setup!$B$13)+Setup!$B$15)+Setup!$B$17)+Setup!$B$19)+Setup!$B$21)+Setup!$B$23)),"FLEX (WR/TE)",IF(AND((48-1)&gt;(((((((0+Setup!$B$11)+Setup!$B$13)+Setup!$B$15)+Setup!$B$17)+Setup!$B$19)+Setup!$B$21)+Setup!$B$23),(48-1)&lt;=((((((((0+Setup!$B$11)+Setup!$B$13)+Setup!$B$15)+Setup!$B$17)+Setup!$B$19)+Setup!$B$21)+Setup!$B$23)+Setup!$B$25)),"SUPERFLEX",IF(AND((48-1)&gt;((((((((0+Setup!$B$11)+Setup!$B$13)+Setup!$B$15)+Setup!$B$17)+Setup!$B$19)+Setup!$B$21)+Setup!$B$23)+Setup!$B$25),(48-1)&lt;=(((((((((0+Setup!$B$11)+Setup!$B$13)+Setup!$B$15)+Setup!$B$17)+Setup!$B$19)+Setup!$B$21)+Setup!$B$23)+Setup!$B$25)+Setup!$B$27)),"DEF",IF(AND((48-1)&gt;(((((((((0+Setup!$B$11)+Setup!$B$13)+Setup!$B$15)+Setup!$B$17)+Setup!$B$19)+Setup!$B$21)+Setup!$B$23)+Setup!$B$25)+Setup!$B$27),(48-1)&lt;=((((((((((0+Setup!$B$11)+Setup!$B$13)+Setup!$B$15)+Setup!$B$17)+Setup!$B$19)+Setup!$B$21)+Setup!$B$23)+Setup!$B$25)+Setup!$B$27)+Setup!$B$29)),"K",IF(AND((48-1)&gt;((((((((((0+Setup!$B$11)+Setup!$B$13)+Setup!$B$15)+Setup!$B$17)+Setup!$B$19)+Setup!$B$21)+Setup!$B$23)+Setup!$B$25)+Setup!$B$27)+Setup!$B$29),(48-1)&lt;=(((((((((((0+Setup!$B$11)+Setup!$B$13)+Setup!$B$15)+Setup!$B$17)+Setup!$B$19)+Setup!$B$21)+Setup!$B$23)+Setup!$B$25)+Setup!$B$27)+Setup!$B$29)+Setup!$B$31)),"BENCH","")))))))))))</f>
        <v/>
      </c>
    </row>
    <row r="49" spans="1:1" x14ac:dyDescent="0.25">
      <c r="A49" t="str">
        <f>IF(AND((49-1)&gt;0,(49-1)&lt;=(0+Setup!$B$11)),"QB",IF(AND((49-1)&gt;(0+Setup!$B$11),(49-1)&lt;=((0+Setup!$B$11)+Setup!$B$13)),"RB",IF(AND((49-1)&gt;((0+Setup!$B$11)+Setup!$B$13),(49-1)&lt;=(((0+Setup!$B$11)+Setup!$B$13)+Setup!$B$15)),"WR",IF(AND((49-1)&gt;(((0+Setup!$B$11)+Setup!$B$13)+Setup!$B$15),(49-1)&lt;=((((0+Setup!$B$11)+Setup!$B$13)+Setup!$B$15)+Setup!$B$17)),"TE",IF(AND((49-1)&gt;((((0+Setup!$B$11)+Setup!$B$13)+Setup!$B$15)+Setup!$B$17),(49-1)&lt;=(((((0+Setup!$B$11)+Setup!$B$13)+Setup!$B$15)+Setup!$B$17)+Setup!$B$19)),"FLEX (RB/WR/TE)",IF(AND((49-1)&gt;(((((0+Setup!$B$11)+Setup!$B$13)+Setup!$B$15)+Setup!$B$17)+Setup!$B$19),(49-1)&lt;=((((((0+Setup!$B$11)+Setup!$B$13)+Setup!$B$15)+Setup!$B$17)+Setup!$B$19)+Setup!$B$21)),"FLEX (RB/WR)",IF(AND((49-1)&gt;((((((0+Setup!$B$11)+Setup!$B$13)+Setup!$B$15)+Setup!$B$17)+Setup!$B$19)+Setup!$B$21),(49-1)&lt;=(((((((0+Setup!$B$11)+Setup!$B$13)+Setup!$B$15)+Setup!$B$17)+Setup!$B$19)+Setup!$B$21)+Setup!$B$23)),"FLEX (WR/TE)",IF(AND((49-1)&gt;(((((((0+Setup!$B$11)+Setup!$B$13)+Setup!$B$15)+Setup!$B$17)+Setup!$B$19)+Setup!$B$21)+Setup!$B$23),(49-1)&lt;=((((((((0+Setup!$B$11)+Setup!$B$13)+Setup!$B$15)+Setup!$B$17)+Setup!$B$19)+Setup!$B$21)+Setup!$B$23)+Setup!$B$25)),"SUPERFLEX",IF(AND((49-1)&gt;((((((((0+Setup!$B$11)+Setup!$B$13)+Setup!$B$15)+Setup!$B$17)+Setup!$B$19)+Setup!$B$21)+Setup!$B$23)+Setup!$B$25),(49-1)&lt;=(((((((((0+Setup!$B$11)+Setup!$B$13)+Setup!$B$15)+Setup!$B$17)+Setup!$B$19)+Setup!$B$21)+Setup!$B$23)+Setup!$B$25)+Setup!$B$27)),"DEF",IF(AND((49-1)&gt;(((((((((0+Setup!$B$11)+Setup!$B$13)+Setup!$B$15)+Setup!$B$17)+Setup!$B$19)+Setup!$B$21)+Setup!$B$23)+Setup!$B$25)+Setup!$B$27),(49-1)&lt;=((((((((((0+Setup!$B$11)+Setup!$B$13)+Setup!$B$15)+Setup!$B$17)+Setup!$B$19)+Setup!$B$21)+Setup!$B$23)+Setup!$B$25)+Setup!$B$27)+Setup!$B$29)),"K",IF(AND((49-1)&gt;((((((((((0+Setup!$B$11)+Setup!$B$13)+Setup!$B$15)+Setup!$B$17)+Setup!$B$19)+Setup!$B$21)+Setup!$B$23)+Setup!$B$25)+Setup!$B$27)+Setup!$B$29),(49-1)&lt;=(((((((((((0+Setup!$B$11)+Setup!$B$13)+Setup!$B$15)+Setup!$B$17)+Setup!$B$19)+Setup!$B$21)+Setup!$B$23)+Setup!$B$25)+Setup!$B$27)+Setup!$B$29)+Setup!$B$31)),"BENCH","")))))))))))</f>
        <v/>
      </c>
    </row>
    <row r="50" spans="1:1" x14ac:dyDescent="0.25">
      <c r="A50" t="str">
        <f>IF(AND((50-1)&gt;0,(50-1)&lt;=(0+Setup!$B$11)),"QB",IF(AND((50-1)&gt;(0+Setup!$B$11),(50-1)&lt;=((0+Setup!$B$11)+Setup!$B$13)),"RB",IF(AND((50-1)&gt;((0+Setup!$B$11)+Setup!$B$13),(50-1)&lt;=(((0+Setup!$B$11)+Setup!$B$13)+Setup!$B$15)),"WR",IF(AND((50-1)&gt;(((0+Setup!$B$11)+Setup!$B$13)+Setup!$B$15),(50-1)&lt;=((((0+Setup!$B$11)+Setup!$B$13)+Setup!$B$15)+Setup!$B$17)),"TE",IF(AND((50-1)&gt;((((0+Setup!$B$11)+Setup!$B$13)+Setup!$B$15)+Setup!$B$17),(50-1)&lt;=(((((0+Setup!$B$11)+Setup!$B$13)+Setup!$B$15)+Setup!$B$17)+Setup!$B$19)),"FLEX (RB/WR/TE)",IF(AND((50-1)&gt;(((((0+Setup!$B$11)+Setup!$B$13)+Setup!$B$15)+Setup!$B$17)+Setup!$B$19),(50-1)&lt;=((((((0+Setup!$B$11)+Setup!$B$13)+Setup!$B$15)+Setup!$B$17)+Setup!$B$19)+Setup!$B$21)),"FLEX (RB/WR)",IF(AND((50-1)&gt;((((((0+Setup!$B$11)+Setup!$B$13)+Setup!$B$15)+Setup!$B$17)+Setup!$B$19)+Setup!$B$21),(50-1)&lt;=(((((((0+Setup!$B$11)+Setup!$B$13)+Setup!$B$15)+Setup!$B$17)+Setup!$B$19)+Setup!$B$21)+Setup!$B$23)),"FLEX (WR/TE)",IF(AND((50-1)&gt;(((((((0+Setup!$B$11)+Setup!$B$13)+Setup!$B$15)+Setup!$B$17)+Setup!$B$19)+Setup!$B$21)+Setup!$B$23),(50-1)&lt;=((((((((0+Setup!$B$11)+Setup!$B$13)+Setup!$B$15)+Setup!$B$17)+Setup!$B$19)+Setup!$B$21)+Setup!$B$23)+Setup!$B$25)),"SUPERFLEX",IF(AND((50-1)&gt;((((((((0+Setup!$B$11)+Setup!$B$13)+Setup!$B$15)+Setup!$B$17)+Setup!$B$19)+Setup!$B$21)+Setup!$B$23)+Setup!$B$25),(50-1)&lt;=(((((((((0+Setup!$B$11)+Setup!$B$13)+Setup!$B$15)+Setup!$B$17)+Setup!$B$19)+Setup!$B$21)+Setup!$B$23)+Setup!$B$25)+Setup!$B$27)),"DEF",IF(AND((50-1)&gt;(((((((((0+Setup!$B$11)+Setup!$B$13)+Setup!$B$15)+Setup!$B$17)+Setup!$B$19)+Setup!$B$21)+Setup!$B$23)+Setup!$B$25)+Setup!$B$27),(50-1)&lt;=((((((((((0+Setup!$B$11)+Setup!$B$13)+Setup!$B$15)+Setup!$B$17)+Setup!$B$19)+Setup!$B$21)+Setup!$B$23)+Setup!$B$25)+Setup!$B$27)+Setup!$B$29)),"K",IF(AND((50-1)&gt;((((((((((0+Setup!$B$11)+Setup!$B$13)+Setup!$B$15)+Setup!$B$17)+Setup!$B$19)+Setup!$B$21)+Setup!$B$23)+Setup!$B$25)+Setup!$B$27)+Setup!$B$29),(50-1)&lt;=(((((((((((0+Setup!$B$11)+Setup!$B$13)+Setup!$B$15)+Setup!$B$17)+Setup!$B$19)+Setup!$B$21)+Setup!$B$23)+Setup!$B$25)+Setup!$B$27)+Setup!$B$29)+Setup!$B$31)),"BENCH","")))))))))))</f>
        <v/>
      </c>
    </row>
  </sheetData>
  <mergeCells count="1">
    <mergeCell ref="E2:F2"/>
  </mergeCells>
  <dataValidations count="1">
    <dataValidation type="whole" allowBlank="1" showErrorMessage="1" errorTitle="Invalid price" error="Enter a whole-dollar amount (0-400)." sqref="C2:C50" xr:uid="{00000000-0002-0000-0400-000000000000}">
      <formula1>0</formula1>
      <formula2>400</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Setup</vt:lpstr>
      <vt:lpstr>Draft Board</vt:lpstr>
      <vt:lpstr>Live Calc</vt:lpstr>
      <vt:lpstr>My Team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 Bond</cp:lastModifiedBy>
  <dcterms:created xsi:type="dcterms:W3CDTF">2026-07-17T18:09:36Z</dcterms:created>
  <dcterms:modified xsi:type="dcterms:W3CDTF">2026-08-25T03:15:21Z</dcterms:modified>
</cp:coreProperties>
</file>