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998ace04e2b563/Documents/FF_ADP/ff_auction_values/"/>
    </mc:Choice>
  </mc:AlternateContent>
  <xr:revisionPtr revIDLastSave="85" documentId="11_FCA6AF76F9D97DC00B90997A2CFDD28929FB2F7C" xr6:coauthVersionLast="47" xr6:coauthVersionMax="47" xr10:uidLastSave="{5AD267EE-D962-4D7E-9B28-953236321D08}"/>
  <bookViews>
    <workbookView xWindow="-28920" yWindow="-120" windowWidth="29040" windowHeight="15720" activeTab="4" xr2:uid="{00000000-000D-0000-FFFF-FFFF00000000}"/>
  </bookViews>
  <sheets>
    <sheet name="Instructions" sheetId="1" r:id="rId1"/>
    <sheet name="Setup" sheetId="2" r:id="rId2"/>
    <sheet name="Draft Board" sheetId="3" r:id="rId3"/>
    <sheet name="Live Calc" sheetId="4" state="hidden" r:id="rId4"/>
    <sheet name="My Tea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5" l="1"/>
  <c r="B54" i="5"/>
  <c r="B53" i="5"/>
  <c r="B58" i="5" s="1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F543" i="4"/>
  <c r="E543" i="4"/>
  <c r="D543" i="4"/>
  <c r="F22" i="4"/>
  <c r="C22" i="4"/>
  <c r="B22" i="4"/>
  <c r="D22" i="4" s="1"/>
  <c r="C21" i="4"/>
  <c r="B21" i="4"/>
  <c r="F20" i="4"/>
  <c r="C20" i="4"/>
  <c r="B20" i="4"/>
  <c r="C19" i="4"/>
  <c r="B19" i="4"/>
  <c r="J18" i="4"/>
  <c r="D15" i="4"/>
  <c r="C15" i="4"/>
  <c r="E22" i="4" s="1"/>
  <c r="B15" i="4"/>
  <c r="D14" i="4"/>
  <c r="C14" i="4"/>
  <c r="B14" i="4"/>
  <c r="D13" i="4"/>
  <c r="C13" i="4"/>
  <c r="E20" i="4" s="1"/>
  <c r="B13" i="4"/>
  <c r="D12" i="4"/>
  <c r="C12" i="4"/>
  <c r="B12" i="4"/>
  <c r="B8" i="4"/>
  <c r="F19" i="4" s="1"/>
  <c r="B2" i="4"/>
  <c r="B3" i="4" s="1"/>
  <c r="AL193" i="3"/>
  <c r="AL192" i="3"/>
  <c r="AL191" i="3"/>
  <c r="AL190" i="3"/>
  <c r="AL189" i="3"/>
  <c r="AL188" i="3"/>
  <c r="AL187" i="3"/>
  <c r="AL186" i="3"/>
  <c r="AL185" i="3"/>
  <c r="AL184" i="3"/>
  <c r="AL183" i="3"/>
  <c r="AL182" i="3"/>
  <c r="AL181" i="3"/>
  <c r="AL180" i="3"/>
  <c r="AL179" i="3"/>
  <c r="AL178" i="3"/>
  <c r="AL177" i="3"/>
  <c r="AL176" i="3"/>
  <c r="AL175" i="3"/>
  <c r="AL174" i="3"/>
  <c r="AL173" i="3"/>
  <c r="AL172" i="3"/>
  <c r="AL171" i="3"/>
  <c r="AL170" i="3"/>
  <c r="AL169" i="3"/>
  <c r="AL168" i="3"/>
  <c r="AL167" i="3"/>
  <c r="AL166" i="3"/>
  <c r="AL165" i="3"/>
  <c r="AL164" i="3"/>
  <c r="AL163" i="3"/>
  <c r="AL162" i="3"/>
  <c r="AL161" i="3"/>
  <c r="V161" i="3"/>
  <c r="AL160" i="3"/>
  <c r="V160" i="3"/>
  <c r="AL159" i="3"/>
  <c r="V159" i="3"/>
  <c r="AL158" i="3"/>
  <c r="V158" i="3"/>
  <c r="AL157" i="3"/>
  <c r="V157" i="3"/>
  <c r="AL156" i="3"/>
  <c r="V156" i="3"/>
  <c r="AL155" i="3"/>
  <c r="V155" i="3"/>
  <c r="AL154" i="3"/>
  <c r="V154" i="3"/>
  <c r="AL153" i="3"/>
  <c r="V153" i="3"/>
  <c r="AL152" i="3"/>
  <c r="V152" i="3"/>
  <c r="AL151" i="3"/>
  <c r="V151" i="3"/>
  <c r="AL150" i="3"/>
  <c r="V150" i="3"/>
  <c r="AL149" i="3"/>
  <c r="V149" i="3"/>
  <c r="AL148" i="3"/>
  <c r="V148" i="3"/>
  <c r="AL147" i="3"/>
  <c r="V147" i="3"/>
  <c r="AL146" i="3"/>
  <c r="V146" i="3"/>
  <c r="AL145" i="3"/>
  <c r="V145" i="3"/>
  <c r="AL144" i="3"/>
  <c r="V144" i="3"/>
  <c r="AL143" i="3"/>
  <c r="V143" i="3"/>
  <c r="AL142" i="3"/>
  <c r="V142" i="3"/>
  <c r="AL141" i="3"/>
  <c r="V141" i="3"/>
  <c r="AL140" i="3"/>
  <c r="V140" i="3"/>
  <c r="AL139" i="3"/>
  <c r="V139" i="3"/>
  <c r="AL138" i="3"/>
  <c r="V138" i="3"/>
  <c r="AL137" i="3"/>
  <c r="V137" i="3"/>
  <c r="AL136" i="3"/>
  <c r="V136" i="3"/>
  <c r="AL135" i="3"/>
  <c r="V135" i="3"/>
  <c r="AL134" i="3"/>
  <c r="V134" i="3"/>
  <c r="AL133" i="3"/>
  <c r="V133" i="3"/>
  <c r="AL132" i="3"/>
  <c r="V132" i="3"/>
  <c r="AL131" i="3"/>
  <c r="V131" i="3"/>
  <c r="AL130" i="3"/>
  <c r="V130" i="3"/>
  <c r="AL129" i="3"/>
  <c r="V129" i="3"/>
  <c r="AL128" i="3"/>
  <c r="V128" i="3"/>
  <c r="AL127" i="3"/>
  <c r="V127" i="3"/>
  <c r="AL126" i="3"/>
  <c r="V126" i="3"/>
  <c r="AL125" i="3"/>
  <c r="V125" i="3"/>
  <c r="AL124" i="3"/>
  <c r="V124" i="3"/>
  <c r="AL123" i="3"/>
  <c r="V123" i="3"/>
  <c r="AL122" i="3"/>
  <c r="V122" i="3"/>
  <c r="AL121" i="3"/>
  <c r="V121" i="3"/>
  <c r="AL120" i="3"/>
  <c r="V120" i="3"/>
  <c r="AL119" i="3"/>
  <c r="V119" i="3"/>
  <c r="AL118" i="3"/>
  <c r="V118" i="3"/>
  <c r="AL117" i="3"/>
  <c r="V117" i="3"/>
  <c r="AL116" i="3"/>
  <c r="V116" i="3"/>
  <c r="AL115" i="3"/>
  <c r="V115" i="3"/>
  <c r="AL114" i="3"/>
  <c r="V114" i="3"/>
  <c r="AL113" i="3"/>
  <c r="V113" i="3"/>
  <c r="AL112" i="3"/>
  <c r="V112" i="3"/>
  <c r="AL111" i="3"/>
  <c r="V111" i="3"/>
  <c r="AL110" i="3"/>
  <c r="V110" i="3"/>
  <c r="AL109" i="3"/>
  <c r="V109" i="3"/>
  <c r="AL108" i="3"/>
  <c r="V108" i="3"/>
  <c r="AL107" i="3"/>
  <c r="V107" i="3"/>
  <c r="AL106" i="3"/>
  <c r="V106" i="3"/>
  <c r="AL105" i="3"/>
  <c r="V105" i="3"/>
  <c r="AL104" i="3"/>
  <c r="V104" i="3"/>
  <c r="AL103" i="3"/>
  <c r="V103" i="3"/>
  <c r="AL102" i="3"/>
  <c r="V102" i="3"/>
  <c r="AL101" i="3"/>
  <c r="V101" i="3"/>
  <c r="AL100" i="3"/>
  <c r="V100" i="3"/>
  <c r="AL99" i="3"/>
  <c r="V99" i="3"/>
  <c r="AL98" i="3"/>
  <c r="V98" i="3"/>
  <c r="AL97" i="3"/>
  <c r="V97" i="3"/>
  <c r="AL96" i="3"/>
  <c r="V96" i="3"/>
  <c r="AL95" i="3"/>
  <c r="V95" i="3"/>
  <c r="AL94" i="3"/>
  <c r="V94" i="3"/>
  <c r="AL93" i="3"/>
  <c r="V93" i="3"/>
  <c r="AL92" i="3"/>
  <c r="V92" i="3"/>
  <c r="AL91" i="3"/>
  <c r="V91" i="3"/>
  <c r="AL90" i="3"/>
  <c r="V90" i="3"/>
  <c r="AL89" i="3"/>
  <c r="V89" i="3"/>
  <c r="AL88" i="3"/>
  <c r="V88" i="3"/>
  <c r="BB87" i="3"/>
  <c r="AL87" i="3"/>
  <c r="V87" i="3"/>
  <c r="BB86" i="3"/>
  <c r="AL86" i="3"/>
  <c r="V86" i="3"/>
  <c r="BB85" i="3"/>
  <c r="AL85" i="3"/>
  <c r="V85" i="3"/>
  <c r="BB84" i="3"/>
  <c r="AL84" i="3"/>
  <c r="V84" i="3"/>
  <c r="BB83" i="3"/>
  <c r="AL83" i="3"/>
  <c r="V83" i="3"/>
  <c r="BB82" i="3"/>
  <c r="AL82" i="3"/>
  <c r="V82" i="3"/>
  <c r="BB81" i="3"/>
  <c r="AL81" i="3"/>
  <c r="V81" i="3"/>
  <c r="BB80" i="3"/>
  <c r="AL80" i="3"/>
  <c r="V80" i="3"/>
  <c r="BB79" i="3"/>
  <c r="AL79" i="3"/>
  <c r="V79" i="3"/>
  <c r="BB78" i="3"/>
  <c r="AL78" i="3"/>
  <c r="V78" i="3"/>
  <c r="BB77" i="3"/>
  <c r="AL77" i="3"/>
  <c r="V77" i="3"/>
  <c r="BB76" i="3"/>
  <c r="AL76" i="3"/>
  <c r="V76" i="3"/>
  <c r="BB75" i="3"/>
  <c r="AL75" i="3"/>
  <c r="V75" i="3"/>
  <c r="BB74" i="3"/>
  <c r="AL74" i="3"/>
  <c r="V74" i="3"/>
  <c r="BB73" i="3"/>
  <c r="AL73" i="3"/>
  <c r="V73" i="3"/>
  <c r="BB72" i="3"/>
  <c r="AL72" i="3"/>
  <c r="V72" i="3"/>
  <c r="BB71" i="3"/>
  <c r="AL71" i="3"/>
  <c r="V71" i="3"/>
  <c r="BB70" i="3"/>
  <c r="AL70" i="3"/>
  <c r="V70" i="3"/>
  <c r="BB69" i="3"/>
  <c r="AL69" i="3"/>
  <c r="V69" i="3"/>
  <c r="BB68" i="3"/>
  <c r="AL68" i="3"/>
  <c r="V68" i="3"/>
  <c r="BB67" i="3"/>
  <c r="AL67" i="3"/>
  <c r="V67" i="3"/>
  <c r="BB66" i="3"/>
  <c r="AL66" i="3"/>
  <c r="V66" i="3"/>
  <c r="BB65" i="3"/>
  <c r="AL65" i="3"/>
  <c r="V65" i="3"/>
  <c r="BB64" i="3"/>
  <c r="AL64" i="3"/>
  <c r="V64" i="3"/>
  <c r="BB63" i="3"/>
  <c r="AL63" i="3"/>
  <c r="V63" i="3"/>
  <c r="BB62" i="3"/>
  <c r="AL62" i="3"/>
  <c r="V62" i="3"/>
  <c r="BB61" i="3"/>
  <c r="AL61" i="3"/>
  <c r="V61" i="3"/>
  <c r="F61" i="3"/>
  <c r="BB60" i="3"/>
  <c r="AL60" i="3"/>
  <c r="V60" i="3"/>
  <c r="F60" i="3"/>
  <c r="BB59" i="3"/>
  <c r="AL59" i="3"/>
  <c r="V59" i="3"/>
  <c r="F59" i="3"/>
  <c r="BB58" i="3"/>
  <c r="AL58" i="3"/>
  <c r="V58" i="3"/>
  <c r="F58" i="3"/>
  <c r="BB57" i="3"/>
  <c r="AL57" i="3"/>
  <c r="V57" i="3"/>
  <c r="F57" i="3"/>
  <c r="BB56" i="3"/>
  <c r="AL56" i="3"/>
  <c r="V56" i="3"/>
  <c r="F56" i="3"/>
  <c r="BB55" i="3"/>
  <c r="AL55" i="3"/>
  <c r="V55" i="3"/>
  <c r="F55" i="3"/>
  <c r="BB54" i="3"/>
  <c r="AL54" i="3"/>
  <c r="V54" i="3"/>
  <c r="F54" i="3"/>
  <c r="BB53" i="3"/>
  <c r="AL53" i="3"/>
  <c r="V53" i="3"/>
  <c r="F53" i="3"/>
  <c r="BB52" i="3"/>
  <c r="AL52" i="3"/>
  <c r="V52" i="3"/>
  <c r="F52" i="3"/>
  <c r="BB51" i="3"/>
  <c r="AL51" i="3"/>
  <c r="V51" i="3"/>
  <c r="F51" i="3"/>
  <c r="BB50" i="3"/>
  <c r="AL50" i="3"/>
  <c r="V50" i="3"/>
  <c r="F50" i="3"/>
  <c r="BB49" i="3"/>
  <c r="AL49" i="3"/>
  <c r="V49" i="3"/>
  <c r="F49" i="3"/>
  <c r="BB48" i="3"/>
  <c r="AL48" i="3"/>
  <c r="V48" i="3"/>
  <c r="F48" i="3"/>
  <c r="BB47" i="3"/>
  <c r="AL47" i="3"/>
  <c r="V47" i="3"/>
  <c r="F47" i="3"/>
  <c r="BB46" i="3"/>
  <c r="AL46" i="3"/>
  <c r="V46" i="3"/>
  <c r="F46" i="3"/>
  <c r="BB45" i="3"/>
  <c r="AL45" i="3"/>
  <c r="V45" i="3"/>
  <c r="F45" i="3"/>
  <c r="BB44" i="3"/>
  <c r="AL44" i="3"/>
  <c r="V44" i="3"/>
  <c r="F44" i="3"/>
  <c r="BB43" i="3"/>
  <c r="AL43" i="3"/>
  <c r="V43" i="3"/>
  <c r="F43" i="3"/>
  <c r="BB42" i="3"/>
  <c r="AL42" i="3"/>
  <c r="V42" i="3"/>
  <c r="F42" i="3"/>
  <c r="BB41" i="3"/>
  <c r="AL41" i="3"/>
  <c r="V41" i="3"/>
  <c r="F41" i="3"/>
  <c r="BB40" i="3"/>
  <c r="AL40" i="3"/>
  <c r="V40" i="3"/>
  <c r="F40" i="3"/>
  <c r="BB39" i="3"/>
  <c r="AL39" i="3"/>
  <c r="V39" i="3"/>
  <c r="F39" i="3"/>
  <c r="BB38" i="3"/>
  <c r="AL38" i="3"/>
  <c r="V38" i="3"/>
  <c r="F38" i="3"/>
  <c r="BB37" i="3"/>
  <c r="AL37" i="3"/>
  <c r="V37" i="3"/>
  <c r="F37" i="3"/>
  <c r="BB36" i="3"/>
  <c r="AL36" i="3"/>
  <c r="V36" i="3"/>
  <c r="F36" i="3"/>
  <c r="BB35" i="3"/>
  <c r="AL35" i="3"/>
  <c r="V35" i="3"/>
  <c r="F35" i="3"/>
  <c r="BB34" i="3"/>
  <c r="AL34" i="3"/>
  <c r="V34" i="3"/>
  <c r="F34" i="3"/>
  <c r="BB33" i="3"/>
  <c r="AL33" i="3"/>
  <c r="V33" i="3"/>
  <c r="F33" i="3"/>
  <c r="BB32" i="3"/>
  <c r="AL32" i="3"/>
  <c r="V32" i="3"/>
  <c r="F32" i="3"/>
  <c r="BB31" i="3"/>
  <c r="AL31" i="3"/>
  <c r="V31" i="3"/>
  <c r="F31" i="3"/>
  <c r="BB30" i="3"/>
  <c r="AL30" i="3"/>
  <c r="V30" i="3"/>
  <c r="F30" i="3"/>
  <c r="BB29" i="3"/>
  <c r="AL29" i="3"/>
  <c r="V29" i="3"/>
  <c r="F29" i="3"/>
  <c r="BB28" i="3"/>
  <c r="AL28" i="3"/>
  <c r="V28" i="3"/>
  <c r="F28" i="3"/>
  <c r="BB27" i="3"/>
  <c r="AL27" i="3"/>
  <c r="V27" i="3"/>
  <c r="F27" i="3"/>
  <c r="BB26" i="3"/>
  <c r="AL26" i="3"/>
  <c r="V26" i="3"/>
  <c r="F26" i="3"/>
  <c r="BB25" i="3"/>
  <c r="AL25" i="3"/>
  <c r="V25" i="3"/>
  <c r="F25" i="3"/>
  <c r="BB24" i="3"/>
  <c r="AL24" i="3"/>
  <c r="V24" i="3"/>
  <c r="F24" i="3"/>
  <c r="BB23" i="3"/>
  <c r="AL23" i="3"/>
  <c r="V23" i="3"/>
  <c r="F23" i="3"/>
  <c r="BB22" i="3"/>
  <c r="AL22" i="3"/>
  <c r="V22" i="3"/>
  <c r="F22" i="3"/>
  <c r="BB21" i="3"/>
  <c r="AL21" i="3"/>
  <c r="V21" i="3"/>
  <c r="F21" i="3"/>
  <c r="BB20" i="3"/>
  <c r="AL20" i="3"/>
  <c r="V20" i="3"/>
  <c r="F20" i="3"/>
  <c r="BB19" i="3"/>
  <c r="AL19" i="3"/>
  <c r="V19" i="3"/>
  <c r="F19" i="3"/>
  <c r="BB18" i="3"/>
  <c r="AL18" i="3"/>
  <c r="V18" i="3"/>
  <c r="F18" i="3"/>
  <c r="BB17" i="3"/>
  <c r="AL17" i="3"/>
  <c r="V17" i="3"/>
  <c r="F17" i="3"/>
  <c r="BB16" i="3"/>
  <c r="AL16" i="3"/>
  <c r="V16" i="3"/>
  <c r="F16" i="3"/>
  <c r="BB15" i="3"/>
  <c r="AL15" i="3"/>
  <c r="V15" i="3"/>
  <c r="F15" i="3"/>
  <c r="BB14" i="3"/>
  <c r="AL14" i="3"/>
  <c r="V14" i="3"/>
  <c r="F14" i="3"/>
  <c r="BB13" i="3"/>
  <c r="AL13" i="3"/>
  <c r="V13" i="3"/>
  <c r="F13" i="3"/>
  <c r="BB12" i="3"/>
  <c r="AL12" i="3"/>
  <c r="V12" i="3"/>
  <c r="F12" i="3"/>
  <c r="BB11" i="3"/>
  <c r="AL11" i="3"/>
  <c r="V11" i="3"/>
  <c r="F11" i="3"/>
  <c r="BB10" i="3"/>
  <c r="AL10" i="3"/>
  <c r="V10" i="3"/>
  <c r="F10" i="3"/>
  <c r="BB9" i="3"/>
  <c r="AL9" i="3"/>
  <c r="V9" i="3"/>
  <c r="F9" i="3"/>
  <c r="BB8" i="3"/>
  <c r="AL8" i="3"/>
  <c r="V8" i="3"/>
  <c r="F8" i="3"/>
  <c r="BB7" i="3"/>
  <c r="AL7" i="3"/>
  <c r="V7" i="3"/>
  <c r="F7" i="3"/>
  <c r="BB6" i="3"/>
  <c r="AL6" i="3"/>
  <c r="V6" i="3"/>
  <c r="F6" i="3"/>
  <c r="BB5" i="3"/>
  <c r="AL5" i="3"/>
  <c r="V5" i="3"/>
  <c r="F5" i="3"/>
  <c r="BB4" i="3"/>
  <c r="AL4" i="3"/>
  <c r="V4" i="3"/>
  <c r="F4" i="3"/>
  <c r="BB3" i="3"/>
  <c r="AL3" i="3"/>
  <c r="V3" i="3"/>
  <c r="F3" i="3"/>
  <c r="BB2" i="3"/>
  <c r="AL2" i="3"/>
  <c r="V2" i="3"/>
  <c r="F2" i="3"/>
  <c r="D21" i="4" l="1"/>
  <c r="B4" i="4"/>
  <c r="E19" i="4"/>
  <c r="D19" i="4"/>
  <c r="H21" i="4"/>
  <c r="AN15" i="3" s="1"/>
  <c r="H22" i="4"/>
  <c r="BD16" i="3" s="1"/>
  <c r="H36" i="3"/>
  <c r="H19" i="4"/>
  <c r="H61" i="3" s="1"/>
  <c r="H20" i="3"/>
  <c r="H55" i="3"/>
  <c r="D20" i="4"/>
  <c r="H20" i="4" s="1"/>
  <c r="X3" i="3" s="1"/>
  <c r="B5" i="4"/>
  <c r="F21" i="4"/>
  <c r="G21" i="4" s="1"/>
  <c r="E21" i="4"/>
  <c r="B55" i="5"/>
  <c r="B56" i="5" s="1"/>
  <c r="B59" i="5" s="1"/>
  <c r="BD73" i="3" l="1"/>
  <c r="BD55" i="3"/>
  <c r="H53" i="3"/>
  <c r="BD71" i="3"/>
  <c r="H27" i="3"/>
  <c r="BD67" i="3"/>
  <c r="H2" i="3"/>
  <c r="H51" i="3"/>
  <c r="H42" i="3"/>
  <c r="BD45" i="3"/>
  <c r="H57" i="3"/>
  <c r="BD59" i="3"/>
  <c r="H35" i="3"/>
  <c r="H48" i="3"/>
  <c r="BD39" i="3"/>
  <c r="H29" i="3"/>
  <c r="H13" i="3"/>
  <c r="H52" i="3"/>
  <c r="H59" i="3"/>
  <c r="H33" i="3"/>
  <c r="H30" i="3"/>
  <c r="BD58" i="3"/>
  <c r="H25" i="3"/>
  <c r="H47" i="3"/>
  <c r="H10" i="3"/>
  <c r="H17" i="3"/>
  <c r="BD33" i="3"/>
  <c r="H5" i="3"/>
  <c r="H58" i="3"/>
  <c r="H60" i="3"/>
  <c r="H15" i="3"/>
  <c r="H38" i="3"/>
  <c r="B60" i="5"/>
  <c r="H12" i="3"/>
  <c r="X103" i="3"/>
  <c r="AN177" i="3"/>
  <c r="X88" i="3"/>
  <c r="AN124" i="3"/>
  <c r="AN125" i="3"/>
  <c r="AN83" i="3"/>
  <c r="X109" i="3"/>
  <c r="AN82" i="3"/>
  <c r="X104" i="3"/>
  <c r="BD2" i="3"/>
  <c r="AN18" i="3"/>
  <c r="AN47" i="3"/>
  <c r="AN166" i="3"/>
  <c r="X5" i="3"/>
  <c r="AN173" i="3"/>
  <c r="X80" i="3"/>
  <c r="AN49" i="3"/>
  <c r="X102" i="3"/>
  <c r="BD76" i="3"/>
  <c r="AN157" i="3"/>
  <c r="AN105" i="3"/>
  <c r="X130" i="3"/>
  <c r="AN164" i="3"/>
  <c r="X93" i="3"/>
  <c r="AN55" i="3"/>
  <c r="AN22" i="3"/>
  <c r="H50" i="3"/>
  <c r="AN95" i="3"/>
  <c r="H28" i="3"/>
  <c r="BD65" i="3"/>
  <c r="AN33" i="3"/>
  <c r="X123" i="3"/>
  <c r="X94" i="3"/>
  <c r="BD85" i="3"/>
  <c r="H23" i="3"/>
  <c r="X106" i="3"/>
  <c r="X86" i="3"/>
  <c r="AN73" i="3"/>
  <c r="H49" i="3"/>
  <c r="AN169" i="3"/>
  <c r="X21" i="3"/>
  <c r="H6" i="3"/>
  <c r="AN23" i="3"/>
  <c r="X45" i="3"/>
  <c r="X73" i="3"/>
  <c r="H11" i="3"/>
  <c r="X118" i="3"/>
  <c r="AN114" i="3"/>
  <c r="H56" i="3"/>
  <c r="AN137" i="3"/>
  <c r="BD22" i="3"/>
  <c r="AN27" i="3"/>
  <c r="H19" i="3"/>
  <c r="BD24" i="3"/>
  <c r="BD48" i="3"/>
  <c r="H40" i="3"/>
  <c r="AN68" i="3"/>
  <c r="X82" i="3"/>
  <c r="BD14" i="3"/>
  <c r="X91" i="3"/>
  <c r="AN77" i="3"/>
  <c r="X133" i="3"/>
  <c r="X127" i="3"/>
  <c r="AN60" i="3"/>
  <c r="X128" i="3"/>
  <c r="AN37" i="3"/>
  <c r="AN80" i="3"/>
  <c r="AN36" i="3"/>
  <c r="AN20" i="3"/>
  <c r="BD87" i="3"/>
  <c r="BD66" i="3"/>
  <c r="X67" i="3"/>
  <c r="X27" i="3"/>
  <c r="AN12" i="3"/>
  <c r="X97" i="3"/>
  <c r="AN85" i="3"/>
  <c r="BD3" i="3"/>
  <c r="X101" i="3"/>
  <c r="AN69" i="3"/>
  <c r="AN31" i="3"/>
  <c r="BD13" i="3"/>
  <c r="AN25" i="3"/>
  <c r="AN4" i="3"/>
  <c r="AN71" i="3"/>
  <c r="X120" i="3"/>
  <c r="X10" i="3"/>
  <c r="AN134" i="3"/>
  <c r="AN78" i="3"/>
  <c r="AN41" i="3"/>
  <c r="H26" i="3"/>
  <c r="H54" i="3"/>
  <c r="H21" i="3"/>
  <c r="H24" i="3"/>
  <c r="X19" i="3"/>
  <c r="X61" i="3"/>
  <c r="AN34" i="3"/>
  <c r="X65" i="3"/>
  <c r="BD26" i="3"/>
  <c r="X98" i="3"/>
  <c r="BD80" i="3"/>
  <c r="BD64" i="3"/>
  <c r="H41" i="3"/>
  <c r="X159" i="3"/>
  <c r="AN19" i="3"/>
  <c r="X161" i="3"/>
  <c r="AN14" i="3"/>
  <c r="H31" i="3"/>
  <c r="X69" i="3"/>
  <c r="H3" i="3"/>
  <c r="X87" i="3"/>
  <c r="AN62" i="3"/>
  <c r="H34" i="3"/>
  <c r="AN81" i="3"/>
  <c r="BD42" i="3"/>
  <c r="X92" i="3"/>
  <c r="AN179" i="3"/>
  <c r="AN42" i="3"/>
  <c r="X50" i="3"/>
  <c r="X62" i="3"/>
  <c r="X6" i="3"/>
  <c r="AN184" i="3"/>
  <c r="AN116" i="3"/>
  <c r="AN132" i="3"/>
  <c r="AN93" i="3"/>
  <c r="AN170" i="3"/>
  <c r="AN101" i="3"/>
  <c r="AN109" i="3"/>
  <c r="AN172" i="3"/>
  <c r="AN160" i="3"/>
  <c r="AN154" i="3"/>
  <c r="AN148" i="3"/>
  <c r="AN190" i="3"/>
  <c r="AN165" i="3"/>
  <c r="AN136" i="3"/>
  <c r="AN104" i="3"/>
  <c r="AN115" i="3"/>
  <c r="AN191" i="3"/>
  <c r="AN175" i="3"/>
  <c r="AN149" i="3"/>
  <c r="AN142" i="3"/>
  <c r="AN106" i="3"/>
  <c r="AN123" i="3"/>
  <c r="AN108" i="3"/>
  <c r="AN88" i="3"/>
  <c r="AN158" i="3"/>
  <c r="AN86" i="3"/>
  <c r="AN161" i="3"/>
  <c r="AN176" i="3"/>
  <c r="AN162" i="3"/>
  <c r="AN144" i="3"/>
  <c r="AN96" i="3"/>
  <c r="AN120" i="3"/>
  <c r="AN188" i="3"/>
  <c r="AN138" i="3"/>
  <c r="AN98" i="3"/>
  <c r="AN70" i="3"/>
  <c r="AN117" i="3"/>
  <c r="AN167" i="3"/>
  <c r="AN74" i="3"/>
  <c r="AN113" i="3"/>
  <c r="AN92" i="3"/>
  <c r="AN66" i="3"/>
  <c r="AN185" i="3"/>
  <c r="AN178" i="3"/>
  <c r="AN183" i="3"/>
  <c r="AN152" i="3"/>
  <c r="AN100" i="3"/>
  <c r="AN192" i="3"/>
  <c r="AN133" i="3"/>
  <c r="AN139" i="3"/>
  <c r="X8" i="3"/>
  <c r="AN186" i="3"/>
  <c r="AN39" i="3"/>
  <c r="AN143" i="3"/>
  <c r="AN2" i="3"/>
  <c r="BD57" i="3"/>
  <c r="BD75" i="3"/>
  <c r="BD52" i="3"/>
  <c r="BD61" i="3"/>
  <c r="BD20" i="3"/>
  <c r="BD50" i="3"/>
  <c r="BD34" i="3"/>
  <c r="BD63" i="3"/>
  <c r="BD51" i="3"/>
  <c r="BD8" i="3"/>
  <c r="BD28" i="3"/>
  <c r="BD35" i="3"/>
  <c r="BD12" i="3"/>
  <c r="BD56" i="3"/>
  <c r="BD40" i="3"/>
  <c r="BD18" i="3"/>
  <c r="BD15" i="3"/>
  <c r="BD25" i="3"/>
  <c r="BD23" i="3"/>
  <c r="BD19" i="3"/>
  <c r="BD77" i="3"/>
  <c r="BD6" i="3"/>
  <c r="BD44" i="3"/>
  <c r="BD47" i="3"/>
  <c r="BD11" i="3"/>
  <c r="BD36" i="3"/>
  <c r="AN7" i="3"/>
  <c r="AN128" i="3"/>
  <c r="BD9" i="3"/>
  <c r="X84" i="3"/>
  <c r="AN48" i="3"/>
  <c r="AN102" i="3"/>
  <c r="AN129" i="3"/>
  <c r="BD62" i="3"/>
  <c r="X112" i="3"/>
  <c r="AN67" i="3"/>
  <c r="X37" i="3"/>
  <c r="AN63" i="3"/>
  <c r="X60" i="3"/>
  <c r="AN145" i="3"/>
  <c r="AN122" i="3"/>
  <c r="AN107" i="3"/>
  <c r="BD5" i="3"/>
  <c r="AN181" i="3"/>
  <c r="H4" i="3"/>
  <c r="AN146" i="3"/>
  <c r="AN168" i="3"/>
  <c r="BD4" i="3"/>
  <c r="H44" i="3"/>
  <c r="AN84" i="3"/>
  <c r="BD41" i="3"/>
  <c r="BD32" i="3"/>
  <c r="AN53" i="3"/>
  <c r="AN119" i="3"/>
  <c r="AN16" i="3"/>
  <c r="AN153" i="3"/>
  <c r="BD74" i="3"/>
  <c r="BD83" i="3"/>
  <c r="AN51" i="3"/>
  <c r="AN131" i="3"/>
  <c r="AN56" i="3"/>
  <c r="AN163" i="3"/>
  <c r="X70" i="3"/>
  <c r="BD21" i="3"/>
  <c r="AN174" i="3"/>
  <c r="AN90" i="3"/>
  <c r="BD79" i="3"/>
  <c r="AN58" i="3"/>
  <c r="H14" i="3"/>
  <c r="AN151" i="3"/>
  <c r="H18" i="3"/>
  <c r="X26" i="3"/>
  <c r="X49" i="3"/>
  <c r="H39" i="3"/>
  <c r="X7" i="3"/>
  <c r="X4" i="3"/>
  <c r="AN189" i="3"/>
  <c r="X153" i="3"/>
  <c r="AN135" i="3"/>
  <c r="AN147" i="3"/>
  <c r="X43" i="3"/>
  <c r="AN171" i="3"/>
  <c r="X59" i="3"/>
  <c r="X29" i="3"/>
  <c r="X95" i="3"/>
  <c r="AN150" i="3"/>
  <c r="X89" i="3"/>
  <c r="X99" i="3"/>
  <c r="X160" i="3"/>
  <c r="X116" i="3"/>
  <c r="AN118" i="3"/>
  <c r="AN57" i="3"/>
  <c r="AN126" i="3"/>
  <c r="X2" i="3"/>
  <c r="AN50" i="3"/>
  <c r="X76" i="3"/>
  <c r="AN193" i="3"/>
  <c r="X111" i="3"/>
  <c r="X90" i="3"/>
  <c r="AN13" i="3"/>
  <c r="AN140" i="3"/>
  <c r="X13" i="3"/>
  <c r="X64" i="3"/>
  <c r="AN6" i="3"/>
  <c r="AN72" i="3"/>
  <c r="BD54" i="3"/>
  <c r="AN3" i="3"/>
  <c r="X32" i="3"/>
  <c r="AN54" i="3"/>
  <c r="X110" i="3"/>
  <c r="BD17" i="3"/>
  <c r="BD84" i="3"/>
  <c r="AN5" i="3"/>
  <c r="G20" i="4"/>
  <c r="B27" i="4" s="1"/>
  <c r="AN156" i="3"/>
  <c r="X41" i="3"/>
  <c r="AN9" i="3"/>
  <c r="BD7" i="3"/>
  <c r="AN29" i="3"/>
  <c r="X51" i="3"/>
  <c r="H9" i="3"/>
  <c r="G19" i="4"/>
  <c r="B26" i="4" s="1"/>
  <c r="BD30" i="3"/>
  <c r="H16" i="3"/>
  <c r="BD38" i="3"/>
  <c r="AN87" i="3"/>
  <c r="X53" i="3"/>
  <c r="BD31" i="3"/>
  <c r="AN61" i="3"/>
  <c r="AN24" i="3"/>
  <c r="AN76" i="3"/>
  <c r="X68" i="3"/>
  <c r="AN155" i="3"/>
  <c r="H37" i="3"/>
  <c r="X114" i="3"/>
  <c r="BD70" i="3"/>
  <c r="BD82" i="3"/>
  <c r="AN44" i="3"/>
  <c r="AN64" i="3"/>
  <c r="H46" i="3"/>
  <c r="AN130" i="3"/>
  <c r="AN17" i="3"/>
  <c r="X156" i="3"/>
  <c r="H43" i="3"/>
  <c r="BD68" i="3"/>
  <c r="H45" i="3"/>
  <c r="H32" i="3"/>
  <c r="X149" i="3"/>
  <c r="X74" i="3"/>
  <c r="X63" i="3"/>
  <c r="X14" i="3"/>
  <c r="AN91" i="3"/>
  <c r="X18" i="3"/>
  <c r="BD69" i="3"/>
  <c r="X126" i="3"/>
  <c r="X131" i="3"/>
  <c r="X158" i="3"/>
  <c r="X155" i="3"/>
  <c r="X150" i="3"/>
  <c r="X137" i="3"/>
  <c r="X115" i="3"/>
  <c r="X146" i="3"/>
  <c r="X36" i="3"/>
  <c r="X12" i="3"/>
  <c r="X124" i="3"/>
  <c r="X147" i="3"/>
  <c r="X140" i="3"/>
  <c r="X57" i="3"/>
  <c r="X113" i="3"/>
  <c r="X85" i="3"/>
  <c r="X81" i="3"/>
  <c r="X77" i="3"/>
  <c r="X121" i="3"/>
  <c r="X119" i="3"/>
  <c r="X56" i="3"/>
  <c r="X33" i="3"/>
  <c r="X28" i="3"/>
  <c r="X20" i="3"/>
  <c r="X135" i="3"/>
  <c r="X83" i="3"/>
  <c r="X117" i="3"/>
  <c r="X44" i="3"/>
  <c r="X75" i="3"/>
  <c r="X31" i="3"/>
  <c r="X22" i="3"/>
  <c r="X42" i="3"/>
  <c r="X39" i="3"/>
  <c r="X23" i="3"/>
  <c r="X141" i="3"/>
  <c r="X157" i="3"/>
  <c r="X25" i="3"/>
  <c r="X34" i="3"/>
  <c r="X148" i="3"/>
  <c r="X54" i="3"/>
  <c r="X139" i="3"/>
  <c r="X55" i="3"/>
  <c r="X30" i="3"/>
  <c r="X154" i="3"/>
  <c r="X136" i="3"/>
  <c r="X52" i="3"/>
  <c r="X125" i="3"/>
  <c r="X142" i="3"/>
  <c r="X48" i="3"/>
  <c r="X129" i="3"/>
  <c r="X40" i="3"/>
  <c r="AN65" i="3"/>
  <c r="X79" i="3"/>
  <c r="AN110" i="3"/>
  <c r="X46" i="3"/>
  <c r="BD46" i="3"/>
  <c r="AN121" i="3"/>
  <c r="AN28" i="3"/>
  <c r="BD27" i="3"/>
  <c r="BD81" i="3"/>
  <c r="AN46" i="3"/>
  <c r="AN75" i="3"/>
  <c r="AN59" i="3"/>
  <c r="X132" i="3"/>
  <c r="X24" i="3"/>
  <c r="AN45" i="3"/>
  <c r="AN10" i="3"/>
  <c r="AN11" i="3"/>
  <c r="X17" i="3"/>
  <c r="BD78" i="3"/>
  <c r="AN40" i="3"/>
  <c r="X108" i="3"/>
  <c r="G22" i="4"/>
  <c r="AN38" i="3"/>
  <c r="X38" i="3"/>
  <c r="AN35" i="3"/>
  <c r="AN43" i="3"/>
  <c r="AN103" i="3"/>
  <c r="X47" i="3"/>
  <c r="H8" i="3"/>
  <c r="X105" i="3"/>
  <c r="X134" i="3"/>
  <c r="X72" i="3"/>
  <c r="X143" i="3"/>
  <c r="AN32" i="3"/>
  <c r="X78" i="3"/>
  <c r="AN182" i="3"/>
  <c r="AN79" i="3"/>
  <c r="X145" i="3"/>
  <c r="X100" i="3"/>
  <c r="X15" i="3"/>
  <c r="BD29" i="3"/>
  <c r="H7" i="3"/>
  <c r="BD37" i="3"/>
  <c r="X16" i="3"/>
  <c r="X122" i="3"/>
  <c r="BD60" i="3"/>
  <c r="X35" i="3"/>
  <c r="AN141" i="3"/>
  <c r="AN159" i="3"/>
  <c r="AN89" i="3"/>
  <c r="X138" i="3"/>
  <c r="X58" i="3"/>
  <c r="AN26" i="3"/>
  <c r="X96" i="3"/>
  <c r="H22" i="3"/>
  <c r="X11" i="3"/>
  <c r="AN187" i="3"/>
  <c r="AN8" i="3"/>
  <c r="AN112" i="3"/>
  <c r="X144" i="3"/>
  <c r="X107" i="3"/>
  <c r="B28" i="4"/>
  <c r="B29" i="4"/>
  <c r="A543" i="4"/>
  <c r="AN97" i="3"/>
  <c r="AN94" i="3"/>
  <c r="X66" i="3"/>
  <c r="AN180" i="3"/>
  <c r="X152" i="3"/>
  <c r="AN127" i="3"/>
  <c r="AN111" i="3"/>
  <c r="BD86" i="3"/>
  <c r="AN21" i="3"/>
  <c r="BD53" i="3"/>
  <c r="AN30" i="3"/>
  <c r="X151" i="3"/>
  <c r="AN99" i="3"/>
  <c r="BD10" i="3"/>
  <c r="AN52" i="3"/>
  <c r="BD49" i="3"/>
  <c r="BD72" i="3"/>
  <c r="X9" i="3"/>
  <c r="X71" i="3"/>
  <c r="BD43" i="3"/>
  <c r="BH45" i="3" l="1"/>
  <c r="L61" i="3"/>
  <c r="J36" i="3"/>
  <c r="BF39" i="3"/>
  <c r="Z131" i="3"/>
  <c r="AB131" i="3"/>
  <c r="AB76" i="3"/>
  <c r="Z76" i="3"/>
  <c r="BH74" i="3"/>
  <c r="BF74" i="3"/>
  <c r="AR96" i="3"/>
  <c r="AP96" i="3"/>
  <c r="AR134" i="3"/>
  <c r="AP134" i="3"/>
  <c r="J6" i="3"/>
  <c r="J58" i="3"/>
  <c r="J7" i="3"/>
  <c r="AB48" i="3"/>
  <c r="Z48" i="3"/>
  <c r="AP64" i="3"/>
  <c r="AR64" i="3"/>
  <c r="AP50" i="3"/>
  <c r="AP145" i="3"/>
  <c r="AR145" i="3"/>
  <c r="AR144" i="3"/>
  <c r="AP144" i="3"/>
  <c r="AP55" i="3"/>
  <c r="BF29" i="3"/>
  <c r="BH29" i="3"/>
  <c r="BH27" i="3"/>
  <c r="BF27" i="3"/>
  <c r="AB85" i="3"/>
  <c r="Z85" i="3"/>
  <c r="J48" i="3"/>
  <c r="C27" i="4"/>
  <c r="D27" i="4" s="1"/>
  <c r="AC27" i="3" s="1"/>
  <c r="Z2" i="3"/>
  <c r="AB60" i="3"/>
  <c r="Z60" i="3"/>
  <c r="BF57" i="3"/>
  <c r="BH57" i="3"/>
  <c r="AP162" i="3"/>
  <c r="AR162" i="3"/>
  <c r="BF64" i="3"/>
  <c r="BH64" i="3"/>
  <c r="Z27" i="3"/>
  <c r="AP169" i="3"/>
  <c r="AR169" i="3"/>
  <c r="C26" i="4"/>
  <c r="L58" i="3"/>
  <c r="AP127" i="3"/>
  <c r="AR127" i="3"/>
  <c r="Z15" i="3"/>
  <c r="AP28" i="3"/>
  <c r="Z113" i="3"/>
  <c r="AB113" i="3"/>
  <c r="AC113" i="3"/>
  <c r="L48" i="3"/>
  <c r="AP126" i="3"/>
  <c r="AR126" i="3"/>
  <c r="AP151" i="3"/>
  <c r="AR151" i="3"/>
  <c r="AP63" i="3"/>
  <c r="AR63" i="3"/>
  <c r="BF18" i="3"/>
  <c r="AP176" i="3"/>
  <c r="AR176" i="3"/>
  <c r="BH80" i="3"/>
  <c r="BF80" i="3"/>
  <c r="AP37" i="3"/>
  <c r="J49" i="3"/>
  <c r="L49" i="3"/>
  <c r="AP18" i="3"/>
  <c r="BH67" i="3"/>
  <c r="AR124" i="3"/>
  <c r="AP124" i="3"/>
  <c r="Z152" i="3"/>
  <c r="AB152" i="3"/>
  <c r="AC100" i="3"/>
  <c r="AB100" i="3"/>
  <c r="Z100" i="3"/>
  <c r="AP11" i="3"/>
  <c r="AB52" i="3"/>
  <c r="Z52" i="3"/>
  <c r="AC57" i="3"/>
  <c r="AB57" i="3"/>
  <c r="Z57" i="3"/>
  <c r="BH70" i="3"/>
  <c r="BF70" i="3"/>
  <c r="AB64" i="3"/>
  <c r="Z64" i="3"/>
  <c r="AP57" i="3"/>
  <c r="AP53" i="3"/>
  <c r="AP48" i="3"/>
  <c r="AP143" i="3"/>
  <c r="AR143" i="3"/>
  <c r="AR185" i="3"/>
  <c r="AP185" i="3"/>
  <c r="AR148" i="3"/>
  <c r="AP148" i="3"/>
  <c r="Z98" i="3"/>
  <c r="AC98" i="3"/>
  <c r="AB98" i="3"/>
  <c r="L52" i="3"/>
  <c r="Z128" i="3"/>
  <c r="AB128" i="3"/>
  <c r="AC128" i="3"/>
  <c r="AP73" i="3"/>
  <c r="AR73" i="3"/>
  <c r="J29" i="3"/>
  <c r="AC96" i="3"/>
  <c r="AB96" i="3"/>
  <c r="Z96" i="3"/>
  <c r="Z136" i="3"/>
  <c r="AB136" i="3"/>
  <c r="AC136" i="3"/>
  <c r="Z140" i="3"/>
  <c r="AB140" i="3"/>
  <c r="Z114" i="3"/>
  <c r="AC114" i="3"/>
  <c r="AB114" i="3"/>
  <c r="AR118" i="3"/>
  <c r="AP118" i="3"/>
  <c r="BF32" i="3"/>
  <c r="BH32" i="3"/>
  <c r="AB84" i="3"/>
  <c r="Z84" i="3"/>
  <c r="AR154" i="3"/>
  <c r="AP154" i="3"/>
  <c r="BH26" i="3"/>
  <c r="BF26" i="3"/>
  <c r="J53" i="3"/>
  <c r="J19" i="3"/>
  <c r="AB104" i="3"/>
  <c r="Z104" i="3"/>
  <c r="AB71" i="3"/>
  <c r="Z71" i="3"/>
  <c r="AB66" i="3"/>
  <c r="Z66" i="3"/>
  <c r="AP26" i="3"/>
  <c r="AR79" i="3"/>
  <c r="AP79" i="3"/>
  <c r="AB108" i="3"/>
  <c r="Z108" i="3"/>
  <c r="AP45" i="3"/>
  <c r="Z46" i="3"/>
  <c r="AC46" i="3"/>
  <c r="AB46" i="3"/>
  <c r="Z154" i="3"/>
  <c r="AB154" i="3"/>
  <c r="Z44" i="3"/>
  <c r="Z147" i="3"/>
  <c r="AC147" i="3"/>
  <c r="AB147" i="3"/>
  <c r="Z63" i="3"/>
  <c r="AB63" i="3"/>
  <c r="J37" i="3"/>
  <c r="L37" i="3"/>
  <c r="BF7" i="3"/>
  <c r="AP140" i="3"/>
  <c r="AR140" i="3"/>
  <c r="Z116" i="3"/>
  <c r="AB116" i="3"/>
  <c r="Z29" i="3"/>
  <c r="BF45" i="3"/>
  <c r="BH79" i="3"/>
  <c r="BF79" i="3"/>
  <c r="BH41" i="3"/>
  <c r="BF41" i="3"/>
  <c r="BF9" i="3"/>
  <c r="BI9" i="3"/>
  <c r="BF12" i="3"/>
  <c r="J51" i="3"/>
  <c r="AR92" i="3"/>
  <c r="AP92" i="3"/>
  <c r="AR158" i="3"/>
  <c r="AP158" i="3"/>
  <c r="AR160" i="3"/>
  <c r="AP160" i="3"/>
  <c r="AR81" i="3"/>
  <c r="AP81" i="3"/>
  <c r="Z65" i="3"/>
  <c r="AC65" i="3"/>
  <c r="AB65" i="3"/>
  <c r="BF13" i="3"/>
  <c r="AP31" i="3"/>
  <c r="BF55" i="3"/>
  <c r="AP27" i="3"/>
  <c r="AC106" i="3"/>
  <c r="AB106" i="3"/>
  <c r="Z106" i="3"/>
  <c r="AP157" i="3"/>
  <c r="AR157" i="3"/>
  <c r="L29" i="3"/>
  <c r="AR82" i="3"/>
  <c r="AP82" i="3"/>
  <c r="L27" i="3"/>
  <c r="J15" i="3"/>
  <c r="AP112" i="3"/>
  <c r="AR112" i="3"/>
  <c r="Z129" i="3"/>
  <c r="AB129" i="3"/>
  <c r="AC129" i="3"/>
  <c r="AP135" i="3"/>
  <c r="AR135" i="3"/>
  <c r="BF23" i="3"/>
  <c r="AC62" i="3"/>
  <c r="AB62" i="3"/>
  <c r="Z62" i="3"/>
  <c r="AP20" i="3"/>
  <c r="AP22" i="3"/>
  <c r="BI86" i="3"/>
  <c r="BH86" i="3"/>
  <c r="BF86" i="3"/>
  <c r="BF81" i="3"/>
  <c r="BH81" i="3"/>
  <c r="Z126" i="3"/>
  <c r="AB126" i="3"/>
  <c r="AC126" i="3"/>
  <c r="BH54" i="3"/>
  <c r="BF54" i="3"/>
  <c r="AC26" i="3"/>
  <c r="Z26" i="3"/>
  <c r="AP152" i="3"/>
  <c r="AR152" i="3"/>
  <c r="Z10" i="3"/>
  <c r="AP68" i="3"/>
  <c r="AR68" i="3"/>
  <c r="AR111" i="3"/>
  <c r="AP111" i="3"/>
  <c r="AP35" i="3"/>
  <c r="Z42" i="3"/>
  <c r="AC42" i="3"/>
  <c r="AP16" i="3"/>
  <c r="AR129" i="3"/>
  <c r="AP129" i="3"/>
  <c r="AP183" i="3"/>
  <c r="AR183" i="3"/>
  <c r="AP42" i="3"/>
  <c r="Z120" i="3"/>
  <c r="AC120" i="3"/>
  <c r="AB120" i="3"/>
  <c r="AR80" i="3"/>
  <c r="AP80" i="3"/>
  <c r="AP47" i="3"/>
  <c r="BF33" i="3"/>
  <c r="AC11" i="3"/>
  <c r="Z11" i="3"/>
  <c r="Z38" i="3"/>
  <c r="AC38" i="3"/>
  <c r="Z125" i="3"/>
  <c r="AB125" i="3"/>
  <c r="AC18" i="3"/>
  <c r="Z18" i="3"/>
  <c r="J9" i="3"/>
  <c r="AP6" i="3"/>
  <c r="AP119" i="3"/>
  <c r="AR119" i="3"/>
  <c r="AR102" i="3"/>
  <c r="AP102" i="3"/>
  <c r="C28" i="4"/>
  <c r="D28" i="4" s="1"/>
  <c r="AS184" i="3" s="1"/>
  <c r="AP2" i="3"/>
  <c r="AQ2" i="3" s="1"/>
  <c r="AR2" i="3" s="1"/>
  <c r="AP190" i="3"/>
  <c r="AR190" i="3"/>
  <c r="AR179" i="3"/>
  <c r="AP179" i="3"/>
  <c r="AP71" i="3"/>
  <c r="AR71" i="3"/>
  <c r="Z67" i="3"/>
  <c r="AC67" i="3"/>
  <c r="AB67" i="3"/>
  <c r="BI48" i="3"/>
  <c r="BF48" i="3"/>
  <c r="BH48" i="3"/>
  <c r="AP164" i="3"/>
  <c r="AR164" i="3"/>
  <c r="J27" i="3"/>
  <c r="L22" i="3"/>
  <c r="J22" i="3"/>
  <c r="AP38" i="3"/>
  <c r="AR121" i="3"/>
  <c r="AP121" i="3"/>
  <c r="Z31" i="3"/>
  <c r="AR91" i="3"/>
  <c r="AP91" i="3"/>
  <c r="AB51" i="3"/>
  <c r="Z51" i="3"/>
  <c r="AC51" i="3"/>
  <c r="BH59" i="3"/>
  <c r="J14" i="3"/>
  <c r="BI40" i="3"/>
  <c r="BH40" i="3"/>
  <c r="BF40" i="3"/>
  <c r="AP161" i="3"/>
  <c r="AR161" i="3"/>
  <c r="AB92" i="3"/>
  <c r="Z92" i="3"/>
  <c r="AP4" i="3"/>
  <c r="BF24" i="3"/>
  <c r="Z130" i="3"/>
  <c r="AB130" i="3"/>
  <c r="C29" i="4"/>
  <c r="D29" i="4" s="1"/>
  <c r="BI80" i="3" s="1"/>
  <c r="BF2" i="3"/>
  <c r="BG84" i="3" s="1"/>
  <c r="BH43" i="3"/>
  <c r="BF43" i="3"/>
  <c r="AP180" i="3"/>
  <c r="AR180" i="3"/>
  <c r="Z145" i="3"/>
  <c r="AB145" i="3"/>
  <c r="AC145" i="3"/>
  <c r="AP10" i="3"/>
  <c r="BH46" i="3"/>
  <c r="BF46" i="3"/>
  <c r="AC75" i="3"/>
  <c r="AB75" i="3"/>
  <c r="Z75" i="3"/>
  <c r="Z14" i="3"/>
  <c r="AC14" i="3"/>
  <c r="AP29" i="3"/>
  <c r="Z13" i="3"/>
  <c r="AC13" i="3"/>
  <c r="AB95" i="3"/>
  <c r="Z95" i="3"/>
  <c r="AP58" i="3"/>
  <c r="J12" i="3"/>
  <c r="BH56" i="3"/>
  <c r="BF56" i="3"/>
  <c r="AR66" i="3"/>
  <c r="AP66" i="3"/>
  <c r="AR86" i="3"/>
  <c r="AP86" i="3"/>
  <c r="BF42" i="3"/>
  <c r="BH42" i="3"/>
  <c r="AP25" i="3"/>
  <c r="AP60" i="3"/>
  <c r="AB86" i="3"/>
  <c r="Z86" i="3"/>
  <c r="AP105" i="3"/>
  <c r="AR105" i="3"/>
  <c r="AC9" i="3"/>
  <c r="Z9" i="3"/>
  <c r="AR94" i="3"/>
  <c r="AP94" i="3"/>
  <c r="Z58" i="3"/>
  <c r="AB58" i="3"/>
  <c r="AP182" i="3"/>
  <c r="AR182" i="3"/>
  <c r="AP40" i="3"/>
  <c r="J59" i="3"/>
  <c r="AP110" i="3"/>
  <c r="AR110" i="3"/>
  <c r="Z30" i="3"/>
  <c r="AC30" i="3"/>
  <c r="Z117" i="3"/>
  <c r="AB117" i="3"/>
  <c r="Z124" i="3"/>
  <c r="AB124" i="3"/>
  <c r="AB74" i="3"/>
  <c r="Z74" i="3"/>
  <c r="AC74" i="3"/>
  <c r="AP155" i="3"/>
  <c r="AR155" i="3"/>
  <c r="AP9" i="3"/>
  <c r="J25" i="3"/>
  <c r="AP13" i="3"/>
  <c r="Z160" i="3"/>
  <c r="AB160" i="3"/>
  <c r="AC59" i="3"/>
  <c r="AB59" i="3"/>
  <c r="Z59" i="3"/>
  <c r="AP90" i="3"/>
  <c r="AR90" i="3"/>
  <c r="AR84" i="3"/>
  <c r="AP84" i="3"/>
  <c r="AR128" i="3"/>
  <c r="AP128" i="3"/>
  <c r="BF35" i="3"/>
  <c r="BH35" i="3"/>
  <c r="BI35" i="3"/>
  <c r="AR113" i="3"/>
  <c r="AP113" i="3"/>
  <c r="AR88" i="3"/>
  <c r="AP88" i="3"/>
  <c r="AP172" i="3"/>
  <c r="AR172" i="3"/>
  <c r="J34" i="3"/>
  <c r="L34" i="3"/>
  <c r="AP34" i="3"/>
  <c r="AP69" i="3"/>
  <c r="AR69" i="3"/>
  <c r="L53" i="3"/>
  <c r="BF22" i="3"/>
  <c r="J23" i="3"/>
  <c r="L23" i="3"/>
  <c r="J35" i="3"/>
  <c r="BF67" i="3"/>
  <c r="J61" i="3"/>
  <c r="BF37" i="3"/>
  <c r="BH37" i="3"/>
  <c r="Z23" i="3"/>
  <c r="J46" i="3"/>
  <c r="L46" i="3"/>
  <c r="AP3" i="3"/>
  <c r="AB49" i="3"/>
  <c r="Z49" i="3"/>
  <c r="AC49" i="3"/>
  <c r="BF52" i="3"/>
  <c r="BH52" i="3"/>
  <c r="AP8" i="3"/>
  <c r="Z39" i="3"/>
  <c r="BF59" i="3"/>
  <c r="AR153" i="3"/>
  <c r="AP153" i="3"/>
  <c r="BF75" i="3"/>
  <c r="BI75" i="3"/>
  <c r="BH75" i="3"/>
  <c r="J41" i="3"/>
  <c r="L41" i="3"/>
  <c r="AC21" i="3"/>
  <c r="Z21" i="3"/>
  <c r="Z142" i="3"/>
  <c r="AC142" i="3"/>
  <c r="AB142" i="3"/>
  <c r="BH69" i="3"/>
  <c r="BF69" i="3"/>
  <c r="AP44" i="3"/>
  <c r="AP72" i="3"/>
  <c r="AR72" i="3"/>
  <c r="J18" i="3"/>
  <c r="BI15" i="3"/>
  <c r="BF15" i="3"/>
  <c r="AR165" i="3"/>
  <c r="AP165" i="3"/>
  <c r="J52" i="3"/>
  <c r="L40" i="3"/>
  <c r="J40" i="3"/>
  <c r="Z93" i="3"/>
  <c r="AC93" i="3"/>
  <c r="AB93" i="3"/>
  <c r="BF16" i="3"/>
  <c r="Z22" i="3"/>
  <c r="AC22" i="3"/>
  <c r="BF82" i="3"/>
  <c r="BH82" i="3"/>
  <c r="AP178" i="3"/>
  <c r="AR178" i="3"/>
  <c r="BH72" i="3"/>
  <c r="BF72" i="3"/>
  <c r="AP97" i="3"/>
  <c r="AR97" i="3"/>
  <c r="Z138" i="3"/>
  <c r="AB138" i="3"/>
  <c r="AC138" i="3"/>
  <c r="AB78" i="3"/>
  <c r="Z78" i="3"/>
  <c r="BH78" i="3"/>
  <c r="BF78" i="3"/>
  <c r="Z79" i="3"/>
  <c r="AB79" i="3"/>
  <c r="AC79" i="3"/>
  <c r="AC55" i="3"/>
  <c r="AB55" i="3"/>
  <c r="Z55" i="3"/>
  <c r="AC83" i="3"/>
  <c r="AB83" i="3"/>
  <c r="Z83" i="3"/>
  <c r="Z12" i="3"/>
  <c r="AC12" i="3"/>
  <c r="Z149" i="3"/>
  <c r="AB149" i="3"/>
  <c r="AB68" i="3"/>
  <c r="Z68" i="3"/>
  <c r="AC68" i="3"/>
  <c r="Z41" i="3"/>
  <c r="AC41" i="3"/>
  <c r="J33" i="3"/>
  <c r="AP171" i="3"/>
  <c r="AR171" i="3"/>
  <c r="AP174" i="3"/>
  <c r="AR174" i="3"/>
  <c r="L44" i="3"/>
  <c r="J44" i="3"/>
  <c r="AP7" i="3"/>
  <c r="BF28" i="3"/>
  <c r="BH28" i="3"/>
  <c r="BI28" i="3"/>
  <c r="L51" i="3"/>
  <c r="AR74" i="3"/>
  <c r="AP74" i="3"/>
  <c r="AR108" i="3"/>
  <c r="AP108" i="3"/>
  <c r="AP109" i="3"/>
  <c r="AR109" i="3"/>
  <c r="AR62" i="3"/>
  <c r="AP62" i="3"/>
  <c r="Z61" i="3"/>
  <c r="AC61" i="3"/>
  <c r="AB61" i="3"/>
  <c r="AC101" i="3"/>
  <c r="AB101" i="3"/>
  <c r="Z101" i="3"/>
  <c r="AR137" i="3"/>
  <c r="AP137" i="3"/>
  <c r="BH85" i="3"/>
  <c r="BF85" i="3"/>
  <c r="BI85" i="3"/>
  <c r="J38" i="3"/>
  <c r="AP49" i="3"/>
  <c r="AP83" i="3"/>
  <c r="AR83" i="3"/>
  <c r="BH49" i="3"/>
  <c r="BF49" i="3"/>
  <c r="AR89" i="3"/>
  <c r="AP89" i="3"/>
  <c r="AP32" i="3"/>
  <c r="AC17" i="3"/>
  <c r="Z17" i="3"/>
  <c r="AP65" i="3"/>
  <c r="AR65" i="3"/>
  <c r="Z139" i="3"/>
  <c r="AC139" i="3"/>
  <c r="AB139" i="3"/>
  <c r="Z135" i="3"/>
  <c r="AB135" i="3"/>
  <c r="AC135" i="3"/>
  <c r="Z36" i="3"/>
  <c r="J32" i="3"/>
  <c r="L32" i="3"/>
  <c r="AR76" i="3"/>
  <c r="AP76" i="3"/>
  <c r="AP156" i="3"/>
  <c r="AR156" i="3"/>
  <c r="L25" i="3"/>
  <c r="Z43" i="3"/>
  <c r="AC43" i="3"/>
  <c r="BH71" i="3"/>
  <c r="BF21" i="3"/>
  <c r="BI21" i="3"/>
  <c r="BF4" i="3"/>
  <c r="Z37" i="3"/>
  <c r="AC37" i="3"/>
  <c r="BH36" i="3"/>
  <c r="BF36" i="3"/>
  <c r="BF8" i="3"/>
  <c r="BI8" i="3"/>
  <c r="AR167" i="3"/>
  <c r="AP167" i="3"/>
  <c r="AR123" i="3"/>
  <c r="AP123" i="3"/>
  <c r="AP101" i="3"/>
  <c r="AR101" i="3"/>
  <c r="AB87" i="3"/>
  <c r="Z87" i="3"/>
  <c r="AC87" i="3"/>
  <c r="Z19" i="3"/>
  <c r="L57" i="3"/>
  <c r="BF3" i="3"/>
  <c r="BF66" i="3"/>
  <c r="BH66" i="3"/>
  <c r="J56" i="3"/>
  <c r="L56" i="3"/>
  <c r="AC94" i="3"/>
  <c r="AB94" i="3"/>
  <c r="Z94" i="3"/>
  <c r="AB80" i="3"/>
  <c r="Z80" i="3"/>
  <c r="J5" i="3"/>
  <c r="Z88" i="3"/>
  <c r="AC88" i="3"/>
  <c r="AB88" i="3"/>
  <c r="AP103" i="3"/>
  <c r="AR103" i="3"/>
  <c r="AB77" i="3"/>
  <c r="AC77" i="3"/>
  <c r="Z77" i="3"/>
  <c r="AR122" i="3"/>
  <c r="AP122" i="3"/>
  <c r="AR100" i="3"/>
  <c r="AS100" i="3"/>
  <c r="AP100" i="3"/>
  <c r="Z159" i="3"/>
  <c r="AB159" i="3"/>
  <c r="AC159" i="3"/>
  <c r="AC82" i="3"/>
  <c r="AB82" i="3"/>
  <c r="Z82" i="3"/>
  <c r="L55" i="3"/>
  <c r="AP43" i="3"/>
  <c r="AC81" i="3"/>
  <c r="Z81" i="3"/>
  <c r="AB81" i="3"/>
  <c r="BH30" i="3"/>
  <c r="BF30" i="3"/>
  <c r="BI30" i="3"/>
  <c r="Z153" i="3"/>
  <c r="AB153" i="3"/>
  <c r="AC153" i="3"/>
  <c r="BF25" i="3"/>
  <c r="AB50" i="3"/>
  <c r="Z50" i="3"/>
  <c r="AP52" i="3"/>
  <c r="AP159" i="3"/>
  <c r="AR159" i="3"/>
  <c r="Z20" i="3"/>
  <c r="AC20" i="3"/>
  <c r="Z146" i="3"/>
  <c r="AC146" i="3"/>
  <c r="AB146" i="3"/>
  <c r="AP24" i="3"/>
  <c r="BF73" i="3"/>
  <c r="AR147" i="3"/>
  <c r="AP147" i="3"/>
  <c r="AB70" i="3"/>
  <c r="Z70" i="3"/>
  <c r="AC70" i="3"/>
  <c r="BI11" i="3"/>
  <c r="BF11" i="3"/>
  <c r="AP39" i="3"/>
  <c r="AP106" i="3"/>
  <c r="AR106" i="3"/>
  <c r="J3" i="3"/>
  <c r="J57" i="3"/>
  <c r="AP114" i="3"/>
  <c r="AR114" i="3"/>
  <c r="Z123" i="3"/>
  <c r="AB123" i="3"/>
  <c r="AP173" i="3"/>
  <c r="AR173" i="3"/>
  <c r="Z72" i="3"/>
  <c r="AB72" i="3"/>
  <c r="AC28" i="3"/>
  <c r="Z28" i="3"/>
  <c r="BH68" i="3"/>
  <c r="BF68" i="3"/>
  <c r="AP5" i="3"/>
  <c r="AR163" i="3"/>
  <c r="AP163" i="3"/>
  <c r="Z112" i="3"/>
  <c r="AC112" i="3"/>
  <c r="AB112" i="3"/>
  <c r="BH63" i="3"/>
  <c r="BF63" i="3"/>
  <c r="AR70" i="3"/>
  <c r="AP70" i="3"/>
  <c r="AP93" i="3"/>
  <c r="AR93" i="3"/>
  <c r="AB69" i="3"/>
  <c r="Z69" i="3"/>
  <c r="AC69" i="3"/>
  <c r="L60" i="3"/>
  <c r="Z118" i="3"/>
  <c r="AB118" i="3"/>
  <c r="Z5" i="3"/>
  <c r="AA5" i="3"/>
  <c r="AC5" i="3"/>
  <c r="Z24" i="3"/>
  <c r="AC24" i="3"/>
  <c r="AC34" i="3"/>
  <c r="Z34" i="3"/>
  <c r="Z137" i="3"/>
  <c r="AC137" i="3"/>
  <c r="AB137" i="3"/>
  <c r="BF31" i="3"/>
  <c r="BH31" i="3"/>
  <c r="BF17" i="3"/>
  <c r="BH73" i="3"/>
  <c r="AP189" i="3"/>
  <c r="AR189" i="3"/>
  <c r="J4" i="3"/>
  <c r="BF44" i="3"/>
  <c r="BI44" i="3"/>
  <c r="BH44" i="3"/>
  <c r="Z8" i="3"/>
  <c r="AC8" i="3"/>
  <c r="AP149" i="3"/>
  <c r="AR149" i="3"/>
  <c r="J31" i="3"/>
  <c r="L31" i="3"/>
  <c r="J30" i="3"/>
  <c r="J11" i="3"/>
  <c r="BI76" i="3"/>
  <c r="BF76" i="3"/>
  <c r="BH76" i="3"/>
  <c r="Z151" i="3"/>
  <c r="AB151" i="3"/>
  <c r="BF60" i="3"/>
  <c r="BI60" i="3"/>
  <c r="BH60" i="3"/>
  <c r="J42" i="3"/>
  <c r="BH39" i="3"/>
  <c r="Z56" i="3"/>
  <c r="AB56" i="3"/>
  <c r="Z156" i="3"/>
  <c r="AB156" i="3"/>
  <c r="AC53" i="3"/>
  <c r="AB53" i="3"/>
  <c r="Z53" i="3"/>
  <c r="AB110" i="3"/>
  <c r="Z110" i="3"/>
  <c r="AC110" i="3"/>
  <c r="J47" i="3"/>
  <c r="AR131" i="3"/>
  <c r="AP131" i="3"/>
  <c r="BH50" i="3"/>
  <c r="BF50" i="3"/>
  <c r="AR138" i="3"/>
  <c r="AP138" i="3"/>
  <c r="AP116" i="3"/>
  <c r="AR116" i="3"/>
  <c r="J26" i="3"/>
  <c r="L26" i="3"/>
  <c r="AR77" i="3"/>
  <c r="AP77" i="3"/>
  <c r="L28" i="3"/>
  <c r="J28" i="3"/>
  <c r="AC102" i="3"/>
  <c r="AB102" i="3"/>
  <c r="Z102" i="3"/>
  <c r="AP30" i="3"/>
  <c r="Z107" i="3"/>
  <c r="AB107" i="3"/>
  <c r="Z122" i="3"/>
  <c r="AC122" i="3"/>
  <c r="AB122" i="3"/>
  <c r="J8" i="3"/>
  <c r="AP59" i="3"/>
  <c r="Z157" i="3"/>
  <c r="AC157" i="3"/>
  <c r="AB157" i="3"/>
  <c r="Z119" i="3"/>
  <c r="AC119" i="3"/>
  <c r="AB119" i="3"/>
  <c r="Z155" i="3"/>
  <c r="AB155" i="3"/>
  <c r="AC155" i="3"/>
  <c r="AP17" i="3"/>
  <c r="AR87" i="3"/>
  <c r="AP87" i="3"/>
  <c r="AP54" i="3"/>
  <c r="Z111" i="3"/>
  <c r="AC111" i="3"/>
  <c r="AB111" i="3"/>
  <c r="AC89" i="3"/>
  <c r="AB89" i="3"/>
  <c r="Z89" i="3"/>
  <c r="Z7" i="3"/>
  <c r="AP51" i="3"/>
  <c r="BI5" i="3"/>
  <c r="BF5" i="3"/>
  <c r="BG15" i="3" s="1"/>
  <c r="BH15" i="3" s="1"/>
  <c r="BH77" i="3"/>
  <c r="BF77" i="3"/>
  <c r="BF20" i="3"/>
  <c r="AR133" i="3"/>
  <c r="AP133" i="3"/>
  <c r="AP188" i="3"/>
  <c r="AR188" i="3"/>
  <c r="AR191" i="3"/>
  <c r="AP191" i="3"/>
  <c r="AP184" i="3"/>
  <c r="AR184" i="3"/>
  <c r="Z161" i="3"/>
  <c r="AB161" i="3"/>
  <c r="AP41" i="3"/>
  <c r="L30" i="3"/>
  <c r="J60" i="3"/>
  <c r="AC91" i="3"/>
  <c r="AB91" i="3"/>
  <c r="Z91" i="3"/>
  <c r="Z45" i="3"/>
  <c r="AP95" i="3"/>
  <c r="AR95" i="3"/>
  <c r="J55" i="3"/>
  <c r="J2" i="3"/>
  <c r="K3" i="3" s="1"/>
  <c r="L3" i="3" s="1"/>
  <c r="BH33" i="3"/>
  <c r="Z3" i="3"/>
  <c r="AA8" i="3" s="1"/>
  <c r="AP21" i="3"/>
  <c r="AP46" i="3"/>
  <c r="J16" i="3"/>
  <c r="J20" i="3"/>
  <c r="AR104" i="3"/>
  <c r="AP104" i="3"/>
  <c r="J10" i="3"/>
  <c r="J13" i="3"/>
  <c r="AP136" i="3"/>
  <c r="AR136" i="3"/>
  <c r="AP36" i="3"/>
  <c r="AP187" i="3"/>
  <c r="AR187" i="3"/>
  <c r="G543" i="4"/>
  <c r="Z143" i="3"/>
  <c r="AB143" i="3"/>
  <c r="AC143" i="3"/>
  <c r="L59" i="3"/>
  <c r="AB54" i="3"/>
  <c r="Z54" i="3"/>
  <c r="AC54" i="3"/>
  <c r="L45" i="3"/>
  <c r="J45" i="3"/>
  <c r="L33" i="3"/>
  <c r="AP168" i="3"/>
  <c r="AR168" i="3"/>
  <c r="AP67" i="3"/>
  <c r="AR67" i="3"/>
  <c r="BH51" i="3"/>
  <c r="BF51" i="3"/>
  <c r="BI51" i="3"/>
  <c r="AR117" i="3"/>
  <c r="AP117" i="3"/>
  <c r="AP170" i="3"/>
  <c r="AR170" i="3"/>
  <c r="J24" i="3"/>
  <c r="L24" i="3"/>
  <c r="AP85" i="3"/>
  <c r="AR85" i="3"/>
  <c r="BH55" i="3"/>
  <c r="L38" i="3"/>
  <c r="L35" i="3"/>
  <c r="AR177" i="3"/>
  <c r="AP177" i="3"/>
  <c r="BF10" i="3"/>
  <c r="AP141" i="3"/>
  <c r="AR141" i="3"/>
  <c r="L42" i="3"/>
  <c r="Z148" i="3"/>
  <c r="AB148" i="3"/>
  <c r="Z115" i="3"/>
  <c r="AC115" i="3"/>
  <c r="AB115" i="3"/>
  <c r="AP61" i="3"/>
  <c r="BF71" i="3"/>
  <c r="AR146" i="3"/>
  <c r="AP146" i="3"/>
  <c r="BH47" i="3"/>
  <c r="BF47" i="3"/>
  <c r="AP186" i="3"/>
  <c r="AR186" i="3"/>
  <c r="AR142" i="3"/>
  <c r="AP142" i="3"/>
  <c r="J21" i="3"/>
  <c r="AB97" i="3"/>
  <c r="Z97" i="3"/>
  <c r="AC97" i="3"/>
  <c r="Z127" i="3"/>
  <c r="AC127" i="3"/>
  <c r="AB127" i="3"/>
  <c r="AP33" i="3"/>
  <c r="BH58" i="3"/>
  <c r="AC103" i="3"/>
  <c r="Z103" i="3"/>
  <c r="AB103" i="3"/>
  <c r="AR99" i="3"/>
  <c r="AP99" i="3"/>
  <c r="AC35" i="3"/>
  <c r="Z35" i="3"/>
  <c r="Z134" i="3"/>
  <c r="AC134" i="3"/>
  <c r="AB134" i="3"/>
  <c r="AC33" i="3"/>
  <c r="Z33" i="3"/>
  <c r="L43" i="3"/>
  <c r="J43" i="3"/>
  <c r="BF84" i="3"/>
  <c r="BH84" i="3"/>
  <c r="AP56" i="3"/>
  <c r="BF62" i="3"/>
  <c r="BI62" i="3"/>
  <c r="BH62" i="3"/>
  <c r="BF34" i="3"/>
  <c r="BI34" i="3"/>
  <c r="BH34" i="3"/>
  <c r="AR98" i="3"/>
  <c r="AP98" i="3"/>
  <c r="AP132" i="3"/>
  <c r="AR132" i="3"/>
  <c r="L54" i="3"/>
  <c r="J54" i="3"/>
  <c r="AP12" i="3"/>
  <c r="Z133" i="3"/>
  <c r="AC133" i="3"/>
  <c r="AB133" i="3"/>
  <c r="BF65" i="3"/>
  <c r="BH65" i="3"/>
  <c r="AP166" i="3"/>
  <c r="AR166" i="3"/>
  <c r="AB109" i="3"/>
  <c r="AC109" i="3"/>
  <c r="Z109" i="3"/>
  <c r="AB105" i="3"/>
  <c r="AC105" i="3"/>
  <c r="Z105" i="3"/>
  <c r="Z132" i="3"/>
  <c r="AB132" i="3"/>
  <c r="AC132" i="3"/>
  <c r="AC25" i="3"/>
  <c r="Z25" i="3"/>
  <c r="Z150" i="3"/>
  <c r="AC150" i="3"/>
  <c r="AB150" i="3"/>
  <c r="AC90" i="3"/>
  <c r="AB90" i="3"/>
  <c r="Z90" i="3"/>
  <c r="Z99" i="3"/>
  <c r="AB99" i="3"/>
  <c r="AC99" i="3"/>
  <c r="AC4" i="3"/>
  <c r="Z4" i="3"/>
  <c r="AP181" i="3"/>
  <c r="AR181" i="3"/>
  <c r="BF6" i="3"/>
  <c r="AR139" i="3"/>
  <c r="AP139" i="3"/>
  <c r="AR175" i="3"/>
  <c r="AP175" i="3"/>
  <c r="AP14" i="3"/>
  <c r="AC73" i="3"/>
  <c r="AB73" i="3"/>
  <c r="Z73" i="3"/>
  <c r="BF58" i="3"/>
  <c r="AR125" i="3"/>
  <c r="AP125" i="3"/>
  <c r="BF53" i="3"/>
  <c r="BH53" i="3"/>
  <c r="Z144" i="3"/>
  <c r="AC144" i="3"/>
  <c r="AB144" i="3"/>
  <c r="AC16" i="3"/>
  <c r="Z16" i="3"/>
  <c r="AC47" i="3"/>
  <c r="AB47" i="3"/>
  <c r="Z47" i="3"/>
  <c r="AR75" i="3"/>
  <c r="AP75" i="3"/>
  <c r="AC40" i="3"/>
  <c r="Z40" i="3"/>
  <c r="Z141" i="3"/>
  <c r="AC141" i="3"/>
  <c r="AB141" i="3"/>
  <c r="Z121" i="3"/>
  <c r="AC121" i="3"/>
  <c r="AB121" i="3"/>
  <c r="Z158" i="3"/>
  <c r="AC158" i="3"/>
  <c r="AB158" i="3"/>
  <c r="AP130" i="3"/>
  <c r="AR130" i="3"/>
  <c r="BH38" i="3"/>
  <c r="BF38" i="3"/>
  <c r="J17" i="3"/>
  <c r="AC32" i="3"/>
  <c r="Z32" i="3"/>
  <c r="AP193" i="3"/>
  <c r="AR193" i="3"/>
  <c r="AP150" i="3"/>
  <c r="AR150" i="3"/>
  <c r="L47" i="3"/>
  <c r="L39" i="3"/>
  <c r="J39" i="3"/>
  <c r="BH83" i="3"/>
  <c r="BF83" i="3"/>
  <c r="BI83" i="3"/>
  <c r="AS107" i="3"/>
  <c r="AP107" i="3"/>
  <c r="AR107" i="3"/>
  <c r="BI19" i="3"/>
  <c r="BF19" i="3"/>
  <c r="BF61" i="3"/>
  <c r="BH61" i="3"/>
  <c r="AP192" i="3"/>
  <c r="AR192" i="3"/>
  <c r="AP120" i="3"/>
  <c r="AR120" i="3"/>
  <c r="AP115" i="3"/>
  <c r="AR115" i="3"/>
  <c r="AC6" i="3"/>
  <c r="Z6" i="3"/>
  <c r="AA79" i="3" s="1"/>
  <c r="AP19" i="3"/>
  <c r="AP78" i="3"/>
  <c r="AR78" i="3"/>
  <c r="L36" i="3"/>
  <c r="BH87" i="3"/>
  <c r="BF87" i="3"/>
  <c r="BF14" i="3"/>
  <c r="AP23" i="3"/>
  <c r="J50" i="3"/>
  <c r="L50" i="3"/>
  <c r="AP15" i="3"/>
  <c r="AS18" i="3" l="1"/>
  <c r="AS2" i="3"/>
  <c r="AQ46" i="3"/>
  <c r="AQ14" i="3"/>
  <c r="AR14" i="3" s="1"/>
  <c r="AQ95" i="3"/>
  <c r="AB5" i="3"/>
  <c r="BI14" i="3"/>
  <c r="BI10" i="3"/>
  <c r="BI17" i="3"/>
  <c r="AA12" i="3"/>
  <c r="AB12" i="3" s="1"/>
  <c r="AS9" i="3"/>
  <c r="BI57" i="3"/>
  <c r="AQ9" i="3"/>
  <c r="AR9" i="3" s="1"/>
  <c r="BI84" i="3"/>
  <c r="BG85" i="3"/>
  <c r="BG68" i="3"/>
  <c r="BG49" i="3"/>
  <c r="AQ12" i="3"/>
  <c r="AR12" i="3" s="1"/>
  <c r="BI22" i="3"/>
  <c r="AC15" i="3"/>
  <c r="AQ193" i="3"/>
  <c r="AA6" i="3"/>
  <c r="AB6" i="3" s="1"/>
  <c r="AS114" i="3"/>
  <c r="BI47" i="3"/>
  <c r="BG3" i="3"/>
  <c r="BH3" i="3" s="1"/>
  <c r="AS182" i="3"/>
  <c r="BI24" i="3"/>
  <c r="AA67" i="3"/>
  <c r="BI7" i="3"/>
  <c r="BG69" i="3"/>
  <c r="BI6" i="3"/>
  <c r="BI68" i="3"/>
  <c r="BI23" i="3"/>
  <c r="K21" i="3"/>
  <c r="L21" i="3" s="1"/>
  <c r="AS33" i="3"/>
  <c r="BI87" i="3"/>
  <c r="AS146" i="3"/>
  <c r="BI31" i="3"/>
  <c r="BI49" i="3"/>
  <c r="AS62" i="3"/>
  <c r="BI18" i="3"/>
  <c r="BI53" i="3"/>
  <c r="BI61" i="3"/>
  <c r="AS136" i="3"/>
  <c r="BI4" i="3"/>
  <c r="K19" i="3"/>
  <c r="L19" i="3" s="1"/>
  <c r="BI72" i="3"/>
  <c r="BI32" i="3"/>
  <c r="BI38" i="3"/>
  <c r="BI50" i="3"/>
  <c r="AC85" i="3"/>
  <c r="AC48" i="3"/>
  <c r="AS65" i="3"/>
  <c r="BI27" i="3"/>
  <c r="AQ170" i="3"/>
  <c r="AQ162" i="3"/>
  <c r="BH14" i="3"/>
  <c r="AA84" i="3"/>
  <c r="AM2" i="3"/>
  <c r="AA47" i="3"/>
  <c r="AQ96" i="3"/>
  <c r="AQ192" i="3"/>
  <c r="BG17" i="3"/>
  <c r="BG21" i="3"/>
  <c r="BH21" i="3" s="1"/>
  <c r="AQ161" i="3"/>
  <c r="AA132" i="3"/>
  <c r="AQ188" i="3"/>
  <c r="AA88" i="3"/>
  <c r="AA116" i="3"/>
  <c r="AA148" i="3"/>
  <c r="AA112" i="3"/>
  <c r="AQ133" i="3"/>
  <c r="BG34" i="3"/>
  <c r="K24" i="3"/>
  <c r="AR46" i="3"/>
  <c r="AA155" i="3"/>
  <c r="AA69" i="3"/>
  <c r="AA75" i="3"/>
  <c r="AA76" i="3"/>
  <c r="AQ130" i="3"/>
  <c r="AA45" i="3"/>
  <c r="AB45" i="3" s="1"/>
  <c r="K11" i="3"/>
  <c r="L11" i="3" s="1"/>
  <c r="K37" i="3"/>
  <c r="K34" i="3"/>
  <c r="K50" i="3"/>
  <c r="K54" i="3"/>
  <c r="AA31" i="3"/>
  <c r="AB31" i="3" s="1"/>
  <c r="AA141" i="3"/>
  <c r="AA34" i="3"/>
  <c r="AB34" i="3" s="1"/>
  <c r="BG70" i="3"/>
  <c r="BG72" i="3"/>
  <c r="BG28" i="3"/>
  <c r="BG83" i="3"/>
  <c r="BG65" i="3"/>
  <c r="BG18" i="3"/>
  <c r="BH18" i="3" s="1"/>
  <c r="BG55" i="3"/>
  <c r="BG44" i="3"/>
  <c r="BG12" i="3"/>
  <c r="BH12" i="3" s="1"/>
  <c r="BG61" i="3"/>
  <c r="BG23" i="3"/>
  <c r="BH23" i="3" s="1"/>
  <c r="BG66" i="3"/>
  <c r="BG25" i="3"/>
  <c r="BH25" i="3" s="1"/>
  <c r="BG87" i="3"/>
  <c r="BG51" i="3"/>
  <c r="BG26" i="3"/>
  <c r="BG19" i="3"/>
  <c r="BH19" i="3" s="1"/>
  <c r="BG52" i="3"/>
  <c r="BG36" i="3"/>
  <c r="BG31" i="3"/>
  <c r="BG60" i="3"/>
  <c r="BG32" i="3"/>
  <c r="BG37" i="3"/>
  <c r="BG22" i="3"/>
  <c r="BH22" i="3" s="1"/>
  <c r="BG74" i="3"/>
  <c r="AA50" i="3"/>
  <c r="AB11" i="3"/>
  <c r="BH17" i="3"/>
  <c r="AQ48" i="3"/>
  <c r="AR48" i="3" s="1"/>
  <c r="AQ67" i="3"/>
  <c r="AA117" i="3"/>
  <c r="AA18" i="3"/>
  <c r="AB18" i="3" s="1"/>
  <c r="AA35" i="3"/>
  <c r="AB35" i="3" s="1"/>
  <c r="AA29" i="3"/>
  <c r="AB29" i="3" s="1"/>
  <c r="AA23" i="3"/>
  <c r="AB23" i="3" s="1"/>
  <c r="AA48" i="3"/>
  <c r="AA140" i="3"/>
  <c r="AA93" i="3"/>
  <c r="AQ51" i="3"/>
  <c r="AR51" i="3" s="1"/>
  <c r="AQ136" i="3"/>
  <c r="AA102" i="3"/>
  <c r="L13" i="3"/>
  <c r="AS93" i="3"/>
  <c r="K32" i="3"/>
  <c r="AS135" i="3"/>
  <c r="AA136" i="3"/>
  <c r="AS143" i="3"/>
  <c r="AQ153" i="3"/>
  <c r="AA63" i="3"/>
  <c r="AA113" i="3"/>
  <c r="AA4" i="3"/>
  <c r="AB4" i="3" s="1"/>
  <c r="AA150" i="3"/>
  <c r="AA133" i="3"/>
  <c r="AS132" i="3"/>
  <c r="AA53" i="3"/>
  <c r="K31" i="3"/>
  <c r="AS15" i="3"/>
  <c r="AS96" i="3"/>
  <c r="AS124" i="3"/>
  <c r="AS73" i="3"/>
  <c r="AS79" i="3"/>
  <c r="AS112" i="3"/>
  <c r="AS102" i="3"/>
  <c r="AS38" i="3"/>
  <c r="AS25" i="3"/>
  <c r="AS105" i="3"/>
  <c r="AS44" i="3"/>
  <c r="AS101" i="3"/>
  <c r="AS149" i="3"/>
  <c r="AS48" i="3"/>
  <c r="AS140" i="3"/>
  <c r="AS31" i="3"/>
  <c r="AS129" i="3"/>
  <c r="AS179" i="3"/>
  <c r="AS172" i="3"/>
  <c r="AS69" i="3"/>
  <c r="AS165" i="3"/>
  <c r="AS7" i="3"/>
  <c r="AS108" i="3"/>
  <c r="AS5" i="3"/>
  <c r="AS138" i="3"/>
  <c r="AS30" i="3"/>
  <c r="AS188" i="3"/>
  <c r="AS187" i="3"/>
  <c r="AS50" i="3"/>
  <c r="AS55" i="3"/>
  <c r="AS90" i="3"/>
  <c r="AS153" i="3"/>
  <c r="AS171" i="3"/>
  <c r="AS134" i="3"/>
  <c r="AS176" i="3"/>
  <c r="AS185" i="3"/>
  <c r="AS45" i="3"/>
  <c r="AS6" i="3"/>
  <c r="AS58" i="3"/>
  <c r="AS97" i="3"/>
  <c r="AS74" i="3"/>
  <c r="AS83" i="3"/>
  <c r="AS76" i="3"/>
  <c r="AS147" i="3"/>
  <c r="AS59" i="3"/>
  <c r="AS144" i="3"/>
  <c r="AS53" i="3"/>
  <c r="AS26" i="3"/>
  <c r="AS158" i="3"/>
  <c r="AS16" i="3"/>
  <c r="AS29" i="3"/>
  <c r="AS94" i="3"/>
  <c r="AS40" i="3"/>
  <c r="AS137" i="3"/>
  <c r="AS106" i="3"/>
  <c r="AS163" i="3"/>
  <c r="AS168" i="3"/>
  <c r="AS141" i="3"/>
  <c r="AS35" i="3"/>
  <c r="AS82" i="3"/>
  <c r="AQ142" i="3"/>
  <c r="AQ43" i="3"/>
  <c r="AR43" i="3" s="1"/>
  <c r="AA142" i="3"/>
  <c r="AQ58" i="3"/>
  <c r="AR58" i="3" s="1"/>
  <c r="AQ152" i="3"/>
  <c r="AQ168" i="3"/>
  <c r="AS21" i="3"/>
  <c r="AA17" i="3"/>
  <c r="AB17" i="3" s="1"/>
  <c r="AQ160" i="3"/>
  <c r="K49" i="3"/>
  <c r="D26" i="4"/>
  <c r="B543" i="4"/>
  <c r="AA32" i="3"/>
  <c r="AB32" i="3" s="1"/>
  <c r="AA40" i="3"/>
  <c r="AB40" i="3" s="1"/>
  <c r="AS125" i="3"/>
  <c r="AS186" i="3"/>
  <c r="AQ117" i="3"/>
  <c r="AA122" i="3"/>
  <c r="AA137" i="3"/>
  <c r="AS173" i="3"/>
  <c r="AA153" i="3"/>
  <c r="AS122" i="3"/>
  <c r="AA80" i="3"/>
  <c r="AS109" i="3"/>
  <c r="AQ7" i="3"/>
  <c r="AR7" i="3" s="1"/>
  <c r="AA83" i="3"/>
  <c r="AA78" i="3"/>
  <c r="AS178" i="3"/>
  <c r="AS72" i="3"/>
  <c r="AA49" i="3"/>
  <c r="AQ69" i="3"/>
  <c r="AA59" i="3"/>
  <c r="AA58" i="3"/>
  <c r="AQ129" i="3"/>
  <c r="AQ111" i="3"/>
  <c r="AQ135" i="3"/>
  <c r="AQ82" i="3"/>
  <c r="AA46" i="3"/>
  <c r="AA66" i="3"/>
  <c r="AA158" i="3"/>
  <c r="AQ125" i="3"/>
  <c r="AS175" i="3"/>
  <c r="AQ15" i="3"/>
  <c r="AR15" i="3" s="1"/>
  <c r="AQ132" i="3"/>
  <c r="AA33" i="3"/>
  <c r="AB33" i="3" s="1"/>
  <c r="AQ61" i="3"/>
  <c r="AR61" i="3" s="1"/>
  <c r="AQ187" i="3"/>
  <c r="AA7" i="3"/>
  <c r="AB7" i="3" s="1"/>
  <c r="AA151" i="3"/>
  <c r="AQ70" i="3"/>
  <c r="AS159" i="3"/>
  <c r="AS128" i="3"/>
  <c r="AS155" i="3"/>
  <c r="AQ94" i="3"/>
  <c r="AS60" i="3"/>
  <c r="BG43" i="3"/>
  <c r="AQ4" i="3"/>
  <c r="AR4" i="3" s="1"/>
  <c r="AS164" i="3"/>
  <c r="AQ179" i="3"/>
  <c r="AQ119" i="3"/>
  <c r="BG54" i="3"/>
  <c r="AQ22" i="3"/>
  <c r="AR22" i="3" s="1"/>
  <c r="AQ31" i="3"/>
  <c r="AR31" i="3" s="1"/>
  <c r="AS160" i="3"/>
  <c r="AA147" i="3"/>
  <c r="BI26" i="3"/>
  <c r="AS118" i="3"/>
  <c r="BI70" i="3"/>
  <c r="AS37" i="3"/>
  <c r="AS63" i="3"/>
  <c r="AS169" i="3"/>
  <c r="AS145" i="3"/>
  <c r="BI74" i="3"/>
  <c r="AS177" i="3"/>
  <c r="AS116" i="3"/>
  <c r="AQ101" i="3"/>
  <c r="AS91" i="3"/>
  <c r="AQ102" i="3"/>
  <c r="AS81" i="3"/>
  <c r="AQ146" i="3"/>
  <c r="AS54" i="3"/>
  <c r="AA105" i="3"/>
  <c r="AA127" i="3"/>
  <c r="AQ155" i="3"/>
  <c r="AA86" i="3"/>
  <c r="AQ127" i="3"/>
  <c r="AS47" i="3"/>
  <c r="AS111" i="3"/>
  <c r="AS27" i="3"/>
  <c r="AQ81" i="3"/>
  <c r="AS11" i="3"/>
  <c r="AS130" i="3"/>
  <c r="AQ181" i="3"/>
  <c r="AQ78" i="3"/>
  <c r="AS115" i="3"/>
  <c r="AA16" i="3"/>
  <c r="AB16" i="3" s="1"/>
  <c r="AQ175" i="3"/>
  <c r="AS181" i="3"/>
  <c r="AS51" i="3"/>
  <c r="AQ83" i="3"/>
  <c r="K18" i="3"/>
  <c r="L18" i="3" s="1"/>
  <c r="AA125" i="3"/>
  <c r="AS80" i="3"/>
  <c r="AS23" i="3"/>
  <c r="K39" i="3"/>
  <c r="AQ139" i="3"/>
  <c r="AS99" i="3"/>
  <c r="AS85" i="3"/>
  <c r="AQ104" i="3"/>
  <c r="AA91" i="3"/>
  <c r="AA157" i="3"/>
  <c r="AS77" i="3"/>
  <c r="AQ173" i="3"/>
  <c r="AQ147" i="3"/>
  <c r="AB21" i="3"/>
  <c r="AS119" i="3"/>
  <c r="AQ68" i="3"/>
  <c r="K45" i="3"/>
  <c r="AS3" i="3"/>
  <c r="AS190" i="3"/>
  <c r="AQ20" i="3"/>
  <c r="AR20" i="3" s="1"/>
  <c r="BG13" i="3"/>
  <c r="BH13" i="3" s="1"/>
  <c r="AA57" i="3"/>
  <c r="AQ37" i="3"/>
  <c r="AR37" i="3" s="1"/>
  <c r="AQ56" i="3"/>
  <c r="AR56" i="3" s="1"/>
  <c r="AQ186" i="3"/>
  <c r="AS104" i="3"/>
  <c r="AS39" i="3"/>
  <c r="AS167" i="3"/>
  <c r="AA39" i="3"/>
  <c r="AB39" i="3" s="1"/>
  <c r="AQ87" i="3"/>
  <c r="AQ66" i="3"/>
  <c r="AQ25" i="3"/>
  <c r="AQ110" i="3"/>
  <c r="AQ90" i="3"/>
  <c r="AQ171" i="3"/>
  <c r="AQ89" i="3"/>
  <c r="AQ24" i="3"/>
  <c r="AR24" i="3" s="1"/>
  <c r="AQ21" i="3"/>
  <c r="AR21" i="3" s="1"/>
  <c r="AQ109" i="3"/>
  <c r="AQ65" i="3"/>
  <c r="AQ159" i="3"/>
  <c r="AQ5" i="3"/>
  <c r="AR5" i="3" s="1"/>
  <c r="AQ149" i="3"/>
  <c r="AQ77" i="3"/>
  <c r="AQ145" i="3"/>
  <c r="AQ169" i="3"/>
  <c r="AQ57" i="3"/>
  <c r="AR57" i="3" s="1"/>
  <c r="AQ143" i="3"/>
  <c r="AQ86" i="3"/>
  <c r="AQ106" i="3"/>
  <c r="AQ123" i="3"/>
  <c r="AQ131" i="3"/>
  <c r="AQ116" i="3"/>
  <c r="AQ184" i="3"/>
  <c r="AQ85" i="3"/>
  <c r="AS13" i="3"/>
  <c r="AQ121" i="3"/>
  <c r="AQ16" i="3"/>
  <c r="AR16" i="3" s="1"/>
  <c r="AS68" i="3"/>
  <c r="AA129" i="3"/>
  <c r="AQ53" i="3"/>
  <c r="AR53" i="3" s="1"/>
  <c r="AA60" i="3"/>
  <c r="AA3" i="3"/>
  <c r="AB3" i="3" s="1"/>
  <c r="AA121" i="3"/>
  <c r="AQ75" i="3"/>
  <c r="AS139" i="3"/>
  <c r="AA25" i="3"/>
  <c r="AB25" i="3" s="1"/>
  <c r="AA134" i="3"/>
  <c r="AA97" i="3"/>
  <c r="BG10" i="3"/>
  <c r="BH10" i="3" s="1"/>
  <c r="K2" i="3"/>
  <c r="K30" i="3"/>
  <c r="K20" i="3"/>
  <c r="L20" i="3" s="1"/>
  <c r="K36" i="3"/>
  <c r="K47" i="3"/>
  <c r="K42" i="3"/>
  <c r="K5" i="3"/>
  <c r="L5" i="3" s="1"/>
  <c r="K60" i="3"/>
  <c r="K38" i="3"/>
  <c r="K33" i="3"/>
  <c r="K59" i="3"/>
  <c r="K61" i="3"/>
  <c r="K15" i="3"/>
  <c r="L15" i="3" s="1"/>
  <c r="K35" i="3"/>
  <c r="K57" i="3"/>
  <c r="K12" i="3"/>
  <c r="L12" i="3" s="1"/>
  <c r="K25" i="3"/>
  <c r="K13" i="3"/>
  <c r="K10" i="3"/>
  <c r="L10" i="3" s="1"/>
  <c r="K51" i="3"/>
  <c r="K55" i="3"/>
  <c r="K17" i="3"/>
  <c r="L17" i="3" s="1"/>
  <c r="K53" i="3"/>
  <c r="K48" i="3"/>
  <c r="K29" i="3"/>
  <c r="K27" i="3"/>
  <c r="K52" i="3"/>
  <c r="K58" i="3"/>
  <c r="K7" i="3"/>
  <c r="L7" i="3" s="1"/>
  <c r="K46" i="3"/>
  <c r="K8" i="3"/>
  <c r="L8" i="3" s="1"/>
  <c r="K43" i="3"/>
  <c r="K9" i="3"/>
  <c r="L9" i="3" s="1"/>
  <c r="L2" i="3"/>
  <c r="K4" i="3"/>
  <c r="L4" i="3" s="1"/>
  <c r="K40" i="3"/>
  <c r="K56" i="3"/>
  <c r="K14" i="3"/>
  <c r="L14" i="3" s="1"/>
  <c r="K44" i="3"/>
  <c r="K28" i="3"/>
  <c r="K16" i="3"/>
  <c r="L16" i="3" s="1"/>
  <c r="BG77" i="3"/>
  <c r="AA89" i="3"/>
  <c r="AQ17" i="3"/>
  <c r="AR17" i="3" s="1"/>
  <c r="AA156" i="3"/>
  <c r="AQ39" i="3"/>
  <c r="AR39" i="3" s="1"/>
  <c r="AA159" i="3"/>
  <c r="AA94" i="3"/>
  <c r="AS156" i="3"/>
  <c r="AS32" i="3"/>
  <c r="AS49" i="3"/>
  <c r="AA138" i="3"/>
  <c r="AS88" i="3"/>
  <c r="AA9" i="3"/>
  <c r="AB9" i="3" s="1"/>
  <c r="BI56" i="3"/>
  <c r="AA92" i="3"/>
  <c r="BG48" i="3"/>
  <c r="AQ6" i="3"/>
  <c r="AR6" i="3" s="1"/>
  <c r="AA120" i="3"/>
  <c r="AA126" i="3"/>
  <c r="AS20" i="3"/>
  <c r="BI41" i="3"/>
  <c r="BG7" i="3"/>
  <c r="BH7" i="3" s="1"/>
  <c r="AA108" i="3"/>
  <c r="AA114" i="3"/>
  <c r="AS28" i="3"/>
  <c r="AQ64" i="3"/>
  <c r="AS183" i="3"/>
  <c r="AS14" i="3"/>
  <c r="AS162" i="3"/>
  <c r="AS133" i="3"/>
  <c r="AQ163" i="3"/>
  <c r="AB26" i="3"/>
  <c r="AS4" i="3"/>
  <c r="AS121" i="3"/>
  <c r="K6" i="3"/>
  <c r="L6" i="3" s="1"/>
  <c r="AS123" i="3"/>
  <c r="BG82" i="3"/>
  <c r="AQ140" i="3"/>
  <c r="BG29" i="3"/>
  <c r="AS61" i="3"/>
  <c r="AA107" i="3"/>
  <c r="AS189" i="3"/>
  <c r="AQ156" i="3"/>
  <c r="AQ107" i="3"/>
  <c r="AQ150" i="3"/>
  <c r="AS75" i="3"/>
  <c r="AA115" i="3"/>
  <c r="AR25" i="3"/>
  <c r="BG16" i="3"/>
  <c r="BH16" i="3" s="1"/>
  <c r="AA85" i="3"/>
  <c r="AA14" i="3"/>
  <c r="AB14" i="3" s="1"/>
  <c r="AA36" i="3"/>
  <c r="AB36" i="3" s="1"/>
  <c r="AA161" i="3"/>
  <c r="AA27" i="3"/>
  <c r="AB27" i="3" s="1"/>
  <c r="AA15" i="3"/>
  <c r="AB15" i="3" s="1"/>
  <c r="AA64" i="3"/>
  <c r="AA38" i="3"/>
  <c r="AB38" i="3" s="1"/>
  <c r="AA74" i="3"/>
  <c r="AA81" i="3"/>
  <c r="AA110" i="3"/>
  <c r="AA119" i="3"/>
  <c r="AA95" i="3"/>
  <c r="AA30" i="3"/>
  <c r="AB30" i="3" s="1"/>
  <c r="AA22" i="3"/>
  <c r="AB22" i="3" s="1"/>
  <c r="AA55" i="3"/>
  <c r="AA101" i="3"/>
  <c r="AA77" i="3"/>
  <c r="AA24" i="3"/>
  <c r="AB24" i="3" s="1"/>
  <c r="AA2" i="3"/>
  <c r="AA96" i="3"/>
  <c r="AA26" i="3"/>
  <c r="AA41" i="3"/>
  <c r="AB41" i="3" s="1"/>
  <c r="AA139" i="3"/>
  <c r="AA20" i="3"/>
  <c r="AB20" i="3" s="1"/>
  <c r="AA100" i="3"/>
  <c r="AA128" i="3"/>
  <c r="AA82" i="3"/>
  <c r="AA111" i="3"/>
  <c r="AA143" i="3"/>
  <c r="AA131" i="3"/>
  <c r="BG33" i="3"/>
  <c r="AS19" i="3"/>
  <c r="AA73" i="3"/>
  <c r="BG6" i="3"/>
  <c r="BH6" i="3" s="1"/>
  <c r="AA99" i="3"/>
  <c r="AS98" i="3"/>
  <c r="AQ36" i="3"/>
  <c r="AR36" i="3" s="1"/>
  <c r="AS41" i="3"/>
  <c r="AS17" i="3"/>
  <c r="AQ59" i="3"/>
  <c r="AR59" i="3" s="1"/>
  <c r="AS131" i="3"/>
  <c r="AA56" i="3"/>
  <c r="AQ114" i="3"/>
  <c r="AS24" i="3"/>
  <c r="AS52" i="3"/>
  <c r="BG30" i="3"/>
  <c r="AA19" i="3"/>
  <c r="AA61" i="3"/>
  <c r="AQ97" i="3"/>
  <c r="AQ34" i="3"/>
  <c r="AR34" i="3" s="1"/>
  <c r="AS84" i="3"/>
  <c r="BG56" i="3"/>
  <c r="AQ29" i="3"/>
  <c r="AR29" i="3" s="1"/>
  <c r="AS10" i="3"/>
  <c r="BI58" i="3"/>
  <c r="BI39" i="3"/>
  <c r="BI73" i="3"/>
  <c r="BI55" i="3"/>
  <c r="BI71" i="3"/>
  <c r="BI59" i="3"/>
  <c r="BI33" i="3"/>
  <c r="BI16" i="3"/>
  <c r="BI67" i="3"/>
  <c r="BI45" i="3"/>
  <c r="BI12" i="3"/>
  <c r="BI13" i="3"/>
  <c r="BI54" i="3"/>
  <c r="BI2" i="3"/>
  <c r="BI3" i="3"/>
  <c r="BI63" i="3"/>
  <c r="BI77" i="3"/>
  <c r="BI52" i="3"/>
  <c r="BI65" i="3"/>
  <c r="BI43" i="3"/>
  <c r="BI66" i="3"/>
  <c r="BI25" i="3"/>
  <c r="BI29" i="3"/>
  <c r="BI81" i="3"/>
  <c r="BI64" i="3"/>
  <c r="BI37" i="3"/>
  <c r="BI69" i="3"/>
  <c r="BI20" i="3"/>
  <c r="BI46" i="3"/>
  <c r="BI82" i="3"/>
  <c r="BI78" i="3"/>
  <c r="BI36" i="3"/>
  <c r="AQ38" i="3"/>
  <c r="AR38" i="3" s="1"/>
  <c r="AQ50" i="3"/>
  <c r="AR50" i="3" s="1"/>
  <c r="AA106" i="3"/>
  <c r="AQ92" i="3"/>
  <c r="AA44" i="3"/>
  <c r="AB44" i="3" s="1"/>
  <c r="AA104" i="3"/>
  <c r="AS148" i="3"/>
  <c r="AA52" i="3"/>
  <c r="AQ124" i="3"/>
  <c r="AQ151" i="3"/>
  <c r="AB2" i="3"/>
  <c r="AS126" i="3"/>
  <c r="AQ144" i="3"/>
  <c r="AQ105" i="3"/>
  <c r="AQ18" i="3"/>
  <c r="AR18" i="3" s="1"/>
  <c r="AQ115" i="3"/>
  <c r="AQ93" i="3"/>
  <c r="AS180" i="3"/>
  <c r="AS117" i="3"/>
  <c r="AA72" i="3"/>
  <c r="AQ122" i="3"/>
  <c r="AA43" i="3"/>
  <c r="AB43" i="3" s="1"/>
  <c r="AQ71" i="3"/>
  <c r="AS22" i="3"/>
  <c r="AQ23" i="3"/>
  <c r="AR23" i="3" s="1"/>
  <c r="AS43" i="3"/>
  <c r="AS86" i="3"/>
  <c r="AQ180" i="3"/>
  <c r="AQ141" i="3"/>
  <c r="AA103" i="3"/>
  <c r="AS87" i="3"/>
  <c r="BG50" i="3"/>
  <c r="AS70" i="3"/>
  <c r="AQ49" i="3"/>
  <c r="AR49" i="3" s="1"/>
  <c r="AQ108" i="3"/>
  <c r="AA68" i="3"/>
  <c r="AA13" i="3"/>
  <c r="AB13" i="3" s="1"/>
  <c r="BG46" i="3"/>
  <c r="AQ28" i="3"/>
  <c r="AR28" i="3" s="1"/>
  <c r="AA118" i="3"/>
  <c r="BG14" i="3"/>
  <c r="AS56" i="3"/>
  <c r="BG47" i="3"/>
  <c r="AS103" i="3"/>
  <c r="AQ167" i="3"/>
  <c r="AQ3" i="3"/>
  <c r="AR3" i="3" s="1"/>
  <c r="AS34" i="3"/>
  <c r="AA124" i="3"/>
  <c r="AQ40" i="3"/>
  <c r="AR40" i="3" s="1"/>
  <c r="AS151" i="3"/>
  <c r="BG53" i="3"/>
  <c r="AQ166" i="3"/>
  <c r="AQ98" i="3"/>
  <c r="AS67" i="3"/>
  <c r="AA54" i="3"/>
  <c r="AS95" i="3"/>
  <c r="AQ41" i="3"/>
  <c r="AR41" i="3" s="1"/>
  <c r="BG5" i="3"/>
  <c r="BH5" i="3" s="1"/>
  <c r="AA28" i="3"/>
  <c r="AB28" i="3" s="1"/>
  <c r="BH11" i="3"/>
  <c r="AA146" i="3"/>
  <c r="AQ52" i="3"/>
  <c r="AR52" i="3" s="1"/>
  <c r="AQ103" i="3"/>
  <c r="AA87" i="3"/>
  <c r="AQ76" i="3"/>
  <c r="AQ74" i="3"/>
  <c r="AA149" i="3"/>
  <c r="K41" i="3"/>
  <c r="AS113" i="3"/>
  <c r="AQ84" i="3"/>
  <c r="BI42" i="3"/>
  <c r="AS161" i="3"/>
  <c r="K22" i="3"/>
  <c r="AA11" i="3"/>
  <c r="AS42" i="3"/>
  <c r="AA42" i="3"/>
  <c r="AB42" i="3" s="1"/>
  <c r="AA10" i="3"/>
  <c r="AB10" i="3" s="1"/>
  <c r="BI79" i="3"/>
  <c r="AS154" i="3"/>
  <c r="AS57" i="3"/>
  <c r="AS71" i="3"/>
  <c r="AS78" i="3"/>
  <c r="AQ99" i="3"/>
  <c r="AA70" i="3"/>
  <c r="AQ172" i="3"/>
  <c r="AQ164" i="3"/>
  <c r="AS193" i="3"/>
  <c r="AS142" i="3"/>
  <c r="AQ54" i="3"/>
  <c r="AR54" i="3" s="1"/>
  <c r="AQ138" i="3"/>
  <c r="AA37" i="3"/>
  <c r="AB37" i="3" s="1"/>
  <c r="AQ137" i="3"/>
  <c r="AQ128" i="3"/>
  <c r="AA135" i="3"/>
  <c r="AQ178" i="3"/>
  <c r="AQ72" i="3"/>
  <c r="AQ88" i="3"/>
  <c r="AA160" i="3"/>
  <c r="AS110" i="3"/>
  <c r="AS157" i="3"/>
  <c r="AQ45" i="3"/>
  <c r="AR45" i="3" s="1"/>
  <c r="AA98" i="3"/>
  <c r="AA152" i="3"/>
  <c r="AA123" i="3"/>
  <c r="AQ32" i="3"/>
  <c r="AR32" i="3" s="1"/>
  <c r="AA21" i="3"/>
  <c r="AQ60" i="3"/>
  <c r="AR60" i="3" s="1"/>
  <c r="AS66" i="3"/>
  <c r="AA71" i="3"/>
  <c r="AQ19" i="3"/>
  <c r="AR19" i="3" s="1"/>
  <c r="AS120" i="3"/>
  <c r="AA109" i="3"/>
  <c r="AQ191" i="3"/>
  <c r="AQ120" i="3"/>
  <c r="AA144" i="3"/>
  <c r="AS191" i="3"/>
  <c r="AQ30" i="3"/>
  <c r="AR30" i="3" s="1"/>
  <c r="AQ189" i="3"/>
  <c r="AB19" i="3"/>
  <c r="AS89" i="3"/>
  <c r="AS174" i="3"/>
  <c r="AQ165" i="3"/>
  <c r="AQ44" i="3"/>
  <c r="AR44" i="3" s="1"/>
  <c r="AQ8" i="3"/>
  <c r="AR8" i="3" s="1"/>
  <c r="AQ113" i="3"/>
  <c r="BG39" i="3"/>
  <c r="BG58" i="3"/>
  <c r="BG73" i="3"/>
  <c r="BG59" i="3"/>
  <c r="BG45" i="3"/>
  <c r="BG71" i="3"/>
  <c r="BG4" i="3"/>
  <c r="BH4" i="3" s="1"/>
  <c r="BG8" i="3"/>
  <c r="BH8" i="3" s="1"/>
  <c r="BG2" i="3"/>
  <c r="BH2" i="3" s="1"/>
  <c r="BG35" i="3"/>
  <c r="BG11" i="3"/>
  <c r="BG76" i="3"/>
  <c r="BG62" i="3"/>
  <c r="BG57" i="3"/>
  <c r="BG79" i="3"/>
  <c r="BG86" i="3"/>
  <c r="BG40" i="3"/>
  <c r="BG24" i="3"/>
  <c r="BH24" i="3" s="1"/>
  <c r="BG67" i="3"/>
  <c r="BG63" i="3"/>
  <c r="BG41" i="3"/>
  <c r="BG78" i="3"/>
  <c r="BG27" i="3"/>
  <c r="BG64" i="3"/>
  <c r="BG80" i="3"/>
  <c r="BG9" i="3"/>
  <c r="BH9" i="3" s="1"/>
  <c r="BG81" i="3"/>
  <c r="BG20" i="3"/>
  <c r="BH20" i="3" s="1"/>
  <c r="AQ190" i="3"/>
  <c r="AS192" i="3"/>
  <c r="AS150" i="3"/>
  <c r="BG38" i="3"/>
  <c r="AA90" i="3"/>
  <c r="AS166" i="3"/>
  <c r="AS12" i="3"/>
  <c r="AQ33" i="3"/>
  <c r="AR33" i="3" s="1"/>
  <c r="AQ177" i="3"/>
  <c r="AS170" i="3"/>
  <c r="AS36" i="3"/>
  <c r="AS46" i="3"/>
  <c r="K26" i="3"/>
  <c r="AB8" i="3"/>
  <c r="AQ100" i="3"/>
  <c r="AQ62" i="3"/>
  <c r="AQ174" i="3"/>
  <c r="BG75" i="3"/>
  <c r="AS8" i="3"/>
  <c r="K23" i="3"/>
  <c r="BG42" i="3"/>
  <c r="AA145" i="3"/>
  <c r="AA130" i="3"/>
  <c r="AA51" i="3"/>
  <c r="AS152" i="3"/>
  <c r="AA62" i="3"/>
  <c r="AA65" i="3"/>
  <c r="AS92" i="3"/>
  <c r="AA154" i="3"/>
  <c r="AQ79" i="3"/>
  <c r="AQ73" i="3"/>
  <c r="AQ185" i="3"/>
  <c r="AQ11" i="3"/>
  <c r="AR11" i="3" s="1"/>
  <c r="AS127" i="3"/>
  <c r="AC3" i="3"/>
  <c r="AC64" i="3"/>
  <c r="AC140" i="3"/>
  <c r="AC95" i="3"/>
  <c r="AC58" i="3"/>
  <c r="AC124" i="3"/>
  <c r="AC52" i="3"/>
  <c r="AC71" i="3"/>
  <c r="AC154" i="3"/>
  <c r="AC63" i="3"/>
  <c r="AC78" i="3"/>
  <c r="AC149" i="3"/>
  <c r="AC36" i="3"/>
  <c r="AC7" i="3"/>
  <c r="AC161" i="3"/>
  <c r="AC45" i="3"/>
  <c r="AC148" i="3"/>
  <c r="AC131" i="3"/>
  <c r="AC152" i="3"/>
  <c r="AC108" i="3"/>
  <c r="AC10" i="3"/>
  <c r="AC80" i="3"/>
  <c r="AC72" i="3"/>
  <c r="AC56" i="3"/>
  <c r="AC84" i="3"/>
  <c r="AC66" i="3"/>
  <c r="AC44" i="3"/>
  <c r="AC116" i="3"/>
  <c r="AC76" i="3"/>
  <c r="AC2" i="3"/>
  <c r="AC104" i="3"/>
  <c r="AC125" i="3"/>
  <c r="AC130" i="3"/>
  <c r="AC117" i="3"/>
  <c r="AC39" i="3"/>
  <c r="AC107" i="3"/>
  <c r="AC60" i="3"/>
  <c r="AC29" i="3"/>
  <c r="AC31" i="3"/>
  <c r="AC92" i="3"/>
  <c r="AC86" i="3"/>
  <c r="AC160" i="3"/>
  <c r="AC23" i="3"/>
  <c r="AC19" i="3"/>
  <c r="AC50" i="3"/>
  <c r="AC123" i="3"/>
  <c r="AC118" i="3"/>
  <c r="AC151" i="3"/>
  <c r="AC156" i="3"/>
  <c r="AS64" i="3"/>
  <c r="AQ47" i="3"/>
  <c r="AR47" i="3" s="1"/>
  <c r="AQ27" i="3"/>
  <c r="AR27" i="3" s="1"/>
  <c r="AQ154" i="3"/>
  <c r="AQ118" i="3"/>
  <c r="AQ134" i="3"/>
  <c r="AQ42" i="3"/>
  <c r="AR42" i="3" s="1"/>
  <c r="AQ158" i="3"/>
  <c r="AQ26" i="3"/>
  <c r="AR26" i="3" s="1"/>
  <c r="AQ63" i="3"/>
  <c r="AQ13" i="3"/>
  <c r="AR13" i="3" s="1"/>
  <c r="AQ182" i="3"/>
  <c r="AQ10" i="3"/>
  <c r="AR10" i="3" s="1"/>
  <c r="AQ91" i="3"/>
  <c r="AQ80" i="3"/>
  <c r="AQ183" i="3"/>
  <c r="AQ112" i="3"/>
  <c r="AQ176" i="3"/>
  <c r="AQ157" i="3"/>
  <c r="AQ126" i="3"/>
  <c r="AQ35" i="3"/>
  <c r="AR35" i="3" s="1"/>
  <c r="AQ148" i="3"/>
  <c r="AQ55" i="3"/>
  <c r="AR55" i="3" s="1"/>
  <c r="AM123" i="3" l="1"/>
  <c r="AM120" i="3"/>
  <c r="AM151" i="3"/>
  <c r="AM100" i="3"/>
  <c r="AM67" i="3"/>
  <c r="AM50" i="3"/>
  <c r="AM163" i="3"/>
  <c r="AM147" i="3"/>
  <c r="AM111" i="3"/>
  <c r="AM95" i="3"/>
  <c r="AM35" i="3"/>
  <c r="AM19" i="3"/>
  <c r="AM165" i="3"/>
  <c r="AM5" i="3"/>
  <c r="AM168" i="3"/>
  <c r="AM102" i="3"/>
  <c r="AM37" i="3"/>
  <c r="AM69" i="3"/>
  <c r="AM117" i="3"/>
  <c r="AM175" i="3"/>
  <c r="AM14" i="3"/>
  <c r="AM18" i="3"/>
  <c r="AM179" i="3"/>
  <c r="AM43" i="3"/>
  <c r="AM174" i="3"/>
  <c r="AM178" i="3"/>
  <c r="H543" i="4"/>
  <c r="I543" i="4" s="1"/>
  <c r="C543" i="4"/>
  <c r="AM46" i="3"/>
  <c r="AM164" i="3"/>
  <c r="AM101" i="3"/>
  <c r="AM15" i="3"/>
  <c r="AM8" i="3"/>
  <c r="AM39" i="3"/>
  <c r="AM13" i="3"/>
  <c r="AM128" i="3"/>
  <c r="AM182" i="3"/>
  <c r="AM40" i="3"/>
  <c r="AM33" i="3"/>
  <c r="AM79" i="3"/>
  <c r="AM58" i="3"/>
  <c r="AM105" i="3"/>
  <c r="AM142" i="3"/>
  <c r="AM170" i="3"/>
  <c r="AM116" i="3"/>
  <c r="AM185" i="3"/>
  <c r="AM60" i="3"/>
  <c r="AM63" i="3"/>
  <c r="AM108" i="3"/>
  <c r="AM166" i="3"/>
  <c r="AM189" i="3"/>
  <c r="AM131" i="3"/>
  <c r="AM113" i="3"/>
  <c r="AM7" i="3"/>
  <c r="AM177" i="3"/>
  <c r="AM54" i="3"/>
  <c r="AM30" i="3"/>
  <c r="AM106" i="3"/>
  <c r="AM97" i="3"/>
  <c r="AM155" i="3"/>
  <c r="M58" i="3"/>
  <c r="M55" i="3"/>
  <c r="M13" i="3"/>
  <c r="M5" i="3"/>
  <c r="M38" i="3"/>
  <c r="M33" i="3"/>
  <c r="M59" i="3"/>
  <c r="M30" i="3"/>
  <c r="M10" i="3"/>
  <c r="M20" i="3"/>
  <c r="M17" i="3"/>
  <c r="M60" i="3"/>
  <c r="M35" i="3"/>
  <c r="M57" i="3"/>
  <c r="M47" i="3"/>
  <c r="M61" i="3"/>
  <c r="M25" i="3"/>
  <c r="M42" i="3"/>
  <c r="M36" i="3"/>
  <c r="M51" i="3"/>
  <c r="M53" i="3"/>
  <c r="M27" i="3"/>
  <c r="M15" i="3"/>
  <c r="M52" i="3"/>
  <c r="M48" i="3"/>
  <c r="M2" i="3"/>
  <c r="M12" i="3"/>
  <c r="M29" i="3"/>
  <c r="M46" i="3"/>
  <c r="M9" i="3"/>
  <c r="M3" i="3"/>
  <c r="M4" i="3"/>
  <c r="M45" i="3"/>
  <c r="M7" i="3"/>
  <c r="M19" i="3"/>
  <c r="M37" i="3"/>
  <c r="M44" i="3"/>
  <c r="M28" i="3"/>
  <c r="M16" i="3"/>
  <c r="M41" i="3"/>
  <c r="M18" i="3"/>
  <c r="M11" i="3"/>
  <c r="M21" i="3"/>
  <c r="M50" i="3"/>
  <c r="M26" i="3"/>
  <c r="M24" i="3"/>
  <c r="M39" i="3"/>
  <c r="M23" i="3"/>
  <c r="M40" i="3"/>
  <c r="M22" i="3"/>
  <c r="M6" i="3"/>
  <c r="M31" i="3"/>
  <c r="M43" i="3"/>
  <c r="M8" i="3"/>
  <c r="M14" i="3"/>
  <c r="M49" i="3"/>
  <c r="M34" i="3"/>
  <c r="M56" i="3"/>
  <c r="M54" i="3"/>
  <c r="M32" i="3"/>
  <c r="AM119" i="3"/>
  <c r="AM109" i="3"/>
  <c r="AM121" i="3"/>
  <c r="AM3" i="3"/>
  <c r="AM89" i="3"/>
  <c r="AM124" i="3"/>
  <c r="AM20" i="3"/>
  <c r="AM161" i="3"/>
  <c r="AM94" i="3"/>
  <c r="AM173" i="3"/>
  <c r="AM129" i="3"/>
  <c r="AM183" i="3"/>
  <c r="AM66" i="3"/>
  <c r="AM61" i="3"/>
  <c r="AM76" i="3"/>
  <c r="AM139" i="3"/>
  <c r="BC71" i="3"/>
  <c r="BC33" i="3"/>
  <c r="BC39" i="3"/>
  <c r="BC16" i="3"/>
  <c r="BC59" i="3"/>
  <c r="BC73" i="3"/>
  <c r="BC67" i="3"/>
  <c r="BC79" i="3"/>
  <c r="BC23" i="3"/>
  <c r="BC50" i="3"/>
  <c r="BC18" i="3"/>
  <c r="BC32" i="3"/>
  <c r="BC86" i="3"/>
  <c r="BC72" i="3"/>
  <c r="BC8" i="3"/>
  <c r="BC25" i="3"/>
  <c r="BC51" i="3"/>
  <c r="BC54" i="3"/>
  <c r="BC48" i="3"/>
  <c r="BC28" i="3"/>
  <c r="BC31" i="3"/>
  <c r="BC36" i="3"/>
  <c r="BC7" i="3"/>
  <c r="BC22" i="3"/>
  <c r="BC30" i="3"/>
  <c r="BC69" i="3"/>
  <c r="BC17" i="3"/>
  <c r="BC76" i="3"/>
  <c r="BC34" i="3"/>
  <c r="BC6" i="3"/>
  <c r="BC74" i="3"/>
  <c r="BC44" i="3"/>
  <c r="BC65" i="3"/>
  <c r="BC80" i="3"/>
  <c r="BC81" i="3"/>
  <c r="BC15" i="3"/>
  <c r="BC85" i="3"/>
  <c r="BC82" i="3"/>
  <c r="BC4" i="3"/>
  <c r="BC20" i="3"/>
  <c r="BC40" i="3"/>
  <c r="BC52" i="3"/>
  <c r="BC75" i="3"/>
  <c r="BC60" i="3"/>
  <c r="BC64" i="3"/>
  <c r="BC21" i="3"/>
  <c r="BC5" i="3"/>
  <c r="BC47" i="3"/>
  <c r="BC38" i="3"/>
  <c r="BC63" i="3"/>
  <c r="BC24" i="3"/>
  <c r="BC35" i="3"/>
  <c r="BC66" i="3"/>
  <c r="BC2" i="3"/>
  <c r="BC14" i="3"/>
  <c r="BC29" i="3"/>
  <c r="BC26" i="3"/>
  <c r="BC56" i="3"/>
  <c r="BC68" i="3"/>
  <c r="BC41" i="3"/>
  <c r="BC77" i="3"/>
  <c r="BC10" i="3"/>
  <c r="BC13" i="3"/>
  <c r="BC43" i="3"/>
  <c r="BC61" i="3"/>
  <c r="BC12" i="3"/>
  <c r="BC78" i="3"/>
  <c r="BC58" i="3"/>
  <c r="BC62" i="3"/>
  <c r="BC57" i="3"/>
  <c r="BC46" i="3"/>
  <c r="BC3" i="3"/>
  <c r="BC19" i="3"/>
  <c r="BC45" i="3"/>
  <c r="BC9" i="3"/>
  <c r="BC37" i="3"/>
  <c r="BC27" i="3"/>
  <c r="BC70" i="3"/>
  <c r="BC83" i="3"/>
  <c r="BC55" i="3"/>
  <c r="BC84" i="3"/>
  <c r="BC11" i="3"/>
  <c r="BC49" i="3"/>
  <c r="BC42" i="3"/>
  <c r="BC87" i="3"/>
  <c r="BC53" i="3"/>
  <c r="W15" i="3"/>
  <c r="W52" i="3"/>
  <c r="W120" i="3"/>
  <c r="W11" i="3"/>
  <c r="W145" i="3"/>
  <c r="W78" i="3"/>
  <c r="W149" i="3"/>
  <c r="W24" i="3"/>
  <c r="W110" i="3"/>
  <c r="W119" i="3"/>
  <c r="W108" i="3"/>
  <c r="W10" i="3"/>
  <c r="W55" i="3"/>
  <c r="W101" i="3"/>
  <c r="W80" i="3"/>
  <c r="W56" i="3"/>
  <c r="W105" i="3"/>
  <c r="W150" i="3"/>
  <c r="W98" i="3"/>
  <c r="W84" i="3"/>
  <c r="W62" i="3"/>
  <c r="W14" i="3"/>
  <c r="W87" i="3"/>
  <c r="W159" i="3"/>
  <c r="W81" i="3"/>
  <c r="W69" i="3"/>
  <c r="W76" i="3"/>
  <c r="W100" i="3"/>
  <c r="W114" i="3"/>
  <c r="W129" i="3"/>
  <c r="W29" i="3"/>
  <c r="W92" i="3"/>
  <c r="W86" i="3"/>
  <c r="W160" i="3"/>
  <c r="W88" i="3"/>
  <c r="W34" i="3"/>
  <c r="W151" i="3"/>
  <c r="W156" i="3"/>
  <c r="W111" i="3"/>
  <c r="W48" i="3"/>
  <c r="W57" i="3"/>
  <c r="W44" i="3"/>
  <c r="W65" i="3"/>
  <c r="W26" i="3"/>
  <c r="W67" i="3"/>
  <c r="W117" i="3"/>
  <c r="W49" i="3"/>
  <c r="W28" i="3"/>
  <c r="W79" i="3"/>
  <c r="W146" i="3"/>
  <c r="W112" i="3"/>
  <c r="W155" i="3"/>
  <c r="W126" i="3"/>
  <c r="W139" i="3"/>
  <c r="W97" i="3"/>
  <c r="W33" i="3"/>
  <c r="W74" i="3"/>
  <c r="W137" i="3"/>
  <c r="W60" i="3"/>
  <c r="W7" i="3"/>
  <c r="W30" i="3"/>
  <c r="W36" i="3"/>
  <c r="W5" i="3"/>
  <c r="W113" i="3"/>
  <c r="W128" i="3"/>
  <c r="W143" i="3"/>
  <c r="W3" i="3"/>
  <c r="W131" i="3"/>
  <c r="W2" i="3"/>
  <c r="W154" i="3"/>
  <c r="W130" i="3"/>
  <c r="W9" i="3"/>
  <c r="W124" i="3"/>
  <c r="W8" i="3"/>
  <c r="W89" i="3"/>
  <c r="W99" i="3"/>
  <c r="W6" i="3"/>
  <c r="W27" i="3"/>
  <c r="W61" i="3"/>
  <c r="W94" i="3"/>
  <c r="W109" i="3"/>
  <c r="W82" i="3"/>
  <c r="W152" i="3"/>
  <c r="W118" i="3"/>
  <c r="W91" i="3"/>
  <c r="W18" i="3"/>
  <c r="W31" i="3"/>
  <c r="W102" i="3"/>
  <c r="W46" i="3"/>
  <c r="W72" i="3"/>
  <c r="W42" i="3"/>
  <c r="W51" i="3"/>
  <c r="W22" i="3"/>
  <c r="W103" i="3"/>
  <c r="W134" i="3"/>
  <c r="W121" i="3"/>
  <c r="W39" i="3"/>
  <c r="W45" i="3"/>
  <c r="W96" i="3"/>
  <c r="W71" i="3"/>
  <c r="W38" i="3"/>
  <c r="W13" i="3"/>
  <c r="W21" i="3"/>
  <c r="W19" i="3"/>
  <c r="W107" i="3"/>
  <c r="W54" i="3"/>
  <c r="W115" i="3"/>
  <c r="W73" i="3"/>
  <c r="W144" i="3"/>
  <c r="W138" i="3"/>
  <c r="W68" i="3"/>
  <c r="W123" i="3"/>
  <c r="W53" i="3"/>
  <c r="W25" i="3"/>
  <c r="W158" i="3"/>
  <c r="W37" i="3"/>
  <c r="W153" i="3"/>
  <c r="W43" i="3"/>
  <c r="W66" i="3"/>
  <c r="W90" i="3"/>
  <c r="W17" i="3"/>
  <c r="W85" i="3"/>
  <c r="W50" i="3"/>
  <c r="W148" i="3"/>
  <c r="W125" i="3"/>
  <c r="W83" i="3"/>
  <c r="W135" i="3"/>
  <c r="W77" i="3"/>
  <c r="W157" i="3"/>
  <c r="W133" i="3"/>
  <c r="W4" i="3"/>
  <c r="W40" i="3"/>
  <c r="W32" i="3"/>
  <c r="W147" i="3"/>
  <c r="W75" i="3"/>
  <c r="W95" i="3"/>
  <c r="W142" i="3"/>
  <c r="W93" i="3"/>
  <c r="W20" i="3"/>
  <c r="W127" i="3"/>
  <c r="W16" i="3"/>
  <c r="W58" i="3"/>
  <c r="W59" i="3"/>
  <c r="W122" i="3"/>
  <c r="W136" i="3"/>
  <c r="W41" i="3"/>
  <c r="W116" i="3"/>
  <c r="W63" i="3"/>
  <c r="W161" i="3"/>
  <c r="W47" i="3"/>
  <c r="W70" i="3"/>
  <c r="W35" i="3"/>
  <c r="W64" i="3"/>
  <c r="W132" i="3"/>
  <c r="W140" i="3"/>
  <c r="W104" i="3"/>
  <c r="W23" i="3"/>
  <c r="W141" i="3"/>
  <c r="W12" i="3"/>
  <c r="W106" i="3"/>
  <c r="AM130" i="3"/>
  <c r="AM80" i="3"/>
  <c r="AM96" i="3"/>
  <c r="AM187" i="3"/>
  <c r="AM25" i="3"/>
  <c r="AM44" i="3"/>
  <c r="AM75" i="3"/>
  <c r="AM158" i="3"/>
  <c r="AM57" i="3"/>
  <c r="AM29" i="3"/>
  <c r="AM103" i="3"/>
  <c r="AM48" i="3"/>
  <c r="AM26" i="3"/>
  <c r="AM41" i="3"/>
  <c r="AM171" i="3"/>
  <c r="AM169" i="3"/>
  <c r="AM150" i="3"/>
  <c r="AM144" i="3"/>
  <c r="AM31" i="3"/>
  <c r="AM9" i="3"/>
  <c r="AM34" i="3"/>
  <c r="AM10" i="3"/>
  <c r="AM42" i="3"/>
  <c r="AM188" i="3"/>
  <c r="AM53" i="3"/>
  <c r="AM134" i="3"/>
  <c r="AM71" i="3"/>
  <c r="AM156" i="3"/>
  <c r="AM126" i="3"/>
  <c r="AM83" i="3"/>
  <c r="AM32" i="3"/>
  <c r="AM52" i="3"/>
  <c r="AM104" i="3"/>
  <c r="AM145" i="3"/>
  <c r="AM125" i="3"/>
  <c r="AM88" i="3"/>
  <c r="AM92" i="3"/>
  <c r="AM64" i="3"/>
  <c r="AM59" i="3"/>
  <c r="AM191" i="3"/>
  <c r="AM136" i="3"/>
  <c r="AM16" i="3"/>
  <c r="AM153" i="3"/>
  <c r="G30" i="3"/>
  <c r="G20" i="3"/>
  <c r="G10" i="3"/>
  <c r="G60" i="3"/>
  <c r="G47" i="3"/>
  <c r="G33" i="3"/>
  <c r="G25" i="3"/>
  <c r="G17" i="3"/>
  <c r="G58" i="3"/>
  <c r="G2" i="3"/>
  <c r="G36" i="3"/>
  <c r="G42" i="3"/>
  <c r="G35" i="3"/>
  <c r="G5" i="3"/>
  <c r="G59" i="3"/>
  <c r="G29" i="3"/>
  <c r="G38" i="3"/>
  <c r="G57" i="3"/>
  <c r="G27" i="3"/>
  <c r="G15" i="3"/>
  <c r="G53" i="3"/>
  <c r="G12" i="3"/>
  <c r="G55" i="3"/>
  <c r="G61" i="3"/>
  <c r="G51" i="3"/>
  <c r="G48" i="3"/>
  <c r="G52" i="3"/>
  <c r="G13" i="3"/>
  <c r="G9" i="3"/>
  <c r="G3" i="3"/>
  <c r="G4" i="3"/>
  <c r="G49" i="3"/>
  <c r="G21" i="3"/>
  <c r="G37" i="3"/>
  <c r="G41" i="3"/>
  <c r="G18" i="3"/>
  <c r="G34" i="3"/>
  <c r="G40" i="3"/>
  <c r="G31" i="3"/>
  <c r="G7" i="3"/>
  <c r="G54" i="3"/>
  <c r="G46" i="3"/>
  <c r="G56" i="3"/>
  <c r="G16" i="3"/>
  <c r="G6" i="3"/>
  <c r="G24" i="3"/>
  <c r="G32" i="3"/>
  <c r="G26" i="3"/>
  <c r="G44" i="3"/>
  <c r="G23" i="3"/>
  <c r="G43" i="3"/>
  <c r="G14" i="3"/>
  <c r="G45" i="3"/>
  <c r="G39" i="3"/>
  <c r="G28" i="3"/>
  <c r="G19" i="3"/>
  <c r="G8" i="3"/>
  <c r="G22" i="3"/>
  <c r="G50" i="3"/>
  <c r="G11" i="3"/>
  <c r="AM11" i="3"/>
  <c r="AM22" i="3"/>
  <c r="AM186" i="3"/>
  <c r="AM143" i="3"/>
  <c r="AM190" i="3"/>
  <c r="AM47" i="3"/>
  <c r="AM137" i="3"/>
  <c r="AM73" i="3"/>
  <c r="AM149" i="3"/>
  <c r="AM70" i="3"/>
  <c r="AM162" i="3"/>
  <c r="AM160" i="3"/>
  <c r="AM99" i="3"/>
  <c r="AM154" i="3"/>
  <c r="AM152" i="3"/>
  <c r="AM98" i="3"/>
  <c r="AM51" i="3"/>
  <c r="AM68" i="3"/>
  <c r="AM93" i="3"/>
  <c r="AM115" i="3"/>
  <c r="AM110" i="3"/>
  <c r="AM148" i="3"/>
  <c r="AM112" i="3"/>
  <c r="AM135" i="3"/>
  <c r="AM72" i="3"/>
  <c r="AM146" i="3"/>
  <c r="AM157" i="3"/>
  <c r="AM86" i="3"/>
  <c r="AM62" i="3"/>
  <c r="AM55" i="3"/>
  <c r="AM74" i="3"/>
  <c r="AM122" i="3"/>
  <c r="AM167" i="3"/>
  <c r="AM77" i="3"/>
  <c r="AM81" i="3"/>
  <c r="AM28" i="3"/>
  <c r="AM23" i="3"/>
  <c r="AM45" i="3"/>
  <c r="AM184" i="3"/>
  <c r="AM140" i="3"/>
  <c r="AM132" i="3"/>
  <c r="AM141" i="3"/>
  <c r="AM90" i="3"/>
  <c r="AM6" i="3"/>
  <c r="AM180" i="3"/>
  <c r="AM49" i="3"/>
  <c r="AM24" i="3"/>
  <c r="AM12" i="3"/>
  <c r="AM192" i="3"/>
  <c r="AM87" i="3"/>
  <c r="AM65" i="3"/>
  <c r="AM176" i="3"/>
  <c r="AM21" i="3"/>
  <c r="AM78" i="3"/>
  <c r="AM172" i="3"/>
  <c r="AM84" i="3"/>
  <c r="AM114" i="3"/>
  <c r="AM4" i="3"/>
  <c r="AM82" i="3"/>
  <c r="AM27" i="3"/>
  <c r="AM36" i="3"/>
  <c r="AM17" i="3"/>
  <c r="AM91" i="3"/>
  <c r="AM127" i="3"/>
  <c r="AM138" i="3"/>
  <c r="AM181" i="3"/>
  <c r="AM133" i="3"/>
  <c r="AM118" i="3"/>
  <c r="AM85" i="3"/>
  <c r="AM56" i="3"/>
  <c r="AM193" i="3"/>
  <c r="AM107" i="3"/>
  <c r="AM38" i="3"/>
  <c r="AM159" i="3"/>
  <c r="B273" i="4" l="1"/>
  <c r="E309" i="4"/>
  <c r="F309" i="4" s="1"/>
  <c r="B281" i="4"/>
  <c r="C289" i="4"/>
  <c r="B348" i="4"/>
  <c r="J543" i="4"/>
  <c r="E409" i="4"/>
  <c r="F409" i="4" s="1"/>
  <c r="D313" i="4"/>
  <c r="G313" i="4" s="1"/>
  <c r="E321" i="4"/>
  <c r="F321" i="4" s="1"/>
  <c r="D347" i="4"/>
  <c r="G347" i="4" s="1"/>
  <c r="C323" i="4"/>
  <c r="B286" i="4"/>
  <c r="D414" i="4"/>
  <c r="G414" i="4" s="1"/>
  <c r="E344" i="4"/>
  <c r="F344" i="4" s="1"/>
  <c r="B315" i="4"/>
  <c r="AU172" i="3"/>
  <c r="C274" i="4"/>
  <c r="E259" i="4"/>
  <c r="F259" i="4" s="1"/>
  <c r="B434" i="4"/>
  <c r="B293" i="4"/>
  <c r="E403" i="4"/>
  <c r="F403" i="4" s="1"/>
  <c r="B274" i="4"/>
  <c r="D438" i="4"/>
  <c r="G438" i="4" s="1"/>
  <c r="D391" i="4"/>
  <c r="G391" i="4" s="1"/>
  <c r="C438" i="4"/>
  <c r="D441" i="4"/>
  <c r="G441" i="4" s="1"/>
  <c r="B288" i="4"/>
  <c r="E272" i="4"/>
  <c r="F272" i="4" s="1"/>
  <c r="E300" i="4"/>
  <c r="F300" i="4" s="1"/>
  <c r="D295" i="4"/>
  <c r="G295" i="4" s="1"/>
  <c r="C381" i="4"/>
  <c r="B376" i="4"/>
  <c r="E343" i="4"/>
  <c r="F343" i="4" s="1"/>
  <c r="B429" i="4"/>
  <c r="B284" i="4"/>
  <c r="B409" i="4"/>
  <c r="E397" i="4"/>
  <c r="F397" i="4" s="1"/>
  <c r="D443" i="4"/>
  <c r="G443" i="4" s="1"/>
  <c r="D449" i="4"/>
  <c r="G449" i="4" s="1"/>
  <c r="C304" i="4"/>
  <c r="C291" i="4"/>
  <c r="C275" i="4"/>
  <c r="B314" i="4"/>
  <c r="B298" i="4"/>
  <c r="E386" i="4"/>
  <c r="F386" i="4" s="1"/>
  <c r="D405" i="4"/>
  <c r="G405" i="4" s="1"/>
  <c r="B276" i="4"/>
  <c r="B308" i="4"/>
  <c r="C269" i="4"/>
  <c r="B272" i="4"/>
  <c r="B267" i="4"/>
  <c r="E261" i="4"/>
  <c r="F261" i="4" s="1"/>
  <c r="B310" i="4"/>
  <c r="D307" i="4"/>
  <c r="G307" i="4" s="1"/>
  <c r="D294" i="4"/>
  <c r="G294" i="4" s="1"/>
  <c r="B313" i="4"/>
  <c r="E322" i="4"/>
  <c r="F322" i="4" s="1"/>
  <c r="D303" i="4"/>
  <c r="G303" i="4" s="1"/>
  <c r="C389" i="4"/>
  <c r="D421" i="4"/>
  <c r="G421" i="4" s="1"/>
  <c r="D436" i="4"/>
  <c r="G436" i="4" s="1"/>
  <c r="C448" i="4"/>
  <c r="C396" i="4"/>
  <c r="E330" i="4"/>
  <c r="F330" i="4" s="1"/>
  <c r="C385" i="4"/>
  <c r="E264" i="4"/>
  <c r="F264" i="4" s="1"/>
  <c r="B368" i="4"/>
  <c r="D288" i="4"/>
  <c r="G288" i="4" s="1"/>
  <c r="C285" i="4"/>
  <c r="D334" i="4"/>
  <c r="G334" i="4" s="1"/>
  <c r="D260" i="4"/>
  <c r="G260" i="4" s="1"/>
  <c r="AU4" i="3" s="1"/>
  <c r="C296" i="4"/>
  <c r="E348" i="4"/>
  <c r="F348" i="4" s="1"/>
  <c r="E265" i="4"/>
  <c r="F265" i="4" s="1"/>
  <c r="B316" i="4"/>
  <c r="D439" i="4"/>
  <c r="G439" i="4" s="1"/>
  <c r="B301" i="4"/>
  <c r="E363" i="4"/>
  <c r="F363" i="4" s="1"/>
  <c r="E314" i="4"/>
  <c r="F314" i="4" s="1"/>
  <c r="B304" i="4"/>
  <c r="C263" i="4"/>
  <c r="E274" i="4"/>
  <c r="F274" i="4" s="1"/>
  <c r="E350" i="4"/>
  <c r="F350" i="4" s="1"/>
  <c r="E295" i="4"/>
  <c r="F295" i="4" s="1"/>
  <c r="D383" i="4"/>
  <c r="G383" i="4" s="1"/>
  <c r="B425" i="4"/>
  <c r="B327" i="4"/>
  <c r="D337" i="4"/>
  <c r="G337" i="4" s="1"/>
  <c r="B263" i="4"/>
  <c r="C279" i="4"/>
  <c r="C355" i="4"/>
  <c r="C440" i="4"/>
  <c r="B300" i="4"/>
  <c r="D335" i="4"/>
  <c r="G335" i="4" s="1"/>
  <c r="E338" i="4"/>
  <c r="F338" i="4" s="1"/>
  <c r="B319" i="4"/>
  <c r="E269" i="4"/>
  <c r="F269" i="4" s="1"/>
  <c r="E270" i="4"/>
  <c r="F270" i="4" s="1"/>
  <c r="D274" i="4"/>
  <c r="G274" i="4" s="1"/>
  <c r="AU57" i="3" s="1"/>
  <c r="C284" i="4"/>
  <c r="D320" i="4"/>
  <c r="G320" i="4" s="1"/>
  <c r="E360" i="4"/>
  <c r="F360" i="4" s="1"/>
  <c r="D270" i="4"/>
  <c r="G270" i="4" s="1"/>
  <c r="AU53" i="3" s="1"/>
  <c r="D291" i="4"/>
  <c r="G291" i="4" s="1"/>
  <c r="C318" i="4"/>
  <c r="E310" i="4"/>
  <c r="F310" i="4" s="1"/>
  <c r="C301" i="4"/>
  <c r="C326" i="4"/>
  <c r="E325" i="4"/>
  <c r="F325" i="4" s="1"/>
  <c r="B306" i="4"/>
  <c r="E418" i="4"/>
  <c r="F418" i="4" s="1"/>
  <c r="B424" i="4"/>
  <c r="B446" i="4"/>
  <c r="B360" i="4"/>
  <c r="E414" i="4"/>
  <c r="F414" i="4" s="1"/>
  <c r="D301" i="4"/>
  <c r="G301" i="4" s="1"/>
  <c r="D354" i="4"/>
  <c r="G354" i="4" s="1"/>
  <c r="B450" i="4"/>
  <c r="C430" i="4"/>
  <c r="C313" i="4"/>
  <c r="D431" i="4"/>
  <c r="G431" i="4" s="1"/>
  <c r="E361" i="4"/>
  <c r="F361" i="4" s="1"/>
  <c r="C393" i="4"/>
  <c r="C427" i="4"/>
  <c r="B285" i="4"/>
  <c r="D373" i="4"/>
  <c r="G373" i="4" s="1"/>
  <c r="B296" i="4"/>
  <c r="D280" i="4"/>
  <c r="G280" i="4" s="1"/>
  <c r="C370" i="4"/>
  <c r="E273" i="4"/>
  <c r="F273" i="4" s="1"/>
  <c r="E313" i="4"/>
  <c r="F313" i="4" s="1"/>
  <c r="B326" i="4"/>
  <c r="B321" i="4"/>
  <c r="D338" i="4"/>
  <c r="G338" i="4" s="1"/>
  <c r="D329" i="4"/>
  <c r="G329" i="4" s="1"/>
  <c r="D328" i="4"/>
  <c r="G328" i="4" s="1"/>
  <c r="D311" i="4"/>
  <c r="G311" i="4" s="1"/>
  <c r="E434" i="4"/>
  <c r="F434" i="4" s="1"/>
  <c r="D429" i="4"/>
  <c r="G429" i="4" s="1"/>
  <c r="B386" i="4"/>
  <c r="D396" i="4"/>
  <c r="G396" i="4" s="1"/>
  <c r="C390" i="4"/>
  <c r="B388" i="4"/>
  <c r="D259" i="4"/>
  <c r="G259" i="4" s="1"/>
  <c r="AU2" i="3" s="1"/>
  <c r="D322" i="4"/>
  <c r="G322" i="4" s="1"/>
  <c r="D283" i="4"/>
  <c r="G283" i="4" s="1"/>
  <c r="C286" i="4"/>
  <c r="C378" i="4"/>
  <c r="C330" i="4"/>
  <c r="B375" i="4"/>
  <c r="B305" i="4"/>
  <c r="B318" i="4"/>
  <c r="E341" i="4"/>
  <c r="F341" i="4" s="1"/>
  <c r="D324" i="4"/>
  <c r="G324" i="4" s="1"/>
  <c r="C359" i="4"/>
  <c r="E332" i="4"/>
  <c r="F332" i="4" s="1"/>
  <c r="C331" i="4"/>
  <c r="E345" i="4"/>
  <c r="F345" i="4" s="1"/>
  <c r="C437" i="4"/>
  <c r="B432" i="4"/>
  <c r="B309" i="4"/>
  <c r="B294" i="4"/>
  <c r="D442" i="4"/>
  <c r="G442" i="4" s="1"/>
  <c r="E422" i="4"/>
  <c r="F422" i="4" s="1"/>
  <c r="D265" i="4"/>
  <c r="G265" i="4" s="1"/>
  <c r="AU35" i="3" s="1"/>
  <c r="C419" i="4"/>
  <c r="D365" i="4"/>
  <c r="G365" i="4" s="1"/>
  <c r="B333" i="4"/>
  <c r="C340" i="4"/>
  <c r="C444" i="4"/>
  <c r="D363" i="4"/>
  <c r="G363" i="4" s="1"/>
  <c r="D277" i="4"/>
  <c r="G277" i="4" s="1"/>
  <c r="AU60" i="3" s="1"/>
  <c r="B342" i="4"/>
  <c r="C287" i="4"/>
  <c r="E299" i="4"/>
  <c r="F299" i="4" s="1"/>
  <c r="E384" i="4"/>
  <c r="F384" i="4" s="1"/>
  <c r="C324" i="4"/>
  <c r="E333" i="4"/>
  <c r="F333" i="4" s="1"/>
  <c r="E369" i="4"/>
  <c r="F369" i="4" s="1"/>
  <c r="B339" i="4"/>
  <c r="E362" i="4"/>
  <c r="F362" i="4" s="1"/>
  <c r="E442" i="4"/>
  <c r="F442" i="4" s="1"/>
  <c r="B303" i="4"/>
  <c r="B439" i="4"/>
  <c r="D332" i="4"/>
  <c r="G332" i="4" s="1"/>
  <c r="E337" i="4"/>
  <c r="F337" i="4" s="1"/>
  <c r="D366" i="4"/>
  <c r="G366" i="4" s="1"/>
  <c r="C342" i="4"/>
  <c r="C365" i="4"/>
  <c r="E365" i="4"/>
  <c r="F365" i="4" s="1"/>
  <c r="C445" i="4"/>
  <c r="B440" i="4"/>
  <c r="C251" i="4"/>
  <c r="E248" i="4"/>
  <c r="F248" i="4" s="1"/>
  <c r="C243" i="4"/>
  <c r="E240" i="4"/>
  <c r="F240" i="4" s="1"/>
  <c r="B251" i="4"/>
  <c r="D248" i="4"/>
  <c r="G248" i="4" s="1"/>
  <c r="E255" i="4"/>
  <c r="F255" i="4" s="1"/>
  <c r="E252" i="4"/>
  <c r="F252" i="4" s="1"/>
  <c r="E249" i="4"/>
  <c r="F249" i="4" s="1"/>
  <c r="E246" i="4"/>
  <c r="F246" i="4" s="1"/>
  <c r="E243" i="4"/>
  <c r="F243" i="4" s="1"/>
  <c r="B235" i="4"/>
  <c r="D232" i="4"/>
  <c r="G232" i="4" s="1"/>
  <c r="B227" i="4"/>
  <c r="D224" i="4"/>
  <c r="G224" i="4" s="1"/>
  <c r="B219" i="4"/>
  <c r="D216" i="4"/>
  <c r="G216" i="4" s="1"/>
  <c r="B211" i="4"/>
  <c r="D208" i="4"/>
  <c r="G208" i="4" s="1"/>
  <c r="B203" i="4"/>
  <c r="D200" i="4"/>
  <c r="G200" i="4" s="1"/>
  <c r="B195" i="4"/>
  <c r="D192" i="4"/>
  <c r="G192" i="4" s="1"/>
  <c r="B187" i="4"/>
  <c r="D184" i="4"/>
  <c r="G184" i="4" s="1"/>
  <c r="B179" i="4"/>
  <c r="D176" i="4"/>
  <c r="G176" i="4" s="1"/>
  <c r="B171" i="4"/>
  <c r="D168" i="4"/>
  <c r="G168" i="4" s="1"/>
  <c r="D255" i="4"/>
  <c r="G255" i="4" s="1"/>
  <c r="D252" i="4"/>
  <c r="G252" i="4" s="1"/>
  <c r="D249" i="4"/>
  <c r="G249" i="4" s="1"/>
  <c r="D246" i="4"/>
  <c r="G246" i="4" s="1"/>
  <c r="D243" i="4"/>
  <c r="G243" i="4" s="1"/>
  <c r="D240" i="4"/>
  <c r="G240" i="4" s="1"/>
  <c r="E237" i="4"/>
  <c r="F237" i="4" s="1"/>
  <c r="C232" i="4"/>
  <c r="E229" i="4"/>
  <c r="F229" i="4" s="1"/>
  <c r="C224" i="4"/>
  <c r="E221" i="4"/>
  <c r="F221" i="4" s="1"/>
  <c r="C216" i="4"/>
  <c r="E213" i="4"/>
  <c r="F213" i="4" s="1"/>
  <c r="C208" i="4"/>
  <c r="E205" i="4"/>
  <c r="F205" i="4" s="1"/>
  <c r="E254" i="4"/>
  <c r="F254" i="4" s="1"/>
  <c r="E251" i="4"/>
  <c r="F251" i="4" s="1"/>
  <c r="C248" i="4"/>
  <c r="C245" i="4"/>
  <c r="D242" i="4"/>
  <c r="G242" i="4" s="1"/>
  <c r="E239" i="4"/>
  <c r="F239" i="4" s="1"/>
  <c r="B234" i="4"/>
  <c r="D231" i="4"/>
  <c r="G231" i="4" s="1"/>
  <c r="B226" i="4"/>
  <c r="D223" i="4"/>
  <c r="G223" i="4" s="1"/>
  <c r="B218" i="4"/>
  <c r="D215" i="4"/>
  <c r="G215" i="4" s="1"/>
  <c r="B210" i="4"/>
  <c r="B254" i="4"/>
  <c r="C250" i="4"/>
  <c r="C239" i="4"/>
  <c r="C229" i="4"/>
  <c r="E219" i="4"/>
  <c r="F219" i="4" s="1"/>
  <c r="B216" i="4"/>
  <c r="E209" i="4"/>
  <c r="F209" i="4" s="1"/>
  <c r="E206" i="4"/>
  <c r="F206" i="4" s="1"/>
  <c r="E203" i="4"/>
  <c r="F203" i="4" s="1"/>
  <c r="B192" i="4"/>
  <c r="C189" i="4"/>
  <c r="D186" i="4"/>
  <c r="G186" i="4" s="1"/>
  <c r="E183" i="4"/>
  <c r="F183" i="4" s="1"/>
  <c r="B175" i="4"/>
  <c r="C172" i="4"/>
  <c r="D169" i="4"/>
  <c r="G169" i="4" s="1"/>
  <c r="E166" i="4"/>
  <c r="F166" i="4" s="1"/>
  <c r="C161" i="4"/>
  <c r="E158" i="4"/>
  <c r="F158" i="4" s="1"/>
  <c r="C153" i="4"/>
  <c r="E150" i="4"/>
  <c r="F150" i="4" s="1"/>
  <c r="C145" i="4"/>
  <c r="E142" i="4"/>
  <c r="F142" i="4" s="1"/>
  <c r="C137" i="4"/>
  <c r="E134" i="4"/>
  <c r="F134" i="4" s="1"/>
  <c r="C129" i="4"/>
  <c r="E126" i="4"/>
  <c r="F126" i="4" s="1"/>
  <c r="C121" i="4"/>
  <c r="E118" i="4"/>
  <c r="F118" i="4" s="1"/>
  <c r="C113" i="4"/>
  <c r="E110" i="4"/>
  <c r="F110" i="4" s="1"/>
  <c r="C105" i="4"/>
  <c r="E102" i="4"/>
  <c r="F102" i="4" s="1"/>
  <c r="C97" i="4"/>
  <c r="E253" i="4"/>
  <c r="F253" i="4" s="1"/>
  <c r="B250" i="4"/>
  <c r="C246" i="4"/>
  <c r="E242" i="4"/>
  <c r="F242" i="4" s="1"/>
  <c r="B239" i="4"/>
  <c r="E232" i="4"/>
  <c r="F232" i="4" s="1"/>
  <c r="B229" i="4"/>
  <c r="E222" i="4"/>
  <c r="F222" i="4" s="1"/>
  <c r="D219" i="4"/>
  <c r="G219" i="4" s="1"/>
  <c r="E212" i="4"/>
  <c r="F212" i="4" s="1"/>
  <c r="D209" i="4"/>
  <c r="G209" i="4" s="1"/>
  <c r="D206" i="4"/>
  <c r="G206" i="4" s="1"/>
  <c r="D203" i="4"/>
  <c r="G203" i="4" s="1"/>
  <c r="E200" i="4"/>
  <c r="F200" i="4" s="1"/>
  <c r="E197" i="4"/>
  <c r="F197" i="4" s="1"/>
  <c r="B189" i="4"/>
  <c r="C186" i="4"/>
  <c r="D183" i="4"/>
  <c r="G183" i="4" s="1"/>
  <c r="E180" i="4"/>
  <c r="F180" i="4" s="1"/>
  <c r="B172" i="4"/>
  <c r="C169" i="4"/>
  <c r="D166" i="4"/>
  <c r="G166" i="4" s="1"/>
  <c r="B161" i="4"/>
  <c r="D158" i="4"/>
  <c r="G158" i="4" s="1"/>
  <c r="B153" i="4"/>
  <c r="D150" i="4"/>
  <c r="G150" i="4" s="1"/>
  <c r="B145" i="4"/>
  <c r="D142" i="4"/>
  <c r="G142" i="4" s="1"/>
  <c r="B137" i="4"/>
  <c r="D134" i="4"/>
  <c r="G134" i="4" s="1"/>
  <c r="B129" i="4"/>
  <c r="D126" i="4"/>
  <c r="G126" i="4" s="1"/>
  <c r="B121" i="4"/>
  <c r="D118" i="4"/>
  <c r="G118" i="4" s="1"/>
  <c r="B113" i="4"/>
  <c r="D110" i="4"/>
  <c r="G110" i="4" s="1"/>
  <c r="B105" i="4"/>
  <c r="D102" i="4"/>
  <c r="G102" i="4" s="1"/>
  <c r="AE33" i="3" s="1"/>
  <c r="B97" i="4"/>
  <c r="B253" i="4"/>
  <c r="C249" i="4"/>
  <c r="D245" i="4"/>
  <c r="G245" i="4" s="1"/>
  <c r="E238" i="4"/>
  <c r="F238" i="4" s="1"/>
  <c r="C235" i="4"/>
  <c r="D228" i="4"/>
  <c r="G228" i="4" s="1"/>
  <c r="C225" i="4"/>
  <c r="B222" i="4"/>
  <c r="E218" i="4"/>
  <c r="F218" i="4" s="1"/>
  <c r="C215" i="4"/>
  <c r="B212" i="4"/>
  <c r="B197" i="4"/>
  <c r="C194" i="4"/>
  <c r="D191" i="4"/>
  <c r="G191" i="4" s="1"/>
  <c r="E188" i="4"/>
  <c r="F188" i="4" s="1"/>
  <c r="B180" i="4"/>
  <c r="C177" i="4"/>
  <c r="D174" i="4"/>
  <c r="G174" i="4" s="1"/>
  <c r="E171" i="4"/>
  <c r="F171" i="4" s="1"/>
  <c r="C163" i="4"/>
  <c r="C252" i="4"/>
  <c r="E234" i="4"/>
  <c r="F234" i="4" s="1"/>
  <c r="D218" i="4"/>
  <c r="G218" i="4" s="1"/>
  <c r="E214" i="4"/>
  <c r="F214" i="4" s="1"/>
  <c r="E210" i="4"/>
  <c r="F210" i="4" s="1"/>
  <c r="D199" i="4"/>
  <c r="G199" i="4" s="1"/>
  <c r="B196" i="4"/>
  <c r="D185" i="4"/>
  <c r="G185" i="4" s="1"/>
  <c r="B182" i="4"/>
  <c r="E178" i="4"/>
  <c r="F178" i="4" s="1"/>
  <c r="C175" i="4"/>
  <c r="D171" i="4"/>
  <c r="G171" i="4" s="1"/>
  <c r="E161" i="4"/>
  <c r="F161" i="4" s="1"/>
  <c r="C158" i="4"/>
  <c r="C155" i="4"/>
  <c r="C152" i="4"/>
  <c r="C149" i="4"/>
  <c r="C146" i="4"/>
  <c r="C143" i="4"/>
  <c r="C140" i="4"/>
  <c r="E115" i="4"/>
  <c r="F115" i="4" s="1"/>
  <c r="E112" i="4"/>
  <c r="F112" i="4" s="1"/>
  <c r="E109" i="4"/>
  <c r="F109" i="4" s="1"/>
  <c r="E106" i="4"/>
  <c r="F106" i="4" s="1"/>
  <c r="E103" i="4"/>
  <c r="F103" i="4" s="1"/>
  <c r="E100" i="4"/>
  <c r="F100" i="4" s="1"/>
  <c r="E97" i="4"/>
  <c r="F97" i="4" s="1"/>
  <c r="B252" i="4"/>
  <c r="E247" i="4"/>
  <c r="F247" i="4" s="1"/>
  <c r="B243" i="4"/>
  <c r="D234" i="4"/>
  <c r="G234" i="4" s="1"/>
  <c r="E230" i="4"/>
  <c r="F230" i="4" s="1"/>
  <c r="E226" i="4"/>
  <c r="F226" i="4" s="1"/>
  <c r="D222" i="4"/>
  <c r="G222" i="4" s="1"/>
  <c r="C218" i="4"/>
  <c r="D214" i="4"/>
  <c r="G214" i="4" s="1"/>
  <c r="D210" i="4"/>
  <c r="G210" i="4" s="1"/>
  <c r="E202" i="4"/>
  <c r="F202" i="4" s="1"/>
  <c r="C199" i="4"/>
  <c r="E192" i="4"/>
  <c r="F192" i="4" s="1"/>
  <c r="C185" i="4"/>
  <c r="D178" i="4"/>
  <c r="G178" i="4" s="1"/>
  <c r="C171" i="4"/>
  <c r="E164" i="4"/>
  <c r="F164" i="4" s="1"/>
  <c r="D161" i="4"/>
  <c r="G161" i="4" s="1"/>
  <c r="B158" i="4"/>
  <c r="B155" i="4"/>
  <c r="B152" i="4"/>
  <c r="B149" i="4"/>
  <c r="B146" i="4"/>
  <c r="B143" i="4"/>
  <c r="B140" i="4"/>
  <c r="B255" i="4"/>
  <c r="E244" i="4"/>
  <c r="F244" i="4" s="1"/>
  <c r="C230" i="4"/>
  <c r="D225" i="4"/>
  <c r="G225" i="4" s="1"/>
  <c r="D207" i="4"/>
  <c r="G207" i="4" s="1"/>
  <c r="C203" i="4"/>
  <c r="C195" i="4"/>
  <c r="C187" i="4"/>
  <c r="B183" i="4"/>
  <c r="C179" i="4"/>
  <c r="D175" i="4"/>
  <c r="G175" i="4" s="1"/>
  <c r="B167" i="4"/>
  <c r="B163" i="4"/>
  <c r="D156" i="4"/>
  <c r="G156" i="4" s="1"/>
  <c r="D149" i="4"/>
  <c r="G149" i="4" s="1"/>
  <c r="B142" i="4"/>
  <c r="D135" i="4"/>
  <c r="G135" i="4" s="1"/>
  <c r="B132" i="4"/>
  <c r="D128" i="4"/>
  <c r="G128" i="4" s="1"/>
  <c r="B125" i="4"/>
  <c r="D121" i="4"/>
  <c r="G121" i="4" s="1"/>
  <c r="E114" i="4"/>
  <c r="F114" i="4" s="1"/>
  <c r="D111" i="4"/>
  <c r="G111" i="4" s="1"/>
  <c r="C108" i="4"/>
  <c r="E101" i="4"/>
  <c r="F101" i="4" s="1"/>
  <c r="D98" i="4"/>
  <c r="G98" i="4" s="1"/>
  <c r="AE13" i="3" s="1"/>
  <c r="D244" i="4"/>
  <c r="G244" i="4" s="1"/>
  <c r="C234" i="4"/>
  <c r="B230" i="4"/>
  <c r="B225" i="4"/>
  <c r="E220" i="4"/>
  <c r="F220" i="4" s="1"/>
  <c r="E216" i="4"/>
  <c r="F216" i="4" s="1"/>
  <c r="E211" i="4"/>
  <c r="F211" i="4" s="1"/>
  <c r="C207" i="4"/>
  <c r="D202" i="4"/>
  <c r="G202" i="4" s="1"/>
  <c r="E194" i="4"/>
  <c r="F194" i="4" s="1"/>
  <c r="E174" i="4"/>
  <c r="F174" i="4" s="1"/>
  <c r="E170" i="4"/>
  <c r="F170" i="4" s="1"/>
  <c r="E159" i="4"/>
  <c r="F159" i="4" s="1"/>
  <c r="C156" i="4"/>
  <c r="E152" i="4"/>
  <c r="F152" i="4" s="1"/>
  <c r="E145" i="4"/>
  <c r="F145" i="4" s="1"/>
  <c r="E138" i="4"/>
  <c r="F138" i="4" s="1"/>
  <c r="C135" i="4"/>
  <c r="E131" i="4"/>
  <c r="F131" i="4" s="1"/>
  <c r="C128" i="4"/>
  <c r="E124" i="4"/>
  <c r="F124" i="4" s="1"/>
  <c r="E117" i="4"/>
  <c r="F117" i="4" s="1"/>
  <c r="D114" i="4"/>
  <c r="G114" i="4" s="1"/>
  <c r="C111" i="4"/>
  <c r="B108" i="4"/>
  <c r="E104" i="4"/>
  <c r="F104" i="4" s="1"/>
  <c r="D101" i="4"/>
  <c r="G101" i="4" s="1"/>
  <c r="C98" i="4"/>
  <c r="C254" i="4"/>
  <c r="C238" i="4"/>
  <c r="E233" i="4"/>
  <c r="F233" i="4" s="1"/>
  <c r="E224" i="4"/>
  <c r="F224" i="4" s="1"/>
  <c r="B220" i="4"/>
  <c r="B215" i="4"/>
  <c r="B206" i="4"/>
  <c r="C198" i="4"/>
  <c r="C190" i="4"/>
  <c r="B186" i="4"/>
  <c r="C182" i="4"/>
  <c r="B178" i="4"/>
  <c r="B170" i="4"/>
  <c r="B166" i="4"/>
  <c r="D162" i="4"/>
  <c r="G162" i="4" s="1"/>
  <c r="B159" i="4"/>
  <c r="D155" i="4"/>
  <c r="G155" i="4" s="1"/>
  <c r="D148" i="4"/>
  <c r="G148" i="4" s="1"/>
  <c r="D141" i="4"/>
  <c r="G141" i="4" s="1"/>
  <c r="B138" i="4"/>
  <c r="B131" i="4"/>
  <c r="D127" i="4"/>
  <c r="G127" i="4" s="1"/>
  <c r="B124" i="4"/>
  <c r="D120" i="4"/>
  <c r="G120" i="4" s="1"/>
  <c r="B117" i="4"/>
  <c r="C107" i="4"/>
  <c r="B104" i="4"/>
  <c r="C253" i="4"/>
  <c r="B247" i="4"/>
  <c r="B241" i="4"/>
  <c r="D235" i="4"/>
  <c r="G235" i="4" s="1"/>
  <c r="E228" i="4"/>
  <c r="F228" i="4" s="1"/>
  <c r="E223" i="4"/>
  <c r="F223" i="4" s="1"/>
  <c r="E217" i="4"/>
  <c r="F217" i="4" s="1"/>
  <c r="C212" i="4"/>
  <c r="C206" i="4"/>
  <c r="D201" i="4"/>
  <c r="G201" i="4" s="1"/>
  <c r="E196" i="4"/>
  <c r="F196" i="4" s="1"/>
  <c r="E191" i="4"/>
  <c r="F191" i="4" s="1"/>
  <c r="D181" i="4"/>
  <c r="G181" i="4" s="1"/>
  <c r="D172" i="4"/>
  <c r="G172" i="4" s="1"/>
  <c r="C167" i="4"/>
  <c r="C162" i="4"/>
  <c r="D136" i="4"/>
  <c r="G136" i="4" s="1"/>
  <c r="E132" i="4"/>
  <c r="F132" i="4" s="1"/>
  <c r="B128" i="4"/>
  <c r="D123" i="4"/>
  <c r="G123" i="4" s="1"/>
  <c r="E119" i="4"/>
  <c r="F119" i="4" s="1"/>
  <c r="C115" i="4"/>
  <c r="E111" i="4"/>
  <c r="F111" i="4" s="1"/>
  <c r="B107" i="4"/>
  <c r="C103" i="4"/>
  <c r="C99" i="4"/>
  <c r="C228" i="4"/>
  <c r="C223" i="4"/>
  <c r="D217" i="4"/>
  <c r="G217" i="4" s="1"/>
  <c r="D205" i="4"/>
  <c r="G205" i="4" s="1"/>
  <c r="C201" i="4"/>
  <c r="D196" i="4"/>
  <c r="G196" i="4" s="1"/>
  <c r="C191" i="4"/>
  <c r="E186" i="4"/>
  <c r="F186" i="4" s="1"/>
  <c r="C181" i="4"/>
  <c r="E176" i="4"/>
  <c r="F176" i="4" s="1"/>
  <c r="B162" i="4"/>
  <c r="E157" i="4"/>
  <c r="F157" i="4" s="1"/>
  <c r="E149" i="4"/>
  <c r="F149" i="4" s="1"/>
  <c r="E144" i="4"/>
  <c r="F144" i="4" s="1"/>
  <c r="C136" i="4"/>
  <c r="D132" i="4"/>
  <c r="G132" i="4" s="1"/>
  <c r="E127" i="4"/>
  <c r="F127" i="4" s="1"/>
  <c r="C123" i="4"/>
  <c r="D119" i="4"/>
  <c r="G119" i="4" s="1"/>
  <c r="B115" i="4"/>
  <c r="B111" i="4"/>
  <c r="B103" i="4"/>
  <c r="B99" i="4"/>
  <c r="B246" i="4"/>
  <c r="C240" i="4"/>
  <c r="B228" i="4"/>
  <c r="B223" i="4"/>
  <c r="C217" i="4"/>
  <c r="D211" i="4"/>
  <c r="G211" i="4" s="1"/>
  <c r="C205" i="4"/>
  <c r="B201" i="4"/>
  <c r="C196" i="4"/>
  <c r="B191" i="4"/>
  <c r="B181" i="4"/>
  <c r="C176" i="4"/>
  <c r="C166" i="4"/>
  <c r="D157" i="4"/>
  <c r="G157" i="4" s="1"/>
  <c r="E153" i="4"/>
  <c r="F153" i="4" s="1"/>
  <c r="D144" i="4"/>
  <c r="G144" i="4" s="1"/>
  <c r="E140" i="4"/>
  <c r="F140" i="4" s="1"/>
  <c r="B136" i="4"/>
  <c r="C132" i="4"/>
  <c r="C127" i="4"/>
  <c r="B123" i="4"/>
  <c r="C119" i="4"/>
  <c r="B238" i="4"/>
  <c r="D227" i="4"/>
  <c r="G227" i="4" s="1"/>
  <c r="C221" i="4"/>
  <c r="E215" i="4"/>
  <c r="F215" i="4" s="1"/>
  <c r="E204" i="4"/>
  <c r="F204" i="4" s="1"/>
  <c r="D194" i="4"/>
  <c r="G194" i="4" s="1"/>
  <c r="E175" i="4"/>
  <c r="F175" i="4" s="1"/>
  <c r="C165" i="4"/>
  <c r="E160" i="4"/>
  <c r="F160" i="4" s="1"/>
  <c r="E147" i="4"/>
  <c r="F147" i="4" s="1"/>
  <c r="C139" i="4"/>
  <c r="B135" i="4"/>
  <c r="D130" i="4"/>
  <c r="G130" i="4" s="1"/>
  <c r="C126" i="4"/>
  <c r="D122" i="4"/>
  <c r="G122" i="4" s="1"/>
  <c r="E250" i="4"/>
  <c r="F250" i="4" s="1"/>
  <c r="B244" i="4"/>
  <c r="C237" i="4"/>
  <c r="D226" i="4"/>
  <c r="G226" i="4" s="1"/>
  <c r="D251" i="4"/>
  <c r="G251" i="4" s="1"/>
  <c r="C233" i="4"/>
  <c r="C209" i="4"/>
  <c r="E189" i="4"/>
  <c r="F189" i="4" s="1"/>
  <c r="B164" i="4"/>
  <c r="E151" i="4"/>
  <c r="F151" i="4" s="1"/>
  <c r="B141" i="4"/>
  <c r="E129" i="4"/>
  <c r="F129" i="4" s="1"/>
  <c r="E123" i="4"/>
  <c r="F123" i="4" s="1"/>
  <c r="D117" i="4"/>
  <c r="G117" i="4" s="1"/>
  <c r="D112" i="4"/>
  <c r="G112" i="4" s="1"/>
  <c r="D107" i="4"/>
  <c r="G107" i="4" s="1"/>
  <c r="AE42" i="3" s="1"/>
  <c r="D96" i="4"/>
  <c r="G96" i="4" s="1"/>
  <c r="AE3" i="3" s="1"/>
  <c r="E241" i="4"/>
  <c r="F241" i="4" s="1"/>
  <c r="B233" i="4"/>
  <c r="B217" i="4"/>
  <c r="B209" i="4"/>
  <c r="C202" i="4"/>
  <c r="D189" i="4"/>
  <c r="G189" i="4" s="1"/>
  <c r="C183" i="4"/>
  <c r="B176" i="4"/>
  <c r="E169" i="4"/>
  <c r="F169" i="4" s="1"/>
  <c r="E163" i="4"/>
  <c r="F163" i="4" s="1"/>
  <c r="C157" i="4"/>
  <c r="D151" i="4"/>
  <c r="G151" i="4" s="1"/>
  <c r="E146" i="4"/>
  <c r="F146" i="4" s="1"/>
  <c r="D140" i="4"/>
  <c r="G140" i="4" s="1"/>
  <c r="C134" i="4"/>
  <c r="D129" i="4"/>
  <c r="G129" i="4" s="1"/>
  <c r="C117" i="4"/>
  <c r="C112" i="4"/>
  <c r="D106" i="4"/>
  <c r="G106" i="4" s="1"/>
  <c r="AE40" i="3" s="1"/>
  <c r="C101" i="4"/>
  <c r="C96" i="4"/>
  <c r="D250" i="4"/>
  <c r="G250" i="4" s="1"/>
  <c r="D241" i="4"/>
  <c r="G241" i="4" s="1"/>
  <c r="B232" i="4"/>
  <c r="B224" i="4"/>
  <c r="B202" i="4"/>
  <c r="E195" i="4"/>
  <c r="F195" i="4" s="1"/>
  <c r="D188" i="4"/>
  <c r="G188" i="4" s="1"/>
  <c r="E182" i="4"/>
  <c r="F182" i="4" s="1"/>
  <c r="B169" i="4"/>
  <c r="D163" i="4"/>
  <c r="G163" i="4" s="1"/>
  <c r="B157" i="4"/>
  <c r="C151" i="4"/>
  <c r="D146" i="4"/>
  <c r="G146" i="4" s="1"/>
  <c r="E139" i="4"/>
  <c r="F139" i="4" s="1"/>
  <c r="B134" i="4"/>
  <c r="B112" i="4"/>
  <c r="C106" i="4"/>
  <c r="B101" i="4"/>
  <c r="B96" i="4"/>
  <c r="D238" i="4"/>
  <c r="G238" i="4" s="1"/>
  <c r="C214" i="4"/>
  <c r="C200" i="4"/>
  <c r="E193" i="4"/>
  <c r="F193" i="4" s="1"/>
  <c r="D180" i="4"/>
  <c r="G180" i="4" s="1"/>
  <c r="E173" i="4"/>
  <c r="F173" i="4" s="1"/>
  <c r="B168" i="4"/>
  <c r="E155" i="4"/>
  <c r="F155" i="4" s="1"/>
  <c r="C150" i="4"/>
  <c r="B144" i="4"/>
  <c r="D138" i="4"/>
  <c r="G138" i="4" s="1"/>
  <c r="B133" i="4"/>
  <c r="E121" i="4"/>
  <c r="F121" i="4" s="1"/>
  <c r="C116" i="4"/>
  <c r="B110" i="4"/>
  <c r="D105" i="4"/>
  <c r="G105" i="4" s="1"/>
  <c r="AE39" i="3" s="1"/>
  <c r="B100" i="4"/>
  <c r="C247" i="4"/>
  <c r="B237" i="4"/>
  <c r="B221" i="4"/>
  <c r="B207" i="4"/>
  <c r="E199" i="4"/>
  <c r="F199" i="4" s="1"/>
  <c r="C193" i="4"/>
  <c r="D187" i="4"/>
  <c r="G187" i="4" s="1"/>
  <c r="C173" i="4"/>
  <c r="D167" i="4"/>
  <c r="G167" i="4" s="1"/>
  <c r="D160" i="4"/>
  <c r="G160" i="4" s="1"/>
  <c r="E143" i="4"/>
  <c r="F143" i="4" s="1"/>
  <c r="B126" i="4"/>
  <c r="E120" i="4"/>
  <c r="F120" i="4" s="1"/>
  <c r="D115" i="4"/>
  <c r="G115" i="4" s="1"/>
  <c r="D109" i="4"/>
  <c r="G109" i="4" s="1"/>
  <c r="AE52" i="3" s="1"/>
  <c r="D104" i="4"/>
  <c r="G104" i="4" s="1"/>
  <c r="AE38" i="3" s="1"/>
  <c r="D99" i="4"/>
  <c r="G99" i="4" s="1"/>
  <c r="AE19" i="3" s="1"/>
  <c r="C255" i="4"/>
  <c r="B242" i="4"/>
  <c r="D229" i="4"/>
  <c r="G229" i="4" s="1"/>
  <c r="E207" i="4"/>
  <c r="F207" i="4" s="1"/>
  <c r="D197" i="4"/>
  <c r="G197" i="4" s="1"/>
  <c r="C178" i="4"/>
  <c r="E168" i="4"/>
  <c r="F168" i="4" s="1"/>
  <c r="B151" i="4"/>
  <c r="E135" i="4"/>
  <c r="F135" i="4" s="1"/>
  <c r="C118" i="4"/>
  <c r="C241" i="4"/>
  <c r="B205" i="4"/>
  <c r="C197" i="4"/>
  <c r="E187" i="4"/>
  <c r="F187" i="4" s="1"/>
  <c r="E177" i="4"/>
  <c r="F177" i="4" s="1"/>
  <c r="C168" i="4"/>
  <c r="D159" i="4"/>
  <c r="G159" i="4" s="1"/>
  <c r="E133" i="4"/>
  <c r="F133" i="4" s="1"/>
  <c r="B118" i="4"/>
  <c r="C109" i="4"/>
  <c r="C102" i="4"/>
  <c r="D254" i="4"/>
  <c r="G254" i="4" s="1"/>
  <c r="B240" i="4"/>
  <c r="E185" i="4"/>
  <c r="F185" i="4" s="1"/>
  <c r="D177" i="4"/>
  <c r="G177" i="4" s="1"/>
  <c r="E167" i="4"/>
  <c r="F167" i="4" s="1"/>
  <c r="C159" i="4"/>
  <c r="C142" i="4"/>
  <c r="D133" i="4"/>
  <c r="G133" i="4" s="1"/>
  <c r="E125" i="4"/>
  <c r="F125" i="4" s="1"/>
  <c r="B109" i="4"/>
  <c r="B102" i="4"/>
  <c r="B249" i="4"/>
  <c r="E236" i="4"/>
  <c r="F236" i="4" s="1"/>
  <c r="E225" i="4"/>
  <c r="F225" i="4" s="1"/>
  <c r="D213" i="4"/>
  <c r="G213" i="4" s="1"/>
  <c r="B204" i="4"/>
  <c r="D193" i="4"/>
  <c r="G193" i="4" s="1"/>
  <c r="C184" i="4"/>
  <c r="B174" i="4"/>
  <c r="B165" i="4"/>
  <c r="E156" i="4"/>
  <c r="F156" i="4" s="1"/>
  <c r="B148" i="4"/>
  <c r="D139" i="4"/>
  <c r="G139" i="4" s="1"/>
  <c r="C131" i="4"/>
  <c r="C124" i="4"/>
  <c r="D108" i="4"/>
  <c r="G108" i="4" s="1"/>
  <c r="AE44" i="3" s="1"/>
  <c r="E99" i="4"/>
  <c r="F99" i="4" s="1"/>
  <c r="E227" i="4"/>
  <c r="F227" i="4" s="1"/>
  <c r="B213" i="4"/>
  <c r="B199" i="4"/>
  <c r="B185" i="4"/>
  <c r="B173" i="4"/>
  <c r="B150" i="4"/>
  <c r="E116" i="4"/>
  <c r="F116" i="4" s="1"/>
  <c r="B106" i="4"/>
  <c r="C244" i="4"/>
  <c r="C227" i="4"/>
  <c r="D212" i="4"/>
  <c r="G212" i="4" s="1"/>
  <c r="E198" i="4"/>
  <c r="F198" i="4" s="1"/>
  <c r="E148" i="4"/>
  <c r="F148" i="4" s="1"/>
  <c r="C138" i="4"/>
  <c r="E128" i="4"/>
  <c r="F128" i="4" s="1"/>
  <c r="D116" i="4"/>
  <c r="G116" i="4" s="1"/>
  <c r="E96" i="4"/>
  <c r="F96" i="4" s="1"/>
  <c r="C226" i="4"/>
  <c r="C211" i="4"/>
  <c r="D198" i="4"/>
  <c r="G198" i="4" s="1"/>
  <c r="E184" i="4"/>
  <c r="F184" i="4" s="1"/>
  <c r="C160" i="4"/>
  <c r="C148" i="4"/>
  <c r="B127" i="4"/>
  <c r="B116" i="4"/>
  <c r="E105" i="4"/>
  <c r="F105" i="4" s="1"/>
  <c r="D221" i="4"/>
  <c r="G221" i="4" s="1"/>
  <c r="B208" i="4"/>
  <c r="E181" i="4"/>
  <c r="F181" i="4" s="1"/>
  <c r="C170" i="4"/>
  <c r="D124" i="4"/>
  <c r="G124" i="4" s="1"/>
  <c r="D113" i="4"/>
  <c r="G113" i="4" s="1"/>
  <c r="B248" i="4"/>
  <c r="D190" i="4"/>
  <c r="G190" i="4" s="1"/>
  <c r="E172" i="4"/>
  <c r="F172" i="4" s="1"/>
  <c r="E98" i="4"/>
  <c r="F98" i="4" s="1"/>
  <c r="D247" i="4"/>
  <c r="G247" i="4" s="1"/>
  <c r="D204" i="4"/>
  <c r="G204" i="4" s="1"/>
  <c r="B190" i="4"/>
  <c r="E154" i="4"/>
  <c r="F154" i="4" s="1"/>
  <c r="E141" i="4"/>
  <c r="F141" i="4" s="1"/>
  <c r="D125" i="4"/>
  <c r="G125" i="4" s="1"/>
  <c r="B98" i="4"/>
  <c r="E245" i="4"/>
  <c r="F245" i="4" s="1"/>
  <c r="C222" i="4"/>
  <c r="C204" i="4"/>
  <c r="C188" i="4"/>
  <c r="D170" i="4"/>
  <c r="G170" i="4" s="1"/>
  <c r="D154" i="4"/>
  <c r="G154" i="4" s="1"/>
  <c r="C141" i="4"/>
  <c r="C125" i="4"/>
  <c r="D97" i="4"/>
  <c r="G97" i="4" s="1"/>
  <c r="AE5" i="3" s="1"/>
  <c r="B245" i="4"/>
  <c r="D220" i="4"/>
  <c r="G220" i="4" s="1"/>
  <c r="B188" i="4"/>
  <c r="C154" i="4"/>
  <c r="B139" i="4"/>
  <c r="E122" i="4"/>
  <c r="F122" i="4" s="1"/>
  <c r="C110" i="4"/>
  <c r="D237" i="4"/>
  <c r="G237" i="4" s="1"/>
  <c r="D182" i="4"/>
  <c r="G182" i="4" s="1"/>
  <c r="D165" i="4"/>
  <c r="G165" i="4" s="1"/>
  <c r="E136" i="4"/>
  <c r="F136" i="4" s="1"/>
  <c r="E108" i="4"/>
  <c r="F108" i="4" s="1"/>
  <c r="C231" i="4"/>
  <c r="B200" i="4"/>
  <c r="B177" i="4"/>
  <c r="D153" i="4"/>
  <c r="G153" i="4" s="1"/>
  <c r="E130" i="4"/>
  <c r="F130" i="4" s="1"/>
  <c r="B122" i="4"/>
  <c r="D164" i="4"/>
  <c r="G164" i="4" s="1"/>
  <c r="B231" i="4"/>
  <c r="B198" i="4"/>
  <c r="D152" i="4"/>
  <c r="G152" i="4" s="1"/>
  <c r="C130" i="4"/>
  <c r="C219" i="4"/>
  <c r="E165" i="4"/>
  <c r="F165" i="4" s="1"/>
  <c r="C122" i="4"/>
  <c r="C192" i="4"/>
  <c r="D103" i="4"/>
  <c r="G103" i="4" s="1"/>
  <c r="AE36" i="3" s="1"/>
  <c r="C120" i="4"/>
  <c r="D230" i="4"/>
  <c r="G230" i="4" s="1"/>
  <c r="D195" i="4"/>
  <c r="G195" i="4" s="1"/>
  <c r="C174" i="4"/>
  <c r="D147" i="4"/>
  <c r="G147" i="4" s="1"/>
  <c r="B130" i="4"/>
  <c r="E107" i="4"/>
  <c r="F107" i="4" s="1"/>
  <c r="C220" i="4"/>
  <c r="B194" i="4"/>
  <c r="D173" i="4"/>
  <c r="G173" i="4" s="1"/>
  <c r="C147" i="4"/>
  <c r="D253" i="4"/>
  <c r="G253" i="4" s="1"/>
  <c r="B193" i="4"/>
  <c r="B147" i="4"/>
  <c r="C104" i="4"/>
  <c r="D145" i="4"/>
  <c r="G145" i="4" s="1"/>
  <c r="C144" i="4"/>
  <c r="C213" i="4"/>
  <c r="C114" i="4"/>
  <c r="B114" i="4"/>
  <c r="B156" i="4"/>
  <c r="C236" i="4"/>
  <c r="C180" i="4"/>
  <c r="D131" i="4"/>
  <c r="G131" i="4" s="1"/>
  <c r="B120" i="4"/>
  <c r="C210" i="4"/>
  <c r="E162" i="4"/>
  <c r="F162" i="4" s="1"/>
  <c r="E208" i="4"/>
  <c r="F208" i="4" s="1"/>
  <c r="E113" i="4"/>
  <c r="F113" i="4" s="1"/>
  <c r="C100" i="4"/>
  <c r="D137" i="4"/>
  <c r="G137" i="4" s="1"/>
  <c r="B236" i="4"/>
  <c r="E235" i="4"/>
  <c r="F235" i="4" s="1"/>
  <c r="E179" i="4"/>
  <c r="F179" i="4" s="1"/>
  <c r="C133" i="4"/>
  <c r="D233" i="4"/>
  <c r="G233" i="4" s="1"/>
  <c r="B160" i="4"/>
  <c r="B119" i="4"/>
  <c r="D236" i="4"/>
  <c r="G236" i="4" s="1"/>
  <c r="E137" i="4"/>
  <c r="F137" i="4" s="1"/>
  <c r="B214" i="4"/>
  <c r="E231" i="4"/>
  <c r="F231" i="4" s="1"/>
  <c r="E201" i="4"/>
  <c r="F201" i="4" s="1"/>
  <c r="B154" i="4"/>
  <c r="C242" i="4"/>
  <c r="E190" i="4"/>
  <c r="F190" i="4" s="1"/>
  <c r="D100" i="4"/>
  <c r="G100" i="4" s="1"/>
  <c r="AE23" i="3" s="1"/>
  <c r="D239" i="4"/>
  <c r="G239" i="4" s="1"/>
  <c r="B184" i="4"/>
  <c r="D143" i="4"/>
  <c r="G143" i="4" s="1"/>
  <c r="D179" i="4"/>
  <c r="G179" i="4" s="1"/>
  <c r="C164" i="4"/>
  <c r="BK9" i="3"/>
  <c r="BK68" i="3"/>
  <c r="BK75" i="3"/>
  <c r="BK17" i="3"/>
  <c r="E323" i="4"/>
  <c r="F323" i="4" s="1"/>
  <c r="E448" i="4"/>
  <c r="F448" i="4" s="1"/>
  <c r="B353" i="4"/>
  <c r="D447" i="4"/>
  <c r="G447" i="4" s="1"/>
  <c r="B290" i="4"/>
  <c r="BK60" i="3"/>
  <c r="B329" i="4"/>
  <c r="C391" i="4"/>
  <c r="AE34" i="3"/>
  <c r="BK56" i="3"/>
  <c r="BK69" i="3"/>
  <c r="B416" i="4"/>
  <c r="E419" i="4"/>
  <c r="F419" i="4" s="1"/>
  <c r="C423" i="4"/>
  <c r="E346" i="4"/>
  <c r="F346" i="4" s="1"/>
  <c r="B379" i="4"/>
  <c r="C439" i="4"/>
  <c r="D426" i="4"/>
  <c r="G426" i="4" s="1"/>
  <c r="D282" i="4"/>
  <c r="G282" i="4" s="1"/>
  <c r="E440" i="4"/>
  <c r="F440" i="4" s="1"/>
  <c r="AU52" i="3"/>
  <c r="E329" i="4"/>
  <c r="F329" i="4" s="1"/>
  <c r="B325" i="4"/>
  <c r="C403" i="4"/>
  <c r="C335" i="4"/>
  <c r="C347" i="4"/>
  <c r="E347" i="4"/>
  <c r="F347" i="4" s="1"/>
  <c r="B340" i="4"/>
  <c r="E353" i="4"/>
  <c r="F353" i="4" s="1"/>
  <c r="D450" i="4"/>
  <c r="G450" i="4" s="1"/>
  <c r="E282" i="4"/>
  <c r="F282" i="4" s="1"/>
  <c r="C418" i="4"/>
  <c r="E356" i="4"/>
  <c r="F356" i="4" s="1"/>
  <c r="C447" i="4"/>
  <c r="D293" i="4"/>
  <c r="G293" i="4" s="1"/>
  <c r="C341" i="4"/>
  <c r="D394" i="4"/>
  <c r="G394" i="4" s="1"/>
  <c r="C352" i="4"/>
  <c r="D368" i="4"/>
  <c r="G368" i="4" s="1"/>
  <c r="E450" i="4"/>
  <c r="F450" i="4" s="1"/>
  <c r="E303" i="4"/>
  <c r="F303" i="4" s="1"/>
  <c r="C410" i="4"/>
  <c r="E398" i="4"/>
  <c r="F398" i="4" s="1"/>
  <c r="B312" i="4"/>
  <c r="E447" i="4"/>
  <c r="F447" i="4" s="1"/>
  <c r="D262" i="4"/>
  <c r="G262" i="4" s="1"/>
  <c r="AU17" i="3" s="1"/>
  <c r="D360" i="4"/>
  <c r="G360" i="4" s="1"/>
  <c r="B385" i="4"/>
  <c r="B423" i="4"/>
  <c r="D351" i="4"/>
  <c r="G351" i="4" s="1"/>
  <c r="C363" i="4"/>
  <c r="C337" i="4"/>
  <c r="E334" i="4"/>
  <c r="F334" i="4" s="1"/>
  <c r="B279" i="4"/>
  <c r="C422" i="4"/>
  <c r="D304" i="4"/>
  <c r="G304" i="4" s="1"/>
  <c r="E357" i="4"/>
  <c r="F357" i="4" s="1"/>
  <c r="C336" i="4"/>
  <c r="C404" i="4"/>
  <c r="B292" i="4"/>
  <c r="C382" i="4"/>
  <c r="B414" i="4"/>
  <c r="E351" i="4"/>
  <c r="F351" i="4" s="1"/>
  <c r="D361" i="4"/>
  <c r="G361" i="4" s="1"/>
  <c r="B357" i="4"/>
  <c r="D404" i="4"/>
  <c r="G404" i="4" s="1"/>
  <c r="D381" i="4"/>
  <c r="G381" i="4" s="1"/>
  <c r="C314" i="4"/>
  <c r="D355" i="4"/>
  <c r="G355" i="4" s="1"/>
  <c r="C417" i="4"/>
  <c r="D268" i="4"/>
  <c r="G268" i="4" s="1"/>
  <c r="AU49" i="3" s="1"/>
  <c r="D264" i="4"/>
  <c r="G264" i="4" s="1"/>
  <c r="AU30" i="3" s="1"/>
  <c r="D286" i="4"/>
  <c r="G286" i="4" s="1"/>
  <c r="D344" i="4"/>
  <c r="G344" i="4" s="1"/>
  <c r="B282" i="4"/>
  <c r="D445" i="4"/>
  <c r="G445" i="4" s="1"/>
  <c r="D317" i="4"/>
  <c r="G317" i="4" s="1"/>
  <c r="E394" i="4"/>
  <c r="F394" i="4" s="1"/>
  <c r="B398" i="4"/>
  <c r="E342" i="4"/>
  <c r="F342" i="4" s="1"/>
  <c r="E280" i="4"/>
  <c r="F280" i="4" s="1"/>
  <c r="E387" i="4"/>
  <c r="F387" i="4" s="1"/>
  <c r="E331" i="4"/>
  <c r="F331" i="4" s="1"/>
  <c r="C446" i="4"/>
  <c r="B277" i="4"/>
  <c r="B350" i="4"/>
  <c r="E289" i="4"/>
  <c r="F289" i="4" s="1"/>
  <c r="D323" i="4"/>
  <c r="G323" i="4" s="1"/>
  <c r="D343" i="4"/>
  <c r="G343" i="4" s="1"/>
  <c r="D305" i="4"/>
  <c r="G305" i="4" s="1"/>
  <c r="E372" i="4"/>
  <c r="F372" i="4" s="1"/>
  <c r="B441" i="4"/>
  <c r="B405" i="4"/>
  <c r="D416" i="4"/>
  <c r="G416" i="4" s="1"/>
  <c r="E275" i="4"/>
  <c r="F275" i="4" s="1"/>
  <c r="B261" i="4"/>
  <c r="B331" i="4"/>
  <c r="E423" i="4"/>
  <c r="F423" i="4" s="1"/>
  <c r="C259" i="4"/>
  <c r="D428" i="4"/>
  <c r="G428" i="4" s="1"/>
  <c r="B361" i="4"/>
  <c r="B332" i="4"/>
  <c r="D372" i="4"/>
  <c r="G372" i="4" s="1"/>
  <c r="E432" i="4"/>
  <c r="F432" i="4" s="1"/>
  <c r="E433" i="4"/>
  <c r="F433" i="4" s="1"/>
  <c r="D326" i="4"/>
  <c r="G326" i="4" s="1"/>
  <c r="E260" i="4"/>
  <c r="F260" i="4" s="1"/>
  <c r="E436" i="4"/>
  <c r="F436" i="4" s="1"/>
  <c r="D434" i="4"/>
  <c r="G434" i="4" s="1"/>
  <c r="C399" i="4"/>
  <c r="B412" i="4"/>
  <c r="E429" i="4"/>
  <c r="F429" i="4" s="1"/>
  <c r="C315" i="4"/>
  <c r="C443" i="4"/>
  <c r="D387" i="4"/>
  <c r="G387" i="4" s="1"/>
  <c r="B382" i="4"/>
  <c r="B338" i="4"/>
  <c r="D310" i="4"/>
  <c r="G310" i="4" s="1"/>
  <c r="D401" i="4"/>
  <c r="G401" i="4" s="1"/>
  <c r="B397" i="4"/>
  <c r="D336" i="4"/>
  <c r="G336" i="4" s="1"/>
  <c r="B403" i="4"/>
  <c r="B373" i="4"/>
  <c r="E382" i="4"/>
  <c r="F382" i="4" s="1"/>
  <c r="E415" i="4"/>
  <c r="F415" i="4" s="1"/>
  <c r="C308" i="4"/>
  <c r="E319" i="4"/>
  <c r="F319" i="4" s="1"/>
  <c r="D263" i="4"/>
  <c r="G263" i="4" s="1"/>
  <c r="AU24" i="3" s="1"/>
  <c r="D298" i="4"/>
  <c r="G298" i="4" s="1"/>
  <c r="D353" i="4"/>
  <c r="G353" i="4" s="1"/>
  <c r="E376" i="4"/>
  <c r="F376" i="4" s="1"/>
  <c r="E385" i="4"/>
  <c r="F385" i="4" s="1"/>
  <c r="C371" i="4"/>
  <c r="B262" i="4"/>
  <c r="E375" i="4"/>
  <c r="F375" i="4" s="1"/>
  <c r="E327" i="4"/>
  <c r="F327" i="4" s="1"/>
  <c r="D273" i="4"/>
  <c r="G273" i="4" s="1"/>
  <c r="AU56" i="3" s="1"/>
  <c r="B417" i="4"/>
  <c r="C307" i="4"/>
  <c r="B402" i="4"/>
  <c r="AE25" i="3"/>
  <c r="BK22" i="3"/>
  <c r="C416" i="4"/>
  <c r="AE122" i="3"/>
  <c r="C264" i="4"/>
  <c r="D378" i="4"/>
  <c r="G378" i="4" s="1"/>
  <c r="D435" i="4"/>
  <c r="G435" i="4" s="1"/>
  <c r="C267" i="4"/>
  <c r="D356" i="4"/>
  <c r="G356" i="4" s="1"/>
  <c r="E305" i="4"/>
  <c r="F305" i="4" s="1"/>
  <c r="E336" i="4"/>
  <c r="F336" i="4" s="1"/>
  <c r="B421" i="4"/>
  <c r="E339" i="4"/>
  <c r="F339" i="4" s="1"/>
  <c r="C387" i="4"/>
  <c r="D379" i="4"/>
  <c r="G379" i="4" s="1"/>
  <c r="B346" i="4"/>
  <c r="B363" i="4"/>
  <c r="B334" i="4"/>
  <c r="D437" i="4"/>
  <c r="G437" i="4" s="1"/>
  <c r="B449" i="4"/>
  <c r="B383" i="4"/>
  <c r="E430" i="4"/>
  <c r="F430" i="4" s="1"/>
  <c r="C374" i="4"/>
  <c r="E267" i="4"/>
  <c r="F267" i="4" s="1"/>
  <c r="C384" i="4"/>
  <c r="D340" i="4"/>
  <c r="G340" i="4" s="1"/>
  <c r="E441" i="4"/>
  <c r="F441" i="4" s="1"/>
  <c r="C392" i="4"/>
  <c r="E278" i="4"/>
  <c r="F278" i="4" s="1"/>
  <c r="D327" i="4"/>
  <c r="G327" i="4" s="1"/>
  <c r="B445" i="4"/>
  <c r="C270" i="4"/>
  <c r="D269" i="4"/>
  <c r="G269" i="4" s="1"/>
  <c r="AU51" i="3" s="1"/>
  <c r="D415" i="4"/>
  <c r="G415" i="4" s="1"/>
  <c r="C344" i="4"/>
  <c r="B381" i="4"/>
  <c r="D446" i="4"/>
  <c r="G446" i="4" s="1"/>
  <c r="C380" i="4"/>
  <c r="E412" i="4"/>
  <c r="F412" i="4" s="1"/>
  <c r="E388" i="4"/>
  <c r="F388" i="4" s="1"/>
  <c r="B374" i="4"/>
  <c r="D341" i="4"/>
  <c r="G341" i="4" s="1"/>
  <c r="C376" i="4"/>
  <c r="D309" i="4"/>
  <c r="G309" i="4" s="1"/>
  <c r="C377" i="4"/>
  <c r="D412" i="4"/>
  <c r="G412" i="4" s="1"/>
  <c r="B264" i="4"/>
  <c r="E335" i="4"/>
  <c r="F335" i="4" s="1"/>
  <c r="D299" i="4"/>
  <c r="G299" i="4" s="1"/>
  <c r="E285" i="4"/>
  <c r="F285" i="4" s="1"/>
  <c r="D275" i="4"/>
  <c r="G275" i="4" s="1"/>
  <c r="AU58" i="3" s="1"/>
  <c r="D300" i="4"/>
  <c r="G300" i="4" s="1"/>
  <c r="E420" i="4"/>
  <c r="F420" i="4" s="1"/>
  <c r="E316" i="4"/>
  <c r="F316" i="4" s="1"/>
  <c r="C356" i="4"/>
  <c r="B415" i="4"/>
  <c r="B442" i="4"/>
  <c r="B406" i="4"/>
  <c r="E428" i="4"/>
  <c r="F428" i="4" s="1"/>
  <c r="E416" i="4"/>
  <c r="F416" i="4" s="1"/>
  <c r="E391" i="4"/>
  <c r="F391" i="4" s="1"/>
  <c r="B395" i="4"/>
  <c r="D357" i="4"/>
  <c r="G357" i="4" s="1"/>
  <c r="AE15" i="3"/>
  <c r="BK46" i="3"/>
  <c r="B535" i="4"/>
  <c r="B539" i="4"/>
  <c r="D536" i="4"/>
  <c r="G536" i="4" s="1"/>
  <c r="B531" i="4"/>
  <c r="D528" i="4"/>
  <c r="G528" i="4" s="1"/>
  <c r="B523" i="4"/>
  <c r="D520" i="4"/>
  <c r="G520" i="4" s="1"/>
  <c r="B515" i="4"/>
  <c r="D512" i="4"/>
  <c r="G512" i="4" s="1"/>
  <c r="B507" i="4"/>
  <c r="D504" i="4"/>
  <c r="G504" i="4" s="1"/>
  <c r="B499" i="4"/>
  <c r="D496" i="4"/>
  <c r="G496" i="4" s="1"/>
  <c r="B491" i="4"/>
  <c r="D488" i="4"/>
  <c r="G488" i="4" s="1"/>
  <c r="B483" i="4"/>
  <c r="D480" i="4"/>
  <c r="G480" i="4" s="1"/>
  <c r="B475" i="4"/>
  <c r="D472" i="4"/>
  <c r="G472" i="4" s="1"/>
  <c r="B467" i="4"/>
  <c r="D464" i="4"/>
  <c r="G464" i="4" s="1"/>
  <c r="BK20" i="3" s="1"/>
  <c r="B459" i="4"/>
  <c r="D456" i="4"/>
  <c r="G456" i="4" s="1"/>
  <c r="BK5" i="3" s="1"/>
  <c r="C536" i="4"/>
  <c r="E533" i="4"/>
  <c r="F533" i="4" s="1"/>
  <c r="C528" i="4"/>
  <c r="E525" i="4"/>
  <c r="F525" i="4" s="1"/>
  <c r="C520" i="4"/>
  <c r="E517" i="4"/>
  <c r="F517" i="4" s="1"/>
  <c r="C512" i="4"/>
  <c r="E509" i="4"/>
  <c r="F509" i="4" s="1"/>
  <c r="C504" i="4"/>
  <c r="E501" i="4"/>
  <c r="F501" i="4" s="1"/>
  <c r="C496" i="4"/>
  <c r="E493" i="4"/>
  <c r="F493" i="4" s="1"/>
  <c r="C488" i="4"/>
  <c r="E485" i="4"/>
  <c r="F485" i="4" s="1"/>
  <c r="C480" i="4"/>
  <c r="E477" i="4"/>
  <c r="F477" i="4" s="1"/>
  <c r="C472" i="4"/>
  <c r="E469" i="4"/>
  <c r="F469" i="4" s="1"/>
  <c r="C464" i="4"/>
  <c r="E461" i="4"/>
  <c r="F461" i="4" s="1"/>
  <c r="C456" i="4"/>
  <c r="D538" i="4"/>
  <c r="G538" i="4" s="1"/>
  <c r="C535" i="4"/>
  <c r="B532" i="4"/>
  <c r="B529" i="4"/>
  <c r="B526" i="4"/>
  <c r="D501" i="4"/>
  <c r="G501" i="4" s="1"/>
  <c r="D498" i="4"/>
  <c r="G498" i="4" s="1"/>
  <c r="D495" i="4"/>
  <c r="G495" i="4" s="1"/>
  <c r="D492" i="4"/>
  <c r="G492" i="4" s="1"/>
  <c r="D489" i="4"/>
  <c r="G489" i="4" s="1"/>
  <c r="D486" i="4"/>
  <c r="G486" i="4" s="1"/>
  <c r="D483" i="4"/>
  <c r="G483" i="4" s="1"/>
  <c r="B480" i="4"/>
  <c r="B477" i="4"/>
  <c r="B474" i="4"/>
  <c r="B471" i="4"/>
  <c r="B468" i="4"/>
  <c r="B465" i="4"/>
  <c r="B462" i="4"/>
  <c r="C538" i="4"/>
  <c r="E522" i="4"/>
  <c r="F522" i="4" s="1"/>
  <c r="E519" i="4"/>
  <c r="F519" i="4" s="1"/>
  <c r="E516" i="4"/>
  <c r="F516" i="4" s="1"/>
  <c r="E513" i="4"/>
  <c r="F513" i="4" s="1"/>
  <c r="E510" i="4"/>
  <c r="F510" i="4" s="1"/>
  <c r="E507" i="4"/>
  <c r="F507" i="4" s="1"/>
  <c r="E504" i="4"/>
  <c r="F504" i="4" s="1"/>
  <c r="C501" i="4"/>
  <c r="C498" i="4"/>
  <c r="C495" i="4"/>
  <c r="C492" i="4"/>
  <c r="C489" i="4"/>
  <c r="C486" i="4"/>
  <c r="C483" i="4"/>
  <c r="E458" i="4"/>
  <c r="F458" i="4" s="1"/>
  <c r="E455" i="4"/>
  <c r="F455" i="4" s="1"/>
  <c r="E539" i="4"/>
  <c r="F539" i="4" s="1"/>
  <c r="C532" i="4"/>
  <c r="E528" i="4"/>
  <c r="F528" i="4" s="1"/>
  <c r="E521" i="4"/>
  <c r="F521" i="4" s="1"/>
  <c r="C518" i="4"/>
  <c r="E514" i="4"/>
  <c r="F514" i="4" s="1"/>
  <c r="C511" i="4"/>
  <c r="E500" i="4"/>
  <c r="F500" i="4" s="1"/>
  <c r="C497" i="4"/>
  <c r="C490" i="4"/>
  <c r="E483" i="4"/>
  <c r="F483" i="4" s="1"/>
  <c r="E479" i="4"/>
  <c r="F479" i="4" s="1"/>
  <c r="C476" i="4"/>
  <c r="C469" i="4"/>
  <c r="E462" i="4"/>
  <c r="F462" i="4" s="1"/>
  <c r="C459" i="4"/>
  <c r="C455" i="4"/>
  <c r="C534" i="4"/>
  <c r="E530" i="4"/>
  <c r="F530" i="4" s="1"/>
  <c r="C527" i="4"/>
  <c r="E520" i="4"/>
  <c r="F520" i="4" s="1"/>
  <c r="C513" i="4"/>
  <c r="C506" i="4"/>
  <c r="E499" i="4"/>
  <c r="F499" i="4" s="1"/>
  <c r="E492" i="4"/>
  <c r="F492" i="4" s="1"/>
  <c r="C485" i="4"/>
  <c r="E478" i="4"/>
  <c r="F478" i="4" s="1"/>
  <c r="C475" i="4"/>
  <c r="E471" i="4"/>
  <c r="F471" i="4" s="1"/>
  <c r="C468" i="4"/>
  <c r="E464" i="4"/>
  <c r="F464" i="4" s="1"/>
  <c r="E457" i="4"/>
  <c r="F457" i="4" s="1"/>
  <c r="C454" i="4"/>
  <c r="C539" i="4"/>
  <c r="E534" i="4"/>
  <c r="F534" i="4" s="1"/>
  <c r="D530" i="4"/>
  <c r="G530" i="4" s="1"/>
  <c r="D522" i="4"/>
  <c r="G522" i="4" s="1"/>
  <c r="E506" i="4"/>
  <c r="F506" i="4" s="1"/>
  <c r="B487" i="4"/>
  <c r="E482" i="4"/>
  <c r="F482" i="4" s="1"/>
  <c r="B463" i="4"/>
  <c r="D459" i="4"/>
  <c r="G459" i="4" s="1"/>
  <c r="BK13" i="3" s="1"/>
  <c r="D534" i="4"/>
  <c r="G534" i="4" s="1"/>
  <c r="C530" i="4"/>
  <c r="E526" i="4"/>
  <c r="F526" i="4" s="1"/>
  <c r="C522" i="4"/>
  <c r="E518" i="4"/>
  <c r="F518" i="4" s="1"/>
  <c r="D514" i="4"/>
  <c r="G514" i="4" s="1"/>
  <c r="D510" i="4"/>
  <c r="G510" i="4" s="1"/>
  <c r="D506" i="4"/>
  <c r="G506" i="4" s="1"/>
  <c r="E502" i="4"/>
  <c r="F502" i="4" s="1"/>
  <c r="E498" i="4"/>
  <c r="F498" i="4" s="1"/>
  <c r="E494" i="4"/>
  <c r="F494" i="4" s="1"/>
  <c r="E490" i="4"/>
  <c r="F490" i="4" s="1"/>
  <c r="D482" i="4"/>
  <c r="G482" i="4" s="1"/>
  <c r="E474" i="4"/>
  <c r="F474" i="4" s="1"/>
  <c r="E470" i="4"/>
  <c r="F470" i="4" s="1"/>
  <c r="E466" i="4"/>
  <c r="F466" i="4" s="1"/>
  <c r="D458" i="4"/>
  <c r="G458" i="4" s="1"/>
  <c r="BK12" i="3" s="1"/>
  <c r="E524" i="4"/>
  <c r="F524" i="4" s="1"/>
  <c r="D516" i="4"/>
  <c r="G516" i="4" s="1"/>
  <c r="B505" i="4"/>
  <c r="B481" i="4"/>
  <c r="B473" i="4"/>
  <c r="C465" i="4"/>
  <c r="B457" i="4"/>
  <c r="E537" i="4"/>
  <c r="F537" i="4" s="1"/>
  <c r="D523" i="4"/>
  <c r="G523" i="4" s="1"/>
  <c r="B518" i="4"/>
  <c r="B513" i="4"/>
  <c r="D508" i="4"/>
  <c r="G508" i="4" s="1"/>
  <c r="D503" i="4"/>
  <c r="G503" i="4" s="1"/>
  <c r="B498" i="4"/>
  <c r="D493" i="4"/>
  <c r="G493" i="4" s="1"/>
  <c r="E488" i="4"/>
  <c r="F488" i="4" s="1"/>
  <c r="B484" i="4"/>
  <c r="B479" i="4"/>
  <c r="B469" i="4"/>
  <c r="D454" i="4"/>
  <c r="G454" i="4" s="1"/>
  <c r="D537" i="4"/>
  <c r="G537" i="4" s="1"/>
  <c r="E532" i="4"/>
  <c r="F532" i="4" s="1"/>
  <c r="E527" i="4"/>
  <c r="F527" i="4" s="1"/>
  <c r="C523" i="4"/>
  <c r="C508" i="4"/>
  <c r="C503" i="4"/>
  <c r="C493" i="4"/>
  <c r="B488" i="4"/>
  <c r="D478" i="4"/>
  <c r="G478" i="4" s="1"/>
  <c r="E473" i="4"/>
  <c r="F473" i="4" s="1"/>
  <c r="E459" i="4"/>
  <c r="F459" i="4" s="1"/>
  <c r="B454" i="4"/>
  <c r="B536" i="4"/>
  <c r="C531" i="4"/>
  <c r="C526" i="4"/>
  <c r="C521" i="4"/>
  <c r="B516" i="4"/>
  <c r="E511" i="4"/>
  <c r="F511" i="4" s="1"/>
  <c r="B506" i="4"/>
  <c r="C487" i="4"/>
  <c r="C477" i="4"/>
  <c r="B472" i="4"/>
  <c r="D467" i="4"/>
  <c r="G467" i="4" s="1"/>
  <c r="BK23" i="3" s="1"/>
  <c r="D462" i="4"/>
  <c r="G462" i="4" s="1"/>
  <c r="BK18" i="3" s="1"/>
  <c r="D457" i="4"/>
  <c r="G457" i="4" s="1"/>
  <c r="BK6" i="3" s="1"/>
  <c r="C537" i="4"/>
  <c r="D531" i="4"/>
  <c r="G531" i="4" s="1"/>
  <c r="B525" i="4"/>
  <c r="C519" i="4"/>
  <c r="D513" i="4"/>
  <c r="G513" i="4" s="1"/>
  <c r="C507" i="4"/>
  <c r="B495" i="4"/>
  <c r="E489" i="4"/>
  <c r="F489" i="4" s="1"/>
  <c r="E476" i="4"/>
  <c r="F476" i="4" s="1"/>
  <c r="C471" i="4"/>
  <c r="D465" i="4"/>
  <c r="G465" i="4" s="1"/>
  <c r="C458" i="4"/>
  <c r="B537" i="4"/>
  <c r="B519" i="4"/>
  <c r="E512" i="4"/>
  <c r="F512" i="4" s="1"/>
  <c r="D500" i="4"/>
  <c r="G500" i="4" s="1"/>
  <c r="B489" i="4"/>
  <c r="C482" i="4"/>
  <c r="D476" i="4"/>
  <c r="G476" i="4" s="1"/>
  <c r="D470" i="4"/>
  <c r="G470" i="4" s="1"/>
  <c r="B458" i="4"/>
  <c r="B524" i="4"/>
  <c r="D517" i="4"/>
  <c r="G517" i="4" s="1"/>
  <c r="E505" i="4"/>
  <c r="F505" i="4" s="1"/>
  <c r="B494" i="4"/>
  <c r="E487" i="4"/>
  <c r="F487" i="4" s="1"/>
  <c r="D481" i="4"/>
  <c r="G481" i="4" s="1"/>
  <c r="D463" i="4"/>
  <c r="G463" i="4" s="1"/>
  <c r="BK19" i="3" s="1"/>
  <c r="C457" i="4"/>
  <c r="E535" i="4"/>
  <c r="F535" i="4" s="1"/>
  <c r="B528" i="4"/>
  <c r="B521" i="4"/>
  <c r="B514" i="4"/>
  <c r="C499" i="4"/>
  <c r="D491" i="4"/>
  <c r="G491" i="4" s="1"/>
  <c r="D484" i="4"/>
  <c r="G484" i="4" s="1"/>
  <c r="B476" i="4"/>
  <c r="E468" i="4"/>
  <c r="F468" i="4" s="1"/>
  <c r="C461" i="4"/>
  <c r="E454" i="4"/>
  <c r="F454" i="4" s="1"/>
  <c r="D535" i="4"/>
  <c r="G535" i="4" s="1"/>
  <c r="D505" i="4"/>
  <c r="G505" i="4" s="1"/>
  <c r="C491" i="4"/>
  <c r="C484" i="4"/>
  <c r="D468" i="4"/>
  <c r="G468" i="4" s="1"/>
  <c r="BK49" i="3" s="1"/>
  <c r="B461" i="4"/>
  <c r="E536" i="4"/>
  <c r="F536" i="4" s="1"/>
  <c r="B527" i="4"/>
  <c r="B510" i="4"/>
  <c r="C502" i="4"/>
  <c r="B493" i="4"/>
  <c r="B485" i="4"/>
  <c r="D477" i="4"/>
  <c r="G477" i="4" s="1"/>
  <c r="E467" i="4"/>
  <c r="F467" i="4" s="1"/>
  <c r="B460" i="4"/>
  <c r="D518" i="4"/>
  <c r="G518" i="4" s="1"/>
  <c r="D509" i="4"/>
  <c r="G509" i="4" s="1"/>
  <c r="B502" i="4"/>
  <c r="E475" i="4"/>
  <c r="F475" i="4" s="1"/>
  <c r="C467" i="4"/>
  <c r="D533" i="4"/>
  <c r="G533" i="4" s="1"/>
  <c r="C525" i="4"/>
  <c r="C516" i="4"/>
  <c r="B500" i="4"/>
  <c r="E491" i="4"/>
  <c r="F491" i="4" s="1"/>
  <c r="B482" i="4"/>
  <c r="C474" i="4"/>
  <c r="B466" i="4"/>
  <c r="C514" i="4"/>
  <c r="E503" i="4"/>
  <c r="F503" i="4" s="1"/>
  <c r="B492" i="4"/>
  <c r="C481" i="4"/>
  <c r="D461" i="4"/>
  <c r="G461" i="4" s="1"/>
  <c r="BK16" i="3" s="1"/>
  <c r="C533" i="4"/>
  <c r="E523" i="4"/>
  <c r="F523" i="4" s="1"/>
  <c r="B512" i="4"/>
  <c r="B503" i="4"/>
  <c r="E460" i="4"/>
  <c r="F460" i="4" s="1"/>
  <c r="B533" i="4"/>
  <c r="B522" i="4"/>
  <c r="D502" i="4"/>
  <c r="G502" i="4" s="1"/>
  <c r="D490" i="4"/>
  <c r="G490" i="4" s="1"/>
  <c r="D471" i="4"/>
  <c r="G471" i="4" s="1"/>
  <c r="D460" i="4"/>
  <c r="G460" i="4" s="1"/>
  <c r="BK14" i="3" s="1"/>
  <c r="D532" i="4"/>
  <c r="G532" i="4" s="1"/>
  <c r="D511" i="4"/>
  <c r="G511" i="4" s="1"/>
  <c r="B501" i="4"/>
  <c r="B490" i="4"/>
  <c r="E480" i="4"/>
  <c r="F480" i="4" s="1"/>
  <c r="B530" i="4"/>
  <c r="B520" i="4"/>
  <c r="C509" i="4"/>
  <c r="D499" i="4"/>
  <c r="G499" i="4" s="1"/>
  <c r="C479" i="4"/>
  <c r="E529" i="4"/>
  <c r="F529" i="4" s="1"/>
  <c r="D519" i="4"/>
  <c r="G519" i="4" s="1"/>
  <c r="E508" i="4"/>
  <c r="F508" i="4" s="1"/>
  <c r="D497" i="4"/>
  <c r="G497" i="4" s="1"/>
  <c r="D487" i="4"/>
  <c r="G487" i="4" s="1"/>
  <c r="B478" i="4"/>
  <c r="C466" i="4"/>
  <c r="B456" i="4"/>
  <c r="E531" i="4"/>
  <c r="F531" i="4" s="1"/>
  <c r="E515" i="4"/>
  <c r="F515" i="4" s="1"/>
  <c r="B497" i="4"/>
  <c r="E481" i="4"/>
  <c r="F481" i="4" s="1"/>
  <c r="E465" i="4"/>
  <c r="F465" i="4" s="1"/>
  <c r="D515" i="4"/>
  <c r="G515" i="4" s="1"/>
  <c r="E496" i="4"/>
  <c r="F496" i="4" s="1"/>
  <c r="B464" i="4"/>
  <c r="D529" i="4"/>
  <c r="G529" i="4" s="1"/>
  <c r="C515" i="4"/>
  <c r="B496" i="4"/>
  <c r="D479" i="4"/>
  <c r="G479" i="4" s="1"/>
  <c r="E463" i="4"/>
  <c r="F463" i="4" s="1"/>
  <c r="D525" i="4"/>
  <c r="G525" i="4" s="1"/>
  <c r="B508" i="4"/>
  <c r="C494" i="4"/>
  <c r="D474" i="4"/>
  <c r="G474" i="4" s="1"/>
  <c r="C460" i="4"/>
  <c r="C524" i="4"/>
  <c r="C473" i="4"/>
  <c r="D527" i="4"/>
  <c r="G527" i="4" s="1"/>
  <c r="B504" i="4"/>
  <c r="C478" i="4"/>
  <c r="D526" i="4"/>
  <c r="G526" i="4" s="1"/>
  <c r="D455" i="4"/>
  <c r="G455" i="4" s="1"/>
  <c r="D524" i="4"/>
  <c r="G524" i="4" s="1"/>
  <c r="C500" i="4"/>
  <c r="D475" i="4"/>
  <c r="G475" i="4" s="1"/>
  <c r="B455" i="4"/>
  <c r="C517" i="4"/>
  <c r="E495" i="4"/>
  <c r="F495" i="4" s="1"/>
  <c r="C470" i="4"/>
  <c r="D521" i="4"/>
  <c r="G521" i="4" s="1"/>
  <c r="C462" i="4"/>
  <c r="E486" i="4"/>
  <c r="F486" i="4" s="1"/>
  <c r="B511" i="4"/>
  <c r="E484" i="4"/>
  <c r="F484" i="4" s="1"/>
  <c r="B517" i="4"/>
  <c r="D473" i="4"/>
  <c r="G473" i="4" s="1"/>
  <c r="E472" i="4"/>
  <c r="F472" i="4" s="1"/>
  <c r="C510" i="4"/>
  <c r="B470" i="4"/>
  <c r="C505" i="4"/>
  <c r="B509" i="4"/>
  <c r="D507" i="4"/>
  <c r="G507" i="4" s="1"/>
  <c r="E497" i="4"/>
  <c r="F497" i="4" s="1"/>
  <c r="D494" i="4"/>
  <c r="G494" i="4" s="1"/>
  <c r="B486" i="4"/>
  <c r="D485" i="4"/>
  <c r="G485" i="4" s="1"/>
  <c r="C463" i="4"/>
  <c r="B538" i="4"/>
  <c r="E456" i="4"/>
  <c r="F456" i="4" s="1"/>
  <c r="D469" i="4"/>
  <c r="G469" i="4" s="1"/>
  <c r="D466" i="4"/>
  <c r="G466" i="4" s="1"/>
  <c r="E538" i="4"/>
  <c r="F538" i="4" s="1"/>
  <c r="B534" i="4"/>
  <c r="D539" i="4"/>
  <c r="G539" i="4" s="1"/>
  <c r="C529" i="4"/>
  <c r="C261" i="4"/>
  <c r="B377" i="4"/>
  <c r="C350" i="4"/>
  <c r="B356" i="4"/>
  <c r="C379" i="4"/>
  <c r="E364" i="4"/>
  <c r="F364" i="4" s="1"/>
  <c r="E340" i="4"/>
  <c r="F340" i="4" s="1"/>
  <c r="B358" i="4"/>
  <c r="B311" i="4"/>
  <c r="C292" i="4"/>
  <c r="C300" i="4"/>
  <c r="B443" i="4"/>
  <c r="E417" i="4"/>
  <c r="F417" i="4" s="1"/>
  <c r="E354" i="4"/>
  <c r="F354" i="4" s="1"/>
  <c r="D276" i="4"/>
  <c r="G276" i="4" s="1"/>
  <c r="AU59" i="3" s="1"/>
  <c r="D390" i="4"/>
  <c r="G390" i="4" s="1"/>
  <c r="D346" i="4"/>
  <c r="G346" i="4" s="1"/>
  <c r="C280" i="4"/>
  <c r="B364" i="4"/>
  <c r="E271" i="4"/>
  <c r="F271" i="4" s="1"/>
  <c r="C361" i="4"/>
  <c r="B265" i="4"/>
  <c r="D369" i="4"/>
  <c r="G369" i="4" s="1"/>
  <c r="C265" i="4"/>
  <c r="C338" i="4"/>
  <c r="E424" i="4"/>
  <c r="F424" i="4" s="1"/>
  <c r="E307" i="4"/>
  <c r="F307" i="4" s="1"/>
  <c r="B391" i="4"/>
  <c r="C283" i="4"/>
  <c r="E358" i="4"/>
  <c r="F358" i="4" s="1"/>
  <c r="C435" i="4"/>
  <c r="D345" i="4"/>
  <c r="G345" i="4" s="1"/>
  <c r="C425" i="4"/>
  <c r="B317" i="4"/>
  <c r="B401" i="4"/>
  <c r="C397" i="4"/>
  <c r="B320" i="4"/>
  <c r="B384" i="4"/>
  <c r="B448" i="4"/>
  <c r="AE27" i="3"/>
  <c r="BK85" i="3"/>
  <c r="BK31" i="3"/>
  <c r="E370" i="4"/>
  <c r="F370" i="4" s="1"/>
  <c r="C450" i="4"/>
  <c r="B399" i="4"/>
  <c r="B297" i="4"/>
  <c r="E393" i="4"/>
  <c r="F393" i="4" s="1"/>
  <c r="C441" i="4"/>
  <c r="E317" i="4"/>
  <c r="F317" i="4" s="1"/>
  <c r="C353" i="4"/>
  <c r="E399" i="4"/>
  <c r="F399" i="4" s="1"/>
  <c r="C322" i="4"/>
  <c r="D287" i="4"/>
  <c r="G287" i="4" s="1"/>
  <c r="D296" i="4"/>
  <c r="G296" i="4" s="1"/>
  <c r="D267" i="4"/>
  <c r="G267" i="4" s="1"/>
  <c r="AU45" i="3" s="1"/>
  <c r="B435" i="4"/>
  <c r="E401" i="4"/>
  <c r="F401" i="4" s="1"/>
  <c r="D315" i="4"/>
  <c r="G315" i="4" s="1"/>
  <c r="C412" i="4"/>
  <c r="D375" i="4"/>
  <c r="G375" i="4" s="1"/>
  <c r="E263" i="4"/>
  <c r="F263" i="4" s="1"/>
  <c r="C329" i="4"/>
  <c r="D393" i="4"/>
  <c r="G393" i="4" s="1"/>
  <c r="B362" i="4"/>
  <c r="D407" i="4"/>
  <c r="G407" i="4" s="1"/>
  <c r="E408" i="4"/>
  <c r="F408" i="4" s="1"/>
  <c r="E374" i="4"/>
  <c r="F374" i="4" s="1"/>
  <c r="C349" i="4"/>
  <c r="D364" i="4"/>
  <c r="G364" i="4" s="1"/>
  <c r="D318" i="4"/>
  <c r="G318" i="4" s="1"/>
  <c r="C299" i="4"/>
  <c r="E306" i="4"/>
  <c r="F306" i="4" s="1"/>
  <c r="C260" i="4"/>
  <c r="D423" i="4"/>
  <c r="G423" i="4" s="1"/>
  <c r="D359" i="4"/>
  <c r="G359" i="4" s="1"/>
  <c r="C293" i="4"/>
  <c r="E400" i="4"/>
  <c r="F400" i="4" s="1"/>
  <c r="E355" i="4"/>
  <c r="F355" i="4" s="1"/>
  <c r="E283" i="4"/>
  <c r="F283" i="4" s="1"/>
  <c r="B372" i="4"/>
  <c r="B278" i="4"/>
  <c r="B365" i="4"/>
  <c r="E268" i="4"/>
  <c r="F268" i="4" s="1"/>
  <c r="E373" i="4"/>
  <c r="F373" i="4" s="1"/>
  <c r="B268" i="4"/>
  <c r="B345" i="4"/>
  <c r="B428" i="4"/>
  <c r="D314" i="4"/>
  <c r="G314" i="4" s="1"/>
  <c r="C395" i="4"/>
  <c r="E288" i="4"/>
  <c r="F288" i="4" s="1"/>
  <c r="E368" i="4"/>
  <c r="F368" i="4" s="1"/>
  <c r="E438" i="4"/>
  <c r="F438" i="4" s="1"/>
  <c r="C348" i="4"/>
  <c r="C428" i="4"/>
  <c r="E328" i="4"/>
  <c r="F328" i="4" s="1"/>
  <c r="B404" i="4"/>
  <c r="E402" i="4"/>
  <c r="F402" i="4" s="1"/>
  <c r="D325" i="4"/>
  <c r="G325" i="4" s="1"/>
  <c r="D389" i="4"/>
  <c r="G389" i="4" s="1"/>
  <c r="AE16" i="3"/>
  <c r="AE22" i="3"/>
  <c r="AE30" i="3"/>
  <c r="BK28" i="3"/>
  <c r="O16" i="3"/>
  <c r="O15" i="3"/>
  <c r="BK7" i="3"/>
  <c r="O2" i="3"/>
  <c r="D350" i="4"/>
  <c r="G350" i="4" s="1"/>
  <c r="B370" i="4"/>
  <c r="E371" i="4"/>
  <c r="F371" i="4" s="1"/>
  <c r="C436" i="4"/>
  <c r="C281" i="4"/>
  <c r="D352" i="4"/>
  <c r="G352" i="4" s="1"/>
  <c r="D402" i="4"/>
  <c r="G402" i="4" s="1"/>
  <c r="E291" i="4"/>
  <c r="F291" i="4" s="1"/>
  <c r="B351" i="4"/>
  <c r="C431" i="4"/>
  <c r="D331" i="4"/>
  <c r="G331" i="4" s="1"/>
  <c r="B407" i="4"/>
  <c r="C405" i="4"/>
  <c r="B328" i="4"/>
  <c r="B392" i="4"/>
  <c r="AE26" i="3"/>
  <c r="AE28" i="3"/>
  <c r="C312" i="4"/>
  <c r="E293" i="4"/>
  <c r="F293" i="4" s="1"/>
  <c r="B266" i="4"/>
  <c r="D399" i="4"/>
  <c r="G399" i="4" s="1"/>
  <c r="C343" i="4"/>
  <c r="E425" i="4"/>
  <c r="F425" i="4" s="1"/>
  <c r="C357" i="4"/>
  <c r="E311" i="4"/>
  <c r="F311" i="4" s="1"/>
  <c r="B270" i="4"/>
  <c r="C298" i="4"/>
  <c r="D370" i="4"/>
  <c r="G370" i="4" s="1"/>
  <c r="D384" i="4"/>
  <c r="G384" i="4" s="1"/>
  <c r="C278" i="4"/>
  <c r="E276" i="4"/>
  <c r="F276" i="4" s="1"/>
  <c r="C432" i="4"/>
  <c r="B378" i="4"/>
  <c r="D266" i="4"/>
  <c r="G266" i="4" s="1"/>
  <c r="AU39" i="3" s="1"/>
  <c r="C327" i="4"/>
  <c r="E304" i="4"/>
  <c r="F304" i="4" s="1"/>
  <c r="C386" i="4"/>
  <c r="B426" i="4"/>
  <c r="B355" i="4"/>
  <c r="E396" i="4"/>
  <c r="F396" i="4" s="1"/>
  <c r="D427" i="4"/>
  <c r="G427" i="4" s="1"/>
  <c r="B366" i="4"/>
  <c r="C325" i="4"/>
  <c r="B275" i="4"/>
  <c r="B369" i="4"/>
  <c r="B427" i="4"/>
  <c r="C297" i="4"/>
  <c r="D284" i="4"/>
  <c r="G284" i="4" s="1"/>
  <c r="D281" i="4"/>
  <c r="G281" i="4" s="1"/>
  <c r="D279" i="4"/>
  <c r="G279" i="4" s="1"/>
  <c r="E439" i="4"/>
  <c r="F439" i="4" s="1"/>
  <c r="C406" i="4"/>
  <c r="E381" i="4"/>
  <c r="F381" i="4" s="1"/>
  <c r="E292" i="4"/>
  <c r="F292" i="4" s="1"/>
  <c r="C434" i="4"/>
  <c r="C334" i="4"/>
  <c r="B410" i="4"/>
  <c r="E410" i="4"/>
  <c r="F410" i="4" s="1"/>
  <c r="D333" i="4"/>
  <c r="G333" i="4" s="1"/>
  <c r="D397" i="4"/>
  <c r="G397" i="4" s="1"/>
  <c r="AE20" i="3"/>
  <c r="BK80" i="3"/>
  <c r="BK4" i="3"/>
  <c r="AE49" i="3"/>
  <c r="BK57" i="3"/>
  <c r="O18" i="3"/>
  <c r="D420" i="4"/>
  <c r="G420" i="4" s="1"/>
  <c r="B389" i="4"/>
  <c r="E277" i="4"/>
  <c r="F277" i="4" s="1"/>
  <c r="D430" i="4"/>
  <c r="G430" i="4" s="1"/>
  <c r="D272" i="4"/>
  <c r="G272" i="4" s="1"/>
  <c r="AU55" i="3" s="1"/>
  <c r="E406" i="4"/>
  <c r="F406" i="4" s="1"/>
  <c r="D418" i="4"/>
  <c r="G418" i="4" s="1"/>
  <c r="D382" i="4"/>
  <c r="G382" i="4" s="1"/>
  <c r="C332" i="4"/>
  <c r="D312" i="4"/>
  <c r="G312" i="4" s="1"/>
  <c r="C364" i="4"/>
  <c r="E411" i="4"/>
  <c r="F411" i="4" s="1"/>
  <c r="C290" i="4"/>
  <c r="C369" i="4"/>
  <c r="E377" i="4"/>
  <c r="F377" i="4" s="1"/>
  <c r="C321" i="4"/>
  <c r="E445" i="4"/>
  <c r="F445" i="4" s="1"/>
  <c r="E413" i="4"/>
  <c r="F413" i="4" s="1"/>
  <c r="B387" i="4"/>
  <c r="D308" i="4"/>
  <c r="G308" i="4" s="1"/>
  <c r="C272" i="4"/>
  <c r="C305" i="4"/>
  <c r="C420" i="4"/>
  <c r="E444" i="4"/>
  <c r="F444" i="4" s="1"/>
  <c r="D392" i="4"/>
  <c r="G392" i="4" s="1"/>
  <c r="E378" i="4"/>
  <c r="F378" i="4" s="1"/>
  <c r="E366" i="4"/>
  <c r="F366" i="4" s="1"/>
  <c r="E318" i="4"/>
  <c r="F318" i="4" s="1"/>
  <c r="D444" i="4"/>
  <c r="G444" i="4" s="1"/>
  <c r="C302" i="4"/>
  <c r="C375" i="4"/>
  <c r="D388" i="4"/>
  <c r="G388" i="4" s="1"/>
  <c r="C373" i="4"/>
  <c r="B390" i="4"/>
  <c r="B359" i="4"/>
  <c r="E324" i="4"/>
  <c r="F324" i="4" s="1"/>
  <c r="E294" i="4"/>
  <c r="F294" i="4" s="1"/>
  <c r="E359" i="4"/>
  <c r="F359" i="4" s="1"/>
  <c r="E349" i="4"/>
  <c r="F349" i="4" s="1"/>
  <c r="D358" i="4"/>
  <c r="G358" i="4" s="1"/>
  <c r="B341" i="4"/>
  <c r="E421" i="4"/>
  <c r="F421" i="4" s="1"/>
  <c r="C367" i="4"/>
  <c r="C328" i="4"/>
  <c r="E407" i="4"/>
  <c r="F407" i="4" s="1"/>
  <c r="B287" i="4"/>
  <c r="D440" i="4"/>
  <c r="G440" i="4" s="1"/>
  <c r="C317" i="4"/>
  <c r="E367" i="4"/>
  <c r="F367" i="4" s="1"/>
  <c r="C433" i="4"/>
  <c r="E405" i="4"/>
  <c r="F405" i="4" s="1"/>
  <c r="C262" i="4"/>
  <c r="E435" i="4"/>
  <c r="F435" i="4" s="1"/>
  <c r="C400" i="4"/>
  <c r="E392" i="4"/>
  <c r="F392" i="4" s="1"/>
  <c r="D386" i="4"/>
  <c r="G386" i="4" s="1"/>
  <c r="E380" i="4"/>
  <c r="F380" i="4" s="1"/>
  <c r="C339" i="4"/>
  <c r="B330" i="4"/>
  <c r="D285" i="4"/>
  <c r="G285" i="4" s="1"/>
  <c r="B260" i="4"/>
  <c r="D374" i="4"/>
  <c r="G374" i="4" s="1"/>
  <c r="B307" i="4"/>
  <c r="B438" i="4"/>
  <c r="D380" i="4"/>
  <c r="G380" i="4" s="1"/>
  <c r="E301" i="4"/>
  <c r="F301" i="4" s="1"/>
  <c r="C401" i="4"/>
  <c r="E287" i="4"/>
  <c r="F287" i="4" s="1"/>
  <c r="D377" i="4"/>
  <c r="G377" i="4" s="1"/>
  <c r="E284" i="4"/>
  <c r="F284" i="4" s="1"/>
  <c r="D398" i="4"/>
  <c r="G398" i="4" s="1"/>
  <c r="C282" i="4"/>
  <c r="C366" i="4"/>
  <c r="E262" i="4"/>
  <c r="F262" i="4" s="1"/>
  <c r="B335" i="4"/>
  <c r="D417" i="4"/>
  <c r="G417" i="4" s="1"/>
  <c r="E297" i="4"/>
  <c r="F297" i="4" s="1"/>
  <c r="C388" i="4"/>
  <c r="C295" i="4"/>
  <c r="D362" i="4"/>
  <c r="G362" i="4" s="1"/>
  <c r="E437" i="4"/>
  <c r="F437" i="4" s="1"/>
  <c r="B337" i="4"/>
  <c r="B413" i="4"/>
  <c r="C413" i="4"/>
  <c r="B336" i="4"/>
  <c r="B400" i="4"/>
  <c r="AE137" i="3"/>
  <c r="BK38" i="3"/>
  <c r="BK51" i="3"/>
  <c r="AE17" i="3"/>
  <c r="BK47" i="3"/>
  <c r="C383" i="4"/>
  <c r="D403" i="4"/>
  <c r="G403" i="4" s="1"/>
  <c r="D342" i="4"/>
  <c r="G342" i="4" s="1"/>
  <c r="C424" i="4"/>
  <c r="E427" i="4"/>
  <c r="F427" i="4" s="1"/>
  <c r="B394" i="4"/>
  <c r="C288" i="4"/>
  <c r="E390" i="4"/>
  <c r="F390" i="4" s="1"/>
  <c r="D385" i="4"/>
  <c r="G385" i="4" s="1"/>
  <c r="B291" i="4"/>
  <c r="C345" i="4"/>
  <c r="D432" i="4"/>
  <c r="G432" i="4" s="1"/>
  <c r="C316" i="4"/>
  <c r="C303" i="4"/>
  <c r="E443" i="4"/>
  <c r="F443" i="4" s="1"/>
  <c r="D348" i="4"/>
  <c r="G348" i="4" s="1"/>
  <c r="D419" i="4"/>
  <c r="G419" i="4" s="1"/>
  <c r="C421" i="4"/>
  <c r="B344" i="4"/>
  <c r="B408" i="4"/>
  <c r="AE35" i="3"/>
  <c r="AE9" i="3"/>
  <c r="AE24" i="3"/>
  <c r="BK83" i="3"/>
  <c r="D408" i="4"/>
  <c r="G408" i="4" s="1"/>
  <c r="E296" i="4"/>
  <c r="F296" i="4" s="1"/>
  <c r="B322" i="4"/>
  <c r="E266" i="4"/>
  <c r="F266" i="4" s="1"/>
  <c r="B411" i="4"/>
  <c r="C354" i="4"/>
  <c r="E389" i="4"/>
  <c r="F389" i="4" s="1"/>
  <c r="E312" i="4"/>
  <c r="F312" i="4" s="1"/>
  <c r="B299" i="4"/>
  <c r="C268" i="4"/>
  <c r="E395" i="4"/>
  <c r="F395" i="4" s="1"/>
  <c r="C310" i="4"/>
  <c r="B422" i="4"/>
  <c r="D261" i="4"/>
  <c r="G261" i="4" s="1"/>
  <c r="C333" i="4"/>
  <c r="D278" i="4"/>
  <c r="G278" i="4" s="1"/>
  <c r="AU68" i="3" s="1"/>
  <c r="C426" i="4"/>
  <c r="E286" i="4"/>
  <c r="F286" i="4" s="1"/>
  <c r="D339" i="4"/>
  <c r="G339" i="4" s="1"/>
  <c r="B280" i="4"/>
  <c r="D367" i="4"/>
  <c r="G367" i="4" s="1"/>
  <c r="B420" i="4"/>
  <c r="C273" i="4"/>
  <c r="D433" i="4"/>
  <c r="G433" i="4" s="1"/>
  <c r="D290" i="4"/>
  <c r="G290" i="4" s="1"/>
  <c r="B283" i="4"/>
  <c r="B437" i="4"/>
  <c r="B419" i="4"/>
  <c r="C408" i="4"/>
  <c r="D424" i="4"/>
  <c r="G424" i="4" s="1"/>
  <c r="D395" i="4"/>
  <c r="G395" i="4" s="1"/>
  <c r="C360" i="4"/>
  <c r="D330" i="4"/>
  <c r="G330" i="4" s="1"/>
  <c r="D292" i="4"/>
  <c r="G292" i="4" s="1"/>
  <c r="C394" i="4"/>
  <c r="E326" i="4"/>
  <c r="F326" i="4" s="1"/>
  <c r="B269" i="4"/>
  <c r="B396" i="4"/>
  <c r="D316" i="4"/>
  <c r="G316" i="4" s="1"/>
  <c r="C414" i="4"/>
  <c r="D302" i="4"/>
  <c r="G302" i="4" s="1"/>
  <c r="C398" i="4"/>
  <c r="E302" i="4"/>
  <c r="F302" i="4" s="1"/>
  <c r="D411" i="4"/>
  <c r="G411" i="4" s="1"/>
  <c r="C294" i="4"/>
  <c r="B380" i="4"/>
  <c r="B271" i="4"/>
  <c r="B349" i="4"/>
  <c r="B436" i="4"/>
  <c r="D319" i="4"/>
  <c r="G319" i="4" s="1"/>
  <c r="C402" i="4"/>
  <c r="E308" i="4"/>
  <c r="F308" i="4" s="1"/>
  <c r="B371" i="4"/>
  <c r="E446" i="4"/>
  <c r="F446" i="4" s="1"/>
  <c r="C351" i="4"/>
  <c r="D422" i="4"/>
  <c r="G422" i="4" s="1"/>
  <c r="E426" i="4"/>
  <c r="F426" i="4" s="1"/>
  <c r="D349" i="4"/>
  <c r="G349" i="4" s="1"/>
  <c r="D413" i="4"/>
  <c r="G413" i="4" s="1"/>
  <c r="E91" i="4"/>
  <c r="F91" i="4" s="1"/>
  <c r="C86" i="4"/>
  <c r="E83" i="4"/>
  <c r="F83" i="4" s="1"/>
  <c r="D91" i="4"/>
  <c r="G91" i="4" s="1"/>
  <c r="C91" i="4"/>
  <c r="D88" i="4"/>
  <c r="G88" i="4" s="1"/>
  <c r="E85" i="4"/>
  <c r="F85" i="4" s="1"/>
  <c r="B80" i="4"/>
  <c r="D77" i="4"/>
  <c r="G77" i="4" s="1"/>
  <c r="B72" i="4"/>
  <c r="D69" i="4"/>
  <c r="G69" i="4" s="1"/>
  <c r="B64" i="4"/>
  <c r="D61" i="4"/>
  <c r="G61" i="4" s="1"/>
  <c r="B56" i="4"/>
  <c r="D53" i="4"/>
  <c r="G53" i="4" s="1"/>
  <c r="B48" i="4"/>
  <c r="D45" i="4"/>
  <c r="G45" i="4" s="1"/>
  <c r="B40" i="4"/>
  <c r="C92" i="4"/>
  <c r="B89" i="4"/>
  <c r="B77" i="4"/>
  <c r="C74" i="4"/>
  <c r="D71" i="4"/>
  <c r="G71" i="4" s="1"/>
  <c r="E68" i="4"/>
  <c r="F68" i="4" s="1"/>
  <c r="B60" i="4"/>
  <c r="C57" i="4"/>
  <c r="D54" i="4"/>
  <c r="G54" i="4" s="1"/>
  <c r="E51" i="4"/>
  <c r="F51" i="4" s="1"/>
  <c r="B43" i="4"/>
  <c r="C40" i="4"/>
  <c r="D37" i="4"/>
  <c r="G37" i="4" s="1"/>
  <c r="O13" i="3" s="1"/>
  <c r="B92" i="4"/>
  <c r="E82" i="4"/>
  <c r="F82" i="4" s="1"/>
  <c r="B74" i="4"/>
  <c r="C71" i="4"/>
  <c r="D68" i="4"/>
  <c r="G68" i="4" s="1"/>
  <c r="E65" i="4"/>
  <c r="F65" i="4" s="1"/>
  <c r="B57" i="4"/>
  <c r="C54" i="4"/>
  <c r="D51" i="4"/>
  <c r="G51" i="4" s="1"/>
  <c r="E48" i="4"/>
  <c r="F48" i="4" s="1"/>
  <c r="C37" i="4"/>
  <c r="E34" i="4"/>
  <c r="F34" i="4" s="1"/>
  <c r="B91" i="4"/>
  <c r="B88" i="4"/>
  <c r="B85" i="4"/>
  <c r="B82" i="4"/>
  <c r="C79" i="4"/>
  <c r="D76" i="4"/>
  <c r="G76" i="4" s="1"/>
  <c r="E73" i="4"/>
  <c r="F73" i="4" s="1"/>
  <c r="B65" i="4"/>
  <c r="C62" i="4"/>
  <c r="D59" i="4"/>
  <c r="G59" i="4" s="1"/>
  <c r="E56" i="4"/>
  <c r="F56" i="4" s="1"/>
  <c r="B45" i="4"/>
  <c r="C42" i="4"/>
  <c r="D39" i="4"/>
  <c r="G39" i="4" s="1"/>
  <c r="O17" i="3" s="1"/>
  <c r="B34" i="4"/>
  <c r="E92" i="4"/>
  <c r="F92" i="4" s="1"/>
  <c r="C88" i="4"/>
  <c r="E84" i="4"/>
  <c r="F84" i="4" s="1"/>
  <c r="B81" i="4"/>
  <c r="D70" i="4"/>
  <c r="G70" i="4" s="1"/>
  <c r="B67" i="4"/>
  <c r="E63" i="4"/>
  <c r="F63" i="4" s="1"/>
  <c r="C60" i="4"/>
  <c r="D56" i="4"/>
  <c r="G56" i="4" s="1"/>
  <c r="E49" i="4"/>
  <c r="F49" i="4" s="1"/>
  <c r="C46" i="4"/>
  <c r="D42" i="4"/>
  <c r="G42" i="4" s="1"/>
  <c r="O20" i="3" s="1"/>
  <c r="D92" i="4"/>
  <c r="G92" i="4" s="1"/>
  <c r="D84" i="4"/>
  <c r="G84" i="4" s="1"/>
  <c r="E77" i="4"/>
  <c r="F77" i="4" s="1"/>
  <c r="C70" i="4"/>
  <c r="D63" i="4"/>
  <c r="G63" i="4" s="1"/>
  <c r="C56" i="4"/>
  <c r="D49" i="4"/>
  <c r="G49" i="4" s="1"/>
  <c r="B46" i="4"/>
  <c r="B42" i="4"/>
  <c r="E35" i="4"/>
  <c r="F35" i="4" s="1"/>
  <c r="C84" i="4"/>
  <c r="C77" i="4"/>
  <c r="D73" i="4"/>
  <c r="G73" i="4" s="1"/>
  <c r="B70" i="4"/>
  <c r="E66" i="4"/>
  <c r="F66" i="4" s="1"/>
  <c r="C63" i="4"/>
  <c r="E59" i="4"/>
  <c r="F59" i="4" s="1"/>
  <c r="E52" i="4"/>
  <c r="F52" i="4" s="1"/>
  <c r="C49" i="4"/>
  <c r="E45" i="4"/>
  <c r="F45" i="4" s="1"/>
  <c r="E38" i="4"/>
  <c r="F38" i="4" s="1"/>
  <c r="D35" i="4"/>
  <c r="G35" i="4" s="1"/>
  <c r="O4" i="3" s="1"/>
  <c r="E90" i="4"/>
  <c r="F90" i="4" s="1"/>
  <c r="B87" i="4"/>
  <c r="D83" i="4"/>
  <c r="G83" i="4" s="1"/>
  <c r="E79" i="4"/>
  <c r="F79" i="4" s="1"/>
  <c r="B76" i="4"/>
  <c r="C69" i="4"/>
  <c r="B62" i="4"/>
  <c r="E58" i="4"/>
  <c r="F58" i="4" s="1"/>
  <c r="C55" i="4"/>
  <c r="C48" i="4"/>
  <c r="E44" i="4"/>
  <c r="F44" i="4" s="1"/>
  <c r="C41" i="4"/>
  <c r="D34" i="4"/>
  <c r="G34" i="4" s="1"/>
  <c r="O3" i="3" s="1"/>
  <c r="E88" i="4"/>
  <c r="F88" i="4" s="1"/>
  <c r="C83" i="4"/>
  <c r="E78" i="4"/>
  <c r="F78" i="4" s="1"/>
  <c r="D74" i="4"/>
  <c r="G74" i="4" s="1"/>
  <c r="B69" i="4"/>
  <c r="E64" i="4"/>
  <c r="F64" i="4" s="1"/>
  <c r="D60" i="4"/>
  <c r="G60" i="4" s="1"/>
  <c r="B55" i="4"/>
  <c r="D50" i="4"/>
  <c r="G50" i="4" s="1"/>
  <c r="D46" i="4"/>
  <c r="G46" i="4" s="1"/>
  <c r="B41" i="4"/>
  <c r="E36" i="4"/>
  <c r="F36" i="4" s="1"/>
  <c r="E87" i="4"/>
  <c r="F87" i="4" s="1"/>
  <c r="B83" i="4"/>
  <c r="D78" i="4"/>
  <c r="G78" i="4" s="1"/>
  <c r="C73" i="4"/>
  <c r="D64" i="4"/>
  <c r="G64" i="4" s="1"/>
  <c r="C59" i="4"/>
  <c r="C50" i="4"/>
  <c r="C45" i="4"/>
  <c r="D36" i="4"/>
  <c r="G36" i="4" s="1"/>
  <c r="O9" i="3" s="1"/>
  <c r="D87" i="4"/>
  <c r="G87" i="4" s="1"/>
  <c r="D82" i="4"/>
  <c r="G82" i="4" s="1"/>
  <c r="C78" i="4"/>
  <c r="B73" i="4"/>
  <c r="C64" i="4"/>
  <c r="B59" i="4"/>
  <c r="B50" i="4"/>
  <c r="C36" i="4"/>
  <c r="E86" i="4"/>
  <c r="F86" i="4" s="1"/>
  <c r="E81" i="4"/>
  <c r="F81" i="4" s="1"/>
  <c r="E76" i="4"/>
  <c r="F76" i="4" s="1"/>
  <c r="C72" i="4"/>
  <c r="E67" i="4"/>
  <c r="F67" i="4" s="1"/>
  <c r="E62" i="4"/>
  <c r="F62" i="4" s="1"/>
  <c r="B58" i="4"/>
  <c r="E53" i="4"/>
  <c r="F53" i="4" s="1"/>
  <c r="B44" i="4"/>
  <c r="E39" i="4"/>
  <c r="F39" i="4" s="1"/>
  <c r="B35" i="4"/>
  <c r="D90" i="4"/>
  <c r="G90" i="4" s="1"/>
  <c r="B86" i="4"/>
  <c r="C81" i="4"/>
  <c r="C67" i="4"/>
  <c r="B53" i="4"/>
  <c r="B39" i="4"/>
  <c r="D57" i="4"/>
  <c r="G57" i="4" s="1"/>
  <c r="E50" i="4"/>
  <c r="F50" i="4" s="1"/>
  <c r="E43" i="4"/>
  <c r="F43" i="4" s="1"/>
  <c r="B37" i="4"/>
  <c r="B84" i="4"/>
  <c r="E70" i="4"/>
  <c r="F70" i="4" s="1"/>
  <c r="D43" i="4"/>
  <c r="G43" i="4" s="1"/>
  <c r="O36" i="3" s="1"/>
  <c r="C90" i="4"/>
  <c r="C76" i="4"/>
  <c r="B63" i="4"/>
  <c r="C43" i="4"/>
  <c r="B36" i="4"/>
  <c r="E89" i="4"/>
  <c r="F89" i="4" s="1"/>
  <c r="C75" i="4"/>
  <c r="B68" i="4"/>
  <c r="C61" i="4"/>
  <c r="E54" i="4"/>
  <c r="F54" i="4" s="1"/>
  <c r="D47" i="4"/>
  <c r="G47" i="4" s="1"/>
  <c r="D41" i="4"/>
  <c r="G41" i="4" s="1"/>
  <c r="O19" i="3" s="1"/>
  <c r="C34" i="4"/>
  <c r="D65" i="4"/>
  <c r="G65" i="4" s="1"/>
  <c r="B47" i="4"/>
  <c r="C38" i="4"/>
  <c r="C82" i="4"/>
  <c r="E74" i="4"/>
  <c r="F74" i="4" s="1"/>
  <c r="C65" i="4"/>
  <c r="E55" i="4"/>
  <c r="F55" i="4" s="1"/>
  <c r="B38" i="4"/>
  <c r="D55" i="4"/>
  <c r="G55" i="4" s="1"/>
  <c r="C80" i="4"/>
  <c r="E71" i="4"/>
  <c r="F71" i="4" s="1"/>
  <c r="E61" i="4"/>
  <c r="F61" i="4" s="1"/>
  <c r="D52" i="4"/>
  <c r="G52" i="4" s="1"/>
  <c r="C44" i="4"/>
  <c r="D81" i="4"/>
  <c r="G81" i="4" s="1"/>
  <c r="D58" i="4"/>
  <c r="G58" i="4" s="1"/>
  <c r="E46" i="4"/>
  <c r="F46" i="4" s="1"/>
  <c r="E80" i="4"/>
  <c r="F80" i="4" s="1"/>
  <c r="E69" i="4"/>
  <c r="F69" i="4" s="1"/>
  <c r="C58" i="4"/>
  <c r="E33" i="4"/>
  <c r="F33" i="4" s="1"/>
  <c r="D80" i="4"/>
  <c r="G80" i="4" s="1"/>
  <c r="C68" i="4"/>
  <c r="D44" i="4"/>
  <c r="G44" i="4" s="1"/>
  <c r="D33" i="4"/>
  <c r="G33" i="4" s="1"/>
  <c r="D79" i="4"/>
  <c r="G79" i="4" s="1"/>
  <c r="E57" i="4"/>
  <c r="F57" i="4" s="1"/>
  <c r="C33" i="4"/>
  <c r="C66" i="4"/>
  <c r="C53" i="4"/>
  <c r="E41" i="4"/>
  <c r="F41" i="4" s="1"/>
  <c r="B71" i="4"/>
  <c r="C35" i="4"/>
  <c r="B66" i="4"/>
  <c r="B61" i="4"/>
  <c r="D67" i="4"/>
  <c r="G67" i="4" s="1"/>
  <c r="C51" i="4"/>
  <c r="D85" i="4"/>
  <c r="G85" i="4" s="1"/>
  <c r="B49" i="4"/>
  <c r="D62" i="4"/>
  <c r="G62" i="4" s="1"/>
  <c r="E47" i="4"/>
  <c r="F47" i="4" s="1"/>
  <c r="C47" i="4"/>
  <c r="D86" i="4"/>
  <c r="G86" i="4" s="1"/>
  <c r="D66" i="4"/>
  <c r="G66" i="4" s="1"/>
  <c r="B51" i="4"/>
  <c r="B33" i="4"/>
  <c r="C85" i="4"/>
  <c r="D48" i="4"/>
  <c r="G48" i="4" s="1"/>
  <c r="B79" i="4"/>
  <c r="E42" i="4"/>
  <c r="F42" i="4" s="1"/>
  <c r="E40" i="4"/>
  <c r="F40" i="4" s="1"/>
  <c r="B54" i="4"/>
  <c r="E75" i="4"/>
  <c r="F75" i="4" s="1"/>
  <c r="D40" i="4"/>
  <c r="G40" i="4" s="1"/>
  <c r="C39" i="4"/>
  <c r="D38" i="4"/>
  <c r="G38" i="4" s="1"/>
  <c r="E37" i="4"/>
  <c r="F37" i="4" s="1"/>
  <c r="B90" i="4"/>
  <c r="C89" i="4"/>
  <c r="D75" i="4"/>
  <c r="G75" i="4" s="1"/>
  <c r="B75" i="4"/>
  <c r="E72" i="4"/>
  <c r="F72" i="4" s="1"/>
  <c r="D72" i="4"/>
  <c r="G72" i="4" s="1"/>
  <c r="E60" i="4"/>
  <c r="F60" i="4" s="1"/>
  <c r="D89" i="4"/>
  <c r="G89" i="4" s="1"/>
  <c r="C52" i="4"/>
  <c r="C87" i="4"/>
  <c r="B52" i="4"/>
  <c r="B78" i="4"/>
  <c r="AE21" i="3"/>
  <c r="BK21" i="3"/>
  <c r="BK72" i="3"/>
  <c r="BK44" i="3"/>
  <c r="D371" i="4"/>
  <c r="G371" i="4" s="1"/>
  <c r="B259" i="4"/>
  <c r="D271" i="4"/>
  <c r="G271" i="4" s="1"/>
  <c r="AU54" i="3" s="1"/>
  <c r="C271" i="4"/>
  <c r="B393" i="4"/>
  <c r="C276" i="4"/>
  <c r="C277" i="4"/>
  <c r="D400" i="4"/>
  <c r="G400" i="4" s="1"/>
  <c r="B367" i="4"/>
  <c r="B324" i="4"/>
  <c r="D321" i="4"/>
  <c r="G321" i="4" s="1"/>
  <c r="C449" i="4"/>
  <c r="D409" i="4"/>
  <c r="G409" i="4" s="1"/>
  <c r="B295" i="4"/>
  <c r="C407" i="4"/>
  <c r="D376" i="4"/>
  <c r="G376" i="4" s="1"/>
  <c r="C368" i="4"/>
  <c r="C319" i="4"/>
  <c r="D289" i="4"/>
  <c r="G289" i="4" s="1"/>
  <c r="C309" i="4"/>
  <c r="C362" i="4"/>
  <c r="B347" i="4"/>
  <c r="C266" i="4"/>
  <c r="C320" i="4"/>
  <c r="C358" i="4"/>
  <c r="B302" i="4"/>
  <c r="E404" i="4"/>
  <c r="F404" i="4" s="1"/>
  <c r="B433" i="4"/>
  <c r="E281" i="4"/>
  <c r="F281" i="4" s="1"/>
  <c r="C442" i="4"/>
  <c r="E298" i="4"/>
  <c r="F298" i="4" s="1"/>
  <c r="E290" i="4"/>
  <c r="F290" i="4" s="1"/>
  <c r="B447" i="4"/>
  <c r="D448" i="4"/>
  <c r="G448" i="4" s="1"/>
  <c r="B430" i="4"/>
  <c r="B431" i="4"/>
  <c r="E431" i="4"/>
  <c r="F431" i="4" s="1"/>
  <c r="C372" i="4"/>
  <c r="B343" i="4"/>
  <c r="E315" i="4"/>
  <c r="F315" i="4" s="1"/>
  <c r="D410" i="4"/>
  <c r="G410" i="4" s="1"/>
  <c r="C346" i="4"/>
  <c r="B289" i="4"/>
  <c r="D406" i="4"/>
  <c r="G406" i="4" s="1"/>
  <c r="E320" i="4"/>
  <c r="F320" i="4" s="1"/>
  <c r="B418" i="4"/>
  <c r="C306" i="4"/>
  <c r="C411" i="4"/>
  <c r="D306" i="4"/>
  <c r="G306" i="4" s="1"/>
  <c r="C415" i="4"/>
  <c r="D297" i="4"/>
  <c r="G297" i="4" s="1"/>
  <c r="E383" i="4"/>
  <c r="F383" i="4" s="1"/>
  <c r="E279" i="4"/>
  <c r="F279" i="4" s="1"/>
  <c r="E352" i="4"/>
  <c r="F352" i="4" s="1"/>
  <c r="B444" i="4"/>
  <c r="B323" i="4"/>
  <c r="C409" i="4"/>
  <c r="C311" i="4"/>
  <c r="E379" i="4"/>
  <c r="F379" i="4" s="1"/>
  <c r="E449" i="4"/>
  <c r="F449" i="4" s="1"/>
  <c r="B354" i="4"/>
  <c r="D425" i="4"/>
  <c r="G425" i="4" s="1"/>
  <c r="C429" i="4"/>
  <c r="B352" i="4"/>
  <c r="AE43" i="3"/>
  <c r="AE18" i="3"/>
  <c r="BK27" i="3"/>
  <c r="BK34" i="3"/>
  <c r="BK86" i="3"/>
  <c r="AU3" i="3" l="1"/>
  <c r="AU83" i="3"/>
  <c r="AU183" i="3"/>
  <c r="AU189" i="3"/>
  <c r="AU9" i="3"/>
  <c r="AU136" i="3"/>
  <c r="AU193" i="3"/>
  <c r="AU152" i="3"/>
  <c r="AU100" i="3"/>
  <c r="AU167" i="3"/>
  <c r="AU101" i="3"/>
  <c r="AU114" i="3"/>
  <c r="AU90" i="3"/>
  <c r="AU192" i="3"/>
  <c r="AU84" i="3"/>
  <c r="AU158" i="3"/>
  <c r="AE11" i="3"/>
  <c r="AU148" i="3"/>
  <c r="O46" i="3"/>
  <c r="O14" i="3"/>
  <c r="AU22" i="3"/>
  <c r="AU5" i="3"/>
  <c r="AU184" i="3"/>
  <c r="AE2" i="3"/>
  <c r="AE12" i="3"/>
  <c r="AU23" i="3"/>
  <c r="AU190" i="3"/>
  <c r="O57" i="3"/>
  <c r="O30" i="3"/>
  <c r="AU65" i="3"/>
  <c r="AU140" i="3"/>
  <c r="AU19" i="3"/>
  <c r="AE14" i="3"/>
  <c r="AE6" i="3"/>
  <c r="O54" i="3"/>
  <c r="O25" i="3"/>
  <c r="AU182" i="3"/>
  <c r="O56" i="3"/>
  <c r="O49" i="3"/>
  <c r="BK40" i="3"/>
  <c r="AU159" i="3"/>
  <c r="AU141" i="3"/>
  <c r="AU150" i="3"/>
  <c r="O26" i="3"/>
  <c r="O41" i="3"/>
  <c r="O40" i="3"/>
  <c r="BK8" i="3"/>
  <c r="AU18" i="3"/>
  <c r="AU62" i="3"/>
  <c r="O50" i="3"/>
  <c r="AU26" i="3"/>
  <c r="O33" i="3"/>
  <c r="AU107" i="3"/>
  <c r="O11" i="3"/>
  <c r="BK73" i="3"/>
  <c r="AU173" i="3"/>
  <c r="O45" i="3"/>
  <c r="AE8" i="3"/>
  <c r="O27" i="3"/>
  <c r="AU119" i="3"/>
  <c r="AU113" i="3"/>
  <c r="BK43" i="3"/>
  <c r="AU160" i="3"/>
  <c r="O58" i="3"/>
  <c r="BK55" i="3"/>
  <c r="AE41" i="3"/>
  <c r="O23" i="3"/>
  <c r="O28" i="3"/>
  <c r="AU146" i="3"/>
  <c r="BK24" i="3"/>
  <c r="BK67" i="3"/>
  <c r="BK50" i="3"/>
  <c r="AU98" i="3"/>
  <c r="AU175" i="3"/>
  <c r="AU82" i="3"/>
  <c r="AU25" i="3"/>
  <c r="AU178" i="3"/>
  <c r="AE135" i="3"/>
  <c r="AU33" i="3"/>
  <c r="O59" i="3"/>
  <c r="O52" i="3"/>
  <c r="AE152" i="3"/>
  <c r="AU77" i="3"/>
  <c r="AU164" i="3"/>
  <c r="AE94" i="3"/>
  <c r="AE117" i="3"/>
  <c r="BK25" i="3"/>
  <c r="O39" i="3"/>
  <c r="AE110" i="3"/>
  <c r="AE96" i="3"/>
  <c r="AE93" i="3"/>
  <c r="AE139" i="3"/>
  <c r="AE116" i="3"/>
  <c r="AE92" i="3"/>
  <c r="AE85" i="3"/>
  <c r="AE150" i="3"/>
  <c r="O38" i="3"/>
  <c r="AE145" i="3"/>
  <c r="O5" i="3"/>
  <c r="O53" i="3"/>
  <c r="BK48" i="3"/>
  <c r="BK15" i="3"/>
  <c r="BK62" i="3"/>
  <c r="AE105" i="3"/>
  <c r="AE143" i="3"/>
  <c r="AU186" i="3"/>
  <c r="AE84" i="3"/>
  <c r="AE62" i="3"/>
  <c r="AE7" i="3"/>
  <c r="AE10" i="3"/>
  <c r="BK74" i="3"/>
  <c r="AU88" i="3"/>
  <c r="BK71" i="3"/>
  <c r="AE58" i="3"/>
  <c r="AE78" i="3"/>
  <c r="AE156" i="3"/>
  <c r="AE148" i="3"/>
  <c r="AE149" i="3"/>
  <c r="AE108" i="3"/>
  <c r="AE104" i="3"/>
  <c r="AE125" i="3"/>
  <c r="AE50" i="3"/>
  <c r="AE86" i="3"/>
  <c r="AE76" i="3"/>
  <c r="AE66" i="3"/>
  <c r="AE95" i="3"/>
  <c r="AE60" i="3"/>
  <c r="AE72" i="3"/>
  <c r="AE160" i="3"/>
  <c r="AE63" i="3"/>
  <c r="AE140" i="3"/>
  <c r="AE130" i="3"/>
  <c r="AE80" i="3"/>
  <c r="AE154" i="3"/>
  <c r="AE124" i="3"/>
  <c r="AE74" i="3"/>
  <c r="AE48" i="3"/>
  <c r="AE132" i="3"/>
  <c r="O8" i="3"/>
  <c r="AU14" i="3"/>
  <c r="AU13" i="3"/>
  <c r="AU16" i="3"/>
  <c r="BK10" i="3"/>
  <c r="AE87" i="3"/>
  <c r="AE102" i="3"/>
  <c r="O51" i="3"/>
  <c r="O44" i="3"/>
  <c r="BK35" i="3"/>
  <c r="BK87" i="3"/>
  <c r="AE79" i="3"/>
  <c r="AE82" i="3"/>
  <c r="AU61" i="3"/>
  <c r="AU99" i="3"/>
  <c r="AE151" i="3"/>
  <c r="AE113" i="3"/>
  <c r="O35" i="3"/>
  <c r="AE107" i="3"/>
  <c r="O24" i="3"/>
  <c r="AU44" i="3"/>
  <c r="BK37" i="3"/>
  <c r="AE106" i="3"/>
  <c r="AE158" i="3"/>
  <c r="AE146" i="3"/>
  <c r="AU34" i="3"/>
  <c r="AE111" i="3"/>
  <c r="AU92" i="3"/>
  <c r="AU170" i="3"/>
  <c r="AU156" i="3"/>
  <c r="AU161" i="3"/>
  <c r="AU147" i="3"/>
  <c r="AU171" i="3"/>
  <c r="AU181" i="3"/>
  <c r="AU111" i="3"/>
  <c r="AU63" i="3"/>
  <c r="AU163" i="3"/>
  <c r="AU91" i="3"/>
  <c r="AU106" i="3"/>
  <c r="AU70" i="3"/>
  <c r="AU109" i="3"/>
  <c r="AU85" i="3"/>
  <c r="AU97" i="3"/>
  <c r="AU76" i="3"/>
  <c r="AU155" i="3"/>
  <c r="AU151" i="3"/>
  <c r="AU103" i="3"/>
  <c r="AU188" i="3"/>
  <c r="AU80" i="3"/>
  <c r="AU81" i="3"/>
  <c r="AU177" i="3"/>
  <c r="AU79" i="3"/>
  <c r="AU130" i="3"/>
  <c r="AU180" i="3"/>
  <c r="AU138" i="3"/>
  <c r="AU89" i="3"/>
  <c r="AU135" i="3"/>
  <c r="AU124" i="3"/>
  <c r="AU157" i="3"/>
  <c r="AU87" i="3"/>
  <c r="AU129" i="3"/>
  <c r="AU174" i="3"/>
  <c r="AU96" i="3"/>
  <c r="AU149" i="3"/>
  <c r="AU131" i="3"/>
  <c r="AU166" i="3"/>
  <c r="AU117" i="3"/>
  <c r="AU95" i="3"/>
  <c r="AU93" i="3"/>
  <c r="AU86" i="3"/>
  <c r="AU133" i="3"/>
  <c r="AU123" i="3"/>
  <c r="AU105" i="3"/>
  <c r="AU121" i="3"/>
  <c r="AU134" i="3"/>
  <c r="AU120" i="3"/>
  <c r="AU128" i="3"/>
  <c r="AU67" i="3"/>
  <c r="AU125" i="3"/>
  <c r="AU94" i="3"/>
  <c r="AU162" i="3"/>
  <c r="AU179" i="3"/>
  <c r="AU137" i="3"/>
  <c r="AU185" i="3"/>
  <c r="AU66" i="3"/>
  <c r="AU71" i="3"/>
  <c r="AU127" i="3"/>
  <c r="AU108" i="3"/>
  <c r="AU139" i="3"/>
  <c r="AU64" i="3"/>
  <c r="AU69" i="3"/>
  <c r="AU73" i="3"/>
  <c r="AU116" i="3"/>
  <c r="AU126" i="3"/>
  <c r="AU102" i="3"/>
  <c r="AE81" i="3"/>
  <c r="AE90" i="3"/>
  <c r="O37" i="3"/>
  <c r="O43" i="3"/>
  <c r="AE55" i="3"/>
  <c r="AE101" i="3"/>
  <c r="AE128" i="3"/>
  <c r="AE45" i="3"/>
  <c r="AU122" i="3"/>
  <c r="AE155" i="3"/>
  <c r="AE126" i="3"/>
  <c r="AU112" i="3"/>
  <c r="AE64" i="3"/>
  <c r="AU12" i="3"/>
  <c r="O12" i="3"/>
  <c r="O60" i="3"/>
  <c r="AU37" i="3"/>
  <c r="AU36" i="3"/>
  <c r="AE4" i="3"/>
  <c r="AE147" i="3"/>
  <c r="AE97" i="3"/>
  <c r="AE46" i="3"/>
  <c r="O31" i="3"/>
  <c r="AE100" i="3"/>
  <c r="AE114" i="3"/>
  <c r="AE129" i="3"/>
  <c r="BK42" i="3"/>
  <c r="BK54" i="3"/>
  <c r="BK64" i="3"/>
  <c r="BK77" i="3"/>
  <c r="BK59" i="3"/>
  <c r="BK39" i="3"/>
  <c r="BK81" i="3"/>
  <c r="BK70" i="3"/>
  <c r="BK82" i="3"/>
  <c r="BK29" i="3"/>
  <c r="BK33" i="3"/>
  <c r="BK36" i="3"/>
  <c r="BK26" i="3"/>
  <c r="BK45" i="3"/>
  <c r="BK78" i="3"/>
  <c r="BK63" i="3"/>
  <c r="BK66" i="3"/>
  <c r="BK79" i="3"/>
  <c r="BK52" i="3"/>
  <c r="BK58" i="3"/>
  <c r="BK65" i="3"/>
  <c r="AE109" i="3"/>
  <c r="AU115" i="3"/>
  <c r="BK30" i="3"/>
  <c r="AE131" i="3"/>
  <c r="AU104" i="3"/>
  <c r="AU187" i="3"/>
  <c r="AU32" i="3"/>
  <c r="O47" i="3"/>
  <c r="O21" i="3"/>
  <c r="O29" i="3"/>
  <c r="AU75" i="3"/>
  <c r="AU8" i="3"/>
  <c r="AU6" i="3"/>
  <c r="AE142" i="3"/>
  <c r="BK11" i="3"/>
  <c r="AE53" i="3"/>
  <c r="AE133" i="3"/>
  <c r="O55" i="3"/>
  <c r="O48" i="3"/>
  <c r="AE99" i="3"/>
  <c r="AU28" i="3"/>
  <c r="O32" i="3"/>
  <c r="O6" i="3"/>
  <c r="AE70" i="3"/>
  <c r="O42" i="3"/>
  <c r="BK61" i="3"/>
  <c r="AE89" i="3"/>
  <c r="BK53" i="3"/>
  <c r="AE51" i="3"/>
  <c r="O34" i="3"/>
  <c r="AE138" i="3"/>
  <c r="AE136" i="3"/>
  <c r="AU176" i="3"/>
  <c r="AE120" i="3"/>
  <c r="AE77" i="3"/>
  <c r="AE37" i="3"/>
  <c r="AE56" i="3"/>
  <c r="AE153" i="3"/>
  <c r="AU144" i="3"/>
  <c r="AU78" i="3"/>
  <c r="AE118" i="3"/>
  <c r="AU29" i="3"/>
  <c r="AE91" i="3"/>
  <c r="AE121" i="3"/>
  <c r="O10" i="3"/>
  <c r="AE103" i="3"/>
  <c r="AU47" i="3"/>
  <c r="AU48" i="3"/>
  <c r="AU50" i="3"/>
  <c r="AE71" i="3"/>
  <c r="AE31" i="3"/>
  <c r="AE29" i="3"/>
  <c r="O7" i="3"/>
  <c r="BK84" i="3"/>
  <c r="AE73" i="3"/>
  <c r="AE134" i="3"/>
  <c r="AE83" i="3"/>
  <c r="AU10" i="3"/>
  <c r="AU20" i="3"/>
  <c r="AU27" i="3"/>
  <c r="AU21" i="3"/>
  <c r="AE98" i="3"/>
  <c r="BK41" i="3"/>
  <c r="AE123" i="3"/>
  <c r="AE32" i="3"/>
  <c r="AU38" i="3"/>
  <c r="AU31" i="3"/>
  <c r="AU165" i="3"/>
  <c r="AU110" i="3"/>
  <c r="AE54" i="3"/>
  <c r="AE159" i="3"/>
  <c r="AE47" i="3"/>
  <c r="AE75" i="3"/>
  <c r="AE65" i="3"/>
  <c r="AE157" i="3"/>
  <c r="O61" i="3"/>
  <c r="AE57" i="3"/>
  <c r="O22" i="3"/>
  <c r="AE119" i="3"/>
  <c r="AE115" i="3"/>
  <c r="AE68" i="3"/>
  <c r="AE127" i="3"/>
  <c r="AE144" i="3"/>
  <c r="AU40" i="3"/>
  <c r="AU42" i="3"/>
  <c r="AU43" i="3"/>
  <c r="AU46" i="3"/>
  <c r="AU41" i="3"/>
  <c r="AE141" i="3"/>
  <c r="AE61" i="3"/>
  <c r="AU153" i="3"/>
  <c r="AU191" i="3"/>
  <c r="AU74" i="3"/>
  <c r="BK32" i="3"/>
  <c r="AE88" i="3"/>
  <c r="AU154" i="3"/>
  <c r="AU118" i="3"/>
  <c r="AE161" i="3"/>
  <c r="BK76" i="3"/>
  <c r="AU15" i="3"/>
  <c r="AU72" i="3"/>
  <c r="AE67" i="3"/>
  <c r="AE69" i="3"/>
  <c r="BK2" i="3"/>
  <c r="BK3" i="3"/>
  <c r="AE59" i="3"/>
  <c r="AU11" i="3"/>
  <c r="AU132" i="3"/>
  <c r="AE112" i="3"/>
  <c r="AU168" i="3"/>
  <c r="AU143" i="3"/>
  <c r="AU7" i="3"/>
  <c r="AU169" i="3"/>
  <c r="AU142" i="3"/>
  <c r="AU145" i="3"/>
</calcChain>
</file>

<file path=xl/sharedStrings.xml><?xml version="1.0" encoding="utf-8"?>
<sst xmlns="http://schemas.openxmlformats.org/spreadsheetml/2006/main" count="1200" uniqueCount="650">
  <si>
    <t>Step 1:</t>
  </si>
  <si>
    <t>Go to the Setup tab and enter your league's Starting Budget, Number of Teams, and Scoring Format.</t>
  </si>
  <si>
    <t>Step 2:</t>
  </si>
  <si>
    <t>Still on Setup, enter your Roster Shape -- Starters at each position, any Flex slots (RB/WR/TE, RB/WR, WR/TE, or Superflex -- these can combine, e.g. 1 RB/WR flex AND 1 Superflex in the same league), DEF, K, and Bench spots.</t>
  </si>
  <si>
    <t>Step 3:</t>
  </si>
  <si>
    <t>Go to the Draft Board tab. Each position (QB/RB/WR/TE) has its own set of columns. "Starting Value" is what a player is worth before any picks are made. "Market Value" is the live price that updates as your draft happens.</t>
  </si>
  <si>
    <t>Step 4:</t>
  </si>
  <si>
    <t>As players get drafted -- by you or anyone else in your league -- enter the actual winning bid in that player's "Price Paid" column. You don't need to delete, sort, or remove anything; Market Value for every remaining player updates on its own.</t>
  </si>
  <si>
    <t>Click the dropdown arrow on any position's header row to sort that block -- handy after switching Scoring Format, since row order is only set once when the sheet is built.</t>
  </si>
  <si>
    <t>Step 5:</t>
  </si>
  <si>
    <t>Track your own roster and remaining budget on the My Team tab -- separate from the main board, just for you.</t>
  </si>
  <si>
    <t>Note</t>
  </si>
  <si>
    <t>A single pick won't swing anyone's price much -- Market Value only moves once a couple of real prices come in for players near each other in value, and even then it's a modest nudge, not a big swing.</t>
  </si>
  <si>
    <t>The board is trimmed to a realistic depth per position -- you won't see every player who could theoretically be rostered, just anyone with a real shot at being drafted.</t>
  </si>
  <si>
    <t>If you change anything on Setup mid-draft, every value recalculates instantly -- but any Price Paid you've already entered stays exactly as typed.</t>
  </si>
  <si>
    <t>Field Legend</t>
  </si>
  <si>
    <t>Player / Team</t>
  </si>
  <si>
    <t>Who and where.</t>
  </si>
  <si>
    <t>Proj Pts</t>
  </si>
  <si>
    <t>Projected season points, based on your selected Scoring Format.</t>
  </si>
  <si>
    <t>Starting Value</t>
  </si>
  <si>
    <t>What we'd expect this player to cost before any picks are made.</t>
  </si>
  <si>
    <t>Price Paid</t>
  </si>
  <si>
    <t>Enter the real winning bid once a player is drafted -- blank until then.</t>
  </si>
  <si>
    <t>Market Value</t>
  </si>
  <si>
    <t>The live price estimate. Equals Price Paid once you've entered it; otherwise it's the current estimate given who's already gone.</t>
  </si>
  <si>
    <t>League Setup</t>
  </si>
  <si>
    <t>Starting Budget ($)</t>
  </si>
  <si>
    <t>Number of Teams</t>
  </si>
  <si>
    <t>Scoring Format</t>
  </si>
  <si>
    <t>Half-PPR</t>
  </si>
  <si>
    <t>Roster Shape</t>
  </si>
  <si>
    <t>QB Starters</t>
  </si>
  <si>
    <t>RB Starters</t>
  </si>
  <si>
    <t>WR Starters</t>
  </si>
  <si>
    <t>TE Starters</t>
  </si>
  <si>
    <t>Flex: RB/WR/TE Count</t>
  </si>
  <si>
    <t>Flex: RB/WR Count</t>
  </si>
  <si>
    <t>Flex: WR/TE Count</t>
  </si>
  <si>
    <t>Superflex Count (QB/RB/WR/TE)</t>
  </si>
  <si>
    <t>DEF</t>
  </si>
  <si>
    <t>K</t>
  </si>
  <si>
    <t>Bench</t>
  </si>
  <si>
    <t>Player</t>
  </si>
  <si>
    <t>Team</t>
  </si>
  <si>
    <t>Points (STD)</t>
  </si>
  <si>
    <t>Points (Half-PPR)</t>
  </si>
  <si>
    <t>Points (PPR)</t>
  </si>
  <si>
    <t>Tier</t>
  </si>
  <si>
    <t>Weighted VORP</t>
  </si>
  <si>
    <t>Row Num</t>
  </si>
  <si>
    <t>Gap Start</t>
  </si>
  <si>
    <t>Gap Tier Top</t>
  </si>
  <si>
    <t>Tier Start</t>
  </si>
  <si>
    <t>Josh Allen</t>
  </si>
  <si>
    <t>BUF</t>
  </si>
  <si>
    <t>Jahmyr Gibbs</t>
  </si>
  <si>
    <t>DET</t>
  </si>
  <si>
    <t>Puka Nacua</t>
  </si>
  <si>
    <t>LAR</t>
  </si>
  <si>
    <t>Trey McBride</t>
  </si>
  <si>
    <t>ARI</t>
  </si>
  <si>
    <t>Lamar Jackson</t>
  </si>
  <si>
    <t>BAL</t>
  </si>
  <si>
    <t>Bijan Robinson</t>
  </si>
  <si>
    <t>ATL</t>
  </si>
  <si>
    <t>Ja'Marr Chase</t>
  </si>
  <si>
    <t>CIN</t>
  </si>
  <si>
    <t>Brock Bowers</t>
  </si>
  <si>
    <t>LV</t>
  </si>
  <si>
    <t>Drake Maye</t>
  </si>
  <si>
    <t>NE</t>
  </si>
  <si>
    <t>Christian McCaffrey</t>
  </si>
  <si>
    <t>SF</t>
  </si>
  <si>
    <t>Jaxon Smith-Njigba</t>
  </si>
  <si>
    <t>SEA</t>
  </si>
  <si>
    <t>Colston Loveland</t>
  </si>
  <si>
    <t>CHI</t>
  </si>
  <si>
    <t>Jayden Daniels</t>
  </si>
  <si>
    <t>WAS</t>
  </si>
  <si>
    <t>Jonathan Taylor</t>
  </si>
  <si>
    <t>IND</t>
  </si>
  <si>
    <t>Amon-Ra St. Brown</t>
  </si>
  <si>
    <t>Tyler Warren</t>
  </si>
  <si>
    <t>Jalen Hurts</t>
  </si>
  <si>
    <t>PHI</t>
  </si>
  <si>
    <t>James Cook III</t>
  </si>
  <si>
    <t>CeeDee Lamb</t>
  </si>
  <si>
    <t>DAL</t>
  </si>
  <si>
    <t>Harold Fannin Jr.</t>
  </si>
  <si>
    <t>CLE</t>
  </si>
  <si>
    <t>Joe Burrow</t>
  </si>
  <si>
    <t>De'Von Achane</t>
  </si>
  <si>
    <t>MIA</t>
  </si>
  <si>
    <t>Drake London</t>
  </si>
  <si>
    <t>Tucker Kraft</t>
  </si>
  <si>
    <t>GB</t>
  </si>
  <si>
    <t>Caleb Williams</t>
  </si>
  <si>
    <t>Ashton Jeanty</t>
  </si>
  <si>
    <t>Justin Jefferson</t>
  </si>
  <si>
    <t>MIN</t>
  </si>
  <si>
    <t>Sam LaPorta</t>
  </si>
  <si>
    <t>Dak Prescott</t>
  </si>
  <si>
    <t>Saquon Barkley</t>
  </si>
  <si>
    <t>A.J. Brown</t>
  </si>
  <si>
    <t>Kyle Pitts Sr.</t>
  </si>
  <si>
    <t>Trevor Lawrence</t>
  </si>
  <si>
    <t>JAC</t>
  </si>
  <si>
    <t>Derrick Henry</t>
  </si>
  <si>
    <t>George Pickens</t>
  </si>
  <si>
    <t>Travis Kelce</t>
  </si>
  <si>
    <t>KC</t>
  </si>
  <si>
    <t>Jaxson Dart</t>
  </si>
  <si>
    <t>NYG</t>
  </si>
  <si>
    <t>Chase Brown</t>
  </si>
  <si>
    <t>Nico Collins</t>
  </si>
  <si>
    <t>HOU</t>
  </si>
  <si>
    <t>George Kittle</t>
  </si>
  <si>
    <t>Justin Herbert</t>
  </si>
  <si>
    <t>LAC</t>
  </si>
  <si>
    <t>Kenneth Walker III</t>
  </si>
  <si>
    <t>Rashee Rice</t>
  </si>
  <si>
    <t>Mark Andrews</t>
  </si>
  <si>
    <t>Brock Purdy</t>
  </si>
  <si>
    <t>Omarion Hampton</t>
  </si>
  <si>
    <t>Chris Olave</t>
  </si>
  <si>
    <t>NO</t>
  </si>
  <si>
    <t>Dallas Goedert</t>
  </si>
  <si>
    <t>Patrick Mahomes</t>
  </si>
  <si>
    <t>Josh Jacobs</t>
  </si>
  <si>
    <t>Zay Flowers</t>
  </si>
  <si>
    <t>Dalton Kincaid</t>
  </si>
  <si>
    <t>Bo Nix</t>
  </si>
  <si>
    <t>DEN</t>
  </si>
  <si>
    <t>Jeremiyah Love</t>
  </si>
  <si>
    <t>DeVonta Smith</t>
  </si>
  <si>
    <t>Jake Ferguson</t>
  </si>
  <si>
    <t>Matthew Stafford</t>
  </si>
  <si>
    <t>Kyren Williams</t>
  </si>
  <si>
    <t>Tee Higgins</t>
  </si>
  <si>
    <t>Isaiah Likely</t>
  </si>
  <si>
    <t>Jared Goff</t>
  </si>
  <si>
    <t>Breece Hall</t>
  </si>
  <si>
    <t>NYJ</t>
  </si>
  <si>
    <t>Garrett Wilson</t>
  </si>
  <si>
    <t>Juwan Johnson</t>
  </si>
  <si>
    <t>Kyler Murray</t>
  </si>
  <si>
    <t>Javonte Williams</t>
  </si>
  <si>
    <t>Tetairoa McMillan</t>
  </si>
  <si>
    <t>CAR</t>
  </si>
  <si>
    <t>Brenton Strange</t>
  </si>
  <si>
    <t>Baker Mayfield</t>
  </si>
  <si>
    <t>TB</t>
  </si>
  <si>
    <t>Cam Skattebo</t>
  </si>
  <si>
    <t>Terry McLaurin</t>
  </si>
  <si>
    <t>Hunter Henry</t>
  </si>
  <si>
    <t>Tyler Shough</t>
  </si>
  <si>
    <t>Travis Etienne Jr.</t>
  </si>
  <si>
    <t>Malik Nabers</t>
  </si>
  <si>
    <t>Oronde Gadsden II</t>
  </si>
  <si>
    <t>Jordan Love</t>
  </si>
  <si>
    <t>D'Andre Swift</t>
  </si>
  <si>
    <t>Davante Adams</t>
  </si>
  <si>
    <t>Dalton Schultz</t>
  </si>
  <si>
    <t>C.J. Stroud</t>
  </si>
  <si>
    <t>Bucky Irving</t>
  </si>
  <si>
    <t>Emeka Egbuka</t>
  </si>
  <si>
    <t>Kenyon Sadiq</t>
  </si>
  <si>
    <t>Malik Willis</t>
  </si>
  <si>
    <t>David Montgomery</t>
  </si>
  <si>
    <t>Ladd McConkey</t>
  </si>
  <si>
    <t>Chig Okonkwo</t>
  </si>
  <si>
    <t>Sam Darnold</t>
  </si>
  <si>
    <t>Quinshon Judkins</t>
  </si>
  <si>
    <t>Jaylen Waddle</t>
  </si>
  <si>
    <t>T.J. Hockenson</t>
  </si>
  <si>
    <t>Daniel Jones</t>
  </si>
  <si>
    <t>TreVeyon Henderson</t>
  </si>
  <si>
    <t>Jameson Williams</t>
  </si>
  <si>
    <t>AJ Barner</t>
  </si>
  <si>
    <t>Cam Ward</t>
  </si>
  <si>
    <t>TEN</t>
  </si>
  <si>
    <t>Bhayshul Tuten</t>
  </si>
  <si>
    <t>Luther Burden III</t>
  </si>
  <si>
    <t>Pat Freiermuth</t>
  </si>
  <si>
    <t>PIT</t>
  </si>
  <si>
    <t>Bryce Young</t>
  </si>
  <si>
    <t>Jaylen Warren</t>
  </si>
  <si>
    <t>Christian Watson</t>
  </si>
  <si>
    <t>Greg Dulcich</t>
  </si>
  <si>
    <t>Aaron Rodgers</t>
  </si>
  <si>
    <t>Rhamondre Stevenson</t>
  </si>
  <si>
    <t>Rome Odunze</t>
  </si>
  <si>
    <t>Cade Otton</t>
  </si>
  <si>
    <t>Jacoby Brissett</t>
  </si>
  <si>
    <t>Tony Pollard</t>
  </si>
  <si>
    <t>Mike Evans</t>
  </si>
  <si>
    <t>Gunnar Helm</t>
  </si>
  <si>
    <t>Geno Smith</t>
  </si>
  <si>
    <t>Jadarian Price</t>
  </si>
  <si>
    <t>D.J. Moore</t>
  </si>
  <si>
    <t>Mike Gesicki</t>
  </si>
  <si>
    <t>Fernando Mendoza</t>
  </si>
  <si>
    <t>Chuba Hubbard</t>
  </si>
  <si>
    <t>Alec Pierce</t>
  </si>
  <si>
    <t>Colby Parkinson</t>
  </si>
  <si>
    <t>Tua Tagovailoa</t>
  </si>
  <si>
    <t>Rico Dowdle</t>
  </si>
  <si>
    <t>D.K. Metcalf</t>
  </si>
  <si>
    <t>Terrance Ferguson</t>
  </si>
  <si>
    <t>Deshaun Watson</t>
  </si>
  <si>
    <t>RJ Harvey</t>
  </si>
  <si>
    <t>Marvin Harrison Jr.</t>
  </si>
  <si>
    <t>David Njoku</t>
  </si>
  <si>
    <t>Michael Penix Jr.</t>
  </si>
  <si>
    <t>J.K. Dobbins</t>
  </si>
  <si>
    <t>Carnell Tate</t>
  </si>
  <si>
    <t>Evan Engram</t>
  </si>
  <si>
    <t>Shedeur Sanders</t>
  </si>
  <si>
    <t>Kyle Monangai</t>
  </si>
  <si>
    <t>Courtland Sutton</t>
  </si>
  <si>
    <t>Darnell Washington</t>
  </si>
  <si>
    <t>Kirk Cousins</t>
  </si>
  <si>
    <t>Blake Corum</t>
  </si>
  <si>
    <t>Parker Washington</t>
  </si>
  <si>
    <t>Mason Taylor</t>
  </si>
  <si>
    <t>J.J. McCarthy</t>
  </si>
  <si>
    <t>Kenny Gainwell</t>
  </si>
  <si>
    <t>Brian Thomas Jr.</t>
  </si>
  <si>
    <t>Michael Mayer</t>
  </si>
  <si>
    <t>Carson Beck</t>
  </si>
  <si>
    <t>Rachaad White</t>
  </si>
  <si>
    <t>Jordyn Tyson</t>
  </si>
  <si>
    <t>Theo Johnson</t>
  </si>
  <si>
    <t>Taylen Green</t>
  </si>
  <si>
    <t>Aaron Jones Sr.</t>
  </si>
  <si>
    <t>Chris Godwin Jr.</t>
  </si>
  <si>
    <t>Eli Stowers</t>
  </si>
  <si>
    <t>Mac Jones</t>
  </si>
  <si>
    <t>Jacory Croskey-Merritt</t>
  </si>
  <si>
    <t>Jakobi Meyers</t>
  </si>
  <si>
    <t>Dawson Knox</t>
  </si>
  <si>
    <t>Anthony Richardson Sr.</t>
  </si>
  <si>
    <t>Jonathon Brooks</t>
  </si>
  <si>
    <t>Michael Pittman Jr.</t>
  </si>
  <si>
    <t>Jonnu Smith</t>
  </si>
  <si>
    <t>FA</t>
  </si>
  <si>
    <t>Jameis Winston</t>
  </si>
  <si>
    <t>Jordan Mason</t>
  </si>
  <si>
    <t>Michael Wilson</t>
  </si>
  <si>
    <t>Cole Kmet</t>
  </si>
  <si>
    <t>Marcus Mariota</t>
  </si>
  <si>
    <t>Tyrone Tracy Jr.</t>
  </si>
  <si>
    <t>Quentin Johnston</t>
  </si>
  <si>
    <t>Ja'Tavion Sanders</t>
  </si>
  <si>
    <t>Justin Fields</t>
  </si>
  <si>
    <t>Chris Rodriguez Jr.</t>
  </si>
  <si>
    <t>Jayden Reed</t>
  </si>
  <si>
    <t>Jake Tonges</t>
  </si>
  <si>
    <t>Ty Simpson</t>
  </si>
  <si>
    <t>Tyjae Spears</t>
  </si>
  <si>
    <t>Jordan Addison</t>
  </si>
  <si>
    <t>Darren Waller</t>
  </si>
  <si>
    <t>Cade Klubnik</t>
  </si>
  <si>
    <t>Isiah Pacheco</t>
  </si>
  <si>
    <t>Josh Downs</t>
  </si>
  <si>
    <t>Elijah Arroyo</t>
  </si>
  <si>
    <t>Davis Mills</t>
  </si>
  <si>
    <t>Woody Marks</t>
  </si>
  <si>
    <t>Xavier Worthy</t>
  </si>
  <si>
    <t>Tyler Higbee</t>
  </si>
  <si>
    <t>Spencer Rattler</t>
  </si>
  <si>
    <t>Zach Charbonnet</t>
  </si>
  <si>
    <t>Ricky Pearsall</t>
  </si>
  <si>
    <t>Noah Gray</t>
  </si>
  <si>
    <t>Riley Leonard</t>
  </si>
  <si>
    <t>Tyler Allgeier</t>
  </si>
  <si>
    <t>Wan'Dale Robinson</t>
  </si>
  <si>
    <t>Taysom Hill</t>
  </si>
  <si>
    <t>Joe Flacco</t>
  </si>
  <si>
    <t>Dylan Sampson</t>
  </si>
  <si>
    <t>Makai Lemon</t>
  </si>
  <si>
    <t>Noah Fant</t>
  </si>
  <si>
    <t>Tyrod Taylor</t>
  </si>
  <si>
    <t>Alvin Kamara</t>
  </si>
  <si>
    <t>Romeo Doubs</t>
  </si>
  <si>
    <t>Josh Oliver</t>
  </si>
  <si>
    <t>Joe Milton III</t>
  </si>
  <si>
    <t>Brian Robinson Jr.</t>
  </si>
  <si>
    <t>Khalil Shakir</t>
  </si>
  <si>
    <t>Erick All Jr.</t>
  </si>
  <si>
    <t>Mason Rudolph</t>
  </si>
  <si>
    <t>Keaton Mitchell</t>
  </si>
  <si>
    <t>Matthew Golden</t>
  </si>
  <si>
    <t>Tommy Tremble</t>
  </si>
  <si>
    <t>Gardner Minshew II</t>
  </si>
  <si>
    <t>Braelon Allen</t>
  </si>
  <si>
    <t>KC Concepcion</t>
  </si>
  <si>
    <t>Austin Hooper</t>
  </si>
  <si>
    <t>Tyler Huntley</t>
  </si>
  <si>
    <t>Jonah Coleman</t>
  </si>
  <si>
    <t>Jayden Higgins</t>
  </si>
  <si>
    <t>Charlie Kolar</t>
  </si>
  <si>
    <t>Quinn Ewers</t>
  </si>
  <si>
    <t>Justice Hill</t>
  </si>
  <si>
    <t>Jalen Coker</t>
  </si>
  <si>
    <t>Brock Wright</t>
  </si>
  <si>
    <t>Trey Lance</t>
  </si>
  <si>
    <t>Tank Bigsby</t>
  </si>
  <si>
    <t>Rashid Shaheed</t>
  </si>
  <si>
    <t>Luke Musgrave</t>
  </si>
  <si>
    <t>Kenny Pickett</t>
  </si>
  <si>
    <t>Samaje Perine</t>
  </si>
  <si>
    <t>Stefon Diggs</t>
  </si>
  <si>
    <t>Mitchell Evans</t>
  </si>
  <si>
    <t>Jimmy Garoppolo</t>
  </si>
  <si>
    <t>Ty Johnson</t>
  </si>
  <si>
    <t>Jalen McMillan</t>
  </si>
  <si>
    <t>Eli Raridon</t>
  </si>
  <si>
    <t>Andy Dalton</t>
  </si>
  <si>
    <t>Mike Washington Jr.</t>
  </si>
  <si>
    <t>Tre Tucker</t>
  </si>
  <si>
    <t>Max Klare</t>
  </si>
  <si>
    <t>Tyson Bagent</t>
  </si>
  <si>
    <t>Emmett Johnson</t>
  </si>
  <si>
    <t>Jauan Jennings</t>
  </si>
  <si>
    <t>Daniel Bellinger</t>
  </si>
  <si>
    <t>Kimani Vidal</t>
  </si>
  <si>
    <t>Omar Cooper Jr.</t>
  </si>
  <si>
    <t>Elijah Higgins</t>
  </si>
  <si>
    <t>MarShawn Lloyd</t>
  </si>
  <si>
    <t>Jerry Jeudy</t>
  </si>
  <si>
    <t>Will Kacmarek</t>
  </si>
  <si>
    <t>Ray Davis</t>
  </si>
  <si>
    <t>Jalen Nailor</t>
  </si>
  <si>
    <t>Adam Trautman</t>
  </si>
  <si>
    <t>Sean Tucker</t>
  </si>
  <si>
    <t>Denzel Boston</t>
  </si>
  <si>
    <t>Oscar Delp</t>
  </si>
  <si>
    <t>Jordan James</t>
  </si>
  <si>
    <t>Deebo Samuel</t>
  </si>
  <si>
    <t>Ben Sinnott</t>
  </si>
  <si>
    <t>James Conner</t>
  </si>
  <si>
    <t>Calvin Ridley</t>
  </si>
  <si>
    <t>Justin Joly</t>
  </si>
  <si>
    <t>Kaelon Black</t>
  </si>
  <si>
    <t>Adonai Mitchell</t>
  </si>
  <si>
    <t>Connor Heyward</t>
  </si>
  <si>
    <t>Emanuel Wilson</t>
  </si>
  <si>
    <t>Ryan Flournoy</t>
  </si>
  <si>
    <t>Nate Boerkircher</t>
  </si>
  <si>
    <t>Jaylen Wright</t>
  </si>
  <si>
    <t>Antonio Williams</t>
  </si>
  <si>
    <t>Tanner Hudson</t>
  </si>
  <si>
    <t>Kaytron Allen</t>
  </si>
  <si>
    <t>Germie Bernard</t>
  </si>
  <si>
    <t>Jackson Hawes</t>
  </si>
  <si>
    <t>Jaydon Blue</t>
  </si>
  <si>
    <t>Malik Washington</t>
  </si>
  <si>
    <t>Will Dissly</t>
  </si>
  <si>
    <t>Chris Brooks</t>
  </si>
  <si>
    <t>Isaac TeSlaa</t>
  </si>
  <si>
    <t>Cade Stover</t>
  </si>
  <si>
    <t>Nicholas Singleton</t>
  </si>
  <si>
    <t>Tre' Harris</t>
  </si>
  <si>
    <t>Davis Allen</t>
  </si>
  <si>
    <t>Malik Davis</t>
  </si>
  <si>
    <t>Rashod Bateman</t>
  </si>
  <si>
    <t>Luke Schoonmaker</t>
  </si>
  <si>
    <t>Isaiah Davis</t>
  </si>
  <si>
    <t>Cooper Kupp</t>
  </si>
  <si>
    <t>Drew Sample</t>
  </si>
  <si>
    <t>George Holani</t>
  </si>
  <si>
    <t>Travis Hunter</t>
  </si>
  <si>
    <t>Marlin Klein</t>
  </si>
  <si>
    <t>Emari Demercado</t>
  </si>
  <si>
    <t>Kayshon Boutte</t>
  </si>
  <si>
    <t>DJ Rogers</t>
  </si>
  <si>
    <t>Najee Harris</t>
  </si>
  <si>
    <t>Darnell Mooney</t>
  </si>
  <si>
    <t>John Bates</t>
  </si>
  <si>
    <t>DJ Giddens</t>
  </si>
  <si>
    <t>Tank Dell</t>
  </si>
  <si>
    <t>Mo Alie-Cox</t>
  </si>
  <si>
    <t>Brashard Smith</t>
  </si>
  <si>
    <t>Tyquan Thornton</t>
  </si>
  <si>
    <t>Michael Trigg</t>
  </si>
  <si>
    <t>Adam Randall</t>
  </si>
  <si>
    <t>Jaylin Noel</t>
  </si>
  <si>
    <t>Jack Endries</t>
  </si>
  <si>
    <t>Ollie Gordon II</t>
  </si>
  <si>
    <t>Keenan Allen</t>
  </si>
  <si>
    <t>Jeremy Ruckert</t>
  </si>
  <si>
    <t>Nick Chubb</t>
  </si>
  <si>
    <t>Brandon Aiyuk</t>
  </si>
  <si>
    <t>Durham Smythe</t>
  </si>
  <si>
    <t>LeQuint Allen Jr.</t>
  </si>
  <si>
    <t>Troy Franklin</t>
  </si>
  <si>
    <t>Foster Moreau</t>
  </si>
  <si>
    <t>Devin Singletary</t>
  </si>
  <si>
    <t>De'Zhaun Stribling</t>
  </si>
  <si>
    <t>Zach Ertz</t>
  </si>
  <si>
    <t>Demond Claiborne</t>
  </si>
  <si>
    <t>Dontayvion Wicks</t>
  </si>
  <si>
    <t>Tanner Koziol</t>
  </si>
  <si>
    <t>Joe Mixon</t>
  </si>
  <si>
    <t>Pat Bryant</t>
  </si>
  <si>
    <t>Kareem Hunt</t>
  </si>
  <si>
    <t>Darius Slayton</t>
  </si>
  <si>
    <t>Kyle Juszczyk</t>
  </si>
  <si>
    <t>Andrei Iosivas</t>
  </si>
  <si>
    <t>Kendre Miller</t>
  </si>
  <si>
    <t>Jack Bech</t>
  </si>
  <si>
    <t>AJ Dillon</t>
  </si>
  <si>
    <t>Zachariah Branch</t>
  </si>
  <si>
    <t>Austin Ekeler</t>
  </si>
  <si>
    <t>Tyreek Hill</t>
  </si>
  <si>
    <t>Antonio Gibson</t>
  </si>
  <si>
    <t>Christian Kirk</t>
  </si>
  <si>
    <t>Trey Benson</t>
  </si>
  <si>
    <t>Chris Bell</t>
  </si>
  <si>
    <t>Jerome Ford</t>
  </si>
  <si>
    <t>Devaughn Vele</t>
  </si>
  <si>
    <t>Kaleb Johnson</t>
  </si>
  <si>
    <t>Marquise Brown</t>
  </si>
  <si>
    <t>Devin Neal</t>
  </si>
  <si>
    <t>Elijah Sarratt</t>
  </si>
  <si>
    <t>Jawhar Jordan</t>
  </si>
  <si>
    <t>Tory Horton</t>
  </si>
  <si>
    <t>Jeremy McNichols</t>
  </si>
  <si>
    <t>Keon Coleman</t>
  </si>
  <si>
    <t>Phil Mafah</t>
  </si>
  <si>
    <t>Marvin Mims Jr.</t>
  </si>
  <si>
    <t>Seth McGowan</t>
  </si>
  <si>
    <t>Caleb Douglas</t>
  </si>
  <si>
    <t>Hunter Luepke</t>
  </si>
  <si>
    <t>Ja'Kobi Lane</t>
  </si>
  <si>
    <t>Raheim Sanders</t>
  </si>
  <si>
    <t>Chris Brazzell II</t>
  </si>
  <si>
    <t>Miles Sanders</t>
  </si>
  <si>
    <t>Kendrick Bourne</t>
  </si>
  <si>
    <t>Rasheen Ali</t>
  </si>
  <si>
    <t>Jahan Dotson</t>
  </si>
  <si>
    <t>Eli Heidenreich</t>
  </si>
  <si>
    <t>KaVontae Turpin</t>
  </si>
  <si>
    <t>Will Shipley</t>
  </si>
  <si>
    <t>Jalen Tolbert</t>
  </si>
  <si>
    <t>Trevor Etienne</t>
  </si>
  <si>
    <t>Xavier Legette</t>
  </si>
  <si>
    <t>Zavier Scott</t>
  </si>
  <si>
    <t>Chimere Dike</t>
  </si>
  <si>
    <t>Ty Chandler</t>
  </si>
  <si>
    <t>Elic Ayomanor</t>
  </si>
  <si>
    <t>Alexander Mattison</t>
  </si>
  <si>
    <t>Ted Hurst III</t>
  </si>
  <si>
    <t>Audric Estime</t>
  </si>
  <si>
    <t>Malachi Fields</t>
  </si>
  <si>
    <t>Tahj Brooks</t>
  </si>
  <si>
    <t>Olamide Zaccheaus</t>
  </si>
  <si>
    <t>Isaac Guerendo</t>
  </si>
  <si>
    <t>Ashton Dulin</t>
  </si>
  <si>
    <t>Jam Miller</t>
  </si>
  <si>
    <t>Skyler Bell</t>
  </si>
  <si>
    <t>Jaleel McLaughlin</t>
  </si>
  <si>
    <t>Josh Palmer</t>
  </si>
  <si>
    <t>Jarquez Hunter</t>
  </si>
  <si>
    <t>John Metchie III</t>
  </si>
  <si>
    <t>Dean Connors</t>
  </si>
  <si>
    <t>Dyami Brown</t>
  </si>
  <si>
    <t>Roschon Johnson</t>
  </si>
  <si>
    <t>Hollywood Brown</t>
  </si>
  <si>
    <t>Michael Carter</t>
  </si>
  <si>
    <t>Tutu Atwell</t>
  </si>
  <si>
    <t>Tyler Goodson</t>
  </si>
  <si>
    <t>Jalen Royals</t>
  </si>
  <si>
    <t>J'Mari Taylor</t>
  </si>
  <si>
    <t>Treylon Burks</t>
  </si>
  <si>
    <t>Raheem Mostert</t>
  </si>
  <si>
    <t>Kalif Raymond</t>
  </si>
  <si>
    <t>Elijah Mitchell</t>
  </si>
  <si>
    <t>Mack Hollins</t>
  </si>
  <si>
    <t>Ronnie Rivers</t>
  </si>
  <si>
    <t>Nick Westbrook-Ikhine</t>
  </si>
  <si>
    <t>Jaydn Ott</t>
  </si>
  <si>
    <t>Savion Williams</t>
  </si>
  <si>
    <t>Dare Ogunbowale</t>
  </si>
  <si>
    <t>Brenen Thompson</t>
  </si>
  <si>
    <t>Kenny McIntosh</t>
  </si>
  <si>
    <t>Xavier Hutchinson</t>
  </si>
  <si>
    <t>Tyler Badie</t>
  </si>
  <si>
    <t>Kyle Williams</t>
  </si>
  <si>
    <t>Carlos Washington Jr.</t>
  </si>
  <si>
    <t>Theo Wease Jr.</t>
  </si>
  <si>
    <t>Robert Henry Jr.</t>
  </si>
  <si>
    <t>DeMario Douglas</t>
  </si>
  <si>
    <t>Frank Gore Jr.</t>
  </si>
  <si>
    <t>Luke McCaffrey</t>
  </si>
  <si>
    <t>Roman Hemby</t>
  </si>
  <si>
    <t>Devontez Walker</t>
  </si>
  <si>
    <t>Tez Johnson</t>
  </si>
  <si>
    <t>Ameer Abdullah</t>
  </si>
  <si>
    <t>Van Jefferson</t>
  </si>
  <si>
    <t>Pierre Strong Jr.</t>
  </si>
  <si>
    <t>DeAndre Hopkins</t>
  </si>
  <si>
    <t>Brittain Brown</t>
  </si>
  <si>
    <t>Curtis Samuel</t>
  </si>
  <si>
    <t>Riley Nowakowski</t>
  </si>
  <si>
    <t>Calvin Austin III</t>
  </si>
  <si>
    <t>Jaret Patterson</t>
  </si>
  <si>
    <t>Isaiah Bond</t>
  </si>
  <si>
    <t>Israel Abanikanda</t>
  </si>
  <si>
    <t>Jaylin Lane</t>
  </si>
  <si>
    <t>Desmond Reid</t>
  </si>
  <si>
    <t>Kevin Coleman Jr.</t>
  </si>
  <si>
    <t>Andrew Beck</t>
  </si>
  <si>
    <t>Zavion Thomas</t>
  </si>
  <si>
    <t>Alec Ingold</t>
  </si>
  <si>
    <t>Bryce Lance</t>
  </si>
  <si>
    <t>Donovan Edwards</t>
  </si>
  <si>
    <t>Tyler Lockett</t>
  </si>
  <si>
    <t>Damien Martinez</t>
  </si>
  <si>
    <t>Demarcus Robinson</t>
  </si>
  <si>
    <t>Michael Burton</t>
  </si>
  <si>
    <t>Jordan Whittington</t>
  </si>
  <si>
    <t>Lan Larison</t>
  </si>
  <si>
    <t>Konata Mumpfield</t>
  </si>
  <si>
    <t>Kalel Mullings</t>
  </si>
  <si>
    <t>Sterling Shepard</t>
  </si>
  <si>
    <t>Terrell Jennings</t>
  </si>
  <si>
    <t>Cedric Tillman</t>
  </si>
  <si>
    <t>Dameon Pierce</t>
  </si>
  <si>
    <t>Noah Brown</t>
  </si>
  <si>
    <t>Salvon Ahmed</t>
  </si>
  <si>
    <t>Bub Means</t>
  </si>
  <si>
    <t>Terion Stewart</t>
  </si>
  <si>
    <t>Jahdae Walker</t>
  </si>
  <si>
    <t>Jamal Haynes</t>
  </si>
  <si>
    <t>Greg Dortch</t>
  </si>
  <si>
    <t>Nathan Carter</t>
  </si>
  <si>
    <t>Dont'e Thornton Jr.</t>
  </si>
  <si>
    <t>Zamir White</t>
  </si>
  <si>
    <t>Noah Thomas</t>
  </si>
  <si>
    <t>Jacob Saylors</t>
  </si>
  <si>
    <t>Cyrus Allen</t>
  </si>
  <si>
    <t>Scott Matlock</t>
  </si>
  <si>
    <t>Eric McAlister</t>
  </si>
  <si>
    <t>Adam Prentice</t>
  </si>
  <si>
    <t>Deion Burks</t>
  </si>
  <si>
    <t>Noah Whittington</t>
  </si>
  <si>
    <t>Mitch Tinsley</t>
  </si>
  <si>
    <t>CJ Donaldson</t>
  </si>
  <si>
    <t>Hunter Renfrow</t>
  </si>
  <si>
    <t>Roman Wilson</t>
  </si>
  <si>
    <t>Brandin Cooks</t>
  </si>
  <si>
    <t>Jimmy Horn Jr.</t>
  </si>
  <si>
    <t>Xavier Smith</t>
  </si>
  <si>
    <t>Isaiah Williams</t>
  </si>
  <si>
    <t>KeAndre Lambert-Smith</t>
  </si>
  <si>
    <t>Tim Patrick</t>
  </si>
  <si>
    <t>Gabriel Davis</t>
  </si>
  <si>
    <t>Tai Felton</t>
  </si>
  <si>
    <t>Marquez Valdes-Scantling</t>
  </si>
  <si>
    <t>Odell Beckham Jr.</t>
  </si>
  <si>
    <t>Bo Melton</t>
  </si>
  <si>
    <t>Dante Pettis</t>
  </si>
  <si>
    <t>Colbie Young</t>
  </si>
  <si>
    <t>Kevin Austin Jr.</t>
  </si>
  <si>
    <t>Zay Jones</t>
  </si>
  <si>
    <t>JuJu Smith-Schuster</t>
  </si>
  <si>
    <t>Tyrell Shavers</t>
  </si>
  <si>
    <t>CJ Daniels</t>
  </si>
  <si>
    <t>Malik Benson</t>
  </si>
  <si>
    <t>Josh Cameron</t>
  </si>
  <si>
    <t>David Sills V</t>
  </si>
  <si>
    <t>Aaron Anderson</t>
  </si>
  <si>
    <t>Darius Cooper</t>
  </si>
  <si>
    <t>David Moore</t>
  </si>
  <si>
    <t>Ben Skowronek</t>
  </si>
  <si>
    <t>Jonathan Mingo</t>
  </si>
  <si>
    <t>Lil'Jordan Humphrey</t>
  </si>
  <si>
    <t>Malachi Corley</t>
  </si>
  <si>
    <t>JP Richardson</t>
  </si>
  <si>
    <t>Efton Chism III</t>
  </si>
  <si>
    <t>Reggie Virgil</t>
  </si>
  <si>
    <t>$ SETUP</t>
  </si>
  <si>
    <t>Total Teams</t>
  </si>
  <si>
    <t>Total Roster Spots</t>
  </si>
  <si>
    <t>Total Money ($)</t>
  </si>
  <si>
    <t>Total Discretionary ($)</t>
  </si>
  <si>
    <t>ROSTER REGIME</t>
  </si>
  <si>
    <t>Has Superflex-Level QB Demand</t>
  </si>
  <si>
    <t>BASELINE (real Teams/Format calibration)</t>
  </si>
  <si>
    <t>Position</t>
  </si>
  <si>
    <t>Baseline Rank</t>
  </si>
  <si>
    <t>Baseline Exponent</t>
  </si>
  <si>
    <t>Baseline Budget Share</t>
  </si>
  <si>
    <t>SF-Shift Exp Ratio</t>
  </si>
  <si>
    <t>SF-Shift Share Ratio</t>
  </si>
  <si>
    <t>Exponent Slope/Flex</t>
  </si>
  <si>
    <t>Budget-Share Slope/Flex</t>
  </si>
  <si>
    <t>QB</t>
  </si>
  <si>
    <t>RB</t>
  </si>
  <si>
    <t>WR</t>
  </si>
  <si>
    <t>TE</t>
  </si>
  <si>
    <t>ROSTER-ADJUSTED</t>
  </si>
  <si>
    <t>RB/WR/TE-type Flex Count</t>
  </si>
  <si>
    <t>Demand (current)</t>
  </si>
  <si>
    <t>Demand (baseline)</t>
  </si>
  <si>
    <t>Adjusted Rank</t>
  </si>
  <si>
    <t>Exponent (final)</t>
  </si>
  <si>
    <t>Raw Adjusted Share</t>
  </si>
  <si>
    <t>Final Budget Share</t>
  </si>
  <si>
    <t>Replacement Points</t>
  </si>
  <si>
    <t>POSITION RATES</t>
  </si>
  <si>
    <t>Discretionary $</t>
  </si>
  <si>
    <t>Total Weighted VORP</t>
  </si>
  <si>
    <t>Rate</t>
  </si>
  <si>
    <t>QB tiers</t>
  </si>
  <si>
    <t>Drafted Price Sum</t>
  </si>
  <si>
    <t>Drafted Static Sum</t>
  </si>
  <si>
    <t>Drafted Count</t>
  </si>
  <si>
    <t>Tier Avg Static</t>
  </si>
  <si>
    <t>Dampening</t>
  </si>
  <si>
    <t>Tier Factor</t>
  </si>
  <si>
    <t>RB tiers</t>
  </si>
  <si>
    <t>WR tiers</t>
  </si>
  <si>
    <t>TE tiers</t>
  </si>
  <si>
    <t>GLOBAL (whole draft)</t>
  </si>
  <si>
    <t>Initial Discretionary $</t>
  </si>
  <si>
    <t>Initial Weighted VORP</t>
  </si>
  <si>
    <t>Initial Rate</t>
  </si>
  <si>
    <t>Drafted $ (all positions)</t>
  </si>
  <si>
    <t>Drafted Count (all positions)</t>
  </si>
  <si>
    <t>Drafted Weighted VORP (all positions)</t>
  </si>
  <si>
    <t>Remaining Discretionary $</t>
  </si>
  <si>
    <t>Remaining Weighted VORP</t>
  </si>
  <si>
    <t>Current Rate</t>
  </si>
  <si>
    <t>Depletion Factor</t>
  </si>
  <si>
    <t>Roster Slot</t>
  </si>
  <si>
    <t>Price Paid ($)</t>
  </si>
  <si>
    <t>Total Budget ($)</t>
  </si>
  <si>
    <t>Roster Spots (total)</t>
  </si>
  <si>
    <t>Spots Filled</t>
  </si>
  <si>
    <t>Spots Remaining</t>
  </si>
  <si>
    <t>Total Spent ($)</t>
  </si>
  <si>
    <t>Money Remaining ($)</t>
  </si>
  <si>
    <t>Max Bid on Next Player ($)</t>
  </si>
  <si>
    <t>Avg $ per Remaining Spot ($)</t>
  </si>
  <si>
    <t>2026 Fantasy Football Auction Draft Tool</t>
  </si>
  <si>
    <t>Every value on the whole board recalculates instantly when you change anything here -- you should sort each position by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</si>
</sst>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3"/>
      <name val="Calibri"/>
    </font>
    <font>
      <b/>
      <sz val="11"/>
      <name val="Calibri"/>
    </font>
    <font>
      <sz val="2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8BBD0"/>
        <bgColor rgb="FFF8BBD0"/>
      </patternFill>
    </fill>
    <fill>
      <patternFill patternType="solid">
        <fgColor rgb="FF66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6" fillId="7" borderId="0" xfId="0" applyFont="1" applyFill="1" applyAlignment="1" applyProtection="1">
      <alignment horizontal="center"/>
      <protection hidden="1"/>
    </xf>
    <xf numFmtId="0" fontId="6" fillId="8" borderId="0" xfId="0" applyFont="1" applyFill="1" applyAlignment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0</xdr:row>
      <xdr:rowOff>142874</xdr:rowOff>
    </xdr:from>
    <xdr:to>
      <xdr:col>2</xdr:col>
      <xdr:colOff>1838325</xdr:colOff>
      <xdr:row>5</xdr:row>
      <xdr:rowOff>419099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C24F0-4BA3-439D-A5BF-D4958CB9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5" y="142874"/>
          <a:ext cx="1590675" cy="1590675"/>
        </a:xfrm>
        <a:prstGeom prst="rect">
          <a:avLst/>
        </a:prstGeom>
      </xdr:spPr>
    </xdr:pic>
    <xdr:clientData/>
  </xdr:twoCellAnchor>
  <xdr:twoCellAnchor editAs="oneCell">
    <xdr:from>
      <xdr:col>2</xdr:col>
      <xdr:colOff>1819276</xdr:colOff>
      <xdr:row>0</xdr:row>
      <xdr:rowOff>85725</xdr:rowOff>
    </xdr:from>
    <xdr:to>
      <xdr:col>3</xdr:col>
      <xdr:colOff>152401</xdr:colOff>
      <xdr:row>6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ADF55-4E66-49E8-B5DC-461FB20BB4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70" b="-8170"/>
        <a:stretch>
          <a:fillRect/>
        </a:stretch>
      </xdr:blipFill>
      <xdr:spPr>
        <a:xfrm>
          <a:off x="7886701" y="85725"/>
          <a:ext cx="2000250" cy="2000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BBoard" displayName="QBBoard" ref="A1:O61">
  <autoFilter ref="A1:O61" xr:uid="{00000000-0009-0000-0100-000001000000}"/>
  <tableColumns count="15">
    <tableColumn id="1" xr3:uid="{00000000-0010-0000-0000-000001000000}" name="Player"/>
    <tableColumn id="2" xr3:uid="{00000000-0010-0000-0000-000002000000}" name="Team"/>
    <tableColumn id="3" xr3:uid="{00000000-0010-0000-0000-000003000000}" name="Points (STD)"/>
    <tableColumn id="4" xr3:uid="{00000000-0010-0000-0000-000004000000}" name="Points (Half-PPR)"/>
    <tableColumn id="5" xr3:uid="{00000000-0010-0000-0000-000005000000}" name="Points (PPR)"/>
    <tableColumn id="6" xr3:uid="{00000000-0010-0000-0000-000006000000}" name="Proj Pts"/>
    <tableColumn id="7" xr3:uid="{00000000-0010-0000-0000-000007000000}" name="Tier"/>
    <tableColumn id="8" xr3:uid="{00000000-0010-0000-0000-000008000000}" name="Weighted VORP"/>
    <tableColumn id="9" xr3:uid="{00000000-0010-0000-0000-000009000000}" name="Row Num"/>
    <tableColumn id="10" xr3:uid="{00000000-0010-0000-0000-00000A000000}" name="Gap Start"/>
    <tableColumn id="11" xr3:uid="{00000000-0010-0000-0000-00000B000000}" name="Gap Tier Top"/>
    <tableColumn id="12" xr3:uid="{00000000-0010-0000-0000-00000C000000}" name="Tier Start"/>
    <tableColumn id="13" xr3:uid="{00000000-0010-0000-0000-00000D000000}" name="Starting Value"/>
    <tableColumn id="14" xr3:uid="{00000000-0010-0000-0000-00000E000000}" name="Price Paid"/>
    <tableColumn id="15" xr3:uid="{00000000-0010-0000-0000-00000F000000}" name="Market Valu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BBoard" displayName="RBBoard" ref="Q1:AE161">
  <autoFilter ref="Q1:AE161" xr:uid="{00000000-0009-0000-0100-000002000000}"/>
  <tableColumns count="15">
    <tableColumn id="17" xr3:uid="{00000000-0010-0000-0100-000011000000}" name="Player"/>
    <tableColumn id="18" xr3:uid="{00000000-0010-0000-0100-000012000000}" name="Team"/>
    <tableColumn id="19" xr3:uid="{00000000-0010-0000-0100-000013000000}" name="Points (STD)"/>
    <tableColumn id="20" xr3:uid="{00000000-0010-0000-0100-000014000000}" name="Points (Half-PPR)"/>
    <tableColumn id="21" xr3:uid="{00000000-0010-0000-0100-000015000000}" name="Points (PPR)"/>
    <tableColumn id="22" xr3:uid="{00000000-0010-0000-0100-000016000000}" name="Proj Pts"/>
    <tableColumn id="23" xr3:uid="{00000000-0010-0000-0100-000017000000}" name="Tier"/>
    <tableColumn id="24" xr3:uid="{00000000-0010-0000-0100-000018000000}" name="Weighted VORP"/>
    <tableColumn id="25" xr3:uid="{00000000-0010-0000-0100-000019000000}" name="Row Num"/>
    <tableColumn id="26" xr3:uid="{00000000-0010-0000-0100-00001A000000}" name="Gap Start"/>
    <tableColumn id="27" xr3:uid="{00000000-0010-0000-0100-00001B000000}" name="Gap Tier Top"/>
    <tableColumn id="28" xr3:uid="{00000000-0010-0000-0100-00001C000000}" name="Tier Start"/>
    <tableColumn id="29" xr3:uid="{00000000-0010-0000-0100-00001D000000}" name="Starting Value"/>
    <tableColumn id="30" xr3:uid="{00000000-0010-0000-0100-00001E000000}" name="Price Paid"/>
    <tableColumn id="31" xr3:uid="{00000000-0010-0000-0100-00001F000000}" name="Market Value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RBoard" displayName="WRBoard" ref="AG1:AU193">
  <autoFilter ref="AG1:AU193" xr:uid="{00000000-0009-0000-0100-000003000000}"/>
  <tableColumns count="15">
    <tableColumn id="33" xr3:uid="{00000000-0010-0000-0200-000021000000}" name="Player"/>
    <tableColumn id="34" xr3:uid="{00000000-0010-0000-0200-000022000000}" name="Team"/>
    <tableColumn id="35" xr3:uid="{00000000-0010-0000-0200-000023000000}" name="Points (STD)"/>
    <tableColumn id="36" xr3:uid="{00000000-0010-0000-0200-000024000000}" name="Points (Half-PPR)"/>
    <tableColumn id="37" xr3:uid="{00000000-0010-0000-0200-000025000000}" name="Points (PPR)"/>
    <tableColumn id="38" xr3:uid="{00000000-0010-0000-0200-000026000000}" name="Proj Pts"/>
    <tableColumn id="39" xr3:uid="{00000000-0010-0000-0200-000027000000}" name="Tier"/>
    <tableColumn id="40" xr3:uid="{00000000-0010-0000-0200-000028000000}" name="Weighted VORP"/>
    <tableColumn id="41" xr3:uid="{00000000-0010-0000-0200-000029000000}" name="Row Num"/>
    <tableColumn id="42" xr3:uid="{00000000-0010-0000-0200-00002A000000}" name="Gap Start"/>
    <tableColumn id="43" xr3:uid="{00000000-0010-0000-0200-00002B000000}" name="Gap Tier Top"/>
    <tableColumn id="44" xr3:uid="{00000000-0010-0000-0200-00002C000000}" name="Tier Start"/>
    <tableColumn id="45" xr3:uid="{00000000-0010-0000-0200-00002D000000}" name="Starting Value"/>
    <tableColumn id="46" xr3:uid="{00000000-0010-0000-0200-00002E000000}" name="Price Paid"/>
    <tableColumn id="47" xr3:uid="{00000000-0010-0000-0200-00002F000000}" name="Market Value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Board" displayName="TEBoard" ref="AW1:BK87">
  <autoFilter ref="AW1:BK87" xr:uid="{00000000-0009-0000-0100-000004000000}"/>
  <tableColumns count="15">
    <tableColumn id="49" xr3:uid="{00000000-0010-0000-0300-000031000000}" name="Player"/>
    <tableColumn id="50" xr3:uid="{00000000-0010-0000-0300-000032000000}" name="Team"/>
    <tableColumn id="51" xr3:uid="{00000000-0010-0000-0300-000033000000}" name="Points (STD)"/>
    <tableColumn id="52" xr3:uid="{00000000-0010-0000-0300-000034000000}" name="Points (Half-PPR)"/>
    <tableColumn id="53" xr3:uid="{00000000-0010-0000-0300-000035000000}" name="Points (PPR)"/>
    <tableColumn id="54" xr3:uid="{00000000-0010-0000-0300-000036000000}" name="Proj Pts"/>
    <tableColumn id="55" xr3:uid="{00000000-0010-0000-0300-000037000000}" name="Tier"/>
    <tableColumn id="56" xr3:uid="{00000000-0010-0000-0300-000038000000}" name="Weighted VORP"/>
    <tableColumn id="57" xr3:uid="{00000000-0010-0000-0300-000039000000}" name="Row Num"/>
    <tableColumn id="58" xr3:uid="{00000000-0010-0000-0300-00003A000000}" name="Gap Start"/>
    <tableColumn id="59" xr3:uid="{00000000-0010-0000-0300-00003B000000}" name="Gap Tier Top"/>
    <tableColumn id="60" xr3:uid="{00000000-0010-0000-0300-00003C000000}" name="Tier Start"/>
    <tableColumn id="61" xr3:uid="{00000000-0010-0000-0300-00003D000000}" name="Starting Value"/>
    <tableColumn id="62" xr3:uid="{00000000-0010-0000-0300-00003E000000}" name="Price Paid"/>
    <tableColumn id="63" xr3:uid="{00000000-0010-0000-0300-00003F000000}" name="Market Valu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workbookViewId="0">
      <selection activeCell="B7" sqref="B7"/>
    </sheetView>
  </sheetViews>
  <sheetFormatPr defaultRowHeight="15" x14ac:dyDescent="0.25"/>
  <cols>
    <col min="1" max="1" width="21" customWidth="1"/>
    <col min="2" max="2" width="70" customWidth="1"/>
    <col min="3" max="3" width="55" customWidth="1"/>
  </cols>
  <sheetData>
    <row r="2" spans="1:9" ht="28.5" customHeight="1" x14ac:dyDescent="0.45">
      <c r="A2" s="14" t="s">
        <v>648</v>
      </c>
      <c r="B2" s="14"/>
      <c r="C2" s="15"/>
      <c r="D2" s="15"/>
      <c r="E2" s="15"/>
      <c r="F2" s="15"/>
      <c r="G2" s="15"/>
      <c r="H2" s="15"/>
      <c r="I2" s="15"/>
    </row>
    <row r="4" spans="1:9" ht="30" x14ac:dyDescent="0.25">
      <c r="A4" s="1" t="s">
        <v>0</v>
      </c>
      <c r="B4" s="2" t="s">
        <v>1</v>
      </c>
    </row>
    <row r="6" spans="1:9" ht="45" x14ac:dyDescent="0.25">
      <c r="A6" s="1" t="s">
        <v>2</v>
      </c>
      <c r="B6" s="2" t="s">
        <v>3</v>
      </c>
    </row>
    <row r="7" spans="1:9" ht="30" x14ac:dyDescent="0.25">
      <c r="B7" s="2" t="s">
        <v>649</v>
      </c>
    </row>
    <row r="9" spans="1:9" ht="45" x14ac:dyDescent="0.25">
      <c r="A9" s="1" t="s">
        <v>4</v>
      </c>
      <c r="B9" s="2" t="s">
        <v>5</v>
      </c>
    </row>
    <row r="11" spans="1:9" ht="60" x14ac:dyDescent="0.25">
      <c r="A11" s="1" t="s">
        <v>6</v>
      </c>
      <c r="B11" s="2" t="s">
        <v>7</v>
      </c>
    </row>
    <row r="12" spans="1:9" ht="45" x14ac:dyDescent="0.25">
      <c r="B12" s="2" t="s">
        <v>8</v>
      </c>
    </row>
    <row r="14" spans="1:9" ht="30" x14ac:dyDescent="0.25">
      <c r="A14" s="1" t="s">
        <v>9</v>
      </c>
      <c r="B14" s="2" t="s">
        <v>10</v>
      </c>
    </row>
    <row r="17" spans="1:2" ht="45" x14ac:dyDescent="0.25">
      <c r="A17" s="1" t="s">
        <v>11</v>
      </c>
      <c r="B17" s="2" t="s">
        <v>12</v>
      </c>
    </row>
    <row r="19" spans="1:2" ht="45" x14ac:dyDescent="0.25">
      <c r="A19" s="1" t="s">
        <v>11</v>
      </c>
      <c r="B19" s="2" t="s">
        <v>13</v>
      </c>
    </row>
    <row r="21" spans="1:2" ht="30" x14ac:dyDescent="0.25">
      <c r="A21" s="1" t="s">
        <v>11</v>
      </c>
      <c r="B21" s="2" t="s">
        <v>14</v>
      </c>
    </row>
    <row r="24" spans="1:2" ht="15.75" x14ac:dyDescent="0.25">
      <c r="A24" s="3" t="s">
        <v>15</v>
      </c>
    </row>
    <row r="25" spans="1:2" x14ac:dyDescent="0.25">
      <c r="A25" s="4" t="s">
        <v>16</v>
      </c>
      <c r="B25" s="2" t="s">
        <v>17</v>
      </c>
    </row>
    <row r="26" spans="1:2" x14ac:dyDescent="0.25">
      <c r="A26" s="4" t="s">
        <v>18</v>
      </c>
      <c r="B26" s="2" t="s">
        <v>19</v>
      </c>
    </row>
    <row r="27" spans="1:2" x14ac:dyDescent="0.25">
      <c r="A27" s="4" t="s">
        <v>20</v>
      </c>
      <c r="B27" s="2" t="s">
        <v>21</v>
      </c>
    </row>
    <row r="28" spans="1:2" x14ac:dyDescent="0.25">
      <c r="A28" s="4" t="s">
        <v>22</v>
      </c>
      <c r="B28" s="2" t="s">
        <v>23</v>
      </c>
    </row>
    <row r="29" spans="1:2" ht="30" x14ac:dyDescent="0.25">
      <c r="A29" s="4" t="s">
        <v>24</v>
      </c>
      <c r="B29" s="2" t="s">
        <v>25</v>
      </c>
    </row>
  </sheetData>
  <mergeCells count="1">
    <mergeCell ref="A2:B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5" x14ac:dyDescent="0.25"/>
  <cols>
    <col min="1" max="1" width="30" customWidth="1"/>
    <col min="2" max="2" width="10" customWidth="1"/>
  </cols>
  <sheetData>
    <row r="1" spans="1:2" ht="17.25" x14ac:dyDescent="0.3">
      <c r="A1" s="5" t="s">
        <v>26</v>
      </c>
    </row>
    <row r="3" spans="1:2" x14ac:dyDescent="0.25">
      <c r="A3" s="6" t="s">
        <v>27</v>
      </c>
      <c r="B3" s="7">
        <v>200</v>
      </c>
    </row>
    <row r="5" spans="1:2" x14ac:dyDescent="0.25">
      <c r="A5" s="6" t="s">
        <v>28</v>
      </c>
      <c r="B5" s="7">
        <v>12</v>
      </c>
    </row>
    <row r="7" spans="1:2" x14ac:dyDescent="0.25">
      <c r="A7" s="6" t="s">
        <v>29</v>
      </c>
      <c r="B7" s="7" t="s">
        <v>30</v>
      </c>
    </row>
    <row r="9" spans="1:2" ht="15.75" x14ac:dyDescent="0.25">
      <c r="A9" s="3" t="s">
        <v>31</v>
      </c>
    </row>
    <row r="11" spans="1:2" x14ac:dyDescent="0.25">
      <c r="A11" s="6" t="s">
        <v>32</v>
      </c>
      <c r="B11" s="7">
        <v>1</v>
      </c>
    </row>
    <row r="13" spans="1:2" x14ac:dyDescent="0.25">
      <c r="A13" s="6" t="s">
        <v>33</v>
      </c>
      <c r="B13" s="7">
        <v>2</v>
      </c>
    </row>
    <row r="15" spans="1:2" x14ac:dyDescent="0.25">
      <c r="A15" s="6" t="s">
        <v>34</v>
      </c>
      <c r="B15" s="7">
        <v>3</v>
      </c>
    </row>
    <row r="17" spans="1:2" x14ac:dyDescent="0.25">
      <c r="A17" s="6" t="s">
        <v>35</v>
      </c>
      <c r="B17" s="7">
        <v>1</v>
      </c>
    </row>
    <row r="19" spans="1:2" x14ac:dyDescent="0.25">
      <c r="A19" s="6" t="s">
        <v>36</v>
      </c>
      <c r="B19" s="7">
        <v>1</v>
      </c>
    </row>
    <row r="21" spans="1:2" x14ac:dyDescent="0.25">
      <c r="A21" s="6" t="s">
        <v>37</v>
      </c>
      <c r="B21" s="7">
        <v>0</v>
      </c>
    </row>
    <row r="23" spans="1:2" x14ac:dyDescent="0.25">
      <c r="A23" s="6" t="s">
        <v>38</v>
      </c>
      <c r="B23" s="7">
        <v>0</v>
      </c>
    </row>
    <row r="25" spans="1:2" x14ac:dyDescent="0.25">
      <c r="A25" s="6" t="s">
        <v>39</v>
      </c>
      <c r="B25" s="7">
        <v>0</v>
      </c>
    </row>
    <row r="27" spans="1:2" x14ac:dyDescent="0.25">
      <c r="A27" s="6" t="s">
        <v>40</v>
      </c>
      <c r="B27" s="7">
        <v>1</v>
      </c>
    </row>
    <row r="29" spans="1:2" x14ac:dyDescent="0.25">
      <c r="A29" s="6" t="s">
        <v>41</v>
      </c>
      <c r="B29" s="7">
        <v>1</v>
      </c>
    </row>
    <row r="31" spans="1:2" x14ac:dyDescent="0.25">
      <c r="A31" s="6" t="s">
        <v>42</v>
      </c>
      <c r="B31" s="7">
        <v>6</v>
      </c>
    </row>
  </sheetData>
  <dataValidations count="14">
    <dataValidation type="whole" showErrorMessage="1" errorTitle="Invalid Starting Budget ($)" error="Enter a whole number (15-1000)." sqref="B3" xr:uid="{00000000-0002-0000-0100-000000000000}">
      <formula1>15</formula1>
      <formula2>1000</formula2>
    </dataValidation>
    <dataValidation type="list" showErrorMessage="1" errorTitle="Invalid Number of Teams" error="Choose one of: 8, 10, 12, 14, 16." sqref="B5" xr:uid="{00000000-0002-0000-0100-000001000000}">
      <formula1>"8,10,12,14,16"</formula1>
    </dataValidation>
    <dataValidation type="list" showErrorMessage="1" errorTitle="Invalid Scoring Format" error="Choose one of: STD, Half-PPR, PPR." sqref="B7" xr:uid="{00000000-0002-0000-0100-000002000000}">
      <formula1>"STD,Half-PPR,PPR"</formula1>
    </dataValidation>
    <dataValidation type="list" showErrorMessage="1" errorTitle="Invalid QB Starters" error="Choose one of: 0, 1, 2." sqref="B11" xr:uid="{00000000-0002-0000-0100-000003000000}">
      <formula1>"0,1,2"</formula1>
    </dataValidation>
    <dataValidation type="list" showErrorMessage="1" errorTitle="Invalid RB Starters" error="Choose one of: 0, 1, 2, 3." sqref="B13" xr:uid="{00000000-0002-0000-0100-000004000000}">
      <formula1>"0,1,2,3"</formula1>
    </dataValidation>
    <dataValidation type="list" showErrorMessage="1" errorTitle="Invalid WR Starters" error="Choose one of: 0, 1, 2, 3, 4." sqref="B15" xr:uid="{00000000-0002-0000-0100-000005000000}">
      <formula1>"0,1,2,3,4"</formula1>
    </dataValidation>
    <dataValidation type="list" showErrorMessage="1" errorTitle="Invalid TE Starters" error="Choose one of: 0, 1, 2." sqref="B17" xr:uid="{00000000-0002-0000-0100-000006000000}">
      <formula1>"0,1,2"</formula1>
    </dataValidation>
    <dataValidation type="list" showErrorMessage="1" errorTitle="Invalid Flex: RB/WR/TE Count" error="Choose one of: 0, 1, 2, 3, 4, 5, 6." sqref="B19" xr:uid="{00000000-0002-0000-0100-000007000000}">
      <formula1>"0,1,2,3,4,5,6"</formula1>
    </dataValidation>
    <dataValidation type="list" showErrorMessage="1" errorTitle="Invalid Flex: RB/WR Count" error="Choose one of: 0, 1, 2, 3, 4, 5, 6." sqref="B21" xr:uid="{00000000-0002-0000-0100-000008000000}">
      <formula1>"0,1,2,3,4,5,6"</formula1>
    </dataValidation>
    <dataValidation type="list" showErrorMessage="1" errorTitle="Invalid Flex: WR/TE Count" error="Choose one of: 0, 1, 2, 3, 4, 5, 6." sqref="B23" xr:uid="{00000000-0002-0000-0100-000009000000}">
      <formula1>"0,1,2,3,4,5,6"</formula1>
    </dataValidation>
    <dataValidation type="list" showErrorMessage="1" errorTitle="Invalid Superflex Count (QB/RB/WR/TE)" error="Choose one of: 0, 1, 2, 3, 4, 5, 6." sqref="B25" xr:uid="{00000000-0002-0000-0100-00000A000000}">
      <formula1>"0,1,2,3,4,5,6"</formula1>
    </dataValidation>
    <dataValidation type="list" showErrorMessage="1" errorTitle="Invalid DEF" error="Choose one of: 0, 1." sqref="B27" xr:uid="{00000000-0002-0000-0100-00000B000000}">
      <formula1>"0,1"</formula1>
    </dataValidation>
    <dataValidation type="list" showErrorMessage="1" errorTitle="Invalid K" error="Choose one of: 0, 1." sqref="B29" xr:uid="{00000000-0002-0000-0100-00000C000000}">
      <formula1>"0,1"</formula1>
    </dataValidation>
    <dataValidation type="list" showErrorMessage="1" errorTitle="Invalid Bench" error="Choose one of: 3, 4, 5, 6, 7, 8, 9, 10." sqref="B31" xr:uid="{00000000-0002-0000-0100-00000D000000}">
      <formula1>"3,4,5,6,7,8,9,10"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93"/>
  <sheetViews>
    <sheetView workbookViewId="0">
      <pane ySplit="1" topLeftCell="A2" activePane="bottomLeft" state="frozen"/>
      <selection pane="bottomLeft" activeCell="M10" sqref="M10"/>
    </sheetView>
  </sheetViews>
  <sheetFormatPr defaultRowHeight="15" x14ac:dyDescent="0.25"/>
  <cols>
    <col min="1" max="1" width="18.7109375" customWidth="1"/>
    <col min="2" max="2" width="8.28515625" customWidth="1"/>
    <col min="3" max="5" width="13" hidden="1" customWidth="1"/>
    <col min="6" max="6" width="7" customWidth="1"/>
    <col min="7" max="7" width="7" hidden="1" customWidth="1"/>
    <col min="8" max="12" width="13" hidden="1" customWidth="1"/>
    <col min="13" max="13" width="10.140625" customWidth="1"/>
    <col min="14" max="14" width="9" customWidth="1"/>
    <col min="15" max="15" width="10.28515625" customWidth="1"/>
    <col min="16" max="16" width="2.7109375" customWidth="1"/>
    <col min="17" max="17" width="18.7109375" customWidth="1"/>
    <col min="18" max="18" width="8.28515625" customWidth="1"/>
    <col min="19" max="21" width="13" hidden="1" customWidth="1"/>
    <col min="22" max="22" width="7" customWidth="1"/>
    <col min="23" max="23" width="7" hidden="1" customWidth="1"/>
    <col min="24" max="28" width="13" hidden="1" customWidth="1"/>
    <col min="29" max="29" width="10.140625" customWidth="1"/>
    <col min="30" max="30" width="9" customWidth="1"/>
    <col min="31" max="31" width="10.28515625" customWidth="1"/>
    <col min="32" max="32" width="2.7109375" customWidth="1"/>
    <col min="33" max="33" width="18.85546875" customWidth="1"/>
    <col min="34" max="34" width="8.28515625" customWidth="1"/>
    <col min="35" max="37" width="13" hidden="1" customWidth="1"/>
    <col min="38" max="38" width="7" customWidth="1"/>
    <col min="39" max="39" width="7" hidden="1" customWidth="1"/>
    <col min="40" max="44" width="13" hidden="1" customWidth="1"/>
    <col min="45" max="45" width="10.140625" customWidth="1"/>
    <col min="46" max="46" width="8.7109375" customWidth="1"/>
    <col min="47" max="47" width="10.28515625" customWidth="1"/>
    <col min="48" max="48" width="2.7109375" customWidth="1"/>
    <col min="49" max="49" width="18.7109375" customWidth="1"/>
    <col min="50" max="50" width="8.28515625" customWidth="1"/>
    <col min="51" max="53" width="13" hidden="1" customWidth="1"/>
    <col min="54" max="54" width="7" customWidth="1"/>
    <col min="55" max="55" width="7" hidden="1" customWidth="1"/>
    <col min="56" max="60" width="13" hidden="1" customWidth="1"/>
    <col min="61" max="61" width="10.140625" customWidth="1"/>
    <col min="62" max="62" width="8.7109375" customWidth="1"/>
    <col min="63" max="63" width="10.28515625" customWidth="1"/>
  </cols>
  <sheetData>
    <row r="1" spans="1:63" ht="30" customHeight="1" x14ac:dyDescent="0.25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18</v>
      </c>
      <c r="G1" s="8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53</v>
      </c>
      <c r="M1" s="8" t="s">
        <v>20</v>
      </c>
      <c r="N1" s="8" t="s">
        <v>22</v>
      </c>
      <c r="O1" s="8" t="s">
        <v>24</v>
      </c>
      <c r="Q1" s="8" t="s">
        <v>43</v>
      </c>
      <c r="R1" s="8" t="s">
        <v>44</v>
      </c>
      <c r="S1" s="8" t="s">
        <v>45</v>
      </c>
      <c r="T1" s="8" t="s">
        <v>46</v>
      </c>
      <c r="U1" s="8" t="s">
        <v>47</v>
      </c>
      <c r="V1" s="8" t="s">
        <v>18</v>
      </c>
      <c r="W1" s="8" t="s">
        <v>48</v>
      </c>
      <c r="X1" s="8" t="s">
        <v>49</v>
      </c>
      <c r="Y1" s="8" t="s">
        <v>50</v>
      </c>
      <c r="Z1" s="8" t="s">
        <v>51</v>
      </c>
      <c r="AA1" s="8" t="s">
        <v>52</v>
      </c>
      <c r="AB1" s="8" t="s">
        <v>53</v>
      </c>
      <c r="AC1" s="8" t="s">
        <v>20</v>
      </c>
      <c r="AD1" s="8" t="s">
        <v>22</v>
      </c>
      <c r="AE1" s="8" t="s">
        <v>24</v>
      </c>
      <c r="AG1" s="8" t="s">
        <v>43</v>
      </c>
      <c r="AH1" s="8" t="s">
        <v>44</v>
      </c>
      <c r="AI1" s="8" t="s">
        <v>45</v>
      </c>
      <c r="AJ1" s="8" t="s">
        <v>46</v>
      </c>
      <c r="AK1" s="8" t="s">
        <v>47</v>
      </c>
      <c r="AL1" s="8" t="s">
        <v>18</v>
      </c>
      <c r="AM1" s="8" t="s">
        <v>48</v>
      </c>
      <c r="AN1" s="8" t="s">
        <v>49</v>
      </c>
      <c r="AO1" s="8" t="s">
        <v>50</v>
      </c>
      <c r="AP1" s="8" t="s">
        <v>51</v>
      </c>
      <c r="AQ1" s="8" t="s">
        <v>52</v>
      </c>
      <c r="AR1" s="8" t="s">
        <v>53</v>
      </c>
      <c r="AS1" s="8" t="s">
        <v>20</v>
      </c>
      <c r="AT1" s="8" t="s">
        <v>22</v>
      </c>
      <c r="AU1" s="8" t="s">
        <v>24</v>
      </c>
      <c r="AW1" s="8" t="s">
        <v>43</v>
      </c>
      <c r="AX1" s="8" t="s">
        <v>44</v>
      </c>
      <c r="AY1" s="8" t="s">
        <v>45</v>
      </c>
      <c r="AZ1" s="8" t="s">
        <v>46</v>
      </c>
      <c r="BA1" s="8" t="s">
        <v>47</v>
      </c>
      <c r="BB1" s="8" t="s">
        <v>18</v>
      </c>
      <c r="BC1" s="8" t="s">
        <v>48</v>
      </c>
      <c r="BD1" s="8" t="s">
        <v>49</v>
      </c>
      <c r="BE1" s="8" t="s">
        <v>50</v>
      </c>
      <c r="BF1" s="8" t="s">
        <v>51</v>
      </c>
      <c r="BG1" s="8" t="s">
        <v>52</v>
      </c>
      <c r="BH1" s="8" t="s">
        <v>53</v>
      </c>
      <c r="BI1" s="8" t="s">
        <v>20</v>
      </c>
      <c r="BJ1" s="8" t="s">
        <v>22</v>
      </c>
      <c r="BK1" s="8" t="s">
        <v>24</v>
      </c>
    </row>
    <row r="2" spans="1:63" x14ac:dyDescent="0.25">
      <c r="A2" s="9" t="s">
        <v>54</v>
      </c>
      <c r="B2" s="9" t="s">
        <v>55</v>
      </c>
      <c r="C2" s="9">
        <v>353.44</v>
      </c>
      <c r="D2" s="9">
        <v>353.44</v>
      </c>
      <c r="E2" s="9">
        <v>353.44</v>
      </c>
      <c r="F2" s="9">
        <f>CHOOSE(MATCH(Setup!$B$7,{"STD","Half-PPR","PPR"},0),C2,D2,E2)</f>
        <v>353.44</v>
      </c>
      <c r="G2" s="9">
        <f>COUNTIFS('Draft Board'!$H$2:$H$61,"&gt;="&amp;H2,'Draft Board'!$L$2:$L$61,1)</f>
        <v>1</v>
      </c>
      <c r="H2" s="9">
        <f>MAX(0,F2-'Live Calc'!$H$19)^'Live Calc'!$E$19</f>
        <v>219.20307477408667</v>
      </c>
      <c r="I2" s="9">
        <v>2</v>
      </c>
      <c r="J2" s="9">
        <f>IF(I2&lt;&gt;_xlfn.MINIFS('Draft Board'!$I$2:$I$61,'Draft Board'!$H$2:$H$61,"="&amp;H2),0,IF(_xlfn.MINIFS('Draft Board'!$H$2:$H$61,'Draft Board'!$H$2:$H$61,"&gt;"&amp;H2)=0,1,IF((_xlfn.MINIFS('Draft Board'!$H$2:$H$61,'Draft Board'!$H$2:$H$61,"&gt;"&amp;H2)-H2)/_xlfn.MINIFS('Draft Board'!$H$2:$H$61,'Draft Board'!$H$2:$H$61,"&gt;"&amp;H2)&gt;0.08,1,0)))</f>
        <v>1</v>
      </c>
      <c r="K2" s="9">
        <f>_xlfn.MINIFS('Draft Board'!$H$2:$H$61,'Draft Board'!$H$2:$H$61,"&gt;="&amp;H2,'Draft Board'!$J$2:$J$61,1)</f>
        <v>219.20307477408667</v>
      </c>
      <c r="L2" s="9">
        <f>IF(I2&lt;&gt;_xlfn.MINIFS('Draft Board'!$I$2:$I$61,'Draft Board'!$H$2:$H$61,"="&amp;H2),0,IF(OR(J2=1,IFERROR(FLOOR((K2-H2)/K2/0.25,1),0)&lt;&gt;IFERROR(FLOOR((K2-_xlfn.MINIFS('Draft Board'!$H$2:$H$61,'Draft Board'!$H$2:$H$61,"&gt;"&amp;H2))/K2/0.25,1),0)),1,0))</f>
        <v>1</v>
      </c>
      <c r="M2" s="9">
        <f>ROUND(1+H2*'Live Calc'!$D$26,0)</f>
        <v>30</v>
      </c>
      <c r="N2" s="9"/>
      <c r="O2" s="9">
        <f>IF(N2&lt;&gt;"",N2,ROUND(M2*INDEX('Live Calc'!$G$33:$G$92,MATCH(G2,'Live Calc'!$A$33:$A$92,0))*'Live Calc'!$J$543,0))</f>
        <v>30</v>
      </c>
      <c r="Q2" s="10" t="s">
        <v>56</v>
      </c>
      <c r="R2" s="10" t="s">
        <v>57</v>
      </c>
      <c r="S2" s="10">
        <v>282.55</v>
      </c>
      <c r="T2" s="10">
        <v>316.56</v>
      </c>
      <c r="U2" s="10">
        <v>350.57</v>
      </c>
      <c r="V2" s="10">
        <f>CHOOSE(MATCH(Setup!$B$7,{"STD","Half-PPR","PPR"},0),S2,T2,U2)</f>
        <v>316.56</v>
      </c>
      <c r="W2" s="10">
        <f>COUNTIFS('Draft Board'!$X$2:$X$161,"&gt;="&amp;X2,'Draft Board'!$AB$2:$AB$161,1)</f>
        <v>1</v>
      </c>
      <c r="X2" s="10">
        <f>MAX(0,V2-'Live Calc'!$H$20)^'Live Calc'!$E$20</f>
        <v>631.95742468319452</v>
      </c>
      <c r="Y2" s="10">
        <v>2</v>
      </c>
      <c r="Z2" s="10">
        <f>IF(Y2&lt;&gt;_xlfn.MINIFS('Draft Board'!$Y$2:$Y$161,'Draft Board'!$X$2:$X$161,"="&amp;X2),0,IF(_xlfn.MINIFS('Draft Board'!$X$2:$X$161,'Draft Board'!$X$2:$X$161,"&gt;"&amp;X2)=0,1,IF((_xlfn.MINIFS('Draft Board'!$X$2:$X$161,'Draft Board'!$X$2:$X$161,"&gt;"&amp;X2)-X2)/_xlfn.MINIFS('Draft Board'!$X$2:$X$161,'Draft Board'!$X$2:$X$161,"&gt;"&amp;X2)&gt;0.08,1,0)))</f>
        <v>1</v>
      </c>
      <c r="AA2" s="10">
        <f>_xlfn.MINIFS('Draft Board'!$X$2:$X$161,'Draft Board'!$X$2:$X$161,"&gt;="&amp;X2,'Draft Board'!$Z$2:$Z$161,1)</f>
        <v>631.95742468319452</v>
      </c>
      <c r="AB2" s="10">
        <f>IF(Y2&lt;&gt;_xlfn.MINIFS('Draft Board'!$Y$2:$Y$161,'Draft Board'!$X$2:$X$161,"="&amp;X2),0,IF(OR(Z2=1,IFERROR(FLOOR((AA2-X2)/AA2/0.25,1),0)&lt;&gt;IFERROR(FLOOR((AA2-_xlfn.MINIFS('Draft Board'!$X$2:$X$161,'Draft Board'!$X$2:$X$161,"&gt;"&amp;X2))/AA2/0.25,1),0)),1,0))</f>
        <v>1</v>
      </c>
      <c r="AC2" s="10">
        <f>ROUND(1+X2*'Live Calc'!$D$27,0)</f>
        <v>59</v>
      </c>
      <c r="AD2" s="10"/>
      <c r="AE2" s="10">
        <f>IF(AD2&lt;&gt;"",AD2,ROUND(AC2*INDEX('Live Calc'!$G$96:$G$255,MATCH(W2,'Live Calc'!$A$96:$A$255,0))*'Live Calc'!$J$543,0))</f>
        <v>59</v>
      </c>
      <c r="AG2" s="11" t="s">
        <v>58</v>
      </c>
      <c r="AH2" s="11" t="s">
        <v>59</v>
      </c>
      <c r="AI2" s="11">
        <v>216.95599999999999</v>
      </c>
      <c r="AJ2" s="11">
        <v>276.48399999999998</v>
      </c>
      <c r="AK2" s="11">
        <v>336.00799999999998</v>
      </c>
      <c r="AL2" s="11">
        <f>CHOOSE(MATCH(Setup!$B$7,{"STD","Half-PPR","PPR"},0),AI2,AJ2,AK2)</f>
        <v>276.48399999999998</v>
      </c>
      <c r="AM2" s="11">
        <f>COUNTIFS('Draft Board'!$AN$2:$AN$193,"&gt;="&amp;AN2,'Draft Board'!$AR$2:$AR$193,1)</f>
        <v>1</v>
      </c>
      <c r="AN2" s="11">
        <f>MAX(0,AL2-'Live Calc'!$H$21)^'Live Calc'!$E$21</f>
        <v>637.60827812869832</v>
      </c>
      <c r="AO2" s="11">
        <v>2</v>
      </c>
      <c r="AP2" s="11">
        <f>IF(AO2&lt;&gt;_xlfn.MINIFS('Draft Board'!$AO$2:$AO$193,'Draft Board'!$AN$2:$AN$193,"="&amp;AN2),0,IF(_xlfn.MINIFS('Draft Board'!$AN$2:$AN$193,'Draft Board'!$AN$2:$AN$193,"&gt;"&amp;AN2)=0,1,IF((_xlfn.MINIFS('Draft Board'!$AN$2:$AN$193,'Draft Board'!$AN$2:$AN$193,"&gt;"&amp;AN2)-AN2)/_xlfn.MINIFS('Draft Board'!$AN$2:$AN$193,'Draft Board'!$AN$2:$AN$193,"&gt;"&amp;AN2)&gt;0.08,1,0)))</f>
        <v>1</v>
      </c>
      <c r="AQ2" s="11">
        <f>_xlfn.MINIFS('Draft Board'!$AN$2:$AN$193,'Draft Board'!$AN$2:$AN$193,"&gt;="&amp;AN2,'Draft Board'!$AP$2:$AP$193,1)</f>
        <v>637.60827812869832</v>
      </c>
      <c r="AR2" s="11">
        <f>IF(AO2&lt;&gt;_xlfn.MINIFS('Draft Board'!$AO$2:$AO$193,'Draft Board'!$AN$2:$AN$193,"="&amp;AN2),0,IF(OR(AP2=1,IFERROR(FLOOR((AQ2-AN2)/AQ2/0.25,1),0)&lt;&gt;IFERROR(FLOOR((AQ2-_xlfn.MINIFS('Draft Board'!$AN$2:$AN$193,'Draft Board'!$AN$2:$AN$193,"&gt;"&amp;AN2))/AQ2/0.25,1),0)),1,0))</f>
        <v>1</v>
      </c>
      <c r="AS2" s="11">
        <f>ROUND(1+AN2*'Live Calc'!$D$28,0)</f>
        <v>53</v>
      </c>
      <c r="AT2" s="11"/>
      <c r="AU2" s="11">
        <f>IF(AT2&lt;&gt;"",AT2,ROUND(AS2*INDEX('Live Calc'!$G$259:$G$450,MATCH(AM2,'Live Calc'!$A$259:$A$450,0))*'Live Calc'!$J$543,0))</f>
        <v>53</v>
      </c>
      <c r="AW2" s="12" t="s">
        <v>60</v>
      </c>
      <c r="AX2" s="12" t="s">
        <v>61</v>
      </c>
      <c r="AY2" s="12">
        <v>143.988</v>
      </c>
      <c r="AZ2" s="12">
        <v>194.04599999999999</v>
      </c>
      <c r="BA2" s="12">
        <v>244.09800000000001</v>
      </c>
      <c r="BB2" s="12">
        <f>CHOOSE(MATCH(Setup!$B$7,{"STD","Half-PPR","PPR"},0),AY2,AZ2,BA2)</f>
        <v>194.04599999999999</v>
      </c>
      <c r="BC2" s="12">
        <f>COUNTIFS('Draft Board'!$BD$2:$BD$87,"&gt;="&amp;BD2,'Draft Board'!$BH$2:$BH$87,1)</f>
        <v>1</v>
      </c>
      <c r="BD2" s="12">
        <f>MAX(0,BB2-'Live Calc'!$H$22)^'Live Calc'!$E$22</f>
        <v>90.795999999999992</v>
      </c>
      <c r="BE2" s="12">
        <v>2</v>
      </c>
      <c r="BF2" s="12">
        <f>IF(BE2&lt;&gt;_xlfn.MINIFS('Draft Board'!$BE$2:$BE$87,'Draft Board'!$BD$2:$BD$87,"="&amp;BD2),0,IF(_xlfn.MINIFS('Draft Board'!$BD$2:$BD$87,'Draft Board'!$BD$2:$BD$87,"&gt;"&amp;BD2)=0,1,IF((_xlfn.MINIFS('Draft Board'!$BD$2:$BD$87,'Draft Board'!$BD$2:$BD$87,"&gt;"&amp;BD2)-BD2)/_xlfn.MINIFS('Draft Board'!$BD$2:$BD$87,'Draft Board'!$BD$2:$BD$87,"&gt;"&amp;BD2)&gt;0.08,1,0)))</f>
        <v>1</v>
      </c>
      <c r="BG2" s="12">
        <f>_xlfn.MINIFS('Draft Board'!$BD$2:$BD$87,'Draft Board'!$BD$2:$BD$87,"&gt;="&amp;BD2,'Draft Board'!$BF$2:$BF$87,1)</f>
        <v>90.795999999999992</v>
      </c>
      <c r="BH2" s="12">
        <f>IF(BE2&lt;&gt;_xlfn.MINIFS('Draft Board'!$BE$2:$BE$87,'Draft Board'!$BD$2:$BD$87,"="&amp;BD2),0,IF(OR(BF2=1,IFERROR(FLOOR((BG2-BD2)/BG2/0.25,1),0)&lt;&gt;IFERROR(FLOOR((BG2-_xlfn.MINIFS('Draft Board'!$BD$2:$BD$87,'Draft Board'!$BD$2:$BD$87,"&gt;"&amp;BD2))/BG2/0.25,1),0)),1,0))</f>
        <v>1</v>
      </c>
      <c r="BI2" s="12">
        <f>ROUND(1+BD2*'Live Calc'!$D$29,0)</f>
        <v>25</v>
      </c>
      <c r="BJ2" s="12"/>
      <c r="BK2" s="12">
        <f>IF(BJ2&lt;&gt;"",BJ2,ROUND(BI2*INDEX('Live Calc'!$G$454:$G$539,MATCH(BC2,'Live Calc'!$A$454:$A$539,0))*'Live Calc'!$J$543,0))</f>
        <v>25</v>
      </c>
    </row>
    <row r="3" spans="1:63" x14ac:dyDescent="0.25">
      <c r="A3" s="9" t="s">
        <v>62</v>
      </c>
      <c r="B3" s="9" t="s">
        <v>63</v>
      </c>
      <c r="C3" s="9">
        <v>316.27</v>
      </c>
      <c r="D3" s="9">
        <v>316.27</v>
      </c>
      <c r="E3" s="9">
        <v>316.27</v>
      </c>
      <c r="F3" s="9">
        <f>CHOOSE(MATCH(Setup!$B$7,{"STD","Half-PPR","PPR"},0),C3,D3,E3)</f>
        <v>316.27</v>
      </c>
      <c r="G3" s="9">
        <f>COUNTIFS('Draft Board'!$H$2:$H$61,"&gt;="&amp;H3,'Draft Board'!$L$2:$L$61,1)</f>
        <v>2</v>
      </c>
      <c r="H3" s="9">
        <f>MAX(0,F3-'Live Calc'!$H$19)^'Live Calc'!$E$19</f>
        <v>114.86964210628673</v>
      </c>
      <c r="I3" s="9">
        <v>3</v>
      </c>
      <c r="J3" s="9">
        <f>IF(I3&lt;&gt;_xlfn.MINIFS('Draft Board'!$I$2:$I$61,'Draft Board'!$H$2:$H$61,"="&amp;H3),0,IF(_xlfn.MINIFS('Draft Board'!$H$2:$H$61,'Draft Board'!$H$2:$H$61,"&gt;"&amp;H3)=0,1,IF((_xlfn.MINIFS('Draft Board'!$H$2:$H$61,'Draft Board'!$H$2:$H$61,"&gt;"&amp;H3)-H3)/_xlfn.MINIFS('Draft Board'!$H$2:$H$61,'Draft Board'!$H$2:$H$61,"&gt;"&amp;H3)&gt;0.08,1,0)))</f>
        <v>1</v>
      </c>
      <c r="K3" s="9">
        <f>_xlfn.MINIFS('Draft Board'!$H$2:$H$61,'Draft Board'!$H$2:$H$61,"&gt;="&amp;H3,'Draft Board'!$J$2:$J$61,1)</f>
        <v>114.86964210628673</v>
      </c>
      <c r="L3" s="9">
        <f>IF(I3&lt;&gt;_xlfn.MINIFS('Draft Board'!$I$2:$I$61,'Draft Board'!$H$2:$H$61,"="&amp;H3),0,IF(OR(J3=1,IFERROR(FLOOR((K3-H3)/K3/0.25,1),0)&lt;&gt;IFERROR(FLOOR((K3-_xlfn.MINIFS('Draft Board'!$H$2:$H$61,'Draft Board'!$H$2:$H$61,"&gt;"&amp;H3))/K3/0.25,1),0)),1,0))</f>
        <v>1</v>
      </c>
      <c r="M3" s="9">
        <f>ROUND(1+H3*'Live Calc'!$D$26,0)</f>
        <v>16</v>
      </c>
      <c r="N3" s="9"/>
      <c r="O3" s="9">
        <f>IF(N3&lt;&gt;"",N3,ROUND(M3*INDEX('Live Calc'!$G$33:$G$92,MATCH(G3,'Live Calc'!$A$33:$A$92,0))*'Live Calc'!$J$543,0))</f>
        <v>16</v>
      </c>
      <c r="Q3" s="10" t="s">
        <v>64</v>
      </c>
      <c r="R3" s="10" t="s">
        <v>65</v>
      </c>
      <c r="S3" s="10">
        <v>272.86</v>
      </c>
      <c r="T3" s="10">
        <v>309.55</v>
      </c>
      <c r="U3" s="10">
        <v>346.24</v>
      </c>
      <c r="V3" s="10">
        <f>CHOOSE(MATCH(Setup!$B$7,{"STD","Half-PPR","PPR"},0),S3,T3,U3)</f>
        <v>309.55</v>
      </c>
      <c r="W3" s="10">
        <f>COUNTIFS('Draft Board'!$X$2:$X$161,"&gt;="&amp;X3,'Draft Board'!$AB$2:$AB$161,1)</f>
        <v>1</v>
      </c>
      <c r="X3" s="10">
        <f>MAX(0,V3-'Live Calc'!$H$20)^'Live Calc'!$E$20</f>
        <v>607.39594116567423</v>
      </c>
      <c r="Y3" s="10">
        <v>3</v>
      </c>
      <c r="Z3" s="10">
        <f>IF(Y3&lt;&gt;_xlfn.MINIFS('Draft Board'!$Y$2:$Y$161,'Draft Board'!$X$2:$X$161,"="&amp;X3),0,IF(_xlfn.MINIFS('Draft Board'!$X$2:$X$161,'Draft Board'!$X$2:$X$161,"&gt;"&amp;X3)=0,1,IF((_xlfn.MINIFS('Draft Board'!$X$2:$X$161,'Draft Board'!$X$2:$X$161,"&gt;"&amp;X3)-X3)/_xlfn.MINIFS('Draft Board'!$X$2:$X$161,'Draft Board'!$X$2:$X$161,"&gt;"&amp;X3)&gt;0.08,1,0)))</f>
        <v>0</v>
      </c>
      <c r="AA3" s="10">
        <f>_xlfn.MINIFS('Draft Board'!$X$2:$X$161,'Draft Board'!$X$2:$X$161,"&gt;="&amp;X3,'Draft Board'!$Z$2:$Z$161,1)</f>
        <v>631.95742468319452</v>
      </c>
      <c r="AB3" s="10">
        <f>IF(Y3&lt;&gt;_xlfn.MINIFS('Draft Board'!$Y$2:$Y$161,'Draft Board'!$X$2:$X$161,"="&amp;X3),0,IF(OR(Z3=1,IFERROR(FLOOR((AA3-X3)/AA3/0.25,1),0)&lt;&gt;IFERROR(FLOOR((AA3-_xlfn.MINIFS('Draft Board'!$X$2:$X$161,'Draft Board'!$X$2:$X$161,"&gt;"&amp;X3))/AA3/0.25,1),0)),1,0))</f>
        <v>0</v>
      </c>
      <c r="AC3" s="10">
        <f>ROUND(1+X3*'Live Calc'!$D$27,0)</f>
        <v>57</v>
      </c>
      <c r="AD3" s="10"/>
      <c r="AE3" s="10">
        <f>IF(AD3&lt;&gt;"",AD3,ROUND(AC3*INDEX('Live Calc'!$G$96:$G$255,MATCH(W3,'Live Calc'!$A$96:$A$255,0))*'Live Calc'!$J$543,0))</f>
        <v>57</v>
      </c>
      <c r="AG3" s="11" t="s">
        <v>66</v>
      </c>
      <c r="AH3" s="11" t="s">
        <v>67</v>
      </c>
      <c r="AI3" s="11">
        <v>216.274</v>
      </c>
      <c r="AJ3" s="11">
        <v>275.94600000000003</v>
      </c>
      <c r="AK3" s="11">
        <v>335.61200000000002</v>
      </c>
      <c r="AL3" s="11">
        <f>CHOOSE(MATCH(Setup!$B$7,{"STD","Half-PPR","PPR"},0),AI3,AJ3,AK3)</f>
        <v>275.94600000000003</v>
      </c>
      <c r="AM3" s="11">
        <f>COUNTIFS('Draft Board'!$AN$2:$AN$193,"&gt;="&amp;AN3,'Draft Board'!$AR$2:$AR$193,1)</f>
        <v>1</v>
      </c>
      <c r="AN3" s="11">
        <f>MAX(0,AL3-'Live Calc'!$H$21)^'Live Calc'!$E$21</f>
        <v>635.16239186991197</v>
      </c>
      <c r="AO3" s="11">
        <v>3</v>
      </c>
      <c r="AP3" s="11">
        <f>IF(AO3&lt;&gt;_xlfn.MINIFS('Draft Board'!$AO$2:$AO$193,'Draft Board'!$AN$2:$AN$193,"="&amp;AN3),0,IF(_xlfn.MINIFS('Draft Board'!$AN$2:$AN$193,'Draft Board'!$AN$2:$AN$193,"&gt;"&amp;AN3)=0,1,IF((_xlfn.MINIFS('Draft Board'!$AN$2:$AN$193,'Draft Board'!$AN$2:$AN$193,"&gt;"&amp;AN3)-AN3)/_xlfn.MINIFS('Draft Board'!$AN$2:$AN$193,'Draft Board'!$AN$2:$AN$193,"&gt;"&amp;AN3)&gt;0.08,1,0)))</f>
        <v>0</v>
      </c>
      <c r="AQ3" s="11">
        <f>_xlfn.MINIFS('Draft Board'!$AN$2:$AN$193,'Draft Board'!$AN$2:$AN$193,"&gt;="&amp;AN3,'Draft Board'!$AP$2:$AP$193,1)</f>
        <v>637.60827812869832</v>
      </c>
      <c r="AR3" s="11">
        <f>IF(AO3&lt;&gt;_xlfn.MINIFS('Draft Board'!$AO$2:$AO$193,'Draft Board'!$AN$2:$AN$193,"="&amp;AN3),0,IF(OR(AP3=1,IFERROR(FLOOR((AQ3-AN3)/AQ3/0.25,1),0)&lt;&gt;IFERROR(FLOOR((AQ3-_xlfn.MINIFS('Draft Board'!$AN$2:$AN$193,'Draft Board'!$AN$2:$AN$193,"&gt;"&amp;AN3))/AQ3/0.25,1),0)),1,0))</f>
        <v>0</v>
      </c>
      <c r="AS3" s="11">
        <f>ROUND(1+AN3*'Live Calc'!$D$28,0)</f>
        <v>53</v>
      </c>
      <c r="AT3" s="11"/>
      <c r="AU3" s="11">
        <f>IF(AT3&lt;&gt;"",AT3,ROUND(AS3*INDEX('Live Calc'!$G$259:$G$450,MATCH(AM3,'Live Calc'!$A$259:$A$450,0))*'Live Calc'!$J$543,0))</f>
        <v>53</v>
      </c>
      <c r="AW3" s="12" t="s">
        <v>68</v>
      </c>
      <c r="AX3" s="12" t="s">
        <v>69</v>
      </c>
      <c r="AY3" s="12">
        <v>143.40199999999999</v>
      </c>
      <c r="AZ3" s="12">
        <v>192.154</v>
      </c>
      <c r="BA3" s="12">
        <v>240.90199999999999</v>
      </c>
      <c r="BB3" s="12">
        <f>CHOOSE(MATCH(Setup!$B$7,{"STD","Half-PPR","PPR"},0),AY3,AZ3,BA3)</f>
        <v>192.154</v>
      </c>
      <c r="BC3" s="12">
        <f>COUNTIFS('Draft Board'!$BD$2:$BD$87,"&gt;="&amp;BD3,'Draft Board'!$BH$2:$BH$87,1)</f>
        <v>1</v>
      </c>
      <c r="BD3" s="12">
        <f>MAX(0,BB3-'Live Calc'!$H$22)^'Live Calc'!$E$22</f>
        <v>88.903999999999996</v>
      </c>
      <c r="BE3" s="12">
        <v>3</v>
      </c>
      <c r="BF3" s="12">
        <f>IF(BE3&lt;&gt;_xlfn.MINIFS('Draft Board'!$BE$2:$BE$87,'Draft Board'!$BD$2:$BD$87,"="&amp;BD3),0,IF(_xlfn.MINIFS('Draft Board'!$BD$2:$BD$87,'Draft Board'!$BD$2:$BD$87,"&gt;"&amp;BD3)=0,1,IF((_xlfn.MINIFS('Draft Board'!$BD$2:$BD$87,'Draft Board'!$BD$2:$BD$87,"&gt;"&amp;BD3)-BD3)/_xlfn.MINIFS('Draft Board'!$BD$2:$BD$87,'Draft Board'!$BD$2:$BD$87,"&gt;"&amp;BD3)&gt;0.08,1,0)))</f>
        <v>0</v>
      </c>
      <c r="BG3" s="12">
        <f>_xlfn.MINIFS('Draft Board'!$BD$2:$BD$87,'Draft Board'!$BD$2:$BD$87,"&gt;="&amp;BD3,'Draft Board'!$BF$2:$BF$87,1)</f>
        <v>90.795999999999992</v>
      </c>
      <c r="BH3" s="12">
        <f>IF(BE3&lt;&gt;_xlfn.MINIFS('Draft Board'!$BE$2:$BE$87,'Draft Board'!$BD$2:$BD$87,"="&amp;BD3),0,IF(OR(BF3=1,IFERROR(FLOOR((BG3-BD3)/BG3/0.25,1),0)&lt;&gt;IFERROR(FLOOR((BG3-_xlfn.MINIFS('Draft Board'!$BD$2:$BD$87,'Draft Board'!$BD$2:$BD$87,"&gt;"&amp;BD3))/BG3/0.25,1),0)),1,0))</f>
        <v>0</v>
      </c>
      <c r="BI3" s="12">
        <f>ROUND(1+BD3*'Live Calc'!$D$29,0)</f>
        <v>25</v>
      </c>
      <c r="BJ3" s="12"/>
      <c r="BK3" s="12">
        <f>IF(BJ3&lt;&gt;"",BJ3,ROUND(BI3*INDEX('Live Calc'!$G$454:$G$539,MATCH(BC3,'Live Calc'!$A$454:$A$539,0))*'Live Calc'!$J$543,0))</f>
        <v>25</v>
      </c>
    </row>
    <row r="4" spans="1:63" x14ac:dyDescent="0.25">
      <c r="A4" s="9" t="s">
        <v>70</v>
      </c>
      <c r="B4" s="9" t="s">
        <v>71</v>
      </c>
      <c r="C4" s="9">
        <v>309.29000000000002</v>
      </c>
      <c r="D4" s="9">
        <v>309.29000000000002</v>
      </c>
      <c r="E4" s="9">
        <v>309.29000000000002</v>
      </c>
      <c r="F4" s="9">
        <f>CHOOSE(MATCH(Setup!$B$7,{"STD","Half-PPR","PPR"},0),C4,D4,E4)</f>
        <v>309.29000000000002</v>
      </c>
      <c r="G4" s="9">
        <f>COUNTIFS('Draft Board'!$H$2:$H$61,"&gt;="&amp;H4,'Draft Board'!$L$2:$L$61,1)</f>
        <v>3</v>
      </c>
      <c r="H4" s="9">
        <f>MAX(0,F4-'Live Calc'!$H$19)^'Live Calc'!$E$19</f>
        <v>96.659136077159218</v>
      </c>
      <c r="I4" s="9">
        <v>4</v>
      </c>
      <c r="J4" s="9">
        <f>IF(I4&lt;&gt;_xlfn.MINIFS('Draft Board'!$I$2:$I$61,'Draft Board'!$H$2:$H$61,"="&amp;H4),0,IF(_xlfn.MINIFS('Draft Board'!$H$2:$H$61,'Draft Board'!$H$2:$H$61,"&gt;"&amp;H4)=0,1,IF((_xlfn.MINIFS('Draft Board'!$H$2:$H$61,'Draft Board'!$H$2:$H$61,"&gt;"&amp;H4)-H4)/_xlfn.MINIFS('Draft Board'!$H$2:$H$61,'Draft Board'!$H$2:$H$61,"&gt;"&amp;H4)&gt;0.08,1,0)))</f>
        <v>1</v>
      </c>
      <c r="K4" s="9">
        <f>_xlfn.MINIFS('Draft Board'!$H$2:$H$61,'Draft Board'!$H$2:$H$61,"&gt;="&amp;H4,'Draft Board'!$J$2:$J$61,1)</f>
        <v>96.659136077159218</v>
      </c>
      <c r="L4" s="9">
        <f>IF(I4&lt;&gt;_xlfn.MINIFS('Draft Board'!$I$2:$I$61,'Draft Board'!$H$2:$H$61,"="&amp;H4),0,IF(OR(J4=1,IFERROR(FLOOR((K4-H4)/K4/0.25,1),0)&lt;&gt;IFERROR(FLOOR((K4-_xlfn.MINIFS('Draft Board'!$H$2:$H$61,'Draft Board'!$H$2:$H$61,"&gt;"&amp;H4))/K4/0.25,1),0)),1,0))</f>
        <v>1</v>
      </c>
      <c r="M4" s="9">
        <f>ROUND(1+H4*'Live Calc'!$D$26,0)</f>
        <v>14</v>
      </c>
      <c r="N4" s="9"/>
      <c r="O4" s="9">
        <f>IF(N4&lt;&gt;"",N4,ROUND(M4*INDEX('Live Calc'!$G$33:$G$92,MATCH(G4,'Live Calc'!$A$33:$A$92,0))*'Live Calc'!$J$543,0))</f>
        <v>14</v>
      </c>
      <c r="Q4" s="10" t="s">
        <v>72</v>
      </c>
      <c r="R4" s="10" t="s">
        <v>73</v>
      </c>
      <c r="S4" s="10">
        <v>255.13399999999999</v>
      </c>
      <c r="T4" s="10">
        <v>289.52999999999997</v>
      </c>
      <c r="U4" s="10">
        <v>327.45</v>
      </c>
      <c r="V4" s="10">
        <f>CHOOSE(MATCH(Setup!$B$7,{"STD","Half-PPR","PPR"},0),S4,T4,U4)</f>
        <v>289.52999999999997</v>
      </c>
      <c r="W4" s="10">
        <f>COUNTIFS('Draft Board'!$X$2:$X$161,"&gt;="&amp;X4,'Draft Board'!$AB$2:$AB$161,1)</f>
        <v>2</v>
      </c>
      <c r="X4" s="10">
        <f>MAX(0,V4-'Live Calc'!$H$20)^'Live Calc'!$E$20</f>
        <v>538.17157619564853</v>
      </c>
      <c r="Y4" s="10">
        <v>4</v>
      </c>
      <c r="Z4" s="10">
        <f>IF(Y4&lt;&gt;_xlfn.MINIFS('Draft Board'!$Y$2:$Y$161,'Draft Board'!$X$2:$X$161,"="&amp;X4),0,IF(_xlfn.MINIFS('Draft Board'!$X$2:$X$161,'Draft Board'!$X$2:$X$161,"&gt;"&amp;X4)=0,1,IF((_xlfn.MINIFS('Draft Board'!$X$2:$X$161,'Draft Board'!$X$2:$X$161,"&gt;"&amp;X4)-X4)/_xlfn.MINIFS('Draft Board'!$X$2:$X$161,'Draft Board'!$X$2:$X$161,"&gt;"&amp;X4)&gt;0.08,1,0)))</f>
        <v>1</v>
      </c>
      <c r="AA4" s="10">
        <f>_xlfn.MINIFS('Draft Board'!$X$2:$X$161,'Draft Board'!$X$2:$X$161,"&gt;="&amp;X4,'Draft Board'!$Z$2:$Z$161,1)</f>
        <v>538.17157619564853</v>
      </c>
      <c r="AB4" s="10">
        <f>IF(Y4&lt;&gt;_xlfn.MINIFS('Draft Board'!$Y$2:$Y$161,'Draft Board'!$X$2:$X$161,"="&amp;X4),0,IF(OR(Z4=1,IFERROR(FLOOR((AA4-X4)/AA4/0.25,1),0)&lt;&gt;IFERROR(FLOOR((AA4-_xlfn.MINIFS('Draft Board'!$X$2:$X$161,'Draft Board'!$X$2:$X$161,"&gt;"&amp;X4))/AA4/0.25,1),0)),1,0))</f>
        <v>1</v>
      </c>
      <c r="AC4" s="10">
        <f>ROUND(1+X4*'Live Calc'!$D$27,0)</f>
        <v>50</v>
      </c>
      <c r="AD4" s="10"/>
      <c r="AE4" s="10">
        <f>IF(AD4&lt;&gt;"",AD4,ROUND(AC4*INDEX('Live Calc'!$G$96:$G$255,MATCH(W4,'Live Calc'!$A$96:$A$255,0))*'Live Calc'!$J$543,0))</f>
        <v>50</v>
      </c>
      <c r="AG4" s="11" t="s">
        <v>74</v>
      </c>
      <c r="AH4" s="11" t="s">
        <v>75</v>
      </c>
      <c r="AI4" s="11">
        <v>206.86</v>
      </c>
      <c r="AJ4" s="11">
        <v>260.31</v>
      </c>
      <c r="AK4" s="11">
        <v>313.76</v>
      </c>
      <c r="AL4" s="11">
        <f>CHOOSE(MATCH(Setup!$B$7,{"STD","Half-PPR","PPR"},0),AI4,AJ4,AK4)</f>
        <v>260.31</v>
      </c>
      <c r="AM4" s="11">
        <f>COUNTIFS('Draft Board'!$AN$2:$AN$193,"&gt;="&amp;AN4,'Draft Board'!$AR$2:$AR$193,1)</f>
        <v>2</v>
      </c>
      <c r="AN4" s="11">
        <f>MAX(0,AL4-'Live Calc'!$H$21)^'Live Calc'!$E$21</f>
        <v>564.91791993278491</v>
      </c>
      <c r="AO4" s="11">
        <v>4</v>
      </c>
      <c r="AP4" s="11">
        <f>IF(AO4&lt;&gt;_xlfn.MINIFS('Draft Board'!$AO$2:$AO$193,'Draft Board'!$AN$2:$AN$193,"="&amp;AN4),0,IF(_xlfn.MINIFS('Draft Board'!$AN$2:$AN$193,'Draft Board'!$AN$2:$AN$193,"&gt;"&amp;AN4)=0,1,IF((_xlfn.MINIFS('Draft Board'!$AN$2:$AN$193,'Draft Board'!$AN$2:$AN$193,"&gt;"&amp;AN4)-AN4)/_xlfn.MINIFS('Draft Board'!$AN$2:$AN$193,'Draft Board'!$AN$2:$AN$193,"&gt;"&amp;AN4)&gt;0.08,1,0)))</f>
        <v>1</v>
      </c>
      <c r="AQ4" s="11">
        <f>_xlfn.MINIFS('Draft Board'!$AN$2:$AN$193,'Draft Board'!$AN$2:$AN$193,"&gt;="&amp;AN4,'Draft Board'!$AP$2:$AP$193,1)</f>
        <v>564.91791993278491</v>
      </c>
      <c r="AR4" s="11">
        <f>IF(AO4&lt;&gt;_xlfn.MINIFS('Draft Board'!$AO$2:$AO$193,'Draft Board'!$AN$2:$AN$193,"="&amp;AN4),0,IF(OR(AP4=1,IFERROR(FLOOR((AQ4-AN4)/AQ4/0.25,1),0)&lt;&gt;IFERROR(FLOOR((AQ4-_xlfn.MINIFS('Draft Board'!$AN$2:$AN$193,'Draft Board'!$AN$2:$AN$193,"&gt;"&amp;AN4))/AQ4/0.25,1),0)),1,0))</f>
        <v>1</v>
      </c>
      <c r="AS4" s="11">
        <f>ROUND(1+AN4*'Live Calc'!$D$28,0)</f>
        <v>47</v>
      </c>
      <c r="AT4" s="11"/>
      <c r="AU4" s="11">
        <f>IF(AT4&lt;&gt;"",AT4,ROUND(AS4*INDEX('Live Calc'!$G$259:$G$450,MATCH(AM4,'Live Calc'!$A$259:$A$450,0))*'Live Calc'!$J$543,0))</f>
        <v>47</v>
      </c>
      <c r="AW4" s="12" t="s">
        <v>76</v>
      </c>
      <c r="AX4" s="12" t="s">
        <v>77</v>
      </c>
      <c r="AY4" s="12">
        <v>131.02000000000001</v>
      </c>
      <c r="AZ4" s="12">
        <v>169.01</v>
      </c>
      <c r="BA4" s="12">
        <v>207</v>
      </c>
      <c r="BB4" s="12">
        <f>CHOOSE(MATCH(Setup!$B$7,{"STD","Half-PPR","PPR"},0),AY4,AZ4,BA4)</f>
        <v>169.01</v>
      </c>
      <c r="BC4" s="12">
        <f>COUNTIFS('Draft Board'!$BD$2:$BD$87,"&gt;="&amp;BD4,'Draft Board'!$BH$2:$BH$87,1)</f>
        <v>2</v>
      </c>
      <c r="BD4" s="12">
        <f>MAX(0,BB4-'Live Calc'!$H$22)^'Live Calc'!$E$22</f>
        <v>65.759999999999991</v>
      </c>
      <c r="BE4" s="12">
        <v>4</v>
      </c>
      <c r="BF4" s="12">
        <f>IF(BE4&lt;&gt;_xlfn.MINIFS('Draft Board'!$BE$2:$BE$87,'Draft Board'!$BD$2:$BD$87,"="&amp;BD4),0,IF(_xlfn.MINIFS('Draft Board'!$BD$2:$BD$87,'Draft Board'!$BD$2:$BD$87,"&gt;"&amp;BD4)=0,1,IF((_xlfn.MINIFS('Draft Board'!$BD$2:$BD$87,'Draft Board'!$BD$2:$BD$87,"&gt;"&amp;BD4)-BD4)/_xlfn.MINIFS('Draft Board'!$BD$2:$BD$87,'Draft Board'!$BD$2:$BD$87,"&gt;"&amp;BD4)&gt;0.08,1,0)))</f>
        <v>1</v>
      </c>
      <c r="BG4" s="12">
        <f>_xlfn.MINIFS('Draft Board'!$BD$2:$BD$87,'Draft Board'!$BD$2:$BD$87,"&gt;="&amp;BD4,'Draft Board'!$BF$2:$BF$87,1)</f>
        <v>65.759999999999991</v>
      </c>
      <c r="BH4" s="12">
        <f>IF(BE4&lt;&gt;_xlfn.MINIFS('Draft Board'!$BE$2:$BE$87,'Draft Board'!$BD$2:$BD$87,"="&amp;BD4),0,IF(OR(BF4=1,IFERROR(FLOOR((BG4-BD4)/BG4/0.25,1),0)&lt;&gt;IFERROR(FLOOR((BG4-_xlfn.MINIFS('Draft Board'!$BD$2:$BD$87,'Draft Board'!$BD$2:$BD$87,"&gt;"&amp;BD4))/BG4/0.25,1),0)),1,0))</f>
        <v>1</v>
      </c>
      <c r="BI4" s="12">
        <f>ROUND(1+BD4*'Live Calc'!$D$29,0)</f>
        <v>19</v>
      </c>
      <c r="BJ4" s="12"/>
      <c r="BK4" s="12">
        <f>IF(BJ4&lt;&gt;"",BJ4,ROUND(BI4*INDEX('Live Calc'!$G$454:$G$539,MATCH(BC4,'Live Calc'!$A$454:$A$539,0))*'Live Calc'!$J$543,0))</f>
        <v>19</v>
      </c>
    </row>
    <row r="5" spans="1:63" x14ac:dyDescent="0.25">
      <c r="A5" s="9" t="s">
        <v>78</v>
      </c>
      <c r="B5" s="9" t="s">
        <v>79</v>
      </c>
      <c r="C5" s="9">
        <v>308.25799999999998</v>
      </c>
      <c r="D5" s="9">
        <v>308.25799999999998</v>
      </c>
      <c r="E5" s="9">
        <v>308.25799999999998</v>
      </c>
      <c r="F5" s="9">
        <f>CHOOSE(MATCH(Setup!$B$7,{"STD","Half-PPR","PPR"},0),C5,D5,E5)</f>
        <v>308.25799999999998</v>
      </c>
      <c r="G5" s="9">
        <f>COUNTIFS('Draft Board'!$H$2:$H$61,"&gt;="&amp;H5,'Draft Board'!$L$2:$L$61,1)</f>
        <v>3</v>
      </c>
      <c r="H5" s="9">
        <f>MAX(0,F5-'Live Calc'!$H$19)^'Live Calc'!$E$19</f>
        <v>94.012256671953963</v>
      </c>
      <c r="I5" s="9">
        <v>5</v>
      </c>
      <c r="J5" s="9">
        <f>IF(I5&lt;&gt;_xlfn.MINIFS('Draft Board'!$I$2:$I$61,'Draft Board'!$H$2:$H$61,"="&amp;H5),0,IF(_xlfn.MINIFS('Draft Board'!$H$2:$H$61,'Draft Board'!$H$2:$H$61,"&gt;"&amp;H5)=0,1,IF((_xlfn.MINIFS('Draft Board'!$H$2:$H$61,'Draft Board'!$H$2:$H$61,"&gt;"&amp;H5)-H5)/_xlfn.MINIFS('Draft Board'!$H$2:$H$61,'Draft Board'!$H$2:$H$61,"&gt;"&amp;H5)&gt;0.08,1,0)))</f>
        <v>0</v>
      </c>
      <c r="K5" s="9">
        <f>_xlfn.MINIFS('Draft Board'!$H$2:$H$61,'Draft Board'!$H$2:$H$61,"&gt;="&amp;H5,'Draft Board'!$J$2:$J$61,1)</f>
        <v>96.659136077159218</v>
      </c>
      <c r="L5" s="9">
        <f>IF(I5&lt;&gt;_xlfn.MINIFS('Draft Board'!$I$2:$I$61,'Draft Board'!$H$2:$H$61,"="&amp;H5),0,IF(OR(J5=1,IFERROR(FLOOR((K5-H5)/K5/0.25,1),0)&lt;&gt;IFERROR(FLOOR((K5-_xlfn.MINIFS('Draft Board'!$H$2:$H$61,'Draft Board'!$H$2:$H$61,"&gt;"&amp;H5))/K5/0.25,1),0)),1,0))</f>
        <v>0</v>
      </c>
      <c r="M5" s="9">
        <f>ROUND(1+H5*'Live Calc'!$D$26,0)</f>
        <v>14</v>
      </c>
      <c r="N5" s="9"/>
      <c r="O5" s="9">
        <f>IF(N5&lt;&gt;"",N5,ROUND(M5*INDEX('Live Calc'!$G$33:$G$92,MATCH(G5,'Live Calc'!$A$33:$A$92,0))*'Live Calc'!$J$543,0))</f>
        <v>14</v>
      </c>
      <c r="Q5" s="10" t="s">
        <v>80</v>
      </c>
      <c r="R5" s="10" t="s">
        <v>81</v>
      </c>
      <c r="S5" s="10">
        <v>256.89600000000002</v>
      </c>
      <c r="T5" s="10">
        <v>281.54000000000002</v>
      </c>
      <c r="U5" s="10">
        <v>302.67</v>
      </c>
      <c r="V5" s="10">
        <f>CHOOSE(MATCH(Setup!$B$7,{"STD","Half-PPR","PPR"},0),S5,T5,U5)</f>
        <v>281.54000000000002</v>
      </c>
      <c r="W5" s="10">
        <f>COUNTIFS('Draft Board'!$X$2:$X$161,"&gt;="&amp;X5,'Draft Board'!$AB$2:$AB$161,1)</f>
        <v>2</v>
      </c>
      <c r="X5" s="10">
        <f>MAX(0,V5-'Live Calc'!$H$20)^'Live Calc'!$E$20</f>
        <v>510.94347245770865</v>
      </c>
      <c r="Y5" s="10">
        <v>5</v>
      </c>
      <c r="Z5" s="10">
        <f>IF(Y5&lt;&gt;_xlfn.MINIFS('Draft Board'!$Y$2:$Y$161,'Draft Board'!$X$2:$X$161,"="&amp;X5),0,IF(_xlfn.MINIFS('Draft Board'!$X$2:$X$161,'Draft Board'!$X$2:$X$161,"&gt;"&amp;X5)=0,1,IF((_xlfn.MINIFS('Draft Board'!$X$2:$X$161,'Draft Board'!$X$2:$X$161,"&gt;"&amp;X5)-X5)/_xlfn.MINIFS('Draft Board'!$X$2:$X$161,'Draft Board'!$X$2:$X$161,"&gt;"&amp;X5)&gt;0.08,1,0)))</f>
        <v>0</v>
      </c>
      <c r="AA5" s="10">
        <f>_xlfn.MINIFS('Draft Board'!$X$2:$X$161,'Draft Board'!$X$2:$X$161,"&gt;="&amp;X5,'Draft Board'!$Z$2:$Z$161,1)</f>
        <v>538.17157619564853</v>
      </c>
      <c r="AB5" s="10">
        <f>IF(Y5&lt;&gt;_xlfn.MINIFS('Draft Board'!$Y$2:$Y$161,'Draft Board'!$X$2:$X$161,"="&amp;X5),0,IF(OR(Z5=1,IFERROR(FLOOR((AA5-X5)/AA5/0.25,1),0)&lt;&gt;IFERROR(FLOOR((AA5-_xlfn.MINIFS('Draft Board'!$X$2:$X$161,'Draft Board'!$X$2:$X$161,"&gt;"&amp;X5))/AA5/0.25,1),0)),1,0))</f>
        <v>0</v>
      </c>
      <c r="AC5" s="10">
        <f>ROUND(1+X5*'Live Calc'!$D$27,0)</f>
        <v>48</v>
      </c>
      <c r="AD5" s="10"/>
      <c r="AE5" s="10">
        <f>IF(AD5&lt;&gt;"",AD5,ROUND(AC5*INDEX('Live Calc'!$G$96:$G$255,MATCH(W5,'Live Calc'!$A$96:$A$255,0))*'Live Calc'!$J$543,0))</f>
        <v>48</v>
      </c>
      <c r="AG5" s="11" t="s">
        <v>82</v>
      </c>
      <c r="AH5" s="11" t="s">
        <v>57</v>
      </c>
      <c r="AI5" s="11">
        <v>194.82</v>
      </c>
      <c r="AJ5" s="11">
        <v>251.54</v>
      </c>
      <c r="AK5" s="11">
        <v>308.25</v>
      </c>
      <c r="AL5" s="11">
        <f>CHOOSE(MATCH(Setup!$B$7,{"STD","Half-PPR","PPR"},0),AI5,AJ5,AK5)</f>
        <v>251.54</v>
      </c>
      <c r="AM5" s="11">
        <f>COUNTIFS('Draft Board'!$AN$2:$AN$193,"&gt;="&amp;AN5,'Draft Board'!$AR$2:$AR$193,1)</f>
        <v>2</v>
      </c>
      <c r="AN5" s="11">
        <f>MAX(0,AL5-'Live Calc'!$H$21)^'Live Calc'!$E$21</f>
        <v>526.25801798085718</v>
      </c>
      <c r="AO5" s="11">
        <v>5</v>
      </c>
      <c r="AP5" s="11">
        <f>IF(AO5&lt;&gt;_xlfn.MINIFS('Draft Board'!$AO$2:$AO$193,'Draft Board'!$AN$2:$AN$193,"="&amp;AN5),0,IF(_xlfn.MINIFS('Draft Board'!$AN$2:$AN$193,'Draft Board'!$AN$2:$AN$193,"&gt;"&amp;AN5)=0,1,IF((_xlfn.MINIFS('Draft Board'!$AN$2:$AN$193,'Draft Board'!$AN$2:$AN$193,"&gt;"&amp;AN5)-AN5)/_xlfn.MINIFS('Draft Board'!$AN$2:$AN$193,'Draft Board'!$AN$2:$AN$193,"&gt;"&amp;AN5)&gt;0.08,1,0)))</f>
        <v>0</v>
      </c>
      <c r="AQ5" s="11">
        <f>_xlfn.MINIFS('Draft Board'!$AN$2:$AN$193,'Draft Board'!$AN$2:$AN$193,"&gt;="&amp;AN5,'Draft Board'!$AP$2:$AP$193,1)</f>
        <v>564.91791993278491</v>
      </c>
      <c r="AR5" s="11">
        <f>IF(AO5&lt;&gt;_xlfn.MINIFS('Draft Board'!$AO$2:$AO$193,'Draft Board'!$AN$2:$AN$193,"="&amp;AN5),0,IF(OR(AP5=1,IFERROR(FLOOR((AQ5-AN5)/AQ5/0.25,1),0)&lt;&gt;IFERROR(FLOOR((AQ5-_xlfn.MINIFS('Draft Board'!$AN$2:$AN$193,'Draft Board'!$AN$2:$AN$193,"&gt;"&amp;AN5))/AQ5/0.25,1),0)),1,0))</f>
        <v>0</v>
      </c>
      <c r="AS5" s="11">
        <f>ROUND(1+AN5*'Live Calc'!$D$28,0)</f>
        <v>44</v>
      </c>
      <c r="AT5" s="11"/>
      <c r="AU5" s="11">
        <f>IF(AT5&lt;&gt;"",AT5,ROUND(AS5*INDEX('Live Calc'!$G$259:$G$450,MATCH(AM5,'Live Calc'!$A$259:$A$450,0))*'Live Calc'!$J$543,0))</f>
        <v>44</v>
      </c>
      <c r="AW5" s="12" t="s">
        <v>83</v>
      </c>
      <c r="AX5" s="12" t="s">
        <v>81</v>
      </c>
      <c r="AY5" s="12">
        <v>121.14</v>
      </c>
      <c r="AZ5" s="12">
        <v>161.46</v>
      </c>
      <c r="BA5" s="12">
        <v>201.79</v>
      </c>
      <c r="BB5" s="12">
        <f>CHOOSE(MATCH(Setup!$B$7,{"STD","Half-PPR","PPR"},0),AY5,AZ5,BA5)</f>
        <v>161.46</v>
      </c>
      <c r="BC5" s="12">
        <f>COUNTIFS('Draft Board'!$BD$2:$BD$87,"&gt;="&amp;BD5,'Draft Board'!$BH$2:$BH$87,1)</f>
        <v>3</v>
      </c>
      <c r="BD5" s="12">
        <f>MAX(0,BB5-'Live Calc'!$H$22)^'Live Calc'!$E$22</f>
        <v>58.210000000000008</v>
      </c>
      <c r="BE5" s="12">
        <v>5</v>
      </c>
      <c r="BF5" s="12">
        <f>IF(BE5&lt;&gt;_xlfn.MINIFS('Draft Board'!$BE$2:$BE$87,'Draft Board'!$BD$2:$BD$87,"="&amp;BD5),0,IF(_xlfn.MINIFS('Draft Board'!$BD$2:$BD$87,'Draft Board'!$BD$2:$BD$87,"&gt;"&amp;BD5)=0,1,IF((_xlfn.MINIFS('Draft Board'!$BD$2:$BD$87,'Draft Board'!$BD$2:$BD$87,"&gt;"&amp;BD5)-BD5)/_xlfn.MINIFS('Draft Board'!$BD$2:$BD$87,'Draft Board'!$BD$2:$BD$87,"&gt;"&amp;BD5)&gt;0.08,1,0)))</f>
        <v>1</v>
      </c>
      <c r="BG5" s="12">
        <f>_xlfn.MINIFS('Draft Board'!$BD$2:$BD$87,'Draft Board'!$BD$2:$BD$87,"&gt;="&amp;BD5,'Draft Board'!$BF$2:$BF$87,1)</f>
        <v>58.210000000000008</v>
      </c>
      <c r="BH5" s="12">
        <f>IF(BE5&lt;&gt;_xlfn.MINIFS('Draft Board'!$BE$2:$BE$87,'Draft Board'!$BD$2:$BD$87,"="&amp;BD5),0,IF(OR(BF5=1,IFERROR(FLOOR((BG5-BD5)/BG5/0.25,1),0)&lt;&gt;IFERROR(FLOOR((BG5-_xlfn.MINIFS('Draft Board'!$BD$2:$BD$87,'Draft Board'!$BD$2:$BD$87,"&gt;"&amp;BD5))/BG5/0.25,1),0)),1,0))</f>
        <v>1</v>
      </c>
      <c r="BI5" s="12">
        <f>ROUND(1+BD5*'Live Calc'!$D$29,0)</f>
        <v>17</v>
      </c>
      <c r="BJ5" s="12"/>
      <c r="BK5" s="12">
        <f>IF(BJ5&lt;&gt;"",BJ5,ROUND(BI5*INDEX('Live Calc'!$G$454:$G$539,MATCH(BC5,'Live Calc'!$A$454:$A$539,0))*'Live Calc'!$J$543,0))</f>
        <v>17</v>
      </c>
    </row>
    <row r="6" spans="1:63" x14ac:dyDescent="0.25">
      <c r="A6" s="9" t="s">
        <v>84</v>
      </c>
      <c r="B6" s="9" t="s">
        <v>85</v>
      </c>
      <c r="C6" s="9">
        <v>306.536</v>
      </c>
      <c r="D6" s="9">
        <v>306.536</v>
      </c>
      <c r="E6" s="9">
        <v>306.536</v>
      </c>
      <c r="F6" s="9">
        <f>CHOOSE(MATCH(Setup!$B$7,{"STD","Half-PPR","PPR"},0),C6,D6,E6)</f>
        <v>306.536</v>
      </c>
      <c r="G6" s="9">
        <f>COUNTIFS('Draft Board'!$H$2:$H$61,"&gt;="&amp;H6,'Draft Board'!$L$2:$L$61,1)</f>
        <v>3</v>
      </c>
      <c r="H6" s="9">
        <f>MAX(0,F6-'Live Calc'!$H$19)^'Live Calc'!$E$19</f>
        <v>89.623304812477684</v>
      </c>
      <c r="I6" s="9">
        <v>6</v>
      </c>
      <c r="J6" s="9">
        <f>IF(I6&lt;&gt;_xlfn.MINIFS('Draft Board'!$I$2:$I$61,'Draft Board'!$H$2:$H$61,"="&amp;H6),0,IF(_xlfn.MINIFS('Draft Board'!$H$2:$H$61,'Draft Board'!$H$2:$H$61,"&gt;"&amp;H6)=0,1,IF((_xlfn.MINIFS('Draft Board'!$H$2:$H$61,'Draft Board'!$H$2:$H$61,"&gt;"&amp;H6)-H6)/_xlfn.MINIFS('Draft Board'!$H$2:$H$61,'Draft Board'!$H$2:$H$61,"&gt;"&amp;H6)&gt;0.08,1,0)))</f>
        <v>0</v>
      </c>
      <c r="K6" s="9">
        <f>_xlfn.MINIFS('Draft Board'!$H$2:$H$61,'Draft Board'!$H$2:$H$61,"&gt;="&amp;H6,'Draft Board'!$J$2:$J$61,1)</f>
        <v>96.659136077159218</v>
      </c>
      <c r="L6" s="9">
        <f>IF(I6&lt;&gt;_xlfn.MINIFS('Draft Board'!$I$2:$I$61,'Draft Board'!$H$2:$H$61,"="&amp;H6),0,IF(OR(J6=1,IFERROR(FLOOR((K6-H6)/K6/0.25,1),0)&lt;&gt;IFERROR(FLOOR((K6-_xlfn.MINIFS('Draft Board'!$H$2:$H$61,'Draft Board'!$H$2:$H$61,"&gt;"&amp;H6))/K6/0.25,1),0)),1,0))</f>
        <v>0</v>
      </c>
      <c r="M6" s="9">
        <f>ROUND(1+H6*'Live Calc'!$D$26,0)</f>
        <v>13</v>
      </c>
      <c r="N6" s="9"/>
      <c r="O6" s="9">
        <f>IF(N6&lt;&gt;"",N6,ROUND(M6*INDEX('Live Calc'!$G$33:$G$92,MATCH(G6,'Live Calc'!$A$33:$A$92,0))*'Live Calc'!$J$543,0))</f>
        <v>13</v>
      </c>
      <c r="Q6" s="10" t="s">
        <v>86</v>
      </c>
      <c r="R6" s="10" t="s">
        <v>55</v>
      </c>
      <c r="S6" s="10">
        <v>233.90199999999999</v>
      </c>
      <c r="T6" s="10">
        <v>250.61799999999999</v>
      </c>
      <c r="U6" s="10">
        <v>266.05799999999999</v>
      </c>
      <c r="V6" s="10">
        <f>CHOOSE(MATCH(Setup!$B$7,{"STD","Half-PPR","PPR"},0),S6,T6,U6)</f>
        <v>250.61799999999999</v>
      </c>
      <c r="W6" s="10">
        <f>COUNTIFS('Draft Board'!$X$2:$X$161,"&gt;="&amp;X6,'Draft Board'!$AB$2:$AB$161,1)</f>
        <v>3</v>
      </c>
      <c r="X6" s="10">
        <f>MAX(0,V6-'Live Calc'!$H$20)^'Live Calc'!$E$20</f>
        <v>407.91104779583418</v>
      </c>
      <c r="Y6" s="10">
        <v>6</v>
      </c>
      <c r="Z6" s="10">
        <f>IF(Y6&lt;&gt;_xlfn.MINIFS('Draft Board'!$Y$2:$Y$161,'Draft Board'!$X$2:$X$161,"="&amp;X6),0,IF(_xlfn.MINIFS('Draft Board'!$X$2:$X$161,'Draft Board'!$X$2:$X$161,"&gt;"&amp;X6)=0,1,IF((_xlfn.MINIFS('Draft Board'!$X$2:$X$161,'Draft Board'!$X$2:$X$161,"&gt;"&amp;X6)-X6)/_xlfn.MINIFS('Draft Board'!$X$2:$X$161,'Draft Board'!$X$2:$X$161,"&gt;"&amp;X6)&gt;0.08,1,0)))</f>
        <v>1</v>
      </c>
      <c r="AA6" s="10">
        <f>_xlfn.MINIFS('Draft Board'!$X$2:$X$161,'Draft Board'!$X$2:$X$161,"&gt;="&amp;X6,'Draft Board'!$Z$2:$Z$161,1)</f>
        <v>407.91104779583418</v>
      </c>
      <c r="AB6" s="10">
        <f>IF(Y6&lt;&gt;_xlfn.MINIFS('Draft Board'!$Y$2:$Y$161,'Draft Board'!$X$2:$X$161,"="&amp;X6),0,IF(OR(Z6=1,IFERROR(FLOOR((AA6-X6)/AA6/0.25,1),0)&lt;&gt;IFERROR(FLOOR((AA6-_xlfn.MINIFS('Draft Board'!$X$2:$X$161,'Draft Board'!$X$2:$X$161,"&gt;"&amp;X6))/AA6/0.25,1),0)),1,0))</f>
        <v>1</v>
      </c>
      <c r="AC6" s="10">
        <f>ROUND(1+X6*'Live Calc'!$D$27,0)</f>
        <v>38</v>
      </c>
      <c r="AD6" s="10"/>
      <c r="AE6" s="10">
        <f>IF(AD6&lt;&gt;"",AD6,ROUND(AC6*INDEX('Live Calc'!$G$96:$G$255,MATCH(W6,'Live Calc'!$A$96:$A$255,0))*'Live Calc'!$J$543,0))</f>
        <v>38</v>
      </c>
      <c r="AG6" s="11" t="s">
        <v>87</v>
      </c>
      <c r="AH6" s="11" t="s">
        <v>88</v>
      </c>
      <c r="AI6" s="11">
        <v>174.29</v>
      </c>
      <c r="AJ6" s="11">
        <v>222.49</v>
      </c>
      <c r="AK6" s="11">
        <v>270.75</v>
      </c>
      <c r="AL6" s="11">
        <f>CHOOSE(MATCH(Setup!$B$7,{"STD","Half-PPR","PPR"},0),AI6,AJ6,AK6)</f>
        <v>222.49</v>
      </c>
      <c r="AM6" s="11">
        <f>COUNTIFS('Draft Board'!$AN$2:$AN$193,"&gt;="&amp;AN6,'Draft Board'!$AR$2:$AR$193,1)</f>
        <v>3</v>
      </c>
      <c r="AN6" s="11">
        <f>MAX(0,AL6-'Live Calc'!$H$21)^'Live Calc'!$E$21</f>
        <v>402.3483124188262</v>
      </c>
      <c r="AO6" s="11">
        <v>6</v>
      </c>
      <c r="AP6" s="11">
        <f>IF(AO6&lt;&gt;_xlfn.MINIFS('Draft Board'!$AO$2:$AO$193,'Draft Board'!$AN$2:$AN$193,"="&amp;AN6),0,IF(_xlfn.MINIFS('Draft Board'!$AN$2:$AN$193,'Draft Board'!$AN$2:$AN$193,"&gt;"&amp;AN6)=0,1,IF((_xlfn.MINIFS('Draft Board'!$AN$2:$AN$193,'Draft Board'!$AN$2:$AN$193,"&gt;"&amp;AN6)-AN6)/_xlfn.MINIFS('Draft Board'!$AN$2:$AN$193,'Draft Board'!$AN$2:$AN$193,"&gt;"&amp;AN6)&gt;0.08,1,0)))</f>
        <v>1</v>
      </c>
      <c r="AQ6" s="11">
        <f>_xlfn.MINIFS('Draft Board'!$AN$2:$AN$193,'Draft Board'!$AN$2:$AN$193,"&gt;="&amp;AN6,'Draft Board'!$AP$2:$AP$193,1)</f>
        <v>402.3483124188262</v>
      </c>
      <c r="AR6" s="11">
        <f>IF(AO6&lt;&gt;_xlfn.MINIFS('Draft Board'!$AO$2:$AO$193,'Draft Board'!$AN$2:$AN$193,"="&amp;AN6),0,IF(OR(AP6=1,IFERROR(FLOOR((AQ6-AN6)/AQ6/0.25,1),0)&lt;&gt;IFERROR(FLOOR((AQ6-_xlfn.MINIFS('Draft Board'!$AN$2:$AN$193,'Draft Board'!$AN$2:$AN$193,"&gt;"&amp;AN6))/AQ6/0.25,1),0)),1,0))</f>
        <v>1</v>
      </c>
      <c r="AS6" s="11">
        <f>ROUND(1+AN6*'Live Calc'!$D$28,0)</f>
        <v>34</v>
      </c>
      <c r="AT6" s="11"/>
      <c r="AU6" s="11">
        <f>IF(AT6&lt;&gt;"",AT6,ROUND(AS6*INDEX('Live Calc'!$G$259:$G$450,MATCH(AM6,'Live Calc'!$A$259:$A$450,0))*'Live Calc'!$J$543,0))</f>
        <v>34</v>
      </c>
      <c r="AW6" s="12" t="s">
        <v>89</v>
      </c>
      <c r="AX6" s="12" t="s">
        <v>90</v>
      </c>
      <c r="AY6" s="12">
        <v>111.82</v>
      </c>
      <c r="AZ6" s="12">
        <v>147.922</v>
      </c>
      <c r="BA6" s="12">
        <v>183.04400000000001</v>
      </c>
      <c r="BB6" s="12">
        <f>CHOOSE(MATCH(Setup!$B$7,{"STD","Half-PPR","PPR"},0),AY6,AZ6,BA6)</f>
        <v>147.922</v>
      </c>
      <c r="BC6" s="12">
        <f>COUNTIFS('Draft Board'!$BD$2:$BD$87,"&gt;="&amp;BD6,'Draft Board'!$BH$2:$BH$87,1)</f>
        <v>4</v>
      </c>
      <c r="BD6" s="12">
        <f>MAX(0,BB6-'Live Calc'!$H$22)^'Live Calc'!$E$22</f>
        <v>44.671999999999997</v>
      </c>
      <c r="BE6" s="12">
        <v>6</v>
      </c>
      <c r="BF6" s="12">
        <f>IF(BE6&lt;&gt;_xlfn.MINIFS('Draft Board'!$BE$2:$BE$87,'Draft Board'!$BD$2:$BD$87,"="&amp;BD6),0,IF(_xlfn.MINIFS('Draft Board'!$BD$2:$BD$87,'Draft Board'!$BD$2:$BD$87,"&gt;"&amp;BD6)=0,1,IF((_xlfn.MINIFS('Draft Board'!$BD$2:$BD$87,'Draft Board'!$BD$2:$BD$87,"&gt;"&amp;BD6)-BD6)/_xlfn.MINIFS('Draft Board'!$BD$2:$BD$87,'Draft Board'!$BD$2:$BD$87,"&gt;"&amp;BD6)&gt;0.08,1,0)))</f>
        <v>1</v>
      </c>
      <c r="BG6" s="12">
        <f>_xlfn.MINIFS('Draft Board'!$BD$2:$BD$87,'Draft Board'!$BD$2:$BD$87,"&gt;="&amp;BD6,'Draft Board'!$BF$2:$BF$87,1)</f>
        <v>44.671999999999997</v>
      </c>
      <c r="BH6" s="12">
        <f>IF(BE6&lt;&gt;_xlfn.MINIFS('Draft Board'!$BE$2:$BE$87,'Draft Board'!$BD$2:$BD$87,"="&amp;BD6),0,IF(OR(BF6=1,IFERROR(FLOOR((BG6-BD6)/BG6/0.25,1),0)&lt;&gt;IFERROR(FLOOR((BG6-_xlfn.MINIFS('Draft Board'!$BD$2:$BD$87,'Draft Board'!$BD$2:$BD$87,"&gt;"&amp;BD6))/BG6/0.25,1),0)),1,0))</f>
        <v>1</v>
      </c>
      <c r="BI6" s="12">
        <f>ROUND(1+BD6*'Live Calc'!$D$29,0)</f>
        <v>13</v>
      </c>
      <c r="BJ6" s="12"/>
      <c r="BK6" s="12">
        <f>IF(BJ6&lt;&gt;"",BJ6,ROUND(BI6*INDEX('Live Calc'!$G$454:$G$539,MATCH(BC6,'Live Calc'!$A$454:$A$539,0))*'Live Calc'!$J$543,0))</f>
        <v>13</v>
      </c>
    </row>
    <row r="7" spans="1:63" x14ac:dyDescent="0.25">
      <c r="A7" s="9" t="s">
        <v>91</v>
      </c>
      <c r="B7" s="9" t="s">
        <v>67</v>
      </c>
      <c r="C7" s="9">
        <v>305.06599999999997</v>
      </c>
      <c r="D7" s="9">
        <v>305.06599999999997</v>
      </c>
      <c r="E7" s="9">
        <v>305.06599999999997</v>
      </c>
      <c r="F7" s="9">
        <f>CHOOSE(MATCH(Setup!$B$7,{"STD","Half-PPR","PPR"},0),C7,D7,E7)</f>
        <v>305.06599999999997</v>
      </c>
      <c r="G7" s="9">
        <f>COUNTIFS('Draft Board'!$H$2:$H$61,"&gt;="&amp;H7,'Draft Board'!$L$2:$L$61,1)</f>
        <v>3</v>
      </c>
      <c r="H7" s="9">
        <f>MAX(0,F7-'Live Calc'!$H$19)^'Live Calc'!$E$19</f>
        <v>85.904714451580389</v>
      </c>
      <c r="I7" s="9">
        <v>7</v>
      </c>
      <c r="J7" s="9">
        <f>IF(I7&lt;&gt;_xlfn.MINIFS('Draft Board'!$I$2:$I$61,'Draft Board'!$H$2:$H$61,"="&amp;H7),0,IF(_xlfn.MINIFS('Draft Board'!$H$2:$H$61,'Draft Board'!$H$2:$H$61,"&gt;"&amp;H7)=0,1,IF((_xlfn.MINIFS('Draft Board'!$H$2:$H$61,'Draft Board'!$H$2:$H$61,"&gt;"&amp;H7)-H7)/_xlfn.MINIFS('Draft Board'!$H$2:$H$61,'Draft Board'!$H$2:$H$61,"&gt;"&amp;H7)&gt;0.08,1,0)))</f>
        <v>0</v>
      </c>
      <c r="K7" s="9">
        <f>_xlfn.MINIFS('Draft Board'!$H$2:$H$61,'Draft Board'!$H$2:$H$61,"&gt;="&amp;H7,'Draft Board'!$J$2:$J$61,1)</f>
        <v>96.659136077159218</v>
      </c>
      <c r="L7" s="9">
        <f>IF(I7&lt;&gt;_xlfn.MINIFS('Draft Board'!$I$2:$I$61,'Draft Board'!$H$2:$H$61,"="&amp;H7),0,IF(OR(J7=1,IFERROR(FLOOR((K7-H7)/K7/0.25,1),0)&lt;&gt;IFERROR(FLOOR((K7-_xlfn.MINIFS('Draft Board'!$H$2:$H$61,'Draft Board'!$H$2:$H$61,"&gt;"&amp;H7))/K7/0.25,1),0)),1,0))</f>
        <v>0</v>
      </c>
      <c r="M7" s="9">
        <f>ROUND(1+H7*'Live Calc'!$D$26,0)</f>
        <v>13</v>
      </c>
      <c r="N7" s="9"/>
      <c r="O7" s="9">
        <f>IF(N7&lt;&gt;"",N7,ROUND(M7*INDEX('Live Calc'!$G$33:$G$92,MATCH(G7,'Live Calc'!$A$33:$A$92,0))*'Live Calc'!$J$543,0))</f>
        <v>13</v>
      </c>
      <c r="Q7" s="10" t="s">
        <v>92</v>
      </c>
      <c r="R7" s="10" t="s">
        <v>93</v>
      </c>
      <c r="S7" s="10">
        <v>213.31800000000001</v>
      </c>
      <c r="T7" s="10">
        <v>245.74</v>
      </c>
      <c r="U7" s="10">
        <v>277.26</v>
      </c>
      <c r="V7" s="10">
        <f>CHOOSE(MATCH(Setup!$B$7,{"STD","Half-PPR","PPR"},0),S7,T7,U7)</f>
        <v>245.74</v>
      </c>
      <c r="W7" s="10">
        <f>COUNTIFS('Draft Board'!$X$2:$X$161,"&gt;="&amp;X7,'Draft Board'!$AB$2:$AB$161,1)</f>
        <v>3</v>
      </c>
      <c r="X7" s="10">
        <f>MAX(0,V7-'Live Calc'!$H$20)^'Live Calc'!$E$20</f>
        <v>392.02235646046171</v>
      </c>
      <c r="Y7" s="10">
        <v>7</v>
      </c>
      <c r="Z7" s="10">
        <f>IF(Y7&lt;&gt;_xlfn.MINIFS('Draft Board'!$Y$2:$Y$161,'Draft Board'!$X$2:$X$161,"="&amp;X7),0,IF(_xlfn.MINIFS('Draft Board'!$X$2:$X$161,'Draft Board'!$X$2:$X$161,"&gt;"&amp;X7)=0,1,IF((_xlfn.MINIFS('Draft Board'!$X$2:$X$161,'Draft Board'!$X$2:$X$161,"&gt;"&amp;X7)-X7)/_xlfn.MINIFS('Draft Board'!$X$2:$X$161,'Draft Board'!$X$2:$X$161,"&gt;"&amp;X7)&gt;0.08,1,0)))</f>
        <v>0</v>
      </c>
      <c r="AA7" s="10">
        <f>_xlfn.MINIFS('Draft Board'!$X$2:$X$161,'Draft Board'!$X$2:$X$161,"&gt;="&amp;X7,'Draft Board'!$Z$2:$Z$161,1)</f>
        <v>407.91104779583418</v>
      </c>
      <c r="AB7" s="10">
        <f>IF(Y7&lt;&gt;_xlfn.MINIFS('Draft Board'!$Y$2:$Y$161,'Draft Board'!$X$2:$X$161,"="&amp;X7),0,IF(OR(Z7=1,IFERROR(FLOOR((AA7-X7)/AA7/0.25,1),0)&lt;&gt;IFERROR(FLOOR((AA7-_xlfn.MINIFS('Draft Board'!$X$2:$X$161,'Draft Board'!$X$2:$X$161,"&gt;"&amp;X7))/AA7/0.25,1),0)),1,0))</f>
        <v>0</v>
      </c>
      <c r="AC7" s="10">
        <f>ROUND(1+X7*'Live Calc'!$D$27,0)</f>
        <v>37</v>
      </c>
      <c r="AD7" s="10"/>
      <c r="AE7" s="10">
        <f>IF(AD7&lt;&gt;"",AD7,ROUND(AC7*INDEX('Live Calc'!$G$96:$G$255,MATCH(W7,'Live Calc'!$A$96:$A$255,0))*'Live Calc'!$J$543,0))</f>
        <v>37</v>
      </c>
      <c r="AG7" s="11" t="s">
        <v>94</v>
      </c>
      <c r="AH7" s="11" t="s">
        <v>65</v>
      </c>
      <c r="AI7" s="11">
        <v>170.76</v>
      </c>
      <c r="AJ7" s="11">
        <v>219.77799999999999</v>
      </c>
      <c r="AK7" s="11">
        <v>267.74200000000002</v>
      </c>
      <c r="AL7" s="11">
        <f>CHOOSE(MATCH(Setup!$B$7,{"STD","Half-PPR","PPR"},0),AI7,AJ7,AK7)</f>
        <v>219.77799999999999</v>
      </c>
      <c r="AM7" s="11">
        <f>COUNTIFS('Draft Board'!$AN$2:$AN$193,"&gt;="&amp;AN7,'Draft Board'!$AR$2:$AR$193,1)</f>
        <v>3</v>
      </c>
      <c r="AN7" s="11">
        <f>MAX(0,AL7-'Live Calc'!$H$21)^'Live Calc'!$E$21</f>
        <v>391.13078022688944</v>
      </c>
      <c r="AO7" s="11">
        <v>7</v>
      </c>
      <c r="AP7" s="11">
        <f>IF(AO7&lt;&gt;_xlfn.MINIFS('Draft Board'!$AO$2:$AO$193,'Draft Board'!$AN$2:$AN$193,"="&amp;AN7),0,IF(_xlfn.MINIFS('Draft Board'!$AN$2:$AN$193,'Draft Board'!$AN$2:$AN$193,"&gt;"&amp;AN7)=0,1,IF((_xlfn.MINIFS('Draft Board'!$AN$2:$AN$193,'Draft Board'!$AN$2:$AN$193,"&gt;"&amp;AN7)-AN7)/_xlfn.MINIFS('Draft Board'!$AN$2:$AN$193,'Draft Board'!$AN$2:$AN$193,"&gt;"&amp;AN7)&gt;0.08,1,0)))</f>
        <v>0</v>
      </c>
      <c r="AQ7" s="11">
        <f>_xlfn.MINIFS('Draft Board'!$AN$2:$AN$193,'Draft Board'!$AN$2:$AN$193,"&gt;="&amp;AN7,'Draft Board'!$AP$2:$AP$193,1)</f>
        <v>402.3483124188262</v>
      </c>
      <c r="AR7" s="11">
        <f>IF(AO7&lt;&gt;_xlfn.MINIFS('Draft Board'!$AO$2:$AO$193,'Draft Board'!$AN$2:$AN$193,"="&amp;AN7),0,IF(OR(AP7=1,IFERROR(FLOOR((AQ7-AN7)/AQ7/0.25,1),0)&lt;&gt;IFERROR(FLOOR((AQ7-_xlfn.MINIFS('Draft Board'!$AN$2:$AN$193,'Draft Board'!$AN$2:$AN$193,"&gt;"&amp;AN7))/AQ7/0.25,1),0)),1,0))</f>
        <v>0</v>
      </c>
      <c r="AS7" s="11">
        <f>ROUND(1+AN7*'Live Calc'!$D$28,0)</f>
        <v>33</v>
      </c>
      <c r="AT7" s="11"/>
      <c r="AU7" s="11">
        <f>IF(AT7&lt;&gt;"",AT7,ROUND(AS7*INDEX('Live Calc'!$G$259:$G$450,MATCH(AM7,'Live Calc'!$A$259:$A$450,0))*'Live Calc'!$J$543,0))</f>
        <v>33</v>
      </c>
      <c r="AW7" s="12" t="s">
        <v>95</v>
      </c>
      <c r="AX7" s="12" t="s">
        <v>96</v>
      </c>
      <c r="AY7" s="12">
        <v>115.9</v>
      </c>
      <c r="AZ7" s="12">
        <v>147.49799999999999</v>
      </c>
      <c r="BA7" s="12">
        <v>180.53399999999999</v>
      </c>
      <c r="BB7" s="12">
        <f>CHOOSE(MATCH(Setup!$B$7,{"STD","Half-PPR","PPR"},0),AY7,AZ7,BA7)</f>
        <v>147.49799999999999</v>
      </c>
      <c r="BC7" s="12">
        <f>COUNTIFS('Draft Board'!$BD$2:$BD$87,"&gt;="&amp;BD7,'Draft Board'!$BH$2:$BH$87,1)</f>
        <v>4</v>
      </c>
      <c r="BD7" s="12">
        <f>MAX(0,BB7-'Live Calc'!$H$22)^'Live Calc'!$E$22</f>
        <v>44.24799999999999</v>
      </c>
      <c r="BE7" s="12">
        <v>7</v>
      </c>
      <c r="BF7" s="12">
        <f>IF(BE7&lt;&gt;_xlfn.MINIFS('Draft Board'!$BE$2:$BE$87,'Draft Board'!$BD$2:$BD$87,"="&amp;BD7),0,IF(_xlfn.MINIFS('Draft Board'!$BD$2:$BD$87,'Draft Board'!$BD$2:$BD$87,"&gt;"&amp;BD7)=0,1,IF((_xlfn.MINIFS('Draft Board'!$BD$2:$BD$87,'Draft Board'!$BD$2:$BD$87,"&gt;"&amp;BD7)-BD7)/_xlfn.MINIFS('Draft Board'!$BD$2:$BD$87,'Draft Board'!$BD$2:$BD$87,"&gt;"&amp;BD7)&gt;0.08,1,0)))</f>
        <v>0</v>
      </c>
      <c r="BG7" s="12">
        <f>_xlfn.MINIFS('Draft Board'!$BD$2:$BD$87,'Draft Board'!$BD$2:$BD$87,"&gt;="&amp;BD7,'Draft Board'!$BF$2:$BF$87,1)</f>
        <v>44.671999999999997</v>
      </c>
      <c r="BH7" s="12">
        <f>IF(BE7&lt;&gt;_xlfn.MINIFS('Draft Board'!$BE$2:$BE$87,'Draft Board'!$BD$2:$BD$87,"="&amp;BD7),0,IF(OR(BF7=1,IFERROR(FLOOR((BG7-BD7)/BG7/0.25,1),0)&lt;&gt;IFERROR(FLOOR((BG7-_xlfn.MINIFS('Draft Board'!$BD$2:$BD$87,'Draft Board'!$BD$2:$BD$87,"&gt;"&amp;BD7))/BG7/0.25,1),0)),1,0))</f>
        <v>0</v>
      </c>
      <c r="BI7" s="12">
        <f>ROUND(1+BD7*'Live Calc'!$D$29,0)</f>
        <v>13</v>
      </c>
      <c r="BJ7" s="12"/>
      <c r="BK7" s="12">
        <f>IF(BJ7&lt;&gt;"",BJ7,ROUND(BI7*INDEX('Live Calc'!$G$454:$G$539,MATCH(BC7,'Live Calc'!$A$454:$A$539,0))*'Live Calc'!$J$543,0))</f>
        <v>13</v>
      </c>
    </row>
    <row r="8" spans="1:63" x14ac:dyDescent="0.25">
      <c r="A8" s="9" t="s">
        <v>97</v>
      </c>
      <c r="B8" s="9" t="s">
        <v>77</v>
      </c>
      <c r="C8" s="9">
        <v>294.43200000000002</v>
      </c>
      <c r="D8" s="9">
        <v>294.43200000000002</v>
      </c>
      <c r="E8" s="9">
        <v>294.43200000000002</v>
      </c>
      <c r="F8" s="9">
        <f>CHOOSE(MATCH(Setup!$B$7,{"STD","Half-PPR","PPR"},0),C8,D8,E8)</f>
        <v>294.43200000000002</v>
      </c>
      <c r="G8" s="9">
        <f>COUNTIFS('Draft Board'!$H$2:$H$61,"&gt;="&amp;H8,'Draft Board'!$L$2:$L$61,1)</f>
        <v>4</v>
      </c>
      <c r="H8" s="9">
        <f>MAX(0,F8-'Live Calc'!$H$19)^'Live Calc'!$E$19</f>
        <v>59.851791219475338</v>
      </c>
      <c r="I8" s="9">
        <v>8</v>
      </c>
      <c r="J8" s="9">
        <f>IF(I8&lt;&gt;_xlfn.MINIFS('Draft Board'!$I$2:$I$61,'Draft Board'!$H$2:$H$61,"="&amp;H8),0,IF(_xlfn.MINIFS('Draft Board'!$H$2:$H$61,'Draft Board'!$H$2:$H$61,"&gt;"&amp;H8)=0,1,IF((_xlfn.MINIFS('Draft Board'!$H$2:$H$61,'Draft Board'!$H$2:$H$61,"&gt;"&amp;H8)-H8)/_xlfn.MINIFS('Draft Board'!$H$2:$H$61,'Draft Board'!$H$2:$H$61,"&gt;"&amp;H8)&gt;0.08,1,0)))</f>
        <v>1</v>
      </c>
      <c r="K8" s="9">
        <f>_xlfn.MINIFS('Draft Board'!$H$2:$H$61,'Draft Board'!$H$2:$H$61,"&gt;="&amp;H8,'Draft Board'!$J$2:$J$61,1)</f>
        <v>59.851791219475338</v>
      </c>
      <c r="L8" s="9">
        <f>IF(I8&lt;&gt;_xlfn.MINIFS('Draft Board'!$I$2:$I$61,'Draft Board'!$H$2:$H$61,"="&amp;H8),0,IF(OR(J8=1,IFERROR(FLOOR((K8-H8)/K8/0.25,1),0)&lt;&gt;IFERROR(FLOOR((K8-_xlfn.MINIFS('Draft Board'!$H$2:$H$61,'Draft Board'!$H$2:$H$61,"&gt;"&amp;H8))/K8/0.25,1),0)),1,0))</f>
        <v>1</v>
      </c>
      <c r="M8" s="9">
        <f>ROUND(1+H8*'Live Calc'!$D$26,0)</f>
        <v>9</v>
      </c>
      <c r="N8" s="9"/>
      <c r="O8" s="9">
        <f>IF(N8&lt;&gt;"",N8,ROUND(M8*INDEX('Live Calc'!$G$33:$G$92,MATCH(G8,'Live Calc'!$A$33:$A$92,0))*'Live Calc'!$J$543,0))</f>
        <v>9</v>
      </c>
      <c r="Q8" s="10" t="s">
        <v>98</v>
      </c>
      <c r="R8" s="10" t="s">
        <v>69</v>
      </c>
      <c r="S8" s="10">
        <v>212.60400000000001</v>
      </c>
      <c r="T8" s="10">
        <v>242.976</v>
      </c>
      <c r="U8" s="10">
        <v>274.63200000000001</v>
      </c>
      <c r="V8" s="10">
        <f>CHOOSE(MATCH(Setup!$B$7,{"STD","Half-PPR","PPR"},0),S8,T8,U8)</f>
        <v>242.976</v>
      </c>
      <c r="W8" s="10">
        <f>COUNTIFS('Draft Board'!$X$2:$X$161,"&gt;="&amp;X8,'Draft Board'!$AB$2:$AB$161,1)</f>
        <v>3</v>
      </c>
      <c r="X8" s="10">
        <f>MAX(0,V8-'Live Calc'!$H$20)^'Live Calc'!$E$20</f>
        <v>383.06655768012803</v>
      </c>
      <c r="Y8" s="10">
        <v>8</v>
      </c>
      <c r="Z8" s="10">
        <f>IF(Y8&lt;&gt;_xlfn.MINIFS('Draft Board'!$Y$2:$Y$161,'Draft Board'!$X$2:$X$161,"="&amp;X8),0,IF(_xlfn.MINIFS('Draft Board'!$X$2:$X$161,'Draft Board'!$X$2:$X$161,"&gt;"&amp;X8)=0,1,IF((_xlfn.MINIFS('Draft Board'!$X$2:$X$161,'Draft Board'!$X$2:$X$161,"&gt;"&amp;X8)-X8)/_xlfn.MINIFS('Draft Board'!$X$2:$X$161,'Draft Board'!$X$2:$X$161,"&gt;"&amp;X8)&gt;0.08,1,0)))</f>
        <v>0</v>
      </c>
      <c r="AA8" s="10">
        <f>_xlfn.MINIFS('Draft Board'!$X$2:$X$161,'Draft Board'!$X$2:$X$161,"&gt;="&amp;X8,'Draft Board'!$Z$2:$Z$161,1)</f>
        <v>407.91104779583418</v>
      </c>
      <c r="AB8" s="10">
        <f>IF(Y8&lt;&gt;_xlfn.MINIFS('Draft Board'!$Y$2:$Y$161,'Draft Board'!$X$2:$X$161,"="&amp;X8),0,IF(OR(Z8=1,IFERROR(FLOOR((AA8-X8)/AA8/0.25,1),0)&lt;&gt;IFERROR(FLOOR((AA8-_xlfn.MINIFS('Draft Board'!$X$2:$X$161,'Draft Board'!$X$2:$X$161,"&gt;"&amp;X8))/AA8/0.25,1),0)),1,0))</f>
        <v>0</v>
      </c>
      <c r="AC8" s="10">
        <f>ROUND(1+X8*'Live Calc'!$D$27,0)</f>
        <v>36</v>
      </c>
      <c r="AD8" s="10"/>
      <c r="AE8" s="10">
        <f>IF(AD8&lt;&gt;"",AD8,ROUND(AC8*INDEX('Live Calc'!$G$96:$G$255,MATCH(W8,'Live Calc'!$A$96:$A$255,0))*'Live Calc'!$J$543,0))</f>
        <v>36</v>
      </c>
      <c r="AG8" s="11" t="s">
        <v>99</v>
      </c>
      <c r="AH8" s="11" t="s">
        <v>100</v>
      </c>
      <c r="AI8" s="11">
        <v>170.48599999999999</v>
      </c>
      <c r="AJ8" s="11">
        <v>218.702</v>
      </c>
      <c r="AK8" s="11">
        <v>266.86799999999999</v>
      </c>
      <c r="AL8" s="11">
        <f>CHOOSE(MATCH(Setup!$B$7,{"STD","Half-PPR","PPR"},0),AI8,AJ8,AK8)</f>
        <v>218.702</v>
      </c>
      <c r="AM8" s="11">
        <f>COUNTIFS('Draft Board'!$AN$2:$AN$193,"&gt;="&amp;AN8,'Draft Board'!$AR$2:$AR$193,1)</f>
        <v>3</v>
      </c>
      <c r="AN8" s="11">
        <f>MAX(0,AL8-'Live Calc'!$H$21)^'Live Calc'!$E$21</f>
        <v>386.69783358305614</v>
      </c>
      <c r="AO8" s="11">
        <v>8</v>
      </c>
      <c r="AP8" s="11">
        <f>IF(AO8&lt;&gt;_xlfn.MINIFS('Draft Board'!$AO$2:$AO$193,'Draft Board'!$AN$2:$AN$193,"="&amp;AN8),0,IF(_xlfn.MINIFS('Draft Board'!$AN$2:$AN$193,'Draft Board'!$AN$2:$AN$193,"&gt;"&amp;AN8)=0,1,IF((_xlfn.MINIFS('Draft Board'!$AN$2:$AN$193,'Draft Board'!$AN$2:$AN$193,"&gt;"&amp;AN8)-AN8)/_xlfn.MINIFS('Draft Board'!$AN$2:$AN$193,'Draft Board'!$AN$2:$AN$193,"&gt;"&amp;AN8)&gt;0.08,1,0)))</f>
        <v>0</v>
      </c>
      <c r="AQ8" s="11">
        <f>_xlfn.MINIFS('Draft Board'!$AN$2:$AN$193,'Draft Board'!$AN$2:$AN$193,"&gt;="&amp;AN8,'Draft Board'!$AP$2:$AP$193,1)</f>
        <v>402.3483124188262</v>
      </c>
      <c r="AR8" s="11">
        <f>IF(AO8&lt;&gt;_xlfn.MINIFS('Draft Board'!$AO$2:$AO$193,'Draft Board'!$AN$2:$AN$193,"="&amp;AN8),0,IF(OR(AP8=1,IFERROR(FLOOR((AQ8-AN8)/AQ8/0.25,1),0)&lt;&gt;IFERROR(FLOOR((AQ8-_xlfn.MINIFS('Draft Board'!$AN$2:$AN$193,'Draft Board'!$AN$2:$AN$193,"&gt;"&amp;AN8))/AQ8/0.25,1),0)),1,0))</f>
        <v>0</v>
      </c>
      <c r="AS8" s="11">
        <f>ROUND(1+AN8*'Live Calc'!$D$28,0)</f>
        <v>33</v>
      </c>
      <c r="AT8" s="11"/>
      <c r="AU8" s="11">
        <f>IF(AT8&lt;&gt;"",AT8,ROUND(AS8*INDEX('Live Calc'!$G$259:$G$450,MATCH(AM8,'Live Calc'!$A$259:$A$450,0))*'Live Calc'!$J$543,0))</f>
        <v>33</v>
      </c>
      <c r="AW8" s="12" t="s">
        <v>101</v>
      </c>
      <c r="AX8" s="12" t="s">
        <v>57</v>
      </c>
      <c r="AY8" s="12">
        <v>111.58</v>
      </c>
      <c r="AZ8" s="12">
        <v>145.19</v>
      </c>
      <c r="BA8" s="12">
        <v>178.53800000000001</v>
      </c>
      <c r="BB8" s="12">
        <f>CHOOSE(MATCH(Setup!$B$7,{"STD","Half-PPR","PPR"},0),AY8,AZ8,BA8)</f>
        <v>145.19</v>
      </c>
      <c r="BC8" s="12">
        <f>COUNTIFS('Draft Board'!$BD$2:$BD$87,"&gt;="&amp;BD8,'Draft Board'!$BH$2:$BH$87,1)</f>
        <v>4</v>
      </c>
      <c r="BD8" s="12">
        <f>MAX(0,BB8-'Live Calc'!$H$22)^'Live Calc'!$E$22</f>
        <v>41.94</v>
      </c>
      <c r="BE8" s="12">
        <v>8</v>
      </c>
      <c r="BF8" s="12">
        <f>IF(BE8&lt;&gt;_xlfn.MINIFS('Draft Board'!$BE$2:$BE$87,'Draft Board'!$BD$2:$BD$87,"="&amp;BD8),0,IF(_xlfn.MINIFS('Draft Board'!$BD$2:$BD$87,'Draft Board'!$BD$2:$BD$87,"&gt;"&amp;BD8)=0,1,IF((_xlfn.MINIFS('Draft Board'!$BD$2:$BD$87,'Draft Board'!$BD$2:$BD$87,"&gt;"&amp;BD8)-BD8)/_xlfn.MINIFS('Draft Board'!$BD$2:$BD$87,'Draft Board'!$BD$2:$BD$87,"&gt;"&amp;BD8)&gt;0.08,1,0)))</f>
        <v>0</v>
      </c>
      <c r="BG8" s="12">
        <f>_xlfn.MINIFS('Draft Board'!$BD$2:$BD$87,'Draft Board'!$BD$2:$BD$87,"&gt;="&amp;BD8,'Draft Board'!$BF$2:$BF$87,1)</f>
        <v>44.671999999999997</v>
      </c>
      <c r="BH8" s="12">
        <f>IF(BE8&lt;&gt;_xlfn.MINIFS('Draft Board'!$BE$2:$BE$87,'Draft Board'!$BD$2:$BD$87,"="&amp;BD8),0,IF(OR(BF8=1,IFERROR(FLOOR((BG8-BD8)/BG8/0.25,1),0)&lt;&gt;IFERROR(FLOOR((BG8-_xlfn.MINIFS('Draft Board'!$BD$2:$BD$87,'Draft Board'!$BD$2:$BD$87,"&gt;"&amp;BD8))/BG8/0.25,1),0)),1,0))</f>
        <v>0</v>
      </c>
      <c r="BI8" s="12">
        <f>ROUND(1+BD8*'Live Calc'!$D$29,0)</f>
        <v>12</v>
      </c>
      <c r="BJ8" s="12"/>
      <c r="BK8" s="12">
        <f>IF(BJ8&lt;&gt;"",BJ8,ROUND(BI8*INDEX('Live Calc'!$G$454:$G$539,MATCH(BC8,'Live Calc'!$A$454:$A$539,0))*'Live Calc'!$J$543,0))</f>
        <v>12</v>
      </c>
    </row>
    <row r="9" spans="1:63" x14ac:dyDescent="0.25">
      <c r="A9" s="9" t="s">
        <v>102</v>
      </c>
      <c r="B9" s="9" t="s">
        <v>88</v>
      </c>
      <c r="C9" s="9">
        <v>294.02</v>
      </c>
      <c r="D9" s="9">
        <v>294.02</v>
      </c>
      <c r="E9" s="9">
        <v>294.02</v>
      </c>
      <c r="F9" s="9">
        <f>CHOOSE(MATCH(Setup!$B$7,{"STD","Half-PPR","PPR"},0),C9,D9,E9)</f>
        <v>294.02</v>
      </c>
      <c r="G9" s="9">
        <f>COUNTIFS('Draft Board'!$H$2:$H$61,"&gt;="&amp;H9,'Draft Board'!$L$2:$L$61,1)</f>
        <v>4</v>
      </c>
      <c r="H9" s="9">
        <f>MAX(0,F9-'Live Calc'!$H$19)^'Live Calc'!$E$19</f>
        <v>58.875309416594583</v>
      </c>
      <c r="I9" s="9">
        <v>9</v>
      </c>
      <c r="J9" s="9">
        <f>IF(I9&lt;&gt;_xlfn.MINIFS('Draft Board'!$I$2:$I$61,'Draft Board'!$H$2:$H$61,"="&amp;H9),0,IF(_xlfn.MINIFS('Draft Board'!$H$2:$H$61,'Draft Board'!$H$2:$H$61,"&gt;"&amp;H9)=0,1,IF((_xlfn.MINIFS('Draft Board'!$H$2:$H$61,'Draft Board'!$H$2:$H$61,"&gt;"&amp;H9)-H9)/_xlfn.MINIFS('Draft Board'!$H$2:$H$61,'Draft Board'!$H$2:$H$61,"&gt;"&amp;H9)&gt;0.08,1,0)))</f>
        <v>0</v>
      </c>
      <c r="K9" s="9">
        <f>_xlfn.MINIFS('Draft Board'!$H$2:$H$61,'Draft Board'!$H$2:$H$61,"&gt;="&amp;H9,'Draft Board'!$J$2:$J$61,1)</f>
        <v>59.851791219475338</v>
      </c>
      <c r="L9" s="9">
        <f>IF(I9&lt;&gt;_xlfn.MINIFS('Draft Board'!$I$2:$I$61,'Draft Board'!$H$2:$H$61,"="&amp;H9),0,IF(OR(J9=1,IFERROR(FLOOR((K9-H9)/K9/0.25,1),0)&lt;&gt;IFERROR(FLOOR((K9-_xlfn.MINIFS('Draft Board'!$H$2:$H$61,'Draft Board'!$H$2:$H$61,"&gt;"&amp;H9))/K9/0.25,1),0)),1,0))</f>
        <v>0</v>
      </c>
      <c r="M9" s="9">
        <f>ROUND(1+H9*'Live Calc'!$D$26,0)</f>
        <v>9</v>
      </c>
      <c r="N9" s="9"/>
      <c r="O9" s="9">
        <f>IF(N9&lt;&gt;"",N9,ROUND(M9*INDEX('Live Calc'!$G$33:$G$92,MATCH(G9,'Live Calc'!$A$33:$A$92,0))*'Live Calc'!$J$543,0))</f>
        <v>9</v>
      </c>
      <c r="Q9" s="10" t="s">
        <v>103</v>
      </c>
      <c r="R9" s="10" t="s">
        <v>85</v>
      </c>
      <c r="S9" s="10">
        <v>217.798</v>
      </c>
      <c r="T9" s="10">
        <v>238.37</v>
      </c>
      <c r="U9" s="10">
        <v>253.2</v>
      </c>
      <c r="V9" s="10">
        <f>CHOOSE(MATCH(Setup!$B$7,{"STD","Half-PPR","PPR"},0),S9,T9,U9)</f>
        <v>238.37</v>
      </c>
      <c r="W9" s="10">
        <f>COUNTIFS('Draft Board'!$X$2:$X$161,"&gt;="&amp;X9,'Draft Board'!$AB$2:$AB$161,1)</f>
        <v>3</v>
      </c>
      <c r="X9" s="10">
        <f>MAX(0,V9-'Live Calc'!$H$20)^'Live Calc'!$E$20</f>
        <v>368.21989153891946</v>
      </c>
      <c r="Y9" s="10">
        <v>9</v>
      </c>
      <c r="Z9" s="10">
        <f>IF(Y9&lt;&gt;_xlfn.MINIFS('Draft Board'!$Y$2:$Y$161,'Draft Board'!$X$2:$X$161,"="&amp;X9),0,IF(_xlfn.MINIFS('Draft Board'!$X$2:$X$161,'Draft Board'!$X$2:$X$161,"&gt;"&amp;X9)=0,1,IF((_xlfn.MINIFS('Draft Board'!$X$2:$X$161,'Draft Board'!$X$2:$X$161,"&gt;"&amp;X9)-X9)/_xlfn.MINIFS('Draft Board'!$X$2:$X$161,'Draft Board'!$X$2:$X$161,"&gt;"&amp;X9)&gt;0.08,1,0)))</f>
        <v>0</v>
      </c>
      <c r="AA9" s="10">
        <f>_xlfn.MINIFS('Draft Board'!$X$2:$X$161,'Draft Board'!$X$2:$X$161,"&gt;="&amp;X9,'Draft Board'!$Z$2:$Z$161,1)</f>
        <v>407.91104779583418</v>
      </c>
      <c r="AB9" s="10">
        <f>IF(Y9&lt;&gt;_xlfn.MINIFS('Draft Board'!$Y$2:$Y$161,'Draft Board'!$X$2:$X$161,"="&amp;X9),0,IF(OR(Z9=1,IFERROR(FLOOR((AA9-X9)/AA9/0.25,1),0)&lt;&gt;IFERROR(FLOOR((AA9-_xlfn.MINIFS('Draft Board'!$X$2:$X$161,'Draft Board'!$X$2:$X$161,"&gt;"&amp;X9))/AA9/0.25,1),0)),1,0))</f>
        <v>0</v>
      </c>
      <c r="AC9" s="10">
        <f>ROUND(1+X9*'Live Calc'!$D$27,0)</f>
        <v>35</v>
      </c>
      <c r="AD9" s="10"/>
      <c r="AE9" s="10">
        <f>IF(AD9&lt;&gt;"",AD9,ROUND(AC9*INDEX('Live Calc'!$G$96:$G$255,MATCH(W9,'Live Calc'!$A$96:$A$255,0))*'Live Calc'!$J$543,0))</f>
        <v>35</v>
      </c>
      <c r="AG9" s="11" t="s">
        <v>104</v>
      </c>
      <c r="AH9" s="11" t="s">
        <v>71</v>
      </c>
      <c r="AI9" s="11">
        <v>163.77000000000001</v>
      </c>
      <c r="AJ9" s="11">
        <v>206.08799999999999</v>
      </c>
      <c r="AK9" s="11">
        <v>249.07</v>
      </c>
      <c r="AL9" s="11">
        <f>CHOOSE(MATCH(Setup!$B$7,{"STD","Half-PPR","PPR"},0),AI9,AJ9,AK9)</f>
        <v>206.08799999999999</v>
      </c>
      <c r="AM9" s="11">
        <f>COUNTIFS('Draft Board'!$AN$2:$AN$193,"&gt;="&amp;AN9,'Draft Board'!$AR$2:$AR$193,1)</f>
        <v>4</v>
      </c>
      <c r="AN9" s="11">
        <f>MAX(0,AL9-'Live Calc'!$H$21)^'Live Calc'!$E$21</f>
        <v>335.50592043946324</v>
      </c>
      <c r="AO9" s="11">
        <v>9</v>
      </c>
      <c r="AP9" s="11">
        <f>IF(AO9&lt;&gt;_xlfn.MINIFS('Draft Board'!$AO$2:$AO$193,'Draft Board'!$AN$2:$AN$193,"="&amp;AN9),0,IF(_xlfn.MINIFS('Draft Board'!$AN$2:$AN$193,'Draft Board'!$AN$2:$AN$193,"&gt;"&amp;AN9)=0,1,IF((_xlfn.MINIFS('Draft Board'!$AN$2:$AN$193,'Draft Board'!$AN$2:$AN$193,"&gt;"&amp;AN9)-AN9)/_xlfn.MINIFS('Draft Board'!$AN$2:$AN$193,'Draft Board'!$AN$2:$AN$193,"&gt;"&amp;AN9)&gt;0.08,1,0)))</f>
        <v>1</v>
      </c>
      <c r="AQ9" s="11">
        <f>_xlfn.MINIFS('Draft Board'!$AN$2:$AN$193,'Draft Board'!$AN$2:$AN$193,"&gt;="&amp;AN9,'Draft Board'!$AP$2:$AP$193,1)</f>
        <v>335.50592043946324</v>
      </c>
      <c r="AR9" s="11">
        <f>IF(AO9&lt;&gt;_xlfn.MINIFS('Draft Board'!$AO$2:$AO$193,'Draft Board'!$AN$2:$AN$193,"="&amp;AN9),0,IF(OR(AP9=1,IFERROR(FLOOR((AQ9-AN9)/AQ9/0.25,1),0)&lt;&gt;IFERROR(FLOOR((AQ9-_xlfn.MINIFS('Draft Board'!$AN$2:$AN$193,'Draft Board'!$AN$2:$AN$193,"&gt;"&amp;AN9))/AQ9/0.25,1),0)),1,0))</f>
        <v>1</v>
      </c>
      <c r="AS9" s="11">
        <f>ROUND(1+AN9*'Live Calc'!$D$28,0)</f>
        <v>28</v>
      </c>
      <c r="AT9" s="11"/>
      <c r="AU9" s="11">
        <f>IF(AT9&lt;&gt;"",AT9,ROUND(AS9*INDEX('Live Calc'!$G$259:$G$450,MATCH(AM9,'Live Calc'!$A$259:$A$450,0))*'Live Calc'!$J$543,0))</f>
        <v>28</v>
      </c>
      <c r="AW9" s="12" t="s">
        <v>105</v>
      </c>
      <c r="AX9" s="12" t="s">
        <v>65</v>
      </c>
      <c r="AY9" s="12">
        <v>106.39</v>
      </c>
      <c r="AZ9" s="12">
        <v>143.09</v>
      </c>
      <c r="BA9" s="12">
        <v>179.584</v>
      </c>
      <c r="BB9" s="12">
        <f>CHOOSE(MATCH(Setup!$B$7,{"STD","Half-PPR","PPR"},0),AY9,AZ9,BA9)</f>
        <v>143.09</v>
      </c>
      <c r="BC9" s="12">
        <f>COUNTIFS('Draft Board'!$BD$2:$BD$87,"&gt;="&amp;BD9,'Draft Board'!$BH$2:$BH$87,1)</f>
        <v>4</v>
      </c>
      <c r="BD9" s="12">
        <f>MAX(0,BB9-'Live Calc'!$H$22)^'Live Calc'!$E$22</f>
        <v>39.840000000000003</v>
      </c>
      <c r="BE9" s="12">
        <v>9</v>
      </c>
      <c r="BF9" s="12">
        <f>IF(BE9&lt;&gt;_xlfn.MINIFS('Draft Board'!$BE$2:$BE$87,'Draft Board'!$BD$2:$BD$87,"="&amp;BD9),0,IF(_xlfn.MINIFS('Draft Board'!$BD$2:$BD$87,'Draft Board'!$BD$2:$BD$87,"&gt;"&amp;BD9)=0,1,IF((_xlfn.MINIFS('Draft Board'!$BD$2:$BD$87,'Draft Board'!$BD$2:$BD$87,"&gt;"&amp;BD9)-BD9)/_xlfn.MINIFS('Draft Board'!$BD$2:$BD$87,'Draft Board'!$BD$2:$BD$87,"&gt;"&amp;BD9)&gt;0.08,1,0)))</f>
        <v>0</v>
      </c>
      <c r="BG9" s="12">
        <f>_xlfn.MINIFS('Draft Board'!$BD$2:$BD$87,'Draft Board'!$BD$2:$BD$87,"&gt;="&amp;BD9,'Draft Board'!$BF$2:$BF$87,1)</f>
        <v>44.671999999999997</v>
      </c>
      <c r="BH9" s="12">
        <f>IF(BE9&lt;&gt;_xlfn.MINIFS('Draft Board'!$BE$2:$BE$87,'Draft Board'!$BD$2:$BD$87,"="&amp;BD9),0,IF(OR(BF9=1,IFERROR(FLOOR((BG9-BD9)/BG9/0.25,1),0)&lt;&gt;IFERROR(FLOOR((BG9-_xlfn.MINIFS('Draft Board'!$BD$2:$BD$87,'Draft Board'!$BD$2:$BD$87,"&gt;"&amp;BD9))/BG9/0.25,1),0)),1,0))</f>
        <v>0</v>
      </c>
      <c r="BI9" s="12">
        <f>ROUND(1+BD9*'Live Calc'!$D$29,0)</f>
        <v>12</v>
      </c>
      <c r="BJ9" s="12"/>
      <c r="BK9" s="12">
        <f>IF(BJ9&lt;&gt;"",BJ9,ROUND(BI9*INDEX('Live Calc'!$G$454:$G$539,MATCH(BC9,'Live Calc'!$A$454:$A$539,0))*'Live Calc'!$J$543,0))</f>
        <v>12</v>
      </c>
    </row>
    <row r="10" spans="1:63" x14ac:dyDescent="0.25">
      <c r="A10" s="9" t="s">
        <v>106</v>
      </c>
      <c r="B10" s="9" t="s">
        <v>107</v>
      </c>
      <c r="C10" s="9">
        <v>293.34199999999998</v>
      </c>
      <c r="D10" s="9">
        <v>293.34199999999998</v>
      </c>
      <c r="E10" s="9">
        <v>293.34199999999998</v>
      </c>
      <c r="F10" s="9">
        <f>CHOOSE(MATCH(Setup!$B$7,{"STD","Half-PPR","PPR"},0),C10,D10,E10)</f>
        <v>293.34199999999998</v>
      </c>
      <c r="G10" s="9">
        <f>COUNTIFS('Draft Board'!$H$2:$H$61,"&gt;="&amp;H10,'Draft Board'!$L$2:$L$61,1)</f>
        <v>4</v>
      </c>
      <c r="H10" s="9">
        <f>MAX(0,F10-'Live Calc'!$H$19)^'Live Calc'!$E$19</f>
        <v>57.274254616936069</v>
      </c>
      <c r="I10" s="9">
        <v>10</v>
      </c>
      <c r="J10" s="9">
        <f>IF(I10&lt;&gt;_xlfn.MINIFS('Draft Board'!$I$2:$I$61,'Draft Board'!$H$2:$H$61,"="&amp;H10),0,IF(_xlfn.MINIFS('Draft Board'!$H$2:$H$61,'Draft Board'!$H$2:$H$61,"&gt;"&amp;H10)=0,1,IF((_xlfn.MINIFS('Draft Board'!$H$2:$H$61,'Draft Board'!$H$2:$H$61,"&gt;"&amp;H10)-H10)/_xlfn.MINIFS('Draft Board'!$H$2:$H$61,'Draft Board'!$H$2:$H$61,"&gt;"&amp;H10)&gt;0.08,1,0)))</f>
        <v>0</v>
      </c>
      <c r="K10" s="9">
        <f>_xlfn.MINIFS('Draft Board'!$H$2:$H$61,'Draft Board'!$H$2:$H$61,"&gt;="&amp;H10,'Draft Board'!$J$2:$J$61,1)</f>
        <v>59.851791219475338</v>
      </c>
      <c r="L10" s="9">
        <f>IF(I10&lt;&gt;_xlfn.MINIFS('Draft Board'!$I$2:$I$61,'Draft Board'!$H$2:$H$61,"="&amp;H10),0,IF(OR(J10=1,IFERROR(FLOOR((K10-H10)/K10/0.25,1),0)&lt;&gt;IFERROR(FLOOR((K10-_xlfn.MINIFS('Draft Board'!$H$2:$H$61,'Draft Board'!$H$2:$H$61,"&gt;"&amp;H10))/K10/0.25,1),0)),1,0))</f>
        <v>0</v>
      </c>
      <c r="M10" s="9">
        <f>ROUND(1+H10*'Live Calc'!$D$26,0)</f>
        <v>9</v>
      </c>
      <c r="N10" s="9"/>
      <c r="O10" s="9">
        <f>IF(N10&lt;&gt;"",N10,ROUND(M10*INDEX('Live Calc'!$G$33:$G$92,MATCH(G10,'Live Calc'!$A$33:$A$92,0))*'Live Calc'!$J$543,0))</f>
        <v>9</v>
      </c>
      <c r="Q10" s="10" t="s">
        <v>108</v>
      </c>
      <c r="R10" s="10" t="s">
        <v>63</v>
      </c>
      <c r="S10" s="10">
        <v>234.61799999999999</v>
      </c>
      <c r="T10" s="10">
        <v>236.06800000000001</v>
      </c>
      <c r="U10" s="10">
        <v>249.78399999999999</v>
      </c>
      <c r="V10" s="10">
        <f>CHOOSE(MATCH(Setup!$B$7,{"STD","Half-PPR","PPR"},0),S10,T10,U10)</f>
        <v>236.06800000000001</v>
      </c>
      <c r="W10" s="10">
        <f>COUNTIFS('Draft Board'!$X$2:$X$161,"&gt;="&amp;X10,'Draft Board'!$AB$2:$AB$161,1)</f>
        <v>3</v>
      </c>
      <c r="X10" s="10">
        <f>MAX(0,V10-'Live Calc'!$H$20)^'Live Calc'!$E$20</f>
        <v>360.83676459187797</v>
      </c>
      <c r="Y10" s="10">
        <v>10</v>
      </c>
      <c r="Z10" s="10">
        <f>IF(Y10&lt;&gt;_xlfn.MINIFS('Draft Board'!$Y$2:$Y$161,'Draft Board'!$X$2:$X$161,"="&amp;X10),0,IF(_xlfn.MINIFS('Draft Board'!$X$2:$X$161,'Draft Board'!$X$2:$X$161,"&gt;"&amp;X10)=0,1,IF((_xlfn.MINIFS('Draft Board'!$X$2:$X$161,'Draft Board'!$X$2:$X$161,"&gt;"&amp;X10)-X10)/_xlfn.MINIFS('Draft Board'!$X$2:$X$161,'Draft Board'!$X$2:$X$161,"&gt;"&amp;X10)&gt;0.08,1,0)))</f>
        <v>0</v>
      </c>
      <c r="AA10" s="10">
        <f>_xlfn.MINIFS('Draft Board'!$X$2:$X$161,'Draft Board'!$X$2:$X$161,"&gt;="&amp;X10,'Draft Board'!$Z$2:$Z$161,1)</f>
        <v>407.91104779583418</v>
      </c>
      <c r="AB10" s="10">
        <f>IF(Y10&lt;&gt;_xlfn.MINIFS('Draft Board'!$Y$2:$Y$161,'Draft Board'!$X$2:$X$161,"="&amp;X10),0,IF(OR(Z10=1,IFERROR(FLOOR((AA10-X10)/AA10/0.25,1),0)&lt;&gt;IFERROR(FLOOR((AA10-_xlfn.MINIFS('Draft Board'!$X$2:$X$161,'Draft Board'!$X$2:$X$161,"&gt;"&amp;X10))/AA10/0.25,1),0)),1,0))</f>
        <v>0</v>
      </c>
      <c r="AC10" s="10">
        <f>ROUND(1+X10*'Live Calc'!$D$27,0)</f>
        <v>34</v>
      </c>
      <c r="AD10" s="10"/>
      <c r="AE10" s="10">
        <f>IF(AD10&lt;&gt;"",AD10,ROUND(AC10*INDEX('Live Calc'!$G$96:$G$255,MATCH(W10,'Live Calc'!$A$96:$A$255,0))*'Live Calc'!$J$543,0))</f>
        <v>34</v>
      </c>
      <c r="AG10" s="11" t="s">
        <v>109</v>
      </c>
      <c r="AH10" s="11" t="s">
        <v>88</v>
      </c>
      <c r="AI10" s="11">
        <v>163.822</v>
      </c>
      <c r="AJ10" s="11">
        <v>204.554</v>
      </c>
      <c r="AK10" s="11">
        <v>245.86</v>
      </c>
      <c r="AL10" s="11">
        <f>CHOOSE(MATCH(Setup!$B$7,{"STD","Half-PPR","PPR"},0),AI10,AJ10,AK10)</f>
        <v>204.554</v>
      </c>
      <c r="AM10" s="11">
        <f>COUNTIFS('Draft Board'!$AN$2:$AN$193,"&gt;="&amp;AN10,'Draft Board'!$AR$2:$AR$193,1)</f>
        <v>4</v>
      </c>
      <c r="AN10" s="11">
        <f>MAX(0,AL10-'Live Calc'!$H$21)^'Live Calc'!$E$21</f>
        <v>329.38132368834619</v>
      </c>
      <c r="AO10" s="11">
        <v>10</v>
      </c>
      <c r="AP10" s="11">
        <f>IF(AO10&lt;&gt;_xlfn.MINIFS('Draft Board'!$AO$2:$AO$193,'Draft Board'!$AN$2:$AN$193,"="&amp;AN10),0,IF(_xlfn.MINIFS('Draft Board'!$AN$2:$AN$193,'Draft Board'!$AN$2:$AN$193,"&gt;"&amp;AN10)=0,1,IF((_xlfn.MINIFS('Draft Board'!$AN$2:$AN$193,'Draft Board'!$AN$2:$AN$193,"&gt;"&amp;AN10)-AN10)/_xlfn.MINIFS('Draft Board'!$AN$2:$AN$193,'Draft Board'!$AN$2:$AN$193,"&gt;"&amp;AN10)&gt;0.08,1,0)))</f>
        <v>0</v>
      </c>
      <c r="AQ10" s="11">
        <f>_xlfn.MINIFS('Draft Board'!$AN$2:$AN$193,'Draft Board'!$AN$2:$AN$193,"&gt;="&amp;AN10,'Draft Board'!$AP$2:$AP$193,1)</f>
        <v>335.50592043946324</v>
      </c>
      <c r="AR10" s="11">
        <f>IF(AO10&lt;&gt;_xlfn.MINIFS('Draft Board'!$AO$2:$AO$193,'Draft Board'!$AN$2:$AN$193,"="&amp;AN10),0,IF(OR(AP10=1,IFERROR(FLOOR((AQ10-AN10)/AQ10/0.25,1),0)&lt;&gt;IFERROR(FLOOR((AQ10-_xlfn.MINIFS('Draft Board'!$AN$2:$AN$193,'Draft Board'!$AN$2:$AN$193,"&gt;"&amp;AN10))/AQ10/0.25,1),0)),1,0))</f>
        <v>0</v>
      </c>
      <c r="AS10" s="11">
        <f>ROUND(1+AN10*'Live Calc'!$D$28,0)</f>
        <v>28</v>
      </c>
      <c r="AT10" s="11"/>
      <c r="AU10" s="11">
        <f>IF(AT10&lt;&gt;"",AT10,ROUND(AS10*INDEX('Live Calc'!$G$259:$G$450,MATCH(AM10,'Live Calc'!$A$259:$A$450,0))*'Live Calc'!$J$543,0))</f>
        <v>28</v>
      </c>
      <c r="AW10" s="12" t="s">
        <v>110</v>
      </c>
      <c r="AX10" s="12" t="s">
        <v>111</v>
      </c>
      <c r="AY10" s="12">
        <v>102.914</v>
      </c>
      <c r="AZ10" s="12">
        <v>137.114</v>
      </c>
      <c r="BA10" s="12">
        <v>170.48</v>
      </c>
      <c r="BB10" s="12">
        <f>CHOOSE(MATCH(Setup!$B$7,{"STD","Half-PPR","PPR"},0),AY10,AZ10,BA10)</f>
        <v>137.114</v>
      </c>
      <c r="BC10" s="12">
        <f>COUNTIFS('Draft Board'!$BD$2:$BD$87,"&gt;="&amp;BD10,'Draft Board'!$BH$2:$BH$87,1)</f>
        <v>5</v>
      </c>
      <c r="BD10" s="12">
        <f>MAX(0,BB10-'Live Calc'!$H$22)^'Live Calc'!$E$22</f>
        <v>33.864000000000004</v>
      </c>
      <c r="BE10" s="12">
        <v>10</v>
      </c>
      <c r="BF10" s="12">
        <f>IF(BE10&lt;&gt;_xlfn.MINIFS('Draft Board'!$BE$2:$BE$87,'Draft Board'!$BD$2:$BD$87,"="&amp;BD10),0,IF(_xlfn.MINIFS('Draft Board'!$BD$2:$BD$87,'Draft Board'!$BD$2:$BD$87,"&gt;"&amp;BD10)=0,1,IF((_xlfn.MINIFS('Draft Board'!$BD$2:$BD$87,'Draft Board'!$BD$2:$BD$87,"&gt;"&amp;BD10)-BD10)/_xlfn.MINIFS('Draft Board'!$BD$2:$BD$87,'Draft Board'!$BD$2:$BD$87,"&gt;"&amp;BD10)&gt;0.08,1,0)))</f>
        <v>1</v>
      </c>
      <c r="BG10" s="12">
        <f>_xlfn.MINIFS('Draft Board'!$BD$2:$BD$87,'Draft Board'!$BD$2:$BD$87,"&gt;="&amp;BD10,'Draft Board'!$BF$2:$BF$87,1)</f>
        <v>33.864000000000004</v>
      </c>
      <c r="BH10" s="12">
        <f>IF(BE10&lt;&gt;_xlfn.MINIFS('Draft Board'!$BE$2:$BE$87,'Draft Board'!$BD$2:$BD$87,"="&amp;BD10),0,IF(OR(BF10=1,IFERROR(FLOOR((BG10-BD10)/BG10/0.25,1),0)&lt;&gt;IFERROR(FLOOR((BG10-_xlfn.MINIFS('Draft Board'!$BD$2:$BD$87,'Draft Board'!$BD$2:$BD$87,"&gt;"&amp;BD10))/BG10/0.25,1),0)),1,0))</f>
        <v>1</v>
      </c>
      <c r="BI10" s="12">
        <f>ROUND(1+BD10*'Live Calc'!$D$29,0)</f>
        <v>10</v>
      </c>
      <c r="BJ10" s="12"/>
      <c r="BK10" s="12">
        <f>IF(BJ10&lt;&gt;"",BJ10,ROUND(BI10*INDEX('Live Calc'!$G$454:$G$539,MATCH(BC10,'Live Calc'!$A$454:$A$539,0))*'Live Calc'!$J$543,0))</f>
        <v>10</v>
      </c>
    </row>
    <row r="11" spans="1:63" x14ac:dyDescent="0.25">
      <c r="A11" s="9" t="s">
        <v>112</v>
      </c>
      <c r="B11" s="9" t="s">
        <v>113</v>
      </c>
      <c r="C11" s="9">
        <v>292.892</v>
      </c>
      <c r="D11" s="9">
        <v>292.892</v>
      </c>
      <c r="E11" s="9">
        <v>292.892</v>
      </c>
      <c r="F11" s="9">
        <f>CHOOSE(MATCH(Setup!$B$7,{"STD","Half-PPR","PPR"},0),C11,D11,E11)</f>
        <v>292.892</v>
      </c>
      <c r="G11" s="9">
        <f>COUNTIFS('Draft Board'!$H$2:$H$61,"&gt;="&amp;H11,'Draft Board'!$L$2:$L$61,1)</f>
        <v>4</v>
      </c>
      <c r="H11" s="9">
        <f>MAX(0,F11-'Live Calc'!$H$19)^'Live Calc'!$E$19</f>
        <v>56.215698777277119</v>
      </c>
      <c r="I11" s="9">
        <v>11</v>
      </c>
      <c r="J11" s="9">
        <f>IF(I11&lt;&gt;_xlfn.MINIFS('Draft Board'!$I$2:$I$61,'Draft Board'!$H$2:$H$61,"="&amp;H11),0,IF(_xlfn.MINIFS('Draft Board'!$H$2:$H$61,'Draft Board'!$H$2:$H$61,"&gt;"&amp;H11)=0,1,IF((_xlfn.MINIFS('Draft Board'!$H$2:$H$61,'Draft Board'!$H$2:$H$61,"&gt;"&amp;H11)-H11)/_xlfn.MINIFS('Draft Board'!$H$2:$H$61,'Draft Board'!$H$2:$H$61,"&gt;"&amp;H11)&gt;0.08,1,0)))</f>
        <v>0</v>
      </c>
      <c r="K11" s="9">
        <f>_xlfn.MINIFS('Draft Board'!$H$2:$H$61,'Draft Board'!$H$2:$H$61,"&gt;="&amp;H11,'Draft Board'!$J$2:$J$61,1)</f>
        <v>59.851791219475338</v>
      </c>
      <c r="L11" s="9">
        <f>IF(I11&lt;&gt;_xlfn.MINIFS('Draft Board'!$I$2:$I$61,'Draft Board'!$H$2:$H$61,"="&amp;H11),0,IF(OR(J11=1,IFERROR(FLOOR((K11-H11)/K11/0.25,1),0)&lt;&gt;IFERROR(FLOOR((K11-_xlfn.MINIFS('Draft Board'!$H$2:$H$61,'Draft Board'!$H$2:$H$61,"&gt;"&amp;H11))/K11/0.25,1),0)),1,0))</f>
        <v>0</v>
      </c>
      <c r="M11" s="9">
        <f>ROUND(1+H11*'Live Calc'!$D$26,0)</f>
        <v>9</v>
      </c>
      <c r="N11" s="9"/>
      <c r="O11" s="9">
        <f>IF(N11&lt;&gt;"",N11,ROUND(M11*INDEX('Live Calc'!$G$33:$G$92,MATCH(G11,'Live Calc'!$A$33:$A$92,0))*'Live Calc'!$J$543,0))</f>
        <v>9</v>
      </c>
      <c r="Q11" s="10" t="s">
        <v>114</v>
      </c>
      <c r="R11" s="10" t="s">
        <v>67</v>
      </c>
      <c r="S11" s="10">
        <v>200.93</v>
      </c>
      <c r="T11" s="10">
        <v>232.19</v>
      </c>
      <c r="U11" s="10">
        <v>263.45999999999998</v>
      </c>
      <c r="V11" s="10">
        <f>CHOOSE(MATCH(Setup!$B$7,{"STD","Half-PPR","PPR"},0),S11,T11,U11)</f>
        <v>232.19</v>
      </c>
      <c r="W11" s="10">
        <f>COUNTIFS('Draft Board'!$X$2:$X$161,"&gt;="&amp;X11,'Draft Board'!$AB$2:$AB$161,1)</f>
        <v>3</v>
      </c>
      <c r="X11" s="10">
        <f>MAX(0,V11-'Live Calc'!$H$20)^'Live Calc'!$E$20</f>
        <v>348.45590851442518</v>
      </c>
      <c r="Y11" s="10">
        <v>11</v>
      </c>
      <c r="Z11" s="10">
        <f>IF(Y11&lt;&gt;_xlfn.MINIFS('Draft Board'!$Y$2:$Y$161,'Draft Board'!$X$2:$X$161,"="&amp;X11),0,IF(_xlfn.MINIFS('Draft Board'!$X$2:$X$161,'Draft Board'!$X$2:$X$161,"&gt;"&amp;X11)=0,1,IF((_xlfn.MINIFS('Draft Board'!$X$2:$X$161,'Draft Board'!$X$2:$X$161,"&gt;"&amp;X11)-X11)/_xlfn.MINIFS('Draft Board'!$X$2:$X$161,'Draft Board'!$X$2:$X$161,"&gt;"&amp;X11)&gt;0.08,1,0)))</f>
        <v>0</v>
      </c>
      <c r="AA11" s="10">
        <f>_xlfn.MINIFS('Draft Board'!$X$2:$X$161,'Draft Board'!$X$2:$X$161,"&gt;="&amp;X11,'Draft Board'!$Z$2:$Z$161,1)</f>
        <v>407.91104779583418</v>
      </c>
      <c r="AB11" s="10">
        <f>IF(Y11&lt;&gt;_xlfn.MINIFS('Draft Board'!$Y$2:$Y$161,'Draft Board'!$X$2:$X$161,"="&amp;X11),0,IF(OR(Z11=1,IFERROR(FLOOR((AA11-X11)/AA11/0.25,1),0)&lt;&gt;IFERROR(FLOOR((AA11-_xlfn.MINIFS('Draft Board'!$X$2:$X$161,'Draft Board'!$X$2:$X$161,"&gt;"&amp;X11))/AA11/0.25,1),0)),1,0))</f>
        <v>0</v>
      </c>
      <c r="AC11" s="10">
        <f>ROUND(1+X11*'Live Calc'!$D$27,0)</f>
        <v>33</v>
      </c>
      <c r="AD11" s="10"/>
      <c r="AE11" s="10">
        <f>IF(AD11&lt;&gt;"",AD11,ROUND(AC11*INDEX('Live Calc'!$G$96:$G$255,MATCH(W11,'Live Calc'!$A$96:$A$255,0))*'Live Calc'!$J$543,0))</f>
        <v>33</v>
      </c>
      <c r="AG11" s="11" t="s">
        <v>115</v>
      </c>
      <c r="AH11" s="11" t="s">
        <v>116</v>
      </c>
      <c r="AI11" s="11">
        <v>164.13200000000001</v>
      </c>
      <c r="AJ11" s="11">
        <v>203.43199999999999</v>
      </c>
      <c r="AK11" s="11">
        <v>244.142</v>
      </c>
      <c r="AL11" s="11">
        <f>CHOOSE(MATCH(Setup!$B$7,{"STD","Half-PPR","PPR"},0),AI11,AJ11,AK11)</f>
        <v>203.43199999999999</v>
      </c>
      <c r="AM11" s="11">
        <f>COUNTIFS('Draft Board'!$AN$2:$AN$193,"&gt;="&amp;AN11,'Draft Board'!$AR$2:$AR$193,1)</f>
        <v>4</v>
      </c>
      <c r="AN11" s="11">
        <f>MAX(0,AL11-'Live Calc'!$H$21)^'Live Calc'!$E$21</f>
        <v>324.91601905297898</v>
      </c>
      <c r="AO11" s="11">
        <v>11</v>
      </c>
      <c r="AP11" s="11">
        <f>IF(AO11&lt;&gt;_xlfn.MINIFS('Draft Board'!$AO$2:$AO$193,'Draft Board'!$AN$2:$AN$193,"="&amp;AN11),0,IF(_xlfn.MINIFS('Draft Board'!$AN$2:$AN$193,'Draft Board'!$AN$2:$AN$193,"&gt;"&amp;AN11)=0,1,IF((_xlfn.MINIFS('Draft Board'!$AN$2:$AN$193,'Draft Board'!$AN$2:$AN$193,"&gt;"&amp;AN11)-AN11)/_xlfn.MINIFS('Draft Board'!$AN$2:$AN$193,'Draft Board'!$AN$2:$AN$193,"&gt;"&amp;AN11)&gt;0.08,1,0)))</f>
        <v>0</v>
      </c>
      <c r="AQ11" s="11">
        <f>_xlfn.MINIFS('Draft Board'!$AN$2:$AN$193,'Draft Board'!$AN$2:$AN$193,"&gt;="&amp;AN11,'Draft Board'!$AP$2:$AP$193,1)</f>
        <v>335.50592043946324</v>
      </c>
      <c r="AR11" s="11">
        <f>IF(AO11&lt;&gt;_xlfn.MINIFS('Draft Board'!$AO$2:$AO$193,'Draft Board'!$AN$2:$AN$193,"="&amp;AN11),0,IF(OR(AP11=1,IFERROR(FLOOR((AQ11-AN11)/AQ11/0.25,1),0)&lt;&gt;IFERROR(FLOOR((AQ11-_xlfn.MINIFS('Draft Board'!$AN$2:$AN$193,'Draft Board'!$AN$2:$AN$193,"&gt;"&amp;AN11))/AQ11/0.25,1),0)),1,0))</f>
        <v>0</v>
      </c>
      <c r="AS11" s="11">
        <f>ROUND(1+AN11*'Live Calc'!$D$28,0)</f>
        <v>28</v>
      </c>
      <c r="AT11" s="11"/>
      <c r="AU11" s="11">
        <f>IF(AT11&lt;&gt;"",AT11,ROUND(AS11*INDEX('Live Calc'!$G$259:$G$450,MATCH(AM11,'Live Calc'!$A$259:$A$450,0))*'Live Calc'!$J$543,0))</f>
        <v>28</v>
      </c>
      <c r="AW11" s="12" t="s">
        <v>117</v>
      </c>
      <c r="AX11" s="12" t="s">
        <v>73</v>
      </c>
      <c r="AY11" s="12">
        <v>104.18600000000001</v>
      </c>
      <c r="AZ11" s="12">
        <v>135.18199999999999</v>
      </c>
      <c r="BA11" s="12">
        <v>167.54</v>
      </c>
      <c r="BB11" s="12">
        <f>CHOOSE(MATCH(Setup!$B$7,{"STD","Half-PPR","PPR"},0),AY11,AZ11,BA11)</f>
        <v>135.18199999999999</v>
      </c>
      <c r="BC11" s="12">
        <f>COUNTIFS('Draft Board'!$BD$2:$BD$87,"&gt;="&amp;BD11,'Draft Board'!$BH$2:$BH$87,1)</f>
        <v>5</v>
      </c>
      <c r="BD11" s="12">
        <f>MAX(0,BB11-'Live Calc'!$H$22)^'Live Calc'!$E$22</f>
        <v>31.931999999999988</v>
      </c>
      <c r="BE11" s="12">
        <v>11</v>
      </c>
      <c r="BF11" s="12">
        <f>IF(BE11&lt;&gt;_xlfn.MINIFS('Draft Board'!$BE$2:$BE$87,'Draft Board'!$BD$2:$BD$87,"="&amp;BD11),0,IF(_xlfn.MINIFS('Draft Board'!$BD$2:$BD$87,'Draft Board'!$BD$2:$BD$87,"&gt;"&amp;BD11)=0,1,IF((_xlfn.MINIFS('Draft Board'!$BD$2:$BD$87,'Draft Board'!$BD$2:$BD$87,"&gt;"&amp;BD11)-BD11)/_xlfn.MINIFS('Draft Board'!$BD$2:$BD$87,'Draft Board'!$BD$2:$BD$87,"&gt;"&amp;BD11)&gt;0.08,1,0)))</f>
        <v>0</v>
      </c>
      <c r="BG11" s="12">
        <f>_xlfn.MINIFS('Draft Board'!$BD$2:$BD$87,'Draft Board'!$BD$2:$BD$87,"&gt;="&amp;BD11,'Draft Board'!$BF$2:$BF$87,1)</f>
        <v>33.864000000000004</v>
      </c>
      <c r="BH11" s="12">
        <f>IF(BE11&lt;&gt;_xlfn.MINIFS('Draft Board'!$BE$2:$BE$87,'Draft Board'!$BD$2:$BD$87,"="&amp;BD11),0,IF(OR(BF11=1,IFERROR(FLOOR((BG11-BD11)/BG11/0.25,1),0)&lt;&gt;IFERROR(FLOOR((BG11-_xlfn.MINIFS('Draft Board'!$BD$2:$BD$87,'Draft Board'!$BD$2:$BD$87,"&gt;"&amp;BD11))/BG11/0.25,1),0)),1,0))</f>
        <v>0</v>
      </c>
      <c r="BI11" s="12">
        <f>ROUND(1+BD11*'Live Calc'!$D$29,0)</f>
        <v>10</v>
      </c>
      <c r="BJ11" s="12"/>
      <c r="BK11" s="12">
        <f>IF(BJ11&lt;&gt;"",BJ11,ROUND(BI11*INDEX('Live Calc'!$G$454:$G$539,MATCH(BC11,'Live Calc'!$A$454:$A$539,0))*'Live Calc'!$J$543,0))</f>
        <v>10</v>
      </c>
    </row>
    <row r="12" spans="1:63" x14ac:dyDescent="0.25">
      <c r="A12" s="9" t="s">
        <v>118</v>
      </c>
      <c r="B12" s="9" t="s">
        <v>119</v>
      </c>
      <c r="C12" s="9">
        <v>292.62400000000002</v>
      </c>
      <c r="D12" s="9">
        <v>292.62400000000002</v>
      </c>
      <c r="E12" s="9">
        <v>292.62400000000002</v>
      </c>
      <c r="F12" s="9">
        <f>CHOOSE(MATCH(Setup!$B$7,{"STD","Half-PPR","PPR"},0),C12,D12,E12)</f>
        <v>292.62400000000002</v>
      </c>
      <c r="G12" s="9">
        <f>COUNTIFS('Draft Board'!$H$2:$H$61,"&gt;="&amp;H12,'Draft Board'!$L$2:$L$61,1)</f>
        <v>4</v>
      </c>
      <c r="H12" s="9">
        <f>MAX(0,F12-'Live Calc'!$H$19)^'Live Calc'!$E$19</f>
        <v>55.586840849442936</v>
      </c>
      <c r="I12" s="9">
        <v>12</v>
      </c>
      <c r="J12" s="9">
        <f>IF(I12&lt;&gt;_xlfn.MINIFS('Draft Board'!$I$2:$I$61,'Draft Board'!$H$2:$H$61,"="&amp;H12),0,IF(_xlfn.MINIFS('Draft Board'!$H$2:$H$61,'Draft Board'!$H$2:$H$61,"&gt;"&amp;H12)=0,1,IF((_xlfn.MINIFS('Draft Board'!$H$2:$H$61,'Draft Board'!$H$2:$H$61,"&gt;"&amp;H12)-H12)/_xlfn.MINIFS('Draft Board'!$H$2:$H$61,'Draft Board'!$H$2:$H$61,"&gt;"&amp;H12)&gt;0.08,1,0)))</f>
        <v>0</v>
      </c>
      <c r="K12" s="9">
        <f>_xlfn.MINIFS('Draft Board'!$H$2:$H$61,'Draft Board'!$H$2:$H$61,"&gt;="&amp;H12,'Draft Board'!$J$2:$J$61,1)</f>
        <v>59.851791219475338</v>
      </c>
      <c r="L12" s="9">
        <f>IF(I12&lt;&gt;_xlfn.MINIFS('Draft Board'!$I$2:$I$61,'Draft Board'!$H$2:$H$61,"="&amp;H12),0,IF(OR(J12=1,IFERROR(FLOOR((K12-H12)/K12/0.25,1),0)&lt;&gt;IFERROR(FLOOR((K12-_xlfn.MINIFS('Draft Board'!$H$2:$H$61,'Draft Board'!$H$2:$H$61,"&gt;"&amp;H12))/K12/0.25,1),0)),1,0))</f>
        <v>0</v>
      </c>
      <c r="M12" s="9">
        <f>ROUND(1+H12*'Live Calc'!$D$26,0)</f>
        <v>8</v>
      </c>
      <c r="N12" s="9"/>
      <c r="O12" s="9">
        <f>IF(N12&lt;&gt;"",N12,ROUND(M12*INDEX('Live Calc'!$G$33:$G$92,MATCH(G12,'Live Calc'!$A$33:$A$92,0))*'Live Calc'!$J$543,0))</f>
        <v>8</v>
      </c>
      <c r="Q12" s="10" t="s">
        <v>120</v>
      </c>
      <c r="R12" s="10" t="s">
        <v>111</v>
      </c>
      <c r="S12" s="10">
        <v>205.05</v>
      </c>
      <c r="T12" s="10">
        <v>229.72800000000001</v>
      </c>
      <c r="U12" s="10">
        <v>247.49600000000001</v>
      </c>
      <c r="V12" s="10">
        <f>CHOOSE(MATCH(Setup!$B$7,{"STD","Half-PPR","PPR"},0),S12,T12,U12)</f>
        <v>229.72800000000001</v>
      </c>
      <c r="W12" s="10">
        <f>COUNTIFS('Draft Board'!$X$2:$X$161,"&gt;="&amp;X12,'Draft Board'!$AB$2:$AB$161,1)</f>
        <v>3</v>
      </c>
      <c r="X12" s="10">
        <f>MAX(0,V12-'Live Calc'!$H$20)^'Live Calc'!$E$20</f>
        <v>340.63347750206117</v>
      </c>
      <c r="Y12" s="10">
        <v>12</v>
      </c>
      <c r="Z12" s="10">
        <f>IF(Y12&lt;&gt;_xlfn.MINIFS('Draft Board'!$Y$2:$Y$161,'Draft Board'!$X$2:$X$161,"="&amp;X12),0,IF(_xlfn.MINIFS('Draft Board'!$X$2:$X$161,'Draft Board'!$X$2:$X$161,"&gt;"&amp;X12)=0,1,IF((_xlfn.MINIFS('Draft Board'!$X$2:$X$161,'Draft Board'!$X$2:$X$161,"&gt;"&amp;X12)-X12)/_xlfn.MINIFS('Draft Board'!$X$2:$X$161,'Draft Board'!$X$2:$X$161,"&gt;"&amp;X12)&gt;0.08,1,0)))</f>
        <v>0</v>
      </c>
      <c r="AA12" s="10">
        <f>_xlfn.MINIFS('Draft Board'!$X$2:$X$161,'Draft Board'!$X$2:$X$161,"&gt;="&amp;X12,'Draft Board'!$Z$2:$Z$161,1)</f>
        <v>407.91104779583418</v>
      </c>
      <c r="AB12" s="10">
        <f>IF(Y12&lt;&gt;_xlfn.MINIFS('Draft Board'!$Y$2:$Y$161,'Draft Board'!$X$2:$X$161,"="&amp;X12),0,IF(OR(Z12=1,IFERROR(FLOOR((AA12-X12)/AA12/0.25,1),0)&lt;&gt;IFERROR(FLOOR((AA12-_xlfn.MINIFS('Draft Board'!$X$2:$X$161,'Draft Board'!$X$2:$X$161,"&gt;"&amp;X12))/AA12/0.25,1),0)),1,0))</f>
        <v>0</v>
      </c>
      <c r="AC12" s="10">
        <f>ROUND(1+X12*'Live Calc'!$D$27,0)</f>
        <v>32</v>
      </c>
      <c r="AD12" s="10"/>
      <c r="AE12" s="10">
        <f>IF(AD12&lt;&gt;"",AD12,ROUND(AC12*INDEX('Live Calc'!$G$96:$G$255,MATCH(W12,'Live Calc'!$A$96:$A$255,0))*'Live Calc'!$J$543,0))</f>
        <v>32</v>
      </c>
      <c r="AG12" s="11" t="s">
        <v>121</v>
      </c>
      <c r="AH12" s="11" t="s">
        <v>111</v>
      </c>
      <c r="AI12" s="11">
        <v>157.63</v>
      </c>
      <c r="AJ12" s="11">
        <v>202.376</v>
      </c>
      <c r="AK12" s="11">
        <v>245.548</v>
      </c>
      <c r="AL12" s="11">
        <f>CHOOSE(MATCH(Setup!$B$7,{"STD","Half-PPR","PPR"},0),AI12,AJ12,AK12)</f>
        <v>202.376</v>
      </c>
      <c r="AM12" s="11">
        <f>COUNTIFS('Draft Board'!$AN$2:$AN$193,"&gt;="&amp;AN12,'Draft Board'!$AR$2:$AR$193,1)</f>
        <v>4</v>
      </c>
      <c r="AN12" s="11">
        <f>MAX(0,AL12-'Live Calc'!$H$21)^'Live Calc'!$E$21</f>
        <v>320.72455869137121</v>
      </c>
      <c r="AO12" s="11">
        <v>12</v>
      </c>
      <c r="AP12" s="11">
        <f>IF(AO12&lt;&gt;_xlfn.MINIFS('Draft Board'!$AO$2:$AO$193,'Draft Board'!$AN$2:$AN$193,"="&amp;AN12),0,IF(_xlfn.MINIFS('Draft Board'!$AN$2:$AN$193,'Draft Board'!$AN$2:$AN$193,"&gt;"&amp;AN12)=0,1,IF((_xlfn.MINIFS('Draft Board'!$AN$2:$AN$193,'Draft Board'!$AN$2:$AN$193,"&gt;"&amp;AN12)-AN12)/_xlfn.MINIFS('Draft Board'!$AN$2:$AN$193,'Draft Board'!$AN$2:$AN$193,"&gt;"&amp;AN12)&gt;0.08,1,0)))</f>
        <v>0</v>
      </c>
      <c r="AQ12" s="11">
        <f>_xlfn.MINIFS('Draft Board'!$AN$2:$AN$193,'Draft Board'!$AN$2:$AN$193,"&gt;="&amp;AN12,'Draft Board'!$AP$2:$AP$193,1)</f>
        <v>335.50592043946324</v>
      </c>
      <c r="AR12" s="11">
        <f>IF(AO12&lt;&gt;_xlfn.MINIFS('Draft Board'!$AO$2:$AO$193,'Draft Board'!$AN$2:$AN$193,"="&amp;AN12),0,IF(OR(AP12=1,IFERROR(FLOOR((AQ12-AN12)/AQ12/0.25,1),0)&lt;&gt;IFERROR(FLOOR((AQ12-_xlfn.MINIFS('Draft Board'!$AN$2:$AN$193,'Draft Board'!$AN$2:$AN$193,"&gt;"&amp;AN12))/AQ12/0.25,1),0)),1,0))</f>
        <v>0</v>
      </c>
      <c r="AS12" s="11">
        <f>ROUND(1+AN12*'Live Calc'!$D$28,0)</f>
        <v>27</v>
      </c>
      <c r="AT12" s="11"/>
      <c r="AU12" s="11">
        <f>IF(AT12&lt;&gt;"",AT12,ROUND(AS12*INDEX('Live Calc'!$G$259:$G$450,MATCH(AM12,'Live Calc'!$A$259:$A$450,0))*'Live Calc'!$J$543,0))</f>
        <v>27</v>
      </c>
      <c r="AW12" s="12" t="s">
        <v>122</v>
      </c>
      <c r="AX12" s="12" t="s">
        <v>63</v>
      </c>
      <c r="AY12" s="12">
        <v>105.13</v>
      </c>
      <c r="AZ12" s="12">
        <v>133.54400000000001</v>
      </c>
      <c r="BA12" s="12">
        <v>162.11799999999999</v>
      </c>
      <c r="BB12" s="12">
        <f>CHOOSE(MATCH(Setup!$B$7,{"STD","Half-PPR","PPR"},0),AY12,AZ12,BA12)</f>
        <v>133.54400000000001</v>
      </c>
      <c r="BC12" s="12">
        <f>COUNTIFS('Draft Board'!$BD$2:$BD$87,"&gt;="&amp;BD12,'Draft Board'!$BH$2:$BH$87,1)</f>
        <v>5</v>
      </c>
      <c r="BD12" s="12">
        <f>MAX(0,BB12-'Live Calc'!$H$22)^'Live Calc'!$E$22</f>
        <v>30.294000000000011</v>
      </c>
      <c r="BE12" s="12">
        <v>12</v>
      </c>
      <c r="BF12" s="12">
        <f>IF(BE12&lt;&gt;_xlfn.MINIFS('Draft Board'!$BE$2:$BE$87,'Draft Board'!$BD$2:$BD$87,"="&amp;BD12),0,IF(_xlfn.MINIFS('Draft Board'!$BD$2:$BD$87,'Draft Board'!$BD$2:$BD$87,"&gt;"&amp;BD12)=0,1,IF((_xlfn.MINIFS('Draft Board'!$BD$2:$BD$87,'Draft Board'!$BD$2:$BD$87,"&gt;"&amp;BD12)-BD12)/_xlfn.MINIFS('Draft Board'!$BD$2:$BD$87,'Draft Board'!$BD$2:$BD$87,"&gt;"&amp;BD12)&gt;0.08,1,0)))</f>
        <v>0</v>
      </c>
      <c r="BG12" s="12">
        <f>_xlfn.MINIFS('Draft Board'!$BD$2:$BD$87,'Draft Board'!$BD$2:$BD$87,"&gt;="&amp;BD12,'Draft Board'!$BF$2:$BF$87,1)</f>
        <v>33.864000000000004</v>
      </c>
      <c r="BH12" s="12">
        <f>IF(BE12&lt;&gt;_xlfn.MINIFS('Draft Board'!$BE$2:$BE$87,'Draft Board'!$BD$2:$BD$87,"="&amp;BD12),0,IF(OR(BF12=1,IFERROR(FLOOR((BG12-BD12)/BG12/0.25,1),0)&lt;&gt;IFERROR(FLOOR((BG12-_xlfn.MINIFS('Draft Board'!$BD$2:$BD$87,'Draft Board'!$BD$2:$BD$87,"&gt;"&amp;BD12))/BG12/0.25,1),0)),1,0))</f>
        <v>0</v>
      </c>
      <c r="BI12" s="12">
        <f>ROUND(1+BD12*'Live Calc'!$D$29,0)</f>
        <v>9</v>
      </c>
      <c r="BJ12" s="12"/>
      <c r="BK12" s="12">
        <f>IF(BJ12&lt;&gt;"",BJ12,ROUND(BI12*INDEX('Live Calc'!$G$454:$G$539,MATCH(BC12,'Live Calc'!$A$454:$A$539,0))*'Live Calc'!$J$543,0))</f>
        <v>9</v>
      </c>
    </row>
    <row r="13" spans="1:63" x14ac:dyDescent="0.25">
      <c r="A13" s="9" t="s">
        <v>123</v>
      </c>
      <c r="B13" s="9" t="s">
        <v>73</v>
      </c>
      <c r="C13" s="9">
        <v>287.94400000000002</v>
      </c>
      <c r="D13" s="9">
        <v>287.94400000000002</v>
      </c>
      <c r="E13" s="9">
        <v>287.94400000000002</v>
      </c>
      <c r="F13" s="9">
        <f>CHOOSE(MATCH(Setup!$B$7,{"STD","Half-PPR","PPR"},0),C13,D13,E13)</f>
        <v>287.94400000000002</v>
      </c>
      <c r="G13" s="9">
        <f>COUNTIFS('Draft Board'!$H$2:$H$61,"&gt;="&amp;H13,'Draft Board'!$L$2:$L$61,1)</f>
        <v>5</v>
      </c>
      <c r="H13" s="9">
        <f>MAX(0,F13-'Live Calc'!$H$19)^'Live Calc'!$E$19</f>
        <v>44.80461089418759</v>
      </c>
      <c r="I13" s="9">
        <v>13</v>
      </c>
      <c r="J13" s="9">
        <f>IF(I13&lt;&gt;_xlfn.MINIFS('Draft Board'!$I$2:$I$61,'Draft Board'!$H$2:$H$61,"="&amp;H13),0,IF(_xlfn.MINIFS('Draft Board'!$H$2:$H$61,'Draft Board'!$H$2:$H$61,"&gt;"&amp;H13)=0,1,IF((_xlfn.MINIFS('Draft Board'!$H$2:$H$61,'Draft Board'!$H$2:$H$61,"&gt;"&amp;H13)-H13)/_xlfn.MINIFS('Draft Board'!$H$2:$H$61,'Draft Board'!$H$2:$H$61,"&gt;"&amp;H13)&gt;0.08,1,0)))</f>
        <v>1</v>
      </c>
      <c r="K13" s="9">
        <f>_xlfn.MINIFS('Draft Board'!$H$2:$H$61,'Draft Board'!$H$2:$H$61,"&gt;="&amp;H13,'Draft Board'!$J$2:$J$61,1)</f>
        <v>44.80461089418759</v>
      </c>
      <c r="L13" s="9">
        <f>IF(I13&lt;&gt;_xlfn.MINIFS('Draft Board'!$I$2:$I$61,'Draft Board'!$H$2:$H$61,"="&amp;H13),0,IF(OR(J13=1,IFERROR(FLOOR((K13-H13)/K13/0.25,1),0)&lt;&gt;IFERROR(FLOOR((K13-_xlfn.MINIFS('Draft Board'!$H$2:$H$61,'Draft Board'!$H$2:$H$61,"&gt;"&amp;H13))/K13/0.25,1),0)),1,0))</f>
        <v>1</v>
      </c>
      <c r="M13" s="9">
        <f>ROUND(1+H13*'Live Calc'!$D$26,0)</f>
        <v>7</v>
      </c>
      <c r="N13" s="9"/>
      <c r="O13" s="9">
        <f>IF(N13&lt;&gt;"",N13,ROUND(M13*INDEX('Live Calc'!$G$33:$G$92,MATCH(G13,'Live Calc'!$A$33:$A$92,0))*'Live Calc'!$J$543,0))</f>
        <v>7</v>
      </c>
      <c r="Q13" s="10" t="s">
        <v>124</v>
      </c>
      <c r="R13" s="10" t="s">
        <v>119</v>
      </c>
      <c r="S13" s="10">
        <v>202.63800000000001</v>
      </c>
      <c r="T13" s="10">
        <v>225.35</v>
      </c>
      <c r="U13" s="10">
        <v>251.28399999999999</v>
      </c>
      <c r="V13" s="10">
        <f>CHOOSE(MATCH(Setup!$B$7,{"STD","Half-PPR","PPR"},0),S13,T13,U13)</f>
        <v>225.35</v>
      </c>
      <c r="W13" s="10">
        <f>COUNTIFS('Draft Board'!$X$2:$X$161,"&gt;="&amp;X13,'Draft Board'!$AB$2:$AB$161,1)</f>
        <v>3</v>
      </c>
      <c r="X13" s="10">
        <f>MAX(0,V13-'Live Calc'!$H$20)^'Live Calc'!$E$20</f>
        <v>326.7973782690346</v>
      </c>
      <c r="Y13" s="10">
        <v>13</v>
      </c>
      <c r="Z13" s="10">
        <f>IF(Y13&lt;&gt;_xlfn.MINIFS('Draft Board'!$Y$2:$Y$161,'Draft Board'!$X$2:$X$161,"="&amp;X13),0,IF(_xlfn.MINIFS('Draft Board'!$X$2:$X$161,'Draft Board'!$X$2:$X$161,"&gt;"&amp;X13)=0,1,IF((_xlfn.MINIFS('Draft Board'!$X$2:$X$161,'Draft Board'!$X$2:$X$161,"&gt;"&amp;X13)-X13)/_xlfn.MINIFS('Draft Board'!$X$2:$X$161,'Draft Board'!$X$2:$X$161,"&gt;"&amp;X13)&gt;0.08,1,0)))</f>
        <v>0</v>
      </c>
      <c r="AA13" s="10">
        <f>_xlfn.MINIFS('Draft Board'!$X$2:$X$161,'Draft Board'!$X$2:$X$161,"&gt;="&amp;X13,'Draft Board'!$Z$2:$Z$161,1)</f>
        <v>407.91104779583418</v>
      </c>
      <c r="AB13" s="10">
        <f>IF(Y13&lt;&gt;_xlfn.MINIFS('Draft Board'!$Y$2:$Y$161,'Draft Board'!$X$2:$X$161,"="&amp;X13),0,IF(OR(Z13=1,IFERROR(FLOOR((AA13-X13)/AA13/0.25,1),0)&lt;&gt;IFERROR(FLOOR((AA13-_xlfn.MINIFS('Draft Board'!$X$2:$X$161,'Draft Board'!$X$2:$X$161,"&gt;"&amp;X13))/AA13/0.25,1),0)),1,0))</f>
        <v>0</v>
      </c>
      <c r="AC13" s="10">
        <f>ROUND(1+X13*'Live Calc'!$D$27,0)</f>
        <v>31</v>
      </c>
      <c r="AD13" s="10"/>
      <c r="AE13" s="10">
        <f>IF(AD13&lt;&gt;"",AD13,ROUND(AC13*INDEX('Live Calc'!$G$96:$G$255,MATCH(W13,'Live Calc'!$A$96:$A$255,0))*'Live Calc'!$J$543,0))</f>
        <v>31</v>
      </c>
      <c r="AG13" s="11" t="s">
        <v>125</v>
      </c>
      <c r="AH13" s="11" t="s">
        <v>126</v>
      </c>
      <c r="AI13" s="11">
        <v>152.80000000000001</v>
      </c>
      <c r="AJ13" s="11">
        <v>195.858</v>
      </c>
      <c r="AK13" s="11">
        <v>238.126</v>
      </c>
      <c r="AL13" s="11">
        <f>CHOOSE(MATCH(Setup!$B$7,{"STD","Half-PPR","PPR"},0),AI13,AJ13,AK13)</f>
        <v>195.858</v>
      </c>
      <c r="AM13" s="11">
        <f>COUNTIFS('Draft Board'!$AN$2:$AN$193,"&gt;="&amp;AN13,'Draft Board'!$AR$2:$AR$193,1)</f>
        <v>4</v>
      </c>
      <c r="AN13" s="11">
        <f>MAX(0,AL13-'Live Calc'!$H$21)^'Live Calc'!$E$21</f>
        <v>295.0986378363703</v>
      </c>
      <c r="AO13" s="11">
        <v>13</v>
      </c>
      <c r="AP13" s="11">
        <f>IF(AO13&lt;&gt;_xlfn.MINIFS('Draft Board'!$AO$2:$AO$193,'Draft Board'!$AN$2:$AN$193,"="&amp;AN13),0,IF(_xlfn.MINIFS('Draft Board'!$AN$2:$AN$193,'Draft Board'!$AN$2:$AN$193,"&gt;"&amp;AN13)=0,1,IF((_xlfn.MINIFS('Draft Board'!$AN$2:$AN$193,'Draft Board'!$AN$2:$AN$193,"&gt;"&amp;AN13)-AN13)/_xlfn.MINIFS('Draft Board'!$AN$2:$AN$193,'Draft Board'!$AN$2:$AN$193,"&gt;"&amp;AN13)&gt;0.08,1,0)))</f>
        <v>0</v>
      </c>
      <c r="AQ13" s="11">
        <f>_xlfn.MINIFS('Draft Board'!$AN$2:$AN$193,'Draft Board'!$AN$2:$AN$193,"&gt;="&amp;AN13,'Draft Board'!$AP$2:$AP$193,1)</f>
        <v>335.50592043946324</v>
      </c>
      <c r="AR13" s="11">
        <f>IF(AO13&lt;&gt;_xlfn.MINIFS('Draft Board'!$AO$2:$AO$193,'Draft Board'!$AN$2:$AN$193,"="&amp;AN13),0,IF(OR(AP13=1,IFERROR(FLOOR((AQ13-AN13)/AQ13/0.25,1),0)&lt;&gt;IFERROR(FLOOR((AQ13-_xlfn.MINIFS('Draft Board'!$AN$2:$AN$193,'Draft Board'!$AN$2:$AN$193,"&gt;"&amp;AN13))/AQ13/0.25,1),0)),1,0))</f>
        <v>0</v>
      </c>
      <c r="AS13" s="11">
        <f>ROUND(1+AN13*'Live Calc'!$D$28,0)</f>
        <v>25</v>
      </c>
      <c r="AT13" s="11"/>
      <c r="AU13" s="11">
        <f>IF(AT13&lt;&gt;"",AT13,ROUND(AS13*INDEX('Live Calc'!$G$259:$G$450,MATCH(AM13,'Live Calc'!$A$259:$A$450,0))*'Live Calc'!$J$543,0))</f>
        <v>25</v>
      </c>
      <c r="AW13" s="12" t="s">
        <v>127</v>
      </c>
      <c r="AX13" s="12" t="s">
        <v>85</v>
      </c>
      <c r="AY13" s="12">
        <v>99.98</v>
      </c>
      <c r="AZ13" s="12">
        <v>130.54599999999999</v>
      </c>
      <c r="BA13" s="12">
        <v>158.97200000000001</v>
      </c>
      <c r="BB13" s="12">
        <f>CHOOSE(MATCH(Setup!$B$7,{"STD","Half-PPR","PPR"},0),AY13,AZ13,BA13)</f>
        <v>130.54599999999999</v>
      </c>
      <c r="BC13" s="12">
        <f>COUNTIFS('Draft Board'!$BD$2:$BD$87,"&gt;="&amp;BD13,'Draft Board'!$BH$2:$BH$87,1)</f>
        <v>6</v>
      </c>
      <c r="BD13" s="12">
        <f>MAX(0,BB13-'Live Calc'!$H$22)^'Live Calc'!$E$22</f>
        <v>27.295999999999992</v>
      </c>
      <c r="BE13" s="12">
        <v>13</v>
      </c>
      <c r="BF13" s="12">
        <f>IF(BE13&lt;&gt;_xlfn.MINIFS('Draft Board'!$BE$2:$BE$87,'Draft Board'!$BD$2:$BD$87,"="&amp;BD13),0,IF(_xlfn.MINIFS('Draft Board'!$BD$2:$BD$87,'Draft Board'!$BD$2:$BD$87,"&gt;"&amp;BD13)=0,1,IF((_xlfn.MINIFS('Draft Board'!$BD$2:$BD$87,'Draft Board'!$BD$2:$BD$87,"&gt;"&amp;BD13)-BD13)/_xlfn.MINIFS('Draft Board'!$BD$2:$BD$87,'Draft Board'!$BD$2:$BD$87,"&gt;"&amp;BD13)&gt;0.08,1,0)))</f>
        <v>1</v>
      </c>
      <c r="BG13" s="12">
        <f>_xlfn.MINIFS('Draft Board'!$BD$2:$BD$87,'Draft Board'!$BD$2:$BD$87,"&gt;="&amp;BD13,'Draft Board'!$BF$2:$BF$87,1)</f>
        <v>27.295999999999992</v>
      </c>
      <c r="BH13" s="12">
        <f>IF(BE13&lt;&gt;_xlfn.MINIFS('Draft Board'!$BE$2:$BE$87,'Draft Board'!$BD$2:$BD$87,"="&amp;BD13),0,IF(OR(BF13=1,IFERROR(FLOOR((BG13-BD13)/BG13/0.25,1),0)&lt;&gt;IFERROR(FLOOR((BG13-_xlfn.MINIFS('Draft Board'!$BD$2:$BD$87,'Draft Board'!$BD$2:$BD$87,"&gt;"&amp;BD13))/BG13/0.25,1),0)),1,0))</f>
        <v>1</v>
      </c>
      <c r="BI13" s="12">
        <f>ROUND(1+BD13*'Live Calc'!$D$29,0)</f>
        <v>8</v>
      </c>
      <c r="BJ13" s="12"/>
      <c r="BK13" s="12">
        <f>IF(BJ13&lt;&gt;"",BJ13,ROUND(BI13*INDEX('Live Calc'!$G$454:$G$539,MATCH(BC13,'Live Calc'!$A$454:$A$539,0))*'Live Calc'!$J$543,0))</f>
        <v>8</v>
      </c>
    </row>
    <row r="14" spans="1:63" x14ac:dyDescent="0.25">
      <c r="A14" s="9" t="s">
        <v>128</v>
      </c>
      <c r="B14" s="9" t="s">
        <v>111</v>
      </c>
      <c r="C14" s="9">
        <v>287.67599999999999</v>
      </c>
      <c r="D14" s="9">
        <v>287.67599999999999</v>
      </c>
      <c r="E14" s="9">
        <v>287.67599999999999</v>
      </c>
      <c r="F14" s="9">
        <f>CHOOSE(MATCH(Setup!$B$7,{"STD","Half-PPR","PPR"},0),C14,D14,E14)</f>
        <v>287.67599999999999</v>
      </c>
      <c r="G14" s="9">
        <f>COUNTIFS('Draft Board'!$H$2:$H$61,"&gt;="&amp;H14,'Draft Board'!$L$2:$L$61,1)</f>
        <v>5</v>
      </c>
      <c r="H14" s="9">
        <f>MAX(0,F14-'Live Calc'!$H$19)^'Live Calc'!$E$19</f>
        <v>44.199207066588592</v>
      </c>
      <c r="I14" s="9">
        <v>14</v>
      </c>
      <c r="J14" s="9">
        <f>IF(I14&lt;&gt;_xlfn.MINIFS('Draft Board'!$I$2:$I$61,'Draft Board'!$H$2:$H$61,"="&amp;H14),0,IF(_xlfn.MINIFS('Draft Board'!$H$2:$H$61,'Draft Board'!$H$2:$H$61,"&gt;"&amp;H14)=0,1,IF((_xlfn.MINIFS('Draft Board'!$H$2:$H$61,'Draft Board'!$H$2:$H$61,"&gt;"&amp;H14)-H14)/_xlfn.MINIFS('Draft Board'!$H$2:$H$61,'Draft Board'!$H$2:$H$61,"&gt;"&amp;H14)&gt;0.08,1,0)))</f>
        <v>0</v>
      </c>
      <c r="K14" s="9">
        <f>_xlfn.MINIFS('Draft Board'!$H$2:$H$61,'Draft Board'!$H$2:$H$61,"&gt;="&amp;H14,'Draft Board'!$J$2:$J$61,1)</f>
        <v>44.80461089418759</v>
      </c>
      <c r="L14" s="9">
        <f>IF(I14&lt;&gt;_xlfn.MINIFS('Draft Board'!$I$2:$I$61,'Draft Board'!$H$2:$H$61,"="&amp;H14),0,IF(OR(J14=1,IFERROR(FLOOR((K14-H14)/K14/0.25,1),0)&lt;&gt;IFERROR(FLOOR((K14-_xlfn.MINIFS('Draft Board'!$H$2:$H$61,'Draft Board'!$H$2:$H$61,"&gt;"&amp;H14))/K14/0.25,1),0)),1,0))</f>
        <v>0</v>
      </c>
      <c r="M14" s="9">
        <f>ROUND(1+H14*'Live Calc'!$D$26,0)</f>
        <v>7</v>
      </c>
      <c r="N14" s="9"/>
      <c r="O14" s="9">
        <f>IF(N14&lt;&gt;"",N14,ROUND(M14*INDEX('Live Calc'!$G$33:$G$92,MATCH(G14,'Live Calc'!$A$33:$A$92,0))*'Live Calc'!$J$543,0))</f>
        <v>7</v>
      </c>
      <c r="Q14" s="10" t="s">
        <v>129</v>
      </c>
      <c r="R14" s="10" t="s">
        <v>96</v>
      </c>
      <c r="S14" s="10">
        <v>199.65600000000001</v>
      </c>
      <c r="T14" s="10">
        <v>220.084</v>
      </c>
      <c r="U14" s="10">
        <v>233.92400000000001</v>
      </c>
      <c r="V14" s="10">
        <f>CHOOSE(MATCH(Setup!$B$7,{"STD","Half-PPR","PPR"},0),S14,T14,U14)</f>
        <v>220.084</v>
      </c>
      <c r="W14" s="10">
        <f>COUNTIFS('Draft Board'!$X$2:$X$161,"&gt;="&amp;X14,'Draft Board'!$AB$2:$AB$161,1)</f>
        <v>3</v>
      </c>
      <c r="X14" s="10">
        <f>MAX(0,V14-'Live Calc'!$H$20)^'Live Calc'!$E$20</f>
        <v>310.28358863138158</v>
      </c>
      <c r="Y14" s="10">
        <v>14</v>
      </c>
      <c r="Z14" s="10">
        <f>IF(Y14&lt;&gt;_xlfn.MINIFS('Draft Board'!$Y$2:$Y$161,'Draft Board'!$X$2:$X$161,"="&amp;X14),0,IF(_xlfn.MINIFS('Draft Board'!$X$2:$X$161,'Draft Board'!$X$2:$X$161,"&gt;"&amp;X14)=0,1,IF((_xlfn.MINIFS('Draft Board'!$X$2:$X$161,'Draft Board'!$X$2:$X$161,"&gt;"&amp;X14)-X14)/_xlfn.MINIFS('Draft Board'!$X$2:$X$161,'Draft Board'!$X$2:$X$161,"&gt;"&amp;X14)&gt;0.08,1,0)))</f>
        <v>0</v>
      </c>
      <c r="AA14" s="10">
        <f>_xlfn.MINIFS('Draft Board'!$X$2:$X$161,'Draft Board'!$X$2:$X$161,"&gt;="&amp;X14,'Draft Board'!$Z$2:$Z$161,1)</f>
        <v>407.91104779583418</v>
      </c>
      <c r="AB14" s="10">
        <f>IF(Y14&lt;&gt;_xlfn.MINIFS('Draft Board'!$Y$2:$Y$161,'Draft Board'!$X$2:$X$161,"="&amp;X14),0,IF(OR(Z14=1,IFERROR(FLOOR((AA14-X14)/AA14/0.25,1),0)&lt;&gt;IFERROR(FLOOR((AA14-_xlfn.MINIFS('Draft Board'!$X$2:$X$161,'Draft Board'!$X$2:$X$161,"&gt;"&amp;X14))/AA14/0.25,1),0)),1,0))</f>
        <v>0</v>
      </c>
      <c r="AC14" s="10">
        <f>ROUND(1+X14*'Live Calc'!$D$27,0)</f>
        <v>30</v>
      </c>
      <c r="AD14" s="10"/>
      <c r="AE14" s="10">
        <f>IF(AD14&lt;&gt;"",AD14,ROUND(AC14*INDEX('Live Calc'!$G$96:$G$255,MATCH(W14,'Live Calc'!$A$96:$A$255,0))*'Live Calc'!$J$543,0))</f>
        <v>30</v>
      </c>
      <c r="AG14" s="11" t="s">
        <v>130</v>
      </c>
      <c r="AH14" s="11" t="s">
        <v>63</v>
      </c>
      <c r="AI14" s="11">
        <v>152.00800000000001</v>
      </c>
      <c r="AJ14" s="11">
        <v>192.53</v>
      </c>
      <c r="AK14" s="11">
        <v>233.55600000000001</v>
      </c>
      <c r="AL14" s="11">
        <f>CHOOSE(MATCH(Setup!$B$7,{"STD","Half-PPR","PPR"},0),AI14,AJ14,AK14)</f>
        <v>192.53</v>
      </c>
      <c r="AM14" s="11">
        <f>COUNTIFS('Draft Board'!$AN$2:$AN$193,"&gt;="&amp;AN14,'Draft Board'!$AR$2:$AR$193,1)</f>
        <v>4</v>
      </c>
      <c r="AN14" s="11">
        <f>MAX(0,AL14-'Live Calc'!$H$21)^'Live Calc'!$E$21</f>
        <v>282.18180610909189</v>
      </c>
      <c r="AO14" s="11">
        <v>14</v>
      </c>
      <c r="AP14" s="11">
        <f>IF(AO14&lt;&gt;_xlfn.MINIFS('Draft Board'!$AO$2:$AO$193,'Draft Board'!$AN$2:$AN$193,"="&amp;AN14),0,IF(_xlfn.MINIFS('Draft Board'!$AN$2:$AN$193,'Draft Board'!$AN$2:$AN$193,"&gt;"&amp;AN14)=0,1,IF((_xlfn.MINIFS('Draft Board'!$AN$2:$AN$193,'Draft Board'!$AN$2:$AN$193,"&gt;"&amp;AN14)-AN14)/_xlfn.MINIFS('Draft Board'!$AN$2:$AN$193,'Draft Board'!$AN$2:$AN$193,"&gt;"&amp;AN14)&gt;0.08,1,0)))</f>
        <v>0</v>
      </c>
      <c r="AQ14" s="11">
        <f>_xlfn.MINIFS('Draft Board'!$AN$2:$AN$193,'Draft Board'!$AN$2:$AN$193,"&gt;="&amp;AN14,'Draft Board'!$AP$2:$AP$193,1)</f>
        <v>335.50592043946324</v>
      </c>
      <c r="AR14" s="11">
        <f>IF(AO14&lt;&gt;_xlfn.MINIFS('Draft Board'!$AO$2:$AO$193,'Draft Board'!$AN$2:$AN$193,"="&amp;AN14),0,IF(OR(AP14=1,IFERROR(FLOOR((AQ14-AN14)/AQ14/0.25,1),0)&lt;&gt;IFERROR(FLOOR((AQ14-_xlfn.MINIFS('Draft Board'!$AN$2:$AN$193,'Draft Board'!$AN$2:$AN$193,"&gt;"&amp;AN14))/AQ14/0.25,1),0)),1,0))</f>
        <v>0</v>
      </c>
      <c r="AS14" s="11">
        <f>ROUND(1+AN14*'Live Calc'!$D$28,0)</f>
        <v>24</v>
      </c>
      <c r="AT14" s="11"/>
      <c r="AU14" s="11">
        <f>IF(AT14&lt;&gt;"",AT14,ROUND(AS14*INDEX('Live Calc'!$G$259:$G$450,MATCH(AM14,'Live Calc'!$A$259:$A$450,0))*'Live Calc'!$J$543,0))</f>
        <v>24</v>
      </c>
      <c r="AW14" s="12" t="s">
        <v>131</v>
      </c>
      <c r="AX14" s="12" t="s">
        <v>55</v>
      </c>
      <c r="AY14" s="12">
        <v>99</v>
      </c>
      <c r="AZ14" s="12">
        <v>127.822</v>
      </c>
      <c r="BA14" s="12">
        <v>156.19800000000001</v>
      </c>
      <c r="BB14" s="12">
        <f>CHOOSE(MATCH(Setup!$B$7,{"STD","Half-PPR","PPR"},0),AY14,AZ14,BA14)</f>
        <v>127.822</v>
      </c>
      <c r="BC14" s="12">
        <f>COUNTIFS('Draft Board'!$BD$2:$BD$87,"&gt;="&amp;BD14,'Draft Board'!$BH$2:$BH$87,1)</f>
        <v>7</v>
      </c>
      <c r="BD14" s="12">
        <f>MAX(0,BB14-'Live Calc'!$H$22)^'Live Calc'!$E$22</f>
        <v>24.572000000000003</v>
      </c>
      <c r="BE14" s="12">
        <v>14</v>
      </c>
      <c r="BF14" s="12">
        <f>IF(BE14&lt;&gt;_xlfn.MINIFS('Draft Board'!$BE$2:$BE$87,'Draft Board'!$BD$2:$BD$87,"="&amp;BD14),0,IF(_xlfn.MINIFS('Draft Board'!$BD$2:$BD$87,'Draft Board'!$BD$2:$BD$87,"&gt;"&amp;BD14)=0,1,IF((_xlfn.MINIFS('Draft Board'!$BD$2:$BD$87,'Draft Board'!$BD$2:$BD$87,"&gt;"&amp;BD14)-BD14)/_xlfn.MINIFS('Draft Board'!$BD$2:$BD$87,'Draft Board'!$BD$2:$BD$87,"&gt;"&amp;BD14)&gt;0.08,1,0)))</f>
        <v>1</v>
      </c>
      <c r="BG14" s="12">
        <f>_xlfn.MINIFS('Draft Board'!$BD$2:$BD$87,'Draft Board'!$BD$2:$BD$87,"&gt;="&amp;BD14,'Draft Board'!$BF$2:$BF$87,1)</f>
        <v>24.572000000000003</v>
      </c>
      <c r="BH14" s="12">
        <f>IF(BE14&lt;&gt;_xlfn.MINIFS('Draft Board'!$BE$2:$BE$87,'Draft Board'!$BD$2:$BD$87,"="&amp;BD14),0,IF(OR(BF14=1,IFERROR(FLOOR((BG14-BD14)/BG14/0.25,1),0)&lt;&gt;IFERROR(FLOOR((BG14-_xlfn.MINIFS('Draft Board'!$BD$2:$BD$87,'Draft Board'!$BD$2:$BD$87,"&gt;"&amp;BD14))/BG14/0.25,1),0)),1,0))</f>
        <v>1</v>
      </c>
      <c r="BI14" s="12">
        <f>ROUND(1+BD14*'Live Calc'!$D$29,0)</f>
        <v>8</v>
      </c>
      <c r="BJ14" s="12"/>
      <c r="BK14" s="12">
        <f>IF(BJ14&lt;&gt;"",BJ14,ROUND(BI14*INDEX('Live Calc'!$G$454:$G$539,MATCH(BC14,'Live Calc'!$A$454:$A$539,0))*'Live Calc'!$J$543,0))</f>
        <v>8</v>
      </c>
    </row>
    <row r="15" spans="1:63" x14ac:dyDescent="0.25">
      <c r="A15" s="9" t="s">
        <v>132</v>
      </c>
      <c r="B15" s="9" t="s">
        <v>133</v>
      </c>
      <c r="C15" s="9">
        <v>282.22399999999999</v>
      </c>
      <c r="D15" s="9">
        <v>282.22399999999999</v>
      </c>
      <c r="E15" s="9">
        <v>282.22399999999999</v>
      </c>
      <c r="F15" s="9">
        <f>CHOOSE(MATCH(Setup!$B$7,{"STD","Half-PPR","PPR"},0),C15,D15,E15)</f>
        <v>282.22399999999999</v>
      </c>
      <c r="G15" s="9">
        <f>COUNTIFS('Draft Board'!$H$2:$H$61,"&gt;="&amp;H15,'Draft Board'!$L$2:$L$61,1)</f>
        <v>6</v>
      </c>
      <c r="H15" s="9">
        <f>MAX(0,F15-'Live Calc'!$H$19)^'Live Calc'!$E$19</f>
        <v>32.202391508770312</v>
      </c>
      <c r="I15" s="9">
        <v>15</v>
      </c>
      <c r="J15" s="9">
        <f>IF(I15&lt;&gt;_xlfn.MINIFS('Draft Board'!$I$2:$I$61,'Draft Board'!$H$2:$H$61,"="&amp;H15),0,IF(_xlfn.MINIFS('Draft Board'!$H$2:$H$61,'Draft Board'!$H$2:$H$61,"&gt;"&amp;H15)=0,1,IF((_xlfn.MINIFS('Draft Board'!$H$2:$H$61,'Draft Board'!$H$2:$H$61,"&gt;"&amp;H15)-H15)/_xlfn.MINIFS('Draft Board'!$H$2:$H$61,'Draft Board'!$H$2:$H$61,"&gt;"&amp;H15)&gt;0.08,1,0)))</f>
        <v>1</v>
      </c>
      <c r="K15" s="9">
        <f>_xlfn.MINIFS('Draft Board'!$H$2:$H$61,'Draft Board'!$H$2:$H$61,"&gt;="&amp;H15,'Draft Board'!$J$2:$J$61,1)</f>
        <v>32.202391508770312</v>
      </c>
      <c r="L15" s="9">
        <f>IF(I15&lt;&gt;_xlfn.MINIFS('Draft Board'!$I$2:$I$61,'Draft Board'!$H$2:$H$61,"="&amp;H15),0,IF(OR(J15=1,IFERROR(FLOOR((K15-H15)/K15/0.25,1),0)&lt;&gt;IFERROR(FLOOR((K15-_xlfn.MINIFS('Draft Board'!$H$2:$H$61,'Draft Board'!$H$2:$H$61,"&gt;"&amp;H15))/K15/0.25,1),0)),1,0))</f>
        <v>1</v>
      </c>
      <c r="M15" s="9">
        <f>ROUND(1+H15*'Live Calc'!$D$26,0)</f>
        <v>5</v>
      </c>
      <c r="N15" s="9"/>
      <c r="O15" s="9">
        <f>IF(N15&lt;&gt;"",N15,ROUND(M15*INDEX('Live Calc'!$G$33:$G$92,MATCH(G15,'Live Calc'!$A$33:$A$92,0))*'Live Calc'!$J$543,0))</f>
        <v>5</v>
      </c>
      <c r="Q15" s="10" t="s">
        <v>134</v>
      </c>
      <c r="R15" s="10" t="s">
        <v>61</v>
      </c>
      <c r="S15" s="10">
        <v>193.892</v>
      </c>
      <c r="T15" s="10">
        <v>219.73599999999999</v>
      </c>
      <c r="U15" s="10">
        <v>245.35599999999999</v>
      </c>
      <c r="V15" s="10">
        <f>CHOOSE(MATCH(Setup!$B$7,{"STD","Half-PPR","PPR"},0),S15,T15,U15)</f>
        <v>219.73599999999999</v>
      </c>
      <c r="W15" s="10">
        <f>COUNTIFS('Draft Board'!$X$2:$X$161,"&gt;="&amp;X15,'Draft Board'!$AB$2:$AB$161,1)</f>
        <v>3</v>
      </c>
      <c r="X15" s="10">
        <f>MAX(0,V15-'Live Calc'!$H$20)^'Live Calc'!$E$20</f>
        <v>309.19734617952656</v>
      </c>
      <c r="Y15" s="10">
        <v>15</v>
      </c>
      <c r="Z15" s="10">
        <f>IF(Y15&lt;&gt;_xlfn.MINIFS('Draft Board'!$Y$2:$Y$161,'Draft Board'!$X$2:$X$161,"="&amp;X15),0,IF(_xlfn.MINIFS('Draft Board'!$X$2:$X$161,'Draft Board'!$X$2:$X$161,"&gt;"&amp;X15)=0,1,IF((_xlfn.MINIFS('Draft Board'!$X$2:$X$161,'Draft Board'!$X$2:$X$161,"&gt;"&amp;X15)-X15)/_xlfn.MINIFS('Draft Board'!$X$2:$X$161,'Draft Board'!$X$2:$X$161,"&gt;"&amp;X15)&gt;0.08,1,0)))</f>
        <v>0</v>
      </c>
      <c r="AA15" s="10">
        <f>_xlfn.MINIFS('Draft Board'!$X$2:$X$161,'Draft Board'!$X$2:$X$161,"&gt;="&amp;X15,'Draft Board'!$Z$2:$Z$161,1)</f>
        <v>407.91104779583418</v>
      </c>
      <c r="AB15" s="10">
        <f>IF(Y15&lt;&gt;_xlfn.MINIFS('Draft Board'!$Y$2:$Y$161,'Draft Board'!$X$2:$X$161,"="&amp;X15),0,IF(OR(Z15=1,IFERROR(FLOOR((AA15-X15)/AA15/0.25,1),0)&lt;&gt;IFERROR(FLOOR((AA15-_xlfn.MINIFS('Draft Board'!$X$2:$X$161,'Draft Board'!$X$2:$X$161,"&gt;"&amp;X15))/AA15/0.25,1),0)),1,0))</f>
        <v>0</v>
      </c>
      <c r="AC15" s="10">
        <f>ROUND(1+X15*'Live Calc'!$D$27,0)</f>
        <v>29</v>
      </c>
      <c r="AD15" s="10"/>
      <c r="AE15" s="10">
        <f>IF(AD15&lt;&gt;"",AD15,ROUND(AC15*INDEX('Live Calc'!$G$96:$G$255,MATCH(W15,'Live Calc'!$A$96:$A$255,0))*'Live Calc'!$J$543,0))</f>
        <v>29</v>
      </c>
      <c r="AG15" s="11" t="s">
        <v>135</v>
      </c>
      <c r="AH15" s="11" t="s">
        <v>85</v>
      </c>
      <c r="AI15" s="11">
        <v>149.26599999999999</v>
      </c>
      <c r="AJ15" s="11">
        <v>192.042</v>
      </c>
      <c r="AK15" s="11">
        <v>234.898</v>
      </c>
      <c r="AL15" s="11">
        <f>CHOOSE(MATCH(Setup!$B$7,{"STD","Half-PPR","PPR"},0),AI15,AJ15,AK15)</f>
        <v>192.042</v>
      </c>
      <c r="AM15" s="11">
        <f>COUNTIFS('Draft Board'!$AN$2:$AN$193,"&gt;="&amp;AN15,'Draft Board'!$AR$2:$AR$193,1)</f>
        <v>4</v>
      </c>
      <c r="AN15" s="11">
        <f>MAX(0,AL15-'Live Calc'!$H$21)^'Live Calc'!$E$21</f>
        <v>280.29752820629864</v>
      </c>
      <c r="AO15" s="11">
        <v>15</v>
      </c>
      <c r="AP15" s="11">
        <f>IF(AO15&lt;&gt;_xlfn.MINIFS('Draft Board'!$AO$2:$AO$193,'Draft Board'!$AN$2:$AN$193,"="&amp;AN15),0,IF(_xlfn.MINIFS('Draft Board'!$AN$2:$AN$193,'Draft Board'!$AN$2:$AN$193,"&gt;"&amp;AN15)=0,1,IF((_xlfn.MINIFS('Draft Board'!$AN$2:$AN$193,'Draft Board'!$AN$2:$AN$193,"&gt;"&amp;AN15)-AN15)/_xlfn.MINIFS('Draft Board'!$AN$2:$AN$193,'Draft Board'!$AN$2:$AN$193,"&gt;"&amp;AN15)&gt;0.08,1,0)))</f>
        <v>0</v>
      </c>
      <c r="AQ15" s="11">
        <f>_xlfn.MINIFS('Draft Board'!$AN$2:$AN$193,'Draft Board'!$AN$2:$AN$193,"&gt;="&amp;AN15,'Draft Board'!$AP$2:$AP$193,1)</f>
        <v>335.50592043946324</v>
      </c>
      <c r="AR15" s="11">
        <f>IF(AO15&lt;&gt;_xlfn.MINIFS('Draft Board'!$AO$2:$AO$193,'Draft Board'!$AN$2:$AN$193,"="&amp;AN15),0,IF(OR(AP15=1,IFERROR(FLOOR((AQ15-AN15)/AQ15/0.25,1),0)&lt;&gt;IFERROR(FLOOR((AQ15-_xlfn.MINIFS('Draft Board'!$AN$2:$AN$193,'Draft Board'!$AN$2:$AN$193,"&gt;"&amp;AN15))/AQ15/0.25,1),0)),1,0))</f>
        <v>0</v>
      </c>
      <c r="AS15" s="11">
        <f>ROUND(1+AN15*'Live Calc'!$D$28,0)</f>
        <v>24</v>
      </c>
      <c r="AT15" s="11"/>
      <c r="AU15" s="11">
        <f>IF(AT15&lt;&gt;"",AT15,ROUND(AS15*INDEX('Live Calc'!$G$259:$G$450,MATCH(AM15,'Live Calc'!$A$259:$A$450,0))*'Live Calc'!$J$543,0))</f>
        <v>24</v>
      </c>
      <c r="AW15" s="12" t="s">
        <v>136</v>
      </c>
      <c r="AX15" s="12" t="s">
        <v>88</v>
      </c>
      <c r="AY15" s="12">
        <v>91.86</v>
      </c>
      <c r="AZ15" s="12">
        <v>126.11199999999999</v>
      </c>
      <c r="BA15" s="12">
        <v>162.24199999999999</v>
      </c>
      <c r="BB15" s="12">
        <f>CHOOSE(MATCH(Setup!$B$7,{"STD","Half-PPR","PPR"},0),AY15,AZ15,BA15)</f>
        <v>126.11199999999999</v>
      </c>
      <c r="BC15" s="12">
        <f>COUNTIFS('Draft Board'!$BD$2:$BD$87,"&gt;="&amp;BD15,'Draft Board'!$BH$2:$BH$87,1)</f>
        <v>7</v>
      </c>
      <c r="BD15" s="12">
        <f>MAX(0,BB15-'Live Calc'!$H$22)^'Live Calc'!$E$22</f>
        <v>22.861999999999995</v>
      </c>
      <c r="BE15" s="12">
        <v>15</v>
      </c>
      <c r="BF15" s="12">
        <f>IF(BE15&lt;&gt;_xlfn.MINIFS('Draft Board'!$BE$2:$BE$87,'Draft Board'!$BD$2:$BD$87,"="&amp;BD15),0,IF(_xlfn.MINIFS('Draft Board'!$BD$2:$BD$87,'Draft Board'!$BD$2:$BD$87,"&gt;"&amp;BD15)=0,1,IF((_xlfn.MINIFS('Draft Board'!$BD$2:$BD$87,'Draft Board'!$BD$2:$BD$87,"&gt;"&amp;BD15)-BD15)/_xlfn.MINIFS('Draft Board'!$BD$2:$BD$87,'Draft Board'!$BD$2:$BD$87,"&gt;"&amp;BD15)&gt;0.08,1,0)))</f>
        <v>0</v>
      </c>
      <c r="BG15" s="12">
        <f>_xlfn.MINIFS('Draft Board'!$BD$2:$BD$87,'Draft Board'!$BD$2:$BD$87,"&gt;="&amp;BD15,'Draft Board'!$BF$2:$BF$87,1)</f>
        <v>24.572000000000003</v>
      </c>
      <c r="BH15" s="12">
        <f>IF(BE15&lt;&gt;_xlfn.MINIFS('Draft Board'!$BE$2:$BE$87,'Draft Board'!$BD$2:$BD$87,"="&amp;BD15),0,IF(OR(BF15=1,IFERROR(FLOOR((BG15-BD15)/BG15/0.25,1),0)&lt;&gt;IFERROR(FLOOR((BG15-_xlfn.MINIFS('Draft Board'!$BD$2:$BD$87,'Draft Board'!$BD$2:$BD$87,"&gt;"&amp;BD15))/BG15/0.25,1),0)),1,0))</f>
        <v>0</v>
      </c>
      <c r="BI15" s="12">
        <f>ROUND(1+BD15*'Live Calc'!$D$29,0)</f>
        <v>7</v>
      </c>
      <c r="BJ15" s="12"/>
      <c r="BK15" s="12">
        <f>IF(BJ15&lt;&gt;"",BJ15,ROUND(BI15*INDEX('Live Calc'!$G$454:$G$539,MATCH(BC15,'Live Calc'!$A$454:$A$539,0))*'Live Calc'!$J$543,0))</f>
        <v>7</v>
      </c>
    </row>
    <row r="16" spans="1:63" x14ac:dyDescent="0.25">
      <c r="A16" s="9" t="s">
        <v>137</v>
      </c>
      <c r="B16" s="9" t="s">
        <v>59</v>
      </c>
      <c r="C16" s="9">
        <v>281.25599999999997</v>
      </c>
      <c r="D16" s="9">
        <v>281.25599999999997</v>
      </c>
      <c r="E16" s="9">
        <v>281.25599999999997</v>
      </c>
      <c r="F16" s="9">
        <f>CHOOSE(MATCH(Setup!$B$7,{"STD","Half-PPR","PPR"},0),C16,D16,E16)</f>
        <v>281.25599999999997</v>
      </c>
      <c r="G16" s="9">
        <f>COUNTIFS('Draft Board'!$H$2:$H$61,"&gt;="&amp;H16,'Draft Board'!$L$2:$L$61,1)</f>
        <v>6</v>
      </c>
      <c r="H16" s="9">
        <f>MAX(0,F16-'Live Calc'!$H$19)^'Live Calc'!$E$19</f>
        <v>30.141751319814844</v>
      </c>
      <c r="I16" s="9">
        <v>16</v>
      </c>
      <c r="J16" s="9">
        <f>IF(I16&lt;&gt;_xlfn.MINIFS('Draft Board'!$I$2:$I$61,'Draft Board'!$H$2:$H$61,"="&amp;H16),0,IF(_xlfn.MINIFS('Draft Board'!$H$2:$H$61,'Draft Board'!$H$2:$H$61,"&gt;"&amp;H16)=0,1,IF((_xlfn.MINIFS('Draft Board'!$H$2:$H$61,'Draft Board'!$H$2:$H$61,"&gt;"&amp;H16)-H16)/_xlfn.MINIFS('Draft Board'!$H$2:$H$61,'Draft Board'!$H$2:$H$61,"&gt;"&amp;H16)&gt;0.08,1,0)))</f>
        <v>0</v>
      </c>
      <c r="K16" s="9">
        <f>_xlfn.MINIFS('Draft Board'!$H$2:$H$61,'Draft Board'!$H$2:$H$61,"&gt;="&amp;H16,'Draft Board'!$J$2:$J$61,1)</f>
        <v>32.202391508770312</v>
      </c>
      <c r="L16" s="9">
        <f>IF(I16&lt;&gt;_xlfn.MINIFS('Draft Board'!$I$2:$I$61,'Draft Board'!$H$2:$H$61,"="&amp;H16),0,IF(OR(J16=1,IFERROR(FLOOR((K16-H16)/K16/0.25,1),0)&lt;&gt;IFERROR(FLOOR((K16-_xlfn.MINIFS('Draft Board'!$H$2:$H$61,'Draft Board'!$H$2:$H$61,"&gt;"&amp;H16))/K16/0.25,1),0)),1,0))</f>
        <v>0</v>
      </c>
      <c r="M16" s="9">
        <f>ROUND(1+H16*'Live Calc'!$D$26,0)</f>
        <v>5</v>
      </c>
      <c r="N16" s="9"/>
      <c r="O16" s="9">
        <f>IF(N16&lt;&gt;"",N16,ROUND(M16*INDEX('Live Calc'!$G$33:$G$92,MATCH(G16,'Live Calc'!$A$33:$A$92,0))*'Live Calc'!$J$543,0))</f>
        <v>5</v>
      </c>
      <c r="Q16" s="10" t="s">
        <v>138</v>
      </c>
      <c r="R16" s="10" t="s">
        <v>59</v>
      </c>
      <c r="S16" s="10">
        <v>200.124</v>
      </c>
      <c r="T16" s="10">
        <v>216.38</v>
      </c>
      <c r="U16" s="10">
        <v>233.15</v>
      </c>
      <c r="V16" s="10">
        <f>CHOOSE(MATCH(Setup!$B$7,{"STD","Half-PPR","PPR"},0),S16,T16,U16)</f>
        <v>216.38</v>
      </c>
      <c r="W16" s="10">
        <f>COUNTIFS('Draft Board'!$X$2:$X$161,"&gt;="&amp;X16,'Draft Board'!$AB$2:$AB$161,1)</f>
        <v>4</v>
      </c>
      <c r="X16" s="10">
        <f>MAX(0,V16-'Live Calc'!$H$20)^'Live Calc'!$E$20</f>
        <v>298.75481899875092</v>
      </c>
      <c r="Y16" s="10">
        <v>16</v>
      </c>
      <c r="Z16" s="10">
        <f>IF(Y16&lt;&gt;_xlfn.MINIFS('Draft Board'!$Y$2:$Y$161,'Draft Board'!$X$2:$X$161,"="&amp;X16),0,IF(_xlfn.MINIFS('Draft Board'!$X$2:$X$161,'Draft Board'!$X$2:$X$161,"&gt;"&amp;X16)=0,1,IF((_xlfn.MINIFS('Draft Board'!$X$2:$X$161,'Draft Board'!$X$2:$X$161,"&gt;"&amp;X16)-X16)/_xlfn.MINIFS('Draft Board'!$X$2:$X$161,'Draft Board'!$X$2:$X$161,"&gt;"&amp;X16)&gt;0.08,1,0)))</f>
        <v>0</v>
      </c>
      <c r="AA16" s="10">
        <f>_xlfn.MINIFS('Draft Board'!$X$2:$X$161,'Draft Board'!$X$2:$X$161,"&gt;="&amp;X16,'Draft Board'!$Z$2:$Z$161,1)</f>
        <v>407.91104779583418</v>
      </c>
      <c r="AB16" s="10">
        <f>IF(Y16&lt;&gt;_xlfn.MINIFS('Draft Board'!$Y$2:$Y$161,'Draft Board'!$X$2:$X$161,"="&amp;X16),0,IF(OR(Z16=1,IFERROR(FLOOR((AA16-X16)/AA16/0.25,1),0)&lt;&gt;IFERROR(FLOOR((AA16-_xlfn.MINIFS('Draft Board'!$X$2:$X$161,'Draft Board'!$X$2:$X$161,"&gt;"&amp;X16))/AA16/0.25,1),0)),1,0))</f>
        <v>1</v>
      </c>
      <c r="AC16" s="10">
        <f>ROUND(1+X16*'Live Calc'!$D$27,0)</f>
        <v>28</v>
      </c>
      <c r="AD16" s="10"/>
      <c r="AE16" s="10">
        <f>IF(AD16&lt;&gt;"",AD16,ROUND(AC16*INDEX('Live Calc'!$G$96:$G$255,MATCH(W16,'Live Calc'!$A$96:$A$255,0))*'Live Calc'!$J$543,0))</f>
        <v>28</v>
      </c>
      <c r="AG16" s="11" t="s">
        <v>139</v>
      </c>
      <c r="AH16" s="11" t="s">
        <v>67</v>
      </c>
      <c r="AI16" s="11">
        <v>153.71</v>
      </c>
      <c r="AJ16" s="11">
        <v>188.73</v>
      </c>
      <c r="AK16" s="11">
        <v>224.44</v>
      </c>
      <c r="AL16" s="11">
        <f>CHOOSE(MATCH(Setup!$B$7,{"STD","Half-PPR","PPR"},0),AI16,AJ16,AK16)</f>
        <v>188.73</v>
      </c>
      <c r="AM16" s="11">
        <f>COUNTIFS('Draft Board'!$AN$2:$AN$193,"&gt;="&amp;AN16,'Draft Board'!$AR$2:$AR$193,1)</f>
        <v>4</v>
      </c>
      <c r="AN16" s="11">
        <f>MAX(0,AL16-'Live Calc'!$H$21)^'Live Calc'!$E$21</f>
        <v>267.57653201234712</v>
      </c>
      <c r="AO16" s="11">
        <v>16</v>
      </c>
      <c r="AP16" s="11">
        <f>IF(AO16&lt;&gt;_xlfn.MINIFS('Draft Board'!$AO$2:$AO$193,'Draft Board'!$AN$2:$AN$193,"="&amp;AN16),0,IF(_xlfn.MINIFS('Draft Board'!$AN$2:$AN$193,'Draft Board'!$AN$2:$AN$193,"&gt;"&amp;AN16)=0,1,IF((_xlfn.MINIFS('Draft Board'!$AN$2:$AN$193,'Draft Board'!$AN$2:$AN$193,"&gt;"&amp;AN16)-AN16)/_xlfn.MINIFS('Draft Board'!$AN$2:$AN$193,'Draft Board'!$AN$2:$AN$193,"&gt;"&amp;AN16)&gt;0.08,1,0)))</f>
        <v>0</v>
      </c>
      <c r="AQ16" s="11">
        <f>_xlfn.MINIFS('Draft Board'!$AN$2:$AN$193,'Draft Board'!$AN$2:$AN$193,"&gt;="&amp;AN16,'Draft Board'!$AP$2:$AP$193,1)</f>
        <v>335.50592043946324</v>
      </c>
      <c r="AR16" s="11">
        <f>IF(AO16&lt;&gt;_xlfn.MINIFS('Draft Board'!$AO$2:$AO$193,'Draft Board'!$AN$2:$AN$193,"="&amp;AN16),0,IF(OR(AP16=1,IFERROR(FLOOR((AQ16-AN16)/AQ16/0.25,1),0)&lt;&gt;IFERROR(FLOOR((AQ16-_xlfn.MINIFS('Draft Board'!$AN$2:$AN$193,'Draft Board'!$AN$2:$AN$193,"&gt;"&amp;AN16))/AQ16/0.25,1),0)),1,0))</f>
        <v>0</v>
      </c>
      <c r="AS16" s="11">
        <f>ROUND(1+AN16*'Live Calc'!$D$28,0)</f>
        <v>23</v>
      </c>
      <c r="AT16" s="11"/>
      <c r="AU16" s="11">
        <f>IF(AT16&lt;&gt;"",AT16,ROUND(AS16*INDEX('Live Calc'!$G$259:$G$450,MATCH(AM16,'Live Calc'!$A$259:$A$450,0))*'Live Calc'!$J$543,0))</f>
        <v>23</v>
      </c>
      <c r="AW16" s="12" t="s">
        <v>140</v>
      </c>
      <c r="AX16" s="12" t="s">
        <v>113</v>
      </c>
      <c r="AY16" s="12">
        <v>93.477999999999994</v>
      </c>
      <c r="AZ16" s="12">
        <v>121.92400000000001</v>
      </c>
      <c r="BA16" s="12">
        <v>150.69</v>
      </c>
      <c r="BB16" s="12">
        <f>CHOOSE(MATCH(Setup!$B$7,{"STD","Half-PPR","PPR"},0),AY16,AZ16,BA16)</f>
        <v>121.92400000000001</v>
      </c>
      <c r="BC16" s="12">
        <f>COUNTIFS('Draft Board'!$BD$2:$BD$87,"&gt;="&amp;BD16,'Draft Board'!$BH$2:$BH$87,1)</f>
        <v>8</v>
      </c>
      <c r="BD16" s="12">
        <f>MAX(0,BB16-'Live Calc'!$H$22)^'Live Calc'!$E$22</f>
        <v>18.674000000000007</v>
      </c>
      <c r="BE16" s="12">
        <v>16</v>
      </c>
      <c r="BF16" s="12">
        <f>IF(BE16&lt;&gt;_xlfn.MINIFS('Draft Board'!$BE$2:$BE$87,'Draft Board'!$BD$2:$BD$87,"="&amp;BD16),0,IF(_xlfn.MINIFS('Draft Board'!$BD$2:$BD$87,'Draft Board'!$BD$2:$BD$87,"&gt;"&amp;BD16)=0,1,IF((_xlfn.MINIFS('Draft Board'!$BD$2:$BD$87,'Draft Board'!$BD$2:$BD$87,"&gt;"&amp;BD16)-BD16)/_xlfn.MINIFS('Draft Board'!$BD$2:$BD$87,'Draft Board'!$BD$2:$BD$87,"&gt;"&amp;BD16)&gt;0.08,1,0)))</f>
        <v>1</v>
      </c>
      <c r="BG16" s="12">
        <f>_xlfn.MINIFS('Draft Board'!$BD$2:$BD$87,'Draft Board'!$BD$2:$BD$87,"&gt;="&amp;BD16,'Draft Board'!$BF$2:$BF$87,1)</f>
        <v>18.674000000000007</v>
      </c>
      <c r="BH16" s="12">
        <f>IF(BE16&lt;&gt;_xlfn.MINIFS('Draft Board'!$BE$2:$BE$87,'Draft Board'!$BD$2:$BD$87,"="&amp;BD16),0,IF(OR(BF16=1,IFERROR(FLOOR((BG16-BD16)/BG16/0.25,1),0)&lt;&gt;IFERROR(FLOOR((BG16-_xlfn.MINIFS('Draft Board'!$BD$2:$BD$87,'Draft Board'!$BD$2:$BD$87,"&gt;"&amp;BD16))/BG16/0.25,1),0)),1,0))</f>
        <v>1</v>
      </c>
      <c r="BI16" s="12">
        <f>ROUND(1+BD16*'Live Calc'!$D$29,0)</f>
        <v>6</v>
      </c>
      <c r="BJ16" s="12"/>
      <c r="BK16" s="12">
        <f>IF(BJ16&lt;&gt;"",BJ16,ROUND(BI16*INDEX('Live Calc'!$G$454:$G$539,MATCH(BC16,'Live Calc'!$A$454:$A$539,0))*'Live Calc'!$J$543,0))</f>
        <v>6</v>
      </c>
    </row>
    <row r="17" spans="1:63" x14ac:dyDescent="0.25">
      <c r="A17" s="9" t="s">
        <v>141</v>
      </c>
      <c r="B17" s="9" t="s">
        <v>57</v>
      </c>
      <c r="C17" s="9">
        <v>274.80200000000002</v>
      </c>
      <c r="D17" s="9">
        <v>274.80200000000002</v>
      </c>
      <c r="E17" s="9">
        <v>274.80200000000002</v>
      </c>
      <c r="F17" s="9">
        <f>CHOOSE(MATCH(Setup!$B$7,{"STD","Half-PPR","PPR"},0),C17,D17,E17)</f>
        <v>274.80200000000002</v>
      </c>
      <c r="G17" s="9">
        <f>COUNTIFS('Draft Board'!$H$2:$H$61,"&gt;="&amp;H17,'Draft Board'!$L$2:$L$61,1)</f>
        <v>7</v>
      </c>
      <c r="H17" s="9">
        <f>MAX(0,F17-'Live Calc'!$H$19)^'Live Calc'!$E$19</f>
        <v>17.05838694458452</v>
      </c>
      <c r="I17" s="9">
        <v>17</v>
      </c>
      <c r="J17" s="9">
        <f>IF(I17&lt;&gt;_xlfn.MINIFS('Draft Board'!$I$2:$I$61,'Draft Board'!$H$2:$H$61,"="&amp;H17),0,IF(_xlfn.MINIFS('Draft Board'!$H$2:$H$61,'Draft Board'!$H$2:$H$61,"&gt;"&amp;H17)=0,1,IF((_xlfn.MINIFS('Draft Board'!$H$2:$H$61,'Draft Board'!$H$2:$H$61,"&gt;"&amp;H17)-H17)/_xlfn.MINIFS('Draft Board'!$H$2:$H$61,'Draft Board'!$H$2:$H$61,"&gt;"&amp;H17)&gt;0.08,1,0)))</f>
        <v>1</v>
      </c>
      <c r="K17" s="9">
        <f>_xlfn.MINIFS('Draft Board'!$H$2:$H$61,'Draft Board'!$H$2:$H$61,"&gt;="&amp;H17,'Draft Board'!$J$2:$J$61,1)</f>
        <v>17.05838694458452</v>
      </c>
      <c r="L17" s="9">
        <f>IF(I17&lt;&gt;_xlfn.MINIFS('Draft Board'!$I$2:$I$61,'Draft Board'!$H$2:$H$61,"="&amp;H17),0,IF(OR(J17=1,IFERROR(FLOOR((K17-H17)/K17/0.25,1),0)&lt;&gt;IFERROR(FLOOR((K17-_xlfn.MINIFS('Draft Board'!$H$2:$H$61,'Draft Board'!$H$2:$H$61,"&gt;"&amp;H17))/K17/0.25,1),0)),1,0))</f>
        <v>1</v>
      </c>
      <c r="M17" s="9">
        <f>ROUND(1+H17*'Live Calc'!$D$26,0)</f>
        <v>3</v>
      </c>
      <c r="N17" s="9"/>
      <c r="O17" s="9">
        <f>IF(N17&lt;&gt;"",N17,ROUND(M17*INDEX('Live Calc'!$G$33:$G$92,MATCH(G17,'Live Calc'!$A$33:$A$92,0))*'Live Calc'!$J$543,0))</f>
        <v>3</v>
      </c>
      <c r="Q17" s="10" t="s">
        <v>142</v>
      </c>
      <c r="R17" s="10" t="s">
        <v>143</v>
      </c>
      <c r="S17" s="10">
        <v>187.446</v>
      </c>
      <c r="T17" s="10">
        <v>213.1</v>
      </c>
      <c r="U17" s="10">
        <v>237.614</v>
      </c>
      <c r="V17" s="10">
        <f>CHOOSE(MATCH(Setup!$B$7,{"STD","Half-PPR","PPR"},0),S17,T17,U17)</f>
        <v>213.1</v>
      </c>
      <c r="W17" s="10">
        <f>COUNTIFS('Draft Board'!$X$2:$X$161,"&gt;="&amp;X17,'Draft Board'!$AB$2:$AB$161,1)</f>
        <v>4</v>
      </c>
      <c r="X17" s="10">
        <f>MAX(0,V17-'Live Calc'!$H$20)^'Live Calc'!$E$20</f>
        <v>288.60721445442874</v>
      </c>
      <c r="Y17" s="10">
        <v>17</v>
      </c>
      <c r="Z17" s="10">
        <f>IF(Y17&lt;&gt;_xlfn.MINIFS('Draft Board'!$Y$2:$Y$161,'Draft Board'!$X$2:$X$161,"="&amp;X17),0,IF(_xlfn.MINIFS('Draft Board'!$X$2:$X$161,'Draft Board'!$X$2:$X$161,"&gt;"&amp;X17)=0,1,IF((_xlfn.MINIFS('Draft Board'!$X$2:$X$161,'Draft Board'!$X$2:$X$161,"&gt;"&amp;X17)-X17)/_xlfn.MINIFS('Draft Board'!$X$2:$X$161,'Draft Board'!$X$2:$X$161,"&gt;"&amp;X17)&gt;0.08,1,0)))</f>
        <v>0</v>
      </c>
      <c r="AA17" s="10">
        <f>_xlfn.MINIFS('Draft Board'!$X$2:$X$161,'Draft Board'!$X$2:$X$161,"&gt;="&amp;X17,'Draft Board'!$Z$2:$Z$161,1)</f>
        <v>407.91104779583418</v>
      </c>
      <c r="AB17" s="10">
        <f>IF(Y17&lt;&gt;_xlfn.MINIFS('Draft Board'!$Y$2:$Y$161,'Draft Board'!$X$2:$X$161,"="&amp;X17),0,IF(OR(Z17=1,IFERROR(FLOOR((AA17-X17)/AA17/0.25,1),0)&lt;&gt;IFERROR(FLOOR((AA17-_xlfn.MINIFS('Draft Board'!$X$2:$X$161,'Draft Board'!$X$2:$X$161,"&gt;"&amp;X17))/AA17/0.25,1),0)),1,0))</f>
        <v>0</v>
      </c>
      <c r="AC17" s="10">
        <f>ROUND(1+X17*'Live Calc'!$D$27,0)</f>
        <v>28</v>
      </c>
      <c r="AD17" s="10"/>
      <c r="AE17" s="10">
        <f>IF(AD17&lt;&gt;"",AD17,ROUND(AC17*INDEX('Live Calc'!$G$96:$G$255,MATCH(W17,'Live Calc'!$A$96:$A$255,0))*'Live Calc'!$J$543,0))</f>
        <v>28</v>
      </c>
      <c r="AG17" s="11" t="s">
        <v>144</v>
      </c>
      <c r="AH17" s="11" t="s">
        <v>143</v>
      </c>
      <c r="AI17" s="11">
        <v>139.86600000000001</v>
      </c>
      <c r="AJ17" s="11">
        <v>186.05</v>
      </c>
      <c r="AK17" s="11">
        <v>231.42</v>
      </c>
      <c r="AL17" s="11">
        <f>CHOOSE(MATCH(Setup!$B$7,{"STD","Half-PPR","PPR"},0),AI17,AJ17,AK17)</f>
        <v>186.05</v>
      </c>
      <c r="AM17" s="11">
        <f>COUNTIFS('Draft Board'!$AN$2:$AN$193,"&gt;="&amp;AN17,'Draft Board'!$AR$2:$AR$193,1)</f>
        <v>4</v>
      </c>
      <c r="AN17" s="11">
        <f>MAX(0,AL17-'Live Calc'!$H$21)^'Live Calc'!$E$21</f>
        <v>257.37053718683489</v>
      </c>
      <c r="AO17" s="11">
        <v>17</v>
      </c>
      <c r="AP17" s="11">
        <f>IF(AO17&lt;&gt;_xlfn.MINIFS('Draft Board'!$AO$2:$AO$193,'Draft Board'!$AN$2:$AN$193,"="&amp;AN17),0,IF(_xlfn.MINIFS('Draft Board'!$AN$2:$AN$193,'Draft Board'!$AN$2:$AN$193,"&gt;"&amp;AN17)=0,1,IF((_xlfn.MINIFS('Draft Board'!$AN$2:$AN$193,'Draft Board'!$AN$2:$AN$193,"&gt;"&amp;AN17)-AN17)/_xlfn.MINIFS('Draft Board'!$AN$2:$AN$193,'Draft Board'!$AN$2:$AN$193,"&gt;"&amp;AN17)&gt;0.08,1,0)))</f>
        <v>0</v>
      </c>
      <c r="AQ17" s="11">
        <f>_xlfn.MINIFS('Draft Board'!$AN$2:$AN$193,'Draft Board'!$AN$2:$AN$193,"&gt;="&amp;AN17,'Draft Board'!$AP$2:$AP$193,1)</f>
        <v>335.50592043946324</v>
      </c>
      <c r="AR17" s="11">
        <f>IF(AO17&lt;&gt;_xlfn.MINIFS('Draft Board'!$AO$2:$AO$193,'Draft Board'!$AN$2:$AN$193,"="&amp;AN17),0,IF(OR(AP17=1,IFERROR(FLOOR((AQ17-AN17)/AQ17/0.25,1),0)&lt;&gt;IFERROR(FLOOR((AQ17-_xlfn.MINIFS('Draft Board'!$AN$2:$AN$193,'Draft Board'!$AN$2:$AN$193,"&gt;"&amp;AN17))/AQ17/0.25,1),0)),1,0))</f>
        <v>0</v>
      </c>
      <c r="AS17" s="11">
        <f>ROUND(1+AN17*'Live Calc'!$D$28,0)</f>
        <v>22</v>
      </c>
      <c r="AT17" s="11"/>
      <c r="AU17" s="11">
        <f>IF(AT17&lt;&gt;"",AT17,ROUND(AS17*INDEX('Live Calc'!$G$259:$G$450,MATCH(AM17,'Live Calc'!$A$259:$A$450,0))*'Live Calc'!$J$543,0))</f>
        <v>22</v>
      </c>
      <c r="AW17" s="12" t="s">
        <v>145</v>
      </c>
      <c r="AX17" s="12" t="s">
        <v>126</v>
      </c>
      <c r="AY17" s="12">
        <v>85.55</v>
      </c>
      <c r="AZ17" s="12">
        <v>117.95</v>
      </c>
      <c r="BA17" s="12">
        <v>148.55000000000001</v>
      </c>
      <c r="BB17" s="12">
        <f>CHOOSE(MATCH(Setup!$B$7,{"STD","Half-PPR","PPR"},0),AY17,AZ17,BA17)</f>
        <v>117.95</v>
      </c>
      <c r="BC17" s="12">
        <f>COUNTIFS('Draft Board'!$BD$2:$BD$87,"&gt;="&amp;BD17,'Draft Board'!$BH$2:$BH$87,1)</f>
        <v>9</v>
      </c>
      <c r="BD17" s="12">
        <f>MAX(0,BB17-'Live Calc'!$H$22)^'Live Calc'!$E$22</f>
        <v>14.700000000000003</v>
      </c>
      <c r="BE17" s="12">
        <v>17</v>
      </c>
      <c r="BF17" s="12">
        <f>IF(BE17&lt;&gt;_xlfn.MINIFS('Draft Board'!$BE$2:$BE$87,'Draft Board'!$BD$2:$BD$87,"="&amp;BD17),0,IF(_xlfn.MINIFS('Draft Board'!$BD$2:$BD$87,'Draft Board'!$BD$2:$BD$87,"&gt;"&amp;BD17)=0,1,IF((_xlfn.MINIFS('Draft Board'!$BD$2:$BD$87,'Draft Board'!$BD$2:$BD$87,"&gt;"&amp;BD17)-BD17)/_xlfn.MINIFS('Draft Board'!$BD$2:$BD$87,'Draft Board'!$BD$2:$BD$87,"&gt;"&amp;BD17)&gt;0.08,1,0)))</f>
        <v>1</v>
      </c>
      <c r="BG17" s="12">
        <f>_xlfn.MINIFS('Draft Board'!$BD$2:$BD$87,'Draft Board'!$BD$2:$BD$87,"&gt;="&amp;BD17,'Draft Board'!$BF$2:$BF$87,1)</f>
        <v>14.700000000000003</v>
      </c>
      <c r="BH17" s="12">
        <f>IF(BE17&lt;&gt;_xlfn.MINIFS('Draft Board'!$BE$2:$BE$87,'Draft Board'!$BD$2:$BD$87,"="&amp;BD17),0,IF(OR(BF17=1,IFERROR(FLOOR((BG17-BD17)/BG17/0.25,1),0)&lt;&gt;IFERROR(FLOOR((BG17-_xlfn.MINIFS('Draft Board'!$BD$2:$BD$87,'Draft Board'!$BD$2:$BD$87,"&gt;"&amp;BD17))/BG17/0.25,1),0)),1,0))</f>
        <v>1</v>
      </c>
      <c r="BI17" s="12">
        <f>ROUND(1+BD17*'Live Calc'!$D$29,0)</f>
        <v>5</v>
      </c>
      <c r="BJ17" s="12"/>
      <c r="BK17" s="12">
        <f>IF(BJ17&lt;&gt;"",BJ17,ROUND(BI17*INDEX('Live Calc'!$G$454:$G$539,MATCH(BC17,'Live Calc'!$A$454:$A$539,0))*'Live Calc'!$J$543,0))</f>
        <v>5</v>
      </c>
    </row>
    <row r="18" spans="1:63" x14ac:dyDescent="0.25">
      <c r="A18" s="9" t="s">
        <v>146</v>
      </c>
      <c r="B18" s="9" t="s">
        <v>100</v>
      </c>
      <c r="C18" s="9">
        <v>272.61799999999999</v>
      </c>
      <c r="D18" s="9">
        <v>272.61799999999999</v>
      </c>
      <c r="E18" s="9">
        <v>272.61799999999999</v>
      </c>
      <c r="F18" s="9">
        <f>CHOOSE(MATCH(Setup!$B$7,{"STD","Half-PPR","PPR"},0),C18,D18,E18)</f>
        <v>272.61799999999999</v>
      </c>
      <c r="G18" s="9">
        <f>COUNTIFS('Draft Board'!$H$2:$H$61,"&gt;="&amp;H18,'Draft Board'!$L$2:$L$61,1)</f>
        <v>8</v>
      </c>
      <c r="H18" s="9">
        <f>MAX(0,F18-'Live Calc'!$H$19)^'Live Calc'!$E$19</f>
        <v>12.945078435975578</v>
      </c>
      <c r="I18" s="9">
        <v>18</v>
      </c>
      <c r="J18" s="9">
        <f>IF(I18&lt;&gt;_xlfn.MINIFS('Draft Board'!$I$2:$I$61,'Draft Board'!$H$2:$H$61,"="&amp;H18),0,IF(_xlfn.MINIFS('Draft Board'!$H$2:$H$61,'Draft Board'!$H$2:$H$61,"&gt;"&amp;H18)=0,1,IF((_xlfn.MINIFS('Draft Board'!$H$2:$H$61,'Draft Board'!$H$2:$H$61,"&gt;"&amp;H18)-H18)/_xlfn.MINIFS('Draft Board'!$H$2:$H$61,'Draft Board'!$H$2:$H$61,"&gt;"&amp;H18)&gt;0.08,1,0)))</f>
        <v>1</v>
      </c>
      <c r="K18" s="9">
        <f>_xlfn.MINIFS('Draft Board'!$H$2:$H$61,'Draft Board'!$H$2:$H$61,"&gt;="&amp;H18,'Draft Board'!$J$2:$J$61,1)</f>
        <v>12.945078435975578</v>
      </c>
      <c r="L18" s="9">
        <f>IF(I18&lt;&gt;_xlfn.MINIFS('Draft Board'!$I$2:$I$61,'Draft Board'!$H$2:$H$61,"="&amp;H18),0,IF(OR(J18=1,IFERROR(FLOOR((K18-H18)/K18/0.25,1),0)&lt;&gt;IFERROR(FLOOR((K18-_xlfn.MINIFS('Draft Board'!$H$2:$H$61,'Draft Board'!$H$2:$H$61,"&gt;"&amp;H18))/K18/0.25,1),0)),1,0))</f>
        <v>1</v>
      </c>
      <c r="M18" s="9">
        <f>ROUND(1+H18*'Live Calc'!$D$26,0)</f>
        <v>3</v>
      </c>
      <c r="N18" s="9"/>
      <c r="O18" s="9">
        <f>IF(N18&lt;&gt;"",N18,ROUND(M18*INDEX('Live Calc'!$G$33:$G$92,MATCH(G18,'Live Calc'!$A$33:$A$92,0))*'Live Calc'!$J$543,0))</f>
        <v>3</v>
      </c>
      <c r="Q18" s="10" t="s">
        <v>147</v>
      </c>
      <c r="R18" s="10" t="s">
        <v>88</v>
      </c>
      <c r="S18" s="10">
        <v>191.89</v>
      </c>
      <c r="T18" s="10">
        <v>208.15</v>
      </c>
      <c r="U18" s="10">
        <v>225.46799999999999</v>
      </c>
      <c r="V18" s="10">
        <f>CHOOSE(MATCH(Setup!$B$7,{"STD","Half-PPR","PPR"},0),S18,T18,U18)</f>
        <v>208.15</v>
      </c>
      <c r="W18" s="10">
        <f>COUNTIFS('Draft Board'!$X$2:$X$161,"&gt;="&amp;X18,'Draft Board'!$AB$2:$AB$161,1)</f>
        <v>4</v>
      </c>
      <c r="X18" s="10">
        <f>MAX(0,V18-'Live Calc'!$H$20)^'Live Calc'!$E$20</f>
        <v>273.40539782891375</v>
      </c>
      <c r="Y18" s="10">
        <v>18</v>
      </c>
      <c r="Z18" s="10">
        <f>IF(Y18&lt;&gt;_xlfn.MINIFS('Draft Board'!$Y$2:$Y$161,'Draft Board'!$X$2:$X$161,"="&amp;X18),0,IF(_xlfn.MINIFS('Draft Board'!$X$2:$X$161,'Draft Board'!$X$2:$X$161,"&gt;"&amp;X18)=0,1,IF((_xlfn.MINIFS('Draft Board'!$X$2:$X$161,'Draft Board'!$X$2:$X$161,"&gt;"&amp;X18)-X18)/_xlfn.MINIFS('Draft Board'!$X$2:$X$161,'Draft Board'!$X$2:$X$161,"&gt;"&amp;X18)&gt;0.08,1,0)))</f>
        <v>0</v>
      </c>
      <c r="AA18" s="10">
        <f>_xlfn.MINIFS('Draft Board'!$X$2:$X$161,'Draft Board'!$X$2:$X$161,"&gt;="&amp;X18,'Draft Board'!$Z$2:$Z$161,1)</f>
        <v>407.91104779583418</v>
      </c>
      <c r="AB18" s="10">
        <f>IF(Y18&lt;&gt;_xlfn.MINIFS('Draft Board'!$Y$2:$Y$161,'Draft Board'!$X$2:$X$161,"="&amp;X18),0,IF(OR(Z18=1,IFERROR(FLOOR((AA18-X18)/AA18/0.25,1),0)&lt;&gt;IFERROR(FLOOR((AA18-_xlfn.MINIFS('Draft Board'!$X$2:$X$161,'Draft Board'!$X$2:$X$161,"&gt;"&amp;X18))/AA18/0.25,1),0)),1,0))</f>
        <v>0</v>
      </c>
      <c r="AC18" s="10">
        <f>ROUND(1+X18*'Live Calc'!$D$27,0)</f>
        <v>26</v>
      </c>
      <c r="AD18" s="10"/>
      <c r="AE18" s="10">
        <f>IF(AD18&lt;&gt;"",AD18,ROUND(AC18*INDEX('Live Calc'!$G$96:$G$255,MATCH(W18,'Live Calc'!$A$96:$A$255,0))*'Live Calc'!$J$543,0))</f>
        <v>26</v>
      </c>
      <c r="AG18" s="11" t="s">
        <v>148</v>
      </c>
      <c r="AH18" s="11" t="s">
        <v>149</v>
      </c>
      <c r="AI18" s="11">
        <v>142.57599999999999</v>
      </c>
      <c r="AJ18" s="11">
        <v>180.56399999999999</v>
      </c>
      <c r="AK18" s="11">
        <v>217.934</v>
      </c>
      <c r="AL18" s="11">
        <f>CHOOSE(MATCH(Setup!$B$7,{"STD","Half-PPR","PPR"},0),AI18,AJ18,AK18)</f>
        <v>180.56399999999999</v>
      </c>
      <c r="AM18" s="11">
        <f>COUNTIFS('Draft Board'!$AN$2:$AN$193,"&gt;="&amp;AN18,'Draft Board'!$AR$2:$AR$193,1)</f>
        <v>5</v>
      </c>
      <c r="AN18" s="11">
        <f>MAX(0,AL18-'Live Calc'!$H$21)^'Live Calc'!$E$21</f>
        <v>236.73134050598597</v>
      </c>
      <c r="AO18" s="11">
        <v>18</v>
      </c>
      <c r="AP18" s="11">
        <f>IF(AO18&lt;&gt;_xlfn.MINIFS('Draft Board'!$AO$2:$AO$193,'Draft Board'!$AN$2:$AN$193,"="&amp;AN18),0,IF(_xlfn.MINIFS('Draft Board'!$AN$2:$AN$193,'Draft Board'!$AN$2:$AN$193,"&gt;"&amp;AN18)=0,1,IF((_xlfn.MINIFS('Draft Board'!$AN$2:$AN$193,'Draft Board'!$AN$2:$AN$193,"&gt;"&amp;AN18)-AN18)/_xlfn.MINIFS('Draft Board'!$AN$2:$AN$193,'Draft Board'!$AN$2:$AN$193,"&gt;"&amp;AN18)&gt;0.08,1,0)))</f>
        <v>1</v>
      </c>
      <c r="AQ18" s="11">
        <f>_xlfn.MINIFS('Draft Board'!$AN$2:$AN$193,'Draft Board'!$AN$2:$AN$193,"&gt;="&amp;AN18,'Draft Board'!$AP$2:$AP$193,1)</f>
        <v>236.73134050598597</v>
      </c>
      <c r="AR18" s="11">
        <f>IF(AO18&lt;&gt;_xlfn.MINIFS('Draft Board'!$AO$2:$AO$193,'Draft Board'!$AN$2:$AN$193,"="&amp;AN18),0,IF(OR(AP18=1,IFERROR(FLOOR((AQ18-AN18)/AQ18/0.25,1),0)&lt;&gt;IFERROR(FLOOR((AQ18-_xlfn.MINIFS('Draft Board'!$AN$2:$AN$193,'Draft Board'!$AN$2:$AN$193,"&gt;"&amp;AN18))/AQ18/0.25,1),0)),1,0))</f>
        <v>1</v>
      </c>
      <c r="AS18" s="11">
        <f>ROUND(1+AN18*'Live Calc'!$D$28,0)</f>
        <v>20</v>
      </c>
      <c r="AT18" s="11"/>
      <c r="AU18" s="11">
        <f>IF(AT18&lt;&gt;"",AT18,ROUND(AS18*INDEX('Live Calc'!$G$259:$G$450,MATCH(AM18,'Live Calc'!$A$259:$A$450,0))*'Live Calc'!$J$543,0))</f>
        <v>20</v>
      </c>
      <c r="AW18" s="12" t="s">
        <v>150</v>
      </c>
      <c r="AX18" s="12" t="s">
        <v>107</v>
      </c>
      <c r="AY18" s="12">
        <v>88.891999999999996</v>
      </c>
      <c r="AZ18" s="12">
        <v>117.598</v>
      </c>
      <c r="BA18" s="12">
        <v>145.982</v>
      </c>
      <c r="BB18" s="12">
        <f>CHOOSE(MATCH(Setup!$B$7,{"STD","Half-PPR","PPR"},0),AY18,AZ18,BA18)</f>
        <v>117.598</v>
      </c>
      <c r="BC18" s="12">
        <f>COUNTIFS('Draft Board'!$BD$2:$BD$87,"&gt;="&amp;BD18,'Draft Board'!$BH$2:$BH$87,1)</f>
        <v>9</v>
      </c>
      <c r="BD18" s="12">
        <f>MAX(0,BB18-'Live Calc'!$H$22)^'Live Calc'!$E$22</f>
        <v>14.347999999999999</v>
      </c>
      <c r="BE18" s="12">
        <v>18</v>
      </c>
      <c r="BF18" s="12">
        <f>IF(BE18&lt;&gt;_xlfn.MINIFS('Draft Board'!$BE$2:$BE$87,'Draft Board'!$BD$2:$BD$87,"="&amp;BD18),0,IF(_xlfn.MINIFS('Draft Board'!$BD$2:$BD$87,'Draft Board'!$BD$2:$BD$87,"&gt;"&amp;BD18)=0,1,IF((_xlfn.MINIFS('Draft Board'!$BD$2:$BD$87,'Draft Board'!$BD$2:$BD$87,"&gt;"&amp;BD18)-BD18)/_xlfn.MINIFS('Draft Board'!$BD$2:$BD$87,'Draft Board'!$BD$2:$BD$87,"&gt;"&amp;BD18)&gt;0.08,1,0)))</f>
        <v>0</v>
      </c>
      <c r="BG18" s="12">
        <f>_xlfn.MINIFS('Draft Board'!$BD$2:$BD$87,'Draft Board'!$BD$2:$BD$87,"&gt;="&amp;BD18,'Draft Board'!$BF$2:$BF$87,1)</f>
        <v>14.700000000000003</v>
      </c>
      <c r="BH18" s="12">
        <f>IF(BE18&lt;&gt;_xlfn.MINIFS('Draft Board'!$BE$2:$BE$87,'Draft Board'!$BD$2:$BD$87,"="&amp;BD18),0,IF(OR(BF18=1,IFERROR(FLOOR((BG18-BD18)/BG18/0.25,1),0)&lt;&gt;IFERROR(FLOOR((BG18-_xlfn.MINIFS('Draft Board'!$BD$2:$BD$87,'Draft Board'!$BD$2:$BD$87,"&gt;"&amp;BD18))/BG18/0.25,1),0)),1,0))</f>
        <v>0</v>
      </c>
      <c r="BI18" s="12">
        <f>ROUND(1+BD18*'Live Calc'!$D$29,0)</f>
        <v>5</v>
      </c>
      <c r="BJ18" s="12"/>
      <c r="BK18" s="12">
        <f>IF(BJ18&lt;&gt;"",BJ18,ROUND(BI18*INDEX('Live Calc'!$G$454:$G$539,MATCH(BC18,'Live Calc'!$A$454:$A$539,0))*'Live Calc'!$J$543,0))</f>
        <v>5</v>
      </c>
    </row>
    <row r="19" spans="1:63" x14ac:dyDescent="0.25">
      <c r="A19" s="9" t="s">
        <v>151</v>
      </c>
      <c r="B19" s="9" t="s">
        <v>152</v>
      </c>
      <c r="C19" s="9">
        <v>268.07</v>
      </c>
      <c r="D19" s="9">
        <v>268.07</v>
      </c>
      <c r="E19" s="9">
        <v>268.07</v>
      </c>
      <c r="F19" s="9">
        <f>CHOOSE(MATCH(Setup!$B$7,{"STD","Half-PPR","PPR"},0),C19,D19,E19)</f>
        <v>268.07</v>
      </c>
      <c r="G19" s="9">
        <f>COUNTIFS('Draft Board'!$H$2:$H$61,"&gt;="&amp;H19,'Draft Board'!$L$2:$L$61,1)</f>
        <v>9</v>
      </c>
      <c r="H19" s="9">
        <f>MAX(0,F19-'Live Calc'!$H$19)^'Live Calc'!$E$19</f>
        <v>5.1200892152991155</v>
      </c>
      <c r="I19" s="9">
        <v>19</v>
      </c>
      <c r="J19" s="9">
        <f>IF(I19&lt;&gt;_xlfn.MINIFS('Draft Board'!$I$2:$I$61,'Draft Board'!$H$2:$H$61,"="&amp;H19),0,IF(_xlfn.MINIFS('Draft Board'!$H$2:$H$61,'Draft Board'!$H$2:$H$61,"&gt;"&amp;H19)=0,1,IF((_xlfn.MINIFS('Draft Board'!$H$2:$H$61,'Draft Board'!$H$2:$H$61,"&gt;"&amp;H19)-H19)/_xlfn.MINIFS('Draft Board'!$H$2:$H$61,'Draft Board'!$H$2:$H$61,"&gt;"&amp;H19)&gt;0.08,1,0)))</f>
        <v>1</v>
      </c>
      <c r="K19" s="9">
        <f>_xlfn.MINIFS('Draft Board'!$H$2:$H$61,'Draft Board'!$H$2:$H$61,"&gt;="&amp;H19,'Draft Board'!$J$2:$J$61,1)</f>
        <v>5.1200892152991155</v>
      </c>
      <c r="L19" s="9">
        <f>IF(I19&lt;&gt;_xlfn.MINIFS('Draft Board'!$I$2:$I$61,'Draft Board'!$H$2:$H$61,"="&amp;H19),0,IF(OR(J19=1,IFERROR(FLOOR((K19-H19)/K19/0.25,1),0)&lt;&gt;IFERROR(FLOOR((K19-_xlfn.MINIFS('Draft Board'!$H$2:$H$61,'Draft Board'!$H$2:$H$61,"&gt;"&amp;H19))/K19/0.25,1),0)),1,0))</f>
        <v>1</v>
      </c>
      <c r="M19" s="9">
        <f>ROUND(1+H19*'Live Calc'!$D$26,0)</f>
        <v>2</v>
      </c>
      <c r="N19" s="9"/>
      <c r="O19" s="9">
        <f>IF(N19&lt;&gt;"",N19,ROUND(M19*INDEX('Live Calc'!$G$33:$G$92,MATCH(G19,'Live Calc'!$A$33:$A$92,0))*'Live Calc'!$J$543,0))</f>
        <v>2</v>
      </c>
      <c r="Q19" s="10" t="s">
        <v>153</v>
      </c>
      <c r="R19" s="10" t="s">
        <v>113</v>
      </c>
      <c r="S19" s="10">
        <v>179.58600000000001</v>
      </c>
      <c r="T19" s="10">
        <v>203.64400000000001</v>
      </c>
      <c r="U19" s="10">
        <v>224.9</v>
      </c>
      <c r="V19" s="10">
        <f>CHOOSE(MATCH(Setup!$B$7,{"STD","Half-PPR","PPR"},0),S19,T19,U19)</f>
        <v>203.64400000000001</v>
      </c>
      <c r="W19" s="10">
        <f>COUNTIFS('Draft Board'!$X$2:$X$161,"&gt;="&amp;X19,'Draft Board'!$AB$2:$AB$161,1)</f>
        <v>4</v>
      </c>
      <c r="X19" s="10">
        <f>MAX(0,V19-'Live Calc'!$H$20)^'Live Calc'!$E$20</f>
        <v>259.68841104284536</v>
      </c>
      <c r="Y19" s="10">
        <v>19</v>
      </c>
      <c r="Z19" s="10">
        <f>IF(Y19&lt;&gt;_xlfn.MINIFS('Draft Board'!$Y$2:$Y$161,'Draft Board'!$X$2:$X$161,"="&amp;X19),0,IF(_xlfn.MINIFS('Draft Board'!$X$2:$X$161,'Draft Board'!$X$2:$X$161,"&gt;"&amp;X19)=0,1,IF((_xlfn.MINIFS('Draft Board'!$X$2:$X$161,'Draft Board'!$X$2:$X$161,"&gt;"&amp;X19)-X19)/_xlfn.MINIFS('Draft Board'!$X$2:$X$161,'Draft Board'!$X$2:$X$161,"&gt;"&amp;X19)&gt;0.08,1,0)))</f>
        <v>0</v>
      </c>
      <c r="AA19" s="10">
        <f>_xlfn.MINIFS('Draft Board'!$X$2:$X$161,'Draft Board'!$X$2:$X$161,"&gt;="&amp;X19,'Draft Board'!$Z$2:$Z$161,1)</f>
        <v>407.91104779583418</v>
      </c>
      <c r="AB19" s="10">
        <f>IF(Y19&lt;&gt;_xlfn.MINIFS('Draft Board'!$Y$2:$Y$161,'Draft Board'!$X$2:$X$161,"="&amp;X19),0,IF(OR(Z19=1,IFERROR(FLOOR((AA19-X19)/AA19/0.25,1),0)&lt;&gt;IFERROR(FLOOR((AA19-_xlfn.MINIFS('Draft Board'!$X$2:$X$161,'Draft Board'!$X$2:$X$161,"&gt;"&amp;X19))/AA19/0.25,1),0)),1,0))</f>
        <v>0</v>
      </c>
      <c r="AC19" s="10">
        <f>ROUND(1+X19*'Live Calc'!$D$27,0)</f>
        <v>25</v>
      </c>
      <c r="AD19" s="10"/>
      <c r="AE19" s="10">
        <f>IF(AD19&lt;&gt;"",AD19,ROUND(AC19*INDEX('Live Calc'!$G$96:$G$255,MATCH(W19,'Live Calc'!$A$96:$A$255,0))*'Live Calc'!$J$543,0))</f>
        <v>25</v>
      </c>
      <c r="AG19" s="11" t="s">
        <v>154</v>
      </c>
      <c r="AH19" s="11" t="s">
        <v>79</v>
      </c>
      <c r="AI19" s="11">
        <v>143.46799999999999</v>
      </c>
      <c r="AJ19" s="11">
        <v>179.44399999999999</v>
      </c>
      <c r="AK19" s="11">
        <v>214.09399999999999</v>
      </c>
      <c r="AL19" s="11">
        <f>CHOOSE(MATCH(Setup!$B$7,{"STD","Half-PPR","PPR"},0),AI19,AJ19,AK19)</f>
        <v>179.44399999999999</v>
      </c>
      <c r="AM19" s="11">
        <f>COUNTIFS('Draft Board'!$AN$2:$AN$193,"&gt;="&amp;AN19,'Draft Board'!$AR$2:$AR$193,1)</f>
        <v>5</v>
      </c>
      <c r="AN19" s="11">
        <f>MAX(0,AL19-'Live Calc'!$H$21)^'Live Calc'!$E$21</f>
        <v>232.56063725531635</v>
      </c>
      <c r="AO19" s="11">
        <v>19</v>
      </c>
      <c r="AP19" s="11">
        <f>IF(AO19&lt;&gt;_xlfn.MINIFS('Draft Board'!$AO$2:$AO$193,'Draft Board'!$AN$2:$AN$193,"="&amp;AN19),0,IF(_xlfn.MINIFS('Draft Board'!$AN$2:$AN$193,'Draft Board'!$AN$2:$AN$193,"&gt;"&amp;AN19)=0,1,IF((_xlfn.MINIFS('Draft Board'!$AN$2:$AN$193,'Draft Board'!$AN$2:$AN$193,"&gt;"&amp;AN19)-AN19)/_xlfn.MINIFS('Draft Board'!$AN$2:$AN$193,'Draft Board'!$AN$2:$AN$193,"&gt;"&amp;AN19)&gt;0.08,1,0)))</f>
        <v>0</v>
      </c>
      <c r="AQ19" s="11">
        <f>_xlfn.MINIFS('Draft Board'!$AN$2:$AN$193,'Draft Board'!$AN$2:$AN$193,"&gt;="&amp;AN19,'Draft Board'!$AP$2:$AP$193,1)</f>
        <v>236.73134050598597</v>
      </c>
      <c r="AR19" s="11">
        <f>IF(AO19&lt;&gt;_xlfn.MINIFS('Draft Board'!$AO$2:$AO$193,'Draft Board'!$AN$2:$AN$193,"="&amp;AN19),0,IF(OR(AP19=1,IFERROR(FLOOR((AQ19-AN19)/AQ19/0.25,1),0)&lt;&gt;IFERROR(FLOOR((AQ19-_xlfn.MINIFS('Draft Board'!$AN$2:$AN$193,'Draft Board'!$AN$2:$AN$193,"&gt;"&amp;AN19))/AQ19/0.25,1),0)),1,0))</f>
        <v>0</v>
      </c>
      <c r="AS19" s="11">
        <f>ROUND(1+AN19*'Live Calc'!$D$28,0)</f>
        <v>20</v>
      </c>
      <c r="AT19" s="11"/>
      <c r="AU19" s="11">
        <f>IF(AT19&lt;&gt;"",AT19,ROUND(AS19*INDEX('Live Calc'!$G$259:$G$450,MATCH(AM19,'Live Calc'!$A$259:$A$450,0))*'Live Calc'!$J$543,0))</f>
        <v>20</v>
      </c>
      <c r="AW19" s="12" t="s">
        <v>155</v>
      </c>
      <c r="AX19" s="12" t="s">
        <v>71</v>
      </c>
      <c r="AY19" s="12">
        <v>91.573999999999998</v>
      </c>
      <c r="AZ19" s="12">
        <v>116.336</v>
      </c>
      <c r="BA19" s="12">
        <v>145.32</v>
      </c>
      <c r="BB19" s="12">
        <f>CHOOSE(MATCH(Setup!$B$7,{"STD","Half-PPR","PPR"},0),AY19,AZ19,BA19)</f>
        <v>116.336</v>
      </c>
      <c r="BC19" s="12">
        <f>COUNTIFS('Draft Board'!$BD$2:$BD$87,"&gt;="&amp;BD19,'Draft Board'!$BH$2:$BH$87,1)</f>
        <v>10</v>
      </c>
      <c r="BD19" s="12">
        <f>MAX(0,BB19-'Live Calc'!$H$22)^'Live Calc'!$E$22</f>
        <v>13.085999999999999</v>
      </c>
      <c r="BE19" s="12">
        <v>19</v>
      </c>
      <c r="BF19" s="12">
        <f>IF(BE19&lt;&gt;_xlfn.MINIFS('Draft Board'!$BE$2:$BE$87,'Draft Board'!$BD$2:$BD$87,"="&amp;BD19),0,IF(_xlfn.MINIFS('Draft Board'!$BD$2:$BD$87,'Draft Board'!$BD$2:$BD$87,"&gt;"&amp;BD19)=0,1,IF((_xlfn.MINIFS('Draft Board'!$BD$2:$BD$87,'Draft Board'!$BD$2:$BD$87,"&gt;"&amp;BD19)-BD19)/_xlfn.MINIFS('Draft Board'!$BD$2:$BD$87,'Draft Board'!$BD$2:$BD$87,"&gt;"&amp;BD19)&gt;0.08,1,0)))</f>
        <v>1</v>
      </c>
      <c r="BG19" s="12">
        <f>_xlfn.MINIFS('Draft Board'!$BD$2:$BD$87,'Draft Board'!$BD$2:$BD$87,"&gt;="&amp;BD19,'Draft Board'!$BF$2:$BF$87,1)</f>
        <v>13.085999999999999</v>
      </c>
      <c r="BH19" s="12">
        <f>IF(BE19&lt;&gt;_xlfn.MINIFS('Draft Board'!$BE$2:$BE$87,'Draft Board'!$BD$2:$BD$87,"="&amp;BD19),0,IF(OR(BF19=1,IFERROR(FLOOR((BG19-BD19)/BG19/0.25,1),0)&lt;&gt;IFERROR(FLOOR((BG19-_xlfn.MINIFS('Draft Board'!$BD$2:$BD$87,'Draft Board'!$BD$2:$BD$87,"&gt;"&amp;BD19))/BG19/0.25,1),0)),1,0))</f>
        <v>1</v>
      </c>
      <c r="BI19" s="12">
        <f>ROUND(1+BD19*'Live Calc'!$D$29,0)</f>
        <v>5</v>
      </c>
      <c r="BJ19" s="12"/>
      <c r="BK19" s="12">
        <f>IF(BJ19&lt;&gt;"",BJ19,ROUND(BI19*INDEX('Live Calc'!$G$454:$G$539,MATCH(BC19,'Live Calc'!$A$454:$A$539,0))*'Live Calc'!$J$543,0))</f>
        <v>5</v>
      </c>
    </row>
    <row r="20" spans="1:63" x14ac:dyDescent="0.25">
      <c r="A20" s="9" t="s">
        <v>156</v>
      </c>
      <c r="B20" s="9" t="s">
        <v>126</v>
      </c>
      <c r="C20" s="9">
        <v>264.45</v>
      </c>
      <c r="D20" s="9">
        <v>264.45</v>
      </c>
      <c r="E20" s="9">
        <v>264.45</v>
      </c>
      <c r="F20" s="9">
        <f>CHOOSE(MATCH(Setup!$B$7,{"STD","Half-PPR","PPR"},0),C20,D20,E20)</f>
        <v>264.45</v>
      </c>
      <c r="G20" s="9">
        <f>COUNTIFS('Draft Board'!$H$2:$H$61,"&gt;="&amp;H20,'Draft Board'!$L$2:$L$61,1)</f>
        <v>10</v>
      </c>
      <c r="H20" s="9">
        <f>MAX(0,F20-'Live Calc'!$H$19)^'Live Calc'!$E$19</f>
        <v>0.21706491754754756</v>
      </c>
      <c r="I20" s="9">
        <v>20</v>
      </c>
      <c r="J20" s="9">
        <f>IF(I20&lt;&gt;_xlfn.MINIFS('Draft Board'!$I$2:$I$61,'Draft Board'!$H$2:$H$61,"="&amp;H20),0,IF(_xlfn.MINIFS('Draft Board'!$H$2:$H$61,'Draft Board'!$H$2:$H$61,"&gt;"&amp;H20)=0,1,IF((_xlfn.MINIFS('Draft Board'!$H$2:$H$61,'Draft Board'!$H$2:$H$61,"&gt;"&amp;H20)-H20)/_xlfn.MINIFS('Draft Board'!$H$2:$H$61,'Draft Board'!$H$2:$H$61,"&gt;"&amp;H20)&gt;0.08,1,0)))</f>
        <v>1</v>
      </c>
      <c r="K20" s="9">
        <f>_xlfn.MINIFS('Draft Board'!$H$2:$H$61,'Draft Board'!$H$2:$H$61,"&gt;="&amp;H20,'Draft Board'!$J$2:$J$61,1)</f>
        <v>0.21706491754754756</v>
      </c>
      <c r="L20" s="9">
        <f>IF(I20&lt;&gt;_xlfn.MINIFS('Draft Board'!$I$2:$I$61,'Draft Board'!$H$2:$H$61,"="&amp;H20),0,IF(OR(J20=1,IFERROR(FLOOR((K20-H20)/K20/0.25,1),0)&lt;&gt;IFERROR(FLOOR((K20-_xlfn.MINIFS('Draft Board'!$H$2:$H$61,'Draft Board'!$H$2:$H$61,"&gt;"&amp;H20))/K20/0.25,1),0)),1,0))</f>
        <v>1</v>
      </c>
      <c r="M20" s="9">
        <f>ROUND(1+H20*'Live Calc'!$D$26,0)</f>
        <v>1</v>
      </c>
      <c r="N20" s="9"/>
      <c r="O20" s="9">
        <f>IF(N20&lt;&gt;"",N20,ROUND(M20*INDEX('Live Calc'!$G$33:$G$92,MATCH(G20,'Live Calc'!$A$33:$A$92,0))*'Live Calc'!$J$543,0))</f>
        <v>1</v>
      </c>
      <c r="Q20" s="10" t="s">
        <v>157</v>
      </c>
      <c r="R20" s="10" t="s">
        <v>126</v>
      </c>
      <c r="S20" s="10">
        <v>184.77600000000001</v>
      </c>
      <c r="T20" s="10">
        <v>202.93600000000001</v>
      </c>
      <c r="U20" s="10">
        <v>225.554</v>
      </c>
      <c r="V20" s="10">
        <f>CHOOSE(MATCH(Setup!$B$7,{"STD","Half-PPR","PPR"},0),S20,T20,U20)</f>
        <v>202.93600000000001</v>
      </c>
      <c r="W20" s="10">
        <f>COUNTIFS('Draft Board'!$X$2:$X$161,"&gt;="&amp;X20,'Draft Board'!$AB$2:$AB$161,1)</f>
        <v>4</v>
      </c>
      <c r="X20" s="10">
        <f>MAX(0,V20-'Live Calc'!$H$20)^'Live Calc'!$E$20</f>
        <v>257.54392343824071</v>
      </c>
      <c r="Y20" s="10">
        <v>20</v>
      </c>
      <c r="Z20" s="10">
        <f>IF(Y20&lt;&gt;_xlfn.MINIFS('Draft Board'!$Y$2:$Y$161,'Draft Board'!$X$2:$X$161,"="&amp;X20),0,IF(_xlfn.MINIFS('Draft Board'!$X$2:$X$161,'Draft Board'!$X$2:$X$161,"&gt;"&amp;X20)=0,1,IF((_xlfn.MINIFS('Draft Board'!$X$2:$X$161,'Draft Board'!$X$2:$X$161,"&gt;"&amp;X20)-X20)/_xlfn.MINIFS('Draft Board'!$X$2:$X$161,'Draft Board'!$X$2:$X$161,"&gt;"&amp;X20)&gt;0.08,1,0)))</f>
        <v>0</v>
      </c>
      <c r="AA20" s="10">
        <f>_xlfn.MINIFS('Draft Board'!$X$2:$X$161,'Draft Board'!$X$2:$X$161,"&gt;="&amp;X20,'Draft Board'!$Z$2:$Z$161,1)</f>
        <v>407.91104779583418</v>
      </c>
      <c r="AB20" s="10">
        <f>IF(Y20&lt;&gt;_xlfn.MINIFS('Draft Board'!$Y$2:$Y$161,'Draft Board'!$X$2:$X$161,"="&amp;X20),0,IF(OR(Z20=1,IFERROR(FLOOR((AA20-X20)/AA20/0.25,1),0)&lt;&gt;IFERROR(FLOOR((AA20-_xlfn.MINIFS('Draft Board'!$X$2:$X$161,'Draft Board'!$X$2:$X$161,"&gt;"&amp;X20))/AA20/0.25,1),0)),1,0))</f>
        <v>0</v>
      </c>
      <c r="AC20" s="10">
        <f>ROUND(1+X20*'Live Calc'!$D$27,0)</f>
        <v>25</v>
      </c>
      <c r="AD20" s="10"/>
      <c r="AE20" s="10">
        <f>IF(AD20&lt;&gt;"",AD20,ROUND(AC20*INDEX('Live Calc'!$G$96:$G$255,MATCH(W20,'Live Calc'!$A$96:$A$255,0))*'Live Calc'!$J$543,0))</f>
        <v>25</v>
      </c>
      <c r="AG20" s="11" t="s">
        <v>158</v>
      </c>
      <c r="AH20" s="11" t="s">
        <v>113</v>
      </c>
      <c r="AI20" s="11">
        <v>140.33799999999999</v>
      </c>
      <c r="AJ20" s="11">
        <v>179.26599999999999</v>
      </c>
      <c r="AK20" s="11">
        <v>214.59</v>
      </c>
      <c r="AL20" s="11">
        <f>CHOOSE(MATCH(Setup!$B$7,{"STD","Half-PPR","PPR"},0),AI20,AJ20,AK20)</f>
        <v>179.26599999999999</v>
      </c>
      <c r="AM20" s="11">
        <f>COUNTIFS('Draft Board'!$AN$2:$AN$193,"&gt;="&amp;AN20,'Draft Board'!$AR$2:$AR$193,1)</f>
        <v>5</v>
      </c>
      <c r="AN20" s="11">
        <f>MAX(0,AL20-'Live Calc'!$H$21)^'Live Calc'!$E$21</f>
        <v>231.89916199333192</v>
      </c>
      <c r="AO20" s="11">
        <v>20</v>
      </c>
      <c r="AP20" s="11">
        <f>IF(AO20&lt;&gt;_xlfn.MINIFS('Draft Board'!$AO$2:$AO$193,'Draft Board'!$AN$2:$AN$193,"="&amp;AN20),0,IF(_xlfn.MINIFS('Draft Board'!$AN$2:$AN$193,'Draft Board'!$AN$2:$AN$193,"&gt;"&amp;AN20)=0,1,IF((_xlfn.MINIFS('Draft Board'!$AN$2:$AN$193,'Draft Board'!$AN$2:$AN$193,"&gt;"&amp;AN20)-AN20)/_xlfn.MINIFS('Draft Board'!$AN$2:$AN$193,'Draft Board'!$AN$2:$AN$193,"&gt;"&amp;AN20)&gt;0.08,1,0)))</f>
        <v>0</v>
      </c>
      <c r="AQ20" s="11">
        <f>_xlfn.MINIFS('Draft Board'!$AN$2:$AN$193,'Draft Board'!$AN$2:$AN$193,"&gt;="&amp;AN20,'Draft Board'!$AP$2:$AP$193,1)</f>
        <v>236.73134050598597</v>
      </c>
      <c r="AR20" s="11">
        <f>IF(AO20&lt;&gt;_xlfn.MINIFS('Draft Board'!$AO$2:$AO$193,'Draft Board'!$AN$2:$AN$193,"="&amp;AN20),0,IF(OR(AP20=1,IFERROR(FLOOR((AQ20-AN20)/AQ20/0.25,1),0)&lt;&gt;IFERROR(FLOOR((AQ20-_xlfn.MINIFS('Draft Board'!$AN$2:$AN$193,'Draft Board'!$AN$2:$AN$193,"&gt;"&amp;AN20))/AQ20/0.25,1),0)),1,0))</f>
        <v>0</v>
      </c>
      <c r="AS20" s="11">
        <f>ROUND(1+AN20*'Live Calc'!$D$28,0)</f>
        <v>20</v>
      </c>
      <c r="AT20" s="11"/>
      <c r="AU20" s="11">
        <f>IF(AT20&lt;&gt;"",AT20,ROUND(AS20*INDEX('Live Calc'!$G$259:$G$450,MATCH(AM20,'Live Calc'!$A$259:$A$450,0))*'Live Calc'!$J$543,0))</f>
        <v>20</v>
      </c>
      <c r="AW20" s="12" t="s">
        <v>159</v>
      </c>
      <c r="AX20" s="12" t="s">
        <v>119</v>
      </c>
      <c r="AY20" s="12">
        <v>84.206000000000003</v>
      </c>
      <c r="AZ20" s="12">
        <v>110.322</v>
      </c>
      <c r="BA20" s="12">
        <v>135.36000000000001</v>
      </c>
      <c r="BB20" s="12">
        <f>CHOOSE(MATCH(Setup!$B$7,{"STD","Half-PPR","PPR"},0),AY20,AZ20,BA20)</f>
        <v>110.322</v>
      </c>
      <c r="BC20" s="12">
        <f>COUNTIFS('Draft Board'!$BD$2:$BD$87,"&gt;="&amp;BD20,'Draft Board'!$BH$2:$BH$87,1)</f>
        <v>11</v>
      </c>
      <c r="BD20" s="12">
        <f>MAX(0,BB20-'Live Calc'!$H$22)^'Live Calc'!$E$22</f>
        <v>7.0720000000000027</v>
      </c>
      <c r="BE20" s="12">
        <v>20</v>
      </c>
      <c r="BF20" s="12">
        <f>IF(BE20&lt;&gt;_xlfn.MINIFS('Draft Board'!$BE$2:$BE$87,'Draft Board'!$BD$2:$BD$87,"="&amp;BD20),0,IF(_xlfn.MINIFS('Draft Board'!$BD$2:$BD$87,'Draft Board'!$BD$2:$BD$87,"&gt;"&amp;BD20)=0,1,IF((_xlfn.MINIFS('Draft Board'!$BD$2:$BD$87,'Draft Board'!$BD$2:$BD$87,"&gt;"&amp;BD20)-BD20)/_xlfn.MINIFS('Draft Board'!$BD$2:$BD$87,'Draft Board'!$BD$2:$BD$87,"&gt;"&amp;BD20)&gt;0.08,1,0)))</f>
        <v>1</v>
      </c>
      <c r="BG20" s="12">
        <f>_xlfn.MINIFS('Draft Board'!$BD$2:$BD$87,'Draft Board'!$BD$2:$BD$87,"&gt;="&amp;BD20,'Draft Board'!$BF$2:$BF$87,1)</f>
        <v>7.0720000000000027</v>
      </c>
      <c r="BH20" s="12">
        <f>IF(BE20&lt;&gt;_xlfn.MINIFS('Draft Board'!$BE$2:$BE$87,'Draft Board'!$BD$2:$BD$87,"="&amp;BD20),0,IF(OR(BF20=1,IFERROR(FLOOR((BG20-BD20)/BG20/0.25,1),0)&lt;&gt;IFERROR(FLOOR((BG20-_xlfn.MINIFS('Draft Board'!$BD$2:$BD$87,'Draft Board'!$BD$2:$BD$87,"&gt;"&amp;BD20))/BG20/0.25,1),0)),1,0))</f>
        <v>1</v>
      </c>
      <c r="BI20" s="12">
        <f>ROUND(1+BD20*'Live Calc'!$D$29,0)</f>
        <v>3</v>
      </c>
      <c r="BJ20" s="12"/>
      <c r="BK20" s="12">
        <f>IF(BJ20&lt;&gt;"",BJ20,ROUND(BI20*INDEX('Live Calc'!$G$454:$G$539,MATCH(BC20,'Live Calc'!$A$454:$A$539,0))*'Live Calc'!$J$543,0))</f>
        <v>3</v>
      </c>
    </row>
    <row r="21" spans="1:63" x14ac:dyDescent="0.25">
      <c r="A21" s="9" t="s">
        <v>160</v>
      </c>
      <c r="B21" s="9" t="s">
        <v>96</v>
      </c>
      <c r="C21" s="9">
        <v>264.17</v>
      </c>
      <c r="D21" s="9">
        <v>264.17</v>
      </c>
      <c r="E21" s="9">
        <v>264.17</v>
      </c>
      <c r="F21" s="9">
        <f>CHOOSE(MATCH(Setup!$B$7,{"STD","Half-PPR","PPR"},0),C21,D21,E21)</f>
        <v>264.17</v>
      </c>
      <c r="G21" s="9">
        <f>COUNTIFS('Draft Board'!$H$2:$H$61,"&gt;="&amp;H21,'Draft Board'!$L$2:$L$61,1)</f>
        <v>11</v>
      </c>
      <c r="H21" s="9">
        <f>MAX(0,F21-'Live Calc'!$H$19)^'Live Calc'!$E$19</f>
        <v>0</v>
      </c>
      <c r="I21" s="9">
        <v>21</v>
      </c>
      <c r="J21" s="9">
        <f>IF(I21&lt;&gt;_xlfn.MINIFS('Draft Board'!$I$2:$I$61,'Draft Board'!$H$2:$H$61,"="&amp;H21),0,IF(_xlfn.MINIFS('Draft Board'!$H$2:$H$61,'Draft Board'!$H$2:$H$61,"&gt;"&amp;H21)=0,1,IF((_xlfn.MINIFS('Draft Board'!$H$2:$H$61,'Draft Board'!$H$2:$H$61,"&gt;"&amp;H21)-H21)/_xlfn.MINIFS('Draft Board'!$H$2:$H$61,'Draft Board'!$H$2:$H$61,"&gt;"&amp;H21)&gt;0.08,1,0)))</f>
        <v>1</v>
      </c>
      <c r="K21" s="9">
        <f>_xlfn.MINIFS('Draft Board'!$H$2:$H$61,'Draft Board'!$H$2:$H$61,"&gt;="&amp;H21,'Draft Board'!$J$2:$J$61,1)</f>
        <v>0</v>
      </c>
      <c r="L21" s="9">
        <f>IF(I21&lt;&gt;_xlfn.MINIFS('Draft Board'!$I$2:$I$61,'Draft Board'!$H$2:$H$61,"="&amp;H21),0,IF(OR(J21=1,IFERROR(FLOOR((K21-H21)/K21/0.25,1),0)&lt;&gt;IFERROR(FLOOR((K21-_xlfn.MINIFS('Draft Board'!$H$2:$H$61,'Draft Board'!$H$2:$H$61,"&gt;"&amp;H21))/K21/0.25,1),0)),1,0))</f>
        <v>1</v>
      </c>
      <c r="M21" s="9">
        <f>ROUND(1+H21*'Live Calc'!$D$26,0)</f>
        <v>1</v>
      </c>
      <c r="N21" s="9"/>
      <c r="O21" s="9">
        <f>IF(N21&lt;&gt;"",N21,ROUND(M21*INDEX('Live Calc'!$G$33:$G$92,MATCH(G21,'Live Calc'!$A$33:$A$92,0))*'Live Calc'!$J$543,0))</f>
        <v>1</v>
      </c>
      <c r="Q21" s="10" t="s">
        <v>161</v>
      </c>
      <c r="R21" s="10" t="s">
        <v>77</v>
      </c>
      <c r="S21" s="10">
        <v>173.04599999999999</v>
      </c>
      <c r="T21" s="10">
        <v>190.50399999999999</v>
      </c>
      <c r="U21" s="10">
        <v>206.96</v>
      </c>
      <c r="V21" s="10">
        <f>CHOOSE(MATCH(Setup!$B$7,{"STD","Half-PPR","PPR"},0),S21,T21,U21)</f>
        <v>190.50399999999999</v>
      </c>
      <c r="W21" s="10">
        <f>COUNTIFS('Draft Board'!$X$2:$X$161,"&gt;="&amp;X21,'Draft Board'!$AB$2:$AB$161,1)</f>
        <v>5</v>
      </c>
      <c r="X21" s="10">
        <f>MAX(0,V21-'Live Calc'!$H$20)^'Live Calc'!$E$20</f>
        <v>220.38814394140817</v>
      </c>
      <c r="Y21" s="10">
        <v>21</v>
      </c>
      <c r="Z21" s="10">
        <f>IF(Y21&lt;&gt;_xlfn.MINIFS('Draft Board'!$Y$2:$Y$161,'Draft Board'!$X$2:$X$161,"="&amp;X21),0,IF(_xlfn.MINIFS('Draft Board'!$X$2:$X$161,'Draft Board'!$X$2:$X$161,"&gt;"&amp;X21)=0,1,IF((_xlfn.MINIFS('Draft Board'!$X$2:$X$161,'Draft Board'!$X$2:$X$161,"&gt;"&amp;X21)-X21)/_xlfn.MINIFS('Draft Board'!$X$2:$X$161,'Draft Board'!$X$2:$X$161,"&gt;"&amp;X21)&gt;0.08,1,0)))</f>
        <v>1</v>
      </c>
      <c r="AA21" s="10">
        <f>_xlfn.MINIFS('Draft Board'!$X$2:$X$161,'Draft Board'!$X$2:$X$161,"&gt;="&amp;X21,'Draft Board'!$Z$2:$Z$161,1)</f>
        <v>220.38814394140817</v>
      </c>
      <c r="AB21" s="10">
        <f>IF(Y21&lt;&gt;_xlfn.MINIFS('Draft Board'!$Y$2:$Y$161,'Draft Board'!$X$2:$X$161,"="&amp;X21),0,IF(OR(Z21=1,IFERROR(FLOOR((AA21-X21)/AA21/0.25,1),0)&lt;&gt;IFERROR(FLOOR((AA21-_xlfn.MINIFS('Draft Board'!$X$2:$X$161,'Draft Board'!$X$2:$X$161,"&gt;"&amp;X21))/AA21/0.25,1),0)),1,0))</f>
        <v>1</v>
      </c>
      <c r="AC21" s="10">
        <f>ROUND(1+X21*'Live Calc'!$D$27,0)</f>
        <v>21</v>
      </c>
      <c r="AD21" s="10"/>
      <c r="AE21" s="10">
        <f>IF(AD21&lt;&gt;"",AD21,ROUND(AC21*INDEX('Live Calc'!$G$96:$G$255,MATCH(W21,'Live Calc'!$A$96:$A$255,0))*'Live Calc'!$J$543,0))</f>
        <v>21</v>
      </c>
      <c r="AG21" s="11" t="s">
        <v>162</v>
      </c>
      <c r="AH21" s="11" t="s">
        <v>59</v>
      </c>
      <c r="AI21" s="11">
        <v>147.43600000000001</v>
      </c>
      <c r="AJ21" s="11">
        <v>178.56200000000001</v>
      </c>
      <c r="AK21" s="11">
        <v>211.07400000000001</v>
      </c>
      <c r="AL21" s="11">
        <f>CHOOSE(MATCH(Setup!$B$7,{"STD","Half-PPR","PPR"},0),AI21,AJ21,AK21)</f>
        <v>178.56200000000001</v>
      </c>
      <c r="AM21" s="11">
        <f>COUNTIFS('Draft Board'!$AN$2:$AN$193,"&gt;="&amp;AN21,'Draft Board'!$AR$2:$AR$193,1)</f>
        <v>5</v>
      </c>
      <c r="AN21" s="11">
        <f>MAX(0,AL21-'Live Calc'!$H$21)^'Live Calc'!$E$21</f>
        <v>229.28669199856014</v>
      </c>
      <c r="AO21" s="11">
        <v>21</v>
      </c>
      <c r="AP21" s="11">
        <f>IF(AO21&lt;&gt;_xlfn.MINIFS('Draft Board'!$AO$2:$AO$193,'Draft Board'!$AN$2:$AN$193,"="&amp;AN21),0,IF(_xlfn.MINIFS('Draft Board'!$AN$2:$AN$193,'Draft Board'!$AN$2:$AN$193,"&gt;"&amp;AN21)=0,1,IF((_xlfn.MINIFS('Draft Board'!$AN$2:$AN$193,'Draft Board'!$AN$2:$AN$193,"&gt;"&amp;AN21)-AN21)/_xlfn.MINIFS('Draft Board'!$AN$2:$AN$193,'Draft Board'!$AN$2:$AN$193,"&gt;"&amp;AN21)&gt;0.08,1,0)))</f>
        <v>0</v>
      </c>
      <c r="AQ21" s="11">
        <f>_xlfn.MINIFS('Draft Board'!$AN$2:$AN$193,'Draft Board'!$AN$2:$AN$193,"&gt;="&amp;AN21,'Draft Board'!$AP$2:$AP$193,1)</f>
        <v>236.73134050598597</v>
      </c>
      <c r="AR21" s="11">
        <f>IF(AO21&lt;&gt;_xlfn.MINIFS('Draft Board'!$AO$2:$AO$193,'Draft Board'!$AN$2:$AN$193,"="&amp;AN21),0,IF(OR(AP21=1,IFERROR(FLOOR((AQ21-AN21)/AQ21/0.25,1),0)&lt;&gt;IFERROR(FLOOR((AQ21-_xlfn.MINIFS('Draft Board'!$AN$2:$AN$193,'Draft Board'!$AN$2:$AN$193,"&gt;"&amp;AN21))/AQ21/0.25,1),0)),1,0))</f>
        <v>0</v>
      </c>
      <c r="AS21" s="11">
        <f>ROUND(1+AN21*'Live Calc'!$D$28,0)</f>
        <v>20</v>
      </c>
      <c r="AT21" s="11"/>
      <c r="AU21" s="11">
        <f>IF(AT21&lt;&gt;"",AT21,ROUND(AS21*INDEX('Live Calc'!$G$259:$G$450,MATCH(AM21,'Live Calc'!$A$259:$A$450,0))*'Live Calc'!$J$543,0))</f>
        <v>20</v>
      </c>
      <c r="AW21" s="12" t="s">
        <v>163</v>
      </c>
      <c r="AX21" s="12" t="s">
        <v>116</v>
      </c>
      <c r="AY21" s="12">
        <v>78.73</v>
      </c>
      <c r="AZ21" s="12">
        <v>108.86</v>
      </c>
      <c r="BA21" s="12">
        <v>138.57400000000001</v>
      </c>
      <c r="BB21" s="12">
        <f>CHOOSE(MATCH(Setup!$B$7,{"STD","Half-PPR","PPR"},0),AY21,AZ21,BA21)</f>
        <v>108.86</v>
      </c>
      <c r="BC21" s="12">
        <f>COUNTIFS('Draft Board'!$BD$2:$BD$87,"&gt;="&amp;BD21,'Draft Board'!$BH$2:$BH$87,1)</f>
        <v>12</v>
      </c>
      <c r="BD21" s="12">
        <f>MAX(0,BB21-'Live Calc'!$H$22)^'Live Calc'!$E$22</f>
        <v>5.6099999999999994</v>
      </c>
      <c r="BE21" s="12">
        <v>21</v>
      </c>
      <c r="BF21" s="12">
        <f>IF(BE21&lt;&gt;_xlfn.MINIFS('Draft Board'!$BE$2:$BE$87,'Draft Board'!$BD$2:$BD$87,"="&amp;BD21),0,IF(_xlfn.MINIFS('Draft Board'!$BD$2:$BD$87,'Draft Board'!$BD$2:$BD$87,"&gt;"&amp;BD21)=0,1,IF((_xlfn.MINIFS('Draft Board'!$BD$2:$BD$87,'Draft Board'!$BD$2:$BD$87,"&gt;"&amp;BD21)-BD21)/_xlfn.MINIFS('Draft Board'!$BD$2:$BD$87,'Draft Board'!$BD$2:$BD$87,"&gt;"&amp;BD21)&gt;0.08,1,0)))</f>
        <v>1</v>
      </c>
      <c r="BG21" s="12">
        <f>_xlfn.MINIFS('Draft Board'!$BD$2:$BD$87,'Draft Board'!$BD$2:$BD$87,"&gt;="&amp;BD21,'Draft Board'!$BF$2:$BF$87,1)</f>
        <v>5.6099999999999994</v>
      </c>
      <c r="BH21" s="12">
        <f>IF(BE21&lt;&gt;_xlfn.MINIFS('Draft Board'!$BE$2:$BE$87,'Draft Board'!$BD$2:$BD$87,"="&amp;BD21),0,IF(OR(BF21=1,IFERROR(FLOOR((BG21-BD21)/BG21/0.25,1),0)&lt;&gt;IFERROR(FLOOR((BG21-_xlfn.MINIFS('Draft Board'!$BD$2:$BD$87,'Draft Board'!$BD$2:$BD$87,"&gt;"&amp;BD21))/BG21/0.25,1),0)),1,0))</f>
        <v>1</v>
      </c>
      <c r="BI21" s="12">
        <f>ROUND(1+BD21*'Live Calc'!$D$29,0)</f>
        <v>3</v>
      </c>
      <c r="BJ21" s="12"/>
      <c r="BK21" s="12">
        <f>IF(BJ21&lt;&gt;"",BJ21,ROUND(BI21*INDEX('Live Calc'!$G$454:$G$539,MATCH(BC21,'Live Calc'!$A$454:$A$539,0))*'Live Calc'!$J$543,0))</f>
        <v>3</v>
      </c>
    </row>
    <row r="22" spans="1:63" x14ac:dyDescent="0.25">
      <c r="A22" s="9" t="s">
        <v>164</v>
      </c>
      <c r="B22" s="9" t="s">
        <v>116</v>
      </c>
      <c r="C22" s="9">
        <v>252.25</v>
      </c>
      <c r="D22" s="9">
        <v>252.25</v>
      </c>
      <c r="E22" s="9">
        <v>252.25</v>
      </c>
      <c r="F22" s="9">
        <f>CHOOSE(MATCH(Setup!$B$7,{"STD","Half-PPR","PPR"},0),C22,D22,E22)</f>
        <v>252.25</v>
      </c>
      <c r="G22" s="9">
        <f>COUNTIFS('Draft Board'!$H$2:$H$61,"&gt;="&amp;H22,'Draft Board'!$L$2:$L$61,1)</f>
        <v>11</v>
      </c>
      <c r="H22" s="9">
        <f>MAX(0,F22-'Live Calc'!$H$19)^'Live Calc'!$E$19</f>
        <v>0</v>
      </c>
      <c r="I22" s="9">
        <v>22</v>
      </c>
      <c r="J22" s="9">
        <f>IF(I22&lt;&gt;_xlfn.MINIFS('Draft Board'!$I$2:$I$61,'Draft Board'!$H$2:$H$61,"="&amp;H22),0,IF(_xlfn.MINIFS('Draft Board'!$H$2:$H$61,'Draft Board'!$H$2:$H$61,"&gt;"&amp;H22)=0,1,IF((_xlfn.MINIFS('Draft Board'!$H$2:$H$61,'Draft Board'!$H$2:$H$61,"&gt;"&amp;H22)-H22)/_xlfn.MINIFS('Draft Board'!$H$2:$H$61,'Draft Board'!$H$2:$H$61,"&gt;"&amp;H22)&gt;0.08,1,0)))</f>
        <v>0</v>
      </c>
      <c r="K22" s="9">
        <f>_xlfn.MINIFS('Draft Board'!$H$2:$H$61,'Draft Board'!$H$2:$H$61,"&gt;="&amp;H22,'Draft Board'!$J$2:$J$61,1)</f>
        <v>0</v>
      </c>
      <c r="L22" s="9">
        <f>IF(I22&lt;&gt;_xlfn.MINIFS('Draft Board'!$I$2:$I$61,'Draft Board'!$H$2:$H$61,"="&amp;H22),0,IF(OR(J22=1,IFERROR(FLOOR((K22-H22)/K22/0.25,1),0)&lt;&gt;IFERROR(FLOOR((K22-_xlfn.MINIFS('Draft Board'!$H$2:$H$61,'Draft Board'!$H$2:$H$61,"&gt;"&amp;H22))/K22/0.25,1),0)),1,0))</f>
        <v>0</v>
      </c>
      <c r="M22" s="9">
        <f>ROUND(1+H22*'Live Calc'!$D$26,0)</f>
        <v>1</v>
      </c>
      <c r="N22" s="9"/>
      <c r="O22" s="9">
        <f>IF(N22&lt;&gt;"",N22,ROUND(M22*INDEX('Live Calc'!$G$33:$G$92,MATCH(G22,'Live Calc'!$A$33:$A$92,0))*'Live Calc'!$J$543,0))</f>
        <v>1</v>
      </c>
      <c r="Q22" s="10" t="s">
        <v>165</v>
      </c>
      <c r="R22" s="10" t="s">
        <v>152</v>
      </c>
      <c r="S22" s="10">
        <v>166.25399999999999</v>
      </c>
      <c r="T22" s="10">
        <v>185.48</v>
      </c>
      <c r="U22" s="10">
        <v>204.7</v>
      </c>
      <c r="V22" s="10">
        <f>CHOOSE(MATCH(Setup!$B$7,{"STD","Half-PPR","PPR"},0),S22,T22,U22)</f>
        <v>185.48</v>
      </c>
      <c r="W22" s="10">
        <f>COUNTIFS('Draft Board'!$X$2:$X$161,"&gt;="&amp;X22,'Draft Board'!$AB$2:$AB$161,1)</f>
        <v>5</v>
      </c>
      <c r="X22" s="10">
        <f>MAX(0,V22-'Live Calc'!$H$20)^'Live Calc'!$E$20</f>
        <v>205.65536408945462</v>
      </c>
      <c r="Y22" s="10">
        <v>22</v>
      </c>
      <c r="Z22" s="10">
        <f>IF(Y22&lt;&gt;_xlfn.MINIFS('Draft Board'!$Y$2:$Y$161,'Draft Board'!$X$2:$X$161,"="&amp;X22),0,IF(_xlfn.MINIFS('Draft Board'!$X$2:$X$161,'Draft Board'!$X$2:$X$161,"&gt;"&amp;X22)=0,1,IF((_xlfn.MINIFS('Draft Board'!$X$2:$X$161,'Draft Board'!$X$2:$X$161,"&gt;"&amp;X22)-X22)/_xlfn.MINIFS('Draft Board'!$X$2:$X$161,'Draft Board'!$X$2:$X$161,"&gt;"&amp;X22)&gt;0.08,1,0)))</f>
        <v>0</v>
      </c>
      <c r="AA22" s="10">
        <f>_xlfn.MINIFS('Draft Board'!$X$2:$X$161,'Draft Board'!$X$2:$X$161,"&gt;="&amp;X22,'Draft Board'!$Z$2:$Z$161,1)</f>
        <v>220.38814394140817</v>
      </c>
      <c r="AB22" s="10">
        <f>IF(Y22&lt;&gt;_xlfn.MINIFS('Draft Board'!$Y$2:$Y$161,'Draft Board'!$X$2:$X$161,"="&amp;X22),0,IF(OR(Z22=1,IFERROR(FLOOR((AA22-X22)/AA22/0.25,1),0)&lt;&gt;IFERROR(FLOOR((AA22-_xlfn.MINIFS('Draft Board'!$X$2:$X$161,'Draft Board'!$X$2:$X$161,"&gt;"&amp;X22))/AA22/0.25,1),0)),1,0))</f>
        <v>0</v>
      </c>
      <c r="AC22" s="10">
        <f>ROUND(1+X22*'Live Calc'!$D$27,0)</f>
        <v>20</v>
      </c>
      <c r="AD22" s="10"/>
      <c r="AE22" s="10">
        <f>IF(AD22&lt;&gt;"",AD22,ROUND(AC22*INDEX('Live Calc'!$G$96:$G$255,MATCH(W22,'Live Calc'!$A$96:$A$255,0))*'Live Calc'!$J$543,0))</f>
        <v>20</v>
      </c>
      <c r="AG22" s="11" t="s">
        <v>166</v>
      </c>
      <c r="AH22" s="11" t="s">
        <v>152</v>
      </c>
      <c r="AI22" s="11">
        <v>142.78200000000001</v>
      </c>
      <c r="AJ22" s="11">
        <v>175.38</v>
      </c>
      <c r="AK22" s="11">
        <v>209.99</v>
      </c>
      <c r="AL22" s="11">
        <f>CHOOSE(MATCH(Setup!$B$7,{"STD","Half-PPR","PPR"},0),AI22,AJ22,AK22)</f>
        <v>175.38</v>
      </c>
      <c r="AM22" s="11">
        <f>COUNTIFS('Draft Board'!$AN$2:$AN$193,"&gt;="&amp;AN22,'Draft Board'!$AR$2:$AR$193,1)</f>
        <v>5</v>
      </c>
      <c r="AN22" s="11">
        <f>MAX(0,AL22-'Live Calc'!$H$21)^'Live Calc'!$E$21</f>
        <v>217.55332592689578</v>
      </c>
      <c r="AO22" s="11">
        <v>22</v>
      </c>
      <c r="AP22" s="11">
        <f>IF(AO22&lt;&gt;_xlfn.MINIFS('Draft Board'!$AO$2:$AO$193,'Draft Board'!$AN$2:$AN$193,"="&amp;AN22),0,IF(_xlfn.MINIFS('Draft Board'!$AN$2:$AN$193,'Draft Board'!$AN$2:$AN$193,"&gt;"&amp;AN22)=0,1,IF((_xlfn.MINIFS('Draft Board'!$AN$2:$AN$193,'Draft Board'!$AN$2:$AN$193,"&gt;"&amp;AN22)-AN22)/_xlfn.MINIFS('Draft Board'!$AN$2:$AN$193,'Draft Board'!$AN$2:$AN$193,"&gt;"&amp;AN22)&gt;0.08,1,0)))</f>
        <v>0</v>
      </c>
      <c r="AQ22" s="11">
        <f>_xlfn.MINIFS('Draft Board'!$AN$2:$AN$193,'Draft Board'!$AN$2:$AN$193,"&gt;="&amp;AN22,'Draft Board'!$AP$2:$AP$193,1)</f>
        <v>236.73134050598597</v>
      </c>
      <c r="AR22" s="11">
        <f>IF(AO22&lt;&gt;_xlfn.MINIFS('Draft Board'!$AO$2:$AO$193,'Draft Board'!$AN$2:$AN$193,"="&amp;AN22),0,IF(OR(AP22=1,IFERROR(FLOOR((AQ22-AN22)/AQ22/0.25,1),0)&lt;&gt;IFERROR(FLOOR((AQ22-_xlfn.MINIFS('Draft Board'!$AN$2:$AN$193,'Draft Board'!$AN$2:$AN$193,"&gt;"&amp;AN22))/AQ22/0.25,1),0)),1,0))</f>
        <v>0</v>
      </c>
      <c r="AS22" s="11">
        <f>ROUND(1+AN22*'Live Calc'!$D$28,0)</f>
        <v>19</v>
      </c>
      <c r="AT22" s="11"/>
      <c r="AU22" s="11">
        <f>IF(AT22&lt;&gt;"",AT22,ROUND(AS22*INDEX('Live Calc'!$G$259:$G$450,MATCH(AM22,'Live Calc'!$A$259:$A$450,0))*'Live Calc'!$J$543,0))</f>
        <v>19</v>
      </c>
      <c r="AW22" s="12" t="s">
        <v>167</v>
      </c>
      <c r="AX22" s="12" t="s">
        <v>143</v>
      </c>
      <c r="AY22" s="12">
        <v>79.567999999999998</v>
      </c>
      <c r="AZ22" s="12">
        <v>107.51</v>
      </c>
      <c r="BA22" s="12">
        <v>133.98599999999999</v>
      </c>
      <c r="BB22" s="12">
        <f>CHOOSE(MATCH(Setup!$B$7,{"STD","Half-PPR","PPR"},0),AY22,AZ22,BA22)</f>
        <v>107.51</v>
      </c>
      <c r="BC22" s="12">
        <f>COUNTIFS('Draft Board'!$BD$2:$BD$87,"&gt;="&amp;BD22,'Draft Board'!$BH$2:$BH$87,1)</f>
        <v>13</v>
      </c>
      <c r="BD22" s="12">
        <f>MAX(0,BB22-'Live Calc'!$H$22)^'Live Calc'!$E$22</f>
        <v>4.2600000000000051</v>
      </c>
      <c r="BE22" s="12">
        <v>22</v>
      </c>
      <c r="BF22" s="12">
        <f>IF(BE22&lt;&gt;_xlfn.MINIFS('Draft Board'!$BE$2:$BE$87,'Draft Board'!$BD$2:$BD$87,"="&amp;BD22),0,IF(_xlfn.MINIFS('Draft Board'!$BD$2:$BD$87,'Draft Board'!$BD$2:$BD$87,"&gt;"&amp;BD22)=0,1,IF((_xlfn.MINIFS('Draft Board'!$BD$2:$BD$87,'Draft Board'!$BD$2:$BD$87,"&gt;"&amp;BD22)-BD22)/_xlfn.MINIFS('Draft Board'!$BD$2:$BD$87,'Draft Board'!$BD$2:$BD$87,"&gt;"&amp;BD22)&gt;0.08,1,0)))</f>
        <v>1</v>
      </c>
      <c r="BG22" s="12">
        <f>_xlfn.MINIFS('Draft Board'!$BD$2:$BD$87,'Draft Board'!$BD$2:$BD$87,"&gt;="&amp;BD22,'Draft Board'!$BF$2:$BF$87,1)</f>
        <v>4.2600000000000051</v>
      </c>
      <c r="BH22" s="12">
        <f>IF(BE22&lt;&gt;_xlfn.MINIFS('Draft Board'!$BE$2:$BE$87,'Draft Board'!$BD$2:$BD$87,"="&amp;BD22),0,IF(OR(BF22=1,IFERROR(FLOOR((BG22-BD22)/BG22/0.25,1),0)&lt;&gt;IFERROR(FLOOR((BG22-_xlfn.MINIFS('Draft Board'!$BD$2:$BD$87,'Draft Board'!$BD$2:$BD$87,"&gt;"&amp;BD22))/BG22/0.25,1),0)),1,0))</f>
        <v>1</v>
      </c>
      <c r="BI22" s="12">
        <f>ROUND(1+BD22*'Live Calc'!$D$29,0)</f>
        <v>2</v>
      </c>
      <c r="BJ22" s="12"/>
      <c r="BK22" s="12">
        <f>IF(BJ22&lt;&gt;"",BJ22,ROUND(BI22*INDEX('Live Calc'!$G$454:$G$539,MATCH(BC22,'Live Calc'!$A$454:$A$539,0))*'Live Calc'!$J$543,0))</f>
        <v>2</v>
      </c>
    </row>
    <row r="23" spans="1:63" x14ac:dyDescent="0.25">
      <c r="A23" s="9" t="s">
        <v>168</v>
      </c>
      <c r="B23" s="9" t="s">
        <v>93</v>
      </c>
      <c r="C23" s="9">
        <v>250.26</v>
      </c>
      <c r="D23" s="9">
        <v>250.26</v>
      </c>
      <c r="E23" s="9">
        <v>250.26</v>
      </c>
      <c r="F23" s="9">
        <f>CHOOSE(MATCH(Setup!$B$7,{"STD","Half-PPR","PPR"},0),C23,D23,E23)</f>
        <v>250.26</v>
      </c>
      <c r="G23" s="9">
        <f>COUNTIFS('Draft Board'!$H$2:$H$61,"&gt;="&amp;H23,'Draft Board'!$L$2:$L$61,1)</f>
        <v>11</v>
      </c>
      <c r="H23" s="9">
        <f>MAX(0,F23-'Live Calc'!$H$19)^'Live Calc'!$E$19</f>
        <v>0</v>
      </c>
      <c r="I23" s="9">
        <v>23</v>
      </c>
      <c r="J23" s="9">
        <f>IF(I23&lt;&gt;_xlfn.MINIFS('Draft Board'!$I$2:$I$61,'Draft Board'!$H$2:$H$61,"="&amp;H23),0,IF(_xlfn.MINIFS('Draft Board'!$H$2:$H$61,'Draft Board'!$H$2:$H$61,"&gt;"&amp;H23)=0,1,IF((_xlfn.MINIFS('Draft Board'!$H$2:$H$61,'Draft Board'!$H$2:$H$61,"&gt;"&amp;H23)-H23)/_xlfn.MINIFS('Draft Board'!$H$2:$H$61,'Draft Board'!$H$2:$H$61,"&gt;"&amp;H23)&gt;0.08,1,0)))</f>
        <v>0</v>
      </c>
      <c r="K23" s="9">
        <f>_xlfn.MINIFS('Draft Board'!$H$2:$H$61,'Draft Board'!$H$2:$H$61,"&gt;="&amp;H23,'Draft Board'!$J$2:$J$61,1)</f>
        <v>0</v>
      </c>
      <c r="L23" s="9">
        <f>IF(I23&lt;&gt;_xlfn.MINIFS('Draft Board'!$I$2:$I$61,'Draft Board'!$H$2:$H$61,"="&amp;H23),0,IF(OR(J23=1,IFERROR(FLOOR((K23-H23)/K23/0.25,1),0)&lt;&gt;IFERROR(FLOOR((K23-_xlfn.MINIFS('Draft Board'!$H$2:$H$61,'Draft Board'!$H$2:$H$61,"&gt;"&amp;H23))/K23/0.25,1),0)),1,0))</f>
        <v>0</v>
      </c>
      <c r="M23" s="9">
        <f>ROUND(1+H23*'Live Calc'!$D$26,0)</f>
        <v>1</v>
      </c>
      <c r="N23" s="9"/>
      <c r="O23" s="9">
        <f>IF(N23&lt;&gt;"",N23,ROUND(M23*INDEX('Live Calc'!$G$33:$G$92,MATCH(G23,'Live Calc'!$A$33:$A$92,0))*'Live Calc'!$J$543,0))</f>
        <v>1</v>
      </c>
      <c r="Q23" s="10" t="s">
        <v>169</v>
      </c>
      <c r="R23" s="10" t="s">
        <v>116</v>
      </c>
      <c r="S23" s="10">
        <v>171.47200000000001</v>
      </c>
      <c r="T23" s="10">
        <v>184.58</v>
      </c>
      <c r="U23" s="10">
        <v>201.72</v>
      </c>
      <c r="V23" s="10">
        <f>CHOOSE(MATCH(Setup!$B$7,{"STD","Half-PPR","PPR"},0),S23,T23,U23)</f>
        <v>184.58</v>
      </c>
      <c r="W23" s="10">
        <f>COUNTIFS('Draft Board'!$X$2:$X$161,"&gt;="&amp;X23,'Draft Board'!$AB$2:$AB$161,1)</f>
        <v>5</v>
      </c>
      <c r="X23" s="10">
        <f>MAX(0,V23-'Live Calc'!$H$20)^'Live Calc'!$E$20</f>
        <v>203.03426294657939</v>
      </c>
      <c r="Y23" s="10">
        <v>23</v>
      </c>
      <c r="Z23" s="10">
        <f>IF(Y23&lt;&gt;_xlfn.MINIFS('Draft Board'!$Y$2:$Y$161,'Draft Board'!$X$2:$X$161,"="&amp;X23),0,IF(_xlfn.MINIFS('Draft Board'!$X$2:$X$161,'Draft Board'!$X$2:$X$161,"&gt;"&amp;X23)=0,1,IF((_xlfn.MINIFS('Draft Board'!$X$2:$X$161,'Draft Board'!$X$2:$X$161,"&gt;"&amp;X23)-X23)/_xlfn.MINIFS('Draft Board'!$X$2:$X$161,'Draft Board'!$X$2:$X$161,"&gt;"&amp;X23)&gt;0.08,1,0)))</f>
        <v>0</v>
      </c>
      <c r="AA23" s="10">
        <f>_xlfn.MINIFS('Draft Board'!$X$2:$X$161,'Draft Board'!$X$2:$X$161,"&gt;="&amp;X23,'Draft Board'!$Z$2:$Z$161,1)</f>
        <v>220.38814394140817</v>
      </c>
      <c r="AB23" s="10">
        <f>IF(Y23&lt;&gt;_xlfn.MINIFS('Draft Board'!$Y$2:$Y$161,'Draft Board'!$X$2:$X$161,"="&amp;X23),0,IF(OR(Z23=1,IFERROR(FLOOR((AA23-X23)/AA23/0.25,1),0)&lt;&gt;IFERROR(FLOOR((AA23-_xlfn.MINIFS('Draft Board'!$X$2:$X$161,'Draft Board'!$X$2:$X$161,"&gt;"&amp;X23))/AA23/0.25,1),0)),1,0))</f>
        <v>0</v>
      </c>
      <c r="AC23" s="10">
        <f>ROUND(1+X23*'Live Calc'!$D$27,0)</f>
        <v>20</v>
      </c>
      <c r="AD23" s="10"/>
      <c r="AE23" s="10">
        <f>IF(AD23&lt;&gt;"",AD23,ROUND(AC23*INDEX('Live Calc'!$G$96:$G$255,MATCH(W23,'Live Calc'!$A$96:$A$255,0))*'Live Calc'!$J$543,0))</f>
        <v>20</v>
      </c>
      <c r="AG23" s="11" t="s">
        <v>170</v>
      </c>
      <c r="AH23" s="11" t="s">
        <v>119</v>
      </c>
      <c r="AI23" s="11">
        <v>137.53</v>
      </c>
      <c r="AJ23" s="11">
        <v>175.292</v>
      </c>
      <c r="AK23" s="11">
        <v>214.846</v>
      </c>
      <c r="AL23" s="11">
        <f>CHOOSE(MATCH(Setup!$B$7,{"STD","Half-PPR","PPR"},0),AI23,AJ23,AK23)</f>
        <v>175.292</v>
      </c>
      <c r="AM23" s="11">
        <f>COUNTIFS('Draft Board'!$AN$2:$AN$193,"&gt;="&amp;AN23,'Draft Board'!$AR$2:$AR$193,1)</f>
        <v>5</v>
      </c>
      <c r="AN23" s="11">
        <f>MAX(0,AL23-'Live Calc'!$H$21)^'Live Calc'!$E$21</f>
        <v>217.23059441591317</v>
      </c>
      <c r="AO23" s="11">
        <v>23</v>
      </c>
      <c r="AP23" s="11">
        <f>IF(AO23&lt;&gt;_xlfn.MINIFS('Draft Board'!$AO$2:$AO$193,'Draft Board'!$AN$2:$AN$193,"="&amp;AN23),0,IF(_xlfn.MINIFS('Draft Board'!$AN$2:$AN$193,'Draft Board'!$AN$2:$AN$193,"&gt;"&amp;AN23)=0,1,IF((_xlfn.MINIFS('Draft Board'!$AN$2:$AN$193,'Draft Board'!$AN$2:$AN$193,"&gt;"&amp;AN23)-AN23)/_xlfn.MINIFS('Draft Board'!$AN$2:$AN$193,'Draft Board'!$AN$2:$AN$193,"&gt;"&amp;AN23)&gt;0.08,1,0)))</f>
        <v>0</v>
      </c>
      <c r="AQ23" s="11">
        <f>_xlfn.MINIFS('Draft Board'!$AN$2:$AN$193,'Draft Board'!$AN$2:$AN$193,"&gt;="&amp;AN23,'Draft Board'!$AP$2:$AP$193,1)</f>
        <v>236.73134050598597</v>
      </c>
      <c r="AR23" s="11">
        <f>IF(AO23&lt;&gt;_xlfn.MINIFS('Draft Board'!$AO$2:$AO$193,'Draft Board'!$AN$2:$AN$193,"="&amp;AN23),0,IF(OR(AP23=1,IFERROR(FLOOR((AQ23-AN23)/AQ23/0.25,1),0)&lt;&gt;IFERROR(FLOOR((AQ23-_xlfn.MINIFS('Draft Board'!$AN$2:$AN$193,'Draft Board'!$AN$2:$AN$193,"&gt;"&amp;AN23))/AQ23/0.25,1),0)),1,0))</f>
        <v>0</v>
      </c>
      <c r="AS23" s="11">
        <f>ROUND(1+AN23*'Live Calc'!$D$28,0)</f>
        <v>19</v>
      </c>
      <c r="AT23" s="11"/>
      <c r="AU23" s="11">
        <f>IF(AT23&lt;&gt;"",AT23,ROUND(AS23*INDEX('Live Calc'!$G$259:$G$450,MATCH(AM23,'Live Calc'!$A$259:$A$450,0))*'Live Calc'!$J$543,0))</f>
        <v>19</v>
      </c>
      <c r="AW23" s="12" t="s">
        <v>171</v>
      </c>
      <c r="AX23" s="12" t="s">
        <v>79</v>
      </c>
      <c r="AY23" s="12">
        <v>77.866</v>
      </c>
      <c r="AZ23" s="12">
        <v>106.496</v>
      </c>
      <c r="BA23" s="12">
        <v>136.65</v>
      </c>
      <c r="BB23" s="12">
        <f>CHOOSE(MATCH(Setup!$B$7,{"STD","Half-PPR","PPR"},0),AY23,AZ23,BA23)</f>
        <v>106.496</v>
      </c>
      <c r="BC23" s="12">
        <f>COUNTIFS('Draft Board'!$BD$2:$BD$87,"&gt;="&amp;BD23,'Draft Board'!$BH$2:$BH$87,1)</f>
        <v>14</v>
      </c>
      <c r="BD23" s="12">
        <f>MAX(0,BB23-'Live Calc'!$H$22)^'Live Calc'!$E$22</f>
        <v>3.2459999999999951</v>
      </c>
      <c r="BE23" s="12">
        <v>23</v>
      </c>
      <c r="BF23" s="12">
        <f>IF(BE23&lt;&gt;_xlfn.MINIFS('Draft Board'!$BE$2:$BE$87,'Draft Board'!$BD$2:$BD$87,"="&amp;BD23),0,IF(_xlfn.MINIFS('Draft Board'!$BD$2:$BD$87,'Draft Board'!$BD$2:$BD$87,"&gt;"&amp;BD23)=0,1,IF((_xlfn.MINIFS('Draft Board'!$BD$2:$BD$87,'Draft Board'!$BD$2:$BD$87,"&gt;"&amp;BD23)-BD23)/_xlfn.MINIFS('Draft Board'!$BD$2:$BD$87,'Draft Board'!$BD$2:$BD$87,"&gt;"&amp;BD23)&gt;0.08,1,0)))</f>
        <v>1</v>
      </c>
      <c r="BG23" s="12">
        <f>_xlfn.MINIFS('Draft Board'!$BD$2:$BD$87,'Draft Board'!$BD$2:$BD$87,"&gt;="&amp;BD23,'Draft Board'!$BF$2:$BF$87,1)</f>
        <v>3.2459999999999951</v>
      </c>
      <c r="BH23" s="12">
        <f>IF(BE23&lt;&gt;_xlfn.MINIFS('Draft Board'!$BE$2:$BE$87,'Draft Board'!$BD$2:$BD$87,"="&amp;BD23),0,IF(OR(BF23=1,IFERROR(FLOOR((BG23-BD23)/BG23/0.25,1),0)&lt;&gt;IFERROR(FLOOR((BG23-_xlfn.MINIFS('Draft Board'!$BD$2:$BD$87,'Draft Board'!$BD$2:$BD$87,"&gt;"&amp;BD23))/BG23/0.25,1),0)),1,0))</f>
        <v>1</v>
      </c>
      <c r="BI23" s="12">
        <f>ROUND(1+BD23*'Live Calc'!$D$29,0)</f>
        <v>2</v>
      </c>
      <c r="BJ23" s="12"/>
      <c r="BK23" s="12">
        <f>IF(BJ23&lt;&gt;"",BJ23,ROUND(BI23*INDEX('Live Calc'!$G$454:$G$539,MATCH(BC23,'Live Calc'!$A$454:$A$539,0))*'Live Calc'!$J$543,0))</f>
        <v>2</v>
      </c>
    </row>
    <row r="24" spans="1:63" x14ac:dyDescent="0.25">
      <c r="A24" s="9" t="s">
        <v>172</v>
      </c>
      <c r="B24" s="9" t="s">
        <v>75</v>
      </c>
      <c r="C24" s="9">
        <v>249.29</v>
      </c>
      <c r="D24" s="9">
        <v>249.29</v>
      </c>
      <c r="E24" s="9">
        <v>249.29</v>
      </c>
      <c r="F24" s="9">
        <f>CHOOSE(MATCH(Setup!$B$7,{"STD","Half-PPR","PPR"},0),C24,D24,E24)</f>
        <v>249.29</v>
      </c>
      <c r="G24" s="9">
        <f>COUNTIFS('Draft Board'!$H$2:$H$61,"&gt;="&amp;H24,'Draft Board'!$L$2:$L$61,1)</f>
        <v>11</v>
      </c>
      <c r="H24" s="9">
        <f>MAX(0,F24-'Live Calc'!$H$19)^'Live Calc'!$E$19</f>
        <v>0</v>
      </c>
      <c r="I24" s="9">
        <v>24</v>
      </c>
      <c r="J24" s="9">
        <f>IF(I24&lt;&gt;_xlfn.MINIFS('Draft Board'!$I$2:$I$61,'Draft Board'!$H$2:$H$61,"="&amp;H24),0,IF(_xlfn.MINIFS('Draft Board'!$H$2:$H$61,'Draft Board'!$H$2:$H$61,"&gt;"&amp;H24)=0,1,IF((_xlfn.MINIFS('Draft Board'!$H$2:$H$61,'Draft Board'!$H$2:$H$61,"&gt;"&amp;H24)-H24)/_xlfn.MINIFS('Draft Board'!$H$2:$H$61,'Draft Board'!$H$2:$H$61,"&gt;"&amp;H24)&gt;0.08,1,0)))</f>
        <v>0</v>
      </c>
      <c r="K24" s="9">
        <f>_xlfn.MINIFS('Draft Board'!$H$2:$H$61,'Draft Board'!$H$2:$H$61,"&gt;="&amp;H24,'Draft Board'!$J$2:$J$61,1)</f>
        <v>0</v>
      </c>
      <c r="L24" s="9">
        <f>IF(I24&lt;&gt;_xlfn.MINIFS('Draft Board'!$I$2:$I$61,'Draft Board'!$H$2:$H$61,"="&amp;H24),0,IF(OR(J24=1,IFERROR(FLOOR((K24-H24)/K24/0.25,1),0)&lt;&gt;IFERROR(FLOOR((K24-_xlfn.MINIFS('Draft Board'!$H$2:$H$61,'Draft Board'!$H$2:$H$61,"&gt;"&amp;H24))/K24/0.25,1),0)),1,0))</f>
        <v>0</v>
      </c>
      <c r="M24" s="9">
        <f>ROUND(1+H24*'Live Calc'!$D$26,0)</f>
        <v>1</v>
      </c>
      <c r="N24" s="9"/>
      <c r="O24" s="9">
        <f>IF(N24&lt;&gt;"",N24,ROUND(M24*INDEX('Live Calc'!$G$33:$G$92,MATCH(G24,'Live Calc'!$A$33:$A$92,0))*'Live Calc'!$J$543,0))</f>
        <v>1</v>
      </c>
      <c r="Q24" s="10" t="s">
        <v>173</v>
      </c>
      <c r="R24" s="10" t="s">
        <v>90</v>
      </c>
      <c r="S24" s="10">
        <v>170.90799999999999</v>
      </c>
      <c r="T24" s="10">
        <v>183.858</v>
      </c>
      <c r="U24" s="10">
        <v>199.09800000000001</v>
      </c>
      <c r="V24" s="10">
        <f>CHOOSE(MATCH(Setup!$B$7,{"STD","Half-PPR","PPR"},0),S24,T24,U24)</f>
        <v>183.858</v>
      </c>
      <c r="W24" s="10">
        <f>COUNTIFS('Draft Board'!$X$2:$X$161,"&gt;="&amp;X24,'Draft Board'!$AB$2:$AB$161,1)</f>
        <v>5</v>
      </c>
      <c r="X24" s="10">
        <f>MAX(0,V24-'Live Calc'!$H$20)^'Live Calc'!$E$20</f>
        <v>200.93562318706148</v>
      </c>
      <c r="Y24" s="10">
        <v>24</v>
      </c>
      <c r="Z24" s="10">
        <f>IF(Y24&lt;&gt;_xlfn.MINIFS('Draft Board'!$Y$2:$Y$161,'Draft Board'!$X$2:$X$161,"="&amp;X24),0,IF(_xlfn.MINIFS('Draft Board'!$X$2:$X$161,'Draft Board'!$X$2:$X$161,"&gt;"&amp;X24)=0,1,IF((_xlfn.MINIFS('Draft Board'!$X$2:$X$161,'Draft Board'!$X$2:$X$161,"&gt;"&amp;X24)-X24)/_xlfn.MINIFS('Draft Board'!$X$2:$X$161,'Draft Board'!$X$2:$X$161,"&gt;"&amp;X24)&gt;0.08,1,0)))</f>
        <v>0</v>
      </c>
      <c r="AA24" s="10">
        <f>_xlfn.MINIFS('Draft Board'!$X$2:$X$161,'Draft Board'!$X$2:$X$161,"&gt;="&amp;X24,'Draft Board'!$Z$2:$Z$161,1)</f>
        <v>220.38814394140817</v>
      </c>
      <c r="AB24" s="10">
        <f>IF(Y24&lt;&gt;_xlfn.MINIFS('Draft Board'!$Y$2:$Y$161,'Draft Board'!$X$2:$X$161,"="&amp;X24),0,IF(OR(Z24=1,IFERROR(FLOOR((AA24-X24)/AA24/0.25,1),0)&lt;&gt;IFERROR(FLOOR((AA24-_xlfn.MINIFS('Draft Board'!$X$2:$X$161,'Draft Board'!$X$2:$X$161,"&gt;"&amp;X24))/AA24/0.25,1),0)),1,0))</f>
        <v>0</v>
      </c>
      <c r="AC24" s="10">
        <f>ROUND(1+X24*'Live Calc'!$D$27,0)</f>
        <v>19</v>
      </c>
      <c r="AD24" s="10"/>
      <c r="AE24" s="10">
        <f>IF(AD24&lt;&gt;"",AD24,ROUND(AC24*INDEX('Live Calc'!$G$96:$G$255,MATCH(W24,'Live Calc'!$A$96:$A$255,0))*'Live Calc'!$J$543,0))</f>
        <v>19</v>
      </c>
      <c r="AG24" s="11" t="s">
        <v>174</v>
      </c>
      <c r="AH24" s="11" t="s">
        <v>133</v>
      </c>
      <c r="AI24" s="11">
        <v>136.172</v>
      </c>
      <c r="AJ24" s="11">
        <v>174.22200000000001</v>
      </c>
      <c r="AK24" s="11">
        <v>212.76</v>
      </c>
      <c r="AL24" s="11">
        <f>CHOOSE(MATCH(Setup!$B$7,{"STD","Half-PPR","PPR"},0),AI24,AJ24,AK24)</f>
        <v>174.22200000000001</v>
      </c>
      <c r="AM24" s="11">
        <f>COUNTIFS('Draft Board'!$AN$2:$AN$193,"&gt;="&amp;AN24,'Draft Board'!$AR$2:$AR$193,1)</f>
        <v>5</v>
      </c>
      <c r="AN24" s="11">
        <f>MAX(0,AL24-'Live Calc'!$H$21)^'Live Calc'!$E$21</f>
        <v>213.31416759503514</v>
      </c>
      <c r="AO24" s="11">
        <v>24</v>
      </c>
      <c r="AP24" s="11">
        <f>IF(AO24&lt;&gt;_xlfn.MINIFS('Draft Board'!$AO$2:$AO$193,'Draft Board'!$AN$2:$AN$193,"="&amp;AN24),0,IF(_xlfn.MINIFS('Draft Board'!$AN$2:$AN$193,'Draft Board'!$AN$2:$AN$193,"&gt;"&amp;AN24)=0,1,IF((_xlfn.MINIFS('Draft Board'!$AN$2:$AN$193,'Draft Board'!$AN$2:$AN$193,"&gt;"&amp;AN24)-AN24)/_xlfn.MINIFS('Draft Board'!$AN$2:$AN$193,'Draft Board'!$AN$2:$AN$193,"&gt;"&amp;AN24)&gt;0.08,1,0)))</f>
        <v>0</v>
      </c>
      <c r="AQ24" s="11">
        <f>_xlfn.MINIFS('Draft Board'!$AN$2:$AN$193,'Draft Board'!$AN$2:$AN$193,"&gt;="&amp;AN24,'Draft Board'!$AP$2:$AP$193,1)</f>
        <v>236.73134050598597</v>
      </c>
      <c r="AR24" s="11">
        <f>IF(AO24&lt;&gt;_xlfn.MINIFS('Draft Board'!$AO$2:$AO$193,'Draft Board'!$AN$2:$AN$193,"="&amp;AN24),0,IF(OR(AP24=1,IFERROR(FLOOR((AQ24-AN24)/AQ24/0.25,1),0)&lt;&gt;IFERROR(FLOOR((AQ24-_xlfn.MINIFS('Draft Board'!$AN$2:$AN$193,'Draft Board'!$AN$2:$AN$193,"&gt;"&amp;AN24))/AQ24/0.25,1),0)),1,0))</f>
        <v>0</v>
      </c>
      <c r="AS24" s="11">
        <f>ROUND(1+AN24*'Live Calc'!$D$28,0)</f>
        <v>18</v>
      </c>
      <c r="AT24" s="11"/>
      <c r="AU24" s="11">
        <f>IF(AT24&lt;&gt;"",AT24,ROUND(AS24*INDEX('Live Calc'!$G$259:$G$450,MATCH(AM24,'Live Calc'!$A$259:$A$450,0))*'Live Calc'!$J$543,0))</f>
        <v>18</v>
      </c>
      <c r="AW24" s="12" t="s">
        <v>175</v>
      </c>
      <c r="AX24" s="12" t="s">
        <v>100</v>
      </c>
      <c r="AY24" s="12">
        <v>76.67</v>
      </c>
      <c r="AZ24" s="12">
        <v>106.304</v>
      </c>
      <c r="BA24" s="12">
        <v>135.93799999999999</v>
      </c>
      <c r="BB24" s="12">
        <f>CHOOSE(MATCH(Setup!$B$7,{"STD","Half-PPR","PPR"},0),AY24,AZ24,BA24)</f>
        <v>106.304</v>
      </c>
      <c r="BC24" s="12">
        <f>COUNTIFS('Draft Board'!$BD$2:$BD$87,"&gt;="&amp;BD24,'Draft Board'!$BH$2:$BH$87,1)</f>
        <v>14</v>
      </c>
      <c r="BD24" s="12">
        <f>MAX(0,BB24-'Live Calc'!$H$22)^'Live Calc'!$E$22</f>
        <v>3.054000000000002</v>
      </c>
      <c r="BE24" s="12">
        <v>24</v>
      </c>
      <c r="BF24" s="12">
        <f>IF(BE24&lt;&gt;_xlfn.MINIFS('Draft Board'!$BE$2:$BE$87,'Draft Board'!$BD$2:$BD$87,"="&amp;BD24),0,IF(_xlfn.MINIFS('Draft Board'!$BD$2:$BD$87,'Draft Board'!$BD$2:$BD$87,"&gt;"&amp;BD24)=0,1,IF((_xlfn.MINIFS('Draft Board'!$BD$2:$BD$87,'Draft Board'!$BD$2:$BD$87,"&gt;"&amp;BD24)-BD24)/_xlfn.MINIFS('Draft Board'!$BD$2:$BD$87,'Draft Board'!$BD$2:$BD$87,"&gt;"&amp;BD24)&gt;0.08,1,0)))</f>
        <v>0</v>
      </c>
      <c r="BG24" s="12">
        <f>_xlfn.MINIFS('Draft Board'!$BD$2:$BD$87,'Draft Board'!$BD$2:$BD$87,"&gt;="&amp;BD24,'Draft Board'!$BF$2:$BF$87,1)</f>
        <v>3.2459999999999951</v>
      </c>
      <c r="BH24" s="12">
        <f>IF(BE24&lt;&gt;_xlfn.MINIFS('Draft Board'!$BE$2:$BE$87,'Draft Board'!$BD$2:$BD$87,"="&amp;BD24),0,IF(OR(BF24=1,IFERROR(FLOOR((BG24-BD24)/BG24/0.25,1),0)&lt;&gt;IFERROR(FLOOR((BG24-_xlfn.MINIFS('Draft Board'!$BD$2:$BD$87,'Draft Board'!$BD$2:$BD$87,"&gt;"&amp;BD24))/BG24/0.25,1),0)),1,0))</f>
        <v>0</v>
      </c>
      <c r="BI24" s="12">
        <f>ROUND(1+BD24*'Live Calc'!$D$29,0)</f>
        <v>2</v>
      </c>
      <c r="BJ24" s="12"/>
      <c r="BK24" s="12">
        <f>IF(BJ24&lt;&gt;"",BJ24,ROUND(BI24*INDEX('Live Calc'!$G$454:$G$539,MATCH(BC24,'Live Calc'!$A$454:$A$539,0))*'Live Calc'!$J$543,0))</f>
        <v>2</v>
      </c>
    </row>
    <row r="25" spans="1:63" x14ac:dyDescent="0.25">
      <c r="A25" s="9" t="s">
        <v>176</v>
      </c>
      <c r="B25" s="9" t="s">
        <v>81</v>
      </c>
      <c r="C25" s="9">
        <v>241.31399999999999</v>
      </c>
      <c r="D25" s="9">
        <v>241.31399999999999</v>
      </c>
      <c r="E25" s="9">
        <v>241.31399999999999</v>
      </c>
      <c r="F25" s="9">
        <f>CHOOSE(MATCH(Setup!$B$7,{"STD","Half-PPR","PPR"},0),C25,D25,E25)</f>
        <v>241.31399999999999</v>
      </c>
      <c r="G25" s="9">
        <f>COUNTIFS('Draft Board'!$H$2:$H$61,"&gt;="&amp;H25,'Draft Board'!$L$2:$L$61,1)</f>
        <v>11</v>
      </c>
      <c r="H25" s="9">
        <f>MAX(0,F25-'Live Calc'!$H$19)^'Live Calc'!$E$19</f>
        <v>0</v>
      </c>
      <c r="I25" s="9">
        <v>25</v>
      </c>
      <c r="J25" s="9">
        <f>IF(I25&lt;&gt;_xlfn.MINIFS('Draft Board'!$I$2:$I$61,'Draft Board'!$H$2:$H$61,"="&amp;H25),0,IF(_xlfn.MINIFS('Draft Board'!$H$2:$H$61,'Draft Board'!$H$2:$H$61,"&gt;"&amp;H25)=0,1,IF((_xlfn.MINIFS('Draft Board'!$H$2:$H$61,'Draft Board'!$H$2:$H$61,"&gt;"&amp;H25)-H25)/_xlfn.MINIFS('Draft Board'!$H$2:$H$61,'Draft Board'!$H$2:$H$61,"&gt;"&amp;H25)&gt;0.08,1,0)))</f>
        <v>0</v>
      </c>
      <c r="K25" s="9">
        <f>_xlfn.MINIFS('Draft Board'!$H$2:$H$61,'Draft Board'!$H$2:$H$61,"&gt;="&amp;H25,'Draft Board'!$J$2:$J$61,1)</f>
        <v>0</v>
      </c>
      <c r="L25" s="9">
        <f>IF(I25&lt;&gt;_xlfn.MINIFS('Draft Board'!$I$2:$I$61,'Draft Board'!$H$2:$H$61,"="&amp;H25),0,IF(OR(J25=1,IFERROR(FLOOR((K25-H25)/K25/0.25,1),0)&lt;&gt;IFERROR(FLOOR((K25-_xlfn.MINIFS('Draft Board'!$H$2:$H$61,'Draft Board'!$H$2:$H$61,"&gt;"&amp;H25))/K25/0.25,1),0)),1,0))</f>
        <v>0</v>
      </c>
      <c r="M25" s="9">
        <f>ROUND(1+H25*'Live Calc'!$D$26,0)</f>
        <v>1</v>
      </c>
      <c r="N25" s="9"/>
      <c r="O25" s="9">
        <f>IF(N25&lt;&gt;"",N25,ROUND(M25*INDEX('Live Calc'!$G$33:$G$92,MATCH(G25,'Live Calc'!$A$33:$A$92,0))*'Live Calc'!$J$543,0))</f>
        <v>1</v>
      </c>
      <c r="Q25" s="10" t="s">
        <v>177</v>
      </c>
      <c r="R25" s="10" t="s">
        <v>71</v>
      </c>
      <c r="S25" s="10">
        <v>161.80199999999999</v>
      </c>
      <c r="T25" s="10">
        <v>181.37799999999999</v>
      </c>
      <c r="U25" s="10">
        <v>198.46199999999999</v>
      </c>
      <c r="V25" s="10">
        <f>CHOOSE(MATCH(Setup!$B$7,{"STD","Half-PPR","PPR"},0),S25,T25,U25)</f>
        <v>181.37799999999999</v>
      </c>
      <c r="W25" s="10">
        <f>COUNTIFS('Draft Board'!$X$2:$X$161,"&gt;="&amp;X25,'Draft Board'!$AB$2:$AB$161,1)</f>
        <v>5</v>
      </c>
      <c r="X25" s="10">
        <f>MAX(0,V25-'Live Calc'!$H$20)^'Live Calc'!$E$20</f>
        <v>193.7549351694488</v>
      </c>
      <c r="Y25" s="10">
        <v>25</v>
      </c>
      <c r="Z25" s="10">
        <f>IF(Y25&lt;&gt;_xlfn.MINIFS('Draft Board'!$Y$2:$Y$161,'Draft Board'!$X$2:$X$161,"="&amp;X25),0,IF(_xlfn.MINIFS('Draft Board'!$X$2:$X$161,'Draft Board'!$X$2:$X$161,"&gt;"&amp;X25)=0,1,IF((_xlfn.MINIFS('Draft Board'!$X$2:$X$161,'Draft Board'!$X$2:$X$161,"&gt;"&amp;X25)-X25)/_xlfn.MINIFS('Draft Board'!$X$2:$X$161,'Draft Board'!$X$2:$X$161,"&gt;"&amp;X25)&gt;0.08,1,0)))</f>
        <v>0</v>
      </c>
      <c r="AA25" s="10">
        <f>_xlfn.MINIFS('Draft Board'!$X$2:$X$161,'Draft Board'!$X$2:$X$161,"&gt;="&amp;X25,'Draft Board'!$Z$2:$Z$161,1)</f>
        <v>220.38814394140817</v>
      </c>
      <c r="AB25" s="10">
        <f>IF(Y25&lt;&gt;_xlfn.MINIFS('Draft Board'!$Y$2:$Y$161,'Draft Board'!$X$2:$X$161,"="&amp;X25),0,IF(OR(Z25=1,IFERROR(FLOOR((AA25-X25)/AA25/0.25,1),0)&lt;&gt;IFERROR(FLOOR((AA25-_xlfn.MINIFS('Draft Board'!$X$2:$X$161,'Draft Board'!$X$2:$X$161,"&gt;"&amp;X25))/AA25/0.25,1),0)),1,0))</f>
        <v>0</v>
      </c>
      <c r="AC25" s="10">
        <f>ROUND(1+X25*'Live Calc'!$D$27,0)</f>
        <v>19</v>
      </c>
      <c r="AD25" s="10"/>
      <c r="AE25" s="10">
        <f>IF(AD25&lt;&gt;"",AD25,ROUND(AC25*INDEX('Live Calc'!$G$96:$G$255,MATCH(W25,'Live Calc'!$A$96:$A$255,0))*'Live Calc'!$J$543,0))</f>
        <v>19</v>
      </c>
      <c r="AG25" s="11" t="s">
        <v>178</v>
      </c>
      <c r="AH25" s="11" t="s">
        <v>57</v>
      </c>
      <c r="AI25" s="11">
        <v>142.99799999999999</v>
      </c>
      <c r="AJ25" s="11">
        <v>171.89599999999999</v>
      </c>
      <c r="AK25" s="11">
        <v>201.94200000000001</v>
      </c>
      <c r="AL25" s="11">
        <f>CHOOSE(MATCH(Setup!$B$7,{"STD","Half-PPR","PPR"},0),AI25,AJ25,AK25)</f>
        <v>171.89599999999999</v>
      </c>
      <c r="AM25" s="11">
        <f>COUNTIFS('Draft Board'!$AN$2:$AN$193,"&gt;="&amp;AN25,'Draft Board'!$AR$2:$AR$193,1)</f>
        <v>5</v>
      </c>
      <c r="AN25" s="11">
        <f>MAX(0,AL25-'Live Calc'!$H$21)^'Live Calc'!$E$21</f>
        <v>204.85016081250373</v>
      </c>
      <c r="AO25" s="11">
        <v>25</v>
      </c>
      <c r="AP25" s="11">
        <f>IF(AO25&lt;&gt;_xlfn.MINIFS('Draft Board'!$AO$2:$AO$193,'Draft Board'!$AN$2:$AN$193,"="&amp;AN25),0,IF(_xlfn.MINIFS('Draft Board'!$AN$2:$AN$193,'Draft Board'!$AN$2:$AN$193,"&gt;"&amp;AN25)=0,1,IF((_xlfn.MINIFS('Draft Board'!$AN$2:$AN$193,'Draft Board'!$AN$2:$AN$193,"&gt;"&amp;AN25)-AN25)/_xlfn.MINIFS('Draft Board'!$AN$2:$AN$193,'Draft Board'!$AN$2:$AN$193,"&gt;"&amp;AN25)&gt;0.08,1,0)))</f>
        <v>0</v>
      </c>
      <c r="AQ25" s="11">
        <f>_xlfn.MINIFS('Draft Board'!$AN$2:$AN$193,'Draft Board'!$AN$2:$AN$193,"&gt;="&amp;AN25,'Draft Board'!$AP$2:$AP$193,1)</f>
        <v>236.73134050598597</v>
      </c>
      <c r="AR25" s="11">
        <f>IF(AO25&lt;&gt;_xlfn.MINIFS('Draft Board'!$AO$2:$AO$193,'Draft Board'!$AN$2:$AN$193,"="&amp;AN25),0,IF(OR(AP25=1,IFERROR(FLOOR((AQ25-AN25)/AQ25/0.25,1),0)&lt;&gt;IFERROR(FLOOR((AQ25-_xlfn.MINIFS('Draft Board'!$AN$2:$AN$193,'Draft Board'!$AN$2:$AN$193,"&gt;"&amp;AN25))/AQ25/0.25,1),0)),1,0))</f>
        <v>0</v>
      </c>
      <c r="AS25" s="11">
        <f>ROUND(1+AN25*'Live Calc'!$D$28,0)</f>
        <v>18</v>
      </c>
      <c r="AT25" s="11"/>
      <c r="AU25" s="11">
        <f>IF(AT25&lt;&gt;"",AT25,ROUND(AS25*INDEX('Live Calc'!$G$259:$G$450,MATCH(AM25,'Live Calc'!$A$259:$A$450,0))*'Live Calc'!$J$543,0))</f>
        <v>18</v>
      </c>
      <c r="AW25" s="12" t="s">
        <v>179</v>
      </c>
      <c r="AX25" s="12" t="s">
        <v>75</v>
      </c>
      <c r="AY25" s="12">
        <v>78.195999999999998</v>
      </c>
      <c r="AZ25" s="12">
        <v>103.25</v>
      </c>
      <c r="BA25" s="12">
        <v>126.586</v>
      </c>
      <c r="BB25" s="12">
        <f>CHOOSE(MATCH(Setup!$B$7,{"STD","Half-PPR","PPR"},0),AY25,AZ25,BA25)</f>
        <v>103.25</v>
      </c>
      <c r="BC25" s="12">
        <f>COUNTIFS('Draft Board'!$BD$2:$BD$87,"&gt;="&amp;BD25,'Draft Board'!$BH$2:$BH$87,1)</f>
        <v>15</v>
      </c>
      <c r="BD25" s="12">
        <f>MAX(0,BB25-'Live Calc'!$H$22)^'Live Calc'!$E$22</f>
        <v>0</v>
      </c>
      <c r="BE25" s="12">
        <v>25</v>
      </c>
      <c r="BF25" s="12">
        <f>IF(BE25&lt;&gt;_xlfn.MINIFS('Draft Board'!$BE$2:$BE$87,'Draft Board'!$BD$2:$BD$87,"="&amp;BD25),0,IF(_xlfn.MINIFS('Draft Board'!$BD$2:$BD$87,'Draft Board'!$BD$2:$BD$87,"&gt;"&amp;BD25)=0,1,IF((_xlfn.MINIFS('Draft Board'!$BD$2:$BD$87,'Draft Board'!$BD$2:$BD$87,"&gt;"&amp;BD25)-BD25)/_xlfn.MINIFS('Draft Board'!$BD$2:$BD$87,'Draft Board'!$BD$2:$BD$87,"&gt;"&amp;BD25)&gt;0.08,1,0)))</f>
        <v>1</v>
      </c>
      <c r="BG25" s="12">
        <f>_xlfn.MINIFS('Draft Board'!$BD$2:$BD$87,'Draft Board'!$BD$2:$BD$87,"&gt;="&amp;BD25,'Draft Board'!$BF$2:$BF$87,1)</f>
        <v>0</v>
      </c>
      <c r="BH25" s="12">
        <f>IF(BE25&lt;&gt;_xlfn.MINIFS('Draft Board'!$BE$2:$BE$87,'Draft Board'!$BD$2:$BD$87,"="&amp;BD25),0,IF(OR(BF25=1,IFERROR(FLOOR((BG25-BD25)/BG25/0.25,1),0)&lt;&gt;IFERROR(FLOOR((BG25-_xlfn.MINIFS('Draft Board'!$BD$2:$BD$87,'Draft Board'!$BD$2:$BD$87,"&gt;"&amp;BD25))/BG25/0.25,1),0)),1,0))</f>
        <v>1</v>
      </c>
      <c r="BI25" s="12">
        <f>ROUND(1+BD25*'Live Calc'!$D$29,0)</f>
        <v>1</v>
      </c>
      <c r="BJ25" s="12"/>
      <c r="BK25" s="12">
        <f>IF(BJ25&lt;&gt;"",BJ25,ROUND(BI25*INDEX('Live Calc'!$G$454:$G$539,MATCH(BC25,'Live Calc'!$A$454:$A$539,0))*'Live Calc'!$J$543,0))</f>
        <v>1</v>
      </c>
    </row>
    <row r="26" spans="1:63" x14ac:dyDescent="0.25">
      <c r="A26" s="9" t="s">
        <v>180</v>
      </c>
      <c r="B26" s="9" t="s">
        <v>181</v>
      </c>
      <c r="C26" s="9">
        <v>234.79400000000001</v>
      </c>
      <c r="D26" s="9">
        <v>234.79400000000001</v>
      </c>
      <c r="E26" s="9">
        <v>234.79400000000001</v>
      </c>
      <c r="F26" s="9">
        <f>CHOOSE(MATCH(Setup!$B$7,{"STD","Half-PPR","PPR"},0),C26,D26,E26)</f>
        <v>234.79400000000001</v>
      </c>
      <c r="G26" s="9">
        <f>COUNTIFS('Draft Board'!$H$2:$H$61,"&gt;="&amp;H26,'Draft Board'!$L$2:$L$61,1)</f>
        <v>11</v>
      </c>
      <c r="H26" s="9">
        <f>MAX(0,F26-'Live Calc'!$H$19)^'Live Calc'!$E$19</f>
        <v>0</v>
      </c>
      <c r="I26" s="9">
        <v>26</v>
      </c>
      <c r="J26" s="9">
        <f>IF(I26&lt;&gt;_xlfn.MINIFS('Draft Board'!$I$2:$I$61,'Draft Board'!$H$2:$H$61,"="&amp;H26),0,IF(_xlfn.MINIFS('Draft Board'!$H$2:$H$61,'Draft Board'!$H$2:$H$61,"&gt;"&amp;H26)=0,1,IF((_xlfn.MINIFS('Draft Board'!$H$2:$H$61,'Draft Board'!$H$2:$H$61,"&gt;"&amp;H26)-H26)/_xlfn.MINIFS('Draft Board'!$H$2:$H$61,'Draft Board'!$H$2:$H$61,"&gt;"&amp;H26)&gt;0.08,1,0)))</f>
        <v>0</v>
      </c>
      <c r="K26" s="9">
        <f>_xlfn.MINIFS('Draft Board'!$H$2:$H$61,'Draft Board'!$H$2:$H$61,"&gt;="&amp;H26,'Draft Board'!$J$2:$J$61,1)</f>
        <v>0</v>
      </c>
      <c r="L26" s="9">
        <f>IF(I26&lt;&gt;_xlfn.MINIFS('Draft Board'!$I$2:$I$61,'Draft Board'!$H$2:$H$61,"="&amp;H26),0,IF(OR(J26=1,IFERROR(FLOOR((K26-H26)/K26/0.25,1),0)&lt;&gt;IFERROR(FLOOR((K26-_xlfn.MINIFS('Draft Board'!$H$2:$H$61,'Draft Board'!$H$2:$H$61,"&gt;"&amp;H26))/K26/0.25,1),0)),1,0))</f>
        <v>0</v>
      </c>
      <c r="M26" s="9">
        <f>ROUND(1+H26*'Live Calc'!$D$26,0)</f>
        <v>1</v>
      </c>
      <c r="N26" s="9"/>
      <c r="O26" s="9">
        <f>IF(N26&lt;&gt;"",N26,ROUND(M26*INDEX('Live Calc'!$G$33:$G$92,MATCH(G26,'Live Calc'!$A$33:$A$92,0))*'Live Calc'!$J$543,0))</f>
        <v>1</v>
      </c>
      <c r="Q26" s="10" t="s">
        <v>182</v>
      </c>
      <c r="R26" s="10" t="s">
        <v>107</v>
      </c>
      <c r="S26" s="10">
        <v>163.95</v>
      </c>
      <c r="T26" s="10">
        <v>178.79</v>
      </c>
      <c r="U26" s="10">
        <v>193.64</v>
      </c>
      <c r="V26" s="10">
        <f>CHOOSE(MATCH(Setup!$B$7,{"STD","Half-PPR","PPR"},0),S26,T26,U26)</f>
        <v>178.79</v>
      </c>
      <c r="W26" s="10">
        <f>COUNTIFS('Draft Board'!$X$2:$X$161,"&gt;="&amp;X26,'Draft Board'!$AB$2:$AB$161,1)</f>
        <v>5</v>
      </c>
      <c r="X26" s="10">
        <f>MAX(0,V26-'Live Calc'!$H$20)^'Live Calc'!$E$20</f>
        <v>186.30856749066993</v>
      </c>
      <c r="Y26" s="10">
        <v>26</v>
      </c>
      <c r="Z26" s="10">
        <f>IF(Y26&lt;&gt;_xlfn.MINIFS('Draft Board'!$Y$2:$Y$161,'Draft Board'!$X$2:$X$161,"="&amp;X26),0,IF(_xlfn.MINIFS('Draft Board'!$X$2:$X$161,'Draft Board'!$X$2:$X$161,"&gt;"&amp;X26)=0,1,IF((_xlfn.MINIFS('Draft Board'!$X$2:$X$161,'Draft Board'!$X$2:$X$161,"&gt;"&amp;X26)-X26)/_xlfn.MINIFS('Draft Board'!$X$2:$X$161,'Draft Board'!$X$2:$X$161,"&gt;"&amp;X26)&gt;0.08,1,0)))</f>
        <v>0</v>
      </c>
      <c r="AA26" s="10">
        <f>_xlfn.MINIFS('Draft Board'!$X$2:$X$161,'Draft Board'!$X$2:$X$161,"&gt;="&amp;X26,'Draft Board'!$Z$2:$Z$161,1)</f>
        <v>220.38814394140817</v>
      </c>
      <c r="AB26" s="10">
        <f>IF(Y26&lt;&gt;_xlfn.MINIFS('Draft Board'!$Y$2:$Y$161,'Draft Board'!$X$2:$X$161,"="&amp;X26),0,IF(OR(Z26=1,IFERROR(FLOOR((AA26-X26)/AA26/0.25,1),0)&lt;&gt;IFERROR(FLOOR((AA26-_xlfn.MINIFS('Draft Board'!$X$2:$X$161,'Draft Board'!$X$2:$X$161,"&gt;"&amp;X26))/AA26/0.25,1),0)),1,0))</f>
        <v>0</v>
      </c>
      <c r="AC26" s="10">
        <f>ROUND(1+X26*'Live Calc'!$D$27,0)</f>
        <v>18</v>
      </c>
      <c r="AD26" s="10"/>
      <c r="AE26" s="10">
        <f>IF(AD26&lt;&gt;"",AD26,ROUND(AC26*INDEX('Live Calc'!$G$96:$G$255,MATCH(W26,'Live Calc'!$A$96:$A$255,0))*'Live Calc'!$J$543,0))</f>
        <v>18</v>
      </c>
      <c r="AG26" s="11" t="s">
        <v>183</v>
      </c>
      <c r="AH26" s="11" t="s">
        <v>77</v>
      </c>
      <c r="AI26" s="11">
        <v>132.52000000000001</v>
      </c>
      <c r="AJ26" s="11">
        <v>170.09200000000001</v>
      </c>
      <c r="AK26" s="11">
        <v>205.80199999999999</v>
      </c>
      <c r="AL26" s="11">
        <f>CHOOSE(MATCH(Setup!$B$7,{"STD","Half-PPR","PPR"},0),AI26,AJ26,AK26)</f>
        <v>170.09200000000001</v>
      </c>
      <c r="AM26" s="11">
        <f>COUNTIFS('Draft Board'!$AN$2:$AN$193,"&gt;="&amp;AN26,'Draft Board'!$AR$2:$AR$193,1)</f>
        <v>5</v>
      </c>
      <c r="AN26" s="11">
        <f>MAX(0,AL26-'Live Calc'!$H$21)^'Live Calc'!$E$21</f>
        <v>198.33332835200417</v>
      </c>
      <c r="AO26" s="11">
        <v>26</v>
      </c>
      <c r="AP26" s="11">
        <f>IF(AO26&lt;&gt;_xlfn.MINIFS('Draft Board'!$AO$2:$AO$193,'Draft Board'!$AN$2:$AN$193,"="&amp;AN26),0,IF(_xlfn.MINIFS('Draft Board'!$AN$2:$AN$193,'Draft Board'!$AN$2:$AN$193,"&gt;"&amp;AN26)=0,1,IF((_xlfn.MINIFS('Draft Board'!$AN$2:$AN$193,'Draft Board'!$AN$2:$AN$193,"&gt;"&amp;AN26)-AN26)/_xlfn.MINIFS('Draft Board'!$AN$2:$AN$193,'Draft Board'!$AN$2:$AN$193,"&gt;"&amp;AN26)&gt;0.08,1,0)))</f>
        <v>0</v>
      </c>
      <c r="AQ26" s="11">
        <f>_xlfn.MINIFS('Draft Board'!$AN$2:$AN$193,'Draft Board'!$AN$2:$AN$193,"&gt;="&amp;AN26,'Draft Board'!$AP$2:$AP$193,1)</f>
        <v>236.73134050598597</v>
      </c>
      <c r="AR26" s="11">
        <f>IF(AO26&lt;&gt;_xlfn.MINIFS('Draft Board'!$AO$2:$AO$193,'Draft Board'!$AN$2:$AN$193,"="&amp;AN26),0,IF(OR(AP26=1,IFERROR(FLOOR((AQ26-AN26)/AQ26/0.25,1),0)&lt;&gt;IFERROR(FLOOR((AQ26-_xlfn.MINIFS('Draft Board'!$AN$2:$AN$193,'Draft Board'!$AN$2:$AN$193,"&gt;"&amp;AN26))/AQ26/0.25,1),0)),1,0))</f>
        <v>0</v>
      </c>
      <c r="AS26" s="11">
        <f>ROUND(1+AN26*'Live Calc'!$D$28,0)</f>
        <v>17</v>
      </c>
      <c r="AT26" s="11"/>
      <c r="AU26" s="11">
        <f>IF(AT26&lt;&gt;"",AT26,ROUND(AS26*INDEX('Live Calc'!$G$259:$G$450,MATCH(AM26,'Live Calc'!$A$259:$A$450,0))*'Live Calc'!$J$543,0))</f>
        <v>17</v>
      </c>
      <c r="AW26" s="12" t="s">
        <v>184</v>
      </c>
      <c r="AX26" s="12" t="s">
        <v>185</v>
      </c>
      <c r="AY26" s="12">
        <v>73.981999999999999</v>
      </c>
      <c r="AZ26" s="12">
        <v>100.04600000000001</v>
      </c>
      <c r="BA26" s="12">
        <v>124.91800000000001</v>
      </c>
      <c r="BB26" s="12">
        <f>CHOOSE(MATCH(Setup!$B$7,{"STD","Half-PPR","PPR"},0),AY26,AZ26,BA26)</f>
        <v>100.04600000000001</v>
      </c>
      <c r="BC26" s="12">
        <f>COUNTIFS('Draft Board'!$BD$2:$BD$87,"&gt;="&amp;BD26,'Draft Board'!$BH$2:$BH$87,1)</f>
        <v>15</v>
      </c>
      <c r="BD26" s="12">
        <f>MAX(0,BB26-'Live Calc'!$H$22)^'Live Calc'!$E$22</f>
        <v>0</v>
      </c>
      <c r="BE26" s="12">
        <v>26</v>
      </c>
      <c r="BF26" s="12">
        <f>IF(BE26&lt;&gt;_xlfn.MINIFS('Draft Board'!$BE$2:$BE$87,'Draft Board'!$BD$2:$BD$87,"="&amp;BD26),0,IF(_xlfn.MINIFS('Draft Board'!$BD$2:$BD$87,'Draft Board'!$BD$2:$BD$87,"&gt;"&amp;BD26)=0,1,IF((_xlfn.MINIFS('Draft Board'!$BD$2:$BD$87,'Draft Board'!$BD$2:$BD$87,"&gt;"&amp;BD26)-BD26)/_xlfn.MINIFS('Draft Board'!$BD$2:$BD$87,'Draft Board'!$BD$2:$BD$87,"&gt;"&amp;BD26)&gt;0.08,1,0)))</f>
        <v>0</v>
      </c>
      <c r="BG26" s="12">
        <f>_xlfn.MINIFS('Draft Board'!$BD$2:$BD$87,'Draft Board'!$BD$2:$BD$87,"&gt;="&amp;BD26,'Draft Board'!$BF$2:$BF$87,1)</f>
        <v>0</v>
      </c>
      <c r="BH26" s="12">
        <f>IF(BE26&lt;&gt;_xlfn.MINIFS('Draft Board'!$BE$2:$BE$87,'Draft Board'!$BD$2:$BD$87,"="&amp;BD26),0,IF(OR(BF26=1,IFERROR(FLOOR((BG26-BD26)/BG26/0.25,1),0)&lt;&gt;IFERROR(FLOOR((BG26-_xlfn.MINIFS('Draft Board'!$BD$2:$BD$87,'Draft Board'!$BD$2:$BD$87,"&gt;"&amp;BD26))/BG26/0.25,1),0)),1,0))</f>
        <v>0</v>
      </c>
      <c r="BI26" s="12">
        <f>ROUND(1+BD26*'Live Calc'!$D$29,0)</f>
        <v>1</v>
      </c>
      <c r="BJ26" s="12"/>
      <c r="BK26" s="12">
        <f>IF(BJ26&lt;&gt;"",BJ26,ROUND(BI26*INDEX('Live Calc'!$G$454:$G$539,MATCH(BC26,'Live Calc'!$A$454:$A$539,0))*'Live Calc'!$J$543,0))</f>
        <v>1</v>
      </c>
    </row>
    <row r="27" spans="1:63" x14ac:dyDescent="0.25">
      <c r="A27" s="9" t="s">
        <v>186</v>
      </c>
      <c r="B27" s="9" t="s">
        <v>149</v>
      </c>
      <c r="C27" s="9">
        <v>233.68199999999999</v>
      </c>
      <c r="D27" s="9">
        <v>233.68199999999999</v>
      </c>
      <c r="E27" s="9">
        <v>233.68199999999999</v>
      </c>
      <c r="F27" s="9">
        <f>CHOOSE(MATCH(Setup!$B$7,{"STD","Half-PPR","PPR"},0),C27,D27,E27)</f>
        <v>233.68199999999999</v>
      </c>
      <c r="G27" s="9">
        <f>COUNTIFS('Draft Board'!$H$2:$H$61,"&gt;="&amp;H27,'Draft Board'!$L$2:$L$61,1)</f>
        <v>11</v>
      </c>
      <c r="H27" s="9">
        <f>MAX(0,F27-'Live Calc'!$H$19)^'Live Calc'!$E$19</f>
        <v>0</v>
      </c>
      <c r="I27" s="9">
        <v>27</v>
      </c>
      <c r="J27" s="9">
        <f>IF(I27&lt;&gt;_xlfn.MINIFS('Draft Board'!$I$2:$I$61,'Draft Board'!$H$2:$H$61,"="&amp;H27),0,IF(_xlfn.MINIFS('Draft Board'!$H$2:$H$61,'Draft Board'!$H$2:$H$61,"&gt;"&amp;H27)=0,1,IF((_xlfn.MINIFS('Draft Board'!$H$2:$H$61,'Draft Board'!$H$2:$H$61,"&gt;"&amp;H27)-H27)/_xlfn.MINIFS('Draft Board'!$H$2:$H$61,'Draft Board'!$H$2:$H$61,"&gt;"&amp;H27)&gt;0.08,1,0)))</f>
        <v>0</v>
      </c>
      <c r="K27" s="9">
        <f>_xlfn.MINIFS('Draft Board'!$H$2:$H$61,'Draft Board'!$H$2:$H$61,"&gt;="&amp;H27,'Draft Board'!$J$2:$J$61,1)</f>
        <v>0</v>
      </c>
      <c r="L27" s="9">
        <f>IF(I27&lt;&gt;_xlfn.MINIFS('Draft Board'!$I$2:$I$61,'Draft Board'!$H$2:$H$61,"="&amp;H27),0,IF(OR(J27=1,IFERROR(FLOOR((K27-H27)/K27/0.25,1),0)&lt;&gt;IFERROR(FLOOR((K27-_xlfn.MINIFS('Draft Board'!$H$2:$H$61,'Draft Board'!$H$2:$H$61,"&gt;"&amp;H27))/K27/0.25,1),0)),1,0))</f>
        <v>0</v>
      </c>
      <c r="M27" s="9">
        <f>ROUND(1+H27*'Live Calc'!$D$26,0)</f>
        <v>1</v>
      </c>
      <c r="N27" s="9"/>
      <c r="O27" s="9">
        <f>IF(N27&lt;&gt;"",N27,ROUND(M27*INDEX('Live Calc'!$G$33:$G$92,MATCH(G27,'Live Calc'!$A$33:$A$92,0))*'Live Calc'!$J$543,0))</f>
        <v>1</v>
      </c>
      <c r="Q27" s="10" t="s">
        <v>187</v>
      </c>
      <c r="R27" s="10" t="s">
        <v>185</v>
      </c>
      <c r="S27" s="10">
        <v>149.41</v>
      </c>
      <c r="T27" s="10">
        <v>170.602</v>
      </c>
      <c r="U27" s="10">
        <v>193.52</v>
      </c>
      <c r="V27" s="10">
        <f>CHOOSE(MATCH(Setup!$B$7,{"STD","Half-PPR","PPR"},0),S27,T27,U27)</f>
        <v>170.602</v>
      </c>
      <c r="W27" s="10">
        <f>COUNTIFS('Draft Board'!$X$2:$X$161,"&gt;="&amp;X27,'Draft Board'!$AB$2:$AB$161,1)</f>
        <v>6</v>
      </c>
      <c r="X27" s="10">
        <f>MAX(0,V27-'Live Calc'!$H$20)^'Live Calc'!$E$20</f>
        <v>163.08066269165599</v>
      </c>
      <c r="Y27" s="10">
        <v>27</v>
      </c>
      <c r="Z27" s="10">
        <f>IF(Y27&lt;&gt;_xlfn.MINIFS('Draft Board'!$Y$2:$Y$161,'Draft Board'!$X$2:$X$161,"="&amp;X27),0,IF(_xlfn.MINIFS('Draft Board'!$X$2:$X$161,'Draft Board'!$X$2:$X$161,"&gt;"&amp;X27)=0,1,IF((_xlfn.MINIFS('Draft Board'!$X$2:$X$161,'Draft Board'!$X$2:$X$161,"&gt;"&amp;X27)-X27)/_xlfn.MINIFS('Draft Board'!$X$2:$X$161,'Draft Board'!$X$2:$X$161,"&gt;"&amp;X27)&gt;0.08,1,0)))</f>
        <v>1</v>
      </c>
      <c r="AA27" s="10">
        <f>_xlfn.MINIFS('Draft Board'!$X$2:$X$161,'Draft Board'!$X$2:$X$161,"&gt;="&amp;X27,'Draft Board'!$Z$2:$Z$161,1)</f>
        <v>163.08066269165599</v>
      </c>
      <c r="AB27" s="10">
        <f>IF(Y27&lt;&gt;_xlfn.MINIFS('Draft Board'!$Y$2:$Y$161,'Draft Board'!$X$2:$X$161,"="&amp;X27),0,IF(OR(Z27=1,IFERROR(FLOOR((AA27-X27)/AA27/0.25,1),0)&lt;&gt;IFERROR(FLOOR((AA27-_xlfn.MINIFS('Draft Board'!$X$2:$X$161,'Draft Board'!$X$2:$X$161,"&gt;"&amp;X27))/AA27/0.25,1),0)),1,0))</f>
        <v>1</v>
      </c>
      <c r="AC27" s="10">
        <f>ROUND(1+X27*'Live Calc'!$D$27,0)</f>
        <v>16</v>
      </c>
      <c r="AD27" s="10"/>
      <c r="AE27" s="10">
        <f>IF(AD27&lt;&gt;"",AD27,ROUND(AC27*INDEX('Live Calc'!$G$96:$G$255,MATCH(W27,'Live Calc'!$A$96:$A$255,0))*'Live Calc'!$J$543,0))</f>
        <v>16</v>
      </c>
      <c r="AG27" s="11" t="s">
        <v>188</v>
      </c>
      <c r="AH27" s="11" t="s">
        <v>96</v>
      </c>
      <c r="AI27" s="11">
        <v>137.452</v>
      </c>
      <c r="AJ27" s="11">
        <v>166.44200000000001</v>
      </c>
      <c r="AK27" s="11">
        <v>195.096</v>
      </c>
      <c r="AL27" s="11">
        <f>CHOOSE(MATCH(Setup!$B$7,{"STD","Half-PPR","PPR"},0),AI27,AJ27,AK27)</f>
        <v>166.44200000000001</v>
      </c>
      <c r="AM27" s="11">
        <f>COUNTIFS('Draft Board'!$AN$2:$AN$193,"&gt;="&amp;AN27,'Draft Board'!$AR$2:$AR$193,1)</f>
        <v>5</v>
      </c>
      <c r="AN27" s="11">
        <f>MAX(0,AL27-'Live Calc'!$H$21)^'Live Calc'!$E$21</f>
        <v>185.2789781375447</v>
      </c>
      <c r="AO27" s="11">
        <v>27</v>
      </c>
      <c r="AP27" s="11">
        <f>IF(AO27&lt;&gt;_xlfn.MINIFS('Draft Board'!$AO$2:$AO$193,'Draft Board'!$AN$2:$AN$193,"="&amp;AN27),0,IF(_xlfn.MINIFS('Draft Board'!$AN$2:$AN$193,'Draft Board'!$AN$2:$AN$193,"&gt;"&amp;AN27)=0,1,IF((_xlfn.MINIFS('Draft Board'!$AN$2:$AN$193,'Draft Board'!$AN$2:$AN$193,"&gt;"&amp;AN27)-AN27)/_xlfn.MINIFS('Draft Board'!$AN$2:$AN$193,'Draft Board'!$AN$2:$AN$193,"&gt;"&amp;AN27)&gt;0.08,1,0)))</f>
        <v>0</v>
      </c>
      <c r="AQ27" s="11">
        <f>_xlfn.MINIFS('Draft Board'!$AN$2:$AN$193,'Draft Board'!$AN$2:$AN$193,"&gt;="&amp;AN27,'Draft Board'!$AP$2:$AP$193,1)</f>
        <v>236.73134050598597</v>
      </c>
      <c r="AR27" s="11">
        <f>IF(AO27&lt;&gt;_xlfn.MINIFS('Draft Board'!$AO$2:$AO$193,'Draft Board'!$AN$2:$AN$193,"="&amp;AN27),0,IF(OR(AP27=1,IFERROR(FLOOR((AQ27-AN27)/AQ27/0.25,1),0)&lt;&gt;IFERROR(FLOOR((AQ27-_xlfn.MINIFS('Draft Board'!$AN$2:$AN$193,'Draft Board'!$AN$2:$AN$193,"&gt;"&amp;AN27))/AQ27/0.25,1),0)),1,0))</f>
        <v>0</v>
      </c>
      <c r="AS27" s="11">
        <f>ROUND(1+AN27*'Live Calc'!$D$28,0)</f>
        <v>16</v>
      </c>
      <c r="AT27" s="11"/>
      <c r="AU27" s="11">
        <f>IF(AT27&lt;&gt;"",AT27,ROUND(AS27*INDEX('Live Calc'!$G$259:$G$450,MATCH(AM27,'Live Calc'!$A$259:$A$450,0))*'Live Calc'!$J$543,0))</f>
        <v>16</v>
      </c>
      <c r="AW27" s="12" t="s">
        <v>189</v>
      </c>
      <c r="AX27" s="12" t="s">
        <v>93</v>
      </c>
      <c r="AY27" s="12">
        <v>70.668000000000006</v>
      </c>
      <c r="AZ27" s="12">
        <v>98.537999999999997</v>
      </c>
      <c r="BA27" s="12">
        <v>124.378</v>
      </c>
      <c r="BB27" s="12">
        <f>CHOOSE(MATCH(Setup!$B$7,{"STD","Half-PPR","PPR"},0),AY27,AZ27,BA27)</f>
        <v>98.537999999999997</v>
      </c>
      <c r="BC27" s="12">
        <f>COUNTIFS('Draft Board'!$BD$2:$BD$87,"&gt;="&amp;BD27,'Draft Board'!$BH$2:$BH$87,1)</f>
        <v>15</v>
      </c>
      <c r="BD27" s="12">
        <f>MAX(0,BB27-'Live Calc'!$H$22)^'Live Calc'!$E$22</f>
        <v>0</v>
      </c>
      <c r="BE27" s="12">
        <v>27</v>
      </c>
      <c r="BF27" s="12">
        <f>IF(BE27&lt;&gt;_xlfn.MINIFS('Draft Board'!$BE$2:$BE$87,'Draft Board'!$BD$2:$BD$87,"="&amp;BD27),0,IF(_xlfn.MINIFS('Draft Board'!$BD$2:$BD$87,'Draft Board'!$BD$2:$BD$87,"&gt;"&amp;BD27)=0,1,IF((_xlfn.MINIFS('Draft Board'!$BD$2:$BD$87,'Draft Board'!$BD$2:$BD$87,"&gt;"&amp;BD27)-BD27)/_xlfn.MINIFS('Draft Board'!$BD$2:$BD$87,'Draft Board'!$BD$2:$BD$87,"&gt;"&amp;BD27)&gt;0.08,1,0)))</f>
        <v>0</v>
      </c>
      <c r="BG27" s="12">
        <f>_xlfn.MINIFS('Draft Board'!$BD$2:$BD$87,'Draft Board'!$BD$2:$BD$87,"&gt;="&amp;BD27,'Draft Board'!$BF$2:$BF$87,1)</f>
        <v>0</v>
      </c>
      <c r="BH27" s="12">
        <f>IF(BE27&lt;&gt;_xlfn.MINIFS('Draft Board'!$BE$2:$BE$87,'Draft Board'!$BD$2:$BD$87,"="&amp;BD27),0,IF(OR(BF27=1,IFERROR(FLOOR((BG27-BD27)/BG27/0.25,1),0)&lt;&gt;IFERROR(FLOOR((BG27-_xlfn.MINIFS('Draft Board'!$BD$2:$BD$87,'Draft Board'!$BD$2:$BD$87,"&gt;"&amp;BD27))/BG27/0.25,1),0)),1,0))</f>
        <v>0</v>
      </c>
      <c r="BI27" s="12">
        <f>ROUND(1+BD27*'Live Calc'!$D$29,0)</f>
        <v>1</v>
      </c>
      <c r="BJ27" s="12"/>
      <c r="BK27" s="12">
        <f>IF(BJ27&lt;&gt;"",BJ27,ROUND(BI27*INDEX('Live Calc'!$G$454:$G$539,MATCH(BC27,'Live Calc'!$A$454:$A$539,0))*'Live Calc'!$J$543,0))</f>
        <v>1</v>
      </c>
    </row>
    <row r="28" spans="1:63" x14ac:dyDescent="0.25">
      <c r="A28" s="9" t="s">
        <v>190</v>
      </c>
      <c r="B28" s="9" t="s">
        <v>185</v>
      </c>
      <c r="C28" s="9">
        <v>221.4</v>
      </c>
      <c r="D28" s="9">
        <v>221.4</v>
      </c>
      <c r="E28" s="9">
        <v>221.4</v>
      </c>
      <c r="F28" s="9">
        <f>CHOOSE(MATCH(Setup!$B$7,{"STD","Half-PPR","PPR"},0),C28,D28,E28)</f>
        <v>221.4</v>
      </c>
      <c r="G28" s="9">
        <f>COUNTIFS('Draft Board'!$H$2:$H$61,"&gt;="&amp;H28,'Draft Board'!$L$2:$L$61,1)</f>
        <v>11</v>
      </c>
      <c r="H28" s="9">
        <f>MAX(0,F28-'Live Calc'!$H$19)^'Live Calc'!$E$19</f>
        <v>0</v>
      </c>
      <c r="I28" s="9">
        <v>28</v>
      </c>
      <c r="J28" s="9">
        <f>IF(I28&lt;&gt;_xlfn.MINIFS('Draft Board'!$I$2:$I$61,'Draft Board'!$H$2:$H$61,"="&amp;H28),0,IF(_xlfn.MINIFS('Draft Board'!$H$2:$H$61,'Draft Board'!$H$2:$H$61,"&gt;"&amp;H28)=0,1,IF((_xlfn.MINIFS('Draft Board'!$H$2:$H$61,'Draft Board'!$H$2:$H$61,"&gt;"&amp;H28)-H28)/_xlfn.MINIFS('Draft Board'!$H$2:$H$61,'Draft Board'!$H$2:$H$61,"&gt;"&amp;H28)&gt;0.08,1,0)))</f>
        <v>0</v>
      </c>
      <c r="K28" s="9">
        <f>_xlfn.MINIFS('Draft Board'!$H$2:$H$61,'Draft Board'!$H$2:$H$61,"&gt;="&amp;H28,'Draft Board'!$J$2:$J$61,1)</f>
        <v>0</v>
      </c>
      <c r="L28" s="9">
        <f>IF(I28&lt;&gt;_xlfn.MINIFS('Draft Board'!$I$2:$I$61,'Draft Board'!$H$2:$H$61,"="&amp;H28),0,IF(OR(J28=1,IFERROR(FLOOR((K28-H28)/K28/0.25,1),0)&lt;&gt;IFERROR(FLOOR((K28-_xlfn.MINIFS('Draft Board'!$H$2:$H$61,'Draft Board'!$H$2:$H$61,"&gt;"&amp;H28))/K28/0.25,1),0)),1,0))</f>
        <v>0</v>
      </c>
      <c r="M28" s="9">
        <f>ROUND(1+H28*'Live Calc'!$D$26,0)</f>
        <v>1</v>
      </c>
      <c r="N28" s="9"/>
      <c r="O28" s="9">
        <f>IF(N28&lt;&gt;"",N28,ROUND(M28*INDEX('Live Calc'!$G$33:$G$92,MATCH(G28,'Live Calc'!$A$33:$A$92,0))*'Live Calc'!$J$543,0))</f>
        <v>1</v>
      </c>
      <c r="Q28" s="10" t="s">
        <v>191</v>
      </c>
      <c r="R28" s="10" t="s">
        <v>71</v>
      </c>
      <c r="S28" s="10">
        <v>150.33600000000001</v>
      </c>
      <c r="T28" s="10">
        <v>167.16200000000001</v>
      </c>
      <c r="U28" s="10">
        <v>186.44</v>
      </c>
      <c r="V28" s="10">
        <f>CHOOSE(MATCH(Setup!$B$7,{"STD","Half-PPR","PPR"},0),S28,T28,U28)</f>
        <v>167.16200000000001</v>
      </c>
      <c r="W28" s="10">
        <f>COUNTIFS('Draft Board'!$X$2:$X$161,"&gt;="&amp;X28,'Draft Board'!$AB$2:$AB$161,1)</f>
        <v>6</v>
      </c>
      <c r="X28" s="10">
        <f>MAX(0,V28-'Live Calc'!$H$20)^'Live Calc'!$E$20</f>
        <v>153.48007288248249</v>
      </c>
      <c r="Y28" s="10">
        <v>28</v>
      </c>
      <c r="Z28" s="10">
        <f>IF(Y28&lt;&gt;_xlfn.MINIFS('Draft Board'!$Y$2:$Y$161,'Draft Board'!$X$2:$X$161,"="&amp;X28),0,IF(_xlfn.MINIFS('Draft Board'!$X$2:$X$161,'Draft Board'!$X$2:$X$161,"&gt;"&amp;X28)=0,1,IF((_xlfn.MINIFS('Draft Board'!$X$2:$X$161,'Draft Board'!$X$2:$X$161,"&gt;"&amp;X28)-X28)/_xlfn.MINIFS('Draft Board'!$X$2:$X$161,'Draft Board'!$X$2:$X$161,"&gt;"&amp;X28)&gt;0.08,1,0)))</f>
        <v>0</v>
      </c>
      <c r="AA28" s="10">
        <f>_xlfn.MINIFS('Draft Board'!$X$2:$X$161,'Draft Board'!$X$2:$X$161,"&gt;="&amp;X28,'Draft Board'!$Z$2:$Z$161,1)</f>
        <v>163.08066269165599</v>
      </c>
      <c r="AB28" s="10">
        <f>IF(Y28&lt;&gt;_xlfn.MINIFS('Draft Board'!$Y$2:$Y$161,'Draft Board'!$X$2:$X$161,"="&amp;X28),0,IF(OR(Z28=1,IFERROR(FLOOR((AA28-X28)/AA28/0.25,1),0)&lt;&gt;IFERROR(FLOOR((AA28-_xlfn.MINIFS('Draft Board'!$X$2:$X$161,'Draft Board'!$X$2:$X$161,"&gt;"&amp;X28))/AA28/0.25,1),0)),1,0))</f>
        <v>0</v>
      </c>
      <c r="AC28" s="10">
        <f>ROUND(1+X28*'Live Calc'!$D$27,0)</f>
        <v>15</v>
      </c>
      <c r="AD28" s="10"/>
      <c r="AE28" s="10">
        <f>IF(AD28&lt;&gt;"",AD28,ROUND(AC28*INDEX('Live Calc'!$G$96:$G$255,MATCH(W28,'Live Calc'!$A$96:$A$255,0))*'Live Calc'!$J$543,0))</f>
        <v>15</v>
      </c>
      <c r="AG28" s="11" t="s">
        <v>192</v>
      </c>
      <c r="AH28" s="11" t="s">
        <v>77</v>
      </c>
      <c r="AI28" s="11">
        <v>133.136</v>
      </c>
      <c r="AJ28" s="11">
        <v>163.84800000000001</v>
      </c>
      <c r="AK28" s="11">
        <v>194.22</v>
      </c>
      <c r="AL28" s="11">
        <f>CHOOSE(MATCH(Setup!$B$7,{"STD","Half-PPR","PPR"},0),AI28,AJ28,AK28)</f>
        <v>163.84800000000001</v>
      </c>
      <c r="AM28" s="11">
        <f>COUNTIFS('Draft Board'!$AN$2:$AN$193,"&gt;="&amp;AN28,'Draft Board'!$AR$2:$AR$193,1)</f>
        <v>6</v>
      </c>
      <c r="AN28" s="11">
        <f>MAX(0,AL28-'Live Calc'!$H$21)^'Live Calc'!$E$21</f>
        <v>176.11132647046031</v>
      </c>
      <c r="AO28" s="11">
        <v>28</v>
      </c>
      <c r="AP28" s="11">
        <f>IF(AO28&lt;&gt;_xlfn.MINIFS('Draft Board'!$AO$2:$AO$193,'Draft Board'!$AN$2:$AN$193,"="&amp;AN28),0,IF(_xlfn.MINIFS('Draft Board'!$AN$2:$AN$193,'Draft Board'!$AN$2:$AN$193,"&gt;"&amp;AN28)=0,1,IF((_xlfn.MINIFS('Draft Board'!$AN$2:$AN$193,'Draft Board'!$AN$2:$AN$193,"&gt;"&amp;AN28)-AN28)/_xlfn.MINIFS('Draft Board'!$AN$2:$AN$193,'Draft Board'!$AN$2:$AN$193,"&gt;"&amp;AN28)&gt;0.08,1,0)))</f>
        <v>0</v>
      </c>
      <c r="AQ28" s="11">
        <f>_xlfn.MINIFS('Draft Board'!$AN$2:$AN$193,'Draft Board'!$AN$2:$AN$193,"&gt;="&amp;AN28,'Draft Board'!$AP$2:$AP$193,1)</f>
        <v>236.73134050598597</v>
      </c>
      <c r="AR28" s="11">
        <f>IF(AO28&lt;&gt;_xlfn.MINIFS('Draft Board'!$AO$2:$AO$193,'Draft Board'!$AN$2:$AN$193,"="&amp;AN28),0,IF(OR(AP28=1,IFERROR(FLOOR((AQ28-AN28)/AQ28/0.25,1),0)&lt;&gt;IFERROR(FLOOR((AQ28-_xlfn.MINIFS('Draft Board'!$AN$2:$AN$193,'Draft Board'!$AN$2:$AN$193,"&gt;"&amp;AN28))/AQ28/0.25,1),0)),1,0))</f>
        <v>1</v>
      </c>
      <c r="AS28" s="11">
        <f>ROUND(1+AN28*'Live Calc'!$D$28,0)</f>
        <v>15</v>
      </c>
      <c r="AT28" s="11"/>
      <c r="AU28" s="11">
        <f>IF(AT28&lt;&gt;"",AT28,ROUND(AS28*INDEX('Live Calc'!$G$259:$G$450,MATCH(AM28,'Live Calc'!$A$259:$A$450,0))*'Live Calc'!$J$543,0))</f>
        <v>15</v>
      </c>
      <c r="AW28" s="12" t="s">
        <v>193</v>
      </c>
      <c r="AX28" s="12" t="s">
        <v>152</v>
      </c>
      <c r="AY28" s="12">
        <v>67.322000000000003</v>
      </c>
      <c r="AZ28" s="12">
        <v>95.231999999999999</v>
      </c>
      <c r="BA28" s="12">
        <v>121.578</v>
      </c>
      <c r="BB28" s="12">
        <f>CHOOSE(MATCH(Setup!$B$7,{"STD","Half-PPR","PPR"},0),AY28,AZ28,BA28)</f>
        <v>95.231999999999999</v>
      </c>
      <c r="BC28" s="12">
        <f>COUNTIFS('Draft Board'!$BD$2:$BD$87,"&gt;="&amp;BD28,'Draft Board'!$BH$2:$BH$87,1)</f>
        <v>15</v>
      </c>
      <c r="BD28" s="12">
        <f>MAX(0,BB28-'Live Calc'!$H$22)^'Live Calc'!$E$22</f>
        <v>0</v>
      </c>
      <c r="BE28" s="12">
        <v>28</v>
      </c>
      <c r="BF28" s="12">
        <f>IF(BE28&lt;&gt;_xlfn.MINIFS('Draft Board'!$BE$2:$BE$87,'Draft Board'!$BD$2:$BD$87,"="&amp;BD28),0,IF(_xlfn.MINIFS('Draft Board'!$BD$2:$BD$87,'Draft Board'!$BD$2:$BD$87,"&gt;"&amp;BD28)=0,1,IF((_xlfn.MINIFS('Draft Board'!$BD$2:$BD$87,'Draft Board'!$BD$2:$BD$87,"&gt;"&amp;BD28)-BD28)/_xlfn.MINIFS('Draft Board'!$BD$2:$BD$87,'Draft Board'!$BD$2:$BD$87,"&gt;"&amp;BD28)&gt;0.08,1,0)))</f>
        <v>0</v>
      </c>
      <c r="BG28" s="12">
        <f>_xlfn.MINIFS('Draft Board'!$BD$2:$BD$87,'Draft Board'!$BD$2:$BD$87,"&gt;="&amp;BD28,'Draft Board'!$BF$2:$BF$87,1)</f>
        <v>0</v>
      </c>
      <c r="BH28" s="12">
        <f>IF(BE28&lt;&gt;_xlfn.MINIFS('Draft Board'!$BE$2:$BE$87,'Draft Board'!$BD$2:$BD$87,"="&amp;BD28),0,IF(OR(BF28=1,IFERROR(FLOOR((BG28-BD28)/BG28/0.25,1),0)&lt;&gt;IFERROR(FLOOR((BG28-_xlfn.MINIFS('Draft Board'!$BD$2:$BD$87,'Draft Board'!$BD$2:$BD$87,"&gt;"&amp;BD28))/BG28/0.25,1),0)),1,0))</f>
        <v>0</v>
      </c>
      <c r="BI28" s="12">
        <f>ROUND(1+BD28*'Live Calc'!$D$29,0)</f>
        <v>1</v>
      </c>
      <c r="BJ28" s="12"/>
      <c r="BK28" s="12">
        <f>IF(BJ28&lt;&gt;"",BJ28,ROUND(BI28*INDEX('Live Calc'!$G$454:$G$539,MATCH(BC28,'Live Calc'!$A$454:$A$539,0))*'Live Calc'!$J$543,0))</f>
        <v>1</v>
      </c>
    </row>
    <row r="29" spans="1:63" x14ac:dyDescent="0.25">
      <c r="A29" s="9" t="s">
        <v>194</v>
      </c>
      <c r="B29" s="9" t="s">
        <v>61</v>
      </c>
      <c r="C29" s="9">
        <v>218.14</v>
      </c>
      <c r="D29" s="9">
        <v>218.14</v>
      </c>
      <c r="E29" s="9">
        <v>218.14</v>
      </c>
      <c r="F29" s="9">
        <f>CHOOSE(MATCH(Setup!$B$7,{"STD","Half-PPR","PPR"},0),C29,D29,E29)</f>
        <v>218.14</v>
      </c>
      <c r="G29" s="9">
        <f>COUNTIFS('Draft Board'!$H$2:$H$61,"&gt;="&amp;H29,'Draft Board'!$L$2:$L$61,1)</f>
        <v>11</v>
      </c>
      <c r="H29" s="9">
        <f>MAX(0,F29-'Live Calc'!$H$19)^'Live Calc'!$E$19</f>
        <v>0</v>
      </c>
      <c r="I29" s="9">
        <v>29</v>
      </c>
      <c r="J29" s="9">
        <f>IF(I29&lt;&gt;_xlfn.MINIFS('Draft Board'!$I$2:$I$61,'Draft Board'!$H$2:$H$61,"="&amp;H29),0,IF(_xlfn.MINIFS('Draft Board'!$H$2:$H$61,'Draft Board'!$H$2:$H$61,"&gt;"&amp;H29)=0,1,IF((_xlfn.MINIFS('Draft Board'!$H$2:$H$61,'Draft Board'!$H$2:$H$61,"&gt;"&amp;H29)-H29)/_xlfn.MINIFS('Draft Board'!$H$2:$H$61,'Draft Board'!$H$2:$H$61,"&gt;"&amp;H29)&gt;0.08,1,0)))</f>
        <v>0</v>
      </c>
      <c r="K29" s="9">
        <f>_xlfn.MINIFS('Draft Board'!$H$2:$H$61,'Draft Board'!$H$2:$H$61,"&gt;="&amp;H29,'Draft Board'!$J$2:$J$61,1)</f>
        <v>0</v>
      </c>
      <c r="L29" s="9">
        <f>IF(I29&lt;&gt;_xlfn.MINIFS('Draft Board'!$I$2:$I$61,'Draft Board'!$H$2:$H$61,"="&amp;H29),0,IF(OR(J29=1,IFERROR(FLOOR((K29-H29)/K29/0.25,1),0)&lt;&gt;IFERROR(FLOOR((K29-_xlfn.MINIFS('Draft Board'!$H$2:$H$61,'Draft Board'!$H$2:$H$61,"&gt;"&amp;H29))/K29/0.25,1),0)),1,0))</f>
        <v>0</v>
      </c>
      <c r="M29" s="9">
        <f>ROUND(1+H29*'Live Calc'!$D$26,0)</f>
        <v>1</v>
      </c>
      <c r="N29" s="9"/>
      <c r="O29" s="9">
        <f>IF(N29&lt;&gt;"",N29,ROUND(M29*INDEX('Live Calc'!$G$33:$G$92,MATCH(G29,'Live Calc'!$A$33:$A$92,0))*'Live Calc'!$J$543,0))</f>
        <v>1</v>
      </c>
      <c r="Q29" s="10" t="s">
        <v>195</v>
      </c>
      <c r="R29" s="10" t="s">
        <v>181</v>
      </c>
      <c r="S29" s="10">
        <v>151.03200000000001</v>
      </c>
      <c r="T29" s="10">
        <v>166.11</v>
      </c>
      <c r="U29" s="10">
        <v>181.4</v>
      </c>
      <c r="V29" s="10">
        <f>CHOOSE(MATCH(Setup!$B$7,{"STD","Half-PPR","PPR"},0),S29,T29,U29)</f>
        <v>166.11</v>
      </c>
      <c r="W29" s="10">
        <f>COUNTIFS('Draft Board'!$X$2:$X$161,"&gt;="&amp;X29,'Draft Board'!$AB$2:$AB$161,1)</f>
        <v>6</v>
      </c>
      <c r="X29" s="10">
        <f>MAX(0,V29-'Live Calc'!$H$20)^'Live Calc'!$E$20</f>
        <v>150.56367546753447</v>
      </c>
      <c r="Y29" s="10">
        <v>29</v>
      </c>
      <c r="Z29" s="10">
        <f>IF(Y29&lt;&gt;_xlfn.MINIFS('Draft Board'!$Y$2:$Y$161,'Draft Board'!$X$2:$X$161,"="&amp;X29),0,IF(_xlfn.MINIFS('Draft Board'!$X$2:$X$161,'Draft Board'!$X$2:$X$161,"&gt;"&amp;X29)=0,1,IF((_xlfn.MINIFS('Draft Board'!$X$2:$X$161,'Draft Board'!$X$2:$X$161,"&gt;"&amp;X29)-X29)/_xlfn.MINIFS('Draft Board'!$X$2:$X$161,'Draft Board'!$X$2:$X$161,"&gt;"&amp;X29)&gt;0.08,1,0)))</f>
        <v>0</v>
      </c>
      <c r="AA29" s="10">
        <f>_xlfn.MINIFS('Draft Board'!$X$2:$X$161,'Draft Board'!$X$2:$X$161,"&gt;="&amp;X29,'Draft Board'!$Z$2:$Z$161,1)</f>
        <v>163.08066269165599</v>
      </c>
      <c r="AB29" s="10">
        <f>IF(Y29&lt;&gt;_xlfn.MINIFS('Draft Board'!$Y$2:$Y$161,'Draft Board'!$X$2:$X$161,"="&amp;X29),0,IF(OR(Z29=1,IFERROR(FLOOR((AA29-X29)/AA29/0.25,1),0)&lt;&gt;IFERROR(FLOOR((AA29-_xlfn.MINIFS('Draft Board'!$X$2:$X$161,'Draft Board'!$X$2:$X$161,"&gt;"&amp;X29))/AA29/0.25,1),0)),1,0))</f>
        <v>0</v>
      </c>
      <c r="AC29" s="10">
        <f>ROUND(1+X29*'Live Calc'!$D$27,0)</f>
        <v>15</v>
      </c>
      <c r="AD29" s="10"/>
      <c r="AE29" s="10">
        <f>IF(AD29&lt;&gt;"",AD29,ROUND(AC29*INDEX('Live Calc'!$G$96:$G$255,MATCH(W29,'Live Calc'!$A$96:$A$255,0))*'Live Calc'!$J$543,0))</f>
        <v>15</v>
      </c>
      <c r="AG29" s="11" t="s">
        <v>196</v>
      </c>
      <c r="AH29" s="11" t="s">
        <v>73</v>
      </c>
      <c r="AI29" s="11">
        <v>132.47399999999999</v>
      </c>
      <c r="AJ29" s="11">
        <v>163.602</v>
      </c>
      <c r="AK29" s="11">
        <v>197.952</v>
      </c>
      <c r="AL29" s="11">
        <f>CHOOSE(MATCH(Setup!$B$7,{"STD","Half-PPR","PPR"},0),AI29,AJ29,AK29)</f>
        <v>163.602</v>
      </c>
      <c r="AM29" s="11">
        <f>COUNTIFS('Draft Board'!$AN$2:$AN$193,"&gt;="&amp;AN29,'Draft Board'!$AR$2:$AR$193,1)</f>
        <v>6</v>
      </c>
      <c r="AN29" s="11">
        <f>MAX(0,AL29-'Live Calc'!$H$21)^'Live Calc'!$E$21</f>
        <v>175.24677866832502</v>
      </c>
      <c r="AO29" s="11">
        <v>29</v>
      </c>
      <c r="AP29" s="11">
        <f>IF(AO29&lt;&gt;_xlfn.MINIFS('Draft Board'!$AO$2:$AO$193,'Draft Board'!$AN$2:$AN$193,"="&amp;AN29),0,IF(_xlfn.MINIFS('Draft Board'!$AN$2:$AN$193,'Draft Board'!$AN$2:$AN$193,"&gt;"&amp;AN29)=0,1,IF((_xlfn.MINIFS('Draft Board'!$AN$2:$AN$193,'Draft Board'!$AN$2:$AN$193,"&gt;"&amp;AN29)-AN29)/_xlfn.MINIFS('Draft Board'!$AN$2:$AN$193,'Draft Board'!$AN$2:$AN$193,"&gt;"&amp;AN29)&gt;0.08,1,0)))</f>
        <v>0</v>
      </c>
      <c r="AQ29" s="11">
        <f>_xlfn.MINIFS('Draft Board'!$AN$2:$AN$193,'Draft Board'!$AN$2:$AN$193,"&gt;="&amp;AN29,'Draft Board'!$AP$2:$AP$193,1)</f>
        <v>236.73134050598597</v>
      </c>
      <c r="AR29" s="11">
        <f>IF(AO29&lt;&gt;_xlfn.MINIFS('Draft Board'!$AO$2:$AO$193,'Draft Board'!$AN$2:$AN$193,"="&amp;AN29),0,IF(OR(AP29=1,IFERROR(FLOOR((AQ29-AN29)/AQ29/0.25,1),0)&lt;&gt;IFERROR(FLOOR((AQ29-_xlfn.MINIFS('Draft Board'!$AN$2:$AN$193,'Draft Board'!$AN$2:$AN$193,"&gt;"&amp;AN29))/AQ29/0.25,1),0)),1,0))</f>
        <v>0</v>
      </c>
      <c r="AS29" s="11">
        <f>ROUND(1+AN29*'Live Calc'!$D$28,0)</f>
        <v>15</v>
      </c>
      <c r="AT29" s="11"/>
      <c r="AU29" s="11">
        <f>IF(AT29&lt;&gt;"",AT29,ROUND(AS29*INDEX('Live Calc'!$G$259:$G$450,MATCH(AM29,'Live Calc'!$A$259:$A$450,0))*'Live Calc'!$J$543,0))</f>
        <v>15</v>
      </c>
      <c r="AW29" s="12" t="s">
        <v>197</v>
      </c>
      <c r="AX29" s="12" t="s">
        <v>181</v>
      </c>
      <c r="AY29" s="12">
        <v>69.061999999999998</v>
      </c>
      <c r="AZ29" s="12">
        <v>95.073999999999998</v>
      </c>
      <c r="BA29" s="12">
        <v>120.97</v>
      </c>
      <c r="BB29" s="12">
        <f>CHOOSE(MATCH(Setup!$B$7,{"STD","Half-PPR","PPR"},0),AY29,AZ29,BA29)</f>
        <v>95.073999999999998</v>
      </c>
      <c r="BC29" s="12">
        <f>COUNTIFS('Draft Board'!$BD$2:$BD$87,"&gt;="&amp;BD29,'Draft Board'!$BH$2:$BH$87,1)</f>
        <v>15</v>
      </c>
      <c r="BD29" s="12">
        <f>MAX(0,BB29-'Live Calc'!$H$22)^'Live Calc'!$E$22</f>
        <v>0</v>
      </c>
      <c r="BE29" s="12">
        <v>29</v>
      </c>
      <c r="BF29" s="12">
        <f>IF(BE29&lt;&gt;_xlfn.MINIFS('Draft Board'!$BE$2:$BE$87,'Draft Board'!$BD$2:$BD$87,"="&amp;BD29),0,IF(_xlfn.MINIFS('Draft Board'!$BD$2:$BD$87,'Draft Board'!$BD$2:$BD$87,"&gt;"&amp;BD29)=0,1,IF((_xlfn.MINIFS('Draft Board'!$BD$2:$BD$87,'Draft Board'!$BD$2:$BD$87,"&gt;"&amp;BD29)-BD29)/_xlfn.MINIFS('Draft Board'!$BD$2:$BD$87,'Draft Board'!$BD$2:$BD$87,"&gt;"&amp;BD29)&gt;0.08,1,0)))</f>
        <v>0</v>
      </c>
      <c r="BG29" s="12">
        <f>_xlfn.MINIFS('Draft Board'!$BD$2:$BD$87,'Draft Board'!$BD$2:$BD$87,"&gt;="&amp;BD29,'Draft Board'!$BF$2:$BF$87,1)</f>
        <v>0</v>
      </c>
      <c r="BH29" s="12">
        <f>IF(BE29&lt;&gt;_xlfn.MINIFS('Draft Board'!$BE$2:$BE$87,'Draft Board'!$BD$2:$BD$87,"="&amp;BD29),0,IF(OR(BF29=1,IFERROR(FLOOR((BG29-BD29)/BG29/0.25,1),0)&lt;&gt;IFERROR(FLOOR((BG29-_xlfn.MINIFS('Draft Board'!$BD$2:$BD$87,'Draft Board'!$BD$2:$BD$87,"&gt;"&amp;BD29))/BG29/0.25,1),0)),1,0))</f>
        <v>0</v>
      </c>
      <c r="BI29" s="12">
        <f>ROUND(1+BD29*'Live Calc'!$D$29,0)</f>
        <v>1</v>
      </c>
      <c r="BJ29" s="12"/>
      <c r="BK29" s="12">
        <f>IF(BJ29&lt;&gt;"",BJ29,ROUND(BI29*INDEX('Live Calc'!$G$454:$G$539,MATCH(BC29,'Live Calc'!$A$454:$A$539,0))*'Live Calc'!$J$543,0))</f>
        <v>1</v>
      </c>
    </row>
    <row r="30" spans="1:63" x14ac:dyDescent="0.25">
      <c r="A30" s="9" t="s">
        <v>198</v>
      </c>
      <c r="B30" s="9" t="s">
        <v>143</v>
      </c>
      <c r="C30" s="9">
        <v>198.434</v>
      </c>
      <c r="D30" s="9">
        <v>198.434</v>
      </c>
      <c r="E30" s="9">
        <v>198.434</v>
      </c>
      <c r="F30" s="9">
        <f>CHOOSE(MATCH(Setup!$B$7,{"STD","Half-PPR","PPR"},0),C30,D30,E30)</f>
        <v>198.434</v>
      </c>
      <c r="G30" s="9">
        <f>COUNTIFS('Draft Board'!$H$2:$H$61,"&gt;="&amp;H30,'Draft Board'!$L$2:$L$61,1)</f>
        <v>11</v>
      </c>
      <c r="H30" s="9">
        <f>MAX(0,F30-'Live Calc'!$H$19)^'Live Calc'!$E$19</f>
        <v>0</v>
      </c>
      <c r="I30" s="9">
        <v>30</v>
      </c>
      <c r="J30" s="9">
        <f>IF(I30&lt;&gt;_xlfn.MINIFS('Draft Board'!$I$2:$I$61,'Draft Board'!$H$2:$H$61,"="&amp;H30),0,IF(_xlfn.MINIFS('Draft Board'!$H$2:$H$61,'Draft Board'!$H$2:$H$61,"&gt;"&amp;H30)=0,1,IF((_xlfn.MINIFS('Draft Board'!$H$2:$H$61,'Draft Board'!$H$2:$H$61,"&gt;"&amp;H30)-H30)/_xlfn.MINIFS('Draft Board'!$H$2:$H$61,'Draft Board'!$H$2:$H$61,"&gt;"&amp;H30)&gt;0.08,1,0)))</f>
        <v>0</v>
      </c>
      <c r="K30" s="9">
        <f>_xlfn.MINIFS('Draft Board'!$H$2:$H$61,'Draft Board'!$H$2:$H$61,"&gt;="&amp;H30,'Draft Board'!$J$2:$J$61,1)</f>
        <v>0</v>
      </c>
      <c r="L30" s="9">
        <f>IF(I30&lt;&gt;_xlfn.MINIFS('Draft Board'!$I$2:$I$61,'Draft Board'!$H$2:$H$61,"="&amp;H30),0,IF(OR(J30=1,IFERROR(FLOOR((K30-H30)/K30/0.25,1),0)&lt;&gt;IFERROR(FLOOR((K30-_xlfn.MINIFS('Draft Board'!$H$2:$H$61,'Draft Board'!$H$2:$H$61,"&gt;"&amp;H30))/K30/0.25,1),0)),1,0))</f>
        <v>0</v>
      </c>
      <c r="M30" s="9">
        <f>ROUND(1+H30*'Live Calc'!$D$26,0)</f>
        <v>1</v>
      </c>
      <c r="N30" s="9"/>
      <c r="O30" s="9">
        <f>IF(N30&lt;&gt;"",N30,ROUND(M30*INDEX('Live Calc'!$G$33:$G$92,MATCH(G30,'Live Calc'!$A$33:$A$92,0))*'Live Calc'!$J$543,0))</f>
        <v>1</v>
      </c>
      <c r="Q30" s="10" t="s">
        <v>199</v>
      </c>
      <c r="R30" s="10" t="s">
        <v>75</v>
      </c>
      <c r="S30" s="10">
        <v>150.28200000000001</v>
      </c>
      <c r="T30" s="10">
        <v>165.804</v>
      </c>
      <c r="U30" s="10">
        <v>176.67599999999999</v>
      </c>
      <c r="V30" s="10">
        <f>CHOOSE(MATCH(Setup!$B$7,{"STD","Half-PPR","PPR"},0),S30,T30,U30)</f>
        <v>165.804</v>
      </c>
      <c r="W30" s="10">
        <f>COUNTIFS('Draft Board'!$X$2:$X$161,"&gt;="&amp;X30,'Draft Board'!$AB$2:$AB$161,1)</f>
        <v>6</v>
      </c>
      <c r="X30" s="10">
        <f>MAX(0,V30-'Live Calc'!$H$20)^'Live Calc'!$E$20</f>
        <v>149.71712636064055</v>
      </c>
      <c r="Y30" s="10">
        <v>30</v>
      </c>
      <c r="Z30" s="10">
        <f>IF(Y30&lt;&gt;_xlfn.MINIFS('Draft Board'!$Y$2:$Y$161,'Draft Board'!$X$2:$X$161,"="&amp;X30),0,IF(_xlfn.MINIFS('Draft Board'!$X$2:$X$161,'Draft Board'!$X$2:$X$161,"&gt;"&amp;X30)=0,1,IF((_xlfn.MINIFS('Draft Board'!$X$2:$X$161,'Draft Board'!$X$2:$X$161,"&gt;"&amp;X30)-X30)/_xlfn.MINIFS('Draft Board'!$X$2:$X$161,'Draft Board'!$X$2:$X$161,"&gt;"&amp;X30)&gt;0.08,1,0)))</f>
        <v>0</v>
      </c>
      <c r="AA30" s="10">
        <f>_xlfn.MINIFS('Draft Board'!$X$2:$X$161,'Draft Board'!$X$2:$X$161,"&gt;="&amp;X30,'Draft Board'!$Z$2:$Z$161,1)</f>
        <v>163.08066269165599</v>
      </c>
      <c r="AB30" s="10">
        <f>IF(Y30&lt;&gt;_xlfn.MINIFS('Draft Board'!$Y$2:$Y$161,'Draft Board'!$X$2:$X$161,"="&amp;X30),0,IF(OR(Z30=1,IFERROR(FLOOR((AA30-X30)/AA30/0.25,1),0)&lt;&gt;IFERROR(FLOOR((AA30-_xlfn.MINIFS('Draft Board'!$X$2:$X$161,'Draft Board'!$X$2:$X$161,"&gt;"&amp;X30))/AA30/0.25,1),0)),1,0))</f>
        <v>0</v>
      </c>
      <c r="AC30" s="10">
        <f>ROUND(1+X30*'Live Calc'!$D$27,0)</f>
        <v>15</v>
      </c>
      <c r="AD30" s="10"/>
      <c r="AE30" s="10">
        <f>IF(AD30&lt;&gt;"",AD30,ROUND(AC30*INDEX('Live Calc'!$G$96:$G$255,MATCH(W30,'Live Calc'!$A$96:$A$255,0))*'Live Calc'!$J$543,0))</f>
        <v>15</v>
      </c>
      <c r="AG30" s="11" t="s">
        <v>200</v>
      </c>
      <c r="AH30" s="11" t="s">
        <v>55</v>
      </c>
      <c r="AI30" s="11">
        <v>129.46799999999999</v>
      </c>
      <c r="AJ30" s="11">
        <v>162.59200000000001</v>
      </c>
      <c r="AK30" s="11">
        <v>194.42</v>
      </c>
      <c r="AL30" s="11">
        <f>CHOOSE(MATCH(Setup!$B$7,{"STD","Half-PPR","PPR"},0),AI30,AJ30,AK30)</f>
        <v>162.59200000000001</v>
      </c>
      <c r="AM30" s="11">
        <f>COUNTIFS('Draft Board'!$AN$2:$AN$193,"&gt;="&amp;AN30,'Draft Board'!$AR$2:$AR$193,1)</f>
        <v>6</v>
      </c>
      <c r="AN30" s="11">
        <f>MAX(0,AL30-'Live Calc'!$H$21)^'Live Calc'!$E$21</f>
        <v>171.70617189743186</v>
      </c>
      <c r="AO30" s="11">
        <v>30</v>
      </c>
      <c r="AP30" s="11">
        <f>IF(AO30&lt;&gt;_xlfn.MINIFS('Draft Board'!$AO$2:$AO$193,'Draft Board'!$AN$2:$AN$193,"="&amp;AN30),0,IF(_xlfn.MINIFS('Draft Board'!$AN$2:$AN$193,'Draft Board'!$AN$2:$AN$193,"&gt;"&amp;AN30)=0,1,IF((_xlfn.MINIFS('Draft Board'!$AN$2:$AN$193,'Draft Board'!$AN$2:$AN$193,"&gt;"&amp;AN30)-AN30)/_xlfn.MINIFS('Draft Board'!$AN$2:$AN$193,'Draft Board'!$AN$2:$AN$193,"&gt;"&amp;AN30)&gt;0.08,1,0)))</f>
        <v>0</v>
      </c>
      <c r="AQ30" s="11">
        <f>_xlfn.MINIFS('Draft Board'!$AN$2:$AN$193,'Draft Board'!$AN$2:$AN$193,"&gt;="&amp;AN30,'Draft Board'!$AP$2:$AP$193,1)</f>
        <v>236.73134050598597</v>
      </c>
      <c r="AR30" s="11">
        <f>IF(AO30&lt;&gt;_xlfn.MINIFS('Draft Board'!$AO$2:$AO$193,'Draft Board'!$AN$2:$AN$193,"="&amp;AN30),0,IF(OR(AP30=1,IFERROR(FLOOR((AQ30-AN30)/AQ30/0.25,1),0)&lt;&gt;IFERROR(FLOOR((AQ30-_xlfn.MINIFS('Draft Board'!$AN$2:$AN$193,'Draft Board'!$AN$2:$AN$193,"&gt;"&amp;AN30))/AQ30/0.25,1),0)),1,0))</f>
        <v>0</v>
      </c>
      <c r="AS30" s="11">
        <f>ROUND(1+AN30*'Live Calc'!$D$28,0)</f>
        <v>15</v>
      </c>
      <c r="AT30" s="11"/>
      <c r="AU30" s="11">
        <f>IF(AT30&lt;&gt;"",AT30,ROUND(AS30*INDEX('Live Calc'!$G$259:$G$450,MATCH(AM30,'Live Calc'!$A$259:$A$450,0))*'Live Calc'!$J$543,0))</f>
        <v>15</v>
      </c>
      <c r="AW30" s="12" t="s">
        <v>201</v>
      </c>
      <c r="AX30" s="12" t="s">
        <v>67</v>
      </c>
      <c r="AY30" s="12">
        <v>58.856000000000002</v>
      </c>
      <c r="AZ30" s="12">
        <v>79.53</v>
      </c>
      <c r="BA30" s="12">
        <v>98.097999999999999</v>
      </c>
      <c r="BB30" s="12">
        <f>CHOOSE(MATCH(Setup!$B$7,{"STD","Half-PPR","PPR"},0),AY30,AZ30,BA30)</f>
        <v>79.53</v>
      </c>
      <c r="BC30" s="12">
        <f>COUNTIFS('Draft Board'!$BD$2:$BD$87,"&gt;="&amp;BD30,'Draft Board'!$BH$2:$BH$87,1)</f>
        <v>15</v>
      </c>
      <c r="BD30" s="12">
        <f>MAX(0,BB30-'Live Calc'!$H$22)^'Live Calc'!$E$22</f>
        <v>0</v>
      </c>
      <c r="BE30" s="12">
        <v>30</v>
      </c>
      <c r="BF30" s="12">
        <f>IF(BE30&lt;&gt;_xlfn.MINIFS('Draft Board'!$BE$2:$BE$87,'Draft Board'!$BD$2:$BD$87,"="&amp;BD30),0,IF(_xlfn.MINIFS('Draft Board'!$BD$2:$BD$87,'Draft Board'!$BD$2:$BD$87,"&gt;"&amp;BD30)=0,1,IF((_xlfn.MINIFS('Draft Board'!$BD$2:$BD$87,'Draft Board'!$BD$2:$BD$87,"&gt;"&amp;BD30)-BD30)/_xlfn.MINIFS('Draft Board'!$BD$2:$BD$87,'Draft Board'!$BD$2:$BD$87,"&gt;"&amp;BD30)&gt;0.08,1,0)))</f>
        <v>0</v>
      </c>
      <c r="BG30" s="12">
        <f>_xlfn.MINIFS('Draft Board'!$BD$2:$BD$87,'Draft Board'!$BD$2:$BD$87,"&gt;="&amp;BD30,'Draft Board'!$BF$2:$BF$87,1)</f>
        <v>0</v>
      </c>
      <c r="BH30" s="12">
        <f>IF(BE30&lt;&gt;_xlfn.MINIFS('Draft Board'!$BE$2:$BE$87,'Draft Board'!$BD$2:$BD$87,"="&amp;BD30),0,IF(OR(BF30=1,IFERROR(FLOOR((BG30-BD30)/BG30/0.25,1),0)&lt;&gt;IFERROR(FLOOR((BG30-_xlfn.MINIFS('Draft Board'!$BD$2:$BD$87,'Draft Board'!$BD$2:$BD$87,"&gt;"&amp;BD30))/BG30/0.25,1),0)),1,0))</f>
        <v>0</v>
      </c>
      <c r="BI30" s="12">
        <f>ROUND(1+BD30*'Live Calc'!$D$29,0)</f>
        <v>1</v>
      </c>
      <c r="BJ30" s="12"/>
      <c r="BK30" s="12">
        <f>IF(BJ30&lt;&gt;"",BJ30,ROUND(BI30*INDEX('Live Calc'!$G$454:$G$539,MATCH(BC30,'Live Calc'!$A$454:$A$539,0))*'Live Calc'!$J$543,0))</f>
        <v>1</v>
      </c>
    </row>
    <row r="31" spans="1:63" x14ac:dyDescent="0.25">
      <c r="A31" s="9" t="s">
        <v>202</v>
      </c>
      <c r="B31" s="9" t="s">
        <v>69</v>
      </c>
      <c r="C31" s="9">
        <v>192.816</v>
      </c>
      <c r="D31" s="9">
        <v>192.816</v>
      </c>
      <c r="E31" s="9">
        <v>192.816</v>
      </c>
      <c r="F31" s="9">
        <f>CHOOSE(MATCH(Setup!$B$7,{"STD","Half-PPR","PPR"},0),C31,D31,E31)</f>
        <v>192.816</v>
      </c>
      <c r="G31" s="9">
        <f>COUNTIFS('Draft Board'!$H$2:$H$61,"&gt;="&amp;H31,'Draft Board'!$L$2:$L$61,1)</f>
        <v>11</v>
      </c>
      <c r="H31" s="9">
        <f>MAX(0,F31-'Live Calc'!$H$19)^'Live Calc'!$E$19</f>
        <v>0</v>
      </c>
      <c r="I31" s="9">
        <v>31</v>
      </c>
      <c r="J31" s="9">
        <f>IF(I31&lt;&gt;_xlfn.MINIFS('Draft Board'!$I$2:$I$61,'Draft Board'!$H$2:$H$61,"="&amp;H31),0,IF(_xlfn.MINIFS('Draft Board'!$H$2:$H$61,'Draft Board'!$H$2:$H$61,"&gt;"&amp;H31)=0,1,IF((_xlfn.MINIFS('Draft Board'!$H$2:$H$61,'Draft Board'!$H$2:$H$61,"&gt;"&amp;H31)-H31)/_xlfn.MINIFS('Draft Board'!$H$2:$H$61,'Draft Board'!$H$2:$H$61,"&gt;"&amp;H31)&gt;0.08,1,0)))</f>
        <v>0</v>
      </c>
      <c r="K31" s="9">
        <f>_xlfn.MINIFS('Draft Board'!$H$2:$H$61,'Draft Board'!$H$2:$H$61,"&gt;="&amp;H31,'Draft Board'!$J$2:$J$61,1)</f>
        <v>0</v>
      </c>
      <c r="L31" s="9">
        <f>IF(I31&lt;&gt;_xlfn.MINIFS('Draft Board'!$I$2:$I$61,'Draft Board'!$H$2:$H$61,"="&amp;H31),0,IF(OR(J31=1,IFERROR(FLOOR((K31-H31)/K31/0.25,1),0)&lt;&gt;IFERROR(FLOOR((K31-_xlfn.MINIFS('Draft Board'!$H$2:$H$61,'Draft Board'!$H$2:$H$61,"&gt;"&amp;H31))/K31/0.25,1),0)),1,0))</f>
        <v>0</v>
      </c>
      <c r="M31" s="9">
        <f>ROUND(1+H31*'Live Calc'!$D$26,0)</f>
        <v>1</v>
      </c>
      <c r="N31" s="9"/>
      <c r="O31" s="9">
        <f>IF(N31&lt;&gt;"",N31,ROUND(M31*INDEX('Live Calc'!$G$33:$G$92,MATCH(G31,'Live Calc'!$A$33:$A$92,0))*'Live Calc'!$J$543,0))</f>
        <v>1</v>
      </c>
      <c r="Q31" s="10" t="s">
        <v>203</v>
      </c>
      <c r="R31" s="10" t="s">
        <v>149</v>
      </c>
      <c r="S31" s="10">
        <v>148.94</v>
      </c>
      <c r="T31" s="10">
        <v>164.33799999999999</v>
      </c>
      <c r="U31" s="10">
        <v>181.24600000000001</v>
      </c>
      <c r="V31" s="10">
        <f>CHOOSE(MATCH(Setup!$B$7,{"STD","Half-PPR","PPR"},0),S31,T31,U31)</f>
        <v>164.33799999999999</v>
      </c>
      <c r="W31" s="10">
        <f>COUNTIFS('Draft Board'!$X$2:$X$161,"&gt;="&amp;X31,'Draft Board'!$AB$2:$AB$161,1)</f>
        <v>6</v>
      </c>
      <c r="X31" s="10">
        <f>MAX(0,V31-'Live Calc'!$H$20)^'Live Calc'!$E$20</f>
        <v>145.67254605530235</v>
      </c>
      <c r="Y31" s="10">
        <v>31</v>
      </c>
      <c r="Z31" s="10">
        <f>IF(Y31&lt;&gt;_xlfn.MINIFS('Draft Board'!$Y$2:$Y$161,'Draft Board'!$X$2:$X$161,"="&amp;X31),0,IF(_xlfn.MINIFS('Draft Board'!$X$2:$X$161,'Draft Board'!$X$2:$X$161,"&gt;"&amp;X31)=0,1,IF((_xlfn.MINIFS('Draft Board'!$X$2:$X$161,'Draft Board'!$X$2:$X$161,"&gt;"&amp;X31)-X31)/_xlfn.MINIFS('Draft Board'!$X$2:$X$161,'Draft Board'!$X$2:$X$161,"&gt;"&amp;X31)&gt;0.08,1,0)))</f>
        <v>0</v>
      </c>
      <c r="AA31" s="10">
        <f>_xlfn.MINIFS('Draft Board'!$X$2:$X$161,'Draft Board'!$X$2:$X$161,"&gt;="&amp;X31,'Draft Board'!$Z$2:$Z$161,1)</f>
        <v>163.08066269165599</v>
      </c>
      <c r="AB31" s="10">
        <f>IF(Y31&lt;&gt;_xlfn.MINIFS('Draft Board'!$Y$2:$Y$161,'Draft Board'!$X$2:$X$161,"="&amp;X31),0,IF(OR(Z31=1,IFERROR(FLOOR((AA31-X31)/AA31/0.25,1),0)&lt;&gt;IFERROR(FLOOR((AA31-_xlfn.MINIFS('Draft Board'!$X$2:$X$161,'Draft Board'!$X$2:$X$161,"&gt;"&amp;X31))/AA31/0.25,1),0)),1,0))</f>
        <v>0</v>
      </c>
      <c r="AC31" s="10">
        <f>ROUND(1+X31*'Live Calc'!$D$27,0)</f>
        <v>14</v>
      </c>
      <c r="AD31" s="10"/>
      <c r="AE31" s="10">
        <f>IF(AD31&lt;&gt;"",AD31,ROUND(AC31*INDEX('Live Calc'!$G$96:$G$255,MATCH(W31,'Live Calc'!$A$96:$A$255,0))*'Live Calc'!$J$543,0))</f>
        <v>14</v>
      </c>
      <c r="AG31" s="11" t="s">
        <v>204</v>
      </c>
      <c r="AH31" s="11" t="s">
        <v>81</v>
      </c>
      <c r="AI31" s="11">
        <v>127.488</v>
      </c>
      <c r="AJ31" s="11">
        <v>157.79599999999999</v>
      </c>
      <c r="AK31" s="11">
        <v>188.40799999999999</v>
      </c>
      <c r="AL31" s="11">
        <f>CHOOSE(MATCH(Setup!$B$7,{"STD","Half-PPR","PPR"},0),AI31,AJ31,AK31)</f>
        <v>157.79599999999999</v>
      </c>
      <c r="AM31" s="11">
        <f>COUNTIFS('Draft Board'!$AN$2:$AN$193,"&gt;="&amp;AN31,'Draft Board'!$AR$2:$AR$193,1)</f>
        <v>7</v>
      </c>
      <c r="AN31" s="11">
        <f>MAX(0,AL31-'Live Calc'!$H$21)^'Live Calc'!$E$21</f>
        <v>155.09520003629552</v>
      </c>
      <c r="AO31" s="11">
        <v>31</v>
      </c>
      <c r="AP31" s="11">
        <f>IF(AO31&lt;&gt;_xlfn.MINIFS('Draft Board'!$AO$2:$AO$193,'Draft Board'!$AN$2:$AN$193,"="&amp;AN31),0,IF(_xlfn.MINIFS('Draft Board'!$AN$2:$AN$193,'Draft Board'!$AN$2:$AN$193,"&gt;"&amp;AN31)=0,1,IF((_xlfn.MINIFS('Draft Board'!$AN$2:$AN$193,'Draft Board'!$AN$2:$AN$193,"&gt;"&amp;AN31)-AN31)/_xlfn.MINIFS('Draft Board'!$AN$2:$AN$193,'Draft Board'!$AN$2:$AN$193,"&gt;"&amp;AN31)&gt;0.08,1,0)))</f>
        <v>1</v>
      </c>
      <c r="AQ31" s="11">
        <f>_xlfn.MINIFS('Draft Board'!$AN$2:$AN$193,'Draft Board'!$AN$2:$AN$193,"&gt;="&amp;AN31,'Draft Board'!$AP$2:$AP$193,1)</f>
        <v>155.09520003629552</v>
      </c>
      <c r="AR31" s="11">
        <f>IF(AO31&lt;&gt;_xlfn.MINIFS('Draft Board'!$AO$2:$AO$193,'Draft Board'!$AN$2:$AN$193,"="&amp;AN31),0,IF(OR(AP31=1,IFERROR(FLOOR((AQ31-AN31)/AQ31/0.25,1),0)&lt;&gt;IFERROR(FLOOR((AQ31-_xlfn.MINIFS('Draft Board'!$AN$2:$AN$193,'Draft Board'!$AN$2:$AN$193,"&gt;"&amp;AN31))/AQ31/0.25,1),0)),1,0))</f>
        <v>1</v>
      </c>
      <c r="AS31" s="11">
        <f>ROUND(1+AN31*'Live Calc'!$D$28,0)</f>
        <v>14</v>
      </c>
      <c r="AT31" s="11"/>
      <c r="AU31" s="11">
        <f>IF(AT31&lt;&gt;"",AT31,ROUND(AS31*INDEX('Live Calc'!$G$259:$G$450,MATCH(AM31,'Live Calc'!$A$259:$A$450,0))*'Live Calc'!$J$543,0))</f>
        <v>14</v>
      </c>
      <c r="AW31" s="12" t="s">
        <v>205</v>
      </c>
      <c r="AX31" s="12" t="s">
        <v>59</v>
      </c>
      <c r="AY31" s="12">
        <v>61.572000000000003</v>
      </c>
      <c r="AZ31" s="12">
        <v>79.037999999999997</v>
      </c>
      <c r="BA31" s="12">
        <v>93.096000000000004</v>
      </c>
      <c r="BB31" s="12">
        <f>CHOOSE(MATCH(Setup!$B$7,{"STD","Half-PPR","PPR"},0),AY31,AZ31,BA31)</f>
        <v>79.037999999999997</v>
      </c>
      <c r="BC31" s="12">
        <f>COUNTIFS('Draft Board'!$BD$2:$BD$87,"&gt;="&amp;BD31,'Draft Board'!$BH$2:$BH$87,1)</f>
        <v>15</v>
      </c>
      <c r="BD31" s="12">
        <f>MAX(0,BB31-'Live Calc'!$H$22)^'Live Calc'!$E$22</f>
        <v>0</v>
      </c>
      <c r="BE31" s="12">
        <v>31</v>
      </c>
      <c r="BF31" s="12">
        <f>IF(BE31&lt;&gt;_xlfn.MINIFS('Draft Board'!$BE$2:$BE$87,'Draft Board'!$BD$2:$BD$87,"="&amp;BD31),0,IF(_xlfn.MINIFS('Draft Board'!$BD$2:$BD$87,'Draft Board'!$BD$2:$BD$87,"&gt;"&amp;BD31)=0,1,IF((_xlfn.MINIFS('Draft Board'!$BD$2:$BD$87,'Draft Board'!$BD$2:$BD$87,"&gt;"&amp;BD31)-BD31)/_xlfn.MINIFS('Draft Board'!$BD$2:$BD$87,'Draft Board'!$BD$2:$BD$87,"&gt;"&amp;BD31)&gt;0.08,1,0)))</f>
        <v>0</v>
      </c>
      <c r="BG31" s="12">
        <f>_xlfn.MINIFS('Draft Board'!$BD$2:$BD$87,'Draft Board'!$BD$2:$BD$87,"&gt;="&amp;BD31,'Draft Board'!$BF$2:$BF$87,1)</f>
        <v>0</v>
      </c>
      <c r="BH31" s="12">
        <f>IF(BE31&lt;&gt;_xlfn.MINIFS('Draft Board'!$BE$2:$BE$87,'Draft Board'!$BD$2:$BD$87,"="&amp;BD31),0,IF(OR(BF31=1,IFERROR(FLOOR((BG31-BD31)/BG31/0.25,1),0)&lt;&gt;IFERROR(FLOOR((BG31-_xlfn.MINIFS('Draft Board'!$BD$2:$BD$87,'Draft Board'!$BD$2:$BD$87,"&gt;"&amp;BD31))/BG31/0.25,1),0)),1,0))</f>
        <v>0</v>
      </c>
      <c r="BI31" s="12">
        <f>ROUND(1+BD31*'Live Calc'!$D$29,0)</f>
        <v>1</v>
      </c>
      <c r="BJ31" s="12"/>
      <c r="BK31" s="12">
        <f>IF(BJ31&lt;&gt;"",BJ31,ROUND(BI31*INDEX('Live Calc'!$G$454:$G$539,MATCH(BC31,'Live Calc'!$A$454:$A$539,0))*'Live Calc'!$J$543,0))</f>
        <v>1</v>
      </c>
    </row>
    <row r="32" spans="1:63" x14ac:dyDescent="0.25">
      <c r="A32" s="9" t="s">
        <v>206</v>
      </c>
      <c r="B32" s="9" t="s">
        <v>65</v>
      </c>
      <c r="C32" s="9">
        <v>133.99</v>
      </c>
      <c r="D32" s="9">
        <v>133.99</v>
      </c>
      <c r="E32" s="9">
        <v>133.99</v>
      </c>
      <c r="F32" s="9">
        <f>CHOOSE(MATCH(Setup!$B$7,{"STD","Half-PPR","PPR"},0),C32,D32,E32)</f>
        <v>133.99</v>
      </c>
      <c r="G32" s="9">
        <f>COUNTIFS('Draft Board'!$H$2:$H$61,"&gt;="&amp;H32,'Draft Board'!$L$2:$L$61,1)</f>
        <v>11</v>
      </c>
      <c r="H32" s="9">
        <f>MAX(0,F32-'Live Calc'!$H$19)^'Live Calc'!$E$19</f>
        <v>0</v>
      </c>
      <c r="I32" s="9">
        <v>32</v>
      </c>
      <c r="J32" s="9">
        <f>IF(I32&lt;&gt;_xlfn.MINIFS('Draft Board'!$I$2:$I$61,'Draft Board'!$H$2:$H$61,"="&amp;H32),0,IF(_xlfn.MINIFS('Draft Board'!$H$2:$H$61,'Draft Board'!$H$2:$H$61,"&gt;"&amp;H32)=0,1,IF((_xlfn.MINIFS('Draft Board'!$H$2:$H$61,'Draft Board'!$H$2:$H$61,"&gt;"&amp;H32)-H32)/_xlfn.MINIFS('Draft Board'!$H$2:$H$61,'Draft Board'!$H$2:$H$61,"&gt;"&amp;H32)&gt;0.08,1,0)))</f>
        <v>0</v>
      </c>
      <c r="K32" s="9">
        <f>_xlfn.MINIFS('Draft Board'!$H$2:$H$61,'Draft Board'!$H$2:$H$61,"&gt;="&amp;H32,'Draft Board'!$J$2:$J$61,1)</f>
        <v>0</v>
      </c>
      <c r="L32" s="9">
        <f>IF(I32&lt;&gt;_xlfn.MINIFS('Draft Board'!$I$2:$I$61,'Draft Board'!$H$2:$H$61,"="&amp;H32),0,IF(OR(J32=1,IFERROR(FLOOR((K32-H32)/K32/0.25,1),0)&lt;&gt;IFERROR(FLOOR((K32-_xlfn.MINIFS('Draft Board'!$H$2:$H$61,'Draft Board'!$H$2:$H$61,"&gt;"&amp;H32))/K32/0.25,1),0)),1,0))</f>
        <v>0</v>
      </c>
      <c r="M32" s="9">
        <f>ROUND(1+H32*'Live Calc'!$D$26,0)</f>
        <v>1</v>
      </c>
      <c r="N32" s="9"/>
      <c r="O32" s="9">
        <f>IF(N32&lt;&gt;"",N32,ROUND(M32*INDEX('Live Calc'!$G$33:$G$92,MATCH(G32,'Live Calc'!$A$33:$A$92,0))*'Live Calc'!$J$543,0))</f>
        <v>1</v>
      </c>
      <c r="Q32" s="10" t="s">
        <v>207</v>
      </c>
      <c r="R32" s="10" t="s">
        <v>185</v>
      </c>
      <c r="S32" s="10">
        <v>143.91999999999999</v>
      </c>
      <c r="T32" s="10">
        <v>162.70400000000001</v>
      </c>
      <c r="U32" s="10">
        <v>177.608</v>
      </c>
      <c r="V32" s="10">
        <f>CHOOSE(MATCH(Setup!$B$7,{"STD","Half-PPR","PPR"},0),S32,T32,U32)</f>
        <v>162.70400000000001</v>
      </c>
      <c r="W32" s="10">
        <f>COUNTIFS('Draft Board'!$X$2:$X$161,"&gt;="&amp;X32,'Draft Board'!$AB$2:$AB$161,1)</f>
        <v>6</v>
      </c>
      <c r="X32" s="10">
        <f>MAX(0,V32-'Live Calc'!$H$20)^'Live Calc'!$E$20</f>
        <v>141.18643934837965</v>
      </c>
      <c r="Y32" s="10">
        <v>32</v>
      </c>
      <c r="Z32" s="10">
        <f>IF(Y32&lt;&gt;_xlfn.MINIFS('Draft Board'!$Y$2:$Y$161,'Draft Board'!$X$2:$X$161,"="&amp;X32),0,IF(_xlfn.MINIFS('Draft Board'!$X$2:$X$161,'Draft Board'!$X$2:$X$161,"&gt;"&amp;X32)=0,1,IF((_xlfn.MINIFS('Draft Board'!$X$2:$X$161,'Draft Board'!$X$2:$X$161,"&gt;"&amp;X32)-X32)/_xlfn.MINIFS('Draft Board'!$X$2:$X$161,'Draft Board'!$X$2:$X$161,"&gt;"&amp;X32)&gt;0.08,1,0)))</f>
        <v>0</v>
      </c>
      <c r="AA32" s="10">
        <f>_xlfn.MINIFS('Draft Board'!$X$2:$X$161,'Draft Board'!$X$2:$X$161,"&gt;="&amp;X32,'Draft Board'!$Z$2:$Z$161,1)</f>
        <v>163.08066269165599</v>
      </c>
      <c r="AB32" s="10">
        <f>IF(Y32&lt;&gt;_xlfn.MINIFS('Draft Board'!$Y$2:$Y$161,'Draft Board'!$X$2:$X$161,"="&amp;X32),0,IF(OR(Z32=1,IFERROR(FLOOR((AA32-X32)/AA32/0.25,1),0)&lt;&gt;IFERROR(FLOOR((AA32-_xlfn.MINIFS('Draft Board'!$X$2:$X$161,'Draft Board'!$X$2:$X$161,"&gt;"&amp;X32))/AA32/0.25,1),0)),1,0))</f>
        <v>0</v>
      </c>
      <c r="AC32" s="10">
        <f>ROUND(1+X32*'Live Calc'!$D$27,0)</f>
        <v>14</v>
      </c>
      <c r="AD32" s="10"/>
      <c r="AE32" s="10">
        <f>IF(AD32&lt;&gt;"",AD32,ROUND(AC32*INDEX('Live Calc'!$G$96:$G$255,MATCH(W32,'Live Calc'!$A$96:$A$255,0))*'Live Calc'!$J$543,0))</f>
        <v>14</v>
      </c>
      <c r="AG32" s="11" t="s">
        <v>208</v>
      </c>
      <c r="AH32" s="11" t="s">
        <v>185</v>
      </c>
      <c r="AI32" s="11">
        <v>127.13200000000001</v>
      </c>
      <c r="AJ32" s="11">
        <v>156.036</v>
      </c>
      <c r="AK32" s="11">
        <v>187.27600000000001</v>
      </c>
      <c r="AL32" s="11">
        <f>CHOOSE(MATCH(Setup!$B$7,{"STD","Half-PPR","PPR"},0),AI32,AJ32,AK32)</f>
        <v>156.036</v>
      </c>
      <c r="AM32" s="11">
        <f>COUNTIFS('Draft Board'!$AN$2:$AN$193,"&gt;="&amp;AN32,'Draft Board'!$AR$2:$AR$193,1)</f>
        <v>7</v>
      </c>
      <c r="AN32" s="11">
        <f>MAX(0,AL32-'Live Calc'!$H$21)^'Live Calc'!$E$21</f>
        <v>149.08572830412083</v>
      </c>
      <c r="AO32" s="11">
        <v>32</v>
      </c>
      <c r="AP32" s="11">
        <f>IF(AO32&lt;&gt;_xlfn.MINIFS('Draft Board'!$AO$2:$AO$193,'Draft Board'!$AN$2:$AN$193,"="&amp;AN32),0,IF(_xlfn.MINIFS('Draft Board'!$AN$2:$AN$193,'Draft Board'!$AN$2:$AN$193,"&gt;"&amp;AN32)=0,1,IF((_xlfn.MINIFS('Draft Board'!$AN$2:$AN$193,'Draft Board'!$AN$2:$AN$193,"&gt;"&amp;AN32)-AN32)/_xlfn.MINIFS('Draft Board'!$AN$2:$AN$193,'Draft Board'!$AN$2:$AN$193,"&gt;"&amp;AN32)&gt;0.08,1,0)))</f>
        <v>0</v>
      </c>
      <c r="AQ32" s="11">
        <f>_xlfn.MINIFS('Draft Board'!$AN$2:$AN$193,'Draft Board'!$AN$2:$AN$193,"&gt;="&amp;AN32,'Draft Board'!$AP$2:$AP$193,1)</f>
        <v>155.09520003629552</v>
      </c>
      <c r="AR32" s="11">
        <f>IF(AO32&lt;&gt;_xlfn.MINIFS('Draft Board'!$AO$2:$AO$193,'Draft Board'!$AN$2:$AN$193,"="&amp;AN32),0,IF(OR(AP32=1,IFERROR(FLOOR((AQ32-AN32)/AQ32/0.25,1),0)&lt;&gt;IFERROR(FLOOR((AQ32-_xlfn.MINIFS('Draft Board'!$AN$2:$AN$193,'Draft Board'!$AN$2:$AN$193,"&gt;"&amp;AN32))/AQ32/0.25,1),0)),1,0))</f>
        <v>0</v>
      </c>
      <c r="AS32" s="11">
        <f>ROUND(1+AN32*'Live Calc'!$D$28,0)</f>
        <v>13</v>
      </c>
      <c r="AT32" s="11"/>
      <c r="AU32" s="11">
        <f>IF(AT32&lt;&gt;"",AT32,ROUND(AS32*INDEX('Live Calc'!$G$259:$G$450,MATCH(AM32,'Live Calc'!$A$259:$A$450,0))*'Live Calc'!$J$543,0))</f>
        <v>13</v>
      </c>
      <c r="AW32" s="12" t="s">
        <v>209</v>
      </c>
      <c r="AX32" s="12" t="s">
        <v>59</v>
      </c>
      <c r="AY32" s="12">
        <v>67.024000000000001</v>
      </c>
      <c r="AZ32" s="12">
        <v>78.616</v>
      </c>
      <c r="BA32" s="12">
        <v>95.872</v>
      </c>
      <c r="BB32" s="12">
        <f>CHOOSE(MATCH(Setup!$B$7,{"STD","Half-PPR","PPR"},0),AY32,AZ32,BA32)</f>
        <v>78.616</v>
      </c>
      <c r="BC32" s="12">
        <f>COUNTIFS('Draft Board'!$BD$2:$BD$87,"&gt;="&amp;BD32,'Draft Board'!$BH$2:$BH$87,1)</f>
        <v>15</v>
      </c>
      <c r="BD32" s="12">
        <f>MAX(0,BB32-'Live Calc'!$H$22)^'Live Calc'!$E$22</f>
        <v>0</v>
      </c>
      <c r="BE32" s="12">
        <v>32</v>
      </c>
      <c r="BF32" s="12">
        <f>IF(BE32&lt;&gt;_xlfn.MINIFS('Draft Board'!$BE$2:$BE$87,'Draft Board'!$BD$2:$BD$87,"="&amp;BD32),0,IF(_xlfn.MINIFS('Draft Board'!$BD$2:$BD$87,'Draft Board'!$BD$2:$BD$87,"&gt;"&amp;BD32)=0,1,IF((_xlfn.MINIFS('Draft Board'!$BD$2:$BD$87,'Draft Board'!$BD$2:$BD$87,"&gt;"&amp;BD32)-BD32)/_xlfn.MINIFS('Draft Board'!$BD$2:$BD$87,'Draft Board'!$BD$2:$BD$87,"&gt;"&amp;BD32)&gt;0.08,1,0)))</f>
        <v>0</v>
      </c>
      <c r="BG32" s="12">
        <f>_xlfn.MINIFS('Draft Board'!$BD$2:$BD$87,'Draft Board'!$BD$2:$BD$87,"&gt;="&amp;BD32,'Draft Board'!$BF$2:$BF$87,1)</f>
        <v>0</v>
      </c>
      <c r="BH32" s="12">
        <f>IF(BE32&lt;&gt;_xlfn.MINIFS('Draft Board'!$BE$2:$BE$87,'Draft Board'!$BD$2:$BD$87,"="&amp;BD32),0,IF(OR(BF32=1,IFERROR(FLOOR((BG32-BD32)/BG32/0.25,1),0)&lt;&gt;IFERROR(FLOOR((BG32-_xlfn.MINIFS('Draft Board'!$BD$2:$BD$87,'Draft Board'!$BD$2:$BD$87,"&gt;"&amp;BD32))/BG32/0.25,1),0)),1,0))</f>
        <v>0</v>
      </c>
      <c r="BI32" s="12">
        <f>ROUND(1+BD32*'Live Calc'!$D$29,0)</f>
        <v>1</v>
      </c>
      <c r="BJ32" s="12"/>
      <c r="BK32" s="12">
        <f>IF(BJ32&lt;&gt;"",BJ32,ROUND(BI32*INDEX('Live Calc'!$G$454:$G$539,MATCH(BC32,'Live Calc'!$A$454:$A$539,0))*'Live Calc'!$J$543,0))</f>
        <v>1</v>
      </c>
    </row>
    <row r="33" spans="1:63" x14ac:dyDescent="0.25">
      <c r="A33" s="9" t="s">
        <v>210</v>
      </c>
      <c r="B33" s="9" t="s">
        <v>90</v>
      </c>
      <c r="C33" s="9">
        <v>120.57</v>
      </c>
      <c r="D33" s="9">
        <v>120.57</v>
      </c>
      <c r="E33" s="9">
        <v>120.57</v>
      </c>
      <c r="F33" s="9">
        <f>CHOOSE(MATCH(Setup!$B$7,{"STD","Half-PPR","PPR"},0),C33,D33,E33)</f>
        <v>120.57</v>
      </c>
      <c r="G33" s="9">
        <f>COUNTIFS('Draft Board'!$H$2:$H$61,"&gt;="&amp;H33,'Draft Board'!$L$2:$L$61,1)</f>
        <v>11</v>
      </c>
      <c r="H33" s="9">
        <f>MAX(0,F33-'Live Calc'!$H$19)^'Live Calc'!$E$19</f>
        <v>0</v>
      </c>
      <c r="I33" s="9">
        <v>33</v>
      </c>
      <c r="J33" s="9">
        <f>IF(I33&lt;&gt;_xlfn.MINIFS('Draft Board'!$I$2:$I$61,'Draft Board'!$H$2:$H$61,"="&amp;H33),0,IF(_xlfn.MINIFS('Draft Board'!$H$2:$H$61,'Draft Board'!$H$2:$H$61,"&gt;"&amp;H33)=0,1,IF((_xlfn.MINIFS('Draft Board'!$H$2:$H$61,'Draft Board'!$H$2:$H$61,"&gt;"&amp;H33)-H33)/_xlfn.MINIFS('Draft Board'!$H$2:$H$61,'Draft Board'!$H$2:$H$61,"&gt;"&amp;H33)&gt;0.08,1,0)))</f>
        <v>0</v>
      </c>
      <c r="K33" s="9">
        <f>_xlfn.MINIFS('Draft Board'!$H$2:$H$61,'Draft Board'!$H$2:$H$61,"&gt;="&amp;H33,'Draft Board'!$J$2:$J$61,1)</f>
        <v>0</v>
      </c>
      <c r="L33" s="9">
        <f>IF(I33&lt;&gt;_xlfn.MINIFS('Draft Board'!$I$2:$I$61,'Draft Board'!$H$2:$H$61,"="&amp;H33),0,IF(OR(J33=1,IFERROR(FLOOR((K33-H33)/K33/0.25,1),0)&lt;&gt;IFERROR(FLOOR((K33-_xlfn.MINIFS('Draft Board'!$H$2:$H$61,'Draft Board'!$H$2:$H$61,"&gt;"&amp;H33))/K33/0.25,1),0)),1,0))</f>
        <v>0</v>
      </c>
      <c r="M33" s="9">
        <f>ROUND(1+H33*'Live Calc'!$D$26,0)</f>
        <v>1</v>
      </c>
      <c r="N33" s="9"/>
      <c r="O33" s="9">
        <f>IF(N33&lt;&gt;"",N33,ROUND(M33*INDEX('Live Calc'!$G$33:$G$92,MATCH(G33,'Live Calc'!$A$33:$A$92,0))*'Live Calc'!$J$543,0))</f>
        <v>1</v>
      </c>
      <c r="Q33" s="10" t="s">
        <v>211</v>
      </c>
      <c r="R33" s="10" t="s">
        <v>133</v>
      </c>
      <c r="S33" s="10">
        <v>125.75</v>
      </c>
      <c r="T33" s="10">
        <v>147.69</v>
      </c>
      <c r="U33" s="10">
        <v>169.63</v>
      </c>
      <c r="V33" s="10">
        <f>CHOOSE(MATCH(Setup!$B$7,{"STD","Half-PPR","PPR"},0),S33,T33,U33)</f>
        <v>147.69</v>
      </c>
      <c r="W33" s="10">
        <f>COUNTIFS('Draft Board'!$X$2:$X$161,"&gt;="&amp;X33,'Draft Board'!$AB$2:$AB$161,1)</f>
        <v>7</v>
      </c>
      <c r="X33" s="10">
        <f>MAX(0,V33-'Live Calc'!$H$20)^'Live Calc'!$E$20</f>
        <v>101.14408680219645</v>
      </c>
      <c r="Y33" s="10">
        <v>33</v>
      </c>
      <c r="Z33" s="10">
        <f>IF(Y33&lt;&gt;_xlfn.MINIFS('Draft Board'!$Y$2:$Y$161,'Draft Board'!$X$2:$X$161,"="&amp;X33),0,IF(_xlfn.MINIFS('Draft Board'!$X$2:$X$161,'Draft Board'!$X$2:$X$161,"&gt;"&amp;X33)=0,1,IF((_xlfn.MINIFS('Draft Board'!$X$2:$X$161,'Draft Board'!$X$2:$X$161,"&gt;"&amp;X33)-X33)/_xlfn.MINIFS('Draft Board'!$X$2:$X$161,'Draft Board'!$X$2:$X$161,"&gt;"&amp;X33)&gt;0.08,1,0)))</f>
        <v>1</v>
      </c>
      <c r="AA33" s="10">
        <f>_xlfn.MINIFS('Draft Board'!$X$2:$X$161,'Draft Board'!$X$2:$X$161,"&gt;="&amp;X33,'Draft Board'!$Z$2:$Z$161,1)</f>
        <v>101.14408680219645</v>
      </c>
      <c r="AB33" s="10">
        <f>IF(Y33&lt;&gt;_xlfn.MINIFS('Draft Board'!$Y$2:$Y$161,'Draft Board'!$X$2:$X$161,"="&amp;X33),0,IF(OR(Z33=1,IFERROR(FLOOR((AA33-X33)/AA33/0.25,1),0)&lt;&gt;IFERROR(FLOOR((AA33-_xlfn.MINIFS('Draft Board'!$X$2:$X$161,'Draft Board'!$X$2:$X$161,"&gt;"&amp;X33))/AA33/0.25,1),0)),1,0))</f>
        <v>1</v>
      </c>
      <c r="AC33" s="10">
        <f>ROUND(1+X33*'Live Calc'!$D$27,0)</f>
        <v>10</v>
      </c>
      <c r="AD33" s="10"/>
      <c r="AE33" s="10">
        <f>IF(AD33&lt;&gt;"",AD33,ROUND(AC33*INDEX('Live Calc'!$G$96:$G$255,MATCH(W33,'Live Calc'!$A$96:$A$255,0))*'Live Calc'!$J$543,0))</f>
        <v>10</v>
      </c>
      <c r="AG33" s="11" t="s">
        <v>212</v>
      </c>
      <c r="AH33" s="11" t="s">
        <v>61</v>
      </c>
      <c r="AI33" s="11">
        <v>123.93600000000001</v>
      </c>
      <c r="AJ33" s="11">
        <v>155.34399999999999</v>
      </c>
      <c r="AK33" s="11">
        <v>184.66800000000001</v>
      </c>
      <c r="AL33" s="11">
        <f>CHOOSE(MATCH(Setup!$B$7,{"STD","Half-PPR","PPR"},0),AI33,AJ33,AK33)</f>
        <v>155.34399999999999</v>
      </c>
      <c r="AM33" s="11">
        <f>COUNTIFS('Draft Board'!$AN$2:$AN$193,"&gt;="&amp;AN33,'Draft Board'!$AR$2:$AR$193,1)</f>
        <v>7</v>
      </c>
      <c r="AN33" s="11">
        <f>MAX(0,AL33-'Live Calc'!$H$21)^'Live Calc'!$E$21</f>
        <v>146.7360141635771</v>
      </c>
      <c r="AO33" s="11">
        <v>33</v>
      </c>
      <c r="AP33" s="11">
        <f>IF(AO33&lt;&gt;_xlfn.MINIFS('Draft Board'!$AO$2:$AO$193,'Draft Board'!$AN$2:$AN$193,"="&amp;AN33),0,IF(_xlfn.MINIFS('Draft Board'!$AN$2:$AN$193,'Draft Board'!$AN$2:$AN$193,"&gt;"&amp;AN33)=0,1,IF((_xlfn.MINIFS('Draft Board'!$AN$2:$AN$193,'Draft Board'!$AN$2:$AN$193,"&gt;"&amp;AN33)-AN33)/_xlfn.MINIFS('Draft Board'!$AN$2:$AN$193,'Draft Board'!$AN$2:$AN$193,"&gt;"&amp;AN33)&gt;0.08,1,0)))</f>
        <v>0</v>
      </c>
      <c r="AQ33" s="11">
        <f>_xlfn.MINIFS('Draft Board'!$AN$2:$AN$193,'Draft Board'!$AN$2:$AN$193,"&gt;="&amp;AN33,'Draft Board'!$AP$2:$AP$193,1)</f>
        <v>155.09520003629552</v>
      </c>
      <c r="AR33" s="11">
        <f>IF(AO33&lt;&gt;_xlfn.MINIFS('Draft Board'!$AO$2:$AO$193,'Draft Board'!$AN$2:$AN$193,"="&amp;AN33),0,IF(OR(AP33=1,IFERROR(FLOOR((AQ33-AN33)/AQ33/0.25,1),0)&lt;&gt;IFERROR(FLOOR((AQ33-_xlfn.MINIFS('Draft Board'!$AN$2:$AN$193,'Draft Board'!$AN$2:$AN$193,"&gt;"&amp;AN33))/AQ33/0.25,1),0)),1,0))</f>
        <v>0</v>
      </c>
      <c r="AS33" s="11">
        <f>ROUND(1+AN33*'Live Calc'!$D$28,0)</f>
        <v>13</v>
      </c>
      <c r="AT33" s="11"/>
      <c r="AU33" s="11">
        <f>IF(AT33&lt;&gt;"",AT33,ROUND(AS33*INDEX('Live Calc'!$G$259:$G$450,MATCH(AM33,'Live Calc'!$A$259:$A$450,0))*'Live Calc'!$J$543,0))</f>
        <v>13</v>
      </c>
      <c r="AW33" s="12" t="s">
        <v>213</v>
      </c>
      <c r="AX33" s="12" t="s">
        <v>119</v>
      </c>
      <c r="AY33" s="12">
        <v>58.973999999999997</v>
      </c>
      <c r="AZ33" s="12">
        <v>77.286000000000001</v>
      </c>
      <c r="BA33" s="12">
        <v>96.778000000000006</v>
      </c>
      <c r="BB33" s="12">
        <f>CHOOSE(MATCH(Setup!$B$7,{"STD","Half-PPR","PPR"},0),AY33,AZ33,BA33)</f>
        <v>77.286000000000001</v>
      </c>
      <c r="BC33" s="12">
        <f>COUNTIFS('Draft Board'!$BD$2:$BD$87,"&gt;="&amp;BD33,'Draft Board'!$BH$2:$BH$87,1)</f>
        <v>15</v>
      </c>
      <c r="BD33" s="12">
        <f>MAX(0,BB33-'Live Calc'!$H$22)^'Live Calc'!$E$22</f>
        <v>0</v>
      </c>
      <c r="BE33" s="12">
        <v>33</v>
      </c>
      <c r="BF33" s="12">
        <f>IF(BE33&lt;&gt;_xlfn.MINIFS('Draft Board'!$BE$2:$BE$87,'Draft Board'!$BD$2:$BD$87,"="&amp;BD33),0,IF(_xlfn.MINIFS('Draft Board'!$BD$2:$BD$87,'Draft Board'!$BD$2:$BD$87,"&gt;"&amp;BD33)=0,1,IF((_xlfn.MINIFS('Draft Board'!$BD$2:$BD$87,'Draft Board'!$BD$2:$BD$87,"&gt;"&amp;BD33)-BD33)/_xlfn.MINIFS('Draft Board'!$BD$2:$BD$87,'Draft Board'!$BD$2:$BD$87,"&gt;"&amp;BD33)&gt;0.08,1,0)))</f>
        <v>0</v>
      </c>
      <c r="BG33" s="12">
        <f>_xlfn.MINIFS('Draft Board'!$BD$2:$BD$87,'Draft Board'!$BD$2:$BD$87,"&gt;="&amp;BD33,'Draft Board'!$BF$2:$BF$87,1)</f>
        <v>0</v>
      </c>
      <c r="BH33" s="12">
        <f>IF(BE33&lt;&gt;_xlfn.MINIFS('Draft Board'!$BE$2:$BE$87,'Draft Board'!$BD$2:$BD$87,"="&amp;BD33),0,IF(OR(BF33=1,IFERROR(FLOOR((BG33-BD33)/BG33/0.25,1),0)&lt;&gt;IFERROR(FLOOR((BG33-_xlfn.MINIFS('Draft Board'!$BD$2:$BD$87,'Draft Board'!$BD$2:$BD$87,"&gt;"&amp;BD33))/BG33/0.25,1),0)),1,0))</f>
        <v>0</v>
      </c>
      <c r="BI33" s="12">
        <f>ROUND(1+BD33*'Live Calc'!$D$29,0)</f>
        <v>1</v>
      </c>
      <c r="BJ33" s="12"/>
      <c r="BK33" s="12">
        <f>IF(BJ33&lt;&gt;"",BJ33,ROUND(BI33*INDEX('Live Calc'!$G$454:$G$539,MATCH(BC33,'Live Calc'!$A$454:$A$539,0))*'Live Calc'!$J$543,0))</f>
        <v>1</v>
      </c>
    </row>
    <row r="34" spans="1:63" x14ac:dyDescent="0.25">
      <c r="A34" s="9" t="s">
        <v>214</v>
      </c>
      <c r="B34" s="9" t="s">
        <v>65</v>
      </c>
      <c r="C34" s="9">
        <v>112.94</v>
      </c>
      <c r="D34" s="9">
        <v>112.94</v>
      </c>
      <c r="E34" s="9">
        <v>112.94</v>
      </c>
      <c r="F34" s="9">
        <f>CHOOSE(MATCH(Setup!$B$7,{"STD","Half-PPR","PPR"},0),C34,D34,E34)</f>
        <v>112.94</v>
      </c>
      <c r="G34" s="9">
        <f>COUNTIFS('Draft Board'!$H$2:$H$61,"&gt;="&amp;H34,'Draft Board'!$L$2:$L$61,1)</f>
        <v>11</v>
      </c>
      <c r="H34" s="9">
        <f>MAX(0,F34-'Live Calc'!$H$19)^'Live Calc'!$E$19</f>
        <v>0</v>
      </c>
      <c r="I34" s="9">
        <v>34</v>
      </c>
      <c r="J34" s="9">
        <f>IF(I34&lt;&gt;_xlfn.MINIFS('Draft Board'!$I$2:$I$61,'Draft Board'!$H$2:$H$61,"="&amp;H34),0,IF(_xlfn.MINIFS('Draft Board'!$H$2:$H$61,'Draft Board'!$H$2:$H$61,"&gt;"&amp;H34)=0,1,IF((_xlfn.MINIFS('Draft Board'!$H$2:$H$61,'Draft Board'!$H$2:$H$61,"&gt;"&amp;H34)-H34)/_xlfn.MINIFS('Draft Board'!$H$2:$H$61,'Draft Board'!$H$2:$H$61,"&gt;"&amp;H34)&gt;0.08,1,0)))</f>
        <v>0</v>
      </c>
      <c r="K34" s="9">
        <f>_xlfn.MINIFS('Draft Board'!$H$2:$H$61,'Draft Board'!$H$2:$H$61,"&gt;="&amp;H34,'Draft Board'!$J$2:$J$61,1)</f>
        <v>0</v>
      </c>
      <c r="L34" s="9">
        <f>IF(I34&lt;&gt;_xlfn.MINIFS('Draft Board'!$I$2:$I$61,'Draft Board'!$H$2:$H$61,"="&amp;H34),0,IF(OR(J34=1,IFERROR(FLOOR((K34-H34)/K34/0.25,1),0)&lt;&gt;IFERROR(FLOOR((K34-_xlfn.MINIFS('Draft Board'!$H$2:$H$61,'Draft Board'!$H$2:$H$61,"&gt;"&amp;H34))/K34/0.25,1),0)),1,0))</f>
        <v>0</v>
      </c>
      <c r="M34" s="9">
        <f>ROUND(1+H34*'Live Calc'!$D$26,0)</f>
        <v>1</v>
      </c>
      <c r="N34" s="9"/>
      <c r="O34" s="9">
        <f>IF(N34&lt;&gt;"",N34,ROUND(M34*INDEX('Live Calc'!$G$33:$G$92,MATCH(G34,'Live Calc'!$A$33:$A$92,0))*'Live Calc'!$J$543,0))</f>
        <v>1</v>
      </c>
      <c r="Q34" s="10" t="s">
        <v>215</v>
      </c>
      <c r="R34" s="10" t="s">
        <v>133</v>
      </c>
      <c r="S34" s="10">
        <v>136.012</v>
      </c>
      <c r="T34" s="10">
        <v>146.28200000000001</v>
      </c>
      <c r="U34" s="10">
        <v>156.02000000000001</v>
      </c>
      <c r="V34" s="10">
        <f>CHOOSE(MATCH(Setup!$B$7,{"STD","Half-PPR","PPR"},0),S34,T34,U34)</f>
        <v>146.28200000000001</v>
      </c>
      <c r="W34" s="10">
        <f>COUNTIFS('Draft Board'!$X$2:$X$161,"&gt;="&amp;X34,'Draft Board'!$AB$2:$AB$161,1)</f>
        <v>7</v>
      </c>
      <c r="X34" s="10">
        <f>MAX(0,V34-'Live Calc'!$H$20)^'Live Calc'!$E$20</f>
        <v>97.508093493480118</v>
      </c>
      <c r="Y34" s="10">
        <v>34</v>
      </c>
      <c r="Z34" s="10">
        <f>IF(Y34&lt;&gt;_xlfn.MINIFS('Draft Board'!$Y$2:$Y$161,'Draft Board'!$X$2:$X$161,"="&amp;X34),0,IF(_xlfn.MINIFS('Draft Board'!$X$2:$X$161,'Draft Board'!$X$2:$X$161,"&gt;"&amp;X34)=0,1,IF((_xlfn.MINIFS('Draft Board'!$X$2:$X$161,'Draft Board'!$X$2:$X$161,"&gt;"&amp;X34)-X34)/_xlfn.MINIFS('Draft Board'!$X$2:$X$161,'Draft Board'!$X$2:$X$161,"&gt;"&amp;X34)&gt;0.08,1,0)))</f>
        <v>0</v>
      </c>
      <c r="AA34" s="10">
        <f>_xlfn.MINIFS('Draft Board'!$X$2:$X$161,'Draft Board'!$X$2:$X$161,"&gt;="&amp;X34,'Draft Board'!$Z$2:$Z$161,1)</f>
        <v>101.14408680219645</v>
      </c>
      <c r="AB34" s="10">
        <f>IF(Y34&lt;&gt;_xlfn.MINIFS('Draft Board'!$Y$2:$Y$161,'Draft Board'!$X$2:$X$161,"="&amp;X34),0,IF(OR(Z34=1,IFERROR(FLOOR((AA34-X34)/AA34/0.25,1),0)&lt;&gt;IFERROR(FLOOR((AA34-_xlfn.MINIFS('Draft Board'!$X$2:$X$161,'Draft Board'!$X$2:$X$161,"&gt;"&amp;X34))/AA34/0.25,1),0)),1,0))</f>
        <v>0</v>
      </c>
      <c r="AC34" s="10">
        <f>ROUND(1+X34*'Live Calc'!$D$27,0)</f>
        <v>10</v>
      </c>
      <c r="AD34" s="10"/>
      <c r="AE34" s="10">
        <f>IF(AD34&lt;&gt;"",AD34,ROUND(AC34*INDEX('Live Calc'!$G$96:$G$255,MATCH(W34,'Live Calc'!$A$96:$A$255,0))*'Live Calc'!$J$543,0))</f>
        <v>10</v>
      </c>
      <c r="AG34" s="11" t="s">
        <v>216</v>
      </c>
      <c r="AH34" s="11" t="s">
        <v>181</v>
      </c>
      <c r="AI34" s="11">
        <v>117.67</v>
      </c>
      <c r="AJ34" s="11">
        <v>153.34800000000001</v>
      </c>
      <c r="AK34" s="11">
        <v>186.40199999999999</v>
      </c>
      <c r="AL34" s="11">
        <f>CHOOSE(MATCH(Setup!$B$7,{"STD","Half-PPR","PPR"},0),AI34,AJ34,AK34)</f>
        <v>153.34800000000001</v>
      </c>
      <c r="AM34" s="11">
        <f>COUNTIFS('Draft Board'!$AN$2:$AN$193,"&gt;="&amp;AN34,'Draft Board'!$AR$2:$AR$193,1)</f>
        <v>7</v>
      </c>
      <c r="AN34" s="11">
        <f>MAX(0,AL34-'Live Calc'!$H$21)^'Live Calc'!$E$21</f>
        <v>140.00079620814205</v>
      </c>
      <c r="AO34" s="11">
        <v>34</v>
      </c>
      <c r="AP34" s="11">
        <f>IF(AO34&lt;&gt;_xlfn.MINIFS('Draft Board'!$AO$2:$AO$193,'Draft Board'!$AN$2:$AN$193,"="&amp;AN34),0,IF(_xlfn.MINIFS('Draft Board'!$AN$2:$AN$193,'Draft Board'!$AN$2:$AN$193,"&gt;"&amp;AN34)=0,1,IF((_xlfn.MINIFS('Draft Board'!$AN$2:$AN$193,'Draft Board'!$AN$2:$AN$193,"&gt;"&amp;AN34)-AN34)/_xlfn.MINIFS('Draft Board'!$AN$2:$AN$193,'Draft Board'!$AN$2:$AN$193,"&gt;"&amp;AN34)&gt;0.08,1,0)))</f>
        <v>0</v>
      </c>
      <c r="AQ34" s="11">
        <f>_xlfn.MINIFS('Draft Board'!$AN$2:$AN$193,'Draft Board'!$AN$2:$AN$193,"&gt;="&amp;AN34,'Draft Board'!$AP$2:$AP$193,1)</f>
        <v>155.09520003629552</v>
      </c>
      <c r="AR34" s="11">
        <f>IF(AO34&lt;&gt;_xlfn.MINIFS('Draft Board'!$AO$2:$AO$193,'Draft Board'!$AN$2:$AN$193,"="&amp;AN34),0,IF(OR(AP34=1,IFERROR(FLOOR((AQ34-AN34)/AQ34/0.25,1),0)&lt;&gt;IFERROR(FLOOR((AQ34-_xlfn.MINIFS('Draft Board'!$AN$2:$AN$193,'Draft Board'!$AN$2:$AN$193,"&gt;"&amp;AN34))/AQ34/0.25,1),0)),1,0))</f>
        <v>0</v>
      </c>
      <c r="AS34" s="11">
        <f>ROUND(1+AN34*'Live Calc'!$D$28,0)</f>
        <v>12</v>
      </c>
      <c r="AT34" s="11"/>
      <c r="AU34" s="11">
        <f>IF(AT34&lt;&gt;"",AT34,ROUND(AS34*INDEX('Live Calc'!$G$259:$G$450,MATCH(AM34,'Live Calc'!$A$259:$A$450,0))*'Live Calc'!$J$543,0))</f>
        <v>12</v>
      </c>
      <c r="AW34" s="12" t="s">
        <v>217</v>
      </c>
      <c r="AX34" s="12" t="s">
        <v>133</v>
      </c>
      <c r="AY34" s="12">
        <v>52.198</v>
      </c>
      <c r="AZ34" s="12">
        <v>72.914000000000001</v>
      </c>
      <c r="BA34" s="12">
        <v>98.182000000000002</v>
      </c>
      <c r="BB34" s="12">
        <f>CHOOSE(MATCH(Setup!$B$7,{"STD","Half-PPR","PPR"},0),AY34,AZ34,BA34)</f>
        <v>72.914000000000001</v>
      </c>
      <c r="BC34" s="12">
        <f>COUNTIFS('Draft Board'!$BD$2:$BD$87,"&gt;="&amp;BD34,'Draft Board'!$BH$2:$BH$87,1)</f>
        <v>15</v>
      </c>
      <c r="BD34" s="12">
        <f>MAX(0,BB34-'Live Calc'!$H$22)^'Live Calc'!$E$22</f>
        <v>0</v>
      </c>
      <c r="BE34" s="12">
        <v>34</v>
      </c>
      <c r="BF34" s="12">
        <f>IF(BE34&lt;&gt;_xlfn.MINIFS('Draft Board'!$BE$2:$BE$87,'Draft Board'!$BD$2:$BD$87,"="&amp;BD34),0,IF(_xlfn.MINIFS('Draft Board'!$BD$2:$BD$87,'Draft Board'!$BD$2:$BD$87,"&gt;"&amp;BD34)=0,1,IF((_xlfn.MINIFS('Draft Board'!$BD$2:$BD$87,'Draft Board'!$BD$2:$BD$87,"&gt;"&amp;BD34)-BD34)/_xlfn.MINIFS('Draft Board'!$BD$2:$BD$87,'Draft Board'!$BD$2:$BD$87,"&gt;"&amp;BD34)&gt;0.08,1,0)))</f>
        <v>0</v>
      </c>
      <c r="BG34" s="12">
        <f>_xlfn.MINIFS('Draft Board'!$BD$2:$BD$87,'Draft Board'!$BD$2:$BD$87,"&gt;="&amp;BD34,'Draft Board'!$BF$2:$BF$87,1)</f>
        <v>0</v>
      </c>
      <c r="BH34" s="12">
        <f>IF(BE34&lt;&gt;_xlfn.MINIFS('Draft Board'!$BE$2:$BE$87,'Draft Board'!$BD$2:$BD$87,"="&amp;BD34),0,IF(OR(BF34=1,IFERROR(FLOOR((BG34-BD34)/BG34/0.25,1),0)&lt;&gt;IFERROR(FLOOR((BG34-_xlfn.MINIFS('Draft Board'!$BD$2:$BD$87,'Draft Board'!$BD$2:$BD$87,"&gt;"&amp;BD34))/BG34/0.25,1),0)),1,0))</f>
        <v>0</v>
      </c>
      <c r="BI34" s="12">
        <f>ROUND(1+BD34*'Live Calc'!$D$29,0)</f>
        <v>1</v>
      </c>
      <c r="BJ34" s="12"/>
      <c r="BK34" s="12">
        <f>IF(BJ34&lt;&gt;"",BJ34,ROUND(BI34*INDEX('Live Calc'!$G$454:$G$539,MATCH(BC34,'Live Calc'!$A$454:$A$539,0))*'Live Calc'!$J$543,0))</f>
        <v>1</v>
      </c>
    </row>
    <row r="35" spans="1:63" x14ac:dyDescent="0.25">
      <c r="A35" s="9" t="s">
        <v>218</v>
      </c>
      <c r="B35" s="9" t="s">
        <v>90</v>
      </c>
      <c r="C35" s="9">
        <v>102.6</v>
      </c>
      <c r="D35" s="9">
        <v>102.6</v>
      </c>
      <c r="E35" s="9">
        <v>102.6</v>
      </c>
      <c r="F35" s="9">
        <f>CHOOSE(MATCH(Setup!$B$7,{"STD","Half-PPR","PPR"},0),C35,D35,E35)</f>
        <v>102.6</v>
      </c>
      <c r="G35" s="9">
        <f>COUNTIFS('Draft Board'!$H$2:$H$61,"&gt;="&amp;H35,'Draft Board'!$L$2:$L$61,1)</f>
        <v>11</v>
      </c>
      <c r="H35" s="9">
        <f>MAX(0,F35-'Live Calc'!$H$19)^'Live Calc'!$E$19</f>
        <v>0</v>
      </c>
      <c r="I35" s="9">
        <v>35</v>
      </c>
      <c r="J35" s="9">
        <f>IF(I35&lt;&gt;_xlfn.MINIFS('Draft Board'!$I$2:$I$61,'Draft Board'!$H$2:$H$61,"="&amp;H35),0,IF(_xlfn.MINIFS('Draft Board'!$H$2:$H$61,'Draft Board'!$H$2:$H$61,"&gt;"&amp;H35)=0,1,IF((_xlfn.MINIFS('Draft Board'!$H$2:$H$61,'Draft Board'!$H$2:$H$61,"&gt;"&amp;H35)-H35)/_xlfn.MINIFS('Draft Board'!$H$2:$H$61,'Draft Board'!$H$2:$H$61,"&gt;"&amp;H35)&gt;0.08,1,0)))</f>
        <v>0</v>
      </c>
      <c r="K35" s="9">
        <f>_xlfn.MINIFS('Draft Board'!$H$2:$H$61,'Draft Board'!$H$2:$H$61,"&gt;="&amp;H35,'Draft Board'!$J$2:$J$61,1)</f>
        <v>0</v>
      </c>
      <c r="L35" s="9">
        <f>IF(I35&lt;&gt;_xlfn.MINIFS('Draft Board'!$I$2:$I$61,'Draft Board'!$H$2:$H$61,"="&amp;H35),0,IF(OR(J35=1,IFERROR(FLOOR((K35-H35)/K35/0.25,1),0)&lt;&gt;IFERROR(FLOOR((K35-_xlfn.MINIFS('Draft Board'!$H$2:$H$61,'Draft Board'!$H$2:$H$61,"&gt;"&amp;H35))/K35/0.25,1),0)),1,0))</f>
        <v>0</v>
      </c>
      <c r="M35" s="9">
        <f>ROUND(1+H35*'Live Calc'!$D$26,0)</f>
        <v>1</v>
      </c>
      <c r="N35" s="9"/>
      <c r="O35" s="9">
        <f>IF(N35&lt;&gt;"",N35,ROUND(M35*INDEX('Live Calc'!$G$33:$G$92,MATCH(G35,'Live Calc'!$A$33:$A$92,0))*'Live Calc'!$J$543,0))</f>
        <v>1</v>
      </c>
      <c r="Q35" s="10" t="s">
        <v>219</v>
      </c>
      <c r="R35" s="10" t="s">
        <v>77</v>
      </c>
      <c r="S35" s="10">
        <v>128.58199999999999</v>
      </c>
      <c r="T35" s="10">
        <v>140.762</v>
      </c>
      <c r="U35" s="10">
        <v>154.96</v>
      </c>
      <c r="V35" s="10">
        <f>CHOOSE(MATCH(Setup!$B$7,{"STD","Half-PPR","PPR"},0),S35,T35,U35)</f>
        <v>140.762</v>
      </c>
      <c r="W35" s="10">
        <f>COUNTIFS('Draft Board'!$X$2:$X$161,"&gt;="&amp;X35,'Draft Board'!$AB$2:$AB$161,1)</f>
        <v>8</v>
      </c>
      <c r="X35" s="10">
        <f>MAX(0,V35-'Live Calc'!$H$20)^'Live Calc'!$E$20</f>
        <v>83.475527518626848</v>
      </c>
      <c r="Y35" s="10">
        <v>35</v>
      </c>
      <c r="Z35" s="10">
        <f>IF(Y35&lt;&gt;_xlfn.MINIFS('Draft Board'!$Y$2:$Y$161,'Draft Board'!$X$2:$X$161,"="&amp;X35),0,IF(_xlfn.MINIFS('Draft Board'!$X$2:$X$161,'Draft Board'!$X$2:$X$161,"&gt;"&amp;X35)=0,1,IF((_xlfn.MINIFS('Draft Board'!$X$2:$X$161,'Draft Board'!$X$2:$X$161,"&gt;"&amp;X35)-X35)/_xlfn.MINIFS('Draft Board'!$X$2:$X$161,'Draft Board'!$X$2:$X$161,"&gt;"&amp;X35)&gt;0.08,1,0)))</f>
        <v>1</v>
      </c>
      <c r="AA35" s="10">
        <f>_xlfn.MINIFS('Draft Board'!$X$2:$X$161,'Draft Board'!$X$2:$X$161,"&gt;="&amp;X35,'Draft Board'!$Z$2:$Z$161,1)</f>
        <v>83.475527518626848</v>
      </c>
      <c r="AB35" s="10">
        <f>IF(Y35&lt;&gt;_xlfn.MINIFS('Draft Board'!$Y$2:$Y$161,'Draft Board'!$X$2:$X$161,"="&amp;X35),0,IF(OR(Z35=1,IFERROR(FLOOR((AA35-X35)/AA35/0.25,1),0)&lt;&gt;IFERROR(FLOOR((AA35-_xlfn.MINIFS('Draft Board'!$X$2:$X$161,'Draft Board'!$X$2:$X$161,"&gt;"&amp;X35))/AA35/0.25,1),0)),1,0))</f>
        <v>1</v>
      </c>
      <c r="AC35" s="10">
        <f>ROUND(1+X35*'Live Calc'!$D$27,0)</f>
        <v>9</v>
      </c>
      <c r="AD35" s="10"/>
      <c r="AE35" s="10">
        <f>IF(AD35&lt;&gt;"",AD35,ROUND(AC35*INDEX('Live Calc'!$G$96:$G$255,MATCH(W35,'Live Calc'!$A$96:$A$255,0))*'Live Calc'!$J$543,0))</f>
        <v>9</v>
      </c>
      <c r="AG35" s="11" t="s">
        <v>220</v>
      </c>
      <c r="AH35" s="11" t="s">
        <v>133</v>
      </c>
      <c r="AI35" s="11">
        <v>119.762</v>
      </c>
      <c r="AJ35" s="11">
        <v>152.834</v>
      </c>
      <c r="AK35" s="11">
        <v>184.30199999999999</v>
      </c>
      <c r="AL35" s="11">
        <f>CHOOSE(MATCH(Setup!$B$7,{"STD","Half-PPR","PPR"},0),AI35,AJ35,AK35)</f>
        <v>152.834</v>
      </c>
      <c r="AM35" s="11">
        <f>COUNTIFS('Draft Board'!$AN$2:$AN$193,"&gt;="&amp;AN35,'Draft Board'!$AR$2:$AR$193,1)</f>
        <v>7</v>
      </c>
      <c r="AN35" s="11">
        <f>MAX(0,AL35-'Live Calc'!$H$21)^'Live Calc'!$E$21</f>
        <v>138.27669767347581</v>
      </c>
      <c r="AO35" s="11">
        <v>35</v>
      </c>
      <c r="AP35" s="11">
        <f>IF(AO35&lt;&gt;_xlfn.MINIFS('Draft Board'!$AO$2:$AO$193,'Draft Board'!$AN$2:$AN$193,"="&amp;AN35),0,IF(_xlfn.MINIFS('Draft Board'!$AN$2:$AN$193,'Draft Board'!$AN$2:$AN$193,"&gt;"&amp;AN35)=0,1,IF((_xlfn.MINIFS('Draft Board'!$AN$2:$AN$193,'Draft Board'!$AN$2:$AN$193,"&gt;"&amp;AN35)-AN35)/_xlfn.MINIFS('Draft Board'!$AN$2:$AN$193,'Draft Board'!$AN$2:$AN$193,"&gt;"&amp;AN35)&gt;0.08,1,0)))</f>
        <v>0</v>
      </c>
      <c r="AQ35" s="11">
        <f>_xlfn.MINIFS('Draft Board'!$AN$2:$AN$193,'Draft Board'!$AN$2:$AN$193,"&gt;="&amp;AN35,'Draft Board'!$AP$2:$AP$193,1)</f>
        <v>155.09520003629552</v>
      </c>
      <c r="AR35" s="11">
        <f>IF(AO35&lt;&gt;_xlfn.MINIFS('Draft Board'!$AO$2:$AO$193,'Draft Board'!$AN$2:$AN$193,"="&amp;AN35),0,IF(OR(AP35=1,IFERROR(FLOOR((AQ35-AN35)/AQ35/0.25,1),0)&lt;&gt;IFERROR(FLOOR((AQ35-_xlfn.MINIFS('Draft Board'!$AN$2:$AN$193,'Draft Board'!$AN$2:$AN$193,"&gt;"&amp;AN35))/AQ35/0.25,1),0)),1,0))</f>
        <v>0</v>
      </c>
      <c r="AS35" s="11">
        <f>ROUND(1+AN35*'Live Calc'!$D$28,0)</f>
        <v>12</v>
      </c>
      <c r="AT35" s="11"/>
      <c r="AU35" s="11">
        <f>IF(AT35&lt;&gt;"",AT35,ROUND(AS35*INDEX('Live Calc'!$G$259:$G$450,MATCH(AM35,'Live Calc'!$A$259:$A$450,0))*'Live Calc'!$J$543,0))</f>
        <v>12</v>
      </c>
      <c r="AW35" s="12" t="s">
        <v>221</v>
      </c>
      <c r="AX35" s="12" t="s">
        <v>185</v>
      </c>
      <c r="AY35" s="12">
        <v>48.798000000000002</v>
      </c>
      <c r="AZ35" s="12">
        <v>65.22</v>
      </c>
      <c r="BA35" s="12">
        <v>82.102000000000004</v>
      </c>
      <c r="BB35" s="12">
        <f>CHOOSE(MATCH(Setup!$B$7,{"STD","Half-PPR","PPR"},0),AY35,AZ35,BA35)</f>
        <v>65.22</v>
      </c>
      <c r="BC35" s="12">
        <f>COUNTIFS('Draft Board'!$BD$2:$BD$87,"&gt;="&amp;BD35,'Draft Board'!$BH$2:$BH$87,1)</f>
        <v>15</v>
      </c>
      <c r="BD35" s="12">
        <f>MAX(0,BB35-'Live Calc'!$H$22)^'Live Calc'!$E$22</f>
        <v>0</v>
      </c>
      <c r="BE35" s="12">
        <v>35</v>
      </c>
      <c r="BF35" s="12">
        <f>IF(BE35&lt;&gt;_xlfn.MINIFS('Draft Board'!$BE$2:$BE$87,'Draft Board'!$BD$2:$BD$87,"="&amp;BD35),0,IF(_xlfn.MINIFS('Draft Board'!$BD$2:$BD$87,'Draft Board'!$BD$2:$BD$87,"&gt;"&amp;BD35)=0,1,IF((_xlfn.MINIFS('Draft Board'!$BD$2:$BD$87,'Draft Board'!$BD$2:$BD$87,"&gt;"&amp;BD35)-BD35)/_xlfn.MINIFS('Draft Board'!$BD$2:$BD$87,'Draft Board'!$BD$2:$BD$87,"&gt;"&amp;BD35)&gt;0.08,1,0)))</f>
        <v>0</v>
      </c>
      <c r="BG35" s="12">
        <f>_xlfn.MINIFS('Draft Board'!$BD$2:$BD$87,'Draft Board'!$BD$2:$BD$87,"&gt;="&amp;BD35,'Draft Board'!$BF$2:$BF$87,1)</f>
        <v>0</v>
      </c>
      <c r="BH35" s="12">
        <f>IF(BE35&lt;&gt;_xlfn.MINIFS('Draft Board'!$BE$2:$BE$87,'Draft Board'!$BD$2:$BD$87,"="&amp;BD35),0,IF(OR(BF35=1,IFERROR(FLOOR((BG35-BD35)/BG35/0.25,1),0)&lt;&gt;IFERROR(FLOOR((BG35-_xlfn.MINIFS('Draft Board'!$BD$2:$BD$87,'Draft Board'!$BD$2:$BD$87,"&gt;"&amp;BD35))/BG35/0.25,1),0)),1,0))</f>
        <v>0</v>
      </c>
      <c r="BI35" s="12">
        <f>ROUND(1+BD35*'Live Calc'!$D$29,0)</f>
        <v>1</v>
      </c>
      <c r="BJ35" s="12"/>
      <c r="BK35" s="12">
        <f>IF(BJ35&lt;&gt;"",BJ35,ROUND(BI35*INDEX('Live Calc'!$G$454:$G$539,MATCH(BC35,'Live Calc'!$A$454:$A$539,0))*'Live Calc'!$J$543,0))</f>
        <v>1</v>
      </c>
    </row>
    <row r="36" spans="1:63" x14ac:dyDescent="0.25">
      <c r="A36" s="9" t="s">
        <v>222</v>
      </c>
      <c r="B36" s="9" t="s">
        <v>69</v>
      </c>
      <c r="C36" s="9">
        <v>56.18</v>
      </c>
      <c r="D36" s="9">
        <v>56.18</v>
      </c>
      <c r="E36" s="9">
        <v>56.18</v>
      </c>
      <c r="F36" s="9">
        <f>CHOOSE(MATCH(Setup!$B$7,{"STD","Half-PPR","PPR"},0),C36,D36,E36)</f>
        <v>56.18</v>
      </c>
      <c r="G36" s="9">
        <f>COUNTIFS('Draft Board'!$H$2:$H$61,"&gt;="&amp;H36,'Draft Board'!$L$2:$L$61,1)</f>
        <v>11</v>
      </c>
      <c r="H36" s="9">
        <f>MAX(0,F36-'Live Calc'!$H$19)^'Live Calc'!$E$19</f>
        <v>0</v>
      </c>
      <c r="I36" s="9">
        <v>36</v>
      </c>
      <c r="J36" s="9">
        <f>IF(I36&lt;&gt;_xlfn.MINIFS('Draft Board'!$I$2:$I$61,'Draft Board'!$H$2:$H$61,"="&amp;H36),0,IF(_xlfn.MINIFS('Draft Board'!$H$2:$H$61,'Draft Board'!$H$2:$H$61,"&gt;"&amp;H36)=0,1,IF((_xlfn.MINIFS('Draft Board'!$H$2:$H$61,'Draft Board'!$H$2:$H$61,"&gt;"&amp;H36)-H36)/_xlfn.MINIFS('Draft Board'!$H$2:$H$61,'Draft Board'!$H$2:$H$61,"&gt;"&amp;H36)&gt;0.08,1,0)))</f>
        <v>0</v>
      </c>
      <c r="K36" s="9">
        <f>_xlfn.MINIFS('Draft Board'!$H$2:$H$61,'Draft Board'!$H$2:$H$61,"&gt;="&amp;H36,'Draft Board'!$J$2:$J$61,1)</f>
        <v>0</v>
      </c>
      <c r="L36" s="9">
        <f>IF(I36&lt;&gt;_xlfn.MINIFS('Draft Board'!$I$2:$I$61,'Draft Board'!$H$2:$H$61,"="&amp;H36),0,IF(OR(J36=1,IFERROR(FLOOR((K36-H36)/K36/0.25,1),0)&lt;&gt;IFERROR(FLOOR((K36-_xlfn.MINIFS('Draft Board'!$H$2:$H$61,'Draft Board'!$H$2:$H$61,"&gt;"&amp;H36))/K36/0.25,1),0)),1,0))</f>
        <v>0</v>
      </c>
      <c r="M36" s="9">
        <f>ROUND(1+H36*'Live Calc'!$D$26,0)</f>
        <v>1</v>
      </c>
      <c r="N36" s="9"/>
      <c r="O36" s="9">
        <f>IF(N36&lt;&gt;"",N36,ROUND(M36*INDEX('Live Calc'!$G$33:$G$92,MATCH(G36,'Live Calc'!$A$33:$A$92,0))*'Live Calc'!$J$543,0))</f>
        <v>1</v>
      </c>
      <c r="Q36" s="10" t="s">
        <v>223</v>
      </c>
      <c r="R36" s="10" t="s">
        <v>59</v>
      </c>
      <c r="S36" s="10">
        <v>134.416</v>
      </c>
      <c r="T36" s="10">
        <v>139.25200000000001</v>
      </c>
      <c r="U36" s="10">
        <v>144.922</v>
      </c>
      <c r="V36" s="10">
        <f>CHOOSE(MATCH(Setup!$B$7,{"STD","Half-PPR","PPR"},0),S36,T36,U36)</f>
        <v>139.25200000000001</v>
      </c>
      <c r="W36" s="10">
        <f>COUNTIFS('Draft Board'!$X$2:$X$161,"&gt;="&amp;X36,'Draft Board'!$AB$2:$AB$161,1)</f>
        <v>8</v>
      </c>
      <c r="X36" s="10">
        <f>MAX(0,V36-'Live Calc'!$H$20)^'Live Calc'!$E$20</f>
        <v>79.701929003425974</v>
      </c>
      <c r="Y36" s="10">
        <v>36</v>
      </c>
      <c r="Z36" s="10">
        <f>IF(Y36&lt;&gt;_xlfn.MINIFS('Draft Board'!$Y$2:$Y$161,'Draft Board'!$X$2:$X$161,"="&amp;X36),0,IF(_xlfn.MINIFS('Draft Board'!$X$2:$X$161,'Draft Board'!$X$2:$X$161,"&gt;"&amp;X36)=0,1,IF((_xlfn.MINIFS('Draft Board'!$X$2:$X$161,'Draft Board'!$X$2:$X$161,"&gt;"&amp;X36)-X36)/_xlfn.MINIFS('Draft Board'!$X$2:$X$161,'Draft Board'!$X$2:$X$161,"&gt;"&amp;X36)&gt;0.08,1,0)))</f>
        <v>0</v>
      </c>
      <c r="AA36" s="10">
        <f>_xlfn.MINIFS('Draft Board'!$X$2:$X$161,'Draft Board'!$X$2:$X$161,"&gt;="&amp;X36,'Draft Board'!$Z$2:$Z$161,1)</f>
        <v>83.475527518626848</v>
      </c>
      <c r="AB36" s="10">
        <f>IF(Y36&lt;&gt;_xlfn.MINIFS('Draft Board'!$Y$2:$Y$161,'Draft Board'!$X$2:$X$161,"="&amp;X36),0,IF(OR(Z36=1,IFERROR(FLOOR((AA36-X36)/AA36/0.25,1),0)&lt;&gt;IFERROR(FLOOR((AA36-_xlfn.MINIFS('Draft Board'!$X$2:$X$161,'Draft Board'!$X$2:$X$161,"&gt;"&amp;X36))/AA36/0.25,1),0)),1,0))</f>
        <v>0</v>
      </c>
      <c r="AC36" s="10">
        <f>ROUND(1+X36*'Live Calc'!$D$27,0)</f>
        <v>8</v>
      </c>
      <c r="AD36" s="10"/>
      <c r="AE36" s="10">
        <f>IF(AD36&lt;&gt;"",AD36,ROUND(AC36*INDEX('Live Calc'!$G$96:$G$255,MATCH(W36,'Live Calc'!$A$96:$A$255,0))*'Live Calc'!$J$543,0))</f>
        <v>8</v>
      </c>
      <c r="AG36" s="11" t="s">
        <v>224</v>
      </c>
      <c r="AH36" s="11" t="s">
        <v>107</v>
      </c>
      <c r="AI36" s="11">
        <v>118.72</v>
      </c>
      <c r="AJ36" s="11">
        <v>150.732</v>
      </c>
      <c r="AK36" s="11">
        <v>182.12</v>
      </c>
      <c r="AL36" s="11">
        <f>CHOOSE(MATCH(Setup!$B$7,{"STD","Half-PPR","PPR"},0),AI36,AJ36,AK36)</f>
        <v>150.732</v>
      </c>
      <c r="AM36" s="11">
        <f>COUNTIFS('Draft Board'!$AN$2:$AN$193,"&gt;="&amp;AN36,'Draft Board'!$AR$2:$AR$193,1)</f>
        <v>7</v>
      </c>
      <c r="AN36" s="11">
        <f>MAX(0,AL36-'Live Calc'!$H$21)^'Live Calc'!$E$21</f>
        <v>131.27098841750913</v>
      </c>
      <c r="AO36" s="11">
        <v>36</v>
      </c>
      <c r="AP36" s="11">
        <f>IF(AO36&lt;&gt;_xlfn.MINIFS('Draft Board'!$AO$2:$AO$193,'Draft Board'!$AN$2:$AN$193,"="&amp;AN36),0,IF(_xlfn.MINIFS('Draft Board'!$AN$2:$AN$193,'Draft Board'!$AN$2:$AN$193,"&gt;"&amp;AN36)=0,1,IF((_xlfn.MINIFS('Draft Board'!$AN$2:$AN$193,'Draft Board'!$AN$2:$AN$193,"&gt;"&amp;AN36)-AN36)/_xlfn.MINIFS('Draft Board'!$AN$2:$AN$193,'Draft Board'!$AN$2:$AN$193,"&gt;"&amp;AN36)&gt;0.08,1,0)))</f>
        <v>0</v>
      </c>
      <c r="AQ36" s="11">
        <f>_xlfn.MINIFS('Draft Board'!$AN$2:$AN$193,'Draft Board'!$AN$2:$AN$193,"&gt;="&amp;AN36,'Draft Board'!$AP$2:$AP$193,1)</f>
        <v>155.09520003629552</v>
      </c>
      <c r="AR36" s="11">
        <f>IF(AO36&lt;&gt;_xlfn.MINIFS('Draft Board'!$AO$2:$AO$193,'Draft Board'!$AN$2:$AN$193,"="&amp;AN36),0,IF(OR(AP36=1,IFERROR(FLOOR((AQ36-AN36)/AQ36/0.25,1),0)&lt;&gt;IFERROR(FLOOR((AQ36-_xlfn.MINIFS('Draft Board'!$AN$2:$AN$193,'Draft Board'!$AN$2:$AN$193,"&gt;"&amp;AN36))/AQ36/0.25,1),0)),1,0))</f>
        <v>0</v>
      </c>
      <c r="AS36" s="11">
        <f>ROUND(1+AN36*'Live Calc'!$D$28,0)</f>
        <v>12</v>
      </c>
      <c r="AT36" s="11"/>
      <c r="AU36" s="11">
        <f>IF(AT36&lt;&gt;"",AT36,ROUND(AS36*INDEX('Live Calc'!$G$259:$G$450,MATCH(AM36,'Live Calc'!$A$259:$A$450,0))*'Live Calc'!$J$543,0))</f>
        <v>12</v>
      </c>
      <c r="AW36" s="12" t="s">
        <v>225</v>
      </c>
      <c r="AX36" s="12" t="s">
        <v>143</v>
      </c>
      <c r="AY36" s="12">
        <v>46.201999999999998</v>
      </c>
      <c r="AZ36" s="12">
        <v>65.164000000000001</v>
      </c>
      <c r="BA36" s="12">
        <v>84.067999999999998</v>
      </c>
      <c r="BB36" s="12">
        <f>CHOOSE(MATCH(Setup!$B$7,{"STD","Half-PPR","PPR"},0),AY36,AZ36,BA36)</f>
        <v>65.164000000000001</v>
      </c>
      <c r="BC36" s="12">
        <f>COUNTIFS('Draft Board'!$BD$2:$BD$87,"&gt;="&amp;BD36,'Draft Board'!$BH$2:$BH$87,1)</f>
        <v>15</v>
      </c>
      <c r="BD36" s="12">
        <f>MAX(0,BB36-'Live Calc'!$H$22)^'Live Calc'!$E$22</f>
        <v>0</v>
      </c>
      <c r="BE36" s="12">
        <v>36</v>
      </c>
      <c r="BF36" s="12">
        <f>IF(BE36&lt;&gt;_xlfn.MINIFS('Draft Board'!$BE$2:$BE$87,'Draft Board'!$BD$2:$BD$87,"="&amp;BD36),0,IF(_xlfn.MINIFS('Draft Board'!$BD$2:$BD$87,'Draft Board'!$BD$2:$BD$87,"&gt;"&amp;BD36)=0,1,IF((_xlfn.MINIFS('Draft Board'!$BD$2:$BD$87,'Draft Board'!$BD$2:$BD$87,"&gt;"&amp;BD36)-BD36)/_xlfn.MINIFS('Draft Board'!$BD$2:$BD$87,'Draft Board'!$BD$2:$BD$87,"&gt;"&amp;BD36)&gt;0.08,1,0)))</f>
        <v>0</v>
      </c>
      <c r="BG36" s="12">
        <f>_xlfn.MINIFS('Draft Board'!$BD$2:$BD$87,'Draft Board'!$BD$2:$BD$87,"&gt;="&amp;BD36,'Draft Board'!$BF$2:$BF$87,1)</f>
        <v>0</v>
      </c>
      <c r="BH36" s="12">
        <f>IF(BE36&lt;&gt;_xlfn.MINIFS('Draft Board'!$BE$2:$BE$87,'Draft Board'!$BD$2:$BD$87,"="&amp;BD36),0,IF(OR(BF36=1,IFERROR(FLOOR((BG36-BD36)/BG36/0.25,1),0)&lt;&gt;IFERROR(FLOOR((BG36-_xlfn.MINIFS('Draft Board'!$BD$2:$BD$87,'Draft Board'!$BD$2:$BD$87,"&gt;"&amp;BD36))/BG36/0.25,1),0)),1,0))</f>
        <v>0</v>
      </c>
      <c r="BI36" s="12">
        <f>ROUND(1+BD36*'Live Calc'!$D$29,0)</f>
        <v>1</v>
      </c>
      <c r="BJ36" s="12"/>
      <c r="BK36" s="12">
        <f>IF(BJ36&lt;&gt;"",BJ36,ROUND(BI36*INDEX('Live Calc'!$G$454:$G$539,MATCH(BC36,'Live Calc'!$A$454:$A$539,0))*'Live Calc'!$J$543,0))</f>
        <v>1</v>
      </c>
    </row>
    <row r="37" spans="1:63" x14ac:dyDescent="0.25">
      <c r="A37" s="9" t="s">
        <v>226</v>
      </c>
      <c r="B37" s="9" t="s">
        <v>100</v>
      </c>
      <c r="C37" s="9">
        <v>33.002000000000002</v>
      </c>
      <c r="D37" s="9">
        <v>33.002000000000002</v>
      </c>
      <c r="E37" s="9">
        <v>33.002000000000002</v>
      </c>
      <c r="F37" s="9">
        <f>CHOOSE(MATCH(Setup!$B$7,{"STD","Half-PPR","PPR"},0),C37,D37,E37)</f>
        <v>33.002000000000002</v>
      </c>
      <c r="G37" s="9">
        <f>COUNTIFS('Draft Board'!$H$2:$H$61,"&gt;="&amp;H37,'Draft Board'!$L$2:$L$61,1)</f>
        <v>11</v>
      </c>
      <c r="H37" s="9">
        <f>MAX(0,F37-'Live Calc'!$H$19)^'Live Calc'!$E$19</f>
        <v>0</v>
      </c>
      <c r="I37" s="9">
        <v>37</v>
      </c>
      <c r="J37" s="9">
        <f>IF(I37&lt;&gt;_xlfn.MINIFS('Draft Board'!$I$2:$I$61,'Draft Board'!$H$2:$H$61,"="&amp;H37),0,IF(_xlfn.MINIFS('Draft Board'!$H$2:$H$61,'Draft Board'!$H$2:$H$61,"&gt;"&amp;H37)=0,1,IF((_xlfn.MINIFS('Draft Board'!$H$2:$H$61,'Draft Board'!$H$2:$H$61,"&gt;"&amp;H37)-H37)/_xlfn.MINIFS('Draft Board'!$H$2:$H$61,'Draft Board'!$H$2:$H$61,"&gt;"&amp;H37)&gt;0.08,1,0)))</f>
        <v>0</v>
      </c>
      <c r="K37" s="9">
        <f>_xlfn.MINIFS('Draft Board'!$H$2:$H$61,'Draft Board'!$H$2:$H$61,"&gt;="&amp;H37,'Draft Board'!$J$2:$J$61,1)</f>
        <v>0</v>
      </c>
      <c r="L37" s="9">
        <f>IF(I37&lt;&gt;_xlfn.MINIFS('Draft Board'!$I$2:$I$61,'Draft Board'!$H$2:$H$61,"="&amp;H37),0,IF(OR(J37=1,IFERROR(FLOOR((K37-H37)/K37/0.25,1),0)&lt;&gt;IFERROR(FLOOR((K37-_xlfn.MINIFS('Draft Board'!$H$2:$H$61,'Draft Board'!$H$2:$H$61,"&gt;"&amp;H37))/K37/0.25,1),0)),1,0))</f>
        <v>0</v>
      </c>
      <c r="M37" s="9">
        <f>ROUND(1+H37*'Live Calc'!$D$26,0)</f>
        <v>1</v>
      </c>
      <c r="N37" s="9"/>
      <c r="O37" s="9">
        <f>IF(N37&lt;&gt;"",N37,ROUND(M37*INDEX('Live Calc'!$G$33:$G$92,MATCH(G37,'Live Calc'!$A$33:$A$92,0))*'Live Calc'!$J$543,0))</f>
        <v>1</v>
      </c>
      <c r="Q37" s="10" t="s">
        <v>227</v>
      </c>
      <c r="R37" s="10" t="s">
        <v>152</v>
      </c>
      <c r="S37" s="10">
        <v>117.066</v>
      </c>
      <c r="T37" s="10">
        <v>139.00200000000001</v>
      </c>
      <c r="U37" s="10">
        <v>163.50800000000001</v>
      </c>
      <c r="V37" s="10">
        <f>CHOOSE(MATCH(Setup!$B$7,{"STD","Half-PPR","PPR"},0),S37,T37,U37)</f>
        <v>139.00200000000001</v>
      </c>
      <c r="W37" s="10">
        <f>COUNTIFS('Draft Board'!$X$2:$X$161,"&gt;="&amp;X37,'Draft Board'!$AB$2:$AB$161,1)</f>
        <v>8</v>
      </c>
      <c r="X37" s="10">
        <f>MAX(0,V37-'Live Calc'!$H$20)^'Live Calc'!$E$20</f>
        <v>79.079987490031328</v>
      </c>
      <c r="Y37" s="10">
        <v>37</v>
      </c>
      <c r="Z37" s="10">
        <f>IF(Y37&lt;&gt;_xlfn.MINIFS('Draft Board'!$Y$2:$Y$161,'Draft Board'!$X$2:$X$161,"="&amp;X37),0,IF(_xlfn.MINIFS('Draft Board'!$X$2:$X$161,'Draft Board'!$X$2:$X$161,"&gt;"&amp;X37)=0,1,IF((_xlfn.MINIFS('Draft Board'!$X$2:$X$161,'Draft Board'!$X$2:$X$161,"&gt;"&amp;X37)-X37)/_xlfn.MINIFS('Draft Board'!$X$2:$X$161,'Draft Board'!$X$2:$X$161,"&gt;"&amp;X37)&gt;0.08,1,0)))</f>
        <v>0</v>
      </c>
      <c r="AA37" s="10">
        <f>_xlfn.MINIFS('Draft Board'!$X$2:$X$161,'Draft Board'!$X$2:$X$161,"&gt;="&amp;X37,'Draft Board'!$Z$2:$Z$161,1)</f>
        <v>83.475527518626848</v>
      </c>
      <c r="AB37" s="10">
        <f>IF(Y37&lt;&gt;_xlfn.MINIFS('Draft Board'!$Y$2:$Y$161,'Draft Board'!$X$2:$X$161,"="&amp;X37),0,IF(OR(Z37=1,IFERROR(FLOOR((AA37-X37)/AA37/0.25,1),0)&lt;&gt;IFERROR(FLOOR((AA37-_xlfn.MINIFS('Draft Board'!$X$2:$X$161,'Draft Board'!$X$2:$X$161,"&gt;"&amp;X37))/AA37/0.25,1),0)),1,0))</f>
        <v>0</v>
      </c>
      <c r="AC37" s="10">
        <f>ROUND(1+X37*'Live Calc'!$D$27,0)</f>
        <v>8</v>
      </c>
      <c r="AD37" s="10"/>
      <c r="AE37" s="10">
        <f>IF(AD37&lt;&gt;"",AD37,ROUND(AC37*INDEX('Live Calc'!$G$96:$G$255,MATCH(W37,'Live Calc'!$A$96:$A$255,0))*'Live Calc'!$J$543,0))</f>
        <v>8</v>
      </c>
      <c r="AG37" s="11" t="s">
        <v>228</v>
      </c>
      <c r="AH37" s="11" t="s">
        <v>107</v>
      </c>
      <c r="AI37" s="11">
        <v>123.212</v>
      </c>
      <c r="AJ37" s="11">
        <v>148.59200000000001</v>
      </c>
      <c r="AK37" s="11">
        <v>178.82</v>
      </c>
      <c r="AL37" s="11">
        <f>CHOOSE(MATCH(Setup!$B$7,{"STD","Half-PPR","PPR"},0),AI37,AJ37,AK37)</f>
        <v>148.59200000000001</v>
      </c>
      <c r="AM37" s="11">
        <f>COUNTIFS('Draft Board'!$AN$2:$AN$193,"&gt;="&amp;AN37,'Draft Board'!$AR$2:$AR$193,1)</f>
        <v>7</v>
      </c>
      <c r="AN37" s="11">
        <f>MAX(0,AL37-'Live Calc'!$H$21)^'Live Calc'!$E$21</f>
        <v>124.21467537467719</v>
      </c>
      <c r="AO37" s="11">
        <v>37</v>
      </c>
      <c r="AP37" s="11">
        <f>IF(AO37&lt;&gt;_xlfn.MINIFS('Draft Board'!$AO$2:$AO$193,'Draft Board'!$AN$2:$AN$193,"="&amp;AN37),0,IF(_xlfn.MINIFS('Draft Board'!$AN$2:$AN$193,'Draft Board'!$AN$2:$AN$193,"&gt;"&amp;AN37)=0,1,IF((_xlfn.MINIFS('Draft Board'!$AN$2:$AN$193,'Draft Board'!$AN$2:$AN$193,"&gt;"&amp;AN37)-AN37)/_xlfn.MINIFS('Draft Board'!$AN$2:$AN$193,'Draft Board'!$AN$2:$AN$193,"&gt;"&amp;AN37)&gt;0.08,1,0)))</f>
        <v>0</v>
      </c>
      <c r="AQ37" s="11">
        <f>_xlfn.MINIFS('Draft Board'!$AN$2:$AN$193,'Draft Board'!$AN$2:$AN$193,"&gt;="&amp;AN37,'Draft Board'!$AP$2:$AP$193,1)</f>
        <v>155.09520003629552</v>
      </c>
      <c r="AR37" s="11">
        <f>IF(AO37&lt;&gt;_xlfn.MINIFS('Draft Board'!$AO$2:$AO$193,'Draft Board'!$AN$2:$AN$193,"="&amp;AN37),0,IF(OR(AP37=1,IFERROR(FLOOR((AQ37-AN37)/AQ37/0.25,1),0)&lt;&gt;IFERROR(FLOOR((AQ37-_xlfn.MINIFS('Draft Board'!$AN$2:$AN$193,'Draft Board'!$AN$2:$AN$193,"&gt;"&amp;AN37))/AQ37/0.25,1),0)),1,0))</f>
        <v>0</v>
      </c>
      <c r="AS37" s="11">
        <f>ROUND(1+AN37*'Live Calc'!$D$28,0)</f>
        <v>11</v>
      </c>
      <c r="AT37" s="11"/>
      <c r="AU37" s="11">
        <f>IF(AT37&lt;&gt;"",AT37,ROUND(AS37*INDEX('Live Calc'!$G$259:$G$450,MATCH(AM37,'Live Calc'!$A$259:$A$450,0))*'Live Calc'!$J$543,0))</f>
        <v>11</v>
      </c>
      <c r="AW37" s="12" t="s">
        <v>229</v>
      </c>
      <c r="AX37" s="12" t="s">
        <v>69</v>
      </c>
      <c r="AY37" s="12">
        <v>45.44</v>
      </c>
      <c r="AZ37" s="12">
        <v>63.427999999999997</v>
      </c>
      <c r="BA37" s="12">
        <v>80.186000000000007</v>
      </c>
      <c r="BB37" s="12">
        <f>CHOOSE(MATCH(Setup!$B$7,{"STD","Half-PPR","PPR"},0),AY37,AZ37,BA37)</f>
        <v>63.427999999999997</v>
      </c>
      <c r="BC37" s="12">
        <f>COUNTIFS('Draft Board'!$BD$2:$BD$87,"&gt;="&amp;BD37,'Draft Board'!$BH$2:$BH$87,1)</f>
        <v>15</v>
      </c>
      <c r="BD37" s="12">
        <f>MAX(0,BB37-'Live Calc'!$H$22)^'Live Calc'!$E$22</f>
        <v>0</v>
      </c>
      <c r="BE37" s="12">
        <v>37</v>
      </c>
      <c r="BF37" s="12">
        <f>IF(BE37&lt;&gt;_xlfn.MINIFS('Draft Board'!$BE$2:$BE$87,'Draft Board'!$BD$2:$BD$87,"="&amp;BD37),0,IF(_xlfn.MINIFS('Draft Board'!$BD$2:$BD$87,'Draft Board'!$BD$2:$BD$87,"&gt;"&amp;BD37)=0,1,IF((_xlfn.MINIFS('Draft Board'!$BD$2:$BD$87,'Draft Board'!$BD$2:$BD$87,"&gt;"&amp;BD37)-BD37)/_xlfn.MINIFS('Draft Board'!$BD$2:$BD$87,'Draft Board'!$BD$2:$BD$87,"&gt;"&amp;BD37)&gt;0.08,1,0)))</f>
        <v>0</v>
      </c>
      <c r="BG37" s="12">
        <f>_xlfn.MINIFS('Draft Board'!$BD$2:$BD$87,'Draft Board'!$BD$2:$BD$87,"&gt;="&amp;BD37,'Draft Board'!$BF$2:$BF$87,1)</f>
        <v>0</v>
      </c>
      <c r="BH37" s="12">
        <f>IF(BE37&lt;&gt;_xlfn.MINIFS('Draft Board'!$BE$2:$BE$87,'Draft Board'!$BD$2:$BD$87,"="&amp;BD37),0,IF(OR(BF37=1,IFERROR(FLOOR((BG37-BD37)/BG37/0.25,1),0)&lt;&gt;IFERROR(FLOOR((BG37-_xlfn.MINIFS('Draft Board'!$BD$2:$BD$87,'Draft Board'!$BD$2:$BD$87,"&gt;"&amp;BD37))/BG37/0.25,1),0)),1,0))</f>
        <v>0</v>
      </c>
      <c r="BI37" s="12">
        <f>ROUND(1+BD37*'Live Calc'!$D$29,0)</f>
        <v>1</v>
      </c>
      <c r="BJ37" s="12"/>
      <c r="BK37" s="12">
        <f>IF(BJ37&lt;&gt;"",BJ37,ROUND(BI37*INDEX('Live Calc'!$G$454:$G$539,MATCH(BC37,'Live Calc'!$A$454:$A$539,0))*'Live Calc'!$J$543,0))</f>
        <v>1</v>
      </c>
    </row>
    <row r="38" spans="1:63" x14ac:dyDescent="0.25">
      <c r="A38" s="9" t="s">
        <v>230</v>
      </c>
      <c r="B38" s="9" t="s">
        <v>61</v>
      </c>
      <c r="C38" s="9">
        <v>32.427999999999997</v>
      </c>
      <c r="D38" s="9">
        <v>32.427999999999997</v>
      </c>
      <c r="E38" s="9">
        <v>32.427999999999997</v>
      </c>
      <c r="F38" s="9">
        <f>CHOOSE(MATCH(Setup!$B$7,{"STD","Half-PPR","PPR"},0),C38,D38,E38)</f>
        <v>32.427999999999997</v>
      </c>
      <c r="G38" s="9">
        <f>COUNTIFS('Draft Board'!$H$2:$H$61,"&gt;="&amp;H38,'Draft Board'!$L$2:$L$61,1)</f>
        <v>11</v>
      </c>
      <c r="H38" s="9">
        <f>MAX(0,F38-'Live Calc'!$H$19)^'Live Calc'!$E$19</f>
        <v>0</v>
      </c>
      <c r="I38" s="9">
        <v>38</v>
      </c>
      <c r="J38" s="9">
        <f>IF(I38&lt;&gt;_xlfn.MINIFS('Draft Board'!$I$2:$I$61,'Draft Board'!$H$2:$H$61,"="&amp;H38),0,IF(_xlfn.MINIFS('Draft Board'!$H$2:$H$61,'Draft Board'!$H$2:$H$61,"&gt;"&amp;H38)=0,1,IF((_xlfn.MINIFS('Draft Board'!$H$2:$H$61,'Draft Board'!$H$2:$H$61,"&gt;"&amp;H38)-H38)/_xlfn.MINIFS('Draft Board'!$H$2:$H$61,'Draft Board'!$H$2:$H$61,"&gt;"&amp;H38)&gt;0.08,1,0)))</f>
        <v>0</v>
      </c>
      <c r="K38" s="9">
        <f>_xlfn.MINIFS('Draft Board'!$H$2:$H$61,'Draft Board'!$H$2:$H$61,"&gt;="&amp;H38,'Draft Board'!$J$2:$J$61,1)</f>
        <v>0</v>
      </c>
      <c r="L38" s="9">
        <f>IF(I38&lt;&gt;_xlfn.MINIFS('Draft Board'!$I$2:$I$61,'Draft Board'!$H$2:$H$61,"="&amp;H38),0,IF(OR(J38=1,IFERROR(FLOOR((K38-H38)/K38/0.25,1),0)&lt;&gt;IFERROR(FLOOR((K38-_xlfn.MINIFS('Draft Board'!$H$2:$H$61,'Draft Board'!$H$2:$H$61,"&gt;"&amp;H38))/K38/0.25,1),0)),1,0))</f>
        <v>0</v>
      </c>
      <c r="M38" s="9">
        <f>ROUND(1+H38*'Live Calc'!$D$26,0)</f>
        <v>1</v>
      </c>
      <c r="N38" s="9"/>
      <c r="O38" s="9">
        <f>IF(N38&lt;&gt;"",N38,ROUND(M38*INDEX('Live Calc'!$G$33:$G$92,MATCH(G38,'Live Calc'!$A$33:$A$92,0))*'Live Calc'!$J$543,0))</f>
        <v>1</v>
      </c>
      <c r="Q38" s="10" t="s">
        <v>231</v>
      </c>
      <c r="R38" s="10" t="s">
        <v>79</v>
      </c>
      <c r="S38" s="10">
        <v>116.098</v>
      </c>
      <c r="T38" s="10">
        <v>133.67400000000001</v>
      </c>
      <c r="U38" s="10">
        <v>147.81800000000001</v>
      </c>
      <c r="V38" s="10">
        <f>CHOOSE(MATCH(Setup!$B$7,{"STD","Half-PPR","PPR"},0),S38,T38,U38)</f>
        <v>133.67400000000001</v>
      </c>
      <c r="W38" s="10">
        <f>COUNTIFS('Draft Board'!$X$2:$X$161,"&gt;="&amp;X38,'Draft Board'!$AB$2:$AB$161,1)</f>
        <v>9</v>
      </c>
      <c r="X38" s="10">
        <f>MAX(0,V38-'Live Calc'!$H$20)^'Live Calc'!$E$20</f>
        <v>66.026080356131303</v>
      </c>
      <c r="Y38" s="10">
        <v>38</v>
      </c>
      <c r="Z38" s="10">
        <f>IF(Y38&lt;&gt;_xlfn.MINIFS('Draft Board'!$Y$2:$Y$161,'Draft Board'!$X$2:$X$161,"="&amp;X38),0,IF(_xlfn.MINIFS('Draft Board'!$X$2:$X$161,'Draft Board'!$X$2:$X$161,"&gt;"&amp;X38)=0,1,IF((_xlfn.MINIFS('Draft Board'!$X$2:$X$161,'Draft Board'!$X$2:$X$161,"&gt;"&amp;X38)-X38)/_xlfn.MINIFS('Draft Board'!$X$2:$X$161,'Draft Board'!$X$2:$X$161,"&gt;"&amp;X38)&gt;0.08,1,0)))</f>
        <v>1</v>
      </c>
      <c r="AA38" s="10">
        <f>_xlfn.MINIFS('Draft Board'!$X$2:$X$161,'Draft Board'!$X$2:$X$161,"&gt;="&amp;X38,'Draft Board'!$Z$2:$Z$161,1)</f>
        <v>66.026080356131303</v>
      </c>
      <c r="AB38" s="10">
        <f>IF(Y38&lt;&gt;_xlfn.MINIFS('Draft Board'!$Y$2:$Y$161,'Draft Board'!$X$2:$X$161,"="&amp;X38),0,IF(OR(Z38=1,IFERROR(FLOOR((AA38-X38)/AA38/0.25,1),0)&lt;&gt;IFERROR(FLOOR((AA38-_xlfn.MINIFS('Draft Board'!$X$2:$X$161,'Draft Board'!$X$2:$X$161,"&gt;"&amp;X38))/AA38/0.25,1),0)),1,0))</f>
        <v>1</v>
      </c>
      <c r="AC38" s="10">
        <f>ROUND(1+X38*'Live Calc'!$D$27,0)</f>
        <v>7</v>
      </c>
      <c r="AD38" s="10"/>
      <c r="AE38" s="10">
        <f>IF(AD38&lt;&gt;"",AD38,ROUND(AC38*INDEX('Live Calc'!$G$96:$G$255,MATCH(W38,'Live Calc'!$A$96:$A$255,0))*'Live Calc'!$J$543,0))</f>
        <v>7</v>
      </c>
      <c r="AG38" s="11" t="s">
        <v>232</v>
      </c>
      <c r="AH38" s="11" t="s">
        <v>126</v>
      </c>
      <c r="AI38" s="11">
        <v>112.342</v>
      </c>
      <c r="AJ38" s="11">
        <v>145.56800000000001</v>
      </c>
      <c r="AK38" s="11">
        <v>177.82599999999999</v>
      </c>
      <c r="AL38" s="11">
        <f>CHOOSE(MATCH(Setup!$B$7,{"STD","Half-PPR","PPR"},0),AI38,AJ38,AK38)</f>
        <v>145.56800000000001</v>
      </c>
      <c r="AM38" s="11">
        <f>COUNTIFS('Draft Board'!$AN$2:$AN$193,"&gt;="&amp;AN38,'Draft Board'!$AR$2:$AR$193,1)</f>
        <v>8</v>
      </c>
      <c r="AN38" s="11">
        <f>MAX(0,AL38-'Live Calc'!$H$21)^'Live Calc'!$E$21</f>
        <v>114.37936244412721</v>
      </c>
      <c r="AO38" s="11">
        <v>38</v>
      </c>
      <c r="AP38" s="11">
        <f>IF(AO38&lt;&gt;_xlfn.MINIFS('Draft Board'!$AO$2:$AO$193,'Draft Board'!$AN$2:$AN$193,"="&amp;AN38),0,IF(_xlfn.MINIFS('Draft Board'!$AN$2:$AN$193,'Draft Board'!$AN$2:$AN$193,"&gt;"&amp;AN38)=0,1,IF((_xlfn.MINIFS('Draft Board'!$AN$2:$AN$193,'Draft Board'!$AN$2:$AN$193,"&gt;"&amp;AN38)-AN38)/_xlfn.MINIFS('Draft Board'!$AN$2:$AN$193,'Draft Board'!$AN$2:$AN$193,"&gt;"&amp;AN38)&gt;0.08,1,0)))</f>
        <v>0</v>
      </c>
      <c r="AQ38" s="11">
        <f>_xlfn.MINIFS('Draft Board'!$AN$2:$AN$193,'Draft Board'!$AN$2:$AN$193,"&gt;="&amp;AN38,'Draft Board'!$AP$2:$AP$193,1)</f>
        <v>155.09520003629552</v>
      </c>
      <c r="AR38" s="11">
        <f>IF(AO38&lt;&gt;_xlfn.MINIFS('Draft Board'!$AO$2:$AO$193,'Draft Board'!$AN$2:$AN$193,"="&amp;AN38),0,IF(OR(AP38=1,IFERROR(FLOOR((AQ38-AN38)/AQ38/0.25,1),0)&lt;&gt;IFERROR(FLOOR((AQ38-_xlfn.MINIFS('Draft Board'!$AN$2:$AN$193,'Draft Board'!$AN$2:$AN$193,"&gt;"&amp;AN38))/AQ38/0.25,1),0)),1,0))</f>
        <v>1</v>
      </c>
      <c r="AS38" s="11">
        <f>ROUND(1+AN38*'Live Calc'!$D$28,0)</f>
        <v>10</v>
      </c>
      <c r="AT38" s="11"/>
      <c r="AU38" s="11">
        <f>IF(AT38&lt;&gt;"",AT38,ROUND(AS38*INDEX('Live Calc'!$G$259:$G$450,MATCH(AM38,'Live Calc'!$A$259:$A$450,0))*'Live Calc'!$J$543,0))</f>
        <v>10</v>
      </c>
      <c r="AW38" s="12" t="s">
        <v>233</v>
      </c>
      <c r="AX38" s="12" t="s">
        <v>113</v>
      </c>
      <c r="AY38" s="12">
        <v>45.613999999999997</v>
      </c>
      <c r="AZ38" s="12">
        <v>59.756</v>
      </c>
      <c r="BA38" s="12">
        <v>73.47</v>
      </c>
      <c r="BB38" s="12">
        <f>CHOOSE(MATCH(Setup!$B$7,{"STD","Half-PPR","PPR"},0),AY38,AZ38,BA38)</f>
        <v>59.756</v>
      </c>
      <c r="BC38" s="12">
        <f>COUNTIFS('Draft Board'!$BD$2:$BD$87,"&gt;="&amp;BD38,'Draft Board'!$BH$2:$BH$87,1)</f>
        <v>15</v>
      </c>
      <c r="BD38" s="12">
        <f>MAX(0,BB38-'Live Calc'!$H$22)^'Live Calc'!$E$22</f>
        <v>0</v>
      </c>
      <c r="BE38" s="12">
        <v>38</v>
      </c>
      <c r="BF38" s="12">
        <f>IF(BE38&lt;&gt;_xlfn.MINIFS('Draft Board'!$BE$2:$BE$87,'Draft Board'!$BD$2:$BD$87,"="&amp;BD38),0,IF(_xlfn.MINIFS('Draft Board'!$BD$2:$BD$87,'Draft Board'!$BD$2:$BD$87,"&gt;"&amp;BD38)=0,1,IF((_xlfn.MINIFS('Draft Board'!$BD$2:$BD$87,'Draft Board'!$BD$2:$BD$87,"&gt;"&amp;BD38)-BD38)/_xlfn.MINIFS('Draft Board'!$BD$2:$BD$87,'Draft Board'!$BD$2:$BD$87,"&gt;"&amp;BD38)&gt;0.08,1,0)))</f>
        <v>0</v>
      </c>
      <c r="BG38" s="12">
        <f>_xlfn.MINIFS('Draft Board'!$BD$2:$BD$87,'Draft Board'!$BD$2:$BD$87,"&gt;="&amp;BD38,'Draft Board'!$BF$2:$BF$87,1)</f>
        <v>0</v>
      </c>
      <c r="BH38" s="12">
        <f>IF(BE38&lt;&gt;_xlfn.MINIFS('Draft Board'!$BE$2:$BE$87,'Draft Board'!$BD$2:$BD$87,"="&amp;BD38),0,IF(OR(BF38=1,IFERROR(FLOOR((BG38-BD38)/BG38/0.25,1),0)&lt;&gt;IFERROR(FLOOR((BG38-_xlfn.MINIFS('Draft Board'!$BD$2:$BD$87,'Draft Board'!$BD$2:$BD$87,"&gt;"&amp;BD38))/BG38/0.25,1),0)),1,0))</f>
        <v>0</v>
      </c>
      <c r="BI38" s="12">
        <f>ROUND(1+BD38*'Live Calc'!$D$29,0)</f>
        <v>1</v>
      </c>
      <c r="BJ38" s="12"/>
      <c r="BK38" s="12">
        <f>IF(BJ38&lt;&gt;"",BJ38,ROUND(BI38*INDEX('Live Calc'!$G$454:$G$539,MATCH(BC38,'Live Calc'!$A$454:$A$539,0))*'Live Calc'!$J$543,0))</f>
        <v>1</v>
      </c>
    </row>
    <row r="39" spans="1:63" x14ac:dyDescent="0.25">
      <c r="A39" s="9" t="s">
        <v>234</v>
      </c>
      <c r="B39" s="9" t="s">
        <v>90</v>
      </c>
      <c r="C39" s="9">
        <v>25.166</v>
      </c>
      <c r="D39" s="9">
        <v>25.166</v>
      </c>
      <c r="E39" s="9">
        <v>25.166</v>
      </c>
      <c r="F39" s="9">
        <f>CHOOSE(MATCH(Setup!$B$7,{"STD","Half-PPR","PPR"},0),C39,D39,E39)</f>
        <v>25.166</v>
      </c>
      <c r="G39" s="9">
        <f>COUNTIFS('Draft Board'!$H$2:$H$61,"&gt;="&amp;H39,'Draft Board'!$L$2:$L$61,1)</f>
        <v>11</v>
      </c>
      <c r="H39" s="9">
        <f>MAX(0,F39-'Live Calc'!$H$19)^'Live Calc'!$E$19</f>
        <v>0</v>
      </c>
      <c r="I39" s="9">
        <v>39</v>
      </c>
      <c r="J39" s="9">
        <f>IF(I39&lt;&gt;_xlfn.MINIFS('Draft Board'!$I$2:$I$61,'Draft Board'!$H$2:$H$61,"="&amp;H39),0,IF(_xlfn.MINIFS('Draft Board'!$H$2:$H$61,'Draft Board'!$H$2:$H$61,"&gt;"&amp;H39)=0,1,IF((_xlfn.MINIFS('Draft Board'!$H$2:$H$61,'Draft Board'!$H$2:$H$61,"&gt;"&amp;H39)-H39)/_xlfn.MINIFS('Draft Board'!$H$2:$H$61,'Draft Board'!$H$2:$H$61,"&gt;"&amp;H39)&gt;0.08,1,0)))</f>
        <v>0</v>
      </c>
      <c r="K39" s="9">
        <f>_xlfn.MINIFS('Draft Board'!$H$2:$H$61,'Draft Board'!$H$2:$H$61,"&gt;="&amp;H39,'Draft Board'!$J$2:$J$61,1)</f>
        <v>0</v>
      </c>
      <c r="L39" s="9">
        <f>IF(I39&lt;&gt;_xlfn.MINIFS('Draft Board'!$I$2:$I$61,'Draft Board'!$H$2:$H$61,"="&amp;H39),0,IF(OR(J39=1,IFERROR(FLOOR((K39-H39)/K39/0.25,1),0)&lt;&gt;IFERROR(FLOOR((K39-_xlfn.MINIFS('Draft Board'!$H$2:$H$61,'Draft Board'!$H$2:$H$61,"&gt;"&amp;H39))/K39/0.25,1),0)),1,0))</f>
        <v>0</v>
      </c>
      <c r="M39" s="9">
        <f>ROUND(1+H39*'Live Calc'!$D$26,0)</f>
        <v>1</v>
      </c>
      <c r="N39" s="9"/>
      <c r="O39" s="9">
        <f>IF(N39&lt;&gt;"",N39,ROUND(M39*INDEX('Live Calc'!$G$33:$G$92,MATCH(G39,'Live Calc'!$A$33:$A$92,0))*'Live Calc'!$J$543,0))</f>
        <v>1</v>
      </c>
      <c r="Q39" s="10" t="s">
        <v>235</v>
      </c>
      <c r="R39" s="10" t="s">
        <v>100</v>
      </c>
      <c r="S39" s="10">
        <v>110.77200000000001</v>
      </c>
      <c r="T39" s="10">
        <v>129.988</v>
      </c>
      <c r="U39" s="10">
        <v>148.38399999999999</v>
      </c>
      <c r="V39" s="10">
        <f>CHOOSE(MATCH(Setup!$B$7,{"STD","Half-PPR","PPR"},0),S39,T39,U39)</f>
        <v>129.988</v>
      </c>
      <c r="W39" s="10">
        <f>COUNTIFS('Draft Board'!$X$2:$X$161,"&gt;="&amp;X39,'Draft Board'!$AB$2:$AB$161,1)</f>
        <v>10</v>
      </c>
      <c r="X39" s="10">
        <f>MAX(0,V39-'Live Calc'!$H$20)^'Live Calc'!$E$20</f>
        <v>57.236560754111139</v>
      </c>
      <c r="Y39" s="10">
        <v>39</v>
      </c>
      <c r="Z39" s="10">
        <f>IF(Y39&lt;&gt;_xlfn.MINIFS('Draft Board'!$Y$2:$Y$161,'Draft Board'!$X$2:$X$161,"="&amp;X39),0,IF(_xlfn.MINIFS('Draft Board'!$X$2:$X$161,'Draft Board'!$X$2:$X$161,"&gt;"&amp;X39)=0,1,IF((_xlfn.MINIFS('Draft Board'!$X$2:$X$161,'Draft Board'!$X$2:$X$161,"&gt;"&amp;X39)-X39)/_xlfn.MINIFS('Draft Board'!$X$2:$X$161,'Draft Board'!$X$2:$X$161,"&gt;"&amp;X39)&gt;0.08,1,0)))</f>
        <v>1</v>
      </c>
      <c r="AA39" s="10">
        <f>_xlfn.MINIFS('Draft Board'!$X$2:$X$161,'Draft Board'!$X$2:$X$161,"&gt;="&amp;X39,'Draft Board'!$Z$2:$Z$161,1)</f>
        <v>57.236560754111139</v>
      </c>
      <c r="AB39" s="10">
        <f>IF(Y39&lt;&gt;_xlfn.MINIFS('Draft Board'!$Y$2:$Y$161,'Draft Board'!$X$2:$X$161,"="&amp;X39),0,IF(OR(Z39=1,IFERROR(FLOOR((AA39-X39)/AA39/0.25,1),0)&lt;&gt;IFERROR(FLOOR((AA39-_xlfn.MINIFS('Draft Board'!$X$2:$X$161,'Draft Board'!$X$2:$X$161,"&gt;"&amp;X39))/AA39/0.25,1),0)),1,0))</f>
        <v>1</v>
      </c>
      <c r="AC39" s="10">
        <f>ROUND(1+X39*'Live Calc'!$D$27,0)</f>
        <v>6</v>
      </c>
      <c r="AD39" s="10"/>
      <c r="AE39" s="10">
        <f>IF(AD39&lt;&gt;"",AD39,ROUND(AC39*INDEX('Live Calc'!$G$96:$G$255,MATCH(W39,'Live Calc'!$A$96:$A$255,0))*'Live Calc'!$J$543,0))</f>
        <v>6</v>
      </c>
      <c r="AG39" s="11" t="s">
        <v>236</v>
      </c>
      <c r="AH39" s="11" t="s">
        <v>152</v>
      </c>
      <c r="AI39" s="11">
        <v>109.786</v>
      </c>
      <c r="AJ39" s="11">
        <v>144.95599999999999</v>
      </c>
      <c r="AK39" s="11">
        <v>179.25</v>
      </c>
      <c r="AL39" s="11">
        <f>CHOOSE(MATCH(Setup!$B$7,{"STD","Half-PPR","PPR"},0),AI39,AJ39,AK39)</f>
        <v>144.95599999999999</v>
      </c>
      <c r="AM39" s="11">
        <f>COUNTIFS('Draft Board'!$AN$2:$AN$193,"&gt;="&amp;AN39,'Draft Board'!$AR$2:$AR$193,1)</f>
        <v>8</v>
      </c>
      <c r="AN39" s="11">
        <f>MAX(0,AL39-'Live Calc'!$H$21)^'Live Calc'!$E$21</f>
        <v>112.40885435620343</v>
      </c>
      <c r="AO39" s="11">
        <v>39</v>
      </c>
      <c r="AP39" s="11">
        <f>IF(AO39&lt;&gt;_xlfn.MINIFS('Draft Board'!$AO$2:$AO$193,'Draft Board'!$AN$2:$AN$193,"="&amp;AN39),0,IF(_xlfn.MINIFS('Draft Board'!$AN$2:$AN$193,'Draft Board'!$AN$2:$AN$193,"&gt;"&amp;AN39)=0,1,IF((_xlfn.MINIFS('Draft Board'!$AN$2:$AN$193,'Draft Board'!$AN$2:$AN$193,"&gt;"&amp;AN39)-AN39)/_xlfn.MINIFS('Draft Board'!$AN$2:$AN$193,'Draft Board'!$AN$2:$AN$193,"&gt;"&amp;AN39)&gt;0.08,1,0)))</f>
        <v>0</v>
      </c>
      <c r="AQ39" s="11">
        <f>_xlfn.MINIFS('Draft Board'!$AN$2:$AN$193,'Draft Board'!$AN$2:$AN$193,"&gt;="&amp;AN39,'Draft Board'!$AP$2:$AP$193,1)</f>
        <v>155.09520003629552</v>
      </c>
      <c r="AR39" s="11">
        <f>IF(AO39&lt;&gt;_xlfn.MINIFS('Draft Board'!$AO$2:$AO$193,'Draft Board'!$AN$2:$AN$193,"="&amp;AN39),0,IF(OR(AP39=1,IFERROR(FLOOR((AQ39-AN39)/AQ39/0.25,1),0)&lt;&gt;IFERROR(FLOOR((AQ39-_xlfn.MINIFS('Draft Board'!$AN$2:$AN$193,'Draft Board'!$AN$2:$AN$193,"&gt;"&amp;AN39))/AQ39/0.25,1),0)),1,0))</f>
        <v>0</v>
      </c>
      <c r="AS39" s="11">
        <f>ROUND(1+AN39*'Live Calc'!$D$28,0)</f>
        <v>10</v>
      </c>
      <c r="AT39" s="11"/>
      <c r="AU39" s="11">
        <f>IF(AT39&lt;&gt;"",AT39,ROUND(AS39*INDEX('Live Calc'!$G$259:$G$450,MATCH(AM39,'Live Calc'!$A$259:$A$450,0))*'Live Calc'!$J$543,0))</f>
        <v>10</v>
      </c>
      <c r="AW39" s="12" t="s">
        <v>237</v>
      </c>
      <c r="AX39" s="12" t="s">
        <v>85</v>
      </c>
      <c r="AY39" s="12">
        <v>43.165999999999997</v>
      </c>
      <c r="AZ39" s="12">
        <v>57.98</v>
      </c>
      <c r="BA39" s="12">
        <v>73.822000000000003</v>
      </c>
      <c r="BB39" s="12">
        <f>CHOOSE(MATCH(Setup!$B$7,{"STD","Half-PPR","PPR"},0),AY39,AZ39,BA39)</f>
        <v>57.98</v>
      </c>
      <c r="BC39" s="12">
        <f>COUNTIFS('Draft Board'!$BD$2:$BD$87,"&gt;="&amp;BD39,'Draft Board'!$BH$2:$BH$87,1)</f>
        <v>15</v>
      </c>
      <c r="BD39" s="12">
        <f>MAX(0,BB39-'Live Calc'!$H$22)^'Live Calc'!$E$22</f>
        <v>0</v>
      </c>
      <c r="BE39" s="12">
        <v>39</v>
      </c>
      <c r="BF39" s="12">
        <f>IF(BE39&lt;&gt;_xlfn.MINIFS('Draft Board'!$BE$2:$BE$87,'Draft Board'!$BD$2:$BD$87,"="&amp;BD39),0,IF(_xlfn.MINIFS('Draft Board'!$BD$2:$BD$87,'Draft Board'!$BD$2:$BD$87,"&gt;"&amp;BD39)=0,1,IF((_xlfn.MINIFS('Draft Board'!$BD$2:$BD$87,'Draft Board'!$BD$2:$BD$87,"&gt;"&amp;BD39)-BD39)/_xlfn.MINIFS('Draft Board'!$BD$2:$BD$87,'Draft Board'!$BD$2:$BD$87,"&gt;"&amp;BD39)&gt;0.08,1,0)))</f>
        <v>0</v>
      </c>
      <c r="BG39" s="12">
        <f>_xlfn.MINIFS('Draft Board'!$BD$2:$BD$87,'Draft Board'!$BD$2:$BD$87,"&gt;="&amp;BD39,'Draft Board'!$BF$2:$BF$87,1)</f>
        <v>0</v>
      </c>
      <c r="BH39" s="12">
        <f>IF(BE39&lt;&gt;_xlfn.MINIFS('Draft Board'!$BE$2:$BE$87,'Draft Board'!$BD$2:$BD$87,"="&amp;BD39),0,IF(OR(BF39=1,IFERROR(FLOOR((BG39-BD39)/BG39/0.25,1),0)&lt;&gt;IFERROR(FLOOR((BG39-_xlfn.MINIFS('Draft Board'!$BD$2:$BD$87,'Draft Board'!$BD$2:$BD$87,"&gt;"&amp;BD39))/BG39/0.25,1),0)),1,0))</f>
        <v>0</v>
      </c>
      <c r="BI39" s="12">
        <f>ROUND(1+BD39*'Live Calc'!$D$29,0)</f>
        <v>1</v>
      </c>
      <c r="BJ39" s="12"/>
      <c r="BK39" s="12">
        <f>IF(BJ39&lt;&gt;"",BJ39,ROUND(BI39*INDEX('Live Calc'!$G$454:$G$539,MATCH(BC39,'Live Calc'!$A$454:$A$539,0))*'Live Calc'!$J$543,0))</f>
        <v>1</v>
      </c>
    </row>
    <row r="40" spans="1:63" x14ac:dyDescent="0.25">
      <c r="A40" s="9" t="s">
        <v>238</v>
      </c>
      <c r="B40" s="9" t="s">
        <v>73</v>
      </c>
      <c r="C40" s="9">
        <v>24.87</v>
      </c>
      <c r="D40" s="9">
        <v>24.87</v>
      </c>
      <c r="E40" s="9">
        <v>24.87</v>
      </c>
      <c r="F40" s="9">
        <f>CHOOSE(MATCH(Setup!$B$7,{"STD","Half-PPR","PPR"},0),C40,D40,E40)</f>
        <v>24.87</v>
      </c>
      <c r="G40" s="9">
        <f>COUNTIFS('Draft Board'!$H$2:$H$61,"&gt;="&amp;H40,'Draft Board'!$L$2:$L$61,1)</f>
        <v>11</v>
      </c>
      <c r="H40" s="9">
        <f>MAX(0,F40-'Live Calc'!$H$19)^'Live Calc'!$E$19</f>
        <v>0</v>
      </c>
      <c r="I40" s="9">
        <v>40</v>
      </c>
      <c r="J40" s="9">
        <f>IF(I40&lt;&gt;_xlfn.MINIFS('Draft Board'!$I$2:$I$61,'Draft Board'!$H$2:$H$61,"="&amp;H40),0,IF(_xlfn.MINIFS('Draft Board'!$H$2:$H$61,'Draft Board'!$H$2:$H$61,"&gt;"&amp;H40)=0,1,IF((_xlfn.MINIFS('Draft Board'!$H$2:$H$61,'Draft Board'!$H$2:$H$61,"&gt;"&amp;H40)-H40)/_xlfn.MINIFS('Draft Board'!$H$2:$H$61,'Draft Board'!$H$2:$H$61,"&gt;"&amp;H40)&gt;0.08,1,0)))</f>
        <v>0</v>
      </c>
      <c r="K40" s="9">
        <f>_xlfn.MINIFS('Draft Board'!$H$2:$H$61,'Draft Board'!$H$2:$H$61,"&gt;="&amp;H40,'Draft Board'!$J$2:$J$61,1)</f>
        <v>0</v>
      </c>
      <c r="L40" s="9">
        <f>IF(I40&lt;&gt;_xlfn.MINIFS('Draft Board'!$I$2:$I$61,'Draft Board'!$H$2:$H$61,"="&amp;H40),0,IF(OR(J40=1,IFERROR(FLOOR((K40-H40)/K40/0.25,1),0)&lt;&gt;IFERROR(FLOOR((K40-_xlfn.MINIFS('Draft Board'!$H$2:$H$61,'Draft Board'!$H$2:$H$61,"&gt;"&amp;H40))/K40/0.25,1),0)),1,0))</f>
        <v>0</v>
      </c>
      <c r="M40" s="9">
        <f>ROUND(1+H40*'Live Calc'!$D$26,0)</f>
        <v>1</v>
      </c>
      <c r="N40" s="9"/>
      <c r="O40" s="9">
        <f>IF(N40&lt;&gt;"",N40,ROUND(M40*INDEX('Live Calc'!$G$33:$G$92,MATCH(G40,'Live Calc'!$A$33:$A$92,0))*'Live Calc'!$J$543,0))</f>
        <v>1</v>
      </c>
      <c r="Q40" s="10" t="s">
        <v>239</v>
      </c>
      <c r="R40" s="10" t="s">
        <v>79</v>
      </c>
      <c r="S40" s="10">
        <v>119.66</v>
      </c>
      <c r="T40" s="10">
        <v>126.09</v>
      </c>
      <c r="U40" s="10">
        <v>131.988</v>
      </c>
      <c r="V40" s="10">
        <f>CHOOSE(MATCH(Setup!$B$7,{"STD","Half-PPR","PPR"},0),S40,T40,U40)</f>
        <v>126.09</v>
      </c>
      <c r="W40" s="10">
        <f>COUNTIFS('Draft Board'!$X$2:$X$161,"&gt;="&amp;X40,'Draft Board'!$AB$2:$AB$161,1)</f>
        <v>11</v>
      </c>
      <c r="X40" s="10">
        <f>MAX(0,V40-'Live Calc'!$H$20)^'Live Calc'!$E$20</f>
        <v>48.181326292339797</v>
      </c>
      <c r="Y40" s="10">
        <v>40</v>
      </c>
      <c r="Z40" s="10">
        <f>IF(Y40&lt;&gt;_xlfn.MINIFS('Draft Board'!$Y$2:$Y$161,'Draft Board'!$X$2:$X$161,"="&amp;X40),0,IF(_xlfn.MINIFS('Draft Board'!$X$2:$X$161,'Draft Board'!$X$2:$X$161,"&gt;"&amp;X40)=0,1,IF((_xlfn.MINIFS('Draft Board'!$X$2:$X$161,'Draft Board'!$X$2:$X$161,"&gt;"&amp;X40)-X40)/_xlfn.MINIFS('Draft Board'!$X$2:$X$161,'Draft Board'!$X$2:$X$161,"&gt;"&amp;X40)&gt;0.08,1,0)))</f>
        <v>1</v>
      </c>
      <c r="AA40" s="10">
        <f>_xlfn.MINIFS('Draft Board'!$X$2:$X$161,'Draft Board'!$X$2:$X$161,"&gt;="&amp;X40,'Draft Board'!$Z$2:$Z$161,1)</f>
        <v>48.181326292339797</v>
      </c>
      <c r="AB40" s="10">
        <f>IF(Y40&lt;&gt;_xlfn.MINIFS('Draft Board'!$Y$2:$Y$161,'Draft Board'!$X$2:$X$161,"="&amp;X40),0,IF(OR(Z40=1,IFERROR(FLOOR((AA40-X40)/AA40/0.25,1),0)&lt;&gt;IFERROR(FLOOR((AA40-_xlfn.MINIFS('Draft Board'!$X$2:$X$161,'Draft Board'!$X$2:$X$161,"&gt;"&amp;X40))/AA40/0.25,1),0)),1,0))</f>
        <v>1</v>
      </c>
      <c r="AC40" s="10">
        <f>ROUND(1+X40*'Live Calc'!$D$27,0)</f>
        <v>5</v>
      </c>
      <c r="AD40" s="10"/>
      <c r="AE40" s="10">
        <f>IF(AD40&lt;&gt;"",AD40,ROUND(AC40*INDEX('Live Calc'!$G$96:$G$255,MATCH(W40,'Live Calc'!$A$96:$A$255,0))*'Live Calc'!$J$543,0))</f>
        <v>5</v>
      </c>
      <c r="AG40" s="11" t="s">
        <v>240</v>
      </c>
      <c r="AH40" s="11" t="s">
        <v>107</v>
      </c>
      <c r="AI40" s="11">
        <v>107.96599999999999</v>
      </c>
      <c r="AJ40" s="11">
        <v>141.55000000000001</v>
      </c>
      <c r="AK40" s="11">
        <v>176.54</v>
      </c>
      <c r="AL40" s="11">
        <f>CHOOSE(MATCH(Setup!$B$7,{"STD","Half-PPR","PPR"},0),AI40,AJ40,AK40)</f>
        <v>141.55000000000001</v>
      </c>
      <c r="AM40" s="11">
        <f>COUNTIFS('Draft Board'!$AN$2:$AN$193,"&gt;="&amp;AN40,'Draft Board'!$AR$2:$AR$193,1)</f>
        <v>9</v>
      </c>
      <c r="AN40" s="11">
        <f>MAX(0,AL40-'Live Calc'!$H$21)^'Live Calc'!$E$21</f>
        <v>101.57012751714554</v>
      </c>
      <c r="AO40" s="11">
        <v>40</v>
      </c>
      <c r="AP40" s="11">
        <f>IF(AO40&lt;&gt;_xlfn.MINIFS('Draft Board'!$AO$2:$AO$193,'Draft Board'!$AN$2:$AN$193,"="&amp;AN40),0,IF(_xlfn.MINIFS('Draft Board'!$AN$2:$AN$193,'Draft Board'!$AN$2:$AN$193,"&gt;"&amp;AN40)=0,1,IF((_xlfn.MINIFS('Draft Board'!$AN$2:$AN$193,'Draft Board'!$AN$2:$AN$193,"&gt;"&amp;AN40)-AN40)/_xlfn.MINIFS('Draft Board'!$AN$2:$AN$193,'Draft Board'!$AN$2:$AN$193,"&gt;"&amp;AN40)&gt;0.08,1,0)))</f>
        <v>1</v>
      </c>
      <c r="AQ40" s="11">
        <f>_xlfn.MINIFS('Draft Board'!$AN$2:$AN$193,'Draft Board'!$AN$2:$AN$193,"&gt;="&amp;AN40,'Draft Board'!$AP$2:$AP$193,1)</f>
        <v>101.57012751714554</v>
      </c>
      <c r="AR40" s="11">
        <f>IF(AO40&lt;&gt;_xlfn.MINIFS('Draft Board'!$AO$2:$AO$193,'Draft Board'!$AN$2:$AN$193,"="&amp;AN40),0,IF(OR(AP40=1,IFERROR(FLOOR((AQ40-AN40)/AQ40/0.25,1),0)&lt;&gt;IFERROR(FLOOR((AQ40-_xlfn.MINIFS('Draft Board'!$AN$2:$AN$193,'Draft Board'!$AN$2:$AN$193,"&gt;"&amp;AN40))/AQ40/0.25,1),0)),1,0))</f>
        <v>1</v>
      </c>
      <c r="AS40" s="11">
        <f>ROUND(1+AN40*'Live Calc'!$D$28,0)</f>
        <v>9</v>
      </c>
      <c r="AT40" s="11"/>
      <c r="AU40" s="11">
        <f>IF(AT40&lt;&gt;"",AT40,ROUND(AS40*INDEX('Live Calc'!$G$259:$G$450,MATCH(AM40,'Live Calc'!$A$259:$A$450,0))*'Live Calc'!$J$543,0))</f>
        <v>9</v>
      </c>
      <c r="AW40" s="12" t="s">
        <v>241</v>
      </c>
      <c r="AX40" s="12" t="s">
        <v>55</v>
      </c>
      <c r="AY40" s="12">
        <v>46.192</v>
      </c>
      <c r="AZ40" s="12">
        <v>57.07</v>
      </c>
      <c r="BA40" s="12">
        <v>68.757999999999996</v>
      </c>
      <c r="BB40" s="12">
        <f>CHOOSE(MATCH(Setup!$B$7,{"STD","Half-PPR","PPR"},0),AY40,AZ40,BA40)</f>
        <v>57.07</v>
      </c>
      <c r="BC40" s="12">
        <f>COUNTIFS('Draft Board'!$BD$2:$BD$87,"&gt;="&amp;BD40,'Draft Board'!$BH$2:$BH$87,1)</f>
        <v>15</v>
      </c>
      <c r="BD40" s="12">
        <f>MAX(0,BB40-'Live Calc'!$H$22)^'Live Calc'!$E$22</f>
        <v>0</v>
      </c>
      <c r="BE40" s="12">
        <v>40</v>
      </c>
      <c r="BF40" s="12">
        <f>IF(BE40&lt;&gt;_xlfn.MINIFS('Draft Board'!$BE$2:$BE$87,'Draft Board'!$BD$2:$BD$87,"="&amp;BD40),0,IF(_xlfn.MINIFS('Draft Board'!$BD$2:$BD$87,'Draft Board'!$BD$2:$BD$87,"&gt;"&amp;BD40)=0,1,IF((_xlfn.MINIFS('Draft Board'!$BD$2:$BD$87,'Draft Board'!$BD$2:$BD$87,"&gt;"&amp;BD40)-BD40)/_xlfn.MINIFS('Draft Board'!$BD$2:$BD$87,'Draft Board'!$BD$2:$BD$87,"&gt;"&amp;BD40)&gt;0.08,1,0)))</f>
        <v>0</v>
      </c>
      <c r="BG40" s="12">
        <f>_xlfn.MINIFS('Draft Board'!$BD$2:$BD$87,'Draft Board'!$BD$2:$BD$87,"&gt;="&amp;BD40,'Draft Board'!$BF$2:$BF$87,1)</f>
        <v>0</v>
      </c>
      <c r="BH40" s="12">
        <f>IF(BE40&lt;&gt;_xlfn.MINIFS('Draft Board'!$BE$2:$BE$87,'Draft Board'!$BD$2:$BD$87,"="&amp;BD40),0,IF(OR(BF40=1,IFERROR(FLOOR((BG40-BD40)/BG40/0.25,1),0)&lt;&gt;IFERROR(FLOOR((BG40-_xlfn.MINIFS('Draft Board'!$BD$2:$BD$87,'Draft Board'!$BD$2:$BD$87,"&gt;"&amp;BD40))/BG40/0.25,1),0)),1,0))</f>
        <v>0</v>
      </c>
      <c r="BI40" s="12">
        <f>ROUND(1+BD40*'Live Calc'!$D$29,0)</f>
        <v>1</v>
      </c>
      <c r="BJ40" s="12"/>
      <c r="BK40" s="12">
        <f>IF(BJ40&lt;&gt;"",BJ40,ROUND(BI40*INDEX('Live Calc'!$G$454:$G$539,MATCH(BC40,'Live Calc'!$A$454:$A$539,0))*'Live Calc'!$J$543,0))</f>
        <v>1</v>
      </c>
    </row>
    <row r="41" spans="1:63" x14ac:dyDescent="0.25">
      <c r="A41" s="9" t="s">
        <v>242</v>
      </c>
      <c r="B41" s="9" t="s">
        <v>81</v>
      </c>
      <c r="C41" s="9">
        <v>23.3</v>
      </c>
      <c r="D41" s="9">
        <v>23.3</v>
      </c>
      <c r="E41" s="9">
        <v>23.3</v>
      </c>
      <c r="F41" s="9">
        <f>CHOOSE(MATCH(Setup!$B$7,{"STD","Half-PPR","PPR"},0),C41,D41,E41)</f>
        <v>23.3</v>
      </c>
      <c r="G41" s="9">
        <f>COUNTIFS('Draft Board'!$H$2:$H$61,"&gt;="&amp;H41,'Draft Board'!$L$2:$L$61,1)</f>
        <v>11</v>
      </c>
      <c r="H41" s="9">
        <f>MAX(0,F41-'Live Calc'!$H$19)^'Live Calc'!$E$19</f>
        <v>0</v>
      </c>
      <c r="I41" s="9">
        <v>41</v>
      </c>
      <c r="J41" s="9">
        <f>IF(I41&lt;&gt;_xlfn.MINIFS('Draft Board'!$I$2:$I$61,'Draft Board'!$H$2:$H$61,"="&amp;H41),0,IF(_xlfn.MINIFS('Draft Board'!$H$2:$H$61,'Draft Board'!$H$2:$H$61,"&gt;"&amp;H41)=0,1,IF((_xlfn.MINIFS('Draft Board'!$H$2:$H$61,'Draft Board'!$H$2:$H$61,"&gt;"&amp;H41)-H41)/_xlfn.MINIFS('Draft Board'!$H$2:$H$61,'Draft Board'!$H$2:$H$61,"&gt;"&amp;H41)&gt;0.08,1,0)))</f>
        <v>0</v>
      </c>
      <c r="K41" s="9">
        <f>_xlfn.MINIFS('Draft Board'!$H$2:$H$61,'Draft Board'!$H$2:$H$61,"&gt;="&amp;H41,'Draft Board'!$J$2:$J$61,1)</f>
        <v>0</v>
      </c>
      <c r="L41" s="9">
        <f>IF(I41&lt;&gt;_xlfn.MINIFS('Draft Board'!$I$2:$I$61,'Draft Board'!$H$2:$H$61,"="&amp;H41),0,IF(OR(J41=1,IFERROR(FLOOR((K41-H41)/K41/0.25,1),0)&lt;&gt;IFERROR(FLOOR((K41-_xlfn.MINIFS('Draft Board'!$H$2:$H$61,'Draft Board'!$H$2:$H$61,"&gt;"&amp;H41))/K41/0.25,1),0)),1,0))</f>
        <v>0</v>
      </c>
      <c r="M41" s="9">
        <f>ROUND(1+H41*'Live Calc'!$D$26,0)</f>
        <v>1</v>
      </c>
      <c r="N41" s="9"/>
      <c r="O41" s="9">
        <f>IF(N41&lt;&gt;"",N41,ROUND(M41*INDEX('Live Calc'!$G$33:$G$92,MATCH(G41,'Live Calc'!$A$33:$A$92,0))*'Live Calc'!$J$543,0))</f>
        <v>1</v>
      </c>
      <c r="Q41" s="10" t="s">
        <v>243</v>
      </c>
      <c r="R41" s="10" t="s">
        <v>149</v>
      </c>
      <c r="S41" s="10">
        <v>109.928</v>
      </c>
      <c r="T41" s="10">
        <v>125.84</v>
      </c>
      <c r="U41" s="10">
        <v>143.36799999999999</v>
      </c>
      <c r="V41" s="10">
        <f>CHOOSE(MATCH(Setup!$B$7,{"STD","Half-PPR","PPR"},0),S41,T41,U41)</f>
        <v>125.84</v>
      </c>
      <c r="W41" s="10">
        <f>COUNTIFS('Draft Board'!$X$2:$X$161,"&gt;="&amp;X41,'Draft Board'!$AB$2:$AB$161,1)</f>
        <v>11</v>
      </c>
      <c r="X41" s="10">
        <f>MAX(0,V41-'Live Calc'!$H$20)^'Live Calc'!$E$20</f>
        <v>47.609624130461242</v>
      </c>
      <c r="Y41" s="10">
        <v>41</v>
      </c>
      <c r="Z41" s="10">
        <f>IF(Y41&lt;&gt;_xlfn.MINIFS('Draft Board'!$Y$2:$Y$161,'Draft Board'!$X$2:$X$161,"="&amp;X41),0,IF(_xlfn.MINIFS('Draft Board'!$X$2:$X$161,'Draft Board'!$X$2:$X$161,"&gt;"&amp;X41)=0,1,IF((_xlfn.MINIFS('Draft Board'!$X$2:$X$161,'Draft Board'!$X$2:$X$161,"&gt;"&amp;X41)-X41)/_xlfn.MINIFS('Draft Board'!$X$2:$X$161,'Draft Board'!$X$2:$X$161,"&gt;"&amp;X41)&gt;0.08,1,0)))</f>
        <v>0</v>
      </c>
      <c r="AA41" s="10">
        <f>_xlfn.MINIFS('Draft Board'!$X$2:$X$161,'Draft Board'!$X$2:$X$161,"&gt;="&amp;X41,'Draft Board'!$Z$2:$Z$161,1)</f>
        <v>48.181326292339797</v>
      </c>
      <c r="AB41" s="10">
        <f>IF(Y41&lt;&gt;_xlfn.MINIFS('Draft Board'!$Y$2:$Y$161,'Draft Board'!$X$2:$X$161,"="&amp;X41),0,IF(OR(Z41=1,IFERROR(FLOOR((AA41-X41)/AA41/0.25,1),0)&lt;&gt;IFERROR(FLOOR((AA41-_xlfn.MINIFS('Draft Board'!$X$2:$X$161,'Draft Board'!$X$2:$X$161,"&gt;"&amp;X41))/AA41/0.25,1),0)),1,0))</f>
        <v>0</v>
      </c>
      <c r="AC41" s="10">
        <f>ROUND(1+X41*'Live Calc'!$D$27,0)</f>
        <v>5</v>
      </c>
      <c r="AD41" s="10"/>
      <c r="AE41" s="10">
        <f>IF(AD41&lt;&gt;"",AD41,ROUND(AC41*INDEX('Live Calc'!$G$96:$G$255,MATCH(W41,'Live Calc'!$A$96:$A$255,0))*'Live Calc'!$J$543,0))</f>
        <v>5</v>
      </c>
      <c r="AG41" s="11" t="s">
        <v>244</v>
      </c>
      <c r="AH41" s="11" t="s">
        <v>185</v>
      </c>
      <c r="AI41" s="11">
        <v>105.318</v>
      </c>
      <c r="AJ41" s="11">
        <v>141.404</v>
      </c>
      <c r="AK41" s="11">
        <v>181.03</v>
      </c>
      <c r="AL41" s="11">
        <f>CHOOSE(MATCH(Setup!$B$7,{"STD","Half-PPR","PPR"},0),AI41,AJ41,AK41)</f>
        <v>141.404</v>
      </c>
      <c r="AM41" s="11">
        <f>COUNTIFS('Draft Board'!$AN$2:$AN$193,"&gt;="&amp;AN41,'Draft Board'!$AR$2:$AR$193,1)</f>
        <v>9</v>
      </c>
      <c r="AN41" s="11">
        <f>MAX(0,AL41-'Live Calc'!$H$21)^'Live Calc'!$E$21</f>
        <v>101.11048602866528</v>
      </c>
      <c r="AO41" s="11">
        <v>41</v>
      </c>
      <c r="AP41" s="11">
        <f>IF(AO41&lt;&gt;_xlfn.MINIFS('Draft Board'!$AO$2:$AO$193,'Draft Board'!$AN$2:$AN$193,"="&amp;AN41),0,IF(_xlfn.MINIFS('Draft Board'!$AN$2:$AN$193,'Draft Board'!$AN$2:$AN$193,"&gt;"&amp;AN41)=0,1,IF((_xlfn.MINIFS('Draft Board'!$AN$2:$AN$193,'Draft Board'!$AN$2:$AN$193,"&gt;"&amp;AN41)-AN41)/_xlfn.MINIFS('Draft Board'!$AN$2:$AN$193,'Draft Board'!$AN$2:$AN$193,"&gt;"&amp;AN41)&gt;0.08,1,0)))</f>
        <v>0</v>
      </c>
      <c r="AQ41" s="11">
        <f>_xlfn.MINIFS('Draft Board'!$AN$2:$AN$193,'Draft Board'!$AN$2:$AN$193,"&gt;="&amp;AN41,'Draft Board'!$AP$2:$AP$193,1)</f>
        <v>101.57012751714554</v>
      </c>
      <c r="AR41" s="11">
        <f>IF(AO41&lt;&gt;_xlfn.MINIFS('Draft Board'!$AO$2:$AO$193,'Draft Board'!$AN$2:$AN$193,"="&amp;AN41),0,IF(OR(AP41=1,IFERROR(FLOOR((AQ41-AN41)/AQ41/0.25,1),0)&lt;&gt;IFERROR(FLOOR((AQ41-_xlfn.MINIFS('Draft Board'!$AN$2:$AN$193,'Draft Board'!$AN$2:$AN$193,"&gt;"&amp;AN41))/AQ41/0.25,1),0)),1,0))</f>
        <v>0</v>
      </c>
      <c r="AS41" s="11">
        <f>ROUND(1+AN41*'Live Calc'!$D$28,0)</f>
        <v>9</v>
      </c>
      <c r="AT41" s="11"/>
      <c r="AU41" s="11">
        <f>IF(AT41&lt;&gt;"",AT41,ROUND(AS41*INDEX('Live Calc'!$G$259:$G$450,MATCH(AM41,'Live Calc'!$A$259:$A$450,0))*'Live Calc'!$J$543,0))</f>
        <v>9</v>
      </c>
      <c r="AW41" s="12" t="s">
        <v>245</v>
      </c>
      <c r="AX41" s="12" t="s">
        <v>246</v>
      </c>
      <c r="AY41" s="12">
        <v>41.753999999999998</v>
      </c>
      <c r="AZ41" s="12">
        <v>54.7</v>
      </c>
      <c r="BA41" s="12">
        <v>70.451999999999998</v>
      </c>
      <c r="BB41" s="12">
        <f>CHOOSE(MATCH(Setup!$B$7,{"STD","Half-PPR","PPR"},0),AY41,AZ41,BA41)</f>
        <v>54.7</v>
      </c>
      <c r="BC41" s="12">
        <f>COUNTIFS('Draft Board'!$BD$2:$BD$87,"&gt;="&amp;BD41,'Draft Board'!$BH$2:$BH$87,1)</f>
        <v>15</v>
      </c>
      <c r="BD41" s="12">
        <f>MAX(0,BB41-'Live Calc'!$H$22)^'Live Calc'!$E$22</f>
        <v>0</v>
      </c>
      <c r="BE41" s="12">
        <v>41</v>
      </c>
      <c r="BF41" s="12">
        <f>IF(BE41&lt;&gt;_xlfn.MINIFS('Draft Board'!$BE$2:$BE$87,'Draft Board'!$BD$2:$BD$87,"="&amp;BD41),0,IF(_xlfn.MINIFS('Draft Board'!$BD$2:$BD$87,'Draft Board'!$BD$2:$BD$87,"&gt;"&amp;BD41)=0,1,IF((_xlfn.MINIFS('Draft Board'!$BD$2:$BD$87,'Draft Board'!$BD$2:$BD$87,"&gt;"&amp;BD41)-BD41)/_xlfn.MINIFS('Draft Board'!$BD$2:$BD$87,'Draft Board'!$BD$2:$BD$87,"&gt;"&amp;BD41)&gt;0.08,1,0)))</f>
        <v>0</v>
      </c>
      <c r="BG41" s="12">
        <f>_xlfn.MINIFS('Draft Board'!$BD$2:$BD$87,'Draft Board'!$BD$2:$BD$87,"&gt;="&amp;BD41,'Draft Board'!$BF$2:$BF$87,1)</f>
        <v>0</v>
      </c>
      <c r="BH41" s="12">
        <f>IF(BE41&lt;&gt;_xlfn.MINIFS('Draft Board'!$BE$2:$BE$87,'Draft Board'!$BD$2:$BD$87,"="&amp;BD41),0,IF(OR(BF41=1,IFERROR(FLOOR((BG41-BD41)/BG41/0.25,1),0)&lt;&gt;IFERROR(FLOOR((BG41-_xlfn.MINIFS('Draft Board'!$BD$2:$BD$87,'Draft Board'!$BD$2:$BD$87,"&gt;"&amp;BD41))/BG41/0.25,1),0)),1,0))</f>
        <v>0</v>
      </c>
      <c r="BI41" s="12">
        <f>ROUND(1+BD41*'Live Calc'!$D$29,0)</f>
        <v>1</v>
      </c>
      <c r="BJ41" s="12"/>
      <c r="BK41" s="12">
        <f>IF(BJ41&lt;&gt;"",BJ41,ROUND(BI41*INDEX('Live Calc'!$G$454:$G$539,MATCH(BC41,'Live Calc'!$A$454:$A$539,0))*'Live Calc'!$J$543,0))</f>
        <v>1</v>
      </c>
    </row>
    <row r="42" spans="1:63" x14ac:dyDescent="0.25">
      <c r="A42" s="9" t="s">
        <v>247</v>
      </c>
      <c r="B42" s="9" t="s">
        <v>113</v>
      </c>
      <c r="C42" s="9">
        <v>22.76</v>
      </c>
      <c r="D42" s="9">
        <v>22.76</v>
      </c>
      <c r="E42" s="9">
        <v>22.76</v>
      </c>
      <c r="F42" s="9">
        <f>CHOOSE(MATCH(Setup!$B$7,{"STD","Half-PPR","PPR"},0),C42,D42,E42)</f>
        <v>22.76</v>
      </c>
      <c r="G42" s="9">
        <f>COUNTIFS('Draft Board'!$H$2:$H$61,"&gt;="&amp;H42,'Draft Board'!$L$2:$L$61,1)</f>
        <v>11</v>
      </c>
      <c r="H42" s="9">
        <f>MAX(0,F42-'Live Calc'!$H$19)^'Live Calc'!$E$19</f>
        <v>0</v>
      </c>
      <c r="I42" s="9">
        <v>42</v>
      </c>
      <c r="J42" s="9">
        <f>IF(I42&lt;&gt;_xlfn.MINIFS('Draft Board'!$I$2:$I$61,'Draft Board'!$H$2:$H$61,"="&amp;H42),0,IF(_xlfn.MINIFS('Draft Board'!$H$2:$H$61,'Draft Board'!$H$2:$H$61,"&gt;"&amp;H42)=0,1,IF((_xlfn.MINIFS('Draft Board'!$H$2:$H$61,'Draft Board'!$H$2:$H$61,"&gt;"&amp;H42)-H42)/_xlfn.MINIFS('Draft Board'!$H$2:$H$61,'Draft Board'!$H$2:$H$61,"&gt;"&amp;H42)&gt;0.08,1,0)))</f>
        <v>0</v>
      </c>
      <c r="K42" s="9">
        <f>_xlfn.MINIFS('Draft Board'!$H$2:$H$61,'Draft Board'!$H$2:$H$61,"&gt;="&amp;H42,'Draft Board'!$J$2:$J$61,1)</f>
        <v>0</v>
      </c>
      <c r="L42" s="9">
        <f>IF(I42&lt;&gt;_xlfn.MINIFS('Draft Board'!$I$2:$I$61,'Draft Board'!$H$2:$H$61,"="&amp;H42),0,IF(OR(J42=1,IFERROR(FLOOR((K42-H42)/K42/0.25,1),0)&lt;&gt;IFERROR(FLOOR((K42-_xlfn.MINIFS('Draft Board'!$H$2:$H$61,'Draft Board'!$H$2:$H$61,"&gt;"&amp;H42))/K42/0.25,1),0)),1,0))</f>
        <v>0</v>
      </c>
      <c r="M42" s="9">
        <f>ROUND(1+H42*'Live Calc'!$D$26,0)</f>
        <v>1</v>
      </c>
      <c r="N42" s="9"/>
      <c r="O42" s="9">
        <f>IF(N42&lt;&gt;"",N42,ROUND(M42*INDEX('Live Calc'!$G$33:$G$92,MATCH(G42,'Live Calc'!$A$33:$A$92,0))*'Live Calc'!$J$543,0))</f>
        <v>1</v>
      </c>
      <c r="Q42" s="10" t="s">
        <v>248</v>
      </c>
      <c r="R42" s="10" t="s">
        <v>100</v>
      </c>
      <c r="S42" s="10">
        <v>115.646</v>
      </c>
      <c r="T42" s="10">
        <v>123.07</v>
      </c>
      <c r="U42" s="10">
        <v>130.06</v>
      </c>
      <c r="V42" s="10">
        <f>CHOOSE(MATCH(Setup!$B$7,{"STD","Half-PPR","PPR"},0),S42,T42,U42)</f>
        <v>123.07</v>
      </c>
      <c r="W42" s="10">
        <f>COUNTIFS('Draft Board'!$X$2:$X$161,"&gt;="&amp;X42,'Draft Board'!$AB$2:$AB$161,1)</f>
        <v>12</v>
      </c>
      <c r="X42" s="10">
        <f>MAX(0,V42-'Live Calc'!$H$20)^'Live Calc'!$E$20</f>
        <v>41.353747441914123</v>
      </c>
      <c r="Y42" s="10">
        <v>42</v>
      </c>
      <c r="Z42" s="10">
        <f>IF(Y42&lt;&gt;_xlfn.MINIFS('Draft Board'!$Y$2:$Y$161,'Draft Board'!$X$2:$X$161,"="&amp;X42),0,IF(_xlfn.MINIFS('Draft Board'!$X$2:$X$161,'Draft Board'!$X$2:$X$161,"&gt;"&amp;X42)=0,1,IF((_xlfn.MINIFS('Draft Board'!$X$2:$X$161,'Draft Board'!$X$2:$X$161,"&gt;"&amp;X42)-X42)/_xlfn.MINIFS('Draft Board'!$X$2:$X$161,'Draft Board'!$X$2:$X$161,"&gt;"&amp;X42)&gt;0.08,1,0)))</f>
        <v>1</v>
      </c>
      <c r="AA42" s="10">
        <f>_xlfn.MINIFS('Draft Board'!$X$2:$X$161,'Draft Board'!$X$2:$X$161,"&gt;="&amp;X42,'Draft Board'!$Z$2:$Z$161,1)</f>
        <v>41.353747441914123</v>
      </c>
      <c r="AB42" s="10">
        <f>IF(Y42&lt;&gt;_xlfn.MINIFS('Draft Board'!$Y$2:$Y$161,'Draft Board'!$X$2:$X$161,"="&amp;X42),0,IF(OR(Z42=1,IFERROR(FLOOR((AA42-X42)/AA42/0.25,1),0)&lt;&gt;IFERROR(FLOOR((AA42-_xlfn.MINIFS('Draft Board'!$X$2:$X$161,'Draft Board'!$X$2:$X$161,"&gt;"&amp;X42))/AA42/0.25,1),0)),1,0))</f>
        <v>1</v>
      </c>
      <c r="AC42" s="10">
        <f>ROUND(1+X42*'Live Calc'!$D$27,0)</f>
        <v>5</v>
      </c>
      <c r="AD42" s="10"/>
      <c r="AE42" s="10">
        <f>IF(AD42&lt;&gt;"",AD42,ROUND(AC42*INDEX('Live Calc'!$G$96:$G$255,MATCH(W42,'Live Calc'!$A$96:$A$255,0))*'Live Calc'!$J$543,0))</f>
        <v>5</v>
      </c>
      <c r="AG42" s="11" t="s">
        <v>249</v>
      </c>
      <c r="AH42" s="11" t="s">
        <v>61</v>
      </c>
      <c r="AI42" s="11">
        <v>108.626</v>
      </c>
      <c r="AJ42" s="11">
        <v>141.33000000000001</v>
      </c>
      <c r="AK42" s="11">
        <v>173.74</v>
      </c>
      <c r="AL42" s="11">
        <f>CHOOSE(MATCH(Setup!$B$7,{"STD","Half-PPR","PPR"},0),AI42,AJ42,AK42)</f>
        <v>141.33000000000001</v>
      </c>
      <c r="AM42" s="11">
        <f>COUNTIFS('Draft Board'!$AN$2:$AN$193,"&gt;="&amp;AN42,'Draft Board'!$AR$2:$AR$193,1)</f>
        <v>9</v>
      </c>
      <c r="AN42" s="11">
        <f>MAX(0,AL42-'Live Calc'!$H$21)^'Live Calc'!$E$21</f>
        <v>100.87767642355755</v>
      </c>
      <c r="AO42" s="11">
        <v>42</v>
      </c>
      <c r="AP42" s="11">
        <f>IF(AO42&lt;&gt;_xlfn.MINIFS('Draft Board'!$AO$2:$AO$193,'Draft Board'!$AN$2:$AN$193,"="&amp;AN42),0,IF(_xlfn.MINIFS('Draft Board'!$AN$2:$AN$193,'Draft Board'!$AN$2:$AN$193,"&gt;"&amp;AN42)=0,1,IF((_xlfn.MINIFS('Draft Board'!$AN$2:$AN$193,'Draft Board'!$AN$2:$AN$193,"&gt;"&amp;AN42)-AN42)/_xlfn.MINIFS('Draft Board'!$AN$2:$AN$193,'Draft Board'!$AN$2:$AN$193,"&gt;"&amp;AN42)&gt;0.08,1,0)))</f>
        <v>0</v>
      </c>
      <c r="AQ42" s="11">
        <f>_xlfn.MINIFS('Draft Board'!$AN$2:$AN$193,'Draft Board'!$AN$2:$AN$193,"&gt;="&amp;AN42,'Draft Board'!$AP$2:$AP$193,1)</f>
        <v>101.57012751714554</v>
      </c>
      <c r="AR42" s="11">
        <f>IF(AO42&lt;&gt;_xlfn.MINIFS('Draft Board'!$AO$2:$AO$193,'Draft Board'!$AN$2:$AN$193,"="&amp;AN42),0,IF(OR(AP42=1,IFERROR(FLOOR((AQ42-AN42)/AQ42/0.25,1),0)&lt;&gt;IFERROR(FLOOR((AQ42-_xlfn.MINIFS('Draft Board'!$AN$2:$AN$193,'Draft Board'!$AN$2:$AN$193,"&gt;"&amp;AN42))/AQ42/0.25,1),0)),1,0))</f>
        <v>0</v>
      </c>
      <c r="AS42" s="11">
        <f>ROUND(1+AN42*'Live Calc'!$D$28,0)</f>
        <v>9</v>
      </c>
      <c r="AT42" s="11"/>
      <c r="AU42" s="11">
        <f>IF(AT42&lt;&gt;"",AT42,ROUND(AS42*INDEX('Live Calc'!$G$259:$G$450,MATCH(AM42,'Live Calc'!$A$259:$A$450,0))*'Live Calc'!$J$543,0))</f>
        <v>9</v>
      </c>
      <c r="AW42" s="12" t="s">
        <v>250</v>
      </c>
      <c r="AX42" s="12" t="s">
        <v>77</v>
      </c>
      <c r="AY42" s="12">
        <v>41.345999999999997</v>
      </c>
      <c r="AZ42" s="12">
        <v>54.462000000000003</v>
      </c>
      <c r="BA42" s="12">
        <v>67.022000000000006</v>
      </c>
      <c r="BB42" s="12">
        <f>CHOOSE(MATCH(Setup!$B$7,{"STD","Half-PPR","PPR"},0),AY42,AZ42,BA42)</f>
        <v>54.462000000000003</v>
      </c>
      <c r="BC42" s="12">
        <f>COUNTIFS('Draft Board'!$BD$2:$BD$87,"&gt;="&amp;BD42,'Draft Board'!$BH$2:$BH$87,1)</f>
        <v>15</v>
      </c>
      <c r="BD42" s="12">
        <f>MAX(0,BB42-'Live Calc'!$H$22)^'Live Calc'!$E$22</f>
        <v>0</v>
      </c>
      <c r="BE42" s="12">
        <v>42</v>
      </c>
      <c r="BF42" s="12">
        <f>IF(BE42&lt;&gt;_xlfn.MINIFS('Draft Board'!$BE$2:$BE$87,'Draft Board'!$BD$2:$BD$87,"="&amp;BD42),0,IF(_xlfn.MINIFS('Draft Board'!$BD$2:$BD$87,'Draft Board'!$BD$2:$BD$87,"&gt;"&amp;BD42)=0,1,IF((_xlfn.MINIFS('Draft Board'!$BD$2:$BD$87,'Draft Board'!$BD$2:$BD$87,"&gt;"&amp;BD42)-BD42)/_xlfn.MINIFS('Draft Board'!$BD$2:$BD$87,'Draft Board'!$BD$2:$BD$87,"&gt;"&amp;BD42)&gt;0.08,1,0)))</f>
        <v>0</v>
      </c>
      <c r="BG42" s="12">
        <f>_xlfn.MINIFS('Draft Board'!$BD$2:$BD$87,'Draft Board'!$BD$2:$BD$87,"&gt;="&amp;BD42,'Draft Board'!$BF$2:$BF$87,1)</f>
        <v>0</v>
      </c>
      <c r="BH42" s="12">
        <f>IF(BE42&lt;&gt;_xlfn.MINIFS('Draft Board'!$BE$2:$BE$87,'Draft Board'!$BD$2:$BD$87,"="&amp;BD42),0,IF(OR(BF42=1,IFERROR(FLOOR((BG42-BD42)/BG42/0.25,1),0)&lt;&gt;IFERROR(FLOOR((BG42-_xlfn.MINIFS('Draft Board'!$BD$2:$BD$87,'Draft Board'!$BD$2:$BD$87,"&gt;"&amp;BD42))/BG42/0.25,1),0)),1,0))</f>
        <v>0</v>
      </c>
      <c r="BI42" s="12">
        <f>ROUND(1+BD42*'Live Calc'!$D$29,0)</f>
        <v>1</v>
      </c>
      <c r="BJ42" s="12"/>
      <c r="BK42" s="12">
        <f>IF(BJ42&lt;&gt;"",BJ42,ROUND(BI42*INDEX('Live Calc'!$G$454:$G$539,MATCH(BC42,'Live Calc'!$A$454:$A$539,0))*'Live Calc'!$J$543,0))</f>
        <v>1</v>
      </c>
    </row>
    <row r="43" spans="1:63" x14ac:dyDescent="0.25">
      <c r="A43" s="9" t="s">
        <v>251</v>
      </c>
      <c r="B43" s="9" t="s">
        <v>79</v>
      </c>
      <c r="C43" s="9">
        <v>22.51</v>
      </c>
      <c r="D43" s="9">
        <v>22.51</v>
      </c>
      <c r="E43" s="9">
        <v>22.51</v>
      </c>
      <c r="F43" s="9">
        <f>CHOOSE(MATCH(Setup!$B$7,{"STD","Half-PPR","PPR"},0),C43,D43,E43)</f>
        <v>22.51</v>
      </c>
      <c r="G43" s="9">
        <f>COUNTIFS('Draft Board'!$H$2:$H$61,"&gt;="&amp;H43,'Draft Board'!$L$2:$L$61,1)</f>
        <v>11</v>
      </c>
      <c r="H43" s="9">
        <f>MAX(0,F43-'Live Calc'!$H$19)^'Live Calc'!$E$19</f>
        <v>0</v>
      </c>
      <c r="I43" s="9">
        <v>43</v>
      </c>
      <c r="J43" s="9">
        <f>IF(I43&lt;&gt;_xlfn.MINIFS('Draft Board'!$I$2:$I$61,'Draft Board'!$H$2:$H$61,"="&amp;H43),0,IF(_xlfn.MINIFS('Draft Board'!$H$2:$H$61,'Draft Board'!$H$2:$H$61,"&gt;"&amp;H43)=0,1,IF((_xlfn.MINIFS('Draft Board'!$H$2:$H$61,'Draft Board'!$H$2:$H$61,"&gt;"&amp;H43)-H43)/_xlfn.MINIFS('Draft Board'!$H$2:$H$61,'Draft Board'!$H$2:$H$61,"&gt;"&amp;H43)&gt;0.08,1,0)))</f>
        <v>0</v>
      </c>
      <c r="K43" s="9">
        <f>_xlfn.MINIFS('Draft Board'!$H$2:$H$61,'Draft Board'!$H$2:$H$61,"&gt;="&amp;H43,'Draft Board'!$J$2:$J$61,1)</f>
        <v>0</v>
      </c>
      <c r="L43" s="9">
        <f>IF(I43&lt;&gt;_xlfn.MINIFS('Draft Board'!$I$2:$I$61,'Draft Board'!$H$2:$H$61,"="&amp;H43),0,IF(OR(J43=1,IFERROR(FLOOR((K43-H43)/K43/0.25,1),0)&lt;&gt;IFERROR(FLOOR((K43-_xlfn.MINIFS('Draft Board'!$H$2:$H$61,'Draft Board'!$H$2:$H$61,"&gt;"&amp;H43))/K43/0.25,1),0)),1,0))</f>
        <v>0</v>
      </c>
      <c r="M43" s="9">
        <f>ROUND(1+H43*'Live Calc'!$D$26,0)</f>
        <v>1</v>
      </c>
      <c r="N43" s="9"/>
      <c r="O43" s="9">
        <f>IF(N43&lt;&gt;"",N43,ROUND(M43*INDEX('Live Calc'!$G$33:$G$92,MATCH(G43,'Live Calc'!$A$33:$A$92,0))*'Live Calc'!$J$543,0))</f>
        <v>1</v>
      </c>
      <c r="Q43" s="10" t="s">
        <v>252</v>
      </c>
      <c r="R43" s="10" t="s">
        <v>113</v>
      </c>
      <c r="S43" s="10">
        <v>92.677999999999997</v>
      </c>
      <c r="T43" s="10">
        <v>104.23</v>
      </c>
      <c r="U43" s="10">
        <v>119.38800000000001</v>
      </c>
      <c r="V43" s="10">
        <f>CHOOSE(MATCH(Setup!$B$7,{"STD","Half-PPR","PPR"},0),S43,T43,U43)</f>
        <v>104.23</v>
      </c>
      <c r="W43" s="10">
        <f>COUNTIFS('Draft Board'!$X$2:$X$161,"&gt;="&amp;X43,'Draft Board'!$AB$2:$AB$161,1)</f>
        <v>13</v>
      </c>
      <c r="X43" s="10">
        <f>MAX(0,V43-'Live Calc'!$H$20)^'Live Calc'!$E$20</f>
        <v>4.3397833516848321</v>
      </c>
      <c r="Y43" s="10">
        <v>43</v>
      </c>
      <c r="Z43" s="10">
        <f>IF(Y43&lt;&gt;_xlfn.MINIFS('Draft Board'!$Y$2:$Y$161,'Draft Board'!$X$2:$X$161,"="&amp;X43),0,IF(_xlfn.MINIFS('Draft Board'!$X$2:$X$161,'Draft Board'!$X$2:$X$161,"&gt;"&amp;X43)=0,1,IF((_xlfn.MINIFS('Draft Board'!$X$2:$X$161,'Draft Board'!$X$2:$X$161,"&gt;"&amp;X43)-X43)/_xlfn.MINIFS('Draft Board'!$X$2:$X$161,'Draft Board'!$X$2:$X$161,"&gt;"&amp;X43)&gt;0.08,1,0)))</f>
        <v>1</v>
      </c>
      <c r="AA43" s="10">
        <f>_xlfn.MINIFS('Draft Board'!$X$2:$X$161,'Draft Board'!$X$2:$X$161,"&gt;="&amp;X43,'Draft Board'!$Z$2:$Z$161,1)</f>
        <v>4.3397833516848321</v>
      </c>
      <c r="AB43" s="10">
        <f>IF(Y43&lt;&gt;_xlfn.MINIFS('Draft Board'!$Y$2:$Y$161,'Draft Board'!$X$2:$X$161,"="&amp;X43),0,IF(OR(Z43=1,IFERROR(FLOOR((AA43-X43)/AA43/0.25,1),0)&lt;&gt;IFERROR(FLOOR((AA43-_xlfn.MINIFS('Draft Board'!$X$2:$X$161,'Draft Board'!$X$2:$X$161,"&gt;"&amp;X43))/AA43/0.25,1),0)),1,0))</f>
        <v>1</v>
      </c>
      <c r="AC43" s="10">
        <f>ROUND(1+X43*'Live Calc'!$D$27,0)</f>
        <v>1</v>
      </c>
      <c r="AD43" s="10"/>
      <c r="AE43" s="10">
        <f>IF(AD43&lt;&gt;"",AD43,ROUND(AC43*INDEX('Live Calc'!$G$96:$G$255,MATCH(W43,'Live Calc'!$A$96:$A$255,0))*'Live Calc'!$J$543,0))</f>
        <v>1</v>
      </c>
      <c r="AG43" s="11" t="s">
        <v>253</v>
      </c>
      <c r="AH43" s="11" t="s">
        <v>119</v>
      </c>
      <c r="AI43" s="11">
        <v>111.79</v>
      </c>
      <c r="AJ43" s="11">
        <v>140.25200000000001</v>
      </c>
      <c r="AK43" s="11">
        <v>166.05199999999999</v>
      </c>
      <c r="AL43" s="11">
        <f>CHOOSE(MATCH(Setup!$B$7,{"STD","Half-PPR","PPR"},0),AI43,AJ43,AK43)</f>
        <v>140.25200000000001</v>
      </c>
      <c r="AM43" s="11">
        <f>COUNTIFS('Draft Board'!$AN$2:$AN$193,"&gt;="&amp;AN43,'Draft Board'!$AR$2:$AR$193,1)</f>
        <v>9</v>
      </c>
      <c r="AN43" s="11">
        <f>MAX(0,AL43-'Live Calc'!$H$21)^'Live Calc'!$E$21</f>
        <v>97.498463010747059</v>
      </c>
      <c r="AO43" s="11">
        <v>43</v>
      </c>
      <c r="AP43" s="11">
        <f>IF(AO43&lt;&gt;_xlfn.MINIFS('Draft Board'!$AO$2:$AO$193,'Draft Board'!$AN$2:$AN$193,"="&amp;AN43),0,IF(_xlfn.MINIFS('Draft Board'!$AN$2:$AN$193,'Draft Board'!$AN$2:$AN$193,"&gt;"&amp;AN43)=0,1,IF((_xlfn.MINIFS('Draft Board'!$AN$2:$AN$193,'Draft Board'!$AN$2:$AN$193,"&gt;"&amp;AN43)-AN43)/_xlfn.MINIFS('Draft Board'!$AN$2:$AN$193,'Draft Board'!$AN$2:$AN$193,"&gt;"&amp;AN43)&gt;0.08,1,0)))</f>
        <v>0</v>
      </c>
      <c r="AQ43" s="11">
        <f>_xlfn.MINIFS('Draft Board'!$AN$2:$AN$193,'Draft Board'!$AN$2:$AN$193,"&gt;="&amp;AN43,'Draft Board'!$AP$2:$AP$193,1)</f>
        <v>101.57012751714554</v>
      </c>
      <c r="AR43" s="11">
        <f>IF(AO43&lt;&gt;_xlfn.MINIFS('Draft Board'!$AO$2:$AO$193,'Draft Board'!$AN$2:$AN$193,"="&amp;AN43),0,IF(OR(AP43=1,IFERROR(FLOOR((AQ43-AN43)/AQ43/0.25,1),0)&lt;&gt;IFERROR(FLOOR((AQ43-_xlfn.MINIFS('Draft Board'!$AN$2:$AN$193,'Draft Board'!$AN$2:$AN$193,"&gt;"&amp;AN43))/AQ43/0.25,1),0)),1,0))</f>
        <v>0</v>
      </c>
      <c r="AS43" s="11">
        <f>ROUND(1+AN43*'Live Calc'!$D$28,0)</f>
        <v>9</v>
      </c>
      <c r="AT43" s="11"/>
      <c r="AU43" s="11">
        <f>IF(AT43&lt;&gt;"",AT43,ROUND(AS43*INDEX('Live Calc'!$G$259:$G$450,MATCH(AM43,'Live Calc'!$A$259:$A$450,0))*'Live Calc'!$J$543,0))</f>
        <v>9</v>
      </c>
      <c r="AW43" s="12" t="s">
        <v>254</v>
      </c>
      <c r="AX43" s="12" t="s">
        <v>149</v>
      </c>
      <c r="AY43" s="12">
        <v>36.69</v>
      </c>
      <c r="AZ43" s="12">
        <v>52.06</v>
      </c>
      <c r="BA43" s="12">
        <v>60.74</v>
      </c>
      <c r="BB43" s="12">
        <f>CHOOSE(MATCH(Setup!$B$7,{"STD","Half-PPR","PPR"},0),AY43,AZ43,BA43)</f>
        <v>52.06</v>
      </c>
      <c r="BC43" s="12">
        <f>COUNTIFS('Draft Board'!$BD$2:$BD$87,"&gt;="&amp;BD43,'Draft Board'!$BH$2:$BH$87,1)</f>
        <v>15</v>
      </c>
      <c r="BD43" s="12">
        <f>MAX(0,BB43-'Live Calc'!$H$22)^'Live Calc'!$E$22</f>
        <v>0</v>
      </c>
      <c r="BE43" s="12">
        <v>43</v>
      </c>
      <c r="BF43" s="12">
        <f>IF(BE43&lt;&gt;_xlfn.MINIFS('Draft Board'!$BE$2:$BE$87,'Draft Board'!$BD$2:$BD$87,"="&amp;BD43),0,IF(_xlfn.MINIFS('Draft Board'!$BD$2:$BD$87,'Draft Board'!$BD$2:$BD$87,"&gt;"&amp;BD43)=0,1,IF((_xlfn.MINIFS('Draft Board'!$BD$2:$BD$87,'Draft Board'!$BD$2:$BD$87,"&gt;"&amp;BD43)-BD43)/_xlfn.MINIFS('Draft Board'!$BD$2:$BD$87,'Draft Board'!$BD$2:$BD$87,"&gt;"&amp;BD43)&gt;0.08,1,0)))</f>
        <v>0</v>
      </c>
      <c r="BG43" s="12">
        <f>_xlfn.MINIFS('Draft Board'!$BD$2:$BD$87,'Draft Board'!$BD$2:$BD$87,"&gt;="&amp;BD43,'Draft Board'!$BF$2:$BF$87,1)</f>
        <v>0</v>
      </c>
      <c r="BH43" s="12">
        <f>IF(BE43&lt;&gt;_xlfn.MINIFS('Draft Board'!$BE$2:$BE$87,'Draft Board'!$BD$2:$BD$87,"="&amp;BD43),0,IF(OR(BF43=1,IFERROR(FLOOR((BG43-BD43)/BG43/0.25,1),0)&lt;&gt;IFERROR(FLOOR((BG43-_xlfn.MINIFS('Draft Board'!$BD$2:$BD$87,'Draft Board'!$BD$2:$BD$87,"&gt;"&amp;BD43))/BG43/0.25,1),0)),1,0))</f>
        <v>0</v>
      </c>
      <c r="BI43" s="12">
        <f>ROUND(1+BD43*'Live Calc'!$D$29,0)</f>
        <v>1</v>
      </c>
      <c r="BJ43" s="12"/>
      <c r="BK43" s="12">
        <f>IF(BJ43&lt;&gt;"",BJ43,ROUND(BI43*INDEX('Live Calc'!$G$454:$G$539,MATCH(BC43,'Live Calc'!$A$454:$A$539,0))*'Live Calc'!$J$543,0))</f>
        <v>1</v>
      </c>
    </row>
    <row r="44" spans="1:63" x14ac:dyDescent="0.25">
      <c r="A44" s="9" t="s">
        <v>255</v>
      </c>
      <c r="B44" s="9" t="s">
        <v>111</v>
      </c>
      <c r="C44" s="9">
        <v>22.5</v>
      </c>
      <c r="D44" s="9">
        <v>22.5</v>
      </c>
      <c r="E44" s="9">
        <v>22.5</v>
      </c>
      <c r="F44" s="9">
        <f>CHOOSE(MATCH(Setup!$B$7,{"STD","Half-PPR","PPR"},0),C44,D44,E44)</f>
        <v>22.5</v>
      </c>
      <c r="G44" s="9">
        <f>COUNTIFS('Draft Board'!$H$2:$H$61,"&gt;="&amp;H44,'Draft Board'!$L$2:$L$61,1)</f>
        <v>11</v>
      </c>
      <c r="H44" s="9">
        <f>MAX(0,F44-'Live Calc'!$H$19)^'Live Calc'!$E$19</f>
        <v>0</v>
      </c>
      <c r="I44" s="9">
        <v>44</v>
      </c>
      <c r="J44" s="9">
        <f>IF(I44&lt;&gt;_xlfn.MINIFS('Draft Board'!$I$2:$I$61,'Draft Board'!$H$2:$H$61,"="&amp;H44),0,IF(_xlfn.MINIFS('Draft Board'!$H$2:$H$61,'Draft Board'!$H$2:$H$61,"&gt;"&amp;H44)=0,1,IF((_xlfn.MINIFS('Draft Board'!$H$2:$H$61,'Draft Board'!$H$2:$H$61,"&gt;"&amp;H44)-H44)/_xlfn.MINIFS('Draft Board'!$H$2:$H$61,'Draft Board'!$H$2:$H$61,"&gt;"&amp;H44)&gt;0.08,1,0)))</f>
        <v>0</v>
      </c>
      <c r="K44" s="9">
        <f>_xlfn.MINIFS('Draft Board'!$H$2:$H$61,'Draft Board'!$H$2:$H$61,"&gt;="&amp;H44,'Draft Board'!$J$2:$J$61,1)</f>
        <v>0</v>
      </c>
      <c r="L44" s="9">
        <f>IF(I44&lt;&gt;_xlfn.MINIFS('Draft Board'!$I$2:$I$61,'Draft Board'!$H$2:$H$61,"="&amp;H44),0,IF(OR(J44=1,IFERROR(FLOOR((K44-H44)/K44/0.25,1),0)&lt;&gt;IFERROR(FLOOR((K44-_xlfn.MINIFS('Draft Board'!$H$2:$H$61,'Draft Board'!$H$2:$H$61,"&gt;"&amp;H44))/K44/0.25,1),0)),1,0))</f>
        <v>0</v>
      </c>
      <c r="M44" s="9">
        <f>ROUND(1+H44*'Live Calc'!$D$26,0)</f>
        <v>1</v>
      </c>
      <c r="N44" s="9"/>
      <c r="O44" s="9">
        <f>IF(N44&lt;&gt;"",N44,ROUND(M44*INDEX('Live Calc'!$G$33:$G$92,MATCH(G44,'Live Calc'!$A$33:$A$92,0))*'Live Calc'!$J$543,0))</f>
        <v>1</v>
      </c>
      <c r="Q44" s="10" t="s">
        <v>256</v>
      </c>
      <c r="R44" s="10" t="s">
        <v>107</v>
      </c>
      <c r="S44" s="10">
        <v>98.93</v>
      </c>
      <c r="T44" s="10">
        <v>104.13200000000001</v>
      </c>
      <c r="U44" s="10">
        <v>109.636</v>
      </c>
      <c r="V44" s="10">
        <f>CHOOSE(MATCH(Setup!$B$7,{"STD","Half-PPR","PPR"},0),S44,T44,U44)</f>
        <v>104.13200000000001</v>
      </c>
      <c r="W44" s="10">
        <f>COUNTIFS('Draft Board'!$X$2:$X$161,"&gt;="&amp;X44,'Draft Board'!$AB$2:$AB$161,1)</f>
        <v>13</v>
      </c>
      <c r="X44" s="10">
        <f>MAX(0,V44-'Live Calc'!$H$20)^'Live Calc'!$E$20</f>
        <v>4.1900260963770313</v>
      </c>
      <c r="Y44" s="10">
        <v>44</v>
      </c>
      <c r="Z44" s="10">
        <f>IF(Y44&lt;&gt;_xlfn.MINIFS('Draft Board'!$Y$2:$Y$161,'Draft Board'!$X$2:$X$161,"="&amp;X44),0,IF(_xlfn.MINIFS('Draft Board'!$X$2:$X$161,'Draft Board'!$X$2:$X$161,"&gt;"&amp;X44)=0,1,IF((_xlfn.MINIFS('Draft Board'!$X$2:$X$161,'Draft Board'!$X$2:$X$161,"&gt;"&amp;X44)-X44)/_xlfn.MINIFS('Draft Board'!$X$2:$X$161,'Draft Board'!$X$2:$X$161,"&gt;"&amp;X44)&gt;0.08,1,0)))</f>
        <v>0</v>
      </c>
      <c r="AA44" s="10">
        <f>_xlfn.MINIFS('Draft Board'!$X$2:$X$161,'Draft Board'!$X$2:$X$161,"&gt;="&amp;X44,'Draft Board'!$Z$2:$Z$161,1)</f>
        <v>4.3397833516848321</v>
      </c>
      <c r="AB44" s="10">
        <f>IF(Y44&lt;&gt;_xlfn.MINIFS('Draft Board'!$Y$2:$Y$161,'Draft Board'!$X$2:$X$161,"="&amp;X44),0,IF(OR(Z44=1,IFERROR(FLOOR((AA44-X44)/AA44/0.25,1),0)&lt;&gt;IFERROR(FLOOR((AA44-_xlfn.MINIFS('Draft Board'!$X$2:$X$161,'Draft Board'!$X$2:$X$161,"&gt;"&amp;X44))/AA44/0.25,1),0)),1,0))</f>
        <v>0</v>
      </c>
      <c r="AC44" s="10">
        <f>ROUND(1+X44*'Live Calc'!$D$27,0)</f>
        <v>1</v>
      </c>
      <c r="AD44" s="10"/>
      <c r="AE44" s="10">
        <f>IF(AD44&lt;&gt;"",AD44,ROUND(AC44*INDEX('Live Calc'!$G$96:$G$255,MATCH(W44,'Live Calc'!$A$96:$A$255,0))*'Live Calc'!$J$543,0))</f>
        <v>1</v>
      </c>
      <c r="AG44" s="11" t="s">
        <v>257</v>
      </c>
      <c r="AH44" s="11" t="s">
        <v>96</v>
      </c>
      <c r="AI44" s="11">
        <v>110.236</v>
      </c>
      <c r="AJ44" s="11">
        <v>140.22999999999999</v>
      </c>
      <c r="AK44" s="11">
        <v>170.19200000000001</v>
      </c>
      <c r="AL44" s="11">
        <f>CHOOSE(MATCH(Setup!$B$7,{"STD","Half-PPR","PPR"},0),AI44,AJ44,AK44)</f>
        <v>140.22999999999999</v>
      </c>
      <c r="AM44" s="11">
        <f>COUNTIFS('Draft Board'!$AN$2:$AN$193,"&gt;="&amp;AN44,'Draft Board'!$AR$2:$AR$193,1)</f>
        <v>9</v>
      </c>
      <c r="AN44" s="11">
        <f>MAX(0,AL44-'Live Calc'!$H$21)^'Live Calc'!$E$21</f>
        <v>97.429740086908865</v>
      </c>
      <c r="AO44" s="11">
        <v>44</v>
      </c>
      <c r="AP44" s="11">
        <f>IF(AO44&lt;&gt;_xlfn.MINIFS('Draft Board'!$AO$2:$AO$193,'Draft Board'!$AN$2:$AN$193,"="&amp;AN44),0,IF(_xlfn.MINIFS('Draft Board'!$AN$2:$AN$193,'Draft Board'!$AN$2:$AN$193,"&gt;"&amp;AN44)=0,1,IF((_xlfn.MINIFS('Draft Board'!$AN$2:$AN$193,'Draft Board'!$AN$2:$AN$193,"&gt;"&amp;AN44)-AN44)/_xlfn.MINIFS('Draft Board'!$AN$2:$AN$193,'Draft Board'!$AN$2:$AN$193,"&gt;"&amp;AN44)&gt;0.08,1,0)))</f>
        <v>0</v>
      </c>
      <c r="AQ44" s="11">
        <f>_xlfn.MINIFS('Draft Board'!$AN$2:$AN$193,'Draft Board'!$AN$2:$AN$193,"&gt;="&amp;AN44,'Draft Board'!$AP$2:$AP$193,1)</f>
        <v>101.57012751714554</v>
      </c>
      <c r="AR44" s="11">
        <f>IF(AO44&lt;&gt;_xlfn.MINIFS('Draft Board'!$AO$2:$AO$193,'Draft Board'!$AN$2:$AN$193,"="&amp;AN44),0,IF(OR(AP44=1,IFERROR(FLOOR((AQ44-AN44)/AQ44/0.25,1),0)&lt;&gt;IFERROR(FLOOR((AQ44-_xlfn.MINIFS('Draft Board'!$AN$2:$AN$193,'Draft Board'!$AN$2:$AN$193,"&gt;"&amp;AN44))/AQ44/0.25,1),0)),1,0))</f>
        <v>0</v>
      </c>
      <c r="AS44" s="11">
        <f>ROUND(1+AN44*'Live Calc'!$D$28,0)</f>
        <v>9</v>
      </c>
      <c r="AT44" s="11"/>
      <c r="AU44" s="11">
        <f>IF(AT44&lt;&gt;"",AT44,ROUND(AS44*INDEX('Live Calc'!$G$259:$G$450,MATCH(AM44,'Live Calc'!$A$259:$A$450,0))*'Live Calc'!$J$543,0))</f>
        <v>9</v>
      </c>
      <c r="AW44" s="12" t="s">
        <v>258</v>
      </c>
      <c r="AX44" s="12" t="s">
        <v>73</v>
      </c>
      <c r="AY44" s="12">
        <v>39.545999999999999</v>
      </c>
      <c r="AZ44" s="12">
        <v>51.713999999999999</v>
      </c>
      <c r="BA44" s="12">
        <v>64.058000000000007</v>
      </c>
      <c r="BB44" s="12">
        <f>CHOOSE(MATCH(Setup!$B$7,{"STD","Half-PPR","PPR"},0),AY44,AZ44,BA44)</f>
        <v>51.713999999999999</v>
      </c>
      <c r="BC44" s="12">
        <f>COUNTIFS('Draft Board'!$BD$2:$BD$87,"&gt;="&amp;BD44,'Draft Board'!$BH$2:$BH$87,1)</f>
        <v>15</v>
      </c>
      <c r="BD44" s="12">
        <f>MAX(0,BB44-'Live Calc'!$H$22)^'Live Calc'!$E$22</f>
        <v>0</v>
      </c>
      <c r="BE44" s="12">
        <v>44</v>
      </c>
      <c r="BF44" s="12">
        <f>IF(BE44&lt;&gt;_xlfn.MINIFS('Draft Board'!$BE$2:$BE$87,'Draft Board'!$BD$2:$BD$87,"="&amp;BD44),0,IF(_xlfn.MINIFS('Draft Board'!$BD$2:$BD$87,'Draft Board'!$BD$2:$BD$87,"&gt;"&amp;BD44)=0,1,IF((_xlfn.MINIFS('Draft Board'!$BD$2:$BD$87,'Draft Board'!$BD$2:$BD$87,"&gt;"&amp;BD44)-BD44)/_xlfn.MINIFS('Draft Board'!$BD$2:$BD$87,'Draft Board'!$BD$2:$BD$87,"&gt;"&amp;BD44)&gt;0.08,1,0)))</f>
        <v>0</v>
      </c>
      <c r="BG44" s="12">
        <f>_xlfn.MINIFS('Draft Board'!$BD$2:$BD$87,'Draft Board'!$BD$2:$BD$87,"&gt;="&amp;BD44,'Draft Board'!$BF$2:$BF$87,1)</f>
        <v>0</v>
      </c>
      <c r="BH44" s="12">
        <f>IF(BE44&lt;&gt;_xlfn.MINIFS('Draft Board'!$BE$2:$BE$87,'Draft Board'!$BD$2:$BD$87,"="&amp;BD44),0,IF(OR(BF44=1,IFERROR(FLOOR((BG44-BD44)/BG44/0.25,1),0)&lt;&gt;IFERROR(FLOOR((BG44-_xlfn.MINIFS('Draft Board'!$BD$2:$BD$87,'Draft Board'!$BD$2:$BD$87,"&gt;"&amp;BD44))/BG44/0.25,1),0)),1,0))</f>
        <v>0</v>
      </c>
      <c r="BI44" s="12">
        <f>ROUND(1+BD44*'Live Calc'!$D$29,0)</f>
        <v>1</v>
      </c>
      <c r="BJ44" s="12"/>
      <c r="BK44" s="12">
        <f>IF(BJ44&lt;&gt;"",BJ44,ROUND(BI44*INDEX('Live Calc'!$G$454:$G$539,MATCH(BC44,'Live Calc'!$A$454:$A$539,0))*'Live Calc'!$J$543,0))</f>
        <v>1</v>
      </c>
    </row>
    <row r="45" spans="1:63" x14ac:dyDescent="0.25">
      <c r="A45" s="9" t="s">
        <v>259</v>
      </c>
      <c r="B45" s="9" t="s">
        <v>59</v>
      </c>
      <c r="C45" s="9">
        <v>22.372</v>
      </c>
      <c r="D45" s="9">
        <v>22.372</v>
      </c>
      <c r="E45" s="9">
        <v>22.372</v>
      </c>
      <c r="F45" s="9">
        <f>CHOOSE(MATCH(Setup!$B$7,{"STD","Half-PPR","PPR"},0),C45,D45,E45)</f>
        <v>22.372</v>
      </c>
      <c r="G45" s="9">
        <f>COUNTIFS('Draft Board'!$H$2:$H$61,"&gt;="&amp;H45,'Draft Board'!$L$2:$L$61,1)</f>
        <v>11</v>
      </c>
      <c r="H45" s="9">
        <f>MAX(0,F45-'Live Calc'!$H$19)^'Live Calc'!$E$19</f>
        <v>0</v>
      </c>
      <c r="I45" s="9">
        <v>45</v>
      </c>
      <c r="J45" s="9">
        <f>IF(I45&lt;&gt;_xlfn.MINIFS('Draft Board'!$I$2:$I$61,'Draft Board'!$H$2:$H$61,"="&amp;H45),0,IF(_xlfn.MINIFS('Draft Board'!$H$2:$H$61,'Draft Board'!$H$2:$H$61,"&gt;"&amp;H45)=0,1,IF((_xlfn.MINIFS('Draft Board'!$H$2:$H$61,'Draft Board'!$H$2:$H$61,"&gt;"&amp;H45)-H45)/_xlfn.MINIFS('Draft Board'!$H$2:$H$61,'Draft Board'!$H$2:$H$61,"&gt;"&amp;H45)&gt;0.08,1,0)))</f>
        <v>0</v>
      </c>
      <c r="K45" s="9">
        <f>_xlfn.MINIFS('Draft Board'!$H$2:$H$61,'Draft Board'!$H$2:$H$61,"&gt;="&amp;H45,'Draft Board'!$J$2:$J$61,1)</f>
        <v>0</v>
      </c>
      <c r="L45" s="9">
        <f>IF(I45&lt;&gt;_xlfn.MINIFS('Draft Board'!$I$2:$I$61,'Draft Board'!$H$2:$H$61,"="&amp;H45),0,IF(OR(J45=1,IFERROR(FLOOR((K45-H45)/K45/0.25,1),0)&lt;&gt;IFERROR(FLOOR((K45-_xlfn.MINIFS('Draft Board'!$H$2:$H$61,'Draft Board'!$H$2:$H$61,"&gt;"&amp;H45))/K45/0.25,1),0)),1,0))</f>
        <v>0</v>
      </c>
      <c r="M45" s="9">
        <f>ROUND(1+H45*'Live Calc'!$D$26,0)</f>
        <v>1</v>
      </c>
      <c r="N45" s="9"/>
      <c r="O45" s="9">
        <f>IF(N45&lt;&gt;"",N45,ROUND(M45*INDEX('Live Calc'!$G$33:$G$92,MATCH(G45,'Live Calc'!$A$33:$A$92,0))*'Live Calc'!$J$543,0))</f>
        <v>1</v>
      </c>
      <c r="Q45" s="10" t="s">
        <v>260</v>
      </c>
      <c r="R45" s="10" t="s">
        <v>181</v>
      </c>
      <c r="S45" s="10">
        <v>79.531999999999996</v>
      </c>
      <c r="T45" s="10">
        <v>100.83199999999999</v>
      </c>
      <c r="U45" s="10">
        <v>121.09399999999999</v>
      </c>
      <c r="V45" s="10">
        <f>CHOOSE(MATCH(Setup!$B$7,{"STD","Half-PPR","PPR"},0),S45,T45,U45)</f>
        <v>100.83199999999999</v>
      </c>
      <c r="W45" s="10">
        <f>COUNTIFS('Draft Board'!$X$2:$X$161,"&gt;="&amp;X45,'Draft Board'!$AB$2:$AB$161,1)</f>
        <v>14</v>
      </c>
      <c r="X45" s="10">
        <f>MAX(0,V45-'Live Calc'!$H$20)^'Live Calc'!$E$20</f>
        <v>0</v>
      </c>
      <c r="Y45" s="10">
        <v>45</v>
      </c>
      <c r="Z45" s="10">
        <f>IF(Y45&lt;&gt;_xlfn.MINIFS('Draft Board'!$Y$2:$Y$161,'Draft Board'!$X$2:$X$161,"="&amp;X45),0,IF(_xlfn.MINIFS('Draft Board'!$X$2:$X$161,'Draft Board'!$X$2:$X$161,"&gt;"&amp;X45)=0,1,IF((_xlfn.MINIFS('Draft Board'!$X$2:$X$161,'Draft Board'!$X$2:$X$161,"&gt;"&amp;X45)-X45)/_xlfn.MINIFS('Draft Board'!$X$2:$X$161,'Draft Board'!$X$2:$X$161,"&gt;"&amp;X45)&gt;0.08,1,0)))</f>
        <v>1</v>
      </c>
      <c r="AA45" s="10">
        <f>_xlfn.MINIFS('Draft Board'!$X$2:$X$161,'Draft Board'!$X$2:$X$161,"&gt;="&amp;X45,'Draft Board'!$Z$2:$Z$161,1)</f>
        <v>0</v>
      </c>
      <c r="AB45" s="10">
        <f>IF(Y45&lt;&gt;_xlfn.MINIFS('Draft Board'!$Y$2:$Y$161,'Draft Board'!$X$2:$X$161,"="&amp;X45),0,IF(OR(Z45=1,IFERROR(FLOOR((AA45-X45)/AA45/0.25,1),0)&lt;&gt;IFERROR(FLOOR((AA45-_xlfn.MINIFS('Draft Board'!$X$2:$X$161,'Draft Board'!$X$2:$X$161,"&gt;"&amp;X45))/AA45/0.25,1),0)),1,0))</f>
        <v>1</v>
      </c>
      <c r="AC45" s="10">
        <f>ROUND(1+X45*'Live Calc'!$D$27,0)</f>
        <v>1</v>
      </c>
      <c r="AD45" s="10"/>
      <c r="AE45" s="10">
        <f>IF(AD45&lt;&gt;"",AD45,ROUND(AC45*INDEX('Live Calc'!$G$96:$G$255,MATCH(W45,'Live Calc'!$A$96:$A$255,0))*'Live Calc'!$J$543,0))</f>
        <v>1</v>
      </c>
      <c r="AG45" s="11" t="s">
        <v>261</v>
      </c>
      <c r="AH45" s="11" t="s">
        <v>100</v>
      </c>
      <c r="AI45" s="11">
        <v>110.32599999999999</v>
      </c>
      <c r="AJ45" s="11">
        <v>137.75800000000001</v>
      </c>
      <c r="AK45" s="11">
        <v>165.56</v>
      </c>
      <c r="AL45" s="11">
        <f>CHOOSE(MATCH(Setup!$B$7,{"STD","Half-PPR","PPR"},0),AI45,AJ45,AK45)</f>
        <v>137.75800000000001</v>
      </c>
      <c r="AM45" s="11">
        <f>COUNTIFS('Draft Board'!$AN$2:$AN$193,"&gt;="&amp;AN45,'Draft Board'!$AR$2:$AR$193,1)</f>
        <v>9</v>
      </c>
      <c r="AN45" s="11">
        <f>MAX(0,AL45-'Live Calc'!$H$21)^'Live Calc'!$E$21</f>
        <v>89.770517828479569</v>
      </c>
      <c r="AO45" s="11">
        <v>45</v>
      </c>
      <c r="AP45" s="11">
        <f>IF(AO45&lt;&gt;_xlfn.MINIFS('Draft Board'!$AO$2:$AO$193,'Draft Board'!$AN$2:$AN$193,"="&amp;AN45),0,IF(_xlfn.MINIFS('Draft Board'!$AN$2:$AN$193,'Draft Board'!$AN$2:$AN$193,"&gt;"&amp;AN45)=0,1,IF((_xlfn.MINIFS('Draft Board'!$AN$2:$AN$193,'Draft Board'!$AN$2:$AN$193,"&gt;"&amp;AN45)-AN45)/_xlfn.MINIFS('Draft Board'!$AN$2:$AN$193,'Draft Board'!$AN$2:$AN$193,"&gt;"&amp;AN45)&gt;0.08,1,0)))</f>
        <v>0</v>
      </c>
      <c r="AQ45" s="11">
        <f>_xlfn.MINIFS('Draft Board'!$AN$2:$AN$193,'Draft Board'!$AN$2:$AN$193,"&gt;="&amp;AN45,'Draft Board'!$AP$2:$AP$193,1)</f>
        <v>101.57012751714554</v>
      </c>
      <c r="AR45" s="11">
        <f>IF(AO45&lt;&gt;_xlfn.MINIFS('Draft Board'!$AO$2:$AO$193,'Draft Board'!$AN$2:$AN$193,"="&amp;AN45),0,IF(OR(AP45=1,IFERROR(FLOOR((AQ45-AN45)/AQ45/0.25,1),0)&lt;&gt;IFERROR(FLOOR((AQ45-_xlfn.MINIFS('Draft Board'!$AN$2:$AN$193,'Draft Board'!$AN$2:$AN$193,"&gt;"&amp;AN45))/AQ45/0.25,1),0)),1,0))</f>
        <v>0</v>
      </c>
      <c r="AS45" s="11">
        <f>ROUND(1+AN45*'Live Calc'!$D$28,0)</f>
        <v>8</v>
      </c>
      <c r="AT45" s="11"/>
      <c r="AU45" s="11">
        <f>IF(AT45&lt;&gt;"",AT45,ROUND(AS45*INDEX('Live Calc'!$G$259:$G$450,MATCH(AM45,'Live Calc'!$A$259:$A$450,0))*'Live Calc'!$J$543,0))</f>
        <v>8</v>
      </c>
      <c r="AW45" s="12" t="s">
        <v>262</v>
      </c>
      <c r="AX45" s="12" t="s">
        <v>93</v>
      </c>
      <c r="AY45" s="12">
        <v>37.555999999999997</v>
      </c>
      <c r="AZ45" s="12">
        <v>51.387999999999998</v>
      </c>
      <c r="BA45" s="12">
        <v>65.757999999999996</v>
      </c>
      <c r="BB45" s="12">
        <f>CHOOSE(MATCH(Setup!$B$7,{"STD","Half-PPR","PPR"},0),AY45,AZ45,BA45)</f>
        <v>51.387999999999998</v>
      </c>
      <c r="BC45" s="12">
        <f>COUNTIFS('Draft Board'!$BD$2:$BD$87,"&gt;="&amp;BD45,'Draft Board'!$BH$2:$BH$87,1)</f>
        <v>15</v>
      </c>
      <c r="BD45" s="12">
        <f>MAX(0,BB45-'Live Calc'!$H$22)^'Live Calc'!$E$22</f>
        <v>0</v>
      </c>
      <c r="BE45" s="12">
        <v>45</v>
      </c>
      <c r="BF45" s="12">
        <f>IF(BE45&lt;&gt;_xlfn.MINIFS('Draft Board'!$BE$2:$BE$87,'Draft Board'!$BD$2:$BD$87,"="&amp;BD45),0,IF(_xlfn.MINIFS('Draft Board'!$BD$2:$BD$87,'Draft Board'!$BD$2:$BD$87,"&gt;"&amp;BD45)=0,1,IF((_xlfn.MINIFS('Draft Board'!$BD$2:$BD$87,'Draft Board'!$BD$2:$BD$87,"&gt;"&amp;BD45)-BD45)/_xlfn.MINIFS('Draft Board'!$BD$2:$BD$87,'Draft Board'!$BD$2:$BD$87,"&gt;"&amp;BD45)&gt;0.08,1,0)))</f>
        <v>0</v>
      </c>
      <c r="BG45" s="12">
        <f>_xlfn.MINIFS('Draft Board'!$BD$2:$BD$87,'Draft Board'!$BD$2:$BD$87,"&gt;="&amp;BD45,'Draft Board'!$BF$2:$BF$87,1)</f>
        <v>0</v>
      </c>
      <c r="BH45" s="12">
        <f>IF(BE45&lt;&gt;_xlfn.MINIFS('Draft Board'!$BE$2:$BE$87,'Draft Board'!$BD$2:$BD$87,"="&amp;BD45),0,IF(OR(BF45=1,IFERROR(FLOOR((BG45-BD45)/BG45/0.25,1),0)&lt;&gt;IFERROR(FLOOR((BG45-_xlfn.MINIFS('Draft Board'!$BD$2:$BD$87,'Draft Board'!$BD$2:$BD$87,"&gt;"&amp;BD45))/BG45/0.25,1),0)),1,0))</f>
        <v>0</v>
      </c>
      <c r="BI45" s="12">
        <f>ROUND(1+BD45*'Live Calc'!$D$29,0)</f>
        <v>1</v>
      </c>
      <c r="BJ45" s="12"/>
      <c r="BK45" s="12">
        <f>IF(BJ45&lt;&gt;"",BJ45,ROUND(BI45*INDEX('Live Calc'!$G$454:$G$539,MATCH(BC45,'Live Calc'!$A$454:$A$539,0))*'Live Calc'!$J$543,0))</f>
        <v>1</v>
      </c>
    </row>
    <row r="46" spans="1:63" x14ac:dyDescent="0.25">
      <c r="A46" s="9" t="s">
        <v>263</v>
      </c>
      <c r="B46" s="9" t="s">
        <v>143</v>
      </c>
      <c r="C46" s="9">
        <v>21.672000000000001</v>
      </c>
      <c r="D46" s="9">
        <v>21.672000000000001</v>
      </c>
      <c r="E46" s="9">
        <v>21.672000000000001</v>
      </c>
      <c r="F46" s="9">
        <f>CHOOSE(MATCH(Setup!$B$7,{"STD","Half-PPR","PPR"},0),C46,D46,E46)</f>
        <v>21.672000000000001</v>
      </c>
      <c r="G46" s="9">
        <f>COUNTIFS('Draft Board'!$H$2:$H$61,"&gt;="&amp;H46,'Draft Board'!$L$2:$L$61,1)</f>
        <v>11</v>
      </c>
      <c r="H46" s="9">
        <f>MAX(0,F46-'Live Calc'!$H$19)^'Live Calc'!$E$19</f>
        <v>0</v>
      </c>
      <c r="I46" s="9">
        <v>46</v>
      </c>
      <c r="J46" s="9">
        <f>IF(I46&lt;&gt;_xlfn.MINIFS('Draft Board'!$I$2:$I$61,'Draft Board'!$H$2:$H$61,"="&amp;H46),0,IF(_xlfn.MINIFS('Draft Board'!$H$2:$H$61,'Draft Board'!$H$2:$H$61,"&gt;"&amp;H46)=0,1,IF((_xlfn.MINIFS('Draft Board'!$H$2:$H$61,'Draft Board'!$H$2:$H$61,"&gt;"&amp;H46)-H46)/_xlfn.MINIFS('Draft Board'!$H$2:$H$61,'Draft Board'!$H$2:$H$61,"&gt;"&amp;H46)&gt;0.08,1,0)))</f>
        <v>0</v>
      </c>
      <c r="K46" s="9">
        <f>_xlfn.MINIFS('Draft Board'!$H$2:$H$61,'Draft Board'!$H$2:$H$61,"&gt;="&amp;H46,'Draft Board'!$J$2:$J$61,1)</f>
        <v>0</v>
      </c>
      <c r="L46" s="9">
        <f>IF(I46&lt;&gt;_xlfn.MINIFS('Draft Board'!$I$2:$I$61,'Draft Board'!$H$2:$H$61,"="&amp;H46),0,IF(OR(J46=1,IFERROR(FLOOR((K46-H46)/K46/0.25,1),0)&lt;&gt;IFERROR(FLOOR((K46-_xlfn.MINIFS('Draft Board'!$H$2:$H$61,'Draft Board'!$H$2:$H$61,"&gt;"&amp;H46))/K46/0.25,1),0)),1,0))</f>
        <v>0</v>
      </c>
      <c r="M46" s="9">
        <f>ROUND(1+H46*'Live Calc'!$D$26,0)</f>
        <v>1</v>
      </c>
      <c r="N46" s="9"/>
      <c r="O46" s="9">
        <f>IF(N46&lt;&gt;"",N46,ROUND(M46*INDEX('Live Calc'!$G$33:$G$92,MATCH(G46,'Live Calc'!$A$33:$A$92,0))*'Live Calc'!$J$543,0))</f>
        <v>1</v>
      </c>
      <c r="Q46" s="10" t="s">
        <v>264</v>
      </c>
      <c r="R46" s="10" t="s">
        <v>57</v>
      </c>
      <c r="S46" s="10">
        <v>92.42</v>
      </c>
      <c r="T46" s="10">
        <v>100.72</v>
      </c>
      <c r="U46" s="10">
        <v>109.03</v>
      </c>
      <c r="V46" s="10">
        <f>CHOOSE(MATCH(Setup!$B$7,{"STD","Half-PPR","PPR"},0),S46,T46,U46)</f>
        <v>100.72</v>
      </c>
      <c r="W46" s="10">
        <f>COUNTIFS('Draft Board'!$X$2:$X$161,"&gt;="&amp;X46,'Draft Board'!$AB$2:$AB$161,1)</f>
        <v>14</v>
      </c>
      <c r="X46" s="10">
        <f>MAX(0,V46-'Live Calc'!$H$20)^'Live Calc'!$E$20</f>
        <v>0</v>
      </c>
      <c r="Y46" s="10">
        <v>46</v>
      </c>
      <c r="Z46" s="10">
        <f>IF(Y46&lt;&gt;_xlfn.MINIFS('Draft Board'!$Y$2:$Y$161,'Draft Board'!$X$2:$X$161,"="&amp;X46),0,IF(_xlfn.MINIFS('Draft Board'!$X$2:$X$161,'Draft Board'!$X$2:$X$161,"&gt;"&amp;X46)=0,1,IF((_xlfn.MINIFS('Draft Board'!$X$2:$X$161,'Draft Board'!$X$2:$X$161,"&gt;"&amp;X46)-X46)/_xlfn.MINIFS('Draft Board'!$X$2:$X$161,'Draft Board'!$X$2:$X$161,"&gt;"&amp;X46)&gt;0.08,1,0)))</f>
        <v>0</v>
      </c>
      <c r="AA46" s="10">
        <f>_xlfn.MINIFS('Draft Board'!$X$2:$X$161,'Draft Board'!$X$2:$X$161,"&gt;="&amp;X46,'Draft Board'!$Z$2:$Z$161,1)</f>
        <v>0</v>
      </c>
      <c r="AB46" s="10">
        <f>IF(Y46&lt;&gt;_xlfn.MINIFS('Draft Board'!$Y$2:$Y$161,'Draft Board'!$X$2:$X$161,"="&amp;X46),0,IF(OR(Z46=1,IFERROR(FLOOR((AA46-X46)/AA46/0.25,1),0)&lt;&gt;IFERROR(FLOOR((AA46-_xlfn.MINIFS('Draft Board'!$X$2:$X$161,'Draft Board'!$X$2:$X$161,"&gt;"&amp;X46))/AA46/0.25,1),0)),1,0))</f>
        <v>0</v>
      </c>
      <c r="AC46" s="10">
        <f>ROUND(1+X46*'Live Calc'!$D$27,0)</f>
        <v>1</v>
      </c>
      <c r="AD46" s="10"/>
      <c r="AE46" s="10">
        <f>IF(AD46&lt;&gt;"",AD46,ROUND(AC46*INDEX('Live Calc'!$G$96:$G$255,MATCH(W46,'Live Calc'!$A$96:$A$255,0))*'Live Calc'!$J$543,0))</f>
        <v>1</v>
      </c>
      <c r="AG46" s="11" t="s">
        <v>265</v>
      </c>
      <c r="AH46" s="11" t="s">
        <v>81</v>
      </c>
      <c r="AI46" s="11">
        <v>102.398</v>
      </c>
      <c r="AJ46" s="11">
        <v>137.238</v>
      </c>
      <c r="AK46" s="11">
        <v>176.54</v>
      </c>
      <c r="AL46" s="11">
        <f>CHOOSE(MATCH(Setup!$B$7,{"STD","Half-PPR","PPR"},0),AI46,AJ46,AK46)</f>
        <v>137.238</v>
      </c>
      <c r="AM46" s="11">
        <f>COUNTIFS('Draft Board'!$AN$2:$AN$193,"&gt;="&amp;AN46,'Draft Board'!$AR$2:$AR$193,1)</f>
        <v>9</v>
      </c>
      <c r="AN46" s="11">
        <f>MAX(0,AL46-'Live Calc'!$H$21)^'Live Calc'!$E$21</f>
        <v>88.175507058363962</v>
      </c>
      <c r="AO46" s="11">
        <v>46</v>
      </c>
      <c r="AP46" s="11">
        <f>IF(AO46&lt;&gt;_xlfn.MINIFS('Draft Board'!$AO$2:$AO$193,'Draft Board'!$AN$2:$AN$193,"="&amp;AN46),0,IF(_xlfn.MINIFS('Draft Board'!$AN$2:$AN$193,'Draft Board'!$AN$2:$AN$193,"&gt;"&amp;AN46)=0,1,IF((_xlfn.MINIFS('Draft Board'!$AN$2:$AN$193,'Draft Board'!$AN$2:$AN$193,"&gt;"&amp;AN46)-AN46)/_xlfn.MINIFS('Draft Board'!$AN$2:$AN$193,'Draft Board'!$AN$2:$AN$193,"&gt;"&amp;AN46)&gt;0.08,1,0)))</f>
        <v>0</v>
      </c>
      <c r="AQ46" s="11">
        <f>_xlfn.MINIFS('Draft Board'!$AN$2:$AN$193,'Draft Board'!$AN$2:$AN$193,"&gt;="&amp;AN46,'Draft Board'!$AP$2:$AP$193,1)</f>
        <v>101.57012751714554</v>
      </c>
      <c r="AR46" s="11">
        <f>IF(AO46&lt;&gt;_xlfn.MINIFS('Draft Board'!$AO$2:$AO$193,'Draft Board'!$AN$2:$AN$193,"="&amp;AN46),0,IF(OR(AP46=1,IFERROR(FLOOR((AQ46-AN46)/AQ46/0.25,1),0)&lt;&gt;IFERROR(FLOOR((AQ46-_xlfn.MINIFS('Draft Board'!$AN$2:$AN$193,'Draft Board'!$AN$2:$AN$193,"&gt;"&amp;AN46))/AQ46/0.25,1),0)),1,0))</f>
        <v>0</v>
      </c>
      <c r="AS46" s="11">
        <f>ROUND(1+AN46*'Live Calc'!$D$28,0)</f>
        <v>8</v>
      </c>
      <c r="AT46" s="11"/>
      <c r="AU46" s="11">
        <f>IF(AT46&lt;&gt;"",AT46,ROUND(AS46*INDEX('Live Calc'!$G$259:$G$450,MATCH(AM46,'Live Calc'!$A$259:$A$450,0))*'Live Calc'!$J$543,0))</f>
        <v>8</v>
      </c>
      <c r="AW46" s="12" t="s">
        <v>266</v>
      </c>
      <c r="AX46" s="12" t="s">
        <v>75</v>
      </c>
      <c r="AY46" s="12">
        <v>38.67</v>
      </c>
      <c r="AZ46" s="12">
        <v>50.51</v>
      </c>
      <c r="BA46" s="12">
        <v>62.35</v>
      </c>
      <c r="BB46" s="12">
        <f>CHOOSE(MATCH(Setup!$B$7,{"STD","Half-PPR","PPR"},0),AY46,AZ46,BA46)</f>
        <v>50.51</v>
      </c>
      <c r="BC46" s="12">
        <f>COUNTIFS('Draft Board'!$BD$2:$BD$87,"&gt;="&amp;BD46,'Draft Board'!$BH$2:$BH$87,1)</f>
        <v>15</v>
      </c>
      <c r="BD46" s="12">
        <f>MAX(0,BB46-'Live Calc'!$H$22)^'Live Calc'!$E$22</f>
        <v>0</v>
      </c>
      <c r="BE46" s="12">
        <v>46</v>
      </c>
      <c r="BF46" s="12">
        <f>IF(BE46&lt;&gt;_xlfn.MINIFS('Draft Board'!$BE$2:$BE$87,'Draft Board'!$BD$2:$BD$87,"="&amp;BD46),0,IF(_xlfn.MINIFS('Draft Board'!$BD$2:$BD$87,'Draft Board'!$BD$2:$BD$87,"&gt;"&amp;BD46)=0,1,IF((_xlfn.MINIFS('Draft Board'!$BD$2:$BD$87,'Draft Board'!$BD$2:$BD$87,"&gt;"&amp;BD46)-BD46)/_xlfn.MINIFS('Draft Board'!$BD$2:$BD$87,'Draft Board'!$BD$2:$BD$87,"&gt;"&amp;BD46)&gt;0.08,1,0)))</f>
        <v>0</v>
      </c>
      <c r="BG46" s="12">
        <f>_xlfn.MINIFS('Draft Board'!$BD$2:$BD$87,'Draft Board'!$BD$2:$BD$87,"&gt;="&amp;BD46,'Draft Board'!$BF$2:$BF$87,1)</f>
        <v>0</v>
      </c>
      <c r="BH46" s="12">
        <f>IF(BE46&lt;&gt;_xlfn.MINIFS('Draft Board'!$BE$2:$BE$87,'Draft Board'!$BD$2:$BD$87,"="&amp;BD46),0,IF(OR(BF46=1,IFERROR(FLOOR((BG46-BD46)/BG46/0.25,1),0)&lt;&gt;IFERROR(FLOOR((BG46-_xlfn.MINIFS('Draft Board'!$BD$2:$BD$87,'Draft Board'!$BD$2:$BD$87,"&gt;"&amp;BD46))/BG46/0.25,1),0)),1,0))</f>
        <v>0</v>
      </c>
      <c r="BI46" s="12">
        <f>ROUND(1+BD46*'Live Calc'!$D$29,0)</f>
        <v>1</v>
      </c>
      <c r="BJ46" s="12"/>
      <c r="BK46" s="12">
        <f>IF(BJ46&lt;&gt;"",BJ46,ROUND(BI46*INDEX('Live Calc'!$G$454:$G$539,MATCH(BC46,'Live Calc'!$A$454:$A$539,0))*'Live Calc'!$J$543,0))</f>
        <v>1</v>
      </c>
    </row>
    <row r="47" spans="1:63" x14ac:dyDescent="0.25">
      <c r="A47" s="9" t="s">
        <v>267</v>
      </c>
      <c r="B47" s="9" t="s">
        <v>116</v>
      </c>
      <c r="C47" s="9">
        <v>20.37</v>
      </c>
      <c r="D47" s="9">
        <v>20.37</v>
      </c>
      <c r="E47" s="9">
        <v>20.37</v>
      </c>
      <c r="F47" s="9">
        <f>CHOOSE(MATCH(Setup!$B$7,{"STD","Half-PPR","PPR"},0),C47,D47,E47)</f>
        <v>20.37</v>
      </c>
      <c r="G47" s="9">
        <f>COUNTIFS('Draft Board'!$H$2:$H$61,"&gt;="&amp;H47,'Draft Board'!$L$2:$L$61,1)</f>
        <v>11</v>
      </c>
      <c r="H47" s="9">
        <f>MAX(0,F47-'Live Calc'!$H$19)^'Live Calc'!$E$19</f>
        <v>0</v>
      </c>
      <c r="I47" s="9">
        <v>47</v>
      </c>
      <c r="J47" s="9">
        <f>IF(I47&lt;&gt;_xlfn.MINIFS('Draft Board'!$I$2:$I$61,'Draft Board'!$H$2:$H$61,"="&amp;H47),0,IF(_xlfn.MINIFS('Draft Board'!$H$2:$H$61,'Draft Board'!$H$2:$H$61,"&gt;"&amp;H47)=0,1,IF((_xlfn.MINIFS('Draft Board'!$H$2:$H$61,'Draft Board'!$H$2:$H$61,"&gt;"&amp;H47)-H47)/_xlfn.MINIFS('Draft Board'!$H$2:$H$61,'Draft Board'!$H$2:$H$61,"&gt;"&amp;H47)&gt;0.08,1,0)))</f>
        <v>0</v>
      </c>
      <c r="K47" s="9">
        <f>_xlfn.MINIFS('Draft Board'!$H$2:$H$61,'Draft Board'!$H$2:$H$61,"&gt;="&amp;H47,'Draft Board'!$J$2:$J$61,1)</f>
        <v>0</v>
      </c>
      <c r="L47" s="9">
        <f>IF(I47&lt;&gt;_xlfn.MINIFS('Draft Board'!$I$2:$I$61,'Draft Board'!$H$2:$H$61,"="&amp;H47),0,IF(OR(J47=1,IFERROR(FLOOR((K47-H47)/K47/0.25,1),0)&lt;&gt;IFERROR(FLOOR((K47-_xlfn.MINIFS('Draft Board'!$H$2:$H$61,'Draft Board'!$H$2:$H$61,"&gt;"&amp;H47))/K47/0.25,1),0)),1,0))</f>
        <v>0</v>
      </c>
      <c r="M47" s="9">
        <f>ROUND(1+H47*'Live Calc'!$D$26,0)</f>
        <v>1</v>
      </c>
      <c r="N47" s="9"/>
      <c r="O47" s="9">
        <f>IF(N47&lt;&gt;"",N47,ROUND(M47*INDEX('Live Calc'!$G$33:$G$92,MATCH(G47,'Live Calc'!$A$33:$A$92,0))*'Live Calc'!$J$543,0))</f>
        <v>1</v>
      </c>
      <c r="Q47" s="10" t="s">
        <v>268</v>
      </c>
      <c r="R47" s="10" t="s">
        <v>116</v>
      </c>
      <c r="S47" s="10">
        <v>90.114000000000004</v>
      </c>
      <c r="T47" s="10">
        <v>99.56</v>
      </c>
      <c r="U47" s="10">
        <v>112.724</v>
      </c>
      <c r="V47" s="10">
        <f>CHOOSE(MATCH(Setup!$B$7,{"STD","Half-PPR","PPR"},0),S47,T47,U47)</f>
        <v>99.56</v>
      </c>
      <c r="W47" s="10">
        <f>COUNTIFS('Draft Board'!$X$2:$X$161,"&gt;="&amp;X47,'Draft Board'!$AB$2:$AB$161,1)</f>
        <v>14</v>
      </c>
      <c r="X47" s="10">
        <f>MAX(0,V47-'Live Calc'!$H$20)^'Live Calc'!$E$20</f>
        <v>0</v>
      </c>
      <c r="Y47" s="10">
        <v>47</v>
      </c>
      <c r="Z47" s="10">
        <f>IF(Y47&lt;&gt;_xlfn.MINIFS('Draft Board'!$Y$2:$Y$161,'Draft Board'!$X$2:$X$161,"="&amp;X47),0,IF(_xlfn.MINIFS('Draft Board'!$X$2:$X$161,'Draft Board'!$X$2:$X$161,"&gt;"&amp;X47)=0,1,IF((_xlfn.MINIFS('Draft Board'!$X$2:$X$161,'Draft Board'!$X$2:$X$161,"&gt;"&amp;X47)-X47)/_xlfn.MINIFS('Draft Board'!$X$2:$X$161,'Draft Board'!$X$2:$X$161,"&gt;"&amp;X47)&gt;0.08,1,0)))</f>
        <v>0</v>
      </c>
      <c r="AA47" s="10">
        <f>_xlfn.MINIFS('Draft Board'!$X$2:$X$161,'Draft Board'!$X$2:$X$161,"&gt;="&amp;X47,'Draft Board'!$Z$2:$Z$161,1)</f>
        <v>0</v>
      </c>
      <c r="AB47" s="10">
        <f>IF(Y47&lt;&gt;_xlfn.MINIFS('Draft Board'!$Y$2:$Y$161,'Draft Board'!$X$2:$X$161,"="&amp;X47),0,IF(OR(Z47=1,IFERROR(FLOOR((AA47-X47)/AA47/0.25,1),0)&lt;&gt;IFERROR(FLOOR((AA47-_xlfn.MINIFS('Draft Board'!$X$2:$X$161,'Draft Board'!$X$2:$X$161,"&gt;"&amp;X47))/AA47/0.25,1),0)),1,0))</f>
        <v>0</v>
      </c>
      <c r="AC47" s="10">
        <f>ROUND(1+X47*'Live Calc'!$D$27,0)</f>
        <v>1</v>
      </c>
      <c r="AD47" s="10"/>
      <c r="AE47" s="10">
        <f>IF(AD47&lt;&gt;"",AD47,ROUND(AC47*INDEX('Live Calc'!$G$96:$G$255,MATCH(W47,'Live Calc'!$A$96:$A$255,0))*'Live Calc'!$J$543,0))</f>
        <v>1</v>
      </c>
      <c r="AG47" s="11" t="s">
        <v>269</v>
      </c>
      <c r="AH47" s="11" t="s">
        <v>111</v>
      </c>
      <c r="AI47" s="11">
        <v>107.32</v>
      </c>
      <c r="AJ47" s="11">
        <v>133.59</v>
      </c>
      <c r="AK47" s="11">
        <v>161.36199999999999</v>
      </c>
      <c r="AL47" s="11">
        <f>CHOOSE(MATCH(Setup!$B$7,{"STD","Half-PPR","PPR"},0),AI47,AJ47,AK47)</f>
        <v>133.59</v>
      </c>
      <c r="AM47" s="11">
        <f>COUNTIFS('Draft Board'!$AN$2:$AN$193,"&gt;="&amp;AN47,'Draft Board'!$AR$2:$AR$193,1)</f>
        <v>10</v>
      </c>
      <c r="AN47" s="11">
        <f>MAX(0,AL47-'Live Calc'!$H$21)^'Live Calc'!$E$21</f>
        <v>77.151230349750577</v>
      </c>
      <c r="AO47" s="11">
        <v>47</v>
      </c>
      <c r="AP47" s="11">
        <f>IF(AO47&lt;&gt;_xlfn.MINIFS('Draft Board'!$AO$2:$AO$193,'Draft Board'!$AN$2:$AN$193,"="&amp;AN47),0,IF(_xlfn.MINIFS('Draft Board'!$AN$2:$AN$193,'Draft Board'!$AN$2:$AN$193,"&gt;"&amp;AN47)=0,1,IF((_xlfn.MINIFS('Draft Board'!$AN$2:$AN$193,'Draft Board'!$AN$2:$AN$193,"&gt;"&amp;AN47)-AN47)/_xlfn.MINIFS('Draft Board'!$AN$2:$AN$193,'Draft Board'!$AN$2:$AN$193,"&gt;"&amp;AN47)&gt;0.08,1,0)))</f>
        <v>1</v>
      </c>
      <c r="AQ47" s="11">
        <f>_xlfn.MINIFS('Draft Board'!$AN$2:$AN$193,'Draft Board'!$AN$2:$AN$193,"&gt;="&amp;AN47,'Draft Board'!$AP$2:$AP$193,1)</f>
        <v>77.151230349750577</v>
      </c>
      <c r="AR47" s="11">
        <f>IF(AO47&lt;&gt;_xlfn.MINIFS('Draft Board'!$AO$2:$AO$193,'Draft Board'!$AN$2:$AN$193,"="&amp;AN47),0,IF(OR(AP47=1,IFERROR(FLOOR((AQ47-AN47)/AQ47/0.25,1),0)&lt;&gt;IFERROR(FLOOR((AQ47-_xlfn.MINIFS('Draft Board'!$AN$2:$AN$193,'Draft Board'!$AN$2:$AN$193,"&gt;"&amp;AN47))/AQ47/0.25,1),0)),1,0))</f>
        <v>1</v>
      </c>
      <c r="AS47" s="11">
        <f>ROUND(1+AN47*'Live Calc'!$D$28,0)</f>
        <v>7</v>
      </c>
      <c r="AT47" s="11"/>
      <c r="AU47" s="11">
        <f>IF(AT47&lt;&gt;"",AT47,ROUND(AS47*INDEX('Live Calc'!$G$259:$G$450,MATCH(AM47,'Live Calc'!$A$259:$A$450,0))*'Live Calc'!$J$543,0))</f>
        <v>7</v>
      </c>
      <c r="AW47" s="12" t="s">
        <v>270</v>
      </c>
      <c r="AX47" s="12" t="s">
        <v>59</v>
      </c>
      <c r="AY47" s="12">
        <v>36.962000000000003</v>
      </c>
      <c r="AZ47" s="12">
        <v>48.692</v>
      </c>
      <c r="BA47" s="12">
        <v>61.101999999999997</v>
      </c>
      <c r="BB47" s="12">
        <f>CHOOSE(MATCH(Setup!$B$7,{"STD","Half-PPR","PPR"},0),AY47,AZ47,BA47)</f>
        <v>48.692</v>
      </c>
      <c r="BC47" s="12">
        <f>COUNTIFS('Draft Board'!$BD$2:$BD$87,"&gt;="&amp;BD47,'Draft Board'!$BH$2:$BH$87,1)</f>
        <v>15</v>
      </c>
      <c r="BD47" s="12">
        <f>MAX(0,BB47-'Live Calc'!$H$22)^'Live Calc'!$E$22</f>
        <v>0</v>
      </c>
      <c r="BE47" s="12">
        <v>47</v>
      </c>
      <c r="BF47" s="12">
        <f>IF(BE47&lt;&gt;_xlfn.MINIFS('Draft Board'!$BE$2:$BE$87,'Draft Board'!$BD$2:$BD$87,"="&amp;BD47),0,IF(_xlfn.MINIFS('Draft Board'!$BD$2:$BD$87,'Draft Board'!$BD$2:$BD$87,"&gt;"&amp;BD47)=0,1,IF((_xlfn.MINIFS('Draft Board'!$BD$2:$BD$87,'Draft Board'!$BD$2:$BD$87,"&gt;"&amp;BD47)-BD47)/_xlfn.MINIFS('Draft Board'!$BD$2:$BD$87,'Draft Board'!$BD$2:$BD$87,"&gt;"&amp;BD47)&gt;0.08,1,0)))</f>
        <v>0</v>
      </c>
      <c r="BG47" s="12">
        <f>_xlfn.MINIFS('Draft Board'!$BD$2:$BD$87,'Draft Board'!$BD$2:$BD$87,"&gt;="&amp;BD47,'Draft Board'!$BF$2:$BF$87,1)</f>
        <v>0</v>
      </c>
      <c r="BH47" s="12">
        <f>IF(BE47&lt;&gt;_xlfn.MINIFS('Draft Board'!$BE$2:$BE$87,'Draft Board'!$BD$2:$BD$87,"="&amp;BD47),0,IF(OR(BF47=1,IFERROR(FLOOR((BG47-BD47)/BG47/0.25,1),0)&lt;&gt;IFERROR(FLOOR((BG47-_xlfn.MINIFS('Draft Board'!$BD$2:$BD$87,'Draft Board'!$BD$2:$BD$87,"&gt;"&amp;BD47))/BG47/0.25,1),0)),1,0))</f>
        <v>0</v>
      </c>
      <c r="BI47" s="12">
        <f>ROUND(1+BD47*'Live Calc'!$D$29,0)</f>
        <v>1</v>
      </c>
      <c r="BJ47" s="12"/>
      <c r="BK47" s="12">
        <f>IF(BJ47&lt;&gt;"",BJ47,ROUND(BI47*INDEX('Live Calc'!$G$454:$G$539,MATCH(BC47,'Live Calc'!$A$454:$A$539,0))*'Live Calc'!$J$543,0))</f>
        <v>1</v>
      </c>
    </row>
    <row r="48" spans="1:63" x14ac:dyDescent="0.25">
      <c r="A48" s="9" t="s">
        <v>271</v>
      </c>
      <c r="B48" s="9" t="s">
        <v>126</v>
      </c>
      <c r="C48" s="9">
        <v>20.260000000000002</v>
      </c>
      <c r="D48" s="9">
        <v>20.260000000000002</v>
      </c>
      <c r="E48" s="9">
        <v>20.260000000000002</v>
      </c>
      <c r="F48" s="9">
        <f>CHOOSE(MATCH(Setup!$B$7,{"STD","Half-PPR","PPR"},0),C48,D48,E48)</f>
        <v>20.260000000000002</v>
      </c>
      <c r="G48" s="9">
        <f>COUNTIFS('Draft Board'!$H$2:$H$61,"&gt;="&amp;H48,'Draft Board'!$L$2:$L$61,1)</f>
        <v>11</v>
      </c>
      <c r="H48" s="9">
        <f>MAX(0,F48-'Live Calc'!$H$19)^'Live Calc'!$E$19</f>
        <v>0</v>
      </c>
      <c r="I48" s="9">
        <v>48</v>
      </c>
      <c r="J48" s="9">
        <f>IF(I48&lt;&gt;_xlfn.MINIFS('Draft Board'!$I$2:$I$61,'Draft Board'!$H$2:$H$61,"="&amp;H48),0,IF(_xlfn.MINIFS('Draft Board'!$H$2:$H$61,'Draft Board'!$H$2:$H$61,"&gt;"&amp;H48)=0,1,IF((_xlfn.MINIFS('Draft Board'!$H$2:$H$61,'Draft Board'!$H$2:$H$61,"&gt;"&amp;H48)-H48)/_xlfn.MINIFS('Draft Board'!$H$2:$H$61,'Draft Board'!$H$2:$H$61,"&gt;"&amp;H48)&gt;0.08,1,0)))</f>
        <v>0</v>
      </c>
      <c r="K48" s="9">
        <f>_xlfn.MINIFS('Draft Board'!$H$2:$H$61,'Draft Board'!$H$2:$H$61,"&gt;="&amp;H48,'Draft Board'!$J$2:$J$61,1)</f>
        <v>0</v>
      </c>
      <c r="L48" s="9">
        <f>IF(I48&lt;&gt;_xlfn.MINIFS('Draft Board'!$I$2:$I$61,'Draft Board'!$H$2:$H$61,"="&amp;H48),0,IF(OR(J48=1,IFERROR(FLOOR((K48-H48)/K48/0.25,1),0)&lt;&gt;IFERROR(FLOOR((K48-_xlfn.MINIFS('Draft Board'!$H$2:$H$61,'Draft Board'!$H$2:$H$61,"&gt;"&amp;H48))/K48/0.25,1),0)),1,0))</f>
        <v>0</v>
      </c>
      <c r="M48" s="9">
        <f>ROUND(1+H48*'Live Calc'!$D$26,0)</f>
        <v>1</v>
      </c>
      <c r="N48" s="9"/>
      <c r="O48" s="9">
        <f>IF(N48&lt;&gt;"",N48,ROUND(M48*INDEX('Live Calc'!$G$33:$G$92,MATCH(G48,'Live Calc'!$A$33:$A$92,0))*'Live Calc'!$J$543,0))</f>
        <v>1</v>
      </c>
      <c r="Q48" s="10" t="s">
        <v>272</v>
      </c>
      <c r="R48" s="10" t="s">
        <v>75</v>
      </c>
      <c r="S48" s="10">
        <v>90.018000000000001</v>
      </c>
      <c r="T48" s="10">
        <v>99.536000000000001</v>
      </c>
      <c r="U48" s="10">
        <v>109.05</v>
      </c>
      <c r="V48" s="10">
        <f>CHOOSE(MATCH(Setup!$B$7,{"STD","Half-PPR","PPR"},0),S48,T48,U48)</f>
        <v>99.536000000000001</v>
      </c>
      <c r="W48" s="10">
        <f>COUNTIFS('Draft Board'!$X$2:$X$161,"&gt;="&amp;X48,'Draft Board'!$AB$2:$AB$161,1)</f>
        <v>14</v>
      </c>
      <c r="X48" s="10">
        <f>MAX(0,V48-'Live Calc'!$H$20)^'Live Calc'!$E$20</f>
        <v>0</v>
      </c>
      <c r="Y48" s="10">
        <v>48</v>
      </c>
      <c r="Z48" s="10">
        <f>IF(Y48&lt;&gt;_xlfn.MINIFS('Draft Board'!$Y$2:$Y$161,'Draft Board'!$X$2:$X$161,"="&amp;X48),0,IF(_xlfn.MINIFS('Draft Board'!$X$2:$X$161,'Draft Board'!$X$2:$X$161,"&gt;"&amp;X48)=0,1,IF((_xlfn.MINIFS('Draft Board'!$X$2:$X$161,'Draft Board'!$X$2:$X$161,"&gt;"&amp;X48)-X48)/_xlfn.MINIFS('Draft Board'!$X$2:$X$161,'Draft Board'!$X$2:$X$161,"&gt;"&amp;X48)&gt;0.08,1,0)))</f>
        <v>0</v>
      </c>
      <c r="AA48" s="10">
        <f>_xlfn.MINIFS('Draft Board'!$X$2:$X$161,'Draft Board'!$X$2:$X$161,"&gt;="&amp;X48,'Draft Board'!$Z$2:$Z$161,1)</f>
        <v>0</v>
      </c>
      <c r="AB48" s="10">
        <f>IF(Y48&lt;&gt;_xlfn.MINIFS('Draft Board'!$Y$2:$Y$161,'Draft Board'!$X$2:$X$161,"="&amp;X48),0,IF(OR(Z48=1,IFERROR(FLOOR((AA48-X48)/AA48/0.25,1),0)&lt;&gt;IFERROR(FLOOR((AA48-_xlfn.MINIFS('Draft Board'!$X$2:$X$161,'Draft Board'!$X$2:$X$161,"&gt;"&amp;X48))/AA48/0.25,1),0)),1,0))</f>
        <v>0</v>
      </c>
      <c r="AC48" s="10">
        <f>ROUND(1+X48*'Live Calc'!$D$27,0)</f>
        <v>1</v>
      </c>
      <c r="AD48" s="10"/>
      <c r="AE48" s="10">
        <f>IF(AD48&lt;&gt;"",AD48,ROUND(AC48*INDEX('Live Calc'!$G$96:$G$255,MATCH(W48,'Live Calc'!$A$96:$A$255,0))*'Live Calc'!$J$543,0))</f>
        <v>1</v>
      </c>
      <c r="AG48" s="11" t="s">
        <v>273</v>
      </c>
      <c r="AH48" s="11" t="s">
        <v>73</v>
      </c>
      <c r="AI48" s="11">
        <v>103.38800000000001</v>
      </c>
      <c r="AJ48" s="11">
        <v>132.47200000000001</v>
      </c>
      <c r="AK48" s="11">
        <v>159.58799999999999</v>
      </c>
      <c r="AL48" s="11">
        <f>CHOOSE(MATCH(Setup!$B$7,{"STD","Half-PPR","PPR"},0),AI48,AJ48,AK48)</f>
        <v>132.47200000000001</v>
      </c>
      <c r="AM48" s="11">
        <f>COUNTIFS('Draft Board'!$AN$2:$AN$193,"&gt;="&amp;AN48,'Draft Board'!$AR$2:$AR$193,1)</f>
        <v>10</v>
      </c>
      <c r="AN48" s="11">
        <f>MAX(0,AL48-'Live Calc'!$H$21)^'Live Calc'!$E$21</f>
        <v>73.832869068671883</v>
      </c>
      <c r="AO48" s="11">
        <v>48</v>
      </c>
      <c r="AP48" s="11">
        <f>IF(AO48&lt;&gt;_xlfn.MINIFS('Draft Board'!$AO$2:$AO$193,'Draft Board'!$AN$2:$AN$193,"="&amp;AN48),0,IF(_xlfn.MINIFS('Draft Board'!$AN$2:$AN$193,'Draft Board'!$AN$2:$AN$193,"&gt;"&amp;AN48)=0,1,IF((_xlfn.MINIFS('Draft Board'!$AN$2:$AN$193,'Draft Board'!$AN$2:$AN$193,"&gt;"&amp;AN48)-AN48)/_xlfn.MINIFS('Draft Board'!$AN$2:$AN$193,'Draft Board'!$AN$2:$AN$193,"&gt;"&amp;AN48)&gt;0.08,1,0)))</f>
        <v>0</v>
      </c>
      <c r="AQ48" s="11">
        <f>_xlfn.MINIFS('Draft Board'!$AN$2:$AN$193,'Draft Board'!$AN$2:$AN$193,"&gt;="&amp;AN48,'Draft Board'!$AP$2:$AP$193,1)</f>
        <v>77.151230349750577</v>
      </c>
      <c r="AR48" s="11">
        <f>IF(AO48&lt;&gt;_xlfn.MINIFS('Draft Board'!$AO$2:$AO$193,'Draft Board'!$AN$2:$AN$193,"="&amp;AN48),0,IF(OR(AP48=1,IFERROR(FLOOR((AQ48-AN48)/AQ48/0.25,1),0)&lt;&gt;IFERROR(FLOOR((AQ48-_xlfn.MINIFS('Draft Board'!$AN$2:$AN$193,'Draft Board'!$AN$2:$AN$193,"&gt;"&amp;AN48))/AQ48/0.25,1),0)),1,0))</f>
        <v>0</v>
      </c>
      <c r="AS48" s="11">
        <f>ROUND(1+AN48*'Live Calc'!$D$28,0)</f>
        <v>7</v>
      </c>
      <c r="AT48" s="11"/>
      <c r="AU48" s="11">
        <f>IF(AT48&lt;&gt;"",AT48,ROUND(AS48*INDEX('Live Calc'!$G$259:$G$450,MATCH(AM48,'Live Calc'!$A$259:$A$450,0))*'Live Calc'!$J$543,0))</f>
        <v>7</v>
      </c>
      <c r="AW48" s="12" t="s">
        <v>274</v>
      </c>
      <c r="AX48" s="12" t="s">
        <v>111</v>
      </c>
      <c r="AY48" s="12">
        <v>33.658000000000001</v>
      </c>
      <c r="AZ48" s="12">
        <v>44.436</v>
      </c>
      <c r="BA48" s="12">
        <v>56.036000000000001</v>
      </c>
      <c r="BB48" s="12">
        <f>CHOOSE(MATCH(Setup!$B$7,{"STD","Half-PPR","PPR"},0),AY48,AZ48,BA48)</f>
        <v>44.436</v>
      </c>
      <c r="BC48" s="12">
        <f>COUNTIFS('Draft Board'!$BD$2:$BD$87,"&gt;="&amp;BD48,'Draft Board'!$BH$2:$BH$87,1)</f>
        <v>15</v>
      </c>
      <c r="BD48" s="12">
        <f>MAX(0,BB48-'Live Calc'!$H$22)^'Live Calc'!$E$22</f>
        <v>0</v>
      </c>
      <c r="BE48" s="12">
        <v>48</v>
      </c>
      <c r="BF48" s="12">
        <f>IF(BE48&lt;&gt;_xlfn.MINIFS('Draft Board'!$BE$2:$BE$87,'Draft Board'!$BD$2:$BD$87,"="&amp;BD48),0,IF(_xlfn.MINIFS('Draft Board'!$BD$2:$BD$87,'Draft Board'!$BD$2:$BD$87,"&gt;"&amp;BD48)=0,1,IF((_xlfn.MINIFS('Draft Board'!$BD$2:$BD$87,'Draft Board'!$BD$2:$BD$87,"&gt;"&amp;BD48)-BD48)/_xlfn.MINIFS('Draft Board'!$BD$2:$BD$87,'Draft Board'!$BD$2:$BD$87,"&gt;"&amp;BD48)&gt;0.08,1,0)))</f>
        <v>0</v>
      </c>
      <c r="BG48" s="12">
        <f>_xlfn.MINIFS('Draft Board'!$BD$2:$BD$87,'Draft Board'!$BD$2:$BD$87,"&gt;="&amp;BD48,'Draft Board'!$BF$2:$BF$87,1)</f>
        <v>0</v>
      </c>
      <c r="BH48" s="12">
        <f>IF(BE48&lt;&gt;_xlfn.MINIFS('Draft Board'!$BE$2:$BE$87,'Draft Board'!$BD$2:$BD$87,"="&amp;BD48),0,IF(OR(BF48=1,IFERROR(FLOOR((BG48-BD48)/BG48/0.25,1),0)&lt;&gt;IFERROR(FLOOR((BG48-_xlfn.MINIFS('Draft Board'!$BD$2:$BD$87,'Draft Board'!$BD$2:$BD$87,"&gt;"&amp;BD48))/BG48/0.25,1),0)),1,0))</f>
        <v>0</v>
      </c>
      <c r="BI48" s="12">
        <f>ROUND(1+BD48*'Live Calc'!$D$29,0)</f>
        <v>1</v>
      </c>
      <c r="BJ48" s="12"/>
      <c r="BK48" s="12">
        <f>IF(BJ48&lt;&gt;"",BJ48,ROUND(BI48*INDEX('Live Calc'!$G$454:$G$539,MATCH(BC48,'Live Calc'!$A$454:$A$539,0))*'Live Calc'!$J$543,0))</f>
        <v>1</v>
      </c>
    </row>
    <row r="49" spans="1:63" x14ac:dyDescent="0.25">
      <c r="A49" s="9" t="s">
        <v>275</v>
      </c>
      <c r="B49" s="9" t="s">
        <v>81</v>
      </c>
      <c r="C49" s="9">
        <v>19.91</v>
      </c>
      <c r="D49" s="9">
        <v>19.91</v>
      </c>
      <c r="E49" s="9">
        <v>19.91</v>
      </c>
      <c r="F49" s="9">
        <f>CHOOSE(MATCH(Setup!$B$7,{"STD","Half-PPR","PPR"},0),C49,D49,E49)</f>
        <v>19.91</v>
      </c>
      <c r="G49" s="9">
        <f>COUNTIFS('Draft Board'!$H$2:$H$61,"&gt;="&amp;H49,'Draft Board'!$L$2:$L$61,1)</f>
        <v>11</v>
      </c>
      <c r="H49" s="9">
        <f>MAX(0,F49-'Live Calc'!$H$19)^'Live Calc'!$E$19</f>
        <v>0</v>
      </c>
      <c r="I49" s="9">
        <v>49</v>
      </c>
      <c r="J49" s="9">
        <f>IF(I49&lt;&gt;_xlfn.MINIFS('Draft Board'!$I$2:$I$61,'Draft Board'!$H$2:$H$61,"="&amp;H49),0,IF(_xlfn.MINIFS('Draft Board'!$H$2:$H$61,'Draft Board'!$H$2:$H$61,"&gt;"&amp;H49)=0,1,IF((_xlfn.MINIFS('Draft Board'!$H$2:$H$61,'Draft Board'!$H$2:$H$61,"&gt;"&amp;H49)-H49)/_xlfn.MINIFS('Draft Board'!$H$2:$H$61,'Draft Board'!$H$2:$H$61,"&gt;"&amp;H49)&gt;0.08,1,0)))</f>
        <v>0</v>
      </c>
      <c r="K49" s="9">
        <f>_xlfn.MINIFS('Draft Board'!$H$2:$H$61,'Draft Board'!$H$2:$H$61,"&gt;="&amp;H49,'Draft Board'!$J$2:$J$61,1)</f>
        <v>0</v>
      </c>
      <c r="L49" s="9">
        <f>IF(I49&lt;&gt;_xlfn.MINIFS('Draft Board'!$I$2:$I$61,'Draft Board'!$H$2:$H$61,"="&amp;H49),0,IF(OR(J49=1,IFERROR(FLOOR((K49-H49)/K49/0.25,1),0)&lt;&gt;IFERROR(FLOOR((K49-_xlfn.MINIFS('Draft Board'!$H$2:$H$61,'Draft Board'!$H$2:$H$61,"&gt;"&amp;H49))/K49/0.25,1),0)),1,0))</f>
        <v>0</v>
      </c>
      <c r="M49" s="9">
        <f>ROUND(1+H49*'Live Calc'!$D$26,0)</f>
        <v>1</v>
      </c>
      <c r="N49" s="9"/>
      <c r="O49" s="9">
        <f>IF(N49&lt;&gt;"",N49,ROUND(M49*INDEX('Live Calc'!$G$33:$G$92,MATCH(G49,'Live Calc'!$A$33:$A$92,0))*'Live Calc'!$J$543,0))</f>
        <v>1</v>
      </c>
      <c r="Q49" s="10" t="s">
        <v>276</v>
      </c>
      <c r="R49" s="10" t="s">
        <v>61</v>
      </c>
      <c r="S49" s="10">
        <v>82.89</v>
      </c>
      <c r="T49" s="10">
        <v>90.906000000000006</v>
      </c>
      <c r="U49" s="10">
        <v>94.563999999999993</v>
      </c>
      <c r="V49" s="10">
        <f>CHOOSE(MATCH(Setup!$B$7,{"STD","Half-PPR","PPR"},0),S49,T49,U49)</f>
        <v>90.906000000000006</v>
      </c>
      <c r="W49" s="10">
        <f>COUNTIFS('Draft Board'!$X$2:$X$161,"&gt;="&amp;X49,'Draft Board'!$AB$2:$AB$161,1)</f>
        <v>14</v>
      </c>
      <c r="X49" s="10">
        <f>MAX(0,V49-'Live Calc'!$H$20)^'Live Calc'!$E$20</f>
        <v>0</v>
      </c>
      <c r="Y49" s="10">
        <v>49</v>
      </c>
      <c r="Z49" s="10">
        <f>IF(Y49&lt;&gt;_xlfn.MINIFS('Draft Board'!$Y$2:$Y$161,'Draft Board'!$X$2:$X$161,"="&amp;X49),0,IF(_xlfn.MINIFS('Draft Board'!$X$2:$X$161,'Draft Board'!$X$2:$X$161,"&gt;"&amp;X49)=0,1,IF((_xlfn.MINIFS('Draft Board'!$X$2:$X$161,'Draft Board'!$X$2:$X$161,"&gt;"&amp;X49)-X49)/_xlfn.MINIFS('Draft Board'!$X$2:$X$161,'Draft Board'!$X$2:$X$161,"&gt;"&amp;X49)&gt;0.08,1,0)))</f>
        <v>0</v>
      </c>
      <c r="AA49" s="10">
        <f>_xlfn.MINIFS('Draft Board'!$X$2:$X$161,'Draft Board'!$X$2:$X$161,"&gt;="&amp;X49,'Draft Board'!$Z$2:$Z$161,1)</f>
        <v>0</v>
      </c>
      <c r="AB49" s="10">
        <f>IF(Y49&lt;&gt;_xlfn.MINIFS('Draft Board'!$Y$2:$Y$161,'Draft Board'!$X$2:$X$161,"="&amp;X49),0,IF(OR(Z49=1,IFERROR(FLOOR((AA49-X49)/AA49/0.25,1),0)&lt;&gt;IFERROR(FLOOR((AA49-_xlfn.MINIFS('Draft Board'!$X$2:$X$161,'Draft Board'!$X$2:$X$161,"&gt;"&amp;X49))/AA49/0.25,1),0)),1,0))</f>
        <v>0</v>
      </c>
      <c r="AC49" s="10">
        <f>ROUND(1+X49*'Live Calc'!$D$27,0)</f>
        <v>1</v>
      </c>
      <c r="AD49" s="10"/>
      <c r="AE49" s="10">
        <f>IF(AD49&lt;&gt;"",AD49,ROUND(AC49*INDEX('Live Calc'!$G$96:$G$255,MATCH(W49,'Live Calc'!$A$96:$A$255,0))*'Live Calc'!$J$543,0))</f>
        <v>1</v>
      </c>
      <c r="AG49" s="11" t="s">
        <v>277</v>
      </c>
      <c r="AH49" s="11" t="s">
        <v>181</v>
      </c>
      <c r="AI49" s="11">
        <v>95.763999999999996</v>
      </c>
      <c r="AJ49" s="11">
        <v>132.03200000000001</v>
      </c>
      <c r="AK49" s="11">
        <v>166.82</v>
      </c>
      <c r="AL49" s="11">
        <f>CHOOSE(MATCH(Setup!$B$7,{"STD","Half-PPR","PPR"},0),AI49,AJ49,AK49)</f>
        <v>132.03200000000001</v>
      </c>
      <c r="AM49" s="11">
        <f>COUNTIFS('Draft Board'!$AN$2:$AN$193,"&gt;="&amp;AN49,'Draft Board'!$AR$2:$AR$193,1)</f>
        <v>10</v>
      </c>
      <c r="AN49" s="11">
        <f>MAX(0,AL49-'Live Calc'!$H$21)^'Live Calc'!$E$21</f>
        <v>72.534959451926568</v>
      </c>
      <c r="AO49" s="11">
        <v>49</v>
      </c>
      <c r="AP49" s="11">
        <f>IF(AO49&lt;&gt;_xlfn.MINIFS('Draft Board'!$AO$2:$AO$193,'Draft Board'!$AN$2:$AN$193,"="&amp;AN49),0,IF(_xlfn.MINIFS('Draft Board'!$AN$2:$AN$193,'Draft Board'!$AN$2:$AN$193,"&gt;"&amp;AN49)=0,1,IF((_xlfn.MINIFS('Draft Board'!$AN$2:$AN$193,'Draft Board'!$AN$2:$AN$193,"&gt;"&amp;AN49)-AN49)/_xlfn.MINIFS('Draft Board'!$AN$2:$AN$193,'Draft Board'!$AN$2:$AN$193,"&gt;"&amp;AN49)&gt;0.08,1,0)))</f>
        <v>0</v>
      </c>
      <c r="AQ49" s="11">
        <f>_xlfn.MINIFS('Draft Board'!$AN$2:$AN$193,'Draft Board'!$AN$2:$AN$193,"&gt;="&amp;AN49,'Draft Board'!$AP$2:$AP$193,1)</f>
        <v>77.151230349750577</v>
      </c>
      <c r="AR49" s="11">
        <f>IF(AO49&lt;&gt;_xlfn.MINIFS('Draft Board'!$AO$2:$AO$193,'Draft Board'!$AN$2:$AN$193,"="&amp;AN49),0,IF(OR(AP49=1,IFERROR(FLOOR((AQ49-AN49)/AQ49/0.25,1),0)&lt;&gt;IFERROR(FLOOR((AQ49-_xlfn.MINIFS('Draft Board'!$AN$2:$AN$193,'Draft Board'!$AN$2:$AN$193,"&gt;"&amp;AN49))/AQ49/0.25,1),0)),1,0))</f>
        <v>0</v>
      </c>
      <c r="AS49" s="11">
        <f>ROUND(1+AN49*'Live Calc'!$D$28,0)</f>
        <v>7</v>
      </c>
      <c r="AT49" s="11"/>
      <c r="AU49" s="11">
        <f>IF(AT49&lt;&gt;"",AT49,ROUND(AS49*INDEX('Live Calc'!$G$259:$G$450,MATCH(AM49,'Live Calc'!$A$259:$A$450,0))*'Live Calc'!$J$543,0))</f>
        <v>7</v>
      </c>
      <c r="AW49" s="12" t="s">
        <v>278</v>
      </c>
      <c r="AX49" s="12" t="s">
        <v>126</v>
      </c>
      <c r="AY49" s="12">
        <v>35.421999999999997</v>
      </c>
      <c r="AZ49" s="12">
        <v>44.31</v>
      </c>
      <c r="BA49" s="12">
        <v>50.206000000000003</v>
      </c>
      <c r="BB49" s="12">
        <f>CHOOSE(MATCH(Setup!$B$7,{"STD","Half-PPR","PPR"},0),AY49,AZ49,BA49)</f>
        <v>44.31</v>
      </c>
      <c r="BC49" s="12">
        <f>COUNTIFS('Draft Board'!$BD$2:$BD$87,"&gt;="&amp;BD49,'Draft Board'!$BH$2:$BH$87,1)</f>
        <v>15</v>
      </c>
      <c r="BD49" s="12">
        <f>MAX(0,BB49-'Live Calc'!$H$22)^'Live Calc'!$E$22</f>
        <v>0</v>
      </c>
      <c r="BE49" s="12">
        <v>49</v>
      </c>
      <c r="BF49" s="12">
        <f>IF(BE49&lt;&gt;_xlfn.MINIFS('Draft Board'!$BE$2:$BE$87,'Draft Board'!$BD$2:$BD$87,"="&amp;BD49),0,IF(_xlfn.MINIFS('Draft Board'!$BD$2:$BD$87,'Draft Board'!$BD$2:$BD$87,"&gt;"&amp;BD49)=0,1,IF((_xlfn.MINIFS('Draft Board'!$BD$2:$BD$87,'Draft Board'!$BD$2:$BD$87,"&gt;"&amp;BD49)-BD49)/_xlfn.MINIFS('Draft Board'!$BD$2:$BD$87,'Draft Board'!$BD$2:$BD$87,"&gt;"&amp;BD49)&gt;0.08,1,0)))</f>
        <v>0</v>
      </c>
      <c r="BG49" s="12">
        <f>_xlfn.MINIFS('Draft Board'!$BD$2:$BD$87,'Draft Board'!$BD$2:$BD$87,"&gt;="&amp;BD49,'Draft Board'!$BF$2:$BF$87,1)</f>
        <v>0</v>
      </c>
      <c r="BH49" s="12">
        <f>IF(BE49&lt;&gt;_xlfn.MINIFS('Draft Board'!$BE$2:$BE$87,'Draft Board'!$BD$2:$BD$87,"="&amp;BD49),0,IF(OR(BF49=1,IFERROR(FLOOR((BG49-BD49)/BG49/0.25,1),0)&lt;&gt;IFERROR(FLOOR((BG49-_xlfn.MINIFS('Draft Board'!$BD$2:$BD$87,'Draft Board'!$BD$2:$BD$87,"&gt;"&amp;BD49))/BG49/0.25,1),0)),1,0))</f>
        <v>0</v>
      </c>
      <c r="BI49" s="12">
        <f>ROUND(1+BD49*'Live Calc'!$D$29,0)</f>
        <v>1</v>
      </c>
      <c r="BJ49" s="12"/>
      <c r="BK49" s="12">
        <f>IF(BJ49&lt;&gt;"",BJ49,ROUND(BI49*INDEX('Live Calc'!$G$454:$G$539,MATCH(BC49,'Live Calc'!$A$454:$A$539,0))*'Live Calc'!$J$543,0))</f>
        <v>1</v>
      </c>
    </row>
    <row r="50" spans="1:63" x14ac:dyDescent="0.25">
      <c r="A50" s="9" t="s">
        <v>279</v>
      </c>
      <c r="B50" s="9" t="s">
        <v>67</v>
      </c>
      <c r="C50" s="9">
        <v>19.43</v>
      </c>
      <c r="D50" s="9">
        <v>19.43</v>
      </c>
      <c r="E50" s="9">
        <v>19.43</v>
      </c>
      <c r="F50" s="9">
        <f>CHOOSE(MATCH(Setup!$B$7,{"STD","Half-PPR","PPR"},0),C50,D50,E50)</f>
        <v>19.43</v>
      </c>
      <c r="G50" s="9">
        <f>COUNTIFS('Draft Board'!$H$2:$H$61,"&gt;="&amp;H50,'Draft Board'!$L$2:$L$61,1)</f>
        <v>11</v>
      </c>
      <c r="H50" s="9">
        <f>MAX(0,F50-'Live Calc'!$H$19)^'Live Calc'!$E$19</f>
        <v>0</v>
      </c>
      <c r="I50" s="9">
        <v>50</v>
      </c>
      <c r="J50" s="9">
        <f>IF(I50&lt;&gt;_xlfn.MINIFS('Draft Board'!$I$2:$I$61,'Draft Board'!$H$2:$H$61,"="&amp;H50),0,IF(_xlfn.MINIFS('Draft Board'!$H$2:$H$61,'Draft Board'!$H$2:$H$61,"&gt;"&amp;H50)=0,1,IF((_xlfn.MINIFS('Draft Board'!$H$2:$H$61,'Draft Board'!$H$2:$H$61,"&gt;"&amp;H50)-H50)/_xlfn.MINIFS('Draft Board'!$H$2:$H$61,'Draft Board'!$H$2:$H$61,"&gt;"&amp;H50)&gt;0.08,1,0)))</f>
        <v>0</v>
      </c>
      <c r="K50" s="9">
        <f>_xlfn.MINIFS('Draft Board'!$H$2:$H$61,'Draft Board'!$H$2:$H$61,"&gt;="&amp;H50,'Draft Board'!$J$2:$J$61,1)</f>
        <v>0</v>
      </c>
      <c r="L50" s="9">
        <f>IF(I50&lt;&gt;_xlfn.MINIFS('Draft Board'!$I$2:$I$61,'Draft Board'!$H$2:$H$61,"="&amp;H50),0,IF(OR(J50=1,IFERROR(FLOOR((K50-H50)/K50/0.25,1),0)&lt;&gt;IFERROR(FLOOR((K50-_xlfn.MINIFS('Draft Board'!$H$2:$H$61,'Draft Board'!$H$2:$H$61,"&gt;"&amp;H50))/K50/0.25,1),0)),1,0))</f>
        <v>0</v>
      </c>
      <c r="M50" s="9">
        <f>ROUND(1+H50*'Live Calc'!$D$26,0)</f>
        <v>1</v>
      </c>
      <c r="N50" s="9"/>
      <c r="O50" s="9">
        <f>IF(N50&lt;&gt;"",N50,ROUND(M50*INDEX('Live Calc'!$G$33:$G$92,MATCH(G50,'Live Calc'!$A$33:$A$92,0))*'Live Calc'!$J$543,0))</f>
        <v>1</v>
      </c>
      <c r="Q50" s="10" t="s">
        <v>280</v>
      </c>
      <c r="R50" s="10" t="s">
        <v>90</v>
      </c>
      <c r="S50" s="10">
        <v>71.06</v>
      </c>
      <c r="T50" s="10">
        <v>86.957999999999998</v>
      </c>
      <c r="U50" s="10">
        <v>102.792</v>
      </c>
      <c r="V50" s="10">
        <f>CHOOSE(MATCH(Setup!$B$7,{"STD","Half-PPR","PPR"},0),S50,T50,U50)</f>
        <v>86.957999999999998</v>
      </c>
      <c r="W50" s="10">
        <f>COUNTIFS('Draft Board'!$X$2:$X$161,"&gt;="&amp;X50,'Draft Board'!$AB$2:$AB$161,1)</f>
        <v>14</v>
      </c>
      <c r="X50" s="10">
        <f>MAX(0,V50-'Live Calc'!$H$20)^'Live Calc'!$E$20</f>
        <v>0</v>
      </c>
      <c r="Y50" s="10">
        <v>50</v>
      </c>
      <c r="Z50" s="10">
        <f>IF(Y50&lt;&gt;_xlfn.MINIFS('Draft Board'!$Y$2:$Y$161,'Draft Board'!$X$2:$X$161,"="&amp;X50),0,IF(_xlfn.MINIFS('Draft Board'!$X$2:$X$161,'Draft Board'!$X$2:$X$161,"&gt;"&amp;X50)=0,1,IF((_xlfn.MINIFS('Draft Board'!$X$2:$X$161,'Draft Board'!$X$2:$X$161,"&gt;"&amp;X50)-X50)/_xlfn.MINIFS('Draft Board'!$X$2:$X$161,'Draft Board'!$X$2:$X$161,"&gt;"&amp;X50)&gt;0.08,1,0)))</f>
        <v>0</v>
      </c>
      <c r="AA50" s="10">
        <f>_xlfn.MINIFS('Draft Board'!$X$2:$X$161,'Draft Board'!$X$2:$X$161,"&gt;="&amp;X50,'Draft Board'!$Z$2:$Z$161,1)</f>
        <v>0</v>
      </c>
      <c r="AB50" s="10">
        <f>IF(Y50&lt;&gt;_xlfn.MINIFS('Draft Board'!$Y$2:$Y$161,'Draft Board'!$X$2:$X$161,"="&amp;X50),0,IF(OR(Z50=1,IFERROR(FLOOR((AA50-X50)/AA50/0.25,1),0)&lt;&gt;IFERROR(FLOOR((AA50-_xlfn.MINIFS('Draft Board'!$X$2:$X$161,'Draft Board'!$X$2:$X$161,"&gt;"&amp;X50))/AA50/0.25,1),0)),1,0))</f>
        <v>0</v>
      </c>
      <c r="AC50" s="10">
        <f>ROUND(1+X50*'Live Calc'!$D$27,0)</f>
        <v>1</v>
      </c>
      <c r="AD50" s="10"/>
      <c r="AE50" s="10">
        <f>IF(AD50&lt;&gt;"",AD50,ROUND(AC50*INDEX('Live Calc'!$G$96:$G$255,MATCH(W50,'Live Calc'!$A$96:$A$255,0))*'Live Calc'!$J$543,0))</f>
        <v>1</v>
      </c>
      <c r="AG50" s="11" t="s">
        <v>281</v>
      </c>
      <c r="AH50" s="11" t="s">
        <v>85</v>
      </c>
      <c r="AI50" s="11">
        <v>101.89</v>
      </c>
      <c r="AJ50" s="11">
        <v>131.518</v>
      </c>
      <c r="AK50" s="11">
        <v>158.858</v>
      </c>
      <c r="AL50" s="11">
        <f>CHOOSE(MATCH(Setup!$B$7,{"STD","Half-PPR","PPR"},0),AI50,AJ50,AK50)</f>
        <v>131.518</v>
      </c>
      <c r="AM50" s="11">
        <f>COUNTIFS('Draft Board'!$AN$2:$AN$193,"&gt;="&amp;AN50,'Draft Board'!$AR$2:$AR$193,1)</f>
        <v>10</v>
      </c>
      <c r="AN50" s="11">
        <f>MAX(0,AL50-'Live Calc'!$H$21)^'Live Calc'!$E$21</f>
        <v>71.024630138052331</v>
      </c>
      <c r="AO50" s="11">
        <v>50</v>
      </c>
      <c r="AP50" s="11">
        <f>IF(AO50&lt;&gt;_xlfn.MINIFS('Draft Board'!$AO$2:$AO$193,'Draft Board'!$AN$2:$AN$193,"="&amp;AN50),0,IF(_xlfn.MINIFS('Draft Board'!$AN$2:$AN$193,'Draft Board'!$AN$2:$AN$193,"&gt;"&amp;AN50)=0,1,IF((_xlfn.MINIFS('Draft Board'!$AN$2:$AN$193,'Draft Board'!$AN$2:$AN$193,"&gt;"&amp;AN50)-AN50)/_xlfn.MINIFS('Draft Board'!$AN$2:$AN$193,'Draft Board'!$AN$2:$AN$193,"&gt;"&amp;AN50)&gt;0.08,1,0)))</f>
        <v>0</v>
      </c>
      <c r="AQ50" s="11">
        <f>_xlfn.MINIFS('Draft Board'!$AN$2:$AN$193,'Draft Board'!$AN$2:$AN$193,"&gt;="&amp;AN50,'Draft Board'!$AP$2:$AP$193,1)</f>
        <v>77.151230349750577</v>
      </c>
      <c r="AR50" s="11">
        <f>IF(AO50&lt;&gt;_xlfn.MINIFS('Draft Board'!$AO$2:$AO$193,'Draft Board'!$AN$2:$AN$193,"="&amp;AN50),0,IF(OR(AP50=1,IFERROR(FLOOR((AQ50-AN50)/AQ50/0.25,1),0)&lt;&gt;IFERROR(FLOOR((AQ50-_xlfn.MINIFS('Draft Board'!$AN$2:$AN$193,'Draft Board'!$AN$2:$AN$193,"&gt;"&amp;AN50))/AQ50/0.25,1),0)),1,0))</f>
        <v>0</v>
      </c>
      <c r="AS50" s="11">
        <f>ROUND(1+AN50*'Live Calc'!$D$28,0)</f>
        <v>7</v>
      </c>
      <c r="AT50" s="11"/>
      <c r="AU50" s="11">
        <f>IF(AT50&lt;&gt;"",AT50,ROUND(AS50*INDEX('Live Calc'!$G$259:$G$450,MATCH(AM50,'Live Calc'!$A$259:$A$450,0))*'Live Calc'!$J$543,0))</f>
        <v>7</v>
      </c>
      <c r="AW50" s="12" t="s">
        <v>282</v>
      </c>
      <c r="AX50" s="12" t="s">
        <v>126</v>
      </c>
      <c r="AY50" s="12">
        <v>29.838000000000001</v>
      </c>
      <c r="AZ50" s="12">
        <v>42.781999999999996</v>
      </c>
      <c r="BA50" s="12">
        <v>55.01</v>
      </c>
      <c r="BB50" s="12">
        <f>CHOOSE(MATCH(Setup!$B$7,{"STD","Half-PPR","PPR"},0),AY50,AZ50,BA50)</f>
        <v>42.781999999999996</v>
      </c>
      <c r="BC50" s="12">
        <f>COUNTIFS('Draft Board'!$BD$2:$BD$87,"&gt;="&amp;BD50,'Draft Board'!$BH$2:$BH$87,1)</f>
        <v>15</v>
      </c>
      <c r="BD50" s="12">
        <f>MAX(0,BB50-'Live Calc'!$H$22)^'Live Calc'!$E$22</f>
        <v>0</v>
      </c>
      <c r="BE50" s="12">
        <v>50</v>
      </c>
      <c r="BF50" s="12">
        <f>IF(BE50&lt;&gt;_xlfn.MINIFS('Draft Board'!$BE$2:$BE$87,'Draft Board'!$BD$2:$BD$87,"="&amp;BD50),0,IF(_xlfn.MINIFS('Draft Board'!$BD$2:$BD$87,'Draft Board'!$BD$2:$BD$87,"&gt;"&amp;BD50)=0,1,IF((_xlfn.MINIFS('Draft Board'!$BD$2:$BD$87,'Draft Board'!$BD$2:$BD$87,"&gt;"&amp;BD50)-BD50)/_xlfn.MINIFS('Draft Board'!$BD$2:$BD$87,'Draft Board'!$BD$2:$BD$87,"&gt;"&amp;BD50)&gt;0.08,1,0)))</f>
        <v>0</v>
      </c>
      <c r="BG50" s="12">
        <f>_xlfn.MINIFS('Draft Board'!$BD$2:$BD$87,'Draft Board'!$BD$2:$BD$87,"&gt;="&amp;BD50,'Draft Board'!$BF$2:$BF$87,1)</f>
        <v>0</v>
      </c>
      <c r="BH50" s="12">
        <f>IF(BE50&lt;&gt;_xlfn.MINIFS('Draft Board'!$BE$2:$BE$87,'Draft Board'!$BD$2:$BD$87,"="&amp;BD50),0,IF(OR(BF50=1,IFERROR(FLOOR((BG50-BD50)/BG50/0.25,1),0)&lt;&gt;IFERROR(FLOOR((BG50-_xlfn.MINIFS('Draft Board'!$BD$2:$BD$87,'Draft Board'!$BD$2:$BD$87,"&gt;"&amp;BD50))/BG50/0.25,1),0)),1,0))</f>
        <v>0</v>
      </c>
      <c r="BI50" s="12">
        <f>ROUND(1+BD50*'Live Calc'!$D$29,0)</f>
        <v>1</v>
      </c>
      <c r="BJ50" s="12"/>
      <c r="BK50" s="12">
        <f>IF(BJ50&lt;&gt;"",BJ50,ROUND(BI50*INDEX('Live Calc'!$G$454:$G$539,MATCH(BC50,'Live Calc'!$A$454:$A$539,0))*'Live Calc'!$J$543,0))</f>
        <v>1</v>
      </c>
    </row>
    <row r="51" spans="1:63" x14ac:dyDescent="0.25">
      <c r="A51" s="9" t="s">
        <v>283</v>
      </c>
      <c r="B51" s="9" t="s">
        <v>96</v>
      </c>
      <c r="C51" s="9">
        <v>19.18</v>
      </c>
      <c r="D51" s="9">
        <v>19.18</v>
      </c>
      <c r="E51" s="9">
        <v>19.18</v>
      </c>
      <c r="F51" s="9">
        <f>CHOOSE(MATCH(Setup!$B$7,{"STD","Half-PPR","PPR"},0),C51,D51,E51)</f>
        <v>19.18</v>
      </c>
      <c r="G51" s="9">
        <f>COUNTIFS('Draft Board'!$H$2:$H$61,"&gt;="&amp;H51,'Draft Board'!$L$2:$L$61,1)</f>
        <v>11</v>
      </c>
      <c r="H51" s="9">
        <f>MAX(0,F51-'Live Calc'!$H$19)^'Live Calc'!$E$19</f>
        <v>0</v>
      </c>
      <c r="I51" s="9">
        <v>51</v>
      </c>
      <c r="J51" s="9">
        <f>IF(I51&lt;&gt;_xlfn.MINIFS('Draft Board'!$I$2:$I$61,'Draft Board'!$H$2:$H$61,"="&amp;H51),0,IF(_xlfn.MINIFS('Draft Board'!$H$2:$H$61,'Draft Board'!$H$2:$H$61,"&gt;"&amp;H51)=0,1,IF((_xlfn.MINIFS('Draft Board'!$H$2:$H$61,'Draft Board'!$H$2:$H$61,"&gt;"&amp;H51)-H51)/_xlfn.MINIFS('Draft Board'!$H$2:$H$61,'Draft Board'!$H$2:$H$61,"&gt;"&amp;H51)&gt;0.08,1,0)))</f>
        <v>0</v>
      </c>
      <c r="K51" s="9">
        <f>_xlfn.MINIFS('Draft Board'!$H$2:$H$61,'Draft Board'!$H$2:$H$61,"&gt;="&amp;H51,'Draft Board'!$J$2:$J$61,1)</f>
        <v>0</v>
      </c>
      <c r="L51" s="9">
        <f>IF(I51&lt;&gt;_xlfn.MINIFS('Draft Board'!$I$2:$I$61,'Draft Board'!$H$2:$H$61,"="&amp;H51),0,IF(OR(J51=1,IFERROR(FLOOR((K51-H51)/K51/0.25,1),0)&lt;&gt;IFERROR(FLOOR((K51-_xlfn.MINIFS('Draft Board'!$H$2:$H$61,'Draft Board'!$H$2:$H$61,"&gt;"&amp;H51))/K51/0.25,1),0)),1,0))</f>
        <v>0</v>
      </c>
      <c r="M51" s="9">
        <f>ROUND(1+H51*'Live Calc'!$D$26,0)</f>
        <v>1</v>
      </c>
      <c r="N51" s="9"/>
      <c r="O51" s="9">
        <f>IF(N51&lt;&gt;"",N51,ROUND(M51*INDEX('Live Calc'!$G$33:$G$92,MATCH(G51,'Live Calc'!$A$33:$A$92,0))*'Live Calc'!$J$543,0))</f>
        <v>1</v>
      </c>
      <c r="Q51" s="10" t="s">
        <v>284</v>
      </c>
      <c r="R51" s="10" t="s">
        <v>126</v>
      </c>
      <c r="S51" s="10">
        <v>69.841999999999999</v>
      </c>
      <c r="T51" s="10">
        <v>83.742000000000004</v>
      </c>
      <c r="U51" s="10">
        <v>96.66</v>
      </c>
      <c r="V51" s="10">
        <f>CHOOSE(MATCH(Setup!$B$7,{"STD","Half-PPR","PPR"},0),S51,T51,U51)</f>
        <v>83.742000000000004</v>
      </c>
      <c r="W51" s="10">
        <f>COUNTIFS('Draft Board'!$X$2:$X$161,"&gt;="&amp;X51,'Draft Board'!$AB$2:$AB$161,1)</f>
        <v>14</v>
      </c>
      <c r="X51" s="10">
        <f>MAX(0,V51-'Live Calc'!$H$20)^'Live Calc'!$E$20</f>
        <v>0</v>
      </c>
      <c r="Y51" s="10">
        <v>51</v>
      </c>
      <c r="Z51" s="10">
        <f>IF(Y51&lt;&gt;_xlfn.MINIFS('Draft Board'!$Y$2:$Y$161,'Draft Board'!$X$2:$X$161,"="&amp;X51),0,IF(_xlfn.MINIFS('Draft Board'!$X$2:$X$161,'Draft Board'!$X$2:$X$161,"&gt;"&amp;X51)=0,1,IF((_xlfn.MINIFS('Draft Board'!$X$2:$X$161,'Draft Board'!$X$2:$X$161,"&gt;"&amp;X51)-X51)/_xlfn.MINIFS('Draft Board'!$X$2:$X$161,'Draft Board'!$X$2:$X$161,"&gt;"&amp;X51)&gt;0.08,1,0)))</f>
        <v>0</v>
      </c>
      <c r="AA51" s="10">
        <f>_xlfn.MINIFS('Draft Board'!$X$2:$X$161,'Draft Board'!$X$2:$X$161,"&gt;="&amp;X51,'Draft Board'!$Z$2:$Z$161,1)</f>
        <v>0</v>
      </c>
      <c r="AB51" s="10">
        <f>IF(Y51&lt;&gt;_xlfn.MINIFS('Draft Board'!$Y$2:$Y$161,'Draft Board'!$X$2:$X$161,"="&amp;X51),0,IF(OR(Z51=1,IFERROR(FLOOR((AA51-X51)/AA51/0.25,1),0)&lt;&gt;IFERROR(FLOOR((AA51-_xlfn.MINIFS('Draft Board'!$X$2:$X$161,'Draft Board'!$X$2:$X$161,"&gt;"&amp;X51))/AA51/0.25,1),0)),1,0))</f>
        <v>0</v>
      </c>
      <c r="AC51" s="10">
        <f>ROUND(1+X51*'Live Calc'!$D$27,0)</f>
        <v>1</v>
      </c>
      <c r="AD51" s="10"/>
      <c r="AE51" s="10">
        <f>IF(AD51&lt;&gt;"",AD51,ROUND(AC51*INDEX('Live Calc'!$G$96:$G$255,MATCH(W51,'Live Calc'!$A$96:$A$255,0))*'Live Calc'!$J$543,0))</f>
        <v>1</v>
      </c>
      <c r="AG51" s="11" t="s">
        <v>285</v>
      </c>
      <c r="AH51" s="11" t="s">
        <v>71</v>
      </c>
      <c r="AI51" s="11">
        <v>100.92400000000001</v>
      </c>
      <c r="AJ51" s="11">
        <v>128.22999999999999</v>
      </c>
      <c r="AK51" s="11">
        <v>155.84399999999999</v>
      </c>
      <c r="AL51" s="11">
        <f>CHOOSE(MATCH(Setup!$B$7,{"STD","Half-PPR","PPR"},0),AI51,AJ51,AK51)</f>
        <v>128.22999999999999</v>
      </c>
      <c r="AM51" s="11">
        <f>COUNTIFS('Draft Board'!$AN$2:$AN$193,"&gt;="&amp;AN51,'Draft Board'!$AR$2:$AR$193,1)</f>
        <v>11</v>
      </c>
      <c r="AN51" s="11">
        <f>MAX(0,AL51-'Live Calc'!$H$21)^'Live Calc'!$E$21</f>
        <v>61.518198018848409</v>
      </c>
      <c r="AO51" s="11">
        <v>51</v>
      </c>
      <c r="AP51" s="11">
        <f>IF(AO51&lt;&gt;_xlfn.MINIFS('Draft Board'!$AO$2:$AO$193,'Draft Board'!$AN$2:$AN$193,"="&amp;AN51),0,IF(_xlfn.MINIFS('Draft Board'!$AN$2:$AN$193,'Draft Board'!$AN$2:$AN$193,"&gt;"&amp;AN51)=0,1,IF((_xlfn.MINIFS('Draft Board'!$AN$2:$AN$193,'Draft Board'!$AN$2:$AN$193,"&gt;"&amp;AN51)-AN51)/_xlfn.MINIFS('Draft Board'!$AN$2:$AN$193,'Draft Board'!$AN$2:$AN$193,"&gt;"&amp;AN51)&gt;0.08,1,0)))</f>
        <v>1</v>
      </c>
      <c r="AQ51" s="11">
        <f>_xlfn.MINIFS('Draft Board'!$AN$2:$AN$193,'Draft Board'!$AN$2:$AN$193,"&gt;="&amp;AN51,'Draft Board'!$AP$2:$AP$193,1)</f>
        <v>61.518198018848409</v>
      </c>
      <c r="AR51" s="11">
        <f>IF(AO51&lt;&gt;_xlfn.MINIFS('Draft Board'!$AO$2:$AO$193,'Draft Board'!$AN$2:$AN$193,"="&amp;AN51),0,IF(OR(AP51=1,IFERROR(FLOOR((AQ51-AN51)/AQ51/0.25,1),0)&lt;&gt;IFERROR(FLOOR((AQ51-_xlfn.MINIFS('Draft Board'!$AN$2:$AN$193,'Draft Board'!$AN$2:$AN$193,"&gt;"&amp;AN51))/AQ51/0.25,1),0)),1,0))</f>
        <v>1</v>
      </c>
      <c r="AS51" s="11">
        <f>ROUND(1+AN51*'Live Calc'!$D$28,0)</f>
        <v>6</v>
      </c>
      <c r="AT51" s="11"/>
      <c r="AU51" s="11">
        <f>IF(AT51&lt;&gt;"",AT51,ROUND(AS51*INDEX('Live Calc'!$G$259:$G$450,MATCH(AM51,'Live Calc'!$A$259:$A$450,0))*'Live Calc'!$J$543,0))</f>
        <v>6</v>
      </c>
      <c r="AW51" s="12" t="s">
        <v>286</v>
      </c>
      <c r="AX51" s="12" t="s">
        <v>100</v>
      </c>
      <c r="AY51" s="12">
        <v>33.4</v>
      </c>
      <c r="AZ51" s="12">
        <v>42.42</v>
      </c>
      <c r="BA51" s="12">
        <v>51.44</v>
      </c>
      <c r="BB51" s="12">
        <f>CHOOSE(MATCH(Setup!$B$7,{"STD","Half-PPR","PPR"},0),AY51,AZ51,BA51)</f>
        <v>42.42</v>
      </c>
      <c r="BC51" s="12">
        <f>COUNTIFS('Draft Board'!$BD$2:$BD$87,"&gt;="&amp;BD51,'Draft Board'!$BH$2:$BH$87,1)</f>
        <v>15</v>
      </c>
      <c r="BD51" s="12">
        <f>MAX(0,BB51-'Live Calc'!$H$22)^'Live Calc'!$E$22</f>
        <v>0</v>
      </c>
      <c r="BE51" s="12">
        <v>51</v>
      </c>
      <c r="BF51" s="12">
        <f>IF(BE51&lt;&gt;_xlfn.MINIFS('Draft Board'!$BE$2:$BE$87,'Draft Board'!$BD$2:$BD$87,"="&amp;BD51),0,IF(_xlfn.MINIFS('Draft Board'!$BD$2:$BD$87,'Draft Board'!$BD$2:$BD$87,"&gt;"&amp;BD51)=0,1,IF((_xlfn.MINIFS('Draft Board'!$BD$2:$BD$87,'Draft Board'!$BD$2:$BD$87,"&gt;"&amp;BD51)-BD51)/_xlfn.MINIFS('Draft Board'!$BD$2:$BD$87,'Draft Board'!$BD$2:$BD$87,"&gt;"&amp;BD51)&gt;0.08,1,0)))</f>
        <v>0</v>
      </c>
      <c r="BG51" s="12">
        <f>_xlfn.MINIFS('Draft Board'!$BD$2:$BD$87,'Draft Board'!$BD$2:$BD$87,"&gt;="&amp;BD51,'Draft Board'!$BF$2:$BF$87,1)</f>
        <v>0</v>
      </c>
      <c r="BH51" s="12">
        <f>IF(BE51&lt;&gt;_xlfn.MINIFS('Draft Board'!$BE$2:$BE$87,'Draft Board'!$BD$2:$BD$87,"="&amp;BD51),0,IF(OR(BF51=1,IFERROR(FLOOR((BG51-BD51)/BG51/0.25,1),0)&lt;&gt;IFERROR(FLOOR((BG51-_xlfn.MINIFS('Draft Board'!$BD$2:$BD$87,'Draft Board'!$BD$2:$BD$87,"&gt;"&amp;BD51))/BG51/0.25,1),0)),1,0))</f>
        <v>0</v>
      </c>
      <c r="BI51" s="12">
        <f>ROUND(1+BD51*'Live Calc'!$D$29,0)</f>
        <v>1</v>
      </c>
      <c r="BJ51" s="12"/>
      <c r="BK51" s="12">
        <f>IF(BJ51&lt;&gt;"",BJ51,ROUND(BI51*INDEX('Live Calc'!$G$454:$G$539,MATCH(BC51,'Live Calc'!$A$454:$A$539,0))*'Live Calc'!$J$543,0))</f>
        <v>1</v>
      </c>
    </row>
    <row r="52" spans="1:63" x14ac:dyDescent="0.25">
      <c r="A52" s="9" t="s">
        <v>287</v>
      </c>
      <c r="B52" s="9" t="s">
        <v>88</v>
      </c>
      <c r="C52" s="9">
        <v>19.13</v>
      </c>
      <c r="D52" s="9">
        <v>19.13</v>
      </c>
      <c r="E52" s="9">
        <v>19.13</v>
      </c>
      <c r="F52" s="9">
        <f>CHOOSE(MATCH(Setup!$B$7,{"STD","Half-PPR","PPR"},0),C52,D52,E52)</f>
        <v>19.13</v>
      </c>
      <c r="G52" s="9">
        <f>COUNTIFS('Draft Board'!$H$2:$H$61,"&gt;="&amp;H52,'Draft Board'!$L$2:$L$61,1)</f>
        <v>11</v>
      </c>
      <c r="H52" s="9">
        <f>MAX(0,F52-'Live Calc'!$H$19)^'Live Calc'!$E$19</f>
        <v>0</v>
      </c>
      <c r="I52" s="9">
        <v>52</v>
      </c>
      <c r="J52" s="9">
        <f>IF(I52&lt;&gt;_xlfn.MINIFS('Draft Board'!$I$2:$I$61,'Draft Board'!$H$2:$H$61,"="&amp;H52),0,IF(_xlfn.MINIFS('Draft Board'!$H$2:$H$61,'Draft Board'!$H$2:$H$61,"&gt;"&amp;H52)=0,1,IF((_xlfn.MINIFS('Draft Board'!$H$2:$H$61,'Draft Board'!$H$2:$H$61,"&gt;"&amp;H52)-H52)/_xlfn.MINIFS('Draft Board'!$H$2:$H$61,'Draft Board'!$H$2:$H$61,"&gt;"&amp;H52)&gt;0.08,1,0)))</f>
        <v>0</v>
      </c>
      <c r="K52" s="9">
        <f>_xlfn.MINIFS('Draft Board'!$H$2:$H$61,'Draft Board'!$H$2:$H$61,"&gt;="&amp;H52,'Draft Board'!$J$2:$J$61,1)</f>
        <v>0</v>
      </c>
      <c r="L52" s="9">
        <f>IF(I52&lt;&gt;_xlfn.MINIFS('Draft Board'!$I$2:$I$61,'Draft Board'!$H$2:$H$61,"="&amp;H52),0,IF(OR(J52=1,IFERROR(FLOOR((K52-H52)/K52/0.25,1),0)&lt;&gt;IFERROR(FLOOR((K52-_xlfn.MINIFS('Draft Board'!$H$2:$H$61,'Draft Board'!$H$2:$H$61,"&gt;"&amp;H52))/K52/0.25,1),0)),1,0))</f>
        <v>0</v>
      </c>
      <c r="M52" s="9">
        <f>ROUND(1+H52*'Live Calc'!$D$26,0)</f>
        <v>1</v>
      </c>
      <c r="N52" s="9"/>
      <c r="O52" s="9">
        <f>IF(N52&lt;&gt;"",N52,ROUND(M52*INDEX('Live Calc'!$G$33:$G$92,MATCH(G52,'Live Calc'!$A$33:$A$92,0))*'Live Calc'!$J$543,0))</f>
        <v>1</v>
      </c>
      <c r="Q52" s="10" t="s">
        <v>288</v>
      </c>
      <c r="R52" s="10" t="s">
        <v>65</v>
      </c>
      <c r="S52" s="10">
        <v>77.7</v>
      </c>
      <c r="T52" s="10">
        <v>81.58</v>
      </c>
      <c r="U52" s="10">
        <v>88.188000000000002</v>
      </c>
      <c r="V52" s="10">
        <f>CHOOSE(MATCH(Setup!$B$7,{"STD","Half-PPR","PPR"},0),S52,T52,U52)</f>
        <v>81.58</v>
      </c>
      <c r="W52" s="10">
        <f>COUNTIFS('Draft Board'!$X$2:$X$161,"&gt;="&amp;X52,'Draft Board'!$AB$2:$AB$161,1)</f>
        <v>14</v>
      </c>
      <c r="X52" s="10">
        <f>MAX(0,V52-'Live Calc'!$H$20)^'Live Calc'!$E$20</f>
        <v>0</v>
      </c>
      <c r="Y52" s="10">
        <v>52</v>
      </c>
      <c r="Z52" s="10">
        <f>IF(Y52&lt;&gt;_xlfn.MINIFS('Draft Board'!$Y$2:$Y$161,'Draft Board'!$X$2:$X$161,"="&amp;X52),0,IF(_xlfn.MINIFS('Draft Board'!$X$2:$X$161,'Draft Board'!$X$2:$X$161,"&gt;"&amp;X52)=0,1,IF((_xlfn.MINIFS('Draft Board'!$X$2:$X$161,'Draft Board'!$X$2:$X$161,"&gt;"&amp;X52)-X52)/_xlfn.MINIFS('Draft Board'!$X$2:$X$161,'Draft Board'!$X$2:$X$161,"&gt;"&amp;X52)&gt;0.08,1,0)))</f>
        <v>0</v>
      </c>
      <c r="AA52" s="10">
        <f>_xlfn.MINIFS('Draft Board'!$X$2:$X$161,'Draft Board'!$X$2:$X$161,"&gt;="&amp;X52,'Draft Board'!$Z$2:$Z$161,1)</f>
        <v>0</v>
      </c>
      <c r="AB52" s="10">
        <f>IF(Y52&lt;&gt;_xlfn.MINIFS('Draft Board'!$Y$2:$Y$161,'Draft Board'!$X$2:$X$161,"="&amp;X52),0,IF(OR(Z52=1,IFERROR(FLOOR((AA52-X52)/AA52/0.25,1),0)&lt;&gt;IFERROR(FLOOR((AA52-_xlfn.MINIFS('Draft Board'!$X$2:$X$161,'Draft Board'!$X$2:$X$161,"&gt;"&amp;X52))/AA52/0.25,1),0)),1,0))</f>
        <v>0</v>
      </c>
      <c r="AC52" s="10">
        <f>ROUND(1+X52*'Live Calc'!$D$27,0)</f>
        <v>1</v>
      </c>
      <c r="AD52" s="10"/>
      <c r="AE52" s="10">
        <f>IF(AD52&lt;&gt;"",AD52,ROUND(AC52*INDEX('Live Calc'!$G$96:$G$255,MATCH(W52,'Live Calc'!$A$96:$A$255,0))*'Live Calc'!$J$543,0))</f>
        <v>1</v>
      </c>
      <c r="AG52" s="11" t="s">
        <v>289</v>
      </c>
      <c r="AH52" s="11" t="s">
        <v>55</v>
      </c>
      <c r="AI52" s="11">
        <v>92.578000000000003</v>
      </c>
      <c r="AJ52" s="11">
        <v>125.068</v>
      </c>
      <c r="AK52" s="11">
        <v>155.31800000000001</v>
      </c>
      <c r="AL52" s="11">
        <f>CHOOSE(MATCH(Setup!$B$7,{"STD","Half-PPR","PPR"},0),AI52,AJ52,AK52)</f>
        <v>125.068</v>
      </c>
      <c r="AM52" s="11">
        <f>COUNTIFS('Draft Board'!$AN$2:$AN$193,"&gt;="&amp;AN52,'Draft Board'!$AR$2:$AR$193,1)</f>
        <v>12</v>
      </c>
      <c r="AN52" s="11">
        <f>MAX(0,AL52-'Live Calc'!$H$21)^'Live Calc'!$E$21</f>
        <v>52.645285989439458</v>
      </c>
      <c r="AO52" s="11">
        <v>52</v>
      </c>
      <c r="AP52" s="11">
        <f>IF(AO52&lt;&gt;_xlfn.MINIFS('Draft Board'!$AO$2:$AO$193,'Draft Board'!$AN$2:$AN$193,"="&amp;AN52),0,IF(_xlfn.MINIFS('Draft Board'!$AN$2:$AN$193,'Draft Board'!$AN$2:$AN$193,"&gt;"&amp;AN52)=0,1,IF((_xlfn.MINIFS('Draft Board'!$AN$2:$AN$193,'Draft Board'!$AN$2:$AN$193,"&gt;"&amp;AN52)-AN52)/_xlfn.MINIFS('Draft Board'!$AN$2:$AN$193,'Draft Board'!$AN$2:$AN$193,"&gt;"&amp;AN52)&gt;0.08,1,0)))</f>
        <v>1</v>
      </c>
      <c r="AQ52" s="11">
        <f>_xlfn.MINIFS('Draft Board'!$AN$2:$AN$193,'Draft Board'!$AN$2:$AN$193,"&gt;="&amp;AN52,'Draft Board'!$AP$2:$AP$193,1)</f>
        <v>52.645285989439458</v>
      </c>
      <c r="AR52" s="11">
        <f>IF(AO52&lt;&gt;_xlfn.MINIFS('Draft Board'!$AO$2:$AO$193,'Draft Board'!$AN$2:$AN$193,"="&amp;AN52),0,IF(OR(AP52=1,IFERROR(FLOOR((AQ52-AN52)/AQ52/0.25,1),0)&lt;&gt;IFERROR(FLOOR((AQ52-_xlfn.MINIFS('Draft Board'!$AN$2:$AN$193,'Draft Board'!$AN$2:$AN$193,"&gt;"&amp;AN52))/AQ52/0.25,1),0)),1,0))</f>
        <v>1</v>
      </c>
      <c r="AS52" s="11">
        <f>ROUND(1+AN52*'Live Calc'!$D$28,0)</f>
        <v>5</v>
      </c>
      <c r="AT52" s="11"/>
      <c r="AU52" s="11">
        <f>IF(AT52&lt;&gt;"",AT52,ROUND(AS52*INDEX('Live Calc'!$G$259:$G$450,MATCH(AM52,'Live Calc'!$A$259:$A$450,0))*'Live Calc'!$J$543,0))</f>
        <v>5</v>
      </c>
      <c r="AW52" s="12" t="s">
        <v>290</v>
      </c>
      <c r="AX52" s="12" t="s">
        <v>67</v>
      </c>
      <c r="AY52" s="12">
        <v>28.79</v>
      </c>
      <c r="AZ52" s="12">
        <v>40.218000000000004</v>
      </c>
      <c r="BA52" s="12">
        <v>54.142000000000003</v>
      </c>
      <c r="BB52" s="12">
        <f>CHOOSE(MATCH(Setup!$B$7,{"STD","Half-PPR","PPR"},0),AY52,AZ52,BA52)</f>
        <v>40.218000000000004</v>
      </c>
      <c r="BC52" s="12">
        <f>COUNTIFS('Draft Board'!$BD$2:$BD$87,"&gt;="&amp;BD52,'Draft Board'!$BH$2:$BH$87,1)</f>
        <v>15</v>
      </c>
      <c r="BD52" s="12">
        <f>MAX(0,BB52-'Live Calc'!$H$22)^'Live Calc'!$E$22</f>
        <v>0</v>
      </c>
      <c r="BE52" s="12">
        <v>52</v>
      </c>
      <c r="BF52" s="12">
        <f>IF(BE52&lt;&gt;_xlfn.MINIFS('Draft Board'!$BE$2:$BE$87,'Draft Board'!$BD$2:$BD$87,"="&amp;BD52),0,IF(_xlfn.MINIFS('Draft Board'!$BD$2:$BD$87,'Draft Board'!$BD$2:$BD$87,"&gt;"&amp;BD52)=0,1,IF((_xlfn.MINIFS('Draft Board'!$BD$2:$BD$87,'Draft Board'!$BD$2:$BD$87,"&gt;"&amp;BD52)-BD52)/_xlfn.MINIFS('Draft Board'!$BD$2:$BD$87,'Draft Board'!$BD$2:$BD$87,"&gt;"&amp;BD52)&gt;0.08,1,0)))</f>
        <v>0</v>
      </c>
      <c r="BG52" s="12">
        <f>_xlfn.MINIFS('Draft Board'!$BD$2:$BD$87,'Draft Board'!$BD$2:$BD$87,"&gt;="&amp;BD52,'Draft Board'!$BF$2:$BF$87,1)</f>
        <v>0</v>
      </c>
      <c r="BH52" s="12">
        <f>IF(BE52&lt;&gt;_xlfn.MINIFS('Draft Board'!$BE$2:$BE$87,'Draft Board'!$BD$2:$BD$87,"="&amp;BD52),0,IF(OR(BF52=1,IFERROR(FLOOR((BG52-BD52)/BG52/0.25,1),0)&lt;&gt;IFERROR(FLOOR((BG52-_xlfn.MINIFS('Draft Board'!$BD$2:$BD$87,'Draft Board'!$BD$2:$BD$87,"&gt;"&amp;BD52))/BG52/0.25,1),0)),1,0))</f>
        <v>0</v>
      </c>
      <c r="BI52" s="12">
        <f>ROUND(1+BD52*'Live Calc'!$D$29,0)</f>
        <v>1</v>
      </c>
      <c r="BJ52" s="12"/>
      <c r="BK52" s="12">
        <f>IF(BJ52&lt;&gt;"",BJ52,ROUND(BI52*INDEX('Live Calc'!$G$454:$G$539,MATCH(BC52,'Live Calc'!$A$454:$A$539,0))*'Live Calc'!$J$543,0))</f>
        <v>1</v>
      </c>
    </row>
    <row r="53" spans="1:63" x14ac:dyDescent="0.25">
      <c r="A53" s="9" t="s">
        <v>291</v>
      </c>
      <c r="B53" s="9" t="s">
        <v>185</v>
      </c>
      <c r="C53" s="9">
        <v>19.09</v>
      </c>
      <c r="D53" s="9">
        <v>19.09</v>
      </c>
      <c r="E53" s="9">
        <v>19.09</v>
      </c>
      <c r="F53" s="9">
        <f>CHOOSE(MATCH(Setup!$B$7,{"STD","Half-PPR","PPR"},0),C53,D53,E53)</f>
        <v>19.09</v>
      </c>
      <c r="G53" s="9">
        <f>COUNTIFS('Draft Board'!$H$2:$H$61,"&gt;="&amp;H53,'Draft Board'!$L$2:$L$61,1)</f>
        <v>11</v>
      </c>
      <c r="H53" s="9">
        <f>MAX(0,F53-'Live Calc'!$H$19)^'Live Calc'!$E$19</f>
        <v>0</v>
      </c>
      <c r="I53" s="9">
        <v>53</v>
      </c>
      <c r="J53" s="9">
        <f>IF(I53&lt;&gt;_xlfn.MINIFS('Draft Board'!$I$2:$I$61,'Draft Board'!$H$2:$H$61,"="&amp;H53),0,IF(_xlfn.MINIFS('Draft Board'!$H$2:$H$61,'Draft Board'!$H$2:$H$61,"&gt;"&amp;H53)=0,1,IF((_xlfn.MINIFS('Draft Board'!$H$2:$H$61,'Draft Board'!$H$2:$H$61,"&gt;"&amp;H53)-H53)/_xlfn.MINIFS('Draft Board'!$H$2:$H$61,'Draft Board'!$H$2:$H$61,"&gt;"&amp;H53)&gt;0.08,1,0)))</f>
        <v>0</v>
      </c>
      <c r="K53" s="9">
        <f>_xlfn.MINIFS('Draft Board'!$H$2:$H$61,'Draft Board'!$H$2:$H$61,"&gt;="&amp;H53,'Draft Board'!$J$2:$J$61,1)</f>
        <v>0</v>
      </c>
      <c r="L53" s="9">
        <f>IF(I53&lt;&gt;_xlfn.MINIFS('Draft Board'!$I$2:$I$61,'Draft Board'!$H$2:$H$61,"="&amp;H53),0,IF(OR(J53=1,IFERROR(FLOOR((K53-H53)/K53/0.25,1),0)&lt;&gt;IFERROR(FLOOR((K53-_xlfn.MINIFS('Draft Board'!$H$2:$H$61,'Draft Board'!$H$2:$H$61,"&gt;"&amp;H53))/K53/0.25,1),0)),1,0))</f>
        <v>0</v>
      </c>
      <c r="M53" s="9">
        <f>ROUND(1+H53*'Live Calc'!$D$26,0)</f>
        <v>1</v>
      </c>
      <c r="N53" s="9"/>
      <c r="O53" s="9">
        <f>IF(N53&lt;&gt;"",N53,ROUND(M53*INDEX('Live Calc'!$G$33:$G$92,MATCH(G53,'Live Calc'!$A$33:$A$92,0))*'Live Calc'!$J$543,0))</f>
        <v>1</v>
      </c>
      <c r="Q53" s="10" t="s">
        <v>292</v>
      </c>
      <c r="R53" s="10" t="s">
        <v>119</v>
      </c>
      <c r="S53" s="10">
        <v>68.965999999999994</v>
      </c>
      <c r="T53" s="10">
        <v>77.182000000000002</v>
      </c>
      <c r="U53" s="10">
        <v>85.146000000000001</v>
      </c>
      <c r="V53" s="10">
        <f>CHOOSE(MATCH(Setup!$B$7,{"STD","Half-PPR","PPR"},0),S53,T53,U53)</f>
        <v>77.182000000000002</v>
      </c>
      <c r="W53" s="10">
        <f>COUNTIFS('Draft Board'!$X$2:$X$161,"&gt;="&amp;X53,'Draft Board'!$AB$2:$AB$161,1)</f>
        <v>14</v>
      </c>
      <c r="X53" s="10">
        <f>MAX(0,V53-'Live Calc'!$H$20)^'Live Calc'!$E$20</f>
        <v>0</v>
      </c>
      <c r="Y53" s="10">
        <v>53</v>
      </c>
      <c r="Z53" s="10">
        <f>IF(Y53&lt;&gt;_xlfn.MINIFS('Draft Board'!$Y$2:$Y$161,'Draft Board'!$X$2:$X$161,"="&amp;X53),0,IF(_xlfn.MINIFS('Draft Board'!$X$2:$X$161,'Draft Board'!$X$2:$X$161,"&gt;"&amp;X53)=0,1,IF((_xlfn.MINIFS('Draft Board'!$X$2:$X$161,'Draft Board'!$X$2:$X$161,"&gt;"&amp;X53)-X53)/_xlfn.MINIFS('Draft Board'!$X$2:$X$161,'Draft Board'!$X$2:$X$161,"&gt;"&amp;X53)&gt;0.08,1,0)))</f>
        <v>0</v>
      </c>
      <c r="AA53" s="10">
        <f>_xlfn.MINIFS('Draft Board'!$X$2:$X$161,'Draft Board'!$X$2:$X$161,"&gt;="&amp;X53,'Draft Board'!$Z$2:$Z$161,1)</f>
        <v>0</v>
      </c>
      <c r="AB53" s="10">
        <f>IF(Y53&lt;&gt;_xlfn.MINIFS('Draft Board'!$Y$2:$Y$161,'Draft Board'!$X$2:$X$161,"="&amp;X53),0,IF(OR(Z53=1,IFERROR(FLOOR((AA53-X53)/AA53/0.25,1),0)&lt;&gt;IFERROR(FLOOR((AA53-_xlfn.MINIFS('Draft Board'!$X$2:$X$161,'Draft Board'!$X$2:$X$161,"&gt;"&amp;X53))/AA53/0.25,1),0)),1,0))</f>
        <v>0</v>
      </c>
      <c r="AC53" s="10">
        <f>ROUND(1+X53*'Live Calc'!$D$27,0)</f>
        <v>1</v>
      </c>
      <c r="AD53" s="10"/>
      <c r="AE53" s="10">
        <f>IF(AD53&lt;&gt;"",AD53,ROUND(AC53*INDEX('Live Calc'!$G$96:$G$255,MATCH(W53,'Live Calc'!$A$96:$A$255,0))*'Live Calc'!$J$543,0))</f>
        <v>1</v>
      </c>
      <c r="AG53" s="11" t="s">
        <v>293</v>
      </c>
      <c r="AH53" s="11" t="s">
        <v>96</v>
      </c>
      <c r="AI53" s="11">
        <v>97.674000000000007</v>
      </c>
      <c r="AJ53" s="11">
        <v>124.51</v>
      </c>
      <c r="AK53" s="11">
        <v>150.03800000000001</v>
      </c>
      <c r="AL53" s="11">
        <f>CHOOSE(MATCH(Setup!$B$7,{"STD","Half-PPR","PPR"},0),AI53,AJ53,AK53)</f>
        <v>124.51</v>
      </c>
      <c r="AM53" s="11">
        <f>COUNTIFS('Draft Board'!$AN$2:$AN$193,"&gt;="&amp;AN53,'Draft Board'!$AR$2:$AR$193,1)</f>
        <v>12</v>
      </c>
      <c r="AN53" s="11">
        <f>MAX(0,AL53-'Live Calc'!$H$21)^'Live Calc'!$E$21</f>
        <v>51.108775872025276</v>
      </c>
      <c r="AO53" s="11">
        <v>53</v>
      </c>
      <c r="AP53" s="11">
        <f>IF(AO53&lt;&gt;_xlfn.MINIFS('Draft Board'!$AO$2:$AO$193,'Draft Board'!$AN$2:$AN$193,"="&amp;AN53),0,IF(_xlfn.MINIFS('Draft Board'!$AN$2:$AN$193,'Draft Board'!$AN$2:$AN$193,"&gt;"&amp;AN53)=0,1,IF((_xlfn.MINIFS('Draft Board'!$AN$2:$AN$193,'Draft Board'!$AN$2:$AN$193,"&gt;"&amp;AN53)-AN53)/_xlfn.MINIFS('Draft Board'!$AN$2:$AN$193,'Draft Board'!$AN$2:$AN$193,"&gt;"&amp;AN53)&gt;0.08,1,0)))</f>
        <v>0</v>
      </c>
      <c r="AQ53" s="11">
        <f>_xlfn.MINIFS('Draft Board'!$AN$2:$AN$193,'Draft Board'!$AN$2:$AN$193,"&gt;="&amp;AN53,'Draft Board'!$AP$2:$AP$193,1)</f>
        <v>52.645285989439458</v>
      </c>
      <c r="AR53" s="11">
        <f>IF(AO53&lt;&gt;_xlfn.MINIFS('Draft Board'!$AO$2:$AO$193,'Draft Board'!$AN$2:$AN$193,"="&amp;AN53),0,IF(OR(AP53=1,IFERROR(FLOOR((AQ53-AN53)/AQ53/0.25,1),0)&lt;&gt;IFERROR(FLOOR((AQ53-_xlfn.MINIFS('Draft Board'!$AN$2:$AN$193,'Draft Board'!$AN$2:$AN$193,"&gt;"&amp;AN53))/AQ53/0.25,1),0)),1,0))</f>
        <v>0</v>
      </c>
      <c r="AS53" s="11">
        <f>ROUND(1+AN53*'Live Calc'!$D$28,0)</f>
        <v>5</v>
      </c>
      <c r="AT53" s="11"/>
      <c r="AU53" s="11">
        <f>IF(AT53&lt;&gt;"",AT53,ROUND(AS53*INDEX('Live Calc'!$G$259:$G$450,MATCH(AM53,'Live Calc'!$A$259:$A$450,0))*'Live Calc'!$J$543,0))</f>
        <v>5</v>
      </c>
      <c r="AW53" s="12" t="s">
        <v>294</v>
      </c>
      <c r="AX53" s="12" t="s">
        <v>149</v>
      </c>
      <c r="AY53" s="12">
        <v>29.474</v>
      </c>
      <c r="AZ53" s="12">
        <v>39.933999999999997</v>
      </c>
      <c r="BA53" s="12">
        <v>50.518000000000001</v>
      </c>
      <c r="BB53" s="12">
        <f>CHOOSE(MATCH(Setup!$B$7,{"STD","Half-PPR","PPR"},0),AY53,AZ53,BA53)</f>
        <v>39.933999999999997</v>
      </c>
      <c r="BC53" s="12">
        <f>COUNTIFS('Draft Board'!$BD$2:$BD$87,"&gt;="&amp;BD53,'Draft Board'!$BH$2:$BH$87,1)</f>
        <v>15</v>
      </c>
      <c r="BD53" s="12">
        <f>MAX(0,BB53-'Live Calc'!$H$22)^'Live Calc'!$E$22</f>
        <v>0</v>
      </c>
      <c r="BE53" s="12">
        <v>53</v>
      </c>
      <c r="BF53" s="12">
        <f>IF(BE53&lt;&gt;_xlfn.MINIFS('Draft Board'!$BE$2:$BE$87,'Draft Board'!$BD$2:$BD$87,"="&amp;BD53),0,IF(_xlfn.MINIFS('Draft Board'!$BD$2:$BD$87,'Draft Board'!$BD$2:$BD$87,"&gt;"&amp;BD53)=0,1,IF((_xlfn.MINIFS('Draft Board'!$BD$2:$BD$87,'Draft Board'!$BD$2:$BD$87,"&gt;"&amp;BD53)-BD53)/_xlfn.MINIFS('Draft Board'!$BD$2:$BD$87,'Draft Board'!$BD$2:$BD$87,"&gt;"&amp;BD53)&gt;0.08,1,0)))</f>
        <v>0</v>
      </c>
      <c r="BG53" s="12">
        <f>_xlfn.MINIFS('Draft Board'!$BD$2:$BD$87,'Draft Board'!$BD$2:$BD$87,"&gt;="&amp;BD53,'Draft Board'!$BF$2:$BF$87,1)</f>
        <v>0</v>
      </c>
      <c r="BH53" s="12">
        <f>IF(BE53&lt;&gt;_xlfn.MINIFS('Draft Board'!$BE$2:$BE$87,'Draft Board'!$BD$2:$BD$87,"="&amp;BD53),0,IF(OR(BF53=1,IFERROR(FLOOR((BG53-BD53)/BG53/0.25,1),0)&lt;&gt;IFERROR(FLOOR((BG53-_xlfn.MINIFS('Draft Board'!$BD$2:$BD$87,'Draft Board'!$BD$2:$BD$87,"&gt;"&amp;BD53))/BG53/0.25,1),0)),1,0))</f>
        <v>0</v>
      </c>
      <c r="BI53" s="12">
        <f>ROUND(1+BD53*'Live Calc'!$D$29,0)</f>
        <v>1</v>
      </c>
      <c r="BJ53" s="12"/>
      <c r="BK53" s="12">
        <f>IF(BJ53&lt;&gt;"",BJ53,ROUND(BI53*INDEX('Live Calc'!$G$454:$G$539,MATCH(BC53,'Live Calc'!$A$454:$A$539,0))*'Live Calc'!$J$543,0))</f>
        <v>1</v>
      </c>
    </row>
    <row r="54" spans="1:63" x14ac:dyDescent="0.25">
      <c r="A54" s="9" t="s">
        <v>295</v>
      </c>
      <c r="B54" s="9" t="s">
        <v>61</v>
      </c>
      <c r="C54" s="9">
        <v>16.170000000000002</v>
      </c>
      <c r="D54" s="9">
        <v>16.170000000000002</v>
      </c>
      <c r="E54" s="9">
        <v>16.170000000000002</v>
      </c>
      <c r="F54" s="9">
        <f>CHOOSE(MATCH(Setup!$B$7,{"STD","Half-PPR","PPR"},0),C54,D54,E54)</f>
        <v>16.170000000000002</v>
      </c>
      <c r="G54" s="9">
        <f>COUNTIFS('Draft Board'!$H$2:$H$61,"&gt;="&amp;H54,'Draft Board'!$L$2:$L$61,1)</f>
        <v>11</v>
      </c>
      <c r="H54" s="9">
        <f>MAX(0,F54-'Live Calc'!$H$19)^'Live Calc'!$E$19</f>
        <v>0</v>
      </c>
      <c r="I54" s="9">
        <v>54</v>
      </c>
      <c r="J54" s="9">
        <f>IF(I54&lt;&gt;_xlfn.MINIFS('Draft Board'!$I$2:$I$61,'Draft Board'!$H$2:$H$61,"="&amp;H54),0,IF(_xlfn.MINIFS('Draft Board'!$H$2:$H$61,'Draft Board'!$H$2:$H$61,"&gt;"&amp;H54)=0,1,IF((_xlfn.MINIFS('Draft Board'!$H$2:$H$61,'Draft Board'!$H$2:$H$61,"&gt;"&amp;H54)-H54)/_xlfn.MINIFS('Draft Board'!$H$2:$H$61,'Draft Board'!$H$2:$H$61,"&gt;"&amp;H54)&gt;0.08,1,0)))</f>
        <v>0</v>
      </c>
      <c r="K54" s="9">
        <f>_xlfn.MINIFS('Draft Board'!$H$2:$H$61,'Draft Board'!$H$2:$H$61,"&gt;="&amp;H54,'Draft Board'!$J$2:$J$61,1)</f>
        <v>0</v>
      </c>
      <c r="L54" s="9">
        <f>IF(I54&lt;&gt;_xlfn.MINIFS('Draft Board'!$I$2:$I$61,'Draft Board'!$H$2:$H$61,"="&amp;H54),0,IF(OR(J54=1,IFERROR(FLOOR((K54-H54)/K54/0.25,1),0)&lt;&gt;IFERROR(FLOOR((K54-_xlfn.MINIFS('Draft Board'!$H$2:$H$61,'Draft Board'!$H$2:$H$61,"&gt;"&amp;H54))/K54/0.25,1),0)),1,0))</f>
        <v>0</v>
      </c>
      <c r="M54" s="9">
        <f>ROUND(1+H54*'Live Calc'!$D$26,0)</f>
        <v>1</v>
      </c>
      <c r="N54" s="9"/>
      <c r="O54" s="9">
        <f>IF(N54&lt;&gt;"",N54,ROUND(M54*INDEX('Live Calc'!$G$33:$G$92,MATCH(G54,'Live Calc'!$A$33:$A$92,0))*'Live Calc'!$J$543,0))</f>
        <v>1</v>
      </c>
      <c r="Q54" s="10" t="s">
        <v>296</v>
      </c>
      <c r="R54" s="10" t="s">
        <v>143</v>
      </c>
      <c r="S54" s="10">
        <v>65.016000000000005</v>
      </c>
      <c r="T54" s="10">
        <v>71.828000000000003</v>
      </c>
      <c r="U54" s="10">
        <v>78.38</v>
      </c>
      <c r="V54" s="10">
        <f>CHOOSE(MATCH(Setup!$B$7,{"STD","Half-PPR","PPR"},0),S54,T54,U54)</f>
        <v>71.828000000000003</v>
      </c>
      <c r="W54" s="10">
        <f>COUNTIFS('Draft Board'!$X$2:$X$161,"&gt;="&amp;X54,'Draft Board'!$AB$2:$AB$161,1)</f>
        <v>14</v>
      </c>
      <c r="X54" s="10">
        <f>MAX(0,V54-'Live Calc'!$H$20)^'Live Calc'!$E$20</f>
        <v>0</v>
      </c>
      <c r="Y54" s="10">
        <v>54</v>
      </c>
      <c r="Z54" s="10">
        <f>IF(Y54&lt;&gt;_xlfn.MINIFS('Draft Board'!$Y$2:$Y$161,'Draft Board'!$X$2:$X$161,"="&amp;X54),0,IF(_xlfn.MINIFS('Draft Board'!$X$2:$X$161,'Draft Board'!$X$2:$X$161,"&gt;"&amp;X54)=0,1,IF((_xlfn.MINIFS('Draft Board'!$X$2:$X$161,'Draft Board'!$X$2:$X$161,"&gt;"&amp;X54)-X54)/_xlfn.MINIFS('Draft Board'!$X$2:$X$161,'Draft Board'!$X$2:$X$161,"&gt;"&amp;X54)&gt;0.08,1,0)))</f>
        <v>0</v>
      </c>
      <c r="AA54" s="10">
        <f>_xlfn.MINIFS('Draft Board'!$X$2:$X$161,'Draft Board'!$X$2:$X$161,"&gt;="&amp;X54,'Draft Board'!$Z$2:$Z$161,1)</f>
        <v>0</v>
      </c>
      <c r="AB54" s="10">
        <f>IF(Y54&lt;&gt;_xlfn.MINIFS('Draft Board'!$Y$2:$Y$161,'Draft Board'!$X$2:$X$161,"="&amp;X54),0,IF(OR(Z54=1,IFERROR(FLOOR((AA54-X54)/AA54/0.25,1),0)&lt;&gt;IFERROR(FLOOR((AA54-_xlfn.MINIFS('Draft Board'!$X$2:$X$161,'Draft Board'!$X$2:$X$161,"&gt;"&amp;X54))/AA54/0.25,1),0)),1,0))</f>
        <v>0</v>
      </c>
      <c r="AC54" s="10">
        <f>ROUND(1+X54*'Live Calc'!$D$27,0)</f>
        <v>1</v>
      </c>
      <c r="AD54" s="10"/>
      <c r="AE54" s="10">
        <f>IF(AD54&lt;&gt;"",AD54,ROUND(AC54*INDEX('Live Calc'!$G$96:$G$255,MATCH(W54,'Live Calc'!$A$96:$A$255,0))*'Live Calc'!$J$543,0))</f>
        <v>1</v>
      </c>
      <c r="AG54" s="11" t="s">
        <v>297</v>
      </c>
      <c r="AH54" s="11" t="s">
        <v>90</v>
      </c>
      <c r="AI54" s="11">
        <v>91.945999999999998</v>
      </c>
      <c r="AJ54" s="11">
        <v>121.27200000000001</v>
      </c>
      <c r="AK54" s="11">
        <v>149.61199999999999</v>
      </c>
      <c r="AL54" s="11">
        <f>CHOOSE(MATCH(Setup!$B$7,{"STD","Half-PPR","PPR"},0),AI54,AJ54,AK54)</f>
        <v>121.27200000000001</v>
      </c>
      <c r="AM54" s="11">
        <f>COUNTIFS('Draft Board'!$AN$2:$AN$193,"&gt;="&amp;AN54,'Draft Board'!$AR$2:$AR$193,1)</f>
        <v>13</v>
      </c>
      <c r="AN54" s="11">
        <f>MAX(0,AL54-'Live Calc'!$H$21)^'Live Calc'!$E$21</f>
        <v>42.37945714987562</v>
      </c>
      <c r="AO54" s="11">
        <v>54</v>
      </c>
      <c r="AP54" s="11">
        <f>IF(AO54&lt;&gt;_xlfn.MINIFS('Draft Board'!$AO$2:$AO$193,'Draft Board'!$AN$2:$AN$193,"="&amp;AN54),0,IF(_xlfn.MINIFS('Draft Board'!$AN$2:$AN$193,'Draft Board'!$AN$2:$AN$193,"&gt;"&amp;AN54)=0,1,IF((_xlfn.MINIFS('Draft Board'!$AN$2:$AN$193,'Draft Board'!$AN$2:$AN$193,"&gt;"&amp;AN54)-AN54)/_xlfn.MINIFS('Draft Board'!$AN$2:$AN$193,'Draft Board'!$AN$2:$AN$193,"&gt;"&amp;AN54)&gt;0.08,1,0)))</f>
        <v>1</v>
      </c>
      <c r="AQ54" s="11">
        <f>_xlfn.MINIFS('Draft Board'!$AN$2:$AN$193,'Draft Board'!$AN$2:$AN$193,"&gt;="&amp;AN54,'Draft Board'!$AP$2:$AP$193,1)</f>
        <v>42.37945714987562</v>
      </c>
      <c r="AR54" s="11">
        <f>IF(AO54&lt;&gt;_xlfn.MINIFS('Draft Board'!$AO$2:$AO$193,'Draft Board'!$AN$2:$AN$193,"="&amp;AN54),0,IF(OR(AP54=1,IFERROR(FLOOR((AQ54-AN54)/AQ54/0.25,1),0)&lt;&gt;IFERROR(FLOOR((AQ54-_xlfn.MINIFS('Draft Board'!$AN$2:$AN$193,'Draft Board'!$AN$2:$AN$193,"&gt;"&amp;AN54))/AQ54/0.25,1),0)),1,0))</f>
        <v>1</v>
      </c>
      <c r="AS54" s="11">
        <f>ROUND(1+AN54*'Live Calc'!$D$28,0)</f>
        <v>4</v>
      </c>
      <c r="AT54" s="11"/>
      <c r="AU54" s="11">
        <f>IF(AT54&lt;&gt;"",AT54,ROUND(AS54*INDEX('Live Calc'!$G$259:$G$450,MATCH(AM54,'Live Calc'!$A$259:$A$450,0))*'Live Calc'!$J$543,0))</f>
        <v>4</v>
      </c>
      <c r="AW54" s="12" t="s">
        <v>298</v>
      </c>
      <c r="AX54" s="12" t="s">
        <v>65</v>
      </c>
      <c r="AY54" s="12">
        <v>29.308</v>
      </c>
      <c r="AZ54" s="12">
        <v>39.238</v>
      </c>
      <c r="BA54" s="12">
        <v>49.524000000000001</v>
      </c>
      <c r="BB54" s="12">
        <f>CHOOSE(MATCH(Setup!$B$7,{"STD","Half-PPR","PPR"},0),AY54,AZ54,BA54)</f>
        <v>39.238</v>
      </c>
      <c r="BC54" s="12">
        <f>COUNTIFS('Draft Board'!$BD$2:$BD$87,"&gt;="&amp;BD54,'Draft Board'!$BH$2:$BH$87,1)</f>
        <v>15</v>
      </c>
      <c r="BD54" s="12">
        <f>MAX(0,BB54-'Live Calc'!$H$22)^'Live Calc'!$E$22</f>
        <v>0</v>
      </c>
      <c r="BE54" s="12">
        <v>54</v>
      </c>
      <c r="BF54" s="12">
        <f>IF(BE54&lt;&gt;_xlfn.MINIFS('Draft Board'!$BE$2:$BE$87,'Draft Board'!$BD$2:$BD$87,"="&amp;BD54),0,IF(_xlfn.MINIFS('Draft Board'!$BD$2:$BD$87,'Draft Board'!$BD$2:$BD$87,"&gt;"&amp;BD54)=0,1,IF((_xlfn.MINIFS('Draft Board'!$BD$2:$BD$87,'Draft Board'!$BD$2:$BD$87,"&gt;"&amp;BD54)-BD54)/_xlfn.MINIFS('Draft Board'!$BD$2:$BD$87,'Draft Board'!$BD$2:$BD$87,"&gt;"&amp;BD54)&gt;0.08,1,0)))</f>
        <v>0</v>
      </c>
      <c r="BG54" s="12">
        <f>_xlfn.MINIFS('Draft Board'!$BD$2:$BD$87,'Draft Board'!$BD$2:$BD$87,"&gt;="&amp;BD54,'Draft Board'!$BF$2:$BF$87,1)</f>
        <v>0</v>
      </c>
      <c r="BH54" s="12">
        <f>IF(BE54&lt;&gt;_xlfn.MINIFS('Draft Board'!$BE$2:$BE$87,'Draft Board'!$BD$2:$BD$87,"="&amp;BD54),0,IF(OR(BF54=1,IFERROR(FLOOR((BG54-BD54)/BG54/0.25,1),0)&lt;&gt;IFERROR(FLOOR((BG54-_xlfn.MINIFS('Draft Board'!$BD$2:$BD$87,'Draft Board'!$BD$2:$BD$87,"&gt;"&amp;BD54))/BG54/0.25,1),0)),1,0))</f>
        <v>0</v>
      </c>
      <c r="BI54" s="12">
        <f>ROUND(1+BD54*'Live Calc'!$D$29,0)</f>
        <v>1</v>
      </c>
      <c r="BJ54" s="12"/>
      <c r="BK54" s="12">
        <f>IF(BJ54&lt;&gt;"",BJ54,ROUND(BI54*INDEX('Live Calc'!$G$454:$G$539,MATCH(BC54,'Live Calc'!$A$454:$A$539,0))*'Live Calc'!$J$543,0))</f>
        <v>1</v>
      </c>
    </row>
    <row r="55" spans="1:63" x14ac:dyDescent="0.25">
      <c r="A55" s="9" t="s">
        <v>299</v>
      </c>
      <c r="B55" s="9" t="s">
        <v>63</v>
      </c>
      <c r="C55" s="9">
        <v>14.96</v>
      </c>
      <c r="D55" s="9">
        <v>14.96</v>
      </c>
      <c r="E55" s="9">
        <v>14.96</v>
      </c>
      <c r="F55" s="9">
        <f>CHOOSE(MATCH(Setup!$B$7,{"STD","Half-PPR","PPR"},0),C55,D55,E55)</f>
        <v>14.96</v>
      </c>
      <c r="G55" s="9">
        <f>COUNTIFS('Draft Board'!$H$2:$H$61,"&gt;="&amp;H55,'Draft Board'!$L$2:$L$61,1)</f>
        <v>11</v>
      </c>
      <c r="H55" s="9">
        <f>MAX(0,F55-'Live Calc'!$H$19)^'Live Calc'!$E$19</f>
        <v>0</v>
      </c>
      <c r="I55" s="9">
        <v>55</v>
      </c>
      <c r="J55" s="9">
        <f>IF(I55&lt;&gt;_xlfn.MINIFS('Draft Board'!$I$2:$I$61,'Draft Board'!$H$2:$H$61,"="&amp;H55),0,IF(_xlfn.MINIFS('Draft Board'!$H$2:$H$61,'Draft Board'!$H$2:$H$61,"&gt;"&amp;H55)=0,1,IF((_xlfn.MINIFS('Draft Board'!$H$2:$H$61,'Draft Board'!$H$2:$H$61,"&gt;"&amp;H55)-H55)/_xlfn.MINIFS('Draft Board'!$H$2:$H$61,'Draft Board'!$H$2:$H$61,"&gt;"&amp;H55)&gt;0.08,1,0)))</f>
        <v>0</v>
      </c>
      <c r="K55" s="9">
        <f>_xlfn.MINIFS('Draft Board'!$H$2:$H$61,'Draft Board'!$H$2:$H$61,"&gt;="&amp;H55,'Draft Board'!$J$2:$J$61,1)</f>
        <v>0</v>
      </c>
      <c r="L55" s="9">
        <f>IF(I55&lt;&gt;_xlfn.MINIFS('Draft Board'!$I$2:$I$61,'Draft Board'!$H$2:$H$61,"="&amp;H55),0,IF(OR(J55=1,IFERROR(FLOOR((K55-H55)/K55/0.25,1),0)&lt;&gt;IFERROR(FLOOR((K55-_xlfn.MINIFS('Draft Board'!$H$2:$H$61,'Draft Board'!$H$2:$H$61,"&gt;"&amp;H55))/K55/0.25,1),0)),1,0))</f>
        <v>0</v>
      </c>
      <c r="M55" s="9">
        <f>ROUND(1+H55*'Live Calc'!$D$26,0)</f>
        <v>1</v>
      </c>
      <c r="N55" s="9"/>
      <c r="O55" s="9">
        <f>IF(N55&lt;&gt;"",N55,ROUND(M55*INDEX('Live Calc'!$G$33:$G$92,MATCH(G55,'Live Calc'!$A$33:$A$92,0))*'Live Calc'!$J$543,0))</f>
        <v>1</v>
      </c>
      <c r="Q55" s="10" t="s">
        <v>300</v>
      </c>
      <c r="R55" s="10" t="s">
        <v>133</v>
      </c>
      <c r="S55" s="10">
        <v>62.073999999999998</v>
      </c>
      <c r="T55" s="10">
        <v>69.757999999999996</v>
      </c>
      <c r="U55" s="10">
        <v>75.164000000000001</v>
      </c>
      <c r="V55" s="10">
        <f>CHOOSE(MATCH(Setup!$B$7,{"STD","Half-PPR","PPR"},0),S55,T55,U55)</f>
        <v>69.757999999999996</v>
      </c>
      <c r="W55" s="10">
        <f>COUNTIFS('Draft Board'!$X$2:$X$161,"&gt;="&amp;X55,'Draft Board'!$AB$2:$AB$161,1)</f>
        <v>14</v>
      </c>
      <c r="X55" s="10">
        <f>MAX(0,V55-'Live Calc'!$H$20)^'Live Calc'!$E$20</f>
        <v>0</v>
      </c>
      <c r="Y55" s="10">
        <v>55</v>
      </c>
      <c r="Z55" s="10">
        <f>IF(Y55&lt;&gt;_xlfn.MINIFS('Draft Board'!$Y$2:$Y$161,'Draft Board'!$X$2:$X$161,"="&amp;X55),0,IF(_xlfn.MINIFS('Draft Board'!$X$2:$X$161,'Draft Board'!$X$2:$X$161,"&gt;"&amp;X55)=0,1,IF((_xlfn.MINIFS('Draft Board'!$X$2:$X$161,'Draft Board'!$X$2:$X$161,"&gt;"&amp;X55)-X55)/_xlfn.MINIFS('Draft Board'!$X$2:$X$161,'Draft Board'!$X$2:$X$161,"&gt;"&amp;X55)&gt;0.08,1,0)))</f>
        <v>0</v>
      </c>
      <c r="AA55" s="10">
        <f>_xlfn.MINIFS('Draft Board'!$X$2:$X$161,'Draft Board'!$X$2:$X$161,"&gt;="&amp;X55,'Draft Board'!$Z$2:$Z$161,1)</f>
        <v>0</v>
      </c>
      <c r="AB55" s="10">
        <f>IF(Y55&lt;&gt;_xlfn.MINIFS('Draft Board'!$Y$2:$Y$161,'Draft Board'!$X$2:$X$161,"="&amp;X55),0,IF(OR(Z55=1,IFERROR(FLOOR((AA55-X55)/AA55/0.25,1),0)&lt;&gt;IFERROR(FLOOR((AA55-_xlfn.MINIFS('Draft Board'!$X$2:$X$161,'Draft Board'!$X$2:$X$161,"&gt;"&amp;X55))/AA55/0.25,1),0)),1,0))</f>
        <v>0</v>
      </c>
      <c r="AC55" s="10">
        <f>ROUND(1+X55*'Live Calc'!$D$27,0)</f>
        <v>1</v>
      </c>
      <c r="AD55" s="10"/>
      <c r="AE55" s="10">
        <f>IF(AD55&lt;&gt;"",AD55,ROUND(AC55*INDEX('Live Calc'!$G$96:$G$255,MATCH(W55,'Live Calc'!$A$96:$A$255,0))*'Live Calc'!$J$543,0))</f>
        <v>1</v>
      </c>
      <c r="AG55" s="11" t="s">
        <v>301</v>
      </c>
      <c r="AH55" s="11" t="s">
        <v>116</v>
      </c>
      <c r="AI55" s="11">
        <v>93.475999999999999</v>
      </c>
      <c r="AJ55" s="11">
        <v>118.748</v>
      </c>
      <c r="AK55" s="11">
        <v>144.32400000000001</v>
      </c>
      <c r="AL55" s="11">
        <f>CHOOSE(MATCH(Setup!$B$7,{"STD","Half-PPR","PPR"},0),AI55,AJ55,AK55)</f>
        <v>118.748</v>
      </c>
      <c r="AM55" s="11">
        <f>COUNTIFS('Draft Board'!$AN$2:$AN$193,"&gt;="&amp;AN55,'Draft Board'!$AR$2:$AR$193,1)</f>
        <v>14</v>
      </c>
      <c r="AN55" s="11">
        <f>MAX(0,AL55-'Live Calc'!$H$21)^'Live Calc'!$E$21</f>
        <v>35.813409816868891</v>
      </c>
      <c r="AO55" s="11">
        <v>55</v>
      </c>
      <c r="AP55" s="11">
        <f>IF(AO55&lt;&gt;_xlfn.MINIFS('Draft Board'!$AO$2:$AO$193,'Draft Board'!$AN$2:$AN$193,"="&amp;AN55),0,IF(_xlfn.MINIFS('Draft Board'!$AN$2:$AN$193,'Draft Board'!$AN$2:$AN$193,"&gt;"&amp;AN55)=0,1,IF((_xlfn.MINIFS('Draft Board'!$AN$2:$AN$193,'Draft Board'!$AN$2:$AN$193,"&gt;"&amp;AN55)-AN55)/_xlfn.MINIFS('Draft Board'!$AN$2:$AN$193,'Draft Board'!$AN$2:$AN$193,"&gt;"&amp;AN55)&gt;0.08,1,0)))</f>
        <v>1</v>
      </c>
      <c r="AQ55" s="11">
        <f>_xlfn.MINIFS('Draft Board'!$AN$2:$AN$193,'Draft Board'!$AN$2:$AN$193,"&gt;="&amp;AN55,'Draft Board'!$AP$2:$AP$193,1)</f>
        <v>35.813409816868891</v>
      </c>
      <c r="AR55" s="11">
        <f>IF(AO55&lt;&gt;_xlfn.MINIFS('Draft Board'!$AO$2:$AO$193,'Draft Board'!$AN$2:$AN$193,"="&amp;AN55),0,IF(OR(AP55=1,IFERROR(FLOOR((AQ55-AN55)/AQ55/0.25,1),0)&lt;&gt;IFERROR(FLOOR((AQ55-_xlfn.MINIFS('Draft Board'!$AN$2:$AN$193,'Draft Board'!$AN$2:$AN$193,"&gt;"&amp;AN55))/AQ55/0.25,1),0)),1,0))</f>
        <v>1</v>
      </c>
      <c r="AS55" s="11">
        <f>ROUND(1+AN55*'Live Calc'!$D$28,0)</f>
        <v>4</v>
      </c>
      <c r="AT55" s="11"/>
      <c r="AU55" s="11">
        <f>IF(AT55&lt;&gt;"",AT55,ROUND(AS55*INDEX('Live Calc'!$G$259:$G$450,MATCH(AM55,'Live Calc'!$A$259:$A$450,0))*'Live Calc'!$J$543,0))</f>
        <v>4</v>
      </c>
      <c r="AW55" s="12" t="s">
        <v>302</v>
      </c>
      <c r="AX55" s="12" t="s">
        <v>119</v>
      </c>
      <c r="AY55" s="12">
        <v>28.02</v>
      </c>
      <c r="AZ55" s="12">
        <v>36.159999999999997</v>
      </c>
      <c r="BA55" s="12">
        <v>44.31</v>
      </c>
      <c r="BB55" s="12">
        <f>CHOOSE(MATCH(Setup!$B$7,{"STD","Half-PPR","PPR"},0),AY55,AZ55,BA55)</f>
        <v>36.159999999999997</v>
      </c>
      <c r="BC55" s="12">
        <f>COUNTIFS('Draft Board'!$BD$2:$BD$87,"&gt;="&amp;BD55,'Draft Board'!$BH$2:$BH$87,1)</f>
        <v>15</v>
      </c>
      <c r="BD55" s="12">
        <f>MAX(0,BB55-'Live Calc'!$H$22)^'Live Calc'!$E$22</f>
        <v>0</v>
      </c>
      <c r="BE55" s="12">
        <v>55</v>
      </c>
      <c r="BF55" s="12">
        <f>IF(BE55&lt;&gt;_xlfn.MINIFS('Draft Board'!$BE$2:$BE$87,'Draft Board'!$BD$2:$BD$87,"="&amp;BD55),0,IF(_xlfn.MINIFS('Draft Board'!$BD$2:$BD$87,'Draft Board'!$BD$2:$BD$87,"&gt;"&amp;BD55)=0,1,IF((_xlfn.MINIFS('Draft Board'!$BD$2:$BD$87,'Draft Board'!$BD$2:$BD$87,"&gt;"&amp;BD55)-BD55)/_xlfn.MINIFS('Draft Board'!$BD$2:$BD$87,'Draft Board'!$BD$2:$BD$87,"&gt;"&amp;BD55)&gt;0.08,1,0)))</f>
        <v>0</v>
      </c>
      <c r="BG55" s="12">
        <f>_xlfn.MINIFS('Draft Board'!$BD$2:$BD$87,'Draft Board'!$BD$2:$BD$87,"&gt;="&amp;BD55,'Draft Board'!$BF$2:$BF$87,1)</f>
        <v>0</v>
      </c>
      <c r="BH55" s="12">
        <f>IF(BE55&lt;&gt;_xlfn.MINIFS('Draft Board'!$BE$2:$BE$87,'Draft Board'!$BD$2:$BD$87,"="&amp;BD55),0,IF(OR(BF55=1,IFERROR(FLOOR((BG55-BD55)/BG55/0.25,1),0)&lt;&gt;IFERROR(FLOOR((BG55-_xlfn.MINIFS('Draft Board'!$BD$2:$BD$87,'Draft Board'!$BD$2:$BD$87,"&gt;"&amp;BD55))/BG55/0.25,1),0)),1,0))</f>
        <v>0</v>
      </c>
      <c r="BI55" s="12">
        <f>ROUND(1+BD55*'Live Calc'!$D$29,0)</f>
        <v>1</v>
      </c>
      <c r="BJ55" s="12"/>
      <c r="BK55" s="12">
        <f>IF(BJ55&lt;&gt;"",BJ55,ROUND(BI55*INDEX('Live Calc'!$G$454:$G$539,MATCH(BC55,'Live Calc'!$A$454:$A$539,0))*'Live Calc'!$J$543,0))</f>
        <v>1</v>
      </c>
    </row>
    <row r="56" spans="1:63" x14ac:dyDescent="0.25">
      <c r="A56" s="9" t="s">
        <v>303</v>
      </c>
      <c r="B56" s="9" t="s">
        <v>93</v>
      </c>
      <c r="C56" s="9">
        <v>14.89</v>
      </c>
      <c r="D56" s="9">
        <v>14.89</v>
      </c>
      <c r="E56" s="9">
        <v>14.89</v>
      </c>
      <c r="F56" s="9">
        <f>CHOOSE(MATCH(Setup!$B$7,{"STD","Half-PPR","PPR"},0),C56,D56,E56)</f>
        <v>14.89</v>
      </c>
      <c r="G56" s="9">
        <f>COUNTIFS('Draft Board'!$H$2:$H$61,"&gt;="&amp;H56,'Draft Board'!$L$2:$L$61,1)</f>
        <v>11</v>
      </c>
      <c r="H56" s="9">
        <f>MAX(0,F56-'Live Calc'!$H$19)^'Live Calc'!$E$19</f>
        <v>0</v>
      </c>
      <c r="I56" s="9">
        <v>56</v>
      </c>
      <c r="J56" s="9">
        <f>IF(I56&lt;&gt;_xlfn.MINIFS('Draft Board'!$I$2:$I$61,'Draft Board'!$H$2:$H$61,"="&amp;H56),0,IF(_xlfn.MINIFS('Draft Board'!$H$2:$H$61,'Draft Board'!$H$2:$H$61,"&gt;"&amp;H56)=0,1,IF((_xlfn.MINIFS('Draft Board'!$H$2:$H$61,'Draft Board'!$H$2:$H$61,"&gt;"&amp;H56)-H56)/_xlfn.MINIFS('Draft Board'!$H$2:$H$61,'Draft Board'!$H$2:$H$61,"&gt;"&amp;H56)&gt;0.08,1,0)))</f>
        <v>0</v>
      </c>
      <c r="K56" s="9">
        <f>_xlfn.MINIFS('Draft Board'!$H$2:$H$61,'Draft Board'!$H$2:$H$61,"&gt;="&amp;H56,'Draft Board'!$J$2:$J$61,1)</f>
        <v>0</v>
      </c>
      <c r="L56" s="9">
        <f>IF(I56&lt;&gt;_xlfn.MINIFS('Draft Board'!$I$2:$I$61,'Draft Board'!$H$2:$H$61,"="&amp;H56),0,IF(OR(J56=1,IFERROR(FLOOR((K56-H56)/K56/0.25,1),0)&lt;&gt;IFERROR(FLOOR((K56-_xlfn.MINIFS('Draft Board'!$H$2:$H$61,'Draft Board'!$H$2:$H$61,"&gt;"&amp;H56))/K56/0.25,1),0)),1,0))</f>
        <v>0</v>
      </c>
      <c r="M56" s="9">
        <f>ROUND(1+H56*'Live Calc'!$D$26,0)</f>
        <v>1</v>
      </c>
      <c r="N56" s="9"/>
      <c r="O56" s="9">
        <f>IF(N56&lt;&gt;"",N56,ROUND(M56*INDEX('Live Calc'!$G$33:$G$92,MATCH(G56,'Live Calc'!$A$33:$A$92,0))*'Live Calc'!$J$543,0))</f>
        <v>1</v>
      </c>
      <c r="Q56" s="10" t="s">
        <v>304</v>
      </c>
      <c r="R56" s="10" t="s">
        <v>63</v>
      </c>
      <c r="S56" s="10">
        <v>53.686</v>
      </c>
      <c r="T56" s="10">
        <v>67.569999999999993</v>
      </c>
      <c r="U56" s="10">
        <v>80.718000000000004</v>
      </c>
      <c r="V56" s="10">
        <f>CHOOSE(MATCH(Setup!$B$7,{"STD","Half-PPR","PPR"},0),S56,T56,U56)</f>
        <v>67.569999999999993</v>
      </c>
      <c r="W56" s="10">
        <f>COUNTIFS('Draft Board'!$X$2:$X$161,"&gt;="&amp;X56,'Draft Board'!$AB$2:$AB$161,1)</f>
        <v>14</v>
      </c>
      <c r="X56" s="10">
        <f>MAX(0,V56-'Live Calc'!$H$20)^'Live Calc'!$E$20</f>
        <v>0</v>
      </c>
      <c r="Y56" s="10">
        <v>56</v>
      </c>
      <c r="Z56" s="10">
        <f>IF(Y56&lt;&gt;_xlfn.MINIFS('Draft Board'!$Y$2:$Y$161,'Draft Board'!$X$2:$X$161,"="&amp;X56),0,IF(_xlfn.MINIFS('Draft Board'!$X$2:$X$161,'Draft Board'!$X$2:$X$161,"&gt;"&amp;X56)=0,1,IF((_xlfn.MINIFS('Draft Board'!$X$2:$X$161,'Draft Board'!$X$2:$X$161,"&gt;"&amp;X56)-X56)/_xlfn.MINIFS('Draft Board'!$X$2:$X$161,'Draft Board'!$X$2:$X$161,"&gt;"&amp;X56)&gt;0.08,1,0)))</f>
        <v>0</v>
      </c>
      <c r="AA56" s="10">
        <f>_xlfn.MINIFS('Draft Board'!$X$2:$X$161,'Draft Board'!$X$2:$X$161,"&gt;="&amp;X56,'Draft Board'!$Z$2:$Z$161,1)</f>
        <v>0</v>
      </c>
      <c r="AB56" s="10">
        <f>IF(Y56&lt;&gt;_xlfn.MINIFS('Draft Board'!$Y$2:$Y$161,'Draft Board'!$X$2:$X$161,"="&amp;X56),0,IF(OR(Z56=1,IFERROR(FLOOR((AA56-X56)/AA56/0.25,1),0)&lt;&gt;IFERROR(FLOOR((AA56-_xlfn.MINIFS('Draft Board'!$X$2:$X$161,'Draft Board'!$X$2:$X$161,"&gt;"&amp;X56))/AA56/0.25,1),0)),1,0))</f>
        <v>0</v>
      </c>
      <c r="AC56" s="10">
        <f>ROUND(1+X56*'Live Calc'!$D$27,0)</f>
        <v>1</v>
      </c>
      <c r="AD56" s="10"/>
      <c r="AE56" s="10">
        <f>IF(AD56&lt;&gt;"",AD56,ROUND(AC56*INDEX('Live Calc'!$G$96:$G$255,MATCH(W56,'Live Calc'!$A$96:$A$255,0))*'Live Calc'!$J$543,0))</f>
        <v>1</v>
      </c>
      <c r="AG56" s="11" t="s">
        <v>305</v>
      </c>
      <c r="AH56" s="11" t="s">
        <v>149</v>
      </c>
      <c r="AI56" s="11">
        <v>89.548000000000002</v>
      </c>
      <c r="AJ56" s="11">
        <v>115.798</v>
      </c>
      <c r="AK56" s="11">
        <v>142.042</v>
      </c>
      <c r="AL56" s="11">
        <f>CHOOSE(MATCH(Setup!$B$7,{"STD","Half-PPR","PPR"},0),AI56,AJ56,AK56)</f>
        <v>115.798</v>
      </c>
      <c r="AM56" s="11">
        <f>COUNTIFS('Draft Board'!$AN$2:$AN$193,"&gt;="&amp;AN56,'Draft Board'!$AR$2:$AR$193,1)</f>
        <v>15</v>
      </c>
      <c r="AN56" s="11">
        <f>MAX(0,AL56-'Live Calc'!$H$21)^'Live Calc'!$E$21</f>
        <v>28.436565606276769</v>
      </c>
      <c r="AO56" s="11">
        <v>56</v>
      </c>
      <c r="AP56" s="11">
        <f>IF(AO56&lt;&gt;_xlfn.MINIFS('Draft Board'!$AO$2:$AO$193,'Draft Board'!$AN$2:$AN$193,"="&amp;AN56),0,IF(_xlfn.MINIFS('Draft Board'!$AN$2:$AN$193,'Draft Board'!$AN$2:$AN$193,"&gt;"&amp;AN56)=0,1,IF((_xlfn.MINIFS('Draft Board'!$AN$2:$AN$193,'Draft Board'!$AN$2:$AN$193,"&gt;"&amp;AN56)-AN56)/_xlfn.MINIFS('Draft Board'!$AN$2:$AN$193,'Draft Board'!$AN$2:$AN$193,"&gt;"&amp;AN56)&gt;0.08,1,0)))</f>
        <v>1</v>
      </c>
      <c r="AQ56" s="11">
        <f>_xlfn.MINIFS('Draft Board'!$AN$2:$AN$193,'Draft Board'!$AN$2:$AN$193,"&gt;="&amp;AN56,'Draft Board'!$AP$2:$AP$193,1)</f>
        <v>28.436565606276769</v>
      </c>
      <c r="AR56" s="11">
        <f>IF(AO56&lt;&gt;_xlfn.MINIFS('Draft Board'!$AO$2:$AO$193,'Draft Board'!$AN$2:$AN$193,"="&amp;AN56),0,IF(OR(AP56=1,IFERROR(FLOOR((AQ56-AN56)/AQ56/0.25,1),0)&lt;&gt;IFERROR(FLOOR((AQ56-_xlfn.MINIFS('Draft Board'!$AN$2:$AN$193,'Draft Board'!$AN$2:$AN$193,"&gt;"&amp;AN56))/AQ56/0.25,1),0)),1,0))</f>
        <v>1</v>
      </c>
      <c r="AS56" s="11">
        <f>ROUND(1+AN56*'Live Calc'!$D$28,0)</f>
        <v>3</v>
      </c>
      <c r="AT56" s="11"/>
      <c r="AU56" s="11">
        <f>IF(AT56&lt;&gt;"",AT56,ROUND(AS56*INDEX('Live Calc'!$G$259:$G$450,MATCH(AM56,'Live Calc'!$A$259:$A$450,0))*'Live Calc'!$J$543,0))</f>
        <v>3</v>
      </c>
      <c r="AW56" s="12" t="s">
        <v>306</v>
      </c>
      <c r="AX56" s="12" t="s">
        <v>57</v>
      </c>
      <c r="AY56" s="12">
        <v>27.41</v>
      </c>
      <c r="AZ56" s="12">
        <v>36.049999999999997</v>
      </c>
      <c r="BA56" s="12">
        <v>44.7</v>
      </c>
      <c r="BB56" s="12">
        <f>CHOOSE(MATCH(Setup!$B$7,{"STD","Half-PPR","PPR"},0),AY56,AZ56,BA56)</f>
        <v>36.049999999999997</v>
      </c>
      <c r="BC56" s="12">
        <f>COUNTIFS('Draft Board'!$BD$2:$BD$87,"&gt;="&amp;BD56,'Draft Board'!$BH$2:$BH$87,1)</f>
        <v>15</v>
      </c>
      <c r="BD56" s="12">
        <f>MAX(0,BB56-'Live Calc'!$H$22)^'Live Calc'!$E$22</f>
        <v>0</v>
      </c>
      <c r="BE56" s="12">
        <v>56</v>
      </c>
      <c r="BF56" s="12">
        <f>IF(BE56&lt;&gt;_xlfn.MINIFS('Draft Board'!$BE$2:$BE$87,'Draft Board'!$BD$2:$BD$87,"="&amp;BD56),0,IF(_xlfn.MINIFS('Draft Board'!$BD$2:$BD$87,'Draft Board'!$BD$2:$BD$87,"&gt;"&amp;BD56)=0,1,IF((_xlfn.MINIFS('Draft Board'!$BD$2:$BD$87,'Draft Board'!$BD$2:$BD$87,"&gt;"&amp;BD56)-BD56)/_xlfn.MINIFS('Draft Board'!$BD$2:$BD$87,'Draft Board'!$BD$2:$BD$87,"&gt;"&amp;BD56)&gt;0.08,1,0)))</f>
        <v>0</v>
      </c>
      <c r="BG56" s="12">
        <f>_xlfn.MINIFS('Draft Board'!$BD$2:$BD$87,'Draft Board'!$BD$2:$BD$87,"&gt;="&amp;BD56,'Draft Board'!$BF$2:$BF$87,1)</f>
        <v>0</v>
      </c>
      <c r="BH56" s="12">
        <f>IF(BE56&lt;&gt;_xlfn.MINIFS('Draft Board'!$BE$2:$BE$87,'Draft Board'!$BD$2:$BD$87,"="&amp;BD56),0,IF(OR(BF56=1,IFERROR(FLOOR((BG56-BD56)/BG56/0.25,1),0)&lt;&gt;IFERROR(FLOOR((BG56-_xlfn.MINIFS('Draft Board'!$BD$2:$BD$87,'Draft Board'!$BD$2:$BD$87,"&gt;"&amp;BD56))/BG56/0.25,1),0)),1,0))</f>
        <v>0</v>
      </c>
      <c r="BI56" s="12">
        <f>ROUND(1+BD56*'Live Calc'!$D$29,0)</f>
        <v>1</v>
      </c>
      <c r="BJ56" s="12"/>
      <c r="BK56" s="12">
        <f>IF(BJ56&lt;&gt;"",BJ56,ROUND(BI56*INDEX('Live Calc'!$G$454:$G$539,MATCH(BC56,'Live Calc'!$A$454:$A$539,0))*'Live Calc'!$J$543,0))</f>
        <v>1</v>
      </c>
    </row>
    <row r="57" spans="1:63" x14ac:dyDescent="0.25">
      <c r="A57" s="9" t="s">
        <v>307</v>
      </c>
      <c r="B57" s="9" t="s">
        <v>119</v>
      </c>
      <c r="C57" s="9">
        <v>14.83</v>
      </c>
      <c r="D57" s="9">
        <v>14.83</v>
      </c>
      <c r="E57" s="9">
        <v>14.83</v>
      </c>
      <c r="F57" s="9">
        <f>CHOOSE(MATCH(Setup!$B$7,{"STD","Half-PPR","PPR"},0),C57,D57,E57)</f>
        <v>14.83</v>
      </c>
      <c r="G57" s="9">
        <f>COUNTIFS('Draft Board'!$H$2:$H$61,"&gt;="&amp;H57,'Draft Board'!$L$2:$L$61,1)</f>
        <v>11</v>
      </c>
      <c r="H57" s="9">
        <f>MAX(0,F57-'Live Calc'!$H$19)^'Live Calc'!$E$19</f>
        <v>0</v>
      </c>
      <c r="I57" s="9">
        <v>57</v>
      </c>
      <c r="J57" s="9">
        <f>IF(I57&lt;&gt;_xlfn.MINIFS('Draft Board'!$I$2:$I$61,'Draft Board'!$H$2:$H$61,"="&amp;H57),0,IF(_xlfn.MINIFS('Draft Board'!$H$2:$H$61,'Draft Board'!$H$2:$H$61,"&gt;"&amp;H57)=0,1,IF((_xlfn.MINIFS('Draft Board'!$H$2:$H$61,'Draft Board'!$H$2:$H$61,"&gt;"&amp;H57)-H57)/_xlfn.MINIFS('Draft Board'!$H$2:$H$61,'Draft Board'!$H$2:$H$61,"&gt;"&amp;H57)&gt;0.08,1,0)))</f>
        <v>0</v>
      </c>
      <c r="K57" s="9">
        <f>_xlfn.MINIFS('Draft Board'!$H$2:$H$61,'Draft Board'!$H$2:$H$61,"&gt;="&amp;H57,'Draft Board'!$J$2:$J$61,1)</f>
        <v>0</v>
      </c>
      <c r="L57" s="9">
        <f>IF(I57&lt;&gt;_xlfn.MINIFS('Draft Board'!$I$2:$I$61,'Draft Board'!$H$2:$H$61,"="&amp;H57),0,IF(OR(J57=1,IFERROR(FLOOR((K57-H57)/K57/0.25,1),0)&lt;&gt;IFERROR(FLOOR((K57-_xlfn.MINIFS('Draft Board'!$H$2:$H$61,'Draft Board'!$H$2:$H$61,"&gt;"&amp;H57))/K57/0.25,1),0)),1,0))</f>
        <v>0</v>
      </c>
      <c r="M57" s="9">
        <f>ROUND(1+H57*'Live Calc'!$D$26,0)</f>
        <v>1</v>
      </c>
      <c r="N57" s="9"/>
      <c r="O57" s="9">
        <f>IF(N57&lt;&gt;"",N57,ROUND(M57*INDEX('Live Calc'!$G$33:$G$92,MATCH(G57,'Live Calc'!$A$33:$A$92,0))*'Live Calc'!$J$543,0))</f>
        <v>1</v>
      </c>
      <c r="Q57" s="10" t="s">
        <v>308</v>
      </c>
      <c r="R57" s="10" t="s">
        <v>85</v>
      </c>
      <c r="S57" s="10">
        <v>62.06</v>
      </c>
      <c r="T57" s="10">
        <v>65.981999999999999</v>
      </c>
      <c r="U57" s="10">
        <v>70.132000000000005</v>
      </c>
      <c r="V57" s="10">
        <f>CHOOSE(MATCH(Setup!$B$7,{"STD","Half-PPR","PPR"},0),S57,T57,U57)</f>
        <v>65.981999999999999</v>
      </c>
      <c r="W57" s="10">
        <f>COUNTIFS('Draft Board'!$X$2:$X$161,"&gt;="&amp;X57,'Draft Board'!$AB$2:$AB$161,1)</f>
        <v>14</v>
      </c>
      <c r="X57" s="10">
        <f>MAX(0,V57-'Live Calc'!$H$20)^'Live Calc'!$E$20</f>
        <v>0</v>
      </c>
      <c r="Y57" s="10">
        <v>57</v>
      </c>
      <c r="Z57" s="10">
        <f>IF(Y57&lt;&gt;_xlfn.MINIFS('Draft Board'!$Y$2:$Y$161,'Draft Board'!$X$2:$X$161,"="&amp;X57),0,IF(_xlfn.MINIFS('Draft Board'!$X$2:$X$161,'Draft Board'!$X$2:$X$161,"&gt;"&amp;X57)=0,1,IF((_xlfn.MINIFS('Draft Board'!$X$2:$X$161,'Draft Board'!$X$2:$X$161,"&gt;"&amp;X57)-X57)/_xlfn.MINIFS('Draft Board'!$X$2:$X$161,'Draft Board'!$X$2:$X$161,"&gt;"&amp;X57)&gt;0.08,1,0)))</f>
        <v>0</v>
      </c>
      <c r="AA57" s="10">
        <f>_xlfn.MINIFS('Draft Board'!$X$2:$X$161,'Draft Board'!$X$2:$X$161,"&gt;="&amp;X57,'Draft Board'!$Z$2:$Z$161,1)</f>
        <v>0</v>
      </c>
      <c r="AB57" s="10">
        <f>IF(Y57&lt;&gt;_xlfn.MINIFS('Draft Board'!$Y$2:$Y$161,'Draft Board'!$X$2:$X$161,"="&amp;X57),0,IF(OR(Z57=1,IFERROR(FLOOR((AA57-X57)/AA57/0.25,1),0)&lt;&gt;IFERROR(FLOOR((AA57-_xlfn.MINIFS('Draft Board'!$X$2:$X$161,'Draft Board'!$X$2:$X$161,"&gt;"&amp;X57))/AA57/0.25,1),0)),1,0))</f>
        <v>0</v>
      </c>
      <c r="AC57" s="10">
        <f>ROUND(1+X57*'Live Calc'!$D$27,0)</f>
        <v>1</v>
      </c>
      <c r="AD57" s="10"/>
      <c r="AE57" s="10">
        <f>IF(AD57&lt;&gt;"",AD57,ROUND(AC57*INDEX('Live Calc'!$G$96:$G$255,MATCH(W57,'Live Calc'!$A$96:$A$255,0))*'Live Calc'!$J$543,0))</f>
        <v>1</v>
      </c>
      <c r="AG57" s="11" t="s">
        <v>309</v>
      </c>
      <c r="AH57" s="11" t="s">
        <v>75</v>
      </c>
      <c r="AI57" s="11">
        <v>91.483999999999995</v>
      </c>
      <c r="AJ57" s="11">
        <v>113.04600000000001</v>
      </c>
      <c r="AK57" s="11">
        <v>136.84</v>
      </c>
      <c r="AL57" s="11">
        <f>CHOOSE(MATCH(Setup!$B$7,{"STD","Half-PPR","PPR"},0),AI57,AJ57,AK57)</f>
        <v>113.04600000000001</v>
      </c>
      <c r="AM57" s="11">
        <f>COUNTIFS('Draft Board'!$AN$2:$AN$193,"&gt;="&amp;AN57,'Draft Board'!$AR$2:$AR$193,1)</f>
        <v>16</v>
      </c>
      <c r="AN57" s="11">
        <f>MAX(0,AL57-'Live Calc'!$H$21)^'Live Calc'!$E$21</f>
        <v>21.884089064155905</v>
      </c>
      <c r="AO57" s="11">
        <v>57</v>
      </c>
      <c r="AP57" s="11">
        <f>IF(AO57&lt;&gt;_xlfn.MINIFS('Draft Board'!$AO$2:$AO$193,'Draft Board'!$AN$2:$AN$193,"="&amp;AN57),0,IF(_xlfn.MINIFS('Draft Board'!$AN$2:$AN$193,'Draft Board'!$AN$2:$AN$193,"&gt;"&amp;AN57)=0,1,IF((_xlfn.MINIFS('Draft Board'!$AN$2:$AN$193,'Draft Board'!$AN$2:$AN$193,"&gt;"&amp;AN57)-AN57)/_xlfn.MINIFS('Draft Board'!$AN$2:$AN$193,'Draft Board'!$AN$2:$AN$193,"&gt;"&amp;AN57)&gt;0.08,1,0)))</f>
        <v>1</v>
      </c>
      <c r="AQ57" s="11">
        <f>_xlfn.MINIFS('Draft Board'!$AN$2:$AN$193,'Draft Board'!$AN$2:$AN$193,"&gt;="&amp;AN57,'Draft Board'!$AP$2:$AP$193,1)</f>
        <v>21.884089064155905</v>
      </c>
      <c r="AR57" s="11">
        <f>IF(AO57&lt;&gt;_xlfn.MINIFS('Draft Board'!$AO$2:$AO$193,'Draft Board'!$AN$2:$AN$193,"="&amp;AN57),0,IF(OR(AP57=1,IFERROR(FLOOR((AQ57-AN57)/AQ57/0.25,1),0)&lt;&gt;IFERROR(FLOOR((AQ57-_xlfn.MINIFS('Draft Board'!$AN$2:$AN$193,'Draft Board'!$AN$2:$AN$193,"&gt;"&amp;AN57))/AQ57/0.25,1),0)),1,0))</f>
        <v>1</v>
      </c>
      <c r="AS57" s="11">
        <f>ROUND(1+AN57*'Live Calc'!$D$28,0)</f>
        <v>3</v>
      </c>
      <c r="AT57" s="11"/>
      <c r="AU57" s="11">
        <f>IF(AT57&lt;&gt;"",AT57,ROUND(AS57*INDEX('Live Calc'!$G$259:$G$450,MATCH(AM57,'Live Calc'!$A$259:$A$450,0))*'Live Calc'!$J$543,0))</f>
        <v>3</v>
      </c>
      <c r="AW57" s="12" t="s">
        <v>310</v>
      </c>
      <c r="AX57" s="12" t="s">
        <v>96</v>
      </c>
      <c r="AY57" s="12">
        <v>25.78</v>
      </c>
      <c r="AZ57" s="12">
        <v>36</v>
      </c>
      <c r="BA57" s="12">
        <v>46.21</v>
      </c>
      <c r="BB57" s="12">
        <f>CHOOSE(MATCH(Setup!$B$7,{"STD","Half-PPR","PPR"},0),AY57,AZ57,BA57)</f>
        <v>36</v>
      </c>
      <c r="BC57" s="12">
        <f>COUNTIFS('Draft Board'!$BD$2:$BD$87,"&gt;="&amp;BD57,'Draft Board'!$BH$2:$BH$87,1)</f>
        <v>15</v>
      </c>
      <c r="BD57" s="12">
        <f>MAX(0,BB57-'Live Calc'!$H$22)^'Live Calc'!$E$22</f>
        <v>0</v>
      </c>
      <c r="BE57" s="12">
        <v>57</v>
      </c>
      <c r="BF57" s="12">
        <f>IF(BE57&lt;&gt;_xlfn.MINIFS('Draft Board'!$BE$2:$BE$87,'Draft Board'!$BD$2:$BD$87,"="&amp;BD57),0,IF(_xlfn.MINIFS('Draft Board'!$BD$2:$BD$87,'Draft Board'!$BD$2:$BD$87,"&gt;"&amp;BD57)=0,1,IF((_xlfn.MINIFS('Draft Board'!$BD$2:$BD$87,'Draft Board'!$BD$2:$BD$87,"&gt;"&amp;BD57)-BD57)/_xlfn.MINIFS('Draft Board'!$BD$2:$BD$87,'Draft Board'!$BD$2:$BD$87,"&gt;"&amp;BD57)&gt;0.08,1,0)))</f>
        <v>0</v>
      </c>
      <c r="BG57" s="12">
        <f>_xlfn.MINIFS('Draft Board'!$BD$2:$BD$87,'Draft Board'!$BD$2:$BD$87,"&gt;="&amp;BD57,'Draft Board'!$BF$2:$BF$87,1)</f>
        <v>0</v>
      </c>
      <c r="BH57" s="12">
        <f>IF(BE57&lt;&gt;_xlfn.MINIFS('Draft Board'!$BE$2:$BE$87,'Draft Board'!$BD$2:$BD$87,"="&amp;BD57),0,IF(OR(BF57=1,IFERROR(FLOOR((BG57-BD57)/BG57/0.25,1),0)&lt;&gt;IFERROR(FLOOR((BG57-_xlfn.MINIFS('Draft Board'!$BD$2:$BD$87,'Draft Board'!$BD$2:$BD$87,"&gt;"&amp;BD57))/BG57/0.25,1),0)),1,0))</f>
        <v>0</v>
      </c>
      <c r="BI57" s="12">
        <f>ROUND(1+BD57*'Live Calc'!$D$29,0)</f>
        <v>1</v>
      </c>
      <c r="BJ57" s="12"/>
      <c r="BK57" s="12">
        <f>IF(BJ57&lt;&gt;"",BJ57,ROUND(BI57*INDEX('Live Calc'!$G$454:$G$539,MATCH(BC57,'Live Calc'!$A$454:$A$539,0))*'Live Calc'!$J$543,0))</f>
        <v>1</v>
      </c>
    </row>
    <row r="58" spans="1:63" x14ac:dyDescent="0.25">
      <c r="A58" s="9" t="s">
        <v>311</v>
      </c>
      <c r="B58" s="9" t="s">
        <v>149</v>
      </c>
      <c r="C58" s="9">
        <v>14.65</v>
      </c>
      <c r="D58" s="9">
        <v>14.65</v>
      </c>
      <c r="E58" s="9">
        <v>14.65</v>
      </c>
      <c r="F58" s="9">
        <f>CHOOSE(MATCH(Setup!$B$7,{"STD","Half-PPR","PPR"},0),C58,D58,E58)</f>
        <v>14.65</v>
      </c>
      <c r="G58" s="9">
        <f>COUNTIFS('Draft Board'!$H$2:$H$61,"&gt;="&amp;H58,'Draft Board'!$L$2:$L$61,1)</f>
        <v>11</v>
      </c>
      <c r="H58" s="9">
        <f>MAX(0,F58-'Live Calc'!$H$19)^'Live Calc'!$E$19</f>
        <v>0</v>
      </c>
      <c r="I58" s="9">
        <v>58</v>
      </c>
      <c r="J58" s="9">
        <f>IF(I58&lt;&gt;_xlfn.MINIFS('Draft Board'!$I$2:$I$61,'Draft Board'!$H$2:$H$61,"="&amp;H58),0,IF(_xlfn.MINIFS('Draft Board'!$H$2:$H$61,'Draft Board'!$H$2:$H$61,"&gt;"&amp;H58)=0,1,IF((_xlfn.MINIFS('Draft Board'!$H$2:$H$61,'Draft Board'!$H$2:$H$61,"&gt;"&amp;H58)-H58)/_xlfn.MINIFS('Draft Board'!$H$2:$H$61,'Draft Board'!$H$2:$H$61,"&gt;"&amp;H58)&gt;0.08,1,0)))</f>
        <v>0</v>
      </c>
      <c r="K58" s="9">
        <f>_xlfn.MINIFS('Draft Board'!$H$2:$H$61,'Draft Board'!$H$2:$H$61,"&gt;="&amp;H58,'Draft Board'!$J$2:$J$61,1)</f>
        <v>0</v>
      </c>
      <c r="L58" s="9">
        <f>IF(I58&lt;&gt;_xlfn.MINIFS('Draft Board'!$I$2:$I$61,'Draft Board'!$H$2:$H$61,"="&amp;H58),0,IF(OR(J58=1,IFERROR(FLOOR((K58-H58)/K58/0.25,1),0)&lt;&gt;IFERROR(FLOOR((K58-_xlfn.MINIFS('Draft Board'!$H$2:$H$61,'Draft Board'!$H$2:$H$61,"&gt;"&amp;H58))/K58/0.25,1),0)),1,0))</f>
        <v>0</v>
      </c>
      <c r="M58" s="9">
        <f>ROUND(1+H58*'Live Calc'!$D$26,0)</f>
        <v>1</v>
      </c>
      <c r="N58" s="9"/>
      <c r="O58" s="9">
        <f>IF(N58&lt;&gt;"",N58,ROUND(M58*INDEX('Live Calc'!$G$33:$G$92,MATCH(G58,'Live Calc'!$A$33:$A$92,0))*'Live Calc'!$J$543,0))</f>
        <v>1</v>
      </c>
      <c r="Q58" s="10" t="s">
        <v>312</v>
      </c>
      <c r="R58" s="10" t="s">
        <v>67</v>
      </c>
      <c r="S58" s="10">
        <v>54.302</v>
      </c>
      <c r="T58" s="10">
        <v>62.09</v>
      </c>
      <c r="U58" s="10">
        <v>70.134</v>
      </c>
      <c r="V58" s="10">
        <f>CHOOSE(MATCH(Setup!$B$7,{"STD","Half-PPR","PPR"},0),S58,T58,U58)</f>
        <v>62.09</v>
      </c>
      <c r="W58" s="10">
        <f>COUNTIFS('Draft Board'!$X$2:$X$161,"&gt;="&amp;X58,'Draft Board'!$AB$2:$AB$161,1)</f>
        <v>14</v>
      </c>
      <c r="X58" s="10">
        <f>MAX(0,V58-'Live Calc'!$H$20)^'Live Calc'!$E$20</f>
        <v>0</v>
      </c>
      <c r="Y58" s="10">
        <v>58</v>
      </c>
      <c r="Z58" s="10">
        <f>IF(Y58&lt;&gt;_xlfn.MINIFS('Draft Board'!$Y$2:$Y$161,'Draft Board'!$X$2:$X$161,"="&amp;X58),0,IF(_xlfn.MINIFS('Draft Board'!$X$2:$X$161,'Draft Board'!$X$2:$X$161,"&gt;"&amp;X58)=0,1,IF((_xlfn.MINIFS('Draft Board'!$X$2:$X$161,'Draft Board'!$X$2:$X$161,"&gt;"&amp;X58)-X58)/_xlfn.MINIFS('Draft Board'!$X$2:$X$161,'Draft Board'!$X$2:$X$161,"&gt;"&amp;X58)&gt;0.08,1,0)))</f>
        <v>0</v>
      </c>
      <c r="AA58" s="10">
        <f>_xlfn.MINIFS('Draft Board'!$X$2:$X$161,'Draft Board'!$X$2:$X$161,"&gt;="&amp;X58,'Draft Board'!$Z$2:$Z$161,1)</f>
        <v>0</v>
      </c>
      <c r="AB58" s="10">
        <f>IF(Y58&lt;&gt;_xlfn.MINIFS('Draft Board'!$Y$2:$Y$161,'Draft Board'!$X$2:$X$161,"="&amp;X58),0,IF(OR(Z58=1,IFERROR(FLOOR((AA58-X58)/AA58/0.25,1),0)&lt;&gt;IFERROR(FLOOR((AA58-_xlfn.MINIFS('Draft Board'!$X$2:$X$161,'Draft Board'!$X$2:$X$161,"&gt;"&amp;X58))/AA58/0.25,1),0)),1,0))</f>
        <v>0</v>
      </c>
      <c r="AC58" s="10">
        <f>ROUND(1+X58*'Live Calc'!$D$27,0)</f>
        <v>1</v>
      </c>
      <c r="AD58" s="10"/>
      <c r="AE58" s="10">
        <f>IF(AD58&lt;&gt;"",AD58,ROUND(AC58*INDEX('Live Calc'!$G$96:$G$255,MATCH(W58,'Live Calc'!$A$96:$A$255,0))*'Live Calc'!$J$543,0))</f>
        <v>1</v>
      </c>
      <c r="AG58" s="11" t="s">
        <v>313</v>
      </c>
      <c r="AH58" s="11" t="s">
        <v>246</v>
      </c>
      <c r="AI58" s="11">
        <v>81.712000000000003</v>
      </c>
      <c r="AJ58" s="11">
        <v>106.468</v>
      </c>
      <c r="AK58" s="11">
        <v>131.74199999999999</v>
      </c>
      <c r="AL58" s="11">
        <f>CHOOSE(MATCH(Setup!$B$7,{"STD","Half-PPR","PPR"},0),AI58,AJ58,AK58)</f>
        <v>106.468</v>
      </c>
      <c r="AM58" s="11">
        <f>COUNTIFS('Draft Board'!$AN$2:$AN$193,"&gt;="&amp;AN58,'Draft Board'!$AR$2:$AR$193,1)</f>
        <v>17</v>
      </c>
      <c r="AN58" s="11">
        <f>MAX(0,AL58-'Live Calc'!$H$21)^'Live Calc'!$E$21</f>
        <v>7.9053203490352653</v>
      </c>
      <c r="AO58" s="11">
        <v>58</v>
      </c>
      <c r="AP58" s="11">
        <f>IF(AO58&lt;&gt;_xlfn.MINIFS('Draft Board'!$AO$2:$AO$193,'Draft Board'!$AN$2:$AN$193,"="&amp;AN58),0,IF(_xlfn.MINIFS('Draft Board'!$AN$2:$AN$193,'Draft Board'!$AN$2:$AN$193,"&gt;"&amp;AN58)=0,1,IF((_xlfn.MINIFS('Draft Board'!$AN$2:$AN$193,'Draft Board'!$AN$2:$AN$193,"&gt;"&amp;AN58)-AN58)/_xlfn.MINIFS('Draft Board'!$AN$2:$AN$193,'Draft Board'!$AN$2:$AN$193,"&gt;"&amp;AN58)&gt;0.08,1,0)))</f>
        <v>1</v>
      </c>
      <c r="AQ58" s="11">
        <f>_xlfn.MINIFS('Draft Board'!$AN$2:$AN$193,'Draft Board'!$AN$2:$AN$193,"&gt;="&amp;AN58,'Draft Board'!$AP$2:$AP$193,1)</f>
        <v>7.9053203490352653</v>
      </c>
      <c r="AR58" s="11">
        <f>IF(AO58&lt;&gt;_xlfn.MINIFS('Draft Board'!$AO$2:$AO$193,'Draft Board'!$AN$2:$AN$193,"="&amp;AN58),0,IF(OR(AP58=1,IFERROR(FLOOR((AQ58-AN58)/AQ58/0.25,1),0)&lt;&gt;IFERROR(FLOOR((AQ58-_xlfn.MINIFS('Draft Board'!$AN$2:$AN$193,'Draft Board'!$AN$2:$AN$193,"&gt;"&amp;AN58))/AQ58/0.25,1),0)),1,0))</f>
        <v>1</v>
      </c>
      <c r="AS58" s="11">
        <f>ROUND(1+AN58*'Live Calc'!$D$28,0)</f>
        <v>2</v>
      </c>
      <c r="AT58" s="11"/>
      <c r="AU58" s="11">
        <f>IF(AT58&lt;&gt;"",AT58,ROUND(AS58*INDEX('Live Calc'!$G$259:$G$450,MATCH(AM58,'Live Calc'!$A$259:$A$450,0))*'Live Calc'!$J$543,0))</f>
        <v>2</v>
      </c>
      <c r="AW58" s="12" t="s">
        <v>314</v>
      </c>
      <c r="AX58" s="12" t="s">
        <v>149</v>
      </c>
      <c r="AY58" s="12">
        <v>26.288</v>
      </c>
      <c r="AZ58" s="12">
        <v>35.572000000000003</v>
      </c>
      <c r="BA58" s="12">
        <v>46.822000000000003</v>
      </c>
      <c r="BB58" s="12">
        <f>CHOOSE(MATCH(Setup!$B$7,{"STD","Half-PPR","PPR"},0),AY58,AZ58,BA58)</f>
        <v>35.572000000000003</v>
      </c>
      <c r="BC58" s="12">
        <f>COUNTIFS('Draft Board'!$BD$2:$BD$87,"&gt;="&amp;BD58,'Draft Board'!$BH$2:$BH$87,1)</f>
        <v>15</v>
      </c>
      <c r="BD58" s="12">
        <f>MAX(0,BB58-'Live Calc'!$H$22)^'Live Calc'!$E$22</f>
        <v>0</v>
      </c>
      <c r="BE58" s="12">
        <v>58</v>
      </c>
      <c r="BF58" s="12">
        <f>IF(BE58&lt;&gt;_xlfn.MINIFS('Draft Board'!$BE$2:$BE$87,'Draft Board'!$BD$2:$BD$87,"="&amp;BD58),0,IF(_xlfn.MINIFS('Draft Board'!$BD$2:$BD$87,'Draft Board'!$BD$2:$BD$87,"&gt;"&amp;BD58)=0,1,IF((_xlfn.MINIFS('Draft Board'!$BD$2:$BD$87,'Draft Board'!$BD$2:$BD$87,"&gt;"&amp;BD58)-BD58)/_xlfn.MINIFS('Draft Board'!$BD$2:$BD$87,'Draft Board'!$BD$2:$BD$87,"&gt;"&amp;BD58)&gt;0.08,1,0)))</f>
        <v>0</v>
      </c>
      <c r="BG58" s="12">
        <f>_xlfn.MINIFS('Draft Board'!$BD$2:$BD$87,'Draft Board'!$BD$2:$BD$87,"&gt;="&amp;BD58,'Draft Board'!$BF$2:$BF$87,1)</f>
        <v>0</v>
      </c>
      <c r="BH58" s="12">
        <f>IF(BE58&lt;&gt;_xlfn.MINIFS('Draft Board'!$BE$2:$BE$87,'Draft Board'!$BD$2:$BD$87,"="&amp;BD58),0,IF(OR(BF58=1,IFERROR(FLOOR((BG58-BD58)/BG58/0.25,1),0)&lt;&gt;IFERROR(FLOOR((BG58-_xlfn.MINIFS('Draft Board'!$BD$2:$BD$87,'Draft Board'!$BD$2:$BD$87,"&gt;"&amp;BD58))/BG58/0.25,1),0)),1,0))</f>
        <v>0</v>
      </c>
      <c r="BI58" s="12">
        <f>ROUND(1+BD58*'Live Calc'!$D$29,0)</f>
        <v>1</v>
      </c>
      <c r="BJ58" s="12"/>
      <c r="BK58" s="12">
        <f>IF(BJ58&lt;&gt;"",BJ58,ROUND(BI58*INDEX('Live Calc'!$G$454:$G$539,MATCH(BC58,'Live Calc'!$A$454:$A$539,0))*'Live Calc'!$J$543,0))</f>
        <v>1</v>
      </c>
    </row>
    <row r="59" spans="1:63" x14ac:dyDescent="0.25">
      <c r="A59" s="9" t="s">
        <v>315</v>
      </c>
      <c r="B59" s="9" t="s">
        <v>59</v>
      </c>
      <c r="C59" s="9">
        <v>14.58</v>
      </c>
      <c r="D59" s="9">
        <v>14.58</v>
      </c>
      <c r="E59" s="9">
        <v>14.58</v>
      </c>
      <c r="F59" s="9">
        <f>CHOOSE(MATCH(Setup!$B$7,{"STD","Half-PPR","PPR"},0),C59,D59,E59)</f>
        <v>14.58</v>
      </c>
      <c r="G59" s="9">
        <f>COUNTIFS('Draft Board'!$H$2:$H$61,"&gt;="&amp;H59,'Draft Board'!$L$2:$L$61,1)</f>
        <v>11</v>
      </c>
      <c r="H59" s="9">
        <f>MAX(0,F59-'Live Calc'!$H$19)^'Live Calc'!$E$19</f>
        <v>0</v>
      </c>
      <c r="I59" s="9">
        <v>59</v>
      </c>
      <c r="J59" s="9">
        <f>IF(I59&lt;&gt;_xlfn.MINIFS('Draft Board'!$I$2:$I$61,'Draft Board'!$H$2:$H$61,"="&amp;H59),0,IF(_xlfn.MINIFS('Draft Board'!$H$2:$H$61,'Draft Board'!$H$2:$H$61,"&gt;"&amp;H59)=0,1,IF((_xlfn.MINIFS('Draft Board'!$H$2:$H$61,'Draft Board'!$H$2:$H$61,"&gt;"&amp;H59)-H59)/_xlfn.MINIFS('Draft Board'!$H$2:$H$61,'Draft Board'!$H$2:$H$61,"&gt;"&amp;H59)&gt;0.08,1,0)))</f>
        <v>0</v>
      </c>
      <c r="K59" s="9">
        <f>_xlfn.MINIFS('Draft Board'!$H$2:$H$61,'Draft Board'!$H$2:$H$61,"&gt;="&amp;H59,'Draft Board'!$J$2:$J$61,1)</f>
        <v>0</v>
      </c>
      <c r="L59" s="9">
        <f>IF(I59&lt;&gt;_xlfn.MINIFS('Draft Board'!$I$2:$I$61,'Draft Board'!$H$2:$H$61,"="&amp;H59),0,IF(OR(J59=1,IFERROR(FLOOR((K59-H59)/K59/0.25,1),0)&lt;&gt;IFERROR(FLOOR((K59-_xlfn.MINIFS('Draft Board'!$H$2:$H$61,'Draft Board'!$H$2:$H$61,"&gt;"&amp;H59))/K59/0.25,1),0)),1,0))</f>
        <v>0</v>
      </c>
      <c r="M59" s="9">
        <f>ROUND(1+H59*'Live Calc'!$D$26,0)</f>
        <v>1</v>
      </c>
      <c r="N59" s="9"/>
      <c r="O59" s="9">
        <f>IF(N59&lt;&gt;"",N59,ROUND(M59*INDEX('Live Calc'!$G$33:$G$92,MATCH(G59,'Live Calc'!$A$33:$A$92,0))*'Live Calc'!$J$543,0))</f>
        <v>1</v>
      </c>
      <c r="Q59" s="10" t="s">
        <v>316</v>
      </c>
      <c r="R59" s="10" t="s">
        <v>55</v>
      </c>
      <c r="S59" s="10">
        <v>50.597999999999999</v>
      </c>
      <c r="T59" s="10">
        <v>59.988</v>
      </c>
      <c r="U59" s="10">
        <v>69.055999999999997</v>
      </c>
      <c r="V59" s="10">
        <f>CHOOSE(MATCH(Setup!$B$7,{"STD","Half-PPR","PPR"},0),S59,T59,U59)</f>
        <v>59.988</v>
      </c>
      <c r="W59" s="10">
        <f>COUNTIFS('Draft Board'!$X$2:$X$161,"&gt;="&amp;X59,'Draft Board'!$AB$2:$AB$161,1)</f>
        <v>14</v>
      </c>
      <c r="X59" s="10">
        <f>MAX(0,V59-'Live Calc'!$H$20)^'Live Calc'!$E$20</f>
        <v>0</v>
      </c>
      <c r="Y59" s="10">
        <v>59</v>
      </c>
      <c r="Z59" s="10">
        <f>IF(Y59&lt;&gt;_xlfn.MINIFS('Draft Board'!$Y$2:$Y$161,'Draft Board'!$X$2:$X$161,"="&amp;X59),0,IF(_xlfn.MINIFS('Draft Board'!$X$2:$X$161,'Draft Board'!$X$2:$X$161,"&gt;"&amp;X59)=0,1,IF((_xlfn.MINIFS('Draft Board'!$X$2:$X$161,'Draft Board'!$X$2:$X$161,"&gt;"&amp;X59)-X59)/_xlfn.MINIFS('Draft Board'!$X$2:$X$161,'Draft Board'!$X$2:$X$161,"&gt;"&amp;X59)&gt;0.08,1,0)))</f>
        <v>0</v>
      </c>
      <c r="AA59" s="10">
        <f>_xlfn.MINIFS('Draft Board'!$X$2:$X$161,'Draft Board'!$X$2:$X$161,"&gt;="&amp;X59,'Draft Board'!$Z$2:$Z$161,1)</f>
        <v>0</v>
      </c>
      <c r="AB59" s="10">
        <f>IF(Y59&lt;&gt;_xlfn.MINIFS('Draft Board'!$Y$2:$Y$161,'Draft Board'!$X$2:$X$161,"="&amp;X59),0,IF(OR(Z59=1,IFERROR(FLOOR((AA59-X59)/AA59/0.25,1),0)&lt;&gt;IFERROR(FLOOR((AA59-_xlfn.MINIFS('Draft Board'!$X$2:$X$161,'Draft Board'!$X$2:$X$161,"&gt;"&amp;X59))/AA59/0.25,1),0)),1,0))</f>
        <v>0</v>
      </c>
      <c r="AC59" s="10">
        <f>ROUND(1+X59*'Live Calc'!$D$27,0)</f>
        <v>1</v>
      </c>
      <c r="AD59" s="10"/>
      <c r="AE59" s="10">
        <f>IF(AD59&lt;&gt;"",AD59,ROUND(AC59*INDEX('Live Calc'!$G$96:$G$255,MATCH(W59,'Live Calc'!$A$96:$A$255,0))*'Live Calc'!$J$543,0))</f>
        <v>1</v>
      </c>
      <c r="AG59" s="11" t="s">
        <v>317</v>
      </c>
      <c r="AH59" s="11" t="s">
        <v>152</v>
      </c>
      <c r="AI59" s="11">
        <v>83.168000000000006</v>
      </c>
      <c r="AJ59" s="11">
        <v>105.59399999999999</v>
      </c>
      <c r="AK59" s="11">
        <v>124.054</v>
      </c>
      <c r="AL59" s="11">
        <f>CHOOSE(MATCH(Setup!$B$7,{"STD","Half-PPR","PPR"},0),AI59,AJ59,AK59)</f>
        <v>105.59399999999999</v>
      </c>
      <c r="AM59" s="11">
        <f>COUNTIFS('Draft Board'!$AN$2:$AN$193,"&gt;="&amp;AN59,'Draft Board'!$AR$2:$AR$193,1)</f>
        <v>18</v>
      </c>
      <c r="AN59" s="11">
        <f>MAX(0,AL59-'Live Calc'!$H$21)^'Live Calc'!$E$21</f>
        <v>6.289419037162836</v>
      </c>
      <c r="AO59" s="11">
        <v>59</v>
      </c>
      <c r="AP59" s="11">
        <f>IF(AO59&lt;&gt;_xlfn.MINIFS('Draft Board'!$AO$2:$AO$193,'Draft Board'!$AN$2:$AN$193,"="&amp;AN59),0,IF(_xlfn.MINIFS('Draft Board'!$AN$2:$AN$193,'Draft Board'!$AN$2:$AN$193,"&gt;"&amp;AN59)=0,1,IF((_xlfn.MINIFS('Draft Board'!$AN$2:$AN$193,'Draft Board'!$AN$2:$AN$193,"&gt;"&amp;AN59)-AN59)/_xlfn.MINIFS('Draft Board'!$AN$2:$AN$193,'Draft Board'!$AN$2:$AN$193,"&gt;"&amp;AN59)&gt;0.08,1,0)))</f>
        <v>1</v>
      </c>
      <c r="AQ59" s="11">
        <f>_xlfn.MINIFS('Draft Board'!$AN$2:$AN$193,'Draft Board'!$AN$2:$AN$193,"&gt;="&amp;AN59,'Draft Board'!$AP$2:$AP$193,1)</f>
        <v>6.289419037162836</v>
      </c>
      <c r="AR59" s="11">
        <f>IF(AO59&lt;&gt;_xlfn.MINIFS('Draft Board'!$AO$2:$AO$193,'Draft Board'!$AN$2:$AN$193,"="&amp;AN59),0,IF(OR(AP59=1,IFERROR(FLOOR((AQ59-AN59)/AQ59/0.25,1),0)&lt;&gt;IFERROR(FLOOR((AQ59-_xlfn.MINIFS('Draft Board'!$AN$2:$AN$193,'Draft Board'!$AN$2:$AN$193,"&gt;"&amp;AN59))/AQ59/0.25,1),0)),1,0))</f>
        <v>1</v>
      </c>
      <c r="AS59" s="11">
        <f>ROUND(1+AN59*'Live Calc'!$D$28,0)</f>
        <v>2</v>
      </c>
      <c r="AT59" s="11"/>
      <c r="AU59" s="11">
        <f>IF(AT59&lt;&gt;"",AT59,ROUND(AS59*INDEX('Live Calc'!$G$259:$G$450,MATCH(AM59,'Live Calc'!$A$259:$A$450,0))*'Live Calc'!$J$543,0))</f>
        <v>2</v>
      </c>
      <c r="AW59" s="12" t="s">
        <v>318</v>
      </c>
      <c r="AX59" s="12" t="s">
        <v>71</v>
      </c>
      <c r="AY59" s="12">
        <v>25.611999999999998</v>
      </c>
      <c r="AZ59" s="12">
        <v>34.746000000000002</v>
      </c>
      <c r="BA59" s="12">
        <v>43.171999999999997</v>
      </c>
      <c r="BB59" s="12">
        <f>CHOOSE(MATCH(Setup!$B$7,{"STD","Half-PPR","PPR"},0),AY59,AZ59,BA59)</f>
        <v>34.746000000000002</v>
      </c>
      <c r="BC59" s="12">
        <f>COUNTIFS('Draft Board'!$BD$2:$BD$87,"&gt;="&amp;BD59,'Draft Board'!$BH$2:$BH$87,1)</f>
        <v>15</v>
      </c>
      <c r="BD59" s="12">
        <f>MAX(0,BB59-'Live Calc'!$H$22)^'Live Calc'!$E$22</f>
        <v>0</v>
      </c>
      <c r="BE59" s="12">
        <v>59</v>
      </c>
      <c r="BF59" s="12">
        <f>IF(BE59&lt;&gt;_xlfn.MINIFS('Draft Board'!$BE$2:$BE$87,'Draft Board'!$BD$2:$BD$87,"="&amp;BD59),0,IF(_xlfn.MINIFS('Draft Board'!$BD$2:$BD$87,'Draft Board'!$BD$2:$BD$87,"&gt;"&amp;BD59)=0,1,IF((_xlfn.MINIFS('Draft Board'!$BD$2:$BD$87,'Draft Board'!$BD$2:$BD$87,"&gt;"&amp;BD59)-BD59)/_xlfn.MINIFS('Draft Board'!$BD$2:$BD$87,'Draft Board'!$BD$2:$BD$87,"&gt;"&amp;BD59)&gt;0.08,1,0)))</f>
        <v>0</v>
      </c>
      <c r="BG59" s="12">
        <f>_xlfn.MINIFS('Draft Board'!$BD$2:$BD$87,'Draft Board'!$BD$2:$BD$87,"&gt;="&amp;BD59,'Draft Board'!$BF$2:$BF$87,1)</f>
        <v>0</v>
      </c>
      <c r="BH59" s="12">
        <f>IF(BE59&lt;&gt;_xlfn.MINIFS('Draft Board'!$BE$2:$BE$87,'Draft Board'!$BD$2:$BD$87,"="&amp;BD59),0,IF(OR(BF59=1,IFERROR(FLOOR((BG59-BD59)/BG59/0.25,1),0)&lt;&gt;IFERROR(FLOOR((BG59-_xlfn.MINIFS('Draft Board'!$BD$2:$BD$87,'Draft Board'!$BD$2:$BD$87,"&gt;"&amp;BD59))/BG59/0.25,1),0)),1,0))</f>
        <v>0</v>
      </c>
      <c r="BI59" s="12">
        <f>ROUND(1+BD59*'Live Calc'!$D$29,0)</f>
        <v>1</v>
      </c>
      <c r="BJ59" s="12"/>
      <c r="BK59" s="12">
        <f>IF(BJ59&lt;&gt;"",BJ59,ROUND(BI59*INDEX('Live Calc'!$G$454:$G$539,MATCH(BC59,'Live Calc'!$A$454:$A$539,0))*'Live Calc'!$J$543,0))</f>
        <v>1</v>
      </c>
    </row>
    <row r="60" spans="1:63" x14ac:dyDescent="0.25">
      <c r="A60" s="9" t="s">
        <v>319</v>
      </c>
      <c r="B60" s="9" t="s">
        <v>85</v>
      </c>
      <c r="C60" s="9">
        <v>13.33</v>
      </c>
      <c r="D60" s="9">
        <v>13.33</v>
      </c>
      <c r="E60" s="9">
        <v>13.33</v>
      </c>
      <c r="F60" s="9">
        <f>CHOOSE(MATCH(Setup!$B$7,{"STD","Half-PPR","PPR"},0),C60,D60,E60)</f>
        <v>13.33</v>
      </c>
      <c r="G60" s="9">
        <f>COUNTIFS('Draft Board'!$H$2:$H$61,"&gt;="&amp;H60,'Draft Board'!$L$2:$L$61,1)</f>
        <v>11</v>
      </c>
      <c r="H60" s="9">
        <f>MAX(0,F60-'Live Calc'!$H$19)^'Live Calc'!$E$19</f>
        <v>0</v>
      </c>
      <c r="I60" s="9">
        <v>60</v>
      </c>
      <c r="J60" s="9">
        <f>IF(I60&lt;&gt;_xlfn.MINIFS('Draft Board'!$I$2:$I$61,'Draft Board'!$H$2:$H$61,"="&amp;H60),0,IF(_xlfn.MINIFS('Draft Board'!$H$2:$H$61,'Draft Board'!$H$2:$H$61,"&gt;"&amp;H60)=0,1,IF((_xlfn.MINIFS('Draft Board'!$H$2:$H$61,'Draft Board'!$H$2:$H$61,"&gt;"&amp;H60)-H60)/_xlfn.MINIFS('Draft Board'!$H$2:$H$61,'Draft Board'!$H$2:$H$61,"&gt;"&amp;H60)&gt;0.08,1,0)))</f>
        <v>0</v>
      </c>
      <c r="K60" s="9">
        <f>_xlfn.MINIFS('Draft Board'!$H$2:$H$61,'Draft Board'!$H$2:$H$61,"&gt;="&amp;H60,'Draft Board'!$J$2:$J$61,1)</f>
        <v>0</v>
      </c>
      <c r="L60" s="9">
        <f>IF(I60&lt;&gt;_xlfn.MINIFS('Draft Board'!$I$2:$I$61,'Draft Board'!$H$2:$H$61,"="&amp;H60),0,IF(OR(J60=1,IFERROR(FLOOR((K60-H60)/K60/0.25,1),0)&lt;&gt;IFERROR(FLOOR((K60-_xlfn.MINIFS('Draft Board'!$H$2:$H$61,'Draft Board'!$H$2:$H$61,"&gt;"&amp;H60))/K60/0.25,1),0)),1,0))</f>
        <v>0</v>
      </c>
      <c r="M60" s="9">
        <f>ROUND(1+H60*'Live Calc'!$D$26,0)</f>
        <v>1</v>
      </c>
      <c r="N60" s="9"/>
      <c r="O60" s="9">
        <f>IF(N60&lt;&gt;"",N60,ROUND(M60*INDEX('Live Calc'!$G$33:$G$92,MATCH(G60,'Live Calc'!$A$33:$A$92,0))*'Live Calc'!$J$543,0))</f>
        <v>1</v>
      </c>
      <c r="Q60" s="10" t="s">
        <v>320</v>
      </c>
      <c r="R60" s="10" t="s">
        <v>69</v>
      </c>
      <c r="S60" s="10">
        <v>56.514000000000003</v>
      </c>
      <c r="T60" s="10">
        <v>58.725999999999999</v>
      </c>
      <c r="U60" s="10">
        <v>64.983999999999995</v>
      </c>
      <c r="V60" s="10">
        <f>CHOOSE(MATCH(Setup!$B$7,{"STD","Half-PPR","PPR"},0),S60,T60,U60)</f>
        <v>58.725999999999999</v>
      </c>
      <c r="W60" s="10">
        <f>COUNTIFS('Draft Board'!$X$2:$X$161,"&gt;="&amp;X60,'Draft Board'!$AB$2:$AB$161,1)</f>
        <v>14</v>
      </c>
      <c r="X60" s="10">
        <f>MAX(0,V60-'Live Calc'!$H$20)^'Live Calc'!$E$20</f>
        <v>0</v>
      </c>
      <c r="Y60" s="10">
        <v>60</v>
      </c>
      <c r="Z60" s="10">
        <f>IF(Y60&lt;&gt;_xlfn.MINIFS('Draft Board'!$Y$2:$Y$161,'Draft Board'!$X$2:$X$161,"="&amp;X60),0,IF(_xlfn.MINIFS('Draft Board'!$X$2:$X$161,'Draft Board'!$X$2:$X$161,"&gt;"&amp;X60)=0,1,IF((_xlfn.MINIFS('Draft Board'!$X$2:$X$161,'Draft Board'!$X$2:$X$161,"&gt;"&amp;X60)-X60)/_xlfn.MINIFS('Draft Board'!$X$2:$X$161,'Draft Board'!$X$2:$X$161,"&gt;"&amp;X60)&gt;0.08,1,0)))</f>
        <v>0</v>
      </c>
      <c r="AA60" s="10">
        <f>_xlfn.MINIFS('Draft Board'!$X$2:$X$161,'Draft Board'!$X$2:$X$161,"&gt;="&amp;X60,'Draft Board'!$Z$2:$Z$161,1)</f>
        <v>0</v>
      </c>
      <c r="AB60" s="10">
        <f>IF(Y60&lt;&gt;_xlfn.MINIFS('Draft Board'!$Y$2:$Y$161,'Draft Board'!$X$2:$X$161,"="&amp;X60),0,IF(OR(Z60=1,IFERROR(FLOOR((AA60-X60)/AA60/0.25,1),0)&lt;&gt;IFERROR(FLOOR((AA60-_xlfn.MINIFS('Draft Board'!$X$2:$X$161,'Draft Board'!$X$2:$X$161,"&gt;"&amp;X60))/AA60/0.25,1),0)),1,0))</f>
        <v>0</v>
      </c>
      <c r="AC60" s="10">
        <f>ROUND(1+X60*'Live Calc'!$D$27,0)</f>
        <v>1</v>
      </c>
      <c r="AD60" s="10"/>
      <c r="AE60" s="10">
        <f>IF(AD60&lt;&gt;"",AD60,ROUND(AC60*INDEX('Live Calc'!$G$96:$G$255,MATCH(W60,'Live Calc'!$A$96:$A$255,0))*'Live Calc'!$J$543,0))</f>
        <v>1</v>
      </c>
      <c r="AG60" s="11" t="s">
        <v>321</v>
      </c>
      <c r="AH60" s="11" t="s">
        <v>69</v>
      </c>
      <c r="AI60" s="11">
        <v>82.034000000000006</v>
      </c>
      <c r="AJ60" s="11">
        <v>103.31399999999999</v>
      </c>
      <c r="AK60" s="11">
        <v>124.764</v>
      </c>
      <c r="AL60" s="11">
        <f>CHOOSE(MATCH(Setup!$B$7,{"STD","Half-PPR","PPR"},0),AI60,AJ60,AK60)</f>
        <v>103.31399999999999</v>
      </c>
      <c r="AM60" s="11">
        <f>COUNTIFS('Draft Board'!$AN$2:$AN$193,"&gt;="&amp;AN60,'Draft Board'!$AR$2:$AR$193,1)</f>
        <v>19</v>
      </c>
      <c r="AN60" s="11">
        <f>MAX(0,AL60-'Live Calc'!$H$21)^'Live Calc'!$E$21</f>
        <v>2.4889200144668919</v>
      </c>
      <c r="AO60" s="11">
        <v>60</v>
      </c>
      <c r="AP60" s="11">
        <f>IF(AO60&lt;&gt;_xlfn.MINIFS('Draft Board'!$AO$2:$AO$193,'Draft Board'!$AN$2:$AN$193,"="&amp;AN60),0,IF(_xlfn.MINIFS('Draft Board'!$AN$2:$AN$193,'Draft Board'!$AN$2:$AN$193,"&gt;"&amp;AN60)=0,1,IF((_xlfn.MINIFS('Draft Board'!$AN$2:$AN$193,'Draft Board'!$AN$2:$AN$193,"&gt;"&amp;AN60)-AN60)/_xlfn.MINIFS('Draft Board'!$AN$2:$AN$193,'Draft Board'!$AN$2:$AN$193,"&gt;"&amp;AN60)&gt;0.08,1,0)))</f>
        <v>1</v>
      </c>
      <c r="AQ60" s="11">
        <f>_xlfn.MINIFS('Draft Board'!$AN$2:$AN$193,'Draft Board'!$AN$2:$AN$193,"&gt;="&amp;AN60,'Draft Board'!$AP$2:$AP$193,1)</f>
        <v>2.4889200144668919</v>
      </c>
      <c r="AR60" s="11">
        <f>IF(AO60&lt;&gt;_xlfn.MINIFS('Draft Board'!$AO$2:$AO$193,'Draft Board'!$AN$2:$AN$193,"="&amp;AN60),0,IF(OR(AP60=1,IFERROR(FLOOR((AQ60-AN60)/AQ60/0.25,1),0)&lt;&gt;IFERROR(FLOOR((AQ60-_xlfn.MINIFS('Draft Board'!$AN$2:$AN$193,'Draft Board'!$AN$2:$AN$193,"&gt;"&amp;AN60))/AQ60/0.25,1),0)),1,0))</f>
        <v>1</v>
      </c>
      <c r="AS60" s="11">
        <f>ROUND(1+AN60*'Live Calc'!$D$28,0)</f>
        <v>1</v>
      </c>
      <c r="AT60" s="11"/>
      <c r="AU60" s="11">
        <f>IF(AT60&lt;&gt;"",AT60,ROUND(AS60*INDEX('Live Calc'!$G$259:$G$450,MATCH(AM60,'Live Calc'!$A$259:$A$450,0))*'Live Calc'!$J$543,0))</f>
        <v>1</v>
      </c>
      <c r="AW60" s="12" t="s">
        <v>322</v>
      </c>
      <c r="AX60" s="12" t="s">
        <v>59</v>
      </c>
      <c r="AY60" s="12">
        <v>25.655999999999999</v>
      </c>
      <c r="AZ60" s="12">
        <v>34.731999999999999</v>
      </c>
      <c r="BA60" s="12">
        <v>43.944000000000003</v>
      </c>
      <c r="BB60" s="12">
        <f>CHOOSE(MATCH(Setup!$B$7,{"STD","Half-PPR","PPR"},0),AY60,AZ60,BA60)</f>
        <v>34.731999999999999</v>
      </c>
      <c r="BC60" s="12">
        <f>COUNTIFS('Draft Board'!$BD$2:$BD$87,"&gt;="&amp;BD60,'Draft Board'!$BH$2:$BH$87,1)</f>
        <v>15</v>
      </c>
      <c r="BD60" s="12">
        <f>MAX(0,BB60-'Live Calc'!$H$22)^'Live Calc'!$E$22</f>
        <v>0</v>
      </c>
      <c r="BE60" s="12">
        <v>60</v>
      </c>
      <c r="BF60" s="12">
        <f>IF(BE60&lt;&gt;_xlfn.MINIFS('Draft Board'!$BE$2:$BE$87,'Draft Board'!$BD$2:$BD$87,"="&amp;BD60),0,IF(_xlfn.MINIFS('Draft Board'!$BD$2:$BD$87,'Draft Board'!$BD$2:$BD$87,"&gt;"&amp;BD60)=0,1,IF((_xlfn.MINIFS('Draft Board'!$BD$2:$BD$87,'Draft Board'!$BD$2:$BD$87,"&gt;"&amp;BD60)-BD60)/_xlfn.MINIFS('Draft Board'!$BD$2:$BD$87,'Draft Board'!$BD$2:$BD$87,"&gt;"&amp;BD60)&gt;0.08,1,0)))</f>
        <v>0</v>
      </c>
      <c r="BG60" s="12">
        <f>_xlfn.MINIFS('Draft Board'!$BD$2:$BD$87,'Draft Board'!$BD$2:$BD$87,"&gt;="&amp;BD60,'Draft Board'!$BF$2:$BF$87,1)</f>
        <v>0</v>
      </c>
      <c r="BH60" s="12">
        <f>IF(BE60&lt;&gt;_xlfn.MINIFS('Draft Board'!$BE$2:$BE$87,'Draft Board'!$BD$2:$BD$87,"="&amp;BD60),0,IF(OR(BF60=1,IFERROR(FLOOR((BG60-BD60)/BG60/0.25,1),0)&lt;&gt;IFERROR(FLOOR((BG60-_xlfn.MINIFS('Draft Board'!$BD$2:$BD$87,'Draft Board'!$BD$2:$BD$87,"&gt;"&amp;BD60))/BG60/0.25,1),0)),1,0))</f>
        <v>0</v>
      </c>
      <c r="BI60" s="12">
        <f>ROUND(1+BD60*'Live Calc'!$D$29,0)</f>
        <v>1</v>
      </c>
      <c r="BJ60" s="12"/>
      <c r="BK60" s="12">
        <f>IF(BJ60&lt;&gt;"",BJ60,ROUND(BI60*INDEX('Live Calc'!$G$454:$G$539,MATCH(BC60,'Live Calc'!$A$454:$A$539,0))*'Live Calc'!$J$543,0))</f>
        <v>1</v>
      </c>
    </row>
    <row r="61" spans="1:63" x14ac:dyDescent="0.25">
      <c r="A61" s="9" t="s">
        <v>323</v>
      </c>
      <c r="B61" s="9" t="s">
        <v>77</v>
      </c>
      <c r="C61" s="9">
        <v>13.07</v>
      </c>
      <c r="D61" s="9">
        <v>13.07</v>
      </c>
      <c r="E61" s="9">
        <v>13.07</v>
      </c>
      <c r="F61" s="9">
        <f>CHOOSE(MATCH(Setup!$B$7,{"STD","Half-PPR","PPR"},0),C61,D61,E61)</f>
        <v>13.07</v>
      </c>
      <c r="G61" s="9">
        <f>COUNTIFS('Draft Board'!$H$2:$H$61,"&gt;="&amp;H61,'Draft Board'!$L$2:$L$61,1)</f>
        <v>11</v>
      </c>
      <c r="H61" s="9">
        <f>MAX(0,F61-'Live Calc'!$H$19)^'Live Calc'!$E$19</f>
        <v>0</v>
      </c>
      <c r="I61" s="9">
        <v>61</v>
      </c>
      <c r="J61" s="9">
        <f>IF(I61&lt;&gt;_xlfn.MINIFS('Draft Board'!$I$2:$I$61,'Draft Board'!$H$2:$H$61,"="&amp;H61),0,IF(_xlfn.MINIFS('Draft Board'!$H$2:$H$61,'Draft Board'!$H$2:$H$61,"&gt;"&amp;H61)=0,1,IF((_xlfn.MINIFS('Draft Board'!$H$2:$H$61,'Draft Board'!$H$2:$H$61,"&gt;"&amp;H61)-H61)/_xlfn.MINIFS('Draft Board'!$H$2:$H$61,'Draft Board'!$H$2:$H$61,"&gt;"&amp;H61)&gt;0.08,1,0)))</f>
        <v>0</v>
      </c>
      <c r="K61" s="9">
        <f>_xlfn.MINIFS('Draft Board'!$H$2:$H$61,'Draft Board'!$H$2:$H$61,"&gt;="&amp;H61,'Draft Board'!$J$2:$J$61,1)</f>
        <v>0</v>
      </c>
      <c r="L61" s="9">
        <f>IF(I61&lt;&gt;_xlfn.MINIFS('Draft Board'!$I$2:$I$61,'Draft Board'!$H$2:$H$61,"="&amp;H61),0,IF(OR(J61=1,IFERROR(FLOOR((K61-H61)/K61/0.25,1),0)&lt;&gt;IFERROR(FLOOR((K61-_xlfn.MINIFS('Draft Board'!$H$2:$H$61,'Draft Board'!$H$2:$H$61,"&gt;"&amp;H61))/K61/0.25,1),0)),1,0))</f>
        <v>0</v>
      </c>
      <c r="M61" s="9">
        <f>ROUND(1+H61*'Live Calc'!$D$26,0)</f>
        <v>1</v>
      </c>
      <c r="N61" s="9"/>
      <c r="O61" s="9">
        <f>IF(N61&lt;&gt;"",N61,ROUND(M61*INDEX('Live Calc'!$G$33:$G$92,MATCH(G61,'Live Calc'!$A$33:$A$92,0))*'Live Calc'!$J$543,0))</f>
        <v>1</v>
      </c>
      <c r="Q61" s="10" t="s">
        <v>324</v>
      </c>
      <c r="R61" s="10" t="s">
        <v>111</v>
      </c>
      <c r="S61" s="10">
        <v>46.98</v>
      </c>
      <c r="T61" s="10">
        <v>54.548000000000002</v>
      </c>
      <c r="U61" s="10">
        <v>62.15</v>
      </c>
      <c r="V61" s="10">
        <f>CHOOSE(MATCH(Setup!$B$7,{"STD","Half-PPR","PPR"},0),S61,T61,U61)</f>
        <v>54.548000000000002</v>
      </c>
      <c r="W61" s="10">
        <f>COUNTIFS('Draft Board'!$X$2:$X$161,"&gt;="&amp;X61,'Draft Board'!$AB$2:$AB$161,1)</f>
        <v>14</v>
      </c>
      <c r="X61" s="10">
        <f>MAX(0,V61-'Live Calc'!$H$20)^'Live Calc'!$E$20</f>
        <v>0</v>
      </c>
      <c r="Y61" s="10">
        <v>61</v>
      </c>
      <c r="Z61" s="10">
        <f>IF(Y61&lt;&gt;_xlfn.MINIFS('Draft Board'!$Y$2:$Y$161,'Draft Board'!$X$2:$X$161,"="&amp;X61),0,IF(_xlfn.MINIFS('Draft Board'!$X$2:$X$161,'Draft Board'!$X$2:$X$161,"&gt;"&amp;X61)=0,1,IF((_xlfn.MINIFS('Draft Board'!$X$2:$X$161,'Draft Board'!$X$2:$X$161,"&gt;"&amp;X61)-X61)/_xlfn.MINIFS('Draft Board'!$X$2:$X$161,'Draft Board'!$X$2:$X$161,"&gt;"&amp;X61)&gt;0.08,1,0)))</f>
        <v>0</v>
      </c>
      <c r="AA61" s="10">
        <f>_xlfn.MINIFS('Draft Board'!$X$2:$X$161,'Draft Board'!$X$2:$X$161,"&gt;="&amp;X61,'Draft Board'!$Z$2:$Z$161,1)</f>
        <v>0</v>
      </c>
      <c r="AB61" s="10">
        <f>IF(Y61&lt;&gt;_xlfn.MINIFS('Draft Board'!$Y$2:$Y$161,'Draft Board'!$X$2:$X$161,"="&amp;X61),0,IF(OR(Z61=1,IFERROR(FLOOR((AA61-X61)/AA61/0.25,1),0)&lt;&gt;IFERROR(FLOOR((AA61-_xlfn.MINIFS('Draft Board'!$X$2:$X$161,'Draft Board'!$X$2:$X$161,"&gt;"&amp;X61))/AA61/0.25,1),0)),1,0))</f>
        <v>0</v>
      </c>
      <c r="AC61" s="10">
        <f>ROUND(1+X61*'Live Calc'!$D$27,0)</f>
        <v>1</v>
      </c>
      <c r="AD61" s="10"/>
      <c r="AE61" s="10">
        <f>IF(AD61&lt;&gt;"",AD61,ROUND(AC61*INDEX('Live Calc'!$G$96:$G$255,MATCH(W61,'Live Calc'!$A$96:$A$255,0))*'Live Calc'!$J$543,0))</f>
        <v>1</v>
      </c>
      <c r="AG61" s="11" t="s">
        <v>325</v>
      </c>
      <c r="AH61" s="11" t="s">
        <v>100</v>
      </c>
      <c r="AI61" s="11">
        <v>78.906000000000006</v>
      </c>
      <c r="AJ61" s="11">
        <v>101.24</v>
      </c>
      <c r="AK61" s="11">
        <v>126.244</v>
      </c>
      <c r="AL61" s="11">
        <f>CHOOSE(MATCH(Setup!$B$7,{"STD","Half-PPR","PPR"},0),AI61,AJ61,AK61)</f>
        <v>101.24</v>
      </c>
      <c r="AM61" s="11">
        <f>COUNTIFS('Draft Board'!$AN$2:$AN$193,"&gt;="&amp;AN61,'Draft Board'!$AR$2:$AR$193,1)</f>
        <v>20</v>
      </c>
      <c r="AN61" s="11">
        <f>MAX(0,AL61-'Live Calc'!$H$21)^'Live Calc'!$E$21</f>
        <v>0</v>
      </c>
      <c r="AO61" s="11">
        <v>61</v>
      </c>
      <c r="AP61" s="11">
        <f>IF(AO61&lt;&gt;_xlfn.MINIFS('Draft Board'!$AO$2:$AO$193,'Draft Board'!$AN$2:$AN$193,"="&amp;AN61),0,IF(_xlfn.MINIFS('Draft Board'!$AN$2:$AN$193,'Draft Board'!$AN$2:$AN$193,"&gt;"&amp;AN61)=0,1,IF((_xlfn.MINIFS('Draft Board'!$AN$2:$AN$193,'Draft Board'!$AN$2:$AN$193,"&gt;"&amp;AN61)-AN61)/_xlfn.MINIFS('Draft Board'!$AN$2:$AN$193,'Draft Board'!$AN$2:$AN$193,"&gt;"&amp;AN61)&gt;0.08,1,0)))</f>
        <v>1</v>
      </c>
      <c r="AQ61" s="11">
        <f>_xlfn.MINIFS('Draft Board'!$AN$2:$AN$193,'Draft Board'!$AN$2:$AN$193,"&gt;="&amp;AN61,'Draft Board'!$AP$2:$AP$193,1)</f>
        <v>0</v>
      </c>
      <c r="AR61" s="11">
        <f>IF(AO61&lt;&gt;_xlfn.MINIFS('Draft Board'!$AO$2:$AO$193,'Draft Board'!$AN$2:$AN$193,"="&amp;AN61),0,IF(OR(AP61=1,IFERROR(FLOOR((AQ61-AN61)/AQ61/0.25,1),0)&lt;&gt;IFERROR(FLOOR((AQ61-_xlfn.MINIFS('Draft Board'!$AN$2:$AN$193,'Draft Board'!$AN$2:$AN$193,"&gt;"&amp;AN61))/AQ61/0.25,1),0)),1,0))</f>
        <v>1</v>
      </c>
      <c r="AS61" s="11">
        <f>ROUND(1+AN61*'Live Calc'!$D$28,0)</f>
        <v>1</v>
      </c>
      <c r="AT61" s="11"/>
      <c r="AU61" s="11">
        <f>IF(AT61&lt;&gt;"",AT61,ROUND(AS61*INDEX('Live Calc'!$G$259:$G$450,MATCH(AM61,'Live Calc'!$A$259:$A$450,0))*'Live Calc'!$J$543,0))</f>
        <v>1</v>
      </c>
      <c r="AW61" s="12" t="s">
        <v>326</v>
      </c>
      <c r="AX61" s="12" t="s">
        <v>181</v>
      </c>
      <c r="AY61" s="12">
        <v>25.18</v>
      </c>
      <c r="AZ61" s="12">
        <v>33.65</v>
      </c>
      <c r="BA61" s="12">
        <v>42.11</v>
      </c>
      <c r="BB61" s="12">
        <f>CHOOSE(MATCH(Setup!$B$7,{"STD","Half-PPR","PPR"},0),AY61,AZ61,BA61)</f>
        <v>33.65</v>
      </c>
      <c r="BC61" s="12">
        <f>COUNTIFS('Draft Board'!$BD$2:$BD$87,"&gt;="&amp;BD61,'Draft Board'!$BH$2:$BH$87,1)</f>
        <v>15</v>
      </c>
      <c r="BD61" s="12">
        <f>MAX(0,BB61-'Live Calc'!$H$22)^'Live Calc'!$E$22</f>
        <v>0</v>
      </c>
      <c r="BE61" s="12">
        <v>61</v>
      </c>
      <c r="BF61" s="12">
        <f>IF(BE61&lt;&gt;_xlfn.MINIFS('Draft Board'!$BE$2:$BE$87,'Draft Board'!$BD$2:$BD$87,"="&amp;BD61),0,IF(_xlfn.MINIFS('Draft Board'!$BD$2:$BD$87,'Draft Board'!$BD$2:$BD$87,"&gt;"&amp;BD61)=0,1,IF((_xlfn.MINIFS('Draft Board'!$BD$2:$BD$87,'Draft Board'!$BD$2:$BD$87,"&gt;"&amp;BD61)-BD61)/_xlfn.MINIFS('Draft Board'!$BD$2:$BD$87,'Draft Board'!$BD$2:$BD$87,"&gt;"&amp;BD61)&gt;0.08,1,0)))</f>
        <v>0</v>
      </c>
      <c r="BG61" s="12">
        <f>_xlfn.MINIFS('Draft Board'!$BD$2:$BD$87,'Draft Board'!$BD$2:$BD$87,"&gt;="&amp;BD61,'Draft Board'!$BF$2:$BF$87,1)</f>
        <v>0</v>
      </c>
      <c r="BH61" s="12">
        <f>IF(BE61&lt;&gt;_xlfn.MINIFS('Draft Board'!$BE$2:$BE$87,'Draft Board'!$BD$2:$BD$87,"="&amp;BD61),0,IF(OR(BF61=1,IFERROR(FLOOR((BG61-BD61)/BG61/0.25,1),0)&lt;&gt;IFERROR(FLOOR((BG61-_xlfn.MINIFS('Draft Board'!$BD$2:$BD$87,'Draft Board'!$BD$2:$BD$87,"&gt;"&amp;BD61))/BG61/0.25,1),0)),1,0))</f>
        <v>0</v>
      </c>
      <c r="BI61" s="12">
        <f>ROUND(1+BD61*'Live Calc'!$D$29,0)</f>
        <v>1</v>
      </c>
      <c r="BJ61" s="12"/>
      <c r="BK61" s="12">
        <f>IF(BJ61&lt;&gt;"",BJ61,ROUND(BI61*INDEX('Live Calc'!$G$454:$G$539,MATCH(BC61,'Live Calc'!$A$454:$A$539,0))*'Live Calc'!$J$543,0))</f>
        <v>1</v>
      </c>
    </row>
    <row r="62" spans="1:63" x14ac:dyDescent="0.25">
      <c r="Q62" s="10" t="s">
        <v>327</v>
      </c>
      <c r="R62" s="10" t="s">
        <v>119</v>
      </c>
      <c r="S62" s="10">
        <v>47.344000000000001</v>
      </c>
      <c r="T62" s="10">
        <v>53.994</v>
      </c>
      <c r="U62" s="10">
        <v>59.777999999999999</v>
      </c>
      <c r="V62" s="10">
        <f>CHOOSE(MATCH(Setup!$B$7,{"STD","Half-PPR","PPR"},0),S62,T62,U62)</f>
        <v>53.994</v>
      </c>
      <c r="W62" s="10">
        <f>COUNTIFS('Draft Board'!$X$2:$X$161,"&gt;="&amp;X62,'Draft Board'!$AB$2:$AB$161,1)</f>
        <v>14</v>
      </c>
      <c r="X62" s="10">
        <f>MAX(0,V62-'Live Calc'!$H$20)^'Live Calc'!$E$20</f>
        <v>0</v>
      </c>
      <c r="Y62" s="10">
        <v>62</v>
      </c>
      <c r="Z62" s="10">
        <f>IF(Y62&lt;&gt;_xlfn.MINIFS('Draft Board'!$Y$2:$Y$161,'Draft Board'!$X$2:$X$161,"="&amp;X62),0,IF(_xlfn.MINIFS('Draft Board'!$X$2:$X$161,'Draft Board'!$X$2:$X$161,"&gt;"&amp;X62)=0,1,IF((_xlfn.MINIFS('Draft Board'!$X$2:$X$161,'Draft Board'!$X$2:$X$161,"&gt;"&amp;X62)-X62)/_xlfn.MINIFS('Draft Board'!$X$2:$X$161,'Draft Board'!$X$2:$X$161,"&gt;"&amp;X62)&gt;0.08,1,0)))</f>
        <v>0</v>
      </c>
      <c r="AA62" s="10">
        <f>_xlfn.MINIFS('Draft Board'!$X$2:$X$161,'Draft Board'!$X$2:$X$161,"&gt;="&amp;X62,'Draft Board'!$Z$2:$Z$161,1)</f>
        <v>0</v>
      </c>
      <c r="AB62" s="10">
        <f>IF(Y62&lt;&gt;_xlfn.MINIFS('Draft Board'!$Y$2:$Y$161,'Draft Board'!$X$2:$X$161,"="&amp;X62),0,IF(OR(Z62=1,IFERROR(FLOOR((AA62-X62)/AA62/0.25,1),0)&lt;&gt;IFERROR(FLOOR((AA62-_xlfn.MINIFS('Draft Board'!$X$2:$X$161,'Draft Board'!$X$2:$X$161,"&gt;"&amp;X62))/AA62/0.25,1),0)),1,0))</f>
        <v>0</v>
      </c>
      <c r="AC62" s="10">
        <f>ROUND(1+X62*'Live Calc'!$D$27,0)</f>
        <v>1</v>
      </c>
      <c r="AD62" s="10"/>
      <c r="AE62" s="10">
        <f>IF(AD62&lt;&gt;"",AD62,ROUND(AC62*INDEX('Live Calc'!$G$96:$G$255,MATCH(W62,'Live Calc'!$A$96:$A$255,0))*'Live Calc'!$J$543,0))</f>
        <v>1</v>
      </c>
      <c r="AG62" s="11" t="s">
        <v>328</v>
      </c>
      <c r="AH62" s="11" t="s">
        <v>143</v>
      </c>
      <c r="AI62" s="11">
        <v>78.581999999999994</v>
      </c>
      <c r="AJ62" s="11">
        <v>101.01</v>
      </c>
      <c r="AK62" s="11">
        <v>122.73399999999999</v>
      </c>
      <c r="AL62" s="11">
        <f>CHOOSE(MATCH(Setup!$B$7,{"STD","Half-PPR","PPR"},0),AI62,AJ62,AK62)</f>
        <v>101.01</v>
      </c>
      <c r="AM62" s="11">
        <f>COUNTIFS('Draft Board'!$AN$2:$AN$193,"&gt;="&amp;AN62,'Draft Board'!$AR$2:$AR$193,1)</f>
        <v>20</v>
      </c>
      <c r="AN62" s="11">
        <f>MAX(0,AL62-'Live Calc'!$H$21)^'Live Calc'!$E$21</f>
        <v>0</v>
      </c>
      <c r="AO62" s="11">
        <v>62</v>
      </c>
      <c r="AP62" s="11">
        <f>IF(AO62&lt;&gt;_xlfn.MINIFS('Draft Board'!$AO$2:$AO$193,'Draft Board'!$AN$2:$AN$193,"="&amp;AN62),0,IF(_xlfn.MINIFS('Draft Board'!$AN$2:$AN$193,'Draft Board'!$AN$2:$AN$193,"&gt;"&amp;AN62)=0,1,IF((_xlfn.MINIFS('Draft Board'!$AN$2:$AN$193,'Draft Board'!$AN$2:$AN$193,"&gt;"&amp;AN62)-AN62)/_xlfn.MINIFS('Draft Board'!$AN$2:$AN$193,'Draft Board'!$AN$2:$AN$193,"&gt;"&amp;AN62)&gt;0.08,1,0)))</f>
        <v>0</v>
      </c>
      <c r="AQ62" s="11">
        <f>_xlfn.MINIFS('Draft Board'!$AN$2:$AN$193,'Draft Board'!$AN$2:$AN$193,"&gt;="&amp;AN62,'Draft Board'!$AP$2:$AP$193,1)</f>
        <v>0</v>
      </c>
      <c r="AR62" s="11">
        <f>IF(AO62&lt;&gt;_xlfn.MINIFS('Draft Board'!$AO$2:$AO$193,'Draft Board'!$AN$2:$AN$193,"="&amp;AN62),0,IF(OR(AP62=1,IFERROR(FLOOR((AQ62-AN62)/AQ62/0.25,1),0)&lt;&gt;IFERROR(FLOOR((AQ62-_xlfn.MINIFS('Draft Board'!$AN$2:$AN$193,'Draft Board'!$AN$2:$AN$193,"&gt;"&amp;AN62))/AQ62/0.25,1),0)),1,0))</f>
        <v>0</v>
      </c>
      <c r="AS62" s="11">
        <f>ROUND(1+AN62*'Live Calc'!$D$28,0)</f>
        <v>1</v>
      </c>
      <c r="AT62" s="11"/>
      <c r="AU62" s="11">
        <f>IF(AT62&lt;&gt;"",AT62,ROUND(AS62*INDEX('Live Calc'!$G$259:$G$450,MATCH(AM62,'Live Calc'!$A$259:$A$450,0))*'Live Calc'!$J$543,0))</f>
        <v>1</v>
      </c>
      <c r="AW62" s="12" t="s">
        <v>329</v>
      </c>
      <c r="AX62" s="12" t="s">
        <v>61</v>
      </c>
      <c r="AY62" s="12">
        <v>23.31</v>
      </c>
      <c r="AZ62" s="12">
        <v>33.159999999999997</v>
      </c>
      <c r="BA62" s="12">
        <v>43.01</v>
      </c>
      <c r="BB62" s="12">
        <f>CHOOSE(MATCH(Setup!$B$7,{"STD","Half-PPR","PPR"},0),AY62,AZ62,BA62)</f>
        <v>33.159999999999997</v>
      </c>
      <c r="BC62" s="12">
        <f>COUNTIFS('Draft Board'!$BD$2:$BD$87,"&gt;="&amp;BD62,'Draft Board'!$BH$2:$BH$87,1)</f>
        <v>15</v>
      </c>
      <c r="BD62" s="12">
        <f>MAX(0,BB62-'Live Calc'!$H$22)^'Live Calc'!$E$22</f>
        <v>0</v>
      </c>
      <c r="BE62" s="12">
        <v>62</v>
      </c>
      <c r="BF62" s="12">
        <f>IF(BE62&lt;&gt;_xlfn.MINIFS('Draft Board'!$BE$2:$BE$87,'Draft Board'!$BD$2:$BD$87,"="&amp;BD62),0,IF(_xlfn.MINIFS('Draft Board'!$BD$2:$BD$87,'Draft Board'!$BD$2:$BD$87,"&gt;"&amp;BD62)=0,1,IF((_xlfn.MINIFS('Draft Board'!$BD$2:$BD$87,'Draft Board'!$BD$2:$BD$87,"&gt;"&amp;BD62)-BD62)/_xlfn.MINIFS('Draft Board'!$BD$2:$BD$87,'Draft Board'!$BD$2:$BD$87,"&gt;"&amp;BD62)&gt;0.08,1,0)))</f>
        <v>0</v>
      </c>
      <c r="BG62" s="12">
        <f>_xlfn.MINIFS('Draft Board'!$BD$2:$BD$87,'Draft Board'!$BD$2:$BD$87,"&gt;="&amp;BD62,'Draft Board'!$BF$2:$BF$87,1)</f>
        <v>0</v>
      </c>
      <c r="BH62" s="12">
        <f>IF(BE62&lt;&gt;_xlfn.MINIFS('Draft Board'!$BE$2:$BE$87,'Draft Board'!$BD$2:$BD$87,"="&amp;BD62),0,IF(OR(BF62=1,IFERROR(FLOOR((BG62-BD62)/BG62/0.25,1),0)&lt;&gt;IFERROR(FLOOR((BG62-_xlfn.MINIFS('Draft Board'!$BD$2:$BD$87,'Draft Board'!$BD$2:$BD$87,"&gt;"&amp;BD62))/BG62/0.25,1),0)),1,0))</f>
        <v>0</v>
      </c>
      <c r="BI62" s="12">
        <f>ROUND(1+BD62*'Live Calc'!$D$29,0)</f>
        <v>1</v>
      </c>
      <c r="BJ62" s="12"/>
      <c r="BK62" s="12">
        <f>IF(BJ62&lt;&gt;"",BJ62,ROUND(BI62*INDEX('Live Calc'!$G$454:$G$539,MATCH(BC62,'Live Calc'!$A$454:$A$539,0))*'Live Calc'!$J$543,0))</f>
        <v>1</v>
      </c>
    </row>
    <row r="63" spans="1:63" x14ac:dyDescent="0.25">
      <c r="Q63" s="10" t="s">
        <v>330</v>
      </c>
      <c r="R63" s="10" t="s">
        <v>96</v>
      </c>
      <c r="S63" s="10">
        <v>47.152000000000001</v>
      </c>
      <c r="T63" s="10">
        <v>52.603999999999999</v>
      </c>
      <c r="U63" s="10">
        <v>58.052</v>
      </c>
      <c r="V63" s="10">
        <f>CHOOSE(MATCH(Setup!$B$7,{"STD","Half-PPR","PPR"},0),S63,T63,U63)</f>
        <v>52.603999999999999</v>
      </c>
      <c r="W63" s="10">
        <f>COUNTIFS('Draft Board'!$X$2:$X$161,"&gt;="&amp;X63,'Draft Board'!$AB$2:$AB$161,1)</f>
        <v>14</v>
      </c>
      <c r="X63" s="10">
        <f>MAX(0,V63-'Live Calc'!$H$20)^'Live Calc'!$E$20</f>
        <v>0</v>
      </c>
      <c r="Y63" s="10">
        <v>63</v>
      </c>
      <c r="Z63" s="10">
        <f>IF(Y63&lt;&gt;_xlfn.MINIFS('Draft Board'!$Y$2:$Y$161,'Draft Board'!$X$2:$X$161,"="&amp;X63),0,IF(_xlfn.MINIFS('Draft Board'!$X$2:$X$161,'Draft Board'!$X$2:$X$161,"&gt;"&amp;X63)=0,1,IF((_xlfn.MINIFS('Draft Board'!$X$2:$X$161,'Draft Board'!$X$2:$X$161,"&gt;"&amp;X63)-X63)/_xlfn.MINIFS('Draft Board'!$X$2:$X$161,'Draft Board'!$X$2:$X$161,"&gt;"&amp;X63)&gt;0.08,1,0)))</f>
        <v>0</v>
      </c>
      <c r="AA63" s="10">
        <f>_xlfn.MINIFS('Draft Board'!$X$2:$X$161,'Draft Board'!$X$2:$X$161,"&gt;="&amp;X63,'Draft Board'!$Z$2:$Z$161,1)</f>
        <v>0</v>
      </c>
      <c r="AB63" s="10">
        <f>IF(Y63&lt;&gt;_xlfn.MINIFS('Draft Board'!$Y$2:$Y$161,'Draft Board'!$X$2:$X$161,"="&amp;X63),0,IF(OR(Z63=1,IFERROR(FLOOR((AA63-X63)/AA63/0.25,1),0)&lt;&gt;IFERROR(FLOOR((AA63-_xlfn.MINIFS('Draft Board'!$X$2:$X$161,'Draft Board'!$X$2:$X$161,"&gt;"&amp;X63))/AA63/0.25,1),0)),1,0))</f>
        <v>0</v>
      </c>
      <c r="AC63" s="10">
        <f>ROUND(1+X63*'Live Calc'!$D$27,0)</f>
        <v>1</v>
      </c>
      <c r="AD63" s="10"/>
      <c r="AE63" s="10">
        <f>IF(AD63&lt;&gt;"",AD63,ROUND(AC63*INDEX('Live Calc'!$G$96:$G$255,MATCH(W63,'Live Calc'!$A$96:$A$255,0))*'Live Calc'!$J$543,0))</f>
        <v>1</v>
      </c>
      <c r="AG63" s="11" t="s">
        <v>331</v>
      </c>
      <c r="AH63" s="11" t="s">
        <v>90</v>
      </c>
      <c r="AI63" s="11">
        <v>77.75</v>
      </c>
      <c r="AJ63" s="11">
        <v>100.52200000000001</v>
      </c>
      <c r="AK63" s="11">
        <v>123.29600000000001</v>
      </c>
      <c r="AL63" s="11">
        <f>CHOOSE(MATCH(Setup!$B$7,{"STD","Half-PPR","PPR"},0),AI63,AJ63,AK63)</f>
        <v>100.52200000000001</v>
      </c>
      <c r="AM63" s="11">
        <f>COUNTIFS('Draft Board'!$AN$2:$AN$193,"&gt;="&amp;AN63,'Draft Board'!$AR$2:$AR$193,1)</f>
        <v>20</v>
      </c>
      <c r="AN63" s="11">
        <f>MAX(0,AL63-'Live Calc'!$H$21)^'Live Calc'!$E$21</f>
        <v>0</v>
      </c>
      <c r="AO63" s="11">
        <v>63</v>
      </c>
      <c r="AP63" s="11">
        <f>IF(AO63&lt;&gt;_xlfn.MINIFS('Draft Board'!$AO$2:$AO$193,'Draft Board'!$AN$2:$AN$193,"="&amp;AN63),0,IF(_xlfn.MINIFS('Draft Board'!$AN$2:$AN$193,'Draft Board'!$AN$2:$AN$193,"&gt;"&amp;AN63)=0,1,IF((_xlfn.MINIFS('Draft Board'!$AN$2:$AN$193,'Draft Board'!$AN$2:$AN$193,"&gt;"&amp;AN63)-AN63)/_xlfn.MINIFS('Draft Board'!$AN$2:$AN$193,'Draft Board'!$AN$2:$AN$193,"&gt;"&amp;AN63)&gt;0.08,1,0)))</f>
        <v>0</v>
      </c>
      <c r="AQ63" s="11">
        <f>_xlfn.MINIFS('Draft Board'!$AN$2:$AN$193,'Draft Board'!$AN$2:$AN$193,"&gt;="&amp;AN63,'Draft Board'!$AP$2:$AP$193,1)</f>
        <v>0</v>
      </c>
      <c r="AR63" s="11">
        <f>IF(AO63&lt;&gt;_xlfn.MINIFS('Draft Board'!$AO$2:$AO$193,'Draft Board'!$AN$2:$AN$193,"="&amp;AN63),0,IF(OR(AP63=1,IFERROR(FLOOR((AQ63-AN63)/AQ63/0.25,1),0)&lt;&gt;IFERROR(FLOOR((AQ63-_xlfn.MINIFS('Draft Board'!$AN$2:$AN$193,'Draft Board'!$AN$2:$AN$193,"&gt;"&amp;AN63))/AQ63/0.25,1),0)),1,0))</f>
        <v>0</v>
      </c>
      <c r="AS63" s="11">
        <f>ROUND(1+AN63*'Live Calc'!$D$28,0)</f>
        <v>1</v>
      </c>
      <c r="AT63" s="11"/>
      <c r="AU63" s="11">
        <f>IF(AT63&lt;&gt;"",AT63,ROUND(AS63*INDEX('Live Calc'!$G$259:$G$450,MATCH(AM63,'Live Calc'!$A$259:$A$450,0))*'Live Calc'!$J$543,0))</f>
        <v>1</v>
      </c>
      <c r="AW63" s="12" t="s">
        <v>332</v>
      </c>
      <c r="AX63" s="12" t="s">
        <v>93</v>
      </c>
      <c r="AY63" s="12">
        <v>23.98</v>
      </c>
      <c r="AZ63" s="12">
        <v>33.11</v>
      </c>
      <c r="BA63" s="12">
        <v>42.25</v>
      </c>
      <c r="BB63" s="12">
        <f>CHOOSE(MATCH(Setup!$B$7,{"STD","Half-PPR","PPR"},0),AY63,AZ63,BA63)</f>
        <v>33.11</v>
      </c>
      <c r="BC63" s="12">
        <f>COUNTIFS('Draft Board'!$BD$2:$BD$87,"&gt;="&amp;BD63,'Draft Board'!$BH$2:$BH$87,1)</f>
        <v>15</v>
      </c>
      <c r="BD63" s="12">
        <f>MAX(0,BB63-'Live Calc'!$H$22)^'Live Calc'!$E$22</f>
        <v>0</v>
      </c>
      <c r="BE63" s="12">
        <v>63</v>
      </c>
      <c r="BF63" s="12">
        <f>IF(BE63&lt;&gt;_xlfn.MINIFS('Draft Board'!$BE$2:$BE$87,'Draft Board'!$BD$2:$BD$87,"="&amp;BD63),0,IF(_xlfn.MINIFS('Draft Board'!$BD$2:$BD$87,'Draft Board'!$BD$2:$BD$87,"&gt;"&amp;BD63)=0,1,IF((_xlfn.MINIFS('Draft Board'!$BD$2:$BD$87,'Draft Board'!$BD$2:$BD$87,"&gt;"&amp;BD63)-BD63)/_xlfn.MINIFS('Draft Board'!$BD$2:$BD$87,'Draft Board'!$BD$2:$BD$87,"&gt;"&amp;BD63)&gt;0.08,1,0)))</f>
        <v>0</v>
      </c>
      <c r="BG63" s="12">
        <f>_xlfn.MINIFS('Draft Board'!$BD$2:$BD$87,'Draft Board'!$BD$2:$BD$87,"&gt;="&amp;BD63,'Draft Board'!$BF$2:$BF$87,1)</f>
        <v>0</v>
      </c>
      <c r="BH63" s="12">
        <f>IF(BE63&lt;&gt;_xlfn.MINIFS('Draft Board'!$BE$2:$BE$87,'Draft Board'!$BD$2:$BD$87,"="&amp;BD63),0,IF(OR(BF63=1,IFERROR(FLOOR((BG63-BD63)/BG63/0.25,1),0)&lt;&gt;IFERROR(FLOOR((BG63-_xlfn.MINIFS('Draft Board'!$BD$2:$BD$87,'Draft Board'!$BD$2:$BD$87,"&gt;"&amp;BD63))/BG63/0.25,1),0)),1,0))</f>
        <v>0</v>
      </c>
      <c r="BI63" s="12">
        <f>ROUND(1+BD63*'Live Calc'!$D$29,0)</f>
        <v>1</v>
      </c>
      <c r="BJ63" s="12"/>
      <c r="BK63" s="12">
        <f>IF(BJ63&lt;&gt;"",BJ63,ROUND(BI63*INDEX('Live Calc'!$G$454:$G$539,MATCH(BC63,'Live Calc'!$A$454:$A$539,0))*'Live Calc'!$J$543,0))</f>
        <v>1</v>
      </c>
    </row>
    <row r="64" spans="1:63" x14ac:dyDescent="0.25">
      <c r="Q64" s="10" t="s">
        <v>333</v>
      </c>
      <c r="R64" s="10" t="s">
        <v>55</v>
      </c>
      <c r="S64" s="10">
        <v>47.335999999999999</v>
      </c>
      <c r="T64" s="10">
        <v>52.552</v>
      </c>
      <c r="U64" s="10">
        <v>57.695999999999998</v>
      </c>
      <c r="V64" s="10">
        <f>CHOOSE(MATCH(Setup!$B$7,{"STD","Half-PPR","PPR"},0),S64,T64,U64)</f>
        <v>52.552</v>
      </c>
      <c r="W64" s="10">
        <f>COUNTIFS('Draft Board'!$X$2:$X$161,"&gt;="&amp;X64,'Draft Board'!$AB$2:$AB$161,1)</f>
        <v>14</v>
      </c>
      <c r="X64" s="10">
        <f>MAX(0,V64-'Live Calc'!$H$20)^'Live Calc'!$E$20</f>
        <v>0</v>
      </c>
      <c r="Y64" s="10">
        <v>64</v>
      </c>
      <c r="Z64" s="10">
        <f>IF(Y64&lt;&gt;_xlfn.MINIFS('Draft Board'!$Y$2:$Y$161,'Draft Board'!$X$2:$X$161,"="&amp;X64),0,IF(_xlfn.MINIFS('Draft Board'!$X$2:$X$161,'Draft Board'!$X$2:$X$161,"&gt;"&amp;X64)=0,1,IF((_xlfn.MINIFS('Draft Board'!$X$2:$X$161,'Draft Board'!$X$2:$X$161,"&gt;"&amp;X64)-X64)/_xlfn.MINIFS('Draft Board'!$X$2:$X$161,'Draft Board'!$X$2:$X$161,"&gt;"&amp;X64)&gt;0.08,1,0)))</f>
        <v>0</v>
      </c>
      <c r="AA64" s="10">
        <f>_xlfn.MINIFS('Draft Board'!$X$2:$X$161,'Draft Board'!$X$2:$X$161,"&gt;="&amp;X64,'Draft Board'!$Z$2:$Z$161,1)</f>
        <v>0</v>
      </c>
      <c r="AB64" s="10">
        <f>IF(Y64&lt;&gt;_xlfn.MINIFS('Draft Board'!$Y$2:$Y$161,'Draft Board'!$X$2:$X$161,"="&amp;X64),0,IF(OR(Z64=1,IFERROR(FLOOR((AA64-X64)/AA64/0.25,1),0)&lt;&gt;IFERROR(FLOOR((AA64-_xlfn.MINIFS('Draft Board'!$X$2:$X$161,'Draft Board'!$X$2:$X$161,"&gt;"&amp;X64))/AA64/0.25,1),0)),1,0))</f>
        <v>0</v>
      </c>
      <c r="AC64" s="10">
        <f>ROUND(1+X64*'Live Calc'!$D$27,0)</f>
        <v>1</v>
      </c>
      <c r="AD64" s="10"/>
      <c r="AE64" s="10">
        <f>IF(AD64&lt;&gt;"",AD64,ROUND(AC64*INDEX('Live Calc'!$G$96:$G$255,MATCH(W64,'Live Calc'!$A$96:$A$255,0))*'Live Calc'!$J$543,0))</f>
        <v>1</v>
      </c>
      <c r="AG64" s="11" t="s">
        <v>334</v>
      </c>
      <c r="AH64" s="11" t="s">
        <v>69</v>
      </c>
      <c r="AI64" s="11">
        <v>77.02</v>
      </c>
      <c r="AJ64" s="11">
        <v>99.097999999999999</v>
      </c>
      <c r="AK64" s="11">
        <v>120.31</v>
      </c>
      <c r="AL64" s="11">
        <f>CHOOSE(MATCH(Setup!$B$7,{"STD","Half-PPR","PPR"},0),AI64,AJ64,AK64)</f>
        <v>99.097999999999999</v>
      </c>
      <c r="AM64" s="11">
        <f>COUNTIFS('Draft Board'!$AN$2:$AN$193,"&gt;="&amp;AN64,'Draft Board'!$AR$2:$AR$193,1)</f>
        <v>20</v>
      </c>
      <c r="AN64" s="11">
        <f>MAX(0,AL64-'Live Calc'!$H$21)^'Live Calc'!$E$21</f>
        <v>0</v>
      </c>
      <c r="AO64" s="11">
        <v>64</v>
      </c>
      <c r="AP64" s="11">
        <f>IF(AO64&lt;&gt;_xlfn.MINIFS('Draft Board'!$AO$2:$AO$193,'Draft Board'!$AN$2:$AN$193,"="&amp;AN64),0,IF(_xlfn.MINIFS('Draft Board'!$AN$2:$AN$193,'Draft Board'!$AN$2:$AN$193,"&gt;"&amp;AN64)=0,1,IF((_xlfn.MINIFS('Draft Board'!$AN$2:$AN$193,'Draft Board'!$AN$2:$AN$193,"&gt;"&amp;AN64)-AN64)/_xlfn.MINIFS('Draft Board'!$AN$2:$AN$193,'Draft Board'!$AN$2:$AN$193,"&gt;"&amp;AN64)&gt;0.08,1,0)))</f>
        <v>0</v>
      </c>
      <c r="AQ64" s="11">
        <f>_xlfn.MINIFS('Draft Board'!$AN$2:$AN$193,'Draft Board'!$AN$2:$AN$193,"&gt;="&amp;AN64,'Draft Board'!$AP$2:$AP$193,1)</f>
        <v>0</v>
      </c>
      <c r="AR64" s="11">
        <f>IF(AO64&lt;&gt;_xlfn.MINIFS('Draft Board'!$AO$2:$AO$193,'Draft Board'!$AN$2:$AN$193,"="&amp;AN64),0,IF(OR(AP64=1,IFERROR(FLOOR((AQ64-AN64)/AQ64/0.25,1),0)&lt;&gt;IFERROR(FLOOR((AQ64-_xlfn.MINIFS('Draft Board'!$AN$2:$AN$193,'Draft Board'!$AN$2:$AN$193,"&gt;"&amp;AN64))/AQ64/0.25,1),0)),1,0))</f>
        <v>0</v>
      </c>
      <c r="AS64" s="11">
        <f>ROUND(1+AN64*'Live Calc'!$D$28,0)</f>
        <v>1</v>
      </c>
      <c r="AT64" s="11"/>
      <c r="AU64" s="11">
        <f>IF(AT64&lt;&gt;"",AT64,ROUND(AS64*INDEX('Live Calc'!$G$259:$G$450,MATCH(AM64,'Live Calc'!$A$259:$A$450,0))*'Live Calc'!$J$543,0))</f>
        <v>1</v>
      </c>
      <c r="AW64" s="12" t="s">
        <v>335</v>
      </c>
      <c r="AX64" s="12" t="s">
        <v>133</v>
      </c>
      <c r="AY64" s="12">
        <v>24.38</v>
      </c>
      <c r="AZ64" s="12">
        <v>32.9</v>
      </c>
      <c r="BA64" s="12">
        <v>41.41</v>
      </c>
      <c r="BB64" s="12">
        <f>CHOOSE(MATCH(Setup!$B$7,{"STD","Half-PPR","PPR"},0),AY64,AZ64,BA64)</f>
        <v>32.9</v>
      </c>
      <c r="BC64" s="12">
        <f>COUNTIFS('Draft Board'!$BD$2:$BD$87,"&gt;="&amp;BD64,'Draft Board'!$BH$2:$BH$87,1)</f>
        <v>15</v>
      </c>
      <c r="BD64" s="12">
        <f>MAX(0,BB64-'Live Calc'!$H$22)^'Live Calc'!$E$22</f>
        <v>0</v>
      </c>
      <c r="BE64" s="12">
        <v>64</v>
      </c>
      <c r="BF64" s="12">
        <f>IF(BE64&lt;&gt;_xlfn.MINIFS('Draft Board'!$BE$2:$BE$87,'Draft Board'!$BD$2:$BD$87,"="&amp;BD64),0,IF(_xlfn.MINIFS('Draft Board'!$BD$2:$BD$87,'Draft Board'!$BD$2:$BD$87,"&gt;"&amp;BD64)=0,1,IF((_xlfn.MINIFS('Draft Board'!$BD$2:$BD$87,'Draft Board'!$BD$2:$BD$87,"&gt;"&amp;BD64)-BD64)/_xlfn.MINIFS('Draft Board'!$BD$2:$BD$87,'Draft Board'!$BD$2:$BD$87,"&gt;"&amp;BD64)&gt;0.08,1,0)))</f>
        <v>0</v>
      </c>
      <c r="BG64" s="12">
        <f>_xlfn.MINIFS('Draft Board'!$BD$2:$BD$87,'Draft Board'!$BD$2:$BD$87,"&gt;="&amp;BD64,'Draft Board'!$BF$2:$BF$87,1)</f>
        <v>0</v>
      </c>
      <c r="BH64" s="12">
        <f>IF(BE64&lt;&gt;_xlfn.MINIFS('Draft Board'!$BE$2:$BE$87,'Draft Board'!$BD$2:$BD$87,"="&amp;BD64),0,IF(OR(BF64=1,IFERROR(FLOOR((BG64-BD64)/BG64/0.25,1),0)&lt;&gt;IFERROR(FLOOR((BG64-_xlfn.MINIFS('Draft Board'!$BD$2:$BD$87,'Draft Board'!$BD$2:$BD$87,"&gt;"&amp;BD64))/BG64/0.25,1),0)),1,0))</f>
        <v>0</v>
      </c>
      <c r="BI64" s="12">
        <f>ROUND(1+BD64*'Live Calc'!$D$29,0)</f>
        <v>1</v>
      </c>
      <c r="BJ64" s="12"/>
      <c r="BK64" s="12">
        <f>IF(BJ64&lt;&gt;"",BJ64,ROUND(BI64*INDEX('Live Calc'!$G$454:$G$539,MATCH(BC64,'Live Calc'!$A$454:$A$539,0))*'Live Calc'!$J$543,0))</f>
        <v>1</v>
      </c>
    </row>
    <row r="65" spans="17:63" x14ac:dyDescent="0.25">
      <c r="Q65" s="10" t="s">
        <v>336</v>
      </c>
      <c r="R65" s="10" t="s">
        <v>152</v>
      </c>
      <c r="S65" s="10">
        <v>49.204000000000001</v>
      </c>
      <c r="T65" s="10">
        <v>52.48</v>
      </c>
      <c r="U65" s="10">
        <v>55.41</v>
      </c>
      <c r="V65" s="10">
        <f>CHOOSE(MATCH(Setup!$B$7,{"STD","Half-PPR","PPR"},0),S65,T65,U65)</f>
        <v>52.48</v>
      </c>
      <c r="W65" s="10">
        <f>COUNTIFS('Draft Board'!$X$2:$X$161,"&gt;="&amp;X65,'Draft Board'!$AB$2:$AB$161,1)</f>
        <v>14</v>
      </c>
      <c r="X65" s="10">
        <f>MAX(0,V65-'Live Calc'!$H$20)^'Live Calc'!$E$20</f>
        <v>0</v>
      </c>
      <c r="Y65" s="10">
        <v>65</v>
      </c>
      <c r="Z65" s="10">
        <f>IF(Y65&lt;&gt;_xlfn.MINIFS('Draft Board'!$Y$2:$Y$161,'Draft Board'!$X$2:$X$161,"="&amp;X65),0,IF(_xlfn.MINIFS('Draft Board'!$X$2:$X$161,'Draft Board'!$X$2:$X$161,"&gt;"&amp;X65)=0,1,IF((_xlfn.MINIFS('Draft Board'!$X$2:$X$161,'Draft Board'!$X$2:$X$161,"&gt;"&amp;X65)-X65)/_xlfn.MINIFS('Draft Board'!$X$2:$X$161,'Draft Board'!$X$2:$X$161,"&gt;"&amp;X65)&gt;0.08,1,0)))</f>
        <v>0</v>
      </c>
      <c r="AA65" s="10">
        <f>_xlfn.MINIFS('Draft Board'!$X$2:$X$161,'Draft Board'!$X$2:$X$161,"&gt;="&amp;X65,'Draft Board'!$Z$2:$Z$161,1)</f>
        <v>0</v>
      </c>
      <c r="AB65" s="10">
        <f>IF(Y65&lt;&gt;_xlfn.MINIFS('Draft Board'!$Y$2:$Y$161,'Draft Board'!$X$2:$X$161,"="&amp;X65),0,IF(OR(Z65=1,IFERROR(FLOOR((AA65-X65)/AA65/0.25,1),0)&lt;&gt;IFERROR(FLOOR((AA65-_xlfn.MINIFS('Draft Board'!$X$2:$X$161,'Draft Board'!$X$2:$X$161,"&gt;"&amp;X65))/AA65/0.25,1),0)),1,0))</f>
        <v>0</v>
      </c>
      <c r="AC65" s="10">
        <f>ROUND(1+X65*'Live Calc'!$D$27,0)</f>
        <v>1</v>
      </c>
      <c r="AD65" s="10"/>
      <c r="AE65" s="10">
        <f>IF(AD65&lt;&gt;"",AD65,ROUND(AC65*INDEX('Live Calc'!$G$96:$G$255,MATCH(W65,'Live Calc'!$A$96:$A$255,0))*'Live Calc'!$J$543,0))</f>
        <v>1</v>
      </c>
      <c r="AG65" s="11" t="s">
        <v>337</v>
      </c>
      <c r="AH65" s="11" t="s">
        <v>90</v>
      </c>
      <c r="AI65" s="11">
        <v>76.438000000000002</v>
      </c>
      <c r="AJ65" s="11">
        <v>98.552000000000007</v>
      </c>
      <c r="AK65" s="11">
        <v>125.324</v>
      </c>
      <c r="AL65" s="11">
        <f>CHOOSE(MATCH(Setup!$B$7,{"STD","Half-PPR","PPR"},0),AI65,AJ65,AK65)</f>
        <v>98.552000000000007</v>
      </c>
      <c r="AM65" s="11">
        <f>COUNTIFS('Draft Board'!$AN$2:$AN$193,"&gt;="&amp;AN65,'Draft Board'!$AR$2:$AR$193,1)</f>
        <v>20</v>
      </c>
      <c r="AN65" s="11">
        <f>MAX(0,AL65-'Live Calc'!$H$21)^'Live Calc'!$E$21</f>
        <v>0</v>
      </c>
      <c r="AO65" s="11">
        <v>65</v>
      </c>
      <c r="AP65" s="11">
        <f>IF(AO65&lt;&gt;_xlfn.MINIFS('Draft Board'!$AO$2:$AO$193,'Draft Board'!$AN$2:$AN$193,"="&amp;AN65),0,IF(_xlfn.MINIFS('Draft Board'!$AN$2:$AN$193,'Draft Board'!$AN$2:$AN$193,"&gt;"&amp;AN65)=0,1,IF((_xlfn.MINIFS('Draft Board'!$AN$2:$AN$193,'Draft Board'!$AN$2:$AN$193,"&gt;"&amp;AN65)-AN65)/_xlfn.MINIFS('Draft Board'!$AN$2:$AN$193,'Draft Board'!$AN$2:$AN$193,"&gt;"&amp;AN65)&gt;0.08,1,0)))</f>
        <v>0</v>
      </c>
      <c r="AQ65" s="11">
        <f>_xlfn.MINIFS('Draft Board'!$AN$2:$AN$193,'Draft Board'!$AN$2:$AN$193,"&gt;="&amp;AN65,'Draft Board'!$AP$2:$AP$193,1)</f>
        <v>0</v>
      </c>
      <c r="AR65" s="11">
        <f>IF(AO65&lt;&gt;_xlfn.MINIFS('Draft Board'!$AO$2:$AO$193,'Draft Board'!$AN$2:$AN$193,"="&amp;AN65),0,IF(OR(AP65=1,IFERROR(FLOOR((AQ65-AN65)/AQ65/0.25,1),0)&lt;&gt;IFERROR(FLOOR((AQ65-_xlfn.MINIFS('Draft Board'!$AN$2:$AN$193,'Draft Board'!$AN$2:$AN$193,"&gt;"&amp;AN65))/AQ65/0.25,1),0)),1,0))</f>
        <v>0</v>
      </c>
      <c r="AS65" s="11">
        <f>ROUND(1+AN65*'Live Calc'!$D$28,0)</f>
        <v>1</v>
      </c>
      <c r="AT65" s="11"/>
      <c r="AU65" s="11">
        <f>IF(AT65&lt;&gt;"",AT65,ROUND(AS65*INDEX('Live Calc'!$G$259:$G$450,MATCH(AM65,'Live Calc'!$A$259:$A$450,0))*'Live Calc'!$J$543,0))</f>
        <v>1</v>
      </c>
      <c r="AW65" s="12" t="s">
        <v>338</v>
      </c>
      <c r="AX65" s="12" t="s">
        <v>126</v>
      </c>
      <c r="AY65" s="12">
        <v>25.01</v>
      </c>
      <c r="AZ65" s="12">
        <v>32.316000000000003</v>
      </c>
      <c r="BA65" s="12">
        <v>38.264000000000003</v>
      </c>
      <c r="BB65" s="12">
        <f>CHOOSE(MATCH(Setup!$B$7,{"STD","Half-PPR","PPR"},0),AY65,AZ65,BA65)</f>
        <v>32.316000000000003</v>
      </c>
      <c r="BC65" s="12">
        <f>COUNTIFS('Draft Board'!$BD$2:$BD$87,"&gt;="&amp;BD65,'Draft Board'!$BH$2:$BH$87,1)</f>
        <v>15</v>
      </c>
      <c r="BD65" s="12">
        <f>MAX(0,BB65-'Live Calc'!$H$22)^'Live Calc'!$E$22</f>
        <v>0</v>
      </c>
      <c r="BE65" s="12">
        <v>65</v>
      </c>
      <c r="BF65" s="12">
        <f>IF(BE65&lt;&gt;_xlfn.MINIFS('Draft Board'!$BE$2:$BE$87,'Draft Board'!$BD$2:$BD$87,"="&amp;BD65),0,IF(_xlfn.MINIFS('Draft Board'!$BD$2:$BD$87,'Draft Board'!$BD$2:$BD$87,"&gt;"&amp;BD65)=0,1,IF((_xlfn.MINIFS('Draft Board'!$BD$2:$BD$87,'Draft Board'!$BD$2:$BD$87,"&gt;"&amp;BD65)-BD65)/_xlfn.MINIFS('Draft Board'!$BD$2:$BD$87,'Draft Board'!$BD$2:$BD$87,"&gt;"&amp;BD65)&gt;0.08,1,0)))</f>
        <v>0</v>
      </c>
      <c r="BG65" s="12">
        <f>_xlfn.MINIFS('Draft Board'!$BD$2:$BD$87,'Draft Board'!$BD$2:$BD$87,"&gt;="&amp;BD65,'Draft Board'!$BF$2:$BF$87,1)</f>
        <v>0</v>
      </c>
      <c r="BH65" s="12">
        <f>IF(BE65&lt;&gt;_xlfn.MINIFS('Draft Board'!$BE$2:$BE$87,'Draft Board'!$BD$2:$BD$87,"="&amp;BD65),0,IF(OR(BF65=1,IFERROR(FLOOR((BG65-BD65)/BG65/0.25,1),0)&lt;&gt;IFERROR(FLOOR((BG65-_xlfn.MINIFS('Draft Board'!$BD$2:$BD$87,'Draft Board'!$BD$2:$BD$87,"&gt;"&amp;BD65))/BG65/0.25,1),0)),1,0))</f>
        <v>0</v>
      </c>
      <c r="BI65" s="12">
        <f>ROUND(1+BD65*'Live Calc'!$D$29,0)</f>
        <v>1</v>
      </c>
      <c r="BJ65" s="12"/>
      <c r="BK65" s="12">
        <f>IF(BJ65&lt;&gt;"",BJ65,ROUND(BI65*INDEX('Live Calc'!$G$454:$G$539,MATCH(BC65,'Live Calc'!$A$454:$A$539,0))*'Live Calc'!$J$543,0))</f>
        <v>1</v>
      </c>
    </row>
    <row r="66" spans="17:63" x14ac:dyDescent="0.25">
      <c r="Q66" s="10" t="s">
        <v>339</v>
      </c>
      <c r="R66" s="10" t="s">
        <v>73</v>
      </c>
      <c r="S66" s="10">
        <v>46.7</v>
      </c>
      <c r="T66" s="10">
        <v>51.21</v>
      </c>
      <c r="U66" s="10">
        <v>57.223999999999997</v>
      </c>
      <c r="V66" s="10">
        <f>CHOOSE(MATCH(Setup!$B$7,{"STD","Half-PPR","PPR"},0),S66,T66,U66)</f>
        <v>51.21</v>
      </c>
      <c r="W66" s="10">
        <f>COUNTIFS('Draft Board'!$X$2:$X$161,"&gt;="&amp;X66,'Draft Board'!$AB$2:$AB$161,1)</f>
        <v>14</v>
      </c>
      <c r="X66" s="10">
        <f>MAX(0,V66-'Live Calc'!$H$20)^'Live Calc'!$E$20</f>
        <v>0</v>
      </c>
      <c r="Y66" s="10">
        <v>66</v>
      </c>
      <c r="Z66" s="10">
        <f>IF(Y66&lt;&gt;_xlfn.MINIFS('Draft Board'!$Y$2:$Y$161,'Draft Board'!$X$2:$X$161,"="&amp;X66),0,IF(_xlfn.MINIFS('Draft Board'!$X$2:$X$161,'Draft Board'!$X$2:$X$161,"&gt;"&amp;X66)=0,1,IF((_xlfn.MINIFS('Draft Board'!$X$2:$X$161,'Draft Board'!$X$2:$X$161,"&gt;"&amp;X66)-X66)/_xlfn.MINIFS('Draft Board'!$X$2:$X$161,'Draft Board'!$X$2:$X$161,"&gt;"&amp;X66)&gt;0.08,1,0)))</f>
        <v>0</v>
      </c>
      <c r="AA66" s="10">
        <f>_xlfn.MINIFS('Draft Board'!$X$2:$X$161,'Draft Board'!$X$2:$X$161,"&gt;="&amp;X66,'Draft Board'!$Z$2:$Z$161,1)</f>
        <v>0</v>
      </c>
      <c r="AB66" s="10">
        <f>IF(Y66&lt;&gt;_xlfn.MINIFS('Draft Board'!$Y$2:$Y$161,'Draft Board'!$X$2:$X$161,"="&amp;X66),0,IF(OR(Z66=1,IFERROR(FLOOR((AA66-X66)/AA66/0.25,1),0)&lt;&gt;IFERROR(FLOOR((AA66-_xlfn.MINIFS('Draft Board'!$X$2:$X$161,'Draft Board'!$X$2:$X$161,"&gt;"&amp;X66))/AA66/0.25,1),0)),1,0))</f>
        <v>0</v>
      </c>
      <c r="AC66" s="10">
        <f>ROUND(1+X66*'Live Calc'!$D$27,0)</f>
        <v>1</v>
      </c>
      <c r="AD66" s="10"/>
      <c r="AE66" s="10">
        <f>IF(AD66&lt;&gt;"",AD66,ROUND(AC66*INDEX('Live Calc'!$G$96:$G$255,MATCH(W66,'Live Calc'!$A$96:$A$255,0))*'Live Calc'!$J$543,0))</f>
        <v>1</v>
      </c>
      <c r="AG66" s="11" t="s">
        <v>340</v>
      </c>
      <c r="AH66" s="11" t="s">
        <v>246</v>
      </c>
      <c r="AI66" s="11">
        <v>75.287999999999997</v>
      </c>
      <c r="AJ66" s="11">
        <v>95.147999999999996</v>
      </c>
      <c r="AK66" s="11">
        <v>114.83</v>
      </c>
      <c r="AL66" s="11">
        <f>CHOOSE(MATCH(Setup!$B$7,{"STD","Half-PPR","PPR"},0),AI66,AJ66,AK66)</f>
        <v>95.147999999999996</v>
      </c>
      <c r="AM66" s="11">
        <f>COUNTIFS('Draft Board'!$AN$2:$AN$193,"&gt;="&amp;AN66,'Draft Board'!$AR$2:$AR$193,1)</f>
        <v>20</v>
      </c>
      <c r="AN66" s="11">
        <f>MAX(0,AL66-'Live Calc'!$H$21)^'Live Calc'!$E$21</f>
        <v>0</v>
      </c>
      <c r="AO66" s="11">
        <v>66</v>
      </c>
      <c r="AP66" s="11">
        <f>IF(AO66&lt;&gt;_xlfn.MINIFS('Draft Board'!$AO$2:$AO$193,'Draft Board'!$AN$2:$AN$193,"="&amp;AN66),0,IF(_xlfn.MINIFS('Draft Board'!$AN$2:$AN$193,'Draft Board'!$AN$2:$AN$193,"&gt;"&amp;AN66)=0,1,IF((_xlfn.MINIFS('Draft Board'!$AN$2:$AN$193,'Draft Board'!$AN$2:$AN$193,"&gt;"&amp;AN66)-AN66)/_xlfn.MINIFS('Draft Board'!$AN$2:$AN$193,'Draft Board'!$AN$2:$AN$193,"&gt;"&amp;AN66)&gt;0.08,1,0)))</f>
        <v>0</v>
      </c>
      <c r="AQ66" s="11">
        <f>_xlfn.MINIFS('Draft Board'!$AN$2:$AN$193,'Draft Board'!$AN$2:$AN$193,"&gt;="&amp;AN66,'Draft Board'!$AP$2:$AP$193,1)</f>
        <v>0</v>
      </c>
      <c r="AR66" s="11">
        <f>IF(AO66&lt;&gt;_xlfn.MINIFS('Draft Board'!$AO$2:$AO$193,'Draft Board'!$AN$2:$AN$193,"="&amp;AN66),0,IF(OR(AP66=1,IFERROR(FLOOR((AQ66-AN66)/AQ66/0.25,1),0)&lt;&gt;IFERROR(FLOOR((AQ66-_xlfn.MINIFS('Draft Board'!$AN$2:$AN$193,'Draft Board'!$AN$2:$AN$193,"&gt;"&amp;AN66))/AQ66/0.25,1),0)),1,0))</f>
        <v>0</v>
      </c>
      <c r="AS66" s="11">
        <f>ROUND(1+AN66*'Live Calc'!$D$28,0)</f>
        <v>1</v>
      </c>
      <c r="AT66" s="11"/>
      <c r="AU66" s="11">
        <f>IF(AT66&lt;&gt;"",AT66,ROUND(AS66*INDEX('Live Calc'!$G$259:$G$450,MATCH(AM66,'Live Calc'!$A$259:$A$450,0))*'Live Calc'!$J$543,0))</f>
        <v>1</v>
      </c>
      <c r="AW66" s="12" t="s">
        <v>341</v>
      </c>
      <c r="AX66" s="12" t="s">
        <v>79</v>
      </c>
      <c r="AY66" s="12">
        <v>23.344000000000001</v>
      </c>
      <c r="AZ66" s="12">
        <v>31.754000000000001</v>
      </c>
      <c r="BA66" s="12">
        <v>40.125999999999998</v>
      </c>
      <c r="BB66" s="12">
        <f>CHOOSE(MATCH(Setup!$B$7,{"STD","Half-PPR","PPR"},0),AY66,AZ66,BA66)</f>
        <v>31.754000000000001</v>
      </c>
      <c r="BC66" s="12">
        <f>COUNTIFS('Draft Board'!$BD$2:$BD$87,"&gt;="&amp;BD66,'Draft Board'!$BH$2:$BH$87,1)</f>
        <v>15</v>
      </c>
      <c r="BD66" s="12">
        <f>MAX(0,BB66-'Live Calc'!$H$22)^'Live Calc'!$E$22</f>
        <v>0</v>
      </c>
      <c r="BE66" s="12">
        <v>66</v>
      </c>
      <c r="BF66" s="12">
        <f>IF(BE66&lt;&gt;_xlfn.MINIFS('Draft Board'!$BE$2:$BE$87,'Draft Board'!$BD$2:$BD$87,"="&amp;BD66),0,IF(_xlfn.MINIFS('Draft Board'!$BD$2:$BD$87,'Draft Board'!$BD$2:$BD$87,"&gt;"&amp;BD66)=0,1,IF((_xlfn.MINIFS('Draft Board'!$BD$2:$BD$87,'Draft Board'!$BD$2:$BD$87,"&gt;"&amp;BD66)-BD66)/_xlfn.MINIFS('Draft Board'!$BD$2:$BD$87,'Draft Board'!$BD$2:$BD$87,"&gt;"&amp;BD66)&gt;0.08,1,0)))</f>
        <v>0</v>
      </c>
      <c r="BG66" s="12">
        <f>_xlfn.MINIFS('Draft Board'!$BD$2:$BD$87,'Draft Board'!$BD$2:$BD$87,"&gt;="&amp;BD66,'Draft Board'!$BF$2:$BF$87,1)</f>
        <v>0</v>
      </c>
      <c r="BH66" s="12">
        <f>IF(BE66&lt;&gt;_xlfn.MINIFS('Draft Board'!$BE$2:$BE$87,'Draft Board'!$BD$2:$BD$87,"="&amp;BD66),0,IF(OR(BF66=1,IFERROR(FLOOR((BG66-BD66)/BG66/0.25,1),0)&lt;&gt;IFERROR(FLOOR((BG66-_xlfn.MINIFS('Draft Board'!$BD$2:$BD$87,'Draft Board'!$BD$2:$BD$87,"&gt;"&amp;BD66))/BG66/0.25,1),0)),1,0))</f>
        <v>0</v>
      </c>
      <c r="BI66" s="12">
        <f>ROUND(1+BD66*'Live Calc'!$D$29,0)</f>
        <v>1</v>
      </c>
      <c r="BJ66" s="12"/>
      <c r="BK66" s="12">
        <f>IF(BJ66&lt;&gt;"",BJ66,ROUND(BI66*INDEX('Live Calc'!$G$454:$G$539,MATCH(BC66,'Live Calc'!$A$454:$A$539,0))*'Live Calc'!$J$543,0))</f>
        <v>1</v>
      </c>
    </row>
    <row r="67" spans="17:63" x14ac:dyDescent="0.25">
      <c r="Q67" s="10" t="s">
        <v>342</v>
      </c>
      <c r="R67" s="10" t="s">
        <v>61</v>
      </c>
      <c r="S67" s="10">
        <v>43.746000000000002</v>
      </c>
      <c r="T67" s="10">
        <v>49.898000000000003</v>
      </c>
      <c r="U67" s="10">
        <v>56.81</v>
      </c>
      <c r="V67" s="10">
        <f>CHOOSE(MATCH(Setup!$B$7,{"STD","Half-PPR","PPR"},0),S67,T67,U67)</f>
        <v>49.898000000000003</v>
      </c>
      <c r="W67" s="10">
        <f>COUNTIFS('Draft Board'!$X$2:$X$161,"&gt;="&amp;X67,'Draft Board'!$AB$2:$AB$161,1)</f>
        <v>14</v>
      </c>
      <c r="X67" s="10">
        <f>MAX(0,V67-'Live Calc'!$H$20)^'Live Calc'!$E$20</f>
        <v>0</v>
      </c>
      <c r="Y67" s="10">
        <v>67</v>
      </c>
      <c r="Z67" s="10">
        <f>IF(Y67&lt;&gt;_xlfn.MINIFS('Draft Board'!$Y$2:$Y$161,'Draft Board'!$X$2:$X$161,"="&amp;X67),0,IF(_xlfn.MINIFS('Draft Board'!$X$2:$X$161,'Draft Board'!$X$2:$X$161,"&gt;"&amp;X67)=0,1,IF((_xlfn.MINIFS('Draft Board'!$X$2:$X$161,'Draft Board'!$X$2:$X$161,"&gt;"&amp;X67)-X67)/_xlfn.MINIFS('Draft Board'!$X$2:$X$161,'Draft Board'!$X$2:$X$161,"&gt;"&amp;X67)&gt;0.08,1,0)))</f>
        <v>0</v>
      </c>
      <c r="AA67" s="10">
        <f>_xlfn.MINIFS('Draft Board'!$X$2:$X$161,'Draft Board'!$X$2:$X$161,"&gt;="&amp;X67,'Draft Board'!$Z$2:$Z$161,1)</f>
        <v>0</v>
      </c>
      <c r="AB67" s="10">
        <f>IF(Y67&lt;&gt;_xlfn.MINIFS('Draft Board'!$Y$2:$Y$161,'Draft Board'!$X$2:$X$161,"="&amp;X67),0,IF(OR(Z67=1,IFERROR(FLOOR((AA67-X67)/AA67/0.25,1),0)&lt;&gt;IFERROR(FLOOR((AA67-_xlfn.MINIFS('Draft Board'!$X$2:$X$161,'Draft Board'!$X$2:$X$161,"&gt;"&amp;X67))/AA67/0.25,1),0)),1,0))</f>
        <v>0</v>
      </c>
      <c r="AC67" s="10">
        <f>ROUND(1+X67*'Live Calc'!$D$27,0)</f>
        <v>1</v>
      </c>
      <c r="AD67" s="10"/>
      <c r="AE67" s="10">
        <f>IF(AD67&lt;&gt;"",AD67,ROUND(AC67*INDEX('Live Calc'!$G$96:$G$255,MATCH(W67,'Live Calc'!$A$96:$A$255,0))*'Live Calc'!$J$543,0))</f>
        <v>1</v>
      </c>
      <c r="AG67" s="11" t="s">
        <v>343</v>
      </c>
      <c r="AH67" s="11" t="s">
        <v>181</v>
      </c>
      <c r="AI67" s="11">
        <v>76.239999999999995</v>
      </c>
      <c r="AJ67" s="11">
        <v>94.474000000000004</v>
      </c>
      <c r="AK67" s="11">
        <v>114.176</v>
      </c>
      <c r="AL67" s="11">
        <f>CHOOSE(MATCH(Setup!$B$7,{"STD","Half-PPR","PPR"},0),AI67,AJ67,AK67)</f>
        <v>94.474000000000004</v>
      </c>
      <c r="AM67" s="11">
        <f>COUNTIFS('Draft Board'!$AN$2:$AN$193,"&gt;="&amp;AN67,'Draft Board'!$AR$2:$AR$193,1)</f>
        <v>20</v>
      </c>
      <c r="AN67" s="11">
        <f>MAX(0,AL67-'Live Calc'!$H$21)^'Live Calc'!$E$21</f>
        <v>0</v>
      </c>
      <c r="AO67" s="11">
        <v>67</v>
      </c>
      <c r="AP67" s="11">
        <f>IF(AO67&lt;&gt;_xlfn.MINIFS('Draft Board'!$AO$2:$AO$193,'Draft Board'!$AN$2:$AN$193,"="&amp;AN67),0,IF(_xlfn.MINIFS('Draft Board'!$AN$2:$AN$193,'Draft Board'!$AN$2:$AN$193,"&gt;"&amp;AN67)=0,1,IF((_xlfn.MINIFS('Draft Board'!$AN$2:$AN$193,'Draft Board'!$AN$2:$AN$193,"&gt;"&amp;AN67)-AN67)/_xlfn.MINIFS('Draft Board'!$AN$2:$AN$193,'Draft Board'!$AN$2:$AN$193,"&gt;"&amp;AN67)&gt;0.08,1,0)))</f>
        <v>0</v>
      </c>
      <c r="AQ67" s="11">
        <f>_xlfn.MINIFS('Draft Board'!$AN$2:$AN$193,'Draft Board'!$AN$2:$AN$193,"&gt;="&amp;AN67,'Draft Board'!$AP$2:$AP$193,1)</f>
        <v>0</v>
      </c>
      <c r="AR67" s="11">
        <f>IF(AO67&lt;&gt;_xlfn.MINIFS('Draft Board'!$AO$2:$AO$193,'Draft Board'!$AN$2:$AN$193,"="&amp;AN67),0,IF(OR(AP67=1,IFERROR(FLOOR((AQ67-AN67)/AQ67/0.25,1),0)&lt;&gt;IFERROR(FLOOR((AQ67-_xlfn.MINIFS('Draft Board'!$AN$2:$AN$193,'Draft Board'!$AN$2:$AN$193,"&gt;"&amp;AN67))/AQ67/0.25,1),0)),1,0))</f>
        <v>0</v>
      </c>
      <c r="AS67" s="11">
        <f>ROUND(1+AN67*'Live Calc'!$D$28,0)</f>
        <v>1</v>
      </c>
      <c r="AT67" s="11"/>
      <c r="AU67" s="11">
        <f>IF(AT67&lt;&gt;"",AT67,ROUND(AS67*INDEX('Live Calc'!$G$259:$G$450,MATCH(AM67,'Live Calc'!$A$259:$A$450,0))*'Live Calc'!$J$543,0))</f>
        <v>1</v>
      </c>
      <c r="AW67" s="12" t="s">
        <v>344</v>
      </c>
      <c r="AX67" s="12" t="s">
        <v>133</v>
      </c>
      <c r="AY67" s="12">
        <v>24.231999999999999</v>
      </c>
      <c r="AZ67" s="12">
        <v>29.47</v>
      </c>
      <c r="BA67" s="12">
        <v>37.014000000000003</v>
      </c>
      <c r="BB67" s="12">
        <f>CHOOSE(MATCH(Setup!$B$7,{"STD","Half-PPR","PPR"},0),AY67,AZ67,BA67)</f>
        <v>29.47</v>
      </c>
      <c r="BC67" s="12">
        <f>COUNTIFS('Draft Board'!$BD$2:$BD$87,"&gt;="&amp;BD67,'Draft Board'!$BH$2:$BH$87,1)</f>
        <v>15</v>
      </c>
      <c r="BD67" s="12">
        <f>MAX(0,BB67-'Live Calc'!$H$22)^'Live Calc'!$E$22</f>
        <v>0</v>
      </c>
      <c r="BE67" s="12">
        <v>67</v>
      </c>
      <c r="BF67" s="12">
        <f>IF(BE67&lt;&gt;_xlfn.MINIFS('Draft Board'!$BE$2:$BE$87,'Draft Board'!$BD$2:$BD$87,"="&amp;BD67),0,IF(_xlfn.MINIFS('Draft Board'!$BD$2:$BD$87,'Draft Board'!$BD$2:$BD$87,"&gt;"&amp;BD67)=0,1,IF((_xlfn.MINIFS('Draft Board'!$BD$2:$BD$87,'Draft Board'!$BD$2:$BD$87,"&gt;"&amp;BD67)-BD67)/_xlfn.MINIFS('Draft Board'!$BD$2:$BD$87,'Draft Board'!$BD$2:$BD$87,"&gt;"&amp;BD67)&gt;0.08,1,0)))</f>
        <v>0</v>
      </c>
      <c r="BG67" s="12">
        <f>_xlfn.MINIFS('Draft Board'!$BD$2:$BD$87,'Draft Board'!$BD$2:$BD$87,"&gt;="&amp;BD67,'Draft Board'!$BF$2:$BF$87,1)</f>
        <v>0</v>
      </c>
      <c r="BH67" s="12">
        <f>IF(BE67&lt;&gt;_xlfn.MINIFS('Draft Board'!$BE$2:$BE$87,'Draft Board'!$BD$2:$BD$87,"="&amp;BD67),0,IF(OR(BF67=1,IFERROR(FLOOR((BG67-BD67)/BG67/0.25,1),0)&lt;&gt;IFERROR(FLOOR((BG67-_xlfn.MINIFS('Draft Board'!$BD$2:$BD$87,'Draft Board'!$BD$2:$BD$87,"&gt;"&amp;BD67))/BG67/0.25,1),0)),1,0))</f>
        <v>0</v>
      </c>
      <c r="BI67" s="12">
        <f>ROUND(1+BD67*'Live Calc'!$D$29,0)</f>
        <v>1</v>
      </c>
      <c r="BJ67" s="12"/>
      <c r="BK67" s="12">
        <f>IF(BJ67&lt;&gt;"",BJ67,ROUND(BI67*INDEX('Live Calc'!$G$454:$G$539,MATCH(BC67,'Live Calc'!$A$454:$A$539,0))*'Live Calc'!$J$543,0))</f>
        <v>1</v>
      </c>
    </row>
    <row r="68" spans="17:63" x14ac:dyDescent="0.25">
      <c r="Q68" s="10" t="s">
        <v>345</v>
      </c>
      <c r="R68" s="10" t="s">
        <v>73</v>
      </c>
      <c r="S68" s="10">
        <v>44.93</v>
      </c>
      <c r="T68" s="10">
        <v>48.69</v>
      </c>
      <c r="U68" s="10">
        <v>53.375999999999998</v>
      </c>
      <c r="V68" s="10">
        <f>CHOOSE(MATCH(Setup!$B$7,{"STD","Half-PPR","PPR"},0),S68,T68,U68)</f>
        <v>48.69</v>
      </c>
      <c r="W68" s="10">
        <f>COUNTIFS('Draft Board'!$X$2:$X$161,"&gt;="&amp;X68,'Draft Board'!$AB$2:$AB$161,1)</f>
        <v>14</v>
      </c>
      <c r="X68" s="10">
        <f>MAX(0,V68-'Live Calc'!$H$20)^'Live Calc'!$E$20</f>
        <v>0</v>
      </c>
      <c r="Y68" s="10">
        <v>68</v>
      </c>
      <c r="Z68" s="10">
        <f>IF(Y68&lt;&gt;_xlfn.MINIFS('Draft Board'!$Y$2:$Y$161,'Draft Board'!$X$2:$X$161,"="&amp;X68),0,IF(_xlfn.MINIFS('Draft Board'!$X$2:$X$161,'Draft Board'!$X$2:$X$161,"&gt;"&amp;X68)=0,1,IF((_xlfn.MINIFS('Draft Board'!$X$2:$X$161,'Draft Board'!$X$2:$X$161,"&gt;"&amp;X68)-X68)/_xlfn.MINIFS('Draft Board'!$X$2:$X$161,'Draft Board'!$X$2:$X$161,"&gt;"&amp;X68)&gt;0.08,1,0)))</f>
        <v>0</v>
      </c>
      <c r="AA68" s="10">
        <f>_xlfn.MINIFS('Draft Board'!$X$2:$X$161,'Draft Board'!$X$2:$X$161,"&gt;="&amp;X68,'Draft Board'!$Z$2:$Z$161,1)</f>
        <v>0</v>
      </c>
      <c r="AB68" s="10">
        <f>IF(Y68&lt;&gt;_xlfn.MINIFS('Draft Board'!$Y$2:$Y$161,'Draft Board'!$X$2:$X$161,"="&amp;X68),0,IF(OR(Z68=1,IFERROR(FLOOR((AA68-X68)/AA68/0.25,1),0)&lt;&gt;IFERROR(FLOOR((AA68-_xlfn.MINIFS('Draft Board'!$X$2:$X$161,'Draft Board'!$X$2:$X$161,"&gt;"&amp;X68))/AA68/0.25,1),0)),1,0))</f>
        <v>0</v>
      </c>
      <c r="AC68" s="10">
        <f>ROUND(1+X68*'Live Calc'!$D$27,0)</f>
        <v>1</v>
      </c>
      <c r="AD68" s="10"/>
      <c r="AE68" s="10">
        <f>IF(AD68&lt;&gt;"",AD68,ROUND(AC68*INDEX('Live Calc'!$G$96:$G$255,MATCH(W68,'Live Calc'!$A$96:$A$255,0))*'Live Calc'!$J$543,0))</f>
        <v>1</v>
      </c>
      <c r="AG68" s="11" t="s">
        <v>346</v>
      </c>
      <c r="AH68" s="11" t="s">
        <v>143</v>
      </c>
      <c r="AI68" s="11">
        <v>72.953999999999994</v>
      </c>
      <c r="AJ68" s="11">
        <v>93.555999999999997</v>
      </c>
      <c r="AK68" s="11">
        <v>112.194</v>
      </c>
      <c r="AL68" s="11">
        <f>CHOOSE(MATCH(Setup!$B$7,{"STD","Half-PPR","PPR"},0),AI68,AJ68,AK68)</f>
        <v>93.555999999999997</v>
      </c>
      <c r="AM68" s="11">
        <f>COUNTIFS('Draft Board'!$AN$2:$AN$193,"&gt;="&amp;AN68,'Draft Board'!$AR$2:$AR$193,1)</f>
        <v>20</v>
      </c>
      <c r="AN68" s="11">
        <f>MAX(0,AL68-'Live Calc'!$H$21)^'Live Calc'!$E$21</f>
        <v>0</v>
      </c>
      <c r="AO68" s="11">
        <v>68</v>
      </c>
      <c r="AP68" s="11">
        <f>IF(AO68&lt;&gt;_xlfn.MINIFS('Draft Board'!$AO$2:$AO$193,'Draft Board'!$AN$2:$AN$193,"="&amp;AN68),0,IF(_xlfn.MINIFS('Draft Board'!$AN$2:$AN$193,'Draft Board'!$AN$2:$AN$193,"&gt;"&amp;AN68)=0,1,IF((_xlfn.MINIFS('Draft Board'!$AN$2:$AN$193,'Draft Board'!$AN$2:$AN$193,"&gt;"&amp;AN68)-AN68)/_xlfn.MINIFS('Draft Board'!$AN$2:$AN$193,'Draft Board'!$AN$2:$AN$193,"&gt;"&amp;AN68)&gt;0.08,1,0)))</f>
        <v>0</v>
      </c>
      <c r="AQ68" s="11">
        <f>_xlfn.MINIFS('Draft Board'!$AN$2:$AN$193,'Draft Board'!$AN$2:$AN$193,"&gt;="&amp;AN68,'Draft Board'!$AP$2:$AP$193,1)</f>
        <v>0</v>
      </c>
      <c r="AR68" s="11">
        <f>IF(AO68&lt;&gt;_xlfn.MINIFS('Draft Board'!$AO$2:$AO$193,'Draft Board'!$AN$2:$AN$193,"="&amp;AN68),0,IF(OR(AP68=1,IFERROR(FLOOR((AQ68-AN68)/AQ68/0.25,1),0)&lt;&gt;IFERROR(FLOOR((AQ68-_xlfn.MINIFS('Draft Board'!$AN$2:$AN$193,'Draft Board'!$AN$2:$AN$193,"&gt;"&amp;AN68))/AQ68/0.25,1),0)),1,0))</f>
        <v>0</v>
      </c>
      <c r="AS68" s="11">
        <f>ROUND(1+AN68*'Live Calc'!$D$28,0)</f>
        <v>1</v>
      </c>
      <c r="AT68" s="11"/>
      <c r="AU68" s="11">
        <f>IF(AT68&lt;&gt;"",AT68,ROUND(AS68*INDEX('Live Calc'!$G$259:$G$450,MATCH(AM68,'Live Calc'!$A$259:$A$450,0))*'Live Calc'!$J$543,0))</f>
        <v>1</v>
      </c>
      <c r="AW68" s="12" t="s">
        <v>347</v>
      </c>
      <c r="AX68" s="12" t="s">
        <v>69</v>
      </c>
      <c r="AY68" s="12">
        <v>22.3</v>
      </c>
      <c r="AZ68" s="12">
        <v>29.3</v>
      </c>
      <c r="BA68" s="12">
        <v>36.299999999999997</v>
      </c>
      <c r="BB68" s="12">
        <f>CHOOSE(MATCH(Setup!$B$7,{"STD","Half-PPR","PPR"},0),AY68,AZ68,BA68)</f>
        <v>29.3</v>
      </c>
      <c r="BC68" s="12">
        <f>COUNTIFS('Draft Board'!$BD$2:$BD$87,"&gt;="&amp;BD68,'Draft Board'!$BH$2:$BH$87,1)</f>
        <v>15</v>
      </c>
      <c r="BD68" s="12">
        <f>MAX(0,BB68-'Live Calc'!$H$22)^'Live Calc'!$E$22</f>
        <v>0</v>
      </c>
      <c r="BE68" s="12">
        <v>68</v>
      </c>
      <c r="BF68" s="12">
        <f>IF(BE68&lt;&gt;_xlfn.MINIFS('Draft Board'!$BE$2:$BE$87,'Draft Board'!$BD$2:$BD$87,"="&amp;BD68),0,IF(_xlfn.MINIFS('Draft Board'!$BD$2:$BD$87,'Draft Board'!$BD$2:$BD$87,"&gt;"&amp;BD68)=0,1,IF((_xlfn.MINIFS('Draft Board'!$BD$2:$BD$87,'Draft Board'!$BD$2:$BD$87,"&gt;"&amp;BD68)-BD68)/_xlfn.MINIFS('Draft Board'!$BD$2:$BD$87,'Draft Board'!$BD$2:$BD$87,"&gt;"&amp;BD68)&gt;0.08,1,0)))</f>
        <v>0</v>
      </c>
      <c r="BG68" s="12">
        <f>_xlfn.MINIFS('Draft Board'!$BD$2:$BD$87,'Draft Board'!$BD$2:$BD$87,"&gt;="&amp;BD68,'Draft Board'!$BF$2:$BF$87,1)</f>
        <v>0</v>
      </c>
      <c r="BH68" s="12">
        <f>IF(BE68&lt;&gt;_xlfn.MINIFS('Draft Board'!$BE$2:$BE$87,'Draft Board'!$BD$2:$BD$87,"="&amp;BD68),0,IF(OR(BF68=1,IFERROR(FLOOR((BG68-BD68)/BG68/0.25,1),0)&lt;&gt;IFERROR(FLOOR((BG68-_xlfn.MINIFS('Draft Board'!$BD$2:$BD$87,'Draft Board'!$BD$2:$BD$87,"&gt;"&amp;BD68))/BG68/0.25,1),0)),1,0))</f>
        <v>0</v>
      </c>
      <c r="BI68" s="12">
        <f>ROUND(1+BD68*'Live Calc'!$D$29,0)</f>
        <v>1</v>
      </c>
      <c r="BJ68" s="12"/>
      <c r="BK68" s="12">
        <f>IF(BJ68&lt;&gt;"",BJ68,ROUND(BI68*INDEX('Live Calc'!$G$454:$G$539,MATCH(BC68,'Live Calc'!$A$454:$A$539,0))*'Live Calc'!$J$543,0))</f>
        <v>1</v>
      </c>
    </row>
    <row r="69" spans="17:63" x14ac:dyDescent="0.25">
      <c r="Q69" s="10" t="s">
        <v>348</v>
      </c>
      <c r="R69" s="10" t="s">
        <v>75</v>
      </c>
      <c r="S69" s="10">
        <v>44.002000000000002</v>
      </c>
      <c r="T69" s="10">
        <v>48.302</v>
      </c>
      <c r="U69" s="10">
        <v>52.826000000000001</v>
      </c>
      <c r="V69" s="10">
        <f>CHOOSE(MATCH(Setup!$B$7,{"STD","Half-PPR","PPR"},0),S69,T69,U69)</f>
        <v>48.302</v>
      </c>
      <c r="W69" s="10">
        <f>COUNTIFS('Draft Board'!$X$2:$X$161,"&gt;="&amp;X69,'Draft Board'!$AB$2:$AB$161,1)</f>
        <v>14</v>
      </c>
      <c r="X69" s="10">
        <f>MAX(0,V69-'Live Calc'!$H$20)^'Live Calc'!$E$20</f>
        <v>0</v>
      </c>
      <c r="Y69" s="10">
        <v>69</v>
      </c>
      <c r="Z69" s="10">
        <f>IF(Y69&lt;&gt;_xlfn.MINIFS('Draft Board'!$Y$2:$Y$161,'Draft Board'!$X$2:$X$161,"="&amp;X69),0,IF(_xlfn.MINIFS('Draft Board'!$X$2:$X$161,'Draft Board'!$X$2:$X$161,"&gt;"&amp;X69)=0,1,IF((_xlfn.MINIFS('Draft Board'!$X$2:$X$161,'Draft Board'!$X$2:$X$161,"&gt;"&amp;X69)-X69)/_xlfn.MINIFS('Draft Board'!$X$2:$X$161,'Draft Board'!$X$2:$X$161,"&gt;"&amp;X69)&gt;0.08,1,0)))</f>
        <v>0</v>
      </c>
      <c r="AA69" s="10">
        <f>_xlfn.MINIFS('Draft Board'!$X$2:$X$161,'Draft Board'!$X$2:$X$161,"&gt;="&amp;X69,'Draft Board'!$Z$2:$Z$161,1)</f>
        <v>0</v>
      </c>
      <c r="AB69" s="10">
        <f>IF(Y69&lt;&gt;_xlfn.MINIFS('Draft Board'!$Y$2:$Y$161,'Draft Board'!$X$2:$X$161,"="&amp;X69),0,IF(OR(Z69=1,IFERROR(FLOOR((AA69-X69)/AA69/0.25,1),0)&lt;&gt;IFERROR(FLOOR((AA69-_xlfn.MINIFS('Draft Board'!$X$2:$X$161,'Draft Board'!$X$2:$X$161,"&gt;"&amp;X69))/AA69/0.25,1),0)),1,0))</f>
        <v>0</v>
      </c>
      <c r="AC69" s="10">
        <f>ROUND(1+X69*'Live Calc'!$D$27,0)</f>
        <v>1</v>
      </c>
      <c r="AD69" s="10"/>
      <c r="AE69" s="10">
        <f>IF(AD69&lt;&gt;"",AD69,ROUND(AC69*INDEX('Live Calc'!$G$96:$G$255,MATCH(W69,'Live Calc'!$A$96:$A$255,0))*'Live Calc'!$J$543,0))</f>
        <v>1</v>
      </c>
      <c r="AG69" s="11" t="s">
        <v>349</v>
      </c>
      <c r="AH69" s="11" t="s">
        <v>88</v>
      </c>
      <c r="AI69" s="11">
        <v>69.92</v>
      </c>
      <c r="AJ69" s="11">
        <v>91.087999999999994</v>
      </c>
      <c r="AK69" s="11">
        <v>111.768</v>
      </c>
      <c r="AL69" s="11">
        <f>CHOOSE(MATCH(Setup!$B$7,{"STD","Half-PPR","PPR"},0),AI69,AJ69,AK69)</f>
        <v>91.087999999999994</v>
      </c>
      <c r="AM69" s="11">
        <f>COUNTIFS('Draft Board'!$AN$2:$AN$193,"&gt;="&amp;AN69,'Draft Board'!$AR$2:$AR$193,1)</f>
        <v>20</v>
      </c>
      <c r="AN69" s="11">
        <f>MAX(0,AL69-'Live Calc'!$H$21)^'Live Calc'!$E$21</f>
        <v>0</v>
      </c>
      <c r="AO69" s="11">
        <v>69</v>
      </c>
      <c r="AP69" s="11">
        <f>IF(AO69&lt;&gt;_xlfn.MINIFS('Draft Board'!$AO$2:$AO$193,'Draft Board'!$AN$2:$AN$193,"="&amp;AN69),0,IF(_xlfn.MINIFS('Draft Board'!$AN$2:$AN$193,'Draft Board'!$AN$2:$AN$193,"&gt;"&amp;AN69)=0,1,IF((_xlfn.MINIFS('Draft Board'!$AN$2:$AN$193,'Draft Board'!$AN$2:$AN$193,"&gt;"&amp;AN69)-AN69)/_xlfn.MINIFS('Draft Board'!$AN$2:$AN$193,'Draft Board'!$AN$2:$AN$193,"&gt;"&amp;AN69)&gt;0.08,1,0)))</f>
        <v>0</v>
      </c>
      <c r="AQ69" s="11">
        <f>_xlfn.MINIFS('Draft Board'!$AN$2:$AN$193,'Draft Board'!$AN$2:$AN$193,"&gt;="&amp;AN69,'Draft Board'!$AP$2:$AP$193,1)</f>
        <v>0</v>
      </c>
      <c r="AR69" s="11">
        <f>IF(AO69&lt;&gt;_xlfn.MINIFS('Draft Board'!$AO$2:$AO$193,'Draft Board'!$AN$2:$AN$193,"="&amp;AN69),0,IF(OR(AP69=1,IFERROR(FLOOR((AQ69-AN69)/AQ69/0.25,1),0)&lt;&gt;IFERROR(FLOOR((AQ69-_xlfn.MINIFS('Draft Board'!$AN$2:$AN$193,'Draft Board'!$AN$2:$AN$193,"&gt;"&amp;AN69))/AQ69/0.25,1),0)),1,0))</f>
        <v>0</v>
      </c>
      <c r="AS69" s="11">
        <f>ROUND(1+AN69*'Live Calc'!$D$28,0)</f>
        <v>1</v>
      </c>
      <c r="AT69" s="11"/>
      <c r="AU69" s="11">
        <f>IF(AT69&lt;&gt;"",AT69,ROUND(AS69*INDEX('Live Calc'!$G$259:$G$450,MATCH(AM69,'Live Calc'!$A$259:$A$450,0))*'Live Calc'!$J$543,0))</f>
        <v>1</v>
      </c>
      <c r="AW69" s="12" t="s">
        <v>350</v>
      </c>
      <c r="AX69" s="12" t="s">
        <v>107</v>
      </c>
      <c r="AY69" s="12">
        <v>21.75</v>
      </c>
      <c r="AZ69" s="12">
        <v>29.096</v>
      </c>
      <c r="BA69" s="12">
        <v>32.43</v>
      </c>
      <c r="BB69" s="12">
        <f>CHOOSE(MATCH(Setup!$B$7,{"STD","Half-PPR","PPR"},0),AY69,AZ69,BA69)</f>
        <v>29.096</v>
      </c>
      <c r="BC69" s="12">
        <f>COUNTIFS('Draft Board'!$BD$2:$BD$87,"&gt;="&amp;BD69,'Draft Board'!$BH$2:$BH$87,1)</f>
        <v>15</v>
      </c>
      <c r="BD69" s="12">
        <f>MAX(0,BB69-'Live Calc'!$H$22)^'Live Calc'!$E$22</f>
        <v>0</v>
      </c>
      <c r="BE69" s="12">
        <v>69</v>
      </c>
      <c r="BF69" s="12">
        <f>IF(BE69&lt;&gt;_xlfn.MINIFS('Draft Board'!$BE$2:$BE$87,'Draft Board'!$BD$2:$BD$87,"="&amp;BD69),0,IF(_xlfn.MINIFS('Draft Board'!$BD$2:$BD$87,'Draft Board'!$BD$2:$BD$87,"&gt;"&amp;BD69)=0,1,IF((_xlfn.MINIFS('Draft Board'!$BD$2:$BD$87,'Draft Board'!$BD$2:$BD$87,"&gt;"&amp;BD69)-BD69)/_xlfn.MINIFS('Draft Board'!$BD$2:$BD$87,'Draft Board'!$BD$2:$BD$87,"&gt;"&amp;BD69)&gt;0.08,1,0)))</f>
        <v>0</v>
      </c>
      <c r="BG69" s="12">
        <f>_xlfn.MINIFS('Draft Board'!$BD$2:$BD$87,'Draft Board'!$BD$2:$BD$87,"&gt;="&amp;BD69,'Draft Board'!$BF$2:$BF$87,1)</f>
        <v>0</v>
      </c>
      <c r="BH69" s="12">
        <f>IF(BE69&lt;&gt;_xlfn.MINIFS('Draft Board'!$BE$2:$BE$87,'Draft Board'!$BD$2:$BD$87,"="&amp;BD69),0,IF(OR(BF69=1,IFERROR(FLOOR((BG69-BD69)/BG69/0.25,1),0)&lt;&gt;IFERROR(FLOOR((BG69-_xlfn.MINIFS('Draft Board'!$BD$2:$BD$87,'Draft Board'!$BD$2:$BD$87,"&gt;"&amp;BD69))/BG69/0.25,1),0)),1,0))</f>
        <v>0</v>
      </c>
      <c r="BI69" s="12">
        <f>ROUND(1+BD69*'Live Calc'!$D$29,0)</f>
        <v>1</v>
      </c>
      <c r="BJ69" s="12"/>
      <c r="BK69" s="12">
        <f>IF(BJ69&lt;&gt;"",BJ69,ROUND(BI69*INDEX('Live Calc'!$G$454:$G$539,MATCH(BC69,'Live Calc'!$A$454:$A$539,0))*'Live Calc'!$J$543,0))</f>
        <v>1</v>
      </c>
    </row>
    <row r="70" spans="17:63" x14ac:dyDescent="0.25">
      <c r="Q70" s="10" t="s">
        <v>351</v>
      </c>
      <c r="R70" s="10" t="s">
        <v>93</v>
      </c>
      <c r="S70" s="10">
        <v>44.764000000000003</v>
      </c>
      <c r="T70" s="10">
        <v>48.107999999999997</v>
      </c>
      <c r="U70" s="10">
        <v>52.216000000000001</v>
      </c>
      <c r="V70" s="10">
        <f>CHOOSE(MATCH(Setup!$B$7,{"STD","Half-PPR","PPR"},0),S70,T70,U70)</f>
        <v>48.107999999999997</v>
      </c>
      <c r="W70" s="10">
        <f>COUNTIFS('Draft Board'!$X$2:$X$161,"&gt;="&amp;X70,'Draft Board'!$AB$2:$AB$161,1)</f>
        <v>14</v>
      </c>
      <c r="X70" s="10">
        <f>MAX(0,V70-'Live Calc'!$H$20)^'Live Calc'!$E$20</f>
        <v>0</v>
      </c>
      <c r="Y70" s="10">
        <v>70</v>
      </c>
      <c r="Z70" s="10">
        <f>IF(Y70&lt;&gt;_xlfn.MINIFS('Draft Board'!$Y$2:$Y$161,'Draft Board'!$X$2:$X$161,"="&amp;X70),0,IF(_xlfn.MINIFS('Draft Board'!$X$2:$X$161,'Draft Board'!$X$2:$X$161,"&gt;"&amp;X70)=0,1,IF((_xlfn.MINIFS('Draft Board'!$X$2:$X$161,'Draft Board'!$X$2:$X$161,"&gt;"&amp;X70)-X70)/_xlfn.MINIFS('Draft Board'!$X$2:$X$161,'Draft Board'!$X$2:$X$161,"&gt;"&amp;X70)&gt;0.08,1,0)))</f>
        <v>0</v>
      </c>
      <c r="AA70" s="10">
        <f>_xlfn.MINIFS('Draft Board'!$X$2:$X$161,'Draft Board'!$X$2:$X$161,"&gt;="&amp;X70,'Draft Board'!$Z$2:$Z$161,1)</f>
        <v>0</v>
      </c>
      <c r="AB70" s="10">
        <f>IF(Y70&lt;&gt;_xlfn.MINIFS('Draft Board'!$Y$2:$Y$161,'Draft Board'!$X$2:$X$161,"="&amp;X70),0,IF(OR(Z70=1,IFERROR(FLOOR((AA70-X70)/AA70/0.25,1),0)&lt;&gt;IFERROR(FLOOR((AA70-_xlfn.MINIFS('Draft Board'!$X$2:$X$161,'Draft Board'!$X$2:$X$161,"&gt;"&amp;X70))/AA70/0.25,1),0)),1,0))</f>
        <v>0</v>
      </c>
      <c r="AC70" s="10">
        <f>ROUND(1+X70*'Live Calc'!$D$27,0)</f>
        <v>1</v>
      </c>
      <c r="AD70" s="10"/>
      <c r="AE70" s="10">
        <f>IF(AD70&lt;&gt;"",AD70,ROUND(AC70*INDEX('Live Calc'!$G$96:$G$255,MATCH(W70,'Live Calc'!$A$96:$A$255,0))*'Live Calc'!$J$543,0))</f>
        <v>1</v>
      </c>
      <c r="AG70" s="11" t="s">
        <v>352</v>
      </c>
      <c r="AH70" s="11" t="s">
        <v>79</v>
      </c>
      <c r="AI70" s="11">
        <v>69.034000000000006</v>
      </c>
      <c r="AJ70" s="11">
        <v>90.19</v>
      </c>
      <c r="AK70" s="11">
        <v>110.91800000000001</v>
      </c>
      <c r="AL70" s="11">
        <f>CHOOSE(MATCH(Setup!$B$7,{"STD","Half-PPR","PPR"},0),AI70,AJ70,AK70)</f>
        <v>90.19</v>
      </c>
      <c r="AM70" s="11">
        <f>COUNTIFS('Draft Board'!$AN$2:$AN$193,"&gt;="&amp;AN70,'Draft Board'!$AR$2:$AR$193,1)</f>
        <v>20</v>
      </c>
      <c r="AN70" s="11">
        <f>MAX(0,AL70-'Live Calc'!$H$21)^'Live Calc'!$E$21</f>
        <v>0</v>
      </c>
      <c r="AO70" s="11">
        <v>70</v>
      </c>
      <c r="AP70" s="11">
        <f>IF(AO70&lt;&gt;_xlfn.MINIFS('Draft Board'!$AO$2:$AO$193,'Draft Board'!$AN$2:$AN$193,"="&amp;AN70),0,IF(_xlfn.MINIFS('Draft Board'!$AN$2:$AN$193,'Draft Board'!$AN$2:$AN$193,"&gt;"&amp;AN70)=0,1,IF((_xlfn.MINIFS('Draft Board'!$AN$2:$AN$193,'Draft Board'!$AN$2:$AN$193,"&gt;"&amp;AN70)-AN70)/_xlfn.MINIFS('Draft Board'!$AN$2:$AN$193,'Draft Board'!$AN$2:$AN$193,"&gt;"&amp;AN70)&gt;0.08,1,0)))</f>
        <v>0</v>
      </c>
      <c r="AQ70" s="11">
        <f>_xlfn.MINIFS('Draft Board'!$AN$2:$AN$193,'Draft Board'!$AN$2:$AN$193,"&gt;="&amp;AN70,'Draft Board'!$AP$2:$AP$193,1)</f>
        <v>0</v>
      </c>
      <c r="AR70" s="11">
        <f>IF(AO70&lt;&gt;_xlfn.MINIFS('Draft Board'!$AO$2:$AO$193,'Draft Board'!$AN$2:$AN$193,"="&amp;AN70),0,IF(OR(AP70=1,IFERROR(FLOOR((AQ70-AN70)/AQ70/0.25,1),0)&lt;&gt;IFERROR(FLOOR((AQ70-_xlfn.MINIFS('Draft Board'!$AN$2:$AN$193,'Draft Board'!$AN$2:$AN$193,"&gt;"&amp;AN70))/AQ70/0.25,1),0)),1,0))</f>
        <v>0</v>
      </c>
      <c r="AS70" s="11">
        <f>ROUND(1+AN70*'Live Calc'!$D$28,0)</f>
        <v>1</v>
      </c>
      <c r="AT70" s="11"/>
      <c r="AU70" s="11">
        <f>IF(AT70&lt;&gt;"",AT70,ROUND(AS70*INDEX('Live Calc'!$G$259:$G$450,MATCH(AM70,'Live Calc'!$A$259:$A$450,0))*'Live Calc'!$J$543,0))</f>
        <v>1</v>
      </c>
      <c r="AW70" s="12" t="s">
        <v>353</v>
      </c>
      <c r="AX70" s="12" t="s">
        <v>67</v>
      </c>
      <c r="AY70" s="12">
        <v>19.61</v>
      </c>
      <c r="AZ70" s="12">
        <v>27.58</v>
      </c>
      <c r="BA70" s="12">
        <v>35.56</v>
      </c>
      <c r="BB70" s="12">
        <f>CHOOSE(MATCH(Setup!$B$7,{"STD","Half-PPR","PPR"},0),AY70,AZ70,BA70)</f>
        <v>27.58</v>
      </c>
      <c r="BC70" s="12">
        <f>COUNTIFS('Draft Board'!$BD$2:$BD$87,"&gt;="&amp;BD70,'Draft Board'!$BH$2:$BH$87,1)</f>
        <v>15</v>
      </c>
      <c r="BD70" s="12">
        <f>MAX(0,BB70-'Live Calc'!$H$22)^'Live Calc'!$E$22</f>
        <v>0</v>
      </c>
      <c r="BE70" s="12">
        <v>70</v>
      </c>
      <c r="BF70" s="12">
        <f>IF(BE70&lt;&gt;_xlfn.MINIFS('Draft Board'!$BE$2:$BE$87,'Draft Board'!$BD$2:$BD$87,"="&amp;BD70),0,IF(_xlfn.MINIFS('Draft Board'!$BD$2:$BD$87,'Draft Board'!$BD$2:$BD$87,"&gt;"&amp;BD70)=0,1,IF((_xlfn.MINIFS('Draft Board'!$BD$2:$BD$87,'Draft Board'!$BD$2:$BD$87,"&gt;"&amp;BD70)-BD70)/_xlfn.MINIFS('Draft Board'!$BD$2:$BD$87,'Draft Board'!$BD$2:$BD$87,"&gt;"&amp;BD70)&gt;0.08,1,0)))</f>
        <v>0</v>
      </c>
      <c r="BG70" s="12">
        <f>_xlfn.MINIFS('Draft Board'!$BD$2:$BD$87,'Draft Board'!$BD$2:$BD$87,"&gt;="&amp;BD70,'Draft Board'!$BF$2:$BF$87,1)</f>
        <v>0</v>
      </c>
      <c r="BH70" s="12">
        <f>IF(BE70&lt;&gt;_xlfn.MINIFS('Draft Board'!$BE$2:$BE$87,'Draft Board'!$BD$2:$BD$87,"="&amp;BD70),0,IF(OR(BF70=1,IFERROR(FLOOR((BG70-BD70)/BG70/0.25,1),0)&lt;&gt;IFERROR(FLOOR((BG70-_xlfn.MINIFS('Draft Board'!$BD$2:$BD$87,'Draft Board'!$BD$2:$BD$87,"&gt;"&amp;BD70))/BG70/0.25,1),0)),1,0))</f>
        <v>0</v>
      </c>
      <c r="BI70" s="12">
        <f>ROUND(1+BD70*'Live Calc'!$D$29,0)</f>
        <v>1</v>
      </c>
      <c r="BJ70" s="12"/>
      <c r="BK70" s="12">
        <f>IF(BJ70&lt;&gt;"",BJ70,ROUND(BI70*INDEX('Live Calc'!$G$454:$G$539,MATCH(BC70,'Live Calc'!$A$454:$A$539,0))*'Live Calc'!$J$543,0))</f>
        <v>1</v>
      </c>
    </row>
    <row r="71" spans="17:63" x14ac:dyDescent="0.25">
      <c r="Q71" s="10" t="s">
        <v>354</v>
      </c>
      <c r="R71" s="10" t="s">
        <v>79</v>
      </c>
      <c r="S71" s="10">
        <v>42.765999999999998</v>
      </c>
      <c r="T71" s="10">
        <v>47.277999999999999</v>
      </c>
      <c r="U71" s="10">
        <v>50.124000000000002</v>
      </c>
      <c r="V71" s="10">
        <f>CHOOSE(MATCH(Setup!$B$7,{"STD","Half-PPR","PPR"},0),S71,T71,U71)</f>
        <v>47.277999999999999</v>
      </c>
      <c r="W71" s="10">
        <f>COUNTIFS('Draft Board'!$X$2:$X$161,"&gt;="&amp;X71,'Draft Board'!$AB$2:$AB$161,1)</f>
        <v>14</v>
      </c>
      <c r="X71" s="10">
        <f>MAX(0,V71-'Live Calc'!$H$20)^'Live Calc'!$E$20</f>
        <v>0</v>
      </c>
      <c r="Y71" s="10">
        <v>71</v>
      </c>
      <c r="Z71" s="10">
        <f>IF(Y71&lt;&gt;_xlfn.MINIFS('Draft Board'!$Y$2:$Y$161,'Draft Board'!$X$2:$X$161,"="&amp;X71),0,IF(_xlfn.MINIFS('Draft Board'!$X$2:$X$161,'Draft Board'!$X$2:$X$161,"&gt;"&amp;X71)=0,1,IF((_xlfn.MINIFS('Draft Board'!$X$2:$X$161,'Draft Board'!$X$2:$X$161,"&gt;"&amp;X71)-X71)/_xlfn.MINIFS('Draft Board'!$X$2:$X$161,'Draft Board'!$X$2:$X$161,"&gt;"&amp;X71)&gt;0.08,1,0)))</f>
        <v>0</v>
      </c>
      <c r="AA71" s="10">
        <f>_xlfn.MINIFS('Draft Board'!$X$2:$X$161,'Draft Board'!$X$2:$X$161,"&gt;="&amp;X71,'Draft Board'!$Z$2:$Z$161,1)</f>
        <v>0</v>
      </c>
      <c r="AB71" s="10">
        <f>IF(Y71&lt;&gt;_xlfn.MINIFS('Draft Board'!$Y$2:$Y$161,'Draft Board'!$X$2:$X$161,"="&amp;X71),0,IF(OR(Z71=1,IFERROR(FLOOR((AA71-X71)/AA71/0.25,1),0)&lt;&gt;IFERROR(FLOOR((AA71-_xlfn.MINIFS('Draft Board'!$X$2:$X$161,'Draft Board'!$X$2:$X$161,"&gt;"&amp;X71))/AA71/0.25,1),0)),1,0))</f>
        <v>0</v>
      </c>
      <c r="AC71" s="10">
        <f>ROUND(1+X71*'Live Calc'!$D$27,0)</f>
        <v>1</v>
      </c>
      <c r="AD71" s="10"/>
      <c r="AE71" s="10">
        <f>IF(AD71&lt;&gt;"",AD71,ROUND(AC71*INDEX('Live Calc'!$G$96:$G$255,MATCH(W71,'Live Calc'!$A$96:$A$255,0))*'Live Calc'!$J$543,0))</f>
        <v>1</v>
      </c>
      <c r="AG71" s="11" t="s">
        <v>355</v>
      </c>
      <c r="AH71" s="11" t="s">
        <v>185</v>
      </c>
      <c r="AI71" s="11">
        <v>65.296000000000006</v>
      </c>
      <c r="AJ71" s="11">
        <v>86.231999999999999</v>
      </c>
      <c r="AK71" s="11">
        <v>106.09399999999999</v>
      </c>
      <c r="AL71" s="11">
        <f>CHOOSE(MATCH(Setup!$B$7,{"STD","Half-PPR","PPR"},0),AI71,AJ71,AK71)</f>
        <v>86.231999999999999</v>
      </c>
      <c r="AM71" s="11">
        <f>COUNTIFS('Draft Board'!$AN$2:$AN$193,"&gt;="&amp;AN71,'Draft Board'!$AR$2:$AR$193,1)</f>
        <v>20</v>
      </c>
      <c r="AN71" s="11">
        <f>MAX(0,AL71-'Live Calc'!$H$21)^'Live Calc'!$E$21</f>
        <v>0</v>
      </c>
      <c r="AO71" s="11">
        <v>71</v>
      </c>
      <c r="AP71" s="11">
        <f>IF(AO71&lt;&gt;_xlfn.MINIFS('Draft Board'!$AO$2:$AO$193,'Draft Board'!$AN$2:$AN$193,"="&amp;AN71),0,IF(_xlfn.MINIFS('Draft Board'!$AN$2:$AN$193,'Draft Board'!$AN$2:$AN$193,"&gt;"&amp;AN71)=0,1,IF((_xlfn.MINIFS('Draft Board'!$AN$2:$AN$193,'Draft Board'!$AN$2:$AN$193,"&gt;"&amp;AN71)-AN71)/_xlfn.MINIFS('Draft Board'!$AN$2:$AN$193,'Draft Board'!$AN$2:$AN$193,"&gt;"&amp;AN71)&gt;0.08,1,0)))</f>
        <v>0</v>
      </c>
      <c r="AQ71" s="11">
        <f>_xlfn.MINIFS('Draft Board'!$AN$2:$AN$193,'Draft Board'!$AN$2:$AN$193,"&gt;="&amp;AN71,'Draft Board'!$AP$2:$AP$193,1)</f>
        <v>0</v>
      </c>
      <c r="AR71" s="11">
        <f>IF(AO71&lt;&gt;_xlfn.MINIFS('Draft Board'!$AO$2:$AO$193,'Draft Board'!$AN$2:$AN$193,"="&amp;AN71),0,IF(OR(AP71=1,IFERROR(FLOOR((AQ71-AN71)/AQ71/0.25,1),0)&lt;&gt;IFERROR(FLOOR((AQ71-_xlfn.MINIFS('Draft Board'!$AN$2:$AN$193,'Draft Board'!$AN$2:$AN$193,"&gt;"&amp;AN71))/AQ71/0.25,1),0)),1,0))</f>
        <v>0</v>
      </c>
      <c r="AS71" s="11">
        <f>ROUND(1+AN71*'Live Calc'!$D$28,0)</f>
        <v>1</v>
      </c>
      <c r="AT71" s="11"/>
      <c r="AU71" s="11">
        <f>IF(AT71&lt;&gt;"",AT71,ROUND(AS71*INDEX('Live Calc'!$G$259:$G$450,MATCH(AM71,'Live Calc'!$A$259:$A$450,0))*'Live Calc'!$J$543,0))</f>
        <v>1</v>
      </c>
      <c r="AW71" s="12" t="s">
        <v>356</v>
      </c>
      <c r="AX71" s="12" t="s">
        <v>55</v>
      </c>
      <c r="AY71" s="12">
        <v>21.06</v>
      </c>
      <c r="AZ71" s="12">
        <v>27.14</v>
      </c>
      <c r="BA71" s="12">
        <v>33.22</v>
      </c>
      <c r="BB71" s="12">
        <f>CHOOSE(MATCH(Setup!$B$7,{"STD","Half-PPR","PPR"},0),AY71,AZ71,BA71)</f>
        <v>27.14</v>
      </c>
      <c r="BC71" s="12">
        <f>COUNTIFS('Draft Board'!$BD$2:$BD$87,"&gt;="&amp;BD71,'Draft Board'!$BH$2:$BH$87,1)</f>
        <v>15</v>
      </c>
      <c r="BD71" s="12">
        <f>MAX(0,BB71-'Live Calc'!$H$22)^'Live Calc'!$E$22</f>
        <v>0</v>
      </c>
      <c r="BE71" s="12">
        <v>71</v>
      </c>
      <c r="BF71" s="12">
        <f>IF(BE71&lt;&gt;_xlfn.MINIFS('Draft Board'!$BE$2:$BE$87,'Draft Board'!$BD$2:$BD$87,"="&amp;BD71),0,IF(_xlfn.MINIFS('Draft Board'!$BD$2:$BD$87,'Draft Board'!$BD$2:$BD$87,"&gt;"&amp;BD71)=0,1,IF((_xlfn.MINIFS('Draft Board'!$BD$2:$BD$87,'Draft Board'!$BD$2:$BD$87,"&gt;"&amp;BD71)-BD71)/_xlfn.MINIFS('Draft Board'!$BD$2:$BD$87,'Draft Board'!$BD$2:$BD$87,"&gt;"&amp;BD71)&gt;0.08,1,0)))</f>
        <v>0</v>
      </c>
      <c r="BG71" s="12">
        <f>_xlfn.MINIFS('Draft Board'!$BD$2:$BD$87,'Draft Board'!$BD$2:$BD$87,"&gt;="&amp;BD71,'Draft Board'!$BF$2:$BF$87,1)</f>
        <v>0</v>
      </c>
      <c r="BH71" s="12">
        <f>IF(BE71&lt;&gt;_xlfn.MINIFS('Draft Board'!$BE$2:$BE$87,'Draft Board'!$BD$2:$BD$87,"="&amp;BD71),0,IF(OR(BF71=1,IFERROR(FLOOR((BG71-BD71)/BG71/0.25,1),0)&lt;&gt;IFERROR(FLOOR((BG71-_xlfn.MINIFS('Draft Board'!$BD$2:$BD$87,'Draft Board'!$BD$2:$BD$87,"&gt;"&amp;BD71))/BG71/0.25,1),0)),1,0))</f>
        <v>0</v>
      </c>
      <c r="BI71" s="12">
        <f>ROUND(1+BD71*'Live Calc'!$D$29,0)</f>
        <v>1</v>
      </c>
      <c r="BJ71" s="12"/>
      <c r="BK71" s="12">
        <f>IF(BJ71&lt;&gt;"",BJ71,ROUND(BI71*INDEX('Live Calc'!$G$454:$G$539,MATCH(BC71,'Live Calc'!$A$454:$A$539,0))*'Live Calc'!$J$543,0))</f>
        <v>1</v>
      </c>
    </row>
    <row r="72" spans="17:63" x14ac:dyDescent="0.25">
      <c r="Q72" s="10" t="s">
        <v>357</v>
      </c>
      <c r="R72" s="10" t="s">
        <v>88</v>
      </c>
      <c r="S72" s="10">
        <v>42.52</v>
      </c>
      <c r="T72" s="10">
        <v>46.76</v>
      </c>
      <c r="U72" s="10">
        <v>49.665999999999997</v>
      </c>
      <c r="V72" s="10">
        <f>CHOOSE(MATCH(Setup!$B$7,{"STD","Half-PPR","PPR"},0),S72,T72,U72)</f>
        <v>46.76</v>
      </c>
      <c r="W72" s="10">
        <f>COUNTIFS('Draft Board'!$X$2:$X$161,"&gt;="&amp;X72,'Draft Board'!$AB$2:$AB$161,1)</f>
        <v>14</v>
      </c>
      <c r="X72" s="10">
        <f>MAX(0,V72-'Live Calc'!$H$20)^'Live Calc'!$E$20</f>
        <v>0</v>
      </c>
      <c r="Y72" s="10">
        <v>72</v>
      </c>
      <c r="Z72" s="10">
        <f>IF(Y72&lt;&gt;_xlfn.MINIFS('Draft Board'!$Y$2:$Y$161,'Draft Board'!$X$2:$X$161,"="&amp;X72),0,IF(_xlfn.MINIFS('Draft Board'!$X$2:$X$161,'Draft Board'!$X$2:$X$161,"&gt;"&amp;X72)=0,1,IF((_xlfn.MINIFS('Draft Board'!$X$2:$X$161,'Draft Board'!$X$2:$X$161,"&gt;"&amp;X72)-X72)/_xlfn.MINIFS('Draft Board'!$X$2:$X$161,'Draft Board'!$X$2:$X$161,"&gt;"&amp;X72)&gt;0.08,1,0)))</f>
        <v>0</v>
      </c>
      <c r="AA72" s="10">
        <f>_xlfn.MINIFS('Draft Board'!$X$2:$X$161,'Draft Board'!$X$2:$X$161,"&gt;="&amp;X72,'Draft Board'!$Z$2:$Z$161,1)</f>
        <v>0</v>
      </c>
      <c r="AB72" s="10">
        <f>IF(Y72&lt;&gt;_xlfn.MINIFS('Draft Board'!$Y$2:$Y$161,'Draft Board'!$X$2:$X$161,"="&amp;X72),0,IF(OR(Z72=1,IFERROR(FLOOR((AA72-X72)/AA72/0.25,1),0)&lt;&gt;IFERROR(FLOOR((AA72-_xlfn.MINIFS('Draft Board'!$X$2:$X$161,'Draft Board'!$X$2:$X$161,"&gt;"&amp;X72))/AA72/0.25,1),0)),1,0))</f>
        <v>0</v>
      </c>
      <c r="AC72" s="10">
        <f>ROUND(1+X72*'Live Calc'!$D$27,0)</f>
        <v>1</v>
      </c>
      <c r="AD72" s="10"/>
      <c r="AE72" s="10">
        <f>IF(AD72&lt;&gt;"",AD72,ROUND(AC72*INDEX('Live Calc'!$G$96:$G$255,MATCH(W72,'Live Calc'!$A$96:$A$255,0))*'Live Calc'!$J$543,0))</f>
        <v>1</v>
      </c>
      <c r="AG72" s="11" t="s">
        <v>358</v>
      </c>
      <c r="AH72" s="11" t="s">
        <v>93</v>
      </c>
      <c r="AI72" s="11">
        <v>60.222000000000001</v>
      </c>
      <c r="AJ72" s="11">
        <v>82.513999999999996</v>
      </c>
      <c r="AK72" s="11">
        <v>103.304</v>
      </c>
      <c r="AL72" s="11">
        <f>CHOOSE(MATCH(Setup!$B$7,{"STD","Half-PPR","PPR"},0),AI72,AJ72,AK72)</f>
        <v>82.513999999999996</v>
      </c>
      <c r="AM72" s="11">
        <f>COUNTIFS('Draft Board'!$AN$2:$AN$193,"&gt;="&amp;AN72,'Draft Board'!$AR$2:$AR$193,1)</f>
        <v>20</v>
      </c>
      <c r="AN72" s="11">
        <f>MAX(0,AL72-'Live Calc'!$H$21)^'Live Calc'!$E$21</f>
        <v>0</v>
      </c>
      <c r="AO72" s="11">
        <v>72</v>
      </c>
      <c r="AP72" s="11">
        <f>IF(AO72&lt;&gt;_xlfn.MINIFS('Draft Board'!$AO$2:$AO$193,'Draft Board'!$AN$2:$AN$193,"="&amp;AN72),0,IF(_xlfn.MINIFS('Draft Board'!$AN$2:$AN$193,'Draft Board'!$AN$2:$AN$193,"&gt;"&amp;AN72)=0,1,IF((_xlfn.MINIFS('Draft Board'!$AN$2:$AN$193,'Draft Board'!$AN$2:$AN$193,"&gt;"&amp;AN72)-AN72)/_xlfn.MINIFS('Draft Board'!$AN$2:$AN$193,'Draft Board'!$AN$2:$AN$193,"&gt;"&amp;AN72)&gt;0.08,1,0)))</f>
        <v>0</v>
      </c>
      <c r="AQ72" s="11">
        <f>_xlfn.MINIFS('Draft Board'!$AN$2:$AN$193,'Draft Board'!$AN$2:$AN$193,"&gt;="&amp;AN72,'Draft Board'!$AP$2:$AP$193,1)</f>
        <v>0</v>
      </c>
      <c r="AR72" s="11">
        <f>IF(AO72&lt;&gt;_xlfn.MINIFS('Draft Board'!$AO$2:$AO$193,'Draft Board'!$AN$2:$AN$193,"="&amp;AN72),0,IF(OR(AP72=1,IFERROR(FLOOR((AQ72-AN72)/AQ72/0.25,1),0)&lt;&gt;IFERROR(FLOOR((AQ72-_xlfn.MINIFS('Draft Board'!$AN$2:$AN$193,'Draft Board'!$AN$2:$AN$193,"&gt;"&amp;AN72))/AQ72/0.25,1),0)),1,0))</f>
        <v>0</v>
      </c>
      <c r="AS72" s="11">
        <f>ROUND(1+AN72*'Live Calc'!$D$28,0)</f>
        <v>1</v>
      </c>
      <c r="AT72" s="11"/>
      <c r="AU72" s="11">
        <f>IF(AT72&lt;&gt;"",AT72,ROUND(AS72*INDEX('Live Calc'!$G$259:$G$450,MATCH(AM72,'Live Calc'!$A$259:$A$450,0))*'Live Calc'!$J$543,0))</f>
        <v>1</v>
      </c>
      <c r="AW72" s="12" t="s">
        <v>359</v>
      </c>
      <c r="AX72" s="12" t="s">
        <v>246</v>
      </c>
      <c r="AY72" s="12">
        <v>19.86</v>
      </c>
      <c r="AZ72" s="12">
        <v>26.73</v>
      </c>
      <c r="BA72" s="12">
        <v>33.61</v>
      </c>
      <c r="BB72" s="12">
        <f>CHOOSE(MATCH(Setup!$B$7,{"STD","Half-PPR","PPR"},0),AY72,AZ72,BA72)</f>
        <v>26.73</v>
      </c>
      <c r="BC72" s="12">
        <f>COUNTIFS('Draft Board'!$BD$2:$BD$87,"&gt;="&amp;BD72,'Draft Board'!$BH$2:$BH$87,1)</f>
        <v>15</v>
      </c>
      <c r="BD72" s="12">
        <f>MAX(0,BB72-'Live Calc'!$H$22)^'Live Calc'!$E$22</f>
        <v>0</v>
      </c>
      <c r="BE72" s="12">
        <v>72</v>
      </c>
      <c r="BF72" s="12">
        <f>IF(BE72&lt;&gt;_xlfn.MINIFS('Draft Board'!$BE$2:$BE$87,'Draft Board'!$BD$2:$BD$87,"="&amp;BD72),0,IF(_xlfn.MINIFS('Draft Board'!$BD$2:$BD$87,'Draft Board'!$BD$2:$BD$87,"&gt;"&amp;BD72)=0,1,IF((_xlfn.MINIFS('Draft Board'!$BD$2:$BD$87,'Draft Board'!$BD$2:$BD$87,"&gt;"&amp;BD72)-BD72)/_xlfn.MINIFS('Draft Board'!$BD$2:$BD$87,'Draft Board'!$BD$2:$BD$87,"&gt;"&amp;BD72)&gt;0.08,1,0)))</f>
        <v>0</v>
      </c>
      <c r="BG72" s="12">
        <f>_xlfn.MINIFS('Draft Board'!$BD$2:$BD$87,'Draft Board'!$BD$2:$BD$87,"&gt;="&amp;BD72,'Draft Board'!$BF$2:$BF$87,1)</f>
        <v>0</v>
      </c>
      <c r="BH72" s="12">
        <f>IF(BE72&lt;&gt;_xlfn.MINIFS('Draft Board'!$BE$2:$BE$87,'Draft Board'!$BD$2:$BD$87,"="&amp;BD72),0,IF(OR(BF72=1,IFERROR(FLOOR((BG72-BD72)/BG72/0.25,1),0)&lt;&gt;IFERROR(FLOOR((BG72-_xlfn.MINIFS('Draft Board'!$BD$2:$BD$87,'Draft Board'!$BD$2:$BD$87,"&gt;"&amp;BD72))/BG72/0.25,1),0)),1,0))</f>
        <v>0</v>
      </c>
      <c r="BI72" s="12">
        <f>ROUND(1+BD72*'Live Calc'!$D$29,0)</f>
        <v>1</v>
      </c>
      <c r="BJ72" s="12"/>
      <c r="BK72" s="12">
        <f>IF(BJ72&lt;&gt;"",BJ72,ROUND(BI72*INDEX('Live Calc'!$G$454:$G$539,MATCH(BC72,'Live Calc'!$A$454:$A$539,0))*'Live Calc'!$J$543,0))</f>
        <v>1</v>
      </c>
    </row>
    <row r="73" spans="17:63" x14ac:dyDescent="0.25">
      <c r="Q73" s="10" t="s">
        <v>360</v>
      </c>
      <c r="R73" s="10" t="s">
        <v>96</v>
      </c>
      <c r="S73" s="10">
        <v>38.142000000000003</v>
      </c>
      <c r="T73" s="10">
        <v>45.396000000000001</v>
      </c>
      <c r="U73" s="10">
        <v>53.223999999999997</v>
      </c>
      <c r="V73" s="10">
        <f>CHOOSE(MATCH(Setup!$B$7,{"STD","Half-PPR","PPR"},0),S73,T73,U73)</f>
        <v>45.396000000000001</v>
      </c>
      <c r="W73" s="10">
        <f>COUNTIFS('Draft Board'!$X$2:$X$161,"&gt;="&amp;X73,'Draft Board'!$AB$2:$AB$161,1)</f>
        <v>14</v>
      </c>
      <c r="X73" s="10">
        <f>MAX(0,V73-'Live Calc'!$H$20)^'Live Calc'!$E$20</f>
        <v>0</v>
      </c>
      <c r="Y73" s="10">
        <v>73</v>
      </c>
      <c r="Z73" s="10">
        <f>IF(Y73&lt;&gt;_xlfn.MINIFS('Draft Board'!$Y$2:$Y$161,'Draft Board'!$X$2:$X$161,"="&amp;X73),0,IF(_xlfn.MINIFS('Draft Board'!$X$2:$X$161,'Draft Board'!$X$2:$X$161,"&gt;"&amp;X73)=0,1,IF((_xlfn.MINIFS('Draft Board'!$X$2:$X$161,'Draft Board'!$X$2:$X$161,"&gt;"&amp;X73)-X73)/_xlfn.MINIFS('Draft Board'!$X$2:$X$161,'Draft Board'!$X$2:$X$161,"&gt;"&amp;X73)&gt;0.08,1,0)))</f>
        <v>0</v>
      </c>
      <c r="AA73" s="10">
        <f>_xlfn.MINIFS('Draft Board'!$X$2:$X$161,'Draft Board'!$X$2:$X$161,"&gt;="&amp;X73,'Draft Board'!$Z$2:$Z$161,1)</f>
        <v>0</v>
      </c>
      <c r="AB73" s="10">
        <f>IF(Y73&lt;&gt;_xlfn.MINIFS('Draft Board'!$Y$2:$Y$161,'Draft Board'!$X$2:$X$161,"="&amp;X73),0,IF(OR(Z73=1,IFERROR(FLOOR((AA73-X73)/AA73/0.25,1),0)&lt;&gt;IFERROR(FLOOR((AA73-_xlfn.MINIFS('Draft Board'!$X$2:$X$161,'Draft Board'!$X$2:$X$161,"&gt;"&amp;X73))/AA73/0.25,1),0)),1,0))</f>
        <v>0</v>
      </c>
      <c r="AC73" s="10">
        <f>ROUND(1+X73*'Live Calc'!$D$27,0)</f>
        <v>1</v>
      </c>
      <c r="AD73" s="10"/>
      <c r="AE73" s="10">
        <f>IF(AD73&lt;&gt;"",AD73,ROUND(AC73*INDEX('Live Calc'!$G$96:$G$255,MATCH(W73,'Live Calc'!$A$96:$A$255,0))*'Live Calc'!$J$543,0))</f>
        <v>1</v>
      </c>
      <c r="AG73" s="11" t="s">
        <v>361</v>
      </c>
      <c r="AH73" s="11" t="s">
        <v>57</v>
      </c>
      <c r="AI73" s="11">
        <v>66.353999999999999</v>
      </c>
      <c r="AJ73" s="11">
        <v>82.415999999999997</v>
      </c>
      <c r="AK73" s="11">
        <v>98.908000000000001</v>
      </c>
      <c r="AL73" s="11">
        <f>CHOOSE(MATCH(Setup!$B$7,{"STD","Half-PPR","PPR"},0),AI73,AJ73,AK73)</f>
        <v>82.415999999999997</v>
      </c>
      <c r="AM73" s="11">
        <f>COUNTIFS('Draft Board'!$AN$2:$AN$193,"&gt;="&amp;AN73,'Draft Board'!$AR$2:$AR$193,1)</f>
        <v>20</v>
      </c>
      <c r="AN73" s="11">
        <f>MAX(0,AL73-'Live Calc'!$H$21)^'Live Calc'!$E$21</f>
        <v>0</v>
      </c>
      <c r="AO73" s="11">
        <v>73</v>
      </c>
      <c r="AP73" s="11">
        <f>IF(AO73&lt;&gt;_xlfn.MINIFS('Draft Board'!$AO$2:$AO$193,'Draft Board'!$AN$2:$AN$193,"="&amp;AN73),0,IF(_xlfn.MINIFS('Draft Board'!$AN$2:$AN$193,'Draft Board'!$AN$2:$AN$193,"&gt;"&amp;AN73)=0,1,IF((_xlfn.MINIFS('Draft Board'!$AN$2:$AN$193,'Draft Board'!$AN$2:$AN$193,"&gt;"&amp;AN73)-AN73)/_xlfn.MINIFS('Draft Board'!$AN$2:$AN$193,'Draft Board'!$AN$2:$AN$193,"&gt;"&amp;AN73)&gt;0.08,1,0)))</f>
        <v>0</v>
      </c>
      <c r="AQ73" s="11">
        <f>_xlfn.MINIFS('Draft Board'!$AN$2:$AN$193,'Draft Board'!$AN$2:$AN$193,"&gt;="&amp;AN73,'Draft Board'!$AP$2:$AP$193,1)</f>
        <v>0</v>
      </c>
      <c r="AR73" s="11">
        <f>IF(AO73&lt;&gt;_xlfn.MINIFS('Draft Board'!$AO$2:$AO$193,'Draft Board'!$AN$2:$AN$193,"="&amp;AN73),0,IF(OR(AP73=1,IFERROR(FLOOR((AQ73-AN73)/AQ73/0.25,1),0)&lt;&gt;IFERROR(FLOOR((AQ73-_xlfn.MINIFS('Draft Board'!$AN$2:$AN$193,'Draft Board'!$AN$2:$AN$193,"&gt;"&amp;AN73))/AQ73/0.25,1),0)),1,0))</f>
        <v>0</v>
      </c>
      <c r="AS73" s="11">
        <f>ROUND(1+AN73*'Live Calc'!$D$28,0)</f>
        <v>1</v>
      </c>
      <c r="AT73" s="11"/>
      <c r="AU73" s="11">
        <f>IF(AT73&lt;&gt;"",AT73,ROUND(AS73*INDEX('Live Calc'!$G$259:$G$450,MATCH(AM73,'Live Calc'!$A$259:$A$450,0))*'Live Calc'!$J$543,0))</f>
        <v>1</v>
      </c>
      <c r="AW73" s="12" t="s">
        <v>362</v>
      </c>
      <c r="AX73" s="12" t="s">
        <v>116</v>
      </c>
      <c r="AY73" s="12">
        <v>18.579999999999998</v>
      </c>
      <c r="AZ73" s="12">
        <v>26.29</v>
      </c>
      <c r="BA73" s="12">
        <v>37.6</v>
      </c>
      <c r="BB73" s="12">
        <f>CHOOSE(MATCH(Setup!$B$7,{"STD","Half-PPR","PPR"},0),AY73,AZ73,BA73)</f>
        <v>26.29</v>
      </c>
      <c r="BC73" s="12">
        <f>COUNTIFS('Draft Board'!$BD$2:$BD$87,"&gt;="&amp;BD73,'Draft Board'!$BH$2:$BH$87,1)</f>
        <v>15</v>
      </c>
      <c r="BD73" s="12">
        <f>MAX(0,BB73-'Live Calc'!$H$22)^'Live Calc'!$E$22</f>
        <v>0</v>
      </c>
      <c r="BE73" s="12">
        <v>73</v>
      </c>
      <c r="BF73" s="12">
        <f>IF(BE73&lt;&gt;_xlfn.MINIFS('Draft Board'!$BE$2:$BE$87,'Draft Board'!$BD$2:$BD$87,"="&amp;BD73),0,IF(_xlfn.MINIFS('Draft Board'!$BD$2:$BD$87,'Draft Board'!$BD$2:$BD$87,"&gt;"&amp;BD73)=0,1,IF((_xlfn.MINIFS('Draft Board'!$BD$2:$BD$87,'Draft Board'!$BD$2:$BD$87,"&gt;"&amp;BD73)-BD73)/_xlfn.MINIFS('Draft Board'!$BD$2:$BD$87,'Draft Board'!$BD$2:$BD$87,"&gt;"&amp;BD73)&gt;0.08,1,0)))</f>
        <v>0</v>
      </c>
      <c r="BG73" s="12">
        <f>_xlfn.MINIFS('Draft Board'!$BD$2:$BD$87,'Draft Board'!$BD$2:$BD$87,"&gt;="&amp;BD73,'Draft Board'!$BF$2:$BF$87,1)</f>
        <v>0</v>
      </c>
      <c r="BH73" s="12">
        <f>IF(BE73&lt;&gt;_xlfn.MINIFS('Draft Board'!$BE$2:$BE$87,'Draft Board'!$BD$2:$BD$87,"="&amp;BD73),0,IF(OR(BF73=1,IFERROR(FLOOR((BG73-BD73)/BG73/0.25,1),0)&lt;&gt;IFERROR(FLOOR((BG73-_xlfn.MINIFS('Draft Board'!$BD$2:$BD$87,'Draft Board'!$BD$2:$BD$87,"&gt;"&amp;BD73))/BG73/0.25,1),0)),1,0))</f>
        <v>0</v>
      </c>
      <c r="BI73" s="12">
        <f>ROUND(1+BD73*'Live Calc'!$D$29,0)</f>
        <v>1</v>
      </c>
      <c r="BJ73" s="12"/>
      <c r="BK73" s="12">
        <f>IF(BJ73&lt;&gt;"",BJ73,ROUND(BI73*INDEX('Live Calc'!$G$454:$G$539,MATCH(BC73,'Live Calc'!$A$454:$A$539,0))*'Live Calc'!$J$543,0))</f>
        <v>1</v>
      </c>
    </row>
    <row r="74" spans="17:63" x14ac:dyDescent="0.25">
      <c r="Q74" s="10" t="s">
        <v>363</v>
      </c>
      <c r="R74" s="10" t="s">
        <v>181</v>
      </c>
      <c r="S74" s="10">
        <v>35.764000000000003</v>
      </c>
      <c r="T74" s="10">
        <v>42.845999999999997</v>
      </c>
      <c r="U74" s="10">
        <v>47.774000000000001</v>
      </c>
      <c r="V74" s="10">
        <f>CHOOSE(MATCH(Setup!$B$7,{"STD","Half-PPR","PPR"},0),S74,T74,U74)</f>
        <v>42.845999999999997</v>
      </c>
      <c r="W74" s="10">
        <f>COUNTIFS('Draft Board'!$X$2:$X$161,"&gt;="&amp;X74,'Draft Board'!$AB$2:$AB$161,1)</f>
        <v>14</v>
      </c>
      <c r="X74" s="10">
        <f>MAX(0,V74-'Live Calc'!$H$20)^'Live Calc'!$E$20</f>
        <v>0</v>
      </c>
      <c r="Y74" s="10">
        <v>74</v>
      </c>
      <c r="Z74" s="10">
        <f>IF(Y74&lt;&gt;_xlfn.MINIFS('Draft Board'!$Y$2:$Y$161,'Draft Board'!$X$2:$X$161,"="&amp;X74),0,IF(_xlfn.MINIFS('Draft Board'!$X$2:$X$161,'Draft Board'!$X$2:$X$161,"&gt;"&amp;X74)=0,1,IF((_xlfn.MINIFS('Draft Board'!$X$2:$X$161,'Draft Board'!$X$2:$X$161,"&gt;"&amp;X74)-X74)/_xlfn.MINIFS('Draft Board'!$X$2:$X$161,'Draft Board'!$X$2:$X$161,"&gt;"&amp;X74)&gt;0.08,1,0)))</f>
        <v>0</v>
      </c>
      <c r="AA74" s="10">
        <f>_xlfn.MINIFS('Draft Board'!$X$2:$X$161,'Draft Board'!$X$2:$X$161,"&gt;="&amp;X74,'Draft Board'!$Z$2:$Z$161,1)</f>
        <v>0</v>
      </c>
      <c r="AB74" s="10">
        <f>IF(Y74&lt;&gt;_xlfn.MINIFS('Draft Board'!$Y$2:$Y$161,'Draft Board'!$X$2:$X$161,"="&amp;X74),0,IF(OR(Z74=1,IFERROR(FLOOR((AA74-X74)/AA74/0.25,1),0)&lt;&gt;IFERROR(FLOOR((AA74-_xlfn.MINIFS('Draft Board'!$X$2:$X$161,'Draft Board'!$X$2:$X$161,"&gt;"&amp;X74))/AA74/0.25,1),0)),1,0))</f>
        <v>0</v>
      </c>
      <c r="AC74" s="10">
        <f>ROUND(1+X74*'Live Calc'!$D$27,0)</f>
        <v>1</v>
      </c>
      <c r="AD74" s="10"/>
      <c r="AE74" s="10">
        <f>IF(AD74&lt;&gt;"",AD74,ROUND(AC74*INDEX('Live Calc'!$G$96:$G$255,MATCH(W74,'Live Calc'!$A$96:$A$255,0))*'Live Calc'!$J$543,0))</f>
        <v>1</v>
      </c>
      <c r="AG74" s="11" t="s">
        <v>364</v>
      </c>
      <c r="AH74" s="11" t="s">
        <v>119</v>
      </c>
      <c r="AI74" s="11">
        <v>62.496000000000002</v>
      </c>
      <c r="AJ74" s="11">
        <v>81.522000000000006</v>
      </c>
      <c r="AK74" s="11">
        <v>101.62</v>
      </c>
      <c r="AL74" s="11">
        <f>CHOOSE(MATCH(Setup!$B$7,{"STD","Half-PPR","PPR"},0),AI74,AJ74,AK74)</f>
        <v>81.522000000000006</v>
      </c>
      <c r="AM74" s="11">
        <f>COUNTIFS('Draft Board'!$AN$2:$AN$193,"&gt;="&amp;AN74,'Draft Board'!$AR$2:$AR$193,1)</f>
        <v>20</v>
      </c>
      <c r="AN74" s="11">
        <f>MAX(0,AL74-'Live Calc'!$H$21)^'Live Calc'!$E$21</f>
        <v>0</v>
      </c>
      <c r="AO74" s="11">
        <v>74</v>
      </c>
      <c r="AP74" s="11">
        <f>IF(AO74&lt;&gt;_xlfn.MINIFS('Draft Board'!$AO$2:$AO$193,'Draft Board'!$AN$2:$AN$193,"="&amp;AN74),0,IF(_xlfn.MINIFS('Draft Board'!$AN$2:$AN$193,'Draft Board'!$AN$2:$AN$193,"&gt;"&amp;AN74)=0,1,IF((_xlfn.MINIFS('Draft Board'!$AN$2:$AN$193,'Draft Board'!$AN$2:$AN$193,"&gt;"&amp;AN74)-AN74)/_xlfn.MINIFS('Draft Board'!$AN$2:$AN$193,'Draft Board'!$AN$2:$AN$193,"&gt;"&amp;AN74)&gt;0.08,1,0)))</f>
        <v>0</v>
      </c>
      <c r="AQ74" s="11">
        <f>_xlfn.MINIFS('Draft Board'!$AN$2:$AN$193,'Draft Board'!$AN$2:$AN$193,"&gt;="&amp;AN74,'Draft Board'!$AP$2:$AP$193,1)</f>
        <v>0</v>
      </c>
      <c r="AR74" s="11">
        <f>IF(AO74&lt;&gt;_xlfn.MINIFS('Draft Board'!$AO$2:$AO$193,'Draft Board'!$AN$2:$AN$193,"="&amp;AN74),0,IF(OR(AP74=1,IFERROR(FLOOR((AQ74-AN74)/AQ74/0.25,1),0)&lt;&gt;IFERROR(FLOOR((AQ74-_xlfn.MINIFS('Draft Board'!$AN$2:$AN$193,'Draft Board'!$AN$2:$AN$193,"&gt;"&amp;AN74))/AQ74/0.25,1),0)),1,0))</f>
        <v>0</v>
      </c>
      <c r="AS74" s="11">
        <f>ROUND(1+AN74*'Live Calc'!$D$28,0)</f>
        <v>1</v>
      </c>
      <c r="AT74" s="11"/>
      <c r="AU74" s="11">
        <f>IF(AT74&lt;&gt;"",AT74,ROUND(AS74*INDEX('Live Calc'!$G$259:$G$450,MATCH(AM74,'Live Calc'!$A$259:$A$450,0))*'Live Calc'!$J$543,0))</f>
        <v>1</v>
      </c>
      <c r="AW74" s="12" t="s">
        <v>365</v>
      </c>
      <c r="AX74" s="12" t="s">
        <v>59</v>
      </c>
      <c r="AY74" s="12">
        <v>19.89</v>
      </c>
      <c r="AZ74" s="12">
        <v>26.04</v>
      </c>
      <c r="BA74" s="12">
        <v>32.19</v>
      </c>
      <c r="BB74" s="12">
        <f>CHOOSE(MATCH(Setup!$B$7,{"STD","Half-PPR","PPR"},0),AY74,AZ74,BA74)</f>
        <v>26.04</v>
      </c>
      <c r="BC74" s="12">
        <f>COUNTIFS('Draft Board'!$BD$2:$BD$87,"&gt;="&amp;BD74,'Draft Board'!$BH$2:$BH$87,1)</f>
        <v>15</v>
      </c>
      <c r="BD74" s="12">
        <f>MAX(0,BB74-'Live Calc'!$H$22)^'Live Calc'!$E$22</f>
        <v>0</v>
      </c>
      <c r="BE74" s="12">
        <v>74</v>
      </c>
      <c r="BF74" s="12">
        <f>IF(BE74&lt;&gt;_xlfn.MINIFS('Draft Board'!$BE$2:$BE$87,'Draft Board'!$BD$2:$BD$87,"="&amp;BD74),0,IF(_xlfn.MINIFS('Draft Board'!$BD$2:$BD$87,'Draft Board'!$BD$2:$BD$87,"&gt;"&amp;BD74)=0,1,IF((_xlfn.MINIFS('Draft Board'!$BD$2:$BD$87,'Draft Board'!$BD$2:$BD$87,"&gt;"&amp;BD74)-BD74)/_xlfn.MINIFS('Draft Board'!$BD$2:$BD$87,'Draft Board'!$BD$2:$BD$87,"&gt;"&amp;BD74)&gt;0.08,1,0)))</f>
        <v>0</v>
      </c>
      <c r="BG74" s="12">
        <f>_xlfn.MINIFS('Draft Board'!$BD$2:$BD$87,'Draft Board'!$BD$2:$BD$87,"&gt;="&amp;BD74,'Draft Board'!$BF$2:$BF$87,1)</f>
        <v>0</v>
      </c>
      <c r="BH74" s="12">
        <f>IF(BE74&lt;&gt;_xlfn.MINIFS('Draft Board'!$BE$2:$BE$87,'Draft Board'!$BD$2:$BD$87,"="&amp;BD74),0,IF(OR(BF74=1,IFERROR(FLOOR((BG74-BD74)/BG74/0.25,1),0)&lt;&gt;IFERROR(FLOOR((BG74-_xlfn.MINIFS('Draft Board'!$BD$2:$BD$87,'Draft Board'!$BD$2:$BD$87,"&gt;"&amp;BD74))/BG74/0.25,1),0)),1,0))</f>
        <v>0</v>
      </c>
      <c r="BI74" s="12">
        <f>ROUND(1+BD74*'Live Calc'!$D$29,0)</f>
        <v>1</v>
      </c>
      <c r="BJ74" s="12"/>
      <c r="BK74" s="12">
        <f>IF(BJ74&lt;&gt;"",BJ74,ROUND(BI74*INDEX('Live Calc'!$G$454:$G$539,MATCH(BC74,'Live Calc'!$A$454:$A$539,0))*'Live Calc'!$J$543,0))</f>
        <v>1</v>
      </c>
    </row>
    <row r="75" spans="17:63" x14ac:dyDescent="0.25">
      <c r="Q75" s="10" t="s">
        <v>366</v>
      </c>
      <c r="R75" s="10" t="s">
        <v>88</v>
      </c>
      <c r="S75" s="10">
        <v>39.552</v>
      </c>
      <c r="T75" s="10">
        <v>42.154000000000003</v>
      </c>
      <c r="U75" s="10">
        <v>44.904000000000003</v>
      </c>
      <c r="V75" s="10">
        <f>CHOOSE(MATCH(Setup!$B$7,{"STD","Half-PPR","PPR"},0),S75,T75,U75)</f>
        <v>42.154000000000003</v>
      </c>
      <c r="W75" s="10">
        <f>COUNTIFS('Draft Board'!$X$2:$X$161,"&gt;="&amp;X75,'Draft Board'!$AB$2:$AB$161,1)</f>
        <v>14</v>
      </c>
      <c r="X75" s="10">
        <f>MAX(0,V75-'Live Calc'!$H$20)^'Live Calc'!$E$20</f>
        <v>0</v>
      </c>
      <c r="Y75" s="10">
        <v>75</v>
      </c>
      <c r="Z75" s="10">
        <f>IF(Y75&lt;&gt;_xlfn.MINIFS('Draft Board'!$Y$2:$Y$161,'Draft Board'!$X$2:$X$161,"="&amp;X75),0,IF(_xlfn.MINIFS('Draft Board'!$X$2:$X$161,'Draft Board'!$X$2:$X$161,"&gt;"&amp;X75)=0,1,IF((_xlfn.MINIFS('Draft Board'!$X$2:$X$161,'Draft Board'!$X$2:$X$161,"&gt;"&amp;X75)-X75)/_xlfn.MINIFS('Draft Board'!$X$2:$X$161,'Draft Board'!$X$2:$X$161,"&gt;"&amp;X75)&gt;0.08,1,0)))</f>
        <v>0</v>
      </c>
      <c r="AA75" s="10">
        <f>_xlfn.MINIFS('Draft Board'!$X$2:$X$161,'Draft Board'!$X$2:$X$161,"&gt;="&amp;X75,'Draft Board'!$Z$2:$Z$161,1)</f>
        <v>0</v>
      </c>
      <c r="AB75" s="10">
        <f>IF(Y75&lt;&gt;_xlfn.MINIFS('Draft Board'!$Y$2:$Y$161,'Draft Board'!$X$2:$X$161,"="&amp;X75),0,IF(OR(Z75=1,IFERROR(FLOOR((AA75-X75)/AA75/0.25,1),0)&lt;&gt;IFERROR(FLOOR((AA75-_xlfn.MINIFS('Draft Board'!$X$2:$X$161,'Draft Board'!$X$2:$X$161,"&gt;"&amp;X75))/AA75/0.25,1),0)),1,0))</f>
        <v>0</v>
      </c>
      <c r="AC75" s="10">
        <f>ROUND(1+X75*'Live Calc'!$D$27,0)</f>
        <v>1</v>
      </c>
      <c r="AD75" s="10"/>
      <c r="AE75" s="10">
        <f>IF(AD75&lt;&gt;"",AD75,ROUND(AC75*INDEX('Live Calc'!$G$96:$G$255,MATCH(W75,'Live Calc'!$A$96:$A$255,0))*'Live Calc'!$J$543,0))</f>
        <v>1</v>
      </c>
      <c r="AG75" s="11" t="s">
        <v>367</v>
      </c>
      <c r="AH75" s="11" t="s">
        <v>63</v>
      </c>
      <c r="AI75" s="11">
        <v>66.236000000000004</v>
      </c>
      <c r="AJ75" s="11">
        <v>80.36</v>
      </c>
      <c r="AK75" s="11">
        <v>94.936000000000007</v>
      </c>
      <c r="AL75" s="11">
        <f>CHOOSE(MATCH(Setup!$B$7,{"STD","Half-PPR","PPR"},0),AI75,AJ75,AK75)</f>
        <v>80.36</v>
      </c>
      <c r="AM75" s="11">
        <f>COUNTIFS('Draft Board'!$AN$2:$AN$193,"&gt;="&amp;AN75,'Draft Board'!$AR$2:$AR$193,1)</f>
        <v>20</v>
      </c>
      <c r="AN75" s="11">
        <f>MAX(0,AL75-'Live Calc'!$H$21)^'Live Calc'!$E$21</f>
        <v>0</v>
      </c>
      <c r="AO75" s="11">
        <v>75</v>
      </c>
      <c r="AP75" s="11">
        <f>IF(AO75&lt;&gt;_xlfn.MINIFS('Draft Board'!$AO$2:$AO$193,'Draft Board'!$AN$2:$AN$193,"="&amp;AN75),0,IF(_xlfn.MINIFS('Draft Board'!$AN$2:$AN$193,'Draft Board'!$AN$2:$AN$193,"&gt;"&amp;AN75)=0,1,IF((_xlfn.MINIFS('Draft Board'!$AN$2:$AN$193,'Draft Board'!$AN$2:$AN$193,"&gt;"&amp;AN75)-AN75)/_xlfn.MINIFS('Draft Board'!$AN$2:$AN$193,'Draft Board'!$AN$2:$AN$193,"&gt;"&amp;AN75)&gt;0.08,1,0)))</f>
        <v>0</v>
      </c>
      <c r="AQ75" s="11">
        <f>_xlfn.MINIFS('Draft Board'!$AN$2:$AN$193,'Draft Board'!$AN$2:$AN$193,"&gt;="&amp;AN75,'Draft Board'!$AP$2:$AP$193,1)</f>
        <v>0</v>
      </c>
      <c r="AR75" s="11">
        <f>IF(AO75&lt;&gt;_xlfn.MINIFS('Draft Board'!$AO$2:$AO$193,'Draft Board'!$AN$2:$AN$193,"="&amp;AN75),0,IF(OR(AP75=1,IFERROR(FLOOR((AQ75-AN75)/AQ75/0.25,1),0)&lt;&gt;IFERROR(FLOOR((AQ75-_xlfn.MINIFS('Draft Board'!$AN$2:$AN$193,'Draft Board'!$AN$2:$AN$193,"&gt;"&amp;AN75))/AQ75/0.25,1),0)),1,0))</f>
        <v>0</v>
      </c>
      <c r="AS75" s="11">
        <f>ROUND(1+AN75*'Live Calc'!$D$28,0)</f>
        <v>1</v>
      </c>
      <c r="AT75" s="11"/>
      <c r="AU75" s="11">
        <f>IF(AT75&lt;&gt;"",AT75,ROUND(AS75*INDEX('Live Calc'!$G$259:$G$450,MATCH(AM75,'Live Calc'!$A$259:$A$450,0))*'Live Calc'!$J$543,0))</f>
        <v>1</v>
      </c>
      <c r="AW75" s="12" t="s">
        <v>368</v>
      </c>
      <c r="AX75" s="12" t="s">
        <v>88</v>
      </c>
      <c r="AY75" s="12">
        <v>18.54</v>
      </c>
      <c r="AZ75" s="12">
        <v>25.78</v>
      </c>
      <c r="BA75" s="12">
        <v>33.03</v>
      </c>
      <c r="BB75" s="12">
        <f>CHOOSE(MATCH(Setup!$B$7,{"STD","Half-PPR","PPR"},0),AY75,AZ75,BA75)</f>
        <v>25.78</v>
      </c>
      <c r="BC75" s="12">
        <f>COUNTIFS('Draft Board'!$BD$2:$BD$87,"&gt;="&amp;BD75,'Draft Board'!$BH$2:$BH$87,1)</f>
        <v>15</v>
      </c>
      <c r="BD75" s="12">
        <f>MAX(0,BB75-'Live Calc'!$H$22)^'Live Calc'!$E$22</f>
        <v>0</v>
      </c>
      <c r="BE75" s="12">
        <v>75</v>
      </c>
      <c r="BF75" s="12">
        <f>IF(BE75&lt;&gt;_xlfn.MINIFS('Draft Board'!$BE$2:$BE$87,'Draft Board'!$BD$2:$BD$87,"="&amp;BD75),0,IF(_xlfn.MINIFS('Draft Board'!$BD$2:$BD$87,'Draft Board'!$BD$2:$BD$87,"&gt;"&amp;BD75)=0,1,IF((_xlfn.MINIFS('Draft Board'!$BD$2:$BD$87,'Draft Board'!$BD$2:$BD$87,"&gt;"&amp;BD75)-BD75)/_xlfn.MINIFS('Draft Board'!$BD$2:$BD$87,'Draft Board'!$BD$2:$BD$87,"&gt;"&amp;BD75)&gt;0.08,1,0)))</f>
        <v>0</v>
      </c>
      <c r="BG75" s="12">
        <f>_xlfn.MINIFS('Draft Board'!$BD$2:$BD$87,'Draft Board'!$BD$2:$BD$87,"&gt;="&amp;BD75,'Draft Board'!$BF$2:$BF$87,1)</f>
        <v>0</v>
      </c>
      <c r="BH75" s="12">
        <f>IF(BE75&lt;&gt;_xlfn.MINIFS('Draft Board'!$BE$2:$BE$87,'Draft Board'!$BD$2:$BD$87,"="&amp;BD75),0,IF(OR(BF75=1,IFERROR(FLOOR((BG75-BD75)/BG75/0.25,1),0)&lt;&gt;IFERROR(FLOOR((BG75-_xlfn.MINIFS('Draft Board'!$BD$2:$BD$87,'Draft Board'!$BD$2:$BD$87,"&gt;"&amp;BD75))/BG75/0.25,1),0)),1,0))</f>
        <v>0</v>
      </c>
      <c r="BI75" s="12">
        <f>ROUND(1+BD75*'Live Calc'!$D$29,0)</f>
        <v>1</v>
      </c>
      <c r="BJ75" s="12"/>
      <c r="BK75" s="12">
        <f>IF(BJ75&lt;&gt;"",BJ75,ROUND(BI75*INDEX('Live Calc'!$G$454:$G$539,MATCH(BC75,'Live Calc'!$A$454:$A$539,0))*'Live Calc'!$J$543,0))</f>
        <v>1</v>
      </c>
    </row>
    <row r="76" spans="17:63" x14ac:dyDescent="0.25">
      <c r="Q76" s="10" t="s">
        <v>369</v>
      </c>
      <c r="R76" s="10" t="s">
        <v>143</v>
      </c>
      <c r="S76" s="10">
        <v>34.51</v>
      </c>
      <c r="T76" s="10">
        <v>41.814</v>
      </c>
      <c r="U76" s="10">
        <v>48.082000000000001</v>
      </c>
      <c r="V76" s="10">
        <f>CHOOSE(MATCH(Setup!$B$7,{"STD","Half-PPR","PPR"},0),S76,T76,U76)</f>
        <v>41.814</v>
      </c>
      <c r="W76" s="10">
        <f>COUNTIFS('Draft Board'!$X$2:$X$161,"&gt;="&amp;X76,'Draft Board'!$AB$2:$AB$161,1)</f>
        <v>14</v>
      </c>
      <c r="X76" s="10">
        <f>MAX(0,V76-'Live Calc'!$H$20)^'Live Calc'!$E$20</f>
        <v>0</v>
      </c>
      <c r="Y76" s="10">
        <v>76</v>
      </c>
      <c r="Z76" s="10">
        <f>IF(Y76&lt;&gt;_xlfn.MINIFS('Draft Board'!$Y$2:$Y$161,'Draft Board'!$X$2:$X$161,"="&amp;X76),0,IF(_xlfn.MINIFS('Draft Board'!$X$2:$X$161,'Draft Board'!$X$2:$X$161,"&gt;"&amp;X76)=0,1,IF((_xlfn.MINIFS('Draft Board'!$X$2:$X$161,'Draft Board'!$X$2:$X$161,"&gt;"&amp;X76)-X76)/_xlfn.MINIFS('Draft Board'!$X$2:$X$161,'Draft Board'!$X$2:$X$161,"&gt;"&amp;X76)&gt;0.08,1,0)))</f>
        <v>0</v>
      </c>
      <c r="AA76" s="10">
        <f>_xlfn.MINIFS('Draft Board'!$X$2:$X$161,'Draft Board'!$X$2:$X$161,"&gt;="&amp;X76,'Draft Board'!$Z$2:$Z$161,1)</f>
        <v>0</v>
      </c>
      <c r="AB76" s="10">
        <f>IF(Y76&lt;&gt;_xlfn.MINIFS('Draft Board'!$Y$2:$Y$161,'Draft Board'!$X$2:$X$161,"="&amp;X76),0,IF(OR(Z76=1,IFERROR(FLOOR((AA76-X76)/AA76/0.25,1),0)&lt;&gt;IFERROR(FLOOR((AA76-_xlfn.MINIFS('Draft Board'!$X$2:$X$161,'Draft Board'!$X$2:$X$161,"&gt;"&amp;X76))/AA76/0.25,1),0)),1,0))</f>
        <v>0</v>
      </c>
      <c r="AC76" s="10">
        <f>ROUND(1+X76*'Live Calc'!$D$27,0)</f>
        <v>1</v>
      </c>
      <c r="AD76" s="10"/>
      <c r="AE76" s="10">
        <f>IF(AD76&lt;&gt;"",AD76,ROUND(AC76*INDEX('Live Calc'!$G$96:$G$255,MATCH(W76,'Live Calc'!$A$96:$A$255,0))*'Live Calc'!$J$543,0))</f>
        <v>1</v>
      </c>
      <c r="AG76" s="11" t="s">
        <v>370</v>
      </c>
      <c r="AH76" s="11" t="s">
        <v>75</v>
      </c>
      <c r="AI76" s="11">
        <v>61.276000000000003</v>
      </c>
      <c r="AJ76" s="11">
        <v>80.006</v>
      </c>
      <c r="AK76" s="11">
        <v>98.695999999999998</v>
      </c>
      <c r="AL76" s="11">
        <f>CHOOSE(MATCH(Setup!$B$7,{"STD","Half-PPR","PPR"},0),AI76,AJ76,AK76)</f>
        <v>80.006</v>
      </c>
      <c r="AM76" s="11">
        <f>COUNTIFS('Draft Board'!$AN$2:$AN$193,"&gt;="&amp;AN76,'Draft Board'!$AR$2:$AR$193,1)</f>
        <v>20</v>
      </c>
      <c r="AN76" s="11">
        <f>MAX(0,AL76-'Live Calc'!$H$21)^'Live Calc'!$E$21</f>
        <v>0</v>
      </c>
      <c r="AO76" s="11">
        <v>76</v>
      </c>
      <c r="AP76" s="11">
        <f>IF(AO76&lt;&gt;_xlfn.MINIFS('Draft Board'!$AO$2:$AO$193,'Draft Board'!$AN$2:$AN$193,"="&amp;AN76),0,IF(_xlfn.MINIFS('Draft Board'!$AN$2:$AN$193,'Draft Board'!$AN$2:$AN$193,"&gt;"&amp;AN76)=0,1,IF((_xlfn.MINIFS('Draft Board'!$AN$2:$AN$193,'Draft Board'!$AN$2:$AN$193,"&gt;"&amp;AN76)-AN76)/_xlfn.MINIFS('Draft Board'!$AN$2:$AN$193,'Draft Board'!$AN$2:$AN$193,"&gt;"&amp;AN76)&gt;0.08,1,0)))</f>
        <v>0</v>
      </c>
      <c r="AQ76" s="11">
        <f>_xlfn.MINIFS('Draft Board'!$AN$2:$AN$193,'Draft Board'!$AN$2:$AN$193,"&gt;="&amp;AN76,'Draft Board'!$AP$2:$AP$193,1)</f>
        <v>0</v>
      </c>
      <c r="AR76" s="11">
        <f>IF(AO76&lt;&gt;_xlfn.MINIFS('Draft Board'!$AO$2:$AO$193,'Draft Board'!$AN$2:$AN$193,"="&amp;AN76),0,IF(OR(AP76=1,IFERROR(FLOOR((AQ76-AN76)/AQ76/0.25,1),0)&lt;&gt;IFERROR(FLOOR((AQ76-_xlfn.MINIFS('Draft Board'!$AN$2:$AN$193,'Draft Board'!$AN$2:$AN$193,"&gt;"&amp;AN76))/AQ76/0.25,1),0)),1,0))</f>
        <v>0</v>
      </c>
      <c r="AS76" s="11">
        <f>ROUND(1+AN76*'Live Calc'!$D$28,0)</f>
        <v>1</v>
      </c>
      <c r="AT76" s="11"/>
      <c r="AU76" s="11">
        <f>IF(AT76&lt;&gt;"",AT76,ROUND(AS76*INDEX('Live Calc'!$G$259:$G$450,MATCH(AM76,'Live Calc'!$A$259:$A$450,0))*'Live Calc'!$J$543,0))</f>
        <v>1</v>
      </c>
      <c r="AW76" s="12" t="s">
        <v>371</v>
      </c>
      <c r="AX76" s="12" t="s">
        <v>67</v>
      </c>
      <c r="AY76" s="12">
        <v>17.97</v>
      </c>
      <c r="AZ76" s="12">
        <v>25.64</v>
      </c>
      <c r="BA76" s="12">
        <v>33.31</v>
      </c>
      <c r="BB76" s="12">
        <f>CHOOSE(MATCH(Setup!$B$7,{"STD","Half-PPR","PPR"},0),AY76,AZ76,BA76)</f>
        <v>25.64</v>
      </c>
      <c r="BC76" s="12">
        <f>COUNTIFS('Draft Board'!$BD$2:$BD$87,"&gt;="&amp;BD76,'Draft Board'!$BH$2:$BH$87,1)</f>
        <v>15</v>
      </c>
      <c r="BD76" s="12">
        <f>MAX(0,BB76-'Live Calc'!$H$22)^'Live Calc'!$E$22</f>
        <v>0</v>
      </c>
      <c r="BE76" s="12">
        <v>76</v>
      </c>
      <c r="BF76" s="12">
        <f>IF(BE76&lt;&gt;_xlfn.MINIFS('Draft Board'!$BE$2:$BE$87,'Draft Board'!$BD$2:$BD$87,"="&amp;BD76),0,IF(_xlfn.MINIFS('Draft Board'!$BD$2:$BD$87,'Draft Board'!$BD$2:$BD$87,"&gt;"&amp;BD76)=0,1,IF((_xlfn.MINIFS('Draft Board'!$BD$2:$BD$87,'Draft Board'!$BD$2:$BD$87,"&gt;"&amp;BD76)-BD76)/_xlfn.MINIFS('Draft Board'!$BD$2:$BD$87,'Draft Board'!$BD$2:$BD$87,"&gt;"&amp;BD76)&gt;0.08,1,0)))</f>
        <v>0</v>
      </c>
      <c r="BG76" s="12">
        <f>_xlfn.MINIFS('Draft Board'!$BD$2:$BD$87,'Draft Board'!$BD$2:$BD$87,"&gt;="&amp;BD76,'Draft Board'!$BF$2:$BF$87,1)</f>
        <v>0</v>
      </c>
      <c r="BH76" s="12">
        <f>IF(BE76&lt;&gt;_xlfn.MINIFS('Draft Board'!$BE$2:$BE$87,'Draft Board'!$BD$2:$BD$87,"="&amp;BD76),0,IF(OR(BF76=1,IFERROR(FLOOR((BG76-BD76)/BG76/0.25,1),0)&lt;&gt;IFERROR(FLOOR((BG76-_xlfn.MINIFS('Draft Board'!$BD$2:$BD$87,'Draft Board'!$BD$2:$BD$87,"&gt;"&amp;BD76))/BG76/0.25,1),0)),1,0))</f>
        <v>0</v>
      </c>
      <c r="BI76" s="12">
        <f>ROUND(1+BD76*'Live Calc'!$D$29,0)</f>
        <v>1</v>
      </c>
      <c r="BJ76" s="12"/>
      <c r="BK76" s="12">
        <f>IF(BJ76&lt;&gt;"",BJ76,ROUND(BI76*INDEX('Live Calc'!$G$454:$G$539,MATCH(BC76,'Live Calc'!$A$454:$A$539,0))*'Live Calc'!$J$543,0))</f>
        <v>1</v>
      </c>
    </row>
    <row r="77" spans="17:63" x14ac:dyDescent="0.25">
      <c r="Q77" s="10" t="s">
        <v>372</v>
      </c>
      <c r="R77" s="10" t="s">
        <v>75</v>
      </c>
      <c r="S77" s="10">
        <v>35.845999999999997</v>
      </c>
      <c r="T77" s="10">
        <v>40.707999999999998</v>
      </c>
      <c r="U77" s="10">
        <v>45.572000000000003</v>
      </c>
      <c r="V77" s="10">
        <f>CHOOSE(MATCH(Setup!$B$7,{"STD","Half-PPR","PPR"},0),S77,T77,U77)</f>
        <v>40.707999999999998</v>
      </c>
      <c r="W77" s="10">
        <f>COUNTIFS('Draft Board'!$X$2:$X$161,"&gt;="&amp;X77,'Draft Board'!$AB$2:$AB$161,1)</f>
        <v>14</v>
      </c>
      <c r="X77" s="10">
        <f>MAX(0,V77-'Live Calc'!$H$20)^'Live Calc'!$E$20</f>
        <v>0</v>
      </c>
      <c r="Y77" s="10">
        <v>77</v>
      </c>
      <c r="Z77" s="10">
        <f>IF(Y77&lt;&gt;_xlfn.MINIFS('Draft Board'!$Y$2:$Y$161,'Draft Board'!$X$2:$X$161,"="&amp;X77),0,IF(_xlfn.MINIFS('Draft Board'!$X$2:$X$161,'Draft Board'!$X$2:$X$161,"&gt;"&amp;X77)=0,1,IF((_xlfn.MINIFS('Draft Board'!$X$2:$X$161,'Draft Board'!$X$2:$X$161,"&gt;"&amp;X77)-X77)/_xlfn.MINIFS('Draft Board'!$X$2:$X$161,'Draft Board'!$X$2:$X$161,"&gt;"&amp;X77)&gt;0.08,1,0)))</f>
        <v>0</v>
      </c>
      <c r="AA77" s="10">
        <f>_xlfn.MINIFS('Draft Board'!$X$2:$X$161,'Draft Board'!$X$2:$X$161,"&gt;="&amp;X77,'Draft Board'!$Z$2:$Z$161,1)</f>
        <v>0</v>
      </c>
      <c r="AB77" s="10">
        <f>IF(Y77&lt;&gt;_xlfn.MINIFS('Draft Board'!$Y$2:$Y$161,'Draft Board'!$X$2:$X$161,"="&amp;X77),0,IF(OR(Z77=1,IFERROR(FLOOR((AA77-X77)/AA77/0.25,1),0)&lt;&gt;IFERROR(FLOOR((AA77-_xlfn.MINIFS('Draft Board'!$X$2:$X$161,'Draft Board'!$X$2:$X$161,"&gt;"&amp;X77))/AA77/0.25,1),0)),1,0))</f>
        <v>0</v>
      </c>
      <c r="AC77" s="10">
        <f>ROUND(1+X77*'Live Calc'!$D$27,0)</f>
        <v>1</v>
      </c>
      <c r="AD77" s="10"/>
      <c r="AE77" s="10">
        <f>IF(AD77&lt;&gt;"",AD77,ROUND(AC77*INDEX('Live Calc'!$G$96:$G$255,MATCH(W77,'Live Calc'!$A$96:$A$255,0))*'Live Calc'!$J$543,0))</f>
        <v>1</v>
      </c>
      <c r="AG77" s="11" t="s">
        <v>373</v>
      </c>
      <c r="AH77" s="11" t="s">
        <v>107</v>
      </c>
      <c r="AI77" s="11">
        <v>61.171999999999997</v>
      </c>
      <c r="AJ77" s="11">
        <v>79.513999999999996</v>
      </c>
      <c r="AK77" s="11">
        <v>98.13</v>
      </c>
      <c r="AL77" s="11">
        <f>CHOOSE(MATCH(Setup!$B$7,{"STD","Half-PPR","PPR"},0),AI77,AJ77,AK77)</f>
        <v>79.513999999999996</v>
      </c>
      <c r="AM77" s="11">
        <f>COUNTIFS('Draft Board'!$AN$2:$AN$193,"&gt;="&amp;AN77,'Draft Board'!$AR$2:$AR$193,1)</f>
        <v>20</v>
      </c>
      <c r="AN77" s="11">
        <f>MAX(0,AL77-'Live Calc'!$H$21)^'Live Calc'!$E$21</f>
        <v>0</v>
      </c>
      <c r="AO77" s="11">
        <v>77</v>
      </c>
      <c r="AP77" s="11">
        <f>IF(AO77&lt;&gt;_xlfn.MINIFS('Draft Board'!$AO$2:$AO$193,'Draft Board'!$AN$2:$AN$193,"="&amp;AN77),0,IF(_xlfn.MINIFS('Draft Board'!$AN$2:$AN$193,'Draft Board'!$AN$2:$AN$193,"&gt;"&amp;AN77)=0,1,IF((_xlfn.MINIFS('Draft Board'!$AN$2:$AN$193,'Draft Board'!$AN$2:$AN$193,"&gt;"&amp;AN77)-AN77)/_xlfn.MINIFS('Draft Board'!$AN$2:$AN$193,'Draft Board'!$AN$2:$AN$193,"&gt;"&amp;AN77)&gt;0.08,1,0)))</f>
        <v>0</v>
      </c>
      <c r="AQ77" s="11">
        <f>_xlfn.MINIFS('Draft Board'!$AN$2:$AN$193,'Draft Board'!$AN$2:$AN$193,"&gt;="&amp;AN77,'Draft Board'!$AP$2:$AP$193,1)</f>
        <v>0</v>
      </c>
      <c r="AR77" s="11">
        <f>IF(AO77&lt;&gt;_xlfn.MINIFS('Draft Board'!$AO$2:$AO$193,'Draft Board'!$AN$2:$AN$193,"="&amp;AN77),0,IF(OR(AP77=1,IFERROR(FLOOR((AQ77-AN77)/AQ77/0.25,1),0)&lt;&gt;IFERROR(FLOOR((AQ77-_xlfn.MINIFS('Draft Board'!$AN$2:$AN$193,'Draft Board'!$AN$2:$AN$193,"&gt;"&amp;AN77))/AQ77/0.25,1),0)),1,0))</f>
        <v>0</v>
      </c>
      <c r="AS77" s="11">
        <f>ROUND(1+AN77*'Live Calc'!$D$28,0)</f>
        <v>1</v>
      </c>
      <c r="AT77" s="11"/>
      <c r="AU77" s="11">
        <f>IF(AT77&lt;&gt;"",AT77,ROUND(AS77*INDEX('Live Calc'!$G$259:$G$450,MATCH(AM77,'Live Calc'!$A$259:$A$450,0))*'Live Calc'!$J$543,0))</f>
        <v>1</v>
      </c>
      <c r="AW77" s="12" t="s">
        <v>374</v>
      </c>
      <c r="AX77" s="12" t="s">
        <v>116</v>
      </c>
      <c r="AY77" s="12">
        <v>18.36</v>
      </c>
      <c r="AZ77" s="12">
        <v>25.05</v>
      </c>
      <c r="BA77" s="12">
        <v>31.73</v>
      </c>
      <c r="BB77" s="12">
        <f>CHOOSE(MATCH(Setup!$B$7,{"STD","Half-PPR","PPR"},0),AY77,AZ77,BA77)</f>
        <v>25.05</v>
      </c>
      <c r="BC77" s="12">
        <f>COUNTIFS('Draft Board'!$BD$2:$BD$87,"&gt;="&amp;BD77,'Draft Board'!$BH$2:$BH$87,1)</f>
        <v>15</v>
      </c>
      <c r="BD77" s="12">
        <f>MAX(0,BB77-'Live Calc'!$H$22)^'Live Calc'!$E$22</f>
        <v>0</v>
      </c>
      <c r="BE77" s="12">
        <v>77</v>
      </c>
      <c r="BF77" s="12">
        <f>IF(BE77&lt;&gt;_xlfn.MINIFS('Draft Board'!$BE$2:$BE$87,'Draft Board'!$BD$2:$BD$87,"="&amp;BD77),0,IF(_xlfn.MINIFS('Draft Board'!$BD$2:$BD$87,'Draft Board'!$BD$2:$BD$87,"&gt;"&amp;BD77)=0,1,IF((_xlfn.MINIFS('Draft Board'!$BD$2:$BD$87,'Draft Board'!$BD$2:$BD$87,"&gt;"&amp;BD77)-BD77)/_xlfn.MINIFS('Draft Board'!$BD$2:$BD$87,'Draft Board'!$BD$2:$BD$87,"&gt;"&amp;BD77)&gt;0.08,1,0)))</f>
        <v>0</v>
      </c>
      <c r="BG77" s="12">
        <f>_xlfn.MINIFS('Draft Board'!$BD$2:$BD$87,'Draft Board'!$BD$2:$BD$87,"&gt;="&amp;BD77,'Draft Board'!$BF$2:$BF$87,1)</f>
        <v>0</v>
      </c>
      <c r="BH77" s="12">
        <f>IF(BE77&lt;&gt;_xlfn.MINIFS('Draft Board'!$BE$2:$BE$87,'Draft Board'!$BD$2:$BD$87,"="&amp;BD77),0,IF(OR(BF77=1,IFERROR(FLOOR((BG77-BD77)/BG77/0.25,1),0)&lt;&gt;IFERROR(FLOOR((BG77-_xlfn.MINIFS('Draft Board'!$BD$2:$BD$87,'Draft Board'!$BD$2:$BD$87,"&gt;"&amp;BD77))/BG77/0.25,1),0)),1,0))</f>
        <v>0</v>
      </c>
      <c r="BI77" s="12">
        <f>ROUND(1+BD77*'Live Calc'!$D$29,0)</f>
        <v>1</v>
      </c>
      <c r="BJ77" s="12"/>
      <c r="BK77" s="12">
        <f>IF(BJ77&lt;&gt;"",BJ77,ROUND(BI77*INDEX('Live Calc'!$G$454:$G$539,MATCH(BC77,'Live Calc'!$A$454:$A$539,0))*'Live Calc'!$J$543,0))</f>
        <v>1</v>
      </c>
    </row>
    <row r="78" spans="17:63" x14ac:dyDescent="0.25">
      <c r="Q78" s="10" t="s">
        <v>375</v>
      </c>
      <c r="R78" s="10" t="s">
        <v>111</v>
      </c>
      <c r="S78" s="10">
        <v>35.223999999999997</v>
      </c>
      <c r="T78" s="10">
        <v>40.36</v>
      </c>
      <c r="U78" s="10">
        <v>46.026000000000003</v>
      </c>
      <c r="V78" s="10">
        <f>CHOOSE(MATCH(Setup!$B$7,{"STD","Half-PPR","PPR"},0),S78,T78,U78)</f>
        <v>40.36</v>
      </c>
      <c r="W78" s="10">
        <f>COUNTIFS('Draft Board'!$X$2:$X$161,"&gt;="&amp;X78,'Draft Board'!$AB$2:$AB$161,1)</f>
        <v>14</v>
      </c>
      <c r="X78" s="10">
        <f>MAX(0,V78-'Live Calc'!$H$20)^'Live Calc'!$E$20</f>
        <v>0</v>
      </c>
      <c r="Y78" s="10">
        <v>78</v>
      </c>
      <c r="Z78" s="10">
        <f>IF(Y78&lt;&gt;_xlfn.MINIFS('Draft Board'!$Y$2:$Y$161,'Draft Board'!$X$2:$X$161,"="&amp;X78),0,IF(_xlfn.MINIFS('Draft Board'!$X$2:$X$161,'Draft Board'!$X$2:$X$161,"&gt;"&amp;X78)=0,1,IF((_xlfn.MINIFS('Draft Board'!$X$2:$X$161,'Draft Board'!$X$2:$X$161,"&gt;"&amp;X78)-X78)/_xlfn.MINIFS('Draft Board'!$X$2:$X$161,'Draft Board'!$X$2:$X$161,"&gt;"&amp;X78)&gt;0.08,1,0)))</f>
        <v>0</v>
      </c>
      <c r="AA78" s="10">
        <f>_xlfn.MINIFS('Draft Board'!$X$2:$X$161,'Draft Board'!$X$2:$X$161,"&gt;="&amp;X78,'Draft Board'!$Z$2:$Z$161,1)</f>
        <v>0</v>
      </c>
      <c r="AB78" s="10">
        <f>IF(Y78&lt;&gt;_xlfn.MINIFS('Draft Board'!$Y$2:$Y$161,'Draft Board'!$X$2:$X$161,"="&amp;X78),0,IF(OR(Z78=1,IFERROR(FLOOR((AA78-X78)/AA78/0.25,1),0)&lt;&gt;IFERROR(FLOOR((AA78-_xlfn.MINIFS('Draft Board'!$X$2:$X$161,'Draft Board'!$X$2:$X$161,"&gt;"&amp;X78))/AA78/0.25,1),0)),1,0))</f>
        <v>0</v>
      </c>
      <c r="AC78" s="10">
        <f>ROUND(1+X78*'Live Calc'!$D$27,0)</f>
        <v>1</v>
      </c>
      <c r="AD78" s="10"/>
      <c r="AE78" s="10">
        <f>IF(AD78&lt;&gt;"",AD78,ROUND(AC78*INDEX('Live Calc'!$G$96:$G$255,MATCH(W78,'Live Calc'!$A$96:$A$255,0))*'Live Calc'!$J$543,0))</f>
        <v>1</v>
      </c>
      <c r="AG78" s="11" t="s">
        <v>376</v>
      </c>
      <c r="AH78" s="11" t="s">
        <v>71</v>
      </c>
      <c r="AI78" s="11">
        <v>64.031999999999996</v>
      </c>
      <c r="AJ78" s="11">
        <v>77.617999999999995</v>
      </c>
      <c r="AK78" s="11">
        <v>91.65</v>
      </c>
      <c r="AL78" s="11">
        <f>CHOOSE(MATCH(Setup!$B$7,{"STD","Half-PPR","PPR"},0),AI78,AJ78,AK78)</f>
        <v>77.617999999999995</v>
      </c>
      <c r="AM78" s="11">
        <f>COUNTIFS('Draft Board'!$AN$2:$AN$193,"&gt;="&amp;AN78,'Draft Board'!$AR$2:$AR$193,1)</f>
        <v>20</v>
      </c>
      <c r="AN78" s="11">
        <f>MAX(0,AL78-'Live Calc'!$H$21)^'Live Calc'!$E$21</f>
        <v>0</v>
      </c>
      <c r="AO78" s="11">
        <v>78</v>
      </c>
      <c r="AP78" s="11">
        <f>IF(AO78&lt;&gt;_xlfn.MINIFS('Draft Board'!$AO$2:$AO$193,'Draft Board'!$AN$2:$AN$193,"="&amp;AN78),0,IF(_xlfn.MINIFS('Draft Board'!$AN$2:$AN$193,'Draft Board'!$AN$2:$AN$193,"&gt;"&amp;AN78)=0,1,IF((_xlfn.MINIFS('Draft Board'!$AN$2:$AN$193,'Draft Board'!$AN$2:$AN$193,"&gt;"&amp;AN78)-AN78)/_xlfn.MINIFS('Draft Board'!$AN$2:$AN$193,'Draft Board'!$AN$2:$AN$193,"&gt;"&amp;AN78)&gt;0.08,1,0)))</f>
        <v>0</v>
      </c>
      <c r="AQ78" s="11">
        <f>_xlfn.MINIFS('Draft Board'!$AN$2:$AN$193,'Draft Board'!$AN$2:$AN$193,"&gt;="&amp;AN78,'Draft Board'!$AP$2:$AP$193,1)</f>
        <v>0</v>
      </c>
      <c r="AR78" s="11">
        <f>IF(AO78&lt;&gt;_xlfn.MINIFS('Draft Board'!$AO$2:$AO$193,'Draft Board'!$AN$2:$AN$193,"="&amp;AN78),0,IF(OR(AP78=1,IFERROR(FLOOR((AQ78-AN78)/AQ78/0.25,1),0)&lt;&gt;IFERROR(FLOOR((AQ78-_xlfn.MINIFS('Draft Board'!$AN$2:$AN$193,'Draft Board'!$AN$2:$AN$193,"&gt;"&amp;AN78))/AQ78/0.25,1),0)),1,0))</f>
        <v>0</v>
      </c>
      <c r="AS78" s="11">
        <f>ROUND(1+AN78*'Live Calc'!$D$28,0)</f>
        <v>1</v>
      </c>
      <c r="AT78" s="11"/>
      <c r="AU78" s="11">
        <f>IF(AT78&lt;&gt;"",AT78,ROUND(AS78*INDEX('Live Calc'!$G$259:$G$450,MATCH(AM78,'Live Calc'!$A$259:$A$450,0))*'Live Calc'!$J$543,0))</f>
        <v>1</v>
      </c>
      <c r="AW78" s="12" t="s">
        <v>377</v>
      </c>
      <c r="AX78" s="12" t="s">
        <v>88</v>
      </c>
      <c r="AY78" s="12">
        <v>17.974</v>
      </c>
      <c r="AZ78" s="12">
        <v>24.268000000000001</v>
      </c>
      <c r="BA78" s="12">
        <v>30.716000000000001</v>
      </c>
      <c r="BB78" s="12">
        <f>CHOOSE(MATCH(Setup!$B$7,{"STD","Half-PPR","PPR"},0),AY78,AZ78,BA78)</f>
        <v>24.268000000000001</v>
      </c>
      <c r="BC78" s="12">
        <f>COUNTIFS('Draft Board'!$BD$2:$BD$87,"&gt;="&amp;BD78,'Draft Board'!$BH$2:$BH$87,1)</f>
        <v>15</v>
      </c>
      <c r="BD78" s="12">
        <f>MAX(0,BB78-'Live Calc'!$H$22)^'Live Calc'!$E$22</f>
        <v>0</v>
      </c>
      <c r="BE78" s="12">
        <v>78</v>
      </c>
      <c r="BF78" s="12">
        <f>IF(BE78&lt;&gt;_xlfn.MINIFS('Draft Board'!$BE$2:$BE$87,'Draft Board'!$BD$2:$BD$87,"="&amp;BD78),0,IF(_xlfn.MINIFS('Draft Board'!$BD$2:$BD$87,'Draft Board'!$BD$2:$BD$87,"&gt;"&amp;BD78)=0,1,IF((_xlfn.MINIFS('Draft Board'!$BD$2:$BD$87,'Draft Board'!$BD$2:$BD$87,"&gt;"&amp;BD78)-BD78)/_xlfn.MINIFS('Draft Board'!$BD$2:$BD$87,'Draft Board'!$BD$2:$BD$87,"&gt;"&amp;BD78)&gt;0.08,1,0)))</f>
        <v>0</v>
      </c>
      <c r="BG78" s="12">
        <f>_xlfn.MINIFS('Draft Board'!$BD$2:$BD$87,'Draft Board'!$BD$2:$BD$87,"&gt;="&amp;BD78,'Draft Board'!$BF$2:$BF$87,1)</f>
        <v>0</v>
      </c>
      <c r="BH78" s="12">
        <f>IF(BE78&lt;&gt;_xlfn.MINIFS('Draft Board'!$BE$2:$BE$87,'Draft Board'!$BD$2:$BD$87,"="&amp;BD78),0,IF(OR(BF78=1,IFERROR(FLOOR((BG78-BD78)/BG78/0.25,1),0)&lt;&gt;IFERROR(FLOOR((BG78-_xlfn.MINIFS('Draft Board'!$BD$2:$BD$87,'Draft Board'!$BD$2:$BD$87,"&gt;"&amp;BD78))/BG78/0.25,1),0)),1,0))</f>
        <v>0</v>
      </c>
      <c r="BI78" s="12">
        <f>ROUND(1+BD78*'Live Calc'!$D$29,0)</f>
        <v>1</v>
      </c>
      <c r="BJ78" s="12"/>
      <c r="BK78" s="12">
        <f>IF(BJ78&lt;&gt;"",BJ78,ROUND(BI78*INDEX('Live Calc'!$G$454:$G$539,MATCH(BC78,'Live Calc'!$A$454:$A$539,0))*'Live Calc'!$J$543,0))</f>
        <v>1</v>
      </c>
    </row>
    <row r="79" spans="17:63" x14ac:dyDescent="0.25">
      <c r="Q79" s="10" t="s">
        <v>378</v>
      </c>
      <c r="R79" s="10" t="s">
        <v>119</v>
      </c>
      <c r="S79" s="10">
        <v>33.188000000000002</v>
      </c>
      <c r="T79" s="10">
        <v>38.314</v>
      </c>
      <c r="U79" s="10">
        <v>42.17</v>
      </c>
      <c r="V79" s="10">
        <f>CHOOSE(MATCH(Setup!$B$7,{"STD","Half-PPR","PPR"},0),S79,T79,U79)</f>
        <v>38.314</v>
      </c>
      <c r="W79" s="10">
        <f>COUNTIFS('Draft Board'!$X$2:$X$161,"&gt;="&amp;X79,'Draft Board'!$AB$2:$AB$161,1)</f>
        <v>14</v>
      </c>
      <c r="X79" s="10">
        <f>MAX(0,V79-'Live Calc'!$H$20)^'Live Calc'!$E$20</f>
        <v>0</v>
      </c>
      <c r="Y79" s="10">
        <v>79</v>
      </c>
      <c r="Z79" s="10">
        <f>IF(Y79&lt;&gt;_xlfn.MINIFS('Draft Board'!$Y$2:$Y$161,'Draft Board'!$X$2:$X$161,"="&amp;X79),0,IF(_xlfn.MINIFS('Draft Board'!$X$2:$X$161,'Draft Board'!$X$2:$X$161,"&gt;"&amp;X79)=0,1,IF((_xlfn.MINIFS('Draft Board'!$X$2:$X$161,'Draft Board'!$X$2:$X$161,"&gt;"&amp;X79)-X79)/_xlfn.MINIFS('Draft Board'!$X$2:$X$161,'Draft Board'!$X$2:$X$161,"&gt;"&amp;X79)&gt;0.08,1,0)))</f>
        <v>0</v>
      </c>
      <c r="AA79" s="10">
        <f>_xlfn.MINIFS('Draft Board'!$X$2:$X$161,'Draft Board'!$X$2:$X$161,"&gt;="&amp;X79,'Draft Board'!$Z$2:$Z$161,1)</f>
        <v>0</v>
      </c>
      <c r="AB79" s="10">
        <f>IF(Y79&lt;&gt;_xlfn.MINIFS('Draft Board'!$Y$2:$Y$161,'Draft Board'!$X$2:$X$161,"="&amp;X79),0,IF(OR(Z79=1,IFERROR(FLOOR((AA79-X79)/AA79/0.25,1),0)&lt;&gt;IFERROR(FLOOR((AA79-_xlfn.MINIFS('Draft Board'!$X$2:$X$161,'Draft Board'!$X$2:$X$161,"&gt;"&amp;X79))/AA79/0.25,1),0)),1,0))</f>
        <v>0</v>
      </c>
      <c r="AC79" s="10">
        <f>ROUND(1+X79*'Live Calc'!$D$27,0)</f>
        <v>1</v>
      </c>
      <c r="AD79" s="10"/>
      <c r="AE79" s="10">
        <f>IF(AD79&lt;&gt;"",AD79,ROUND(AC79*INDEX('Live Calc'!$G$96:$G$255,MATCH(W79,'Live Calc'!$A$96:$A$255,0))*'Live Calc'!$J$543,0))</f>
        <v>1</v>
      </c>
      <c r="AG79" s="11" t="s">
        <v>379</v>
      </c>
      <c r="AH79" s="11" t="s">
        <v>113</v>
      </c>
      <c r="AI79" s="11">
        <v>58.968000000000004</v>
      </c>
      <c r="AJ79" s="11">
        <v>76.662000000000006</v>
      </c>
      <c r="AK79" s="11">
        <v>93.244</v>
      </c>
      <c r="AL79" s="11">
        <f>CHOOSE(MATCH(Setup!$B$7,{"STD","Half-PPR","PPR"},0),AI79,AJ79,AK79)</f>
        <v>76.662000000000006</v>
      </c>
      <c r="AM79" s="11">
        <f>COUNTIFS('Draft Board'!$AN$2:$AN$193,"&gt;="&amp;AN79,'Draft Board'!$AR$2:$AR$193,1)</f>
        <v>20</v>
      </c>
      <c r="AN79" s="11">
        <f>MAX(0,AL79-'Live Calc'!$H$21)^'Live Calc'!$E$21</f>
        <v>0</v>
      </c>
      <c r="AO79" s="11">
        <v>79</v>
      </c>
      <c r="AP79" s="11">
        <f>IF(AO79&lt;&gt;_xlfn.MINIFS('Draft Board'!$AO$2:$AO$193,'Draft Board'!$AN$2:$AN$193,"="&amp;AN79),0,IF(_xlfn.MINIFS('Draft Board'!$AN$2:$AN$193,'Draft Board'!$AN$2:$AN$193,"&gt;"&amp;AN79)=0,1,IF((_xlfn.MINIFS('Draft Board'!$AN$2:$AN$193,'Draft Board'!$AN$2:$AN$193,"&gt;"&amp;AN79)-AN79)/_xlfn.MINIFS('Draft Board'!$AN$2:$AN$193,'Draft Board'!$AN$2:$AN$193,"&gt;"&amp;AN79)&gt;0.08,1,0)))</f>
        <v>0</v>
      </c>
      <c r="AQ79" s="11">
        <f>_xlfn.MINIFS('Draft Board'!$AN$2:$AN$193,'Draft Board'!$AN$2:$AN$193,"&gt;="&amp;AN79,'Draft Board'!$AP$2:$AP$193,1)</f>
        <v>0</v>
      </c>
      <c r="AR79" s="11">
        <f>IF(AO79&lt;&gt;_xlfn.MINIFS('Draft Board'!$AO$2:$AO$193,'Draft Board'!$AN$2:$AN$193,"="&amp;AN79),0,IF(OR(AP79=1,IFERROR(FLOOR((AQ79-AN79)/AQ79/0.25,1),0)&lt;&gt;IFERROR(FLOOR((AQ79-_xlfn.MINIFS('Draft Board'!$AN$2:$AN$193,'Draft Board'!$AN$2:$AN$193,"&gt;"&amp;AN79))/AQ79/0.25,1),0)),1,0))</f>
        <v>0</v>
      </c>
      <c r="AS79" s="11">
        <f>ROUND(1+AN79*'Live Calc'!$D$28,0)</f>
        <v>1</v>
      </c>
      <c r="AT79" s="11"/>
      <c r="AU79" s="11">
        <f>IF(AT79&lt;&gt;"",AT79,ROUND(AS79*INDEX('Live Calc'!$G$259:$G$450,MATCH(AM79,'Live Calc'!$A$259:$A$450,0))*'Live Calc'!$J$543,0))</f>
        <v>1</v>
      </c>
      <c r="AW79" s="12" t="s">
        <v>380</v>
      </c>
      <c r="AX79" s="12" t="s">
        <v>79</v>
      </c>
      <c r="AY79" s="12">
        <v>17.43</v>
      </c>
      <c r="AZ79" s="12">
        <v>23.82</v>
      </c>
      <c r="BA79" s="12">
        <v>30.21</v>
      </c>
      <c r="BB79" s="12">
        <f>CHOOSE(MATCH(Setup!$B$7,{"STD","Half-PPR","PPR"},0),AY79,AZ79,BA79)</f>
        <v>23.82</v>
      </c>
      <c r="BC79" s="12">
        <f>COUNTIFS('Draft Board'!$BD$2:$BD$87,"&gt;="&amp;BD79,'Draft Board'!$BH$2:$BH$87,1)</f>
        <v>15</v>
      </c>
      <c r="BD79" s="12">
        <f>MAX(0,BB79-'Live Calc'!$H$22)^'Live Calc'!$E$22</f>
        <v>0</v>
      </c>
      <c r="BE79" s="12">
        <v>79</v>
      </c>
      <c r="BF79" s="12">
        <f>IF(BE79&lt;&gt;_xlfn.MINIFS('Draft Board'!$BE$2:$BE$87,'Draft Board'!$BD$2:$BD$87,"="&amp;BD79),0,IF(_xlfn.MINIFS('Draft Board'!$BD$2:$BD$87,'Draft Board'!$BD$2:$BD$87,"&gt;"&amp;BD79)=0,1,IF((_xlfn.MINIFS('Draft Board'!$BD$2:$BD$87,'Draft Board'!$BD$2:$BD$87,"&gt;"&amp;BD79)-BD79)/_xlfn.MINIFS('Draft Board'!$BD$2:$BD$87,'Draft Board'!$BD$2:$BD$87,"&gt;"&amp;BD79)&gt;0.08,1,0)))</f>
        <v>0</v>
      </c>
      <c r="BG79" s="12">
        <f>_xlfn.MINIFS('Draft Board'!$BD$2:$BD$87,'Draft Board'!$BD$2:$BD$87,"&gt;="&amp;BD79,'Draft Board'!$BF$2:$BF$87,1)</f>
        <v>0</v>
      </c>
      <c r="BH79" s="12">
        <f>IF(BE79&lt;&gt;_xlfn.MINIFS('Draft Board'!$BE$2:$BE$87,'Draft Board'!$BD$2:$BD$87,"="&amp;BD79),0,IF(OR(BF79=1,IFERROR(FLOOR((BG79-BD79)/BG79/0.25,1),0)&lt;&gt;IFERROR(FLOOR((BG79-_xlfn.MINIFS('Draft Board'!$BD$2:$BD$87,'Draft Board'!$BD$2:$BD$87,"&gt;"&amp;BD79))/BG79/0.25,1),0)),1,0))</f>
        <v>0</v>
      </c>
      <c r="BI79" s="12">
        <f>ROUND(1+BD79*'Live Calc'!$D$29,0)</f>
        <v>1</v>
      </c>
      <c r="BJ79" s="12"/>
      <c r="BK79" s="12">
        <f>IF(BJ79&lt;&gt;"",BJ79,ROUND(BI79*INDEX('Live Calc'!$G$454:$G$539,MATCH(BC79,'Live Calc'!$A$454:$A$539,0))*'Live Calc'!$J$543,0))</f>
        <v>1</v>
      </c>
    </row>
    <row r="80" spans="17:63" x14ac:dyDescent="0.25">
      <c r="Q80" s="10" t="s">
        <v>381</v>
      </c>
      <c r="R80" s="10" t="s">
        <v>81</v>
      </c>
      <c r="S80" s="10">
        <v>33.409999999999997</v>
      </c>
      <c r="T80" s="10">
        <v>38.073999999999998</v>
      </c>
      <c r="U80" s="10">
        <v>42.378</v>
      </c>
      <c r="V80" s="10">
        <f>CHOOSE(MATCH(Setup!$B$7,{"STD","Half-PPR","PPR"},0),S80,T80,U80)</f>
        <v>38.073999999999998</v>
      </c>
      <c r="W80" s="10">
        <f>COUNTIFS('Draft Board'!$X$2:$X$161,"&gt;="&amp;X80,'Draft Board'!$AB$2:$AB$161,1)</f>
        <v>14</v>
      </c>
      <c r="X80" s="10">
        <f>MAX(0,V80-'Live Calc'!$H$20)^'Live Calc'!$E$20</f>
        <v>0</v>
      </c>
      <c r="Y80" s="10">
        <v>80</v>
      </c>
      <c r="Z80" s="10">
        <f>IF(Y80&lt;&gt;_xlfn.MINIFS('Draft Board'!$Y$2:$Y$161,'Draft Board'!$X$2:$X$161,"="&amp;X80),0,IF(_xlfn.MINIFS('Draft Board'!$X$2:$X$161,'Draft Board'!$X$2:$X$161,"&gt;"&amp;X80)=0,1,IF((_xlfn.MINIFS('Draft Board'!$X$2:$X$161,'Draft Board'!$X$2:$X$161,"&gt;"&amp;X80)-X80)/_xlfn.MINIFS('Draft Board'!$X$2:$X$161,'Draft Board'!$X$2:$X$161,"&gt;"&amp;X80)&gt;0.08,1,0)))</f>
        <v>0</v>
      </c>
      <c r="AA80" s="10">
        <f>_xlfn.MINIFS('Draft Board'!$X$2:$X$161,'Draft Board'!$X$2:$X$161,"&gt;="&amp;X80,'Draft Board'!$Z$2:$Z$161,1)</f>
        <v>0</v>
      </c>
      <c r="AB80" s="10">
        <f>IF(Y80&lt;&gt;_xlfn.MINIFS('Draft Board'!$Y$2:$Y$161,'Draft Board'!$X$2:$X$161,"="&amp;X80),0,IF(OR(Z80=1,IFERROR(FLOOR((AA80-X80)/AA80/0.25,1),0)&lt;&gt;IFERROR(FLOOR((AA80-_xlfn.MINIFS('Draft Board'!$X$2:$X$161,'Draft Board'!$X$2:$X$161,"&gt;"&amp;X80))/AA80/0.25,1),0)),1,0))</f>
        <v>0</v>
      </c>
      <c r="AC80" s="10">
        <f>ROUND(1+X80*'Live Calc'!$D$27,0)</f>
        <v>1</v>
      </c>
      <c r="AD80" s="10"/>
      <c r="AE80" s="10">
        <f>IF(AD80&lt;&gt;"",AD80,ROUND(AC80*INDEX('Live Calc'!$G$96:$G$255,MATCH(W80,'Live Calc'!$A$96:$A$255,0))*'Live Calc'!$J$543,0))</f>
        <v>1</v>
      </c>
      <c r="AG80" s="11" t="s">
        <v>382</v>
      </c>
      <c r="AH80" s="11" t="s">
        <v>116</v>
      </c>
      <c r="AI80" s="11">
        <v>58.116</v>
      </c>
      <c r="AJ80" s="11">
        <v>75.209999999999994</v>
      </c>
      <c r="AK80" s="11">
        <v>90.76</v>
      </c>
      <c r="AL80" s="11">
        <f>CHOOSE(MATCH(Setup!$B$7,{"STD","Half-PPR","PPR"},0),AI80,AJ80,AK80)</f>
        <v>75.209999999999994</v>
      </c>
      <c r="AM80" s="11">
        <f>COUNTIFS('Draft Board'!$AN$2:$AN$193,"&gt;="&amp;AN80,'Draft Board'!$AR$2:$AR$193,1)</f>
        <v>20</v>
      </c>
      <c r="AN80" s="11">
        <f>MAX(0,AL80-'Live Calc'!$H$21)^'Live Calc'!$E$21</f>
        <v>0</v>
      </c>
      <c r="AO80" s="11">
        <v>80</v>
      </c>
      <c r="AP80" s="11">
        <f>IF(AO80&lt;&gt;_xlfn.MINIFS('Draft Board'!$AO$2:$AO$193,'Draft Board'!$AN$2:$AN$193,"="&amp;AN80),0,IF(_xlfn.MINIFS('Draft Board'!$AN$2:$AN$193,'Draft Board'!$AN$2:$AN$193,"&gt;"&amp;AN80)=0,1,IF((_xlfn.MINIFS('Draft Board'!$AN$2:$AN$193,'Draft Board'!$AN$2:$AN$193,"&gt;"&amp;AN80)-AN80)/_xlfn.MINIFS('Draft Board'!$AN$2:$AN$193,'Draft Board'!$AN$2:$AN$193,"&gt;"&amp;AN80)&gt;0.08,1,0)))</f>
        <v>0</v>
      </c>
      <c r="AQ80" s="11">
        <f>_xlfn.MINIFS('Draft Board'!$AN$2:$AN$193,'Draft Board'!$AN$2:$AN$193,"&gt;="&amp;AN80,'Draft Board'!$AP$2:$AP$193,1)</f>
        <v>0</v>
      </c>
      <c r="AR80" s="11">
        <f>IF(AO80&lt;&gt;_xlfn.MINIFS('Draft Board'!$AO$2:$AO$193,'Draft Board'!$AN$2:$AN$193,"="&amp;AN80),0,IF(OR(AP80=1,IFERROR(FLOOR((AQ80-AN80)/AQ80/0.25,1),0)&lt;&gt;IFERROR(FLOOR((AQ80-_xlfn.MINIFS('Draft Board'!$AN$2:$AN$193,'Draft Board'!$AN$2:$AN$193,"&gt;"&amp;AN80))/AQ80/0.25,1),0)),1,0))</f>
        <v>0</v>
      </c>
      <c r="AS80" s="11">
        <f>ROUND(1+AN80*'Live Calc'!$D$28,0)</f>
        <v>1</v>
      </c>
      <c r="AT80" s="11"/>
      <c r="AU80" s="11">
        <f>IF(AT80&lt;&gt;"",AT80,ROUND(AS80*INDEX('Live Calc'!$G$259:$G$450,MATCH(AM80,'Live Calc'!$A$259:$A$450,0))*'Live Calc'!$J$543,0))</f>
        <v>1</v>
      </c>
      <c r="AW80" s="12" t="s">
        <v>383</v>
      </c>
      <c r="AX80" s="12" t="s">
        <v>81</v>
      </c>
      <c r="AY80" s="12">
        <v>16.21</v>
      </c>
      <c r="AZ80" s="12">
        <v>21.93</v>
      </c>
      <c r="BA80" s="12">
        <v>27.66</v>
      </c>
      <c r="BB80" s="12">
        <f>CHOOSE(MATCH(Setup!$B$7,{"STD","Half-PPR","PPR"},0),AY80,AZ80,BA80)</f>
        <v>21.93</v>
      </c>
      <c r="BC80" s="12">
        <f>COUNTIFS('Draft Board'!$BD$2:$BD$87,"&gt;="&amp;BD80,'Draft Board'!$BH$2:$BH$87,1)</f>
        <v>15</v>
      </c>
      <c r="BD80" s="12">
        <f>MAX(0,BB80-'Live Calc'!$H$22)^'Live Calc'!$E$22</f>
        <v>0</v>
      </c>
      <c r="BE80" s="12">
        <v>80</v>
      </c>
      <c r="BF80" s="12">
        <f>IF(BE80&lt;&gt;_xlfn.MINIFS('Draft Board'!$BE$2:$BE$87,'Draft Board'!$BD$2:$BD$87,"="&amp;BD80),0,IF(_xlfn.MINIFS('Draft Board'!$BD$2:$BD$87,'Draft Board'!$BD$2:$BD$87,"&gt;"&amp;BD80)=0,1,IF((_xlfn.MINIFS('Draft Board'!$BD$2:$BD$87,'Draft Board'!$BD$2:$BD$87,"&gt;"&amp;BD80)-BD80)/_xlfn.MINIFS('Draft Board'!$BD$2:$BD$87,'Draft Board'!$BD$2:$BD$87,"&gt;"&amp;BD80)&gt;0.08,1,0)))</f>
        <v>0</v>
      </c>
      <c r="BG80" s="12">
        <f>_xlfn.MINIFS('Draft Board'!$BD$2:$BD$87,'Draft Board'!$BD$2:$BD$87,"&gt;="&amp;BD80,'Draft Board'!$BF$2:$BF$87,1)</f>
        <v>0</v>
      </c>
      <c r="BH80" s="12">
        <f>IF(BE80&lt;&gt;_xlfn.MINIFS('Draft Board'!$BE$2:$BE$87,'Draft Board'!$BD$2:$BD$87,"="&amp;BD80),0,IF(OR(BF80=1,IFERROR(FLOOR((BG80-BD80)/BG80/0.25,1),0)&lt;&gt;IFERROR(FLOOR((BG80-_xlfn.MINIFS('Draft Board'!$BD$2:$BD$87,'Draft Board'!$BD$2:$BD$87,"&gt;"&amp;BD80))/BG80/0.25,1),0)),1,0))</f>
        <v>0</v>
      </c>
      <c r="BI80" s="12">
        <f>ROUND(1+BD80*'Live Calc'!$D$29,0)</f>
        <v>1</v>
      </c>
      <c r="BJ80" s="12"/>
      <c r="BK80" s="12">
        <f>IF(BJ80&lt;&gt;"",BJ80,ROUND(BI80*INDEX('Live Calc'!$G$454:$G$539,MATCH(BC80,'Live Calc'!$A$454:$A$539,0))*'Live Calc'!$J$543,0))</f>
        <v>1</v>
      </c>
    </row>
    <row r="81" spans="17:63" x14ac:dyDescent="0.25">
      <c r="Q81" s="10" t="s">
        <v>384</v>
      </c>
      <c r="R81" s="10" t="s">
        <v>111</v>
      </c>
      <c r="S81" s="10">
        <v>29.762</v>
      </c>
      <c r="T81" s="10">
        <v>37.85</v>
      </c>
      <c r="U81" s="10">
        <v>46.067999999999998</v>
      </c>
      <c r="V81" s="10">
        <f>CHOOSE(MATCH(Setup!$B$7,{"STD","Half-PPR","PPR"},0),S81,T81,U81)</f>
        <v>37.85</v>
      </c>
      <c r="W81" s="10">
        <f>COUNTIFS('Draft Board'!$X$2:$X$161,"&gt;="&amp;X81,'Draft Board'!$AB$2:$AB$161,1)</f>
        <v>14</v>
      </c>
      <c r="X81" s="10">
        <f>MAX(0,V81-'Live Calc'!$H$20)^'Live Calc'!$E$20</f>
        <v>0</v>
      </c>
      <c r="Y81" s="10">
        <v>81</v>
      </c>
      <c r="Z81" s="10">
        <f>IF(Y81&lt;&gt;_xlfn.MINIFS('Draft Board'!$Y$2:$Y$161,'Draft Board'!$X$2:$X$161,"="&amp;X81),0,IF(_xlfn.MINIFS('Draft Board'!$X$2:$X$161,'Draft Board'!$X$2:$X$161,"&gt;"&amp;X81)=0,1,IF((_xlfn.MINIFS('Draft Board'!$X$2:$X$161,'Draft Board'!$X$2:$X$161,"&gt;"&amp;X81)-X81)/_xlfn.MINIFS('Draft Board'!$X$2:$X$161,'Draft Board'!$X$2:$X$161,"&gt;"&amp;X81)&gt;0.08,1,0)))</f>
        <v>0</v>
      </c>
      <c r="AA81" s="10">
        <f>_xlfn.MINIFS('Draft Board'!$X$2:$X$161,'Draft Board'!$X$2:$X$161,"&gt;="&amp;X81,'Draft Board'!$Z$2:$Z$161,1)</f>
        <v>0</v>
      </c>
      <c r="AB81" s="10">
        <f>IF(Y81&lt;&gt;_xlfn.MINIFS('Draft Board'!$Y$2:$Y$161,'Draft Board'!$X$2:$X$161,"="&amp;X81),0,IF(OR(Z81=1,IFERROR(FLOOR((AA81-X81)/AA81/0.25,1),0)&lt;&gt;IFERROR(FLOOR((AA81-_xlfn.MINIFS('Draft Board'!$X$2:$X$161,'Draft Board'!$X$2:$X$161,"&gt;"&amp;X81))/AA81/0.25,1),0)),1,0))</f>
        <v>0</v>
      </c>
      <c r="AC81" s="10">
        <f>ROUND(1+X81*'Live Calc'!$D$27,0)</f>
        <v>1</v>
      </c>
      <c r="AD81" s="10"/>
      <c r="AE81" s="10">
        <f>IF(AD81&lt;&gt;"",AD81,ROUND(AC81*INDEX('Live Calc'!$G$96:$G$255,MATCH(W81,'Live Calc'!$A$96:$A$255,0))*'Live Calc'!$J$543,0))</f>
        <v>1</v>
      </c>
      <c r="AG81" s="11" t="s">
        <v>385</v>
      </c>
      <c r="AH81" s="11" t="s">
        <v>111</v>
      </c>
      <c r="AI81" s="11">
        <v>61.026000000000003</v>
      </c>
      <c r="AJ81" s="11">
        <v>73.992000000000004</v>
      </c>
      <c r="AK81" s="11">
        <v>87.334000000000003</v>
      </c>
      <c r="AL81" s="11">
        <f>CHOOSE(MATCH(Setup!$B$7,{"STD","Half-PPR","PPR"},0),AI81,AJ81,AK81)</f>
        <v>73.992000000000004</v>
      </c>
      <c r="AM81" s="11">
        <f>COUNTIFS('Draft Board'!$AN$2:$AN$193,"&gt;="&amp;AN81,'Draft Board'!$AR$2:$AR$193,1)</f>
        <v>20</v>
      </c>
      <c r="AN81" s="11">
        <f>MAX(0,AL81-'Live Calc'!$H$21)^'Live Calc'!$E$21</f>
        <v>0</v>
      </c>
      <c r="AO81" s="11">
        <v>81</v>
      </c>
      <c r="AP81" s="11">
        <f>IF(AO81&lt;&gt;_xlfn.MINIFS('Draft Board'!$AO$2:$AO$193,'Draft Board'!$AN$2:$AN$193,"="&amp;AN81),0,IF(_xlfn.MINIFS('Draft Board'!$AN$2:$AN$193,'Draft Board'!$AN$2:$AN$193,"&gt;"&amp;AN81)=0,1,IF((_xlfn.MINIFS('Draft Board'!$AN$2:$AN$193,'Draft Board'!$AN$2:$AN$193,"&gt;"&amp;AN81)-AN81)/_xlfn.MINIFS('Draft Board'!$AN$2:$AN$193,'Draft Board'!$AN$2:$AN$193,"&gt;"&amp;AN81)&gt;0.08,1,0)))</f>
        <v>0</v>
      </c>
      <c r="AQ81" s="11">
        <f>_xlfn.MINIFS('Draft Board'!$AN$2:$AN$193,'Draft Board'!$AN$2:$AN$193,"&gt;="&amp;AN81,'Draft Board'!$AP$2:$AP$193,1)</f>
        <v>0</v>
      </c>
      <c r="AR81" s="11">
        <f>IF(AO81&lt;&gt;_xlfn.MINIFS('Draft Board'!$AO$2:$AO$193,'Draft Board'!$AN$2:$AN$193,"="&amp;AN81),0,IF(OR(AP81=1,IFERROR(FLOOR((AQ81-AN81)/AQ81/0.25,1),0)&lt;&gt;IFERROR(FLOOR((AQ81-_xlfn.MINIFS('Draft Board'!$AN$2:$AN$193,'Draft Board'!$AN$2:$AN$193,"&gt;"&amp;AN81))/AQ81/0.25,1),0)),1,0))</f>
        <v>0</v>
      </c>
      <c r="AS81" s="11">
        <f>ROUND(1+AN81*'Live Calc'!$D$28,0)</f>
        <v>1</v>
      </c>
      <c r="AT81" s="11"/>
      <c r="AU81" s="11">
        <f>IF(AT81&lt;&gt;"",AT81,ROUND(AS81*INDEX('Live Calc'!$G$259:$G$450,MATCH(AM81,'Live Calc'!$A$259:$A$450,0))*'Live Calc'!$J$543,0))</f>
        <v>1</v>
      </c>
      <c r="AW81" s="12" t="s">
        <v>386</v>
      </c>
      <c r="AX81" s="12" t="s">
        <v>88</v>
      </c>
      <c r="AY81" s="12">
        <v>16.28</v>
      </c>
      <c r="AZ81" s="12">
        <v>21.84</v>
      </c>
      <c r="BA81" s="12">
        <v>27.4</v>
      </c>
      <c r="BB81" s="12">
        <f>CHOOSE(MATCH(Setup!$B$7,{"STD","Half-PPR","PPR"},0),AY81,AZ81,BA81)</f>
        <v>21.84</v>
      </c>
      <c r="BC81" s="12">
        <f>COUNTIFS('Draft Board'!$BD$2:$BD$87,"&gt;="&amp;BD81,'Draft Board'!$BH$2:$BH$87,1)</f>
        <v>15</v>
      </c>
      <c r="BD81" s="12">
        <f>MAX(0,BB81-'Live Calc'!$H$22)^'Live Calc'!$E$22</f>
        <v>0</v>
      </c>
      <c r="BE81" s="12">
        <v>81</v>
      </c>
      <c r="BF81" s="12">
        <f>IF(BE81&lt;&gt;_xlfn.MINIFS('Draft Board'!$BE$2:$BE$87,'Draft Board'!$BD$2:$BD$87,"="&amp;BD81),0,IF(_xlfn.MINIFS('Draft Board'!$BD$2:$BD$87,'Draft Board'!$BD$2:$BD$87,"&gt;"&amp;BD81)=0,1,IF((_xlfn.MINIFS('Draft Board'!$BD$2:$BD$87,'Draft Board'!$BD$2:$BD$87,"&gt;"&amp;BD81)-BD81)/_xlfn.MINIFS('Draft Board'!$BD$2:$BD$87,'Draft Board'!$BD$2:$BD$87,"&gt;"&amp;BD81)&gt;0.08,1,0)))</f>
        <v>0</v>
      </c>
      <c r="BG81" s="12">
        <f>_xlfn.MINIFS('Draft Board'!$BD$2:$BD$87,'Draft Board'!$BD$2:$BD$87,"&gt;="&amp;BD81,'Draft Board'!$BF$2:$BF$87,1)</f>
        <v>0</v>
      </c>
      <c r="BH81" s="12">
        <f>IF(BE81&lt;&gt;_xlfn.MINIFS('Draft Board'!$BE$2:$BE$87,'Draft Board'!$BD$2:$BD$87,"="&amp;BD81),0,IF(OR(BF81=1,IFERROR(FLOOR((BG81-BD81)/BG81/0.25,1),0)&lt;&gt;IFERROR(FLOOR((BG81-_xlfn.MINIFS('Draft Board'!$BD$2:$BD$87,'Draft Board'!$BD$2:$BD$87,"&gt;"&amp;BD81))/BG81/0.25,1),0)),1,0))</f>
        <v>0</v>
      </c>
      <c r="BI81" s="12">
        <f>ROUND(1+BD81*'Live Calc'!$D$29,0)</f>
        <v>1</v>
      </c>
      <c r="BJ81" s="12"/>
      <c r="BK81" s="12">
        <f>IF(BJ81&lt;&gt;"",BJ81,ROUND(BI81*INDEX('Live Calc'!$G$454:$G$539,MATCH(BC81,'Live Calc'!$A$454:$A$539,0))*'Live Calc'!$J$543,0))</f>
        <v>1</v>
      </c>
    </row>
    <row r="82" spans="17:63" x14ac:dyDescent="0.25">
      <c r="Q82" s="10" t="s">
        <v>387</v>
      </c>
      <c r="R82" s="10" t="s">
        <v>63</v>
      </c>
      <c r="S82" s="10">
        <v>33.106000000000002</v>
      </c>
      <c r="T82" s="10">
        <v>37.512</v>
      </c>
      <c r="U82" s="10">
        <v>40.814</v>
      </c>
      <c r="V82" s="10">
        <f>CHOOSE(MATCH(Setup!$B$7,{"STD","Half-PPR","PPR"},0),S82,T82,U82)</f>
        <v>37.512</v>
      </c>
      <c r="W82" s="10">
        <f>COUNTIFS('Draft Board'!$X$2:$X$161,"&gt;="&amp;X82,'Draft Board'!$AB$2:$AB$161,1)</f>
        <v>14</v>
      </c>
      <c r="X82" s="10">
        <f>MAX(0,V82-'Live Calc'!$H$20)^'Live Calc'!$E$20</f>
        <v>0</v>
      </c>
      <c r="Y82" s="10">
        <v>82</v>
      </c>
      <c r="Z82" s="10">
        <f>IF(Y82&lt;&gt;_xlfn.MINIFS('Draft Board'!$Y$2:$Y$161,'Draft Board'!$X$2:$X$161,"="&amp;X82),0,IF(_xlfn.MINIFS('Draft Board'!$X$2:$X$161,'Draft Board'!$X$2:$X$161,"&gt;"&amp;X82)=0,1,IF((_xlfn.MINIFS('Draft Board'!$X$2:$X$161,'Draft Board'!$X$2:$X$161,"&gt;"&amp;X82)-X82)/_xlfn.MINIFS('Draft Board'!$X$2:$X$161,'Draft Board'!$X$2:$X$161,"&gt;"&amp;X82)&gt;0.08,1,0)))</f>
        <v>0</v>
      </c>
      <c r="AA82" s="10">
        <f>_xlfn.MINIFS('Draft Board'!$X$2:$X$161,'Draft Board'!$X$2:$X$161,"&gt;="&amp;X82,'Draft Board'!$Z$2:$Z$161,1)</f>
        <v>0</v>
      </c>
      <c r="AB82" s="10">
        <f>IF(Y82&lt;&gt;_xlfn.MINIFS('Draft Board'!$Y$2:$Y$161,'Draft Board'!$X$2:$X$161,"="&amp;X82),0,IF(OR(Z82=1,IFERROR(FLOOR((AA82-X82)/AA82/0.25,1),0)&lt;&gt;IFERROR(FLOOR((AA82-_xlfn.MINIFS('Draft Board'!$X$2:$X$161,'Draft Board'!$X$2:$X$161,"&gt;"&amp;X82))/AA82/0.25,1),0)),1,0))</f>
        <v>0</v>
      </c>
      <c r="AC82" s="10">
        <f>ROUND(1+X82*'Live Calc'!$D$27,0)</f>
        <v>1</v>
      </c>
      <c r="AD82" s="10"/>
      <c r="AE82" s="10">
        <f>IF(AD82&lt;&gt;"",AD82,ROUND(AC82*INDEX('Live Calc'!$G$96:$G$255,MATCH(W82,'Live Calc'!$A$96:$A$255,0))*'Live Calc'!$J$543,0))</f>
        <v>1</v>
      </c>
      <c r="AG82" s="11" t="s">
        <v>388</v>
      </c>
      <c r="AH82" s="11" t="s">
        <v>116</v>
      </c>
      <c r="AI82" s="11">
        <v>55.436</v>
      </c>
      <c r="AJ82" s="11">
        <v>73.209999999999994</v>
      </c>
      <c r="AK82" s="11">
        <v>89.866</v>
      </c>
      <c r="AL82" s="11">
        <f>CHOOSE(MATCH(Setup!$B$7,{"STD","Half-PPR","PPR"},0),AI82,AJ82,AK82)</f>
        <v>73.209999999999994</v>
      </c>
      <c r="AM82" s="11">
        <f>COUNTIFS('Draft Board'!$AN$2:$AN$193,"&gt;="&amp;AN82,'Draft Board'!$AR$2:$AR$193,1)</f>
        <v>20</v>
      </c>
      <c r="AN82" s="11">
        <f>MAX(0,AL82-'Live Calc'!$H$21)^'Live Calc'!$E$21</f>
        <v>0</v>
      </c>
      <c r="AO82" s="11">
        <v>82</v>
      </c>
      <c r="AP82" s="11">
        <f>IF(AO82&lt;&gt;_xlfn.MINIFS('Draft Board'!$AO$2:$AO$193,'Draft Board'!$AN$2:$AN$193,"="&amp;AN82),0,IF(_xlfn.MINIFS('Draft Board'!$AN$2:$AN$193,'Draft Board'!$AN$2:$AN$193,"&gt;"&amp;AN82)=0,1,IF((_xlfn.MINIFS('Draft Board'!$AN$2:$AN$193,'Draft Board'!$AN$2:$AN$193,"&gt;"&amp;AN82)-AN82)/_xlfn.MINIFS('Draft Board'!$AN$2:$AN$193,'Draft Board'!$AN$2:$AN$193,"&gt;"&amp;AN82)&gt;0.08,1,0)))</f>
        <v>0</v>
      </c>
      <c r="AQ82" s="11">
        <f>_xlfn.MINIFS('Draft Board'!$AN$2:$AN$193,'Draft Board'!$AN$2:$AN$193,"&gt;="&amp;AN82,'Draft Board'!$AP$2:$AP$193,1)</f>
        <v>0</v>
      </c>
      <c r="AR82" s="11">
        <f>IF(AO82&lt;&gt;_xlfn.MINIFS('Draft Board'!$AO$2:$AO$193,'Draft Board'!$AN$2:$AN$193,"="&amp;AN82),0,IF(OR(AP82=1,IFERROR(FLOOR((AQ82-AN82)/AQ82/0.25,1),0)&lt;&gt;IFERROR(FLOOR((AQ82-_xlfn.MINIFS('Draft Board'!$AN$2:$AN$193,'Draft Board'!$AN$2:$AN$193,"&gt;"&amp;AN82))/AQ82/0.25,1),0)),1,0))</f>
        <v>0</v>
      </c>
      <c r="AS82" s="11">
        <f>ROUND(1+AN82*'Live Calc'!$D$28,0)</f>
        <v>1</v>
      </c>
      <c r="AT82" s="11"/>
      <c r="AU82" s="11">
        <f>IF(AT82&lt;&gt;"",AT82,ROUND(AS82*INDEX('Live Calc'!$G$259:$G$450,MATCH(AM82,'Live Calc'!$A$259:$A$450,0))*'Live Calc'!$J$543,0))</f>
        <v>1</v>
      </c>
      <c r="AW82" s="12" t="s">
        <v>389</v>
      </c>
      <c r="AX82" s="12" t="s">
        <v>67</v>
      </c>
      <c r="AY82" s="12">
        <v>15.75</v>
      </c>
      <c r="AZ82" s="12">
        <v>21.4</v>
      </c>
      <c r="BA82" s="12">
        <v>27.05</v>
      </c>
      <c r="BB82" s="12">
        <f>CHOOSE(MATCH(Setup!$B$7,{"STD","Half-PPR","PPR"},0),AY82,AZ82,BA82)</f>
        <v>21.4</v>
      </c>
      <c r="BC82" s="12">
        <f>COUNTIFS('Draft Board'!$BD$2:$BD$87,"&gt;="&amp;BD82,'Draft Board'!$BH$2:$BH$87,1)</f>
        <v>15</v>
      </c>
      <c r="BD82" s="12">
        <f>MAX(0,BB82-'Live Calc'!$H$22)^'Live Calc'!$E$22</f>
        <v>0</v>
      </c>
      <c r="BE82" s="12">
        <v>82</v>
      </c>
      <c r="BF82" s="12">
        <f>IF(BE82&lt;&gt;_xlfn.MINIFS('Draft Board'!$BE$2:$BE$87,'Draft Board'!$BD$2:$BD$87,"="&amp;BD82),0,IF(_xlfn.MINIFS('Draft Board'!$BD$2:$BD$87,'Draft Board'!$BD$2:$BD$87,"&gt;"&amp;BD82)=0,1,IF((_xlfn.MINIFS('Draft Board'!$BD$2:$BD$87,'Draft Board'!$BD$2:$BD$87,"&gt;"&amp;BD82)-BD82)/_xlfn.MINIFS('Draft Board'!$BD$2:$BD$87,'Draft Board'!$BD$2:$BD$87,"&gt;"&amp;BD82)&gt;0.08,1,0)))</f>
        <v>0</v>
      </c>
      <c r="BG82" s="12">
        <f>_xlfn.MINIFS('Draft Board'!$BD$2:$BD$87,'Draft Board'!$BD$2:$BD$87,"&gt;="&amp;BD82,'Draft Board'!$BF$2:$BF$87,1)</f>
        <v>0</v>
      </c>
      <c r="BH82" s="12">
        <f>IF(BE82&lt;&gt;_xlfn.MINIFS('Draft Board'!$BE$2:$BE$87,'Draft Board'!$BD$2:$BD$87,"="&amp;BD82),0,IF(OR(BF82=1,IFERROR(FLOOR((BG82-BD82)/BG82/0.25,1),0)&lt;&gt;IFERROR(FLOOR((BG82-_xlfn.MINIFS('Draft Board'!$BD$2:$BD$87,'Draft Board'!$BD$2:$BD$87,"&gt;"&amp;BD82))/BG82/0.25,1),0)),1,0))</f>
        <v>0</v>
      </c>
      <c r="BI82" s="12">
        <f>ROUND(1+BD82*'Live Calc'!$D$29,0)</f>
        <v>1</v>
      </c>
      <c r="BJ82" s="12"/>
      <c r="BK82" s="12">
        <f>IF(BJ82&lt;&gt;"",BJ82,ROUND(BI82*INDEX('Live Calc'!$G$454:$G$539,MATCH(BC82,'Live Calc'!$A$454:$A$539,0))*'Live Calc'!$J$543,0))</f>
        <v>1</v>
      </c>
    </row>
    <row r="83" spans="17:63" x14ac:dyDescent="0.25">
      <c r="Q83" s="10" t="s">
        <v>390</v>
      </c>
      <c r="R83" s="10" t="s">
        <v>93</v>
      </c>
      <c r="S83" s="10">
        <v>34.283999999999999</v>
      </c>
      <c r="T83" s="10">
        <v>37.381999999999998</v>
      </c>
      <c r="U83" s="10">
        <v>41.774000000000001</v>
      </c>
      <c r="V83" s="10">
        <f>CHOOSE(MATCH(Setup!$B$7,{"STD","Half-PPR","PPR"},0),S83,T83,U83)</f>
        <v>37.381999999999998</v>
      </c>
      <c r="W83" s="10">
        <f>COUNTIFS('Draft Board'!$X$2:$X$161,"&gt;="&amp;X83,'Draft Board'!$AB$2:$AB$161,1)</f>
        <v>14</v>
      </c>
      <c r="X83" s="10">
        <f>MAX(0,V83-'Live Calc'!$H$20)^'Live Calc'!$E$20</f>
        <v>0</v>
      </c>
      <c r="Y83" s="10">
        <v>83</v>
      </c>
      <c r="Z83" s="10">
        <f>IF(Y83&lt;&gt;_xlfn.MINIFS('Draft Board'!$Y$2:$Y$161,'Draft Board'!$X$2:$X$161,"="&amp;X83),0,IF(_xlfn.MINIFS('Draft Board'!$X$2:$X$161,'Draft Board'!$X$2:$X$161,"&gt;"&amp;X83)=0,1,IF((_xlfn.MINIFS('Draft Board'!$X$2:$X$161,'Draft Board'!$X$2:$X$161,"&gt;"&amp;X83)-X83)/_xlfn.MINIFS('Draft Board'!$X$2:$X$161,'Draft Board'!$X$2:$X$161,"&gt;"&amp;X83)&gt;0.08,1,0)))</f>
        <v>0</v>
      </c>
      <c r="AA83" s="10">
        <f>_xlfn.MINIFS('Draft Board'!$X$2:$X$161,'Draft Board'!$X$2:$X$161,"&gt;="&amp;X83,'Draft Board'!$Z$2:$Z$161,1)</f>
        <v>0</v>
      </c>
      <c r="AB83" s="10">
        <f>IF(Y83&lt;&gt;_xlfn.MINIFS('Draft Board'!$Y$2:$Y$161,'Draft Board'!$X$2:$X$161,"="&amp;X83),0,IF(OR(Z83=1,IFERROR(FLOOR((AA83-X83)/AA83/0.25,1),0)&lt;&gt;IFERROR(FLOOR((AA83-_xlfn.MINIFS('Draft Board'!$X$2:$X$161,'Draft Board'!$X$2:$X$161,"&gt;"&amp;X83))/AA83/0.25,1),0)),1,0))</f>
        <v>0</v>
      </c>
      <c r="AC83" s="10">
        <f>ROUND(1+X83*'Live Calc'!$D$27,0)</f>
        <v>1</v>
      </c>
      <c r="AD83" s="10"/>
      <c r="AE83" s="10">
        <f>IF(AD83&lt;&gt;"",AD83,ROUND(AC83*INDEX('Live Calc'!$G$96:$G$255,MATCH(W83,'Live Calc'!$A$96:$A$255,0))*'Live Calc'!$J$543,0))</f>
        <v>1</v>
      </c>
      <c r="AG83" s="11" t="s">
        <v>391</v>
      </c>
      <c r="AH83" s="11" t="s">
        <v>119</v>
      </c>
      <c r="AI83" s="11">
        <v>55.52</v>
      </c>
      <c r="AJ83" s="11">
        <v>73.036000000000001</v>
      </c>
      <c r="AK83" s="11">
        <v>92.676000000000002</v>
      </c>
      <c r="AL83" s="11">
        <f>CHOOSE(MATCH(Setup!$B$7,{"STD","Half-PPR","PPR"},0),AI83,AJ83,AK83)</f>
        <v>73.036000000000001</v>
      </c>
      <c r="AM83" s="11">
        <f>COUNTIFS('Draft Board'!$AN$2:$AN$193,"&gt;="&amp;AN83,'Draft Board'!$AR$2:$AR$193,1)</f>
        <v>20</v>
      </c>
      <c r="AN83" s="11">
        <f>MAX(0,AL83-'Live Calc'!$H$21)^'Live Calc'!$E$21</f>
        <v>0</v>
      </c>
      <c r="AO83" s="11">
        <v>83</v>
      </c>
      <c r="AP83" s="11">
        <f>IF(AO83&lt;&gt;_xlfn.MINIFS('Draft Board'!$AO$2:$AO$193,'Draft Board'!$AN$2:$AN$193,"="&amp;AN83),0,IF(_xlfn.MINIFS('Draft Board'!$AN$2:$AN$193,'Draft Board'!$AN$2:$AN$193,"&gt;"&amp;AN83)=0,1,IF((_xlfn.MINIFS('Draft Board'!$AN$2:$AN$193,'Draft Board'!$AN$2:$AN$193,"&gt;"&amp;AN83)-AN83)/_xlfn.MINIFS('Draft Board'!$AN$2:$AN$193,'Draft Board'!$AN$2:$AN$193,"&gt;"&amp;AN83)&gt;0.08,1,0)))</f>
        <v>0</v>
      </c>
      <c r="AQ83" s="11">
        <f>_xlfn.MINIFS('Draft Board'!$AN$2:$AN$193,'Draft Board'!$AN$2:$AN$193,"&gt;="&amp;AN83,'Draft Board'!$AP$2:$AP$193,1)</f>
        <v>0</v>
      </c>
      <c r="AR83" s="11">
        <f>IF(AO83&lt;&gt;_xlfn.MINIFS('Draft Board'!$AO$2:$AO$193,'Draft Board'!$AN$2:$AN$193,"="&amp;AN83),0,IF(OR(AP83=1,IFERROR(FLOOR((AQ83-AN83)/AQ83/0.25,1),0)&lt;&gt;IFERROR(FLOOR((AQ83-_xlfn.MINIFS('Draft Board'!$AN$2:$AN$193,'Draft Board'!$AN$2:$AN$193,"&gt;"&amp;AN83))/AQ83/0.25,1),0)),1,0))</f>
        <v>0</v>
      </c>
      <c r="AS83" s="11">
        <f>ROUND(1+AN83*'Live Calc'!$D$28,0)</f>
        <v>1</v>
      </c>
      <c r="AT83" s="11"/>
      <c r="AU83" s="11">
        <f>IF(AT83&lt;&gt;"",AT83,ROUND(AS83*INDEX('Live Calc'!$G$259:$G$450,MATCH(AM83,'Live Calc'!$A$259:$A$450,0))*'Live Calc'!$J$543,0))</f>
        <v>1</v>
      </c>
      <c r="AW83" s="12" t="s">
        <v>392</v>
      </c>
      <c r="AX83" s="12" t="s">
        <v>143</v>
      </c>
      <c r="AY83" s="12">
        <v>13.82</v>
      </c>
      <c r="AZ83" s="12">
        <v>19.8</v>
      </c>
      <c r="BA83" s="12">
        <v>25.79</v>
      </c>
      <c r="BB83" s="12">
        <f>CHOOSE(MATCH(Setup!$B$7,{"STD","Half-PPR","PPR"},0),AY83,AZ83,BA83)</f>
        <v>19.8</v>
      </c>
      <c r="BC83" s="12">
        <f>COUNTIFS('Draft Board'!$BD$2:$BD$87,"&gt;="&amp;BD83,'Draft Board'!$BH$2:$BH$87,1)</f>
        <v>15</v>
      </c>
      <c r="BD83" s="12">
        <f>MAX(0,BB83-'Live Calc'!$H$22)^'Live Calc'!$E$22</f>
        <v>0</v>
      </c>
      <c r="BE83" s="12">
        <v>83</v>
      </c>
      <c r="BF83" s="12">
        <f>IF(BE83&lt;&gt;_xlfn.MINIFS('Draft Board'!$BE$2:$BE$87,'Draft Board'!$BD$2:$BD$87,"="&amp;BD83),0,IF(_xlfn.MINIFS('Draft Board'!$BD$2:$BD$87,'Draft Board'!$BD$2:$BD$87,"&gt;"&amp;BD83)=0,1,IF((_xlfn.MINIFS('Draft Board'!$BD$2:$BD$87,'Draft Board'!$BD$2:$BD$87,"&gt;"&amp;BD83)-BD83)/_xlfn.MINIFS('Draft Board'!$BD$2:$BD$87,'Draft Board'!$BD$2:$BD$87,"&gt;"&amp;BD83)&gt;0.08,1,0)))</f>
        <v>0</v>
      </c>
      <c r="BG83" s="12">
        <f>_xlfn.MINIFS('Draft Board'!$BD$2:$BD$87,'Draft Board'!$BD$2:$BD$87,"&gt;="&amp;BD83,'Draft Board'!$BF$2:$BF$87,1)</f>
        <v>0</v>
      </c>
      <c r="BH83" s="12">
        <f>IF(BE83&lt;&gt;_xlfn.MINIFS('Draft Board'!$BE$2:$BE$87,'Draft Board'!$BD$2:$BD$87,"="&amp;BD83),0,IF(OR(BF83=1,IFERROR(FLOOR((BG83-BD83)/BG83/0.25,1),0)&lt;&gt;IFERROR(FLOOR((BG83-_xlfn.MINIFS('Draft Board'!$BD$2:$BD$87,'Draft Board'!$BD$2:$BD$87,"&gt;"&amp;BD83))/BG83/0.25,1),0)),1,0))</f>
        <v>0</v>
      </c>
      <c r="BI83" s="12">
        <f>ROUND(1+BD83*'Live Calc'!$D$29,0)</f>
        <v>1</v>
      </c>
      <c r="BJ83" s="12"/>
      <c r="BK83" s="12">
        <f>IF(BJ83&lt;&gt;"",BJ83,ROUND(BI83*INDEX('Live Calc'!$G$454:$G$539,MATCH(BC83,'Live Calc'!$A$454:$A$539,0))*'Live Calc'!$J$543,0))</f>
        <v>1</v>
      </c>
    </row>
    <row r="84" spans="17:63" x14ac:dyDescent="0.25">
      <c r="Q84" s="10" t="s">
        <v>393</v>
      </c>
      <c r="R84" s="10" t="s">
        <v>246</v>
      </c>
      <c r="S84" s="10">
        <v>36.515999999999998</v>
      </c>
      <c r="T84" s="10">
        <v>36.985999999999997</v>
      </c>
      <c r="U84" s="10">
        <v>40.926000000000002</v>
      </c>
      <c r="V84" s="10">
        <f>CHOOSE(MATCH(Setup!$B$7,{"STD","Half-PPR","PPR"},0),S84,T84,U84)</f>
        <v>36.985999999999997</v>
      </c>
      <c r="W84" s="10">
        <f>COUNTIFS('Draft Board'!$X$2:$X$161,"&gt;="&amp;X84,'Draft Board'!$AB$2:$AB$161,1)</f>
        <v>14</v>
      </c>
      <c r="X84" s="10">
        <f>MAX(0,V84-'Live Calc'!$H$20)^'Live Calc'!$E$20</f>
        <v>0</v>
      </c>
      <c r="Y84" s="10">
        <v>84</v>
      </c>
      <c r="Z84" s="10">
        <f>IF(Y84&lt;&gt;_xlfn.MINIFS('Draft Board'!$Y$2:$Y$161,'Draft Board'!$X$2:$X$161,"="&amp;X84),0,IF(_xlfn.MINIFS('Draft Board'!$X$2:$X$161,'Draft Board'!$X$2:$X$161,"&gt;"&amp;X84)=0,1,IF((_xlfn.MINIFS('Draft Board'!$X$2:$X$161,'Draft Board'!$X$2:$X$161,"&gt;"&amp;X84)-X84)/_xlfn.MINIFS('Draft Board'!$X$2:$X$161,'Draft Board'!$X$2:$X$161,"&gt;"&amp;X84)&gt;0.08,1,0)))</f>
        <v>0</v>
      </c>
      <c r="AA84" s="10">
        <f>_xlfn.MINIFS('Draft Board'!$X$2:$X$161,'Draft Board'!$X$2:$X$161,"&gt;="&amp;X84,'Draft Board'!$Z$2:$Z$161,1)</f>
        <v>0</v>
      </c>
      <c r="AB84" s="10">
        <f>IF(Y84&lt;&gt;_xlfn.MINIFS('Draft Board'!$Y$2:$Y$161,'Draft Board'!$X$2:$X$161,"="&amp;X84),0,IF(OR(Z84=1,IFERROR(FLOOR((AA84-X84)/AA84/0.25,1),0)&lt;&gt;IFERROR(FLOOR((AA84-_xlfn.MINIFS('Draft Board'!$X$2:$X$161,'Draft Board'!$X$2:$X$161,"&gt;"&amp;X84))/AA84/0.25,1),0)),1,0))</f>
        <v>0</v>
      </c>
      <c r="AC84" s="10">
        <f>ROUND(1+X84*'Live Calc'!$D$27,0)</f>
        <v>1</v>
      </c>
      <c r="AD84" s="10"/>
      <c r="AE84" s="10">
        <f>IF(AD84&lt;&gt;"",AD84,ROUND(AC84*INDEX('Live Calc'!$G$96:$G$255,MATCH(W84,'Live Calc'!$A$96:$A$255,0))*'Live Calc'!$J$543,0))</f>
        <v>1</v>
      </c>
      <c r="AG84" s="11" t="s">
        <v>394</v>
      </c>
      <c r="AH84" s="11" t="s">
        <v>73</v>
      </c>
      <c r="AI84" s="11">
        <v>57.113999999999997</v>
      </c>
      <c r="AJ84" s="11">
        <v>72.828000000000003</v>
      </c>
      <c r="AK84" s="11">
        <v>87.924000000000007</v>
      </c>
      <c r="AL84" s="11">
        <f>CHOOSE(MATCH(Setup!$B$7,{"STD","Half-PPR","PPR"},0),AI84,AJ84,AK84)</f>
        <v>72.828000000000003</v>
      </c>
      <c r="AM84" s="11">
        <f>COUNTIFS('Draft Board'!$AN$2:$AN$193,"&gt;="&amp;AN84,'Draft Board'!$AR$2:$AR$193,1)</f>
        <v>20</v>
      </c>
      <c r="AN84" s="11">
        <f>MAX(0,AL84-'Live Calc'!$H$21)^'Live Calc'!$E$21</f>
        <v>0</v>
      </c>
      <c r="AO84" s="11">
        <v>84</v>
      </c>
      <c r="AP84" s="11">
        <f>IF(AO84&lt;&gt;_xlfn.MINIFS('Draft Board'!$AO$2:$AO$193,'Draft Board'!$AN$2:$AN$193,"="&amp;AN84),0,IF(_xlfn.MINIFS('Draft Board'!$AN$2:$AN$193,'Draft Board'!$AN$2:$AN$193,"&gt;"&amp;AN84)=0,1,IF((_xlfn.MINIFS('Draft Board'!$AN$2:$AN$193,'Draft Board'!$AN$2:$AN$193,"&gt;"&amp;AN84)-AN84)/_xlfn.MINIFS('Draft Board'!$AN$2:$AN$193,'Draft Board'!$AN$2:$AN$193,"&gt;"&amp;AN84)&gt;0.08,1,0)))</f>
        <v>0</v>
      </c>
      <c r="AQ84" s="11">
        <f>_xlfn.MINIFS('Draft Board'!$AN$2:$AN$193,'Draft Board'!$AN$2:$AN$193,"&gt;="&amp;AN84,'Draft Board'!$AP$2:$AP$193,1)</f>
        <v>0</v>
      </c>
      <c r="AR84" s="11">
        <f>IF(AO84&lt;&gt;_xlfn.MINIFS('Draft Board'!$AO$2:$AO$193,'Draft Board'!$AN$2:$AN$193,"="&amp;AN84),0,IF(OR(AP84=1,IFERROR(FLOOR((AQ84-AN84)/AQ84/0.25,1),0)&lt;&gt;IFERROR(FLOOR((AQ84-_xlfn.MINIFS('Draft Board'!$AN$2:$AN$193,'Draft Board'!$AN$2:$AN$193,"&gt;"&amp;AN84))/AQ84/0.25,1),0)),1,0))</f>
        <v>0</v>
      </c>
      <c r="AS84" s="11">
        <f>ROUND(1+AN84*'Live Calc'!$D$28,0)</f>
        <v>1</v>
      </c>
      <c r="AT84" s="11"/>
      <c r="AU84" s="11">
        <f>IF(AT84&lt;&gt;"",AT84,ROUND(AS84*INDEX('Live Calc'!$G$259:$G$450,MATCH(AM84,'Live Calc'!$A$259:$A$450,0))*'Live Calc'!$J$543,0))</f>
        <v>1</v>
      </c>
      <c r="AW84" s="12" t="s">
        <v>395</v>
      </c>
      <c r="AX84" s="12" t="s">
        <v>63</v>
      </c>
      <c r="AY84" s="12">
        <v>14.37</v>
      </c>
      <c r="AZ84" s="12">
        <v>19.59</v>
      </c>
      <c r="BA84" s="12">
        <v>24.82</v>
      </c>
      <c r="BB84" s="12">
        <f>CHOOSE(MATCH(Setup!$B$7,{"STD","Half-PPR","PPR"},0),AY84,AZ84,BA84)</f>
        <v>19.59</v>
      </c>
      <c r="BC84" s="12">
        <f>COUNTIFS('Draft Board'!$BD$2:$BD$87,"&gt;="&amp;BD84,'Draft Board'!$BH$2:$BH$87,1)</f>
        <v>15</v>
      </c>
      <c r="BD84" s="12">
        <f>MAX(0,BB84-'Live Calc'!$H$22)^'Live Calc'!$E$22</f>
        <v>0</v>
      </c>
      <c r="BE84" s="12">
        <v>84</v>
      </c>
      <c r="BF84" s="12">
        <f>IF(BE84&lt;&gt;_xlfn.MINIFS('Draft Board'!$BE$2:$BE$87,'Draft Board'!$BD$2:$BD$87,"="&amp;BD84),0,IF(_xlfn.MINIFS('Draft Board'!$BD$2:$BD$87,'Draft Board'!$BD$2:$BD$87,"&gt;"&amp;BD84)=0,1,IF((_xlfn.MINIFS('Draft Board'!$BD$2:$BD$87,'Draft Board'!$BD$2:$BD$87,"&gt;"&amp;BD84)-BD84)/_xlfn.MINIFS('Draft Board'!$BD$2:$BD$87,'Draft Board'!$BD$2:$BD$87,"&gt;"&amp;BD84)&gt;0.08,1,0)))</f>
        <v>0</v>
      </c>
      <c r="BG84" s="12">
        <f>_xlfn.MINIFS('Draft Board'!$BD$2:$BD$87,'Draft Board'!$BD$2:$BD$87,"&gt;="&amp;BD84,'Draft Board'!$BF$2:$BF$87,1)</f>
        <v>0</v>
      </c>
      <c r="BH84" s="12">
        <f>IF(BE84&lt;&gt;_xlfn.MINIFS('Draft Board'!$BE$2:$BE$87,'Draft Board'!$BD$2:$BD$87,"="&amp;BD84),0,IF(OR(BF84=1,IFERROR(FLOOR((BG84-BD84)/BG84/0.25,1),0)&lt;&gt;IFERROR(FLOOR((BG84-_xlfn.MINIFS('Draft Board'!$BD$2:$BD$87,'Draft Board'!$BD$2:$BD$87,"&gt;"&amp;BD84))/BG84/0.25,1),0)),1,0))</f>
        <v>0</v>
      </c>
      <c r="BI84" s="12">
        <f>ROUND(1+BD84*'Live Calc'!$D$29,0)</f>
        <v>1</v>
      </c>
      <c r="BJ84" s="12"/>
      <c r="BK84" s="12">
        <f>IF(BJ84&lt;&gt;"",BJ84,ROUND(BI84*INDEX('Live Calc'!$G$454:$G$539,MATCH(BC84,'Live Calc'!$A$454:$A$539,0))*'Live Calc'!$J$543,0))</f>
        <v>1</v>
      </c>
    </row>
    <row r="85" spans="17:63" x14ac:dyDescent="0.25">
      <c r="Q85" s="10" t="s">
        <v>396</v>
      </c>
      <c r="R85" s="10" t="s">
        <v>107</v>
      </c>
      <c r="S85" s="10">
        <v>27.068000000000001</v>
      </c>
      <c r="T85" s="10">
        <v>34.768000000000001</v>
      </c>
      <c r="U85" s="10">
        <v>42.985999999999997</v>
      </c>
      <c r="V85" s="10">
        <f>CHOOSE(MATCH(Setup!$B$7,{"STD","Half-PPR","PPR"},0),S85,T85,U85)</f>
        <v>34.768000000000001</v>
      </c>
      <c r="W85" s="10">
        <f>COUNTIFS('Draft Board'!$X$2:$X$161,"&gt;="&amp;X85,'Draft Board'!$AB$2:$AB$161,1)</f>
        <v>14</v>
      </c>
      <c r="X85" s="10">
        <f>MAX(0,V85-'Live Calc'!$H$20)^'Live Calc'!$E$20</f>
        <v>0</v>
      </c>
      <c r="Y85" s="10">
        <v>85</v>
      </c>
      <c r="Z85" s="10">
        <f>IF(Y85&lt;&gt;_xlfn.MINIFS('Draft Board'!$Y$2:$Y$161,'Draft Board'!$X$2:$X$161,"="&amp;X85),0,IF(_xlfn.MINIFS('Draft Board'!$X$2:$X$161,'Draft Board'!$X$2:$X$161,"&gt;"&amp;X85)=0,1,IF((_xlfn.MINIFS('Draft Board'!$X$2:$X$161,'Draft Board'!$X$2:$X$161,"&gt;"&amp;X85)-X85)/_xlfn.MINIFS('Draft Board'!$X$2:$X$161,'Draft Board'!$X$2:$X$161,"&gt;"&amp;X85)&gt;0.08,1,0)))</f>
        <v>0</v>
      </c>
      <c r="AA85" s="10">
        <f>_xlfn.MINIFS('Draft Board'!$X$2:$X$161,'Draft Board'!$X$2:$X$161,"&gt;="&amp;X85,'Draft Board'!$Z$2:$Z$161,1)</f>
        <v>0</v>
      </c>
      <c r="AB85" s="10">
        <f>IF(Y85&lt;&gt;_xlfn.MINIFS('Draft Board'!$Y$2:$Y$161,'Draft Board'!$X$2:$X$161,"="&amp;X85),0,IF(OR(Z85=1,IFERROR(FLOOR((AA85-X85)/AA85/0.25,1),0)&lt;&gt;IFERROR(FLOOR((AA85-_xlfn.MINIFS('Draft Board'!$X$2:$X$161,'Draft Board'!$X$2:$X$161,"&gt;"&amp;X85))/AA85/0.25,1),0)),1,0))</f>
        <v>0</v>
      </c>
      <c r="AC85" s="10">
        <f>ROUND(1+X85*'Live Calc'!$D$27,0)</f>
        <v>1</v>
      </c>
      <c r="AD85" s="10"/>
      <c r="AE85" s="10">
        <f>IF(AD85&lt;&gt;"",AD85,ROUND(AC85*INDEX('Live Calc'!$G$96:$G$255,MATCH(W85,'Live Calc'!$A$96:$A$255,0))*'Live Calc'!$J$543,0))</f>
        <v>1</v>
      </c>
      <c r="AG85" s="11" t="s">
        <v>397</v>
      </c>
      <c r="AH85" s="11" t="s">
        <v>133</v>
      </c>
      <c r="AI85" s="11">
        <v>54.368000000000002</v>
      </c>
      <c r="AJ85" s="11">
        <v>70.95</v>
      </c>
      <c r="AK85" s="11">
        <v>86.463999999999999</v>
      </c>
      <c r="AL85" s="11">
        <f>CHOOSE(MATCH(Setup!$B$7,{"STD","Half-PPR","PPR"},0),AI85,AJ85,AK85)</f>
        <v>70.95</v>
      </c>
      <c r="AM85" s="11">
        <f>COUNTIFS('Draft Board'!$AN$2:$AN$193,"&gt;="&amp;AN85,'Draft Board'!$AR$2:$AR$193,1)</f>
        <v>20</v>
      </c>
      <c r="AN85" s="11">
        <f>MAX(0,AL85-'Live Calc'!$H$21)^'Live Calc'!$E$21</f>
        <v>0</v>
      </c>
      <c r="AO85" s="11">
        <v>85</v>
      </c>
      <c r="AP85" s="11">
        <f>IF(AO85&lt;&gt;_xlfn.MINIFS('Draft Board'!$AO$2:$AO$193,'Draft Board'!$AN$2:$AN$193,"="&amp;AN85),0,IF(_xlfn.MINIFS('Draft Board'!$AN$2:$AN$193,'Draft Board'!$AN$2:$AN$193,"&gt;"&amp;AN85)=0,1,IF((_xlfn.MINIFS('Draft Board'!$AN$2:$AN$193,'Draft Board'!$AN$2:$AN$193,"&gt;"&amp;AN85)-AN85)/_xlfn.MINIFS('Draft Board'!$AN$2:$AN$193,'Draft Board'!$AN$2:$AN$193,"&gt;"&amp;AN85)&gt;0.08,1,0)))</f>
        <v>0</v>
      </c>
      <c r="AQ85" s="11">
        <f>_xlfn.MINIFS('Draft Board'!$AN$2:$AN$193,'Draft Board'!$AN$2:$AN$193,"&gt;="&amp;AN85,'Draft Board'!$AP$2:$AP$193,1)</f>
        <v>0</v>
      </c>
      <c r="AR85" s="11">
        <f>IF(AO85&lt;&gt;_xlfn.MINIFS('Draft Board'!$AO$2:$AO$193,'Draft Board'!$AN$2:$AN$193,"="&amp;AN85),0,IF(OR(AP85=1,IFERROR(FLOOR((AQ85-AN85)/AQ85/0.25,1),0)&lt;&gt;IFERROR(FLOOR((AQ85-_xlfn.MINIFS('Draft Board'!$AN$2:$AN$193,'Draft Board'!$AN$2:$AN$193,"&gt;"&amp;AN85))/AQ85/0.25,1),0)),1,0))</f>
        <v>0</v>
      </c>
      <c r="AS85" s="11">
        <f>ROUND(1+AN85*'Live Calc'!$D$28,0)</f>
        <v>1</v>
      </c>
      <c r="AT85" s="11"/>
      <c r="AU85" s="11">
        <f>IF(AT85&lt;&gt;"",AT85,ROUND(AS85*INDEX('Live Calc'!$G$259:$G$450,MATCH(AM85,'Live Calc'!$A$259:$A$450,0))*'Live Calc'!$J$543,0))</f>
        <v>1</v>
      </c>
      <c r="AW85" s="12" t="s">
        <v>398</v>
      </c>
      <c r="AX85" s="12" t="s">
        <v>116</v>
      </c>
      <c r="AY85" s="12">
        <v>14.57</v>
      </c>
      <c r="AZ85" s="12">
        <v>19.54</v>
      </c>
      <c r="BA85" s="12">
        <v>24.52</v>
      </c>
      <c r="BB85" s="12">
        <f>CHOOSE(MATCH(Setup!$B$7,{"STD","Half-PPR","PPR"},0),AY85,AZ85,BA85)</f>
        <v>19.54</v>
      </c>
      <c r="BC85" s="12">
        <f>COUNTIFS('Draft Board'!$BD$2:$BD$87,"&gt;="&amp;BD85,'Draft Board'!$BH$2:$BH$87,1)</f>
        <v>15</v>
      </c>
      <c r="BD85" s="12">
        <f>MAX(0,BB85-'Live Calc'!$H$22)^'Live Calc'!$E$22</f>
        <v>0</v>
      </c>
      <c r="BE85" s="12">
        <v>85</v>
      </c>
      <c r="BF85" s="12">
        <f>IF(BE85&lt;&gt;_xlfn.MINIFS('Draft Board'!$BE$2:$BE$87,'Draft Board'!$BD$2:$BD$87,"="&amp;BD85),0,IF(_xlfn.MINIFS('Draft Board'!$BD$2:$BD$87,'Draft Board'!$BD$2:$BD$87,"&gt;"&amp;BD85)=0,1,IF((_xlfn.MINIFS('Draft Board'!$BD$2:$BD$87,'Draft Board'!$BD$2:$BD$87,"&gt;"&amp;BD85)-BD85)/_xlfn.MINIFS('Draft Board'!$BD$2:$BD$87,'Draft Board'!$BD$2:$BD$87,"&gt;"&amp;BD85)&gt;0.08,1,0)))</f>
        <v>0</v>
      </c>
      <c r="BG85" s="12">
        <f>_xlfn.MINIFS('Draft Board'!$BD$2:$BD$87,'Draft Board'!$BD$2:$BD$87,"&gt;="&amp;BD85,'Draft Board'!$BF$2:$BF$87,1)</f>
        <v>0</v>
      </c>
      <c r="BH85" s="12">
        <f>IF(BE85&lt;&gt;_xlfn.MINIFS('Draft Board'!$BE$2:$BE$87,'Draft Board'!$BD$2:$BD$87,"="&amp;BD85),0,IF(OR(BF85=1,IFERROR(FLOOR((BG85-BD85)/BG85/0.25,1),0)&lt;&gt;IFERROR(FLOOR((BG85-_xlfn.MINIFS('Draft Board'!$BD$2:$BD$87,'Draft Board'!$BD$2:$BD$87,"&gt;"&amp;BD85))/BG85/0.25,1),0)),1,0))</f>
        <v>0</v>
      </c>
      <c r="BI85" s="12">
        <f>ROUND(1+BD85*'Live Calc'!$D$29,0)</f>
        <v>1</v>
      </c>
      <c r="BJ85" s="12"/>
      <c r="BK85" s="12">
        <f>IF(BJ85&lt;&gt;"",BJ85,ROUND(BI85*INDEX('Live Calc'!$G$454:$G$539,MATCH(BC85,'Live Calc'!$A$454:$A$539,0))*'Live Calc'!$J$543,0))</f>
        <v>1</v>
      </c>
    </row>
    <row r="86" spans="17:63" x14ac:dyDescent="0.25">
      <c r="Q86" s="10" t="s">
        <v>399</v>
      </c>
      <c r="R86" s="10" t="s">
        <v>113</v>
      </c>
      <c r="S86" s="10">
        <v>31.436</v>
      </c>
      <c r="T86" s="10">
        <v>34.316000000000003</v>
      </c>
      <c r="U86" s="10">
        <v>37.392000000000003</v>
      </c>
      <c r="V86" s="10">
        <f>CHOOSE(MATCH(Setup!$B$7,{"STD","Half-PPR","PPR"},0),S86,T86,U86)</f>
        <v>34.316000000000003</v>
      </c>
      <c r="W86" s="10">
        <f>COUNTIFS('Draft Board'!$X$2:$X$161,"&gt;="&amp;X86,'Draft Board'!$AB$2:$AB$161,1)</f>
        <v>14</v>
      </c>
      <c r="X86" s="10">
        <f>MAX(0,V86-'Live Calc'!$H$20)^'Live Calc'!$E$20</f>
        <v>0</v>
      </c>
      <c r="Y86" s="10">
        <v>86</v>
      </c>
      <c r="Z86" s="10">
        <f>IF(Y86&lt;&gt;_xlfn.MINIFS('Draft Board'!$Y$2:$Y$161,'Draft Board'!$X$2:$X$161,"="&amp;X86),0,IF(_xlfn.MINIFS('Draft Board'!$X$2:$X$161,'Draft Board'!$X$2:$X$161,"&gt;"&amp;X86)=0,1,IF((_xlfn.MINIFS('Draft Board'!$X$2:$X$161,'Draft Board'!$X$2:$X$161,"&gt;"&amp;X86)-X86)/_xlfn.MINIFS('Draft Board'!$X$2:$X$161,'Draft Board'!$X$2:$X$161,"&gt;"&amp;X86)&gt;0.08,1,0)))</f>
        <v>0</v>
      </c>
      <c r="AA86" s="10">
        <f>_xlfn.MINIFS('Draft Board'!$X$2:$X$161,'Draft Board'!$X$2:$X$161,"&gt;="&amp;X86,'Draft Board'!$Z$2:$Z$161,1)</f>
        <v>0</v>
      </c>
      <c r="AB86" s="10">
        <f>IF(Y86&lt;&gt;_xlfn.MINIFS('Draft Board'!$Y$2:$Y$161,'Draft Board'!$X$2:$X$161,"="&amp;X86),0,IF(OR(Z86=1,IFERROR(FLOOR((AA86-X86)/AA86/0.25,1),0)&lt;&gt;IFERROR(FLOOR((AA86-_xlfn.MINIFS('Draft Board'!$X$2:$X$161,'Draft Board'!$X$2:$X$161,"&gt;"&amp;X86))/AA86/0.25,1),0)),1,0))</f>
        <v>0</v>
      </c>
      <c r="AC86" s="10">
        <f>ROUND(1+X86*'Live Calc'!$D$27,0)</f>
        <v>1</v>
      </c>
      <c r="AD86" s="10"/>
      <c r="AE86" s="10">
        <f>IF(AD86&lt;&gt;"",AD86,ROUND(AC86*INDEX('Live Calc'!$G$96:$G$255,MATCH(W86,'Live Calc'!$A$96:$A$255,0))*'Live Calc'!$J$543,0))</f>
        <v>1</v>
      </c>
      <c r="AG86" s="11" t="s">
        <v>400</v>
      </c>
      <c r="AH86" s="11" t="s">
        <v>73</v>
      </c>
      <c r="AI86" s="11">
        <v>54.148000000000003</v>
      </c>
      <c r="AJ86" s="11">
        <v>70.036000000000001</v>
      </c>
      <c r="AK86" s="11">
        <v>85.804000000000002</v>
      </c>
      <c r="AL86" s="11">
        <f>CHOOSE(MATCH(Setup!$B$7,{"STD","Half-PPR","PPR"},0),AI86,AJ86,AK86)</f>
        <v>70.036000000000001</v>
      </c>
      <c r="AM86" s="11">
        <f>COUNTIFS('Draft Board'!$AN$2:$AN$193,"&gt;="&amp;AN86,'Draft Board'!$AR$2:$AR$193,1)</f>
        <v>20</v>
      </c>
      <c r="AN86" s="11">
        <f>MAX(0,AL86-'Live Calc'!$H$21)^'Live Calc'!$E$21</f>
        <v>0</v>
      </c>
      <c r="AO86" s="11">
        <v>86</v>
      </c>
      <c r="AP86" s="11">
        <f>IF(AO86&lt;&gt;_xlfn.MINIFS('Draft Board'!$AO$2:$AO$193,'Draft Board'!$AN$2:$AN$193,"="&amp;AN86),0,IF(_xlfn.MINIFS('Draft Board'!$AN$2:$AN$193,'Draft Board'!$AN$2:$AN$193,"&gt;"&amp;AN86)=0,1,IF((_xlfn.MINIFS('Draft Board'!$AN$2:$AN$193,'Draft Board'!$AN$2:$AN$193,"&gt;"&amp;AN86)-AN86)/_xlfn.MINIFS('Draft Board'!$AN$2:$AN$193,'Draft Board'!$AN$2:$AN$193,"&gt;"&amp;AN86)&gt;0.08,1,0)))</f>
        <v>0</v>
      </c>
      <c r="AQ86" s="11">
        <f>_xlfn.MINIFS('Draft Board'!$AN$2:$AN$193,'Draft Board'!$AN$2:$AN$193,"&gt;="&amp;AN86,'Draft Board'!$AP$2:$AP$193,1)</f>
        <v>0</v>
      </c>
      <c r="AR86" s="11">
        <f>IF(AO86&lt;&gt;_xlfn.MINIFS('Draft Board'!$AO$2:$AO$193,'Draft Board'!$AN$2:$AN$193,"="&amp;AN86),0,IF(OR(AP86=1,IFERROR(FLOOR((AQ86-AN86)/AQ86/0.25,1),0)&lt;&gt;IFERROR(FLOOR((AQ86-_xlfn.MINIFS('Draft Board'!$AN$2:$AN$193,'Draft Board'!$AN$2:$AN$193,"&gt;"&amp;AN86))/AQ86/0.25,1),0)),1,0))</f>
        <v>0</v>
      </c>
      <c r="AS86" s="11">
        <f>ROUND(1+AN86*'Live Calc'!$D$28,0)</f>
        <v>1</v>
      </c>
      <c r="AT86" s="11"/>
      <c r="AU86" s="11">
        <f>IF(AT86&lt;&gt;"",AT86,ROUND(AS86*INDEX('Live Calc'!$G$259:$G$450,MATCH(AM86,'Live Calc'!$A$259:$A$450,0))*'Live Calc'!$J$543,0))</f>
        <v>1</v>
      </c>
      <c r="AW86" s="12" t="s">
        <v>401</v>
      </c>
      <c r="AX86" s="12" t="s">
        <v>246</v>
      </c>
      <c r="AY86" s="12">
        <v>14.3</v>
      </c>
      <c r="AZ86" s="12">
        <v>19.399999999999999</v>
      </c>
      <c r="BA86" s="12">
        <v>24.5</v>
      </c>
      <c r="BB86" s="12">
        <f>CHOOSE(MATCH(Setup!$B$7,{"STD","Half-PPR","PPR"},0),AY86,AZ86,BA86)</f>
        <v>19.399999999999999</v>
      </c>
      <c r="BC86" s="12">
        <f>COUNTIFS('Draft Board'!$BD$2:$BD$87,"&gt;="&amp;BD86,'Draft Board'!$BH$2:$BH$87,1)</f>
        <v>15</v>
      </c>
      <c r="BD86" s="12">
        <f>MAX(0,BB86-'Live Calc'!$H$22)^'Live Calc'!$E$22</f>
        <v>0</v>
      </c>
      <c r="BE86" s="12">
        <v>86</v>
      </c>
      <c r="BF86" s="12">
        <f>IF(BE86&lt;&gt;_xlfn.MINIFS('Draft Board'!$BE$2:$BE$87,'Draft Board'!$BD$2:$BD$87,"="&amp;BD86),0,IF(_xlfn.MINIFS('Draft Board'!$BD$2:$BD$87,'Draft Board'!$BD$2:$BD$87,"&gt;"&amp;BD86)=0,1,IF((_xlfn.MINIFS('Draft Board'!$BD$2:$BD$87,'Draft Board'!$BD$2:$BD$87,"&gt;"&amp;BD86)-BD86)/_xlfn.MINIFS('Draft Board'!$BD$2:$BD$87,'Draft Board'!$BD$2:$BD$87,"&gt;"&amp;BD86)&gt;0.08,1,0)))</f>
        <v>0</v>
      </c>
      <c r="BG86" s="12">
        <f>_xlfn.MINIFS('Draft Board'!$BD$2:$BD$87,'Draft Board'!$BD$2:$BD$87,"&gt;="&amp;BD86,'Draft Board'!$BF$2:$BF$87,1)</f>
        <v>0</v>
      </c>
      <c r="BH86" s="12">
        <f>IF(BE86&lt;&gt;_xlfn.MINIFS('Draft Board'!$BE$2:$BE$87,'Draft Board'!$BD$2:$BD$87,"="&amp;BD86),0,IF(OR(BF86=1,IFERROR(FLOOR((BG86-BD86)/BG86/0.25,1),0)&lt;&gt;IFERROR(FLOOR((BG86-_xlfn.MINIFS('Draft Board'!$BD$2:$BD$87,'Draft Board'!$BD$2:$BD$87,"&gt;"&amp;BD86))/BG86/0.25,1),0)),1,0))</f>
        <v>0</v>
      </c>
      <c r="BI86" s="12">
        <f>ROUND(1+BD86*'Live Calc'!$D$29,0)</f>
        <v>1</v>
      </c>
      <c r="BJ86" s="12"/>
      <c r="BK86" s="12">
        <f>IF(BJ86&lt;&gt;"",BJ86,ROUND(BI86*INDEX('Live Calc'!$G$454:$G$539,MATCH(BC86,'Live Calc'!$A$454:$A$539,0))*'Live Calc'!$J$543,0))</f>
        <v>1</v>
      </c>
    </row>
    <row r="87" spans="17:63" x14ac:dyDescent="0.25">
      <c r="Q87" s="10" t="s">
        <v>402</v>
      </c>
      <c r="R87" s="10" t="s">
        <v>100</v>
      </c>
      <c r="S87" s="10">
        <v>30.4</v>
      </c>
      <c r="T87" s="10">
        <v>34.22</v>
      </c>
      <c r="U87" s="10">
        <v>38.101999999999997</v>
      </c>
      <c r="V87" s="10">
        <f>CHOOSE(MATCH(Setup!$B$7,{"STD","Half-PPR","PPR"},0),S87,T87,U87)</f>
        <v>34.22</v>
      </c>
      <c r="W87" s="10">
        <f>COUNTIFS('Draft Board'!$X$2:$X$161,"&gt;="&amp;X87,'Draft Board'!$AB$2:$AB$161,1)</f>
        <v>14</v>
      </c>
      <c r="X87" s="10">
        <f>MAX(0,V87-'Live Calc'!$H$20)^'Live Calc'!$E$20</f>
        <v>0</v>
      </c>
      <c r="Y87" s="10">
        <v>87</v>
      </c>
      <c r="Z87" s="10">
        <f>IF(Y87&lt;&gt;_xlfn.MINIFS('Draft Board'!$Y$2:$Y$161,'Draft Board'!$X$2:$X$161,"="&amp;X87),0,IF(_xlfn.MINIFS('Draft Board'!$X$2:$X$161,'Draft Board'!$X$2:$X$161,"&gt;"&amp;X87)=0,1,IF((_xlfn.MINIFS('Draft Board'!$X$2:$X$161,'Draft Board'!$X$2:$X$161,"&gt;"&amp;X87)-X87)/_xlfn.MINIFS('Draft Board'!$X$2:$X$161,'Draft Board'!$X$2:$X$161,"&gt;"&amp;X87)&gt;0.08,1,0)))</f>
        <v>0</v>
      </c>
      <c r="AA87" s="10">
        <f>_xlfn.MINIFS('Draft Board'!$X$2:$X$161,'Draft Board'!$X$2:$X$161,"&gt;="&amp;X87,'Draft Board'!$Z$2:$Z$161,1)</f>
        <v>0</v>
      </c>
      <c r="AB87" s="10">
        <f>IF(Y87&lt;&gt;_xlfn.MINIFS('Draft Board'!$Y$2:$Y$161,'Draft Board'!$X$2:$X$161,"="&amp;X87),0,IF(OR(Z87=1,IFERROR(FLOOR((AA87-X87)/AA87/0.25,1),0)&lt;&gt;IFERROR(FLOOR((AA87-_xlfn.MINIFS('Draft Board'!$X$2:$X$161,'Draft Board'!$X$2:$X$161,"&gt;"&amp;X87))/AA87/0.25,1),0)),1,0))</f>
        <v>0</v>
      </c>
      <c r="AC87" s="10">
        <f>ROUND(1+X87*'Live Calc'!$D$27,0)</f>
        <v>1</v>
      </c>
      <c r="AD87" s="10"/>
      <c r="AE87" s="10">
        <f>IF(AD87&lt;&gt;"",AD87,ROUND(AC87*INDEX('Live Calc'!$G$96:$G$255,MATCH(W87,'Live Calc'!$A$96:$A$255,0))*'Live Calc'!$J$543,0))</f>
        <v>1</v>
      </c>
      <c r="AG87" s="11" t="s">
        <v>403</v>
      </c>
      <c r="AH87" s="11" t="s">
        <v>85</v>
      </c>
      <c r="AI87" s="11">
        <v>54.12</v>
      </c>
      <c r="AJ87" s="11">
        <v>69.144000000000005</v>
      </c>
      <c r="AK87" s="11">
        <v>85.858000000000004</v>
      </c>
      <c r="AL87" s="11">
        <f>CHOOSE(MATCH(Setup!$B$7,{"STD","Half-PPR","PPR"},0),AI87,AJ87,AK87)</f>
        <v>69.144000000000005</v>
      </c>
      <c r="AM87" s="11">
        <f>COUNTIFS('Draft Board'!$AN$2:$AN$193,"&gt;="&amp;AN87,'Draft Board'!$AR$2:$AR$193,1)</f>
        <v>20</v>
      </c>
      <c r="AN87" s="11">
        <f>MAX(0,AL87-'Live Calc'!$H$21)^'Live Calc'!$E$21</f>
        <v>0</v>
      </c>
      <c r="AO87" s="11">
        <v>87</v>
      </c>
      <c r="AP87" s="11">
        <f>IF(AO87&lt;&gt;_xlfn.MINIFS('Draft Board'!$AO$2:$AO$193,'Draft Board'!$AN$2:$AN$193,"="&amp;AN87),0,IF(_xlfn.MINIFS('Draft Board'!$AN$2:$AN$193,'Draft Board'!$AN$2:$AN$193,"&gt;"&amp;AN87)=0,1,IF((_xlfn.MINIFS('Draft Board'!$AN$2:$AN$193,'Draft Board'!$AN$2:$AN$193,"&gt;"&amp;AN87)-AN87)/_xlfn.MINIFS('Draft Board'!$AN$2:$AN$193,'Draft Board'!$AN$2:$AN$193,"&gt;"&amp;AN87)&gt;0.08,1,0)))</f>
        <v>0</v>
      </c>
      <c r="AQ87" s="11">
        <f>_xlfn.MINIFS('Draft Board'!$AN$2:$AN$193,'Draft Board'!$AN$2:$AN$193,"&gt;="&amp;AN87,'Draft Board'!$AP$2:$AP$193,1)</f>
        <v>0</v>
      </c>
      <c r="AR87" s="11">
        <f>IF(AO87&lt;&gt;_xlfn.MINIFS('Draft Board'!$AO$2:$AO$193,'Draft Board'!$AN$2:$AN$193,"="&amp;AN87),0,IF(OR(AP87=1,IFERROR(FLOOR((AQ87-AN87)/AQ87/0.25,1),0)&lt;&gt;IFERROR(FLOOR((AQ87-_xlfn.MINIFS('Draft Board'!$AN$2:$AN$193,'Draft Board'!$AN$2:$AN$193,"&gt;"&amp;AN87))/AQ87/0.25,1),0)),1,0))</f>
        <v>0</v>
      </c>
      <c r="AS87" s="11">
        <f>ROUND(1+AN87*'Live Calc'!$D$28,0)</f>
        <v>1</v>
      </c>
      <c r="AT87" s="11"/>
      <c r="AU87" s="11">
        <f>IF(AT87&lt;&gt;"",AT87,ROUND(AS87*INDEX('Live Calc'!$G$259:$G$450,MATCH(AM87,'Live Calc'!$A$259:$A$450,0))*'Live Calc'!$J$543,0))</f>
        <v>1</v>
      </c>
      <c r="AW87" s="12" t="s">
        <v>404</v>
      </c>
      <c r="AX87" s="12" t="s">
        <v>107</v>
      </c>
      <c r="AY87" s="12">
        <v>14.2</v>
      </c>
      <c r="AZ87" s="12">
        <v>19.21</v>
      </c>
      <c r="BA87" s="12">
        <v>24.21</v>
      </c>
      <c r="BB87" s="12">
        <f>CHOOSE(MATCH(Setup!$B$7,{"STD","Half-PPR","PPR"},0),AY87,AZ87,BA87)</f>
        <v>19.21</v>
      </c>
      <c r="BC87" s="12">
        <f>COUNTIFS('Draft Board'!$BD$2:$BD$87,"&gt;="&amp;BD87,'Draft Board'!$BH$2:$BH$87,1)</f>
        <v>15</v>
      </c>
      <c r="BD87" s="12">
        <f>MAX(0,BB87-'Live Calc'!$H$22)^'Live Calc'!$E$22</f>
        <v>0</v>
      </c>
      <c r="BE87" s="12">
        <v>87</v>
      </c>
      <c r="BF87" s="12">
        <f>IF(BE87&lt;&gt;_xlfn.MINIFS('Draft Board'!$BE$2:$BE$87,'Draft Board'!$BD$2:$BD$87,"="&amp;BD87),0,IF(_xlfn.MINIFS('Draft Board'!$BD$2:$BD$87,'Draft Board'!$BD$2:$BD$87,"&gt;"&amp;BD87)=0,1,IF((_xlfn.MINIFS('Draft Board'!$BD$2:$BD$87,'Draft Board'!$BD$2:$BD$87,"&gt;"&amp;BD87)-BD87)/_xlfn.MINIFS('Draft Board'!$BD$2:$BD$87,'Draft Board'!$BD$2:$BD$87,"&gt;"&amp;BD87)&gt;0.08,1,0)))</f>
        <v>0</v>
      </c>
      <c r="BG87" s="12">
        <f>_xlfn.MINIFS('Draft Board'!$BD$2:$BD$87,'Draft Board'!$BD$2:$BD$87,"&gt;="&amp;BD87,'Draft Board'!$BF$2:$BF$87,1)</f>
        <v>0</v>
      </c>
      <c r="BH87" s="12">
        <f>IF(BE87&lt;&gt;_xlfn.MINIFS('Draft Board'!$BE$2:$BE$87,'Draft Board'!$BD$2:$BD$87,"="&amp;BD87),0,IF(OR(BF87=1,IFERROR(FLOOR((BG87-BD87)/BG87/0.25,1),0)&lt;&gt;IFERROR(FLOOR((BG87-_xlfn.MINIFS('Draft Board'!$BD$2:$BD$87,'Draft Board'!$BD$2:$BD$87,"&gt;"&amp;BD87))/BG87/0.25,1),0)),1,0))</f>
        <v>0</v>
      </c>
      <c r="BI87" s="12">
        <f>ROUND(1+BD87*'Live Calc'!$D$29,0)</f>
        <v>1</v>
      </c>
      <c r="BJ87" s="12"/>
      <c r="BK87" s="12">
        <f>IF(BJ87&lt;&gt;"",BJ87,ROUND(BI87*INDEX('Live Calc'!$G$454:$G$539,MATCH(BC87,'Live Calc'!$A$454:$A$539,0))*'Live Calc'!$J$543,0))</f>
        <v>1</v>
      </c>
    </row>
    <row r="88" spans="17:63" x14ac:dyDescent="0.25">
      <c r="Q88" s="10" t="s">
        <v>405</v>
      </c>
      <c r="R88" s="10" t="s">
        <v>246</v>
      </c>
      <c r="S88" s="10">
        <v>29.052</v>
      </c>
      <c r="T88" s="10">
        <v>33.835999999999999</v>
      </c>
      <c r="U88" s="10">
        <v>37.427999999999997</v>
      </c>
      <c r="V88" s="10">
        <f>CHOOSE(MATCH(Setup!$B$7,{"STD","Half-PPR","PPR"},0),S88,T88,U88)</f>
        <v>33.835999999999999</v>
      </c>
      <c r="W88" s="10">
        <f>COUNTIFS('Draft Board'!$X$2:$X$161,"&gt;="&amp;X88,'Draft Board'!$AB$2:$AB$161,1)</f>
        <v>14</v>
      </c>
      <c r="X88" s="10">
        <f>MAX(0,V88-'Live Calc'!$H$20)^'Live Calc'!$E$20</f>
        <v>0</v>
      </c>
      <c r="Y88" s="10">
        <v>88</v>
      </c>
      <c r="Z88" s="10">
        <f>IF(Y88&lt;&gt;_xlfn.MINIFS('Draft Board'!$Y$2:$Y$161,'Draft Board'!$X$2:$X$161,"="&amp;X88),0,IF(_xlfn.MINIFS('Draft Board'!$X$2:$X$161,'Draft Board'!$X$2:$X$161,"&gt;"&amp;X88)=0,1,IF((_xlfn.MINIFS('Draft Board'!$X$2:$X$161,'Draft Board'!$X$2:$X$161,"&gt;"&amp;X88)-X88)/_xlfn.MINIFS('Draft Board'!$X$2:$X$161,'Draft Board'!$X$2:$X$161,"&gt;"&amp;X88)&gt;0.08,1,0)))</f>
        <v>0</v>
      </c>
      <c r="AA88" s="10">
        <f>_xlfn.MINIFS('Draft Board'!$X$2:$X$161,'Draft Board'!$X$2:$X$161,"&gt;="&amp;X88,'Draft Board'!$Z$2:$Z$161,1)</f>
        <v>0</v>
      </c>
      <c r="AB88" s="10">
        <f>IF(Y88&lt;&gt;_xlfn.MINIFS('Draft Board'!$Y$2:$Y$161,'Draft Board'!$X$2:$X$161,"="&amp;X88),0,IF(OR(Z88=1,IFERROR(FLOOR((AA88-X88)/AA88/0.25,1),0)&lt;&gt;IFERROR(FLOOR((AA88-_xlfn.MINIFS('Draft Board'!$X$2:$X$161,'Draft Board'!$X$2:$X$161,"&gt;"&amp;X88))/AA88/0.25,1),0)),1,0))</f>
        <v>0</v>
      </c>
      <c r="AC88" s="10">
        <f>ROUND(1+X88*'Live Calc'!$D$27,0)</f>
        <v>1</v>
      </c>
      <c r="AD88" s="10"/>
      <c r="AE88" s="10">
        <f>IF(AD88&lt;&gt;"",AD88,ROUND(AC88*INDEX('Live Calc'!$G$96:$G$255,MATCH(W88,'Live Calc'!$A$96:$A$255,0))*'Live Calc'!$J$543,0))</f>
        <v>1</v>
      </c>
      <c r="AG88" s="11" t="s">
        <v>406</v>
      </c>
      <c r="AH88" s="11" t="s">
        <v>133</v>
      </c>
      <c r="AI88" s="11">
        <v>52.74</v>
      </c>
      <c r="AJ88" s="11">
        <v>69.111999999999995</v>
      </c>
      <c r="AK88" s="11">
        <v>85.335999999999999</v>
      </c>
      <c r="AL88" s="11">
        <f>CHOOSE(MATCH(Setup!$B$7,{"STD","Half-PPR","PPR"},0),AI88,AJ88,AK88)</f>
        <v>69.111999999999995</v>
      </c>
      <c r="AM88" s="11">
        <f>COUNTIFS('Draft Board'!$AN$2:$AN$193,"&gt;="&amp;AN88,'Draft Board'!$AR$2:$AR$193,1)</f>
        <v>20</v>
      </c>
      <c r="AN88" s="11">
        <f>MAX(0,AL88-'Live Calc'!$H$21)^'Live Calc'!$E$21</f>
        <v>0</v>
      </c>
      <c r="AO88" s="11">
        <v>88</v>
      </c>
      <c r="AP88" s="11">
        <f>IF(AO88&lt;&gt;_xlfn.MINIFS('Draft Board'!$AO$2:$AO$193,'Draft Board'!$AN$2:$AN$193,"="&amp;AN88),0,IF(_xlfn.MINIFS('Draft Board'!$AN$2:$AN$193,'Draft Board'!$AN$2:$AN$193,"&gt;"&amp;AN88)=0,1,IF((_xlfn.MINIFS('Draft Board'!$AN$2:$AN$193,'Draft Board'!$AN$2:$AN$193,"&gt;"&amp;AN88)-AN88)/_xlfn.MINIFS('Draft Board'!$AN$2:$AN$193,'Draft Board'!$AN$2:$AN$193,"&gt;"&amp;AN88)&gt;0.08,1,0)))</f>
        <v>0</v>
      </c>
      <c r="AQ88" s="11">
        <f>_xlfn.MINIFS('Draft Board'!$AN$2:$AN$193,'Draft Board'!$AN$2:$AN$193,"&gt;="&amp;AN88,'Draft Board'!$AP$2:$AP$193,1)</f>
        <v>0</v>
      </c>
      <c r="AR88" s="11">
        <f>IF(AO88&lt;&gt;_xlfn.MINIFS('Draft Board'!$AO$2:$AO$193,'Draft Board'!$AN$2:$AN$193,"="&amp;AN88),0,IF(OR(AP88=1,IFERROR(FLOOR((AQ88-AN88)/AQ88/0.25,1),0)&lt;&gt;IFERROR(FLOOR((AQ88-_xlfn.MINIFS('Draft Board'!$AN$2:$AN$193,'Draft Board'!$AN$2:$AN$193,"&gt;"&amp;AN88))/AQ88/0.25,1),0)),1,0))</f>
        <v>0</v>
      </c>
      <c r="AS88" s="11">
        <f>ROUND(1+AN88*'Live Calc'!$D$28,0)</f>
        <v>1</v>
      </c>
      <c r="AT88" s="11"/>
      <c r="AU88" s="11">
        <f>IF(AT88&lt;&gt;"",AT88,ROUND(AS88*INDEX('Live Calc'!$G$259:$G$450,MATCH(AM88,'Live Calc'!$A$259:$A$450,0))*'Live Calc'!$J$543,0))</f>
        <v>1</v>
      </c>
    </row>
    <row r="89" spans="17:63" x14ac:dyDescent="0.25">
      <c r="Q89" s="10" t="s">
        <v>407</v>
      </c>
      <c r="R89" s="10" t="s">
        <v>246</v>
      </c>
      <c r="S89" s="10">
        <v>30.282</v>
      </c>
      <c r="T89" s="10">
        <v>33.235999999999997</v>
      </c>
      <c r="U89" s="10">
        <v>36.195999999999998</v>
      </c>
      <c r="V89" s="10">
        <f>CHOOSE(MATCH(Setup!$B$7,{"STD","Half-PPR","PPR"},0),S89,T89,U89)</f>
        <v>33.235999999999997</v>
      </c>
      <c r="W89" s="10">
        <f>COUNTIFS('Draft Board'!$X$2:$X$161,"&gt;="&amp;X89,'Draft Board'!$AB$2:$AB$161,1)</f>
        <v>14</v>
      </c>
      <c r="X89" s="10">
        <f>MAX(0,V89-'Live Calc'!$H$20)^'Live Calc'!$E$20</f>
        <v>0</v>
      </c>
      <c r="Y89" s="10">
        <v>89</v>
      </c>
      <c r="Z89" s="10">
        <f>IF(Y89&lt;&gt;_xlfn.MINIFS('Draft Board'!$Y$2:$Y$161,'Draft Board'!$X$2:$X$161,"="&amp;X89),0,IF(_xlfn.MINIFS('Draft Board'!$X$2:$X$161,'Draft Board'!$X$2:$X$161,"&gt;"&amp;X89)=0,1,IF((_xlfn.MINIFS('Draft Board'!$X$2:$X$161,'Draft Board'!$X$2:$X$161,"&gt;"&amp;X89)-X89)/_xlfn.MINIFS('Draft Board'!$X$2:$X$161,'Draft Board'!$X$2:$X$161,"&gt;"&amp;X89)&gt;0.08,1,0)))</f>
        <v>0</v>
      </c>
      <c r="AA89" s="10">
        <f>_xlfn.MINIFS('Draft Board'!$X$2:$X$161,'Draft Board'!$X$2:$X$161,"&gt;="&amp;X89,'Draft Board'!$Z$2:$Z$161,1)</f>
        <v>0</v>
      </c>
      <c r="AB89" s="10">
        <f>IF(Y89&lt;&gt;_xlfn.MINIFS('Draft Board'!$Y$2:$Y$161,'Draft Board'!$X$2:$X$161,"="&amp;X89),0,IF(OR(Z89=1,IFERROR(FLOOR((AA89-X89)/AA89/0.25,1),0)&lt;&gt;IFERROR(FLOOR((AA89-_xlfn.MINIFS('Draft Board'!$X$2:$X$161,'Draft Board'!$X$2:$X$161,"&gt;"&amp;X89))/AA89/0.25,1),0)),1,0))</f>
        <v>0</v>
      </c>
      <c r="AC89" s="10">
        <f>ROUND(1+X89*'Live Calc'!$D$27,0)</f>
        <v>1</v>
      </c>
      <c r="AD89" s="10"/>
      <c r="AE89" s="10">
        <f>IF(AD89&lt;&gt;"",AD89,ROUND(AC89*INDEX('Live Calc'!$G$96:$G$255,MATCH(W89,'Live Calc'!$A$96:$A$255,0))*'Live Calc'!$J$543,0))</f>
        <v>1</v>
      </c>
      <c r="AG89" s="11" t="s">
        <v>408</v>
      </c>
      <c r="AH89" s="11" t="s">
        <v>113</v>
      </c>
      <c r="AI89" s="11">
        <v>54.18</v>
      </c>
      <c r="AJ89" s="11">
        <v>68.644000000000005</v>
      </c>
      <c r="AK89" s="11">
        <v>83.38</v>
      </c>
      <c r="AL89" s="11">
        <f>CHOOSE(MATCH(Setup!$B$7,{"STD","Half-PPR","PPR"},0),AI89,AJ89,AK89)</f>
        <v>68.644000000000005</v>
      </c>
      <c r="AM89" s="11">
        <f>COUNTIFS('Draft Board'!$AN$2:$AN$193,"&gt;="&amp;AN89,'Draft Board'!$AR$2:$AR$193,1)</f>
        <v>20</v>
      </c>
      <c r="AN89" s="11">
        <f>MAX(0,AL89-'Live Calc'!$H$21)^'Live Calc'!$E$21</f>
        <v>0</v>
      </c>
      <c r="AO89" s="11">
        <v>89</v>
      </c>
      <c r="AP89" s="11">
        <f>IF(AO89&lt;&gt;_xlfn.MINIFS('Draft Board'!$AO$2:$AO$193,'Draft Board'!$AN$2:$AN$193,"="&amp;AN89),0,IF(_xlfn.MINIFS('Draft Board'!$AN$2:$AN$193,'Draft Board'!$AN$2:$AN$193,"&gt;"&amp;AN89)=0,1,IF((_xlfn.MINIFS('Draft Board'!$AN$2:$AN$193,'Draft Board'!$AN$2:$AN$193,"&gt;"&amp;AN89)-AN89)/_xlfn.MINIFS('Draft Board'!$AN$2:$AN$193,'Draft Board'!$AN$2:$AN$193,"&gt;"&amp;AN89)&gt;0.08,1,0)))</f>
        <v>0</v>
      </c>
      <c r="AQ89" s="11">
        <f>_xlfn.MINIFS('Draft Board'!$AN$2:$AN$193,'Draft Board'!$AN$2:$AN$193,"&gt;="&amp;AN89,'Draft Board'!$AP$2:$AP$193,1)</f>
        <v>0</v>
      </c>
      <c r="AR89" s="11">
        <f>IF(AO89&lt;&gt;_xlfn.MINIFS('Draft Board'!$AO$2:$AO$193,'Draft Board'!$AN$2:$AN$193,"="&amp;AN89),0,IF(OR(AP89=1,IFERROR(FLOOR((AQ89-AN89)/AQ89/0.25,1),0)&lt;&gt;IFERROR(FLOOR((AQ89-_xlfn.MINIFS('Draft Board'!$AN$2:$AN$193,'Draft Board'!$AN$2:$AN$193,"&gt;"&amp;AN89))/AQ89/0.25,1),0)),1,0))</f>
        <v>0</v>
      </c>
      <c r="AS89" s="11">
        <f>ROUND(1+AN89*'Live Calc'!$D$28,0)</f>
        <v>1</v>
      </c>
      <c r="AT89" s="11"/>
      <c r="AU89" s="11">
        <f>IF(AT89&lt;&gt;"",AT89,ROUND(AS89*INDEX('Live Calc'!$G$259:$G$450,MATCH(AM89,'Live Calc'!$A$259:$A$450,0))*'Live Calc'!$J$543,0))</f>
        <v>1</v>
      </c>
    </row>
    <row r="90" spans="17:63" x14ac:dyDescent="0.25">
      <c r="Q90" s="10" t="s">
        <v>409</v>
      </c>
      <c r="R90" s="10" t="s">
        <v>73</v>
      </c>
      <c r="S90" s="10">
        <v>24.988</v>
      </c>
      <c r="T90" s="10">
        <v>32.238</v>
      </c>
      <c r="U90" s="10">
        <v>39.948</v>
      </c>
      <c r="V90" s="10">
        <f>CHOOSE(MATCH(Setup!$B$7,{"STD","Half-PPR","PPR"},0),S90,T90,U90)</f>
        <v>32.238</v>
      </c>
      <c r="W90" s="10">
        <f>COUNTIFS('Draft Board'!$X$2:$X$161,"&gt;="&amp;X90,'Draft Board'!$AB$2:$AB$161,1)</f>
        <v>14</v>
      </c>
      <c r="X90" s="10">
        <f>MAX(0,V90-'Live Calc'!$H$20)^'Live Calc'!$E$20</f>
        <v>0</v>
      </c>
      <c r="Y90" s="10">
        <v>90</v>
      </c>
      <c r="Z90" s="10">
        <f>IF(Y90&lt;&gt;_xlfn.MINIFS('Draft Board'!$Y$2:$Y$161,'Draft Board'!$X$2:$X$161,"="&amp;X90),0,IF(_xlfn.MINIFS('Draft Board'!$X$2:$X$161,'Draft Board'!$X$2:$X$161,"&gt;"&amp;X90)=0,1,IF((_xlfn.MINIFS('Draft Board'!$X$2:$X$161,'Draft Board'!$X$2:$X$161,"&gt;"&amp;X90)-X90)/_xlfn.MINIFS('Draft Board'!$X$2:$X$161,'Draft Board'!$X$2:$X$161,"&gt;"&amp;X90)&gt;0.08,1,0)))</f>
        <v>0</v>
      </c>
      <c r="AA90" s="10">
        <f>_xlfn.MINIFS('Draft Board'!$X$2:$X$161,'Draft Board'!$X$2:$X$161,"&gt;="&amp;X90,'Draft Board'!$Z$2:$Z$161,1)</f>
        <v>0</v>
      </c>
      <c r="AB90" s="10">
        <f>IF(Y90&lt;&gt;_xlfn.MINIFS('Draft Board'!$Y$2:$Y$161,'Draft Board'!$X$2:$X$161,"="&amp;X90),0,IF(OR(Z90=1,IFERROR(FLOOR((AA90-X90)/AA90/0.25,1),0)&lt;&gt;IFERROR(FLOOR((AA90-_xlfn.MINIFS('Draft Board'!$X$2:$X$161,'Draft Board'!$X$2:$X$161,"&gt;"&amp;X90))/AA90/0.25,1),0)),1,0))</f>
        <v>0</v>
      </c>
      <c r="AC90" s="10">
        <f>ROUND(1+X90*'Live Calc'!$D$27,0)</f>
        <v>1</v>
      </c>
      <c r="AD90" s="10"/>
      <c r="AE90" s="10">
        <f>IF(AD90&lt;&gt;"",AD90,ROUND(AC90*INDEX('Live Calc'!$G$96:$G$255,MATCH(W90,'Live Calc'!$A$96:$A$255,0))*'Live Calc'!$J$543,0))</f>
        <v>1</v>
      </c>
      <c r="AG90" s="11" t="s">
        <v>410</v>
      </c>
      <c r="AH90" s="11" t="s">
        <v>67</v>
      </c>
      <c r="AI90" s="11">
        <v>51.872</v>
      </c>
      <c r="AJ90" s="11">
        <v>66.408000000000001</v>
      </c>
      <c r="AK90" s="11">
        <v>80.186000000000007</v>
      </c>
      <c r="AL90" s="11">
        <f>CHOOSE(MATCH(Setup!$B$7,{"STD","Half-PPR","PPR"},0),AI90,AJ90,AK90)</f>
        <v>66.408000000000001</v>
      </c>
      <c r="AM90" s="11">
        <f>COUNTIFS('Draft Board'!$AN$2:$AN$193,"&gt;="&amp;AN90,'Draft Board'!$AR$2:$AR$193,1)</f>
        <v>20</v>
      </c>
      <c r="AN90" s="11">
        <f>MAX(0,AL90-'Live Calc'!$H$21)^'Live Calc'!$E$21</f>
        <v>0</v>
      </c>
      <c r="AO90" s="11">
        <v>90</v>
      </c>
      <c r="AP90" s="11">
        <f>IF(AO90&lt;&gt;_xlfn.MINIFS('Draft Board'!$AO$2:$AO$193,'Draft Board'!$AN$2:$AN$193,"="&amp;AN90),0,IF(_xlfn.MINIFS('Draft Board'!$AN$2:$AN$193,'Draft Board'!$AN$2:$AN$193,"&gt;"&amp;AN90)=0,1,IF((_xlfn.MINIFS('Draft Board'!$AN$2:$AN$193,'Draft Board'!$AN$2:$AN$193,"&gt;"&amp;AN90)-AN90)/_xlfn.MINIFS('Draft Board'!$AN$2:$AN$193,'Draft Board'!$AN$2:$AN$193,"&gt;"&amp;AN90)&gt;0.08,1,0)))</f>
        <v>0</v>
      </c>
      <c r="AQ90" s="11">
        <f>_xlfn.MINIFS('Draft Board'!$AN$2:$AN$193,'Draft Board'!$AN$2:$AN$193,"&gt;="&amp;AN90,'Draft Board'!$AP$2:$AP$193,1)</f>
        <v>0</v>
      </c>
      <c r="AR90" s="11">
        <f>IF(AO90&lt;&gt;_xlfn.MINIFS('Draft Board'!$AO$2:$AO$193,'Draft Board'!$AN$2:$AN$193,"="&amp;AN90),0,IF(OR(AP90=1,IFERROR(FLOOR((AQ90-AN90)/AQ90/0.25,1),0)&lt;&gt;IFERROR(FLOOR((AQ90-_xlfn.MINIFS('Draft Board'!$AN$2:$AN$193,'Draft Board'!$AN$2:$AN$193,"&gt;"&amp;AN90))/AQ90/0.25,1),0)),1,0))</f>
        <v>0</v>
      </c>
      <c r="AS90" s="11">
        <f>ROUND(1+AN90*'Live Calc'!$D$28,0)</f>
        <v>1</v>
      </c>
      <c r="AT90" s="11"/>
      <c r="AU90" s="11">
        <f>IF(AT90&lt;&gt;"",AT90,ROUND(AS90*INDEX('Live Calc'!$G$259:$G$450,MATCH(AM90,'Live Calc'!$A$259:$A$450,0))*'Live Calc'!$J$543,0))</f>
        <v>1</v>
      </c>
    </row>
    <row r="91" spans="17:63" x14ac:dyDescent="0.25">
      <c r="Q91" s="10" t="s">
        <v>411</v>
      </c>
      <c r="R91" s="10" t="s">
        <v>126</v>
      </c>
      <c r="S91" s="10">
        <v>28.372</v>
      </c>
      <c r="T91" s="10">
        <v>31.06</v>
      </c>
      <c r="U91" s="10">
        <v>33.872</v>
      </c>
      <c r="V91" s="10">
        <f>CHOOSE(MATCH(Setup!$B$7,{"STD","Half-PPR","PPR"},0),S91,T91,U91)</f>
        <v>31.06</v>
      </c>
      <c r="W91" s="10">
        <f>COUNTIFS('Draft Board'!$X$2:$X$161,"&gt;="&amp;X91,'Draft Board'!$AB$2:$AB$161,1)</f>
        <v>14</v>
      </c>
      <c r="X91" s="10">
        <f>MAX(0,V91-'Live Calc'!$H$20)^'Live Calc'!$E$20</f>
        <v>0</v>
      </c>
      <c r="Y91" s="10">
        <v>91</v>
      </c>
      <c r="Z91" s="10">
        <f>IF(Y91&lt;&gt;_xlfn.MINIFS('Draft Board'!$Y$2:$Y$161,'Draft Board'!$X$2:$X$161,"="&amp;X91),0,IF(_xlfn.MINIFS('Draft Board'!$X$2:$X$161,'Draft Board'!$X$2:$X$161,"&gt;"&amp;X91)=0,1,IF((_xlfn.MINIFS('Draft Board'!$X$2:$X$161,'Draft Board'!$X$2:$X$161,"&gt;"&amp;X91)-X91)/_xlfn.MINIFS('Draft Board'!$X$2:$X$161,'Draft Board'!$X$2:$X$161,"&gt;"&amp;X91)&gt;0.08,1,0)))</f>
        <v>0</v>
      </c>
      <c r="AA91" s="10">
        <f>_xlfn.MINIFS('Draft Board'!$X$2:$X$161,'Draft Board'!$X$2:$X$161,"&gt;="&amp;X91,'Draft Board'!$Z$2:$Z$161,1)</f>
        <v>0</v>
      </c>
      <c r="AB91" s="10">
        <f>IF(Y91&lt;&gt;_xlfn.MINIFS('Draft Board'!$Y$2:$Y$161,'Draft Board'!$X$2:$X$161,"="&amp;X91),0,IF(OR(Z91=1,IFERROR(FLOOR((AA91-X91)/AA91/0.25,1),0)&lt;&gt;IFERROR(FLOOR((AA91-_xlfn.MINIFS('Draft Board'!$X$2:$X$161,'Draft Board'!$X$2:$X$161,"&gt;"&amp;X91))/AA91/0.25,1),0)),1,0))</f>
        <v>0</v>
      </c>
      <c r="AC91" s="10">
        <f>ROUND(1+X91*'Live Calc'!$D$27,0)</f>
        <v>1</v>
      </c>
      <c r="AD91" s="10"/>
      <c r="AE91" s="10">
        <f>IF(AD91&lt;&gt;"",AD91,ROUND(AC91*INDEX('Live Calc'!$G$96:$G$255,MATCH(W91,'Live Calc'!$A$96:$A$255,0))*'Live Calc'!$J$543,0))</f>
        <v>1</v>
      </c>
      <c r="AG91" s="11" t="s">
        <v>412</v>
      </c>
      <c r="AH91" s="11" t="s">
        <v>69</v>
      </c>
      <c r="AI91" s="11">
        <v>47.914000000000001</v>
      </c>
      <c r="AJ91" s="11">
        <v>65.346000000000004</v>
      </c>
      <c r="AK91" s="11">
        <v>83.171999999999997</v>
      </c>
      <c r="AL91" s="11">
        <f>CHOOSE(MATCH(Setup!$B$7,{"STD","Half-PPR","PPR"},0),AI91,AJ91,AK91)</f>
        <v>65.346000000000004</v>
      </c>
      <c r="AM91" s="11">
        <f>COUNTIFS('Draft Board'!$AN$2:$AN$193,"&gt;="&amp;AN91,'Draft Board'!$AR$2:$AR$193,1)</f>
        <v>20</v>
      </c>
      <c r="AN91" s="11">
        <f>MAX(0,AL91-'Live Calc'!$H$21)^'Live Calc'!$E$21</f>
        <v>0</v>
      </c>
      <c r="AO91" s="11">
        <v>91</v>
      </c>
      <c r="AP91" s="11">
        <f>IF(AO91&lt;&gt;_xlfn.MINIFS('Draft Board'!$AO$2:$AO$193,'Draft Board'!$AN$2:$AN$193,"="&amp;AN91),0,IF(_xlfn.MINIFS('Draft Board'!$AN$2:$AN$193,'Draft Board'!$AN$2:$AN$193,"&gt;"&amp;AN91)=0,1,IF((_xlfn.MINIFS('Draft Board'!$AN$2:$AN$193,'Draft Board'!$AN$2:$AN$193,"&gt;"&amp;AN91)-AN91)/_xlfn.MINIFS('Draft Board'!$AN$2:$AN$193,'Draft Board'!$AN$2:$AN$193,"&gt;"&amp;AN91)&gt;0.08,1,0)))</f>
        <v>0</v>
      </c>
      <c r="AQ91" s="11">
        <f>_xlfn.MINIFS('Draft Board'!$AN$2:$AN$193,'Draft Board'!$AN$2:$AN$193,"&gt;="&amp;AN91,'Draft Board'!$AP$2:$AP$193,1)</f>
        <v>0</v>
      </c>
      <c r="AR91" s="11">
        <f>IF(AO91&lt;&gt;_xlfn.MINIFS('Draft Board'!$AO$2:$AO$193,'Draft Board'!$AN$2:$AN$193,"="&amp;AN91),0,IF(OR(AP91=1,IFERROR(FLOOR((AQ91-AN91)/AQ91/0.25,1),0)&lt;&gt;IFERROR(FLOOR((AQ91-_xlfn.MINIFS('Draft Board'!$AN$2:$AN$193,'Draft Board'!$AN$2:$AN$193,"&gt;"&amp;AN91))/AQ91/0.25,1),0)),1,0))</f>
        <v>0</v>
      </c>
      <c r="AS91" s="11">
        <f>ROUND(1+AN91*'Live Calc'!$D$28,0)</f>
        <v>1</v>
      </c>
      <c r="AT91" s="11"/>
      <c r="AU91" s="11">
        <f>IF(AT91&lt;&gt;"",AT91,ROUND(AS91*INDEX('Live Calc'!$G$259:$G$450,MATCH(AM91,'Live Calc'!$A$259:$A$450,0))*'Live Calc'!$J$543,0))</f>
        <v>1</v>
      </c>
    </row>
    <row r="92" spans="17:63" x14ac:dyDescent="0.25">
      <c r="Q92" s="10" t="s">
        <v>413</v>
      </c>
      <c r="R92" s="10" t="s">
        <v>149</v>
      </c>
      <c r="S92" s="10">
        <v>28.09</v>
      </c>
      <c r="T92" s="10">
        <v>31.04</v>
      </c>
      <c r="U92" s="10">
        <v>33.99</v>
      </c>
      <c r="V92" s="10">
        <f>CHOOSE(MATCH(Setup!$B$7,{"STD","Half-PPR","PPR"},0),S92,T92,U92)</f>
        <v>31.04</v>
      </c>
      <c r="W92" s="10">
        <f>COUNTIFS('Draft Board'!$X$2:$X$161,"&gt;="&amp;X92,'Draft Board'!$AB$2:$AB$161,1)</f>
        <v>14</v>
      </c>
      <c r="X92" s="10">
        <f>MAX(0,V92-'Live Calc'!$H$20)^'Live Calc'!$E$20</f>
        <v>0</v>
      </c>
      <c r="Y92" s="10">
        <v>92</v>
      </c>
      <c r="Z92" s="10">
        <f>IF(Y92&lt;&gt;_xlfn.MINIFS('Draft Board'!$Y$2:$Y$161,'Draft Board'!$X$2:$X$161,"="&amp;X92),0,IF(_xlfn.MINIFS('Draft Board'!$X$2:$X$161,'Draft Board'!$X$2:$X$161,"&gt;"&amp;X92)=0,1,IF((_xlfn.MINIFS('Draft Board'!$X$2:$X$161,'Draft Board'!$X$2:$X$161,"&gt;"&amp;X92)-X92)/_xlfn.MINIFS('Draft Board'!$X$2:$X$161,'Draft Board'!$X$2:$X$161,"&gt;"&amp;X92)&gt;0.08,1,0)))</f>
        <v>0</v>
      </c>
      <c r="AA92" s="10">
        <f>_xlfn.MINIFS('Draft Board'!$X$2:$X$161,'Draft Board'!$X$2:$X$161,"&gt;="&amp;X92,'Draft Board'!$Z$2:$Z$161,1)</f>
        <v>0</v>
      </c>
      <c r="AB92" s="10">
        <f>IF(Y92&lt;&gt;_xlfn.MINIFS('Draft Board'!$Y$2:$Y$161,'Draft Board'!$X$2:$X$161,"="&amp;X92),0,IF(OR(Z92=1,IFERROR(FLOOR((AA92-X92)/AA92/0.25,1),0)&lt;&gt;IFERROR(FLOOR((AA92-_xlfn.MINIFS('Draft Board'!$X$2:$X$161,'Draft Board'!$X$2:$X$161,"&gt;"&amp;X92))/AA92/0.25,1),0)),1,0))</f>
        <v>0</v>
      </c>
      <c r="AC92" s="10">
        <f>ROUND(1+X92*'Live Calc'!$D$27,0)</f>
        <v>1</v>
      </c>
      <c r="AD92" s="10"/>
      <c r="AE92" s="10">
        <f>IF(AD92&lt;&gt;"",AD92,ROUND(AC92*INDEX('Live Calc'!$G$96:$G$255,MATCH(W92,'Live Calc'!$A$96:$A$255,0))*'Live Calc'!$J$543,0))</f>
        <v>1</v>
      </c>
      <c r="AG92" s="11" t="s">
        <v>414</v>
      </c>
      <c r="AH92" s="11" t="s">
        <v>65</v>
      </c>
      <c r="AI92" s="11">
        <v>49.76</v>
      </c>
      <c r="AJ92" s="11">
        <v>65.132000000000005</v>
      </c>
      <c r="AK92" s="11">
        <v>80.578000000000003</v>
      </c>
      <c r="AL92" s="11">
        <f>CHOOSE(MATCH(Setup!$B$7,{"STD","Half-PPR","PPR"},0),AI92,AJ92,AK92)</f>
        <v>65.132000000000005</v>
      </c>
      <c r="AM92" s="11">
        <f>COUNTIFS('Draft Board'!$AN$2:$AN$193,"&gt;="&amp;AN92,'Draft Board'!$AR$2:$AR$193,1)</f>
        <v>20</v>
      </c>
      <c r="AN92" s="11">
        <f>MAX(0,AL92-'Live Calc'!$H$21)^'Live Calc'!$E$21</f>
        <v>0</v>
      </c>
      <c r="AO92" s="11">
        <v>92</v>
      </c>
      <c r="AP92" s="11">
        <f>IF(AO92&lt;&gt;_xlfn.MINIFS('Draft Board'!$AO$2:$AO$193,'Draft Board'!$AN$2:$AN$193,"="&amp;AN92),0,IF(_xlfn.MINIFS('Draft Board'!$AN$2:$AN$193,'Draft Board'!$AN$2:$AN$193,"&gt;"&amp;AN92)=0,1,IF((_xlfn.MINIFS('Draft Board'!$AN$2:$AN$193,'Draft Board'!$AN$2:$AN$193,"&gt;"&amp;AN92)-AN92)/_xlfn.MINIFS('Draft Board'!$AN$2:$AN$193,'Draft Board'!$AN$2:$AN$193,"&gt;"&amp;AN92)&gt;0.08,1,0)))</f>
        <v>0</v>
      </c>
      <c r="AQ92" s="11">
        <f>_xlfn.MINIFS('Draft Board'!$AN$2:$AN$193,'Draft Board'!$AN$2:$AN$193,"&gt;="&amp;AN92,'Draft Board'!$AP$2:$AP$193,1)</f>
        <v>0</v>
      </c>
      <c r="AR92" s="11">
        <f>IF(AO92&lt;&gt;_xlfn.MINIFS('Draft Board'!$AO$2:$AO$193,'Draft Board'!$AN$2:$AN$193,"="&amp;AN92),0,IF(OR(AP92=1,IFERROR(FLOOR((AQ92-AN92)/AQ92/0.25,1),0)&lt;&gt;IFERROR(FLOOR((AQ92-_xlfn.MINIFS('Draft Board'!$AN$2:$AN$193,'Draft Board'!$AN$2:$AN$193,"&gt;"&amp;AN92))/AQ92/0.25,1),0)),1,0))</f>
        <v>0</v>
      </c>
      <c r="AS92" s="11">
        <f>ROUND(1+AN92*'Live Calc'!$D$28,0)</f>
        <v>1</v>
      </c>
      <c r="AT92" s="11"/>
      <c r="AU92" s="11">
        <f>IF(AT92&lt;&gt;"",AT92,ROUND(AS92*INDEX('Live Calc'!$G$259:$G$450,MATCH(AM92,'Live Calc'!$A$259:$A$450,0))*'Live Calc'!$J$543,0))</f>
        <v>1</v>
      </c>
    </row>
    <row r="93" spans="17:63" x14ac:dyDescent="0.25">
      <c r="Q93" s="10" t="s">
        <v>415</v>
      </c>
      <c r="R93" s="10" t="s">
        <v>79</v>
      </c>
      <c r="S93" s="10">
        <v>25.388000000000002</v>
      </c>
      <c r="T93" s="10">
        <v>29.795999999999999</v>
      </c>
      <c r="U93" s="10">
        <v>34.54</v>
      </c>
      <c r="V93" s="10">
        <f>CHOOSE(MATCH(Setup!$B$7,{"STD","Half-PPR","PPR"},0),S93,T93,U93)</f>
        <v>29.795999999999999</v>
      </c>
      <c r="W93" s="10">
        <f>COUNTIFS('Draft Board'!$X$2:$X$161,"&gt;="&amp;X93,'Draft Board'!$AB$2:$AB$161,1)</f>
        <v>14</v>
      </c>
      <c r="X93" s="10">
        <f>MAX(0,V93-'Live Calc'!$H$20)^'Live Calc'!$E$20</f>
        <v>0</v>
      </c>
      <c r="Y93" s="10">
        <v>93</v>
      </c>
      <c r="Z93" s="10">
        <f>IF(Y93&lt;&gt;_xlfn.MINIFS('Draft Board'!$Y$2:$Y$161,'Draft Board'!$X$2:$X$161,"="&amp;X93),0,IF(_xlfn.MINIFS('Draft Board'!$X$2:$X$161,'Draft Board'!$X$2:$X$161,"&gt;"&amp;X93)=0,1,IF((_xlfn.MINIFS('Draft Board'!$X$2:$X$161,'Draft Board'!$X$2:$X$161,"&gt;"&amp;X93)-X93)/_xlfn.MINIFS('Draft Board'!$X$2:$X$161,'Draft Board'!$X$2:$X$161,"&gt;"&amp;X93)&gt;0.08,1,0)))</f>
        <v>0</v>
      </c>
      <c r="AA93" s="10">
        <f>_xlfn.MINIFS('Draft Board'!$X$2:$X$161,'Draft Board'!$X$2:$X$161,"&gt;="&amp;X93,'Draft Board'!$Z$2:$Z$161,1)</f>
        <v>0</v>
      </c>
      <c r="AB93" s="10">
        <f>IF(Y93&lt;&gt;_xlfn.MINIFS('Draft Board'!$Y$2:$Y$161,'Draft Board'!$X$2:$X$161,"="&amp;X93),0,IF(OR(Z93=1,IFERROR(FLOOR((AA93-X93)/AA93/0.25,1),0)&lt;&gt;IFERROR(FLOOR((AA93-_xlfn.MINIFS('Draft Board'!$X$2:$X$161,'Draft Board'!$X$2:$X$161,"&gt;"&amp;X93))/AA93/0.25,1),0)),1,0))</f>
        <v>0</v>
      </c>
      <c r="AC93" s="10">
        <f>ROUND(1+X93*'Live Calc'!$D$27,0)</f>
        <v>1</v>
      </c>
      <c r="AD93" s="10"/>
      <c r="AE93" s="10">
        <f>IF(AD93&lt;&gt;"",AD93,ROUND(AC93*INDEX('Live Calc'!$G$96:$G$255,MATCH(W93,'Live Calc'!$A$96:$A$255,0))*'Live Calc'!$J$543,0))</f>
        <v>1</v>
      </c>
      <c r="AG93" s="11" t="s">
        <v>416</v>
      </c>
      <c r="AH93" s="11" t="s">
        <v>246</v>
      </c>
      <c r="AI93" s="11">
        <v>50.923999999999999</v>
      </c>
      <c r="AJ93" s="11">
        <v>65.117999999999995</v>
      </c>
      <c r="AK93" s="11">
        <v>78.89</v>
      </c>
      <c r="AL93" s="11">
        <f>CHOOSE(MATCH(Setup!$B$7,{"STD","Half-PPR","PPR"},0),AI93,AJ93,AK93)</f>
        <v>65.117999999999995</v>
      </c>
      <c r="AM93" s="11">
        <f>COUNTIFS('Draft Board'!$AN$2:$AN$193,"&gt;="&amp;AN93,'Draft Board'!$AR$2:$AR$193,1)</f>
        <v>20</v>
      </c>
      <c r="AN93" s="11">
        <f>MAX(0,AL93-'Live Calc'!$H$21)^'Live Calc'!$E$21</f>
        <v>0</v>
      </c>
      <c r="AO93" s="11">
        <v>93</v>
      </c>
      <c r="AP93" s="11">
        <f>IF(AO93&lt;&gt;_xlfn.MINIFS('Draft Board'!$AO$2:$AO$193,'Draft Board'!$AN$2:$AN$193,"="&amp;AN93),0,IF(_xlfn.MINIFS('Draft Board'!$AN$2:$AN$193,'Draft Board'!$AN$2:$AN$193,"&gt;"&amp;AN93)=0,1,IF((_xlfn.MINIFS('Draft Board'!$AN$2:$AN$193,'Draft Board'!$AN$2:$AN$193,"&gt;"&amp;AN93)-AN93)/_xlfn.MINIFS('Draft Board'!$AN$2:$AN$193,'Draft Board'!$AN$2:$AN$193,"&gt;"&amp;AN93)&gt;0.08,1,0)))</f>
        <v>0</v>
      </c>
      <c r="AQ93" s="11">
        <f>_xlfn.MINIFS('Draft Board'!$AN$2:$AN$193,'Draft Board'!$AN$2:$AN$193,"&gt;="&amp;AN93,'Draft Board'!$AP$2:$AP$193,1)</f>
        <v>0</v>
      </c>
      <c r="AR93" s="11">
        <f>IF(AO93&lt;&gt;_xlfn.MINIFS('Draft Board'!$AO$2:$AO$193,'Draft Board'!$AN$2:$AN$193,"="&amp;AN93),0,IF(OR(AP93=1,IFERROR(FLOOR((AQ93-AN93)/AQ93/0.25,1),0)&lt;&gt;IFERROR(FLOOR((AQ93-_xlfn.MINIFS('Draft Board'!$AN$2:$AN$193,'Draft Board'!$AN$2:$AN$193,"&gt;"&amp;AN93))/AQ93/0.25,1),0)),1,0))</f>
        <v>0</v>
      </c>
      <c r="AS93" s="11">
        <f>ROUND(1+AN93*'Live Calc'!$D$28,0)</f>
        <v>1</v>
      </c>
      <c r="AT93" s="11"/>
      <c r="AU93" s="11">
        <f>IF(AT93&lt;&gt;"",AT93,ROUND(AS93*INDEX('Live Calc'!$G$259:$G$450,MATCH(AM93,'Live Calc'!$A$259:$A$450,0))*'Live Calc'!$J$543,0))</f>
        <v>1</v>
      </c>
    </row>
    <row r="94" spans="17:63" x14ac:dyDescent="0.25">
      <c r="Q94" s="10" t="s">
        <v>417</v>
      </c>
      <c r="R94" s="10" t="s">
        <v>246</v>
      </c>
      <c r="S94" s="10">
        <v>23.914000000000001</v>
      </c>
      <c r="T94" s="10">
        <v>27.66</v>
      </c>
      <c r="U94" s="10">
        <v>31.29</v>
      </c>
      <c r="V94" s="10">
        <f>CHOOSE(MATCH(Setup!$B$7,{"STD","Half-PPR","PPR"},0),S94,T94,U94)</f>
        <v>27.66</v>
      </c>
      <c r="W94" s="10">
        <f>COUNTIFS('Draft Board'!$X$2:$X$161,"&gt;="&amp;X94,'Draft Board'!$AB$2:$AB$161,1)</f>
        <v>14</v>
      </c>
      <c r="X94" s="10">
        <f>MAX(0,V94-'Live Calc'!$H$20)^'Live Calc'!$E$20</f>
        <v>0</v>
      </c>
      <c r="Y94" s="10">
        <v>94</v>
      </c>
      <c r="Z94" s="10">
        <f>IF(Y94&lt;&gt;_xlfn.MINIFS('Draft Board'!$Y$2:$Y$161,'Draft Board'!$X$2:$X$161,"="&amp;X94),0,IF(_xlfn.MINIFS('Draft Board'!$X$2:$X$161,'Draft Board'!$X$2:$X$161,"&gt;"&amp;X94)=0,1,IF((_xlfn.MINIFS('Draft Board'!$X$2:$X$161,'Draft Board'!$X$2:$X$161,"&gt;"&amp;X94)-X94)/_xlfn.MINIFS('Draft Board'!$X$2:$X$161,'Draft Board'!$X$2:$X$161,"&gt;"&amp;X94)&gt;0.08,1,0)))</f>
        <v>0</v>
      </c>
      <c r="AA94" s="10">
        <f>_xlfn.MINIFS('Draft Board'!$X$2:$X$161,'Draft Board'!$X$2:$X$161,"&gt;="&amp;X94,'Draft Board'!$Z$2:$Z$161,1)</f>
        <v>0</v>
      </c>
      <c r="AB94" s="10">
        <f>IF(Y94&lt;&gt;_xlfn.MINIFS('Draft Board'!$Y$2:$Y$161,'Draft Board'!$X$2:$X$161,"="&amp;X94),0,IF(OR(Z94=1,IFERROR(FLOOR((AA94-X94)/AA94/0.25,1),0)&lt;&gt;IFERROR(FLOOR((AA94-_xlfn.MINIFS('Draft Board'!$X$2:$X$161,'Draft Board'!$X$2:$X$161,"&gt;"&amp;X94))/AA94/0.25,1),0)),1,0))</f>
        <v>0</v>
      </c>
      <c r="AC94" s="10">
        <f>ROUND(1+X94*'Live Calc'!$D$27,0)</f>
        <v>1</v>
      </c>
      <c r="AD94" s="10"/>
      <c r="AE94" s="10">
        <f>IF(AD94&lt;&gt;"",AD94,ROUND(AC94*INDEX('Live Calc'!$G$96:$G$255,MATCH(W94,'Live Calc'!$A$96:$A$255,0))*'Live Calc'!$J$543,0))</f>
        <v>1</v>
      </c>
      <c r="AG94" s="11" t="s">
        <v>418</v>
      </c>
      <c r="AH94" s="11" t="s">
        <v>73</v>
      </c>
      <c r="AI94" s="11">
        <v>48.124000000000002</v>
      </c>
      <c r="AJ94" s="11">
        <v>63.868000000000002</v>
      </c>
      <c r="AK94" s="11">
        <v>79.331999999999994</v>
      </c>
      <c r="AL94" s="11">
        <f>CHOOSE(MATCH(Setup!$B$7,{"STD","Half-PPR","PPR"},0),AI94,AJ94,AK94)</f>
        <v>63.868000000000002</v>
      </c>
      <c r="AM94" s="11">
        <f>COUNTIFS('Draft Board'!$AN$2:$AN$193,"&gt;="&amp;AN94,'Draft Board'!$AR$2:$AR$193,1)</f>
        <v>20</v>
      </c>
      <c r="AN94" s="11">
        <f>MAX(0,AL94-'Live Calc'!$H$21)^'Live Calc'!$E$21</f>
        <v>0</v>
      </c>
      <c r="AO94" s="11">
        <v>94</v>
      </c>
      <c r="AP94" s="11">
        <f>IF(AO94&lt;&gt;_xlfn.MINIFS('Draft Board'!$AO$2:$AO$193,'Draft Board'!$AN$2:$AN$193,"="&amp;AN94),0,IF(_xlfn.MINIFS('Draft Board'!$AN$2:$AN$193,'Draft Board'!$AN$2:$AN$193,"&gt;"&amp;AN94)=0,1,IF((_xlfn.MINIFS('Draft Board'!$AN$2:$AN$193,'Draft Board'!$AN$2:$AN$193,"&gt;"&amp;AN94)-AN94)/_xlfn.MINIFS('Draft Board'!$AN$2:$AN$193,'Draft Board'!$AN$2:$AN$193,"&gt;"&amp;AN94)&gt;0.08,1,0)))</f>
        <v>0</v>
      </c>
      <c r="AQ94" s="11">
        <f>_xlfn.MINIFS('Draft Board'!$AN$2:$AN$193,'Draft Board'!$AN$2:$AN$193,"&gt;="&amp;AN94,'Draft Board'!$AP$2:$AP$193,1)</f>
        <v>0</v>
      </c>
      <c r="AR94" s="11">
        <f>IF(AO94&lt;&gt;_xlfn.MINIFS('Draft Board'!$AO$2:$AO$193,'Draft Board'!$AN$2:$AN$193,"="&amp;AN94),0,IF(OR(AP94=1,IFERROR(FLOOR((AQ94-AN94)/AQ94/0.25,1),0)&lt;&gt;IFERROR(FLOOR((AQ94-_xlfn.MINIFS('Draft Board'!$AN$2:$AN$193,'Draft Board'!$AN$2:$AN$193,"&gt;"&amp;AN94))/AQ94/0.25,1),0)),1,0))</f>
        <v>0</v>
      </c>
      <c r="AS94" s="11">
        <f>ROUND(1+AN94*'Live Calc'!$D$28,0)</f>
        <v>1</v>
      </c>
      <c r="AT94" s="11"/>
      <c r="AU94" s="11">
        <f>IF(AT94&lt;&gt;"",AT94,ROUND(AS94*INDEX('Live Calc'!$G$259:$G$450,MATCH(AM94,'Live Calc'!$A$259:$A$450,0))*'Live Calc'!$J$543,0))</f>
        <v>1</v>
      </c>
    </row>
    <row r="95" spans="17:63" x14ac:dyDescent="0.25">
      <c r="Q95" s="10" t="s">
        <v>419</v>
      </c>
      <c r="R95" s="10" t="s">
        <v>61</v>
      </c>
      <c r="S95" s="10">
        <v>23.308</v>
      </c>
      <c r="T95" s="10">
        <v>26.856000000000002</v>
      </c>
      <c r="U95" s="10">
        <v>30.161999999999999</v>
      </c>
      <c r="V95" s="10">
        <f>CHOOSE(MATCH(Setup!$B$7,{"STD","Half-PPR","PPR"},0),S95,T95,U95)</f>
        <v>26.856000000000002</v>
      </c>
      <c r="W95" s="10">
        <f>COUNTIFS('Draft Board'!$X$2:$X$161,"&gt;="&amp;X95,'Draft Board'!$AB$2:$AB$161,1)</f>
        <v>14</v>
      </c>
      <c r="X95" s="10">
        <f>MAX(0,V95-'Live Calc'!$H$20)^'Live Calc'!$E$20</f>
        <v>0</v>
      </c>
      <c r="Y95" s="10">
        <v>95</v>
      </c>
      <c r="Z95" s="10">
        <f>IF(Y95&lt;&gt;_xlfn.MINIFS('Draft Board'!$Y$2:$Y$161,'Draft Board'!$X$2:$X$161,"="&amp;X95),0,IF(_xlfn.MINIFS('Draft Board'!$X$2:$X$161,'Draft Board'!$X$2:$X$161,"&gt;"&amp;X95)=0,1,IF((_xlfn.MINIFS('Draft Board'!$X$2:$X$161,'Draft Board'!$X$2:$X$161,"&gt;"&amp;X95)-X95)/_xlfn.MINIFS('Draft Board'!$X$2:$X$161,'Draft Board'!$X$2:$X$161,"&gt;"&amp;X95)&gt;0.08,1,0)))</f>
        <v>0</v>
      </c>
      <c r="AA95" s="10">
        <f>_xlfn.MINIFS('Draft Board'!$X$2:$X$161,'Draft Board'!$X$2:$X$161,"&gt;="&amp;X95,'Draft Board'!$Z$2:$Z$161,1)</f>
        <v>0</v>
      </c>
      <c r="AB95" s="10">
        <f>IF(Y95&lt;&gt;_xlfn.MINIFS('Draft Board'!$Y$2:$Y$161,'Draft Board'!$X$2:$X$161,"="&amp;X95),0,IF(OR(Z95=1,IFERROR(FLOOR((AA95-X95)/AA95/0.25,1),0)&lt;&gt;IFERROR(FLOOR((AA95-_xlfn.MINIFS('Draft Board'!$X$2:$X$161,'Draft Board'!$X$2:$X$161,"&gt;"&amp;X95))/AA95/0.25,1),0)),1,0))</f>
        <v>0</v>
      </c>
      <c r="AC95" s="10">
        <f>ROUND(1+X95*'Live Calc'!$D$27,0)</f>
        <v>1</v>
      </c>
      <c r="AD95" s="10"/>
      <c r="AE95" s="10">
        <f>IF(AD95&lt;&gt;"",AD95,ROUND(AC95*INDEX('Live Calc'!$G$96:$G$255,MATCH(W95,'Live Calc'!$A$96:$A$255,0))*'Live Calc'!$J$543,0))</f>
        <v>1</v>
      </c>
      <c r="AG95" s="11" t="s">
        <v>420</v>
      </c>
      <c r="AH95" s="11" t="s">
        <v>93</v>
      </c>
      <c r="AI95" s="11">
        <v>48.747999999999998</v>
      </c>
      <c r="AJ95" s="11">
        <v>63.591999999999999</v>
      </c>
      <c r="AK95" s="11">
        <v>78.745999999999995</v>
      </c>
      <c r="AL95" s="11">
        <f>CHOOSE(MATCH(Setup!$B$7,{"STD","Half-PPR","PPR"},0),AI95,AJ95,AK95)</f>
        <v>63.591999999999999</v>
      </c>
      <c r="AM95" s="11">
        <f>COUNTIFS('Draft Board'!$AN$2:$AN$193,"&gt;="&amp;AN95,'Draft Board'!$AR$2:$AR$193,1)</f>
        <v>20</v>
      </c>
      <c r="AN95" s="11">
        <f>MAX(0,AL95-'Live Calc'!$H$21)^'Live Calc'!$E$21</f>
        <v>0</v>
      </c>
      <c r="AO95" s="11">
        <v>95</v>
      </c>
      <c r="AP95" s="11">
        <f>IF(AO95&lt;&gt;_xlfn.MINIFS('Draft Board'!$AO$2:$AO$193,'Draft Board'!$AN$2:$AN$193,"="&amp;AN95),0,IF(_xlfn.MINIFS('Draft Board'!$AN$2:$AN$193,'Draft Board'!$AN$2:$AN$193,"&gt;"&amp;AN95)=0,1,IF((_xlfn.MINIFS('Draft Board'!$AN$2:$AN$193,'Draft Board'!$AN$2:$AN$193,"&gt;"&amp;AN95)-AN95)/_xlfn.MINIFS('Draft Board'!$AN$2:$AN$193,'Draft Board'!$AN$2:$AN$193,"&gt;"&amp;AN95)&gt;0.08,1,0)))</f>
        <v>0</v>
      </c>
      <c r="AQ95" s="11">
        <f>_xlfn.MINIFS('Draft Board'!$AN$2:$AN$193,'Draft Board'!$AN$2:$AN$193,"&gt;="&amp;AN95,'Draft Board'!$AP$2:$AP$193,1)</f>
        <v>0</v>
      </c>
      <c r="AR95" s="11">
        <f>IF(AO95&lt;&gt;_xlfn.MINIFS('Draft Board'!$AO$2:$AO$193,'Draft Board'!$AN$2:$AN$193,"="&amp;AN95),0,IF(OR(AP95=1,IFERROR(FLOOR((AQ95-AN95)/AQ95/0.25,1),0)&lt;&gt;IFERROR(FLOOR((AQ95-_xlfn.MINIFS('Draft Board'!$AN$2:$AN$193,'Draft Board'!$AN$2:$AN$193,"&gt;"&amp;AN95))/AQ95/0.25,1),0)),1,0))</f>
        <v>0</v>
      </c>
      <c r="AS95" s="11">
        <f>ROUND(1+AN95*'Live Calc'!$D$28,0)</f>
        <v>1</v>
      </c>
      <c r="AT95" s="11"/>
      <c r="AU95" s="11">
        <f>IF(AT95&lt;&gt;"",AT95,ROUND(AS95*INDEX('Live Calc'!$G$259:$G$450,MATCH(AM95,'Live Calc'!$A$259:$A$450,0))*'Live Calc'!$J$543,0))</f>
        <v>1</v>
      </c>
    </row>
    <row r="96" spans="17:63" x14ac:dyDescent="0.25">
      <c r="Q96" s="10" t="s">
        <v>421</v>
      </c>
      <c r="R96" s="10" t="s">
        <v>79</v>
      </c>
      <c r="S96" s="10">
        <v>21.611999999999998</v>
      </c>
      <c r="T96" s="10">
        <v>25.81</v>
      </c>
      <c r="U96" s="10">
        <v>27.776</v>
      </c>
      <c r="V96" s="10">
        <f>CHOOSE(MATCH(Setup!$B$7,{"STD","Half-PPR","PPR"},0),S96,T96,U96)</f>
        <v>25.81</v>
      </c>
      <c r="W96" s="10">
        <f>COUNTIFS('Draft Board'!$X$2:$X$161,"&gt;="&amp;X96,'Draft Board'!$AB$2:$AB$161,1)</f>
        <v>14</v>
      </c>
      <c r="X96" s="10">
        <f>MAX(0,V96-'Live Calc'!$H$20)^'Live Calc'!$E$20</f>
        <v>0</v>
      </c>
      <c r="Y96" s="10">
        <v>96</v>
      </c>
      <c r="Z96" s="10">
        <f>IF(Y96&lt;&gt;_xlfn.MINIFS('Draft Board'!$Y$2:$Y$161,'Draft Board'!$X$2:$X$161,"="&amp;X96),0,IF(_xlfn.MINIFS('Draft Board'!$X$2:$X$161,'Draft Board'!$X$2:$X$161,"&gt;"&amp;X96)=0,1,IF((_xlfn.MINIFS('Draft Board'!$X$2:$X$161,'Draft Board'!$X$2:$X$161,"&gt;"&amp;X96)-X96)/_xlfn.MINIFS('Draft Board'!$X$2:$X$161,'Draft Board'!$X$2:$X$161,"&gt;"&amp;X96)&gt;0.08,1,0)))</f>
        <v>0</v>
      </c>
      <c r="AA96" s="10">
        <f>_xlfn.MINIFS('Draft Board'!$X$2:$X$161,'Draft Board'!$X$2:$X$161,"&gt;="&amp;X96,'Draft Board'!$Z$2:$Z$161,1)</f>
        <v>0</v>
      </c>
      <c r="AB96" s="10">
        <f>IF(Y96&lt;&gt;_xlfn.MINIFS('Draft Board'!$Y$2:$Y$161,'Draft Board'!$X$2:$X$161,"="&amp;X96),0,IF(OR(Z96=1,IFERROR(FLOOR((AA96-X96)/AA96/0.25,1),0)&lt;&gt;IFERROR(FLOOR((AA96-_xlfn.MINIFS('Draft Board'!$X$2:$X$161,'Draft Board'!$X$2:$X$161,"&gt;"&amp;X96))/AA96/0.25,1),0)),1,0))</f>
        <v>0</v>
      </c>
      <c r="AC96" s="10">
        <f>ROUND(1+X96*'Live Calc'!$D$27,0)</f>
        <v>1</v>
      </c>
      <c r="AD96" s="10"/>
      <c r="AE96" s="10">
        <f>IF(AD96&lt;&gt;"",AD96,ROUND(AC96*INDEX('Live Calc'!$G$96:$G$255,MATCH(W96,'Live Calc'!$A$96:$A$255,0))*'Live Calc'!$J$543,0))</f>
        <v>1</v>
      </c>
      <c r="AG96" s="11" t="s">
        <v>422</v>
      </c>
      <c r="AH96" s="11" t="s">
        <v>126</v>
      </c>
      <c r="AI96" s="11">
        <v>48.548000000000002</v>
      </c>
      <c r="AJ96" s="11">
        <v>63.503999999999998</v>
      </c>
      <c r="AK96" s="11">
        <v>78.510000000000005</v>
      </c>
      <c r="AL96" s="11">
        <f>CHOOSE(MATCH(Setup!$B$7,{"STD","Half-PPR","PPR"},0),AI96,AJ96,AK96)</f>
        <v>63.503999999999998</v>
      </c>
      <c r="AM96" s="11">
        <f>COUNTIFS('Draft Board'!$AN$2:$AN$193,"&gt;="&amp;AN96,'Draft Board'!$AR$2:$AR$193,1)</f>
        <v>20</v>
      </c>
      <c r="AN96" s="11">
        <f>MAX(0,AL96-'Live Calc'!$H$21)^'Live Calc'!$E$21</f>
        <v>0</v>
      </c>
      <c r="AO96" s="11">
        <v>96</v>
      </c>
      <c r="AP96" s="11">
        <f>IF(AO96&lt;&gt;_xlfn.MINIFS('Draft Board'!$AO$2:$AO$193,'Draft Board'!$AN$2:$AN$193,"="&amp;AN96),0,IF(_xlfn.MINIFS('Draft Board'!$AN$2:$AN$193,'Draft Board'!$AN$2:$AN$193,"&gt;"&amp;AN96)=0,1,IF((_xlfn.MINIFS('Draft Board'!$AN$2:$AN$193,'Draft Board'!$AN$2:$AN$193,"&gt;"&amp;AN96)-AN96)/_xlfn.MINIFS('Draft Board'!$AN$2:$AN$193,'Draft Board'!$AN$2:$AN$193,"&gt;"&amp;AN96)&gt;0.08,1,0)))</f>
        <v>0</v>
      </c>
      <c r="AQ96" s="11">
        <f>_xlfn.MINIFS('Draft Board'!$AN$2:$AN$193,'Draft Board'!$AN$2:$AN$193,"&gt;="&amp;AN96,'Draft Board'!$AP$2:$AP$193,1)</f>
        <v>0</v>
      </c>
      <c r="AR96" s="11">
        <f>IF(AO96&lt;&gt;_xlfn.MINIFS('Draft Board'!$AO$2:$AO$193,'Draft Board'!$AN$2:$AN$193,"="&amp;AN96),0,IF(OR(AP96=1,IFERROR(FLOOR((AQ96-AN96)/AQ96/0.25,1),0)&lt;&gt;IFERROR(FLOOR((AQ96-_xlfn.MINIFS('Draft Board'!$AN$2:$AN$193,'Draft Board'!$AN$2:$AN$193,"&gt;"&amp;AN96))/AQ96/0.25,1),0)),1,0))</f>
        <v>0</v>
      </c>
      <c r="AS96" s="11">
        <f>ROUND(1+AN96*'Live Calc'!$D$28,0)</f>
        <v>1</v>
      </c>
      <c r="AT96" s="11"/>
      <c r="AU96" s="11">
        <f>IF(AT96&lt;&gt;"",AT96,ROUND(AS96*INDEX('Live Calc'!$G$259:$G$450,MATCH(AM96,'Live Calc'!$A$259:$A$450,0))*'Live Calc'!$J$543,0))</f>
        <v>1</v>
      </c>
    </row>
    <row r="97" spans="17:47" x14ac:dyDescent="0.25">
      <c r="Q97" s="10" t="s">
        <v>423</v>
      </c>
      <c r="R97" s="10" t="s">
        <v>185</v>
      </c>
      <c r="S97" s="10">
        <v>23.07</v>
      </c>
      <c r="T97" s="10">
        <v>25.306000000000001</v>
      </c>
      <c r="U97" s="10">
        <v>27.484000000000002</v>
      </c>
      <c r="V97" s="10">
        <f>CHOOSE(MATCH(Setup!$B$7,{"STD","Half-PPR","PPR"},0),S97,T97,U97)</f>
        <v>25.306000000000001</v>
      </c>
      <c r="W97" s="10">
        <f>COUNTIFS('Draft Board'!$X$2:$X$161,"&gt;="&amp;X97,'Draft Board'!$AB$2:$AB$161,1)</f>
        <v>14</v>
      </c>
      <c r="X97" s="10">
        <f>MAX(0,V97-'Live Calc'!$H$20)^'Live Calc'!$E$20</f>
        <v>0</v>
      </c>
      <c r="Y97" s="10">
        <v>97</v>
      </c>
      <c r="Z97" s="10">
        <f>IF(Y97&lt;&gt;_xlfn.MINIFS('Draft Board'!$Y$2:$Y$161,'Draft Board'!$X$2:$X$161,"="&amp;X97),0,IF(_xlfn.MINIFS('Draft Board'!$X$2:$X$161,'Draft Board'!$X$2:$X$161,"&gt;"&amp;X97)=0,1,IF((_xlfn.MINIFS('Draft Board'!$X$2:$X$161,'Draft Board'!$X$2:$X$161,"&gt;"&amp;X97)-X97)/_xlfn.MINIFS('Draft Board'!$X$2:$X$161,'Draft Board'!$X$2:$X$161,"&gt;"&amp;X97)&gt;0.08,1,0)))</f>
        <v>0</v>
      </c>
      <c r="AA97" s="10">
        <f>_xlfn.MINIFS('Draft Board'!$X$2:$X$161,'Draft Board'!$X$2:$X$161,"&gt;="&amp;X97,'Draft Board'!$Z$2:$Z$161,1)</f>
        <v>0</v>
      </c>
      <c r="AB97" s="10">
        <f>IF(Y97&lt;&gt;_xlfn.MINIFS('Draft Board'!$Y$2:$Y$161,'Draft Board'!$X$2:$X$161,"="&amp;X97),0,IF(OR(Z97=1,IFERROR(FLOOR((AA97-X97)/AA97/0.25,1),0)&lt;&gt;IFERROR(FLOOR((AA97-_xlfn.MINIFS('Draft Board'!$X$2:$X$161,'Draft Board'!$X$2:$X$161,"&gt;"&amp;X97))/AA97/0.25,1),0)),1,0))</f>
        <v>0</v>
      </c>
      <c r="AC97" s="10">
        <f>ROUND(1+X97*'Live Calc'!$D$27,0)</f>
        <v>1</v>
      </c>
      <c r="AD97" s="10"/>
      <c r="AE97" s="10">
        <f>IF(AD97&lt;&gt;"",AD97,ROUND(AC97*INDEX('Live Calc'!$G$96:$G$255,MATCH(W97,'Live Calc'!$A$96:$A$255,0))*'Live Calc'!$J$543,0))</f>
        <v>1</v>
      </c>
      <c r="AG97" s="11" t="s">
        <v>424</v>
      </c>
      <c r="AH97" s="11" t="s">
        <v>85</v>
      </c>
      <c r="AI97" s="11">
        <v>48.75</v>
      </c>
      <c r="AJ97" s="11">
        <v>62.53</v>
      </c>
      <c r="AK97" s="11">
        <v>76.3</v>
      </c>
      <c r="AL97" s="11">
        <f>CHOOSE(MATCH(Setup!$B$7,{"STD","Half-PPR","PPR"},0),AI97,AJ97,AK97)</f>
        <v>62.53</v>
      </c>
      <c r="AM97" s="11">
        <f>COUNTIFS('Draft Board'!$AN$2:$AN$193,"&gt;="&amp;AN97,'Draft Board'!$AR$2:$AR$193,1)</f>
        <v>20</v>
      </c>
      <c r="AN97" s="11">
        <f>MAX(0,AL97-'Live Calc'!$H$21)^'Live Calc'!$E$21</f>
        <v>0</v>
      </c>
      <c r="AO97" s="11">
        <v>97</v>
      </c>
      <c r="AP97" s="11">
        <f>IF(AO97&lt;&gt;_xlfn.MINIFS('Draft Board'!$AO$2:$AO$193,'Draft Board'!$AN$2:$AN$193,"="&amp;AN97),0,IF(_xlfn.MINIFS('Draft Board'!$AN$2:$AN$193,'Draft Board'!$AN$2:$AN$193,"&gt;"&amp;AN97)=0,1,IF((_xlfn.MINIFS('Draft Board'!$AN$2:$AN$193,'Draft Board'!$AN$2:$AN$193,"&gt;"&amp;AN97)-AN97)/_xlfn.MINIFS('Draft Board'!$AN$2:$AN$193,'Draft Board'!$AN$2:$AN$193,"&gt;"&amp;AN97)&gt;0.08,1,0)))</f>
        <v>0</v>
      </c>
      <c r="AQ97" s="11">
        <f>_xlfn.MINIFS('Draft Board'!$AN$2:$AN$193,'Draft Board'!$AN$2:$AN$193,"&gt;="&amp;AN97,'Draft Board'!$AP$2:$AP$193,1)</f>
        <v>0</v>
      </c>
      <c r="AR97" s="11">
        <f>IF(AO97&lt;&gt;_xlfn.MINIFS('Draft Board'!$AO$2:$AO$193,'Draft Board'!$AN$2:$AN$193,"="&amp;AN97),0,IF(OR(AP97=1,IFERROR(FLOOR((AQ97-AN97)/AQ97/0.25,1),0)&lt;&gt;IFERROR(FLOOR((AQ97-_xlfn.MINIFS('Draft Board'!$AN$2:$AN$193,'Draft Board'!$AN$2:$AN$193,"&gt;"&amp;AN97))/AQ97/0.25,1),0)),1,0))</f>
        <v>0</v>
      </c>
      <c r="AS97" s="11">
        <f>ROUND(1+AN97*'Live Calc'!$D$28,0)</f>
        <v>1</v>
      </c>
      <c r="AT97" s="11"/>
      <c r="AU97" s="11">
        <f>IF(AT97&lt;&gt;"",AT97,ROUND(AS97*INDEX('Live Calc'!$G$259:$G$450,MATCH(AM97,'Live Calc'!$A$259:$A$450,0))*'Live Calc'!$J$543,0))</f>
        <v>1</v>
      </c>
    </row>
    <row r="98" spans="17:47" x14ac:dyDescent="0.25">
      <c r="Q98" s="10" t="s">
        <v>425</v>
      </c>
      <c r="R98" s="10" t="s">
        <v>126</v>
      </c>
      <c r="S98" s="10">
        <v>22.09</v>
      </c>
      <c r="T98" s="10">
        <v>25.27</v>
      </c>
      <c r="U98" s="10">
        <v>29.218</v>
      </c>
      <c r="V98" s="10">
        <f>CHOOSE(MATCH(Setup!$B$7,{"STD","Half-PPR","PPR"},0),S98,T98,U98)</f>
        <v>25.27</v>
      </c>
      <c r="W98" s="10">
        <f>COUNTIFS('Draft Board'!$X$2:$X$161,"&gt;="&amp;X98,'Draft Board'!$AB$2:$AB$161,1)</f>
        <v>14</v>
      </c>
      <c r="X98" s="10">
        <f>MAX(0,V98-'Live Calc'!$H$20)^'Live Calc'!$E$20</f>
        <v>0</v>
      </c>
      <c r="Y98" s="10">
        <v>98</v>
      </c>
      <c r="Z98" s="10">
        <f>IF(Y98&lt;&gt;_xlfn.MINIFS('Draft Board'!$Y$2:$Y$161,'Draft Board'!$X$2:$X$161,"="&amp;X98),0,IF(_xlfn.MINIFS('Draft Board'!$X$2:$X$161,'Draft Board'!$X$2:$X$161,"&gt;"&amp;X98)=0,1,IF((_xlfn.MINIFS('Draft Board'!$X$2:$X$161,'Draft Board'!$X$2:$X$161,"&gt;"&amp;X98)-X98)/_xlfn.MINIFS('Draft Board'!$X$2:$X$161,'Draft Board'!$X$2:$X$161,"&gt;"&amp;X98)&gt;0.08,1,0)))</f>
        <v>0</v>
      </c>
      <c r="AA98" s="10">
        <f>_xlfn.MINIFS('Draft Board'!$X$2:$X$161,'Draft Board'!$X$2:$X$161,"&gt;="&amp;X98,'Draft Board'!$Z$2:$Z$161,1)</f>
        <v>0</v>
      </c>
      <c r="AB98" s="10">
        <f>IF(Y98&lt;&gt;_xlfn.MINIFS('Draft Board'!$Y$2:$Y$161,'Draft Board'!$X$2:$X$161,"="&amp;X98),0,IF(OR(Z98=1,IFERROR(FLOOR((AA98-X98)/AA98/0.25,1),0)&lt;&gt;IFERROR(FLOOR((AA98-_xlfn.MINIFS('Draft Board'!$X$2:$X$161,'Draft Board'!$X$2:$X$161,"&gt;"&amp;X98))/AA98/0.25,1),0)),1,0))</f>
        <v>0</v>
      </c>
      <c r="AC98" s="10">
        <f>ROUND(1+X98*'Live Calc'!$D$27,0)</f>
        <v>1</v>
      </c>
      <c r="AD98" s="10"/>
      <c r="AE98" s="10">
        <f>IF(AD98&lt;&gt;"",AD98,ROUND(AC98*INDEX('Live Calc'!$G$96:$G$255,MATCH(W98,'Live Calc'!$A$96:$A$255,0))*'Live Calc'!$J$543,0))</f>
        <v>1</v>
      </c>
      <c r="AG98" s="11" t="s">
        <v>426</v>
      </c>
      <c r="AH98" s="11" t="s">
        <v>63</v>
      </c>
      <c r="AI98" s="11">
        <v>48.531999999999996</v>
      </c>
      <c r="AJ98" s="11">
        <v>61.408000000000001</v>
      </c>
      <c r="AK98" s="11">
        <v>74.150000000000006</v>
      </c>
      <c r="AL98" s="11">
        <f>CHOOSE(MATCH(Setup!$B$7,{"STD","Half-PPR","PPR"},0),AI98,AJ98,AK98)</f>
        <v>61.408000000000001</v>
      </c>
      <c r="AM98" s="11">
        <f>COUNTIFS('Draft Board'!$AN$2:$AN$193,"&gt;="&amp;AN98,'Draft Board'!$AR$2:$AR$193,1)</f>
        <v>20</v>
      </c>
      <c r="AN98" s="11">
        <f>MAX(0,AL98-'Live Calc'!$H$21)^'Live Calc'!$E$21</f>
        <v>0</v>
      </c>
      <c r="AO98" s="11">
        <v>98</v>
      </c>
      <c r="AP98" s="11">
        <f>IF(AO98&lt;&gt;_xlfn.MINIFS('Draft Board'!$AO$2:$AO$193,'Draft Board'!$AN$2:$AN$193,"="&amp;AN98),0,IF(_xlfn.MINIFS('Draft Board'!$AN$2:$AN$193,'Draft Board'!$AN$2:$AN$193,"&gt;"&amp;AN98)=0,1,IF((_xlfn.MINIFS('Draft Board'!$AN$2:$AN$193,'Draft Board'!$AN$2:$AN$193,"&gt;"&amp;AN98)-AN98)/_xlfn.MINIFS('Draft Board'!$AN$2:$AN$193,'Draft Board'!$AN$2:$AN$193,"&gt;"&amp;AN98)&gt;0.08,1,0)))</f>
        <v>0</v>
      </c>
      <c r="AQ98" s="11">
        <f>_xlfn.MINIFS('Draft Board'!$AN$2:$AN$193,'Draft Board'!$AN$2:$AN$193,"&gt;="&amp;AN98,'Draft Board'!$AP$2:$AP$193,1)</f>
        <v>0</v>
      </c>
      <c r="AR98" s="11">
        <f>IF(AO98&lt;&gt;_xlfn.MINIFS('Draft Board'!$AO$2:$AO$193,'Draft Board'!$AN$2:$AN$193,"="&amp;AN98),0,IF(OR(AP98=1,IFERROR(FLOOR((AQ98-AN98)/AQ98/0.25,1),0)&lt;&gt;IFERROR(FLOOR((AQ98-_xlfn.MINIFS('Draft Board'!$AN$2:$AN$193,'Draft Board'!$AN$2:$AN$193,"&gt;"&amp;AN98))/AQ98/0.25,1),0)),1,0))</f>
        <v>0</v>
      </c>
      <c r="AS98" s="11">
        <f>ROUND(1+AN98*'Live Calc'!$D$28,0)</f>
        <v>1</v>
      </c>
      <c r="AT98" s="11"/>
      <c r="AU98" s="11">
        <f>IF(AT98&lt;&gt;"",AT98,ROUND(AS98*INDEX('Live Calc'!$G$259:$G$450,MATCH(AM98,'Live Calc'!$A$259:$A$450,0))*'Live Calc'!$J$543,0))</f>
        <v>1</v>
      </c>
    </row>
    <row r="99" spans="17:47" x14ac:dyDescent="0.25">
      <c r="Q99" s="10" t="s">
        <v>427</v>
      </c>
      <c r="R99" s="10" t="s">
        <v>116</v>
      </c>
      <c r="S99" s="10">
        <v>21.744</v>
      </c>
      <c r="T99" s="10">
        <v>24.698</v>
      </c>
      <c r="U99" s="10">
        <v>27.448</v>
      </c>
      <c r="V99" s="10">
        <f>CHOOSE(MATCH(Setup!$B$7,{"STD","Half-PPR","PPR"},0),S99,T99,U99)</f>
        <v>24.698</v>
      </c>
      <c r="W99" s="10">
        <f>COUNTIFS('Draft Board'!$X$2:$X$161,"&gt;="&amp;X99,'Draft Board'!$AB$2:$AB$161,1)</f>
        <v>14</v>
      </c>
      <c r="X99" s="10">
        <f>MAX(0,V99-'Live Calc'!$H$20)^'Live Calc'!$E$20</f>
        <v>0</v>
      </c>
      <c r="Y99" s="10">
        <v>99</v>
      </c>
      <c r="Z99" s="10">
        <f>IF(Y99&lt;&gt;_xlfn.MINIFS('Draft Board'!$Y$2:$Y$161,'Draft Board'!$X$2:$X$161,"="&amp;X99),0,IF(_xlfn.MINIFS('Draft Board'!$X$2:$X$161,'Draft Board'!$X$2:$X$161,"&gt;"&amp;X99)=0,1,IF((_xlfn.MINIFS('Draft Board'!$X$2:$X$161,'Draft Board'!$X$2:$X$161,"&gt;"&amp;X99)-X99)/_xlfn.MINIFS('Draft Board'!$X$2:$X$161,'Draft Board'!$X$2:$X$161,"&gt;"&amp;X99)&gt;0.08,1,0)))</f>
        <v>0</v>
      </c>
      <c r="AA99" s="10">
        <f>_xlfn.MINIFS('Draft Board'!$X$2:$X$161,'Draft Board'!$X$2:$X$161,"&gt;="&amp;X99,'Draft Board'!$Z$2:$Z$161,1)</f>
        <v>0</v>
      </c>
      <c r="AB99" s="10">
        <f>IF(Y99&lt;&gt;_xlfn.MINIFS('Draft Board'!$Y$2:$Y$161,'Draft Board'!$X$2:$X$161,"="&amp;X99),0,IF(OR(Z99=1,IFERROR(FLOOR((AA99-X99)/AA99/0.25,1),0)&lt;&gt;IFERROR(FLOOR((AA99-_xlfn.MINIFS('Draft Board'!$X$2:$X$161,'Draft Board'!$X$2:$X$161,"&gt;"&amp;X99))/AA99/0.25,1),0)),1,0))</f>
        <v>0</v>
      </c>
      <c r="AC99" s="10">
        <f>ROUND(1+X99*'Live Calc'!$D$27,0)</f>
        <v>1</v>
      </c>
      <c r="AD99" s="10"/>
      <c r="AE99" s="10">
        <f>IF(AD99&lt;&gt;"",AD99,ROUND(AC99*INDEX('Live Calc'!$G$96:$G$255,MATCH(W99,'Live Calc'!$A$96:$A$255,0))*'Live Calc'!$J$543,0))</f>
        <v>1</v>
      </c>
      <c r="AG99" s="11" t="s">
        <v>428</v>
      </c>
      <c r="AH99" s="11" t="s">
        <v>75</v>
      </c>
      <c r="AI99" s="11">
        <v>46.634</v>
      </c>
      <c r="AJ99" s="11">
        <v>58.72</v>
      </c>
      <c r="AK99" s="11">
        <v>70.462000000000003</v>
      </c>
      <c r="AL99" s="11">
        <f>CHOOSE(MATCH(Setup!$B$7,{"STD","Half-PPR","PPR"},0),AI99,AJ99,AK99)</f>
        <v>58.72</v>
      </c>
      <c r="AM99" s="11">
        <f>COUNTIFS('Draft Board'!$AN$2:$AN$193,"&gt;="&amp;AN99,'Draft Board'!$AR$2:$AR$193,1)</f>
        <v>20</v>
      </c>
      <c r="AN99" s="11">
        <f>MAX(0,AL99-'Live Calc'!$H$21)^'Live Calc'!$E$21</f>
        <v>0</v>
      </c>
      <c r="AO99" s="11">
        <v>99</v>
      </c>
      <c r="AP99" s="11">
        <f>IF(AO99&lt;&gt;_xlfn.MINIFS('Draft Board'!$AO$2:$AO$193,'Draft Board'!$AN$2:$AN$193,"="&amp;AN99),0,IF(_xlfn.MINIFS('Draft Board'!$AN$2:$AN$193,'Draft Board'!$AN$2:$AN$193,"&gt;"&amp;AN99)=0,1,IF((_xlfn.MINIFS('Draft Board'!$AN$2:$AN$193,'Draft Board'!$AN$2:$AN$193,"&gt;"&amp;AN99)-AN99)/_xlfn.MINIFS('Draft Board'!$AN$2:$AN$193,'Draft Board'!$AN$2:$AN$193,"&gt;"&amp;AN99)&gt;0.08,1,0)))</f>
        <v>0</v>
      </c>
      <c r="AQ99" s="11">
        <f>_xlfn.MINIFS('Draft Board'!$AN$2:$AN$193,'Draft Board'!$AN$2:$AN$193,"&gt;="&amp;AN99,'Draft Board'!$AP$2:$AP$193,1)</f>
        <v>0</v>
      </c>
      <c r="AR99" s="11">
        <f>IF(AO99&lt;&gt;_xlfn.MINIFS('Draft Board'!$AO$2:$AO$193,'Draft Board'!$AN$2:$AN$193,"="&amp;AN99),0,IF(OR(AP99=1,IFERROR(FLOOR((AQ99-AN99)/AQ99/0.25,1),0)&lt;&gt;IFERROR(FLOOR((AQ99-_xlfn.MINIFS('Draft Board'!$AN$2:$AN$193,'Draft Board'!$AN$2:$AN$193,"&gt;"&amp;AN99))/AQ99/0.25,1),0)),1,0))</f>
        <v>0</v>
      </c>
      <c r="AS99" s="11">
        <f>ROUND(1+AN99*'Live Calc'!$D$28,0)</f>
        <v>1</v>
      </c>
      <c r="AT99" s="11"/>
      <c r="AU99" s="11">
        <f>IF(AT99&lt;&gt;"",AT99,ROUND(AS99*INDEX('Live Calc'!$G$259:$G$450,MATCH(AM99,'Live Calc'!$A$259:$A$450,0))*'Live Calc'!$J$543,0))</f>
        <v>1</v>
      </c>
    </row>
    <row r="100" spans="17:47" x14ac:dyDescent="0.25">
      <c r="Q100" s="10" t="s">
        <v>429</v>
      </c>
      <c r="R100" s="10" t="s">
        <v>79</v>
      </c>
      <c r="S100" s="10">
        <v>20.847999999999999</v>
      </c>
      <c r="T100" s="10">
        <v>24.684000000000001</v>
      </c>
      <c r="U100" s="10">
        <v>29.006</v>
      </c>
      <c r="V100" s="10">
        <f>CHOOSE(MATCH(Setup!$B$7,{"STD","Half-PPR","PPR"},0),S100,T100,U100)</f>
        <v>24.684000000000001</v>
      </c>
      <c r="W100" s="10">
        <f>COUNTIFS('Draft Board'!$X$2:$X$161,"&gt;="&amp;X100,'Draft Board'!$AB$2:$AB$161,1)</f>
        <v>14</v>
      </c>
      <c r="X100" s="10">
        <f>MAX(0,V100-'Live Calc'!$H$20)^'Live Calc'!$E$20</f>
        <v>0</v>
      </c>
      <c r="Y100" s="10">
        <v>100</v>
      </c>
      <c r="Z100" s="10">
        <f>IF(Y100&lt;&gt;_xlfn.MINIFS('Draft Board'!$Y$2:$Y$161,'Draft Board'!$X$2:$X$161,"="&amp;X100),0,IF(_xlfn.MINIFS('Draft Board'!$X$2:$X$161,'Draft Board'!$X$2:$X$161,"&gt;"&amp;X100)=0,1,IF((_xlfn.MINIFS('Draft Board'!$X$2:$X$161,'Draft Board'!$X$2:$X$161,"&gt;"&amp;X100)-X100)/_xlfn.MINIFS('Draft Board'!$X$2:$X$161,'Draft Board'!$X$2:$X$161,"&gt;"&amp;X100)&gt;0.08,1,0)))</f>
        <v>0</v>
      </c>
      <c r="AA100" s="10">
        <f>_xlfn.MINIFS('Draft Board'!$X$2:$X$161,'Draft Board'!$X$2:$X$161,"&gt;="&amp;X100,'Draft Board'!$Z$2:$Z$161,1)</f>
        <v>0</v>
      </c>
      <c r="AB100" s="10">
        <f>IF(Y100&lt;&gt;_xlfn.MINIFS('Draft Board'!$Y$2:$Y$161,'Draft Board'!$X$2:$X$161,"="&amp;X100),0,IF(OR(Z100=1,IFERROR(FLOOR((AA100-X100)/AA100/0.25,1),0)&lt;&gt;IFERROR(FLOOR((AA100-_xlfn.MINIFS('Draft Board'!$X$2:$X$161,'Draft Board'!$X$2:$X$161,"&gt;"&amp;X100))/AA100/0.25,1),0)),1,0))</f>
        <v>0</v>
      </c>
      <c r="AC100" s="10">
        <f>ROUND(1+X100*'Live Calc'!$D$27,0)</f>
        <v>1</v>
      </c>
      <c r="AD100" s="10"/>
      <c r="AE100" s="10">
        <f>IF(AD100&lt;&gt;"",AD100,ROUND(AC100*INDEX('Live Calc'!$G$96:$G$255,MATCH(W100,'Live Calc'!$A$96:$A$255,0))*'Live Calc'!$J$543,0))</f>
        <v>1</v>
      </c>
      <c r="AG100" s="11" t="s">
        <v>430</v>
      </c>
      <c r="AH100" s="11" t="s">
        <v>55</v>
      </c>
      <c r="AI100" s="11">
        <v>46.256</v>
      </c>
      <c r="AJ100" s="11">
        <v>57.024000000000001</v>
      </c>
      <c r="AK100" s="11">
        <v>67.763999999999996</v>
      </c>
      <c r="AL100" s="11">
        <f>CHOOSE(MATCH(Setup!$B$7,{"STD","Half-PPR","PPR"},0),AI100,AJ100,AK100)</f>
        <v>57.024000000000001</v>
      </c>
      <c r="AM100" s="11">
        <f>COUNTIFS('Draft Board'!$AN$2:$AN$193,"&gt;="&amp;AN100,'Draft Board'!$AR$2:$AR$193,1)</f>
        <v>20</v>
      </c>
      <c r="AN100" s="11">
        <f>MAX(0,AL100-'Live Calc'!$H$21)^'Live Calc'!$E$21</f>
        <v>0</v>
      </c>
      <c r="AO100" s="11">
        <v>100</v>
      </c>
      <c r="AP100" s="11">
        <f>IF(AO100&lt;&gt;_xlfn.MINIFS('Draft Board'!$AO$2:$AO$193,'Draft Board'!$AN$2:$AN$193,"="&amp;AN100),0,IF(_xlfn.MINIFS('Draft Board'!$AN$2:$AN$193,'Draft Board'!$AN$2:$AN$193,"&gt;"&amp;AN100)=0,1,IF((_xlfn.MINIFS('Draft Board'!$AN$2:$AN$193,'Draft Board'!$AN$2:$AN$193,"&gt;"&amp;AN100)-AN100)/_xlfn.MINIFS('Draft Board'!$AN$2:$AN$193,'Draft Board'!$AN$2:$AN$193,"&gt;"&amp;AN100)&gt;0.08,1,0)))</f>
        <v>0</v>
      </c>
      <c r="AQ100" s="11">
        <f>_xlfn.MINIFS('Draft Board'!$AN$2:$AN$193,'Draft Board'!$AN$2:$AN$193,"&gt;="&amp;AN100,'Draft Board'!$AP$2:$AP$193,1)</f>
        <v>0</v>
      </c>
      <c r="AR100" s="11">
        <f>IF(AO100&lt;&gt;_xlfn.MINIFS('Draft Board'!$AO$2:$AO$193,'Draft Board'!$AN$2:$AN$193,"="&amp;AN100),0,IF(OR(AP100=1,IFERROR(FLOOR((AQ100-AN100)/AQ100/0.25,1),0)&lt;&gt;IFERROR(FLOOR((AQ100-_xlfn.MINIFS('Draft Board'!$AN$2:$AN$193,'Draft Board'!$AN$2:$AN$193,"&gt;"&amp;AN100))/AQ100/0.25,1),0)),1,0))</f>
        <v>0</v>
      </c>
      <c r="AS100" s="11">
        <f>ROUND(1+AN100*'Live Calc'!$D$28,0)</f>
        <v>1</v>
      </c>
      <c r="AT100" s="11"/>
      <c r="AU100" s="11">
        <f>IF(AT100&lt;&gt;"",AT100,ROUND(AS100*INDEX('Live Calc'!$G$259:$G$450,MATCH(AM100,'Live Calc'!$A$259:$A$450,0))*'Live Calc'!$J$543,0))</f>
        <v>1</v>
      </c>
    </row>
    <row r="101" spans="17:47" x14ac:dyDescent="0.25">
      <c r="Q101" s="10" t="s">
        <v>431</v>
      </c>
      <c r="R101" s="10" t="s">
        <v>88</v>
      </c>
      <c r="S101" s="10">
        <v>21.263999999999999</v>
      </c>
      <c r="T101" s="10">
        <v>24.082000000000001</v>
      </c>
      <c r="U101" s="10">
        <v>24.771999999999998</v>
      </c>
      <c r="V101" s="10">
        <f>CHOOSE(MATCH(Setup!$B$7,{"STD","Half-PPR","PPR"},0),S101,T101,U101)</f>
        <v>24.082000000000001</v>
      </c>
      <c r="W101" s="10">
        <f>COUNTIFS('Draft Board'!$X$2:$X$161,"&gt;="&amp;X101,'Draft Board'!$AB$2:$AB$161,1)</f>
        <v>14</v>
      </c>
      <c r="X101" s="10">
        <f>MAX(0,V101-'Live Calc'!$H$20)^'Live Calc'!$E$20</f>
        <v>0</v>
      </c>
      <c r="Y101" s="10">
        <v>101</v>
      </c>
      <c r="Z101" s="10">
        <f>IF(Y101&lt;&gt;_xlfn.MINIFS('Draft Board'!$Y$2:$Y$161,'Draft Board'!$X$2:$X$161,"="&amp;X101),0,IF(_xlfn.MINIFS('Draft Board'!$X$2:$X$161,'Draft Board'!$X$2:$X$161,"&gt;"&amp;X101)=0,1,IF((_xlfn.MINIFS('Draft Board'!$X$2:$X$161,'Draft Board'!$X$2:$X$161,"&gt;"&amp;X101)-X101)/_xlfn.MINIFS('Draft Board'!$X$2:$X$161,'Draft Board'!$X$2:$X$161,"&gt;"&amp;X101)&gt;0.08,1,0)))</f>
        <v>0</v>
      </c>
      <c r="AA101" s="10">
        <f>_xlfn.MINIFS('Draft Board'!$X$2:$X$161,'Draft Board'!$X$2:$X$161,"&gt;="&amp;X101,'Draft Board'!$Z$2:$Z$161,1)</f>
        <v>0</v>
      </c>
      <c r="AB101" s="10">
        <f>IF(Y101&lt;&gt;_xlfn.MINIFS('Draft Board'!$Y$2:$Y$161,'Draft Board'!$X$2:$X$161,"="&amp;X101),0,IF(OR(Z101=1,IFERROR(FLOOR((AA101-X101)/AA101/0.25,1),0)&lt;&gt;IFERROR(FLOOR((AA101-_xlfn.MINIFS('Draft Board'!$X$2:$X$161,'Draft Board'!$X$2:$X$161,"&gt;"&amp;X101))/AA101/0.25,1),0)),1,0))</f>
        <v>0</v>
      </c>
      <c r="AC101" s="10">
        <f>ROUND(1+X101*'Live Calc'!$D$27,0)</f>
        <v>1</v>
      </c>
      <c r="AD101" s="10"/>
      <c r="AE101" s="10">
        <f>IF(AD101&lt;&gt;"",AD101,ROUND(AC101*INDEX('Live Calc'!$G$96:$G$255,MATCH(W101,'Live Calc'!$A$96:$A$255,0))*'Live Calc'!$J$543,0))</f>
        <v>1</v>
      </c>
      <c r="AG101" s="11" t="s">
        <v>432</v>
      </c>
      <c r="AH101" s="11" t="s">
        <v>133</v>
      </c>
      <c r="AI101" s="11">
        <v>43.6</v>
      </c>
      <c r="AJ101" s="11">
        <v>56.774000000000001</v>
      </c>
      <c r="AK101" s="11">
        <v>69.951999999999998</v>
      </c>
      <c r="AL101" s="11">
        <f>CHOOSE(MATCH(Setup!$B$7,{"STD","Half-PPR","PPR"},0),AI101,AJ101,AK101)</f>
        <v>56.774000000000001</v>
      </c>
      <c r="AM101" s="11">
        <f>COUNTIFS('Draft Board'!$AN$2:$AN$193,"&gt;="&amp;AN101,'Draft Board'!$AR$2:$AR$193,1)</f>
        <v>20</v>
      </c>
      <c r="AN101" s="11">
        <f>MAX(0,AL101-'Live Calc'!$H$21)^'Live Calc'!$E$21</f>
        <v>0</v>
      </c>
      <c r="AO101" s="11">
        <v>101</v>
      </c>
      <c r="AP101" s="11">
        <f>IF(AO101&lt;&gt;_xlfn.MINIFS('Draft Board'!$AO$2:$AO$193,'Draft Board'!$AN$2:$AN$193,"="&amp;AN101),0,IF(_xlfn.MINIFS('Draft Board'!$AN$2:$AN$193,'Draft Board'!$AN$2:$AN$193,"&gt;"&amp;AN101)=0,1,IF((_xlfn.MINIFS('Draft Board'!$AN$2:$AN$193,'Draft Board'!$AN$2:$AN$193,"&gt;"&amp;AN101)-AN101)/_xlfn.MINIFS('Draft Board'!$AN$2:$AN$193,'Draft Board'!$AN$2:$AN$193,"&gt;"&amp;AN101)&gt;0.08,1,0)))</f>
        <v>0</v>
      </c>
      <c r="AQ101" s="11">
        <f>_xlfn.MINIFS('Draft Board'!$AN$2:$AN$193,'Draft Board'!$AN$2:$AN$193,"&gt;="&amp;AN101,'Draft Board'!$AP$2:$AP$193,1)</f>
        <v>0</v>
      </c>
      <c r="AR101" s="11">
        <f>IF(AO101&lt;&gt;_xlfn.MINIFS('Draft Board'!$AO$2:$AO$193,'Draft Board'!$AN$2:$AN$193,"="&amp;AN101),0,IF(OR(AP101=1,IFERROR(FLOOR((AQ101-AN101)/AQ101/0.25,1),0)&lt;&gt;IFERROR(FLOOR((AQ101-_xlfn.MINIFS('Draft Board'!$AN$2:$AN$193,'Draft Board'!$AN$2:$AN$193,"&gt;"&amp;AN101))/AQ101/0.25,1),0)),1,0))</f>
        <v>0</v>
      </c>
      <c r="AS101" s="11">
        <f>ROUND(1+AN101*'Live Calc'!$D$28,0)</f>
        <v>1</v>
      </c>
      <c r="AT101" s="11"/>
      <c r="AU101" s="11">
        <f>IF(AT101&lt;&gt;"",AT101,ROUND(AS101*INDEX('Live Calc'!$G$259:$G$450,MATCH(AM101,'Live Calc'!$A$259:$A$450,0))*'Live Calc'!$J$543,0))</f>
        <v>1</v>
      </c>
    </row>
    <row r="102" spans="17:47" x14ac:dyDescent="0.25">
      <c r="Q102" s="10" t="s">
        <v>433</v>
      </c>
      <c r="R102" s="10" t="s">
        <v>81</v>
      </c>
      <c r="S102" s="10">
        <v>20.952000000000002</v>
      </c>
      <c r="T102" s="10">
        <v>24.032</v>
      </c>
      <c r="U102" s="10">
        <v>26.513999999999999</v>
      </c>
      <c r="V102" s="10">
        <f>CHOOSE(MATCH(Setup!$B$7,{"STD","Half-PPR","PPR"},0),S102,T102,U102)</f>
        <v>24.032</v>
      </c>
      <c r="W102" s="10">
        <f>COUNTIFS('Draft Board'!$X$2:$X$161,"&gt;="&amp;X102,'Draft Board'!$AB$2:$AB$161,1)</f>
        <v>14</v>
      </c>
      <c r="X102" s="10">
        <f>MAX(0,V102-'Live Calc'!$H$20)^'Live Calc'!$E$20</f>
        <v>0</v>
      </c>
      <c r="Y102" s="10">
        <v>102</v>
      </c>
      <c r="Z102" s="10">
        <f>IF(Y102&lt;&gt;_xlfn.MINIFS('Draft Board'!$Y$2:$Y$161,'Draft Board'!$X$2:$X$161,"="&amp;X102),0,IF(_xlfn.MINIFS('Draft Board'!$X$2:$X$161,'Draft Board'!$X$2:$X$161,"&gt;"&amp;X102)=0,1,IF((_xlfn.MINIFS('Draft Board'!$X$2:$X$161,'Draft Board'!$X$2:$X$161,"&gt;"&amp;X102)-X102)/_xlfn.MINIFS('Draft Board'!$X$2:$X$161,'Draft Board'!$X$2:$X$161,"&gt;"&amp;X102)&gt;0.08,1,0)))</f>
        <v>0</v>
      </c>
      <c r="AA102" s="10">
        <f>_xlfn.MINIFS('Draft Board'!$X$2:$X$161,'Draft Board'!$X$2:$X$161,"&gt;="&amp;X102,'Draft Board'!$Z$2:$Z$161,1)</f>
        <v>0</v>
      </c>
      <c r="AB102" s="10">
        <f>IF(Y102&lt;&gt;_xlfn.MINIFS('Draft Board'!$Y$2:$Y$161,'Draft Board'!$X$2:$X$161,"="&amp;X102),0,IF(OR(Z102=1,IFERROR(FLOOR((AA102-X102)/AA102/0.25,1),0)&lt;&gt;IFERROR(FLOOR((AA102-_xlfn.MINIFS('Draft Board'!$X$2:$X$161,'Draft Board'!$X$2:$X$161,"&gt;"&amp;X102))/AA102/0.25,1),0)),1,0))</f>
        <v>0</v>
      </c>
      <c r="AC102" s="10">
        <f>ROUND(1+X102*'Live Calc'!$D$27,0)</f>
        <v>1</v>
      </c>
      <c r="AD102" s="10"/>
      <c r="AE102" s="10">
        <f>IF(AD102&lt;&gt;"",AD102,ROUND(AC102*INDEX('Live Calc'!$G$96:$G$255,MATCH(W102,'Live Calc'!$A$96:$A$255,0))*'Live Calc'!$J$543,0))</f>
        <v>1</v>
      </c>
      <c r="AG102" s="11" t="s">
        <v>434</v>
      </c>
      <c r="AH102" s="11" t="s">
        <v>93</v>
      </c>
      <c r="AI102" s="11">
        <v>43.24</v>
      </c>
      <c r="AJ102" s="11">
        <v>56.527999999999999</v>
      </c>
      <c r="AK102" s="11">
        <v>68.475999999999999</v>
      </c>
      <c r="AL102" s="11">
        <f>CHOOSE(MATCH(Setup!$B$7,{"STD","Half-PPR","PPR"},0),AI102,AJ102,AK102)</f>
        <v>56.527999999999999</v>
      </c>
      <c r="AM102" s="11">
        <f>COUNTIFS('Draft Board'!$AN$2:$AN$193,"&gt;="&amp;AN102,'Draft Board'!$AR$2:$AR$193,1)</f>
        <v>20</v>
      </c>
      <c r="AN102" s="11">
        <f>MAX(0,AL102-'Live Calc'!$H$21)^'Live Calc'!$E$21</f>
        <v>0</v>
      </c>
      <c r="AO102" s="11">
        <v>102</v>
      </c>
      <c r="AP102" s="11">
        <f>IF(AO102&lt;&gt;_xlfn.MINIFS('Draft Board'!$AO$2:$AO$193,'Draft Board'!$AN$2:$AN$193,"="&amp;AN102),0,IF(_xlfn.MINIFS('Draft Board'!$AN$2:$AN$193,'Draft Board'!$AN$2:$AN$193,"&gt;"&amp;AN102)=0,1,IF((_xlfn.MINIFS('Draft Board'!$AN$2:$AN$193,'Draft Board'!$AN$2:$AN$193,"&gt;"&amp;AN102)-AN102)/_xlfn.MINIFS('Draft Board'!$AN$2:$AN$193,'Draft Board'!$AN$2:$AN$193,"&gt;"&amp;AN102)&gt;0.08,1,0)))</f>
        <v>0</v>
      </c>
      <c r="AQ102" s="11">
        <f>_xlfn.MINIFS('Draft Board'!$AN$2:$AN$193,'Draft Board'!$AN$2:$AN$193,"&gt;="&amp;AN102,'Draft Board'!$AP$2:$AP$193,1)</f>
        <v>0</v>
      </c>
      <c r="AR102" s="11">
        <f>IF(AO102&lt;&gt;_xlfn.MINIFS('Draft Board'!$AO$2:$AO$193,'Draft Board'!$AN$2:$AN$193,"="&amp;AN102),0,IF(OR(AP102=1,IFERROR(FLOOR((AQ102-AN102)/AQ102/0.25,1),0)&lt;&gt;IFERROR(FLOOR((AQ102-_xlfn.MINIFS('Draft Board'!$AN$2:$AN$193,'Draft Board'!$AN$2:$AN$193,"&gt;"&amp;AN102))/AQ102/0.25,1),0)),1,0))</f>
        <v>0</v>
      </c>
      <c r="AS102" s="11">
        <f>ROUND(1+AN102*'Live Calc'!$D$28,0)</f>
        <v>1</v>
      </c>
      <c r="AT102" s="11"/>
      <c r="AU102" s="11">
        <f>IF(AT102&lt;&gt;"",AT102,ROUND(AS102*INDEX('Live Calc'!$G$259:$G$450,MATCH(AM102,'Live Calc'!$A$259:$A$450,0))*'Live Calc'!$J$543,0))</f>
        <v>1</v>
      </c>
    </row>
    <row r="103" spans="17:47" x14ac:dyDescent="0.25">
      <c r="Q103" s="10" t="s">
        <v>435</v>
      </c>
      <c r="R103" s="10" t="s">
        <v>88</v>
      </c>
      <c r="S103" s="10">
        <v>17.61</v>
      </c>
      <c r="T103" s="10">
        <v>22.86</v>
      </c>
      <c r="U103" s="10">
        <v>28.12</v>
      </c>
      <c r="V103" s="10">
        <f>CHOOSE(MATCH(Setup!$B$7,{"STD","Half-PPR","PPR"},0),S103,T103,U103)</f>
        <v>22.86</v>
      </c>
      <c r="W103" s="10">
        <f>COUNTIFS('Draft Board'!$X$2:$X$161,"&gt;="&amp;X103,'Draft Board'!$AB$2:$AB$161,1)</f>
        <v>14</v>
      </c>
      <c r="X103" s="10">
        <f>MAX(0,V103-'Live Calc'!$H$20)^'Live Calc'!$E$20</f>
        <v>0</v>
      </c>
      <c r="Y103" s="10">
        <v>103</v>
      </c>
      <c r="Z103" s="10">
        <f>IF(Y103&lt;&gt;_xlfn.MINIFS('Draft Board'!$Y$2:$Y$161,'Draft Board'!$X$2:$X$161,"="&amp;X103),0,IF(_xlfn.MINIFS('Draft Board'!$X$2:$X$161,'Draft Board'!$X$2:$X$161,"&gt;"&amp;X103)=0,1,IF((_xlfn.MINIFS('Draft Board'!$X$2:$X$161,'Draft Board'!$X$2:$X$161,"&gt;"&amp;X103)-X103)/_xlfn.MINIFS('Draft Board'!$X$2:$X$161,'Draft Board'!$X$2:$X$161,"&gt;"&amp;X103)&gt;0.08,1,0)))</f>
        <v>0</v>
      </c>
      <c r="AA103" s="10">
        <f>_xlfn.MINIFS('Draft Board'!$X$2:$X$161,'Draft Board'!$X$2:$X$161,"&gt;="&amp;X103,'Draft Board'!$Z$2:$Z$161,1)</f>
        <v>0</v>
      </c>
      <c r="AB103" s="10">
        <f>IF(Y103&lt;&gt;_xlfn.MINIFS('Draft Board'!$Y$2:$Y$161,'Draft Board'!$X$2:$X$161,"="&amp;X103),0,IF(OR(Z103=1,IFERROR(FLOOR((AA103-X103)/AA103/0.25,1),0)&lt;&gt;IFERROR(FLOOR((AA103-_xlfn.MINIFS('Draft Board'!$X$2:$X$161,'Draft Board'!$X$2:$X$161,"&gt;"&amp;X103))/AA103/0.25,1),0)),1,0))</f>
        <v>0</v>
      </c>
      <c r="AC103" s="10">
        <f>ROUND(1+X103*'Live Calc'!$D$27,0)</f>
        <v>1</v>
      </c>
      <c r="AD103" s="10"/>
      <c r="AE103" s="10">
        <f>IF(AD103&lt;&gt;"",AD103,ROUND(AC103*INDEX('Live Calc'!$G$96:$G$255,MATCH(W103,'Live Calc'!$A$96:$A$255,0))*'Live Calc'!$J$543,0))</f>
        <v>1</v>
      </c>
      <c r="AG103" s="11" t="s">
        <v>436</v>
      </c>
      <c r="AH103" s="11" t="s">
        <v>63</v>
      </c>
      <c r="AI103" s="11">
        <v>44.52</v>
      </c>
      <c r="AJ103" s="11">
        <v>56.512</v>
      </c>
      <c r="AK103" s="11">
        <v>68.397999999999996</v>
      </c>
      <c r="AL103" s="11">
        <f>CHOOSE(MATCH(Setup!$B$7,{"STD","Half-PPR","PPR"},0),AI103,AJ103,AK103)</f>
        <v>56.512</v>
      </c>
      <c r="AM103" s="11">
        <f>COUNTIFS('Draft Board'!$AN$2:$AN$193,"&gt;="&amp;AN103,'Draft Board'!$AR$2:$AR$193,1)</f>
        <v>20</v>
      </c>
      <c r="AN103" s="11">
        <f>MAX(0,AL103-'Live Calc'!$H$21)^'Live Calc'!$E$21</f>
        <v>0</v>
      </c>
      <c r="AO103" s="11">
        <v>103</v>
      </c>
      <c r="AP103" s="11">
        <f>IF(AO103&lt;&gt;_xlfn.MINIFS('Draft Board'!$AO$2:$AO$193,'Draft Board'!$AN$2:$AN$193,"="&amp;AN103),0,IF(_xlfn.MINIFS('Draft Board'!$AN$2:$AN$193,'Draft Board'!$AN$2:$AN$193,"&gt;"&amp;AN103)=0,1,IF((_xlfn.MINIFS('Draft Board'!$AN$2:$AN$193,'Draft Board'!$AN$2:$AN$193,"&gt;"&amp;AN103)-AN103)/_xlfn.MINIFS('Draft Board'!$AN$2:$AN$193,'Draft Board'!$AN$2:$AN$193,"&gt;"&amp;AN103)&gt;0.08,1,0)))</f>
        <v>0</v>
      </c>
      <c r="AQ103" s="11">
        <f>_xlfn.MINIFS('Draft Board'!$AN$2:$AN$193,'Draft Board'!$AN$2:$AN$193,"&gt;="&amp;AN103,'Draft Board'!$AP$2:$AP$193,1)</f>
        <v>0</v>
      </c>
      <c r="AR103" s="11">
        <f>IF(AO103&lt;&gt;_xlfn.MINIFS('Draft Board'!$AO$2:$AO$193,'Draft Board'!$AN$2:$AN$193,"="&amp;AN103),0,IF(OR(AP103=1,IFERROR(FLOOR((AQ103-AN103)/AQ103/0.25,1),0)&lt;&gt;IFERROR(FLOOR((AQ103-_xlfn.MINIFS('Draft Board'!$AN$2:$AN$193,'Draft Board'!$AN$2:$AN$193,"&gt;"&amp;AN103))/AQ103/0.25,1),0)),1,0))</f>
        <v>0</v>
      </c>
      <c r="AS103" s="11">
        <f>ROUND(1+AN103*'Live Calc'!$D$28,0)</f>
        <v>1</v>
      </c>
      <c r="AT103" s="11"/>
      <c r="AU103" s="11">
        <f>IF(AT103&lt;&gt;"",AT103,ROUND(AS103*INDEX('Live Calc'!$G$259:$G$450,MATCH(AM103,'Live Calc'!$A$259:$A$450,0))*'Live Calc'!$J$543,0))</f>
        <v>1</v>
      </c>
    </row>
    <row r="104" spans="17:47" x14ac:dyDescent="0.25">
      <c r="Q104" s="10" t="s">
        <v>437</v>
      </c>
      <c r="R104" s="10" t="s">
        <v>90</v>
      </c>
      <c r="S104" s="10">
        <v>18.850000000000001</v>
      </c>
      <c r="T104" s="10">
        <v>21.856000000000002</v>
      </c>
      <c r="U104" s="10">
        <v>23.102</v>
      </c>
      <c r="V104" s="10">
        <f>CHOOSE(MATCH(Setup!$B$7,{"STD","Half-PPR","PPR"},0),S104,T104,U104)</f>
        <v>21.856000000000002</v>
      </c>
      <c r="W104" s="10">
        <f>COUNTIFS('Draft Board'!$X$2:$X$161,"&gt;="&amp;X104,'Draft Board'!$AB$2:$AB$161,1)</f>
        <v>14</v>
      </c>
      <c r="X104" s="10">
        <f>MAX(0,V104-'Live Calc'!$H$20)^'Live Calc'!$E$20</f>
        <v>0</v>
      </c>
      <c r="Y104" s="10">
        <v>104</v>
      </c>
      <c r="Z104" s="10">
        <f>IF(Y104&lt;&gt;_xlfn.MINIFS('Draft Board'!$Y$2:$Y$161,'Draft Board'!$X$2:$X$161,"="&amp;X104),0,IF(_xlfn.MINIFS('Draft Board'!$X$2:$X$161,'Draft Board'!$X$2:$X$161,"&gt;"&amp;X104)=0,1,IF((_xlfn.MINIFS('Draft Board'!$X$2:$X$161,'Draft Board'!$X$2:$X$161,"&gt;"&amp;X104)-X104)/_xlfn.MINIFS('Draft Board'!$X$2:$X$161,'Draft Board'!$X$2:$X$161,"&gt;"&amp;X104)&gt;0.08,1,0)))</f>
        <v>0</v>
      </c>
      <c r="AA104" s="10">
        <f>_xlfn.MINIFS('Draft Board'!$X$2:$X$161,'Draft Board'!$X$2:$X$161,"&gt;="&amp;X104,'Draft Board'!$Z$2:$Z$161,1)</f>
        <v>0</v>
      </c>
      <c r="AB104" s="10">
        <f>IF(Y104&lt;&gt;_xlfn.MINIFS('Draft Board'!$Y$2:$Y$161,'Draft Board'!$X$2:$X$161,"="&amp;X104),0,IF(OR(Z104=1,IFERROR(FLOOR((AA104-X104)/AA104/0.25,1),0)&lt;&gt;IFERROR(FLOOR((AA104-_xlfn.MINIFS('Draft Board'!$X$2:$X$161,'Draft Board'!$X$2:$X$161,"&gt;"&amp;X104))/AA104/0.25,1),0)),1,0))</f>
        <v>0</v>
      </c>
      <c r="AC104" s="10">
        <f>ROUND(1+X104*'Live Calc'!$D$27,0)</f>
        <v>1</v>
      </c>
      <c r="AD104" s="10"/>
      <c r="AE104" s="10">
        <f>IF(AD104&lt;&gt;"",AD104,ROUND(AC104*INDEX('Live Calc'!$G$96:$G$255,MATCH(W104,'Live Calc'!$A$96:$A$255,0))*'Live Calc'!$J$543,0))</f>
        <v>1</v>
      </c>
      <c r="AG104" s="11" t="s">
        <v>438</v>
      </c>
      <c r="AH104" s="11" t="s">
        <v>149</v>
      </c>
      <c r="AI104" s="11">
        <v>43.591999999999999</v>
      </c>
      <c r="AJ104" s="11">
        <v>56.216000000000001</v>
      </c>
      <c r="AK104" s="11">
        <v>68.894000000000005</v>
      </c>
      <c r="AL104" s="11">
        <f>CHOOSE(MATCH(Setup!$B$7,{"STD","Half-PPR","PPR"},0),AI104,AJ104,AK104)</f>
        <v>56.216000000000001</v>
      </c>
      <c r="AM104" s="11">
        <f>COUNTIFS('Draft Board'!$AN$2:$AN$193,"&gt;="&amp;AN104,'Draft Board'!$AR$2:$AR$193,1)</f>
        <v>20</v>
      </c>
      <c r="AN104" s="11">
        <f>MAX(0,AL104-'Live Calc'!$H$21)^'Live Calc'!$E$21</f>
        <v>0</v>
      </c>
      <c r="AO104" s="11">
        <v>104</v>
      </c>
      <c r="AP104" s="11">
        <f>IF(AO104&lt;&gt;_xlfn.MINIFS('Draft Board'!$AO$2:$AO$193,'Draft Board'!$AN$2:$AN$193,"="&amp;AN104),0,IF(_xlfn.MINIFS('Draft Board'!$AN$2:$AN$193,'Draft Board'!$AN$2:$AN$193,"&gt;"&amp;AN104)=0,1,IF((_xlfn.MINIFS('Draft Board'!$AN$2:$AN$193,'Draft Board'!$AN$2:$AN$193,"&gt;"&amp;AN104)-AN104)/_xlfn.MINIFS('Draft Board'!$AN$2:$AN$193,'Draft Board'!$AN$2:$AN$193,"&gt;"&amp;AN104)&gt;0.08,1,0)))</f>
        <v>0</v>
      </c>
      <c r="AQ104" s="11">
        <f>_xlfn.MINIFS('Draft Board'!$AN$2:$AN$193,'Draft Board'!$AN$2:$AN$193,"&gt;="&amp;AN104,'Draft Board'!$AP$2:$AP$193,1)</f>
        <v>0</v>
      </c>
      <c r="AR104" s="11">
        <f>IF(AO104&lt;&gt;_xlfn.MINIFS('Draft Board'!$AO$2:$AO$193,'Draft Board'!$AN$2:$AN$193,"="&amp;AN104),0,IF(OR(AP104=1,IFERROR(FLOOR((AQ104-AN104)/AQ104/0.25,1),0)&lt;&gt;IFERROR(FLOOR((AQ104-_xlfn.MINIFS('Draft Board'!$AN$2:$AN$193,'Draft Board'!$AN$2:$AN$193,"&gt;"&amp;AN104))/AQ104/0.25,1),0)),1,0))</f>
        <v>0</v>
      </c>
      <c r="AS104" s="11">
        <f>ROUND(1+AN104*'Live Calc'!$D$28,0)</f>
        <v>1</v>
      </c>
      <c r="AT104" s="11"/>
      <c r="AU104" s="11">
        <f>IF(AT104&lt;&gt;"",AT104,ROUND(AS104*INDEX('Live Calc'!$G$259:$G$450,MATCH(AM104,'Live Calc'!$A$259:$A$450,0))*'Live Calc'!$J$543,0))</f>
        <v>1</v>
      </c>
    </row>
    <row r="105" spans="17:47" x14ac:dyDescent="0.25">
      <c r="Q105" s="10" t="s">
        <v>439</v>
      </c>
      <c r="R105" s="10" t="s">
        <v>246</v>
      </c>
      <c r="S105" s="10">
        <v>19.628</v>
      </c>
      <c r="T105" s="10">
        <v>21.684000000000001</v>
      </c>
      <c r="U105" s="10">
        <v>24.19</v>
      </c>
      <c r="V105" s="10">
        <f>CHOOSE(MATCH(Setup!$B$7,{"STD","Half-PPR","PPR"},0),S105,T105,U105)</f>
        <v>21.684000000000001</v>
      </c>
      <c r="W105" s="10">
        <f>COUNTIFS('Draft Board'!$X$2:$X$161,"&gt;="&amp;X105,'Draft Board'!$AB$2:$AB$161,1)</f>
        <v>14</v>
      </c>
      <c r="X105" s="10">
        <f>MAX(0,V105-'Live Calc'!$H$20)^'Live Calc'!$E$20</f>
        <v>0</v>
      </c>
      <c r="Y105" s="10">
        <v>105</v>
      </c>
      <c r="Z105" s="10">
        <f>IF(Y105&lt;&gt;_xlfn.MINIFS('Draft Board'!$Y$2:$Y$161,'Draft Board'!$X$2:$X$161,"="&amp;X105),0,IF(_xlfn.MINIFS('Draft Board'!$X$2:$X$161,'Draft Board'!$X$2:$X$161,"&gt;"&amp;X105)=0,1,IF((_xlfn.MINIFS('Draft Board'!$X$2:$X$161,'Draft Board'!$X$2:$X$161,"&gt;"&amp;X105)-X105)/_xlfn.MINIFS('Draft Board'!$X$2:$X$161,'Draft Board'!$X$2:$X$161,"&gt;"&amp;X105)&gt;0.08,1,0)))</f>
        <v>0</v>
      </c>
      <c r="AA105" s="10">
        <f>_xlfn.MINIFS('Draft Board'!$X$2:$X$161,'Draft Board'!$X$2:$X$161,"&gt;="&amp;X105,'Draft Board'!$Z$2:$Z$161,1)</f>
        <v>0</v>
      </c>
      <c r="AB105" s="10">
        <f>IF(Y105&lt;&gt;_xlfn.MINIFS('Draft Board'!$Y$2:$Y$161,'Draft Board'!$X$2:$X$161,"="&amp;X105),0,IF(OR(Z105=1,IFERROR(FLOOR((AA105-X105)/AA105/0.25,1),0)&lt;&gt;IFERROR(FLOOR((AA105-_xlfn.MINIFS('Draft Board'!$X$2:$X$161,'Draft Board'!$X$2:$X$161,"&gt;"&amp;X105))/AA105/0.25,1),0)),1,0))</f>
        <v>0</v>
      </c>
      <c r="AC105" s="10">
        <f>ROUND(1+X105*'Live Calc'!$D$27,0)</f>
        <v>1</v>
      </c>
      <c r="AD105" s="10"/>
      <c r="AE105" s="10">
        <f>IF(AD105&lt;&gt;"",AD105,ROUND(AC105*INDEX('Live Calc'!$G$96:$G$255,MATCH(W105,'Live Calc'!$A$96:$A$255,0))*'Live Calc'!$J$543,0))</f>
        <v>1</v>
      </c>
      <c r="AG105" s="11" t="s">
        <v>440</v>
      </c>
      <c r="AH105" s="11" t="s">
        <v>61</v>
      </c>
      <c r="AI105" s="11">
        <v>39.613999999999997</v>
      </c>
      <c r="AJ105" s="11">
        <v>54.83</v>
      </c>
      <c r="AK105" s="11">
        <v>67.593999999999994</v>
      </c>
      <c r="AL105" s="11">
        <f>CHOOSE(MATCH(Setup!$B$7,{"STD","Half-PPR","PPR"},0),AI105,AJ105,AK105)</f>
        <v>54.83</v>
      </c>
      <c r="AM105" s="11">
        <f>COUNTIFS('Draft Board'!$AN$2:$AN$193,"&gt;="&amp;AN105,'Draft Board'!$AR$2:$AR$193,1)</f>
        <v>20</v>
      </c>
      <c r="AN105" s="11">
        <f>MAX(0,AL105-'Live Calc'!$H$21)^'Live Calc'!$E$21</f>
        <v>0</v>
      </c>
      <c r="AO105" s="11">
        <v>105</v>
      </c>
      <c r="AP105" s="11">
        <f>IF(AO105&lt;&gt;_xlfn.MINIFS('Draft Board'!$AO$2:$AO$193,'Draft Board'!$AN$2:$AN$193,"="&amp;AN105),0,IF(_xlfn.MINIFS('Draft Board'!$AN$2:$AN$193,'Draft Board'!$AN$2:$AN$193,"&gt;"&amp;AN105)=0,1,IF((_xlfn.MINIFS('Draft Board'!$AN$2:$AN$193,'Draft Board'!$AN$2:$AN$193,"&gt;"&amp;AN105)-AN105)/_xlfn.MINIFS('Draft Board'!$AN$2:$AN$193,'Draft Board'!$AN$2:$AN$193,"&gt;"&amp;AN105)&gt;0.08,1,0)))</f>
        <v>0</v>
      </c>
      <c r="AQ105" s="11">
        <f>_xlfn.MINIFS('Draft Board'!$AN$2:$AN$193,'Draft Board'!$AN$2:$AN$193,"&gt;="&amp;AN105,'Draft Board'!$AP$2:$AP$193,1)</f>
        <v>0</v>
      </c>
      <c r="AR105" s="11">
        <f>IF(AO105&lt;&gt;_xlfn.MINIFS('Draft Board'!$AO$2:$AO$193,'Draft Board'!$AN$2:$AN$193,"="&amp;AN105),0,IF(OR(AP105=1,IFERROR(FLOOR((AQ105-AN105)/AQ105/0.25,1),0)&lt;&gt;IFERROR(FLOOR((AQ105-_xlfn.MINIFS('Draft Board'!$AN$2:$AN$193,'Draft Board'!$AN$2:$AN$193,"&gt;"&amp;AN105))/AQ105/0.25,1),0)),1,0))</f>
        <v>0</v>
      </c>
      <c r="AS105" s="11">
        <f>ROUND(1+AN105*'Live Calc'!$D$28,0)</f>
        <v>1</v>
      </c>
      <c r="AT105" s="11"/>
      <c r="AU105" s="11">
        <f>IF(AT105&lt;&gt;"",AT105,ROUND(AS105*INDEX('Live Calc'!$G$259:$G$450,MATCH(AM105,'Live Calc'!$A$259:$A$450,0))*'Live Calc'!$J$543,0))</f>
        <v>1</v>
      </c>
    </row>
    <row r="106" spans="17:47" x14ac:dyDescent="0.25">
      <c r="Q106" s="10" t="s">
        <v>441</v>
      </c>
      <c r="R106" s="10" t="s">
        <v>63</v>
      </c>
      <c r="S106" s="10">
        <v>18.670000000000002</v>
      </c>
      <c r="T106" s="10">
        <v>21.34</v>
      </c>
      <c r="U106" s="10">
        <v>24.01</v>
      </c>
      <c r="V106" s="10">
        <f>CHOOSE(MATCH(Setup!$B$7,{"STD","Half-PPR","PPR"},0),S106,T106,U106)</f>
        <v>21.34</v>
      </c>
      <c r="W106" s="10">
        <f>COUNTIFS('Draft Board'!$X$2:$X$161,"&gt;="&amp;X106,'Draft Board'!$AB$2:$AB$161,1)</f>
        <v>14</v>
      </c>
      <c r="X106" s="10">
        <f>MAX(0,V106-'Live Calc'!$H$20)^'Live Calc'!$E$20</f>
        <v>0</v>
      </c>
      <c r="Y106" s="10">
        <v>106</v>
      </c>
      <c r="Z106" s="10">
        <f>IF(Y106&lt;&gt;_xlfn.MINIFS('Draft Board'!$Y$2:$Y$161,'Draft Board'!$X$2:$X$161,"="&amp;X106),0,IF(_xlfn.MINIFS('Draft Board'!$X$2:$X$161,'Draft Board'!$X$2:$X$161,"&gt;"&amp;X106)=0,1,IF((_xlfn.MINIFS('Draft Board'!$X$2:$X$161,'Draft Board'!$X$2:$X$161,"&gt;"&amp;X106)-X106)/_xlfn.MINIFS('Draft Board'!$X$2:$X$161,'Draft Board'!$X$2:$X$161,"&gt;"&amp;X106)&gt;0.08,1,0)))</f>
        <v>0</v>
      </c>
      <c r="AA106" s="10">
        <f>_xlfn.MINIFS('Draft Board'!$X$2:$X$161,'Draft Board'!$X$2:$X$161,"&gt;="&amp;X106,'Draft Board'!$Z$2:$Z$161,1)</f>
        <v>0</v>
      </c>
      <c r="AB106" s="10">
        <f>IF(Y106&lt;&gt;_xlfn.MINIFS('Draft Board'!$Y$2:$Y$161,'Draft Board'!$X$2:$X$161,"="&amp;X106),0,IF(OR(Z106=1,IFERROR(FLOOR((AA106-X106)/AA106/0.25,1),0)&lt;&gt;IFERROR(FLOOR((AA106-_xlfn.MINIFS('Draft Board'!$X$2:$X$161,'Draft Board'!$X$2:$X$161,"&gt;"&amp;X106))/AA106/0.25,1),0)),1,0))</f>
        <v>0</v>
      </c>
      <c r="AC106" s="10">
        <f>ROUND(1+X106*'Live Calc'!$D$27,0)</f>
        <v>1</v>
      </c>
      <c r="AD106" s="10"/>
      <c r="AE106" s="10">
        <f>IF(AD106&lt;&gt;"",AD106,ROUND(AC106*INDEX('Live Calc'!$G$96:$G$255,MATCH(W106,'Live Calc'!$A$96:$A$255,0))*'Live Calc'!$J$543,0))</f>
        <v>1</v>
      </c>
      <c r="AG106" s="11" t="s">
        <v>442</v>
      </c>
      <c r="AH106" s="11" t="s">
        <v>65</v>
      </c>
      <c r="AI106" s="11">
        <v>41.707999999999998</v>
      </c>
      <c r="AJ106" s="11">
        <v>54.42</v>
      </c>
      <c r="AK106" s="11">
        <v>66.921999999999997</v>
      </c>
      <c r="AL106" s="11">
        <f>CHOOSE(MATCH(Setup!$B$7,{"STD","Half-PPR","PPR"},0),AI106,AJ106,AK106)</f>
        <v>54.42</v>
      </c>
      <c r="AM106" s="11">
        <f>COUNTIFS('Draft Board'!$AN$2:$AN$193,"&gt;="&amp;AN106,'Draft Board'!$AR$2:$AR$193,1)</f>
        <v>20</v>
      </c>
      <c r="AN106" s="11">
        <f>MAX(0,AL106-'Live Calc'!$H$21)^'Live Calc'!$E$21</f>
        <v>0</v>
      </c>
      <c r="AO106" s="11">
        <v>106</v>
      </c>
      <c r="AP106" s="11">
        <f>IF(AO106&lt;&gt;_xlfn.MINIFS('Draft Board'!$AO$2:$AO$193,'Draft Board'!$AN$2:$AN$193,"="&amp;AN106),0,IF(_xlfn.MINIFS('Draft Board'!$AN$2:$AN$193,'Draft Board'!$AN$2:$AN$193,"&gt;"&amp;AN106)=0,1,IF((_xlfn.MINIFS('Draft Board'!$AN$2:$AN$193,'Draft Board'!$AN$2:$AN$193,"&gt;"&amp;AN106)-AN106)/_xlfn.MINIFS('Draft Board'!$AN$2:$AN$193,'Draft Board'!$AN$2:$AN$193,"&gt;"&amp;AN106)&gt;0.08,1,0)))</f>
        <v>0</v>
      </c>
      <c r="AQ106" s="11">
        <f>_xlfn.MINIFS('Draft Board'!$AN$2:$AN$193,'Draft Board'!$AN$2:$AN$193,"&gt;="&amp;AN106,'Draft Board'!$AP$2:$AP$193,1)</f>
        <v>0</v>
      </c>
      <c r="AR106" s="11">
        <f>IF(AO106&lt;&gt;_xlfn.MINIFS('Draft Board'!$AO$2:$AO$193,'Draft Board'!$AN$2:$AN$193,"="&amp;AN106),0,IF(OR(AP106=1,IFERROR(FLOOR((AQ106-AN106)/AQ106/0.25,1),0)&lt;&gt;IFERROR(FLOOR((AQ106-_xlfn.MINIFS('Draft Board'!$AN$2:$AN$193,'Draft Board'!$AN$2:$AN$193,"&gt;"&amp;AN106))/AQ106/0.25,1),0)),1,0))</f>
        <v>0</v>
      </c>
      <c r="AS106" s="11">
        <f>ROUND(1+AN106*'Live Calc'!$D$28,0)</f>
        <v>1</v>
      </c>
      <c r="AT106" s="11"/>
      <c r="AU106" s="11">
        <f>IF(AT106&lt;&gt;"",AT106,ROUND(AS106*INDEX('Live Calc'!$G$259:$G$450,MATCH(AM106,'Live Calc'!$A$259:$A$450,0))*'Live Calc'!$J$543,0))</f>
        <v>1</v>
      </c>
    </row>
    <row r="107" spans="17:47" x14ac:dyDescent="0.25">
      <c r="Q107" s="10" t="s">
        <v>443</v>
      </c>
      <c r="R107" s="10" t="s">
        <v>185</v>
      </c>
      <c r="S107" s="10">
        <v>16.391999999999999</v>
      </c>
      <c r="T107" s="10">
        <v>21.335999999999999</v>
      </c>
      <c r="U107" s="10">
        <v>25.428000000000001</v>
      </c>
      <c r="V107" s="10">
        <f>CHOOSE(MATCH(Setup!$B$7,{"STD","Half-PPR","PPR"},0),S107,T107,U107)</f>
        <v>21.335999999999999</v>
      </c>
      <c r="W107" s="10">
        <f>COUNTIFS('Draft Board'!$X$2:$X$161,"&gt;="&amp;X107,'Draft Board'!$AB$2:$AB$161,1)</f>
        <v>14</v>
      </c>
      <c r="X107" s="10">
        <f>MAX(0,V107-'Live Calc'!$H$20)^'Live Calc'!$E$20</f>
        <v>0</v>
      </c>
      <c r="Y107" s="10">
        <v>107</v>
      </c>
      <c r="Z107" s="10">
        <f>IF(Y107&lt;&gt;_xlfn.MINIFS('Draft Board'!$Y$2:$Y$161,'Draft Board'!$X$2:$X$161,"="&amp;X107),0,IF(_xlfn.MINIFS('Draft Board'!$X$2:$X$161,'Draft Board'!$X$2:$X$161,"&gt;"&amp;X107)=0,1,IF((_xlfn.MINIFS('Draft Board'!$X$2:$X$161,'Draft Board'!$X$2:$X$161,"&gt;"&amp;X107)-X107)/_xlfn.MINIFS('Draft Board'!$X$2:$X$161,'Draft Board'!$X$2:$X$161,"&gt;"&amp;X107)&gt;0.08,1,0)))</f>
        <v>0</v>
      </c>
      <c r="AA107" s="10">
        <f>_xlfn.MINIFS('Draft Board'!$X$2:$X$161,'Draft Board'!$X$2:$X$161,"&gt;="&amp;X107,'Draft Board'!$Z$2:$Z$161,1)</f>
        <v>0</v>
      </c>
      <c r="AB107" s="10">
        <f>IF(Y107&lt;&gt;_xlfn.MINIFS('Draft Board'!$Y$2:$Y$161,'Draft Board'!$X$2:$X$161,"="&amp;X107),0,IF(OR(Z107=1,IFERROR(FLOOR((AA107-X107)/AA107/0.25,1),0)&lt;&gt;IFERROR(FLOOR((AA107-_xlfn.MINIFS('Draft Board'!$X$2:$X$161,'Draft Board'!$X$2:$X$161,"&gt;"&amp;X107))/AA107/0.25,1),0)),1,0))</f>
        <v>0</v>
      </c>
      <c r="AC107" s="10">
        <f>ROUND(1+X107*'Live Calc'!$D$27,0)</f>
        <v>1</v>
      </c>
      <c r="AD107" s="10"/>
      <c r="AE107" s="10">
        <f>IF(AD107&lt;&gt;"",AD107,ROUND(AC107*INDEX('Live Calc'!$G$96:$G$255,MATCH(W107,'Live Calc'!$A$96:$A$255,0))*'Live Calc'!$J$543,0))</f>
        <v>1</v>
      </c>
      <c r="AG107" s="11" t="s">
        <v>444</v>
      </c>
      <c r="AH107" s="11" t="s">
        <v>88</v>
      </c>
      <c r="AI107" s="11">
        <v>44.396000000000001</v>
      </c>
      <c r="AJ107" s="11">
        <v>54.356000000000002</v>
      </c>
      <c r="AK107" s="11">
        <v>64.897999999999996</v>
      </c>
      <c r="AL107" s="11">
        <f>CHOOSE(MATCH(Setup!$B$7,{"STD","Half-PPR","PPR"},0),AI107,AJ107,AK107)</f>
        <v>54.356000000000002</v>
      </c>
      <c r="AM107" s="11">
        <f>COUNTIFS('Draft Board'!$AN$2:$AN$193,"&gt;="&amp;AN107,'Draft Board'!$AR$2:$AR$193,1)</f>
        <v>20</v>
      </c>
      <c r="AN107" s="11">
        <f>MAX(0,AL107-'Live Calc'!$H$21)^'Live Calc'!$E$21</f>
        <v>0</v>
      </c>
      <c r="AO107" s="11">
        <v>107</v>
      </c>
      <c r="AP107" s="11">
        <f>IF(AO107&lt;&gt;_xlfn.MINIFS('Draft Board'!$AO$2:$AO$193,'Draft Board'!$AN$2:$AN$193,"="&amp;AN107),0,IF(_xlfn.MINIFS('Draft Board'!$AN$2:$AN$193,'Draft Board'!$AN$2:$AN$193,"&gt;"&amp;AN107)=0,1,IF((_xlfn.MINIFS('Draft Board'!$AN$2:$AN$193,'Draft Board'!$AN$2:$AN$193,"&gt;"&amp;AN107)-AN107)/_xlfn.MINIFS('Draft Board'!$AN$2:$AN$193,'Draft Board'!$AN$2:$AN$193,"&gt;"&amp;AN107)&gt;0.08,1,0)))</f>
        <v>0</v>
      </c>
      <c r="AQ107" s="11">
        <f>_xlfn.MINIFS('Draft Board'!$AN$2:$AN$193,'Draft Board'!$AN$2:$AN$193,"&gt;="&amp;AN107,'Draft Board'!$AP$2:$AP$193,1)</f>
        <v>0</v>
      </c>
      <c r="AR107" s="11">
        <f>IF(AO107&lt;&gt;_xlfn.MINIFS('Draft Board'!$AO$2:$AO$193,'Draft Board'!$AN$2:$AN$193,"="&amp;AN107),0,IF(OR(AP107=1,IFERROR(FLOOR((AQ107-AN107)/AQ107/0.25,1),0)&lt;&gt;IFERROR(FLOOR((AQ107-_xlfn.MINIFS('Draft Board'!$AN$2:$AN$193,'Draft Board'!$AN$2:$AN$193,"&gt;"&amp;AN107))/AQ107/0.25,1),0)),1,0))</f>
        <v>0</v>
      </c>
      <c r="AS107" s="11">
        <f>ROUND(1+AN107*'Live Calc'!$D$28,0)</f>
        <v>1</v>
      </c>
      <c r="AT107" s="11"/>
      <c r="AU107" s="11">
        <f>IF(AT107&lt;&gt;"",AT107,ROUND(AS107*INDEX('Live Calc'!$G$259:$G$450,MATCH(AM107,'Live Calc'!$A$259:$A$450,0))*'Live Calc'!$J$543,0))</f>
        <v>1</v>
      </c>
    </row>
    <row r="108" spans="17:47" x14ac:dyDescent="0.25">
      <c r="Q108" s="10" t="s">
        <v>445</v>
      </c>
      <c r="R108" s="10" t="s">
        <v>85</v>
      </c>
      <c r="S108" s="10">
        <v>17.108000000000001</v>
      </c>
      <c r="T108" s="10">
        <v>21.13</v>
      </c>
      <c r="U108" s="10">
        <v>25.622</v>
      </c>
      <c r="V108" s="10">
        <f>CHOOSE(MATCH(Setup!$B$7,{"STD","Half-PPR","PPR"},0),S108,T108,U108)</f>
        <v>21.13</v>
      </c>
      <c r="W108" s="10">
        <f>COUNTIFS('Draft Board'!$X$2:$X$161,"&gt;="&amp;X108,'Draft Board'!$AB$2:$AB$161,1)</f>
        <v>14</v>
      </c>
      <c r="X108" s="10">
        <f>MAX(0,V108-'Live Calc'!$H$20)^'Live Calc'!$E$20</f>
        <v>0</v>
      </c>
      <c r="Y108" s="10">
        <v>108</v>
      </c>
      <c r="Z108" s="10">
        <f>IF(Y108&lt;&gt;_xlfn.MINIFS('Draft Board'!$Y$2:$Y$161,'Draft Board'!$X$2:$X$161,"="&amp;X108),0,IF(_xlfn.MINIFS('Draft Board'!$X$2:$X$161,'Draft Board'!$X$2:$X$161,"&gt;"&amp;X108)=0,1,IF((_xlfn.MINIFS('Draft Board'!$X$2:$X$161,'Draft Board'!$X$2:$X$161,"&gt;"&amp;X108)-X108)/_xlfn.MINIFS('Draft Board'!$X$2:$X$161,'Draft Board'!$X$2:$X$161,"&gt;"&amp;X108)&gt;0.08,1,0)))</f>
        <v>0</v>
      </c>
      <c r="AA108" s="10">
        <f>_xlfn.MINIFS('Draft Board'!$X$2:$X$161,'Draft Board'!$X$2:$X$161,"&gt;="&amp;X108,'Draft Board'!$Z$2:$Z$161,1)</f>
        <v>0</v>
      </c>
      <c r="AB108" s="10">
        <f>IF(Y108&lt;&gt;_xlfn.MINIFS('Draft Board'!$Y$2:$Y$161,'Draft Board'!$X$2:$X$161,"="&amp;X108),0,IF(OR(Z108=1,IFERROR(FLOOR((AA108-X108)/AA108/0.25,1),0)&lt;&gt;IFERROR(FLOOR((AA108-_xlfn.MINIFS('Draft Board'!$X$2:$X$161,'Draft Board'!$X$2:$X$161,"&gt;"&amp;X108))/AA108/0.25,1),0)),1,0))</f>
        <v>0</v>
      </c>
      <c r="AC108" s="10">
        <f>ROUND(1+X108*'Live Calc'!$D$27,0)</f>
        <v>1</v>
      </c>
      <c r="AD108" s="10"/>
      <c r="AE108" s="10">
        <f>IF(AD108&lt;&gt;"",AD108,ROUND(AC108*INDEX('Live Calc'!$G$96:$G$255,MATCH(W108,'Live Calc'!$A$96:$A$255,0))*'Live Calc'!$J$543,0))</f>
        <v>1</v>
      </c>
      <c r="AG108" s="11" t="s">
        <v>446</v>
      </c>
      <c r="AH108" s="11" t="s">
        <v>93</v>
      </c>
      <c r="AI108" s="11">
        <v>41.054000000000002</v>
      </c>
      <c r="AJ108" s="11">
        <v>53.508000000000003</v>
      </c>
      <c r="AK108" s="11">
        <v>66.183999999999997</v>
      </c>
      <c r="AL108" s="11">
        <f>CHOOSE(MATCH(Setup!$B$7,{"STD","Half-PPR","PPR"},0),AI108,AJ108,AK108)</f>
        <v>53.508000000000003</v>
      </c>
      <c r="AM108" s="11">
        <f>COUNTIFS('Draft Board'!$AN$2:$AN$193,"&gt;="&amp;AN108,'Draft Board'!$AR$2:$AR$193,1)</f>
        <v>20</v>
      </c>
      <c r="AN108" s="11">
        <f>MAX(0,AL108-'Live Calc'!$H$21)^'Live Calc'!$E$21</f>
        <v>0</v>
      </c>
      <c r="AO108" s="11">
        <v>108</v>
      </c>
      <c r="AP108" s="11">
        <f>IF(AO108&lt;&gt;_xlfn.MINIFS('Draft Board'!$AO$2:$AO$193,'Draft Board'!$AN$2:$AN$193,"="&amp;AN108),0,IF(_xlfn.MINIFS('Draft Board'!$AN$2:$AN$193,'Draft Board'!$AN$2:$AN$193,"&gt;"&amp;AN108)=0,1,IF((_xlfn.MINIFS('Draft Board'!$AN$2:$AN$193,'Draft Board'!$AN$2:$AN$193,"&gt;"&amp;AN108)-AN108)/_xlfn.MINIFS('Draft Board'!$AN$2:$AN$193,'Draft Board'!$AN$2:$AN$193,"&gt;"&amp;AN108)&gt;0.08,1,0)))</f>
        <v>0</v>
      </c>
      <c r="AQ108" s="11">
        <f>_xlfn.MINIFS('Draft Board'!$AN$2:$AN$193,'Draft Board'!$AN$2:$AN$193,"&gt;="&amp;AN108,'Draft Board'!$AP$2:$AP$193,1)</f>
        <v>0</v>
      </c>
      <c r="AR108" s="11">
        <f>IF(AO108&lt;&gt;_xlfn.MINIFS('Draft Board'!$AO$2:$AO$193,'Draft Board'!$AN$2:$AN$193,"="&amp;AN108),0,IF(OR(AP108=1,IFERROR(FLOOR((AQ108-AN108)/AQ108/0.25,1),0)&lt;&gt;IFERROR(FLOOR((AQ108-_xlfn.MINIFS('Draft Board'!$AN$2:$AN$193,'Draft Board'!$AN$2:$AN$193,"&gt;"&amp;AN108))/AQ108/0.25,1),0)),1,0))</f>
        <v>0</v>
      </c>
      <c r="AS108" s="11">
        <f>ROUND(1+AN108*'Live Calc'!$D$28,0)</f>
        <v>1</v>
      </c>
      <c r="AT108" s="11"/>
      <c r="AU108" s="11">
        <f>IF(AT108&lt;&gt;"",AT108,ROUND(AS108*INDEX('Live Calc'!$G$259:$G$450,MATCH(AM108,'Live Calc'!$A$259:$A$450,0))*'Live Calc'!$J$543,0))</f>
        <v>1</v>
      </c>
    </row>
    <row r="109" spans="17:47" x14ac:dyDescent="0.25">
      <c r="Q109" s="10" t="s">
        <v>447</v>
      </c>
      <c r="R109" s="10" t="s">
        <v>149</v>
      </c>
      <c r="S109" s="10">
        <v>17.943999999999999</v>
      </c>
      <c r="T109" s="10">
        <v>20.841999999999999</v>
      </c>
      <c r="U109" s="10">
        <v>24.501999999999999</v>
      </c>
      <c r="V109" s="10">
        <f>CHOOSE(MATCH(Setup!$B$7,{"STD","Half-PPR","PPR"},0),S109,T109,U109)</f>
        <v>20.841999999999999</v>
      </c>
      <c r="W109" s="10">
        <f>COUNTIFS('Draft Board'!$X$2:$X$161,"&gt;="&amp;X109,'Draft Board'!$AB$2:$AB$161,1)</f>
        <v>14</v>
      </c>
      <c r="X109" s="10">
        <f>MAX(0,V109-'Live Calc'!$H$20)^'Live Calc'!$E$20</f>
        <v>0</v>
      </c>
      <c r="Y109" s="10">
        <v>109</v>
      </c>
      <c r="Z109" s="10">
        <f>IF(Y109&lt;&gt;_xlfn.MINIFS('Draft Board'!$Y$2:$Y$161,'Draft Board'!$X$2:$X$161,"="&amp;X109),0,IF(_xlfn.MINIFS('Draft Board'!$X$2:$X$161,'Draft Board'!$X$2:$X$161,"&gt;"&amp;X109)=0,1,IF((_xlfn.MINIFS('Draft Board'!$X$2:$X$161,'Draft Board'!$X$2:$X$161,"&gt;"&amp;X109)-X109)/_xlfn.MINIFS('Draft Board'!$X$2:$X$161,'Draft Board'!$X$2:$X$161,"&gt;"&amp;X109)&gt;0.08,1,0)))</f>
        <v>0</v>
      </c>
      <c r="AA109" s="10">
        <f>_xlfn.MINIFS('Draft Board'!$X$2:$X$161,'Draft Board'!$X$2:$X$161,"&gt;="&amp;X109,'Draft Board'!$Z$2:$Z$161,1)</f>
        <v>0</v>
      </c>
      <c r="AB109" s="10">
        <f>IF(Y109&lt;&gt;_xlfn.MINIFS('Draft Board'!$Y$2:$Y$161,'Draft Board'!$X$2:$X$161,"="&amp;X109),0,IF(OR(Z109=1,IFERROR(FLOOR((AA109-X109)/AA109/0.25,1),0)&lt;&gt;IFERROR(FLOOR((AA109-_xlfn.MINIFS('Draft Board'!$X$2:$X$161,'Draft Board'!$X$2:$X$161,"&gt;"&amp;X109))/AA109/0.25,1),0)),1,0))</f>
        <v>0</v>
      </c>
      <c r="AC109" s="10">
        <f>ROUND(1+X109*'Live Calc'!$D$27,0)</f>
        <v>1</v>
      </c>
      <c r="AD109" s="10"/>
      <c r="AE109" s="10">
        <f>IF(AD109&lt;&gt;"",AD109,ROUND(AC109*INDEX('Live Calc'!$G$96:$G$255,MATCH(W109,'Live Calc'!$A$96:$A$255,0))*'Live Calc'!$J$543,0))</f>
        <v>1</v>
      </c>
      <c r="AG109" s="11" t="s">
        <v>448</v>
      </c>
      <c r="AH109" s="11" t="s">
        <v>149</v>
      </c>
      <c r="AI109" s="11">
        <v>40.567999999999998</v>
      </c>
      <c r="AJ109" s="11">
        <v>53.393999999999998</v>
      </c>
      <c r="AK109" s="11">
        <v>67.262</v>
      </c>
      <c r="AL109" s="11">
        <f>CHOOSE(MATCH(Setup!$B$7,{"STD","Half-PPR","PPR"},0),AI109,AJ109,AK109)</f>
        <v>53.393999999999998</v>
      </c>
      <c r="AM109" s="11">
        <f>COUNTIFS('Draft Board'!$AN$2:$AN$193,"&gt;="&amp;AN109,'Draft Board'!$AR$2:$AR$193,1)</f>
        <v>20</v>
      </c>
      <c r="AN109" s="11">
        <f>MAX(0,AL109-'Live Calc'!$H$21)^'Live Calc'!$E$21</f>
        <v>0</v>
      </c>
      <c r="AO109" s="11">
        <v>109</v>
      </c>
      <c r="AP109" s="11">
        <f>IF(AO109&lt;&gt;_xlfn.MINIFS('Draft Board'!$AO$2:$AO$193,'Draft Board'!$AN$2:$AN$193,"="&amp;AN109),0,IF(_xlfn.MINIFS('Draft Board'!$AN$2:$AN$193,'Draft Board'!$AN$2:$AN$193,"&gt;"&amp;AN109)=0,1,IF((_xlfn.MINIFS('Draft Board'!$AN$2:$AN$193,'Draft Board'!$AN$2:$AN$193,"&gt;"&amp;AN109)-AN109)/_xlfn.MINIFS('Draft Board'!$AN$2:$AN$193,'Draft Board'!$AN$2:$AN$193,"&gt;"&amp;AN109)&gt;0.08,1,0)))</f>
        <v>0</v>
      </c>
      <c r="AQ109" s="11">
        <f>_xlfn.MINIFS('Draft Board'!$AN$2:$AN$193,'Draft Board'!$AN$2:$AN$193,"&gt;="&amp;AN109,'Draft Board'!$AP$2:$AP$193,1)</f>
        <v>0</v>
      </c>
      <c r="AR109" s="11">
        <f>IF(AO109&lt;&gt;_xlfn.MINIFS('Draft Board'!$AO$2:$AO$193,'Draft Board'!$AN$2:$AN$193,"="&amp;AN109),0,IF(OR(AP109=1,IFERROR(FLOOR((AQ109-AN109)/AQ109/0.25,1),0)&lt;&gt;IFERROR(FLOOR((AQ109-_xlfn.MINIFS('Draft Board'!$AN$2:$AN$193,'Draft Board'!$AN$2:$AN$193,"&gt;"&amp;AN109))/AQ109/0.25,1),0)),1,0))</f>
        <v>0</v>
      </c>
      <c r="AS109" s="11">
        <f>ROUND(1+AN109*'Live Calc'!$D$28,0)</f>
        <v>1</v>
      </c>
      <c r="AT109" s="11"/>
      <c r="AU109" s="11">
        <f>IF(AT109&lt;&gt;"",AT109,ROUND(AS109*INDEX('Live Calc'!$G$259:$G$450,MATCH(AM109,'Live Calc'!$A$259:$A$450,0))*'Live Calc'!$J$543,0))</f>
        <v>1</v>
      </c>
    </row>
    <row r="110" spans="17:47" x14ac:dyDescent="0.25">
      <c r="Q110" s="10" t="s">
        <v>449</v>
      </c>
      <c r="R110" s="10" t="s">
        <v>100</v>
      </c>
      <c r="S110" s="10">
        <v>17.57</v>
      </c>
      <c r="T110" s="10">
        <v>20.68</v>
      </c>
      <c r="U110" s="10">
        <v>23.78</v>
      </c>
      <c r="V110" s="10">
        <f>CHOOSE(MATCH(Setup!$B$7,{"STD","Half-PPR","PPR"},0),S110,T110,U110)</f>
        <v>20.68</v>
      </c>
      <c r="W110" s="10">
        <f>COUNTIFS('Draft Board'!$X$2:$X$161,"&gt;="&amp;X110,'Draft Board'!$AB$2:$AB$161,1)</f>
        <v>14</v>
      </c>
      <c r="X110" s="10">
        <f>MAX(0,V110-'Live Calc'!$H$20)^'Live Calc'!$E$20</f>
        <v>0</v>
      </c>
      <c r="Y110" s="10">
        <v>110</v>
      </c>
      <c r="Z110" s="10">
        <f>IF(Y110&lt;&gt;_xlfn.MINIFS('Draft Board'!$Y$2:$Y$161,'Draft Board'!$X$2:$X$161,"="&amp;X110),0,IF(_xlfn.MINIFS('Draft Board'!$X$2:$X$161,'Draft Board'!$X$2:$X$161,"&gt;"&amp;X110)=0,1,IF((_xlfn.MINIFS('Draft Board'!$X$2:$X$161,'Draft Board'!$X$2:$X$161,"&gt;"&amp;X110)-X110)/_xlfn.MINIFS('Draft Board'!$X$2:$X$161,'Draft Board'!$X$2:$X$161,"&gt;"&amp;X110)&gt;0.08,1,0)))</f>
        <v>0</v>
      </c>
      <c r="AA110" s="10">
        <f>_xlfn.MINIFS('Draft Board'!$X$2:$X$161,'Draft Board'!$X$2:$X$161,"&gt;="&amp;X110,'Draft Board'!$Z$2:$Z$161,1)</f>
        <v>0</v>
      </c>
      <c r="AB110" s="10">
        <f>IF(Y110&lt;&gt;_xlfn.MINIFS('Draft Board'!$Y$2:$Y$161,'Draft Board'!$X$2:$X$161,"="&amp;X110),0,IF(OR(Z110=1,IFERROR(FLOOR((AA110-X110)/AA110/0.25,1),0)&lt;&gt;IFERROR(FLOOR((AA110-_xlfn.MINIFS('Draft Board'!$X$2:$X$161,'Draft Board'!$X$2:$X$161,"&gt;"&amp;X110))/AA110/0.25,1),0)),1,0))</f>
        <v>0</v>
      </c>
      <c r="AC110" s="10">
        <f>ROUND(1+X110*'Live Calc'!$D$27,0)</f>
        <v>1</v>
      </c>
      <c r="AD110" s="10"/>
      <c r="AE110" s="10">
        <f>IF(AD110&lt;&gt;"",AD110,ROUND(AC110*INDEX('Live Calc'!$G$96:$G$255,MATCH(W110,'Live Calc'!$A$96:$A$255,0))*'Live Calc'!$J$543,0))</f>
        <v>1</v>
      </c>
      <c r="AG110" s="11" t="s">
        <v>450</v>
      </c>
      <c r="AH110" s="11" t="s">
        <v>181</v>
      </c>
      <c r="AI110" s="11">
        <v>41.438000000000002</v>
      </c>
      <c r="AJ110" s="11">
        <v>53.018000000000001</v>
      </c>
      <c r="AK110" s="11">
        <v>65.474000000000004</v>
      </c>
      <c r="AL110" s="11">
        <f>CHOOSE(MATCH(Setup!$B$7,{"STD","Half-PPR","PPR"},0),AI110,AJ110,AK110)</f>
        <v>53.018000000000001</v>
      </c>
      <c r="AM110" s="11">
        <f>COUNTIFS('Draft Board'!$AN$2:$AN$193,"&gt;="&amp;AN110,'Draft Board'!$AR$2:$AR$193,1)</f>
        <v>20</v>
      </c>
      <c r="AN110" s="11">
        <f>MAX(0,AL110-'Live Calc'!$H$21)^'Live Calc'!$E$21</f>
        <v>0</v>
      </c>
      <c r="AO110" s="11">
        <v>110</v>
      </c>
      <c r="AP110" s="11">
        <f>IF(AO110&lt;&gt;_xlfn.MINIFS('Draft Board'!$AO$2:$AO$193,'Draft Board'!$AN$2:$AN$193,"="&amp;AN110),0,IF(_xlfn.MINIFS('Draft Board'!$AN$2:$AN$193,'Draft Board'!$AN$2:$AN$193,"&gt;"&amp;AN110)=0,1,IF((_xlfn.MINIFS('Draft Board'!$AN$2:$AN$193,'Draft Board'!$AN$2:$AN$193,"&gt;"&amp;AN110)-AN110)/_xlfn.MINIFS('Draft Board'!$AN$2:$AN$193,'Draft Board'!$AN$2:$AN$193,"&gt;"&amp;AN110)&gt;0.08,1,0)))</f>
        <v>0</v>
      </c>
      <c r="AQ110" s="11">
        <f>_xlfn.MINIFS('Draft Board'!$AN$2:$AN$193,'Draft Board'!$AN$2:$AN$193,"&gt;="&amp;AN110,'Draft Board'!$AP$2:$AP$193,1)</f>
        <v>0</v>
      </c>
      <c r="AR110" s="11">
        <f>IF(AO110&lt;&gt;_xlfn.MINIFS('Draft Board'!$AO$2:$AO$193,'Draft Board'!$AN$2:$AN$193,"="&amp;AN110),0,IF(OR(AP110=1,IFERROR(FLOOR((AQ110-AN110)/AQ110/0.25,1),0)&lt;&gt;IFERROR(FLOOR((AQ110-_xlfn.MINIFS('Draft Board'!$AN$2:$AN$193,'Draft Board'!$AN$2:$AN$193,"&gt;"&amp;AN110))/AQ110/0.25,1),0)),1,0))</f>
        <v>0</v>
      </c>
      <c r="AS110" s="11">
        <f>ROUND(1+AN110*'Live Calc'!$D$28,0)</f>
        <v>1</v>
      </c>
      <c r="AT110" s="11"/>
      <c r="AU110" s="11">
        <f>IF(AT110&lt;&gt;"",AT110,ROUND(AS110*INDEX('Live Calc'!$G$259:$G$450,MATCH(AM110,'Live Calc'!$A$259:$A$450,0))*'Live Calc'!$J$543,0))</f>
        <v>1</v>
      </c>
    </row>
    <row r="111" spans="17:47" x14ac:dyDescent="0.25">
      <c r="Q111" s="10" t="s">
        <v>451</v>
      </c>
      <c r="R111" s="10" t="s">
        <v>126</v>
      </c>
      <c r="S111" s="10">
        <v>17.797999999999998</v>
      </c>
      <c r="T111" s="10">
        <v>20.641999999999999</v>
      </c>
      <c r="U111" s="10">
        <v>23.81</v>
      </c>
      <c r="V111" s="10">
        <f>CHOOSE(MATCH(Setup!$B$7,{"STD","Half-PPR","PPR"},0),S111,T111,U111)</f>
        <v>20.641999999999999</v>
      </c>
      <c r="W111" s="10">
        <f>COUNTIFS('Draft Board'!$X$2:$X$161,"&gt;="&amp;X111,'Draft Board'!$AB$2:$AB$161,1)</f>
        <v>14</v>
      </c>
      <c r="X111" s="10">
        <f>MAX(0,V111-'Live Calc'!$H$20)^'Live Calc'!$E$20</f>
        <v>0</v>
      </c>
      <c r="Y111" s="10">
        <v>111</v>
      </c>
      <c r="Z111" s="10">
        <f>IF(Y111&lt;&gt;_xlfn.MINIFS('Draft Board'!$Y$2:$Y$161,'Draft Board'!$X$2:$X$161,"="&amp;X111),0,IF(_xlfn.MINIFS('Draft Board'!$X$2:$X$161,'Draft Board'!$X$2:$X$161,"&gt;"&amp;X111)=0,1,IF((_xlfn.MINIFS('Draft Board'!$X$2:$X$161,'Draft Board'!$X$2:$X$161,"&gt;"&amp;X111)-X111)/_xlfn.MINIFS('Draft Board'!$X$2:$X$161,'Draft Board'!$X$2:$X$161,"&gt;"&amp;X111)&gt;0.08,1,0)))</f>
        <v>0</v>
      </c>
      <c r="AA111" s="10">
        <f>_xlfn.MINIFS('Draft Board'!$X$2:$X$161,'Draft Board'!$X$2:$X$161,"&gt;="&amp;X111,'Draft Board'!$Z$2:$Z$161,1)</f>
        <v>0</v>
      </c>
      <c r="AB111" s="10">
        <f>IF(Y111&lt;&gt;_xlfn.MINIFS('Draft Board'!$Y$2:$Y$161,'Draft Board'!$X$2:$X$161,"="&amp;X111),0,IF(OR(Z111=1,IFERROR(FLOOR((AA111-X111)/AA111/0.25,1),0)&lt;&gt;IFERROR(FLOOR((AA111-_xlfn.MINIFS('Draft Board'!$X$2:$X$161,'Draft Board'!$X$2:$X$161,"&gt;"&amp;X111))/AA111/0.25,1),0)),1,0))</f>
        <v>0</v>
      </c>
      <c r="AC111" s="10">
        <f>ROUND(1+X111*'Live Calc'!$D$27,0)</f>
        <v>1</v>
      </c>
      <c r="AD111" s="10"/>
      <c r="AE111" s="10">
        <f>IF(AD111&lt;&gt;"",AD111,ROUND(AC111*INDEX('Live Calc'!$G$96:$G$255,MATCH(W111,'Live Calc'!$A$96:$A$255,0))*'Live Calc'!$J$543,0))</f>
        <v>1</v>
      </c>
      <c r="AG111" s="11" t="s">
        <v>452</v>
      </c>
      <c r="AH111" s="11" t="s">
        <v>181</v>
      </c>
      <c r="AI111" s="11">
        <v>41.648000000000003</v>
      </c>
      <c r="AJ111" s="11">
        <v>52.637999999999998</v>
      </c>
      <c r="AK111" s="11">
        <v>64.882000000000005</v>
      </c>
      <c r="AL111" s="11">
        <f>CHOOSE(MATCH(Setup!$B$7,{"STD","Half-PPR","PPR"},0),AI111,AJ111,AK111)</f>
        <v>52.637999999999998</v>
      </c>
      <c r="AM111" s="11">
        <f>COUNTIFS('Draft Board'!$AN$2:$AN$193,"&gt;="&amp;AN111,'Draft Board'!$AR$2:$AR$193,1)</f>
        <v>20</v>
      </c>
      <c r="AN111" s="11">
        <f>MAX(0,AL111-'Live Calc'!$H$21)^'Live Calc'!$E$21</f>
        <v>0</v>
      </c>
      <c r="AO111" s="11">
        <v>111</v>
      </c>
      <c r="AP111" s="11">
        <f>IF(AO111&lt;&gt;_xlfn.MINIFS('Draft Board'!$AO$2:$AO$193,'Draft Board'!$AN$2:$AN$193,"="&amp;AN111),0,IF(_xlfn.MINIFS('Draft Board'!$AN$2:$AN$193,'Draft Board'!$AN$2:$AN$193,"&gt;"&amp;AN111)=0,1,IF((_xlfn.MINIFS('Draft Board'!$AN$2:$AN$193,'Draft Board'!$AN$2:$AN$193,"&gt;"&amp;AN111)-AN111)/_xlfn.MINIFS('Draft Board'!$AN$2:$AN$193,'Draft Board'!$AN$2:$AN$193,"&gt;"&amp;AN111)&gt;0.08,1,0)))</f>
        <v>0</v>
      </c>
      <c r="AQ111" s="11">
        <f>_xlfn.MINIFS('Draft Board'!$AN$2:$AN$193,'Draft Board'!$AN$2:$AN$193,"&gt;="&amp;AN111,'Draft Board'!$AP$2:$AP$193,1)</f>
        <v>0</v>
      </c>
      <c r="AR111" s="11">
        <f>IF(AO111&lt;&gt;_xlfn.MINIFS('Draft Board'!$AO$2:$AO$193,'Draft Board'!$AN$2:$AN$193,"="&amp;AN111),0,IF(OR(AP111=1,IFERROR(FLOOR((AQ111-AN111)/AQ111/0.25,1),0)&lt;&gt;IFERROR(FLOOR((AQ111-_xlfn.MINIFS('Draft Board'!$AN$2:$AN$193,'Draft Board'!$AN$2:$AN$193,"&gt;"&amp;AN111))/AQ111/0.25,1),0)),1,0))</f>
        <v>0</v>
      </c>
      <c r="AS111" s="11">
        <f>ROUND(1+AN111*'Live Calc'!$D$28,0)</f>
        <v>1</v>
      </c>
      <c r="AT111" s="11"/>
      <c r="AU111" s="11">
        <f>IF(AT111&lt;&gt;"",AT111,ROUND(AS111*INDEX('Live Calc'!$G$259:$G$450,MATCH(AM111,'Live Calc'!$A$259:$A$450,0))*'Live Calc'!$J$543,0))</f>
        <v>1</v>
      </c>
    </row>
    <row r="112" spans="17:47" x14ac:dyDescent="0.25">
      <c r="Q112" s="10" t="s">
        <v>453</v>
      </c>
      <c r="R112" s="10" t="s">
        <v>93</v>
      </c>
      <c r="S112" s="10">
        <v>17.838000000000001</v>
      </c>
      <c r="T112" s="10">
        <v>20.484000000000002</v>
      </c>
      <c r="U112" s="10">
        <v>23.57</v>
      </c>
      <c r="V112" s="10">
        <f>CHOOSE(MATCH(Setup!$B$7,{"STD","Half-PPR","PPR"},0),S112,T112,U112)</f>
        <v>20.484000000000002</v>
      </c>
      <c r="W112" s="10">
        <f>COUNTIFS('Draft Board'!$X$2:$X$161,"&gt;="&amp;X112,'Draft Board'!$AB$2:$AB$161,1)</f>
        <v>14</v>
      </c>
      <c r="X112" s="10">
        <f>MAX(0,V112-'Live Calc'!$H$20)^'Live Calc'!$E$20</f>
        <v>0</v>
      </c>
      <c r="Y112" s="10">
        <v>112</v>
      </c>
      <c r="Z112" s="10">
        <f>IF(Y112&lt;&gt;_xlfn.MINIFS('Draft Board'!$Y$2:$Y$161,'Draft Board'!$X$2:$X$161,"="&amp;X112),0,IF(_xlfn.MINIFS('Draft Board'!$X$2:$X$161,'Draft Board'!$X$2:$X$161,"&gt;"&amp;X112)=0,1,IF((_xlfn.MINIFS('Draft Board'!$X$2:$X$161,'Draft Board'!$X$2:$X$161,"&gt;"&amp;X112)-X112)/_xlfn.MINIFS('Draft Board'!$X$2:$X$161,'Draft Board'!$X$2:$X$161,"&gt;"&amp;X112)&gt;0.08,1,0)))</f>
        <v>0</v>
      </c>
      <c r="AA112" s="10">
        <f>_xlfn.MINIFS('Draft Board'!$X$2:$X$161,'Draft Board'!$X$2:$X$161,"&gt;="&amp;X112,'Draft Board'!$Z$2:$Z$161,1)</f>
        <v>0</v>
      </c>
      <c r="AB112" s="10">
        <f>IF(Y112&lt;&gt;_xlfn.MINIFS('Draft Board'!$Y$2:$Y$161,'Draft Board'!$X$2:$X$161,"="&amp;X112),0,IF(OR(Z112=1,IFERROR(FLOOR((AA112-X112)/AA112/0.25,1),0)&lt;&gt;IFERROR(FLOOR((AA112-_xlfn.MINIFS('Draft Board'!$X$2:$X$161,'Draft Board'!$X$2:$X$161,"&gt;"&amp;X112))/AA112/0.25,1),0)),1,0))</f>
        <v>0</v>
      </c>
      <c r="AC112" s="10">
        <f>ROUND(1+X112*'Live Calc'!$D$27,0)</f>
        <v>1</v>
      </c>
      <c r="AD112" s="10"/>
      <c r="AE112" s="10">
        <f>IF(AD112&lt;&gt;"",AD112,ROUND(AC112*INDEX('Live Calc'!$G$96:$G$255,MATCH(W112,'Live Calc'!$A$96:$A$255,0))*'Live Calc'!$J$543,0))</f>
        <v>1</v>
      </c>
      <c r="AG112" s="11" t="s">
        <v>454</v>
      </c>
      <c r="AH112" s="11" t="s">
        <v>152</v>
      </c>
      <c r="AI112" s="11">
        <v>40.206000000000003</v>
      </c>
      <c r="AJ112" s="11">
        <v>49.444000000000003</v>
      </c>
      <c r="AK112" s="11">
        <v>60.316000000000003</v>
      </c>
      <c r="AL112" s="11">
        <f>CHOOSE(MATCH(Setup!$B$7,{"STD","Half-PPR","PPR"},0),AI112,AJ112,AK112)</f>
        <v>49.444000000000003</v>
      </c>
      <c r="AM112" s="11">
        <f>COUNTIFS('Draft Board'!$AN$2:$AN$193,"&gt;="&amp;AN112,'Draft Board'!$AR$2:$AR$193,1)</f>
        <v>20</v>
      </c>
      <c r="AN112" s="11">
        <f>MAX(0,AL112-'Live Calc'!$H$21)^'Live Calc'!$E$21</f>
        <v>0</v>
      </c>
      <c r="AO112" s="11">
        <v>112</v>
      </c>
      <c r="AP112" s="11">
        <f>IF(AO112&lt;&gt;_xlfn.MINIFS('Draft Board'!$AO$2:$AO$193,'Draft Board'!$AN$2:$AN$193,"="&amp;AN112),0,IF(_xlfn.MINIFS('Draft Board'!$AN$2:$AN$193,'Draft Board'!$AN$2:$AN$193,"&gt;"&amp;AN112)=0,1,IF((_xlfn.MINIFS('Draft Board'!$AN$2:$AN$193,'Draft Board'!$AN$2:$AN$193,"&gt;"&amp;AN112)-AN112)/_xlfn.MINIFS('Draft Board'!$AN$2:$AN$193,'Draft Board'!$AN$2:$AN$193,"&gt;"&amp;AN112)&gt;0.08,1,0)))</f>
        <v>0</v>
      </c>
      <c r="AQ112" s="11">
        <f>_xlfn.MINIFS('Draft Board'!$AN$2:$AN$193,'Draft Board'!$AN$2:$AN$193,"&gt;="&amp;AN112,'Draft Board'!$AP$2:$AP$193,1)</f>
        <v>0</v>
      </c>
      <c r="AR112" s="11">
        <f>IF(AO112&lt;&gt;_xlfn.MINIFS('Draft Board'!$AO$2:$AO$193,'Draft Board'!$AN$2:$AN$193,"="&amp;AN112),0,IF(OR(AP112=1,IFERROR(FLOOR((AQ112-AN112)/AQ112/0.25,1),0)&lt;&gt;IFERROR(FLOOR((AQ112-_xlfn.MINIFS('Draft Board'!$AN$2:$AN$193,'Draft Board'!$AN$2:$AN$193,"&gt;"&amp;AN112))/AQ112/0.25,1),0)),1,0))</f>
        <v>0</v>
      </c>
      <c r="AS112" s="11">
        <f>ROUND(1+AN112*'Live Calc'!$D$28,0)</f>
        <v>1</v>
      </c>
      <c r="AT112" s="11"/>
      <c r="AU112" s="11">
        <f>IF(AT112&lt;&gt;"",AT112,ROUND(AS112*INDEX('Live Calc'!$G$259:$G$450,MATCH(AM112,'Live Calc'!$A$259:$A$450,0))*'Live Calc'!$J$543,0))</f>
        <v>1</v>
      </c>
    </row>
    <row r="113" spans="17:47" x14ac:dyDescent="0.25">
      <c r="Q113" s="10" t="s">
        <v>455</v>
      </c>
      <c r="R113" s="10" t="s">
        <v>126</v>
      </c>
      <c r="S113" s="10">
        <v>17.475999999999999</v>
      </c>
      <c r="T113" s="10">
        <v>20.481999999999999</v>
      </c>
      <c r="U113" s="10">
        <v>23.164000000000001</v>
      </c>
      <c r="V113" s="10">
        <f>CHOOSE(MATCH(Setup!$B$7,{"STD","Half-PPR","PPR"},0),S113,T113,U113)</f>
        <v>20.481999999999999</v>
      </c>
      <c r="W113" s="10">
        <f>COUNTIFS('Draft Board'!$X$2:$X$161,"&gt;="&amp;X113,'Draft Board'!$AB$2:$AB$161,1)</f>
        <v>14</v>
      </c>
      <c r="X113" s="10">
        <f>MAX(0,V113-'Live Calc'!$H$20)^'Live Calc'!$E$20</f>
        <v>0</v>
      </c>
      <c r="Y113" s="10">
        <v>113</v>
      </c>
      <c r="Z113" s="10">
        <f>IF(Y113&lt;&gt;_xlfn.MINIFS('Draft Board'!$Y$2:$Y$161,'Draft Board'!$X$2:$X$161,"="&amp;X113),0,IF(_xlfn.MINIFS('Draft Board'!$X$2:$X$161,'Draft Board'!$X$2:$X$161,"&gt;"&amp;X113)=0,1,IF((_xlfn.MINIFS('Draft Board'!$X$2:$X$161,'Draft Board'!$X$2:$X$161,"&gt;"&amp;X113)-X113)/_xlfn.MINIFS('Draft Board'!$X$2:$X$161,'Draft Board'!$X$2:$X$161,"&gt;"&amp;X113)&gt;0.08,1,0)))</f>
        <v>0</v>
      </c>
      <c r="AA113" s="10">
        <f>_xlfn.MINIFS('Draft Board'!$X$2:$X$161,'Draft Board'!$X$2:$X$161,"&gt;="&amp;X113,'Draft Board'!$Z$2:$Z$161,1)</f>
        <v>0</v>
      </c>
      <c r="AB113" s="10">
        <f>IF(Y113&lt;&gt;_xlfn.MINIFS('Draft Board'!$Y$2:$Y$161,'Draft Board'!$X$2:$X$161,"="&amp;X113),0,IF(OR(Z113=1,IFERROR(FLOOR((AA113-X113)/AA113/0.25,1),0)&lt;&gt;IFERROR(FLOOR((AA113-_xlfn.MINIFS('Draft Board'!$X$2:$X$161,'Draft Board'!$X$2:$X$161,"&gt;"&amp;X113))/AA113/0.25,1),0)),1,0))</f>
        <v>0</v>
      </c>
      <c r="AC113" s="10">
        <f>ROUND(1+X113*'Live Calc'!$D$27,0)</f>
        <v>1</v>
      </c>
      <c r="AD113" s="10"/>
      <c r="AE113" s="10">
        <f>IF(AD113&lt;&gt;"",AD113,ROUND(AC113*INDEX('Live Calc'!$G$96:$G$255,MATCH(W113,'Live Calc'!$A$96:$A$255,0))*'Live Calc'!$J$543,0))</f>
        <v>1</v>
      </c>
      <c r="AG113" s="11" t="s">
        <v>456</v>
      </c>
      <c r="AH113" s="11" t="s">
        <v>113</v>
      </c>
      <c r="AI113" s="11">
        <v>38.869999999999997</v>
      </c>
      <c r="AJ113" s="11">
        <v>49.247999999999998</v>
      </c>
      <c r="AK113" s="11">
        <v>60.682000000000002</v>
      </c>
      <c r="AL113" s="11">
        <f>CHOOSE(MATCH(Setup!$B$7,{"STD","Half-PPR","PPR"},0),AI113,AJ113,AK113)</f>
        <v>49.247999999999998</v>
      </c>
      <c r="AM113" s="11">
        <f>COUNTIFS('Draft Board'!$AN$2:$AN$193,"&gt;="&amp;AN113,'Draft Board'!$AR$2:$AR$193,1)</f>
        <v>20</v>
      </c>
      <c r="AN113" s="11">
        <f>MAX(0,AL113-'Live Calc'!$H$21)^'Live Calc'!$E$21</f>
        <v>0</v>
      </c>
      <c r="AO113" s="11">
        <v>113</v>
      </c>
      <c r="AP113" s="11">
        <f>IF(AO113&lt;&gt;_xlfn.MINIFS('Draft Board'!$AO$2:$AO$193,'Draft Board'!$AN$2:$AN$193,"="&amp;AN113),0,IF(_xlfn.MINIFS('Draft Board'!$AN$2:$AN$193,'Draft Board'!$AN$2:$AN$193,"&gt;"&amp;AN113)=0,1,IF((_xlfn.MINIFS('Draft Board'!$AN$2:$AN$193,'Draft Board'!$AN$2:$AN$193,"&gt;"&amp;AN113)-AN113)/_xlfn.MINIFS('Draft Board'!$AN$2:$AN$193,'Draft Board'!$AN$2:$AN$193,"&gt;"&amp;AN113)&gt;0.08,1,0)))</f>
        <v>0</v>
      </c>
      <c r="AQ113" s="11">
        <f>_xlfn.MINIFS('Draft Board'!$AN$2:$AN$193,'Draft Board'!$AN$2:$AN$193,"&gt;="&amp;AN113,'Draft Board'!$AP$2:$AP$193,1)</f>
        <v>0</v>
      </c>
      <c r="AR113" s="11">
        <f>IF(AO113&lt;&gt;_xlfn.MINIFS('Draft Board'!$AO$2:$AO$193,'Draft Board'!$AN$2:$AN$193,"="&amp;AN113),0,IF(OR(AP113=1,IFERROR(FLOOR((AQ113-AN113)/AQ113/0.25,1),0)&lt;&gt;IFERROR(FLOOR((AQ113-_xlfn.MINIFS('Draft Board'!$AN$2:$AN$193,'Draft Board'!$AN$2:$AN$193,"&gt;"&amp;AN113))/AQ113/0.25,1),0)),1,0))</f>
        <v>0</v>
      </c>
      <c r="AS113" s="11">
        <f>ROUND(1+AN113*'Live Calc'!$D$28,0)</f>
        <v>1</v>
      </c>
      <c r="AT113" s="11"/>
      <c r="AU113" s="11">
        <f>IF(AT113&lt;&gt;"",AT113,ROUND(AS113*INDEX('Live Calc'!$G$259:$G$450,MATCH(AM113,'Live Calc'!$A$259:$A$450,0))*'Live Calc'!$J$543,0))</f>
        <v>1</v>
      </c>
    </row>
    <row r="114" spans="17:47" x14ac:dyDescent="0.25">
      <c r="Q114" s="10" t="s">
        <v>457</v>
      </c>
      <c r="R114" s="10" t="s">
        <v>67</v>
      </c>
      <c r="S114" s="10">
        <v>18.474</v>
      </c>
      <c r="T114" s="10">
        <v>20.135999999999999</v>
      </c>
      <c r="U114" s="10">
        <v>22.274000000000001</v>
      </c>
      <c r="V114" s="10">
        <f>CHOOSE(MATCH(Setup!$B$7,{"STD","Half-PPR","PPR"},0),S114,T114,U114)</f>
        <v>20.135999999999999</v>
      </c>
      <c r="W114" s="10">
        <f>COUNTIFS('Draft Board'!$X$2:$X$161,"&gt;="&amp;X114,'Draft Board'!$AB$2:$AB$161,1)</f>
        <v>14</v>
      </c>
      <c r="X114" s="10">
        <f>MAX(0,V114-'Live Calc'!$H$20)^'Live Calc'!$E$20</f>
        <v>0</v>
      </c>
      <c r="Y114" s="10">
        <v>114</v>
      </c>
      <c r="Z114" s="10">
        <f>IF(Y114&lt;&gt;_xlfn.MINIFS('Draft Board'!$Y$2:$Y$161,'Draft Board'!$X$2:$X$161,"="&amp;X114),0,IF(_xlfn.MINIFS('Draft Board'!$X$2:$X$161,'Draft Board'!$X$2:$X$161,"&gt;"&amp;X114)=0,1,IF((_xlfn.MINIFS('Draft Board'!$X$2:$X$161,'Draft Board'!$X$2:$X$161,"&gt;"&amp;X114)-X114)/_xlfn.MINIFS('Draft Board'!$X$2:$X$161,'Draft Board'!$X$2:$X$161,"&gt;"&amp;X114)&gt;0.08,1,0)))</f>
        <v>0</v>
      </c>
      <c r="AA114" s="10">
        <f>_xlfn.MINIFS('Draft Board'!$X$2:$X$161,'Draft Board'!$X$2:$X$161,"&gt;="&amp;X114,'Draft Board'!$Z$2:$Z$161,1)</f>
        <v>0</v>
      </c>
      <c r="AB114" s="10">
        <f>IF(Y114&lt;&gt;_xlfn.MINIFS('Draft Board'!$Y$2:$Y$161,'Draft Board'!$X$2:$X$161,"="&amp;X114),0,IF(OR(Z114=1,IFERROR(FLOOR((AA114-X114)/AA114/0.25,1),0)&lt;&gt;IFERROR(FLOOR((AA114-_xlfn.MINIFS('Draft Board'!$X$2:$X$161,'Draft Board'!$X$2:$X$161,"&gt;"&amp;X114))/AA114/0.25,1),0)),1,0))</f>
        <v>0</v>
      </c>
      <c r="AC114" s="10">
        <f>ROUND(1+X114*'Live Calc'!$D$27,0)</f>
        <v>1</v>
      </c>
      <c r="AD114" s="10"/>
      <c r="AE114" s="10">
        <f>IF(AD114&lt;&gt;"",AD114,ROUND(AC114*INDEX('Live Calc'!$G$96:$G$255,MATCH(W114,'Live Calc'!$A$96:$A$255,0))*'Live Calc'!$J$543,0))</f>
        <v>1</v>
      </c>
      <c r="AG114" s="11" t="s">
        <v>458</v>
      </c>
      <c r="AH114" s="11" t="s">
        <v>65</v>
      </c>
      <c r="AI114" s="11">
        <v>34.874000000000002</v>
      </c>
      <c r="AJ114" s="11">
        <v>46.594000000000001</v>
      </c>
      <c r="AK114" s="11">
        <v>58.366</v>
      </c>
      <c r="AL114" s="11">
        <f>CHOOSE(MATCH(Setup!$B$7,{"STD","Half-PPR","PPR"},0),AI114,AJ114,AK114)</f>
        <v>46.594000000000001</v>
      </c>
      <c r="AM114" s="11">
        <f>COUNTIFS('Draft Board'!$AN$2:$AN$193,"&gt;="&amp;AN114,'Draft Board'!$AR$2:$AR$193,1)</f>
        <v>20</v>
      </c>
      <c r="AN114" s="11">
        <f>MAX(0,AL114-'Live Calc'!$H$21)^'Live Calc'!$E$21</f>
        <v>0</v>
      </c>
      <c r="AO114" s="11">
        <v>114</v>
      </c>
      <c r="AP114" s="11">
        <f>IF(AO114&lt;&gt;_xlfn.MINIFS('Draft Board'!$AO$2:$AO$193,'Draft Board'!$AN$2:$AN$193,"="&amp;AN114),0,IF(_xlfn.MINIFS('Draft Board'!$AN$2:$AN$193,'Draft Board'!$AN$2:$AN$193,"&gt;"&amp;AN114)=0,1,IF((_xlfn.MINIFS('Draft Board'!$AN$2:$AN$193,'Draft Board'!$AN$2:$AN$193,"&gt;"&amp;AN114)-AN114)/_xlfn.MINIFS('Draft Board'!$AN$2:$AN$193,'Draft Board'!$AN$2:$AN$193,"&gt;"&amp;AN114)&gt;0.08,1,0)))</f>
        <v>0</v>
      </c>
      <c r="AQ114" s="11">
        <f>_xlfn.MINIFS('Draft Board'!$AN$2:$AN$193,'Draft Board'!$AN$2:$AN$193,"&gt;="&amp;AN114,'Draft Board'!$AP$2:$AP$193,1)</f>
        <v>0</v>
      </c>
      <c r="AR114" s="11">
        <f>IF(AO114&lt;&gt;_xlfn.MINIFS('Draft Board'!$AO$2:$AO$193,'Draft Board'!$AN$2:$AN$193,"="&amp;AN114),0,IF(OR(AP114=1,IFERROR(FLOOR((AQ114-AN114)/AQ114/0.25,1),0)&lt;&gt;IFERROR(FLOOR((AQ114-_xlfn.MINIFS('Draft Board'!$AN$2:$AN$193,'Draft Board'!$AN$2:$AN$193,"&gt;"&amp;AN114))/AQ114/0.25,1),0)),1,0))</f>
        <v>0</v>
      </c>
      <c r="AS114" s="11">
        <f>ROUND(1+AN114*'Live Calc'!$D$28,0)</f>
        <v>1</v>
      </c>
      <c r="AT114" s="11"/>
      <c r="AU114" s="11">
        <f>IF(AT114&lt;&gt;"",AT114,ROUND(AS114*INDEX('Live Calc'!$G$259:$G$450,MATCH(AM114,'Live Calc'!$A$259:$A$450,0))*'Live Calc'!$J$543,0))</f>
        <v>1</v>
      </c>
    </row>
    <row r="115" spans="17:47" x14ac:dyDescent="0.25">
      <c r="Q115" s="10" t="s">
        <v>459</v>
      </c>
      <c r="R115" s="10" t="s">
        <v>73</v>
      </c>
      <c r="S115" s="10">
        <v>17.303999999999998</v>
      </c>
      <c r="T115" s="10">
        <v>20.108000000000001</v>
      </c>
      <c r="U115" s="10">
        <v>21.908000000000001</v>
      </c>
      <c r="V115" s="10">
        <f>CHOOSE(MATCH(Setup!$B$7,{"STD","Half-PPR","PPR"},0),S115,T115,U115)</f>
        <v>20.108000000000001</v>
      </c>
      <c r="W115" s="10">
        <f>COUNTIFS('Draft Board'!$X$2:$X$161,"&gt;="&amp;X115,'Draft Board'!$AB$2:$AB$161,1)</f>
        <v>14</v>
      </c>
      <c r="X115" s="10">
        <f>MAX(0,V115-'Live Calc'!$H$20)^'Live Calc'!$E$20</f>
        <v>0</v>
      </c>
      <c r="Y115" s="10">
        <v>115</v>
      </c>
      <c r="Z115" s="10">
        <f>IF(Y115&lt;&gt;_xlfn.MINIFS('Draft Board'!$Y$2:$Y$161,'Draft Board'!$X$2:$X$161,"="&amp;X115),0,IF(_xlfn.MINIFS('Draft Board'!$X$2:$X$161,'Draft Board'!$X$2:$X$161,"&gt;"&amp;X115)=0,1,IF((_xlfn.MINIFS('Draft Board'!$X$2:$X$161,'Draft Board'!$X$2:$X$161,"&gt;"&amp;X115)-X115)/_xlfn.MINIFS('Draft Board'!$X$2:$X$161,'Draft Board'!$X$2:$X$161,"&gt;"&amp;X115)&gt;0.08,1,0)))</f>
        <v>0</v>
      </c>
      <c r="AA115" s="10">
        <f>_xlfn.MINIFS('Draft Board'!$X$2:$X$161,'Draft Board'!$X$2:$X$161,"&gt;="&amp;X115,'Draft Board'!$Z$2:$Z$161,1)</f>
        <v>0</v>
      </c>
      <c r="AB115" s="10">
        <f>IF(Y115&lt;&gt;_xlfn.MINIFS('Draft Board'!$Y$2:$Y$161,'Draft Board'!$X$2:$X$161,"="&amp;X115),0,IF(OR(Z115=1,IFERROR(FLOOR((AA115-X115)/AA115/0.25,1),0)&lt;&gt;IFERROR(FLOOR((AA115-_xlfn.MINIFS('Draft Board'!$X$2:$X$161,'Draft Board'!$X$2:$X$161,"&gt;"&amp;X115))/AA115/0.25,1),0)),1,0))</f>
        <v>0</v>
      </c>
      <c r="AC115" s="10">
        <f>ROUND(1+X115*'Live Calc'!$D$27,0)</f>
        <v>1</v>
      </c>
      <c r="AD115" s="10"/>
      <c r="AE115" s="10">
        <f>IF(AD115&lt;&gt;"",AD115,ROUND(AC115*INDEX('Live Calc'!$G$96:$G$255,MATCH(W115,'Live Calc'!$A$96:$A$255,0))*'Live Calc'!$J$543,0))</f>
        <v>1</v>
      </c>
      <c r="AG115" s="11" t="s">
        <v>460</v>
      </c>
      <c r="AH115" s="11" t="s">
        <v>81</v>
      </c>
      <c r="AI115" s="11">
        <v>36.332000000000001</v>
      </c>
      <c r="AJ115" s="11">
        <v>45.216000000000001</v>
      </c>
      <c r="AK115" s="11">
        <v>54.35</v>
      </c>
      <c r="AL115" s="11">
        <f>CHOOSE(MATCH(Setup!$B$7,{"STD","Half-PPR","PPR"},0),AI115,AJ115,AK115)</f>
        <v>45.216000000000001</v>
      </c>
      <c r="AM115" s="11">
        <f>COUNTIFS('Draft Board'!$AN$2:$AN$193,"&gt;="&amp;AN115,'Draft Board'!$AR$2:$AR$193,1)</f>
        <v>20</v>
      </c>
      <c r="AN115" s="11">
        <f>MAX(0,AL115-'Live Calc'!$H$21)^'Live Calc'!$E$21</f>
        <v>0</v>
      </c>
      <c r="AO115" s="11">
        <v>115</v>
      </c>
      <c r="AP115" s="11">
        <f>IF(AO115&lt;&gt;_xlfn.MINIFS('Draft Board'!$AO$2:$AO$193,'Draft Board'!$AN$2:$AN$193,"="&amp;AN115),0,IF(_xlfn.MINIFS('Draft Board'!$AN$2:$AN$193,'Draft Board'!$AN$2:$AN$193,"&gt;"&amp;AN115)=0,1,IF((_xlfn.MINIFS('Draft Board'!$AN$2:$AN$193,'Draft Board'!$AN$2:$AN$193,"&gt;"&amp;AN115)-AN115)/_xlfn.MINIFS('Draft Board'!$AN$2:$AN$193,'Draft Board'!$AN$2:$AN$193,"&gt;"&amp;AN115)&gt;0.08,1,0)))</f>
        <v>0</v>
      </c>
      <c r="AQ115" s="11">
        <f>_xlfn.MINIFS('Draft Board'!$AN$2:$AN$193,'Draft Board'!$AN$2:$AN$193,"&gt;="&amp;AN115,'Draft Board'!$AP$2:$AP$193,1)</f>
        <v>0</v>
      </c>
      <c r="AR115" s="11">
        <f>IF(AO115&lt;&gt;_xlfn.MINIFS('Draft Board'!$AO$2:$AO$193,'Draft Board'!$AN$2:$AN$193,"="&amp;AN115),0,IF(OR(AP115=1,IFERROR(FLOOR((AQ115-AN115)/AQ115/0.25,1),0)&lt;&gt;IFERROR(FLOOR((AQ115-_xlfn.MINIFS('Draft Board'!$AN$2:$AN$193,'Draft Board'!$AN$2:$AN$193,"&gt;"&amp;AN115))/AQ115/0.25,1),0)),1,0))</f>
        <v>0</v>
      </c>
      <c r="AS115" s="11">
        <f>ROUND(1+AN115*'Live Calc'!$D$28,0)</f>
        <v>1</v>
      </c>
      <c r="AT115" s="11"/>
      <c r="AU115" s="11">
        <f>IF(AT115&lt;&gt;"",AT115,ROUND(AS115*INDEX('Live Calc'!$G$259:$G$450,MATCH(AM115,'Live Calc'!$A$259:$A$450,0))*'Live Calc'!$J$543,0))</f>
        <v>1</v>
      </c>
    </row>
    <row r="116" spans="17:47" x14ac:dyDescent="0.25">
      <c r="Q116" s="10" t="s">
        <v>461</v>
      </c>
      <c r="R116" s="10" t="s">
        <v>71</v>
      </c>
      <c r="S116" s="10">
        <v>17.245999999999999</v>
      </c>
      <c r="T116" s="10">
        <v>19.372</v>
      </c>
      <c r="U116" s="10">
        <v>20.928000000000001</v>
      </c>
      <c r="V116" s="10">
        <f>CHOOSE(MATCH(Setup!$B$7,{"STD","Half-PPR","PPR"},0),S116,T116,U116)</f>
        <v>19.372</v>
      </c>
      <c r="W116" s="10">
        <f>COUNTIFS('Draft Board'!$X$2:$X$161,"&gt;="&amp;X116,'Draft Board'!$AB$2:$AB$161,1)</f>
        <v>14</v>
      </c>
      <c r="X116" s="10">
        <f>MAX(0,V116-'Live Calc'!$H$20)^'Live Calc'!$E$20</f>
        <v>0</v>
      </c>
      <c r="Y116" s="10">
        <v>116</v>
      </c>
      <c r="Z116" s="10">
        <f>IF(Y116&lt;&gt;_xlfn.MINIFS('Draft Board'!$Y$2:$Y$161,'Draft Board'!$X$2:$X$161,"="&amp;X116),0,IF(_xlfn.MINIFS('Draft Board'!$X$2:$X$161,'Draft Board'!$X$2:$X$161,"&gt;"&amp;X116)=0,1,IF((_xlfn.MINIFS('Draft Board'!$X$2:$X$161,'Draft Board'!$X$2:$X$161,"&gt;"&amp;X116)-X116)/_xlfn.MINIFS('Draft Board'!$X$2:$X$161,'Draft Board'!$X$2:$X$161,"&gt;"&amp;X116)&gt;0.08,1,0)))</f>
        <v>0</v>
      </c>
      <c r="AA116" s="10">
        <f>_xlfn.MINIFS('Draft Board'!$X$2:$X$161,'Draft Board'!$X$2:$X$161,"&gt;="&amp;X116,'Draft Board'!$Z$2:$Z$161,1)</f>
        <v>0</v>
      </c>
      <c r="AB116" s="10">
        <f>IF(Y116&lt;&gt;_xlfn.MINIFS('Draft Board'!$Y$2:$Y$161,'Draft Board'!$X$2:$X$161,"="&amp;X116),0,IF(OR(Z116=1,IFERROR(FLOOR((AA116-X116)/AA116/0.25,1),0)&lt;&gt;IFERROR(FLOOR((AA116-_xlfn.MINIFS('Draft Board'!$X$2:$X$161,'Draft Board'!$X$2:$X$161,"&gt;"&amp;X116))/AA116/0.25,1),0)),1,0))</f>
        <v>0</v>
      </c>
      <c r="AC116" s="10">
        <f>ROUND(1+X116*'Live Calc'!$D$27,0)</f>
        <v>1</v>
      </c>
      <c r="AD116" s="10"/>
      <c r="AE116" s="10">
        <f>IF(AD116&lt;&gt;"",AD116,ROUND(AC116*INDEX('Live Calc'!$G$96:$G$255,MATCH(W116,'Live Calc'!$A$96:$A$255,0))*'Live Calc'!$J$543,0))</f>
        <v>1</v>
      </c>
      <c r="AG116" s="11" t="s">
        <v>462</v>
      </c>
      <c r="AH116" s="11" t="s">
        <v>55</v>
      </c>
      <c r="AI116" s="11">
        <v>33.264000000000003</v>
      </c>
      <c r="AJ116" s="11">
        <v>44.427999999999997</v>
      </c>
      <c r="AK116" s="11">
        <v>54.624000000000002</v>
      </c>
      <c r="AL116" s="11">
        <f>CHOOSE(MATCH(Setup!$B$7,{"STD","Half-PPR","PPR"},0),AI116,AJ116,AK116)</f>
        <v>44.427999999999997</v>
      </c>
      <c r="AM116" s="11">
        <f>COUNTIFS('Draft Board'!$AN$2:$AN$193,"&gt;="&amp;AN116,'Draft Board'!$AR$2:$AR$193,1)</f>
        <v>20</v>
      </c>
      <c r="AN116" s="11">
        <f>MAX(0,AL116-'Live Calc'!$H$21)^'Live Calc'!$E$21</f>
        <v>0</v>
      </c>
      <c r="AO116" s="11">
        <v>116</v>
      </c>
      <c r="AP116" s="11">
        <f>IF(AO116&lt;&gt;_xlfn.MINIFS('Draft Board'!$AO$2:$AO$193,'Draft Board'!$AN$2:$AN$193,"="&amp;AN116),0,IF(_xlfn.MINIFS('Draft Board'!$AN$2:$AN$193,'Draft Board'!$AN$2:$AN$193,"&gt;"&amp;AN116)=0,1,IF((_xlfn.MINIFS('Draft Board'!$AN$2:$AN$193,'Draft Board'!$AN$2:$AN$193,"&gt;"&amp;AN116)-AN116)/_xlfn.MINIFS('Draft Board'!$AN$2:$AN$193,'Draft Board'!$AN$2:$AN$193,"&gt;"&amp;AN116)&gt;0.08,1,0)))</f>
        <v>0</v>
      </c>
      <c r="AQ116" s="11">
        <f>_xlfn.MINIFS('Draft Board'!$AN$2:$AN$193,'Draft Board'!$AN$2:$AN$193,"&gt;="&amp;AN116,'Draft Board'!$AP$2:$AP$193,1)</f>
        <v>0</v>
      </c>
      <c r="AR116" s="11">
        <f>IF(AO116&lt;&gt;_xlfn.MINIFS('Draft Board'!$AO$2:$AO$193,'Draft Board'!$AN$2:$AN$193,"="&amp;AN116),0,IF(OR(AP116=1,IFERROR(FLOOR((AQ116-AN116)/AQ116/0.25,1),0)&lt;&gt;IFERROR(FLOOR((AQ116-_xlfn.MINIFS('Draft Board'!$AN$2:$AN$193,'Draft Board'!$AN$2:$AN$193,"&gt;"&amp;AN116))/AQ116/0.25,1),0)),1,0))</f>
        <v>0</v>
      </c>
      <c r="AS116" s="11">
        <f>ROUND(1+AN116*'Live Calc'!$D$28,0)</f>
        <v>1</v>
      </c>
      <c r="AT116" s="11"/>
      <c r="AU116" s="11">
        <f>IF(AT116&lt;&gt;"",AT116,ROUND(AS116*INDEX('Live Calc'!$G$259:$G$450,MATCH(AM116,'Live Calc'!$A$259:$A$450,0))*'Live Calc'!$J$543,0))</f>
        <v>1</v>
      </c>
    </row>
    <row r="117" spans="17:47" x14ac:dyDescent="0.25">
      <c r="Q117" s="10" t="s">
        <v>463</v>
      </c>
      <c r="R117" s="10" t="s">
        <v>133</v>
      </c>
      <c r="S117" s="10">
        <v>14.36</v>
      </c>
      <c r="T117" s="10">
        <v>17.992000000000001</v>
      </c>
      <c r="U117" s="10">
        <v>21.276</v>
      </c>
      <c r="V117" s="10">
        <f>CHOOSE(MATCH(Setup!$B$7,{"STD","Half-PPR","PPR"},0),S117,T117,U117)</f>
        <v>17.992000000000001</v>
      </c>
      <c r="W117" s="10">
        <f>COUNTIFS('Draft Board'!$X$2:$X$161,"&gt;="&amp;X117,'Draft Board'!$AB$2:$AB$161,1)</f>
        <v>14</v>
      </c>
      <c r="X117" s="10">
        <f>MAX(0,V117-'Live Calc'!$H$20)^'Live Calc'!$E$20</f>
        <v>0</v>
      </c>
      <c r="Y117" s="10">
        <v>117</v>
      </c>
      <c r="Z117" s="10">
        <f>IF(Y117&lt;&gt;_xlfn.MINIFS('Draft Board'!$Y$2:$Y$161,'Draft Board'!$X$2:$X$161,"="&amp;X117),0,IF(_xlfn.MINIFS('Draft Board'!$X$2:$X$161,'Draft Board'!$X$2:$X$161,"&gt;"&amp;X117)=0,1,IF((_xlfn.MINIFS('Draft Board'!$X$2:$X$161,'Draft Board'!$X$2:$X$161,"&gt;"&amp;X117)-X117)/_xlfn.MINIFS('Draft Board'!$X$2:$X$161,'Draft Board'!$X$2:$X$161,"&gt;"&amp;X117)&gt;0.08,1,0)))</f>
        <v>0</v>
      </c>
      <c r="AA117" s="10">
        <f>_xlfn.MINIFS('Draft Board'!$X$2:$X$161,'Draft Board'!$X$2:$X$161,"&gt;="&amp;X117,'Draft Board'!$Z$2:$Z$161,1)</f>
        <v>0</v>
      </c>
      <c r="AB117" s="10">
        <f>IF(Y117&lt;&gt;_xlfn.MINIFS('Draft Board'!$Y$2:$Y$161,'Draft Board'!$X$2:$X$161,"="&amp;X117),0,IF(OR(Z117=1,IFERROR(FLOOR((AA117-X117)/AA117/0.25,1),0)&lt;&gt;IFERROR(FLOOR((AA117-_xlfn.MINIFS('Draft Board'!$X$2:$X$161,'Draft Board'!$X$2:$X$161,"&gt;"&amp;X117))/AA117/0.25,1),0)),1,0))</f>
        <v>0</v>
      </c>
      <c r="AC117" s="10">
        <f>ROUND(1+X117*'Live Calc'!$D$27,0)</f>
        <v>1</v>
      </c>
      <c r="AD117" s="10"/>
      <c r="AE117" s="10">
        <f>IF(AD117&lt;&gt;"",AD117,ROUND(AC117*INDEX('Live Calc'!$G$96:$G$255,MATCH(W117,'Live Calc'!$A$96:$A$255,0))*'Live Calc'!$J$543,0))</f>
        <v>1</v>
      </c>
      <c r="AG117" s="11" t="s">
        <v>464</v>
      </c>
      <c r="AH117" s="11" t="s">
        <v>55</v>
      </c>
      <c r="AI117" s="11">
        <v>34.454000000000001</v>
      </c>
      <c r="AJ117" s="11">
        <v>44.148000000000003</v>
      </c>
      <c r="AK117" s="11">
        <v>54.188000000000002</v>
      </c>
      <c r="AL117" s="11">
        <f>CHOOSE(MATCH(Setup!$B$7,{"STD","Half-PPR","PPR"},0),AI117,AJ117,AK117)</f>
        <v>44.148000000000003</v>
      </c>
      <c r="AM117" s="11">
        <f>COUNTIFS('Draft Board'!$AN$2:$AN$193,"&gt;="&amp;AN117,'Draft Board'!$AR$2:$AR$193,1)</f>
        <v>20</v>
      </c>
      <c r="AN117" s="11">
        <f>MAX(0,AL117-'Live Calc'!$H$21)^'Live Calc'!$E$21</f>
        <v>0</v>
      </c>
      <c r="AO117" s="11">
        <v>117</v>
      </c>
      <c r="AP117" s="11">
        <f>IF(AO117&lt;&gt;_xlfn.MINIFS('Draft Board'!$AO$2:$AO$193,'Draft Board'!$AN$2:$AN$193,"="&amp;AN117),0,IF(_xlfn.MINIFS('Draft Board'!$AN$2:$AN$193,'Draft Board'!$AN$2:$AN$193,"&gt;"&amp;AN117)=0,1,IF((_xlfn.MINIFS('Draft Board'!$AN$2:$AN$193,'Draft Board'!$AN$2:$AN$193,"&gt;"&amp;AN117)-AN117)/_xlfn.MINIFS('Draft Board'!$AN$2:$AN$193,'Draft Board'!$AN$2:$AN$193,"&gt;"&amp;AN117)&gt;0.08,1,0)))</f>
        <v>0</v>
      </c>
      <c r="AQ117" s="11">
        <f>_xlfn.MINIFS('Draft Board'!$AN$2:$AN$193,'Draft Board'!$AN$2:$AN$193,"&gt;="&amp;AN117,'Draft Board'!$AP$2:$AP$193,1)</f>
        <v>0</v>
      </c>
      <c r="AR117" s="11">
        <f>IF(AO117&lt;&gt;_xlfn.MINIFS('Draft Board'!$AO$2:$AO$193,'Draft Board'!$AN$2:$AN$193,"="&amp;AN117),0,IF(OR(AP117=1,IFERROR(FLOOR((AQ117-AN117)/AQ117/0.25,1),0)&lt;&gt;IFERROR(FLOOR((AQ117-_xlfn.MINIFS('Draft Board'!$AN$2:$AN$193,'Draft Board'!$AN$2:$AN$193,"&gt;"&amp;AN117))/AQ117/0.25,1),0)),1,0))</f>
        <v>0</v>
      </c>
      <c r="AS117" s="11">
        <f>ROUND(1+AN117*'Live Calc'!$D$28,0)</f>
        <v>1</v>
      </c>
      <c r="AT117" s="11"/>
      <c r="AU117" s="11">
        <f>IF(AT117&lt;&gt;"",AT117,ROUND(AS117*INDEX('Live Calc'!$G$259:$G$450,MATCH(AM117,'Live Calc'!$A$259:$A$450,0))*'Live Calc'!$J$543,0))</f>
        <v>1</v>
      </c>
    </row>
    <row r="118" spans="17:47" x14ac:dyDescent="0.25">
      <c r="Q118" s="10" t="s">
        <v>465</v>
      </c>
      <c r="R118" s="10" t="s">
        <v>59</v>
      </c>
      <c r="S118" s="10">
        <v>15.907999999999999</v>
      </c>
      <c r="T118" s="10">
        <v>17.808</v>
      </c>
      <c r="U118" s="10">
        <v>21.623999999999999</v>
      </c>
      <c r="V118" s="10">
        <f>CHOOSE(MATCH(Setup!$B$7,{"STD","Half-PPR","PPR"},0),S118,T118,U118)</f>
        <v>17.808</v>
      </c>
      <c r="W118" s="10">
        <f>COUNTIFS('Draft Board'!$X$2:$X$161,"&gt;="&amp;X118,'Draft Board'!$AB$2:$AB$161,1)</f>
        <v>14</v>
      </c>
      <c r="X118" s="10">
        <f>MAX(0,V118-'Live Calc'!$H$20)^'Live Calc'!$E$20</f>
        <v>0</v>
      </c>
      <c r="Y118" s="10">
        <v>118</v>
      </c>
      <c r="Z118" s="10">
        <f>IF(Y118&lt;&gt;_xlfn.MINIFS('Draft Board'!$Y$2:$Y$161,'Draft Board'!$X$2:$X$161,"="&amp;X118),0,IF(_xlfn.MINIFS('Draft Board'!$X$2:$X$161,'Draft Board'!$X$2:$X$161,"&gt;"&amp;X118)=0,1,IF((_xlfn.MINIFS('Draft Board'!$X$2:$X$161,'Draft Board'!$X$2:$X$161,"&gt;"&amp;X118)-X118)/_xlfn.MINIFS('Draft Board'!$X$2:$X$161,'Draft Board'!$X$2:$X$161,"&gt;"&amp;X118)&gt;0.08,1,0)))</f>
        <v>0</v>
      </c>
      <c r="AA118" s="10">
        <f>_xlfn.MINIFS('Draft Board'!$X$2:$X$161,'Draft Board'!$X$2:$X$161,"&gt;="&amp;X118,'Draft Board'!$Z$2:$Z$161,1)</f>
        <v>0</v>
      </c>
      <c r="AB118" s="10">
        <f>IF(Y118&lt;&gt;_xlfn.MINIFS('Draft Board'!$Y$2:$Y$161,'Draft Board'!$X$2:$X$161,"="&amp;X118),0,IF(OR(Z118=1,IFERROR(FLOOR((AA118-X118)/AA118/0.25,1),0)&lt;&gt;IFERROR(FLOOR((AA118-_xlfn.MINIFS('Draft Board'!$X$2:$X$161,'Draft Board'!$X$2:$X$161,"&gt;"&amp;X118))/AA118/0.25,1),0)),1,0))</f>
        <v>0</v>
      </c>
      <c r="AC118" s="10">
        <f>ROUND(1+X118*'Live Calc'!$D$27,0)</f>
        <v>1</v>
      </c>
      <c r="AD118" s="10"/>
      <c r="AE118" s="10">
        <f>IF(AD118&lt;&gt;"",AD118,ROUND(AC118*INDEX('Live Calc'!$G$96:$G$255,MATCH(W118,'Live Calc'!$A$96:$A$255,0))*'Live Calc'!$J$543,0))</f>
        <v>1</v>
      </c>
      <c r="AG118" s="11" t="s">
        <v>466</v>
      </c>
      <c r="AH118" s="11" t="s">
        <v>149</v>
      </c>
      <c r="AI118" s="11">
        <v>32.340000000000003</v>
      </c>
      <c r="AJ118" s="11">
        <v>43.71</v>
      </c>
      <c r="AK118" s="11">
        <v>55.07</v>
      </c>
      <c r="AL118" s="11">
        <f>CHOOSE(MATCH(Setup!$B$7,{"STD","Half-PPR","PPR"},0),AI118,AJ118,AK118)</f>
        <v>43.71</v>
      </c>
      <c r="AM118" s="11">
        <f>COUNTIFS('Draft Board'!$AN$2:$AN$193,"&gt;="&amp;AN118,'Draft Board'!$AR$2:$AR$193,1)</f>
        <v>20</v>
      </c>
      <c r="AN118" s="11">
        <f>MAX(0,AL118-'Live Calc'!$H$21)^'Live Calc'!$E$21</f>
        <v>0</v>
      </c>
      <c r="AO118" s="11">
        <v>118</v>
      </c>
      <c r="AP118" s="11">
        <f>IF(AO118&lt;&gt;_xlfn.MINIFS('Draft Board'!$AO$2:$AO$193,'Draft Board'!$AN$2:$AN$193,"="&amp;AN118),0,IF(_xlfn.MINIFS('Draft Board'!$AN$2:$AN$193,'Draft Board'!$AN$2:$AN$193,"&gt;"&amp;AN118)=0,1,IF((_xlfn.MINIFS('Draft Board'!$AN$2:$AN$193,'Draft Board'!$AN$2:$AN$193,"&gt;"&amp;AN118)-AN118)/_xlfn.MINIFS('Draft Board'!$AN$2:$AN$193,'Draft Board'!$AN$2:$AN$193,"&gt;"&amp;AN118)&gt;0.08,1,0)))</f>
        <v>0</v>
      </c>
      <c r="AQ118" s="11">
        <f>_xlfn.MINIFS('Draft Board'!$AN$2:$AN$193,'Draft Board'!$AN$2:$AN$193,"&gt;="&amp;AN118,'Draft Board'!$AP$2:$AP$193,1)</f>
        <v>0</v>
      </c>
      <c r="AR118" s="11">
        <f>IF(AO118&lt;&gt;_xlfn.MINIFS('Draft Board'!$AO$2:$AO$193,'Draft Board'!$AN$2:$AN$193,"="&amp;AN118),0,IF(OR(AP118=1,IFERROR(FLOOR((AQ118-AN118)/AQ118/0.25,1),0)&lt;&gt;IFERROR(FLOOR((AQ118-_xlfn.MINIFS('Draft Board'!$AN$2:$AN$193,'Draft Board'!$AN$2:$AN$193,"&gt;"&amp;AN118))/AQ118/0.25,1),0)),1,0))</f>
        <v>0</v>
      </c>
      <c r="AS118" s="11">
        <f>ROUND(1+AN118*'Live Calc'!$D$28,0)</f>
        <v>1</v>
      </c>
      <c r="AT118" s="11"/>
      <c r="AU118" s="11">
        <f>IF(AT118&lt;&gt;"",AT118,ROUND(AS118*INDEX('Live Calc'!$G$259:$G$450,MATCH(AM118,'Live Calc'!$A$259:$A$450,0))*'Live Calc'!$J$543,0))</f>
        <v>1</v>
      </c>
    </row>
    <row r="119" spans="17:47" x14ac:dyDescent="0.25">
      <c r="Q119" s="10" t="s">
        <v>467</v>
      </c>
      <c r="R119" s="10" t="s">
        <v>59</v>
      </c>
      <c r="S119" s="10">
        <v>15.71</v>
      </c>
      <c r="T119" s="10">
        <v>17.8</v>
      </c>
      <c r="U119" s="10">
        <v>19.91</v>
      </c>
      <c r="V119" s="10">
        <f>CHOOSE(MATCH(Setup!$B$7,{"STD","Half-PPR","PPR"},0),S119,T119,U119)</f>
        <v>17.8</v>
      </c>
      <c r="W119" s="10">
        <f>COUNTIFS('Draft Board'!$X$2:$X$161,"&gt;="&amp;X119,'Draft Board'!$AB$2:$AB$161,1)</f>
        <v>14</v>
      </c>
      <c r="X119" s="10">
        <f>MAX(0,V119-'Live Calc'!$H$20)^'Live Calc'!$E$20</f>
        <v>0</v>
      </c>
      <c r="Y119" s="10">
        <v>119</v>
      </c>
      <c r="Z119" s="10">
        <f>IF(Y119&lt;&gt;_xlfn.MINIFS('Draft Board'!$Y$2:$Y$161,'Draft Board'!$X$2:$X$161,"="&amp;X119),0,IF(_xlfn.MINIFS('Draft Board'!$X$2:$X$161,'Draft Board'!$X$2:$X$161,"&gt;"&amp;X119)=0,1,IF((_xlfn.MINIFS('Draft Board'!$X$2:$X$161,'Draft Board'!$X$2:$X$161,"&gt;"&amp;X119)-X119)/_xlfn.MINIFS('Draft Board'!$X$2:$X$161,'Draft Board'!$X$2:$X$161,"&gt;"&amp;X119)&gt;0.08,1,0)))</f>
        <v>0</v>
      </c>
      <c r="AA119" s="10">
        <f>_xlfn.MINIFS('Draft Board'!$X$2:$X$161,'Draft Board'!$X$2:$X$161,"&gt;="&amp;X119,'Draft Board'!$Z$2:$Z$161,1)</f>
        <v>0</v>
      </c>
      <c r="AB119" s="10">
        <f>IF(Y119&lt;&gt;_xlfn.MINIFS('Draft Board'!$Y$2:$Y$161,'Draft Board'!$X$2:$X$161,"="&amp;X119),0,IF(OR(Z119=1,IFERROR(FLOOR((AA119-X119)/AA119/0.25,1),0)&lt;&gt;IFERROR(FLOOR((AA119-_xlfn.MINIFS('Draft Board'!$X$2:$X$161,'Draft Board'!$X$2:$X$161,"&gt;"&amp;X119))/AA119/0.25,1),0)),1,0))</f>
        <v>0</v>
      </c>
      <c r="AC119" s="10">
        <f>ROUND(1+X119*'Live Calc'!$D$27,0)</f>
        <v>1</v>
      </c>
      <c r="AD119" s="10"/>
      <c r="AE119" s="10">
        <f>IF(AD119&lt;&gt;"",AD119,ROUND(AC119*INDEX('Live Calc'!$G$96:$G$255,MATCH(W119,'Live Calc'!$A$96:$A$255,0))*'Live Calc'!$J$543,0))</f>
        <v>1</v>
      </c>
      <c r="AG119" s="11" t="s">
        <v>468</v>
      </c>
      <c r="AH119" s="11" t="s">
        <v>79</v>
      </c>
      <c r="AI119" s="11">
        <v>33.177999999999997</v>
      </c>
      <c r="AJ119" s="11">
        <v>42.671999999999997</v>
      </c>
      <c r="AK119" s="11">
        <v>51.966000000000001</v>
      </c>
      <c r="AL119" s="11">
        <f>CHOOSE(MATCH(Setup!$B$7,{"STD","Half-PPR","PPR"},0),AI119,AJ119,AK119)</f>
        <v>42.671999999999997</v>
      </c>
      <c r="AM119" s="11">
        <f>COUNTIFS('Draft Board'!$AN$2:$AN$193,"&gt;="&amp;AN119,'Draft Board'!$AR$2:$AR$193,1)</f>
        <v>20</v>
      </c>
      <c r="AN119" s="11">
        <f>MAX(0,AL119-'Live Calc'!$H$21)^'Live Calc'!$E$21</f>
        <v>0</v>
      </c>
      <c r="AO119" s="11">
        <v>119</v>
      </c>
      <c r="AP119" s="11">
        <f>IF(AO119&lt;&gt;_xlfn.MINIFS('Draft Board'!$AO$2:$AO$193,'Draft Board'!$AN$2:$AN$193,"="&amp;AN119),0,IF(_xlfn.MINIFS('Draft Board'!$AN$2:$AN$193,'Draft Board'!$AN$2:$AN$193,"&gt;"&amp;AN119)=0,1,IF((_xlfn.MINIFS('Draft Board'!$AN$2:$AN$193,'Draft Board'!$AN$2:$AN$193,"&gt;"&amp;AN119)-AN119)/_xlfn.MINIFS('Draft Board'!$AN$2:$AN$193,'Draft Board'!$AN$2:$AN$193,"&gt;"&amp;AN119)&gt;0.08,1,0)))</f>
        <v>0</v>
      </c>
      <c r="AQ119" s="11">
        <f>_xlfn.MINIFS('Draft Board'!$AN$2:$AN$193,'Draft Board'!$AN$2:$AN$193,"&gt;="&amp;AN119,'Draft Board'!$AP$2:$AP$193,1)</f>
        <v>0</v>
      </c>
      <c r="AR119" s="11">
        <f>IF(AO119&lt;&gt;_xlfn.MINIFS('Draft Board'!$AO$2:$AO$193,'Draft Board'!$AN$2:$AN$193,"="&amp;AN119),0,IF(OR(AP119=1,IFERROR(FLOOR((AQ119-AN119)/AQ119/0.25,1),0)&lt;&gt;IFERROR(FLOOR((AQ119-_xlfn.MINIFS('Draft Board'!$AN$2:$AN$193,'Draft Board'!$AN$2:$AN$193,"&gt;"&amp;AN119))/AQ119/0.25,1),0)),1,0))</f>
        <v>0</v>
      </c>
      <c r="AS119" s="11">
        <f>ROUND(1+AN119*'Live Calc'!$D$28,0)</f>
        <v>1</v>
      </c>
      <c r="AT119" s="11"/>
      <c r="AU119" s="11">
        <f>IF(AT119&lt;&gt;"",AT119,ROUND(AS119*INDEX('Live Calc'!$G$259:$G$450,MATCH(AM119,'Live Calc'!$A$259:$A$450,0))*'Live Calc'!$J$543,0))</f>
        <v>1</v>
      </c>
    </row>
    <row r="120" spans="17:47" x14ac:dyDescent="0.25">
      <c r="Q120" s="10" t="s">
        <v>469</v>
      </c>
      <c r="R120" s="10" t="s">
        <v>77</v>
      </c>
      <c r="S120" s="10">
        <v>16</v>
      </c>
      <c r="T120" s="10">
        <v>17.77</v>
      </c>
      <c r="U120" s="10">
        <v>19.626000000000001</v>
      </c>
      <c r="V120" s="10">
        <f>CHOOSE(MATCH(Setup!$B$7,{"STD","Half-PPR","PPR"},0),S120,T120,U120)</f>
        <v>17.77</v>
      </c>
      <c r="W120" s="10">
        <f>COUNTIFS('Draft Board'!$X$2:$X$161,"&gt;="&amp;X120,'Draft Board'!$AB$2:$AB$161,1)</f>
        <v>14</v>
      </c>
      <c r="X120" s="10">
        <f>MAX(0,V120-'Live Calc'!$H$20)^'Live Calc'!$E$20</f>
        <v>0</v>
      </c>
      <c r="Y120" s="10">
        <v>120</v>
      </c>
      <c r="Z120" s="10">
        <f>IF(Y120&lt;&gt;_xlfn.MINIFS('Draft Board'!$Y$2:$Y$161,'Draft Board'!$X$2:$X$161,"="&amp;X120),0,IF(_xlfn.MINIFS('Draft Board'!$X$2:$X$161,'Draft Board'!$X$2:$X$161,"&gt;"&amp;X120)=0,1,IF((_xlfn.MINIFS('Draft Board'!$X$2:$X$161,'Draft Board'!$X$2:$X$161,"&gt;"&amp;X120)-X120)/_xlfn.MINIFS('Draft Board'!$X$2:$X$161,'Draft Board'!$X$2:$X$161,"&gt;"&amp;X120)&gt;0.08,1,0)))</f>
        <v>0</v>
      </c>
      <c r="AA120" s="10">
        <f>_xlfn.MINIFS('Draft Board'!$X$2:$X$161,'Draft Board'!$X$2:$X$161,"&gt;="&amp;X120,'Draft Board'!$Z$2:$Z$161,1)</f>
        <v>0</v>
      </c>
      <c r="AB120" s="10">
        <f>IF(Y120&lt;&gt;_xlfn.MINIFS('Draft Board'!$Y$2:$Y$161,'Draft Board'!$X$2:$X$161,"="&amp;X120),0,IF(OR(Z120=1,IFERROR(FLOOR((AA120-X120)/AA120/0.25,1),0)&lt;&gt;IFERROR(FLOOR((AA120-_xlfn.MINIFS('Draft Board'!$X$2:$X$161,'Draft Board'!$X$2:$X$161,"&gt;"&amp;X120))/AA120/0.25,1),0)),1,0))</f>
        <v>0</v>
      </c>
      <c r="AC120" s="10">
        <f>ROUND(1+X120*'Live Calc'!$D$27,0)</f>
        <v>1</v>
      </c>
      <c r="AD120" s="10"/>
      <c r="AE120" s="10">
        <f>IF(AD120&lt;&gt;"",AD120,ROUND(AC120*INDEX('Live Calc'!$G$96:$G$255,MATCH(W120,'Live Calc'!$A$96:$A$255,0))*'Live Calc'!$J$543,0))</f>
        <v>1</v>
      </c>
      <c r="AG120" s="11" t="s">
        <v>470</v>
      </c>
      <c r="AH120" s="11" t="s">
        <v>85</v>
      </c>
      <c r="AI120" s="11">
        <v>34.076000000000001</v>
      </c>
      <c r="AJ120" s="11">
        <v>42.512</v>
      </c>
      <c r="AK120" s="11">
        <v>52.8</v>
      </c>
      <c r="AL120" s="11">
        <f>CHOOSE(MATCH(Setup!$B$7,{"STD","Half-PPR","PPR"},0),AI120,AJ120,AK120)</f>
        <v>42.512</v>
      </c>
      <c r="AM120" s="11">
        <f>COUNTIFS('Draft Board'!$AN$2:$AN$193,"&gt;="&amp;AN120,'Draft Board'!$AR$2:$AR$193,1)</f>
        <v>20</v>
      </c>
      <c r="AN120" s="11">
        <f>MAX(0,AL120-'Live Calc'!$H$21)^'Live Calc'!$E$21</f>
        <v>0</v>
      </c>
      <c r="AO120" s="11">
        <v>120</v>
      </c>
      <c r="AP120" s="11">
        <f>IF(AO120&lt;&gt;_xlfn.MINIFS('Draft Board'!$AO$2:$AO$193,'Draft Board'!$AN$2:$AN$193,"="&amp;AN120),0,IF(_xlfn.MINIFS('Draft Board'!$AN$2:$AN$193,'Draft Board'!$AN$2:$AN$193,"&gt;"&amp;AN120)=0,1,IF((_xlfn.MINIFS('Draft Board'!$AN$2:$AN$193,'Draft Board'!$AN$2:$AN$193,"&gt;"&amp;AN120)-AN120)/_xlfn.MINIFS('Draft Board'!$AN$2:$AN$193,'Draft Board'!$AN$2:$AN$193,"&gt;"&amp;AN120)&gt;0.08,1,0)))</f>
        <v>0</v>
      </c>
      <c r="AQ120" s="11">
        <f>_xlfn.MINIFS('Draft Board'!$AN$2:$AN$193,'Draft Board'!$AN$2:$AN$193,"&gt;="&amp;AN120,'Draft Board'!$AP$2:$AP$193,1)</f>
        <v>0</v>
      </c>
      <c r="AR120" s="11">
        <f>IF(AO120&lt;&gt;_xlfn.MINIFS('Draft Board'!$AO$2:$AO$193,'Draft Board'!$AN$2:$AN$193,"="&amp;AN120),0,IF(OR(AP120=1,IFERROR(FLOOR((AQ120-AN120)/AQ120/0.25,1),0)&lt;&gt;IFERROR(FLOOR((AQ120-_xlfn.MINIFS('Draft Board'!$AN$2:$AN$193,'Draft Board'!$AN$2:$AN$193,"&gt;"&amp;AN120))/AQ120/0.25,1),0)),1,0))</f>
        <v>0</v>
      </c>
      <c r="AS120" s="11">
        <f>ROUND(1+AN120*'Live Calc'!$D$28,0)</f>
        <v>1</v>
      </c>
      <c r="AT120" s="11"/>
      <c r="AU120" s="11">
        <f>IF(AT120&lt;&gt;"",AT120,ROUND(AS120*INDEX('Live Calc'!$G$259:$G$450,MATCH(AM120,'Live Calc'!$A$259:$A$450,0))*'Live Calc'!$J$543,0))</f>
        <v>1</v>
      </c>
    </row>
    <row r="121" spans="17:47" x14ac:dyDescent="0.25">
      <c r="Q121" s="10" t="s">
        <v>471</v>
      </c>
      <c r="R121" s="10" t="s">
        <v>181</v>
      </c>
      <c r="S121" s="10">
        <v>14.603999999999999</v>
      </c>
      <c r="T121" s="10">
        <v>17.388000000000002</v>
      </c>
      <c r="U121" s="10">
        <v>20.818000000000001</v>
      </c>
      <c r="V121" s="10">
        <f>CHOOSE(MATCH(Setup!$B$7,{"STD","Half-PPR","PPR"},0),S121,T121,U121)</f>
        <v>17.388000000000002</v>
      </c>
      <c r="W121" s="10">
        <f>COUNTIFS('Draft Board'!$X$2:$X$161,"&gt;="&amp;X121,'Draft Board'!$AB$2:$AB$161,1)</f>
        <v>14</v>
      </c>
      <c r="X121" s="10">
        <f>MAX(0,V121-'Live Calc'!$H$20)^'Live Calc'!$E$20</f>
        <v>0</v>
      </c>
      <c r="Y121" s="10">
        <v>121</v>
      </c>
      <c r="Z121" s="10">
        <f>IF(Y121&lt;&gt;_xlfn.MINIFS('Draft Board'!$Y$2:$Y$161,'Draft Board'!$X$2:$X$161,"="&amp;X121),0,IF(_xlfn.MINIFS('Draft Board'!$X$2:$X$161,'Draft Board'!$X$2:$X$161,"&gt;"&amp;X121)=0,1,IF((_xlfn.MINIFS('Draft Board'!$X$2:$X$161,'Draft Board'!$X$2:$X$161,"&gt;"&amp;X121)-X121)/_xlfn.MINIFS('Draft Board'!$X$2:$X$161,'Draft Board'!$X$2:$X$161,"&gt;"&amp;X121)&gt;0.08,1,0)))</f>
        <v>0</v>
      </c>
      <c r="AA121" s="10">
        <f>_xlfn.MINIFS('Draft Board'!$X$2:$X$161,'Draft Board'!$X$2:$X$161,"&gt;="&amp;X121,'Draft Board'!$Z$2:$Z$161,1)</f>
        <v>0</v>
      </c>
      <c r="AB121" s="10">
        <f>IF(Y121&lt;&gt;_xlfn.MINIFS('Draft Board'!$Y$2:$Y$161,'Draft Board'!$X$2:$X$161,"="&amp;X121),0,IF(OR(Z121=1,IFERROR(FLOOR((AA121-X121)/AA121/0.25,1),0)&lt;&gt;IFERROR(FLOOR((AA121-_xlfn.MINIFS('Draft Board'!$X$2:$X$161,'Draft Board'!$X$2:$X$161,"&gt;"&amp;X121))/AA121/0.25,1),0)),1,0))</f>
        <v>0</v>
      </c>
      <c r="AC121" s="10">
        <f>ROUND(1+X121*'Live Calc'!$D$27,0)</f>
        <v>1</v>
      </c>
      <c r="AD121" s="10"/>
      <c r="AE121" s="10">
        <f>IF(AD121&lt;&gt;"",AD121,ROUND(AC121*INDEX('Live Calc'!$G$96:$G$255,MATCH(W121,'Live Calc'!$A$96:$A$255,0))*'Live Calc'!$J$543,0))</f>
        <v>1</v>
      </c>
      <c r="AG121" s="11" t="s">
        <v>472</v>
      </c>
      <c r="AH121" s="11" t="s">
        <v>93</v>
      </c>
      <c r="AI121" s="11">
        <v>30.998000000000001</v>
      </c>
      <c r="AJ121" s="11">
        <v>42.287999999999997</v>
      </c>
      <c r="AK121" s="11">
        <v>51.694000000000003</v>
      </c>
      <c r="AL121" s="11">
        <f>CHOOSE(MATCH(Setup!$B$7,{"STD","Half-PPR","PPR"},0),AI121,AJ121,AK121)</f>
        <v>42.287999999999997</v>
      </c>
      <c r="AM121" s="11">
        <f>COUNTIFS('Draft Board'!$AN$2:$AN$193,"&gt;="&amp;AN121,'Draft Board'!$AR$2:$AR$193,1)</f>
        <v>20</v>
      </c>
      <c r="AN121" s="11">
        <f>MAX(0,AL121-'Live Calc'!$H$21)^'Live Calc'!$E$21</f>
        <v>0</v>
      </c>
      <c r="AO121" s="11">
        <v>121</v>
      </c>
      <c r="AP121" s="11">
        <f>IF(AO121&lt;&gt;_xlfn.MINIFS('Draft Board'!$AO$2:$AO$193,'Draft Board'!$AN$2:$AN$193,"="&amp;AN121),0,IF(_xlfn.MINIFS('Draft Board'!$AN$2:$AN$193,'Draft Board'!$AN$2:$AN$193,"&gt;"&amp;AN121)=0,1,IF((_xlfn.MINIFS('Draft Board'!$AN$2:$AN$193,'Draft Board'!$AN$2:$AN$193,"&gt;"&amp;AN121)-AN121)/_xlfn.MINIFS('Draft Board'!$AN$2:$AN$193,'Draft Board'!$AN$2:$AN$193,"&gt;"&amp;AN121)&gt;0.08,1,0)))</f>
        <v>0</v>
      </c>
      <c r="AQ121" s="11">
        <f>_xlfn.MINIFS('Draft Board'!$AN$2:$AN$193,'Draft Board'!$AN$2:$AN$193,"&gt;="&amp;AN121,'Draft Board'!$AP$2:$AP$193,1)</f>
        <v>0</v>
      </c>
      <c r="AR121" s="11">
        <f>IF(AO121&lt;&gt;_xlfn.MINIFS('Draft Board'!$AO$2:$AO$193,'Draft Board'!$AN$2:$AN$193,"="&amp;AN121),0,IF(OR(AP121=1,IFERROR(FLOOR((AQ121-AN121)/AQ121/0.25,1),0)&lt;&gt;IFERROR(FLOOR((AQ121-_xlfn.MINIFS('Draft Board'!$AN$2:$AN$193,'Draft Board'!$AN$2:$AN$193,"&gt;"&amp;AN121))/AQ121/0.25,1),0)),1,0))</f>
        <v>0</v>
      </c>
      <c r="AS121" s="11">
        <f>ROUND(1+AN121*'Live Calc'!$D$28,0)</f>
        <v>1</v>
      </c>
      <c r="AT121" s="11"/>
      <c r="AU121" s="11">
        <f>IF(AT121&lt;&gt;"",AT121,ROUND(AS121*INDEX('Live Calc'!$G$259:$G$450,MATCH(AM121,'Live Calc'!$A$259:$A$450,0))*'Live Calc'!$J$543,0))</f>
        <v>1</v>
      </c>
    </row>
    <row r="122" spans="17:47" x14ac:dyDescent="0.25">
      <c r="Q122" s="10" t="s">
        <v>473</v>
      </c>
      <c r="R122" s="10" t="s">
        <v>65</v>
      </c>
      <c r="S122" s="10">
        <v>15.278</v>
      </c>
      <c r="T122" s="10">
        <v>16.760000000000002</v>
      </c>
      <c r="U122" s="10">
        <v>18.5</v>
      </c>
      <c r="V122" s="10">
        <f>CHOOSE(MATCH(Setup!$B$7,{"STD","Half-PPR","PPR"},0),S122,T122,U122)</f>
        <v>16.760000000000002</v>
      </c>
      <c r="W122" s="10">
        <f>COUNTIFS('Draft Board'!$X$2:$X$161,"&gt;="&amp;X122,'Draft Board'!$AB$2:$AB$161,1)</f>
        <v>14</v>
      </c>
      <c r="X122" s="10">
        <f>MAX(0,V122-'Live Calc'!$H$20)^'Live Calc'!$E$20</f>
        <v>0</v>
      </c>
      <c r="Y122" s="10">
        <v>122</v>
      </c>
      <c r="Z122" s="10">
        <f>IF(Y122&lt;&gt;_xlfn.MINIFS('Draft Board'!$Y$2:$Y$161,'Draft Board'!$X$2:$X$161,"="&amp;X122),0,IF(_xlfn.MINIFS('Draft Board'!$X$2:$X$161,'Draft Board'!$X$2:$X$161,"&gt;"&amp;X122)=0,1,IF((_xlfn.MINIFS('Draft Board'!$X$2:$X$161,'Draft Board'!$X$2:$X$161,"&gt;"&amp;X122)-X122)/_xlfn.MINIFS('Draft Board'!$X$2:$X$161,'Draft Board'!$X$2:$X$161,"&gt;"&amp;X122)&gt;0.08,1,0)))</f>
        <v>0</v>
      </c>
      <c r="AA122" s="10">
        <f>_xlfn.MINIFS('Draft Board'!$X$2:$X$161,'Draft Board'!$X$2:$X$161,"&gt;="&amp;X122,'Draft Board'!$Z$2:$Z$161,1)</f>
        <v>0</v>
      </c>
      <c r="AB122" s="10">
        <f>IF(Y122&lt;&gt;_xlfn.MINIFS('Draft Board'!$Y$2:$Y$161,'Draft Board'!$X$2:$X$161,"="&amp;X122),0,IF(OR(Z122=1,IFERROR(FLOOR((AA122-X122)/AA122/0.25,1),0)&lt;&gt;IFERROR(FLOOR((AA122-_xlfn.MINIFS('Draft Board'!$X$2:$X$161,'Draft Board'!$X$2:$X$161,"&gt;"&amp;X122))/AA122/0.25,1),0)),1,0))</f>
        <v>0</v>
      </c>
      <c r="AC122" s="10">
        <f>ROUND(1+X122*'Live Calc'!$D$27,0)</f>
        <v>1</v>
      </c>
      <c r="AD122" s="10"/>
      <c r="AE122" s="10">
        <f>IF(AD122&lt;&gt;"",AD122,ROUND(AC122*INDEX('Live Calc'!$G$96:$G$255,MATCH(W122,'Live Calc'!$A$96:$A$255,0))*'Live Calc'!$J$543,0))</f>
        <v>1</v>
      </c>
      <c r="AG122" s="11" t="s">
        <v>474</v>
      </c>
      <c r="AH122" s="11" t="s">
        <v>111</v>
      </c>
      <c r="AI122" s="11">
        <v>32.256</v>
      </c>
      <c r="AJ122" s="11">
        <v>42.058</v>
      </c>
      <c r="AK122" s="11">
        <v>51.902000000000001</v>
      </c>
      <c r="AL122" s="11">
        <f>CHOOSE(MATCH(Setup!$B$7,{"STD","Half-PPR","PPR"},0),AI122,AJ122,AK122)</f>
        <v>42.058</v>
      </c>
      <c r="AM122" s="11">
        <f>COUNTIFS('Draft Board'!$AN$2:$AN$193,"&gt;="&amp;AN122,'Draft Board'!$AR$2:$AR$193,1)</f>
        <v>20</v>
      </c>
      <c r="AN122" s="11">
        <f>MAX(0,AL122-'Live Calc'!$H$21)^'Live Calc'!$E$21</f>
        <v>0</v>
      </c>
      <c r="AO122" s="11">
        <v>122</v>
      </c>
      <c r="AP122" s="11">
        <f>IF(AO122&lt;&gt;_xlfn.MINIFS('Draft Board'!$AO$2:$AO$193,'Draft Board'!$AN$2:$AN$193,"="&amp;AN122),0,IF(_xlfn.MINIFS('Draft Board'!$AN$2:$AN$193,'Draft Board'!$AN$2:$AN$193,"&gt;"&amp;AN122)=0,1,IF((_xlfn.MINIFS('Draft Board'!$AN$2:$AN$193,'Draft Board'!$AN$2:$AN$193,"&gt;"&amp;AN122)-AN122)/_xlfn.MINIFS('Draft Board'!$AN$2:$AN$193,'Draft Board'!$AN$2:$AN$193,"&gt;"&amp;AN122)&gt;0.08,1,0)))</f>
        <v>0</v>
      </c>
      <c r="AQ122" s="11">
        <f>_xlfn.MINIFS('Draft Board'!$AN$2:$AN$193,'Draft Board'!$AN$2:$AN$193,"&gt;="&amp;AN122,'Draft Board'!$AP$2:$AP$193,1)</f>
        <v>0</v>
      </c>
      <c r="AR122" s="11">
        <f>IF(AO122&lt;&gt;_xlfn.MINIFS('Draft Board'!$AO$2:$AO$193,'Draft Board'!$AN$2:$AN$193,"="&amp;AN122),0,IF(OR(AP122=1,IFERROR(FLOOR((AQ122-AN122)/AQ122/0.25,1),0)&lt;&gt;IFERROR(FLOOR((AQ122-_xlfn.MINIFS('Draft Board'!$AN$2:$AN$193,'Draft Board'!$AN$2:$AN$193,"&gt;"&amp;AN122))/AQ122/0.25,1),0)),1,0))</f>
        <v>0</v>
      </c>
      <c r="AS122" s="11">
        <f>ROUND(1+AN122*'Live Calc'!$D$28,0)</f>
        <v>1</v>
      </c>
      <c r="AT122" s="11"/>
      <c r="AU122" s="11">
        <f>IF(AT122&lt;&gt;"",AT122,ROUND(AS122*INDEX('Live Calc'!$G$259:$G$450,MATCH(AM122,'Live Calc'!$A$259:$A$450,0))*'Live Calc'!$J$543,0))</f>
        <v>1</v>
      </c>
    </row>
    <row r="123" spans="17:47" x14ac:dyDescent="0.25">
      <c r="Q123" s="10" t="s">
        <v>475</v>
      </c>
      <c r="R123" s="10" t="s">
        <v>107</v>
      </c>
      <c r="S123" s="10">
        <v>13.97</v>
      </c>
      <c r="T123" s="10">
        <v>16.2</v>
      </c>
      <c r="U123" s="10">
        <v>18.936</v>
      </c>
      <c r="V123" s="10">
        <f>CHOOSE(MATCH(Setup!$B$7,{"STD","Half-PPR","PPR"},0),S123,T123,U123)</f>
        <v>16.2</v>
      </c>
      <c r="W123" s="10">
        <f>COUNTIFS('Draft Board'!$X$2:$X$161,"&gt;="&amp;X123,'Draft Board'!$AB$2:$AB$161,1)</f>
        <v>14</v>
      </c>
      <c r="X123" s="10">
        <f>MAX(0,V123-'Live Calc'!$H$20)^'Live Calc'!$E$20</f>
        <v>0</v>
      </c>
      <c r="Y123" s="10">
        <v>123</v>
      </c>
      <c r="Z123" s="10">
        <f>IF(Y123&lt;&gt;_xlfn.MINIFS('Draft Board'!$Y$2:$Y$161,'Draft Board'!$X$2:$X$161,"="&amp;X123),0,IF(_xlfn.MINIFS('Draft Board'!$X$2:$X$161,'Draft Board'!$X$2:$X$161,"&gt;"&amp;X123)=0,1,IF((_xlfn.MINIFS('Draft Board'!$X$2:$X$161,'Draft Board'!$X$2:$X$161,"&gt;"&amp;X123)-X123)/_xlfn.MINIFS('Draft Board'!$X$2:$X$161,'Draft Board'!$X$2:$X$161,"&gt;"&amp;X123)&gt;0.08,1,0)))</f>
        <v>0</v>
      </c>
      <c r="AA123" s="10">
        <f>_xlfn.MINIFS('Draft Board'!$X$2:$X$161,'Draft Board'!$X$2:$X$161,"&gt;="&amp;X123,'Draft Board'!$Z$2:$Z$161,1)</f>
        <v>0</v>
      </c>
      <c r="AB123" s="10">
        <f>IF(Y123&lt;&gt;_xlfn.MINIFS('Draft Board'!$Y$2:$Y$161,'Draft Board'!$X$2:$X$161,"="&amp;X123),0,IF(OR(Z123=1,IFERROR(FLOOR((AA123-X123)/AA123/0.25,1),0)&lt;&gt;IFERROR(FLOOR((AA123-_xlfn.MINIFS('Draft Board'!$X$2:$X$161,'Draft Board'!$X$2:$X$161,"&gt;"&amp;X123))/AA123/0.25,1),0)),1,0))</f>
        <v>0</v>
      </c>
      <c r="AC123" s="10">
        <f>ROUND(1+X123*'Live Calc'!$D$27,0)</f>
        <v>1</v>
      </c>
      <c r="AD123" s="10"/>
      <c r="AE123" s="10">
        <f>IF(AD123&lt;&gt;"",AD123,ROUND(AC123*INDEX('Live Calc'!$G$96:$G$255,MATCH(W123,'Live Calc'!$A$96:$A$255,0))*'Live Calc'!$J$543,0))</f>
        <v>1</v>
      </c>
      <c r="AG123" s="11" t="s">
        <v>476</v>
      </c>
      <c r="AH123" s="11" t="s">
        <v>79</v>
      </c>
      <c r="AI123" s="11">
        <v>32.676000000000002</v>
      </c>
      <c r="AJ123" s="11">
        <v>41.908000000000001</v>
      </c>
      <c r="AK123" s="11">
        <v>51.14</v>
      </c>
      <c r="AL123" s="11">
        <f>CHOOSE(MATCH(Setup!$B$7,{"STD","Half-PPR","PPR"},0),AI123,AJ123,AK123)</f>
        <v>41.908000000000001</v>
      </c>
      <c r="AM123" s="11">
        <f>COUNTIFS('Draft Board'!$AN$2:$AN$193,"&gt;="&amp;AN123,'Draft Board'!$AR$2:$AR$193,1)</f>
        <v>20</v>
      </c>
      <c r="AN123" s="11">
        <f>MAX(0,AL123-'Live Calc'!$H$21)^'Live Calc'!$E$21</f>
        <v>0</v>
      </c>
      <c r="AO123" s="11">
        <v>123</v>
      </c>
      <c r="AP123" s="11">
        <f>IF(AO123&lt;&gt;_xlfn.MINIFS('Draft Board'!$AO$2:$AO$193,'Draft Board'!$AN$2:$AN$193,"="&amp;AN123),0,IF(_xlfn.MINIFS('Draft Board'!$AN$2:$AN$193,'Draft Board'!$AN$2:$AN$193,"&gt;"&amp;AN123)=0,1,IF((_xlfn.MINIFS('Draft Board'!$AN$2:$AN$193,'Draft Board'!$AN$2:$AN$193,"&gt;"&amp;AN123)-AN123)/_xlfn.MINIFS('Draft Board'!$AN$2:$AN$193,'Draft Board'!$AN$2:$AN$193,"&gt;"&amp;AN123)&gt;0.08,1,0)))</f>
        <v>0</v>
      </c>
      <c r="AQ123" s="11">
        <f>_xlfn.MINIFS('Draft Board'!$AN$2:$AN$193,'Draft Board'!$AN$2:$AN$193,"&gt;="&amp;AN123,'Draft Board'!$AP$2:$AP$193,1)</f>
        <v>0</v>
      </c>
      <c r="AR123" s="11">
        <f>IF(AO123&lt;&gt;_xlfn.MINIFS('Draft Board'!$AO$2:$AO$193,'Draft Board'!$AN$2:$AN$193,"="&amp;AN123),0,IF(OR(AP123=1,IFERROR(FLOOR((AQ123-AN123)/AQ123/0.25,1),0)&lt;&gt;IFERROR(FLOOR((AQ123-_xlfn.MINIFS('Draft Board'!$AN$2:$AN$193,'Draft Board'!$AN$2:$AN$193,"&gt;"&amp;AN123))/AQ123/0.25,1),0)),1,0))</f>
        <v>0</v>
      </c>
      <c r="AS123" s="11">
        <f>ROUND(1+AN123*'Live Calc'!$D$28,0)</f>
        <v>1</v>
      </c>
      <c r="AT123" s="11"/>
      <c r="AU123" s="11">
        <f>IF(AT123&lt;&gt;"",AT123,ROUND(AS123*INDEX('Live Calc'!$G$259:$G$450,MATCH(AM123,'Live Calc'!$A$259:$A$450,0))*'Live Calc'!$J$543,0))</f>
        <v>1</v>
      </c>
    </row>
    <row r="124" spans="17:47" x14ac:dyDescent="0.25">
      <c r="Q124" s="10" t="s">
        <v>477</v>
      </c>
      <c r="R124" s="10" t="s">
        <v>69</v>
      </c>
      <c r="S124" s="10">
        <v>11.71</v>
      </c>
      <c r="T124" s="10">
        <v>15.59</v>
      </c>
      <c r="U124" s="10">
        <v>19.46</v>
      </c>
      <c r="V124" s="10">
        <f>CHOOSE(MATCH(Setup!$B$7,{"STD","Half-PPR","PPR"},0),S124,T124,U124)</f>
        <v>15.59</v>
      </c>
      <c r="W124" s="10">
        <f>COUNTIFS('Draft Board'!$X$2:$X$161,"&gt;="&amp;X124,'Draft Board'!$AB$2:$AB$161,1)</f>
        <v>14</v>
      </c>
      <c r="X124" s="10">
        <f>MAX(0,V124-'Live Calc'!$H$20)^'Live Calc'!$E$20</f>
        <v>0</v>
      </c>
      <c r="Y124" s="10">
        <v>124</v>
      </c>
      <c r="Z124" s="10">
        <f>IF(Y124&lt;&gt;_xlfn.MINIFS('Draft Board'!$Y$2:$Y$161,'Draft Board'!$X$2:$X$161,"="&amp;X124),0,IF(_xlfn.MINIFS('Draft Board'!$X$2:$X$161,'Draft Board'!$X$2:$X$161,"&gt;"&amp;X124)=0,1,IF((_xlfn.MINIFS('Draft Board'!$X$2:$X$161,'Draft Board'!$X$2:$X$161,"&gt;"&amp;X124)-X124)/_xlfn.MINIFS('Draft Board'!$X$2:$X$161,'Draft Board'!$X$2:$X$161,"&gt;"&amp;X124)&gt;0.08,1,0)))</f>
        <v>0</v>
      </c>
      <c r="AA124" s="10">
        <f>_xlfn.MINIFS('Draft Board'!$X$2:$X$161,'Draft Board'!$X$2:$X$161,"&gt;="&amp;X124,'Draft Board'!$Z$2:$Z$161,1)</f>
        <v>0</v>
      </c>
      <c r="AB124" s="10">
        <f>IF(Y124&lt;&gt;_xlfn.MINIFS('Draft Board'!$Y$2:$Y$161,'Draft Board'!$X$2:$X$161,"="&amp;X124),0,IF(OR(Z124=1,IFERROR(FLOOR((AA124-X124)/AA124/0.25,1),0)&lt;&gt;IFERROR(FLOOR((AA124-_xlfn.MINIFS('Draft Board'!$X$2:$X$161,'Draft Board'!$X$2:$X$161,"&gt;"&amp;X124))/AA124/0.25,1),0)),1,0))</f>
        <v>0</v>
      </c>
      <c r="AC124" s="10">
        <f>ROUND(1+X124*'Live Calc'!$D$27,0)</f>
        <v>1</v>
      </c>
      <c r="AD124" s="10"/>
      <c r="AE124" s="10">
        <f>IF(AD124&lt;&gt;"",AD124,ROUND(AC124*INDEX('Live Calc'!$G$96:$G$255,MATCH(W124,'Live Calc'!$A$96:$A$255,0))*'Live Calc'!$J$543,0))</f>
        <v>1</v>
      </c>
      <c r="AG124" s="11" t="s">
        <v>478</v>
      </c>
      <c r="AH124" s="11" t="s">
        <v>77</v>
      </c>
      <c r="AI124" s="11">
        <v>34</v>
      </c>
      <c r="AJ124" s="11">
        <v>41.648000000000003</v>
      </c>
      <c r="AK124" s="11">
        <v>51.564</v>
      </c>
      <c r="AL124" s="11">
        <f>CHOOSE(MATCH(Setup!$B$7,{"STD","Half-PPR","PPR"},0),AI124,AJ124,AK124)</f>
        <v>41.648000000000003</v>
      </c>
      <c r="AM124" s="11">
        <f>COUNTIFS('Draft Board'!$AN$2:$AN$193,"&gt;="&amp;AN124,'Draft Board'!$AR$2:$AR$193,1)</f>
        <v>20</v>
      </c>
      <c r="AN124" s="11">
        <f>MAX(0,AL124-'Live Calc'!$H$21)^'Live Calc'!$E$21</f>
        <v>0</v>
      </c>
      <c r="AO124" s="11">
        <v>124</v>
      </c>
      <c r="AP124" s="11">
        <f>IF(AO124&lt;&gt;_xlfn.MINIFS('Draft Board'!$AO$2:$AO$193,'Draft Board'!$AN$2:$AN$193,"="&amp;AN124),0,IF(_xlfn.MINIFS('Draft Board'!$AN$2:$AN$193,'Draft Board'!$AN$2:$AN$193,"&gt;"&amp;AN124)=0,1,IF((_xlfn.MINIFS('Draft Board'!$AN$2:$AN$193,'Draft Board'!$AN$2:$AN$193,"&gt;"&amp;AN124)-AN124)/_xlfn.MINIFS('Draft Board'!$AN$2:$AN$193,'Draft Board'!$AN$2:$AN$193,"&gt;"&amp;AN124)&gt;0.08,1,0)))</f>
        <v>0</v>
      </c>
      <c r="AQ124" s="11">
        <f>_xlfn.MINIFS('Draft Board'!$AN$2:$AN$193,'Draft Board'!$AN$2:$AN$193,"&gt;="&amp;AN124,'Draft Board'!$AP$2:$AP$193,1)</f>
        <v>0</v>
      </c>
      <c r="AR124" s="11">
        <f>IF(AO124&lt;&gt;_xlfn.MINIFS('Draft Board'!$AO$2:$AO$193,'Draft Board'!$AN$2:$AN$193,"="&amp;AN124),0,IF(OR(AP124=1,IFERROR(FLOOR((AQ124-AN124)/AQ124/0.25,1),0)&lt;&gt;IFERROR(FLOOR((AQ124-_xlfn.MINIFS('Draft Board'!$AN$2:$AN$193,'Draft Board'!$AN$2:$AN$193,"&gt;"&amp;AN124))/AQ124/0.25,1),0)),1,0))</f>
        <v>0</v>
      </c>
      <c r="AS124" s="11">
        <f>ROUND(1+AN124*'Live Calc'!$D$28,0)</f>
        <v>1</v>
      </c>
      <c r="AT124" s="11"/>
      <c r="AU124" s="11">
        <f>IF(AT124&lt;&gt;"",AT124,ROUND(AS124*INDEX('Live Calc'!$G$259:$G$450,MATCH(AM124,'Live Calc'!$A$259:$A$450,0))*'Live Calc'!$J$543,0))</f>
        <v>1</v>
      </c>
    </row>
    <row r="125" spans="17:47" x14ac:dyDescent="0.25">
      <c r="Q125" s="10" t="s">
        <v>479</v>
      </c>
      <c r="R125" s="10" t="s">
        <v>85</v>
      </c>
      <c r="S125" s="10">
        <v>14.8</v>
      </c>
      <c r="T125" s="10">
        <v>15.54</v>
      </c>
      <c r="U125" s="10">
        <v>16.27</v>
      </c>
      <c r="V125" s="10">
        <f>CHOOSE(MATCH(Setup!$B$7,{"STD","Half-PPR","PPR"},0),S125,T125,U125)</f>
        <v>15.54</v>
      </c>
      <c r="W125" s="10">
        <f>COUNTIFS('Draft Board'!$X$2:$X$161,"&gt;="&amp;X125,'Draft Board'!$AB$2:$AB$161,1)</f>
        <v>14</v>
      </c>
      <c r="X125" s="10">
        <f>MAX(0,V125-'Live Calc'!$H$20)^'Live Calc'!$E$20</f>
        <v>0</v>
      </c>
      <c r="Y125" s="10">
        <v>125</v>
      </c>
      <c r="Z125" s="10">
        <f>IF(Y125&lt;&gt;_xlfn.MINIFS('Draft Board'!$Y$2:$Y$161,'Draft Board'!$X$2:$X$161,"="&amp;X125),0,IF(_xlfn.MINIFS('Draft Board'!$X$2:$X$161,'Draft Board'!$X$2:$X$161,"&gt;"&amp;X125)=0,1,IF((_xlfn.MINIFS('Draft Board'!$X$2:$X$161,'Draft Board'!$X$2:$X$161,"&gt;"&amp;X125)-X125)/_xlfn.MINIFS('Draft Board'!$X$2:$X$161,'Draft Board'!$X$2:$X$161,"&gt;"&amp;X125)&gt;0.08,1,0)))</f>
        <v>0</v>
      </c>
      <c r="AA125" s="10">
        <f>_xlfn.MINIFS('Draft Board'!$X$2:$X$161,'Draft Board'!$X$2:$X$161,"&gt;="&amp;X125,'Draft Board'!$Z$2:$Z$161,1)</f>
        <v>0</v>
      </c>
      <c r="AB125" s="10">
        <f>IF(Y125&lt;&gt;_xlfn.MINIFS('Draft Board'!$Y$2:$Y$161,'Draft Board'!$X$2:$X$161,"="&amp;X125),0,IF(OR(Z125=1,IFERROR(FLOOR((AA125-X125)/AA125/0.25,1),0)&lt;&gt;IFERROR(FLOOR((AA125-_xlfn.MINIFS('Draft Board'!$X$2:$X$161,'Draft Board'!$X$2:$X$161,"&gt;"&amp;X125))/AA125/0.25,1),0)),1,0))</f>
        <v>0</v>
      </c>
      <c r="AC125" s="10">
        <f>ROUND(1+X125*'Live Calc'!$D$27,0)</f>
        <v>1</v>
      </c>
      <c r="AD125" s="10"/>
      <c r="AE125" s="10">
        <f>IF(AD125&lt;&gt;"",AD125,ROUND(AC125*INDEX('Live Calc'!$G$96:$G$255,MATCH(W125,'Live Calc'!$A$96:$A$255,0))*'Live Calc'!$J$543,0))</f>
        <v>1</v>
      </c>
      <c r="AG125" s="11" t="s">
        <v>480</v>
      </c>
      <c r="AH125" s="11" t="s">
        <v>71</v>
      </c>
      <c r="AI125" s="11">
        <v>32.01</v>
      </c>
      <c r="AJ125" s="11">
        <v>41.448</v>
      </c>
      <c r="AK125" s="11">
        <v>51.6</v>
      </c>
      <c r="AL125" s="11">
        <f>CHOOSE(MATCH(Setup!$B$7,{"STD","Half-PPR","PPR"},0),AI125,AJ125,AK125)</f>
        <v>41.448</v>
      </c>
      <c r="AM125" s="11">
        <f>COUNTIFS('Draft Board'!$AN$2:$AN$193,"&gt;="&amp;AN125,'Draft Board'!$AR$2:$AR$193,1)</f>
        <v>20</v>
      </c>
      <c r="AN125" s="11">
        <f>MAX(0,AL125-'Live Calc'!$H$21)^'Live Calc'!$E$21</f>
        <v>0</v>
      </c>
      <c r="AO125" s="11">
        <v>125</v>
      </c>
      <c r="AP125" s="11">
        <f>IF(AO125&lt;&gt;_xlfn.MINIFS('Draft Board'!$AO$2:$AO$193,'Draft Board'!$AN$2:$AN$193,"="&amp;AN125),0,IF(_xlfn.MINIFS('Draft Board'!$AN$2:$AN$193,'Draft Board'!$AN$2:$AN$193,"&gt;"&amp;AN125)=0,1,IF((_xlfn.MINIFS('Draft Board'!$AN$2:$AN$193,'Draft Board'!$AN$2:$AN$193,"&gt;"&amp;AN125)-AN125)/_xlfn.MINIFS('Draft Board'!$AN$2:$AN$193,'Draft Board'!$AN$2:$AN$193,"&gt;"&amp;AN125)&gt;0.08,1,0)))</f>
        <v>0</v>
      </c>
      <c r="AQ125" s="11">
        <f>_xlfn.MINIFS('Draft Board'!$AN$2:$AN$193,'Draft Board'!$AN$2:$AN$193,"&gt;="&amp;AN125,'Draft Board'!$AP$2:$AP$193,1)</f>
        <v>0</v>
      </c>
      <c r="AR125" s="11">
        <f>IF(AO125&lt;&gt;_xlfn.MINIFS('Draft Board'!$AO$2:$AO$193,'Draft Board'!$AN$2:$AN$193,"="&amp;AN125),0,IF(OR(AP125=1,IFERROR(FLOOR((AQ125-AN125)/AQ125/0.25,1),0)&lt;&gt;IFERROR(FLOOR((AQ125-_xlfn.MINIFS('Draft Board'!$AN$2:$AN$193,'Draft Board'!$AN$2:$AN$193,"&gt;"&amp;AN125))/AQ125/0.25,1),0)),1,0))</f>
        <v>0</v>
      </c>
      <c r="AS125" s="11">
        <f>ROUND(1+AN125*'Live Calc'!$D$28,0)</f>
        <v>1</v>
      </c>
      <c r="AT125" s="11"/>
      <c r="AU125" s="11">
        <f>IF(AT125&lt;&gt;"",AT125,ROUND(AS125*INDEX('Live Calc'!$G$259:$G$450,MATCH(AM125,'Live Calc'!$A$259:$A$450,0))*'Live Calc'!$J$543,0))</f>
        <v>1</v>
      </c>
    </row>
    <row r="126" spans="17:47" x14ac:dyDescent="0.25">
      <c r="Q126" s="10" t="s">
        <v>481</v>
      </c>
      <c r="R126" s="10" t="s">
        <v>59</v>
      </c>
      <c r="S126" s="10">
        <v>14.05</v>
      </c>
      <c r="T126" s="10">
        <v>15.22</v>
      </c>
      <c r="U126" s="10">
        <v>16.399999999999999</v>
      </c>
      <c r="V126" s="10">
        <f>CHOOSE(MATCH(Setup!$B$7,{"STD","Half-PPR","PPR"},0),S126,T126,U126)</f>
        <v>15.22</v>
      </c>
      <c r="W126" s="10">
        <f>COUNTIFS('Draft Board'!$X$2:$X$161,"&gt;="&amp;X126,'Draft Board'!$AB$2:$AB$161,1)</f>
        <v>14</v>
      </c>
      <c r="X126" s="10">
        <f>MAX(0,V126-'Live Calc'!$H$20)^'Live Calc'!$E$20</f>
        <v>0</v>
      </c>
      <c r="Y126" s="10">
        <v>126</v>
      </c>
      <c r="Z126" s="10">
        <f>IF(Y126&lt;&gt;_xlfn.MINIFS('Draft Board'!$Y$2:$Y$161,'Draft Board'!$X$2:$X$161,"="&amp;X126),0,IF(_xlfn.MINIFS('Draft Board'!$X$2:$X$161,'Draft Board'!$X$2:$X$161,"&gt;"&amp;X126)=0,1,IF((_xlfn.MINIFS('Draft Board'!$X$2:$X$161,'Draft Board'!$X$2:$X$161,"&gt;"&amp;X126)-X126)/_xlfn.MINIFS('Draft Board'!$X$2:$X$161,'Draft Board'!$X$2:$X$161,"&gt;"&amp;X126)&gt;0.08,1,0)))</f>
        <v>0</v>
      </c>
      <c r="AA126" s="10">
        <f>_xlfn.MINIFS('Draft Board'!$X$2:$X$161,'Draft Board'!$X$2:$X$161,"&gt;="&amp;X126,'Draft Board'!$Z$2:$Z$161,1)</f>
        <v>0</v>
      </c>
      <c r="AB126" s="10">
        <f>IF(Y126&lt;&gt;_xlfn.MINIFS('Draft Board'!$Y$2:$Y$161,'Draft Board'!$X$2:$X$161,"="&amp;X126),0,IF(OR(Z126=1,IFERROR(FLOOR((AA126-X126)/AA126/0.25,1),0)&lt;&gt;IFERROR(FLOOR((AA126-_xlfn.MINIFS('Draft Board'!$X$2:$X$161,'Draft Board'!$X$2:$X$161,"&gt;"&amp;X126))/AA126/0.25,1),0)),1,0))</f>
        <v>0</v>
      </c>
      <c r="AC126" s="10">
        <f>ROUND(1+X126*'Live Calc'!$D$27,0)</f>
        <v>1</v>
      </c>
      <c r="AD126" s="10"/>
      <c r="AE126" s="10">
        <f>IF(AD126&lt;&gt;"",AD126,ROUND(AC126*INDEX('Live Calc'!$G$96:$G$255,MATCH(W126,'Live Calc'!$A$96:$A$255,0))*'Live Calc'!$J$543,0))</f>
        <v>1</v>
      </c>
      <c r="AG126" s="11" t="s">
        <v>482</v>
      </c>
      <c r="AH126" s="11" t="s">
        <v>81</v>
      </c>
      <c r="AI126" s="11">
        <v>29.8</v>
      </c>
      <c r="AJ126" s="11">
        <v>41.4</v>
      </c>
      <c r="AK126" s="11">
        <v>50.92</v>
      </c>
      <c r="AL126" s="11">
        <f>CHOOSE(MATCH(Setup!$B$7,{"STD","Half-PPR","PPR"},0),AI126,AJ126,AK126)</f>
        <v>41.4</v>
      </c>
      <c r="AM126" s="11">
        <f>COUNTIFS('Draft Board'!$AN$2:$AN$193,"&gt;="&amp;AN126,'Draft Board'!$AR$2:$AR$193,1)</f>
        <v>20</v>
      </c>
      <c r="AN126" s="11">
        <f>MAX(0,AL126-'Live Calc'!$H$21)^'Live Calc'!$E$21</f>
        <v>0</v>
      </c>
      <c r="AO126" s="11">
        <v>126</v>
      </c>
      <c r="AP126" s="11">
        <f>IF(AO126&lt;&gt;_xlfn.MINIFS('Draft Board'!$AO$2:$AO$193,'Draft Board'!$AN$2:$AN$193,"="&amp;AN126),0,IF(_xlfn.MINIFS('Draft Board'!$AN$2:$AN$193,'Draft Board'!$AN$2:$AN$193,"&gt;"&amp;AN126)=0,1,IF((_xlfn.MINIFS('Draft Board'!$AN$2:$AN$193,'Draft Board'!$AN$2:$AN$193,"&gt;"&amp;AN126)-AN126)/_xlfn.MINIFS('Draft Board'!$AN$2:$AN$193,'Draft Board'!$AN$2:$AN$193,"&gt;"&amp;AN126)&gt;0.08,1,0)))</f>
        <v>0</v>
      </c>
      <c r="AQ126" s="11">
        <f>_xlfn.MINIFS('Draft Board'!$AN$2:$AN$193,'Draft Board'!$AN$2:$AN$193,"&gt;="&amp;AN126,'Draft Board'!$AP$2:$AP$193,1)</f>
        <v>0</v>
      </c>
      <c r="AR126" s="11">
        <f>IF(AO126&lt;&gt;_xlfn.MINIFS('Draft Board'!$AO$2:$AO$193,'Draft Board'!$AN$2:$AN$193,"="&amp;AN126),0,IF(OR(AP126=1,IFERROR(FLOOR((AQ126-AN126)/AQ126/0.25,1),0)&lt;&gt;IFERROR(FLOOR((AQ126-_xlfn.MINIFS('Draft Board'!$AN$2:$AN$193,'Draft Board'!$AN$2:$AN$193,"&gt;"&amp;AN126))/AQ126/0.25,1),0)),1,0))</f>
        <v>0</v>
      </c>
      <c r="AS126" s="11">
        <f>ROUND(1+AN126*'Live Calc'!$D$28,0)</f>
        <v>1</v>
      </c>
      <c r="AT126" s="11"/>
      <c r="AU126" s="11">
        <f>IF(AT126&lt;&gt;"",AT126,ROUND(AS126*INDEX('Live Calc'!$G$259:$G$450,MATCH(AM126,'Live Calc'!$A$259:$A$450,0))*'Live Calc'!$J$543,0))</f>
        <v>1</v>
      </c>
    </row>
    <row r="127" spans="17:47" x14ac:dyDescent="0.25">
      <c r="Q127" s="10" t="s">
        <v>483</v>
      </c>
      <c r="R127" s="10" t="s">
        <v>111</v>
      </c>
      <c r="S127" s="10">
        <v>13.372</v>
      </c>
      <c r="T127" s="10">
        <v>15.132</v>
      </c>
      <c r="U127" s="10">
        <v>17.024000000000001</v>
      </c>
      <c r="V127" s="10">
        <f>CHOOSE(MATCH(Setup!$B$7,{"STD","Half-PPR","PPR"},0),S127,T127,U127)</f>
        <v>15.132</v>
      </c>
      <c r="W127" s="10">
        <f>COUNTIFS('Draft Board'!$X$2:$X$161,"&gt;="&amp;X127,'Draft Board'!$AB$2:$AB$161,1)</f>
        <v>14</v>
      </c>
      <c r="X127" s="10">
        <f>MAX(0,V127-'Live Calc'!$H$20)^'Live Calc'!$E$20</f>
        <v>0</v>
      </c>
      <c r="Y127" s="10">
        <v>127</v>
      </c>
      <c r="Z127" s="10">
        <f>IF(Y127&lt;&gt;_xlfn.MINIFS('Draft Board'!$Y$2:$Y$161,'Draft Board'!$X$2:$X$161,"="&amp;X127),0,IF(_xlfn.MINIFS('Draft Board'!$X$2:$X$161,'Draft Board'!$X$2:$X$161,"&gt;"&amp;X127)=0,1,IF((_xlfn.MINIFS('Draft Board'!$X$2:$X$161,'Draft Board'!$X$2:$X$161,"&gt;"&amp;X127)-X127)/_xlfn.MINIFS('Draft Board'!$X$2:$X$161,'Draft Board'!$X$2:$X$161,"&gt;"&amp;X127)&gt;0.08,1,0)))</f>
        <v>0</v>
      </c>
      <c r="AA127" s="10">
        <f>_xlfn.MINIFS('Draft Board'!$X$2:$X$161,'Draft Board'!$X$2:$X$161,"&gt;="&amp;X127,'Draft Board'!$Z$2:$Z$161,1)</f>
        <v>0</v>
      </c>
      <c r="AB127" s="10">
        <f>IF(Y127&lt;&gt;_xlfn.MINIFS('Draft Board'!$Y$2:$Y$161,'Draft Board'!$X$2:$X$161,"="&amp;X127),0,IF(OR(Z127=1,IFERROR(FLOOR((AA127-X127)/AA127/0.25,1),0)&lt;&gt;IFERROR(FLOOR((AA127-_xlfn.MINIFS('Draft Board'!$X$2:$X$161,'Draft Board'!$X$2:$X$161,"&gt;"&amp;X127))/AA127/0.25,1),0)),1,0))</f>
        <v>0</v>
      </c>
      <c r="AC127" s="10">
        <f>ROUND(1+X127*'Live Calc'!$D$27,0)</f>
        <v>1</v>
      </c>
      <c r="AD127" s="10"/>
      <c r="AE127" s="10">
        <f>IF(AD127&lt;&gt;"",AD127,ROUND(AC127*INDEX('Live Calc'!$G$96:$G$255,MATCH(W127,'Live Calc'!$A$96:$A$255,0))*'Live Calc'!$J$543,0))</f>
        <v>1</v>
      </c>
      <c r="AG127" s="11" t="s">
        <v>484</v>
      </c>
      <c r="AH127" s="11" t="s">
        <v>96</v>
      </c>
      <c r="AI127" s="11">
        <v>31.655999999999999</v>
      </c>
      <c r="AJ127" s="11">
        <v>41.386000000000003</v>
      </c>
      <c r="AK127" s="11">
        <v>50.985999999999997</v>
      </c>
      <c r="AL127" s="11">
        <f>CHOOSE(MATCH(Setup!$B$7,{"STD","Half-PPR","PPR"},0),AI127,AJ127,AK127)</f>
        <v>41.386000000000003</v>
      </c>
      <c r="AM127" s="11">
        <f>COUNTIFS('Draft Board'!$AN$2:$AN$193,"&gt;="&amp;AN127,'Draft Board'!$AR$2:$AR$193,1)</f>
        <v>20</v>
      </c>
      <c r="AN127" s="11">
        <f>MAX(0,AL127-'Live Calc'!$H$21)^'Live Calc'!$E$21</f>
        <v>0</v>
      </c>
      <c r="AO127" s="11">
        <v>127</v>
      </c>
      <c r="AP127" s="11">
        <f>IF(AO127&lt;&gt;_xlfn.MINIFS('Draft Board'!$AO$2:$AO$193,'Draft Board'!$AN$2:$AN$193,"="&amp;AN127),0,IF(_xlfn.MINIFS('Draft Board'!$AN$2:$AN$193,'Draft Board'!$AN$2:$AN$193,"&gt;"&amp;AN127)=0,1,IF((_xlfn.MINIFS('Draft Board'!$AN$2:$AN$193,'Draft Board'!$AN$2:$AN$193,"&gt;"&amp;AN127)-AN127)/_xlfn.MINIFS('Draft Board'!$AN$2:$AN$193,'Draft Board'!$AN$2:$AN$193,"&gt;"&amp;AN127)&gt;0.08,1,0)))</f>
        <v>0</v>
      </c>
      <c r="AQ127" s="11">
        <f>_xlfn.MINIFS('Draft Board'!$AN$2:$AN$193,'Draft Board'!$AN$2:$AN$193,"&gt;="&amp;AN127,'Draft Board'!$AP$2:$AP$193,1)</f>
        <v>0</v>
      </c>
      <c r="AR127" s="11">
        <f>IF(AO127&lt;&gt;_xlfn.MINIFS('Draft Board'!$AO$2:$AO$193,'Draft Board'!$AN$2:$AN$193,"="&amp;AN127),0,IF(OR(AP127=1,IFERROR(FLOOR((AQ127-AN127)/AQ127/0.25,1),0)&lt;&gt;IFERROR(FLOOR((AQ127-_xlfn.MINIFS('Draft Board'!$AN$2:$AN$193,'Draft Board'!$AN$2:$AN$193,"&gt;"&amp;AN127))/AQ127/0.25,1),0)),1,0))</f>
        <v>0</v>
      </c>
      <c r="AS127" s="11">
        <f>ROUND(1+AN127*'Live Calc'!$D$28,0)</f>
        <v>1</v>
      </c>
      <c r="AT127" s="11"/>
      <c r="AU127" s="11">
        <f>IF(AT127&lt;&gt;"",AT127,ROUND(AS127*INDEX('Live Calc'!$G$259:$G$450,MATCH(AM127,'Live Calc'!$A$259:$A$450,0))*'Live Calc'!$J$543,0))</f>
        <v>1</v>
      </c>
    </row>
    <row r="128" spans="17:47" x14ac:dyDescent="0.25">
      <c r="Q128" s="10" t="s">
        <v>485</v>
      </c>
      <c r="R128" s="10" t="s">
        <v>116</v>
      </c>
      <c r="S128" s="10">
        <v>12.54</v>
      </c>
      <c r="T128" s="10">
        <v>15.01</v>
      </c>
      <c r="U128" s="10">
        <v>17.48</v>
      </c>
      <c r="V128" s="10">
        <f>CHOOSE(MATCH(Setup!$B$7,{"STD","Half-PPR","PPR"},0),S128,T128,U128)</f>
        <v>15.01</v>
      </c>
      <c r="W128" s="10">
        <f>COUNTIFS('Draft Board'!$X$2:$X$161,"&gt;="&amp;X128,'Draft Board'!$AB$2:$AB$161,1)</f>
        <v>14</v>
      </c>
      <c r="X128" s="10">
        <f>MAX(0,V128-'Live Calc'!$H$20)^'Live Calc'!$E$20</f>
        <v>0</v>
      </c>
      <c r="Y128" s="10">
        <v>128</v>
      </c>
      <c r="Z128" s="10">
        <f>IF(Y128&lt;&gt;_xlfn.MINIFS('Draft Board'!$Y$2:$Y$161,'Draft Board'!$X$2:$X$161,"="&amp;X128),0,IF(_xlfn.MINIFS('Draft Board'!$X$2:$X$161,'Draft Board'!$X$2:$X$161,"&gt;"&amp;X128)=0,1,IF((_xlfn.MINIFS('Draft Board'!$X$2:$X$161,'Draft Board'!$X$2:$X$161,"&gt;"&amp;X128)-X128)/_xlfn.MINIFS('Draft Board'!$X$2:$X$161,'Draft Board'!$X$2:$X$161,"&gt;"&amp;X128)&gt;0.08,1,0)))</f>
        <v>0</v>
      </c>
      <c r="AA128" s="10">
        <f>_xlfn.MINIFS('Draft Board'!$X$2:$X$161,'Draft Board'!$X$2:$X$161,"&gt;="&amp;X128,'Draft Board'!$Z$2:$Z$161,1)</f>
        <v>0</v>
      </c>
      <c r="AB128" s="10">
        <f>IF(Y128&lt;&gt;_xlfn.MINIFS('Draft Board'!$Y$2:$Y$161,'Draft Board'!$X$2:$X$161,"="&amp;X128),0,IF(OR(Z128=1,IFERROR(FLOOR((AA128-X128)/AA128/0.25,1),0)&lt;&gt;IFERROR(FLOOR((AA128-_xlfn.MINIFS('Draft Board'!$X$2:$X$161,'Draft Board'!$X$2:$X$161,"&gt;"&amp;X128))/AA128/0.25,1),0)),1,0))</f>
        <v>0</v>
      </c>
      <c r="AC128" s="10">
        <f>ROUND(1+X128*'Live Calc'!$D$27,0)</f>
        <v>1</v>
      </c>
      <c r="AD128" s="10"/>
      <c r="AE128" s="10">
        <f>IF(AD128&lt;&gt;"",AD128,ROUND(AC128*INDEX('Live Calc'!$G$96:$G$255,MATCH(W128,'Live Calc'!$A$96:$A$255,0))*'Live Calc'!$J$543,0))</f>
        <v>1</v>
      </c>
      <c r="AG128" s="11" t="s">
        <v>486</v>
      </c>
      <c r="AH128" s="11" t="s">
        <v>119</v>
      </c>
      <c r="AI128" s="11">
        <v>31.922000000000001</v>
      </c>
      <c r="AJ128" s="11">
        <v>41.265999999999998</v>
      </c>
      <c r="AK128" s="11">
        <v>50.41</v>
      </c>
      <c r="AL128" s="11">
        <f>CHOOSE(MATCH(Setup!$B$7,{"STD","Half-PPR","PPR"},0),AI128,AJ128,AK128)</f>
        <v>41.265999999999998</v>
      </c>
      <c r="AM128" s="11">
        <f>COUNTIFS('Draft Board'!$AN$2:$AN$193,"&gt;="&amp;AN128,'Draft Board'!$AR$2:$AR$193,1)</f>
        <v>20</v>
      </c>
      <c r="AN128" s="11">
        <f>MAX(0,AL128-'Live Calc'!$H$21)^'Live Calc'!$E$21</f>
        <v>0</v>
      </c>
      <c r="AO128" s="11">
        <v>128</v>
      </c>
      <c r="AP128" s="11">
        <f>IF(AO128&lt;&gt;_xlfn.MINIFS('Draft Board'!$AO$2:$AO$193,'Draft Board'!$AN$2:$AN$193,"="&amp;AN128),0,IF(_xlfn.MINIFS('Draft Board'!$AN$2:$AN$193,'Draft Board'!$AN$2:$AN$193,"&gt;"&amp;AN128)=0,1,IF((_xlfn.MINIFS('Draft Board'!$AN$2:$AN$193,'Draft Board'!$AN$2:$AN$193,"&gt;"&amp;AN128)-AN128)/_xlfn.MINIFS('Draft Board'!$AN$2:$AN$193,'Draft Board'!$AN$2:$AN$193,"&gt;"&amp;AN128)&gt;0.08,1,0)))</f>
        <v>0</v>
      </c>
      <c r="AQ128" s="11">
        <f>_xlfn.MINIFS('Draft Board'!$AN$2:$AN$193,'Draft Board'!$AN$2:$AN$193,"&gt;="&amp;AN128,'Draft Board'!$AP$2:$AP$193,1)</f>
        <v>0</v>
      </c>
      <c r="AR128" s="11">
        <f>IF(AO128&lt;&gt;_xlfn.MINIFS('Draft Board'!$AO$2:$AO$193,'Draft Board'!$AN$2:$AN$193,"="&amp;AN128),0,IF(OR(AP128=1,IFERROR(FLOOR((AQ128-AN128)/AQ128/0.25,1),0)&lt;&gt;IFERROR(FLOOR((AQ128-_xlfn.MINIFS('Draft Board'!$AN$2:$AN$193,'Draft Board'!$AN$2:$AN$193,"&gt;"&amp;AN128))/AQ128/0.25,1),0)),1,0))</f>
        <v>0</v>
      </c>
      <c r="AS128" s="11">
        <f>ROUND(1+AN128*'Live Calc'!$D$28,0)</f>
        <v>1</v>
      </c>
      <c r="AT128" s="11"/>
      <c r="AU128" s="11">
        <f>IF(AT128&lt;&gt;"",AT128,ROUND(AS128*INDEX('Live Calc'!$G$259:$G$450,MATCH(AM128,'Live Calc'!$A$259:$A$450,0))*'Live Calc'!$J$543,0))</f>
        <v>1</v>
      </c>
    </row>
    <row r="129" spans="17:47" x14ac:dyDescent="0.25">
      <c r="Q129" s="10" t="s">
        <v>487</v>
      </c>
      <c r="R129" s="10" t="s">
        <v>75</v>
      </c>
      <c r="S129" s="10">
        <v>12.866</v>
      </c>
      <c r="T129" s="10">
        <v>14.85</v>
      </c>
      <c r="U129" s="10">
        <v>16.821999999999999</v>
      </c>
      <c r="V129" s="10">
        <f>CHOOSE(MATCH(Setup!$B$7,{"STD","Half-PPR","PPR"},0),S129,T129,U129)</f>
        <v>14.85</v>
      </c>
      <c r="W129" s="10">
        <f>COUNTIFS('Draft Board'!$X$2:$X$161,"&gt;="&amp;X129,'Draft Board'!$AB$2:$AB$161,1)</f>
        <v>14</v>
      </c>
      <c r="X129" s="10">
        <f>MAX(0,V129-'Live Calc'!$H$20)^'Live Calc'!$E$20</f>
        <v>0</v>
      </c>
      <c r="Y129" s="10">
        <v>129</v>
      </c>
      <c r="Z129" s="10">
        <f>IF(Y129&lt;&gt;_xlfn.MINIFS('Draft Board'!$Y$2:$Y$161,'Draft Board'!$X$2:$X$161,"="&amp;X129),0,IF(_xlfn.MINIFS('Draft Board'!$X$2:$X$161,'Draft Board'!$X$2:$X$161,"&gt;"&amp;X129)=0,1,IF((_xlfn.MINIFS('Draft Board'!$X$2:$X$161,'Draft Board'!$X$2:$X$161,"&gt;"&amp;X129)-X129)/_xlfn.MINIFS('Draft Board'!$X$2:$X$161,'Draft Board'!$X$2:$X$161,"&gt;"&amp;X129)&gt;0.08,1,0)))</f>
        <v>0</v>
      </c>
      <c r="AA129" s="10">
        <f>_xlfn.MINIFS('Draft Board'!$X$2:$X$161,'Draft Board'!$X$2:$X$161,"&gt;="&amp;X129,'Draft Board'!$Z$2:$Z$161,1)</f>
        <v>0</v>
      </c>
      <c r="AB129" s="10">
        <f>IF(Y129&lt;&gt;_xlfn.MINIFS('Draft Board'!$Y$2:$Y$161,'Draft Board'!$X$2:$X$161,"="&amp;X129),0,IF(OR(Z129=1,IFERROR(FLOOR((AA129-X129)/AA129/0.25,1),0)&lt;&gt;IFERROR(FLOOR((AA129-_xlfn.MINIFS('Draft Board'!$X$2:$X$161,'Draft Board'!$X$2:$X$161,"&gt;"&amp;X129))/AA129/0.25,1),0)),1,0))</f>
        <v>0</v>
      </c>
      <c r="AC129" s="10">
        <f>ROUND(1+X129*'Live Calc'!$D$27,0)</f>
        <v>1</v>
      </c>
      <c r="AD129" s="10"/>
      <c r="AE129" s="10">
        <f>IF(AD129&lt;&gt;"",AD129,ROUND(AC129*INDEX('Live Calc'!$G$96:$G$255,MATCH(W129,'Live Calc'!$A$96:$A$255,0))*'Live Calc'!$J$543,0))</f>
        <v>1</v>
      </c>
      <c r="AG129" s="11" t="s">
        <v>488</v>
      </c>
      <c r="AH129" s="11" t="s">
        <v>116</v>
      </c>
      <c r="AI129" s="11">
        <v>31.55</v>
      </c>
      <c r="AJ129" s="11">
        <v>40.74</v>
      </c>
      <c r="AK129" s="11">
        <v>49.94</v>
      </c>
      <c r="AL129" s="11">
        <f>CHOOSE(MATCH(Setup!$B$7,{"STD","Half-PPR","PPR"},0),AI129,AJ129,AK129)</f>
        <v>40.74</v>
      </c>
      <c r="AM129" s="11">
        <f>COUNTIFS('Draft Board'!$AN$2:$AN$193,"&gt;="&amp;AN129,'Draft Board'!$AR$2:$AR$193,1)</f>
        <v>20</v>
      </c>
      <c r="AN129" s="11">
        <f>MAX(0,AL129-'Live Calc'!$H$21)^'Live Calc'!$E$21</f>
        <v>0</v>
      </c>
      <c r="AO129" s="11">
        <v>129</v>
      </c>
      <c r="AP129" s="11">
        <f>IF(AO129&lt;&gt;_xlfn.MINIFS('Draft Board'!$AO$2:$AO$193,'Draft Board'!$AN$2:$AN$193,"="&amp;AN129),0,IF(_xlfn.MINIFS('Draft Board'!$AN$2:$AN$193,'Draft Board'!$AN$2:$AN$193,"&gt;"&amp;AN129)=0,1,IF((_xlfn.MINIFS('Draft Board'!$AN$2:$AN$193,'Draft Board'!$AN$2:$AN$193,"&gt;"&amp;AN129)-AN129)/_xlfn.MINIFS('Draft Board'!$AN$2:$AN$193,'Draft Board'!$AN$2:$AN$193,"&gt;"&amp;AN129)&gt;0.08,1,0)))</f>
        <v>0</v>
      </c>
      <c r="AQ129" s="11">
        <f>_xlfn.MINIFS('Draft Board'!$AN$2:$AN$193,'Draft Board'!$AN$2:$AN$193,"&gt;="&amp;AN129,'Draft Board'!$AP$2:$AP$193,1)</f>
        <v>0</v>
      </c>
      <c r="AR129" s="11">
        <f>IF(AO129&lt;&gt;_xlfn.MINIFS('Draft Board'!$AO$2:$AO$193,'Draft Board'!$AN$2:$AN$193,"="&amp;AN129),0,IF(OR(AP129=1,IFERROR(FLOOR((AQ129-AN129)/AQ129/0.25,1),0)&lt;&gt;IFERROR(FLOOR((AQ129-_xlfn.MINIFS('Draft Board'!$AN$2:$AN$193,'Draft Board'!$AN$2:$AN$193,"&gt;"&amp;AN129))/AQ129/0.25,1),0)),1,0))</f>
        <v>0</v>
      </c>
      <c r="AS129" s="11">
        <f>ROUND(1+AN129*'Live Calc'!$D$28,0)</f>
        <v>1</v>
      </c>
      <c r="AT129" s="11"/>
      <c r="AU129" s="11">
        <f>IF(AT129&lt;&gt;"",AT129,ROUND(AS129*INDEX('Live Calc'!$G$259:$G$450,MATCH(AM129,'Live Calc'!$A$259:$A$450,0))*'Live Calc'!$J$543,0))</f>
        <v>1</v>
      </c>
    </row>
    <row r="130" spans="17:47" x14ac:dyDescent="0.25">
      <c r="Q130" s="10" t="s">
        <v>489</v>
      </c>
      <c r="R130" s="10" t="s">
        <v>133</v>
      </c>
      <c r="S130" s="10">
        <v>10.79</v>
      </c>
      <c r="T130" s="10">
        <v>14.7</v>
      </c>
      <c r="U130" s="10">
        <v>18.61</v>
      </c>
      <c r="V130" s="10">
        <f>CHOOSE(MATCH(Setup!$B$7,{"STD","Half-PPR","PPR"},0),S130,T130,U130)</f>
        <v>14.7</v>
      </c>
      <c r="W130" s="10">
        <f>COUNTIFS('Draft Board'!$X$2:$X$161,"&gt;="&amp;X130,'Draft Board'!$AB$2:$AB$161,1)</f>
        <v>14</v>
      </c>
      <c r="X130" s="10">
        <f>MAX(0,V130-'Live Calc'!$H$20)^'Live Calc'!$E$20</f>
        <v>0</v>
      </c>
      <c r="Y130" s="10">
        <v>130</v>
      </c>
      <c r="Z130" s="10">
        <f>IF(Y130&lt;&gt;_xlfn.MINIFS('Draft Board'!$Y$2:$Y$161,'Draft Board'!$X$2:$X$161,"="&amp;X130),0,IF(_xlfn.MINIFS('Draft Board'!$X$2:$X$161,'Draft Board'!$X$2:$X$161,"&gt;"&amp;X130)=0,1,IF((_xlfn.MINIFS('Draft Board'!$X$2:$X$161,'Draft Board'!$X$2:$X$161,"&gt;"&amp;X130)-X130)/_xlfn.MINIFS('Draft Board'!$X$2:$X$161,'Draft Board'!$X$2:$X$161,"&gt;"&amp;X130)&gt;0.08,1,0)))</f>
        <v>0</v>
      </c>
      <c r="AA130" s="10">
        <f>_xlfn.MINIFS('Draft Board'!$X$2:$X$161,'Draft Board'!$X$2:$X$161,"&gt;="&amp;X130,'Draft Board'!$Z$2:$Z$161,1)</f>
        <v>0</v>
      </c>
      <c r="AB130" s="10">
        <f>IF(Y130&lt;&gt;_xlfn.MINIFS('Draft Board'!$Y$2:$Y$161,'Draft Board'!$X$2:$X$161,"="&amp;X130),0,IF(OR(Z130=1,IFERROR(FLOOR((AA130-X130)/AA130/0.25,1),0)&lt;&gt;IFERROR(FLOOR((AA130-_xlfn.MINIFS('Draft Board'!$X$2:$X$161,'Draft Board'!$X$2:$X$161,"&gt;"&amp;X130))/AA130/0.25,1),0)),1,0))</f>
        <v>0</v>
      </c>
      <c r="AC130" s="10">
        <f>ROUND(1+X130*'Live Calc'!$D$27,0)</f>
        <v>1</v>
      </c>
      <c r="AD130" s="10"/>
      <c r="AE130" s="10">
        <f>IF(AD130&lt;&gt;"",AD130,ROUND(AC130*INDEX('Live Calc'!$G$96:$G$255,MATCH(W130,'Live Calc'!$A$96:$A$255,0))*'Live Calc'!$J$543,0))</f>
        <v>1</v>
      </c>
      <c r="AG130" s="11" t="s">
        <v>490</v>
      </c>
      <c r="AH130" s="11" t="s">
        <v>71</v>
      </c>
      <c r="AI130" s="11">
        <v>32.451999999999998</v>
      </c>
      <c r="AJ130" s="11">
        <v>40.305999999999997</v>
      </c>
      <c r="AK130" s="11">
        <v>48.002000000000002</v>
      </c>
      <c r="AL130" s="11">
        <f>CHOOSE(MATCH(Setup!$B$7,{"STD","Half-PPR","PPR"},0),AI130,AJ130,AK130)</f>
        <v>40.305999999999997</v>
      </c>
      <c r="AM130" s="11">
        <f>COUNTIFS('Draft Board'!$AN$2:$AN$193,"&gt;="&amp;AN130,'Draft Board'!$AR$2:$AR$193,1)</f>
        <v>20</v>
      </c>
      <c r="AN130" s="11">
        <f>MAX(0,AL130-'Live Calc'!$H$21)^'Live Calc'!$E$21</f>
        <v>0</v>
      </c>
      <c r="AO130" s="11">
        <v>130</v>
      </c>
      <c r="AP130" s="11">
        <f>IF(AO130&lt;&gt;_xlfn.MINIFS('Draft Board'!$AO$2:$AO$193,'Draft Board'!$AN$2:$AN$193,"="&amp;AN130),0,IF(_xlfn.MINIFS('Draft Board'!$AN$2:$AN$193,'Draft Board'!$AN$2:$AN$193,"&gt;"&amp;AN130)=0,1,IF((_xlfn.MINIFS('Draft Board'!$AN$2:$AN$193,'Draft Board'!$AN$2:$AN$193,"&gt;"&amp;AN130)-AN130)/_xlfn.MINIFS('Draft Board'!$AN$2:$AN$193,'Draft Board'!$AN$2:$AN$193,"&gt;"&amp;AN130)&gt;0.08,1,0)))</f>
        <v>0</v>
      </c>
      <c r="AQ130" s="11">
        <f>_xlfn.MINIFS('Draft Board'!$AN$2:$AN$193,'Draft Board'!$AN$2:$AN$193,"&gt;="&amp;AN130,'Draft Board'!$AP$2:$AP$193,1)</f>
        <v>0</v>
      </c>
      <c r="AR130" s="11">
        <f>IF(AO130&lt;&gt;_xlfn.MINIFS('Draft Board'!$AO$2:$AO$193,'Draft Board'!$AN$2:$AN$193,"="&amp;AN130),0,IF(OR(AP130=1,IFERROR(FLOOR((AQ130-AN130)/AQ130/0.25,1),0)&lt;&gt;IFERROR(FLOOR((AQ130-_xlfn.MINIFS('Draft Board'!$AN$2:$AN$193,'Draft Board'!$AN$2:$AN$193,"&gt;"&amp;AN130))/AQ130/0.25,1),0)),1,0))</f>
        <v>0</v>
      </c>
      <c r="AS130" s="11">
        <f>ROUND(1+AN130*'Live Calc'!$D$28,0)</f>
        <v>1</v>
      </c>
      <c r="AT130" s="11"/>
      <c r="AU130" s="11">
        <f>IF(AT130&lt;&gt;"",AT130,ROUND(AS130*INDEX('Live Calc'!$G$259:$G$450,MATCH(AM130,'Live Calc'!$A$259:$A$450,0))*'Live Calc'!$J$543,0))</f>
        <v>1</v>
      </c>
    </row>
    <row r="131" spans="17:47" x14ac:dyDescent="0.25">
      <c r="Q131" s="10" t="s">
        <v>491</v>
      </c>
      <c r="R131" s="10" t="s">
        <v>93</v>
      </c>
      <c r="S131" s="10">
        <v>13.95</v>
      </c>
      <c r="T131" s="10">
        <v>14.62</v>
      </c>
      <c r="U131" s="10">
        <v>15.28</v>
      </c>
      <c r="V131" s="10">
        <f>CHOOSE(MATCH(Setup!$B$7,{"STD","Half-PPR","PPR"},0),S131,T131,U131)</f>
        <v>14.62</v>
      </c>
      <c r="W131" s="10">
        <f>COUNTIFS('Draft Board'!$X$2:$X$161,"&gt;="&amp;X131,'Draft Board'!$AB$2:$AB$161,1)</f>
        <v>14</v>
      </c>
      <c r="X131" s="10">
        <f>MAX(0,V131-'Live Calc'!$H$20)^'Live Calc'!$E$20</f>
        <v>0</v>
      </c>
      <c r="Y131" s="10">
        <v>131</v>
      </c>
      <c r="Z131" s="10">
        <f>IF(Y131&lt;&gt;_xlfn.MINIFS('Draft Board'!$Y$2:$Y$161,'Draft Board'!$X$2:$X$161,"="&amp;X131),0,IF(_xlfn.MINIFS('Draft Board'!$X$2:$X$161,'Draft Board'!$X$2:$X$161,"&gt;"&amp;X131)=0,1,IF((_xlfn.MINIFS('Draft Board'!$X$2:$X$161,'Draft Board'!$X$2:$X$161,"&gt;"&amp;X131)-X131)/_xlfn.MINIFS('Draft Board'!$X$2:$X$161,'Draft Board'!$X$2:$X$161,"&gt;"&amp;X131)&gt;0.08,1,0)))</f>
        <v>0</v>
      </c>
      <c r="AA131" s="10">
        <f>_xlfn.MINIFS('Draft Board'!$X$2:$X$161,'Draft Board'!$X$2:$X$161,"&gt;="&amp;X131,'Draft Board'!$Z$2:$Z$161,1)</f>
        <v>0</v>
      </c>
      <c r="AB131" s="10">
        <f>IF(Y131&lt;&gt;_xlfn.MINIFS('Draft Board'!$Y$2:$Y$161,'Draft Board'!$X$2:$X$161,"="&amp;X131),0,IF(OR(Z131=1,IFERROR(FLOOR((AA131-X131)/AA131/0.25,1),0)&lt;&gt;IFERROR(FLOOR((AA131-_xlfn.MINIFS('Draft Board'!$X$2:$X$161,'Draft Board'!$X$2:$X$161,"&gt;"&amp;X131))/AA131/0.25,1),0)),1,0))</f>
        <v>0</v>
      </c>
      <c r="AC131" s="10">
        <f>ROUND(1+X131*'Live Calc'!$D$27,0)</f>
        <v>1</v>
      </c>
      <c r="AD131" s="10"/>
      <c r="AE131" s="10">
        <f>IF(AD131&lt;&gt;"",AD131,ROUND(AC131*INDEX('Live Calc'!$G$96:$G$255,MATCH(W131,'Live Calc'!$A$96:$A$255,0))*'Live Calc'!$J$543,0))</f>
        <v>1</v>
      </c>
      <c r="AG131" s="11" t="s">
        <v>492</v>
      </c>
      <c r="AH131" s="11" t="s">
        <v>93</v>
      </c>
      <c r="AI131" s="11">
        <v>32.06</v>
      </c>
      <c r="AJ131" s="11">
        <v>40.14</v>
      </c>
      <c r="AK131" s="11">
        <v>48.21</v>
      </c>
      <c r="AL131" s="11">
        <f>CHOOSE(MATCH(Setup!$B$7,{"STD","Half-PPR","PPR"},0),AI131,AJ131,AK131)</f>
        <v>40.14</v>
      </c>
      <c r="AM131" s="11">
        <f>COUNTIFS('Draft Board'!$AN$2:$AN$193,"&gt;="&amp;AN131,'Draft Board'!$AR$2:$AR$193,1)</f>
        <v>20</v>
      </c>
      <c r="AN131" s="11">
        <f>MAX(0,AL131-'Live Calc'!$H$21)^'Live Calc'!$E$21</f>
        <v>0</v>
      </c>
      <c r="AO131" s="11">
        <v>131</v>
      </c>
      <c r="AP131" s="11">
        <f>IF(AO131&lt;&gt;_xlfn.MINIFS('Draft Board'!$AO$2:$AO$193,'Draft Board'!$AN$2:$AN$193,"="&amp;AN131),0,IF(_xlfn.MINIFS('Draft Board'!$AN$2:$AN$193,'Draft Board'!$AN$2:$AN$193,"&gt;"&amp;AN131)=0,1,IF((_xlfn.MINIFS('Draft Board'!$AN$2:$AN$193,'Draft Board'!$AN$2:$AN$193,"&gt;"&amp;AN131)-AN131)/_xlfn.MINIFS('Draft Board'!$AN$2:$AN$193,'Draft Board'!$AN$2:$AN$193,"&gt;"&amp;AN131)&gt;0.08,1,0)))</f>
        <v>0</v>
      </c>
      <c r="AQ131" s="11">
        <f>_xlfn.MINIFS('Draft Board'!$AN$2:$AN$193,'Draft Board'!$AN$2:$AN$193,"&gt;="&amp;AN131,'Draft Board'!$AP$2:$AP$193,1)</f>
        <v>0</v>
      </c>
      <c r="AR131" s="11">
        <f>IF(AO131&lt;&gt;_xlfn.MINIFS('Draft Board'!$AO$2:$AO$193,'Draft Board'!$AN$2:$AN$193,"="&amp;AN131),0,IF(OR(AP131=1,IFERROR(FLOOR((AQ131-AN131)/AQ131/0.25,1),0)&lt;&gt;IFERROR(FLOOR((AQ131-_xlfn.MINIFS('Draft Board'!$AN$2:$AN$193,'Draft Board'!$AN$2:$AN$193,"&gt;"&amp;AN131))/AQ131/0.25,1),0)),1,0))</f>
        <v>0</v>
      </c>
      <c r="AS131" s="11">
        <f>ROUND(1+AN131*'Live Calc'!$D$28,0)</f>
        <v>1</v>
      </c>
      <c r="AT131" s="11"/>
      <c r="AU131" s="11">
        <f>IF(AT131&lt;&gt;"",AT131,ROUND(AS131*INDEX('Live Calc'!$G$259:$G$450,MATCH(AM131,'Live Calc'!$A$259:$A$450,0))*'Live Calc'!$J$543,0))</f>
        <v>1</v>
      </c>
    </row>
    <row r="132" spans="17:47" x14ac:dyDescent="0.25">
      <c r="Q132" s="10" t="s">
        <v>493</v>
      </c>
      <c r="R132" s="10" t="s">
        <v>79</v>
      </c>
      <c r="S132" s="10">
        <v>11.842000000000001</v>
      </c>
      <c r="T132" s="10">
        <v>13.842000000000001</v>
      </c>
      <c r="U132" s="10">
        <v>15.866</v>
      </c>
      <c r="V132" s="10">
        <f>CHOOSE(MATCH(Setup!$B$7,{"STD","Half-PPR","PPR"},0),S132,T132,U132)</f>
        <v>13.842000000000001</v>
      </c>
      <c r="W132" s="10">
        <f>COUNTIFS('Draft Board'!$X$2:$X$161,"&gt;="&amp;X132,'Draft Board'!$AB$2:$AB$161,1)</f>
        <v>14</v>
      </c>
      <c r="X132" s="10">
        <f>MAX(0,V132-'Live Calc'!$H$20)^'Live Calc'!$E$20</f>
        <v>0</v>
      </c>
      <c r="Y132" s="10">
        <v>132</v>
      </c>
      <c r="Z132" s="10">
        <f>IF(Y132&lt;&gt;_xlfn.MINIFS('Draft Board'!$Y$2:$Y$161,'Draft Board'!$X$2:$X$161,"="&amp;X132),0,IF(_xlfn.MINIFS('Draft Board'!$X$2:$X$161,'Draft Board'!$X$2:$X$161,"&gt;"&amp;X132)=0,1,IF((_xlfn.MINIFS('Draft Board'!$X$2:$X$161,'Draft Board'!$X$2:$X$161,"&gt;"&amp;X132)-X132)/_xlfn.MINIFS('Draft Board'!$X$2:$X$161,'Draft Board'!$X$2:$X$161,"&gt;"&amp;X132)&gt;0.08,1,0)))</f>
        <v>0</v>
      </c>
      <c r="AA132" s="10">
        <f>_xlfn.MINIFS('Draft Board'!$X$2:$X$161,'Draft Board'!$X$2:$X$161,"&gt;="&amp;X132,'Draft Board'!$Z$2:$Z$161,1)</f>
        <v>0</v>
      </c>
      <c r="AB132" s="10">
        <f>IF(Y132&lt;&gt;_xlfn.MINIFS('Draft Board'!$Y$2:$Y$161,'Draft Board'!$X$2:$X$161,"="&amp;X132),0,IF(OR(Z132=1,IFERROR(FLOOR((AA132-X132)/AA132/0.25,1),0)&lt;&gt;IFERROR(FLOOR((AA132-_xlfn.MINIFS('Draft Board'!$X$2:$X$161,'Draft Board'!$X$2:$X$161,"&gt;"&amp;X132))/AA132/0.25,1),0)),1,0))</f>
        <v>0</v>
      </c>
      <c r="AC132" s="10">
        <f>ROUND(1+X132*'Live Calc'!$D$27,0)</f>
        <v>1</v>
      </c>
      <c r="AD132" s="10"/>
      <c r="AE132" s="10">
        <f>IF(AD132&lt;&gt;"",AD132,ROUND(AC132*INDEX('Live Calc'!$G$96:$G$255,MATCH(W132,'Live Calc'!$A$96:$A$255,0))*'Live Calc'!$J$543,0))</f>
        <v>1</v>
      </c>
      <c r="AG132" s="11" t="s">
        <v>494</v>
      </c>
      <c r="AH132" s="11" t="s">
        <v>71</v>
      </c>
      <c r="AI132" s="11">
        <v>29.866</v>
      </c>
      <c r="AJ132" s="11">
        <v>38.378</v>
      </c>
      <c r="AK132" s="11">
        <v>46.7</v>
      </c>
      <c r="AL132" s="11">
        <f>CHOOSE(MATCH(Setup!$B$7,{"STD","Half-PPR","PPR"},0),AI132,AJ132,AK132)</f>
        <v>38.378</v>
      </c>
      <c r="AM132" s="11">
        <f>COUNTIFS('Draft Board'!$AN$2:$AN$193,"&gt;="&amp;AN132,'Draft Board'!$AR$2:$AR$193,1)</f>
        <v>20</v>
      </c>
      <c r="AN132" s="11">
        <f>MAX(0,AL132-'Live Calc'!$H$21)^'Live Calc'!$E$21</f>
        <v>0</v>
      </c>
      <c r="AO132" s="11">
        <v>132</v>
      </c>
      <c r="AP132" s="11">
        <f>IF(AO132&lt;&gt;_xlfn.MINIFS('Draft Board'!$AO$2:$AO$193,'Draft Board'!$AN$2:$AN$193,"="&amp;AN132),0,IF(_xlfn.MINIFS('Draft Board'!$AN$2:$AN$193,'Draft Board'!$AN$2:$AN$193,"&gt;"&amp;AN132)=0,1,IF((_xlfn.MINIFS('Draft Board'!$AN$2:$AN$193,'Draft Board'!$AN$2:$AN$193,"&gt;"&amp;AN132)-AN132)/_xlfn.MINIFS('Draft Board'!$AN$2:$AN$193,'Draft Board'!$AN$2:$AN$193,"&gt;"&amp;AN132)&gt;0.08,1,0)))</f>
        <v>0</v>
      </c>
      <c r="AQ132" s="11">
        <f>_xlfn.MINIFS('Draft Board'!$AN$2:$AN$193,'Draft Board'!$AN$2:$AN$193,"&gt;="&amp;AN132,'Draft Board'!$AP$2:$AP$193,1)</f>
        <v>0</v>
      </c>
      <c r="AR132" s="11">
        <f>IF(AO132&lt;&gt;_xlfn.MINIFS('Draft Board'!$AO$2:$AO$193,'Draft Board'!$AN$2:$AN$193,"="&amp;AN132),0,IF(OR(AP132=1,IFERROR(FLOOR((AQ132-AN132)/AQ132/0.25,1),0)&lt;&gt;IFERROR(FLOOR((AQ132-_xlfn.MINIFS('Draft Board'!$AN$2:$AN$193,'Draft Board'!$AN$2:$AN$193,"&gt;"&amp;AN132))/AQ132/0.25,1),0)),1,0))</f>
        <v>0</v>
      </c>
      <c r="AS132" s="11">
        <f>ROUND(1+AN132*'Live Calc'!$D$28,0)</f>
        <v>1</v>
      </c>
      <c r="AT132" s="11"/>
      <c r="AU132" s="11">
        <f>IF(AT132&lt;&gt;"",AT132,ROUND(AS132*INDEX('Live Calc'!$G$259:$G$450,MATCH(AM132,'Live Calc'!$A$259:$A$450,0))*'Live Calc'!$J$543,0))</f>
        <v>1</v>
      </c>
    </row>
    <row r="133" spans="17:47" x14ac:dyDescent="0.25">
      <c r="Q133" s="10" t="s">
        <v>495</v>
      </c>
      <c r="R133" s="10" t="s">
        <v>55</v>
      </c>
      <c r="S133" s="10">
        <v>13.04</v>
      </c>
      <c r="T133" s="10">
        <v>13.57</v>
      </c>
      <c r="U133" s="10">
        <v>14.1</v>
      </c>
      <c r="V133" s="10">
        <f>CHOOSE(MATCH(Setup!$B$7,{"STD","Half-PPR","PPR"},0),S133,T133,U133)</f>
        <v>13.57</v>
      </c>
      <c r="W133" s="10">
        <f>COUNTIFS('Draft Board'!$X$2:$X$161,"&gt;="&amp;X133,'Draft Board'!$AB$2:$AB$161,1)</f>
        <v>14</v>
      </c>
      <c r="X133" s="10">
        <f>MAX(0,V133-'Live Calc'!$H$20)^'Live Calc'!$E$20</f>
        <v>0</v>
      </c>
      <c r="Y133" s="10">
        <v>133</v>
      </c>
      <c r="Z133" s="10">
        <f>IF(Y133&lt;&gt;_xlfn.MINIFS('Draft Board'!$Y$2:$Y$161,'Draft Board'!$X$2:$X$161,"="&amp;X133),0,IF(_xlfn.MINIFS('Draft Board'!$X$2:$X$161,'Draft Board'!$X$2:$X$161,"&gt;"&amp;X133)=0,1,IF((_xlfn.MINIFS('Draft Board'!$X$2:$X$161,'Draft Board'!$X$2:$X$161,"&gt;"&amp;X133)-X133)/_xlfn.MINIFS('Draft Board'!$X$2:$X$161,'Draft Board'!$X$2:$X$161,"&gt;"&amp;X133)&gt;0.08,1,0)))</f>
        <v>0</v>
      </c>
      <c r="AA133" s="10">
        <f>_xlfn.MINIFS('Draft Board'!$X$2:$X$161,'Draft Board'!$X$2:$X$161,"&gt;="&amp;X133,'Draft Board'!$Z$2:$Z$161,1)</f>
        <v>0</v>
      </c>
      <c r="AB133" s="10">
        <f>IF(Y133&lt;&gt;_xlfn.MINIFS('Draft Board'!$Y$2:$Y$161,'Draft Board'!$X$2:$X$161,"="&amp;X133),0,IF(OR(Z133=1,IFERROR(FLOOR((AA133-X133)/AA133/0.25,1),0)&lt;&gt;IFERROR(FLOOR((AA133-_xlfn.MINIFS('Draft Board'!$X$2:$X$161,'Draft Board'!$X$2:$X$161,"&gt;"&amp;X133))/AA133/0.25,1),0)),1,0))</f>
        <v>0</v>
      </c>
      <c r="AC133" s="10">
        <f>ROUND(1+X133*'Live Calc'!$D$27,0)</f>
        <v>1</v>
      </c>
      <c r="AD133" s="10"/>
      <c r="AE133" s="10">
        <f>IF(AD133&lt;&gt;"",AD133,ROUND(AC133*INDEX('Live Calc'!$G$96:$G$255,MATCH(W133,'Live Calc'!$A$96:$A$255,0))*'Live Calc'!$J$543,0))</f>
        <v>1</v>
      </c>
      <c r="AG133" s="11" t="s">
        <v>496</v>
      </c>
      <c r="AH133" s="11" t="s">
        <v>79</v>
      </c>
      <c r="AI133" s="11">
        <v>30.09</v>
      </c>
      <c r="AJ133" s="11">
        <v>38.241999999999997</v>
      </c>
      <c r="AK133" s="11">
        <v>45.682000000000002</v>
      </c>
      <c r="AL133" s="11">
        <f>CHOOSE(MATCH(Setup!$B$7,{"STD","Half-PPR","PPR"},0),AI133,AJ133,AK133)</f>
        <v>38.241999999999997</v>
      </c>
      <c r="AM133" s="11">
        <f>COUNTIFS('Draft Board'!$AN$2:$AN$193,"&gt;="&amp;AN133,'Draft Board'!$AR$2:$AR$193,1)</f>
        <v>20</v>
      </c>
      <c r="AN133" s="11">
        <f>MAX(0,AL133-'Live Calc'!$H$21)^'Live Calc'!$E$21</f>
        <v>0</v>
      </c>
      <c r="AO133" s="11">
        <v>133</v>
      </c>
      <c r="AP133" s="11">
        <f>IF(AO133&lt;&gt;_xlfn.MINIFS('Draft Board'!$AO$2:$AO$193,'Draft Board'!$AN$2:$AN$193,"="&amp;AN133),0,IF(_xlfn.MINIFS('Draft Board'!$AN$2:$AN$193,'Draft Board'!$AN$2:$AN$193,"&gt;"&amp;AN133)=0,1,IF((_xlfn.MINIFS('Draft Board'!$AN$2:$AN$193,'Draft Board'!$AN$2:$AN$193,"&gt;"&amp;AN133)-AN133)/_xlfn.MINIFS('Draft Board'!$AN$2:$AN$193,'Draft Board'!$AN$2:$AN$193,"&gt;"&amp;AN133)&gt;0.08,1,0)))</f>
        <v>0</v>
      </c>
      <c r="AQ133" s="11">
        <f>_xlfn.MINIFS('Draft Board'!$AN$2:$AN$193,'Draft Board'!$AN$2:$AN$193,"&gt;="&amp;AN133,'Draft Board'!$AP$2:$AP$193,1)</f>
        <v>0</v>
      </c>
      <c r="AR133" s="11">
        <f>IF(AO133&lt;&gt;_xlfn.MINIFS('Draft Board'!$AO$2:$AO$193,'Draft Board'!$AN$2:$AN$193,"="&amp;AN133),0,IF(OR(AP133=1,IFERROR(FLOOR((AQ133-AN133)/AQ133/0.25,1),0)&lt;&gt;IFERROR(FLOOR((AQ133-_xlfn.MINIFS('Draft Board'!$AN$2:$AN$193,'Draft Board'!$AN$2:$AN$193,"&gt;"&amp;AN133))/AQ133/0.25,1),0)),1,0))</f>
        <v>0</v>
      </c>
      <c r="AS133" s="11">
        <f>ROUND(1+AN133*'Live Calc'!$D$28,0)</f>
        <v>1</v>
      </c>
      <c r="AT133" s="11"/>
      <c r="AU133" s="11">
        <f>IF(AT133&lt;&gt;"",AT133,ROUND(AS133*INDEX('Live Calc'!$G$259:$G$450,MATCH(AM133,'Live Calc'!$A$259:$A$450,0))*'Live Calc'!$J$543,0))</f>
        <v>1</v>
      </c>
    </row>
    <row r="134" spans="17:47" x14ac:dyDescent="0.25">
      <c r="Q134" s="10" t="s">
        <v>497</v>
      </c>
      <c r="R134" s="10" t="s">
        <v>69</v>
      </c>
      <c r="S134" s="10">
        <v>10.712</v>
      </c>
      <c r="T134" s="10">
        <v>12.58</v>
      </c>
      <c r="U134" s="10">
        <v>11.08</v>
      </c>
      <c r="V134" s="10">
        <f>CHOOSE(MATCH(Setup!$B$7,{"STD","Half-PPR","PPR"},0),S134,T134,U134)</f>
        <v>12.58</v>
      </c>
      <c r="W134" s="10">
        <f>COUNTIFS('Draft Board'!$X$2:$X$161,"&gt;="&amp;X134,'Draft Board'!$AB$2:$AB$161,1)</f>
        <v>14</v>
      </c>
      <c r="X134" s="10">
        <f>MAX(0,V134-'Live Calc'!$H$20)^'Live Calc'!$E$20</f>
        <v>0</v>
      </c>
      <c r="Y134" s="10">
        <v>134</v>
      </c>
      <c r="Z134" s="10">
        <f>IF(Y134&lt;&gt;_xlfn.MINIFS('Draft Board'!$Y$2:$Y$161,'Draft Board'!$X$2:$X$161,"="&amp;X134),0,IF(_xlfn.MINIFS('Draft Board'!$X$2:$X$161,'Draft Board'!$X$2:$X$161,"&gt;"&amp;X134)=0,1,IF((_xlfn.MINIFS('Draft Board'!$X$2:$X$161,'Draft Board'!$X$2:$X$161,"&gt;"&amp;X134)-X134)/_xlfn.MINIFS('Draft Board'!$X$2:$X$161,'Draft Board'!$X$2:$X$161,"&gt;"&amp;X134)&gt;0.08,1,0)))</f>
        <v>0</v>
      </c>
      <c r="AA134" s="10">
        <f>_xlfn.MINIFS('Draft Board'!$X$2:$X$161,'Draft Board'!$X$2:$X$161,"&gt;="&amp;X134,'Draft Board'!$Z$2:$Z$161,1)</f>
        <v>0</v>
      </c>
      <c r="AB134" s="10">
        <f>IF(Y134&lt;&gt;_xlfn.MINIFS('Draft Board'!$Y$2:$Y$161,'Draft Board'!$X$2:$X$161,"="&amp;X134),0,IF(OR(Z134=1,IFERROR(FLOOR((AA134-X134)/AA134/0.25,1),0)&lt;&gt;IFERROR(FLOOR((AA134-_xlfn.MINIFS('Draft Board'!$X$2:$X$161,'Draft Board'!$X$2:$X$161,"&gt;"&amp;X134))/AA134/0.25,1),0)),1,0))</f>
        <v>0</v>
      </c>
      <c r="AC134" s="10">
        <f>ROUND(1+X134*'Live Calc'!$D$27,0)</f>
        <v>1</v>
      </c>
      <c r="AD134" s="10"/>
      <c r="AE134" s="10">
        <f>IF(AD134&lt;&gt;"",AD134,ROUND(AC134*INDEX('Live Calc'!$G$96:$G$255,MATCH(W134,'Live Calc'!$A$96:$A$255,0))*'Live Calc'!$J$543,0))</f>
        <v>1</v>
      </c>
      <c r="AG134" s="11" t="s">
        <v>498</v>
      </c>
      <c r="AH134" s="11" t="s">
        <v>63</v>
      </c>
      <c r="AI134" s="11">
        <v>30.597999999999999</v>
      </c>
      <c r="AJ134" s="11">
        <v>37.466000000000001</v>
      </c>
      <c r="AK134" s="11">
        <v>46.12</v>
      </c>
      <c r="AL134" s="11">
        <f>CHOOSE(MATCH(Setup!$B$7,{"STD","Half-PPR","PPR"},0),AI134,AJ134,AK134)</f>
        <v>37.466000000000001</v>
      </c>
      <c r="AM134" s="11">
        <f>COUNTIFS('Draft Board'!$AN$2:$AN$193,"&gt;="&amp;AN134,'Draft Board'!$AR$2:$AR$193,1)</f>
        <v>20</v>
      </c>
      <c r="AN134" s="11">
        <f>MAX(0,AL134-'Live Calc'!$H$21)^'Live Calc'!$E$21</f>
        <v>0</v>
      </c>
      <c r="AO134" s="11">
        <v>134</v>
      </c>
      <c r="AP134" s="11">
        <f>IF(AO134&lt;&gt;_xlfn.MINIFS('Draft Board'!$AO$2:$AO$193,'Draft Board'!$AN$2:$AN$193,"="&amp;AN134),0,IF(_xlfn.MINIFS('Draft Board'!$AN$2:$AN$193,'Draft Board'!$AN$2:$AN$193,"&gt;"&amp;AN134)=0,1,IF((_xlfn.MINIFS('Draft Board'!$AN$2:$AN$193,'Draft Board'!$AN$2:$AN$193,"&gt;"&amp;AN134)-AN134)/_xlfn.MINIFS('Draft Board'!$AN$2:$AN$193,'Draft Board'!$AN$2:$AN$193,"&gt;"&amp;AN134)&gt;0.08,1,0)))</f>
        <v>0</v>
      </c>
      <c r="AQ134" s="11">
        <f>_xlfn.MINIFS('Draft Board'!$AN$2:$AN$193,'Draft Board'!$AN$2:$AN$193,"&gt;="&amp;AN134,'Draft Board'!$AP$2:$AP$193,1)</f>
        <v>0</v>
      </c>
      <c r="AR134" s="11">
        <f>IF(AO134&lt;&gt;_xlfn.MINIFS('Draft Board'!$AO$2:$AO$193,'Draft Board'!$AN$2:$AN$193,"="&amp;AN134),0,IF(OR(AP134=1,IFERROR(FLOOR((AQ134-AN134)/AQ134/0.25,1),0)&lt;&gt;IFERROR(FLOOR((AQ134-_xlfn.MINIFS('Draft Board'!$AN$2:$AN$193,'Draft Board'!$AN$2:$AN$193,"&gt;"&amp;AN134))/AQ134/0.25,1),0)),1,0))</f>
        <v>0</v>
      </c>
      <c r="AS134" s="11">
        <f>ROUND(1+AN134*'Live Calc'!$D$28,0)</f>
        <v>1</v>
      </c>
      <c r="AT134" s="11"/>
      <c r="AU134" s="11">
        <f>IF(AT134&lt;&gt;"",AT134,ROUND(AS134*INDEX('Live Calc'!$G$259:$G$450,MATCH(AM134,'Live Calc'!$A$259:$A$450,0))*'Live Calc'!$J$543,0))</f>
        <v>1</v>
      </c>
    </row>
    <row r="135" spans="17:47" x14ac:dyDescent="0.25">
      <c r="Q135" s="10" t="s">
        <v>347</v>
      </c>
      <c r="R135" s="10" t="s">
        <v>69</v>
      </c>
      <c r="S135" s="10">
        <v>9.92</v>
      </c>
      <c r="T135" s="10">
        <v>12.49</v>
      </c>
      <c r="U135" s="10">
        <v>15.07</v>
      </c>
      <c r="V135" s="10">
        <f>CHOOSE(MATCH(Setup!$B$7,{"STD","Half-PPR","PPR"},0),S135,T135,U135)</f>
        <v>12.49</v>
      </c>
      <c r="W135" s="10">
        <f>COUNTIFS('Draft Board'!$X$2:$X$161,"&gt;="&amp;X135,'Draft Board'!$AB$2:$AB$161,1)</f>
        <v>14</v>
      </c>
      <c r="X135" s="10">
        <f>MAX(0,V135-'Live Calc'!$H$20)^'Live Calc'!$E$20</f>
        <v>0</v>
      </c>
      <c r="Y135" s="10">
        <v>135</v>
      </c>
      <c r="Z135" s="10">
        <f>IF(Y135&lt;&gt;_xlfn.MINIFS('Draft Board'!$Y$2:$Y$161,'Draft Board'!$X$2:$X$161,"="&amp;X135),0,IF(_xlfn.MINIFS('Draft Board'!$X$2:$X$161,'Draft Board'!$X$2:$X$161,"&gt;"&amp;X135)=0,1,IF((_xlfn.MINIFS('Draft Board'!$X$2:$X$161,'Draft Board'!$X$2:$X$161,"&gt;"&amp;X135)-X135)/_xlfn.MINIFS('Draft Board'!$X$2:$X$161,'Draft Board'!$X$2:$X$161,"&gt;"&amp;X135)&gt;0.08,1,0)))</f>
        <v>0</v>
      </c>
      <c r="AA135" s="10">
        <f>_xlfn.MINIFS('Draft Board'!$X$2:$X$161,'Draft Board'!$X$2:$X$161,"&gt;="&amp;X135,'Draft Board'!$Z$2:$Z$161,1)</f>
        <v>0</v>
      </c>
      <c r="AB135" s="10">
        <f>IF(Y135&lt;&gt;_xlfn.MINIFS('Draft Board'!$Y$2:$Y$161,'Draft Board'!$X$2:$X$161,"="&amp;X135),0,IF(OR(Z135=1,IFERROR(FLOOR((AA135-X135)/AA135/0.25,1),0)&lt;&gt;IFERROR(FLOOR((AA135-_xlfn.MINIFS('Draft Board'!$X$2:$X$161,'Draft Board'!$X$2:$X$161,"&gt;"&amp;X135))/AA135/0.25,1),0)),1,0))</f>
        <v>0</v>
      </c>
      <c r="AC135" s="10">
        <f>ROUND(1+X135*'Live Calc'!$D$27,0)</f>
        <v>1</v>
      </c>
      <c r="AD135" s="10"/>
      <c r="AE135" s="10">
        <f>IF(AD135&lt;&gt;"",AD135,ROUND(AC135*INDEX('Live Calc'!$G$96:$G$255,MATCH(W135,'Live Calc'!$A$96:$A$255,0))*'Live Calc'!$J$543,0))</f>
        <v>1</v>
      </c>
      <c r="AG135" s="11" t="s">
        <v>499</v>
      </c>
      <c r="AH135" s="11" t="s">
        <v>152</v>
      </c>
      <c r="AI135" s="11">
        <v>29.404</v>
      </c>
      <c r="AJ135" s="11">
        <v>37.323999999999998</v>
      </c>
      <c r="AK135" s="11">
        <v>44.247999999999998</v>
      </c>
      <c r="AL135" s="11">
        <f>CHOOSE(MATCH(Setup!$B$7,{"STD","Half-PPR","PPR"},0),AI135,AJ135,AK135)</f>
        <v>37.323999999999998</v>
      </c>
      <c r="AM135" s="11">
        <f>COUNTIFS('Draft Board'!$AN$2:$AN$193,"&gt;="&amp;AN135,'Draft Board'!$AR$2:$AR$193,1)</f>
        <v>20</v>
      </c>
      <c r="AN135" s="11">
        <f>MAX(0,AL135-'Live Calc'!$H$21)^'Live Calc'!$E$21</f>
        <v>0</v>
      </c>
      <c r="AO135" s="11">
        <v>135</v>
      </c>
      <c r="AP135" s="11">
        <f>IF(AO135&lt;&gt;_xlfn.MINIFS('Draft Board'!$AO$2:$AO$193,'Draft Board'!$AN$2:$AN$193,"="&amp;AN135),0,IF(_xlfn.MINIFS('Draft Board'!$AN$2:$AN$193,'Draft Board'!$AN$2:$AN$193,"&gt;"&amp;AN135)=0,1,IF((_xlfn.MINIFS('Draft Board'!$AN$2:$AN$193,'Draft Board'!$AN$2:$AN$193,"&gt;"&amp;AN135)-AN135)/_xlfn.MINIFS('Draft Board'!$AN$2:$AN$193,'Draft Board'!$AN$2:$AN$193,"&gt;"&amp;AN135)&gt;0.08,1,0)))</f>
        <v>0</v>
      </c>
      <c r="AQ135" s="11">
        <f>_xlfn.MINIFS('Draft Board'!$AN$2:$AN$193,'Draft Board'!$AN$2:$AN$193,"&gt;="&amp;AN135,'Draft Board'!$AP$2:$AP$193,1)</f>
        <v>0</v>
      </c>
      <c r="AR135" s="11">
        <f>IF(AO135&lt;&gt;_xlfn.MINIFS('Draft Board'!$AO$2:$AO$193,'Draft Board'!$AN$2:$AN$193,"="&amp;AN135),0,IF(OR(AP135=1,IFERROR(FLOOR((AQ135-AN135)/AQ135/0.25,1),0)&lt;&gt;IFERROR(FLOOR((AQ135-_xlfn.MINIFS('Draft Board'!$AN$2:$AN$193,'Draft Board'!$AN$2:$AN$193,"&gt;"&amp;AN135))/AQ135/0.25,1),0)),1,0))</f>
        <v>0</v>
      </c>
      <c r="AS135" s="11">
        <f>ROUND(1+AN135*'Live Calc'!$D$28,0)</f>
        <v>1</v>
      </c>
      <c r="AT135" s="11"/>
      <c r="AU135" s="11">
        <f>IF(AT135&lt;&gt;"",AT135,ROUND(AS135*INDEX('Live Calc'!$G$259:$G$450,MATCH(AM135,'Live Calc'!$A$259:$A$450,0))*'Live Calc'!$J$543,0))</f>
        <v>1</v>
      </c>
    </row>
    <row r="136" spans="17:47" x14ac:dyDescent="0.25">
      <c r="Q136" s="10" t="s">
        <v>500</v>
      </c>
      <c r="R136" s="10" t="s">
        <v>107</v>
      </c>
      <c r="S136" s="10">
        <v>10.35</v>
      </c>
      <c r="T136" s="10">
        <v>12.31</v>
      </c>
      <c r="U136" s="10">
        <v>14.27</v>
      </c>
      <c r="V136" s="10">
        <f>CHOOSE(MATCH(Setup!$B$7,{"STD","Half-PPR","PPR"},0),S136,T136,U136)</f>
        <v>12.31</v>
      </c>
      <c r="W136" s="10">
        <f>COUNTIFS('Draft Board'!$X$2:$X$161,"&gt;="&amp;X136,'Draft Board'!$AB$2:$AB$161,1)</f>
        <v>14</v>
      </c>
      <c r="X136" s="10">
        <f>MAX(0,V136-'Live Calc'!$H$20)^'Live Calc'!$E$20</f>
        <v>0</v>
      </c>
      <c r="Y136" s="10">
        <v>136</v>
      </c>
      <c r="Z136" s="10">
        <f>IF(Y136&lt;&gt;_xlfn.MINIFS('Draft Board'!$Y$2:$Y$161,'Draft Board'!$X$2:$X$161,"="&amp;X136),0,IF(_xlfn.MINIFS('Draft Board'!$X$2:$X$161,'Draft Board'!$X$2:$X$161,"&gt;"&amp;X136)=0,1,IF((_xlfn.MINIFS('Draft Board'!$X$2:$X$161,'Draft Board'!$X$2:$X$161,"&gt;"&amp;X136)-X136)/_xlfn.MINIFS('Draft Board'!$X$2:$X$161,'Draft Board'!$X$2:$X$161,"&gt;"&amp;X136)&gt;0.08,1,0)))</f>
        <v>0</v>
      </c>
      <c r="AA136" s="10">
        <f>_xlfn.MINIFS('Draft Board'!$X$2:$X$161,'Draft Board'!$X$2:$X$161,"&gt;="&amp;X136,'Draft Board'!$Z$2:$Z$161,1)</f>
        <v>0</v>
      </c>
      <c r="AB136" s="10">
        <f>IF(Y136&lt;&gt;_xlfn.MINIFS('Draft Board'!$Y$2:$Y$161,'Draft Board'!$X$2:$X$161,"="&amp;X136),0,IF(OR(Z136=1,IFERROR(FLOOR((AA136-X136)/AA136/0.25,1),0)&lt;&gt;IFERROR(FLOOR((AA136-_xlfn.MINIFS('Draft Board'!$X$2:$X$161,'Draft Board'!$X$2:$X$161,"&gt;"&amp;X136))/AA136/0.25,1),0)),1,0))</f>
        <v>0</v>
      </c>
      <c r="AC136" s="10">
        <f>ROUND(1+X136*'Live Calc'!$D$27,0)</f>
        <v>1</v>
      </c>
      <c r="AD136" s="10"/>
      <c r="AE136" s="10">
        <f>IF(AD136&lt;&gt;"",AD136,ROUND(AC136*INDEX('Live Calc'!$G$96:$G$255,MATCH(W136,'Live Calc'!$A$96:$A$255,0))*'Live Calc'!$J$543,0))</f>
        <v>1</v>
      </c>
      <c r="AG136" s="11" t="s">
        <v>501</v>
      </c>
      <c r="AH136" s="11" t="s">
        <v>79</v>
      </c>
      <c r="AI136" s="11">
        <v>28.06</v>
      </c>
      <c r="AJ136" s="11">
        <v>36.86</v>
      </c>
      <c r="AK136" s="11">
        <v>45.67</v>
      </c>
      <c r="AL136" s="11">
        <f>CHOOSE(MATCH(Setup!$B$7,{"STD","Half-PPR","PPR"},0),AI136,AJ136,AK136)</f>
        <v>36.86</v>
      </c>
      <c r="AM136" s="11">
        <f>COUNTIFS('Draft Board'!$AN$2:$AN$193,"&gt;="&amp;AN136,'Draft Board'!$AR$2:$AR$193,1)</f>
        <v>20</v>
      </c>
      <c r="AN136" s="11">
        <f>MAX(0,AL136-'Live Calc'!$H$21)^'Live Calc'!$E$21</f>
        <v>0</v>
      </c>
      <c r="AO136" s="11">
        <v>136</v>
      </c>
      <c r="AP136" s="11">
        <f>IF(AO136&lt;&gt;_xlfn.MINIFS('Draft Board'!$AO$2:$AO$193,'Draft Board'!$AN$2:$AN$193,"="&amp;AN136),0,IF(_xlfn.MINIFS('Draft Board'!$AN$2:$AN$193,'Draft Board'!$AN$2:$AN$193,"&gt;"&amp;AN136)=0,1,IF((_xlfn.MINIFS('Draft Board'!$AN$2:$AN$193,'Draft Board'!$AN$2:$AN$193,"&gt;"&amp;AN136)-AN136)/_xlfn.MINIFS('Draft Board'!$AN$2:$AN$193,'Draft Board'!$AN$2:$AN$193,"&gt;"&amp;AN136)&gt;0.08,1,0)))</f>
        <v>0</v>
      </c>
      <c r="AQ136" s="11">
        <f>_xlfn.MINIFS('Draft Board'!$AN$2:$AN$193,'Draft Board'!$AN$2:$AN$193,"&gt;="&amp;AN136,'Draft Board'!$AP$2:$AP$193,1)</f>
        <v>0</v>
      </c>
      <c r="AR136" s="11">
        <f>IF(AO136&lt;&gt;_xlfn.MINIFS('Draft Board'!$AO$2:$AO$193,'Draft Board'!$AN$2:$AN$193,"="&amp;AN136),0,IF(OR(AP136=1,IFERROR(FLOOR((AQ136-AN136)/AQ136/0.25,1),0)&lt;&gt;IFERROR(FLOOR((AQ136-_xlfn.MINIFS('Draft Board'!$AN$2:$AN$193,'Draft Board'!$AN$2:$AN$193,"&gt;"&amp;AN136))/AQ136/0.25,1),0)),1,0))</f>
        <v>0</v>
      </c>
      <c r="AS136" s="11">
        <f>ROUND(1+AN136*'Live Calc'!$D$28,0)</f>
        <v>1</v>
      </c>
      <c r="AT136" s="11"/>
      <c r="AU136" s="11">
        <f>IF(AT136&lt;&gt;"",AT136,ROUND(AS136*INDEX('Live Calc'!$G$259:$G$450,MATCH(AM136,'Live Calc'!$A$259:$A$450,0))*'Live Calc'!$J$543,0))</f>
        <v>1</v>
      </c>
    </row>
    <row r="137" spans="17:47" x14ac:dyDescent="0.25">
      <c r="Q137" s="10" t="s">
        <v>502</v>
      </c>
      <c r="R137" s="10" t="s">
        <v>96</v>
      </c>
      <c r="S137" s="10">
        <v>10.94</v>
      </c>
      <c r="T137" s="10">
        <v>12.03</v>
      </c>
      <c r="U137" s="10">
        <v>13.11</v>
      </c>
      <c r="V137" s="10">
        <f>CHOOSE(MATCH(Setup!$B$7,{"STD","Half-PPR","PPR"},0),S137,T137,U137)</f>
        <v>12.03</v>
      </c>
      <c r="W137" s="10">
        <f>COUNTIFS('Draft Board'!$X$2:$X$161,"&gt;="&amp;X137,'Draft Board'!$AB$2:$AB$161,1)</f>
        <v>14</v>
      </c>
      <c r="X137" s="10">
        <f>MAX(0,V137-'Live Calc'!$H$20)^'Live Calc'!$E$20</f>
        <v>0</v>
      </c>
      <c r="Y137" s="10">
        <v>137</v>
      </c>
      <c r="Z137" s="10">
        <f>IF(Y137&lt;&gt;_xlfn.MINIFS('Draft Board'!$Y$2:$Y$161,'Draft Board'!$X$2:$X$161,"="&amp;X137),0,IF(_xlfn.MINIFS('Draft Board'!$X$2:$X$161,'Draft Board'!$X$2:$X$161,"&gt;"&amp;X137)=0,1,IF((_xlfn.MINIFS('Draft Board'!$X$2:$X$161,'Draft Board'!$X$2:$X$161,"&gt;"&amp;X137)-X137)/_xlfn.MINIFS('Draft Board'!$X$2:$X$161,'Draft Board'!$X$2:$X$161,"&gt;"&amp;X137)&gt;0.08,1,0)))</f>
        <v>0</v>
      </c>
      <c r="AA137" s="10">
        <f>_xlfn.MINIFS('Draft Board'!$X$2:$X$161,'Draft Board'!$X$2:$X$161,"&gt;="&amp;X137,'Draft Board'!$Z$2:$Z$161,1)</f>
        <v>0</v>
      </c>
      <c r="AB137" s="10">
        <f>IF(Y137&lt;&gt;_xlfn.MINIFS('Draft Board'!$Y$2:$Y$161,'Draft Board'!$X$2:$X$161,"="&amp;X137),0,IF(OR(Z137=1,IFERROR(FLOOR((AA137-X137)/AA137/0.25,1),0)&lt;&gt;IFERROR(FLOOR((AA137-_xlfn.MINIFS('Draft Board'!$X$2:$X$161,'Draft Board'!$X$2:$X$161,"&gt;"&amp;X137))/AA137/0.25,1),0)),1,0))</f>
        <v>0</v>
      </c>
      <c r="AC137" s="10">
        <f>ROUND(1+X137*'Live Calc'!$D$27,0)</f>
        <v>1</v>
      </c>
      <c r="AD137" s="10"/>
      <c r="AE137" s="10">
        <f>IF(AD137&lt;&gt;"",AD137,ROUND(AC137*INDEX('Live Calc'!$G$96:$G$255,MATCH(W137,'Live Calc'!$A$96:$A$255,0))*'Live Calc'!$J$543,0))</f>
        <v>1</v>
      </c>
      <c r="AG137" s="11" t="s">
        <v>503</v>
      </c>
      <c r="AH137" s="11" t="s">
        <v>246</v>
      </c>
      <c r="AI137" s="11">
        <v>28.504000000000001</v>
      </c>
      <c r="AJ137" s="11">
        <v>36.326000000000001</v>
      </c>
      <c r="AK137" s="11">
        <v>44.328000000000003</v>
      </c>
      <c r="AL137" s="11">
        <f>CHOOSE(MATCH(Setup!$B$7,{"STD","Half-PPR","PPR"},0),AI137,AJ137,AK137)</f>
        <v>36.326000000000001</v>
      </c>
      <c r="AM137" s="11">
        <f>COUNTIFS('Draft Board'!$AN$2:$AN$193,"&gt;="&amp;AN137,'Draft Board'!$AR$2:$AR$193,1)</f>
        <v>20</v>
      </c>
      <c r="AN137" s="11">
        <f>MAX(0,AL137-'Live Calc'!$H$21)^'Live Calc'!$E$21</f>
        <v>0</v>
      </c>
      <c r="AO137" s="11">
        <v>137</v>
      </c>
      <c r="AP137" s="11">
        <f>IF(AO137&lt;&gt;_xlfn.MINIFS('Draft Board'!$AO$2:$AO$193,'Draft Board'!$AN$2:$AN$193,"="&amp;AN137),0,IF(_xlfn.MINIFS('Draft Board'!$AN$2:$AN$193,'Draft Board'!$AN$2:$AN$193,"&gt;"&amp;AN137)=0,1,IF((_xlfn.MINIFS('Draft Board'!$AN$2:$AN$193,'Draft Board'!$AN$2:$AN$193,"&gt;"&amp;AN137)-AN137)/_xlfn.MINIFS('Draft Board'!$AN$2:$AN$193,'Draft Board'!$AN$2:$AN$193,"&gt;"&amp;AN137)&gt;0.08,1,0)))</f>
        <v>0</v>
      </c>
      <c r="AQ137" s="11">
        <f>_xlfn.MINIFS('Draft Board'!$AN$2:$AN$193,'Draft Board'!$AN$2:$AN$193,"&gt;="&amp;AN137,'Draft Board'!$AP$2:$AP$193,1)</f>
        <v>0</v>
      </c>
      <c r="AR137" s="11">
        <f>IF(AO137&lt;&gt;_xlfn.MINIFS('Draft Board'!$AO$2:$AO$193,'Draft Board'!$AN$2:$AN$193,"="&amp;AN137),0,IF(OR(AP137=1,IFERROR(FLOOR((AQ137-AN137)/AQ137/0.25,1),0)&lt;&gt;IFERROR(FLOOR((AQ137-_xlfn.MINIFS('Draft Board'!$AN$2:$AN$193,'Draft Board'!$AN$2:$AN$193,"&gt;"&amp;AN137))/AQ137/0.25,1),0)),1,0))</f>
        <v>0</v>
      </c>
      <c r="AS137" s="11">
        <f>ROUND(1+AN137*'Live Calc'!$D$28,0)</f>
        <v>1</v>
      </c>
      <c r="AT137" s="11"/>
      <c r="AU137" s="11">
        <f>IF(AT137&lt;&gt;"",AT137,ROUND(AS137*INDEX('Live Calc'!$G$259:$G$450,MATCH(AM137,'Live Calc'!$A$259:$A$450,0))*'Live Calc'!$J$543,0))</f>
        <v>1</v>
      </c>
    </row>
    <row r="138" spans="17:47" x14ac:dyDescent="0.25">
      <c r="Q138" s="10" t="s">
        <v>504</v>
      </c>
      <c r="R138" s="10" t="s">
        <v>77</v>
      </c>
      <c r="S138" s="10">
        <v>11.78</v>
      </c>
      <c r="T138" s="10">
        <v>11.78</v>
      </c>
      <c r="U138" s="10">
        <v>11.78</v>
      </c>
      <c r="V138" s="10">
        <f>CHOOSE(MATCH(Setup!$B$7,{"STD","Half-PPR","PPR"},0),S138,T138,U138)</f>
        <v>11.78</v>
      </c>
      <c r="W138" s="10">
        <f>COUNTIFS('Draft Board'!$X$2:$X$161,"&gt;="&amp;X138,'Draft Board'!$AB$2:$AB$161,1)</f>
        <v>14</v>
      </c>
      <c r="X138" s="10">
        <f>MAX(0,V138-'Live Calc'!$H$20)^'Live Calc'!$E$20</f>
        <v>0</v>
      </c>
      <c r="Y138" s="10">
        <v>138</v>
      </c>
      <c r="Z138" s="10">
        <f>IF(Y138&lt;&gt;_xlfn.MINIFS('Draft Board'!$Y$2:$Y$161,'Draft Board'!$X$2:$X$161,"="&amp;X138),0,IF(_xlfn.MINIFS('Draft Board'!$X$2:$X$161,'Draft Board'!$X$2:$X$161,"&gt;"&amp;X138)=0,1,IF((_xlfn.MINIFS('Draft Board'!$X$2:$X$161,'Draft Board'!$X$2:$X$161,"&gt;"&amp;X138)-X138)/_xlfn.MINIFS('Draft Board'!$X$2:$X$161,'Draft Board'!$X$2:$X$161,"&gt;"&amp;X138)&gt;0.08,1,0)))</f>
        <v>0</v>
      </c>
      <c r="AA138" s="10">
        <f>_xlfn.MINIFS('Draft Board'!$X$2:$X$161,'Draft Board'!$X$2:$X$161,"&gt;="&amp;X138,'Draft Board'!$Z$2:$Z$161,1)</f>
        <v>0</v>
      </c>
      <c r="AB138" s="10">
        <f>IF(Y138&lt;&gt;_xlfn.MINIFS('Draft Board'!$Y$2:$Y$161,'Draft Board'!$X$2:$X$161,"="&amp;X138),0,IF(OR(Z138=1,IFERROR(FLOOR((AA138-X138)/AA138/0.25,1),0)&lt;&gt;IFERROR(FLOOR((AA138-_xlfn.MINIFS('Draft Board'!$X$2:$X$161,'Draft Board'!$X$2:$X$161,"&gt;"&amp;X138))/AA138/0.25,1),0)),1,0))</f>
        <v>0</v>
      </c>
      <c r="AC138" s="10">
        <f>ROUND(1+X138*'Live Calc'!$D$27,0)</f>
        <v>1</v>
      </c>
      <c r="AD138" s="10"/>
      <c r="AE138" s="10">
        <f>IF(AD138&lt;&gt;"",AD138,ROUND(AC138*INDEX('Live Calc'!$G$96:$G$255,MATCH(W138,'Live Calc'!$A$96:$A$255,0))*'Live Calc'!$J$543,0))</f>
        <v>1</v>
      </c>
      <c r="AG138" s="11" t="s">
        <v>505</v>
      </c>
      <c r="AH138" s="11" t="s">
        <v>246</v>
      </c>
      <c r="AI138" s="11">
        <v>28.03</v>
      </c>
      <c r="AJ138" s="11">
        <v>35.996000000000002</v>
      </c>
      <c r="AK138" s="11">
        <v>44.84</v>
      </c>
      <c r="AL138" s="11">
        <f>CHOOSE(MATCH(Setup!$B$7,{"STD","Half-PPR","PPR"},0),AI138,AJ138,AK138)</f>
        <v>35.996000000000002</v>
      </c>
      <c r="AM138" s="11">
        <f>COUNTIFS('Draft Board'!$AN$2:$AN$193,"&gt;="&amp;AN138,'Draft Board'!$AR$2:$AR$193,1)</f>
        <v>20</v>
      </c>
      <c r="AN138" s="11">
        <f>MAX(0,AL138-'Live Calc'!$H$21)^'Live Calc'!$E$21</f>
        <v>0</v>
      </c>
      <c r="AO138" s="11">
        <v>138</v>
      </c>
      <c r="AP138" s="11">
        <f>IF(AO138&lt;&gt;_xlfn.MINIFS('Draft Board'!$AO$2:$AO$193,'Draft Board'!$AN$2:$AN$193,"="&amp;AN138),0,IF(_xlfn.MINIFS('Draft Board'!$AN$2:$AN$193,'Draft Board'!$AN$2:$AN$193,"&gt;"&amp;AN138)=0,1,IF((_xlfn.MINIFS('Draft Board'!$AN$2:$AN$193,'Draft Board'!$AN$2:$AN$193,"&gt;"&amp;AN138)-AN138)/_xlfn.MINIFS('Draft Board'!$AN$2:$AN$193,'Draft Board'!$AN$2:$AN$193,"&gt;"&amp;AN138)&gt;0.08,1,0)))</f>
        <v>0</v>
      </c>
      <c r="AQ138" s="11">
        <f>_xlfn.MINIFS('Draft Board'!$AN$2:$AN$193,'Draft Board'!$AN$2:$AN$193,"&gt;="&amp;AN138,'Draft Board'!$AP$2:$AP$193,1)</f>
        <v>0</v>
      </c>
      <c r="AR138" s="11">
        <f>IF(AO138&lt;&gt;_xlfn.MINIFS('Draft Board'!$AO$2:$AO$193,'Draft Board'!$AN$2:$AN$193,"="&amp;AN138),0,IF(OR(AP138=1,IFERROR(FLOOR((AQ138-AN138)/AQ138/0.25,1),0)&lt;&gt;IFERROR(FLOOR((AQ138-_xlfn.MINIFS('Draft Board'!$AN$2:$AN$193,'Draft Board'!$AN$2:$AN$193,"&gt;"&amp;AN138))/AQ138/0.25,1),0)),1,0))</f>
        <v>0</v>
      </c>
      <c r="AS138" s="11">
        <f>ROUND(1+AN138*'Live Calc'!$D$28,0)</f>
        <v>1</v>
      </c>
      <c r="AT138" s="11"/>
      <c r="AU138" s="11">
        <f>IF(AT138&lt;&gt;"",AT138,ROUND(AS138*INDEX('Live Calc'!$G$259:$G$450,MATCH(AM138,'Live Calc'!$A$259:$A$450,0))*'Live Calc'!$J$543,0))</f>
        <v>1</v>
      </c>
    </row>
    <row r="139" spans="17:47" x14ac:dyDescent="0.25">
      <c r="Q139" s="10" t="s">
        <v>506</v>
      </c>
      <c r="R139" s="10" t="s">
        <v>185</v>
      </c>
      <c r="S139" s="10">
        <v>8.0399999999999991</v>
      </c>
      <c r="T139" s="10">
        <v>11.69</v>
      </c>
      <c r="U139" s="10">
        <v>15.34</v>
      </c>
      <c r="V139" s="10">
        <f>CHOOSE(MATCH(Setup!$B$7,{"STD","Half-PPR","PPR"},0),S139,T139,U139)</f>
        <v>11.69</v>
      </c>
      <c r="W139" s="10">
        <f>COUNTIFS('Draft Board'!$X$2:$X$161,"&gt;="&amp;X139,'Draft Board'!$AB$2:$AB$161,1)</f>
        <v>14</v>
      </c>
      <c r="X139" s="10">
        <f>MAX(0,V139-'Live Calc'!$H$20)^'Live Calc'!$E$20</f>
        <v>0</v>
      </c>
      <c r="Y139" s="10">
        <v>139</v>
      </c>
      <c r="Z139" s="10">
        <f>IF(Y139&lt;&gt;_xlfn.MINIFS('Draft Board'!$Y$2:$Y$161,'Draft Board'!$X$2:$X$161,"="&amp;X139),0,IF(_xlfn.MINIFS('Draft Board'!$X$2:$X$161,'Draft Board'!$X$2:$X$161,"&gt;"&amp;X139)=0,1,IF((_xlfn.MINIFS('Draft Board'!$X$2:$X$161,'Draft Board'!$X$2:$X$161,"&gt;"&amp;X139)-X139)/_xlfn.MINIFS('Draft Board'!$X$2:$X$161,'Draft Board'!$X$2:$X$161,"&gt;"&amp;X139)&gt;0.08,1,0)))</f>
        <v>0</v>
      </c>
      <c r="AA139" s="10">
        <f>_xlfn.MINIFS('Draft Board'!$X$2:$X$161,'Draft Board'!$X$2:$X$161,"&gt;="&amp;X139,'Draft Board'!$Z$2:$Z$161,1)</f>
        <v>0</v>
      </c>
      <c r="AB139" s="10">
        <f>IF(Y139&lt;&gt;_xlfn.MINIFS('Draft Board'!$Y$2:$Y$161,'Draft Board'!$X$2:$X$161,"="&amp;X139),0,IF(OR(Z139=1,IFERROR(FLOOR((AA139-X139)/AA139/0.25,1),0)&lt;&gt;IFERROR(FLOOR((AA139-_xlfn.MINIFS('Draft Board'!$X$2:$X$161,'Draft Board'!$X$2:$X$161,"&gt;"&amp;X139))/AA139/0.25,1),0)),1,0))</f>
        <v>0</v>
      </c>
      <c r="AC139" s="10">
        <f>ROUND(1+X139*'Live Calc'!$D$27,0)</f>
        <v>1</v>
      </c>
      <c r="AD139" s="10"/>
      <c r="AE139" s="10">
        <f>IF(AD139&lt;&gt;"",AD139,ROUND(AC139*INDEX('Live Calc'!$G$96:$G$255,MATCH(W139,'Live Calc'!$A$96:$A$255,0))*'Live Calc'!$J$543,0))</f>
        <v>1</v>
      </c>
      <c r="AG139" s="11" t="s">
        <v>507</v>
      </c>
      <c r="AH139" s="11" t="s">
        <v>113</v>
      </c>
      <c r="AI139" s="11">
        <v>27.984000000000002</v>
      </c>
      <c r="AJ139" s="11">
        <v>35.957999999999998</v>
      </c>
      <c r="AK139" s="11">
        <v>44.012</v>
      </c>
      <c r="AL139" s="11">
        <f>CHOOSE(MATCH(Setup!$B$7,{"STD","Half-PPR","PPR"},0),AI139,AJ139,AK139)</f>
        <v>35.957999999999998</v>
      </c>
      <c r="AM139" s="11">
        <f>COUNTIFS('Draft Board'!$AN$2:$AN$193,"&gt;="&amp;AN139,'Draft Board'!$AR$2:$AR$193,1)</f>
        <v>20</v>
      </c>
      <c r="AN139" s="11">
        <f>MAX(0,AL139-'Live Calc'!$H$21)^'Live Calc'!$E$21</f>
        <v>0</v>
      </c>
      <c r="AO139" s="11">
        <v>139</v>
      </c>
      <c r="AP139" s="11">
        <f>IF(AO139&lt;&gt;_xlfn.MINIFS('Draft Board'!$AO$2:$AO$193,'Draft Board'!$AN$2:$AN$193,"="&amp;AN139),0,IF(_xlfn.MINIFS('Draft Board'!$AN$2:$AN$193,'Draft Board'!$AN$2:$AN$193,"&gt;"&amp;AN139)=0,1,IF((_xlfn.MINIFS('Draft Board'!$AN$2:$AN$193,'Draft Board'!$AN$2:$AN$193,"&gt;"&amp;AN139)-AN139)/_xlfn.MINIFS('Draft Board'!$AN$2:$AN$193,'Draft Board'!$AN$2:$AN$193,"&gt;"&amp;AN139)&gt;0.08,1,0)))</f>
        <v>0</v>
      </c>
      <c r="AQ139" s="11">
        <f>_xlfn.MINIFS('Draft Board'!$AN$2:$AN$193,'Draft Board'!$AN$2:$AN$193,"&gt;="&amp;AN139,'Draft Board'!$AP$2:$AP$193,1)</f>
        <v>0</v>
      </c>
      <c r="AR139" s="11">
        <f>IF(AO139&lt;&gt;_xlfn.MINIFS('Draft Board'!$AO$2:$AO$193,'Draft Board'!$AN$2:$AN$193,"="&amp;AN139),0,IF(OR(AP139=1,IFERROR(FLOOR((AQ139-AN139)/AQ139/0.25,1),0)&lt;&gt;IFERROR(FLOOR((AQ139-_xlfn.MINIFS('Draft Board'!$AN$2:$AN$193,'Draft Board'!$AN$2:$AN$193,"&gt;"&amp;AN139))/AQ139/0.25,1),0)),1,0))</f>
        <v>0</v>
      </c>
      <c r="AS139" s="11">
        <f>ROUND(1+AN139*'Live Calc'!$D$28,0)</f>
        <v>1</v>
      </c>
      <c r="AT139" s="11"/>
      <c r="AU139" s="11">
        <f>IF(AT139&lt;&gt;"",AT139,ROUND(AS139*INDEX('Live Calc'!$G$259:$G$450,MATCH(AM139,'Live Calc'!$A$259:$A$450,0))*'Live Calc'!$J$543,0))</f>
        <v>1</v>
      </c>
    </row>
    <row r="140" spans="17:47" x14ac:dyDescent="0.25">
      <c r="Q140" s="10" t="s">
        <v>508</v>
      </c>
      <c r="R140" s="10" t="s">
        <v>119</v>
      </c>
      <c r="S140" s="10">
        <v>10.36</v>
      </c>
      <c r="T140" s="10">
        <v>11.65</v>
      </c>
      <c r="U140" s="10">
        <v>12.94</v>
      </c>
      <c r="V140" s="10">
        <f>CHOOSE(MATCH(Setup!$B$7,{"STD","Half-PPR","PPR"},0),S140,T140,U140)</f>
        <v>11.65</v>
      </c>
      <c r="W140" s="10">
        <f>COUNTIFS('Draft Board'!$X$2:$X$161,"&gt;="&amp;X140,'Draft Board'!$AB$2:$AB$161,1)</f>
        <v>14</v>
      </c>
      <c r="X140" s="10">
        <f>MAX(0,V140-'Live Calc'!$H$20)^'Live Calc'!$E$20</f>
        <v>0</v>
      </c>
      <c r="Y140" s="10">
        <v>140</v>
      </c>
      <c r="Z140" s="10">
        <f>IF(Y140&lt;&gt;_xlfn.MINIFS('Draft Board'!$Y$2:$Y$161,'Draft Board'!$X$2:$X$161,"="&amp;X140),0,IF(_xlfn.MINIFS('Draft Board'!$X$2:$X$161,'Draft Board'!$X$2:$X$161,"&gt;"&amp;X140)=0,1,IF((_xlfn.MINIFS('Draft Board'!$X$2:$X$161,'Draft Board'!$X$2:$X$161,"&gt;"&amp;X140)-X140)/_xlfn.MINIFS('Draft Board'!$X$2:$X$161,'Draft Board'!$X$2:$X$161,"&gt;"&amp;X140)&gt;0.08,1,0)))</f>
        <v>0</v>
      </c>
      <c r="AA140" s="10">
        <f>_xlfn.MINIFS('Draft Board'!$X$2:$X$161,'Draft Board'!$X$2:$X$161,"&gt;="&amp;X140,'Draft Board'!$Z$2:$Z$161,1)</f>
        <v>0</v>
      </c>
      <c r="AB140" s="10">
        <f>IF(Y140&lt;&gt;_xlfn.MINIFS('Draft Board'!$Y$2:$Y$161,'Draft Board'!$X$2:$X$161,"="&amp;X140),0,IF(OR(Z140=1,IFERROR(FLOOR((AA140-X140)/AA140/0.25,1),0)&lt;&gt;IFERROR(FLOOR((AA140-_xlfn.MINIFS('Draft Board'!$X$2:$X$161,'Draft Board'!$X$2:$X$161,"&gt;"&amp;X140))/AA140/0.25,1),0)),1,0))</f>
        <v>0</v>
      </c>
      <c r="AC140" s="10">
        <f>ROUND(1+X140*'Live Calc'!$D$27,0)</f>
        <v>1</v>
      </c>
      <c r="AD140" s="10"/>
      <c r="AE140" s="10">
        <f>IF(AD140&lt;&gt;"",AD140,ROUND(AC140*INDEX('Live Calc'!$G$96:$G$255,MATCH(W140,'Live Calc'!$A$96:$A$255,0))*'Live Calc'!$J$543,0))</f>
        <v>1</v>
      </c>
      <c r="AG140" s="11" t="s">
        <v>509</v>
      </c>
      <c r="AH140" s="11" t="s">
        <v>90</v>
      </c>
      <c r="AI140" s="11">
        <v>27.09</v>
      </c>
      <c r="AJ140" s="11">
        <v>35.076000000000001</v>
      </c>
      <c r="AK140" s="11">
        <v>43.07</v>
      </c>
      <c r="AL140" s="11">
        <f>CHOOSE(MATCH(Setup!$B$7,{"STD","Half-PPR","PPR"},0),AI140,AJ140,AK140)</f>
        <v>35.076000000000001</v>
      </c>
      <c r="AM140" s="11">
        <f>COUNTIFS('Draft Board'!$AN$2:$AN$193,"&gt;="&amp;AN140,'Draft Board'!$AR$2:$AR$193,1)</f>
        <v>20</v>
      </c>
      <c r="AN140" s="11">
        <f>MAX(0,AL140-'Live Calc'!$H$21)^'Live Calc'!$E$21</f>
        <v>0</v>
      </c>
      <c r="AO140" s="11">
        <v>140</v>
      </c>
      <c r="AP140" s="11">
        <f>IF(AO140&lt;&gt;_xlfn.MINIFS('Draft Board'!$AO$2:$AO$193,'Draft Board'!$AN$2:$AN$193,"="&amp;AN140),0,IF(_xlfn.MINIFS('Draft Board'!$AN$2:$AN$193,'Draft Board'!$AN$2:$AN$193,"&gt;"&amp;AN140)=0,1,IF((_xlfn.MINIFS('Draft Board'!$AN$2:$AN$193,'Draft Board'!$AN$2:$AN$193,"&gt;"&amp;AN140)-AN140)/_xlfn.MINIFS('Draft Board'!$AN$2:$AN$193,'Draft Board'!$AN$2:$AN$193,"&gt;"&amp;AN140)&gt;0.08,1,0)))</f>
        <v>0</v>
      </c>
      <c r="AQ140" s="11">
        <f>_xlfn.MINIFS('Draft Board'!$AN$2:$AN$193,'Draft Board'!$AN$2:$AN$193,"&gt;="&amp;AN140,'Draft Board'!$AP$2:$AP$193,1)</f>
        <v>0</v>
      </c>
      <c r="AR140" s="11">
        <f>IF(AO140&lt;&gt;_xlfn.MINIFS('Draft Board'!$AO$2:$AO$193,'Draft Board'!$AN$2:$AN$193,"="&amp;AN140),0,IF(OR(AP140=1,IFERROR(FLOOR((AQ140-AN140)/AQ140/0.25,1),0)&lt;&gt;IFERROR(FLOOR((AQ140-_xlfn.MINIFS('Draft Board'!$AN$2:$AN$193,'Draft Board'!$AN$2:$AN$193,"&gt;"&amp;AN140))/AQ140/0.25,1),0)),1,0))</f>
        <v>0</v>
      </c>
      <c r="AS140" s="11">
        <f>ROUND(1+AN140*'Live Calc'!$D$28,0)</f>
        <v>1</v>
      </c>
      <c r="AT140" s="11"/>
      <c r="AU140" s="11">
        <f>IF(AT140&lt;&gt;"",AT140,ROUND(AS140*INDEX('Live Calc'!$G$259:$G$450,MATCH(AM140,'Live Calc'!$A$259:$A$450,0))*'Live Calc'!$J$543,0))</f>
        <v>1</v>
      </c>
    </row>
    <row r="141" spans="17:47" x14ac:dyDescent="0.25">
      <c r="Q141" s="10" t="s">
        <v>510</v>
      </c>
      <c r="R141" s="10" t="s">
        <v>88</v>
      </c>
      <c r="S141" s="10">
        <v>11.05</v>
      </c>
      <c r="T141" s="10">
        <v>11.3</v>
      </c>
      <c r="U141" s="10">
        <v>11.55</v>
      </c>
      <c r="V141" s="10">
        <f>CHOOSE(MATCH(Setup!$B$7,{"STD","Half-PPR","PPR"},0),S141,T141,U141)</f>
        <v>11.3</v>
      </c>
      <c r="W141" s="10">
        <f>COUNTIFS('Draft Board'!$X$2:$X$161,"&gt;="&amp;X141,'Draft Board'!$AB$2:$AB$161,1)</f>
        <v>14</v>
      </c>
      <c r="X141" s="10">
        <f>MAX(0,V141-'Live Calc'!$H$20)^'Live Calc'!$E$20</f>
        <v>0</v>
      </c>
      <c r="Y141" s="10">
        <v>141</v>
      </c>
      <c r="Z141" s="10">
        <f>IF(Y141&lt;&gt;_xlfn.MINIFS('Draft Board'!$Y$2:$Y$161,'Draft Board'!$X$2:$X$161,"="&amp;X141),0,IF(_xlfn.MINIFS('Draft Board'!$X$2:$X$161,'Draft Board'!$X$2:$X$161,"&gt;"&amp;X141)=0,1,IF((_xlfn.MINIFS('Draft Board'!$X$2:$X$161,'Draft Board'!$X$2:$X$161,"&gt;"&amp;X141)-X141)/_xlfn.MINIFS('Draft Board'!$X$2:$X$161,'Draft Board'!$X$2:$X$161,"&gt;"&amp;X141)&gt;0.08,1,0)))</f>
        <v>0</v>
      </c>
      <c r="AA141" s="10">
        <f>_xlfn.MINIFS('Draft Board'!$X$2:$X$161,'Draft Board'!$X$2:$X$161,"&gt;="&amp;X141,'Draft Board'!$Z$2:$Z$161,1)</f>
        <v>0</v>
      </c>
      <c r="AB141" s="10">
        <f>IF(Y141&lt;&gt;_xlfn.MINIFS('Draft Board'!$Y$2:$Y$161,'Draft Board'!$X$2:$X$161,"="&amp;X141),0,IF(OR(Z141=1,IFERROR(FLOOR((AA141-X141)/AA141/0.25,1),0)&lt;&gt;IFERROR(FLOOR((AA141-_xlfn.MINIFS('Draft Board'!$X$2:$X$161,'Draft Board'!$X$2:$X$161,"&gt;"&amp;X141))/AA141/0.25,1),0)),1,0))</f>
        <v>0</v>
      </c>
      <c r="AC141" s="10">
        <f>ROUND(1+X141*'Live Calc'!$D$27,0)</f>
        <v>1</v>
      </c>
      <c r="AD141" s="10"/>
      <c r="AE141" s="10">
        <f>IF(AD141&lt;&gt;"",AD141,ROUND(AC141*INDEX('Live Calc'!$G$96:$G$255,MATCH(W141,'Live Calc'!$A$96:$A$255,0))*'Live Calc'!$J$543,0))</f>
        <v>1</v>
      </c>
      <c r="AG141" s="11" t="s">
        <v>511</v>
      </c>
      <c r="AH141" s="11" t="s">
        <v>79</v>
      </c>
      <c r="AI141" s="11">
        <v>27.04</v>
      </c>
      <c r="AJ141" s="11">
        <v>34.770000000000003</v>
      </c>
      <c r="AK141" s="11">
        <v>42.5</v>
      </c>
      <c r="AL141" s="11">
        <f>CHOOSE(MATCH(Setup!$B$7,{"STD","Half-PPR","PPR"},0),AI141,AJ141,AK141)</f>
        <v>34.770000000000003</v>
      </c>
      <c r="AM141" s="11">
        <f>COUNTIFS('Draft Board'!$AN$2:$AN$193,"&gt;="&amp;AN141,'Draft Board'!$AR$2:$AR$193,1)</f>
        <v>20</v>
      </c>
      <c r="AN141" s="11">
        <f>MAX(0,AL141-'Live Calc'!$H$21)^'Live Calc'!$E$21</f>
        <v>0</v>
      </c>
      <c r="AO141" s="11">
        <v>141</v>
      </c>
      <c r="AP141" s="11">
        <f>IF(AO141&lt;&gt;_xlfn.MINIFS('Draft Board'!$AO$2:$AO$193,'Draft Board'!$AN$2:$AN$193,"="&amp;AN141),0,IF(_xlfn.MINIFS('Draft Board'!$AN$2:$AN$193,'Draft Board'!$AN$2:$AN$193,"&gt;"&amp;AN141)=0,1,IF((_xlfn.MINIFS('Draft Board'!$AN$2:$AN$193,'Draft Board'!$AN$2:$AN$193,"&gt;"&amp;AN141)-AN141)/_xlfn.MINIFS('Draft Board'!$AN$2:$AN$193,'Draft Board'!$AN$2:$AN$193,"&gt;"&amp;AN141)&gt;0.08,1,0)))</f>
        <v>0</v>
      </c>
      <c r="AQ141" s="11">
        <f>_xlfn.MINIFS('Draft Board'!$AN$2:$AN$193,'Draft Board'!$AN$2:$AN$193,"&gt;="&amp;AN141,'Draft Board'!$AP$2:$AP$193,1)</f>
        <v>0</v>
      </c>
      <c r="AR141" s="11">
        <f>IF(AO141&lt;&gt;_xlfn.MINIFS('Draft Board'!$AO$2:$AO$193,'Draft Board'!$AN$2:$AN$193,"="&amp;AN141),0,IF(OR(AP141=1,IFERROR(FLOOR((AQ141-AN141)/AQ141/0.25,1),0)&lt;&gt;IFERROR(FLOOR((AQ141-_xlfn.MINIFS('Draft Board'!$AN$2:$AN$193,'Draft Board'!$AN$2:$AN$193,"&gt;"&amp;AN141))/AQ141/0.25,1),0)),1,0))</f>
        <v>0</v>
      </c>
      <c r="AS141" s="11">
        <f>ROUND(1+AN141*'Live Calc'!$D$28,0)</f>
        <v>1</v>
      </c>
      <c r="AT141" s="11"/>
      <c r="AU141" s="11">
        <f>IF(AT141&lt;&gt;"",AT141,ROUND(AS141*INDEX('Live Calc'!$G$259:$G$450,MATCH(AM141,'Live Calc'!$A$259:$A$450,0))*'Live Calc'!$J$543,0))</f>
        <v>1</v>
      </c>
    </row>
    <row r="142" spans="17:47" x14ac:dyDescent="0.25">
      <c r="Q142" s="10" t="s">
        <v>512</v>
      </c>
      <c r="R142" s="10" t="s">
        <v>55</v>
      </c>
      <c r="S142" s="10">
        <v>9.77</v>
      </c>
      <c r="T142" s="10">
        <v>10.94</v>
      </c>
      <c r="U142" s="10">
        <v>12.1</v>
      </c>
      <c r="V142" s="10">
        <f>CHOOSE(MATCH(Setup!$B$7,{"STD","Half-PPR","PPR"},0),S142,T142,U142)</f>
        <v>10.94</v>
      </c>
      <c r="W142" s="10">
        <f>COUNTIFS('Draft Board'!$X$2:$X$161,"&gt;="&amp;X142,'Draft Board'!$AB$2:$AB$161,1)</f>
        <v>14</v>
      </c>
      <c r="X142" s="10">
        <f>MAX(0,V142-'Live Calc'!$H$20)^'Live Calc'!$E$20</f>
        <v>0</v>
      </c>
      <c r="Y142" s="10">
        <v>142</v>
      </c>
      <c r="Z142" s="10">
        <f>IF(Y142&lt;&gt;_xlfn.MINIFS('Draft Board'!$Y$2:$Y$161,'Draft Board'!$X$2:$X$161,"="&amp;X142),0,IF(_xlfn.MINIFS('Draft Board'!$X$2:$X$161,'Draft Board'!$X$2:$X$161,"&gt;"&amp;X142)=0,1,IF((_xlfn.MINIFS('Draft Board'!$X$2:$X$161,'Draft Board'!$X$2:$X$161,"&gt;"&amp;X142)-X142)/_xlfn.MINIFS('Draft Board'!$X$2:$X$161,'Draft Board'!$X$2:$X$161,"&gt;"&amp;X142)&gt;0.08,1,0)))</f>
        <v>0</v>
      </c>
      <c r="AA142" s="10">
        <f>_xlfn.MINIFS('Draft Board'!$X$2:$X$161,'Draft Board'!$X$2:$X$161,"&gt;="&amp;X142,'Draft Board'!$Z$2:$Z$161,1)</f>
        <v>0</v>
      </c>
      <c r="AB142" s="10">
        <f>IF(Y142&lt;&gt;_xlfn.MINIFS('Draft Board'!$Y$2:$Y$161,'Draft Board'!$X$2:$X$161,"="&amp;X142),0,IF(OR(Z142=1,IFERROR(FLOOR((AA142-X142)/AA142/0.25,1),0)&lt;&gt;IFERROR(FLOOR((AA142-_xlfn.MINIFS('Draft Board'!$X$2:$X$161,'Draft Board'!$X$2:$X$161,"&gt;"&amp;X142))/AA142/0.25,1),0)),1,0))</f>
        <v>0</v>
      </c>
      <c r="AC142" s="10">
        <f>ROUND(1+X142*'Live Calc'!$D$27,0)</f>
        <v>1</v>
      </c>
      <c r="AD142" s="10"/>
      <c r="AE142" s="10">
        <f>IF(AD142&lt;&gt;"",AD142,ROUND(AC142*INDEX('Live Calc'!$G$96:$G$255,MATCH(W142,'Live Calc'!$A$96:$A$255,0))*'Live Calc'!$J$543,0))</f>
        <v>1</v>
      </c>
      <c r="AG142" s="11" t="s">
        <v>513</v>
      </c>
      <c r="AH142" s="11" t="s">
        <v>93</v>
      </c>
      <c r="AI142" s="11">
        <v>25.48</v>
      </c>
      <c r="AJ142" s="11">
        <v>34.417999999999999</v>
      </c>
      <c r="AK142" s="11">
        <v>43.648000000000003</v>
      </c>
      <c r="AL142" s="11">
        <f>CHOOSE(MATCH(Setup!$B$7,{"STD","Half-PPR","PPR"},0),AI142,AJ142,AK142)</f>
        <v>34.417999999999999</v>
      </c>
      <c r="AM142" s="11">
        <f>COUNTIFS('Draft Board'!$AN$2:$AN$193,"&gt;="&amp;AN142,'Draft Board'!$AR$2:$AR$193,1)</f>
        <v>20</v>
      </c>
      <c r="AN142" s="11">
        <f>MAX(0,AL142-'Live Calc'!$H$21)^'Live Calc'!$E$21</f>
        <v>0</v>
      </c>
      <c r="AO142" s="11">
        <v>142</v>
      </c>
      <c r="AP142" s="11">
        <f>IF(AO142&lt;&gt;_xlfn.MINIFS('Draft Board'!$AO$2:$AO$193,'Draft Board'!$AN$2:$AN$193,"="&amp;AN142),0,IF(_xlfn.MINIFS('Draft Board'!$AN$2:$AN$193,'Draft Board'!$AN$2:$AN$193,"&gt;"&amp;AN142)=0,1,IF((_xlfn.MINIFS('Draft Board'!$AN$2:$AN$193,'Draft Board'!$AN$2:$AN$193,"&gt;"&amp;AN142)-AN142)/_xlfn.MINIFS('Draft Board'!$AN$2:$AN$193,'Draft Board'!$AN$2:$AN$193,"&gt;"&amp;AN142)&gt;0.08,1,0)))</f>
        <v>0</v>
      </c>
      <c r="AQ142" s="11">
        <f>_xlfn.MINIFS('Draft Board'!$AN$2:$AN$193,'Draft Board'!$AN$2:$AN$193,"&gt;="&amp;AN142,'Draft Board'!$AP$2:$AP$193,1)</f>
        <v>0</v>
      </c>
      <c r="AR142" s="11">
        <f>IF(AO142&lt;&gt;_xlfn.MINIFS('Draft Board'!$AO$2:$AO$193,'Draft Board'!$AN$2:$AN$193,"="&amp;AN142),0,IF(OR(AP142=1,IFERROR(FLOOR((AQ142-AN142)/AQ142/0.25,1),0)&lt;&gt;IFERROR(FLOOR((AQ142-_xlfn.MINIFS('Draft Board'!$AN$2:$AN$193,'Draft Board'!$AN$2:$AN$193,"&gt;"&amp;AN142))/AQ142/0.25,1),0)),1,0))</f>
        <v>0</v>
      </c>
      <c r="AS142" s="11">
        <f>ROUND(1+AN142*'Live Calc'!$D$28,0)</f>
        <v>1</v>
      </c>
      <c r="AT142" s="11"/>
      <c r="AU142" s="11">
        <f>IF(AT142&lt;&gt;"",AT142,ROUND(AS142*INDEX('Live Calc'!$G$259:$G$450,MATCH(AM142,'Live Calc'!$A$259:$A$450,0))*'Live Calc'!$J$543,0))</f>
        <v>1</v>
      </c>
    </row>
    <row r="143" spans="17:47" x14ac:dyDescent="0.25">
      <c r="Q143" s="10" t="s">
        <v>514</v>
      </c>
      <c r="R143" s="10" t="s">
        <v>143</v>
      </c>
      <c r="S143" s="10">
        <v>8.32</v>
      </c>
      <c r="T143" s="10">
        <v>10.3</v>
      </c>
      <c r="U143" s="10">
        <v>12.28</v>
      </c>
      <c r="V143" s="10">
        <f>CHOOSE(MATCH(Setup!$B$7,{"STD","Half-PPR","PPR"},0),S143,T143,U143)</f>
        <v>10.3</v>
      </c>
      <c r="W143" s="10">
        <f>COUNTIFS('Draft Board'!$X$2:$X$161,"&gt;="&amp;X143,'Draft Board'!$AB$2:$AB$161,1)</f>
        <v>14</v>
      </c>
      <c r="X143" s="10">
        <f>MAX(0,V143-'Live Calc'!$H$20)^'Live Calc'!$E$20</f>
        <v>0</v>
      </c>
      <c r="Y143" s="10">
        <v>143</v>
      </c>
      <c r="Z143" s="10">
        <f>IF(Y143&lt;&gt;_xlfn.MINIFS('Draft Board'!$Y$2:$Y$161,'Draft Board'!$X$2:$X$161,"="&amp;X143),0,IF(_xlfn.MINIFS('Draft Board'!$X$2:$X$161,'Draft Board'!$X$2:$X$161,"&gt;"&amp;X143)=0,1,IF((_xlfn.MINIFS('Draft Board'!$X$2:$X$161,'Draft Board'!$X$2:$X$161,"&gt;"&amp;X143)-X143)/_xlfn.MINIFS('Draft Board'!$X$2:$X$161,'Draft Board'!$X$2:$X$161,"&gt;"&amp;X143)&gt;0.08,1,0)))</f>
        <v>0</v>
      </c>
      <c r="AA143" s="10">
        <f>_xlfn.MINIFS('Draft Board'!$X$2:$X$161,'Draft Board'!$X$2:$X$161,"&gt;="&amp;X143,'Draft Board'!$Z$2:$Z$161,1)</f>
        <v>0</v>
      </c>
      <c r="AB143" s="10">
        <f>IF(Y143&lt;&gt;_xlfn.MINIFS('Draft Board'!$Y$2:$Y$161,'Draft Board'!$X$2:$X$161,"="&amp;X143),0,IF(OR(Z143=1,IFERROR(FLOOR((AA143-X143)/AA143/0.25,1),0)&lt;&gt;IFERROR(FLOOR((AA143-_xlfn.MINIFS('Draft Board'!$X$2:$X$161,'Draft Board'!$X$2:$X$161,"&gt;"&amp;X143))/AA143/0.25,1),0)),1,0))</f>
        <v>0</v>
      </c>
      <c r="AC143" s="10">
        <f>ROUND(1+X143*'Live Calc'!$D$27,0)</f>
        <v>1</v>
      </c>
      <c r="AD143" s="10"/>
      <c r="AE143" s="10">
        <f>IF(AD143&lt;&gt;"",AD143,ROUND(AC143*INDEX('Live Calc'!$G$96:$G$255,MATCH(W143,'Live Calc'!$A$96:$A$255,0))*'Live Calc'!$J$543,0))</f>
        <v>1</v>
      </c>
      <c r="AG143" s="11" t="s">
        <v>515</v>
      </c>
      <c r="AH143" s="11" t="s">
        <v>77</v>
      </c>
      <c r="AI143" s="11">
        <v>26.611999999999998</v>
      </c>
      <c r="AJ143" s="11">
        <v>34.216000000000001</v>
      </c>
      <c r="AK143" s="11">
        <v>42.235999999999997</v>
      </c>
      <c r="AL143" s="11">
        <f>CHOOSE(MATCH(Setup!$B$7,{"STD","Half-PPR","PPR"},0),AI143,AJ143,AK143)</f>
        <v>34.216000000000001</v>
      </c>
      <c r="AM143" s="11">
        <f>COUNTIFS('Draft Board'!$AN$2:$AN$193,"&gt;="&amp;AN143,'Draft Board'!$AR$2:$AR$193,1)</f>
        <v>20</v>
      </c>
      <c r="AN143" s="11">
        <f>MAX(0,AL143-'Live Calc'!$H$21)^'Live Calc'!$E$21</f>
        <v>0</v>
      </c>
      <c r="AO143" s="11">
        <v>143</v>
      </c>
      <c r="AP143" s="11">
        <f>IF(AO143&lt;&gt;_xlfn.MINIFS('Draft Board'!$AO$2:$AO$193,'Draft Board'!$AN$2:$AN$193,"="&amp;AN143),0,IF(_xlfn.MINIFS('Draft Board'!$AN$2:$AN$193,'Draft Board'!$AN$2:$AN$193,"&gt;"&amp;AN143)=0,1,IF((_xlfn.MINIFS('Draft Board'!$AN$2:$AN$193,'Draft Board'!$AN$2:$AN$193,"&gt;"&amp;AN143)-AN143)/_xlfn.MINIFS('Draft Board'!$AN$2:$AN$193,'Draft Board'!$AN$2:$AN$193,"&gt;"&amp;AN143)&gt;0.08,1,0)))</f>
        <v>0</v>
      </c>
      <c r="AQ143" s="11">
        <f>_xlfn.MINIFS('Draft Board'!$AN$2:$AN$193,'Draft Board'!$AN$2:$AN$193,"&gt;="&amp;AN143,'Draft Board'!$AP$2:$AP$193,1)</f>
        <v>0</v>
      </c>
      <c r="AR143" s="11">
        <f>IF(AO143&lt;&gt;_xlfn.MINIFS('Draft Board'!$AO$2:$AO$193,'Draft Board'!$AN$2:$AN$193,"="&amp;AN143),0,IF(OR(AP143=1,IFERROR(FLOOR((AQ143-AN143)/AQ143/0.25,1),0)&lt;&gt;IFERROR(FLOOR((AQ143-_xlfn.MINIFS('Draft Board'!$AN$2:$AN$193,'Draft Board'!$AN$2:$AN$193,"&gt;"&amp;AN143))/AQ143/0.25,1),0)),1,0))</f>
        <v>0</v>
      </c>
      <c r="AS143" s="11">
        <f>ROUND(1+AN143*'Live Calc'!$D$28,0)</f>
        <v>1</v>
      </c>
      <c r="AT143" s="11"/>
      <c r="AU143" s="11">
        <f>IF(AT143&lt;&gt;"",AT143,ROUND(AS143*INDEX('Live Calc'!$G$259:$G$450,MATCH(AM143,'Live Calc'!$A$259:$A$450,0))*'Live Calc'!$J$543,0))</f>
        <v>1</v>
      </c>
    </row>
    <row r="144" spans="17:47" x14ac:dyDescent="0.25">
      <c r="Q144" s="10" t="s">
        <v>516</v>
      </c>
      <c r="R144" s="10" t="s">
        <v>119</v>
      </c>
      <c r="S144" s="10">
        <v>6.73</v>
      </c>
      <c r="T144" s="10">
        <v>9.48</v>
      </c>
      <c r="U144" s="10">
        <v>12.23</v>
      </c>
      <c r="V144" s="10">
        <f>CHOOSE(MATCH(Setup!$B$7,{"STD","Half-PPR","PPR"},0),S144,T144,U144)</f>
        <v>9.48</v>
      </c>
      <c r="W144" s="10">
        <f>COUNTIFS('Draft Board'!$X$2:$X$161,"&gt;="&amp;X144,'Draft Board'!$AB$2:$AB$161,1)</f>
        <v>14</v>
      </c>
      <c r="X144" s="10">
        <f>MAX(0,V144-'Live Calc'!$H$20)^'Live Calc'!$E$20</f>
        <v>0</v>
      </c>
      <c r="Y144" s="10">
        <v>144</v>
      </c>
      <c r="Z144" s="10">
        <f>IF(Y144&lt;&gt;_xlfn.MINIFS('Draft Board'!$Y$2:$Y$161,'Draft Board'!$X$2:$X$161,"="&amp;X144),0,IF(_xlfn.MINIFS('Draft Board'!$X$2:$X$161,'Draft Board'!$X$2:$X$161,"&gt;"&amp;X144)=0,1,IF((_xlfn.MINIFS('Draft Board'!$X$2:$X$161,'Draft Board'!$X$2:$X$161,"&gt;"&amp;X144)-X144)/_xlfn.MINIFS('Draft Board'!$X$2:$X$161,'Draft Board'!$X$2:$X$161,"&gt;"&amp;X144)&gt;0.08,1,0)))</f>
        <v>0</v>
      </c>
      <c r="AA144" s="10">
        <f>_xlfn.MINIFS('Draft Board'!$X$2:$X$161,'Draft Board'!$X$2:$X$161,"&gt;="&amp;X144,'Draft Board'!$Z$2:$Z$161,1)</f>
        <v>0</v>
      </c>
      <c r="AB144" s="10">
        <f>IF(Y144&lt;&gt;_xlfn.MINIFS('Draft Board'!$Y$2:$Y$161,'Draft Board'!$X$2:$X$161,"="&amp;X144),0,IF(OR(Z144=1,IFERROR(FLOOR((AA144-X144)/AA144/0.25,1),0)&lt;&gt;IFERROR(FLOOR((AA144-_xlfn.MINIFS('Draft Board'!$X$2:$X$161,'Draft Board'!$X$2:$X$161,"&gt;"&amp;X144))/AA144/0.25,1),0)),1,0))</f>
        <v>0</v>
      </c>
      <c r="AC144" s="10">
        <f>ROUND(1+X144*'Live Calc'!$D$27,0)</f>
        <v>1</v>
      </c>
      <c r="AD144" s="10"/>
      <c r="AE144" s="10">
        <f>IF(AD144&lt;&gt;"",AD144,ROUND(AC144*INDEX('Live Calc'!$G$96:$G$255,MATCH(W144,'Live Calc'!$A$96:$A$255,0))*'Live Calc'!$J$543,0))</f>
        <v>1</v>
      </c>
      <c r="AG144" s="11" t="s">
        <v>517</v>
      </c>
      <c r="AH144" s="11" t="s">
        <v>126</v>
      </c>
      <c r="AI144" s="11">
        <v>25.81</v>
      </c>
      <c r="AJ144" s="11">
        <v>33.805999999999997</v>
      </c>
      <c r="AK144" s="11">
        <v>42.18</v>
      </c>
      <c r="AL144" s="11">
        <f>CHOOSE(MATCH(Setup!$B$7,{"STD","Half-PPR","PPR"},0),AI144,AJ144,AK144)</f>
        <v>33.805999999999997</v>
      </c>
      <c r="AM144" s="11">
        <f>COUNTIFS('Draft Board'!$AN$2:$AN$193,"&gt;="&amp;AN144,'Draft Board'!$AR$2:$AR$193,1)</f>
        <v>20</v>
      </c>
      <c r="AN144" s="11">
        <f>MAX(0,AL144-'Live Calc'!$H$21)^'Live Calc'!$E$21</f>
        <v>0</v>
      </c>
      <c r="AO144" s="11">
        <v>144</v>
      </c>
      <c r="AP144" s="11">
        <f>IF(AO144&lt;&gt;_xlfn.MINIFS('Draft Board'!$AO$2:$AO$193,'Draft Board'!$AN$2:$AN$193,"="&amp;AN144),0,IF(_xlfn.MINIFS('Draft Board'!$AN$2:$AN$193,'Draft Board'!$AN$2:$AN$193,"&gt;"&amp;AN144)=0,1,IF((_xlfn.MINIFS('Draft Board'!$AN$2:$AN$193,'Draft Board'!$AN$2:$AN$193,"&gt;"&amp;AN144)-AN144)/_xlfn.MINIFS('Draft Board'!$AN$2:$AN$193,'Draft Board'!$AN$2:$AN$193,"&gt;"&amp;AN144)&gt;0.08,1,0)))</f>
        <v>0</v>
      </c>
      <c r="AQ144" s="11">
        <f>_xlfn.MINIFS('Draft Board'!$AN$2:$AN$193,'Draft Board'!$AN$2:$AN$193,"&gt;="&amp;AN144,'Draft Board'!$AP$2:$AP$193,1)</f>
        <v>0</v>
      </c>
      <c r="AR144" s="11">
        <f>IF(AO144&lt;&gt;_xlfn.MINIFS('Draft Board'!$AO$2:$AO$193,'Draft Board'!$AN$2:$AN$193,"="&amp;AN144),0,IF(OR(AP144=1,IFERROR(FLOOR((AQ144-AN144)/AQ144/0.25,1),0)&lt;&gt;IFERROR(FLOOR((AQ144-_xlfn.MINIFS('Draft Board'!$AN$2:$AN$193,'Draft Board'!$AN$2:$AN$193,"&gt;"&amp;AN144))/AQ144/0.25,1),0)),1,0))</f>
        <v>0</v>
      </c>
      <c r="AS144" s="11">
        <f>ROUND(1+AN144*'Live Calc'!$D$28,0)</f>
        <v>1</v>
      </c>
      <c r="AT144" s="11"/>
      <c r="AU144" s="11">
        <f>IF(AT144&lt;&gt;"",AT144,ROUND(AS144*INDEX('Live Calc'!$G$259:$G$450,MATCH(AM144,'Live Calc'!$A$259:$A$450,0))*'Live Calc'!$J$543,0))</f>
        <v>1</v>
      </c>
    </row>
    <row r="145" spans="17:47" x14ac:dyDescent="0.25">
      <c r="Q145" s="10" t="s">
        <v>518</v>
      </c>
      <c r="R145" s="10" t="s">
        <v>93</v>
      </c>
      <c r="S145" s="10">
        <v>9.01</v>
      </c>
      <c r="T145" s="10">
        <v>9.4499999999999993</v>
      </c>
      <c r="U145" s="10">
        <v>9.8800000000000008</v>
      </c>
      <c r="V145" s="10">
        <f>CHOOSE(MATCH(Setup!$B$7,{"STD","Half-PPR","PPR"},0),S145,T145,U145)</f>
        <v>9.4499999999999993</v>
      </c>
      <c r="W145" s="10">
        <f>COUNTIFS('Draft Board'!$X$2:$X$161,"&gt;="&amp;X145,'Draft Board'!$AB$2:$AB$161,1)</f>
        <v>14</v>
      </c>
      <c r="X145" s="10">
        <f>MAX(0,V145-'Live Calc'!$H$20)^'Live Calc'!$E$20</f>
        <v>0</v>
      </c>
      <c r="Y145" s="10">
        <v>145</v>
      </c>
      <c r="Z145" s="10">
        <f>IF(Y145&lt;&gt;_xlfn.MINIFS('Draft Board'!$Y$2:$Y$161,'Draft Board'!$X$2:$X$161,"="&amp;X145),0,IF(_xlfn.MINIFS('Draft Board'!$X$2:$X$161,'Draft Board'!$X$2:$X$161,"&gt;"&amp;X145)=0,1,IF((_xlfn.MINIFS('Draft Board'!$X$2:$X$161,'Draft Board'!$X$2:$X$161,"&gt;"&amp;X145)-X145)/_xlfn.MINIFS('Draft Board'!$X$2:$X$161,'Draft Board'!$X$2:$X$161,"&gt;"&amp;X145)&gt;0.08,1,0)))</f>
        <v>0</v>
      </c>
      <c r="AA145" s="10">
        <f>_xlfn.MINIFS('Draft Board'!$X$2:$X$161,'Draft Board'!$X$2:$X$161,"&gt;="&amp;X145,'Draft Board'!$Z$2:$Z$161,1)</f>
        <v>0</v>
      </c>
      <c r="AB145" s="10">
        <f>IF(Y145&lt;&gt;_xlfn.MINIFS('Draft Board'!$Y$2:$Y$161,'Draft Board'!$X$2:$X$161,"="&amp;X145),0,IF(OR(Z145=1,IFERROR(FLOOR((AA145-X145)/AA145/0.25,1),0)&lt;&gt;IFERROR(FLOOR((AA145-_xlfn.MINIFS('Draft Board'!$X$2:$X$161,'Draft Board'!$X$2:$X$161,"&gt;"&amp;X145))/AA145/0.25,1),0)),1,0))</f>
        <v>0</v>
      </c>
      <c r="AC145" s="10">
        <f>ROUND(1+X145*'Live Calc'!$D$27,0)</f>
        <v>1</v>
      </c>
      <c r="AD145" s="10"/>
      <c r="AE145" s="10">
        <f>IF(AD145&lt;&gt;"",AD145,ROUND(AC145*INDEX('Live Calc'!$G$96:$G$255,MATCH(W145,'Live Calc'!$A$96:$A$255,0))*'Live Calc'!$J$543,0))</f>
        <v>1</v>
      </c>
      <c r="AG145" s="11" t="s">
        <v>519</v>
      </c>
      <c r="AH145" s="11" t="s">
        <v>246</v>
      </c>
      <c r="AI145" s="11">
        <v>25.04</v>
      </c>
      <c r="AJ145" s="11">
        <v>33.44</v>
      </c>
      <c r="AK145" s="11">
        <v>41.747999999999998</v>
      </c>
      <c r="AL145" s="11">
        <f>CHOOSE(MATCH(Setup!$B$7,{"STD","Half-PPR","PPR"},0),AI145,AJ145,AK145)</f>
        <v>33.44</v>
      </c>
      <c r="AM145" s="11">
        <f>COUNTIFS('Draft Board'!$AN$2:$AN$193,"&gt;="&amp;AN145,'Draft Board'!$AR$2:$AR$193,1)</f>
        <v>20</v>
      </c>
      <c r="AN145" s="11">
        <f>MAX(0,AL145-'Live Calc'!$H$21)^'Live Calc'!$E$21</f>
        <v>0</v>
      </c>
      <c r="AO145" s="11">
        <v>145</v>
      </c>
      <c r="AP145" s="11">
        <f>IF(AO145&lt;&gt;_xlfn.MINIFS('Draft Board'!$AO$2:$AO$193,'Draft Board'!$AN$2:$AN$193,"="&amp;AN145),0,IF(_xlfn.MINIFS('Draft Board'!$AN$2:$AN$193,'Draft Board'!$AN$2:$AN$193,"&gt;"&amp;AN145)=0,1,IF((_xlfn.MINIFS('Draft Board'!$AN$2:$AN$193,'Draft Board'!$AN$2:$AN$193,"&gt;"&amp;AN145)-AN145)/_xlfn.MINIFS('Draft Board'!$AN$2:$AN$193,'Draft Board'!$AN$2:$AN$193,"&gt;"&amp;AN145)&gt;0.08,1,0)))</f>
        <v>0</v>
      </c>
      <c r="AQ145" s="11">
        <f>_xlfn.MINIFS('Draft Board'!$AN$2:$AN$193,'Draft Board'!$AN$2:$AN$193,"&gt;="&amp;AN145,'Draft Board'!$AP$2:$AP$193,1)</f>
        <v>0</v>
      </c>
      <c r="AR145" s="11">
        <f>IF(AO145&lt;&gt;_xlfn.MINIFS('Draft Board'!$AO$2:$AO$193,'Draft Board'!$AN$2:$AN$193,"="&amp;AN145),0,IF(OR(AP145=1,IFERROR(FLOOR((AQ145-AN145)/AQ145/0.25,1),0)&lt;&gt;IFERROR(FLOOR((AQ145-_xlfn.MINIFS('Draft Board'!$AN$2:$AN$193,'Draft Board'!$AN$2:$AN$193,"&gt;"&amp;AN145))/AQ145/0.25,1),0)),1,0))</f>
        <v>0</v>
      </c>
      <c r="AS145" s="11">
        <f>ROUND(1+AN145*'Live Calc'!$D$28,0)</f>
        <v>1</v>
      </c>
      <c r="AT145" s="11"/>
      <c r="AU145" s="11">
        <f>IF(AT145&lt;&gt;"",AT145,ROUND(AS145*INDEX('Live Calc'!$G$259:$G$450,MATCH(AM145,'Live Calc'!$A$259:$A$450,0))*'Live Calc'!$J$543,0))</f>
        <v>1</v>
      </c>
    </row>
    <row r="146" spans="17:47" x14ac:dyDescent="0.25">
      <c r="Q146" s="10" t="s">
        <v>520</v>
      </c>
      <c r="R146" s="10" t="s">
        <v>96</v>
      </c>
      <c r="S146" s="10">
        <v>7.43</v>
      </c>
      <c r="T146" s="10">
        <v>9.19</v>
      </c>
      <c r="U146" s="10">
        <v>10.96</v>
      </c>
      <c r="V146" s="10">
        <f>CHOOSE(MATCH(Setup!$B$7,{"STD","Half-PPR","PPR"},0),S146,T146,U146)</f>
        <v>9.19</v>
      </c>
      <c r="W146" s="10">
        <f>COUNTIFS('Draft Board'!$X$2:$X$161,"&gt;="&amp;X146,'Draft Board'!$AB$2:$AB$161,1)</f>
        <v>14</v>
      </c>
      <c r="X146" s="10">
        <f>MAX(0,V146-'Live Calc'!$H$20)^'Live Calc'!$E$20</f>
        <v>0</v>
      </c>
      <c r="Y146" s="10">
        <v>146</v>
      </c>
      <c r="Z146" s="10">
        <f>IF(Y146&lt;&gt;_xlfn.MINIFS('Draft Board'!$Y$2:$Y$161,'Draft Board'!$X$2:$X$161,"="&amp;X146),0,IF(_xlfn.MINIFS('Draft Board'!$X$2:$X$161,'Draft Board'!$X$2:$X$161,"&gt;"&amp;X146)=0,1,IF((_xlfn.MINIFS('Draft Board'!$X$2:$X$161,'Draft Board'!$X$2:$X$161,"&gt;"&amp;X146)-X146)/_xlfn.MINIFS('Draft Board'!$X$2:$X$161,'Draft Board'!$X$2:$X$161,"&gt;"&amp;X146)&gt;0.08,1,0)))</f>
        <v>0</v>
      </c>
      <c r="AA146" s="10">
        <f>_xlfn.MINIFS('Draft Board'!$X$2:$X$161,'Draft Board'!$X$2:$X$161,"&gt;="&amp;X146,'Draft Board'!$Z$2:$Z$161,1)</f>
        <v>0</v>
      </c>
      <c r="AB146" s="10">
        <f>IF(Y146&lt;&gt;_xlfn.MINIFS('Draft Board'!$Y$2:$Y$161,'Draft Board'!$X$2:$X$161,"="&amp;X146),0,IF(OR(Z146=1,IFERROR(FLOOR((AA146-X146)/AA146/0.25,1),0)&lt;&gt;IFERROR(FLOOR((AA146-_xlfn.MINIFS('Draft Board'!$X$2:$X$161,'Draft Board'!$X$2:$X$161,"&gt;"&amp;X146))/AA146/0.25,1),0)),1,0))</f>
        <v>0</v>
      </c>
      <c r="AC146" s="10">
        <f>ROUND(1+X146*'Live Calc'!$D$27,0)</f>
        <v>1</v>
      </c>
      <c r="AD146" s="10"/>
      <c r="AE146" s="10">
        <f>IF(AD146&lt;&gt;"",AD146,ROUND(AC146*INDEX('Live Calc'!$G$96:$G$255,MATCH(W146,'Live Calc'!$A$96:$A$255,0))*'Live Calc'!$J$543,0))</f>
        <v>1</v>
      </c>
      <c r="AG146" s="11" t="s">
        <v>521</v>
      </c>
      <c r="AH146" s="11" t="s">
        <v>73</v>
      </c>
      <c r="AI146" s="11">
        <v>26.4</v>
      </c>
      <c r="AJ146" s="11">
        <v>33.32</v>
      </c>
      <c r="AK146" s="11">
        <v>40.24</v>
      </c>
      <c r="AL146" s="11">
        <f>CHOOSE(MATCH(Setup!$B$7,{"STD","Half-PPR","PPR"},0),AI146,AJ146,AK146)</f>
        <v>33.32</v>
      </c>
      <c r="AM146" s="11">
        <f>COUNTIFS('Draft Board'!$AN$2:$AN$193,"&gt;="&amp;AN146,'Draft Board'!$AR$2:$AR$193,1)</f>
        <v>20</v>
      </c>
      <c r="AN146" s="11">
        <f>MAX(0,AL146-'Live Calc'!$H$21)^'Live Calc'!$E$21</f>
        <v>0</v>
      </c>
      <c r="AO146" s="11">
        <v>146</v>
      </c>
      <c r="AP146" s="11">
        <f>IF(AO146&lt;&gt;_xlfn.MINIFS('Draft Board'!$AO$2:$AO$193,'Draft Board'!$AN$2:$AN$193,"="&amp;AN146),0,IF(_xlfn.MINIFS('Draft Board'!$AN$2:$AN$193,'Draft Board'!$AN$2:$AN$193,"&gt;"&amp;AN146)=0,1,IF((_xlfn.MINIFS('Draft Board'!$AN$2:$AN$193,'Draft Board'!$AN$2:$AN$193,"&gt;"&amp;AN146)-AN146)/_xlfn.MINIFS('Draft Board'!$AN$2:$AN$193,'Draft Board'!$AN$2:$AN$193,"&gt;"&amp;AN146)&gt;0.08,1,0)))</f>
        <v>0</v>
      </c>
      <c r="AQ146" s="11">
        <f>_xlfn.MINIFS('Draft Board'!$AN$2:$AN$193,'Draft Board'!$AN$2:$AN$193,"&gt;="&amp;AN146,'Draft Board'!$AP$2:$AP$193,1)</f>
        <v>0</v>
      </c>
      <c r="AR146" s="11">
        <f>IF(AO146&lt;&gt;_xlfn.MINIFS('Draft Board'!$AO$2:$AO$193,'Draft Board'!$AN$2:$AN$193,"="&amp;AN146),0,IF(OR(AP146=1,IFERROR(FLOOR((AQ146-AN146)/AQ146/0.25,1),0)&lt;&gt;IFERROR(FLOOR((AQ146-_xlfn.MINIFS('Draft Board'!$AN$2:$AN$193,'Draft Board'!$AN$2:$AN$193,"&gt;"&amp;AN146))/AQ146/0.25,1),0)),1,0))</f>
        <v>0</v>
      </c>
      <c r="AS146" s="11">
        <f>ROUND(1+AN146*'Live Calc'!$D$28,0)</f>
        <v>1</v>
      </c>
      <c r="AT146" s="11"/>
      <c r="AU146" s="11">
        <f>IF(AT146&lt;&gt;"",AT146,ROUND(AS146*INDEX('Live Calc'!$G$259:$G$450,MATCH(AM146,'Live Calc'!$A$259:$A$450,0))*'Live Calc'!$J$543,0))</f>
        <v>1</v>
      </c>
    </row>
    <row r="147" spans="17:47" x14ac:dyDescent="0.25">
      <c r="Q147" s="10" t="s">
        <v>522</v>
      </c>
      <c r="R147" s="10" t="s">
        <v>90</v>
      </c>
      <c r="S147" s="10">
        <v>6.96</v>
      </c>
      <c r="T147" s="10">
        <v>8.49</v>
      </c>
      <c r="U147" s="10">
        <v>10.02</v>
      </c>
      <c r="V147" s="10">
        <f>CHOOSE(MATCH(Setup!$B$7,{"STD","Half-PPR","PPR"},0),S147,T147,U147)</f>
        <v>8.49</v>
      </c>
      <c r="W147" s="10">
        <f>COUNTIFS('Draft Board'!$X$2:$X$161,"&gt;="&amp;X147,'Draft Board'!$AB$2:$AB$161,1)</f>
        <v>14</v>
      </c>
      <c r="X147" s="10">
        <f>MAX(0,V147-'Live Calc'!$H$20)^'Live Calc'!$E$20</f>
        <v>0</v>
      </c>
      <c r="Y147" s="10">
        <v>147</v>
      </c>
      <c r="Z147" s="10">
        <f>IF(Y147&lt;&gt;_xlfn.MINIFS('Draft Board'!$Y$2:$Y$161,'Draft Board'!$X$2:$X$161,"="&amp;X147),0,IF(_xlfn.MINIFS('Draft Board'!$X$2:$X$161,'Draft Board'!$X$2:$X$161,"&gt;"&amp;X147)=0,1,IF((_xlfn.MINIFS('Draft Board'!$X$2:$X$161,'Draft Board'!$X$2:$X$161,"&gt;"&amp;X147)-X147)/_xlfn.MINIFS('Draft Board'!$X$2:$X$161,'Draft Board'!$X$2:$X$161,"&gt;"&amp;X147)&gt;0.08,1,0)))</f>
        <v>0</v>
      </c>
      <c r="AA147" s="10">
        <f>_xlfn.MINIFS('Draft Board'!$X$2:$X$161,'Draft Board'!$X$2:$X$161,"&gt;="&amp;X147,'Draft Board'!$Z$2:$Z$161,1)</f>
        <v>0</v>
      </c>
      <c r="AB147" s="10">
        <f>IF(Y147&lt;&gt;_xlfn.MINIFS('Draft Board'!$Y$2:$Y$161,'Draft Board'!$X$2:$X$161,"="&amp;X147),0,IF(OR(Z147=1,IFERROR(FLOOR((AA147-X147)/AA147/0.25,1),0)&lt;&gt;IFERROR(FLOOR((AA147-_xlfn.MINIFS('Draft Board'!$X$2:$X$161,'Draft Board'!$X$2:$X$161,"&gt;"&amp;X147))/AA147/0.25,1),0)),1,0))</f>
        <v>0</v>
      </c>
      <c r="AC147" s="10">
        <f>ROUND(1+X147*'Live Calc'!$D$27,0)</f>
        <v>1</v>
      </c>
      <c r="AD147" s="10"/>
      <c r="AE147" s="10">
        <f>IF(AD147&lt;&gt;"",AD147,ROUND(AC147*INDEX('Live Calc'!$G$96:$G$255,MATCH(W147,'Live Calc'!$A$96:$A$255,0))*'Live Calc'!$J$543,0))</f>
        <v>1</v>
      </c>
      <c r="AG147" s="11" t="s">
        <v>523</v>
      </c>
      <c r="AH147" s="11" t="s">
        <v>59</v>
      </c>
      <c r="AI147" s="11">
        <v>24.73</v>
      </c>
      <c r="AJ147" s="11">
        <v>33.17</v>
      </c>
      <c r="AK147" s="11">
        <v>41.61</v>
      </c>
      <c r="AL147" s="11">
        <f>CHOOSE(MATCH(Setup!$B$7,{"STD","Half-PPR","PPR"},0),AI147,AJ147,AK147)</f>
        <v>33.17</v>
      </c>
      <c r="AM147" s="11">
        <f>COUNTIFS('Draft Board'!$AN$2:$AN$193,"&gt;="&amp;AN147,'Draft Board'!$AR$2:$AR$193,1)</f>
        <v>20</v>
      </c>
      <c r="AN147" s="11">
        <f>MAX(0,AL147-'Live Calc'!$H$21)^'Live Calc'!$E$21</f>
        <v>0</v>
      </c>
      <c r="AO147" s="11">
        <v>147</v>
      </c>
      <c r="AP147" s="11">
        <f>IF(AO147&lt;&gt;_xlfn.MINIFS('Draft Board'!$AO$2:$AO$193,'Draft Board'!$AN$2:$AN$193,"="&amp;AN147),0,IF(_xlfn.MINIFS('Draft Board'!$AN$2:$AN$193,'Draft Board'!$AN$2:$AN$193,"&gt;"&amp;AN147)=0,1,IF((_xlfn.MINIFS('Draft Board'!$AN$2:$AN$193,'Draft Board'!$AN$2:$AN$193,"&gt;"&amp;AN147)-AN147)/_xlfn.MINIFS('Draft Board'!$AN$2:$AN$193,'Draft Board'!$AN$2:$AN$193,"&gt;"&amp;AN147)&gt;0.08,1,0)))</f>
        <v>0</v>
      </c>
      <c r="AQ147" s="11">
        <f>_xlfn.MINIFS('Draft Board'!$AN$2:$AN$193,'Draft Board'!$AN$2:$AN$193,"&gt;="&amp;AN147,'Draft Board'!$AP$2:$AP$193,1)</f>
        <v>0</v>
      </c>
      <c r="AR147" s="11">
        <f>IF(AO147&lt;&gt;_xlfn.MINIFS('Draft Board'!$AO$2:$AO$193,'Draft Board'!$AN$2:$AN$193,"="&amp;AN147),0,IF(OR(AP147=1,IFERROR(FLOOR((AQ147-AN147)/AQ147/0.25,1),0)&lt;&gt;IFERROR(FLOOR((AQ147-_xlfn.MINIFS('Draft Board'!$AN$2:$AN$193,'Draft Board'!$AN$2:$AN$193,"&gt;"&amp;AN147))/AQ147/0.25,1),0)),1,0))</f>
        <v>0</v>
      </c>
      <c r="AS147" s="11">
        <f>ROUND(1+AN147*'Live Calc'!$D$28,0)</f>
        <v>1</v>
      </c>
      <c r="AT147" s="11"/>
      <c r="AU147" s="11">
        <f>IF(AT147&lt;&gt;"",AT147,ROUND(AS147*INDEX('Live Calc'!$G$259:$G$450,MATCH(AM147,'Live Calc'!$A$259:$A$450,0))*'Live Calc'!$J$543,0))</f>
        <v>1</v>
      </c>
    </row>
    <row r="148" spans="17:47" x14ac:dyDescent="0.25">
      <c r="Q148" s="10" t="s">
        <v>524</v>
      </c>
      <c r="R148" s="10" t="s">
        <v>71</v>
      </c>
      <c r="S148" s="10">
        <v>8.0299999999999994</v>
      </c>
      <c r="T148" s="10">
        <v>8.0299999999999994</v>
      </c>
      <c r="U148" s="10">
        <v>8.0299999999999994</v>
      </c>
      <c r="V148" s="10">
        <f>CHOOSE(MATCH(Setup!$B$7,{"STD","Half-PPR","PPR"},0),S148,T148,U148)</f>
        <v>8.0299999999999994</v>
      </c>
      <c r="W148" s="10">
        <f>COUNTIFS('Draft Board'!$X$2:$X$161,"&gt;="&amp;X148,'Draft Board'!$AB$2:$AB$161,1)</f>
        <v>14</v>
      </c>
      <c r="X148" s="10">
        <f>MAX(0,V148-'Live Calc'!$H$20)^'Live Calc'!$E$20</f>
        <v>0</v>
      </c>
      <c r="Y148" s="10">
        <v>148</v>
      </c>
      <c r="Z148" s="10">
        <f>IF(Y148&lt;&gt;_xlfn.MINIFS('Draft Board'!$Y$2:$Y$161,'Draft Board'!$X$2:$X$161,"="&amp;X148),0,IF(_xlfn.MINIFS('Draft Board'!$X$2:$X$161,'Draft Board'!$X$2:$X$161,"&gt;"&amp;X148)=0,1,IF((_xlfn.MINIFS('Draft Board'!$X$2:$X$161,'Draft Board'!$X$2:$X$161,"&gt;"&amp;X148)-X148)/_xlfn.MINIFS('Draft Board'!$X$2:$X$161,'Draft Board'!$X$2:$X$161,"&gt;"&amp;X148)&gt;0.08,1,0)))</f>
        <v>0</v>
      </c>
      <c r="AA148" s="10">
        <f>_xlfn.MINIFS('Draft Board'!$X$2:$X$161,'Draft Board'!$X$2:$X$161,"&gt;="&amp;X148,'Draft Board'!$Z$2:$Z$161,1)</f>
        <v>0</v>
      </c>
      <c r="AB148" s="10">
        <f>IF(Y148&lt;&gt;_xlfn.MINIFS('Draft Board'!$Y$2:$Y$161,'Draft Board'!$X$2:$X$161,"="&amp;X148),0,IF(OR(Z148=1,IFERROR(FLOOR((AA148-X148)/AA148/0.25,1),0)&lt;&gt;IFERROR(FLOOR((AA148-_xlfn.MINIFS('Draft Board'!$X$2:$X$161,'Draft Board'!$X$2:$X$161,"&gt;"&amp;X148))/AA148/0.25,1),0)),1,0))</f>
        <v>0</v>
      </c>
      <c r="AC148" s="10">
        <f>ROUND(1+X148*'Live Calc'!$D$27,0)</f>
        <v>1</v>
      </c>
      <c r="AD148" s="10"/>
      <c r="AE148" s="10">
        <f>IF(AD148&lt;&gt;"",AD148,ROUND(AC148*INDEX('Live Calc'!$G$96:$G$255,MATCH(W148,'Live Calc'!$A$96:$A$255,0))*'Live Calc'!$J$543,0))</f>
        <v>1</v>
      </c>
      <c r="AG148" s="11" t="s">
        <v>525</v>
      </c>
      <c r="AH148" s="11" t="s">
        <v>59</v>
      </c>
      <c r="AI148" s="11">
        <v>24.242000000000001</v>
      </c>
      <c r="AJ148" s="11">
        <v>31.276</v>
      </c>
      <c r="AK148" s="11">
        <v>37.636000000000003</v>
      </c>
      <c r="AL148" s="11">
        <f>CHOOSE(MATCH(Setup!$B$7,{"STD","Half-PPR","PPR"},0),AI148,AJ148,AK148)</f>
        <v>31.276</v>
      </c>
      <c r="AM148" s="11">
        <f>COUNTIFS('Draft Board'!$AN$2:$AN$193,"&gt;="&amp;AN148,'Draft Board'!$AR$2:$AR$193,1)</f>
        <v>20</v>
      </c>
      <c r="AN148" s="11">
        <f>MAX(0,AL148-'Live Calc'!$H$21)^'Live Calc'!$E$21</f>
        <v>0</v>
      </c>
      <c r="AO148" s="11">
        <v>148</v>
      </c>
      <c r="AP148" s="11">
        <f>IF(AO148&lt;&gt;_xlfn.MINIFS('Draft Board'!$AO$2:$AO$193,'Draft Board'!$AN$2:$AN$193,"="&amp;AN148),0,IF(_xlfn.MINIFS('Draft Board'!$AN$2:$AN$193,'Draft Board'!$AN$2:$AN$193,"&gt;"&amp;AN148)=0,1,IF((_xlfn.MINIFS('Draft Board'!$AN$2:$AN$193,'Draft Board'!$AN$2:$AN$193,"&gt;"&amp;AN148)-AN148)/_xlfn.MINIFS('Draft Board'!$AN$2:$AN$193,'Draft Board'!$AN$2:$AN$193,"&gt;"&amp;AN148)&gt;0.08,1,0)))</f>
        <v>0</v>
      </c>
      <c r="AQ148" s="11">
        <f>_xlfn.MINIFS('Draft Board'!$AN$2:$AN$193,'Draft Board'!$AN$2:$AN$193,"&gt;="&amp;AN148,'Draft Board'!$AP$2:$AP$193,1)</f>
        <v>0</v>
      </c>
      <c r="AR148" s="11">
        <f>IF(AO148&lt;&gt;_xlfn.MINIFS('Draft Board'!$AO$2:$AO$193,'Draft Board'!$AN$2:$AN$193,"="&amp;AN148),0,IF(OR(AP148=1,IFERROR(FLOOR((AQ148-AN148)/AQ148/0.25,1),0)&lt;&gt;IFERROR(FLOOR((AQ148-_xlfn.MINIFS('Draft Board'!$AN$2:$AN$193,'Draft Board'!$AN$2:$AN$193,"&gt;"&amp;AN148))/AQ148/0.25,1),0)),1,0))</f>
        <v>0</v>
      </c>
      <c r="AS148" s="11">
        <f>ROUND(1+AN148*'Live Calc'!$D$28,0)</f>
        <v>1</v>
      </c>
      <c r="AT148" s="11"/>
      <c r="AU148" s="11">
        <f>IF(AT148&lt;&gt;"",AT148,ROUND(AS148*INDEX('Live Calc'!$G$259:$G$450,MATCH(AM148,'Live Calc'!$A$259:$A$450,0))*'Live Calc'!$J$543,0))</f>
        <v>1</v>
      </c>
    </row>
    <row r="149" spans="17:47" x14ac:dyDescent="0.25">
      <c r="Q149" s="10" t="s">
        <v>526</v>
      </c>
      <c r="R149" s="10" t="s">
        <v>181</v>
      </c>
      <c r="S149" s="10">
        <v>7.03</v>
      </c>
      <c r="T149" s="10">
        <v>8.02</v>
      </c>
      <c r="U149" s="10">
        <v>9</v>
      </c>
      <c r="V149" s="10">
        <f>CHOOSE(MATCH(Setup!$B$7,{"STD","Half-PPR","PPR"},0),S149,T149,U149)</f>
        <v>8.02</v>
      </c>
      <c r="W149" s="10">
        <f>COUNTIFS('Draft Board'!$X$2:$X$161,"&gt;="&amp;X149,'Draft Board'!$AB$2:$AB$161,1)</f>
        <v>14</v>
      </c>
      <c r="X149" s="10">
        <f>MAX(0,V149-'Live Calc'!$H$20)^'Live Calc'!$E$20</f>
        <v>0</v>
      </c>
      <c r="Y149" s="10">
        <v>149</v>
      </c>
      <c r="Z149" s="10">
        <f>IF(Y149&lt;&gt;_xlfn.MINIFS('Draft Board'!$Y$2:$Y$161,'Draft Board'!$X$2:$X$161,"="&amp;X149),0,IF(_xlfn.MINIFS('Draft Board'!$X$2:$X$161,'Draft Board'!$X$2:$X$161,"&gt;"&amp;X149)=0,1,IF((_xlfn.MINIFS('Draft Board'!$X$2:$X$161,'Draft Board'!$X$2:$X$161,"&gt;"&amp;X149)-X149)/_xlfn.MINIFS('Draft Board'!$X$2:$X$161,'Draft Board'!$X$2:$X$161,"&gt;"&amp;X149)&gt;0.08,1,0)))</f>
        <v>0</v>
      </c>
      <c r="AA149" s="10">
        <f>_xlfn.MINIFS('Draft Board'!$X$2:$X$161,'Draft Board'!$X$2:$X$161,"&gt;="&amp;X149,'Draft Board'!$Z$2:$Z$161,1)</f>
        <v>0</v>
      </c>
      <c r="AB149" s="10">
        <f>IF(Y149&lt;&gt;_xlfn.MINIFS('Draft Board'!$Y$2:$Y$161,'Draft Board'!$X$2:$X$161,"="&amp;X149),0,IF(OR(Z149=1,IFERROR(FLOOR((AA149-X149)/AA149/0.25,1),0)&lt;&gt;IFERROR(FLOOR((AA149-_xlfn.MINIFS('Draft Board'!$X$2:$X$161,'Draft Board'!$X$2:$X$161,"&gt;"&amp;X149))/AA149/0.25,1),0)),1,0))</f>
        <v>0</v>
      </c>
      <c r="AC149" s="10">
        <f>ROUND(1+X149*'Live Calc'!$D$27,0)</f>
        <v>1</v>
      </c>
      <c r="AD149" s="10"/>
      <c r="AE149" s="10">
        <f>IF(AD149&lt;&gt;"",AD149,ROUND(AC149*INDEX('Live Calc'!$G$96:$G$255,MATCH(W149,'Live Calc'!$A$96:$A$255,0))*'Live Calc'!$J$543,0))</f>
        <v>1</v>
      </c>
      <c r="AG149" s="11" t="s">
        <v>527</v>
      </c>
      <c r="AH149" s="11" t="s">
        <v>246</v>
      </c>
      <c r="AI149" s="11">
        <v>20.91</v>
      </c>
      <c r="AJ149" s="11">
        <v>30.254000000000001</v>
      </c>
      <c r="AK149" s="11">
        <v>37.951999999999998</v>
      </c>
      <c r="AL149" s="11">
        <f>CHOOSE(MATCH(Setup!$B$7,{"STD","Half-PPR","PPR"},0),AI149,AJ149,AK149)</f>
        <v>30.254000000000001</v>
      </c>
      <c r="AM149" s="11">
        <f>COUNTIFS('Draft Board'!$AN$2:$AN$193,"&gt;="&amp;AN149,'Draft Board'!$AR$2:$AR$193,1)</f>
        <v>20</v>
      </c>
      <c r="AN149" s="11">
        <f>MAX(0,AL149-'Live Calc'!$H$21)^'Live Calc'!$E$21</f>
        <v>0</v>
      </c>
      <c r="AO149" s="11">
        <v>149</v>
      </c>
      <c r="AP149" s="11">
        <f>IF(AO149&lt;&gt;_xlfn.MINIFS('Draft Board'!$AO$2:$AO$193,'Draft Board'!$AN$2:$AN$193,"="&amp;AN149),0,IF(_xlfn.MINIFS('Draft Board'!$AN$2:$AN$193,'Draft Board'!$AN$2:$AN$193,"&gt;"&amp;AN149)=0,1,IF((_xlfn.MINIFS('Draft Board'!$AN$2:$AN$193,'Draft Board'!$AN$2:$AN$193,"&gt;"&amp;AN149)-AN149)/_xlfn.MINIFS('Draft Board'!$AN$2:$AN$193,'Draft Board'!$AN$2:$AN$193,"&gt;"&amp;AN149)&gt;0.08,1,0)))</f>
        <v>0</v>
      </c>
      <c r="AQ149" s="11">
        <f>_xlfn.MINIFS('Draft Board'!$AN$2:$AN$193,'Draft Board'!$AN$2:$AN$193,"&gt;="&amp;AN149,'Draft Board'!$AP$2:$AP$193,1)</f>
        <v>0</v>
      </c>
      <c r="AR149" s="11">
        <f>IF(AO149&lt;&gt;_xlfn.MINIFS('Draft Board'!$AO$2:$AO$193,'Draft Board'!$AN$2:$AN$193,"="&amp;AN149),0,IF(OR(AP149=1,IFERROR(FLOOR((AQ149-AN149)/AQ149/0.25,1),0)&lt;&gt;IFERROR(FLOOR((AQ149-_xlfn.MINIFS('Draft Board'!$AN$2:$AN$193,'Draft Board'!$AN$2:$AN$193,"&gt;"&amp;AN149))/AQ149/0.25,1),0)),1,0))</f>
        <v>0</v>
      </c>
      <c r="AS149" s="11">
        <f>ROUND(1+AN149*'Live Calc'!$D$28,0)</f>
        <v>1</v>
      </c>
      <c r="AT149" s="11"/>
      <c r="AU149" s="11">
        <f>IF(AT149&lt;&gt;"",AT149,ROUND(AS149*INDEX('Live Calc'!$G$259:$G$450,MATCH(AM149,'Live Calc'!$A$259:$A$450,0))*'Live Calc'!$J$543,0))</f>
        <v>1</v>
      </c>
    </row>
    <row r="150" spans="17:47" x14ac:dyDescent="0.25">
      <c r="Q150" s="10" t="s">
        <v>528</v>
      </c>
      <c r="R150" s="10" t="s">
        <v>71</v>
      </c>
      <c r="S150" s="10">
        <v>7.51</v>
      </c>
      <c r="T150" s="10">
        <v>7.86</v>
      </c>
      <c r="U150" s="10">
        <v>8.2100000000000009</v>
      </c>
      <c r="V150" s="10">
        <f>CHOOSE(MATCH(Setup!$B$7,{"STD","Half-PPR","PPR"},0),S150,T150,U150)</f>
        <v>7.86</v>
      </c>
      <c r="W150" s="10">
        <f>COUNTIFS('Draft Board'!$X$2:$X$161,"&gt;="&amp;X150,'Draft Board'!$AB$2:$AB$161,1)</f>
        <v>14</v>
      </c>
      <c r="X150" s="10">
        <f>MAX(0,V150-'Live Calc'!$H$20)^'Live Calc'!$E$20</f>
        <v>0</v>
      </c>
      <c r="Y150" s="10">
        <v>150</v>
      </c>
      <c r="Z150" s="10">
        <f>IF(Y150&lt;&gt;_xlfn.MINIFS('Draft Board'!$Y$2:$Y$161,'Draft Board'!$X$2:$X$161,"="&amp;X150),0,IF(_xlfn.MINIFS('Draft Board'!$X$2:$X$161,'Draft Board'!$X$2:$X$161,"&gt;"&amp;X150)=0,1,IF((_xlfn.MINIFS('Draft Board'!$X$2:$X$161,'Draft Board'!$X$2:$X$161,"&gt;"&amp;X150)-X150)/_xlfn.MINIFS('Draft Board'!$X$2:$X$161,'Draft Board'!$X$2:$X$161,"&gt;"&amp;X150)&gt;0.08,1,0)))</f>
        <v>0</v>
      </c>
      <c r="AA150" s="10">
        <f>_xlfn.MINIFS('Draft Board'!$X$2:$X$161,'Draft Board'!$X$2:$X$161,"&gt;="&amp;X150,'Draft Board'!$Z$2:$Z$161,1)</f>
        <v>0</v>
      </c>
      <c r="AB150" s="10">
        <f>IF(Y150&lt;&gt;_xlfn.MINIFS('Draft Board'!$Y$2:$Y$161,'Draft Board'!$X$2:$X$161,"="&amp;X150),0,IF(OR(Z150=1,IFERROR(FLOOR((AA150-X150)/AA150/0.25,1),0)&lt;&gt;IFERROR(FLOOR((AA150-_xlfn.MINIFS('Draft Board'!$X$2:$X$161,'Draft Board'!$X$2:$X$161,"&gt;"&amp;X150))/AA150/0.25,1),0)),1,0))</f>
        <v>0</v>
      </c>
      <c r="AC150" s="10">
        <f>ROUND(1+X150*'Live Calc'!$D$27,0)</f>
        <v>1</v>
      </c>
      <c r="AD150" s="10"/>
      <c r="AE150" s="10">
        <f>IF(AD150&lt;&gt;"",AD150,ROUND(AC150*INDEX('Live Calc'!$G$96:$G$255,MATCH(W150,'Live Calc'!$A$96:$A$255,0))*'Live Calc'!$J$543,0))</f>
        <v>1</v>
      </c>
      <c r="AG150" s="11" t="s">
        <v>529</v>
      </c>
      <c r="AH150" s="11" t="s">
        <v>90</v>
      </c>
      <c r="AI150" s="11">
        <v>23.66</v>
      </c>
      <c r="AJ150" s="11">
        <v>30.21</v>
      </c>
      <c r="AK150" s="11">
        <v>36.770000000000003</v>
      </c>
      <c r="AL150" s="11">
        <f>CHOOSE(MATCH(Setup!$B$7,{"STD","Half-PPR","PPR"},0),AI150,AJ150,AK150)</f>
        <v>30.21</v>
      </c>
      <c r="AM150" s="11">
        <f>COUNTIFS('Draft Board'!$AN$2:$AN$193,"&gt;="&amp;AN150,'Draft Board'!$AR$2:$AR$193,1)</f>
        <v>20</v>
      </c>
      <c r="AN150" s="11">
        <f>MAX(0,AL150-'Live Calc'!$H$21)^'Live Calc'!$E$21</f>
        <v>0</v>
      </c>
      <c r="AO150" s="11">
        <v>150</v>
      </c>
      <c r="AP150" s="11">
        <f>IF(AO150&lt;&gt;_xlfn.MINIFS('Draft Board'!$AO$2:$AO$193,'Draft Board'!$AN$2:$AN$193,"="&amp;AN150),0,IF(_xlfn.MINIFS('Draft Board'!$AN$2:$AN$193,'Draft Board'!$AN$2:$AN$193,"&gt;"&amp;AN150)=0,1,IF((_xlfn.MINIFS('Draft Board'!$AN$2:$AN$193,'Draft Board'!$AN$2:$AN$193,"&gt;"&amp;AN150)-AN150)/_xlfn.MINIFS('Draft Board'!$AN$2:$AN$193,'Draft Board'!$AN$2:$AN$193,"&gt;"&amp;AN150)&gt;0.08,1,0)))</f>
        <v>0</v>
      </c>
      <c r="AQ150" s="11">
        <f>_xlfn.MINIFS('Draft Board'!$AN$2:$AN$193,'Draft Board'!$AN$2:$AN$193,"&gt;="&amp;AN150,'Draft Board'!$AP$2:$AP$193,1)</f>
        <v>0</v>
      </c>
      <c r="AR150" s="11">
        <f>IF(AO150&lt;&gt;_xlfn.MINIFS('Draft Board'!$AO$2:$AO$193,'Draft Board'!$AN$2:$AN$193,"="&amp;AN150),0,IF(OR(AP150=1,IFERROR(FLOOR((AQ150-AN150)/AQ150/0.25,1),0)&lt;&gt;IFERROR(FLOOR((AQ150-_xlfn.MINIFS('Draft Board'!$AN$2:$AN$193,'Draft Board'!$AN$2:$AN$193,"&gt;"&amp;AN150))/AQ150/0.25,1),0)),1,0))</f>
        <v>0</v>
      </c>
      <c r="AS150" s="11">
        <f>ROUND(1+AN150*'Live Calc'!$D$28,0)</f>
        <v>1</v>
      </c>
      <c r="AT150" s="11"/>
      <c r="AU150" s="11">
        <f>IF(AT150&lt;&gt;"",AT150,ROUND(AS150*INDEX('Live Calc'!$G$259:$G$450,MATCH(AM150,'Live Calc'!$A$259:$A$450,0))*'Live Calc'!$J$543,0))</f>
        <v>1</v>
      </c>
    </row>
    <row r="151" spans="17:47" x14ac:dyDescent="0.25">
      <c r="Q151" s="10" t="s">
        <v>530</v>
      </c>
      <c r="R151" s="10" t="s">
        <v>85</v>
      </c>
      <c r="S151" s="10">
        <v>7.45</v>
      </c>
      <c r="T151" s="10">
        <v>7.81</v>
      </c>
      <c r="U151" s="10">
        <v>8.17</v>
      </c>
      <c r="V151" s="10">
        <f>CHOOSE(MATCH(Setup!$B$7,{"STD","Half-PPR","PPR"},0),S151,T151,U151)</f>
        <v>7.81</v>
      </c>
      <c r="W151" s="10">
        <f>COUNTIFS('Draft Board'!$X$2:$X$161,"&gt;="&amp;X151,'Draft Board'!$AB$2:$AB$161,1)</f>
        <v>14</v>
      </c>
      <c r="X151" s="10">
        <f>MAX(0,V151-'Live Calc'!$H$20)^'Live Calc'!$E$20</f>
        <v>0</v>
      </c>
      <c r="Y151" s="10">
        <v>151</v>
      </c>
      <c r="Z151" s="10">
        <f>IF(Y151&lt;&gt;_xlfn.MINIFS('Draft Board'!$Y$2:$Y$161,'Draft Board'!$X$2:$X$161,"="&amp;X151),0,IF(_xlfn.MINIFS('Draft Board'!$X$2:$X$161,'Draft Board'!$X$2:$X$161,"&gt;"&amp;X151)=0,1,IF((_xlfn.MINIFS('Draft Board'!$X$2:$X$161,'Draft Board'!$X$2:$X$161,"&gt;"&amp;X151)-X151)/_xlfn.MINIFS('Draft Board'!$X$2:$X$161,'Draft Board'!$X$2:$X$161,"&gt;"&amp;X151)&gt;0.08,1,0)))</f>
        <v>0</v>
      </c>
      <c r="AA151" s="10">
        <f>_xlfn.MINIFS('Draft Board'!$X$2:$X$161,'Draft Board'!$X$2:$X$161,"&gt;="&amp;X151,'Draft Board'!$Z$2:$Z$161,1)</f>
        <v>0</v>
      </c>
      <c r="AB151" s="10">
        <f>IF(Y151&lt;&gt;_xlfn.MINIFS('Draft Board'!$Y$2:$Y$161,'Draft Board'!$X$2:$X$161,"="&amp;X151),0,IF(OR(Z151=1,IFERROR(FLOOR((AA151-X151)/AA151/0.25,1),0)&lt;&gt;IFERROR(FLOOR((AA151-_xlfn.MINIFS('Draft Board'!$X$2:$X$161,'Draft Board'!$X$2:$X$161,"&gt;"&amp;X151))/AA151/0.25,1),0)),1,0))</f>
        <v>0</v>
      </c>
      <c r="AC151" s="10">
        <f>ROUND(1+X151*'Live Calc'!$D$27,0)</f>
        <v>1</v>
      </c>
      <c r="AD151" s="10"/>
      <c r="AE151" s="10">
        <f>IF(AD151&lt;&gt;"",AD151,ROUND(AC151*INDEX('Live Calc'!$G$96:$G$255,MATCH(W151,'Live Calc'!$A$96:$A$255,0))*'Live Calc'!$J$543,0))</f>
        <v>1</v>
      </c>
      <c r="AG151" s="11" t="s">
        <v>531</v>
      </c>
      <c r="AH151" s="11" t="s">
        <v>79</v>
      </c>
      <c r="AI151" s="11">
        <v>24.585999999999999</v>
      </c>
      <c r="AJ151" s="11">
        <v>30.14</v>
      </c>
      <c r="AK151" s="11">
        <v>37.159999999999997</v>
      </c>
      <c r="AL151" s="11">
        <f>CHOOSE(MATCH(Setup!$B$7,{"STD","Half-PPR","PPR"},0),AI151,AJ151,AK151)</f>
        <v>30.14</v>
      </c>
      <c r="AM151" s="11">
        <f>COUNTIFS('Draft Board'!$AN$2:$AN$193,"&gt;="&amp;AN151,'Draft Board'!$AR$2:$AR$193,1)</f>
        <v>20</v>
      </c>
      <c r="AN151" s="11">
        <f>MAX(0,AL151-'Live Calc'!$H$21)^'Live Calc'!$E$21</f>
        <v>0</v>
      </c>
      <c r="AO151" s="11">
        <v>151</v>
      </c>
      <c r="AP151" s="11">
        <f>IF(AO151&lt;&gt;_xlfn.MINIFS('Draft Board'!$AO$2:$AO$193,'Draft Board'!$AN$2:$AN$193,"="&amp;AN151),0,IF(_xlfn.MINIFS('Draft Board'!$AN$2:$AN$193,'Draft Board'!$AN$2:$AN$193,"&gt;"&amp;AN151)=0,1,IF((_xlfn.MINIFS('Draft Board'!$AN$2:$AN$193,'Draft Board'!$AN$2:$AN$193,"&gt;"&amp;AN151)-AN151)/_xlfn.MINIFS('Draft Board'!$AN$2:$AN$193,'Draft Board'!$AN$2:$AN$193,"&gt;"&amp;AN151)&gt;0.08,1,0)))</f>
        <v>0</v>
      </c>
      <c r="AQ151" s="11">
        <f>_xlfn.MINIFS('Draft Board'!$AN$2:$AN$193,'Draft Board'!$AN$2:$AN$193,"&gt;="&amp;AN151,'Draft Board'!$AP$2:$AP$193,1)</f>
        <v>0</v>
      </c>
      <c r="AR151" s="11">
        <f>IF(AO151&lt;&gt;_xlfn.MINIFS('Draft Board'!$AO$2:$AO$193,'Draft Board'!$AN$2:$AN$193,"="&amp;AN151),0,IF(OR(AP151=1,IFERROR(FLOOR((AQ151-AN151)/AQ151/0.25,1),0)&lt;&gt;IFERROR(FLOOR((AQ151-_xlfn.MINIFS('Draft Board'!$AN$2:$AN$193,'Draft Board'!$AN$2:$AN$193,"&gt;"&amp;AN151))/AQ151/0.25,1),0)),1,0))</f>
        <v>0</v>
      </c>
      <c r="AS151" s="11">
        <f>ROUND(1+AN151*'Live Calc'!$D$28,0)</f>
        <v>1</v>
      </c>
      <c r="AT151" s="11"/>
      <c r="AU151" s="11">
        <f>IF(AT151&lt;&gt;"",AT151,ROUND(AS151*INDEX('Live Calc'!$G$259:$G$450,MATCH(AM151,'Live Calc'!$A$259:$A$450,0))*'Live Calc'!$J$543,0))</f>
        <v>1</v>
      </c>
    </row>
    <row r="152" spans="17:47" x14ac:dyDescent="0.25">
      <c r="Q152" s="10" t="s">
        <v>532</v>
      </c>
      <c r="R152" s="10" t="s">
        <v>77</v>
      </c>
      <c r="S152" s="10">
        <v>7.45</v>
      </c>
      <c r="T152" s="10">
        <v>7.61</v>
      </c>
      <c r="U152" s="10">
        <v>7.78</v>
      </c>
      <c r="V152" s="10">
        <f>CHOOSE(MATCH(Setup!$B$7,{"STD","Half-PPR","PPR"},0),S152,T152,U152)</f>
        <v>7.61</v>
      </c>
      <c r="W152" s="10">
        <f>COUNTIFS('Draft Board'!$X$2:$X$161,"&gt;="&amp;X152,'Draft Board'!$AB$2:$AB$161,1)</f>
        <v>14</v>
      </c>
      <c r="X152" s="10">
        <f>MAX(0,V152-'Live Calc'!$H$20)^'Live Calc'!$E$20</f>
        <v>0</v>
      </c>
      <c r="Y152" s="10">
        <v>152</v>
      </c>
      <c r="Z152" s="10">
        <f>IF(Y152&lt;&gt;_xlfn.MINIFS('Draft Board'!$Y$2:$Y$161,'Draft Board'!$X$2:$X$161,"="&amp;X152),0,IF(_xlfn.MINIFS('Draft Board'!$X$2:$X$161,'Draft Board'!$X$2:$X$161,"&gt;"&amp;X152)=0,1,IF((_xlfn.MINIFS('Draft Board'!$X$2:$X$161,'Draft Board'!$X$2:$X$161,"&gt;"&amp;X152)-X152)/_xlfn.MINIFS('Draft Board'!$X$2:$X$161,'Draft Board'!$X$2:$X$161,"&gt;"&amp;X152)&gt;0.08,1,0)))</f>
        <v>0</v>
      </c>
      <c r="AA152" s="10">
        <f>_xlfn.MINIFS('Draft Board'!$X$2:$X$161,'Draft Board'!$X$2:$X$161,"&gt;="&amp;X152,'Draft Board'!$Z$2:$Z$161,1)</f>
        <v>0</v>
      </c>
      <c r="AB152" s="10">
        <f>IF(Y152&lt;&gt;_xlfn.MINIFS('Draft Board'!$Y$2:$Y$161,'Draft Board'!$X$2:$X$161,"="&amp;X152),0,IF(OR(Z152=1,IFERROR(FLOOR((AA152-X152)/AA152/0.25,1),0)&lt;&gt;IFERROR(FLOOR((AA152-_xlfn.MINIFS('Draft Board'!$X$2:$X$161,'Draft Board'!$X$2:$X$161,"&gt;"&amp;X152))/AA152/0.25,1),0)),1,0))</f>
        <v>0</v>
      </c>
      <c r="AC152" s="10">
        <f>ROUND(1+X152*'Live Calc'!$D$27,0)</f>
        <v>1</v>
      </c>
      <c r="AD152" s="10"/>
      <c r="AE152" s="10">
        <f>IF(AD152&lt;&gt;"",AD152,ROUND(AC152*INDEX('Live Calc'!$G$96:$G$255,MATCH(W152,'Live Calc'!$A$96:$A$255,0))*'Live Calc'!$J$543,0))</f>
        <v>1</v>
      </c>
      <c r="AG152" s="11" t="s">
        <v>533</v>
      </c>
      <c r="AH152" s="11" t="s">
        <v>126</v>
      </c>
      <c r="AI152" s="11">
        <v>23.02</v>
      </c>
      <c r="AJ152" s="11">
        <v>29.82</v>
      </c>
      <c r="AK152" s="11">
        <v>36.619999999999997</v>
      </c>
      <c r="AL152" s="11">
        <f>CHOOSE(MATCH(Setup!$B$7,{"STD","Half-PPR","PPR"},0),AI152,AJ152,AK152)</f>
        <v>29.82</v>
      </c>
      <c r="AM152" s="11">
        <f>COUNTIFS('Draft Board'!$AN$2:$AN$193,"&gt;="&amp;AN152,'Draft Board'!$AR$2:$AR$193,1)</f>
        <v>20</v>
      </c>
      <c r="AN152" s="11">
        <f>MAX(0,AL152-'Live Calc'!$H$21)^'Live Calc'!$E$21</f>
        <v>0</v>
      </c>
      <c r="AO152" s="11">
        <v>152</v>
      </c>
      <c r="AP152" s="11">
        <f>IF(AO152&lt;&gt;_xlfn.MINIFS('Draft Board'!$AO$2:$AO$193,'Draft Board'!$AN$2:$AN$193,"="&amp;AN152),0,IF(_xlfn.MINIFS('Draft Board'!$AN$2:$AN$193,'Draft Board'!$AN$2:$AN$193,"&gt;"&amp;AN152)=0,1,IF((_xlfn.MINIFS('Draft Board'!$AN$2:$AN$193,'Draft Board'!$AN$2:$AN$193,"&gt;"&amp;AN152)-AN152)/_xlfn.MINIFS('Draft Board'!$AN$2:$AN$193,'Draft Board'!$AN$2:$AN$193,"&gt;"&amp;AN152)&gt;0.08,1,0)))</f>
        <v>0</v>
      </c>
      <c r="AQ152" s="11">
        <f>_xlfn.MINIFS('Draft Board'!$AN$2:$AN$193,'Draft Board'!$AN$2:$AN$193,"&gt;="&amp;AN152,'Draft Board'!$AP$2:$AP$193,1)</f>
        <v>0</v>
      </c>
      <c r="AR152" s="11">
        <f>IF(AO152&lt;&gt;_xlfn.MINIFS('Draft Board'!$AO$2:$AO$193,'Draft Board'!$AN$2:$AN$193,"="&amp;AN152),0,IF(OR(AP152=1,IFERROR(FLOOR((AQ152-AN152)/AQ152/0.25,1),0)&lt;&gt;IFERROR(FLOOR((AQ152-_xlfn.MINIFS('Draft Board'!$AN$2:$AN$193,'Draft Board'!$AN$2:$AN$193,"&gt;"&amp;AN152))/AQ152/0.25,1),0)),1,0))</f>
        <v>0</v>
      </c>
      <c r="AS152" s="11">
        <f>ROUND(1+AN152*'Live Calc'!$D$28,0)</f>
        <v>1</v>
      </c>
      <c r="AT152" s="11"/>
      <c r="AU152" s="11">
        <f>IF(AT152&lt;&gt;"",AT152,ROUND(AS152*INDEX('Live Calc'!$G$259:$G$450,MATCH(AM152,'Live Calc'!$A$259:$A$450,0))*'Live Calc'!$J$543,0))</f>
        <v>1</v>
      </c>
    </row>
    <row r="153" spans="17:47" x14ac:dyDescent="0.25">
      <c r="Q153" s="10" t="s">
        <v>534</v>
      </c>
      <c r="R153" s="10" t="s">
        <v>111</v>
      </c>
      <c r="S153" s="10">
        <v>5.92</v>
      </c>
      <c r="T153" s="10">
        <v>7.52</v>
      </c>
      <c r="U153" s="10">
        <v>9.1199999999999992</v>
      </c>
      <c r="V153" s="10">
        <f>CHOOSE(MATCH(Setup!$B$7,{"STD","Half-PPR","PPR"},0),S153,T153,U153)</f>
        <v>7.52</v>
      </c>
      <c r="W153" s="10">
        <f>COUNTIFS('Draft Board'!$X$2:$X$161,"&gt;="&amp;X153,'Draft Board'!$AB$2:$AB$161,1)</f>
        <v>14</v>
      </c>
      <c r="X153" s="10">
        <f>MAX(0,V153-'Live Calc'!$H$20)^'Live Calc'!$E$20</f>
        <v>0</v>
      </c>
      <c r="Y153" s="10">
        <v>153</v>
      </c>
      <c r="Z153" s="10">
        <f>IF(Y153&lt;&gt;_xlfn.MINIFS('Draft Board'!$Y$2:$Y$161,'Draft Board'!$X$2:$X$161,"="&amp;X153),0,IF(_xlfn.MINIFS('Draft Board'!$X$2:$X$161,'Draft Board'!$X$2:$X$161,"&gt;"&amp;X153)=0,1,IF((_xlfn.MINIFS('Draft Board'!$X$2:$X$161,'Draft Board'!$X$2:$X$161,"&gt;"&amp;X153)-X153)/_xlfn.MINIFS('Draft Board'!$X$2:$X$161,'Draft Board'!$X$2:$X$161,"&gt;"&amp;X153)&gt;0.08,1,0)))</f>
        <v>0</v>
      </c>
      <c r="AA153" s="10">
        <f>_xlfn.MINIFS('Draft Board'!$X$2:$X$161,'Draft Board'!$X$2:$X$161,"&gt;="&amp;X153,'Draft Board'!$Z$2:$Z$161,1)</f>
        <v>0</v>
      </c>
      <c r="AB153" s="10">
        <f>IF(Y153&lt;&gt;_xlfn.MINIFS('Draft Board'!$Y$2:$Y$161,'Draft Board'!$X$2:$X$161,"="&amp;X153),0,IF(OR(Z153=1,IFERROR(FLOOR((AA153-X153)/AA153/0.25,1),0)&lt;&gt;IFERROR(FLOOR((AA153-_xlfn.MINIFS('Draft Board'!$X$2:$X$161,'Draft Board'!$X$2:$X$161,"&gt;"&amp;X153))/AA153/0.25,1),0)),1,0))</f>
        <v>0</v>
      </c>
      <c r="AC153" s="10">
        <f>ROUND(1+X153*'Live Calc'!$D$27,0)</f>
        <v>1</v>
      </c>
      <c r="AD153" s="10"/>
      <c r="AE153" s="10">
        <f>IF(AD153&lt;&gt;"",AD153,ROUND(AC153*INDEX('Live Calc'!$G$96:$G$255,MATCH(W153,'Live Calc'!$A$96:$A$255,0))*'Live Calc'!$J$543,0))</f>
        <v>1</v>
      </c>
      <c r="AG153" s="11" t="s">
        <v>535</v>
      </c>
      <c r="AH153" s="11" t="s">
        <v>77</v>
      </c>
      <c r="AI153" s="11">
        <v>23.65</v>
      </c>
      <c r="AJ153" s="11">
        <v>29.36</v>
      </c>
      <c r="AK153" s="11">
        <v>35.06</v>
      </c>
      <c r="AL153" s="11">
        <f>CHOOSE(MATCH(Setup!$B$7,{"STD","Half-PPR","PPR"},0),AI153,AJ153,AK153)</f>
        <v>29.36</v>
      </c>
      <c r="AM153" s="11">
        <f>COUNTIFS('Draft Board'!$AN$2:$AN$193,"&gt;="&amp;AN153,'Draft Board'!$AR$2:$AR$193,1)</f>
        <v>20</v>
      </c>
      <c r="AN153" s="11">
        <f>MAX(0,AL153-'Live Calc'!$H$21)^'Live Calc'!$E$21</f>
        <v>0</v>
      </c>
      <c r="AO153" s="11">
        <v>153</v>
      </c>
      <c r="AP153" s="11">
        <f>IF(AO153&lt;&gt;_xlfn.MINIFS('Draft Board'!$AO$2:$AO$193,'Draft Board'!$AN$2:$AN$193,"="&amp;AN153),0,IF(_xlfn.MINIFS('Draft Board'!$AN$2:$AN$193,'Draft Board'!$AN$2:$AN$193,"&gt;"&amp;AN153)=0,1,IF((_xlfn.MINIFS('Draft Board'!$AN$2:$AN$193,'Draft Board'!$AN$2:$AN$193,"&gt;"&amp;AN153)-AN153)/_xlfn.MINIFS('Draft Board'!$AN$2:$AN$193,'Draft Board'!$AN$2:$AN$193,"&gt;"&amp;AN153)&gt;0.08,1,0)))</f>
        <v>0</v>
      </c>
      <c r="AQ153" s="11">
        <f>_xlfn.MINIFS('Draft Board'!$AN$2:$AN$193,'Draft Board'!$AN$2:$AN$193,"&gt;="&amp;AN153,'Draft Board'!$AP$2:$AP$193,1)</f>
        <v>0</v>
      </c>
      <c r="AR153" s="11">
        <f>IF(AO153&lt;&gt;_xlfn.MINIFS('Draft Board'!$AO$2:$AO$193,'Draft Board'!$AN$2:$AN$193,"="&amp;AN153),0,IF(OR(AP153=1,IFERROR(FLOOR((AQ153-AN153)/AQ153/0.25,1),0)&lt;&gt;IFERROR(FLOOR((AQ153-_xlfn.MINIFS('Draft Board'!$AN$2:$AN$193,'Draft Board'!$AN$2:$AN$193,"&gt;"&amp;AN153))/AQ153/0.25,1),0)),1,0))</f>
        <v>0</v>
      </c>
      <c r="AS153" s="11">
        <f>ROUND(1+AN153*'Live Calc'!$D$28,0)</f>
        <v>1</v>
      </c>
      <c r="AT153" s="11"/>
      <c r="AU153" s="11">
        <f>IF(AT153&lt;&gt;"",AT153,ROUND(AS153*INDEX('Live Calc'!$G$259:$G$450,MATCH(AM153,'Live Calc'!$A$259:$A$450,0))*'Live Calc'!$J$543,0))</f>
        <v>1</v>
      </c>
    </row>
    <row r="154" spans="17:47" x14ac:dyDescent="0.25">
      <c r="Q154" s="10" t="s">
        <v>536</v>
      </c>
      <c r="R154" s="10" t="s">
        <v>67</v>
      </c>
      <c r="S154" s="10">
        <v>6.62</v>
      </c>
      <c r="T154" s="10">
        <v>7.42</v>
      </c>
      <c r="U154" s="10">
        <v>8.2200000000000006</v>
      </c>
      <c r="V154" s="10">
        <f>CHOOSE(MATCH(Setup!$B$7,{"STD","Half-PPR","PPR"},0),S154,T154,U154)</f>
        <v>7.42</v>
      </c>
      <c r="W154" s="10">
        <f>COUNTIFS('Draft Board'!$X$2:$X$161,"&gt;="&amp;X154,'Draft Board'!$AB$2:$AB$161,1)</f>
        <v>14</v>
      </c>
      <c r="X154" s="10">
        <f>MAX(0,V154-'Live Calc'!$H$20)^'Live Calc'!$E$20</f>
        <v>0</v>
      </c>
      <c r="Y154" s="10">
        <v>154</v>
      </c>
      <c r="Z154" s="10">
        <f>IF(Y154&lt;&gt;_xlfn.MINIFS('Draft Board'!$Y$2:$Y$161,'Draft Board'!$X$2:$X$161,"="&amp;X154),0,IF(_xlfn.MINIFS('Draft Board'!$X$2:$X$161,'Draft Board'!$X$2:$X$161,"&gt;"&amp;X154)=0,1,IF((_xlfn.MINIFS('Draft Board'!$X$2:$X$161,'Draft Board'!$X$2:$X$161,"&gt;"&amp;X154)-X154)/_xlfn.MINIFS('Draft Board'!$X$2:$X$161,'Draft Board'!$X$2:$X$161,"&gt;"&amp;X154)&gt;0.08,1,0)))</f>
        <v>0</v>
      </c>
      <c r="AA154" s="10">
        <f>_xlfn.MINIFS('Draft Board'!$X$2:$X$161,'Draft Board'!$X$2:$X$161,"&gt;="&amp;X154,'Draft Board'!$Z$2:$Z$161,1)</f>
        <v>0</v>
      </c>
      <c r="AB154" s="10">
        <f>IF(Y154&lt;&gt;_xlfn.MINIFS('Draft Board'!$Y$2:$Y$161,'Draft Board'!$X$2:$X$161,"="&amp;X154),0,IF(OR(Z154=1,IFERROR(FLOOR((AA154-X154)/AA154/0.25,1),0)&lt;&gt;IFERROR(FLOOR((AA154-_xlfn.MINIFS('Draft Board'!$X$2:$X$161,'Draft Board'!$X$2:$X$161,"&gt;"&amp;X154))/AA154/0.25,1),0)),1,0))</f>
        <v>0</v>
      </c>
      <c r="AC154" s="10">
        <f>ROUND(1+X154*'Live Calc'!$D$27,0)</f>
        <v>1</v>
      </c>
      <c r="AD154" s="10"/>
      <c r="AE154" s="10">
        <f>IF(AD154&lt;&gt;"",AD154,ROUND(AC154*INDEX('Live Calc'!$G$96:$G$255,MATCH(W154,'Live Calc'!$A$96:$A$255,0))*'Live Calc'!$J$543,0))</f>
        <v>1</v>
      </c>
      <c r="AG154" s="11" t="s">
        <v>537</v>
      </c>
      <c r="AH154" s="11" t="s">
        <v>57</v>
      </c>
      <c r="AI154" s="11">
        <v>21.5</v>
      </c>
      <c r="AJ154" s="11">
        <v>29.07</v>
      </c>
      <c r="AK154" s="11">
        <v>36.64</v>
      </c>
      <c r="AL154" s="11">
        <f>CHOOSE(MATCH(Setup!$B$7,{"STD","Half-PPR","PPR"},0),AI154,AJ154,AK154)</f>
        <v>29.07</v>
      </c>
      <c r="AM154" s="11">
        <f>COUNTIFS('Draft Board'!$AN$2:$AN$193,"&gt;="&amp;AN154,'Draft Board'!$AR$2:$AR$193,1)</f>
        <v>20</v>
      </c>
      <c r="AN154" s="11">
        <f>MAX(0,AL154-'Live Calc'!$H$21)^'Live Calc'!$E$21</f>
        <v>0</v>
      </c>
      <c r="AO154" s="11">
        <v>154</v>
      </c>
      <c r="AP154" s="11">
        <f>IF(AO154&lt;&gt;_xlfn.MINIFS('Draft Board'!$AO$2:$AO$193,'Draft Board'!$AN$2:$AN$193,"="&amp;AN154),0,IF(_xlfn.MINIFS('Draft Board'!$AN$2:$AN$193,'Draft Board'!$AN$2:$AN$193,"&gt;"&amp;AN154)=0,1,IF((_xlfn.MINIFS('Draft Board'!$AN$2:$AN$193,'Draft Board'!$AN$2:$AN$193,"&gt;"&amp;AN154)-AN154)/_xlfn.MINIFS('Draft Board'!$AN$2:$AN$193,'Draft Board'!$AN$2:$AN$193,"&gt;"&amp;AN154)&gt;0.08,1,0)))</f>
        <v>0</v>
      </c>
      <c r="AQ154" s="11">
        <f>_xlfn.MINIFS('Draft Board'!$AN$2:$AN$193,'Draft Board'!$AN$2:$AN$193,"&gt;="&amp;AN154,'Draft Board'!$AP$2:$AP$193,1)</f>
        <v>0</v>
      </c>
      <c r="AR154" s="11">
        <f>IF(AO154&lt;&gt;_xlfn.MINIFS('Draft Board'!$AO$2:$AO$193,'Draft Board'!$AN$2:$AN$193,"="&amp;AN154),0,IF(OR(AP154=1,IFERROR(FLOOR((AQ154-AN154)/AQ154/0.25,1),0)&lt;&gt;IFERROR(FLOOR((AQ154-_xlfn.MINIFS('Draft Board'!$AN$2:$AN$193,'Draft Board'!$AN$2:$AN$193,"&gt;"&amp;AN154))/AQ154/0.25,1),0)),1,0))</f>
        <v>0</v>
      </c>
      <c r="AS154" s="11">
        <f>ROUND(1+AN154*'Live Calc'!$D$28,0)</f>
        <v>1</v>
      </c>
      <c r="AT154" s="11"/>
      <c r="AU154" s="11">
        <f>IF(AT154&lt;&gt;"",AT154,ROUND(AS154*INDEX('Live Calc'!$G$259:$G$450,MATCH(AM154,'Live Calc'!$A$259:$A$450,0))*'Live Calc'!$J$543,0))</f>
        <v>1</v>
      </c>
    </row>
    <row r="155" spans="17:47" x14ac:dyDescent="0.25">
      <c r="Q155" s="10" t="s">
        <v>538</v>
      </c>
      <c r="R155" s="10" t="s">
        <v>65</v>
      </c>
      <c r="S155" s="10">
        <v>7.17</v>
      </c>
      <c r="T155" s="10">
        <v>7.17</v>
      </c>
      <c r="U155" s="10">
        <v>7.17</v>
      </c>
      <c r="V155" s="10">
        <f>CHOOSE(MATCH(Setup!$B$7,{"STD","Half-PPR","PPR"},0),S155,T155,U155)</f>
        <v>7.17</v>
      </c>
      <c r="W155" s="10">
        <f>COUNTIFS('Draft Board'!$X$2:$X$161,"&gt;="&amp;X155,'Draft Board'!$AB$2:$AB$161,1)</f>
        <v>14</v>
      </c>
      <c r="X155" s="10">
        <f>MAX(0,V155-'Live Calc'!$H$20)^'Live Calc'!$E$20</f>
        <v>0</v>
      </c>
      <c r="Y155" s="10">
        <v>155</v>
      </c>
      <c r="Z155" s="10">
        <f>IF(Y155&lt;&gt;_xlfn.MINIFS('Draft Board'!$Y$2:$Y$161,'Draft Board'!$X$2:$X$161,"="&amp;X155),0,IF(_xlfn.MINIFS('Draft Board'!$X$2:$X$161,'Draft Board'!$X$2:$X$161,"&gt;"&amp;X155)=0,1,IF((_xlfn.MINIFS('Draft Board'!$X$2:$X$161,'Draft Board'!$X$2:$X$161,"&gt;"&amp;X155)-X155)/_xlfn.MINIFS('Draft Board'!$X$2:$X$161,'Draft Board'!$X$2:$X$161,"&gt;"&amp;X155)&gt;0.08,1,0)))</f>
        <v>0</v>
      </c>
      <c r="AA155" s="10">
        <f>_xlfn.MINIFS('Draft Board'!$X$2:$X$161,'Draft Board'!$X$2:$X$161,"&gt;="&amp;X155,'Draft Board'!$Z$2:$Z$161,1)</f>
        <v>0</v>
      </c>
      <c r="AB155" s="10">
        <f>IF(Y155&lt;&gt;_xlfn.MINIFS('Draft Board'!$Y$2:$Y$161,'Draft Board'!$X$2:$X$161,"="&amp;X155),0,IF(OR(Z155=1,IFERROR(FLOOR((AA155-X155)/AA155/0.25,1),0)&lt;&gt;IFERROR(FLOOR((AA155-_xlfn.MINIFS('Draft Board'!$X$2:$X$161,'Draft Board'!$X$2:$X$161,"&gt;"&amp;X155))/AA155/0.25,1),0)),1,0))</f>
        <v>0</v>
      </c>
      <c r="AC155" s="10">
        <f>ROUND(1+X155*'Live Calc'!$D$27,0)</f>
        <v>1</v>
      </c>
      <c r="AD155" s="10"/>
      <c r="AE155" s="10">
        <f>IF(AD155&lt;&gt;"",AD155,ROUND(AC155*INDEX('Live Calc'!$G$96:$G$255,MATCH(W155,'Live Calc'!$A$96:$A$255,0))*'Live Calc'!$J$543,0))</f>
        <v>1</v>
      </c>
      <c r="AG155" s="11" t="s">
        <v>539</v>
      </c>
      <c r="AH155" s="11" t="s">
        <v>69</v>
      </c>
      <c r="AI155" s="11">
        <v>22.37</v>
      </c>
      <c r="AJ155" s="11">
        <v>28.98</v>
      </c>
      <c r="AK155" s="11">
        <v>35.6</v>
      </c>
      <c r="AL155" s="11">
        <f>CHOOSE(MATCH(Setup!$B$7,{"STD","Half-PPR","PPR"},0),AI155,AJ155,AK155)</f>
        <v>28.98</v>
      </c>
      <c r="AM155" s="11">
        <f>COUNTIFS('Draft Board'!$AN$2:$AN$193,"&gt;="&amp;AN155,'Draft Board'!$AR$2:$AR$193,1)</f>
        <v>20</v>
      </c>
      <c r="AN155" s="11">
        <f>MAX(0,AL155-'Live Calc'!$H$21)^'Live Calc'!$E$21</f>
        <v>0</v>
      </c>
      <c r="AO155" s="11">
        <v>155</v>
      </c>
      <c r="AP155" s="11">
        <f>IF(AO155&lt;&gt;_xlfn.MINIFS('Draft Board'!$AO$2:$AO$193,'Draft Board'!$AN$2:$AN$193,"="&amp;AN155),0,IF(_xlfn.MINIFS('Draft Board'!$AN$2:$AN$193,'Draft Board'!$AN$2:$AN$193,"&gt;"&amp;AN155)=0,1,IF((_xlfn.MINIFS('Draft Board'!$AN$2:$AN$193,'Draft Board'!$AN$2:$AN$193,"&gt;"&amp;AN155)-AN155)/_xlfn.MINIFS('Draft Board'!$AN$2:$AN$193,'Draft Board'!$AN$2:$AN$193,"&gt;"&amp;AN155)&gt;0.08,1,0)))</f>
        <v>0</v>
      </c>
      <c r="AQ155" s="11">
        <f>_xlfn.MINIFS('Draft Board'!$AN$2:$AN$193,'Draft Board'!$AN$2:$AN$193,"&gt;="&amp;AN155,'Draft Board'!$AP$2:$AP$193,1)</f>
        <v>0</v>
      </c>
      <c r="AR155" s="11">
        <f>IF(AO155&lt;&gt;_xlfn.MINIFS('Draft Board'!$AO$2:$AO$193,'Draft Board'!$AN$2:$AN$193,"="&amp;AN155),0,IF(OR(AP155=1,IFERROR(FLOOR((AQ155-AN155)/AQ155/0.25,1),0)&lt;&gt;IFERROR(FLOOR((AQ155-_xlfn.MINIFS('Draft Board'!$AN$2:$AN$193,'Draft Board'!$AN$2:$AN$193,"&gt;"&amp;AN155))/AQ155/0.25,1),0)),1,0))</f>
        <v>0</v>
      </c>
      <c r="AS155" s="11">
        <f>ROUND(1+AN155*'Live Calc'!$D$28,0)</f>
        <v>1</v>
      </c>
      <c r="AT155" s="11"/>
      <c r="AU155" s="11">
        <f>IF(AT155&lt;&gt;"",AT155,ROUND(AS155*INDEX('Live Calc'!$G$259:$G$450,MATCH(AM155,'Live Calc'!$A$259:$A$450,0))*'Live Calc'!$J$543,0))</f>
        <v>1</v>
      </c>
    </row>
    <row r="156" spans="17:47" x14ac:dyDescent="0.25">
      <c r="Q156" s="10" t="s">
        <v>540</v>
      </c>
      <c r="R156" s="10" t="s">
        <v>246</v>
      </c>
      <c r="S156" s="10">
        <v>6.32</v>
      </c>
      <c r="T156" s="10">
        <v>7.02</v>
      </c>
      <c r="U156" s="10">
        <v>7.72</v>
      </c>
      <c r="V156" s="10">
        <f>CHOOSE(MATCH(Setup!$B$7,{"STD","Half-PPR","PPR"},0),S156,T156,U156)</f>
        <v>7.02</v>
      </c>
      <c r="W156" s="10">
        <f>COUNTIFS('Draft Board'!$X$2:$X$161,"&gt;="&amp;X156,'Draft Board'!$AB$2:$AB$161,1)</f>
        <v>14</v>
      </c>
      <c r="X156" s="10">
        <f>MAX(0,V156-'Live Calc'!$H$20)^'Live Calc'!$E$20</f>
        <v>0</v>
      </c>
      <c r="Y156" s="10">
        <v>156</v>
      </c>
      <c r="Z156" s="10">
        <f>IF(Y156&lt;&gt;_xlfn.MINIFS('Draft Board'!$Y$2:$Y$161,'Draft Board'!$X$2:$X$161,"="&amp;X156),0,IF(_xlfn.MINIFS('Draft Board'!$X$2:$X$161,'Draft Board'!$X$2:$X$161,"&gt;"&amp;X156)=0,1,IF((_xlfn.MINIFS('Draft Board'!$X$2:$X$161,'Draft Board'!$X$2:$X$161,"&gt;"&amp;X156)-X156)/_xlfn.MINIFS('Draft Board'!$X$2:$X$161,'Draft Board'!$X$2:$X$161,"&gt;"&amp;X156)&gt;0.08,1,0)))</f>
        <v>0</v>
      </c>
      <c r="AA156" s="10">
        <f>_xlfn.MINIFS('Draft Board'!$X$2:$X$161,'Draft Board'!$X$2:$X$161,"&gt;="&amp;X156,'Draft Board'!$Z$2:$Z$161,1)</f>
        <v>0</v>
      </c>
      <c r="AB156" s="10">
        <f>IF(Y156&lt;&gt;_xlfn.MINIFS('Draft Board'!$Y$2:$Y$161,'Draft Board'!$X$2:$X$161,"="&amp;X156),0,IF(OR(Z156=1,IFERROR(FLOOR((AA156-X156)/AA156/0.25,1),0)&lt;&gt;IFERROR(FLOOR((AA156-_xlfn.MINIFS('Draft Board'!$X$2:$X$161,'Draft Board'!$X$2:$X$161,"&gt;"&amp;X156))/AA156/0.25,1),0)),1,0))</f>
        <v>0</v>
      </c>
      <c r="AC156" s="10">
        <f>ROUND(1+X156*'Live Calc'!$D$27,0)</f>
        <v>1</v>
      </c>
      <c r="AD156" s="10"/>
      <c r="AE156" s="10">
        <f>IF(AD156&lt;&gt;"",AD156,ROUND(AC156*INDEX('Live Calc'!$G$96:$G$255,MATCH(W156,'Live Calc'!$A$96:$A$255,0))*'Live Calc'!$J$543,0))</f>
        <v>1</v>
      </c>
      <c r="AG156" s="11" t="s">
        <v>541</v>
      </c>
      <c r="AH156" s="11" t="s">
        <v>67</v>
      </c>
      <c r="AI156" s="11">
        <v>21.64</v>
      </c>
      <c r="AJ156" s="11">
        <v>27.32</v>
      </c>
      <c r="AK156" s="11">
        <v>32.99</v>
      </c>
      <c r="AL156" s="11">
        <f>CHOOSE(MATCH(Setup!$B$7,{"STD","Half-PPR","PPR"},0),AI156,AJ156,AK156)</f>
        <v>27.32</v>
      </c>
      <c r="AM156" s="11">
        <f>COUNTIFS('Draft Board'!$AN$2:$AN$193,"&gt;="&amp;AN156,'Draft Board'!$AR$2:$AR$193,1)</f>
        <v>20</v>
      </c>
      <c r="AN156" s="11">
        <f>MAX(0,AL156-'Live Calc'!$H$21)^'Live Calc'!$E$21</f>
        <v>0</v>
      </c>
      <c r="AO156" s="11">
        <v>156</v>
      </c>
      <c r="AP156" s="11">
        <f>IF(AO156&lt;&gt;_xlfn.MINIFS('Draft Board'!$AO$2:$AO$193,'Draft Board'!$AN$2:$AN$193,"="&amp;AN156),0,IF(_xlfn.MINIFS('Draft Board'!$AN$2:$AN$193,'Draft Board'!$AN$2:$AN$193,"&gt;"&amp;AN156)=0,1,IF((_xlfn.MINIFS('Draft Board'!$AN$2:$AN$193,'Draft Board'!$AN$2:$AN$193,"&gt;"&amp;AN156)-AN156)/_xlfn.MINIFS('Draft Board'!$AN$2:$AN$193,'Draft Board'!$AN$2:$AN$193,"&gt;"&amp;AN156)&gt;0.08,1,0)))</f>
        <v>0</v>
      </c>
      <c r="AQ156" s="11">
        <f>_xlfn.MINIFS('Draft Board'!$AN$2:$AN$193,'Draft Board'!$AN$2:$AN$193,"&gt;="&amp;AN156,'Draft Board'!$AP$2:$AP$193,1)</f>
        <v>0</v>
      </c>
      <c r="AR156" s="11">
        <f>IF(AO156&lt;&gt;_xlfn.MINIFS('Draft Board'!$AO$2:$AO$193,'Draft Board'!$AN$2:$AN$193,"="&amp;AN156),0,IF(OR(AP156=1,IFERROR(FLOOR((AQ156-AN156)/AQ156/0.25,1),0)&lt;&gt;IFERROR(FLOOR((AQ156-_xlfn.MINIFS('Draft Board'!$AN$2:$AN$193,'Draft Board'!$AN$2:$AN$193,"&gt;"&amp;AN156))/AQ156/0.25,1),0)),1,0))</f>
        <v>0</v>
      </c>
      <c r="AS156" s="11">
        <f>ROUND(1+AN156*'Live Calc'!$D$28,0)</f>
        <v>1</v>
      </c>
      <c r="AT156" s="11"/>
      <c r="AU156" s="11">
        <f>IF(AT156&lt;&gt;"",AT156,ROUND(AS156*INDEX('Live Calc'!$G$259:$G$450,MATCH(AM156,'Live Calc'!$A$259:$A$450,0))*'Live Calc'!$J$543,0))</f>
        <v>1</v>
      </c>
    </row>
    <row r="157" spans="17:47" x14ac:dyDescent="0.25">
      <c r="Q157" s="10" t="s">
        <v>542</v>
      </c>
      <c r="R157" s="10" t="s">
        <v>57</v>
      </c>
      <c r="S157" s="10">
        <v>6.09</v>
      </c>
      <c r="T157" s="10">
        <v>6.63</v>
      </c>
      <c r="U157" s="10">
        <v>7.16</v>
      </c>
      <c r="V157" s="10">
        <f>CHOOSE(MATCH(Setup!$B$7,{"STD","Half-PPR","PPR"},0),S157,T157,U157)</f>
        <v>6.63</v>
      </c>
      <c r="W157" s="10">
        <f>COUNTIFS('Draft Board'!$X$2:$X$161,"&gt;="&amp;X157,'Draft Board'!$AB$2:$AB$161,1)</f>
        <v>14</v>
      </c>
      <c r="X157" s="10">
        <f>MAX(0,V157-'Live Calc'!$H$20)^'Live Calc'!$E$20</f>
        <v>0</v>
      </c>
      <c r="Y157" s="10">
        <v>157</v>
      </c>
      <c r="Z157" s="10">
        <f>IF(Y157&lt;&gt;_xlfn.MINIFS('Draft Board'!$Y$2:$Y$161,'Draft Board'!$X$2:$X$161,"="&amp;X157),0,IF(_xlfn.MINIFS('Draft Board'!$X$2:$X$161,'Draft Board'!$X$2:$X$161,"&gt;"&amp;X157)=0,1,IF((_xlfn.MINIFS('Draft Board'!$X$2:$X$161,'Draft Board'!$X$2:$X$161,"&gt;"&amp;X157)-X157)/_xlfn.MINIFS('Draft Board'!$X$2:$X$161,'Draft Board'!$X$2:$X$161,"&gt;"&amp;X157)&gt;0.08,1,0)))</f>
        <v>0</v>
      </c>
      <c r="AA157" s="10">
        <f>_xlfn.MINIFS('Draft Board'!$X$2:$X$161,'Draft Board'!$X$2:$X$161,"&gt;="&amp;X157,'Draft Board'!$Z$2:$Z$161,1)</f>
        <v>0</v>
      </c>
      <c r="AB157" s="10">
        <f>IF(Y157&lt;&gt;_xlfn.MINIFS('Draft Board'!$Y$2:$Y$161,'Draft Board'!$X$2:$X$161,"="&amp;X157),0,IF(OR(Z157=1,IFERROR(FLOOR((AA157-X157)/AA157/0.25,1),0)&lt;&gt;IFERROR(FLOOR((AA157-_xlfn.MINIFS('Draft Board'!$X$2:$X$161,'Draft Board'!$X$2:$X$161,"&gt;"&amp;X157))/AA157/0.25,1),0)),1,0))</f>
        <v>0</v>
      </c>
      <c r="AC157" s="10">
        <f>ROUND(1+X157*'Live Calc'!$D$27,0)</f>
        <v>1</v>
      </c>
      <c r="AD157" s="10"/>
      <c r="AE157" s="10">
        <f>IF(AD157&lt;&gt;"",AD157,ROUND(AC157*INDEX('Live Calc'!$G$96:$G$255,MATCH(W157,'Live Calc'!$A$96:$A$255,0))*'Live Calc'!$J$543,0))</f>
        <v>1</v>
      </c>
      <c r="AG157" s="11" t="s">
        <v>543</v>
      </c>
      <c r="AH157" s="11" t="s">
        <v>111</v>
      </c>
      <c r="AI157" s="11">
        <v>18.866</v>
      </c>
      <c r="AJ157" s="11">
        <v>24.681999999999999</v>
      </c>
      <c r="AK157" s="11">
        <v>30.745999999999999</v>
      </c>
      <c r="AL157" s="11">
        <f>CHOOSE(MATCH(Setup!$B$7,{"STD","Half-PPR","PPR"},0),AI157,AJ157,AK157)</f>
        <v>24.681999999999999</v>
      </c>
      <c r="AM157" s="11">
        <f>COUNTIFS('Draft Board'!$AN$2:$AN$193,"&gt;="&amp;AN157,'Draft Board'!$AR$2:$AR$193,1)</f>
        <v>20</v>
      </c>
      <c r="AN157" s="11">
        <f>MAX(0,AL157-'Live Calc'!$H$21)^'Live Calc'!$E$21</f>
        <v>0</v>
      </c>
      <c r="AO157" s="11">
        <v>157</v>
      </c>
      <c r="AP157" s="11">
        <f>IF(AO157&lt;&gt;_xlfn.MINIFS('Draft Board'!$AO$2:$AO$193,'Draft Board'!$AN$2:$AN$193,"="&amp;AN157),0,IF(_xlfn.MINIFS('Draft Board'!$AN$2:$AN$193,'Draft Board'!$AN$2:$AN$193,"&gt;"&amp;AN157)=0,1,IF((_xlfn.MINIFS('Draft Board'!$AN$2:$AN$193,'Draft Board'!$AN$2:$AN$193,"&gt;"&amp;AN157)-AN157)/_xlfn.MINIFS('Draft Board'!$AN$2:$AN$193,'Draft Board'!$AN$2:$AN$193,"&gt;"&amp;AN157)&gt;0.08,1,0)))</f>
        <v>0</v>
      </c>
      <c r="AQ157" s="11">
        <f>_xlfn.MINIFS('Draft Board'!$AN$2:$AN$193,'Draft Board'!$AN$2:$AN$193,"&gt;="&amp;AN157,'Draft Board'!$AP$2:$AP$193,1)</f>
        <v>0</v>
      </c>
      <c r="AR157" s="11">
        <f>IF(AO157&lt;&gt;_xlfn.MINIFS('Draft Board'!$AO$2:$AO$193,'Draft Board'!$AN$2:$AN$193,"="&amp;AN157),0,IF(OR(AP157=1,IFERROR(FLOOR((AQ157-AN157)/AQ157/0.25,1),0)&lt;&gt;IFERROR(FLOOR((AQ157-_xlfn.MINIFS('Draft Board'!$AN$2:$AN$193,'Draft Board'!$AN$2:$AN$193,"&gt;"&amp;AN157))/AQ157/0.25,1),0)),1,0))</f>
        <v>0</v>
      </c>
      <c r="AS157" s="11">
        <f>ROUND(1+AN157*'Live Calc'!$D$28,0)</f>
        <v>1</v>
      </c>
      <c r="AT157" s="11"/>
      <c r="AU157" s="11">
        <f>IF(AT157&lt;&gt;"",AT157,ROUND(AS157*INDEX('Live Calc'!$G$259:$G$450,MATCH(AM157,'Live Calc'!$A$259:$A$450,0))*'Live Calc'!$J$543,0))</f>
        <v>1</v>
      </c>
    </row>
    <row r="158" spans="17:47" x14ac:dyDescent="0.25">
      <c r="Q158" s="10" t="s">
        <v>544</v>
      </c>
      <c r="R158" s="10" t="s">
        <v>119</v>
      </c>
      <c r="S158" s="10">
        <v>4.8499999999999996</v>
      </c>
      <c r="T158" s="10">
        <v>6.49</v>
      </c>
      <c r="U158" s="10">
        <v>8.1199999999999992</v>
      </c>
      <c r="V158" s="10">
        <f>CHOOSE(MATCH(Setup!$B$7,{"STD","Half-PPR","PPR"},0),S158,T158,U158)</f>
        <v>6.49</v>
      </c>
      <c r="W158" s="10">
        <f>COUNTIFS('Draft Board'!$X$2:$X$161,"&gt;="&amp;X158,'Draft Board'!$AB$2:$AB$161,1)</f>
        <v>14</v>
      </c>
      <c r="X158" s="10">
        <f>MAX(0,V158-'Live Calc'!$H$20)^'Live Calc'!$E$20</f>
        <v>0</v>
      </c>
      <c r="Y158" s="10">
        <v>158</v>
      </c>
      <c r="Z158" s="10">
        <f>IF(Y158&lt;&gt;_xlfn.MINIFS('Draft Board'!$Y$2:$Y$161,'Draft Board'!$X$2:$X$161,"="&amp;X158),0,IF(_xlfn.MINIFS('Draft Board'!$X$2:$X$161,'Draft Board'!$X$2:$X$161,"&gt;"&amp;X158)=0,1,IF((_xlfn.MINIFS('Draft Board'!$X$2:$X$161,'Draft Board'!$X$2:$X$161,"&gt;"&amp;X158)-X158)/_xlfn.MINIFS('Draft Board'!$X$2:$X$161,'Draft Board'!$X$2:$X$161,"&gt;"&amp;X158)&gt;0.08,1,0)))</f>
        <v>0</v>
      </c>
      <c r="AA158" s="10">
        <f>_xlfn.MINIFS('Draft Board'!$X$2:$X$161,'Draft Board'!$X$2:$X$161,"&gt;="&amp;X158,'Draft Board'!$Z$2:$Z$161,1)</f>
        <v>0</v>
      </c>
      <c r="AB158" s="10">
        <f>IF(Y158&lt;&gt;_xlfn.MINIFS('Draft Board'!$Y$2:$Y$161,'Draft Board'!$X$2:$X$161,"="&amp;X158),0,IF(OR(Z158=1,IFERROR(FLOOR((AA158-X158)/AA158/0.25,1),0)&lt;&gt;IFERROR(FLOOR((AA158-_xlfn.MINIFS('Draft Board'!$X$2:$X$161,'Draft Board'!$X$2:$X$161,"&gt;"&amp;X158))/AA158/0.25,1),0)),1,0))</f>
        <v>0</v>
      </c>
      <c r="AC158" s="10">
        <f>ROUND(1+X158*'Live Calc'!$D$27,0)</f>
        <v>1</v>
      </c>
      <c r="AD158" s="10"/>
      <c r="AE158" s="10">
        <f>IF(AD158&lt;&gt;"",AD158,ROUND(AC158*INDEX('Live Calc'!$G$96:$G$255,MATCH(W158,'Live Calc'!$A$96:$A$255,0))*'Live Calc'!$J$543,0))</f>
        <v>1</v>
      </c>
      <c r="AG158" s="11" t="s">
        <v>545</v>
      </c>
      <c r="AH158" s="11" t="s">
        <v>246</v>
      </c>
      <c r="AI158" s="11">
        <v>18.36</v>
      </c>
      <c r="AJ158" s="11">
        <v>24.31</v>
      </c>
      <c r="AK158" s="11">
        <v>30.26</v>
      </c>
      <c r="AL158" s="11">
        <f>CHOOSE(MATCH(Setup!$B$7,{"STD","Half-PPR","PPR"},0),AI158,AJ158,AK158)</f>
        <v>24.31</v>
      </c>
      <c r="AM158" s="11">
        <f>COUNTIFS('Draft Board'!$AN$2:$AN$193,"&gt;="&amp;AN158,'Draft Board'!$AR$2:$AR$193,1)</f>
        <v>20</v>
      </c>
      <c r="AN158" s="11">
        <f>MAX(0,AL158-'Live Calc'!$H$21)^'Live Calc'!$E$21</f>
        <v>0</v>
      </c>
      <c r="AO158" s="11">
        <v>158</v>
      </c>
      <c r="AP158" s="11">
        <f>IF(AO158&lt;&gt;_xlfn.MINIFS('Draft Board'!$AO$2:$AO$193,'Draft Board'!$AN$2:$AN$193,"="&amp;AN158),0,IF(_xlfn.MINIFS('Draft Board'!$AN$2:$AN$193,'Draft Board'!$AN$2:$AN$193,"&gt;"&amp;AN158)=0,1,IF((_xlfn.MINIFS('Draft Board'!$AN$2:$AN$193,'Draft Board'!$AN$2:$AN$193,"&gt;"&amp;AN158)-AN158)/_xlfn.MINIFS('Draft Board'!$AN$2:$AN$193,'Draft Board'!$AN$2:$AN$193,"&gt;"&amp;AN158)&gt;0.08,1,0)))</f>
        <v>0</v>
      </c>
      <c r="AQ158" s="11">
        <f>_xlfn.MINIFS('Draft Board'!$AN$2:$AN$193,'Draft Board'!$AN$2:$AN$193,"&gt;="&amp;AN158,'Draft Board'!$AP$2:$AP$193,1)</f>
        <v>0</v>
      </c>
      <c r="AR158" s="11">
        <f>IF(AO158&lt;&gt;_xlfn.MINIFS('Draft Board'!$AO$2:$AO$193,'Draft Board'!$AN$2:$AN$193,"="&amp;AN158),0,IF(OR(AP158=1,IFERROR(FLOOR((AQ158-AN158)/AQ158/0.25,1),0)&lt;&gt;IFERROR(FLOOR((AQ158-_xlfn.MINIFS('Draft Board'!$AN$2:$AN$193,'Draft Board'!$AN$2:$AN$193,"&gt;"&amp;AN158))/AQ158/0.25,1),0)),1,0))</f>
        <v>0</v>
      </c>
      <c r="AS158" s="11">
        <f>ROUND(1+AN158*'Live Calc'!$D$28,0)</f>
        <v>1</v>
      </c>
      <c r="AT158" s="11"/>
      <c r="AU158" s="11">
        <f>IF(AT158&lt;&gt;"",AT158,ROUND(AS158*INDEX('Live Calc'!$G$259:$G$450,MATCH(AM158,'Live Calc'!$A$259:$A$450,0))*'Live Calc'!$J$543,0))</f>
        <v>1</v>
      </c>
    </row>
    <row r="159" spans="17:47" x14ac:dyDescent="0.25">
      <c r="Q159" s="10" t="s">
        <v>546</v>
      </c>
      <c r="R159" s="10" t="s">
        <v>133</v>
      </c>
      <c r="S159" s="10">
        <v>4.8899999999999997</v>
      </c>
      <c r="T159" s="10">
        <v>6.42</v>
      </c>
      <c r="U159" s="10">
        <v>7.95</v>
      </c>
      <c r="V159" s="10">
        <f>CHOOSE(MATCH(Setup!$B$7,{"STD","Half-PPR","PPR"},0),S159,T159,U159)</f>
        <v>6.42</v>
      </c>
      <c r="W159" s="10">
        <f>COUNTIFS('Draft Board'!$X$2:$X$161,"&gt;="&amp;X159,'Draft Board'!$AB$2:$AB$161,1)</f>
        <v>14</v>
      </c>
      <c r="X159" s="10">
        <f>MAX(0,V159-'Live Calc'!$H$20)^'Live Calc'!$E$20</f>
        <v>0</v>
      </c>
      <c r="Y159" s="10">
        <v>159</v>
      </c>
      <c r="Z159" s="10">
        <f>IF(Y159&lt;&gt;_xlfn.MINIFS('Draft Board'!$Y$2:$Y$161,'Draft Board'!$X$2:$X$161,"="&amp;X159),0,IF(_xlfn.MINIFS('Draft Board'!$X$2:$X$161,'Draft Board'!$X$2:$X$161,"&gt;"&amp;X159)=0,1,IF((_xlfn.MINIFS('Draft Board'!$X$2:$X$161,'Draft Board'!$X$2:$X$161,"&gt;"&amp;X159)-X159)/_xlfn.MINIFS('Draft Board'!$X$2:$X$161,'Draft Board'!$X$2:$X$161,"&gt;"&amp;X159)&gt;0.08,1,0)))</f>
        <v>0</v>
      </c>
      <c r="AA159" s="10">
        <f>_xlfn.MINIFS('Draft Board'!$X$2:$X$161,'Draft Board'!$X$2:$X$161,"&gt;="&amp;X159,'Draft Board'!$Z$2:$Z$161,1)</f>
        <v>0</v>
      </c>
      <c r="AB159" s="10">
        <f>IF(Y159&lt;&gt;_xlfn.MINIFS('Draft Board'!$Y$2:$Y$161,'Draft Board'!$X$2:$X$161,"="&amp;X159),0,IF(OR(Z159=1,IFERROR(FLOOR((AA159-X159)/AA159/0.25,1),0)&lt;&gt;IFERROR(FLOOR((AA159-_xlfn.MINIFS('Draft Board'!$X$2:$X$161,'Draft Board'!$X$2:$X$161,"&gt;"&amp;X159))/AA159/0.25,1),0)),1,0))</f>
        <v>0</v>
      </c>
      <c r="AC159" s="10">
        <f>ROUND(1+X159*'Live Calc'!$D$27,0)</f>
        <v>1</v>
      </c>
      <c r="AD159" s="10"/>
      <c r="AE159" s="10">
        <f>IF(AD159&lt;&gt;"",AD159,ROUND(AC159*INDEX('Live Calc'!$G$96:$G$255,MATCH(W159,'Live Calc'!$A$96:$A$255,0))*'Live Calc'!$J$543,0))</f>
        <v>1</v>
      </c>
      <c r="AG159" s="11" t="s">
        <v>547</v>
      </c>
      <c r="AH159" s="11" t="s">
        <v>81</v>
      </c>
      <c r="AI159" s="11">
        <v>17.41</v>
      </c>
      <c r="AJ159" s="11">
        <v>23.41</v>
      </c>
      <c r="AK159" s="11">
        <v>29.41</v>
      </c>
      <c r="AL159" s="11">
        <f>CHOOSE(MATCH(Setup!$B$7,{"STD","Half-PPR","PPR"},0),AI159,AJ159,AK159)</f>
        <v>23.41</v>
      </c>
      <c r="AM159" s="11">
        <f>COUNTIFS('Draft Board'!$AN$2:$AN$193,"&gt;="&amp;AN159,'Draft Board'!$AR$2:$AR$193,1)</f>
        <v>20</v>
      </c>
      <c r="AN159" s="11">
        <f>MAX(0,AL159-'Live Calc'!$H$21)^'Live Calc'!$E$21</f>
        <v>0</v>
      </c>
      <c r="AO159" s="11">
        <v>159</v>
      </c>
      <c r="AP159" s="11">
        <f>IF(AO159&lt;&gt;_xlfn.MINIFS('Draft Board'!$AO$2:$AO$193,'Draft Board'!$AN$2:$AN$193,"="&amp;AN159),0,IF(_xlfn.MINIFS('Draft Board'!$AN$2:$AN$193,'Draft Board'!$AN$2:$AN$193,"&gt;"&amp;AN159)=0,1,IF((_xlfn.MINIFS('Draft Board'!$AN$2:$AN$193,'Draft Board'!$AN$2:$AN$193,"&gt;"&amp;AN159)-AN159)/_xlfn.MINIFS('Draft Board'!$AN$2:$AN$193,'Draft Board'!$AN$2:$AN$193,"&gt;"&amp;AN159)&gt;0.08,1,0)))</f>
        <v>0</v>
      </c>
      <c r="AQ159" s="11">
        <f>_xlfn.MINIFS('Draft Board'!$AN$2:$AN$193,'Draft Board'!$AN$2:$AN$193,"&gt;="&amp;AN159,'Draft Board'!$AP$2:$AP$193,1)</f>
        <v>0</v>
      </c>
      <c r="AR159" s="11">
        <f>IF(AO159&lt;&gt;_xlfn.MINIFS('Draft Board'!$AO$2:$AO$193,'Draft Board'!$AN$2:$AN$193,"="&amp;AN159),0,IF(OR(AP159=1,IFERROR(FLOOR((AQ159-AN159)/AQ159/0.25,1),0)&lt;&gt;IFERROR(FLOOR((AQ159-_xlfn.MINIFS('Draft Board'!$AN$2:$AN$193,'Draft Board'!$AN$2:$AN$193,"&gt;"&amp;AN159))/AQ159/0.25,1),0)),1,0))</f>
        <v>0</v>
      </c>
      <c r="AS159" s="11">
        <f>ROUND(1+AN159*'Live Calc'!$D$28,0)</f>
        <v>1</v>
      </c>
      <c r="AT159" s="11"/>
      <c r="AU159" s="11">
        <f>IF(AT159&lt;&gt;"",AT159,ROUND(AS159*INDEX('Live Calc'!$G$259:$G$450,MATCH(AM159,'Live Calc'!$A$259:$A$450,0))*'Live Calc'!$J$543,0))</f>
        <v>1</v>
      </c>
    </row>
    <row r="160" spans="17:47" x14ac:dyDescent="0.25">
      <c r="Q160" s="10" t="s">
        <v>548</v>
      </c>
      <c r="R160" s="10" t="s">
        <v>116</v>
      </c>
      <c r="S160" s="10">
        <v>9.0619999999999994</v>
      </c>
      <c r="T160" s="10">
        <v>6.34</v>
      </c>
      <c r="U160" s="10">
        <v>7.25</v>
      </c>
      <c r="V160" s="10">
        <f>CHOOSE(MATCH(Setup!$B$7,{"STD","Half-PPR","PPR"},0),S160,T160,U160)</f>
        <v>6.34</v>
      </c>
      <c r="W160" s="10">
        <f>COUNTIFS('Draft Board'!$X$2:$X$161,"&gt;="&amp;X160,'Draft Board'!$AB$2:$AB$161,1)</f>
        <v>14</v>
      </c>
      <c r="X160" s="10">
        <f>MAX(0,V160-'Live Calc'!$H$20)^'Live Calc'!$E$20</f>
        <v>0</v>
      </c>
      <c r="Y160" s="10">
        <v>160</v>
      </c>
      <c r="Z160" s="10">
        <f>IF(Y160&lt;&gt;_xlfn.MINIFS('Draft Board'!$Y$2:$Y$161,'Draft Board'!$X$2:$X$161,"="&amp;X160),0,IF(_xlfn.MINIFS('Draft Board'!$X$2:$X$161,'Draft Board'!$X$2:$X$161,"&gt;"&amp;X160)=0,1,IF((_xlfn.MINIFS('Draft Board'!$X$2:$X$161,'Draft Board'!$X$2:$X$161,"&gt;"&amp;X160)-X160)/_xlfn.MINIFS('Draft Board'!$X$2:$X$161,'Draft Board'!$X$2:$X$161,"&gt;"&amp;X160)&gt;0.08,1,0)))</f>
        <v>0</v>
      </c>
      <c r="AA160" s="10">
        <f>_xlfn.MINIFS('Draft Board'!$X$2:$X$161,'Draft Board'!$X$2:$X$161,"&gt;="&amp;X160,'Draft Board'!$Z$2:$Z$161,1)</f>
        <v>0</v>
      </c>
      <c r="AB160" s="10">
        <f>IF(Y160&lt;&gt;_xlfn.MINIFS('Draft Board'!$Y$2:$Y$161,'Draft Board'!$X$2:$X$161,"="&amp;X160),0,IF(OR(Z160=1,IFERROR(FLOOR((AA160-X160)/AA160/0.25,1),0)&lt;&gt;IFERROR(FLOOR((AA160-_xlfn.MINIFS('Draft Board'!$X$2:$X$161,'Draft Board'!$X$2:$X$161,"&gt;"&amp;X160))/AA160/0.25,1),0)),1,0))</f>
        <v>0</v>
      </c>
      <c r="AC160" s="10">
        <f>ROUND(1+X160*'Live Calc'!$D$27,0)</f>
        <v>1</v>
      </c>
      <c r="AD160" s="10"/>
      <c r="AE160" s="10">
        <f>IF(AD160&lt;&gt;"",AD160,ROUND(AC160*INDEX('Live Calc'!$G$96:$G$255,MATCH(W160,'Live Calc'!$A$96:$A$255,0))*'Live Calc'!$J$543,0))</f>
        <v>1</v>
      </c>
      <c r="AG160" s="11" t="s">
        <v>549</v>
      </c>
      <c r="AH160" s="11" t="s">
        <v>67</v>
      </c>
      <c r="AI160" s="11">
        <v>18.14</v>
      </c>
      <c r="AJ160" s="11">
        <v>23.2</v>
      </c>
      <c r="AK160" s="11">
        <v>28.26</v>
      </c>
      <c r="AL160" s="11">
        <f>CHOOSE(MATCH(Setup!$B$7,{"STD","Half-PPR","PPR"},0),AI160,AJ160,AK160)</f>
        <v>23.2</v>
      </c>
      <c r="AM160" s="11">
        <f>COUNTIFS('Draft Board'!$AN$2:$AN$193,"&gt;="&amp;AN160,'Draft Board'!$AR$2:$AR$193,1)</f>
        <v>20</v>
      </c>
      <c r="AN160" s="11">
        <f>MAX(0,AL160-'Live Calc'!$H$21)^'Live Calc'!$E$21</f>
        <v>0</v>
      </c>
      <c r="AO160" s="11">
        <v>160</v>
      </c>
      <c r="AP160" s="11">
        <f>IF(AO160&lt;&gt;_xlfn.MINIFS('Draft Board'!$AO$2:$AO$193,'Draft Board'!$AN$2:$AN$193,"="&amp;AN160),0,IF(_xlfn.MINIFS('Draft Board'!$AN$2:$AN$193,'Draft Board'!$AN$2:$AN$193,"&gt;"&amp;AN160)=0,1,IF((_xlfn.MINIFS('Draft Board'!$AN$2:$AN$193,'Draft Board'!$AN$2:$AN$193,"&gt;"&amp;AN160)-AN160)/_xlfn.MINIFS('Draft Board'!$AN$2:$AN$193,'Draft Board'!$AN$2:$AN$193,"&gt;"&amp;AN160)&gt;0.08,1,0)))</f>
        <v>0</v>
      </c>
      <c r="AQ160" s="11">
        <f>_xlfn.MINIFS('Draft Board'!$AN$2:$AN$193,'Draft Board'!$AN$2:$AN$193,"&gt;="&amp;AN160,'Draft Board'!$AP$2:$AP$193,1)</f>
        <v>0</v>
      </c>
      <c r="AR160" s="11">
        <f>IF(AO160&lt;&gt;_xlfn.MINIFS('Draft Board'!$AO$2:$AO$193,'Draft Board'!$AN$2:$AN$193,"="&amp;AN160),0,IF(OR(AP160=1,IFERROR(FLOOR((AQ160-AN160)/AQ160/0.25,1),0)&lt;&gt;IFERROR(FLOOR((AQ160-_xlfn.MINIFS('Draft Board'!$AN$2:$AN$193,'Draft Board'!$AN$2:$AN$193,"&gt;"&amp;AN160))/AQ160/0.25,1),0)),1,0))</f>
        <v>0</v>
      </c>
      <c r="AS160" s="11">
        <f>ROUND(1+AN160*'Live Calc'!$D$28,0)</f>
        <v>1</v>
      </c>
      <c r="AT160" s="11"/>
      <c r="AU160" s="11">
        <f>IF(AT160&lt;&gt;"",AT160,ROUND(AS160*INDEX('Live Calc'!$G$259:$G$450,MATCH(AM160,'Live Calc'!$A$259:$A$450,0))*'Live Calc'!$J$543,0))</f>
        <v>1</v>
      </c>
    </row>
    <row r="161" spans="17:47" x14ac:dyDescent="0.25">
      <c r="Q161" s="10" t="s">
        <v>550</v>
      </c>
      <c r="R161" s="10" t="s">
        <v>126</v>
      </c>
      <c r="S161" s="10">
        <v>5.04</v>
      </c>
      <c r="T161" s="10">
        <v>5.47</v>
      </c>
      <c r="U161" s="10">
        <v>5.9</v>
      </c>
      <c r="V161" s="10">
        <f>CHOOSE(MATCH(Setup!$B$7,{"STD","Half-PPR","PPR"},0),S161,T161,U161)</f>
        <v>5.47</v>
      </c>
      <c r="W161" s="10">
        <f>COUNTIFS('Draft Board'!$X$2:$X$161,"&gt;="&amp;X161,'Draft Board'!$AB$2:$AB$161,1)</f>
        <v>14</v>
      </c>
      <c r="X161" s="10">
        <f>MAX(0,V161-'Live Calc'!$H$20)^'Live Calc'!$E$20</f>
        <v>0</v>
      </c>
      <c r="Y161" s="10">
        <v>161</v>
      </c>
      <c r="Z161" s="10">
        <f>IF(Y161&lt;&gt;_xlfn.MINIFS('Draft Board'!$Y$2:$Y$161,'Draft Board'!$X$2:$X$161,"="&amp;X161),0,IF(_xlfn.MINIFS('Draft Board'!$X$2:$X$161,'Draft Board'!$X$2:$X$161,"&gt;"&amp;X161)=0,1,IF((_xlfn.MINIFS('Draft Board'!$X$2:$X$161,'Draft Board'!$X$2:$X$161,"&gt;"&amp;X161)-X161)/_xlfn.MINIFS('Draft Board'!$X$2:$X$161,'Draft Board'!$X$2:$X$161,"&gt;"&amp;X161)&gt;0.08,1,0)))</f>
        <v>0</v>
      </c>
      <c r="AA161" s="10">
        <f>_xlfn.MINIFS('Draft Board'!$X$2:$X$161,'Draft Board'!$X$2:$X$161,"&gt;="&amp;X161,'Draft Board'!$Z$2:$Z$161,1)</f>
        <v>0</v>
      </c>
      <c r="AB161" s="10">
        <f>IF(Y161&lt;&gt;_xlfn.MINIFS('Draft Board'!$Y$2:$Y$161,'Draft Board'!$X$2:$X$161,"="&amp;X161),0,IF(OR(Z161=1,IFERROR(FLOOR((AA161-X161)/AA161/0.25,1),0)&lt;&gt;IFERROR(FLOOR((AA161-_xlfn.MINIFS('Draft Board'!$X$2:$X$161,'Draft Board'!$X$2:$X$161,"&gt;"&amp;X161))/AA161/0.25,1),0)),1,0))</f>
        <v>0</v>
      </c>
      <c r="AC161" s="10">
        <f>ROUND(1+X161*'Live Calc'!$D$27,0)</f>
        <v>1</v>
      </c>
      <c r="AD161" s="10"/>
      <c r="AE161" s="10">
        <f>IF(AD161&lt;&gt;"",AD161,ROUND(AC161*INDEX('Live Calc'!$G$96:$G$255,MATCH(W161,'Live Calc'!$A$96:$A$255,0))*'Live Calc'!$J$543,0))</f>
        <v>1</v>
      </c>
      <c r="AG161" s="11" t="s">
        <v>551</v>
      </c>
      <c r="AH161" s="11" t="s">
        <v>246</v>
      </c>
      <c r="AI161" s="11">
        <v>16.350000000000001</v>
      </c>
      <c r="AJ161" s="11">
        <v>22.3</v>
      </c>
      <c r="AK161" s="11">
        <v>28.25</v>
      </c>
      <c r="AL161" s="11">
        <f>CHOOSE(MATCH(Setup!$B$7,{"STD","Half-PPR","PPR"},0),AI161,AJ161,AK161)</f>
        <v>22.3</v>
      </c>
      <c r="AM161" s="11">
        <f>COUNTIFS('Draft Board'!$AN$2:$AN$193,"&gt;="&amp;AN161,'Draft Board'!$AR$2:$AR$193,1)</f>
        <v>20</v>
      </c>
      <c r="AN161" s="11">
        <f>MAX(0,AL161-'Live Calc'!$H$21)^'Live Calc'!$E$21</f>
        <v>0</v>
      </c>
      <c r="AO161" s="11">
        <v>161</v>
      </c>
      <c r="AP161" s="11">
        <f>IF(AO161&lt;&gt;_xlfn.MINIFS('Draft Board'!$AO$2:$AO$193,'Draft Board'!$AN$2:$AN$193,"="&amp;AN161),0,IF(_xlfn.MINIFS('Draft Board'!$AN$2:$AN$193,'Draft Board'!$AN$2:$AN$193,"&gt;"&amp;AN161)=0,1,IF((_xlfn.MINIFS('Draft Board'!$AN$2:$AN$193,'Draft Board'!$AN$2:$AN$193,"&gt;"&amp;AN161)-AN161)/_xlfn.MINIFS('Draft Board'!$AN$2:$AN$193,'Draft Board'!$AN$2:$AN$193,"&gt;"&amp;AN161)&gt;0.08,1,0)))</f>
        <v>0</v>
      </c>
      <c r="AQ161" s="11">
        <f>_xlfn.MINIFS('Draft Board'!$AN$2:$AN$193,'Draft Board'!$AN$2:$AN$193,"&gt;="&amp;AN161,'Draft Board'!$AP$2:$AP$193,1)</f>
        <v>0</v>
      </c>
      <c r="AR161" s="11">
        <f>IF(AO161&lt;&gt;_xlfn.MINIFS('Draft Board'!$AO$2:$AO$193,'Draft Board'!$AN$2:$AN$193,"="&amp;AN161),0,IF(OR(AP161=1,IFERROR(FLOOR((AQ161-AN161)/AQ161/0.25,1),0)&lt;&gt;IFERROR(FLOOR((AQ161-_xlfn.MINIFS('Draft Board'!$AN$2:$AN$193,'Draft Board'!$AN$2:$AN$193,"&gt;"&amp;AN161))/AQ161/0.25,1),0)),1,0))</f>
        <v>0</v>
      </c>
      <c r="AS161" s="11">
        <f>ROUND(1+AN161*'Live Calc'!$D$28,0)</f>
        <v>1</v>
      </c>
      <c r="AT161" s="11"/>
      <c r="AU161" s="11">
        <f>IF(AT161&lt;&gt;"",AT161,ROUND(AS161*INDEX('Live Calc'!$G$259:$G$450,MATCH(AM161,'Live Calc'!$A$259:$A$450,0))*'Live Calc'!$J$543,0))</f>
        <v>1</v>
      </c>
    </row>
    <row r="162" spans="17:47" x14ac:dyDescent="0.25">
      <c r="AG162" s="11" t="s">
        <v>552</v>
      </c>
      <c r="AH162" s="11" t="s">
        <v>185</v>
      </c>
      <c r="AI162" s="11">
        <v>16.89</v>
      </c>
      <c r="AJ162" s="11">
        <v>22.01</v>
      </c>
      <c r="AK162" s="11">
        <v>27.12</v>
      </c>
      <c r="AL162" s="11">
        <f>CHOOSE(MATCH(Setup!$B$7,{"STD","Half-PPR","PPR"},0),AI162,AJ162,AK162)</f>
        <v>22.01</v>
      </c>
      <c r="AM162" s="11">
        <f>COUNTIFS('Draft Board'!$AN$2:$AN$193,"&gt;="&amp;AN162,'Draft Board'!$AR$2:$AR$193,1)</f>
        <v>20</v>
      </c>
      <c r="AN162" s="11">
        <f>MAX(0,AL162-'Live Calc'!$H$21)^'Live Calc'!$E$21</f>
        <v>0</v>
      </c>
      <c r="AO162" s="11">
        <v>162</v>
      </c>
      <c r="AP162" s="11">
        <f>IF(AO162&lt;&gt;_xlfn.MINIFS('Draft Board'!$AO$2:$AO$193,'Draft Board'!$AN$2:$AN$193,"="&amp;AN162),0,IF(_xlfn.MINIFS('Draft Board'!$AN$2:$AN$193,'Draft Board'!$AN$2:$AN$193,"&gt;"&amp;AN162)=0,1,IF((_xlfn.MINIFS('Draft Board'!$AN$2:$AN$193,'Draft Board'!$AN$2:$AN$193,"&gt;"&amp;AN162)-AN162)/_xlfn.MINIFS('Draft Board'!$AN$2:$AN$193,'Draft Board'!$AN$2:$AN$193,"&gt;"&amp;AN162)&gt;0.08,1,0)))</f>
        <v>0</v>
      </c>
      <c r="AQ162" s="11">
        <f>_xlfn.MINIFS('Draft Board'!$AN$2:$AN$193,'Draft Board'!$AN$2:$AN$193,"&gt;="&amp;AN162,'Draft Board'!$AP$2:$AP$193,1)</f>
        <v>0</v>
      </c>
      <c r="AR162" s="11">
        <f>IF(AO162&lt;&gt;_xlfn.MINIFS('Draft Board'!$AO$2:$AO$193,'Draft Board'!$AN$2:$AN$193,"="&amp;AN162),0,IF(OR(AP162=1,IFERROR(FLOOR((AQ162-AN162)/AQ162/0.25,1),0)&lt;&gt;IFERROR(FLOOR((AQ162-_xlfn.MINIFS('Draft Board'!$AN$2:$AN$193,'Draft Board'!$AN$2:$AN$193,"&gt;"&amp;AN162))/AQ162/0.25,1),0)),1,0))</f>
        <v>0</v>
      </c>
      <c r="AS162" s="11">
        <f>ROUND(1+AN162*'Live Calc'!$D$28,0)</f>
        <v>1</v>
      </c>
      <c r="AT162" s="11"/>
      <c r="AU162" s="11">
        <f>IF(AT162&lt;&gt;"",AT162,ROUND(AS162*INDEX('Live Calc'!$G$259:$G$450,MATCH(AM162,'Live Calc'!$A$259:$A$450,0))*'Live Calc'!$J$543,0))</f>
        <v>1</v>
      </c>
    </row>
    <row r="163" spans="17:47" x14ac:dyDescent="0.25">
      <c r="AG163" s="11" t="s">
        <v>553</v>
      </c>
      <c r="AH163" s="11" t="s">
        <v>246</v>
      </c>
      <c r="AI163" s="11">
        <v>15.4</v>
      </c>
      <c r="AJ163" s="11">
        <v>19.55</v>
      </c>
      <c r="AK163" s="11">
        <v>23.7</v>
      </c>
      <c r="AL163" s="11">
        <f>CHOOSE(MATCH(Setup!$B$7,{"STD","Half-PPR","PPR"},0),AI163,AJ163,AK163)</f>
        <v>19.55</v>
      </c>
      <c r="AM163" s="11">
        <f>COUNTIFS('Draft Board'!$AN$2:$AN$193,"&gt;="&amp;AN163,'Draft Board'!$AR$2:$AR$193,1)</f>
        <v>20</v>
      </c>
      <c r="AN163" s="11">
        <f>MAX(0,AL163-'Live Calc'!$H$21)^'Live Calc'!$E$21</f>
        <v>0</v>
      </c>
      <c r="AO163" s="11">
        <v>163</v>
      </c>
      <c r="AP163" s="11">
        <f>IF(AO163&lt;&gt;_xlfn.MINIFS('Draft Board'!$AO$2:$AO$193,'Draft Board'!$AN$2:$AN$193,"="&amp;AN163),0,IF(_xlfn.MINIFS('Draft Board'!$AN$2:$AN$193,'Draft Board'!$AN$2:$AN$193,"&gt;"&amp;AN163)=0,1,IF((_xlfn.MINIFS('Draft Board'!$AN$2:$AN$193,'Draft Board'!$AN$2:$AN$193,"&gt;"&amp;AN163)-AN163)/_xlfn.MINIFS('Draft Board'!$AN$2:$AN$193,'Draft Board'!$AN$2:$AN$193,"&gt;"&amp;AN163)&gt;0.08,1,0)))</f>
        <v>0</v>
      </c>
      <c r="AQ163" s="11">
        <f>_xlfn.MINIFS('Draft Board'!$AN$2:$AN$193,'Draft Board'!$AN$2:$AN$193,"&gt;="&amp;AN163,'Draft Board'!$AP$2:$AP$193,1)</f>
        <v>0</v>
      </c>
      <c r="AR163" s="11">
        <f>IF(AO163&lt;&gt;_xlfn.MINIFS('Draft Board'!$AO$2:$AO$193,'Draft Board'!$AN$2:$AN$193,"="&amp;AN163),0,IF(OR(AP163=1,IFERROR(FLOOR((AQ163-AN163)/AQ163/0.25,1),0)&lt;&gt;IFERROR(FLOOR((AQ163-_xlfn.MINIFS('Draft Board'!$AN$2:$AN$193,'Draft Board'!$AN$2:$AN$193,"&gt;"&amp;AN163))/AQ163/0.25,1),0)),1,0))</f>
        <v>0</v>
      </c>
      <c r="AS163" s="11">
        <f>ROUND(1+AN163*'Live Calc'!$D$28,0)</f>
        <v>1</v>
      </c>
      <c r="AT163" s="11"/>
      <c r="AU163" s="11">
        <f>IF(AT163&lt;&gt;"",AT163,ROUND(AS163*INDEX('Live Calc'!$G$259:$G$450,MATCH(AM163,'Live Calc'!$A$259:$A$450,0))*'Live Calc'!$J$543,0))</f>
        <v>1</v>
      </c>
    </row>
    <row r="164" spans="17:47" x14ac:dyDescent="0.25">
      <c r="AG164" s="11" t="s">
        <v>554</v>
      </c>
      <c r="AH164" s="11" t="s">
        <v>149</v>
      </c>
      <c r="AI164" s="11">
        <v>15.12</v>
      </c>
      <c r="AJ164" s="11">
        <v>19.37</v>
      </c>
      <c r="AK164" s="11">
        <v>23.63</v>
      </c>
      <c r="AL164" s="11">
        <f>CHOOSE(MATCH(Setup!$B$7,{"STD","Half-PPR","PPR"},0),AI164,AJ164,AK164)</f>
        <v>19.37</v>
      </c>
      <c r="AM164" s="11">
        <f>COUNTIFS('Draft Board'!$AN$2:$AN$193,"&gt;="&amp;AN164,'Draft Board'!$AR$2:$AR$193,1)</f>
        <v>20</v>
      </c>
      <c r="AN164" s="11">
        <f>MAX(0,AL164-'Live Calc'!$H$21)^'Live Calc'!$E$21</f>
        <v>0</v>
      </c>
      <c r="AO164" s="11">
        <v>164</v>
      </c>
      <c r="AP164" s="11">
        <f>IF(AO164&lt;&gt;_xlfn.MINIFS('Draft Board'!$AO$2:$AO$193,'Draft Board'!$AN$2:$AN$193,"="&amp;AN164),0,IF(_xlfn.MINIFS('Draft Board'!$AN$2:$AN$193,'Draft Board'!$AN$2:$AN$193,"&gt;"&amp;AN164)=0,1,IF((_xlfn.MINIFS('Draft Board'!$AN$2:$AN$193,'Draft Board'!$AN$2:$AN$193,"&gt;"&amp;AN164)-AN164)/_xlfn.MINIFS('Draft Board'!$AN$2:$AN$193,'Draft Board'!$AN$2:$AN$193,"&gt;"&amp;AN164)&gt;0.08,1,0)))</f>
        <v>0</v>
      </c>
      <c r="AQ164" s="11">
        <f>_xlfn.MINIFS('Draft Board'!$AN$2:$AN$193,'Draft Board'!$AN$2:$AN$193,"&gt;="&amp;AN164,'Draft Board'!$AP$2:$AP$193,1)</f>
        <v>0</v>
      </c>
      <c r="AR164" s="11">
        <f>IF(AO164&lt;&gt;_xlfn.MINIFS('Draft Board'!$AO$2:$AO$193,'Draft Board'!$AN$2:$AN$193,"="&amp;AN164),0,IF(OR(AP164=1,IFERROR(FLOOR((AQ164-AN164)/AQ164/0.25,1),0)&lt;&gt;IFERROR(FLOOR((AQ164-_xlfn.MINIFS('Draft Board'!$AN$2:$AN$193,'Draft Board'!$AN$2:$AN$193,"&gt;"&amp;AN164))/AQ164/0.25,1),0)),1,0))</f>
        <v>0</v>
      </c>
      <c r="AS164" s="11">
        <f>ROUND(1+AN164*'Live Calc'!$D$28,0)</f>
        <v>1</v>
      </c>
      <c r="AT164" s="11"/>
      <c r="AU164" s="11">
        <f>IF(AT164&lt;&gt;"",AT164,ROUND(AS164*INDEX('Live Calc'!$G$259:$G$450,MATCH(AM164,'Live Calc'!$A$259:$A$450,0))*'Live Calc'!$J$543,0))</f>
        <v>1</v>
      </c>
    </row>
    <row r="165" spans="17:47" x14ac:dyDescent="0.25">
      <c r="AG165" s="11" t="s">
        <v>555</v>
      </c>
      <c r="AH165" s="11" t="s">
        <v>59</v>
      </c>
      <c r="AI165" s="11">
        <v>14.4</v>
      </c>
      <c r="AJ165" s="11">
        <v>18.489999999999998</v>
      </c>
      <c r="AK165" s="11">
        <v>22.58</v>
      </c>
      <c r="AL165" s="11">
        <f>CHOOSE(MATCH(Setup!$B$7,{"STD","Half-PPR","PPR"},0),AI165,AJ165,AK165)</f>
        <v>18.489999999999998</v>
      </c>
      <c r="AM165" s="11">
        <f>COUNTIFS('Draft Board'!$AN$2:$AN$193,"&gt;="&amp;AN165,'Draft Board'!$AR$2:$AR$193,1)</f>
        <v>20</v>
      </c>
      <c r="AN165" s="11">
        <f>MAX(0,AL165-'Live Calc'!$H$21)^'Live Calc'!$E$21</f>
        <v>0</v>
      </c>
      <c r="AO165" s="11">
        <v>165</v>
      </c>
      <c r="AP165" s="11">
        <f>IF(AO165&lt;&gt;_xlfn.MINIFS('Draft Board'!$AO$2:$AO$193,'Draft Board'!$AN$2:$AN$193,"="&amp;AN165),0,IF(_xlfn.MINIFS('Draft Board'!$AN$2:$AN$193,'Draft Board'!$AN$2:$AN$193,"&gt;"&amp;AN165)=0,1,IF((_xlfn.MINIFS('Draft Board'!$AN$2:$AN$193,'Draft Board'!$AN$2:$AN$193,"&gt;"&amp;AN165)-AN165)/_xlfn.MINIFS('Draft Board'!$AN$2:$AN$193,'Draft Board'!$AN$2:$AN$193,"&gt;"&amp;AN165)&gt;0.08,1,0)))</f>
        <v>0</v>
      </c>
      <c r="AQ165" s="11">
        <f>_xlfn.MINIFS('Draft Board'!$AN$2:$AN$193,'Draft Board'!$AN$2:$AN$193,"&gt;="&amp;AN165,'Draft Board'!$AP$2:$AP$193,1)</f>
        <v>0</v>
      </c>
      <c r="AR165" s="11">
        <f>IF(AO165&lt;&gt;_xlfn.MINIFS('Draft Board'!$AO$2:$AO$193,'Draft Board'!$AN$2:$AN$193,"="&amp;AN165),0,IF(OR(AP165=1,IFERROR(FLOOR((AQ165-AN165)/AQ165/0.25,1),0)&lt;&gt;IFERROR(FLOOR((AQ165-_xlfn.MINIFS('Draft Board'!$AN$2:$AN$193,'Draft Board'!$AN$2:$AN$193,"&gt;"&amp;AN165))/AQ165/0.25,1),0)),1,0))</f>
        <v>0</v>
      </c>
      <c r="AS165" s="11">
        <f>ROUND(1+AN165*'Live Calc'!$D$28,0)</f>
        <v>1</v>
      </c>
      <c r="AT165" s="11"/>
      <c r="AU165" s="11">
        <f>IF(AT165&lt;&gt;"",AT165,ROUND(AS165*INDEX('Live Calc'!$G$259:$G$450,MATCH(AM165,'Live Calc'!$A$259:$A$450,0))*'Live Calc'!$J$543,0))</f>
        <v>1</v>
      </c>
    </row>
    <row r="166" spans="17:47" x14ac:dyDescent="0.25">
      <c r="AG166" s="11" t="s">
        <v>556</v>
      </c>
      <c r="AH166" s="11" t="s">
        <v>143</v>
      </c>
      <c r="AI166" s="11">
        <v>12.69</v>
      </c>
      <c r="AJ166" s="11">
        <v>18.09</v>
      </c>
      <c r="AK166" s="11">
        <v>23.48</v>
      </c>
      <c r="AL166" s="11">
        <f>CHOOSE(MATCH(Setup!$B$7,{"STD","Half-PPR","PPR"},0),AI166,AJ166,AK166)</f>
        <v>18.09</v>
      </c>
      <c r="AM166" s="11">
        <f>COUNTIFS('Draft Board'!$AN$2:$AN$193,"&gt;="&amp;AN166,'Draft Board'!$AR$2:$AR$193,1)</f>
        <v>20</v>
      </c>
      <c r="AN166" s="11">
        <f>MAX(0,AL166-'Live Calc'!$H$21)^'Live Calc'!$E$21</f>
        <v>0</v>
      </c>
      <c r="AO166" s="11">
        <v>166</v>
      </c>
      <c r="AP166" s="11">
        <f>IF(AO166&lt;&gt;_xlfn.MINIFS('Draft Board'!$AO$2:$AO$193,'Draft Board'!$AN$2:$AN$193,"="&amp;AN166),0,IF(_xlfn.MINIFS('Draft Board'!$AN$2:$AN$193,'Draft Board'!$AN$2:$AN$193,"&gt;"&amp;AN166)=0,1,IF((_xlfn.MINIFS('Draft Board'!$AN$2:$AN$193,'Draft Board'!$AN$2:$AN$193,"&gt;"&amp;AN166)-AN166)/_xlfn.MINIFS('Draft Board'!$AN$2:$AN$193,'Draft Board'!$AN$2:$AN$193,"&gt;"&amp;AN166)&gt;0.08,1,0)))</f>
        <v>0</v>
      </c>
      <c r="AQ166" s="11">
        <f>_xlfn.MINIFS('Draft Board'!$AN$2:$AN$193,'Draft Board'!$AN$2:$AN$193,"&gt;="&amp;AN166,'Draft Board'!$AP$2:$AP$193,1)</f>
        <v>0</v>
      </c>
      <c r="AR166" s="11">
        <f>IF(AO166&lt;&gt;_xlfn.MINIFS('Draft Board'!$AO$2:$AO$193,'Draft Board'!$AN$2:$AN$193,"="&amp;AN166),0,IF(OR(AP166=1,IFERROR(FLOOR((AQ166-AN166)/AQ166/0.25,1),0)&lt;&gt;IFERROR(FLOOR((AQ166-_xlfn.MINIFS('Draft Board'!$AN$2:$AN$193,'Draft Board'!$AN$2:$AN$193,"&gt;"&amp;AN166))/AQ166/0.25,1),0)),1,0))</f>
        <v>0</v>
      </c>
      <c r="AS166" s="11">
        <f>ROUND(1+AN166*'Live Calc'!$D$28,0)</f>
        <v>1</v>
      </c>
      <c r="AT166" s="11"/>
      <c r="AU166" s="11">
        <f>IF(AT166&lt;&gt;"",AT166,ROUND(AS166*INDEX('Live Calc'!$G$259:$G$450,MATCH(AM166,'Live Calc'!$A$259:$A$450,0))*'Live Calc'!$J$543,0))</f>
        <v>1</v>
      </c>
    </row>
    <row r="167" spans="17:47" x14ac:dyDescent="0.25">
      <c r="AG167" s="11" t="s">
        <v>557</v>
      </c>
      <c r="AH167" s="11" t="s">
        <v>119</v>
      </c>
      <c r="AI167" s="11">
        <v>13.95</v>
      </c>
      <c r="AJ167" s="11">
        <v>17.98</v>
      </c>
      <c r="AK167" s="11">
        <v>22.02</v>
      </c>
      <c r="AL167" s="11">
        <f>CHOOSE(MATCH(Setup!$B$7,{"STD","Half-PPR","PPR"},0),AI167,AJ167,AK167)</f>
        <v>17.98</v>
      </c>
      <c r="AM167" s="11">
        <f>COUNTIFS('Draft Board'!$AN$2:$AN$193,"&gt;="&amp;AN167,'Draft Board'!$AR$2:$AR$193,1)</f>
        <v>20</v>
      </c>
      <c r="AN167" s="11">
        <f>MAX(0,AL167-'Live Calc'!$H$21)^'Live Calc'!$E$21</f>
        <v>0</v>
      </c>
      <c r="AO167" s="11">
        <v>167</v>
      </c>
      <c r="AP167" s="11">
        <f>IF(AO167&lt;&gt;_xlfn.MINIFS('Draft Board'!$AO$2:$AO$193,'Draft Board'!$AN$2:$AN$193,"="&amp;AN167),0,IF(_xlfn.MINIFS('Draft Board'!$AN$2:$AN$193,'Draft Board'!$AN$2:$AN$193,"&gt;"&amp;AN167)=0,1,IF((_xlfn.MINIFS('Draft Board'!$AN$2:$AN$193,'Draft Board'!$AN$2:$AN$193,"&gt;"&amp;AN167)-AN167)/_xlfn.MINIFS('Draft Board'!$AN$2:$AN$193,'Draft Board'!$AN$2:$AN$193,"&gt;"&amp;AN167)&gt;0.08,1,0)))</f>
        <v>0</v>
      </c>
      <c r="AQ167" s="11">
        <f>_xlfn.MINIFS('Draft Board'!$AN$2:$AN$193,'Draft Board'!$AN$2:$AN$193,"&gt;="&amp;AN167,'Draft Board'!$AP$2:$AP$193,1)</f>
        <v>0</v>
      </c>
      <c r="AR167" s="11">
        <f>IF(AO167&lt;&gt;_xlfn.MINIFS('Draft Board'!$AO$2:$AO$193,'Draft Board'!$AN$2:$AN$193,"="&amp;AN167),0,IF(OR(AP167=1,IFERROR(FLOOR((AQ167-AN167)/AQ167/0.25,1),0)&lt;&gt;IFERROR(FLOOR((AQ167-_xlfn.MINIFS('Draft Board'!$AN$2:$AN$193,'Draft Board'!$AN$2:$AN$193,"&gt;"&amp;AN167))/AQ167/0.25,1),0)),1,0))</f>
        <v>0</v>
      </c>
      <c r="AS167" s="11">
        <f>ROUND(1+AN167*'Live Calc'!$D$28,0)</f>
        <v>1</v>
      </c>
      <c r="AT167" s="11"/>
      <c r="AU167" s="11">
        <f>IF(AT167&lt;&gt;"",AT167,ROUND(AS167*INDEX('Live Calc'!$G$259:$G$450,MATCH(AM167,'Live Calc'!$A$259:$A$450,0))*'Live Calc'!$J$543,0))</f>
        <v>1</v>
      </c>
    </row>
    <row r="168" spans="17:47" x14ac:dyDescent="0.25">
      <c r="AG168" s="11" t="s">
        <v>558</v>
      </c>
      <c r="AH168" s="11" t="s">
        <v>143</v>
      </c>
      <c r="AI168" s="11">
        <v>13.44</v>
      </c>
      <c r="AJ168" s="11">
        <v>17.96</v>
      </c>
      <c r="AK168" s="11">
        <v>22.48</v>
      </c>
      <c r="AL168" s="11">
        <f>CHOOSE(MATCH(Setup!$B$7,{"STD","Half-PPR","PPR"},0),AI168,AJ168,AK168)</f>
        <v>17.96</v>
      </c>
      <c r="AM168" s="11">
        <f>COUNTIFS('Draft Board'!$AN$2:$AN$193,"&gt;="&amp;AN168,'Draft Board'!$AR$2:$AR$193,1)</f>
        <v>20</v>
      </c>
      <c r="AN168" s="11">
        <f>MAX(0,AL168-'Live Calc'!$H$21)^'Live Calc'!$E$21</f>
        <v>0</v>
      </c>
      <c r="AO168" s="11">
        <v>168</v>
      </c>
      <c r="AP168" s="11">
        <f>IF(AO168&lt;&gt;_xlfn.MINIFS('Draft Board'!$AO$2:$AO$193,'Draft Board'!$AN$2:$AN$193,"="&amp;AN168),0,IF(_xlfn.MINIFS('Draft Board'!$AN$2:$AN$193,'Draft Board'!$AN$2:$AN$193,"&gt;"&amp;AN168)=0,1,IF((_xlfn.MINIFS('Draft Board'!$AN$2:$AN$193,'Draft Board'!$AN$2:$AN$193,"&gt;"&amp;AN168)-AN168)/_xlfn.MINIFS('Draft Board'!$AN$2:$AN$193,'Draft Board'!$AN$2:$AN$193,"&gt;"&amp;AN168)&gt;0.08,1,0)))</f>
        <v>0</v>
      </c>
      <c r="AQ168" s="11">
        <f>_xlfn.MINIFS('Draft Board'!$AN$2:$AN$193,'Draft Board'!$AN$2:$AN$193,"&gt;="&amp;AN168,'Draft Board'!$AP$2:$AP$193,1)</f>
        <v>0</v>
      </c>
      <c r="AR168" s="11">
        <f>IF(AO168&lt;&gt;_xlfn.MINIFS('Draft Board'!$AO$2:$AO$193,'Draft Board'!$AN$2:$AN$193,"="&amp;AN168),0,IF(OR(AP168=1,IFERROR(FLOOR((AQ168-AN168)/AQ168/0.25,1),0)&lt;&gt;IFERROR(FLOOR((AQ168-_xlfn.MINIFS('Draft Board'!$AN$2:$AN$193,'Draft Board'!$AN$2:$AN$193,"&gt;"&amp;AN168))/AQ168/0.25,1),0)),1,0))</f>
        <v>0</v>
      </c>
      <c r="AS168" s="11">
        <f>ROUND(1+AN168*'Live Calc'!$D$28,0)</f>
        <v>1</v>
      </c>
      <c r="AT168" s="11"/>
      <c r="AU168" s="11">
        <f>IF(AT168&lt;&gt;"",AT168,ROUND(AS168*INDEX('Live Calc'!$G$259:$G$450,MATCH(AM168,'Live Calc'!$A$259:$A$450,0))*'Live Calc'!$J$543,0))</f>
        <v>1</v>
      </c>
    </row>
    <row r="169" spans="17:47" x14ac:dyDescent="0.25">
      <c r="AG169" s="11" t="s">
        <v>559</v>
      </c>
      <c r="AH169" s="11" t="s">
        <v>55</v>
      </c>
      <c r="AI169" s="11">
        <v>12.1</v>
      </c>
      <c r="AJ169" s="11">
        <v>17.600000000000001</v>
      </c>
      <c r="AK169" s="11">
        <v>23.1</v>
      </c>
      <c r="AL169" s="11">
        <f>CHOOSE(MATCH(Setup!$B$7,{"STD","Half-PPR","PPR"},0),AI169,AJ169,AK169)</f>
        <v>17.600000000000001</v>
      </c>
      <c r="AM169" s="11">
        <f>COUNTIFS('Draft Board'!$AN$2:$AN$193,"&gt;="&amp;AN169,'Draft Board'!$AR$2:$AR$193,1)</f>
        <v>20</v>
      </c>
      <c r="AN169" s="11">
        <f>MAX(0,AL169-'Live Calc'!$H$21)^'Live Calc'!$E$21</f>
        <v>0</v>
      </c>
      <c r="AO169" s="11">
        <v>169</v>
      </c>
      <c r="AP169" s="11">
        <f>IF(AO169&lt;&gt;_xlfn.MINIFS('Draft Board'!$AO$2:$AO$193,'Draft Board'!$AN$2:$AN$193,"="&amp;AN169),0,IF(_xlfn.MINIFS('Draft Board'!$AN$2:$AN$193,'Draft Board'!$AN$2:$AN$193,"&gt;"&amp;AN169)=0,1,IF((_xlfn.MINIFS('Draft Board'!$AN$2:$AN$193,'Draft Board'!$AN$2:$AN$193,"&gt;"&amp;AN169)-AN169)/_xlfn.MINIFS('Draft Board'!$AN$2:$AN$193,'Draft Board'!$AN$2:$AN$193,"&gt;"&amp;AN169)&gt;0.08,1,0)))</f>
        <v>0</v>
      </c>
      <c r="AQ169" s="11">
        <f>_xlfn.MINIFS('Draft Board'!$AN$2:$AN$193,'Draft Board'!$AN$2:$AN$193,"&gt;="&amp;AN169,'Draft Board'!$AP$2:$AP$193,1)</f>
        <v>0</v>
      </c>
      <c r="AR169" s="11">
        <f>IF(AO169&lt;&gt;_xlfn.MINIFS('Draft Board'!$AO$2:$AO$193,'Draft Board'!$AN$2:$AN$193,"="&amp;AN169),0,IF(OR(AP169=1,IFERROR(FLOOR((AQ169-AN169)/AQ169/0.25,1),0)&lt;&gt;IFERROR(FLOOR((AQ169-_xlfn.MINIFS('Draft Board'!$AN$2:$AN$193,'Draft Board'!$AN$2:$AN$193,"&gt;"&amp;AN169))/AQ169/0.25,1),0)),1,0))</f>
        <v>0</v>
      </c>
      <c r="AS169" s="11">
        <f>ROUND(1+AN169*'Live Calc'!$D$28,0)</f>
        <v>1</v>
      </c>
      <c r="AT169" s="11"/>
      <c r="AU169" s="11">
        <f>IF(AT169&lt;&gt;"",AT169,ROUND(AS169*INDEX('Live Calc'!$G$259:$G$450,MATCH(AM169,'Live Calc'!$A$259:$A$450,0))*'Live Calc'!$J$543,0))</f>
        <v>1</v>
      </c>
    </row>
    <row r="170" spans="17:47" x14ac:dyDescent="0.25">
      <c r="AG170" s="11" t="s">
        <v>560</v>
      </c>
      <c r="AH170" s="11" t="s">
        <v>100</v>
      </c>
      <c r="AI170" s="11">
        <v>12.42</v>
      </c>
      <c r="AJ170" s="11">
        <v>17.07</v>
      </c>
      <c r="AK170" s="11">
        <v>21.72</v>
      </c>
      <c r="AL170" s="11">
        <f>CHOOSE(MATCH(Setup!$B$7,{"STD","Half-PPR","PPR"},0),AI170,AJ170,AK170)</f>
        <v>17.07</v>
      </c>
      <c r="AM170" s="11">
        <f>COUNTIFS('Draft Board'!$AN$2:$AN$193,"&gt;="&amp;AN170,'Draft Board'!$AR$2:$AR$193,1)</f>
        <v>20</v>
      </c>
      <c r="AN170" s="11">
        <f>MAX(0,AL170-'Live Calc'!$H$21)^'Live Calc'!$E$21</f>
        <v>0</v>
      </c>
      <c r="AO170" s="11">
        <v>170</v>
      </c>
      <c r="AP170" s="11">
        <f>IF(AO170&lt;&gt;_xlfn.MINIFS('Draft Board'!$AO$2:$AO$193,'Draft Board'!$AN$2:$AN$193,"="&amp;AN170),0,IF(_xlfn.MINIFS('Draft Board'!$AN$2:$AN$193,'Draft Board'!$AN$2:$AN$193,"&gt;"&amp;AN170)=0,1,IF((_xlfn.MINIFS('Draft Board'!$AN$2:$AN$193,'Draft Board'!$AN$2:$AN$193,"&gt;"&amp;AN170)-AN170)/_xlfn.MINIFS('Draft Board'!$AN$2:$AN$193,'Draft Board'!$AN$2:$AN$193,"&gt;"&amp;AN170)&gt;0.08,1,0)))</f>
        <v>0</v>
      </c>
      <c r="AQ170" s="11">
        <f>_xlfn.MINIFS('Draft Board'!$AN$2:$AN$193,'Draft Board'!$AN$2:$AN$193,"&gt;="&amp;AN170,'Draft Board'!$AP$2:$AP$193,1)</f>
        <v>0</v>
      </c>
      <c r="AR170" s="11">
        <f>IF(AO170&lt;&gt;_xlfn.MINIFS('Draft Board'!$AO$2:$AO$193,'Draft Board'!$AN$2:$AN$193,"="&amp;AN170),0,IF(OR(AP170=1,IFERROR(FLOOR((AQ170-AN170)/AQ170/0.25,1),0)&lt;&gt;IFERROR(FLOOR((AQ170-_xlfn.MINIFS('Draft Board'!$AN$2:$AN$193,'Draft Board'!$AN$2:$AN$193,"&gt;"&amp;AN170))/AQ170/0.25,1),0)),1,0))</f>
        <v>0</v>
      </c>
      <c r="AS170" s="11">
        <f>ROUND(1+AN170*'Live Calc'!$D$28,0)</f>
        <v>1</v>
      </c>
      <c r="AT170" s="11"/>
      <c r="AU170" s="11">
        <f>IF(AT170&lt;&gt;"",AT170,ROUND(AS170*INDEX('Live Calc'!$G$259:$G$450,MATCH(AM170,'Live Calc'!$A$259:$A$450,0))*'Live Calc'!$J$543,0))</f>
        <v>1</v>
      </c>
    </row>
    <row r="171" spans="17:47" x14ac:dyDescent="0.25">
      <c r="AG171" s="11" t="s">
        <v>561</v>
      </c>
      <c r="AH171" s="11" t="s">
        <v>88</v>
      </c>
      <c r="AI171" s="11">
        <v>13.38</v>
      </c>
      <c r="AJ171" s="11">
        <v>17.02</v>
      </c>
      <c r="AK171" s="11">
        <v>20.66</v>
      </c>
      <c r="AL171" s="11">
        <f>CHOOSE(MATCH(Setup!$B$7,{"STD","Half-PPR","PPR"},0),AI171,AJ171,AK171)</f>
        <v>17.02</v>
      </c>
      <c r="AM171" s="11">
        <f>COUNTIFS('Draft Board'!$AN$2:$AN$193,"&gt;="&amp;AN171,'Draft Board'!$AR$2:$AR$193,1)</f>
        <v>20</v>
      </c>
      <c r="AN171" s="11">
        <f>MAX(0,AL171-'Live Calc'!$H$21)^'Live Calc'!$E$21</f>
        <v>0</v>
      </c>
      <c r="AO171" s="11">
        <v>171</v>
      </c>
      <c r="AP171" s="11">
        <f>IF(AO171&lt;&gt;_xlfn.MINIFS('Draft Board'!$AO$2:$AO$193,'Draft Board'!$AN$2:$AN$193,"="&amp;AN171),0,IF(_xlfn.MINIFS('Draft Board'!$AN$2:$AN$193,'Draft Board'!$AN$2:$AN$193,"&gt;"&amp;AN171)=0,1,IF((_xlfn.MINIFS('Draft Board'!$AN$2:$AN$193,'Draft Board'!$AN$2:$AN$193,"&gt;"&amp;AN171)-AN171)/_xlfn.MINIFS('Draft Board'!$AN$2:$AN$193,'Draft Board'!$AN$2:$AN$193,"&gt;"&amp;AN171)&gt;0.08,1,0)))</f>
        <v>0</v>
      </c>
      <c r="AQ171" s="11">
        <f>_xlfn.MINIFS('Draft Board'!$AN$2:$AN$193,'Draft Board'!$AN$2:$AN$193,"&gt;="&amp;AN171,'Draft Board'!$AP$2:$AP$193,1)</f>
        <v>0</v>
      </c>
      <c r="AR171" s="11">
        <f>IF(AO171&lt;&gt;_xlfn.MINIFS('Draft Board'!$AO$2:$AO$193,'Draft Board'!$AN$2:$AN$193,"="&amp;AN171),0,IF(OR(AP171=1,IFERROR(FLOOR((AQ171-AN171)/AQ171/0.25,1),0)&lt;&gt;IFERROR(FLOOR((AQ171-_xlfn.MINIFS('Draft Board'!$AN$2:$AN$193,'Draft Board'!$AN$2:$AN$193,"&gt;"&amp;AN171))/AQ171/0.25,1),0)),1,0))</f>
        <v>0</v>
      </c>
      <c r="AS171" s="11">
        <f>ROUND(1+AN171*'Live Calc'!$D$28,0)</f>
        <v>1</v>
      </c>
      <c r="AT171" s="11"/>
      <c r="AU171" s="11">
        <f>IF(AT171&lt;&gt;"",AT171,ROUND(AS171*INDEX('Live Calc'!$G$259:$G$450,MATCH(AM171,'Live Calc'!$A$259:$A$450,0))*'Live Calc'!$J$543,0))</f>
        <v>1</v>
      </c>
    </row>
    <row r="172" spans="17:47" x14ac:dyDescent="0.25">
      <c r="AG172" s="11" t="s">
        <v>562</v>
      </c>
      <c r="AH172" s="11" t="s">
        <v>113</v>
      </c>
      <c r="AI172" s="11">
        <v>12.66</v>
      </c>
      <c r="AJ172" s="11">
        <v>16.5</v>
      </c>
      <c r="AK172" s="11">
        <v>20.350000000000001</v>
      </c>
      <c r="AL172" s="11">
        <f>CHOOSE(MATCH(Setup!$B$7,{"STD","Half-PPR","PPR"},0),AI172,AJ172,AK172)</f>
        <v>16.5</v>
      </c>
      <c r="AM172" s="11">
        <f>COUNTIFS('Draft Board'!$AN$2:$AN$193,"&gt;="&amp;AN172,'Draft Board'!$AR$2:$AR$193,1)</f>
        <v>20</v>
      </c>
      <c r="AN172" s="11">
        <f>MAX(0,AL172-'Live Calc'!$H$21)^'Live Calc'!$E$21</f>
        <v>0</v>
      </c>
      <c r="AO172" s="11">
        <v>172</v>
      </c>
      <c r="AP172" s="11">
        <f>IF(AO172&lt;&gt;_xlfn.MINIFS('Draft Board'!$AO$2:$AO$193,'Draft Board'!$AN$2:$AN$193,"="&amp;AN172),0,IF(_xlfn.MINIFS('Draft Board'!$AN$2:$AN$193,'Draft Board'!$AN$2:$AN$193,"&gt;"&amp;AN172)=0,1,IF((_xlfn.MINIFS('Draft Board'!$AN$2:$AN$193,'Draft Board'!$AN$2:$AN$193,"&gt;"&amp;AN172)-AN172)/_xlfn.MINIFS('Draft Board'!$AN$2:$AN$193,'Draft Board'!$AN$2:$AN$193,"&gt;"&amp;AN172)&gt;0.08,1,0)))</f>
        <v>0</v>
      </c>
      <c r="AQ172" s="11">
        <f>_xlfn.MINIFS('Draft Board'!$AN$2:$AN$193,'Draft Board'!$AN$2:$AN$193,"&gt;="&amp;AN172,'Draft Board'!$AP$2:$AP$193,1)</f>
        <v>0</v>
      </c>
      <c r="AR172" s="11">
        <f>IF(AO172&lt;&gt;_xlfn.MINIFS('Draft Board'!$AO$2:$AO$193,'Draft Board'!$AN$2:$AN$193,"="&amp;AN172),0,IF(OR(AP172=1,IFERROR(FLOOR((AQ172-AN172)/AQ172/0.25,1),0)&lt;&gt;IFERROR(FLOOR((AQ172-_xlfn.MINIFS('Draft Board'!$AN$2:$AN$193,'Draft Board'!$AN$2:$AN$193,"&gt;"&amp;AN172))/AQ172/0.25,1),0)),1,0))</f>
        <v>0</v>
      </c>
      <c r="AS172" s="11">
        <f>ROUND(1+AN172*'Live Calc'!$D$28,0)</f>
        <v>1</v>
      </c>
      <c r="AT172" s="11"/>
      <c r="AU172" s="11">
        <f>IF(AT172&lt;&gt;"",AT172,ROUND(AS172*INDEX('Live Calc'!$G$259:$G$450,MATCH(AM172,'Live Calc'!$A$259:$A$450,0))*'Live Calc'!$J$543,0))</f>
        <v>1</v>
      </c>
    </row>
    <row r="173" spans="17:47" x14ac:dyDescent="0.25">
      <c r="AG173" s="11" t="s">
        <v>563</v>
      </c>
      <c r="AH173" s="11" t="s">
        <v>96</v>
      </c>
      <c r="AI173" s="11">
        <v>12.44</v>
      </c>
      <c r="AJ173" s="11">
        <v>16.14</v>
      </c>
      <c r="AK173" s="11">
        <v>19.850000000000001</v>
      </c>
      <c r="AL173" s="11">
        <f>CHOOSE(MATCH(Setup!$B$7,{"STD","Half-PPR","PPR"},0),AI173,AJ173,AK173)</f>
        <v>16.14</v>
      </c>
      <c r="AM173" s="11">
        <f>COUNTIFS('Draft Board'!$AN$2:$AN$193,"&gt;="&amp;AN173,'Draft Board'!$AR$2:$AR$193,1)</f>
        <v>20</v>
      </c>
      <c r="AN173" s="11">
        <f>MAX(0,AL173-'Live Calc'!$H$21)^'Live Calc'!$E$21</f>
        <v>0</v>
      </c>
      <c r="AO173" s="11">
        <v>173</v>
      </c>
      <c r="AP173" s="11">
        <f>IF(AO173&lt;&gt;_xlfn.MINIFS('Draft Board'!$AO$2:$AO$193,'Draft Board'!$AN$2:$AN$193,"="&amp;AN173),0,IF(_xlfn.MINIFS('Draft Board'!$AN$2:$AN$193,'Draft Board'!$AN$2:$AN$193,"&gt;"&amp;AN173)=0,1,IF((_xlfn.MINIFS('Draft Board'!$AN$2:$AN$193,'Draft Board'!$AN$2:$AN$193,"&gt;"&amp;AN173)-AN173)/_xlfn.MINIFS('Draft Board'!$AN$2:$AN$193,'Draft Board'!$AN$2:$AN$193,"&gt;"&amp;AN173)&gt;0.08,1,0)))</f>
        <v>0</v>
      </c>
      <c r="AQ173" s="11">
        <f>_xlfn.MINIFS('Draft Board'!$AN$2:$AN$193,'Draft Board'!$AN$2:$AN$193,"&gt;="&amp;AN173,'Draft Board'!$AP$2:$AP$193,1)</f>
        <v>0</v>
      </c>
      <c r="AR173" s="11">
        <f>IF(AO173&lt;&gt;_xlfn.MINIFS('Draft Board'!$AO$2:$AO$193,'Draft Board'!$AN$2:$AN$193,"="&amp;AN173),0,IF(OR(AP173=1,IFERROR(FLOOR((AQ173-AN173)/AQ173/0.25,1),0)&lt;&gt;IFERROR(FLOOR((AQ173-_xlfn.MINIFS('Draft Board'!$AN$2:$AN$193,'Draft Board'!$AN$2:$AN$193,"&gt;"&amp;AN173))/AQ173/0.25,1),0)),1,0))</f>
        <v>0</v>
      </c>
      <c r="AS173" s="11">
        <f>ROUND(1+AN173*'Live Calc'!$D$28,0)</f>
        <v>1</v>
      </c>
      <c r="AT173" s="11"/>
      <c r="AU173" s="11">
        <f>IF(AT173&lt;&gt;"",AT173,ROUND(AS173*INDEX('Live Calc'!$G$259:$G$450,MATCH(AM173,'Live Calc'!$A$259:$A$450,0))*'Live Calc'!$J$543,0))</f>
        <v>1</v>
      </c>
    </row>
    <row r="174" spans="17:47" x14ac:dyDescent="0.25">
      <c r="AG174" s="11" t="s">
        <v>564</v>
      </c>
      <c r="AH174" s="11" t="s">
        <v>126</v>
      </c>
      <c r="AI174" s="11">
        <v>11.79</v>
      </c>
      <c r="AJ174" s="11">
        <v>15.57</v>
      </c>
      <c r="AK174" s="11">
        <v>19.34</v>
      </c>
      <c r="AL174" s="11">
        <f>CHOOSE(MATCH(Setup!$B$7,{"STD","Half-PPR","PPR"},0),AI174,AJ174,AK174)</f>
        <v>15.57</v>
      </c>
      <c r="AM174" s="11">
        <f>COUNTIFS('Draft Board'!$AN$2:$AN$193,"&gt;="&amp;AN174,'Draft Board'!$AR$2:$AR$193,1)</f>
        <v>20</v>
      </c>
      <c r="AN174" s="11">
        <f>MAX(0,AL174-'Live Calc'!$H$21)^'Live Calc'!$E$21</f>
        <v>0</v>
      </c>
      <c r="AO174" s="11">
        <v>174</v>
      </c>
      <c r="AP174" s="11">
        <f>IF(AO174&lt;&gt;_xlfn.MINIFS('Draft Board'!$AO$2:$AO$193,'Draft Board'!$AN$2:$AN$193,"="&amp;AN174),0,IF(_xlfn.MINIFS('Draft Board'!$AN$2:$AN$193,'Draft Board'!$AN$2:$AN$193,"&gt;"&amp;AN174)=0,1,IF((_xlfn.MINIFS('Draft Board'!$AN$2:$AN$193,'Draft Board'!$AN$2:$AN$193,"&gt;"&amp;AN174)-AN174)/_xlfn.MINIFS('Draft Board'!$AN$2:$AN$193,'Draft Board'!$AN$2:$AN$193,"&gt;"&amp;AN174)&gt;0.08,1,0)))</f>
        <v>0</v>
      </c>
      <c r="AQ174" s="11">
        <f>_xlfn.MINIFS('Draft Board'!$AN$2:$AN$193,'Draft Board'!$AN$2:$AN$193,"&gt;="&amp;AN174,'Draft Board'!$AP$2:$AP$193,1)</f>
        <v>0</v>
      </c>
      <c r="AR174" s="11">
        <f>IF(AO174&lt;&gt;_xlfn.MINIFS('Draft Board'!$AO$2:$AO$193,'Draft Board'!$AN$2:$AN$193,"="&amp;AN174),0,IF(OR(AP174=1,IFERROR(FLOOR((AQ174-AN174)/AQ174/0.25,1),0)&lt;&gt;IFERROR(FLOOR((AQ174-_xlfn.MINIFS('Draft Board'!$AN$2:$AN$193,'Draft Board'!$AN$2:$AN$193,"&gt;"&amp;AN174))/AQ174/0.25,1),0)),1,0))</f>
        <v>0</v>
      </c>
      <c r="AS174" s="11">
        <f>ROUND(1+AN174*'Live Calc'!$D$28,0)</f>
        <v>1</v>
      </c>
      <c r="AT174" s="11"/>
      <c r="AU174" s="11">
        <f>IF(AT174&lt;&gt;"",AT174,ROUND(AS174*INDEX('Live Calc'!$G$259:$G$450,MATCH(AM174,'Live Calc'!$A$259:$A$450,0))*'Live Calc'!$J$543,0))</f>
        <v>1</v>
      </c>
    </row>
    <row r="175" spans="17:47" x14ac:dyDescent="0.25">
      <c r="AG175" s="11" t="s">
        <v>565</v>
      </c>
      <c r="AH175" s="11" t="s">
        <v>67</v>
      </c>
      <c r="AI175" s="11">
        <v>11.53</v>
      </c>
      <c r="AJ175" s="11">
        <v>15.48</v>
      </c>
      <c r="AK175" s="11">
        <v>19.43</v>
      </c>
      <c r="AL175" s="11">
        <f>CHOOSE(MATCH(Setup!$B$7,{"STD","Half-PPR","PPR"},0),AI175,AJ175,AK175)</f>
        <v>15.48</v>
      </c>
      <c r="AM175" s="11">
        <f>COUNTIFS('Draft Board'!$AN$2:$AN$193,"&gt;="&amp;AN175,'Draft Board'!$AR$2:$AR$193,1)</f>
        <v>20</v>
      </c>
      <c r="AN175" s="11">
        <f>MAX(0,AL175-'Live Calc'!$H$21)^'Live Calc'!$E$21</f>
        <v>0</v>
      </c>
      <c r="AO175" s="11">
        <v>175</v>
      </c>
      <c r="AP175" s="11">
        <f>IF(AO175&lt;&gt;_xlfn.MINIFS('Draft Board'!$AO$2:$AO$193,'Draft Board'!$AN$2:$AN$193,"="&amp;AN175),0,IF(_xlfn.MINIFS('Draft Board'!$AN$2:$AN$193,'Draft Board'!$AN$2:$AN$193,"&gt;"&amp;AN175)=0,1,IF((_xlfn.MINIFS('Draft Board'!$AN$2:$AN$193,'Draft Board'!$AN$2:$AN$193,"&gt;"&amp;AN175)-AN175)/_xlfn.MINIFS('Draft Board'!$AN$2:$AN$193,'Draft Board'!$AN$2:$AN$193,"&gt;"&amp;AN175)&gt;0.08,1,0)))</f>
        <v>0</v>
      </c>
      <c r="AQ175" s="11">
        <f>_xlfn.MINIFS('Draft Board'!$AN$2:$AN$193,'Draft Board'!$AN$2:$AN$193,"&gt;="&amp;AN175,'Draft Board'!$AP$2:$AP$193,1)</f>
        <v>0</v>
      </c>
      <c r="AR175" s="11">
        <f>IF(AO175&lt;&gt;_xlfn.MINIFS('Draft Board'!$AO$2:$AO$193,'Draft Board'!$AN$2:$AN$193,"="&amp;AN175),0,IF(OR(AP175=1,IFERROR(FLOOR((AQ175-AN175)/AQ175/0.25,1),0)&lt;&gt;IFERROR(FLOOR((AQ175-_xlfn.MINIFS('Draft Board'!$AN$2:$AN$193,'Draft Board'!$AN$2:$AN$193,"&gt;"&amp;AN175))/AQ175/0.25,1),0)),1,0))</f>
        <v>0</v>
      </c>
      <c r="AS175" s="11">
        <f>ROUND(1+AN175*'Live Calc'!$D$28,0)</f>
        <v>1</v>
      </c>
      <c r="AT175" s="11"/>
      <c r="AU175" s="11">
        <f>IF(AT175&lt;&gt;"",AT175,ROUND(AS175*INDEX('Live Calc'!$G$259:$G$450,MATCH(AM175,'Live Calc'!$A$259:$A$450,0))*'Live Calc'!$J$543,0))</f>
        <v>1</v>
      </c>
    </row>
    <row r="176" spans="17:47" x14ac:dyDescent="0.25">
      <c r="AG176" s="11" t="s">
        <v>566</v>
      </c>
      <c r="AH176" s="11" t="s">
        <v>126</v>
      </c>
      <c r="AI176" s="11">
        <v>11.43</v>
      </c>
      <c r="AJ176" s="11">
        <v>15.39</v>
      </c>
      <c r="AK176" s="11">
        <v>19.350000000000001</v>
      </c>
      <c r="AL176" s="11">
        <f>CHOOSE(MATCH(Setup!$B$7,{"STD","Half-PPR","PPR"},0),AI176,AJ176,AK176)</f>
        <v>15.39</v>
      </c>
      <c r="AM176" s="11">
        <f>COUNTIFS('Draft Board'!$AN$2:$AN$193,"&gt;="&amp;AN176,'Draft Board'!$AR$2:$AR$193,1)</f>
        <v>20</v>
      </c>
      <c r="AN176" s="11">
        <f>MAX(0,AL176-'Live Calc'!$H$21)^'Live Calc'!$E$21</f>
        <v>0</v>
      </c>
      <c r="AO176" s="11">
        <v>176</v>
      </c>
      <c r="AP176" s="11">
        <f>IF(AO176&lt;&gt;_xlfn.MINIFS('Draft Board'!$AO$2:$AO$193,'Draft Board'!$AN$2:$AN$193,"="&amp;AN176),0,IF(_xlfn.MINIFS('Draft Board'!$AN$2:$AN$193,'Draft Board'!$AN$2:$AN$193,"&gt;"&amp;AN176)=0,1,IF((_xlfn.MINIFS('Draft Board'!$AN$2:$AN$193,'Draft Board'!$AN$2:$AN$193,"&gt;"&amp;AN176)-AN176)/_xlfn.MINIFS('Draft Board'!$AN$2:$AN$193,'Draft Board'!$AN$2:$AN$193,"&gt;"&amp;AN176)&gt;0.08,1,0)))</f>
        <v>0</v>
      </c>
      <c r="AQ176" s="11">
        <f>_xlfn.MINIFS('Draft Board'!$AN$2:$AN$193,'Draft Board'!$AN$2:$AN$193,"&gt;="&amp;AN176,'Draft Board'!$AP$2:$AP$193,1)</f>
        <v>0</v>
      </c>
      <c r="AR176" s="11">
        <f>IF(AO176&lt;&gt;_xlfn.MINIFS('Draft Board'!$AO$2:$AO$193,'Draft Board'!$AN$2:$AN$193,"="&amp;AN176),0,IF(OR(AP176=1,IFERROR(FLOOR((AQ176-AN176)/AQ176/0.25,1),0)&lt;&gt;IFERROR(FLOOR((AQ176-_xlfn.MINIFS('Draft Board'!$AN$2:$AN$193,'Draft Board'!$AN$2:$AN$193,"&gt;"&amp;AN176))/AQ176/0.25,1),0)),1,0))</f>
        <v>0</v>
      </c>
      <c r="AS176" s="11">
        <f>ROUND(1+AN176*'Live Calc'!$D$28,0)</f>
        <v>1</v>
      </c>
      <c r="AT176" s="11"/>
      <c r="AU176" s="11">
        <f>IF(AT176&lt;&gt;"",AT176,ROUND(AS176*INDEX('Live Calc'!$G$259:$G$450,MATCH(AM176,'Live Calc'!$A$259:$A$450,0))*'Live Calc'!$J$543,0))</f>
        <v>1</v>
      </c>
    </row>
    <row r="177" spans="33:47" x14ac:dyDescent="0.25">
      <c r="AG177" s="11" t="s">
        <v>567</v>
      </c>
      <c r="AH177" s="11" t="s">
        <v>61</v>
      </c>
      <c r="AI177" s="11">
        <v>11.15</v>
      </c>
      <c r="AJ177" s="11">
        <v>15.15</v>
      </c>
      <c r="AK177" s="11">
        <v>19.149999999999999</v>
      </c>
      <c r="AL177" s="11">
        <f>CHOOSE(MATCH(Setup!$B$7,{"STD","Half-PPR","PPR"},0),AI177,AJ177,AK177)</f>
        <v>15.15</v>
      </c>
      <c r="AM177" s="11">
        <f>COUNTIFS('Draft Board'!$AN$2:$AN$193,"&gt;="&amp;AN177,'Draft Board'!$AR$2:$AR$193,1)</f>
        <v>20</v>
      </c>
      <c r="AN177" s="11">
        <f>MAX(0,AL177-'Live Calc'!$H$21)^'Live Calc'!$E$21</f>
        <v>0</v>
      </c>
      <c r="AO177" s="11">
        <v>177</v>
      </c>
      <c r="AP177" s="11">
        <f>IF(AO177&lt;&gt;_xlfn.MINIFS('Draft Board'!$AO$2:$AO$193,'Draft Board'!$AN$2:$AN$193,"="&amp;AN177),0,IF(_xlfn.MINIFS('Draft Board'!$AN$2:$AN$193,'Draft Board'!$AN$2:$AN$193,"&gt;"&amp;AN177)=0,1,IF((_xlfn.MINIFS('Draft Board'!$AN$2:$AN$193,'Draft Board'!$AN$2:$AN$193,"&gt;"&amp;AN177)-AN177)/_xlfn.MINIFS('Draft Board'!$AN$2:$AN$193,'Draft Board'!$AN$2:$AN$193,"&gt;"&amp;AN177)&gt;0.08,1,0)))</f>
        <v>0</v>
      </c>
      <c r="AQ177" s="11">
        <f>_xlfn.MINIFS('Draft Board'!$AN$2:$AN$193,'Draft Board'!$AN$2:$AN$193,"&gt;="&amp;AN177,'Draft Board'!$AP$2:$AP$193,1)</f>
        <v>0</v>
      </c>
      <c r="AR177" s="11">
        <f>IF(AO177&lt;&gt;_xlfn.MINIFS('Draft Board'!$AO$2:$AO$193,'Draft Board'!$AN$2:$AN$193,"="&amp;AN177),0,IF(OR(AP177=1,IFERROR(FLOOR((AQ177-AN177)/AQ177/0.25,1),0)&lt;&gt;IFERROR(FLOOR((AQ177-_xlfn.MINIFS('Draft Board'!$AN$2:$AN$193,'Draft Board'!$AN$2:$AN$193,"&gt;"&amp;AN177))/AQ177/0.25,1),0)),1,0))</f>
        <v>0</v>
      </c>
      <c r="AS177" s="11">
        <f>ROUND(1+AN177*'Live Calc'!$D$28,0)</f>
        <v>1</v>
      </c>
      <c r="AT177" s="11"/>
      <c r="AU177" s="11">
        <f>IF(AT177&lt;&gt;"",AT177,ROUND(AS177*INDEX('Live Calc'!$G$259:$G$450,MATCH(AM177,'Live Calc'!$A$259:$A$450,0))*'Live Calc'!$J$543,0))</f>
        <v>1</v>
      </c>
    </row>
    <row r="178" spans="33:47" x14ac:dyDescent="0.25">
      <c r="AG178" s="11" t="s">
        <v>568</v>
      </c>
      <c r="AH178" s="11" t="s">
        <v>113</v>
      </c>
      <c r="AI178" s="11">
        <v>11.39</v>
      </c>
      <c r="AJ178" s="11">
        <v>15.1</v>
      </c>
      <c r="AK178" s="11">
        <v>18.809999999999999</v>
      </c>
      <c r="AL178" s="11">
        <f>CHOOSE(MATCH(Setup!$B$7,{"STD","Half-PPR","PPR"},0),AI178,AJ178,AK178)</f>
        <v>15.1</v>
      </c>
      <c r="AM178" s="11">
        <f>COUNTIFS('Draft Board'!$AN$2:$AN$193,"&gt;="&amp;AN178,'Draft Board'!$AR$2:$AR$193,1)</f>
        <v>20</v>
      </c>
      <c r="AN178" s="11">
        <f>MAX(0,AL178-'Live Calc'!$H$21)^'Live Calc'!$E$21</f>
        <v>0</v>
      </c>
      <c r="AO178" s="11">
        <v>178</v>
      </c>
      <c r="AP178" s="11">
        <f>IF(AO178&lt;&gt;_xlfn.MINIFS('Draft Board'!$AO$2:$AO$193,'Draft Board'!$AN$2:$AN$193,"="&amp;AN178),0,IF(_xlfn.MINIFS('Draft Board'!$AN$2:$AN$193,'Draft Board'!$AN$2:$AN$193,"&gt;"&amp;AN178)=0,1,IF((_xlfn.MINIFS('Draft Board'!$AN$2:$AN$193,'Draft Board'!$AN$2:$AN$193,"&gt;"&amp;AN178)-AN178)/_xlfn.MINIFS('Draft Board'!$AN$2:$AN$193,'Draft Board'!$AN$2:$AN$193,"&gt;"&amp;AN178)&gt;0.08,1,0)))</f>
        <v>0</v>
      </c>
      <c r="AQ178" s="11">
        <f>_xlfn.MINIFS('Draft Board'!$AN$2:$AN$193,'Draft Board'!$AN$2:$AN$193,"&gt;="&amp;AN178,'Draft Board'!$AP$2:$AP$193,1)</f>
        <v>0</v>
      </c>
      <c r="AR178" s="11">
        <f>IF(AO178&lt;&gt;_xlfn.MINIFS('Draft Board'!$AO$2:$AO$193,'Draft Board'!$AN$2:$AN$193,"="&amp;AN178),0,IF(OR(AP178=1,IFERROR(FLOOR((AQ178-AN178)/AQ178/0.25,1),0)&lt;&gt;IFERROR(FLOOR((AQ178-_xlfn.MINIFS('Draft Board'!$AN$2:$AN$193,'Draft Board'!$AN$2:$AN$193,"&gt;"&amp;AN178))/AQ178/0.25,1),0)),1,0))</f>
        <v>0</v>
      </c>
      <c r="AS178" s="11">
        <f>ROUND(1+AN178*'Live Calc'!$D$28,0)</f>
        <v>1</v>
      </c>
      <c r="AT178" s="11"/>
      <c r="AU178" s="11">
        <f>IF(AT178&lt;&gt;"",AT178,ROUND(AS178*INDEX('Live Calc'!$G$259:$G$450,MATCH(AM178,'Live Calc'!$A$259:$A$450,0))*'Live Calc'!$J$543,0))</f>
        <v>1</v>
      </c>
    </row>
    <row r="179" spans="33:47" x14ac:dyDescent="0.25">
      <c r="AG179" s="11" t="s">
        <v>569</v>
      </c>
      <c r="AH179" s="11" t="s">
        <v>55</v>
      </c>
      <c r="AI179" s="11">
        <v>12.06</v>
      </c>
      <c r="AJ179" s="11">
        <v>15.04</v>
      </c>
      <c r="AK179" s="11">
        <v>18.02</v>
      </c>
      <c r="AL179" s="11">
        <f>CHOOSE(MATCH(Setup!$B$7,{"STD","Half-PPR","PPR"},0),AI179,AJ179,AK179)</f>
        <v>15.04</v>
      </c>
      <c r="AM179" s="11">
        <f>COUNTIFS('Draft Board'!$AN$2:$AN$193,"&gt;="&amp;AN179,'Draft Board'!$AR$2:$AR$193,1)</f>
        <v>20</v>
      </c>
      <c r="AN179" s="11">
        <f>MAX(0,AL179-'Live Calc'!$H$21)^'Live Calc'!$E$21</f>
        <v>0</v>
      </c>
      <c r="AO179" s="11">
        <v>179</v>
      </c>
      <c r="AP179" s="11">
        <f>IF(AO179&lt;&gt;_xlfn.MINIFS('Draft Board'!$AO$2:$AO$193,'Draft Board'!$AN$2:$AN$193,"="&amp;AN179),0,IF(_xlfn.MINIFS('Draft Board'!$AN$2:$AN$193,'Draft Board'!$AN$2:$AN$193,"&gt;"&amp;AN179)=0,1,IF((_xlfn.MINIFS('Draft Board'!$AN$2:$AN$193,'Draft Board'!$AN$2:$AN$193,"&gt;"&amp;AN179)-AN179)/_xlfn.MINIFS('Draft Board'!$AN$2:$AN$193,'Draft Board'!$AN$2:$AN$193,"&gt;"&amp;AN179)&gt;0.08,1,0)))</f>
        <v>0</v>
      </c>
      <c r="AQ179" s="11">
        <f>_xlfn.MINIFS('Draft Board'!$AN$2:$AN$193,'Draft Board'!$AN$2:$AN$193,"&gt;="&amp;AN179,'Draft Board'!$AP$2:$AP$193,1)</f>
        <v>0</v>
      </c>
      <c r="AR179" s="11">
        <f>IF(AO179&lt;&gt;_xlfn.MINIFS('Draft Board'!$AO$2:$AO$193,'Draft Board'!$AN$2:$AN$193,"="&amp;AN179),0,IF(OR(AP179=1,IFERROR(FLOOR((AQ179-AN179)/AQ179/0.25,1),0)&lt;&gt;IFERROR(FLOOR((AQ179-_xlfn.MINIFS('Draft Board'!$AN$2:$AN$193,'Draft Board'!$AN$2:$AN$193,"&gt;"&amp;AN179))/AQ179/0.25,1),0)),1,0))</f>
        <v>0</v>
      </c>
      <c r="AS179" s="11">
        <f>ROUND(1+AN179*'Live Calc'!$D$28,0)</f>
        <v>1</v>
      </c>
      <c r="AT179" s="11"/>
      <c r="AU179" s="11">
        <f>IF(AT179&lt;&gt;"",AT179,ROUND(AS179*INDEX('Live Calc'!$G$259:$G$450,MATCH(AM179,'Live Calc'!$A$259:$A$450,0))*'Live Calc'!$J$543,0))</f>
        <v>1</v>
      </c>
    </row>
    <row r="180" spans="33:47" x14ac:dyDescent="0.25">
      <c r="AG180" s="11" t="s">
        <v>570</v>
      </c>
      <c r="AH180" s="11" t="s">
        <v>59</v>
      </c>
      <c r="AI180" s="11">
        <v>11.66</v>
      </c>
      <c r="AJ180" s="11">
        <v>15.02</v>
      </c>
      <c r="AK180" s="11">
        <v>18.38</v>
      </c>
      <c r="AL180" s="11">
        <f>CHOOSE(MATCH(Setup!$B$7,{"STD","Half-PPR","PPR"},0),AI180,AJ180,AK180)</f>
        <v>15.02</v>
      </c>
      <c r="AM180" s="11">
        <f>COUNTIFS('Draft Board'!$AN$2:$AN$193,"&gt;="&amp;AN180,'Draft Board'!$AR$2:$AR$193,1)</f>
        <v>20</v>
      </c>
      <c r="AN180" s="11">
        <f>MAX(0,AL180-'Live Calc'!$H$21)^'Live Calc'!$E$21</f>
        <v>0</v>
      </c>
      <c r="AO180" s="11">
        <v>180</v>
      </c>
      <c r="AP180" s="11">
        <f>IF(AO180&lt;&gt;_xlfn.MINIFS('Draft Board'!$AO$2:$AO$193,'Draft Board'!$AN$2:$AN$193,"="&amp;AN180),0,IF(_xlfn.MINIFS('Draft Board'!$AN$2:$AN$193,'Draft Board'!$AN$2:$AN$193,"&gt;"&amp;AN180)=0,1,IF((_xlfn.MINIFS('Draft Board'!$AN$2:$AN$193,'Draft Board'!$AN$2:$AN$193,"&gt;"&amp;AN180)-AN180)/_xlfn.MINIFS('Draft Board'!$AN$2:$AN$193,'Draft Board'!$AN$2:$AN$193,"&gt;"&amp;AN180)&gt;0.08,1,0)))</f>
        <v>0</v>
      </c>
      <c r="AQ180" s="11">
        <f>_xlfn.MINIFS('Draft Board'!$AN$2:$AN$193,'Draft Board'!$AN$2:$AN$193,"&gt;="&amp;AN180,'Draft Board'!$AP$2:$AP$193,1)</f>
        <v>0</v>
      </c>
      <c r="AR180" s="11">
        <f>IF(AO180&lt;&gt;_xlfn.MINIFS('Draft Board'!$AO$2:$AO$193,'Draft Board'!$AN$2:$AN$193,"="&amp;AN180),0,IF(OR(AP180=1,IFERROR(FLOOR((AQ180-AN180)/AQ180/0.25,1),0)&lt;&gt;IFERROR(FLOOR((AQ180-_xlfn.MINIFS('Draft Board'!$AN$2:$AN$193,'Draft Board'!$AN$2:$AN$193,"&gt;"&amp;AN180))/AQ180/0.25,1),0)),1,0))</f>
        <v>0</v>
      </c>
      <c r="AS180" s="11">
        <f>ROUND(1+AN180*'Live Calc'!$D$28,0)</f>
        <v>1</v>
      </c>
      <c r="AT180" s="11"/>
      <c r="AU180" s="11">
        <f>IF(AT180&lt;&gt;"",AT180,ROUND(AS180*INDEX('Live Calc'!$G$259:$G$450,MATCH(AM180,'Live Calc'!$A$259:$A$450,0))*'Live Calc'!$J$543,0))</f>
        <v>1</v>
      </c>
    </row>
    <row r="181" spans="33:47" x14ac:dyDescent="0.25">
      <c r="AG181" s="11" t="s">
        <v>571</v>
      </c>
      <c r="AH181" s="11" t="s">
        <v>69</v>
      </c>
      <c r="AI181" s="11">
        <v>10.99</v>
      </c>
      <c r="AJ181" s="11">
        <v>14.53</v>
      </c>
      <c r="AK181" s="11">
        <v>18.079999999999998</v>
      </c>
      <c r="AL181" s="11">
        <f>CHOOSE(MATCH(Setup!$B$7,{"STD","Half-PPR","PPR"},0),AI181,AJ181,AK181)</f>
        <v>14.53</v>
      </c>
      <c r="AM181" s="11">
        <f>COUNTIFS('Draft Board'!$AN$2:$AN$193,"&gt;="&amp;AN181,'Draft Board'!$AR$2:$AR$193,1)</f>
        <v>20</v>
      </c>
      <c r="AN181" s="11">
        <f>MAX(0,AL181-'Live Calc'!$H$21)^'Live Calc'!$E$21</f>
        <v>0</v>
      </c>
      <c r="AO181" s="11">
        <v>181</v>
      </c>
      <c r="AP181" s="11">
        <f>IF(AO181&lt;&gt;_xlfn.MINIFS('Draft Board'!$AO$2:$AO$193,'Draft Board'!$AN$2:$AN$193,"="&amp;AN181),0,IF(_xlfn.MINIFS('Draft Board'!$AN$2:$AN$193,'Draft Board'!$AN$2:$AN$193,"&gt;"&amp;AN181)=0,1,IF((_xlfn.MINIFS('Draft Board'!$AN$2:$AN$193,'Draft Board'!$AN$2:$AN$193,"&gt;"&amp;AN181)-AN181)/_xlfn.MINIFS('Draft Board'!$AN$2:$AN$193,'Draft Board'!$AN$2:$AN$193,"&gt;"&amp;AN181)&gt;0.08,1,0)))</f>
        <v>0</v>
      </c>
      <c r="AQ181" s="11">
        <f>_xlfn.MINIFS('Draft Board'!$AN$2:$AN$193,'Draft Board'!$AN$2:$AN$193,"&gt;="&amp;AN181,'Draft Board'!$AP$2:$AP$193,1)</f>
        <v>0</v>
      </c>
      <c r="AR181" s="11">
        <f>IF(AO181&lt;&gt;_xlfn.MINIFS('Draft Board'!$AO$2:$AO$193,'Draft Board'!$AN$2:$AN$193,"="&amp;AN181),0,IF(OR(AP181=1,IFERROR(FLOOR((AQ181-AN181)/AQ181/0.25,1),0)&lt;&gt;IFERROR(FLOOR((AQ181-_xlfn.MINIFS('Draft Board'!$AN$2:$AN$193,'Draft Board'!$AN$2:$AN$193,"&gt;"&amp;AN181))/AQ181/0.25,1),0)),1,0))</f>
        <v>0</v>
      </c>
      <c r="AS181" s="11">
        <f>ROUND(1+AN181*'Live Calc'!$D$28,0)</f>
        <v>1</v>
      </c>
      <c r="AT181" s="11"/>
      <c r="AU181" s="11">
        <f>IF(AT181&lt;&gt;"",AT181,ROUND(AS181*INDEX('Live Calc'!$G$259:$G$450,MATCH(AM181,'Live Calc'!$A$259:$A$450,0))*'Live Calc'!$J$543,0))</f>
        <v>1</v>
      </c>
    </row>
    <row r="182" spans="33:47" x14ac:dyDescent="0.25">
      <c r="AG182" s="11" t="s">
        <v>572</v>
      </c>
      <c r="AH182" s="11" t="s">
        <v>107</v>
      </c>
      <c r="AI182" s="11">
        <v>10.58</v>
      </c>
      <c r="AJ182" s="11">
        <v>13.71</v>
      </c>
      <c r="AK182" s="11">
        <v>16.84</v>
      </c>
      <c r="AL182" s="11">
        <f>CHOOSE(MATCH(Setup!$B$7,{"STD","Half-PPR","PPR"},0),AI182,AJ182,AK182)</f>
        <v>13.71</v>
      </c>
      <c r="AM182" s="11">
        <f>COUNTIFS('Draft Board'!$AN$2:$AN$193,"&gt;="&amp;AN182,'Draft Board'!$AR$2:$AR$193,1)</f>
        <v>20</v>
      </c>
      <c r="AN182" s="11">
        <f>MAX(0,AL182-'Live Calc'!$H$21)^'Live Calc'!$E$21</f>
        <v>0</v>
      </c>
      <c r="AO182" s="11">
        <v>182</v>
      </c>
      <c r="AP182" s="11">
        <f>IF(AO182&lt;&gt;_xlfn.MINIFS('Draft Board'!$AO$2:$AO$193,'Draft Board'!$AN$2:$AN$193,"="&amp;AN182),0,IF(_xlfn.MINIFS('Draft Board'!$AN$2:$AN$193,'Draft Board'!$AN$2:$AN$193,"&gt;"&amp;AN182)=0,1,IF((_xlfn.MINIFS('Draft Board'!$AN$2:$AN$193,'Draft Board'!$AN$2:$AN$193,"&gt;"&amp;AN182)-AN182)/_xlfn.MINIFS('Draft Board'!$AN$2:$AN$193,'Draft Board'!$AN$2:$AN$193,"&gt;"&amp;AN182)&gt;0.08,1,0)))</f>
        <v>0</v>
      </c>
      <c r="AQ182" s="11">
        <f>_xlfn.MINIFS('Draft Board'!$AN$2:$AN$193,'Draft Board'!$AN$2:$AN$193,"&gt;="&amp;AN182,'Draft Board'!$AP$2:$AP$193,1)</f>
        <v>0</v>
      </c>
      <c r="AR182" s="11">
        <f>IF(AO182&lt;&gt;_xlfn.MINIFS('Draft Board'!$AO$2:$AO$193,'Draft Board'!$AN$2:$AN$193,"="&amp;AN182),0,IF(OR(AP182=1,IFERROR(FLOOR((AQ182-AN182)/AQ182/0.25,1),0)&lt;&gt;IFERROR(FLOOR((AQ182-_xlfn.MINIFS('Draft Board'!$AN$2:$AN$193,'Draft Board'!$AN$2:$AN$193,"&gt;"&amp;AN182))/AQ182/0.25,1),0)),1,0))</f>
        <v>0</v>
      </c>
      <c r="AS182" s="11">
        <f>ROUND(1+AN182*'Live Calc'!$D$28,0)</f>
        <v>1</v>
      </c>
      <c r="AT182" s="11"/>
      <c r="AU182" s="11">
        <f>IF(AT182&lt;&gt;"",AT182,ROUND(AS182*INDEX('Live Calc'!$G$259:$G$450,MATCH(AM182,'Live Calc'!$A$259:$A$450,0))*'Live Calc'!$J$543,0))</f>
        <v>1</v>
      </c>
    </row>
    <row r="183" spans="33:47" x14ac:dyDescent="0.25">
      <c r="AG183" s="11" t="s">
        <v>573</v>
      </c>
      <c r="AH183" s="11" t="s">
        <v>152</v>
      </c>
      <c r="AI183" s="11">
        <v>10.11</v>
      </c>
      <c r="AJ183" s="11">
        <v>13.04</v>
      </c>
      <c r="AK183" s="11">
        <v>15.98</v>
      </c>
      <c r="AL183" s="11">
        <f>CHOOSE(MATCH(Setup!$B$7,{"STD","Half-PPR","PPR"},0),AI183,AJ183,AK183)</f>
        <v>13.04</v>
      </c>
      <c r="AM183" s="11">
        <f>COUNTIFS('Draft Board'!$AN$2:$AN$193,"&gt;="&amp;AN183,'Draft Board'!$AR$2:$AR$193,1)</f>
        <v>20</v>
      </c>
      <c r="AN183" s="11">
        <f>MAX(0,AL183-'Live Calc'!$H$21)^'Live Calc'!$E$21</f>
        <v>0</v>
      </c>
      <c r="AO183" s="11">
        <v>183</v>
      </c>
      <c r="AP183" s="11">
        <f>IF(AO183&lt;&gt;_xlfn.MINIFS('Draft Board'!$AO$2:$AO$193,'Draft Board'!$AN$2:$AN$193,"="&amp;AN183),0,IF(_xlfn.MINIFS('Draft Board'!$AN$2:$AN$193,'Draft Board'!$AN$2:$AN$193,"&gt;"&amp;AN183)=0,1,IF((_xlfn.MINIFS('Draft Board'!$AN$2:$AN$193,'Draft Board'!$AN$2:$AN$193,"&gt;"&amp;AN183)-AN183)/_xlfn.MINIFS('Draft Board'!$AN$2:$AN$193,'Draft Board'!$AN$2:$AN$193,"&gt;"&amp;AN183)&gt;0.08,1,0)))</f>
        <v>0</v>
      </c>
      <c r="AQ183" s="11">
        <f>_xlfn.MINIFS('Draft Board'!$AN$2:$AN$193,'Draft Board'!$AN$2:$AN$193,"&gt;="&amp;AN183,'Draft Board'!$AP$2:$AP$193,1)</f>
        <v>0</v>
      </c>
      <c r="AR183" s="11">
        <f>IF(AO183&lt;&gt;_xlfn.MINIFS('Draft Board'!$AO$2:$AO$193,'Draft Board'!$AN$2:$AN$193,"="&amp;AN183),0,IF(OR(AP183=1,IFERROR(FLOOR((AQ183-AN183)/AQ183/0.25,1),0)&lt;&gt;IFERROR(FLOOR((AQ183-_xlfn.MINIFS('Draft Board'!$AN$2:$AN$193,'Draft Board'!$AN$2:$AN$193,"&gt;"&amp;AN183))/AQ183/0.25,1),0)),1,0))</f>
        <v>0</v>
      </c>
      <c r="AS183" s="11">
        <f>ROUND(1+AN183*'Live Calc'!$D$28,0)</f>
        <v>1</v>
      </c>
      <c r="AT183" s="11"/>
      <c r="AU183" s="11">
        <f>IF(AT183&lt;&gt;"",AT183,ROUND(AS183*INDEX('Live Calc'!$G$259:$G$450,MATCH(AM183,'Live Calc'!$A$259:$A$450,0))*'Live Calc'!$J$543,0))</f>
        <v>1</v>
      </c>
    </row>
    <row r="184" spans="33:47" x14ac:dyDescent="0.25">
      <c r="AG184" s="11" t="s">
        <v>574</v>
      </c>
      <c r="AH184" s="11" t="s">
        <v>90</v>
      </c>
      <c r="AI184" s="11">
        <v>9.73</v>
      </c>
      <c r="AJ184" s="11">
        <v>12.81</v>
      </c>
      <c r="AK184" s="11">
        <v>15.9</v>
      </c>
      <c r="AL184" s="11">
        <f>CHOOSE(MATCH(Setup!$B$7,{"STD","Half-PPR","PPR"},0),AI184,AJ184,AK184)</f>
        <v>12.81</v>
      </c>
      <c r="AM184" s="11">
        <f>COUNTIFS('Draft Board'!$AN$2:$AN$193,"&gt;="&amp;AN184,'Draft Board'!$AR$2:$AR$193,1)</f>
        <v>20</v>
      </c>
      <c r="AN184" s="11">
        <f>MAX(0,AL184-'Live Calc'!$H$21)^'Live Calc'!$E$21</f>
        <v>0</v>
      </c>
      <c r="AO184" s="11">
        <v>184</v>
      </c>
      <c r="AP184" s="11">
        <f>IF(AO184&lt;&gt;_xlfn.MINIFS('Draft Board'!$AO$2:$AO$193,'Draft Board'!$AN$2:$AN$193,"="&amp;AN184),0,IF(_xlfn.MINIFS('Draft Board'!$AN$2:$AN$193,'Draft Board'!$AN$2:$AN$193,"&gt;"&amp;AN184)=0,1,IF((_xlfn.MINIFS('Draft Board'!$AN$2:$AN$193,'Draft Board'!$AN$2:$AN$193,"&gt;"&amp;AN184)-AN184)/_xlfn.MINIFS('Draft Board'!$AN$2:$AN$193,'Draft Board'!$AN$2:$AN$193,"&gt;"&amp;AN184)&gt;0.08,1,0)))</f>
        <v>0</v>
      </c>
      <c r="AQ184" s="11">
        <f>_xlfn.MINIFS('Draft Board'!$AN$2:$AN$193,'Draft Board'!$AN$2:$AN$193,"&gt;="&amp;AN184,'Draft Board'!$AP$2:$AP$193,1)</f>
        <v>0</v>
      </c>
      <c r="AR184" s="11">
        <f>IF(AO184&lt;&gt;_xlfn.MINIFS('Draft Board'!$AO$2:$AO$193,'Draft Board'!$AN$2:$AN$193,"="&amp;AN184),0,IF(OR(AP184=1,IFERROR(FLOOR((AQ184-AN184)/AQ184/0.25,1),0)&lt;&gt;IFERROR(FLOOR((AQ184-_xlfn.MINIFS('Draft Board'!$AN$2:$AN$193,'Draft Board'!$AN$2:$AN$193,"&gt;"&amp;AN184))/AQ184/0.25,1),0)),1,0))</f>
        <v>0</v>
      </c>
      <c r="AS184" s="11">
        <f>ROUND(1+AN184*'Live Calc'!$D$28,0)</f>
        <v>1</v>
      </c>
      <c r="AT184" s="11"/>
      <c r="AU184" s="11">
        <f>IF(AT184&lt;&gt;"",AT184,ROUND(AS184*INDEX('Live Calc'!$G$259:$G$450,MATCH(AM184,'Live Calc'!$A$259:$A$450,0))*'Live Calc'!$J$543,0))</f>
        <v>1</v>
      </c>
    </row>
    <row r="185" spans="33:47" x14ac:dyDescent="0.25">
      <c r="AG185" s="11" t="s">
        <v>575</v>
      </c>
      <c r="AH185" s="11" t="s">
        <v>85</v>
      </c>
      <c r="AI185" s="11">
        <v>9.25</v>
      </c>
      <c r="AJ185" s="11">
        <v>12.68</v>
      </c>
      <c r="AK185" s="11">
        <v>16.11</v>
      </c>
      <c r="AL185" s="11">
        <f>CHOOSE(MATCH(Setup!$B$7,{"STD","Half-PPR","PPR"},0),AI185,AJ185,AK185)</f>
        <v>12.68</v>
      </c>
      <c r="AM185" s="11">
        <f>COUNTIFS('Draft Board'!$AN$2:$AN$193,"&gt;="&amp;AN185,'Draft Board'!$AR$2:$AR$193,1)</f>
        <v>20</v>
      </c>
      <c r="AN185" s="11">
        <f>MAX(0,AL185-'Live Calc'!$H$21)^'Live Calc'!$E$21</f>
        <v>0</v>
      </c>
      <c r="AO185" s="11">
        <v>185</v>
      </c>
      <c r="AP185" s="11">
        <f>IF(AO185&lt;&gt;_xlfn.MINIFS('Draft Board'!$AO$2:$AO$193,'Draft Board'!$AN$2:$AN$193,"="&amp;AN185),0,IF(_xlfn.MINIFS('Draft Board'!$AN$2:$AN$193,'Draft Board'!$AN$2:$AN$193,"&gt;"&amp;AN185)=0,1,IF((_xlfn.MINIFS('Draft Board'!$AN$2:$AN$193,'Draft Board'!$AN$2:$AN$193,"&gt;"&amp;AN185)-AN185)/_xlfn.MINIFS('Draft Board'!$AN$2:$AN$193,'Draft Board'!$AN$2:$AN$193,"&gt;"&amp;AN185)&gt;0.08,1,0)))</f>
        <v>0</v>
      </c>
      <c r="AQ185" s="11">
        <f>_xlfn.MINIFS('Draft Board'!$AN$2:$AN$193,'Draft Board'!$AN$2:$AN$193,"&gt;="&amp;AN185,'Draft Board'!$AP$2:$AP$193,1)</f>
        <v>0</v>
      </c>
      <c r="AR185" s="11">
        <f>IF(AO185&lt;&gt;_xlfn.MINIFS('Draft Board'!$AO$2:$AO$193,'Draft Board'!$AN$2:$AN$193,"="&amp;AN185),0,IF(OR(AP185=1,IFERROR(FLOOR((AQ185-AN185)/AQ185/0.25,1),0)&lt;&gt;IFERROR(FLOOR((AQ185-_xlfn.MINIFS('Draft Board'!$AN$2:$AN$193,'Draft Board'!$AN$2:$AN$193,"&gt;"&amp;AN185))/AQ185/0.25,1),0)),1,0))</f>
        <v>0</v>
      </c>
      <c r="AS185" s="11">
        <f>ROUND(1+AN185*'Live Calc'!$D$28,0)</f>
        <v>1</v>
      </c>
      <c r="AT185" s="11"/>
      <c r="AU185" s="11">
        <f>IF(AT185&lt;&gt;"",AT185,ROUND(AS185*INDEX('Live Calc'!$G$259:$G$450,MATCH(AM185,'Live Calc'!$A$259:$A$450,0))*'Live Calc'!$J$543,0))</f>
        <v>1</v>
      </c>
    </row>
    <row r="186" spans="33:47" x14ac:dyDescent="0.25">
      <c r="AG186" s="11" t="s">
        <v>576</v>
      </c>
      <c r="AH186" s="11" t="s">
        <v>149</v>
      </c>
      <c r="AI186" s="11">
        <v>8.8699999999999992</v>
      </c>
      <c r="AJ186" s="11">
        <v>11.98</v>
      </c>
      <c r="AK186" s="11">
        <v>15.08</v>
      </c>
      <c r="AL186" s="11">
        <f>CHOOSE(MATCH(Setup!$B$7,{"STD","Half-PPR","PPR"},0),AI186,AJ186,AK186)</f>
        <v>11.98</v>
      </c>
      <c r="AM186" s="11">
        <f>COUNTIFS('Draft Board'!$AN$2:$AN$193,"&gt;="&amp;AN186,'Draft Board'!$AR$2:$AR$193,1)</f>
        <v>20</v>
      </c>
      <c r="AN186" s="11">
        <f>MAX(0,AL186-'Live Calc'!$H$21)^'Live Calc'!$E$21</f>
        <v>0</v>
      </c>
      <c r="AO186" s="11">
        <v>186</v>
      </c>
      <c r="AP186" s="11">
        <f>IF(AO186&lt;&gt;_xlfn.MINIFS('Draft Board'!$AO$2:$AO$193,'Draft Board'!$AN$2:$AN$193,"="&amp;AN186),0,IF(_xlfn.MINIFS('Draft Board'!$AN$2:$AN$193,'Draft Board'!$AN$2:$AN$193,"&gt;"&amp;AN186)=0,1,IF((_xlfn.MINIFS('Draft Board'!$AN$2:$AN$193,'Draft Board'!$AN$2:$AN$193,"&gt;"&amp;AN186)-AN186)/_xlfn.MINIFS('Draft Board'!$AN$2:$AN$193,'Draft Board'!$AN$2:$AN$193,"&gt;"&amp;AN186)&gt;0.08,1,0)))</f>
        <v>0</v>
      </c>
      <c r="AQ186" s="11">
        <f>_xlfn.MINIFS('Draft Board'!$AN$2:$AN$193,'Draft Board'!$AN$2:$AN$193,"&gt;="&amp;AN186,'Draft Board'!$AP$2:$AP$193,1)</f>
        <v>0</v>
      </c>
      <c r="AR186" s="11">
        <f>IF(AO186&lt;&gt;_xlfn.MINIFS('Draft Board'!$AO$2:$AO$193,'Draft Board'!$AN$2:$AN$193,"="&amp;AN186),0,IF(OR(AP186=1,IFERROR(FLOOR((AQ186-AN186)/AQ186/0.25,1),0)&lt;&gt;IFERROR(FLOOR((AQ186-_xlfn.MINIFS('Draft Board'!$AN$2:$AN$193,'Draft Board'!$AN$2:$AN$193,"&gt;"&amp;AN186))/AQ186/0.25,1),0)),1,0))</f>
        <v>0</v>
      </c>
      <c r="AS186" s="11">
        <f>ROUND(1+AN186*'Live Calc'!$D$28,0)</f>
        <v>1</v>
      </c>
      <c r="AT186" s="11"/>
      <c r="AU186" s="11">
        <f>IF(AT186&lt;&gt;"",AT186,ROUND(AS186*INDEX('Live Calc'!$G$259:$G$450,MATCH(AM186,'Live Calc'!$A$259:$A$450,0))*'Live Calc'!$J$543,0))</f>
        <v>1</v>
      </c>
    </row>
    <row r="187" spans="33:47" x14ac:dyDescent="0.25">
      <c r="AG187" s="11" t="s">
        <v>577</v>
      </c>
      <c r="AH187" s="11" t="s">
        <v>185</v>
      </c>
      <c r="AI187" s="11">
        <v>8.77</v>
      </c>
      <c r="AJ187" s="11">
        <v>11.98</v>
      </c>
      <c r="AK187" s="11">
        <v>15.19</v>
      </c>
      <c r="AL187" s="11">
        <f>CHOOSE(MATCH(Setup!$B$7,{"STD","Half-PPR","PPR"},0),AI187,AJ187,AK187)</f>
        <v>11.98</v>
      </c>
      <c r="AM187" s="11">
        <f>COUNTIFS('Draft Board'!$AN$2:$AN$193,"&gt;="&amp;AN187,'Draft Board'!$AR$2:$AR$193,1)</f>
        <v>20</v>
      </c>
      <c r="AN187" s="11">
        <f>MAX(0,AL187-'Live Calc'!$H$21)^'Live Calc'!$E$21</f>
        <v>0</v>
      </c>
      <c r="AO187" s="11">
        <v>187</v>
      </c>
      <c r="AP187" s="11">
        <f>IF(AO187&lt;&gt;_xlfn.MINIFS('Draft Board'!$AO$2:$AO$193,'Draft Board'!$AN$2:$AN$193,"="&amp;AN187),0,IF(_xlfn.MINIFS('Draft Board'!$AN$2:$AN$193,'Draft Board'!$AN$2:$AN$193,"&gt;"&amp;AN187)=0,1,IF((_xlfn.MINIFS('Draft Board'!$AN$2:$AN$193,'Draft Board'!$AN$2:$AN$193,"&gt;"&amp;AN187)-AN187)/_xlfn.MINIFS('Draft Board'!$AN$2:$AN$193,'Draft Board'!$AN$2:$AN$193,"&gt;"&amp;AN187)&gt;0.08,1,0)))</f>
        <v>0</v>
      </c>
      <c r="AQ187" s="11">
        <f>_xlfn.MINIFS('Draft Board'!$AN$2:$AN$193,'Draft Board'!$AN$2:$AN$193,"&gt;="&amp;AN187,'Draft Board'!$AP$2:$AP$193,1)</f>
        <v>0</v>
      </c>
      <c r="AR187" s="11">
        <f>IF(AO187&lt;&gt;_xlfn.MINIFS('Draft Board'!$AO$2:$AO$193,'Draft Board'!$AN$2:$AN$193,"="&amp;AN187),0,IF(OR(AP187=1,IFERROR(FLOOR((AQ187-AN187)/AQ187/0.25,1),0)&lt;&gt;IFERROR(FLOOR((AQ187-_xlfn.MINIFS('Draft Board'!$AN$2:$AN$193,'Draft Board'!$AN$2:$AN$193,"&gt;"&amp;AN187))/AQ187/0.25,1),0)),1,0))</f>
        <v>0</v>
      </c>
      <c r="AS187" s="11">
        <f>ROUND(1+AN187*'Live Calc'!$D$28,0)</f>
        <v>1</v>
      </c>
      <c r="AT187" s="11"/>
      <c r="AU187" s="11">
        <f>IF(AT187&lt;&gt;"",AT187,ROUND(AS187*INDEX('Live Calc'!$G$259:$G$450,MATCH(AM187,'Live Calc'!$A$259:$A$450,0))*'Live Calc'!$J$543,0))</f>
        <v>1</v>
      </c>
    </row>
    <row r="188" spans="33:47" x14ac:dyDescent="0.25">
      <c r="AG188" s="11" t="s">
        <v>578</v>
      </c>
      <c r="AH188" s="11" t="s">
        <v>88</v>
      </c>
      <c r="AI188" s="11">
        <v>9.1300000000000008</v>
      </c>
      <c r="AJ188" s="11">
        <v>11.91</v>
      </c>
      <c r="AK188" s="11">
        <v>14.7</v>
      </c>
      <c r="AL188" s="11">
        <f>CHOOSE(MATCH(Setup!$B$7,{"STD","Half-PPR","PPR"},0),AI188,AJ188,AK188)</f>
        <v>11.91</v>
      </c>
      <c r="AM188" s="11">
        <f>COUNTIFS('Draft Board'!$AN$2:$AN$193,"&gt;="&amp;AN188,'Draft Board'!$AR$2:$AR$193,1)</f>
        <v>20</v>
      </c>
      <c r="AN188" s="11">
        <f>MAX(0,AL188-'Live Calc'!$H$21)^'Live Calc'!$E$21</f>
        <v>0</v>
      </c>
      <c r="AO188" s="11">
        <v>188</v>
      </c>
      <c r="AP188" s="11">
        <f>IF(AO188&lt;&gt;_xlfn.MINIFS('Draft Board'!$AO$2:$AO$193,'Draft Board'!$AN$2:$AN$193,"="&amp;AN188),0,IF(_xlfn.MINIFS('Draft Board'!$AN$2:$AN$193,'Draft Board'!$AN$2:$AN$193,"&gt;"&amp;AN188)=0,1,IF((_xlfn.MINIFS('Draft Board'!$AN$2:$AN$193,'Draft Board'!$AN$2:$AN$193,"&gt;"&amp;AN188)-AN188)/_xlfn.MINIFS('Draft Board'!$AN$2:$AN$193,'Draft Board'!$AN$2:$AN$193,"&gt;"&amp;AN188)&gt;0.08,1,0)))</f>
        <v>0</v>
      </c>
      <c r="AQ188" s="11">
        <f>_xlfn.MINIFS('Draft Board'!$AN$2:$AN$193,'Draft Board'!$AN$2:$AN$193,"&gt;="&amp;AN188,'Draft Board'!$AP$2:$AP$193,1)</f>
        <v>0</v>
      </c>
      <c r="AR188" s="11">
        <f>IF(AO188&lt;&gt;_xlfn.MINIFS('Draft Board'!$AO$2:$AO$193,'Draft Board'!$AN$2:$AN$193,"="&amp;AN188),0,IF(OR(AP188=1,IFERROR(FLOOR((AQ188-AN188)/AQ188/0.25,1),0)&lt;&gt;IFERROR(FLOOR((AQ188-_xlfn.MINIFS('Draft Board'!$AN$2:$AN$193,'Draft Board'!$AN$2:$AN$193,"&gt;"&amp;AN188))/AQ188/0.25,1),0)),1,0))</f>
        <v>0</v>
      </c>
      <c r="AS188" s="11">
        <f>ROUND(1+AN188*'Live Calc'!$D$28,0)</f>
        <v>1</v>
      </c>
      <c r="AT188" s="11"/>
      <c r="AU188" s="11">
        <f>IF(AT188&lt;&gt;"",AT188,ROUND(AS188*INDEX('Live Calc'!$G$259:$G$450,MATCH(AM188,'Live Calc'!$A$259:$A$450,0))*'Live Calc'!$J$543,0))</f>
        <v>1</v>
      </c>
    </row>
    <row r="189" spans="33:47" x14ac:dyDescent="0.25">
      <c r="AG189" s="11" t="s">
        <v>579</v>
      </c>
      <c r="AH189" s="11" t="s">
        <v>133</v>
      </c>
      <c r="AI189" s="11">
        <v>9.07</v>
      </c>
      <c r="AJ189" s="11">
        <v>11.76</v>
      </c>
      <c r="AK189" s="11">
        <v>14.45</v>
      </c>
      <c r="AL189" s="11">
        <f>CHOOSE(MATCH(Setup!$B$7,{"STD","Half-PPR","PPR"},0),AI189,AJ189,AK189)</f>
        <v>11.76</v>
      </c>
      <c r="AM189" s="11">
        <f>COUNTIFS('Draft Board'!$AN$2:$AN$193,"&gt;="&amp;AN189,'Draft Board'!$AR$2:$AR$193,1)</f>
        <v>20</v>
      </c>
      <c r="AN189" s="11">
        <f>MAX(0,AL189-'Live Calc'!$H$21)^'Live Calc'!$E$21</f>
        <v>0</v>
      </c>
      <c r="AO189" s="11">
        <v>189</v>
      </c>
      <c r="AP189" s="11">
        <f>IF(AO189&lt;&gt;_xlfn.MINIFS('Draft Board'!$AO$2:$AO$193,'Draft Board'!$AN$2:$AN$193,"="&amp;AN189),0,IF(_xlfn.MINIFS('Draft Board'!$AN$2:$AN$193,'Draft Board'!$AN$2:$AN$193,"&gt;"&amp;AN189)=0,1,IF((_xlfn.MINIFS('Draft Board'!$AN$2:$AN$193,'Draft Board'!$AN$2:$AN$193,"&gt;"&amp;AN189)-AN189)/_xlfn.MINIFS('Draft Board'!$AN$2:$AN$193,'Draft Board'!$AN$2:$AN$193,"&gt;"&amp;AN189)&gt;0.08,1,0)))</f>
        <v>0</v>
      </c>
      <c r="AQ189" s="11">
        <f>_xlfn.MINIFS('Draft Board'!$AN$2:$AN$193,'Draft Board'!$AN$2:$AN$193,"&gt;="&amp;AN189,'Draft Board'!$AP$2:$AP$193,1)</f>
        <v>0</v>
      </c>
      <c r="AR189" s="11">
        <f>IF(AO189&lt;&gt;_xlfn.MINIFS('Draft Board'!$AO$2:$AO$193,'Draft Board'!$AN$2:$AN$193,"="&amp;AN189),0,IF(OR(AP189=1,IFERROR(FLOOR((AQ189-AN189)/AQ189/0.25,1),0)&lt;&gt;IFERROR(FLOOR((AQ189-_xlfn.MINIFS('Draft Board'!$AN$2:$AN$193,'Draft Board'!$AN$2:$AN$193,"&gt;"&amp;AN189))/AQ189/0.25,1),0)),1,0))</f>
        <v>0</v>
      </c>
      <c r="AS189" s="11">
        <f>ROUND(1+AN189*'Live Calc'!$D$28,0)</f>
        <v>1</v>
      </c>
      <c r="AT189" s="11"/>
      <c r="AU189" s="11">
        <f>IF(AT189&lt;&gt;"",AT189,ROUND(AS189*INDEX('Live Calc'!$G$259:$G$450,MATCH(AM189,'Live Calc'!$A$259:$A$450,0))*'Live Calc'!$J$543,0))</f>
        <v>1</v>
      </c>
    </row>
    <row r="190" spans="33:47" x14ac:dyDescent="0.25">
      <c r="AG190" s="11" t="s">
        <v>580</v>
      </c>
      <c r="AH190" s="11" t="s">
        <v>90</v>
      </c>
      <c r="AI190" s="11">
        <v>10.07</v>
      </c>
      <c r="AJ190" s="11">
        <v>11.6</v>
      </c>
      <c r="AK190" s="11">
        <v>13.13</v>
      </c>
      <c r="AL190" s="11">
        <f>CHOOSE(MATCH(Setup!$B$7,{"STD","Half-PPR","PPR"},0),AI190,AJ190,AK190)</f>
        <v>11.6</v>
      </c>
      <c r="AM190" s="11">
        <f>COUNTIFS('Draft Board'!$AN$2:$AN$193,"&gt;="&amp;AN190,'Draft Board'!$AR$2:$AR$193,1)</f>
        <v>20</v>
      </c>
      <c r="AN190" s="11">
        <f>MAX(0,AL190-'Live Calc'!$H$21)^'Live Calc'!$E$21</f>
        <v>0</v>
      </c>
      <c r="AO190" s="11">
        <v>190</v>
      </c>
      <c r="AP190" s="11">
        <f>IF(AO190&lt;&gt;_xlfn.MINIFS('Draft Board'!$AO$2:$AO$193,'Draft Board'!$AN$2:$AN$193,"="&amp;AN190),0,IF(_xlfn.MINIFS('Draft Board'!$AN$2:$AN$193,'Draft Board'!$AN$2:$AN$193,"&gt;"&amp;AN190)=0,1,IF((_xlfn.MINIFS('Draft Board'!$AN$2:$AN$193,'Draft Board'!$AN$2:$AN$193,"&gt;"&amp;AN190)-AN190)/_xlfn.MINIFS('Draft Board'!$AN$2:$AN$193,'Draft Board'!$AN$2:$AN$193,"&gt;"&amp;AN190)&gt;0.08,1,0)))</f>
        <v>0</v>
      </c>
      <c r="AQ190" s="11">
        <f>_xlfn.MINIFS('Draft Board'!$AN$2:$AN$193,'Draft Board'!$AN$2:$AN$193,"&gt;="&amp;AN190,'Draft Board'!$AP$2:$AP$193,1)</f>
        <v>0</v>
      </c>
      <c r="AR190" s="11">
        <f>IF(AO190&lt;&gt;_xlfn.MINIFS('Draft Board'!$AO$2:$AO$193,'Draft Board'!$AN$2:$AN$193,"="&amp;AN190),0,IF(OR(AP190=1,IFERROR(FLOOR((AQ190-AN190)/AQ190/0.25,1),0)&lt;&gt;IFERROR(FLOOR((AQ190-_xlfn.MINIFS('Draft Board'!$AN$2:$AN$193,'Draft Board'!$AN$2:$AN$193,"&gt;"&amp;AN190))/AQ190/0.25,1),0)),1,0))</f>
        <v>0</v>
      </c>
      <c r="AS190" s="11">
        <f>ROUND(1+AN190*'Live Calc'!$D$28,0)</f>
        <v>1</v>
      </c>
      <c r="AT190" s="11"/>
      <c r="AU190" s="11">
        <f>IF(AT190&lt;&gt;"",AT190,ROUND(AS190*INDEX('Live Calc'!$G$259:$G$450,MATCH(AM190,'Live Calc'!$A$259:$A$450,0))*'Live Calc'!$J$543,0))</f>
        <v>1</v>
      </c>
    </row>
    <row r="191" spans="33:47" x14ac:dyDescent="0.25">
      <c r="AG191" s="11" t="s">
        <v>581</v>
      </c>
      <c r="AH191" s="11" t="s">
        <v>77</v>
      </c>
      <c r="AI191" s="11">
        <v>7.5</v>
      </c>
      <c r="AJ191" s="11">
        <v>10.9</v>
      </c>
      <c r="AK191" s="11">
        <v>14.3</v>
      </c>
      <c r="AL191" s="11">
        <f>CHOOSE(MATCH(Setup!$B$7,{"STD","Half-PPR","PPR"},0),AI191,AJ191,AK191)</f>
        <v>10.9</v>
      </c>
      <c r="AM191" s="11">
        <f>COUNTIFS('Draft Board'!$AN$2:$AN$193,"&gt;="&amp;AN191,'Draft Board'!$AR$2:$AR$193,1)</f>
        <v>20</v>
      </c>
      <c r="AN191" s="11">
        <f>MAX(0,AL191-'Live Calc'!$H$21)^'Live Calc'!$E$21</f>
        <v>0</v>
      </c>
      <c r="AO191" s="11">
        <v>191</v>
      </c>
      <c r="AP191" s="11">
        <f>IF(AO191&lt;&gt;_xlfn.MINIFS('Draft Board'!$AO$2:$AO$193,'Draft Board'!$AN$2:$AN$193,"="&amp;AN191),0,IF(_xlfn.MINIFS('Draft Board'!$AN$2:$AN$193,'Draft Board'!$AN$2:$AN$193,"&gt;"&amp;AN191)=0,1,IF((_xlfn.MINIFS('Draft Board'!$AN$2:$AN$193,'Draft Board'!$AN$2:$AN$193,"&gt;"&amp;AN191)-AN191)/_xlfn.MINIFS('Draft Board'!$AN$2:$AN$193,'Draft Board'!$AN$2:$AN$193,"&gt;"&amp;AN191)&gt;0.08,1,0)))</f>
        <v>0</v>
      </c>
      <c r="AQ191" s="11">
        <f>_xlfn.MINIFS('Draft Board'!$AN$2:$AN$193,'Draft Board'!$AN$2:$AN$193,"&gt;="&amp;AN191,'Draft Board'!$AP$2:$AP$193,1)</f>
        <v>0</v>
      </c>
      <c r="AR191" s="11">
        <f>IF(AO191&lt;&gt;_xlfn.MINIFS('Draft Board'!$AO$2:$AO$193,'Draft Board'!$AN$2:$AN$193,"="&amp;AN191),0,IF(OR(AP191=1,IFERROR(FLOOR((AQ191-AN191)/AQ191/0.25,1),0)&lt;&gt;IFERROR(FLOOR((AQ191-_xlfn.MINIFS('Draft Board'!$AN$2:$AN$193,'Draft Board'!$AN$2:$AN$193,"&gt;"&amp;AN191))/AQ191/0.25,1),0)),1,0))</f>
        <v>0</v>
      </c>
      <c r="AS191" s="11">
        <f>ROUND(1+AN191*'Live Calc'!$D$28,0)</f>
        <v>1</v>
      </c>
      <c r="AT191" s="11"/>
      <c r="AU191" s="11">
        <f>IF(AT191&lt;&gt;"",AT191,ROUND(AS191*INDEX('Live Calc'!$G$259:$G$450,MATCH(AM191,'Live Calc'!$A$259:$A$450,0))*'Live Calc'!$J$543,0))</f>
        <v>1</v>
      </c>
    </row>
    <row r="192" spans="33:47" x14ac:dyDescent="0.25">
      <c r="AG192" s="11" t="s">
        <v>582</v>
      </c>
      <c r="AH192" s="11" t="s">
        <v>71</v>
      </c>
      <c r="AI192" s="11">
        <v>8.49</v>
      </c>
      <c r="AJ192" s="11">
        <v>10.84</v>
      </c>
      <c r="AK192" s="11">
        <v>13.19</v>
      </c>
      <c r="AL192" s="11">
        <f>CHOOSE(MATCH(Setup!$B$7,{"STD","Half-PPR","PPR"},0),AI192,AJ192,AK192)</f>
        <v>10.84</v>
      </c>
      <c r="AM192" s="11">
        <f>COUNTIFS('Draft Board'!$AN$2:$AN$193,"&gt;="&amp;AN192,'Draft Board'!$AR$2:$AR$193,1)</f>
        <v>20</v>
      </c>
      <c r="AN192" s="11">
        <f>MAX(0,AL192-'Live Calc'!$H$21)^'Live Calc'!$E$21</f>
        <v>0</v>
      </c>
      <c r="AO192" s="11">
        <v>192</v>
      </c>
      <c r="AP192" s="11">
        <f>IF(AO192&lt;&gt;_xlfn.MINIFS('Draft Board'!$AO$2:$AO$193,'Draft Board'!$AN$2:$AN$193,"="&amp;AN192),0,IF(_xlfn.MINIFS('Draft Board'!$AN$2:$AN$193,'Draft Board'!$AN$2:$AN$193,"&gt;"&amp;AN192)=0,1,IF((_xlfn.MINIFS('Draft Board'!$AN$2:$AN$193,'Draft Board'!$AN$2:$AN$193,"&gt;"&amp;AN192)-AN192)/_xlfn.MINIFS('Draft Board'!$AN$2:$AN$193,'Draft Board'!$AN$2:$AN$193,"&gt;"&amp;AN192)&gt;0.08,1,0)))</f>
        <v>0</v>
      </c>
      <c r="AQ192" s="11">
        <f>_xlfn.MINIFS('Draft Board'!$AN$2:$AN$193,'Draft Board'!$AN$2:$AN$193,"&gt;="&amp;AN192,'Draft Board'!$AP$2:$AP$193,1)</f>
        <v>0</v>
      </c>
      <c r="AR192" s="11">
        <f>IF(AO192&lt;&gt;_xlfn.MINIFS('Draft Board'!$AO$2:$AO$193,'Draft Board'!$AN$2:$AN$193,"="&amp;AN192),0,IF(OR(AP192=1,IFERROR(FLOOR((AQ192-AN192)/AQ192/0.25,1),0)&lt;&gt;IFERROR(FLOOR((AQ192-_xlfn.MINIFS('Draft Board'!$AN$2:$AN$193,'Draft Board'!$AN$2:$AN$193,"&gt;"&amp;AN192))/AQ192/0.25,1),0)),1,0))</f>
        <v>0</v>
      </c>
      <c r="AS192" s="11">
        <f>ROUND(1+AN192*'Live Calc'!$D$28,0)</f>
        <v>1</v>
      </c>
      <c r="AT192" s="11"/>
      <c r="AU192" s="11">
        <f>IF(AT192&lt;&gt;"",AT192,ROUND(AS192*INDEX('Live Calc'!$G$259:$G$450,MATCH(AM192,'Live Calc'!$A$259:$A$450,0))*'Live Calc'!$J$543,0))</f>
        <v>1</v>
      </c>
    </row>
    <row r="193" spans="33:47" x14ac:dyDescent="0.25">
      <c r="AG193" s="11" t="s">
        <v>583</v>
      </c>
      <c r="AH193" s="11" t="s">
        <v>61</v>
      </c>
      <c r="AI193" s="11">
        <v>8.17</v>
      </c>
      <c r="AJ193" s="11">
        <v>10.68</v>
      </c>
      <c r="AK193" s="11">
        <v>13.19</v>
      </c>
      <c r="AL193" s="11">
        <f>CHOOSE(MATCH(Setup!$B$7,{"STD","Half-PPR","PPR"},0),AI193,AJ193,AK193)</f>
        <v>10.68</v>
      </c>
      <c r="AM193" s="11">
        <f>COUNTIFS('Draft Board'!$AN$2:$AN$193,"&gt;="&amp;AN193,'Draft Board'!$AR$2:$AR$193,1)</f>
        <v>20</v>
      </c>
      <c r="AN193" s="11">
        <f>MAX(0,AL193-'Live Calc'!$H$21)^'Live Calc'!$E$21</f>
        <v>0</v>
      </c>
      <c r="AO193" s="11">
        <v>193</v>
      </c>
      <c r="AP193" s="11">
        <f>IF(AO193&lt;&gt;_xlfn.MINIFS('Draft Board'!$AO$2:$AO$193,'Draft Board'!$AN$2:$AN$193,"="&amp;AN193),0,IF(_xlfn.MINIFS('Draft Board'!$AN$2:$AN$193,'Draft Board'!$AN$2:$AN$193,"&gt;"&amp;AN193)=0,1,IF((_xlfn.MINIFS('Draft Board'!$AN$2:$AN$193,'Draft Board'!$AN$2:$AN$193,"&gt;"&amp;AN193)-AN193)/_xlfn.MINIFS('Draft Board'!$AN$2:$AN$193,'Draft Board'!$AN$2:$AN$193,"&gt;"&amp;AN193)&gt;0.08,1,0)))</f>
        <v>0</v>
      </c>
      <c r="AQ193" s="11">
        <f>_xlfn.MINIFS('Draft Board'!$AN$2:$AN$193,'Draft Board'!$AN$2:$AN$193,"&gt;="&amp;AN193,'Draft Board'!$AP$2:$AP$193,1)</f>
        <v>0</v>
      </c>
      <c r="AR193" s="11">
        <f>IF(AO193&lt;&gt;_xlfn.MINIFS('Draft Board'!$AO$2:$AO$193,'Draft Board'!$AN$2:$AN$193,"="&amp;AN193),0,IF(OR(AP193=1,IFERROR(FLOOR((AQ193-AN193)/AQ193/0.25,1),0)&lt;&gt;IFERROR(FLOOR((AQ193-_xlfn.MINIFS('Draft Board'!$AN$2:$AN$193,'Draft Board'!$AN$2:$AN$193,"&gt;"&amp;AN193))/AQ193/0.25,1),0)),1,0))</f>
        <v>0</v>
      </c>
      <c r="AS193" s="11">
        <f>ROUND(1+AN193*'Live Calc'!$D$28,0)</f>
        <v>1</v>
      </c>
      <c r="AT193" s="11"/>
      <c r="AU193" s="11">
        <f>IF(AT193&lt;&gt;"",AT193,ROUND(AS193*INDEX('Live Calc'!$G$259:$G$450,MATCH(AM193,'Live Calc'!$A$259:$A$450,0))*'Live Calc'!$J$543,0))</f>
        <v>1</v>
      </c>
    </row>
  </sheetData>
  <dataValidations count="1">
    <dataValidation type="whole" allowBlank="1" showErrorMessage="1" errorTitle="Invalid price" error="Enter a whole-dollar amount (0-400)." sqref="N2:N61 BJ2:BJ87 AT2:AT193 AD2:AD161" xr:uid="{00000000-0002-0000-0200-000000000000}">
      <formula1>0</formula1>
      <formula2>400</formula2>
    </dataValidation>
  </dataValidation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543"/>
  <sheetViews>
    <sheetView workbookViewId="0"/>
  </sheetViews>
  <sheetFormatPr defaultRowHeight="15" x14ac:dyDescent="0.25"/>
  <cols>
    <col min="1" max="1" width="16" customWidth="1"/>
    <col min="2" max="3" width="20" customWidth="1"/>
    <col min="4" max="4" width="16" customWidth="1"/>
    <col min="5" max="5" width="22" customWidth="1"/>
    <col min="6" max="7" width="18" customWidth="1"/>
    <col min="8" max="8" width="16" customWidth="1"/>
    <col min="9" max="9" width="20" customWidth="1"/>
    <col min="10" max="10" width="18" customWidth="1"/>
  </cols>
  <sheetData>
    <row r="1" spans="1:66" x14ac:dyDescent="0.25">
      <c r="A1" s="13" t="s">
        <v>584</v>
      </c>
    </row>
    <row r="2" spans="1:66" x14ac:dyDescent="0.25">
      <c r="A2" t="s">
        <v>585</v>
      </c>
      <c r="B2">
        <f>Setup!$B$5</f>
        <v>12</v>
      </c>
    </row>
    <row r="3" spans="1:66" x14ac:dyDescent="0.25">
      <c r="A3" t="s">
        <v>586</v>
      </c>
      <c r="B3">
        <f>B2*(Setup!$B$11+Setup!$B$13+Setup!$B$15+Setup!$B$17+(Setup!$B$19+Setup!$B$21+Setup!$B$23+Setup!$B$25)+Setup!$B$27+Setup!$B$29+Setup!$B$31)</f>
        <v>192</v>
      </c>
    </row>
    <row r="4" spans="1:66" x14ac:dyDescent="0.25">
      <c r="A4" t="s">
        <v>587</v>
      </c>
      <c r="B4">
        <f>B2*Setup!$B$3</f>
        <v>2400</v>
      </c>
    </row>
    <row r="5" spans="1:66" x14ac:dyDescent="0.25">
      <c r="A5" t="s">
        <v>588</v>
      </c>
      <c r="B5">
        <f>B4-B3*1</f>
        <v>2208</v>
      </c>
    </row>
    <row r="7" spans="1:66" x14ac:dyDescent="0.25">
      <c r="A7" s="13" t="s">
        <v>589</v>
      </c>
    </row>
    <row r="8" spans="1:66" x14ac:dyDescent="0.25">
      <c r="A8" t="s">
        <v>590</v>
      </c>
      <c r="B8" t="b">
        <f>OR(Setup!$B$11=2,Setup!$B$25&gt;=1)</f>
        <v>0</v>
      </c>
    </row>
    <row r="10" spans="1:66" x14ac:dyDescent="0.25">
      <c r="A10" s="13" t="s">
        <v>591</v>
      </c>
    </row>
    <row r="11" spans="1:66" x14ac:dyDescent="0.25">
      <c r="A11" s="13" t="s">
        <v>592</v>
      </c>
      <c r="B11" s="13" t="s">
        <v>593</v>
      </c>
      <c r="C11" s="13" t="s">
        <v>594</v>
      </c>
      <c r="D11" s="13" t="s">
        <v>595</v>
      </c>
      <c r="E11" s="13" t="s">
        <v>596</v>
      </c>
      <c r="F11" s="13" t="s">
        <v>597</v>
      </c>
      <c r="G11" s="13" t="s">
        <v>598</v>
      </c>
      <c r="H11" s="13" t="s">
        <v>599</v>
      </c>
    </row>
    <row r="12" spans="1:66" x14ac:dyDescent="0.25">
      <c r="A12" t="s">
        <v>600</v>
      </c>
      <c r="B12">
        <f>CHOOSE(MATCH(Setup!$B$5,{8,10,12,14,16},0)+(MATCH(Setup!$B$7,{"STD","Half-PPR","PPR"},0)-1)*5,V12,Y12,AB12,AE12,AH12,AK12,AN12,AQ12,AT12,AW12,AZ12,BC12,BF12,BI12,BL12)</f>
        <v>20</v>
      </c>
      <c r="C12">
        <f>CHOOSE(MATCH(Setup!$B$5,{8,10,12,14,16},0)+(MATCH(Setup!$B$7,{"STD","Half-PPR","PPR"},0)-1)*5,W12,Z12,AC12,AF12,AI12,AL12,AO12,AR12,AU12,AX12,BA12,BD12,BG12,BJ12,BM12)</f>
        <v>1.2</v>
      </c>
      <c r="D12">
        <f>CHOOSE(MATCH(Setup!$B$5,{8,10,12,14,16},0)+(MATCH(Setup!$B$7,{"STD","Half-PPR","PPR"},0)-1)*5,X12,AA12,AD12,AG12,AJ12,AM12,AP12,AS12,AV12,AY12,BB12,BE12,BH12,BK12,BN12)</f>
        <v>7.1599999999999997E-2</v>
      </c>
      <c r="E12">
        <v>1.1667000000000001</v>
      </c>
      <c r="F12">
        <v>4.1494</v>
      </c>
      <c r="G12">
        <v>-0.05</v>
      </c>
      <c r="H12">
        <v>-5.5500000000000002E-3</v>
      </c>
      <c r="V12">
        <v>14</v>
      </c>
      <c r="W12">
        <v>1.1000000000000001</v>
      </c>
      <c r="X12">
        <v>7.4099999999999999E-2</v>
      </c>
      <c r="Y12">
        <v>16</v>
      </c>
      <c r="Z12">
        <v>1.2</v>
      </c>
      <c r="AA12">
        <v>7.4099999999999999E-2</v>
      </c>
      <c r="AB12">
        <v>20</v>
      </c>
      <c r="AC12">
        <v>1.3</v>
      </c>
      <c r="AD12">
        <v>7.4099999999999999E-2</v>
      </c>
      <c r="AE12">
        <v>22</v>
      </c>
      <c r="AF12">
        <v>1.4</v>
      </c>
      <c r="AG12">
        <v>7.4099999999999999E-2</v>
      </c>
      <c r="AH12">
        <v>22</v>
      </c>
      <c r="AI12">
        <v>1.3</v>
      </c>
      <c r="AJ12">
        <v>7.4099999999999999E-2</v>
      </c>
      <c r="AK12">
        <v>14</v>
      </c>
      <c r="AL12">
        <v>1.05</v>
      </c>
      <c r="AM12">
        <v>7.1599999999999997E-2</v>
      </c>
      <c r="AN12">
        <v>16</v>
      </c>
      <c r="AO12">
        <v>1.1000000000000001</v>
      </c>
      <c r="AP12">
        <v>7.1599999999999997E-2</v>
      </c>
      <c r="AQ12">
        <v>20</v>
      </c>
      <c r="AR12">
        <v>1.2</v>
      </c>
      <c r="AS12">
        <v>7.1599999999999997E-2</v>
      </c>
      <c r="AT12">
        <v>22</v>
      </c>
      <c r="AU12">
        <v>1.3</v>
      </c>
      <c r="AV12">
        <v>7.1599999999999997E-2</v>
      </c>
      <c r="AW12">
        <v>22</v>
      </c>
      <c r="AX12">
        <v>1.2</v>
      </c>
      <c r="AY12">
        <v>7.1599999999999997E-2</v>
      </c>
      <c r="AZ12">
        <v>16</v>
      </c>
      <c r="BA12">
        <v>1.4</v>
      </c>
      <c r="BB12">
        <v>7.1099999999999997E-2</v>
      </c>
      <c r="BC12">
        <v>18</v>
      </c>
      <c r="BD12">
        <v>1.3</v>
      </c>
      <c r="BE12">
        <v>7.1099999999999997E-2</v>
      </c>
      <c r="BF12">
        <v>20</v>
      </c>
      <c r="BG12">
        <v>1.1499999999999999</v>
      </c>
      <c r="BH12">
        <v>7.1099999999999997E-2</v>
      </c>
      <c r="BI12">
        <v>22</v>
      </c>
      <c r="BJ12">
        <v>1.3</v>
      </c>
      <c r="BK12">
        <v>7.1099999999999997E-2</v>
      </c>
      <c r="BL12">
        <v>24</v>
      </c>
      <c r="BM12">
        <v>1.2</v>
      </c>
      <c r="BN12">
        <v>7.1099999999999997E-2</v>
      </c>
    </row>
    <row r="13" spans="1:66" x14ac:dyDescent="0.25">
      <c r="A13" t="s">
        <v>601</v>
      </c>
      <c r="B13">
        <f>CHOOSE(MATCH(Setup!$B$5,{8,10,12,14,16},0)+(MATCH(Setup!$B$7,{"STD","Half-PPR","PPR"},0)-1)*5,V13,Y13,AB13,AE13,AH13,AK13,AN13,AQ13,AT13,AW13,AZ13,BC13,BF13,BI13,BL13)</f>
        <v>44</v>
      </c>
      <c r="C13">
        <f>CHOOSE(MATCH(Setup!$B$5,{8,10,12,14,16},0)+(MATCH(Setup!$B$7,{"STD","Half-PPR","PPR"},0)-1)*5,W13,Z13,AC13,AF13,AI13,AL13,AO13,AR13,AU13,AX13,BA13,BD13,BG13,BJ13,BM13)</f>
        <v>1.2</v>
      </c>
      <c r="D13">
        <f>CHOOSE(MATCH(Setup!$B$5,{8,10,12,14,16},0)+(MATCH(Setup!$B$7,{"STD","Half-PPR","PPR"},0)-1)*5,X13,AA13,AD13,AG13,AJ13,AM13,AP13,AS13,AV13,AY13,BB13,BE13,BH13,BK13,BN13)</f>
        <v>0.41789999999999999</v>
      </c>
      <c r="E13">
        <v>1</v>
      </c>
      <c r="F13">
        <v>0.7026</v>
      </c>
      <c r="G13">
        <v>2.5000000000000001E-2</v>
      </c>
      <c r="H13">
        <v>8.6999999999999994E-3</v>
      </c>
      <c r="V13">
        <v>32</v>
      </c>
      <c r="W13">
        <v>1</v>
      </c>
      <c r="X13">
        <v>0.43490000000000001</v>
      </c>
      <c r="Y13">
        <v>36</v>
      </c>
      <c r="Z13">
        <v>1.1499999999999999</v>
      </c>
      <c r="AA13">
        <v>0.43490000000000001</v>
      </c>
      <c r="AB13">
        <v>44</v>
      </c>
      <c r="AC13">
        <v>1.3</v>
      </c>
      <c r="AD13">
        <v>0.43490000000000001</v>
      </c>
      <c r="AE13">
        <v>48</v>
      </c>
      <c r="AF13">
        <v>1.1000000000000001</v>
      </c>
      <c r="AG13">
        <v>0.43490000000000001</v>
      </c>
      <c r="AH13">
        <v>52</v>
      </c>
      <c r="AI13">
        <v>1.1499999999999999</v>
      </c>
      <c r="AJ13">
        <v>0.43490000000000001</v>
      </c>
      <c r="AK13">
        <v>32</v>
      </c>
      <c r="AL13">
        <v>1.2</v>
      </c>
      <c r="AM13">
        <v>0.41789999999999999</v>
      </c>
      <c r="AN13">
        <v>36</v>
      </c>
      <c r="AO13">
        <v>1.1000000000000001</v>
      </c>
      <c r="AP13">
        <v>0.41789999999999999</v>
      </c>
      <c r="AQ13">
        <v>44</v>
      </c>
      <c r="AR13">
        <v>1.2</v>
      </c>
      <c r="AS13">
        <v>0.41789999999999999</v>
      </c>
      <c r="AT13">
        <v>52</v>
      </c>
      <c r="AU13">
        <v>1.3</v>
      </c>
      <c r="AV13">
        <v>0.41789999999999999</v>
      </c>
      <c r="AW13">
        <v>56</v>
      </c>
      <c r="AX13">
        <v>1.2</v>
      </c>
      <c r="AY13">
        <v>0.41789999999999999</v>
      </c>
      <c r="AZ13">
        <v>32</v>
      </c>
      <c r="BA13">
        <v>1.1499999999999999</v>
      </c>
      <c r="BB13">
        <v>0.40360000000000001</v>
      </c>
      <c r="BC13">
        <v>36</v>
      </c>
      <c r="BD13">
        <v>1.05</v>
      </c>
      <c r="BE13">
        <v>0.40360000000000001</v>
      </c>
      <c r="BF13">
        <v>40</v>
      </c>
      <c r="BG13">
        <v>1.05</v>
      </c>
      <c r="BH13">
        <v>0.40360000000000001</v>
      </c>
      <c r="BI13">
        <v>48</v>
      </c>
      <c r="BJ13">
        <v>1.1000000000000001</v>
      </c>
      <c r="BK13">
        <v>0.40360000000000001</v>
      </c>
      <c r="BL13">
        <v>56</v>
      </c>
      <c r="BM13">
        <v>1.2</v>
      </c>
      <c r="BN13">
        <v>0.40360000000000001</v>
      </c>
    </row>
    <row r="14" spans="1:66" x14ac:dyDescent="0.25">
      <c r="A14" t="s">
        <v>602</v>
      </c>
      <c r="B14">
        <f>CHOOSE(MATCH(Setup!$B$5,{8,10,12,14,16},0)+(MATCH(Setup!$B$7,{"STD","Half-PPR","PPR"},0)-1)*5,V14,Y14,AB14,AE14,AH14,AK14,AN14,AQ14,AT14,AW14,AZ14,BC14,BF14,BI14,BL14)</f>
        <v>60</v>
      </c>
      <c r="C14">
        <f>CHOOSE(MATCH(Setup!$B$5,{8,10,12,14,16},0)+(MATCH(Setup!$B$7,{"STD","Half-PPR","PPR"},0)-1)*5,W14,Z14,AC14,AF14,AI14,AL14,AO14,AR14,AU14,AX14,BA14,BD14,BG14,BJ14,BM14)</f>
        <v>1.25</v>
      </c>
      <c r="D14">
        <f>CHOOSE(MATCH(Setup!$B$5,{8,10,12,14,16},0)+(MATCH(Setup!$B$7,{"STD","Half-PPR","PPR"},0)-1)*5,X14,AA14,AD14,AG14,AJ14,AM14,AP14,AS14,AV14,AY14,BB14,BE14,BH14,BK14,BN14)</f>
        <v>0.4219</v>
      </c>
      <c r="E14">
        <v>1.04</v>
      </c>
      <c r="F14">
        <v>0.78359999999999996</v>
      </c>
      <c r="G14">
        <v>-0.05</v>
      </c>
      <c r="H14">
        <v>-4.5500000000000002E-3</v>
      </c>
      <c r="V14">
        <v>40</v>
      </c>
      <c r="W14">
        <v>1.25</v>
      </c>
      <c r="X14">
        <v>0.40110000000000001</v>
      </c>
      <c r="Y14">
        <v>55</v>
      </c>
      <c r="Z14">
        <v>1.3</v>
      </c>
      <c r="AA14">
        <v>0.40110000000000001</v>
      </c>
      <c r="AB14">
        <v>60</v>
      </c>
      <c r="AC14">
        <v>1.2</v>
      </c>
      <c r="AD14">
        <v>0.40110000000000001</v>
      </c>
      <c r="AE14">
        <v>70</v>
      </c>
      <c r="AF14">
        <v>1.3</v>
      </c>
      <c r="AG14">
        <v>0.40110000000000001</v>
      </c>
      <c r="AH14">
        <v>80</v>
      </c>
      <c r="AI14">
        <v>1.25</v>
      </c>
      <c r="AJ14">
        <v>0.40110000000000001</v>
      </c>
      <c r="AK14">
        <v>40</v>
      </c>
      <c r="AL14">
        <v>1.2</v>
      </c>
      <c r="AM14">
        <v>0.4219</v>
      </c>
      <c r="AN14">
        <v>55</v>
      </c>
      <c r="AO14">
        <v>1.3</v>
      </c>
      <c r="AP14">
        <v>0.4219</v>
      </c>
      <c r="AQ14">
        <v>60</v>
      </c>
      <c r="AR14">
        <v>1.25</v>
      </c>
      <c r="AS14">
        <v>0.4219</v>
      </c>
      <c r="AT14">
        <v>70</v>
      </c>
      <c r="AU14">
        <v>1.3</v>
      </c>
      <c r="AV14">
        <v>0.4219</v>
      </c>
      <c r="AW14">
        <v>75</v>
      </c>
      <c r="AX14">
        <v>1.2</v>
      </c>
      <c r="AY14">
        <v>0.4219</v>
      </c>
      <c r="AZ14">
        <v>40</v>
      </c>
      <c r="BA14">
        <v>1.1499999999999999</v>
      </c>
      <c r="BB14">
        <v>0.437</v>
      </c>
      <c r="BC14">
        <v>55</v>
      </c>
      <c r="BD14">
        <v>1.3</v>
      </c>
      <c r="BE14">
        <v>0.437</v>
      </c>
      <c r="BF14">
        <v>60</v>
      </c>
      <c r="BG14">
        <v>1.25</v>
      </c>
      <c r="BH14">
        <v>0.437</v>
      </c>
      <c r="BI14">
        <v>70</v>
      </c>
      <c r="BJ14">
        <v>1.3</v>
      </c>
      <c r="BK14">
        <v>0.437</v>
      </c>
      <c r="BL14">
        <v>75</v>
      </c>
      <c r="BM14">
        <v>1.2</v>
      </c>
      <c r="BN14">
        <v>0.437</v>
      </c>
    </row>
    <row r="15" spans="1:66" x14ac:dyDescent="0.25">
      <c r="A15" t="s">
        <v>603</v>
      </c>
      <c r="B15">
        <f>CHOOSE(MATCH(Setup!$B$5,{8,10,12,14,16},0)+(MATCH(Setup!$B$7,{"STD","Half-PPR","PPR"},0)-1)*5,V15,Y15,AB15,AE15,AH15,AK15,AN15,AQ15,AT15,AW15,AZ15,BC15,BF15,BI15,BL15)</f>
        <v>24</v>
      </c>
      <c r="C15">
        <f>CHOOSE(MATCH(Setup!$B$5,{8,10,12,14,16},0)+(MATCH(Setup!$B$7,{"STD","Half-PPR","PPR"},0)-1)*5,W15,Z15,AC15,AF15,AI15,AL15,AO15,AR15,AU15,AX15,BA15,BD15,BG15,BJ15,BM15)</f>
        <v>1</v>
      </c>
      <c r="D15">
        <f>CHOOSE(MATCH(Setup!$B$5,{8,10,12,14,16},0)+(MATCH(Setup!$B$7,{"STD","Half-PPR","PPR"},0)-1)*5,X15,AA15,AD15,AG15,AJ15,AM15,AP15,AS15,AV15,AY15,BB15,BE15,BH15,BK15,BN15)</f>
        <v>8.8599999999999998E-2</v>
      </c>
      <c r="E15">
        <v>1</v>
      </c>
      <c r="F15">
        <v>0.88829999999999998</v>
      </c>
      <c r="G15">
        <v>0</v>
      </c>
      <c r="H15">
        <v>1.4E-3</v>
      </c>
      <c r="V15">
        <v>16</v>
      </c>
      <c r="W15">
        <v>0.9</v>
      </c>
      <c r="X15">
        <v>8.9800000000000005E-2</v>
      </c>
      <c r="Y15">
        <v>20</v>
      </c>
      <c r="Z15">
        <v>1.1000000000000001</v>
      </c>
      <c r="AA15">
        <v>8.9800000000000005E-2</v>
      </c>
      <c r="AB15">
        <v>24</v>
      </c>
      <c r="AC15">
        <v>0.9</v>
      </c>
      <c r="AD15">
        <v>8.9800000000000005E-2</v>
      </c>
      <c r="AE15">
        <v>28</v>
      </c>
      <c r="AF15">
        <v>0.9</v>
      </c>
      <c r="AG15">
        <v>8.9800000000000005E-2</v>
      </c>
      <c r="AH15">
        <v>30</v>
      </c>
      <c r="AI15">
        <v>0.85</v>
      </c>
      <c r="AJ15">
        <v>8.9800000000000005E-2</v>
      </c>
      <c r="AK15">
        <v>16</v>
      </c>
      <c r="AL15">
        <v>1</v>
      </c>
      <c r="AM15">
        <v>8.8599999999999998E-2</v>
      </c>
      <c r="AN15">
        <v>18</v>
      </c>
      <c r="AO15">
        <v>0.9</v>
      </c>
      <c r="AP15">
        <v>8.8599999999999998E-2</v>
      </c>
      <c r="AQ15">
        <v>24</v>
      </c>
      <c r="AR15">
        <v>1</v>
      </c>
      <c r="AS15">
        <v>8.8599999999999998E-2</v>
      </c>
      <c r="AT15">
        <v>28</v>
      </c>
      <c r="AU15">
        <v>1</v>
      </c>
      <c r="AV15">
        <v>8.8599999999999998E-2</v>
      </c>
      <c r="AW15">
        <v>30</v>
      </c>
      <c r="AX15">
        <v>1.1000000000000001</v>
      </c>
      <c r="AY15">
        <v>8.8599999999999998E-2</v>
      </c>
      <c r="AZ15">
        <v>14</v>
      </c>
      <c r="BA15">
        <v>1</v>
      </c>
      <c r="BB15">
        <v>8.8300000000000003E-2</v>
      </c>
      <c r="BC15">
        <v>18</v>
      </c>
      <c r="BD15">
        <v>0.9</v>
      </c>
      <c r="BE15">
        <v>8.8300000000000003E-2</v>
      </c>
      <c r="BF15">
        <v>24</v>
      </c>
      <c r="BG15">
        <v>1</v>
      </c>
      <c r="BH15">
        <v>8.8300000000000003E-2</v>
      </c>
      <c r="BI15">
        <v>28</v>
      </c>
      <c r="BJ15">
        <v>1.1000000000000001</v>
      </c>
      <c r="BK15">
        <v>8.8300000000000003E-2</v>
      </c>
      <c r="BL15">
        <v>30</v>
      </c>
      <c r="BM15">
        <v>1.1000000000000001</v>
      </c>
      <c r="BN15">
        <v>8.8300000000000003E-2</v>
      </c>
    </row>
    <row r="17" spans="1:10" x14ac:dyDescent="0.25">
      <c r="A17" s="13" t="s">
        <v>604</v>
      </c>
      <c r="J17" s="13" t="s">
        <v>605</v>
      </c>
    </row>
    <row r="18" spans="1:10" x14ac:dyDescent="0.25">
      <c r="A18" s="13" t="s">
        <v>592</v>
      </c>
      <c r="B18" s="13" t="s">
        <v>606</v>
      </c>
      <c r="C18" s="13" t="s">
        <v>607</v>
      </c>
      <c r="D18" s="13" t="s">
        <v>608</v>
      </c>
      <c r="E18" s="13" t="s">
        <v>609</v>
      </c>
      <c r="F18" s="13" t="s">
        <v>610</v>
      </c>
      <c r="G18" s="13" t="s">
        <v>611</v>
      </c>
      <c r="H18" s="13" t="s">
        <v>612</v>
      </c>
      <c r="J18">
        <f>Setup!$B$19</f>
        <v>1</v>
      </c>
    </row>
    <row r="19" spans="1:10" x14ac:dyDescent="0.25">
      <c r="A19" t="s">
        <v>600</v>
      </c>
      <c r="B19">
        <f>Setup!$B$11+0*Setup!$B$19+0*Setup!$B$21+0*Setup!$B$23+0.4*Setup!$B$25</f>
        <v>1</v>
      </c>
      <c r="C19">
        <f>1+0*1</f>
        <v>1</v>
      </c>
      <c r="D19">
        <f>MAX(1,ROUND(B12*IFERROR(B19/C19,1),0))</f>
        <v>20</v>
      </c>
      <c r="E19">
        <f t="shared" ref="E19:F22" si="0">IF($B$8,C12*E12,C12+G12*($J$18-1))</f>
        <v>1.2</v>
      </c>
      <c r="F19">
        <f t="shared" si="0"/>
        <v>7.1599999999999997E-2</v>
      </c>
      <c r="G19">
        <f>F19/(F19+F20+F21+F22)</f>
        <v>7.1599999999999997E-2</v>
      </c>
      <c r="H19">
        <f>LARGE('Draft Board'!$F$2:$F$61,MIN(D19,60))</f>
        <v>264.17</v>
      </c>
    </row>
    <row r="20" spans="1:10" x14ac:dyDescent="0.25">
      <c r="A20" t="s">
        <v>601</v>
      </c>
      <c r="B20">
        <f>Setup!$B$13+0.1818*Setup!$B$19+0.2048*Setup!$B$21+0*Setup!$B$23+0.3306*Setup!$B$25</f>
        <v>2.1818</v>
      </c>
      <c r="C20">
        <f>2+0.1818*1</f>
        <v>2.1818</v>
      </c>
      <c r="D20">
        <f>MAX(1,ROUND(B13*IFERROR(B20/C20,1),0))</f>
        <v>44</v>
      </c>
      <c r="E20">
        <f t="shared" si="0"/>
        <v>1.2</v>
      </c>
      <c r="F20">
        <f t="shared" si="0"/>
        <v>0.41789999999999999</v>
      </c>
      <c r="G20">
        <f>F20/(F19+F20+F21+F22)</f>
        <v>0.41789999999999999</v>
      </c>
      <c r="H20">
        <f>LARGE('Draft Board'!$V$2:$V$161,MIN(D20,160))</f>
        <v>100.83199999999999</v>
      </c>
    </row>
    <row r="21" spans="1:10" x14ac:dyDescent="0.25">
      <c r="A21" t="s">
        <v>602</v>
      </c>
      <c r="B21">
        <f>Setup!$B$15+0.1111*Setup!$B$19+0.1251*Setup!$B$21+0.2475*Setup!$B$23+0.2021*Setup!$B$25</f>
        <v>3.1111</v>
      </c>
      <c r="C21">
        <f>3+0.1111*1</f>
        <v>3.1111</v>
      </c>
      <c r="D21">
        <f>MAX(1,ROUND(B14*IFERROR(B21/C21,1),0))</f>
        <v>60</v>
      </c>
      <c r="E21">
        <f t="shared" si="0"/>
        <v>1.25</v>
      </c>
      <c r="F21">
        <f t="shared" si="0"/>
        <v>0.4219</v>
      </c>
      <c r="G21">
        <f>F21/(F19+F20+F21+F22)</f>
        <v>0.4219</v>
      </c>
      <c r="H21">
        <f>LARGE('Draft Board'!$AL$2:$AL$193,MIN(D21,192))</f>
        <v>101.24</v>
      </c>
    </row>
    <row r="22" spans="1:10" x14ac:dyDescent="0.25">
      <c r="A22" t="s">
        <v>603</v>
      </c>
      <c r="B22">
        <f>Setup!$B$17+0.037*Setup!$B$19+0*Setup!$B$21+0.0824*Setup!$B$23+0.0673*Setup!$B$25</f>
        <v>1.0369999999999999</v>
      </c>
      <c r="C22">
        <f>1+0.037*1</f>
        <v>1.0369999999999999</v>
      </c>
      <c r="D22">
        <f>MAX(1,ROUND(B15*IFERROR(B22/C22,1),0))</f>
        <v>24</v>
      </c>
      <c r="E22">
        <f t="shared" si="0"/>
        <v>1</v>
      </c>
      <c r="F22">
        <f t="shared" si="0"/>
        <v>8.8599999999999998E-2</v>
      </c>
      <c r="G22">
        <f>F22/(F19+F20+F21+F22)</f>
        <v>8.8599999999999998E-2</v>
      </c>
      <c r="H22">
        <f>LARGE('Draft Board'!$BB$2:$BB$87,MIN(D22,86))</f>
        <v>103.25</v>
      </c>
    </row>
    <row r="24" spans="1:10" x14ac:dyDescent="0.25">
      <c r="A24" s="13" t="s">
        <v>613</v>
      </c>
    </row>
    <row r="25" spans="1:10" x14ac:dyDescent="0.25">
      <c r="A25" s="13" t="s">
        <v>592</v>
      </c>
      <c r="B25" s="13" t="s">
        <v>614</v>
      </c>
      <c r="C25" s="13" t="s">
        <v>615</v>
      </c>
      <c r="D25" s="13" t="s">
        <v>616</v>
      </c>
    </row>
    <row r="26" spans="1:10" x14ac:dyDescent="0.25">
      <c r="A26" t="s">
        <v>600</v>
      </c>
      <c r="B26">
        <f>$B$5*G19</f>
        <v>158.09279999999998</v>
      </c>
      <c r="C26">
        <f>SUM('Draft Board'!$H$2:$H$61)</f>
        <v>1174.7646040760387</v>
      </c>
      <c r="D26">
        <f>IF(C26&lt;20,0,IFERROR(B26/C26,0))</f>
        <v>0.13457402398018381</v>
      </c>
    </row>
    <row r="27" spans="1:10" x14ac:dyDescent="0.25">
      <c r="A27" t="s">
        <v>601</v>
      </c>
      <c r="B27">
        <f>$B$5*G20</f>
        <v>922.72320000000002</v>
      </c>
      <c r="C27">
        <f>SUM('Draft Board'!$X$2:$X$161)</f>
        <v>10037.516689790453</v>
      </c>
      <c r="D27">
        <f>IF(C27&lt;20,0,IFERROR(B27/C27,0))</f>
        <v>9.1927438679981224E-2</v>
      </c>
    </row>
    <row r="28" spans="1:10" x14ac:dyDescent="0.25">
      <c r="A28" t="s">
        <v>602</v>
      </c>
      <c r="B28">
        <f>$B$5*G21</f>
        <v>931.55520000000001</v>
      </c>
      <c r="C28">
        <f>SUM('Draft Board'!$AN$2:$AN$193)</f>
        <v>11420.193026251984</v>
      </c>
      <c r="D28">
        <f>IF(C28&lt;20,0,IFERROR(B28/C28,0))</f>
        <v>8.1570880444717761E-2</v>
      </c>
    </row>
    <row r="29" spans="1:10" x14ac:dyDescent="0.25">
      <c r="A29" t="s">
        <v>603</v>
      </c>
      <c r="B29">
        <f>$B$5*G22</f>
        <v>195.62879999999998</v>
      </c>
      <c r="C29">
        <f>SUM('Draft Board'!$BD$2:$BD$87)</f>
        <v>729.24</v>
      </c>
      <c r="D29">
        <f>IF(C29&lt;20,0,IFERROR(B29/C29,0))</f>
        <v>0.26826394602599962</v>
      </c>
    </row>
    <row r="31" spans="1:10" x14ac:dyDescent="0.25">
      <c r="A31" s="13" t="s">
        <v>617</v>
      </c>
    </row>
    <row r="32" spans="1:10" x14ac:dyDescent="0.25">
      <c r="A32" s="13" t="s">
        <v>48</v>
      </c>
      <c r="B32" s="13" t="s">
        <v>618</v>
      </c>
      <c r="C32" s="13" t="s">
        <v>619</v>
      </c>
      <c r="D32" s="13" t="s">
        <v>620</v>
      </c>
      <c r="E32" s="13" t="s">
        <v>621</v>
      </c>
      <c r="F32" s="13" t="s">
        <v>622</v>
      </c>
      <c r="G32" s="13" t="s">
        <v>623</v>
      </c>
    </row>
    <row r="33" spans="1:7" x14ac:dyDescent="0.25">
      <c r="A33">
        <v>1</v>
      </c>
      <c r="B33">
        <f>SUMIFS('Draft Board'!$N$2:$N$61,'Draft Board'!$G$2:$G$61,A33,'Draft Board'!$N$2:$N$61,"&lt;&gt;")</f>
        <v>0</v>
      </c>
      <c r="C33">
        <f>SUMIFS('Draft Board'!$M$2:$M$61,'Draft Board'!$G$2:$G$61,A33,'Draft Board'!$N$2:$N$61,"&lt;&gt;")</f>
        <v>0</v>
      </c>
      <c r="D33">
        <f>COUNTIFS('Draft Board'!$G$2:$G$61,A33,'Draft Board'!$N$2:$N$61,"&lt;&gt;")</f>
        <v>0</v>
      </c>
      <c r="E33">
        <f>IFERROR(AVERAGEIFS('Draft Board'!$M$2:$M$61,'Draft Board'!$G$2:$G$61,A33),0)</f>
        <v>30</v>
      </c>
      <c r="F33">
        <f>MIN(1,E33/(Setup!$B$3*0.1))</f>
        <v>1</v>
      </c>
      <c r="G33">
        <f t="shared" ref="G33:G64" si="1">IF(D33&lt;2,1,MEDIAN(0.5,2,1+(IFERROR(B33/C33,1)-1)*F33))</f>
        <v>1</v>
      </c>
    </row>
    <row r="34" spans="1:7" x14ac:dyDescent="0.25">
      <c r="A34">
        <v>2</v>
      </c>
      <c r="B34">
        <f>SUMIFS('Draft Board'!$N$2:$N$61,'Draft Board'!$G$2:$G$61,A34,'Draft Board'!$N$2:$N$61,"&lt;&gt;")</f>
        <v>0</v>
      </c>
      <c r="C34">
        <f>SUMIFS('Draft Board'!$M$2:$M$61,'Draft Board'!$G$2:$G$61,A34,'Draft Board'!$N$2:$N$61,"&lt;&gt;")</f>
        <v>0</v>
      </c>
      <c r="D34">
        <f>COUNTIFS('Draft Board'!$G$2:$G$61,A34,'Draft Board'!$N$2:$N$61,"&lt;&gt;")</f>
        <v>0</v>
      </c>
      <c r="E34">
        <f>IFERROR(AVERAGEIFS('Draft Board'!$M$2:$M$61,'Draft Board'!$G$2:$G$61,A34),0)</f>
        <v>16</v>
      </c>
      <c r="F34">
        <f>MIN(1,E34/(Setup!$B$3*0.1))</f>
        <v>0.8</v>
      </c>
      <c r="G34">
        <f t="shared" si="1"/>
        <v>1</v>
      </c>
    </row>
    <row r="35" spans="1:7" x14ac:dyDescent="0.25">
      <c r="A35">
        <v>3</v>
      </c>
      <c r="B35">
        <f>SUMIFS('Draft Board'!$N$2:$N$61,'Draft Board'!$G$2:$G$61,A35,'Draft Board'!$N$2:$N$61,"&lt;&gt;")</f>
        <v>0</v>
      </c>
      <c r="C35">
        <f>SUMIFS('Draft Board'!$M$2:$M$61,'Draft Board'!$G$2:$G$61,A35,'Draft Board'!$N$2:$N$61,"&lt;&gt;")</f>
        <v>0</v>
      </c>
      <c r="D35">
        <f>COUNTIFS('Draft Board'!$G$2:$G$61,A35,'Draft Board'!$N$2:$N$61,"&lt;&gt;")</f>
        <v>0</v>
      </c>
      <c r="E35">
        <f>IFERROR(AVERAGEIFS('Draft Board'!$M$2:$M$61,'Draft Board'!$G$2:$G$61,A35),0)</f>
        <v>13.5</v>
      </c>
      <c r="F35">
        <f>MIN(1,E35/(Setup!$B$3*0.1))</f>
        <v>0.67500000000000004</v>
      </c>
      <c r="G35">
        <f t="shared" si="1"/>
        <v>1</v>
      </c>
    </row>
    <row r="36" spans="1:7" x14ac:dyDescent="0.25">
      <c r="A36">
        <v>4</v>
      </c>
      <c r="B36">
        <f>SUMIFS('Draft Board'!$N$2:$N$61,'Draft Board'!$G$2:$G$61,A36,'Draft Board'!$N$2:$N$61,"&lt;&gt;")</f>
        <v>0</v>
      </c>
      <c r="C36">
        <f>SUMIFS('Draft Board'!$M$2:$M$61,'Draft Board'!$G$2:$G$61,A36,'Draft Board'!$N$2:$N$61,"&lt;&gt;")</f>
        <v>0</v>
      </c>
      <c r="D36">
        <f>COUNTIFS('Draft Board'!$G$2:$G$61,A36,'Draft Board'!$N$2:$N$61,"&lt;&gt;")</f>
        <v>0</v>
      </c>
      <c r="E36">
        <f>IFERROR(AVERAGEIFS('Draft Board'!$M$2:$M$61,'Draft Board'!$G$2:$G$61,A36),0)</f>
        <v>8.8000000000000007</v>
      </c>
      <c r="F36">
        <f>MIN(1,E36/(Setup!$B$3*0.1))</f>
        <v>0.44000000000000006</v>
      </c>
      <c r="G36">
        <f t="shared" si="1"/>
        <v>1</v>
      </c>
    </row>
    <row r="37" spans="1:7" x14ac:dyDescent="0.25">
      <c r="A37">
        <v>5</v>
      </c>
      <c r="B37">
        <f>SUMIFS('Draft Board'!$N$2:$N$61,'Draft Board'!$G$2:$G$61,A37,'Draft Board'!$N$2:$N$61,"&lt;&gt;")</f>
        <v>0</v>
      </c>
      <c r="C37">
        <f>SUMIFS('Draft Board'!$M$2:$M$61,'Draft Board'!$G$2:$G$61,A37,'Draft Board'!$N$2:$N$61,"&lt;&gt;")</f>
        <v>0</v>
      </c>
      <c r="D37">
        <f>COUNTIFS('Draft Board'!$G$2:$G$61,A37,'Draft Board'!$N$2:$N$61,"&lt;&gt;")</f>
        <v>0</v>
      </c>
      <c r="E37">
        <f>IFERROR(AVERAGEIFS('Draft Board'!$M$2:$M$61,'Draft Board'!$G$2:$G$61,A37),0)</f>
        <v>7</v>
      </c>
      <c r="F37">
        <f>MIN(1,E37/(Setup!$B$3*0.1))</f>
        <v>0.35</v>
      </c>
      <c r="G37">
        <f t="shared" si="1"/>
        <v>1</v>
      </c>
    </row>
    <row r="38" spans="1:7" x14ac:dyDescent="0.25">
      <c r="A38">
        <v>6</v>
      </c>
      <c r="B38">
        <f>SUMIFS('Draft Board'!$N$2:$N$61,'Draft Board'!$G$2:$G$61,A38,'Draft Board'!$N$2:$N$61,"&lt;&gt;")</f>
        <v>0</v>
      </c>
      <c r="C38">
        <f>SUMIFS('Draft Board'!$M$2:$M$61,'Draft Board'!$G$2:$G$61,A38,'Draft Board'!$N$2:$N$61,"&lt;&gt;")</f>
        <v>0</v>
      </c>
      <c r="D38">
        <f>COUNTIFS('Draft Board'!$G$2:$G$61,A38,'Draft Board'!$N$2:$N$61,"&lt;&gt;")</f>
        <v>0</v>
      </c>
      <c r="E38">
        <f>IFERROR(AVERAGEIFS('Draft Board'!$M$2:$M$61,'Draft Board'!$G$2:$G$61,A38),0)</f>
        <v>5</v>
      </c>
      <c r="F38">
        <f>MIN(1,E38/(Setup!$B$3*0.1))</f>
        <v>0.25</v>
      </c>
      <c r="G38">
        <f t="shared" si="1"/>
        <v>1</v>
      </c>
    </row>
    <row r="39" spans="1:7" x14ac:dyDescent="0.25">
      <c r="A39">
        <v>7</v>
      </c>
      <c r="B39">
        <f>SUMIFS('Draft Board'!$N$2:$N$61,'Draft Board'!$G$2:$G$61,A39,'Draft Board'!$N$2:$N$61,"&lt;&gt;")</f>
        <v>0</v>
      </c>
      <c r="C39">
        <f>SUMIFS('Draft Board'!$M$2:$M$61,'Draft Board'!$G$2:$G$61,A39,'Draft Board'!$N$2:$N$61,"&lt;&gt;")</f>
        <v>0</v>
      </c>
      <c r="D39">
        <f>COUNTIFS('Draft Board'!$G$2:$G$61,A39,'Draft Board'!$N$2:$N$61,"&lt;&gt;")</f>
        <v>0</v>
      </c>
      <c r="E39">
        <f>IFERROR(AVERAGEIFS('Draft Board'!$M$2:$M$61,'Draft Board'!$G$2:$G$61,A39),0)</f>
        <v>3</v>
      </c>
      <c r="F39">
        <f>MIN(1,E39/(Setup!$B$3*0.1))</f>
        <v>0.15</v>
      </c>
      <c r="G39">
        <f t="shared" si="1"/>
        <v>1</v>
      </c>
    </row>
    <row r="40" spans="1:7" x14ac:dyDescent="0.25">
      <c r="A40">
        <v>8</v>
      </c>
      <c r="B40">
        <f>SUMIFS('Draft Board'!$N$2:$N$61,'Draft Board'!$G$2:$G$61,A40,'Draft Board'!$N$2:$N$61,"&lt;&gt;")</f>
        <v>0</v>
      </c>
      <c r="C40">
        <f>SUMIFS('Draft Board'!$M$2:$M$61,'Draft Board'!$G$2:$G$61,A40,'Draft Board'!$N$2:$N$61,"&lt;&gt;")</f>
        <v>0</v>
      </c>
      <c r="D40">
        <f>COUNTIFS('Draft Board'!$G$2:$G$61,A40,'Draft Board'!$N$2:$N$61,"&lt;&gt;")</f>
        <v>0</v>
      </c>
      <c r="E40">
        <f>IFERROR(AVERAGEIFS('Draft Board'!$M$2:$M$61,'Draft Board'!$G$2:$G$61,A40),0)</f>
        <v>3</v>
      </c>
      <c r="F40">
        <f>MIN(1,E40/(Setup!$B$3*0.1))</f>
        <v>0.15</v>
      </c>
      <c r="G40">
        <f t="shared" si="1"/>
        <v>1</v>
      </c>
    </row>
    <row r="41" spans="1:7" x14ac:dyDescent="0.25">
      <c r="A41">
        <v>9</v>
      </c>
      <c r="B41">
        <f>SUMIFS('Draft Board'!$N$2:$N$61,'Draft Board'!$G$2:$G$61,A41,'Draft Board'!$N$2:$N$61,"&lt;&gt;")</f>
        <v>0</v>
      </c>
      <c r="C41">
        <f>SUMIFS('Draft Board'!$M$2:$M$61,'Draft Board'!$G$2:$G$61,A41,'Draft Board'!$N$2:$N$61,"&lt;&gt;")</f>
        <v>0</v>
      </c>
      <c r="D41">
        <f>COUNTIFS('Draft Board'!$G$2:$G$61,A41,'Draft Board'!$N$2:$N$61,"&lt;&gt;")</f>
        <v>0</v>
      </c>
      <c r="E41">
        <f>IFERROR(AVERAGEIFS('Draft Board'!$M$2:$M$61,'Draft Board'!$G$2:$G$61,A41),0)</f>
        <v>2</v>
      </c>
      <c r="F41">
        <f>MIN(1,E41/(Setup!$B$3*0.1))</f>
        <v>0.1</v>
      </c>
      <c r="G41">
        <f t="shared" si="1"/>
        <v>1</v>
      </c>
    </row>
    <row r="42" spans="1:7" x14ac:dyDescent="0.25">
      <c r="A42">
        <v>10</v>
      </c>
      <c r="B42">
        <f>SUMIFS('Draft Board'!$N$2:$N$61,'Draft Board'!$G$2:$G$61,A42,'Draft Board'!$N$2:$N$61,"&lt;&gt;")</f>
        <v>0</v>
      </c>
      <c r="C42">
        <f>SUMIFS('Draft Board'!$M$2:$M$61,'Draft Board'!$G$2:$G$61,A42,'Draft Board'!$N$2:$N$61,"&lt;&gt;")</f>
        <v>0</v>
      </c>
      <c r="D42">
        <f>COUNTIFS('Draft Board'!$G$2:$G$61,A42,'Draft Board'!$N$2:$N$61,"&lt;&gt;")</f>
        <v>0</v>
      </c>
      <c r="E42">
        <f>IFERROR(AVERAGEIFS('Draft Board'!$M$2:$M$61,'Draft Board'!$G$2:$G$61,A42),0)</f>
        <v>1</v>
      </c>
      <c r="F42">
        <f>MIN(1,E42/(Setup!$B$3*0.1))</f>
        <v>0.05</v>
      </c>
      <c r="G42">
        <f t="shared" si="1"/>
        <v>1</v>
      </c>
    </row>
    <row r="43" spans="1:7" x14ac:dyDescent="0.25">
      <c r="A43">
        <v>11</v>
      </c>
      <c r="B43">
        <f>SUMIFS('Draft Board'!$N$2:$N$61,'Draft Board'!$G$2:$G$61,A43,'Draft Board'!$N$2:$N$61,"&lt;&gt;")</f>
        <v>0</v>
      </c>
      <c r="C43">
        <f>SUMIFS('Draft Board'!$M$2:$M$61,'Draft Board'!$G$2:$G$61,A43,'Draft Board'!$N$2:$N$61,"&lt;&gt;")</f>
        <v>0</v>
      </c>
      <c r="D43">
        <f>COUNTIFS('Draft Board'!$G$2:$G$61,A43,'Draft Board'!$N$2:$N$61,"&lt;&gt;")</f>
        <v>0</v>
      </c>
      <c r="E43">
        <f>IFERROR(AVERAGEIFS('Draft Board'!$M$2:$M$61,'Draft Board'!$G$2:$G$61,A43),0)</f>
        <v>1</v>
      </c>
      <c r="F43">
        <f>MIN(1,E43/(Setup!$B$3*0.1))</f>
        <v>0.05</v>
      </c>
      <c r="G43">
        <f t="shared" si="1"/>
        <v>1</v>
      </c>
    </row>
    <row r="44" spans="1:7" x14ac:dyDescent="0.25">
      <c r="A44">
        <v>12</v>
      </c>
      <c r="B44">
        <f>SUMIFS('Draft Board'!$N$2:$N$61,'Draft Board'!$G$2:$G$61,A44,'Draft Board'!$N$2:$N$61,"&lt;&gt;")</f>
        <v>0</v>
      </c>
      <c r="C44">
        <f>SUMIFS('Draft Board'!$M$2:$M$61,'Draft Board'!$G$2:$G$61,A44,'Draft Board'!$N$2:$N$61,"&lt;&gt;")</f>
        <v>0</v>
      </c>
      <c r="D44">
        <f>COUNTIFS('Draft Board'!$G$2:$G$61,A44,'Draft Board'!$N$2:$N$61,"&lt;&gt;")</f>
        <v>0</v>
      </c>
      <c r="E44">
        <f>IFERROR(AVERAGEIFS('Draft Board'!$M$2:$M$61,'Draft Board'!$G$2:$G$61,A44),0)</f>
        <v>0</v>
      </c>
      <c r="F44">
        <f>MIN(1,E44/(Setup!$B$3*0.1))</f>
        <v>0</v>
      </c>
      <c r="G44">
        <f t="shared" si="1"/>
        <v>1</v>
      </c>
    </row>
    <row r="45" spans="1:7" x14ac:dyDescent="0.25">
      <c r="A45">
        <v>13</v>
      </c>
      <c r="B45">
        <f>SUMIFS('Draft Board'!$N$2:$N$61,'Draft Board'!$G$2:$G$61,A45,'Draft Board'!$N$2:$N$61,"&lt;&gt;")</f>
        <v>0</v>
      </c>
      <c r="C45">
        <f>SUMIFS('Draft Board'!$M$2:$M$61,'Draft Board'!$G$2:$G$61,A45,'Draft Board'!$N$2:$N$61,"&lt;&gt;")</f>
        <v>0</v>
      </c>
      <c r="D45">
        <f>COUNTIFS('Draft Board'!$G$2:$G$61,A45,'Draft Board'!$N$2:$N$61,"&lt;&gt;")</f>
        <v>0</v>
      </c>
      <c r="E45">
        <f>IFERROR(AVERAGEIFS('Draft Board'!$M$2:$M$61,'Draft Board'!$G$2:$G$61,A45),0)</f>
        <v>0</v>
      </c>
      <c r="F45">
        <f>MIN(1,E45/(Setup!$B$3*0.1))</f>
        <v>0</v>
      </c>
      <c r="G45">
        <f t="shared" si="1"/>
        <v>1</v>
      </c>
    </row>
    <row r="46" spans="1:7" x14ac:dyDescent="0.25">
      <c r="A46">
        <v>14</v>
      </c>
      <c r="B46">
        <f>SUMIFS('Draft Board'!$N$2:$N$61,'Draft Board'!$G$2:$G$61,A46,'Draft Board'!$N$2:$N$61,"&lt;&gt;")</f>
        <v>0</v>
      </c>
      <c r="C46">
        <f>SUMIFS('Draft Board'!$M$2:$M$61,'Draft Board'!$G$2:$G$61,A46,'Draft Board'!$N$2:$N$61,"&lt;&gt;")</f>
        <v>0</v>
      </c>
      <c r="D46">
        <f>COUNTIFS('Draft Board'!$G$2:$G$61,A46,'Draft Board'!$N$2:$N$61,"&lt;&gt;")</f>
        <v>0</v>
      </c>
      <c r="E46">
        <f>IFERROR(AVERAGEIFS('Draft Board'!$M$2:$M$61,'Draft Board'!$G$2:$G$61,A46),0)</f>
        <v>0</v>
      </c>
      <c r="F46">
        <f>MIN(1,E46/(Setup!$B$3*0.1))</f>
        <v>0</v>
      </c>
      <c r="G46">
        <f t="shared" si="1"/>
        <v>1</v>
      </c>
    </row>
    <row r="47" spans="1:7" x14ac:dyDescent="0.25">
      <c r="A47">
        <v>15</v>
      </c>
      <c r="B47">
        <f>SUMIFS('Draft Board'!$N$2:$N$61,'Draft Board'!$G$2:$G$61,A47,'Draft Board'!$N$2:$N$61,"&lt;&gt;")</f>
        <v>0</v>
      </c>
      <c r="C47">
        <f>SUMIFS('Draft Board'!$M$2:$M$61,'Draft Board'!$G$2:$G$61,A47,'Draft Board'!$N$2:$N$61,"&lt;&gt;")</f>
        <v>0</v>
      </c>
      <c r="D47">
        <f>COUNTIFS('Draft Board'!$G$2:$G$61,A47,'Draft Board'!$N$2:$N$61,"&lt;&gt;")</f>
        <v>0</v>
      </c>
      <c r="E47">
        <f>IFERROR(AVERAGEIFS('Draft Board'!$M$2:$M$61,'Draft Board'!$G$2:$G$61,A47),0)</f>
        <v>0</v>
      </c>
      <c r="F47">
        <f>MIN(1,E47/(Setup!$B$3*0.1))</f>
        <v>0</v>
      </c>
      <c r="G47">
        <f t="shared" si="1"/>
        <v>1</v>
      </c>
    </row>
    <row r="48" spans="1:7" x14ac:dyDescent="0.25">
      <c r="A48">
        <v>16</v>
      </c>
      <c r="B48">
        <f>SUMIFS('Draft Board'!$N$2:$N$61,'Draft Board'!$G$2:$G$61,A48,'Draft Board'!$N$2:$N$61,"&lt;&gt;")</f>
        <v>0</v>
      </c>
      <c r="C48">
        <f>SUMIFS('Draft Board'!$M$2:$M$61,'Draft Board'!$G$2:$G$61,A48,'Draft Board'!$N$2:$N$61,"&lt;&gt;")</f>
        <v>0</v>
      </c>
      <c r="D48">
        <f>COUNTIFS('Draft Board'!$G$2:$G$61,A48,'Draft Board'!$N$2:$N$61,"&lt;&gt;")</f>
        <v>0</v>
      </c>
      <c r="E48">
        <f>IFERROR(AVERAGEIFS('Draft Board'!$M$2:$M$61,'Draft Board'!$G$2:$G$61,A48),0)</f>
        <v>0</v>
      </c>
      <c r="F48">
        <f>MIN(1,E48/(Setup!$B$3*0.1))</f>
        <v>0</v>
      </c>
      <c r="G48">
        <f t="shared" si="1"/>
        <v>1</v>
      </c>
    </row>
    <row r="49" spans="1:7" x14ac:dyDescent="0.25">
      <c r="A49">
        <v>17</v>
      </c>
      <c r="B49">
        <f>SUMIFS('Draft Board'!$N$2:$N$61,'Draft Board'!$G$2:$G$61,A49,'Draft Board'!$N$2:$N$61,"&lt;&gt;")</f>
        <v>0</v>
      </c>
      <c r="C49">
        <f>SUMIFS('Draft Board'!$M$2:$M$61,'Draft Board'!$G$2:$G$61,A49,'Draft Board'!$N$2:$N$61,"&lt;&gt;")</f>
        <v>0</v>
      </c>
      <c r="D49">
        <f>COUNTIFS('Draft Board'!$G$2:$G$61,A49,'Draft Board'!$N$2:$N$61,"&lt;&gt;")</f>
        <v>0</v>
      </c>
      <c r="E49">
        <f>IFERROR(AVERAGEIFS('Draft Board'!$M$2:$M$61,'Draft Board'!$G$2:$G$61,A49),0)</f>
        <v>0</v>
      </c>
      <c r="F49">
        <f>MIN(1,E49/(Setup!$B$3*0.1))</f>
        <v>0</v>
      </c>
      <c r="G49">
        <f t="shared" si="1"/>
        <v>1</v>
      </c>
    </row>
    <row r="50" spans="1:7" x14ac:dyDescent="0.25">
      <c r="A50">
        <v>18</v>
      </c>
      <c r="B50">
        <f>SUMIFS('Draft Board'!$N$2:$N$61,'Draft Board'!$G$2:$G$61,A50,'Draft Board'!$N$2:$N$61,"&lt;&gt;")</f>
        <v>0</v>
      </c>
      <c r="C50">
        <f>SUMIFS('Draft Board'!$M$2:$M$61,'Draft Board'!$G$2:$G$61,A50,'Draft Board'!$N$2:$N$61,"&lt;&gt;")</f>
        <v>0</v>
      </c>
      <c r="D50">
        <f>COUNTIFS('Draft Board'!$G$2:$G$61,A50,'Draft Board'!$N$2:$N$61,"&lt;&gt;")</f>
        <v>0</v>
      </c>
      <c r="E50">
        <f>IFERROR(AVERAGEIFS('Draft Board'!$M$2:$M$61,'Draft Board'!$G$2:$G$61,A50),0)</f>
        <v>0</v>
      </c>
      <c r="F50">
        <f>MIN(1,E50/(Setup!$B$3*0.1))</f>
        <v>0</v>
      </c>
      <c r="G50">
        <f t="shared" si="1"/>
        <v>1</v>
      </c>
    </row>
    <row r="51" spans="1:7" x14ac:dyDescent="0.25">
      <c r="A51">
        <v>19</v>
      </c>
      <c r="B51">
        <f>SUMIFS('Draft Board'!$N$2:$N$61,'Draft Board'!$G$2:$G$61,A51,'Draft Board'!$N$2:$N$61,"&lt;&gt;")</f>
        <v>0</v>
      </c>
      <c r="C51">
        <f>SUMIFS('Draft Board'!$M$2:$M$61,'Draft Board'!$G$2:$G$61,A51,'Draft Board'!$N$2:$N$61,"&lt;&gt;")</f>
        <v>0</v>
      </c>
      <c r="D51">
        <f>COUNTIFS('Draft Board'!$G$2:$G$61,A51,'Draft Board'!$N$2:$N$61,"&lt;&gt;")</f>
        <v>0</v>
      </c>
      <c r="E51">
        <f>IFERROR(AVERAGEIFS('Draft Board'!$M$2:$M$61,'Draft Board'!$G$2:$G$61,A51),0)</f>
        <v>0</v>
      </c>
      <c r="F51">
        <f>MIN(1,E51/(Setup!$B$3*0.1))</f>
        <v>0</v>
      </c>
      <c r="G51">
        <f t="shared" si="1"/>
        <v>1</v>
      </c>
    </row>
    <row r="52" spans="1:7" x14ac:dyDescent="0.25">
      <c r="A52">
        <v>20</v>
      </c>
      <c r="B52">
        <f>SUMIFS('Draft Board'!$N$2:$N$61,'Draft Board'!$G$2:$G$61,A52,'Draft Board'!$N$2:$N$61,"&lt;&gt;")</f>
        <v>0</v>
      </c>
      <c r="C52">
        <f>SUMIFS('Draft Board'!$M$2:$M$61,'Draft Board'!$G$2:$G$61,A52,'Draft Board'!$N$2:$N$61,"&lt;&gt;")</f>
        <v>0</v>
      </c>
      <c r="D52">
        <f>COUNTIFS('Draft Board'!$G$2:$G$61,A52,'Draft Board'!$N$2:$N$61,"&lt;&gt;")</f>
        <v>0</v>
      </c>
      <c r="E52">
        <f>IFERROR(AVERAGEIFS('Draft Board'!$M$2:$M$61,'Draft Board'!$G$2:$G$61,A52),0)</f>
        <v>0</v>
      </c>
      <c r="F52">
        <f>MIN(1,E52/(Setup!$B$3*0.1))</f>
        <v>0</v>
      </c>
      <c r="G52">
        <f t="shared" si="1"/>
        <v>1</v>
      </c>
    </row>
    <row r="53" spans="1:7" x14ac:dyDescent="0.25">
      <c r="A53">
        <v>21</v>
      </c>
      <c r="B53">
        <f>SUMIFS('Draft Board'!$N$2:$N$61,'Draft Board'!$G$2:$G$61,A53,'Draft Board'!$N$2:$N$61,"&lt;&gt;")</f>
        <v>0</v>
      </c>
      <c r="C53">
        <f>SUMIFS('Draft Board'!$M$2:$M$61,'Draft Board'!$G$2:$G$61,A53,'Draft Board'!$N$2:$N$61,"&lt;&gt;")</f>
        <v>0</v>
      </c>
      <c r="D53">
        <f>COUNTIFS('Draft Board'!$G$2:$G$61,A53,'Draft Board'!$N$2:$N$61,"&lt;&gt;")</f>
        <v>0</v>
      </c>
      <c r="E53">
        <f>IFERROR(AVERAGEIFS('Draft Board'!$M$2:$M$61,'Draft Board'!$G$2:$G$61,A53),0)</f>
        <v>0</v>
      </c>
      <c r="F53">
        <f>MIN(1,E53/(Setup!$B$3*0.1))</f>
        <v>0</v>
      </c>
      <c r="G53">
        <f t="shared" si="1"/>
        <v>1</v>
      </c>
    </row>
    <row r="54" spans="1:7" x14ac:dyDescent="0.25">
      <c r="A54">
        <v>22</v>
      </c>
      <c r="B54">
        <f>SUMIFS('Draft Board'!$N$2:$N$61,'Draft Board'!$G$2:$G$61,A54,'Draft Board'!$N$2:$N$61,"&lt;&gt;")</f>
        <v>0</v>
      </c>
      <c r="C54">
        <f>SUMIFS('Draft Board'!$M$2:$M$61,'Draft Board'!$G$2:$G$61,A54,'Draft Board'!$N$2:$N$61,"&lt;&gt;")</f>
        <v>0</v>
      </c>
      <c r="D54">
        <f>COUNTIFS('Draft Board'!$G$2:$G$61,A54,'Draft Board'!$N$2:$N$61,"&lt;&gt;")</f>
        <v>0</v>
      </c>
      <c r="E54">
        <f>IFERROR(AVERAGEIFS('Draft Board'!$M$2:$M$61,'Draft Board'!$G$2:$G$61,A54),0)</f>
        <v>0</v>
      </c>
      <c r="F54">
        <f>MIN(1,E54/(Setup!$B$3*0.1))</f>
        <v>0</v>
      </c>
      <c r="G54">
        <f t="shared" si="1"/>
        <v>1</v>
      </c>
    </row>
    <row r="55" spans="1:7" x14ac:dyDescent="0.25">
      <c r="A55">
        <v>23</v>
      </c>
      <c r="B55">
        <f>SUMIFS('Draft Board'!$N$2:$N$61,'Draft Board'!$G$2:$G$61,A55,'Draft Board'!$N$2:$N$61,"&lt;&gt;")</f>
        <v>0</v>
      </c>
      <c r="C55">
        <f>SUMIFS('Draft Board'!$M$2:$M$61,'Draft Board'!$G$2:$G$61,A55,'Draft Board'!$N$2:$N$61,"&lt;&gt;")</f>
        <v>0</v>
      </c>
      <c r="D55">
        <f>COUNTIFS('Draft Board'!$G$2:$G$61,A55,'Draft Board'!$N$2:$N$61,"&lt;&gt;")</f>
        <v>0</v>
      </c>
      <c r="E55">
        <f>IFERROR(AVERAGEIFS('Draft Board'!$M$2:$M$61,'Draft Board'!$G$2:$G$61,A55),0)</f>
        <v>0</v>
      </c>
      <c r="F55">
        <f>MIN(1,E55/(Setup!$B$3*0.1))</f>
        <v>0</v>
      </c>
      <c r="G55">
        <f t="shared" si="1"/>
        <v>1</v>
      </c>
    </row>
    <row r="56" spans="1:7" x14ac:dyDescent="0.25">
      <c r="A56">
        <v>24</v>
      </c>
      <c r="B56">
        <f>SUMIFS('Draft Board'!$N$2:$N$61,'Draft Board'!$G$2:$G$61,A56,'Draft Board'!$N$2:$N$61,"&lt;&gt;")</f>
        <v>0</v>
      </c>
      <c r="C56">
        <f>SUMIFS('Draft Board'!$M$2:$M$61,'Draft Board'!$G$2:$G$61,A56,'Draft Board'!$N$2:$N$61,"&lt;&gt;")</f>
        <v>0</v>
      </c>
      <c r="D56">
        <f>COUNTIFS('Draft Board'!$G$2:$G$61,A56,'Draft Board'!$N$2:$N$61,"&lt;&gt;")</f>
        <v>0</v>
      </c>
      <c r="E56">
        <f>IFERROR(AVERAGEIFS('Draft Board'!$M$2:$M$61,'Draft Board'!$G$2:$G$61,A56),0)</f>
        <v>0</v>
      </c>
      <c r="F56">
        <f>MIN(1,E56/(Setup!$B$3*0.1))</f>
        <v>0</v>
      </c>
      <c r="G56">
        <f t="shared" si="1"/>
        <v>1</v>
      </c>
    </row>
    <row r="57" spans="1:7" x14ac:dyDescent="0.25">
      <c r="A57">
        <v>25</v>
      </c>
      <c r="B57">
        <f>SUMIFS('Draft Board'!$N$2:$N$61,'Draft Board'!$G$2:$G$61,A57,'Draft Board'!$N$2:$N$61,"&lt;&gt;")</f>
        <v>0</v>
      </c>
      <c r="C57">
        <f>SUMIFS('Draft Board'!$M$2:$M$61,'Draft Board'!$G$2:$G$61,A57,'Draft Board'!$N$2:$N$61,"&lt;&gt;")</f>
        <v>0</v>
      </c>
      <c r="D57">
        <f>COUNTIFS('Draft Board'!$G$2:$G$61,A57,'Draft Board'!$N$2:$N$61,"&lt;&gt;")</f>
        <v>0</v>
      </c>
      <c r="E57">
        <f>IFERROR(AVERAGEIFS('Draft Board'!$M$2:$M$61,'Draft Board'!$G$2:$G$61,A57),0)</f>
        <v>0</v>
      </c>
      <c r="F57">
        <f>MIN(1,E57/(Setup!$B$3*0.1))</f>
        <v>0</v>
      </c>
      <c r="G57">
        <f t="shared" si="1"/>
        <v>1</v>
      </c>
    </row>
    <row r="58" spans="1:7" x14ac:dyDescent="0.25">
      <c r="A58">
        <v>26</v>
      </c>
      <c r="B58">
        <f>SUMIFS('Draft Board'!$N$2:$N$61,'Draft Board'!$G$2:$G$61,A58,'Draft Board'!$N$2:$N$61,"&lt;&gt;")</f>
        <v>0</v>
      </c>
      <c r="C58">
        <f>SUMIFS('Draft Board'!$M$2:$M$61,'Draft Board'!$G$2:$G$61,A58,'Draft Board'!$N$2:$N$61,"&lt;&gt;")</f>
        <v>0</v>
      </c>
      <c r="D58">
        <f>COUNTIFS('Draft Board'!$G$2:$G$61,A58,'Draft Board'!$N$2:$N$61,"&lt;&gt;")</f>
        <v>0</v>
      </c>
      <c r="E58">
        <f>IFERROR(AVERAGEIFS('Draft Board'!$M$2:$M$61,'Draft Board'!$G$2:$G$61,A58),0)</f>
        <v>0</v>
      </c>
      <c r="F58">
        <f>MIN(1,E58/(Setup!$B$3*0.1))</f>
        <v>0</v>
      </c>
      <c r="G58">
        <f t="shared" si="1"/>
        <v>1</v>
      </c>
    </row>
    <row r="59" spans="1:7" x14ac:dyDescent="0.25">
      <c r="A59">
        <v>27</v>
      </c>
      <c r="B59">
        <f>SUMIFS('Draft Board'!$N$2:$N$61,'Draft Board'!$G$2:$G$61,A59,'Draft Board'!$N$2:$N$61,"&lt;&gt;")</f>
        <v>0</v>
      </c>
      <c r="C59">
        <f>SUMIFS('Draft Board'!$M$2:$M$61,'Draft Board'!$G$2:$G$61,A59,'Draft Board'!$N$2:$N$61,"&lt;&gt;")</f>
        <v>0</v>
      </c>
      <c r="D59">
        <f>COUNTIFS('Draft Board'!$G$2:$G$61,A59,'Draft Board'!$N$2:$N$61,"&lt;&gt;")</f>
        <v>0</v>
      </c>
      <c r="E59">
        <f>IFERROR(AVERAGEIFS('Draft Board'!$M$2:$M$61,'Draft Board'!$G$2:$G$61,A59),0)</f>
        <v>0</v>
      </c>
      <c r="F59">
        <f>MIN(1,E59/(Setup!$B$3*0.1))</f>
        <v>0</v>
      </c>
      <c r="G59">
        <f t="shared" si="1"/>
        <v>1</v>
      </c>
    </row>
    <row r="60" spans="1:7" x14ac:dyDescent="0.25">
      <c r="A60">
        <v>28</v>
      </c>
      <c r="B60">
        <f>SUMIFS('Draft Board'!$N$2:$N$61,'Draft Board'!$G$2:$G$61,A60,'Draft Board'!$N$2:$N$61,"&lt;&gt;")</f>
        <v>0</v>
      </c>
      <c r="C60">
        <f>SUMIFS('Draft Board'!$M$2:$M$61,'Draft Board'!$G$2:$G$61,A60,'Draft Board'!$N$2:$N$61,"&lt;&gt;")</f>
        <v>0</v>
      </c>
      <c r="D60">
        <f>COUNTIFS('Draft Board'!$G$2:$G$61,A60,'Draft Board'!$N$2:$N$61,"&lt;&gt;")</f>
        <v>0</v>
      </c>
      <c r="E60">
        <f>IFERROR(AVERAGEIFS('Draft Board'!$M$2:$M$61,'Draft Board'!$G$2:$G$61,A60),0)</f>
        <v>0</v>
      </c>
      <c r="F60">
        <f>MIN(1,E60/(Setup!$B$3*0.1))</f>
        <v>0</v>
      </c>
      <c r="G60">
        <f t="shared" si="1"/>
        <v>1</v>
      </c>
    </row>
    <row r="61" spans="1:7" x14ac:dyDescent="0.25">
      <c r="A61">
        <v>29</v>
      </c>
      <c r="B61">
        <f>SUMIFS('Draft Board'!$N$2:$N$61,'Draft Board'!$G$2:$G$61,A61,'Draft Board'!$N$2:$N$61,"&lt;&gt;")</f>
        <v>0</v>
      </c>
      <c r="C61">
        <f>SUMIFS('Draft Board'!$M$2:$M$61,'Draft Board'!$G$2:$G$61,A61,'Draft Board'!$N$2:$N$61,"&lt;&gt;")</f>
        <v>0</v>
      </c>
      <c r="D61">
        <f>COUNTIFS('Draft Board'!$G$2:$G$61,A61,'Draft Board'!$N$2:$N$61,"&lt;&gt;")</f>
        <v>0</v>
      </c>
      <c r="E61">
        <f>IFERROR(AVERAGEIFS('Draft Board'!$M$2:$M$61,'Draft Board'!$G$2:$G$61,A61),0)</f>
        <v>0</v>
      </c>
      <c r="F61">
        <f>MIN(1,E61/(Setup!$B$3*0.1))</f>
        <v>0</v>
      </c>
      <c r="G61">
        <f t="shared" si="1"/>
        <v>1</v>
      </c>
    </row>
    <row r="62" spans="1:7" x14ac:dyDescent="0.25">
      <c r="A62">
        <v>30</v>
      </c>
      <c r="B62">
        <f>SUMIFS('Draft Board'!$N$2:$N$61,'Draft Board'!$G$2:$G$61,A62,'Draft Board'!$N$2:$N$61,"&lt;&gt;")</f>
        <v>0</v>
      </c>
      <c r="C62">
        <f>SUMIFS('Draft Board'!$M$2:$M$61,'Draft Board'!$G$2:$G$61,A62,'Draft Board'!$N$2:$N$61,"&lt;&gt;")</f>
        <v>0</v>
      </c>
      <c r="D62">
        <f>COUNTIFS('Draft Board'!$G$2:$G$61,A62,'Draft Board'!$N$2:$N$61,"&lt;&gt;")</f>
        <v>0</v>
      </c>
      <c r="E62">
        <f>IFERROR(AVERAGEIFS('Draft Board'!$M$2:$M$61,'Draft Board'!$G$2:$G$61,A62),0)</f>
        <v>0</v>
      </c>
      <c r="F62">
        <f>MIN(1,E62/(Setup!$B$3*0.1))</f>
        <v>0</v>
      </c>
      <c r="G62">
        <f t="shared" si="1"/>
        <v>1</v>
      </c>
    </row>
    <row r="63" spans="1:7" x14ac:dyDescent="0.25">
      <c r="A63">
        <v>31</v>
      </c>
      <c r="B63">
        <f>SUMIFS('Draft Board'!$N$2:$N$61,'Draft Board'!$G$2:$G$61,A63,'Draft Board'!$N$2:$N$61,"&lt;&gt;")</f>
        <v>0</v>
      </c>
      <c r="C63">
        <f>SUMIFS('Draft Board'!$M$2:$M$61,'Draft Board'!$G$2:$G$61,A63,'Draft Board'!$N$2:$N$61,"&lt;&gt;")</f>
        <v>0</v>
      </c>
      <c r="D63">
        <f>COUNTIFS('Draft Board'!$G$2:$G$61,A63,'Draft Board'!$N$2:$N$61,"&lt;&gt;")</f>
        <v>0</v>
      </c>
      <c r="E63">
        <f>IFERROR(AVERAGEIFS('Draft Board'!$M$2:$M$61,'Draft Board'!$G$2:$G$61,A63),0)</f>
        <v>0</v>
      </c>
      <c r="F63">
        <f>MIN(1,E63/(Setup!$B$3*0.1))</f>
        <v>0</v>
      </c>
      <c r="G63">
        <f t="shared" si="1"/>
        <v>1</v>
      </c>
    </row>
    <row r="64" spans="1:7" x14ac:dyDescent="0.25">
      <c r="A64">
        <v>32</v>
      </c>
      <c r="B64">
        <f>SUMIFS('Draft Board'!$N$2:$N$61,'Draft Board'!$G$2:$G$61,A64,'Draft Board'!$N$2:$N$61,"&lt;&gt;")</f>
        <v>0</v>
      </c>
      <c r="C64">
        <f>SUMIFS('Draft Board'!$M$2:$M$61,'Draft Board'!$G$2:$G$61,A64,'Draft Board'!$N$2:$N$61,"&lt;&gt;")</f>
        <v>0</v>
      </c>
      <c r="D64">
        <f>COUNTIFS('Draft Board'!$G$2:$G$61,A64,'Draft Board'!$N$2:$N$61,"&lt;&gt;")</f>
        <v>0</v>
      </c>
      <c r="E64">
        <f>IFERROR(AVERAGEIFS('Draft Board'!$M$2:$M$61,'Draft Board'!$G$2:$G$61,A64),0)</f>
        <v>0</v>
      </c>
      <c r="F64">
        <f>MIN(1,E64/(Setup!$B$3*0.1))</f>
        <v>0</v>
      </c>
      <c r="G64">
        <f t="shared" si="1"/>
        <v>1</v>
      </c>
    </row>
    <row r="65" spans="1:7" x14ac:dyDescent="0.25">
      <c r="A65">
        <v>33</v>
      </c>
      <c r="B65">
        <f>SUMIFS('Draft Board'!$N$2:$N$61,'Draft Board'!$G$2:$G$61,A65,'Draft Board'!$N$2:$N$61,"&lt;&gt;")</f>
        <v>0</v>
      </c>
      <c r="C65">
        <f>SUMIFS('Draft Board'!$M$2:$M$61,'Draft Board'!$G$2:$G$61,A65,'Draft Board'!$N$2:$N$61,"&lt;&gt;")</f>
        <v>0</v>
      </c>
      <c r="D65">
        <f>COUNTIFS('Draft Board'!$G$2:$G$61,A65,'Draft Board'!$N$2:$N$61,"&lt;&gt;")</f>
        <v>0</v>
      </c>
      <c r="E65">
        <f>IFERROR(AVERAGEIFS('Draft Board'!$M$2:$M$61,'Draft Board'!$G$2:$G$61,A65),0)</f>
        <v>0</v>
      </c>
      <c r="F65">
        <f>MIN(1,E65/(Setup!$B$3*0.1))</f>
        <v>0</v>
      </c>
      <c r="G65">
        <f t="shared" ref="G65:G92" si="2">IF(D65&lt;2,1,MEDIAN(0.5,2,1+(IFERROR(B65/C65,1)-1)*F65))</f>
        <v>1</v>
      </c>
    </row>
    <row r="66" spans="1:7" x14ac:dyDescent="0.25">
      <c r="A66">
        <v>34</v>
      </c>
      <c r="B66">
        <f>SUMIFS('Draft Board'!$N$2:$N$61,'Draft Board'!$G$2:$G$61,A66,'Draft Board'!$N$2:$N$61,"&lt;&gt;")</f>
        <v>0</v>
      </c>
      <c r="C66">
        <f>SUMIFS('Draft Board'!$M$2:$M$61,'Draft Board'!$G$2:$G$61,A66,'Draft Board'!$N$2:$N$61,"&lt;&gt;")</f>
        <v>0</v>
      </c>
      <c r="D66">
        <f>COUNTIFS('Draft Board'!$G$2:$G$61,A66,'Draft Board'!$N$2:$N$61,"&lt;&gt;")</f>
        <v>0</v>
      </c>
      <c r="E66">
        <f>IFERROR(AVERAGEIFS('Draft Board'!$M$2:$M$61,'Draft Board'!$G$2:$G$61,A66),0)</f>
        <v>0</v>
      </c>
      <c r="F66">
        <f>MIN(1,E66/(Setup!$B$3*0.1))</f>
        <v>0</v>
      </c>
      <c r="G66">
        <f t="shared" si="2"/>
        <v>1</v>
      </c>
    </row>
    <row r="67" spans="1:7" x14ac:dyDescent="0.25">
      <c r="A67">
        <v>35</v>
      </c>
      <c r="B67">
        <f>SUMIFS('Draft Board'!$N$2:$N$61,'Draft Board'!$G$2:$G$61,A67,'Draft Board'!$N$2:$N$61,"&lt;&gt;")</f>
        <v>0</v>
      </c>
      <c r="C67">
        <f>SUMIFS('Draft Board'!$M$2:$M$61,'Draft Board'!$G$2:$G$61,A67,'Draft Board'!$N$2:$N$61,"&lt;&gt;")</f>
        <v>0</v>
      </c>
      <c r="D67">
        <f>COUNTIFS('Draft Board'!$G$2:$G$61,A67,'Draft Board'!$N$2:$N$61,"&lt;&gt;")</f>
        <v>0</v>
      </c>
      <c r="E67">
        <f>IFERROR(AVERAGEIFS('Draft Board'!$M$2:$M$61,'Draft Board'!$G$2:$G$61,A67),0)</f>
        <v>0</v>
      </c>
      <c r="F67">
        <f>MIN(1,E67/(Setup!$B$3*0.1))</f>
        <v>0</v>
      </c>
      <c r="G67">
        <f t="shared" si="2"/>
        <v>1</v>
      </c>
    </row>
    <row r="68" spans="1:7" x14ac:dyDescent="0.25">
      <c r="A68">
        <v>36</v>
      </c>
      <c r="B68">
        <f>SUMIFS('Draft Board'!$N$2:$N$61,'Draft Board'!$G$2:$G$61,A68,'Draft Board'!$N$2:$N$61,"&lt;&gt;")</f>
        <v>0</v>
      </c>
      <c r="C68">
        <f>SUMIFS('Draft Board'!$M$2:$M$61,'Draft Board'!$G$2:$G$61,A68,'Draft Board'!$N$2:$N$61,"&lt;&gt;")</f>
        <v>0</v>
      </c>
      <c r="D68">
        <f>COUNTIFS('Draft Board'!$G$2:$G$61,A68,'Draft Board'!$N$2:$N$61,"&lt;&gt;")</f>
        <v>0</v>
      </c>
      <c r="E68">
        <f>IFERROR(AVERAGEIFS('Draft Board'!$M$2:$M$61,'Draft Board'!$G$2:$G$61,A68),0)</f>
        <v>0</v>
      </c>
      <c r="F68">
        <f>MIN(1,E68/(Setup!$B$3*0.1))</f>
        <v>0</v>
      </c>
      <c r="G68">
        <f t="shared" si="2"/>
        <v>1</v>
      </c>
    </row>
    <row r="69" spans="1:7" x14ac:dyDescent="0.25">
      <c r="A69">
        <v>37</v>
      </c>
      <c r="B69">
        <f>SUMIFS('Draft Board'!$N$2:$N$61,'Draft Board'!$G$2:$G$61,A69,'Draft Board'!$N$2:$N$61,"&lt;&gt;")</f>
        <v>0</v>
      </c>
      <c r="C69">
        <f>SUMIFS('Draft Board'!$M$2:$M$61,'Draft Board'!$G$2:$G$61,A69,'Draft Board'!$N$2:$N$61,"&lt;&gt;")</f>
        <v>0</v>
      </c>
      <c r="D69">
        <f>COUNTIFS('Draft Board'!$G$2:$G$61,A69,'Draft Board'!$N$2:$N$61,"&lt;&gt;")</f>
        <v>0</v>
      </c>
      <c r="E69">
        <f>IFERROR(AVERAGEIFS('Draft Board'!$M$2:$M$61,'Draft Board'!$G$2:$G$61,A69),0)</f>
        <v>0</v>
      </c>
      <c r="F69">
        <f>MIN(1,E69/(Setup!$B$3*0.1))</f>
        <v>0</v>
      </c>
      <c r="G69">
        <f t="shared" si="2"/>
        <v>1</v>
      </c>
    </row>
    <row r="70" spans="1:7" x14ac:dyDescent="0.25">
      <c r="A70">
        <v>38</v>
      </c>
      <c r="B70">
        <f>SUMIFS('Draft Board'!$N$2:$N$61,'Draft Board'!$G$2:$G$61,A70,'Draft Board'!$N$2:$N$61,"&lt;&gt;")</f>
        <v>0</v>
      </c>
      <c r="C70">
        <f>SUMIFS('Draft Board'!$M$2:$M$61,'Draft Board'!$G$2:$G$61,A70,'Draft Board'!$N$2:$N$61,"&lt;&gt;")</f>
        <v>0</v>
      </c>
      <c r="D70">
        <f>COUNTIFS('Draft Board'!$G$2:$G$61,A70,'Draft Board'!$N$2:$N$61,"&lt;&gt;")</f>
        <v>0</v>
      </c>
      <c r="E70">
        <f>IFERROR(AVERAGEIFS('Draft Board'!$M$2:$M$61,'Draft Board'!$G$2:$G$61,A70),0)</f>
        <v>0</v>
      </c>
      <c r="F70">
        <f>MIN(1,E70/(Setup!$B$3*0.1))</f>
        <v>0</v>
      </c>
      <c r="G70">
        <f t="shared" si="2"/>
        <v>1</v>
      </c>
    </row>
    <row r="71" spans="1:7" x14ac:dyDescent="0.25">
      <c r="A71">
        <v>39</v>
      </c>
      <c r="B71">
        <f>SUMIFS('Draft Board'!$N$2:$N$61,'Draft Board'!$G$2:$G$61,A71,'Draft Board'!$N$2:$N$61,"&lt;&gt;")</f>
        <v>0</v>
      </c>
      <c r="C71">
        <f>SUMIFS('Draft Board'!$M$2:$M$61,'Draft Board'!$G$2:$G$61,A71,'Draft Board'!$N$2:$N$61,"&lt;&gt;")</f>
        <v>0</v>
      </c>
      <c r="D71">
        <f>COUNTIFS('Draft Board'!$G$2:$G$61,A71,'Draft Board'!$N$2:$N$61,"&lt;&gt;")</f>
        <v>0</v>
      </c>
      <c r="E71">
        <f>IFERROR(AVERAGEIFS('Draft Board'!$M$2:$M$61,'Draft Board'!$G$2:$G$61,A71),0)</f>
        <v>0</v>
      </c>
      <c r="F71">
        <f>MIN(1,E71/(Setup!$B$3*0.1))</f>
        <v>0</v>
      </c>
      <c r="G71">
        <f t="shared" si="2"/>
        <v>1</v>
      </c>
    </row>
    <row r="72" spans="1:7" x14ac:dyDescent="0.25">
      <c r="A72">
        <v>40</v>
      </c>
      <c r="B72">
        <f>SUMIFS('Draft Board'!$N$2:$N$61,'Draft Board'!$G$2:$G$61,A72,'Draft Board'!$N$2:$N$61,"&lt;&gt;")</f>
        <v>0</v>
      </c>
      <c r="C72">
        <f>SUMIFS('Draft Board'!$M$2:$M$61,'Draft Board'!$G$2:$G$61,A72,'Draft Board'!$N$2:$N$61,"&lt;&gt;")</f>
        <v>0</v>
      </c>
      <c r="D72">
        <f>COUNTIFS('Draft Board'!$G$2:$G$61,A72,'Draft Board'!$N$2:$N$61,"&lt;&gt;")</f>
        <v>0</v>
      </c>
      <c r="E72">
        <f>IFERROR(AVERAGEIFS('Draft Board'!$M$2:$M$61,'Draft Board'!$G$2:$G$61,A72),0)</f>
        <v>0</v>
      </c>
      <c r="F72">
        <f>MIN(1,E72/(Setup!$B$3*0.1))</f>
        <v>0</v>
      </c>
      <c r="G72">
        <f t="shared" si="2"/>
        <v>1</v>
      </c>
    </row>
    <row r="73" spans="1:7" x14ac:dyDescent="0.25">
      <c r="A73">
        <v>41</v>
      </c>
      <c r="B73">
        <f>SUMIFS('Draft Board'!$N$2:$N$61,'Draft Board'!$G$2:$G$61,A73,'Draft Board'!$N$2:$N$61,"&lt;&gt;")</f>
        <v>0</v>
      </c>
      <c r="C73">
        <f>SUMIFS('Draft Board'!$M$2:$M$61,'Draft Board'!$G$2:$G$61,A73,'Draft Board'!$N$2:$N$61,"&lt;&gt;")</f>
        <v>0</v>
      </c>
      <c r="D73">
        <f>COUNTIFS('Draft Board'!$G$2:$G$61,A73,'Draft Board'!$N$2:$N$61,"&lt;&gt;")</f>
        <v>0</v>
      </c>
      <c r="E73">
        <f>IFERROR(AVERAGEIFS('Draft Board'!$M$2:$M$61,'Draft Board'!$G$2:$G$61,A73),0)</f>
        <v>0</v>
      </c>
      <c r="F73">
        <f>MIN(1,E73/(Setup!$B$3*0.1))</f>
        <v>0</v>
      </c>
      <c r="G73">
        <f t="shared" si="2"/>
        <v>1</v>
      </c>
    </row>
    <row r="74" spans="1:7" x14ac:dyDescent="0.25">
      <c r="A74">
        <v>42</v>
      </c>
      <c r="B74">
        <f>SUMIFS('Draft Board'!$N$2:$N$61,'Draft Board'!$G$2:$G$61,A74,'Draft Board'!$N$2:$N$61,"&lt;&gt;")</f>
        <v>0</v>
      </c>
      <c r="C74">
        <f>SUMIFS('Draft Board'!$M$2:$M$61,'Draft Board'!$G$2:$G$61,A74,'Draft Board'!$N$2:$N$61,"&lt;&gt;")</f>
        <v>0</v>
      </c>
      <c r="D74">
        <f>COUNTIFS('Draft Board'!$G$2:$G$61,A74,'Draft Board'!$N$2:$N$61,"&lt;&gt;")</f>
        <v>0</v>
      </c>
      <c r="E74">
        <f>IFERROR(AVERAGEIFS('Draft Board'!$M$2:$M$61,'Draft Board'!$G$2:$G$61,A74),0)</f>
        <v>0</v>
      </c>
      <c r="F74">
        <f>MIN(1,E74/(Setup!$B$3*0.1))</f>
        <v>0</v>
      </c>
      <c r="G74">
        <f t="shared" si="2"/>
        <v>1</v>
      </c>
    </row>
    <row r="75" spans="1:7" x14ac:dyDescent="0.25">
      <c r="A75">
        <v>43</v>
      </c>
      <c r="B75">
        <f>SUMIFS('Draft Board'!$N$2:$N$61,'Draft Board'!$G$2:$G$61,A75,'Draft Board'!$N$2:$N$61,"&lt;&gt;")</f>
        <v>0</v>
      </c>
      <c r="C75">
        <f>SUMIFS('Draft Board'!$M$2:$M$61,'Draft Board'!$G$2:$G$61,A75,'Draft Board'!$N$2:$N$61,"&lt;&gt;")</f>
        <v>0</v>
      </c>
      <c r="D75">
        <f>COUNTIFS('Draft Board'!$G$2:$G$61,A75,'Draft Board'!$N$2:$N$61,"&lt;&gt;")</f>
        <v>0</v>
      </c>
      <c r="E75">
        <f>IFERROR(AVERAGEIFS('Draft Board'!$M$2:$M$61,'Draft Board'!$G$2:$G$61,A75),0)</f>
        <v>0</v>
      </c>
      <c r="F75">
        <f>MIN(1,E75/(Setup!$B$3*0.1))</f>
        <v>0</v>
      </c>
      <c r="G75">
        <f t="shared" si="2"/>
        <v>1</v>
      </c>
    </row>
    <row r="76" spans="1:7" x14ac:dyDescent="0.25">
      <c r="A76">
        <v>44</v>
      </c>
      <c r="B76">
        <f>SUMIFS('Draft Board'!$N$2:$N$61,'Draft Board'!$G$2:$G$61,A76,'Draft Board'!$N$2:$N$61,"&lt;&gt;")</f>
        <v>0</v>
      </c>
      <c r="C76">
        <f>SUMIFS('Draft Board'!$M$2:$M$61,'Draft Board'!$G$2:$G$61,A76,'Draft Board'!$N$2:$N$61,"&lt;&gt;")</f>
        <v>0</v>
      </c>
      <c r="D76">
        <f>COUNTIFS('Draft Board'!$G$2:$G$61,A76,'Draft Board'!$N$2:$N$61,"&lt;&gt;")</f>
        <v>0</v>
      </c>
      <c r="E76">
        <f>IFERROR(AVERAGEIFS('Draft Board'!$M$2:$M$61,'Draft Board'!$G$2:$G$61,A76),0)</f>
        <v>0</v>
      </c>
      <c r="F76">
        <f>MIN(1,E76/(Setup!$B$3*0.1))</f>
        <v>0</v>
      </c>
      <c r="G76">
        <f t="shared" si="2"/>
        <v>1</v>
      </c>
    </row>
    <row r="77" spans="1:7" x14ac:dyDescent="0.25">
      <c r="A77">
        <v>45</v>
      </c>
      <c r="B77">
        <f>SUMIFS('Draft Board'!$N$2:$N$61,'Draft Board'!$G$2:$G$61,A77,'Draft Board'!$N$2:$N$61,"&lt;&gt;")</f>
        <v>0</v>
      </c>
      <c r="C77">
        <f>SUMIFS('Draft Board'!$M$2:$M$61,'Draft Board'!$G$2:$G$61,A77,'Draft Board'!$N$2:$N$61,"&lt;&gt;")</f>
        <v>0</v>
      </c>
      <c r="D77">
        <f>COUNTIFS('Draft Board'!$G$2:$G$61,A77,'Draft Board'!$N$2:$N$61,"&lt;&gt;")</f>
        <v>0</v>
      </c>
      <c r="E77">
        <f>IFERROR(AVERAGEIFS('Draft Board'!$M$2:$M$61,'Draft Board'!$G$2:$G$61,A77),0)</f>
        <v>0</v>
      </c>
      <c r="F77">
        <f>MIN(1,E77/(Setup!$B$3*0.1))</f>
        <v>0</v>
      </c>
      <c r="G77">
        <f t="shared" si="2"/>
        <v>1</v>
      </c>
    </row>
    <row r="78" spans="1:7" x14ac:dyDescent="0.25">
      <c r="A78">
        <v>46</v>
      </c>
      <c r="B78">
        <f>SUMIFS('Draft Board'!$N$2:$N$61,'Draft Board'!$G$2:$G$61,A78,'Draft Board'!$N$2:$N$61,"&lt;&gt;")</f>
        <v>0</v>
      </c>
      <c r="C78">
        <f>SUMIFS('Draft Board'!$M$2:$M$61,'Draft Board'!$G$2:$G$61,A78,'Draft Board'!$N$2:$N$61,"&lt;&gt;")</f>
        <v>0</v>
      </c>
      <c r="D78">
        <f>COUNTIFS('Draft Board'!$G$2:$G$61,A78,'Draft Board'!$N$2:$N$61,"&lt;&gt;")</f>
        <v>0</v>
      </c>
      <c r="E78">
        <f>IFERROR(AVERAGEIFS('Draft Board'!$M$2:$M$61,'Draft Board'!$G$2:$G$61,A78),0)</f>
        <v>0</v>
      </c>
      <c r="F78">
        <f>MIN(1,E78/(Setup!$B$3*0.1))</f>
        <v>0</v>
      </c>
      <c r="G78">
        <f t="shared" si="2"/>
        <v>1</v>
      </c>
    </row>
    <row r="79" spans="1:7" x14ac:dyDescent="0.25">
      <c r="A79">
        <v>47</v>
      </c>
      <c r="B79">
        <f>SUMIFS('Draft Board'!$N$2:$N$61,'Draft Board'!$G$2:$G$61,A79,'Draft Board'!$N$2:$N$61,"&lt;&gt;")</f>
        <v>0</v>
      </c>
      <c r="C79">
        <f>SUMIFS('Draft Board'!$M$2:$M$61,'Draft Board'!$G$2:$G$61,A79,'Draft Board'!$N$2:$N$61,"&lt;&gt;")</f>
        <v>0</v>
      </c>
      <c r="D79">
        <f>COUNTIFS('Draft Board'!$G$2:$G$61,A79,'Draft Board'!$N$2:$N$61,"&lt;&gt;")</f>
        <v>0</v>
      </c>
      <c r="E79">
        <f>IFERROR(AVERAGEIFS('Draft Board'!$M$2:$M$61,'Draft Board'!$G$2:$G$61,A79),0)</f>
        <v>0</v>
      </c>
      <c r="F79">
        <f>MIN(1,E79/(Setup!$B$3*0.1))</f>
        <v>0</v>
      </c>
      <c r="G79">
        <f t="shared" si="2"/>
        <v>1</v>
      </c>
    </row>
    <row r="80" spans="1:7" x14ac:dyDescent="0.25">
      <c r="A80">
        <v>48</v>
      </c>
      <c r="B80">
        <f>SUMIFS('Draft Board'!$N$2:$N$61,'Draft Board'!$G$2:$G$61,A80,'Draft Board'!$N$2:$N$61,"&lt;&gt;")</f>
        <v>0</v>
      </c>
      <c r="C80">
        <f>SUMIFS('Draft Board'!$M$2:$M$61,'Draft Board'!$G$2:$G$61,A80,'Draft Board'!$N$2:$N$61,"&lt;&gt;")</f>
        <v>0</v>
      </c>
      <c r="D80">
        <f>COUNTIFS('Draft Board'!$G$2:$G$61,A80,'Draft Board'!$N$2:$N$61,"&lt;&gt;")</f>
        <v>0</v>
      </c>
      <c r="E80">
        <f>IFERROR(AVERAGEIFS('Draft Board'!$M$2:$M$61,'Draft Board'!$G$2:$G$61,A80),0)</f>
        <v>0</v>
      </c>
      <c r="F80">
        <f>MIN(1,E80/(Setup!$B$3*0.1))</f>
        <v>0</v>
      </c>
      <c r="G80">
        <f t="shared" si="2"/>
        <v>1</v>
      </c>
    </row>
    <row r="81" spans="1:7" x14ac:dyDescent="0.25">
      <c r="A81">
        <v>49</v>
      </c>
      <c r="B81">
        <f>SUMIFS('Draft Board'!$N$2:$N$61,'Draft Board'!$G$2:$G$61,A81,'Draft Board'!$N$2:$N$61,"&lt;&gt;")</f>
        <v>0</v>
      </c>
      <c r="C81">
        <f>SUMIFS('Draft Board'!$M$2:$M$61,'Draft Board'!$G$2:$G$61,A81,'Draft Board'!$N$2:$N$61,"&lt;&gt;")</f>
        <v>0</v>
      </c>
      <c r="D81">
        <f>COUNTIFS('Draft Board'!$G$2:$G$61,A81,'Draft Board'!$N$2:$N$61,"&lt;&gt;")</f>
        <v>0</v>
      </c>
      <c r="E81">
        <f>IFERROR(AVERAGEIFS('Draft Board'!$M$2:$M$61,'Draft Board'!$G$2:$G$61,A81),0)</f>
        <v>0</v>
      </c>
      <c r="F81">
        <f>MIN(1,E81/(Setup!$B$3*0.1))</f>
        <v>0</v>
      </c>
      <c r="G81">
        <f t="shared" si="2"/>
        <v>1</v>
      </c>
    </row>
    <row r="82" spans="1:7" x14ac:dyDescent="0.25">
      <c r="A82">
        <v>50</v>
      </c>
      <c r="B82">
        <f>SUMIFS('Draft Board'!$N$2:$N$61,'Draft Board'!$G$2:$G$61,A82,'Draft Board'!$N$2:$N$61,"&lt;&gt;")</f>
        <v>0</v>
      </c>
      <c r="C82">
        <f>SUMIFS('Draft Board'!$M$2:$M$61,'Draft Board'!$G$2:$G$61,A82,'Draft Board'!$N$2:$N$61,"&lt;&gt;")</f>
        <v>0</v>
      </c>
      <c r="D82">
        <f>COUNTIFS('Draft Board'!$G$2:$G$61,A82,'Draft Board'!$N$2:$N$61,"&lt;&gt;")</f>
        <v>0</v>
      </c>
      <c r="E82">
        <f>IFERROR(AVERAGEIFS('Draft Board'!$M$2:$M$61,'Draft Board'!$G$2:$G$61,A82),0)</f>
        <v>0</v>
      </c>
      <c r="F82">
        <f>MIN(1,E82/(Setup!$B$3*0.1))</f>
        <v>0</v>
      </c>
      <c r="G82">
        <f t="shared" si="2"/>
        <v>1</v>
      </c>
    </row>
    <row r="83" spans="1:7" x14ac:dyDescent="0.25">
      <c r="A83">
        <v>51</v>
      </c>
      <c r="B83">
        <f>SUMIFS('Draft Board'!$N$2:$N$61,'Draft Board'!$G$2:$G$61,A83,'Draft Board'!$N$2:$N$61,"&lt;&gt;")</f>
        <v>0</v>
      </c>
      <c r="C83">
        <f>SUMIFS('Draft Board'!$M$2:$M$61,'Draft Board'!$G$2:$G$61,A83,'Draft Board'!$N$2:$N$61,"&lt;&gt;")</f>
        <v>0</v>
      </c>
      <c r="D83">
        <f>COUNTIFS('Draft Board'!$G$2:$G$61,A83,'Draft Board'!$N$2:$N$61,"&lt;&gt;")</f>
        <v>0</v>
      </c>
      <c r="E83">
        <f>IFERROR(AVERAGEIFS('Draft Board'!$M$2:$M$61,'Draft Board'!$G$2:$G$61,A83),0)</f>
        <v>0</v>
      </c>
      <c r="F83">
        <f>MIN(1,E83/(Setup!$B$3*0.1))</f>
        <v>0</v>
      </c>
      <c r="G83">
        <f t="shared" si="2"/>
        <v>1</v>
      </c>
    </row>
    <row r="84" spans="1:7" x14ac:dyDescent="0.25">
      <c r="A84">
        <v>52</v>
      </c>
      <c r="B84">
        <f>SUMIFS('Draft Board'!$N$2:$N$61,'Draft Board'!$G$2:$G$61,A84,'Draft Board'!$N$2:$N$61,"&lt;&gt;")</f>
        <v>0</v>
      </c>
      <c r="C84">
        <f>SUMIFS('Draft Board'!$M$2:$M$61,'Draft Board'!$G$2:$G$61,A84,'Draft Board'!$N$2:$N$61,"&lt;&gt;")</f>
        <v>0</v>
      </c>
      <c r="D84">
        <f>COUNTIFS('Draft Board'!$G$2:$G$61,A84,'Draft Board'!$N$2:$N$61,"&lt;&gt;")</f>
        <v>0</v>
      </c>
      <c r="E84">
        <f>IFERROR(AVERAGEIFS('Draft Board'!$M$2:$M$61,'Draft Board'!$G$2:$G$61,A84),0)</f>
        <v>0</v>
      </c>
      <c r="F84">
        <f>MIN(1,E84/(Setup!$B$3*0.1))</f>
        <v>0</v>
      </c>
      <c r="G84">
        <f t="shared" si="2"/>
        <v>1</v>
      </c>
    </row>
    <row r="85" spans="1:7" x14ac:dyDescent="0.25">
      <c r="A85">
        <v>53</v>
      </c>
      <c r="B85">
        <f>SUMIFS('Draft Board'!$N$2:$N$61,'Draft Board'!$G$2:$G$61,A85,'Draft Board'!$N$2:$N$61,"&lt;&gt;")</f>
        <v>0</v>
      </c>
      <c r="C85">
        <f>SUMIFS('Draft Board'!$M$2:$M$61,'Draft Board'!$G$2:$G$61,A85,'Draft Board'!$N$2:$N$61,"&lt;&gt;")</f>
        <v>0</v>
      </c>
      <c r="D85">
        <f>COUNTIFS('Draft Board'!$G$2:$G$61,A85,'Draft Board'!$N$2:$N$61,"&lt;&gt;")</f>
        <v>0</v>
      </c>
      <c r="E85">
        <f>IFERROR(AVERAGEIFS('Draft Board'!$M$2:$M$61,'Draft Board'!$G$2:$G$61,A85),0)</f>
        <v>0</v>
      </c>
      <c r="F85">
        <f>MIN(1,E85/(Setup!$B$3*0.1))</f>
        <v>0</v>
      </c>
      <c r="G85">
        <f t="shared" si="2"/>
        <v>1</v>
      </c>
    </row>
    <row r="86" spans="1:7" x14ac:dyDescent="0.25">
      <c r="A86">
        <v>54</v>
      </c>
      <c r="B86">
        <f>SUMIFS('Draft Board'!$N$2:$N$61,'Draft Board'!$G$2:$G$61,A86,'Draft Board'!$N$2:$N$61,"&lt;&gt;")</f>
        <v>0</v>
      </c>
      <c r="C86">
        <f>SUMIFS('Draft Board'!$M$2:$M$61,'Draft Board'!$G$2:$G$61,A86,'Draft Board'!$N$2:$N$61,"&lt;&gt;")</f>
        <v>0</v>
      </c>
      <c r="D86">
        <f>COUNTIFS('Draft Board'!$G$2:$G$61,A86,'Draft Board'!$N$2:$N$61,"&lt;&gt;")</f>
        <v>0</v>
      </c>
      <c r="E86">
        <f>IFERROR(AVERAGEIFS('Draft Board'!$M$2:$M$61,'Draft Board'!$G$2:$G$61,A86),0)</f>
        <v>0</v>
      </c>
      <c r="F86">
        <f>MIN(1,E86/(Setup!$B$3*0.1))</f>
        <v>0</v>
      </c>
      <c r="G86">
        <f t="shared" si="2"/>
        <v>1</v>
      </c>
    </row>
    <row r="87" spans="1:7" x14ac:dyDescent="0.25">
      <c r="A87">
        <v>55</v>
      </c>
      <c r="B87">
        <f>SUMIFS('Draft Board'!$N$2:$N$61,'Draft Board'!$G$2:$G$61,A87,'Draft Board'!$N$2:$N$61,"&lt;&gt;")</f>
        <v>0</v>
      </c>
      <c r="C87">
        <f>SUMIFS('Draft Board'!$M$2:$M$61,'Draft Board'!$G$2:$G$61,A87,'Draft Board'!$N$2:$N$61,"&lt;&gt;")</f>
        <v>0</v>
      </c>
      <c r="D87">
        <f>COUNTIFS('Draft Board'!$G$2:$G$61,A87,'Draft Board'!$N$2:$N$61,"&lt;&gt;")</f>
        <v>0</v>
      </c>
      <c r="E87">
        <f>IFERROR(AVERAGEIFS('Draft Board'!$M$2:$M$61,'Draft Board'!$G$2:$G$61,A87),0)</f>
        <v>0</v>
      </c>
      <c r="F87">
        <f>MIN(1,E87/(Setup!$B$3*0.1))</f>
        <v>0</v>
      </c>
      <c r="G87">
        <f t="shared" si="2"/>
        <v>1</v>
      </c>
    </row>
    <row r="88" spans="1:7" x14ac:dyDescent="0.25">
      <c r="A88">
        <v>56</v>
      </c>
      <c r="B88">
        <f>SUMIFS('Draft Board'!$N$2:$N$61,'Draft Board'!$G$2:$G$61,A88,'Draft Board'!$N$2:$N$61,"&lt;&gt;")</f>
        <v>0</v>
      </c>
      <c r="C88">
        <f>SUMIFS('Draft Board'!$M$2:$M$61,'Draft Board'!$G$2:$G$61,A88,'Draft Board'!$N$2:$N$61,"&lt;&gt;")</f>
        <v>0</v>
      </c>
      <c r="D88">
        <f>COUNTIFS('Draft Board'!$G$2:$G$61,A88,'Draft Board'!$N$2:$N$61,"&lt;&gt;")</f>
        <v>0</v>
      </c>
      <c r="E88">
        <f>IFERROR(AVERAGEIFS('Draft Board'!$M$2:$M$61,'Draft Board'!$G$2:$G$61,A88),0)</f>
        <v>0</v>
      </c>
      <c r="F88">
        <f>MIN(1,E88/(Setup!$B$3*0.1))</f>
        <v>0</v>
      </c>
      <c r="G88">
        <f t="shared" si="2"/>
        <v>1</v>
      </c>
    </row>
    <row r="89" spans="1:7" x14ac:dyDescent="0.25">
      <c r="A89">
        <v>57</v>
      </c>
      <c r="B89">
        <f>SUMIFS('Draft Board'!$N$2:$N$61,'Draft Board'!$G$2:$G$61,A89,'Draft Board'!$N$2:$N$61,"&lt;&gt;")</f>
        <v>0</v>
      </c>
      <c r="C89">
        <f>SUMIFS('Draft Board'!$M$2:$M$61,'Draft Board'!$G$2:$G$61,A89,'Draft Board'!$N$2:$N$61,"&lt;&gt;")</f>
        <v>0</v>
      </c>
      <c r="D89">
        <f>COUNTIFS('Draft Board'!$G$2:$G$61,A89,'Draft Board'!$N$2:$N$61,"&lt;&gt;")</f>
        <v>0</v>
      </c>
      <c r="E89">
        <f>IFERROR(AVERAGEIFS('Draft Board'!$M$2:$M$61,'Draft Board'!$G$2:$G$61,A89),0)</f>
        <v>0</v>
      </c>
      <c r="F89">
        <f>MIN(1,E89/(Setup!$B$3*0.1))</f>
        <v>0</v>
      </c>
      <c r="G89">
        <f t="shared" si="2"/>
        <v>1</v>
      </c>
    </row>
    <row r="90" spans="1:7" x14ac:dyDescent="0.25">
      <c r="A90">
        <v>58</v>
      </c>
      <c r="B90">
        <f>SUMIFS('Draft Board'!$N$2:$N$61,'Draft Board'!$G$2:$G$61,A90,'Draft Board'!$N$2:$N$61,"&lt;&gt;")</f>
        <v>0</v>
      </c>
      <c r="C90">
        <f>SUMIFS('Draft Board'!$M$2:$M$61,'Draft Board'!$G$2:$G$61,A90,'Draft Board'!$N$2:$N$61,"&lt;&gt;")</f>
        <v>0</v>
      </c>
      <c r="D90">
        <f>COUNTIFS('Draft Board'!$G$2:$G$61,A90,'Draft Board'!$N$2:$N$61,"&lt;&gt;")</f>
        <v>0</v>
      </c>
      <c r="E90">
        <f>IFERROR(AVERAGEIFS('Draft Board'!$M$2:$M$61,'Draft Board'!$G$2:$G$61,A90),0)</f>
        <v>0</v>
      </c>
      <c r="F90">
        <f>MIN(1,E90/(Setup!$B$3*0.1))</f>
        <v>0</v>
      </c>
      <c r="G90">
        <f t="shared" si="2"/>
        <v>1</v>
      </c>
    </row>
    <row r="91" spans="1:7" x14ac:dyDescent="0.25">
      <c r="A91">
        <v>59</v>
      </c>
      <c r="B91">
        <f>SUMIFS('Draft Board'!$N$2:$N$61,'Draft Board'!$G$2:$G$61,A91,'Draft Board'!$N$2:$N$61,"&lt;&gt;")</f>
        <v>0</v>
      </c>
      <c r="C91">
        <f>SUMIFS('Draft Board'!$M$2:$M$61,'Draft Board'!$G$2:$G$61,A91,'Draft Board'!$N$2:$N$61,"&lt;&gt;")</f>
        <v>0</v>
      </c>
      <c r="D91">
        <f>COUNTIFS('Draft Board'!$G$2:$G$61,A91,'Draft Board'!$N$2:$N$61,"&lt;&gt;")</f>
        <v>0</v>
      </c>
      <c r="E91">
        <f>IFERROR(AVERAGEIFS('Draft Board'!$M$2:$M$61,'Draft Board'!$G$2:$G$61,A91),0)</f>
        <v>0</v>
      </c>
      <c r="F91">
        <f>MIN(1,E91/(Setup!$B$3*0.1))</f>
        <v>0</v>
      </c>
      <c r="G91">
        <f t="shared" si="2"/>
        <v>1</v>
      </c>
    </row>
    <row r="92" spans="1:7" x14ac:dyDescent="0.25">
      <c r="A92">
        <v>60</v>
      </c>
      <c r="B92">
        <f>SUMIFS('Draft Board'!$N$2:$N$61,'Draft Board'!$G$2:$G$61,A92,'Draft Board'!$N$2:$N$61,"&lt;&gt;")</f>
        <v>0</v>
      </c>
      <c r="C92">
        <f>SUMIFS('Draft Board'!$M$2:$M$61,'Draft Board'!$G$2:$G$61,A92,'Draft Board'!$N$2:$N$61,"&lt;&gt;")</f>
        <v>0</v>
      </c>
      <c r="D92">
        <f>COUNTIFS('Draft Board'!$G$2:$G$61,A92,'Draft Board'!$N$2:$N$61,"&lt;&gt;")</f>
        <v>0</v>
      </c>
      <c r="E92">
        <f>IFERROR(AVERAGEIFS('Draft Board'!$M$2:$M$61,'Draft Board'!$G$2:$G$61,A92),0)</f>
        <v>0</v>
      </c>
      <c r="F92">
        <f>MIN(1,E92/(Setup!$B$3*0.1))</f>
        <v>0</v>
      </c>
      <c r="G92">
        <f t="shared" si="2"/>
        <v>1</v>
      </c>
    </row>
    <row r="94" spans="1:7" x14ac:dyDescent="0.25">
      <c r="A94" s="13" t="s">
        <v>624</v>
      </c>
    </row>
    <row r="95" spans="1:7" x14ac:dyDescent="0.25">
      <c r="A95" s="13" t="s">
        <v>48</v>
      </c>
      <c r="B95" s="13" t="s">
        <v>618</v>
      </c>
      <c r="C95" s="13" t="s">
        <v>619</v>
      </c>
      <c r="D95" s="13" t="s">
        <v>620</v>
      </c>
      <c r="E95" s="13" t="s">
        <v>621</v>
      </c>
      <c r="F95" s="13" t="s">
        <v>622</v>
      </c>
      <c r="G95" s="13" t="s">
        <v>623</v>
      </c>
    </row>
    <row r="96" spans="1:7" x14ac:dyDescent="0.25">
      <c r="A96">
        <v>1</v>
      </c>
      <c r="B96">
        <f>SUMIFS('Draft Board'!$AD$2:$AD$161,'Draft Board'!$W$2:$W$161,A96,'Draft Board'!$AD$2:$AD$161,"&lt;&gt;")</f>
        <v>0</v>
      </c>
      <c r="C96">
        <f>SUMIFS('Draft Board'!$AC$2:$AC$161,'Draft Board'!$W$2:$W$161,A96,'Draft Board'!$AD$2:$AD$161,"&lt;&gt;")</f>
        <v>0</v>
      </c>
      <c r="D96">
        <f>COUNTIFS('Draft Board'!$W$2:$W$161,A96,'Draft Board'!$AD$2:$AD$161,"&lt;&gt;")</f>
        <v>0</v>
      </c>
      <c r="E96">
        <f>IFERROR(AVERAGEIFS('Draft Board'!$AC$2:$AC$161,'Draft Board'!$W$2:$W$161,A96),0)</f>
        <v>58</v>
      </c>
      <c r="F96">
        <f>MIN(1,E96/(Setup!$B$3*0.1))</f>
        <v>1</v>
      </c>
      <c r="G96">
        <f t="shared" ref="G96:G127" si="3">IF(D96&lt;2,1,MEDIAN(0.5,2,1+(IFERROR(B96/C96,1)-1)*F96))</f>
        <v>1</v>
      </c>
    </row>
    <row r="97" spans="1:7" x14ac:dyDescent="0.25">
      <c r="A97">
        <v>2</v>
      </c>
      <c r="B97">
        <f>SUMIFS('Draft Board'!$AD$2:$AD$161,'Draft Board'!$W$2:$W$161,A97,'Draft Board'!$AD$2:$AD$161,"&lt;&gt;")</f>
        <v>0</v>
      </c>
      <c r="C97">
        <f>SUMIFS('Draft Board'!$AC$2:$AC$161,'Draft Board'!$W$2:$W$161,A97,'Draft Board'!$AD$2:$AD$161,"&lt;&gt;")</f>
        <v>0</v>
      </c>
      <c r="D97">
        <f>COUNTIFS('Draft Board'!$W$2:$W$161,A97,'Draft Board'!$AD$2:$AD$161,"&lt;&gt;")</f>
        <v>0</v>
      </c>
      <c r="E97">
        <f>IFERROR(AVERAGEIFS('Draft Board'!$AC$2:$AC$161,'Draft Board'!$W$2:$W$161,A97),0)</f>
        <v>49</v>
      </c>
      <c r="F97">
        <f>MIN(1,E97/(Setup!$B$3*0.1))</f>
        <v>1</v>
      </c>
      <c r="G97">
        <f t="shared" si="3"/>
        <v>1</v>
      </c>
    </row>
    <row r="98" spans="1:7" x14ac:dyDescent="0.25">
      <c r="A98">
        <v>3</v>
      </c>
      <c r="B98">
        <f>SUMIFS('Draft Board'!$AD$2:$AD$161,'Draft Board'!$W$2:$W$161,A98,'Draft Board'!$AD$2:$AD$161,"&lt;&gt;")</f>
        <v>0</v>
      </c>
      <c r="C98">
        <f>SUMIFS('Draft Board'!$AC$2:$AC$161,'Draft Board'!$W$2:$W$161,A98,'Draft Board'!$AD$2:$AD$161,"&lt;&gt;")</f>
        <v>0</v>
      </c>
      <c r="D98">
        <f>COUNTIFS('Draft Board'!$W$2:$W$161,A98,'Draft Board'!$AD$2:$AD$161,"&lt;&gt;")</f>
        <v>0</v>
      </c>
      <c r="E98">
        <f>IFERROR(AVERAGEIFS('Draft Board'!$AC$2:$AC$161,'Draft Board'!$W$2:$W$161,A98),0)</f>
        <v>33.5</v>
      </c>
      <c r="F98">
        <f>MIN(1,E98/(Setup!$B$3*0.1))</f>
        <v>1</v>
      </c>
      <c r="G98">
        <f t="shared" si="3"/>
        <v>1</v>
      </c>
    </row>
    <row r="99" spans="1:7" x14ac:dyDescent="0.25">
      <c r="A99">
        <v>4</v>
      </c>
      <c r="B99">
        <f>SUMIFS('Draft Board'!$AD$2:$AD$161,'Draft Board'!$W$2:$W$161,A99,'Draft Board'!$AD$2:$AD$161,"&lt;&gt;")</f>
        <v>0</v>
      </c>
      <c r="C99">
        <f>SUMIFS('Draft Board'!$AC$2:$AC$161,'Draft Board'!$W$2:$W$161,A99,'Draft Board'!$AD$2:$AD$161,"&lt;&gt;")</f>
        <v>0</v>
      </c>
      <c r="D99">
        <f>COUNTIFS('Draft Board'!$W$2:$W$161,A99,'Draft Board'!$AD$2:$AD$161,"&lt;&gt;")</f>
        <v>0</v>
      </c>
      <c r="E99">
        <f>IFERROR(AVERAGEIFS('Draft Board'!$AC$2:$AC$161,'Draft Board'!$W$2:$W$161,A99),0)</f>
        <v>26.4</v>
      </c>
      <c r="F99">
        <f>MIN(1,E99/(Setup!$B$3*0.1))</f>
        <v>1</v>
      </c>
      <c r="G99">
        <f t="shared" si="3"/>
        <v>1</v>
      </c>
    </row>
    <row r="100" spans="1:7" x14ac:dyDescent="0.25">
      <c r="A100">
        <v>5</v>
      </c>
      <c r="B100">
        <f>SUMIFS('Draft Board'!$AD$2:$AD$161,'Draft Board'!$W$2:$W$161,A100,'Draft Board'!$AD$2:$AD$161,"&lt;&gt;")</f>
        <v>0</v>
      </c>
      <c r="C100">
        <f>SUMIFS('Draft Board'!$AC$2:$AC$161,'Draft Board'!$W$2:$W$161,A100,'Draft Board'!$AD$2:$AD$161,"&lt;&gt;")</f>
        <v>0</v>
      </c>
      <c r="D100">
        <f>COUNTIFS('Draft Board'!$W$2:$W$161,A100,'Draft Board'!$AD$2:$AD$161,"&lt;&gt;")</f>
        <v>0</v>
      </c>
      <c r="E100">
        <f>IFERROR(AVERAGEIFS('Draft Board'!$AC$2:$AC$161,'Draft Board'!$W$2:$W$161,A100),0)</f>
        <v>19.5</v>
      </c>
      <c r="F100">
        <f>MIN(1,E100/(Setup!$B$3*0.1))</f>
        <v>0.97499999999999998</v>
      </c>
      <c r="G100">
        <f t="shared" si="3"/>
        <v>1</v>
      </c>
    </row>
    <row r="101" spans="1:7" x14ac:dyDescent="0.25">
      <c r="A101">
        <v>6</v>
      </c>
      <c r="B101">
        <f>SUMIFS('Draft Board'!$AD$2:$AD$161,'Draft Board'!$W$2:$W$161,A101,'Draft Board'!$AD$2:$AD$161,"&lt;&gt;")</f>
        <v>0</v>
      </c>
      <c r="C101">
        <f>SUMIFS('Draft Board'!$AC$2:$AC$161,'Draft Board'!$W$2:$W$161,A101,'Draft Board'!$AD$2:$AD$161,"&lt;&gt;")</f>
        <v>0</v>
      </c>
      <c r="D101">
        <f>COUNTIFS('Draft Board'!$W$2:$W$161,A101,'Draft Board'!$AD$2:$AD$161,"&lt;&gt;")</f>
        <v>0</v>
      </c>
      <c r="E101">
        <f>IFERROR(AVERAGEIFS('Draft Board'!$AC$2:$AC$161,'Draft Board'!$W$2:$W$161,A101),0)</f>
        <v>14.833333333333334</v>
      </c>
      <c r="F101">
        <f>MIN(1,E101/(Setup!$B$3*0.1))</f>
        <v>0.7416666666666667</v>
      </c>
      <c r="G101">
        <f t="shared" si="3"/>
        <v>1</v>
      </c>
    </row>
    <row r="102" spans="1:7" x14ac:dyDescent="0.25">
      <c r="A102">
        <v>7</v>
      </c>
      <c r="B102">
        <f>SUMIFS('Draft Board'!$AD$2:$AD$161,'Draft Board'!$W$2:$W$161,A102,'Draft Board'!$AD$2:$AD$161,"&lt;&gt;")</f>
        <v>0</v>
      </c>
      <c r="C102">
        <f>SUMIFS('Draft Board'!$AC$2:$AC$161,'Draft Board'!$W$2:$W$161,A102,'Draft Board'!$AD$2:$AD$161,"&lt;&gt;")</f>
        <v>0</v>
      </c>
      <c r="D102">
        <f>COUNTIFS('Draft Board'!$W$2:$W$161,A102,'Draft Board'!$AD$2:$AD$161,"&lt;&gt;")</f>
        <v>0</v>
      </c>
      <c r="E102">
        <f>IFERROR(AVERAGEIFS('Draft Board'!$AC$2:$AC$161,'Draft Board'!$W$2:$W$161,A102),0)</f>
        <v>10</v>
      </c>
      <c r="F102">
        <f>MIN(1,E102/(Setup!$B$3*0.1))</f>
        <v>0.5</v>
      </c>
      <c r="G102">
        <f t="shared" si="3"/>
        <v>1</v>
      </c>
    </row>
    <row r="103" spans="1:7" x14ac:dyDescent="0.25">
      <c r="A103">
        <v>8</v>
      </c>
      <c r="B103">
        <f>SUMIFS('Draft Board'!$AD$2:$AD$161,'Draft Board'!$W$2:$W$161,A103,'Draft Board'!$AD$2:$AD$161,"&lt;&gt;")</f>
        <v>0</v>
      </c>
      <c r="C103">
        <f>SUMIFS('Draft Board'!$AC$2:$AC$161,'Draft Board'!$W$2:$W$161,A103,'Draft Board'!$AD$2:$AD$161,"&lt;&gt;")</f>
        <v>0</v>
      </c>
      <c r="D103">
        <f>COUNTIFS('Draft Board'!$W$2:$W$161,A103,'Draft Board'!$AD$2:$AD$161,"&lt;&gt;")</f>
        <v>0</v>
      </c>
      <c r="E103">
        <f>IFERROR(AVERAGEIFS('Draft Board'!$AC$2:$AC$161,'Draft Board'!$W$2:$W$161,A103),0)</f>
        <v>8.3333333333333339</v>
      </c>
      <c r="F103">
        <f>MIN(1,E103/(Setup!$B$3*0.1))</f>
        <v>0.41666666666666669</v>
      </c>
      <c r="G103">
        <f t="shared" si="3"/>
        <v>1</v>
      </c>
    </row>
    <row r="104" spans="1:7" x14ac:dyDescent="0.25">
      <c r="A104">
        <v>9</v>
      </c>
      <c r="B104">
        <f>SUMIFS('Draft Board'!$AD$2:$AD$161,'Draft Board'!$W$2:$W$161,A104,'Draft Board'!$AD$2:$AD$161,"&lt;&gt;")</f>
        <v>0</v>
      </c>
      <c r="C104">
        <f>SUMIFS('Draft Board'!$AC$2:$AC$161,'Draft Board'!$W$2:$W$161,A104,'Draft Board'!$AD$2:$AD$161,"&lt;&gt;")</f>
        <v>0</v>
      </c>
      <c r="D104">
        <f>COUNTIFS('Draft Board'!$W$2:$W$161,A104,'Draft Board'!$AD$2:$AD$161,"&lt;&gt;")</f>
        <v>0</v>
      </c>
      <c r="E104">
        <f>IFERROR(AVERAGEIFS('Draft Board'!$AC$2:$AC$161,'Draft Board'!$W$2:$W$161,A104),0)</f>
        <v>7</v>
      </c>
      <c r="F104">
        <f>MIN(1,E104/(Setup!$B$3*0.1))</f>
        <v>0.35</v>
      </c>
      <c r="G104">
        <f t="shared" si="3"/>
        <v>1</v>
      </c>
    </row>
    <row r="105" spans="1:7" x14ac:dyDescent="0.25">
      <c r="A105">
        <v>10</v>
      </c>
      <c r="B105">
        <f>SUMIFS('Draft Board'!$AD$2:$AD$161,'Draft Board'!$W$2:$W$161,A105,'Draft Board'!$AD$2:$AD$161,"&lt;&gt;")</f>
        <v>0</v>
      </c>
      <c r="C105">
        <f>SUMIFS('Draft Board'!$AC$2:$AC$161,'Draft Board'!$W$2:$W$161,A105,'Draft Board'!$AD$2:$AD$161,"&lt;&gt;")</f>
        <v>0</v>
      </c>
      <c r="D105">
        <f>COUNTIFS('Draft Board'!$W$2:$W$161,A105,'Draft Board'!$AD$2:$AD$161,"&lt;&gt;")</f>
        <v>0</v>
      </c>
      <c r="E105">
        <f>IFERROR(AVERAGEIFS('Draft Board'!$AC$2:$AC$161,'Draft Board'!$W$2:$W$161,A105),0)</f>
        <v>6</v>
      </c>
      <c r="F105">
        <f>MIN(1,E105/(Setup!$B$3*0.1))</f>
        <v>0.3</v>
      </c>
      <c r="G105">
        <f t="shared" si="3"/>
        <v>1</v>
      </c>
    </row>
    <row r="106" spans="1:7" x14ac:dyDescent="0.25">
      <c r="A106">
        <v>11</v>
      </c>
      <c r="B106">
        <f>SUMIFS('Draft Board'!$AD$2:$AD$161,'Draft Board'!$W$2:$W$161,A106,'Draft Board'!$AD$2:$AD$161,"&lt;&gt;")</f>
        <v>0</v>
      </c>
      <c r="C106">
        <f>SUMIFS('Draft Board'!$AC$2:$AC$161,'Draft Board'!$W$2:$W$161,A106,'Draft Board'!$AD$2:$AD$161,"&lt;&gt;")</f>
        <v>0</v>
      </c>
      <c r="D106">
        <f>COUNTIFS('Draft Board'!$W$2:$W$161,A106,'Draft Board'!$AD$2:$AD$161,"&lt;&gt;")</f>
        <v>0</v>
      </c>
      <c r="E106">
        <f>IFERROR(AVERAGEIFS('Draft Board'!$AC$2:$AC$161,'Draft Board'!$W$2:$W$161,A106),0)</f>
        <v>5</v>
      </c>
      <c r="F106">
        <f>MIN(1,E106/(Setup!$B$3*0.1))</f>
        <v>0.25</v>
      </c>
      <c r="G106">
        <f t="shared" si="3"/>
        <v>1</v>
      </c>
    </row>
    <row r="107" spans="1:7" x14ac:dyDescent="0.25">
      <c r="A107">
        <v>12</v>
      </c>
      <c r="B107">
        <f>SUMIFS('Draft Board'!$AD$2:$AD$161,'Draft Board'!$W$2:$W$161,A107,'Draft Board'!$AD$2:$AD$161,"&lt;&gt;")</f>
        <v>0</v>
      </c>
      <c r="C107">
        <f>SUMIFS('Draft Board'!$AC$2:$AC$161,'Draft Board'!$W$2:$W$161,A107,'Draft Board'!$AD$2:$AD$161,"&lt;&gt;")</f>
        <v>0</v>
      </c>
      <c r="D107">
        <f>COUNTIFS('Draft Board'!$W$2:$W$161,A107,'Draft Board'!$AD$2:$AD$161,"&lt;&gt;")</f>
        <v>0</v>
      </c>
      <c r="E107">
        <f>IFERROR(AVERAGEIFS('Draft Board'!$AC$2:$AC$161,'Draft Board'!$W$2:$W$161,A107),0)</f>
        <v>5</v>
      </c>
      <c r="F107">
        <f>MIN(1,E107/(Setup!$B$3*0.1))</f>
        <v>0.25</v>
      </c>
      <c r="G107">
        <f t="shared" si="3"/>
        <v>1</v>
      </c>
    </row>
    <row r="108" spans="1:7" x14ac:dyDescent="0.25">
      <c r="A108">
        <v>13</v>
      </c>
      <c r="B108">
        <f>SUMIFS('Draft Board'!$AD$2:$AD$161,'Draft Board'!$W$2:$W$161,A108,'Draft Board'!$AD$2:$AD$161,"&lt;&gt;")</f>
        <v>0</v>
      </c>
      <c r="C108">
        <f>SUMIFS('Draft Board'!$AC$2:$AC$161,'Draft Board'!$W$2:$W$161,A108,'Draft Board'!$AD$2:$AD$161,"&lt;&gt;")</f>
        <v>0</v>
      </c>
      <c r="D108">
        <f>COUNTIFS('Draft Board'!$W$2:$W$161,A108,'Draft Board'!$AD$2:$AD$161,"&lt;&gt;")</f>
        <v>0</v>
      </c>
      <c r="E108">
        <f>IFERROR(AVERAGEIFS('Draft Board'!$AC$2:$AC$161,'Draft Board'!$W$2:$W$161,A108),0)</f>
        <v>1</v>
      </c>
      <c r="F108">
        <f>MIN(1,E108/(Setup!$B$3*0.1))</f>
        <v>0.05</v>
      </c>
      <c r="G108">
        <f t="shared" si="3"/>
        <v>1</v>
      </c>
    </row>
    <row r="109" spans="1:7" x14ac:dyDescent="0.25">
      <c r="A109">
        <v>14</v>
      </c>
      <c r="B109">
        <f>SUMIFS('Draft Board'!$AD$2:$AD$161,'Draft Board'!$W$2:$W$161,A109,'Draft Board'!$AD$2:$AD$161,"&lt;&gt;")</f>
        <v>0</v>
      </c>
      <c r="C109">
        <f>SUMIFS('Draft Board'!$AC$2:$AC$161,'Draft Board'!$W$2:$W$161,A109,'Draft Board'!$AD$2:$AD$161,"&lt;&gt;")</f>
        <v>0</v>
      </c>
      <c r="D109">
        <f>COUNTIFS('Draft Board'!$W$2:$W$161,A109,'Draft Board'!$AD$2:$AD$161,"&lt;&gt;")</f>
        <v>0</v>
      </c>
      <c r="E109">
        <f>IFERROR(AVERAGEIFS('Draft Board'!$AC$2:$AC$161,'Draft Board'!$W$2:$W$161,A109),0)</f>
        <v>1</v>
      </c>
      <c r="F109">
        <f>MIN(1,E109/(Setup!$B$3*0.1))</f>
        <v>0.05</v>
      </c>
      <c r="G109">
        <f t="shared" si="3"/>
        <v>1</v>
      </c>
    </row>
    <row r="110" spans="1:7" x14ac:dyDescent="0.25">
      <c r="A110">
        <v>15</v>
      </c>
      <c r="B110">
        <f>SUMIFS('Draft Board'!$AD$2:$AD$161,'Draft Board'!$W$2:$W$161,A110,'Draft Board'!$AD$2:$AD$161,"&lt;&gt;")</f>
        <v>0</v>
      </c>
      <c r="C110">
        <f>SUMIFS('Draft Board'!$AC$2:$AC$161,'Draft Board'!$W$2:$W$161,A110,'Draft Board'!$AD$2:$AD$161,"&lt;&gt;")</f>
        <v>0</v>
      </c>
      <c r="D110">
        <f>COUNTIFS('Draft Board'!$W$2:$W$161,A110,'Draft Board'!$AD$2:$AD$161,"&lt;&gt;")</f>
        <v>0</v>
      </c>
      <c r="E110">
        <f>IFERROR(AVERAGEIFS('Draft Board'!$AC$2:$AC$161,'Draft Board'!$W$2:$W$161,A110),0)</f>
        <v>0</v>
      </c>
      <c r="F110">
        <f>MIN(1,E110/(Setup!$B$3*0.1))</f>
        <v>0</v>
      </c>
      <c r="G110">
        <f t="shared" si="3"/>
        <v>1</v>
      </c>
    </row>
    <row r="111" spans="1:7" x14ac:dyDescent="0.25">
      <c r="A111">
        <v>16</v>
      </c>
      <c r="B111">
        <f>SUMIFS('Draft Board'!$AD$2:$AD$161,'Draft Board'!$W$2:$W$161,A111,'Draft Board'!$AD$2:$AD$161,"&lt;&gt;")</f>
        <v>0</v>
      </c>
      <c r="C111">
        <f>SUMIFS('Draft Board'!$AC$2:$AC$161,'Draft Board'!$W$2:$W$161,A111,'Draft Board'!$AD$2:$AD$161,"&lt;&gt;")</f>
        <v>0</v>
      </c>
      <c r="D111">
        <f>COUNTIFS('Draft Board'!$W$2:$W$161,A111,'Draft Board'!$AD$2:$AD$161,"&lt;&gt;")</f>
        <v>0</v>
      </c>
      <c r="E111">
        <f>IFERROR(AVERAGEIFS('Draft Board'!$AC$2:$AC$161,'Draft Board'!$W$2:$W$161,A111),0)</f>
        <v>0</v>
      </c>
      <c r="F111">
        <f>MIN(1,E111/(Setup!$B$3*0.1))</f>
        <v>0</v>
      </c>
      <c r="G111">
        <f t="shared" si="3"/>
        <v>1</v>
      </c>
    </row>
    <row r="112" spans="1:7" x14ac:dyDescent="0.25">
      <c r="A112">
        <v>17</v>
      </c>
      <c r="B112">
        <f>SUMIFS('Draft Board'!$AD$2:$AD$161,'Draft Board'!$W$2:$W$161,A112,'Draft Board'!$AD$2:$AD$161,"&lt;&gt;")</f>
        <v>0</v>
      </c>
      <c r="C112">
        <f>SUMIFS('Draft Board'!$AC$2:$AC$161,'Draft Board'!$W$2:$W$161,A112,'Draft Board'!$AD$2:$AD$161,"&lt;&gt;")</f>
        <v>0</v>
      </c>
      <c r="D112">
        <f>COUNTIFS('Draft Board'!$W$2:$W$161,A112,'Draft Board'!$AD$2:$AD$161,"&lt;&gt;")</f>
        <v>0</v>
      </c>
      <c r="E112">
        <f>IFERROR(AVERAGEIFS('Draft Board'!$AC$2:$AC$161,'Draft Board'!$W$2:$W$161,A112),0)</f>
        <v>0</v>
      </c>
      <c r="F112">
        <f>MIN(1,E112/(Setup!$B$3*0.1))</f>
        <v>0</v>
      </c>
      <c r="G112">
        <f t="shared" si="3"/>
        <v>1</v>
      </c>
    </row>
    <row r="113" spans="1:7" x14ac:dyDescent="0.25">
      <c r="A113">
        <v>18</v>
      </c>
      <c r="B113">
        <f>SUMIFS('Draft Board'!$AD$2:$AD$161,'Draft Board'!$W$2:$W$161,A113,'Draft Board'!$AD$2:$AD$161,"&lt;&gt;")</f>
        <v>0</v>
      </c>
      <c r="C113">
        <f>SUMIFS('Draft Board'!$AC$2:$AC$161,'Draft Board'!$W$2:$W$161,A113,'Draft Board'!$AD$2:$AD$161,"&lt;&gt;")</f>
        <v>0</v>
      </c>
      <c r="D113">
        <f>COUNTIFS('Draft Board'!$W$2:$W$161,A113,'Draft Board'!$AD$2:$AD$161,"&lt;&gt;")</f>
        <v>0</v>
      </c>
      <c r="E113">
        <f>IFERROR(AVERAGEIFS('Draft Board'!$AC$2:$AC$161,'Draft Board'!$W$2:$W$161,A113),0)</f>
        <v>0</v>
      </c>
      <c r="F113">
        <f>MIN(1,E113/(Setup!$B$3*0.1))</f>
        <v>0</v>
      </c>
      <c r="G113">
        <f t="shared" si="3"/>
        <v>1</v>
      </c>
    </row>
    <row r="114" spans="1:7" x14ac:dyDescent="0.25">
      <c r="A114">
        <v>19</v>
      </c>
      <c r="B114">
        <f>SUMIFS('Draft Board'!$AD$2:$AD$161,'Draft Board'!$W$2:$W$161,A114,'Draft Board'!$AD$2:$AD$161,"&lt;&gt;")</f>
        <v>0</v>
      </c>
      <c r="C114">
        <f>SUMIFS('Draft Board'!$AC$2:$AC$161,'Draft Board'!$W$2:$W$161,A114,'Draft Board'!$AD$2:$AD$161,"&lt;&gt;")</f>
        <v>0</v>
      </c>
      <c r="D114">
        <f>COUNTIFS('Draft Board'!$W$2:$W$161,A114,'Draft Board'!$AD$2:$AD$161,"&lt;&gt;")</f>
        <v>0</v>
      </c>
      <c r="E114">
        <f>IFERROR(AVERAGEIFS('Draft Board'!$AC$2:$AC$161,'Draft Board'!$W$2:$W$161,A114),0)</f>
        <v>0</v>
      </c>
      <c r="F114">
        <f>MIN(1,E114/(Setup!$B$3*0.1))</f>
        <v>0</v>
      </c>
      <c r="G114">
        <f t="shared" si="3"/>
        <v>1</v>
      </c>
    </row>
    <row r="115" spans="1:7" x14ac:dyDescent="0.25">
      <c r="A115">
        <v>20</v>
      </c>
      <c r="B115">
        <f>SUMIFS('Draft Board'!$AD$2:$AD$161,'Draft Board'!$W$2:$W$161,A115,'Draft Board'!$AD$2:$AD$161,"&lt;&gt;")</f>
        <v>0</v>
      </c>
      <c r="C115">
        <f>SUMIFS('Draft Board'!$AC$2:$AC$161,'Draft Board'!$W$2:$W$161,A115,'Draft Board'!$AD$2:$AD$161,"&lt;&gt;")</f>
        <v>0</v>
      </c>
      <c r="D115">
        <f>COUNTIFS('Draft Board'!$W$2:$W$161,A115,'Draft Board'!$AD$2:$AD$161,"&lt;&gt;")</f>
        <v>0</v>
      </c>
      <c r="E115">
        <f>IFERROR(AVERAGEIFS('Draft Board'!$AC$2:$AC$161,'Draft Board'!$W$2:$W$161,A115),0)</f>
        <v>0</v>
      </c>
      <c r="F115">
        <f>MIN(1,E115/(Setup!$B$3*0.1))</f>
        <v>0</v>
      </c>
      <c r="G115">
        <f t="shared" si="3"/>
        <v>1</v>
      </c>
    </row>
    <row r="116" spans="1:7" x14ac:dyDescent="0.25">
      <c r="A116">
        <v>21</v>
      </c>
      <c r="B116">
        <f>SUMIFS('Draft Board'!$AD$2:$AD$161,'Draft Board'!$W$2:$W$161,A116,'Draft Board'!$AD$2:$AD$161,"&lt;&gt;")</f>
        <v>0</v>
      </c>
      <c r="C116">
        <f>SUMIFS('Draft Board'!$AC$2:$AC$161,'Draft Board'!$W$2:$W$161,A116,'Draft Board'!$AD$2:$AD$161,"&lt;&gt;")</f>
        <v>0</v>
      </c>
      <c r="D116">
        <f>COUNTIFS('Draft Board'!$W$2:$W$161,A116,'Draft Board'!$AD$2:$AD$161,"&lt;&gt;")</f>
        <v>0</v>
      </c>
      <c r="E116">
        <f>IFERROR(AVERAGEIFS('Draft Board'!$AC$2:$AC$161,'Draft Board'!$W$2:$W$161,A116),0)</f>
        <v>0</v>
      </c>
      <c r="F116">
        <f>MIN(1,E116/(Setup!$B$3*0.1))</f>
        <v>0</v>
      </c>
      <c r="G116">
        <f t="shared" si="3"/>
        <v>1</v>
      </c>
    </row>
    <row r="117" spans="1:7" x14ac:dyDescent="0.25">
      <c r="A117">
        <v>22</v>
      </c>
      <c r="B117">
        <f>SUMIFS('Draft Board'!$AD$2:$AD$161,'Draft Board'!$W$2:$W$161,A117,'Draft Board'!$AD$2:$AD$161,"&lt;&gt;")</f>
        <v>0</v>
      </c>
      <c r="C117">
        <f>SUMIFS('Draft Board'!$AC$2:$AC$161,'Draft Board'!$W$2:$W$161,A117,'Draft Board'!$AD$2:$AD$161,"&lt;&gt;")</f>
        <v>0</v>
      </c>
      <c r="D117">
        <f>COUNTIFS('Draft Board'!$W$2:$W$161,A117,'Draft Board'!$AD$2:$AD$161,"&lt;&gt;")</f>
        <v>0</v>
      </c>
      <c r="E117">
        <f>IFERROR(AVERAGEIFS('Draft Board'!$AC$2:$AC$161,'Draft Board'!$W$2:$W$161,A117),0)</f>
        <v>0</v>
      </c>
      <c r="F117">
        <f>MIN(1,E117/(Setup!$B$3*0.1))</f>
        <v>0</v>
      </c>
      <c r="G117">
        <f t="shared" si="3"/>
        <v>1</v>
      </c>
    </row>
    <row r="118" spans="1:7" x14ac:dyDescent="0.25">
      <c r="A118">
        <v>23</v>
      </c>
      <c r="B118">
        <f>SUMIFS('Draft Board'!$AD$2:$AD$161,'Draft Board'!$W$2:$W$161,A118,'Draft Board'!$AD$2:$AD$161,"&lt;&gt;")</f>
        <v>0</v>
      </c>
      <c r="C118">
        <f>SUMIFS('Draft Board'!$AC$2:$AC$161,'Draft Board'!$W$2:$W$161,A118,'Draft Board'!$AD$2:$AD$161,"&lt;&gt;")</f>
        <v>0</v>
      </c>
      <c r="D118">
        <f>COUNTIFS('Draft Board'!$W$2:$W$161,A118,'Draft Board'!$AD$2:$AD$161,"&lt;&gt;")</f>
        <v>0</v>
      </c>
      <c r="E118">
        <f>IFERROR(AVERAGEIFS('Draft Board'!$AC$2:$AC$161,'Draft Board'!$W$2:$W$161,A118),0)</f>
        <v>0</v>
      </c>
      <c r="F118">
        <f>MIN(1,E118/(Setup!$B$3*0.1))</f>
        <v>0</v>
      </c>
      <c r="G118">
        <f t="shared" si="3"/>
        <v>1</v>
      </c>
    </row>
    <row r="119" spans="1:7" x14ac:dyDescent="0.25">
      <c r="A119">
        <v>24</v>
      </c>
      <c r="B119">
        <f>SUMIFS('Draft Board'!$AD$2:$AD$161,'Draft Board'!$W$2:$W$161,A119,'Draft Board'!$AD$2:$AD$161,"&lt;&gt;")</f>
        <v>0</v>
      </c>
      <c r="C119">
        <f>SUMIFS('Draft Board'!$AC$2:$AC$161,'Draft Board'!$W$2:$W$161,A119,'Draft Board'!$AD$2:$AD$161,"&lt;&gt;")</f>
        <v>0</v>
      </c>
      <c r="D119">
        <f>COUNTIFS('Draft Board'!$W$2:$W$161,A119,'Draft Board'!$AD$2:$AD$161,"&lt;&gt;")</f>
        <v>0</v>
      </c>
      <c r="E119">
        <f>IFERROR(AVERAGEIFS('Draft Board'!$AC$2:$AC$161,'Draft Board'!$W$2:$W$161,A119),0)</f>
        <v>0</v>
      </c>
      <c r="F119">
        <f>MIN(1,E119/(Setup!$B$3*0.1))</f>
        <v>0</v>
      </c>
      <c r="G119">
        <f t="shared" si="3"/>
        <v>1</v>
      </c>
    </row>
    <row r="120" spans="1:7" x14ac:dyDescent="0.25">
      <c r="A120">
        <v>25</v>
      </c>
      <c r="B120">
        <f>SUMIFS('Draft Board'!$AD$2:$AD$161,'Draft Board'!$W$2:$W$161,A120,'Draft Board'!$AD$2:$AD$161,"&lt;&gt;")</f>
        <v>0</v>
      </c>
      <c r="C120">
        <f>SUMIFS('Draft Board'!$AC$2:$AC$161,'Draft Board'!$W$2:$W$161,A120,'Draft Board'!$AD$2:$AD$161,"&lt;&gt;")</f>
        <v>0</v>
      </c>
      <c r="D120">
        <f>COUNTIFS('Draft Board'!$W$2:$W$161,A120,'Draft Board'!$AD$2:$AD$161,"&lt;&gt;")</f>
        <v>0</v>
      </c>
      <c r="E120">
        <f>IFERROR(AVERAGEIFS('Draft Board'!$AC$2:$AC$161,'Draft Board'!$W$2:$W$161,A120),0)</f>
        <v>0</v>
      </c>
      <c r="F120">
        <f>MIN(1,E120/(Setup!$B$3*0.1))</f>
        <v>0</v>
      </c>
      <c r="G120">
        <f t="shared" si="3"/>
        <v>1</v>
      </c>
    </row>
    <row r="121" spans="1:7" x14ac:dyDescent="0.25">
      <c r="A121">
        <v>26</v>
      </c>
      <c r="B121">
        <f>SUMIFS('Draft Board'!$AD$2:$AD$161,'Draft Board'!$W$2:$W$161,A121,'Draft Board'!$AD$2:$AD$161,"&lt;&gt;")</f>
        <v>0</v>
      </c>
      <c r="C121">
        <f>SUMIFS('Draft Board'!$AC$2:$AC$161,'Draft Board'!$W$2:$W$161,A121,'Draft Board'!$AD$2:$AD$161,"&lt;&gt;")</f>
        <v>0</v>
      </c>
      <c r="D121">
        <f>COUNTIFS('Draft Board'!$W$2:$W$161,A121,'Draft Board'!$AD$2:$AD$161,"&lt;&gt;")</f>
        <v>0</v>
      </c>
      <c r="E121">
        <f>IFERROR(AVERAGEIFS('Draft Board'!$AC$2:$AC$161,'Draft Board'!$W$2:$W$161,A121),0)</f>
        <v>0</v>
      </c>
      <c r="F121">
        <f>MIN(1,E121/(Setup!$B$3*0.1))</f>
        <v>0</v>
      </c>
      <c r="G121">
        <f t="shared" si="3"/>
        <v>1</v>
      </c>
    </row>
    <row r="122" spans="1:7" x14ac:dyDescent="0.25">
      <c r="A122">
        <v>27</v>
      </c>
      <c r="B122">
        <f>SUMIFS('Draft Board'!$AD$2:$AD$161,'Draft Board'!$W$2:$W$161,A122,'Draft Board'!$AD$2:$AD$161,"&lt;&gt;")</f>
        <v>0</v>
      </c>
      <c r="C122">
        <f>SUMIFS('Draft Board'!$AC$2:$AC$161,'Draft Board'!$W$2:$W$161,A122,'Draft Board'!$AD$2:$AD$161,"&lt;&gt;")</f>
        <v>0</v>
      </c>
      <c r="D122">
        <f>COUNTIFS('Draft Board'!$W$2:$W$161,A122,'Draft Board'!$AD$2:$AD$161,"&lt;&gt;")</f>
        <v>0</v>
      </c>
      <c r="E122">
        <f>IFERROR(AVERAGEIFS('Draft Board'!$AC$2:$AC$161,'Draft Board'!$W$2:$W$161,A122),0)</f>
        <v>0</v>
      </c>
      <c r="F122">
        <f>MIN(1,E122/(Setup!$B$3*0.1))</f>
        <v>0</v>
      </c>
      <c r="G122">
        <f t="shared" si="3"/>
        <v>1</v>
      </c>
    </row>
    <row r="123" spans="1:7" x14ac:dyDescent="0.25">
      <c r="A123">
        <v>28</v>
      </c>
      <c r="B123">
        <f>SUMIFS('Draft Board'!$AD$2:$AD$161,'Draft Board'!$W$2:$W$161,A123,'Draft Board'!$AD$2:$AD$161,"&lt;&gt;")</f>
        <v>0</v>
      </c>
      <c r="C123">
        <f>SUMIFS('Draft Board'!$AC$2:$AC$161,'Draft Board'!$W$2:$W$161,A123,'Draft Board'!$AD$2:$AD$161,"&lt;&gt;")</f>
        <v>0</v>
      </c>
      <c r="D123">
        <f>COUNTIFS('Draft Board'!$W$2:$W$161,A123,'Draft Board'!$AD$2:$AD$161,"&lt;&gt;")</f>
        <v>0</v>
      </c>
      <c r="E123">
        <f>IFERROR(AVERAGEIFS('Draft Board'!$AC$2:$AC$161,'Draft Board'!$W$2:$W$161,A123),0)</f>
        <v>0</v>
      </c>
      <c r="F123">
        <f>MIN(1,E123/(Setup!$B$3*0.1))</f>
        <v>0</v>
      </c>
      <c r="G123">
        <f t="shared" si="3"/>
        <v>1</v>
      </c>
    </row>
    <row r="124" spans="1:7" x14ac:dyDescent="0.25">
      <c r="A124">
        <v>29</v>
      </c>
      <c r="B124">
        <f>SUMIFS('Draft Board'!$AD$2:$AD$161,'Draft Board'!$W$2:$W$161,A124,'Draft Board'!$AD$2:$AD$161,"&lt;&gt;")</f>
        <v>0</v>
      </c>
      <c r="C124">
        <f>SUMIFS('Draft Board'!$AC$2:$AC$161,'Draft Board'!$W$2:$W$161,A124,'Draft Board'!$AD$2:$AD$161,"&lt;&gt;")</f>
        <v>0</v>
      </c>
      <c r="D124">
        <f>COUNTIFS('Draft Board'!$W$2:$W$161,A124,'Draft Board'!$AD$2:$AD$161,"&lt;&gt;")</f>
        <v>0</v>
      </c>
      <c r="E124">
        <f>IFERROR(AVERAGEIFS('Draft Board'!$AC$2:$AC$161,'Draft Board'!$W$2:$W$161,A124),0)</f>
        <v>0</v>
      </c>
      <c r="F124">
        <f>MIN(1,E124/(Setup!$B$3*0.1))</f>
        <v>0</v>
      </c>
      <c r="G124">
        <f t="shared" si="3"/>
        <v>1</v>
      </c>
    </row>
    <row r="125" spans="1:7" x14ac:dyDescent="0.25">
      <c r="A125">
        <v>30</v>
      </c>
      <c r="B125">
        <f>SUMIFS('Draft Board'!$AD$2:$AD$161,'Draft Board'!$W$2:$W$161,A125,'Draft Board'!$AD$2:$AD$161,"&lt;&gt;")</f>
        <v>0</v>
      </c>
      <c r="C125">
        <f>SUMIFS('Draft Board'!$AC$2:$AC$161,'Draft Board'!$W$2:$W$161,A125,'Draft Board'!$AD$2:$AD$161,"&lt;&gt;")</f>
        <v>0</v>
      </c>
      <c r="D125">
        <f>COUNTIFS('Draft Board'!$W$2:$W$161,A125,'Draft Board'!$AD$2:$AD$161,"&lt;&gt;")</f>
        <v>0</v>
      </c>
      <c r="E125">
        <f>IFERROR(AVERAGEIFS('Draft Board'!$AC$2:$AC$161,'Draft Board'!$W$2:$W$161,A125),0)</f>
        <v>0</v>
      </c>
      <c r="F125">
        <f>MIN(1,E125/(Setup!$B$3*0.1))</f>
        <v>0</v>
      </c>
      <c r="G125">
        <f t="shared" si="3"/>
        <v>1</v>
      </c>
    </row>
    <row r="126" spans="1:7" x14ac:dyDescent="0.25">
      <c r="A126">
        <v>31</v>
      </c>
      <c r="B126">
        <f>SUMIFS('Draft Board'!$AD$2:$AD$161,'Draft Board'!$W$2:$W$161,A126,'Draft Board'!$AD$2:$AD$161,"&lt;&gt;")</f>
        <v>0</v>
      </c>
      <c r="C126">
        <f>SUMIFS('Draft Board'!$AC$2:$AC$161,'Draft Board'!$W$2:$W$161,A126,'Draft Board'!$AD$2:$AD$161,"&lt;&gt;")</f>
        <v>0</v>
      </c>
      <c r="D126">
        <f>COUNTIFS('Draft Board'!$W$2:$W$161,A126,'Draft Board'!$AD$2:$AD$161,"&lt;&gt;")</f>
        <v>0</v>
      </c>
      <c r="E126">
        <f>IFERROR(AVERAGEIFS('Draft Board'!$AC$2:$AC$161,'Draft Board'!$W$2:$W$161,A126),0)</f>
        <v>0</v>
      </c>
      <c r="F126">
        <f>MIN(1,E126/(Setup!$B$3*0.1))</f>
        <v>0</v>
      </c>
      <c r="G126">
        <f t="shared" si="3"/>
        <v>1</v>
      </c>
    </row>
    <row r="127" spans="1:7" x14ac:dyDescent="0.25">
      <c r="A127">
        <v>32</v>
      </c>
      <c r="B127">
        <f>SUMIFS('Draft Board'!$AD$2:$AD$161,'Draft Board'!$W$2:$W$161,A127,'Draft Board'!$AD$2:$AD$161,"&lt;&gt;")</f>
        <v>0</v>
      </c>
      <c r="C127">
        <f>SUMIFS('Draft Board'!$AC$2:$AC$161,'Draft Board'!$W$2:$W$161,A127,'Draft Board'!$AD$2:$AD$161,"&lt;&gt;")</f>
        <v>0</v>
      </c>
      <c r="D127">
        <f>COUNTIFS('Draft Board'!$W$2:$W$161,A127,'Draft Board'!$AD$2:$AD$161,"&lt;&gt;")</f>
        <v>0</v>
      </c>
      <c r="E127">
        <f>IFERROR(AVERAGEIFS('Draft Board'!$AC$2:$AC$161,'Draft Board'!$W$2:$W$161,A127),0)</f>
        <v>0</v>
      </c>
      <c r="F127">
        <f>MIN(1,E127/(Setup!$B$3*0.1))</f>
        <v>0</v>
      </c>
      <c r="G127">
        <f t="shared" si="3"/>
        <v>1</v>
      </c>
    </row>
    <row r="128" spans="1:7" x14ac:dyDescent="0.25">
      <c r="A128">
        <v>33</v>
      </c>
      <c r="B128">
        <f>SUMIFS('Draft Board'!$AD$2:$AD$161,'Draft Board'!$W$2:$W$161,A128,'Draft Board'!$AD$2:$AD$161,"&lt;&gt;")</f>
        <v>0</v>
      </c>
      <c r="C128">
        <f>SUMIFS('Draft Board'!$AC$2:$AC$161,'Draft Board'!$W$2:$W$161,A128,'Draft Board'!$AD$2:$AD$161,"&lt;&gt;")</f>
        <v>0</v>
      </c>
      <c r="D128">
        <f>COUNTIFS('Draft Board'!$W$2:$W$161,A128,'Draft Board'!$AD$2:$AD$161,"&lt;&gt;")</f>
        <v>0</v>
      </c>
      <c r="E128">
        <f>IFERROR(AVERAGEIFS('Draft Board'!$AC$2:$AC$161,'Draft Board'!$W$2:$W$161,A128),0)</f>
        <v>0</v>
      </c>
      <c r="F128">
        <f>MIN(1,E128/(Setup!$B$3*0.1))</f>
        <v>0</v>
      </c>
      <c r="G128">
        <f t="shared" ref="G128:G159" si="4">IF(D128&lt;2,1,MEDIAN(0.5,2,1+(IFERROR(B128/C128,1)-1)*F128))</f>
        <v>1</v>
      </c>
    </row>
    <row r="129" spans="1:7" x14ac:dyDescent="0.25">
      <c r="A129">
        <v>34</v>
      </c>
      <c r="B129">
        <f>SUMIFS('Draft Board'!$AD$2:$AD$161,'Draft Board'!$W$2:$W$161,A129,'Draft Board'!$AD$2:$AD$161,"&lt;&gt;")</f>
        <v>0</v>
      </c>
      <c r="C129">
        <f>SUMIFS('Draft Board'!$AC$2:$AC$161,'Draft Board'!$W$2:$W$161,A129,'Draft Board'!$AD$2:$AD$161,"&lt;&gt;")</f>
        <v>0</v>
      </c>
      <c r="D129">
        <f>COUNTIFS('Draft Board'!$W$2:$W$161,A129,'Draft Board'!$AD$2:$AD$161,"&lt;&gt;")</f>
        <v>0</v>
      </c>
      <c r="E129">
        <f>IFERROR(AVERAGEIFS('Draft Board'!$AC$2:$AC$161,'Draft Board'!$W$2:$W$161,A129),0)</f>
        <v>0</v>
      </c>
      <c r="F129">
        <f>MIN(1,E129/(Setup!$B$3*0.1))</f>
        <v>0</v>
      </c>
      <c r="G129">
        <f t="shared" si="4"/>
        <v>1</v>
      </c>
    </row>
    <row r="130" spans="1:7" x14ac:dyDescent="0.25">
      <c r="A130">
        <v>35</v>
      </c>
      <c r="B130">
        <f>SUMIFS('Draft Board'!$AD$2:$AD$161,'Draft Board'!$W$2:$W$161,A130,'Draft Board'!$AD$2:$AD$161,"&lt;&gt;")</f>
        <v>0</v>
      </c>
      <c r="C130">
        <f>SUMIFS('Draft Board'!$AC$2:$AC$161,'Draft Board'!$W$2:$W$161,A130,'Draft Board'!$AD$2:$AD$161,"&lt;&gt;")</f>
        <v>0</v>
      </c>
      <c r="D130">
        <f>COUNTIFS('Draft Board'!$W$2:$W$161,A130,'Draft Board'!$AD$2:$AD$161,"&lt;&gt;")</f>
        <v>0</v>
      </c>
      <c r="E130">
        <f>IFERROR(AVERAGEIFS('Draft Board'!$AC$2:$AC$161,'Draft Board'!$W$2:$W$161,A130),0)</f>
        <v>0</v>
      </c>
      <c r="F130">
        <f>MIN(1,E130/(Setup!$B$3*0.1))</f>
        <v>0</v>
      </c>
      <c r="G130">
        <f t="shared" si="4"/>
        <v>1</v>
      </c>
    </row>
    <row r="131" spans="1:7" x14ac:dyDescent="0.25">
      <c r="A131">
        <v>36</v>
      </c>
      <c r="B131">
        <f>SUMIFS('Draft Board'!$AD$2:$AD$161,'Draft Board'!$W$2:$W$161,A131,'Draft Board'!$AD$2:$AD$161,"&lt;&gt;")</f>
        <v>0</v>
      </c>
      <c r="C131">
        <f>SUMIFS('Draft Board'!$AC$2:$AC$161,'Draft Board'!$W$2:$W$161,A131,'Draft Board'!$AD$2:$AD$161,"&lt;&gt;")</f>
        <v>0</v>
      </c>
      <c r="D131">
        <f>COUNTIFS('Draft Board'!$W$2:$W$161,A131,'Draft Board'!$AD$2:$AD$161,"&lt;&gt;")</f>
        <v>0</v>
      </c>
      <c r="E131">
        <f>IFERROR(AVERAGEIFS('Draft Board'!$AC$2:$AC$161,'Draft Board'!$W$2:$W$161,A131),0)</f>
        <v>0</v>
      </c>
      <c r="F131">
        <f>MIN(1,E131/(Setup!$B$3*0.1))</f>
        <v>0</v>
      </c>
      <c r="G131">
        <f t="shared" si="4"/>
        <v>1</v>
      </c>
    </row>
    <row r="132" spans="1:7" x14ac:dyDescent="0.25">
      <c r="A132">
        <v>37</v>
      </c>
      <c r="B132">
        <f>SUMIFS('Draft Board'!$AD$2:$AD$161,'Draft Board'!$W$2:$W$161,A132,'Draft Board'!$AD$2:$AD$161,"&lt;&gt;")</f>
        <v>0</v>
      </c>
      <c r="C132">
        <f>SUMIFS('Draft Board'!$AC$2:$AC$161,'Draft Board'!$W$2:$W$161,A132,'Draft Board'!$AD$2:$AD$161,"&lt;&gt;")</f>
        <v>0</v>
      </c>
      <c r="D132">
        <f>COUNTIFS('Draft Board'!$W$2:$W$161,A132,'Draft Board'!$AD$2:$AD$161,"&lt;&gt;")</f>
        <v>0</v>
      </c>
      <c r="E132">
        <f>IFERROR(AVERAGEIFS('Draft Board'!$AC$2:$AC$161,'Draft Board'!$W$2:$W$161,A132),0)</f>
        <v>0</v>
      </c>
      <c r="F132">
        <f>MIN(1,E132/(Setup!$B$3*0.1))</f>
        <v>0</v>
      </c>
      <c r="G132">
        <f t="shared" si="4"/>
        <v>1</v>
      </c>
    </row>
    <row r="133" spans="1:7" x14ac:dyDescent="0.25">
      <c r="A133">
        <v>38</v>
      </c>
      <c r="B133">
        <f>SUMIFS('Draft Board'!$AD$2:$AD$161,'Draft Board'!$W$2:$W$161,A133,'Draft Board'!$AD$2:$AD$161,"&lt;&gt;")</f>
        <v>0</v>
      </c>
      <c r="C133">
        <f>SUMIFS('Draft Board'!$AC$2:$AC$161,'Draft Board'!$W$2:$W$161,A133,'Draft Board'!$AD$2:$AD$161,"&lt;&gt;")</f>
        <v>0</v>
      </c>
      <c r="D133">
        <f>COUNTIFS('Draft Board'!$W$2:$W$161,A133,'Draft Board'!$AD$2:$AD$161,"&lt;&gt;")</f>
        <v>0</v>
      </c>
      <c r="E133">
        <f>IFERROR(AVERAGEIFS('Draft Board'!$AC$2:$AC$161,'Draft Board'!$W$2:$W$161,A133),0)</f>
        <v>0</v>
      </c>
      <c r="F133">
        <f>MIN(1,E133/(Setup!$B$3*0.1))</f>
        <v>0</v>
      </c>
      <c r="G133">
        <f t="shared" si="4"/>
        <v>1</v>
      </c>
    </row>
    <row r="134" spans="1:7" x14ac:dyDescent="0.25">
      <c r="A134">
        <v>39</v>
      </c>
      <c r="B134">
        <f>SUMIFS('Draft Board'!$AD$2:$AD$161,'Draft Board'!$W$2:$W$161,A134,'Draft Board'!$AD$2:$AD$161,"&lt;&gt;")</f>
        <v>0</v>
      </c>
      <c r="C134">
        <f>SUMIFS('Draft Board'!$AC$2:$AC$161,'Draft Board'!$W$2:$W$161,A134,'Draft Board'!$AD$2:$AD$161,"&lt;&gt;")</f>
        <v>0</v>
      </c>
      <c r="D134">
        <f>COUNTIFS('Draft Board'!$W$2:$W$161,A134,'Draft Board'!$AD$2:$AD$161,"&lt;&gt;")</f>
        <v>0</v>
      </c>
      <c r="E134">
        <f>IFERROR(AVERAGEIFS('Draft Board'!$AC$2:$AC$161,'Draft Board'!$W$2:$W$161,A134),0)</f>
        <v>0</v>
      </c>
      <c r="F134">
        <f>MIN(1,E134/(Setup!$B$3*0.1))</f>
        <v>0</v>
      </c>
      <c r="G134">
        <f t="shared" si="4"/>
        <v>1</v>
      </c>
    </row>
    <row r="135" spans="1:7" x14ac:dyDescent="0.25">
      <c r="A135">
        <v>40</v>
      </c>
      <c r="B135">
        <f>SUMIFS('Draft Board'!$AD$2:$AD$161,'Draft Board'!$W$2:$W$161,A135,'Draft Board'!$AD$2:$AD$161,"&lt;&gt;")</f>
        <v>0</v>
      </c>
      <c r="C135">
        <f>SUMIFS('Draft Board'!$AC$2:$AC$161,'Draft Board'!$W$2:$W$161,A135,'Draft Board'!$AD$2:$AD$161,"&lt;&gt;")</f>
        <v>0</v>
      </c>
      <c r="D135">
        <f>COUNTIFS('Draft Board'!$W$2:$W$161,A135,'Draft Board'!$AD$2:$AD$161,"&lt;&gt;")</f>
        <v>0</v>
      </c>
      <c r="E135">
        <f>IFERROR(AVERAGEIFS('Draft Board'!$AC$2:$AC$161,'Draft Board'!$W$2:$W$161,A135),0)</f>
        <v>0</v>
      </c>
      <c r="F135">
        <f>MIN(1,E135/(Setup!$B$3*0.1))</f>
        <v>0</v>
      </c>
      <c r="G135">
        <f t="shared" si="4"/>
        <v>1</v>
      </c>
    </row>
    <row r="136" spans="1:7" x14ac:dyDescent="0.25">
      <c r="A136">
        <v>41</v>
      </c>
      <c r="B136">
        <f>SUMIFS('Draft Board'!$AD$2:$AD$161,'Draft Board'!$W$2:$W$161,A136,'Draft Board'!$AD$2:$AD$161,"&lt;&gt;")</f>
        <v>0</v>
      </c>
      <c r="C136">
        <f>SUMIFS('Draft Board'!$AC$2:$AC$161,'Draft Board'!$W$2:$W$161,A136,'Draft Board'!$AD$2:$AD$161,"&lt;&gt;")</f>
        <v>0</v>
      </c>
      <c r="D136">
        <f>COUNTIFS('Draft Board'!$W$2:$W$161,A136,'Draft Board'!$AD$2:$AD$161,"&lt;&gt;")</f>
        <v>0</v>
      </c>
      <c r="E136">
        <f>IFERROR(AVERAGEIFS('Draft Board'!$AC$2:$AC$161,'Draft Board'!$W$2:$W$161,A136),0)</f>
        <v>0</v>
      </c>
      <c r="F136">
        <f>MIN(1,E136/(Setup!$B$3*0.1))</f>
        <v>0</v>
      </c>
      <c r="G136">
        <f t="shared" si="4"/>
        <v>1</v>
      </c>
    </row>
    <row r="137" spans="1:7" x14ac:dyDescent="0.25">
      <c r="A137">
        <v>42</v>
      </c>
      <c r="B137">
        <f>SUMIFS('Draft Board'!$AD$2:$AD$161,'Draft Board'!$W$2:$W$161,A137,'Draft Board'!$AD$2:$AD$161,"&lt;&gt;")</f>
        <v>0</v>
      </c>
      <c r="C137">
        <f>SUMIFS('Draft Board'!$AC$2:$AC$161,'Draft Board'!$W$2:$W$161,A137,'Draft Board'!$AD$2:$AD$161,"&lt;&gt;")</f>
        <v>0</v>
      </c>
      <c r="D137">
        <f>COUNTIFS('Draft Board'!$W$2:$W$161,A137,'Draft Board'!$AD$2:$AD$161,"&lt;&gt;")</f>
        <v>0</v>
      </c>
      <c r="E137">
        <f>IFERROR(AVERAGEIFS('Draft Board'!$AC$2:$AC$161,'Draft Board'!$W$2:$W$161,A137),0)</f>
        <v>0</v>
      </c>
      <c r="F137">
        <f>MIN(1,E137/(Setup!$B$3*0.1))</f>
        <v>0</v>
      </c>
      <c r="G137">
        <f t="shared" si="4"/>
        <v>1</v>
      </c>
    </row>
    <row r="138" spans="1:7" x14ac:dyDescent="0.25">
      <c r="A138">
        <v>43</v>
      </c>
      <c r="B138">
        <f>SUMIFS('Draft Board'!$AD$2:$AD$161,'Draft Board'!$W$2:$W$161,A138,'Draft Board'!$AD$2:$AD$161,"&lt;&gt;")</f>
        <v>0</v>
      </c>
      <c r="C138">
        <f>SUMIFS('Draft Board'!$AC$2:$AC$161,'Draft Board'!$W$2:$W$161,A138,'Draft Board'!$AD$2:$AD$161,"&lt;&gt;")</f>
        <v>0</v>
      </c>
      <c r="D138">
        <f>COUNTIFS('Draft Board'!$W$2:$W$161,A138,'Draft Board'!$AD$2:$AD$161,"&lt;&gt;")</f>
        <v>0</v>
      </c>
      <c r="E138">
        <f>IFERROR(AVERAGEIFS('Draft Board'!$AC$2:$AC$161,'Draft Board'!$W$2:$W$161,A138),0)</f>
        <v>0</v>
      </c>
      <c r="F138">
        <f>MIN(1,E138/(Setup!$B$3*0.1))</f>
        <v>0</v>
      </c>
      <c r="G138">
        <f t="shared" si="4"/>
        <v>1</v>
      </c>
    </row>
    <row r="139" spans="1:7" x14ac:dyDescent="0.25">
      <c r="A139">
        <v>44</v>
      </c>
      <c r="B139">
        <f>SUMIFS('Draft Board'!$AD$2:$AD$161,'Draft Board'!$W$2:$W$161,A139,'Draft Board'!$AD$2:$AD$161,"&lt;&gt;")</f>
        <v>0</v>
      </c>
      <c r="C139">
        <f>SUMIFS('Draft Board'!$AC$2:$AC$161,'Draft Board'!$W$2:$W$161,A139,'Draft Board'!$AD$2:$AD$161,"&lt;&gt;")</f>
        <v>0</v>
      </c>
      <c r="D139">
        <f>COUNTIFS('Draft Board'!$W$2:$W$161,A139,'Draft Board'!$AD$2:$AD$161,"&lt;&gt;")</f>
        <v>0</v>
      </c>
      <c r="E139">
        <f>IFERROR(AVERAGEIFS('Draft Board'!$AC$2:$AC$161,'Draft Board'!$W$2:$W$161,A139),0)</f>
        <v>0</v>
      </c>
      <c r="F139">
        <f>MIN(1,E139/(Setup!$B$3*0.1))</f>
        <v>0</v>
      </c>
      <c r="G139">
        <f t="shared" si="4"/>
        <v>1</v>
      </c>
    </row>
    <row r="140" spans="1:7" x14ac:dyDescent="0.25">
      <c r="A140">
        <v>45</v>
      </c>
      <c r="B140">
        <f>SUMIFS('Draft Board'!$AD$2:$AD$161,'Draft Board'!$W$2:$W$161,A140,'Draft Board'!$AD$2:$AD$161,"&lt;&gt;")</f>
        <v>0</v>
      </c>
      <c r="C140">
        <f>SUMIFS('Draft Board'!$AC$2:$AC$161,'Draft Board'!$W$2:$W$161,A140,'Draft Board'!$AD$2:$AD$161,"&lt;&gt;")</f>
        <v>0</v>
      </c>
      <c r="D140">
        <f>COUNTIFS('Draft Board'!$W$2:$W$161,A140,'Draft Board'!$AD$2:$AD$161,"&lt;&gt;")</f>
        <v>0</v>
      </c>
      <c r="E140">
        <f>IFERROR(AVERAGEIFS('Draft Board'!$AC$2:$AC$161,'Draft Board'!$W$2:$W$161,A140),0)</f>
        <v>0</v>
      </c>
      <c r="F140">
        <f>MIN(1,E140/(Setup!$B$3*0.1))</f>
        <v>0</v>
      </c>
      <c r="G140">
        <f t="shared" si="4"/>
        <v>1</v>
      </c>
    </row>
    <row r="141" spans="1:7" x14ac:dyDescent="0.25">
      <c r="A141">
        <v>46</v>
      </c>
      <c r="B141">
        <f>SUMIFS('Draft Board'!$AD$2:$AD$161,'Draft Board'!$W$2:$W$161,A141,'Draft Board'!$AD$2:$AD$161,"&lt;&gt;")</f>
        <v>0</v>
      </c>
      <c r="C141">
        <f>SUMIFS('Draft Board'!$AC$2:$AC$161,'Draft Board'!$W$2:$W$161,A141,'Draft Board'!$AD$2:$AD$161,"&lt;&gt;")</f>
        <v>0</v>
      </c>
      <c r="D141">
        <f>COUNTIFS('Draft Board'!$W$2:$W$161,A141,'Draft Board'!$AD$2:$AD$161,"&lt;&gt;")</f>
        <v>0</v>
      </c>
      <c r="E141">
        <f>IFERROR(AVERAGEIFS('Draft Board'!$AC$2:$AC$161,'Draft Board'!$W$2:$W$161,A141),0)</f>
        <v>0</v>
      </c>
      <c r="F141">
        <f>MIN(1,E141/(Setup!$B$3*0.1))</f>
        <v>0</v>
      </c>
      <c r="G141">
        <f t="shared" si="4"/>
        <v>1</v>
      </c>
    </row>
    <row r="142" spans="1:7" x14ac:dyDescent="0.25">
      <c r="A142">
        <v>47</v>
      </c>
      <c r="B142">
        <f>SUMIFS('Draft Board'!$AD$2:$AD$161,'Draft Board'!$W$2:$W$161,A142,'Draft Board'!$AD$2:$AD$161,"&lt;&gt;")</f>
        <v>0</v>
      </c>
      <c r="C142">
        <f>SUMIFS('Draft Board'!$AC$2:$AC$161,'Draft Board'!$W$2:$W$161,A142,'Draft Board'!$AD$2:$AD$161,"&lt;&gt;")</f>
        <v>0</v>
      </c>
      <c r="D142">
        <f>COUNTIFS('Draft Board'!$W$2:$W$161,A142,'Draft Board'!$AD$2:$AD$161,"&lt;&gt;")</f>
        <v>0</v>
      </c>
      <c r="E142">
        <f>IFERROR(AVERAGEIFS('Draft Board'!$AC$2:$AC$161,'Draft Board'!$W$2:$W$161,A142),0)</f>
        <v>0</v>
      </c>
      <c r="F142">
        <f>MIN(1,E142/(Setup!$B$3*0.1))</f>
        <v>0</v>
      </c>
      <c r="G142">
        <f t="shared" si="4"/>
        <v>1</v>
      </c>
    </row>
    <row r="143" spans="1:7" x14ac:dyDescent="0.25">
      <c r="A143">
        <v>48</v>
      </c>
      <c r="B143">
        <f>SUMIFS('Draft Board'!$AD$2:$AD$161,'Draft Board'!$W$2:$W$161,A143,'Draft Board'!$AD$2:$AD$161,"&lt;&gt;")</f>
        <v>0</v>
      </c>
      <c r="C143">
        <f>SUMIFS('Draft Board'!$AC$2:$AC$161,'Draft Board'!$W$2:$W$161,A143,'Draft Board'!$AD$2:$AD$161,"&lt;&gt;")</f>
        <v>0</v>
      </c>
      <c r="D143">
        <f>COUNTIFS('Draft Board'!$W$2:$W$161,A143,'Draft Board'!$AD$2:$AD$161,"&lt;&gt;")</f>
        <v>0</v>
      </c>
      <c r="E143">
        <f>IFERROR(AVERAGEIFS('Draft Board'!$AC$2:$AC$161,'Draft Board'!$W$2:$W$161,A143),0)</f>
        <v>0</v>
      </c>
      <c r="F143">
        <f>MIN(1,E143/(Setup!$B$3*0.1))</f>
        <v>0</v>
      </c>
      <c r="G143">
        <f t="shared" si="4"/>
        <v>1</v>
      </c>
    </row>
    <row r="144" spans="1:7" x14ac:dyDescent="0.25">
      <c r="A144">
        <v>49</v>
      </c>
      <c r="B144">
        <f>SUMIFS('Draft Board'!$AD$2:$AD$161,'Draft Board'!$W$2:$W$161,A144,'Draft Board'!$AD$2:$AD$161,"&lt;&gt;")</f>
        <v>0</v>
      </c>
      <c r="C144">
        <f>SUMIFS('Draft Board'!$AC$2:$AC$161,'Draft Board'!$W$2:$W$161,A144,'Draft Board'!$AD$2:$AD$161,"&lt;&gt;")</f>
        <v>0</v>
      </c>
      <c r="D144">
        <f>COUNTIFS('Draft Board'!$W$2:$W$161,A144,'Draft Board'!$AD$2:$AD$161,"&lt;&gt;")</f>
        <v>0</v>
      </c>
      <c r="E144">
        <f>IFERROR(AVERAGEIFS('Draft Board'!$AC$2:$AC$161,'Draft Board'!$W$2:$W$161,A144),0)</f>
        <v>0</v>
      </c>
      <c r="F144">
        <f>MIN(1,E144/(Setup!$B$3*0.1))</f>
        <v>0</v>
      </c>
      <c r="G144">
        <f t="shared" si="4"/>
        <v>1</v>
      </c>
    </row>
    <row r="145" spans="1:7" x14ac:dyDescent="0.25">
      <c r="A145">
        <v>50</v>
      </c>
      <c r="B145">
        <f>SUMIFS('Draft Board'!$AD$2:$AD$161,'Draft Board'!$W$2:$W$161,A145,'Draft Board'!$AD$2:$AD$161,"&lt;&gt;")</f>
        <v>0</v>
      </c>
      <c r="C145">
        <f>SUMIFS('Draft Board'!$AC$2:$AC$161,'Draft Board'!$W$2:$W$161,A145,'Draft Board'!$AD$2:$AD$161,"&lt;&gt;")</f>
        <v>0</v>
      </c>
      <c r="D145">
        <f>COUNTIFS('Draft Board'!$W$2:$W$161,A145,'Draft Board'!$AD$2:$AD$161,"&lt;&gt;")</f>
        <v>0</v>
      </c>
      <c r="E145">
        <f>IFERROR(AVERAGEIFS('Draft Board'!$AC$2:$AC$161,'Draft Board'!$W$2:$W$161,A145),0)</f>
        <v>0</v>
      </c>
      <c r="F145">
        <f>MIN(1,E145/(Setup!$B$3*0.1))</f>
        <v>0</v>
      </c>
      <c r="G145">
        <f t="shared" si="4"/>
        <v>1</v>
      </c>
    </row>
    <row r="146" spans="1:7" x14ac:dyDescent="0.25">
      <c r="A146">
        <v>51</v>
      </c>
      <c r="B146">
        <f>SUMIFS('Draft Board'!$AD$2:$AD$161,'Draft Board'!$W$2:$W$161,A146,'Draft Board'!$AD$2:$AD$161,"&lt;&gt;")</f>
        <v>0</v>
      </c>
      <c r="C146">
        <f>SUMIFS('Draft Board'!$AC$2:$AC$161,'Draft Board'!$W$2:$W$161,A146,'Draft Board'!$AD$2:$AD$161,"&lt;&gt;")</f>
        <v>0</v>
      </c>
      <c r="D146">
        <f>COUNTIFS('Draft Board'!$W$2:$W$161,A146,'Draft Board'!$AD$2:$AD$161,"&lt;&gt;")</f>
        <v>0</v>
      </c>
      <c r="E146">
        <f>IFERROR(AVERAGEIFS('Draft Board'!$AC$2:$AC$161,'Draft Board'!$W$2:$W$161,A146),0)</f>
        <v>0</v>
      </c>
      <c r="F146">
        <f>MIN(1,E146/(Setup!$B$3*0.1))</f>
        <v>0</v>
      </c>
      <c r="G146">
        <f t="shared" si="4"/>
        <v>1</v>
      </c>
    </row>
    <row r="147" spans="1:7" x14ac:dyDescent="0.25">
      <c r="A147">
        <v>52</v>
      </c>
      <c r="B147">
        <f>SUMIFS('Draft Board'!$AD$2:$AD$161,'Draft Board'!$W$2:$W$161,A147,'Draft Board'!$AD$2:$AD$161,"&lt;&gt;")</f>
        <v>0</v>
      </c>
      <c r="C147">
        <f>SUMIFS('Draft Board'!$AC$2:$AC$161,'Draft Board'!$W$2:$W$161,A147,'Draft Board'!$AD$2:$AD$161,"&lt;&gt;")</f>
        <v>0</v>
      </c>
      <c r="D147">
        <f>COUNTIFS('Draft Board'!$W$2:$W$161,A147,'Draft Board'!$AD$2:$AD$161,"&lt;&gt;")</f>
        <v>0</v>
      </c>
      <c r="E147">
        <f>IFERROR(AVERAGEIFS('Draft Board'!$AC$2:$AC$161,'Draft Board'!$W$2:$W$161,A147),0)</f>
        <v>0</v>
      </c>
      <c r="F147">
        <f>MIN(1,E147/(Setup!$B$3*0.1))</f>
        <v>0</v>
      </c>
      <c r="G147">
        <f t="shared" si="4"/>
        <v>1</v>
      </c>
    </row>
    <row r="148" spans="1:7" x14ac:dyDescent="0.25">
      <c r="A148">
        <v>53</v>
      </c>
      <c r="B148">
        <f>SUMIFS('Draft Board'!$AD$2:$AD$161,'Draft Board'!$W$2:$W$161,A148,'Draft Board'!$AD$2:$AD$161,"&lt;&gt;")</f>
        <v>0</v>
      </c>
      <c r="C148">
        <f>SUMIFS('Draft Board'!$AC$2:$AC$161,'Draft Board'!$W$2:$W$161,A148,'Draft Board'!$AD$2:$AD$161,"&lt;&gt;")</f>
        <v>0</v>
      </c>
      <c r="D148">
        <f>COUNTIFS('Draft Board'!$W$2:$W$161,A148,'Draft Board'!$AD$2:$AD$161,"&lt;&gt;")</f>
        <v>0</v>
      </c>
      <c r="E148">
        <f>IFERROR(AVERAGEIFS('Draft Board'!$AC$2:$AC$161,'Draft Board'!$W$2:$W$161,A148),0)</f>
        <v>0</v>
      </c>
      <c r="F148">
        <f>MIN(1,E148/(Setup!$B$3*0.1))</f>
        <v>0</v>
      </c>
      <c r="G148">
        <f t="shared" si="4"/>
        <v>1</v>
      </c>
    </row>
    <row r="149" spans="1:7" x14ac:dyDescent="0.25">
      <c r="A149">
        <v>54</v>
      </c>
      <c r="B149">
        <f>SUMIFS('Draft Board'!$AD$2:$AD$161,'Draft Board'!$W$2:$W$161,A149,'Draft Board'!$AD$2:$AD$161,"&lt;&gt;")</f>
        <v>0</v>
      </c>
      <c r="C149">
        <f>SUMIFS('Draft Board'!$AC$2:$AC$161,'Draft Board'!$W$2:$W$161,A149,'Draft Board'!$AD$2:$AD$161,"&lt;&gt;")</f>
        <v>0</v>
      </c>
      <c r="D149">
        <f>COUNTIFS('Draft Board'!$W$2:$W$161,A149,'Draft Board'!$AD$2:$AD$161,"&lt;&gt;")</f>
        <v>0</v>
      </c>
      <c r="E149">
        <f>IFERROR(AVERAGEIFS('Draft Board'!$AC$2:$AC$161,'Draft Board'!$W$2:$W$161,A149),0)</f>
        <v>0</v>
      </c>
      <c r="F149">
        <f>MIN(1,E149/(Setup!$B$3*0.1))</f>
        <v>0</v>
      </c>
      <c r="G149">
        <f t="shared" si="4"/>
        <v>1</v>
      </c>
    </row>
    <row r="150" spans="1:7" x14ac:dyDescent="0.25">
      <c r="A150">
        <v>55</v>
      </c>
      <c r="B150">
        <f>SUMIFS('Draft Board'!$AD$2:$AD$161,'Draft Board'!$W$2:$W$161,A150,'Draft Board'!$AD$2:$AD$161,"&lt;&gt;")</f>
        <v>0</v>
      </c>
      <c r="C150">
        <f>SUMIFS('Draft Board'!$AC$2:$AC$161,'Draft Board'!$W$2:$W$161,A150,'Draft Board'!$AD$2:$AD$161,"&lt;&gt;")</f>
        <v>0</v>
      </c>
      <c r="D150">
        <f>COUNTIFS('Draft Board'!$W$2:$W$161,A150,'Draft Board'!$AD$2:$AD$161,"&lt;&gt;")</f>
        <v>0</v>
      </c>
      <c r="E150">
        <f>IFERROR(AVERAGEIFS('Draft Board'!$AC$2:$AC$161,'Draft Board'!$W$2:$W$161,A150),0)</f>
        <v>0</v>
      </c>
      <c r="F150">
        <f>MIN(1,E150/(Setup!$B$3*0.1))</f>
        <v>0</v>
      </c>
      <c r="G150">
        <f t="shared" si="4"/>
        <v>1</v>
      </c>
    </row>
    <row r="151" spans="1:7" x14ac:dyDescent="0.25">
      <c r="A151">
        <v>56</v>
      </c>
      <c r="B151">
        <f>SUMIFS('Draft Board'!$AD$2:$AD$161,'Draft Board'!$W$2:$W$161,A151,'Draft Board'!$AD$2:$AD$161,"&lt;&gt;")</f>
        <v>0</v>
      </c>
      <c r="C151">
        <f>SUMIFS('Draft Board'!$AC$2:$AC$161,'Draft Board'!$W$2:$W$161,A151,'Draft Board'!$AD$2:$AD$161,"&lt;&gt;")</f>
        <v>0</v>
      </c>
      <c r="D151">
        <f>COUNTIFS('Draft Board'!$W$2:$W$161,A151,'Draft Board'!$AD$2:$AD$161,"&lt;&gt;")</f>
        <v>0</v>
      </c>
      <c r="E151">
        <f>IFERROR(AVERAGEIFS('Draft Board'!$AC$2:$AC$161,'Draft Board'!$W$2:$W$161,A151),0)</f>
        <v>0</v>
      </c>
      <c r="F151">
        <f>MIN(1,E151/(Setup!$B$3*0.1))</f>
        <v>0</v>
      </c>
      <c r="G151">
        <f t="shared" si="4"/>
        <v>1</v>
      </c>
    </row>
    <row r="152" spans="1:7" x14ac:dyDescent="0.25">
      <c r="A152">
        <v>57</v>
      </c>
      <c r="B152">
        <f>SUMIFS('Draft Board'!$AD$2:$AD$161,'Draft Board'!$W$2:$W$161,A152,'Draft Board'!$AD$2:$AD$161,"&lt;&gt;")</f>
        <v>0</v>
      </c>
      <c r="C152">
        <f>SUMIFS('Draft Board'!$AC$2:$AC$161,'Draft Board'!$W$2:$W$161,A152,'Draft Board'!$AD$2:$AD$161,"&lt;&gt;")</f>
        <v>0</v>
      </c>
      <c r="D152">
        <f>COUNTIFS('Draft Board'!$W$2:$W$161,A152,'Draft Board'!$AD$2:$AD$161,"&lt;&gt;")</f>
        <v>0</v>
      </c>
      <c r="E152">
        <f>IFERROR(AVERAGEIFS('Draft Board'!$AC$2:$AC$161,'Draft Board'!$W$2:$W$161,A152),0)</f>
        <v>0</v>
      </c>
      <c r="F152">
        <f>MIN(1,E152/(Setup!$B$3*0.1))</f>
        <v>0</v>
      </c>
      <c r="G152">
        <f t="shared" si="4"/>
        <v>1</v>
      </c>
    </row>
    <row r="153" spans="1:7" x14ac:dyDescent="0.25">
      <c r="A153">
        <v>58</v>
      </c>
      <c r="B153">
        <f>SUMIFS('Draft Board'!$AD$2:$AD$161,'Draft Board'!$W$2:$W$161,A153,'Draft Board'!$AD$2:$AD$161,"&lt;&gt;")</f>
        <v>0</v>
      </c>
      <c r="C153">
        <f>SUMIFS('Draft Board'!$AC$2:$AC$161,'Draft Board'!$W$2:$W$161,A153,'Draft Board'!$AD$2:$AD$161,"&lt;&gt;")</f>
        <v>0</v>
      </c>
      <c r="D153">
        <f>COUNTIFS('Draft Board'!$W$2:$W$161,A153,'Draft Board'!$AD$2:$AD$161,"&lt;&gt;")</f>
        <v>0</v>
      </c>
      <c r="E153">
        <f>IFERROR(AVERAGEIFS('Draft Board'!$AC$2:$AC$161,'Draft Board'!$W$2:$W$161,A153),0)</f>
        <v>0</v>
      </c>
      <c r="F153">
        <f>MIN(1,E153/(Setup!$B$3*0.1))</f>
        <v>0</v>
      </c>
      <c r="G153">
        <f t="shared" si="4"/>
        <v>1</v>
      </c>
    </row>
    <row r="154" spans="1:7" x14ac:dyDescent="0.25">
      <c r="A154">
        <v>59</v>
      </c>
      <c r="B154">
        <f>SUMIFS('Draft Board'!$AD$2:$AD$161,'Draft Board'!$W$2:$W$161,A154,'Draft Board'!$AD$2:$AD$161,"&lt;&gt;")</f>
        <v>0</v>
      </c>
      <c r="C154">
        <f>SUMIFS('Draft Board'!$AC$2:$AC$161,'Draft Board'!$W$2:$W$161,A154,'Draft Board'!$AD$2:$AD$161,"&lt;&gt;")</f>
        <v>0</v>
      </c>
      <c r="D154">
        <f>COUNTIFS('Draft Board'!$W$2:$W$161,A154,'Draft Board'!$AD$2:$AD$161,"&lt;&gt;")</f>
        <v>0</v>
      </c>
      <c r="E154">
        <f>IFERROR(AVERAGEIFS('Draft Board'!$AC$2:$AC$161,'Draft Board'!$W$2:$W$161,A154),0)</f>
        <v>0</v>
      </c>
      <c r="F154">
        <f>MIN(1,E154/(Setup!$B$3*0.1))</f>
        <v>0</v>
      </c>
      <c r="G154">
        <f t="shared" si="4"/>
        <v>1</v>
      </c>
    </row>
    <row r="155" spans="1:7" x14ac:dyDescent="0.25">
      <c r="A155">
        <v>60</v>
      </c>
      <c r="B155">
        <f>SUMIFS('Draft Board'!$AD$2:$AD$161,'Draft Board'!$W$2:$W$161,A155,'Draft Board'!$AD$2:$AD$161,"&lt;&gt;")</f>
        <v>0</v>
      </c>
      <c r="C155">
        <f>SUMIFS('Draft Board'!$AC$2:$AC$161,'Draft Board'!$W$2:$W$161,A155,'Draft Board'!$AD$2:$AD$161,"&lt;&gt;")</f>
        <v>0</v>
      </c>
      <c r="D155">
        <f>COUNTIFS('Draft Board'!$W$2:$W$161,A155,'Draft Board'!$AD$2:$AD$161,"&lt;&gt;")</f>
        <v>0</v>
      </c>
      <c r="E155">
        <f>IFERROR(AVERAGEIFS('Draft Board'!$AC$2:$AC$161,'Draft Board'!$W$2:$W$161,A155),0)</f>
        <v>0</v>
      </c>
      <c r="F155">
        <f>MIN(1,E155/(Setup!$B$3*0.1))</f>
        <v>0</v>
      </c>
      <c r="G155">
        <f t="shared" si="4"/>
        <v>1</v>
      </c>
    </row>
    <row r="156" spans="1:7" x14ac:dyDescent="0.25">
      <c r="A156">
        <v>61</v>
      </c>
      <c r="B156">
        <f>SUMIFS('Draft Board'!$AD$2:$AD$161,'Draft Board'!$W$2:$W$161,A156,'Draft Board'!$AD$2:$AD$161,"&lt;&gt;")</f>
        <v>0</v>
      </c>
      <c r="C156">
        <f>SUMIFS('Draft Board'!$AC$2:$AC$161,'Draft Board'!$W$2:$W$161,A156,'Draft Board'!$AD$2:$AD$161,"&lt;&gt;")</f>
        <v>0</v>
      </c>
      <c r="D156">
        <f>COUNTIFS('Draft Board'!$W$2:$W$161,A156,'Draft Board'!$AD$2:$AD$161,"&lt;&gt;")</f>
        <v>0</v>
      </c>
      <c r="E156">
        <f>IFERROR(AVERAGEIFS('Draft Board'!$AC$2:$AC$161,'Draft Board'!$W$2:$W$161,A156),0)</f>
        <v>0</v>
      </c>
      <c r="F156">
        <f>MIN(1,E156/(Setup!$B$3*0.1))</f>
        <v>0</v>
      </c>
      <c r="G156">
        <f t="shared" si="4"/>
        <v>1</v>
      </c>
    </row>
    <row r="157" spans="1:7" x14ac:dyDescent="0.25">
      <c r="A157">
        <v>62</v>
      </c>
      <c r="B157">
        <f>SUMIFS('Draft Board'!$AD$2:$AD$161,'Draft Board'!$W$2:$W$161,A157,'Draft Board'!$AD$2:$AD$161,"&lt;&gt;")</f>
        <v>0</v>
      </c>
      <c r="C157">
        <f>SUMIFS('Draft Board'!$AC$2:$AC$161,'Draft Board'!$W$2:$W$161,A157,'Draft Board'!$AD$2:$AD$161,"&lt;&gt;")</f>
        <v>0</v>
      </c>
      <c r="D157">
        <f>COUNTIFS('Draft Board'!$W$2:$W$161,A157,'Draft Board'!$AD$2:$AD$161,"&lt;&gt;")</f>
        <v>0</v>
      </c>
      <c r="E157">
        <f>IFERROR(AVERAGEIFS('Draft Board'!$AC$2:$AC$161,'Draft Board'!$W$2:$W$161,A157),0)</f>
        <v>0</v>
      </c>
      <c r="F157">
        <f>MIN(1,E157/(Setup!$B$3*0.1))</f>
        <v>0</v>
      </c>
      <c r="G157">
        <f t="shared" si="4"/>
        <v>1</v>
      </c>
    </row>
    <row r="158" spans="1:7" x14ac:dyDescent="0.25">
      <c r="A158">
        <v>63</v>
      </c>
      <c r="B158">
        <f>SUMIFS('Draft Board'!$AD$2:$AD$161,'Draft Board'!$W$2:$W$161,A158,'Draft Board'!$AD$2:$AD$161,"&lt;&gt;")</f>
        <v>0</v>
      </c>
      <c r="C158">
        <f>SUMIFS('Draft Board'!$AC$2:$AC$161,'Draft Board'!$W$2:$W$161,A158,'Draft Board'!$AD$2:$AD$161,"&lt;&gt;")</f>
        <v>0</v>
      </c>
      <c r="D158">
        <f>COUNTIFS('Draft Board'!$W$2:$W$161,A158,'Draft Board'!$AD$2:$AD$161,"&lt;&gt;")</f>
        <v>0</v>
      </c>
      <c r="E158">
        <f>IFERROR(AVERAGEIFS('Draft Board'!$AC$2:$AC$161,'Draft Board'!$W$2:$W$161,A158),0)</f>
        <v>0</v>
      </c>
      <c r="F158">
        <f>MIN(1,E158/(Setup!$B$3*0.1))</f>
        <v>0</v>
      </c>
      <c r="G158">
        <f t="shared" si="4"/>
        <v>1</v>
      </c>
    </row>
    <row r="159" spans="1:7" x14ac:dyDescent="0.25">
      <c r="A159">
        <v>64</v>
      </c>
      <c r="B159">
        <f>SUMIFS('Draft Board'!$AD$2:$AD$161,'Draft Board'!$W$2:$W$161,A159,'Draft Board'!$AD$2:$AD$161,"&lt;&gt;")</f>
        <v>0</v>
      </c>
      <c r="C159">
        <f>SUMIFS('Draft Board'!$AC$2:$AC$161,'Draft Board'!$W$2:$W$161,A159,'Draft Board'!$AD$2:$AD$161,"&lt;&gt;")</f>
        <v>0</v>
      </c>
      <c r="D159">
        <f>COUNTIFS('Draft Board'!$W$2:$W$161,A159,'Draft Board'!$AD$2:$AD$161,"&lt;&gt;")</f>
        <v>0</v>
      </c>
      <c r="E159">
        <f>IFERROR(AVERAGEIFS('Draft Board'!$AC$2:$AC$161,'Draft Board'!$W$2:$W$161,A159),0)</f>
        <v>0</v>
      </c>
      <c r="F159">
        <f>MIN(1,E159/(Setup!$B$3*0.1))</f>
        <v>0</v>
      </c>
      <c r="G159">
        <f t="shared" si="4"/>
        <v>1</v>
      </c>
    </row>
    <row r="160" spans="1:7" x14ac:dyDescent="0.25">
      <c r="A160">
        <v>65</v>
      </c>
      <c r="B160">
        <f>SUMIFS('Draft Board'!$AD$2:$AD$161,'Draft Board'!$W$2:$W$161,A160,'Draft Board'!$AD$2:$AD$161,"&lt;&gt;")</f>
        <v>0</v>
      </c>
      <c r="C160">
        <f>SUMIFS('Draft Board'!$AC$2:$AC$161,'Draft Board'!$W$2:$W$161,A160,'Draft Board'!$AD$2:$AD$161,"&lt;&gt;")</f>
        <v>0</v>
      </c>
      <c r="D160">
        <f>COUNTIFS('Draft Board'!$W$2:$W$161,A160,'Draft Board'!$AD$2:$AD$161,"&lt;&gt;")</f>
        <v>0</v>
      </c>
      <c r="E160">
        <f>IFERROR(AVERAGEIFS('Draft Board'!$AC$2:$AC$161,'Draft Board'!$W$2:$W$161,A160),0)</f>
        <v>0</v>
      </c>
      <c r="F160">
        <f>MIN(1,E160/(Setup!$B$3*0.1))</f>
        <v>0</v>
      </c>
      <c r="G160">
        <f t="shared" ref="G160:G191" si="5">IF(D160&lt;2,1,MEDIAN(0.5,2,1+(IFERROR(B160/C160,1)-1)*F160))</f>
        <v>1</v>
      </c>
    </row>
    <row r="161" spans="1:7" x14ac:dyDescent="0.25">
      <c r="A161">
        <v>66</v>
      </c>
      <c r="B161">
        <f>SUMIFS('Draft Board'!$AD$2:$AD$161,'Draft Board'!$W$2:$W$161,A161,'Draft Board'!$AD$2:$AD$161,"&lt;&gt;")</f>
        <v>0</v>
      </c>
      <c r="C161">
        <f>SUMIFS('Draft Board'!$AC$2:$AC$161,'Draft Board'!$W$2:$W$161,A161,'Draft Board'!$AD$2:$AD$161,"&lt;&gt;")</f>
        <v>0</v>
      </c>
      <c r="D161">
        <f>COUNTIFS('Draft Board'!$W$2:$W$161,A161,'Draft Board'!$AD$2:$AD$161,"&lt;&gt;")</f>
        <v>0</v>
      </c>
      <c r="E161">
        <f>IFERROR(AVERAGEIFS('Draft Board'!$AC$2:$AC$161,'Draft Board'!$W$2:$W$161,A161),0)</f>
        <v>0</v>
      </c>
      <c r="F161">
        <f>MIN(1,E161/(Setup!$B$3*0.1))</f>
        <v>0</v>
      </c>
      <c r="G161">
        <f t="shared" si="5"/>
        <v>1</v>
      </c>
    </row>
    <row r="162" spans="1:7" x14ac:dyDescent="0.25">
      <c r="A162">
        <v>67</v>
      </c>
      <c r="B162">
        <f>SUMIFS('Draft Board'!$AD$2:$AD$161,'Draft Board'!$W$2:$W$161,A162,'Draft Board'!$AD$2:$AD$161,"&lt;&gt;")</f>
        <v>0</v>
      </c>
      <c r="C162">
        <f>SUMIFS('Draft Board'!$AC$2:$AC$161,'Draft Board'!$W$2:$W$161,A162,'Draft Board'!$AD$2:$AD$161,"&lt;&gt;")</f>
        <v>0</v>
      </c>
      <c r="D162">
        <f>COUNTIFS('Draft Board'!$W$2:$W$161,A162,'Draft Board'!$AD$2:$AD$161,"&lt;&gt;")</f>
        <v>0</v>
      </c>
      <c r="E162">
        <f>IFERROR(AVERAGEIFS('Draft Board'!$AC$2:$AC$161,'Draft Board'!$W$2:$W$161,A162),0)</f>
        <v>0</v>
      </c>
      <c r="F162">
        <f>MIN(1,E162/(Setup!$B$3*0.1))</f>
        <v>0</v>
      </c>
      <c r="G162">
        <f t="shared" si="5"/>
        <v>1</v>
      </c>
    </row>
    <row r="163" spans="1:7" x14ac:dyDescent="0.25">
      <c r="A163">
        <v>68</v>
      </c>
      <c r="B163">
        <f>SUMIFS('Draft Board'!$AD$2:$AD$161,'Draft Board'!$W$2:$W$161,A163,'Draft Board'!$AD$2:$AD$161,"&lt;&gt;")</f>
        <v>0</v>
      </c>
      <c r="C163">
        <f>SUMIFS('Draft Board'!$AC$2:$AC$161,'Draft Board'!$W$2:$W$161,A163,'Draft Board'!$AD$2:$AD$161,"&lt;&gt;")</f>
        <v>0</v>
      </c>
      <c r="D163">
        <f>COUNTIFS('Draft Board'!$W$2:$W$161,A163,'Draft Board'!$AD$2:$AD$161,"&lt;&gt;")</f>
        <v>0</v>
      </c>
      <c r="E163">
        <f>IFERROR(AVERAGEIFS('Draft Board'!$AC$2:$AC$161,'Draft Board'!$W$2:$W$161,A163),0)</f>
        <v>0</v>
      </c>
      <c r="F163">
        <f>MIN(1,E163/(Setup!$B$3*0.1))</f>
        <v>0</v>
      </c>
      <c r="G163">
        <f t="shared" si="5"/>
        <v>1</v>
      </c>
    </row>
    <row r="164" spans="1:7" x14ac:dyDescent="0.25">
      <c r="A164">
        <v>69</v>
      </c>
      <c r="B164">
        <f>SUMIFS('Draft Board'!$AD$2:$AD$161,'Draft Board'!$W$2:$W$161,A164,'Draft Board'!$AD$2:$AD$161,"&lt;&gt;")</f>
        <v>0</v>
      </c>
      <c r="C164">
        <f>SUMIFS('Draft Board'!$AC$2:$AC$161,'Draft Board'!$W$2:$W$161,A164,'Draft Board'!$AD$2:$AD$161,"&lt;&gt;")</f>
        <v>0</v>
      </c>
      <c r="D164">
        <f>COUNTIFS('Draft Board'!$W$2:$W$161,A164,'Draft Board'!$AD$2:$AD$161,"&lt;&gt;")</f>
        <v>0</v>
      </c>
      <c r="E164">
        <f>IFERROR(AVERAGEIFS('Draft Board'!$AC$2:$AC$161,'Draft Board'!$W$2:$W$161,A164),0)</f>
        <v>0</v>
      </c>
      <c r="F164">
        <f>MIN(1,E164/(Setup!$B$3*0.1))</f>
        <v>0</v>
      </c>
      <c r="G164">
        <f t="shared" si="5"/>
        <v>1</v>
      </c>
    </row>
    <row r="165" spans="1:7" x14ac:dyDescent="0.25">
      <c r="A165">
        <v>70</v>
      </c>
      <c r="B165">
        <f>SUMIFS('Draft Board'!$AD$2:$AD$161,'Draft Board'!$W$2:$W$161,A165,'Draft Board'!$AD$2:$AD$161,"&lt;&gt;")</f>
        <v>0</v>
      </c>
      <c r="C165">
        <f>SUMIFS('Draft Board'!$AC$2:$AC$161,'Draft Board'!$W$2:$W$161,A165,'Draft Board'!$AD$2:$AD$161,"&lt;&gt;")</f>
        <v>0</v>
      </c>
      <c r="D165">
        <f>COUNTIFS('Draft Board'!$W$2:$W$161,A165,'Draft Board'!$AD$2:$AD$161,"&lt;&gt;")</f>
        <v>0</v>
      </c>
      <c r="E165">
        <f>IFERROR(AVERAGEIFS('Draft Board'!$AC$2:$AC$161,'Draft Board'!$W$2:$W$161,A165),0)</f>
        <v>0</v>
      </c>
      <c r="F165">
        <f>MIN(1,E165/(Setup!$B$3*0.1))</f>
        <v>0</v>
      </c>
      <c r="G165">
        <f t="shared" si="5"/>
        <v>1</v>
      </c>
    </row>
    <row r="166" spans="1:7" x14ac:dyDescent="0.25">
      <c r="A166">
        <v>71</v>
      </c>
      <c r="B166">
        <f>SUMIFS('Draft Board'!$AD$2:$AD$161,'Draft Board'!$W$2:$W$161,A166,'Draft Board'!$AD$2:$AD$161,"&lt;&gt;")</f>
        <v>0</v>
      </c>
      <c r="C166">
        <f>SUMIFS('Draft Board'!$AC$2:$AC$161,'Draft Board'!$W$2:$W$161,A166,'Draft Board'!$AD$2:$AD$161,"&lt;&gt;")</f>
        <v>0</v>
      </c>
      <c r="D166">
        <f>COUNTIFS('Draft Board'!$W$2:$W$161,A166,'Draft Board'!$AD$2:$AD$161,"&lt;&gt;")</f>
        <v>0</v>
      </c>
      <c r="E166">
        <f>IFERROR(AVERAGEIFS('Draft Board'!$AC$2:$AC$161,'Draft Board'!$W$2:$W$161,A166),0)</f>
        <v>0</v>
      </c>
      <c r="F166">
        <f>MIN(1,E166/(Setup!$B$3*0.1))</f>
        <v>0</v>
      </c>
      <c r="G166">
        <f t="shared" si="5"/>
        <v>1</v>
      </c>
    </row>
    <row r="167" spans="1:7" x14ac:dyDescent="0.25">
      <c r="A167">
        <v>72</v>
      </c>
      <c r="B167">
        <f>SUMIFS('Draft Board'!$AD$2:$AD$161,'Draft Board'!$W$2:$W$161,A167,'Draft Board'!$AD$2:$AD$161,"&lt;&gt;")</f>
        <v>0</v>
      </c>
      <c r="C167">
        <f>SUMIFS('Draft Board'!$AC$2:$AC$161,'Draft Board'!$W$2:$W$161,A167,'Draft Board'!$AD$2:$AD$161,"&lt;&gt;")</f>
        <v>0</v>
      </c>
      <c r="D167">
        <f>COUNTIFS('Draft Board'!$W$2:$W$161,A167,'Draft Board'!$AD$2:$AD$161,"&lt;&gt;")</f>
        <v>0</v>
      </c>
      <c r="E167">
        <f>IFERROR(AVERAGEIFS('Draft Board'!$AC$2:$AC$161,'Draft Board'!$W$2:$W$161,A167),0)</f>
        <v>0</v>
      </c>
      <c r="F167">
        <f>MIN(1,E167/(Setup!$B$3*0.1))</f>
        <v>0</v>
      </c>
      <c r="G167">
        <f t="shared" si="5"/>
        <v>1</v>
      </c>
    </row>
    <row r="168" spans="1:7" x14ac:dyDescent="0.25">
      <c r="A168">
        <v>73</v>
      </c>
      <c r="B168">
        <f>SUMIFS('Draft Board'!$AD$2:$AD$161,'Draft Board'!$W$2:$W$161,A168,'Draft Board'!$AD$2:$AD$161,"&lt;&gt;")</f>
        <v>0</v>
      </c>
      <c r="C168">
        <f>SUMIFS('Draft Board'!$AC$2:$AC$161,'Draft Board'!$W$2:$W$161,A168,'Draft Board'!$AD$2:$AD$161,"&lt;&gt;")</f>
        <v>0</v>
      </c>
      <c r="D168">
        <f>COUNTIFS('Draft Board'!$W$2:$W$161,A168,'Draft Board'!$AD$2:$AD$161,"&lt;&gt;")</f>
        <v>0</v>
      </c>
      <c r="E168">
        <f>IFERROR(AVERAGEIFS('Draft Board'!$AC$2:$AC$161,'Draft Board'!$W$2:$W$161,A168),0)</f>
        <v>0</v>
      </c>
      <c r="F168">
        <f>MIN(1,E168/(Setup!$B$3*0.1))</f>
        <v>0</v>
      </c>
      <c r="G168">
        <f t="shared" si="5"/>
        <v>1</v>
      </c>
    </row>
    <row r="169" spans="1:7" x14ac:dyDescent="0.25">
      <c r="A169">
        <v>74</v>
      </c>
      <c r="B169">
        <f>SUMIFS('Draft Board'!$AD$2:$AD$161,'Draft Board'!$W$2:$W$161,A169,'Draft Board'!$AD$2:$AD$161,"&lt;&gt;")</f>
        <v>0</v>
      </c>
      <c r="C169">
        <f>SUMIFS('Draft Board'!$AC$2:$AC$161,'Draft Board'!$W$2:$W$161,A169,'Draft Board'!$AD$2:$AD$161,"&lt;&gt;")</f>
        <v>0</v>
      </c>
      <c r="D169">
        <f>COUNTIFS('Draft Board'!$W$2:$W$161,A169,'Draft Board'!$AD$2:$AD$161,"&lt;&gt;")</f>
        <v>0</v>
      </c>
      <c r="E169">
        <f>IFERROR(AVERAGEIFS('Draft Board'!$AC$2:$AC$161,'Draft Board'!$W$2:$W$161,A169),0)</f>
        <v>0</v>
      </c>
      <c r="F169">
        <f>MIN(1,E169/(Setup!$B$3*0.1))</f>
        <v>0</v>
      </c>
      <c r="G169">
        <f t="shared" si="5"/>
        <v>1</v>
      </c>
    </row>
    <row r="170" spans="1:7" x14ac:dyDescent="0.25">
      <c r="A170">
        <v>75</v>
      </c>
      <c r="B170">
        <f>SUMIFS('Draft Board'!$AD$2:$AD$161,'Draft Board'!$W$2:$W$161,A170,'Draft Board'!$AD$2:$AD$161,"&lt;&gt;")</f>
        <v>0</v>
      </c>
      <c r="C170">
        <f>SUMIFS('Draft Board'!$AC$2:$AC$161,'Draft Board'!$W$2:$W$161,A170,'Draft Board'!$AD$2:$AD$161,"&lt;&gt;")</f>
        <v>0</v>
      </c>
      <c r="D170">
        <f>COUNTIFS('Draft Board'!$W$2:$W$161,A170,'Draft Board'!$AD$2:$AD$161,"&lt;&gt;")</f>
        <v>0</v>
      </c>
      <c r="E170">
        <f>IFERROR(AVERAGEIFS('Draft Board'!$AC$2:$AC$161,'Draft Board'!$W$2:$W$161,A170),0)</f>
        <v>0</v>
      </c>
      <c r="F170">
        <f>MIN(1,E170/(Setup!$B$3*0.1))</f>
        <v>0</v>
      </c>
      <c r="G170">
        <f t="shared" si="5"/>
        <v>1</v>
      </c>
    </row>
    <row r="171" spans="1:7" x14ac:dyDescent="0.25">
      <c r="A171">
        <v>76</v>
      </c>
      <c r="B171">
        <f>SUMIFS('Draft Board'!$AD$2:$AD$161,'Draft Board'!$W$2:$W$161,A171,'Draft Board'!$AD$2:$AD$161,"&lt;&gt;")</f>
        <v>0</v>
      </c>
      <c r="C171">
        <f>SUMIFS('Draft Board'!$AC$2:$AC$161,'Draft Board'!$W$2:$W$161,A171,'Draft Board'!$AD$2:$AD$161,"&lt;&gt;")</f>
        <v>0</v>
      </c>
      <c r="D171">
        <f>COUNTIFS('Draft Board'!$W$2:$W$161,A171,'Draft Board'!$AD$2:$AD$161,"&lt;&gt;")</f>
        <v>0</v>
      </c>
      <c r="E171">
        <f>IFERROR(AVERAGEIFS('Draft Board'!$AC$2:$AC$161,'Draft Board'!$W$2:$W$161,A171),0)</f>
        <v>0</v>
      </c>
      <c r="F171">
        <f>MIN(1,E171/(Setup!$B$3*0.1))</f>
        <v>0</v>
      </c>
      <c r="G171">
        <f t="shared" si="5"/>
        <v>1</v>
      </c>
    </row>
    <row r="172" spans="1:7" x14ac:dyDescent="0.25">
      <c r="A172">
        <v>77</v>
      </c>
      <c r="B172">
        <f>SUMIFS('Draft Board'!$AD$2:$AD$161,'Draft Board'!$W$2:$W$161,A172,'Draft Board'!$AD$2:$AD$161,"&lt;&gt;")</f>
        <v>0</v>
      </c>
      <c r="C172">
        <f>SUMIFS('Draft Board'!$AC$2:$AC$161,'Draft Board'!$W$2:$W$161,A172,'Draft Board'!$AD$2:$AD$161,"&lt;&gt;")</f>
        <v>0</v>
      </c>
      <c r="D172">
        <f>COUNTIFS('Draft Board'!$W$2:$W$161,A172,'Draft Board'!$AD$2:$AD$161,"&lt;&gt;")</f>
        <v>0</v>
      </c>
      <c r="E172">
        <f>IFERROR(AVERAGEIFS('Draft Board'!$AC$2:$AC$161,'Draft Board'!$W$2:$W$161,A172),0)</f>
        <v>0</v>
      </c>
      <c r="F172">
        <f>MIN(1,E172/(Setup!$B$3*0.1))</f>
        <v>0</v>
      </c>
      <c r="G172">
        <f t="shared" si="5"/>
        <v>1</v>
      </c>
    </row>
    <row r="173" spans="1:7" x14ac:dyDescent="0.25">
      <c r="A173">
        <v>78</v>
      </c>
      <c r="B173">
        <f>SUMIFS('Draft Board'!$AD$2:$AD$161,'Draft Board'!$W$2:$W$161,A173,'Draft Board'!$AD$2:$AD$161,"&lt;&gt;")</f>
        <v>0</v>
      </c>
      <c r="C173">
        <f>SUMIFS('Draft Board'!$AC$2:$AC$161,'Draft Board'!$W$2:$W$161,A173,'Draft Board'!$AD$2:$AD$161,"&lt;&gt;")</f>
        <v>0</v>
      </c>
      <c r="D173">
        <f>COUNTIFS('Draft Board'!$W$2:$W$161,A173,'Draft Board'!$AD$2:$AD$161,"&lt;&gt;")</f>
        <v>0</v>
      </c>
      <c r="E173">
        <f>IFERROR(AVERAGEIFS('Draft Board'!$AC$2:$AC$161,'Draft Board'!$W$2:$W$161,A173),0)</f>
        <v>0</v>
      </c>
      <c r="F173">
        <f>MIN(1,E173/(Setup!$B$3*0.1))</f>
        <v>0</v>
      </c>
      <c r="G173">
        <f t="shared" si="5"/>
        <v>1</v>
      </c>
    </row>
    <row r="174" spans="1:7" x14ac:dyDescent="0.25">
      <c r="A174">
        <v>79</v>
      </c>
      <c r="B174">
        <f>SUMIFS('Draft Board'!$AD$2:$AD$161,'Draft Board'!$W$2:$W$161,A174,'Draft Board'!$AD$2:$AD$161,"&lt;&gt;")</f>
        <v>0</v>
      </c>
      <c r="C174">
        <f>SUMIFS('Draft Board'!$AC$2:$AC$161,'Draft Board'!$W$2:$W$161,A174,'Draft Board'!$AD$2:$AD$161,"&lt;&gt;")</f>
        <v>0</v>
      </c>
      <c r="D174">
        <f>COUNTIFS('Draft Board'!$W$2:$W$161,A174,'Draft Board'!$AD$2:$AD$161,"&lt;&gt;")</f>
        <v>0</v>
      </c>
      <c r="E174">
        <f>IFERROR(AVERAGEIFS('Draft Board'!$AC$2:$AC$161,'Draft Board'!$W$2:$W$161,A174),0)</f>
        <v>0</v>
      </c>
      <c r="F174">
        <f>MIN(1,E174/(Setup!$B$3*0.1))</f>
        <v>0</v>
      </c>
      <c r="G174">
        <f t="shared" si="5"/>
        <v>1</v>
      </c>
    </row>
    <row r="175" spans="1:7" x14ac:dyDescent="0.25">
      <c r="A175">
        <v>80</v>
      </c>
      <c r="B175">
        <f>SUMIFS('Draft Board'!$AD$2:$AD$161,'Draft Board'!$W$2:$W$161,A175,'Draft Board'!$AD$2:$AD$161,"&lt;&gt;")</f>
        <v>0</v>
      </c>
      <c r="C175">
        <f>SUMIFS('Draft Board'!$AC$2:$AC$161,'Draft Board'!$W$2:$W$161,A175,'Draft Board'!$AD$2:$AD$161,"&lt;&gt;")</f>
        <v>0</v>
      </c>
      <c r="D175">
        <f>COUNTIFS('Draft Board'!$W$2:$W$161,A175,'Draft Board'!$AD$2:$AD$161,"&lt;&gt;")</f>
        <v>0</v>
      </c>
      <c r="E175">
        <f>IFERROR(AVERAGEIFS('Draft Board'!$AC$2:$AC$161,'Draft Board'!$W$2:$W$161,A175),0)</f>
        <v>0</v>
      </c>
      <c r="F175">
        <f>MIN(1,E175/(Setup!$B$3*0.1))</f>
        <v>0</v>
      </c>
      <c r="G175">
        <f t="shared" si="5"/>
        <v>1</v>
      </c>
    </row>
    <row r="176" spans="1:7" x14ac:dyDescent="0.25">
      <c r="A176">
        <v>81</v>
      </c>
      <c r="B176">
        <f>SUMIFS('Draft Board'!$AD$2:$AD$161,'Draft Board'!$W$2:$W$161,A176,'Draft Board'!$AD$2:$AD$161,"&lt;&gt;")</f>
        <v>0</v>
      </c>
      <c r="C176">
        <f>SUMIFS('Draft Board'!$AC$2:$AC$161,'Draft Board'!$W$2:$W$161,A176,'Draft Board'!$AD$2:$AD$161,"&lt;&gt;")</f>
        <v>0</v>
      </c>
      <c r="D176">
        <f>COUNTIFS('Draft Board'!$W$2:$W$161,A176,'Draft Board'!$AD$2:$AD$161,"&lt;&gt;")</f>
        <v>0</v>
      </c>
      <c r="E176">
        <f>IFERROR(AVERAGEIFS('Draft Board'!$AC$2:$AC$161,'Draft Board'!$W$2:$W$161,A176),0)</f>
        <v>0</v>
      </c>
      <c r="F176">
        <f>MIN(1,E176/(Setup!$B$3*0.1))</f>
        <v>0</v>
      </c>
      <c r="G176">
        <f t="shared" si="5"/>
        <v>1</v>
      </c>
    </row>
    <row r="177" spans="1:7" x14ac:dyDescent="0.25">
      <c r="A177">
        <v>82</v>
      </c>
      <c r="B177">
        <f>SUMIFS('Draft Board'!$AD$2:$AD$161,'Draft Board'!$W$2:$W$161,A177,'Draft Board'!$AD$2:$AD$161,"&lt;&gt;")</f>
        <v>0</v>
      </c>
      <c r="C177">
        <f>SUMIFS('Draft Board'!$AC$2:$AC$161,'Draft Board'!$W$2:$W$161,A177,'Draft Board'!$AD$2:$AD$161,"&lt;&gt;")</f>
        <v>0</v>
      </c>
      <c r="D177">
        <f>COUNTIFS('Draft Board'!$W$2:$W$161,A177,'Draft Board'!$AD$2:$AD$161,"&lt;&gt;")</f>
        <v>0</v>
      </c>
      <c r="E177">
        <f>IFERROR(AVERAGEIFS('Draft Board'!$AC$2:$AC$161,'Draft Board'!$W$2:$W$161,A177),0)</f>
        <v>0</v>
      </c>
      <c r="F177">
        <f>MIN(1,E177/(Setup!$B$3*0.1))</f>
        <v>0</v>
      </c>
      <c r="G177">
        <f t="shared" si="5"/>
        <v>1</v>
      </c>
    </row>
    <row r="178" spans="1:7" x14ac:dyDescent="0.25">
      <c r="A178">
        <v>83</v>
      </c>
      <c r="B178">
        <f>SUMIFS('Draft Board'!$AD$2:$AD$161,'Draft Board'!$W$2:$W$161,A178,'Draft Board'!$AD$2:$AD$161,"&lt;&gt;")</f>
        <v>0</v>
      </c>
      <c r="C178">
        <f>SUMIFS('Draft Board'!$AC$2:$AC$161,'Draft Board'!$W$2:$W$161,A178,'Draft Board'!$AD$2:$AD$161,"&lt;&gt;")</f>
        <v>0</v>
      </c>
      <c r="D178">
        <f>COUNTIFS('Draft Board'!$W$2:$W$161,A178,'Draft Board'!$AD$2:$AD$161,"&lt;&gt;")</f>
        <v>0</v>
      </c>
      <c r="E178">
        <f>IFERROR(AVERAGEIFS('Draft Board'!$AC$2:$AC$161,'Draft Board'!$W$2:$W$161,A178),0)</f>
        <v>0</v>
      </c>
      <c r="F178">
        <f>MIN(1,E178/(Setup!$B$3*0.1))</f>
        <v>0</v>
      </c>
      <c r="G178">
        <f t="shared" si="5"/>
        <v>1</v>
      </c>
    </row>
    <row r="179" spans="1:7" x14ac:dyDescent="0.25">
      <c r="A179">
        <v>84</v>
      </c>
      <c r="B179">
        <f>SUMIFS('Draft Board'!$AD$2:$AD$161,'Draft Board'!$W$2:$W$161,A179,'Draft Board'!$AD$2:$AD$161,"&lt;&gt;")</f>
        <v>0</v>
      </c>
      <c r="C179">
        <f>SUMIFS('Draft Board'!$AC$2:$AC$161,'Draft Board'!$W$2:$W$161,A179,'Draft Board'!$AD$2:$AD$161,"&lt;&gt;")</f>
        <v>0</v>
      </c>
      <c r="D179">
        <f>COUNTIFS('Draft Board'!$W$2:$W$161,A179,'Draft Board'!$AD$2:$AD$161,"&lt;&gt;")</f>
        <v>0</v>
      </c>
      <c r="E179">
        <f>IFERROR(AVERAGEIFS('Draft Board'!$AC$2:$AC$161,'Draft Board'!$W$2:$W$161,A179),0)</f>
        <v>0</v>
      </c>
      <c r="F179">
        <f>MIN(1,E179/(Setup!$B$3*0.1))</f>
        <v>0</v>
      </c>
      <c r="G179">
        <f t="shared" si="5"/>
        <v>1</v>
      </c>
    </row>
    <row r="180" spans="1:7" x14ac:dyDescent="0.25">
      <c r="A180">
        <v>85</v>
      </c>
      <c r="B180">
        <f>SUMIFS('Draft Board'!$AD$2:$AD$161,'Draft Board'!$W$2:$W$161,A180,'Draft Board'!$AD$2:$AD$161,"&lt;&gt;")</f>
        <v>0</v>
      </c>
      <c r="C180">
        <f>SUMIFS('Draft Board'!$AC$2:$AC$161,'Draft Board'!$W$2:$W$161,A180,'Draft Board'!$AD$2:$AD$161,"&lt;&gt;")</f>
        <v>0</v>
      </c>
      <c r="D180">
        <f>COUNTIFS('Draft Board'!$W$2:$W$161,A180,'Draft Board'!$AD$2:$AD$161,"&lt;&gt;")</f>
        <v>0</v>
      </c>
      <c r="E180">
        <f>IFERROR(AVERAGEIFS('Draft Board'!$AC$2:$AC$161,'Draft Board'!$W$2:$W$161,A180),0)</f>
        <v>0</v>
      </c>
      <c r="F180">
        <f>MIN(1,E180/(Setup!$B$3*0.1))</f>
        <v>0</v>
      </c>
      <c r="G180">
        <f t="shared" si="5"/>
        <v>1</v>
      </c>
    </row>
    <row r="181" spans="1:7" x14ac:dyDescent="0.25">
      <c r="A181">
        <v>86</v>
      </c>
      <c r="B181">
        <f>SUMIFS('Draft Board'!$AD$2:$AD$161,'Draft Board'!$W$2:$W$161,A181,'Draft Board'!$AD$2:$AD$161,"&lt;&gt;")</f>
        <v>0</v>
      </c>
      <c r="C181">
        <f>SUMIFS('Draft Board'!$AC$2:$AC$161,'Draft Board'!$W$2:$W$161,A181,'Draft Board'!$AD$2:$AD$161,"&lt;&gt;")</f>
        <v>0</v>
      </c>
      <c r="D181">
        <f>COUNTIFS('Draft Board'!$W$2:$W$161,A181,'Draft Board'!$AD$2:$AD$161,"&lt;&gt;")</f>
        <v>0</v>
      </c>
      <c r="E181">
        <f>IFERROR(AVERAGEIFS('Draft Board'!$AC$2:$AC$161,'Draft Board'!$W$2:$W$161,A181),0)</f>
        <v>0</v>
      </c>
      <c r="F181">
        <f>MIN(1,E181/(Setup!$B$3*0.1))</f>
        <v>0</v>
      </c>
      <c r="G181">
        <f t="shared" si="5"/>
        <v>1</v>
      </c>
    </row>
    <row r="182" spans="1:7" x14ac:dyDescent="0.25">
      <c r="A182">
        <v>87</v>
      </c>
      <c r="B182">
        <f>SUMIFS('Draft Board'!$AD$2:$AD$161,'Draft Board'!$W$2:$W$161,A182,'Draft Board'!$AD$2:$AD$161,"&lt;&gt;")</f>
        <v>0</v>
      </c>
      <c r="C182">
        <f>SUMIFS('Draft Board'!$AC$2:$AC$161,'Draft Board'!$W$2:$W$161,A182,'Draft Board'!$AD$2:$AD$161,"&lt;&gt;")</f>
        <v>0</v>
      </c>
      <c r="D182">
        <f>COUNTIFS('Draft Board'!$W$2:$W$161,A182,'Draft Board'!$AD$2:$AD$161,"&lt;&gt;")</f>
        <v>0</v>
      </c>
      <c r="E182">
        <f>IFERROR(AVERAGEIFS('Draft Board'!$AC$2:$AC$161,'Draft Board'!$W$2:$W$161,A182),0)</f>
        <v>0</v>
      </c>
      <c r="F182">
        <f>MIN(1,E182/(Setup!$B$3*0.1))</f>
        <v>0</v>
      </c>
      <c r="G182">
        <f t="shared" si="5"/>
        <v>1</v>
      </c>
    </row>
    <row r="183" spans="1:7" x14ac:dyDescent="0.25">
      <c r="A183">
        <v>88</v>
      </c>
      <c r="B183">
        <f>SUMIFS('Draft Board'!$AD$2:$AD$161,'Draft Board'!$W$2:$W$161,A183,'Draft Board'!$AD$2:$AD$161,"&lt;&gt;")</f>
        <v>0</v>
      </c>
      <c r="C183">
        <f>SUMIFS('Draft Board'!$AC$2:$AC$161,'Draft Board'!$W$2:$W$161,A183,'Draft Board'!$AD$2:$AD$161,"&lt;&gt;")</f>
        <v>0</v>
      </c>
      <c r="D183">
        <f>COUNTIFS('Draft Board'!$W$2:$W$161,A183,'Draft Board'!$AD$2:$AD$161,"&lt;&gt;")</f>
        <v>0</v>
      </c>
      <c r="E183">
        <f>IFERROR(AVERAGEIFS('Draft Board'!$AC$2:$AC$161,'Draft Board'!$W$2:$W$161,A183),0)</f>
        <v>0</v>
      </c>
      <c r="F183">
        <f>MIN(1,E183/(Setup!$B$3*0.1))</f>
        <v>0</v>
      </c>
      <c r="G183">
        <f t="shared" si="5"/>
        <v>1</v>
      </c>
    </row>
    <row r="184" spans="1:7" x14ac:dyDescent="0.25">
      <c r="A184">
        <v>89</v>
      </c>
      <c r="B184">
        <f>SUMIFS('Draft Board'!$AD$2:$AD$161,'Draft Board'!$W$2:$W$161,A184,'Draft Board'!$AD$2:$AD$161,"&lt;&gt;")</f>
        <v>0</v>
      </c>
      <c r="C184">
        <f>SUMIFS('Draft Board'!$AC$2:$AC$161,'Draft Board'!$W$2:$W$161,A184,'Draft Board'!$AD$2:$AD$161,"&lt;&gt;")</f>
        <v>0</v>
      </c>
      <c r="D184">
        <f>COUNTIFS('Draft Board'!$W$2:$W$161,A184,'Draft Board'!$AD$2:$AD$161,"&lt;&gt;")</f>
        <v>0</v>
      </c>
      <c r="E184">
        <f>IFERROR(AVERAGEIFS('Draft Board'!$AC$2:$AC$161,'Draft Board'!$W$2:$W$161,A184),0)</f>
        <v>0</v>
      </c>
      <c r="F184">
        <f>MIN(1,E184/(Setup!$B$3*0.1))</f>
        <v>0</v>
      </c>
      <c r="G184">
        <f t="shared" si="5"/>
        <v>1</v>
      </c>
    </row>
    <row r="185" spans="1:7" x14ac:dyDescent="0.25">
      <c r="A185">
        <v>90</v>
      </c>
      <c r="B185">
        <f>SUMIFS('Draft Board'!$AD$2:$AD$161,'Draft Board'!$W$2:$W$161,A185,'Draft Board'!$AD$2:$AD$161,"&lt;&gt;")</f>
        <v>0</v>
      </c>
      <c r="C185">
        <f>SUMIFS('Draft Board'!$AC$2:$AC$161,'Draft Board'!$W$2:$W$161,A185,'Draft Board'!$AD$2:$AD$161,"&lt;&gt;")</f>
        <v>0</v>
      </c>
      <c r="D185">
        <f>COUNTIFS('Draft Board'!$W$2:$W$161,A185,'Draft Board'!$AD$2:$AD$161,"&lt;&gt;")</f>
        <v>0</v>
      </c>
      <c r="E185">
        <f>IFERROR(AVERAGEIFS('Draft Board'!$AC$2:$AC$161,'Draft Board'!$W$2:$W$161,A185),0)</f>
        <v>0</v>
      </c>
      <c r="F185">
        <f>MIN(1,E185/(Setup!$B$3*0.1))</f>
        <v>0</v>
      </c>
      <c r="G185">
        <f t="shared" si="5"/>
        <v>1</v>
      </c>
    </row>
    <row r="186" spans="1:7" x14ac:dyDescent="0.25">
      <c r="A186">
        <v>91</v>
      </c>
      <c r="B186">
        <f>SUMIFS('Draft Board'!$AD$2:$AD$161,'Draft Board'!$W$2:$W$161,A186,'Draft Board'!$AD$2:$AD$161,"&lt;&gt;")</f>
        <v>0</v>
      </c>
      <c r="C186">
        <f>SUMIFS('Draft Board'!$AC$2:$AC$161,'Draft Board'!$W$2:$W$161,A186,'Draft Board'!$AD$2:$AD$161,"&lt;&gt;")</f>
        <v>0</v>
      </c>
      <c r="D186">
        <f>COUNTIFS('Draft Board'!$W$2:$W$161,A186,'Draft Board'!$AD$2:$AD$161,"&lt;&gt;")</f>
        <v>0</v>
      </c>
      <c r="E186">
        <f>IFERROR(AVERAGEIFS('Draft Board'!$AC$2:$AC$161,'Draft Board'!$W$2:$W$161,A186),0)</f>
        <v>0</v>
      </c>
      <c r="F186">
        <f>MIN(1,E186/(Setup!$B$3*0.1))</f>
        <v>0</v>
      </c>
      <c r="G186">
        <f t="shared" si="5"/>
        <v>1</v>
      </c>
    </row>
    <row r="187" spans="1:7" x14ac:dyDescent="0.25">
      <c r="A187">
        <v>92</v>
      </c>
      <c r="B187">
        <f>SUMIFS('Draft Board'!$AD$2:$AD$161,'Draft Board'!$W$2:$W$161,A187,'Draft Board'!$AD$2:$AD$161,"&lt;&gt;")</f>
        <v>0</v>
      </c>
      <c r="C187">
        <f>SUMIFS('Draft Board'!$AC$2:$AC$161,'Draft Board'!$W$2:$W$161,A187,'Draft Board'!$AD$2:$AD$161,"&lt;&gt;")</f>
        <v>0</v>
      </c>
      <c r="D187">
        <f>COUNTIFS('Draft Board'!$W$2:$W$161,A187,'Draft Board'!$AD$2:$AD$161,"&lt;&gt;")</f>
        <v>0</v>
      </c>
      <c r="E187">
        <f>IFERROR(AVERAGEIFS('Draft Board'!$AC$2:$AC$161,'Draft Board'!$W$2:$W$161,A187),0)</f>
        <v>0</v>
      </c>
      <c r="F187">
        <f>MIN(1,E187/(Setup!$B$3*0.1))</f>
        <v>0</v>
      </c>
      <c r="G187">
        <f t="shared" si="5"/>
        <v>1</v>
      </c>
    </row>
    <row r="188" spans="1:7" x14ac:dyDescent="0.25">
      <c r="A188">
        <v>93</v>
      </c>
      <c r="B188">
        <f>SUMIFS('Draft Board'!$AD$2:$AD$161,'Draft Board'!$W$2:$W$161,A188,'Draft Board'!$AD$2:$AD$161,"&lt;&gt;")</f>
        <v>0</v>
      </c>
      <c r="C188">
        <f>SUMIFS('Draft Board'!$AC$2:$AC$161,'Draft Board'!$W$2:$W$161,A188,'Draft Board'!$AD$2:$AD$161,"&lt;&gt;")</f>
        <v>0</v>
      </c>
      <c r="D188">
        <f>COUNTIFS('Draft Board'!$W$2:$W$161,A188,'Draft Board'!$AD$2:$AD$161,"&lt;&gt;")</f>
        <v>0</v>
      </c>
      <c r="E188">
        <f>IFERROR(AVERAGEIFS('Draft Board'!$AC$2:$AC$161,'Draft Board'!$W$2:$W$161,A188),0)</f>
        <v>0</v>
      </c>
      <c r="F188">
        <f>MIN(1,E188/(Setup!$B$3*0.1))</f>
        <v>0</v>
      </c>
      <c r="G188">
        <f t="shared" si="5"/>
        <v>1</v>
      </c>
    </row>
    <row r="189" spans="1:7" x14ac:dyDescent="0.25">
      <c r="A189">
        <v>94</v>
      </c>
      <c r="B189">
        <f>SUMIFS('Draft Board'!$AD$2:$AD$161,'Draft Board'!$W$2:$W$161,A189,'Draft Board'!$AD$2:$AD$161,"&lt;&gt;")</f>
        <v>0</v>
      </c>
      <c r="C189">
        <f>SUMIFS('Draft Board'!$AC$2:$AC$161,'Draft Board'!$W$2:$W$161,A189,'Draft Board'!$AD$2:$AD$161,"&lt;&gt;")</f>
        <v>0</v>
      </c>
      <c r="D189">
        <f>COUNTIFS('Draft Board'!$W$2:$W$161,A189,'Draft Board'!$AD$2:$AD$161,"&lt;&gt;")</f>
        <v>0</v>
      </c>
      <c r="E189">
        <f>IFERROR(AVERAGEIFS('Draft Board'!$AC$2:$AC$161,'Draft Board'!$W$2:$W$161,A189),0)</f>
        <v>0</v>
      </c>
      <c r="F189">
        <f>MIN(1,E189/(Setup!$B$3*0.1))</f>
        <v>0</v>
      </c>
      <c r="G189">
        <f t="shared" si="5"/>
        <v>1</v>
      </c>
    </row>
    <row r="190" spans="1:7" x14ac:dyDescent="0.25">
      <c r="A190">
        <v>95</v>
      </c>
      <c r="B190">
        <f>SUMIFS('Draft Board'!$AD$2:$AD$161,'Draft Board'!$W$2:$W$161,A190,'Draft Board'!$AD$2:$AD$161,"&lt;&gt;")</f>
        <v>0</v>
      </c>
      <c r="C190">
        <f>SUMIFS('Draft Board'!$AC$2:$AC$161,'Draft Board'!$W$2:$W$161,A190,'Draft Board'!$AD$2:$AD$161,"&lt;&gt;")</f>
        <v>0</v>
      </c>
      <c r="D190">
        <f>COUNTIFS('Draft Board'!$W$2:$W$161,A190,'Draft Board'!$AD$2:$AD$161,"&lt;&gt;")</f>
        <v>0</v>
      </c>
      <c r="E190">
        <f>IFERROR(AVERAGEIFS('Draft Board'!$AC$2:$AC$161,'Draft Board'!$W$2:$W$161,A190),0)</f>
        <v>0</v>
      </c>
      <c r="F190">
        <f>MIN(1,E190/(Setup!$B$3*0.1))</f>
        <v>0</v>
      </c>
      <c r="G190">
        <f t="shared" si="5"/>
        <v>1</v>
      </c>
    </row>
    <row r="191" spans="1:7" x14ac:dyDescent="0.25">
      <c r="A191">
        <v>96</v>
      </c>
      <c r="B191">
        <f>SUMIFS('Draft Board'!$AD$2:$AD$161,'Draft Board'!$W$2:$W$161,A191,'Draft Board'!$AD$2:$AD$161,"&lt;&gt;")</f>
        <v>0</v>
      </c>
      <c r="C191">
        <f>SUMIFS('Draft Board'!$AC$2:$AC$161,'Draft Board'!$W$2:$W$161,A191,'Draft Board'!$AD$2:$AD$161,"&lt;&gt;")</f>
        <v>0</v>
      </c>
      <c r="D191">
        <f>COUNTIFS('Draft Board'!$W$2:$W$161,A191,'Draft Board'!$AD$2:$AD$161,"&lt;&gt;")</f>
        <v>0</v>
      </c>
      <c r="E191">
        <f>IFERROR(AVERAGEIFS('Draft Board'!$AC$2:$AC$161,'Draft Board'!$W$2:$W$161,A191),0)</f>
        <v>0</v>
      </c>
      <c r="F191">
        <f>MIN(1,E191/(Setup!$B$3*0.1))</f>
        <v>0</v>
      </c>
      <c r="G191">
        <f t="shared" si="5"/>
        <v>1</v>
      </c>
    </row>
    <row r="192" spans="1:7" x14ac:dyDescent="0.25">
      <c r="A192">
        <v>97</v>
      </c>
      <c r="B192">
        <f>SUMIFS('Draft Board'!$AD$2:$AD$161,'Draft Board'!$W$2:$W$161,A192,'Draft Board'!$AD$2:$AD$161,"&lt;&gt;")</f>
        <v>0</v>
      </c>
      <c r="C192">
        <f>SUMIFS('Draft Board'!$AC$2:$AC$161,'Draft Board'!$W$2:$W$161,A192,'Draft Board'!$AD$2:$AD$161,"&lt;&gt;")</f>
        <v>0</v>
      </c>
      <c r="D192">
        <f>COUNTIFS('Draft Board'!$W$2:$W$161,A192,'Draft Board'!$AD$2:$AD$161,"&lt;&gt;")</f>
        <v>0</v>
      </c>
      <c r="E192">
        <f>IFERROR(AVERAGEIFS('Draft Board'!$AC$2:$AC$161,'Draft Board'!$W$2:$W$161,A192),0)</f>
        <v>0</v>
      </c>
      <c r="F192">
        <f>MIN(1,E192/(Setup!$B$3*0.1))</f>
        <v>0</v>
      </c>
      <c r="G192">
        <f t="shared" ref="G192:G223" si="6">IF(D192&lt;2,1,MEDIAN(0.5,2,1+(IFERROR(B192/C192,1)-1)*F192))</f>
        <v>1</v>
      </c>
    </row>
    <row r="193" spans="1:7" x14ac:dyDescent="0.25">
      <c r="A193">
        <v>98</v>
      </c>
      <c r="B193">
        <f>SUMIFS('Draft Board'!$AD$2:$AD$161,'Draft Board'!$W$2:$W$161,A193,'Draft Board'!$AD$2:$AD$161,"&lt;&gt;")</f>
        <v>0</v>
      </c>
      <c r="C193">
        <f>SUMIFS('Draft Board'!$AC$2:$AC$161,'Draft Board'!$W$2:$W$161,A193,'Draft Board'!$AD$2:$AD$161,"&lt;&gt;")</f>
        <v>0</v>
      </c>
      <c r="D193">
        <f>COUNTIFS('Draft Board'!$W$2:$W$161,A193,'Draft Board'!$AD$2:$AD$161,"&lt;&gt;")</f>
        <v>0</v>
      </c>
      <c r="E193">
        <f>IFERROR(AVERAGEIFS('Draft Board'!$AC$2:$AC$161,'Draft Board'!$W$2:$W$161,A193),0)</f>
        <v>0</v>
      </c>
      <c r="F193">
        <f>MIN(1,E193/(Setup!$B$3*0.1))</f>
        <v>0</v>
      </c>
      <c r="G193">
        <f t="shared" si="6"/>
        <v>1</v>
      </c>
    </row>
    <row r="194" spans="1:7" x14ac:dyDescent="0.25">
      <c r="A194">
        <v>99</v>
      </c>
      <c r="B194">
        <f>SUMIFS('Draft Board'!$AD$2:$AD$161,'Draft Board'!$W$2:$W$161,A194,'Draft Board'!$AD$2:$AD$161,"&lt;&gt;")</f>
        <v>0</v>
      </c>
      <c r="C194">
        <f>SUMIFS('Draft Board'!$AC$2:$AC$161,'Draft Board'!$W$2:$W$161,A194,'Draft Board'!$AD$2:$AD$161,"&lt;&gt;")</f>
        <v>0</v>
      </c>
      <c r="D194">
        <f>COUNTIFS('Draft Board'!$W$2:$W$161,A194,'Draft Board'!$AD$2:$AD$161,"&lt;&gt;")</f>
        <v>0</v>
      </c>
      <c r="E194">
        <f>IFERROR(AVERAGEIFS('Draft Board'!$AC$2:$AC$161,'Draft Board'!$W$2:$W$161,A194),0)</f>
        <v>0</v>
      </c>
      <c r="F194">
        <f>MIN(1,E194/(Setup!$B$3*0.1))</f>
        <v>0</v>
      </c>
      <c r="G194">
        <f t="shared" si="6"/>
        <v>1</v>
      </c>
    </row>
    <row r="195" spans="1:7" x14ac:dyDescent="0.25">
      <c r="A195">
        <v>100</v>
      </c>
      <c r="B195">
        <f>SUMIFS('Draft Board'!$AD$2:$AD$161,'Draft Board'!$W$2:$W$161,A195,'Draft Board'!$AD$2:$AD$161,"&lt;&gt;")</f>
        <v>0</v>
      </c>
      <c r="C195">
        <f>SUMIFS('Draft Board'!$AC$2:$AC$161,'Draft Board'!$W$2:$W$161,A195,'Draft Board'!$AD$2:$AD$161,"&lt;&gt;")</f>
        <v>0</v>
      </c>
      <c r="D195">
        <f>COUNTIFS('Draft Board'!$W$2:$W$161,A195,'Draft Board'!$AD$2:$AD$161,"&lt;&gt;")</f>
        <v>0</v>
      </c>
      <c r="E195">
        <f>IFERROR(AVERAGEIFS('Draft Board'!$AC$2:$AC$161,'Draft Board'!$W$2:$W$161,A195),0)</f>
        <v>0</v>
      </c>
      <c r="F195">
        <f>MIN(1,E195/(Setup!$B$3*0.1))</f>
        <v>0</v>
      </c>
      <c r="G195">
        <f t="shared" si="6"/>
        <v>1</v>
      </c>
    </row>
    <row r="196" spans="1:7" x14ac:dyDescent="0.25">
      <c r="A196">
        <v>101</v>
      </c>
      <c r="B196">
        <f>SUMIFS('Draft Board'!$AD$2:$AD$161,'Draft Board'!$W$2:$W$161,A196,'Draft Board'!$AD$2:$AD$161,"&lt;&gt;")</f>
        <v>0</v>
      </c>
      <c r="C196">
        <f>SUMIFS('Draft Board'!$AC$2:$AC$161,'Draft Board'!$W$2:$W$161,A196,'Draft Board'!$AD$2:$AD$161,"&lt;&gt;")</f>
        <v>0</v>
      </c>
      <c r="D196">
        <f>COUNTIFS('Draft Board'!$W$2:$W$161,A196,'Draft Board'!$AD$2:$AD$161,"&lt;&gt;")</f>
        <v>0</v>
      </c>
      <c r="E196">
        <f>IFERROR(AVERAGEIFS('Draft Board'!$AC$2:$AC$161,'Draft Board'!$W$2:$W$161,A196),0)</f>
        <v>0</v>
      </c>
      <c r="F196">
        <f>MIN(1,E196/(Setup!$B$3*0.1))</f>
        <v>0</v>
      </c>
      <c r="G196">
        <f t="shared" si="6"/>
        <v>1</v>
      </c>
    </row>
    <row r="197" spans="1:7" x14ac:dyDescent="0.25">
      <c r="A197">
        <v>102</v>
      </c>
      <c r="B197">
        <f>SUMIFS('Draft Board'!$AD$2:$AD$161,'Draft Board'!$W$2:$W$161,A197,'Draft Board'!$AD$2:$AD$161,"&lt;&gt;")</f>
        <v>0</v>
      </c>
      <c r="C197">
        <f>SUMIFS('Draft Board'!$AC$2:$AC$161,'Draft Board'!$W$2:$W$161,A197,'Draft Board'!$AD$2:$AD$161,"&lt;&gt;")</f>
        <v>0</v>
      </c>
      <c r="D197">
        <f>COUNTIFS('Draft Board'!$W$2:$W$161,A197,'Draft Board'!$AD$2:$AD$161,"&lt;&gt;")</f>
        <v>0</v>
      </c>
      <c r="E197">
        <f>IFERROR(AVERAGEIFS('Draft Board'!$AC$2:$AC$161,'Draft Board'!$W$2:$W$161,A197),0)</f>
        <v>0</v>
      </c>
      <c r="F197">
        <f>MIN(1,E197/(Setup!$B$3*0.1))</f>
        <v>0</v>
      </c>
      <c r="G197">
        <f t="shared" si="6"/>
        <v>1</v>
      </c>
    </row>
    <row r="198" spans="1:7" x14ac:dyDescent="0.25">
      <c r="A198">
        <v>103</v>
      </c>
      <c r="B198">
        <f>SUMIFS('Draft Board'!$AD$2:$AD$161,'Draft Board'!$W$2:$W$161,A198,'Draft Board'!$AD$2:$AD$161,"&lt;&gt;")</f>
        <v>0</v>
      </c>
      <c r="C198">
        <f>SUMIFS('Draft Board'!$AC$2:$AC$161,'Draft Board'!$W$2:$W$161,A198,'Draft Board'!$AD$2:$AD$161,"&lt;&gt;")</f>
        <v>0</v>
      </c>
      <c r="D198">
        <f>COUNTIFS('Draft Board'!$W$2:$W$161,A198,'Draft Board'!$AD$2:$AD$161,"&lt;&gt;")</f>
        <v>0</v>
      </c>
      <c r="E198">
        <f>IFERROR(AVERAGEIFS('Draft Board'!$AC$2:$AC$161,'Draft Board'!$W$2:$W$161,A198),0)</f>
        <v>0</v>
      </c>
      <c r="F198">
        <f>MIN(1,E198/(Setup!$B$3*0.1))</f>
        <v>0</v>
      </c>
      <c r="G198">
        <f t="shared" si="6"/>
        <v>1</v>
      </c>
    </row>
    <row r="199" spans="1:7" x14ac:dyDescent="0.25">
      <c r="A199">
        <v>104</v>
      </c>
      <c r="B199">
        <f>SUMIFS('Draft Board'!$AD$2:$AD$161,'Draft Board'!$W$2:$W$161,A199,'Draft Board'!$AD$2:$AD$161,"&lt;&gt;")</f>
        <v>0</v>
      </c>
      <c r="C199">
        <f>SUMIFS('Draft Board'!$AC$2:$AC$161,'Draft Board'!$W$2:$W$161,A199,'Draft Board'!$AD$2:$AD$161,"&lt;&gt;")</f>
        <v>0</v>
      </c>
      <c r="D199">
        <f>COUNTIFS('Draft Board'!$W$2:$W$161,A199,'Draft Board'!$AD$2:$AD$161,"&lt;&gt;")</f>
        <v>0</v>
      </c>
      <c r="E199">
        <f>IFERROR(AVERAGEIFS('Draft Board'!$AC$2:$AC$161,'Draft Board'!$W$2:$W$161,A199),0)</f>
        <v>0</v>
      </c>
      <c r="F199">
        <f>MIN(1,E199/(Setup!$B$3*0.1))</f>
        <v>0</v>
      </c>
      <c r="G199">
        <f t="shared" si="6"/>
        <v>1</v>
      </c>
    </row>
    <row r="200" spans="1:7" x14ac:dyDescent="0.25">
      <c r="A200">
        <v>105</v>
      </c>
      <c r="B200">
        <f>SUMIFS('Draft Board'!$AD$2:$AD$161,'Draft Board'!$W$2:$W$161,A200,'Draft Board'!$AD$2:$AD$161,"&lt;&gt;")</f>
        <v>0</v>
      </c>
      <c r="C200">
        <f>SUMIFS('Draft Board'!$AC$2:$AC$161,'Draft Board'!$W$2:$W$161,A200,'Draft Board'!$AD$2:$AD$161,"&lt;&gt;")</f>
        <v>0</v>
      </c>
      <c r="D200">
        <f>COUNTIFS('Draft Board'!$W$2:$W$161,A200,'Draft Board'!$AD$2:$AD$161,"&lt;&gt;")</f>
        <v>0</v>
      </c>
      <c r="E200">
        <f>IFERROR(AVERAGEIFS('Draft Board'!$AC$2:$AC$161,'Draft Board'!$W$2:$W$161,A200),0)</f>
        <v>0</v>
      </c>
      <c r="F200">
        <f>MIN(1,E200/(Setup!$B$3*0.1))</f>
        <v>0</v>
      </c>
      <c r="G200">
        <f t="shared" si="6"/>
        <v>1</v>
      </c>
    </row>
    <row r="201" spans="1:7" x14ac:dyDescent="0.25">
      <c r="A201">
        <v>106</v>
      </c>
      <c r="B201">
        <f>SUMIFS('Draft Board'!$AD$2:$AD$161,'Draft Board'!$W$2:$W$161,A201,'Draft Board'!$AD$2:$AD$161,"&lt;&gt;")</f>
        <v>0</v>
      </c>
      <c r="C201">
        <f>SUMIFS('Draft Board'!$AC$2:$AC$161,'Draft Board'!$W$2:$W$161,A201,'Draft Board'!$AD$2:$AD$161,"&lt;&gt;")</f>
        <v>0</v>
      </c>
      <c r="D201">
        <f>COUNTIFS('Draft Board'!$W$2:$W$161,A201,'Draft Board'!$AD$2:$AD$161,"&lt;&gt;")</f>
        <v>0</v>
      </c>
      <c r="E201">
        <f>IFERROR(AVERAGEIFS('Draft Board'!$AC$2:$AC$161,'Draft Board'!$W$2:$W$161,A201),0)</f>
        <v>0</v>
      </c>
      <c r="F201">
        <f>MIN(1,E201/(Setup!$B$3*0.1))</f>
        <v>0</v>
      </c>
      <c r="G201">
        <f t="shared" si="6"/>
        <v>1</v>
      </c>
    </row>
    <row r="202" spans="1:7" x14ac:dyDescent="0.25">
      <c r="A202">
        <v>107</v>
      </c>
      <c r="B202">
        <f>SUMIFS('Draft Board'!$AD$2:$AD$161,'Draft Board'!$W$2:$W$161,A202,'Draft Board'!$AD$2:$AD$161,"&lt;&gt;")</f>
        <v>0</v>
      </c>
      <c r="C202">
        <f>SUMIFS('Draft Board'!$AC$2:$AC$161,'Draft Board'!$W$2:$W$161,A202,'Draft Board'!$AD$2:$AD$161,"&lt;&gt;")</f>
        <v>0</v>
      </c>
      <c r="D202">
        <f>COUNTIFS('Draft Board'!$W$2:$W$161,A202,'Draft Board'!$AD$2:$AD$161,"&lt;&gt;")</f>
        <v>0</v>
      </c>
      <c r="E202">
        <f>IFERROR(AVERAGEIFS('Draft Board'!$AC$2:$AC$161,'Draft Board'!$W$2:$W$161,A202),0)</f>
        <v>0</v>
      </c>
      <c r="F202">
        <f>MIN(1,E202/(Setup!$B$3*0.1))</f>
        <v>0</v>
      </c>
      <c r="G202">
        <f t="shared" si="6"/>
        <v>1</v>
      </c>
    </row>
    <row r="203" spans="1:7" x14ac:dyDescent="0.25">
      <c r="A203">
        <v>108</v>
      </c>
      <c r="B203">
        <f>SUMIFS('Draft Board'!$AD$2:$AD$161,'Draft Board'!$W$2:$W$161,A203,'Draft Board'!$AD$2:$AD$161,"&lt;&gt;")</f>
        <v>0</v>
      </c>
      <c r="C203">
        <f>SUMIFS('Draft Board'!$AC$2:$AC$161,'Draft Board'!$W$2:$W$161,A203,'Draft Board'!$AD$2:$AD$161,"&lt;&gt;")</f>
        <v>0</v>
      </c>
      <c r="D203">
        <f>COUNTIFS('Draft Board'!$W$2:$W$161,A203,'Draft Board'!$AD$2:$AD$161,"&lt;&gt;")</f>
        <v>0</v>
      </c>
      <c r="E203">
        <f>IFERROR(AVERAGEIFS('Draft Board'!$AC$2:$AC$161,'Draft Board'!$W$2:$W$161,A203),0)</f>
        <v>0</v>
      </c>
      <c r="F203">
        <f>MIN(1,E203/(Setup!$B$3*0.1))</f>
        <v>0</v>
      </c>
      <c r="G203">
        <f t="shared" si="6"/>
        <v>1</v>
      </c>
    </row>
    <row r="204" spans="1:7" x14ac:dyDescent="0.25">
      <c r="A204">
        <v>109</v>
      </c>
      <c r="B204">
        <f>SUMIFS('Draft Board'!$AD$2:$AD$161,'Draft Board'!$W$2:$W$161,A204,'Draft Board'!$AD$2:$AD$161,"&lt;&gt;")</f>
        <v>0</v>
      </c>
      <c r="C204">
        <f>SUMIFS('Draft Board'!$AC$2:$AC$161,'Draft Board'!$W$2:$W$161,A204,'Draft Board'!$AD$2:$AD$161,"&lt;&gt;")</f>
        <v>0</v>
      </c>
      <c r="D204">
        <f>COUNTIFS('Draft Board'!$W$2:$W$161,A204,'Draft Board'!$AD$2:$AD$161,"&lt;&gt;")</f>
        <v>0</v>
      </c>
      <c r="E204">
        <f>IFERROR(AVERAGEIFS('Draft Board'!$AC$2:$AC$161,'Draft Board'!$W$2:$W$161,A204),0)</f>
        <v>0</v>
      </c>
      <c r="F204">
        <f>MIN(1,E204/(Setup!$B$3*0.1))</f>
        <v>0</v>
      </c>
      <c r="G204">
        <f t="shared" si="6"/>
        <v>1</v>
      </c>
    </row>
    <row r="205" spans="1:7" x14ac:dyDescent="0.25">
      <c r="A205">
        <v>110</v>
      </c>
      <c r="B205">
        <f>SUMIFS('Draft Board'!$AD$2:$AD$161,'Draft Board'!$W$2:$W$161,A205,'Draft Board'!$AD$2:$AD$161,"&lt;&gt;")</f>
        <v>0</v>
      </c>
      <c r="C205">
        <f>SUMIFS('Draft Board'!$AC$2:$AC$161,'Draft Board'!$W$2:$W$161,A205,'Draft Board'!$AD$2:$AD$161,"&lt;&gt;")</f>
        <v>0</v>
      </c>
      <c r="D205">
        <f>COUNTIFS('Draft Board'!$W$2:$W$161,A205,'Draft Board'!$AD$2:$AD$161,"&lt;&gt;")</f>
        <v>0</v>
      </c>
      <c r="E205">
        <f>IFERROR(AVERAGEIFS('Draft Board'!$AC$2:$AC$161,'Draft Board'!$W$2:$W$161,A205),0)</f>
        <v>0</v>
      </c>
      <c r="F205">
        <f>MIN(1,E205/(Setup!$B$3*0.1))</f>
        <v>0</v>
      </c>
      <c r="G205">
        <f t="shared" si="6"/>
        <v>1</v>
      </c>
    </row>
    <row r="206" spans="1:7" x14ac:dyDescent="0.25">
      <c r="A206">
        <v>111</v>
      </c>
      <c r="B206">
        <f>SUMIFS('Draft Board'!$AD$2:$AD$161,'Draft Board'!$W$2:$W$161,A206,'Draft Board'!$AD$2:$AD$161,"&lt;&gt;")</f>
        <v>0</v>
      </c>
      <c r="C206">
        <f>SUMIFS('Draft Board'!$AC$2:$AC$161,'Draft Board'!$W$2:$W$161,A206,'Draft Board'!$AD$2:$AD$161,"&lt;&gt;")</f>
        <v>0</v>
      </c>
      <c r="D206">
        <f>COUNTIFS('Draft Board'!$W$2:$W$161,A206,'Draft Board'!$AD$2:$AD$161,"&lt;&gt;")</f>
        <v>0</v>
      </c>
      <c r="E206">
        <f>IFERROR(AVERAGEIFS('Draft Board'!$AC$2:$AC$161,'Draft Board'!$W$2:$W$161,A206),0)</f>
        <v>0</v>
      </c>
      <c r="F206">
        <f>MIN(1,E206/(Setup!$B$3*0.1))</f>
        <v>0</v>
      </c>
      <c r="G206">
        <f t="shared" si="6"/>
        <v>1</v>
      </c>
    </row>
    <row r="207" spans="1:7" x14ac:dyDescent="0.25">
      <c r="A207">
        <v>112</v>
      </c>
      <c r="B207">
        <f>SUMIFS('Draft Board'!$AD$2:$AD$161,'Draft Board'!$W$2:$W$161,A207,'Draft Board'!$AD$2:$AD$161,"&lt;&gt;")</f>
        <v>0</v>
      </c>
      <c r="C207">
        <f>SUMIFS('Draft Board'!$AC$2:$AC$161,'Draft Board'!$W$2:$W$161,A207,'Draft Board'!$AD$2:$AD$161,"&lt;&gt;")</f>
        <v>0</v>
      </c>
      <c r="D207">
        <f>COUNTIFS('Draft Board'!$W$2:$W$161,A207,'Draft Board'!$AD$2:$AD$161,"&lt;&gt;")</f>
        <v>0</v>
      </c>
      <c r="E207">
        <f>IFERROR(AVERAGEIFS('Draft Board'!$AC$2:$AC$161,'Draft Board'!$W$2:$W$161,A207),0)</f>
        <v>0</v>
      </c>
      <c r="F207">
        <f>MIN(1,E207/(Setup!$B$3*0.1))</f>
        <v>0</v>
      </c>
      <c r="G207">
        <f t="shared" si="6"/>
        <v>1</v>
      </c>
    </row>
    <row r="208" spans="1:7" x14ac:dyDescent="0.25">
      <c r="A208">
        <v>113</v>
      </c>
      <c r="B208">
        <f>SUMIFS('Draft Board'!$AD$2:$AD$161,'Draft Board'!$W$2:$W$161,A208,'Draft Board'!$AD$2:$AD$161,"&lt;&gt;")</f>
        <v>0</v>
      </c>
      <c r="C208">
        <f>SUMIFS('Draft Board'!$AC$2:$AC$161,'Draft Board'!$W$2:$W$161,A208,'Draft Board'!$AD$2:$AD$161,"&lt;&gt;")</f>
        <v>0</v>
      </c>
      <c r="D208">
        <f>COUNTIFS('Draft Board'!$W$2:$W$161,A208,'Draft Board'!$AD$2:$AD$161,"&lt;&gt;")</f>
        <v>0</v>
      </c>
      <c r="E208">
        <f>IFERROR(AVERAGEIFS('Draft Board'!$AC$2:$AC$161,'Draft Board'!$W$2:$W$161,A208),0)</f>
        <v>0</v>
      </c>
      <c r="F208">
        <f>MIN(1,E208/(Setup!$B$3*0.1))</f>
        <v>0</v>
      </c>
      <c r="G208">
        <f t="shared" si="6"/>
        <v>1</v>
      </c>
    </row>
    <row r="209" spans="1:7" x14ac:dyDescent="0.25">
      <c r="A209">
        <v>114</v>
      </c>
      <c r="B209">
        <f>SUMIFS('Draft Board'!$AD$2:$AD$161,'Draft Board'!$W$2:$W$161,A209,'Draft Board'!$AD$2:$AD$161,"&lt;&gt;")</f>
        <v>0</v>
      </c>
      <c r="C209">
        <f>SUMIFS('Draft Board'!$AC$2:$AC$161,'Draft Board'!$W$2:$W$161,A209,'Draft Board'!$AD$2:$AD$161,"&lt;&gt;")</f>
        <v>0</v>
      </c>
      <c r="D209">
        <f>COUNTIFS('Draft Board'!$W$2:$W$161,A209,'Draft Board'!$AD$2:$AD$161,"&lt;&gt;")</f>
        <v>0</v>
      </c>
      <c r="E209">
        <f>IFERROR(AVERAGEIFS('Draft Board'!$AC$2:$AC$161,'Draft Board'!$W$2:$W$161,A209),0)</f>
        <v>0</v>
      </c>
      <c r="F209">
        <f>MIN(1,E209/(Setup!$B$3*0.1))</f>
        <v>0</v>
      </c>
      <c r="G209">
        <f t="shared" si="6"/>
        <v>1</v>
      </c>
    </row>
    <row r="210" spans="1:7" x14ac:dyDescent="0.25">
      <c r="A210">
        <v>115</v>
      </c>
      <c r="B210">
        <f>SUMIFS('Draft Board'!$AD$2:$AD$161,'Draft Board'!$W$2:$W$161,A210,'Draft Board'!$AD$2:$AD$161,"&lt;&gt;")</f>
        <v>0</v>
      </c>
      <c r="C210">
        <f>SUMIFS('Draft Board'!$AC$2:$AC$161,'Draft Board'!$W$2:$W$161,A210,'Draft Board'!$AD$2:$AD$161,"&lt;&gt;")</f>
        <v>0</v>
      </c>
      <c r="D210">
        <f>COUNTIFS('Draft Board'!$W$2:$W$161,A210,'Draft Board'!$AD$2:$AD$161,"&lt;&gt;")</f>
        <v>0</v>
      </c>
      <c r="E210">
        <f>IFERROR(AVERAGEIFS('Draft Board'!$AC$2:$AC$161,'Draft Board'!$W$2:$W$161,A210),0)</f>
        <v>0</v>
      </c>
      <c r="F210">
        <f>MIN(1,E210/(Setup!$B$3*0.1))</f>
        <v>0</v>
      </c>
      <c r="G210">
        <f t="shared" si="6"/>
        <v>1</v>
      </c>
    </row>
    <row r="211" spans="1:7" x14ac:dyDescent="0.25">
      <c r="A211">
        <v>116</v>
      </c>
      <c r="B211">
        <f>SUMIFS('Draft Board'!$AD$2:$AD$161,'Draft Board'!$W$2:$W$161,A211,'Draft Board'!$AD$2:$AD$161,"&lt;&gt;")</f>
        <v>0</v>
      </c>
      <c r="C211">
        <f>SUMIFS('Draft Board'!$AC$2:$AC$161,'Draft Board'!$W$2:$W$161,A211,'Draft Board'!$AD$2:$AD$161,"&lt;&gt;")</f>
        <v>0</v>
      </c>
      <c r="D211">
        <f>COUNTIFS('Draft Board'!$W$2:$W$161,A211,'Draft Board'!$AD$2:$AD$161,"&lt;&gt;")</f>
        <v>0</v>
      </c>
      <c r="E211">
        <f>IFERROR(AVERAGEIFS('Draft Board'!$AC$2:$AC$161,'Draft Board'!$W$2:$W$161,A211),0)</f>
        <v>0</v>
      </c>
      <c r="F211">
        <f>MIN(1,E211/(Setup!$B$3*0.1))</f>
        <v>0</v>
      </c>
      <c r="G211">
        <f t="shared" si="6"/>
        <v>1</v>
      </c>
    </row>
    <row r="212" spans="1:7" x14ac:dyDescent="0.25">
      <c r="A212">
        <v>117</v>
      </c>
      <c r="B212">
        <f>SUMIFS('Draft Board'!$AD$2:$AD$161,'Draft Board'!$W$2:$W$161,A212,'Draft Board'!$AD$2:$AD$161,"&lt;&gt;")</f>
        <v>0</v>
      </c>
      <c r="C212">
        <f>SUMIFS('Draft Board'!$AC$2:$AC$161,'Draft Board'!$W$2:$W$161,A212,'Draft Board'!$AD$2:$AD$161,"&lt;&gt;")</f>
        <v>0</v>
      </c>
      <c r="D212">
        <f>COUNTIFS('Draft Board'!$W$2:$W$161,A212,'Draft Board'!$AD$2:$AD$161,"&lt;&gt;")</f>
        <v>0</v>
      </c>
      <c r="E212">
        <f>IFERROR(AVERAGEIFS('Draft Board'!$AC$2:$AC$161,'Draft Board'!$W$2:$W$161,A212),0)</f>
        <v>0</v>
      </c>
      <c r="F212">
        <f>MIN(1,E212/(Setup!$B$3*0.1))</f>
        <v>0</v>
      </c>
      <c r="G212">
        <f t="shared" si="6"/>
        <v>1</v>
      </c>
    </row>
    <row r="213" spans="1:7" x14ac:dyDescent="0.25">
      <c r="A213">
        <v>118</v>
      </c>
      <c r="B213">
        <f>SUMIFS('Draft Board'!$AD$2:$AD$161,'Draft Board'!$W$2:$W$161,A213,'Draft Board'!$AD$2:$AD$161,"&lt;&gt;")</f>
        <v>0</v>
      </c>
      <c r="C213">
        <f>SUMIFS('Draft Board'!$AC$2:$AC$161,'Draft Board'!$W$2:$W$161,A213,'Draft Board'!$AD$2:$AD$161,"&lt;&gt;")</f>
        <v>0</v>
      </c>
      <c r="D213">
        <f>COUNTIFS('Draft Board'!$W$2:$W$161,A213,'Draft Board'!$AD$2:$AD$161,"&lt;&gt;")</f>
        <v>0</v>
      </c>
      <c r="E213">
        <f>IFERROR(AVERAGEIFS('Draft Board'!$AC$2:$AC$161,'Draft Board'!$W$2:$W$161,A213),0)</f>
        <v>0</v>
      </c>
      <c r="F213">
        <f>MIN(1,E213/(Setup!$B$3*0.1))</f>
        <v>0</v>
      </c>
      <c r="G213">
        <f t="shared" si="6"/>
        <v>1</v>
      </c>
    </row>
    <row r="214" spans="1:7" x14ac:dyDescent="0.25">
      <c r="A214">
        <v>119</v>
      </c>
      <c r="B214">
        <f>SUMIFS('Draft Board'!$AD$2:$AD$161,'Draft Board'!$W$2:$W$161,A214,'Draft Board'!$AD$2:$AD$161,"&lt;&gt;")</f>
        <v>0</v>
      </c>
      <c r="C214">
        <f>SUMIFS('Draft Board'!$AC$2:$AC$161,'Draft Board'!$W$2:$W$161,A214,'Draft Board'!$AD$2:$AD$161,"&lt;&gt;")</f>
        <v>0</v>
      </c>
      <c r="D214">
        <f>COUNTIFS('Draft Board'!$W$2:$W$161,A214,'Draft Board'!$AD$2:$AD$161,"&lt;&gt;")</f>
        <v>0</v>
      </c>
      <c r="E214">
        <f>IFERROR(AVERAGEIFS('Draft Board'!$AC$2:$AC$161,'Draft Board'!$W$2:$W$161,A214),0)</f>
        <v>0</v>
      </c>
      <c r="F214">
        <f>MIN(1,E214/(Setup!$B$3*0.1))</f>
        <v>0</v>
      </c>
      <c r="G214">
        <f t="shared" si="6"/>
        <v>1</v>
      </c>
    </row>
    <row r="215" spans="1:7" x14ac:dyDescent="0.25">
      <c r="A215">
        <v>120</v>
      </c>
      <c r="B215">
        <f>SUMIFS('Draft Board'!$AD$2:$AD$161,'Draft Board'!$W$2:$W$161,A215,'Draft Board'!$AD$2:$AD$161,"&lt;&gt;")</f>
        <v>0</v>
      </c>
      <c r="C215">
        <f>SUMIFS('Draft Board'!$AC$2:$AC$161,'Draft Board'!$W$2:$W$161,A215,'Draft Board'!$AD$2:$AD$161,"&lt;&gt;")</f>
        <v>0</v>
      </c>
      <c r="D215">
        <f>COUNTIFS('Draft Board'!$W$2:$W$161,A215,'Draft Board'!$AD$2:$AD$161,"&lt;&gt;")</f>
        <v>0</v>
      </c>
      <c r="E215">
        <f>IFERROR(AVERAGEIFS('Draft Board'!$AC$2:$AC$161,'Draft Board'!$W$2:$W$161,A215),0)</f>
        <v>0</v>
      </c>
      <c r="F215">
        <f>MIN(1,E215/(Setup!$B$3*0.1))</f>
        <v>0</v>
      </c>
      <c r="G215">
        <f t="shared" si="6"/>
        <v>1</v>
      </c>
    </row>
    <row r="216" spans="1:7" x14ac:dyDescent="0.25">
      <c r="A216">
        <v>121</v>
      </c>
      <c r="B216">
        <f>SUMIFS('Draft Board'!$AD$2:$AD$161,'Draft Board'!$W$2:$W$161,A216,'Draft Board'!$AD$2:$AD$161,"&lt;&gt;")</f>
        <v>0</v>
      </c>
      <c r="C216">
        <f>SUMIFS('Draft Board'!$AC$2:$AC$161,'Draft Board'!$W$2:$W$161,A216,'Draft Board'!$AD$2:$AD$161,"&lt;&gt;")</f>
        <v>0</v>
      </c>
      <c r="D216">
        <f>COUNTIFS('Draft Board'!$W$2:$W$161,A216,'Draft Board'!$AD$2:$AD$161,"&lt;&gt;")</f>
        <v>0</v>
      </c>
      <c r="E216">
        <f>IFERROR(AVERAGEIFS('Draft Board'!$AC$2:$AC$161,'Draft Board'!$W$2:$W$161,A216),0)</f>
        <v>0</v>
      </c>
      <c r="F216">
        <f>MIN(1,E216/(Setup!$B$3*0.1))</f>
        <v>0</v>
      </c>
      <c r="G216">
        <f t="shared" si="6"/>
        <v>1</v>
      </c>
    </row>
    <row r="217" spans="1:7" x14ac:dyDescent="0.25">
      <c r="A217">
        <v>122</v>
      </c>
      <c r="B217">
        <f>SUMIFS('Draft Board'!$AD$2:$AD$161,'Draft Board'!$W$2:$W$161,A217,'Draft Board'!$AD$2:$AD$161,"&lt;&gt;")</f>
        <v>0</v>
      </c>
      <c r="C217">
        <f>SUMIFS('Draft Board'!$AC$2:$AC$161,'Draft Board'!$W$2:$W$161,A217,'Draft Board'!$AD$2:$AD$161,"&lt;&gt;")</f>
        <v>0</v>
      </c>
      <c r="D217">
        <f>COUNTIFS('Draft Board'!$W$2:$W$161,A217,'Draft Board'!$AD$2:$AD$161,"&lt;&gt;")</f>
        <v>0</v>
      </c>
      <c r="E217">
        <f>IFERROR(AVERAGEIFS('Draft Board'!$AC$2:$AC$161,'Draft Board'!$W$2:$W$161,A217),0)</f>
        <v>0</v>
      </c>
      <c r="F217">
        <f>MIN(1,E217/(Setup!$B$3*0.1))</f>
        <v>0</v>
      </c>
      <c r="G217">
        <f t="shared" si="6"/>
        <v>1</v>
      </c>
    </row>
    <row r="218" spans="1:7" x14ac:dyDescent="0.25">
      <c r="A218">
        <v>123</v>
      </c>
      <c r="B218">
        <f>SUMIFS('Draft Board'!$AD$2:$AD$161,'Draft Board'!$W$2:$W$161,A218,'Draft Board'!$AD$2:$AD$161,"&lt;&gt;")</f>
        <v>0</v>
      </c>
      <c r="C218">
        <f>SUMIFS('Draft Board'!$AC$2:$AC$161,'Draft Board'!$W$2:$W$161,A218,'Draft Board'!$AD$2:$AD$161,"&lt;&gt;")</f>
        <v>0</v>
      </c>
      <c r="D218">
        <f>COUNTIFS('Draft Board'!$W$2:$W$161,A218,'Draft Board'!$AD$2:$AD$161,"&lt;&gt;")</f>
        <v>0</v>
      </c>
      <c r="E218">
        <f>IFERROR(AVERAGEIFS('Draft Board'!$AC$2:$AC$161,'Draft Board'!$W$2:$W$161,A218),0)</f>
        <v>0</v>
      </c>
      <c r="F218">
        <f>MIN(1,E218/(Setup!$B$3*0.1))</f>
        <v>0</v>
      </c>
      <c r="G218">
        <f t="shared" si="6"/>
        <v>1</v>
      </c>
    </row>
    <row r="219" spans="1:7" x14ac:dyDescent="0.25">
      <c r="A219">
        <v>124</v>
      </c>
      <c r="B219">
        <f>SUMIFS('Draft Board'!$AD$2:$AD$161,'Draft Board'!$W$2:$W$161,A219,'Draft Board'!$AD$2:$AD$161,"&lt;&gt;")</f>
        <v>0</v>
      </c>
      <c r="C219">
        <f>SUMIFS('Draft Board'!$AC$2:$AC$161,'Draft Board'!$W$2:$W$161,A219,'Draft Board'!$AD$2:$AD$161,"&lt;&gt;")</f>
        <v>0</v>
      </c>
      <c r="D219">
        <f>COUNTIFS('Draft Board'!$W$2:$W$161,A219,'Draft Board'!$AD$2:$AD$161,"&lt;&gt;")</f>
        <v>0</v>
      </c>
      <c r="E219">
        <f>IFERROR(AVERAGEIFS('Draft Board'!$AC$2:$AC$161,'Draft Board'!$W$2:$W$161,A219),0)</f>
        <v>0</v>
      </c>
      <c r="F219">
        <f>MIN(1,E219/(Setup!$B$3*0.1))</f>
        <v>0</v>
      </c>
      <c r="G219">
        <f t="shared" si="6"/>
        <v>1</v>
      </c>
    </row>
    <row r="220" spans="1:7" x14ac:dyDescent="0.25">
      <c r="A220">
        <v>125</v>
      </c>
      <c r="B220">
        <f>SUMIFS('Draft Board'!$AD$2:$AD$161,'Draft Board'!$W$2:$W$161,A220,'Draft Board'!$AD$2:$AD$161,"&lt;&gt;")</f>
        <v>0</v>
      </c>
      <c r="C220">
        <f>SUMIFS('Draft Board'!$AC$2:$AC$161,'Draft Board'!$W$2:$W$161,A220,'Draft Board'!$AD$2:$AD$161,"&lt;&gt;")</f>
        <v>0</v>
      </c>
      <c r="D220">
        <f>COUNTIFS('Draft Board'!$W$2:$W$161,A220,'Draft Board'!$AD$2:$AD$161,"&lt;&gt;")</f>
        <v>0</v>
      </c>
      <c r="E220">
        <f>IFERROR(AVERAGEIFS('Draft Board'!$AC$2:$AC$161,'Draft Board'!$W$2:$W$161,A220),0)</f>
        <v>0</v>
      </c>
      <c r="F220">
        <f>MIN(1,E220/(Setup!$B$3*0.1))</f>
        <v>0</v>
      </c>
      <c r="G220">
        <f t="shared" si="6"/>
        <v>1</v>
      </c>
    </row>
    <row r="221" spans="1:7" x14ac:dyDescent="0.25">
      <c r="A221">
        <v>126</v>
      </c>
      <c r="B221">
        <f>SUMIFS('Draft Board'!$AD$2:$AD$161,'Draft Board'!$W$2:$W$161,A221,'Draft Board'!$AD$2:$AD$161,"&lt;&gt;")</f>
        <v>0</v>
      </c>
      <c r="C221">
        <f>SUMIFS('Draft Board'!$AC$2:$AC$161,'Draft Board'!$W$2:$W$161,A221,'Draft Board'!$AD$2:$AD$161,"&lt;&gt;")</f>
        <v>0</v>
      </c>
      <c r="D221">
        <f>COUNTIFS('Draft Board'!$W$2:$W$161,A221,'Draft Board'!$AD$2:$AD$161,"&lt;&gt;")</f>
        <v>0</v>
      </c>
      <c r="E221">
        <f>IFERROR(AVERAGEIFS('Draft Board'!$AC$2:$AC$161,'Draft Board'!$W$2:$W$161,A221),0)</f>
        <v>0</v>
      </c>
      <c r="F221">
        <f>MIN(1,E221/(Setup!$B$3*0.1))</f>
        <v>0</v>
      </c>
      <c r="G221">
        <f t="shared" si="6"/>
        <v>1</v>
      </c>
    </row>
    <row r="222" spans="1:7" x14ac:dyDescent="0.25">
      <c r="A222">
        <v>127</v>
      </c>
      <c r="B222">
        <f>SUMIFS('Draft Board'!$AD$2:$AD$161,'Draft Board'!$W$2:$W$161,A222,'Draft Board'!$AD$2:$AD$161,"&lt;&gt;")</f>
        <v>0</v>
      </c>
      <c r="C222">
        <f>SUMIFS('Draft Board'!$AC$2:$AC$161,'Draft Board'!$W$2:$W$161,A222,'Draft Board'!$AD$2:$AD$161,"&lt;&gt;")</f>
        <v>0</v>
      </c>
      <c r="D222">
        <f>COUNTIFS('Draft Board'!$W$2:$W$161,A222,'Draft Board'!$AD$2:$AD$161,"&lt;&gt;")</f>
        <v>0</v>
      </c>
      <c r="E222">
        <f>IFERROR(AVERAGEIFS('Draft Board'!$AC$2:$AC$161,'Draft Board'!$W$2:$W$161,A222),0)</f>
        <v>0</v>
      </c>
      <c r="F222">
        <f>MIN(1,E222/(Setup!$B$3*0.1))</f>
        <v>0</v>
      </c>
      <c r="G222">
        <f t="shared" si="6"/>
        <v>1</v>
      </c>
    </row>
    <row r="223" spans="1:7" x14ac:dyDescent="0.25">
      <c r="A223">
        <v>128</v>
      </c>
      <c r="B223">
        <f>SUMIFS('Draft Board'!$AD$2:$AD$161,'Draft Board'!$W$2:$W$161,A223,'Draft Board'!$AD$2:$AD$161,"&lt;&gt;")</f>
        <v>0</v>
      </c>
      <c r="C223">
        <f>SUMIFS('Draft Board'!$AC$2:$AC$161,'Draft Board'!$W$2:$W$161,A223,'Draft Board'!$AD$2:$AD$161,"&lt;&gt;")</f>
        <v>0</v>
      </c>
      <c r="D223">
        <f>COUNTIFS('Draft Board'!$W$2:$W$161,A223,'Draft Board'!$AD$2:$AD$161,"&lt;&gt;")</f>
        <v>0</v>
      </c>
      <c r="E223">
        <f>IFERROR(AVERAGEIFS('Draft Board'!$AC$2:$AC$161,'Draft Board'!$W$2:$W$161,A223),0)</f>
        <v>0</v>
      </c>
      <c r="F223">
        <f>MIN(1,E223/(Setup!$B$3*0.1))</f>
        <v>0</v>
      </c>
      <c r="G223">
        <f t="shared" si="6"/>
        <v>1</v>
      </c>
    </row>
    <row r="224" spans="1:7" x14ac:dyDescent="0.25">
      <c r="A224">
        <v>129</v>
      </c>
      <c r="B224">
        <f>SUMIFS('Draft Board'!$AD$2:$AD$161,'Draft Board'!$W$2:$W$161,A224,'Draft Board'!$AD$2:$AD$161,"&lt;&gt;")</f>
        <v>0</v>
      </c>
      <c r="C224">
        <f>SUMIFS('Draft Board'!$AC$2:$AC$161,'Draft Board'!$W$2:$W$161,A224,'Draft Board'!$AD$2:$AD$161,"&lt;&gt;")</f>
        <v>0</v>
      </c>
      <c r="D224">
        <f>COUNTIFS('Draft Board'!$W$2:$W$161,A224,'Draft Board'!$AD$2:$AD$161,"&lt;&gt;")</f>
        <v>0</v>
      </c>
      <c r="E224">
        <f>IFERROR(AVERAGEIFS('Draft Board'!$AC$2:$AC$161,'Draft Board'!$W$2:$W$161,A224),0)</f>
        <v>0</v>
      </c>
      <c r="F224">
        <f>MIN(1,E224/(Setup!$B$3*0.1))</f>
        <v>0</v>
      </c>
      <c r="G224">
        <f t="shared" ref="G224:G255" si="7">IF(D224&lt;2,1,MEDIAN(0.5,2,1+(IFERROR(B224/C224,1)-1)*F224))</f>
        <v>1</v>
      </c>
    </row>
    <row r="225" spans="1:7" x14ac:dyDescent="0.25">
      <c r="A225">
        <v>130</v>
      </c>
      <c r="B225">
        <f>SUMIFS('Draft Board'!$AD$2:$AD$161,'Draft Board'!$W$2:$W$161,A225,'Draft Board'!$AD$2:$AD$161,"&lt;&gt;")</f>
        <v>0</v>
      </c>
      <c r="C225">
        <f>SUMIFS('Draft Board'!$AC$2:$AC$161,'Draft Board'!$W$2:$W$161,A225,'Draft Board'!$AD$2:$AD$161,"&lt;&gt;")</f>
        <v>0</v>
      </c>
      <c r="D225">
        <f>COUNTIFS('Draft Board'!$W$2:$W$161,A225,'Draft Board'!$AD$2:$AD$161,"&lt;&gt;")</f>
        <v>0</v>
      </c>
      <c r="E225">
        <f>IFERROR(AVERAGEIFS('Draft Board'!$AC$2:$AC$161,'Draft Board'!$W$2:$W$161,A225),0)</f>
        <v>0</v>
      </c>
      <c r="F225">
        <f>MIN(1,E225/(Setup!$B$3*0.1))</f>
        <v>0</v>
      </c>
      <c r="G225">
        <f t="shared" si="7"/>
        <v>1</v>
      </c>
    </row>
    <row r="226" spans="1:7" x14ac:dyDescent="0.25">
      <c r="A226">
        <v>131</v>
      </c>
      <c r="B226">
        <f>SUMIFS('Draft Board'!$AD$2:$AD$161,'Draft Board'!$W$2:$W$161,A226,'Draft Board'!$AD$2:$AD$161,"&lt;&gt;")</f>
        <v>0</v>
      </c>
      <c r="C226">
        <f>SUMIFS('Draft Board'!$AC$2:$AC$161,'Draft Board'!$W$2:$W$161,A226,'Draft Board'!$AD$2:$AD$161,"&lt;&gt;")</f>
        <v>0</v>
      </c>
      <c r="D226">
        <f>COUNTIFS('Draft Board'!$W$2:$W$161,A226,'Draft Board'!$AD$2:$AD$161,"&lt;&gt;")</f>
        <v>0</v>
      </c>
      <c r="E226">
        <f>IFERROR(AVERAGEIFS('Draft Board'!$AC$2:$AC$161,'Draft Board'!$W$2:$W$161,A226),0)</f>
        <v>0</v>
      </c>
      <c r="F226">
        <f>MIN(1,E226/(Setup!$B$3*0.1))</f>
        <v>0</v>
      </c>
      <c r="G226">
        <f t="shared" si="7"/>
        <v>1</v>
      </c>
    </row>
    <row r="227" spans="1:7" x14ac:dyDescent="0.25">
      <c r="A227">
        <v>132</v>
      </c>
      <c r="B227">
        <f>SUMIFS('Draft Board'!$AD$2:$AD$161,'Draft Board'!$W$2:$W$161,A227,'Draft Board'!$AD$2:$AD$161,"&lt;&gt;")</f>
        <v>0</v>
      </c>
      <c r="C227">
        <f>SUMIFS('Draft Board'!$AC$2:$AC$161,'Draft Board'!$W$2:$W$161,A227,'Draft Board'!$AD$2:$AD$161,"&lt;&gt;")</f>
        <v>0</v>
      </c>
      <c r="D227">
        <f>COUNTIFS('Draft Board'!$W$2:$W$161,A227,'Draft Board'!$AD$2:$AD$161,"&lt;&gt;")</f>
        <v>0</v>
      </c>
      <c r="E227">
        <f>IFERROR(AVERAGEIFS('Draft Board'!$AC$2:$AC$161,'Draft Board'!$W$2:$W$161,A227),0)</f>
        <v>0</v>
      </c>
      <c r="F227">
        <f>MIN(1,E227/(Setup!$B$3*0.1))</f>
        <v>0</v>
      </c>
      <c r="G227">
        <f t="shared" si="7"/>
        <v>1</v>
      </c>
    </row>
    <row r="228" spans="1:7" x14ac:dyDescent="0.25">
      <c r="A228">
        <v>133</v>
      </c>
      <c r="B228">
        <f>SUMIFS('Draft Board'!$AD$2:$AD$161,'Draft Board'!$W$2:$W$161,A228,'Draft Board'!$AD$2:$AD$161,"&lt;&gt;")</f>
        <v>0</v>
      </c>
      <c r="C228">
        <f>SUMIFS('Draft Board'!$AC$2:$AC$161,'Draft Board'!$W$2:$W$161,A228,'Draft Board'!$AD$2:$AD$161,"&lt;&gt;")</f>
        <v>0</v>
      </c>
      <c r="D228">
        <f>COUNTIFS('Draft Board'!$W$2:$W$161,A228,'Draft Board'!$AD$2:$AD$161,"&lt;&gt;")</f>
        <v>0</v>
      </c>
      <c r="E228">
        <f>IFERROR(AVERAGEIFS('Draft Board'!$AC$2:$AC$161,'Draft Board'!$W$2:$W$161,A228),0)</f>
        <v>0</v>
      </c>
      <c r="F228">
        <f>MIN(1,E228/(Setup!$B$3*0.1))</f>
        <v>0</v>
      </c>
      <c r="G228">
        <f t="shared" si="7"/>
        <v>1</v>
      </c>
    </row>
    <row r="229" spans="1:7" x14ac:dyDescent="0.25">
      <c r="A229">
        <v>134</v>
      </c>
      <c r="B229">
        <f>SUMIFS('Draft Board'!$AD$2:$AD$161,'Draft Board'!$W$2:$W$161,A229,'Draft Board'!$AD$2:$AD$161,"&lt;&gt;")</f>
        <v>0</v>
      </c>
      <c r="C229">
        <f>SUMIFS('Draft Board'!$AC$2:$AC$161,'Draft Board'!$W$2:$W$161,A229,'Draft Board'!$AD$2:$AD$161,"&lt;&gt;")</f>
        <v>0</v>
      </c>
      <c r="D229">
        <f>COUNTIFS('Draft Board'!$W$2:$W$161,A229,'Draft Board'!$AD$2:$AD$161,"&lt;&gt;")</f>
        <v>0</v>
      </c>
      <c r="E229">
        <f>IFERROR(AVERAGEIFS('Draft Board'!$AC$2:$AC$161,'Draft Board'!$W$2:$W$161,A229),0)</f>
        <v>0</v>
      </c>
      <c r="F229">
        <f>MIN(1,E229/(Setup!$B$3*0.1))</f>
        <v>0</v>
      </c>
      <c r="G229">
        <f t="shared" si="7"/>
        <v>1</v>
      </c>
    </row>
    <row r="230" spans="1:7" x14ac:dyDescent="0.25">
      <c r="A230">
        <v>135</v>
      </c>
      <c r="B230">
        <f>SUMIFS('Draft Board'!$AD$2:$AD$161,'Draft Board'!$W$2:$W$161,A230,'Draft Board'!$AD$2:$AD$161,"&lt;&gt;")</f>
        <v>0</v>
      </c>
      <c r="C230">
        <f>SUMIFS('Draft Board'!$AC$2:$AC$161,'Draft Board'!$W$2:$W$161,A230,'Draft Board'!$AD$2:$AD$161,"&lt;&gt;")</f>
        <v>0</v>
      </c>
      <c r="D230">
        <f>COUNTIFS('Draft Board'!$W$2:$W$161,A230,'Draft Board'!$AD$2:$AD$161,"&lt;&gt;")</f>
        <v>0</v>
      </c>
      <c r="E230">
        <f>IFERROR(AVERAGEIFS('Draft Board'!$AC$2:$AC$161,'Draft Board'!$W$2:$W$161,A230),0)</f>
        <v>0</v>
      </c>
      <c r="F230">
        <f>MIN(1,E230/(Setup!$B$3*0.1))</f>
        <v>0</v>
      </c>
      <c r="G230">
        <f t="shared" si="7"/>
        <v>1</v>
      </c>
    </row>
    <row r="231" spans="1:7" x14ac:dyDescent="0.25">
      <c r="A231">
        <v>136</v>
      </c>
      <c r="B231">
        <f>SUMIFS('Draft Board'!$AD$2:$AD$161,'Draft Board'!$W$2:$W$161,A231,'Draft Board'!$AD$2:$AD$161,"&lt;&gt;")</f>
        <v>0</v>
      </c>
      <c r="C231">
        <f>SUMIFS('Draft Board'!$AC$2:$AC$161,'Draft Board'!$W$2:$W$161,A231,'Draft Board'!$AD$2:$AD$161,"&lt;&gt;")</f>
        <v>0</v>
      </c>
      <c r="D231">
        <f>COUNTIFS('Draft Board'!$W$2:$W$161,A231,'Draft Board'!$AD$2:$AD$161,"&lt;&gt;")</f>
        <v>0</v>
      </c>
      <c r="E231">
        <f>IFERROR(AVERAGEIFS('Draft Board'!$AC$2:$AC$161,'Draft Board'!$W$2:$W$161,A231),0)</f>
        <v>0</v>
      </c>
      <c r="F231">
        <f>MIN(1,E231/(Setup!$B$3*0.1))</f>
        <v>0</v>
      </c>
      <c r="G231">
        <f t="shared" si="7"/>
        <v>1</v>
      </c>
    </row>
    <row r="232" spans="1:7" x14ac:dyDescent="0.25">
      <c r="A232">
        <v>137</v>
      </c>
      <c r="B232">
        <f>SUMIFS('Draft Board'!$AD$2:$AD$161,'Draft Board'!$W$2:$W$161,A232,'Draft Board'!$AD$2:$AD$161,"&lt;&gt;")</f>
        <v>0</v>
      </c>
      <c r="C232">
        <f>SUMIFS('Draft Board'!$AC$2:$AC$161,'Draft Board'!$W$2:$W$161,A232,'Draft Board'!$AD$2:$AD$161,"&lt;&gt;")</f>
        <v>0</v>
      </c>
      <c r="D232">
        <f>COUNTIFS('Draft Board'!$W$2:$W$161,A232,'Draft Board'!$AD$2:$AD$161,"&lt;&gt;")</f>
        <v>0</v>
      </c>
      <c r="E232">
        <f>IFERROR(AVERAGEIFS('Draft Board'!$AC$2:$AC$161,'Draft Board'!$W$2:$W$161,A232),0)</f>
        <v>0</v>
      </c>
      <c r="F232">
        <f>MIN(1,E232/(Setup!$B$3*0.1))</f>
        <v>0</v>
      </c>
      <c r="G232">
        <f t="shared" si="7"/>
        <v>1</v>
      </c>
    </row>
    <row r="233" spans="1:7" x14ac:dyDescent="0.25">
      <c r="A233">
        <v>138</v>
      </c>
      <c r="B233">
        <f>SUMIFS('Draft Board'!$AD$2:$AD$161,'Draft Board'!$W$2:$W$161,A233,'Draft Board'!$AD$2:$AD$161,"&lt;&gt;")</f>
        <v>0</v>
      </c>
      <c r="C233">
        <f>SUMIFS('Draft Board'!$AC$2:$AC$161,'Draft Board'!$W$2:$W$161,A233,'Draft Board'!$AD$2:$AD$161,"&lt;&gt;")</f>
        <v>0</v>
      </c>
      <c r="D233">
        <f>COUNTIFS('Draft Board'!$W$2:$W$161,A233,'Draft Board'!$AD$2:$AD$161,"&lt;&gt;")</f>
        <v>0</v>
      </c>
      <c r="E233">
        <f>IFERROR(AVERAGEIFS('Draft Board'!$AC$2:$AC$161,'Draft Board'!$W$2:$W$161,A233),0)</f>
        <v>0</v>
      </c>
      <c r="F233">
        <f>MIN(1,E233/(Setup!$B$3*0.1))</f>
        <v>0</v>
      </c>
      <c r="G233">
        <f t="shared" si="7"/>
        <v>1</v>
      </c>
    </row>
    <row r="234" spans="1:7" x14ac:dyDescent="0.25">
      <c r="A234">
        <v>139</v>
      </c>
      <c r="B234">
        <f>SUMIFS('Draft Board'!$AD$2:$AD$161,'Draft Board'!$W$2:$W$161,A234,'Draft Board'!$AD$2:$AD$161,"&lt;&gt;")</f>
        <v>0</v>
      </c>
      <c r="C234">
        <f>SUMIFS('Draft Board'!$AC$2:$AC$161,'Draft Board'!$W$2:$W$161,A234,'Draft Board'!$AD$2:$AD$161,"&lt;&gt;")</f>
        <v>0</v>
      </c>
      <c r="D234">
        <f>COUNTIFS('Draft Board'!$W$2:$W$161,A234,'Draft Board'!$AD$2:$AD$161,"&lt;&gt;")</f>
        <v>0</v>
      </c>
      <c r="E234">
        <f>IFERROR(AVERAGEIFS('Draft Board'!$AC$2:$AC$161,'Draft Board'!$W$2:$W$161,A234),0)</f>
        <v>0</v>
      </c>
      <c r="F234">
        <f>MIN(1,E234/(Setup!$B$3*0.1))</f>
        <v>0</v>
      </c>
      <c r="G234">
        <f t="shared" si="7"/>
        <v>1</v>
      </c>
    </row>
    <row r="235" spans="1:7" x14ac:dyDescent="0.25">
      <c r="A235">
        <v>140</v>
      </c>
      <c r="B235">
        <f>SUMIFS('Draft Board'!$AD$2:$AD$161,'Draft Board'!$W$2:$W$161,A235,'Draft Board'!$AD$2:$AD$161,"&lt;&gt;")</f>
        <v>0</v>
      </c>
      <c r="C235">
        <f>SUMIFS('Draft Board'!$AC$2:$AC$161,'Draft Board'!$W$2:$W$161,A235,'Draft Board'!$AD$2:$AD$161,"&lt;&gt;")</f>
        <v>0</v>
      </c>
      <c r="D235">
        <f>COUNTIFS('Draft Board'!$W$2:$W$161,A235,'Draft Board'!$AD$2:$AD$161,"&lt;&gt;")</f>
        <v>0</v>
      </c>
      <c r="E235">
        <f>IFERROR(AVERAGEIFS('Draft Board'!$AC$2:$AC$161,'Draft Board'!$W$2:$W$161,A235),0)</f>
        <v>0</v>
      </c>
      <c r="F235">
        <f>MIN(1,E235/(Setup!$B$3*0.1))</f>
        <v>0</v>
      </c>
      <c r="G235">
        <f t="shared" si="7"/>
        <v>1</v>
      </c>
    </row>
    <row r="236" spans="1:7" x14ac:dyDescent="0.25">
      <c r="A236">
        <v>141</v>
      </c>
      <c r="B236">
        <f>SUMIFS('Draft Board'!$AD$2:$AD$161,'Draft Board'!$W$2:$W$161,A236,'Draft Board'!$AD$2:$AD$161,"&lt;&gt;")</f>
        <v>0</v>
      </c>
      <c r="C236">
        <f>SUMIFS('Draft Board'!$AC$2:$AC$161,'Draft Board'!$W$2:$W$161,A236,'Draft Board'!$AD$2:$AD$161,"&lt;&gt;")</f>
        <v>0</v>
      </c>
      <c r="D236">
        <f>COUNTIFS('Draft Board'!$W$2:$W$161,A236,'Draft Board'!$AD$2:$AD$161,"&lt;&gt;")</f>
        <v>0</v>
      </c>
      <c r="E236">
        <f>IFERROR(AVERAGEIFS('Draft Board'!$AC$2:$AC$161,'Draft Board'!$W$2:$W$161,A236),0)</f>
        <v>0</v>
      </c>
      <c r="F236">
        <f>MIN(1,E236/(Setup!$B$3*0.1))</f>
        <v>0</v>
      </c>
      <c r="G236">
        <f t="shared" si="7"/>
        <v>1</v>
      </c>
    </row>
    <row r="237" spans="1:7" x14ac:dyDescent="0.25">
      <c r="A237">
        <v>142</v>
      </c>
      <c r="B237">
        <f>SUMIFS('Draft Board'!$AD$2:$AD$161,'Draft Board'!$W$2:$W$161,A237,'Draft Board'!$AD$2:$AD$161,"&lt;&gt;")</f>
        <v>0</v>
      </c>
      <c r="C237">
        <f>SUMIFS('Draft Board'!$AC$2:$AC$161,'Draft Board'!$W$2:$W$161,A237,'Draft Board'!$AD$2:$AD$161,"&lt;&gt;")</f>
        <v>0</v>
      </c>
      <c r="D237">
        <f>COUNTIFS('Draft Board'!$W$2:$W$161,A237,'Draft Board'!$AD$2:$AD$161,"&lt;&gt;")</f>
        <v>0</v>
      </c>
      <c r="E237">
        <f>IFERROR(AVERAGEIFS('Draft Board'!$AC$2:$AC$161,'Draft Board'!$W$2:$W$161,A237),0)</f>
        <v>0</v>
      </c>
      <c r="F237">
        <f>MIN(1,E237/(Setup!$B$3*0.1))</f>
        <v>0</v>
      </c>
      <c r="G237">
        <f t="shared" si="7"/>
        <v>1</v>
      </c>
    </row>
    <row r="238" spans="1:7" x14ac:dyDescent="0.25">
      <c r="A238">
        <v>143</v>
      </c>
      <c r="B238">
        <f>SUMIFS('Draft Board'!$AD$2:$AD$161,'Draft Board'!$W$2:$W$161,A238,'Draft Board'!$AD$2:$AD$161,"&lt;&gt;")</f>
        <v>0</v>
      </c>
      <c r="C238">
        <f>SUMIFS('Draft Board'!$AC$2:$AC$161,'Draft Board'!$W$2:$W$161,A238,'Draft Board'!$AD$2:$AD$161,"&lt;&gt;")</f>
        <v>0</v>
      </c>
      <c r="D238">
        <f>COUNTIFS('Draft Board'!$W$2:$W$161,A238,'Draft Board'!$AD$2:$AD$161,"&lt;&gt;")</f>
        <v>0</v>
      </c>
      <c r="E238">
        <f>IFERROR(AVERAGEIFS('Draft Board'!$AC$2:$AC$161,'Draft Board'!$W$2:$W$161,A238),0)</f>
        <v>0</v>
      </c>
      <c r="F238">
        <f>MIN(1,E238/(Setup!$B$3*0.1))</f>
        <v>0</v>
      </c>
      <c r="G238">
        <f t="shared" si="7"/>
        <v>1</v>
      </c>
    </row>
    <row r="239" spans="1:7" x14ac:dyDescent="0.25">
      <c r="A239">
        <v>144</v>
      </c>
      <c r="B239">
        <f>SUMIFS('Draft Board'!$AD$2:$AD$161,'Draft Board'!$W$2:$W$161,A239,'Draft Board'!$AD$2:$AD$161,"&lt;&gt;")</f>
        <v>0</v>
      </c>
      <c r="C239">
        <f>SUMIFS('Draft Board'!$AC$2:$AC$161,'Draft Board'!$W$2:$W$161,A239,'Draft Board'!$AD$2:$AD$161,"&lt;&gt;")</f>
        <v>0</v>
      </c>
      <c r="D239">
        <f>COUNTIFS('Draft Board'!$W$2:$W$161,A239,'Draft Board'!$AD$2:$AD$161,"&lt;&gt;")</f>
        <v>0</v>
      </c>
      <c r="E239">
        <f>IFERROR(AVERAGEIFS('Draft Board'!$AC$2:$AC$161,'Draft Board'!$W$2:$W$161,A239),0)</f>
        <v>0</v>
      </c>
      <c r="F239">
        <f>MIN(1,E239/(Setup!$B$3*0.1))</f>
        <v>0</v>
      </c>
      <c r="G239">
        <f t="shared" si="7"/>
        <v>1</v>
      </c>
    </row>
    <row r="240" spans="1:7" x14ac:dyDescent="0.25">
      <c r="A240">
        <v>145</v>
      </c>
      <c r="B240">
        <f>SUMIFS('Draft Board'!$AD$2:$AD$161,'Draft Board'!$W$2:$W$161,A240,'Draft Board'!$AD$2:$AD$161,"&lt;&gt;")</f>
        <v>0</v>
      </c>
      <c r="C240">
        <f>SUMIFS('Draft Board'!$AC$2:$AC$161,'Draft Board'!$W$2:$W$161,A240,'Draft Board'!$AD$2:$AD$161,"&lt;&gt;")</f>
        <v>0</v>
      </c>
      <c r="D240">
        <f>COUNTIFS('Draft Board'!$W$2:$W$161,A240,'Draft Board'!$AD$2:$AD$161,"&lt;&gt;")</f>
        <v>0</v>
      </c>
      <c r="E240">
        <f>IFERROR(AVERAGEIFS('Draft Board'!$AC$2:$AC$161,'Draft Board'!$W$2:$W$161,A240),0)</f>
        <v>0</v>
      </c>
      <c r="F240">
        <f>MIN(1,E240/(Setup!$B$3*0.1))</f>
        <v>0</v>
      </c>
      <c r="G240">
        <f t="shared" si="7"/>
        <v>1</v>
      </c>
    </row>
    <row r="241" spans="1:7" x14ac:dyDescent="0.25">
      <c r="A241">
        <v>146</v>
      </c>
      <c r="B241">
        <f>SUMIFS('Draft Board'!$AD$2:$AD$161,'Draft Board'!$W$2:$W$161,A241,'Draft Board'!$AD$2:$AD$161,"&lt;&gt;")</f>
        <v>0</v>
      </c>
      <c r="C241">
        <f>SUMIFS('Draft Board'!$AC$2:$AC$161,'Draft Board'!$W$2:$W$161,A241,'Draft Board'!$AD$2:$AD$161,"&lt;&gt;")</f>
        <v>0</v>
      </c>
      <c r="D241">
        <f>COUNTIFS('Draft Board'!$W$2:$W$161,A241,'Draft Board'!$AD$2:$AD$161,"&lt;&gt;")</f>
        <v>0</v>
      </c>
      <c r="E241">
        <f>IFERROR(AVERAGEIFS('Draft Board'!$AC$2:$AC$161,'Draft Board'!$W$2:$W$161,A241),0)</f>
        <v>0</v>
      </c>
      <c r="F241">
        <f>MIN(1,E241/(Setup!$B$3*0.1))</f>
        <v>0</v>
      </c>
      <c r="G241">
        <f t="shared" si="7"/>
        <v>1</v>
      </c>
    </row>
    <row r="242" spans="1:7" x14ac:dyDescent="0.25">
      <c r="A242">
        <v>147</v>
      </c>
      <c r="B242">
        <f>SUMIFS('Draft Board'!$AD$2:$AD$161,'Draft Board'!$W$2:$W$161,A242,'Draft Board'!$AD$2:$AD$161,"&lt;&gt;")</f>
        <v>0</v>
      </c>
      <c r="C242">
        <f>SUMIFS('Draft Board'!$AC$2:$AC$161,'Draft Board'!$W$2:$W$161,A242,'Draft Board'!$AD$2:$AD$161,"&lt;&gt;")</f>
        <v>0</v>
      </c>
      <c r="D242">
        <f>COUNTIFS('Draft Board'!$W$2:$W$161,A242,'Draft Board'!$AD$2:$AD$161,"&lt;&gt;")</f>
        <v>0</v>
      </c>
      <c r="E242">
        <f>IFERROR(AVERAGEIFS('Draft Board'!$AC$2:$AC$161,'Draft Board'!$W$2:$W$161,A242),0)</f>
        <v>0</v>
      </c>
      <c r="F242">
        <f>MIN(1,E242/(Setup!$B$3*0.1))</f>
        <v>0</v>
      </c>
      <c r="G242">
        <f t="shared" si="7"/>
        <v>1</v>
      </c>
    </row>
    <row r="243" spans="1:7" x14ac:dyDescent="0.25">
      <c r="A243">
        <v>148</v>
      </c>
      <c r="B243">
        <f>SUMIFS('Draft Board'!$AD$2:$AD$161,'Draft Board'!$W$2:$W$161,A243,'Draft Board'!$AD$2:$AD$161,"&lt;&gt;")</f>
        <v>0</v>
      </c>
      <c r="C243">
        <f>SUMIFS('Draft Board'!$AC$2:$AC$161,'Draft Board'!$W$2:$W$161,A243,'Draft Board'!$AD$2:$AD$161,"&lt;&gt;")</f>
        <v>0</v>
      </c>
      <c r="D243">
        <f>COUNTIFS('Draft Board'!$W$2:$W$161,A243,'Draft Board'!$AD$2:$AD$161,"&lt;&gt;")</f>
        <v>0</v>
      </c>
      <c r="E243">
        <f>IFERROR(AVERAGEIFS('Draft Board'!$AC$2:$AC$161,'Draft Board'!$W$2:$W$161,A243),0)</f>
        <v>0</v>
      </c>
      <c r="F243">
        <f>MIN(1,E243/(Setup!$B$3*0.1))</f>
        <v>0</v>
      </c>
      <c r="G243">
        <f t="shared" si="7"/>
        <v>1</v>
      </c>
    </row>
    <row r="244" spans="1:7" x14ac:dyDescent="0.25">
      <c r="A244">
        <v>149</v>
      </c>
      <c r="B244">
        <f>SUMIFS('Draft Board'!$AD$2:$AD$161,'Draft Board'!$W$2:$W$161,A244,'Draft Board'!$AD$2:$AD$161,"&lt;&gt;")</f>
        <v>0</v>
      </c>
      <c r="C244">
        <f>SUMIFS('Draft Board'!$AC$2:$AC$161,'Draft Board'!$W$2:$W$161,A244,'Draft Board'!$AD$2:$AD$161,"&lt;&gt;")</f>
        <v>0</v>
      </c>
      <c r="D244">
        <f>COUNTIFS('Draft Board'!$W$2:$W$161,A244,'Draft Board'!$AD$2:$AD$161,"&lt;&gt;")</f>
        <v>0</v>
      </c>
      <c r="E244">
        <f>IFERROR(AVERAGEIFS('Draft Board'!$AC$2:$AC$161,'Draft Board'!$W$2:$W$161,A244),0)</f>
        <v>0</v>
      </c>
      <c r="F244">
        <f>MIN(1,E244/(Setup!$B$3*0.1))</f>
        <v>0</v>
      </c>
      <c r="G244">
        <f t="shared" si="7"/>
        <v>1</v>
      </c>
    </row>
    <row r="245" spans="1:7" x14ac:dyDescent="0.25">
      <c r="A245">
        <v>150</v>
      </c>
      <c r="B245">
        <f>SUMIFS('Draft Board'!$AD$2:$AD$161,'Draft Board'!$W$2:$W$161,A245,'Draft Board'!$AD$2:$AD$161,"&lt;&gt;")</f>
        <v>0</v>
      </c>
      <c r="C245">
        <f>SUMIFS('Draft Board'!$AC$2:$AC$161,'Draft Board'!$W$2:$W$161,A245,'Draft Board'!$AD$2:$AD$161,"&lt;&gt;")</f>
        <v>0</v>
      </c>
      <c r="D245">
        <f>COUNTIFS('Draft Board'!$W$2:$W$161,A245,'Draft Board'!$AD$2:$AD$161,"&lt;&gt;")</f>
        <v>0</v>
      </c>
      <c r="E245">
        <f>IFERROR(AVERAGEIFS('Draft Board'!$AC$2:$AC$161,'Draft Board'!$W$2:$W$161,A245),0)</f>
        <v>0</v>
      </c>
      <c r="F245">
        <f>MIN(1,E245/(Setup!$B$3*0.1))</f>
        <v>0</v>
      </c>
      <c r="G245">
        <f t="shared" si="7"/>
        <v>1</v>
      </c>
    </row>
    <row r="246" spans="1:7" x14ac:dyDescent="0.25">
      <c r="A246">
        <v>151</v>
      </c>
      <c r="B246">
        <f>SUMIFS('Draft Board'!$AD$2:$AD$161,'Draft Board'!$W$2:$W$161,A246,'Draft Board'!$AD$2:$AD$161,"&lt;&gt;")</f>
        <v>0</v>
      </c>
      <c r="C246">
        <f>SUMIFS('Draft Board'!$AC$2:$AC$161,'Draft Board'!$W$2:$W$161,A246,'Draft Board'!$AD$2:$AD$161,"&lt;&gt;")</f>
        <v>0</v>
      </c>
      <c r="D246">
        <f>COUNTIFS('Draft Board'!$W$2:$W$161,A246,'Draft Board'!$AD$2:$AD$161,"&lt;&gt;")</f>
        <v>0</v>
      </c>
      <c r="E246">
        <f>IFERROR(AVERAGEIFS('Draft Board'!$AC$2:$AC$161,'Draft Board'!$W$2:$W$161,A246),0)</f>
        <v>0</v>
      </c>
      <c r="F246">
        <f>MIN(1,E246/(Setup!$B$3*0.1))</f>
        <v>0</v>
      </c>
      <c r="G246">
        <f t="shared" si="7"/>
        <v>1</v>
      </c>
    </row>
    <row r="247" spans="1:7" x14ac:dyDescent="0.25">
      <c r="A247">
        <v>152</v>
      </c>
      <c r="B247">
        <f>SUMIFS('Draft Board'!$AD$2:$AD$161,'Draft Board'!$W$2:$W$161,A247,'Draft Board'!$AD$2:$AD$161,"&lt;&gt;")</f>
        <v>0</v>
      </c>
      <c r="C247">
        <f>SUMIFS('Draft Board'!$AC$2:$AC$161,'Draft Board'!$W$2:$W$161,A247,'Draft Board'!$AD$2:$AD$161,"&lt;&gt;")</f>
        <v>0</v>
      </c>
      <c r="D247">
        <f>COUNTIFS('Draft Board'!$W$2:$W$161,A247,'Draft Board'!$AD$2:$AD$161,"&lt;&gt;")</f>
        <v>0</v>
      </c>
      <c r="E247">
        <f>IFERROR(AVERAGEIFS('Draft Board'!$AC$2:$AC$161,'Draft Board'!$W$2:$W$161,A247),0)</f>
        <v>0</v>
      </c>
      <c r="F247">
        <f>MIN(1,E247/(Setup!$B$3*0.1))</f>
        <v>0</v>
      </c>
      <c r="G247">
        <f t="shared" si="7"/>
        <v>1</v>
      </c>
    </row>
    <row r="248" spans="1:7" x14ac:dyDescent="0.25">
      <c r="A248">
        <v>153</v>
      </c>
      <c r="B248">
        <f>SUMIFS('Draft Board'!$AD$2:$AD$161,'Draft Board'!$W$2:$W$161,A248,'Draft Board'!$AD$2:$AD$161,"&lt;&gt;")</f>
        <v>0</v>
      </c>
      <c r="C248">
        <f>SUMIFS('Draft Board'!$AC$2:$AC$161,'Draft Board'!$W$2:$W$161,A248,'Draft Board'!$AD$2:$AD$161,"&lt;&gt;")</f>
        <v>0</v>
      </c>
      <c r="D248">
        <f>COUNTIFS('Draft Board'!$W$2:$W$161,A248,'Draft Board'!$AD$2:$AD$161,"&lt;&gt;")</f>
        <v>0</v>
      </c>
      <c r="E248">
        <f>IFERROR(AVERAGEIFS('Draft Board'!$AC$2:$AC$161,'Draft Board'!$W$2:$W$161,A248),0)</f>
        <v>0</v>
      </c>
      <c r="F248">
        <f>MIN(1,E248/(Setup!$B$3*0.1))</f>
        <v>0</v>
      </c>
      <c r="G248">
        <f t="shared" si="7"/>
        <v>1</v>
      </c>
    </row>
    <row r="249" spans="1:7" x14ac:dyDescent="0.25">
      <c r="A249">
        <v>154</v>
      </c>
      <c r="B249">
        <f>SUMIFS('Draft Board'!$AD$2:$AD$161,'Draft Board'!$W$2:$W$161,A249,'Draft Board'!$AD$2:$AD$161,"&lt;&gt;")</f>
        <v>0</v>
      </c>
      <c r="C249">
        <f>SUMIFS('Draft Board'!$AC$2:$AC$161,'Draft Board'!$W$2:$W$161,A249,'Draft Board'!$AD$2:$AD$161,"&lt;&gt;")</f>
        <v>0</v>
      </c>
      <c r="D249">
        <f>COUNTIFS('Draft Board'!$W$2:$W$161,A249,'Draft Board'!$AD$2:$AD$161,"&lt;&gt;")</f>
        <v>0</v>
      </c>
      <c r="E249">
        <f>IFERROR(AVERAGEIFS('Draft Board'!$AC$2:$AC$161,'Draft Board'!$W$2:$W$161,A249),0)</f>
        <v>0</v>
      </c>
      <c r="F249">
        <f>MIN(1,E249/(Setup!$B$3*0.1))</f>
        <v>0</v>
      </c>
      <c r="G249">
        <f t="shared" si="7"/>
        <v>1</v>
      </c>
    </row>
    <row r="250" spans="1:7" x14ac:dyDescent="0.25">
      <c r="A250">
        <v>155</v>
      </c>
      <c r="B250">
        <f>SUMIFS('Draft Board'!$AD$2:$AD$161,'Draft Board'!$W$2:$W$161,A250,'Draft Board'!$AD$2:$AD$161,"&lt;&gt;")</f>
        <v>0</v>
      </c>
      <c r="C250">
        <f>SUMIFS('Draft Board'!$AC$2:$AC$161,'Draft Board'!$W$2:$W$161,A250,'Draft Board'!$AD$2:$AD$161,"&lt;&gt;")</f>
        <v>0</v>
      </c>
      <c r="D250">
        <f>COUNTIFS('Draft Board'!$W$2:$W$161,A250,'Draft Board'!$AD$2:$AD$161,"&lt;&gt;")</f>
        <v>0</v>
      </c>
      <c r="E250">
        <f>IFERROR(AVERAGEIFS('Draft Board'!$AC$2:$AC$161,'Draft Board'!$W$2:$W$161,A250),0)</f>
        <v>0</v>
      </c>
      <c r="F250">
        <f>MIN(1,E250/(Setup!$B$3*0.1))</f>
        <v>0</v>
      </c>
      <c r="G250">
        <f t="shared" si="7"/>
        <v>1</v>
      </c>
    </row>
    <row r="251" spans="1:7" x14ac:dyDescent="0.25">
      <c r="A251">
        <v>156</v>
      </c>
      <c r="B251">
        <f>SUMIFS('Draft Board'!$AD$2:$AD$161,'Draft Board'!$W$2:$W$161,A251,'Draft Board'!$AD$2:$AD$161,"&lt;&gt;")</f>
        <v>0</v>
      </c>
      <c r="C251">
        <f>SUMIFS('Draft Board'!$AC$2:$AC$161,'Draft Board'!$W$2:$W$161,A251,'Draft Board'!$AD$2:$AD$161,"&lt;&gt;")</f>
        <v>0</v>
      </c>
      <c r="D251">
        <f>COUNTIFS('Draft Board'!$W$2:$W$161,A251,'Draft Board'!$AD$2:$AD$161,"&lt;&gt;")</f>
        <v>0</v>
      </c>
      <c r="E251">
        <f>IFERROR(AVERAGEIFS('Draft Board'!$AC$2:$AC$161,'Draft Board'!$W$2:$W$161,A251),0)</f>
        <v>0</v>
      </c>
      <c r="F251">
        <f>MIN(1,E251/(Setup!$B$3*0.1))</f>
        <v>0</v>
      </c>
      <c r="G251">
        <f t="shared" si="7"/>
        <v>1</v>
      </c>
    </row>
    <row r="252" spans="1:7" x14ac:dyDescent="0.25">
      <c r="A252">
        <v>157</v>
      </c>
      <c r="B252">
        <f>SUMIFS('Draft Board'!$AD$2:$AD$161,'Draft Board'!$W$2:$W$161,A252,'Draft Board'!$AD$2:$AD$161,"&lt;&gt;")</f>
        <v>0</v>
      </c>
      <c r="C252">
        <f>SUMIFS('Draft Board'!$AC$2:$AC$161,'Draft Board'!$W$2:$W$161,A252,'Draft Board'!$AD$2:$AD$161,"&lt;&gt;")</f>
        <v>0</v>
      </c>
      <c r="D252">
        <f>COUNTIFS('Draft Board'!$W$2:$W$161,A252,'Draft Board'!$AD$2:$AD$161,"&lt;&gt;")</f>
        <v>0</v>
      </c>
      <c r="E252">
        <f>IFERROR(AVERAGEIFS('Draft Board'!$AC$2:$AC$161,'Draft Board'!$W$2:$W$161,A252),0)</f>
        <v>0</v>
      </c>
      <c r="F252">
        <f>MIN(1,E252/(Setup!$B$3*0.1))</f>
        <v>0</v>
      </c>
      <c r="G252">
        <f t="shared" si="7"/>
        <v>1</v>
      </c>
    </row>
    <row r="253" spans="1:7" x14ac:dyDescent="0.25">
      <c r="A253">
        <v>158</v>
      </c>
      <c r="B253">
        <f>SUMIFS('Draft Board'!$AD$2:$AD$161,'Draft Board'!$W$2:$W$161,A253,'Draft Board'!$AD$2:$AD$161,"&lt;&gt;")</f>
        <v>0</v>
      </c>
      <c r="C253">
        <f>SUMIFS('Draft Board'!$AC$2:$AC$161,'Draft Board'!$W$2:$W$161,A253,'Draft Board'!$AD$2:$AD$161,"&lt;&gt;")</f>
        <v>0</v>
      </c>
      <c r="D253">
        <f>COUNTIFS('Draft Board'!$W$2:$W$161,A253,'Draft Board'!$AD$2:$AD$161,"&lt;&gt;")</f>
        <v>0</v>
      </c>
      <c r="E253">
        <f>IFERROR(AVERAGEIFS('Draft Board'!$AC$2:$AC$161,'Draft Board'!$W$2:$W$161,A253),0)</f>
        <v>0</v>
      </c>
      <c r="F253">
        <f>MIN(1,E253/(Setup!$B$3*0.1))</f>
        <v>0</v>
      </c>
      <c r="G253">
        <f t="shared" si="7"/>
        <v>1</v>
      </c>
    </row>
    <row r="254" spans="1:7" x14ac:dyDescent="0.25">
      <c r="A254">
        <v>159</v>
      </c>
      <c r="B254">
        <f>SUMIFS('Draft Board'!$AD$2:$AD$161,'Draft Board'!$W$2:$W$161,A254,'Draft Board'!$AD$2:$AD$161,"&lt;&gt;")</f>
        <v>0</v>
      </c>
      <c r="C254">
        <f>SUMIFS('Draft Board'!$AC$2:$AC$161,'Draft Board'!$W$2:$W$161,A254,'Draft Board'!$AD$2:$AD$161,"&lt;&gt;")</f>
        <v>0</v>
      </c>
      <c r="D254">
        <f>COUNTIFS('Draft Board'!$W$2:$W$161,A254,'Draft Board'!$AD$2:$AD$161,"&lt;&gt;")</f>
        <v>0</v>
      </c>
      <c r="E254">
        <f>IFERROR(AVERAGEIFS('Draft Board'!$AC$2:$AC$161,'Draft Board'!$W$2:$W$161,A254),0)</f>
        <v>0</v>
      </c>
      <c r="F254">
        <f>MIN(1,E254/(Setup!$B$3*0.1))</f>
        <v>0</v>
      </c>
      <c r="G254">
        <f t="shared" si="7"/>
        <v>1</v>
      </c>
    </row>
    <row r="255" spans="1:7" x14ac:dyDescent="0.25">
      <c r="A255">
        <v>160</v>
      </c>
      <c r="B255">
        <f>SUMIFS('Draft Board'!$AD$2:$AD$161,'Draft Board'!$W$2:$W$161,A255,'Draft Board'!$AD$2:$AD$161,"&lt;&gt;")</f>
        <v>0</v>
      </c>
      <c r="C255">
        <f>SUMIFS('Draft Board'!$AC$2:$AC$161,'Draft Board'!$W$2:$W$161,A255,'Draft Board'!$AD$2:$AD$161,"&lt;&gt;")</f>
        <v>0</v>
      </c>
      <c r="D255">
        <f>COUNTIFS('Draft Board'!$W$2:$W$161,A255,'Draft Board'!$AD$2:$AD$161,"&lt;&gt;")</f>
        <v>0</v>
      </c>
      <c r="E255">
        <f>IFERROR(AVERAGEIFS('Draft Board'!$AC$2:$AC$161,'Draft Board'!$W$2:$W$161,A255),0)</f>
        <v>0</v>
      </c>
      <c r="F255">
        <f>MIN(1,E255/(Setup!$B$3*0.1))</f>
        <v>0</v>
      </c>
      <c r="G255">
        <f t="shared" si="7"/>
        <v>1</v>
      </c>
    </row>
    <row r="257" spans="1:7" x14ac:dyDescent="0.25">
      <c r="A257" s="13" t="s">
        <v>625</v>
      </c>
    </row>
    <row r="258" spans="1:7" x14ac:dyDescent="0.25">
      <c r="A258" s="13" t="s">
        <v>48</v>
      </c>
      <c r="B258" s="13" t="s">
        <v>618</v>
      </c>
      <c r="C258" s="13" t="s">
        <v>619</v>
      </c>
      <c r="D258" s="13" t="s">
        <v>620</v>
      </c>
      <c r="E258" s="13" t="s">
        <v>621</v>
      </c>
      <c r="F258" s="13" t="s">
        <v>622</v>
      </c>
      <c r="G258" s="13" t="s">
        <v>623</v>
      </c>
    </row>
    <row r="259" spans="1:7" x14ac:dyDescent="0.25">
      <c r="A259">
        <v>1</v>
      </c>
      <c r="B259">
        <f>SUMIFS('Draft Board'!$AT$2:$AT$193,'Draft Board'!$AM$2:$AM$193,A259,'Draft Board'!$AT$2:$AT$193,"&lt;&gt;")</f>
        <v>0</v>
      </c>
      <c r="C259">
        <f>SUMIFS('Draft Board'!$AS$2:$AS$193,'Draft Board'!$AM$2:$AM$193,A259,'Draft Board'!$AT$2:$AT$193,"&lt;&gt;")</f>
        <v>0</v>
      </c>
      <c r="D259">
        <f>COUNTIFS('Draft Board'!$AM$2:$AM$193,A259,'Draft Board'!$AT$2:$AT$193,"&lt;&gt;")</f>
        <v>0</v>
      </c>
      <c r="E259">
        <f>IFERROR(AVERAGEIFS('Draft Board'!$AS$2:$AS$193,'Draft Board'!$AM$2:$AM$193,A259),0)</f>
        <v>53</v>
      </c>
      <c r="F259">
        <f>MIN(1,E259/(Setup!$B$3*0.1))</f>
        <v>1</v>
      </c>
      <c r="G259">
        <f t="shared" ref="G259:G290" si="8">IF(D259&lt;2,1,MEDIAN(0.5,2,1+(IFERROR(B259/C259,1)-1)*F259))</f>
        <v>1</v>
      </c>
    </row>
    <row r="260" spans="1:7" x14ac:dyDescent="0.25">
      <c r="A260">
        <v>2</v>
      </c>
      <c r="B260">
        <f>SUMIFS('Draft Board'!$AT$2:$AT$193,'Draft Board'!$AM$2:$AM$193,A260,'Draft Board'!$AT$2:$AT$193,"&lt;&gt;")</f>
        <v>0</v>
      </c>
      <c r="C260">
        <f>SUMIFS('Draft Board'!$AS$2:$AS$193,'Draft Board'!$AM$2:$AM$193,A260,'Draft Board'!$AT$2:$AT$193,"&lt;&gt;")</f>
        <v>0</v>
      </c>
      <c r="D260">
        <f>COUNTIFS('Draft Board'!$AM$2:$AM$193,A260,'Draft Board'!$AT$2:$AT$193,"&lt;&gt;")</f>
        <v>0</v>
      </c>
      <c r="E260">
        <f>IFERROR(AVERAGEIFS('Draft Board'!$AS$2:$AS$193,'Draft Board'!$AM$2:$AM$193,A260),0)</f>
        <v>45.5</v>
      </c>
      <c r="F260">
        <f>MIN(1,E260/(Setup!$B$3*0.1))</f>
        <v>1</v>
      </c>
      <c r="G260">
        <f t="shared" si="8"/>
        <v>1</v>
      </c>
    </row>
    <row r="261" spans="1:7" x14ac:dyDescent="0.25">
      <c r="A261">
        <v>3</v>
      </c>
      <c r="B261">
        <f>SUMIFS('Draft Board'!$AT$2:$AT$193,'Draft Board'!$AM$2:$AM$193,A261,'Draft Board'!$AT$2:$AT$193,"&lt;&gt;")</f>
        <v>0</v>
      </c>
      <c r="C261">
        <f>SUMIFS('Draft Board'!$AS$2:$AS$193,'Draft Board'!$AM$2:$AM$193,A261,'Draft Board'!$AT$2:$AT$193,"&lt;&gt;")</f>
        <v>0</v>
      </c>
      <c r="D261">
        <f>COUNTIFS('Draft Board'!$AM$2:$AM$193,A261,'Draft Board'!$AT$2:$AT$193,"&lt;&gt;")</f>
        <v>0</v>
      </c>
      <c r="E261">
        <f>IFERROR(AVERAGEIFS('Draft Board'!$AS$2:$AS$193,'Draft Board'!$AM$2:$AM$193,A261),0)</f>
        <v>33.333333333333336</v>
      </c>
      <c r="F261">
        <f>MIN(1,E261/(Setup!$B$3*0.1))</f>
        <v>1</v>
      </c>
      <c r="G261">
        <f t="shared" si="8"/>
        <v>1</v>
      </c>
    </row>
    <row r="262" spans="1:7" x14ac:dyDescent="0.25">
      <c r="A262">
        <v>4</v>
      </c>
      <c r="B262">
        <f>SUMIFS('Draft Board'!$AT$2:$AT$193,'Draft Board'!$AM$2:$AM$193,A262,'Draft Board'!$AT$2:$AT$193,"&lt;&gt;")</f>
        <v>0</v>
      </c>
      <c r="C262">
        <f>SUMIFS('Draft Board'!$AS$2:$AS$193,'Draft Board'!$AM$2:$AM$193,A262,'Draft Board'!$AT$2:$AT$193,"&lt;&gt;")</f>
        <v>0</v>
      </c>
      <c r="D262">
        <f>COUNTIFS('Draft Board'!$AM$2:$AM$193,A262,'Draft Board'!$AT$2:$AT$193,"&lt;&gt;")</f>
        <v>0</v>
      </c>
      <c r="E262">
        <f>IFERROR(AVERAGEIFS('Draft Board'!$AS$2:$AS$193,'Draft Board'!$AM$2:$AM$193,A262),0)</f>
        <v>25.444444444444443</v>
      </c>
      <c r="F262">
        <f>MIN(1,E262/(Setup!$B$3*0.1))</f>
        <v>1</v>
      </c>
      <c r="G262">
        <f t="shared" si="8"/>
        <v>1</v>
      </c>
    </row>
    <row r="263" spans="1:7" x14ac:dyDescent="0.25">
      <c r="A263">
        <v>5</v>
      </c>
      <c r="B263">
        <f>SUMIFS('Draft Board'!$AT$2:$AT$193,'Draft Board'!$AM$2:$AM$193,A263,'Draft Board'!$AT$2:$AT$193,"&lt;&gt;")</f>
        <v>0</v>
      </c>
      <c r="C263">
        <f>SUMIFS('Draft Board'!$AS$2:$AS$193,'Draft Board'!$AM$2:$AM$193,A263,'Draft Board'!$AT$2:$AT$193,"&lt;&gt;")</f>
        <v>0</v>
      </c>
      <c r="D263">
        <f>COUNTIFS('Draft Board'!$AM$2:$AM$193,A263,'Draft Board'!$AT$2:$AT$193,"&lt;&gt;")</f>
        <v>0</v>
      </c>
      <c r="E263">
        <f>IFERROR(AVERAGEIFS('Draft Board'!$AS$2:$AS$193,'Draft Board'!$AM$2:$AM$193,A263),0)</f>
        <v>18.7</v>
      </c>
      <c r="F263">
        <f>MIN(1,E263/(Setup!$B$3*0.1))</f>
        <v>0.93499999999999994</v>
      </c>
      <c r="G263">
        <f t="shared" si="8"/>
        <v>1</v>
      </c>
    </row>
    <row r="264" spans="1:7" x14ac:dyDescent="0.25">
      <c r="A264">
        <v>6</v>
      </c>
      <c r="B264">
        <f>SUMIFS('Draft Board'!$AT$2:$AT$193,'Draft Board'!$AM$2:$AM$193,A264,'Draft Board'!$AT$2:$AT$193,"&lt;&gt;")</f>
        <v>0</v>
      </c>
      <c r="C264">
        <f>SUMIFS('Draft Board'!$AS$2:$AS$193,'Draft Board'!$AM$2:$AM$193,A264,'Draft Board'!$AT$2:$AT$193,"&lt;&gt;")</f>
        <v>0</v>
      </c>
      <c r="D264">
        <f>COUNTIFS('Draft Board'!$AM$2:$AM$193,A264,'Draft Board'!$AT$2:$AT$193,"&lt;&gt;")</f>
        <v>0</v>
      </c>
      <c r="E264">
        <f>IFERROR(AVERAGEIFS('Draft Board'!$AS$2:$AS$193,'Draft Board'!$AM$2:$AM$193,A264),0)</f>
        <v>15</v>
      </c>
      <c r="F264">
        <f>MIN(1,E264/(Setup!$B$3*0.1))</f>
        <v>0.75</v>
      </c>
      <c r="G264">
        <f t="shared" si="8"/>
        <v>1</v>
      </c>
    </row>
    <row r="265" spans="1:7" x14ac:dyDescent="0.25">
      <c r="A265">
        <v>7</v>
      </c>
      <c r="B265">
        <f>SUMIFS('Draft Board'!$AT$2:$AT$193,'Draft Board'!$AM$2:$AM$193,A265,'Draft Board'!$AT$2:$AT$193,"&lt;&gt;")</f>
        <v>0</v>
      </c>
      <c r="C265">
        <f>SUMIFS('Draft Board'!$AS$2:$AS$193,'Draft Board'!$AM$2:$AM$193,A265,'Draft Board'!$AT$2:$AT$193,"&lt;&gt;")</f>
        <v>0</v>
      </c>
      <c r="D265">
        <f>COUNTIFS('Draft Board'!$AM$2:$AM$193,A265,'Draft Board'!$AT$2:$AT$193,"&lt;&gt;")</f>
        <v>0</v>
      </c>
      <c r="E265">
        <f>IFERROR(AVERAGEIFS('Draft Board'!$AS$2:$AS$193,'Draft Board'!$AM$2:$AM$193,A265),0)</f>
        <v>12.428571428571429</v>
      </c>
      <c r="F265">
        <f>MIN(1,E265/(Setup!$B$3*0.1))</f>
        <v>0.62142857142857144</v>
      </c>
      <c r="G265">
        <f t="shared" si="8"/>
        <v>1</v>
      </c>
    </row>
    <row r="266" spans="1:7" x14ac:dyDescent="0.25">
      <c r="A266">
        <v>8</v>
      </c>
      <c r="B266">
        <f>SUMIFS('Draft Board'!$AT$2:$AT$193,'Draft Board'!$AM$2:$AM$193,A266,'Draft Board'!$AT$2:$AT$193,"&lt;&gt;")</f>
        <v>0</v>
      </c>
      <c r="C266">
        <f>SUMIFS('Draft Board'!$AS$2:$AS$193,'Draft Board'!$AM$2:$AM$193,A266,'Draft Board'!$AT$2:$AT$193,"&lt;&gt;")</f>
        <v>0</v>
      </c>
      <c r="D266">
        <f>COUNTIFS('Draft Board'!$AM$2:$AM$193,A266,'Draft Board'!$AT$2:$AT$193,"&lt;&gt;")</f>
        <v>0</v>
      </c>
      <c r="E266">
        <f>IFERROR(AVERAGEIFS('Draft Board'!$AS$2:$AS$193,'Draft Board'!$AM$2:$AM$193,A266),0)</f>
        <v>10</v>
      </c>
      <c r="F266">
        <f>MIN(1,E266/(Setup!$B$3*0.1))</f>
        <v>0.5</v>
      </c>
      <c r="G266">
        <f t="shared" si="8"/>
        <v>1</v>
      </c>
    </row>
    <row r="267" spans="1:7" x14ac:dyDescent="0.25">
      <c r="A267">
        <v>9</v>
      </c>
      <c r="B267">
        <f>SUMIFS('Draft Board'!$AT$2:$AT$193,'Draft Board'!$AM$2:$AM$193,A267,'Draft Board'!$AT$2:$AT$193,"&lt;&gt;")</f>
        <v>0</v>
      </c>
      <c r="C267">
        <f>SUMIFS('Draft Board'!$AS$2:$AS$193,'Draft Board'!$AM$2:$AM$193,A267,'Draft Board'!$AT$2:$AT$193,"&lt;&gt;")</f>
        <v>0</v>
      </c>
      <c r="D267">
        <f>COUNTIFS('Draft Board'!$AM$2:$AM$193,A267,'Draft Board'!$AT$2:$AT$193,"&lt;&gt;")</f>
        <v>0</v>
      </c>
      <c r="E267">
        <f>IFERROR(AVERAGEIFS('Draft Board'!$AS$2:$AS$193,'Draft Board'!$AM$2:$AM$193,A267),0)</f>
        <v>8.7142857142857135</v>
      </c>
      <c r="F267">
        <f>MIN(1,E267/(Setup!$B$3*0.1))</f>
        <v>0.43571428571428567</v>
      </c>
      <c r="G267">
        <f t="shared" si="8"/>
        <v>1</v>
      </c>
    </row>
    <row r="268" spans="1:7" x14ac:dyDescent="0.25">
      <c r="A268">
        <v>10</v>
      </c>
      <c r="B268">
        <f>SUMIFS('Draft Board'!$AT$2:$AT$193,'Draft Board'!$AM$2:$AM$193,A268,'Draft Board'!$AT$2:$AT$193,"&lt;&gt;")</f>
        <v>0</v>
      </c>
      <c r="C268">
        <f>SUMIFS('Draft Board'!$AS$2:$AS$193,'Draft Board'!$AM$2:$AM$193,A268,'Draft Board'!$AT$2:$AT$193,"&lt;&gt;")</f>
        <v>0</v>
      </c>
      <c r="D268">
        <f>COUNTIFS('Draft Board'!$AM$2:$AM$193,A268,'Draft Board'!$AT$2:$AT$193,"&lt;&gt;")</f>
        <v>0</v>
      </c>
      <c r="E268">
        <f>IFERROR(AVERAGEIFS('Draft Board'!$AS$2:$AS$193,'Draft Board'!$AM$2:$AM$193,A268),0)</f>
        <v>7</v>
      </c>
      <c r="F268">
        <f>MIN(1,E268/(Setup!$B$3*0.1))</f>
        <v>0.35</v>
      </c>
      <c r="G268">
        <f t="shared" si="8"/>
        <v>1</v>
      </c>
    </row>
    <row r="269" spans="1:7" x14ac:dyDescent="0.25">
      <c r="A269">
        <v>11</v>
      </c>
      <c r="B269">
        <f>SUMIFS('Draft Board'!$AT$2:$AT$193,'Draft Board'!$AM$2:$AM$193,A269,'Draft Board'!$AT$2:$AT$193,"&lt;&gt;")</f>
        <v>0</v>
      </c>
      <c r="C269">
        <f>SUMIFS('Draft Board'!$AS$2:$AS$193,'Draft Board'!$AM$2:$AM$193,A269,'Draft Board'!$AT$2:$AT$193,"&lt;&gt;")</f>
        <v>0</v>
      </c>
      <c r="D269">
        <f>COUNTIFS('Draft Board'!$AM$2:$AM$193,A269,'Draft Board'!$AT$2:$AT$193,"&lt;&gt;")</f>
        <v>0</v>
      </c>
      <c r="E269">
        <f>IFERROR(AVERAGEIFS('Draft Board'!$AS$2:$AS$193,'Draft Board'!$AM$2:$AM$193,A269),0)</f>
        <v>6</v>
      </c>
      <c r="F269">
        <f>MIN(1,E269/(Setup!$B$3*0.1))</f>
        <v>0.3</v>
      </c>
      <c r="G269">
        <f t="shared" si="8"/>
        <v>1</v>
      </c>
    </row>
    <row r="270" spans="1:7" x14ac:dyDescent="0.25">
      <c r="A270">
        <v>12</v>
      </c>
      <c r="B270">
        <f>SUMIFS('Draft Board'!$AT$2:$AT$193,'Draft Board'!$AM$2:$AM$193,A270,'Draft Board'!$AT$2:$AT$193,"&lt;&gt;")</f>
        <v>0</v>
      </c>
      <c r="C270">
        <f>SUMIFS('Draft Board'!$AS$2:$AS$193,'Draft Board'!$AM$2:$AM$193,A270,'Draft Board'!$AT$2:$AT$193,"&lt;&gt;")</f>
        <v>0</v>
      </c>
      <c r="D270">
        <f>COUNTIFS('Draft Board'!$AM$2:$AM$193,A270,'Draft Board'!$AT$2:$AT$193,"&lt;&gt;")</f>
        <v>0</v>
      </c>
      <c r="E270">
        <f>IFERROR(AVERAGEIFS('Draft Board'!$AS$2:$AS$193,'Draft Board'!$AM$2:$AM$193,A270),0)</f>
        <v>5</v>
      </c>
      <c r="F270">
        <f>MIN(1,E270/(Setup!$B$3*0.1))</f>
        <v>0.25</v>
      </c>
      <c r="G270">
        <f t="shared" si="8"/>
        <v>1</v>
      </c>
    </row>
    <row r="271" spans="1:7" x14ac:dyDescent="0.25">
      <c r="A271">
        <v>13</v>
      </c>
      <c r="B271">
        <f>SUMIFS('Draft Board'!$AT$2:$AT$193,'Draft Board'!$AM$2:$AM$193,A271,'Draft Board'!$AT$2:$AT$193,"&lt;&gt;")</f>
        <v>0</v>
      </c>
      <c r="C271">
        <f>SUMIFS('Draft Board'!$AS$2:$AS$193,'Draft Board'!$AM$2:$AM$193,A271,'Draft Board'!$AT$2:$AT$193,"&lt;&gt;")</f>
        <v>0</v>
      </c>
      <c r="D271">
        <f>COUNTIFS('Draft Board'!$AM$2:$AM$193,A271,'Draft Board'!$AT$2:$AT$193,"&lt;&gt;")</f>
        <v>0</v>
      </c>
      <c r="E271">
        <f>IFERROR(AVERAGEIFS('Draft Board'!$AS$2:$AS$193,'Draft Board'!$AM$2:$AM$193,A271),0)</f>
        <v>4</v>
      </c>
      <c r="F271">
        <f>MIN(1,E271/(Setup!$B$3*0.1))</f>
        <v>0.2</v>
      </c>
      <c r="G271">
        <f t="shared" si="8"/>
        <v>1</v>
      </c>
    </row>
    <row r="272" spans="1:7" x14ac:dyDescent="0.25">
      <c r="A272">
        <v>14</v>
      </c>
      <c r="B272">
        <f>SUMIFS('Draft Board'!$AT$2:$AT$193,'Draft Board'!$AM$2:$AM$193,A272,'Draft Board'!$AT$2:$AT$193,"&lt;&gt;")</f>
        <v>0</v>
      </c>
      <c r="C272">
        <f>SUMIFS('Draft Board'!$AS$2:$AS$193,'Draft Board'!$AM$2:$AM$193,A272,'Draft Board'!$AT$2:$AT$193,"&lt;&gt;")</f>
        <v>0</v>
      </c>
      <c r="D272">
        <f>COUNTIFS('Draft Board'!$AM$2:$AM$193,A272,'Draft Board'!$AT$2:$AT$193,"&lt;&gt;")</f>
        <v>0</v>
      </c>
      <c r="E272">
        <f>IFERROR(AVERAGEIFS('Draft Board'!$AS$2:$AS$193,'Draft Board'!$AM$2:$AM$193,A272),0)</f>
        <v>4</v>
      </c>
      <c r="F272">
        <f>MIN(1,E272/(Setup!$B$3*0.1))</f>
        <v>0.2</v>
      </c>
      <c r="G272">
        <f t="shared" si="8"/>
        <v>1</v>
      </c>
    </row>
    <row r="273" spans="1:7" x14ac:dyDescent="0.25">
      <c r="A273">
        <v>15</v>
      </c>
      <c r="B273">
        <f>SUMIFS('Draft Board'!$AT$2:$AT$193,'Draft Board'!$AM$2:$AM$193,A273,'Draft Board'!$AT$2:$AT$193,"&lt;&gt;")</f>
        <v>0</v>
      </c>
      <c r="C273">
        <f>SUMIFS('Draft Board'!$AS$2:$AS$193,'Draft Board'!$AM$2:$AM$193,A273,'Draft Board'!$AT$2:$AT$193,"&lt;&gt;")</f>
        <v>0</v>
      </c>
      <c r="D273">
        <f>COUNTIFS('Draft Board'!$AM$2:$AM$193,A273,'Draft Board'!$AT$2:$AT$193,"&lt;&gt;")</f>
        <v>0</v>
      </c>
      <c r="E273">
        <f>IFERROR(AVERAGEIFS('Draft Board'!$AS$2:$AS$193,'Draft Board'!$AM$2:$AM$193,A273),0)</f>
        <v>3</v>
      </c>
      <c r="F273">
        <f>MIN(1,E273/(Setup!$B$3*0.1))</f>
        <v>0.15</v>
      </c>
      <c r="G273">
        <f t="shared" si="8"/>
        <v>1</v>
      </c>
    </row>
    <row r="274" spans="1:7" x14ac:dyDescent="0.25">
      <c r="A274">
        <v>16</v>
      </c>
      <c r="B274">
        <f>SUMIFS('Draft Board'!$AT$2:$AT$193,'Draft Board'!$AM$2:$AM$193,A274,'Draft Board'!$AT$2:$AT$193,"&lt;&gt;")</f>
        <v>0</v>
      </c>
      <c r="C274">
        <f>SUMIFS('Draft Board'!$AS$2:$AS$193,'Draft Board'!$AM$2:$AM$193,A274,'Draft Board'!$AT$2:$AT$193,"&lt;&gt;")</f>
        <v>0</v>
      </c>
      <c r="D274">
        <f>COUNTIFS('Draft Board'!$AM$2:$AM$193,A274,'Draft Board'!$AT$2:$AT$193,"&lt;&gt;")</f>
        <v>0</v>
      </c>
      <c r="E274">
        <f>IFERROR(AVERAGEIFS('Draft Board'!$AS$2:$AS$193,'Draft Board'!$AM$2:$AM$193,A274),0)</f>
        <v>3</v>
      </c>
      <c r="F274">
        <f>MIN(1,E274/(Setup!$B$3*0.1))</f>
        <v>0.15</v>
      </c>
      <c r="G274">
        <f t="shared" si="8"/>
        <v>1</v>
      </c>
    </row>
    <row r="275" spans="1:7" x14ac:dyDescent="0.25">
      <c r="A275">
        <v>17</v>
      </c>
      <c r="B275">
        <f>SUMIFS('Draft Board'!$AT$2:$AT$193,'Draft Board'!$AM$2:$AM$193,A275,'Draft Board'!$AT$2:$AT$193,"&lt;&gt;")</f>
        <v>0</v>
      </c>
      <c r="C275">
        <f>SUMIFS('Draft Board'!$AS$2:$AS$193,'Draft Board'!$AM$2:$AM$193,A275,'Draft Board'!$AT$2:$AT$193,"&lt;&gt;")</f>
        <v>0</v>
      </c>
      <c r="D275">
        <f>COUNTIFS('Draft Board'!$AM$2:$AM$193,A275,'Draft Board'!$AT$2:$AT$193,"&lt;&gt;")</f>
        <v>0</v>
      </c>
      <c r="E275">
        <f>IFERROR(AVERAGEIFS('Draft Board'!$AS$2:$AS$193,'Draft Board'!$AM$2:$AM$193,A275),0)</f>
        <v>2</v>
      </c>
      <c r="F275">
        <f>MIN(1,E275/(Setup!$B$3*0.1))</f>
        <v>0.1</v>
      </c>
      <c r="G275">
        <f t="shared" si="8"/>
        <v>1</v>
      </c>
    </row>
    <row r="276" spans="1:7" x14ac:dyDescent="0.25">
      <c r="A276">
        <v>18</v>
      </c>
      <c r="B276">
        <f>SUMIFS('Draft Board'!$AT$2:$AT$193,'Draft Board'!$AM$2:$AM$193,A276,'Draft Board'!$AT$2:$AT$193,"&lt;&gt;")</f>
        <v>0</v>
      </c>
      <c r="C276">
        <f>SUMIFS('Draft Board'!$AS$2:$AS$193,'Draft Board'!$AM$2:$AM$193,A276,'Draft Board'!$AT$2:$AT$193,"&lt;&gt;")</f>
        <v>0</v>
      </c>
      <c r="D276">
        <f>COUNTIFS('Draft Board'!$AM$2:$AM$193,A276,'Draft Board'!$AT$2:$AT$193,"&lt;&gt;")</f>
        <v>0</v>
      </c>
      <c r="E276">
        <f>IFERROR(AVERAGEIFS('Draft Board'!$AS$2:$AS$193,'Draft Board'!$AM$2:$AM$193,A276),0)</f>
        <v>2</v>
      </c>
      <c r="F276">
        <f>MIN(1,E276/(Setup!$B$3*0.1))</f>
        <v>0.1</v>
      </c>
      <c r="G276">
        <f t="shared" si="8"/>
        <v>1</v>
      </c>
    </row>
    <row r="277" spans="1:7" x14ac:dyDescent="0.25">
      <c r="A277">
        <v>19</v>
      </c>
      <c r="B277">
        <f>SUMIFS('Draft Board'!$AT$2:$AT$193,'Draft Board'!$AM$2:$AM$193,A277,'Draft Board'!$AT$2:$AT$193,"&lt;&gt;")</f>
        <v>0</v>
      </c>
      <c r="C277">
        <f>SUMIFS('Draft Board'!$AS$2:$AS$193,'Draft Board'!$AM$2:$AM$193,A277,'Draft Board'!$AT$2:$AT$193,"&lt;&gt;")</f>
        <v>0</v>
      </c>
      <c r="D277">
        <f>COUNTIFS('Draft Board'!$AM$2:$AM$193,A277,'Draft Board'!$AT$2:$AT$193,"&lt;&gt;")</f>
        <v>0</v>
      </c>
      <c r="E277">
        <f>IFERROR(AVERAGEIFS('Draft Board'!$AS$2:$AS$193,'Draft Board'!$AM$2:$AM$193,A277),0)</f>
        <v>1</v>
      </c>
      <c r="F277">
        <f>MIN(1,E277/(Setup!$B$3*0.1))</f>
        <v>0.05</v>
      </c>
      <c r="G277">
        <f t="shared" si="8"/>
        <v>1</v>
      </c>
    </row>
    <row r="278" spans="1:7" x14ac:dyDescent="0.25">
      <c r="A278">
        <v>20</v>
      </c>
      <c r="B278">
        <f>SUMIFS('Draft Board'!$AT$2:$AT$193,'Draft Board'!$AM$2:$AM$193,A278,'Draft Board'!$AT$2:$AT$193,"&lt;&gt;")</f>
        <v>0</v>
      </c>
      <c r="C278">
        <f>SUMIFS('Draft Board'!$AS$2:$AS$193,'Draft Board'!$AM$2:$AM$193,A278,'Draft Board'!$AT$2:$AT$193,"&lt;&gt;")</f>
        <v>0</v>
      </c>
      <c r="D278">
        <f>COUNTIFS('Draft Board'!$AM$2:$AM$193,A278,'Draft Board'!$AT$2:$AT$193,"&lt;&gt;")</f>
        <v>0</v>
      </c>
      <c r="E278">
        <f>IFERROR(AVERAGEIFS('Draft Board'!$AS$2:$AS$193,'Draft Board'!$AM$2:$AM$193,A278),0)</f>
        <v>1</v>
      </c>
      <c r="F278">
        <f>MIN(1,E278/(Setup!$B$3*0.1))</f>
        <v>0.05</v>
      </c>
      <c r="G278">
        <f t="shared" si="8"/>
        <v>1</v>
      </c>
    </row>
    <row r="279" spans="1:7" x14ac:dyDescent="0.25">
      <c r="A279">
        <v>21</v>
      </c>
      <c r="B279">
        <f>SUMIFS('Draft Board'!$AT$2:$AT$193,'Draft Board'!$AM$2:$AM$193,A279,'Draft Board'!$AT$2:$AT$193,"&lt;&gt;")</f>
        <v>0</v>
      </c>
      <c r="C279">
        <f>SUMIFS('Draft Board'!$AS$2:$AS$193,'Draft Board'!$AM$2:$AM$193,A279,'Draft Board'!$AT$2:$AT$193,"&lt;&gt;")</f>
        <v>0</v>
      </c>
      <c r="D279">
        <f>COUNTIFS('Draft Board'!$AM$2:$AM$193,A279,'Draft Board'!$AT$2:$AT$193,"&lt;&gt;")</f>
        <v>0</v>
      </c>
      <c r="E279">
        <f>IFERROR(AVERAGEIFS('Draft Board'!$AS$2:$AS$193,'Draft Board'!$AM$2:$AM$193,A279),0)</f>
        <v>0</v>
      </c>
      <c r="F279">
        <f>MIN(1,E279/(Setup!$B$3*0.1))</f>
        <v>0</v>
      </c>
      <c r="G279">
        <f t="shared" si="8"/>
        <v>1</v>
      </c>
    </row>
    <row r="280" spans="1:7" x14ac:dyDescent="0.25">
      <c r="A280">
        <v>22</v>
      </c>
      <c r="B280">
        <f>SUMIFS('Draft Board'!$AT$2:$AT$193,'Draft Board'!$AM$2:$AM$193,A280,'Draft Board'!$AT$2:$AT$193,"&lt;&gt;")</f>
        <v>0</v>
      </c>
      <c r="C280">
        <f>SUMIFS('Draft Board'!$AS$2:$AS$193,'Draft Board'!$AM$2:$AM$193,A280,'Draft Board'!$AT$2:$AT$193,"&lt;&gt;")</f>
        <v>0</v>
      </c>
      <c r="D280">
        <f>COUNTIFS('Draft Board'!$AM$2:$AM$193,A280,'Draft Board'!$AT$2:$AT$193,"&lt;&gt;")</f>
        <v>0</v>
      </c>
      <c r="E280">
        <f>IFERROR(AVERAGEIFS('Draft Board'!$AS$2:$AS$193,'Draft Board'!$AM$2:$AM$193,A280),0)</f>
        <v>0</v>
      </c>
      <c r="F280">
        <f>MIN(1,E280/(Setup!$B$3*0.1))</f>
        <v>0</v>
      </c>
      <c r="G280">
        <f t="shared" si="8"/>
        <v>1</v>
      </c>
    </row>
    <row r="281" spans="1:7" x14ac:dyDescent="0.25">
      <c r="A281">
        <v>23</v>
      </c>
      <c r="B281">
        <f>SUMIFS('Draft Board'!$AT$2:$AT$193,'Draft Board'!$AM$2:$AM$193,A281,'Draft Board'!$AT$2:$AT$193,"&lt;&gt;")</f>
        <v>0</v>
      </c>
      <c r="C281">
        <f>SUMIFS('Draft Board'!$AS$2:$AS$193,'Draft Board'!$AM$2:$AM$193,A281,'Draft Board'!$AT$2:$AT$193,"&lt;&gt;")</f>
        <v>0</v>
      </c>
      <c r="D281">
        <f>COUNTIFS('Draft Board'!$AM$2:$AM$193,A281,'Draft Board'!$AT$2:$AT$193,"&lt;&gt;")</f>
        <v>0</v>
      </c>
      <c r="E281">
        <f>IFERROR(AVERAGEIFS('Draft Board'!$AS$2:$AS$193,'Draft Board'!$AM$2:$AM$193,A281),0)</f>
        <v>0</v>
      </c>
      <c r="F281">
        <f>MIN(1,E281/(Setup!$B$3*0.1))</f>
        <v>0</v>
      </c>
      <c r="G281">
        <f t="shared" si="8"/>
        <v>1</v>
      </c>
    </row>
    <row r="282" spans="1:7" x14ac:dyDescent="0.25">
      <c r="A282">
        <v>24</v>
      </c>
      <c r="B282">
        <f>SUMIFS('Draft Board'!$AT$2:$AT$193,'Draft Board'!$AM$2:$AM$193,A282,'Draft Board'!$AT$2:$AT$193,"&lt;&gt;")</f>
        <v>0</v>
      </c>
      <c r="C282">
        <f>SUMIFS('Draft Board'!$AS$2:$AS$193,'Draft Board'!$AM$2:$AM$193,A282,'Draft Board'!$AT$2:$AT$193,"&lt;&gt;")</f>
        <v>0</v>
      </c>
      <c r="D282">
        <f>COUNTIFS('Draft Board'!$AM$2:$AM$193,A282,'Draft Board'!$AT$2:$AT$193,"&lt;&gt;")</f>
        <v>0</v>
      </c>
      <c r="E282">
        <f>IFERROR(AVERAGEIFS('Draft Board'!$AS$2:$AS$193,'Draft Board'!$AM$2:$AM$193,A282),0)</f>
        <v>0</v>
      </c>
      <c r="F282">
        <f>MIN(1,E282/(Setup!$B$3*0.1))</f>
        <v>0</v>
      </c>
      <c r="G282">
        <f t="shared" si="8"/>
        <v>1</v>
      </c>
    </row>
    <row r="283" spans="1:7" x14ac:dyDescent="0.25">
      <c r="A283">
        <v>25</v>
      </c>
      <c r="B283">
        <f>SUMIFS('Draft Board'!$AT$2:$AT$193,'Draft Board'!$AM$2:$AM$193,A283,'Draft Board'!$AT$2:$AT$193,"&lt;&gt;")</f>
        <v>0</v>
      </c>
      <c r="C283">
        <f>SUMIFS('Draft Board'!$AS$2:$AS$193,'Draft Board'!$AM$2:$AM$193,A283,'Draft Board'!$AT$2:$AT$193,"&lt;&gt;")</f>
        <v>0</v>
      </c>
      <c r="D283">
        <f>COUNTIFS('Draft Board'!$AM$2:$AM$193,A283,'Draft Board'!$AT$2:$AT$193,"&lt;&gt;")</f>
        <v>0</v>
      </c>
      <c r="E283">
        <f>IFERROR(AVERAGEIFS('Draft Board'!$AS$2:$AS$193,'Draft Board'!$AM$2:$AM$193,A283),0)</f>
        <v>0</v>
      </c>
      <c r="F283">
        <f>MIN(1,E283/(Setup!$B$3*0.1))</f>
        <v>0</v>
      </c>
      <c r="G283">
        <f t="shared" si="8"/>
        <v>1</v>
      </c>
    </row>
    <row r="284" spans="1:7" x14ac:dyDescent="0.25">
      <c r="A284">
        <v>26</v>
      </c>
      <c r="B284">
        <f>SUMIFS('Draft Board'!$AT$2:$AT$193,'Draft Board'!$AM$2:$AM$193,A284,'Draft Board'!$AT$2:$AT$193,"&lt;&gt;")</f>
        <v>0</v>
      </c>
      <c r="C284">
        <f>SUMIFS('Draft Board'!$AS$2:$AS$193,'Draft Board'!$AM$2:$AM$193,A284,'Draft Board'!$AT$2:$AT$193,"&lt;&gt;")</f>
        <v>0</v>
      </c>
      <c r="D284">
        <f>COUNTIFS('Draft Board'!$AM$2:$AM$193,A284,'Draft Board'!$AT$2:$AT$193,"&lt;&gt;")</f>
        <v>0</v>
      </c>
      <c r="E284">
        <f>IFERROR(AVERAGEIFS('Draft Board'!$AS$2:$AS$193,'Draft Board'!$AM$2:$AM$193,A284),0)</f>
        <v>0</v>
      </c>
      <c r="F284">
        <f>MIN(1,E284/(Setup!$B$3*0.1))</f>
        <v>0</v>
      </c>
      <c r="G284">
        <f t="shared" si="8"/>
        <v>1</v>
      </c>
    </row>
    <row r="285" spans="1:7" x14ac:dyDescent="0.25">
      <c r="A285">
        <v>27</v>
      </c>
      <c r="B285">
        <f>SUMIFS('Draft Board'!$AT$2:$AT$193,'Draft Board'!$AM$2:$AM$193,A285,'Draft Board'!$AT$2:$AT$193,"&lt;&gt;")</f>
        <v>0</v>
      </c>
      <c r="C285">
        <f>SUMIFS('Draft Board'!$AS$2:$AS$193,'Draft Board'!$AM$2:$AM$193,A285,'Draft Board'!$AT$2:$AT$193,"&lt;&gt;")</f>
        <v>0</v>
      </c>
      <c r="D285">
        <f>COUNTIFS('Draft Board'!$AM$2:$AM$193,A285,'Draft Board'!$AT$2:$AT$193,"&lt;&gt;")</f>
        <v>0</v>
      </c>
      <c r="E285">
        <f>IFERROR(AVERAGEIFS('Draft Board'!$AS$2:$AS$193,'Draft Board'!$AM$2:$AM$193,A285),0)</f>
        <v>0</v>
      </c>
      <c r="F285">
        <f>MIN(1,E285/(Setup!$B$3*0.1))</f>
        <v>0</v>
      </c>
      <c r="G285">
        <f t="shared" si="8"/>
        <v>1</v>
      </c>
    </row>
    <row r="286" spans="1:7" x14ac:dyDescent="0.25">
      <c r="A286">
        <v>28</v>
      </c>
      <c r="B286">
        <f>SUMIFS('Draft Board'!$AT$2:$AT$193,'Draft Board'!$AM$2:$AM$193,A286,'Draft Board'!$AT$2:$AT$193,"&lt;&gt;")</f>
        <v>0</v>
      </c>
      <c r="C286">
        <f>SUMIFS('Draft Board'!$AS$2:$AS$193,'Draft Board'!$AM$2:$AM$193,A286,'Draft Board'!$AT$2:$AT$193,"&lt;&gt;")</f>
        <v>0</v>
      </c>
      <c r="D286">
        <f>COUNTIFS('Draft Board'!$AM$2:$AM$193,A286,'Draft Board'!$AT$2:$AT$193,"&lt;&gt;")</f>
        <v>0</v>
      </c>
      <c r="E286">
        <f>IFERROR(AVERAGEIFS('Draft Board'!$AS$2:$AS$193,'Draft Board'!$AM$2:$AM$193,A286),0)</f>
        <v>0</v>
      </c>
      <c r="F286">
        <f>MIN(1,E286/(Setup!$B$3*0.1))</f>
        <v>0</v>
      </c>
      <c r="G286">
        <f t="shared" si="8"/>
        <v>1</v>
      </c>
    </row>
    <row r="287" spans="1:7" x14ac:dyDescent="0.25">
      <c r="A287">
        <v>29</v>
      </c>
      <c r="B287">
        <f>SUMIFS('Draft Board'!$AT$2:$AT$193,'Draft Board'!$AM$2:$AM$193,A287,'Draft Board'!$AT$2:$AT$193,"&lt;&gt;")</f>
        <v>0</v>
      </c>
      <c r="C287">
        <f>SUMIFS('Draft Board'!$AS$2:$AS$193,'Draft Board'!$AM$2:$AM$193,A287,'Draft Board'!$AT$2:$AT$193,"&lt;&gt;")</f>
        <v>0</v>
      </c>
      <c r="D287">
        <f>COUNTIFS('Draft Board'!$AM$2:$AM$193,A287,'Draft Board'!$AT$2:$AT$193,"&lt;&gt;")</f>
        <v>0</v>
      </c>
      <c r="E287">
        <f>IFERROR(AVERAGEIFS('Draft Board'!$AS$2:$AS$193,'Draft Board'!$AM$2:$AM$193,A287),0)</f>
        <v>0</v>
      </c>
      <c r="F287">
        <f>MIN(1,E287/(Setup!$B$3*0.1))</f>
        <v>0</v>
      </c>
      <c r="G287">
        <f t="shared" si="8"/>
        <v>1</v>
      </c>
    </row>
    <row r="288" spans="1:7" x14ac:dyDescent="0.25">
      <c r="A288">
        <v>30</v>
      </c>
      <c r="B288">
        <f>SUMIFS('Draft Board'!$AT$2:$AT$193,'Draft Board'!$AM$2:$AM$193,A288,'Draft Board'!$AT$2:$AT$193,"&lt;&gt;")</f>
        <v>0</v>
      </c>
      <c r="C288">
        <f>SUMIFS('Draft Board'!$AS$2:$AS$193,'Draft Board'!$AM$2:$AM$193,A288,'Draft Board'!$AT$2:$AT$193,"&lt;&gt;")</f>
        <v>0</v>
      </c>
      <c r="D288">
        <f>COUNTIFS('Draft Board'!$AM$2:$AM$193,A288,'Draft Board'!$AT$2:$AT$193,"&lt;&gt;")</f>
        <v>0</v>
      </c>
      <c r="E288">
        <f>IFERROR(AVERAGEIFS('Draft Board'!$AS$2:$AS$193,'Draft Board'!$AM$2:$AM$193,A288),0)</f>
        <v>0</v>
      </c>
      <c r="F288">
        <f>MIN(1,E288/(Setup!$B$3*0.1))</f>
        <v>0</v>
      </c>
      <c r="G288">
        <f t="shared" si="8"/>
        <v>1</v>
      </c>
    </row>
    <row r="289" spans="1:7" x14ac:dyDescent="0.25">
      <c r="A289">
        <v>31</v>
      </c>
      <c r="B289">
        <f>SUMIFS('Draft Board'!$AT$2:$AT$193,'Draft Board'!$AM$2:$AM$193,A289,'Draft Board'!$AT$2:$AT$193,"&lt;&gt;")</f>
        <v>0</v>
      </c>
      <c r="C289">
        <f>SUMIFS('Draft Board'!$AS$2:$AS$193,'Draft Board'!$AM$2:$AM$193,A289,'Draft Board'!$AT$2:$AT$193,"&lt;&gt;")</f>
        <v>0</v>
      </c>
      <c r="D289">
        <f>COUNTIFS('Draft Board'!$AM$2:$AM$193,A289,'Draft Board'!$AT$2:$AT$193,"&lt;&gt;")</f>
        <v>0</v>
      </c>
      <c r="E289">
        <f>IFERROR(AVERAGEIFS('Draft Board'!$AS$2:$AS$193,'Draft Board'!$AM$2:$AM$193,A289),0)</f>
        <v>0</v>
      </c>
      <c r="F289">
        <f>MIN(1,E289/(Setup!$B$3*0.1))</f>
        <v>0</v>
      </c>
      <c r="G289">
        <f t="shared" si="8"/>
        <v>1</v>
      </c>
    </row>
    <row r="290" spans="1:7" x14ac:dyDescent="0.25">
      <c r="A290">
        <v>32</v>
      </c>
      <c r="B290">
        <f>SUMIFS('Draft Board'!$AT$2:$AT$193,'Draft Board'!$AM$2:$AM$193,A290,'Draft Board'!$AT$2:$AT$193,"&lt;&gt;")</f>
        <v>0</v>
      </c>
      <c r="C290">
        <f>SUMIFS('Draft Board'!$AS$2:$AS$193,'Draft Board'!$AM$2:$AM$193,A290,'Draft Board'!$AT$2:$AT$193,"&lt;&gt;")</f>
        <v>0</v>
      </c>
      <c r="D290">
        <f>COUNTIFS('Draft Board'!$AM$2:$AM$193,A290,'Draft Board'!$AT$2:$AT$193,"&lt;&gt;")</f>
        <v>0</v>
      </c>
      <c r="E290">
        <f>IFERROR(AVERAGEIFS('Draft Board'!$AS$2:$AS$193,'Draft Board'!$AM$2:$AM$193,A290),0)</f>
        <v>0</v>
      </c>
      <c r="F290">
        <f>MIN(1,E290/(Setup!$B$3*0.1))</f>
        <v>0</v>
      </c>
      <c r="G290">
        <f t="shared" si="8"/>
        <v>1</v>
      </c>
    </row>
    <row r="291" spans="1:7" x14ac:dyDescent="0.25">
      <c r="A291">
        <v>33</v>
      </c>
      <c r="B291">
        <f>SUMIFS('Draft Board'!$AT$2:$AT$193,'Draft Board'!$AM$2:$AM$193,A291,'Draft Board'!$AT$2:$AT$193,"&lt;&gt;")</f>
        <v>0</v>
      </c>
      <c r="C291">
        <f>SUMIFS('Draft Board'!$AS$2:$AS$193,'Draft Board'!$AM$2:$AM$193,A291,'Draft Board'!$AT$2:$AT$193,"&lt;&gt;")</f>
        <v>0</v>
      </c>
      <c r="D291">
        <f>COUNTIFS('Draft Board'!$AM$2:$AM$193,A291,'Draft Board'!$AT$2:$AT$193,"&lt;&gt;")</f>
        <v>0</v>
      </c>
      <c r="E291">
        <f>IFERROR(AVERAGEIFS('Draft Board'!$AS$2:$AS$193,'Draft Board'!$AM$2:$AM$193,A291),0)</f>
        <v>0</v>
      </c>
      <c r="F291">
        <f>MIN(1,E291/(Setup!$B$3*0.1))</f>
        <v>0</v>
      </c>
      <c r="G291">
        <f t="shared" ref="G291:G322" si="9">IF(D291&lt;2,1,MEDIAN(0.5,2,1+(IFERROR(B291/C291,1)-1)*F291))</f>
        <v>1</v>
      </c>
    </row>
    <row r="292" spans="1:7" x14ac:dyDescent="0.25">
      <c r="A292">
        <v>34</v>
      </c>
      <c r="B292">
        <f>SUMIFS('Draft Board'!$AT$2:$AT$193,'Draft Board'!$AM$2:$AM$193,A292,'Draft Board'!$AT$2:$AT$193,"&lt;&gt;")</f>
        <v>0</v>
      </c>
      <c r="C292">
        <f>SUMIFS('Draft Board'!$AS$2:$AS$193,'Draft Board'!$AM$2:$AM$193,A292,'Draft Board'!$AT$2:$AT$193,"&lt;&gt;")</f>
        <v>0</v>
      </c>
      <c r="D292">
        <f>COUNTIFS('Draft Board'!$AM$2:$AM$193,A292,'Draft Board'!$AT$2:$AT$193,"&lt;&gt;")</f>
        <v>0</v>
      </c>
      <c r="E292">
        <f>IFERROR(AVERAGEIFS('Draft Board'!$AS$2:$AS$193,'Draft Board'!$AM$2:$AM$193,A292),0)</f>
        <v>0</v>
      </c>
      <c r="F292">
        <f>MIN(1,E292/(Setup!$B$3*0.1))</f>
        <v>0</v>
      </c>
      <c r="G292">
        <f t="shared" si="9"/>
        <v>1</v>
      </c>
    </row>
    <row r="293" spans="1:7" x14ac:dyDescent="0.25">
      <c r="A293">
        <v>35</v>
      </c>
      <c r="B293">
        <f>SUMIFS('Draft Board'!$AT$2:$AT$193,'Draft Board'!$AM$2:$AM$193,A293,'Draft Board'!$AT$2:$AT$193,"&lt;&gt;")</f>
        <v>0</v>
      </c>
      <c r="C293">
        <f>SUMIFS('Draft Board'!$AS$2:$AS$193,'Draft Board'!$AM$2:$AM$193,A293,'Draft Board'!$AT$2:$AT$193,"&lt;&gt;")</f>
        <v>0</v>
      </c>
      <c r="D293">
        <f>COUNTIFS('Draft Board'!$AM$2:$AM$193,A293,'Draft Board'!$AT$2:$AT$193,"&lt;&gt;")</f>
        <v>0</v>
      </c>
      <c r="E293">
        <f>IFERROR(AVERAGEIFS('Draft Board'!$AS$2:$AS$193,'Draft Board'!$AM$2:$AM$193,A293),0)</f>
        <v>0</v>
      </c>
      <c r="F293">
        <f>MIN(1,E293/(Setup!$B$3*0.1))</f>
        <v>0</v>
      </c>
      <c r="G293">
        <f t="shared" si="9"/>
        <v>1</v>
      </c>
    </row>
    <row r="294" spans="1:7" x14ac:dyDescent="0.25">
      <c r="A294">
        <v>36</v>
      </c>
      <c r="B294">
        <f>SUMIFS('Draft Board'!$AT$2:$AT$193,'Draft Board'!$AM$2:$AM$193,A294,'Draft Board'!$AT$2:$AT$193,"&lt;&gt;")</f>
        <v>0</v>
      </c>
      <c r="C294">
        <f>SUMIFS('Draft Board'!$AS$2:$AS$193,'Draft Board'!$AM$2:$AM$193,A294,'Draft Board'!$AT$2:$AT$193,"&lt;&gt;")</f>
        <v>0</v>
      </c>
      <c r="D294">
        <f>COUNTIFS('Draft Board'!$AM$2:$AM$193,A294,'Draft Board'!$AT$2:$AT$193,"&lt;&gt;")</f>
        <v>0</v>
      </c>
      <c r="E294">
        <f>IFERROR(AVERAGEIFS('Draft Board'!$AS$2:$AS$193,'Draft Board'!$AM$2:$AM$193,A294),0)</f>
        <v>0</v>
      </c>
      <c r="F294">
        <f>MIN(1,E294/(Setup!$B$3*0.1))</f>
        <v>0</v>
      </c>
      <c r="G294">
        <f t="shared" si="9"/>
        <v>1</v>
      </c>
    </row>
    <row r="295" spans="1:7" x14ac:dyDescent="0.25">
      <c r="A295">
        <v>37</v>
      </c>
      <c r="B295">
        <f>SUMIFS('Draft Board'!$AT$2:$AT$193,'Draft Board'!$AM$2:$AM$193,A295,'Draft Board'!$AT$2:$AT$193,"&lt;&gt;")</f>
        <v>0</v>
      </c>
      <c r="C295">
        <f>SUMIFS('Draft Board'!$AS$2:$AS$193,'Draft Board'!$AM$2:$AM$193,A295,'Draft Board'!$AT$2:$AT$193,"&lt;&gt;")</f>
        <v>0</v>
      </c>
      <c r="D295">
        <f>COUNTIFS('Draft Board'!$AM$2:$AM$193,A295,'Draft Board'!$AT$2:$AT$193,"&lt;&gt;")</f>
        <v>0</v>
      </c>
      <c r="E295">
        <f>IFERROR(AVERAGEIFS('Draft Board'!$AS$2:$AS$193,'Draft Board'!$AM$2:$AM$193,A295),0)</f>
        <v>0</v>
      </c>
      <c r="F295">
        <f>MIN(1,E295/(Setup!$B$3*0.1))</f>
        <v>0</v>
      </c>
      <c r="G295">
        <f t="shared" si="9"/>
        <v>1</v>
      </c>
    </row>
    <row r="296" spans="1:7" x14ac:dyDescent="0.25">
      <c r="A296">
        <v>38</v>
      </c>
      <c r="B296">
        <f>SUMIFS('Draft Board'!$AT$2:$AT$193,'Draft Board'!$AM$2:$AM$193,A296,'Draft Board'!$AT$2:$AT$193,"&lt;&gt;")</f>
        <v>0</v>
      </c>
      <c r="C296">
        <f>SUMIFS('Draft Board'!$AS$2:$AS$193,'Draft Board'!$AM$2:$AM$193,A296,'Draft Board'!$AT$2:$AT$193,"&lt;&gt;")</f>
        <v>0</v>
      </c>
      <c r="D296">
        <f>COUNTIFS('Draft Board'!$AM$2:$AM$193,A296,'Draft Board'!$AT$2:$AT$193,"&lt;&gt;")</f>
        <v>0</v>
      </c>
      <c r="E296">
        <f>IFERROR(AVERAGEIFS('Draft Board'!$AS$2:$AS$193,'Draft Board'!$AM$2:$AM$193,A296),0)</f>
        <v>0</v>
      </c>
      <c r="F296">
        <f>MIN(1,E296/(Setup!$B$3*0.1))</f>
        <v>0</v>
      </c>
      <c r="G296">
        <f t="shared" si="9"/>
        <v>1</v>
      </c>
    </row>
    <row r="297" spans="1:7" x14ac:dyDescent="0.25">
      <c r="A297">
        <v>39</v>
      </c>
      <c r="B297">
        <f>SUMIFS('Draft Board'!$AT$2:$AT$193,'Draft Board'!$AM$2:$AM$193,A297,'Draft Board'!$AT$2:$AT$193,"&lt;&gt;")</f>
        <v>0</v>
      </c>
      <c r="C297">
        <f>SUMIFS('Draft Board'!$AS$2:$AS$193,'Draft Board'!$AM$2:$AM$193,A297,'Draft Board'!$AT$2:$AT$193,"&lt;&gt;")</f>
        <v>0</v>
      </c>
      <c r="D297">
        <f>COUNTIFS('Draft Board'!$AM$2:$AM$193,A297,'Draft Board'!$AT$2:$AT$193,"&lt;&gt;")</f>
        <v>0</v>
      </c>
      <c r="E297">
        <f>IFERROR(AVERAGEIFS('Draft Board'!$AS$2:$AS$193,'Draft Board'!$AM$2:$AM$193,A297),0)</f>
        <v>0</v>
      </c>
      <c r="F297">
        <f>MIN(1,E297/(Setup!$B$3*0.1))</f>
        <v>0</v>
      </c>
      <c r="G297">
        <f t="shared" si="9"/>
        <v>1</v>
      </c>
    </row>
    <row r="298" spans="1:7" x14ac:dyDescent="0.25">
      <c r="A298">
        <v>40</v>
      </c>
      <c r="B298">
        <f>SUMIFS('Draft Board'!$AT$2:$AT$193,'Draft Board'!$AM$2:$AM$193,A298,'Draft Board'!$AT$2:$AT$193,"&lt;&gt;")</f>
        <v>0</v>
      </c>
      <c r="C298">
        <f>SUMIFS('Draft Board'!$AS$2:$AS$193,'Draft Board'!$AM$2:$AM$193,A298,'Draft Board'!$AT$2:$AT$193,"&lt;&gt;")</f>
        <v>0</v>
      </c>
      <c r="D298">
        <f>COUNTIFS('Draft Board'!$AM$2:$AM$193,A298,'Draft Board'!$AT$2:$AT$193,"&lt;&gt;")</f>
        <v>0</v>
      </c>
      <c r="E298">
        <f>IFERROR(AVERAGEIFS('Draft Board'!$AS$2:$AS$193,'Draft Board'!$AM$2:$AM$193,A298),0)</f>
        <v>0</v>
      </c>
      <c r="F298">
        <f>MIN(1,E298/(Setup!$B$3*0.1))</f>
        <v>0</v>
      </c>
      <c r="G298">
        <f t="shared" si="9"/>
        <v>1</v>
      </c>
    </row>
    <row r="299" spans="1:7" x14ac:dyDescent="0.25">
      <c r="A299">
        <v>41</v>
      </c>
      <c r="B299">
        <f>SUMIFS('Draft Board'!$AT$2:$AT$193,'Draft Board'!$AM$2:$AM$193,A299,'Draft Board'!$AT$2:$AT$193,"&lt;&gt;")</f>
        <v>0</v>
      </c>
      <c r="C299">
        <f>SUMIFS('Draft Board'!$AS$2:$AS$193,'Draft Board'!$AM$2:$AM$193,A299,'Draft Board'!$AT$2:$AT$193,"&lt;&gt;")</f>
        <v>0</v>
      </c>
      <c r="D299">
        <f>COUNTIFS('Draft Board'!$AM$2:$AM$193,A299,'Draft Board'!$AT$2:$AT$193,"&lt;&gt;")</f>
        <v>0</v>
      </c>
      <c r="E299">
        <f>IFERROR(AVERAGEIFS('Draft Board'!$AS$2:$AS$193,'Draft Board'!$AM$2:$AM$193,A299),0)</f>
        <v>0</v>
      </c>
      <c r="F299">
        <f>MIN(1,E299/(Setup!$B$3*0.1))</f>
        <v>0</v>
      </c>
      <c r="G299">
        <f t="shared" si="9"/>
        <v>1</v>
      </c>
    </row>
    <row r="300" spans="1:7" x14ac:dyDescent="0.25">
      <c r="A300">
        <v>42</v>
      </c>
      <c r="B300">
        <f>SUMIFS('Draft Board'!$AT$2:$AT$193,'Draft Board'!$AM$2:$AM$193,A300,'Draft Board'!$AT$2:$AT$193,"&lt;&gt;")</f>
        <v>0</v>
      </c>
      <c r="C300">
        <f>SUMIFS('Draft Board'!$AS$2:$AS$193,'Draft Board'!$AM$2:$AM$193,A300,'Draft Board'!$AT$2:$AT$193,"&lt;&gt;")</f>
        <v>0</v>
      </c>
      <c r="D300">
        <f>COUNTIFS('Draft Board'!$AM$2:$AM$193,A300,'Draft Board'!$AT$2:$AT$193,"&lt;&gt;")</f>
        <v>0</v>
      </c>
      <c r="E300">
        <f>IFERROR(AVERAGEIFS('Draft Board'!$AS$2:$AS$193,'Draft Board'!$AM$2:$AM$193,A300),0)</f>
        <v>0</v>
      </c>
      <c r="F300">
        <f>MIN(1,E300/(Setup!$B$3*0.1))</f>
        <v>0</v>
      </c>
      <c r="G300">
        <f t="shared" si="9"/>
        <v>1</v>
      </c>
    </row>
    <row r="301" spans="1:7" x14ac:dyDescent="0.25">
      <c r="A301">
        <v>43</v>
      </c>
      <c r="B301">
        <f>SUMIFS('Draft Board'!$AT$2:$AT$193,'Draft Board'!$AM$2:$AM$193,A301,'Draft Board'!$AT$2:$AT$193,"&lt;&gt;")</f>
        <v>0</v>
      </c>
      <c r="C301">
        <f>SUMIFS('Draft Board'!$AS$2:$AS$193,'Draft Board'!$AM$2:$AM$193,A301,'Draft Board'!$AT$2:$AT$193,"&lt;&gt;")</f>
        <v>0</v>
      </c>
      <c r="D301">
        <f>COUNTIFS('Draft Board'!$AM$2:$AM$193,A301,'Draft Board'!$AT$2:$AT$193,"&lt;&gt;")</f>
        <v>0</v>
      </c>
      <c r="E301">
        <f>IFERROR(AVERAGEIFS('Draft Board'!$AS$2:$AS$193,'Draft Board'!$AM$2:$AM$193,A301),0)</f>
        <v>0</v>
      </c>
      <c r="F301">
        <f>MIN(1,E301/(Setup!$B$3*0.1))</f>
        <v>0</v>
      </c>
      <c r="G301">
        <f t="shared" si="9"/>
        <v>1</v>
      </c>
    </row>
    <row r="302" spans="1:7" x14ac:dyDescent="0.25">
      <c r="A302">
        <v>44</v>
      </c>
      <c r="B302">
        <f>SUMIFS('Draft Board'!$AT$2:$AT$193,'Draft Board'!$AM$2:$AM$193,A302,'Draft Board'!$AT$2:$AT$193,"&lt;&gt;")</f>
        <v>0</v>
      </c>
      <c r="C302">
        <f>SUMIFS('Draft Board'!$AS$2:$AS$193,'Draft Board'!$AM$2:$AM$193,A302,'Draft Board'!$AT$2:$AT$193,"&lt;&gt;")</f>
        <v>0</v>
      </c>
      <c r="D302">
        <f>COUNTIFS('Draft Board'!$AM$2:$AM$193,A302,'Draft Board'!$AT$2:$AT$193,"&lt;&gt;")</f>
        <v>0</v>
      </c>
      <c r="E302">
        <f>IFERROR(AVERAGEIFS('Draft Board'!$AS$2:$AS$193,'Draft Board'!$AM$2:$AM$193,A302),0)</f>
        <v>0</v>
      </c>
      <c r="F302">
        <f>MIN(1,E302/(Setup!$B$3*0.1))</f>
        <v>0</v>
      </c>
      <c r="G302">
        <f t="shared" si="9"/>
        <v>1</v>
      </c>
    </row>
    <row r="303" spans="1:7" x14ac:dyDescent="0.25">
      <c r="A303">
        <v>45</v>
      </c>
      <c r="B303">
        <f>SUMIFS('Draft Board'!$AT$2:$AT$193,'Draft Board'!$AM$2:$AM$193,A303,'Draft Board'!$AT$2:$AT$193,"&lt;&gt;")</f>
        <v>0</v>
      </c>
      <c r="C303">
        <f>SUMIFS('Draft Board'!$AS$2:$AS$193,'Draft Board'!$AM$2:$AM$193,A303,'Draft Board'!$AT$2:$AT$193,"&lt;&gt;")</f>
        <v>0</v>
      </c>
      <c r="D303">
        <f>COUNTIFS('Draft Board'!$AM$2:$AM$193,A303,'Draft Board'!$AT$2:$AT$193,"&lt;&gt;")</f>
        <v>0</v>
      </c>
      <c r="E303">
        <f>IFERROR(AVERAGEIFS('Draft Board'!$AS$2:$AS$193,'Draft Board'!$AM$2:$AM$193,A303),0)</f>
        <v>0</v>
      </c>
      <c r="F303">
        <f>MIN(1,E303/(Setup!$B$3*0.1))</f>
        <v>0</v>
      </c>
      <c r="G303">
        <f t="shared" si="9"/>
        <v>1</v>
      </c>
    </row>
    <row r="304" spans="1:7" x14ac:dyDescent="0.25">
      <c r="A304">
        <v>46</v>
      </c>
      <c r="B304">
        <f>SUMIFS('Draft Board'!$AT$2:$AT$193,'Draft Board'!$AM$2:$AM$193,A304,'Draft Board'!$AT$2:$AT$193,"&lt;&gt;")</f>
        <v>0</v>
      </c>
      <c r="C304">
        <f>SUMIFS('Draft Board'!$AS$2:$AS$193,'Draft Board'!$AM$2:$AM$193,A304,'Draft Board'!$AT$2:$AT$193,"&lt;&gt;")</f>
        <v>0</v>
      </c>
      <c r="D304">
        <f>COUNTIFS('Draft Board'!$AM$2:$AM$193,A304,'Draft Board'!$AT$2:$AT$193,"&lt;&gt;")</f>
        <v>0</v>
      </c>
      <c r="E304">
        <f>IFERROR(AVERAGEIFS('Draft Board'!$AS$2:$AS$193,'Draft Board'!$AM$2:$AM$193,A304),0)</f>
        <v>0</v>
      </c>
      <c r="F304">
        <f>MIN(1,E304/(Setup!$B$3*0.1))</f>
        <v>0</v>
      </c>
      <c r="G304">
        <f t="shared" si="9"/>
        <v>1</v>
      </c>
    </row>
    <row r="305" spans="1:7" x14ac:dyDescent="0.25">
      <c r="A305">
        <v>47</v>
      </c>
      <c r="B305">
        <f>SUMIFS('Draft Board'!$AT$2:$AT$193,'Draft Board'!$AM$2:$AM$193,A305,'Draft Board'!$AT$2:$AT$193,"&lt;&gt;")</f>
        <v>0</v>
      </c>
      <c r="C305">
        <f>SUMIFS('Draft Board'!$AS$2:$AS$193,'Draft Board'!$AM$2:$AM$193,A305,'Draft Board'!$AT$2:$AT$193,"&lt;&gt;")</f>
        <v>0</v>
      </c>
      <c r="D305">
        <f>COUNTIFS('Draft Board'!$AM$2:$AM$193,A305,'Draft Board'!$AT$2:$AT$193,"&lt;&gt;")</f>
        <v>0</v>
      </c>
      <c r="E305">
        <f>IFERROR(AVERAGEIFS('Draft Board'!$AS$2:$AS$193,'Draft Board'!$AM$2:$AM$193,A305),0)</f>
        <v>0</v>
      </c>
      <c r="F305">
        <f>MIN(1,E305/(Setup!$B$3*0.1))</f>
        <v>0</v>
      </c>
      <c r="G305">
        <f t="shared" si="9"/>
        <v>1</v>
      </c>
    </row>
    <row r="306" spans="1:7" x14ac:dyDescent="0.25">
      <c r="A306">
        <v>48</v>
      </c>
      <c r="B306">
        <f>SUMIFS('Draft Board'!$AT$2:$AT$193,'Draft Board'!$AM$2:$AM$193,A306,'Draft Board'!$AT$2:$AT$193,"&lt;&gt;")</f>
        <v>0</v>
      </c>
      <c r="C306">
        <f>SUMIFS('Draft Board'!$AS$2:$AS$193,'Draft Board'!$AM$2:$AM$193,A306,'Draft Board'!$AT$2:$AT$193,"&lt;&gt;")</f>
        <v>0</v>
      </c>
      <c r="D306">
        <f>COUNTIFS('Draft Board'!$AM$2:$AM$193,A306,'Draft Board'!$AT$2:$AT$193,"&lt;&gt;")</f>
        <v>0</v>
      </c>
      <c r="E306">
        <f>IFERROR(AVERAGEIFS('Draft Board'!$AS$2:$AS$193,'Draft Board'!$AM$2:$AM$193,A306),0)</f>
        <v>0</v>
      </c>
      <c r="F306">
        <f>MIN(1,E306/(Setup!$B$3*0.1))</f>
        <v>0</v>
      </c>
      <c r="G306">
        <f t="shared" si="9"/>
        <v>1</v>
      </c>
    </row>
    <row r="307" spans="1:7" x14ac:dyDescent="0.25">
      <c r="A307">
        <v>49</v>
      </c>
      <c r="B307">
        <f>SUMIFS('Draft Board'!$AT$2:$AT$193,'Draft Board'!$AM$2:$AM$193,A307,'Draft Board'!$AT$2:$AT$193,"&lt;&gt;")</f>
        <v>0</v>
      </c>
      <c r="C307">
        <f>SUMIFS('Draft Board'!$AS$2:$AS$193,'Draft Board'!$AM$2:$AM$193,A307,'Draft Board'!$AT$2:$AT$193,"&lt;&gt;")</f>
        <v>0</v>
      </c>
      <c r="D307">
        <f>COUNTIFS('Draft Board'!$AM$2:$AM$193,A307,'Draft Board'!$AT$2:$AT$193,"&lt;&gt;")</f>
        <v>0</v>
      </c>
      <c r="E307">
        <f>IFERROR(AVERAGEIFS('Draft Board'!$AS$2:$AS$193,'Draft Board'!$AM$2:$AM$193,A307),0)</f>
        <v>0</v>
      </c>
      <c r="F307">
        <f>MIN(1,E307/(Setup!$B$3*0.1))</f>
        <v>0</v>
      </c>
      <c r="G307">
        <f t="shared" si="9"/>
        <v>1</v>
      </c>
    </row>
    <row r="308" spans="1:7" x14ac:dyDescent="0.25">
      <c r="A308">
        <v>50</v>
      </c>
      <c r="B308">
        <f>SUMIFS('Draft Board'!$AT$2:$AT$193,'Draft Board'!$AM$2:$AM$193,A308,'Draft Board'!$AT$2:$AT$193,"&lt;&gt;")</f>
        <v>0</v>
      </c>
      <c r="C308">
        <f>SUMIFS('Draft Board'!$AS$2:$AS$193,'Draft Board'!$AM$2:$AM$193,A308,'Draft Board'!$AT$2:$AT$193,"&lt;&gt;")</f>
        <v>0</v>
      </c>
      <c r="D308">
        <f>COUNTIFS('Draft Board'!$AM$2:$AM$193,A308,'Draft Board'!$AT$2:$AT$193,"&lt;&gt;")</f>
        <v>0</v>
      </c>
      <c r="E308">
        <f>IFERROR(AVERAGEIFS('Draft Board'!$AS$2:$AS$193,'Draft Board'!$AM$2:$AM$193,A308),0)</f>
        <v>0</v>
      </c>
      <c r="F308">
        <f>MIN(1,E308/(Setup!$B$3*0.1))</f>
        <v>0</v>
      </c>
      <c r="G308">
        <f t="shared" si="9"/>
        <v>1</v>
      </c>
    </row>
    <row r="309" spans="1:7" x14ac:dyDescent="0.25">
      <c r="A309">
        <v>51</v>
      </c>
      <c r="B309">
        <f>SUMIFS('Draft Board'!$AT$2:$AT$193,'Draft Board'!$AM$2:$AM$193,A309,'Draft Board'!$AT$2:$AT$193,"&lt;&gt;")</f>
        <v>0</v>
      </c>
      <c r="C309">
        <f>SUMIFS('Draft Board'!$AS$2:$AS$193,'Draft Board'!$AM$2:$AM$193,A309,'Draft Board'!$AT$2:$AT$193,"&lt;&gt;")</f>
        <v>0</v>
      </c>
      <c r="D309">
        <f>COUNTIFS('Draft Board'!$AM$2:$AM$193,A309,'Draft Board'!$AT$2:$AT$193,"&lt;&gt;")</f>
        <v>0</v>
      </c>
      <c r="E309">
        <f>IFERROR(AVERAGEIFS('Draft Board'!$AS$2:$AS$193,'Draft Board'!$AM$2:$AM$193,A309),0)</f>
        <v>0</v>
      </c>
      <c r="F309">
        <f>MIN(1,E309/(Setup!$B$3*0.1))</f>
        <v>0</v>
      </c>
      <c r="G309">
        <f t="shared" si="9"/>
        <v>1</v>
      </c>
    </row>
    <row r="310" spans="1:7" x14ac:dyDescent="0.25">
      <c r="A310">
        <v>52</v>
      </c>
      <c r="B310">
        <f>SUMIFS('Draft Board'!$AT$2:$AT$193,'Draft Board'!$AM$2:$AM$193,A310,'Draft Board'!$AT$2:$AT$193,"&lt;&gt;")</f>
        <v>0</v>
      </c>
      <c r="C310">
        <f>SUMIFS('Draft Board'!$AS$2:$AS$193,'Draft Board'!$AM$2:$AM$193,A310,'Draft Board'!$AT$2:$AT$193,"&lt;&gt;")</f>
        <v>0</v>
      </c>
      <c r="D310">
        <f>COUNTIFS('Draft Board'!$AM$2:$AM$193,A310,'Draft Board'!$AT$2:$AT$193,"&lt;&gt;")</f>
        <v>0</v>
      </c>
      <c r="E310">
        <f>IFERROR(AVERAGEIFS('Draft Board'!$AS$2:$AS$193,'Draft Board'!$AM$2:$AM$193,A310),0)</f>
        <v>0</v>
      </c>
      <c r="F310">
        <f>MIN(1,E310/(Setup!$B$3*0.1))</f>
        <v>0</v>
      </c>
      <c r="G310">
        <f t="shared" si="9"/>
        <v>1</v>
      </c>
    </row>
    <row r="311" spans="1:7" x14ac:dyDescent="0.25">
      <c r="A311">
        <v>53</v>
      </c>
      <c r="B311">
        <f>SUMIFS('Draft Board'!$AT$2:$AT$193,'Draft Board'!$AM$2:$AM$193,A311,'Draft Board'!$AT$2:$AT$193,"&lt;&gt;")</f>
        <v>0</v>
      </c>
      <c r="C311">
        <f>SUMIFS('Draft Board'!$AS$2:$AS$193,'Draft Board'!$AM$2:$AM$193,A311,'Draft Board'!$AT$2:$AT$193,"&lt;&gt;")</f>
        <v>0</v>
      </c>
      <c r="D311">
        <f>COUNTIFS('Draft Board'!$AM$2:$AM$193,A311,'Draft Board'!$AT$2:$AT$193,"&lt;&gt;")</f>
        <v>0</v>
      </c>
      <c r="E311">
        <f>IFERROR(AVERAGEIFS('Draft Board'!$AS$2:$AS$193,'Draft Board'!$AM$2:$AM$193,A311),0)</f>
        <v>0</v>
      </c>
      <c r="F311">
        <f>MIN(1,E311/(Setup!$B$3*0.1))</f>
        <v>0</v>
      </c>
      <c r="G311">
        <f t="shared" si="9"/>
        <v>1</v>
      </c>
    </row>
    <row r="312" spans="1:7" x14ac:dyDescent="0.25">
      <c r="A312">
        <v>54</v>
      </c>
      <c r="B312">
        <f>SUMIFS('Draft Board'!$AT$2:$AT$193,'Draft Board'!$AM$2:$AM$193,A312,'Draft Board'!$AT$2:$AT$193,"&lt;&gt;")</f>
        <v>0</v>
      </c>
      <c r="C312">
        <f>SUMIFS('Draft Board'!$AS$2:$AS$193,'Draft Board'!$AM$2:$AM$193,A312,'Draft Board'!$AT$2:$AT$193,"&lt;&gt;")</f>
        <v>0</v>
      </c>
      <c r="D312">
        <f>COUNTIFS('Draft Board'!$AM$2:$AM$193,A312,'Draft Board'!$AT$2:$AT$193,"&lt;&gt;")</f>
        <v>0</v>
      </c>
      <c r="E312">
        <f>IFERROR(AVERAGEIFS('Draft Board'!$AS$2:$AS$193,'Draft Board'!$AM$2:$AM$193,A312),0)</f>
        <v>0</v>
      </c>
      <c r="F312">
        <f>MIN(1,E312/(Setup!$B$3*0.1))</f>
        <v>0</v>
      </c>
      <c r="G312">
        <f t="shared" si="9"/>
        <v>1</v>
      </c>
    </row>
    <row r="313" spans="1:7" x14ac:dyDescent="0.25">
      <c r="A313">
        <v>55</v>
      </c>
      <c r="B313">
        <f>SUMIFS('Draft Board'!$AT$2:$AT$193,'Draft Board'!$AM$2:$AM$193,A313,'Draft Board'!$AT$2:$AT$193,"&lt;&gt;")</f>
        <v>0</v>
      </c>
      <c r="C313">
        <f>SUMIFS('Draft Board'!$AS$2:$AS$193,'Draft Board'!$AM$2:$AM$193,A313,'Draft Board'!$AT$2:$AT$193,"&lt;&gt;")</f>
        <v>0</v>
      </c>
      <c r="D313">
        <f>COUNTIFS('Draft Board'!$AM$2:$AM$193,A313,'Draft Board'!$AT$2:$AT$193,"&lt;&gt;")</f>
        <v>0</v>
      </c>
      <c r="E313">
        <f>IFERROR(AVERAGEIFS('Draft Board'!$AS$2:$AS$193,'Draft Board'!$AM$2:$AM$193,A313),0)</f>
        <v>0</v>
      </c>
      <c r="F313">
        <f>MIN(1,E313/(Setup!$B$3*0.1))</f>
        <v>0</v>
      </c>
      <c r="G313">
        <f t="shared" si="9"/>
        <v>1</v>
      </c>
    </row>
    <row r="314" spans="1:7" x14ac:dyDescent="0.25">
      <c r="A314">
        <v>56</v>
      </c>
      <c r="B314">
        <f>SUMIFS('Draft Board'!$AT$2:$AT$193,'Draft Board'!$AM$2:$AM$193,A314,'Draft Board'!$AT$2:$AT$193,"&lt;&gt;")</f>
        <v>0</v>
      </c>
      <c r="C314">
        <f>SUMIFS('Draft Board'!$AS$2:$AS$193,'Draft Board'!$AM$2:$AM$193,A314,'Draft Board'!$AT$2:$AT$193,"&lt;&gt;")</f>
        <v>0</v>
      </c>
      <c r="D314">
        <f>COUNTIFS('Draft Board'!$AM$2:$AM$193,A314,'Draft Board'!$AT$2:$AT$193,"&lt;&gt;")</f>
        <v>0</v>
      </c>
      <c r="E314">
        <f>IFERROR(AVERAGEIFS('Draft Board'!$AS$2:$AS$193,'Draft Board'!$AM$2:$AM$193,A314),0)</f>
        <v>0</v>
      </c>
      <c r="F314">
        <f>MIN(1,E314/(Setup!$B$3*0.1))</f>
        <v>0</v>
      </c>
      <c r="G314">
        <f t="shared" si="9"/>
        <v>1</v>
      </c>
    </row>
    <row r="315" spans="1:7" x14ac:dyDescent="0.25">
      <c r="A315">
        <v>57</v>
      </c>
      <c r="B315">
        <f>SUMIFS('Draft Board'!$AT$2:$AT$193,'Draft Board'!$AM$2:$AM$193,A315,'Draft Board'!$AT$2:$AT$193,"&lt;&gt;")</f>
        <v>0</v>
      </c>
      <c r="C315">
        <f>SUMIFS('Draft Board'!$AS$2:$AS$193,'Draft Board'!$AM$2:$AM$193,A315,'Draft Board'!$AT$2:$AT$193,"&lt;&gt;")</f>
        <v>0</v>
      </c>
      <c r="D315">
        <f>COUNTIFS('Draft Board'!$AM$2:$AM$193,A315,'Draft Board'!$AT$2:$AT$193,"&lt;&gt;")</f>
        <v>0</v>
      </c>
      <c r="E315">
        <f>IFERROR(AVERAGEIFS('Draft Board'!$AS$2:$AS$193,'Draft Board'!$AM$2:$AM$193,A315),0)</f>
        <v>0</v>
      </c>
      <c r="F315">
        <f>MIN(1,E315/(Setup!$B$3*0.1))</f>
        <v>0</v>
      </c>
      <c r="G315">
        <f t="shared" si="9"/>
        <v>1</v>
      </c>
    </row>
    <row r="316" spans="1:7" x14ac:dyDescent="0.25">
      <c r="A316">
        <v>58</v>
      </c>
      <c r="B316">
        <f>SUMIFS('Draft Board'!$AT$2:$AT$193,'Draft Board'!$AM$2:$AM$193,A316,'Draft Board'!$AT$2:$AT$193,"&lt;&gt;")</f>
        <v>0</v>
      </c>
      <c r="C316">
        <f>SUMIFS('Draft Board'!$AS$2:$AS$193,'Draft Board'!$AM$2:$AM$193,A316,'Draft Board'!$AT$2:$AT$193,"&lt;&gt;")</f>
        <v>0</v>
      </c>
      <c r="D316">
        <f>COUNTIFS('Draft Board'!$AM$2:$AM$193,A316,'Draft Board'!$AT$2:$AT$193,"&lt;&gt;")</f>
        <v>0</v>
      </c>
      <c r="E316">
        <f>IFERROR(AVERAGEIFS('Draft Board'!$AS$2:$AS$193,'Draft Board'!$AM$2:$AM$193,A316),0)</f>
        <v>0</v>
      </c>
      <c r="F316">
        <f>MIN(1,E316/(Setup!$B$3*0.1))</f>
        <v>0</v>
      </c>
      <c r="G316">
        <f t="shared" si="9"/>
        <v>1</v>
      </c>
    </row>
    <row r="317" spans="1:7" x14ac:dyDescent="0.25">
      <c r="A317">
        <v>59</v>
      </c>
      <c r="B317">
        <f>SUMIFS('Draft Board'!$AT$2:$AT$193,'Draft Board'!$AM$2:$AM$193,A317,'Draft Board'!$AT$2:$AT$193,"&lt;&gt;")</f>
        <v>0</v>
      </c>
      <c r="C317">
        <f>SUMIFS('Draft Board'!$AS$2:$AS$193,'Draft Board'!$AM$2:$AM$193,A317,'Draft Board'!$AT$2:$AT$193,"&lt;&gt;")</f>
        <v>0</v>
      </c>
      <c r="D317">
        <f>COUNTIFS('Draft Board'!$AM$2:$AM$193,A317,'Draft Board'!$AT$2:$AT$193,"&lt;&gt;")</f>
        <v>0</v>
      </c>
      <c r="E317">
        <f>IFERROR(AVERAGEIFS('Draft Board'!$AS$2:$AS$193,'Draft Board'!$AM$2:$AM$193,A317),0)</f>
        <v>0</v>
      </c>
      <c r="F317">
        <f>MIN(1,E317/(Setup!$B$3*0.1))</f>
        <v>0</v>
      </c>
      <c r="G317">
        <f t="shared" si="9"/>
        <v>1</v>
      </c>
    </row>
    <row r="318" spans="1:7" x14ac:dyDescent="0.25">
      <c r="A318">
        <v>60</v>
      </c>
      <c r="B318">
        <f>SUMIFS('Draft Board'!$AT$2:$AT$193,'Draft Board'!$AM$2:$AM$193,A318,'Draft Board'!$AT$2:$AT$193,"&lt;&gt;")</f>
        <v>0</v>
      </c>
      <c r="C318">
        <f>SUMIFS('Draft Board'!$AS$2:$AS$193,'Draft Board'!$AM$2:$AM$193,A318,'Draft Board'!$AT$2:$AT$193,"&lt;&gt;")</f>
        <v>0</v>
      </c>
      <c r="D318">
        <f>COUNTIFS('Draft Board'!$AM$2:$AM$193,A318,'Draft Board'!$AT$2:$AT$193,"&lt;&gt;")</f>
        <v>0</v>
      </c>
      <c r="E318">
        <f>IFERROR(AVERAGEIFS('Draft Board'!$AS$2:$AS$193,'Draft Board'!$AM$2:$AM$193,A318),0)</f>
        <v>0</v>
      </c>
      <c r="F318">
        <f>MIN(1,E318/(Setup!$B$3*0.1))</f>
        <v>0</v>
      </c>
      <c r="G318">
        <f t="shared" si="9"/>
        <v>1</v>
      </c>
    </row>
    <row r="319" spans="1:7" x14ac:dyDescent="0.25">
      <c r="A319">
        <v>61</v>
      </c>
      <c r="B319">
        <f>SUMIFS('Draft Board'!$AT$2:$AT$193,'Draft Board'!$AM$2:$AM$193,A319,'Draft Board'!$AT$2:$AT$193,"&lt;&gt;")</f>
        <v>0</v>
      </c>
      <c r="C319">
        <f>SUMIFS('Draft Board'!$AS$2:$AS$193,'Draft Board'!$AM$2:$AM$193,A319,'Draft Board'!$AT$2:$AT$193,"&lt;&gt;")</f>
        <v>0</v>
      </c>
      <c r="D319">
        <f>COUNTIFS('Draft Board'!$AM$2:$AM$193,A319,'Draft Board'!$AT$2:$AT$193,"&lt;&gt;")</f>
        <v>0</v>
      </c>
      <c r="E319">
        <f>IFERROR(AVERAGEIFS('Draft Board'!$AS$2:$AS$193,'Draft Board'!$AM$2:$AM$193,A319),0)</f>
        <v>0</v>
      </c>
      <c r="F319">
        <f>MIN(1,E319/(Setup!$B$3*0.1))</f>
        <v>0</v>
      </c>
      <c r="G319">
        <f t="shared" si="9"/>
        <v>1</v>
      </c>
    </row>
    <row r="320" spans="1:7" x14ac:dyDescent="0.25">
      <c r="A320">
        <v>62</v>
      </c>
      <c r="B320">
        <f>SUMIFS('Draft Board'!$AT$2:$AT$193,'Draft Board'!$AM$2:$AM$193,A320,'Draft Board'!$AT$2:$AT$193,"&lt;&gt;")</f>
        <v>0</v>
      </c>
      <c r="C320">
        <f>SUMIFS('Draft Board'!$AS$2:$AS$193,'Draft Board'!$AM$2:$AM$193,A320,'Draft Board'!$AT$2:$AT$193,"&lt;&gt;")</f>
        <v>0</v>
      </c>
      <c r="D320">
        <f>COUNTIFS('Draft Board'!$AM$2:$AM$193,A320,'Draft Board'!$AT$2:$AT$193,"&lt;&gt;")</f>
        <v>0</v>
      </c>
      <c r="E320">
        <f>IFERROR(AVERAGEIFS('Draft Board'!$AS$2:$AS$193,'Draft Board'!$AM$2:$AM$193,A320),0)</f>
        <v>0</v>
      </c>
      <c r="F320">
        <f>MIN(1,E320/(Setup!$B$3*0.1))</f>
        <v>0</v>
      </c>
      <c r="G320">
        <f t="shared" si="9"/>
        <v>1</v>
      </c>
    </row>
    <row r="321" spans="1:7" x14ac:dyDescent="0.25">
      <c r="A321">
        <v>63</v>
      </c>
      <c r="B321">
        <f>SUMIFS('Draft Board'!$AT$2:$AT$193,'Draft Board'!$AM$2:$AM$193,A321,'Draft Board'!$AT$2:$AT$193,"&lt;&gt;")</f>
        <v>0</v>
      </c>
      <c r="C321">
        <f>SUMIFS('Draft Board'!$AS$2:$AS$193,'Draft Board'!$AM$2:$AM$193,A321,'Draft Board'!$AT$2:$AT$193,"&lt;&gt;")</f>
        <v>0</v>
      </c>
      <c r="D321">
        <f>COUNTIFS('Draft Board'!$AM$2:$AM$193,A321,'Draft Board'!$AT$2:$AT$193,"&lt;&gt;")</f>
        <v>0</v>
      </c>
      <c r="E321">
        <f>IFERROR(AVERAGEIFS('Draft Board'!$AS$2:$AS$193,'Draft Board'!$AM$2:$AM$193,A321),0)</f>
        <v>0</v>
      </c>
      <c r="F321">
        <f>MIN(1,E321/(Setup!$B$3*0.1))</f>
        <v>0</v>
      </c>
      <c r="G321">
        <f t="shared" si="9"/>
        <v>1</v>
      </c>
    </row>
    <row r="322" spans="1:7" x14ac:dyDescent="0.25">
      <c r="A322">
        <v>64</v>
      </c>
      <c r="B322">
        <f>SUMIFS('Draft Board'!$AT$2:$AT$193,'Draft Board'!$AM$2:$AM$193,A322,'Draft Board'!$AT$2:$AT$193,"&lt;&gt;")</f>
        <v>0</v>
      </c>
      <c r="C322">
        <f>SUMIFS('Draft Board'!$AS$2:$AS$193,'Draft Board'!$AM$2:$AM$193,A322,'Draft Board'!$AT$2:$AT$193,"&lt;&gt;")</f>
        <v>0</v>
      </c>
      <c r="D322">
        <f>COUNTIFS('Draft Board'!$AM$2:$AM$193,A322,'Draft Board'!$AT$2:$AT$193,"&lt;&gt;")</f>
        <v>0</v>
      </c>
      <c r="E322">
        <f>IFERROR(AVERAGEIFS('Draft Board'!$AS$2:$AS$193,'Draft Board'!$AM$2:$AM$193,A322),0)</f>
        <v>0</v>
      </c>
      <c r="F322">
        <f>MIN(1,E322/(Setup!$B$3*0.1))</f>
        <v>0</v>
      </c>
      <c r="G322">
        <f t="shared" si="9"/>
        <v>1</v>
      </c>
    </row>
    <row r="323" spans="1:7" x14ac:dyDescent="0.25">
      <c r="A323">
        <v>65</v>
      </c>
      <c r="B323">
        <f>SUMIFS('Draft Board'!$AT$2:$AT$193,'Draft Board'!$AM$2:$AM$193,A323,'Draft Board'!$AT$2:$AT$193,"&lt;&gt;")</f>
        <v>0</v>
      </c>
      <c r="C323">
        <f>SUMIFS('Draft Board'!$AS$2:$AS$193,'Draft Board'!$AM$2:$AM$193,A323,'Draft Board'!$AT$2:$AT$193,"&lt;&gt;")</f>
        <v>0</v>
      </c>
      <c r="D323">
        <f>COUNTIFS('Draft Board'!$AM$2:$AM$193,A323,'Draft Board'!$AT$2:$AT$193,"&lt;&gt;")</f>
        <v>0</v>
      </c>
      <c r="E323">
        <f>IFERROR(AVERAGEIFS('Draft Board'!$AS$2:$AS$193,'Draft Board'!$AM$2:$AM$193,A323),0)</f>
        <v>0</v>
      </c>
      <c r="F323">
        <f>MIN(1,E323/(Setup!$B$3*0.1))</f>
        <v>0</v>
      </c>
      <c r="G323">
        <f t="shared" ref="G323:G354" si="10">IF(D323&lt;2,1,MEDIAN(0.5,2,1+(IFERROR(B323/C323,1)-1)*F323))</f>
        <v>1</v>
      </c>
    </row>
    <row r="324" spans="1:7" x14ac:dyDescent="0.25">
      <c r="A324">
        <v>66</v>
      </c>
      <c r="B324">
        <f>SUMIFS('Draft Board'!$AT$2:$AT$193,'Draft Board'!$AM$2:$AM$193,A324,'Draft Board'!$AT$2:$AT$193,"&lt;&gt;")</f>
        <v>0</v>
      </c>
      <c r="C324">
        <f>SUMIFS('Draft Board'!$AS$2:$AS$193,'Draft Board'!$AM$2:$AM$193,A324,'Draft Board'!$AT$2:$AT$193,"&lt;&gt;")</f>
        <v>0</v>
      </c>
      <c r="D324">
        <f>COUNTIFS('Draft Board'!$AM$2:$AM$193,A324,'Draft Board'!$AT$2:$AT$193,"&lt;&gt;")</f>
        <v>0</v>
      </c>
      <c r="E324">
        <f>IFERROR(AVERAGEIFS('Draft Board'!$AS$2:$AS$193,'Draft Board'!$AM$2:$AM$193,A324),0)</f>
        <v>0</v>
      </c>
      <c r="F324">
        <f>MIN(1,E324/(Setup!$B$3*0.1))</f>
        <v>0</v>
      </c>
      <c r="G324">
        <f t="shared" si="10"/>
        <v>1</v>
      </c>
    </row>
    <row r="325" spans="1:7" x14ac:dyDescent="0.25">
      <c r="A325">
        <v>67</v>
      </c>
      <c r="B325">
        <f>SUMIFS('Draft Board'!$AT$2:$AT$193,'Draft Board'!$AM$2:$AM$193,A325,'Draft Board'!$AT$2:$AT$193,"&lt;&gt;")</f>
        <v>0</v>
      </c>
      <c r="C325">
        <f>SUMIFS('Draft Board'!$AS$2:$AS$193,'Draft Board'!$AM$2:$AM$193,A325,'Draft Board'!$AT$2:$AT$193,"&lt;&gt;")</f>
        <v>0</v>
      </c>
      <c r="D325">
        <f>COUNTIFS('Draft Board'!$AM$2:$AM$193,A325,'Draft Board'!$AT$2:$AT$193,"&lt;&gt;")</f>
        <v>0</v>
      </c>
      <c r="E325">
        <f>IFERROR(AVERAGEIFS('Draft Board'!$AS$2:$AS$193,'Draft Board'!$AM$2:$AM$193,A325),0)</f>
        <v>0</v>
      </c>
      <c r="F325">
        <f>MIN(1,E325/(Setup!$B$3*0.1))</f>
        <v>0</v>
      </c>
      <c r="G325">
        <f t="shared" si="10"/>
        <v>1</v>
      </c>
    </row>
    <row r="326" spans="1:7" x14ac:dyDescent="0.25">
      <c r="A326">
        <v>68</v>
      </c>
      <c r="B326">
        <f>SUMIFS('Draft Board'!$AT$2:$AT$193,'Draft Board'!$AM$2:$AM$193,A326,'Draft Board'!$AT$2:$AT$193,"&lt;&gt;")</f>
        <v>0</v>
      </c>
      <c r="C326">
        <f>SUMIFS('Draft Board'!$AS$2:$AS$193,'Draft Board'!$AM$2:$AM$193,A326,'Draft Board'!$AT$2:$AT$193,"&lt;&gt;")</f>
        <v>0</v>
      </c>
      <c r="D326">
        <f>COUNTIFS('Draft Board'!$AM$2:$AM$193,A326,'Draft Board'!$AT$2:$AT$193,"&lt;&gt;")</f>
        <v>0</v>
      </c>
      <c r="E326">
        <f>IFERROR(AVERAGEIFS('Draft Board'!$AS$2:$AS$193,'Draft Board'!$AM$2:$AM$193,A326),0)</f>
        <v>0</v>
      </c>
      <c r="F326">
        <f>MIN(1,E326/(Setup!$B$3*0.1))</f>
        <v>0</v>
      </c>
      <c r="G326">
        <f t="shared" si="10"/>
        <v>1</v>
      </c>
    </row>
    <row r="327" spans="1:7" x14ac:dyDescent="0.25">
      <c r="A327">
        <v>69</v>
      </c>
      <c r="B327">
        <f>SUMIFS('Draft Board'!$AT$2:$AT$193,'Draft Board'!$AM$2:$AM$193,A327,'Draft Board'!$AT$2:$AT$193,"&lt;&gt;")</f>
        <v>0</v>
      </c>
      <c r="C327">
        <f>SUMIFS('Draft Board'!$AS$2:$AS$193,'Draft Board'!$AM$2:$AM$193,A327,'Draft Board'!$AT$2:$AT$193,"&lt;&gt;")</f>
        <v>0</v>
      </c>
      <c r="D327">
        <f>COUNTIFS('Draft Board'!$AM$2:$AM$193,A327,'Draft Board'!$AT$2:$AT$193,"&lt;&gt;")</f>
        <v>0</v>
      </c>
      <c r="E327">
        <f>IFERROR(AVERAGEIFS('Draft Board'!$AS$2:$AS$193,'Draft Board'!$AM$2:$AM$193,A327),0)</f>
        <v>0</v>
      </c>
      <c r="F327">
        <f>MIN(1,E327/(Setup!$B$3*0.1))</f>
        <v>0</v>
      </c>
      <c r="G327">
        <f t="shared" si="10"/>
        <v>1</v>
      </c>
    </row>
    <row r="328" spans="1:7" x14ac:dyDescent="0.25">
      <c r="A328">
        <v>70</v>
      </c>
      <c r="B328">
        <f>SUMIFS('Draft Board'!$AT$2:$AT$193,'Draft Board'!$AM$2:$AM$193,A328,'Draft Board'!$AT$2:$AT$193,"&lt;&gt;")</f>
        <v>0</v>
      </c>
      <c r="C328">
        <f>SUMIFS('Draft Board'!$AS$2:$AS$193,'Draft Board'!$AM$2:$AM$193,A328,'Draft Board'!$AT$2:$AT$193,"&lt;&gt;")</f>
        <v>0</v>
      </c>
      <c r="D328">
        <f>COUNTIFS('Draft Board'!$AM$2:$AM$193,A328,'Draft Board'!$AT$2:$AT$193,"&lt;&gt;")</f>
        <v>0</v>
      </c>
      <c r="E328">
        <f>IFERROR(AVERAGEIFS('Draft Board'!$AS$2:$AS$193,'Draft Board'!$AM$2:$AM$193,A328),0)</f>
        <v>0</v>
      </c>
      <c r="F328">
        <f>MIN(1,E328/(Setup!$B$3*0.1))</f>
        <v>0</v>
      </c>
      <c r="G328">
        <f t="shared" si="10"/>
        <v>1</v>
      </c>
    </row>
    <row r="329" spans="1:7" x14ac:dyDescent="0.25">
      <c r="A329">
        <v>71</v>
      </c>
      <c r="B329">
        <f>SUMIFS('Draft Board'!$AT$2:$AT$193,'Draft Board'!$AM$2:$AM$193,A329,'Draft Board'!$AT$2:$AT$193,"&lt;&gt;")</f>
        <v>0</v>
      </c>
      <c r="C329">
        <f>SUMIFS('Draft Board'!$AS$2:$AS$193,'Draft Board'!$AM$2:$AM$193,A329,'Draft Board'!$AT$2:$AT$193,"&lt;&gt;")</f>
        <v>0</v>
      </c>
      <c r="D329">
        <f>COUNTIFS('Draft Board'!$AM$2:$AM$193,A329,'Draft Board'!$AT$2:$AT$193,"&lt;&gt;")</f>
        <v>0</v>
      </c>
      <c r="E329">
        <f>IFERROR(AVERAGEIFS('Draft Board'!$AS$2:$AS$193,'Draft Board'!$AM$2:$AM$193,A329),0)</f>
        <v>0</v>
      </c>
      <c r="F329">
        <f>MIN(1,E329/(Setup!$B$3*0.1))</f>
        <v>0</v>
      </c>
      <c r="G329">
        <f t="shared" si="10"/>
        <v>1</v>
      </c>
    </row>
    <row r="330" spans="1:7" x14ac:dyDescent="0.25">
      <c r="A330">
        <v>72</v>
      </c>
      <c r="B330">
        <f>SUMIFS('Draft Board'!$AT$2:$AT$193,'Draft Board'!$AM$2:$AM$193,A330,'Draft Board'!$AT$2:$AT$193,"&lt;&gt;")</f>
        <v>0</v>
      </c>
      <c r="C330">
        <f>SUMIFS('Draft Board'!$AS$2:$AS$193,'Draft Board'!$AM$2:$AM$193,A330,'Draft Board'!$AT$2:$AT$193,"&lt;&gt;")</f>
        <v>0</v>
      </c>
      <c r="D330">
        <f>COUNTIFS('Draft Board'!$AM$2:$AM$193,A330,'Draft Board'!$AT$2:$AT$193,"&lt;&gt;")</f>
        <v>0</v>
      </c>
      <c r="E330">
        <f>IFERROR(AVERAGEIFS('Draft Board'!$AS$2:$AS$193,'Draft Board'!$AM$2:$AM$193,A330),0)</f>
        <v>0</v>
      </c>
      <c r="F330">
        <f>MIN(1,E330/(Setup!$B$3*0.1))</f>
        <v>0</v>
      </c>
      <c r="G330">
        <f t="shared" si="10"/>
        <v>1</v>
      </c>
    </row>
    <row r="331" spans="1:7" x14ac:dyDescent="0.25">
      <c r="A331">
        <v>73</v>
      </c>
      <c r="B331">
        <f>SUMIFS('Draft Board'!$AT$2:$AT$193,'Draft Board'!$AM$2:$AM$193,A331,'Draft Board'!$AT$2:$AT$193,"&lt;&gt;")</f>
        <v>0</v>
      </c>
      <c r="C331">
        <f>SUMIFS('Draft Board'!$AS$2:$AS$193,'Draft Board'!$AM$2:$AM$193,A331,'Draft Board'!$AT$2:$AT$193,"&lt;&gt;")</f>
        <v>0</v>
      </c>
      <c r="D331">
        <f>COUNTIFS('Draft Board'!$AM$2:$AM$193,A331,'Draft Board'!$AT$2:$AT$193,"&lt;&gt;")</f>
        <v>0</v>
      </c>
      <c r="E331">
        <f>IFERROR(AVERAGEIFS('Draft Board'!$AS$2:$AS$193,'Draft Board'!$AM$2:$AM$193,A331),0)</f>
        <v>0</v>
      </c>
      <c r="F331">
        <f>MIN(1,E331/(Setup!$B$3*0.1))</f>
        <v>0</v>
      </c>
      <c r="G331">
        <f t="shared" si="10"/>
        <v>1</v>
      </c>
    </row>
    <row r="332" spans="1:7" x14ac:dyDescent="0.25">
      <c r="A332">
        <v>74</v>
      </c>
      <c r="B332">
        <f>SUMIFS('Draft Board'!$AT$2:$AT$193,'Draft Board'!$AM$2:$AM$193,A332,'Draft Board'!$AT$2:$AT$193,"&lt;&gt;")</f>
        <v>0</v>
      </c>
      <c r="C332">
        <f>SUMIFS('Draft Board'!$AS$2:$AS$193,'Draft Board'!$AM$2:$AM$193,A332,'Draft Board'!$AT$2:$AT$193,"&lt;&gt;")</f>
        <v>0</v>
      </c>
      <c r="D332">
        <f>COUNTIFS('Draft Board'!$AM$2:$AM$193,A332,'Draft Board'!$AT$2:$AT$193,"&lt;&gt;")</f>
        <v>0</v>
      </c>
      <c r="E332">
        <f>IFERROR(AVERAGEIFS('Draft Board'!$AS$2:$AS$193,'Draft Board'!$AM$2:$AM$193,A332),0)</f>
        <v>0</v>
      </c>
      <c r="F332">
        <f>MIN(1,E332/(Setup!$B$3*0.1))</f>
        <v>0</v>
      </c>
      <c r="G332">
        <f t="shared" si="10"/>
        <v>1</v>
      </c>
    </row>
    <row r="333" spans="1:7" x14ac:dyDescent="0.25">
      <c r="A333">
        <v>75</v>
      </c>
      <c r="B333">
        <f>SUMIFS('Draft Board'!$AT$2:$AT$193,'Draft Board'!$AM$2:$AM$193,A333,'Draft Board'!$AT$2:$AT$193,"&lt;&gt;")</f>
        <v>0</v>
      </c>
      <c r="C333">
        <f>SUMIFS('Draft Board'!$AS$2:$AS$193,'Draft Board'!$AM$2:$AM$193,A333,'Draft Board'!$AT$2:$AT$193,"&lt;&gt;")</f>
        <v>0</v>
      </c>
      <c r="D333">
        <f>COUNTIFS('Draft Board'!$AM$2:$AM$193,A333,'Draft Board'!$AT$2:$AT$193,"&lt;&gt;")</f>
        <v>0</v>
      </c>
      <c r="E333">
        <f>IFERROR(AVERAGEIFS('Draft Board'!$AS$2:$AS$193,'Draft Board'!$AM$2:$AM$193,A333),0)</f>
        <v>0</v>
      </c>
      <c r="F333">
        <f>MIN(1,E333/(Setup!$B$3*0.1))</f>
        <v>0</v>
      </c>
      <c r="G333">
        <f t="shared" si="10"/>
        <v>1</v>
      </c>
    </row>
    <row r="334" spans="1:7" x14ac:dyDescent="0.25">
      <c r="A334">
        <v>76</v>
      </c>
      <c r="B334">
        <f>SUMIFS('Draft Board'!$AT$2:$AT$193,'Draft Board'!$AM$2:$AM$193,A334,'Draft Board'!$AT$2:$AT$193,"&lt;&gt;")</f>
        <v>0</v>
      </c>
      <c r="C334">
        <f>SUMIFS('Draft Board'!$AS$2:$AS$193,'Draft Board'!$AM$2:$AM$193,A334,'Draft Board'!$AT$2:$AT$193,"&lt;&gt;")</f>
        <v>0</v>
      </c>
      <c r="D334">
        <f>COUNTIFS('Draft Board'!$AM$2:$AM$193,A334,'Draft Board'!$AT$2:$AT$193,"&lt;&gt;")</f>
        <v>0</v>
      </c>
      <c r="E334">
        <f>IFERROR(AVERAGEIFS('Draft Board'!$AS$2:$AS$193,'Draft Board'!$AM$2:$AM$193,A334),0)</f>
        <v>0</v>
      </c>
      <c r="F334">
        <f>MIN(1,E334/(Setup!$B$3*0.1))</f>
        <v>0</v>
      </c>
      <c r="G334">
        <f t="shared" si="10"/>
        <v>1</v>
      </c>
    </row>
    <row r="335" spans="1:7" x14ac:dyDescent="0.25">
      <c r="A335">
        <v>77</v>
      </c>
      <c r="B335">
        <f>SUMIFS('Draft Board'!$AT$2:$AT$193,'Draft Board'!$AM$2:$AM$193,A335,'Draft Board'!$AT$2:$AT$193,"&lt;&gt;")</f>
        <v>0</v>
      </c>
      <c r="C335">
        <f>SUMIFS('Draft Board'!$AS$2:$AS$193,'Draft Board'!$AM$2:$AM$193,A335,'Draft Board'!$AT$2:$AT$193,"&lt;&gt;")</f>
        <v>0</v>
      </c>
      <c r="D335">
        <f>COUNTIFS('Draft Board'!$AM$2:$AM$193,A335,'Draft Board'!$AT$2:$AT$193,"&lt;&gt;")</f>
        <v>0</v>
      </c>
      <c r="E335">
        <f>IFERROR(AVERAGEIFS('Draft Board'!$AS$2:$AS$193,'Draft Board'!$AM$2:$AM$193,A335),0)</f>
        <v>0</v>
      </c>
      <c r="F335">
        <f>MIN(1,E335/(Setup!$B$3*0.1))</f>
        <v>0</v>
      </c>
      <c r="G335">
        <f t="shared" si="10"/>
        <v>1</v>
      </c>
    </row>
    <row r="336" spans="1:7" x14ac:dyDescent="0.25">
      <c r="A336">
        <v>78</v>
      </c>
      <c r="B336">
        <f>SUMIFS('Draft Board'!$AT$2:$AT$193,'Draft Board'!$AM$2:$AM$193,A336,'Draft Board'!$AT$2:$AT$193,"&lt;&gt;")</f>
        <v>0</v>
      </c>
      <c r="C336">
        <f>SUMIFS('Draft Board'!$AS$2:$AS$193,'Draft Board'!$AM$2:$AM$193,A336,'Draft Board'!$AT$2:$AT$193,"&lt;&gt;")</f>
        <v>0</v>
      </c>
      <c r="D336">
        <f>COUNTIFS('Draft Board'!$AM$2:$AM$193,A336,'Draft Board'!$AT$2:$AT$193,"&lt;&gt;")</f>
        <v>0</v>
      </c>
      <c r="E336">
        <f>IFERROR(AVERAGEIFS('Draft Board'!$AS$2:$AS$193,'Draft Board'!$AM$2:$AM$193,A336),0)</f>
        <v>0</v>
      </c>
      <c r="F336">
        <f>MIN(1,E336/(Setup!$B$3*0.1))</f>
        <v>0</v>
      </c>
      <c r="G336">
        <f t="shared" si="10"/>
        <v>1</v>
      </c>
    </row>
    <row r="337" spans="1:7" x14ac:dyDescent="0.25">
      <c r="A337">
        <v>79</v>
      </c>
      <c r="B337">
        <f>SUMIFS('Draft Board'!$AT$2:$AT$193,'Draft Board'!$AM$2:$AM$193,A337,'Draft Board'!$AT$2:$AT$193,"&lt;&gt;")</f>
        <v>0</v>
      </c>
      <c r="C337">
        <f>SUMIFS('Draft Board'!$AS$2:$AS$193,'Draft Board'!$AM$2:$AM$193,A337,'Draft Board'!$AT$2:$AT$193,"&lt;&gt;")</f>
        <v>0</v>
      </c>
      <c r="D337">
        <f>COUNTIFS('Draft Board'!$AM$2:$AM$193,A337,'Draft Board'!$AT$2:$AT$193,"&lt;&gt;")</f>
        <v>0</v>
      </c>
      <c r="E337">
        <f>IFERROR(AVERAGEIFS('Draft Board'!$AS$2:$AS$193,'Draft Board'!$AM$2:$AM$193,A337),0)</f>
        <v>0</v>
      </c>
      <c r="F337">
        <f>MIN(1,E337/(Setup!$B$3*0.1))</f>
        <v>0</v>
      </c>
      <c r="G337">
        <f t="shared" si="10"/>
        <v>1</v>
      </c>
    </row>
    <row r="338" spans="1:7" x14ac:dyDescent="0.25">
      <c r="A338">
        <v>80</v>
      </c>
      <c r="B338">
        <f>SUMIFS('Draft Board'!$AT$2:$AT$193,'Draft Board'!$AM$2:$AM$193,A338,'Draft Board'!$AT$2:$AT$193,"&lt;&gt;")</f>
        <v>0</v>
      </c>
      <c r="C338">
        <f>SUMIFS('Draft Board'!$AS$2:$AS$193,'Draft Board'!$AM$2:$AM$193,A338,'Draft Board'!$AT$2:$AT$193,"&lt;&gt;")</f>
        <v>0</v>
      </c>
      <c r="D338">
        <f>COUNTIFS('Draft Board'!$AM$2:$AM$193,A338,'Draft Board'!$AT$2:$AT$193,"&lt;&gt;")</f>
        <v>0</v>
      </c>
      <c r="E338">
        <f>IFERROR(AVERAGEIFS('Draft Board'!$AS$2:$AS$193,'Draft Board'!$AM$2:$AM$193,A338),0)</f>
        <v>0</v>
      </c>
      <c r="F338">
        <f>MIN(1,E338/(Setup!$B$3*0.1))</f>
        <v>0</v>
      </c>
      <c r="G338">
        <f t="shared" si="10"/>
        <v>1</v>
      </c>
    </row>
    <row r="339" spans="1:7" x14ac:dyDescent="0.25">
      <c r="A339">
        <v>81</v>
      </c>
      <c r="B339">
        <f>SUMIFS('Draft Board'!$AT$2:$AT$193,'Draft Board'!$AM$2:$AM$193,A339,'Draft Board'!$AT$2:$AT$193,"&lt;&gt;")</f>
        <v>0</v>
      </c>
      <c r="C339">
        <f>SUMIFS('Draft Board'!$AS$2:$AS$193,'Draft Board'!$AM$2:$AM$193,A339,'Draft Board'!$AT$2:$AT$193,"&lt;&gt;")</f>
        <v>0</v>
      </c>
      <c r="D339">
        <f>COUNTIFS('Draft Board'!$AM$2:$AM$193,A339,'Draft Board'!$AT$2:$AT$193,"&lt;&gt;")</f>
        <v>0</v>
      </c>
      <c r="E339">
        <f>IFERROR(AVERAGEIFS('Draft Board'!$AS$2:$AS$193,'Draft Board'!$AM$2:$AM$193,A339),0)</f>
        <v>0</v>
      </c>
      <c r="F339">
        <f>MIN(1,E339/(Setup!$B$3*0.1))</f>
        <v>0</v>
      </c>
      <c r="G339">
        <f t="shared" si="10"/>
        <v>1</v>
      </c>
    </row>
    <row r="340" spans="1:7" x14ac:dyDescent="0.25">
      <c r="A340">
        <v>82</v>
      </c>
      <c r="B340">
        <f>SUMIFS('Draft Board'!$AT$2:$AT$193,'Draft Board'!$AM$2:$AM$193,A340,'Draft Board'!$AT$2:$AT$193,"&lt;&gt;")</f>
        <v>0</v>
      </c>
      <c r="C340">
        <f>SUMIFS('Draft Board'!$AS$2:$AS$193,'Draft Board'!$AM$2:$AM$193,A340,'Draft Board'!$AT$2:$AT$193,"&lt;&gt;")</f>
        <v>0</v>
      </c>
      <c r="D340">
        <f>COUNTIFS('Draft Board'!$AM$2:$AM$193,A340,'Draft Board'!$AT$2:$AT$193,"&lt;&gt;")</f>
        <v>0</v>
      </c>
      <c r="E340">
        <f>IFERROR(AVERAGEIFS('Draft Board'!$AS$2:$AS$193,'Draft Board'!$AM$2:$AM$193,A340),0)</f>
        <v>0</v>
      </c>
      <c r="F340">
        <f>MIN(1,E340/(Setup!$B$3*0.1))</f>
        <v>0</v>
      </c>
      <c r="G340">
        <f t="shared" si="10"/>
        <v>1</v>
      </c>
    </row>
    <row r="341" spans="1:7" x14ac:dyDescent="0.25">
      <c r="A341">
        <v>83</v>
      </c>
      <c r="B341">
        <f>SUMIFS('Draft Board'!$AT$2:$AT$193,'Draft Board'!$AM$2:$AM$193,A341,'Draft Board'!$AT$2:$AT$193,"&lt;&gt;")</f>
        <v>0</v>
      </c>
      <c r="C341">
        <f>SUMIFS('Draft Board'!$AS$2:$AS$193,'Draft Board'!$AM$2:$AM$193,A341,'Draft Board'!$AT$2:$AT$193,"&lt;&gt;")</f>
        <v>0</v>
      </c>
      <c r="D341">
        <f>COUNTIFS('Draft Board'!$AM$2:$AM$193,A341,'Draft Board'!$AT$2:$AT$193,"&lt;&gt;")</f>
        <v>0</v>
      </c>
      <c r="E341">
        <f>IFERROR(AVERAGEIFS('Draft Board'!$AS$2:$AS$193,'Draft Board'!$AM$2:$AM$193,A341),0)</f>
        <v>0</v>
      </c>
      <c r="F341">
        <f>MIN(1,E341/(Setup!$B$3*0.1))</f>
        <v>0</v>
      </c>
      <c r="G341">
        <f t="shared" si="10"/>
        <v>1</v>
      </c>
    </row>
    <row r="342" spans="1:7" x14ac:dyDescent="0.25">
      <c r="A342">
        <v>84</v>
      </c>
      <c r="B342">
        <f>SUMIFS('Draft Board'!$AT$2:$AT$193,'Draft Board'!$AM$2:$AM$193,A342,'Draft Board'!$AT$2:$AT$193,"&lt;&gt;")</f>
        <v>0</v>
      </c>
      <c r="C342">
        <f>SUMIFS('Draft Board'!$AS$2:$AS$193,'Draft Board'!$AM$2:$AM$193,A342,'Draft Board'!$AT$2:$AT$193,"&lt;&gt;")</f>
        <v>0</v>
      </c>
      <c r="D342">
        <f>COUNTIFS('Draft Board'!$AM$2:$AM$193,A342,'Draft Board'!$AT$2:$AT$193,"&lt;&gt;")</f>
        <v>0</v>
      </c>
      <c r="E342">
        <f>IFERROR(AVERAGEIFS('Draft Board'!$AS$2:$AS$193,'Draft Board'!$AM$2:$AM$193,A342),0)</f>
        <v>0</v>
      </c>
      <c r="F342">
        <f>MIN(1,E342/(Setup!$B$3*0.1))</f>
        <v>0</v>
      </c>
      <c r="G342">
        <f t="shared" si="10"/>
        <v>1</v>
      </c>
    </row>
    <row r="343" spans="1:7" x14ac:dyDescent="0.25">
      <c r="A343">
        <v>85</v>
      </c>
      <c r="B343">
        <f>SUMIFS('Draft Board'!$AT$2:$AT$193,'Draft Board'!$AM$2:$AM$193,A343,'Draft Board'!$AT$2:$AT$193,"&lt;&gt;")</f>
        <v>0</v>
      </c>
      <c r="C343">
        <f>SUMIFS('Draft Board'!$AS$2:$AS$193,'Draft Board'!$AM$2:$AM$193,A343,'Draft Board'!$AT$2:$AT$193,"&lt;&gt;")</f>
        <v>0</v>
      </c>
      <c r="D343">
        <f>COUNTIFS('Draft Board'!$AM$2:$AM$193,A343,'Draft Board'!$AT$2:$AT$193,"&lt;&gt;")</f>
        <v>0</v>
      </c>
      <c r="E343">
        <f>IFERROR(AVERAGEIFS('Draft Board'!$AS$2:$AS$193,'Draft Board'!$AM$2:$AM$193,A343),0)</f>
        <v>0</v>
      </c>
      <c r="F343">
        <f>MIN(1,E343/(Setup!$B$3*0.1))</f>
        <v>0</v>
      </c>
      <c r="G343">
        <f t="shared" si="10"/>
        <v>1</v>
      </c>
    </row>
    <row r="344" spans="1:7" x14ac:dyDescent="0.25">
      <c r="A344">
        <v>86</v>
      </c>
      <c r="B344">
        <f>SUMIFS('Draft Board'!$AT$2:$AT$193,'Draft Board'!$AM$2:$AM$193,A344,'Draft Board'!$AT$2:$AT$193,"&lt;&gt;")</f>
        <v>0</v>
      </c>
      <c r="C344">
        <f>SUMIFS('Draft Board'!$AS$2:$AS$193,'Draft Board'!$AM$2:$AM$193,A344,'Draft Board'!$AT$2:$AT$193,"&lt;&gt;")</f>
        <v>0</v>
      </c>
      <c r="D344">
        <f>COUNTIFS('Draft Board'!$AM$2:$AM$193,A344,'Draft Board'!$AT$2:$AT$193,"&lt;&gt;")</f>
        <v>0</v>
      </c>
      <c r="E344">
        <f>IFERROR(AVERAGEIFS('Draft Board'!$AS$2:$AS$193,'Draft Board'!$AM$2:$AM$193,A344),0)</f>
        <v>0</v>
      </c>
      <c r="F344">
        <f>MIN(1,E344/(Setup!$B$3*0.1))</f>
        <v>0</v>
      </c>
      <c r="G344">
        <f t="shared" si="10"/>
        <v>1</v>
      </c>
    </row>
    <row r="345" spans="1:7" x14ac:dyDescent="0.25">
      <c r="A345">
        <v>87</v>
      </c>
      <c r="B345">
        <f>SUMIFS('Draft Board'!$AT$2:$AT$193,'Draft Board'!$AM$2:$AM$193,A345,'Draft Board'!$AT$2:$AT$193,"&lt;&gt;")</f>
        <v>0</v>
      </c>
      <c r="C345">
        <f>SUMIFS('Draft Board'!$AS$2:$AS$193,'Draft Board'!$AM$2:$AM$193,A345,'Draft Board'!$AT$2:$AT$193,"&lt;&gt;")</f>
        <v>0</v>
      </c>
      <c r="D345">
        <f>COUNTIFS('Draft Board'!$AM$2:$AM$193,A345,'Draft Board'!$AT$2:$AT$193,"&lt;&gt;")</f>
        <v>0</v>
      </c>
      <c r="E345">
        <f>IFERROR(AVERAGEIFS('Draft Board'!$AS$2:$AS$193,'Draft Board'!$AM$2:$AM$193,A345),0)</f>
        <v>0</v>
      </c>
      <c r="F345">
        <f>MIN(1,E345/(Setup!$B$3*0.1))</f>
        <v>0</v>
      </c>
      <c r="G345">
        <f t="shared" si="10"/>
        <v>1</v>
      </c>
    </row>
    <row r="346" spans="1:7" x14ac:dyDescent="0.25">
      <c r="A346">
        <v>88</v>
      </c>
      <c r="B346">
        <f>SUMIFS('Draft Board'!$AT$2:$AT$193,'Draft Board'!$AM$2:$AM$193,A346,'Draft Board'!$AT$2:$AT$193,"&lt;&gt;")</f>
        <v>0</v>
      </c>
      <c r="C346">
        <f>SUMIFS('Draft Board'!$AS$2:$AS$193,'Draft Board'!$AM$2:$AM$193,A346,'Draft Board'!$AT$2:$AT$193,"&lt;&gt;")</f>
        <v>0</v>
      </c>
      <c r="D346">
        <f>COUNTIFS('Draft Board'!$AM$2:$AM$193,A346,'Draft Board'!$AT$2:$AT$193,"&lt;&gt;")</f>
        <v>0</v>
      </c>
      <c r="E346">
        <f>IFERROR(AVERAGEIFS('Draft Board'!$AS$2:$AS$193,'Draft Board'!$AM$2:$AM$193,A346),0)</f>
        <v>0</v>
      </c>
      <c r="F346">
        <f>MIN(1,E346/(Setup!$B$3*0.1))</f>
        <v>0</v>
      </c>
      <c r="G346">
        <f t="shared" si="10"/>
        <v>1</v>
      </c>
    </row>
    <row r="347" spans="1:7" x14ac:dyDescent="0.25">
      <c r="A347">
        <v>89</v>
      </c>
      <c r="B347">
        <f>SUMIFS('Draft Board'!$AT$2:$AT$193,'Draft Board'!$AM$2:$AM$193,A347,'Draft Board'!$AT$2:$AT$193,"&lt;&gt;")</f>
        <v>0</v>
      </c>
      <c r="C347">
        <f>SUMIFS('Draft Board'!$AS$2:$AS$193,'Draft Board'!$AM$2:$AM$193,A347,'Draft Board'!$AT$2:$AT$193,"&lt;&gt;")</f>
        <v>0</v>
      </c>
      <c r="D347">
        <f>COUNTIFS('Draft Board'!$AM$2:$AM$193,A347,'Draft Board'!$AT$2:$AT$193,"&lt;&gt;")</f>
        <v>0</v>
      </c>
      <c r="E347">
        <f>IFERROR(AVERAGEIFS('Draft Board'!$AS$2:$AS$193,'Draft Board'!$AM$2:$AM$193,A347),0)</f>
        <v>0</v>
      </c>
      <c r="F347">
        <f>MIN(1,E347/(Setup!$B$3*0.1))</f>
        <v>0</v>
      </c>
      <c r="G347">
        <f t="shared" si="10"/>
        <v>1</v>
      </c>
    </row>
    <row r="348" spans="1:7" x14ac:dyDescent="0.25">
      <c r="A348">
        <v>90</v>
      </c>
      <c r="B348">
        <f>SUMIFS('Draft Board'!$AT$2:$AT$193,'Draft Board'!$AM$2:$AM$193,A348,'Draft Board'!$AT$2:$AT$193,"&lt;&gt;")</f>
        <v>0</v>
      </c>
      <c r="C348">
        <f>SUMIFS('Draft Board'!$AS$2:$AS$193,'Draft Board'!$AM$2:$AM$193,A348,'Draft Board'!$AT$2:$AT$193,"&lt;&gt;")</f>
        <v>0</v>
      </c>
      <c r="D348">
        <f>COUNTIFS('Draft Board'!$AM$2:$AM$193,A348,'Draft Board'!$AT$2:$AT$193,"&lt;&gt;")</f>
        <v>0</v>
      </c>
      <c r="E348">
        <f>IFERROR(AVERAGEIFS('Draft Board'!$AS$2:$AS$193,'Draft Board'!$AM$2:$AM$193,A348),0)</f>
        <v>0</v>
      </c>
      <c r="F348">
        <f>MIN(1,E348/(Setup!$B$3*0.1))</f>
        <v>0</v>
      </c>
      <c r="G348">
        <f t="shared" si="10"/>
        <v>1</v>
      </c>
    </row>
    <row r="349" spans="1:7" x14ac:dyDescent="0.25">
      <c r="A349">
        <v>91</v>
      </c>
      <c r="B349">
        <f>SUMIFS('Draft Board'!$AT$2:$AT$193,'Draft Board'!$AM$2:$AM$193,A349,'Draft Board'!$AT$2:$AT$193,"&lt;&gt;")</f>
        <v>0</v>
      </c>
      <c r="C349">
        <f>SUMIFS('Draft Board'!$AS$2:$AS$193,'Draft Board'!$AM$2:$AM$193,A349,'Draft Board'!$AT$2:$AT$193,"&lt;&gt;")</f>
        <v>0</v>
      </c>
      <c r="D349">
        <f>COUNTIFS('Draft Board'!$AM$2:$AM$193,A349,'Draft Board'!$AT$2:$AT$193,"&lt;&gt;")</f>
        <v>0</v>
      </c>
      <c r="E349">
        <f>IFERROR(AVERAGEIFS('Draft Board'!$AS$2:$AS$193,'Draft Board'!$AM$2:$AM$193,A349),0)</f>
        <v>0</v>
      </c>
      <c r="F349">
        <f>MIN(1,E349/(Setup!$B$3*0.1))</f>
        <v>0</v>
      </c>
      <c r="G349">
        <f t="shared" si="10"/>
        <v>1</v>
      </c>
    </row>
    <row r="350" spans="1:7" x14ac:dyDescent="0.25">
      <c r="A350">
        <v>92</v>
      </c>
      <c r="B350">
        <f>SUMIFS('Draft Board'!$AT$2:$AT$193,'Draft Board'!$AM$2:$AM$193,A350,'Draft Board'!$AT$2:$AT$193,"&lt;&gt;")</f>
        <v>0</v>
      </c>
      <c r="C350">
        <f>SUMIFS('Draft Board'!$AS$2:$AS$193,'Draft Board'!$AM$2:$AM$193,A350,'Draft Board'!$AT$2:$AT$193,"&lt;&gt;")</f>
        <v>0</v>
      </c>
      <c r="D350">
        <f>COUNTIFS('Draft Board'!$AM$2:$AM$193,A350,'Draft Board'!$AT$2:$AT$193,"&lt;&gt;")</f>
        <v>0</v>
      </c>
      <c r="E350">
        <f>IFERROR(AVERAGEIFS('Draft Board'!$AS$2:$AS$193,'Draft Board'!$AM$2:$AM$193,A350),0)</f>
        <v>0</v>
      </c>
      <c r="F350">
        <f>MIN(1,E350/(Setup!$B$3*0.1))</f>
        <v>0</v>
      </c>
      <c r="G350">
        <f t="shared" si="10"/>
        <v>1</v>
      </c>
    </row>
    <row r="351" spans="1:7" x14ac:dyDescent="0.25">
      <c r="A351">
        <v>93</v>
      </c>
      <c r="B351">
        <f>SUMIFS('Draft Board'!$AT$2:$AT$193,'Draft Board'!$AM$2:$AM$193,A351,'Draft Board'!$AT$2:$AT$193,"&lt;&gt;")</f>
        <v>0</v>
      </c>
      <c r="C351">
        <f>SUMIFS('Draft Board'!$AS$2:$AS$193,'Draft Board'!$AM$2:$AM$193,A351,'Draft Board'!$AT$2:$AT$193,"&lt;&gt;")</f>
        <v>0</v>
      </c>
      <c r="D351">
        <f>COUNTIFS('Draft Board'!$AM$2:$AM$193,A351,'Draft Board'!$AT$2:$AT$193,"&lt;&gt;")</f>
        <v>0</v>
      </c>
      <c r="E351">
        <f>IFERROR(AVERAGEIFS('Draft Board'!$AS$2:$AS$193,'Draft Board'!$AM$2:$AM$193,A351),0)</f>
        <v>0</v>
      </c>
      <c r="F351">
        <f>MIN(1,E351/(Setup!$B$3*0.1))</f>
        <v>0</v>
      </c>
      <c r="G351">
        <f t="shared" si="10"/>
        <v>1</v>
      </c>
    </row>
    <row r="352" spans="1:7" x14ac:dyDescent="0.25">
      <c r="A352">
        <v>94</v>
      </c>
      <c r="B352">
        <f>SUMIFS('Draft Board'!$AT$2:$AT$193,'Draft Board'!$AM$2:$AM$193,A352,'Draft Board'!$AT$2:$AT$193,"&lt;&gt;")</f>
        <v>0</v>
      </c>
      <c r="C352">
        <f>SUMIFS('Draft Board'!$AS$2:$AS$193,'Draft Board'!$AM$2:$AM$193,A352,'Draft Board'!$AT$2:$AT$193,"&lt;&gt;")</f>
        <v>0</v>
      </c>
      <c r="D352">
        <f>COUNTIFS('Draft Board'!$AM$2:$AM$193,A352,'Draft Board'!$AT$2:$AT$193,"&lt;&gt;")</f>
        <v>0</v>
      </c>
      <c r="E352">
        <f>IFERROR(AVERAGEIFS('Draft Board'!$AS$2:$AS$193,'Draft Board'!$AM$2:$AM$193,A352),0)</f>
        <v>0</v>
      </c>
      <c r="F352">
        <f>MIN(1,E352/(Setup!$B$3*0.1))</f>
        <v>0</v>
      </c>
      <c r="G352">
        <f t="shared" si="10"/>
        <v>1</v>
      </c>
    </row>
    <row r="353" spans="1:7" x14ac:dyDescent="0.25">
      <c r="A353">
        <v>95</v>
      </c>
      <c r="B353">
        <f>SUMIFS('Draft Board'!$AT$2:$AT$193,'Draft Board'!$AM$2:$AM$193,A353,'Draft Board'!$AT$2:$AT$193,"&lt;&gt;")</f>
        <v>0</v>
      </c>
      <c r="C353">
        <f>SUMIFS('Draft Board'!$AS$2:$AS$193,'Draft Board'!$AM$2:$AM$193,A353,'Draft Board'!$AT$2:$AT$193,"&lt;&gt;")</f>
        <v>0</v>
      </c>
      <c r="D353">
        <f>COUNTIFS('Draft Board'!$AM$2:$AM$193,A353,'Draft Board'!$AT$2:$AT$193,"&lt;&gt;")</f>
        <v>0</v>
      </c>
      <c r="E353">
        <f>IFERROR(AVERAGEIFS('Draft Board'!$AS$2:$AS$193,'Draft Board'!$AM$2:$AM$193,A353),0)</f>
        <v>0</v>
      </c>
      <c r="F353">
        <f>MIN(1,E353/(Setup!$B$3*0.1))</f>
        <v>0</v>
      </c>
      <c r="G353">
        <f t="shared" si="10"/>
        <v>1</v>
      </c>
    </row>
    <row r="354" spans="1:7" x14ac:dyDescent="0.25">
      <c r="A354">
        <v>96</v>
      </c>
      <c r="B354">
        <f>SUMIFS('Draft Board'!$AT$2:$AT$193,'Draft Board'!$AM$2:$AM$193,A354,'Draft Board'!$AT$2:$AT$193,"&lt;&gt;")</f>
        <v>0</v>
      </c>
      <c r="C354">
        <f>SUMIFS('Draft Board'!$AS$2:$AS$193,'Draft Board'!$AM$2:$AM$193,A354,'Draft Board'!$AT$2:$AT$193,"&lt;&gt;")</f>
        <v>0</v>
      </c>
      <c r="D354">
        <f>COUNTIFS('Draft Board'!$AM$2:$AM$193,A354,'Draft Board'!$AT$2:$AT$193,"&lt;&gt;")</f>
        <v>0</v>
      </c>
      <c r="E354">
        <f>IFERROR(AVERAGEIFS('Draft Board'!$AS$2:$AS$193,'Draft Board'!$AM$2:$AM$193,A354),0)</f>
        <v>0</v>
      </c>
      <c r="F354">
        <f>MIN(1,E354/(Setup!$B$3*0.1))</f>
        <v>0</v>
      </c>
      <c r="G354">
        <f t="shared" si="10"/>
        <v>1</v>
      </c>
    </row>
    <row r="355" spans="1:7" x14ac:dyDescent="0.25">
      <c r="A355">
        <v>97</v>
      </c>
      <c r="B355">
        <f>SUMIFS('Draft Board'!$AT$2:$AT$193,'Draft Board'!$AM$2:$AM$193,A355,'Draft Board'!$AT$2:$AT$193,"&lt;&gt;")</f>
        <v>0</v>
      </c>
      <c r="C355">
        <f>SUMIFS('Draft Board'!$AS$2:$AS$193,'Draft Board'!$AM$2:$AM$193,A355,'Draft Board'!$AT$2:$AT$193,"&lt;&gt;")</f>
        <v>0</v>
      </c>
      <c r="D355">
        <f>COUNTIFS('Draft Board'!$AM$2:$AM$193,A355,'Draft Board'!$AT$2:$AT$193,"&lt;&gt;")</f>
        <v>0</v>
      </c>
      <c r="E355">
        <f>IFERROR(AVERAGEIFS('Draft Board'!$AS$2:$AS$193,'Draft Board'!$AM$2:$AM$193,A355),0)</f>
        <v>0</v>
      </c>
      <c r="F355">
        <f>MIN(1,E355/(Setup!$B$3*0.1))</f>
        <v>0</v>
      </c>
      <c r="G355">
        <f t="shared" ref="G355:G386" si="11">IF(D355&lt;2,1,MEDIAN(0.5,2,1+(IFERROR(B355/C355,1)-1)*F355))</f>
        <v>1</v>
      </c>
    </row>
    <row r="356" spans="1:7" x14ac:dyDescent="0.25">
      <c r="A356">
        <v>98</v>
      </c>
      <c r="B356">
        <f>SUMIFS('Draft Board'!$AT$2:$AT$193,'Draft Board'!$AM$2:$AM$193,A356,'Draft Board'!$AT$2:$AT$193,"&lt;&gt;")</f>
        <v>0</v>
      </c>
      <c r="C356">
        <f>SUMIFS('Draft Board'!$AS$2:$AS$193,'Draft Board'!$AM$2:$AM$193,A356,'Draft Board'!$AT$2:$AT$193,"&lt;&gt;")</f>
        <v>0</v>
      </c>
      <c r="D356">
        <f>COUNTIFS('Draft Board'!$AM$2:$AM$193,A356,'Draft Board'!$AT$2:$AT$193,"&lt;&gt;")</f>
        <v>0</v>
      </c>
      <c r="E356">
        <f>IFERROR(AVERAGEIFS('Draft Board'!$AS$2:$AS$193,'Draft Board'!$AM$2:$AM$193,A356),0)</f>
        <v>0</v>
      </c>
      <c r="F356">
        <f>MIN(1,E356/(Setup!$B$3*0.1))</f>
        <v>0</v>
      </c>
      <c r="G356">
        <f t="shared" si="11"/>
        <v>1</v>
      </c>
    </row>
    <row r="357" spans="1:7" x14ac:dyDescent="0.25">
      <c r="A357">
        <v>99</v>
      </c>
      <c r="B357">
        <f>SUMIFS('Draft Board'!$AT$2:$AT$193,'Draft Board'!$AM$2:$AM$193,A357,'Draft Board'!$AT$2:$AT$193,"&lt;&gt;")</f>
        <v>0</v>
      </c>
      <c r="C357">
        <f>SUMIFS('Draft Board'!$AS$2:$AS$193,'Draft Board'!$AM$2:$AM$193,A357,'Draft Board'!$AT$2:$AT$193,"&lt;&gt;")</f>
        <v>0</v>
      </c>
      <c r="D357">
        <f>COUNTIFS('Draft Board'!$AM$2:$AM$193,A357,'Draft Board'!$AT$2:$AT$193,"&lt;&gt;")</f>
        <v>0</v>
      </c>
      <c r="E357">
        <f>IFERROR(AVERAGEIFS('Draft Board'!$AS$2:$AS$193,'Draft Board'!$AM$2:$AM$193,A357),0)</f>
        <v>0</v>
      </c>
      <c r="F357">
        <f>MIN(1,E357/(Setup!$B$3*0.1))</f>
        <v>0</v>
      </c>
      <c r="G357">
        <f t="shared" si="11"/>
        <v>1</v>
      </c>
    </row>
    <row r="358" spans="1:7" x14ac:dyDescent="0.25">
      <c r="A358">
        <v>100</v>
      </c>
      <c r="B358">
        <f>SUMIFS('Draft Board'!$AT$2:$AT$193,'Draft Board'!$AM$2:$AM$193,A358,'Draft Board'!$AT$2:$AT$193,"&lt;&gt;")</f>
        <v>0</v>
      </c>
      <c r="C358">
        <f>SUMIFS('Draft Board'!$AS$2:$AS$193,'Draft Board'!$AM$2:$AM$193,A358,'Draft Board'!$AT$2:$AT$193,"&lt;&gt;")</f>
        <v>0</v>
      </c>
      <c r="D358">
        <f>COUNTIFS('Draft Board'!$AM$2:$AM$193,A358,'Draft Board'!$AT$2:$AT$193,"&lt;&gt;")</f>
        <v>0</v>
      </c>
      <c r="E358">
        <f>IFERROR(AVERAGEIFS('Draft Board'!$AS$2:$AS$193,'Draft Board'!$AM$2:$AM$193,A358),0)</f>
        <v>0</v>
      </c>
      <c r="F358">
        <f>MIN(1,E358/(Setup!$B$3*0.1))</f>
        <v>0</v>
      </c>
      <c r="G358">
        <f t="shared" si="11"/>
        <v>1</v>
      </c>
    </row>
    <row r="359" spans="1:7" x14ac:dyDescent="0.25">
      <c r="A359">
        <v>101</v>
      </c>
      <c r="B359">
        <f>SUMIFS('Draft Board'!$AT$2:$AT$193,'Draft Board'!$AM$2:$AM$193,A359,'Draft Board'!$AT$2:$AT$193,"&lt;&gt;")</f>
        <v>0</v>
      </c>
      <c r="C359">
        <f>SUMIFS('Draft Board'!$AS$2:$AS$193,'Draft Board'!$AM$2:$AM$193,A359,'Draft Board'!$AT$2:$AT$193,"&lt;&gt;")</f>
        <v>0</v>
      </c>
      <c r="D359">
        <f>COUNTIFS('Draft Board'!$AM$2:$AM$193,A359,'Draft Board'!$AT$2:$AT$193,"&lt;&gt;")</f>
        <v>0</v>
      </c>
      <c r="E359">
        <f>IFERROR(AVERAGEIFS('Draft Board'!$AS$2:$AS$193,'Draft Board'!$AM$2:$AM$193,A359),0)</f>
        <v>0</v>
      </c>
      <c r="F359">
        <f>MIN(1,E359/(Setup!$B$3*0.1))</f>
        <v>0</v>
      </c>
      <c r="G359">
        <f t="shared" si="11"/>
        <v>1</v>
      </c>
    </row>
    <row r="360" spans="1:7" x14ac:dyDescent="0.25">
      <c r="A360">
        <v>102</v>
      </c>
      <c r="B360">
        <f>SUMIFS('Draft Board'!$AT$2:$AT$193,'Draft Board'!$AM$2:$AM$193,A360,'Draft Board'!$AT$2:$AT$193,"&lt;&gt;")</f>
        <v>0</v>
      </c>
      <c r="C360">
        <f>SUMIFS('Draft Board'!$AS$2:$AS$193,'Draft Board'!$AM$2:$AM$193,A360,'Draft Board'!$AT$2:$AT$193,"&lt;&gt;")</f>
        <v>0</v>
      </c>
      <c r="D360">
        <f>COUNTIFS('Draft Board'!$AM$2:$AM$193,A360,'Draft Board'!$AT$2:$AT$193,"&lt;&gt;")</f>
        <v>0</v>
      </c>
      <c r="E360">
        <f>IFERROR(AVERAGEIFS('Draft Board'!$AS$2:$AS$193,'Draft Board'!$AM$2:$AM$193,A360),0)</f>
        <v>0</v>
      </c>
      <c r="F360">
        <f>MIN(1,E360/(Setup!$B$3*0.1))</f>
        <v>0</v>
      </c>
      <c r="G360">
        <f t="shared" si="11"/>
        <v>1</v>
      </c>
    </row>
    <row r="361" spans="1:7" x14ac:dyDescent="0.25">
      <c r="A361">
        <v>103</v>
      </c>
      <c r="B361">
        <f>SUMIFS('Draft Board'!$AT$2:$AT$193,'Draft Board'!$AM$2:$AM$193,A361,'Draft Board'!$AT$2:$AT$193,"&lt;&gt;")</f>
        <v>0</v>
      </c>
      <c r="C361">
        <f>SUMIFS('Draft Board'!$AS$2:$AS$193,'Draft Board'!$AM$2:$AM$193,A361,'Draft Board'!$AT$2:$AT$193,"&lt;&gt;")</f>
        <v>0</v>
      </c>
      <c r="D361">
        <f>COUNTIFS('Draft Board'!$AM$2:$AM$193,A361,'Draft Board'!$AT$2:$AT$193,"&lt;&gt;")</f>
        <v>0</v>
      </c>
      <c r="E361">
        <f>IFERROR(AVERAGEIFS('Draft Board'!$AS$2:$AS$193,'Draft Board'!$AM$2:$AM$193,A361),0)</f>
        <v>0</v>
      </c>
      <c r="F361">
        <f>MIN(1,E361/(Setup!$B$3*0.1))</f>
        <v>0</v>
      </c>
      <c r="G361">
        <f t="shared" si="11"/>
        <v>1</v>
      </c>
    </row>
    <row r="362" spans="1:7" x14ac:dyDescent="0.25">
      <c r="A362">
        <v>104</v>
      </c>
      <c r="B362">
        <f>SUMIFS('Draft Board'!$AT$2:$AT$193,'Draft Board'!$AM$2:$AM$193,A362,'Draft Board'!$AT$2:$AT$193,"&lt;&gt;")</f>
        <v>0</v>
      </c>
      <c r="C362">
        <f>SUMIFS('Draft Board'!$AS$2:$AS$193,'Draft Board'!$AM$2:$AM$193,A362,'Draft Board'!$AT$2:$AT$193,"&lt;&gt;")</f>
        <v>0</v>
      </c>
      <c r="D362">
        <f>COUNTIFS('Draft Board'!$AM$2:$AM$193,A362,'Draft Board'!$AT$2:$AT$193,"&lt;&gt;")</f>
        <v>0</v>
      </c>
      <c r="E362">
        <f>IFERROR(AVERAGEIFS('Draft Board'!$AS$2:$AS$193,'Draft Board'!$AM$2:$AM$193,A362),0)</f>
        <v>0</v>
      </c>
      <c r="F362">
        <f>MIN(1,E362/(Setup!$B$3*0.1))</f>
        <v>0</v>
      </c>
      <c r="G362">
        <f t="shared" si="11"/>
        <v>1</v>
      </c>
    </row>
    <row r="363" spans="1:7" x14ac:dyDescent="0.25">
      <c r="A363">
        <v>105</v>
      </c>
      <c r="B363">
        <f>SUMIFS('Draft Board'!$AT$2:$AT$193,'Draft Board'!$AM$2:$AM$193,A363,'Draft Board'!$AT$2:$AT$193,"&lt;&gt;")</f>
        <v>0</v>
      </c>
      <c r="C363">
        <f>SUMIFS('Draft Board'!$AS$2:$AS$193,'Draft Board'!$AM$2:$AM$193,A363,'Draft Board'!$AT$2:$AT$193,"&lt;&gt;")</f>
        <v>0</v>
      </c>
      <c r="D363">
        <f>COUNTIFS('Draft Board'!$AM$2:$AM$193,A363,'Draft Board'!$AT$2:$AT$193,"&lt;&gt;")</f>
        <v>0</v>
      </c>
      <c r="E363">
        <f>IFERROR(AVERAGEIFS('Draft Board'!$AS$2:$AS$193,'Draft Board'!$AM$2:$AM$193,A363),0)</f>
        <v>0</v>
      </c>
      <c r="F363">
        <f>MIN(1,E363/(Setup!$B$3*0.1))</f>
        <v>0</v>
      </c>
      <c r="G363">
        <f t="shared" si="11"/>
        <v>1</v>
      </c>
    </row>
    <row r="364" spans="1:7" x14ac:dyDescent="0.25">
      <c r="A364">
        <v>106</v>
      </c>
      <c r="B364">
        <f>SUMIFS('Draft Board'!$AT$2:$AT$193,'Draft Board'!$AM$2:$AM$193,A364,'Draft Board'!$AT$2:$AT$193,"&lt;&gt;")</f>
        <v>0</v>
      </c>
      <c r="C364">
        <f>SUMIFS('Draft Board'!$AS$2:$AS$193,'Draft Board'!$AM$2:$AM$193,A364,'Draft Board'!$AT$2:$AT$193,"&lt;&gt;")</f>
        <v>0</v>
      </c>
      <c r="D364">
        <f>COUNTIFS('Draft Board'!$AM$2:$AM$193,A364,'Draft Board'!$AT$2:$AT$193,"&lt;&gt;")</f>
        <v>0</v>
      </c>
      <c r="E364">
        <f>IFERROR(AVERAGEIFS('Draft Board'!$AS$2:$AS$193,'Draft Board'!$AM$2:$AM$193,A364),0)</f>
        <v>0</v>
      </c>
      <c r="F364">
        <f>MIN(1,E364/(Setup!$B$3*0.1))</f>
        <v>0</v>
      </c>
      <c r="G364">
        <f t="shared" si="11"/>
        <v>1</v>
      </c>
    </row>
    <row r="365" spans="1:7" x14ac:dyDescent="0.25">
      <c r="A365">
        <v>107</v>
      </c>
      <c r="B365">
        <f>SUMIFS('Draft Board'!$AT$2:$AT$193,'Draft Board'!$AM$2:$AM$193,A365,'Draft Board'!$AT$2:$AT$193,"&lt;&gt;")</f>
        <v>0</v>
      </c>
      <c r="C365">
        <f>SUMIFS('Draft Board'!$AS$2:$AS$193,'Draft Board'!$AM$2:$AM$193,A365,'Draft Board'!$AT$2:$AT$193,"&lt;&gt;")</f>
        <v>0</v>
      </c>
      <c r="D365">
        <f>COUNTIFS('Draft Board'!$AM$2:$AM$193,A365,'Draft Board'!$AT$2:$AT$193,"&lt;&gt;")</f>
        <v>0</v>
      </c>
      <c r="E365">
        <f>IFERROR(AVERAGEIFS('Draft Board'!$AS$2:$AS$193,'Draft Board'!$AM$2:$AM$193,A365),0)</f>
        <v>0</v>
      </c>
      <c r="F365">
        <f>MIN(1,E365/(Setup!$B$3*0.1))</f>
        <v>0</v>
      </c>
      <c r="G365">
        <f t="shared" si="11"/>
        <v>1</v>
      </c>
    </row>
    <row r="366" spans="1:7" x14ac:dyDescent="0.25">
      <c r="A366">
        <v>108</v>
      </c>
      <c r="B366">
        <f>SUMIFS('Draft Board'!$AT$2:$AT$193,'Draft Board'!$AM$2:$AM$193,A366,'Draft Board'!$AT$2:$AT$193,"&lt;&gt;")</f>
        <v>0</v>
      </c>
      <c r="C366">
        <f>SUMIFS('Draft Board'!$AS$2:$AS$193,'Draft Board'!$AM$2:$AM$193,A366,'Draft Board'!$AT$2:$AT$193,"&lt;&gt;")</f>
        <v>0</v>
      </c>
      <c r="D366">
        <f>COUNTIFS('Draft Board'!$AM$2:$AM$193,A366,'Draft Board'!$AT$2:$AT$193,"&lt;&gt;")</f>
        <v>0</v>
      </c>
      <c r="E366">
        <f>IFERROR(AVERAGEIFS('Draft Board'!$AS$2:$AS$193,'Draft Board'!$AM$2:$AM$193,A366),0)</f>
        <v>0</v>
      </c>
      <c r="F366">
        <f>MIN(1,E366/(Setup!$B$3*0.1))</f>
        <v>0</v>
      </c>
      <c r="G366">
        <f t="shared" si="11"/>
        <v>1</v>
      </c>
    </row>
    <row r="367" spans="1:7" x14ac:dyDescent="0.25">
      <c r="A367">
        <v>109</v>
      </c>
      <c r="B367">
        <f>SUMIFS('Draft Board'!$AT$2:$AT$193,'Draft Board'!$AM$2:$AM$193,A367,'Draft Board'!$AT$2:$AT$193,"&lt;&gt;")</f>
        <v>0</v>
      </c>
      <c r="C367">
        <f>SUMIFS('Draft Board'!$AS$2:$AS$193,'Draft Board'!$AM$2:$AM$193,A367,'Draft Board'!$AT$2:$AT$193,"&lt;&gt;")</f>
        <v>0</v>
      </c>
      <c r="D367">
        <f>COUNTIFS('Draft Board'!$AM$2:$AM$193,A367,'Draft Board'!$AT$2:$AT$193,"&lt;&gt;")</f>
        <v>0</v>
      </c>
      <c r="E367">
        <f>IFERROR(AVERAGEIFS('Draft Board'!$AS$2:$AS$193,'Draft Board'!$AM$2:$AM$193,A367),0)</f>
        <v>0</v>
      </c>
      <c r="F367">
        <f>MIN(1,E367/(Setup!$B$3*0.1))</f>
        <v>0</v>
      </c>
      <c r="G367">
        <f t="shared" si="11"/>
        <v>1</v>
      </c>
    </row>
    <row r="368" spans="1:7" x14ac:dyDescent="0.25">
      <c r="A368">
        <v>110</v>
      </c>
      <c r="B368">
        <f>SUMIFS('Draft Board'!$AT$2:$AT$193,'Draft Board'!$AM$2:$AM$193,A368,'Draft Board'!$AT$2:$AT$193,"&lt;&gt;")</f>
        <v>0</v>
      </c>
      <c r="C368">
        <f>SUMIFS('Draft Board'!$AS$2:$AS$193,'Draft Board'!$AM$2:$AM$193,A368,'Draft Board'!$AT$2:$AT$193,"&lt;&gt;")</f>
        <v>0</v>
      </c>
      <c r="D368">
        <f>COUNTIFS('Draft Board'!$AM$2:$AM$193,A368,'Draft Board'!$AT$2:$AT$193,"&lt;&gt;")</f>
        <v>0</v>
      </c>
      <c r="E368">
        <f>IFERROR(AVERAGEIFS('Draft Board'!$AS$2:$AS$193,'Draft Board'!$AM$2:$AM$193,A368),0)</f>
        <v>0</v>
      </c>
      <c r="F368">
        <f>MIN(1,E368/(Setup!$B$3*0.1))</f>
        <v>0</v>
      </c>
      <c r="G368">
        <f t="shared" si="11"/>
        <v>1</v>
      </c>
    </row>
    <row r="369" spans="1:7" x14ac:dyDescent="0.25">
      <c r="A369">
        <v>111</v>
      </c>
      <c r="B369">
        <f>SUMIFS('Draft Board'!$AT$2:$AT$193,'Draft Board'!$AM$2:$AM$193,A369,'Draft Board'!$AT$2:$AT$193,"&lt;&gt;")</f>
        <v>0</v>
      </c>
      <c r="C369">
        <f>SUMIFS('Draft Board'!$AS$2:$AS$193,'Draft Board'!$AM$2:$AM$193,A369,'Draft Board'!$AT$2:$AT$193,"&lt;&gt;")</f>
        <v>0</v>
      </c>
      <c r="D369">
        <f>COUNTIFS('Draft Board'!$AM$2:$AM$193,A369,'Draft Board'!$AT$2:$AT$193,"&lt;&gt;")</f>
        <v>0</v>
      </c>
      <c r="E369">
        <f>IFERROR(AVERAGEIFS('Draft Board'!$AS$2:$AS$193,'Draft Board'!$AM$2:$AM$193,A369),0)</f>
        <v>0</v>
      </c>
      <c r="F369">
        <f>MIN(1,E369/(Setup!$B$3*0.1))</f>
        <v>0</v>
      </c>
      <c r="G369">
        <f t="shared" si="11"/>
        <v>1</v>
      </c>
    </row>
    <row r="370" spans="1:7" x14ac:dyDescent="0.25">
      <c r="A370">
        <v>112</v>
      </c>
      <c r="B370">
        <f>SUMIFS('Draft Board'!$AT$2:$AT$193,'Draft Board'!$AM$2:$AM$193,A370,'Draft Board'!$AT$2:$AT$193,"&lt;&gt;")</f>
        <v>0</v>
      </c>
      <c r="C370">
        <f>SUMIFS('Draft Board'!$AS$2:$AS$193,'Draft Board'!$AM$2:$AM$193,A370,'Draft Board'!$AT$2:$AT$193,"&lt;&gt;")</f>
        <v>0</v>
      </c>
      <c r="D370">
        <f>COUNTIFS('Draft Board'!$AM$2:$AM$193,A370,'Draft Board'!$AT$2:$AT$193,"&lt;&gt;")</f>
        <v>0</v>
      </c>
      <c r="E370">
        <f>IFERROR(AVERAGEIFS('Draft Board'!$AS$2:$AS$193,'Draft Board'!$AM$2:$AM$193,A370),0)</f>
        <v>0</v>
      </c>
      <c r="F370">
        <f>MIN(1,E370/(Setup!$B$3*0.1))</f>
        <v>0</v>
      </c>
      <c r="G370">
        <f t="shared" si="11"/>
        <v>1</v>
      </c>
    </row>
    <row r="371" spans="1:7" x14ac:dyDescent="0.25">
      <c r="A371">
        <v>113</v>
      </c>
      <c r="B371">
        <f>SUMIFS('Draft Board'!$AT$2:$AT$193,'Draft Board'!$AM$2:$AM$193,A371,'Draft Board'!$AT$2:$AT$193,"&lt;&gt;")</f>
        <v>0</v>
      </c>
      <c r="C371">
        <f>SUMIFS('Draft Board'!$AS$2:$AS$193,'Draft Board'!$AM$2:$AM$193,A371,'Draft Board'!$AT$2:$AT$193,"&lt;&gt;")</f>
        <v>0</v>
      </c>
      <c r="D371">
        <f>COUNTIFS('Draft Board'!$AM$2:$AM$193,A371,'Draft Board'!$AT$2:$AT$193,"&lt;&gt;")</f>
        <v>0</v>
      </c>
      <c r="E371">
        <f>IFERROR(AVERAGEIFS('Draft Board'!$AS$2:$AS$193,'Draft Board'!$AM$2:$AM$193,A371),0)</f>
        <v>0</v>
      </c>
      <c r="F371">
        <f>MIN(1,E371/(Setup!$B$3*0.1))</f>
        <v>0</v>
      </c>
      <c r="G371">
        <f t="shared" si="11"/>
        <v>1</v>
      </c>
    </row>
    <row r="372" spans="1:7" x14ac:dyDescent="0.25">
      <c r="A372">
        <v>114</v>
      </c>
      <c r="B372">
        <f>SUMIFS('Draft Board'!$AT$2:$AT$193,'Draft Board'!$AM$2:$AM$193,A372,'Draft Board'!$AT$2:$AT$193,"&lt;&gt;")</f>
        <v>0</v>
      </c>
      <c r="C372">
        <f>SUMIFS('Draft Board'!$AS$2:$AS$193,'Draft Board'!$AM$2:$AM$193,A372,'Draft Board'!$AT$2:$AT$193,"&lt;&gt;")</f>
        <v>0</v>
      </c>
      <c r="D372">
        <f>COUNTIFS('Draft Board'!$AM$2:$AM$193,A372,'Draft Board'!$AT$2:$AT$193,"&lt;&gt;")</f>
        <v>0</v>
      </c>
      <c r="E372">
        <f>IFERROR(AVERAGEIFS('Draft Board'!$AS$2:$AS$193,'Draft Board'!$AM$2:$AM$193,A372),0)</f>
        <v>0</v>
      </c>
      <c r="F372">
        <f>MIN(1,E372/(Setup!$B$3*0.1))</f>
        <v>0</v>
      </c>
      <c r="G372">
        <f t="shared" si="11"/>
        <v>1</v>
      </c>
    </row>
    <row r="373" spans="1:7" x14ac:dyDescent="0.25">
      <c r="A373">
        <v>115</v>
      </c>
      <c r="B373">
        <f>SUMIFS('Draft Board'!$AT$2:$AT$193,'Draft Board'!$AM$2:$AM$193,A373,'Draft Board'!$AT$2:$AT$193,"&lt;&gt;")</f>
        <v>0</v>
      </c>
      <c r="C373">
        <f>SUMIFS('Draft Board'!$AS$2:$AS$193,'Draft Board'!$AM$2:$AM$193,A373,'Draft Board'!$AT$2:$AT$193,"&lt;&gt;")</f>
        <v>0</v>
      </c>
      <c r="D373">
        <f>COUNTIFS('Draft Board'!$AM$2:$AM$193,A373,'Draft Board'!$AT$2:$AT$193,"&lt;&gt;")</f>
        <v>0</v>
      </c>
      <c r="E373">
        <f>IFERROR(AVERAGEIFS('Draft Board'!$AS$2:$AS$193,'Draft Board'!$AM$2:$AM$193,A373),0)</f>
        <v>0</v>
      </c>
      <c r="F373">
        <f>MIN(1,E373/(Setup!$B$3*0.1))</f>
        <v>0</v>
      </c>
      <c r="G373">
        <f t="shared" si="11"/>
        <v>1</v>
      </c>
    </row>
    <row r="374" spans="1:7" x14ac:dyDescent="0.25">
      <c r="A374">
        <v>116</v>
      </c>
      <c r="B374">
        <f>SUMIFS('Draft Board'!$AT$2:$AT$193,'Draft Board'!$AM$2:$AM$193,A374,'Draft Board'!$AT$2:$AT$193,"&lt;&gt;")</f>
        <v>0</v>
      </c>
      <c r="C374">
        <f>SUMIFS('Draft Board'!$AS$2:$AS$193,'Draft Board'!$AM$2:$AM$193,A374,'Draft Board'!$AT$2:$AT$193,"&lt;&gt;")</f>
        <v>0</v>
      </c>
      <c r="D374">
        <f>COUNTIFS('Draft Board'!$AM$2:$AM$193,A374,'Draft Board'!$AT$2:$AT$193,"&lt;&gt;")</f>
        <v>0</v>
      </c>
      <c r="E374">
        <f>IFERROR(AVERAGEIFS('Draft Board'!$AS$2:$AS$193,'Draft Board'!$AM$2:$AM$193,A374),0)</f>
        <v>0</v>
      </c>
      <c r="F374">
        <f>MIN(1,E374/(Setup!$B$3*0.1))</f>
        <v>0</v>
      </c>
      <c r="G374">
        <f t="shared" si="11"/>
        <v>1</v>
      </c>
    </row>
    <row r="375" spans="1:7" x14ac:dyDescent="0.25">
      <c r="A375">
        <v>117</v>
      </c>
      <c r="B375">
        <f>SUMIFS('Draft Board'!$AT$2:$AT$193,'Draft Board'!$AM$2:$AM$193,A375,'Draft Board'!$AT$2:$AT$193,"&lt;&gt;")</f>
        <v>0</v>
      </c>
      <c r="C375">
        <f>SUMIFS('Draft Board'!$AS$2:$AS$193,'Draft Board'!$AM$2:$AM$193,A375,'Draft Board'!$AT$2:$AT$193,"&lt;&gt;")</f>
        <v>0</v>
      </c>
      <c r="D375">
        <f>COUNTIFS('Draft Board'!$AM$2:$AM$193,A375,'Draft Board'!$AT$2:$AT$193,"&lt;&gt;")</f>
        <v>0</v>
      </c>
      <c r="E375">
        <f>IFERROR(AVERAGEIFS('Draft Board'!$AS$2:$AS$193,'Draft Board'!$AM$2:$AM$193,A375),0)</f>
        <v>0</v>
      </c>
      <c r="F375">
        <f>MIN(1,E375/(Setup!$B$3*0.1))</f>
        <v>0</v>
      </c>
      <c r="G375">
        <f t="shared" si="11"/>
        <v>1</v>
      </c>
    </row>
    <row r="376" spans="1:7" x14ac:dyDescent="0.25">
      <c r="A376">
        <v>118</v>
      </c>
      <c r="B376">
        <f>SUMIFS('Draft Board'!$AT$2:$AT$193,'Draft Board'!$AM$2:$AM$193,A376,'Draft Board'!$AT$2:$AT$193,"&lt;&gt;")</f>
        <v>0</v>
      </c>
      <c r="C376">
        <f>SUMIFS('Draft Board'!$AS$2:$AS$193,'Draft Board'!$AM$2:$AM$193,A376,'Draft Board'!$AT$2:$AT$193,"&lt;&gt;")</f>
        <v>0</v>
      </c>
      <c r="D376">
        <f>COUNTIFS('Draft Board'!$AM$2:$AM$193,A376,'Draft Board'!$AT$2:$AT$193,"&lt;&gt;")</f>
        <v>0</v>
      </c>
      <c r="E376">
        <f>IFERROR(AVERAGEIFS('Draft Board'!$AS$2:$AS$193,'Draft Board'!$AM$2:$AM$193,A376),0)</f>
        <v>0</v>
      </c>
      <c r="F376">
        <f>MIN(1,E376/(Setup!$B$3*0.1))</f>
        <v>0</v>
      </c>
      <c r="G376">
        <f t="shared" si="11"/>
        <v>1</v>
      </c>
    </row>
    <row r="377" spans="1:7" x14ac:dyDescent="0.25">
      <c r="A377">
        <v>119</v>
      </c>
      <c r="B377">
        <f>SUMIFS('Draft Board'!$AT$2:$AT$193,'Draft Board'!$AM$2:$AM$193,A377,'Draft Board'!$AT$2:$AT$193,"&lt;&gt;")</f>
        <v>0</v>
      </c>
      <c r="C377">
        <f>SUMIFS('Draft Board'!$AS$2:$AS$193,'Draft Board'!$AM$2:$AM$193,A377,'Draft Board'!$AT$2:$AT$193,"&lt;&gt;")</f>
        <v>0</v>
      </c>
      <c r="D377">
        <f>COUNTIFS('Draft Board'!$AM$2:$AM$193,A377,'Draft Board'!$AT$2:$AT$193,"&lt;&gt;")</f>
        <v>0</v>
      </c>
      <c r="E377">
        <f>IFERROR(AVERAGEIFS('Draft Board'!$AS$2:$AS$193,'Draft Board'!$AM$2:$AM$193,A377),0)</f>
        <v>0</v>
      </c>
      <c r="F377">
        <f>MIN(1,E377/(Setup!$B$3*0.1))</f>
        <v>0</v>
      </c>
      <c r="G377">
        <f t="shared" si="11"/>
        <v>1</v>
      </c>
    </row>
    <row r="378" spans="1:7" x14ac:dyDescent="0.25">
      <c r="A378">
        <v>120</v>
      </c>
      <c r="B378">
        <f>SUMIFS('Draft Board'!$AT$2:$AT$193,'Draft Board'!$AM$2:$AM$193,A378,'Draft Board'!$AT$2:$AT$193,"&lt;&gt;")</f>
        <v>0</v>
      </c>
      <c r="C378">
        <f>SUMIFS('Draft Board'!$AS$2:$AS$193,'Draft Board'!$AM$2:$AM$193,A378,'Draft Board'!$AT$2:$AT$193,"&lt;&gt;")</f>
        <v>0</v>
      </c>
      <c r="D378">
        <f>COUNTIFS('Draft Board'!$AM$2:$AM$193,A378,'Draft Board'!$AT$2:$AT$193,"&lt;&gt;")</f>
        <v>0</v>
      </c>
      <c r="E378">
        <f>IFERROR(AVERAGEIFS('Draft Board'!$AS$2:$AS$193,'Draft Board'!$AM$2:$AM$193,A378),0)</f>
        <v>0</v>
      </c>
      <c r="F378">
        <f>MIN(1,E378/(Setup!$B$3*0.1))</f>
        <v>0</v>
      </c>
      <c r="G378">
        <f t="shared" si="11"/>
        <v>1</v>
      </c>
    </row>
    <row r="379" spans="1:7" x14ac:dyDescent="0.25">
      <c r="A379">
        <v>121</v>
      </c>
      <c r="B379">
        <f>SUMIFS('Draft Board'!$AT$2:$AT$193,'Draft Board'!$AM$2:$AM$193,A379,'Draft Board'!$AT$2:$AT$193,"&lt;&gt;")</f>
        <v>0</v>
      </c>
      <c r="C379">
        <f>SUMIFS('Draft Board'!$AS$2:$AS$193,'Draft Board'!$AM$2:$AM$193,A379,'Draft Board'!$AT$2:$AT$193,"&lt;&gt;")</f>
        <v>0</v>
      </c>
      <c r="D379">
        <f>COUNTIFS('Draft Board'!$AM$2:$AM$193,A379,'Draft Board'!$AT$2:$AT$193,"&lt;&gt;")</f>
        <v>0</v>
      </c>
      <c r="E379">
        <f>IFERROR(AVERAGEIFS('Draft Board'!$AS$2:$AS$193,'Draft Board'!$AM$2:$AM$193,A379),0)</f>
        <v>0</v>
      </c>
      <c r="F379">
        <f>MIN(1,E379/(Setup!$B$3*0.1))</f>
        <v>0</v>
      </c>
      <c r="G379">
        <f t="shared" si="11"/>
        <v>1</v>
      </c>
    </row>
    <row r="380" spans="1:7" x14ac:dyDescent="0.25">
      <c r="A380">
        <v>122</v>
      </c>
      <c r="B380">
        <f>SUMIFS('Draft Board'!$AT$2:$AT$193,'Draft Board'!$AM$2:$AM$193,A380,'Draft Board'!$AT$2:$AT$193,"&lt;&gt;")</f>
        <v>0</v>
      </c>
      <c r="C380">
        <f>SUMIFS('Draft Board'!$AS$2:$AS$193,'Draft Board'!$AM$2:$AM$193,A380,'Draft Board'!$AT$2:$AT$193,"&lt;&gt;")</f>
        <v>0</v>
      </c>
      <c r="D380">
        <f>COUNTIFS('Draft Board'!$AM$2:$AM$193,A380,'Draft Board'!$AT$2:$AT$193,"&lt;&gt;")</f>
        <v>0</v>
      </c>
      <c r="E380">
        <f>IFERROR(AVERAGEIFS('Draft Board'!$AS$2:$AS$193,'Draft Board'!$AM$2:$AM$193,A380),0)</f>
        <v>0</v>
      </c>
      <c r="F380">
        <f>MIN(1,E380/(Setup!$B$3*0.1))</f>
        <v>0</v>
      </c>
      <c r="G380">
        <f t="shared" si="11"/>
        <v>1</v>
      </c>
    </row>
    <row r="381" spans="1:7" x14ac:dyDescent="0.25">
      <c r="A381">
        <v>123</v>
      </c>
      <c r="B381">
        <f>SUMIFS('Draft Board'!$AT$2:$AT$193,'Draft Board'!$AM$2:$AM$193,A381,'Draft Board'!$AT$2:$AT$193,"&lt;&gt;")</f>
        <v>0</v>
      </c>
      <c r="C381">
        <f>SUMIFS('Draft Board'!$AS$2:$AS$193,'Draft Board'!$AM$2:$AM$193,A381,'Draft Board'!$AT$2:$AT$193,"&lt;&gt;")</f>
        <v>0</v>
      </c>
      <c r="D381">
        <f>COUNTIFS('Draft Board'!$AM$2:$AM$193,A381,'Draft Board'!$AT$2:$AT$193,"&lt;&gt;")</f>
        <v>0</v>
      </c>
      <c r="E381">
        <f>IFERROR(AVERAGEIFS('Draft Board'!$AS$2:$AS$193,'Draft Board'!$AM$2:$AM$193,A381),0)</f>
        <v>0</v>
      </c>
      <c r="F381">
        <f>MIN(1,E381/(Setup!$B$3*0.1))</f>
        <v>0</v>
      </c>
      <c r="G381">
        <f t="shared" si="11"/>
        <v>1</v>
      </c>
    </row>
    <row r="382" spans="1:7" x14ac:dyDescent="0.25">
      <c r="A382">
        <v>124</v>
      </c>
      <c r="B382">
        <f>SUMIFS('Draft Board'!$AT$2:$AT$193,'Draft Board'!$AM$2:$AM$193,A382,'Draft Board'!$AT$2:$AT$193,"&lt;&gt;")</f>
        <v>0</v>
      </c>
      <c r="C382">
        <f>SUMIFS('Draft Board'!$AS$2:$AS$193,'Draft Board'!$AM$2:$AM$193,A382,'Draft Board'!$AT$2:$AT$193,"&lt;&gt;")</f>
        <v>0</v>
      </c>
      <c r="D382">
        <f>COUNTIFS('Draft Board'!$AM$2:$AM$193,A382,'Draft Board'!$AT$2:$AT$193,"&lt;&gt;")</f>
        <v>0</v>
      </c>
      <c r="E382">
        <f>IFERROR(AVERAGEIFS('Draft Board'!$AS$2:$AS$193,'Draft Board'!$AM$2:$AM$193,A382),0)</f>
        <v>0</v>
      </c>
      <c r="F382">
        <f>MIN(1,E382/(Setup!$B$3*0.1))</f>
        <v>0</v>
      </c>
      <c r="G382">
        <f t="shared" si="11"/>
        <v>1</v>
      </c>
    </row>
    <row r="383" spans="1:7" x14ac:dyDescent="0.25">
      <c r="A383">
        <v>125</v>
      </c>
      <c r="B383">
        <f>SUMIFS('Draft Board'!$AT$2:$AT$193,'Draft Board'!$AM$2:$AM$193,A383,'Draft Board'!$AT$2:$AT$193,"&lt;&gt;")</f>
        <v>0</v>
      </c>
      <c r="C383">
        <f>SUMIFS('Draft Board'!$AS$2:$AS$193,'Draft Board'!$AM$2:$AM$193,A383,'Draft Board'!$AT$2:$AT$193,"&lt;&gt;")</f>
        <v>0</v>
      </c>
      <c r="D383">
        <f>COUNTIFS('Draft Board'!$AM$2:$AM$193,A383,'Draft Board'!$AT$2:$AT$193,"&lt;&gt;")</f>
        <v>0</v>
      </c>
      <c r="E383">
        <f>IFERROR(AVERAGEIFS('Draft Board'!$AS$2:$AS$193,'Draft Board'!$AM$2:$AM$193,A383),0)</f>
        <v>0</v>
      </c>
      <c r="F383">
        <f>MIN(1,E383/(Setup!$B$3*0.1))</f>
        <v>0</v>
      </c>
      <c r="G383">
        <f t="shared" si="11"/>
        <v>1</v>
      </c>
    </row>
    <row r="384" spans="1:7" x14ac:dyDescent="0.25">
      <c r="A384">
        <v>126</v>
      </c>
      <c r="B384">
        <f>SUMIFS('Draft Board'!$AT$2:$AT$193,'Draft Board'!$AM$2:$AM$193,A384,'Draft Board'!$AT$2:$AT$193,"&lt;&gt;")</f>
        <v>0</v>
      </c>
      <c r="C384">
        <f>SUMIFS('Draft Board'!$AS$2:$AS$193,'Draft Board'!$AM$2:$AM$193,A384,'Draft Board'!$AT$2:$AT$193,"&lt;&gt;")</f>
        <v>0</v>
      </c>
      <c r="D384">
        <f>COUNTIFS('Draft Board'!$AM$2:$AM$193,A384,'Draft Board'!$AT$2:$AT$193,"&lt;&gt;")</f>
        <v>0</v>
      </c>
      <c r="E384">
        <f>IFERROR(AVERAGEIFS('Draft Board'!$AS$2:$AS$193,'Draft Board'!$AM$2:$AM$193,A384),0)</f>
        <v>0</v>
      </c>
      <c r="F384">
        <f>MIN(1,E384/(Setup!$B$3*0.1))</f>
        <v>0</v>
      </c>
      <c r="G384">
        <f t="shared" si="11"/>
        <v>1</v>
      </c>
    </row>
    <row r="385" spans="1:7" x14ac:dyDescent="0.25">
      <c r="A385">
        <v>127</v>
      </c>
      <c r="B385">
        <f>SUMIFS('Draft Board'!$AT$2:$AT$193,'Draft Board'!$AM$2:$AM$193,A385,'Draft Board'!$AT$2:$AT$193,"&lt;&gt;")</f>
        <v>0</v>
      </c>
      <c r="C385">
        <f>SUMIFS('Draft Board'!$AS$2:$AS$193,'Draft Board'!$AM$2:$AM$193,A385,'Draft Board'!$AT$2:$AT$193,"&lt;&gt;")</f>
        <v>0</v>
      </c>
      <c r="D385">
        <f>COUNTIFS('Draft Board'!$AM$2:$AM$193,A385,'Draft Board'!$AT$2:$AT$193,"&lt;&gt;")</f>
        <v>0</v>
      </c>
      <c r="E385">
        <f>IFERROR(AVERAGEIFS('Draft Board'!$AS$2:$AS$193,'Draft Board'!$AM$2:$AM$193,A385),0)</f>
        <v>0</v>
      </c>
      <c r="F385">
        <f>MIN(1,E385/(Setup!$B$3*0.1))</f>
        <v>0</v>
      </c>
      <c r="G385">
        <f t="shared" si="11"/>
        <v>1</v>
      </c>
    </row>
    <row r="386" spans="1:7" x14ac:dyDescent="0.25">
      <c r="A386">
        <v>128</v>
      </c>
      <c r="B386">
        <f>SUMIFS('Draft Board'!$AT$2:$AT$193,'Draft Board'!$AM$2:$AM$193,A386,'Draft Board'!$AT$2:$AT$193,"&lt;&gt;")</f>
        <v>0</v>
      </c>
      <c r="C386">
        <f>SUMIFS('Draft Board'!$AS$2:$AS$193,'Draft Board'!$AM$2:$AM$193,A386,'Draft Board'!$AT$2:$AT$193,"&lt;&gt;")</f>
        <v>0</v>
      </c>
      <c r="D386">
        <f>COUNTIFS('Draft Board'!$AM$2:$AM$193,A386,'Draft Board'!$AT$2:$AT$193,"&lt;&gt;")</f>
        <v>0</v>
      </c>
      <c r="E386">
        <f>IFERROR(AVERAGEIFS('Draft Board'!$AS$2:$AS$193,'Draft Board'!$AM$2:$AM$193,A386),0)</f>
        <v>0</v>
      </c>
      <c r="F386">
        <f>MIN(1,E386/(Setup!$B$3*0.1))</f>
        <v>0</v>
      </c>
      <c r="G386">
        <f t="shared" si="11"/>
        <v>1</v>
      </c>
    </row>
    <row r="387" spans="1:7" x14ac:dyDescent="0.25">
      <c r="A387">
        <v>129</v>
      </c>
      <c r="B387">
        <f>SUMIFS('Draft Board'!$AT$2:$AT$193,'Draft Board'!$AM$2:$AM$193,A387,'Draft Board'!$AT$2:$AT$193,"&lt;&gt;")</f>
        <v>0</v>
      </c>
      <c r="C387">
        <f>SUMIFS('Draft Board'!$AS$2:$AS$193,'Draft Board'!$AM$2:$AM$193,A387,'Draft Board'!$AT$2:$AT$193,"&lt;&gt;")</f>
        <v>0</v>
      </c>
      <c r="D387">
        <f>COUNTIFS('Draft Board'!$AM$2:$AM$193,A387,'Draft Board'!$AT$2:$AT$193,"&lt;&gt;")</f>
        <v>0</v>
      </c>
      <c r="E387">
        <f>IFERROR(AVERAGEIFS('Draft Board'!$AS$2:$AS$193,'Draft Board'!$AM$2:$AM$193,A387),0)</f>
        <v>0</v>
      </c>
      <c r="F387">
        <f>MIN(1,E387/(Setup!$B$3*0.1))</f>
        <v>0</v>
      </c>
      <c r="G387">
        <f t="shared" ref="G387:G418" si="12">IF(D387&lt;2,1,MEDIAN(0.5,2,1+(IFERROR(B387/C387,1)-1)*F387))</f>
        <v>1</v>
      </c>
    </row>
    <row r="388" spans="1:7" x14ac:dyDescent="0.25">
      <c r="A388">
        <v>130</v>
      </c>
      <c r="B388">
        <f>SUMIFS('Draft Board'!$AT$2:$AT$193,'Draft Board'!$AM$2:$AM$193,A388,'Draft Board'!$AT$2:$AT$193,"&lt;&gt;")</f>
        <v>0</v>
      </c>
      <c r="C388">
        <f>SUMIFS('Draft Board'!$AS$2:$AS$193,'Draft Board'!$AM$2:$AM$193,A388,'Draft Board'!$AT$2:$AT$193,"&lt;&gt;")</f>
        <v>0</v>
      </c>
      <c r="D388">
        <f>COUNTIFS('Draft Board'!$AM$2:$AM$193,A388,'Draft Board'!$AT$2:$AT$193,"&lt;&gt;")</f>
        <v>0</v>
      </c>
      <c r="E388">
        <f>IFERROR(AVERAGEIFS('Draft Board'!$AS$2:$AS$193,'Draft Board'!$AM$2:$AM$193,A388),0)</f>
        <v>0</v>
      </c>
      <c r="F388">
        <f>MIN(1,E388/(Setup!$B$3*0.1))</f>
        <v>0</v>
      </c>
      <c r="G388">
        <f t="shared" si="12"/>
        <v>1</v>
      </c>
    </row>
    <row r="389" spans="1:7" x14ac:dyDescent="0.25">
      <c r="A389">
        <v>131</v>
      </c>
      <c r="B389">
        <f>SUMIFS('Draft Board'!$AT$2:$AT$193,'Draft Board'!$AM$2:$AM$193,A389,'Draft Board'!$AT$2:$AT$193,"&lt;&gt;")</f>
        <v>0</v>
      </c>
      <c r="C389">
        <f>SUMIFS('Draft Board'!$AS$2:$AS$193,'Draft Board'!$AM$2:$AM$193,A389,'Draft Board'!$AT$2:$AT$193,"&lt;&gt;")</f>
        <v>0</v>
      </c>
      <c r="D389">
        <f>COUNTIFS('Draft Board'!$AM$2:$AM$193,A389,'Draft Board'!$AT$2:$AT$193,"&lt;&gt;")</f>
        <v>0</v>
      </c>
      <c r="E389">
        <f>IFERROR(AVERAGEIFS('Draft Board'!$AS$2:$AS$193,'Draft Board'!$AM$2:$AM$193,A389),0)</f>
        <v>0</v>
      </c>
      <c r="F389">
        <f>MIN(1,E389/(Setup!$B$3*0.1))</f>
        <v>0</v>
      </c>
      <c r="G389">
        <f t="shared" si="12"/>
        <v>1</v>
      </c>
    </row>
    <row r="390" spans="1:7" x14ac:dyDescent="0.25">
      <c r="A390">
        <v>132</v>
      </c>
      <c r="B390">
        <f>SUMIFS('Draft Board'!$AT$2:$AT$193,'Draft Board'!$AM$2:$AM$193,A390,'Draft Board'!$AT$2:$AT$193,"&lt;&gt;")</f>
        <v>0</v>
      </c>
      <c r="C390">
        <f>SUMIFS('Draft Board'!$AS$2:$AS$193,'Draft Board'!$AM$2:$AM$193,A390,'Draft Board'!$AT$2:$AT$193,"&lt;&gt;")</f>
        <v>0</v>
      </c>
      <c r="D390">
        <f>COUNTIFS('Draft Board'!$AM$2:$AM$193,A390,'Draft Board'!$AT$2:$AT$193,"&lt;&gt;")</f>
        <v>0</v>
      </c>
      <c r="E390">
        <f>IFERROR(AVERAGEIFS('Draft Board'!$AS$2:$AS$193,'Draft Board'!$AM$2:$AM$193,A390),0)</f>
        <v>0</v>
      </c>
      <c r="F390">
        <f>MIN(1,E390/(Setup!$B$3*0.1))</f>
        <v>0</v>
      </c>
      <c r="G390">
        <f t="shared" si="12"/>
        <v>1</v>
      </c>
    </row>
    <row r="391" spans="1:7" x14ac:dyDescent="0.25">
      <c r="A391">
        <v>133</v>
      </c>
      <c r="B391">
        <f>SUMIFS('Draft Board'!$AT$2:$AT$193,'Draft Board'!$AM$2:$AM$193,A391,'Draft Board'!$AT$2:$AT$193,"&lt;&gt;")</f>
        <v>0</v>
      </c>
      <c r="C391">
        <f>SUMIFS('Draft Board'!$AS$2:$AS$193,'Draft Board'!$AM$2:$AM$193,A391,'Draft Board'!$AT$2:$AT$193,"&lt;&gt;")</f>
        <v>0</v>
      </c>
      <c r="D391">
        <f>COUNTIFS('Draft Board'!$AM$2:$AM$193,A391,'Draft Board'!$AT$2:$AT$193,"&lt;&gt;")</f>
        <v>0</v>
      </c>
      <c r="E391">
        <f>IFERROR(AVERAGEIFS('Draft Board'!$AS$2:$AS$193,'Draft Board'!$AM$2:$AM$193,A391),0)</f>
        <v>0</v>
      </c>
      <c r="F391">
        <f>MIN(1,E391/(Setup!$B$3*0.1))</f>
        <v>0</v>
      </c>
      <c r="G391">
        <f t="shared" si="12"/>
        <v>1</v>
      </c>
    </row>
    <row r="392" spans="1:7" x14ac:dyDescent="0.25">
      <c r="A392">
        <v>134</v>
      </c>
      <c r="B392">
        <f>SUMIFS('Draft Board'!$AT$2:$AT$193,'Draft Board'!$AM$2:$AM$193,A392,'Draft Board'!$AT$2:$AT$193,"&lt;&gt;")</f>
        <v>0</v>
      </c>
      <c r="C392">
        <f>SUMIFS('Draft Board'!$AS$2:$AS$193,'Draft Board'!$AM$2:$AM$193,A392,'Draft Board'!$AT$2:$AT$193,"&lt;&gt;")</f>
        <v>0</v>
      </c>
      <c r="D392">
        <f>COUNTIFS('Draft Board'!$AM$2:$AM$193,A392,'Draft Board'!$AT$2:$AT$193,"&lt;&gt;")</f>
        <v>0</v>
      </c>
      <c r="E392">
        <f>IFERROR(AVERAGEIFS('Draft Board'!$AS$2:$AS$193,'Draft Board'!$AM$2:$AM$193,A392),0)</f>
        <v>0</v>
      </c>
      <c r="F392">
        <f>MIN(1,E392/(Setup!$B$3*0.1))</f>
        <v>0</v>
      </c>
      <c r="G392">
        <f t="shared" si="12"/>
        <v>1</v>
      </c>
    </row>
    <row r="393" spans="1:7" x14ac:dyDescent="0.25">
      <c r="A393">
        <v>135</v>
      </c>
      <c r="B393">
        <f>SUMIFS('Draft Board'!$AT$2:$AT$193,'Draft Board'!$AM$2:$AM$193,A393,'Draft Board'!$AT$2:$AT$193,"&lt;&gt;")</f>
        <v>0</v>
      </c>
      <c r="C393">
        <f>SUMIFS('Draft Board'!$AS$2:$AS$193,'Draft Board'!$AM$2:$AM$193,A393,'Draft Board'!$AT$2:$AT$193,"&lt;&gt;")</f>
        <v>0</v>
      </c>
      <c r="D393">
        <f>COUNTIFS('Draft Board'!$AM$2:$AM$193,A393,'Draft Board'!$AT$2:$AT$193,"&lt;&gt;")</f>
        <v>0</v>
      </c>
      <c r="E393">
        <f>IFERROR(AVERAGEIFS('Draft Board'!$AS$2:$AS$193,'Draft Board'!$AM$2:$AM$193,A393),0)</f>
        <v>0</v>
      </c>
      <c r="F393">
        <f>MIN(1,E393/(Setup!$B$3*0.1))</f>
        <v>0</v>
      </c>
      <c r="G393">
        <f t="shared" si="12"/>
        <v>1</v>
      </c>
    </row>
    <row r="394" spans="1:7" x14ac:dyDescent="0.25">
      <c r="A394">
        <v>136</v>
      </c>
      <c r="B394">
        <f>SUMIFS('Draft Board'!$AT$2:$AT$193,'Draft Board'!$AM$2:$AM$193,A394,'Draft Board'!$AT$2:$AT$193,"&lt;&gt;")</f>
        <v>0</v>
      </c>
      <c r="C394">
        <f>SUMIFS('Draft Board'!$AS$2:$AS$193,'Draft Board'!$AM$2:$AM$193,A394,'Draft Board'!$AT$2:$AT$193,"&lt;&gt;")</f>
        <v>0</v>
      </c>
      <c r="D394">
        <f>COUNTIFS('Draft Board'!$AM$2:$AM$193,A394,'Draft Board'!$AT$2:$AT$193,"&lt;&gt;")</f>
        <v>0</v>
      </c>
      <c r="E394">
        <f>IFERROR(AVERAGEIFS('Draft Board'!$AS$2:$AS$193,'Draft Board'!$AM$2:$AM$193,A394),0)</f>
        <v>0</v>
      </c>
      <c r="F394">
        <f>MIN(1,E394/(Setup!$B$3*0.1))</f>
        <v>0</v>
      </c>
      <c r="G394">
        <f t="shared" si="12"/>
        <v>1</v>
      </c>
    </row>
    <row r="395" spans="1:7" x14ac:dyDescent="0.25">
      <c r="A395">
        <v>137</v>
      </c>
      <c r="B395">
        <f>SUMIFS('Draft Board'!$AT$2:$AT$193,'Draft Board'!$AM$2:$AM$193,A395,'Draft Board'!$AT$2:$AT$193,"&lt;&gt;")</f>
        <v>0</v>
      </c>
      <c r="C395">
        <f>SUMIFS('Draft Board'!$AS$2:$AS$193,'Draft Board'!$AM$2:$AM$193,A395,'Draft Board'!$AT$2:$AT$193,"&lt;&gt;")</f>
        <v>0</v>
      </c>
      <c r="D395">
        <f>COUNTIFS('Draft Board'!$AM$2:$AM$193,A395,'Draft Board'!$AT$2:$AT$193,"&lt;&gt;")</f>
        <v>0</v>
      </c>
      <c r="E395">
        <f>IFERROR(AVERAGEIFS('Draft Board'!$AS$2:$AS$193,'Draft Board'!$AM$2:$AM$193,A395),0)</f>
        <v>0</v>
      </c>
      <c r="F395">
        <f>MIN(1,E395/(Setup!$B$3*0.1))</f>
        <v>0</v>
      </c>
      <c r="G395">
        <f t="shared" si="12"/>
        <v>1</v>
      </c>
    </row>
    <row r="396" spans="1:7" x14ac:dyDescent="0.25">
      <c r="A396">
        <v>138</v>
      </c>
      <c r="B396">
        <f>SUMIFS('Draft Board'!$AT$2:$AT$193,'Draft Board'!$AM$2:$AM$193,A396,'Draft Board'!$AT$2:$AT$193,"&lt;&gt;")</f>
        <v>0</v>
      </c>
      <c r="C396">
        <f>SUMIFS('Draft Board'!$AS$2:$AS$193,'Draft Board'!$AM$2:$AM$193,A396,'Draft Board'!$AT$2:$AT$193,"&lt;&gt;")</f>
        <v>0</v>
      </c>
      <c r="D396">
        <f>COUNTIFS('Draft Board'!$AM$2:$AM$193,A396,'Draft Board'!$AT$2:$AT$193,"&lt;&gt;")</f>
        <v>0</v>
      </c>
      <c r="E396">
        <f>IFERROR(AVERAGEIFS('Draft Board'!$AS$2:$AS$193,'Draft Board'!$AM$2:$AM$193,A396),0)</f>
        <v>0</v>
      </c>
      <c r="F396">
        <f>MIN(1,E396/(Setup!$B$3*0.1))</f>
        <v>0</v>
      </c>
      <c r="G396">
        <f t="shared" si="12"/>
        <v>1</v>
      </c>
    </row>
    <row r="397" spans="1:7" x14ac:dyDescent="0.25">
      <c r="A397">
        <v>139</v>
      </c>
      <c r="B397">
        <f>SUMIFS('Draft Board'!$AT$2:$AT$193,'Draft Board'!$AM$2:$AM$193,A397,'Draft Board'!$AT$2:$AT$193,"&lt;&gt;")</f>
        <v>0</v>
      </c>
      <c r="C397">
        <f>SUMIFS('Draft Board'!$AS$2:$AS$193,'Draft Board'!$AM$2:$AM$193,A397,'Draft Board'!$AT$2:$AT$193,"&lt;&gt;")</f>
        <v>0</v>
      </c>
      <c r="D397">
        <f>COUNTIFS('Draft Board'!$AM$2:$AM$193,A397,'Draft Board'!$AT$2:$AT$193,"&lt;&gt;")</f>
        <v>0</v>
      </c>
      <c r="E397">
        <f>IFERROR(AVERAGEIFS('Draft Board'!$AS$2:$AS$193,'Draft Board'!$AM$2:$AM$193,A397),0)</f>
        <v>0</v>
      </c>
      <c r="F397">
        <f>MIN(1,E397/(Setup!$B$3*0.1))</f>
        <v>0</v>
      </c>
      <c r="G397">
        <f t="shared" si="12"/>
        <v>1</v>
      </c>
    </row>
    <row r="398" spans="1:7" x14ac:dyDescent="0.25">
      <c r="A398">
        <v>140</v>
      </c>
      <c r="B398">
        <f>SUMIFS('Draft Board'!$AT$2:$AT$193,'Draft Board'!$AM$2:$AM$193,A398,'Draft Board'!$AT$2:$AT$193,"&lt;&gt;")</f>
        <v>0</v>
      </c>
      <c r="C398">
        <f>SUMIFS('Draft Board'!$AS$2:$AS$193,'Draft Board'!$AM$2:$AM$193,A398,'Draft Board'!$AT$2:$AT$193,"&lt;&gt;")</f>
        <v>0</v>
      </c>
      <c r="D398">
        <f>COUNTIFS('Draft Board'!$AM$2:$AM$193,A398,'Draft Board'!$AT$2:$AT$193,"&lt;&gt;")</f>
        <v>0</v>
      </c>
      <c r="E398">
        <f>IFERROR(AVERAGEIFS('Draft Board'!$AS$2:$AS$193,'Draft Board'!$AM$2:$AM$193,A398),0)</f>
        <v>0</v>
      </c>
      <c r="F398">
        <f>MIN(1,E398/(Setup!$B$3*0.1))</f>
        <v>0</v>
      </c>
      <c r="G398">
        <f t="shared" si="12"/>
        <v>1</v>
      </c>
    </row>
    <row r="399" spans="1:7" x14ac:dyDescent="0.25">
      <c r="A399">
        <v>141</v>
      </c>
      <c r="B399">
        <f>SUMIFS('Draft Board'!$AT$2:$AT$193,'Draft Board'!$AM$2:$AM$193,A399,'Draft Board'!$AT$2:$AT$193,"&lt;&gt;")</f>
        <v>0</v>
      </c>
      <c r="C399">
        <f>SUMIFS('Draft Board'!$AS$2:$AS$193,'Draft Board'!$AM$2:$AM$193,A399,'Draft Board'!$AT$2:$AT$193,"&lt;&gt;")</f>
        <v>0</v>
      </c>
      <c r="D399">
        <f>COUNTIFS('Draft Board'!$AM$2:$AM$193,A399,'Draft Board'!$AT$2:$AT$193,"&lt;&gt;")</f>
        <v>0</v>
      </c>
      <c r="E399">
        <f>IFERROR(AVERAGEIFS('Draft Board'!$AS$2:$AS$193,'Draft Board'!$AM$2:$AM$193,A399),0)</f>
        <v>0</v>
      </c>
      <c r="F399">
        <f>MIN(1,E399/(Setup!$B$3*0.1))</f>
        <v>0</v>
      </c>
      <c r="G399">
        <f t="shared" si="12"/>
        <v>1</v>
      </c>
    </row>
    <row r="400" spans="1:7" x14ac:dyDescent="0.25">
      <c r="A400">
        <v>142</v>
      </c>
      <c r="B400">
        <f>SUMIFS('Draft Board'!$AT$2:$AT$193,'Draft Board'!$AM$2:$AM$193,A400,'Draft Board'!$AT$2:$AT$193,"&lt;&gt;")</f>
        <v>0</v>
      </c>
      <c r="C400">
        <f>SUMIFS('Draft Board'!$AS$2:$AS$193,'Draft Board'!$AM$2:$AM$193,A400,'Draft Board'!$AT$2:$AT$193,"&lt;&gt;")</f>
        <v>0</v>
      </c>
      <c r="D400">
        <f>COUNTIFS('Draft Board'!$AM$2:$AM$193,A400,'Draft Board'!$AT$2:$AT$193,"&lt;&gt;")</f>
        <v>0</v>
      </c>
      <c r="E400">
        <f>IFERROR(AVERAGEIFS('Draft Board'!$AS$2:$AS$193,'Draft Board'!$AM$2:$AM$193,A400),0)</f>
        <v>0</v>
      </c>
      <c r="F400">
        <f>MIN(1,E400/(Setup!$B$3*0.1))</f>
        <v>0</v>
      </c>
      <c r="G400">
        <f t="shared" si="12"/>
        <v>1</v>
      </c>
    </row>
    <row r="401" spans="1:7" x14ac:dyDescent="0.25">
      <c r="A401">
        <v>143</v>
      </c>
      <c r="B401">
        <f>SUMIFS('Draft Board'!$AT$2:$AT$193,'Draft Board'!$AM$2:$AM$193,A401,'Draft Board'!$AT$2:$AT$193,"&lt;&gt;")</f>
        <v>0</v>
      </c>
      <c r="C401">
        <f>SUMIFS('Draft Board'!$AS$2:$AS$193,'Draft Board'!$AM$2:$AM$193,A401,'Draft Board'!$AT$2:$AT$193,"&lt;&gt;")</f>
        <v>0</v>
      </c>
      <c r="D401">
        <f>COUNTIFS('Draft Board'!$AM$2:$AM$193,A401,'Draft Board'!$AT$2:$AT$193,"&lt;&gt;")</f>
        <v>0</v>
      </c>
      <c r="E401">
        <f>IFERROR(AVERAGEIFS('Draft Board'!$AS$2:$AS$193,'Draft Board'!$AM$2:$AM$193,A401),0)</f>
        <v>0</v>
      </c>
      <c r="F401">
        <f>MIN(1,E401/(Setup!$B$3*0.1))</f>
        <v>0</v>
      </c>
      <c r="G401">
        <f t="shared" si="12"/>
        <v>1</v>
      </c>
    </row>
    <row r="402" spans="1:7" x14ac:dyDescent="0.25">
      <c r="A402">
        <v>144</v>
      </c>
      <c r="B402">
        <f>SUMIFS('Draft Board'!$AT$2:$AT$193,'Draft Board'!$AM$2:$AM$193,A402,'Draft Board'!$AT$2:$AT$193,"&lt;&gt;")</f>
        <v>0</v>
      </c>
      <c r="C402">
        <f>SUMIFS('Draft Board'!$AS$2:$AS$193,'Draft Board'!$AM$2:$AM$193,A402,'Draft Board'!$AT$2:$AT$193,"&lt;&gt;")</f>
        <v>0</v>
      </c>
      <c r="D402">
        <f>COUNTIFS('Draft Board'!$AM$2:$AM$193,A402,'Draft Board'!$AT$2:$AT$193,"&lt;&gt;")</f>
        <v>0</v>
      </c>
      <c r="E402">
        <f>IFERROR(AVERAGEIFS('Draft Board'!$AS$2:$AS$193,'Draft Board'!$AM$2:$AM$193,A402),0)</f>
        <v>0</v>
      </c>
      <c r="F402">
        <f>MIN(1,E402/(Setup!$B$3*0.1))</f>
        <v>0</v>
      </c>
      <c r="G402">
        <f t="shared" si="12"/>
        <v>1</v>
      </c>
    </row>
    <row r="403" spans="1:7" x14ac:dyDescent="0.25">
      <c r="A403">
        <v>145</v>
      </c>
      <c r="B403">
        <f>SUMIFS('Draft Board'!$AT$2:$AT$193,'Draft Board'!$AM$2:$AM$193,A403,'Draft Board'!$AT$2:$AT$193,"&lt;&gt;")</f>
        <v>0</v>
      </c>
      <c r="C403">
        <f>SUMIFS('Draft Board'!$AS$2:$AS$193,'Draft Board'!$AM$2:$AM$193,A403,'Draft Board'!$AT$2:$AT$193,"&lt;&gt;")</f>
        <v>0</v>
      </c>
      <c r="D403">
        <f>COUNTIFS('Draft Board'!$AM$2:$AM$193,A403,'Draft Board'!$AT$2:$AT$193,"&lt;&gt;")</f>
        <v>0</v>
      </c>
      <c r="E403">
        <f>IFERROR(AVERAGEIFS('Draft Board'!$AS$2:$AS$193,'Draft Board'!$AM$2:$AM$193,A403),0)</f>
        <v>0</v>
      </c>
      <c r="F403">
        <f>MIN(1,E403/(Setup!$B$3*0.1))</f>
        <v>0</v>
      </c>
      <c r="G403">
        <f t="shared" si="12"/>
        <v>1</v>
      </c>
    </row>
    <row r="404" spans="1:7" x14ac:dyDescent="0.25">
      <c r="A404">
        <v>146</v>
      </c>
      <c r="B404">
        <f>SUMIFS('Draft Board'!$AT$2:$AT$193,'Draft Board'!$AM$2:$AM$193,A404,'Draft Board'!$AT$2:$AT$193,"&lt;&gt;")</f>
        <v>0</v>
      </c>
      <c r="C404">
        <f>SUMIFS('Draft Board'!$AS$2:$AS$193,'Draft Board'!$AM$2:$AM$193,A404,'Draft Board'!$AT$2:$AT$193,"&lt;&gt;")</f>
        <v>0</v>
      </c>
      <c r="D404">
        <f>COUNTIFS('Draft Board'!$AM$2:$AM$193,A404,'Draft Board'!$AT$2:$AT$193,"&lt;&gt;")</f>
        <v>0</v>
      </c>
      <c r="E404">
        <f>IFERROR(AVERAGEIFS('Draft Board'!$AS$2:$AS$193,'Draft Board'!$AM$2:$AM$193,A404),0)</f>
        <v>0</v>
      </c>
      <c r="F404">
        <f>MIN(1,E404/(Setup!$B$3*0.1))</f>
        <v>0</v>
      </c>
      <c r="G404">
        <f t="shared" si="12"/>
        <v>1</v>
      </c>
    </row>
    <row r="405" spans="1:7" x14ac:dyDescent="0.25">
      <c r="A405">
        <v>147</v>
      </c>
      <c r="B405">
        <f>SUMIFS('Draft Board'!$AT$2:$AT$193,'Draft Board'!$AM$2:$AM$193,A405,'Draft Board'!$AT$2:$AT$193,"&lt;&gt;")</f>
        <v>0</v>
      </c>
      <c r="C405">
        <f>SUMIFS('Draft Board'!$AS$2:$AS$193,'Draft Board'!$AM$2:$AM$193,A405,'Draft Board'!$AT$2:$AT$193,"&lt;&gt;")</f>
        <v>0</v>
      </c>
      <c r="D405">
        <f>COUNTIFS('Draft Board'!$AM$2:$AM$193,A405,'Draft Board'!$AT$2:$AT$193,"&lt;&gt;")</f>
        <v>0</v>
      </c>
      <c r="E405">
        <f>IFERROR(AVERAGEIFS('Draft Board'!$AS$2:$AS$193,'Draft Board'!$AM$2:$AM$193,A405),0)</f>
        <v>0</v>
      </c>
      <c r="F405">
        <f>MIN(1,E405/(Setup!$B$3*0.1))</f>
        <v>0</v>
      </c>
      <c r="G405">
        <f t="shared" si="12"/>
        <v>1</v>
      </c>
    </row>
    <row r="406" spans="1:7" x14ac:dyDescent="0.25">
      <c r="A406">
        <v>148</v>
      </c>
      <c r="B406">
        <f>SUMIFS('Draft Board'!$AT$2:$AT$193,'Draft Board'!$AM$2:$AM$193,A406,'Draft Board'!$AT$2:$AT$193,"&lt;&gt;")</f>
        <v>0</v>
      </c>
      <c r="C406">
        <f>SUMIFS('Draft Board'!$AS$2:$AS$193,'Draft Board'!$AM$2:$AM$193,A406,'Draft Board'!$AT$2:$AT$193,"&lt;&gt;")</f>
        <v>0</v>
      </c>
      <c r="D406">
        <f>COUNTIFS('Draft Board'!$AM$2:$AM$193,A406,'Draft Board'!$AT$2:$AT$193,"&lt;&gt;")</f>
        <v>0</v>
      </c>
      <c r="E406">
        <f>IFERROR(AVERAGEIFS('Draft Board'!$AS$2:$AS$193,'Draft Board'!$AM$2:$AM$193,A406),0)</f>
        <v>0</v>
      </c>
      <c r="F406">
        <f>MIN(1,E406/(Setup!$B$3*0.1))</f>
        <v>0</v>
      </c>
      <c r="G406">
        <f t="shared" si="12"/>
        <v>1</v>
      </c>
    </row>
    <row r="407" spans="1:7" x14ac:dyDescent="0.25">
      <c r="A407">
        <v>149</v>
      </c>
      <c r="B407">
        <f>SUMIFS('Draft Board'!$AT$2:$AT$193,'Draft Board'!$AM$2:$AM$193,A407,'Draft Board'!$AT$2:$AT$193,"&lt;&gt;")</f>
        <v>0</v>
      </c>
      <c r="C407">
        <f>SUMIFS('Draft Board'!$AS$2:$AS$193,'Draft Board'!$AM$2:$AM$193,A407,'Draft Board'!$AT$2:$AT$193,"&lt;&gt;")</f>
        <v>0</v>
      </c>
      <c r="D407">
        <f>COUNTIFS('Draft Board'!$AM$2:$AM$193,A407,'Draft Board'!$AT$2:$AT$193,"&lt;&gt;")</f>
        <v>0</v>
      </c>
      <c r="E407">
        <f>IFERROR(AVERAGEIFS('Draft Board'!$AS$2:$AS$193,'Draft Board'!$AM$2:$AM$193,A407),0)</f>
        <v>0</v>
      </c>
      <c r="F407">
        <f>MIN(1,E407/(Setup!$B$3*0.1))</f>
        <v>0</v>
      </c>
      <c r="G407">
        <f t="shared" si="12"/>
        <v>1</v>
      </c>
    </row>
    <row r="408" spans="1:7" x14ac:dyDescent="0.25">
      <c r="A408">
        <v>150</v>
      </c>
      <c r="B408">
        <f>SUMIFS('Draft Board'!$AT$2:$AT$193,'Draft Board'!$AM$2:$AM$193,A408,'Draft Board'!$AT$2:$AT$193,"&lt;&gt;")</f>
        <v>0</v>
      </c>
      <c r="C408">
        <f>SUMIFS('Draft Board'!$AS$2:$AS$193,'Draft Board'!$AM$2:$AM$193,A408,'Draft Board'!$AT$2:$AT$193,"&lt;&gt;")</f>
        <v>0</v>
      </c>
      <c r="D408">
        <f>COUNTIFS('Draft Board'!$AM$2:$AM$193,A408,'Draft Board'!$AT$2:$AT$193,"&lt;&gt;")</f>
        <v>0</v>
      </c>
      <c r="E408">
        <f>IFERROR(AVERAGEIFS('Draft Board'!$AS$2:$AS$193,'Draft Board'!$AM$2:$AM$193,A408),0)</f>
        <v>0</v>
      </c>
      <c r="F408">
        <f>MIN(1,E408/(Setup!$B$3*0.1))</f>
        <v>0</v>
      </c>
      <c r="G408">
        <f t="shared" si="12"/>
        <v>1</v>
      </c>
    </row>
    <row r="409" spans="1:7" x14ac:dyDescent="0.25">
      <c r="A409">
        <v>151</v>
      </c>
      <c r="B409">
        <f>SUMIFS('Draft Board'!$AT$2:$AT$193,'Draft Board'!$AM$2:$AM$193,A409,'Draft Board'!$AT$2:$AT$193,"&lt;&gt;")</f>
        <v>0</v>
      </c>
      <c r="C409">
        <f>SUMIFS('Draft Board'!$AS$2:$AS$193,'Draft Board'!$AM$2:$AM$193,A409,'Draft Board'!$AT$2:$AT$193,"&lt;&gt;")</f>
        <v>0</v>
      </c>
      <c r="D409">
        <f>COUNTIFS('Draft Board'!$AM$2:$AM$193,A409,'Draft Board'!$AT$2:$AT$193,"&lt;&gt;")</f>
        <v>0</v>
      </c>
      <c r="E409">
        <f>IFERROR(AVERAGEIFS('Draft Board'!$AS$2:$AS$193,'Draft Board'!$AM$2:$AM$193,A409),0)</f>
        <v>0</v>
      </c>
      <c r="F409">
        <f>MIN(1,E409/(Setup!$B$3*0.1))</f>
        <v>0</v>
      </c>
      <c r="G409">
        <f t="shared" si="12"/>
        <v>1</v>
      </c>
    </row>
    <row r="410" spans="1:7" x14ac:dyDescent="0.25">
      <c r="A410">
        <v>152</v>
      </c>
      <c r="B410">
        <f>SUMIFS('Draft Board'!$AT$2:$AT$193,'Draft Board'!$AM$2:$AM$193,A410,'Draft Board'!$AT$2:$AT$193,"&lt;&gt;")</f>
        <v>0</v>
      </c>
      <c r="C410">
        <f>SUMIFS('Draft Board'!$AS$2:$AS$193,'Draft Board'!$AM$2:$AM$193,A410,'Draft Board'!$AT$2:$AT$193,"&lt;&gt;")</f>
        <v>0</v>
      </c>
      <c r="D410">
        <f>COUNTIFS('Draft Board'!$AM$2:$AM$193,A410,'Draft Board'!$AT$2:$AT$193,"&lt;&gt;")</f>
        <v>0</v>
      </c>
      <c r="E410">
        <f>IFERROR(AVERAGEIFS('Draft Board'!$AS$2:$AS$193,'Draft Board'!$AM$2:$AM$193,A410),0)</f>
        <v>0</v>
      </c>
      <c r="F410">
        <f>MIN(1,E410/(Setup!$B$3*0.1))</f>
        <v>0</v>
      </c>
      <c r="G410">
        <f t="shared" si="12"/>
        <v>1</v>
      </c>
    </row>
    <row r="411" spans="1:7" x14ac:dyDescent="0.25">
      <c r="A411">
        <v>153</v>
      </c>
      <c r="B411">
        <f>SUMIFS('Draft Board'!$AT$2:$AT$193,'Draft Board'!$AM$2:$AM$193,A411,'Draft Board'!$AT$2:$AT$193,"&lt;&gt;")</f>
        <v>0</v>
      </c>
      <c r="C411">
        <f>SUMIFS('Draft Board'!$AS$2:$AS$193,'Draft Board'!$AM$2:$AM$193,A411,'Draft Board'!$AT$2:$AT$193,"&lt;&gt;")</f>
        <v>0</v>
      </c>
      <c r="D411">
        <f>COUNTIFS('Draft Board'!$AM$2:$AM$193,A411,'Draft Board'!$AT$2:$AT$193,"&lt;&gt;")</f>
        <v>0</v>
      </c>
      <c r="E411">
        <f>IFERROR(AVERAGEIFS('Draft Board'!$AS$2:$AS$193,'Draft Board'!$AM$2:$AM$193,A411),0)</f>
        <v>0</v>
      </c>
      <c r="F411">
        <f>MIN(1,E411/(Setup!$B$3*0.1))</f>
        <v>0</v>
      </c>
      <c r="G411">
        <f t="shared" si="12"/>
        <v>1</v>
      </c>
    </row>
    <row r="412" spans="1:7" x14ac:dyDescent="0.25">
      <c r="A412">
        <v>154</v>
      </c>
      <c r="B412">
        <f>SUMIFS('Draft Board'!$AT$2:$AT$193,'Draft Board'!$AM$2:$AM$193,A412,'Draft Board'!$AT$2:$AT$193,"&lt;&gt;")</f>
        <v>0</v>
      </c>
      <c r="C412">
        <f>SUMIFS('Draft Board'!$AS$2:$AS$193,'Draft Board'!$AM$2:$AM$193,A412,'Draft Board'!$AT$2:$AT$193,"&lt;&gt;")</f>
        <v>0</v>
      </c>
      <c r="D412">
        <f>COUNTIFS('Draft Board'!$AM$2:$AM$193,A412,'Draft Board'!$AT$2:$AT$193,"&lt;&gt;")</f>
        <v>0</v>
      </c>
      <c r="E412">
        <f>IFERROR(AVERAGEIFS('Draft Board'!$AS$2:$AS$193,'Draft Board'!$AM$2:$AM$193,A412),0)</f>
        <v>0</v>
      </c>
      <c r="F412">
        <f>MIN(1,E412/(Setup!$B$3*0.1))</f>
        <v>0</v>
      </c>
      <c r="G412">
        <f t="shared" si="12"/>
        <v>1</v>
      </c>
    </row>
    <row r="413" spans="1:7" x14ac:dyDescent="0.25">
      <c r="A413">
        <v>155</v>
      </c>
      <c r="B413">
        <f>SUMIFS('Draft Board'!$AT$2:$AT$193,'Draft Board'!$AM$2:$AM$193,A413,'Draft Board'!$AT$2:$AT$193,"&lt;&gt;")</f>
        <v>0</v>
      </c>
      <c r="C413">
        <f>SUMIFS('Draft Board'!$AS$2:$AS$193,'Draft Board'!$AM$2:$AM$193,A413,'Draft Board'!$AT$2:$AT$193,"&lt;&gt;")</f>
        <v>0</v>
      </c>
      <c r="D413">
        <f>COUNTIFS('Draft Board'!$AM$2:$AM$193,A413,'Draft Board'!$AT$2:$AT$193,"&lt;&gt;")</f>
        <v>0</v>
      </c>
      <c r="E413">
        <f>IFERROR(AVERAGEIFS('Draft Board'!$AS$2:$AS$193,'Draft Board'!$AM$2:$AM$193,A413),0)</f>
        <v>0</v>
      </c>
      <c r="F413">
        <f>MIN(1,E413/(Setup!$B$3*0.1))</f>
        <v>0</v>
      </c>
      <c r="G413">
        <f t="shared" si="12"/>
        <v>1</v>
      </c>
    </row>
    <row r="414" spans="1:7" x14ac:dyDescent="0.25">
      <c r="A414">
        <v>156</v>
      </c>
      <c r="B414">
        <f>SUMIFS('Draft Board'!$AT$2:$AT$193,'Draft Board'!$AM$2:$AM$193,A414,'Draft Board'!$AT$2:$AT$193,"&lt;&gt;")</f>
        <v>0</v>
      </c>
      <c r="C414">
        <f>SUMIFS('Draft Board'!$AS$2:$AS$193,'Draft Board'!$AM$2:$AM$193,A414,'Draft Board'!$AT$2:$AT$193,"&lt;&gt;")</f>
        <v>0</v>
      </c>
      <c r="D414">
        <f>COUNTIFS('Draft Board'!$AM$2:$AM$193,A414,'Draft Board'!$AT$2:$AT$193,"&lt;&gt;")</f>
        <v>0</v>
      </c>
      <c r="E414">
        <f>IFERROR(AVERAGEIFS('Draft Board'!$AS$2:$AS$193,'Draft Board'!$AM$2:$AM$193,A414),0)</f>
        <v>0</v>
      </c>
      <c r="F414">
        <f>MIN(1,E414/(Setup!$B$3*0.1))</f>
        <v>0</v>
      </c>
      <c r="G414">
        <f t="shared" si="12"/>
        <v>1</v>
      </c>
    </row>
    <row r="415" spans="1:7" x14ac:dyDescent="0.25">
      <c r="A415">
        <v>157</v>
      </c>
      <c r="B415">
        <f>SUMIFS('Draft Board'!$AT$2:$AT$193,'Draft Board'!$AM$2:$AM$193,A415,'Draft Board'!$AT$2:$AT$193,"&lt;&gt;")</f>
        <v>0</v>
      </c>
      <c r="C415">
        <f>SUMIFS('Draft Board'!$AS$2:$AS$193,'Draft Board'!$AM$2:$AM$193,A415,'Draft Board'!$AT$2:$AT$193,"&lt;&gt;")</f>
        <v>0</v>
      </c>
      <c r="D415">
        <f>COUNTIFS('Draft Board'!$AM$2:$AM$193,A415,'Draft Board'!$AT$2:$AT$193,"&lt;&gt;")</f>
        <v>0</v>
      </c>
      <c r="E415">
        <f>IFERROR(AVERAGEIFS('Draft Board'!$AS$2:$AS$193,'Draft Board'!$AM$2:$AM$193,A415),0)</f>
        <v>0</v>
      </c>
      <c r="F415">
        <f>MIN(1,E415/(Setup!$B$3*0.1))</f>
        <v>0</v>
      </c>
      <c r="G415">
        <f t="shared" si="12"/>
        <v>1</v>
      </c>
    </row>
    <row r="416" spans="1:7" x14ac:dyDescent="0.25">
      <c r="A416">
        <v>158</v>
      </c>
      <c r="B416">
        <f>SUMIFS('Draft Board'!$AT$2:$AT$193,'Draft Board'!$AM$2:$AM$193,A416,'Draft Board'!$AT$2:$AT$193,"&lt;&gt;")</f>
        <v>0</v>
      </c>
      <c r="C416">
        <f>SUMIFS('Draft Board'!$AS$2:$AS$193,'Draft Board'!$AM$2:$AM$193,A416,'Draft Board'!$AT$2:$AT$193,"&lt;&gt;")</f>
        <v>0</v>
      </c>
      <c r="D416">
        <f>COUNTIFS('Draft Board'!$AM$2:$AM$193,A416,'Draft Board'!$AT$2:$AT$193,"&lt;&gt;")</f>
        <v>0</v>
      </c>
      <c r="E416">
        <f>IFERROR(AVERAGEIFS('Draft Board'!$AS$2:$AS$193,'Draft Board'!$AM$2:$AM$193,A416),0)</f>
        <v>0</v>
      </c>
      <c r="F416">
        <f>MIN(1,E416/(Setup!$B$3*0.1))</f>
        <v>0</v>
      </c>
      <c r="G416">
        <f t="shared" si="12"/>
        <v>1</v>
      </c>
    </row>
    <row r="417" spans="1:7" x14ac:dyDescent="0.25">
      <c r="A417">
        <v>159</v>
      </c>
      <c r="B417">
        <f>SUMIFS('Draft Board'!$AT$2:$AT$193,'Draft Board'!$AM$2:$AM$193,A417,'Draft Board'!$AT$2:$AT$193,"&lt;&gt;")</f>
        <v>0</v>
      </c>
      <c r="C417">
        <f>SUMIFS('Draft Board'!$AS$2:$AS$193,'Draft Board'!$AM$2:$AM$193,A417,'Draft Board'!$AT$2:$AT$193,"&lt;&gt;")</f>
        <v>0</v>
      </c>
      <c r="D417">
        <f>COUNTIFS('Draft Board'!$AM$2:$AM$193,A417,'Draft Board'!$AT$2:$AT$193,"&lt;&gt;")</f>
        <v>0</v>
      </c>
      <c r="E417">
        <f>IFERROR(AVERAGEIFS('Draft Board'!$AS$2:$AS$193,'Draft Board'!$AM$2:$AM$193,A417),0)</f>
        <v>0</v>
      </c>
      <c r="F417">
        <f>MIN(1,E417/(Setup!$B$3*0.1))</f>
        <v>0</v>
      </c>
      <c r="G417">
        <f t="shared" si="12"/>
        <v>1</v>
      </c>
    </row>
    <row r="418" spans="1:7" x14ac:dyDescent="0.25">
      <c r="A418">
        <v>160</v>
      </c>
      <c r="B418">
        <f>SUMIFS('Draft Board'!$AT$2:$AT$193,'Draft Board'!$AM$2:$AM$193,A418,'Draft Board'!$AT$2:$AT$193,"&lt;&gt;")</f>
        <v>0</v>
      </c>
      <c r="C418">
        <f>SUMIFS('Draft Board'!$AS$2:$AS$193,'Draft Board'!$AM$2:$AM$193,A418,'Draft Board'!$AT$2:$AT$193,"&lt;&gt;")</f>
        <v>0</v>
      </c>
      <c r="D418">
        <f>COUNTIFS('Draft Board'!$AM$2:$AM$193,A418,'Draft Board'!$AT$2:$AT$193,"&lt;&gt;")</f>
        <v>0</v>
      </c>
      <c r="E418">
        <f>IFERROR(AVERAGEIFS('Draft Board'!$AS$2:$AS$193,'Draft Board'!$AM$2:$AM$193,A418),0)</f>
        <v>0</v>
      </c>
      <c r="F418">
        <f>MIN(1,E418/(Setup!$B$3*0.1))</f>
        <v>0</v>
      </c>
      <c r="G418">
        <f t="shared" si="12"/>
        <v>1</v>
      </c>
    </row>
    <row r="419" spans="1:7" x14ac:dyDescent="0.25">
      <c r="A419">
        <v>161</v>
      </c>
      <c r="B419">
        <f>SUMIFS('Draft Board'!$AT$2:$AT$193,'Draft Board'!$AM$2:$AM$193,A419,'Draft Board'!$AT$2:$AT$193,"&lt;&gt;")</f>
        <v>0</v>
      </c>
      <c r="C419">
        <f>SUMIFS('Draft Board'!$AS$2:$AS$193,'Draft Board'!$AM$2:$AM$193,A419,'Draft Board'!$AT$2:$AT$193,"&lt;&gt;")</f>
        <v>0</v>
      </c>
      <c r="D419">
        <f>COUNTIFS('Draft Board'!$AM$2:$AM$193,A419,'Draft Board'!$AT$2:$AT$193,"&lt;&gt;")</f>
        <v>0</v>
      </c>
      <c r="E419">
        <f>IFERROR(AVERAGEIFS('Draft Board'!$AS$2:$AS$193,'Draft Board'!$AM$2:$AM$193,A419),0)</f>
        <v>0</v>
      </c>
      <c r="F419">
        <f>MIN(1,E419/(Setup!$B$3*0.1))</f>
        <v>0</v>
      </c>
      <c r="G419">
        <f t="shared" ref="G419:G450" si="13">IF(D419&lt;2,1,MEDIAN(0.5,2,1+(IFERROR(B419/C419,1)-1)*F419))</f>
        <v>1</v>
      </c>
    </row>
    <row r="420" spans="1:7" x14ac:dyDescent="0.25">
      <c r="A420">
        <v>162</v>
      </c>
      <c r="B420">
        <f>SUMIFS('Draft Board'!$AT$2:$AT$193,'Draft Board'!$AM$2:$AM$193,A420,'Draft Board'!$AT$2:$AT$193,"&lt;&gt;")</f>
        <v>0</v>
      </c>
      <c r="C420">
        <f>SUMIFS('Draft Board'!$AS$2:$AS$193,'Draft Board'!$AM$2:$AM$193,A420,'Draft Board'!$AT$2:$AT$193,"&lt;&gt;")</f>
        <v>0</v>
      </c>
      <c r="D420">
        <f>COUNTIFS('Draft Board'!$AM$2:$AM$193,A420,'Draft Board'!$AT$2:$AT$193,"&lt;&gt;")</f>
        <v>0</v>
      </c>
      <c r="E420">
        <f>IFERROR(AVERAGEIFS('Draft Board'!$AS$2:$AS$193,'Draft Board'!$AM$2:$AM$193,A420),0)</f>
        <v>0</v>
      </c>
      <c r="F420">
        <f>MIN(1,E420/(Setup!$B$3*0.1))</f>
        <v>0</v>
      </c>
      <c r="G420">
        <f t="shared" si="13"/>
        <v>1</v>
      </c>
    </row>
    <row r="421" spans="1:7" x14ac:dyDescent="0.25">
      <c r="A421">
        <v>163</v>
      </c>
      <c r="B421">
        <f>SUMIFS('Draft Board'!$AT$2:$AT$193,'Draft Board'!$AM$2:$AM$193,A421,'Draft Board'!$AT$2:$AT$193,"&lt;&gt;")</f>
        <v>0</v>
      </c>
      <c r="C421">
        <f>SUMIFS('Draft Board'!$AS$2:$AS$193,'Draft Board'!$AM$2:$AM$193,A421,'Draft Board'!$AT$2:$AT$193,"&lt;&gt;")</f>
        <v>0</v>
      </c>
      <c r="D421">
        <f>COUNTIFS('Draft Board'!$AM$2:$AM$193,A421,'Draft Board'!$AT$2:$AT$193,"&lt;&gt;")</f>
        <v>0</v>
      </c>
      <c r="E421">
        <f>IFERROR(AVERAGEIFS('Draft Board'!$AS$2:$AS$193,'Draft Board'!$AM$2:$AM$193,A421),0)</f>
        <v>0</v>
      </c>
      <c r="F421">
        <f>MIN(1,E421/(Setup!$B$3*0.1))</f>
        <v>0</v>
      </c>
      <c r="G421">
        <f t="shared" si="13"/>
        <v>1</v>
      </c>
    </row>
    <row r="422" spans="1:7" x14ac:dyDescent="0.25">
      <c r="A422">
        <v>164</v>
      </c>
      <c r="B422">
        <f>SUMIFS('Draft Board'!$AT$2:$AT$193,'Draft Board'!$AM$2:$AM$193,A422,'Draft Board'!$AT$2:$AT$193,"&lt;&gt;")</f>
        <v>0</v>
      </c>
      <c r="C422">
        <f>SUMIFS('Draft Board'!$AS$2:$AS$193,'Draft Board'!$AM$2:$AM$193,A422,'Draft Board'!$AT$2:$AT$193,"&lt;&gt;")</f>
        <v>0</v>
      </c>
      <c r="D422">
        <f>COUNTIFS('Draft Board'!$AM$2:$AM$193,A422,'Draft Board'!$AT$2:$AT$193,"&lt;&gt;")</f>
        <v>0</v>
      </c>
      <c r="E422">
        <f>IFERROR(AVERAGEIFS('Draft Board'!$AS$2:$AS$193,'Draft Board'!$AM$2:$AM$193,A422),0)</f>
        <v>0</v>
      </c>
      <c r="F422">
        <f>MIN(1,E422/(Setup!$B$3*0.1))</f>
        <v>0</v>
      </c>
      <c r="G422">
        <f t="shared" si="13"/>
        <v>1</v>
      </c>
    </row>
    <row r="423" spans="1:7" x14ac:dyDescent="0.25">
      <c r="A423">
        <v>165</v>
      </c>
      <c r="B423">
        <f>SUMIFS('Draft Board'!$AT$2:$AT$193,'Draft Board'!$AM$2:$AM$193,A423,'Draft Board'!$AT$2:$AT$193,"&lt;&gt;")</f>
        <v>0</v>
      </c>
      <c r="C423">
        <f>SUMIFS('Draft Board'!$AS$2:$AS$193,'Draft Board'!$AM$2:$AM$193,A423,'Draft Board'!$AT$2:$AT$193,"&lt;&gt;")</f>
        <v>0</v>
      </c>
      <c r="D423">
        <f>COUNTIFS('Draft Board'!$AM$2:$AM$193,A423,'Draft Board'!$AT$2:$AT$193,"&lt;&gt;")</f>
        <v>0</v>
      </c>
      <c r="E423">
        <f>IFERROR(AVERAGEIFS('Draft Board'!$AS$2:$AS$193,'Draft Board'!$AM$2:$AM$193,A423),0)</f>
        <v>0</v>
      </c>
      <c r="F423">
        <f>MIN(1,E423/(Setup!$B$3*0.1))</f>
        <v>0</v>
      </c>
      <c r="G423">
        <f t="shared" si="13"/>
        <v>1</v>
      </c>
    </row>
    <row r="424" spans="1:7" x14ac:dyDescent="0.25">
      <c r="A424">
        <v>166</v>
      </c>
      <c r="B424">
        <f>SUMIFS('Draft Board'!$AT$2:$AT$193,'Draft Board'!$AM$2:$AM$193,A424,'Draft Board'!$AT$2:$AT$193,"&lt;&gt;")</f>
        <v>0</v>
      </c>
      <c r="C424">
        <f>SUMIFS('Draft Board'!$AS$2:$AS$193,'Draft Board'!$AM$2:$AM$193,A424,'Draft Board'!$AT$2:$AT$193,"&lt;&gt;")</f>
        <v>0</v>
      </c>
      <c r="D424">
        <f>COUNTIFS('Draft Board'!$AM$2:$AM$193,A424,'Draft Board'!$AT$2:$AT$193,"&lt;&gt;")</f>
        <v>0</v>
      </c>
      <c r="E424">
        <f>IFERROR(AVERAGEIFS('Draft Board'!$AS$2:$AS$193,'Draft Board'!$AM$2:$AM$193,A424),0)</f>
        <v>0</v>
      </c>
      <c r="F424">
        <f>MIN(1,E424/(Setup!$B$3*0.1))</f>
        <v>0</v>
      </c>
      <c r="G424">
        <f t="shared" si="13"/>
        <v>1</v>
      </c>
    </row>
    <row r="425" spans="1:7" x14ac:dyDescent="0.25">
      <c r="A425">
        <v>167</v>
      </c>
      <c r="B425">
        <f>SUMIFS('Draft Board'!$AT$2:$AT$193,'Draft Board'!$AM$2:$AM$193,A425,'Draft Board'!$AT$2:$AT$193,"&lt;&gt;")</f>
        <v>0</v>
      </c>
      <c r="C425">
        <f>SUMIFS('Draft Board'!$AS$2:$AS$193,'Draft Board'!$AM$2:$AM$193,A425,'Draft Board'!$AT$2:$AT$193,"&lt;&gt;")</f>
        <v>0</v>
      </c>
      <c r="D425">
        <f>COUNTIFS('Draft Board'!$AM$2:$AM$193,A425,'Draft Board'!$AT$2:$AT$193,"&lt;&gt;")</f>
        <v>0</v>
      </c>
      <c r="E425">
        <f>IFERROR(AVERAGEIFS('Draft Board'!$AS$2:$AS$193,'Draft Board'!$AM$2:$AM$193,A425),0)</f>
        <v>0</v>
      </c>
      <c r="F425">
        <f>MIN(1,E425/(Setup!$B$3*0.1))</f>
        <v>0</v>
      </c>
      <c r="G425">
        <f t="shared" si="13"/>
        <v>1</v>
      </c>
    </row>
    <row r="426" spans="1:7" x14ac:dyDescent="0.25">
      <c r="A426">
        <v>168</v>
      </c>
      <c r="B426">
        <f>SUMIFS('Draft Board'!$AT$2:$AT$193,'Draft Board'!$AM$2:$AM$193,A426,'Draft Board'!$AT$2:$AT$193,"&lt;&gt;")</f>
        <v>0</v>
      </c>
      <c r="C426">
        <f>SUMIFS('Draft Board'!$AS$2:$AS$193,'Draft Board'!$AM$2:$AM$193,A426,'Draft Board'!$AT$2:$AT$193,"&lt;&gt;")</f>
        <v>0</v>
      </c>
      <c r="D426">
        <f>COUNTIFS('Draft Board'!$AM$2:$AM$193,A426,'Draft Board'!$AT$2:$AT$193,"&lt;&gt;")</f>
        <v>0</v>
      </c>
      <c r="E426">
        <f>IFERROR(AVERAGEIFS('Draft Board'!$AS$2:$AS$193,'Draft Board'!$AM$2:$AM$193,A426),0)</f>
        <v>0</v>
      </c>
      <c r="F426">
        <f>MIN(1,E426/(Setup!$B$3*0.1))</f>
        <v>0</v>
      </c>
      <c r="G426">
        <f t="shared" si="13"/>
        <v>1</v>
      </c>
    </row>
    <row r="427" spans="1:7" x14ac:dyDescent="0.25">
      <c r="A427">
        <v>169</v>
      </c>
      <c r="B427">
        <f>SUMIFS('Draft Board'!$AT$2:$AT$193,'Draft Board'!$AM$2:$AM$193,A427,'Draft Board'!$AT$2:$AT$193,"&lt;&gt;")</f>
        <v>0</v>
      </c>
      <c r="C427">
        <f>SUMIFS('Draft Board'!$AS$2:$AS$193,'Draft Board'!$AM$2:$AM$193,A427,'Draft Board'!$AT$2:$AT$193,"&lt;&gt;")</f>
        <v>0</v>
      </c>
      <c r="D427">
        <f>COUNTIFS('Draft Board'!$AM$2:$AM$193,A427,'Draft Board'!$AT$2:$AT$193,"&lt;&gt;")</f>
        <v>0</v>
      </c>
      <c r="E427">
        <f>IFERROR(AVERAGEIFS('Draft Board'!$AS$2:$AS$193,'Draft Board'!$AM$2:$AM$193,A427),0)</f>
        <v>0</v>
      </c>
      <c r="F427">
        <f>MIN(1,E427/(Setup!$B$3*0.1))</f>
        <v>0</v>
      </c>
      <c r="G427">
        <f t="shared" si="13"/>
        <v>1</v>
      </c>
    </row>
    <row r="428" spans="1:7" x14ac:dyDescent="0.25">
      <c r="A428">
        <v>170</v>
      </c>
      <c r="B428">
        <f>SUMIFS('Draft Board'!$AT$2:$AT$193,'Draft Board'!$AM$2:$AM$193,A428,'Draft Board'!$AT$2:$AT$193,"&lt;&gt;")</f>
        <v>0</v>
      </c>
      <c r="C428">
        <f>SUMIFS('Draft Board'!$AS$2:$AS$193,'Draft Board'!$AM$2:$AM$193,A428,'Draft Board'!$AT$2:$AT$193,"&lt;&gt;")</f>
        <v>0</v>
      </c>
      <c r="D428">
        <f>COUNTIFS('Draft Board'!$AM$2:$AM$193,A428,'Draft Board'!$AT$2:$AT$193,"&lt;&gt;")</f>
        <v>0</v>
      </c>
      <c r="E428">
        <f>IFERROR(AVERAGEIFS('Draft Board'!$AS$2:$AS$193,'Draft Board'!$AM$2:$AM$193,A428),0)</f>
        <v>0</v>
      </c>
      <c r="F428">
        <f>MIN(1,E428/(Setup!$B$3*0.1))</f>
        <v>0</v>
      </c>
      <c r="G428">
        <f t="shared" si="13"/>
        <v>1</v>
      </c>
    </row>
    <row r="429" spans="1:7" x14ac:dyDescent="0.25">
      <c r="A429">
        <v>171</v>
      </c>
      <c r="B429">
        <f>SUMIFS('Draft Board'!$AT$2:$AT$193,'Draft Board'!$AM$2:$AM$193,A429,'Draft Board'!$AT$2:$AT$193,"&lt;&gt;")</f>
        <v>0</v>
      </c>
      <c r="C429">
        <f>SUMIFS('Draft Board'!$AS$2:$AS$193,'Draft Board'!$AM$2:$AM$193,A429,'Draft Board'!$AT$2:$AT$193,"&lt;&gt;")</f>
        <v>0</v>
      </c>
      <c r="D429">
        <f>COUNTIFS('Draft Board'!$AM$2:$AM$193,A429,'Draft Board'!$AT$2:$AT$193,"&lt;&gt;")</f>
        <v>0</v>
      </c>
      <c r="E429">
        <f>IFERROR(AVERAGEIFS('Draft Board'!$AS$2:$AS$193,'Draft Board'!$AM$2:$AM$193,A429),0)</f>
        <v>0</v>
      </c>
      <c r="F429">
        <f>MIN(1,E429/(Setup!$B$3*0.1))</f>
        <v>0</v>
      </c>
      <c r="G429">
        <f t="shared" si="13"/>
        <v>1</v>
      </c>
    </row>
    <row r="430" spans="1:7" x14ac:dyDescent="0.25">
      <c r="A430">
        <v>172</v>
      </c>
      <c r="B430">
        <f>SUMIFS('Draft Board'!$AT$2:$AT$193,'Draft Board'!$AM$2:$AM$193,A430,'Draft Board'!$AT$2:$AT$193,"&lt;&gt;")</f>
        <v>0</v>
      </c>
      <c r="C430">
        <f>SUMIFS('Draft Board'!$AS$2:$AS$193,'Draft Board'!$AM$2:$AM$193,A430,'Draft Board'!$AT$2:$AT$193,"&lt;&gt;")</f>
        <v>0</v>
      </c>
      <c r="D430">
        <f>COUNTIFS('Draft Board'!$AM$2:$AM$193,A430,'Draft Board'!$AT$2:$AT$193,"&lt;&gt;")</f>
        <v>0</v>
      </c>
      <c r="E430">
        <f>IFERROR(AVERAGEIFS('Draft Board'!$AS$2:$AS$193,'Draft Board'!$AM$2:$AM$193,A430),0)</f>
        <v>0</v>
      </c>
      <c r="F430">
        <f>MIN(1,E430/(Setup!$B$3*0.1))</f>
        <v>0</v>
      </c>
      <c r="G430">
        <f t="shared" si="13"/>
        <v>1</v>
      </c>
    </row>
    <row r="431" spans="1:7" x14ac:dyDescent="0.25">
      <c r="A431">
        <v>173</v>
      </c>
      <c r="B431">
        <f>SUMIFS('Draft Board'!$AT$2:$AT$193,'Draft Board'!$AM$2:$AM$193,A431,'Draft Board'!$AT$2:$AT$193,"&lt;&gt;")</f>
        <v>0</v>
      </c>
      <c r="C431">
        <f>SUMIFS('Draft Board'!$AS$2:$AS$193,'Draft Board'!$AM$2:$AM$193,A431,'Draft Board'!$AT$2:$AT$193,"&lt;&gt;")</f>
        <v>0</v>
      </c>
      <c r="D431">
        <f>COUNTIFS('Draft Board'!$AM$2:$AM$193,A431,'Draft Board'!$AT$2:$AT$193,"&lt;&gt;")</f>
        <v>0</v>
      </c>
      <c r="E431">
        <f>IFERROR(AVERAGEIFS('Draft Board'!$AS$2:$AS$193,'Draft Board'!$AM$2:$AM$193,A431),0)</f>
        <v>0</v>
      </c>
      <c r="F431">
        <f>MIN(1,E431/(Setup!$B$3*0.1))</f>
        <v>0</v>
      </c>
      <c r="G431">
        <f t="shared" si="13"/>
        <v>1</v>
      </c>
    </row>
    <row r="432" spans="1:7" x14ac:dyDescent="0.25">
      <c r="A432">
        <v>174</v>
      </c>
      <c r="B432">
        <f>SUMIFS('Draft Board'!$AT$2:$AT$193,'Draft Board'!$AM$2:$AM$193,A432,'Draft Board'!$AT$2:$AT$193,"&lt;&gt;")</f>
        <v>0</v>
      </c>
      <c r="C432">
        <f>SUMIFS('Draft Board'!$AS$2:$AS$193,'Draft Board'!$AM$2:$AM$193,A432,'Draft Board'!$AT$2:$AT$193,"&lt;&gt;")</f>
        <v>0</v>
      </c>
      <c r="D432">
        <f>COUNTIFS('Draft Board'!$AM$2:$AM$193,A432,'Draft Board'!$AT$2:$AT$193,"&lt;&gt;")</f>
        <v>0</v>
      </c>
      <c r="E432">
        <f>IFERROR(AVERAGEIFS('Draft Board'!$AS$2:$AS$193,'Draft Board'!$AM$2:$AM$193,A432),0)</f>
        <v>0</v>
      </c>
      <c r="F432">
        <f>MIN(1,E432/(Setup!$B$3*0.1))</f>
        <v>0</v>
      </c>
      <c r="G432">
        <f t="shared" si="13"/>
        <v>1</v>
      </c>
    </row>
    <row r="433" spans="1:7" x14ac:dyDescent="0.25">
      <c r="A433">
        <v>175</v>
      </c>
      <c r="B433">
        <f>SUMIFS('Draft Board'!$AT$2:$AT$193,'Draft Board'!$AM$2:$AM$193,A433,'Draft Board'!$AT$2:$AT$193,"&lt;&gt;")</f>
        <v>0</v>
      </c>
      <c r="C433">
        <f>SUMIFS('Draft Board'!$AS$2:$AS$193,'Draft Board'!$AM$2:$AM$193,A433,'Draft Board'!$AT$2:$AT$193,"&lt;&gt;")</f>
        <v>0</v>
      </c>
      <c r="D433">
        <f>COUNTIFS('Draft Board'!$AM$2:$AM$193,A433,'Draft Board'!$AT$2:$AT$193,"&lt;&gt;")</f>
        <v>0</v>
      </c>
      <c r="E433">
        <f>IFERROR(AVERAGEIFS('Draft Board'!$AS$2:$AS$193,'Draft Board'!$AM$2:$AM$193,A433),0)</f>
        <v>0</v>
      </c>
      <c r="F433">
        <f>MIN(1,E433/(Setup!$B$3*0.1))</f>
        <v>0</v>
      </c>
      <c r="G433">
        <f t="shared" si="13"/>
        <v>1</v>
      </c>
    </row>
    <row r="434" spans="1:7" x14ac:dyDescent="0.25">
      <c r="A434">
        <v>176</v>
      </c>
      <c r="B434">
        <f>SUMIFS('Draft Board'!$AT$2:$AT$193,'Draft Board'!$AM$2:$AM$193,A434,'Draft Board'!$AT$2:$AT$193,"&lt;&gt;")</f>
        <v>0</v>
      </c>
      <c r="C434">
        <f>SUMIFS('Draft Board'!$AS$2:$AS$193,'Draft Board'!$AM$2:$AM$193,A434,'Draft Board'!$AT$2:$AT$193,"&lt;&gt;")</f>
        <v>0</v>
      </c>
      <c r="D434">
        <f>COUNTIFS('Draft Board'!$AM$2:$AM$193,A434,'Draft Board'!$AT$2:$AT$193,"&lt;&gt;")</f>
        <v>0</v>
      </c>
      <c r="E434">
        <f>IFERROR(AVERAGEIFS('Draft Board'!$AS$2:$AS$193,'Draft Board'!$AM$2:$AM$193,A434),0)</f>
        <v>0</v>
      </c>
      <c r="F434">
        <f>MIN(1,E434/(Setup!$B$3*0.1))</f>
        <v>0</v>
      </c>
      <c r="G434">
        <f t="shared" si="13"/>
        <v>1</v>
      </c>
    </row>
    <row r="435" spans="1:7" x14ac:dyDescent="0.25">
      <c r="A435">
        <v>177</v>
      </c>
      <c r="B435">
        <f>SUMIFS('Draft Board'!$AT$2:$AT$193,'Draft Board'!$AM$2:$AM$193,A435,'Draft Board'!$AT$2:$AT$193,"&lt;&gt;")</f>
        <v>0</v>
      </c>
      <c r="C435">
        <f>SUMIFS('Draft Board'!$AS$2:$AS$193,'Draft Board'!$AM$2:$AM$193,A435,'Draft Board'!$AT$2:$AT$193,"&lt;&gt;")</f>
        <v>0</v>
      </c>
      <c r="D435">
        <f>COUNTIFS('Draft Board'!$AM$2:$AM$193,A435,'Draft Board'!$AT$2:$AT$193,"&lt;&gt;")</f>
        <v>0</v>
      </c>
      <c r="E435">
        <f>IFERROR(AVERAGEIFS('Draft Board'!$AS$2:$AS$193,'Draft Board'!$AM$2:$AM$193,A435),0)</f>
        <v>0</v>
      </c>
      <c r="F435">
        <f>MIN(1,E435/(Setup!$B$3*0.1))</f>
        <v>0</v>
      </c>
      <c r="G435">
        <f t="shared" si="13"/>
        <v>1</v>
      </c>
    </row>
    <row r="436" spans="1:7" x14ac:dyDescent="0.25">
      <c r="A436">
        <v>178</v>
      </c>
      <c r="B436">
        <f>SUMIFS('Draft Board'!$AT$2:$AT$193,'Draft Board'!$AM$2:$AM$193,A436,'Draft Board'!$AT$2:$AT$193,"&lt;&gt;")</f>
        <v>0</v>
      </c>
      <c r="C436">
        <f>SUMIFS('Draft Board'!$AS$2:$AS$193,'Draft Board'!$AM$2:$AM$193,A436,'Draft Board'!$AT$2:$AT$193,"&lt;&gt;")</f>
        <v>0</v>
      </c>
      <c r="D436">
        <f>COUNTIFS('Draft Board'!$AM$2:$AM$193,A436,'Draft Board'!$AT$2:$AT$193,"&lt;&gt;")</f>
        <v>0</v>
      </c>
      <c r="E436">
        <f>IFERROR(AVERAGEIFS('Draft Board'!$AS$2:$AS$193,'Draft Board'!$AM$2:$AM$193,A436),0)</f>
        <v>0</v>
      </c>
      <c r="F436">
        <f>MIN(1,E436/(Setup!$B$3*0.1))</f>
        <v>0</v>
      </c>
      <c r="G436">
        <f t="shared" si="13"/>
        <v>1</v>
      </c>
    </row>
    <row r="437" spans="1:7" x14ac:dyDescent="0.25">
      <c r="A437">
        <v>179</v>
      </c>
      <c r="B437">
        <f>SUMIFS('Draft Board'!$AT$2:$AT$193,'Draft Board'!$AM$2:$AM$193,A437,'Draft Board'!$AT$2:$AT$193,"&lt;&gt;")</f>
        <v>0</v>
      </c>
      <c r="C437">
        <f>SUMIFS('Draft Board'!$AS$2:$AS$193,'Draft Board'!$AM$2:$AM$193,A437,'Draft Board'!$AT$2:$AT$193,"&lt;&gt;")</f>
        <v>0</v>
      </c>
      <c r="D437">
        <f>COUNTIFS('Draft Board'!$AM$2:$AM$193,A437,'Draft Board'!$AT$2:$AT$193,"&lt;&gt;")</f>
        <v>0</v>
      </c>
      <c r="E437">
        <f>IFERROR(AVERAGEIFS('Draft Board'!$AS$2:$AS$193,'Draft Board'!$AM$2:$AM$193,A437),0)</f>
        <v>0</v>
      </c>
      <c r="F437">
        <f>MIN(1,E437/(Setup!$B$3*0.1))</f>
        <v>0</v>
      </c>
      <c r="G437">
        <f t="shared" si="13"/>
        <v>1</v>
      </c>
    </row>
    <row r="438" spans="1:7" x14ac:dyDescent="0.25">
      <c r="A438">
        <v>180</v>
      </c>
      <c r="B438">
        <f>SUMIFS('Draft Board'!$AT$2:$AT$193,'Draft Board'!$AM$2:$AM$193,A438,'Draft Board'!$AT$2:$AT$193,"&lt;&gt;")</f>
        <v>0</v>
      </c>
      <c r="C438">
        <f>SUMIFS('Draft Board'!$AS$2:$AS$193,'Draft Board'!$AM$2:$AM$193,A438,'Draft Board'!$AT$2:$AT$193,"&lt;&gt;")</f>
        <v>0</v>
      </c>
      <c r="D438">
        <f>COUNTIFS('Draft Board'!$AM$2:$AM$193,A438,'Draft Board'!$AT$2:$AT$193,"&lt;&gt;")</f>
        <v>0</v>
      </c>
      <c r="E438">
        <f>IFERROR(AVERAGEIFS('Draft Board'!$AS$2:$AS$193,'Draft Board'!$AM$2:$AM$193,A438),0)</f>
        <v>0</v>
      </c>
      <c r="F438">
        <f>MIN(1,E438/(Setup!$B$3*0.1))</f>
        <v>0</v>
      </c>
      <c r="G438">
        <f t="shared" si="13"/>
        <v>1</v>
      </c>
    </row>
    <row r="439" spans="1:7" x14ac:dyDescent="0.25">
      <c r="A439">
        <v>181</v>
      </c>
      <c r="B439">
        <f>SUMIFS('Draft Board'!$AT$2:$AT$193,'Draft Board'!$AM$2:$AM$193,A439,'Draft Board'!$AT$2:$AT$193,"&lt;&gt;")</f>
        <v>0</v>
      </c>
      <c r="C439">
        <f>SUMIFS('Draft Board'!$AS$2:$AS$193,'Draft Board'!$AM$2:$AM$193,A439,'Draft Board'!$AT$2:$AT$193,"&lt;&gt;")</f>
        <v>0</v>
      </c>
      <c r="D439">
        <f>COUNTIFS('Draft Board'!$AM$2:$AM$193,A439,'Draft Board'!$AT$2:$AT$193,"&lt;&gt;")</f>
        <v>0</v>
      </c>
      <c r="E439">
        <f>IFERROR(AVERAGEIFS('Draft Board'!$AS$2:$AS$193,'Draft Board'!$AM$2:$AM$193,A439),0)</f>
        <v>0</v>
      </c>
      <c r="F439">
        <f>MIN(1,E439/(Setup!$B$3*0.1))</f>
        <v>0</v>
      </c>
      <c r="G439">
        <f t="shared" si="13"/>
        <v>1</v>
      </c>
    </row>
    <row r="440" spans="1:7" x14ac:dyDescent="0.25">
      <c r="A440">
        <v>182</v>
      </c>
      <c r="B440">
        <f>SUMIFS('Draft Board'!$AT$2:$AT$193,'Draft Board'!$AM$2:$AM$193,A440,'Draft Board'!$AT$2:$AT$193,"&lt;&gt;")</f>
        <v>0</v>
      </c>
      <c r="C440">
        <f>SUMIFS('Draft Board'!$AS$2:$AS$193,'Draft Board'!$AM$2:$AM$193,A440,'Draft Board'!$AT$2:$AT$193,"&lt;&gt;")</f>
        <v>0</v>
      </c>
      <c r="D440">
        <f>COUNTIFS('Draft Board'!$AM$2:$AM$193,A440,'Draft Board'!$AT$2:$AT$193,"&lt;&gt;")</f>
        <v>0</v>
      </c>
      <c r="E440">
        <f>IFERROR(AVERAGEIFS('Draft Board'!$AS$2:$AS$193,'Draft Board'!$AM$2:$AM$193,A440),0)</f>
        <v>0</v>
      </c>
      <c r="F440">
        <f>MIN(1,E440/(Setup!$B$3*0.1))</f>
        <v>0</v>
      </c>
      <c r="G440">
        <f t="shared" si="13"/>
        <v>1</v>
      </c>
    </row>
    <row r="441" spans="1:7" x14ac:dyDescent="0.25">
      <c r="A441">
        <v>183</v>
      </c>
      <c r="B441">
        <f>SUMIFS('Draft Board'!$AT$2:$AT$193,'Draft Board'!$AM$2:$AM$193,A441,'Draft Board'!$AT$2:$AT$193,"&lt;&gt;")</f>
        <v>0</v>
      </c>
      <c r="C441">
        <f>SUMIFS('Draft Board'!$AS$2:$AS$193,'Draft Board'!$AM$2:$AM$193,A441,'Draft Board'!$AT$2:$AT$193,"&lt;&gt;")</f>
        <v>0</v>
      </c>
      <c r="D441">
        <f>COUNTIFS('Draft Board'!$AM$2:$AM$193,A441,'Draft Board'!$AT$2:$AT$193,"&lt;&gt;")</f>
        <v>0</v>
      </c>
      <c r="E441">
        <f>IFERROR(AVERAGEIFS('Draft Board'!$AS$2:$AS$193,'Draft Board'!$AM$2:$AM$193,A441),0)</f>
        <v>0</v>
      </c>
      <c r="F441">
        <f>MIN(1,E441/(Setup!$B$3*0.1))</f>
        <v>0</v>
      </c>
      <c r="G441">
        <f t="shared" si="13"/>
        <v>1</v>
      </c>
    </row>
    <row r="442" spans="1:7" x14ac:dyDescent="0.25">
      <c r="A442">
        <v>184</v>
      </c>
      <c r="B442">
        <f>SUMIFS('Draft Board'!$AT$2:$AT$193,'Draft Board'!$AM$2:$AM$193,A442,'Draft Board'!$AT$2:$AT$193,"&lt;&gt;")</f>
        <v>0</v>
      </c>
      <c r="C442">
        <f>SUMIFS('Draft Board'!$AS$2:$AS$193,'Draft Board'!$AM$2:$AM$193,A442,'Draft Board'!$AT$2:$AT$193,"&lt;&gt;")</f>
        <v>0</v>
      </c>
      <c r="D442">
        <f>COUNTIFS('Draft Board'!$AM$2:$AM$193,A442,'Draft Board'!$AT$2:$AT$193,"&lt;&gt;")</f>
        <v>0</v>
      </c>
      <c r="E442">
        <f>IFERROR(AVERAGEIFS('Draft Board'!$AS$2:$AS$193,'Draft Board'!$AM$2:$AM$193,A442),0)</f>
        <v>0</v>
      </c>
      <c r="F442">
        <f>MIN(1,E442/(Setup!$B$3*0.1))</f>
        <v>0</v>
      </c>
      <c r="G442">
        <f t="shared" si="13"/>
        <v>1</v>
      </c>
    </row>
    <row r="443" spans="1:7" x14ac:dyDescent="0.25">
      <c r="A443">
        <v>185</v>
      </c>
      <c r="B443">
        <f>SUMIFS('Draft Board'!$AT$2:$AT$193,'Draft Board'!$AM$2:$AM$193,A443,'Draft Board'!$AT$2:$AT$193,"&lt;&gt;")</f>
        <v>0</v>
      </c>
      <c r="C443">
        <f>SUMIFS('Draft Board'!$AS$2:$AS$193,'Draft Board'!$AM$2:$AM$193,A443,'Draft Board'!$AT$2:$AT$193,"&lt;&gt;")</f>
        <v>0</v>
      </c>
      <c r="D443">
        <f>COUNTIFS('Draft Board'!$AM$2:$AM$193,A443,'Draft Board'!$AT$2:$AT$193,"&lt;&gt;")</f>
        <v>0</v>
      </c>
      <c r="E443">
        <f>IFERROR(AVERAGEIFS('Draft Board'!$AS$2:$AS$193,'Draft Board'!$AM$2:$AM$193,A443),0)</f>
        <v>0</v>
      </c>
      <c r="F443">
        <f>MIN(1,E443/(Setup!$B$3*0.1))</f>
        <v>0</v>
      </c>
      <c r="G443">
        <f t="shared" si="13"/>
        <v>1</v>
      </c>
    </row>
    <row r="444" spans="1:7" x14ac:dyDescent="0.25">
      <c r="A444">
        <v>186</v>
      </c>
      <c r="B444">
        <f>SUMIFS('Draft Board'!$AT$2:$AT$193,'Draft Board'!$AM$2:$AM$193,A444,'Draft Board'!$AT$2:$AT$193,"&lt;&gt;")</f>
        <v>0</v>
      </c>
      <c r="C444">
        <f>SUMIFS('Draft Board'!$AS$2:$AS$193,'Draft Board'!$AM$2:$AM$193,A444,'Draft Board'!$AT$2:$AT$193,"&lt;&gt;")</f>
        <v>0</v>
      </c>
      <c r="D444">
        <f>COUNTIFS('Draft Board'!$AM$2:$AM$193,A444,'Draft Board'!$AT$2:$AT$193,"&lt;&gt;")</f>
        <v>0</v>
      </c>
      <c r="E444">
        <f>IFERROR(AVERAGEIFS('Draft Board'!$AS$2:$AS$193,'Draft Board'!$AM$2:$AM$193,A444),0)</f>
        <v>0</v>
      </c>
      <c r="F444">
        <f>MIN(1,E444/(Setup!$B$3*0.1))</f>
        <v>0</v>
      </c>
      <c r="G444">
        <f t="shared" si="13"/>
        <v>1</v>
      </c>
    </row>
    <row r="445" spans="1:7" x14ac:dyDescent="0.25">
      <c r="A445">
        <v>187</v>
      </c>
      <c r="B445">
        <f>SUMIFS('Draft Board'!$AT$2:$AT$193,'Draft Board'!$AM$2:$AM$193,A445,'Draft Board'!$AT$2:$AT$193,"&lt;&gt;")</f>
        <v>0</v>
      </c>
      <c r="C445">
        <f>SUMIFS('Draft Board'!$AS$2:$AS$193,'Draft Board'!$AM$2:$AM$193,A445,'Draft Board'!$AT$2:$AT$193,"&lt;&gt;")</f>
        <v>0</v>
      </c>
      <c r="D445">
        <f>COUNTIFS('Draft Board'!$AM$2:$AM$193,A445,'Draft Board'!$AT$2:$AT$193,"&lt;&gt;")</f>
        <v>0</v>
      </c>
      <c r="E445">
        <f>IFERROR(AVERAGEIFS('Draft Board'!$AS$2:$AS$193,'Draft Board'!$AM$2:$AM$193,A445),0)</f>
        <v>0</v>
      </c>
      <c r="F445">
        <f>MIN(1,E445/(Setup!$B$3*0.1))</f>
        <v>0</v>
      </c>
      <c r="G445">
        <f t="shared" si="13"/>
        <v>1</v>
      </c>
    </row>
    <row r="446" spans="1:7" x14ac:dyDescent="0.25">
      <c r="A446">
        <v>188</v>
      </c>
      <c r="B446">
        <f>SUMIFS('Draft Board'!$AT$2:$AT$193,'Draft Board'!$AM$2:$AM$193,A446,'Draft Board'!$AT$2:$AT$193,"&lt;&gt;")</f>
        <v>0</v>
      </c>
      <c r="C446">
        <f>SUMIFS('Draft Board'!$AS$2:$AS$193,'Draft Board'!$AM$2:$AM$193,A446,'Draft Board'!$AT$2:$AT$193,"&lt;&gt;")</f>
        <v>0</v>
      </c>
      <c r="D446">
        <f>COUNTIFS('Draft Board'!$AM$2:$AM$193,A446,'Draft Board'!$AT$2:$AT$193,"&lt;&gt;")</f>
        <v>0</v>
      </c>
      <c r="E446">
        <f>IFERROR(AVERAGEIFS('Draft Board'!$AS$2:$AS$193,'Draft Board'!$AM$2:$AM$193,A446),0)</f>
        <v>0</v>
      </c>
      <c r="F446">
        <f>MIN(1,E446/(Setup!$B$3*0.1))</f>
        <v>0</v>
      </c>
      <c r="G446">
        <f t="shared" si="13"/>
        <v>1</v>
      </c>
    </row>
    <row r="447" spans="1:7" x14ac:dyDescent="0.25">
      <c r="A447">
        <v>189</v>
      </c>
      <c r="B447">
        <f>SUMIFS('Draft Board'!$AT$2:$AT$193,'Draft Board'!$AM$2:$AM$193,A447,'Draft Board'!$AT$2:$AT$193,"&lt;&gt;")</f>
        <v>0</v>
      </c>
      <c r="C447">
        <f>SUMIFS('Draft Board'!$AS$2:$AS$193,'Draft Board'!$AM$2:$AM$193,A447,'Draft Board'!$AT$2:$AT$193,"&lt;&gt;")</f>
        <v>0</v>
      </c>
      <c r="D447">
        <f>COUNTIFS('Draft Board'!$AM$2:$AM$193,A447,'Draft Board'!$AT$2:$AT$193,"&lt;&gt;")</f>
        <v>0</v>
      </c>
      <c r="E447">
        <f>IFERROR(AVERAGEIFS('Draft Board'!$AS$2:$AS$193,'Draft Board'!$AM$2:$AM$193,A447),0)</f>
        <v>0</v>
      </c>
      <c r="F447">
        <f>MIN(1,E447/(Setup!$B$3*0.1))</f>
        <v>0</v>
      </c>
      <c r="G447">
        <f t="shared" si="13"/>
        <v>1</v>
      </c>
    </row>
    <row r="448" spans="1:7" x14ac:dyDescent="0.25">
      <c r="A448">
        <v>190</v>
      </c>
      <c r="B448">
        <f>SUMIFS('Draft Board'!$AT$2:$AT$193,'Draft Board'!$AM$2:$AM$193,A448,'Draft Board'!$AT$2:$AT$193,"&lt;&gt;")</f>
        <v>0</v>
      </c>
      <c r="C448">
        <f>SUMIFS('Draft Board'!$AS$2:$AS$193,'Draft Board'!$AM$2:$AM$193,A448,'Draft Board'!$AT$2:$AT$193,"&lt;&gt;")</f>
        <v>0</v>
      </c>
      <c r="D448">
        <f>COUNTIFS('Draft Board'!$AM$2:$AM$193,A448,'Draft Board'!$AT$2:$AT$193,"&lt;&gt;")</f>
        <v>0</v>
      </c>
      <c r="E448">
        <f>IFERROR(AVERAGEIFS('Draft Board'!$AS$2:$AS$193,'Draft Board'!$AM$2:$AM$193,A448),0)</f>
        <v>0</v>
      </c>
      <c r="F448">
        <f>MIN(1,E448/(Setup!$B$3*0.1))</f>
        <v>0</v>
      </c>
      <c r="G448">
        <f t="shared" si="13"/>
        <v>1</v>
      </c>
    </row>
    <row r="449" spans="1:7" x14ac:dyDescent="0.25">
      <c r="A449">
        <v>191</v>
      </c>
      <c r="B449">
        <f>SUMIFS('Draft Board'!$AT$2:$AT$193,'Draft Board'!$AM$2:$AM$193,A449,'Draft Board'!$AT$2:$AT$193,"&lt;&gt;")</f>
        <v>0</v>
      </c>
      <c r="C449">
        <f>SUMIFS('Draft Board'!$AS$2:$AS$193,'Draft Board'!$AM$2:$AM$193,A449,'Draft Board'!$AT$2:$AT$193,"&lt;&gt;")</f>
        <v>0</v>
      </c>
      <c r="D449">
        <f>COUNTIFS('Draft Board'!$AM$2:$AM$193,A449,'Draft Board'!$AT$2:$AT$193,"&lt;&gt;")</f>
        <v>0</v>
      </c>
      <c r="E449">
        <f>IFERROR(AVERAGEIFS('Draft Board'!$AS$2:$AS$193,'Draft Board'!$AM$2:$AM$193,A449),0)</f>
        <v>0</v>
      </c>
      <c r="F449">
        <f>MIN(1,E449/(Setup!$B$3*0.1))</f>
        <v>0</v>
      </c>
      <c r="G449">
        <f t="shared" si="13"/>
        <v>1</v>
      </c>
    </row>
    <row r="450" spans="1:7" x14ac:dyDescent="0.25">
      <c r="A450">
        <v>192</v>
      </c>
      <c r="B450">
        <f>SUMIFS('Draft Board'!$AT$2:$AT$193,'Draft Board'!$AM$2:$AM$193,A450,'Draft Board'!$AT$2:$AT$193,"&lt;&gt;")</f>
        <v>0</v>
      </c>
      <c r="C450">
        <f>SUMIFS('Draft Board'!$AS$2:$AS$193,'Draft Board'!$AM$2:$AM$193,A450,'Draft Board'!$AT$2:$AT$193,"&lt;&gt;")</f>
        <v>0</v>
      </c>
      <c r="D450">
        <f>COUNTIFS('Draft Board'!$AM$2:$AM$193,A450,'Draft Board'!$AT$2:$AT$193,"&lt;&gt;")</f>
        <v>0</v>
      </c>
      <c r="E450">
        <f>IFERROR(AVERAGEIFS('Draft Board'!$AS$2:$AS$193,'Draft Board'!$AM$2:$AM$193,A450),0)</f>
        <v>0</v>
      </c>
      <c r="F450">
        <f>MIN(1,E450/(Setup!$B$3*0.1))</f>
        <v>0</v>
      </c>
      <c r="G450">
        <f t="shared" si="13"/>
        <v>1</v>
      </c>
    </row>
    <row r="452" spans="1:7" x14ac:dyDescent="0.25">
      <c r="A452" s="13" t="s">
        <v>626</v>
      </c>
    </row>
    <row r="453" spans="1:7" x14ac:dyDescent="0.25">
      <c r="A453" s="13" t="s">
        <v>48</v>
      </c>
      <c r="B453" s="13" t="s">
        <v>618</v>
      </c>
      <c r="C453" s="13" t="s">
        <v>619</v>
      </c>
      <c r="D453" s="13" t="s">
        <v>620</v>
      </c>
      <c r="E453" s="13" t="s">
        <v>621</v>
      </c>
      <c r="F453" s="13" t="s">
        <v>622</v>
      </c>
      <c r="G453" s="13" t="s">
        <v>623</v>
      </c>
    </row>
    <row r="454" spans="1:7" x14ac:dyDescent="0.25">
      <c r="A454">
        <v>1</v>
      </c>
      <c r="B454">
        <f>SUMIFS('Draft Board'!$BJ$2:$BJ$87,'Draft Board'!$BC$2:$BC$87,A454,'Draft Board'!$BJ$2:$BJ$87,"&lt;&gt;")</f>
        <v>0</v>
      </c>
      <c r="C454">
        <f>SUMIFS('Draft Board'!$BI$2:$BI$87,'Draft Board'!$BC$2:$BC$87,A454,'Draft Board'!$BJ$2:$BJ$87,"&lt;&gt;")</f>
        <v>0</v>
      </c>
      <c r="D454">
        <f>COUNTIFS('Draft Board'!$BC$2:$BC$87,A454,'Draft Board'!$BJ$2:$BJ$87,"&lt;&gt;")</f>
        <v>0</v>
      </c>
      <c r="E454">
        <f>IFERROR(AVERAGEIFS('Draft Board'!$BI$2:$BI$87,'Draft Board'!$BC$2:$BC$87,A454),0)</f>
        <v>25</v>
      </c>
      <c r="F454">
        <f>MIN(1,E454/(Setup!$B$3*0.1))</f>
        <v>1</v>
      </c>
      <c r="G454">
        <f t="shared" ref="G454:G485" si="14">IF(D454&lt;2,1,MEDIAN(0.5,2,1+(IFERROR(B454/C454,1)-1)*F454))</f>
        <v>1</v>
      </c>
    </row>
    <row r="455" spans="1:7" x14ac:dyDescent="0.25">
      <c r="A455">
        <v>2</v>
      </c>
      <c r="B455">
        <f>SUMIFS('Draft Board'!$BJ$2:$BJ$87,'Draft Board'!$BC$2:$BC$87,A455,'Draft Board'!$BJ$2:$BJ$87,"&lt;&gt;")</f>
        <v>0</v>
      </c>
      <c r="C455">
        <f>SUMIFS('Draft Board'!$BI$2:$BI$87,'Draft Board'!$BC$2:$BC$87,A455,'Draft Board'!$BJ$2:$BJ$87,"&lt;&gt;")</f>
        <v>0</v>
      </c>
      <c r="D455">
        <f>COUNTIFS('Draft Board'!$BC$2:$BC$87,A455,'Draft Board'!$BJ$2:$BJ$87,"&lt;&gt;")</f>
        <v>0</v>
      </c>
      <c r="E455">
        <f>IFERROR(AVERAGEIFS('Draft Board'!$BI$2:$BI$87,'Draft Board'!$BC$2:$BC$87,A455),0)</f>
        <v>19</v>
      </c>
      <c r="F455">
        <f>MIN(1,E455/(Setup!$B$3*0.1))</f>
        <v>0.95</v>
      </c>
      <c r="G455">
        <f t="shared" si="14"/>
        <v>1</v>
      </c>
    </row>
    <row r="456" spans="1:7" x14ac:dyDescent="0.25">
      <c r="A456">
        <v>3</v>
      </c>
      <c r="B456">
        <f>SUMIFS('Draft Board'!$BJ$2:$BJ$87,'Draft Board'!$BC$2:$BC$87,A456,'Draft Board'!$BJ$2:$BJ$87,"&lt;&gt;")</f>
        <v>0</v>
      </c>
      <c r="C456">
        <f>SUMIFS('Draft Board'!$BI$2:$BI$87,'Draft Board'!$BC$2:$BC$87,A456,'Draft Board'!$BJ$2:$BJ$87,"&lt;&gt;")</f>
        <v>0</v>
      </c>
      <c r="D456">
        <f>COUNTIFS('Draft Board'!$BC$2:$BC$87,A456,'Draft Board'!$BJ$2:$BJ$87,"&lt;&gt;")</f>
        <v>0</v>
      </c>
      <c r="E456">
        <f>IFERROR(AVERAGEIFS('Draft Board'!$BI$2:$BI$87,'Draft Board'!$BC$2:$BC$87,A456),0)</f>
        <v>17</v>
      </c>
      <c r="F456">
        <f>MIN(1,E456/(Setup!$B$3*0.1))</f>
        <v>0.85</v>
      </c>
      <c r="G456">
        <f t="shared" si="14"/>
        <v>1</v>
      </c>
    </row>
    <row r="457" spans="1:7" x14ac:dyDescent="0.25">
      <c r="A457">
        <v>4</v>
      </c>
      <c r="B457">
        <f>SUMIFS('Draft Board'!$BJ$2:$BJ$87,'Draft Board'!$BC$2:$BC$87,A457,'Draft Board'!$BJ$2:$BJ$87,"&lt;&gt;")</f>
        <v>0</v>
      </c>
      <c r="C457">
        <f>SUMIFS('Draft Board'!$BI$2:$BI$87,'Draft Board'!$BC$2:$BC$87,A457,'Draft Board'!$BJ$2:$BJ$87,"&lt;&gt;")</f>
        <v>0</v>
      </c>
      <c r="D457">
        <f>COUNTIFS('Draft Board'!$BC$2:$BC$87,A457,'Draft Board'!$BJ$2:$BJ$87,"&lt;&gt;")</f>
        <v>0</v>
      </c>
      <c r="E457">
        <f>IFERROR(AVERAGEIFS('Draft Board'!$BI$2:$BI$87,'Draft Board'!$BC$2:$BC$87,A457),0)</f>
        <v>12.5</v>
      </c>
      <c r="F457">
        <f>MIN(1,E457/(Setup!$B$3*0.1))</f>
        <v>0.625</v>
      </c>
      <c r="G457">
        <f t="shared" si="14"/>
        <v>1</v>
      </c>
    </row>
    <row r="458" spans="1:7" x14ac:dyDescent="0.25">
      <c r="A458">
        <v>5</v>
      </c>
      <c r="B458">
        <f>SUMIFS('Draft Board'!$BJ$2:$BJ$87,'Draft Board'!$BC$2:$BC$87,A458,'Draft Board'!$BJ$2:$BJ$87,"&lt;&gt;")</f>
        <v>0</v>
      </c>
      <c r="C458">
        <f>SUMIFS('Draft Board'!$BI$2:$BI$87,'Draft Board'!$BC$2:$BC$87,A458,'Draft Board'!$BJ$2:$BJ$87,"&lt;&gt;")</f>
        <v>0</v>
      </c>
      <c r="D458">
        <f>COUNTIFS('Draft Board'!$BC$2:$BC$87,A458,'Draft Board'!$BJ$2:$BJ$87,"&lt;&gt;")</f>
        <v>0</v>
      </c>
      <c r="E458">
        <f>IFERROR(AVERAGEIFS('Draft Board'!$BI$2:$BI$87,'Draft Board'!$BC$2:$BC$87,A458),0)</f>
        <v>9.6666666666666661</v>
      </c>
      <c r="F458">
        <f>MIN(1,E458/(Setup!$B$3*0.1))</f>
        <v>0.48333333333333328</v>
      </c>
      <c r="G458">
        <f t="shared" si="14"/>
        <v>1</v>
      </c>
    </row>
    <row r="459" spans="1:7" x14ac:dyDescent="0.25">
      <c r="A459">
        <v>6</v>
      </c>
      <c r="B459">
        <f>SUMIFS('Draft Board'!$BJ$2:$BJ$87,'Draft Board'!$BC$2:$BC$87,A459,'Draft Board'!$BJ$2:$BJ$87,"&lt;&gt;")</f>
        <v>0</v>
      </c>
      <c r="C459">
        <f>SUMIFS('Draft Board'!$BI$2:$BI$87,'Draft Board'!$BC$2:$BC$87,A459,'Draft Board'!$BJ$2:$BJ$87,"&lt;&gt;")</f>
        <v>0</v>
      </c>
      <c r="D459">
        <f>COUNTIFS('Draft Board'!$BC$2:$BC$87,A459,'Draft Board'!$BJ$2:$BJ$87,"&lt;&gt;")</f>
        <v>0</v>
      </c>
      <c r="E459">
        <f>IFERROR(AVERAGEIFS('Draft Board'!$BI$2:$BI$87,'Draft Board'!$BC$2:$BC$87,A459),0)</f>
        <v>8</v>
      </c>
      <c r="F459">
        <f>MIN(1,E459/(Setup!$B$3*0.1))</f>
        <v>0.4</v>
      </c>
      <c r="G459">
        <f t="shared" si="14"/>
        <v>1</v>
      </c>
    </row>
    <row r="460" spans="1:7" x14ac:dyDescent="0.25">
      <c r="A460">
        <v>7</v>
      </c>
      <c r="B460">
        <f>SUMIFS('Draft Board'!$BJ$2:$BJ$87,'Draft Board'!$BC$2:$BC$87,A460,'Draft Board'!$BJ$2:$BJ$87,"&lt;&gt;")</f>
        <v>0</v>
      </c>
      <c r="C460">
        <f>SUMIFS('Draft Board'!$BI$2:$BI$87,'Draft Board'!$BC$2:$BC$87,A460,'Draft Board'!$BJ$2:$BJ$87,"&lt;&gt;")</f>
        <v>0</v>
      </c>
      <c r="D460">
        <f>COUNTIFS('Draft Board'!$BC$2:$BC$87,A460,'Draft Board'!$BJ$2:$BJ$87,"&lt;&gt;")</f>
        <v>0</v>
      </c>
      <c r="E460">
        <f>IFERROR(AVERAGEIFS('Draft Board'!$BI$2:$BI$87,'Draft Board'!$BC$2:$BC$87,A460),0)</f>
        <v>7.5</v>
      </c>
      <c r="F460">
        <f>MIN(1,E460/(Setup!$B$3*0.1))</f>
        <v>0.375</v>
      </c>
      <c r="G460">
        <f t="shared" si="14"/>
        <v>1</v>
      </c>
    </row>
    <row r="461" spans="1:7" x14ac:dyDescent="0.25">
      <c r="A461">
        <v>8</v>
      </c>
      <c r="B461">
        <f>SUMIFS('Draft Board'!$BJ$2:$BJ$87,'Draft Board'!$BC$2:$BC$87,A461,'Draft Board'!$BJ$2:$BJ$87,"&lt;&gt;")</f>
        <v>0</v>
      </c>
      <c r="C461">
        <f>SUMIFS('Draft Board'!$BI$2:$BI$87,'Draft Board'!$BC$2:$BC$87,A461,'Draft Board'!$BJ$2:$BJ$87,"&lt;&gt;")</f>
        <v>0</v>
      </c>
      <c r="D461">
        <f>COUNTIFS('Draft Board'!$BC$2:$BC$87,A461,'Draft Board'!$BJ$2:$BJ$87,"&lt;&gt;")</f>
        <v>0</v>
      </c>
      <c r="E461">
        <f>IFERROR(AVERAGEIFS('Draft Board'!$BI$2:$BI$87,'Draft Board'!$BC$2:$BC$87,A461),0)</f>
        <v>6</v>
      </c>
      <c r="F461">
        <f>MIN(1,E461/(Setup!$B$3*0.1))</f>
        <v>0.3</v>
      </c>
      <c r="G461">
        <f t="shared" si="14"/>
        <v>1</v>
      </c>
    </row>
    <row r="462" spans="1:7" x14ac:dyDescent="0.25">
      <c r="A462">
        <v>9</v>
      </c>
      <c r="B462">
        <f>SUMIFS('Draft Board'!$BJ$2:$BJ$87,'Draft Board'!$BC$2:$BC$87,A462,'Draft Board'!$BJ$2:$BJ$87,"&lt;&gt;")</f>
        <v>0</v>
      </c>
      <c r="C462">
        <f>SUMIFS('Draft Board'!$BI$2:$BI$87,'Draft Board'!$BC$2:$BC$87,A462,'Draft Board'!$BJ$2:$BJ$87,"&lt;&gt;")</f>
        <v>0</v>
      </c>
      <c r="D462">
        <f>COUNTIFS('Draft Board'!$BC$2:$BC$87,A462,'Draft Board'!$BJ$2:$BJ$87,"&lt;&gt;")</f>
        <v>0</v>
      </c>
      <c r="E462">
        <f>IFERROR(AVERAGEIFS('Draft Board'!$BI$2:$BI$87,'Draft Board'!$BC$2:$BC$87,A462),0)</f>
        <v>5</v>
      </c>
      <c r="F462">
        <f>MIN(1,E462/(Setup!$B$3*0.1))</f>
        <v>0.25</v>
      </c>
      <c r="G462">
        <f t="shared" si="14"/>
        <v>1</v>
      </c>
    </row>
    <row r="463" spans="1:7" x14ac:dyDescent="0.25">
      <c r="A463">
        <v>10</v>
      </c>
      <c r="B463">
        <f>SUMIFS('Draft Board'!$BJ$2:$BJ$87,'Draft Board'!$BC$2:$BC$87,A463,'Draft Board'!$BJ$2:$BJ$87,"&lt;&gt;")</f>
        <v>0</v>
      </c>
      <c r="C463">
        <f>SUMIFS('Draft Board'!$BI$2:$BI$87,'Draft Board'!$BC$2:$BC$87,A463,'Draft Board'!$BJ$2:$BJ$87,"&lt;&gt;")</f>
        <v>0</v>
      </c>
      <c r="D463">
        <f>COUNTIFS('Draft Board'!$BC$2:$BC$87,A463,'Draft Board'!$BJ$2:$BJ$87,"&lt;&gt;")</f>
        <v>0</v>
      </c>
      <c r="E463">
        <f>IFERROR(AVERAGEIFS('Draft Board'!$BI$2:$BI$87,'Draft Board'!$BC$2:$BC$87,A463),0)</f>
        <v>5</v>
      </c>
      <c r="F463">
        <f>MIN(1,E463/(Setup!$B$3*0.1))</f>
        <v>0.25</v>
      </c>
      <c r="G463">
        <f t="shared" si="14"/>
        <v>1</v>
      </c>
    </row>
    <row r="464" spans="1:7" x14ac:dyDescent="0.25">
      <c r="A464">
        <v>11</v>
      </c>
      <c r="B464">
        <f>SUMIFS('Draft Board'!$BJ$2:$BJ$87,'Draft Board'!$BC$2:$BC$87,A464,'Draft Board'!$BJ$2:$BJ$87,"&lt;&gt;")</f>
        <v>0</v>
      </c>
      <c r="C464">
        <f>SUMIFS('Draft Board'!$BI$2:$BI$87,'Draft Board'!$BC$2:$BC$87,A464,'Draft Board'!$BJ$2:$BJ$87,"&lt;&gt;")</f>
        <v>0</v>
      </c>
      <c r="D464">
        <f>COUNTIFS('Draft Board'!$BC$2:$BC$87,A464,'Draft Board'!$BJ$2:$BJ$87,"&lt;&gt;")</f>
        <v>0</v>
      </c>
      <c r="E464">
        <f>IFERROR(AVERAGEIFS('Draft Board'!$BI$2:$BI$87,'Draft Board'!$BC$2:$BC$87,A464),0)</f>
        <v>3</v>
      </c>
      <c r="F464">
        <f>MIN(1,E464/(Setup!$B$3*0.1))</f>
        <v>0.15</v>
      </c>
      <c r="G464">
        <f t="shared" si="14"/>
        <v>1</v>
      </c>
    </row>
    <row r="465" spans="1:7" x14ac:dyDescent="0.25">
      <c r="A465">
        <v>12</v>
      </c>
      <c r="B465">
        <f>SUMIFS('Draft Board'!$BJ$2:$BJ$87,'Draft Board'!$BC$2:$BC$87,A465,'Draft Board'!$BJ$2:$BJ$87,"&lt;&gt;")</f>
        <v>0</v>
      </c>
      <c r="C465">
        <f>SUMIFS('Draft Board'!$BI$2:$BI$87,'Draft Board'!$BC$2:$BC$87,A465,'Draft Board'!$BJ$2:$BJ$87,"&lt;&gt;")</f>
        <v>0</v>
      </c>
      <c r="D465">
        <f>COUNTIFS('Draft Board'!$BC$2:$BC$87,A465,'Draft Board'!$BJ$2:$BJ$87,"&lt;&gt;")</f>
        <v>0</v>
      </c>
      <c r="E465">
        <f>IFERROR(AVERAGEIFS('Draft Board'!$BI$2:$BI$87,'Draft Board'!$BC$2:$BC$87,A465),0)</f>
        <v>3</v>
      </c>
      <c r="F465">
        <f>MIN(1,E465/(Setup!$B$3*0.1))</f>
        <v>0.15</v>
      </c>
      <c r="G465">
        <f t="shared" si="14"/>
        <v>1</v>
      </c>
    </row>
    <row r="466" spans="1:7" x14ac:dyDescent="0.25">
      <c r="A466">
        <v>13</v>
      </c>
      <c r="B466">
        <f>SUMIFS('Draft Board'!$BJ$2:$BJ$87,'Draft Board'!$BC$2:$BC$87,A466,'Draft Board'!$BJ$2:$BJ$87,"&lt;&gt;")</f>
        <v>0</v>
      </c>
      <c r="C466">
        <f>SUMIFS('Draft Board'!$BI$2:$BI$87,'Draft Board'!$BC$2:$BC$87,A466,'Draft Board'!$BJ$2:$BJ$87,"&lt;&gt;")</f>
        <v>0</v>
      </c>
      <c r="D466">
        <f>COUNTIFS('Draft Board'!$BC$2:$BC$87,A466,'Draft Board'!$BJ$2:$BJ$87,"&lt;&gt;")</f>
        <v>0</v>
      </c>
      <c r="E466">
        <f>IFERROR(AVERAGEIFS('Draft Board'!$BI$2:$BI$87,'Draft Board'!$BC$2:$BC$87,A466),0)</f>
        <v>2</v>
      </c>
      <c r="F466">
        <f>MIN(1,E466/(Setup!$B$3*0.1))</f>
        <v>0.1</v>
      </c>
      <c r="G466">
        <f t="shared" si="14"/>
        <v>1</v>
      </c>
    </row>
    <row r="467" spans="1:7" x14ac:dyDescent="0.25">
      <c r="A467">
        <v>14</v>
      </c>
      <c r="B467">
        <f>SUMIFS('Draft Board'!$BJ$2:$BJ$87,'Draft Board'!$BC$2:$BC$87,A467,'Draft Board'!$BJ$2:$BJ$87,"&lt;&gt;")</f>
        <v>0</v>
      </c>
      <c r="C467">
        <f>SUMIFS('Draft Board'!$BI$2:$BI$87,'Draft Board'!$BC$2:$BC$87,A467,'Draft Board'!$BJ$2:$BJ$87,"&lt;&gt;")</f>
        <v>0</v>
      </c>
      <c r="D467">
        <f>COUNTIFS('Draft Board'!$BC$2:$BC$87,A467,'Draft Board'!$BJ$2:$BJ$87,"&lt;&gt;")</f>
        <v>0</v>
      </c>
      <c r="E467">
        <f>IFERROR(AVERAGEIFS('Draft Board'!$BI$2:$BI$87,'Draft Board'!$BC$2:$BC$87,A467),0)</f>
        <v>2</v>
      </c>
      <c r="F467">
        <f>MIN(1,E467/(Setup!$B$3*0.1))</f>
        <v>0.1</v>
      </c>
      <c r="G467">
        <f t="shared" si="14"/>
        <v>1</v>
      </c>
    </row>
    <row r="468" spans="1:7" x14ac:dyDescent="0.25">
      <c r="A468">
        <v>15</v>
      </c>
      <c r="B468">
        <f>SUMIFS('Draft Board'!$BJ$2:$BJ$87,'Draft Board'!$BC$2:$BC$87,A468,'Draft Board'!$BJ$2:$BJ$87,"&lt;&gt;")</f>
        <v>0</v>
      </c>
      <c r="C468">
        <f>SUMIFS('Draft Board'!$BI$2:$BI$87,'Draft Board'!$BC$2:$BC$87,A468,'Draft Board'!$BJ$2:$BJ$87,"&lt;&gt;")</f>
        <v>0</v>
      </c>
      <c r="D468">
        <f>COUNTIFS('Draft Board'!$BC$2:$BC$87,A468,'Draft Board'!$BJ$2:$BJ$87,"&lt;&gt;")</f>
        <v>0</v>
      </c>
      <c r="E468">
        <f>IFERROR(AVERAGEIFS('Draft Board'!$BI$2:$BI$87,'Draft Board'!$BC$2:$BC$87,A468),0)</f>
        <v>1</v>
      </c>
      <c r="F468">
        <f>MIN(1,E468/(Setup!$B$3*0.1))</f>
        <v>0.05</v>
      </c>
      <c r="G468">
        <f t="shared" si="14"/>
        <v>1</v>
      </c>
    </row>
    <row r="469" spans="1:7" x14ac:dyDescent="0.25">
      <c r="A469">
        <v>16</v>
      </c>
      <c r="B469">
        <f>SUMIFS('Draft Board'!$BJ$2:$BJ$87,'Draft Board'!$BC$2:$BC$87,A469,'Draft Board'!$BJ$2:$BJ$87,"&lt;&gt;")</f>
        <v>0</v>
      </c>
      <c r="C469">
        <f>SUMIFS('Draft Board'!$BI$2:$BI$87,'Draft Board'!$BC$2:$BC$87,A469,'Draft Board'!$BJ$2:$BJ$87,"&lt;&gt;")</f>
        <v>0</v>
      </c>
      <c r="D469">
        <f>COUNTIFS('Draft Board'!$BC$2:$BC$87,A469,'Draft Board'!$BJ$2:$BJ$87,"&lt;&gt;")</f>
        <v>0</v>
      </c>
      <c r="E469">
        <f>IFERROR(AVERAGEIFS('Draft Board'!$BI$2:$BI$87,'Draft Board'!$BC$2:$BC$87,A469),0)</f>
        <v>0</v>
      </c>
      <c r="F469">
        <f>MIN(1,E469/(Setup!$B$3*0.1))</f>
        <v>0</v>
      </c>
      <c r="G469">
        <f t="shared" si="14"/>
        <v>1</v>
      </c>
    </row>
    <row r="470" spans="1:7" x14ac:dyDescent="0.25">
      <c r="A470">
        <v>17</v>
      </c>
      <c r="B470">
        <f>SUMIFS('Draft Board'!$BJ$2:$BJ$87,'Draft Board'!$BC$2:$BC$87,A470,'Draft Board'!$BJ$2:$BJ$87,"&lt;&gt;")</f>
        <v>0</v>
      </c>
      <c r="C470">
        <f>SUMIFS('Draft Board'!$BI$2:$BI$87,'Draft Board'!$BC$2:$BC$87,A470,'Draft Board'!$BJ$2:$BJ$87,"&lt;&gt;")</f>
        <v>0</v>
      </c>
      <c r="D470">
        <f>COUNTIFS('Draft Board'!$BC$2:$BC$87,A470,'Draft Board'!$BJ$2:$BJ$87,"&lt;&gt;")</f>
        <v>0</v>
      </c>
      <c r="E470">
        <f>IFERROR(AVERAGEIFS('Draft Board'!$BI$2:$BI$87,'Draft Board'!$BC$2:$BC$87,A470),0)</f>
        <v>0</v>
      </c>
      <c r="F470">
        <f>MIN(1,E470/(Setup!$B$3*0.1))</f>
        <v>0</v>
      </c>
      <c r="G470">
        <f t="shared" si="14"/>
        <v>1</v>
      </c>
    </row>
    <row r="471" spans="1:7" x14ac:dyDescent="0.25">
      <c r="A471">
        <v>18</v>
      </c>
      <c r="B471">
        <f>SUMIFS('Draft Board'!$BJ$2:$BJ$87,'Draft Board'!$BC$2:$BC$87,A471,'Draft Board'!$BJ$2:$BJ$87,"&lt;&gt;")</f>
        <v>0</v>
      </c>
      <c r="C471">
        <f>SUMIFS('Draft Board'!$BI$2:$BI$87,'Draft Board'!$BC$2:$BC$87,A471,'Draft Board'!$BJ$2:$BJ$87,"&lt;&gt;")</f>
        <v>0</v>
      </c>
      <c r="D471">
        <f>COUNTIFS('Draft Board'!$BC$2:$BC$87,A471,'Draft Board'!$BJ$2:$BJ$87,"&lt;&gt;")</f>
        <v>0</v>
      </c>
      <c r="E471">
        <f>IFERROR(AVERAGEIFS('Draft Board'!$BI$2:$BI$87,'Draft Board'!$BC$2:$BC$87,A471),0)</f>
        <v>0</v>
      </c>
      <c r="F471">
        <f>MIN(1,E471/(Setup!$B$3*0.1))</f>
        <v>0</v>
      </c>
      <c r="G471">
        <f t="shared" si="14"/>
        <v>1</v>
      </c>
    </row>
    <row r="472" spans="1:7" x14ac:dyDescent="0.25">
      <c r="A472">
        <v>19</v>
      </c>
      <c r="B472">
        <f>SUMIFS('Draft Board'!$BJ$2:$BJ$87,'Draft Board'!$BC$2:$BC$87,A472,'Draft Board'!$BJ$2:$BJ$87,"&lt;&gt;")</f>
        <v>0</v>
      </c>
      <c r="C472">
        <f>SUMIFS('Draft Board'!$BI$2:$BI$87,'Draft Board'!$BC$2:$BC$87,A472,'Draft Board'!$BJ$2:$BJ$87,"&lt;&gt;")</f>
        <v>0</v>
      </c>
      <c r="D472">
        <f>COUNTIFS('Draft Board'!$BC$2:$BC$87,A472,'Draft Board'!$BJ$2:$BJ$87,"&lt;&gt;")</f>
        <v>0</v>
      </c>
      <c r="E472">
        <f>IFERROR(AVERAGEIFS('Draft Board'!$BI$2:$BI$87,'Draft Board'!$BC$2:$BC$87,A472),0)</f>
        <v>0</v>
      </c>
      <c r="F472">
        <f>MIN(1,E472/(Setup!$B$3*0.1))</f>
        <v>0</v>
      </c>
      <c r="G472">
        <f t="shared" si="14"/>
        <v>1</v>
      </c>
    </row>
    <row r="473" spans="1:7" x14ac:dyDescent="0.25">
      <c r="A473">
        <v>20</v>
      </c>
      <c r="B473">
        <f>SUMIFS('Draft Board'!$BJ$2:$BJ$87,'Draft Board'!$BC$2:$BC$87,A473,'Draft Board'!$BJ$2:$BJ$87,"&lt;&gt;")</f>
        <v>0</v>
      </c>
      <c r="C473">
        <f>SUMIFS('Draft Board'!$BI$2:$BI$87,'Draft Board'!$BC$2:$BC$87,A473,'Draft Board'!$BJ$2:$BJ$87,"&lt;&gt;")</f>
        <v>0</v>
      </c>
      <c r="D473">
        <f>COUNTIFS('Draft Board'!$BC$2:$BC$87,A473,'Draft Board'!$BJ$2:$BJ$87,"&lt;&gt;")</f>
        <v>0</v>
      </c>
      <c r="E473">
        <f>IFERROR(AVERAGEIFS('Draft Board'!$BI$2:$BI$87,'Draft Board'!$BC$2:$BC$87,A473),0)</f>
        <v>0</v>
      </c>
      <c r="F473">
        <f>MIN(1,E473/(Setup!$B$3*0.1))</f>
        <v>0</v>
      </c>
      <c r="G473">
        <f t="shared" si="14"/>
        <v>1</v>
      </c>
    </row>
    <row r="474" spans="1:7" x14ac:dyDescent="0.25">
      <c r="A474">
        <v>21</v>
      </c>
      <c r="B474">
        <f>SUMIFS('Draft Board'!$BJ$2:$BJ$87,'Draft Board'!$BC$2:$BC$87,A474,'Draft Board'!$BJ$2:$BJ$87,"&lt;&gt;")</f>
        <v>0</v>
      </c>
      <c r="C474">
        <f>SUMIFS('Draft Board'!$BI$2:$BI$87,'Draft Board'!$BC$2:$BC$87,A474,'Draft Board'!$BJ$2:$BJ$87,"&lt;&gt;")</f>
        <v>0</v>
      </c>
      <c r="D474">
        <f>COUNTIFS('Draft Board'!$BC$2:$BC$87,A474,'Draft Board'!$BJ$2:$BJ$87,"&lt;&gt;")</f>
        <v>0</v>
      </c>
      <c r="E474">
        <f>IFERROR(AVERAGEIFS('Draft Board'!$BI$2:$BI$87,'Draft Board'!$BC$2:$BC$87,A474),0)</f>
        <v>0</v>
      </c>
      <c r="F474">
        <f>MIN(1,E474/(Setup!$B$3*0.1))</f>
        <v>0</v>
      </c>
      <c r="G474">
        <f t="shared" si="14"/>
        <v>1</v>
      </c>
    </row>
    <row r="475" spans="1:7" x14ac:dyDescent="0.25">
      <c r="A475">
        <v>22</v>
      </c>
      <c r="B475">
        <f>SUMIFS('Draft Board'!$BJ$2:$BJ$87,'Draft Board'!$BC$2:$BC$87,A475,'Draft Board'!$BJ$2:$BJ$87,"&lt;&gt;")</f>
        <v>0</v>
      </c>
      <c r="C475">
        <f>SUMIFS('Draft Board'!$BI$2:$BI$87,'Draft Board'!$BC$2:$BC$87,A475,'Draft Board'!$BJ$2:$BJ$87,"&lt;&gt;")</f>
        <v>0</v>
      </c>
      <c r="D475">
        <f>COUNTIFS('Draft Board'!$BC$2:$BC$87,A475,'Draft Board'!$BJ$2:$BJ$87,"&lt;&gt;")</f>
        <v>0</v>
      </c>
      <c r="E475">
        <f>IFERROR(AVERAGEIFS('Draft Board'!$BI$2:$BI$87,'Draft Board'!$BC$2:$BC$87,A475),0)</f>
        <v>0</v>
      </c>
      <c r="F475">
        <f>MIN(1,E475/(Setup!$B$3*0.1))</f>
        <v>0</v>
      </c>
      <c r="G475">
        <f t="shared" si="14"/>
        <v>1</v>
      </c>
    </row>
    <row r="476" spans="1:7" x14ac:dyDescent="0.25">
      <c r="A476">
        <v>23</v>
      </c>
      <c r="B476">
        <f>SUMIFS('Draft Board'!$BJ$2:$BJ$87,'Draft Board'!$BC$2:$BC$87,A476,'Draft Board'!$BJ$2:$BJ$87,"&lt;&gt;")</f>
        <v>0</v>
      </c>
      <c r="C476">
        <f>SUMIFS('Draft Board'!$BI$2:$BI$87,'Draft Board'!$BC$2:$BC$87,A476,'Draft Board'!$BJ$2:$BJ$87,"&lt;&gt;")</f>
        <v>0</v>
      </c>
      <c r="D476">
        <f>COUNTIFS('Draft Board'!$BC$2:$BC$87,A476,'Draft Board'!$BJ$2:$BJ$87,"&lt;&gt;")</f>
        <v>0</v>
      </c>
      <c r="E476">
        <f>IFERROR(AVERAGEIFS('Draft Board'!$BI$2:$BI$87,'Draft Board'!$BC$2:$BC$87,A476),0)</f>
        <v>0</v>
      </c>
      <c r="F476">
        <f>MIN(1,E476/(Setup!$B$3*0.1))</f>
        <v>0</v>
      </c>
      <c r="G476">
        <f t="shared" si="14"/>
        <v>1</v>
      </c>
    </row>
    <row r="477" spans="1:7" x14ac:dyDescent="0.25">
      <c r="A477">
        <v>24</v>
      </c>
      <c r="B477">
        <f>SUMIFS('Draft Board'!$BJ$2:$BJ$87,'Draft Board'!$BC$2:$BC$87,A477,'Draft Board'!$BJ$2:$BJ$87,"&lt;&gt;")</f>
        <v>0</v>
      </c>
      <c r="C477">
        <f>SUMIFS('Draft Board'!$BI$2:$BI$87,'Draft Board'!$BC$2:$BC$87,A477,'Draft Board'!$BJ$2:$BJ$87,"&lt;&gt;")</f>
        <v>0</v>
      </c>
      <c r="D477">
        <f>COUNTIFS('Draft Board'!$BC$2:$BC$87,A477,'Draft Board'!$BJ$2:$BJ$87,"&lt;&gt;")</f>
        <v>0</v>
      </c>
      <c r="E477">
        <f>IFERROR(AVERAGEIFS('Draft Board'!$BI$2:$BI$87,'Draft Board'!$BC$2:$BC$87,A477),0)</f>
        <v>0</v>
      </c>
      <c r="F477">
        <f>MIN(1,E477/(Setup!$B$3*0.1))</f>
        <v>0</v>
      </c>
      <c r="G477">
        <f t="shared" si="14"/>
        <v>1</v>
      </c>
    </row>
    <row r="478" spans="1:7" x14ac:dyDescent="0.25">
      <c r="A478">
        <v>25</v>
      </c>
      <c r="B478">
        <f>SUMIFS('Draft Board'!$BJ$2:$BJ$87,'Draft Board'!$BC$2:$BC$87,A478,'Draft Board'!$BJ$2:$BJ$87,"&lt;&gt;")</f>
        <v>0</v>
      </c>
      <c r="C478">
        <f>SUMIFS('Draft Board'!$BI$2:$BI$87,'Draft Board'!$BC$2:$BC$87,A478,'Draft Board'!$BJ$2:$BJ$87,"&lt;&gt;")</f>
        <v>0</v>
      </c>
      <c r="D478">
        <f>COUNTIFS('Draft Board'!$BC$2:$BC$87,A478,'Draft Board'!$BJ$2:$BJ$87,"&lt;&gt;")</f>
        <v>0</v>
      </c>
      <c r="E478">
        <f>IFERROR(AVERAGEIFS('Draft Board'!$BI$2:$BI$87,'Draft Board'!$BC$2:$BC$87,A478),0)</f>
        <v>0</v>
      </c>
      <c r="F478">
        <f>MIN(1,E478/(Setup!$B$3*0.1))</f>
        <v>0</v>
      </c>
      <c r="G478">
        <f t="shared" si="14"/>
        <v>1</v>
      </c>
    </row>
    <row r="479" spans="1:7" x14ac:dyDescent="0.25">
      <c r="A479">
        <v>26</v>
      </c>
      <c r="B479">
        <f>SUMIFS('Draft Board'!$BJ$2:$BJ$87,'Draft Board'!$BC$2:$BC$87,A479,'Draft Board'!$BJ$2:$BJ$87,"&lt;&gt;")</f>
        <v>0</v>
      </c>
      <c r="C479">
        <f>SUMIFS('Draft Board'!$BI$2:$BI$87,'Draft Board'!$BC$2:$BC$87,A479,'Draft Board'!$BJ$2:$BJ$87,"&lt;&gt;")</f>
        <v>0</v>
      </c>
      <c r="D479">
        <f>COUNTIFS('Draft Board'!$BC$2:$BC$87,A479,'Draft Board'!$BJ$2:$BJ$87,"&lt;&gt;")</f>
        <v>0</v>
      </c>
      <c r="E479">
        <f>IFERROR(AVERAGEIFS('Draft Board'!$BI$2:$BI$87,'Draft Board'!$BC$2:$BC$87,A479),0)</f>
        <v>0</v>
      </c>
      <c r="F479">
        <f>MIN(1,E479/(Setup!$B$3*0.1))</f>
        <v>0</v>
      </c>
      <c r="G479">
        <f t="shared" si="14"/>
        <v>1</v>
      </c>
    </row>
    <row r="480" spans="1:7" x14ac:dyDescent="0.25">
      <c r="A480">
        <v>27</v>
      </c>
      <c r="B480">
        <f>SUMIFS('Draft Board'!$BJ$2:$BJ$87,'Draft Board'!$BC$2:$BC$87,A480,'Draft Board'!$BJ$2:$BJ$87,"&lt;&gt;")</f>
        <v>0</v>
      </c>
      <c r="C480">
        <f>SUMIFS('Draft Board'!$BI$2:$BI$87,'Draft Board'!$BC$2:$BC$87,A480,'Draft Board'!$BJ$2:$BJ$87,"&lt;&gt;")</f>
        <v>0</v>
      </c>
      <c r="D480">
        <f>COUNTIFS('Draft Board'!$BC$2:$BC$87,A480,'Draft Board'!$BJ$2:$BJ$87,"&lt;&gt;")</f>
        <v>0</v>
      </c>
      <c r="E480">
        <f>IFERROR(AVERAGEIFS('Draft Board'!$BI$2:$BI$87,'Draft Board'!$BC$2:$BC$87,A480),0)</f>
        <v>0</v>
      </c>
      <c r="F480">
        <f>MIN(1,E480/(Setup!$B$3*0.1))</f>
        <v>0</v>
      </c>
      <c r="G480">
        <f t="shared" si="14"/>
        <v>1</v>
      </c>
    </row>
    <row r="481" spans="1:7" x14ac:dyDescent="0.25">
      <c r="A481">
        <v>28</v>
      </c>
      <c r="B481">
        <f>SUMIFS('Draft Board'!$BJ$2:$BJ$87,'Draft Board'!$BC$2:$BC$87,A481,'Draft Board'!$BJ$2:$BJ$87,"&lt;&gt;")</f>
        <v>0</v>
      </c>
      <c r="C481">
        <f>SUMIFS('Draft Board'!$BI$2:$BI$87,'Draft Board'!$BC$2:$BC$87,A481,'Draft Board'!$BJ$2:$BJ$87,"&lt;&gt;")</f>
        <v>0</v>
      </c>
      <c r="D481">
        <f>COUNTIFS('Draft Board'!$BC$2:$BC$87,A481,'Draft Board'!$BJ$2:$BJ$87,"&lt;&gt;")</f>
        <v>0</v>
      </c>
      <c r="E481">
        <f>IFERROR(AVERAGEIFS('Draft Board'!$BI$2:$BI$87,'Draft Board'!$BC$2:$BC$87,A481),0)</f>
        <v>0</v>
      </c>
      <c r="F481">
        <f>MIN(1,E481/(Setup!$B$3*0.1))</f>
        <v>0</v>
      </c>
      <c r="G481">
        <f t="shared" si="14"/>
        <v>1</v>
      </c>
    </row>
    <row r="482" spans="1:7" x14ac:dyDescent="0.25">
      <c r="A482">
        <v>29</v>
      </c>
      <c r="B482">
        <f>SUMIFS('Draft Board'!$BJ$2:$BJ$87,'Draft Board'!$BC$2:$BC$87,A482,'Draft Board'!$BJ$2:$BJ$87,"&lt;&gt;")</f>
        <v>0</v>
      </c>
      <c r="C482">
        <f>SUMIFS('Draft Board'!$BI$2:$BI$87,'Draft Board'!$BC$2:$BC$87,A482,'Draft Board'!$BJ$2:$BJ$87,"&lt;&gt;")</f>
        <v>0</v>
      </c>
      <c r="D482">
        <f>COUNTIFS('Draft Board'!$BC$2:$BC$87,A482,'Draft Board'!$BJ$2:$BJ$87,"&lt;&gt;")</f>
        <v>0</v>
      </c>
      <c r="E482">
        <f>IFERROR(AVERAGEIFS('Draft Board'!$BI$2:$BI$87,'Draft Board'!$BC$2:$BC$87,A482),0)</f>
        <v>0</v>
      </c>
      <c r="F482">
        <f>MIN(1,E482/(Setup!$B$3*0.1))</f>
        <v>0</v>
      </c>
      <c r="G482">
        <f t="shared" si="14"/>
        <v>1</v>
      </c>
    </row>
    <row r="483" spans="1:7" x14ac:dyDescent="0.25">
      <c r="A483">
        <v>30</v>
      </c>
      <c r="B483">
        <f>SUMIFS('Draft Board'!$BJ$2:$BJ$87,'Draft Board'!$BC$2:$BC$87,A483,'Draft Board'!$BJ$2:$BJ$87,"&lt;&gt;")</f>
        <v>0</v>
      </c>
      <c r="C483">
        <f>SUMIFS('Draft Board'!$BI$2:$BI$87,'Draft Board'!$BC$2:$BC$87,A483,'Draft Board'!$BJ$2:$BJ$87,"&lt;&gt;")</f>
        <v>0</v>
      </c>
      <c r="D483">
        <f>COUNTIFS('Draft Board'!$BC$2:$BC$87,A483,'Draft Board'!$BJ$2:$BJ$87,"&lt;&gt;")</f>
        <v>0</v>
      </c>
      <c r="E483">
        <f>IFERROR(AVERAGEIFS('Draft Board'!$BI$2:$BI$87,'Draft Board'!$BC$2:$BC$87,A483),0)</f>
        <v>0</v>
      </c>
      <c r="F483">
        <f>MIN(1,E483/(Setup!$B$3*0.1))</f>
        <v>0</v>
      </c>
      <c r="G483">
        <f t="shared" si="14"/>
        <v>1</v>
      </c>
    </row>
    <row r="484" spans="1:7" x14ac:dyDescent="0.25">
      <c r="A484">
        <v>31</v>
      </c>
      <c r="B484">
        <f>SUMIFS('Draft Board'!$BJ$2:$BJ$87,'Draft Board'!$BC$2:$BC$87,A484,'Draft Board'!$BJ$2:$BJ$87,"&lt;&gt;")</f>
        <v>0</v>
      </c>
      <c r="C484">
        <f>SUMIFS('Draft Board'!$BI$2:$BI$87,'Draft Board'!$BC$2:$BC$87,A484,'Draft Board'!$BJ$2:$BJ$87,"&lt;&gt;")</f>
        <v>0</v>
      </c>
      <c r="D484">
        <f>COUNTIFS('Draft Board'!$BC$2:$BC$87,A484,'Draft Board'!$BJ$2:$BJ$87,"&lt;&gt;")</f>
        <v>0</v>
      </c>
      <c r="E484">
        <f>IFERROR(AVERAGEIFS('Draft Board'!$BI$2:$BI$87,'Draft Board'!$BC$2:$BC$87,A484),0)</f>
        <v>0</v>
      </c>
      <c r="F484">
        <f>MIN(1,E484/(Setup!$B$3*0.1))</f>
        <v>0</v>
      </c>
      <c r="G484">
        <f t="shared" si="14"/>
        <v>1</v>
      </c>
    </row>
    <row r="485" spans="1:7" x14ac:dyDescent="0.25">
      <c r="A485">
        <v>32</v>
      </c>
      <c r="B485">
        <f>SUMIFS('Draft Board'!$BJ$2:$BJ$87,'Draft Board'!$BC$2:$BC$87,A485,'Draft Board'!$BJ$2:$BJ$87,"&lt;&gt;")</f>
        <v>0</v>
      </c>
      <c r="C485">
        <f>SUMIFS('Draft Board'!$BI$2:$BI$87,'Draft Board'!$BC$2:$BC$87,A485,'Draft Board'!$BJ$2:$BJ$87,"&lt;&gt;")</f>
        <v>0</v>
      </c>
      <c r="D485">
        <f>COUNTIFS('Draft Board'!$BC$2:$BC$87,A485,'Draft Board'!$BJ$2:$BJ$87,"&lt;&gt;")</f>
        <v>0</v>
      </c>
      <c r="E485">
        <f>IFERROR(AVERAGEIFS('Draft Board'!$BI$2:$BI$87,'Draft Board'!$BC$2:$BC$87,A485),0)</f>
        <v>0</v>
      </c>
      <c r="F485">
        <f>MIN(1,E485/(Setup!$B$3*0.1))</f>
        <v>0</v>
      </c>
      <c r="G485">
        <f t="shared" si="14"/>
        <v>1</v>
      </c>
    </row>
    <row r="486" spans="1:7" x14ac:dyDescent="0.25">
      <c r="A486">
        <v>33</v>
      </c>
      <c r="B486">
        <f>SUMIFS('Draft Board'!$BJ$2:$BJ$87,'Draft Board'!$BC$2:$BC$87,A486,'Draft Board'!$BJ$2:$BJ$87,"&lt;&gt;")</f>
        <v>0</v>
      </c>
      <c r="C486">
        <f>SUMIFS('Draft Board'!$BI$2:$BI$87,'Draft Board'!$BC$2:$BC$87,A486,'Draft Board'!$BJ$2:$BJ$87,"&lt;&gt;")</f>
        <v>0</v>
      </c>
      <c r="D486">
        <f>COUNTIFS('Draft Board'!$BC$2:$BC$87,A486,'Draft Board'!$BJ$2:$BJ$87,"&lt;&gt;")</f>
        <v>0</v>
      </c>
      <c r="E486">
        <f>IFERROR(AVERAGEIFS('Draft Board'!$BI$2:$BI$87,'Draft Board'!$BC$2:$BC$87,A486),0)</f>
        <v>0</v>
      </c>
      <c r="F486">
        <f>MIN(1,E486/(Setup!$B$3*0.1))</f>
        <v>0</v>
      </c>
      <c r="G486">
        <f t="shared" ref="G486:G517" si="15">IF(D486&lt;2,1,MEDIAN(0.5,2,1+(IFERROR(B486/C486,1)-1)*F486))</f>
        <v>1</v>
      </c>
    </row>
    <row r="487" spans="1:7" x14ac:dyDescent="0.25">
      <c r="A487">
        <v>34</v>
      </c>
      <c r="B487">
        <f>SUMIFS('Draft Board'!$BJ$2:$BJ$87,'Draft Board'!$BC$2:$BC$87,A487,'Draft Board'!$BJ$2:$BJ$87,"&lt;&gt;")</f>
        <v>0</v>
      </c>
      <c r="C487">
        <f>SUMIFS('Draft Board'!$BI$2:$BI$87,'Draft Board'!$BC$2:$BC$87,A487,'Draft Board'!$BJ$2:$BJ$87,"&lt;&gt;")</f>
        <v>0</v>
      </c>
      <c r="D487">
        <f>COUNTIFS('Draft Board'!$BC$2:$BC$87,A487,'Draft Board'!$BJ$2:$BJ$87,"&lt;&gt;")</f>
        <v>0</v>
      </c>
      <c r="E487">
        <f>IFERROR(AVERAGEIFS('Draft Board'!$BI$2:$BI$87,'Draft Board'!$BC$2:$BC$87,A487),0)</f>
        <v>0</v>
      </c>
      <c r="F487">
        <f>MIN(1,E487/(Setup!$B$3*0.1))</f>
        <v>0</v>
      </c>
      <c r="G487">
        <f t="shared" si="15"/>
        <v>1</v>
      </c>
    </row>
    <row r="488" spans="1:7" x14ac:dyDescent="0.25">
      <c r="A488">
        <v>35</v>
      </c>
      <c r="B488">
        <f>SUMIFS('Draft Board'!$BJ$2:$BJ$87,'Draft Board'!$BC$2:$BC$87,A488,'Draft Board'!$BJ$2:$BJ$87,"&lt;&gt;")</f>
        <v>0</v>
      </c>
      <c r="C488">
        <f>SUMIFS('Draft Board'!$BI$2:$BI$87,'Draft Board'!$BC$2:$BC$87,A488,'Draft Board'!$BJ$2:$BJ$87,"&lt;&gt;")</f>
        <v>0</v>
      </c>
      <c r="D488">
        <f>COUNTIFS('Draft Board'!$BC$2:$BC$87,A488,'Draft Board'!$BJ$2:$BJ$87,"&lt;&gt;")</f>
        <v>0</v>
      </c>
      <c r="E488">
        <f>IFERROR(AVERAGEIFS('Draft Board'!$BI$2:$BI$87,'Draft Board'!$BC$2:$BC$87,A488),0)</f>
        <v>0</v>
      </c>
      <c r="F488">
        <f>MIN(1,E488/(Setup!$B$3*0.1))</f>
        <v>0</v>
      </c>
      <c r="G488">
        <f t="shared" si="15"/>
        <v>1</v>
      </c>
    </row>
    <row r="489" spans="1:7" x14ac:dyDescent="0.25">
      <c r="A489">
        <v>36</v>
      </c>
      <c r="B489">
        <f>SUMIFS('Draft Board'!$BJ$2:$BJ$87,'Draft Board'!$BC$2:$BC$87,A489,'Draft Board'!$BJ$2:$BJ$87,"&lt;&gt;")</f>
        <v>0</v>
      </c>
      <c r="C489">
        <f>SUMIFS('Draft Board'!$BI$2:$BI$87,'Draft Board'!$BC$2:$BC$87,A489,'Draft Board'!$BJ$2:$BJ$87,"&lt;&gt;")</f>
        <v>0</v>
      </c>
      <c r="D489">
        <f>COUNTIFS('Draft Board'!$BC$2:$BC$87,A489,'Draft Board'!$BJ$2:$BJ$87,"&lt;&gt;")</f>
        <v>0</v>
      </c>
      <c r="E489">
        <f>IFERROR(AVERAGEIFS('Draft Board'!$BI$2:$BI$87,'Draft Board'!$BC$2:$BC$87,A489),0)</f>
        <v>0</v>
      </c>
      <c r="F489">
        <f>MIN(1,E489/(Setup!$B$3*0.1))</f>
        <v>0</v>
      </c>
      <c r="G489">
        <f t="shared" si="15"/>
        <v>1</v>
      </c>
    </row>
    <row r="490" spans="1:7" x14ac:dyDescent="0.25">
      <c r="A490">
        <v>37</v>
      </c>
      <c r="B490">
        <f>SUMIFS('Draft Board'!$BJ$2:$BJ$87,'Draft Board'!$BC$2:$BC$87,A490,'Draft Board'!$BJ$2:$BJ$87,"&lt;&gt;")</f>
        <v>0</v>
      </c>
      <c r="C490">
        <f>SUMIFS('Draft Board'!$BI$2:$BI$87,'Draft Board'!$BC$2:$BC$87,A490,'Draft Board'!$BJ$2:$BJ$87,"&lt;&gt;")</f>
        <v>0</v>
      </c>
      <c r="D490">
        <f>COUNTIFS('Draft Board'!$BC$2:$BC$87,A490,'Draft Board'!$BJ$2:$BJ$87,"&lt;&gt;")</f>
        <v>0</v>
      </c>
      <c r="E490">
        <f>IFERROR(AVERAGEIFS('Draft Board'!$BI$2:$BI$87,'Draft Board'!$BC$2:$BC$87,A490),0)</f>
        <v>0</v>
      </c>
      <c r="F490">
        <f>MIN(1,E490/(Setup!$B$3*0.1))</f>
        <v>0</v>
      </c>
      <c r="G490">
        <f t="shared" si="15"/>
        <v>1</v>
      </c>
    </row>
    <row r="491" spans="1:7" x14ac:dyDescent="0.25">
      <c r="A491">
        <v>38</v>
      </c>
      <c r="B491">
        <f>SUMIFS('Draft Board'!$BJ$2:$BJ$87,'Draft Board'!$BC$2:$BC$87,A491,'Draft Board'!$BJ$2:$BJ$87,"&lt;&gt;")</f>
        <v>0</v>
      </c>
      <c r="C491">
        <f>SUMIFS('Draft Board'!$BI$2:$BI$87,'Draft Board'!$BC$2:$BC$87,A491,'Draft Board'!$BJ$2:$BJ$87,"&lt;&gt;")</f>
        <v>0</v>
      </c>
      <c r="D491">
        <f>COUNTIFS('Draft Board'!$BC$2:$BC$87,A491,'Draft Board'!$BJ$2:$BJ$87,"&lt;&gt;")</f>
        <v>0</v>
      </c>
      <c r="E491">
        <f>IFERROR(AVERAGEIFS('Draft Board'!$BI$2:$BI$87,'Draft Board'!$BC$2:$BC$87,A491),0)</f>
        <v>0</v>
      </c>
      <c r="F491">
        <f>MIN(1,E491/(Setup!$B$3*0.1))</f>
        <v>0</v>
      </c>
      <c r="G491">
        <f t="shared" si="15"/>
        <v>1</v>
      </c>
    </row>
    <row r="492" spans="1:7" x14ac:dyDescent="0.25">
      <c r="A492">
        <v>39</v>
      </c>
      <c r="B492">
        <f>SUMIFS('Draft Board'!$BJ$2:$BJ$87,'Draft Board'!$BC$2:$BC$87,A492,'Draft Board'!$BJ$2:$BJ$87,"&lt;&gt;")</f>
        <v>0</v>
      </c>
      <c r="C492">
        <f>SUMIFS('Draft Board'!$BI$2:$BI$87,'Draft Board'!$BC$2:$BC$87,A492,'Draft Board'!$BJ$2:$BJ$87,"&lt;&gt;")</f>
        <v>0</v>
      </c>
      <c r="D492">
        <f>COUNTIFS('Draft Board'!$BC$2:$BC$87,A492,'Draft Board'!$BJ$2:$BJ$87,"&lt;&gt;")</f>
        <v>0</v>
      </c>
      <c r="E492">
        <f>IFERROR(AVERAGEIFS('Draft Board'!$BI$2:$BI$87,'Draft Board'!$BC$2:$BC$87,A492),0)</f>
        <v>0</v>
      </c>
      <c r="F492">
        <f>MIN(1,E492/(Setup!$B$3*0.1))</f>
        <v>0</v>
      </c>
      <c r="G492">
        <f t="shared" si="15"/>
        <v>1</v>
      </c>
    </row>
    <row r="493" spans="1:7" x14ac:dyDescent="0.25">
      <c r="A493">
        <v>40</v>
      </c>
      <c r="B493">
        <f>SUMIFS('Draft Board'!$BJ$2:$BJ$87,'Draft Board'!$BC$2:$BC$87,A493,'Draft Board'!$BJ$2:$BJ$87,"&lt;&gt;")</f>
        <v>0</v>
      </c>
      <c r="C493">
        <f>SUMIFS('Draft Board'!$BI$2:$BI$87,'Draft Board'!$BC$2:$BC$87,A493,'Draft Board'!$BJ$2:$BJ$87,"&lt;&gt;")</f>
        <v>0</v>
      </c>
      <c r="D493">
        <f>COUNTIFS('Draft Board'!$BC$2:$BC$87,A493,'Draft Board'!$BJ$2:$BJ$87,"&lt;&gt;")</f>
        <v>0</v>
      </c>
      <c r="E493">
        <f>IFERROR(AVERAGEIFS('Draft Board'!$BI$2:$BI$87,'Draft Board'!$BC$2:$BC$87,A493),0)</f>
        <v>0</v>
      </c>
      <c r="F493">
        <f>MIN(1,E493/(Setup!$B$3*0.1))</f>
        <v>0</v>
      </c>
      <c r="G493">
        <f t="shared" si="15"/>
        <v>1</v>
      </c>
    </row>
    <row r="494" spans="1:7" x14ac:dyDescent="0.25">
      <c r="A494">
        <v>41</v>
      </c>
      <c r="B494">
        <f>SUMIFS('Draft Board'!$BJ$2:$BJ$87,'Draft Board'!$BC$2:$BC$87,A494,'Draft Board'!$BJ$2:$BJ$87,"&lt;&gt;")</f>
        <v>0</v>
      </c>
      <c r="C494">
        <f>SUMIFS('Draft Board'!$BI$2:$BI$87,'Draft Board'!$BC$2:$BC$87,A494,'Draft Board'!$BJ$2:$BJ$87,"&lt;&gt;")</f>
        <v>0</v>
      </c>
      <c r="D494">
        <f>COUNTIFS('Draft Board'!$BC$2:$BC$87,A494,'Draft Board'!$BJ$2:$BJ$87,"&lt;&gt;")</f>
        <v>0</v>
      </c>
      <c r="E494">
        <f>IFERROR(AVERAGEIFS('Draft Board'!$BI$2:$BI$87,'Draft Board'!$BC$2:$BC$87,A494),0)</f>
        <v>0</v>
      </c>
      <c r="F494">
        <f>MIN(1,E494/(Setup!$B$3*0.1))</f>
        <v>0</v>
      </c>
      <c r="G494">
        <f t="shared" si="15"/>
        <v>1</v>
      </c>
    </row>
    <row r="495" spans="1:7" x14ac:dyDescent="0.25">
      <c r="A495">
        <v>42</v>
      </c>
      <c r="B495">
        <f>SUMIFS('Draft Board'!$BJ$2:$BJ$87,'Draft Board'!$BC$2:$BC$87,A495,'Draft Board'!$BJ$2:$BJ$87,"&lt;&gt;")</f>
        <v>0</v>
      </c>
      <c r="C495">
        <f>SUMIFS('Draft Board'!$BI$2:$BI$87,'Draft Board'!$BC$2:$BC$87,A495,'Draft Board'!$BJ$2:$BJ$87,"&lt;&gt;")</f>
        <v>0</v>
      </c>
      <c r="D495">
        <f>COUNTIFS('Draft Board'!$BC$2:$BC$87,A495,'Draft Board'!$BJ$2:$BJ$87,"&lt;&gt;")</f>
        <v>0</v>
      </c>
      <c r="E495">
        <f>IFERROR(AVERAGEIFS('Draft Board'!$BI$2:$BI$87,'Draft Board'!$BC$2:$BC$87,A495),0)</f>
        <v>0</v>
      </c>
      <c r="F495">
        <f>MIN(1,E495/(Setup!$B$3*0.1))</f>
        <v>0</v>
      </c>
      <c r="G495">
        <f t="shared" si="15"/>
        <v>1</v>
      </c>
    </row>
    <row r="496" spans="1:7" x14ac:dyDescent="0.25">
      <c r="A496">
        <v>43</v>
      </c>
      <c r="B496">
        <f>SUMIFS('Draft Board'!$BJ$2:$BJ$87,'Draft Board'!$BC$2:$BC$87,A496,'Draft Board'!$BJ$2:$BJ$87,"&lt;&gt;")</f>
        <v>0</v>
      </c>
      <c r="C496">
        <f>SUMIFS('Draft Board'!$BI$2:$BI$87,'Draft Board'!$BC$2:$BC$87,A496,'Draft Board'!$BJ$2:$BJ$87,"&lt;&gt;")</f>
        <v>0</v>
      </c>
      <c r="D496">
        <f>COUNTIFS('Draft Board'!$BC$2:$BC$87,A496,'Draft Board'!$BJ$2:$BJ$87,"&lt;&gt;")</f>
        <v>0</v>
      </c>
      <c r="E496">
        <f>IFERROR(AVERAGEIFS('Draft Board'!$BI$2:$BI$87,'Draft Board'!$BC$2:$BC$87,A496),0)</f>
        <v>0</v>
      </c>
      <c r="F496">
        <f>MIN(1,E496/(Setup!$B$3*0.1))</f>
        <v>0</v>
      </c>
      <c r="G496">
        <f t="shared" si="15"/>
        <v>1</v>
      </c>
    </row>
    <row r="497" spans="1:7" x14ac:dyDescent="0.25">
      <c r="A497">
        <v>44</v>
      </c>
      <c r="B497">
        <f>SUMIFS('Draft Board'!$BJ$2:$BJ$87,'Draft Board'!$BC$2:$BC$87,A497,'Draft Board'!$BJ$2:$BJ$87,"&lt;&gt;")</f>
        <v>0</v>
      </c>
      <c r="C497">
        <f>SUMIFS('Draft Board'!$BI$2:$BI$87,'Draft Board'!$BC$2:$BC$87,A497,'Draft Board'!$BJ$2:$BJ$87,"&lt;&gt;")</f>
        <v>0</v>
      </c>
      <c r="D497">
        <f>COUNTIFS('Draft Board'!$BC$2:$BC$87,A497,'Draft Board'!$BJ$2:$BJ$87,"&lt;&gt;")</f>
        <v>0</v>
      </c>
      <c r="E497">
        <f>IFERROR(AVERAGEIFS('Draft Board'!$BI$2:$BI$87,'Draft Board'!$BC$2:$BC$87,A497),0)</f>
        <v>0</v>
      </c>
      <c r="F497">
        <f>MIN(1,E497/(Setup!$B$3*0.1))</f>
        <v>0</v>
      </c>
      <c r="G497">
        <f t="shared" si="15"/>
        <v>1</v>
      </c>
    </row>
    <row r="498" spans="1:7" x14ac:dyDescent="0.25">
      <c r="A498">
        <v>45</v>
      </c>
      <c r="B498">
        <f>SUMIFS('Draft Board'!$BJ$2:$BJ$87,'Draft Board'!$BC$2:$BC$87,A498,'Draft Board'!$BJ$2:$BJ$87,"&lt;&gt;")</f>
        <v>0</v>
      </c>
      <c r="C498">
        <f>SUMIFS('Draft Board'!$BI$2:$BI$87,'Draft Board'!$BC$2:$BC$87,A498,'Draft Board'!$BJ$2:$BJ$87,"&lt;&gt;")</f>
        <v>0</v>
      </c>
      <c r="D498">
        <f>COUNTIFS('Draft Board'!$BC$2:$BC$87,A498,'Draft Board'!$BJ$2:$BJ$87,"&lt;&gt;")</f>
        <v>0</v>
      </c>
      <c r="E498">
        <f>IFERROR(AVERAGEIFS('Draft Board'!$BI$2:$BI$87,'Draft Board'!$BC$2:$BC$87,A498),0)</f>
        <v>0</v>
      </c>
      <c r="F498">
        <f>MIN(1,E498/(Setup!$B$3*0.1))</f>
        <v>0</v>
      </c>
      <c r="G498">
        <f t="shared" si="15"/>
        <v>1</v>
      </c>
    </row>
    <row r="499" spans="1:7" x14ac:dyDescent="0.25">
      <c r="A499">
        <v>46</v>
      </c>
      <c r="B499">
        <f>SUMIFS('Draft Board'!$BJ$2:$BJ$87,'Draft Board'!$BC$2:$BC$87,A499,'Draft Board'!$BJ$2:$BJ$87,"&lt;&gt;")</f>
        <v>0</v>
      </c>
      <c r="C499">
        <f>SUMIFS('Draft Board'!$BI$2:$BI$87,'Draft Board'!$BC$2:$BC$87,A499,'Draft Board'!$BJ$2:$BJ$87,"&lt;&gt;")</f>
        <v>0</v>
      </c>
      <c r="D499">
        <f>COUNTIFS('Draft Board'!$BC$2:$BC$87,A499,'Draft Board'!$BJ$2:$BJ$87,"&lt;&gt;")</f>
        <v>0</v>
      </c>
      <c r="E499">
        <f>IFERROR(AVERAGEIFS('Draft Board'!$BI$2:$BI$87,'Draft Board'!$BC$2:$BC$87,A499),0)</f>
        <v>0</v>
      </c>
      <c r="F499">
        <f>MIN(1,E499/(Setup!$B$3*0.1))</f>
        <v>0</v>
      </c>
      <c r="G499">
        <f t="shared" si="15"/>
        <v>1</v>
      </c>
    </row>
    <row r="500" spans="1:7" x14ac:dyDescent="0.25">
      <c r="A500">
        <v>47</v>
      </c>
      <c r="B500">
        <f>SUMIFS('Draft Board'!$BJ$2:$BJ$87,'Draft Board'!$BC$2:$BC$87,A500,'Draft Board'!$BJ$2:$BJ$87,"&lt;&gt;")</f>
        <v>0</v>
      </c>
      <c r="C500">
        <f>SUMIFS('Draft Board'!$BI$2:$BI$87,'Draft Board'!$BC$2:$BC$87,A500,'Draft Board'!$BJ$2:$BJ$87,"&lt;&gt;")</f>
        <v>0</v>
      </c>
      <c r="D500">
        <f>COUNTIFS('Draft Board'!$BC$2:$BC$87,A500,'Draft Board'!$BJ$2:$BJ$87,"&lt;&gt;")</f>
        <v>0</v>
      </c>
      <c r="E500">
        <f>IFERROR(AVERAGEIFS('Draft Board'!$BI$2:$BI$87,'Draft Board'!$BC$2:$BC$87,A500),0)</f>
        <v>0</v>
      </c>
      <c r="F500">
        <f>MIN(1,E500/(Setup!$B$3*0.1))</f>
        <v>0</v>
      </c>
      <c r="G500">
        <f t="shared" si="15"/>
        <v>1</v>
      </c>
    </row>
    <row r="501" spans="1:7" x14ac:dyDescent="0.25">
      <c r="A501">
        <v>48</v>
      </c>
      <c r="B501">
        <f>SUMIFS('Draft Board'!$BJ$2:$BJ$87,'Draft Board'!$BC$2:$BC$87,A501,'Draft Board'!$BJ$2:$BJ$87,"&lt;&gt;")</f>
        <v>0</v>
      </c>
      <c r="C501">
        <f>SUMIFS('Draft Board'!$BI$2:$BI$87,'Draft Board'!$BC$2:$BC$87,A501,'Draft Board'!$BJ$2:$BJ$87,"&lt;&gt;")</f>
        <v>0</v>
      </c>
      <c r="D501">
        <f>COUNTIFS('Draft Board'!$BC$2:$BC$87,A501,'Draft Board'!$BJ$2:$BJ$87,"&lt;&gt;")</f>
        <v>0</v>
      </c>
      <c r="E501">
        <f>IFERROR(AVERAGEIFS('Draft Board'!$BI$2:$BI$87,'Draft Board'!$BC$2:$BC$87,A501),0)</f>
        <v>0</v>
      </c>
      <c r="F501">
        <f>MIN(1,E501/(Setup!$B$3*0.1))</f>
        <v>0</v>
      </c>
      <c r="G501">
        <f t="shared" si="15"/>
        <v>1</v>
      </c>
    </row>
    <row r="502" spans="1:7" x14ac:dyDescent="0.25">
      <c r="A502">
        <v>49</v>
      </c>
      <c r="B502">
        <f>SUMIFS('Draft Board'!$BJ$2:$BJ$87,'Draft Board'!$BC$2:$BC$87,A502,'Draft Board'!$BJ$2:$BJ$87,"&lt;&gt;")</f>
        <v>0</v>
      </c>
      <c r="C502">
        <f>SUMIFS('Draft Board'!$BI$2:$BI$87,'Draft Board'!$BC$2:$BC$87,A502,'Draft Board'!$BJ$2:$BJ$87,"&lt;&gt;")</f>
        <v>0</v>
      </c>
      <c r="D502">
        <f>COUNTIFS('Draft Board'!$BC$2:$BC$87,A502,'Draft Board'!$BJ$2:$BJ$87,"&lt;&gt;")</f>
        <v>0</v>
      </c>
      <c r="E502">
        <f>IFERROR(AVERAGEIFS('Draft Board'!$BI$2:$BI$87,'Draft Board'!$BC$2:$BC$87,A502),0)</f>
        <v>0</v>
      </c>
      <c r="F502">
        <f>MIN(1,E502/(Setup!$B$3*0.1))</f>
        <v>0</v>
      </c>
      <c r="G502">
        <f t="shared" si="15"/>
        <v>1</v>
      </c>
    </row>
    <row r="503" spans="1:7" x14ac:dyDescent="0.25">
      <c r="A503">
        <v>50</v>
      </c>
      <c r="B503">
        <f>SUMIFS('Draft Board'!$BJ$2:$BJ$87,'Draft Board'!$BC$2:$BC$87,A503,'Draft Board'!$BJ$2:$BJ$87,"&lt;&gt;")</f>
        <v>0</v>
      </c>
      <c r="C503">
        <f>SUMIFS('Draft Board'!$BI$2:$BI$87,'Draft Board'!$BC$2:$BC$87,A503,'Draft Board'!$BJ$2:$BJ$87,"&lt;&gt;")</f>
        <v>0</v>
      </c>
      <c r="D503">
        <f>COUNTIFS('Draft Board'!$BC$2:$BC$87,A503,'Draft Board'!$BJ$2:$BJ$87,"&lt;&gt;")</f>
        <v>0</v>
      </c>
      <c r="E503">
        <f>IFERROR(AVERAGEIFS('Draft Board'!$BI$2:$BI$87,'Draft Board'!$BC$2:$BC$87,A503),0)</f>
        <v>0</v>
      </c>
      <c r="F503">
        <f>MIN(1,E503/(Setup!$B$3*0.1))</f>
        <v>0</v>
      </c>
      <c r="G503">
        <f t="shared" si="15"/>
        <v>1</v>
      </c>
    </row>
    <row r="504" spans="1:7" x14ac:dyDescent="0.25">
      <c r="A504">
        <v>51</v>
      </c>
      <c r="B504">
        <f>SUMIFS('Draft Board'!$BJ$2:$BJ$87,'Draft Board'!$BC$2:$BC$87,A504,'Draft Board'!$BJ$2:$BJ$87,"&lt;&gt;")</f>
        <v>0</v>
      </c>
      <c r="C504">
        <f>SUMIFS('Draft Board'!$BI$2:$BI$87,'Draft Board'!$BC$2:$BC$87,A504,'Draft Board'!$BJ$2:$BJ$87,"&lt;&gt;")</f>
        <v>0</v>
      </c>
      <c r="D504">
        <f>COUNTIFS('Draft Board'!$BC$2:$BC$87,A504,'Draft Board'!$BJ$2:$BJ$87,"&lt;&gt;")</f>
        <v>0</v>
      </c>
      <c r="E504">
        <f>IFERROR(AVERAGEIFS('Draft Board'!$BI$2:$BI$87,'Draft Board'!$BC$2:$BC$87,A504),0)</f>
        <v>0</v>
      </c>
      <c r="F504">
        <f>MIN(1,E504/(Setup!$B$3*0.1))</f>
        <v>0</v>
      </c>
      <c r="G504">
        <f t="shared" si="15"/>
        <v>1</v>
      </c>
    </row>
    <row r="505" spans="1:7" x14ac:dyDescent="0.25">
      <c r="A505">
        <v>52</v>
      </c>
      <c r="B505">
        <f>SUMIFS('Draft Board'!$BJ$2:$BJ$87,'Draft Board'!$BC$2:$BC$87,A505,'Draft Board'!$BJ$2:$BJ$87,"&lt;&gt;")</f>
        <v>0</v>
      </c>
      <c r="C505">
        <f>SUMIFS('Draft Board'!$BI$2:$BI$87,'Draft Board'!$BC$2:$BC$87,A505,'Draft Board'!$BJ$2:$BJ$87,"&lt;&gt;")</f>
        <v>0</v>
      </c>
      <c r="D505">
        <f>COUNTIFS('Draft Board'!$BC$2:$BC$87,A505,'Draft Board'!$BJ$2:$BJ$87,"&lt;&gt;")</f>
        <v>0</v>
      </c>
      <c r="E505">
        <f>IFERROR(AVERAGEIFS('Draft Board'!$BI$2:$BI$87,'Draft Board'!$BC$2:$BC$87,A505),0)</f>
        <v>0</v>
      </c>
      <c r="F505">
        <f>MIN(1,E505/(Setup!$B$3*0.1))</f>
        <v>0</v>
      </c>
      <c r="G505">
        <f t="shared" si="15"/>
        <v>1</v>
      </c>
    </row>
    <row r="506" spans="1:7" x14ac:dyDescent="0.25">
      <c r="A506">
        <v>53</v>
      </c>
      <c r="B506">
        <f>SUMIFS('Draft Board'!$BJ$2:$BJ$87,'Draft Board'!$BC$2:$BC$87,A506,'Draft Board'!$BJ$2:$BJ$87,"&lt;&gt;")</f>
        <v>0</v>
      </c>
      <c r="C506">
        <f>SUMIFS('Draft Board'!$BI$2:$BI$87,'Draft Board'!$BC$2:$BC$87,A506,'Draft Board'!$BJ$2:$BJ$87,"&lt;&gt;")</f>
        <v>0</v>
      </c>
      <c r="D506">
        <f>COUNTIFS('Draft Board'!$BC$2:$BC$87,A506,'Draft Board'!$BJ$2:$BJ$87,"&lt;&gt;")</f>
        <v>0</v>
      </c>
      <c r="E506">
        <f>IFERROR(AVERAGEIFS('Draft Board'!$BI$2:$BI$87,'Draft Board'!$BC$2:$BC$87,A506),0)</f>
        <v>0</v>
      </c>
      <c r="F506">
        <f>MIN(1,E506/(Setup!$B$3*0.1))</f>
        <v>0</v>
      </c>
      <c r="G506">
        <f t="shared" si="15"/>
        <v>1</v>
      </c>
    </row>
    <row r="507" spans="1:7" x14ac:dyDescent="0.25">
      <c r="A507">
        <v>54</v>
      </c>
      <c r="B507">
        <f>SUMIFS('Draft Board'!$BJ$2:$BJ$87,'Draft Board'!$BC$2:$BC$87,A507,'Draft Board'!$BJ$2:$BJ$87,"&lt;&gt;")</f>
        <v>0</v>
      </c>
      <c r="C507">
        <f>SUMIFS('Draft Board'!$BI$2:$BI$87,'Draft Board'!$BC$2:$BC$87,A507,'Draft Board'!$BJ$2:$BJ$87,"&lt;&gt;")</f>
        <v>0</v>
      </c>
      <c r="D507">
        <f>COUNTIFS('Draft Board'!$BC$2:$BC$87,A507,'Draft Board'!$BJ$2:$BJ$87,"&lt;&gt;")</f>
        <v>0</v>
      </c>
      <c r="E507">
        <f>IFERROR(AVERAGEIFS('Draft Board'!$BI$2:$BI$87,'Draft Board'!$BC$2:$BC$87,A507),0)</f>
        <v>0</v>
      </c>
      <c r="F507">
        <f>MIN(1,E507/(Setup!$B$3*0.1))</f>
        <v>0</v>
      </c>
      <c r="G507">
        <f t="shared" si="15"/>
        <v>1</v>
      </c>
    </row>
    <row r="508" spans="1:7" x14ac:dyDescent="0.25">
      <c r="A508">
        <v>55</v>
      </c>
      <c r="B508">
        <f>SUMIFS('Draft Board'!$BJ$2:$BJ$87,'Draft Board'!$BC$2:$BC$87,A508,'Draft Board'!$BJ$2:$BJ$87,"&lt;&gt;")</f>
        <v>0</v>
      </c>
      <c r="C508">
        <f>SUMIFS('Draft Board'!$BI$2:$BI$87,'Draft Board'!$BC$2:$BC$87,A508,'Draft Board'!$BJ$2:$BJ$87,"&lt;&gt;")</f>
        <v>0</v>
      </c>
      <c r="D508">
        <f>COUNTIFS('Draft Board'!$BC$2:$BC$87,A508,'Draft Board'!$BJ$2:$BJ$87,"&lt;&gt;")</f>
        <v>0</v>
      </c>
      <c r="E508">
        <f>IFERROR(AVERAGEIFS('Draft Board'!$BI$2:$BI$87,'Draft Board'!$BC$2:$BC$87,A508),0)</f>
        <v>0</v>
      </c>
      <c r="F508">
        <f>MIN(1,E508/(Setup!$B$3*0.1))</f>
        <v>0</v>
      </c>
      <c r="G508">
        <f t="shared" si="15"/>
        <v>1</v>
      </c>
    </row>
    <row r="509" spans="1:7" x14ac:dyDescent="0.25">
      <c r="A509">
        <v>56</v>
      </c>
      <c r="B509">
        <f>SUMIFS('Draft Board'!$BJ$2:$BJ$87,'Draft Board'!$BC$2:$BC$87,A509,'Draft Board'!$BJ$2:$BJ$87,"&lt;&gt;")</f>
        <v>0</v>
      </c>
      <c r="C509">
        <f>SUMIFS('Draft Board'!$BI$2:$BI$87,'Draft Board'!$BC$2:$BC$87,A509,'Draft Board'!$BJ$2:$BJ$87,"&lt;&gt;")</f>
        <v>0</v>
      </c>
      <c r="D509">
        <f>COUNTIFS('Draft Board'!$BC$2:$BC$87,A509,'Draft Board'!$BJ$2:$BJ$87,"&lt;&gt;")</f>
        <v>0</v>
      </c>
      <c r="E509">
        <f>IFERROR(AVERAGEIFS('Draft Board'!$BI$2:$BI$87,'Draft Board'!$BC$2:$BC$87,A509),0)</f>
        <v>0</v>
      </c>
      <c r="F509">
        <f>MIN(1,E509/(Setup!$B$3*0.1))</f>
        <v>0</v>
      </c>
      <c r="G509">
        <f t="shared" si="15"/>
        <v>1</v>
      </c>
    </row>
    <row r="510" spans="1:7" x14ac:dyDescent="0.25">
      <c r="A510">
        <v>57</v>
      </c>
      <c r="B510">
        <f>SUMIFS('Draft Board'!$BJ$2:$BJ$87,'Draft Board'!$BC$2:$BC$87,A510,'Draft Board'!$BJ$2:$BJ$87,"&lt;&gt;")</f>
        <v>0</v>
      </c>
      <c r="C510">
        <f>SUMIFS('Draft Board'!$BI$2:$BI$87,'Draft Board'!$BC$2:$BC$87,A510,'Draft Board'!$BJ$2:$BJ$87,"&lt;&gt;")</f>
        <v>0</v>
      </c>
      <c r="D510">
        <f>COUNTIFS('Draft Board'!$BC$2:$BC$87,A510,'Draft Board'!$BJ$2:$BJ$87,"&lt;&gt;")</f>
        <v>0</v>
      </c>
      <c r="E510">
        <f>IFERROR(AVERAGEIFS('Draft Board'!$BI$2:$BI$87,'Draft Board'!$BC$2:$BC$87,A510),0)</f>
        <v>0</v>
      </c>
      <c r="F510">
        <f>MIN(1,E510/(Setup!$B$3*0.1))</f>
        <v>0</v>
      </c>
      <c r="G510">
        <f t="shared" si="15"/>
        <v>1</v>
      </c>
    </row>
    <row r="511" spans="1:7" x14ac:dyDescent="0.25">
      <c r="A511">
        <v>58</v>
      </c>
      <c r="B511">
        <f>SUMIFS('Draft Board'!$BJ$2:$BJ$87,'Draft Board'!$BC$2:$BC$87,A511,'Draft Board'!$BJ$2:$BJ$87,"&lt;&gt;")</f>
        <v>0</v>
      </c>
      <c r="C511">
        <f>SUMIFS('Draft Board'!$BI$2:$BI$87,'Draft Board'!$BC$2:$BC$87,A511,'Draft Board'!$BJ$2:$BJ$87,"&lt;&gt;")</f>
        <v>0</v>
      </c>
      <c r="D511">
        <f>COUNTIFS('Draft Board'!$BC$2:$BC$87,A511,'Draft Board'!$BJ$2:$BJ$87,"&lt;&gt;")</f>
        <v>0</v>
      </c>
      <c r="E511">
        <f>IFERROR(AVERAGEIFS('Draft Board'!$BI$2:$BI$87,'Draft Board'!$BC$2:$BC$87,A511),0)</f>
        <v>0</v>
      </c>
      <c r="F511">
        <f>MIN(1,E511/(Setup!$B$3*0.1))</f>
        <v>0</v>
      </c>
      <c r="G511">
        <f t="shared" si="15"/>
        <v>1</v>
      </c>
    </row>
    <row r="512" spans="1:7" x14ac:dyDescent="0.25">
      <c r="A512">
        <v>59</v>
      </c>
      <c r="B512">
        <f>SUMIFS('Draft Board'!$BJ$2:$BJ$87,'Draft Board'!$BC$2:$BC$87,A512,'Draft Board'!$BJ$2:$BJ$87,"&lt;&gt;")</f>
        <v>0</v>
      </c>
      <c r="C512">
        <f>SUMIFS('Draft Board'!$BI$2:$BI$87,'Draft Board'!$BC$2:$BC$87,A512,'Draft Board'!$BJ$2:$BJ$87,"&lt;&gt;")</f>
        <v>0</v>
      </c>
      <c r="D512">
        <f>COUNTIFS('Draft Board'!$BC$2:$BC$87,A512,'Draft Board'!$BJ$2:$BJ$87,"&lt;&gt;")</f>
        <v>0</v>
      </c>
      <c r="E512">
        <f>IFERROR(AVERAGEIFS('Draft Board'!$BI$2:$BI$87,'Draft Board'!$BC$2:$BC$87,A512),0)</f>
        <v>0</v>
      </c>
      <c r="F512">
        <f>MIN(1,E512/(Setup!$B$3*0.1))</f>
        <v>0</v>
      </c>
      <c r="G512">
        <f t="shared" si="15"/>
        <v>1</v>
      </c>
    </row>
    <row r="513" spans="1:7" x14ac:dyDescent="0.25">
      <c r="A513">
        <v>60</v>
      </c>
      <c r="B513">
        <f>SUMIFS('Draft Board'!$BJ$2:$BJ$87,'Draft Board'!$BC$2:$BC$87,A513,'Draft Board'!$BJ$2:$BJ$87,"&lt;&gt;")</f>
        <v>0</v>
      </c>
      <c r="C513">
        <f>SUMIFS('Draft Board'!$BI$2:$BI$87,'Draft Board'!$BC$2:$BC$87,A513,'Draft Board'!$BJ$2:$BJ$87,"&lt;&gt;")</f>
        <v>0</v>
      </c>
      <c r="D513">
        <f>COUNTIFS('Draft Board'!$BC$2:$BC$87,A513,'Draft Board'!$BJ$2:$BJ$87,"&lt;&gt;")</f>
        <v>0</v>
      </c>
      <c r="E513">
        <f>IFERROR(AVERAGEIFS('Draft Board'!$BI$2:$BI$87,'Draft Board'!$BC$2:$BC$87,A513),0)</f>
        <v>0</v>
      </c>
      <c r="F513">
        <f>MIN(1,E513/(Setup!$B$3*0.1))</f>
        <v>0</v>
      </c>
      <c r="G513">
        <f t="shared" si="15"/>
        <v>1</v>
      </c>
    </row>
    <row r="514" spans="1:7" x14ac:dyDescent="0.25">
      <c r="A514">
        <v>61</v>
      </c>
      <c r="B514">
        <f>SUMIFS('Draft Board'!$BJ$2:$BJ$87,'Draft Board'!$BC$2:$BC$87,A514,'Draft Board'!$BJ$2:$BJ$87,"&lt;&gt;")</f>
        <v>0</v>
      </c>
      <c r="C514">
        <f>SUMIFS('Draft Board'!$BI$2:$BI$87,'Draft Board'!$BC$2:$BC$87,A514,'Draft Board'!$BJ$2:$BJ$87,"&lt;&gt;")</f>
        <v>0</v>
      </c>
      <c r="D514">
        <f>COUNTIFS('Draft Board'!$BC$2:$BC$87,A514,'Draft Board'!$BJ$2:$BJ$87,"&lt;&gt;")</f>
        <v>0</v>
      </c>
      <c r="E514">
        <f>IFERROR(AVERAGEIFS('Draft Board'!$BI$2:$BI$87,'Draft Board'!$BC$2:$BC$87,A514),0)</f>
        <v>0</v>
      </c>
      <c r="F514">
        <f>MIN(1,E514/(Setup!$B$3*0.1))</f>
        <v>0</v>
      </c>
      <c r="G514">
        <f t="shared" si="15"/>
        <v>1</v>
      </c>
    </row>
    <row r="515" spans="1:7" x14ac:dyDescent="0.25">
      <c r="A515">
        <v>62</v>
      </c>
      <c r="B515">
        <f>SUMIFS('Draft Board'!$BJ$2:$BJ$87,'Draft Board'!$BC$2:$BC$87,A515,'Draft Board'!$BJ$2:$BJ$87,"&lt;&gt;")</f>
        <v>0</v>
      </c>
      <c r="C515">
        <f>SUMIFS('Draft Board'!$BI$2:$BI$87,'Draft Board'!$BC$2:$BC$87,A515,'Draft Board'!$BJ$2:$BJ$87,"&lt;&gt;")</f>
        <v>0</v>
      </c>
      <c r="D515">
        <f>COUNTIFS('Draft Board'!$BC$2:$BC$87,A515,'Draft Board'!$BJ$2:$BJ$87,"&lt;&gt;")</f>
        <v>0</v>
      </c>
      <c r="E515">
        <f>IFERROR(AVERAGEIFS('Draft Board'!$BI$2:$BI$87,'Draft Board'!$BC$2:$BC$87,A515),0)</f>
        <v>0</v>
      </c>
      <c r="F515">
        <f>MIN(1,E515/(Setup!$B$3*0.1))</f>
        <v>0</v>
      </c>
      <c r="G515">
        <f t="shared" si="15"/>
        <v>1</v>
      </c>
    </row>
    <row r="516" spans="1:7" x14ac:dyDescent="0.25">
      <c r="A516">
        <v>63</v>
      </c>
      <c r="B516">
        <f>SUMIFS('Draft Board'!$BJ$2:$BJ$87,'Draft Board'!$BC$2:$BC$87,A516,'Draft Board'!$BJ$2:$BJ$87,"&lt;&gt;")</f>
        <v>0</v>
      </c>
      <c r="C516">
        <f>SUMIFS('Draft Board'!$BI$2:$BI$87,'Draft Board'!$BC$2:$BC$87,A516,'Draft Board'!$BJ$2:$BJ$87,"&lt;&gt;")</f>
        <v>0</v>
      </c>
      <c r="D516">
        <f>COUNTIFS('Draft Board'!$BC$2:$BC$87,A516,'Draft Board'!$BJ$2:$BJ$87,"&lt;&gt;")</f>
        <v>0</v>
      </c>
      <c r="E516">
        <f>IFERROR(AVERAGEIFS('Draft Board'!$BI$2:$BI$87,'Draft Board'!$BC$2:$BC$87,A516),0)</f>
        <v>0</v>
      </c>
      <c r="F516">
        <f>MIN(1,E516/(Setup!$B$3*0.1))</f>
        <v>0</v>
      </c>
      <c r="G516">
        <f t="shared" si="15"/>
        <v>1</v>
      </c>
    </row>
    <row r="517" spans="1:7" x14ac:dyDescent="0.25">
      <c r="A517">
        <v>64</v>
      </c>
      <c r="B517">
        <f>SUMIFS('Draft Board'!$BJ$2:$BJ$87,'Draft Board'!$BC$2:$BC$87,A517,'Draft Board'!$BJ$2:$BJ$87,"&lt;&gt;")</f>
        <v>0</v>
      </c>
      <c r="C517">
        <f>SUMIFS('Draft Board'!$BI$2:$BI$87,'Draft Board'!$BC$2:$BC$87,A517,'Draft Board'!$BJ$2:$BJ$87,"&lt;&gt;")</f>
        <v>0</v>
      </c>
      <c r="D517">
        <f>COUNTIFS('Draft Board'!$BC$2:$BC$87,A517,'Draft Board'!$BJ$2:$BJ$87,"&lt;&gt;")</f>
        <v>0</v>
      </c>
      <c r="E517">
        <f>IFERROR(AVERAGEIFS('Draft Board'!$BI$2:$BI$87,'Draft Board'!$BC$2:$BC$87,A517),0)</f>
        <v>0</v>
      </c>
      <c r="F517">
        <f>MIN(1,E517/(Setup!$B$3*0.1))</f>
        <v>0</v>
      </c>
      <c r="G517">
        <f t="shared" si="15"/>
        <v>1</v>
      </c>
    </row>
    <row r="518" spans="1:7" x14ac:dyDescent="0.25">
      <c r="A518">
        <v>65</v>
      </c>
      <c r="B518">
        <f>SUMIFS('Draft Board'!$BJ$2:$BJ$87,'Draft Board'!$BC$2:$BC$87,A518,'Draft Board'!$BJ$2:$BJ$87,"&lt;&gt;")</f>
        <v>0</v>
      </c>
      <c r="C518">
        <f>SUMIFS('Draft Board'!$BI$2:$BI$87,'Draft Board'!$BC$2:$BC$87,A518,'Draft Board'!$BJ$2:$BJ$87,"&lt;&gt;")</f>
        <v>0</v>
      </c>
      <c r="D518">
        <f>COUNTIFS('Draft Board'!$BC$2:$BC$87,A518,'Draft Board'!$BJ$2:$BJ$87,"&lt;&gt;")</f>
        <v>0</v>
      </c>
      <c r="E518">
        <f>IFERROR(AVERAGEIFS('Draft Board'!$BI$2:$BI$87,'Draft Board'!$BC$2:$BC$87,A518),0)</f>
        <v>0</v>
      </c>
      <c r="F518">
        <f>MIN(1,E518/(Setup!$B$3*0.1))</f>
        <v>0</v>
      </c>
      <c r="G518">
        <f t="shared" ref="G518:G539" si="16">IF(D518&lt;2,1,MEDIAN(0.5,2,1+(IFERROR(B518/C518,1)-1)*F518))</f>
        <v>1</v>
      </c>
    </row>
    <row r="519" spans="1:7" x14ac:dyDescent="0.25">
      <c r="A519">
        <v>66</v>
      </c>
      <c r="B519">
        <f>SUMIFS('Draft Board'!$BJ$2:$BJ$87,'Draft Board'!$BC$2:$BC$87,A519,'Draft Board'!$BJ$2:$BJ$87,"&lt;&gt;")</f>
        <v>0</v>
      </c>
      <c r="C519">
        <f>SUMIFS('Draft Board'!$BI$2:$BI$87,'Draft Board'!$BC$2:$BC$87,A519,'Draft Board'!$BJ$2:$BJ$87,"&lt;&gt;")</f>
        <v>0</v>
      </c>
      <c r="D519">
        <f>COUNTIFS('Draft Board'!$BC$2:$BC$87,A519,'Draft Board'!$BJ$2:$BJ$87,"&lt;&gt;")</f>
        <v>0</v>
      </c>
      <c r="E519">
        <f>IFERROR(AVERAGEIFS('Draft Board'!$BI$2:$BI$87,'Draft Board'!$BC$2:$BC$87,A519),0)</f>
        <v>0</v>
      </c>
      <c r="F519">
        <f>MIN(1,E519/(Setup!$B$3*0.1))</f>
        <v>0</v>
      </c>
      <c r="G519">
        <f t="shared" si="16"/>
        <v>1</v>
      </c>
    </row>
    <row r="520" spans="1:7" x14ac:dyDescent="0.25">
      <c r="A520">
        <v>67</v>
      </c>
      <c r="B520">
        <f>SUMIFS('Draft Board'!$BJ$2:$BJ$87,'Draft Board'!$BC$2:$BC$87,A520,'Draft Board'!$BJ$2:$BJ$87,"&lt;&gt;")</f>
        <v>0</v>
      </c>
      <c r="C520">
        <f>SUMIFS('Draft Board'!$BI$2:$BI$87,'Draft Board'!$BC$2:$BC$87,A520,'Draft Board'!$BJ$2:$BJ$87,"&lt;&gt;")</f>
        <v>0</v>
      </c>
      <c r="D520">
        <f>COUNTIFS('Draft Board'!$BC$2:$BC$87,A520,'Draft Board'!$BJ$2:$BJ$87,"&lt;&gt;")</f>
        <v>0</v>
      </c>
      <c r="E520">
        <f>IFERROR(AVERAGEIFS('Draft Board'!$BI$2:$BI$87,'Draft Board'!$BC$2:$BC$87,A520),0)</f>
        <v>0</v>
      </c>
      <c r="F520">
        <f>MIN(1,E520/(Setup!$B$3*0.1))</f>
        <v>0</v>
      </c>
      <c r="G520">
        <f t="shared" si="16"/>
        <v>1</v>
      </c>
    </row>
    <row r="521" spans="1:7" x14ac:dyDescent="0.25">
      <c r="A521">
        <v>68</v>
      </c>
      <c r="B521">
        <f>SUMIFS('Draft Board'!$BJ$2:$BJ$87,'Draft Board'!$BC$2:$BC$87,A521,'Draft Board'!$BJ$2:$BJ$87,"&lt;&gt;")</f>
        <v>0</v>
      </c>
      <c r="C521">
        <f>SUMIFS('Draft Board'!$BI$2:$BI$87,'Draft Board'!$BC$2:$BC$87,A521,'Draft Board'!$BJ$2:$BJ$87,"&lt;&gt;")</f>
        <v>0</v>
      </c>
      <c r="D521">
        <f>COUNTIFS('Draft Board'!$BC$2:$BC$87,A521,'Draft Board'!$BJ$2:$BJ$87,"&lt;&gt;")</f>
        <v>0</v>
      </c>
      <c r="E521">
        <f>IFERROR(AVERAGEIFS('Draft Board'!$BI$2:$BI$87,'Draft Board'!$BC$2:$BC$87,A521),0)</f>
        <v>0</v>
      </c>
      <c r="F521">
        <f>MIN(1,E521/(Setup!$B$3*0.1))</f>
        <v>0</v>
      </c>
      <c r="G521">
        <f t="shared" si="16"/>
        <v>1</v>
      </c>
    </row>
    <row r="522" spans="1:7" x14ac:dyDescent="0.25">
      <c r="A522">
        <v>69</v>
      </c>
      <c r="B522">
        <f>SUMIFS('Draft Board'!$BJ$2:$BJ$87,'Draft Board'!$BC$2:$BC$87,A522,'Draft Board'!$BJ$2:$BJ$87,"&lt;&gt;")</f>
        <v>0</v>
      </c>
      <c r="C522">
        <f>SUMIFS('Draft Board'!$BI$2:$BI$87,'Draft Board'!$BC$2:$BC$87,A522,'Draft Board'!$BJ$2:$BJ$87,"&lt;&gt;")</f>
        <v>0</v>
      </c>
      <c r="D522">
        <f>COUNTIFS('Draft Board'!$BC$2:$BC$87,A522,'Draft Board'!$BJ$2:$BJ$87,"&lt;&gt;")</f>
        <v>0</v>
      </c>
      <c r="E522">
        <f>IFERROR(AVERAGEIFS('Draft Board'!$BI$2:$BI$87,'Draft Board'!$BC$2:$BC$87,A522),0)</f>
        <v>0</v>
      </c>
      <c r="F522">
        <f>MIN(1,E522/(Setup!$B$3*0.1))</f>
        <v>0</v>
      </c>
      <c r="G522">
        <f t="shared" si="16"/>
        <v>1</v>
      </c>
    </row>
    <row r="523" spans="1:7" x14ac:dyDescent="0.25">
      <c r="A523">
        <v>70</v>
      </c>
      <c r="B523">
        <f>SUMIFS('Draft Board'!$BJ$2:$BJ$87,'Draft Board'!$BC$2:$BC$87,A523,'Draft Board'!$BJ$2:$BJ$87,"&lt;&gt;")</f>
        <v>0</v>
      </c>
      <c r="C523">
        <f>SUMIFS('Draft Board'!$BI$2:$BI$87,'Draft Board'!$BC$2:$BC$87,A523,'Draft Board'!$BJ$2:$BJ$87,"&lt;&gt;")</f>
        <v>0</v>
      </c>
      <c r="D523">
        <f>COUNTIFS('Draft Board'!$BC$2:$BC$87,A523,'Draft Board'!$BJ$2:$BJ$87,"&lt;&gt;")</f>
        <v>0</v>
      </c>
      <c r="E523">
        <f>IFERROR(AVERAGEIFS('Draft Board'!$BI$2:$BI$87,'Draft Board'!$BC$2:$BC$87,A523),0)</f>
        <v>0</v>
      </c>
      <c r="F523">
        <f>MIN(1,E523/(Setup!$B$3*0.1))</f>
        <v>0</v>
      </c>
      <c r="G523">
        <f t="shared" si="16"/>
        <v>1</v>
      </c>
    </row>
    <row r="524" spans="1:7" x14ac:dyDescent="0.25">
      <c r="A524">
        <v>71</v>
      </c>
      <c r="B524">
        <f>SUMIFS('Draft Board'!$BJ$2:$BJ$87,'Draft Board'!$BC$2:$BC$87,A524,'Draft Board'!$BJ$2:$BJ$87,"&lt;&gt;")</f>
        <v>0</v>
      </c>
      <c r="C524">
        <f>SUMIFS('Draft Board'!$BI$2:$BI$87,'Draft Board'!$BC$2:$BC$87,A524,'Draft Board'!$BJ$2:$BJ$87,"&lt;&gt;")</f>
        <v>0</v>
      </c>
      <c r="D524">
        <f>COUNTIFS('Draft Board'!$BC$2:$BC$87,A524,'Draft Board'!$BJ$2:$BJ$87,"&lt;&gt;")</f>
        <v>0</v>
      </c>
      <c r="E524">
        <f>IFERROR(AVERAGEIFS('Draft Board'!$BI$2:$BI$87,'Draft Board'!$BC$2:$BC$87,A524),0)</f>
        <v>0</v>
      </c>
      <c r="F524">
        <f>MIN(1,E524/(Setup!$B$3*0.1))</f>
        <v>0</v>
      </c>
      <c r="G524">
        <f t="shared" si="16"/>
        <v>1</v>
      </c>
    </row>
    <row r="525" spans="1:7" x14ac:dyDescent="0.25">
      <c r="A525">
        <v>72</v>
      </c>
      <c r="B525">
        <f>SUMIFS('Draft Board'!$BJ$2:$BJ$87,'Draft Board'!$BC$2:$BC$87,A525,'Draft Board'!$BJ$2:$BJ$87,"&lt;&gt;")</f>
        <v>0</v>
      </c>
      <c r="C525">
        <f>SUMIFS('Draft Board'!$BI$2:$BI$87,'Draft Board'!$BC$2:$BC$87,A525,'Draft Board'!$BJ$2:$BJ$87,"&lt;&gt;")</f>
        <v>0</v>
      </c>
      <c r="D525">
        <f>COUNTIFS('Draft Board'!$BC$2:$BC$87,A525,'Draft Board'!$BJ$2:$BJ$87,"&lt;&gt;")</f>
        <v>0</v>
      </c>
      <c r="E525">
        <f>IFERROR(AVERAGEIFS('Draft Board'!$BI$2:$BI$87,'Draft Board'!$BC$2:$BC$87,A525),0)</f>
        <v>0</v>
      </c>
      <c r="F525">
        <f>MIN(1,E525/(Setup!$B$3*0.1))</f>
        <v>0</v>
      </c>
      <c r="G525">
        <f t="shared" si="16"/>
        <v>1</v>
      </c>
    </row>
    <row r="526" spans="1:7" x14ac:dyDescent="0.25">
      <c r="A526">
        <v>73</v>
      </c>
      <c r="B526">
        <f>SUMIFS('Draft Board'!$BJ$2:$BJ$87,'Draft Board'!$BC$2:$BC$87,A526,'Draft Board'!$BJ$2:$BJ$87,"&lt;&gt;")</f>
        <v>0</v>
      </c>
      <c r="C526">
        <f>SUMIFS('Draft Board'!$BI$2:$BI$87,'Draft Board'!$BC$2:$BC$87,A526,'Draft Board'!$BJ$2:$BJ$87,"&lt;&gt;")</f>
        <v>0</v>
      </c>
      <c r="D526">
        <f>COUNTIFS('Draft Board'!$BC$2:$BC$87,A526,'Draft Board'!$BJ$2:$BJ$87,"&lt;&gt;")</f>
        <v>0</v>
      </c>
      <c r="E526">
        <f>IFERROR(AVERAGEIFS('Draft Board'!$BI$2:$BI$87,'Draft Board'!$BC$2:$BC$87,A526),0)</f>
        <v>0</v>
      </c>
      <c r="F526">
        <f>MIN(1,E526/(Setup!$B$3*0.1))</f>
        <v>0</v>
      </c>
      <c r="G526">
        <f t="shared" si="16"/>
        <v>1</v>
      </c>
    </row>
    <row r="527" spans="1:7" x14ac:dyDescent="0.25">
      <c r="A527">
        <v>74</v>
      </c>
      <c r="B527">
        <f>SUMIFS('Draft Board'!$BJ$2:$BJ$87,'Draft Board'!$BC$2:$BC$87,A527,'Draft Board'!$BJ$2:$BJ$87,"&lt;&gt;")</f>
        <v>0</v>
      </c>
      <c r="C527">
        <f>SUMIFS('Draft Board'!$BI$2:$BI$87,'Draft Board'!$BC$2:$BC$87,A527,'Draft Board'!$BJ$2:$BJ$87,"&lt;&gt;")</f>
        <v>0</v>
      </c>
      <c r="D527">
        <f>COUNTIFS('Draft Board'!$BC$2:$BC$87,A527,'Draft Board'!$BJ$2:$BJ$87,"&lt;&gt;")</f>
        <v>0</v>
      </c>
      <c r="E527">
        <f>IFERROR(AVERAGEIFS('Draft Board'!$BI$2:$BI$87,'Draft Board'!$BC$2:$BC$87,A527),0)</f>
        <v>0</v>
      </c>
      <c r="F527">
        <f>MIN(1,E527/(Setup!$B$3*0.1))</f>
        <v>0</v>
      </c>
      <c r="G527">
        <f t="shared" si="16"/>
        <v>1</v>
      </c>
    </row>
    <row r="528" spans="1:7" x14ac:dyDescent="0.25">
      <c r="A528">
        <v>75</v>
      </c>
      <c r="B528">
        <f>SUMIFS('Draft Board'!$BJ$2:$BJ$87,'Draft Board'!$BC$2:$BC$87,A528,'Draft Board'!$BJ$2:$BJ$87,"&lt;&gt;")</f>
        <v>0</v>
      </c>
      <c r="C528">
        <f>SUMIFS('Draft Board'!$BI$2:$BI$87,'Draft Board'!$BC$2:$BC$87,A528,'Draft Board'!$BJ$2:$BJ$87,"&lt;&gt;")</f>
        <v>0</v>
      </c>
      <c r="D528">
        <f>COUNTIFS('Draft Board'!$BC$2:$BC$87,A528,'Draft Board'!$BJ$2:$BJ$87,"&lt;&gt;")</f>
        <v>0</v>
      </c>
      <c r="E528">
        <f>IFERROR(AVERAGEIFS('Draft Board'!$BI$2:$BI$87,'Draft Board'!$BC$2:$BC$87,A528),0)</f>
        <v>0</v>
      </c>
      <c r="F528">
        <f>MIN(1,E528/(Setup!$B$3*0.1))</f>
        <v>0</v>
      </c>
      <c r="G528">
        <f t="shared" si="16"/>
        <v>1</v>
      </c>
    </row>
    <row r="529" spans="1:10" x14ac:dyDescent="0.25">
      <c r="A529">
        <v>76</v>
      </c>
      <c r="B529">
        <f>SUMIFS('Draft Board'!$BJ$2:$BJ$87,'Draft Board'!$BC$2:$BC$87,A529,'Draft Board'!$BJ$2:$BJ$87,"&lt;&gt;")</f>
        <v>0</v>
      </c>
      <c r="C529">
        <f>SUMIFS('Draft Board'!$BI$2:$BI$87,'Draft Board'!$BC$2:$BC$87,A529,'Draft Board'!$BJ$2:$BJ$87,"&lt;&gt;")</f>
        <v>0</v>
      </c>
      <c r="D529">
        <f>COUNTIFS('Draft Board'!$BC$2:$BC$87,A529,'Draft Board'!$BJ$2:$BJ$87,"&lt;&gt;")</f>
        <v>0</v>
      </c>
      <c r="E529">
        <f>IFERROR(AVERAGEIFS('Draft Board'!$BI$2:$BI$87,'Draft Board'!$BC$2:$BC$87,A529),0)</f>
        <v>0</v>
      </c>
      <c r="F529">
        <f>MIN(1,E529/(Setup!$B$3*0.1))</f>
        <v>0</v>
      </c>
      <c r="G529">
        <f t="shared" si="16"/>
        <v>1</v>
      </c>
    </row>
    <row r="530" spans="1:10" x14ac:dyDescent="0.25">
      <c r="A530">
        <v>77</v>
      </c>
      <c r="B530">
        <f>SUMIFS('Draft Board'!$BJ$2:$BJ$87,'Draft Board'!$BC$2:$BC$87,A530,'Draft Board'!$BJ$2:$BJ$87,"&lt;&gt;")</f>
        <v>0</v>
      </c>
      <c r="C530">
        <f>SUMIFS('Draft Board'!$BI$2:$BI$87,'Draft Board'!$BC$2:$BC$87,A530,'Draft Board'!$BJ$2:$BJ$87,"&lt;&gt;")</f>
        <v>0</v>
      </c>
      <c r="D530">
        <f>COUNTIFS('Draft Board'!$BC$2:$BC$87,A530,'Draft Board'!$BJ$2:$BJ$87,"&lt;&gt;")</f>
        <v>0</v>
      </c>
      <c r="E530">
        <f>IFERROR(AVERAGEIFS('Draft Board'!$BI$2:$BI$87,'Draft Board'!$BC$2:$BC$87,A530),0)</f>
        <v>0</v>
      </c>
      <c r="F530">
        <f>MIN(1,E530/(Setup!$B$3*0.1))</f>
        <v>0</v>
      </c>
      <c r="G530">
        <f t="shared" si="16"/>
        <v>1</v>
      </c>
    </row>
    <row r="531" spans="1:10" x14ac:dyDescent="0.25">
      <c r="A531">
        <v>78</v>
      </c>
      <c r="B531">
        <f>SUMIFS('Draft Board'!$BJ$2:$BJ$87,'Draft Board'!$BC$2:$BC$87,A531,'Draft Board'!$BJ$2:$BJ$87,"&lt;&gt;")</f>
        <v>0</v>
      </c>
      <c r="C531">
        <f>SUMIFS('Draft Board'!$BI$2:$BI$87,'Draft Board'!$BC$2:$BC$87,A531,'Draft Board'!$BJ$2:$BJ$87,"&lt;&gt;")</f>
        <v>0</v>
      </c>
      <c r="D531">
        <f>COUNTIFS('Draft Board'!$BC$2:$BC$87,A531,'Draft Board'!$BJ$2:$BJ$87,"&lt;&gt;")</f>
        <v>0</v>
      </c>
      <c r="E531">
        <f>IFERROR(AVERAGEIFS('Draft Board'!$BI$2:$BI$87,'Draft Board'!$BC$2:$BC$87,A531),0)</f>
        <v>0</v>
      </c>
      <c r="F531">
        <f>MIN(1,E531/(Setup!$B$3*0.1))</f>
        <v>0</v>
      </c>
      <c r="G531">
        <f t="shared" si="16"/>
        <v>1</v>
      </c>
    </row>
    <row r="532" spans="1:10" x14ac:dyDescent="0.25">
      <c r="A532">
        <v>79</v>
      </c>
      <c r="B532">
        <f>SUMIFS('Draft Board'!$BJ$2:$BJ$87,'Draft Board'!$BC$2:$BC$87,A532,'Draft Board'!$BJ$2:$BJ$87,"&lt;&gt;")</f>
        <v>0</v>
      </c>
      <c r="C532">
        <f>SUMIFS('Draft Board'!$BI$2:$BI$87,'Draft Board'!$BC$2:$BC$87,A532,'Draft Board'!$BJ$2:$BJ$87,"&lt;&gt;")</f>
        <v>0</v>
      </c>
      <c r="D532">
        <f>COUNTIFS('Draft Board'!$BC$2:$BC$87,A532,'Draft Board'!$BJ$2:$BJ$87,"&lt;&gt;")</f>
        <v>0</v>
      </c>
      <c r="E532">
        <f>IFERROR(AVERAGEIFS('Draft Board'!$BI$2:$BI$87,'Draft Board'!$BC$2:$BC$87,A532),0)</f>
        <v>0</v>
      </c>
      <c r="F532">
        <f>MIN(1,E532/(Setup!$B$3*0.1))</f>
        <v>0</v>
      </c>
      <c r="G532">
        <f t="shared" si="16"/>
        <v>1</v>
      </c>
    </row>
    <row r="533" spans="1:10" x14ac:dyDescent="0.25">
      <c r="A533">
        <v>80</v>
      </c>
      <c r="B533">
        <f>SUMIFS('Draft Board'!$BJ$2:$BJ$87,'Draft Board'!$BC$2:$BC$87,A533,'Draft Board'!$BJ$2:$BJ$87,"&lt;&gt;")</f>
        <v>0</v>
      </c>
      <c r="C533">
        <f>SUMIFS('Draft Board'!$BI$2:$BI$87,'Draft Board'!$BC$2:$BC$87,A533,'Draft Board'!$BJ$2:$BJ$87,"&lt;&gt;")</f>
        <v>0</v>
      </c>
      <c r="D533">
        <f>COUNTIFS('Draft Board'!$BC$2:$BC$87,A533,'Draft Board'!$BJ$2:$BJ$87,"&lt;&gt;")</f>
        <v>0</v>
      </c>
      <c r="E533">
        <f>IFERROR(AVERAGEIFS('Draft Board'!$BI$2:$BI$87,'Draft Board'!$BC$2:$BC$87,A533),0)</f>
        <v>0</v>
      </c>
      <c r="F533">
        <f>MIN(1,E533/(Setup!$B$3*0.1))</f>
        <v>0</v>
      </c>
      <c r="G533">
        <f t="shared" si="16"/>
        <v>1</v>
      </c>
    </row>
    <row r="534" spans="1:10" x14ac:dyDescent="0.25">
      <c r="A534">
        <v>81</v>
      </c>
      <c r="B534">
        <f>SUMIFS('Draft Board'!$BJ$2:$BJ$87,'Draft Board'!$BC$2:$BC$87,A534,'Draft Board'!$BJ$2:$BJ$87,"&lt;&gt;")</f>
        <v>0</v>
      </c>
      <c r="C534">
        <f>SUMIFS('Draft Board'!$BI$2:$BI$87,'Draft Board'!$BC$2:$BC$87,A534,'Draft Board'!$BJ$2:$BJ$87,"&lt;&gt;")</f>
        <v>0</v>
      </c>
      <c r="D534">
        <f>COUNTIFS('Draft Board'!$BC$2:$BC$87,A534,'Draft Board'!$BJ$2:$BJ$87,"&lt;&gt;")</f>
        <v>0</v>
      </c>
      <c r="E534">
        <f>IFERROR(AVERAGEIFS('Draft Board'!$BI$2:$BI$87,'Draft Board'!$BC$2:$BC$87,A534),0)</f>
        <v>0</v>
      </c>
      <c r="F534">
        <f>MIN(1,E534/(Setup!$B$3*0.1))</f>
        <v>0</v>
      </c>
      <c r="G534">
        <f t="shared" si="16"/>
        <v>1</v>
      </c>
    </row>
    <row r="535" spans="1:10" x14ac:dyDescent="0.25">
      <c r="A535">
        <v>82</v>
      </c>
      <c r="B535">
        <f>SUMIFS('Draft Board'!$BJ$2:$BJ$87,'Draft Board'!$BC$2:$BC$87,A535,'Draft Board'!$BJ$2:$BJ$87,"&lt;&gt;")</f>
        <v>0</v>
      </c>
      <c r="C535">
        <f>SUMIFS('Draft Board'!$BI$2:$BI$87,'Draft Board'!$BC$2:$BC$87,A535,'Draft Board'!$BJ$2:$BJ$87,"&lt;&gt;")</f>
        <v>0</v>
      </c>
      <c r="D535">
        <f>COUNTIFS('Draft Board'!$BC$2:$BC$87,A535,'Draft Board'!$BJ$2:$BJ$87,"&lt;&gt;")</f>
        <v>0</v>
      </c>
      <c r="E535">
        <f>IFERROR(AVERAGEIFS('Draft Board'!$BI$2:$BI$87,'Draft Board'!$BC$2:$BC$87,A535),0)</f>
        <v>0</v>
      </c>
      <c r="F535">
        <f>MIN(1,E535/(Setup!$B$3*0.1))</f>
        <v>0</v>
      </c>
      <c r="G535">
        <f t="shared" si="16"/>
        <v>1</v>
      </c>
    </row>
    <row r="536" spans="1:10" x14ac:dyDescent="0.25">
      <c r="A536">
        <v>83</v>
      </c>
      <c r="B536">
        <f>SUMIFS('Draft Board'!$BJ$2:$BJ$87,'Draft Board'!$BC$2:$BC$87,A536,'Draft Board'!$BJ$2:$BJ$87,"&lt;&gt;")</f>
        <v>0</v>
      </c>
      <c r="C536">
        <f>SUMIFS('Draft Board'!$BI$2:$BI$87,'Draft Board'!$BC$2:$BC$87,A536,'Draft Board'!$BJ$2:$BJ$87,"&lt;&gt;")</f>
        <v>0</v>
      </c>
      <c r="D536">
        <f>COUNTIFS('Draft Board'!$BC$2:$BC$87,A536,'Draft Board'!$BJ$2:$BJ$87,"&lt;&gt;")</f>
        <v>0</v>
      </c>
      <c r="E536">
        <f>IFERROR(AVERAGEIFS('Draft Board'!$BI$2:$BI$87,'Draft Board'!$BC$2:$BC$87,A536),0)</f>
        <v>0</v>
      </c>
      <c r="F536">
        <f>MIN(1,E536/(Setup!$B$3*0.1))</f>
        <v>0</v>
      </c>
      <c r="G536">
        <f t="shared" si="16"/>
        <v>1</v>
      </c>
    </row>
    <row r="537" spans="1:10" x14ac:dyDescent="0.25">
      <c r="A537">
        <v>84</v>
      </c>
      <c r="B537">
        <f>SUMIFS('Draft Board'!$BJ$2:$BJ$87,'Draft Board'!$BC$2:$BC$87,A537,'Draft Board'!$BJ$2:$BJ$87,"&lt;&gt;")</f>
        <v>0</v>
      </c>
      <c r="C537">
        <f>SUMIFS('Draft Board'!$BI$2:$BI$87,'Draft Board'!$BC$2:$BC$87,A537,'Draft Board'!$BJ$2:$BJ$87,"&lt;&gt;")</f>
        <v>0</v>
      </c>
      <c r="D537">
        <f>COUNTIFS('Draft Board'!$BC$2:$BC$87,A537,'Draft Board'!$BJ$2:$BJ$87,"&lt;&gt;")</f>
        <v>0</v>
      </c>
      <c r="E537">
        <f>IFERROR(AVERAGEIFS('Draft Board'!$BI$2:$BI$87,'Draft Board'!$BC$2:$BC$87,A537),0)</f>
        <v>0</v>
      </c>
      <c r="F537">
        <f>MIN(1,E537/(Setup!$B$3*0.1))</f>
        <v>0</v>
      </c>
      <c r="G537">
        <f t="shared" si="16"/>
        <v>1</v>
      </c>
    </row>
    <row r="538" spans="1:10" x14ac:dyDescent="0.25">
      <c r="A538">
        <v>85</v>
      </c>
      <c r="B538">
        <f>SUMIFS('Draft Board'!$BJ$2:$BJ$87,'Draft Board'!$BC$2:$BC$87,A538,'Draft Board'!$BJ$2:$BJ$87,"&lt;&gt;")</f>
        <v>0</v>
      </c>
      <c r="C538">
        <f>SUMIFS('Draft Board'!$BI$2:$BI$87,'Draft Board'!$BC$2:$BC$87,A538,'Draft Board'!$BJ$2:$BJ$87,"&lt;&gt;")</f>
        <v>0</v>
      </c>
      <c r="D538">
        <f>COUNTIFS('Draft Board'!$BC$2:$BC$87,A538,'Draft Board'!$BJ$2:$BJ$87,"&lt;&gt;")</f>
        <v>0</v>
      </c>
      <c r="E538">
        <f>IFERROR(AVERAGEIFS('Draft Board'!$BI$2:$BI$87,'Draft Board'!$BC$2:$BC$87,A538),0)</f>
        <v>0</v>
      </c>
      <c r="F538">
        <f>MIN(1,E538/(Setup!$B$3*0.1))</f>
        <v>0</v>
      </c>
      <c r="G538">
        <f t="shared" si="16"/>
        <v>1</v>
      </c>
    </row>
    <row r="539" spans="1:10" x14ac:dyDescent="0.25">
      <c r="A539">
        <v>86</v>
      </c>
      <c r="B539">
        <f>SUMIFS('Draft Board'!$BJ$2:$BJ$87,'Draft Board'!$BC$2:$BC$87,A539,'Draft Board'!$BJ$2:$BJ$87,"&lt;&gt;")</f>
        <v>0</v>
      </c>
      <c r="C539">
        <f>SUMIFS('Draft Board'!$BI$2:$BI$87,'Draft Board'!$BC$2:$BC$87,A539,'Draft Board'!$BJ$2:$BJ$87,"&lt;&gt;")</f>
        <v>0</v>
      </c>
      <c r="D539">
        <f>COUNTIFS('Draft Board'!$BC$2:$BC$87,A539,'Draft Board'!$BJ$2:$BJ$87,"&lt;&gt;")</f>
        <v>0</v>
      </c>
      <c r="E539">
        <f>IFERROR(AVERAGEIFS('Draft Board'!$BI$2:$BI$87,'Draft Board'!$BC$2:$BC$87,A539),0)</f>
        <v>0</v>
      </c>
      <c r="F539">
        <f>MIN(1,E539/(Setup!$B$3*0.1))</f>
        <v>0</v>
      </c>
      <c r="G539">
        <f t="shared" si="16"/>
        <v>1</v>
      </c>
    </row>
    <row r="541" spans="1:10" x14ac:dyDescent="0.25">
      <c r="A541" s="13" t="s">
        <v>627</v>
      </c>
    </row>
    <row r="542" spans="1:10" x14ac:dyDescent="0.25">
      <c r="A542" s="13" t="s">
        <v>628</v>
      </c>
      <c r="B542" s="13" t="s">
        <v>629</v>
      </c>
      <c r="C542" s="13" t="s">
        <v>630</v>
      </c>
      <c r="D542" s="13" t="s">
        <v>631</v>
      </c>
      <c r="E542" s="13" t="s">
        <v>632</v>
      </c>
      <c r="F542" s="13" t="s">
        <v>633</v>
      </c>
      <c r="G542" s="13" t="s">
        <v>634</v>
      </c>
      <c r="H542" s="13" t="s">
        <v>635</v>
      </c>
      <c r="I542" s="13" t="s">
        <v>636</v>
      </c>
      <c r="J542" s="13" t="s">
        <v>637</v>
      </c>
    </row>
    <row r="543" spans="1:10" x14ac:dyDescent="0.25">
      <c r="A543">
        <f>B5</f>
        <v>2208</v>
      </c>
      <c r="B543">
        <f>C26+C27+C28+C29</f>
        <v>23361.714320118477</v>
      </c>
      <c r="C543">
        <f>IFERROR(A543/B543,0)</f>
        <v>9.4513611875586115E-2</v>
      </c>
      <c r="D543">
        <f>SUM('Draft Board'!$N$2:$N$61)+SUM('Draft Board'!$AD$2:$AD$161)+SUM('Draft Board'!$AT$2:$AT$193)+SUM('Draft Board'!$BJ$2:$BJ$87)</f>
        <v>0</v>
      </c>
      <c r="E543">
        <f>COUNT('Draft Board'!$N$2:$N$61)+COUNT('Draft Board'!$AD$2:$AD$161)+COUNT('Draft Board'!$AT$2:$AT$193)+COUNT('Draft Board'!$BJ$2:$BJ$87)</f>
        <v>0</v>
      </c>
      <c r="F543">
        <f>SUMIFS('Draft Board'!$H$2:$H$61,'Draft Board'!$N$2:$N$61,"&lt;&gt;")+SUMIFS('Draft Board'!$X$2:$X$161,'Draft Board'!$AD$2:$AD$161,"&lt;&gt;")+SUMIFS('Draft Board'!$AN$2:$AN$193,'Draft Board'!$AT$2:$AT$193,"&lt;&gt;")+SUMIFS('Draft Board'!$BD$2:$BD$87,'Draft Board'!$BJ$2:$BJ$87,"&lt;&gt;")</f>
        <v>0</v>
      </c>
      <c r="G543">
        <f>A543-(D543-E543)</f>
        <v>2208</v>
      </c>
      <c r="H543">
        <f>B543-F543</f>
        <v>23361.714320118477</v>
      </c>
      <c r="I543">
        <f>IFERROR(G543/H543,0)</f>
        <v>9.4513611875586115E-2</v>
      </c>
      <c r="J543">
        <f>MEDIAN(0.7,1.3,IFERROR(I543/C543,1))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0"/>
  <sheetViews>
    <sheetView tabSelected="1" workbookViewId="0">
      <selection activeCell="D49" sqref="D49"/>
    </sheetView>
  </sheetViews>
  <sheetFormatPr defaultRowHeight="15" x14ac:dyDescent="0.25"/>
  <cols>
    <col min="1" max="1" width="20" customWidth="1"/>
    <col min="2" max="2" width="26" customWidth="1"/>
    <col min="3" max="3" width="15" customWidth="1"/>
  </cols>
  <sheetData>
    <row r="1" spans="1:3" x14ac:dyDescent="0.25">
      <c r="A1" s="13" t="s">
        <v>638</v>
      </c>
      <c r="B1" s="13" t="s">
        <v>43</v>
      </c>
      <c r="C1" s="13" t="s">
        <v>639</v>
      </c>
    </row>
    <row r="2" spans="1:3" x14ac:dyDescent="0.25">
      <c r="A2" t="str">
        <f>IF(AND((2-1)&gt;0,(2-1)&lt;=(0+Setup!$B$11)),"QB",IF(AND((2-1)&gt;(0+Setup!$B$11),(2-1)&lt;=((0+Setup!$B$11)+Setup!$B$13)),"RB",IF(AND((2-1)&gt;((0+Setup!$B$11)+Setup!$B$13),(2-1)&lt;=(((0+Setup!$B$11)+Setup!$B$13)+Setup!$B$15)),"WR",IF(AND((2-1)&gt;(((0+Setup!$B$11)+Setup!$B$13)+Setup!$B$15),(2-1)&lt;=((((0+Setup!$B$11)+Setup!$B$13)+Setup!$B$15)+Setup!$B$17)),"TE",IF(AND((2-1)&gt;((((0+Setup!$B$11)+Setup!$B$13)+Setup!$B$15)+Setup!$B$17),(2-1)&lt;=(((((0+Setup!$B$11)+Setup!$B$13)+Setup!$B$15)+Setup!$B$17)+Setup!$B$19)),"FLEX (RB/WR/TE)",IF(AND((2-1)&gt;(((((0+Setup!$B$11)+Setup!$B$13)+Setup!$B$15)+Setup!$B$17)+Setup!$B$19),(2-1)&lt;=((((((0+Setup!$B$11)+Setup!$B$13)+Setup!$B$15)+Setup!$B$17)+Setup!$B$19)+Setup!$B$21)),"FLEX (RB/WR)",IF(AND((2-1)&gt;((((((0+Setup!$B$11)+Setup!$B$13)+Setup!$B$15)+Setup!$B$17)+Setup!$B$19)+Setup!$B$21),(2-1)&lt;=(((((((0+Setup!$B$11)+Setup!$B$13)+Setup!$B$15)+Setup!$B$17)+Setup!$B$19)+Setup!$B$21)+Setup!$B$23)),"FLEX (WR/TE)",IF(AND((2-1)&gt;(((((((0+Setup!$B$11)+Setup!$B$13)+Setup!$B$15)+Setup!$B$17)+Setup!$B$19)+Setup!$B$21)+Setup!$B$23),(2-1)&lt;=((((((((0+Setup!$B$11)+Setup!$B$13)+Setup!$B$15)+Setup!$B$17)+Setup!$B$19)+Setup!$B$21)+Setup!$B$23)+Setup!$B$25)),"SUPERFLEX",IF(AND((2-1)&gt;((((((((0+Setup!$B$11)+Setup!$B$13)+Setup!$B$15)+Setup!$B$17)+Setup!$B$19)+Setup!$B$21)+Setup!$B$23)+Setup!$B$25),(2-1)&lt;=(((((((((0+Setup!$B$11)+Setup!$B$13)+Setup!$B$15)+Setup!$B$17)+Setup!$B$19)+Setup!$B$21)+Setup!$B$23)+Setup!$B$25)+Setup!$B$27)),"DEF",IF(AND((2-1)&gt;(((((((((0+Setup!$B$11)+Setup!$B$13)+Setup!$B$15)+Setup!$B$17)+Setup!$B$19)+Setup!$B$21)+Setup!$B$23)+Setup!$B$25)+Setup!$B$27),(2-1)&lt;=((((((((((0+Setup!$B$11)+Setup!$B$13)+Setup!$B$15)+Setup!$B$17)+Setup!$B$19)+Setup!$B$21)+Setup!$B$23)+Setup!$B$25)+Setup!$B$27)+Setup!$B$29)),"K",IF(AND((2-1)&gt;((((((((((0+Setup!$B$11)+Setup!$B$13)+Setup!$B$15)+Setup!$B$17)+Setup!$B$19)+Setup!$B$21)+Setup!$B$23)+Setup!$B$25)+Setup!$B$27)+Setup!$B$29),(2-1)&lt;=(((((((((((0+Setup!$B$11)+Setup!$B$13)+Setup!$B$15)+Setup!$B$17)+Setup!$B$19)+Setup!$B$21)+Setup!$B$23)+Setup!$B$25)+Setup!$B$27)+Setup!$B$29)+Setup!$B$31)),"BENCH","")))))))))))</f>
        <v>QB</v>
      </c>
    </row>
    <row r="3" spans="1:3" x14ac:dyDescent="0.25">
      <c r="A3" t="str">
        <f>IF(AND((3-1)&gt;0,(3-1)&lt;=(0+Setup!$B$11)),"QB",IF(AND((3-1)&gt;(0+Setup!$B$11),(3-1)&lt;=((0+Setup!$B$11)+Setup!$B$13)),"RB",IF(AND((3-1)&gt;((0+Setup!$B$11)+Setup!$B$13),(3-1)&lt;=(((0+Setup!$B$11)+Setup!$B$13)+Setup!$B$15)),"WR",IF(AND((3-1)&gt;(((0+Setup!$B$11)+Setup!$B$13)+Setup!$B$15),(3-1)&lt;=((((0+Setup!$B$11)+Setup!$B$13)+Setup!$B$15)+Setup!$B$17)),"TE",IF(AND((3-1)&gt;((((0+Setup!$B$11)+Setup!$B$13)+Setup!$B$15)+Setup!$B$17),(3-1)&lt;=(((((0+Setup!$B$11)+Setup!$B$13)+Setup!$B$15)+Setup!$B$17)+Setup!$B$19)),"FLEX (RB/WR/TE)",IF(AND((3-1)&gt;(((((0+Setup!$B$11)+Setup!$B$13)+Setup!$B$15)+Setup!$B$17)+Setup!$B$19),(3-1)&lt;=((((((0+Setup!$B$11)+Setup!$B$13)+Setup!$B$15)+Setup!$B$17)+Setup!$B$19)+Setup!$B$21)),"FLEX (RB/WR)",IF(AND((3-1)&gt;((((((0+Setup!$B$11)+Setup!$B$13)+Setup!$B$15)+Setup!$B$17)+Setup!$B$19)+Setup!$B$21),(3-1)&lt;=(((((((0+Setup!$B$11)+Setup!$B$13)+Setup!$B$15)+Setup!$B$17)+Setup!$B$19)+Setup!$B$21)+Setup!$B$23)),"FLEX (WR/TE)",IF(AND((3-1)&gt;(((((((0+Setup!$B$11)+Setup!$B$13)+Setup!$B$15)+Setup!$B$17)+Setup!$B$19)+Setup!$B$21)+Setup!$B$23),(3-1)&lt;=((((((((0+Setup!$B$11)+Setup!$B$13)+Setup!$B$15)+Setup!$B$17)+Setup!$B$19)+Setup!$B$21)+Setup!$B$23)+Setup!$B$25)),"SUPERFLEX",IF(AND((3-1)&gt;((((((((0+Setup!$B$11)+Setup!$B$13)+Setup!$B$15)+Setup!$B$17)+Setup!$B$19)+Setup!$B$21)+Setup!$B$23)+Setup!$B$25),(3-1)&lt;=(((((((((0+Setup!$B$11)+Setup!$B$13)+Setup!$B$15)+Setup!$B$17)+Setup!$B$19)+Setup!$B$21)+Setup!$B$23)+Setup!$B$25)+Setup!$B$27)),"DEF",IF(AND((3-1)&gt;(((((((((0+Setup!$B$11)+Setup!$B$13)+Setup!$B$15)+Setup!$B$17)+Setup!$B$19)+Setup!$B$21)+Setup!$B$23)+Setup!$B$25)+Setup!$B$27),(3-1)&lt;=((((((((((0+Setup!$B$11)+Setup!$B$13)+Setup!$B$15)+Setup!$B$17)+Setup!$B$19)+Setup!$B$21)+Setup!$B$23)+Setup!$B$25)+Setup!$B$27)+Setup!$B$29)),"K",IF(AND((3-1)&gt;((((((((((0+Setup!$B$11)+Setup!$B$13)+Setup!$B$15)+Setup!$B$17)+Setup!$B$19)+Setup!$B$21)+Setup!$B$23)+Setup!$B$25)+Setup!$B$27)+Setup!$B$29),(3-1)&lt;=(((((((((((0+Setup!$B$11)+Setup!$B$13)+Setup!$B$15)+Setup!$B$17)+Setup!$B$19)+Setup!$B$21)+Setup!$B$23)+Setup!$B$25)+Setup!$B$27)+Setup!$B$29)+Setup!$B$31)),"BENCH","")))))))))))</f>
        <v>RB</v>
      </c>
    </row>
    <row r="4" spans="1:3" x14ac:dyDescent="0.25">
      <c r="A4" t="str">
        <f>IF(AND((4-1)&gt;0,(4-1)&lt;=(0+Setup!$B$11)),"QB",IF(AND((4-1)&gt;(0+Setup!$B$11),(4-1)&lt;=((0+Setup!$B$11)+Setup!$B$13)),"RB",IF(AND((4-1)&gt;((0+Setup!$B$11)+Setup!$B$13),(4-1)&lt;=(((0+Setup!$B$11)+Setup!$B$13)+Setup!$B$15)),"WR",IF(AND((4-1)&gt;(((0+Setup!$B$11)+Setup!$B$13)+Setup!$B$15),(4-1)&lt;=((((0+Setup!$B$11)+Setup!$B$13)+Setup!$B$15)+Setup!$B$17)),"TE",IF(AND((4-1)&gt;((((0+Setup!$B$11)+Setup!$B$13)+Setup!$B$15)+Setup!$B$17),(4-1)&lt;=(((((0+Setup!$B$11)+Setup!$B$13)+Setup!$B$15)+Setup!$B$17)+Setup!$B$19)),"FLEX (RB/WR/TE)",IF(AND((4-1)&gt;(((((0+Setup!$B$11)+Setup!$B$13)+Setup!$B$15)+Setup!$B$17)+Setup!$B$19),(4-1)&lt;=((((((0+Setup!$B$11)+Setup!$B$13)+Setup!$B$15)+Setup!$B$17)+Setup!$B$19)+Setup!$B$21)),"FLEX (RB/WR)",IF(AND((4-1)&gt;((((((0+Setup!$B$11)+Setup!$B$13)+Setup!$B$15)+Setup!$B$17)+Setup!$B$19)+Setup!$B$21),(4-1)&lt;=(((((((0+Setup!$B$11)+Setup!$B$13)+Setup!$B$15)+Setup!$B$17)+Setup!$B$19)+Setup!$B$21)+Setup!$B$23)),"FLEX (WR/TE)",IF(AND((4-1)&gt;(((((((0+Setup!$B$11)+Setup!$B$13)+Setup!$B$15)+Setup!$B$17)+Setup!$B$19)+Setup!$B$21)+Setup!$B$23),(4-1)&lt;=((((((((0+Setup!$B$11)+Setup!$B$13)+Setup!$B$15)+Setup!$B$17)+Setup!$B$19)+Setup!$B$21)+Setup!$B$23)+Setup!$B$25)),"SUPERFLEX",IF(AND((4-1)&gt;((((((((0+Setup!$B$11)+Setup!$B$13)+Setup!$B$15)+Setup!$B$17)+Setup!$B$19)+Setup!$B$21)+Setup!$B$23)+Setup!$B$25),(4-1)&lt;=(((((((((0+Setup!$B$11)+Setup!$B$13)+Setup!$B$15)+Setup!$B$17)+Setup!$B$19)+Setup!$B$21)+Setup!$B$23)+Setup!$B$25)+Setup!$B$27)),"DEF",IF(AND((4-1)&gt;(((((((((0+Setup!$B$11)+Setup!$B$13)+Setup!$B$15)+Setup!$B$17)+Setup!$B$19)+Setup!$B$21)+Setup!$B$23)+Setup!$B$25)+Setup!$B$27),(4-1)&lt;=((((((((((0+Setup!$B$11)+Setup!$B$13)+Setup!$B$15)+Setup!$B$17)+Setup!$B$19)+Setup!$B$21)+Setup!$B$23)+Setup!$B$25)+Setup!$B$27)+Setup!$B$29)),"K",IF(AND((4-1)&gt;((((((((((0+Setup!$B$11)+Setup!$B$13)+Setup!$B$15)+Setup!$B$17)+Setup!$B$19)+Setup!$B$21)+Setup!$B$23)+Setup!$B$25)+Setup!$B$27)+Setup!$B$29),(4-1)&lt;=(((((((((((0+Setup!$B$11)+Setup!$B$13)+Setup!$B$15)+Setup!$B$17)+Setup!$B$19)+Setup!$B$21)+Setup!$B$23)+Setup!$B$25)+Setup!$B$27)+Setup!$B$29)+Setup!$B$31)),"BENCH","")))))))))))</f>
        <v>RB</v>
      </c>
    </row>
    <row r="5" spans="1:3" x14ac:dyDescent="0.25">
      <c r="A5" t="str">
        <f>IF(AND((5-1)&gt;0,(5-1)&lt;=(0+Setup!$B$11)),"QB",IF(AND((5-1)&gt;(0+Setup!$B$11),(5-1)&lt;=((0+Setup!$B$11)+Setup!$B$13)),"RB",IF(AND((5-1)&gt;((0+Setup!$B$11)+Setup!$B$13),(5-1)&lt;=(((0+Setup!$B$11)+Setup!$B$13)+Setup!$B$15)),"WR",IF(AND((5-1)&gt;(((0+Setup!$B$11)+Setup!$B$13)+Setup!$B$15),(5-1)&lt;=((((0+Setup!$B$11)+Setup!$B$13)+Setup!$B$15)+Setup!$B$17)),"TE",IF(AND((5-1)&gt;((((0+Setup!$B$11)+Setup!$B$13)+Setup!$B$15)+Setup!$B$17),(5-1)&lt;=(((((0+Setup!$B$11)+Setup!$B$13)+Setup!$B$15)+Setup!$B$17)+Setup!$B$19)),"FLEX (RB/WR/TE)",IF(AND((5-1)&gt;(((((0+Setup!$B$11)+Setup!$B$13)+Setup!$B$15)+Setup!$B$17)+Setup!$B$19),(5-1)&lt;=((((((0+Setup!$B$11)+Setup!$B$13)+Setup!$B$15)+Setup!$B$17)+Setup!$B$19)+Setup!$B$21)),"FLEX (RB/WR)",IF(AND((5-1)&gt;((((((0+Setup!$B$11)+Setup!$B$13)+Setup!$B$15)+Setup!$B$17)+Setup!$B$19)+Setup!$B$21),(5-1)&lt;=(((((((0+Setup!$B$11)+Setup!$B$13)+Setup!$B$15)+Setup!$B$17)+Setup!$B$19)+Setup!$B$21)+Setup!$B$23)),"FLEX (WR/TE)",IF(AND((5-1)&gt;(((((((0+Setup!$B$11)+Setup!$B$13)+Setup!$B$15)+Setup!$B$17)+Setup!$B$19)+Setup!$B$21)+Setup!$B$23),(5-1)&lt;=((((((((0+Setup!$B$11)+Setup!$B$13)+Setup!$B$15)+Setup!$B$17)+Setup!$B$19)+Setup!$B$21)+Setup!$B$23)+Setup!$B$25)),"SUPERFLEX",IF(AND((5-1)&gt;((((((((0+Setup!$B$11)+Setup!$B$13)+Setup!$B$15)+Setup!$B$17)+Setup!$B$19)+Setup!$B$21)+Setup!$B$23)+Setup!$B$25),(5-1)&lt;=(((((((((0+Setup!$B$11)+Setup!$B$13)+Setup!$B$15)+Setup!$B$17)+Setup!$B$19)+Setup!$B$21)+Setup!$B$23)+Setup!$B$25)+Setup!$B$27)),"DEF",IF(AND((5-1)&gt;(((((((((0+Setup!$B$11)+Setup!$B$13)+Setup!$B$15)+Setup!$B$17)+Setup!$B$19)+Setup!$B$21)+Setup!$B$23)+Setup!$B$25)+Setup!$B$27),(5-1)&lt;=((((((((((0+Setup!$B$11)+Setup!$B$13)+Setup!$B$15)+Setup!$B$17)+Setup!$B$19)+Setup!$B$21)+Setup!$B$23)+Setup!$B$25)+Setup!$B$27)+Setup!$B$29)),"K",IF(AND((5-1)&gt;((((((((((0+Setup!$B$11)+Setup!$B$13)+Setup!$B$15)+Setup!$B$17)+Setup!$B$19)+Setup!$B$21)+Setup!$B$23)+Setup!$B$25)+Setup!$B$27)+Setup!$B$29),(5-1)&lt;=(((((((((((0+Setup!$B$11)+Setup!$B$13)+Setup!$B$15)+Setup!$B$17)+Setup!$B$19)+Setup!$B$21)+Setup!$B$23)+Setup!$B$25)+Setup!$B$27)+Setup!$B$29)+Setup!$B$31)),"BENCH","")))))))))))</f>
        <v>WR</v>
      </c>
    </row>
    <row r="6" spans="1:3" x14ac:dyDescent="0.25">
      <c r="A6" t="str">
        <f>IF(AND((6-1)&gt;0,(6-1)&lt;=(0+Setup!$B$11)),"QB",IF(AND((6-1)&gt;(0+Setup!$B$11),(6-1)&lt;=((0+Setup!$B$11)+Setup!$B$13)),"RB",IF(AND((6-1)&gt;((0+Setup!$B$11)+Setup!$B$13),(6-1)&lt;=(((0+Setup!$B$11)+Setup!$B$13)+Setup!$B$15)),"WR",IF(AND((6-1)&gt;(((0+Setup!$B$11)+Setup!$B$13)+Setup!$B$15),(6-1)&lt;=((((0+Setup!$B$11)+Setup!$B$13)+Setup!$B$15)+Setup!$B$17)),"TE",IF(AND((6-1)&gt;((((0+Setup!$B$11)+Setup!$B$13)+Setup!$B$15)+Setup!$B$17),(6-1)&lt;=(((((0+Setup!$B$11)+Setup!$B$13)+Setup!$B$15)+Setup!$B$17)+Setup!$B$19)),"FLEX (RB/WR/TE)",IF(AND((6-1)&gt;(((((0+Setup!$B$11)+Setup!$B$13)+Setup!$B$15)+Setup!$B$17)+Setup!$B$19),(6-1)&lt;=((((((0+Setup!$B$11)+Setup!$B$13)+Setup!$B$15)+Setup!$B$17)+Setup!$B$19)+Setup!$B$21)),"FLEX (RB/WR)",IF(AND((6-1)&gt;((((((0+Setup!$B$11)+Setup!$B$13)+Setup!$B$15)+Setup!$B$17)+Setup!$B$19)+Setup!$B$21),(6-1)&lt;=(((((((0+Setup!$B$11)+Setup!$B$13)+Setup!$B$15)+Setup!$B$17)+Setup!$B$19)+Setup!$B$21)+Setup!$B$23)),"FLEX (WR/TE)",IF(AND((6-1)&gt;(((((((0+Setup!$B$11)+Setup!$B$13)+Setup!$B$15)+Setup!$B$17)+Setup!$B$19)+Setup!$B$21)+Setup!$B$23),(6-1)&lt;=((((((((0+Setup!$B$11)+Setup!$B$13)+Setup!$B$15)+Setup!$B$17)+Setup!$B$19)+Setup!$B$21)+Setup!$B$23)+Setup!$B$25)),"SUPERFLEX",IF(AND((6-1)&gt;((((((((0+Setup!$B$11)+Setup!$B$13)+Setup!$B$15)+Setup!$B$17)+Setup!$B$19)+Setup!$B$21)+Setup!$B$23)+Setup!$B$25),(6-1)&lt;=(((((((((0+Setup!$B$11)+Setup!$B$13)+Setup!$B$15)+Setup!$B$17)+Setup!$B$19)+Setup!$B$21)+Setup!$B$23)+Setup!$B$25)+Setup!$B$27)),"DEF",IF(AND((6-1)&gt;(((((((((0+Setup!$B$11)+Setup!$B$13)+Setup!$B$15)+Setup!$B$17)+Setup!$B$19)+Setup!$B$21)+Setup!$B$23)+Setup!$B$25)+Setup!$B$27),(6-1)&lt;=((((((((((0+Setup!$B$11)+Setup!$B$13)+Setup!$B$15)+Setup!$B$17)+Setup!$B$19)+Setup!$B$21)+Setup!$B$23)+Setup!$B$25)+Setup!$B$27)+Setup!$B$29)),"K",IF(AND((6-1)&gt;((((((((((0+Setup!$B$11)+Setup!$B$13)+Setup!$B$15)+Setup!$B$17)+Setup!$B$19)+Setup!$B$21)+Setup!$B$23)+Setup!$B$25)+Setup!$B$27)+Setup!$B$29),(6-1)&lt;=(((((((((((0+Setup!$B$11)+Setup!$B$13)+Setup!$B$15)+Setup!$B$17)+Setup!$B$19)+Setup!$B$21)+Setup!$B$23)+Setup!$B$25)+Setup!$B$27)+Setup!$B$29)+Setup!$B$31)),"BENCH","")))))))))))</f>
        <v>WR</v>
      </c>
    </row>
    <row r="7" spans="1:3" x14ac:dyDescent="0.25">
      <c r="A7" t="str">
        <f>IF(AND((7-1)&gt;0,(7-1)&lt;=(0+Setup!$B$11)),"QB",IF(AND((7-1)&gt;(0+Setup!$B$11),(7-1)&lt;=((0+Setup!$B$11)+Setup!$B$13)),"RB",IF(AND((7-1)&gt;((0+Setup!$B$11)+Setup!$B$13),(7-1)&lt;=(((0+Setup!$B$11)+Setup!$B$13)+Setup!$B$15)),"WR",IF(AND((7-1)&gt;(((0+Setup!$B$11)+Setup!$B$13)+Setup!$B$15),(7-1)&lt;=((((0+Setup!$B$11)+Setup!$B$13)+Setup!$B$15)+Setup!$B$17)),"TE",IF(AND((7-1)&gt;((((0+Setup!$B$11)+Setup!$B$13)+Setup!$B$15)+Setup!$B$17),(7-1)&lt;=(((((0+Setup!$B$11)+Setup!$B$13)+Setup!$B$15)+Setup!$B$17)+Setup!$B$19)),"FLEX (RB/WR/TE)",IF(AND((7-1)&gt;(((((0+Setup!$B$11)+Setup!$B$13)+Setup!$B$15)+Setup!$B$17)+Setup!$B$19),(7-1)&lt;=((((((0+Setup!$B$11)+Setup!$B$13)+Setup!$B$15)+Setup!$B$17)+Setup!$B$19)+Setup!$B$21)),"FLEX (RB/WR)",IF(AND((7-1)&gt;((((((0+Setup!$B$11)+Setup!$B$13)+Setup!$B$15)+Setup!$B$17)+Setup!$B$19)+Setup!$B$21),(7-1)&lt;=(((((((0+Setup!$B$11)+Setup!$B$13)+Setup!$B$15)+Setup!$B$17)+Setup!$B$19)+Setup!$B$21)+Setup!$B$23)),"FLEX (WR/TE)",IF(AND((7-1)&gt;(((((((0+Setup!$B$11)+Setup!$B$13)+Setup!$B$15)+Setup!$B$17)+Setup!$B$19)+Setup!$B$21)+Setup!$B$23),(7-1)&lt;=((((((((0+Setup!$B$11)+Setup!$B$13)+Setup!$B$15)+Setup!$B$17)+Setup!$B$19)+Setup!$B$21)+Setup!$B$23)+Setup!$B$25)),"SUPERFLEX",IF(AND((7-1)&gt;((((((((0+Setup!$B$11)+Setup!$B$13)+Setup!$B$15)+Setup!$B$17)+Setup!$B$19)+Setup!$B$21)+Setup!$B$23)+Setup!$B$25),(7-1)&lt;=(((((((((0+Setup!$B$11)+Setup!$B$13)+Setup!$B$15)+Setup!$B$17)+Setup!$B$19)+Setup!$B$21)+Setup!$B$23)+Setup!$B$25)+Setup!$B$27)),"DEF",IF(AND((7-1)&gt;(((((((((0+Setup!$B$11)+Setup!$B$13)+Setup!$B$15)+Setup!$B$17)+Setup!$B$19)+Setup!$B$21)+Setup!$B$23)+Setup!$B$25)+Setup!$B$27),(7-1)&lt;=((((((((((0+Setup!$B$11)+Setup!$B$13)+Setup!$B$15)+Setup!$B$17)+Setup!$B$19)+Setup!$B$21)+Setup!$B$23)+Setup!$B$25)+Setup!$B$27)+Setup!$B$29)),"K",IF(AND((7-1)&gt;((((((((((0+Setup!$B$11)+Setup!$B$13)+Setup!$B$15)+Setup!$B$17)+Setup!$B$19)+Setup!$B$21)+Setup!$B$23)+Setup!$B$25)+Setup!$B$27)+Setup!$B$29),(7-1)&lt;=(((((((((((0+Setup!$B$11)+Setup!$B$13)+Setup!$B$15)+Setup!$B$17)+Setup!$B$19)+Setup!$B$21)+Setup!$B$23)+Setup!$B$25)+Setup!$B$27)+Setup!$B$29)+Setup!$B$31)),"BENCH","")))))))))))</f>
        <v>WR</v>
      </c>
    </row>
    <row r="8" spans="1:3" x14ac:dyDescent="0.25">
      <c r="A8" t="str">
        <f>IF(AND((8-1)&gt;0,(8-1)&lt;=(0+Setup!$B$11)),"QB",IF(AND((8-1)&gt;(0+Setup!$B$11),(8-1)&lt;=((0+Setup!$B$11)+Setup!$B$13)),"RB",IF(AND((8-1)&gt;((0+Setup!$B$11)+Setup!$B$13),(8-1)&lt;=(((0+Setup!$B$11)+Setup!$B$13)+Setup!$B$15)),"WR",IF(AND((8-1)&gt;(((0+Setup!$B$11)+Setup!$B$13)+Setup!$B$15),(8-1)&lt;=((((0+Setup!$B$11)+Setup!$B$13)+Setup!$B$15)+Setup!$B$17)),"TE",IF(AND((8-1)&gt;((((0+Setup!$B$11)+Setup!$B$13)+Setup!$B$15)+Setup!$B$17),(8-1)&lt;=(((((0+Setup!$B$11)+Setup!$B$13)+Setup!$B$15)+Setup!$B$17)+Setup!$B$19)),"FLEX (RB/WR/TE)",IF(AND((8-1)&gt;(((((0+Setup!$B$11)+Setup!$B$13)+Setup!$B$15)+Setup!$B$17)+Setup!$B$19),(8-1)&lt;=((((((0+Setup!$B$11)+Setup!$B$13)+Setup!$B$15)+Setup!$B$17)+Setup!$B$19)+Setup!$B$21)),"FLEX (RB/WR)",IF(AND((8-1)&gt;((((((0+Setup!$B$11)+Setup!$B$13)+Setup!$B$15)+Setup!$B$17)+Setup!$B$19)+Setup!$B$21),(8-1)&lt;=(((((((0+Setup!$B$11)+Setup!$B$13)+Setup!$B$15)+Setup!$B$17)+Setup!$B$19)+Setup!$B$21)+Setup!$B$23)),"FLEX (WR/TE)",IF(AND((8-1)&gt;(((((((0+Setup!$B$11)+Setup!$B$13)+Setup!$B$15)+Setup!$B$17)+Setup!$B$19)+Setup!$B$21)+Setup!$B$23),(8-1)&lt;=((((((((0+Setup!$B$11)+Setup!$B$13)+Setup!$B$15)+Setup!$B$17)+Setup!$B$19)+Setup!$B$21)+Setup!$B$23)+Setup!$B$25)),"SUPERFLEX",IF(AND((8-1)&gt;((((((((0+Setup!$B$11)+Setup!$B$13)+Setup!$B$15)+Setup!$B$17)+Setup!$B$19)+Setup!$B$21)+Setup!$B$23)+Setup!$B$25),(8-1)&lt;=(((((((((0+Setup!$B$11)+Setup!$B$13)+Setup!$B$15)+Setup!$B$17)+Setup!$B$19)+Setup!$B$21)+Setup!$B$23)+Setup!$B$25)+Setup!$B$27)),"DEF",IF(AND((8-1)&gt;(((((((((0+Setup!$B$11)+Setup!$B$13)+Setup!$B$15)+Setup!$B$17)+Setup!$B$19)+Setup!$B$21)+Setup!$B$23)+Setup!$B$25)+Setup!$B$27),(8-1)&lt;=((((((((((0+Setup!$B$11)+Setup!$B$13)+Setup!$B$15)+Setup!$B$17)+Setup!$B$19)+Setup!$B$21)+Setup!$B$23)+Setup!$B$25)+Setup!$B$27)+Setup!$B$29)),"K",IF(AND((8-1)&gt;((((((((((0+Setup!$B$11)+Setup!$B$13)+Setup!$B$15)+Setup!$B$17)+Setup!$B$19)+Setup!$B$21)+Setup!$B$23)+Setup!$B$25)+Setup!$B$27)+Setup!$B$29),(8-1)&lt;=(((((((((((0+Setup!$B$11)+Setup!$B$13)+Setup!$B$15)+Setup!$B$17)+Setup!$B$19)+Setup!$B$21)+Setup!$B$23)+Setup!$B$25)+Setup!$B$27)+Setup!$B$29)+Setup!$B$31)),"BENCH","")))))))))))</f>
        <v>TE</v>
      </c>
    </row>
    <row r="9" spans="1:3" x14ac:dyDescent="0.25">
      <c r="A9" t="str">
        <f>IF(AND((9-1)&gt;0,(9-1)&lt;=(0+Setup!$B$11)),"QB",IF(AND((9-1)&gt;(0+Setup!$B$11),(9-1)&lt;=((0+Setup!$B$11)+Setup!$B$13)),"RB",IF(AND((9-1)&gt;((0+Setup!$B$11)+Setup!$B$13),(9-1)&lt;=(((0+Setup!$B$11)+Setup!$B$13)+Setup!$B$15)),"WR",IF(AND((9-1)&gt;(((0+Setup!$B$11)+Setup!$B$13)+Setup!$B$15),(9-1)&lt;=((((0+Setup!$B$11)+Setup!$B$13)+Setup!$B$15)+Setup!$B$17)),"TE",IF(AND((9-1)&gt;((((0+Setup!$B$11)+Setup!$B$13)+Setup!$B$15)+Setup!$B$17),(9-1)&lt;=(((((0+Setup!$B$11)+Setup!$B$13)+Setup!$B$15)+Setup!$B$17)+Setup!$B$19)),"FLEX (RB/WR/TE)",IF(AND((9-1)&gt;(((((0+Setup!$B$11)+Setup!$B$13)+Setup!$B$15)+Setup!$B$17)+Setup!$B$19),(9-1)&lt;=((((((0+Setup!$B$11)+Setup!$B$13)+Setup!$B$15)+Setup!$B$17)+Setup!$B$19)+Setup!$B$21)),"FLEX (RB/WR)",IF(AND((9-1)&gt;((((((0+Setup!$B$11)+Setup!$B$13)+Setup!$B$15)+Setup!$B$17)+Setup!$B$19)+Setup!$B$21),(9-1)&lt;=(((((((0+Setup!$B$11)+Setup!$B$13)+Setup!$B$15)+Setup!$B$17)+Setup!$B$19)+Setup!$B$21)+Setup!$B$23)),"FLEX (WR/TE)",IF(AND((9-1)&gt;(((((((0+Setup!$B$11)+Setup!$B$13)+Setup!$B$15)+Setup!$B$17)+Setup!$B$19)+Setup!$B$21)+Setup!$B$23),(9-1)&lt;=((((((((0+Setup!$B$11)+Setup!$B$13)+Setup!$B$15)+Setup!$B$17)+Setup!$B$19)+Setup!$B$21)+Setup!$B$23)+Setup!$B$25)),"SUPERFLEX",IF(AND((9-1)&gt;((((((((0+Setup!$B$11)+Setup!$B$13)+Setup!$B$15)+Setup!$B$17)+Setup!$B$19)+Setup!$B$21)+Setup!$B$23)+Setup!$B$25),(9-1)&lt;=(((((((((0+Setup!$B$11)+Setup!$B$13)+Setup!$B$15)+Setup!$B$17)+Setup!$B$19)+Setup!$B$21)+Setup!$B$23)+Setup!$B$25)+Setup!$B$27)),"DEF",IF(AND((9-1)&gt;(((((((((0+Setup!$B$11)+Setup!$B$13)+Setup!$B$15)+Setup!$B$17)+Setup!$B$19)+Setup!$B$21)+Setup!$B$23)+Setup!$B$25)+Setup!$B$27),(9-1)&lt;=((((((((((0+Setup!$B$11)+Setup!$B$13)+Setup!$B$15)+Setup!$B$17)+Setup!$B$19)+Setup!$B$21)+Setup!$B$23)+Setup!$B$25)+Setup!$B$27)+Setup!$B$29)),"K",IF(AND((9-1)&gt;((((((((((0+Setup!$B$11)+Setup!$B$13)+Setup!$B$15)+Setup!$B$17)+Setup!$B$19)+Setup!$B$21)+Setup!$B$23)+Setup!$B$25)+Setup!$B$27)+Setup!$B$29),(9-1)&lt;=(((((((((((0+Setup!$B$11)+Setup!$B$13)+Setup!$B$15)+Setup!$B$17)+Setup!$B$19)+Setup!$B$21)+Setup!$B$23)+Setup!$B$25)+Setup!$B$27)+Setup!$B$29)+Setup!$B$31)),"BENCH","")))))))))))</f>
        <v>FLEX (RB/WR/TE)</v>
      </c>
    </row>
    <row r="10" spans="1:3" x14ac:dyDescent="0.25">
      <c r="A10" t="str">
        <f>IF(AND((10-1)&gt;0,(10-1)&lt;=(0+Setup!$B$11)),"QB",IF(AND((10-1)&gt;(0+Setup!$B$11),(10-1)&lt;=((0+Setup!$B$11)+Setup!$B$13)),"RB",IF(AND((10-1)&gt;((0+Setup!$B$11)+Setup!$B$13),(10-1)&lt;=(((0+Setup!$B$11)+Setup!$B$13)+Setup!$B$15)),"WR",IF(AND((10-1)&gt;(((0+Setup!$B$11)+Setup!$B$13)+Setup!$B$15),(10-1)&lt;=((((0+Setup!$B$11)+Setup!$B$13)+Setup!$B$15)+Setup!$B$17)),"TE",IF(AND((10-1)&gt;((((0+Setup!$B$11)+Setup!$B$13)+Setup!$B$15)+Setup!$B$17),(10-1)&lt;=(((((0+Setup!$B$11)+Setup!$B$13)+Setup!$B$15)+Setup!$B$17)+Setup!$B$19)),"FLEX (RB/WR/TE)",IF(AND((10-1)&gt;(((((0+Setup!$B$11)+Setup!$B$13)+Setup!$B$15)+Setup!$B$17)+Setup!$B$19),(10-1)&lt;=((((((0+Setup!$B$11)+Setup!$B$13)+Setup!$B$15)+Setup!$B$17)+Setup!$B$19)+Setup!$B$21)),"FLEX (RB/WR)",IF(AND((10-1)&gt;((((((0+Setup!$B$11)+Setup!$B$13)+Setup!$B$15)+Setup!$B$17)+Setup!$B$19)+Setup!$B$21),(10-1)&lt;=(((((((0+Setup!$B$11)+Setup!$B$13)+Setup!$B$15)+Setup!$B$17)+Setup!$B$19)+Setup!$B$21)+Setup!$B$23)),"FLEX (WR/TE)",IF(AND((10-1)&gt;(((((((0+Setup!$B$11)+Setup!$B$13)+Setup!$B$15)+Setup!$B$17)+Setup!$B$19)+Setup!$B$21)+Setup!$B$23),(10-1)&lt;=((((((((0+Setup!$B$11)+Setup!$B$13)+Setup!$B$15)+Setup!$B$17)+Setup!$B$19)+Setup!$B$21)+Setup!$B$23)+Setup!$B$25)),"SUPERFLEX",IF(AND((10-1)&gt;((((((((0+Setup!$B$11)+Setup!$B$13)+Setup!$B$15)+Setup!$B$17)+Setup!$B$19)+Setup!$B$21)+Setup!$B$23)+Setup!$B$25),(10-1)&lt;=(((((((((0+Setup!$B$11)+Setup!$B$13)+Setup!$B$15)+Setup!$B$17)+Setup!$B$19)+Setup!$B$21)+Setup!$B$23)+Setup!$B$25)+Setup!$B$27)),"DEF",IF(AND((10-1)&gt;(((((((((0+Setup!$B$11)+Setup!$B$13)+Setup!$B$15)+Setup!$B$17)+Setup!$B$19)+Setup!$B$21)+Setup!$B$23)+Setup!$B$25)+Setup!$B$27),(10-1)&lt;=((((((((((0+Setup!$B$11)+Setup!$B$13)+Setup!$B$15)+Setup!$B$17)+Setup!$B$19)+Setup!$B$21)+Setup!$B$23)+Setup!$B$25)+Setup!$B$27)+Setup!$B$29)),"K",IF(AND((10-1)&gt;((((((((((0+Setup!$B$11)+Setup!$B$13)+Setup!$B$15)+Setup!$B$17)+Setup!$B$19)+Setup!$B$21)+Setup!$B$23)+Setup!$B$25)+Setup!$B$27)+Setup!$B$29),(10-1)&lt;=(((((((((((0+Setup!$B$11)+Setup!$B$13)+Setup!$B$15)+Setup!$B$17)+Setup!$B$19)+Setup!$B$21)+Setup!$B$23)+Setup!$B$25)+Setup!$B$27)+Setup!$B$29)+Setup!$B$31)),"BENCH","")))))))))))</f>
        <v>DEF</v>
      </c>
    </row>
    <row r="11" spans="1:3" x14ac:dyDescent="0.25">
      <c r="A11" t="str">
        <f>IF(AND((11-1)&gt;0,(11-1)&lt;=(0+Setup!$B$11)),"QB",IF(AND((11-1)&gt;(0+Setup!$B$11),(11-1)&lt;=((0+Setup!$B$11)+Setup!$B$13)),"RB",IF(AND((11-1)&gt;((0+Setup!$B$11)+Setup!$B$13),(11-1)&lt;=(((0+Setup!$B$11)+Setup!$B$13)+Setup!$B$15)),"WR",IF(AND((11-1)&gt;(((0+Setup!$B$11)+Setup!$B$13)+Setup!$B$15),(11-1)&lt;=((((0+Setup!$B$11)+Setup!$B$13)+Setup!$B$15)+Setup!$B$17)),"TE",IF(AND((11-1)&gt;((((0+Setup!$B$11)+Setup!$B$13)+Setup!$B$15)+Setup!$B$17),(11-1)&lt;=(((((0+Setup!$B$11)+Setup!$B$13)+Setup!$B$15)+Setup!$B$17)+Setup!$B$19)),"FLEX (RB/WR/TE)",IF(AND((11-1)&gt;(((((0+Setup!$B$11)+Setup!$B$13)+Setup!$B$15)+Setup!$B$17)+Setup!$B$19),(11-1)&lt;=((((((0+Setup!$B$11)+Setup!$B$13)+Setup!$B$15)+Setup!$B$17)+Setup!$B$19)+Setup!$B$21)),"FLEX (RB/WR)",IF(AND((11-1)&gt;((((((0+Setup!$B$11)+Setup!$B$13)+Setup!$B$15)+Setup!$B$17)+Setup!$B$19)+Setup!$B$21),(11-1)&lt;=(((((((0+Setup!$B$11)+Setup!$B$13)+Setup!$B$15)+Setup!$B$17)+Setup!$B$19)+Setup!$B$21)+Setup!$B$23)),"FLEX (WR/TE)",IF(AND((11-1)&gt;(((((((0+Setup!$B$11)+Setup!$B$13)+Setup!$B$15)+Setup!$B$17)+Setup!$B$19)+Setup!$B$21)+Setup!$B$23),(11-1)&lt;=((((((((0+Setup!$B$11)+Setup!$B$13)+Setup!$B$15)+Setup!$B$17)+Setup!$B$19)+Setup!$B$21)+Setup!$B$23)+Setup!$B$25)),"SUPERFLEX",IF(AND((11-1)&gt;((((((((0+Setup!$B$11)+Setup!$B$13)+Setup!$B$15)+Setup!$B$17)+Setup!$B$19)+Setup!$B$21)+Setup!$B$23)+Setup!$B$25),(11-1)&lt;=(((((((((0+Setup!$B$11)+Setup!$B$13)+Setup!$B$15)+Setup!$B$17)+Setup!$B$19)+Setup!$B$21)+Setup!$B$23)+Setup!$B$25)+Setup!$B$27)),"DEF",IF(AND((11-1)&gt;(((((((((0+Setup!$B$11)+Setup!$B$13)+Setup!$B$15)+Setup!$B$17)+Setup!$B$19)+Setup!$B$21)+Setup!$B$23)+Setup!$B$25)+Setup!$B$27),(11-1)&lt;=((((((((((0+Setup!$B$11)+Setup!$B$13)+Setup!$B$15)+Setup!$B$17)+Setup!$B$19)+Setup!$B$21)+Setup!$B$23)+Setup!$B$25)+Setup!$B$27)+Setup!$B$29)),"K",IF(AND((11-1)&gt;((((((((((0+Setup!$B$11)+Setup!$B$13)+Setup!$B$15)+Setup!$B$17)+Setup!$B$19)+Setup!$B$21)+Setup!$B$23)+Setup!$B$25)+Setup!$B$27)+Setup!$B$29),(11-1)&lt;=(((((((((((0+Setup!$B$11)+Setup!$B$13)+Setup!$B$15)+Setup!$B$17)+Setup!$B$19)+Setup!$B$21)+Setup!$B$23)+Setup!$B$25)+Setup!$B$27)+Setup!$B$29)+Setup!$B$31)),"BENCH","")))))))))))</f>
        <v>K</v>
      </c>
    </row>
    <row r="12" spans="1:3" x14ac:dyDescent="0.25">
      <c r="A12" t="str">
        <f>IF(AND((12-1)&gt;0,(12-1)&lt;=(0+Setup!$B$11)),"QB",IF(AND((12-1)&gt;(0+Setup!$B$11),(12-1)&lt;=((0+Setup!$B$11)+Setup!$B$13)),"RB",IF(AND((12-1)&gt;((0+Setup!$B$11)+Setup!$B$13),(12-1)&lt;=(((0+Setup!$B$11)+Setup!$B$13)+Setup!$B$15)),"WR",IF(AND((12-1)&gt;(((0+Setup!$B$11)+Setup!$B$13)+Setup!$B$15),(12-1)&lt;=((((0+Setup!$B$11)+Setup!$B$13)+Setup!$B$15)+Setup!$B$17)),"TE",IF(AND((12-1)&gt;((((0+Setup!$B$11)+Setup!$B$13)+Setup!$B$15)+Setup!$B$17),(12-1)&lt;=(((((0+Setup!$B$11)+Setup!$B$13)+Setup!$B$15)+Setup!$B$17)+Setup!$B$19)),"FLEX (RB/WR/TE)",IF(AND((12-1)&gt;(((((0+Setup!$B$11)+Setup!$B$13)+Setup!$B$15)+Setup!$B$17)+Setup!$B$19),(12-1)&lt;=((((((0+Setup!$B$11)+Setup!$B$13)+Setup!$B$15)+Setup!$B$17)+Setup!$B$19)+Setup!$B$21)),"FLEX (RB/WR)",IF(AND((12-1)&gt;((((((0+Setup!$B$11)+Setup!$B$13)+Setup!$B$15)+Setup!$B$17)+Setup!$B$19)+Setup!$B$21),(12-1)&lt;=(((((((0+Setup!$B$11)+Setup!$B$13)+Setup!$B$15)+Setup!$B$17)+Setup!$B$19)+Setup!$B$21)+Setup!$B$23)),"FLEX (WR/TE)",IF(AND((12-1)&gt;(((((((0+Setup!$B$11)+Setup!$B$13)+Setup!$B$15)+Setup!$B$17)+Setup!$B$19)+Setup!$B$21)+Setup!$B$23),(12-1)&lt;=((((((((0+Setup!$B$11)+Setup!$B$13)+Setup!$B$15)+Setup!$B$17)+Setup!$B$19)+Setup!$B$21)+Setup!$B$23)+Setup!$B$25)),"SUPERFLEX",IF(AND((12-1)&gt;((((((((0+Setup!$B$11)+Setup!$B$13)+Setup!$B$15)+Setup!$B$17)+Setup!$B$19)+Setup!$B$21)+Setup!$B$23)+Setup!$B$25),(12-1)&lt;=(((((((((0+Setup!$B$11)+Setup!$B$13)+Setup!$B$15)+Setup!$B$17)+Setup!$B$19)+Setup!$B$21)+Setup!$B$23)+Setup!$B$25)+Setup!$B$27)),"DEF",IF(AND((12-1)&gt;(((((((((0+Setup!$B$11)+Setup!$B$13)+Setup!$B$15)+Setup!$B$17)+Setup!$B$19)+Setup!$B$21)+Setup!$B$23)+Setup!$B$25)+Setup!$B$27),(12-1)&lt;=((((((((((0+Setup!$B$11)+Setup!$B$13)+Setup!$B$15)+Setup!$B$17)+Setup!$B$19)+Setup!$B$21)+Setup!$B$23)+Setup!$B$25)+Setup!$B$27)+Setup!$B$29)),"K",IF(AND((12-1)&gt;((((((((((0+Setup!$B$11)+Setup!$B$13)+Setup!$B$15)+Setup!$B$17)+Setup!$B$19)+Setup!$B$21)+Setup!$B$23)+Setup!$B$25)+Setup!$B$27)+Setup!$B$29),(12-1)&lt;=(((((((((((0+Setup!$B$11)+Setup!$B$13)+Setup!$B$15)+Setup!$B$17)+Setup!$B$19)+Setup!$B$21)+Setup!$B$23)+Setup!$B$25)+Setup!$B$27)+Setup!$B$29)+Setup!$B$31)),"BENCH","")))))))))))</f>
        <v>BENCH</v>
      </c>
    </row>
    <row r="13" spans="1:3" x14ac:dyDescent="0.25">
      <c r="A13" t="str">
        <f>IF(AND((13-1)&gt;0,(13-1)&lt;=(0+Setup!$B$11)),"QB",IF(AND((13-1)&gt;(0+Setup!$B$11),(13-1)&lt;=((0+Setup!$B$11)+Setup!$B$13)),"RB",IF(AND((13-1)&gt;((0+Setup!$B$11)+Setup!$B$13),(13-1)&lt;=(((0+Setup!$B$11)+Setup!$B$13)+Setup!$B$15)),"WR",IF(AND((13-1)&gt;(((0+Setup!$B$11)+Setup!$B$13)+Setup!$B$15),(13-1)&lt;=((((0+Setup!$B$11)+Setup!$B$13)+Setup!$B$15)+Setup!$B$17)),"TE",IF(AND((13-1)&gt;((((0+Setup!$B$11)+Setup!$B$13)+Setup!$B$15)+Setup!$B$17),(13-1)&lt;=(((((0+Setup!$B$11)+Setup!$B$13)+Setup!$B$15)+Setup!$B$17)+Setup!$B$19)),"FLEX (RB/WR/TE)",IF(AND((13-1)&gt;(((((0+Setup!$B$11)+Setup!$B$13)+Setup!$B$15)+Setup!$B$17)+Setup!$B$19),(13-1)&lt;=((((((0+Setup!$B$11)+Setup!$B$13)+Setup!$B$15)+Setup!$B$17)+Setup!$B$19)+Setup!$B$21)),"FLEX (RB/WR)",IF(AND((13-1)&gt;((((((0+Setup!$B$11)+Setup!$B$13)+Setup!$B$15)+Setup!$B$17)+Setup!$B$19)+Setup!$B$21),(13-1)&lt;=(((((((0+Setup!$B$11)+Setup!$B$13)+Setup!$B$15)+Setup!$B$17)+Setup!$B$19)+Setup!$B$21)+Setup!$B$23)),"FLEX (WR/TE)",IF(AND((13-1)&gt;(((((((0+Setup!$B$11)+Setup!$B$13)+Setup!$B$15)+Setup!$B$17)+Setup!$B$19)+Setup!$B$21)+Setup!$B$23),(13-1)&lt;=((((((((0+Setup!$B$11)+Setup!$B$13)+Setup!$B$15)+Setup!$B$17)+Setup!$B$19)+Setup!$B$21)+Setup!$B$23)+Setup!$B$25)),"SUPERFLEX",IF(AND((13-1)&gt;((((((((0+Setup!$B$11)+Setup!$B$13)+Setup!$B$15)+Setup!$B$17)+Setup!$B$19)+Setup!$B$21)+Setup!$B$23)+Setup!$B$25),(13-1)&lt;=(((((((((0+Setup!$B$11)+Setup!$B$13)+Setup!$B$15)+Setup!$B$17)+Setup!$B$19)+Setup!$B$21)+Setup!$B$23)+Setup!$B$25)+Setup!$B$27)),"DEF",IF(AND((13-1)&gt;(((((((((0+Setup!$B$11)+Setup!$B$13)+Setup!$B$15)+Setup!$B$17)+Setup!$B$19)+Setup!$B$21)+Setup!$B$23)+Setup!$B$25)+Setup!$B$27),(13-1)&lt;=((((((((((0+Setup!$B$11)+Setup!$B$13)+Setup!$B$15)+Setup!$B$17)+Setup!$B$19)+Setup!$B$21)+Setup!$B$23)+Setup!$B$25)+Setup!$B$27)+Setup!$B$29)),"K",IF(AND((13-1)&gt;((((((((((0+Setup!$B$11)+Setup!$B$13)+Setup!$B$15)+Setup!$B$17)+Setup!$B$19)+Setup!$B$21)+Setup!$B$23)+Setup!$B$25)+Setup!$B$27)+Setup!$B$29),(13-1)&lt;=(((((((((((0+Setup!$B$11)+Setup!$B$13)+Setup!$B$15)+Setup!$B$17)+Setup!$B$19)+Setup!$B$21)+Setup!$B$23)+Setup!$B$25)+Setup!$B$27)+Setup!$B$29)+Setup!$B$31)),"BENCH","")))))))))))</f>
        <v>BENCH</v>
      </c>
    </row>
    <row r="14" spans="1:3" x14ac:dyDescent="0.25">
      <c r="A14" t="str">
        <f>IF(AND((14-1)&gt;0,(14-1)&lt;=(0+Setup!$B$11)),"QB",IF(AND((14-1)&gt;(0+Setup!$B$11),(14-1)&lt;=((0+Setup!$B$11)+Setup!$B$13)),"RB",IF(AND((14-1)&gt;((0+Setup!$B$11)+Setup!$B$13),(14-1)&lt;=(((0+Setup!$B$11)+Setup!$B$13)+Setup!$B$15)),"WR",IF(AND((14-1)&gt;(((0+Setup!$B$11)+Setup!$B$13)+Setup!$B$15),(14-1)&lt;=((((0+Setup!$B$11)+Setup!$B$13)+Setup!$B$15)+Setup!$B$17)),"TE",IF(AND((14-1)&gt;((((0+Setup!$B$11)+Setup!$B$13)+Setup!$B$15)+Setup!$B$17),(14-1)&lt;=(((((0+Setup!$B$11)+Setup!$B$13)+Setup!$B$15)+Setup!$B$17)+Setup!$B$19)),"FLEX (RB/WR/TE)",IF(AND((14-1)&gt;(((((0+Setup!$B$11)+Setup!$B$13)+Setup!$B$15)+Setup!$B$17)+Setup!$B$19),(14-1)&lt;=((((((0+Setup!$B$11)+Setup!$B$13)+Setup!$B$15)+Setup!$B$17)+Setup!$B$19)+Setup!$B$21)),"FLEX (RB/WR)",IF(AND((14-1)&gt;((((((0+Setup!$B$11)+Setup!$B$13)+Setup!$B$15)+Setup!$B$17)+Setup!$B$19)+Setup!$B$21),(14-1)&lt;=(((((((0+Setup!$B$11)+Setup!$B$13)+Setup!$B$15)+Setup!$B$17)+Setup!$B$19)+Setup!$B$21)+Setup!$B$23)),"FLEX (WR/TE)",IF(AND((14-1)&gt;(((((((0+Setup!$B$11)+Setup!$B$13)+Setup!$B$15)+Setup!$B$17)+Setup!$B$19)+Setup!$B$21)+Setup!$B$23),(14-1)&lt;=((((((((0+Setup!$B$11)+Setup!$B$13)+Setup!$B$15)+Setup!$B$17)+Setup!$B$19)+Setup!$B$21)+Setup!$B$23)+Setup!$B$25)),"SUPERFLEX",IF(AND((14-1)&gt;((((((((0+Setup!$B$11)+Setup!$B$13)+Setup!$B$15)+Setup!$B$17)+Setup!$B$19)+Setup!$B$21)+Setup!$B$23)+Setup!$B$25),(14-1)&lt;=(((((((((0+Setup!$B$11)+Setup!$B$13)+Setup!$B$15)+Setup!$B$17)+Setup!$B$19)+Setup!$B$21)+Setup!$B$23)+Setup!$B$25)+Setup!$B$27)),"DEF",IF(AND((14-1)&gt;(((((((((0+Setup!$B$11)+Setup!$B$13)+Setup!$B$15)+Setup!$B$17)+Setup!$B$19)+Setup!$B$21)+Setup!$B$23)+Setup!$B$25)+Setup!$B$27),(14-1)&lt;=((((((((((0+Setup!$B$11)+Setup!$B$13)+Setup!$B$15)+Setup!$B$17)+Setup!$B$19)+Setup!$B$21)+Setup!$B$23)+Setup!$B$25)+Setup!$B$27)+Setup!$B$29)),"K",IF(AND((14-1)&gt;((((((((((0+Setup!$B$11)+Setup!$B$13)+Setup!$B$15)+Setup!$B$17)+Setup!$B$19)+Setup!$B$21)+Setup!$B$23)+Setup!$B$25)+Setup!$B$27)+Setup!$B$29),(14-1)&lt;=(((((((((((0+Setup!$B$11)+Setup!$B$13)+Setup!$B$15)+Setup!$B$17)+Setup!$B$19)+Setup!$B$21)+Setup!$B$23)+Setup!$B$25)+Setup!$B$27)+Setup!$B$29)+Setup!$B$31)),"BENCH","")))))))))))</f>
        <v>BENCH</v>
      </c>
    </row>
    <row r="15" spans="1:3" x14ac:dyDescent="0.25">
      <c r="A15" t="str">
        <f>IF(AND((15-1)&gt;0,(15-1)&lt;=(0+Setup!$B$11)),"QB",IF(AND((15-1)&gt;(0+Setup!$B$11),(15-1)&lt;=((0+Setup!$B$11)+Setup!$B$13)),"RB",IF(AND((15-1)&gt;((0+Setup!$B$11)+Setup!$B$13),(15-1)&lt;=(((0+Setup!$B$11)+Setup!$B$13)+Setup!$B$15)),"WR",IF(AND((15-1)&gt;(((0+Setup!$B$11)+Setup!$B$13)+Setup!$B$15),(15-1)&lt;=((((0+Setup!$B$11)+Setup!$B$13)+Setup!$B$15)+Setup!$B$17)),"TE",IF(AND((15-1)&gt;((((0+Setup!$B$11)+Setup!$B$13)+Setup!$B$15)+Setup!$B$17),(15-1)&lt;=(((((0+Setup!$B$11)+Setup!$B$13)+Setup!$B$15)+Setup!$B$17)+Setup!$B$19)),"FLEX (RB/WR/TE)",IF(AND((15-1)&gt;(((((0+Setup!$B$11)+Setup!$B$13)+Setup!$B$15)+Setup!$B$17)+Setup!$B$19),(15-1)&lt;=((((((0+Setup!$B$11)+Setup!$B$13)+Setup!$B$15)+Setup!$B$17)+Setup!$B$19)+Setup!$B$21)),"FLEX (RB/WR)",IF(AND((15-1)&gt;((((((0+Setup!$B$11)+Setup!$B$13)+Setup!$B$15)+Setup!$B$17)+Setup!$B$19)+Setup!$B$21),(15-1)&lt;=(((((((0+Setup!$B$11)+Setup!$B$13)+Setup!$B$15)+Setup!$B$17)+Setup!$B$19)+Setup!$B$21)+Setup!$B$23)),"FLEX (WR/TE)",IF(AND((15-1)&gt;(((((((0+Setup!$B$11)+Setup!$B$13)+Setup!$B$15)+Setup!$B$17)+Setup!$B$19)+Setup!$B$21)+Setup!$B$23),(15-1)&lt;=((((((((0+Setup!$B$11)+Setup!$B$13)+Setup!$B$15)+Setup!$B$17)+Setup!$B$19)+Setup!$B$21)+Setup!$B$23)+Setup!$B$25)),"SUPERFLEX",IF(AND((15-1)&gt;((((((((0+Setup!$B$11)+Setup!$B$13)+Setup!$B$15)+Setup!$B$17)+Setup!$B$19)+Setup!$B$21)+Setup!$B$23)+Setup!$B$25),(15-1)&lt;=(((((((((0+Setup!$B$11)+Setup!$B$13)+Setup!$B$15)+Setup!$B$17)+Setup!$B$19)+Setup!$B$21)+Setup!$B$23)+Setup!$B$25)+Setup!$B$27)),"DEF",IF(AND((15-1)&gt;(((((((((0+Setup!$B$11)+Setup!$B$13)+Setup!$B$15)+Setup!$B$17)+Setup!$B$19)+Setup!$B$21)+Setup!$B$23)+Setup!$B$25)+Setup!$B$27),(15-1)&lt;=((((((((((0+Setup!$B$11)+Setup!$B$13)+Setup!$B$15)+Setup!$B$17)+Setup!$B$19)+Setup!$B$21)+Setup!$B$23)+Setup!$B$25)+Setup!$B$27)+Setup!$B$29)),"K",IF(AND((15-1)&gt;((((((((((0+Setup!$B$11)+Setup!$B$13)+Setup!$B$15)+Setup!$B$17)+Setup!$B$19)+Setup!$B$21)+Setup!$B$23)+Setup!$B$25)+Setup!$B$27)+Setup!$B$29),(15-1)&lt;=(((((((((((0+Setup!$B$11)+Setup!$B$13)+Setup!$B$15)+Setup!$B$17)+Setup!$B$19)+Setup!$B$21)+Setup!$B$23)+Setup!$B$25)+Setup!$B$27)+Setup!$B$29)+Setup!$B$31)),"BENCH","")))))))))))</f>
        <v>BENCH</v>
      </c>
    </row>
    <row r="16" spans="1:3" x14ac:dyDescent="0.25">
      <c r="A16" t="str">
        <f>IF(AND((16-1)&gt;0,(16-1)&lt;=(0+Setup!$B$11)),"QB",IF(AND((16-1)&gt;(0+Setup!$B$11),(16-1)&lt;=((0+Setup!$B$11)+Setup!$B$13)),"RB",IF(AND((16-1)&gt;((0+Setup!$B$11)+Setup!$B$13),(16-1)&lt;=(((0+Setup!$B$11)+Setup!$B$13)+Setup!$B$15)),"WR",IF(AND((16-1)&gt;(((0+Setup!$B$11)+Setup!$B$13)+Setup!$B$15),(16-1)&lt;=((((0+Setup!$B$11)+Setup!$B$13)+Setup!$B$15)+Setup!$B$17)),"TE",IF(AND((16-1)&gt;((((0+Setup!$B$11)+Setup!$B$13)+Setup!$B$15)+Setup!$B$17),(16-1)&lt;=(((((0+Setup!$B$11)+Setup!$B$13)+Setup!$B$15)+Setup!$B$17)+Setup!$B$19)),"FLEX (RB/WR/TE)",IF(AND((16-1)&gt;(((((0+Setup!$B$11)+Setup!$B$13)+Setup!$B$15)+Setup!$B$17)+Setup!$B$19),(16-1)&lt;=((((((0+Setup!$B$11)+Setup!$B$13)+Setup!$B$15)+Setup!$B$17)+Setup!$B$19)+Setup!$B$21)),"FLEX (RB/WR)",IF(AND((16-1)&gt;((((((0+Setup!$B$11)+Setup!$B$13)+Setup!$B$15)+Setup!$B$17)+Setup!$B$19)+Setup!$B$21),(16-1)&lt;=(((((((0+Setup!$B$11)+Setup!$B$13)+Setup!$B$15)+Setup!$B$17)+Setup!$B$19)+Setup!$B$21)+Setup!$B$23)),"FLEX (WR/TE)",IF(AND((16-1)&gt;(((((((0+Setup!$B$11)+Setup!$B$13)+Setup!$B$15)+Setup!$B$17)+Setup!$B$19)+Setup!$B$21)+Setup!$B$23),(16-1)&lt;=((((((((0+Setup!$B$11)+Setup!$B$13)+Setup!$B$15)+Setup!$B$17)+Setup!$B$19)+Setup!$B$21)+Setup!$B$23)+Setup!$B$25)),"SUPERFLEX",IF(AND((16-1)&gt;((((((((0+Setup!$B$11)+Setup!$B$13)+Setup!$B$15)+Setup!$B$17)+Setup!$B$19)+Setup!$B$21)+Setup!$B$23)+Setup!$B$25),(16-1)&lt;=(((((((((0+Setup!$B$11)+Setup!$B$13)+Setup!$B$15)+Setup!$B$17)+Setup!$B$19)+Setup!$B$21)+Setup!$B$23)+Setup!$B$25)+Setup!$B$27)),"DEF",IF(AND((16-1)&gt;(((((((((0+Setup!$B$11)+Setup!$B$13)+Setup!$B$15)+Setup!$B$17)+Setup!$B$19)+Setup!$B$21)+Setup!$B$23)+Setup!$B$25)+Setup!$B$27),(16-1)&lt;=((((((((((0+Setup!$B$11)+Setup!$B$13)+Setup!$B$15)+Setup!$B$17)+Setup!$B$19)+Setup!$B$21)+Setup!$B$23)+Setup!$B$25)+Setup!$B$27)+Setup!$B$29)),"K",IF(AND((16-1)&gt;((((((((((0+Setup!$B$11)+Setup!$B$13)+Setup!$B$15)+Setup!$B$17)+Setup!$B$19)+Setup!$B$21)+Setup!$B$23)+Setup!$B$25)+Setup!$B$27)+Setup!$B$29),(16-1)&lt;=(((((((((((0+Setup!$B$11)+Setup!$B$13)+Setup!$B$15)+Setup!$B$17)+Setup!$B$19)+Setup!$B$21)+Setup!$B$23)+Setup!$B$25)+Setup!$B$27)+Setup!$B$29)+Setup!$B$31)),"BENCH","")))))))))))</f>
        <v>BENCH</v>
      </c>
    </row>
    <row r="17" spans="1:1" x14ac:dyDescent="0.25">
      <c r="A17" t="str">
        <f>IF(AND((17-1)&gt;0,(17-1)&lt;=(0+Setup!$B$11)),"QB",IF(AND((17-1)&gt;(0+Setup!$B$11),(17-1)&lt;=((0+Setup!$B$11)+Setup!$B$13)),"RB",IF(AND((17-1)&gt;((0+Setup!$B$11)+Setup!$B$13),(17-1)&lt;=(((0+Setup!$B$11)+Setup!$B$13)+Setup!$B$15)),"WR",IF(AND((17-1)&gt;(((0+Setup!$B$11)+Setup!$B$13)+Setup!$B$15),(17-1)&lt;=((((0+Setup!$B$11)+Setup!$B$13)+Setup!$B$15)+Setup!$B$17)),"TE",IF(AND((17-1)&gt;((((0+Setup!$B$11)+Setup!$B$13)+Setup!$B$15)+Setup!$B$17),(17-1)&lt;=(((((0+Setup!$B$11)+Setup!$B$13)+Setup!$B$15)+Setup!$B$17)+Setup!$B$19)),"FLEX (RB/WR/TE)",IF(AND((17-1)&gt;(((((0+Setup!$B$11)+Setup!$B$13)+Setup!$B$15)+Setup!$B$17)+Setup!$B$19),(17-1)&lt;=((((((0+Setup!$B$11)+Setup!$B$13)+Setup!$B$15)+Setup!$B$17)+Setup!$B$19)+Setup!$B$21)),"FLEX (RB/WR)",IF(AND((17-1)&gt;((((((0+Setup!$B$11)+Setup!$B$13)+Setup!$B$15)+Setup!$B$17)+Setup!$B$19)+Setup!$B$21),(17-1)&lt;=(((((((0+Setup!$B$11)+Setup!$B$13)+Setup!$B$15)+Setup!$B$17)+Setup!$B$19)+Setup!$B$21)+Setup!$B$23)),"FLEX (WR/TE)",IF(AND((17-1)&gt;(((((((0+Setup!$B$11)+Setup!$B$13)+Setup!$B$15)+Setup!$B$17)+Setup!$B$19)+Setup!$B$21)+Setup!$B$23),(17-1)&lt;=((((((((0+Setup!$B$11)+Setup!$B$13)+Setup!$B$15)+Setup!$B$17)+Setup!$B$19)+Setup!$B$21)+Setup!$B$23)+Setup!$B$25)),"SUPERFLEX",IF(AND((17-1)&gt;((((((((0+Setup!$B$11)+Setup!$B$13)+Setup!$B$15)+Setup!$B$17)+Setup!$B$19)+Setup!$B$21)+Setup!$B$23)+Setup!$B$25),(17-1)&lt;=(((((((((0+Setup!$B$11)+Setup!$B$13)+Setup!$B$15)+Setup!$B$17)+Setup!$B$19)+Setup!$B$21)+Setup!$B$23)+Setup!$B$25)+Setup!$B$27)),"DEF",IF(AND((17-1)&gt;(((((((((0+Setup!$B$11)+Setup!$B$13)+Setup!$B$15)+Setup!$B$17)+Setup!$B$19)+Setup!$B$21)+Setup!$B$23)+Setup!$B$25)+Setup!$B$27),(17-1)&lt;=((((((((((0+Setup!$B$11)+Setup!$B$13)+Setup!$B$15)+Setup!$B$17)+Setup!$B$19)+Setup!$B$21)+Setup!$B$23)+Setup!$B$25)+Setup!$B$27)+Setup!$B$29)),"K",IF(AND((17-1)&gt;((((((((((0+Setup!$B$11)+Setup!$B$13)+Setup!$B$15)+Setup!$B$17)+Setup!$B$19)+Setup!$B$21)+Setup!$B$23)+Setup!$B$25)+Setup!$B$27)+Setup!$B$29),(17-1)&lt;=(((((((((((0+Setup!$B$11)+Setup!$B$13)+Setup!$B$15)+Setup!$B$17)+Setup!$B$19)+Setup!$B$21)+Setup!$B$23)+Setup!$B$25)+Setup!$B$27)+Setup!$B$29)+Setup!$B$31)),"BENCH","")))))))))))</f>
        <v>BENCH</v>
      </c>
    </row>
    <row r="18" spans="1:1" x14ac:dyDescent="0.25">
      <c r="A18" t="str">
        <f>IF(AND((18-1)&gt;0,(18-1)&lt;=(0+Setup!$B$11)),"QB",IF(AND((18-1)&gt;(0+Setup!$B$11),(18-1)&lt;=((0+Setup!$B$11)+Setup!$B$13)),"RB",IF(AND((18-1)&gt;((0+Setup!$B$11)+Setup!$B$13),(18-1)&lt;=(((0+Setup!$B$11)+Setup!$B$13)+Setup!$B$15)),"WR",IF(AND((18-1)&gt;(((0+Setup!$B$11)+Setup!$B$13)+Setup!$B$15),(18-1)&lt;=((((0+Setup!$B$11)+Setup!$B$13)+Setup!$B$15)+Setup!$B$17)),"TE",IF(AND((18-1)&gt;((((0+Setup!$B$11)+Setup!$B$13)+Setup!$B$15)+Setup!$B$17),(18-1)&lt;=(((((0+Setup!$B$11)+Setup!$B$13)+Setup!$B$15)+Setup!$B$17)+Setup!$B$19)),"FLEX (RB/WR/TE)",IF(AND((18-1)&gt;(((((0+Setup!$B$11)+Setup!$B$13)+Setup!$B$15)+Setup!$B$17)+Setup!$B$19),(18-1)&lt;=((((((0+Setup!$B$11)+Setup!$B$13)+Setup!$B$15)+Setup!$B$17)+Setup!$B$19)+Setup!$B$21)),"FLEX (RB/WR)",IF(AND((18-1)&gt;((((((0+Setup!$B$11)+Setup!$B$13)+Setup!$B$15)+Setup!$B$17)+Setup!$B$19)+Setup!$B$21),(18-1)&lt;=(((((((0+Setup!$B$11)+Setup!$B$13)+Setup!$B$15)+Setup!$B$17)+Setup!$B$19)+Setup!$B$21)+Setup!$B$23)),"FLEX (WR/TE)",IF(AND((18-1)&gt;(((((((0+Setup!$B$11)+Setup!$B$13)+Setup!$B$15)+Setup!$B$17)+Setup!$B$19)+Setup!$B$21)+Setup!$B$23),(18-1)&lt;=((((((((0+Setup!$B$11)+Setup!$B$13)+Setup!$B$15)+Setup!$B$17)+Setup!$B$19)+Setup!$B$21)+Setup!$B$23)+Setup!$B$25)),"SUPERFLEX",IF(AND((18-1)&gt;((((((((0+Setup!$B$11)+Setup!$B$13)+Setup!$B$15)+Setup!$B$17)+Setup!$B$19)+Setup!$B$21)+Setup!$B$23)+Setup!$B$25),(18-1)&lt;=(((((((((0+Setup!$B$11)+Setup!$B$13)+Setup!$B$15)+Setup!$B$17)+Setup!$B$19)+Setup!$B$21)+Setup!$B$23)+Setup!$B$25)+Setup!$B$27)),"DEF",IF(AND((18-1)&gt;(((((((((0+Setup!$B$11)+Setup!$B$13)+Setup!$B$15)+Setup!$B$17)+Setup!$B$19)+Setup!$B$21)+Setup!$B$23)+Setup!$B$25)+Setup!$B$27),(18-1)&lt;=((((((((((0+Setup!$B$11)+Setup!$B$13)+Setup!$B$15)+Setup!$B$17)+Setup!$B$19)+Setup!$B$21)+Setup!$B$23)+Setup!$B$25)+Setup!$B$27)+Setup!$B$29)),"K",IF(AND((18-1)&gt;((((((((((0+Setup!$B$11)+Setup!$B$13)+Setup!$B$15)+Setup!$B$17)+Setup!$B$19)+Setup!$B$21)+Setup!$B$23)+Setup!$B$25)+Setup!$B$27)+Setup!$B$29),(18-1)&lt;=(((((((((((0+Setup!$B$11)+Setup!$B$13)+Setup!$B$15)+Setup!$B$17)+Setup!$B$19)+Setup!$B$21)+Setup!$B$23)+Setup!$B$25)+Setup!$B$27)+Setup!$B$29)+Setup!$B$31)),"BENCH","")))))))))))</f>
        <v/>
      </c>
    </row>
    <row r="19" spans="1:1" x14ac:dyDescent="0.25">
      <c r="A19" t="str">
        <f>IF(AND((19-1)&gt;0,(19-1)&lt;=(0+Setup!$B$11)),"QB",IF(AND((19-1)&gt;(0+Setup!$B$11),(19-1)&lt;=((0+Setup!$B$11)+Setup!$B$13)),"RB",IF(AND((19-1)&gt;((0+Setup!$B$11)+Setup!$B$13),(19-1)&lt;=(((0+Setup!$B$11)+Setup!$B$13)+Setup!$B$15)),"WR",IF(AND((19-1)&gt;(((0+Setup!$B$11)+Setup!$B$13)+Setup!$B$15),(19-1)&lt;=((((0+Setup!$B$11)+Setup!$B$13)+Setup!$B$15)+Setup!$B$17)),"TE",IF(AND((19-1)&gt;((((0+Setup!$B$11)+Setup!$B$13)+Setup!$B$15)+Setup!$B$17),(19-1)&lt;=(((((0+Setup!$B$11)+Setup!$B$13)+Setup!$B$15)+Setup!$B$17)+Setup!$B$19)),"FLEX (RB/WR/TE)",IF(AND((19-1)&gt;(((((0+Setup!$B$11)+Setup!$B$13)+Setup!$B$15)+Setup!$B$17)+Setup!$B$19),(19-1)&lt;=((((((0+Setup!$B$11)+Setup!$B$13)+Setup!$B$15)+Setup!$B$17)+Setup!$B$19)+Setup!$B$21)),"FLEX (RB/WR)",IF(AND((19-1)&gt;((((((0+Setup!$B$11)+Setup!$B$13)+Setup!$B$15)+Setup!$B$17)+Setup!$B$19)+Setup!$B$21),(19-1)&lt;=(((((((0+Setup!$B$11)+Setup!$B$13)+Setup!$B$15)+Setup!$B$17)+Setup!$B$19)+Setup!$B$21)+Setup!$B$23)),"FLEX (WR/TE)",IF(AND((19-1)&gt;(((((((0+Setup!$B$11)+Setup!$B$13)+Setup!$B$15)+Setup!$B$17)+Setup!$B$19)+Setup!$B$21)+Setup!$B$23),(19-1)&lt;=((((((((0+Setup!$B$11)+Setup!$B$13)+Setup!$B$15)+Setup!$B$17)+Setup!$B$19)+Setup!$B$21)+Setup!$B$23)+Setup!$B$25)),"SUPERFLEX",IF(AND((19-1)&gt;((((((((0+Setup!$B$11)+Setup!$B$13)+Setup!$B$15)+Setup!$B$17)+Setup!$B$19)+Setup!$B$21)+Setup!$B$23)+Setup!$B$25),(19-1)&lt;=(((((((((0+Setup!$B$11)+Setup!$B$13)+Setup!$B$15)+Setup!$B$17)+Setup!$B$19)+Setup!$B$21)+Setup!$B$23)+Setup!$B$25)+Setup!$B$27)),"DEF",IF(AND((19-1)&gt;(((((((((0+Setup!$B$11)+Setup!$B$13)+Setup!$B$15)+Setup!$B$17)+Setup!$B$19)+Setup!$B$21)+Setup!$B$23)+Setup!$B$25)+Setup!$B$27),(19-1)&lt;=((((((((((0+Setup!$B$11)+Setup!$B$13)+Setup!$B$15)+Setup!$B$17)+Setup!$B$19)+Setup!$B$21)+Setup!$B$23)+Setup!$B$25)+Setup!$B$27)+Setup!$B$29)),"K",IF(AND((19-1)&gt;((((((((((0+Setup!$B$11)+Setup!$B$13)+Setup!$B$15)+Setup!$B$17)+Setup!$B$19)+Setup!$B$21)+Setup!$B$23)+Setup!$B$25)+Setup!$B$27)+Setup!$B$29),(19-1)&lt;=(((((((((((0+Setup!$B$11)+Setup!$B$13)+Setup!$B$15)+Setup!$B$17)+Setup!$B$19)+Setup!$B$21)+Setup!$B$23)+Setup!$B$25)+Setup!$B$27)+Setup!$B$29)+Setup!$B$31)),"BENCH","")))))))))))</f>
        <v/>
      </c>
    </row>
    <row r="20" spans="1:1" x14ac:dyDescent="0.25">
      <c r="A20" t="str">
        <f>IF(AND((20-1)&gt;0,(20-1)&lt;=(0+Setup!$B$11)),"QB",IF(AND((20-1)&gt;(0+Setup!$B$11),(20-1)&lt;=((0+Setup!$B$11)+Setup!$B$13)),"RB",IF(AND((20-1)&gt;((0+Setup!$B$11)+Setup!$B$13),(20-1)&lt;=(((0+Setup!$B$11)+Setup!$B$13)+Setup!$B$15)),"WR",IF(AND((20-1)&gt;(((0+Setup!$B$11)+Setup!$B$13)+Setup!$B$15),(20-1)&lt;=((((0+Setup!$B$11)+Setup!$B$13)+Setup!$B$15)+Setup!$B$17)),"TE",IF(AND((20-1)&gt;((((0+Setup!$B$11)+Setup!$B$13)+Setup!$B$15)+Setup!$B$17),(20-1)&lt;=(((((0+Setup!$B$11)+Setup!$B$13)+Setup!$B$15)+Setup!$B$17)+Setup!$B$19)),"FLEX (RB/WR/TE)",IF(AND((20-1)&gt;(((((0+Setup!$B$11)+Setup!$B$13)+Setup!$B$15)+Setup!$B$17)+Setup!$B$19),(20-1)&lt;=((((((0+Setup!$B$11)+Setup!$B$13)+Setup!$B$15)+Setup!$B$17)+Setup!$B$19)+Setup!$B$21)),"FLEX (RB/WR)",IF(AND((20-1)&gt;((((((0+Setup!$B$11)+Setup!$B$13)+Setup!$B$15)+Setup!$B$17)+Setup!$B$19)+Setup!$B$21),(20-1)&lt;=(((((((0+Setup!$B$11)+Setup!$B$13)+Setup!$B$15)+Setup!$B$17)+Setup!$B$19)+Setup!$B$21)+Setup!$B$23)),"FLEX (WR/TE)",IF(AND((20-1)&gt;(((((((0+Setup!$B$11)+Setup!$B$13)+Setup!$B$15)+Setup!$B$17)+Setup!$B$19)+Setup!$B$21)+Setup!$B$23),(20-1)&lt;=((((((((0+Setup!$B$11)+Setup!$B$13)+Setup!$B$15)+Setup!$B$17)+Setup!$B$19)+Setup!$B$21)+Setup!$B$23)+Setup!$B$25)),"SUPERFLEX",IF(AND((20-1)&gt;((((((((0+Setup!$B$11)+Setup!$B$13)+Setup!$B$15)+Setup!$B$17)+Setup!$B$19)+Setup!$B$21)+Setup!$B$23)+Setup!$B$25),(20-1)&lt;=(((((((((0+Setup!$B$11)+Setup!$B$13)+Setup!$B$15)+Setup!$B$17)+Setup!$B$19)+Setup!$B$21)+Setup!$B$23)+Setup!$B$25)+Setup!$B$27)),"DEF",IF(AND((20-1)&gt;(((((((((0+Setup!$B$11)+Setup!$B$13)+Setup!$B$15)+Setup!$B$17)+Setup!$B$19)+Setup!$B$21)+Setup!$B$23)+Setup!$B$25)+Setup!$B$27),(20-1)&lt;=((((((((((0+Setup!$B$11)+Setup!$B$13)+Setup!$B$15)+Setup!$B$17)+Setup!$B$19)+Setup!$B$21)+Setup!$B$23)+Setup!$B$25)+Setup!$B$27)+Setup!$B$29)),"K",IF(AND((20-1)&gt;((((((((((0+Setup!$B$11)+Setup!$B$13)+Setup!$B$15)+Setup!$B$17)+Setup!$B$19)+Setup!$B$21)+Setup!$B$23)+Setup!$B$25)+Setup!$B$27)+Setup!$B$29),(20-1)&lt;=(((((((((((0+Setup!$B$11)+Setup!$B$13)+Setup!$B$15)+Setup!$B$17)+Setup!$B$19)+Setup!$B$21)+Setup!$B$23)+Setup!$B$25)+Setup!$B$27)+Setup!$B$29)+Setup!$B$31)),"BENCH","")))))))))))</f>
        <v/>
      </c>
    </row>
    <row r="21" spans="1:1" x14ac:dyDescent="0.25">
      <c r="A21" t="str">
        <f>IF(AND((21-1)&gt;0,(21-1)&lt;=(0+Setup!$B$11)),"QB",IF(AND((21-1)&gt;(0+Setup!$B$11),(21-1)&lt;=((0+Setup!$B$11)+Setup!$B$13)),"RB",IF(AND((21-1)&gt;((0+Setup!$B$11)+Setup!$B$13),(21-1)&lt;=(((0+Setup!$B$11)+Setup!$B$13)+Setup!$B$15)),"WR",IF(AND((21-1)&gt;(((0+Setup!$B$11)+Setup!$B$13)+Setup!$B$15),(21-1)&lt;=((((0+Setup!$B$11)+Setup!$B$13)+Setup!$B$15)+Setup!$B$17)),"TE",IF(AND((21-1)&gt;((((0+Setup!$B$11)+Setup!$B$13)+Setup!$B$15)+Setup!$B$17),(21-1)&lt;=(((((0+Setup!$B$11)+Setup!$B$13)+Setup!$B$15)+Setup!$B$17)+Setup!$B$19)),"FLEX (RB/WR/TE)",IF(AND((21-1)&gt;(((((0+Setup!$B$11)+Setup!$B$13)+Setup!$B$15)+Setup!$B$17)+Setup!$B$19),(21-1)&lt;=((((((0+Setup!$B$11)+Setup!$B$13)+Setup!$B$15)+Setup!$B$17)+Setup!$B$19)+Setup!$B$21)),"FLEX (RB/WR)",IF(AND((21-1)&gt;((((((0+Setup!$B$11)+Setup!$B$13)+Setup!$B$15)+Setup!$B$17)+Setup!$B$19)+Setup!$B$21),(21-1)&lt;=(((((((0+Setup!$B$11)+Setup!$B$13)+Setup!$B$15)+Setup!$B$17)+Setup!$B$19)+Setup!$B$21)+Setup!$B$23)),"FLEX (WR/TE)",IF(AND((21-1)&gt;(((((((0+Setup!$B$11)+Setup!$B$13)+Setup!$B$15)+Setup!$B$17)+Setup!$B$19)+Setup!$B$21)+Setup!$B$23),(21-1)&lt;=((((((((0+Setup!$B$11)+Setup!$B$13)+Setup!$B$15)+Setup!$B$17)+Setup!$B$19)+Setup!$B$21)+Setup!$B$23)+Setup!$B$25)),"SUPERFLEX",IF(AND((21-1)&gt;((((((((0+Setup!$B$11)+Setup!$B$13)+Setup!$B$15)+Setup!$B$17)+Setup!$B$19)+Setup!$B$21)+Setup!$B$23)+Setup!$B$25),(21-1)&lt;=(((((((((0+Setup!$B$11)+Setup!$B$13)+Setup!$B$15)+Setup!$B$17)+Setup!$B$19)+Setup!$B$21)+Setup!$B$23)+Setup!$B$25)+Setup!$B$27)),"DEF",IF(AND((21-1)&gt;(((((((((0+Setup!$B$11)+Setup!$B$13)+Setup!$B$15)+Setup!$B$17)+Setup!$B$19)+Setup!$B$21)+Setup!$B$23)+Setup!$B$25)+Setup!$B$27),(21-1)&lt;=((((((((((0+Setup!$B$11)+Setup!$B$13)+Setup!$B$15)+Setup!$B$17)+Setup!$B$19)+Setup!$B$21)+Setup!$B$23)+Setup!$B$25)+Setup!$B$27)+Setup!$B$29)),"K",IF(AND((21-1)&gt;((((((((((0+Setup!$B$11)+Setup!$B$13)+Setup!$B$15)+Setup!$B$17)+Setup!$B$19)+Setup!$B$21)+Setup!$B$23)+Setup!$B$25)+Setup!$B$27)+Setup!$B$29),(21-1)&lt;=(((((((((((0+Setup!$B$11)+Setup!$B$13)+Setup!$B$15)+Setup!$B$17)+Setup!$B$19)+Setup!$B$21)+Setup!$B$23)+Setup!$B$25)+Setup!$B$27)+Setup!$B$29)+Setup!$B$31)),"BENCH","")))))))))))</f>
        <v/>
      </c>
    </row>
    <row r="22" spans="1:1" x14ac:dyDescent="0.25">
      <c r="A22" t="str">
        <f>IF(AND((22-1)&gt;0,(22-1)&lt;=(0+Setup!$B$11)),"QB",IF(AND((22-1)&gt;(0+Setup!$B$11),(22-1)&lt;=((0+Setup!$B$11)+Setup!$B$13)),"RB",IF(AND((22-1)&gt;((0+Setup!$B$11)+Setup!$B$13),(22-1)&lt;=(((0+Setup!$B$11)+Setup!$B$13)+Setup!$B$15)),"WR",IF(AND((22-1)&gt;(((0+Setup!$B$11)+Setup!$B$13)+Setup!$B$15),(22-1)&lt;=((((0+Setup!$B$11)+Setup!$B$13)+Setup!$B$15)+Setup!$B$17)),"TE",IF(AND((22-1)&gt;((((0+Setup!$B$11)+Setup!$B$13)+Setup!$B$15)+Setup!$B$17),(22-1)&lt;=(((((0+Setup!$B$11)+Setup!$B$13)+Setup!$B$15)+Setup!$B$17)+Setup!$B$19)),"FLEX (RB/WR/TE)",IF(AND((22-1)&gt;(((((0+Setup!$B$11)+Setup!$B$13)+Setup!$B$15)+Setup!$B$17)+Setup!$B$19),(22-1)&lt;=((((((0+Setup!$B$11)+Setup!$B$13)+Setup!$B$15)+Setup!$B$17)+Setup!$B$19)+Setup!$B$21)),"FLEX (RB/WR)",IF(AND((22-1)&gt;((((((0+Setup!$B$11)+Setup!$B$13)+Setup!$B$15)+Setup!$B$17)+Setup!$B$19)+Setup!$B$21),(22-1)&lt;=(((((((0+Setup!$B$11)+Setup!$B$13)+Setup!$B$15)+Setup!$B$17)+Setup!$B$19)+Setup!$B$21)+Setup!$B$23)),"FLEX (WR/TE)",IF(AND((22-1)&gt;(((((((0+Setup!$B$11)+Setup!$B$13)+Setup!$B$15)+Setup!$B$17)+Setup!$B$19)+Setup!$B$21)+Setup!$B$23),(22-1)&lt;=((((((((0+Setup!$B$11)+Setup!$B$13)+Setup!$B$15)+Setup!$B$17)+Setup!$B$19)+Setup!$B$21)+Setup!$B$23)+Setup!$B$25)),"SUPERFLEX",IF(AND((22-1)&gt;((((((((0+Setup!$B$11)+Setup!$B$13)+Setup!$B$15)+Setup!$B$17)+Setup!$B$19)+Setup!$B$21)+Setup!$B$23)+Setup!$B$25),(22-1)&lt;=(((((((((0+Setup!$B$11)+Setup!$B$13)+Setup!$B$15)+Setup!$B$17)+Setup!$B$19)+Setup!$B$21)+Setup!$B$23)+Setup!$B$25)+Setup!$B$27)),"DEF",IF(AND((22-1)&gt;(((((((((0+Setup!$B$11)+Setup!$B$13)+Setup!$B$15)+Setup!$B$17)+Setup!$B$19)+Setup!$B$21)+Setup!$B$23)+Setup!$B$25)+Setup!$B$27),(22-1)&lt;=((((((((((0+Setup!$B$11)+Setup!$B$13)+Setup!$B$15)+Setup!$B$17)+Setup!$B$19)+Setup!$B$21)+Setup!$B$23)+Setup!$B$25)+Setup!$B$27)+Setup!$B$29)),"K",IF(AND((22-1)&gt;((((((((((0+Setup!$B$11)+Setup!$B$13)+Setup!$B$15)+Setup!$B$17)+Setup!$B$19)+Setup!$B$21)+Setup!$B$23)+Setup!$B$25)+Setup!$B$27)+Setup!$B$29),(22-1)&lt;=(((((((((((0+Setup!$B$11)+Setup!$B$13)+Setup!$B$15)+Setup!$B$17)+Setup!$B$19)+Setup!$B$21)+Setup!$B$23)+Setup!$B$25)+Setup!$B$27)+Setup!$B$29)+Setup!$B$31)),"BENCH","")))))))))))</f>
        <v/>
      </c>
    </row>
    <row r="23" spans="1:1" x14ac:dyDescent="0.25">
      <c r="A23" t="str">
        <f>IF(AND((23-1)&gt;0,(23-1)&lt;=(0+Setup!$B$11)),"QB",IF(AND((23-1)&gt;(0+Setup!$B$11),(23-1)&lt;=((0+Setup!$B$11)+Setup!$B$13)),"RB",IF(AND((23-1)&gt;((0+Setup!$B$11)+Setup!$B$13),(23-1)&lt;=(((0+Setup!$B$11)+Setup!$B$13)+Setup!$B$15)),"WR",IF(AND((23-1)&gt;(((0+Setup!$B$11)+Setup!$B$13)+Setup!$B$15),(23-1)&lt;=((((0+Setup!$B$11)+Setup!$B$13)+Setup!$B$15)+Setup!$B$17)),"TE",IF(AND((23-1)&gt;((((0+Setup!$B$11)+Setup!$B$13)+Setup!$B$15)+Setup!$B$17),(23-1)&lt;=(((((0+Setup!$B$11)+Setup!$B$13)+Setup!$B$15)+Setup!$B$17)+Setup!$B$19)),"FLEX (RB/WR/TE)",IF(AND((23-1)&gt;(((((0+Setup!$B$11)+Setup!$B$13)+Setup!$B$15)+Setup!$B$17)+Setup!$B$19),(23-1)&lt;=((((((0+Setup!$B$11)+Setup!$B$13)+Setup!$B$15)+Setup!$B$17)+Setup!$B$19)+Setup!$B$21)),"FLEX (RB/WR)",IF(AND((23-1)&gt;((((((0+Setup!$B$11)+Setup!$B$13)+Setup!$B$15)+Setup!$B$17)+Setup!$B$19)+Setup!$B$21),(23-1)&lt;=(((((((0+Setup!$B$11)+Setup!$B$13)+Setup!$B$15)+Setup!$B$17)+Setup!$B$19)+Setup!$B$21)+Setup!$B$23)),"FLEX (WR/TE)",IF(AND((23-1)&gt;(((((((0+Setup!$B$11)+Setup!$B$13)+Setup!$B$15)+Setup!$B$17)+Setup!$B$19)+Setup!$B$21)+Setup!$B$23),(23-1)&lt;=((((((((0+Setup!$B$11)+Setup!$B$13)+Setup!$B$15)+Setup!$B$17)+Setup!$B$19)+Setup!$B$21)+Setup!$B$23)+Setup!$B$25)),"SUPERFLEX",IF(AND((23-1)&gt;((((((((0+Setup!$B$11)+Setup!$B$13)+Setup!$B$15)+Setup!$B$17)+Setup!$B$19)+Setup!$B$21)+Setup!$B$23)+Setup!$B$25),(23-1)&lt;=(((((((((0+Setup!$B$11)+Setup!$B$13)+Setup!$B$15)+Setup!$B$17)+Setup!$B$19)+Setup!$B$21)+Setup!$B$23)+Setup!$B$25)+Setup!$B$27)),"DEF",IF(AND((23-1)&gt;(((((((((0+Setup!$B$11)+Setup!$B$13)+Setup!$B$15)+Setup!$B$17)+Setup!$B$19)+Setup!$B$21)+Setup!$B$23)+Setup!$B$25)+Setup!$B$27),(23-1)&lt;=((((((((((0+Setup!$B$11)+Setup!$B$13)+Setup!$B$15)+Setup!$B$17)+Setup!$B$19)+Setup!$B$21)+Setup!$B$23)+Setup!$B$25)+Setup!$B$27)+Setup!$B$29)),"K",IF(AND((23-1)&gt;((((((((((0+Setup!$B$11)+Setup!$B$13)+Setup!$B$15)+Setup!$B$17)+Setup!$B$19)+Setup!$B$21)+Setup!$B$23)+Setup!$B$25)+Setup!$B$27)+Setup!$B$29),(23-1)&lt;=(((((((((((0+Setup!$B$11)+Setup!$B$13)+Setup!$B$15)+Setup!$B$17)+Setup!$B$19)+Setup!$B$21)+Setup!$B$23)+Setup!$B$25)+Setup!$B$27)+Setup!$B$29)+Setup!$B$31)),"BENCH","")))))))))))</f>
        <v/>
      </c>
    </row>
    <row r="24" spans="1:1" x14ac:dyDescent="0.25">
      <c r="A24" t="str">
        <f>IF(AND((24-1)&gt;0,(24-1)&lt;=(0+Setup!$B$11)),"QB",IF(AND((24-1)&gt;(0+Setup!$B$11),(24-1)&lt;=((0+Setup!$B$11)+Setup!$B$13)),"RB",IF(AND((24-1)&gt;((0+Setup!$B$11)+Setup!$B$13),(24-1)&lt;=(((0+Setup!$B$11)+Setup!$B$13)+Setup!$B$15)),"WR",IF(AND((24-1)&gt;(((0+Setup!$B$11)+Setup!$B$13)+Setup!$B$15),(24-1)&lt;=((((0+Setup!$B$11)+Setup!$B$13)+Setup!$B$15)+Setup!$B$17)),"TE",IF(AND((24-1)&gt;((((0+Setup!$B$11)+Setup!$B$13)+Setup!$B$15)+Setup!$B$17),(24-1)&lt;=(((((0+Setup!$B$11)+Setup!$B$13)+Setup!$B$15)+Setup!$B$17)+Setup!$B$19)),"FLEX (RB/WR/TE)",IF(AND((24-1)&gt;(((((0+Setup!$B$11)+Setup!$B$13)+Setup!$B$15)+Setup!$B$17)+Setup!$B$19),(24-1)&lt;=((((((0+Setup!$B$11)+Setup!$B$13)+Setup!$B$15)+Setup!$B$17)+Setup!$B$19)+Setup!$B$21)),"FLEX (RB/WR)",IF(AND((24-1)&gt;((((((0+Setup!$B$11)+Setup!$B$13)+Setup!$B$15)+Setup!$B$17)+Setup!$B$19)+Setup!$B$21),(24-1)&lt;=(((((((0+Setup!$B$11)+Setup!$B$13)+Setup!$B$15)+Setup!$B$17)+Setup!$B$19)+Setup!$B$21)+Setup!$B$23)),"FLEX (WR/TE)",IF(AND((24-1)&gt;(((((((0+Setup!$B$11)+Setup!$B$13)+Setup!$B$15)+Setup!$B$17)+Setup!$B$19)+Setup!$B$21)+Setup!$B$23),(24-1)&lt;=((((((((0+Setup!$B$11)+Setup!$B$13)+Setup!$B$15)+Setup!$B$17)+Setup!$B$19)+Setup!$B$21)+Setup!$B$23)+Setup!$B$25)),"SUPERFLEX",IF(AND((24-1)&gt;((((((((0+Setup!$B$11)+Setup!$B$13)+Setup!$B$15)+Setup!$B$17)+Setup!$B$19)+Setup!$B$21)+Setup!$B$23)+Setup!$B$25),(24-1)&lt;=(((((((((0+Setup!$B$11)+Setup!$B$13)+Setup!$B$15)+Setup!$B$17)+Setup!$B$19)+Setup!$B$21)+Setup!$B$23)+Setup!$B$25)+Setup!$B$27)),"DEF",IF(AND((24-1)&gt;(((((((((0+Setup!$B$11)+Setup!$B$13)+Setup!$B$15)+Setup!$B$17)+Setup!$B$19)+Setup!$B$21)+Setup!$B$23)+Setup!$B$25)+Setup!$B$27),(24-1)&lt;=((((((((((0+Setup!$B$11)+Setup!$B$13)+Setup!$B$15)+Setup!$B$17)+Setup!$B$19)+Setup!$B$21)+Setup!$B$23)+Setup!$B$25)+Setup!$B$27)+Setup!$B$29)),"K",IF(AND((24-1)&gt;((((((((((0+Setup!$B$11)+Setup!$B$13)+Setup!$B$15)+Setup!$B$17)+Setup!$B$19)+Setup!$B$21)+Setup!$B$23)+Setup!$B$25)+Setup!$B$27)+Setup!$B$29),(24-1)&lt;=(((((((((((0+Setup!$B$11)+Setup!$B$13)+Setup!$B$15)+Setup!$B$17)+Setup!$B$19)+Setup!$B$21)+Setup!$B$23)+Setup!$B$25)+Setup!$B$27)+Setup!$B$29)+Setup!$B$31)),"BENCH","")))))))))))</f>
        <v/>
      </c>
    </row>
    <row r="25" spans="1:1" x14ac:dyDescent="0.25">
      <c r="A25" t="str">
        <f>IF(AND((25-1)&gt;0,(25-1)&lt;=(0+Setup!$B$11)),"QB",IF(AND((25-1)&gt;(0+Setup!$B$11),(25-1)&lt;=((0+Setup!$B$11)+Setup!$B$13)),"RB",IF(AND((25-1)&gt;((0+Setup!$B$11)+Setup!$B$13),(25-1)&lt;=(((0+Setup!$B$11)+Setup!$B$13)+Setup!$B$15)),"WR",IF(AND((25-1)&gt;(((0+Setup!$B$11)+Setup!$B$13)+Setup!$B$15),(25-1)&lt;=((((0+Setup!$B$11)+Setup!$B$13)+Setup!$B$15)+Setup!$B$17)),"TE",IF(AND((25-1)&gt;((((0+Setup!$B$11)+Setup!$B$13)+Setup!$B$15)+Setup!$B$17),(25-1)&lt;=(((((0+Setup!$B$11)+Setup!$B$13)+Setup!$B$15)+Setup!$B$17)+Setup!$B$19)),"FLEX (RB/WR/TE)",IF(AND((25-1)&gt;(((((0+Setup!$B$11)+Setup!$B$13)+Setup!$B$15)+Setup!$B$17)+Setup!$B$19),(25-1)&lt;=((((((0+Setup!$B$11)+Setup!$B$13)+Setup!$B$15)+Setup!$B$17)+Setup!$B$19)+Setup!$B$21)),"FLEX (RB/WR)",IF(AND((25-1)&gt;((((((0+Setup!$B$11)+Setup!$B$13)+Setup!$B$15)+Setup!$B$17)+Setup!$B$19)+Setup!$B$21),(25-1)&lt;=(((((((0+Setup!$B$11)+Setup!$B$13)+Setup!$B$15)+Setup!$B$17)+Setup!$B$19)+Setup!$B$21)+Setup!$B$23)),"FLEX (WR/TE)",IF(AND((25-1)&gt;(((((((0+Setup!$B$11)+Setup!$B$13)+Setup!$B$15)+Setup!$B$17)+Setup!$B$19)+Setup!$B$21)+Setup!$B$23),(25-1)&lt;=((((((((0+Setup!$B$11)+Setup!$B$13)+Setup!$B$15)+Setup!$B$17)+Setup!$B$19)+Setup!$B$21)+Setup!$B$23)+Setup!$B$25)),"SUPERFLEX",IF(AND((25-1)&gt;((((((((0+Setup!$B$11)+Setup!$B$13)+Setup!$B$15)+Setup!$B$17)+Setup!$B$19)+Setup!$B$21)+Setup!$B$23)+Setup!$B$25),(25-1)&lt;=(((((((((0+Setup!$B$11)+Setup!$B$13)+Setup!$B$15)+Setup!$B$17)+Setup!$B$19)+Setup!$B$21)+Setup!$B$23)+Setup!$B$25)+Setup!$B$27)),"DEF",IF(AND((25-1)&gt;(((((((((0+Setup!$B$11)+Setup!$B$13)+Setup!$B$15)+Setup!$B$17)+Setup!$B$19)+Setup!$B$21)+Setup!$B$23)+Setup!$B$25)+Setup!$B$27),(25-1)&lt;=((((((((((0+Setup!$B$11)+Setup!$B$13)+Setup!$B$15)+Setup!$B$17)+Setup!$B$19)+Setup!$B$21)+Setup!$B$23)+Setup!$B$25)+Setup!$B$27)+Setup!$B$29)),"K",IF(AND((25-1)&gt;((((((((((0+Setup!$B$11)+Setup!$B$13)+Setup!$B$15)+Setup!$B$17)+Setup!$B$19)+Setup!$B$21)+Setup!$B$23)+Setup!$B$25)+Setup!$B$27)+Setup!$B$29),(25-1)&lt;=(((((((((((0+Setup!$B$11)+Setup!$B$13)+Setup!$B$15)+Setup!$B$17)+Setup!$B$19)+Setup!$B$21)+Setup!$B$23)+Setup!$B$25)+Setup!$B$27)+Setup!$B$29)+Setup!$B$31)),"BENCH","")))))))))))</f>
        <v/>
      </c>
    </row>
    <row r="26" spans="1:1" x14ac:dyDescent="0.25">
      <c r="A26" t="str">
        <f>IF(AND((26-1)&gt;0,(26-1)&lt;=(0+Setup!$B$11)),"QB",IF(AND((26-1)&gt;(0+Setup!$B$11),(26-1)&lt;=((0+Setup!$B$11)+Setup!$B$13)),"RB",IF(AND((26-1)&gt;((0+Setup!$B$11)+Setup!$B$13),(26-1)&lt;=(((0+Setup!$B$11)+Setup!$B$13)+Setup!$B$15)),"WR",IF(AND((26-1)&gt;(((0+Setup!$B$11)+Setup!$B$13)+Setup!$B$15),(26-1)&lt;=((((0+Setup!$B$11)+Setup!$B$13)+Setup!$B$15)+Setup!$B$17)),"TE",IF(AND((26-1)&gt;((((0+Setup!$B$11)+Setup!$B$13)+Setup!$B$15)+Setup!$B$17),(26-1)&lt;=(((((0+Setup!$B$11)+Setup!$B$13)+Setup!$B$15)+Setup!$B$17)+Setup!$B$19)),"FLEX (RB/WR/TE)",IF(AND((26-1)&gt;(((((0+Setup!$B$11)+Setup!$B$13)+Setup!$B$15)+Setup!$B$17)+Setup!$B$19),(26-1)&lt;=((((((0+Setup!$B$11)+Setup!$B$13)+Setup!$B$15)+Setup!$B$17)+Setup!$B$19)+Setup!$B$21)),"FLEX (RB/WR)",IF(AND((26-1)&gt;((((((0+Setup!$B$11)+Setup!$B$13)+Setup!$B$15)+Setup!$B$17)+Setup!$B$19)+Setup!$B$21),(26-1)&lt;=(((((((0+Setup!$B$11)+Setup!$B$13)+Setup!$B$15)+Setup!$B$17)+Setup!$B$19)+Setup!$B$21)+Setup!$B$23)),"FLEX (WR/TE)",IF(AND((26-1)&gt;(((((((0+Setup!$B$11)+Setup!$B$13)+Setup!$B$15)+Setup!$B$17)+Setup!$B$19)+Setup!$B$21)+Setup!$B$23),(26-1)&lt;=((((((((0+Setup!$B$11)+Setup!$B$13)+Setup!$B$15)+Setup!$B$17)+Setup!$B$19)+Setup!$B$21)+Setup!$B$23)+Setup!$B$25)),"SUPERFLEX",IF(AND((26-1)&gt;((((((((0+Setup!$B$11)+Setup!$B$13)+Setup!$B$15)+Setup!$B$17)+Setup!$B$19)+Setup!$B$21)+Setup!$B$23)+Setup!$B$25),(26-1)&lt;=(((((((((0+Setup!$B$11)+Setup!$B$13)+Setup!$B$15)+Setup!$B$17)+Setup!$B$19)+Setup!$B$21)+Setup!$B$23)+Setup!$B$25)+Setup!$B$27)),"DEF",IF(AND((26-1)&gt;(((((((((0+Setup!$B$11)+Setup!$B$13)+Setup!$B$15)+Setup!$B$17)+Setup!$B$19)+Setup!$B$21)+Setup!$B$23)+Setup!$B$25)+Setup!$B$27),(26-1)&lt;=((((((((((0+Setup!$B$11)+Setup!$B$13)+Setup!$B$15)+Setup!$B$17)+Setup!$B$19)+Setup!$B$21)+Setup!$B$23)+Setup!$B$25)+Setup!$B$27)+Setup!$B$29)),"K",IF(AND((26-1)&gt;((((((((((0+Setup!$B$11)+Setup!$B$13)+Setup!$B$15)+Setup!$B$17)+Setup!$B$19)+Setup!$B$21)+Setup!$B$23)+Setup!$B$25)+Setup!$B$27)+Setup!$B$29),(26-1)&lt;=(((((((((((0+Setup!$B$11)+Setup!$B$13)+Setup!$B$15)+Setup!$B$17)+Setup!$B$19)+Setup!$B$21)+Setup!$B$23)+Setup!$B$25)+Setup!$B$27)+Setup!$B$29)+Setup!$B$31)),"BENCH","")))))))))))</f>
        <v/>
      </c>
    </row>
    <row r="27" spans="1:1" x14ac:dyDescent="0.25">
      <c r="A27" t="str">
        <f>IF(AND((27-1)&gt;0,(27-1)&lt;=(0+Setup!$B$11)),"QB",IF(AND((27-1)&gt;(0+Setup!$B$11),(27-1)&lt;=((0+Setup!$B$11)+Setup!$B$13)),"RB",IF(AND((27-1)&gt;((0+Setup!$B$11)+Setup!$B$13),(27-1)&lt;=(((0+Setup!$B$11)+Setup!$B$13)+Setup!$B$15)),"WR",IF(AND((27-1)&gt;(((0+Setup!$B$11)+Setup!$B$13)+Setup!$B$15),(27-1)&lt;=((((0+Setup!$B$11)+Setup!$B$13)+Setup!$B$15)+Setup!$B$17)),"TE",IF(AND((27-1)&gt;((((0+Setup!$B$11)+Setup!$B$13)+Setup!$B$15)+Setup!$B$17),(27-1)&lt;=(((((0+Setup!$B$11)+Setup!$B$13)+Setup!$B$15)+Setup!$B$17)+Setup!$B$19)),"FLEX (RB/WR/TE)",IF(AND((27-1)&gt;(((((0+Setup!$B$11)+Setup!$B$13)+Setup!$B$15)+Setup!$B$17)+Setup!$B$19),(27-1)&lt;=((((((0+Setup!$B$11)+Setup!$B$13)+Setup!$B$15)+Setup!$B$17)+Setup!$B$19)+Setup!$B$21)),"FLEX (RB/WR)",IF(AND((27-1)&gt;((((((0+Setup!$B$11)+Setup!$B$13)+Setup!$B$15)+Setup!$B$17)+Setup!$B$19)+Setup!$B$21),(27-1)&lt;=(((((((0+Setup!$B$11)+Setup!$B$13)+Setup!$B$15)+Setup!$B$17)+Setup!$B$19)+Setup!$B$21)+Setup!$B$23)),"FLEX (WR/TE)",IF(AND((27-1)&gt;(((((((0+Setup!$B$11)+Setup!$B$13)+Setup!$B$15)+Setup!$B$17)+Setup!$B$19)+Setup!$B$21)+Setup!$B$23),(27-1)&lt;=((((((((0+Setup!$B$11)+Setup!$B$13)+Setup!$B$15)+Setup!$B$17)+Setup!$B$19)+Setup!$B$21)+Setup!$B$23)+Setup!$B$25)),"SUPERFLEX",IF(AND((27-1)&gt;((((((((0+Setup!$B$11)+Setup!$B$13)+Setup!$B$15)+Setup!$B$17)+Setup!$B$19)+Setup!$B$21)+Setup!$B$23)+Setup!$B$25),(27-1)&lt;=(((((((((0+Setup!$B$11)+Setup!$B$13)+Setup!$B$15)+Setup!$B$17)+Setup!$B$19)+Setup!$B$21)+Setup!$B$23)+Setup!$B$25)+Setup!$B$27)),"DEF",IF(AND((27-1)&gt;(((((((((0+Setup!$B$11)+Setup!$B$13)+Setup!$B$15)+Setup!$B$17)+Setup!$B$19)+Setup!$B$21)+Setup!$B$23)+Setup!$B$25)+Setup!$B$27),(27-1)&lt;=((((((((((0+Setup!$B$11)+Setup!$B$13)+Setup!$B$15)+Setup!$B$17)+Setup!$B$19)+Setup!$B$21)+Setup!$B$23)+Setup!$B$25)+Setup!$B$27)+Setup!$B$29)),"K",IF(AND((27-1)&gt;((((((((((0+Setup!$B$11)+Setup!$B$13)+Setup!$B$15)+Setup!$B$17)+Setup!$B$19)+Setup!$B$21)+Setup!$B$23)+Setup!$B$25)+Setup!$B$27)+Setup!$B$29),(27-1)&lt;=(((((((((((0+Setup!$B$11)+Setup!$B$13)+Setup!$B$15)+Setup!$B$17)+Setup!$B$19)+Setup!$B$21)+Setup!$B$23)+Setup!$B$25)+Setup!$B$27)+Setup!$B$29)+Setup!$B$31)),"BENCH","")))))))))))</f>
        <v/>
      </c>
    </row>
    <row r="28" spans="1:1" x14ac:dyDescent="0.25">
      <c r="A28" t="str">
        <f>IF(AND((28-1)&gt;0,(28-1)&lt;=(0+Setup!$B$11)),"QB",IF(AND((28-1)&gt;(0+Setup!$B$11),(28-1)&lt;=((0+Setup!$B$11)+Setup!$B$13)),"RB",IF(AND((28-1)&gt;((0+Setup!$B$11)+Setup!$B$13),(28-1)&lt;=(((0+Setup!$B$11)+Setup!$B$13)+Setup!$B$15)),"WR",IF(AND((28-1)&gt;(((0+Setup!$B$11)+Setup!$B$13)+Setup!$B$15),(28-1)&lt;=((((0+Setup!$B$11)+Setup!$B$13)+Setup!$B$15)+Setup!$B$17)),"TE",IF(AND((28-1)&gt;((((0+Setup!$B$11)+Setup!$B$13)+Setup!$B$15)+Setup!$B$17),(28-1)&lt;=(((((0+Setup!$B$11)+Setup!$B$13)+Setup!$B$15)+Setup!$B$17)+Setup!$B$19)),"FLEX (RB/WR/TE)",IF(AND((28-1)&gt;(((((0+Setup!$B$11)+Setup!$B$13)+Setup!$B$15)+Setup!$B$17)+Setup!$B$19),(28-1)&lt;=((((((0+Setup!$B$11)+Setup!$B$13)+Setup!$B$15)+Setup!$B$17)+Setup!$B$19)+Setup!$B$21)),"FLEX (RB/WR)",IF(AND((28-1)&gt;((((((0+Setup!$B$11)+Setup!$B$13)+Setup!$B$15)+Setup!$B$17)+Setup!$B$19)+Setup!$B$21),(28-1)&lt;=(((((((0+Setup!$B$11)+Setup!$B$13)+Setup!$B$15)+Setup!$B$17)+Setup!$B$19)+Setup!$B$21)+Setup!$B$23)),"FLEX (WR/TE)",IF(AND((28-1)&gt;(((((((0+Setup!$B$11)+Setup!$B$13)+Setup!$B$15)+Setup!$B$17)+Setup!$B$19)+Setup!$B$21)+Setup!$B$23),(28-1)&lt;=((((((((0+Setup!$B$11)+Setup!$B$13)+Setup!$B$15)+Setup!$B$17)+Setup!$B$19)+Setup!$B$21)+Setup!$B$23)+Setup!$B$25)),"SUPERFLEX",IF(AND((28-1)&gt;((((((((0+Setup!$B$11)+Setup!$B$13)+Setup!$B$15)+Setup!$B$17)+Setup!$B$19)+Setup!$B$21)+Setup!$B$23)+Setup!$B$25),(28-1)&lt;=(((((((((0+Setup!$B$11)+Setup!$B$13)+Setup!$B$15)+Setup!$B$17)+Setup!$B$19)+Setup!$B$21)+Setup!$B$23)+Setup!$B$25)+Setup!$B$27)),"DEF",IF(AND((28-1)&gt;(((((((((0+Setup!$B$11)+Setup!$B$13)+Setup!$B$15)+Setup!$B$17)+Setup!$B$19)+Setup!$B$21)+Setup!$B$23)+Setup!$B$25)+Setup!$B$27),(28-1)&lt;=((((((((((0+Setup!$B$11)+Setup!$B$13)+Setup!$B$15)+Setup!$B$17)+Setup!$B$19)+Setup!$B$21)+Setup!$B$23)+Setup!$B$25)+Setup!$B$27)+Setup!$B$29)),"K",IF(AND((28-1)&gt;((((((((((0+Setup!$B$11)+Setup!$B$13)+Setup!$B$15)+Setup!$B$17)+Setup!$B$19)+Setup!$B$21)+Setup!$B$23)+Setup!$B$25)+Setup!$B$27)+Setup!$B$29),(28-1)&lt;=(((((((((((0+Setup!$B$11)+Setup!$B$13)+Setup!$B$15)+Setup!$B$17)+Setup!$B$19)+Setup!$B$21)+Setup!$B$23)+Setup!$B$25)+Setup!$B$27)+Setup!$B$29)+Setup!$B$31)),"BENCH","")))))))))))</f>
        <v/>
      </c>
    </row>
    <row r="29" spans="1:1" x14ac:dyDescent="0.25">
      <c r="A29" t="str">
        <f>IF(AND((29-1)&gt;0,(29-1)&lt;=(0+Setup!$B$11)),"QB",IF(AND((29-1)&gt;(0+Setup!$B$11),(29-1)&lt;=((0+Setup!$B$11)+Setup!$B$13)),"RB",IF(AND((29-1)&gt;((0+Setup!$B$11)+Setup!$B$13),(29-1)&lt;=(((0+Setup!$B$11)+Setup!$B$13)+Setup!$B$15)),"WR",IF(AND((29-1)&gt;(((0+Setup!$B$11)+Setup!$B$13)+Setup!$B$15),(29-1)&lt;=((((0+Setup!$B$11)+Setup!$B$13)+Setup!$B$15)+Setup!$B$17)),"TE",IF(AND((29-1)&gt;((((0+Setup!$B$11)+Setup!$B$13)+Setup!$B$15)+Setup!$B$17),(29-1)&lt;=(((((0+Setup!$B$11)+Setup!$B$13)+Setup!$B$15)+Setup!$B$17)+Setup!$B$19)),"FLEX (RB/WR/TE)",IF(AND((29-1)&gt;(((((0+Setup!$B$11)+Setup!$B$13)+Setup!$B$15)+Setup!$B$17)+Setup!$B$19),(29-1)&lt;=((((((0+Setup!$B$11)+Setup!$B$13)+Setup!$B$15)+Setup!$B$17)+Setup!$B$19)+Setup!$B$21)),"FLEX (RB/WR)",IF(AND((29-1)&gt;((((((0+Setup!$B$11)+Setup!$B$13)+Setup!$B$15)+Setup!$B$17)+Setup!$B$19)+Setup!$B$21),(29-1)&lt;=(((((((0+Setup!$B$11)+Setup!$B$13)+Setup!$B$15)+Setup!$B$17)+Setup!$B$19)+Setup!$B$21)+Setup!$B$23)),"FLEX (WR/TE)",IF(AND((29-1)&gt;(((((((0+Setup!$B$11)+Setup!$B$13)+Setup!$B$15)+Setup!$B$17)+Setup!$B$19)+Setup!$B$21)+Setup!$B$23),(29-1)&lt;=((((((((0+Setup!$B$11)+Setup!$B$13)+Setup!$B$15)+Setup!$B$17)+Setup!$B$19)+Setup!$B$21)+Setup!$B$23)+Setup!$B$25)),"SUPERFLEX",IF(AND((29-1)&gt;((((((((0+Setup!$B$11)+Setup!$B$13)+Setup!$B$15)+Setup!$B$17)+Setup!$B$19)+Setup!$B$21)+Setup!$B$23)+Setup!$B$25),(29-1)&lt;=(((((((((0+Setup!$B$11)+Setup!$B$13)+Setup!$B$15)+Setup!$B$17)+Setup!$B$19)+Setup!$B$21)+Setup!$B$23)+Setup!$B$25)+Setup!$B$27)),"DEF",IF(AND((29-1)&gt;(((((((((0+Setup!$B$11)+Setup!$B$13)+Setup!$B$15)+Setup!$B$17)+Setup!$B$19)+Setup!$B$21)+Setup!$B$23)+Setup!$B$25)+Setup!$B$27),(29-1)&lt;=((((((((((0+Setup!$B$11)+Setup!$B$13)+Setup!$B$15)+Setup!$B$17)+Setup!$B$19)+Setup!$B$21)+Setup!$B$23)+Setup!$B$25)+Setup!$B$27)+Setup!$B$29)),"K",IF(AND((29-1)&gt;((((((((((0+Setup!$B$11)+Setup!$B$13)+Setup!$B$15)+Setup!$B$17)+Setup!$B$19)+Setup!$B$21)+Setup!$B$23)+Setup!$B$25)+Setup!$B$27)+Setup!$B$29),(29-1)&lt;=(((((((((((0+Setup!$B$11)+Setup!$B$13)+Setup!$B$15)+Setup!$B$17)+Setup!$B$19)+Setup!$B$21)+Setup!$B$23)+Setup!$B$25)+Setup!$B$27)+Setup!$B$29)+Setup!$B$31)),"BENCH","")))))))))))</f>
        <v/>
      </c>
    </row>
    <row r="30" spans="1:1" x14ac:dyDescent="0.25">
      <c r="A30" t="str">
        <f>IF(AND((30-1)&gt;0,(30-1)&lt;=(0+Setup!$B$11)),"QB",IF(AND((30-1)&gt;(0+Setup!$B$11),(30-1)&lt;=((0+Setup!$B$11)+Setup!$B$13)),"RB",IF(AND((30-1)&gt;((0+Setup!$B$11)+Setup!$B$13),(30-1)&lt;=(((0+Setup!$B$11)+Setup!$B$13)+Setup!$B$15)),"WR",IF(AND((30-1)&gt;(((0+Setup!$B$11)+Setup!$B$13)+Setup!$B$15),(30-1)&lt;=((((0+Setup!$B$11)+Setup!$B$13)+Setup!$B$15)+Setup!$B$17)),"TE",IF(AND((30-1)&gt;((((0+Setup!$B$11)+Setup!$B$13)+Setup!$B$15)+Setup!$B$17),(30-1)&lt;=(((((0+Setup!$B$11)+Setup!$B$13)+Setup!$B$15)+Setup!$B$17)+Setup!$B$19)),"FLEX (RB/WR/TE)",IF(AND((30-1)&gt;(((((0+Setup!$B$11)+Setup!$B$13)+Setup!$B$15)+Setup!$B$17)+Setup!$B$19),(30-1)&lt;=((((((0+Setup!$B$11)+Setup!$B$13)+Setup!$B$15)+Setup!$B$17)+Setup!$B$19)+Setup!$B$21)),"FLEX (RB/WR)",IF(AND((30-1)&gt;((((((0+Setup!$B$11)+Setup!$B$13)+Setup!$B$15)+Setup!$B$17)+Setup!$B$19)+Setup!$B$21),(30-1)&lt;=(((((((0+Setup!$B$11)+Setup!$B$13)+Setup!$B$15)+Setup!$B$17)+Setup!$B$19)+Setup!$B$21)+Setup!$B$23)),"FLEX (WR/TE)",IF(AND((30-1)&gt;(((((((0+Setup!$B$11)+Setup!$B$13)+Setup!$B$15)+Setup!$B$17)+Setup!$B$19)+Setup!$B$21)+Setup!$B$23),(30-1)&lt;=((((((((0+Setup!$B$11)+Setup!$B$13)+Setup!$B$15)+Setup!$B$17)+Setup!$B$19)+Setup!$B$21)+Setup!$B$23)+Setup!$B$25)),"SUPERFLEX",IF(AND((30-1)&gt;((((((((0+Setup!$B$11)+Setup!$B$13)+Setup!$B$15)+Setup!$B$17)+Setup!$B$19)+Setup!$B$21)+Setup!$B$23)+Setup!$B$25),(30-1)&lt;=(((((((((0+Setup!$B$11)+Setup!$B$13)+Setup!$B$15)+Setup!$B$17)+Setup!$B$19)+Setup!$B$21)+Setup!$B$23)+Setup!$B$25)+Setup!$B$27)),"DEF",IF(AND((30-1)&gt;(((((((((0+Setup!$B$11)+Setup!$B$13)+Setup!$B$15)+Setup!$B$17)+Setup!$B$19)+Setup!$B$21)+Setup!$B$23)+Setup!$B$25)+Setup!$B$27),(30-1)&lt;=((((((((((0+Setup!$B$11)+Setup!$B$13)+Setup!$B$15)+Setup!$B$17)+Setup!$B$19)+Setup!$B$21)+Setup!$B$23)+Setup!$B$25)+Setup!$B$27)+Setup!$B$29)),"K",IF(AND((30-1)&gt;((((((((((0+Setup!$B$11)+Setup!$B$13)+Setup!$B$15)+Setup!$B$17)+Setup!$B$19)+Setup!$B$21)+Setup!$B$23)+Setup!$B$25)+Setup!$B$27)+Setup!$B$29),(30-1)&lt;=(((((((((((0+Setup!$B$11)+Setup!$B$13)+Setup!$B$15)+Setup!$B$17)+Setup!$B$19)+Setup!$B$21)+Setup!$B$23)+Setup!$B$25)+Setup!$B$27)+Setup!$B$29)+Setup!$B$31)),"BENCH","")))))))))))</f>
        <v/>
      </c>
    </row>
    <row r="31" spans="1:1" x14ac:dyDescent="0.25">
      <c r="A31" t="str">
        <f>IF(AND((31-1)&gt;0,(31-1)&lt;=(0+Setup!$B$11)),"QB",IF(AND((31-1)&gt;(0+Setup!$B$11),(31-1)&lt;=((0+Setup!$B$11)+Setup!$B$13)),"RB",IF(AND((31-1)&gt;((0+Setup!$B$11)+Setup!$B$13),(31-1)&lt;=(((0+Setup!$B$11)+Setup!$B$13)+Setup!$B$15)),"WR",IF(AND((31-1)&gt;(((0+Setup!$B$11)+Setup!$B$13)+Setup!$B$15),(31-1)&lt;=((((0+Setup!$B$11)+Setup!$B$13)+Setup!$B$15)+Setup!$B$17)),"TE",IF(AND((31-1)&gt;((((0+Setup!$B$11)+Setup!$B$13)+Setup!$B$15)+Setup!$B$17),(31-1)&lt;=(((((0+Setup!$B$11)+Setup!$B$13)+Setup!$B$15)+Setup!$B$17)+Setup!$B$19)),"FLEX (RB/WR/TE)",IF(AND((31-1)&gt;(((((0+Setup!$B$11)+Setup!$B$13)+Setup!$B$15)+Setup!$B$17)+Setup!$B$19),(31-1)&lt;=((((((0+Setup!$B$11)+Setup!$B$13)+Setup!$B$15)+Setup!$B$17)+Setup!$B$19)+Setup!$B$21)),"FLEX (RB/WR)",IF(AND((31-1)&gt;((((((0+Setup!$B$11)+Setup!$B$13)+Setup!$B$15)+Setup!$B$17)+Setup!$B$19)+Setup!$B$21),(31-1)&lt;=(((((((0+Setup!$B$11)+Setup!$B$13)+Setup!$B$15)+Setup!$B$17)+Setup!$B$19)+Setup!$B$21)+Setup!$B$23)),"FLEX (WR/TE)",IF(AND((31-1)&gt;(((((((0+Setup!$B$11)+Setup!$B$13)+Setup!$B$15)+Setup!$B$17)+Setup!$B$19)+Setup!$B$21)+Setup!$B$23),(31-1)&lt;=((((((((0+Setup!$B$11)+Setup!$B$13)+Setup!$B$15)+Setup!$B$17)+Setup!$B$19)+Setup!$B$21)+Setup!$B$23)+Setup!$B$25)),"SUPERFLEX",IF(AND((31-1)&gt;((((((((0+Setup!$B$11)+Setup!$B$13)+Setup!$B$15)+Setup!$B$17)+Setup!$B$19)+Setup!$B$21)+Setup!$B$23)+Setup!$B$25),(31-1)&lt;=(((((((((0+Setup!$B$11)+Setup!$B$13)+Setup!$B$15)+Setup!$B$17)+Setup!$B$19)+Setup!$B$21)+Setup!$B$23)+Setup!$B$25)+Setup!$B$27)),"DEF",IF(AND((31-1)&gt;(((((((((0+Setup!$B$11)+Setup!$B$13)+Setup!$B$15)+Setup!$B$17)+Setup!$B$19)+Setup!$B$21)+Setup!$B$23)+Setup!$B$25)+Setup!$B$27),(31-1)&lt;=((((((((((0+Setup!$B$11)+Setup!$B$13)+Setup!$B$15)+Setup!$B$17)+Setup!$B$19)+Setup!$B$21)+Setup!$B$23)+Setup!$B$25)+Setup!$B$27)+Setup!$B$29)),"K",IF(AND((31-1)&gt;((((((((((0+Setup!$B$11)+Setup!$B$13)+Setup!$B$15)+Setup!$B$17)+Setup!$B$19)+Setup!$B$21)+Setup!$B$23)+Setup!$B$25)+Setup!$B$27)+Setup!$B$29),(31-1)&lt;=(((((((((((0+Setup!$B$11)+Setup!$B$13)+Setup!$B$15)+Setup!$B$17)+Setup!$B$19)+Setup!$B$21)+Setup!$B$23)+Setup!$B$25)+Setup!$B$27)+Setup!$B$29)+Setup!$B$31)),"BENCH","")))))))))))</f>
        <v/>
      </c>
    </row>
    <row r="32" spans="1:1" x14ac:dyDescent="0.25">
      <c r="A32" t="str">
        <f>IF(AND((32-1)&gt;0,(32-1)&lt;=(0+Setup!$B$11)),"QB",IF(AND((32-1)&gt;(0+Setup!$B$11),(32-1)&lt;=((0+Setup!$B$11)+Setup!$B$13)),"RB",IF(AND((32-1)&gt;((0+Setup!$B$11)+Setup!$B$13),(32-1)&lt;=(((0+Setup!$B$11)+Setup!$B$13)+Setup!$B$15)),"WR",IF(AND((32-1)&gt;(((0+Setup!$B$11)+Setup!$B$13)+Setup!$B$15),(32-1)&lt;=((((0+Setup!$B$11)+Setup!$B$13)+Setup!$B$15)+Setup!$B$17)),"TE",IF(AND((32-1)&gt;((((0+Setup!$B$11)+Setup!$B$13)+Setup!$B$15)+Setup!$B$17),(32-1)&lt;=(((((0+Setup!$B$11)+Setup!$B$13)+Setup!$B$15)+Setup!$B$17)+Setup!$B$19)),"FLEX (RB/WR/TE)",IF(AND((32-1)&gt;(((((0+Setup!$B$11)+Setup!$B$13)+Setup!$B$15)+Setup!$B$17)+Setup!$B$19),(32-1)&lt;=((((((0+Setup!$B$11)+Setup!$B$13)+Setup!$B$15)+Setup!$B$17)+Setup!$B$19)+Setup!$B$21)),"FLEX (RB/WR)",IF(AND((32-1)&gt;((((((0+Setup!$B$11)+Setup!$B$13)+Setup!$B$15)+Setup!$B$17)+Setup!$B$19)+Setup!$B$21),(32-1)&lt;=(((((((0+Setup!$B$11)+Setup!$B$13)+Setup!$B$15)+Setup!$B$17)+Setup!$B$19)+Setup!$B$21)+Setup!$B$23)),"FLEX (WR/TE)",IF(AND((32-1)&gt;(((((((0+Setup!$B$11)+Setup!$B$13)+Setup!$B$15)+Setup!$B$17)+Setup!$B$19)+Setup!$B$21)+Setup!$B$23),(32-1)&lt;=((((((((0+Setup!$B$11)+Setup!$B$13)+Setup!$B$15)+Setup!$B$17)+Setup!$B$19)+Setup!$B$21)+Setup!$B$23)+Setup!$B$25)),"SUPERFLEX",IF(AND((32-1)&gt;((((((((0+Setup!$B$11)+Setup!$B$13)+Setup!$B$15)+Setup!$B$17)+Setup!$B$19)+Setup!$B$21)+Setup!$B$23)+Setup!$B$25),(32-1)&lt;=(((((((((0+Setup!$B$11)+Setup!$B$13)+Setup!$B$15)+Setup!$B$17)+Setup!$B$19)+Setup!$B$21)+Setup!$B$23)+Setup!$B$25)+Setup!$B$27)),"DEF",IF(AND((32-1)&gt;(((((((((0+Setup!$B$11)+Setup!$B$13)+Setup!$B$15)+Setup!$B$17)+Setup!$B$19)+Setup!$B$21)+Setup!$B$23)+Setup!$B$25)+Setup!$B$27),(32-1)&lt;=((((((((((0+Setup!$B$11)+Setup!$B$13)+Setup!$B$15)+Setup!$B$17)+Setup!$B$19)+Setup!$B$21)+Setup!$B$23)+Setup!$B$25)+Setup!$B$27)+Setup!$B$29)),"K",IF(AND((32-1)&gt;((((((((((0+Setup!$B$11)+Setup!$B$13)+Setup!$B$15)+Setup!$B$17)+Setup!$B$19)+Setup!$B$21)+Setup!$B$23)+Setup!$B$25)+Setup!$B$27)+Setup!$B$29),(32-1)&lt;=(((((((((((0+Setup!$B$11)+Setup!$B$13)+Setup!$B$15)+Setup!$B$17)+Setup!$B$19)+Setup!$B$21)+Setup!$B$23)+Setup!$B$25)+Setup!$B$27)+Setup!$B$29)+Setup!$B$31)),"BENCH","")))))))))))</f>
        <v/>
      </c>
    </row>
    <row r="33" spans="1:1" x14ac:dyDescent="0.25">
      <c r="A33" t="str">
        <f>IF(AND((33-1)&gt;0,(33-1)&lt;=(0+Setup!$B$11)),"QB",IF(AND((33-1)&gt;(0+Setup!$B$11),(33-1)&lt;=((0+Setup!$B$11)+Setup!$B$13)),"RB",IF(AND((33-1)&gt;((0+Setup!$B$11)+Setup!$B$13),(33-1)&lt;=(((0+Setup!$B$11)+Setup!$B$13)+Setup!$B$15)),"WR",IF(AND((33-1)&gt;(((0+Setup!$B$11)+Setup!$B$13)+Setup!$B$15),(33-1)&lt;=((((0+Setup!$B$11)+Setup!$B$13)+Setup!$B$15)+Setup!$B$17)),"TE",IF(AND((33-1)&gt;((((0+Setup!$B$11)+Setup!$B$13)+Setup!$B$15)+Setup!$B$17),(33-1)&lt;=(((((0+Setup!$B$11)+Setup!$B$13)+Setup!$B$15)+Setup!$B$17)+Setup!$B$19)),"FLEX (RB/WR/TE)",IF(AND((33-1)&gt;(((((0+Setup!$B$11)+Setup!$B$13)+Setup!$B$15)+Setup!$B$17)+Setup!$B$19),(33-1)&lt;=((((((0+Setup!$B$11)+Setup!$B$13)+Setup!$B$15)+Setup!$B$17)+Setup!$B$19)+Setup!$B$21)),"FLEX (RB/WR)",IF(AND((33-1)&gt;((((((0+Setup!$B$11)+Setup!$B$13)+Setup!$B$15)+Setup!$B$17)+Setup!$B$19)+Setup!$B$21),(33-1)&lt;=(((((((0+Setup!$B$11)+Setup!$B$13)+Setup!$B$15)+Setup!$B$17)+Setup!$B$19)+Setup!$B$21)+Setup!$B$23)),"FLEX (WR/TE)",IF(AND((33-1)&gt;(((((((0+Setup!$B$11)+Setup!$B$13)+Setup!$B$15)+Setup!$B$17)+Setup!$B$19)+Setup!$B$21)+Setup!$B$23),(33-1)&lt;=((((((((0+Setup!$B$11)+Setup!$B$13)+Setup!$B$15)+Setup!$B$17)+Setup!$B$19)+Setup!$B$21)+Setup!$B$23)+Setup!$B$25)),"SUPERFLEX",IF(AND((33-1)&gt;((((((((0+Setup!$B$11)+Setup!$B$13)+Setup!$B$15)+Setup!$B$17)+Setup!$B$19)+Setup!$B$21)+Setup!$B$23)+Setup!$B$25),(33-1)&lt;=(((((((((0+Setup!$B$11)+Setup!$B$13)+Setup!$B$15)+Setup!$B$17)+Setup!$B$19)+Setup!$B$21)+Setup!$B$23)+Setup!$B$25)+Setup!$B$27)),"DEF",IF(AND((33-1)&gt;(((((((((0+Setup!$B$11)+Setup!$B$13)+Setup!$B$15)+Setup!$B$17)+Setup!$B$19)+Setup!$B$21)+Setup!$B$23)+Setup!$B$25)+Setup!$B$27),(33-1)&lt;=((((((((((0+Setup!$B$11)+Setup!$B$13)+Setup!$B$15)+Setup!$B$17)+Setup!$B$19)+Setup!$B$21)+Setup!$B$23)+Setup!$B$25)+Setup!$B$27)+Setup!$B$29)),"K",IF(AND((33-1)&gt;((((((((((0+Setup!$B$11)+Setup!$B$13)+Setup!$B$15)+Setup!$B$17)+Setup!$B$19)+Setup!$B$21)+Setup!$B$23)+Setup!$B$25)+Setup!$B$27)+Setup!$B$29),(33-1)&lt;=(((((((((((0+Setup!$B$11)+Setup!$B$13)+Setup!$B$15)+Setup!$B$17)+Setup!$B$19)+Setup!$B$21)+Setup!$B$23)+Setup!$B$25)+Setup!$B$27)+Setup!$B$29)+Setup!$B$31)),"BENCH","")))))))))))</f>
        <v/>
      </c>
    </row>
    <row r="34" spans="1:1" x14ac:dyDescent="0.25">
      <c r="A34" t="str">
        <f>IF(AND((34-1)&gt;0,(34-1)&lt;=(0+Setup!$B$11)),"QB",IF(AND((34-1)&gt;(0+Setup!$B$11),(34-1)&lt;=((0+Setup!$B$11)+Setup!$B$13)),"RB",IF(AND((34-1)&gt;((0+Setup!$B$11)+Setup!$B$13),(34-1)&lt;=(((0+Setup!$B$11)+Setup!$B$13)+Setup!$B$15)),"WR",IF(AND((34-1)&gt;(((0+Setup!$B$11)+Setup!$B$13)+Setup!$B$15),(34-1)&lt;=((((0+Setup!$B$11)+Setup!$B$13)+Setup!$B$15)+Setup!$B$17)),"TE",IF(AND((34-1)&gt;((((0+Setup!$B$11)+Setup!$B$13)+Setup!$B$15)+Setup!$B$17),(34-1)&lt;=(((((0+Setup!$B$11)+Setup!$B$13)+Setup!$B$15)+Setup!$B$17)+Setup!$B$19)),"FLEX (RB/WR/TE)",IF(AND((34-1)&gt;(((((0+Setup!$B$11)+Setup!$B$13)+Setup!$B$15)+Setup!$B$17)+Setup!$B$19),(34-1)&lt;=((((((0+Setup!$B$11)+Setup!$B$13)+Setup!$B$15)+Setup!$B$17)+Setup!$B$19)+Setup!$B$21)),"FLEX (RB/WR)",IF(AND((34-1)&gt;((((((0+Setup!$B$11)+Setup!$B$13)+Setup!$B$15)+Setup!$B$17)+Setup!$B$19)+Setup!$B$21),(34-1)&lt;=(((((((0+Setup!$B$11)+Setup!$B$13)+Setup!$B$15)+Setup!$B$17)+Setup!$B$19)+Setup!$B$21)+Setup!$B$23)),"FLEX (WR/TE)",IF(AND((34-1)&gt;(((((((0+Setup!$B$11)+Setup!$B$13)+Setup!$B$15)+Setup!$B$17)+Setup!$B$19)+Setup!$B$21)+Setup!$B$23),(34-1)&lt;=((((((((0+Setup!$B$11)+Setup!$B$13)+Setup!$B$15)+Setup!$B$17)+Setup!$B$19)+Setup!$B$21)+Setup!$B$23)+Setup!$B$25)),"SUPERFLEX",IF(AND((34-1)&gt;((((((((0+Setup!$B$11)+Setup!$B$13)+Setup!$B$15)+Setup!$B$17)+Setup!$B$19)+Setup!$B$21)+Setup!$B$23)+Setup!$B$25),(34-1)&lt;=(((((((((0+Setup!$B$11)+Setup!$B$13)+Setup!$B$15)+Setup!$B$17)+Setup!$B$19)+Setup!$B$21)+Setup!$B$23)+Setup!$B$25)+Setup!$B$27)),"DEF",IF(AND((34-1)&gt;(((((((((0+Setup!$B$11)+Setup!$B$13)+Setup!$B$15)+Setup!$B$17)+Setup!$B$19)+Setup!$B$21)+Setup!$B$23)+Setup!$B$25)+Setup!$B$27),(34-1)&lt;=((((((((((0+Setup!$B$11)+Setup!$B$13)+Setup!$B$15)+Setup!$B$17)+Setup!$B$19)+Setup!$B$21)+Setup!$B$23)+Setup!$B$25)+Setup!$B$27)+Setup!$B$29)),"K",IF(AND((34-1)&gt;((((((((((0+Setup!$B$11)+Setup!$B$13)+Setup!$B$15)+Setup!$B$17)+Setup!$B$19)+Setup!$B$21)+Setup!$B$23)+Setup!$B$25)+Setup!$B$27)+Setup!$B$29),(34-1)&lt;=(((((((((((0+Setup!$B$11)+Setup!$B$13)+Setup!$B$15)+Setup!$B$17)+Setup!$B$19)+Setup!$B$21)+Setup!$B$23)+Setup!$B$25)+Setup!$B$27)+Setup!$B$29)+Setup!$B$31)),"BENCH","")))))))))))</f>
        <v/>
      </c>
    </row>
    <row r="35" spans="1:1" x14ac:dyDescent="0.25">
      <c r="A35" t="str">
        <f>IF(AND((35-1)&gt;0,(35-1)&lt;=(0+Setup!$B$11)),"QB",IF(AND((35-1)&gt;(0+Setup!$B$11),(35-1)&lt;=((0+Setup!$B$11)+Setup!$B$13)),"RB",IF(AND((35-1)&gt;((0+Setup!$B$11)+Setup!$B$13),(35-1)&lt;=(((0+Setup!$B$11)+Setup!$B$13)+Setup!$B$15)),"WR",IF(AND((35-1)&gt;(((0+Setup!$B$11)+Setup!$B$13)+Setup!$B$15),(35-1)&lt;=((((0+Setup!$B$11)+Setup!$B$13)+Setup!$B$15)+Setup!$B$17)),"TE",IF(AND((35-1)&gt;((((0+Setup!$B$11)+Setup!$B$13)+Setup!$B$15)+Setup!$B$17),(35-1)&lt;=(((((0+Setup!$B$11)+Setup!$B$13)+Setup!$B$15)+Setup!$B$17)+Setup!$B$19)),"FLEX (RB/WR/TE)",IF(AND((35-1)&gt;(((((0+Setup!$B$11)+Setup!$B$13)+Setup!$B$15)+Setup!$B$17)+Setup!$B$19),(35-1)&lt;=((((((0+Setup!$B$11)+Setup!$B$13)+Setup!$B$15)+Setup!$B$17)+Setup!$B$19)+Setup!$B$21)),"FLEX (RB/WR)",IF(AND((35-1)&gt;((((((0+Setup!$B$11)+Setup!$B$13)+Setup!$B$15)+Setup!$B$17)+Setup!$B$19)+Setup!$B$21),(35-1)&lt;=(((((((0+Setup!$B$11)+Setup!$B$13)+Setup!$B$15)+Setup!$B$17)+Setup!$B$19)+Setup!$B$21)+Setup!$B$23)),"FLEX (WR/TE)",IF(AND((35-1)&gt;(((((((0+Setup!$B$11)+Setup!$B$13)+Setup!$B$15)+Setup!$B$17)+Setup!$B$19)+Setup!$B$21)+Setup!$B$23),(35-1)&lt;=((((((((0+Setup!$B$11)+Setup!$B$13)+Setup!$B$15)+Setup!$B$17)+Setup!$B$19)+Setup!$B$21)+Setup!$B$23)+Setup!$B$25)),"SUPERFLEX",IF(AND((35-1)&gt;((((((((0+Setup!$B$11)+Setup!$B$13)+Setup!$B$15)+Setup!$B$17)+Setup!$B$19)+Setup!$B$21)+Setup!$B$23)+Setup!$B$25),(35-1)&lt;=(((((((((0+Setup!$B$11)+Setup!$B$13)+Setup!$B$15)+Setup!$B$17)+Setup!$B$19)+Setup!$B$21)+Setup!$B$23)+Setup!$B$25)+Setup!$B$27)),"DEF",IF(AND((35-1)&gt;(((((((((0+Setup!$B$11)+Setup!$B$13)+Setup!$B$15)+Setup!$B$17)+Setup!$B$19)+Setup!$B$21)+Setup!$B$23)+Setup!$B$25)+Setup!$B$27),(35-1)&lt;=((((((((((0+Setup!$B$11)+Setup!$B$13)+Setup!$B$15)+Setup!$B$17)+Setup!$B$19)+Setup!$B$21)+Setup!$B$23)+Setup!$B$25)+Setup!$B$27)+Setup!$B$29)),"K",IF(AND((35-1)&gt;((((((((((0+Setup!$B$11)+Setup!$B$13)+Setup!$B$15)+Setup!$B$17)+Setup!$B$19)+Setup!$B$21)+Setup!$B$23)+Setup!$B$25)+Setup!$B$27)+Setup!$B$29),(35-1)&lt;=(((((((((((0+Setup!$B$11)+Setup!$B$13)+Setup!$B$15)+Setup!$B$17)+Setup!$B$19)+Setup!$B$21)+Setup!$B$23)+Setup!$B$25)+Setup!$B$27)+Setup!$B$29)+Setup!$B$31)),"BENCH","")))))))))))</f>
        <v/>
      </c>
    </row>
    <row r="36" spans="1:1" x14ac:dyDescent="0.25">
      <c r="A36" t="str">
        <f>IF(AND((36-1)&gt;0,(36-1)&lt;=(0+Setup!$B$11)),"QB",IF(AND((36-1)&gt;(0+Setup!$B$11),(36-1)&lt;=((0+Setup!$B$11)+Setup!$B$13)),"RB",IF(AND((36-1)&gt;((0+Setup!$B$11)+Setup!$B$13),(36-1)&lt;=(((0+Setup!$B$11)+Setup!$B$13)+Setup!$B$15)),"WR",IF(AND((36-1)&gt;(((0+Setup!$B$11)+Setup!$B$13)+Setup!$B$15),(36-1)&lt;=((((0+Setup!$B$11)+Setup!$B$13)+Setup!$B$15)+Setup!$B$17)),"TE",IF(AND((36-1)&gt;((((0+Setup!$B$11)+Setup!$B$13)+Setup!$B$15)+Setup!$B$17),(36-1)&lt;=(((((0+Setup!$B$11)+Setup!$B$13)+Setup!$B$15)+Setup!$B$17)+Setup!$B$19)),"FLEX (RB/WR/TE)",IF(AND((36-1)&gt;(((((0+Setup!$B$11)+Setup!$B$13)+Setup!$B$15)+Setup!$B$17)+Setup!$B$19),(36-1)&lt;=((((((0+Setup!$B$11)+Setup!$B$13)+Setup!$B$15)+Setup!$B$17)+Setup!$B$19)+Setup!$B$21)),"FLEX (RB/WR)",IF(AND((36-1)&gt;((((((0+Setup!$B$11)+Setup!$B$13)+Setup!$B$15)+Setup!$B$17)+Setup!$B$19)+Setup!$B$21),(36-1)&lt;=(((((((0+Setup!$B$11)+Setup!$B$13)+Setup!$B$15)+Setup!$B$17)+Setup!$B$19)+Setup!$B$21)+Setup!$B$23)),"FLEX (WR/TE)",IF(AND((36-1)&gt;(((((((0+Setup!$B$11)+Setup!$B$13)+Setup!$B$15)+Setup!$B$17)+Setup!$B$19)+Setup!$B$21)+Setup!$B$23),(36-1)&lt;=((((((((0+Setup!$B$11)+Setup!$B$13)+Setup!$B$15)+Setup!$B$17)+Setup!$B$19)+Setup!$B$21)+Setup!$B$23)+Setup!$B$25)),"SUPERFLEX",IF(AND((36-1)&gt;((((((((0+Setup!$B$11)+Setup!$B$13)+Setup!$B$15)+Setup!$B$17)+Setup!$B$19)+Setup!$B$21)+Setup!$B$23)+Setup!$B$25),(36-1)&lt;=(((((((((0+Setup!$B$11)+Setup!$B$13)+Setup!$B$15)+Setup!$B$17)+Setup!$B$19)+Setup!$B$21)+Setup!$B$23)+Setup!$B$25)+Setup!$B$27)),"DEF",IF(AND((36-1)&gt;(((((((((0+Setup!$B$11)+Setup!$B$13)+Setup!$B$15)+Setup!$B$17)+Setup!$B$19)+Setup!$B$21)+Setup!$B$23)+Setup!$B$25)+Setup!$B$27),(36-1)&lt;=((((((((((0+Setup!$B$11)+Setup!$B$13)+Setup!$B$15)+Setup!$B$17)+Setup!$B$19)+Setup!$B$21)+Setup!$B$23)+Setup!$B$25)+Setup!$B$27)+Setup!$B$29)),"K",IF(AND((36-1)&gt;((((((((((0+Setup!$B$11)+Setup!$B$13)+Setup!$B$15)+Setup!$B$17)+Setup!$B$19)+Setup!$B$21)+Setup!$B$23)+Setup!$B$25)+Setup!$B$27)+Setup!$B$29),(36-1)&lt;=(((((((((((0+Setup!$B$11)+Setup!$B$13)+Setup!$B$15)+Setup!$B$17)+Setup!$B$19)+Setup!$B$21)+Setup!$B$23)+Setup!$B$25)+Setup!$B$27)+Setup!$B$29)+Setup!$B$31)),"BENCH","")))))))))))</f>
        <v/>
      </c>
    </row>
    <row r="37" spans="1:1" x14ac:dyDescent="0.25">
      <c r="A37" t="str">
        <f>IF(AND((37-1)&gt;0,(37-1)&lt;=(0+Setup!$B$11)),"QB",IF(AND((37-1)&gt;(0+Setup!$B$11),(37-1)&lt;=((0+Setup!$B$11)+Setup!$B$13)),"RB",IF(AND((37-1)&gt;((0+Setup!$B$11)+Setup!$B$13),(37-1)&lt;=(((0+Setup!$B$11)+Setup!$B$13)+Setup!$B$15)),"WR",IF(AND((37-1)&gt;(((0+Setup!$B$11)+Setup!$B$13)+Setup!$B$15),(37-1)&lt;=((((0+Setup!$B$11)+Setup!$B$13)+Setup!$B$15)+Setup!$B$17)),"TE",IF(AND((37-1)&gt;((((0+Setup!$B$11)+Setup!$B$13)+Setup!$B$15)+Setup!$B$17),(37-1)&lt;=(((((0+Setup!$B$11)+Setup!$B$13)+Setup!$B$15)+Setup!$B$17)+Setup!$B$19)),"FLEX (RB/WR/TE)",IF(AND((37-1)&gt;(((((0+Setup!$B$11)+Setup!$B$13)+Setup!$B$15)+Setup!$B$17)+Setup!$B$19),(37-1)&lt;=((((((0+Setup!$B$11)+Setup!$B$13)+Setup!$B$15)+Setup!$B$17)+Setup!$B$19)+Setup!$B$21)),"FLEX (RB/WR)",IF(AND((37-1)&gt;((((((0+Setup!$B$11)+Setup!$B$13)+Setup!$B$15)+Setup!$B$17)+Setup!$B$19)+Setup!$B$21),(37-1)&lt;=(((((((0+Setup!$B$11)+Setup!$B$13)+Setup!$B$15)+Setup!$B$17)+Setup!$B$19)+Setup!$B$21)+Setup!$B$23)),"FLEX (WR/TE)",IF(AND((37-1)&gt;(((((((0+Setup!$B$11)+Setup!$B$13)+Setup!$B$15)+Setup!$B$17)+Setup!$B$19)+Setup!$B$21)+Setup!$B$23),(37-1)&lt;=((((((((0+Setup!$B$11)+Setup!$B$13)+Setup!$B$15)+Setup!$B$17)+Setup!$B$19)+Setup!$B$21)+Setup!$B$23)+Setup!$B$25)),"SUPERFLEX",IF(AND((37-1)&gt;((((((((0+Setup!$B$11)+Setup!$B$13)+Setup!$B$15)+Setup!$B$17)+Setup!$B$19)+Setup!$B$21)+Setup!$B$23)+Setup!$B$25),(37-1)&lt;=(((((((((0+Setup!$B$11)+Setup!$B$13)+Setup!$B$15)+Setup!$B$17)+Setup!$B$19)+Setup!$B$21)+Setup!$B$23)+Setup!$B$25)+Setup!$B$27)),"DEF",IF(AND((37-1)&gt;(((((((((0+Setup!$B$11)+Setup!$B$13)+Setup!$B$15)+Setup!$B$17)+Setup!$B$19)+Setup!$B$21)+Setup!$B$23)+Setup!$B$25)+Setup!$B$27),(37-1)&lt;=((((((((((0+Setup!$B$11)+Setup!$B$13)+Setup!$B$15)+Setup!$B$17)+Setup!$B$19)+Setup!$B$21)+Setup!$B$23)+Setup!$B$25)+Setup!$B$27)+Setup!$B$29)),"K",IF(AND((37-1)&gt;((((((((((0+Setup!$B$11)+Setup!$B$13)+Setup!$B$15)+Setup!$B$17)+Setup!$B$19)+Setup!$B$21)+Setup!$B$23)+Setup!$B$25)+Setup!$B$27)+Setup!$B$29),(37-1)&lt;=(((((((((((0+Setup!$B$11)+Setup!$B$13)+Setup!$B$15)+Setup!$B$17)+Setup!$B$19)+Setup!$B$21)+Setup!$B$23)+Setup!$B$25)+Setup!$B$27)+Setup!$B$29)+Setup!$B$31)),"BENCH","")))))))))))</f>
        <v/>
      </c>
    </row>
    <row r="38" spans="1:1" x14ac:dyDescent="0.25">
      <c r="A38" t="str">
        <f>IF(AND((38-1)&gt;0,(38-1)&lt;=(0+Setup!$B$11)),"QB",IF(AND((38-1)&gt;(0+Setup!$B$11),(38-1)&lt;=((0+Setup!$B$11)+Setup!$B$13)),"RB",IF(AND((38-1)&gt;((0+Setup!$B$11)+Setup!$B$13),(38-1)&lt;=(((0+Setup!$B$11)+Setup!$B$13)+Setup!$B$15)),"WR",IF(AND((38-1)&gt;(((0+Setup!$B$11)+Setup!$B$13)+Setup!$B$15),(38-1)&lt;=((((0+Setup!$B$11)+Setup!$B$13)+Setup!$B$15)+Setup!$B$17)),"TE",IF(AND((38-1)&gt;((((0+Setup!$B$11)+Setup!$B$13)+Setup!$B$15)+Setup!$B$17),(38-1)&lt;=(((((0+Setup!$B$11)+Setup!$B$13)+Setup!$B$15)+Setup!$B$17)+Setup!$B$19)),"FLEX (RB/WR/TE)",IF(AND((38-1)&gt;(((((0+Setup!$B$11)+Setup!$B$13)+Setup!$B$15)+Setup!$B$17)+Setup!$B$19),(38-1)&lt;=((((((0+Setup!$B$11)+Setup!$B$13)+Setup!$B$15)+Setup!$B$17)+Setup!$B$19)+Setup!$B$21)),"FLEX (RB/WR)",IF(AND((38-1)&gt;((((((0+Setup!$B$11)+Setup!$B$13)+Setup!$B$15)+Setup!$B$17)+Setup!$B$19)+Setup!$B$21),(38-1)&lt;=(((((((0+Setup!$B$11)+Setup!$B$13)+Setup!$B$15)+Setup!$B$17)+Setup!$B$19)+Setup!$B$21)+Setup!$B$23)),"FLEX (WR/TE)",IF(AND((38-1)&gt;(((((((0+Setup!$B$11)+Setup!$B$13)+Setup!$B$15)+Setup!$B$17)+Setup!$B$19)+Setup!$B$21)+Setup!$B$23),(38-1)&lt;=((((((((0+Setup!$B$11)+Setup!$B$13)+Setup!$B$15)+Setup!$B$17)+Setup!$B$19)+Setup!$B$21)+Setup!$B$23)+Setup!$B$25)),"SUPERFLEX",IF(AND((38-1)&gt;((((((((0+Setup!$B$11)+Setup!$B$13)+Setup!$B$15)+Setup!$B$17)+Setup!$B$19)+Setup!$B$21)+Setup!$B$23)+Setup!$B$25),(38-1)&lt;=(((((((((0+Setup!$B$11)+Setup!$B$13)+Setup!$B$15)+Setup!$B$17)+Setup!$B$19)+Setup!$B$21)+Setup!$B$23)+Setup!$B$25)+Setup!$B$27)),"DEF",IF(AND((38-1)&gt;(((((((((0+Setup!$B$11)+Setup!$B$13)+Setup!$B$15)+Setup!$B$17)+Setup!$B$19)+Setup!$B$21)+Setup!$B$23)+Setup!$B$25)+Setup!$B$27),(38-1)&lt;=((((((((((0+Setup!$B$11)+Setup!$B$13)+Setup!$B$15)+Setup!$B$17)+Setup!$B$19)+Setup!$B$21)+Setup!$B$23)+Setup!$B$25)+Setup!$B$27)+Setup!$B$29)),"K",IF(AND((38-1)&gt;((((((((((0+Setup!$B$11)+Setup!$B$13)+Setup!$B$15)+Setup!$B$17)+Setup!$B$19)+Setup!$B$21)+Setup!$B$23)+Setup!$B$25)+Setup!$B$27)+Setup!$B$29),(38-1)&lt;=(((((((((((0+Setup!$B$11)+Setup!$B$13)+Setup!$B$15)+Setup!$B$17)+Setup!$B$19)+Setup!$B$21)+Setup!$B$23)+Setup!$B$25)+Setup!$B$27)+Setup!$B$29)+Setup!$B$31)),"BENCH","")))))))))))</f>
        <v/>
      </c>
    </row>
    <row r="39" spans="1:1" x14ac:dyDescent="0.25">
      <c r="A39" t="str">
        <f>IF(AND((39-1)&gt;0,(39-1)&lt;=(0+Setup!$B$11)),"QB",IF(AND((39-1)&gt;(0+Setup!$B$11),(39-1)&lt;=((0+Setup!$B$11)+Setup!$B$13)),"RB",IF(AND((39-1)&gt;((0+Setup!$B$11)+Setup!$B$13),(39-1)&lt;=(((0+Setup!$B$11)+Setup!$B$13)+Setup!$B$15)),"WR",IF(AND((39-1)&gt;(((0+Setup!$B$11)+Setup!$B$13)+Setup!$B$15),(39-1)&lt;=((((0+Setup!$B$11)+Setup!$B$13)+Setup!$B$15)+Setup!$B$17)),"TE",IF(AND((39-1)&gt;((((0+Setup!$B$11)+Setup!$B$13)+Setup!$B$15)+Setup!$B$17),(39-1)&lt;=(((((0+Setup!$B$11)+Setup!$B$13)+Setup!$B$15)+Setup!$B$17)+Setup!$B$19)),"FLEX (RB/WR/TE)",IF(AND((39-1)&gt;(((((0+Setup!$B$11)+Setup!$B$13)+Setup!$B$15)+Setup!$B$17)+Setup!$B$19),(39-1)&lt;=((((((0+Setup!$B$11)+Setup!$B$13)+Setup!$B$15)+Setup!$B$17)+Setup!$B$19)+Setup!$B$21)),"FLEX (RB/WR)",IF(AND((39-1)&gt;((((((0+Setup!$B$11)+Setup!$B$13)+Setup!$B$15)+Setup!$B$17)+Setup!$B$19)+Setup!$B$21),(39-1)&lt;=(((((((0+Setup!$B$11)+Setup!$B$13)+Setup!$B$15)+Setup!$B$17)+Setup!$B$19)+Setup!$B$21)+Setup!$B$23)),"FLEX (WR/TE)",IF(AND((39-1)&gt;(((((((0+Setup!$B$11)+Setup!$B$13)+Setup!$B$15)+Setup!$B$17)+Setup!$B$19)+Setup!$B$21)+Setup!$B$23),(39-1)&lt;=((((((((0+Setup!$B$11)+Setup!$B$13)+Setup!$B$15)+Setup!$B$17)+Setup!$B$19)+Setup!$B$21)+Setup!$B$23)+Setup!$B$25)),"SUPERFLEX",IF(AND((39-1)&gt;((((((((0+Setup!$B$11)+Setup!$B$13)+Setup!$B$15)+Setup!$B$17)+Setup!$B$19)+Setup!$B$21)+Setup!$B$23)+Setup!$B$25),(39-1)&lt;=(((((((((0+Setup!$B$11)+Setup!$B$13)+Setup!$B$15)+Setup!$B$17)+Setup!$B$19)+Setup!$B$21)+Setup!$B$23)+Setup!$B$25)+Setup!$B$27)),"DEF",IF(AND((39-1)&gt;(((((((((0+Setup!$B$11)+Setup!$B$13)+Setup!$B$15)+Setup!$B$17)+Setup!$B$19)+Setup!$B$21)+Setup!$B$23)+Setup!$B$25)+Setup!$B$27),(39-1)&lt;=((((((((((0+Setup!$B$11)+Setup!$B$13)+Setup!$B$15)+Setup!$B$17)+Setup!$B$19)+Setup!$B$21)+Setup!$B$23)+Setup!$B$25)+Setup!$B$27)+Setup!$B$29)),"K",IF(AND((39-1)&gt;((((((((((0+Setup!$B$11)+Setup!$B$13)+Setup!$B$15)+Setup!$B$17)+Setup!$B$19)+Setup!$B$21)+Setup!$B$23)+Setup!$B$25)+Setup!$B$27)+Setup!$B$29),(39-1)&lt;=(((((((((((0+Setup!$B$11)+Setup!$B$13)+Setup!$B$15)+Setup!$B$17)+Setup!$B$19)+Setup!$B$21)+Setup!$B$23)+Setup!$B$25)+Setup!$B$27)+Setup!$B$29)+Setup!$B$31)),"BENCH","")))))))))))</f>
        <v/>
      </c>
    </row>
    <row r="40" spans="1:1" x14ac:dyDescent="0.25">
      <c r="A40" t="str">
        <f>IF(AND((40-1)&gt;0,(40-1)&lt;=(0+Setup!$B$11)),"QB",IF(AND((40-1)&gt;(0+Setup!$B$11),(40-1)&lt;=((0+Setup!$B$11)+Setup!$B$13)),"RB",IF(AND((40-1)&gt;((0+Setup!$B$11)+Setup!$B$13),(40-1)&lt;=(((0+Setup!$B$11)+Setup!$B$13)+Setup!$B$15)),"WR",IF(AND((40-1)&gt;(((0+Setup!$B$11)+Setup!$B$13)+Setup!$B$15),(40-1)&lt;=((((0+Setup!$B$11)+Setup!$B$13)+Setup!$B$15)+Setup!$B$17)),"TE",IF(AND((40-1)&gt;((((0+Setup!$B$11)+Setup!$B$13)+Setup!$B$15)+Setup!$B$17),(40-1)&lt;=(((((0+Setup!$B$11)+Setup!$B$13)+Setup!$B$15)+Setup!$B$17)+Setup!$B$19)),"FLEX (RB/WR/TE)",IF(AND((40-1)&gt;(((((0+Setup!$B$11)+Setup!$B$13)+Setup!$B$15)+Setup!$B$17)+Setup!$B$19),(40-1)&lt;=((((((0+Setup!$B$11)+Setup!$B$13)+Setup!$B$15)+Setup!$B$17)+Setup!$B$19)+Setup!$B$21)),"FLEX (RB/WR)",IF(AND((40-1)&gt;((((((0+Setup!$B$11)+Setup!$B$13)+Setup!$B$15)+Setup!$B$17)+Setup!$B$19)+Setup!$B$21),(40-1)&lt;=(((((((0+Setup!$B$11)+Setup!$B$13)+Setup!$B$15)+Setup!$B$17)+Setup!$B$19)+Setup!$B$21)+Setup!$B$23)),"FLEX (WR/TE)",IF(AND((40-1)&gt;(((((((0+Setup!$B$11)+Setup!$B$13)+Setup!$B$15)+Setup!$B$17)+Setup!$B$19)+Setup!$B$21)+Setup!$B$23),(40-1)&lt;=((((((((0+Setup!$B$11)+Setup!$B$13)+Setup!$B$15)+Setup!$B$17)+Setup!$B$19)+Setup!$B$21)+Setup!$B$23)+Setup!$B$25)),"SUPERFLEX",IF(AND((40-1)&gt;((((((((0+Setup!$B$11)+Setup!$B$13)+Setup!$B$15)+Setup!$B$17)+Setup!$B$19)+Setup!$B$21)+Setup!$B$23)+Setup!$B$25),(40-1)&lt;=(((((((((0+Setup!$B$11)+Setup!$B$13)+Setup!$B$15)+Setup!$B$17)+Setup!$B$19)+Setup!$B$21)+Setup!$B$23)+Setup!$B$25)+Setup!$B$27)),"DEF",IF(AND((40-1)&gt;(((((((((0+Setup!$B$11)+Setup!$B$13)+Setup!$B$15)+Setup!$B$17)+Setup!$B$19)+Setup!$B$21)+Setup!$B$23)+Setup!$B$25)+Setup!$B$27),(40-1)&lt;=((((((((((0+Setup!$B$11)+Setup!$B$13)+Setup!$B$15)+Setup!$B$17)+Setup!$B$19)+Setup!$B$21)+Setup!$B$23)+Setup!$B$25)+Setup!$B$27)+Setup!$B$29)),"K",IF(AND((40-1)&gt;((((((((((0+Setup!$B$11)+Setup!$B$13)+Setup!$B$15)+Setup!$B$17)+Setup!$B$19)+Setup!$B$21)+Setup!$B$23)+Setup!$B$25)+Setup!$B$27)+Setup!$B$29),(40-1)&lt;=(((((((((((0+Setup!$B$11)+Setup!$B$13)+Setup!$B$15)+Setup!$B$17)+Setup!$B$19)+Setup!$B$21)+Setup!$B$23)+Setup!$B$25)+Setup!$B$27)+Setup!$B$29)+Setup!$B$31)),"BENCH","")))))))))))</f>
        <v/>
      </c>
    </row>
    <row r="41" spans="1:1" x14ac:dyDescent="0.25">
      <c r="A41" t="str">
        <f>IF(AND((41-1)&gt;0,(41-1)&lt;=(0+Setup!$B$11)),"QB",IF(AND((41-1)&gt;(0+Setup!$B$11),(41-1)&lt;=((0+Setup!$B$11)+Setup!$B$13)),"RB",IF(AND((41-1)&gt;((0+Setup!$B$11)+Setup!$B$13),(41-1)&lt;=(((0+Setup!$B$11)+Setup!$B$13)+Setup!$B$15)),"WR",IF(AND((41-1)&gt;(((0+Setup!$B$11)+Setup!$B$13)+Setup!$B$15),(41-1)&lt;=((((0+Setup!$B$11)+Setup!$B$13)+Setup!$B$15)+Setup!$B$17)),"TE",IF(AND((41-1)&gt;((((0+Setup!$B$11)+Setup!$B$13)+Setup!$B$15)+Setup!$B$17),(41-1)&lt;=(((((0+Setup!$B$11)+Setup!$B$13)+Setup!$B$15)+Setup!$B$17)+Setup!$B$19)),"FLEX (RB/WR/TE)",IF(AND((41-1)&gt;(((((0+Setup!$B$11)+Setup!$B$13)+Setup!$B$15)+Setup!$B$17)+Setup!$B$19),(41-1)&lt;=((((((0+Setup!$B$11)+Setup!$B$13)+Setup!$B$15)+Setup!$B$17)+Setup!$B$19)+Setup!$B$21)),"FLEX (RB/WR)",IF(AND((41-1)&gt;((((((0+Setup!$B$11)+Setup!$B$13)+Setup!$B$15)+Setup!$B$17)+Setup!$B$19)+Setup!$B$21),(41-1)&lt;=(((((((0+Setup!$B$11)+Setup!$B$13)+Setup!$B$15)+Setup!$B$17)+Setup!$B$19)+Setup!$B$21)+Setup!$B$23)),"FLEX (WR/TE)",IF(AND((41-1)&gt;(((((((0+Setup!$B$11)+Setup!$B$13)+Setup!$B$15)+Setup!$B$17)+Setup!$B$19)+Setup!$B$21)+Setup!$B$23),(41-1)&lt;=((((((((0+Setup!$B$11)+Setup!$B$13)+Setup!$B$15)+Setup!$B$17)+Setup!$B$19)+Setup!$B$21)+Setup!$B$23)+Setup!$B$25)),"SUPERFLEX",IF(AND((41-1)&gt;((((((((0+Setup!$B$11)+Setup!$B$13)+Setup!$B$15)+Setup!$B$17)+Setup!$B$19)+Setup!$B$21)+Setup!$B$23)+Setup!$B$25),(41-1)&lt;=(((((((((0+Setup!$B$11)+Setup!$B$13)+Setup!$B$15)+Setup!$B$17)+Setup!$B$19)+Setup!$B$21)+Setup!$B$23)+Setup!$B$25)+Setup!$B$27)),"DEF",IF(AND((41-1)&gt;(((((((((0+Setup!$B$11)+Setup!$B$13)+Setup!$B$15)+Setup!$B$17)+Setup!$B$19)+Setup!$B$21)+Setup!$B$23)+Setup!$B$25)+Setup!$B$27),(41-1)&lt;=((((((((((0+Setup!$B$11)+Setup!$B$13)+Setup!$B$15)+Setup!$B$17)+Setup!$B$19)+Setup!$B$21)+Setup!$B$23)+Setup!$B$25)+Setup!$B$27)+Setup!$B$29)),"K",IF(AND((41-1)&gt;((((((((((0+Setup!$B$11)+Setup!$B$13)+Setup!$B$15)+Setup!$B$17)+Setup!$B$19)+Setup!$B$21)+Setup!$B$23)+Setup!$B$25)+Setup!$B$27)+Setup!$B$29),(41-1)&lt;=(((((((((((0+Setup!$B$11)+Setup!$B$13)+Setup!$B$15)+Setup!$B$17)+Setup!$B$19)+Setup!$B$21)+Setup!$B$23)+Setup!$B$25)+Setup!$B$27)+Setup!$B$29)+Setup!$B$31)),"BENCH","")))))))))))</f>
        <v/>
      </c>
    </row>
    <row r="42" spans="1:1" x14ac:dyDescent="0.25">
      <c r="A42" t="str">
        <f>IF(AND((42-1)&gt;0,(42-1)&lt;=(0+Setup!$B$11)),"QB",IF(AND((42-1)&gt;(0+Setup!$B$11),(42-1)&lt;=((0+Setup!$B$11)+Setup!$B$13)),"RB",IF(AND((42-1)&gt;((0+Setup!$B$11)+Setup!$B$13),(42-1)&lt;=(((0+Setup!$B$11)+Setup!$B$13)+Setup!$B$15)),"WR",IF(AND((42-1)&gt;(((0+Setup!$B$11)+Setup!$B$13)+Setup!$B$15),(42-1)&lt;=((((0+Setup!$B$11)+Setup!$B$13)+Setup!$B$15)+Setup!$B$17)),"TE",IF(AND((42-1)&gt;((((0+Setup!$B$11)+Setup!$B$13)+Setup!$B$15)+Setup!$B$17),(42-1)&lt;=(((((0+Setup!$B$11)+Setup!$B$13)+Setup!$B$15)+Setup!$B$17)+Setup!$B$19)),"FLEX (RB/WR/TE)",IF(AND((42-1)&gt;(((((0+Setup!$B$11)+Setup!$B$13)+Setup!$B$15)+Setup!$B$17)+Setup!$B$19),(42-1)&lt;=((((((0+Setup!$B$11)+Setup!$B$13)+Setup!$B$15)+Setup!$B$17)+Setup!$B$19)+Setup!$B$21)),"FLEX (RB/WR)",IF(AND((42-1)&gt;((((((0+Setup!$B$11)+Setup!$B$13)+Setup!$B$15)+Setup!$B$17)+Setup!$B$19)+Setup!$B$21),(42-1)&lt;=(((((((0+Setup!$B$11)+Setup!$B$13)+Setup!$B$15)+Setup!$B$17)+Setup!$B$19)+Setup!$B$21)+Setup!$B$23)),"FLEX (WR/TE)",IF(AND((42-1)&gt;(((((((0+Setup!$B$11)+Setup!$B$13)+Setup!$B$15)+Setup!$B$17)+Setup!$B$19)+Setup!$B$21)+Setup!$B$23),(42-1)&lt;=((((((((0+Setup!$B$11)+Setup!$B$13)+Setup!$B$15)+Setup!$B$17)+Setup!$B$19)+Setup!$B$21)+Setup!$B$23)+Setup!$B$25)),"SUPERFLEX",IF(AND((42-1)&gt;((((((((0+Setup!$B$11)+Setup!$B$13)+Setup!$B$15)+Setup!$B$17)+Setup!$B$19)+Setup!$B$21)+Setup!$B$23)+Setup!$B$25),(42-1)&lt;=(((((((((0+Setup!$B$11)+Setup!$B$13)+Setup!$B$15)+Setup!$B$17)+Setup!$B$19)+Setup!$B$21)+Setup!$B$23)+Setup!$B$25)+Setup!$B$27)),"DEF",IF(AND((42-1)&gt;(((((((((0+Setup!$B$11)+Setup!$B$13)+Setup!$B$15)+Setup!$B$17)+Setup!$B$19)+Setup!$B$21)+Setup!$B$23)+Setup!$B$25)+Setup!$B$27),(42-1)&lt;=((((((((((0+Setup!$B$11)+Setup!$B$13)+Setup!$B$15)+Setup!$B$17)+Setup!$B$19)+Setup!$B$21)+Setup!$B$23)+Setup!$B$25)+Setup!$B$27)+Setup!$B$29)),"K",IF(AND((42-1)&gt;((((((((((0+Setup!$B$11)+Setup!$B$13)+Setup!$B$15)+Setup!$B$17)+Setup!$B$19)+Setup!$B$21)+Setup!$B$23)+Setup!$B$25)+Setup!$B$27)+Setup!$B$29),(42-1)&lt;=(((((((((((0+Setup!$B$11)+Setup!$B$13)+Setup!$B$15)+Setup!$B$17)+Setup!$B$19)+Setup!$B$21)+Setup!$B$23)+Setup!$B$25)+Setup!$B$27)+Setup!$B$29)+Setup!$B$31)),"BENCH","")))))))))))</f>
        <v/>
      </c>
    </row>
    <row r="43" spans="1:1" x14ac:dyDescent="0.25">
      <c r="A43" t="str">
        <f>IF(AND((43-1)&gt;0,(43-1)&lt;=(0+Setup!$B$11)),"QB",IF(AND((43-1)&gt;(0+Setup!$B$11),(43-1)&lt;=((0+Setup!$B$11)+Setup!$B$13)),"RB",IF(AND((43-1)&gt;((0+Setup!$B$11)+Setup!$B$13),(43-1)&lt;=(((0+Setup!$B$11)+Setup!$B$13)+Setup!$B$15)),"WR",IF(AND((43-1)&gt;(((0+Setup!$B$11)+Setup!$B$13)+Setup!$B$15),(43-1)&lt;=((((0+Setup!$B$11)+Setup!$B$13)+Setup!$B$15)+Setup!$B$17)),"TE",IF(AND((43-1)&gt;((((0+Setup!$B$11)+Setup!$B$13)+Setup!$B$15)+Setup!$B$17),(43-1)&lt;=(((((0+Setup!$B$11)+Setup!$B$13)+Setup!$B$15)+Setup!$B$17)+Setup!$B$19)),"FLEX (RB/WR/TE)",IF(AND((43-1)&gt;(((((0+Setup!$B$11)+Setup!$B$13)+Setup!$B$15)+Setup!$B$17)+Setup!$B$19),(43-1)&lt;=((((((0+Setup!$B$11)+Setup!$B$13)+Setup!$B$15)+Setup!$B$17)+Setup!$B$19)+Setup!$B$21)),"FLEX (RB/WR)",IF(AND((43-1)&gt;((((((0+Setup!$B$11)+Setup!$B$13)+Setup!$B$15)+Setup!$B$17)+Setup!$B$19)+Setup!$B$21),(43-1)&lt;=(((((((0+Setup!$B$11)+Setup!$B$13)+Setup!$B$15)+Setup!$B$17)+Setup!$B$19)+Setup!$B$21)+Setup!$B$23)),"FLEX (WR/TE)",IF(AND((43-1)&gt;(((((((0+Setup!$B$11)+Setup!$B$13)+Setup!$B$15)+Setup!$B$17)+Setup!$B$19)+Setup!$B$21)+Setup!$B$23),(43-1)&lt;=((((((((0+Setup!$B$11)+Setup!$B$13)+Setup!$B$15)+Setup!$B$17)+Setup!$B$19)+Setup!$B$21)+Setup!$B$23)+Setup!$B$25)),"SUPERFLEX",IF(AND((43-1)&gt;((((((((0+Setup!$B$11)+Setup!$B$13)+Setup!$B$15)+Setup!$B$17)+Setup!$B$19)+Setup!$B$21)+Setup!$B$23)+Setup!$B$25),(43-1)&lt;=(((((((((0+Setup!$B$11)+Setup!$B$13)+Setup!$B$15)+Setup!$B$17)+Setup!$B$19)+Setup!$B$21)+Setup!$B$23)+Setup!$B$25)+Setup!$B$27)),"DEF",IF(AND((43-1)&gt;(((((((((0+Setup!$B$11)+Setup!$B$13)+Setup!$B$15)+Setup!$B$17)+Setup!$B$19)+Setup!$B$21)+Setup!$B$23)+Setup!$B$25)+Setup!$B$27),(43-1)&lt;=((((((((((0+Setup!$B$11)+Setup!$B$13)+Setup!$B$15)+Setup!$B$17)+Setup!$B$19)+Setup!$B$21)+Setup!$B$23)+Setup!$B$25)+Setup!$B$27)+Setup!$B$29)),"K",IF(AND((43-1)&gt;((((((((((0+Setup!$B$11)+Setup!$B$13)+Setup!$B$15)+Setup!$B$17)+Setup!$B$19)+Setup!$B$21)+Setup!$B$23)+Setup!$B$25)+Setup!$B$27)+Setup!$B$29),(43-1)&lt;=(((((((((((0+Setup!$B$11)+Setup!$B$13)+Setup!$B$15)+Setup!$B$17)+Setup!$B$19)+Setup!$B$21)+Setup!$B$23)+Setup!$B$25)+Setup!$B$27)+Setup!$B$29)+Setup!$B$31)),"BENCH","")))))))))))</f>
        <v/>
      </c>
    </row>
    <row r="44" spans="1:1" x14ac:dyDescent="0.25">
      <c r="A44" t="str">
        <f>IF(AND((44-1)&gt;0,(44-1)&lt;=(0+Setup!$B$11)),"QB",IF(AND((44-1)&gt;(0+Setup!$B$11),(44-1)&lt;=((0+Setup!$B$11)+Setup!$B$13)),"RB",IF(AND((44-1)&gt;((0+Setup!$B$11)+Setup!$B$13),(44-1)&lt;=(((0+Setup!$B$11)+Setup!$B$13)+Setup!$B$15)),"WR",IF(AND((44-1)&gt;(((0+Setup!$B$11)+Setup!$B$13)+Setup!$B$15),(44-1)&lt;=((((0+Setup!$B$11)+Setup!$B$13)+Setup!$B$15)+Setup!$B$17)),"TE",IF(AND((44-1)&gt;((((0+Setup!$B$11)+Setup!$B$13)+Setup!$B$15)+Setup!$B$17),(44-1)&lt;=(((((0+Setup!$B$11)+Setup!$B$13)+Setup!$B$15)+Setup!$B$17)+Setup!$B$19)),"FLEX (RB/WR/TE)",IF(AND((44-1)&gt;(((((0+Setup!$B$11)+Setup!$B$13)+Setup!$B$15)+Setup!$B$17)+Setup!$B$19),(44-1)&lt;=((((((0+Setup!$B$11)+Setup!$B$13)+Setup!$B$15)+Setup!$B$17)+Setup!$B$19)+Setup!$B$21)),"FLEX (RB/WR)",IF(AND((44-1)&gt;((((((0+Setup!$B$11)+Setup!$B$13)+Setup!$B$15)+Setup!$B$17)+Setup!$B$19)+Setup!$B$21),(44-1)&lt;=(((((((0+Setup!$B$11)+Setup!$B$13)+Setup!$B$15)+Setup!$B$17)+Setup!$B$19)+Setup!$B$21)+Setup!$B$23)),"FLEX (WR/TE)",IF(AND((44-1)&gt;(((((((0+Setup!$B$11)+Setup!$B$13)+Setup!$B$15)+Setup!$B$17)+Setup!$B$19)+Setup!$B$21)+Setup!$B$23),(44-1)&lt;=((((((((0+Setup!$B$11)+Setup!$B$13)+Setup!$B$15)+Setup!$B$17)+Setup!$B$19)+Setup!$B$21)+Setup!$B$23)+Setup!$B$25)),"SUPERFLEX",IF(AND((44-1)&gt;((((((((0+Setup!$B$11)+Setup!$B$13)+Setup!$B$15)+Setup!$B$17)+Setup!$B$19)+Setup!$B$21)+Setup!$B$23)+Setup!$B$25),(44-1)&lt;=(((((((((0+Setup!$B$11)+Setup!$B$13)+Setup!$B$15)+Setup!$B$17)+Setup!$B$19)+Setup!$B$21)+Setup!$B$23)+Setup!$B$25)+Setup!$B$27)),"DEF",IF(AND((44-1)&gt;(((((((((0+Setup!$B$11)+Setup!$B$13)+Setup!$B$15)+Setup!$B$17)+Setup!$B$19)+Setup!$B$21)+Setup!$B$23)+Setup!$B$25)+Setup!$B$27),(44-1)&lt;=((((((((((0+Setup!$B$11)+Setup!$B$13)+Setup!$B$15)+Setup!$B$17)+Setup!$B$19)+Setup!$B$21)+Setup!$B$23)+Setup!$B$25)+Setup!$B$27)+Setup!$B$29)),"K",IF(AND((44-1)&gt;((((((((((0+Setup!$B$11)+Setup!$B$13)+Setup!$B$15)+Setup!$B$17)+Setup!$B$19)+Setup!$B$21)+Setup!$B$23)+Setup!$B$25)+Setup!$B$27)+Setup!$B$29),(44-1)&lt;=(((((((((((0+Setup!$B$11)+Setup!$B$13)+Setup!$B$15)+Setup!$B$17)+Setup!$B$19)+Setup!$B$21)+Setup!$B$23)+Setup!$B$25)+Setup!$B$27)+Setup!$B$29)+Setup!$B$31)),"BENCH","")))))))))))</f>
        <v/>
      </c>
    </row>
    <row r="45" spans="1:1" x14ac:dyDescent="0.25">
      <c r="A45" t="str">
        <f>IF(AND((45-1)&gt;0,(45-1)&lt;=(0+Setup!$B$11)),"QB",IF(AND((45-1)&gt;(0+Setup!$B$11),(45-1)&lt;=((0+Setup!$B$11)+Setup!$B$13)),"RB",IF(AND((45-1)&gt;((0+Setup!$B$11)+Setup!$B$13),(45-1)&lt;=(((0+Setup!$B$11)+Setup!$B$13)+Setup!$B$15)),"WR",IF(AND((45-1)&gt;(((0+Setup!$B$11)+Setup!$B$13)+Setup!$B$15),(45-1)&lt;=((((0+Setup!$B$11)+Setup!$B$13)+Setup!$B$15)+Setup!$B$17)),"TE",IF(AND((45-1)&gt;((((0+Setup!$B$11)+Setup!$B$13)+Setup!$B$15)+Setup!$B$17),(45-1)&lt;=(((((0+Setup!$B$11)+Setup!$B$13)+Setup!$B$15)+Setup!$B$17)+Setup!$B$19)),"FLEX (RB/WR/TE)",IF(AND((45-1)&gt;(((((0+Setup!$B$11)+Setup!$B$13)+Setup!$B$15)+Setup!$B$17)+Setup!$B$19),(45-1)&lt;=((((((0+Setup!$B$11)+Setup!$B$13)+Setup!$B$15)+Setup!$B$17)+Setup!$B$19)+Setup!$B$21)),"FLEX (RB/WR)",IF(AND((45-1)&gt;((((((0+Setup!$B$11)+Setup!$B$13)+Setup!$B$15)+Setup!$B$17)+Setup!$B$19)+Setup!$B$21),(45-1)&lt;=(((((((0+Setup!$B$11)+Setup!$B$13)+Setup!$B$15)+Setup!$B$17)+Setup!$B$19)+Setup!$B$21)+Setup!$B$23)),"FLEX (WR/TE)",IF(AND((45-1)&gt;(((((((0+Setup!$B$11)+Setup!$B$13)+Setup!$B$15)+Setup!$B$17)+Setup!$B$19)+Setup!$B$21)+Setup!$B$23),(45-1)&lt;=((((((((0+Setup!$B$11)+Setup!$B$13)+Setup!$B$15)+Setup!$B$17)+Setup!$B$19)+Setup!$B$21)+Setup!$B$23)+Setup!$B$25)),"SUPERFLEX",IF(AND((45-1)&gt;((((((((0+Setup!$B$11)+Setup!$B$13)+Setup!$B$15)+Setup!$B$17)+Setup!$B$19)+Setup!$B$21)+Setup!$B$23)+Setup!$B$25),(45-1)&lt;=(((((((((0+Setup!$B$11)+Setup!$B$13)+Setup!$B$15)+Setup!$B$17)+Setup!$B$19)+Setup!$B$21)+Setup!$B$23)+Setup!$B$25)+Setup!$B$27)),"DEF",IF(AND((45-1)&gt;(((((((((0+Setup!$B$11)+Setup!$B$13)+Setup!$B$15)+Setup!$B$17)+Setup!$B$19)+Setup!$B$21)+Setup!$B$23)+Setup!$B$25)+Setup!$B$27),(45-1)&lt;=((((((((((0+Setup!$B$11)+Setup!$B$13)+Setup!$B$15)+Setup!$B$17)+Setup!$B$19)+Setup!$B$21)+Setup!$B$23)+Setup!$B$25)+Setup!$B$27)+Setup!$B$29)),"K",IF(AND((45-1)&gt;((((((((((0+Setup!$B$11)+Setup!$B$13)+Setup!$B$15)+Setup!$B$17)+Setup!$B$19)+Setup!$B$21)+Setup!$B$23)+Setup!$B$25)+Setup!$B$27)+Setup!$B$29),(45-1)&lt;=(((((((((((0+Setup!$B$11)+Setup!$B$13)+Setup!$B$15)+Setup!$B$17)+Setup!$B$19)+Setup!$B$21)+Setup!$B$23)+Setup!$B$25)+Setup!$B$27)+Setup!$B$29)+Setup!$B$31)),"BENCH","")))))))))))</f>
        <v/>
      </c>
    </row>
    <row r="46" spans="1:1" x14ac:dyDescent="0.25">
      <c r="A46" t="str">
        <f>IF(AND((46-1)&gt;0,(46-1)&lt;=(0+Setup!$B$11)),"QB",IF(AND((46-1)&gt;(0+Setup!$B$11),(46-1)&lt;=((0+Setup!$B$11)+Setup!$B$13)),"RB",IF(AND((46-1)&gt;((0+Setup!$B$11)+Setup!$B$13),(46-1)&lt;=(((0+Setup!$B$11)+Setup!$B$13)+Setup!$B$15)),"WR",IF(AND((46-1)&gt;(((0+Setup!$B$11)+Setup!$B$13)+Setup!$B$15),(46-1)&lt;=((((0+Setup!$B$11)+Setup!$B$13)+Setup!$B$15)+Setup!$B$17)),"TE",IF(AND((46-1)&gt;((((0+Setup!$B$11)+Setup!$B$13)+Setup!$B$15)+Setup!$B$17),(46-1)&lt;=(((((0+Setup!$B$11)+Setup!$B$13)+Setup!$B$15)+Setup!$B$17)+Setup!$B$19)),"FLEX (RB/WR/TE)",IF(AND((46-1)&gt;(((((0+Setup!$B$11)+Setup!$B$13)+Setup!$B$15)+Setup!$B$17)+Setup!$B$19),(46-1)&lt;=((((((0+Setup!$B$11)+Setup!$B$13)+Setup!$B$15)+Setup!$B$17)+Setup!$B$19)+Setup!$B$21)),"FLEX (RB/WR)",IF(AND((46-1)&gt;((((((0+Setup!$B$11)+Setup!$B$13)+Setup!$B$15)+Setup!$B$17)+Setup!$B$19)+Setup!$B$21),(46-1)&lt;=(((((((0+Setup!$B$11)+Setup!$B$13)+Setup!$B$15)+Setup!$B$17)+Setup!$B$19)+Setup!$B$21)+Setup!$B$23)),"FLEX (WR/TE)",IF(AND((46-1)&gt;(((((((0+Setup!$B$11)+Setup!$B$13)+Setup!$B$15)+Setup!$B$17)+Setup!$B$19)+Setup!$B$21)+Setup!$B$23),(46-1)&lt;=((((((((0+Setup!$B$11)+Setup!$B$13)+Setup!$B$15)+Setup!$B$17)+Setup!$B$19)+Setup!$B$21)+Setup!$B$23)+Setup!$B$25)),"SUPERFLEX",IF(AND((46-1)&gt;((((((((0+Setup!$B$11)+Setup!$B$13)+Setup!$B$15)+Setup!$B$17)+Setup!$B$19)+Setup!$B$21)+Setup!$B$23)+Setup!$B$25),(46-1)&lt;=(((((((((0+Setup!$B$11)+Setup!$B$13)+Setup!$B$15)+Setup!$B$17)+Setup!$B$19)+Setup!$B$21)+Setup!$B$23)+Setup!$B$25)+Setup!$B$27)),"DEF",IF(AND((46-1)&gt;(((((((((0+Setup!$B$11)+Setup!$B$13)+Setup!$B$15)+Setup!$B$17)+Setup!$B$19)+Setup!$B$21)+Setup!$B$23)+Setup!$B$25)+Setup!$B$27),(46-1)&lt;=((((((((((0+Setup!$B$11)+Setup!$B$13)+Setup!$B$15)+Setup!$B$17)+Setup!$B$19)+Setup!$B$21)+Setup!$B$23)+Setup!$B$25)+Setup!$B$27)+Setup!$B$29)),"K",IF(AND((46-1)&gt;((((((((((0+Setup!$B$11)+Setup!$B$13)+Setup!$B$15)+Setup!$B$17)+Setup!$B$19)+Setup!$B$21)+Setup!$B$23)+Setup!$B$25)+Setup!$B$27)+Setup!$B$29),(46-1)&lt;=(((((((((((0+Setup!$B$11)+Setup!$B$13)+Setup!$B$15)+Setup!$B$17)+Setup!$B$19)+Setup!$B$21)+Setup!$B$23)+Setup!$B$25)+Setup!$B$27)+Setup!$B$29)+Setup!$B$31)),"BENCH","")))))))))))</f>
        <v/>
      </c>
    </row>
    <row r="47" spans="1:1" x14ac:dyDescent="0.25">
      <c r="A47" t="str">
        <f>IF(AND((47-1)&gt;0,(47-1)&lt;=(0+Setup!$B$11)),"QB",IF(AND((47-1)&gt;(0+Setup!$B$11),(47-1)&lt;=((0+Setup!$B$11)+Setup!$B$13)),"RB",IF(AND((47-1)&gt;((0+Setup!$B$11)+Setup!$B$13),(47-1)&lt;=(((0+Setup!$B$11)+Setup!$B$13)+Setup!$B$15)),"WR",IF(AND((47-1)&gt;(((0+Setup!$B$11)+Setup!$B$13)+Setup!$B$15),(47-1)&lt;=((((0+Setup!$B$11)+Setup!$B$13)+Setup!$B$15)+Setup!$B$17)),"TE",IF(AND((47-1)&gt;((((0+Setup!$B$11)+Setup!$B$13)+Setup!$B$15)+Setup!$B$17),(47-1)&lt;=(((((0+Setup!$B$11)+Setup!$B$13)+Setup!$B$15)+Setup!$B$17)+Setup!$B$19)),"FLEX (RB/WR/TE)",IF(AND((47-1)&gt;(((((0+Setup!$B$11)+Setup!$B$13)+Setup!$B$15)+Setup!$B$17)+Setup!$B$19),(47-1)&lt;=((((((0+Setup!$B$11)+Setup!$B$13)+Setup!$B$15)+Setup!$B$17)+Setup!$B$19)+Setup!$B$21)),"FLEX (RB/WR)",IF(AND((47-1)&gt;((((((0+Setup!$B$11)+Setup!$B$13)+Setup!$B$15)+Setup!$B$17)+Setup!$B$19)+Setup!$B$21),(47-1)&lt;=(((((((0+Setup!$B$11)+Setup!$B$13)+Setup!$B$15)+Setup!$B$17)+Setup!$B$19)+Setup!$B$21)+Setup!$B$23)),"FLEX (WR/TE)",IF(AND((47-1)&gt;(((((((0+Setup!$B$11)+Setup!$B$13)+Setup!$B$15)+Setup!$B$17)+Setup!$B$19)+Setup!$B$21)+Setup!$B$23),(47-1)&lt;=((((((((0+Setup!$B$11)+Setup!$B$13)+Setup!$B$15)+Setup!$B$17)+Setup!$B$19)+Setup!$B$21)+Setup!$B$23)+Setup!$B$25)),"SUPERFLEX",IF(AND((47-1)&gt;((((((((0+Setup!$B$11)+Setup!$B$13)+Setup!$B$15)+Setup!$B$17)+Setup!$B$19)+Setup!$B$21)+Setup!$B$23)+Setup!$B$25),(47-1)&lt;=(((((((((0+Setup!$B$11)+Setup!$B$13)+Setup!$B$15)+Setup!$B$17)+Setup!$B$19)+Setup!$B$21)+Setup!$B$23)+Setup!$B$25)+Setup!$B$27)),"DEF",IF(AND((47-1)&gt;(((((((((0+Setup!$B$11)+Setup!$B$13)+Setup!$B$15)+Setup!$B$17)+Setup!$B$19)+Setup!$B$21)+Setup!$B$23)+Setup!$B$25)+Setup!$B$27),(47-1)&lt;=((((((((((0+Setup!$B$11)+Setup!$B$13)+Setup!$B$15)+Setup!$B$17)+Setup!$B$19)+Setup!$B$21)+Setup!$B$23)+Setup!$B$25)+Setup!$B$27)+Setup!$B$29)),"K",IF(AND((47-1)&gt;((((((((((0+Setup!$B$11)+Setup!$B$13)+Setup!$B$15)+Setup!$B$17)+Setup!$B$19)+Setup!$B$21)+Setup!$B$23)+Setup!$B$25)+Setup!$B$27)+Setup!$B$29),(47-1)&lt;=(((((((((((0+Setup!$B$11)+Setup!$B$13)+Setup!$B$15)+Setup!$B$17)+Setup!$B$19)+Setup!$B$21)+Setup!$B$23)+Setup!$B$25)+Setup!$B$27)+Setup!$B$29)+Setup!$B$31)),"BENCH","")))))))))))</f>
        <v/>
      </c>
    </row>
    <row r="48" spans="1:1" x14ac:dyDescent="0.25">
      <c r="A48" t="str">
        <f>IF(AND((48-1)&gt;0,(48-1)&lt;=(0+Setup!$B$11)),"QB",IF(AND((48-1)&gt;(0+Setup!$B$11),(48-1)&lt;=((0+Setup!$B$11)+Setup!$B$13)),"RB",IF(AND((48-1)&gt;((0+Setup!$B$11)+Setup!$B$13),(48-1)&lt;=(((0+Setup!$B$11)+Setup!$B$13)+Setup!$B$15)),"WR",IF(AND((48-1)&gt;(((0+Setup!$B$11)+Setup!$B$13)+Setup!$B$15),(48-1)&lt;=((((0+Setup!$B$11)+Setup!$B$13)+Setup!$B$15)+Setup!$B$17)),"TE",IF(AND((48-1)&gt;((((0+Setup!$B$11)+Setup!$B$13)+Setup!$B$15)+Setup!$B$17),(48-1)&lt;=(((((0+Setup!$B$11)+Setup!$B$13)+Setup!$B$15)+Setup!$B$17)+Setup!$B$19)),"FLEX (RB/WR/TE)",IF(AND((48-1)&gt;(((((0+Setup!$B$11)+Setup!$B$13)+Setup!$B$15)+Setup!$B$17)+Setup!$B$19),(48-1)&lt;=((((((0+Setup!$B$11)+Setup!$B$13)+Setup!$B$15)+Setup!$B$17)+Setup!$B$19)+Setup!$B$21)),"FLEX (RB/WR)",IF(AND((48-1)&gt;((((((0+Setup!$B$11)+Setup!$B$13)+Setup!$B$15)+Setup!$B$17)+Setup!$B$19)+Setup!$B$21),(48-1)&lt;=(((((((0+Setup!$B$11)+Setup!$B$13)+Setup!$B$15)+Setup!$B$17)+Setup!$B$19)+Setup!$B$21)+Setup!$B$23)),"FLEX (WR/TE)",IF(AND((48-1)&gt;(((((((0+Setup!$B$11)+Setup!$B$13)+Setup!$B$15)+Setup!$B$17)+Setup!$B$19)+Setup!$B$21)+Setup!$B$23),(48-1)&lt;=((((((((0+Setup!$B$11)+Setup!$B$13)+Setup!$B$15)+Setup!$B$17)+Setup!$B$19)+Setup!$B$21)+Setup!$B$23)+Setup!$B$25)),"SUPERFLEX",IF(AND((48-1)&gt;((((((((0+Setup!$B$11)+Setup!$B$13)+Setup!$B$15)+Setup!$B$17)+Setup!$B$19)+Setup!$B$21)+Setup!$B$23)+Setup!$B$25),(48-1)&lt;=(((((((((0+Setup!$B$11)+Setup!$B$13)+Setup!$B$15)+Setup!$B$17)+Setup!$B$19)+Setup!$B$21)+Setup!$B$23)+Setup!$B$25)+Setup!$B$27)),"DEF",IF(AND((48-1)&gt;(((((((((0+Setup!$B$11)+Setup!$B$13)+Setup!$B$15)+Setup!$B$17)+Setup!$B$19)+Setup!$B$21)+Setup!$B$23)+Setup!$B$25)+Setup!$B$27),(48-1)&lt;=((((((((((0+Setup!$B$11)+Setup!$B$13)+Setup!$B$15)+Setup!$B$17)+Setup!$B$19)+Setup!$B$21)+Setup!$B$23)+Setup!$B$25)+Setup!$B$27)+Setup!$B$29)),"K",IF(AND((48-1)&gt;((((((((((0+Setup!$B$11)+Setup!$B$13)+Setup!$B$15)+Setup!$B$17)+Setup!$B$19)+Setup!$B$21)+Setup!$B$23)+Setup!$B$25)+Setup!$B$27)+Setup!$B$29),(48-1)&lt;=(((((((((((0+Setup!$B$11)+Setup!$B$13)+Setup!$B$15)+Setup!$B$17)+Setup!$B$19)+Setup!$B$21)+Setup!$B$23)+Setup!$B$25)+Setup!$B$27)+Setup!$B$29)+Setup!$B$31)),"BENCH","")))))))))))</f>
        <v/>
      </c>
    </row>
    <row r="49" spans="1:2" x14ac:dyDescent="0.25">
      <c r="A49" t="str">
        <f>IF(AND((49-1)&gt;0,(49-1)&lt;=(0+Setup!$B$11)),"QB",IF(AND((49-1)&gt;(0+Setup!$B$11),(49-1)&lt;=((0+Setup!$B$11)+Setup!$B$13)),"RB",IF(AND((49-1)&gt;((0+Setup!$B$11)+Setup!$B$13),(49-1)&lt;=(((0+Setup!$B$11)+Setup!$B$13)+Setup!$B$15)),"WR",IF(AND((49-1)&gt;(((0+Setup!$B$11)+Setup!$B$13)+Setup!$B$15),(49-1)&lt;=((((0+Setup!$B$11)+Setup!$B$13)+Setup!$B$15)+Setup!$B$17)),"TE",IF(AND((49-1)&gt;((((0+Setup!$B$11)+Setup!$B$13)+Setup!$B$15)+Setup!$B$17),(49-1)&lt;=(((((0+Setup!$B$11)+Setup!$B$13)+Setup!$B$15)+Setup!$B$17)+Setup!$B$19)),"FLEX (RB/WR/TE)",IF(AND((49-1)&gt;(((((0+Setup!$B$11)+Setup!$B$13)+Setup!$B$15)+Setup!$B$17)+Setup!$B$19),(49-1)&lt;=((((((0+Setup!$B$11)+Setup!$B$13)+Setup!$B$15)+Setup!$B$17)+Setup!$B$19)+Setup!$B$21)),"FLEX (RB/WR)",IF(AND((49-1)&gt;((((((0+Setup!$B$11)+Setup!$B$13)+Setup!$B$15)+Setup!$B$17)+Setup!$B$19)+Setup!$B$21),(49-1)&lt;=(((((((0+Setup!$B$11)+Setup!$B$13)+Setup!$B$15)+Setup!$B$17)+Setup!$B$19)+Setup!$B$21)+Setup!$B$23)),"FLEX (WR/TE)",IF(AND((49-1)&gt;(((((((0+Setup!$B$11)+Setup!$B$13)+Setup!$B$15)+Setup!$B$17)+Setup!$B$19)+Setup!$B$21)+Setup!$B$23),(49-1)&lt;=((((((((0+Setup!$B$11)+Setup!$B$13)+Setup!$B$15)+Setup!$B$17)+Setup!$B$19)+Setup!$B$21)+Setup!$B$23)+Setup!$B$25)),"SUPERFLEX",IF(AND((49-1)&gt;((((((((0+Setup!$B$11)+Setup!$B$13)+Setup!$B$15)+Setup!$B$17)+Setup!$B$19)+Setup!$B$21)+Setup!$B$23)+Setup!$B$25),(49-1)&lt;=(((((((((0+Setup!$B$11)+Setup!$B$13)+Setup!$B$15)+Setup!$B$17)+Setup!$B$19)+Setup!$B$21)+Setup!$B$23)+Setup!$B$25)+Setup!$B$27)),"DEF",IF(AND((49-1)&gt;(((((((((0+Setup!$B$11)+Setup!$B$13)+Setup!$B$15)+Setup!$B$17)+Setup!$B$19)+Setup!$B$21)+Setup!$B$23)+Setup!$B$25)+Setup!$B$27),(49-1)&lt;=((((((((((0+Setup!$B$11)+Setup!$B$13)+Setup!$B$15)+Setup!$B$17)+Setup!$B$19)+Setup!$B$21)+Setup!$B$23)+Setup!$B$25)+Setup!$B$27)+Setup!$B$29)),"K",IF(AND((49-1)&gt;((((((((((0+Setup!$B$11)+Setup!$B$13)+Setup!$B$15)+Setup!$B$17)+Setup!$B$19)+Setup!$B$21)+Setup!$B$23)+Setup!$B$25)+Setup!$B$27)+Setup!$B$29),(49-1)&lt;=(((((((((((0+Setup!$B$11)+Setup!$B$13)+Setup!$B$15)+Setup!$B$17)+Setup!$B$19)+Setup!$B$21)+Setup!$B$23)+Setup!$B$25)+Setup!$B$27)+Setup!$B$29)+Setup!$B$31)),"BENCH","")))))))))))</f>
        <v/>
      </c>
    </row>
    <row r="50" spans="1:2" x14ac:dyDescent="0.25">
      <c r="A50" t="str">
        <f>IF(AND((50-1)&gt;0,(50-1)&lt;=(0+Setup!$B$11)),"QB",IF(AND((50-1)&gt;(0+Setup!$B$11),(50-1)&lt;=((0+Setup!$B$11)+Setup!$B$13)),"RB",IF(AND((50-1)&gt;((0+Setup!$B$11)+Setup!$B$13),(50-1)&lt;=(((0+Setup!$B$11)+Setup!$B$13)+Setup!$B$15)),"WR",IF(AND((50-1)&gt;(((0+Setup!$B$11)+Setup!$B$13)+Setup!$B$15),(50-1)&lt;=((((0+Setup!$B$11)+Setup!$B$13)+Setup!$B$15)+Setup!$B$17)),"TE",IF(AND((50-1)&gt;((((0+Setup!$B$11)+Setup!$B$13)+Setup!$B$15)+Setup!$B$17),(50-1)&lt;=(((((0+Setup!$B$11)+Setup!$B$13)+Setup!$B$15)+Setup!$B$17)+Setup!$B$19)),"FLEX (RB/WR/TE)",IF(AND((50-1)&gt;(((((0+Setup!$B$11)+Setup!$B$13)+Setup!$B$15)+Setup!$B$17)+Setup!$B$19),(50-1)&lt;=((((((0+Setup!$B$11)+Setup!$B$13)+Setup!$B$15)+Setup!$B$17)+Setup!$B$19)+Setup!$B$21)),"FLEX (RB/WR)",IF(AND((50-1)&gt;((((((0+Setup!$B$11)+Setup!$B$13)+Setup!$B$15)+Setup!$B$17)+Setup!$B$19)+Setup!$B$21),(50-1)&lt;=(((((((0+Setup!$B$11)+Setup!$B$13)+Setup!$B$15)+Setup!$B$17)+Setup!$B$19)+Setup!$B$21)+Setup!$B$23)),"FLEX (WR/TE)",IF(AND((50-1)&gt;(((((((0+Setup!$B$11)+Setup!$B$13)+Setup!$B$15)+Setup!$B$17)+Setup!$B$19)+Setup!$B$21)+Setup!$B$23),(50-1)&lt;=((((((((0+Setup!$B$11)+Setup!$B$13)+Setup!$B$15)+Setup!$B$17)+Setup!$B$19)+Setup!$B$21)+Setup!$B$23)+Setup!$B$25)),"SUPERFLEX",IF(AND((50-1)&gt;((((((((0+Setup!$B$11)+Setup!$B$13)+Setup!$B$15)+Setup!$B$17)+Setup!$B$19)+Setup!$B$21)+Setup!$B$23)+Setup!$B$25),(50-1)&lt;=(((((((((0+Setup!$B$11)+Setup!$B$13)+Setup!$B$15)+Setup!$B$17)+Setup!$B$19)+Setup!$B$21)+Setup!$B$23)+Setup!$B$25)+Setup!$B$27)),"DEF",IF(AND((50-1)&gt;(((((((((0+Setup!$B$11)+Setup!$B$13)+Setup!$B$15)+Setup!$B$17)+Setup!$B$19)+Setup!$B$21)+Setup!$B$23)+Setup!$B$25)+Setup!$B$27),(50-1)&lt;=((((((((((0+Setup!$B$11)+Setup!$B$13)+Setup!$B$15)+Setup!$B$17)+Setup!$B$19)+Setup!$B$21)+Setup!$B$23)+Setup!$B$25)+Setup!$B$27)+Setup!$B$29)),"K",IF(AND((50-1)&gt;((((((((((0+Setup!$B$11)+Setup!$B$13)+Setup!$B$15)+Setup!$B$17)+Setup!$B$19)+Setup!$B$21)+Setup!$B$23)+Setup!$B$25)+Setup!$B$27)+Setup!$B$29),(50-1)&lt;=(((((((((((0+Setup!$B$11)+Setup!$B$13)+Setup!$B$15)+Setup!$B$17)+Setup!$B$19)+Setup!$B$21)+Setup!$B$23)+Setup!$B$25)+Setup!$B$27)+Setup!$B$29)+Setup!$B$31)),"BENCH","")))))))))))</f>
        <v/>
      </c>
    </row>
    <row r="53" spans="1:2" x14ac:dyDescent="0.25">
      <c r="A53" s="13" t="s">
        <v>640</v>
      </c>
      <c r="B53">
        <f>Setup!$B$3</f>
        <v>200</v>
      </c>
    </row>
    <row r="54" spans="1:2" x14ac:dyDescent="0.25">
      <c r="A54" s="13" t="s">
        <v>641</v>
      </c>
      <c r="B54">
        <f>Setup!$B$11+Setup!$B$13+Setup!$B$15+Setup!$B$17+Setup!$B$19+Setup!$B$21+Setup!$B$23+Setup!$B$25+Setup!$B$27+Setup!$B$29+Setup!$B$31</f>
        <v>16</v>
      </c>
    </row>
    <row r="55" spans="1:2" x14ac:dyDescent="0.25">
      <c r="A55" s="13" t="s">
        <v>642</v>
      </c>
      <c r="B55">
        <f>COUNTIFS(A2:A50,"&lt;&gt;",C2:C50,"&lt;&gt;")</f>
        <v>0</v>
      </c>
    </row>
    <row r="56" spans="1:2" x14ac:dyDescent="0.25">
      <c r="A56" s="13" t="s">
        <v>643</v>
      </c>
      <c r="B56">
        <f>B54-B55</f>
        <v>16</v>
      </c>
    </row>
    <row r="57" spans="1:2" x14ac:dyDescent="0.25">
      <c r="A57" s="13" t="s">
        <v>644</v>
      </c>
      <c r="B57">
        <f>SUM(C2:C50)</f>
        <v>0</v>
      </c>
    </row>
    <row r="58" spans="1:2" x14ac:dyDescent="0.25">
      <c r="A58" s="13" t="s">
        <v>645</v>
      </c>
      <c r="B58">
        <f>B53-B57</f>
        <v>200</v>
      </c>
    </row>
    <row r="59" spans="1:2" x14ac:dyDescent="0.25">
      <c r="A59" s="13" t="s">
        <v>646</v>
      </c>
      <c r="B59">
        <f>IF(B56&gt;0,B58-(B56-1)*1,"Roster full")</f>
        <v>185</v>
      </c>
    </row>
    <row r="60" spans="1:2" x14ac:dyDescent="0.25">
      <c r="A60" s="13" t="s">
        <v>647</v>
      </c>
      <c r="B60">
        <f>IFERROR(B58/B56,"Roster full")</f>
        <v>12.5</v>
      </c>
    </row>
  </sheetData>
  <dataValidations count="1">
    <dataValidation type="whole" allowBlank="1" showErrorMessage="1" errorTitle="Invalid price" error="Enter a whole-dollar amount (0-400)." sqref="C2:C50" xr:uid="{00000000-0002-0000-0400-000000000000}">
      <formula1>0</formula1>
      <formula2>400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Setup</vt:lpstr>
      <vt:lpstr>Draft Board</vt:lpstr>
      <vt:lpstr>Live Calc</vt:lpstr>
      <vt:lpstr>My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Bond</cp:lastModifiedBy>
  <dcterms:created xsi:type="dcterms:W3CDTF">2026-07-17T14:58:52Z</dcterms:created>
  <dcterms:modified xsi:type="dcterms:W3CDTF">2026-07-17T15:21:17Z</dcterms:modified>
</cp:coreProperties>
</file>