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0998ace04e2b563/Documents/FF_ADP/ff_auction_values/"/>
    </mc:Choice>
  </mc:AlternateContent>
  <xr:revisionPtr revIDLastSave="50" documentId="11_E29D06778B80AD22A92DA597626E04A0E819A21F" xr6:coauthVersionLast="47" xr6:coauthVersionMax="47" xr10:uidLastSave="{BF5A335E-5823-4F44-84F9-0D461B43077D}"/>
  <bookViews>
    <workbookView xWindow="-120" yWindow="-120" windowWidth="29040" windowHeight="15720" xr2:uid="{00000000-000D-0000-FFFF-FFFF00000000}"/>
  </bookViews>
  <sheets>
    <sheet name="Setup" sheetId="1" r:id="rId1"/>
    <sheet name="Draft Board" sheetId="2" r:id="rId2"/>
    <sheet name="Live Calc" sheetId="3" r:id="rId3"/>
    <sheet name="My Tea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B22" i="4"/>
  <c r="B23" i="4" s="1"/>
  <c r="B20" i="4"/>
  <c r="E89" i="3"/>
  <c r="D89" i="3"/>
  <c r="C12" i="3"/>
  <c r="C11" i="3"/>
  <c r="C10" i="3"/>
  <c r="C9" i="3"/>
  <c r="B2" i="3"/>
  <c r="B4" i="3" s="1"/>
  <c r="DF173" i="2"/>
  <c r="DE173" i="2"/>
  <c r="DF172" i="2"/>
  <c r="DE172" i="2"/>
  <c r="DF171" i="2"/>
  <c r="DE171" i="2"/>
  <c r="DF170" i="2"/>
  <c r="DE170" i="2"/>
  <c r="DF169" i="2"/>
  <c r="DE169" i="2"/>
  <c r="DF168" i="2"/>
  <c r="DE168" i="2"/>
  <c r="DF167" i="2"/>
  <c r="DE167" i="2"/>
  <c r="DF166" i="2"/>
  <c r="DE166" i="2"/>
  <c r="DF165" i="2"/>
  <c r="DE165" i="2"/>
  <c r="DF164" i="2"/>
  <c r="DE164" i="2"/>
  <c r="DF163" i="2"/>
  <c r="DE163" i="2"/>
  <c r="DF162" i="2"/>
  <c r="DE162" i="2"/>
  <c r="DF161" i="2"/>
  <c r="DE161" i="2"/>
  <c r="DF160" i="2"/>
  <c r="DE160" i="2"/>
  <c r="DF159" i="2"/>
  <c r="DE159" i="2"/>
  <c r="DF158" i="2"/>
  <c r="DE158" i="2"/>
  <c r="DF157" i="2"/>
  <c r="DE157" i="2"/>
  <c r="DF156" i="2"/>
  <c r="DE156" i="2"/>
  <c r="DF155" i="2"/>
  <c r="DE155" i="2"/>
  <c r="DF154" i="2"/>
  <c r="DE154" i="2"/>
  <c r="DF153" i="2"/>
  <c r="DE153" i="2"/>
  <c r="DF152" i="2"/>
  <c r="DE152" i="2"/>
  <c r="DF151" i="2"/>
  <c r="DE151" i="2"/>
  <c r="DF150" i="2"/>
  <c r="DE150" i="2"/>
  <c r="DF149" i="2"/>
  <c r="DE149" i="2"/>
  <c r="BT149" i="2"/>
  <c r="BS149" i="2"/>
  <c r="DF148" i="2"/>
  <c r="DE148" i="2"/>
  <c r="BT148" i="2"/>
  <c r="BS148" i="2"/>
  <c r="DF147" i="2"/>
  <c r="DE147" i="2"/>
  <c r="BT147" i="2"/>
  <c r="BS147" i="2"/>
  <c r="DF146" i="2"/>
  <c r="DE146" i="2"/>
  <c r="BT146" i="2"/>
  <c r="BS146" i="2"/>
  <c r="DF145" i="2"/>
  <c r="DE145" i="2"/>
  <c r="BT145" i="2"/>
  <c r="BS145" i="2"/>
  <c r="DF144" i="2"/>
  <c r="DE144" i="2"/>
  <c r="BT144" i="2"/>
  <c r="BS144" i="2"/>
  <c r="DF143" i="2"/>
  <c r="DE143" i="2"/>
  <c r="BT143" i="2"/>
  <c r="BS143" i="2"/>
  <c r="DF142" i="2"/>
  <c r="DE142" i="2"/>
  <c r="BT142" i="2"/>
  <c r="BS142" i="2"/>
  <c r="DF141" i="2"/>
  <c r="DE141" i="2"/>
  <c r="BT141" i="2"/>
  <c r="BS141" i="2"/>
  <c r="DF140" i="2"/>
  <c r="DE140" i="2"/>
  <c r="BT140" i="2"/>
  <c r="BS140" i="2"/>
  <c r="DF139" i="2"/>
  <c r="DE139" i="2"/>
  <c r="BT139" i="2"/>
  <c r="BS139" i="2"/>
  <c r="DF138" i="2"/>
  <c r="DE138" i="2"/>
  <c r="BT138" i="2"/>
  <c r="BS138" i="2"/>
  <c r="DF137" i="2"/>
  <c r="DE137" i="2"/>
  <c r="BT137" i="2"/>
  <c r="BS137" i="2"/>
  <c r="DF136" i="2"/>
  <c r="DE136" i="2"/>
  <c r="BT136" i="2"/>
  <c r="BS136" i="2"/>
  <c r="DF135" i="2"/>
  <c r="DE135" i="2"/>
  <c r="BT135" i="2"/>
  <c r="BS135" i="2"/>
  <c r="DF134" i="2"/>
  <c r="DE134" i="2"/>
  <c r="BT134" i="2"/>
  <c r="BS134" i="2"/>
  <c r="DF133" i="2"/>
  <c r="DE133" i="2"/>
  <c r="BT133" i="2"/>
  <c r="BS133" i="2"/>
  <c r="DF132" i="2"/>
  <c r="DE132" i="2"/>
  <c r="BT132" i="2"/>
  <c r="BS132" i="2"/>
  <c r="DF131" i="2"/>
  <c r="DE131" i="2"/>
  <c r="BT131" i="2"/>
  <c r="BS131" i="2"/>
  <c r="DF130" i="2"/>
  <c r="DE130" i="2"/>
  <c r="BT130" i="2"/>
  <c r="BS130" i="2"/>
  <c r="DF129" i="2"/>
  <c r="DE129" i="2"/>
  <c r="BT129" i="2"/>
  <c r="BS129" i="2"/>
  <c r="DF128" i="2"/>
  <c r="DE128" i="2"/>
  <c r="BT128" i="2"/>
  <c r="BS128" i="2"/>
  <c r="DF127" i="2"/>
  <c r="DE127" i="2"/>
  <c r="BT127" i="2"/>
  <c r="BS127" i="2"/>
  <c r="DF126" i="2"/>
  <c r="DE126" i="2"/>
  <c r="BT126" i="2"/>
  <c r="BS126" i="2"/>
  <c r="DF125" i="2"/>
  <c r="DE125" i="2"/>
  <c r="BT125" i="2"/>
  <c r="BS125" i="2"/>
  <c r="DF124" i="2"/>
  <c r="DE124" i="2"/>
  <c r="BT124" i="2"/>
  <c r="BS124" i="2"/>
  <c r="DF123" i="2"/>
  <c r="DE123" i="2"/>
  <c r="BT123" i="2"/>
  <c r="BS123" i="2"/>
  <c r="DF122" i="2"/>
  <c r="DE122" i="2"/>
  <c r="BT122" i="2"/>
  <c r="BS122" i="2"/>
  <c r="DF121" i="2"/>
  <c r="DE121" i="2"/>
  <c r="BT121" i="2"/>
  <c r="BS121" i="2"/>
  <c r="DF120" i="2"/>
  <c r="DE120" i="2"/>
  <c r="BT120" i="2"/>
  <c r="BS120" i="2"/>
  <c r="DF119" i="2"/>
  <c r="DE119" i="2"/>
  <c r="BT119" i="2"/>
  <c r="BS119" i="2"/>
  <c r="DF118" i="2"/>
  <c r="DE118" i="2"/>
  <c r="BT118" i="2"/>
  <c r="BS118" i="2"/>
  <c r="DF117" i="2"/>
  <c r="DE117" i="2"/>
  <c r="BT117" i="2"/>
  <c r="BS117" i="2"/>
  <c r="DF116" i="2"/>
  <c r="DE116" i="2"/>
  <c r="BT116" i="2"/>
  <c r="BS116" i="2"/>
  <c r="DF115" i="2"/>
  <c r="DE115" i="2"/>
  <c r="BT115" i="2"/>
  <c r="BS115" i="2"/>
  <c r="DF114" i="2"/>
  <c r="DE114" i="2"/>
  <c r="BT114" i="2"/>
  <c r="BS114" i="2"/>
  <c r="DF113" i="2"/>
  <c r="DE113" i="2"/>
  <c r="BT113" i="2"/>
  <c r="BS113" i="2"/>
  <c r="DF112" i="2"/>
  <c r="DE112" i="2"/>
  <c r="BT112" i="2"/>
  <c r="BS112" i="2"/>
  <c r="DF111" i="2"/>
  <c r="DE111" i="2"/>
  <c r="BT111" i="2"/>
  <c r="BS111" i="2"/>
  <c r="DF110" i="2"/>
  <c r="DE110" i="2"/>
  <c r="BT110" i="2"/>
  <c r="BS110" i="2"/>
  <c r="DF109" i="2"/>
  <c r="DE109" i="2"/>
  <c r="BT109" i="2"/>
  <c r="BS109" i="2"/>
  <c r="DF108" i="2"/>
  <c r="DE108" i="2"/>
  <c r="BT108" i="2"/>
  <c r="BS108" i="2"/>
  <c r="DF107" i="2"/>
  <c r="DE107" i="2"/>
  <c r="BT107" i="2"/>
  <c r="BS107" i="2"/>
  <c r="DF106" i="2"/>
  <c r="DE106" i="2"/>
  <c r="BT106" i="2"/>
  <c r="BS106" i="2"/>
  <c r="DF105" i="2"/>
  <c r="DE105" i="2"/>
  <c r="BT105" i="2"/>
  <c r="BS105" i="2"/>
  <c r="DF104" i="2"/>
  <c r="DE104" i="2"/>
  <c r="BT104" i="2"/>
  <c r="BS104" i="2"/>
  <c r="DF103" i="2"/>
  <c r="DE103" i="2"/>
  <c r="BT103" i="2"/>
  <c r="BS103" i="2"/>
  <c r="DF102" i="2"/>
  <c r="DE102" i="2"/>
  <c r="BT102" i="2"/>
  <c r="BS102" i="2"/>
  <c r="DF101" i="2"/>
  <c r="DE101" i="2"/>
  <c r="BT101" i="2"/>
  <c r="BS101" i="2"/>
  <c r="DF100" i="2"/>
  <c r="DE100" i="2"/>
  <c r="BT100" i="2"/>
  <c r="BS100" i="2"/>
  <c r="DF99" i="2"/>
  <c r="DE99" i="2"/>
  <c r="BT99" i="2"/>
  <c r="BS99" i="2"/>
  <c r="DF98" i="2"/>
  <c r="DE98" i="2"/>
  <c r="BT98" i="2"/>
  <c r="BS98" i="2"/>
  <c r="DF97" i="2"/>
  <c r="DE97" i="2"/>
  <c r="BT97" i="2"/>
  <c r="BS97" i="2"/>
  <c r="DF96" i="2"/>
  <c r="DE96" i="2"/>
  <c r="BT96" i="2"/>
  <c r="BS96" i="2"/>
  <c r="DF95" i="2"/>
  <c r="DE95" i="2"/>
  <c r="BT95" i="2"/>
  <c r="BS95" i="2"/>
  <c r="DF94" i="2"/>
  <c r="DE94" i="2"/>
  <c r="BT94" i="2"/>
  <c r="BS94" i="2"/>
  <c r="DF93" i="2"/>
  <c r="DE93" i="2"/>
  <c r="BT93" i="2"/>
  <c r="BS93" i="2"/>
  <c r="DF92" i="2"/>
  <c r="DE92" i="2"/>
  <c r="BT92" i="2"/>
  <c r="BS92" i="2"/>
  <c r="DF91" i="2"/>
  <c r="DE91" i="2"/>
  <c r="BT91" i="2"/>
  <c r="BS91" i="2"/>
  <c r="DF90" i="2"/>
  <c r="DE90" i="2"/>
  <c r="BT90" i="2"/>
  <c r="BS90" i="2"/>
  <c r="DF89" i="2"/>
  <c r="DE89" i="2"/>
  <c r="BT89" i="2"/>
  <c r="BS89" i="2"/>
  <c r="DF88" i="2"/>
  <c r="DE88" i="2"/>
  <c r="BT88" i="2"/>
  <c r="BS88" i="2"/>
  <c r="DF87" i="2"/>
  <c r="DE87" i="2"/>
  <c r="BT87" i="2"/>
  <c r="BS87" i="2"/>
  <c r="DF86" i="2"/>
  <c r="DE86" i="2"/>
  <c r="BT86" i="2"/>
  <c r="BS86" i="2"/>
  <c r="DF85" i="2"/>
  <c r="DE85" i="2"/>
  <c r="BT85" i="2"/>
  <c r="BS85" i="2"/>
  <c r="DF84" i="2"/>
  <c r="DE84" i="2"/>
  <c r="BT84" i="2"/>
  <c r="BS84" i="2"/>
  <c r="DF83" i="2"/>
  <c r="DE83" i="2"/>
  <c r="BT83" i="2"/>
  <c r="BS83" i="2"/>
  <c r="DF82" i="2"/>
  <c r="DE82" i="2"/>
  <c r="BT82" i="2"/>
  <c r="BS82" i="2"/>
  <c r="DF81" i="2"/>
  <c r="DE81" i="2"/>
  <c r="BT81" i="2"/>
  <c r="BS81" i="2"/>
  <c r="DF80" i="2"/>
  <c r="DE80" i="2"/>
  <c r="BT80" i="2"/>
  <c r="BS80" i="2"/>
  <c r="DF79" i="2"/>
  <c r="DE79" i="2"/>
  <c r="BT79" i="2"/>
  <c r="BS79" i="2"/>
  <c r="DF78" i="2"/>
  <c r="DE78" i="2"/>
  <c r="BT78" i="2"/>
  <c r="BS78" i="2"/>
  <c r="ER77" i="2"/>
  <c r="EQ77" i="2"/>
  <c r="DF77" i="2"/>
  <c r="DE77" i="2"/>
  <c r="BT77" i="2"/>
  <c r="BS77" i="2"/>
  <c r="ER76" i="2"/>
  <c r="EQ76" i="2"/>
  <c r="DF76" i="2"/>
  <c r="DE76" i="2"/>
  <c r="BT76" i="2"/>
  <c r="BS76" i="2"/>
  <c r="ER75" i="2"/>
  <c r="EQ75" i="2"/>
  <c r="DF75" i="2"/>
  <c r="DE75" i="2"/>
  <c r="BT75" i="2"/>
  <c r="BS75" i="2"/>
  <c r="ER74" i="2"/>
  <c r="EQ74" i="2"/>
  <c r="DF74" i="2"/>
  <c r="DE74" i="2"/>
  <c r="BT74" i="2"/>
  <c r="BS74" i="2"/>
  <c r="ER73" i="2"/>
  <c r="EQ73" i="2"/>
  <c r="DF73" i="2"/>
  <c r="DE73" i="2"/>
  <c r="BT73" i="2"/>
  <c r="BS73" i="2"/>
  <c r="ER72" i="2"/>
  <c r="EQ72" i="2"/>
  <c r="DF72" i="2"/>
  <c r="DE72" i="2"/>
  <c r="BT72" i="2"/>
  <c r="BS72" i="2"/>
  <c r="ER71" i="2"/>
  <c r="EQ71" i="2"/>
  <c r="DF71" i="2"/>
  <c r="DE71" i="2"/>
  <c r="BT71" i="2"/>
  <c r="BS71" i="2"/>
  <c r="ER70" i="2"/>
  <c r="EQ70" i="2"/>
  <c r="DF70" i="2"/>
  <c r="DE70" i="2"/>
  <c r="BT70" i="2"/>
  <c r="BS70" i="2"/>
  <c r="ER69" i="2"/>
  <c r="EQ69" i="2"/>
  <c r="DF69" i="2"/>
  <c r="DE69" i="2"/>
  <c r="BT69" i="2"/>
  <c r="BS69" i="2"/>
  <c r="ER68" i="2"/>
  <c r="EQ68" i="2"/>
  <c r="DF68" i="2"/>
  <c r="DE68" i="2"/>
  <c r="BT68" i="2"/>
  <c r="BS68" i="2"/>
  <c r="ER67" i="2"/>
  <c r="EQ67" i="2"/>
  <c r="DF67" i="2"/>
  <c r="DE67" i="2"/>
  <c r="BT67" i="2"/>
  <c r="BS67" i="2"/>
  <c r="ER66" i="2"/>
  <c r="EQ66" i="2"/>
  <c r="DF66" i="2"/>
  <c r="DE66" i="2"/>
  <c r="BT66" i="2"/>
  <c r="BS66" i="2"/>
  <c r="ER65" i="2"/>
  <c r="EQ65" i="2"/>
  <c r="DF65" i="2"/>
  <c r="DE65" i="2"/>
  <c r="BT65" i="2"/>
  <c r="BS65" i="2"/>
  <c r="ER64" i="2"/>
  <c r="EQ64" i="2"/>
  <c r="DF64" i="2"/>
  <c r="DE64" i="2"/>
  <c r="BT64" i="2"/>
  <c r="BS64" i="2"/>
  <c r="ER63" i="2"/>
  <c r="EQ63" i="2"/>
  <c r="DF63" i="2"/>
  <c r="DE63" i="2"/>
  <c r="BT63" i="2"/>
  <c r="BS63" i="2"/>
  <c r="ER62" i="2"/>
  <c r="EQ62" i="2"/>
  <c r="DF62" i="2"/>
  <c r="DE62" i="2"/>
  <c r="BT62" i="2"/>
  <c r="BS62" i="2"/>
  <c r="ER61" i="2"/>
  <c r="EQ61" i="2"/>
  <c r="DF61" i="2"/>
  <c r="DE61" i="2"/>
  <c r="BT61" i="2"/>
  <c r="BS61" i="2"/>
  <c r="ER60" i="2"/>
  <c r="EQ60" i="2"/>
  <c r="DF60" i="2"/>
  <c r="DE60" i="2"/>
  <c r="BT60" i="2"/>
  <c r="BS60" i="2"/>
  <c r="ER59" i="2"/>
  <c r="EQ59" i="2"/>
  <c r="DF59" i="2"/>
  <c r="DE59" i="2"/>
  <c r="BT59" i="2"/>
  <c r="BS59" i="2"/>
  <c r="ER58" i="2"/>
  <c r="EQ58" i="2"/>
  <c r="DF58" i="2"/>
  <c r="DE58" i="2"/>
  <c r="BT58" i="2"/>
  <c r="BS58" i="2"/>
  <c r="ER57" i="2"/>
  <c r="EQ57" i="2"/>
  <c r="DF57" i="2"/>
  <c r="DE57" i="2"/>
  <c r="BT57" i="2"/>
  <c r="BS57" i="2"/>
  <c r="ER56" i="2"/>
  <c r="EQ56" i="2"/>
  <c r="DF56" i="2"/>
  <c r="DE56" i="2"/>
  <c r="BT56" i="2"/>
  <c r="BS56" i="2"/>
  <c r="AH56" i="2"/>
  <c r="AG56" i="2"/>
  <c r="ER55" i="2"/>
  <c r="EQ55" i="2"/>
  <c r="DF55" i="2"/>
  <c r="DE55" i="2"/>
  <c r="BT55" i="2"/>
  <c r="BS55" i="2"/>
  <c r="AH55" i="2"/>
  <c r="AG55" i="2"/>
  <c r="ER54" i="2"/>
  <c r="EQ54" i="2"/>
  <c r="DF54" i="2"/>
  <c r="DE54" i="2"/>
  <c r="BT54" i="2"/>
  <c r="BS54" i="2"/>
  <c r="AH54" i="2"/>
  <c r="AG54" i="2"/>
  <c r="ER53" i="2"/>
  <c r="EQ53" i="2"/>
  <c r="DF53" i="2"/>
  <c r="DE53" i="2"/>
  <c r="BT53" i="2"/>
  <c r="BS53" i="2"/>
  <c r="AH53" i="2"/>
  <c r="AG53" i="2"/>
  <c r="ER52" i="2"/>
  <c r="EQ52" i="2"/>
  <c r="DF52" i="2"/>
  <c r="DE52" i="2"/>
  <c r="BT52" i="2"/>
  <c r="BS52" i="2"/>
  <c r="AH52" i="2"/>
  <c r="AG52" i="2"/>
  <c r="ER51" i="2"/>
  <c r="EQ51" i="2"/>
  <c r="DF51" i="2"/>
  <c r="DE51" i="2"/>
  <c r="BT51" i="2"/>
  <c r="BS51" i="2"/>
  <c r="AH51" i="2"/>
  <c r="AG51" i="2"/>
  <c r="ER50" i="2"/>
  <c r="EQ50" i="2"/>
  <c r="DF50" i="2"/>
  <c r="DE50" i="2"/>
  <c r="BT50" i="2"/>
  <c r="BS50" i="2"/>
  <c r="AH50" i="2"/>
  <c r="AG50" i="2"/>
  <c r="ER49" i="2"/>
  <c r="EQ49" i="2"/>
  <c r="DF49" i="2"/>
  <c r="DE49" i="2"/>
  <c r="BT49" i="2"/>
  <c r="BS49" i="2"/>
  <c r="AH49" i="2"/>
  <c r="AG49" i="2"/>
  <c r="ER48" i="2"/>
  <c r="EQ48" i="2"/>
  <c r="DF48" i="2"/>
  <c r="DE48" i="2"/>
  <c r="BT48" i="2"/>
  <c r="BS48" i="2"/>
  <c r="AH48" i="2"/>
  <c r="AG48" i="2"/>
  <c r="ER47" i="2"/>
  <c r="EQ47" i="2"/>
  <c r="DF47" i="2"/>
  <c r="DE47" i="2"/>
  <c r="BT47" i="2"/>
  <c r="BS47" i="2"/>
  <c r="AH47" i="2"/>
  <c r="AG47" i="2"/>
  <c r="ER46" i="2"/>
  <c r="EQ46" i="2"/>
  <c r="DF46" i="2"/>
  <c r="DE46" i="2"/>
  <c r="BT46" i="2"/>
  <c r="BS46" i="2"/>
  <c r="AH46" i="2"/>
  <c r="AG46" i="2"/>
  <c r="ER45" i="2"/>
  <c r="EQ45" i="2"/>
  <c r="DF45" i="2"/>
  <c r="DE45" i="2"/>
  <c r="BT45" i="2"/>
  <c r="BS45" i="2"/>
  <c r="AH45" i="2"/>
  <c r="AG45" i="2"/>
  <c r="ER44" i="2"/>
  <c r="EQ44" i="2"/>
  <c r="DF44" i="2"/>
  <c r="DE44" i="2"/>
  <c r="BT44" i="2"/>
  <c r="BS44" i="2"/>
  <c r="AH44" i="2"/>
  <c r="AG44" i="2"/>
  <c r="ER43" i="2"/>
  <c r="EQ43" i="2"/>
  <c r="DF43" i="2"/>
  <c r="DE43" i="2"/>
  <c r="BT43" i="2"/>
  <c r="BS43" i="2"/>
  <c r="AH43" i="2"/>
  <c r="AG43" i="2"/>
  <c r="ER42" i="2"/>
  <c r="EQ42" i="2"/>
  <c r="DF42" i="2"/>
  <c r="DE42" i="2"/>
  <c r="BT42" i="2"/>
  <c r="BS42" i="2"/>
  <c r="AH42" i="2"/>
  <c r="AG42" i="2"/>
  <c r="ER41" i="2"/>
  <c r="EQ41" i="2"/>
  <c r="DF41" i="2"/>
  <c r="DE41" i="2"/>
  <c r="BT41" i="2"/>
  <c r="BS41" i="2"/>
  <c r="AH41" i="2"/>
  <c r="AG41" i="2"/>
  <c r="ER40" i="2"/>
  <c r="EQ40" i="2"/>
  <c r="DF40" i="2"/>
  <c r="DE40" i="2"/>
  <c r="BT40" i="2"/>
  <c r="BS40" i="2"/>
  <c r="AH40" i="2"/>
  <c r="AG40" i="2"/>
  <c r="ER39" i="2"/>
  <c r="EQ39" i="2"/>
  <c r="DF39" i="2"/>
  <c r="DE39" i="2"/>
  <c r="BT39" i="2"/>
  <c r="BS39" i="2"/>
  <c r="AH39" i="2"/>
  <c r="AG39" i="2"/>
  <c r="ER38" i="2"/>
  <c r="EQ38" i="2"/>
  <c r="DF38" i="2"/>
  <c r="DE38" i="2"/>
  <c r="BT38" i="2"/>
  <c r="BS38" i="2"/>
  <c r="AH38" i="2"/>
  <c r="AG38" i="2"/>
  <c r="ER37" i="2"/>
  <c r="EQ37" i="2"/>
  <c r="DF37" i="2"/>
  <c r="DE37" i="2"/>
  <c r="BT37" i="2"/>
  <c r="BS37" i="2"/>
  <c r="AH37" i="2"/>
  <c r="AG37" i="2"/>
  <c r="ER36" i="2"/>
  <c r="EQ36" i="2"/>
  <c r="DF36" i="2"/>
  <c r="DE36" i="2"/>
  <c r="BT36" i="2"/>
  <c r="BS36" i="2"/>
  <c r="AH36" i="2"/>
  <c r="AG36" i="2"/>
  <c r="ER35" i="2"/>
  <c r="EQ35" i="2"/>
  <c r="DF35" i="2"/>
  <c r="DE35" i="2"/>
  <c r="BT35" i="2"/>
  <c r="BS35" i="2"/>
  <c r="AH35" i="2"/>
  <c r="AG35" i="2"/>
  <c r="ER34" i="2"/>
  <c r="EQ34" i="2"/>
  <c r="DF34" i="2"/>
  <c r="DE34" i="2"/>
  <c r="BT34" i="2"/>
  <c r="BS34" i="2"/>
  <c r="AH34" i="2"/>
  <c r="AG34" i="2"/>
  <c r="ER33" i="2"/>
  <c r="EQ33" i="2"/>
  <c r="DF33" i="2"/>
  <c r="DE33" i="2"/>
  <c r="BT33" i="2"/>
  <c r="BS33" i="2"/>
  <c r="AH33" i="2"/>
  <c r="AG33" i="2"/>
  <c r="ER32" i="2"/>
  <c r="EQ32" i="2"/>
  <c r="DF32" i="2"/>
  <c r="DE32" i="2"/>
  <c r="BT32" i="2"/>
  <c r="BS32" i="2"/>
  <c r="AH32" i="2"/>
  <c r="AG32" i="2"/>
  <c r="ER31" i="2"/>
  <c r="EQ31" i="2"/>
  <c r="DF31" i="2"/>
  <c r="DE31" i="2"/>
  <c r="BT31" i="2"/>
  <c r="BS31" i="2"/>
  <c r="AH31" i="2"/>
  <c r="AG31" i="2"/>
  <c r="ER30" i="2"/>
  <c r="EQ30" i="2"/>
  <c r="DF30" i="2"/>
  <c r="DE30" i="2"/>
  <c r="BT30" i="2"/>
  <c r="BS30" i="2"/>
  <c r="AH30" i="2"/>
  <c r="AG30" i="2"/>
  <c r="ER29" i="2"/>
  <c r="EQ29" i="2"/>
  <c r="DF29" i="2"/>
  <c r="DE29" i="2"/>
  <c r="BT29" i="2"/>
  <c r="BS29" i="2"/>
  <c r="AH29" i="2"/>
  <c r="AG29" i="2"/>
  <c r="ER28" i="2"/>
  <c r="EQ28" i="2"/>
  <c r="DF28" i="2"/>
  <c r="DE28" i="2"/>
  <c r="BT28" i="2"/>
  <c r="BS28" i="2"/>
  <c r="AH28" i="2"/>
  <c r="AG28" i="2"/>
  <c r="ER27" i="2"/>
  <c r="EQ27" i="2"/>
  <c r="DF27" i="2"/>
  <c r="DE27" i="2"/>
  <c r="BT27" i="2"/>
  <c r="BS27" i="2"/>
  <c r="AH27" i="2"/>
  <c r="AG27" i="2"/>
  <c r="ER26" i="2"/>
  <c r="EQ26" i="2"/>
  <c r="DF26" i="2"/>
  <c r="DE26" i="2"/>
  <c r="BT26" i="2"/>
  <c r="BS26" i="2"/>
  <c r="AH26" i="2"/>
  <c r="AG26" i="2"/>
  <c r="ER25" i="2"/>
  <c r="EQ25" i="2"/>
  <c r="DF25" i="2"/>
  <c r="DE25" i="2"/>
  <c r="BT25" i="2"/>
  <c r="BS25" i="2"/>
  <c r="AH25" i="2"/>
  <c r="AG25" i="2"/>
  <c r="ER24" i="2"/>
  <c r="EQ24" i="2"/>
  <c r="DF24" i="2"/>
  <c r="DE24" i="2"/>
  <c r="BT24" i="2"/>
  <c r="BS24" i="2"/>
  <c r="AH24" i="2"/>
  <c r="AG24" i="2"/>
  <c r="ER23" i="2"/>
  <c r="EQ23" i="2"/>
  <c r="DF23" i="2"/>
  <c r="DE23" i="2"/>
  <c r="BT23" i="2"/>
  <c r="BS23" i="2"/>
  <c r="AH23" i="2"/>
  <c r="AG23" i="2"/>
  <c r="ER22" i="2"/>
  <c r="EQ22" i="2"/>
  <c r="DF22" i="2"/>
  <c r="DE22" i="2"/>
  <c r="BT22" i="2"/>
  <c r="BS22" i="2"/>
  <c r="AH22" i="2"/>
  <c r="AG22" i="2"/>
  <c r="ER21" i="2"/>
  <c r="EQ21" i="2"/>
  <c r="DF21" i="2"/>
  <c r="DE21" i="2"/>
  <c r="BT21" i="2"/>
  <c r="BS21" i="2"/>
  <c r="AH21" i="2"/>
  <c r="AG21" i="2"/>
  <c r="ER20" i="2"/>
  <c r="EQ20" i="2"/>
  <c r="DF20" i="2"/>
  <c r="DE20" i="2"/>
  <c r="BT20" i="2"/>
  <c r="BS20" i="2"/>
  <c r="AH20" i="2"/>
  <c r="AG20" i="2"/>
  <c r="ER19" i="2"/>
  <c r="EQ19" i="2"/>
  <c r="DF19" i="2"/>
  <c r="DE19" i="2"/>
  <c r="BT19" i="2"/>
  <c r="BS19" i="2"/>
  <c r="AH19" i="2"/>
  <c r="AG19" i="2"/>
  <c r="ER18" i="2"/>
  <c r="EQ18" i="2"/>
  <c r="DF18" i="2"/>
  <c r="DE18" i="2"/>
  <c r="BT18" i="2"/>
  <c r="BS18" i="2"/>
  <c r="AH18" i="2"/>
  <c r="AG18" i="2"/>
  <c r="ER17" i="2"/>
  <c r="EQ17" i="2"/>
  <c r="DF17" i="2"/>
  <c r="DE17" i="2"/>
  <c r="BT17" i="2"/>
  <c r="BS17" i="2"/>
  <c r="AH17" i="2"/>
  <c r="AG17" i="2"/>
  <c r="ER16" i="2"/>
  <c r="EQ16" i="2"/>
  <c r="DF16" i="2"/>
  <c r="DE16" i="2"/>
  <c r="BT16" i="2"/>
  <c r="BS16" i="2"/>
  <c r="AH16" i="2"/>
  <c r="AG16" i="2"/>
  <c r="ER15" i="2"/>
  <c r="EQ15" i="2"/>
  <c r="DF15" i="2"/>
  <c r="DE15" i="2"/>
  <c r="BT15" i="2"/>
  <c r="BS15" i="2"/>
  <c r="AH15" i="2"/>
  <c r="AG15" i="2"/>
  <c r="ER14" i="2"/>
  <c r="EQ14" i="2"/>
  <c r="DF14" i="2"/>
  <c r="DE14" i="2"/>
  <c r="BT14" i="2"/>
  <c r="BS14" i="2"/>
  <c r="AH14" i="2"/>
  <c r="AG14" i="2"/>
  <c r="ER13" i="2"/>
  <c r="EQ13" i="2"/>
  <c r="DF13" i="2"/>
  <c r="DE13" i="2"/>
  <c r="BT13" i="2"/>
  <c r="BS13" i="2"/>
  <c r="AH13" i="2"/>
  <c r="AG13" i="2"/>
  <c r="ER12" i="2"/>
  <c r="EQ12" i="2"/>
  <c r="DF12" i="2"/>
  <c r="DE12" i="2"/>
  <c r="BT12" i="2"/>
  <c r="BS12" i="2"/>
  <c r="AH12" i="2"/>
  <c r="AG12" i="2"/>
  <c r="ER11" i="2"/>
  <c r="EQ11" i="2"/>
  <c r="DF11" i="2"/>
  <c r="DE11" i="2"/>
  <c r="BT11" i="2"/>
  <c r="BS11" i="2"/>
  <c r="AH11" i="2"/>
  <c r="AG11" i="2"/>
  <c r="ER10" i="2"/>
  <c r="EQ10" i="2"/>
  <c r="DF10" i="2"/>
  <c r="DE10" i="2"/>
  <c r="BT10" i="2"/>
  <c r="BS10" i="2"/>
  <c r="AH10" i="2"/>
  <c r="AG10" i="2"/>
  <c r="ER9" i="2"/>
  <c r="EQ9" i="2"/>
  <c r="DF9" i="2"/>
  <c r="DE9" i="2"/>
  <c r="BT9" i="2"/>
  <c r="BS9" i="2"/>
  <c r="AH9" i="2"/>
  <c r="AG9" i="2"/>
  <c r="ER8" i="2"/>
  <c r="EQ8" i="2"/>
  <c r="DF8" i="2"/>
  <c r="DE8" i="2"/>
  <c r="BT8" i="2"/>
  <c r="BS8" i="2"/>
  <c r="AH8" i="2"/>
  <c r="AG8" i="2"/>
  <c r="ER7" i="2"/>
  <c r="EQ7" i="2"/>
  <c r="DF7" i="2"/>
  <c r="DE7" i="2"/>
  <c r="BT7" i="2"/>
  <c r="BS7" i="2"/>
  <c r="AH7" i="2"/>
  <c r="AG7" i="2"/>
  <c r="ER6" i="2"/>
  <c r="EQ6" i="2"/>
  <c r="DF6" i="2"/>
  <c r="DE6" i="2"/>
  <c r="BT6" i="2"/>
  <c r="BS6" i="2"/>
  <c r="AH6" i="2"/>
  <c r="AG6" i="2"/>
  <c r="ER5" i="2"/>
  <c r="EQ5" i="2"/>
  <c r="DF5" i="2"/>
  <c r="DE5" i="2"/>
  <c r="BT5" i="2"/>
  <c r="BS5" i="2"/>
  <c r="AH5" i="2"/>
  <c r="AG5" i="2"/>
  <c r="ER4" i="2"/>
  <c r="EQ4" i="2"/>
  <c r="DF4" i="2"/>
  <c r="DE4" i="2"/>
  <c r="BT4" i="2"/>
  <c r="BS4" i="2"/>
  <c r="AH4" i="2"/>
  <c r="AG4" i="2"/>
  <c r="ER3" i="2"/>
  <c r="EQ3" i="2"/>
  <c r="DF3" i="2"/>
  <c r="DE3" i="2"/>
  <c r="BT3" i="2"/>
  <c r="BS3" i="2"/>
  <c r="AH3" i="2"/>
  <c r="AG3" i="2"/>
  <c r="ER2" i="2"/>
  <c r="EQ2" i="2"/>
  <c r="DF2" i="2"/>
  <c r="DE2" i="2"/>
  <c r="BT2" i="2"/>
  <c r="F89" i="3" s="1"/>
  <c r="BS2" i="2"/>
  <c r="AH2" i="2"/>
  <c r="AG2" i="2"/>
  <c r="B25" i="4" l="1"/>
  <c r="B26" i="4" s="1"/>
  <c r="B89" i="3"/>
  <c r="H89" i="3" s="1"/>
  <c r="B67" i="3"/>
  <c r="C56" i="3"/>
  <c r="B51" i="3"/>
  <c r="C61" i="3"/>
  <c r="B56" i="3"/>
  <c r="C66" i="3"/>
  <c r="B61" i="3"/>
  <c r="C50" i="3"/>
  <c r="B66" i="3"/>
  <c r="C55" i="3"/>
  <c r="B50" i="3"/>
  <c r="C60" i="3"/>
  <c r="B55" i="3"/>
  <c r="C65" i="3"/>
  <c r="B60" i="3"/>
  <c r="C70" i="3"/>
  <c r="B65" i="3"/>
  <c r="C54" i="3"/>
  <c r="B70" i="3"/>
  <c r="C59" i="3"/>
  <c r="B54" i="3"/>
  <c r="C64" i="3"/>
  <c r="B59" i="3"/>
  <c r="C69" i="3"/>
  <c r="B64" i="3"/>
  <c r="C53" i="3"/>
  <c r="B69" i="3"/>
  <c r="C58" i="3"/>
  <c r="B53" i="3"/>
  <c r="C63" i="3"/>
  <c r="B58" i="3"/>
  <c r="C68" i="3"/>
  <c r="B63" i="3"/>
  <c r="C52" i="3"/>
  <c r="B68" i="3"/>
  <c r="C57" i="3"/>
  <c r="B52" i="3"/>
  <c r="C62" i="3"/>
  <c r="B57" i="3"/>
  <c r="C67" i="3"/>
  <c r="B62" i="3"/>
  <c r="C51" i="3"/>
  <c r="C18" i="3"/>
  <c r="C23" i="3"/>
  <c r="B18" i="3"/>
  <c r="B23" i="3"/>
  <c r="C17" i="3"/>
  <c r="C22" i="3"/>
  <c r="B17" i="3"/>
  <c r="B22" i="3"/>
  <c r="C16" i="3"/>
  <c r="C21" i="3"/>
  <c r="B16" i="3"/>
  <c r="B21" i="3"/>
  <c r="C20" i="3"/>
  <c r="C25" i="3"/>
  <c r="B20" i="3"/>
  <c r="B25" i="3"/>
  <c r="C19" i="3"/>
  <c r="C24" i="3"/>
  <c r="B19" i="3"/>
  <c r="B24" i="3"/>
  <c r="C75" i="3"/>
  <c r="C80" i="3"/>
  <c r="B75" i="3"/>
  <c r="C85" i="3"/>
  <c r="B80" i="3"/>
  <c r="B85" i="3"/>
  <c r="C74" i="3"/>
  <c r="C79" i="3"/>
  <c r="B74" i="3"/>
  <c r="C84" i="3"/>
  <c r="B79" i="3"/>
  <c r="B84" i="3"/>
  <c r="C78" i="3"/>
  <c r="C83" i="3"/>
  <c r="B78" i="3"/>
  <c r="B83" i="3"/>
  <c r="C77" i="3"/>
  <c r="C82" i="3"/>
  <c r="B77" i="3"/>
  <c r="B82" i="3"/>
  <c r="C76" i="3"/>
  <c r="C81" i="3"/>
  <c r="B76" i="3"/>
  <c r="B81" i="3"/>
  <c r="C37" i="3"/>
  <c r="B32" i="3"/>
  <c r="C42" i="3"/>
  <c r="B37" i="3"/>
  <c r="B42" i="3"/>
  <c r="C31" i="3"/>
  <c r="C36" i="3"/>
  <c r="B31" i="3"/>
  <c r="C41" i="3"/>
  <c r="B36" i="3"/>
  <c r="C46" i="3"/>
  <c r="B41" i="3"/>
  <c r="C30" i="3"/>
  <c r="B46" i="3"/>
  <c r="C35" i="3"/>
  <c r="B30" i="3"/>
  <c r="C40" i="3"/>
  <c r="B35" i="3"/>
  <c r="C45" i="3"/>
  <c r="B40" i="3"/>
  <c r="B45" i="3"/>
  <c r="C34" i="3"/>
  <c r="B29" i="3"/>
  <c r="C39" i="3"/>
  <c r="B34" i="3"/>
  <c r="C44" i="3"/>
  <c r="B39" i="3"/>
  <c r="B44" i="3"/>
  <c r="C33" i="3"/>
  <c r="C38" i="3"/>
  <c r="B33" i="3"/>
  <c r="C43" i="3"/>
  <c r="B38" i="3"/>
  <c r="B43" i="3"/>
  <c r="C32" i="3"/>
  <c r="B27" i="4"/>
  <c r="B3" i="3"/>
  <c r="B5" i="3" s="1"/>
  <c r="D68" i="3" l="1"/>
  <c r="D70" i="3"/>
  <c r="D43" i="3"/>
  <c r="D20" i="3"/>
  <c r="D79" i="3"/>
  <c r="D64" i="3"/>
  <c r="D66" i="3"/>
  <c r="D38" i="3"/>
  <c r="D35" i="3"/>
  <c r="D40" i="3"/>
  <c r="D37" i="3"/>
  <c r="D62" i="3"/>
  <c r="D69" i="3"/>
  <c r="D50" i="3"/>
  <c r="D39" i="3"/>
  <c r="D41" i="3"/>
  <c r="D31" i="3"/>
  <c r="D83" i="3"/>
  <c r="D19" i="3"/>
  <c r="D84" i="3"/>
  <c r="D25" i="3"/>
  <c r="D33" i="3"/>
  <c r="D82" i="3"/>
  <c r="D53" i="3"/>
  <c r="D55" i="3"/>
  <c r="D32" i="3"/>
  <c r="D21" i="3"/>
  <c r="D76" i="3"/>
  <c r="D44" i="3"/>
  <c r="D51" i="3"/>
  <c r="D63" i="3"/>
  <c r="D65" i="3"/>
  <c r="D67" i="3"/>
  <c r="D34" i="3"/>
  <c r="D36" i="3"/>
  <c r="D58" i="3"/>
  <c r="D60" i="3"/>
  <c r="A89" i="3"/>
  <c r="B10" i="3"/>
  <c r="D10" i="3" s="1"/>
  <c r="B9" i="3"/>
  <c r="D9" i="3" s="1"/>
  <c r="B12" i="3"/>
  <c r="D12" i="3" s="1"/>
  <c r="B11" i="3"/>
  <c r="D11" i="3" s="1"/>
  <c r="D78" i="3"/>
  <c r="D24" i="3"/>
  <c r="D23" i="3"/>
  <c r="D18" i="3"/>
  <c r="D45" i="3"/>
  <c r="D42" i="3"/>
  <c r="D74" i="3"/>
  <c r="D81" i="3"/>
  <c r="D85" i="3"/>
  <c r="D16" i="3"/>
  <c r="D80" i="3"/>
  <c r="D30" i="3"/>
  <c r="D57" i="3"/>
  <c r="D59" i="3"/>
  <c r="D61" i="3"/>
  <c r="D77" i="3"/>
  <c r="D75" i="3"/>
  <c r="D22" i="3"/>
  <c r="D46" i="3"/>
  <c r="D17" i="3"/>
  <c r="D52" i="3"/>
  <c r="D54" i="3"/>
  <c r="D56" i="3"/>
  <c r="AI30" i="2" l="1"/>
  <c r="AI31" i="2"/>
  <c r="AI55" i="2"/>
  <c r="AI51" i="2"/>
  <c r="AI49" i="2"/>
  <c r="AI32" i="2"/>
  <c r="AI33" i="2"/>
  <c r="AI44" i="2"/>
  <c r="AI2" i="2"/>
  <c r="AI34" i="2"/>
  <c r="AI3" i="2"/>
  <c r="AI35" i="2"/>
  <c r="AI4" i="2"/>
  <c r="AI36" i="2"/>
  <c r="AI5" i="2"/>
  <c r="AI37" i="2"/>
  <c r="AI6" i="2"/>
  <c r="AI38" i="2"/>
  <c r="AI7" i="2"/>
  <c r="AI39" i="2"/>
  <c r="AI8" i="2"/>
  <c r="AI40" i="2"/>
  <c r="AI9" i="2"/>
  <c r="AI41" i="2"/>
  <c r="AI10" i="2"/>
  <c r="AI42" i="2"/>
  <c r="AI11" i="2"/>
  <c r="AI43" i="2"/>
  <c r="AI45" i="2"/>
  <c r="AI28" i="2"/>
  <c r="AI12" i="2"/>
  <c r="AI13" i="2"/>
  <c r="AI47" i="2"/>
  <c r="AI50" i="2"/>
  <c r="AI26" i="2"/>
  <c r="AI27" i="2"/>
  <c r="AI54" i="2"/>
  <c r="AI14" i="2"/>
  <c r="AI15" i="2"/>
  <c r="AI16" i="2"/>
  <c r="AI17" i="2"/>
  <c r="AI48" i="2"/>
  <c r="AI53" i="2"/>
  <c r="AI18" i="2"/>
  <c r="AI19" i="2"/>
  <c r="AI20" i="2"/>
  <c r="AI21" i="2"/>
  <c r="AI52" i="2"/>
  <c r="AI46" i="2"/>
  <c r="AI22" i="2"/>
  <c r="AI23" i="2"/>
  <c r="AI56" i="2"/>
  <c r="AI24" i="2"/>
  <c r="AI25" i="2"/>
  <c r="AI29" i="2"/>
  <c r="DG147" i="2"/>
  <c r="DG131" i="2"/>
  <c r="DG115" i="2"/>
  <c r="DG99" i="2"/>
  <c r="DG83" i="2"/>
  <c r="DG60" i="2"/>
  <c r="DG51" i="2"/>
  <c r="DG43" i="2"/>
  <c r="DG64" i="2"/>
  <c r="DG54" i="2"/>
  <c r="DG46" i="2"/>
  <c r="DG95" i="2"/>
  <c r="DG79" i="2"/>
  <c r="DG68" i="2"/>
  <c r="DG49" i="2"/>
  <c r="DG53" i="2"/>
  <c r="DG45" i="2"/>
  <c r="DG48" i="2"/>
  <c r="DG76" i="2"/>
  <c r="DG55" i="2"/>
  <c r="DG47" i="2"/>
  <c r="DG103" i="2"/>
  <c r="DG87" i="2"/>
  <c r="DG135" i="2"/>
  <c r="DG42" i="2"/>
  <c r="DG173" i="2"/>
  <c r="DG153" i="2"/>
  <c r="DG119" i="2"/>
  <c r="DG165" i="2"/>
  <c r="DG141" i="2"/>
  <c r="DG125" i="2"/>
  <c r="DG109" i="2"/>
  <c r="DG93" i="2"/>
  <c r="DG56" i="2"/>
  <c r="DG117" i="2"/>
  <c r="DG105" i="2"/>
  <c r="DG3" i="2"/>
  <c r="DG59" i="2"/>
  <c r="DG136" i="2"/>
  <c r="DG150" i="2"/>
  <c r="DG77" i="2"/>
  <c r="DG170" i="2"/>
  <c r="DG58" i="2"/>
  <c r="DG144" i="2"/>
  <c r="DG128" i="2"/>
  <c r="DG129" i="2"/>
  <c r="DG14" i="2"/>
  <c r="DG15" i="2"/>
  <c r="DG30" i="2"/>
  <c r="DG126" i="2"/>
  <c r="DG163" i="2"/>
  <c r="DG133" i="2"/>
  <c r="DG121" i="2"/>
  <c r="DG23" i="2"/>
  <c r="DG85" i="2"/>
  <c r="DG138" i="2"/>
  <c r="DG130" i="2"/>
  <c r="DG166" i="2"/>
  <c r="DG86" i="2"/>
  <c r="DG132" i="2"/>
  <c r="DG122" i="2"/>
  <c r="DG137" i="2"/>
  <c r="DG29" i="2"/>
  <c r="DG9" i="2"/>
  <c r="DG8" i="2"/>
  <c r="DG61" i="2"/>
  <c r="DG155" i="2"/>
  <c r="DG152" i="2"/>
  <c r="DG73" i="2"/>
  <c r="DG158" i="2"/>
  <c r="DG171" i="2"/>
  <c r="DG145" i="2"/>
  <c r="DG33" i="2"/>
  <c r="DG21" i="2"/>
  <c r="DG20" i="2"/>
  <c r="DG69" i="2"/>
  <c r="DG63" i="2"/>
  <c r="DG142" i="2"/>
  <c r="DG74" i="2"/>
  <c r="DG168" i="2"/>
  <c r="DG148" i="2"/>
  <c r="DG72" i="2"/>
  <c r="DG149" i="2"/>
  <c r="DG39" i="2"/>
  <c r="DG35" i="2"/>
  <c r="DG36" i="2"/>
  <c r="DG71" i="2"/>
  <c r="DG159" i="2"/>
  <c r="DG84" i="2"/>
  <c r="DG146" i="2"/>
  <c r="DG92" i="2"/>
  <c r="DG102" i="2"/>
  <c r="DG75" i="2"/>
  <c r="DG157" i="2"/>
  <c r="DG16" i="2"/>
  <c r="DG41" i="2"/>
  <c r="DG101" i="2"/>
  <c r="DG172" i="2"/>
  <c r="DG154" i="2"/>
  <c r="DG70" i="2"/>
  <c r="DG156" i="2"/>
  <c r="DG80" i="2"/>
  <c r="DG96" i="2"/>
  <c r="DG151" i="2"/>
  <c r="DG44" i="2"/>
  <c r="DG12" i="2"/>
  <c r="DG91" i="2"/>
  <c r="DG4" i="2"/>
  <c r="DG7" i="2"/>
  <c r="DG167" i="2"/>
  <c r="DG88" i="2"/>
  <c r="DG162" i="2"/>
  <c r="DG28" i="2"/>
  <c r="DG24" i="2"/>
  <c r="DG161" i="2"/>
  <c r="DG110" i="2"/>
  <c r="DG50" i="2"/>
  <c r="DG57" i="2"/>
  <c r="DG114" i="2"/>
  <c r="DG164" i="2"/>
  <c r="DG97" i="2"/>
  <c r="DG38" i="2"/>
  <c r="DG107" i="2"/>
  <c r="DG34" i="2"/>
  <c r="DG13" i="2"/>
  <c r="DG78" i="2"/>
  <c r="DG108" i="2"/>
  <c r="DG118" i="2"/>
  <c r="DG10" i="2"/>
  <c r="DG18" i="2"/>
  <c r="DG111" i="2"/>
  <c r="DG5" i="2"/>
  <c r="DG17" i="2"/>
  <c r="DG90" i="2"/>
  <c r="DG116" i="2"/>
  <c r="DG82" i="2"/>
  <c r="DG67" i="2"/>
  <c r="DG124" i="2"/>
  <c r="DG134" i="2"/>
  <c r="DG22" i="2"/>
  <c r="DG89" i="2"/>
  <c r="DG113" i="2"/>
  <c r="DG32" i="2"/>
  <c r="DG26" i="2"/>
  <c r="DG123" i="2"/>
  <c r="DG11" i="2"/>
  <c r="DG25" i="2"/>
  <c r="DG104" i="2"/>
  <c r="DG112" i="2"/>
  <c r="DG140" i="2"/>
  <c r="DG40" i="2"/>
  <c r="DG81" i="2"/>
  <c r="DG127" i="2"/>
  <c r="DG19" i="2"/>
  <c r="DG31" i="2"/>
  <c r="DG94" i="2"/>
  <c r="DG160" i="2"/>
  <c r="DG52" i="2"/>
  <c r="DG139" i="2"/>
  <c r="DG27" i="2"/>
  <c r="DG37" i="2"/>
  <c r="DG106" i="2"/>
  <c r="DG98" i="2"/>
  <c r="DG65" i="2"/>
  <c r="DG62" i="2"/>
  <c r="DG6" i="2"/>
  <c r="DG2" i="2"/>
  <c r="DG143" i="2"/>
  <c r="DG120" i="2"/>
  <c r="DG100" i="2"/>
  <c r="DG169" i="2"/>
  <c r="DG66" i="2"/>
  <c r="ES57" i="2"/>
  <c r="ES65" i="2"/>
  <c r="ES73" i="2"/>
  <c r="ES77" i="2"/>
  <c r="ES30" i="2"/>
  <c r="ES9" i="2"/>
  <c r="ES70" i="2"/>
  <c r="ES62" i="2"/>
  <c r="ES64" i="2"/>
  <c r="ES24" i="2"/>
  <c r="ES26" i="2"/>
  <c r="ES38" i="2"/>
  <c r="ES8" i="2"/>
  <c r="ES11" i="2"/>
  <c r="ES58" i="2"/>
  <c r="ES53" i="2"/>
  <c r="ES63" i="2"/>
  <c r="ES72" i="2"/>
  <c r="ES12" i="2"/>
  <c r="ES13" i="2"/>
  <c r="ES60" i="2"/>
  <c r="ES55" i="2"/>
  <c r="ES6" i="2"/>
  <c r="ES18" i="2"/>
  <c r="ES15" i="2"/>
  <c r="ES59" i="2"/>
  <c r="ES48" i="2"/>
  <c r="ES69" i="2"/>
  <c r="ES45" i="2"/>
  <c r="ES68" i="2"/>
  <c r="ES36" i="2"/>
  <c r="ES32" i="2"/>
  <c r="ES17" i="2"/>
  <c r="ES51" i="2"/>
  <c r="ES21" i="2"/>
  <c r="ES67" i="2"/>
  <c r="ES23" i="2"/>
  <c r="ES75" i="2"/>
  <c r="ES25" i="2"/>
  <c r="ES74" i="2"/>
  <c r="ES46" i="2"/>
  <c r="ES43" i="2"/>
  <c r="ES39" i="2"/>
  <c r="ES7" i="2"/>
  <c r="ES54" i="2"/>
  <c r="ES27" i="2"/>
  <c r="ES71" i="2"/>
  <c r="ES76" i="2"/>
  <c r="ES44" i="2"/>
  <c r="ES49" i="2"/>
  <c r="ES56" i="2"/>
  <c r="ES2" i="2"/>
  <c r="ES61" i="2"/>
  <c r="ES29" i="2"/>
  <c r="ES52" i="2"/>
  <c r="ES5" i="2"/>
  <c r="ES14" i="2"/>
  <c r="ES31" i="2"/>
  <c r="ES42" i="2"/>
  <c r="ES40" i="2"/>
  <c r="ES22" i="2"/>
  <c r="ES4" i="2"/>
  <c r="ES20" i="2"/>
  <c r="ES33" i="2"/>
  <c r="ES28" i="2"/>
  <c r="ES10" i="2"/>
  <c r="ES35" i="2"/>
  <c r="ES47" i="2"/>
  <c r="ES34" i="2"/>
  <c r="ES16" i="2"/>
  <c r="ES19" i="2"/>
  <c r="ES3" i="2"/>
  <c r="ES37" i="2"/>
  <c r="ES50" i="2"/>
  <c r="ES66" i="2"/>
  <c r="ES41" i="2"/>
  <c r="BU71" i="2"/>
  <c r="BU63" i="2"/>
  <c r="BU67" i="2"/>
  <c r="BU4" i="2"/>
  <c r="BU30" i="2"/>
  <c r="BU25" i="2"/>
  <c r="BU18" i="2"/>
  <c r="BU6" i="2"/>
  <c r="BU129" i="2"/>
  <c r="BU52" i="2"/>
  <c r="BU120" i="2"/>
  <c r="BU121" i="2"/>
  <c r="BU135" i="2"/>
  <c r="BU147" i="2"/>
  <c r="BU34" i="2"/>
  <c r="BU27" i="2"/>
  <c r="BU20" i="2"/>
  <c r="BU132" i="2"/>
  <c r="BU143" i="2"/>
  <c r="BU54" i="2"/>
  <c r="BU124" i="2"/>
  <c r="BU80" i="2"/>
  <c r="BU138" i="2"/>
  <c r="BU21" i="2"/>
  <c r="BU53" i="2"/>
  <c r="BU29" i="2"/>
  <c r="BU38" i="2"/>
  <c r="BU57" i="2"/>
  <c r="BU133" i="2"/>
  <c r="BU68" i="2"/>
  <c r="BU146" i="2"/>
  <c r="BU77" i="2"/>
  <c r="BU31" i="2"/>
  <c r="BU65" i="2"/>
  <c r="BU145" i="2"/>
  <c r="BU136" i="2"/>
  <c r="BU70" i="2"/>
  <c r="BU137" i="2"/>
  <c r="BU83" i="2"/>
  <c r="BU93" i="2"/>
  <c r="BU69" i="2"/>
  <c r="BU119" i="2"/>
  <c r="BU108" i="2"/>
  <c r="BU62" i="2"/>
  <c r="BU33" i="2"/>
  <c r="BU148" i="2"/>
  <c r="BU64" i="2"/>
  <c r="BU140" i="2"/>
  <c r="BU86" i="2"/>
  <c r="BU96" i="2"/>
  <c r="BU23" i="2"/>
  <c r="BU117" i="2"/>
  <c r="BU8" i="2"/>
  <c r="BU3" i="2"/>
  <c r="BU35" i="2"/>
  <c r="BU149" i="2"/>
  <c r="BU79" i="2"/>
  <c r="BU66" i="2"/>
  <c r="BU42" i="2"/>
  <c r="BU36" i="2"/>
  <c r="BU5" i="2"/>
  <c r="BU37" i="2"/>
  <c r="BU26" i="2"/>
  <c r="BU72" i="2"/>
  <c r="BU82" i="2"/>
  <c r="BU142" i="2"/>
  <c r="BU99" i="2"/>
  <c r="BU109" i="2"/>
  <c r="BU118" i="2"/>
  <c r="BU45" i="2"/>
  <c r="BU122" i="2"/>
  <c r="BU32" i="2"/>
  <c r="BU10" i="2"/>
  <c r="BU7" i="2"/>
  <c r="BU39" i="2"/>
  <c r="BU81" i="2"/>
  <c r="BU55" i="2"/>
  <c r="BU74" i="2"/>
  <c r="BU76" i="2"/>
  <c r="BU43" i="2"/>
  <c r="BU102" i="2"/>
  <c r="BU48" i="2"/>
  <c r="BU112" i="2"/>
  <c r="BU87" i="2"/>
  <c r="BU91" i="2"/>
  <c r="BU51" i="2"/>
  <c r="BU56" i="2"/>
  <c r="BU128" i="2"/>
  <c r="BU106" i="2"/>
  <c r="BU116" i="2"/>
  <c r="BU46" i="2"/>
  <c r="BU126" i="2"/>
  <c r="BU73" i="2"/>
  <c r="BU14" i="2"/>
  <c r="BU50" i="2"/>
  <c r="BU16" i="2"/>
  <c r="BU9" i="2"/>
  <c r="BU41" i="2"/>
  <c r="BU84" i="2"/>
  <c r="BU78" i="2"/>
  <c r="BU95" i="2"/>
  <c r="BU110" i="2"/>
  <c r="BU47" i="2"/>
  <c r="BU90" i="2"/>
  <c r="BU40" i="2"/>
  <c r="BU11" i="2"/>
  <c r="BU28" i="2"/>
  <c r="BU85" i="2"/>
  <c r="BU98" i="2"/>
  <c r="BU139" i="2"/>
  <c r="BU115" i="2"/>
  <c r="BU125" i="2"/>
  <c r="BU123" i="2"/>
  <c r="BU103" i="2"/>
  <c r="BU58" i="2"/>
  <c r="BU13" i="2"/>
  <c r="BU97" i="2"/>
  <c r="BU88" i="2"/>
  <c r="BU61" i="2"/>
  <c r="BU89" i="2"/>
  <c r="BU107" i="2"/>
  <c r="BU127" i="2"/>
  <c r="BU22" i="2"/>
  <c r="BU15" i="2"/>
  <c r="BU100" i="2"/>
  <c r="BU111" i="2"/>
  <c r="BU92" i="2"/>
  <c r="BU12" i="2"/>
  <c r="BU17" i="2"/>
  <c r="BU24" i="2"/>
  <c r="BU94" i="2"/>
  <c r="BU101" i="2"/>
  <c r="BU49" i="2"/>
  <c r="BU114" i="2"/>
  <c r="BU131" i="2"/>
  <c r="BU141" i="2"/>
  <c r="BU2" i="2"/>
  <c r="C29" i="3" s="1"/>
  <c r="D29" i="3" s="1"/>
  <c r="BU59" i="2"/>
  <c r="BU19" i="2"/>
  <c r="BU113" i="2"/>
  <c r="BU44" i="2"/>
  <c r="BU104" i="2"/>
  <c r="BU105" i="2"/>
  <c r="BU60" i="2"/>
  <c r="BU134" i="2"/>
  <c r="BU144" i="2"/>
  <c r="BU75" i="2"/>
  <c r="BU130" i="2"/>
  <c r="G89" i="3"/>
  <c r="I89" i="3" s="1"/>
  <c r="C89" i="3"/>
  <c r="J89" i="3" l="1"/>
  <c r="EU46" i="2" s="1"/>
  <c r="AK30" i="2" l="1"/>
  <c r="BW41" i="2"/>
  <c r="BW109" i="2"/>
  <c r="AK6" i="2"/>
  <c r="BW48" i="2"/>
  <c r="BW87" i="2"/>
  <c r="AK47" i="2"/>
  <c r="AK46" i="2"/>
  <c r="BW136" i="2"/>
  <c r="BW117" i="2"/>
  <c r="BW78" i="2"/>
  <c r="BW13" i="2"/>
  <c r="BW101" i="2"/>
  <c r="AK38" i="2"/>
  <c r="DI16" i="2"/>
  <c r="DI141" i="2"/>
  <c r="EU12" i="2"/>
  <c r="DI68" i="2"/>
  <c r="DI20" i="2"/>
  <c r="EU36" i="2"/>
  <c r="DI41" i="2"/>
  <c r="AK31" i="2"/>
  <c r="AK22" i="2"/>
  <c r="DI69" i="2"/>
  <c r="DI162" i="2"/>
  <c r="BW55" i="2"/>
  <c r="BW98" i="2"/>
  <c r="BW54" i="2"/>
  <c r="DI45" i="2"/>
  <c r="DI8" i="2"/>
  <c r="DI54" i="2"/>
  <c r="EU15" i="2"/>
  <c r="DI148" i="2"/>
  <c r="DI93" i="2"/>
  <c r="BW143" i="2"/>
  <c r="AK49" i="2"/>
  <c r="DI101" i="2"/>
  <c r="EU71" i="2"/>
  <c r="DI173" i="2"/>
  <c r="DI166" i="2"/>
  <c r="EU27" i="2"/>
  <c r="AK7" i="2"/>
  <c r="AK8" i="2"/>
  <c r="BW40" i="2"/>
  <c r="DI30" i="2"/>
  <c r="DI170" i="2"/>
  <c r="EU4" i="2"/>
  <c r="AK26" i="2"/>
  <c r="AK54" i="2"/>
  <c r="BW2" i="2"/>
  <c r="BW67" i="2"/>
  <c r="EU17" i="2"/>
  <c r="BW145" i="2"/>
  <c r="BW23" i="2"/>
  <c r="BW132" i="2"/>
  <c r="DI132" i="2"/>
  <c r="AK24" i="2"/>
  <c r="BW11" i="2"/>
  <c r="EU21" i="2"/>
  <c r="BW127" i="2"/>
  <c r="EU56" i="2"/>
  <c r="DI117" i="2"/>
  <c r="BW99" i="2"/>
  <c r="DI79" i="2"/>
  <c r="EU35" i="2"/>
  <c r="AK3" i="2"/>
  <c r="BW96" i="2"/>
  <c r="EU57" i="2"/>
  <c r="BW18" i="2"/>
  <c r="EU3" i="2"/>
  <c r="BW65" i="2"/>
  <c r="BW112" i="2"/>
  <c r="BW142" i="2"/>
  <c r="BW84" i="2"/>
  <c r="EU63" i="2"/>
  <c r="BW138" i="2"/>
  <c r="BW121" i="2"/>
  <c r="BW57" i="2"/>
  <c r="BW62" i="2"/>
  <c r="DI115" i="2"/>
  <c r="DI60" i="2"/>
  <c r="BW46" i="2"/>
  <c r="DI85" i="2"/>
  <c r="BW80" i="2"/>
  <c r="DI118" i="2"/>
  <c r="DI156" i="2"/>
  <c r="DI171" i="2"/>
  <c r="BW137" i="2"/>
  <c r="DI26" i="2"/>
  <c r="DI48" i="2"/>
  <c r="DI71" i="2"/>
  <c r="DI46" i="2"/>
  <c r="AK23" i="2"/>
  <c r="DI165" i="2"/>
  <c r="BW3" i="2"/>
  <c r="DI27" i="2"/>
  <c r="DI56" i="2"/>
  <c r="BW26" i="2"/>
  <c r="DI21" i="2"/>
  <c r="DI95" i="2"/>
  <c r="DI128" i="2"/>
  <c r="BW45" i="2"/>
  <c r="EU77" i="2"/>
  <c r="BW66" i="2"/>
  <c r="DI164" i="2"/>
  <c r="DI146" i="2"/>
  <c r="EU11" i="2"/>
  <c r="DI58" i="2"/>
  <c r="DI119" i="2"/>
  <c r="DI122" i="2"/>
  <c r="BW51" i="2"/>
  <c r="EU13" i="2"/>
  <c r="BW7" i="2"/>
  <c r="BW140" i="2"/>
  <c r="DI153" i="2"/>
  <c r="EU68" i="2"/>
  <c r="DI86" i="2"/>
  <c r="DI144" i="2"/>
  <c r="DI63" i="2"/>
  <c r="BW110" i="2"/>
  <c r="DI73" i="2"/>
  <c r="BW116" i="2"/>
  <c r="BW72" i="2"/>
  <c r="DI96" i="2"/>
  <c r="BW43" i="2"/>
  <c r="AK45" i="2"/>
  <c r="DI114" i="2"/>
  <c r="BW16" i="2"/>
  <c r="AK19" i="2"/>
  <c r="DI116" i="2"/>
  <c r="BW12" i="2"/>
  <c r="AK37" i="2"/>
  <c r="DI129" i="2"/>
  <c r="AK32" i="2"/>
  <c r="BW83" i="2"/>
  <c r="BW93" i="2"/>
  <c r="DI28" i="2"/>
  <c r="DI126" i="2"/>
  <c r="AK11" i="2"/>
  <c r="DI103" i="2"/>
  <c r="BW76" i="2"/>
  <c r="AK13" i="2"/>
  <c r="DI102" i="2"/>
  <c r="BW130" i="2"/>
  <c r="EU44" i="2"/>
  <c r="DI137" i="2"/>
  <c r="AK40" i="2"/>
  <c r="BW61" i="2"/>
  <c r="BW149" i="2"/>
  <c r="DI10" i="2"/>
  <c r="DI61" i="2"/>
  <c r="AK53" i="2"/>
  <c r="DI59" i="2"/>
  <c r="BW50" i="2"/>
  <c r="AK52" i="2"/>
  <c r="EU28" i="2"/>
  <c r="AK14" i="2"/>
  <c r="BW38" i="2"/>
  <c r="BW32" i="2"/>
  <c r="DI37" i="2"/>
  <c r="DI72" i="2"/>
  <c r="DI99" i="2"/>
  <c r="DI23" i="2"/>
  <c r="BW115" i="2"/>
  <c r="DI64" i="2"/>
  <c r="BW30" i="2"/>
  <c r="AK25" i="2"/>
  <c r="AK43" i="2"/>
  <c r="BW128" i="2"/>
  <c r="EU30" i="2"/>
  <c r="DI172" i="2"/>
  <c r="DI55" i="2"/>
  <c r="EU31" i="2"/>
  <c r="BW92" i="2"/>
  <c r="DI77" i="2"/>
  <c r="DI142" i="2"/>
  <c r="BW114" i="2"/>
  <c r="BW124" i="2"/>
  <c r="EU72" i="2"/>
  <c r="DI49" i="2"/>
  <c r="BW73" i="2"/>
  <c r="BW90" i="2"/>
  <c r="BW53" i="2"/>
  <c r="DI24" i="2"/>
  <c r="DI105" i="2"/>
  <c r="EU50" i="2"/>
  <c r="BW105" i="2"/>
  <c r="EU54" i="2"/>
  <c r="BW94" i="2"/>
  <c r="DI107" i="2"/>
  <c r="AK51" i="2"/>
  <c r="DI109" i="2"/>
  <c r="BW89" i="2"/>
  <c r="BW69" i="2"/>
  <c r="DI18" i="2"/>
  <c r="DI133" i="2"/>
  <c r="BW147" i="2"/>
  <c r="DI150" i="2"/>
  <c r="EU22" i="2"/>
  <c r="BW58" i="2"/>
  <c r="BW24" i="2"/>
  <c r="DI34" i="2"/>
  <c r="BW122" i="2"/>
  <c r="DI22" i="2"/>
  <c r="DI111" i="2"/>
  <c r="DI76" i="2"/>
  <c r="BW70" i="2"/>
  <c r="EU25" i="2"/>
  <c r="BW42" i="2"/>
  <c r="EU76" i="2"/>
  <c r="AK39" i="2"/>
  <c r="BW8" i="2"/>
  <c r="EU49" i="2"/>
  <c r="DI14" i="2"/>
  <c r="DI15" i="2"/>
  <c r="BW141" i="2"/>
  <c r="BW79" i="2"/>
  <c r="DI106" i="2"/>
  <c r="DI70" i="2"/>
  <c r="BW68" i="2"/>
  <c r="DI138" i="2"/>
  <c r="BW71" i="2"/>
  <c r="DI92" i="2"/>
  <c r="DI91" i="2"/>
  <c r="EU64" i="2"/>
  <c r="DI12" i="2"/>
  <c r="BW100" i="2"/>
  <c r="DI134" i="2"/>
  <c r="DI94" i="2"/>
  <c r="EU51" i="2"/>
  <c r="DI124" i="2"/>
  <c r="DI31" i="2"/>
  <c r="DI19" i="2"/>
  <c r="BW22" i="2"/>
  <c r="DI169" i="2"/>
  <c r="DI35" i="2"/>
  <c r="EU33" i="2"/>
  <c r="AK27" i="2"/>
  <c r="BW118" i="2"/>
  <c r="EU10" i="2"/>
  <c r="DI29" i="2"/>
  <c r="DI9" i="2"/>
  <c r="BW107" i="2"/>
  <c r="BW10" i="2"/>
  <c r="BW29" i="2"/>
  <c r="EU74" i="2"/>
  <c r="BW148" i="2"/>
  <c r="DI145" i="2"/>
  <c r="BW20" i="2"/>
  <c r="DI4" i="2"/>
  <c r="DI157" i="2"/>
  <c r="DI38" i="2"/>
  <c r="DI125" i="2"/>
  <c r="DI100" i="2"/>
  <c r="DI17" i="2"/>
  <c r="EU58" i="2"/>
  <c r="BW135" i="2"/>
  <c r="BW4" i="2"/>
  <c r="AK56" i="2"/>
  <c r="BW91" i="2"/>
  <c r="BW25" i="2"/>
  <c r="DI74" i="2"/>
  <c r="DI168" i="2"/>
  <c r="BW120" i="2"/>
  <c r="BW106" i="2"/>
  <c r="BW119" i="2"/>
  <c r="EU5" i="2"/>
  <c r="BW37" i="2"/>
  <c r="DI159" i="2"/>
  <c r="BW86" i="2"/>
  <c r="DI151" i="2"/>
  <c r="BW125" i="2"/>
  <c r="DI42" i="2"/>
  <c r="BW31" i="2"/>
  <c r="BW36" i="2"/>
  <c r="DI158" i="2"/>
  <c r="BW74" i="2"/>
  <c r="DI40" i="2"/>
  <c r="BW35" i="2"/>
  <c r="DI82" i="2"/>
  <c r="BW60" i="2"/>
  <c r="DI130" i="2"/>
  <c r="BW82" i="2"/>
  <c r="BW59" i="2"/>
  <c r="DI152" i="2"/>
  <c r="BW81" i="2"/>
  <c r="DI36" i="2"/>
  <c r="BW14" i="2"/>
  <c r="DI2" i="2"/>
  <c r="DI98" i="2"/>
  <c r="DI81" i="2"/>
  <c r="BW123" i="2"/>
  <c r="DI33" i="2"/>
  <c r="BW102" i="2"/>
  <c r="AK48" i="2"/>
  <c r="DI123" i="2"/>
  <c r="EU70" i="2"/>
  <c r="DI11" i="2"/>
  <c r="AK42" i="2"/>
  <c r="DI39" i="2"/>
  <c r="BW126" i="2"/>
  <c r="DI80" i="2"/>
  <c r="BW139" i="2"/>
  <c r="EU26" i="2"/>
  <c r="BW108" i="2"/>
  <c r="DI143" i="2"/>
  <c r="BW17" i="2"/>
  <c r="DI84" i="2"/>
  <c r="BW9" i="2"/>
  <c r="BW85" i="2"/>
  <c r="DI57" i="2"/>
  <c r="BW111" i="2"/>
  <c r="EU48" i="2"/>
  <c r="AK18" i="2"/>
  <c r="EU38" i="2"/>
  <c r="BW103" i="2"/>
  <c r="DI44" i="2"/>
  <c r="BW134" i="2"/>
  <c r="EU9" i="2"/>
  <c r="DI25" i="2"/>
  <c r="DI110" i="2"/>
  <c r="BW15" i="2"/>
  <c r="DI90" i="2"/>
  <c r="AK36" i="2"/>
  <c r="EU39" i="2"/>
  <c r="BW33" i="2"/>
  <c r="EU69" i="2"/>
  <c r="BW144" i="2"/>
  <c r="DI97" i="2"/>
  <c r="BW75" i="2"/>
  <c r="DI75" i="2"/>
  <c r="BW95" i="2"/>
  <c r="DI167" i="2"/>
  <c r="BW88" i="2"/>
  <c r="DI88" i="2"/>
  <c r="AK33" i="2"/>
  <c r="EU67" i="2"/>
  <c r="EU37" i="2"/>
  <c r="EU60" i="2"/>
  <c r="BW133" i="2"/>
  <c r="EU55" i="2"/>
  <c r="EU6" i="2"/>
  <c r="DI5" i="2"/>
  <c r="BW113" i="2"/>
  <c r="DI140" i="2"/>
  <c r="AK28" i="2"/>
  <c r="EU42" i="2"/>
  <c r="AK5" i="2"/>
  <c r="EU7" i="2"/>
  <c r="BW47" i="2"/>
  <c r="DI67" i="2"/>
  <c r="BW56" i="2"/>
  <c r="DI7" i="2"/>
  <c r="BW97" i="2"/>
  <c r="DI78" i="2"/>
  <c r="BW131" i="2"/>
  <c r="DI108" i="2"/>
  <c r="AK9" i="2"/>
  <c r="EU2" i="2"/>
  <c r="AK44" i="2"/>
  <c r="EU23" i="2"/>
  <c r="AK2" i="2"/>
  <c r="EU75" i="2"/>
  <c r="BW28" i="2"/>
  <c r="DI104" i="2"/>
  <c r="DI112" i="2"/>
  <c r="DI6" i="2"/>
  <c r="AK20" i="2"/>
  <c r="EU66" i="2"/>
  <c r="AK12" i="2"/>
  <c r="EU40" i="2"/>
  <c r="DI161" i="2"/>
  <c r="DI127" i="2"/>
  <c r="DI149" i="2"/>
  <c r="DI66" i="2"/>
  <c r="DI163" i="2"/>
  <c r="DI13" i="2"/>
  <c r="BW49" i="2"/>
  <c r="DI113" i="2"/>
  <c r="DI154" i="2"/>
  <c r="DI32" i="2"/>
  <c r="AK15" i="2"/>
  <c r="EU47" i="2"/>
  <c r="AK41" i="2"/>
  <c r="EU61" i="2"/>
  <c r="AK10" i="2"/>
  <c r="EU29" i="2"/>
  <c r="DI50" i="2"/>
  <c r="DI65" i="2"/>
  <c r="BW44" i="2"/>
  <c r="EU24" i="2"/>
  <c r="DI51" i="2"/>
  <c r="BW34" i="2"/>
  <c r="AK21" i="2"/>
  <c r="EU41" i="2"/>
  <c r="BW39" i="2"/>
  <c r="DI120" i="2"/>
  <c r="EU19" i="2"/>
  <c r="BW104" i="2"/>
  <c r="EU53" i="2"/>
  <c r="EU52" i="2"/>
  <c r="DI89" i="2"/>
  <c r="DI155" i="2"/>
  <c r="DI52" i="2"/>
  <c r="BW19" i="2"/>
  <c r="DI139" i="2"/>
  <c r="AK29" i="2"/>
  <c r="BW6" i="2"/>
  <c r="AK16" i="2"/>
  <c r="EU34" i="2"/>
  <c r="AK17" i="2"/>
  <c r="EU16" i="2"/>
  <c r="BW5" i="2"/>
  <c r="EU62" i="2"/>
  <c r="AK35" i="2"/>
  <c r="EU59" i="2"/>
  <c r="DI87" i="2"/>
  <c r="BW146" i="2"/>
  <c r="DI43" i="2"/>
  <c r="BW27" i="2"/>
  <c r="DI121" i="2"/>
  <c r="EU8" i="2"/>
  <c r="DI83" i="2"/>
  <c r="BW63" i="2"/>
  <c r="AK50" i="2"/>
  <c r="EU20" i="2"/>
  <c r="AK55" i="2"/>
  <c r="EU32" i="2"/>
  <c r="DI3" i="2"/>
  <c r="DI160" i="2"/>
  <c r="DI47" i="2"/>
  <c r="EU65" i="2"/>
  <c r="DI62" i="2"/>
  <c r="EU73" i="2"/>
  <c r="DI53" i="2"/>
  <c r="BW21" i="2"/>
  <c r="DI147" i="2"/>
  <c r="BW129" i="2"/>
  <c r="DI131" i="2"/>
  <c r="BW52" i="2"/>
  <c r="AK34" i="2"/>
  <c r="EU18" i="2"/>
  <c r="AK4" i="2"/>
  <c r="EU43" i="2"/>
  <c r="DI136" i="2"/>
  <c r="BW64" i="2"/>
  <c r="DI135" i="2"/>
  <c r="BW77" i="2"/>
  <c r="EU14" i="2"/>
  <c r="EU45" i="2"/>
</calcChain>
</file>

<file path=xl/sharedStrings.xml><?xml version="1.0" encoding="utf-8"?>
<sst xmlns="http://schemas.openxmlformats.org/spreadsheetml/2006/main" count="1130" uniqueCount="575">
  <si>
    <t>League Setup</t>
  </si>
  <si>
    <t>Starting Budget ($)</t>
  </si>
  <si>
    <t>Number of Teams</t>
  </si>
  <si>
    <t>Scoring Format</t>
  </si>
  <si>
    <t>Half-PPR</t>
  </si>
  <si>
    <t>Roster Shape (fixed for now)</t>
  </si>
  <si>
    <t>1 QB / 2 RB / 2 WR / 1 TE / 1 FLEX / 1 DEF / 1 K / 6 Bench</t>
  </si>
  <si>
    <t>Budget, Number of Teams, and Scoring Format are all fully live — change any of them and every value on the Draft Board updates automatically. Teams and Format are both restricted to dropdowns because those are the only combinations with real market-data calibration behind them (see CLAUDE.md) — picking anything else would silently give wrong numbers, not just an error. Roster shape isn't editable yet for the same reason: it's also tied to the current calibration.</t>
  </si>
  <si>
    <t>Player</t>
  </si>
  <si>
    <t>Team</t>
  </si>
  <si>
    <t>Tier (STD 8T)</t>
  </si>
  <si>
    <t>Weighted VORP (STD 8T)</t>
  </si>
  <si>
    <t>Tier (STD 10T)</t>
  </si>
  <si>
    <t>Weighted VORP (STD 10T)</t>
  </si>
  <si>
    <t>Tier (STD 12T)</t>
  </si>
  <si>
    <t>Weighted VORP (STD 12T)</t>
  </si>
  <si>
    <t>Tier (STD 14T)</t>
  </si>
  <si>
    <t>Weighted VORP (STD 14T)</t>
  </si>
  <si>
    <t>Tier (STD 16T)</t>
  </si>
  <si>
    <t>Weighted VORP (STD 16T)</t>
  </si>
  <si>
    <t>Tier (Half-PPR 8T)</t>
  </si>
  <si>
    <t>Weighted VORP (Half-PPR 8T)</t>
  </si>
  <si>
    <t>Tier (Half-PPR 10T)</t>
  </si>
  <si>
    <t>Weighted VORP (Half-PPR 10T)</t>
  </si>
  <si>
    <t>Tier (Half-PPR 12T)</t>
  </si>
  <si>
    <t>Weighted VORP (Half-PPR 12T)</t>
  </si>
  <si>
    <t>Tier (Half-PPR 14T)</t>
  </si>
  <si>
    <t>Weighted VORP (Half-PPR 14T)</t>
  </si>
  <si>
    <t>Tier (Half-PPR 16T)</t>
  </si>
  <si>
    <t>Weighted VORP (Half-PPR 16T)</t>
  </si>
  <si>
    <t>Tier (PPR 8T)</t>
  </si>
  <si>
    <t>Weighted VORP (PPR 8T)</t>
  </si>
  <si>
    <t>Tier (PPR 10T)</t>
  </si>
  <si>
    <t>Weighted VORP (PPR 10T)</t>
  </si>
  <si>
    <t>Tier (PPR 12T)</t>
  </si>
  <si>
    <t>Weighted VORP (PPR 12T)</t>
  </si>
  <si>
    <t>Tier (PPR 14T)</t>
  </si>
  <si>
    <t>Weighted VORP (PPR 14T)</t>
  </si>
  <si>
    <t>Tier (PPR 16T)</t>
  </si>
  <si>
    <t>Weighted VORP (PPR 16T)</t>
  </si>
  <si>
    <t>Tier (active)</t>
  </si>
  <si>
    <t>Weighted VORP (active)</t>
  </si>
  <si>
    <t>Static Value ($)</t>
  </si>
  <si>
    <t>Price Paid ($)</t>
  </si>
  <si>
    <t>Live Value ($)</t>
  </si>
  <si>
    <t>Josh Allen</t>
  </si>
  <si>
    <t>BUF</t>
  </si>
  <si>
    <t>Jahmyr Gibbs</t>
  </si>
  <si>
    <t>DET</t>
  </si>
  <si>
    <t>Puka Nacua</t>
  </si>
  <si>
    <t>LAR</t>
  </si>
  <si>
    <t>Trey McBride</t>
  </si>
  <si>
    <t>ARI</t>
  </si>
  <si>
    <t>Lamar Jackson</t>
  </si>
  <si>
    <t>BAL</t>
  </si>
  <si>
    <t>Bijan Robinson</t>
  </si>
  <si>
    <t>ATL</t>
  </si>
  <si>
    <t>Ja'Marr Chase</t>
  </si>
  <si>
    <t>CIN</t>
  </si>
  <si>
    <t>Brock Bowers</t>
  </si>
  <si>
    <t>LV</t>
  </si>
  <si>
    <t>Drake Maye</t>
  </si>
  <si>
    <t>NE</t>
  </si>
  <si>
    <t>Jonathan Taylor</t>
  </si>
  <si>
    <t>IND</t>
  </si>
  <si>
    <t>Jaxon Smith-Njigba</t>
  </si>
  <si>
    <t>SEA</t>
  </si>
  <si>
    <t>Colston Loveland</t>
  </si>
  <si>
    <t>CHI</t>
  </si>
  <si>
    <t>Jayden Daniels</t>
  </si>
  <si>
    <t>WAS</t>
  </si>
  <si>
    <t>Christian McCaffrey</t>
  </si>
  <si>
    <t>SF</t>
  </si>
  <si>
    <t>Amon-Ra St. Brown</t>
  </si>
  <si>
    <t>Tyler Warren</t>
  </si>
  <si>
    <t>Jalen Hurts</t>
  </si>
  <si>
    <t>PHI</t>
  </si>
  <si>
    <t>James Cook III</t>
  </si>
  <si>
    <t>CeeDee Lamb</t>
  </si>
  <si>
    <t>DAL</t>
  </si>
  <si>
    <t>Harold Fannin Jr.</t>
  </si>
  <si>
    <t>CLE</t>
  </si>
  <si>
    <t>Joe Burrow</t>
  </si>
  <si>
    <t>Derrick Henry</t>
  </si>
  <si>
    <t>Drake London</t>
  </si>
  <si>
    <t>Tucker Kraft</t>
  </si>
  <si>
    <t>GB</t>
  </si>
  <si>
    <t>Jaxson Dart</t>
  </si>
  <si>
    <t>NYG</t>
  </si>
  <si>
    <t>Saquon Barkley</t>
  </si>
  <si>
    <t>Justin Jefferson</t>
  </si>
  <si>
    <t>MIN</t>
  </si>
  <si>
    <t>Sam LaPorta</t>
  </si>
  <si>
    <t>Caleb Williams</t>
  </si>
  <si>
    <t>De'Von Achane</t>
  </si>
  <si>
    <t>MIA</t>
  </si>
  <si>
    <t>A.J. Brown</t>
  </si>
  <si>
    <t>Kyle Pitts Sr.</t>
  </si>
  <si>
    <t>Dak Prescott</t>
  </si>
  <si>
    <t>Ashton Jeanty</t>
  </si>
  <si>
    <t>Rashee Rice</t>
  </si>
  <si>
    <t>KC</t>
  </si>
  <si>
    <t>Travis Kelce</t>
  </si>
  <si>
    <t>Trevor Lawrence</t>
  </si>
  <si>
    <t>JAC</t>
  </si>
  <si>
    <t>Chase Brown</t>
  </si>
  <si>
    <t>Nico Collins</t>
  </si>
  <si>
    <t>HOU</t>
  </si>
  <si>
    <t>George Kittle</t>
  </si>
  <si>
    <t>Justin Herbert</t>
  </si>
  <si>
    <t>LAC</t>
  </si>
  <si>
    <t>Omarion Hampton</t>
  </si>
  <si>
    <t>George Pickens</t>
  </si>
  <si>
    <t>Mark Andrews</t>
  </si>
  <si>
    <t>Patrick Mahomes</t>
  </si>
  <si>
    <t>Josh Jacobs</t>
  </si>
  <si>
    <t>Chris Olave</t>
  </si>
  <si>
    <t>NO</t>
  </si>
  <si>
    <t>Jake Ferguson</t>
  </si>
  <si>
    <t>Brock Purdy</t>
  </si>
  <si>
    <t>Kenneth Walker III</t>
  </si>
  <si>
    <t>DeVonta Smith</t>
  </si>
  <si>
    <t>Dallas Goedert</t>
  </si>
  <si>
    <t>Bo Nix</t>
  </si>
  <si>
    <t>DEN</t>
  </si>
  <si>
    <t>Jeremiyah Love</t>
  </si>
  <si>
    <t>Garrett Wilson</t>
  </si>
  <si>
    <t>NYJ</t>
  </si>
  <si>
    <t>Dalton Kincaid</t>
  </si>
  <si>
    <t>Matthew Stafford</t>
  </si>
  <si>
    <t>Kyren Williams</t>
  </si>
  <si>
    <t>Tee Higgins</t>
  </si>
  <si>
    <t>Isaiah Likely</t>
  </si>
  <si>
    <t>Jared Goff</t>
  </si>
  <si>
    <t>Javonte Williams</t>
  </si>
  <si>
    <t>Zay Flowers</t>
  </si>
  <si>
    <t>Hunter Henry</t>
  </si>
  <si>
    <t>Kyler Murray</t>
  </si>
  <si>
    <t>Breece Hall</t>
  </si>
  <si>
    <t>Malik Nabers</t>
  </si>
  <si>
    <t>Juwan Johnson</t>
  </si>
  <si>
    <t>Baker Mayfield</t>
  </si>
  <si>
    <t>TB</t>
  </si>
  <si>
    <t>Travis Etienne Jr.</t>
  </si>
  <si>
    <t>Tetairoa McMillan</t>
  </si>
  <si>
    <t>CAR</t>
  </si>
  <si>
    <t>Brenton Strange</t>
  </si>
  <si>
    <t>Tyler Shough</t>
  </si>
  <si>
    <t>Cam Skattebo</t>
  </si>
  <si>
    <t>Davante Adams</t>
  </si>
  <si>
    <t>Dalton Schultz</t>
  </si>
  <si>
    <t>Jordan Love</t>
  </si>
  <si>
    <t>D'Andre Swift</t>
  </si>
  <si>
    <t>Jaylen Waddle</t>
  </si>
  <si>
    <t>T.J. Hockenson</t>
  </si>
  <si>
    <t>C.J. Stroud</t>
  </si>
  <si>
    <t>Bucky Irving</t>
  </si>
  <si>
    <t>Terry McLaurin</t>
  </si>
  <si>
    <t>Kenyon Sadiq</t>
  </si>
  <si>
    <t>Malik Willis</t>
  </si>
  <si>
    <t>Quinshon Judkins</t>
  </si>
  <si>
    <t>Ladd McConkey</t>
  </si>
  <si>
    <t>Oronde Gadsden II</t>
  </si>
  <si>
    <t>Sam Darnold</t>
  </si>
  <si>
    <t>David Montgomery</t>
  </si>
  <si>
    <t>Emeka Egbuka</t>
  </si>
  <si>
    <t>Chig Okonkwo</t>
  </si>
  <si>
    <t>Daniel Jones</t>
  </si>
  <si>
    <t>Bhayshul Tuten</t>
  </si>
  <si>
    <t>Luther Burden III</t>
  </si>
  <si>
    <t>AJ Barner</t>
  </si>
  <si>
    <t>Bryce Young</t>
  </si>
  <si>
    <t>TreVeyon Henderson</t>
  </si>
  <si>
    <t>Jameson Williams</t>
  </si>
  <si>
    <t>Pat Freiermuth</t>
  </si>
  <si>
    <t>PIT</t>
  </si>
  <si>
    <t>Cam Ward</t>
  </si>
  <si>
    <t>TEN</t>
  </si>
  <si>
    <t>Jaylen Warren</t>
  </si>
  <si>
    <t>Christian Watson</t>
  </si>
  <si>
    <t>Cade Otton</t>
  </si>
  <si>
    <t>Jacoby Brissett</t>
  </si>
  <si>
    <t>Chuba Hubbard</t>
  </si>
  <si>
    <t>Mike Evans</t>
  </si>
  <si>
    <t>Gunnar Helm</t>
  </si>
  <si>
    <t>Geno Smith</t>
  </si>
  <si>
    <t>Rhamondre Stevenson</t>
  </si>
  <si>
    <t>D.J. Moore</t>
  </si>
  <si>
    <t>Greg Dulcich</t>
  </si>
  <si>
    <t>Aaron Rodgers</t>
  </si>
  <si>
    <t>Tony Pollard</t>
  </si>
  <si>
    <t>Rome Odunze</t>
  </si>
  <si>
    <t>Connor Heyward</t>
  </si>
  <si>
    <t>Fernando Mendoza</t>
  </si>
  <si>
    <t>Jadarian Price</t>
  </si>
  <si>
    <t>Alec Pierce</t>
  </si>
  <si>
    <t>Riley Nowakowski</t>
  </si>
  <si>
    <t>Deshaun Watson</t>
  </si>
  <si>
    <t>Rico Dowdle</t>
  </si>
  <si>
    <t>D.K. Metcalf</t>
  </si>
  <si>
    <t>Max Bredeson</t>
  </si>
  <si>
    <t>Tua Tagovailoa</t>
  </si>
  <si>
    <t>J.K. Dobbins</t>
  </si>
  <si>
    <t>Carnell Tate</t>
  </si>
  <si>
    <t>Terrance Ferguson</t>
  </si>
  <si>
    <t>Michael Penix Jr.</t>
  </si>
  <si>
    <t>RJ Harvey</t>
  </si>
  <si>
    <t>Courtland Sutton</t>
  </si>
  <si>
    <t>David Njoku</t>
  </si>
  <si>
    <t>Shedeur Sanders</t>
  </si>
  <si>
    <t>Kyle Monangai</t>
  </si>
  <si>
    <t>Marvin Harrison Jr.</t>
  </si>
  <si>
    <t>Mike Gesicki</t>
  </si>
  <si>
    <t>Kirk Cousins</t>
  </si>
  <si>
    <t>Aaron Jones Sr.</t>
  </si>
  <si>
    <t>Parker Washington</t>
  </si>
  <si>
    <t>Colby Parkinson</t>
  </si>
  <si>
    <t>J.J. McCarthy</t>
  </si>
  <si>
    <t>Rachaad White</t>
  </si>
  <si>
    <t>Chris Godwin Jr.</t>
  </si>
  <si>
    <t>Evan Engram</t>
  </si>
  <si>
    <t>Carson Beck</t>
  </si>
  <si>
    <t>Blake Corum</t>
  </si>
  <si>
    <t>Jordyn Tyson</t>
  </si>
  <si>
    <t>Darnell Washington</t>
  </si>
  <si>
    <t>Taylen Green</t>
  </si>
  <si>
    <t>Kenny Gainwell</t>
  </si>
  <si>
    <t>Brian Thomas Jr.</t>
  </si>
  <si>
    <t>Mason Taylor</t>
  </si>
  <si>
    <t>Mac Jones</t>
  </si>
  <si>
    <t>Jacory Croskey-Merritt</t>
  </si>
  <si>
    <t>Michael Pittman Jr.</t>
  </si>
  <si>
    <t>Eli Stowers</t>
  </si>
  <si>
    <t>Justin Fields</t>
  </si>
  <si>
    <t>Jordan Mason</t>
  </si>
  <si>
    <t>Jakobi Meyers</t>
  </si>
  <si>
    <t>Theo Johnson</t>
  </si>
  <si>
    <t>Anthony Richardson Sr.</t>
  </si>
  <si>
    <t>Jonathon Brooks</t>
  </si>
  <si>
    <t>Michael Wilson</t>
  </si>
  <si>
    <t>Michael Mayer</t>
  </si>
  <si>
    <t>Jameis Winston</t>
  </si>
  <si>
    <t>Tyrone Tracy Jr.</t>
  </si>
  <si>
    <t>Jayden Reed</t>
  </si>
  <si>
    <t>Dawson Knox</t>
  </si>
  <si>
    <t>Marcus Mariota</t>
  </si>
  <si>
    <t>Chris Rodriguez Jr.</t>
  </si>
  <si>
    <t>Josh Downs</t>
  </si>
  <si>
    <t>Darren Waller</t>
  </si>
  <si>
    <t>Davis Mills</t>
  </si>
  <si>
    <t>Tyjae Spears</t>
  </si>
  <si>
    <t>Wan'Dale Robinson</t>
  </si>
  <si>
    <t>Jonnu Smith</t>
  </si>
  <si>
    <t>FA</t>
  </si>
  <si>
    <t>Spencer Rattler</t>
  </si>
  <si>
    <t>Isiah Pacheco</t>
  </si>
  <si>
    <t>Quentin Johnston</t>
  </si>
  <si>
    <t>Cole Kmet</t>
  </si>
  <si>
    <t>Riley Leonard</t>
  </si>
  <si>
    <t>Woody Marks</t>
  </si>
  <si>
    <t>Jordan Addison</t>
  </si>
  <si>
    <t>Tyler Higbee</t>
  </si>
  <si>
    <t>Ty Simpson</t>
  </si>
  <si>
    <t>Zach Charbonnet</t>
  </si>
  <si>
    <t>Ricky Pearsall</t>
  </si>
  <si>
    <t>Ja'Tavion Sanders</t>
  </si>
  <si>
    <t>Cade Klubnik</t>
  </si>
  <si>
    <t>Tyler Allgeier</t>
  </si>
  <si>
    <t>Makai Lemon</t>
  </si>
  <si>
    <t>Elijah Arroyo</t>
  </si>
  <si>
    <t>Joe Flacco</t>
  </si>
  <si>
    <t>Dylan Sampson</t>
  </si>
  <si>
    <t>Xavier Worthy</t>
  </si>
  <si>
    <t>Jake Tonges</t>
  </si>
  <si>
    <t>Tyrod Taylor</t>
  </si>
  <si>
    <t>Brian Robinson Jr.</t>
  </si>
  <si>
    <t>Romeo Doubs</t>
  </si>
  <si>
    <t>Noah Gray</t>
  </si>
  <si>
    <t>Joe Milton III</t>
  </si>
  <si>
    <t>Alvin Kamara</t>
  </si>
  <si>
    <t>Khalil Shakir</t>
  </si>
  <si>
    <t>Josh Oliver</t>
  </si>
  <si>
    <t>Mason Rudolph</t>
  </si>
  <si>
    <t>Keaton Mitchell</t>
  </si>
  <si>
    <t>Jayden Higgins</t>
  </si>
  <si>
    <t>Taysom Hill</t>
  </si>
  <si>
    <t>Tyson Bagent</t>
  </si>
  <si>
    <t>Jonah Coleman</t>
  </si>
  <si>
    <t>Matthew Golden</t>
  </si>
  <si>
    <t>Tommy Tremble</t>
  </si>
  <si>
    <t>Gardner Minshew II</t>
  </si>
  <si>
    <t>Braelon Allen</t>
  </si>
  <si>
    <t>Jalen Coker</t>
  </si>
  <si>
    <t>Noah Fant</t>
  </si>
  <si>
    <t>Tyler Huntley</t>
  </si>
  <si>
    <t>Justice Hill</t>
  </si>
  <si>
    <t>Stefon Diggs</t>
  </si>
  <si>
    <t>Austin Hooper</t>
  </si>
  <si>
    <t>Tank Bigsby</t>
  </si>
  <si>
    <t>Rashid Shaheed</t>
  </si>
  <si>
    <t>Erick All Jr.</t>
  </si>
  <si>
    <t>Samaje Perine</t>
  </si>
  <si>
    <t>KC Concepcion</t>
  </si>
  <si>
    <t>Charlie Kolar</t>
  </si>
  <si>
    <t>Mike Washington Jr.</t>
  </si>
  <si>
    <t>Omar Cooper Jr.</t>
  </si>
  <si>
    <t>Max Klare</t>
  </si>
  <si>
    <t>Ty Johnson</t>
  </si>
  <si>
    <t>Tre Tucker</t>
  </si>
  <si>
    <t>Brock Wright</t>
  </si>
  <si>
    <t>Emanuel Wilson</t>
  </si>
  <si>
    <t>Jerry Jeudy</t>
  </si>
  <si>
    <t>Eli Raridon</t>
  </si>
  <si>
    <t>Sean Tucker</t>
  </si>
  <si>
    <t>Deebo Samuel</t>
  </si>
  <si>
    <t>Mitchell Evans</t>
  </si>
  <si>
    <t>Emmett Johnson</t>
  </si>
  <si>
    <t>Jauan Jennings</t>
  </si>
  <si>
    <t>Luke Musgrave</t>
  </si>
  <si>
    <t>Ray Davis</t>
  </si>
  <si>
    <t>Jalen McMillan</t>
  </si>
  <si>
    <t>Daniel Bellinger</t>
  </si>
  <si>
    <t>Kimani Vidal</t>
  </si>
  <si>
    <t>Denzel Boston</t>
  </si>
  <si>
    <t>Justin Joly</t>
  </si>
  <si>
    <t>Jordan James</t>
  </si>
  <si>
    <t>Calvin Ridley</t>
  </si>
  <si>
    <t>Adam Trautman</t>
  </si>
  <si>
    <t>Kaytron Allen</t>
  </si>
  <si>
    <t>Jalen Nailor</t>
  </si>
  <si>
    <t>Will Kacmarek</t>
  </si>
  <si>
    <t>Jaylen Wright</t>
  </si>
  <si>
    <t>Antonio Williams</t>
  </si>
  <si>
    <t>Oscar Delp</t>
  </si>
  <si>
    <t>James Conner</t>
  </si>
  <si>
    <t>Adonai Mitchell</t>
  </si>
  <si>
    <t>Elijah Higgins</t>
  </si>
  <si>
    <t>MarShawn Lloyd</t>
  </si>
  <si>
    <t>Ryan Flournoy</t>
  </si>
  <si>
    <t>Ben Sinnott</t>
  </si>
  <si>
    <t>Kaelon Black</t>
  </si>
  <si>
    <t>Germie Bernard</t>
  </si>
  <si>
    <t>Nate Boerkircher</t>
  </si>
  <si>
    <t>Jaydon Blue</t>
  </si>
  <si>
    <t>Brandon Aiyuk</t>
  </si>
  <si>
    <t>Jackson Hawes</t>
  </si>
  <si>
    <t>Nicholas Singleton</t>
  </si>
  <si>
    <t>Malik Washington</t>
  </si>
  <si>
    <t>Davis Allen</t>
  </si>
  <si>
    <t>Chris Brooks</t>
  </si>
  <si>
    <t>Travis Hunter</t>
  </si>
  <si>
    <t>Will Dissly</t>
  </si>
  <si>
    <t>Najee Harris</t>
  </si>
  <si>
    <t>Kayshon Boutte</t>
  </si>
  <si>
    <t>Tanner Hudson</t>
  </si>
  <si>
    <t>Nick Chubb</t>
  </si>
  <si>
    <t>Isaac TeSlaa</t>
  </si>
  <si>
    <t>Cade Stover</t>
  </si>
  <si>
    <t>Emari Demercado</t>
  </si>
  <si>
    <t>Rashod Bateman</t>
  </si>
  <si>
    <t>Drew Sample</t>
  </si>
  <si>
    <t>Isaiah Davis</t>
  </si>
  <si>
    <t>Tre' Harris</t>
  </si>
  <si>
    <t>Adam Randall</t>
  </si>
  <si>
    <t>Cooper Kupp</t>
  </si>
  <si>
    <t>DJ Giddens</t>
  </si>
  <si>
    <t>Darnell Mooney</t>
  </si>
  <si>
    <t>George Holani</t>
  </si>
  <si>
    <t>Jaylin Noel</t>
  </si>
  <si>
    <t>Ollie Gordon II</t>
  </si>
  <si>
    <t>Tank Dell</t>
  </si>
  <si>
    <t>Malik Davis</t>
  </si>
  <si>
    <t>Tyquan Thornton</t>
  </si>
  <si>
    <t>Brashard Smith</t>
  </si>
  <si>
    <t>Troy Franklin</t>
  </si>
  <si>
    <t>Joe Mixon</t>
  </si>
  <si>
    <t>Pat Bryant</t>
  </si>
  <si>
    <t>Demond Claiborne</t>
  </si>
  <si>
    <t>Tyreek Hill</t>
  </si>
  <si>
    <t>Kareem Hunt</t>
  </si>
  <si>
    <t>Keenan Allen</t>
  </si>
  <si>
    <t>Devin Singletary</t>
  </si>
  <si>
    <t>Darius Slayton</t>
  </si>
  <si>
    <t>Kendre Miller</t>
  </si>
  <si>
    <t>Dontayvion Wicks</t>
  </si>
  <si>
    <t>AJ Dillon</t>
  </si>
  <si>
    <t>Jack Bech</t>
  </si>
  <si>
    <t>LeQuint Allen Jr.</t>
  </si>
  <si>
    <t>Chris Bell</t>
  </si>
  <si>
    <t>Austin Ekeler</t>
  </si>
  <si>
    <t>De'Zhaun Stribling</t>
  </si>
  <si>
    <t>Kyle Juszczyk</t>
  </si>
  <si>
    <t>Andrei Iosivas</t>
  </si>
  <si>
    <t>Trey Benson</t>
  </si>
  <si>
    <t>Marquise Brown</t>
  </si>
  <si>
    <t>Antonio Gibson</t>
  </si>
  <si>
    <t>Zachariah Branch</t>
  </si>
  <si>
    <t>Devin Neal</t>
  </si>
  <si>
    <t>Tory Horton</t>
  </si>
  <si>
    <t>Kaleb Johnson</t>
  </si>
  <si>
    <t>Devaughn Vele</t>
  </si>
  <si>
    <t>Jerome Ford</t>
  </si>
  <si>
    <t>Christian Kirk</t>
  </si>
  <si>
    <t>Jeremy McNichols</t>
  </si>
  <si>
    <t>Elijah Sarratt</t>
  </si>
  <si>
    <t>Seth McGowan</t>
  </si>
  <si>
    <t>KaVontae Turpin</t>
  </si>
  <si>
    <t>Jawhar Jordan</t>
  </si>
  <si>
    <t>Ja'Kobi Lane</t>
  </si>
  <si>
    <t>Tahj Brooks</t>
  </si>
  <si>
    <t>Marvin Mims Jr.</t>
  </si>
  <si>
    <t>Miles Sanders</t>
  </si>
  <si>
    <t>Keon Coleman</t>
  </si>
  <si>
    <t>Eli Heidenreich</t>
  </si>
  <si>
    <t>Chris Brazzell II</t>
  </si>
  <si>
    <t>Will Shipley</t>
  </si>
  <si>
    <t>Caleb Douglas</t>
  </si>
  <si>
    <t>Phil Mafah</t>
  </si>
  <si>
    <t>Jahan Dotson</t>
  </si>
  <si>
    <t>Raheim Sanders</t>
  </si>
  <si>
    <t>Jalen Tolbert</t>
  </si>
  <si>
    <t>Rasheen Ali</t>
  </si>
  <si>
    <t>Elic Ayomanor</t>
  </si>
  <si>
    <t>Trevor Etienne</t>
  </si>
  <si>
    <t>Ashton Dulin</t>
  </si>
  <si>
    <t>Audric Estime</t>
  </si>
  <si>
    <t>Chimere Dike</t>
  </si>
  <si>
    <t>Alexander Mattison</t>
  </si>
  <si>
    <t>Kendrick Bourne</t>
  </si>
  <si>
    <t>Ty Chandler</t>
  </si>
  <si>
    <t>Hollywood Brown</t>
  </si>
  <si>
    <t>Hunter Luepke</t>
  </si>
  <si>
    <t>Xavier Legette</t>
  </si>
  <si>
    <t>Zavier Scott</t>
  </si>
  <si>
    <t>Malachi Fields</t>
  </si>
  <si>
    <t>Isaac Guerendo</t>
  </si>
  <si>
    <t>Olamide Zaccheaus</t>
  </si>
  <si>
    <t>Jam Miller</t>
  </si>
  <si>
    <t>Tutu Atwell</t>
  </si>
  <si>
    <t>Dean Connors</t>
  </si>
  <si>
    <t>Ted Hurst III</t>
  </si>
  <si>
    <t>Roschon Johnson</t>
  </si>
  <si>
    <t>Josh Palmer</t>
  </si>
  <si>
    <t>J'Mari Taylor</t>
  </si>
  <si>
    <t>Kyle Williams</t>
  </si>
  <si>
    <t>Tyler Goodson</t>
  </si>
  <si>
    <t>Mack Hollins</t>
  </si>
  <si>
    <t>Elijah Mitchell</t>
  </si>
  <si>
    <t>Skyler Bell</t>
  </si>
  <si>
    <t>Michael Carter</t>
  </si>
  <si>
    <t>DeMario Douglas</t>
  </si>
  <si>
    <t>Jaleel McLaughlin</t>
  </si>
  <si>
    <t>John Metchie III</t>
  </si>
  <si>
    <t>Jarquez Hunter</t>
  </si>
  <si>
    <t>Brenen Thompson</t>
  </si>
  <si>
    <t>Ronnie Rivers</t>
  </si>
  <si>
    <t>Treylon Burks</t>
  </si>
  <si>
    <t>Carlos Washington Jr.</t>
  </si>
  <si>
    <t>Theo Wease Jr.</t>
  </si>
  <si>
    <t>Jaydn Ott</t>
  </si>
  <si>
    <t>Dyami Brown</t>
  </si>
  <si>
    <t>Frank Gore Jr.</t>
  </si>
  <si>
    <t>Xavier Hutchinson</t>
  </si>
  <si>
    <t>Kenny McIntosh</t>
  </si>
  <si>
    <t>Savion Williams</t>
  </si>
  <si>
    <t>Dare Ogunbowale</t>
  </si>
  <si>
    <t>Kalif Raymond</t>
  </si>
  <si>
    <t>Brittain Brown</t>
  </si>
  <si>
    <t>Nick Westbrook-Ikhine</t>
  </si>
  <si>
    <t>Raheem Mostert</t>
  </si>
  <si>
    <t>Devontez Walker</t>
  </si>
  <si>
    <t>Israel Abanikanda</t>
  </si>
  <si>
    <t>Luke McCaffrey</t>
  </si>
  <si>
    <t>Pierre Strong Jr.</t>
  </si>
  <si>
    <t>Calvin Austin III</t>
  </si>
  <si>
    <t>Tyler Badie</t>
  </si>
  <si>
    <t>Jaylin Lane</t>
  </si>
  <si>
    <t>Jaret Patterson</t>
  </si>
  <si>
    <t>Van Jefferson</t>
  </si>
  <si>
    <t>Ameer Abdullah</t>
  </si>
  <si>
    <t>Curtis Samuel</t>
  </si>
  <si>
    <t>Robert Henry Jr.</t>
  </si>
  <si>
    <t>DeAndre Hopkins</t>
  </si>
  <si>
    <t>Desmond Reid</t>
  </si>
  <si>
    <t>Tez Johnson</t>
  </si>
  <si>
    <t>Donovan Edwards</t>
  </si>
  <si>
    <t>Jalen Royals</t>
  </si>
  <si>
    <t>Bam Knight</t>
  </si>
  <si>
    <t>Isaiah Bond</t>
  </si>
  <si>
    <t>Andrew Beck</t>
  </si>
  <si>
    <t>Demarcus Robinson</t>
  </si>
  <si>
    <t>Roman Hemby</t>
  </si>
  <si>
    <t>Zavion Thomas</t>
  </si>
  <si>
    <t>Lan Larison</t>
  </si>
  <si>
    <t>Tyler Lockett</t>
  </si>
  <si>
    <t>Terrell Jennings</t>
  </si>
  <si>
    <t>Bryce Lance</t>
  </si>
  <si>
    <t>Dameon Pierce</t>
  </si>
  <si>
    <t>Cedric Tillman</t>
  </si>
  <si>
    <t>Alec Ingold</t>
  </si>
  <si>
    <t>Jordan Whittington</t>
  </si>
  <si>
    <t>Damien Martinez</t>
  </si>
  <si>
    <t>Konata Mumpfield</t>
  </si>
  <si>
    <t>Michael Burton</t>
  </si>
  <si>
    <t>Kevin Coleman Jr.</t>
  </si>
  <si>
    <t>Jahdae Walker</t>
  </si>
  <si>
    <t>Noah Brown</t>
  </si>
  <si>
    <t>Bub Means</t>
  </si>
  <si>
    <t>Dont'e Thornton Jr.</t>
  </si>
  <si>
    <t>Noah Thomas</t>
  </si>
  <si>
    <t>Greg Dortch</t>
  </si>
  <si>
    <t>Sterling Shepard</t>
  </si>
  <si>
    <t>Eric McAlister</t>
  </si>
  <si>
    <t>Mitch Tinsley</t>
  </si>
  <si>
    <t>Deion Burks</t>
  </si>
  <si>
    <t>Roman Wilson</t>
  </si>
  <si>
    <t>Hunter Renfrow</t>
  </si>
  <si>
    <t>Brandin Cooks</t>
  </si>
  <si>
    <t>Jimmy Horn Jr.</t>
  </si>
  <si>
    <t>Xavier Smith</t>
  </si>
  <si>
    <t>KeAndre Lambert-Smith</t>
  </si>
  <si>
    <t>Tim Patrick</t>
  </si>
  <si>
    <t>Marquez Valdes-Scantling</t>
  </si>
  <si>
    <t>Cyrus Allen</t>
  </si>
  <si>
    <t>Isaiah Williams</t>
  </si>
  <si>
    <t>Odell Beckham Jr.</t>
  </si>
  <si>
    <t>Bo Melton</t>
  </si>
  <si>
    <t>Gabriel Davis</t>
  </si>
  <si>
    <t>Tai Felton</t>
  </si>
  <si>
    <t>$ SETUP (driven by Setup!Teams and Setup!Budget)</t>
  </si>
  <si>
    <t>Total Teams</t>
  </si>
  <si>
    <t>Total Roster Spots</t>
  </si>
  <si>
    <t>Total Money ($)</t>
  </si>
  <si>
    <t>Total Discretionary ($)</t>
  </si>
  <si>
    <t>POSITION RATES</t>
  </si>
  <si>
    <t>Position</t>
  </si>
  <si>
    <t>Discretionary $</t>
  </si>
  <si>
    <t>Total Weighted VORP</t>
  </si>
  <si>
    <t>Rate</t>
  </si>
  <si>
    <t>QB</t>
  </si>
  <si>
    <t>RB</t>
  </si>
  <si>
    <t>WR</t>
  </si>
  <si>
    <t>TE</t>
  </si>
  <si>
    <t>QB tiers</t>
  </si>
  <si>
    <t>Tier</t>
  </si>
  <si>
    <t>Drafted Price Sum</t>
  </si>
  <si>
    <t>Drafted Static Sum</t>
  </si>
  <si>
    <t>Tier Factor</t>
  </si>
  <si>
    <t>RB tiers</t>
  </si>
  <si>
    <t>WR tiers</t>
  </si>
  <si>
    <t>TE tiers</t>
  </si>
  <si>
    <t>GLOBAL (whole draft)</t>
  </si>
  <si>
    <t>Initial Discretionary $</t>
  </si>
  <si>
    <t>Initial Weighted VORP</t>
  </si>
  <si>
    <t>Initial Rate</t>
  </si>
  <si>
    <t>Drafted $ (all positions)</t>
  </si>
  <si>
    <t>Drafted Count (all positions)</t>
  </si>
  <si>
    <t>Drafted Weighted VORP (all positions)</t>
  </si>
  <si>
    <t>Remaining Discretionary $</t>
  </si>
  <si>
    <t>Remaining Weighted VORP</t>
  </si>
  <si>
    <t>Current Rate</t>
  </si>
  <si>
    <t>Depletion Factor</t>
  </si>
  <si>
    <t>Roster Slot</t>
  </si>
  <si>
    <t>FLEX (RB/WR/TE)</t>
  </si>
  <si>
    <t>DEF</t>
  </si>
  <si>
    <t>K</t>
  </si>
  <si>
    <t>Bench</t>
  </si>
  <si>
    <t>Total Budget ($)</t>
  </si>
  <si>
    <t>Roster Spots (total)</t>
  </si>
  <si>
    <t>Spots Filled</t>
  </si>
  <si>
    <t>Spots Remaining</t>
  </si>
  <si>
    <t>Total Spent ($)</t>
  </si>
  <si>
    <t>Money Remaining ($)</t>
  </si>
  <si>
    <t>Max Bid on Next Player ($)</t>
  </si>
  <si>
    <t>Avg $ per Remaining Spot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</si>
</sst>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i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9C4"/>
        <bgColor rgb="FFFFF9C4"/>
      </patternFill>
    </fill>
    <fill>
      <patternFill patternType="solid">
        <fgColor rgb="FFFFE0B2"/>
        <bgColor rgb="FFFFE0B2"/>
      </patternFill>
    </fill>
    <fill>
      <patternFill patternType="solid">
        <fgColor rgb="FFC8E6C9"/>
        <bgColor rgb="FFC8E6C9"/>
      </patternFill>
    </fill>
    <fill>
      <patternFill patternType="solid">
        <fgColor rgb="FFBBDEFB"/>
        <bgColor rgb="FFBBDEFB"/>
      </patternFill>
    </fill>
    <fill>
      <patternFill patternType="solid">
        <fgColor rgb="FFF8BBD0"/>
        <bgColor rgb="FFF8BB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3" fillId="0" borderId="0" xfId="0" applyFont="1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/>
  </sheetViews>
  <sheetFormatPr defaultRowHeight="15" x14ac:dyDescent="0.25"/>
  <cols>
    <col min="1" max="1" width="32" customWidth="1"/>
    <col min="2" max="2" width="45" customWidth="1"/>
  </cols>
  <sheetData>
    <row r="1" spans="1:6" ht="17.25" x14ac:dyDescent="0.3">
      <c r="A1" s="1" t="s">
        <v>0</v>
      </c>
    </row>
    <row r="3" spans="1:6" x14ac:dyDescent="0.25">
      <c r="A3" s="2" t="s">
        <v>1</v>
      </c>
      <c r="B3" s="3">
        <v>200</v>
      </c>
    </row>
    <row r="5" spans="1:6" x14ac:dyDescent="0.25">
      <c r="A5" s="2" t="s">
        <v>2</v>
      </c>
      <c r="B5" s="3">
        <v>12</v>
      </c>
    </row>
    <row r="7" spans="1:6" x14ac:dyDescent="0.25">
      <c r="A7" s="2" t="s">
        <v>3</v>
      </c>
      <c r="B7" s="3" t="s">
        <v>4</v>
      </c>
    </row>
    <row r="9" spans="1:6" x14ac:dyDescent="0.25">
      <c r="A9" t="s">
        <v>5</v>
      </c>
      <c r="B9" t="s">
        <v>6</v>
      </c>
    </row>
    <row r="11" spans="1:6" ht="75" customHeight="1" x14ac:dyDescent="0.25">
      <c r="A11" s="8" t="s">
        <v>7</v>
      </c>
      <c r="B11" s="9"/>
      <c r="C11" s="9"/>
      <c r="D11" s="9"/>
      <c r="E11" s="9"/>
      <c r="F11" s="9"/>
    </row>
  </sheetData>
  <mergeCells count="1">
    <mergeCell ref="A11:F11"/>
  </mergeCells>
  <dataValidations count="3">
    <dataValidation type="whole" showErrorMessage="1" errorTitle="Invalid budget" error="Enter a whole-dollar budget (15-1000)." sqref="B3" xr:uid="{00000000-0002-0000-0000-000000000000}">
      <formula1>15</formula1>
      <formula2>1000</formula2>
    </dataValidation>
    <dataValidation type="list" showErrorMessage="1" errorTitle="Invalid team count" error="Choose one of: 8, 10, 12, 14, 16." sqref="B5" xr:uid="{00000000-0002-0000-0000-000001000000}">
      <formula1>"8,10,12,14,16"</formula1>
    </dataValidation>
    <dataValidation type="list" showErrorMessage="1" errorTitle="Invalid scoring format" error="Choose one of: STD, Half-PPR, PPR." sqref="B7" xr:uid="{00000000-0002-0000-0000-000002000000}">
      <formula1>"STD,Half-PPR,PPR"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U17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2" customWidth="1"/>
    <col min="2" max="2" width="7" customWidth="1"/>
    <col min="3" max="32" width="13" hidden="1" customWidth="1"/>
    <col min="33" max="33" width="8" customWidth="1"/>
    <col min="34" max="34" width="14" customWidth="1"/>
    <col min="35" max="35" width="13" customWidth="1"/>
    <col min="36" max="37" width="12" customWidth="1"/>
    <col min="39" max="39" width="22" customWidth="1"/>
    <col min="40" max="40" width="7" customWidth="1"/>
    <col min="41" max="70" width="13" hidden="1" customWidth="1"/>
    <col min="71" max="71" width="8" customWidth="1"/>
    <col min="72" max="72" width="14" customWidth="1"/>
    <col min="73" max="73" width="13" customWidth="1"/>
    <col min="74" max="75" width="12" customWidth="1"/>
    <col min="77" max="77" width="22" customWidth="1"/>
    <col min="78" max="78" width="7" customWidth="1"/>
    <col min="79" max="108" width="13" hidden="1" customWidth="1"/>
    <col min="109" max="109" width="8" customWidth="1"/>
    <col min="110" max="110" width="14" customWidth="1"/>
    <col min="111" max="111" width="13" customWidth="1"/>
    <col min="112" max="113" width="12" customWidth="1"/>
    <col min="115" max="115" width="22" customWidth="1"/>
    <col min="116" max="116" width="7" customWidth="1"/>
    <col min="117" max="146" width="13" hidden="1" customWidth="1"/>
    <col min="147" max="147" width="8" customWidth="1"/>
    <col min="148" max="148" width="14" customWidth="1"/>
    <col min="149" max="149" width="13" customWidth="1"/>
    <col min="150" max="151" width="12" customWidth="1"/>
  </cols>
  <sheetData>
    <row r="1" spans="1:15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  <c r="X1" s="2" t="s">
        <v>31</v>
      </c>
      <c r="Y1" s="2" t="s">
        <v>32</v>
      </c>
      <c r="Z1" s="2" t="s">
        <v>33</v>
      </c>
      <c r="AA1" s="2" t="s">
        <v>34</v>
      </c>
      <c r="AB1" s="2" t="s">
        <v>35</v>
      </c>
      <c r="AC1" s="2" t="s">
        <v>36</v>
      </c>
      <c r="AD1" s="2" t="s">
        <v>37</v>
      </c>
      <c r="AE1" s="2" t="s">
        <v>38</v>
      </c>
      <c r="AF1" s="2" t="s">
        <v>39</v>
      </c>
      <c r="AG1" s="2" t="s">
        <v>40</v>
      </c>
      <c r="AH1" s="2" t="s">
        <v>41</v>
      </c>
      <c r="AI1" s="2" t="s">
        <v>42</v>
      </c>
      <c r="AJ1" s="2" t="s">
        <v>43</v>
      </c>
      <c r="AK1" s="2" t="s">
        <v>44</v>
      </c>
      <c r="AM1" s="2" t="s">
        <v>8</v>
      </c>
      <c r="AN1" s="2" t="s">
        <v>9</v>
      </c>
      <c r="AO1" s="2" t="s">
        <v>10</v>
      </c>
      <c r="AP1" s="2" t="s">
        <v>11</v>
      </c>
      <c r="AQ1" s="2" t="s">
        <v>12</v>
      </c>
      <c r="AR1" s="2" t="s">
        <v>13</v>
      </c>
      <c r="AS1" s="2" t="s">
        <v>14</v>
      </c>
      <c r="AT1" s="2" t="s">
        <v>15</v>
      </c>
      <c r="AU1" s="2" t="s">
        <v>16</v>
      </c>
      <c r="AV1" s="2" t="s">
        <v>17</v>
      </c>
      <c r="AW1" s="2" t="s">
        <v>18</v>
      </c>
      <c r="AX1" s="2" t="s">
        <v>19</v>
      </c>
      <c r="AY1" s="2" t="s">
        <v>20</v>
      </c>
      <c r="AZ1" s="2" t="s">
        <v>21</v>
      </c>
      <c r="BA1" s="2" t="s">
        <v>22</v>
      </c>
      <c r="BB1" s="2" t="s">
        <v>23</v>
      </c>
      <c r="BC1" s="2" t="s">
        <v>24</v>
      </c>
      <c r="BD1" s="2" t="s">
        <v>25</v>
      </c>
      <c r="BE1" s="2" t="s">
        <v>26</v>
      </c>
      <c r="BF1" s="2" t="s">
        <v>27</v>
      </c>
      <c r="BG1" s="2" t="s">
        <v>28</v>
      </c>
      <c r="BH1" s="2" t="s">
        <v>29</v>
      </c>
      <c r="BI1" s="2" t="s">
        <v>30</v>
      </c>
      <c r="BJ1" s="2" t="s">
        <v>31</v>
      </c>
      <c r="BK1" s="2" t="s">
        <v>32</v>
      </c>
      <c r="BL1" s="2" t="s">
        <v>33</v>
      </c>
      <c r="BM1" s="2" t="s">
        <v>34</v>
      </c>
      <c r="BN1" s="2" t="s">
        <v>35</v>
      </c>
      <c r="BO1" s="2" t="s">
        <v>36</v>
      </c>
      <c r="BP1" s="2" t="s">
        <v>37</v>
      </c>
      <c r="BQ1" s="2" t="s">
        <v>38</v>
      </c>
      <c r="BR1" s="2" t="s">
        <v>39</v>
      </c>
      <c r="BS1" s="2" t="s">
        <v>40</v>
      </c>
      <c r="BT1" s="2" t="s">
        <v>41</v>
      </c>
      <c r="BU1" s="2" t="s">
        <v>42</v>
      </c>
      <c r="BV1" s="2" t="s">
        <v>43</v>
      </c>
      <c r="BW1" s="2" t="s">
        <v>44</v>
      </c>
      <c r="BY1" s="2" t="s">
        <v>8</v>
      </c>
      <c r="BZ1" s="2" t="s">
        <v>9</v>
      </c>
      <c r="CA1" s="2" t="s">
        <v>10</v>
      </c>
      <c r="CB1" s="2" t="s">
        <v>11</v>
      </c>
      <c r="CC1" s="2" t="s">
        <v>12</v>
      </c>
      <c r="CD1" s="2" t="s">
        <v>13</v>
      </c>
      <c r="CE1" s="2" t="s">
        <v>14</v>
      </c>
      <c r="CF1" s="2" t="s">
        <v>15</v>
      </c>
      <c r="CG1" s="2" t="s">
        <v>16</v>
      </c>
      <c r="CH1" s="2" t="s">
        <v>17</v>
      </c>
      <c r="CI1" s="2" t="s">
        <v>18</v>
      </c>
      <c r="CJ1" s="2" t="s">
        <v>19</v>
      </c>
      <c r="CK1" s="2" t="s">
        <v>20</v>
      </c>
      <c r="CL1" s="2" t="s">
        <v>21</v>
      </c>
      <c r="CM1" s="2" t="s">
        <v>22</v>
      </c>
      <c r="CN1" s="2" t="s">
        <v>23</v>
      </c>
      <c r="CO1" s="2" t="s">
        <v>24</v>
      </c>
      <c r="CP1" s="2" t="s">
        <v>25</v>
      </c>
      <c r="CQ1" s="2" t="s">
        <v>26</v>
      </c>
      <c r="CR1" s="2" t="s">
        <v>27</v>
      </c>
      <c r="CS1" s="2" t="s">
        <v>28</v>
      </c>
      <c r="CT1" s="2" t="s">
        <v>29</v>
      </c>
      <c r="CU1" s="2" t="s">
        <v>30</v>
      </c>
      <c r="CV1" s="2" t="s">
        <v>31</v>
      </c>
      <c r="CW1" s="2" t="s">
        <v>32</v>
      </c>
      <c r="CX1" s="2" t="s">
        <v>33</v>
      </c>
      <c r="CY1" s="2" t="s">
        <v>34</v>
      </c>
      <c r="CZ1" s="2" t="s">
        <v>35</v>
      </c>
      <c r="DA1" s="2" t="s">
        <v>36</v>
      </c>
      <c r="DB1" s="2" t="s">
        <v>37</v>
      </c>
      <c r="DC1" s="2" t="s">
        <v>38</v>
      </c>
      <c r="DD1" s="2" t="s">
        <v>39</v>
      </c>
      <c r="DE1" s="2" t="s">
        <v>40</v>
      </c>
      <c r="DF1" s="2" t="s">
        <v>41</v>
      </c>
      <c r="DG1" s="2" t="s">
        <v>42</v>
      </c>
      <c r="DH1" s="2" t="s">
        <v>43</v>
      </c>
      <c r="DI1" s="2" t="s">
        <v>44</v>
      </c>
      <c r="DK1" s="2" t="s">
        <v>8</v>
      </c>
      <c r="DL1" s="2" t="s">
        <v>9</v>
      </c>
      <c r="DM1" s="2" t="s">
        <v>10</v>
      </c>
      <c r="DN1" s="2" t="s">
        <v>11</v>
      </c>
      <c r="DO1" s="2" t="s">
        <v>12</v>
      </c>
      <c r="DP1" s="2" t="s">
        <v>13</v>
      </c>
      <c r="DQ1" s="2" t="s">
        <v>14</v>
      </c>
      <c r="DR1" s="2" t="s">
        <v>15</v>
      </c>
      <c r="DS1" s="2" t="s">
        <v>16</v>
      </c>
      <c r="DT1" s="2" t="s">
        <v>17</v>
      </c>
      <c r="DU1" s="2" t="s">
        <v>18</v>
      </c>
      <c r="DV1" s="2" t="s">
        <v>19</v>
      </c>
      <c r="DW1" s="2" t="s">
        <v>20</v>
      </c>
      <c r="DX1" s="2" t="s">
        <v>21</v>
      </c>
      <c r="DY1" s="2" t="s">
        <v>22</v>
      </c>
      <c r="DZ1" s="2" t="s">
        <v>23</v>
      </c>
      <c r="EA1" s="2" t="s">
        <v>24</v>
      </c>
      <c r="EB1" s="2" t="s">
        <v>25</v>
      </c>
      <c r="EC1" s="2" t="s">
        <v>26</v>
      </c>
      <c r="ED1" s="2" t="s">
        <v>27</v>
      </c>
      <c r="EE1" s="2" t="s">
        <v>28</v>
      </c>
      <c r="EF1" s="2" t="s">
        <v>29</v>
      </c>
      <c r="EG1" s="2" t="s">
        <v>30</v>
      </c>
      <c r="EH1" s="2" t="s">
        <v>31</v>
      </c>
      <c r="EI1" s="2" t="s">
        <v>32</v>
      </c>
      <c r="EJ1" s="2" t="s">
        <v>33</v>
      </c>
      <c r="EK1" s="2" t="s">
        <v>34</v>
      </c>
      <c r="EL1" s="2" t="s">
        <v>35</v>
      </c>
      <c r="EM1" s="2" t="s">
        <v>36</v>
      </c>
      <c r="EN1" s="2" t="s">
        <v>37</v>
      </c>
      <c r="EO1" s="2" t="s">
        <v>38</v>
      </c>
      <c r="EP1" s="2" t="s">
        <v>39</v>
      </c>
      <c r="EQ1" s="2" t="s">
        <v>40</v>
      </c>
      <c r="ER1" s="2" t="s">
        <v>41</v>
      </c>
      <c r="ES1" s="2" t="s">
        <v>42</v>
      </c>
      <c r="ET1" s="2" t="s">
        <v>43</v>
      </c>
      <c r="EU1" s="2" t="s">
        <v>44</v>
      </c>
    </row>
    <row r="2" spans="1:151" x14ac:dyDescent="0.25">
      <c r="A2" s="4" t="s">
        <v>45</v>
      </c>
      <c r="B2" s="4" t="s">
        <v>46</v>
      </c>
      <c r="C2" s="4">
        <v>1</v>
      </c>
      <c r="D2" s="4">
        <v>104.79640000000001</v>
      </c>
      <c r="E2" s="4">
        <v>1</v>
      </c>
      <c r="F2" s="4">
        <v>188.46729999999999</v>
      </c>
      <c r="G2" s="4">
        <v>1</v>
      </c>
      <c r="H2" s="4">
        <v>169.0873</v>
      </c>
      <c r="I2" s="4">
        <v>1</v>
      </c>
      <c r="J2" s="4">
        <v>140.85220000000001</v>
      </c>
      <c r="K2" s="4">
        <v>1</v>
      </c>
      <c r="L2" s="4">
        <v>89.83</v>
      </c>
      <c r="M2" s="4">
        <v>1</v>
      </c>
      <c r="N2" s="4">
        <v>100.99469999999999</v>
      </c>
      <c r="O2" s="4">
        <v>1</v>
      </c>
      <c r="P2" s="4">
        <v>44.979100000000003</v>
      </c>
      <c r="Q2" s="4">
        <v>1</v>
      </c>
      <c r="R2" s="4">
        <v>121.79600000000001</v>
      </c>
      <c r="S2" s="4">
        <v>1</v>
      </c>
      <c r="T2" s="4">
        <v>169.0873</v>
      </c>
      <c r="U2" s="4">
        <v>1</v>
      </c>
      <c r="V2" s="4">
        <v>108.2336</v>
      </c>
      <c r="W2" s="4">
        <v>1</v>
      </c>
      <c r="X2" s="4">
        <v>68.656000000000006</v>
      </c>
      <c r="Y2" s="4">
        <v>1</v>
      </c>
      <c r="Z2" s="4">
        <v>97.911000000000001</v>
      </c>
      <c r="AA2" s="4">
        <v>1</v>
      </c>
      <c r="AB2" s="4">
        <v>176.374</v>
      </c>
      <c r="AC2" s="4">
        <v>1</v>
      </c>
      <c r="AD2" s="4">
        <v>414.64280000000002</v>
      </c>
      <c r="AE2" s="4">
        <v>1</v>
      </c>
      <c r="AF2" s="4">
        <v>164.042</v>
      </c>
      <c r="AG2" s="4">
        <f>CHOOSE(MATCH(Setup!$B$5,{8,10,12,14,16},0)+(MATCH(Setup!$B$7,{"STD","Half-PPR","PPR"},0)-1)*5,C2,E2,G2,I2,K2,M2,O2,Q2,S2,U2,W2,Y2,AA2,AC2,AE2)</f>
        <v>1</v>
      </c>
      <c r="AH2" s="4">
        <f>CHOOSE(MATCH(Setup!$B$5,{8,10,12,14,16},0)+(MATCH(Setup!$B$7,{"STD","Half-PPR","PPR"},0)-1)*5,D2,F2,H2,J2,L2,N2,P2,R2,T2,V2,X2,Z2,AB2,AD2,AF2)</f>
        <v>121.79600000000001</v>
      </c>
      <c r="AI2" s="4">
        <f>ROUND(1+AH2*'Live Calc'!$D$9,0)</f>
        <v>36</v>
      </c>
      <c r="AJ2" s="4"/>
      <c r="AK2" s="4">
        <f>IF(AJ2&lt;&gt;"",AJ2,ROUND(AI2*INDEX('Live Calc'!$D$16:$D$25,MATCH(AG2,'Live Calc'!$A$16:$A$25,0))*'Live Calc'!$J$89,0))</f>
        <v>36</v>
      </c>
      <c r="AM2" s="5" t="s">
        <v>47</v>
      </c>
      <c r="AN2" s="5" t="s">
        <v>48</v>
      </c>
      <c r="AO2" s="5">
        <v>1</v>
      </c>
      <c r="AP2" s="5">
        <v>139.374</v>
      </c>
      <c r="AQ2" s="5">
        <v>1</v>
      </c>
      <c r="AR2" s="5">
        <v>343.67910000000001</v>
      </c>
      <c r="AS2" s="5">
        <v>1</v>
      </c>
      <c r="AT2" s="5">
        <v>924.49530000000004</v>
      </c>
      <c r="AU2" s="5">
        <v>1</v>
      </c>
      <c r="AV2" s="5">
        <v>338.9708</v>
      </c>
      <c r="AW2" s="5">
        <v>1</v>
      </c>
      <c r="AX2" s="5">
        <v>482.12360000000001</v>
      </c>
      <c r="AY2" s="5">
        <v>1</v>
      </c>
      <c r="AZ2" s="5">
        <v>354.17329999999998</v>
      </c>
      <c r="BA2" s="5">
        <v>1</v>
      </c>
      <c r="BB2" s="5">
        <v>229.67750000000001</v>
      </c>
      <c r="BC2" s="5">
        <v>1</v>
      </c>
      <c r="BD2" s="5">
        <v>620.17849999999999</v>
      </c>
      <c r="BE2" s="5">
        <v>1</v>
      </c>
      <c r="BF2" s="5">
        <v>705.928</v>
      </c>
      <c r="BG2" s="5">
        <v>1</v>
      </c>
      <c r="BH2" s="5">
        <v>760.30780000000004</v>
      </c>
      <c r="BI2" s="5">
        <v>1</v>
      </c>
      <c r="BJ2" s="5">
        <v>390.2663</v>
      </c>
      <c r="BK2" s="5">
        <v>1</v>
      </c>
      <c r="BL2" s="5">
        <v>251.66159999999999</v>
      </c>
      <c r="BM2" s="5">
        <v>1</v>
      </c>
      <c r="BN2" s="5">
        <v>286.4203</v>
      </c>
      <c r="BO2" s="5">
        <v>1</v>
      </c>
      <c r="BP2" s="5">
        <v>426.69540000000001</v>
      </c>
      <c r="BQ2" s="5">
        <v>1</v>
      </c>
      <c r="BR2" s="5">
        <v>460.00700000000001</v>
      </c>
      <c r="BS2" s="5">
        <f>CHOOSE(MATCH(Setup!$B$5,{8,10,12,14,16},0)+(MATCH(Setup!$B$7,{"STD","Half-PPR","PPR"},0)-1)*5,AO2,AQ2,AS2,AU2,AW2,AY2,BA2,BC2,BE2,BG2,BI2,BK2,BM2,BO2,BQ2)</f>
        <v>1</v>
      </c>
      <c r="BT2" s="5">
        <f>CHOOSE(MATCH(Setup!$B$5,{8,10,12,14,16},0)+(MATCH(Setup!$B$7,{"STD","Half-PPR","PPR"},0)-1)*5,AP2,AR2,AT2,AV2,AX2,AZ2,BB2,BD2,BF2,BH2,BJ2,BL2,BN2,BP2,BR2)</f>
        <v>620.17849999999999</v>
      </c>
      <c r="BU2" s="5">
        <f>ROUND(1+BT2*'Live Calc'!$D$10,0)</f>
        <v>58</v>
      </c>
      <c r="BV2" s="5"/>
      <c r="BW2" s="5">
        <f>IF(BV2&lt;&gt;"",BV2,ROUND(BU2*INDEX('Live Calc'!$D$29:$D$46,MATCH(BS2,'Live Calc'!$A$29:$A$46,0))*'Live Calc'!$J$89,0))</f>
        <v>58</v>
      </c>
      <c r="BY2" s="6" t="s">
        <v>49</v>
      </c>
      <c r="BZ2" s="6" t="s">
        <v>50</v>
      </c>
      <c r="CA2" s="6">
        <v>1</v>
      </c>
      <c r="CB2" s="6">
        <v>124.8035</v>
      </c>
      <c r="CC2" s="6">
        <v>1</v>
      </c>
      <c r="CD2" s="6">
        <v>189.03989999999999</v>
      </c>
      <c r="CE2" s="6">
        <v>1</v>
      </c>
      <c r="CF2" s="6">
        <v>362.49599999999998</v>
      </c>
      <c r="CG2" s="6">
        <v>1</v>
      </c>
      <c r="CH2" s="6">
        <v>228.6414</v>
      </c>
      <c r="CI2" s="6">
        <v>1</v>
      </c>
      <c r="CJ2" s="6">
        <v>249.1549</v>
      </c>
      <c r="CK2" s="6">
        <v>1</v>
      </c>
      <c r="CL2" s="6">
        <v>281.92129999999997</v>
      </c>
      <c r="CM2" s="6">
        <v>1</v>
      </c>
      <c r="CN2" s="6">
        <v>568.08929999999998</v>
      </c>
      <c r="CO2" s="6">
        <v>1</v>
      </c>
      <c r="CP2" s="6">
        <v>486.83479999999997</v>
      </c>
      <c r="CQ2" s="6">
        <v>1</v>
      </c>
      <c r="CR2" s="6">
        <v>300.83280000000002</v>
      </c>
      <c r="CS2" s="6">
        <v>1</v>
      </c>
      <c r="CT2" s="6">
        <v>432.58260000000001</v>
      </c>
      <c r="CU2" s="6">
        <v>1</v>
      </c>
      <c r="CV2" s="6">
        <v>341.25150000000002</v>
      </c>
      <c r="CW2" s="6">
        <v>1</v>
      </c>
      <c r="CX2" s="6">
        <v>228.3528</v>
      </c>
      <c r="CY2" s="6">
        <v>1</v>
      </c>
      <c r="CZ2" s="6">
        <v>796.24099999999999</v>
      </c>
      <c r="DA2" s="6">
        <v>1</v>
      </c>
      <c r="DB2" s="6">
        <v>490.46359999999999</v>
      </c>
      <c r="DC2" s="6">
        <v>1</v>
      </c>
      <c r="DD2" s="6">
        <v>395.2704</v>
      </c>
      <c r="DE2" s="6">
        <f>CHOOSE(MATCH(Setup!$B$5,{8,10,12,14,16},0)+(MATCH(Setup!$B$7,{"STD","Half-PPR","PPR"},0)-1)*5,CA2,CC2,CE2,CG2,CI2,CK2,CM2,CO2,CQ2,CS2,CU2,CW2,CY2,DA2,DC2)</f>
        <v>1</v>
      </c>
      <c r="DF2" s="6">
        <f>CHOOSE(MATCH(Setup!$B$5,{8,10,12,14,16},0)+(MATCH(Setup!$B$7,{"STD","Half-PPR","PPR"},0)-1)*5,CB2,CD2,CF2,CH2,CJ2,CL2,CN2,CP2,CR2,CT2,CV2,CX2,CZ2,DB2,DD2)</f>
        <v>486.83479999999997</v>
      </c>
      <c r="DG2" s="6">
        <f>ROUND(1+DF2*'Live Calc'!$D$11,0)</f>
        <v>52</v>
      </c>
      <c r="DH2" s="6"/>
      <c r="DI2" s="6">
        <f>IF(DH2&lt;&gt;"",DH2,ROUND(DG2*INDEX('Live Calc'!$D$50:$D$70,MATCH(DE2,'Live Calc'!$A$50:$A$70,0))*'Live Calc'!$J$89,0))</f>
        <v>52</v>
      </c>
      <c r="DK2" s="7" t="s">
        <v>51</v>
      </c>
      <c r="DL2" s="7" t="s">
        <v>52</v>
      </c>
      <c r="DM2" s="7">
        <v>1</v>
      </c>
      <c r="DN2" s="7">
        <v>35.201599999999999</v>
      </c>
      <c r="DO2" s="7">
        <v>1</v>
      </c>
      <c r="DP2" s="7">
        <v>39.608400000000003</v>
      </c>
      <c r="DQ2" s="7">
        <v>1</v>
      </c>
      <c r="DR2" s="7">
        <v>45.003900000000002</v>
      </c>
      <c r="DS2" s="7">
        <v>1</v>
      </c>
      <c r="DT2" s="7">
        <v>49.344200000000001</v>
      </c>
      <c r="DU2" s="7">
        <v>1</v>
      </c>
      <c r="DV2" s="7">
        <v>32.580199999999998</v>
      </c>
      <c r="DW2" s="7">
        <v>1</v>
      </c>
      <c r="DX2" s="7">
        <v>43.123399999999997</v>
      </c>
      <c r="DY2" s="7">
        <v>1</v>
      </c>
      <c r="DZ2" s="7">
        <v>37.930500000000002</v>
      </c>
      <c r="EA2" s="7">
        <v>1</v>
      </c>
      <c r="EB2" s="7">
        <v>85.768000000000001</v>
      </c>
      <c r="EC2" s="7">
        <v>1</v>
      </c>
      <c r="ED2" s="7">
        <v>57.844200000000001</v>
      </c>
      <c r="EE2" s="7">
        <v>1</v>
      </c>
      <c r="EF2" s="7">
        <v>62.421799999999998</v>
      </c>
      <c r="EG2" s="7">
        <v>1</v>
      </c>
      <c r="EH2" s="7">
        <v>94.292000000000002</v>
      </c>
      <c r="EI2" s="7">
        <v>1</v>
      </c>
      <c r="EJ2" s="7">
        <v>65.955200000000005</v>
      </c>
      <c r="EK2" s="7">
        <v>1</v>
      </c>
      <c r="EL2" s="7">
        <v>56.494999999999997</v>
      </c>
      <c r="EM2" s="7">
        <v>1</v>
      </c>
      <c r="EN2" s="7">
        <v>60.984699999999997</v>
      </c>
      <c r="EO2" s="7">
        <v>1</v>
      </c>
      <c r="EP2" s="7">
        <v>64.688599999999994</v>
      </c>
      <c r="EQ2" s="7">
        <f>CHOOSE(MATCH(Setup!$B$5,{8,10,12,14,16},0)+(MATCH(Setup!$B$7,{"STD","Half-PPR","PPR"},0)-1)*5,DM2,DO2,DQ2,DS2,DU2,DW2,DY2,EA2,EC2,EE2,EG2,EI2,EK2,EM2,EO2)</f>
        <v>1</v>
      </c>
      <c r="ER2" s="7">
        <f>CHOOSE(MATCH(Setup!$B$5,{8,10,12,14,16},0)+(MATCH(Setup!$B$7,{"STD","Half-PPR","PPR"},0)-1)*5,DN2,DP2,DR2,DT2,DV2,DX2,DZ2,EB2,ED2,EF2,EH2,EJ2,EL2,EN2,EP2)</f>
        <v>85.768000000000001</v>
      </c>
      <c r="ES2" s="7">
        <f>ROUND(1+ER2*'Live Calc'!$D$12,0)</f>
        <v>28</v>
      </c>
      <c r="ET2" s="7"/>
      <c r="EU2" s="7">
        <f>IF(ET2&lt;&gt;"",ET2,ROUND(ES2*INDEX('Live Calc'!$D$74:$D$85,MATCH(EQ2,'Live Calc'!$A$74:$A$85,0))*'Live Calc'!$J$89,0))</f>
        <v>28</v>
      </c>
    </row>
    <row r="3" spans="1:151" x14ac:dyDescent="0.25">
      <c r="A3" s="4" t="s">
        <v>53</v>
      </c>
      <c r="B3" s="4" t="s">
        <v>54</v>
      </c>
      <c r="C3" s="4">
        <v>2</v>
      </c>
      <c r="D3" s="4">
        <v>44.4559</v>
      </c>
      <c r="E3" s="4">
        <v>2</v>
      </c>
      <c r="F3" s="4">
        <v>87.530600000000007</v>
      </c>
      <c r="G3" s="4">
        <v>2</v>
      </c>
      <c r="H3" s="4">
        <v>88.721400000000003</v>
      </c>
      <c r="I3" s="4">
        <v>2</v>
      </c>
      <c r="J3" s="4">
        <v>78.2761</v>
      </c>
      <c r="K3" s="4">
        <v>2</v>
      </c>
      <c r="L3" s="4">
        <v>52.66</v>
      </c>
      <c r="M3" s="4">
        <v>2</v>
      </c>
      <c r="N3" s="4">
        <v>40.946399999999997</v>
      </c>
      <c r="O3" s="4">
        <v>2</v>
      </c>
      <c r="P3" s="4">
        <v>22.3</v>
      </c>
      <c r="Q3" s="4">
        <v>2</v>
      </c>
      <c r="R3" s="4">
        <v>60.299399999999999</v>
      </c>
      <c r="S3" s="4">
        <v>2</v>
      </c>
      <c r="T3" s="4">
        <v>88.721400000000003</v>
      </c>
      <c r="U3" s="4">
        <v>2</v>
      </c>
      <c r="V3" s="4">
        <v>60.066800000000001</v>
      </c>
      <c r="W3" s="4">
        <v>2</v>
      </c>
      <c r="X3" s="4">
        <v>31.486000000000001</v>
      </c>
      <c r="Y3" s="4">
        <v>2</v>
      </c>
      <c r="Z3" s="4">
        <v>50.048400000000001</v>
      </c>
      <c r="AA3" s="4">
        <v>2</v>
      </c>
      <c r="AB3" s="4">
        <v>95.433999999999997</v>
      </c>
      <c r="AC3" s="4">
        <v>2</v>
      </c>
      <c r="AD3" s="4">
        <v>232.0025</v>
      </c>
      <c r="AE3" s="4">
        <v>2</v>
      </c>
      <c r="AF3" s="4">
        <v>100.3623</v>
      </c>
      <c r="AG3" s="4">
        <f>CHOOSE(MATCH(Setup!$B$5,{8,10,12,14,16},0)+(MATCH(Setup!$B$7,{"STD","Half-PPR","PPR"},0)-1)*5,C3,E3,G3,I3,K3,M3,O3,Q3,S3,U3,W3,Y3,AA3,AC3,AE3)</f>
        <v>2</v>
      </c>
      <c r="AH3" s="4">
        <f>CHOOSE(MATCH(Setup!$B$5,{8,10,12,14,16},0)+(MATCH(Setup!$B$7,{"STD","Half-PPR","PPR"},0)-1)*5,D3,F3,H3,J3,L3,N3,P3,R3,T3,V3,X3,Z3,AB3,AD3,AF3)</f>
        <v>60.299399999999999</v>
      </c>
      <c r="AI3" s="4">
        <f>ROUND(1+AH3*'Live Calc'!$D$9,0)</f>
        <v>19</v>
      </c>
      <c r="AJ3" s="4"/>
      <c r="AK3" s="4">
        <f>IF(AJ3&lt;&gt;"",AJ3,ROUND(AI3*INDEX('Live Calc'!$D$16:$D$25,MATCH(AG3,'Live Calc'!$A$16:$A$25,0))*'Live Calc'!$J$89,0))</f>
        <v>19</v>
      </c>
      <c r="AM3" s="5" t="s">
        <v>55</v>
      </c>
      <c r="AN3" s="5" t="s">
        <v>56</v>
      </c>
      <c r="AO3" s="5">
        <v>1</v>
      </c>
      <c r="AP3" s="5">
        <v>129.684</v>
      </c>
      <c r="AQ3" s="5">
        <v>1</v>
      </c>
      <c r="AR3" s="5">
        <v>319.92070000000001</v>
      </c>
      <c r="AS3" s="5">
        <v>1</v>
      </c>
      <c r="AT3" s="5">
        <v>864.05150000000003</v>
      </c>
      <c r="AU3" s="5">
        <v>1</v>
      </c>
      <c r="AV3" s="5">
        <v>320.91320000000002</v>
      </c>
      <c r="AW3" s="5">
        <v>1</v>
      </c>
      <c r="AX3" s="5">
        <v>457.26299999999998</v>
      </c>
      <c r="AY3" s="5">
        <v>1</v>
      </c>
      <c r="AZ3" s="5">
        <v>350.70850000000002</v>
      </c>
      <c r="BA3" s="5">
        <v>1</v>
      </c>
      <c r="BB3" s="5">
        <v>227.77080000000001</v>
      </c>
      <c r="BC3" s="5">
        <v>1</v>
      </c>
      <c r="BD3" s="5">
        <v>615.26869999999997</v>
      </c>
      <c r="BE3" s="5">
        <v>1</v>
      </c>
      <c r="BF3" s="5">
        <v>700.91079999999999</v>
      </c>
      <c r="BG3" s="5">
        <v>1</v>
      </c>
      <c r="BH3" s="5">
        <v>755.22799999999995</v>
      </c>
      <c r="BI3" s="5">
        <v>1</v>
      </c>
      <c r="BJ3" s="5">
        <v>388.09820000000002</v>
      </c>
      <c r="BK3" s="5">
        <v>1</v>
      </c>
      <c r="BL3" s="5">
        <v>250.4786</v>
      </c>
      <c r="BM3" s="5">
        <v>1</v>
      </c>
      <c r="BN3" s="5">
        <v>285.23</v>
      </c>
      <c r="BO3" s="5">
        <v>1</v>
      </c>
      <c r="BP3" s="5">
        <v>425.0437</v>
      </c>
      <c r="BQ3" s="5">
        <v>1</v>
      </c>
      <c r="BR3" s="5">
        <v>458.34390000000002</v>
      </c>
      <c r="BS3" s="5">
        <f>CHOOSE(MATCH(Setup!$B$5,{8,10,12,14,16},0)+(MATCH(Setup!$B$7,{"STD","Half-PPR","PPR"},0)-1)*5,AO3,AQ3,AS3,AU3,AW3,AY3,BA3,BC3,BE3,BG3,BI3,BK3,BM3,BO3,BQ3)</f>
        <v>1</v>
      </c>
      <c r="BT3" s="5">
        <f>CHOOSE(MATCH(Setup!$B$5,{8,10,12,14,16},0)+(MATCH(Setup!$B$7,{"STD","Half-PPR","PPR"},0)-1)*5,AP3,AR3,AT3,AV3,AX3,AZ3,BB3,BD3,BF3,BH3,BJ3,BL3,BN3,BP3,BR3)</f>
        <v>615.26869999999997</v>
      </c>
      <c r="BU3" s="5">
        <f>ROUND(1+BT3*'Live Calc'!$D$10,0)</f>
        <v>58</v>
      </c>
      <c r="BV3" s="5"/>
      <c r="BW3" s="5">
        <f>IF(BV3&lt;&gt;"",BV3,ROUND(BU3*INDEX('Live Calc'!$D$29:$D$46,MATCH(BS3,'Live Calc'!$A$29:$A$46,0))*'Live Calc'!$J$89,0))</f>
        <v>58</v>
      </c>
      <c r="BY3" s="6" t="s">
        <v>57</v>
      </c>
      <c r="BZ3" s="6" t="s">
        <v>58</v>
      </c>
      <c r="CA3" s="6">
        <v>1</v>
      </c>
      <c r="CB3" s="6">
        <v>123.90260000000001</v>
      </c>
      <c r="CC3" s="6">
        <v>1</v>
      </c>
      <c r="CD3" s="6">
        <v>187.8321</v>
      </c>
      <c r="CE3" s="6">
        <v>1</v>
      </c>
      <c r="CF3" s="6">
        <v>360.31169999999997</v>
      </c>
      <c r="CG3" s="6">
        <v>1</v>
      </c>
      <c r="CH3" s="6">
        <v>227.41239999999999</v>
      </c>
      <c r="CI3" s="6">
        <v>1</v>
      </c>
      <c r="CJ3" s="6">
        <v>247.91630000000001</v>
      </c>
      <c r="CK3" s="6">
        <v>1</v>
      </c>
      <c r="CL3" s="6">
        <v>280.63029999999998</v>
      </c>
      <c r="CM3" s="6">
        <v>1</v>
      </c>
      <c r="CN3" s="6">
        <v>565.69929999999999</v>
      </c>
      <c r="CO3" s="6">
        <v>1</v>
      </c>
      <c r="CP3" s="6">
        <v>485.02460000000002</v>
      </c>
      <c r="CQ3" s="6">
        <v>1</v>
      </c>
      <c r="CR3" s="6">
        <v>299.83870000000002</v>
      </c>
      <c r="CS3" s="6">
        <v>1</v>
      </c>
      <c r="CT3" s="6">
        <v>431.21730000000002</v>
      </c>
      <c r="CU3" s="6">
        <v>1</v>
      </c>
      <c r="CV3" s="6">
        <v>340.27719999999999</v>
      </c>
      <c r="CW3" s="6">
        <v>1</v>
      </c>
      <c r="CX3" s="6">
        <v>227.8143</v>
      </c>
      <c r="CY3" s="6">
        <v>1</v>
      </c>
      <c r="CZ3" s="6">
        <v>794.35860000000002</v>
      </c>
      <c r="DA3" s="6">
        <v>1</v>
      </c>
      <c r="DB3" s="6">
        <v>489.44200000000001</v>
      </c>
      <c r="DC3" s="6">
        <v>1</v>
      </c>
      <c r="DD3" s="6">
        <v>394.52030000000002</v>
      </c>
      <c r="DE3" s="6">
        <f>CHOOSE(MATCH(Setup!$B$5,{8,10,12,14,16},0)+(MATCH(Setup!$B$7,{"STD","Half-PPR","PPR"},0)-1)*5,CA3,CC3,CE3,CG3,CI3,CK3,CM3,CO3,CQ3,CS3,CU3,CW3,CY3,DA3,DC3)</f>
        <v>1</v>
      </c>
      <c r="DF3" s="6">
        <f>CHOOSE(MATCH(Setup!$B$5,{8,10,12,14,16},0)+(MATCH(Setup!$B$7,{"STD","Half-PPR","PPR"},0)-1)*5,CB3,CD3,CF3,CH3,CJ3,CL3,CN3,CP3,CR3,CT3,CV3,CX3,CZ3,DB3,DD3)</f>
        <v>485.02460000000002</v>
      </c>
      <c r="DG3" s="6">
        <f>ROUND(1+DF3*'Live Calc'!$D$11,0)</f>
        <v>52</v>
      </c>
      <c r="DH3" s="6"/>
      <c r="DI3" s="6">
        <f>IF(DH3&lt;&gt;"",DH3,ROUND(DG3*INDEX('Live Calc'!$D$50:$D$70,MATCH(DE3,'Live Calc'!$A$50:$A$70,0))*'Live Calc'!$J$89,0))</f>
        <v>52</v>
      </c>
      <c r="DK3" s="7" t="s">
        <v>59</v>
      </c>
      <c r="DL3" s="7" t="s">
        <v>60</v>
      </c>
      <c r="DM3" s="7">
        <v>1</v>
      </c>
      <c r="DN3" s="7">
        <v>33.421199999999999</v>
      </c>
      <c r="DO3" s="7">
        <v>1</v>
      </c>
      <c r="DP3" s="7">
        <v>37.851799999999997</v>
      </c>
      <c r="DQ3" s="7">
        <v>1</v>
      </c>
      <c r="DR3" s="7">
        <v>43.272599999999997</v>
      </c>
      <c r="DS3" s="7">
        <v>1</v>
      </c>
      <c r="DT3" s="7">
        <v>47.630899999999997</v>
      </c>
      <c r="DU3" s="7">
        <v>1</v>
      </c>
      <c r="DV3" s="7">
        <v>31.595300000000002</v>
      </c>
      <c r="DW3" s="7">
        <v>1</v>
      </c>
      <c r="DX3" s="7">
        <v>42.000900000000001</v>
      </c>
      <c r="DY3" s="7">
        <v>1</v>
      </c>
      <c r="DZ3" s="7">
        <v>37.0822</v>
      </c>
      <c r="EA3" s="7">
        <v>1</v>
      </c>
      <c r="EB3" s="7">
        <v>83.876000000000005</v>
      </c>
      <c r="EC3" s="7">
        <v>1</v>
      </c>
      <c r="ED3" s="7">
        <v>56.758299999999998</v>
      </c>
      <c r="EE3" s="7">
        <v>1</v>
      </c>
      <c r="EF3" s="7">
        <v>61.345100000000002</v>
      </c>
      <c r="EG3" s="7">
        <v>1</v>
      </c>
      <c r="EH3" s="7">
        <v>78.311999999999998</v>
      </c>
      <c r="EI3" s="7">
        <v>1</v>
      </c>
      <c r="EJ3" s="7">
        <v>56.852499999999999</v>
      </c>
      <c r="EK3" s="7">
        <v>1</v>
      </c>
      <c r="EL3" s="7">
        <v>49.756399999999999</v>
      </c>
      <c r="EM3" s="7">
        <v>1</v>
      </c>
      <c r="EN3" s="7">
        <v>54.343000000000004</v>
      </c>
      <c r="EO3" s="7">
        <v>1</v>
      </c>
      <c r="EP3" s="7">
        <v>58.120100000000001</v>
      </c>
      <c r="EQ3" s="7">
        <f>CHOOSE(MATCH(Setup!$B$5,{8,10,12,14,16},0)+(MATCH(Setup!$B$7,{"STD","Half-PPR","PPR"},0)-1)*5,DM3,DO3,DQ3,DS3,DU3,DW3,DY3,EA3,EC3,EE3,EG3,EI3,EK3,EM3,EO3)</f>
        <v>1</v>
      </c>
      <c r="ER3" s="7">
        <f>CHOOSE(MATCH(Setup!$B$5,{8,10,12,14,16},0)+(MATCH(Setup!$B$7,{"STD","Half-PPR","PPR"},0)-1)*5,DN3,DP3,DR3,DT3,DV3,DX3,DZ3,EB3,ED3,EF3,EH3,EJ3,EL3,EN3,EP3)</f>
        <v>83.876000000000005</v>
      </c>
      <c r="ES3" s="7">
        <f>ROUND(1+ER3*'Live Calc'!$D$12,0)</f>
        <v>28</v>
      </c>
      <c r="ET3" s="7"/>
      <c r="EU3" s="7">
        <f>IF(ET3&lt;&gt;"",ET3,ROUND(ES3*INDEX('Live Calc'!$D$74:$D$85,MATCH(EQ3,'Live Calc'!$A$74:$A$85,0))*'Live Calc'!$J$89,0))</f>
        <v>28</v>
      </c>
    </row>
    <row r="4" spans="1:151" x14ac:dyDescent="0.25">
      <c r="A4" s="4" t="s">
        <v>61</v>
      </c>
      <c r="B4" s="4" t="s">
        <v>62</v>
      </c>
      <c r="C4" s="4">
        <v>3</v>
      </c>
      <c r="D4" s="4">
        <v>33.744199999999999</v>
      </c>
      <c r="E4" s="4">
        <v>3</v>
      </c>
      <c r="F4" s="4">
        <v>70.192099999999996</v>
      </c>
      <c r="G4" s="4">
        <v>3</v>
      </c>
      <c r="H4" s="4">
        <v>74.471299999999999</v>
      </c>
      <c r="I4" s="4">
        <v>3</v>
      </c>
      <c r="J4" s="4">
        <v>66.941999999999993</v>
      </c>
      <c r="K4" s="4">
        <v>3</v>
      </c>
      <c r="L4" s="4">
        <v>45.68</v>
      </c>
      <c r="M4" s="4">
        <v>3</v>
      </c>
      <c r="N4" s="4">
        <v>30.325299999999999</v>
      </c>
      <c r="O4" s="4">
        <v>3</v>
      </c>
      <c r="P4" s="4">
        <v>17.796900000000001</v>
      </c>
      <c r="Q4" s="4">
        <v>3</v>
      </c>
      <c r="R4" s="4">
        <v>49.252800000000001</v>
      </c>
      <c r="S4" s="4">
        <v>3</v>
      </c>
      <c r="T4" s="4">
        <v>74.471299999999999</v>
      </c>
      <c r="U4" s="4">
        <v>3</v>
      </c>
      <c r="V4" s="4">
        <v>51.192599999999999</v>
      </c>
      <c r="W4" s="4">
        <v>3</v>
      </c>
      <c r="X4" s="4">
        <v>24.506</v>
      </c>
      <c r="Y4" s="4">
        <v>3</v>
      </c>
      <c r="Z4" s="4">
        <v>41.2575</v>
      </c>
      <c r="AA4" s="4">
        <v>3</v>
      </c>
      <c r="AB4" s="4">
        <v>81.037300000000002</v>
      </c>
      <c r="AC4" s="4">
        <v>3</v>
      </c>
      <c r="AD4" s="4">
        <v>200.6294</v>
      </c>
      <c r="AE4" s="4">
        <v>3</v>
      </c>
      <c r="AF4" s="4">
        <v>88.752399999999994</v>
      </c>
      <c r="AG4" s="4">
        <f>CHOOSE(MATCH(Setup!$B$5,{8,10,12,14,16},0)+(MATCH(Setup!$B$7,{"STD","Half-PPR","PPR"},0)-1)*5,C4,E4,G4,I4,K4,M4,O4,Q4,S4,U4,W4,Y4,AA4,AC4,AE4)</f>
        <v>3</v>
      </c>
      <c r="AH4" s="4">
        <f>CHOOSE(MATCH(Setup!$B$5,{8,10,12,14,16},0)+(MATCH(Setup!$B$7,{"STD","Half-PPR","PPR"},0)-1)*5,D4,F4,H4,J4,L4,N4,P4,R4,T4,V4,X4,Z4,AB4,AD4,AF4)</f>
        <v>49.252800000000001</v>
      </c>
      <c r="AI4" s="4">
        <f>ROUND(1+AH4*'Live Calc'!$D$9,0)</f>
        <v>15</v>
      </c>
      <c r="AJ4" s="4"/>
      <c r="AK4" s="4">
        <f>IF(AJ4&lt;&gt;"",AJ4,ROUND(AI4*INDEX('Live Calc'!$D$16:$D$25,MATCH(AG4,'Live Calc'!$A$16:$A$25,0))*'Live Calc'!$J$89,0))</f>
        <v>15</v>
      </c>
      <c r="AM4" s="5" t="s">
        <v>63</v>
      </c>
      <c r="AN4" s="5" t="s">
        <v>64</v>
      </c>
      <c r="AO4" s="5">
        <v>1</v>
      </c>
      <c r="AP4" s="5">
        <v>117.244</v>
      </c>
      <c r="AQ4" s="5">
        <v>1</v>
      </c>
      <c r="AR4" s="5">
        <v>289.75580000000002</v>
      </c>
      <c r="AS4" s="5">
        <v>1</v>
      </c>
      <c r="AT4" s="5">
        <v>787.86739999999998</v>
      </c>
      <c r="AU4" s="5">
        <v>1</v>
      </c>
      <c r="AV4" s="5">
        <v>297.86619999999999</v>
      </c>
      <c r="AW4" s="5">
        <v>1</v>
      </c>
      <c r="AX4" s="5">
        <v>425.60469999999998</v>
      </c>
      <c r="AY4" s="5">
        <v>2</v>
      </c>
      <c r="AZ4" s="5">
        <v>283.4101</v>
      </c>
      <c r="BA4" s="5">
        <v>2</v>
      </c>
      <c r="BB4" s="5">
        <v>190.3733</v>
      </c>
      <c r="BC4" s="5">
        <v>2</v>
      </c>
      <c r="BD4" s="5">
        <v>519.92750000000001</v>
      </c>
      <c r="BE4" s="5">
        <v>2</v>
      </c>
      <c r="BF4" s="5">
        <v>603.33330000000001</v>
      </c>
      <c r="BG4" s="5">
        <v>2</v>
      </c>
      <c r="BH4" s="5">
        <v>656.35360000000003</v>
      </c>
      <c r="BI4" s="5">
        <v>3</v>
      </c>
      <c r="BJ4" s="5">
        <v>277.06369999999998</v>
      </c>
      <c r="BK4" s="5">
        <v>3</v>
      </c>
      <c r="BL4" s="5">
        <v>188.9957</v>
      </c>
      <c r="BM4" s="5">
        <v>3</v>
      </c>
      <c r="BN4" s="5">
        <v>223.31569999999999</v>
      </c>
      <c r="BO4" s="5">
        <v>3</v>
      </c>
      <c r="BP4" s="5">
        <v>339.50130000000001</v>
      </c>
      <c r="BQ4" s="5">
        <v>3</v>
      </c>
      <c r="BR4" s="5">
        <v>372.15320000000003</v>
      </c>
      <c r="BS4" s="5">
        <f>CHOOSE(MATCH(Setup!$B$5,{8,10,12,14,16},0)+(MATCH(Setup!$B$7,{"STD","Half-PPR","PPR"},0)-1)*5,AO4,AQ4,AS4,AU4,AW4,AY4,BA4,BC4,BE4,BG4,BI4,BK4,BM4,BO4,BQ4)</f>
        <v>2</v>
      </c>
      <c r="BT4" s="5">
        <f>CHOOSE(MATCH(Setup!$B$5,{8,10,12,14,16},0)+(MATCH(Setup!$B$7,{"STD","Half-PPR","PPR"},0)-1)*5,AP4,AR4,AT4,AV4,AX4,AZ4,BB4,BD4,BF4,BH4,BJ4,BL4,BN4,BP4,BR4)</f>
        <v>519.92750000000001</v>
      </c>
      <c r="BU4" s="5">
        <f>ROUND(1+BT4*'Live Calc'!$D$10,0)</f>
        <v>49</v>
      </c>
      <c r="BV4" s="5"/>
      <c r="BW4" s="5">
        <f>IF(BV4&lt;&gt;"",BV4,ROUND(BU4*INDEX('Live Calc'!$D$29:$D$46,MATCH(BS4,'Live Calc'!$A$29:$A$46,0))*'Live Calc'!$J$89,0))</f>
        <v>49</v>
      </c>
      <c r="BY4" s="6" t="s">
        <v>65</v>
      </c>
      <c r="BZ4" s="6" t="s">
        <v>66</v>
      </c>
      <c r="CA4" s="6">
        <v>1</v>
      </c>
      <c r="CB4" s="6">
        <v>111.49850000000001</v>
      </c>
      <c r="CC4" s="6">
        <v>1</v>
      </c>
      <c r="CD4" s="6">
        <v>171.23339999999999</v>
      </c>
      <c r="CE4" s="6">
        <v>1</v>
      </c>
      <c r="CF4" s="6">
        <v>330.39100000000002</v>
      </c>
      <c r="CG4" s="6">
        <v>1</v>
      </c>
      <c r="CH4" s="6">
        <v>210.51130000000001</v>
      </c>
      <c r="CI4" s="6">
        <v>1</v>
      </c>
      <c r="CJ4" s="6">
        <v>230.87739999999999</v>
      </c>
      <c r="CK4" s="6">
        <v>2</v>
      </c>
      <c r="CL4" s="6">
        <v>243.4588</v>
      </c>
      <c r="CM4" s="6">
        <v>2</v>
      </c>
      <c r="CN4" s="6">
        <v>497.14249999999998</v>
      </c>
      <c r="CO4" s="6">
        <v>2</v>
      </c>
      <c r="CP4" s="6">
        <v>432.91800000000001</v>
      </c>
      <c r="CQ4" s="6">
        <v>1</v>
      </c>
      <c r="CR4" s="6">
        <v>271.08249999999998</v>
      </c>
      <c r="CS4" s="6">
        <v>2</v>
      </c>
      <c r="CT4" s="6">
        <v>391.78930000000003</v>
      </c>
      <c r="CU4" s="6">
        <v>2</v>
      </c>
      <c r="CV4" s="6">
        <v>287.09789999999998</v>
      </c>
      <c r="CW4" s="6">
        <v>2</v>
      </c>
      <c r="CX4" s="6">
        <v>198.19749999999999</v>
      </c>
      <c r="CY4" s="6">
        <v>2</v>
      </c>
      <c r="CZ4" s="6">
        <v>691.90390000000002</v>
      </c>
      <c r="DA4" s="6">
        <v>2</v>
      </c>
      <c r="DB4" s="6">
        <v>433.51170000000002</v>
      </c>
      <c r="DC4" s="6">
        <v>2</v>
      </c>
      <c r="DD4" s="6">
        <v>353.334</v>
      </c>
      <c r="DE4" s="6">
        <f>CHOOSE(MATCH(Setup!$B$5,{8,10,12,14,16},0)+(MATCH(Setup!$B$7,{"STD","Half-PPR","PPR"},0)-1)*5,CA4,CC4,CE4,CG4,CI4,CK4,CM4,CO4,CQ4,CS4,CU4,CW4,CY4,DA4,DC4)</f>
        <v>2</v>
      </c>
      <c r="DF4" s="6">
        <f>CHOOSE(MATCH(Setup!$B$5,{8,10,12,14,16},0)+(MATCH(Setup!$B$7,{"STD","Half-PPR","PPR"},0)-1)*5,CB4,CD4,CF4,CH4,CJ4,CL4,CN4,CP4,CR4,CT4,CV4,CX4,CZ4,DB4,DD4)</f>
        <v>432.91800000000001</v>
      </c>
      <c r="DG4" s="6">
        <f>ROUND(1+DF4*'Live Calc'!$D$11,0)</f>
        <v>46</v>
      </c>
      <c r="DH4" s="6"/>
      <c r="DI4" s="6">
        <f>IF(DH4&lt;&gt;"",DH4,ROUND(DG4*INDEX('Live Calc'!$D$50:$D$70,MATCH(DE4,'Live Calc'!$A$50:$A$70,0))*'Live Calc'!$J$89,0))</f>
        <v>46</v>
      </c>
      <c r="DK4" s="7" t="s">
        <v>67</v>
      </c>
      <c r="DL4" s="7" t="s">
        <v>68</v>
      </c>
      <c r="DM4" s="7">
        <v>2</v>
      </c>
      <c r="DN4" s="7">
        <v>26.504799999999999</v>
      </c>
      <c r="DO4" s="7">
        <v>2</v>
      </c>
      <c r="DP4" s="7">
        <v>31.042200000000001</v>
      </c>
      <c r="DQ4" s="7">
        <v>2</v>
      </c>
      <c r="DR4" s="7">
        <v>36.573999999999998</v>
      </c>
      <c r="DS4" s="7">
        <v>2</v>
      </c>
      <c r="DT4" s="7">
        <v>41.009799999999998</v>
      </c>
      <c r="DU4" s="7">
        <v>2</v>
      </c>
      <c r="DV4" s="7">
        <v>27.752400000000002</v>
      </c>
      <c r="DW4" s="7">
        <v>2</v>
      </c>
      <c r="DX4" s="7">
        <v>27.9587</v>
      </c>
      <c r="DY4" s="7">
        <v>2</v>
      </c>
      <c r="DZ4" s="7">
        <v>26.3872</v>
      </c>
      <c r="EA4" s="7">
        <v>2</v>
      </c>
      <c r="EB4" s="7">
        <v>60.731999999999999</v>
      </c>
      <c r="EC4" s="7">
        <v>2</v>
      </c>
      <c r="ED4" s="7">
        <v>43.267899999999997</v>
      </c>
      <c r="EE4" s="7">
        <v>2</v>
      </c>
      <c r="EF4" s="7">
        <v>47.988199999999999</v>
      </c>
      <c r="EG4" s="7">
        <v>2</v>
      </c>
      <c r="EH4" s="7">
        <v>50.802</v>
      </c>
      <c r="EI4" s="7">
        <v>2</v>
      </c>
      <c r="EJ4" s="7">
        <v>40.7714</v>
      </c>
      <c r="EK4" s="7">
        <v>2</v>
      </c>
      <c r="EL4" s="7">
        <v>37.747</v>
      </c>
      <c r="EM4" s="7">
        <v>2</v>
      </c>
      <c r="EN4" s="7">
        <v>42.5488</v>
      </c>
      <c r="EO4" s="7">
        <v>2</v>
      </c>
      <c r="EP4" s="7">
        <v>46.484999999999999</v>
      </c>
      <c r="EQ4" s="7">
        <f>CHOOSE(MATCH(Setup!$B$5,{8,10,12,14,16},0)+(MATCH(Setup!$B$7,{"STD","Half-PPR","PPR"},0)-1)*5,DM4,DO4,DQ4,DS4,DU4,DW4,DY4,EA4,EC4,EE4,EG4,EI4,EK4,EM4,EO4)</f>
        <v>2</v>
      </c>
      <c r="ER4" s="7">
        <f>CHOOSE(MATCH(Setup!$B$5,{8,10,12,14,16},0)+(MATCH(Setup!$B$7,{"STD","Half-PPR","PPR"},0)-1)*5,DN4,DP4,DR4,DT4,DV4,DX4,DZ4,EB4,ED4,EF4,EH4,EJ4,EL4,EN4,EP4)</f>
        <v>60.731999999999999</v>
      </c>
      <c r="ES4" s="7">
        <f>ROUND(1+ER4*'Live Calc'!$D$12,0)</f>
        <v>20</v>
      </c>
      <c r="ET4" s="7"/>
      <c r="EU4" s="7">
        <f>IF(ET4&lt;&gt;"",ET4,ROUND(ES4*INDEX('Live Calc'!$D$74:$D$85,MATCH(EQ4,'Live Calc'!$A$74:$A$85,0))*'Live Calc'!$J$89,0))</f>
        <v>20</v>
      </c>
    </row>
    <row r="5" spans="1:151" x14ac:dyDescent="0.25">
      <c r="A5" s="4" t="s">
        <v>69</v>
      </c>
      <c r="B5" s="4" t="s">
        <v>70</v>
      </c>
      <c r="C5" s="4">
        <v>3</v>
      </c>
      <c r="D5" s="4">
        <v>32.184399999999997</v>
      </c>
      <c r="E5" s="4">
        <v>3</v>
      </c>
      <c r="F5" s="4">
        <v>67.6845</v>
      </c>
      <c r="G5" s="4">
        <v>3</v>
      </c>
      <c r="H5" s="4">
        <v>72.392799999999994</v>
      </c>
      <c r="I5" s="4">
        <v>3</v>
      </c>
      <c r="J5" s="4">
        <v>65.280299999999997</v>
      </c>
      <c r="K5" s="4">
        <v>3</v>
      </c>
      <c r="L5" s="4">
        <v>44.648000000000003</v>
      </c>
      <c r="M5" s="4">
        <v>3</v>
      </c>
      <c r="N5" s="4">
        <v>28.780899999999999</v>
      </c>
      <c r="O5" s="4">
        <v>3</v>
      </c>
      <c r="P5" s="4">
        <v>17.120999999999999</v>
      </c>
      <c r="Q5" s="4">
        <v>3</v>
      </c>
      <c r="R5" s="4">
        <v>47.6374</v>
      </c>
      <c r="S5" s="4">
        <v>3</v>
      </c>
      <c r="T5" s="4">
        <v>72.392799999999994</v>
      </c>
      <c r="U5" s="4">
        <v>3</v>
      </c>
      <c r="V5" s="4">
        <v>49.886400000000002</v>
      </c>
      <c r="W5" s="4">
        <v>3</v>
      </c>
      <c r="X5" s="4">
        <v>23.474</v>
      </c>
      <c r="Y5" s="4">
        <v>3</v>
      </c>
      <c r="Z5" s="4">
        <v>39.964799999999997</v>
      </c>
      <c r="AA5" s="4">
        <v>3</v>
      </c>
      <c r="AB5" s="4">
        <v>78.935500000000005</v>
      </c>
      <c r="AC5" s="4">
        <v>3</v>
      </c>
      <c r="AD5" s="4">
        <v>196.08160000000001</v>
      </c>
      <c r="AE5" s="4">
        <v>3</v>
      </c>
      <c r="AF5" s="4">
        <v>87.0471</v>
      </c>
      <c r="AG5" s="4">
        <f>CHOOSE(MATCH(Setup!$B$5,{8,10,12,14,16},0)+(MATCH(Setup!$B$7,{"STD","Half-PPR","PPR"},0)-1)*5,C5,E5,G5,I5,K5,M5,O5,Q5,S5,U5,W5,Y5,AA5,AC5,AE5)</f>
        <v>3</v>
      </c>
      <c r="AH5" s="4">
        <f>CHOOSE(MATCH(Setup!$B$5,{8,10,12,14,16},0)+(MATCH(Setup!$B$7,{"STD","Half-PPR","PPR"},0)-1)*5,D5,F5,H5,J5,L5,N5,P5,R5,T5,V5,X5,Z5,AB5,AD5,AF5)</f>
        <v>47.6374</v>
      </c>
      <c r="AI5" s="4">
        <f>ROUND(1+AH5*'Live Calc'!$D$9,0)</f>
        <v>15</v>
      </c>
      <c r="AJ5" s="4"/>
      <c r="AK5" s="4">
        <f>IF(AJ5&lt;&gt;"",AJ5,ROUND(AI5*INDEX('Live Calc'!$D$16:$D$25,MATCH(AG5,'Live Calc'!$A$16:$A$25,0))*'Live Calc'!$J$89,0))</f>
        <v>15</v>
      </c>
      <c r="AM5" s="5" t="s">
        <v>71</v>
      </c>
      <c r="AN5" s="5" t="s">
        <v>72</v>
      </c>
      <c r="AO5" s="5">
        <v>1</v>
      </c>
      <c r="AP5" s="5">
        <v>102.21</v>
      </c>
      <c r="AQ5" s="5">
        <v>1</v>
      </c>
      <c r="AR5" s="5">
        <v>253.8441</v>
      </c>
      <c r="AS5" s="5">
        <v>1</v>
      </c>
      <c r="AT5" s="5">
        <v>698.02700000000004</v>
      </c>
      <c r="AU5" s="5">
        <v>1</v>
      </c>
      <c r="AV5" s="5">
        <v>270.2296</v>
      </c>
      <c r="AW5" s="5">
        <v>1</v>
      </c>
      <c r="AX5" s="5">
        <v>387.75290000000001</v>
      </c>
      <c r="AY5" s="5">
        <v>2</v>
      </c>
      <c r="AZ5" s="5">
        <v>287.25189999999998</v>
      </c>
      <c r="BA5" s="5">
        <v>2</v>
      </c>
      <c r="BB5" s="5">
        <v>192.5282</v>
      </c>
      <c r="BC5" s="5">
        <v>2</v>
      </c>
      <c r="BD5" s="5">
        <v>525.36990000000003</v>
      </c>
      <c r="BE5" s="5">
        <v>2</v>
      </c>
      <c r="BF5" s="5">
        <v>608.91189999999995</v>
      </c>
      <c r="BG5" s="5">
        <v>2</v>
      </c>
      <c r="BH5" s="5">
        <v>662.01070000000004</v>
      </c>
      <c r="BI5" s="5">
        <v>2</v>
      </c>
      <c r="BJ5" s="5">
        <v>337.19909999999999</v>
      </c>
      <c r="BK5" s="5">
        <v>2</v>
      </c>
      <c r="BL5" s="5">
        <v>222.52510000000001</v>
      </c>
      <c r="BM5" s="5">
        <v>2</v>
      </c>
      <c r="BN5" s="5">
        <v>257.09370000000001</v>
      </c>
      <c r="BO5" s="5">
        <v>2</v>
      </c>
      <c r="BP5" s="5">
        <v>386.07709999999997</v>
      </c>
      <c r="BQ5" s="5">
        <v>2</v>
      </c>
      <c r="BR5" s="5">
        <v>419.09780000000001</v>
      </c>
      <c r="BS5" s="5">
        <f>CHOOSE(MATCH(Setup!$B$5,{8,10,12,14,16},0)+(MATCH(Setup!$B$7,{"STD","Half-PPR","PPR"},0)-1)*5,AO5,AQ5,AS5,AU5,AW5,AY5,BA5,BC5,BE5,BG5,BI5,BK5,BM5,BO5,BQ5)</f>
        <v>2</v>
      </c>
      <c r="BT5" s="5">
        <f>CHOOSE(MATCH(Setup!$B$5,{8,10,12,14,16},0)+(MATCH(Setup!$B$7,{"STD","Half-PPR","PPR"},0)-1)*5,AP5,AR5,AT5,AV5,AX5,AZ5,BB5,BD5,BF5,BH5,BJ5,BL5,BN5,BP5,BR5)</f>
        <v>525.36990000000003</v>
      </c>
      <c r="BU5" s="5">
        <f>ROUND(1+BT5*'Live Calc'!$D$10,0)</f>
        <v>50</v>
      </c>
      <c r="BV5" s="5"/>
      <c r="BW5" s="5">
        <f>IF(BV5&lt;&gt;"",BV5,ROUND(BU5*INDEX('Live Calc'!$D$29:$D$46,MATCH(BS5,'Live Calc'!$A$29:$A$46,0))*'Live Calc'!$J$89,0))</f>
        <v>50</v>
      </c>
      <c r="BY5" s="6" t="s">
        <v>73</v>
      </c>
      <c r="BZ5" s="6" t="s">
        <v>48</v>
      </c>
      <c r="CA5" s="6">
        <v>2</v>
      </c>
      <c r="CB5" s="6">
        <v>85.092600000000004</v>
      </c>
      <c r="CC5" s="6">
        <v>2</v>
      </c>
      <c r="CD5" s="6">
        <v>136.09569999999999</v>
      </c>
      <c r="CE5" s="6">
        <v>2</v>
      </c>
      <c r="CF5" s="6">
        <v>267.68029999999999</v>
      </c>
      <c r="CG5" s="6">
        <v>2</v>
      </c>
      <c r="CH5" s="6">
        <v>174.64250000000001</v>
      </c>
      <c r="CI5" s="6">
        <v>2</v>
      </c>
      <c r="CJ5" s="6">
        <v>194.68100000000001</v>
      </c>
      <c r="CK5" s="6">
        <v>2</v>
      </c>
      <c r="CL5" s="6">
        <v>222.92320000000001</v>
      </c>
      <c r="CM5" s="6">
        <v>2</v>
      </c>
      <c r="CN5" s="6">
        <v>459.48719999999997</v>
      </c>
      <c r="CO5" s="6">
        <v>2</v>
      </c>
      <c r="CP5" s="6">
        <v>404.13619999999997</v>
      </c>
      <c r="CQ5" s="6">
        <v>1</v>
      </c>
      <c r="CR5" s="6">
        <v>255.07239999999999</v>
      </c>
      <c r="CS5" s="6">
        <v>2</v>
      </c>
      <c r="CT5" s="6">
        <v>369.89620000000002</v>
      </c>
      <c r="CU5" s="6">
        <v>2</v>
      </c>
      <c r="CV5" s="6">
        <v>273.88080000000002</v>
      </c>
      <c r="CW5" s="6">
        <v>2</v>
      </c>
      <c r="CX5" s="6">
        <v>190.76159999999999</v>
      </c>
      <c r="CY5" s="6">
        <v>2</v>
      </c>
      <c r="CZ5" s="6">
        <v>666.52599999999995</v>
      </c>
      <c r="DA5" s="6">
        <v>2</v>
      </c>
      <c r="DB5" s="6">
        <v>419.55169999999998</v>
      </c>
      <c r="DC5" s="6">
        <v>2</v>
      </c>
      <c r="DD5" s="6">
        <v>343.01560000000001</v>
      </c>
      <c r="DE5" s="6">
        <f>CHOOSE(MATCH(Setup!$B$5,{8,10,12,14,16},0)+(MATCH(Setup!$B$7,{"STD","Half-PPR","PPR"},0)-1)*5,CA5,CC5,CE5,CG5,CI5,CK5,CM5,CO5,CQ5,CS5,CU5,CW5,CY5,DA5,DC5)</f>
        <v>2</v>
      </c>
      <c r="DF5" s="6">
        <f>CHOOSE(MATCH(Setup!$B$5,{8,10,12,14,16},0)+(MATCH(Setup!$B$7,{"STD","Half-PPR","PPR"},0)-1)*5,CB5,CD5,CF5,CH5,CJ5,CL5,CN5,CP5,CR5,CT5,CV5,CX5,CZ5,DB5,DD5)</f>
        <v>404.13619999999997</v>
      </c>
      <c r="DG5" s="6">
        <f>ROUND(1+DF5*'Live Calc'!$D$11,0)</f>
        <v>43</v>
      </c>
      <c r="DH5" s="6"/>
      <c r="DI5" s="6">
        <f>IF(DH5&lt;&gt;"",DH5,ROUND(DG5*INDEX('Live Calc'!$D$50:$D$70,MATCH(DE5,'Live Calc'!$A$50:$A$70,0))*'Live Calc'!$J$89,0))</f>
        <v>43</v>
      </c>
      <c r="DK5" s="7" t="s">
        <v>74</v>
      </c>
      <c r="DL5" s="7" t="s">
        <v>64</v>
      </c>
      <c r="DM5" s="7">
        <v>3</v>
      </c>
      <c r="DN5" s="7">
        <v>18.882200000000001</v>
      </c>
      <c r="DO5" s="7">
        <v>3</v>
      </c>
      <c r="DP5" s="7">
        <v>23.576000000000001</v>
      </c>
      <c r="DQ5" s="7">
        <v>3</v>
      </c>
      <c r="DR5" s="7">
        <v>29.262</v>
      </c>
      <c r="DS5" s="7">
        <v>3</v>
      </c>
      <c r="DT5" s="7">
        <v>33.801200000000001</v>
      </c>
      <c r="DU5" s="7">
        <v>3</v>
      </c>
      <c r="DV5" s="7">
        <v>23.493099999999998</v>
      </c>
      <c r="DW5" s="7">
        <v>3</v>
      </c>
      <c r="DX5" s="7">
        <v>23.218399999999999</v>
      </c>
      <c r="DY5" s="7">
        <v>3</v>
      </c>
      <c r="DZ5" s="7">
        <v>22.739000000000001</v>
      </c>
      <c r="EA5" s="7">
        <v>3</v>
      </c>
      <c r="EB5" s="7">
        <v>53.182000000000002</v>
      </c>
      <c r="EC5" s="7">
        <v>3</v>
      </c>
      <c r="ED5" s="7">
        <v>38.770200000000003</v>
      </c>
      <c r="EE5" s="7">
        <v>3</v>
      </c>
      <c r="EF5" s="7">
        <v>43.544899999999998</v>
      </c>
      <c r="EG5" s="7">
        <v>2</v>
      </c>
      <c r="EH5" s="7">
        <v>45.591999999999999</v>
      </c>
      <c r="EI5" s="7">
        <v>2</v>
      </c>
      <c r="EJ5" s="7">
        <v>37.652200000000001</v>
      </c>
      <c r="EK5" s="7">
        <v>2</v>
      </c>
      <c r="EL5" s="7">
        <v>35.400500000000001</v>
      </c>
      <c r="EM5" s="7">
        <v>2</v>
      </c>
      <c r="EN5" s="7">
        <v>40.253100000000003</v>
      </c>
      <c r="EO5" s="7">
        <v>2</v>
      </c>
      <c r="EP5" s="7">
        <v>44.225999999999999</v>
      </c>
      <c r="EQ5" s="7">
        <f>CHOOSE(MATCH(Setup!$B$5,{8,10,12,14,16},0)+(MATCH(Setup!$B$7,{"STD","Half-PPR","PPR"},0)-1)*5,DM5,DO5,DQ5,DS5,DU5,DW5,DY5,EA5,EC5,EE5,EG5,EI5,EK5,EM5,EO5)</f>
        <v>3</v>
      </c>
      <c r="ER5" s="7">
        <f>CHOOSE(MATCH(Setup!$B$5,{8,10,12,14,16},0)+(MATCH(Setup!$B$7,{"STD","Half-PPR","PPR"},0)-1)*5,DN5,DP5,DR5,DT5,DV5,DX5,DZ5,EB5,ED5,EF5,EH5,EJ5,EL5,EN5,EP5)</f>
        <v>53.182000000000002</v>
      </c>
      <c r="ES5" s="7">
        <f>ROUND(1+ER5*'Live Calc'!$D$12,0)</f>
        <v>18</v>
      </c>
      <c r="ET5" s="7"/>
      <c r="EU5" s="7">
        <f>IF(ET5&lt;&gt;"",ET5,ROUND(ES5*INDEX('Live Calc'!$D$74:$D$85,MATCH(EQ5,'Live Calc'!$A$74:$A$85,0))*'Live Calc'!$J$89,0))</f>
        <v>18</v>
      </c>
    </row>
    <row r="6" spans="1:151" x14ac:dyDescent="0.25">
      <c r="A6" s="4" t="s">
        <v>75</v>
      </c>
      <c r="B6" s="4" t="s">
        <v>76</v>
      </c>
      <c r="C6" s="4">
        <v>3</v>
      </c>
      <c r="D6" s="4">
        <v>29.597100000000001</v>
      </c>
      <c r="E6" s="4">
        <v>3</v>
      </c>
      <c r="F6" s="4">
        <v>63.534700000000001</v>
      </c>
      <c r="G6" s="4">
        <v>3</v>
      </c>
      <c r="H6" s="4">
        <v>68.941900000000004</v>
      </c>
      <c r="I6" s="4">
        <v>3</v>
      </c>
      <c r="J6" s="4">
        <v>62.516199999999998</v>
      </c>
      <c r="K6" s="4">
        <v>3</v>
      </c>
      <c r="L6" s="4">
        <v>42.926000000000002</v>
      </c>
      <c r="M6" s="4">
        <v>3</v>
      </c>
      <c r="N6" s="4">
        <v>26.220800000000001</v>
      </c>
      <c r="O6" s="4">
        <v>3</v>
      </c>
      <c r="P6" s="4">
        <v>15.9863</v>
      </c>
      <c r="Q6" s="4">
        <v>3</v>
      </c>
      <c r="R6" s="4">
        <v>44.953099999999999</v>
      </c>
      <c r="S6" s="4">
        <v>3</v>
      </c>
      <c r="T6" s="4">
        <v>68.941900000000004</v>
      </c>
      <c r="U6" s="4">
        <v>3</v>
      </c>
      <c r="V6" s="4">
        <v>47.710599999999999</v>
      </c>
      <c r="W6" s="4">
        <v>3</v>
      </c>
      <c r="X6" s="4">
        <v>21.751999999999999</v>
      </c>
      <c r="Y6" s="4">
        <v>3</v>
      </c>
      <c r="Z6" s="4">
        <v>37.812399999999997</v>
      </c>
      <c r="AA6" s="4">
        <v>3</v>
      </c>
      <c r="AB6" s="4">
        <v>75.444699999999997</v>
      </c>
      <c r="AC6" s="4">
        <v>3</v>
      </c>
      <c r="AD6" s="4">
        <v>188.5472</v>
      </c>
      <c r="AE6" s="4">
        <v>3</v>
      </c>
      <c r="AF6" s="4">
        <v>84.208399999999997</v>
      </c>
      <c r="AG6" s="4">
        <f>CHOOSE(MATCH(Setup!$B$5,{8,10,12,14,16},0)+(MATCH(Setup!$B$7,{"STD","Half-PPR","PPR"},0)-1)*5,C6,E6,G6,I6,K6,M6,O6,Q6,S6,U6,W6,Y6,AA6,AC6,AE6)</f>
        <v>3</v>
      </c>
      <c r="AH6" s="4">
        <f>CHOOSE(MATCH(Setup!$B$5,{8,10,12,14,16},0)+(MATCH(Setup!$B$7,{"STD","Half-PPR","PPR"},0)-1)*5,D6,F6,H6,J6,L6,N6,P6,R6,T6,V6,X6,Z6,AB6,AD6,AF6)</f>
        <v>44.953099999999999</v>
      </c>
      <c r="AI6" s="4">
        <f>ROUND(1+AH6*'Live Calc'!$D$9,0)</f>
        <v>14</v>
      </c>
      <c r="AJ6" s="4"/>
      <c r="AK6" s="4">
        <f>IF(AJ6&lt;&gt;"",AJ6,ROUND(AI6*INDEX('Live Calc'!$D$16:$D$25,MATCH(AG6,'Live Calc'!$A$16:$A$25,0))*'Live Calc'!$J$89,0))</f>
        <v>14</v>
      </c>
      <c r="AM6" s="5" t="s">
        <v>77</v>
      </c>
      <c r="AN6" s="5" t="s">
        <v>46</v>
      </c>
      <c r="AO6" s="5">
        <v>1</v>
      </c>
      <c r="AP6" s="5">
        <v>96.95</v>
      </c>
      <c r="AQ6" s="5">
        <v>1</v>
      </c>
      <c r="AR6" s="5">
        <v>241.43</v>
      </c>
      <c r="AS6" s="5">
        <v>1</v>
      </c>
      <c r="AT6" s="5">
        <v>667.19809999999995</v>
      </c>
      <c r="AU6" s="5">
        <v>1</v>
      </c>
      <c r="AV6" s="5">
        <v>260.61930000000001</v>
      </c>
      <c r="AW6" s="5">
        <v>1</v>
      </c>
      <c r="AX6" s="5">
        <v>374.62029999999999</v>
      </c>
      <c r="AY6" s="5">
        <v>3</v>
      </c>
      <c r="AZ6" s="5">
        <v>203.1283</v>
      </c>
      <c r="BA6" s="5">
        <v>3</v>
      </c>
      <c r="BB6" s="5">
        <v>144.66309999999999</v>
      </c>
      <c r="BC6" s="5">
        <v>3</v>
      </c>
      <c r="BD6" s="5">
        <v>406.1078</v>
      </c>
      <c r="BE6" s="5">
        <v>3</v>
      </c>
      <c r="BF6" s="5">
        <v>486.37040000000002</v>
      </c>
      <c r="BG6" s="5">
        <v>3</v>
      </c>
      <c r="BH6" s="5">
        <v>537.58979999999997</v>
      </c>
      <c r="BI6" s="5">
        <v>5</v>
      </c>
      <c r="BJ6" s="5">
        <v>187.68729999999999</v>
      </c>
      <c r="BK6" s="5">
        <v>5</v>
      </c>
      <c r="BL6" s="5">
        <v>137.8526</v>
      </c>
      <c r="BM6" s="5">
        <v>5</v>
      </c>
      <c r="BN6" s="5">
        <v>171.70590000000001</v>
      </c>
      <c r="BO6" s="5">
        <v>5</v>
      </c>
      <c r="BP6" s="5">
        <v>268.81709999999998</v>
      </c>
      <c r="BQ6" s="5">
        <v>5</v>
      </c>
      <c r="BR6" s="5">
        <v>300.8143</v>
      </c>
      <c r="BS6" s="5">
        <f>CHOOSE(MATCH(Setup!$B$5,{8,10,12,14,16},0)+(MATCH(Setup!$B$7,{"STD","Half-PPR","PPR"},0)-1)*5,AO6,AQ6,AS6,AU6,AW6,AY6,BA6,BC6,BE6,BG6,BI6,BK6,BM6,BO6,BQ6)</f>
        <v>3</v>
      </c>
      <c r="BT6" s="5">
        <f>CHOOSE(MATCH(Setup!$B$5,{8,10,12,14,16},0)+(MATCH(Setup!$B$7,{"STD","Half-PPR","PPR"},0)-1)*5,AP6,AR6,AT6,AV6,AX6,AZ6,BB6,BD6,BF6,BH6,BJ6,BL6,BN6,BP6,BR6)</f>
        <v>406.1078</v>
      </c>
      <c r="BU6" s="5">
        <f>ROUND(1+BT6*'Live Calc'!$D$10,0)</f>
        <v>39</v>
      </c>
      <c r="BV6" s="5"/>
      <c r="BW6" s="5">
        <f>IF(BV6&lt;&gt;"",BV6,ROUND(BU6*INDEX('Live Calc'!$D$29:$D$46,MATCH(BS6,'Live Calc'!$A$29:$A$46,0))*'Live Calc'!$J$89,0))</f>
        <v>39</v>
      </c>
      <c r="BY6" s="6" t="s">
        <v>78</v>
      </c>
      <c r="BZ6" s="6" t="s">
        <v>79</v>
      </c>
      <c r="CA6" s="6">
        <v>2</v>
      </c>
      <c r="CB6" s="6">
        <v>79.680300000000003</v>
      </c>
      <c r="CC6" s="6">
        <v>2</v>
      </c>
      <c r="CD6" s="6">
        <v>128.92949999999999</v>
      </c>
      <c r="CE6" s="6">
        <v>2</v>
      </c>
      <c r="CF6" s="6">
        <v>255.0035</v>
      </c>
      <c r="CG6" s="6">
        <v>2</v>
      </c>
      <c r="CH6" s="6">
        <v>167.3083</v>
      </c>
      <c r="CI6" s="6">
        <v>2</v>
      </c>
      <c r="CJ6" s="6">
        <v>187.27269999999999</v>
      </c>
      <c r="CK6" s="6">
        <v>3</v>
      </c>
      <c r="CL6" s="6">
        <v>156.74780000000001</v>
      </c>
      <c r="CM6" s="6">
        <v>3</v>
      </c>
      <c r="CN6" s="6">
        <v>339.27809999999999</v>
      </c>
      <c r="CO6" s="6">
        <v>3</v>
      </c>
      <c r="CP6" s="6">
        <v>311.30799999999999</v>
      </c>
      <c r="CQ6" s="6">
        <v>2</v>
      </c>
      <c r="CR6" s="6">
        <v>202.7176</v>
      </c>
      <c r="CS6" s="6">
        <v>3</v>
      </c>
      <c r="CT6" s="6">
        <v>298.6191</v>
      </c>
      <c r="CU6" s="6">
        <v>3</v>
      </c>
      <c r="CV6" s="6">
        <v>186.29939999999999</v>
      </c>
      <c r="CW6" s="6">
        <v>3</v>
      </c>
      <c r="CX6" s="6">
        <v>140.5489</v>
      </c>
      <c r="CY6" s="6">
        <v>3</v>
      </c>
      <c r="CZ6" s="6">
        <v>499.15109999999999</v>
      </c>
      <c r="DA6" s="6">
        <v>3</v>
      </c>
      <c r="DB6" s="6">
        <v>326.2296</v>
      </c>
      <c r="DC6" s="6">
        <v>3</v>
      </c>
      <c r="DD6" s="6">
        <v>273.57670000000002</v>
      </c>
      <c r="DE6" s="6">
        <f>CHOOSE(MATCH(Setup!$B$5,{8,10,12,14,16},0)+(MATCH(Setup!$B$7,{"STD","Half-PPR","PPR"},0)-1)*5,CA6,CC6,CE6,CG6,CI6,CK6,CM6,CO6,CQ6,CS6,CU6,CW6,CY6,DA6,DC6)</f>
        <v>3</v>
      </c>
      <c r="DF6" s="6">
        <f>CHOOSE(MATCH(Setup!$B$5,{8,10,12,14,16},0)+(MATCH(Setup!$B$7,{"STD","Half-PPR","PPR"},0)-1)*5,CB6,CD6,CF6,CH6,CJ6,CL6,CN6,CP6,CR6,CT6,CV6,CX6,CZ6,DB6,DD6)</f>
        <v>311.30799999999999</v>
      </c>
      <c r="DG6" s="6">
        <f>ROUND(1+DF6*'Live Calc'!$D$11,0)</f>
        <v>34</v>
      </c>
      <c r="DH6" s="6"/>
      <c r="DI6" s="6">
        <f>IF(DH6&lt;&gt;"",DH6,ROUND(DG6*INDEX('Live Calc'!$D$50:$D$70,MATCH(DE6,'Live Calc'!$A$50:$A$70,0))*'Live Calc'!$J$89,0))</f>
        <v>34</v>
      </c>
      <c r="DK6" s="7" t="s">
        <v>80</v>
      </c>
      <c r="DL6" s="7" t="s">
        <v>81</v>
      </c>
      <c r="DM6" s="7">
        <v>4</v>
      </c>
      <c r="DN6" s="7">
        <v>14.4406</v>
      </c>
      <c r="DO6" s="7">
        <v>4</v>
      </c>
      <c r="DP6" s="7">
        <v>19.257100000000001</v>
      </c>
      <c r="DQ6" s="7">
        <v>4</v>
      </c>
      <c r="DR6" s="7">
        <v>25.055900000000001</v>
      </c>
      <c r="DS6" s="7">
        <v>4</v>
      </c>
      <c r="DT6" s="7">
        <v>29.667400000000001</v>
      </c>
      <c r="DU6" s="7">
        <v>4</v>
      </c>
      <c r="DV6" s="7">
        <v>21.008700000000001</v>
      </c>
      <c r="DW6" s="7">
        <v>4</v>
      </c>
      <c r="DX6" s="7">
        <v>14.416499999999999</v>
      </c>
      <c r="DY6" s="7">
        <v>4</v>
      </c>
      <c r="DZ6" s="7">
        <v>15.9102</v>
      </c>
      <c r="EA6" s="7">
        <v>4</v>
      </c>
      <c r="EB6" s="7">
        <v>39.643999999999998</v>
      </c>
      <c r="EC6" s="7">
        <v>4</v>
      </c>
      <c r="ED6" s="7">
        <v>30.551500000000001</v>
      </c>
      <c r="EE6" s="7">
        <v>4</v>
      </c>
      <c r="EF6" s="7">
        <v>35.445</v>
      </c>
      <c r="EG6" s="7">
        <v>3</v>
      </c>
      <c r="EH6" s="7">
        <v>29.021999999999998</v>
      </c>
      <c r="EI6" s="7">
        <v>3</v>
      </c>
      <c r="EJ6" s="7">
        <v>27.521899999999999</v>
      </c>
      <c r="EK6" s="7">
        <v>3</v>
      </c>
      <c r="EL6" s="7">
        <v>27.738900000000001</v>
      </c>
      <c r="EM6" s="7">
        <v>3</v>
      </c>
      <c r="EN6" s="7">
        <v>32.786700000000003</v>
      </c>
      <c r="EO6" s="7">
        <v>3</v>
      </c>
      <c r="EP6" s="7">
        <v>36.896999999999998</v>
      </c>
      <c r="EQ6" s="7">
        <f>CHOOSE(MATCH(Setup!$B$5,{8,10,12,14,16},0)+(MATCH(Setup!$B$7,{"STD","Half-PPR","PPR"},0)-1)*5,DM6,DO6,DQ6,DS6,DU6,DW6,DY6,EA6,EC6,EE6,EG6,EI6,EK6,EM6,EO6)</f>
        <v>4</v>
      </c>
      <c r="ER6" s="7">
        <f>CHOOSE(MATCH(Setup!$B$5,{8,10,12,14,16},0)+(MATCH(Setup!$B$7,{"STD","Half-PPR","PPR"},0)-1)*5,DN6,DP6,DR6,DT6,DV6,DX6,DZ6,EB6,ED6,EF6,EH6,EJ6,EL6,EN6,EP6)</f>
        <v>39.643999999999998</v>
      </c>
      <c r="ES6" s="7">
        <f>ROUND(1+ER6*'Live Calc'!$D$12,0)</f>
        <v>14</v>
      </c>
      <c r="ET6" s="7"/>
      <c r="EU6" s="7">
        <f>IF(ET6&lt;&gt;"",ET6,ROUND(ES6*INDEX('Live Calc'!$D$74:$D$85,MATCH(EQ6,'Live Calc'!$A$74:$A$85,0))*'Live Calc'!$J$89,0))</f>
        <v>14</v>
      </c>
    </row>
    <row r="7" spans="1:151" x14ac:dyDescent="0.25">
      <c r="A7" s="4" t="s">
        <v>82</v>
      </c>
      <c r="B7" s="4" t="s">
        <v>58</v>
      </c>
      <c r="C7" s="4">
        <v>3</v>
      </c>
      <c r="D7" s="4">
        <v>27.404499999999999</v>
      </c>
      <c r="E7" s="4">
        <v>3</v>
      </c>
      <c r="F7" s="4">
        <v>60.027500000000003</v>
      </c>
      <c r="G7" s="4">
        <v>3</v>
      </c>
      <c r="H7" s="4">
        <v>66.0137</v>
      </c>
      <c r="I7" s="4">
        <v>3</v>
      </c>
      <c r="J7" s="4">
        <v>60.165300000000002</v>
      </c>
      <c r="K7" s="4">
        <v>3</v>
      </c>
      <c r="L7" s="4">
        <v>41.456000000000003</v>
      </c>
      <c r="M7" s="4">
        <v>3</v>
      </c>
      <c r="N7" s="4">
        <v>24.053100000000001</v>
      </c>
      <c r="O7" s="4">
        <v>3</v>
      </c>
      <c r="P7" s="4">
        <v>15.0107</v>
      </c>
      <c r="Q7" s="4">
        <v>3</v>
      </c>
      <c r="R7" s="4">
        <v>42.673099999999998</v>
      </c>
      <c r="S7" s="4">
        <v>3</v>
      </c>
      <c r="T7" s="4">
        <v>66.0137</v>
      </c>
      <c r="U7" s="4">
        <v>3</v>
      </c>
      <c r="V7" s="4">
        <v>45.856999999999999</v>
      </c>
      <c r="W7" s="4">
        <v>3</v>
      </c>
      <c r="X7" s="4">
        <v>20.282</v>
      </c>
      <c r="Y7" s="4">
        <v>3</v>
      </c>
      <c r="Z7" s="4">
        <v>35.979599999999998</v>
      </c>
      <c r="AA7" s="4">
        <v>3</v>
      </c>
      <c r="AB7" s="4">
        <v>72.481200000000001</v>
      </c>
      <c r="AC7" s="4">
        <v>3</v>
      </c>
      <c r="AD7" s="4">
        <v>182.16990000000001</v>
      </c>
      <c r="AE7" s="4">
        <v>3</v>
      </c>
      <c r="AF7" s="4">
        <v>81.792000000000002</v>
      </c>
      <c r="AG7" s="4">
        <f>CHOOSE(MATCH(Setup!$B$5,{8,10,12,14,16},0)+(MATCH(Setup!$B$7,{"STD","Half-PPR","PPR"},0)-1)*5,C7,E7,G7,I7,K7,M7,O7,Q7,S7,U7,W7,Y7,AA7,AC7,AE7)</f>
        <v>3</v>
      </c>
      <c r="AH7" s="4">
        <f>CHOOSE(MATCH(Setup!$B$5,{8,10,12,14,16},0)+(MATCH(Setup!$B$7,{"STD","Half-PPR","PPR"},0)-1)*5,D7,F7,H7,J7,L7,N7,P7,R7,T7,V7,X7,Z7,AB7,AD7,AF7)</f>
        <v>42.673099999999998</v>
      </c>
      <c r="AI7" s="4">
        <f>ROUND(1+AH7*'Live Calc'!$D$9,0)</f>
        <v>13</v>
      </c>
      <c r="AJ7" s="4"/>
      <c r="AK7" s="4">
        <f>IF(AJ7&lt;&gt;"",AJ7,ROUND(AI7*INDEX('Live Calc'!$D$16:$D$25,MATCH(AG7,'Live Calc'!$A$16:$A$25,0))*'Live Calc'!$J$89,0))</f>
        <v>13</v>
      </c>
      <c r="AM7" s="5" t="s">
        <v>83</v>
      </c>
      <c r="AN7" s="5" t="s">
        <v>54</v>
      </c>
      <c r="AO7" s="5">
        <v>1</v>
      </c>
      <c r="AP7" s="5">
        <v>86.994</v>
      </c>
      <c r="AQ7" s="5">
        <v>1</v>
      </c>
      <c r="AR7" s="5">
        <v>218.16220000000001</v>
      </c>
      <c r="AS7" s="5">
        <v>1</v>
      </c>
      <c r="AT7" s="5">
        <v>609.7432</v>
      </c>
      <c r="AU7" s="5">
        <v>1</v>
      </c>
      <c r="AV7" s="5">
        <v>242.518</v>
      </c>
      <c r="AW7" s="5">
        <v>1</v>
      </c>
      <c r="AX7" s="5">
        <v>349.9282</v>
      </c>
      <c r="AY7" s="5">
        <v>4</v>
      </c>
      <c r="AZ7" s="5">
        <v>170.03980000000001</v>
      </c>
      <c r="BA7" s="5">
        <v>3</v>
      </c>
      <c r="BB7" s="5">
        <v>125.3665</v>
      </c>
      <c r="BC7" s="5">
        <v>4</v>
      </c>
      <c r="BD7" s="5">
        <v>359.07010000000002</v>
      </c>
      <c r="BE7" s="5">
        <v>4</v>
      </c>
      <c r="BF7" s="5">
        <v>437.8272</v>
      </c>
      <c r="BG7" s="5">
        <v>4</v>
      </c>
      <c r="BH7" s="5">
        <v>488.19490000000002</v>
      </c>
      <c r="BI7" s="5">
        <v>6</v>
      </c>
      <c r="BJ7" s="5">
        <v>146.48920000000001</v>
      </c>
      <c r="BK7" s="5">
        <v>6</v>
      </c>
      <c r="BL7" s="5">
        <v>113.55759999999999</v>
      </c>
      <c r="BM7" s="5">
        <v>6</v>
      </c>
      <c r="BN7" s="5">
        <v>147.13380000000001</v>
      </c>
      <c r="BO7" s="5">
        <v>6</v>
      </c>
      <c r="BP7" s="5">
        <v>235.39150000000001</v>
      </c>
      <c r="BQ7" s="5">
        <v>6</v>
      </c>
      <c r="BR7" s="5">
        <v>267.02510000000001</v>
      </c>
      <c r="BS7" s="5">
        <f>CHOOSE(MATCH(Setup!$B$5,{8,10,12,14,16},0)+(MATCH(Setup!$B$7,{"STD","Half-PPR","PPR"},0)-1)*5,AO7,AQ7,AS7,AU7,AW7,AY7,BA7,BC7,BE7,BG7,BI7,BK7,BM7,BO7,BQ7)</f>
        <v>4</v>
      </c>
      <c r="BT7" s="5">
        <f>CHOOSE(MATCH(Setup!$B$5,{8,10,12,14,16},0)+(MATCH(Setup!$B$7,{"STD","Half-PPR","PPR"},0)-1)*5,AP7,AR7,AT7,AV7,AX7,AZ7,BB7,BD7,BF7,BH7,BJ7,BL7,BN7,BP7,BR7)</f>
        <v>359.07010000000002</v>
      </c>
      <c r="BU7" s="5">
        <f>ROUND(1+BT7*'Live Calc'!$D$10,0)</f>
        <v>34</v>
      </c>
      <c r="BV7" s="5"/>
      <c r="BW7" s="5">
        <f>IF(BV7&lt;&gt;"",BV7,ROUND(BU7*INDEX('Live Calc'!$D$29:$D$46,MATCH(BS7,'Live Calc'!$A$29:$A$46,0))*'Live Calc'!$J$89,0))</f>
        <v>34</v>
      </c>
      <c r="BY7" s="6" t="s">
        <v>84</v>
      </c>
      <c r="BZ7" s="6" t="s">
        <v>56</v>
      </c>
      <c r="CA7" s="6">
        <v>3</v>
      </c>
      <c r="CB7" s="6">
        <v>65.975800000000007</v>
      </c>
      <c r="CC7" s="6">
        <v>3</v>
      </c>
      <c r="CD7" s="6">
        <v>110.843</v>
      </c>
      <c r="CE7" s="6">
        <v>3</v>
      </c>
      <c r="CF7" s="6">
        <v>223.19290000000001</v>
      </c>
      <c r="CG7" s="6">
        <v>3</v>
      </c>
      <c r="CH7" s="6">
        <v>148.7611</v>
      </c>
      <c r="CI7" s="6">
        <v>3</v>
      </c>
      <c r="CJ7" s="6">
        <v>168.52459999999999</v>
      </c>
      <c r="CK7" s="6">
        <v>3</v>
      </c>
      <c r="CL7" s="6">
        <v>150.73310000000001</v>
      </c>
      <c r="CM7" s="6">
        <v>3</v>
      </c>
      <c r="CN7" s="6">
        <v>328.44110000000001</v>
      </c>
      <c r="CO7" s="6">
        <v>3</v>
      </c>
      <c r="CP7" s="6">
        <v>302.85500000000002</v>
      </c>
      <c r="CQ7" s="6">
        <v>2</v>
      </c>
      <c r="CR7" s="6">
        <v>197.8878</v>
      </c>
      <c r="CS7" s="6">
        <v>3</v>
      </c>
      <c r="CT7" s="6">
        <v>292.06959999999998</v>
      </c>
      <c r="CU7" s="6">
        <v>3</v>
      </c>
      <c r="CV7" s="6">
        <v>183.43690000000001</v>
      </c>
      <c r="CW7" s="6">
        <v>3</v>
      </c>
      <c r="CX7" s="6">
        <v>138.875</v>
      </c>
      <c r="CY7" s="6">
        <v>3</v>
      </c>
      <c r="CZ7" s="6">
        <v>493.7004</v>
      </c>
      <c r="DA7" s="6">
        <v>3</v>
      </c>
      <c r="DB7" s="6">
        <v>323.14890000000003</v>
      </c>
      <c r="DC7" s="6">
        <v>3</v>
      </c>
      <c r="DD7" s="6">
        <v>271.26920000000001</v>
      </c>
      <c r="DE7" s="6">
        <f>CHOOSE(MATCH(Setup!$B$5,{8,10,12,14,16},0)+(MATCH(Setup!$B$7,{"STD","Half-PPR","PPR"},0)-1)*5,CA7,CC7,CE7,CG7,CI7,CK7,CM7,CO7,CQ7,CS7,CU7,CW7,CY7,DA7,DC7)</f>
        <v>3</v>
      </c>
      <c r="DF7" s="6">
        <f>CHOOSE(MATCH(Setup!$B$5,{8,10,12,14,16},0)+(MATCH(Setup!$B$7,{"STD","Half-PPR","PPR"},0)-1)*5,CB7,CD7,CF7,CH7,CJ7,CL7,CN7,CP7,CR7,CT7,CV7,CX7,CZ7,DB7,DD7)</f>
        <v>302.85500000000002</v>
      </c>
      <c r="DG7" s="6">
        <f>ROUND(1+DF7*'Live Calc'!$D$11,0)</f>
        <v>33</v>
      </c>
      <c r="DH7" s="6"/>
      <c r="DI7" s="6">
        <f>IF(DH7&lt;&gt;"",DH7,ROUND(DG7*INDEX('Live Calc'!$D$50:$D$70,MATCH(DE7,'Live Calc'!$A$50:$A$70,0))*'Live Calc'!$J$89,0))</f>
        <v>33</v>
      </c>
      <c r="DK7" s="7" t="s">
        <v>85</v>
      </c>
      <c r="DL7" s="7" t="s">
        <v>86</v>
      </c>
      <c r="DM7" s="7">
        <v>3</v>
      </c>
      <c r="DN7" s="7">
        <v>18.200399999999998</v>
      </c>
      <c r="DO7" s="7">
        <v>3</v>
      </c>
      <c r="DP7" s="7">
        <v>22.911100000000001</v>
      </c>
      <c r="DQ7" s="7">
        <v>3</v>
      </c>
      <c r="DR7" s="7">
        <v>28.613</v>
      </c>
      <c r="DS7" s="7">
        <v>3</v>
      </c>
      <c r="DT7" s="7">
        <v>33.162700000000001</v>
      </c>
      <c r="DU7" s="7">
        <v>3</v>
      </c>
      <c r="DV7" s="7">
        <v>23.111499999999999</v>
      </c>
      <c r="DW7" s="7">
        <v>4</v>
      </c>
      <c r="DX7" s="7">
        <v>14.1325</v>
      </c>
      <c r="DY7" s="7">
        <v>4</v>
      </c>
      <c r="DZ7" s="7">
        <v>15.688700000000001</v>
      </c>
      <c r="EA7" s="7">
        <v>4</v>
      </c>
      <c r="EB7" s="7">
        <v>39.22</v>
      </c>
      <c r="EC7" s="7">
        <v>4</v>
      </c>
      <c r="ED7" s="7">
        <v>30.290299999999998</v>
      </c>
      <c r="EE7" s="7">
        <v>4</v>
      </c>
      <c r="EF7" s="7">
        <v>35.188200000000002</v>
      </c>
      <c r="EG7" s="7">
        <v>3</v>
      </c>
      <c r="EH7" s="7">
        <v>22.16</v>
      </c>
      <c r="EI7" s="7">
        <v>3</v>
      </c>
      <c r="EJ7" s="7">
        <v>23.209499999999998</v>
      </c>
      <c r="EK7" s="7">
        <v>3</v>
      </c>
      <c r="EL7" s="7">
        <v>24.458600000000001</v>
      </c>
      <c r="EM7" s="7">
        <v>3</v>
      </c>
      <c r="EN7" s="7">
        <v>29.6082</v>
      </c>
      <c r="EO7" s="7">
        <v>3</v>
      </c>
      <c r="EP7" s="7">
        <v>33.787700000000001</v>
      </c>
      <c r="EQ7" s="7">
        <f>CHOOSE(MATCH(Setup!$B$5,{8,10,12,14,16},0)+(MATCH(Setup!$B$7,{"STD","Half-PPR","PPR"},0)-1)*5,DM7,DO7,DQ7,DS7,DU7,DW7,DY7,EA7,EC7,EE7,EG7,EI7,EK7,EM7,EO7)</f>
        <v>4</v>
      </c>
      <c r="ER7" s="7">
        <f>CHOOSE(MATCH(Setup!$B$5,{8,10,12,14,16},0)+(MATCH(Setup!$B$7,{"STD","Half-PPR","PPR"},0)-1)*5,DN7,DP7,DR7,DT7,DV7,DX7,DZ7,EB7,ED7,EF7,EH7,EJ7,EL7,EN7,EP7)</f>
        <v>39.22</v>
      </c>
      <c r="ES7" s="7">
        <f>ROUND(1+ER7*'Live Calc'!$D$12,0)</f>
        <v>13</v>
      </c>
      <c r="ET7" s="7"/>
      <c r="EU7" s="7">
        <f>IF(ET7&lt;&gt;"",ET7,ROUND(ES7*INDEX('Live Calc'!$D$74:$D$85,MATCH(EQ7,'Live Calc'!$A$74:$A$85,0))*'Live Calc'!$J$89,0))</f>
        <v>13</v>
      </c>
    </row>
    <row r="8" spans="1:151" x14ac:dyDescent="0.25">
      <c r="A8" s="4" t="s">
        <v>87</v>
      </c>
      <c r="B8" s="4" t="s">
        <v>88</v>
      </c>
      <c r="C8" s="4">
        <v>4</v>
      </c>
      <c r="D8" s="4">
        <v>12.594799999999999</v>
      </c>
      <c r="E8" s="4">
        <v>4</v>
      </c>
      <c r="F8" s="4">
        <v>36.537999999999997</v>
      </c>
      <c r="G8" s="4">
        <v>4</v>
      </c>
      <c r="H8" s="4">
        <v>46.046399999999998</v>
      </c>
      <c r="I8" s="4">
        <v>4</v>
      </c>
      <c r="J8" s="4">
        <v>43.977800000000002</v>
      </c>
      <c r="K8" s="4">
        <v>4</v>
      </c>
      <c r="L8" s="4">
        <v>31.178000000000001</v>
      </c>
      <c r="M8" s="4">
        <v>4</v>
      </c>
      <c r="N8" s="4">
        <v>9.4922000000000004</v>
      </c>
      <c r="O8" s="4">
        <v>4</v>
      </c>
      <c r="P8" s="4">
        <v>7.9461000000000004</v>
      </c>
      <c r="Q8" s="4">
        <v>4</v>
      </c>
      <c r="R8" s="4">
        <v>27.0718</v>
      </c>
      <c r="S8" s="4">
        <v>4</v>
      </c>
      <c r="T8" s="4">
        <v>46.046399999999998</v>
      </c>
      <c r="U8" s="4">
        <v>4</v>
      </c>
      <c r="V8" s="4">
        <v>33.004300000000001</v>
      </c>
      <c r="W8" s="4">
        <v>4</v>
      </c>
      <c r="X8" s="4">
        <v>10.004</v>
      </c>
      <c r="Y8" s="4">
        <v>4</v>
      </c>
      <c r="Z8" s="4">
        <v>23.302499999999998</v>
      </c>
      <c r="AA8" s="4">
        <v>4</v>
      </c>
      <c r="AB8" s="4">
        <v>52.230699999999999</v>
      </c>
      <c r="AC8" s="4">
        <v>4</v>
      </c>
      <c r="AD8" s="4">
        <v>139.0667</v>
      </c>
      <c r="AE8" s="4">
        <v>4</v>
      </c>
      <c r="AF8" s="4">
        <v>65.087299999999999</v>
      </c>
      <c r="AG8" s="4">
        <f>CHOOSE(MATCH(Setup!$B$5,{8,10,12,14,16},0)+(MATCH(Setup!$B$7,{"STD","Half-PPR","PPR"},0)-1)*5,C8,E8,G8,I8,K8,M8,O8,Q8,S8,U8,W8,Y8,AA8,AC8,AE8)</f>
        <v>4</v>
      </c>
      <c r="AH8" s="4">
        <f>CHOOSE(MATCH(Setup!$B$5,{8,10,12,14,16},0)+(MATCH(Setup!$B$7,{"STD","Half-PPR","PPR"},0)-1)*5,D8,F8,H8,J8,L8,N8,P8,R8,T8,V8,X8,Z8,AB8,AD8,AF8)</f>
        <v>27.0718</v>
      </c>
      <c r="AI8" s="4">
        <f>ROUND(1+AH8*'Live Calc'!$D$9,0)</f>
        <v>9</v>
      </c>
      <c r="AJ8" s="4"/>
      <c r="AK8" s="4">
        <f>IF(AJ8&lt;&gt;"",AJ8,ROUND(AI8*INDEX('Live Calc'!$D$16:$D$25,MATCH(AG8,'Live Calc'!$A$16:$A$25,0))*'Live Calc'!$J$89,0))</f>
        <v>9</v>
      </c>
      <c r="AM8" s="5" t="s">
        <v>89</v>
      </c>
      <c r="AN8" s="5" t="s">
        <v>76</v>
      </c>
      <c r="AO8" s="5">
        <v>1</v>
      </c>
      <c r="AP8" s="5">
        <v>79.069999999999993</v>
      </c>
      <c r="AQ8" s="5">
        <v>1</v>
      </c>
      <c r="AR8" s="5">
        <v>199.87049999999999</v>
      </c>
      <c r="AS8" s="5">
        <v>1</v>
      </c>
      <c r="AT8" s="5">
        <v>564.88639999999998</v>
      </c>
      <c r="AU8" s="5">
        <v>1</v>
      </c>
      <c r="AV8" s="5">
        <v>228.19810000000001</v>
      </c>
      <c r="AW8" s="5">
        <v>1</v>
      </c>
      <c r="AX8" s="5">
        <v>330.43619999999999</v>
      </c>
      <c r="AY8" s="5">
        <v>4</v>
      </c>
      <c r="AZ8" s="5">
        <v>170.39490000000001</v>
      </c>
      <c r="BA8" s="5">
        <v>3</v>
      </c>
      <c r="BB8" s="5">
        <v>125.5753</v>
      </c>
      <c r="BC8" s="5">
        <v>4</v>
      </c>
      <c r="BD8" s="5">
        <v>359.57560000000001</v>
      </c>
      <c r="BE8" s="5">
        <v>4</v>
      </c>
      <c r="BF8" s="5">
        <v>438.34969999999998</v>
      </c>
      <c r="BG8" s="5">
        <v>4</v>
      </c>
      <c r="BH8" s="5">
        <v>488.7269</v>
      </c>
      <c r="BI8" s="5">
        <v>6</v>
      </c>
      <c r="BJ8" s="5">
        <v>162.31469999999999</v>
      </c>
      <c r="BK8" s="5">
        <v>6</v>
      </c>
      <c r="BL8" s="5">
        <v>122.95699999999999</v>
      </c>
      <c r="BM8" s="5">
        <v>6</v>
      </c>
      <c r="BN8" s="5">
        <v>156.64590000000001</v>
      </c>
      <c r="BO8" s="5">
        <v>6</v>
      </c>
      <c r="BP8" s="5">
        <v>248.31219999999999</v>
      </c>
      <c r="BQ8" s="5">
        <v>6</v>
      </c>
      <c r="BR8" s="5">
        <v>280.09129999999999</v>
      </c>
      <c r="BS8" s="5">
        <f>CHOOSE(MATCH(Setup!$B$5,{8,10,12,14,16},0)+(MATCH(Setup!$B$7,{"STD","Half-PPR","PPR"},0)-1)*5,AO8,AQ8,AS8,AU8,AW8,AY8,BA8,BC8,BE8,BG8,BI8,BK8,BM8,BO8,BQ8)</f>
        <v>4</v>
      </c>
      <c r="BT8" s="5">
        <f>CHOOSE(MATCH(Setup!$B$5,{8,10,12,14,16},0)+(MATCH(Setup!$B$7,{"STD","Half-PPR","PPR"},0)-1)*5,AP8,AR8,AT8,AV8,AX8,AZ8,BB8,BD8,BF8,BH8,BJ8,BL8,BN8,BP8,BR8)</f>
        <v>359.57560000000001</v>
      </c>
      <c r="BU8" s="5">
        <f>ROUND(1+BT8*'Live Calc'!$D$10,0)</f>
        <v>34</v>
      </c>
      <c r="BV8" s="5"/>
      <c r="BW8" s="5">
        <f>IF(BV8&lt;&gt;"",BV8,ROUND(BU8*INDEX('Live Calc'!$D$29:$D$46,MATCH(BS8,'Live Calc'!$A$29:$A$46,0))*'Live Calc'!$J$89,0))</f>
        <v>34</v>
      </c>
      <c r="BY8" s="6" t="s">
        <v>90</v>
      </c>
      <c r="BZ8" s="6" t="s">
        <v>91</v>
      </c>
      <c r="CA8" s="6">
        <v>3</v>
      </c>
      <c r="CB8" s="6">
        <v>64.261799999999994</v>
      </c>
      <c r="CC8" s="6">
        <v>3</v>
      </c>
      <c r="CD8" s="6">
        <v>108.58710000000001</v>
      </c>
      <c r="CE8" s="6">
        <v>3</v>
      </c>
      <c r="CF8" s="6">
        <v>219.24430000000001</v>
      </c>
      <c r="CG8" s="6">
        <v>3</v>
      </c>
      <c r="CH8" s="6">
        <v>146.4435</v>
      </c>
      <c r="CI8" s="6">
        <v>3</v>
      </c>
      <c r="CJ8" s="6">
        <v>166.18039999999999</v>
      </c>
      <c r="CK8" s="6">
        <v>3</v>
      </c>
      <c r="CL8" s="6">
        <v>148.3553</v>
      </c>
      <c r="CM8" s="6">
        <v>3</v>
      </c>
      <c r="CN8" s="6">
        <v>324.16109999999998</v>
      </c>
      <c r="CO8" s="6">
        <v>3</v>
      </c>
      <c r="CP8" s="6">
        <v>299.512</v>
      </c>
      <c r="CQ8" s="6">
        <v>2</v>
      </c>
      <c r="CR8" s="6">
        <v>195.97450000000001</v>
      </c>
      <c r="CS8" s="6">
        <v>3</v>
      </c>
      <c r="CT8" s="6">
        <v>289.47640000000001</v>
      </c>
      <c r="CU8" s="6">
        <v>3</v>
      </c>
      <c r="CV8" s="6">
        <v>173.55459999999999</v>
      </c>
      <c r="CW8" s="6">
        <v>3</v>
      </c>
      <c r="CX8" s="6">
        <v>133.0772</v>
      </c>
      <c r="CY8" s="6">
        <v>3</v>
      </c>
      <c r="CZ8" s="6">
        <v>474.88959999999997</v>
      </c>
      <c r="DA8" s="6">
        <v>3</v>
      </c>
      <c r="DB8" s="6">
        <v>312.49400000000003</v>
      </c>
      <c r="DC8" s="6">
        <v>3</v>
      </c>
      <c r="DD8" s="6">
        <v>263.27999999999997</v>
      </c>
      <c r="DE8" s="6">
        <f>CHOOSE(MATCH(Setup!$B$5,{8,10,12,14,16},0)+(MATCH(Setup!$B$7,{"STD","Half-PPR","PPR"},0)-1)*5,CA8,CC8,CE8,CG8,CI8,CK8,CM8,CO8,CQ8,CS8,CU8,CW8,CY8,DA8,DC8)</f>
        <v>3</v>
      </c>
      <c r="DF8" s="6">
        <f>CHOOSE(MATCH(Setup!$B$5,{8,10,12,14,16},0)+(MATCH(Setup!$B$7,{"STD","Half-PPR","PPR"},0)-1)*5,CB8,CD8,CF8,CH8,CJ8,CL8,CN8,CP8,CR8,CT8,CV8,CX8,CZ8,DB8,DD8)</f>
        <v>299.512</v>
      </c>
      <c r="DG8" s="6">
        <f>ROUND(1+DF8*'Live Calc'!$D$11,0)</f>
        <v>32</v>
      </c>
      <c r="DH8" s="6"/>
      <c r="DI8" s="6">
        <f>IF(DH8&lt;&gt;"",DH8,ROUND(DG8*INDEX('Live Calc'!$D$50:$D$70,MATCH(DE8,'Live Calc'!$A$50:$A$70,0))*'Live Calc'!$J$89,0))</f>
        <v>32</v>
      </c>
      <c r="DK8" s="7" t="s">
        <v>92</v>
      </c>
      <c r="DL8" s="7" t="s">
        <v>48</v>
      </c>
      <c r="DM8" s="7">
        <v>4</v>
      </c>
      <c r="DN8" s="7">
        <v>13.635300000000001</v>
      </c>
      <c r="DO8" s="7">
        <v>4</v>
      </c>
      <c r="DP8" s="7">
        <v>18.477900000000002</v>
      </c>
      <c r="DQ8" s="7">
        <v>4</v>
      </c>
      <c r="DR8" s="7">
        <v>24.299499999999998</v>
      </c>
      <c r="DS8" s="7">
        <v>4</v>
      </c>
      <c r="DT8" s="7">
        <v>28.9253</v>
      </c>
      <c r="DU8" s="7">
        <v>4</v>
      </c>
      <c r="DV8" s="7">
        <v>20.559100000000001</v>
      </c>
      <c r="DW8" s="7">
        <v>4</v>
      </c>
      <c r="DX8" s="7">
        <v>12.574999999999999</v>
      </c>
      <c r="DY8" s="7">
        <v>4</v>
      </c>
      <c r="DZ8" s="7">
        <v>14.4734</v>
      </c>
      <c r="EA8" s="7">
        <v>4</v>
      </c>
      <c r="EB8" s="7">
        <v>36.911999999999999</v>
      </c>
      <c r="EC8" s="7">
        <v>4</v>
      </c>
      <c r="ED8" s="7">
        <v>28.864599999999999</v>
      </c>
      <c r="EE8" s="7">
        <v>4</v>
      </c>
      <c r="EF8" s="7">
        <v>33.7866</v>
      </c>
      <c r="EG8" s="7">
        <v>3</v>
      </c>
      <c r="EH8" s="7">
        <v>23.091999999999999</v>
      </c>
      <c r="EI8" s="7">
        <v>3</v>
      </c>
      <c r="EJ8" s="7">
        <v>23.8002</v>
      </c>
      <c r="EK8" s="7">
        <v>3</v>
      </c>
      <c r="EL8" s="7">
        <v>24.9085</v>
      </c>
      <c r="EM8" s="7">
        <v>3</v>
      </c>
      <c r="EN8" s="7">
        <v>30.043299999999999</v>
      </c>
      <c r="EO8" s="7">
        <v>3</v>
      </c>
      <c r="EP8" s="7">
        <v>34.212899999999998</v>
      </c>
      <c r="EQ8" s="7">
        <f>CHOOSE(MATCH(Setup!$B$5,{8,10,12,14,16},0)+(MATCH(Setup!$B$7,{"STD","Half-PPR","PPR"},0)-1)*5,DM8,DO8,DQ8,DS8,DU8,DW8,DY8,EA8,EC8,EE8,EG8,EI8,EK8,EM8,EO8)</f>
        <v>4</v>
      </c>
      <c r="ER8" s="7">
        <f>CHOOSE(MATCH(Setup!$B$5,{8,10,12,14,16},0)+(MATCH(Setup!$B$7,{"STD","Half-PPR","PPR"},0)-1)*5,DN8,DP8,DR8,DT8,DV8,DX8,DZ8,EB8,ED8,EF8,EH8,EJ8,EL8,EN8,EP8)</f>
        <v>36.911999999999999</v>
      </c>
      <c r="ES8" s="7">
        <f>ROUND(1+ER8*'Live Calc'!$D$12,0)</f>
        <v>13</v>
      </c>
      <c r="ET8" s="7"/>
      <c r="EU8" s="7">
        <f>IF(ET8&lt;&gt;"",ET8,ROUND(ES8*INDEX('Live Calc'!$D$74:$D$85,MATCH(EQ8,'Live Calc'!$A$74:$A$85,0))*'Live Calc'!$J$89,0))</f>
        <v>13</v>
      </c>
    </row>
    <row r="9" spans="1:151" x14ac:dyDescent="0.25">
      <c r="A9" s="4" t="s">
        <v>93</v>
      </c>
      <c r="B9" s="4" t="s">
        <v>68</v>
      </c>
      <c r="C9" s="4">
        <v>4</v>
      </c>
      <c r="D9" s="4">
        <v>12.1027</v>
      </c>
      <c r="E9" s="4">
        <v>4</v>
      </c>
      <c r="F9" s="4">
        <v>35.761200000000002</v>
      </c>
      <c r="G9" s="4">
        <v>4</v>
      </c>
      <c r="H9" s="4">
        <v>45.372399999999999</v>
      </c>
      <c r="I9" s="4">
        <v>4</v>
      </c>
      <c r="J9" s="4">
        <v>43.425699999999999</v>
      </c>
      <c r="K9" s="4">
        <v>4</v>
      </c>
      <c r="L9" s="4">
        <v>30.821999999999999</v>
      </c>
      <c r="M9" s="4">
        <v>4</v>
      </c>
      <c r="N9" s="4">
        <v>9.0128000000000004</v>
      </c>
      <c r="O9" s="4">
        <v>4</v>
      </c>
      <c r="P9" s="4">
        <v>7.6912000000000003</v>
      </c>
      <c r="Q9" s="4">
        <v>4</v>
      </c>
      <c r="R9" s="4">
        <v>26.543700000000001</v>
      </c>
      <c r="S9" s="4">
        <v>4</v>
      </c>
      <c r="T9" s="4">
        <v>45.372399999999999</v>
      </c>
      <c r="U9" s="4">
        <v>4</v>
      </c>
      <c r="V9" s="4">
        <v>32.562899999999999</v>
      </c>
      <c r="W9" s="4">
        <v>4</v>
      </c>
      <c r="X9" s="4">
        <v>9.6479999999999997</v>
      </c>
      <c r="Y9" s="4">
        <v>4</v>
      </c>
      <c r="Z9" s="4">
        <v>22.868400000000001</v>
      </c>
      <c r="AA9" s="4">
        <v>4</v>
      </c>
      <c r="AB9" s="4">
        <v>51.545400000000001</v>
      </c>
      <c r="AC9" s="4">
        <v>4</v>
      </c>
      <c r="AD9" s="4">
        <v>137.62309999999999</v>
      </c>
      <c r="AE9" s="4">
        <v>4</v>
      </c>
      <c r="AF9" s="4">
        <v>64.515199999999993</v>
      </c>
      <c r="AG9" s="4">
        <f>CHOOSE(MATCH(Setup!$B$5,{8,10,12,14,16},0)+(MATCH(Setup!$B$7,{"STD","Half-PPR","PPR"},0)-1)*5,C9,E9,G9,I9,K9,M9,O9,Q9,S9,U9,W9,Y9,AA9,AC9,AE9)</f>
        <v>4</v>
      </c>
      <c r="AH9" s="4">
        <f>CHOOSE(MATCH(Setup!$B$5,{8,10,12,14,16},0)+(MATCH(Setup!$B$7,{"STD","Half-PPR","PPR"},0)-1)*5,D9,F9,H9,J9,L9,N9,P9,R9,T9,V9,X9,Z9,AB9,AD9,AF9)</f>
        <v>26.543700000000001</v>
      </c>
      <c r="AI9" s="4">
        <f>ROUND(1+AH9*'Live Calc'!$D$9,0)</f>
        <v>9</v>
      </c>
      <c r="AJ9" s="4"/>
      <c r="AK9" s="4">
        <f>IF(AJ9&lt;&gt;"",AJ9,ROUND(AI9*INDEX('Live Calc'!$D$16:$D$25,MATCH(AG9,'Live Calc'!$A$16:$A$25,0))*'Live Calc'!$J$89,0))</f>
        <v>9</v>
      </c>
      <c r="AM9" s="5" t="s">
        <v>94</v>
      </c>
      <c r="AN9" s="5" t="s">
        <v>95</v>
      </c>
      <c r="AO9" s="5">
        <v>1</v>
      </c>
      <c r="AP9" s="5">
        <v>75.805999999999997</v>
      </c>
      <c r="AQ9" s="5">
        <v>1</v>
      </c>
      <c r="AR9" s="5">
        <v>192.39779999999999</v>
      </c>
      <c r="AS9" s="5">
        <v>1</v>
      </c>
      <c r="AT9" s="5">
        <v>546.64229999999998</v>
      </c>
      <c r="AU9" s="5">
        <v>1</v>
      </c>
      <c r="AV9" s="5">
        <v>222.3229</v>
      </c>
      <c r="AW9" s="5">
        <v>1</v>
      </c>
      <c r="AX9" s="5">
        <v>322.45010000000002</v>
      </c>
      <c r="AY9" s="5">
        <v>3</v>
      </c>
      <c r="AZ9" s="5">
        <v>201.24809999999999</v>
      </c>
      <c r="BA9" s="5">
        <v>3</v>
      </c>
      <c r="BB9" s="5">
        <v>143.57480000000001</v>
      </c>
      <c r="BC9" s="5">
        <v>3</v>
      </c>
      <c r="BD9" s="5">
        <v>403.43810000000002</v>
      </c>
      <c r="BE9" s="5">
        <v>3</v>
      </c>
      <c r="BF9" s="5">
        <v>483.6189</v>
      </c>
      <c r="BG9" s="5">
        <v>3</v>
      </c>
      <c r="BH9" s="5">
        <v>534.79200000000003</v>
      </c>
      <c r="BI9" s="5">
        <v>4</v>
      </c>
      <c r="BJ9" s="5">
        <v>219.33260000000001</v>
      </c>
      <c r="BK9" s="5">
        <v>4</v>
      </c>
      <c r="BL9" s="5">
        <v>156.17310000000001</v>
      </c>
      <c r="BM9" s="5">
        <v>4</v>
      </c>
      <c r="BN9" s="5">
        <v>190.2088</v>
      </c>
      <c r="BO9" s="5">
        <v>4</v>
      </c>
      <c r="BP9" s="5">
        <v>294.0872</v>
      </c>
      <c r="BQ9" s="5">
        <v>4</v>
      </c>
      <c r="BR9" s="5">
        <v>326.334</v>
      </c>
      <c r="BS9" s="5">
        <f>CHOOSE(MATCH(Setup!$B$5,{8,10,12,14,16},0)+(MATCH(Setup!$B$7,{"STD","Half-PPR","PPR"},0)-1)*5,AO9,AQ9,AS9,AU9,AW9,AY9,BA9,BC9,BE9,BG9,BI9,BK9,BM9,BO9,BQ9)</f>
        <v>3</v>
      </c>
      <c r="BT9" s="5">
        <f>CHOOSE(MATCH(Setup!$B$5,{8,10,12,14,16},0)+(MATCH(Setup!$B$7,{"STD","Half-PPR","PPR"},0)-1)*5,AP9,AR9,AT9,AV9,AX9,AZ9,BB9,BD9,BF9,BH9,BJ9,BL9,BN9,BP9,BR9)</f>
        <v>403.43810000000002</v>
      </c>
      <c r="BU9" s="5">
        <f>ROUND(1+BT9*'Live Calc'!$D$10,0)</f>
        <v>38</v>
      </c>
      <c r="BV9" s="5"/>
      <c r="BW9" s="5">
        <f>IF(BV9&lt;&gt;"",BV9,ROUND(BU9*INDEX('Live Calc'!$D$29:$D$46,MATCH(BS9,'Live Calc'!$A$29:$A$46,0))*'Live Calc'!$J$89,0))</f>
        <v>38</v>
      </c>
      <c r="BY9" s="6" t="s">
        <v>96</v>
      </c>
      <c r="BZ9" s="6" t="s">
        <v>62</v>
      </c>
      <c r="CA9" s="6">
        <v>3</v>
      </c>
      <c r="CB9" s="6">
        <v>55.692500000000003</v>
      </c>
      <c r="CC9" s="6">
        <v>3</v>
      </c>
      <c r="CD9" s="6">
        <v>97.329400000000007</v>
      </c>
      <c r="CE9" s="6">
        <v>3</v>
      </c>
      <c r="CF9" s="6">
        <v>199.6062</v>
      </c>
      <c r="CG9" s="6">
        <v>3</v>
      </c>
      <c r="CH9" s="6">
        <v>134.86170000000001</v>
      </c>
      <c r="CI9" s="6">
        <v>3</v>
      </c>
      <c r="CJ9" s="6">
        <v>154.4598</v>
      </c>
      <c r="CK9" s="6">
        <v>4</v>
      </c>
      <c r="CL9" s="6">
        <v>120.8672</v>
      </c>
      <c r="CM9" s="6">
        <v>4</v>
      </c>
      <c r="CN9" s="6">
        <v>274.85210000000001</v>
      </c>
      <c r="CO9" s="6">
        <v>4</v>
      </c>
      <c r="CP9" s="6">
        <v>260.79820000000001</v>
      </c>
      <c r="CQ9" s="6">
        <v>3</v>
      </c>
      <c r="CR9" s="6">
        <v>173.6754</v>
      </c>
      <c r="CS9" s="6">
        <v>4</v>
      </c>
      <c r="CT9" s="6">
        <v>259.30700000000002</v>
      </c>
      <c r="CU9" s="6">
        <v>4</v>
      </c>
      <c r="CV9" s="6">
        <v>137.28899999999999</v>
      </c>
      <c r="CW9" s="6">
        <v>4</v>
      </c>
      <c r="CX9" s="6">
        <v>111.51690000000001</v>
      </c>
      <c r="CY9" s="6">
        <v>4</v>
      </c>
      <c r="CZ9" s="6">
        <v>405.9187</v>
      </c>
      <c r="DA9" s="6">
        <v>4</v>
      </c>
      <c r="DB9" s="6">
        <v>273.09660000000002</v>
      </c>
      <c r="DC9" s="6">
        <v>4</v>
      </c>
      <c r="DD9" s="6">
        <v>233.6174</v>
      </c>
      <c r="DE9" s="6">
        <f>CHOOSE(MATCH(Setup!$B$5,{8,10,12,14,16},0)+(MATCH(Setup!$B$7,{"STD","Half-PPR","PPR"},0)-1)*5,CA9,CC9,CE9,CG9,CI9,CK9,CM9,CO9,CQ9,CS9,CU9,CW9,CY9,DA9,DC9)</f>
        <v>4</v>
      </c>
      <c r="DF9" s="6">
        <f>CHOOSE(MATCH(Setup!$B$5,{8,10,12,14,16},0)+(MATCH(Setup!$B$7,{"STD","Half-PPR","PPR"},0)-1)*5,CB9,CD9,CF9,CH9,CJ9,CL9,CN9,CP9,CR9,CT9,CV9,CX9,CZ9,DB9,DD9)</f>
        <v>260.79820000000001</v>
      </c>
      <c r="DG9" s="6">
        <f>ROUND(1+DF9*'Live Calc'!$D$11,0)</f>
        <v>28</v>
      </c>
      <c r="DH9" s="6"/>
      <c r="DI9" s="6">
        <f>IF(DH9&lt;&gt;"",DH9,ROUND(DG9*INDEX('Live Calc'!$D$50:$D$70,MATCH(DE9,'Live Calc'!$A$50:$A$70,0))*'Live Calc'!$J$89,0))</f>
        <v>28</v>
      </c>
      <c r="DK9" s="7" t="s">
        <v>97</v>
      </c>
      <c r="DL9" s="7" t="s">
        <v>56</v>
      </c>
      <c r="DM9" s="7">
        <v>5</v>
      </c>
      <c r="DN9" s="7">
        <v>10.4466</v>
      </c>
      <c r="DO9" s="7">
        <v>5</v>
      </c>
      <c r="DP9" s="7">
        <v>15.4084</v>
      </c>
      <c r="DQ9" s="7">
        <v>5</v>
      </c>
      <c r="DR9" s="7">
        <v>21.330100000000002</v>
      </c>
      <c r="DS9" s="7">
        <v>5</v>
      </c>
      <c r="DT9" s="7">
        <v>26.0166</v>
      </c>
      <c r="DU9" s="7">
        <v>5</v>
      </c>
      <c r="DV9" s="7">
        <v>18.7851</v>
      </c>
      <c r="DW9" s="7">
        <v>4</v>
      </c>
      <c r="DX9" s="7">
        <v>11.138999999999999</v>
      </c>
      <c r="DY9" s="7">
        <v>4</v>
      </c>
      <c r="DZ9" s="7">
        <v>13.351699999999999</v>
      </c>
      <c r="EA9" s="7">
        <v>4</v>
      </c>
      <c r="EB9" s="7">
        <v>34.811999999999998</v>
      </c>
      <c r="EC9" s="7">
        <v>4</v>
      </c>
      <c r="ED9" s="7">
        <v>27.560500000000001</v>
      </c>
      <c r="EE9" s="7">
        <v>4</v>
      </c>
      <c r="EF9" s="7">
        <v>32.505699999999997</v>
      </c>
      <c r="EG9" s="7">
        <v>3</v>
      </c>
      <c r="EH9" s="7">
        <v>22.634</v>
      </c>
      <c r="EI9" s="7">
        <v>3</v>
      </c>
      <c r="EJ9" s="7">
        <v>23.510100000000001</v>
      </c>
      <c r="EK9" s="7">
        <v>3</v>
      </c>
      <c r="EL9" s="7">
        <v>24.6876</v>
      </c>
      <c r="EM9" s="7">
        <v>3</v>
      </c>
      <c r="EN9" s="7">
        <v>29.829599999999999</v>
      </c>
      <c r="EO9" s="7">
        <v>3</v>
      </c>
      <c r="EP9" s="7">
        <v>34.004100000000001</v>
      </c>
      <c r="EQ9" s="7">
        <f>CHOOSE(MATCH(Setup!$B$5,{8,10,12,14,16},0)+(MATCH(Setup!$B$7,{"STD","Half-PPR","PPR"},0)-1)*5,DM9,DO9,DQ9,DS9,DU9,DW9,DY9,EA9,EC9,EE9,EG9,EI9,EK9,EM9,EO9)</f>
        <v>4</v>
      </c>
      <c r="ER9" s="7">
        <f>CHOOSE(MATCH(Setup!$B$5,{8,10,12,14,16},0)+(MATCH(Setup!$B$7,{"STD","Half-PPR","PPR"},0)-1)*5,DN9,DP9,DR9,DT9,DV9,DX9,DZ9,EB9,ED9,EF9,EH9,EJ9,EL9,EN9,EP9)</f>
        <v>34.811999999999998</v>
      </c>
      <c r="ES9" s="7">
        <f>ROUND(1+ER9*'Live Calc'!$D$12,0)</f>
        <v>12</v>
      </c>
      <c r="ET9" s="7"/>
      <c r="EU9" s="7">
        <f>IF(ET9&lt;&gt;"",ET9,ROUND(ES9*INDEX('Live Calc'!$D$74:$D$85,MATCH(EQ9,'Live Calc'!$A$74:$A$85,0))*'Live Calc'!$J$89,0))</f>
        <v>12</v>
      </c>
    </row>
    <row r="10" spans="1:151" x14ac:dyDescent="0.25">
      <c r="A10" s="4" t="s">
        <v>98</v>
      </c>
      <c r="B10" s="4" t="s">
        <v>79</v>
      </c>
      <c r="C10" s="4">
        <v>4</v>
      </c>
      <c r="D10" s="4">
        <v>10.544700000000001</v>
      </c>
      <c r="E10" s="4">
        <v>4</v>
      </c>
      <c r="F10" s="4">
        <v>33.301400000000001</v>
      </c>
      <c r="G10" s="4">
        <v>4</v>
      </c>
      <c r="H10" s="4">
        <v>43.230400000000003</v>
      </c>
      <c r="I10" s="4">
        <v>4</v>
      </c>
      <c r="J10" s="4">
        <v>41.668399999999998</v>
      </c>
      <c r="K10" s="4">
        <v>4</v>
      </c>
      <c r="L10" s="4">
        <v>29.686</v>
      </c>
      <c r="M10" s="4">
        <v>4</v>
      </c>
      <c r="N10" s="4">
        <v>7.4991000000000003</v>
      </c>
      <c r="O10" s="4">
        <v>4</v>
      </c>
      <c r="P10" s="4">
        <v>6.8711000000000002</v>
      </c>
      <c r="Q10" s="4">
        <v>4</v>
      </c>
      <c r="R10" s="4">
        <v>24.865100000000002</v>
      </c>
      <c r="S10" s="4">
        <v>4</v>
      </c>
      <c r="T10" s="4">
        <v>43.230400000000003</v>
      </c>
      <c r="U10" s="4">
        <v>4</v>
      </c>
      <c r="V10" s="4">
        <v>31.156400000000001</v>
      </c>
      <c r="W10" s="4">
        <v>4</v>
      </c>
      <c r="X10" s="4">
        <v>8.5120000000000005</v>
      </c>
      <c r="Y10" s="4">
        <v>4</v>
      </c>
      <c r="Z10" s="4">
        <v>21.485900000000001</v>
      </c>
      <c r="AA10" s="4">
        <v>4</v>
      </c>
      <c r="AB10" s="4">
        <v>49.366700000000002</v>
      </c>
      <c r="AC10" s="4">
        <v>4</v>
      </c>
      <c r="AD10" s="4">
        <v>133.03980000000001</v>
      </c>
      <c r="AE10" s="4">
        <v>4</v>
      </c>
      <c r="AF10" s="4">
        <v>62.692399999999999</v>
      </c>
      <c r="AG10" s="4">
        <f>CHOOSE(MATCH(Setup!$B$5,{8,10,12,14,16},0)+(MATCH(Setup!$B$7,{"STD","Half-PPR","PPR"},0)-1)*5,C10,E10,G10,I10,K10,M10,O10,Q10,S10,U10,W10,Y10,AA10,AC10,AE10)</f>
        <v>4</v>
      </c>
      <c r="AH10" s="4">
        <f>CHOOSE(MATCH(Setup!$B$5,{8,10,12,14,16},0)+(MATCH(Setup!$B$7,{"STD","Half-PPR","PPR"},0)-1)*5,D10,F10,H10,J10,L10,N10,P10,R10,T10,V10,X10,Z10,AB10,AD10,AF10)</f>
        <v>24.865100000000002</v>
      </c>
      <c r="AI10" s="4">
        <f>ROUND(1+AH10*'Live Calc'!$D$9,0)</f>
        <v>8</v>
      </c>
      <c r="AJ10" s="4"/>
      <c r="AK10" s="4">
        <f>IF(AJ10&lt;&gt;"",AJ10,ROUND(AI10*INDEX('Live Calc'!$D$16:$D$25,MATCH(AG10,'Live Calc'!$A$16:$A$25,0))*'Live Calc'!$J$89,0))</f>
        <v>8</v>
      </c>
      <c r="AM10" s="5" t="s">
        <v>99</v>
      </c>
      <c r="AN10" s="5" t="s">
        <v>60</v>
      </c>
      <c r="AO10" s="5">
        <v>2</v>
      </c>
      <c r="AP10" s="5">
        <v>65.599999999999994</v>
      </c>
      <c r="AQ10" s="5">
        <v>2</v>
      </c>
      <c r="AR10" s="5">
        <v>169.28039999999999</v>
      </c>
      <c r="AS10" s="5">
        <v>2</v>
      </c>
      <c r="AT10" s="5">
        <v>490.50729999999999</v>
      </c>
      <c r="AU10" s="5">
        <v>2</v>
      </c>
      <c r="AV10" s="5">
        <v>204.0444</v>
      </c>
      <c r="AW10" s="5">
        <v>2</v>
      </c>
      <c r="AX10" s="5">
        <v>297.64699999999999</v>
      </c>
      <c r="AY10" s="5">
        <v>4</v>
      </c>
      <c r="AZ10" s="5">
        <v>185.65369999999999</v>
      </c>
      <c r="BA10" s="5">
        <v>3</v>
      </c>
      <c r="BB10" s="5">
        <v>134.51169999999999</v>
      </c>
      <c r="BC10" s="5">
        <v>4</v>
      </c>
      <c r="BD10" s="5">
        <v>381.28210000000001</v>
      </c>
      <c r="BE10" s="5">
        <v>4</v>
      </c>
      <c r="BF10" s="5">
        <v>460.76830000000001</v>
      </c>
      <c r="BG10" s="5">
        <v>4</v>
      </c>
      <c r="BH10" s="5">
        <v>511.54750000000001</v>
      </c>
      <c r="BI10" s="5">
        <v>4</v>
      </c>
      <c r="BJ10" s="5">
        <v>211.04599999999999</v>
      </c>
      <c r="BK10" s="5">
        <v>4</v>
      </c>
      <c r="BL10" s="5">
        <v>151.40090000000001</v>
      </c>
      <c r="BM10" s="5">
        <v>4</v>
      </c>
      <c r="BN10" s="5">
        <v>185.39089999999999</v>
      </c>
      <c r="BO10" s="5">
        <v>4</v>
      </c>
      <c r="BP10" s="5">
        <v>287.49919999999997</v>
      </c>
      <c r="BQ10" s="5">
        <v>4</v>
      </c>
      <c r="BR10" s="5">
        <v>319.68279999999999</v>
      </c>
      <c r="BS10" s="5">
        <f>CHOOSE(MATCH(Setup!$B$5,{8,10,12,14,16},0)+(MATCH(Setup!$B$7,{"STD","Half-PPR","PPR"},0)-1)*5,AO10,AQ10,AS10,AU10,AW10,AY10,BA10,BC10,BE10,BG10,BI10,BK10,BM10,BO10,BQ10)</f>
        <v>4</v>
      </c>
      <c r="BT10" s="5">
        <f>CHOOSE(MATCH(Setup!$B$5,{8,10,12,14,16},0)+(MATCH(Setup!$B$7,{"STD","Half-PPR","PPR"},0)-1)*5,AP10,AR10,AT10,AV10,AX10,AZ10,BB10,BD10,BF10,BH10,BJ10,BL10,BN10,BP10,BR10)</f>
        <v>381.28210000000001</v>
      </c>
      <c r="BU10" s="5">
        <f>ROUND(1+BT10*'Live Calc'!$D$10,0)</f>
        <v>36</v>
      </c>
      <c r="BV10" s="5"/>
      <c r="BW10" s="5">
        <f>IF(BV10&lt;&gt;"",BV10,ROUND(BU10*INDEX('Live Calc'!$D$29:$D$46,MATCH(BS10,'Live Calc'!$A$29:$A$46,0))*'Live Calc'!$J$89,0))</f>
        <v>36</v>
      </c>
      <c r="BY10" s="6" t="s">
        <v>100</v>
      </c>
      <c r="BZ10" s="6" t="s">
        <v>101</v>
      </c>
      <c r="CA10" s="6">
        <v>4</v>
      </c>
      <c r="CB10" s="6">
        <v>47.912599999999998</v>
      </c>
      <c r="CC10" s="6">
        <v>4</v>
      </c>
      <c r="CD10" s="6">
        <v>87.139600000000002</v>
      </c>
      <c r="CE10" s="6">
        <v>4</v>
      </c>
      <c r="CF10" s="6">
        <v>181.92939999999999</v>
      </c>
      <c r="CG10" s="6">
        <v>4</v>
      </c>
      <c r="CH10" s="6">
        <v>124.3516</v>
      </c>
      <c r="CI10" s="6">
        <v>4</v>
      </c>
      <c r="CJ10" s="6">
        <v>143.81469999999999</v>
      </c>
      <c r="CK10" s="6">
        <v>4</v>
      </c>
      <c r="CL10" s="6">
        <v>114.25409999999999</v>
      </c>
      <c r="CM10" s="6">
        <v>4</v>
      </c>
      <c r="CN10" s="6">
        <v>263.03500000000003</v>
      </c>
      <c r="CO10" s="6">
        <v>4</v>
      </c>
      <c r="CP10" s="6">
        <v>251.46</v>
      </c>
      <c r="CQ10" s="6">
        <v>3</v>
      </c>
      <c r="CR10" s="6">
        <v>168.25460000000001</v>
      </c>
      <c r="CS10" s="6">
        <v>4</v>
      </c>
      <c r="CT10" s="6">
        <v>251.98859999999999</v>
      </c>
      <c r="CU10" s="6">
        <v>4</v>
      </c>
      <c r="CV10" s="6">
        <v>134.17740000000001</v>
      </c>
      <c r="CW10" s="6">
        <v>4</v>
      </c>
      <c r="CX10" s="6">
        <v>109.64360000000001</v>
      </c>
      <c r="CY10" s="6">
        <v>4</v>
      </c>
      <c r="CZ10" s="6">
        <v>400.00200000000001</v>
      </c>
      <c r="DA10" s="6">
        <v>4</v>
      </c>
      <c r="DB10" s="6">
        <v>269.69060000000002</v>
      </c>
      <c r="DC10" s="6">
        <v>4</v>
      </c>
      <c r="DD10" s="6">
        <v>231.04339999999999</v>
      </c>
      <c r="DE10" s="6">
        <f>CHOOSE(MATCH(Setup!$B$5,{8,10,12,14,16},0)+(MATCH(Setup!$B$7,{"STD","Half-PPR","PPR"},0)-1)*5,CA10,CC10,CE10,CG10,CI10,CK10,CM10,CO10,CQ10,CS10,CU10,CW10,CY10,DA10,DC10)</f>
        <v>4</v>
      </c>
      <c r="DF10" s="6">
        <f>CHOOSE(MATCH(Setup!$B$5,{8,10,12,14,16},0)+(MATCH(Setup!$B$7,{"STD","Half-PPR","PPR"},0)-1)*5,CB10,CD10,CF10,CH10,CJ10,CL10,CN10,CP10,CR10,CT10,CV10,CX10,CZ10,DB10,DD10)</f>
        <v>251.46</v>
      </c>
      <c r="DG10" s="6">
        <f>ROUND(1+DF10*'Live Calc'!$D$11,0)</f>
        <v>27</v>
      </c>
      <c r="DH10" s="6"/>
      <c r="DI10" s="6">
        <f>IF(DH10&lt;&gt;"",DH10,ROUND(DG10*INDEX('Live Calc'!$D$50:$D$70,MATCH(DE10,'Live Calc'!$A$50:$A$70,0))*'Live Calc'!$J$89,0))</f>
        <v>27</v>
      </c>
      <c r="DK10" s="7" t="s">
        <v>102</v>
      </c>
      <c r="DL10" s="7" t="s">
        <v>101</v>
      </c>
      <c r="DM10" s="7">
        <v>5</v>
      </c>
      <c r="DN10" s="7">
        <v>7.9733000000000001</v>
      </c>
      <c r="DO10" s="7">
        <v>5</v>
      </c>
      <c r="DP10" s="7">
        <v>13.052199999999999</v>
      </c>
      <c r="DQ10" s="7">
        <v>5</v>
      </c>
      <c r="DR10" s="7">
        <v>19.0639</v>
      </c>
      <c r="DS10" s="7">
        <v>5</v>
      </c>
      <c r="DT10" s="7">
        <v>23.802700000000002</v>
      </c>
      <c r="DU10" s="7">
        <v>5</v>
      </c>
      <c r="DV10" s="7">
        <v>17.421399999999998</v>
      </c>
      <c r="DW10" s="7">
        <v>4</v>
      </c>
      <c r="DX10" s="7">
        <v>8.3283000000000005</v>
      </c>
      <c r="DY10" s="7">
        <v>5</v>
      </c>
      <c r="DZ10" s="7">
        <v>11.1554</v>
      </c>
      <c r="EA10" s="7">
        <v>4</v>
      </c>
      <c r="EB10" s="7">
        <v>30.792000000000002</v>
      </c>
      <c r="EC10" s="7">
        <v>4</v>
      </c>
      <c r="ED10" s="7">
        <v>25.044499999999999</v>
      </c>
      <c r="EE10" s="7">
        <v>4</v>
      </c>
      <c r="EF10" s="7">
        <v>30.037600000000001</v>
      </c>
      <c r="EG10" s="7">
        <v>3</v>
      </c>
      <c r="EH10" s="7">
        <v>18.841999999999999</v>
      </c>
      <c r="EI10" s="7">
        <v>3</v>
      </c>
      <c r="EJ10" s="7">
        <v>21.0929</v>
      </c>
      <c r="EK10" s="7">
        <v>3</v>
      </c>
      <c r="EL10" s="7">
        <v>22.8447</v>
      </c>
      <c r="EM10" s="7">
        <v>3</v>
      </c>
      <c r="EN10" s="7">
        <v>28.049800000000001</v>
      </c>
      <c r="EO10" s="7">
        <v>3</v>
      </c>
      <c r="EP10" s="7">
        <v>32.266300000000001</v>
      </c>
      <c r="EQ10" s="7">
        <f>CHOOSE(MATCH(Setup!$B$5,{8,10,12,14,16},0)+(MATCH(Setup!$B$7,{"STD","Half-PPR","PPR"},0)-1)*5,DM10,DO10,DQ10,DS10,DU10,DW10,DY10,EA10,EC10,EE10,EG10,EI10,EK10,EM10,EO10)</f>
        <v>4</v>
      </c>
      <c r="ER10" s="7">
        <f>CHOOSE(MATCH(Setup!$B$5,{8,10,12,14,16},0)+(MATCH(Setup!$B$7,{"STD","Half-PPR","PPR"},0)-1)*5,DN10,DP10,DR10,DT10,DV10,DX10,DZ10,EB10,ED10,EF10,EH10,EJ10,EL10,EN10,EP10)</f>
        <v>30.792000000000002</v>
      </c>
      <c r="ES10" s="7">
        <f>ROUND(1+ER10*'Live Calc'!$D$12,0)</f>
        <v>11</v>
      </c>
      <c r="ET10" s="7"/>
      <c r="EU10" s="7">
        <f>IF(ET10&lt;&gt;"",ET10,ROUND(ES10*INDEX('Live Calc'!$D$74:$D$85,MATCH(EQ10,'Live Calc'!$A$74:$A$85,0))*'Live Calc'!$J$89,0))</f>
        <v>11</v>
      </c>
    </row>
    <row r="11" spans="1:151" x14ac:dyDescent="0.25">
      <c r="A11" s="4" t="s">
        <v>103</v>
      </c>
      <c r="B11" s="4" t="s">
        <v>104</v>
      </c>
      <c r="C11" s="4">
        <v>4</v>
      </c>
      <c r="D11" s="4">
        <v>10.2643</v>
      </c>
      <c r="E11" s="4">
        <v>4</v>
      </c>
      <c r="F11" s="4">
        <v>32.858499999999999</v>
      </c>
      <c r="G11" s="4">
        <v>4</v>
      </c>
      <c r="H11" s="4">
        <v>42.843499999999999</v>
      </c>
      <c r="I11" s="4">
        <v>4</v>
      </c>
      <c r="J11" s="4">
        <v>41.3504</v>
      </c>
      <c r="K11" s="4">
        <v>4</v>
      </c>
      <c r="L11" s="4">
        <v>29.48</v>
      </c>
      <c r="M11" s="4">
        <v>4</v>
      </c>
      <c r="N11" s="4">
        <v>7.2274000000000003</v>
      </c>
      <c r="O11" s="4">
        <v>4</v>
      </c>
      <c r="P11" s="4">
        <v>6.7213000000000003</v>
      </c>
      <c r="Q11" s="4">
        <v>4</v>
      </c>
      <c r="R11" s="4">
        <v>24.561800000000002</v>
      </c>
      <c r="S11" s="4">
        <v>4</v>
      </c>
      <c r="T11" s="4">
        <v>42.843499999999999</v>
      </c>
      <c r="U11" s="4">
        <v>4</v>
      </c>
      <c r="V11" s="4">
        <v>30.901599999999998</v>
      </c>
      <c r="W11" s="4">
        <v>4</v>
      </c>
      <c r="X11" s="4">
        <v>8.3059999999999992</v>
      </c>
      <c r="Y11" s="4">
        <v>4</v>
      </c>
      <c r="Z11" s="4">
        <v>21.235700000000001</v>
      </c>
      <c r="AA11" s="4">
        <v>4</v>
      </c>
      <c r="AB11" s="4">
        <v>48.972999999999999</v>
      </c>
      <c r="AC11" s="4">
        <v>4</v>
      </c>
      <c r="AD11" s="4">
        <v>132.21250000000001</v>
      </c>
      <c r="AE11" s="4">
        <v>4</v>
      </c>
      <c r="AF11" s="4">
        <v>62.362400000000001</v>
      </c>
      <c r="AG11" s="4">
        <f>CHOOSE(MATCH(Setup!$B$5,{8,10,12,14,16},0)+(MATCH(Setup!$B$7,{"STD","Half-PPR","PPR"},0)-1)*5,C11,E11,G11,I11,K11,M11,O11,Q11,S11,U11,W11,Y11,AA11,AC11,AE11)</f>
        <v>4</v>
      </c>
      <c r="AH11" s="4">
        <f>CHOOSE(MATCH(Setup!$B$5,{8,10,12,14,16},0)+(MATCH(Setup!$B$7,{"STD","Half-PPR","PPR"},0)-1)*5,D11,F11,H11,J11,L11,N11,P11,R11,T11,V11,X11,Z11,AB11,AD11,AF11)</f>
        <v>24.561800000000002</v>
      </c>
      <c r="AI11" s="4">
        <f>ROUND(1+AH11*'Live Calc'!$D$9,0)</f>
        <v>8</v>
      </c>
      <c r="AJ11" s="4"/>
      <c r="AK11" s="4">
        <f>IF(AJ11&lt;&gt;"",AJ11,ROUND(AI11*INDEX('Live Calc'!$D$16:$D$25,MATCH(AG11,'Live Calc'!$A$16:$A$25,0))*'Live Calc'!$J$89,0))</f>
        <v>8</v>
      </c>
      <c r="AM11" s="5" t="s">
        <v>105</v>
      </c>
      <c r="AN11" s="5" t="s">
        <v>58</v>
      </c>
      <c r="AO11" s="5">
        <v>2</v>
      </c>
      <c r="AP11" s="5">
        <v>57.753999999999998</v>
      </c>
      <c r="AQ11" s="5">
        <v>2</v>
      </c>
      <c r="AR11" s="5">
        <v>151.78210000000001</v>
      </c>
      <c r="AS11" s="5">
        <v>2</v>
      </c>
      <c r="AT11" s="5">
        <v>448.33139999999997</v>
      </c>
      <c r="AU11" s="5">
        <v>2</v>
      </c>
      <c r="AV11" s="5">
        <v>190.0925</v>
      </c>
      <c r="AW11" s="5">
        <v>2</v>
      </c>
      <c r="AX11" s="5">
        <v>278.76</v>
      </c>
      <c r="AY11" s="5">
        <v>4</v>
      </c>
      <c r="AZ11" s="5">
        <v>163.24870000000001</v>
      </c>
      <c r="BA11" s="5">
        <v>3</v>
      </c>
      <c r="BB11" s="5">
        <v>121.3651</v>
      </c>
      <c r="BC11" s="5">
        <v>4</v>
      </c>
      <c r="BD11" s="5">
        <v>349.39839999999998</v>
      </c>
      <c r="BE11" s="5">
        <v>4</v>
      </c>
      <c r="BF11" s="5">
        <v>427.827</v>
      </c>
      <c r="BG11" s="5">
        <v>4</v>
      </c>
      <c r="BH11" s="5">
        <v>478.00979999999998</v>
      </c>
      <c r="BI11" s="5">
        <v>5</v>
      </c>
      <c r="BJ11" s="5">
        <v>186.93629999999999</v>
      </c>
      <c r="BK11" s="5">
        <v>5</v>
      </c>
      <c r="BL11" s="5">
        <v>137.4145</v>
      </c>
      <c r="BM11" s="5">
        <v>5</v>
      </c>
      <c r="BN11" s="5">
        <v>171.26320000000001</v>
      </c>
      <c r="BO11" s="5">
        <v>5</v>
      </c>
      <c r="BP11" s="5">
        <v>268.21359999999999</v>
      </c>
      <c r="BQ11" s="5">
        <v>5</v>
      </c>
      <c r="BR11" s="5">
        <v>300.2045</v>
      </c>
      <c r="BS11" s="5">
        <f>CHOOSE(MATCH(Setup!$B$5,{8,10,12,14,16},0)+(MATCH(Setup!$B$7,{"STD","Half-PPR","PPR"},0)-1)*5,AO11,AQ11,AS11,AU11,AW11,AY11,BA11,BC11,BE11,BG11,BI11,BK11,BM11,BO11,BQ11)</f>
        <v>4</v>
      </c>
      <c r="BT11" s="5">
        <f>CHOOSE(MATCH(Setup!$B$5,{8,10,12,14,16},0)+(MATCH(Setup!$B$7,{"STD","Half-PPR","PPR"},0)-1)*5,AP11,AR11,AT11,AV11,AX11,AZ11,BB11,BD11,BF11,BH11,BJ11,BL11,BN11,BP11,BR11)</f>
        <v>349.39839999999998</v>
      </c>
      <c r="BU11" s="5">
        <f>ROUND(1+BT11*'Live Calc'!$D$10,0)</f>
        <v>33</v>
      </c>
      <c r="BV11" s="5"/>
      <c r="BW11" s="5">
        <f>IF(BV11&lt;&gt;"",BV11,ROUND(BU11*INDEX('Live Calc'!$D$29:$D$46,MATCH(BS11,'Live Calc'!$A$29:$A$46,0))*'Live Calc'!$J$89,0))</f>
        <v>33</v>
      </c>
      <c r="BY11" s="6" t="s">
        <v>106</v>
      </c>
      <c r="BZ11" s="6" t="s">
        <v>107</v>
      </c>
      <c r="CA11" s="6">
        <v>3</v>
      </c>
      <c r="CB11" s="6">
        <v>54.800199999999997</v>
      </c>
      <c r="CC11" s="6">
        <v>3</v>
      </c>
      <c r="CD11" s="6">
        <v>96.159199999999998</v>
      </c>
      <c r="CE11" s="6">
        <v>3</v>
      </c>
      <c r="CF11" s="6">
        <v>197.57149999999999</v>
      </c>
      <c r="CG11" s="6">
        <v>3</v>
      </c>
      <c r="CH11" s="6">
        <v>133.65620000000001</v>
      </c>
      <c r="CI11" s="6">
        <v>3</v>
      </c>
      <c r="CJ11" s="6">
        <v>153.23929999999999</v>
      </c>
      <c r="CK11" s="6">
        <v>4</v>
      </c>
      <c r="CL11" s="6">
        <v>115.1763</v>
      </c>
      <c r="CM11" s="6">
        <v>4</v>
      </c>
      <c r="CN11" s="6">
        <v>264.68189999999998</v>
      </c>
      <c r="CO11" s="6">
        <v>4</v>
      </c>
      <c r="CP11" s="6">
        <v>252.7629</v>
      </c>
      <c r="CQ11" s="6">
        <v>3</v>
      </c>
      <c r="CR11" s="6">
        <v>169.012</v>
      </c>
      <c r="CS11" s="6">
        <v>4</v>
      </c>
      <c r="CT11" s="6">
        <v>253.01079999999999</v>
      </c>
      <c r="CU11" s="6">
        <v>4</v>
      </c>
      <c r="CV11" s="6">
        <v>127.8048</v>
      </c>
      <c r="CW11" s="6">
        <v>4</v>
      </c>
      <c r="CX11" s="6">
        <v>105.79389999999999</v>
      </c>
      <c r="CY11" s="6">
        <v>4</v>
      </c>
      <c r="CZ11" s="6">
        <v>387.88339999999999</v>
      </c>
      <c r="DA11" s="6">
        <v>4</v>
      </c>
      <c r="DB11" s="6">
        <v>262.7004</v>
      </c>
      <c r="DC11" s="6">
        <v>4</v>
      </c>
      <c r="DD11" s="6">
        <v>225.75559999999999</v>
      </c>
      <c r="DE11" s="6">
        <f>CHOOSE(MATCH(Setup!$B$5,{8,10,12,14,16},0)+(MATCH(Setup!$B$7,{"STD","Half-PPR","PPR"},0)-1)*5,CA11,CC11,CE11,CG11,CI11,CK11,CM11,CO11,CQ11,CS11,CU11,CW11,CY11,DA11,DC11)</f>
        <v>4</v>
      </c>
      <c r="DF11" s="6">
        <f>CHOOSE(MATCH(Setup!$B$5,{8,10,12,14,16},0)+(MATCH(Setup!$B$7,{"STD","Half-PPR","PPR"},0)-1)*5,CB11,CD11,CF11,CH11,CJ11,CL11,CN11,CP11,CR11,CT11,CV11,CX11,CZ11,DB11,DD11)</f>
        <v>252.7629</v>
      </c>
      <c r="DG11" s="6">
        <f>ROUND(1+DF11*'Live Calc'!$D$11,0)</f>
        <v>27</v>
      </c>
      <c r="DH11" s="6"/>
      <c r="DI11" s="6">
        <f>IF(DH11&lt;&gt;"",DH11,ROUND(DG11*INDEX('Live Calc'!$D$50:$D$70,MATCH(DE11,'Live Calc'!$A$50:$A$70,0))*'Live Calc'!$J$89,0))</f>
        <v>27</v>
      </c>
      <c r="DK11" s="7" t="s">
        <v>108</v>
      </c>
      <c r="DL11" s="7" t="s">
        <v>72</v>
      </c>
      <c r="DM11" s="7">
        <v>5</v>
      </c>
      <c r="DN11" s="7">
        <v>8.8484999999999996</v>
      </c>
      <c r="DO11" s="7">
        <v>5</v>
      </c>
      <c r="DP11" s="7">
        <v>13.8828</v>
      </c>
      <c r="DQ11" s="7">
        <v>5</v>
      </c>
      <c r="DR11" s="7">
        <v>19.8612</v>
      </c>
      <c r="DS11" s="7">
        <v>5</v>
      </c>
      <c r="DT11" s="7">
        <v>24.5809</v>
      </c>
      <c r="DU11" s="7">
        <v>5</v>
      </c>
      <c r="DV11" s="7">
        <v>17.902100000000001</v>
      </c>
      <c r="DW11" s="7">
        <v>5</v>
      </c>
      <c r="DX11" s="7">
        <v>4.0229999999999997</v>
      </c>
      <c r="DY11" s="7">
        <v>6</v>
      </c>
      <c r="DZ11" s="7">
        <v>7.8131000000000004</v>
      </c>
      <c r="EA11" s="7">
        <v>5</v>
      </c>
      <c r="EB11" s="7">
        <v>24.948</v>
      </c>
      <c r="EC11" s="7">
        <v>5</v>
      </c>
      <c r="ED11" s="7">
        <v>21.3352</v>
      </c>
      <c r="EE11" s="7">
        <v>5</v>
      </c>
      <c r="EF11" s="7">
        <v>26.4085</v>
      </c>
      <c r="EG11" s="7">
        <v>4</v>
      </c>
      <c r="EH11" s="7">
        <v>6.782</v>
      </c>
      <c r="EI11" s="7">
        <v>4</v>
      </c>
      <c r="EJ11" s="7">
        <v>13.1699</v>
      </c>
      <c r="EK11" s="7">
        <v>4</v>
      </c>
      <c r="EL11" s="7">
        <v>16.7896</v>
      </c>
      <c r="EM11" s="7">
        <v>4</v>
      </c>
      <c r="EN11" s="7">
        <v>22.2453</v>
      </c>
      <c r="EO11" s="7">
        <v>4</v>
      </c>
      <c r="EP11" s="7">
        <v>26.621700000000001</v>
      </c>
      <c r="EQ11" s="7">
        <f>CHOOSE(MATCH(Setup!$B$5,{8,10,12,14,16},0)+(MATCH(Setup!$B$7,{"STD","Half-PPR","PPR"},0)-1)*5,DM11,DO11,DQ11,DS11,DU11,DW11,DY11,EA11,EC11,EE11,EG11,EI11,EK11,EM11,EO11)</f>
        <v>5</v>
      </c>
      <c r="ER11" s="7">
        <f>CHOOSE(MATCH(Setup!$B$5,{8,10,12,14,16},0)+(MATCH(Setup!$B$7,{"STD","Half-PPR","PPR"},0)-1)*5,DN11,DP11,DR11,DT11,DV11,DX11,DZ11,EB11,ED11,EF11,EH11,EJ11,EL11,EN11,EP11)</f>
        <v>24.948</v>
      </c>
      <c r="ES11" s="7">
        <f>ROUND(1+ER11*'Live Calc'!$D$12,0)</f>
        <v>9</v>
      </c>
      <c r="ET11" s="7"/>
      <c r="EU11" s="7">
        <f>IF(ET11&lt;&gt;"",ET11,ROUND(ES11*INDEX('Live Calc'!$D$74:$D$85,MATCH(EQ11,'Live Calc'!$A$74:$A$85,0))*'Live Calc'!$J$89,0))</f>
        <v>9</v>
      </c>
    </row>
    <row r="12" spans="1:151" x14ac:dyDescent="0.25">
      <c r="A12" s="4" t="s">
        <v>109</v>
      </c>
      <c r="B12" s="4" t="s">
        <v>110</v>
      </c>
      <c r="C12" s="4">
        <v>4</v>
      </c>
      <c r="D12" s="4">
        <v>9.6326999999999998</v>
      </c>
      <c r="E12" s="4">
        <v>4</v>
      </c>
      <c r="F12" s="4">
        <v>31.860199999999999</v>
      </c>
      <c r="G12" s="4">
        <v>4</v>
      </c>
      <c r="H12" s="4">
        <v>41.969799999999999</v>
      </c>
      <c r="I12" s="4">
        <v>4</v>
      </c>
      <c r="J12" s="4">
        <v>40.631999999999998</v>
      </c>
      <c r="K12" s="4">
        <v>4</v>
      </c>
      <c r="L12" s="4">
        <v>29.013999999999999</v>
      </c>
      <c r="M12" s="4">
        <v>4</v>
      </c>
      <c r="N12" s="4">
        <v>6.6162999999999998</v>
      </c>
      <c r="O12" s="4">
        <v>4</v>
      </c>
      <c r="P12" s="4">
        <v>6.3808999999999996</v>
      </c>
      <c r="Q12" s="4">
        <v>4</v>
      </c>
      <c r="R12" s="4">
        <v>23.876899999999999</v>
      </c>
      <c r="S12" s="4">
        <v>4</v>
      </c>
      <c r="T12" s="4">
        <v>41.969799999999999</v>
      </c>
      <c r="U12" s="4">
        <v>4</v>
      </c>
      <c r="V12" s="4">
        <v>30.325800000000001</v>
      </c>
      <c r="W12" s="4">
        <v>4</v>
      </c>
      <c r="X12" s="4">
        <v>7.84</v>
      </c>
      <c r="Y12" s="4">
        <v>4</v>
      </c>
      <c r="Z12" s="4">
        <v>20.670100000000001</v>
      </c>
      <c r="AA12" s="4">
        <v>4</v>
      </c>
      <c r="AB12" s="4">
        <v>48.083799999999997</v>
      </c>
      <c r="AC12" s="4">
        <v>4</v>
      </c>
      <c r="AD12" s="4">
        <v>130.34549999999999</v>
      </c>
      <c r="AE12" s="4">
        <v>4</v>
      </c>
      <c r="AF12" s="4">
        <v>61.616399999999999</v>
      </c>
      <c r="AG12" s="4">
        <f>CHOOSE(MATCH(Setup!$B$5,{8,10,12,14,16},0)+(MATCH(Setup!$B$7,{"STD","Half-PPR","PPR"},0)-1)*5,C12,E12,G12,I12,K12,M12,O12,Q12,S12,U12,W12,Y12,AA12,AC12,AE12)</f>
        <v>4</v>
      </c>
      <c r="AH12" s="4">
        <f>CHOOSE(MATCH(Setup!$B$5,{8,10,12,14,16},0)+(MATCH(Setup!$B$7,{"STD","Half-PPR","PPR"},0)-1)*5,D12,F12,H12,J12,L12,N12,P12,R12,T12,V12,X12,Z12,AB12,AD12,AF12)</f>
        <v>23.876899999999999</v>
      </c>
      <c r="AI12" s="4">
        <f>ROUND(1+AH12*'Live Calc'!$D$9,0)</f>
        <v>8</v>
      </c>
      <c r="AJ12" s="4"/>
      <c r="AK12" s="4">
        <f>IF(AJ12&lt;&gt;"",AJ12,ROUND(AI12*INDEX('Live Calc'!$D$16:$D$25,MATCH(AG12,'Live Calc'!$A$16:$A$25,0))*'Live Calc'!$J$89,0))</f>
        <v>8</v>
      </c>
      <c r="AM12" s="5" t="s">
        <v>111</v>
      </c>
      <c r="AN12" s="5" t="s">
        <v>110</v>
      </c>
      <c r="AO12" s="5">
        <v>2</v>
      </c>
      <c r="AP12" s="5">
        <v>61.405999999999999</v>
      </c>
      <c r="AQ12" s="5">
        <v>2</v>
      </c>
      <c r="AR12" s="5">
        <v>159.89590000000001</v>
      </c>
      <c r="AS12" s="5">
        <v>2</v>
      </c>
      <c r="AT12" s="5">
        <v>467.8537</v>
      </c>
      <c r="AU12" s="5">
        <v>2</v>
      </c>
      <c r="AV12" s="5">
        <v>196.5754</v>
      </c>
      <c r="AW12" s="5">
        <v>2</v>
      </c>
      <c r="AX12" s="5">
        <v>287.53100000000001</v>
      </c>
      <c r="AY12" s="5">
        <v>4</v>
      </c>
      <c r="AZ12" s="5">
        <v>152.2295</v>
      </c>
      <c r="BA12" s="5">
        <v>3</v>
      </c>
      <c r="BB12" s="5">
        <v>114.8391</v>
      </c>
      <c r="BC12" s="5">
        <v>4</v>
      </c>
      <c r="BD12" s="5">
        <v>333.68770000000001</v>
      </c>
      <c r="BE12" s="5">
        <v>4</v>
      </c>
      <c r="BF12" s="5">
        <v>411.56729999999999</v>
      </c>
      <c r="BG12" s="5">
        <v>4</v>
      </c>
      <c r="BH12" s="5">
        <v>461.44200000000001</v>
      </c>
      <c r="BI12" s="5">
        <v>6</v>
      </c>
      <c r="BJ12" s="5">
        <v>158.04259999999999</v>
      </c>
      <c r="BK12" s="5">
        <v>6</v>
      </c>
      <c r="BL12" s="5">
        <v>120.4284</v>
      </c>
      <c r="BM12" s="5">
        <v>6</v>
      </c>
      <c r="BN12" s="5">
        <v>154.08770000000001</v>
      </c>
      <c r="BO12" s="5">
        <v>6</v>
      </c>
      <c r="BP12" s="5">
        <v>244.8349</v>
      </c>
      <c r="BQ12" s="5">
        <v>6</v>
      </c>
      <c r="BR12" s="5">
        <v>276.57549999999998</v>
      </c>
      <c r="BS12" s="5">
        <f>CHOOSE(MATCH(Setup!$B$5,{8,10,12,14,16},0)+(MATCH(Setup!$B$7,{"STD","Half-PPR","PPR"},0)-1)*5,AO12,AQ12,AS12,AU12,AW12,AY12,BA12,BC12,BE12,BG12,BI12,BK12,BM12,BO12,BQ12)</f>
        <v>4</v>
      </c>
      <c r="BT12" s="5">
        <f>CHOOSE(MATCH(Setup!$B$5,{8,10,12,14,16},0)+(MATCH(Setup!$B$7,{"STD","Half-PPR","PPR"},0)-1)*5,AP12,AR12,AT12,AV12,AX12,AZ12,BB12,BD12,BF12,BH12,BJ12,BL12,BN12,BP12,BR12)</f>
        <v>333.68770000000001</v>
      </c>
      <c r="BU12" s="5">
        <f>ROUND(1+BT12*'Live Calc'!$D$10,0)</f>
        <v>32</v>
      </c>
      <c r="BV12" s="5"/>
      <c r="BW12" s="5">
        <f>IF(BV12&lt;&gt;"",BV12,ROUND(BU12*INDEX('Live Calc'!$D$29:$D$46,MATCH(BS12,'Live Calc'!$A$29:$A$46,0))*'Live Calc'!$J$89,0))</f>
        <v>32</v>
      </c>
      <c r="BY12" s="6" t="s">
        <v>112</v>
      </c>
      <c r="BZ12" s="6" t="s">
        <v>79</v>
      </c>
      <c r="CA12" s="6">
        <v>3</v>
      </c>
      <c r="CB12" s="6">
        <v>55.758600000000001</v>
      </c>
      <c r="CC12" s="6">
        <v>3</v>
      </c>
      <c r="CD12" s="6">
        <v>97.4161</v>
      </c>
      <c r="CE12" s="6">
        <v>3</v>
      </c>
      <c r="CF12" s="6">
        <v>199.75710000000001</v>
      </c>
      <c r="CG12" s="6">
        <v>3</v>
      </c>
      <c r="CH12" s="6">
        <v>134.95099999999999</v>
      </c>
      <c r="CI12" s="6">
        <v>3</v>
      </c>
      <c r="CJ12" s="6">
        <v>154.55029999999999</v>
      </c>
      <c r="CK12" s="6">
        <v>4</v>
      </c>
      <c r="CL12" s="6">
        <v>116.2406</v>
      </c>
      <c r="CM12" s="6">
        <v>4</v>
      </c>
      <c r="CN12" s="6">
        <v>266.5829</v>
      </c>
      <c r="CO12" s="6">
        <v>4</v>
      </c>
      <c r="CP12" s="6">
        <v>254.2663</v>
      </c>
      <c r="CQ12" s="6">
        <v>3</v>
      </c>
      <c r="CR12" s="6">
        <v>169.88550000000001</v>
      </c>
      <c r="CS12" s="6">
        <v>4</v>
      </c>
      <c r="CT12" s="6">
        <v>254.18979999999999</v>
      </c>
      <c r="CU12" s="6">
        <v>4</v>
      </c>
      <c r="CV12" s="6">
        <v>126.9868</v>
      </c>
      <c r="CW12" s="6">
        <v>4</v>
      </c>
      <c r="CX12" s="6">
        <v>105.2984</v>
      </c>
      <c r="CY12" s="6">
        <v>4</v>
      </c>
      <c r="CZ12" s="6">
        <v>386.32749999999999</v>
      </c>
      <c r="DA12" s="6">
        <v>4</v>
      </c>
      <c r="DB12" s="6">
        <v>261.80160000000001</v>
      </c>
      <c r="DC12" s="6">
        <v>4</v>
      </c>
      <c r="DD12" s="6">
        <v>225.07509999999999</v>
      </c>
      <c r="DE12" s="6">
        <f>CHOOSE(MATCH(Setup!$B$5,{8,10,12,14,16},0)+(MATCH(Setup!$B$7,{"STD","Half-PPR","PPR"},0)-1)*5,CA12,CC12,CE12,CG12,CI12,CK12,CM12,CO12,CQ12,CS12,CU12,CW12,CY12,DA12,DC12)</f>
        <v>4</v>
      </c>
      <c r="DF12" s="6">
        <f>CHOOSE(MATCH(Setup!$B$5,{8,10,12,14,16},0)+(MATCH(Setup!$B$7,{"STD","Half-PPR","PPR"},0)-1)*5,CB12,CD12,CF12,CH12,CJ12,CL12,CN12,CP12,CR12,CT12,CV12,CX12,CZ12,DB12,DD12)</f>
        <v>254.2663</v>
      </c>
      <c r="DG12" s="6">
        <f>ROUND(1+DF12*'Live Calc'!$D$11,0)</f>
        <v>28</v>
      </c>
      <c r="DH12" s="6"/>
      <c r="DI12" s="6">
        <f>IF(DH12&lt;&gt;"",DH12,ROUND(DG12*INDEX('Live Calc'!$D$50:$D$70,MATCH(DE12,'Live Calc'!$A$50:$A$70,0))*'Live Calc'!$J$89,0))</f>
        <v>28</v>
      </c>
      <c r="DK12" s="7" t="s">
        <v>113</v>
      </c>
      <c r="DL12" s="7" t="s">
        <v>54</v>
      </c>
      <c r="DM12" s="7">
        <v>5</v>
      </c>
      <c r="DN12" s="7">
        <v>9.2178000000000004</v>
      </c>
      <c r="DO12" s="7">
        <v>5</v>
      </c>
      <c r="DP12" s="7">
        <v>14.234400000000001</v>
      </c>
      <c r="DQ12" s="7">
        <v>5</v>
      </c>
      <c r="DR12" s="7">
        <v>20.199200000000001</v>
      </c>
      <c r="DS12" s="7">
        <v>5</v>
      </c>
      <c r="DT12" s="7">
        <v>24.911100000000001</v>
      </c>
      <c r="DU12" s="7">
        <v>5</v>
      </c>
      <c r="DV12" s="7">
        <v>18.105599999999999</v>
      </c>
      <c r="DW12" s="7">
        <v>5</v>
      </c>
      <c r="DX12" s="7">
        <v>4.2674000000000003</v>
      </c>
      <c r="DY12" s="7">
        <v>6</v>
      </c>
      <c r="DZ12" s="7">
        <v>8.0007999999999999</v>
      </c>
      <c r="EA12" s="7">
        <v>5</v>
      </c>
      <c r="EB12" s="7">
        <v>25.265999999999998</v>
      </c>
      <c r="EC12" s="7">
        <v>5</v>
      </c>
      <c r="ED12" s="7">
        <v>21.538799999999998</v>
      </c>
      <c r="EE12" s="7">
        <v>5</v>
      </c>
      <c r="EF12" s="7">
        <v>26.607299999999999</v>
      </c>
      <c r="EG12" s="7">
        <v>4</v>
      </c>
      <c r="EH12" s="7">
        <v>5.6719999999999997</v>
      </c>
      <c r="EI12" s="7">
        <v>4</v>
      </c>
      <c r="EJ12" s="7">
        <v>12.417299999999999</v>
      </c>
      <c r="EK12" s="7">
        <v>4</v>
      </c>
      <c r="EL12" s="7">
        <v>16.214300000000001</v>
      </c>
      <c r="EM12" s="7">
        <v>4</v>
      </c>
      <c r="EN12" s="7">
        <v>21.698399999999999</v>
      </c>
      <c r="EO12" s="7">
        <v>4</v>
      </c>
      <c r="EP12" s="7">
        <v>26.092099999999999</v>
      </c>
      <c r="EQ12" s="7">
        <f>CHOOSE(MATCH(Setup!$B$5,{8,10,12,14,16},0)+(MATCH(Setup!$B$7,{"STD","Half-PPR","PPR"},0)-1)*5,DM12,DO12,DQ12,DS12,DU12,DW12,DY12,EA12,EC12,EE12,EG12,EI12,EK12,EM12,EO12)</f>
        <v>5</v>
      </c>
      <c r="ER12" s="7">
        <f>CHOOSE(MATCH(Setup!$B$5,{8,10,12,14,16},0)+(MATCH(Setup!$B$7,{"STD","Half-PPR","PPR"},0)-1)*5,DN12,DP12,DR12,DT12,DV12,DX12,DZ12,EB12,ED12,EF12,EH12,EJ12,EL12,EN12,EP12)</f>
        <v>25.265999999999998</v>
      </c>
      <c r="ES12" s="7">
        <f>ROUND(1+ER12*'Live Calc'!$D$12,0)</f>
        <v>9</v>
      </c>
      <c r="ET12" s="7"/>
      <c r="EU12" s="7">
        <f>IF(ET12&lt;&gt;"",ET12,ROUND(ES12*INDEX('Live Calc'!$D$74:$D$85,MATCH(EQ12,'Live Calc'!$A$74:$A$85,0))*'Live Calc'!$J$89,0))</f>
        <v>9</v>
      </c>
    </row>
    <row r="13" spans="1:151" x14ac:dyDescent="0.25">
      <c r="A13" s="4" t="s">
        <v>114</v>
      </c>
      <c r="B13" s="4" t="s">
        <v>101</v>
      </c>
      <c r="C13" s="4">
        <v>5</v>
      </c>
      <c r="D13" s="4">
        <v>2.4615</v>
      </c>
      <c r="E13" s="4">
        <v>5</v>
      </c>
      <c r="F13" s="4">
        <v>20.361899999999999</v>
      </c>
      <c r="G13" s="4">
        <v>5</v>
      </c>
      <c r="H13" s="4">
        <v>31.7178</v>
      </c>
      <c r="I13" s="4">
        <v>5</v>
      </c>
      <c r="J13" s="4">
        <v>32.136200000000002</v>
      </c>
      <c r="K13" s="4">
        <v>5</v>
      </c>
      <c r="L13" s="4">
        <v>23.442</v>
      </c>
      <c r="M13" s="4">
        <v>5</v>
      </c>
      <c r="N13" s="4">
        <v>0</v>
      </c>
      <c r="O13" s="4">
        <v>5</v>
      </c>
      <c r="P13" s="4">
        <v>2.0897000000000001</v>
      </c>
      <c r="Q13" s="4">
        <v>5</v>
      </c>
      <c r="R13" s="4">
        <v>15.8398</v>
      </c>
      <c r="S13" s="4">
        <v>5</v>
      </c>
      <c r="T13" s="4">
        <v>31.7178</v>
      </c>
      <c r="U13" s="4">
        <v>5</v>
      </c>
      <c r="V13" s="4">
        <v>23.483000000000001</v>
      </c>
      <c r="W13" s="4">
        <v>5</v>
      </c>
      <c r="X13" s="4">
        <v>2.2679999999999998</v>
      </c>
      <c r="Y13" s="4">
        <v>5</v>
      </c>
      <c r="Z13" s="4">
        <v>13.970599999999999</v>
      </c>
      <c r="AA13" s="4">
        <v>5</v>
      </c>
      <c r="AB13" s="4">
        <v>37.6265</v>
      </c>
      <c r="AC13" s="4">
        <v>5</v>
      </c>
      <c r="AD13" s="4">
        <v>108.5124</v>
      </c>
      <c r="AE13" s="4">
        <v>5</v>
      </c>
      <c r="AF13" s="4">
        <v>52.762900000000002</v>
      </c>
      <c r="AG13" s="4">
        <f>CHOOSE(MATCH(Setup!$B$5,{8,10,12,14,16},0)+(MATCH(Setup!$B$7,{"STD","Half-PPR","PPR"},0)-1)*5,C13,E13,G13,I13,K13,M13,O13,Q13,S13,U13,W13,Y13,AA13,AC13,AE13)</f>
        <v>5</v>
      </c>
      <c r="AH13" s="4">
        <f>CHOOSE(MATCH(Setup!$B$5,{8,10,12,14,16},0)+(MATCH(Setup!$B$7,{"STD","Half-PPR","PPR"},0)-1)*5,D13,F13,H13,J13,L13,N13,P13,R13,T13,V13,X13,Z13,AB13,AD13,AF13)</f>
        <v>15.8398</v>
      </c>
      <c r="AI13" s="4">
        <f>ROUND(1+AH13*'Live Calc'!$D$9,0)</f>
        <v>6</v>
      </c>
      <c r="AJ13" s="4"/>
      <c r="AK13" s="4">
        <f>IF(AJ13&lt;&gt;"",AJ13,ROUND(AI13*INDEX('Live Calc'!$D$16:$D$25,MATCH(AG13,'Live Calc'!$A$16:$A$25,0))*'Live Calc'!$J$89,0))</f>
        <v>6</v>
      </c>
      <c r="AM13" s="5" t="s">
        <v>115</v>
      </c>
      <c r="AN13" s="5" t="s">
        <v>86</v>
      </c>
      <c r="AO13" s="5">
        <v>2</v>
      </c>
      <c r="AP13" s="5">
        <v>60.536000000000001</v>
      </c>
      <c r="AQ13" s="5">
        <v>2</v>
      </c>
      <c r="AR13" s="5">
        <v>157.958</v>
      </c>
      <c r="AS13" s="5">
        <v>2</v>
      </c>
      <c r="AT13" s="5">
        <v>463.18560000000002</v>
      </c>
      <c r="AU13" s="5">
        <v>2</v>
      </c>
      <c r="AV13" s="5">
        <v>195.0292</v>
      </c>
      <c r="AW13" s="5">
        <v>2</v>
      </c>
      <c r="AX13" s="5">
        <v>285.43830000000003</v>
      </c>
      <c r="AY13" s="5">
        <v>4</v>
      </c>
      <c r="AZ13" s="5">
        <v>141.15100000000001</v>
      </c>
      <c r="BA13" s="5">
        <v>3</v>
      </c>
      <c r="BB13" s="5">
        <v>108.2336</v>
      </c>
      <c r="BC13" s="5">
        <v>4</v>
      </c>
      <c r="BD13" s="5">
        <v>317.8673</v>
      </c>
      <c r="BE13" s="5">
        <v>4</v>
      </c>
      <c r="BF13" s="5">
        <v>395.17349999999999</v>
      </c>
      <c r="BG13" s="5">
        <v>4</v>
      </c>
      <c r="BH13" s="5">
        <v>444.72739999999999</v>
      </c>
      <c r="BI13" s="5">
        <v>6</v>
      </c>
      <c r="BJ13" s="5">
        <v>138.02359999999999</v>
      </c>
      <c r="BK13" s="5">
        <v>6</v>
      </c>
      <c r="BL13" s="5">
        <v>108.4909</v>
      </c>
      <c r="BM13" s="5">
        <v>6</v>
      </c>
      <c r="BN13" s="5">
        <v>142.00299999999999</v>
      </c>
      <c r="BO13" s="5">
        <v>6</v>
      </c>
      <c r="BP13" s="5">
        <v>228.4323</v>
      </c>
      <c r="BQ13" s="5">
        <v>6</v>
      </c>
      <c r="BR13" s="5">
        <v>259.9846</v>
      </c>
      <c r="BS13" s="5">
        <f>CHOOSE(MATCH(Setup!$B$5,{8,10,12,14,16},0)+(MATCH(Setup!$B$7,{"STD","Half-PPR","PPR"},0)-1)*5,AO13,AQ13,AS13,AU13,AW13,AY13,BA13,BC13,BE13,BG13,BI13,BK13,BM13,BO13,BQ13)</f>
        <v>4</v>
      </c>
      <c r="BT13" s="5">
        <f>CHOOSE(MATCH(Setup!$B$5,{8,10,12,14,16},0)+(MATCH(Setup!$B$7,{"STD","Half-PPR","PPR"},0)-1)*5,AP13,AR13,AT13,AV13,AX13,AZ13,BB13,BD13,BF13,BH13,BJ13,BL13,BN13,BP13,BR13)</f>
        <v>317.8673</v>
      </c>
      <c r="BU13" s="5">
        <f>ROUND(1+BT13*'Live Calc'!$D$10,0)</f>
        <v>30</v>
      </c>
      <c r="BV13" s="5"/>
      <c r="BW13" s="5">
        <f>IF(BV13&lt;&gt;"",BV13,ROUND(BU13*INDEX('Live Calc'!$D$29:$D$46,MATCH(BS13,'Live Calc'!$A$29:$A$46,0))*'Live Calc'!$J$89,0))</f>
        <v>30</v>
      </c>
      <c r="BY13" s="6" t="s">
        <v>116</v>
      </c>
      <c r="BZ13" s="6" t="s">
        <v>117</v>
      </c>
      <c r="CA13" s="6">
        <v>5</v>
      </c>
      <c r="CB13" s="6">
        <v>41.939599999999999</v>
      </c>
      <c r="CC13" s="6">
        <v>5</v>
      </c>
      <c r="CD13" s="6">
        <v>79.336200000000005</v>
      </c>
      <c r="CE13" s="6">
        <v>5</v>
      </c>
      <c r="CF13" s="6">
        <v>168.45820000000001</v>
      </c>
      <c r="CG13" s="6">
        <v>5</v>
      </c>
      <c r="CH13" s="6">
        <v>116.2824</v>
      </c>
      <c r="CI13" s="6">
        <v>5</v>
      </c>
      <c r="CJ13" s="6">
        <v>135.63499999999999</v>
      </c>
      <c r="CK13" s="6">
        <v>5</v>
      </c>
      <c r="CL13" s="6">
        <v>99.153000000000006</v>
      </c>
      <c r="CM13" s="6">
        <v>5</v>
      </c>
      <c r="CN13" s="6">
        <v>236.1122</v>
      </c>
      <c r="CO13" s="6">
        <v>5</v>
      </c>
      <c r="CP13" s="6">
        <v>230.0849</v>
      </c>
      <c r="CQ13" s="6">
        <v>4</v>
      </c>
      <c r="CR13" s="6">
        <v>155.77869999999999</v>
      </c>
      <c r="CS13" s="6">
        <v>5</v>
      </c>
      <c r="CT13" s="6">
        <v>235.1694</v>
      </c>
      <c r="CU13" s="6">
        <v>5</v>
      </c>
      <c r="CV13" s="6">
        <v>111.3147</v>
      </c>
      <c r="CW13" s="6">
        <v>5</v>
      </c>
      <c r="CX13" s="6">
        <v>95.743899999999996</v>
      </c>
      <c r="CY13" s="6">
        <v>5</v>
      </c>
      <c r="CZ13" s="6">
        <v>356.50569999999999</v>
      </c>
      <c r="DA13" s="6">
        <v>5</v>
      </c>
      <c r="DB13" s="6">
        <v>244.5094</v>
      </c>
      <c r="DC13" s="6">
        <v>5</v>
      </c>
      <c r="DD13" s="6">
        <v>211.96080000000001</v>
      </c>
      <c r="DE13" s="6">
        <f>CHOOSE(MATCH(Setup!$B$5,{8,10,12,14,16},0)+(MATCH(Setup!$B$7,{"STD","Half-PPR","PPR"},0)-1)*5,CA13,CC13,CE13,CG13,CI13,CK13,CM13,CO13,CQ13,CS13,CU13,CW13,CY13,DA13,DC13)</f>
        <v>5</v>
      </c>
      <c r="DF13" s="6">
        <f>CHOOSE(MATCH(Setup!$B$5,{8,10,12,14,16},0)+(MATCH(Setup!$B$7,{"STD","Half-PPR","PPR"},0)-1)*5,CB13,CD13,CF13,CH13,CJ13,CL13,CN13,CP13,CR13,CT13,CV13,CX13,CZ13,DB13,DD13)</f>
        <v>230.0849</v>
      </c>
      <c r="DG13" s="6">
        <f>ROUND(1+DF13*'Live Calc'!$D$11,0)</f>
        <v>25</v>
      </c>
      <c r="DH13" s="6"/>
      <c r="DI13" s="6">
        <f>IF(DH13&lt;&gt;"",DH13,ROUND(DG13*INDEX('Live Calc'!$D$50:$D$70,MATCH(DE13,'Live Calc'!$A$50:$A$70,0))*'Live Calc'!$J$89,0))</f>
        <v>25</v>
      </c>
      <c r="DK13" s="7" t="s">
        <v>118</v>
      </c>
      <c r="DL13" s="7" t="s">
        <v>79</v>
      </c>
      <c r="DM13" s="7">
        <v>8</v>
      </c>
      <c r="DN13" s="7">
        <v>0</v>
      </c>
      <c r="DO13" s="7">
        <v>7</v>
      </c>
      <c r="DP13" s="7">
        <v>6.0002000000000004</v>
      </c>
      <c r="DQ13" s="7">
        <v>7</v>
      </c>
      <c r="DR13" s="7">
        <v>12.404999999999999</v>
      </c>
      <c r="DS13" s="7">
        <v>7</v>
      </c>
      <c r="DT13" s="7">
        <v>17.3414</v>
      </c>
      <c r="DU13" s="7">
        <v>7</v>
      </c>
      <c r="DV13" s="7">
        <v>13.363300000000001</v>
      </c>
      <c r="DW13" s="7">
        <v>6</v>
      </c>
      <c r="DX13" s="7">
        <v>0</v>
      </c>
      <c r="DY13" s="7">
        <v>7</v>
      </c>
      <c r="DZ13" s="7">
        <v>4.0500999999999996</v>
      </c>
      <c r="EA13" s="7">
        <v>6</v>
      </c>
      <c r="EB13" s="7">
        <v>18.902000000000001</v>
      </c>
      <c r="EC13" s="7">
        <v>6</v>
      </c>
      <c r="ED13" s="7">
        <v>17.420000000000002</v>
      </c>
      <c r="EE13" s="7">
        <v>6</v>
      </c>
      <c r="EF13" s="7">
        <v>22.5943</v>
      </c>
      <c r="EG13" s="7">
        <v>4</v>
      </c>
      <c r="EH13" s="7">
        <v>6.2919999999999998</v>
      </c>
      <c r="EI13" s="7">
        <v>4</v>
      </c>
      <c r="EJ13" s="7">
        <v>12.8383</v>
      </c>
      <c r="EK13" s="7">
        <v>4</v>
      </c>
      <c r="EL13" s="7">
        <v>16.536100000000001</v>
      </c>
      <c r="EM13" s="7">
        <v>4</v>
      </c>
      <c r="EN13" s="7">
        <v>22.004200000000001</v>
      </c>
      <c r="EO13" s="7">
        <v>4</v>
      </c>
      <c r="EP13" s="7">
        <v>26.388100000000001</v>
      </c>
      <c r="EQ13" s="7">
        <f>CHOOSE(MATCH(Setup!$B$5,{8,10,12,14,16},0)+(MATCH(Setup!$B$7,{"STD","Half-PPR","PPR"},0)-1)*5,DM13,DO13,DQ13,DS13,DU13,DW13,DY13,EA13,EC13,EE13,EG13,EI13,EK13,EM13,EO13)</f>
        <v>6</v>
      </c>
      <c r="ER13" s="7">
        <f>CHOOSE(MATCH(Setup!$B$5,{8,10,12,14,16},0)+(MATCH(Setup!$B$7,{"STD","Half-PPR","PPR"},0)-1)*5,DN13,DP13,DR13,DT13,DV13,DX13,DZ13,EB13,ED13,EF13,EH13,EJ13,EL13,EN13,EP13)</f>
        <v>18.902000000000001</v>
      </c>
      <c r="ES13" s="7">
        <f>ROUND(1+ER13*'Live Calc'!$D$12,0)</f>
        <v>7</v>
      </c>
      <c r="ET13" s="7"/>
      <c r="EU13" s="7">
        <f>IF(ET13&lt;&gt;"",ET13,ROUND(ES13*INDEX('Live Calc'!$D$74:$D$85,MATCH(EQ13,'Live Calc'!$A$74:$A$85,0))*'Live Calc'!$J$89,0))</f>
        <v>7</v>
      </c>
    </row>
    <row r="14" spans="1:151" x14ac:dyDescent="0.25">
      <c r="A14" s="4" t="s">
        <v>119</v>
      </c>
      <c r="B14" s="4" t="s">
        <v>72</v>
      </c>
      <c r="C14" s="4">
        <v>5</v>
      </c>
      <c r="D14" s="4">
        <v>2.4281000000000001</v>
      </c>
      <c r="E14" s="4">
        <v>5</v>
      </c>
      <c r="F14" s="4">
        <v>20.3063</v>
      </c>
      <c r="G14" s="4">
        <v>5</v>
      </c>
      <c r="H14" s="4">
        <v>31.667200000000001</v>
      </c>
      <c r="I14" s="4">
        <v>5</v>
      </c>
      <c r="J14" s="4">
        <v>32.094000000000001</v>
      </c>
      <c r="K14" s="4">
        <v>5</v>
      </c>
      <c r="L14" s="4">
        <v>23.414000000000001</v>
      </c>
      <c r="M14" s="4">
        <v>5</v>
      </c>
      <c r="N14" s="4">
        <v>0</v>
      </c>
      <c r="O14" s="4">
        <v>5</v>
      </c>
      <c r="P14" s="4">
        <v>2.0663999999999998</v>
      </c>
      <c r="Q14" s="4">
        <v>5</v>
      </c>
      <c r="R14" s="4">
        <v>15.8002</v>
      </c>
      <c r="S14" s="4">
        <v>5</v>
      </c>
      <c r="T14" s="4">
        <v>31.667200000000001</v>
      </c>
      <c r="U14" s="4">
        <v>5</v>
      </c>
      <c r="V14" s="4">
        <v>23.448899999999998</v>
      </c>
      <c r="W14" s="4">
        <v>5</v>
      </c>
      <c r="X14" s="4">
        <v>2.2400000000000002</v>
      </c>
      <c r="Y14" s="4">
        <v>5</v>
      </c>
      <c r="Z14" s="4">
        <v>13.9373</v>
      </c>
      <c r="AA14" s="4">
        <v>5</v>
      </c>
      <c r="AB14" s="4">
        <v>37.574800000000003</v>
      </c>
      <c r="AC14" s="4">
        <v>5</v>
      </c>
      <c r="AD14" s="4">
        <v>108.4051</v>
      </c>
      <c r="AE14" s="4">
        <v>5</v>
      </c>
      <c r="AF14" s="4">
        <v>52.718699999999998</v>
      </c>
      <c r="AG14" s="4">
        <f>CHOOSE(MATCH(Setup!$B$5,{8,10,12,14,16},0)+(MATCH(Setup!$B$7,{"STD","Half-PPR","PPR"},0)-1)*5,C14,E14,G14,I14,K14,M14,O14,Q14,S14,U14,W14,Y14,AA14,AC14,AE14)</f>
        <v>5</v>
      </c>
      <c r="AH14" s="4">
        <f>CHOOSE(MATCH(Setup!$B$5,{8,10,12,14,16},0)+(MATCH(Setup!$B$7,{"STD","Half-PPR","PPR"},0)-1)*5,D14,F14,H14,J14,L14,N14,P14,R14,T14,V14,X14,Z14,AB14,AD14,AF14)</f>
        <v>15.8002</v>
      </c>
      <c r="AI14" s="4">
        <f>ROUND(1+AH14*'Live Calc'!$D$9,0)</f>
        <v>6</v>
      </c>
      <c r="AJ14" s="4"/>
      <c r="AK14" s="4">
        <f>IF(AJ14&lt;&gt;"",AJ14,ROUND(AI14*INDEX('Live Calc'!$D$16:$D$25,MATCH(AG14,'Live Calc'!$A$16:$A$25,0))*'Live Calc'!$J$89,0))</f>
        <v>6</v>
      </c>
      <c r="AM14" s="5" t="s">
        <v>120</v>
      </c>
      <c r="AN14" s="5" t="s">
        <v>101</v>
      </c>
      <c r="AO14" s="5">
        <v>2</v>
      </c>
      <c r="AP14" s="5">
        <v>58.094000000000001</v>
      </c>
      <c r="AQ14" s="5">
        <v>2</v>
      </c>
      <c r="AR14" s="5">
        <v>152.5352</v>
      </c>
      <c r="AS14" s="5">
        <v>2</v>
      </c>
      <c r="AT14" s="5">
        <v>450.14080000000001</v>
      </c>
      <c r="AU14" s="5">
        <v>2</v>
      </c>
      <c r="AV14" s="5">
        <v>190.6952</v>
      </c>
      <c r="AW14" s="5">
        <v>2</v>
      </c>
      <c r="AX14" s="5">
        <v>279.57499999999999</v>
      </c>
      <c r="AY14" s="5">
        <v>4</v>
      </c>
      <c r="AZ14" s="5">
        <v>143.7158</v>
      </c>
      <c r="BA14" s="5">
        <v>3</v>
      </c>
      <c r="BB14" s="5">
        <v>109.767</v>
      </c>
      <c r="BC14" s="5">
        <v>4</v>
      </c>
      <c r="BD14" s="5">
        <v>321.5324</v>
      </c>
      <c r="BE14" s="5">
        <v>4</v>
      </c>
      <c r="BF14" s="5">
        <v>398.97329999999999</v>
      </c>
      <c r="BG14" s="5">
        <v>4</v>
      </c>
      <c r="BH14" s="5">
        <v>448.6026</v>
      </c>
      <c r="BI14" s="5">
        <v>6</v>
      </c>
      <c r="BJ14" s="5">
        <v>149.64080000000001</v>
      </c>
      <c r="BK14" s="5">
        <v>6</v>
      </c>
      <c r="BL14" s="5">
        <v>115.4367</v>
      </c>
      <c r="BM14" s="5">
        <v>6</v>
      </c>
      <c r="BN14" s="5">
        <v>149.036</v>
      </c>
      <c r="BO14" s="5">
        <v>6</v>
      </c>
      <c r="BP14" s="5">
        <v>237.9735</v>
      </c>
      <c r="BQ14" s="5">
        <v>6</v>
      </c>
      <c r="BR14" s="5">
        <v>269.63670000000002</v>
      </c>
      <c r="BS14" s="5">
        <f>CHOOSE(MATCH(Setup!$B$5,{8,10,12,14,16},0)+(MATCH(Setup!$B$7,{"STD","Half-PPR","PPR"},0)-1)*5,AO14,AQ14,AS14,AU14,AW14,AY14,BA14,BC14,BE14,BG14,BI14,BK14,BM14,BO14,BQ14)</f>
        <v>4</v>
      </c>
      <c r="BT14" s="5">
        <f>CHOOSE(MATCH(Setup!$B$5,{8,10,12,14,16},0)+(MATCH(Setup!$B$7,{"STD","Half-PPR","PPR"},0)-1)*5,AP14,AR14,AT14,AV14,AX14,AZ14,BB14,BD14,BF14,BH14,BJ14,BL14,BN14,BP14,BR14)</f>
        <v>321.5324</v>
      </c>
      <c r="BU14" s="5">
        <f>ROUND(1+BT14*'Live Calc'!$D$10,0)</f>
        <v>31</v>
      </c>
      <c r="BV14" s="5"/>
      <c r="BW14" s="5">
        <f>IF(BV14&lt;&gt;"",BV14,ROUND(BU14*INDEX('Live Calc'!$D$29:$D$46,MATCH(BS14,'Live Calc'!$A$29:$A$46,0))*'Live Calc'!$J$89,0))</f>
        <v>31</v>
      </c>
      <c r="BY14" s="6" t="s">
        <v>121</v>
      </c>
      <c r="BZ14" s="6" t="s">
        <v>76</v>
      </c>
      <c r="CA14" s="6">
        <v>7</v>
      </c>
      <c r="CB14" s="6">
        <v>34.857100000000003</v>
      </c>
      <c r="CC14" s="6">
        <v>7</v>
      </c>
      <c r="CD14" s="6">
        <v>70.105000000000004</v>
      </c>
      <c r="CE14" s="6">
        <v>7</v>
      </c>
      <c r="CF14" s="6">
        <v>152.5975</v>
      </c>
      <c r="CG14" s="6">
        <v>7</v>
      </c>
      <c r="CH14" s="6">
        <v>106.70869999999999</v>
      </c>
      <c r="CI14" s="6">
        <v>7</v>
      </c>
      <c r="CJ14" s="6">
        <v>125.92140000000001</v>
      </c>
      <c r="CK14" s="6">
        <v>6</v>
      </c>
      <c r="CL14" s="6">
        <v>85.032200000000003</v>
      </c>
      <c r="CM14" s="6">
        <v>6</v>
      </c>
      <c r="CN14" s="6">
        <v>211.0076</v>
      </c>
      <c r="CO14" s="6">
        <v>6</v>
      </c>
      <c r="CP14" s="6">
        <v>210.0128</v>
      </c>
      <c r="CQ14" s="6">
        <v>5</v>
      </c>
      <c r="CR14" s="6">
        <v>143.97020000000001</v>
      </c>
      <c r="CS14" s="6">
        <v>6</v>
      </c>
      <c r="CT14" s="6">
        <v>219.28149999999999</v>
      </c>
      <c r="CU14" s="6">
        <v>5</v>
      </c>
      <c r="CV14" s="6">
        <v>102.9198</v>
      </c>
      <c r="CW14" s="6">
        <v>5</v>
      </c>
      <c r="CX14" s="6">
        <v>90.573499999999996</v>
      </c>
      <c r="CY14" s="6">
        <v>5</v>
      </c>
      <c r="CZ14" s="6">
        <v>340.51319999999998</v>
      </c>
      <c r="DA14" s="6">
        <v>5</v>
      </c>
      <c r="DB14" s="6">
        <v>235.18350000000001</v>
      </c>
      <c r="DC14" s="6">
        <v>5</v>
      </c>
      <c r="DD14" s="6">
        <v>204.86869999999999</v>
      </c>
      <c r="DE14" s="6">
        <f>CHOOSE(MATCH(Setup!$B$5,{8,10,12,14,16},0)+(MATCH(Setup!$B$7,{"STD","Half-PPR","PPR"},0)-1)*5,CA14,CC14,CE14,CG14,CI14,CK14,CM14,CO14,CQ14,CS14,CU14,CW14,CY14,DA14,DC14)</f>
        <v>6</v>
      </c>
      <c r="DF14" s="6">
        <f>CHOOSE(MATCH(Setup!$B$5,{8,10,12,14,16},0)+(MATCH(Setup!$B$7,{"STD","Half-PPR","PPR"},0)-1)*5,CB14,CD14,CF14,CH14,CJ14,CL14,CN14,CP14,CR14,CT14,CV14,CX14,CZ14,DB14,DD14)</f>
        <v>210.0128</v>
      </c>
      <c r="DG14" s="6">
        <f>ROUND(1+DF14*'Live Calc'!$D$11,0)</f>
        <v>23</v>
      </c>
      <c r="DH14" s="6"/>
      <c r="DI14" s="6">
        <f>IF(DH14&lt;&gt;"",DH14,ROUND(DG14*INDEX('Live Calc'!$D$50:$D$70,MATCH(DE14,'Live Calc'!$A$50:$A$70,0))*'Live Calc'!$J$89,0))</f>
        <v>23</v>
      </c>
      <c r="DK14" s="7" t="s">
        <v>122</v>
      </c>
      <c r="DL14" s="7" t="s">
        <v>76</v>
      </c>
      <c r="DM14" s="7">
        <v>6</v>
      </c>
      <c r="DN14" s="7">
        <v>4.5923999999999996</v>
      </c>
      <c r="DO14" s="7">
        <v>6</v>
      </c>
      <c r="DP14" s="7">
        <v>9.8930000000000007</v>
      </c>
      <c r="DQ14" s="7">
        <v>6</v>
      </c>
      <c r="DR14" s="7">
        <v>16.051200000000001</v>
      </c>
      <c r="DS14" s="7">
        <v>6</v>
      </c>
      <c r="DT14" s="7">
        <v>20.869599999999998</v>
      </c>
      <c r="DU14" s="7">
        <v>6</v>
      </c>
      <c r="DV14" s="7">
        <v>15.5947</v>
      </c>
      <c r="DW14" s="7">
        <v>6</v>
      </c>
      <c r="DX14" s="7">
        <v>0</v>
      </c>
      <c r="DY14" s="7">
        <v>7</v>
      </c>
      <c r="DZ14" s="7">
        <v>4.9306000000000001</v>
      </c>
      <c r="EA14" s="7">
        <v>6</v>
      </c>
      <c r="EB14" s="7">
        <v>20.251999999999999</v>
      </c>
      <c r="EC14" s="7">
        <v>6</v>
      </c>
      <c r="ED14" s="7">
        <v>18.302</v>
      </c>
      <c r="EE14" s="7">
        <v>6</v>
      </c>
      <c r="EF14" s="7">
        <v>23.451799999999999</v>
      </c>
      <c r="EG14" s="7">
        <v>4</v>
      </c>
      <c r="EH14" s="7">
        <v>2.262</v>
      </c>
      <c r="EI14" s="7">
        <v>4</v>
      </c>
      <c r="EJ14" s="7">
        <v>10.071400000000001</v>
      </c>
      <c r="EK14" s="7">
        <v>4</v>
      </c>
      <c r="EL14" s="7">
        <v>14.423500000000001</v>
      </c>
      <c r="EM14" s="7">
        <v>4</v>
      </c>
      <c r="EN14" s="7">
        <v>20.002500000000001</v>
      </c>
      <c r="EO14" s="7">
        <v>4</v>
      </c>
      <c r="EP14" s="7">
        <v>24.4528</v>
      </c>
      <c r="EQ14" s="7">
        <f>CHOOSE(MATCH(Setup!$B$5,{8,10,12,14,16},0)+(MATCH(Setup!$B$7,{"STD","Half-PPR","PPR"},0)-1)*5,DM14,DO14,DQ14,DS14,DU14,DW14,DY14,EA14,EC14,EE14,EG14,EI14,EK14,EM14,EO14)</f>
        <v>6</v>
      </c>
      <c r="ER14" s="7">
        <f>CHOOSE(MATCH(Setup!$B$5,{8,10,12,14,16},0)+(MATCH(Setup!$B$7,{"STD","Half-PPR","PPR"},0)-1)*5,DN14,DP14,DR14,DT14,DV14,DX14,DZ14,EB14,ED14,EF14,EH14,EJ14,EL14,EN14,EP14)</f>
        <v>20.251999999999999</v>
      </c>
      <c r="ES14" s="7">
        <f>ROUND(1+ER14*'Live Calc'!$D$12,0)</f>
        <v>7</v>
      </c>
      <c r="ET14" s="7"/>
      <c r="EU14" s="7">
        <f>IF(ET14&lt;&gt;"",ET14,ROUND(ES14*INDEX('Live Calc'!$D$74:$D$85,MATCH(EQ14,'Live Calc'!$A$74:$A$85,0))*'Live Calc'!$J$89,0))</f>
        <v>7</v>
      </c>
    </row>
    <row r="15" spans="1:151" x14ac:dyDescent="0.25">
      <c r="A15" s="4" t="s">
        <v>123</v>
      </c>
      <c r="B15" s="4" t="s">
        <v>124</v>
      </c>
      <c r="C15" s="4">
        <v>6</v>
      </c>
      <c r="D15" s="4">
        <v>0</v>
      </c>
      <c r="E15" s="4">
        <v>5</v>
      </c>
      <c r="F15" s="4">
        <v>15.951700000000001</v>
      </c>
      <c r="G15" s="4">
        <v>5</v>
      </c>
      <c r="H15" s="4">
        <v>27.659199999999998</v>
      </c>
      <c r="I15" s="4">
        <v>5</v>
      </c>
      <c r="J15" s="4">
        <v>28.7331</v>
      </c>
      <c r="K15" s="4">
        <v>5</v>
      </c>
      <c r="L15" s="4">
        <v>21.173999999999999</v>
      </c>
      <c r="M15" s="4">
        <v>5</v>
      </c>
      <c r="N15" s="4">
        <v>0</v>
      </c>
      <c r="O15" s="4">
        <v>6</v>
      </c>
      <c r="P15" s="4">
        <v>0</v>
      </c>
      <c r="Q15" s="4">
        <v>6</v>
      </c>
      <c r="R15" s="4">
        <v>12.664099999999999</v>
      </c>
      <c r="S15" s="4">
        <v>5</v>
      </c>
      <c r="T15" s="4">
        <v>27.659199999999998</v>
      </c>
      <c r="U15" s="4">
        <v>5</v>
      </c>
      <c r="V15" s="4">
        <v>20.723500000000001</v>
      </c>
      <c r="W15" s="4">
        <v>6</v>
      </c>
      <c r="X15" s="4">
        <v>0</v>
      </c>
      <c r="Y15" s="4">
        <v>6</v>
      </c>
      <c r="Z15" s="4">
        <v>11.283799999999999</v>
      </c>
      <c r="AA15" s="4">
        <v>5</v>
      </c>
      <c r="AB15" s="4">
        <v>33.471400000000003</v>
      </c>
      <c r="AC15" s="4">
        <v>5</v>
      </c>
      <c r="AD15" s="4">
        <v>99.898099999999999</v>
      </c>
      <c r="AE15" s="4">
        <v>5</v>
      </c>
      <c r="AF15" s="4">
        <v>49.196399999999997</v>
      </c>
      <c r="AG15" s="4">
        <f>CHOOSE(MATCH(Setup!$B$5,{8,10,12,14,16},0)+(MATCH(Setup!$B$7,{"STD","Half-PPR","PPR"},0)-1)*5,C15,E15,G15,I15,K15,M15,O15,Q15,S15,U15,W15,Y15,AA15,AC15,AE15)</f>
        <v>6</v>
      </c>
      <c r="AH15" s="4">
        <f>CHOOSE(MATCH(Setup!$B$5,{8,10,12,14,16},0)+(MATCH(Setup!$B$7,{"STD","Half-PPR","PPR"},0)-1)*5,D15,F15,H15,J15,L15,N15,P15,R15,T15,V15,X15,Z15,AB15,AD15,AF15)</f>
        <v>12.664099999999999</v>
      </c>
      <c r="AI15" s="4">
        <f>ROUND(1+AH15*'Live Calc'!$D$9,0)</f>
        <v>5</v>
      </c>
      <c r="AJ15" s="4"/>
      <c r="AK15" s="4">
        <f>IF(AJ15&lt;&gt;"",AJ15,ROUND(AI15*INDEX('Live Calc'!$D$16:$D$25,MATCH(AG15,'Live Calc'!$A$16:$A$25,0))*'Live Calc'!$J$89,0))</f>
        <v>5</v>
      </c>
      <c r="AM15" s="5" t="s">
        <v>125</v>
      </c>
      <c r="AN15" s="5" t="s">
        <v>52</v>
      </c>
      <c r="AO15" s="5">
        <v>3</v>
      </c>
      <c r="AP15" s="5">
        <v>47.52</v>
      </c>
      <c r="AQ15" s="5">
        <v>3</v>
      </c>
      <c r="AR15" s="5">
        <v>129.3519</v>
      </c>
      <c r="AS15" s="5">
        <v>3</v>
      </c>
      <c r="AT15" s="5">
        <v>394.67410000000001</v>
      </c>
      <c r="AU15" s="5">
        <v>3</v>
      </c>
      <c r="AV15" s="5">
        <v>172.0342</v>
      </c>
      <c r="AW15" s="5">
        <v>3</v>
      </c>
      <c r="AX15" s="5">
        <v>254.37450000000001</v>
      </c>
      <c r="AY15" s="5">
        <v>4</v>
      </c>
      <c r="AZ15" s="5">
        <v>129.07</v>
      </c>
      <c r="BA15" s="5">
        <v>4</v>
      </c>
      <c r="BB15" s="5">
        <v>100.9748</v>
      </c>
      <c r="BC15" s="5">
        <v>4</v>
      </c>
      <c r="BD15" s="5">
        <v>300.58010000000002</v>
      </c>
      <c r="BE15" s="5">
        <v>4</v>
      </c>
      <c r="BF15" s="5">
        <v>377.23360000000002</v>
      </c>
      <c r="BG15" s="5">
        <v>4</v>
      </c>
      <c r="BH15" s="5">
        <v>426.42419999999998</v>
      </c>
      <c r="BI15" s="5">
        <v>6</v>
      </c>
      <c r="BJ15" s="5">
        <v>144.9211</v>
      </c>
      <c r="BK15" s="5">
        <v>6</v>
      </c>
      <c r="BL15" s="5">
        <v>112.6212</v>
      </c>
      <c r="BM15" s="5">
        <v>6</v>
      </c>
      <c r="BN15" s="5">
        <v>146.1857</v>
      </c>
      <c r="BO15" s="5">
        <v>6</v>
      </c>
      <c r="BP15" s="5">
        <v>234.10509999999999</v>
      </c>
      <c r="BQ15" s="5">
        <v>6</v>
      </c>
      <c r="BR15" s="5">
        <v>265.72379999999998</v>
      </c>
      <c r="BS15" s="5">
        <f>CHOOSE(MATCH(Setup!$B$5,{8,10,12,14,16},0)+(MATCH(Setup!$B$7,{"STD","Half-PPR","PPR"},0)-1)*5,AO15,AQ15,AS15,AU15,AW15,AY15,BA15,BC15,BE15,BG15,BI15,BK15,BM15,BO15,BQ15)</f>
        <v>4</v>
      </c>
      <c r="BT15" s="5">
        <f>CHOOSE(MATCH(Setup!$B$5,{8,10,12,14,16},0)+(MATCH(Setup!$B$7,{"STD","Half-PPR","PPR"},0)-1)*5,AP15,AR15,AT15,AV15,AX15,AZ15,BB15,BD15,BF15,BH15,BJ15,BL15,BN15,BP15,BR15)</f>
        <v>300.58010000000002</v>
      </c>
      <c r="BU15" s="5">
        <f>ROUND(1+BT15*'Live Calc'!$D$10,0)</f>
        <v>29</v>
      </c>
      <c r="BV15" s="5"/>
      <c r="BW15" s="5">
        <f>IF(BV15&lt;&gt;"",BV15,ROUND(BU15*INDEX('Live Calc'!$D$29:$D$46,MATCH(BS15,'Live Calc'!$A$29:$A$46,0))*'Live Calc'!$J$89,0))</f>
        <v>29</v>
      </c>
      <c r="BY15" s="6" t="s">
        <v>126</v>
      </c>
      <c r="BZ15" s="6" t="s">
        <v>127</v>
      </c>
      <c r="CA15" s="6">
        <v>7</v>
      </c>
      <c r="CB15" s="6">
        <v>29.728200000000001</v>
      </c>
      <c r="CC15" s="6">
        <v>7</v>
      </c>
      <c r="CD15" s="6">
        <v>63.433100000000003</v>
      </c>
      <c r="CE15" s="6">
        <v>7</v>
      </c>
      <c r="CF15" s="6">
        <v>141.18639999999999</v>
      </c>
      <c r="CG15" s="6">
        <v>7</v>
      </c>
      <c r="CH15" s="6">
        <v>99.767099999999999</v>
      </c>
      <c r="CI15" s="6">
        <v>7</v>
      </c>
      <c r="CJ15" s="6">
        <v>118.8715</v>
      </c>
      <c r="CK15" s="6">
        <v>6</v>
      </c>
      <c r="CL15" s="6">
        <v>78.903000000000006</v>
      </c>
      <c r="CM15" s="6">
        <v>6</v>
      </c>
      <c r="CN15" s="6">
        <v>200.12809999999999</v>
      </c>
      <c r="CO15" s="6">
        <v>6</v>
      </c>
      <c r="CP15" s="6">
        <v>201.26669999999999</v>
      </c>
      <c r="CQ15" s="6">
        <v>5</v>
      </c>
      <c r="CR15" s="6">
        <v>138.79419999999999</v>
      </c>
      <c r="CS15" s="6">
        <v>6</v>
      </c>
      <c r="CT15" s="6">
        <v>212.3271</v>
      </c>
      <c r="CU15" s="6">
        <v>5</v>
      </c>
      <c r="CV15" s="6">
        <v>94.317700000000002</v>
      </c>
      <c r="CW15" s="6">
        <v>5</v>
      </c>
      <c r="CX15" s="6">
        <v>85.232699999999994</v>
      </c>
      <c r="CY15" s="6">
        <v>5</v>
      </c>
      <c r="CZ15" s="6">
        <v>324.10550000000001</v>
      </c>
      <c r="DA15" s="6">
        <v>5</v>
      </c>
      <c r="DB15" s="6">
        <v>225.5745</v>
      </c>
      <c r="DC15" s="6">
        <v>5</v>
      </c>
      <c r="DD15" s="6">
        <v>197.5463</v>
      </c>
      <c r="DE15" s="6">
        <f>CHOOSE(MATCH(Setup!$B$5,{8,10,12,14,16},0)+(MATCH(Setup!$B$7,{"STD","Half-PPR","PPR"},0)-1)*5,CA15,CC15,CE15,CG15,CI15,CK15,CM15,CO15,CQ15,CS15,CU15,CW15,CY15,DA15,DC15)</f>
        <v>6</v>
      </c>
      <c r="DF15" s="6">
        <f>CHOOSE(MATCH(Setup!$B$5,{8,10,12,14,16},0)+(MATCH(Setup!$B$7,{"STD","Half-PPR","PPR"},0)-1)*5,CB15,CD15,CF15,CH15,CJ15,CL15,CN15,CP15,CR15,CT15,CV15,CX15,CZ15,DB15,DD15)</f>
        <v>201.26669999999999</v>
      </c>
      <c r="DG15" s="6">
        <f>ROUND(1+DF15*'Live Calc'!$D$11,0)</f>
        <v>22</v>
      </c>
      <c r="DH15" s="6"/>
      <c r="DI15" s="6">
        <f>IF(DH15&lt;&gt;"",DH15,ROUND(DG15*INDEX('Live Calc'!$D$50:$D$70,MATCH(DE15,'Live Calc'!$A$50:$A$70,0))*'Live Calc'!$J$89,0))</f>
        <v>22</v>
      </c>
      <c r="DK15" s="7" t="s">
        <v>128</v>
      </c>
      <c r="DL15" s="7" t="s">
        <v>46</v>
      </c>
      <c r="DM15" s="7">
        <v>6</v>
      </c>
      <c r="DN15" s="7">
        <v>5.4560000000000004</v>
      </c>
      <c r="DO15" s="7">
        <v>6</v>
      </c>
      <c r="DP15" s="7">
        <v>10.6904</v>
      </c>
      <c r="DQ15" s="7">
        <v>6</v>
      </c>
      <c r="DR15" s="7">
        <v>16.808199999999999</v>
      </c>
      <c r="DS15" s="7">
        <v>6</v>
      </c>
      <c r="DT15" s="7">
        <v>21.6053</v>
      </c>
      <c r="DU15" s="7">
        <v>6</v>
      </c>
      <c r="DV15" s="7">
        <v>16.055199999999999</v>
      </c>
      <c r="DW15" s="7">
        <v>6</v>
      </c>
      <c r="DX15" s="7">
        <v>0</v>
      </c>
      <c r="DY15" s="7">
        <v>7</v>
      </c>
      <c r="DZ15" s="7">
        <v>4.4725999999999999</v>
      </c>
      <c r="EA15" s="7">
        <v>6</v>
      </c>
      <c r="EB15" s="7">
        <v>19.544</v>
      </c>
      <c r="EC15" s="7">
        <v>6</v>
      </c>
      <c r="ED15" s="7">
        <v>17.8401</v>
      </c>
      <c r="EE15" s="7">
        <v>6</v>
      </c>
      <c r="EF15" s="7">
        <v>23.002500000000001</v>
      </c>
      <c r="EG15" s="7">
        <v>5</v>
      </c>
      <c r="EH15" s="7">
        <v>0</v>
      </c>
      <c r="EI15" s="7">
        <v>4</v>
      </c>
      <c r="EJ15" s="7">
        <v>8.4817999999999998</v>
      </c>
      <c r="EK15" s="7">
        <v>4</v>
      </c>
      <c r="EL15" s="7">
        <v>13.213800000000001</v>
      </c>
      <c r="EM15" s="7">
        <v>4</v>
      </c>
      <c r="EN15" s="7">
        <v>18.863399999999999</v>
      </c>
      <c r="EO15" s="7">
        <v>4</v>
      </c>
      <c r="EP15" s="7">
        <v>23.354600000000001</v>
      </c>
      <c r="EQ15" s="7">
        <f>CHOOSE(MATCH(Setup!$B$5,{8,10,12,14,16},0)+(MATCH(Setup!$B$7,{"STD","Half-PPR","PPR"},0)-1)*5,DM15,DO15,DQ15,DS15,DU15,DW15,DY15,EA15,EC15,EE15,EG15,EI15,EK15,EM15,EO15)</f>
        <v>6</v>
      </c>
      <c r="ER15" s="7">
        <f>CHOOSE(MATCH(Setup!$B$5,{8,10,12,14,16},0)+(MATCH(Setup!$B$7,{"STD","Half-PPR","PPR"},0)-1)*5,DN15,DP15,DR15,DT15,DV15,DX15,DZ15,EB15,ED15,EF15,EH15,EJ15,EL15,EN15,EP15)</f>
        <v>19.544</v>
      </c>
      <c r="ES15" s="7">
        <f>ROUND(1+ER15*'Live Calc'!$D$12,0)</f>
        <v>7</v>
      </c>
      <c r="ET15" s="7"/>
      <c r="EU15" s="7">
        <f>IF(ET15&lt;&gt;"",ET15,ROUND(ES15*INDEX('Live Calc'!$D$74:$D$85,MATCH(EQ15,'Live Calc'!$A$74:$A$85,0))*'Live Calc'!$J$89,0))</f>
        <v>7</v>
      </c>
    </row>
    <row r="16" spans="1:151" x14ac:dyDescent="0.25">
      <c r="A16" s="4" t="s">
        <v>129</v>
      </c>
      <c r="B16" s="4" t="s">
        <v>50</v>
      </c>
      <c r="C16" s="4">
        <v>6</v>
      </c>
      <c r="D16" s="4">
        <v>0</v>
      </c>
      <c r="E16" s="4">
        <v>6</v>
      </c>
      <c r="F16" s="4">
        <v>6.1280000000000001</v>
      </c>
      <c r="G16" s="4">
        <v>6</v>
      </c>
      <c r="H16" s="4">
        <v>18.113299999999999</v>
      </c>
      <c r="I16" s="4">
        <v>6</v>
      </c>
      <c r="J16" s="4">
        <v>20.604700000000001</v>
      </c>
      <c r="K16" s="4">
        <v>6</v>
      </c>
      <c r="L16" s="4">
        <v>15.65</v>
      </c>
      <c r="M16" s="4">
        <v>5</v>
      </c>
      <c r="N16" s="4">
        <v>0</v>
      </c>
      <c r="O16" s="4">
        <v>6</v>
      </c>
      <c r="P16" s="4">
        <v>0</v>
      </c>
      <c r="Q16" s="4">
        <v>7</v>
      </c>
      <c r="R16" s="4">
        <v>5.2687999999999997</v>
      </c>
      <c r="S16" s="4">
        <v>6</v>
      </c>
      <c r="T16" s="4">
        <v>18.113299999999999</v>
      </c>
      <c r="U16" s="4">
        <v>6</v>
      </c>
      <c r="V16" s="4">
        <v>14.0802</v>
      </c>
      <c r="W16" s="4">
        <v>6</v>
      </c>
      <c r="X16" s="4">
        <v>0</v>
      </c>
      <c r="Y16" s="4">
        <v>7</v>
      </c>
      <c r="Z16" s="4">
        <v>4.8853999999999997</v>
      </c>
      <c r="AA16" s="4">
        <v>6</v>
      </c>
      <c r="AB16" s="4">
        <v>23.642399999999999</v>
      </c>
      <c r="AC16" s="4">
        <v>6</v>
      </c>
      <c r="AD16" s="4">
        <v>79.637500000000003</v>
      </c>
      <c r="AE16" s="4">
        <v>6</v>
      </c>
      <c r="AF16" s="4">
        <v>40.610399999999998</v>
      </c>
      <c r="AG16" s="4">
        <f>CHOOSE(MATCH(Setup!$B$5,{8,10,12,14,16},0)+(MATCH(Setup!$B$7,{"STD","Half-PPR","PPR"},0)-1)*5,C16,E16,G16,I16,K16,M16,O16,Q16,S16,U16,W16,Y16,AA16,AC16,AE16)</f>
        <v>7</v>
      </c>
      <c r="AH16" s="4">
        <f>CHOOSE(MATCH(Setup!$B$5,{8,10,12,14,16},0)+(MATCH(Setup!$B$7,{"STD","Half-PPR","PPR"},0)-1)*5,D16,F16,H16,J16,L16,N16,P16,R16,T16,V16,X16,Z16,AB16,AD16,AF16)</f>
        <v>5.2687999999999997</v>
      </c>
      <c r="AI16" s="4">
        <f>ROUND(1+AH16*'Live Calc'!$D$9,0)</f>
        <v>3</v>
      </c>
      <c r="AJ16" s="4"/>
      <c r="AK16" s="4">
        <f>IF(AJ16&lt;&gt;"",AJ16,ROUND(AI16*INDEX('Live Calc'!$D$16:$D$25,MATCH(AG16,'Live Calc'!$A$16:$A$25,0))*'Live Calc'!$J$89,0))</f>
        <v>3</v>
      </c>
      <c r="AM16" s="5" t="s">
        <v>130</v>
      </c>
      <c r="AN16" s="5" t="s">
        <v>50</v>
      </c>
      <c r="AO16" s="5">
        <v>3</v>
      </c>
      <c r="AP16" s="5">
        <v>52.712000000000003</v>
      </c>
      <c r="AQ16" s="5">
        <v>3</v>
      </c>
      <c r="AR16" s="5">
        <v>140.673</v>
      </c>
      <c r="AS16" s="5">
        <v>3</v>
      </c>
      <c r="AT16" s="5">
        <v>421.69889999999998</v>
      </c>
      <c r="AU16" s="5">
        <v>3</v>
      </c>
      <c r="AV16" s="5">
        <v>181.17519999999999</v>
      </c>
      <c r="AW16" s="5">
        <v>3</v>
      </c>
      <c r="AX16" s="5">
        <v>266.70960000000002</v>
      </c>
      <c r="AY16" s="5">
        <v>4</v>
      </c>
      <c r="AZ16" s="5">
        <v>115.8857</v>
      </c>
      <c r="BA16" s="5">
        <v>4</v>
      </c>
      <c r="BB16" s="5">
        <v>92.979799999999997</v>
      </c>
      <c r="BC16" s="5">
        <v>4</v>
      </c>
      <c r="BD16" s="5">
        <v>281.6619</v>
      </c>
      <c r="BE16" s="5">
        <v>4</v>
      </c>
      <c r="BF16" s="5">
        <v>357.56700000000001</v>
      </c>
      <c r="BG16" s="5">
        <v>4</v>
      </c>
      <c r="BH16" s="5">
        <v>406.34289999999999</v>
      </c>
      <c r="BI16" s="5">
        <v>8</v>
      </c>
      <c r="BJ16" s="5">
        <v>106.34099999999999</v>
      </c>
      <c r="BK16" s="5">
        <v>8</v>
      </c>
      <c r="BL16" s="5">
        <v>89.249200000000002</v>
      </c>
      <c r="BM16" s="5">
        <v>8</v>
      </c>
      <c r="BN16" s="5">
        <v>122.4923</v>
      </c>
      <c r="BO16" s="5">
        <v>8</v>
      </c>
      <c r="BP16" s="5">
        <v>202.03659999999999</v>
      </c>
      <c r="BQ16" s="5">
        <v>8</v>
      </c>
      <c r="BR16" s="5">
        <v>233.25989999999999</v>
      </c>
      <c r="BS16" s="5">
        <f>CHOOSE(MATCH(Setup!$B$5,{8,10,12,14,16},0)+(MATCH(Setup!$B$7,{"STD","Half-PPR","PPR"},0)-1)*5,AO16,AQ16,AS16,AU16,AW16,AY16,BA16,BC16,BE16,BG16,BI16,BK16,BM16,BO16,BQ16)</f>
        <v>4</v>
      </c>
      <c r="BT16" s="5">
        <f>CHOOSE(MATCH(Setup!$B$5,{8,10,12,14,16},0)+(MATCH(Setup!$B$7,{"STD","Half-PPR","PPR"},0)-1)*5,AP16,AR16,AT16,AV16,AX16,AZ16,BB16,BD16,BF16,BH16,BJ16,BL16,BN16,BP16,BR16)</f>
        <v>281.6619</v>
      </c>
      <c r="BU16" s="5">
        <f>ROUND(1+BT16*'Live Calc'!$D$10,0)</f>
        <v>27</v>
      </c>
      <c r="BV16" s="5"/>
      <c r="BW16" s="5">
        <f>IF(BV16&lt;&gt;"",BV16,ROUND(BU16*INDEX('Live Calc'!$D$29:$D$46,MATCH(BS16,'Live Calc'!$A$29:$A$46,0))*'Live Calc'!$J$89,0))</f>
        <v>27</v>
      </c>
      <c r="BY16" s="6" t="s">
        <v>131</v>
      </c>
      <c r="BZ16" s="6" t="s">
        <v>58</v>
      </c>
      <c r="CA16" s="6">
        <v>5</v>
      </c>
      <c r="CB16" s="6">
        <v>41.9923</v>
      </c>
      <c r="CC16" s="6">
        <v>5</v>
      </c>
      <c r="CD16" s="6">
        <v>79.405000000000001</v>
      </c>
      <c r="CE16" s="6">
        <v>5</v>
      </c>
      <c r="CF16" s="6">
        <v>168.57660000000001</v>
      </c>
      <c r="CG16" s="6">
        <v>5</v>
      </c>
      <c r="CH16" s="6">
        <v>116.3535</v>
      </c>
      <c r="CI16" s="6">
        <v>5</v>
      </c>
      <c r="CJ16" s="6">
        <v>135.7072</v>
      </c>
      <c r="CK16" s="6">
        <v>6</v>
      </c>
      <c r="CL16" s="6">
        <v>84.375600000000006</v>
      </c>
      <c r="CM16" s="6">
        <v>6</v>
      </c>
      <c r="CN16" s="6">
        <v>209.8417</v>
      </c>
      <c r="CO16" s="6">
        <v>6</v>
      </c>
      <c r="CP16" s="6">
        <v>209.077</v>
      </c>
      <c r="CQ16" s="6">
        <v>5</v>
      </c>
      <c r="CR16" s="6">
        <v>143.41730000000001</v>
      </c>
      <c r="CS16" s="6">
        <v>6</v>
      </c>
      <c r="CT16" s="6">
        <v>218.53829999999999</v>
      </c>
      <c r="CU16" s="6">
        <v>5</v>
      </c>
      <c r="CV16" s="6">
        <v>91.269499999999994</v>
      </c>
      <c r="CW16" s="6">
        <v>5</v>
      </c>
      <c r="CX16" s="6">
        <v>83.328999999999994</v>
      </c>
      <c r="CY16" s="6">
        <v>5</v>
      </c>
      <c r="CZ16" s="6">
        <v>318.28460000000001</v>
      </c>
      <c r="DA16" s="6">
        <v>5</v>
      </c>
      <c r="DB16" s="6">
        <v>222.1551</v>
      </c>
      <c r="DC16" s="6">
        <v>5</v>
      </c>
      <c r="DD16" s="6">
        <v>194.93680000000001</v>
      </c>
      <c r="DE16" s="6">
        <f>CHOOSE(MATCH(Setup!$B$5,{8,10,12,14,16},0)+(MATCH(Setup!$B$7,{"STD","Half-PPR","PPR"},0)-1)*5,CA16,CC16,CE16,CG16,CI16,CK16,CM16,CO16,CQ16,CS16,CU16,CW16,CY16,DA16,DC16)</f>
        <v>6</v>
      </c>
      <c r="DF16" s="6">
        <f>CHOOSE(MATCH(Setup!$B$5,{8,10,12,14,16},0)+(MATCH(Setup!$B$7,{"STD","Half-PPR","PPR"},0)-1)*5,CB16,CD16,CF16,CH16,CJ16,CL16,CN16,CP16,CR16,CT16,CV16,CX16,CZ16,DB16,DD16)</f>
        <v>209.077</v>
      </c>
      <c r="DG16" s="6">
        <f>ROUND(1+DF16*'Live Calc'!$D$11,0)</f>
        <v>23</v>
      </c>
      <c r="DH16" s="6"/>
      <c r="DI16" s="6">
        <f>IF(DH16&lt;&gt;"",DH16,ROUND(DG16*INDEX('Live Calc'!$D$50:$D$70,MATCH(DE16,'Live Calc'!$A$50:$A$70,0))*'Live Calc'!$J$89,0))</f>
        <v>23</v>
      </c>
      <c r="DK16" s="7" t="s">
        <v>132</v>
      </c>
      <c r="DL16" s="7" t="s">
        <v>88</v>
      </c>
      <c r="DM16" s="7">
        <v>7</v>
      </c>
      <c r="DN16" s="7">
        <v>1.5831</v>
      </c>
      <c r="DO16" s="7">
        <v>7</v>
      </c>
      <c r="DP16" s="7">
        <v>7.2160000000000002</v>
      </c>
      <c r="DQ16" s="7">
        <v>7</v>
      </c>
      <c r="DR16" s="7">
        <v>13.5329</v>
      </c>
      <c r="DS16" s="7">
        <v>7</v>
      </c>
      <c r="DT16" s="7">
        <v>18.4297</v>
      </c>
      <c r="DU16" s="7">
        <v>7</v>
      </c>
      <c r="DV16" s="7">
        <v>14.055899999999999</v>
      </c>
      <c r="DW16" s="7">
        <v>6</v>
      </c>
      <c r="DX16" s="7">
        <v>0</v>
      </c>
      <c r="DY16" s="7">
        <v>8</v>
      </c>
      <c r="DZ16" s="7">
        <v>0.89359999999999995</v>
      </c>
      <c r="EA16" s="7">
        <v>6</v>
      </c>
      <c r="EB16" s="7">
        <v>14.593999999999999</v>
      </c>
      <c r="EC16" s="7">
        <v>7</v>
      </c>
      <c r="ED16" s="7">
        <v>14.5703</v>
      </c>
      <c r="EE16" s="7">
        <v>7</v>
      </c>
      <c r="EF16" s="7">
        <v>19.832799999999999</v>
      </c>
      <c r="EG16" s="7">
        <v>5</v>
      </c>
      <c r="EH16" s="7">
        <v>0</v>
      </c>
      <c r="EI16" s="7">
        <v>5</v>
      </c>
      <c r="EJ16" s="7">
        <v>4.8348000000000004</v>
      </c>
      <c r="EK16" s="7">
        <v>5</v>
      </c>
      <c r="EL16" s="7">
        <v>10.4674</v>
      </c>
      <c r="EM16" s="7">
        <v>5</v>
      </c>
      <c r="EN16" s="7">
        <v>16.302600000000002</v>
      </c>
      <c r="EO16" s="7">
        <v>5</v>
      </c>
      <c r="EP16" s="7">
        <v>20.895700000000001</v>
      </c>
      <c r="EQ16" s="7">
        <f>CHOOSE(MATCH(Setup!$B$5,{8,10,12,14,16},0)+(MATCH(Setup!$B$7,{"STD","Half-PPR","PPR"},0)-1)*5,DM16,DO16,DQ16,DS16,DU16,DW16,DY16,EA16,EC16,EE16,EG16,EI16,EK16,EM16,EO16)</f>
        <v>6</v>
      </c>
      <c r="ER16" s="7">
        <f>CHOOSE(MATCH(Setup!$B$5,{8,10,12,14,16},0)+(MATCH(Setup!$B$7,{"STD","Half-PPR","PPR"},0)-1)*5,DN16,DP16,DR16,DT16,DV16,DX16,DZ16,EB16,ED16,EF16,EH16,EJ16,EL16,EN16,EP16)</f>
        <v>14.593999999999999</v>
      </c>
      <c r="ES16" s="7">
        <f>ROUND(1+ER16*'Live Calc'!$D$12,0)</f>
        <v>6</v>
      </c>
      <c r="ET16" s="7"/>
      <c r="EU16" s="7">
        <f>IF(ET16&lt;&gt;"",ET16,ROUND(ES16*INDEX('Live Calc'!$D$74:$D$85,MATCH(EQ16,'Live Calc'!$A$74:$A$85,0))*'Live Calc'!$J$89,0))</f>
        <v>6</v>
      </c>
    </row>
    <row r="17" spans="1:151" x14ac:dyDescent="0.25">
      <c r="A17" s="4" t="s">
        <v>133</v>
      </c>
      <c r="B17" s="4" t="s">
        <v>48</v>
      </c>
      <c r="C17" s="4">
        <v>6</v>
      </c>
      <c r="D17" s="4">
        <v>0</v>
      </c>
      <c r="E17" s="4">
        <v>7</v>
      </c>
      <c r="F17" s="4">
        <v>0</v>
      </c>
      <c r="G17" s="4">
        <v>7</v>
      </c>
      <c r="H17" s="4">
        <v>10.7463</v>
      </c>
      <c r="I17" s="4">
        <v>7</v>
      </c>
      <c r="J17" s="4">
        <v>14.1487</v>
      </c>
      <c r="K17" s="4">
        <v>7</v>
      </c>
      <c r="L17" s="4">
        <v>11.12</v>
      </c>
      <c r="M17" s="4">
        <v>5</v>
      </c>
      <c r="N17" s="4">
        <v>0</v>
      </c>
      <c r="O17" s="4">
        <v>6</v>
      </c>
      <c r="P17" s="4">
        <v>0</v>
      </c>
      <c r="Q17" s="4">
        <v>8</v>
      </c>
      <c r="R17" s="4">
        <v>0</v>
      </c>
      <c r="S17" s="4">
        <v>7</v>
      </c>
      <c r="T17" s="4">
        <v>10.7463</v>
      </c>
      <c r="U17" s="4">
        <v>7</v>
      </c>
      <c r="V17" s="4">
        <v>8.7415000000000003</v>
      </c>
      <c r="W17" s="4">
        <v>6</v>
      </c>
      <c r="X17" s="4">
        <v>0</v>
      </c>
      <c r="Y17" s="4">
        <v>8</v>
      </c>
      <c r="Z17" s="4">
        <v>0</v>
      </c>
      <c r="AA17" s="4">
        <v>7</v>
      </c>
      <c r="AB17" s="4">
        <v>15.9595</v>
      </c>
      <c r="AC17" s="4">
        <v>7</v>
      </c>
      <c r="AD17" s="4">
        <v>63.859299999999998</v>
      </c>
      <c r="AE17" s="4">
        <v>6</v>
      </c>
      <c r="AF17" s="4">
        <v>33.689700000000002</v>
      </c>
      <c r="AG17" s="4">
        <f>CHOOSE(MATCH(Setup!$B$5,{8,10,12,14,16},0)+(MATCH(Setup!$B$7,{"STD","Half-PPR","PPR"},0)-1)*5,C17,E17,G17,I17,K17,M17,O17,Q17,S17,U17,W17,Y17,AA17,AC17,AE17)</f>
        <v>8</v>
      </c>
      <c r="AH17" s="4">
        <f>CHOOSE(MATCH(Setup!$B$5,{8,10,12,14,16},0)+(MATCH(Setup!$B$7,{"STD","Half-PPR","PPR"},0)-1)*5,D17,F17,H17,J17,L17,N17,P17,R17,T17,V17,X17,Z17,AB17,AD17,AF17)</f>
        <v>0</v>
      </c>
      <c r="AI17" s="4">
        <f>ROUND(1+AH17*'Live Calc'!$D$9,0)</f>
        <v>1</v>
      </c>
      <c r="AJ17" s="4"/>
      <c r="AK17" s="4">
        <f>IF(AJ17&lt;&gt;"",AJ17,ROUND(AI17*INDEX('Live Calc'!$D$16:$D$25,MATCH(AG17,'Live Calc'!$A$16:$A$25,0))*'Live Calc'!$J$89,0))</f>
        <v>1</v>
      </c>
      <c r="AM17" s="5" t="s">
        <v>134</v>
      </c>
      <c r="AN17" s="5" t="s">
        <v>79</v>
      </c>
      <c r="AO17" s="5">
        <v>3</v>
      </c>
      <c r="AP17" s="5">
        <v>51.91</v>
      </c>
      <c r="AQ17" s="5">
        <v>3</v>
      </c>
      <c r="AR17" s="5">
        <v>138.9162</v>
      </c>
      <c r="AS17" s="5">
        <v>3</v>
      </c>
      <c r="AT17" s="5">
        <v>417.4975</v>
      </c>
      <c r="AU17" s="5">
        <v>3</v>
      </c>
      <c r="AV17" s="5">
        <v>179.7604</v>
      </c>
      <c r="AW17" s="5">
        <v>3</v>
      </c>
      <c r="AX17" s="5">
        <v>264.79919999999998</v>
      </c>
      <c r="AY17" s="5">
        <v>4</v>
      </c>
      <c r="AZ17" s="5">
        <v>115.3344</v>
      </c>
      <c r="BA17" s="5">
        <v>4</v>
      </c>
      <c r="BB17" s="5">
        <v>92.643699999999995</v>
      </c>
      <c r="BC17" s="5">
        <v>4</v>
      </c>
      <c r="BD17" s="5">
        <v>280.86939999999998</v>
      </c>
      <c r="BE17" s="5">
        <v>4</v>
      </c>
      <c r="BF17" s="5">
        <v>356.7423</v>
      </c>
      <c r="BG17" s="5">
        <v>4</v>
      </c>
      <c r="BH17" s="5">
        <v>405.50049999999999</v>
      </c>
      <c r="BI17" s="5">
        <v>8</v>
      </c>
      <c r="BJ17" s="5">
        <v>105.71980000000001</v>
      </c>
      <c r="BK17" s="5">
        <v>8</v>
      </c>
      <c r="BL17" s="5">
        <v>88.866900000000001</v>
      </c>
      <c r="BM17" s="5">
        <v>8</v>
      </c>
      <c r="BN17" s="5">
        <v>122.10420000000001</v>
      </c>
      <c r="BO17" s="5">
        <v>8</v>
      </c>
      <c r="BP17" s="5">
        <v>201.5127</v>
      </c>
      <c r="BQ17" s="5">
        <v>8</v>
      </c>
      <c r="BR17" s="5">
        <v>232.72900000000001</v>
      </c>
      <c r="BS17" s="5">
        <f>CHOOSE(MATCH(Setup!$B$5,{8,10,12,14,16},0)+(MATCH(Setup!$B$7,{"STD","Half-PPR","PPR"},0)-1)*5,AO17,AQ17,AS17,AU17,AW17,AY17,BA17,BC17,BE17,BG17,BI17,BK17,BM17,BO17,BQ17)</f>
        <v>4</v>
      </c>
      <c r="BT17" s="5">
        <f>CHOOSE(MATCH(Setup!$B$5,{8,10,12,14,16},0)+(MATCH(Setup!$B$7,{"STD","Half-PPR","PPR"},0)-1)*5,AP17,AR17,AT17,AV17,AX17,AZ17,BB17,BD17,BF17,BH17,BJ17,BL17,BN17,BP17,BR17)</f>
        <v>280.86939999999998</v>
      </c>
      <c r="BU17" s="5">
        <f>ROUND(1+BT17*'Live Calc'!$D$10,0)</f>
        <v>27</v>
      </c>
      <c r="BV17" s="5"/>
      <c r="BW17" s="5">
        <f>IF(BV17&lt;&gt;"",BV17,ROUND(BU17*INDEX('Live Calc'!$D$29:$D$46,MATCH(BS17,'Live Calc'!$A$29:$A$46,0))*'Live Calc'!$J$89,0))</f>
        <v>27</v>
      </c>
      <c r="BY17" s="6" t="s">
        <v>135</v>
      </c>
      <c r="BZ17" s="6" t="s">
        <v>54</v>
      </c>
      <c r="CA17" s="6">
        <v>6</v>
      </c>
      <c r="CB17" s="6">
        <v>39.194200000000002</v>
      </c>
      <c r="CC17" s="6">
        <v>6</v>
      </c>
      <c r="CD17" s="6">
        <v>75.755200000000002</v>
      </c>
      <c r="CE17" s="6">
        <v>6</v>
      </c>
      <c r="CF17" s="6">
        <v>162.29560000000001</v>
      </c>
      <c r="CG17" s="6">
        <v>6</v>
      </c>
      <c r="CH17" s="6">
        <v>112.5724</v>
      </c>
      <c r="CI17" s="6">
        <v>6</v>
      </c>
      <c r="CJ17" s="6">
        <v>131.87200000000001</v>
      </c>
      <c r="CK17" s="6">
        <v>6</v>
      </c>
      <c r="CL17" s="6">
        <v>85.5745</v>
      </c>
      <c r="CM17" s="6">
        <v>6</v>
      </c>
      <c r="CN17" s="6">
        <v>211.97049999999999</v>
      </c>
      <c r="CO17" s="6">
        <v>6</v>
      </c>
      <c r="CP17" s="6">
        <v>210.78540000000001</v>
      </c>
      <c r="CQ17" s="6">
        <v>5</v>
      </c>
      <c r="CR17" s="6">
        <v>144.42660000000001</v>
      </c>
      <c r="CS17" s="6">
        <v>6</v>
      </c>
      <c r="CT17" s="6">
        <v>219.8948</v>
      </c>
      <c r="CU17" s="6">
        <v>5</v>
      </c>
      <c r="CV17" s="6">
        <v>90.449399999999997</v>
      </c>
      <c r="CW17" s="6">
        <v>5</v>
      </c>
      <c r="CX17" s="6">
        <v>82.815799999999996</v>
      </c>
      <c r="CY17" s="6">
        <v>5</v>
      </c>
      <c r="CZ17" s="6">
        <v>316.71800000000002</v>
      </c>
      <c r="DA17" s="6">
        <v>5</v>
      </c>
      <c r="DB17" s="6">
        <v>221.23390000000001</v>
      </c>
      <c r="DC17" s="6">
        <v>5</v>
      </c>
      <c r="DD17" s="6">
        <v>194.23339999999999</v>
      </c>
      <c r="DE17" s="6">
        <f>CHOOSE(MATCH(Setup!$B$5,{8,10,12,14,16},0)+(MATCH(Setup!$B$7,{"STD","Half-PPR","PPR"},0)-1)*5,CA17,CC17,CE17,CG17,CI17,CK17,CM17,CO17,CQ17,CS17,CU17,CW17,CY17,DA17,DC17)</f>
        <v>6</v>
      </c>
      <c r="DF17" s="6">
        <f>CHOOSE(MATCH(Setup!$B$5,{8,10,12,14,16},0)+(MATCH(Setup!$B$7,{"STD","Half-PPR","PPR"},0)-1)*5,CB17,CD17,CF17,CH17,CJ17,CL17,CN17,CP17,CR17,CT17,CV17,CX17,CZ17,DB17,DD17)</f>
        <v>210.78540000000001</v>
      </c>
      <c r="DG17" s="6">
        <f>ROUND(1+DF17*'Live Calc'!$D$11,0)</f>
        <v>23</v>
      </c>
      <c r="DH17" s="6"/>
      <c r="DI17" s="6">
        <f>IF(DH17&lt;&gt;"",DH17,ROUND(DG17*INDEX('Live Calc'!$D$50:$D$70,MATCH(DE17,'Live Calc'!$A$50:$A$70,0))*'Live Calc'!$J$89,0))</f>
        <v>23</v>
      </c>
      <c r="DK17" s="7" t="s">
        <v>136</v>
      </c>
      <c r="DL17" s="7" t="s">
        <v>62</v>
      </c>
      <c r="DM17" s="7">
        <v>7</v>
      </c>
      <c r="DN17" s="7">
        <v>0.54169999999999996</v>
      </c>
      <c r="DO17" s="7">
        <v>7</v>
      </c>
      <c r="DP17" s="7">
        <v>6.3720999999999997</v>
      </c>
      <c r="DQ17" s="7">
        <v>7</v>
      </c>
      <c r="DR17" s="7">
        <v>12.748799999999999</v>
      </c>
      <c r="DS17" s="7">
        <v>7</v>
      </c>
      <c r="DT17" s="7">
        <v>17.672699999999999</v>
      </c>
      <c r="DU17" s="7">
        <v>7</v>
      </c>
      <c r="DV17" s="7">
        <v>13.5746</v>
      </c>
      <c r="DW17" s="7">
        <v>6</v>
      </c>
      <c r="DX17" s="7">
        <v>0</v>
      </c>
      <c r="DY17" s="7">
        <v>9</v>
      </c>
      <c r="DZ17" s="7">
        <v>0</v>
      </c>
      <c r="EA17" s="7">
        <v>6</v>
      </c>
      <c r="EB17" s="7">
        <v>13.718</v>
      </c>
      <c r="EC17" s="7">
        <v>7</v>
      </c>
      <c r="ED17" s="7">
        <v>13.983599999999999</v>
      </c>
      <c r="EE17" s="7">
        <v>7</v>
      </c>
      <c r="EF17" s="7">
        <v>19.266200000000001</v>
      </c>
      <c r="EG17" s="7">
        <v>5</v>
      </c>
      <c r="EH17" s="7">
        <v>0</v>
      </c>
      <c r="EI17" s="7">
        <v>5</v>
      </c>
      <c r="EJ17" s="7">
        <v>3.8391000000000002</v>
      </c>
      <c r="EK17" s="7">
        <v>5</v>
      </c>
      <c r="EL17" s="7">
        <v>9.7315000000000005</v>
      </c>
      <c r="EM17" s="7">
        <v>5</v>
      </c>
      <c r="EN17" s="7">
        <v>15.623900000000001</v>
      </c>
      <c r="EO17" s="7">
        <v>5</v>
      </c>
      <c r="EP17" s="7">
        <v>20.246700000000001</v>
      </c>
      <c r="EQ17" s="7">
        <f>CHOOSE(MATCH(Setup!$B$5,{8,10,12,14,16},0)+(MATCH(Setup!$B$7,{"STD","Half-PPR","PPR"},0)-1)*5,DM17,DO17,DQ17,DS17,DU17,DW17,DY17,EA17,EC17,EE17,EG17,EI17,EK17,EM17,EO17)</f>
        <v>6</v>
      </c>
      <c r="ER17" s="7">
        <f>CHOOSE(MATCH(Setup!$B$5,{8,10,12,14,16},0)+(MATCH(Setup!$B$7,{"STD","Half-PPR","PPR"},0)-1)*5,DN17,DP17,DR17,DT17,DV17,DX17,DZ17,EB17,ED17,EF17,EH17,EJ17,EL17,EN17,EP17)</f>
        <v>13.718</v>
      </c>
      <c r="ES17" s="7">
        <f>ROUND(1+ER17*'Live Calc'!$D$12,0)</f>
        <v>5</v>
      </c>
      <c r="ET17" s="7"/>
      <c r="EU17" s="7">
        <f>IF(ET17&lt;&gt;"",ET17,ROUND(ES17*INDEX('Live Calc'!$D$74:$D$85,MATCH(EQ17,'Live Calc'!$A$74:$A$85,0))*'Live Calc'!$J$89,0))</f>
        <v>5</v>
      </c>
    </row>
    <row r="18" spans="1:151" x14ac:dyDescent="0.25">
      <c r="A18" s="4" t="s">
        <v>137</v>
      </c>
      <c r="B18" s="4" t="s">
        <v>91</v>
      </c>
      <c r="C18" s="4">
        <v>6</v>
      </c>
      <c r="D18" s="4">
        <v>0</v>
      </c>
      <c r="E18" s="4">
        <v>7</v>
      </c>
      <c r="F18" s="4">
        <v>0</v>
      </c>
      <c r="G18" s="4">
        <v>7</v>
      </c>
      <c r="H18" s="4">
        <v>7.5978000000000003</v>
      </c>
      <c r="I18" s="4">
        <v>7</v>
      </c>
      <c r="J18" s="4">
        <v>11.3048</v>
      </c>
      <c r="K18" s="4">
        <v>7</v>
      </c>
      <c r="L18" s="4">
        <v>9.0679999999999996</v>
      </c>
      <c r="M18" s="4">
        <v>5</v>
      </c>
      <c r="N18" s="4">
        <v>0</v>
      </c>
      <c r="O18" s="4">
        <v>6</v>
      </c>
      <c r="P18" s="4">
        <v>0</v>
      </c>
      <c r="Q18" s="4">
        <v>8</v>
      </c>
      <c r="R18" s="4">
        <v>0</v>
      </c>
      <c r="S18" s="4">
        <v>7</v>
      </c>
      <c r="T18" s="4">
        <v>7.5978000000000003</v>
      </c>
      <c r="U18" s="4">
        <v>7</v>
      </c>
      <c r="V18" s="4">
        <v>6.3695000000000004</v>
      </c>
      <c r="W18" s="4">
        <v>6</v>
      </c>
      <c r="X18" s="4">
        <v>0</v>
      </c>
      <c r="Y18" s="4">
        <v>8</v>
      </c>
      <c r="Z18" s="4">
        <v>0</v>
      </c>
      <c r="AA18" s="4">
        <v>7</v>
      </c>
      <c r="AB18" s="4">
        <v>12.622299999999999</v>
      </c>
      <c r="AC18" s="4">
        <v>7</v>
      </c>
      <c r="AD18" s="4">
        <v>56.987000000000002</v>
      </c>
      <c r="AE18" s="4">
        <v>6</v>
      </c>
      <c r="AF18" s="4">
        <v>30.595400000000001</v>
      </c>
      <c r="AG18" s="4">
        <f>CHOOSE(MATCH(Setup!$B$5,{8,10,12,14,16},0)+(MATCH(Setup!$B$7,{"STD","Half-PPR","PPR"},0)-1)*5,C18,E18,G18,I18,K18,M18,O18,Q18,S18,U18,W18,Y18,AA18,AC18,AE18)</f>
        <v>8</v>
      </c>
      <c r="AH18" s="4">
        <f>CHOOSE(MATCH(Setup!$B$5,{8,10,12,14,16},0)+(MATCH(Setup!$B$7,{"STD","Half-PPR","PPR"},0)-1)*5,D18,F18,H18,J18,L18,N18,P18,R18,T18,V18,X18,Z18,AB18,AD18,AF18)</f>
        <v>0</v>
      </c>
      <c r="AI18" s="4">
        <f>ROUND(1+AH18*'Live Calc'!$D$9,0)</f>
        <v>1</v>
      </c>
      <c r="AJ18" s="4"/>
      <c r="AK18" s="4">
        <f>IF(AJ18&lt;&gt;"",AJ18,ROUND(AI18*INDEX('Live Calc'!$D$16:$D$25,MATCH(AG18,'Live Calc'!$A$16:$A$25,0))*'Live Calc'!$J$89,0))</f>
        <v>1</v>
      </c>
      <c r="AM18" s="5" t="s">
        <v>138</v>
      </c>
      <c r="AN18" s="5" t="s">
        <v>127</v>
      </c>
      <c r="AO18" s="5">
        <v>3</v>
      </c>
      <c r="AP18" s="5">
        <v>47.173999999999999</v>
      </c>
      <c r="AQ18" s="5">
        <v>3</v>
      </c>
      <c r="AR18" s="5">
        <v>128.6019</v>
      </c>
      <c r="AS18" s="5">
        <v>3</v>
      </c>
      <c r="AT18" s="5">
        <v>392.88799999999998</v>
      </c>
      <c r="AU18" s="5">
        <v>3</v>
      </c>
      <c r="AV18" s="5">
        <v>171.4265</v>
      </c>
      <c r="AW18" s="5">
        <v>3</v>
      </c>
      <c r="AX18" s="5">
        <v>253.55520000000001</v>
      </c>
      <c r="AY18" s="5">
        <v>4</v>
      </c>
      <c r="AZ18" s="5">
        <v>119.5355</v>
      </c>
      <c r="BA18" s="5">
        <v>4</v>
      </c>
      <c r="BB18" s="5">
        <v>95.2012</v>
      </c>
      <c r="BC18" s="5">
        <v>4</v>
      </c>
      <c r="BD18" s="5">
        <v>286.90519999999998</v>
      </c>
      <c r="BE18" s="5">
        <v>4</v>
      </c>
      <c r="BF18" s="5">
        <v>363.0215</v>
      </c>
      <c r="BG18" s="5">
        <v>4</v>
      </c>
      <c r="BH18" s="5">
        <v>411.91430000000003</v>
      </c>
      <c r="BI18" s="5">
        <v>7</v>
      </c>
      <c r="BJ18" s="5">
        <v>128.017</v>
      </c>
      <c r="BK18" s="5">
        <v>7</v>
      </c>
      <c r="BL18" s="5">
        <v>102.4639</v>
      </c>
      <c r="BM18" s="5">
        <v>7</v>
      </c>
      <c r="BN18" s="5">
        <v>135.8964</v>
      </c>
      <c r="BO18" s="5">
        <v>7</v>
      </c>
      <c r="BP18" s="5">
        <v>220.1592</v>
      </c>
      <c r="BQ18" s="5">
        <v>7</v>
      </c>
      <c r="BR18" s="5">
        <v>251.6121</v>
      </c>
      <c r="BS18" s="5">
        <f>CHOOSE(MATCH(Setup!$B$5,{8,10,12,14,16},0)+(MATCH(Setup!$B$7,{"STD","Half-PPR","PPR"},0)-1)*5,AO18,AQ18,AS18,AU18,AW18,AY18,BA18,BC18,BE18,BG18,BI18,BK18,BM18,BO18,BQ18)</f>
        <v>4</v>
      </c>
      <c r="BT18" s="5">
        <f>CHOOSE(MATCH(Setup!$B$5,{8,10,12,14,16},0)+(MATCH(Setup!$B$7,{"STD","Half-PPR","PPR"},0)-1)*5,AP18,AR18,AT18,AV18,AX18,AZ18,BB18,BD18,BF18,BH18,BJ18,BL18,BN18,BP18,BR18)</f>
        <v>286.90519999999998</v>
      </c>
      <c r="BU18" s="5">
        <f>ROUND(1+BT18*'Live Calc'!$D$10,0)</f>
        <v>28</v>
      </c>
      <c r="BV18" s="5"/>
      <c r="BW18" s="5">
        <f>IF(BV18&lt;&gt;"",BV18,ROUND(BU18*INDEX('Live Calc'!$D$29:$D$46,MATCH(BS18,'Live Calc'!$A$29:$A$46,0))*'Live Calc'!$J$89,0))</f>
        <v>28</v>
      </c>
      <c r="BY18" s="6" t="s">
        <v>139</v>
      </c>
      <c r="BZ18" s="6" t="s">
        <v>88</v>
      </c>
      <c r="CA18" s="6">
        <v>7</v>
      </c>
      <c r="CB18" s="6">
        <v>32.300199999999997</v>
      </c>
      <c r="CC18" s="6">
        <v>7</v>
      </c>
      <c r="CD18" s="6">
        <v>66.777600000000007</v>
      </c>
      <c r="CE18" s="6">
        <v>7</v>
      </c>
      <c r="CF18" s="6">
        <v>146.90110000000001</v>
      </c>
      <c r="CG18" s="6">
        <v>7</v>
      </c>
      <c r="CH18" s="6">
        <v>103.24939999999999</v>
      </c>
      <c r="CI18" s="6">
        <v>7</v>
      </c>
      <c r="CJ18" s="6">
        <v>122.4089</v>
      </c>
      <c r="CK18" s="6">
        <v>6</v>
      </c>
      <c r="CL18" s="6">
        <v>75.990600000000001</v>
      </c>
      <c r="CM18" s="6">
        <v>6</v>
      </c>
      <c r="CN18" s="6">
        <v>194.9616</v>
      </c>
      <c r="CO18" s="6">
        <v>6</v>
      </c>
      <c r="CP18" s="6">
        <v>197.10239999999999</v>
      </c>
      <c r="CQ18" s="6">
        <v>5</v>
      </c>
      <c r="CR18" s="6">
        <v>136.3227</v>
      </c>
      <c r="CS18" s="6">
        <v>6</v>
      </c>
      <c r="CT18" s="6">
        <v>209.0087</v>
      </c>
      <c r="CU18" s="6">
        <v>5</v>
      </c>
      <c r="CV18" s="6">
        <v>86.433899999999994</v>
      </c>
      <c r="CW18" s="6">
        <v>5</v>
      </c>
      <c r="CX18" s="6">
        <v>80.296000000000006</v>
      </c>
      <c r="CY18" s="6">
        <v>5</v>
      </c>
      <c r="CZ18" s="6">
        <v>309.04219999999998</v>
      </c>
      <c r="DA18" s="6">
        <v>5</v>
      </c>
      <c r="DB18" s="6">
        <v>216.71420000000001</v>
      </c>
      <c r="DC18" s="6">
        <v>5</v>
      </c>
      <c r="DD18" s="6">
        <v>190.78030000000001</v>
      </c>
      <c r="DE18" s="6">
        <f>CHOOSE(MATCH(Setup!$B$5,{8,10,12,14,16},0)+(MATCH(Setup!$B$7,{"STD","Half-PPR","PPR"},0)-1)*5,CA18,CC18,CE18,CG18,CI18,CK18,CM18,CO18,CQ18,CS18,CU18,CW18,CY18,DA18,DC18)</f>
        <v>6</v>
      </c>
      <c r="DF18" s="6">
        <f>CHOOSE(MATCH(Setup!$B$5,{8,10,12,14,16},0)+(MATCH(Setup!$B$7,{"STD","Half-PPR","PPR"},0)-1)*5,CB18,CD18,CF18,CH18,CJ18,CL18,CN18,CP18,CR18,CT18,CV18,CX18,CZ18,DB18,DD18)</f>
        <v>197.10239999999999</v>
      </c>
      <c r="DG18" s="6">
        <f>ROUND(1+DF18*'Live Calc'!$D$11,0)</f>
        <v>22</v>
      </c>
      <c r="DH18" s="6"/>
      <c r="DI18" s="6">
        <f>IF(DH18&lt;&gt;"",DH18,ROUND(DG18*INDEX('Live Calc'!$D$50:$D$70,MATCH(DE18,'Live Calc'!$A$50:$A$70,0))*'Live Calc'!$J$89,0))</f>
        <v>22</v>
      </c>
      <c r="DK18" s="7" t="s">
        <v>140</v>
      </c>
      <c r="DL18" s="7" t="s">
        <v>117</v>
      </c>
      <c r="DM18" s="7">
        <v>8</v>
      </c>
      <c r="DN18" s="7">
        <v>0</v>
      </c>
      <c r="DO18" s="7">
        <v>9</v>
      </c>
      <c r="DP18" s="7">
        <v>0</v>
      </c>
      <c r="DQ18" s="7">
        <v>8</v>
      </c>
      <c r="DR18" s="7">
        <v>7.2881999999999998</v>
      </c>
      <c r="DS18" s="7">
        <v>8</v>
      </c>
      <c r="DT18" s="7">
        <v>12.4581</v>
      </c>
      <c r="DU18" s="7">
        <v>8</v>
      </c>
      <c r="DV18" s="7">
        <v>10.1998</v>
      </c>
      <c r="DW18" s="7">
        <v>6</v>
      </c>
      <c r="DX18" s="7">
        <v>0</v>
      </c>
      <c r="DY18" s="7">
        <v>9</v>
      </c>
      <c r="DZ18" s="7">
        <v>0</v>
      </c>
      <c r="EA18" s="7">
        <v>7</v>
      </c>
      <c r="EB18" s="7">
        <v>8.4160000000000004</v>
      </c>
      <c r="EC18" s="7">
        <v>8</v>
      </c>
      <c r="ED18" s="7">
        <v>10.3675</v>
      </c>
      <c r="EE18" s="7">
        <v>8</v>
      </c>
      <c r="EF18" s="7">
        <v>15.7944</v>
      </c>
      <c r="EG18" s="7">
        <v>5</v>
      </c>
      <c r="EH18" s="7">
        <v>0</v>
      </c>
      <c r="EI18" s="7">
        <v>5</v>
      </c>
      <c r="EJ18" s="7">
        <v>1.0323</v>
      </c>
      <c r="EK18" s="7">
        <v>5</v>
      </c>
      <c r="EL18" s="7">
        <v>7.7468000000000004</v>
      </c>
      <c r="EM18" s="7">
        <v>6</v>
      </c>
      <c r="EN18" s="7">
        <v>13.814</v>
      </c>
      <c r="EO18" s="7">
        <v>6</v>
      </c>
      <c r="EP18" s="7">
        <v>18.5227</v>
      </c>
      <c r="EQ18" s="7">
        <f>CHOOSE(MATCH(Setup!$B$5,{8,10,12,14,16},0)+(MATCH(Setup!$B$7,{"STD","Half-PPR","PPR"},0)-1)*5,DM18,DO18,DQ18,DS18,DU18,DW18,DY18,EA18,EC18,EE18,EG18,EI18,EK18,EM18,EO18)</f>
        <v>7</v>
      </c>
      <c r="ER18" s="7">
        <f>CHOOSE(MATCH(Setup!$B$5,{8,10,12,14,16},0)+(MATCH(Setup!$B$7,{"STD","Half-PPR","PPR"},0)-1)*5,DN18,DP18,DR18,DT18,DV18,DX18,DZ18,EB18,ED18,EF18,EH18,EJ18,EL18,EN18,EP18)</f>
        <v>8.4160000000000004</v>
      </c>
      <c r="ES18" s="7">
        <f>ROUND(1+ER18*'Live Calc'!$D$12,0)</f>
        <v>4</v>
      </c>
      <c r="ET18" s="7"/>
      <c r="EU18" s="7">
        <f>IF(ET18&lt;&gt;"",ET18,ROUND(ES18*INDEX('Live Calc'!$D$74:$D$85,MATCH(EQ18,'Live Calc'!$A$74:$A$85,0))*'Live Calc'!$J$89,0))</f>
        <v>4</v>
      </c>
    </row>
    <row r="19" spans="1:151" x14ac:dyDescent="0.25">
      <c r="A19" s="4" t="s">
        <v>141</v>
      </c>
      <c r="B19" s="4" t="s">
        <v>142</v>
      </c>
      <c r="C19" s="4">
        <v>6</v>
      </c>
      <c r="D19" s="4">
        <v>0</v>
      </c>
      <c r="E19" s="4">
        <v>7</v>
      </c>
      <c r="F19" s="4">
        <v>0</v>
      </c>
      <c r="G19" s="4">
        <v>8</v>
      </c>
      <c r="H19" s="4">
        <v>0</v>
      </c>
      <c r="I19" s="4">
        <v>8</v>
      </c>
      <c r="J19" s="4">
        <v>3.6392000000000002</v>
      </c>
      <c r="K19" s="4">
        <v>8</v>
      </c>
      <c r="L19" s="4">
        <v>3.2360000000000002</v>
      </c>
      <c r="M19" s="4">
        <v>5</v>
      </c>
      <c r="N19" s="4">
        <v>0</v>
      </c>
      <c r="O19" s="4">
        <v>6</v>
      </c>
      <c r="P19" s="4">
        <v>0</v>
      </c>
      <c r="Q19" s="4">
        <v>8</v>
      </c>
      <c r="R19" s="4">
        <v>0</v>
      </c>
      <c r="S19" s="4">
        <v>8</v>
      </c>
      <c r="T19" s="4">
        <v>0</v>
      </c>
      <c r="U19" s="4">
        <v>8</v>
      </c>
      <c r="V19" s="4">
        <v>0</v>
      </c>
      <c r="W19" s="4">
        <v>6</v>
      </c>
      <c r="X19" s="4">
        <v>0</v>
      </c>
      <c r="Y19" s="4">
        <v>8</v>
      </c>
      <c r="Z19" s="4">
        <v>0</v>
      </c>
      <c r="AA19" s="4">
        <v>8</v>
      </c>
      <c r="AB19" s="4">
        <v>3.8593000000000002</v>
      </c>
      <c r="AC19" s="4">
        <v>8</v>
      </c>
      <c r="AD19" s="4">
        <v>38.518000000000001</v>
      </c>
      <c r="AE19" s="4">
        <v>7</v>
      </c>
      <c r="AF19" s="4">
        <v>21.964200000000002</v>
      </c>
      <c r="AG19" s="4">
        <f>CHOOSE(MATCH(Setup!$B$5,{8,10,12,14,16},0)+(MATCH(Setup!$B$7,{"STD","Half-PPR","PPR"},0)-1)*5,C19,E19,G19,I19,K19,M19,O19,Q19,S19,U19,W19,Y19,AA19,AC19,AE19)</f>
        <v>8</v>
      </c>
      <c r="AH19" s="4">
        <f>CHOOSE(MATCH(Setup!$B$5,{8,10,12,14,16},0)+(MATCH(Setup!$B$7,{"STD","Half-PPR","PPR"},0)-1)*5,D19,F19,H19,J19,L19,N19,P19,R19,T19,V19,X19,Z19,AB19,AD19,AF19)</f>
        <v>0</v>
      </c>
      <c r="AI19" s="4">
        <f>ROUND(1+AH19*'Live Calc'!$D$9,0)</f>
        <v>1</v>
      </c>
      <c r="AJ19" s="4"/>
      <c r="AK19" s="4">
        <f>IF(AJ19&lt;&gt;"",AJ19,ROUND(AI19*INDEX('Live Calc'!$D$16:$D$25,MATCH(AG19,'Live Calc'!$A$16:$A$25,0))*'Live Calc'!$J$89,0))</f>
        <v>1</v>
      </c>
      <c r="AM19" s="5" t="s">
        <v>143</v>
      </c>
      <c r="AN19" s="5" t="s">
        <v>117</v>
      </c>
      <c r="AO19" s="5">
        <v>4</v>
      </c>
      <c r="AP19" s="5">
        <v>38.875999999999998</v>
      </c>
      <c r="AQ19" s="5">
        <v>4</v>
      </c>
      <c r="AR19" s="5">
        <v>110.79179999999999</v>
      </c>
      <c r="AS19" s="5">
        <v>4</v>
      </c>
      <c r="AT19" s="5">
        <v>350.62240000000003</v>
      </c>
      <c r="AU19" s="5">
        <v>4</v>
      </c>
      <c r="AV19" s="5">
        <v>156.91399999999999</v>
      </c>
      <c r="AW19" s="5">
        <v>4</v>
      </c>
      <c r="AX19" s="5">
        <v>234.01169999999999</v>
      </c>
      <c r="AY19" s="5">
        <v>4</v>
      </c>
      <c r="AZ19" s="5">
        <v>100.58280000000001</v>
      </c>
      <c r="BA19" s="5">
        <v>4</v>
      </c>
      <c r="BB19" s="5">
        <v>83.590800000000002</v>
      </c>
      <c r="BC19" s="5">
        <v>4</v>
      </c>
      <c r="BD19" s="5">
        <v>259.6157</v>
      </c>
      <c r="BE19" s="5">
        <v>4</v>
      </c>
      <c r="BF19" s="5">
        <v>334.59809999999999</v>
      </c>
      <c r="BG19" s="5">
        <v>4</v>
      </c>
      <c r="BH19" s="5">
        <v>382.86610000000002</v>
      </c>
      <c r="BI19" s="5">
        <v>8</v>
      </c>
      <c r="BJ19" s="5">
        <v>98.650499999999994</v>
      </c>
      <c r="BK19" s="5">
        <v>8</v>
      </c>
      <c r="BL19" s="5">
        <v>84.501099999999994</v>
      </c>
      <c r="BM19" s="5">
        <v>8</v>
      </c>
      <c r="BN19" s="5">
        <v>117.6704</v>
      </c>
      <c r="BO19" s="5">
        <v>8</v>
      </c>
      <c r="BP19" s="5">
        <v>195.53020000000001</v>
      </c>
      <c r="BQ19" s="5">
        <v>8</v>
      </c>
      <c r="BR19" s="5">
        <v>226.66669999999999</v>
      </c>
      <c r="BS19" s="5">
        <f>CHOOSE(MATCH(Setup!$B$5,{8,10,12,14,16},0)+(MATCH(Setup!$B$7,{"STD","Half-PPR","PPR"},0)-1)*5,AO19,AQ19,AS19,AU19,AW19,AY19,BA19,BC19,BE19,BG19,BI19,BK19,BM19,BO19,BQ19)</f>
        <v>4</v>
      </c>
      <c r="BT19" s="5">
        <f>CHOOSE(MATCH(Setup!$B$5,{8,10,12,14,16},0)+(MATCH(Setup!$B$7,{"STD","Half-PPR","PPR"},0)-1)*5,AP19,AR19,AT19,AV19,AX19,AZ19,BB19,BD19,BF19,BH19,BJ19,BL19,BN19,BP19,BR19)</f>
        <v>259.6157</v>
      </c>
      <c r="BU19" s="5">
        <f>ROUND(1+BT19*'Live Calc'!$D$10,0)</f>
        <v>25</v>
      </c>
      <c r="BV19" s="5"/>
      <c r="BW19" s="5">
        <f>IF(BV19&lt;&gt;"",BV19,ROUND(BU19*INDEX('Live Calc'!$D$29:$D$46,MATCH(BS19,'Live Calc'!$A$29:$A$46,0))*'Live Calc'!$J$89,0))</f>
        <v>25</v>
      </c>
      <c r="BY19" s="6" t="s">
        <v>144</v>
      </c>
      <c r="BZ19" s="6" t="s">
        <v>145</v>
      </c>
      <c r="CA19" s="6">
        <v>7</v>
      </c>
      <c r="CB19" s="6">
        <v>33.100999999999999</v>
      </c>
      <c r="CC19" s="6">
        <v>7</v>
      </c>
      <c r="CD19" s="6">
        <v>67.819500000000005</v>
      </c>
      <c r="CE19" s="6">
        <v>7</v>
      </c>
      <c r="CF19" s="6">
        <v>148.68350000000001</v>
      </c>
      <c r="CG19" s="6">
        <v>7</v>
      </c>
      <c r="CH19" s="6">
        <v>104.3331</v>
      </c>
      <c r="CI19" s="6">
        <v>7</v>
      </c>
      <c r="CJ19" s="6">
        <v>123.5094</v>
      </c>
      <c r="CK19" s="6">
        <v>6</v>
      </c>
      <c r="CL19" s="6">
        <v>73.056600000000003</v>
      </c>
      <c r="CM19" s="6">
        <v>6</v>
      </c>
      <c r="CN19" s="6">
        <v>189.75810000000001</v>
      </c>
      <c r="CO19" s="6">
        <v>6</v>
      </c>
      <c r="CP19" s="6">
        <v>192.9008</v>
      </c>
      <c r="CQ19" s="6">
        <v>5</v>
      </c>
      <c r="CR19" s="6">
        <v>133.8244</v>
      </c>
      <c r="CS19" s="6">
        <v>6</v>
      </c>
      <c r="CT19" s="6">
        <v>205.65559999999999</v>
      </c>
      <c r="CU19" s="6">
        <v>6</v>
      </c>
      <c r="CV19" s="6">
        <v>77.558599999999998</v>
      </c>
      <c r="CW19" s="6">
        <v>6</v>
      </c>
      <c r="CX19" s="6">
        <v>74.685100000000006</v>
      </c>
      <c r="CY19" s="6">
        <v>6</v>
      </c>
      <c r="CZ19" s="6">
        <v>292.0453</v>
      </c>
      <c r="DA19" s="6">
        <v>6</v>
      </c>
      <c r="DB19" s="6">
        <v>206.6696</v>
      </c>
      <c r="DC19" s="6">
        <v>6</v>
      </c>
      <c r="DD19" s="6">
        <v>183.0926</v>
      </c>
      <c r="DE19" s="6">
        <f>CHOOSE(MATCH(Setup!$B$5,{8,10,12,14,16},0)+(MATCH(Setup!$B$7,{"STD","Half-PPR","PPR"},0)-1)*5,CA19,CC19,CE19,CG19,CI19,CK19,CM19,CO19,CQ19,CS19,CU19,CW19,CY19,DA19,DC19)</f>
        <v>6</v>
      </c>
      <c r="DF19" s="6">
        <f>CHOOSE(MATCH(Setup!$B$5,{8,10,12,14,16},0)+(MATCH(Setup!$B$7,{"STD","Half-PPR","PPR"},0)-1)*5,CB19,CD19,CF19,CH19,CJ19,CL19,CN19,CP19,CR19,CT19,CV19,CX19,CZ19,DB19,DD19)</f>
        <v>192.9008</v>
      </c>
      <c r="DG19" s="6">
        <f>ROUND(1+DF19*'Live Calc'!$D$11,0)</f>
        <v>21</v>
      </c>
      <c r="DH19" s="6"/>
      <c r="DI19" s="6">
        <f>IF(DH19&lt;&gt;"",DH19,ROUND(DG19*INDEX('Live Calc'!$D$50:$D$70,MATCH(DE19,'Live Calc'!$A$50:$A$70,0))*'Live Calc'!$J$89,0))</f>
        <v>21</v>
      </c>
      <c r="DK19" s="7" t="s">
        <v>146</v>
      </c>
      <c r="DL19" s="7" t="s">
        <v>104</v>
      </c>
      <c r="DM19" s="7">
        <v>8</v>
      </c>
      <c r="DN19" s="7">
        <v>0</v>
      </c>
      <c r="DO19" s="7">
        <v>8</v>
      </c>
      <c r="DP19" s="7">
        <v>1.1197999999999999</v>
      </c>
      <c r="DQ19" s="7">
        <v>8</v>
      </c>
      <c r="DR19" s="7">
        <v>8.1018000000000008</v>
      </c>
      <c r="DS19" s="7">
        <v>8</v>
      </c>
      <c r="DT19" s="7">
        <v>13.226599999999999</v>
      </c>
      <c r="DU19" s="7">
        <v>8</v>
      </c>
      <c r="DV19" s="7">
        <v>10.7043</v>
      </c>
      <c r="DW19" s="7">
        <v>6</v>
      </c>
      <c r="DX19" s="7">
        <v>0</v>
      </c>
      <c r="DY19" s="7">
        <v>9</v>
      </c>
      <c r="DZ19" s="7">
        <v>0</v>
      </c>
      <c r="EA19" s="7">
        <v>7</v>
      </c>
      <c r="EB19" s="7">
        <v>7.7880000000000003</v>
      </c>
      <c r="EC19" s="7">
        <v>8</v>
      </c>
      <c r="ED19" s="7">
        <v>9.9306000000000001</v>
      </c>
      <c r="EE19" s="7">
        <v>8</v>
      </c>
      <c r="EF19" s="7">
        <v>15.377800000000001</v>
      </c>
      <c r="EG19" s="7">
        <v>5</v>
      </c>
      <c r="EH19" s="7">
        <v>0</v>
      </c>
      <c r="EI19" s="7">
        <v>6</v>
      </c>
      <c r="EJ19" s="7">
        <v>0</v>
      </c>
      <c r="EK19" s="7">
        <v>5</v>
      </c>
      <c r="EL19" s="7">
        <v>7.1288</v>
      </c>
      <c r="EM19" s="7">
        <v>6</v>
      </c>
      <c r="EN19" s="7">
        <v>13.257999999999999</v>
      </c>
      <c r="EO19" s="7">
        <v>6</v>
      </c>
      <c r="EP19" s="7">
        <v>17.9953</v>
      </c>
      <c r="EQ19" s="7">
        <f>CHOOSE(MATCH(Setup!$B$5,{8,10,12,14,16},0)+(MATCH(Setup!$B$7,{"STD","Half-PPR","PPR"},0)-1)*5,DM19,DO19,DQ19,DS19,DU19,DW19,DY19,EA19,EC19,EE19,EG19,EI19,EK19,EM19,EO19)</f>
        <v>7</v>
      </c>
      <c r="ER19" s="7">
        <f>CHOOSE(MATCH(Setup!$B$5,{8,10,12,14,16},0)+(MATCH(Setup!$B$7,{"STD","Half-PPR","PPR"},0)-1)*5,DN19,DP19,DR19,DT19,DV19,DX19,DZ19,EB19,ED19,EF19,EH19,EJ19,EL19,EN19,EP19)</f>
        <v>7.7880000000000003</v>
      </c>
      <c r="ES19" s="7">
        <f>ROUND(1+ER19*'Live Calc'!$D$12,0)</f>
        <v>3</v>
      </c>
      <c r="ET19" s="7"/>
      <c r="EU19" s="7">
        <f>IF(ET19&lt;&gt;"",ET19,ROUND(ES19*INDEX('Live Calc'!$D$74:$D$85,MATCH(EQ19,'Live Calc'!$A$74:$A$85,0))*'Live Calc'!$J$89,0))</f>
        <v>3</v>
      </c>
    </row>
    <row r="20" spans="1:151" x14ac:dyDescent="0.25">
      <c r="A20" s="4" t="s">
        <v>147</v>
      </c>
      <c r="B20" s="4" t="s">
        <v>117</v>
      </c>
      <c r="C20" s="4">
        <v>6</v>
      </c>
      <c r="D20" s="4">
        <v>0</v>
      </c>
      <c r="E20" s="4">
        <v>7</v>
      </c>
      <c r="F20" s="4">
        <v>0</v>
      </c>
      <c r="G20" s="4">
        <v>8</v>
      </c>
      <c r="H20" s="4">
        <v>0</v>
      </c>
      <c r="I20" s="4">
        <v>8</v>
      </c>
      <c r="J20" s="4">
        <v>2.9771000000000001</v>
      </c>
      <c r="K20" s="4">
        <v>8</v>
      </c>
      <c r="L20" s="4">
        <v>2.6960000000000002</v>
      </c>
      <c r="M20" s="4">
        <v>5</v>
      </c>
      <c r="N20" s="4">
        <v>0</v>
      </c>
      <c r="O20" s="4">
        <v>6</v>
      </c>
      <c r="P20" s="4">
        <v>0</v>
      </c>
      <c r="Q20" s="4">
        <v>8</v>
      </c>
      <c r="R20" s="4">
        <v>0</v>
      </c>
      <c r="S20" s="4">
        <v>8</v>
      </c>
      <c r="T20" s="4">
        <v>0</v>
      </c>
      <c r="U20" s="4">
        <v>8</v>
      </c>
      <c r="V20" s="4">
        <v>0</v>
      </c>
      <c r="W20" s="4">
        <v>6</v>
      </c>
      <c r="X20" s="4">
        <v>0</v>
      </c>
      <c r="Y20" s="4">
        <v>8</v>
      </c>
      <c r="Z20" s="4">
        <v>0</v>
      </c>
      <c r="AA20" s="4">
        <v>8</v>
      </c>
      <c r="AB20" s="4">
        <v>3.1284000000000001</v>
      </c>
      <c r="AC20" s="4">
        <v>8</v>
      </c>
      <c r="AD20" s="4">
        <v>36.895800000000001</v>
      </c>
      <c r="AE20" s="4">
        <v>7</v>
      </c>
      <c r="AF20" s="4">
        <v>21.178899999999999</v>
      </c>
      <c r="AG20" s="4">
        <f>CHOOSE(MATCH(Setup!$B$5,{8,10,12,14,16},0)+(MATCH(Setup!$B$7,{"STD","Half-PPR","PPR"},0)-1)*5,C20,E20,G20,I20,K20,M20,O20,Q20,S20,U20,W20,Y20,AA20,AC20,AE20)</f>
        <v>8</v>
      </c>
      <c r="AH20" s="4">
        <f>CHOOSE(MATCH(Setup!$B$5,{8,10,12,14,16},0)+(MATCH(Setup!$B$7,{"STD","Half-PPR","PPR"},0)-1)*5,D20,F20,H20,J20,L20,N20,P20,R20,T20,V20,X20,Z20,AB20,AD20,AF20)</f>
        <v>0</v>
      </c>
      <c r="AI20" s="4">
        <f>ROUND(1+AH20*'Live Calc'!$D$9,0)</f>
        <v>1</v>
      </c>
      <c r="AJ20" s="4"/>
      <c r="AK20" s="4">
        <f>IF(AJ20&lt;&gt;"",AJ20,ROUND(AI20*INDEX('Live Calc'!$D$16:$D$25,MATCH(AG20,'Live Calc'!$A$16:$A$25,0))*'Live Calc'!$J$89,0))</f>
        <v>1</v>
      </c>
      <c r="AM20" s="5" t="s">
        <v>148</v>
      </c>
      <c r="AN20" s="5" t="s">
        <v>88</v>
      </c>
      <c r="AO20" s="5">
        <v>4</v>
      </c>
      <c r="AP20" s="5">
        <v>39.222000000000001</v>
      </c>
      <c r="AQ20" s="5">
        <v>4</v>
      </c>
      <c r="AR20" s="5">
        <v>111.5274</v>
      </c>
      <c r="AS20" s="5">
        <v>4</v>
      </c>
      <c r="AT20" s="5">
        <v>352.36239999999998</v>
      </c>
      <c r="AU20" s="5">
        <v>4</v>
      </c>
      <c r="AV20" s="5">
        <v>157.51679999999999</v>
      </c>
      <c r="AW20" s="5">
        <v>4</v>
      </c>
      <c r="AX20" s="5">
        <v>234.82249999999999</v>
      </c>
      <c r="AY20" s="5">
        <v>4</v>
      </c>
      <c r="AZ20" s="5">
        <v>99.4756</v>
      </c>
      <c r="BA20" s="5">
        <v>4</v>
      </c>
      <c r="BB20" s="5">
        <v>82.906499999999994</v>
      </c>
      <c r="BC20" s="5">
        <v>4</v>
      </c>
      <c r="BD20" s="5">
        <v>258.01620000000003</v>
      </c>
      <c r="BE20" s="5">
        <v>4</v>
      </c>
      <c r="BF20" s="5">
        <v>332.92930000000001</v>
      </c>
      <c r="BG20" s="5">
        <v>4</v>
      </c>
      <c r="BH20" s="5">
        <v>381.15929999999997</v>
      </c>
      <c r="BI20" s="5">
        <v>8</v>
      </c>
      <c r="BJ20" s="5">
        <v>103.1892</v>
      </c>
      <c r="BK20" s="5">
        <v>8</v>
      </c>
      <c r="BL20" s="5">
        <v>87.307400000000001</v>
      </c>
      <c r="BM20" s="5">
        <v>8</v>
      </c>
      <c r="BN20" s="5">
        <v>120.52070000000001</v>
      </c>
      <c r="BO20" s="5">
        <v>8</v>
      </c>
      <c r="BP20" s="5">
        <v>199.37549999999999</v>
      </c>
      <c r="BQ20" s="5">
        <v>8</v>
      </c>
      <c r="BR20" s="5">
        <v>230.5635</v>
      </c>
      <c r="BS20" s="5">
        <f>CHOOSE(MATCH(Setup!$B$5,{8,10,12,14,16},0)+(MATCH(Setup!$B$7,{"STD","Half-PPR","PPR"},0)-1)*5,AO20,AQ20,AS20,AU20,AW20,AY20,BA20,BC20,BE20,BG20,BI20,BK20,BM20,BO20,BQ20)</f>
        <v>4</v>
      </c>
      <c r="BT20" s="5">
        <f>CHOOSE(MATCH(Setup!$B$5,{8,10,12,14,16},0)+(MATCH(Setup!$B$7,{"STD","Half-PPR","PPR"},0)-1)*5,AP20,AR20,AT20,AV20,AX20,AZ20,BB20,BD20,BF20,BH20,BJ20,BL20,BN20,BP20,BR20)</f>
        <v>258.01620000000003</v>
      </c>
      <c r="BU20" s="5">
        <f>ROUND(1+BT20*'Live Calc'!$D$10,0)</f>
        <v>25</v>
      </c>
      <c r="BV20" s="5"/>
      <c r="BW20" s="5">
        <f>IF(BV20&lt;&gt;"",BV20,ROUND(BU20*INDEX('Live Calc'!$D$29:$D$46,MATCH(BS20,'Live Calc'!$A$29:$A$46,0))*'Live Calc'!$J$89,0))</f>
        <v>25</v>
      </c>
      <c r="BY20" s="6" t="s">
        <v>149</v>
      </c>
      <c r="BZ20" s="6" t="s">
        <v>50</v>
      </c>
      <c r="CA20" s="6">
        <v>7</v>
      </c>
      <c r="CB20" s="6">
        <v>31.1539</v>
      </c>
      <c r="CC20" s="6">
        <v>7</v>
      </c>
      <c r="CD20" s="6">
        <v>65.286699999999996</v>
      </c>
      <c r="CE20" s="6">
        <v>7</v>
      </c>
      <c r="CF20" s="6">
        <v>144.35230000000001</v>
      </c>
      <c r="CG20" s="6">
        <v>7</v>
      </c>
      <c r="CH20" s="6">
        <v>101.6977</v>
      </c>
      <c r="CI20" s="6">
        <v>7</v>
      </c>
      <c r="CJ20" s="6">
        <v>120.8329</v>
      </c>
      <c r="CK20" s="6">
        <v>7</v>
      </c>
      <c r="CL20" s="6">
        <v>64.268799999999999</v>
      </c>
      <c r="CM20" s="6">
        <v>7</v>
      </c>
      <c r="CN20" s="6">
        <v>174.17959999999999</v>
      </c>
      <c r="CO20" s="6">
        <v>7</v>
      </c>
      <c r="CP20" s="6">
        <v>180.2739</v>
      </c>
      <c r="CQ20" s="6">
        <v>6</v>
      </c>
      <c r="CR20" s="6">
        <v>126.2868</v>
      </c>
      <c r="CS20" s="6">
        <v>7</v>
      </c>
      <c r="CT20" s="6">
        <v>195.54810000000001</v>
      </c>
      <c r="CU20" s="6">
        <v>7</v>
      </c>
      <c r="CV20" s="6">
        <v>62.344700000000003</v>
      </c>
      <c r="CW20" s="6">
        <v>7</v>
      </c>
      <c r="CX20" s="6">
        <v>64.912300000000002</v>
      </c>
      <c r="CY20" s="6">
        <v>7</v>
      </c>
      <c r="CZ20" s="6">
        <v>262.76830000000001</v>
      </c>
      <c r="DA20" s="6">
        <v>7</v>
      </c>
      <c r="DB20" s="6">
        <v>189.2406</v>
      </c>
      <c r="DC20" s="6">
        <v>7</v>
      </c>
      <c r="DD20" s="6">
        <v>169.70660000000001</v>
      </c>
      <c r="DE20" s="6">
        <f>CHOOSE(MATCH(Setup!$B$5,{8,10,12,14,16},0)+(MATCH(Setup!$B$7,{"STD","Half-PPR","PPR"},0)-1)*5,CA20,CC20,CE20,CG20,CI20,CK20,CM20,CO20,CQ20,CS20,CU20,CW20,CY20,DA20,DC20)</f>
        <v>7</v>
      </c>
      <c r="DF20" s="6">
        <f>CHOOSE(MATCH(Setup!$B$5,{8,10,12,14,16},0)+(MATCH(Setup!$B$7,{"STD","Half-PPR","PPR"},0)-1)*5,CB20,CD20,CF20,CH20,CJ20,CL20,CN20,CP20,CR20,CT20,CV20,CX20,CZ20,DB20,DD20)</f>
        <v>180.2739</v>
      </c>
      <c r="DG20" s="6">
        <f>ROUND(1+DF20*'Live Calc'!$D$11,0)</f>
        <v>20</v>
      </c>
      <c r="DH20" s="6"/>
      <c r="DI20" s="6">
        <f>IF(DH20&lt;&gt;"",DH20,ROUND(DG20*INDEX('Live Calc'!$D$50:$D$70,MATCH(DE20,'Live Calc'!$A$50:$A$70,0))*'Live Calc'!$J$89,0))</f>
        <v>20</v>
      </c>
      <c r="DK20" s="7" t="s">
        <v>150</v>
      </c>
      <c r="DL20" s="7" t="s">
        <v>107</v>
      </c>
      <c r="DM20" s="7">
        <v>8</v>
      </c>
      <c r="DN20" s="7">
        <v>0</v>
      </c>
      <c r="DO20" s="7">
        <v>9</v>
      </c>
      <c r="DP20" s="7">
        <v>0</v>
      </c>
      <c r="DQ20" s="7">
        <v>9</v>
      </c>
      <c r="DR20" s="7">
        <v>2.0897000000000001</v>
      </c>
      <c r="DS20" s="7">
        <v>9</v>
      </c>
      <c r="DT20" s="7">
        <v>7.7054999999999998</v>
      </c>
      <c r="DU20" s="7">
        <v>9</v>
      </c>
      <c r="DV20" s="7">
        <v>7.0107999999999997</v>
      </c>
      <c r="DW20" s="7">
        <v>6</v>
      </c>
      <c r="DX20" s="7">
        <v>0</v>
      </c>
      <c r="DY20" s="7">
        <v>9</v>
      </c>
      <c r="DZ20" s="7">
        <v>0</v>
      </c>
      <c r="EA20" s="7">
        <v>8</v>
      </c>
      <c r="EB20" s="7">
        <v>0.47399999999999998</v>
      </c>
      <c r="EC20" s="7">
        <v>9</v>
      </c>
      <c r="ED20" s="7">
        <v>4.6395</v>
      </c>
      <c r="EE20" s="7">
        <v>9</v>
      </c>
      <c r="EF20" s="7">
        <v>10.420299999999999</v>
      </c>
      <c r="EG20" s="7">
        <v>5</v>
      </c>
      <c r="EH20" s="7">
        <v>0</v>
      </c>
      <c r="EI20" s="7">
        <v>6</v>
      </c>
      <c r="EJ20" s="7">
        <v>0</v>
      </c>
      <c r="EK20" s="7">
        <v>6</v>
      </c>
      <c r="EL20" s="7">
        <v>1.7333000000000001</v>
      </c>
      <c r="EM20" s="7">
        <v>7</v>
      </c>
      <c r="EN20" s="7">
        <v>8.7020999999999997</v>
      </c>
      <c r="EO20" s="7">
        <v>7</v>
      </c>
      <c r="EP20" s="7">
        <v>13.728400000000001</v>
      </c>
      <c r="EQ20" s="7">
        <f>CHOOSE(MATCH(Setup!$B$5,{8,10,12,14,16},0)+(MATCH(Setup!$B$7,{"STD","Half-PPR","PPR"},0)-1)*5,DM20,DO20,DQ20,DS20,DU20,DW20,DY20,EA20,EC20,EE20,EG20,EI20,EK20,EM20,EO20)</f>
        <v>8</v>
      </c>
      <c r="ER20" s="7">
        <f>CHOOSE(MATCH(Setup!$B$5,{8,10,12,14,16},0)+(MATCH(Setup!$B$7,{"STD","Half-PPR","PPR"},0)-1)*5,DN20,DP20,DR20,DT20,DV20,DX20,DZ20,EB20,ED20,EF20,EH20,EJ20,EL20,EN20,EP20)</f>
        <v>0.47399999999999998</v>
      </c>
      <c r="ES20" s="7">
        <f>ROUND(1+ER20*'Live Calc'!$D$12,0)</f>
        <v>1</v>
      </c>
      <c r="ET20" s="7"/>
      <c r="EU20" s="7">
        <f>IF(ET20&lt;&gt;"",ET20,ROUND(ES20*INDEX('Live Calc'!$D$74:$D$85,MATCH(EQ20,'Live Calc'!$A$74:$A$85,0))*'Live Calc'!$J$89,0))</f>
        <v>1</v>
      </c>
    </row>
    <row r="21" spans="1:151" x14ac:dyDescent="0.25">
      <c r="A21" s="4" t="s">
        <v>151</v>
      </c>
      <c r="B21" s="4" t="s">
        <v>86</v>
      </c>
      <c r="C21" s="4">
        <v>6</v>
      </c>
      <c r="D21" s="4">
        <v>0</v>
      </c>
      <c r="E21" s="4">
        <v>7</v>
      </c>
      <c r="F21" s="4">
        <v>0</v>
      </c>
      <c r="G21" s="4">
        <v>8</v>
      </c>
      <c r="H21" s="4">
        <v>0</v>
      </c>
      <c r="I21" s="4">
        <v>9</v>
      </c>
      <c r="J21" s="4">
        <v>0</v>
      </c>
      <c r="K21" s="4">
        <v>9</v>
      </c>
      <c r="L21" s="4">
        <v>0</v>
      </c>
      <c r="M21" s="4">
        <v>5</v>
      </c>
      <c r="N21" s="4">
        <v>0</v>
      </c>
      <c r="O21" s="4">
        <v>6</v>
      </c>
      <c r="P21" s="4">
        <v>0</v>
      </c>
      <c r="Q21" s="4">
        <v>8</v>
      </c>
      <c r="R21" s="4">
        <v>0</v>
      </c>
      <c r="S21" s="4">
        <v>8</v>
      </c>
      <c r="T21" s="4">
        <v>0</v>
      </c>
      <c r="U21" s="4">
        <v>8</v>
      </c>
      <c r="V21" s="4">
        <v>0</v>
      </c>
      <c r="W21" s="4">
        <v>6</v>
      </c>
      <c r="X21" s="4">
        <v>0</v>
      </c>
      <c r="Y21" s="4">
        <v>8</v>
      </c>
      <c r="Z21" s="4">
        <v>0</v>
      </c>
      <c r="AA21" s="4">
        <v>9</v>
      </c>
      <c r="AB21" s="4">
        <v>0</v>
      </c>
      <c r="AC21" s="4">
        <v>8</v>
      </c>
      <c r="AD21" s="4">
        <v>29.0486</v>
      </c>
      <c r="AE21" s="4">
        <v>7</v>
      </c>
      <c r="AF21" s="4">
        <v>17.299299999999999</v>
      </c>
      <c r="AG21" s="4">
        <f>CHOOSE(MATCH(Setup!$B$5,{8,10,12,14,16},0)+(MATCH(Setup!$B$7,{"STD","Half-PPR","PPR"},0)-1)*5,C21,E21,G21,I21,K21,M21,O21,Q21,S21,U21,W21,Y21,AA21,AC21,AE21)</f>
        <v>8</v>
      </c>
      <c r="AH21" s="4">
        <f>CHOOSE(MATCH(Setup!$B$5,{8,10,12,14,16},0)+(MATCH(Setup!$B$7,{"STD","Half-PPR","PPR"},0)-1)*5,D21,F21,H21,J21,L21,N21,P21,R21,T21,V21,X21,Z21,AB21,AD21,AF21)</f>
        <v>0</v>
      </c>
      <c r="AI21" s="4">
        <f>ROUND(1+AH21*'Live Calc'!$D$9,0)</f>
        <v>1</v>
      </c>
      <c r="AJ21" s="4"/>
      <c r="AK21" s="4">
        <f>IF(AJ21&lt;&gt;"",AJ21,ROUND(AI21*INDEX('Live Calc'!$D$16:$D$25,MATCH(AG21,'Live Calc'!$A$16:$A$25,0))*'Live Calc'!$J$89,0))</f>
        <v>1</v>
      </c>
      <c r="AM21" s="5" t="s">
        <v>152</v>
      </c>
      <c r="AN21" s="5" t="s">
        <v>68</v>
      </c>
      <c r="AO21" s="5">
        <v>5</v>
      </c>
      <c r="AP21" s="5">
        <v>31.154</v>
      </c>
      <c r="AQ21" s="5">
        <v>5</v>
      </c>
      <c r="AR21" s="5">
        <v>94.546700000000001</v>
      </c>
      <c r="AS21" s="5">
        <v>5</v>
      </c>
      <c r="AT21" s="5">
        <v>312.31830000000002</v>
      </c>
      <c r="AU21" s="5">
        <v>5</v>
      </c>
      <c r="AV21" s="5">
        <v>143.51750000000001</v>
      </c>
      <c r="AW21" s="5">
        <v>5</v>
      </c>
      <c r="AX21" s="5">
        <v>216.01390000000001</v>
      </c>
      <c r="AY21" s="5">
        <v>5</v>
      </c>
      <c r="AZ21" s="5">
        <v>72.477199999999996</v>
      </c>
      <c r="BA21" s="5">
        <v>5</v>
      </c>
      <c r="BB21" s="5">
        <v>65.968100000000007</v>
      </c>
      <c r="BC21" s="5">
        <v>5</v>
      </c>
      <c r="BD21" s="5">
        <v>218.7612</v>
      </c>
      <c r="BE21" s="5">
        <v>5</v>
      </c>
      <c r="BF21" s="5">
        <v>291.86169999999998</v>
      </c>
      <c r="BG21" s="5">
        <v>5</v>
      </c>
      <c r="BH21" s="5">
        <v>339.10550000000001</v>
      </c>
      <c r="BI21" s="5">
        <v>9</v>
      </c>
      <c r="BJ21" s="5">
        <v>64.248999999999995</v>
      </c>
      <c r="BK21" s="5">
        <v>9</v>
      </c>
      <c r="BL21" s="5">
        <v>62.767400000000002</v>
      </c>
      <c r="BM21" s="5">
        <v>9</v>
      </c>
      <c r="BN21" s="5">
        <v>95.548199999999994</v>
      </c>
      <c r="BO21" s="5">
        <v>9</v>
      </c>
      <c r="BP21" s="5">
        <v>165.77070000000001</v>
      </c>
      <c r="BQ21" s="5">
        <v>9</v>
      </c>
      <c r="BR21" s="5">
        <v>196.47579999999999</v>
      </c>
      <c r="BS21" s="5">
        <f>CHOOSE(MATCH(Setup!$B$5,{8,10,12,14,16},0)+(MATCH(Setup!$B$7,{"STD","Half-PPR","PPR"},0)-1)*5,AO21,AQ21,AS21,AU21,AW21,AY21,BA21,BC21,BE21,BG21,BI21,BK21,BM21,BO21,BQ21)</f>
        <v>5</v>
      </c>
      <c r="BT21" s="5">
        <f>CHOOSE(MATCH(Setup!$B$5,{8,10,12,14,16},0)+(MATCH(Setup!$B$7,{"STD","Half-PPR","PPR"},0)-1)*5,AP21,AR21,AT21,AV21,AX21,AZ21,BB21,BD21,BF21,BH21,BJ21,BL21,BN21,BP21,BR21)</f>
        <v>218.7612</v>
      </c>
      <c r="BU21" s="5">
        <f>ROUND(1+BT21*'Live Calc'!$D$10,0)</f>
        <v>21</v>
      </c>
      <c r="BV21" s="5"/>
      <c r="BW21" s="5">
        <f>IF(BV21&lt;&gt;"",BV21,ROUND(BU21*INDEX('Live Calc'!$D$29:$D$46,MATCH(BS21,'Live Calc'!$A$29:$A$46,0))*'Live Calc'!$J$89,0))</f>
        <v>21</v>
      </c>
      <c r="BY21" s="6" t="s">
        <v>153</v>
      </c>
      <c r="BZ21" s="6" t="s">
        <v>124</v>
      </c>
      <c r="CA21" s="6">
        <v>9</v>
      </c>
      <c r="CB21" s="6">
        <v>24.135100000000001</v>
      </c>
      <c r="CC21" s="6">
        <v>9</v>
      </c>
      <c r="CD21" s="6">
        <v>56.167400000000001</v>
      </c>
      <c r="CE21" s="6">
        <v>9</v>
      </c>
      <c r="CF21" s="6">
        <v>128.8099</v>
      </c>
      <c r="CG21" s="6">
        <v>9</v>
      </c>
      <c r="CH21" s="6">
        <v>92.181799999999996</v>
      </c>
      <c r="CI21" s="6">
        <v>9</v>
      </c>
      <c r="CJ21" s="6">
        <v>111.1604</v>
      </c>
      <c r="CK21" s="6">
        <v>7</v>
      </c>
      <c r="CL21" s="6">
        <v>57.180599999999998</v>
      </c>
      <c r="CM21" s="6">
        <v>7</v>
      </c>
      <c r="CN21" s="6">
        <v>161.6146</v>
      </c>
      <c r="CO21" s="6">
        <v>7</v>
      </c>
      <c r="CP21" s="6">
        <v>170.03299999999999</v>
      </c>
      <c r="CQ21" s="6">
        <v>6</v>
      </c>
      <c r="CR21" s="6">
        <v>120.1391</v>
      </c>
      <c r="CS21" s="6">
        <v>7</v>
      </c>
      <c r="CT21" s="6">
        <v>187.3141</v>
      </c>
      <c r="CU21" s="6">
        <v>7</v>
      </c>
      <c r="CV21" s="6">
        <v>62.057000000000002</v>
      </c>
      <c r="CW21" s="6">
        <v>7</v>
      </c>
      <c r="CX21" s="6">
        <v>64.725300000000004</v>
      </c>
      <c r="CY21" s="6">
        <v>7</v>
      </c>
      <c r="CZ21" s="6">
        <v>262.21230000000003</v>
      </c>
      <c r="DA21" s="6">
        <v>7</v>
      </c>
      <c r="DB21" s="6">
        <v>188.90790000000001</v>
      </c>
      <c r="DC21" s="6">
        <v>7</v>
      </c>
      <c r="DD21" s="6">
        <v>169.45050000000001</v>
      </c>
      <c r="DE21" s="6">
        <f>CHOOSE(MATCH(Setup!$B$5,{8,10,12,14,16},0)+(MATCH(Setup!$B$7,{"STD","Half-PPR","PPR"},0)-1)*5,CA21,CC21,CE21,CG21,CI21,CK21,CM21,CO21,CQ21,CS21,CU21,CW21,CY21,DA21,DC21)</f>
        <v>7</v>
      </c>
      <c r="DF21" s="6">
        <f>CHOOSE(MATCH(Setup!$B$5,{8,10,12,14,16},0)+(MATCH(Setup!$B$7,{"STD","Half-PPR","PPR"},0)-1)*5,CB21,CD21,CF21,CH21,CJ21,CL21,CN21,CP21,CR21,CT21,CV21,CX21,CZ21,DB21,DD21)</f>
        <v>170.03299999999999</v>
      </c>
      <c r="DG21" s="6">
        <f>ROUND(1+DF21*'Live Calc'!$D$11,0)</f>
        <v>19</v>
      </c>
      <c r="DH21" s="6"/>
      <c r="DI21" s="6">
        <f>IF(DH21&lt;&gt;"",DH21,ROUND(DG21*INDEX('Live Calc'!$D$50:$D$70,MATCH(DE21,'Live Calc'!$A$50:$A$70,0))*'Live Calc'!$J$89,0))</f>
        <v>19</v>
      </c>
      <c r="DK21" s="7" t="s">
        <v>154</v>
      </c>
      <c r="DL21" s="7" t="s">
        <v>91</v>
      </c>
      <c r="DM21" s="7">
        <v>8</v>
      </c>
      <c r="DN21" s="7">
        <v>0</v>
      </c>
      <c r="DO21" s="7">
        <v>9</v>
      </c>
      <c r="DP21" s="7">
        <v>0</v>
      </c>
      <c r="DQ21" s="7">
        <v>10</v>
      </c>
      <c r="DR21" s="7">
        <v>0</v>
      </c>
      <c r="DS21" s="7">
        <v>9</v>
      </c>
      <c r="DT21" s="7">
        <v>6.0576999999999996</v>
      </c>
      <c r="DU21" s="7">
        <v>9</v>
      </c>
      <c r="DV21" s="7">
        <v>5.8715999999999999</v>
      </c>
      <c r="DW21" s="7">
        <v>6</v>
      </c>
      <c r="DX21" s="7">
        <v>0</v>
      </c>
      <c r="DY21" s="7">
        <v>9</v>
      </c>
      <c r="DZ21" s="7">
        <v>0</v>
      </c>
      <c r="EA21" s="7">
        <v>9</v>
      </c>
      <c r="EB21" s="7">
        <v>0</v>
      </c>
      <c r="EC21" s="7">
        <v>10</v>
      </c>
      <c r="ED21" s="7">
        <v>2.7313999999999998</v>
      </c>
      <c r="EE21" s="7">
        <v>9</v>
      </c>
      <c r="EF21" s="7">
        <v>8.7057000000000002</v>
      </c>
      <c r="EG21" s="7">
        <v>5</v>
      </c>
      <c r="EH21" s="7">
        <v>0</v>
      </c>
      <c r="EI21" s="7">
        <v>6</v>
      </c>
      <c r="EJ21" s="7">
        <v>0</v>
      </c>
      <c r="EK21" s="7">
        <v>6</v>
      </c>
      <c r="EL21" s="7">
        <v>0.49569999999999997</v>
      </c>
      <c r="EM21" s="7">
        <v>7</v>
      </c>
      <c r="EN21" s="7">
        <v>7.8403</v>
      </c>
      <c r="EO21" s="7">
        <v>7</v>
      </c>
      <c r="EP21" s="7">
        <v>12.936199999999999</v>
      </c>
      <c r="EQ21" s="7">
        <f>CHOOSE(MATCH(Setup!$B$5,{8,10,12,14,16},0)+(MATCH(Setup!$B$7,{"STD","Half-PPR","PPR"},0)-1)*5,DM21,DO21,DQ21,DS21,DU21,DW21,DY21,EA21,EC21,EE21,EG21,EI21,EK21,EM21,EO21)</f>
        <v>9</v>
      </c>
      <c r="ER21" s="7">
        <f>CHOOSE(MATCH(Setup!$B$5,{8,10,12,14,16},0)+(MATCH(Setup!$B$7,{"STD","Half-PPR","PPR"},0)-1)*5,DN21,DP21,DR21,DT21,DV21,DX21,DZ21,EB21,ED21,EF21,EH21,EJ21,EL21,EN21,EP21)</f>
        <v>0</v>
      </c>
      <c r="ES21" s="7">
        <f>ROUND(1+ER21*'Live Calc'!$D$12,0)</f>
        <v>1</v>
      </c>
      <c r="ET21" s="7"/>
      <c r="EU21" s="7">
        <f>IF(ET21&lt;&gt;"",ET21,ROUND(ES21*INDEX('Live Calc'!$D$74:$D$85,MATCH(EQ21,'Live Calc'!$A$74:$A$85,0))*'Live Calc'!$J$89,0))</f>
        <v>1</v>
      </c>
    </row>
    <row r="22" spans="1:151" x14ac:dyDescent="0.25">
      <c r="A22" s="4" t="s">
        <v>155</v>
      </c>
      <c r="B22" s="4" t="s">
        <v>107</v>
      </c>
      <c r="C22" s="4">
        <v>6</v>
      </c>
      <c r="D22" s="4">
        <v>0</v>
      </c>
      <c r="E22" s="4">
        <v>7</v>
      </c>
      <c r="F22" s="4">
        <v>0</v>
      </c>
      <c r="G22" s="4">
        <v>8</v>
      </c>
      <c r="H22" s="4">
        <v>0</v>
      </c>
      <c r="I22" s="4">
        <v>9</v>
      </c>
      <c r="J22" s="4">
        <v>0</v>
      </c>
      <c r="K22" s="4">
        <v>9</v>
      </c>
      <c r="L22" s="4">
        <v>0</v>
      </c>
      <c r="M22" s="4">
        <v>5</v>
      </c>
      <c r="N22" s="4">
        <v>0</v>
      </c>
      <c r="O22" s="4">
        <v>6</v>
      </c>
      <c r="P22" s="4">
        <v>0</v>
      </c>
      <c r="Q22" s="4">
        <v>8</v>
      </c>
      <c r="R22" s="4">
        <v>0</v>
      </c>
      <c r="S22" s="4">
        <v>8</v>
      </c>
      <c r="T22" s="4">
        <v>0</v>
      </c>
      <c r="U22" s="4">
        <v>8</v>
      </c>
      <c r="V22" s="4">
        <v>0</v>
      </c>
      <c r="W22" s="4">
        <v>6</v>
      </c>
      <c r="X22" s="4">
        <v>0</v>
      </c>
      <c r="Y22" s="4">
        <v>8</v>
      </c>
      <c r="Z22" s="4">
        <v>0</v>
      </c>
      <c r="AA22" s="4">
        <v>9</v>
      </c>
      <c r="AB22" s="4">
        <v>0</v>
      </c>
      <c r="AC22" s="4">
        <v>9</v>
      </c>
      <c r="AD22" s="4">
        <v>2.4462999999999999</v>
      </c>
      <c r="AE22" s="4">
        <v>8</v>
      </c>
      <c r="AF22" s="4">
        <v>2.1318000000000001</v>
      </c>
      <c r="AG22" s="4">
        <f>CHOOSE(MATCH(Setup!$B$5,{8,10,12,14,16},0)+(MATCH(Setup!$B$7,{"STD","Half-PPR","PPR"},0)-1)*5,C22,E22,G22,I22,K22,M22,O22,Q22,S22,U22,W22,Y22,AA22,AC22,AE22)</f>
        <v>8</v>
      </c>
      <c r="AH22" s="4">
        <f>CHOOSE(MATCH(Setup!$B$5,{8,10,12,14,16},0)+(MATCH(Setup!$B$7,{"STD","Half-PPR","PPR"},0)-1)*5,D22,F22,H22,J22,L22,N22,P22,R22,T22,V22,X22,Z22,AB22,AD22,AF22)</f>
        <v>0</v>
      </c>
      <c r="AI22" s="4">
        <f>ROUND(1+AH22*'Live Calc'!$D$9,0)</f>
        <v>1</v>
      </c>
      <c r="AJ22" s="4"/>
      <c r="AK22" s="4">
        <f>IF(AJ22&lt;&gt;"",AJ22,ROUND(AI22*INDEX('Live Calc'!$D$16:$D$25,MATCH(AG22,'Live Calc'!$A$16:$A$25,0))*'Live Calc'!$J$89,0))</f>
        <v>1</v>
      </c>
      <c r="AM22" s="5" t="s">
        <v>156</v>
      </c>
      <c r="AN22" s="5" t="s">
        <v>142</v>
      </c>
      <c r="AO22" s="5">
        <v>5</v>
      </c>
      <c r="AP22" s="5">
        <v>27.626000000000001</v>
      </c>
      <c r="AQ22" s="5">
        <v>5</v>
      </c>
      <c r="AR22" s="5">
        <v>87.240799999999993</v>
      </c>
      <c r="AS22" s="5">
        <v>5</v>
      </c>
      <c r="AT22" s="5">
        <v>295.16520000000003</v>
      </c>
      <c r="AU22" s="5">
        <v>5</v>
      </c>
      <c r="AV22" s="5">
        <v>137.434</v>
      </c>
      <c r="AW22" s="5">
        <v>5</v>
      </c>
      <c r="AX22" s="5">
        <v>207.85480000000001</v>
      </c>
      <c r="AY22" s="5">
        <v>5</v>
      </c>
      <c r="AZ22" s="5">
        <v>72.340500000000006</v>
      </c>
      <c r="BA22" s="5">
        <v>5</v>
      </c>
      <c r="BB22" s="5">
        <v>65.881</v>
      </c>
      <c r="BC22" s="5">
        <v>5</v>
      </c>
      <c r="BD22" s="5">
        <v>218.5609</v>
      </c>
      <c r="BE22" s="5">
        <v>5</v>
      </c>
      <c r="BF22" s="5">
        <v>291.6515</v>
      </c>
      <c r="BG22" s="5">
        <v>5</v>
      </c>
      <c r="BH22" s="5">
        <v>338.89</v>
      </c>
      <c r="BI22" s="5">
        <v>9</v>
      </c>
      <c r="BJ22" s="5">
        <v>70.302000000000007</v>
      </c>
      <c r="BK22" s="5">
        <v>9</v>
      </c>
      <c r="BL22" s="5">
        <v>66.660499999999999</v>
      </c>
      <c r="BM22" s="5">
        <v>9</v>
      </c>
      <c r="BN22" s="5">
        <v>99.518199999999993</v>
      </c>
      <c r="BO22" s="5">
        <v>9</v>
      </c>
      <c r="BP22" s="5">
        <v>171.1</v>
      </c>
      <c r="BQ22" s="5">
        <v>9</v>
      </c>
      <c r="BR22" s="5">
        <v>201.8869</v>
      </c>
      <c r="BS22" s="5">
        <f>CHOOSE(MATCH(Setup!$B$5,{8,10,12,14,16},0)+(MATCH(Setup!$B$7,{"STD","Half-PPR","PPR"},0)-1)*5,AO22,AQ22,AS22,AU22,AW22,AY22,BA22,BC22,BE22,BG22,BI22,BK22,BM22,BO22,BQ22)</f>
        <v>5</v>
      </c>
      <c r="BT22" s="5">
        <f>CHOOSE(MATCH(Setup!$B$5,{8,10,12,14,16},0)+(MATCH(Setup!$B$7,{"STD","Half-PPR","PPR"},0)-1)*5,AP22,AR22,AT22,AV22,AX22,AZ22,BB22,BD22,BF22,BH22,BJ22,BL22,BN22,BP22,BR22)</f>
        <v>218.5609</v>
      </c>
      <c r="BU22" s="5">
        <f>ROUND(1+BT22*'Live Calc'!$D$10,0)</f>
        <v>21</v>
      </c>
      <c r="BV22" s="5"/>
      <c r="BW22" s="5">
        <f>IF(BV22&lt;&gt;"",BV22,ROUND(BU22*INDEX('Live Calc'!$D$29:$D$46,MATCH(BS22,'Live Calc'!$A$29:$A$46,0))*'Live Calc'!$J$89,0))</f>
        <v>21</v>
      </c>
      <c r="BY22" s="6" t="s">
        <v>157</v>
      </c>
      <c r="BZ22" s="6" t="s">
        <v>70</v>
      </c>
      <c r="CA22" s="6">
        <v>8</v>
      </c>
      <c r="CB22" s="6">
        <v>26.84</v>
      </c>
      <c r="CC22" s="6">
        <v>8</v>
      </c>
      <c r="CD22" s="6">
        <v>59.680199999999999</v>
      </c>
      <c r="CE22" s="6">
        <v>8</v>
      </c>
      <c r="CF22" s="6">
        <v>134.78700000000001</v>
      </c>
      <c r="CG22" s="6">
        <v>8</v>
      </c>
      <c r="CH22" s="6">
        <v>95.852699999999999</v>
      </c>
      <c r="CI22" s="6">
        <v>8</v>
      </c>
      <c r="CJ22" s="6">
        <v>114.89319999999999</v>
      </c>
      <c r="CK22" s="6">
        <v>7</v>
      </c>
      <c r="CL22" s="6">
        <v>60.793700000000001</v>
      </c>
      <c r="CM22" s="6">
        <v>7</v>
      </c>
      <c r="CN22" s="6">
        <v>168.01990000000001</v>
      </c>
      <c r="CO22" s="6">
        <v>7</v>
      </c>
      <c r="CP22" s="6">
        <v>175.2602</v>
      </c>
      <c r="CQ22" s="6">
        <v>6</v>
      </c>
      <c r="CR22" s="6">
        <v>123.2811</v>
      </c>
      <c r="CS22" s="6">
        <v>7</v>
      </c>
      <c r="CT22" s="6">
        <v>191.52119999999999</v>
      </c>
      <c r="CU22" s="6">
        <v>7</v>
      </c>
      <c r="CV22" s="6">
        <v>61.423000000000002</v>
      </c>
      <c r="CW22" s="6">
        <v>7</v>
      </c>
      <c r="CX22" s="6">
        <v>64.313000000000002</v>
      </c>
      <c r="CY22" s="6">
        <v>7</v>
      </c>
      <c r="CZ22" s="6">
        <v>260.98680000000002</v>
      </c>
      <c r="DA22" s="6">
        <v>7</v>
      </c>
      <c r="DB22" s="6">
        <v>188.17449999999999</v>
      </c>
      <c r="DC22" s="6">
        <v>7</v>
      </c>
      <c r="DD22" s="6">
        <v>168.88579999999999</v>
      </c>
      <c r="DE22" s="6">
        <f>CHOOSE(MATCH(Setup!$B$5,{8,10,12,14,16},0)+(MATCH(Setup!$B$7,{"STD","Half-PPR","PPR"},0)-1)*5,CA22,CC22,CE22,CG22,CI22,CK22,CM22,CO22,CQ22,CS22,CU22,CW22,CY22,DA22,DC22)</f>
        <v>7</v>
      </c>
      <c r="DF22" s="6">
        <f>CHOOSE(MATCH(Setup!$B$5,{8,10,12,14,16},0)+(MATCH(Setup!$B$7,{"STD","Half-PPR","PPR"},0)-1)*5,CB22,CD22,CF22,CH22,CJ22,CL22,CN22,CP22,CR22,CT22,CV22,CX22,CZ22,DB22,DD22)</f>
        <v>175.2602</v>
      </c>
      <c r="DG22" s="6">
        <f>ROUND(1+DF22*'Live Calc'!$D$11,0)</f>
        <v>19</v>
      </c>
      <c r="DH22" s="6"/>
      <c r="DI22" s="6">
        <f>IF(DH22&lt;&gt;"",DH22,ROUND(DG22*INDEX('Live Calc'!$D$50:$D$70,MATCH(DE22,'Live Calc'!$A$50:$A$70,0))*'Live Calc'!$J$89,0))</f>
        <v>19</v>
      </c>
      <c r="DK22" s="7" t="s">
        <v>158</v>
      </c>
      <c r="DL22" s="7" t="s">
        <v>127</v>
      </c>
      <c r="DM22" s="7">
        <v>8</v>
      </c>
      <c r="DN22" s="7">
        <v>0</v>
      </c>
      <c r="DO22" s="7">
        <v>9</v>
      </c>
      <c r="DP22" s="7">
        <v>0</v>
      </c>
      <c r="DQ22" s="7">
        <v>9</v>
      </c>
      <c r="DR22" s="7">
        <v>2.7732000000000001</v>
      </c>
      <c r="DS22" s="7">
        <v>9</v>
      </c>
      <c r="DT22" s="7">
        <v>8.3041</v>
      </c>
      <c r="DU22" s="7">
        <v>9</v>
      </c>
      <c r="DV22" s="7">
        <v>7.4199000000000002</v>
      </c>
      <c r="DW22" s="7">
        <v>6</v>
      </c>
      <c r="DX22" s="7">
        <v>0</v>
      </c>
      <c r="DY22" s="7">
        <v>9</v>
      </c>
      <c r="DZ22" s="7">
        <v>0</v>
      </c>
      <c r="EA22" s="7">
        <v>9</v>
      </c>
      <c r="EB22" s="7">
        <v>0</v>
      </c>
      <c r="EC22" s="7">
        <v>9</v>
      </c>
      <c r="ED22" s="7">
        <v>3.7692000000000001</v>
      </c>
      <c r="EE22" s="7">
        <v>9</v>
      </c>
      <c r="EF22" s="7">
        <v>9.6303000000000001</v>
      </c>
      <c r="EG22" s="7">
        <v>5</v>
      </c>
      <c r="EH22" s="7">
        <v>0</v>
      </c>
      <c r="EI22" s="7">
        <v>6</v>
      </c>
      <c r="EJ22" s="7">
        <v>0</v>
      </c>
      <c r="EK22" s="7">
        <v>6</v>
      </c>
      <c r="EL22" s="7">
        <v>0.1043</v>
      </c>
      <c r="EM22" s="7">
        <v>7</v>
      </c>
      <c r="EN22" s="7">
        <v>7.6223000000000001</v>
      </c>
      <c r="EO22" s="7">
        <v>7</v>
      </c>
      <c r="EP22" s="7">
        <v>12.7369</v>
      </c>
      <c r="EQ22" s="7">
        <f>CHOOSE(MATCH(Setup!$B$5,{8,10,12,14,16},0)+(MATCH(Setup!$B$7,{"STD","Half-PPR","PPR"},0)-1)*5,DM22,DO22,DQ22,DS22,DU22,DW22,DY22,EA22,EC22,EE22,EG22,EI22,EK22,EM22,EO22)</f>
        <v>9</v>
      </c>
      <c r="ER22" s="7">
        <f>CHOOSE(MATCH(Setup!$B$5,{8,10,12,14,16},0)+(MATCH(Setup!$B$7,{"STD","Half-PPR","PPR"},0)-1)*5,DN22,DP22,DR22,DT22,DV22,DX22,DZ22,EB22,ED22,EF22,EH22,EJ22,EL22,EN22,EP22)</f>
        <v>0</v>
      </c>
      <c r="ES22" s="7">
        <f>ROUND(1+ER22*'Live Calc'!$D$12,0)</f>
        <v>1</v>
      </c>
      <c r="ET22" s="7"/>
      <c r="EU22" s="7">
        <f>IF(ET22&lt;&gt;"",ET22,ROUND(ES22*INDEX('Live Calc'!$D$74:$D$85,MATCH(EQ22,'Live Calc'!$A$74:$A$85,0))*'Live Calc'!$J$89,0))</f>
        <v>1</v>
      </c>
    </row>
    <row r="23" spans="1:151" x14ac:dyDescent="0.25">
      <c r="A23" s="4" t="s">
        <v>159</v>
      </c>
      <c r="B23" s="4" t="s">
        <v>95</v>
      </c>
      <c r="C23" s="4">
        <v>6</v>
      </c>
      <c r="D23" s="4">
        <v>0</v>
      </c>
      <c r="E23" s="4">
        <v>7</v>
      </c>
      <c r="F23" s="4">
        <v>0</v>
      </c>
      <c r="G23" s="4">
        <v>8</v>
      </c>
      <c r="H23" s="4">
        <v>0</v>
      </c>
      <c r="I23" s="4">
        <v>9</v>
      </c>
      <c r="J23" s="4">
        <v>0</v>
      </c>
      <c r="K23" s="4">
        <v>9</v>
      </c>
      <c r="L23" s="4">
        <v>0</v>
      </c>
      <c r="M23" s="4">
        <v>5</v>
      </c>
      <c r="N23" s="4">
        <v>0</v>
      </c>
      <c r="O23" s="4">
        <v>6</v>
      </c>
      <c r="P23" s="4">
        <v>0</v>
      </c>
      <c r="Q23" s="4">
        <v>8</v>
      </c>
      <c r="R23" s="4">
        <v>0</v>
      </c>
      <c r="S23" s="4">
        <v>8</v>
      </c>
      <c r="T23" s="4">
        <v>0</v>
      </c>
      <c r="U23" s="4">
        <v>8</v>
      </c>
      <c r="V23" s="4">
        <v>0</v>
      </c>
      <c r="W23" s="4">
        <v>6</v>
      </c>
      <c r="X23" s="4">
        <v>0</v>
      </c>
      <c r="Y23" s="4">
        <v>8</v>
      </c>
      <c r="Z23" s="4">
        <v>0</v>
      </c>
      <c r="AA23" s="4">
        <v>9</v>
      </c>
      <c r="AB23" s="4">
        <v>0</v>
      </c>
      <c r="AC23" s="4">
        <v>10</v>
      </c>
      <c r="AD23" s="4">
        <v>0</v>
      </c>
      <c r="AE23" s="4">
        <v>9</v>
      </c>
      <c r="AF23" s="4">
        <v>0</v>
      </c>
      <c r="AG23" s="4">
        <f>CHOOSE(MATCH(Setup!$B$5,{8,10,12,14,16},0)+(MATCH(Setup!$B$7,{"STD","Half-PPR","PPR"},0)-1)*5,C23,E23,G23,I23,K23,M23,O23,Q23,S23,U23,W23,Y23,AA23,AC23,AE23)</f>
        <v>8</v>
      </c>
      <c r="AH23" s="4">
        <f>CHOOSE(MATCH(Setup!$B$5,{8,10,12,14,16},0)+(MATCH(Setup!$B$7,{"STD","Half-PPR","PPR"},0)-1)*5,D23,F23,H23,J23,L23,N23,P23,R23,T23,V23,X23,Z23,AB23,AD23,AF23)</f>
        <v>0</v>
      </c>
      <c r="AI23" s="4">
        <f>ROUND(1+AH23*'Live Calc'!$D$9,0)</f>
        <v>1</v>
      </c>
      <c r="AJ23" s="4"/>
      <c r="AK23" s="4">
        <f>IF(AJ23&lt;&gt;"",AJ23,ROUND(AI23*INDEX('Live Calc'!$D$16:$D$25,MATCH(AG23,'Live Calc'!$A$16:$A$25,0))*'Live Calc'!$J$89,0))</f>
        <v>1</v>
      </c>
      <c r="AM23" s="5" t="s">
        <v>160</v>
      </c>
      <c r="AN23" s="5" t="s">
        <v>81</v>
      </c>
      <c r="AO23" s="5">
        <v>5</v>
      </c>
      <c r="AP23" s="5">
        <v>27.731999999999999</v>
      </c>
      <c r="AQ23" s="5">
        <v>5</v>
      </c>
      <c r="AR23" s="5">
        <v>87.459199999999996</v>
      </c>
      <c r="AS23" s="5">
        <v>5</v>
      </c>
      <c r="AT23" s="5">
        <v>295.6773</v>
      </c>
      <c r="AU23" s="5">
        <v>5</v>
      </c>
      <c r="AV23" s="5">
        <v>137.6164</v>
      </c>
      <c r="AW23" s="5">
        <v>5</v>
      </c>
      <c r="AX23" s="5">
        <v>208.0994</v>
      </c>
      <c r="AY23" s="5">
        <v>6</v>
      </c>
      <c r="AZ23" s="5">
        <v>63.635899999999999</v>
      </c>
      <c r="BA23" s="5">
        <v>6</v>
      </c>
      <c r="BB23" s="5">
        <v>60.296599999999998</v>
      </c>
      <c r="BC23" s="5">
        <v>6</v>
      </c>
      <c r="BD23" s="5">
        <v>205.7662</v>
      </c>
      <c r="BE23" s="5">
        <v>6</v>
      </c>
      <c r="BF23" s="5">
        <v>278.21210000000002</v>
      </c>
      <c r="BG23" s="5">
        <v>6</v>
      </c>
      <c r="BH23" s="5">
        <v>325.1037</v>
      </c>
      <c r="BI23" s="5">
        <v>10</v>
      </c>
      <c r="BJ23" s="5">
        <v>52.6586</v>
      </c>
      <c r="BK23" s="5">
        <v>10</v>
      </c>
      <c r="BL23" s="5">
        <v>55.206899999999997</v>
      </c>
      <c r="BM23" s="5">
        <v>10</v>
      </c>
      <c r="BN23" s="5">
        <v>87.827100000000002</v>
      </c>
      <c r="BO23" s="5">
        <v>10</v>
      </c>
      <c r="BP23" s="5">
        <v>155.42019999999999</v>
      </c>
      <c r="BQ23" s="5">
        <v>10</v>
      </c>
      <c r="BR23" s="5">
        <v>185.9597</v>
      </c>
      <c r="BS23" s="5">
        <f>CHOOSE(MATCH(Setup!$B$5,{8,10,12,14,16},0)+(MATCH(Setup!$B$7,{"STD","Half-PPR","PPR"},0)-1)*5,AO23,AQ23,AS23,AU23,AW23,AY23,BA23,BC23,BE23,BG23,BI23,BK23,BM23,BO23,BQ23)</f>
        <v>6</v>
      </c>
      <c r="BT23" s="5">
        <f>CHOOSE(MATCH(Setup!$B$5,{8,10,12,14,16},0)+(MATCH(Setup!$B$7,{"STD","Half-PPR","PPR"},0)-1)*5,AP23,AR23,AT23,AV23,AX23,AZ23,BB23,BD23,BF23,BH23,BJ23,BL23,BN23,BP23,BR23)</f>
        <v>205.7662</v>
      </c>
      <c r="BU23" s="5">
        <f>ROUND(1+BT23*'Live Calc'!$D$10,0)</f>
        <v>20</v>
      </c>
      <c r="BV23" s="5"/>
      <c r="BW23" s="5">
        <f>IF(BV23&lt;&gt;"",BV23,ROUND(BU23*INDEX('Live Calc'!$D$29:$D$46,MATCH(BS23,'Live Calc'!$A$29:$A$46,0))*'Live Calc'!$J$89,0))</f>
        <v>20</v>
      </c>
      <c r="BY23" s="6" t="s">
        <v>161</v>
      </c>
      <c r="BZ23" s="6" t="s">
        <v>110</v>
      </c>
      <c r="CA23" s="6">
        <v>9</v>
      </c>
      <c r="CB23" s="6">
        <v>22.8489</v>
      </c>
      <c r="CC23" s="6">
        <v>9</v>
      </c>
      <c r="CD23" s="6">
        <v>54.497599999999998</v>
      </c>
      <c r="CE23" s="6">
        <v>9</v>
      </c>
      <c r="CF23" s="6">
        <v>125.97280000000001</v>
      </c>
      <c r="CG23" s="6">
        <v>9</v>
      </c>
      <c r="CH23" s="6">
        <v>90.434200000000004</v>
      </c>
      <c r="CI23" s="6">
        <v>9</v>
      </c>
      <c r="CJ23" s="6">
        <v>109.3824</v>
      </c>
      <c r="CK23" s="6">
        <v>7</v>
      </c>
      <c r="CL23" s="6">
        <v>56.109699999999997</v>
      </c>
      <c r="CM23" s="6">
        <v>7</v>
      </c>
      <c r="CN23" s="6">
        <v>159.7159</v>
      </c>
      <c r="CO23" s="6">
        <v>7</v>
      </c>
      <c r="CP23" s="6">
        <v>168.48079999999999</v>
      </c>
      <c r="CQ23" s="6">
        <v>6</v>
      </c>
      <c r="CR23" s="6">
        <v>119.20440000000001</v>
      </c>
      <c r="CS23" s="6">
        <v>7</v>
      </c>
      <c r="CT23" s="6">
        <v>186.06299999999999</v>
      </c>
      <c r="CU23" s="6">
        <v>7</v>
      </c>
      <c r="CV23" s="6">
        <v>61.139699999999998</v>
      </c>
      <c r="CW23" s="6">
        <v>7</v>
      </c>
      <c r="CX23" s="6">
        <v>64.128699999999995</v>
      </c>
      <c r="CY23" s="6">
        <v>7</v>
      </c>
      <c r="CZ23" s="6">
        <v>260.43920000000003</v>
      </c>
      <c r="DA23" s="6">
        <v>7</v>
      </c>
      <c r="DB23" s="6">
        <v>187.8467</v>
      </c>
      <c r="DC23" s="6">
        <v>7</v>
      </c>
      <c r="DD23" s="6">
        <v>168.63329999999999</v>
      </c>
      <c r="DE23" s="6">
        <f>CHOOSE(MATCH(Setup!$B$5,{8,10,12,14,16},0)+(MATCH(Setup!$B$7,{"STD","Half-PPR","PPR"},0)-1)*5,CA23,CC23,CE23,CG23,CI23,CK23,CM23,CO23,CQ23,CS23,CU23,CW23,CY23,DA23,DC23)</f>
        <v>7</v>
      </c>
      <c r="DF23" s="6">
        <f>CHOOSE(MATCH(Setup!$B$5,{8,10,12,14,16},0)+(MATCH(Setup!$B$7,{"STD","Half-PPR","PPR"},0)-1)*5,CB23,CD23,CF23,CH23,CJ23,CL23,CN23,CP23,CR23,CT23,CV23,CX23,CZ23,DB23,DD23)</f>
        <v>168.48079999999999</v>
      </c>
      <c r="DG23" s="6">
        <f>ROUND(1+DF23*'Live Calc'!$D$11,0)</f>
        <v>19</v>
      </c>
      <c r="DH23" s="6"/>
      <c r="DI23" s="6">
        <f>IF(DH23&lt;&gt;"",DH23,ROUND(DG23*INDEX('Live Calc'!$D$50:$D$70,MATCH(DE23,'Live Calc'!$A$50:$A$70,0))*'Live Calc'!$J$89,0))</f>
        <v>19</v>
      </c>
      <c r="DK23" s="7" t="s">
        <v>162</v>
      </c>
      <c r="DL23" s="7" t="s">
        <v>110</v>
      </c>
      <c r="DM23" s="7">
        <v>8</v>
      </c>
      <c r="DN23" s="7">
        <v>0</v>
      </c>
      <c r="DO23" s="7">
        <v>9</v>
      </c>
      <c r="DP23" s="7">
        <v>0</v>
      </c>
      <c r="DQ23" s="7">
        <v>8</v>
      </c>
      <c r="DR23" s="7">
        <v>6.3106</v>
      </c>
      <c r="DS23" s="7">
        <v>8</v>
      </c>
      <c r="DT23" s="7">
        <v>11.5403</v>
      </c>
      <c r="DU23" s="7">
        <v>8</v>
      </c>
      <c r="DV23" s="7">
        <v>9.5936000000000003</v>
      </c>
      <c r="DW23" s="7">
        <v>6</v>
      </c>
      <c r="DX23" s="7">
        <v>0</v>
      </c>
      <c r="DY23" s="7">
        <v>9</v>
      </c>
      <c r="DZ23" s="7">
        <v>0</v>
      </c>
      <c r="EA23" s="7">
        <v>9</v>
      </c>
      <c r="EB23" s="7">
        <v>0</v>
      </c>
      <c r="EC23" s="7">
        <v>9</v>
      </c>
      <c r="ED23" s="7">
        <v>4.2781000000000002</v>
      </c>
      <c r="EE23" s="7">
        <v>9</v>
      </c>
      <c r="EF23" s="7">
        <v>10.0909</v>
      </c>
      <c r="EG23" s="7">
        <v>5</v>
      </c>
      <c r="EH23" s="7">
        <v>0</v>
      </c>
      <c r="EI23" s="7">
        <v>6</v>
      </c>
      <c r="EJ23" s="7">
        <v>0</v>
      </c>
      <c r="EK23" s="7">
        <v>7</v>
      </c>
      <c r="EL23" s="7">
        <v>0</v>
      </c>
      <c r="EM23" s="7">
        <v>7</v>
      </c>
      <c r="EN23" s="7">
        <v>7.5807000000000002</v>
      </c>
      <c r="EO23" s="7">
        <v>7</v>
      </c>
      <c r="EP23" s="7">
        <v>12.6989</v>
      </c>
      <c r="EQ23" s="7">
        <f>CHOOSE(MATCH(Setup!$B$5,{8,10,12,14,16},0)+(MATCH(Setup!$B$7,{"STD","Half-PPR","PPR"},0)-1)*5,DM23,DO23,DQ23,DS23,DU23,DW23,DY23,EA23,EC23,EE23,EG23,EI23,EK23,EM23,EO23)</f>
        <v>9</v>
      </c>
      <c r="ER23" s="7">
        <f>CHOOSE(MATCH(Setup!$B$5,{8,10,12,14,16},0)+(MATCH(Setup!$B$7,{"STD","Half-PPR","PPR"},0)-1)*5,DN23,DP23,DR23,DT23,DV23,DX23,DZ23,EB23,ED23,EF23,EH23,EJ23,EL23,EN23,EP23)</f>
        <v>0</v>
      </c>
      <c r="ES23" s="7">
        <f>ROUND(1+ER23*'Live Calc'!$D$12,0)</f>
        <v>1</v>
      </c>
      <c r="ET23" s="7"/>
      <c r="EU23" s="7">
        <f>IF(ET23&lt;&gt;"",ET23,ROUND(ES23*INDEX('Live Calc'!$D$74:$D$85,MATCH(EQ23,'Live Calc'!$A$74:$A$85,0))*'Live Calc'!$J$89,0))</f>
        <v>1</v>
      </c>
    </row>
    <row r="24" spans="1:151" x14ac:dyDescent="0.25">
      <c r="A24" s="4" t="s">
        <v>163</v>
      </c>
      <c r="B24" s="4" t="s">
        <v>66</v>
      </c>
      <c r="C24" s="4">
        <v>6</v>
      </c>
      <c r="D24" s="4">
        <v>0</v>
      </c>
      <c r="E24" s="4">
        <v>7</v>
      </c>
      <c r="F24" s="4">
        <v>0</v>
      </c>
      <c r="G24" s="4">
        <v>8</v>
      </c>
      <c r="H24" s="4">
        <v>0</v>
      </c>
      <c r="I24" s="4">
        <v>9</v>
      </c>
      <c r="J24" s="4">
        <v>0</v>
      </c>
      <c r="K24" s="4">
        <v>9</v>
      </c>
      <c r="L24" s="4">
        <v>0</v>
      </c>
      <c r="M24" s="4">
        <v>5</v>
      </c>
      <c r="N24" s="4">
        <v>0</v>
      </c>
      <c r="O24" s="4">
        <v>6</v>
      </c>
      <c r="P24" s="4">
        <v>0</v>
      </c>
      <c r="Q24" s="4">
        <v>8</v>
      </c>
      <c r="R24" s="4">
        <v>0</v>
      </c>
      <c r="S24" s="4">
        <v>8</v>
      </c>
      <c r="T24" s="4">
        <v>0</v>
      </c>
      <c r="U24" s="4">
        <v>8</v>
      </c>
      <c r="V24" s="4">
        <v>0</v>
      </c>
      <c r="W24" s="4">
        <v>6</v>
      </c>
      <c r="X24" s="4">
        <v>0</v>
      </c>
      <c r="Y24" s="4">
        <v>8</v>
      </c>
      <c r="Z24" s="4">
        <v>0</v>
      </c>
      <c r="AA24" s="4">
        <v>9</v>
      </c>
      <c r="AB24" s="4">
        <v>0</v>
      </c>
      <c r="AC24" s="4">
        <v>10</v>
      </c>
      <c r="AD24" s="4">
        <v>0</v>
      </c>
      <c r="AE24" s="4">
        <v>9</v>
      </c>
      <c r="AF24" s="4">
        <v>0</v>
      </c>
      <c r="AG24" s="4">
        <f>CHOOSE(MATCH(Setup!$B$5,{8,10,12,14,16},0)+(MATCH(Setup!$B$7,{"STD","Half-PPR","PPR"},0)-1)*5,C24,E24,G24,I24,K24,M24,O24,Q24,S24,U24,W24,Y24,AA24,AC24,AE24)</f>
        <v>8</v>
      </c>
      <c r="AH24" s="4">
        <f>CHOOSE(MATCH(Setup!$B$5,{8,10,12,14,16},0)+(MATCH(Setup!$B$7,{"STD","Half-PPR","PPR"},0)-1)*5,D24,F24,H24,J24,L24,N24,P24,R24,T24,V24,X24,Z24,AB24,AD24,AF24)</f>
        <v>0</v>
      </c>
      <c r="AI24" s="4">
        <f>ROUND(1+AH24*'Live Calc'!$D$9,0)</f>
        <v>1</v>
      </c>
      <c r="AJ24" s="4"/>
      <c r="AK24" s="4">
        <f>IF(AJ24&lt;&gt;"",AJ24,ROUND(AI24*INDEX('Live Calc'!$D$16:$D$25,MATCH(AG24,'Live Calc'!$A$16:$A$25,0))*'Live Calc'!$J$89,0))</f>
        <v>1</v>
      </c>
      <c r="AM24" s="5" t="s">
        <v>164</v>
      </c>
      <c r="AN24" s="5" t="s">
        <v>107</v>
      </c>
      <c r="AO24" s="5">
        <v>5</v>
      </c>
      <c r="AP24" s="5">
        <v>21.704000000000001</v>
      </c>
      <c r="AQ24" s="5">
        <v>5</v>
      </c>
      <c r="AR24" s="5">
        <v>75.157700000000006</v>
      </c>
      <c r="AS24" s="5">
        <v>5</v>
      </c>
      <c r="AT24" s="5">
        <v>266.88679999999999</v>
      </c>
      <c r="AU24" s="5">
        <v>5</v>
      </c>
      <c r="AV24" s="5">
        <v>127.2777</v>
      </c>
      <c r="AW24" s="5">
        <v>5</v>
      </c>
      <c r="AX24" s="5">
        <v>194.2534</v>
      </c>
      <c r="AY24" s="5">
        <v>7</v>
      </c>
      <c r="AZ24" s="5">
        <v>52.8322</v>
      </c>
      <c r="BA24" s="5">
        <v>7</v>
      </c>
      <c r="BB24" s="5">
        <v>53.258800000000001</v>
      </c>
      <c r="BC24" s="5">
        <v>7</v>
      </c>
      <c r="BD24" s="5">
        <v>189.74950000000001</v>
      </c>
      <c r="BE24" s="5">
        <v>7</v>
      </c>
      <c r="BF24" s="5">
        <v>261.3442</v>
      </c>
      <c r="BG24" s="5">
        <v>7</v>
      </c>
      <c r="BH24" s="5">
        <v>307.78120000000001</v>
      </c>
      <c r="BI24" s="5">
        <v>10</v>
      </c>
      <c r="BJ24" s="5">
        <v>43.456099999999999</v>
      </c>
      <c r="BK24" s="5">
        <v>10</v>
      </c>
      <c r="BL24" s="5">
        <v>49.084800000000001</v>
      </c>
      <c r="BM24" s="5">
        <v>10</v>
      </c>
      <c r="BN24" s="5">
        <v>81.561899999999994</v>
      </c>
      <c r="BO24" s="5">
        <v>10</v>
      </c>
      <c r="BP24" s="5">
        <v>147.03559999999999</v>
      </c>
      <c r="BQ24" s="5">
        <v>10</v>
      </c>
      <c r="BR24" s="5">
        <v>177.434</v>
      </c>
      <c r="BS24" s="5">
        <f>CHOOSE(MATCH(Setup!$B$5,{8,10,12,14,16},0)+(MATCH(Setup!$B$7,{"STD","Half-PPR","PPR"},0)-1)*5,AO24,AQ24,AS24,AU24,AW24,AY24,BA24,BC24,BE24,BG24,BI24,BK24,BM24,BO24,BQ24)</f>
        <v>7</v>
      </c>
      <c r="BT24" s="5">
        <f>CHOOSE(MATCH(Setup!$B$5,{8,10,12,14,16},0)+(MATCH(Setup!$B$7,{"STD","Half-PPR","PPR"},0)-1)*5,AP24,AR24,AT24,AV24,AX24,AZ24,BB24,BD24,BF24,BH24,BJ24,BL24,BN24,BP24,BR24)</f>
        <v>189.74950000000001</v>
      </c>
      <c r="BU24" s="5">
        <f>ROUND(1+BT24*'Live Calc'!$D$10,0)</f>
        <v>19</v>
      </c>
      <c r="BV24" s="5"/>
      <c r="BW24" s="5">
        <f>IF(BV24&lt;&gt;"",BV24,ROUND(BU24*INDEX('Live Calc'!$D$29:$D$46,MATCH(BS24,'Live Calc'!$A$29:$A$46,0))*'Live Calc'!$J$89,0))</f>
        <v>19</v>
      </c>
      <c r="BY24" s="6" t="s">
        <v>165</v>
      </c>
      <c r="BZ24" s="6" t="s">
        <v>142</v>
      </c>
      <c r="CA24" s="6">
        <v>9</v>
      </c>
      <c r="CB24" s="6">
        <v>24.245100000000001</v>
      </c>
      <c r="CC24" s="6">
        <v>9</v>
      </c>
      <c r="CD24" s="6">
        <v>56.310200000000002</v>
      </c>
      <c r="CE24" s="6">
        <v>9</v>
      </c>
      <c r="CF24" s="6">
        <v>129.05260000000001</v>
      </c>
      <c r="CG24" s="6">
        <v>9</v>
      </c>
      <c r="CH24" s="6">
        <v>92.331199999999995</v>
      </c>
      <c r="CI24" s="6">
        <v>9</v>
      </c>
      <c r="CJ24" s="6">
        <v>111.31229999999999</v>
      </c>
      <c r="CK24" s="6">
        <v>7</v>
      </c>
      <c r="CL24" s="6">
        <v>50.723100000000002</v>
      </c>
      <c r="CM24" s="6">
        <v>7</v>
      </c>
      <c r="CN24" s="6">
        <v>150.16120000000001</v>
      </c>
      <c r="CO24" s="6">
        <v>7</v>
      </c>
      <c r="CP24" s="6">
        <v>160.6491</v>
      </c>
      <c r="CQ24" s="6">
        <v>6</v>
      </c>
      <c r="CR24" s="6">
        <v>114.4768</v>
      </c>
      <c r="CS24" s="6">
        <v>7</v>
      </c>
      <c r="CT24" s="6">
        <v>179.738</v>
      </c>
      <c r="CU24" s="6">
        <v>7</v>
      </c>
      <c r="CV24" s="6">
        <v>53.914099999999998</v>
      </c>
      <c r="CW24" s="6">
        <v>7</v>
      </c>
      <c r="CX24" s="6">
        <v>59.395800000000001</v>
      </c>
      <c r="CY24" s="6">
        <v>7</v>
      </c>
      <c r="CZ24" s="6">
        <v>246.4323</v>
      </c>
      <c r="DA24" s="6">
        <v>7</v>
      </c>
      <c r="DB24" s="6">
        <v>179.4392</v>
      </c>
      <c r="DC24" s="6">
        <v>7</v>
      </c>
      <c r="DD24" s="6">
        <v>162.1507</v>
      </c>
      <c r="DE24" s="6">
        <f>CHOOSE(MATCH(Setup!$B$5,{8,10,12,14,16},0)+(MATCH(Setup!$B$7,{"STD","Half-PPR","PPR"},0)-1)*5,CA24,CC24,CE24,CG24,CI24,CK24,CM24,CO24,CQ24,CS24,CU24,CW24,CY24,DA24,DC24)</f>
        <v>7</v>
      </c>
      <c r="DF24" s="6">
        <f>CHOOSE(MATCH(Setup!$B$5,{8,10,12,14,16},0)+(MATCH(Setup!$B$7,{"STD","Half-PPR","PPR"},0)-1)*5,CB24,CD24,CF24,CH24,CJ24,CL24,CN24,CP24,CR24,CT24,CV24,CX24,CZ24,DB24,DD24)</f>
        <v>160.6491</v>
      </c>
      <c r="DG24" s="6">
        <f>ROUND(1+DF24*'Live Calc'!$D$11,0)</f>
        <v>18</v>
      </c>
      <c r="DH24" s="6"/>
      <c r="DI24" s="6">
        <f>IF(DH24&lt;&gt;"",DH24,ROUND(DG24*INDEX('Live Calc'!$D$50:$D$70,MATCH(DE24,'Live Calc'!$A$50:$A$70,0))*'Live Calc'!$J$89,0))</f>
        <v>18</v>
      </c>
      <c r="DK24" s="7" t="s">
        <v>166</v>
      </c>
      <c r="DL24" s="7" t="s">
        <v>70</v>
      </c>
      <c r="DM24" s="7">
        <v>8</v>
      </c>
      <c r="DN24" s="7">
        <v>0</v>
      </c>
      <c r="DO24" s="7">
        <v>9</v>
      </c>
      <c r="DP24" s="7">
        <v>0</v>
      </c>
      <c r="DQ24" s="7">
        <v>9</v>
      </c>
      <c r="DR24" s="7">
        <v>1.3572</v>
      </c>
      <c r="DS24" s="7">
        <v>9</v>
      </c>
      <c r="DT24" s="7">
        <v>7.0829000000000004</v>
      </c>
      <c r="DU24" s="7">
        <v>9</v>
      </c>
      <c r="DV24" s="7">
        <v>6.5827</v>
      </c>
      <c r="DW24" s="7">
        <v>6</v>
      </c>
      <c r="DX24" s="7">
        <v>0</v>
      </c>
      <c r="DY24" s="7">
        <v>9</v>
      </c>
      <c r="DZ24" s="7">
        <v>0</v>
      </c>
      <c r="EA24" s="7">
        <v>9</v>
      </c>
      <c r="EB24" s="7">
        <v>0</v>
      </c>
      <c r="EC24" s="7">
        <v>10</v>
      </c>
      <c r="ED24" s="7">
        <v>2.2136999999999998</v>
      </c>
      <c r="EE24" s="7">
        <v>9</v>
      </c>
      <c r="EF24" s="7">
        <v>8.2543000000000006</v>
      </c>
      <c r="EG24" s="7">
        <v>5</v>
      </c>
      <c r="EH24" s="7">
        <v>0</v>
      </c>
      <c r="EI24" s="7">
        <v>6</v>
      </c>
      <c r="EJ24" s="7">
        <v>0</v>
      </c>
      <c r="EK24" s="7">
        <v>7</v>
      </c>
      <c r="EL24" s="7">
        <v>0</v>
      </c>
      <c r="EM24" s="7">
        <v>7</v>
      </c>
      <c r="EN24" s="7">
        <v>7.1756000000000002</v>
      </c>
      <c r="EO24" s="7">
        <v>7</v>
      </c>
      <c r="EP24" s="7">
        <v>12.3299</v>
      </c>
      <c r="EQ24" s="7">
        <f>CHOOSE(MATCH(Setup!$B$5,{8,10,12,14,16},0)+(MATCH(Setup!$B$7,{"STD","Half-PPR","PPR"},0)-1)*5,DM24,DO24,DQ24,DS24,DU24,DW24,DY24,EA24,EC24,EE24,EG24,EI24,EK24,EM24,EO24)</f>
        <v>9</v>
      </c>
      <c r="ER24" s="7">
        <f>CHOOSE(MATCH(Setup!$B$5,{8,10,12,14,16},0)+(MATCH(Setup!$B$7,{"STD","Half-PPR","PPR"},0)-1)*5,DN24,DP24,DR24,DT24,DV24,DX24,DZ24,EB24,ED24,EF24,EH24,EJ24,EL24,EN24,EP24)</f>
        <v>0</v>
      </c>
      <c r="ES24" s="7">
        <f>ROUND(1+ER24*'Live Calc'!$D$12,0)</f>
        <v>1</v>
      </c>
      <c r="ET24" s="7"/>
      <c r="EU24" s="7">
        <f>IF(ET24&lt;&gt;"",ET24,ROUND(ES24*INDEX('Live Calc'!$D$74:$D$85,MATCH(EQ24,'Live Calc'!$A$74:$A$85,0))*'Live Calc'!$J$89,0))</f>
        <v>1</v>
      </c>
    </row>
    <row r="25" spans="1:151" x14ac:dyDescent="0.25">
      <c r="A25" s="4" t="s">
        <v>167</v>
      </c>
      <c r="B25" s="4" t="s">
        <v>64</v>
      </c>
      <c r="C25" s="4">
        <v>6</v>
      </c>
      <c r="D25" s="4">
        <v>0</v>
      </c>
      <c r="E25" s="4">
        <v>7</v>
      </c>
      <c r="F25" s="4">
        <v>0</v>
      </c>
      <c r="G25" s="4">
        <v>8</v>
      </c>
      <c r="H25" s="4">
        <v>0</v>
      </c>
      <c r="I25" s="4">
        <v>9</v>
      </c>
      <c r="J25" s="4">
        <v>0</v>
      </c>
      <c r="K25" s="4">
        <v>9</v>
      </c>
      <c r="L25" s="4">
        <v>0</v>
      </c>
      <c r="M25" s="4">
        <v>5</v>
      </c>
      <c r="N25" s="4">
        <v>0</v>
      </c>
      <c r="O25" s="4">
        <v>6</v>
      </c>
      <c r="P25" s="4">
        <v>0</v>
      </c>
      <c r="Q25" s="4">
        <v>8</v>
      </c>
      <c r="R25" s="4">
        <v>0</v>
      </c>
      <c r="S25" s="4">
        <v>8</v>
      </c>
      <c r="T25" s="4">
        <v>0</v>
      </c>
      <c r="U25" s="4">
        <v>8</v>
      </c>
      <c r="V25" s="4">
        <v>0</v>
      </c>
      <c r="W25" s="4">
        <v>6</v>
      </c>
      <c r="X25" s="4">
        <v>0</v>
      </c>
      <c r="Y25" s="4">
        <v>8</v>
      </c>
      <c r="Z25" s="4">
        <v>0</v>
      </c>
      <c r="AA25" s="4">
        <v>9</v>
      </c>
      <c r="AB25" s="4">
        <v>0</v>
      </c>
      <c r="AC25" s="4">
        <v>10</v>
      </c>
      <c r="AD25" s="4">
        <v>0</v>
      </c>
      <c r="AE25" s="4">
        <v>9</v>
      </c>
      <c r="AF25" s="4">
        <v>0</v>
      </c>
      <c r="AG25" s="4">
        <f>CHOOSE(MATCH(Setup!$B$5,{8,10,12,14,16},0)+(MATCH(Setup!$B$7,{"STD","Half-PPR","PPR"},0)-1)*5,C25,E25,G25,I25,K25,M25,O25,Q25,S25,U25,W25,Y25,AA25,AC25,AE25)</f>
        <v>8</v>
      </c>
      <c r="AH25" s="4">
        <f>CHOOSE(MATCH(Setup!$B$5,{8,10,12,14,16},0)+(MATCH(Setup!$B$7,{"STD","Half-PPR","PPR"},0)-1)*5,D25,F25,H25,J25,L25,N25,P25,R25,T25,V25,X25,Z25,AB25,AD25,AF25)</f>
        <v>0</v>
      </c>
      <c r="AI25" s="4">
        <f>ROUND(1+AH25*'Live Calc'!$D$9,0)</f>
        <v>1</v>
      </c>
      <c r="AJ25" s="4"/>
      <c r="AK25" s="4">
        <f>IF(AJ25&lt;&gt;"",AJ25,ROUND(AI25*INDEX('Live Calc'!$D$16:$D$25,MATCH(AG25,'Live Calc'!$A$16:$A$25,0))*'Live Calc'!$J$89,0))</f>
        <v>1</v>
      </c>
      <c r="AM25" s="5" t="s">
        <v>168</v>
      </c>
      <c r="AN25" s="5" t="s">
        <v>104</v>
      </c>
      <c r="AO25" s="5">
        <v>5</v>
      </c>
      <c r="AP25" s="5">
        <v>20.774000000000001</v>
      </c>
      <c r="AQ25" s="5">
        <v>5</v>
      </c>
      <c r="AR25" s="5">
        <v>73.281999999999996</v>
      </c>
      <c r="AS25" s="5">
        <v>5</v>
      </c>
      <c r="AT25" s="5">
        <v>262.50639999999999</v>
      </c>
      <c r="AU25" s="5">
        <v>5</v>
      </c>
      <c r="AV25" s="5">
        <v>125.6892</v>
      </c>
      <c r="AW25" s="5">
        <v>5</v>
      </c>
      <c r="AX25" s="5">
        <v>192.1284</v>
      </c>
      <c r="AY25" s="5">
        <v>7</v>
      </c>
      <c r="AZ25" s="5">
        <v>49.057099999999998</v>
      </c>
      <c r="BA25" s="5">
        <v>7</v>
      </c>
      <c r="BB25" s="5">
        <v>50.767200000000003</v>
      </c>
      <c r="BC25" s="5">
        <v>7</v>
      </c>
      <c r="BD25" s="5">
        <v>184.10820000000001</v>
      </c>
      <c r="BE25" s="5">
        <v>7</v>
      </c>
      <c r="BF25" s="5">
        <v>255.3903</v>
      </c>
      <c r="BG25" s="5">
        <v>7</v>
      </c>
      <c r="BH25" s="5">
        <v>301.66129999999998</v>
      </c>
      <c r="BI25" s="5">
        <v>10</v>
      </c>
      <c r="BJ25" s="5">
        <v>38.6768</v>
      </c>
      <c r="BK25" s="5">
        <v>10</v>
      </c>
      <c r="BL25" s="5">
        <v>45.854399999999998</v>
      </c>
      <c r="BM25" s="5">
        <v>10</v>
      </c>
      <c r="BN25" s="5">
        <v>78.250399999999999</v>
      </c>
      <c r="BO25" s="5">
        <v>10</v>
      </c>
      <c r="BP25" s="5">
        <v>142.60900000000001</v>
      </c>
      <c r="BQ25" s="5">
        <v>10</v>
      </c>
      <c r="BR25" s="5">
        <v>172.93010000000001</v>
      </c>
      <c r="BS25" s="5">
        <f>CHOOSE(MATCH(Setup!$B$5,{8,10,12,14,16},0)+(MATCH(Setup!$B$7,{"STD","Half-PPR","PPR"},0)-1)*5,AO25,AQ25,AS25,AU25,AW25,AY25,BA25,BC25,BE25,BG25,BI25,BK25,BM25,BO25,BQ25)</f>
        <v>7</v>
      </c>
      <c r="BT25" s="5">
        <f>CHOOSE(MATCH(Setup!$B$5,{8,10,12,14,16},0)+(MATCH(Setup!$B$7,{"STD","Half-PPR","PPR"},0)-1)*5,AP25,AR25,AT25,AV25,AX25,AZ25,BB25,BD25,BF25,BH25,BJ25,BL25,BN25,BP25,BR25)</f>
        <v>184.10820000000001</v>
      </c>
      <c r="BU25" s="5">
        <f>ROUND(1+BT25*'Live Calc'!$D$10,0)</f>
        <v>18</v>
      </c>
      <c r="BV25" s="5"/>
      <c r="BW25" s="5">
        <f>IF(BV25&lt;&gt;"",BV25,ROUND(BU25*INDEX('Live Calc'!$D$29:$D$46,MATCH(BS25,'Live Calc'!$A$29:$A$46,0))*'Live Calc'!$J$89,0))</f>
        <v>18</v>
      </c>
      <c r="BY25" s="6" t="s">
        <v>169</v>
      </c>
      <c r="BZ25" s="6" t="s">
        <v>68</v>
      </c>
      <c r="CA25" s="6">
        <v>10</v>
      </c>
      <c r="CB25" s="6">
        <v>20.410599999999999</v>
      </c>
      <c r="CC25" s="6">
        <v>10</v>
      </c>
      <c r="CD25" s="6">
        <v>51.332299999999996</v>
      </c>
      <c r="CE25" s="6">
        <v>10</v>
      </c>
      <c r="CF25" s="6">
        <v>120.6026</v>
      </c>
      <c r="CG25" s="6">
        <v>10</v>
      </c>
      <c r="CH25" s="6">
        <v>87.116399999999999</v>
      </c>
      <c r="CI25" s="6">
        <v>10</v>
      </c>
      <c r="CJ25" s="6">
        <v>106.0059</v>
      </c>
      <c r="CK25" s="6">
        <v>7</v>
      </c>
      <c r="CL25" s="6">
        <v>49.619300000000003</v>
      </c>
      <c r="CM25" s="6">
        <v>7</v>
      </c>
      <c r="CN25" s="6">
        <v>148.202</v>
      </c>
      <c r="CO25" s="6">
        <v>7</v>
      </c>
      <c r="CP25" s="6">
        <v>159.03880000000001</v>
      </c>
      <c r="CQ25" s="6">
        <v>6</v>
      </c>
      <c r="CR25" s="6">
        <v>113.5022</v>
      </c>
      <c r="CS25" s="6">
        <v>7</v>
      </c>
      <c r="CT25" s="6">
        <v>178.4348</v>
      </c>
      <c r="CU25" s="6">
        <v>7</v>
      </c>
      <c r="CV25" s="6">
        <v>50.853700000000003</v>
      </c>
      <c r="CW25" s="6">
        <v>7</v>
      </c>
      <c r="CX25" s="6">
        <v>57.372100000000003</v>
      </c>
      <c r="CY25" s="6">
        <v>7</v>
      </c>
      <c r="CZ25" s="6">
        <v>240.4751</v>
      </c>
      <c r="DA25" s="6">
        <v>7</v>
      </c>
      <c r="DB25" s="6">
        <v>175.8503</v>
      </c>
      <c r="DC25" s="6">
        <v>7</v>
      </c>
      <c r="DD25" s="6">
        <v>159.37870000000001</v>
      </c>
      <c r="DE25" s="6">
        <f>CHOOSE(MATCH(Setup!$B$5,{8,10,12,14,16},0)+(MATCH(Setup!$B$7,{"STD","Half-PPR","PPR"},0)-1)*5,CA25,CC25,CE25,CG25,CI25,CK25,CM25,CO25,CQ25,CS25,CU25,CW25,CY25,DA25,DC25)</f>
        <v>7</v>
      </c>
      <c r="DF25" s="6">
        <f>CHOOSE(MATCH(Setup!$B$5,{8,10,12,14,16},0)+(MATCH(Setup!$B$7,{"STD","Half-PPR","PPR"},0)-1)*5,CB25,CD25,CF25,CH25,CJ25,CL25,CN25,CP25,CR25,CT25,CV25,CX25,CZ25,DB25,DD25)</f>
        <v>159.03880000000001</v>
      </c>
      <c r="DG25" s="6">
        <f>ROUND(1+DF25*'Live Calc'!$D$11,0)</f>
        <v>18</v>
      </c>
      <c r="DH25" s="6"/>
      <c r="DI25" s="6">
        <f>IF(DH25&lt;&gt;"",DH25,ROUND(DG25*INDEX('Live Calc'!$D$50:$D$70,MATCH(DE25,'Live Calc'!$A$50:$A$70,0))*'Live Calc'!$J$89,0))</f>
        <v>18</v>
      </c>
      <c r="DK25" s="7" t="s">
        <v>170</v>
      </c>
      <c r="DL25" s="7" t="s">
        <v>66</v>
      </c>
      <c r="DM25" s="7">
        <v>8</v>
      </c>
      <c r="DN25" s="7">
        <v>0</v>
      </c>
      <c r="DO25" s="7">
        <v>9</v>
      </c>
      <c r="DP25" s="7">
        <v>0</v>
      </c>
      <c r="DQ25" s="7">
        <v>9</v>
      </c>
      <c r="DR25" s="7">
        <v>1.6411</v>
      </c>
      <c r="DS25" s="7">
        <v>9</v>
      </c>
      <c r="DT25" s="7">
        <v>7.3213999999999997</v>
      </c>
      <c r="DU25" s="7">
        <v>9</v>
      </c>
      <c r="DV25" s="7">
        <v>6.7469999999999999</v>
      </c>
      <c r="DW25" s="7">
        <v>6</v>
      </c>
      <c r="DX25" s="7">
        <v>0</v>
      </c>
      <c r="DY25" s="7">
        <v>9</v>
      </c>
      <c r="DZ25" s="7">
        <v>0</v>
      </c>
      <c r="EA25" s="7">
        <v>9</v>
      </c>
      <c r="EB25" s="7">
        <v>0</v>
      </c>
      <c r="EC25" s="7">
        <v>11</v>
      </c>
      <c r="ED25" s="7">
        <v>0</v>
      </c>
      <c r="EE25" s="7">
        <v>10</v>
      </c>
      <c r="EF25" s="7">
        <v>6.5111999999999997</v>
      </c>
      <c r="EG25" s="7">
        <v>5</v>
      </c>
      <c r="EH25" s="7">
        <v>0</v>
      </c>
      <c r="EI25" s="7">
        <v>6</v>
      </c>
      <c r="EJ25" s="7">
        <v>0</v>
      </c>
      <c r="EK25" s="7">
        <v>7</v>
      </c>
      <c r="EL25" s="7">
        <v>0</v>
      </c>
      <c r="EM25" s="7">
        <v>8</v>
      </c>
      <c r="EN25" s="7">
        <v>2.4051</v>
      </c>
      <c r="EO25" s="7">
        <v>8</v>
      </c>
      <c r="EP25" s="7">
        <v>8.1818000000000008</v>
      </c>
      <c r="EQ25" s="7">
        <f>CHOOSE(MATCH(Setup!$B$5,{8,10,12,14,16},0)+(MATCH(Setup!$B$7,{"STD","Half-PPR","PPR"},0)-1)*5,DM25,DO25,DQ25,DS25,DU25,DW25,DY25,EA25,EC25,EE25,EG25,EI25,EK25,EM25,EO25)</f>
        <v>9</v>
      </c>
      <c r="ER25" s="7">
        <f>CHOOSE(MATCH(Setup!$B$5,{8,10,12,14,16},0)+(MATCH(Setup!$B$7,{"STD","Half-PPR","PPR"},0)-1)*5,DN25,DP25,DR25,DT25,DV25,DX25,DZ25,EB25,ED25,EF25,EH25,EJ25,EL25,EN25,EP25)</f>
        <v>0</v>
      </c>
      <c r="ES25" s="7">
        <f>ROUND(1+ER25*'Live Calc'!$D$12,0)</f>
        <v>1</v>
      </c>
      <c r="ET25" s="7"/>
      <c r="EU25" s="7">
        <f>IF(ET25&lt;&gt;"",ET25,ROUND(ES25*INDEX('Live Calc'!$D$74:$D$85,MATCH(EQ25,'Live Calc'!$A$74:$A$85,0))*'Live Calc'!$J$89,0))</f>
        <v>1</v>
      </c>
    </row>
    <row r="26" spans="1:151" x14ac:dyDescent="0.25">
      <c r="A26" s="4" t="s">
        <v>171</v>
      </c>
      <c r="B26" s="4" t="s">
        <v>145</v>
      </c>
      <c r="C26" s="4">
        <v>6</v>
      </c>
      <c r="D26" s="4">
        <v>0</v>
      </c>
      <c r="E26" s="4">
        <v>7</v>
      </c>
      <c r="F26" s="4">
        <v>0</v>
      </c>
      <c r="G26" s="4">
        <v>8</v>
      </c>
      <c r="H26" s="4">
        <v>0</v>
      </c>
      <c r="I26" s="4">
        <v>9</v>
      </c>
      <c r="J26" s="4">
        <v>0</v>
      </c>
      <c r="K26" s="4">
        <v>9</v>
      </c>
      <c r="L26" s="4">
        <v>0</v>
      </c>
      <c r="M26" s="4">
        <v>5</v>
      </c>
      <c r="N26" s="4">
        <v>0</v>
      </c>
      <c r="O26" s="4">
        <v>6</v>
      </c>
      <c r="P26" s="4">
        <v>0</v>
      </c>
      <c r="Q26" s="4">
        <v>8</v>
      </c>
      <c r="R26" s="4">
        <v>0</v>
      </c>
      <c r="S26" s="4">
        <v>8</v>
      </c>
      <c r="T26" s="4">
        <v>0</v>
      </c>
      <c r="U26" s="4">
        <v>8</v>
      </c>
      <c r="V26" s="4">
        <v>0</v>
      </c>
      <c r="W26" s="4">
        <v>6</v>
      </c>
      <c r="X26" s="4">
        <v>0</v>
      </c>
      <c r="Y26" s="4">
        <v>8</v>
      </c>
      <c r="Z26" s="4">
        <v>0</v>
      </c>
      <c r="AA26" s="4">
        <v>9</v>
      </c>
      <c r="AB26" s="4">
        <v>0</v>
      </c>
      <c r="AC26" s="4">
        <v>10</v>
      </c>
      <c r="AD26" s="4">
        <v>0</v>
      </c>
      <c r="AE26" s="4">
        <v>9</v>
      </c>
      <c r="AF26" s="4">
        <v>0</v>
      </c>
      <c r="AG26" s="4">
        <f>CHOOSE(MATCH(Setup!$B$5,{8,10,12,14,16},0)+(MATCH(Setup!$B$7,{"STD","Half-PPR","PPR"},0)-1)*5,C26,E26,G26,I26,K26,M26,O26,Q26,S26,U26,W26,Y26,AA26,AC26,AE26)</f>
        <v>8</v>
      </c>
      <c r="AH26" s="4">
        <f>CHOOSE(MATCH(Setup!$B$5,{8,10,12,14,16},0)+(MATCH(Setup!$B$7,{"STD","Half-PPR","PPR"},0)-1)*5,D26,F26,H26,J26,L26,N26,P26,R26,T26,V26,X26,Z26,AB26,AD26,AF26)</f>
        <v>0</v>
      </c>
      <c r="AI26" s="4">
        <f>ROUND(1+AH26*'Live Calc'!$D$9,0)</f>
        <v>1</v>
      </c>
      <c r="AJ26" s="4"/>
      <c r="AK26" s="4">
        <f>IF(AJ26&lt;&gt;"",AJ26,ROUND(AI26*INDEX('Live Calc'!$D$16:$D$25,MATCH(AG26,'Live Calc'!$A$16:$A$25,0))*'Live Calc'!$J$89,0))</f>
        <v>1</v>
      </c>
      <c r="AM26" s="5" t="s">
        <v>172</v>
      </c>
      <c r="AN26" s="5" t="s">
        <v>62</v>
      </c>
      <c r="AO26" s="5">
        <v>6</v>
      </c>
      <c r="AP26" s="5">
        <v>16.574000000000002</v>
      </c>
      <c r="AQ26" s="5">
        <v>6</v>
      </c>
      <c r="AR26" s="5">
        <v>64.890699999999995</v>
      </c>
      <c r="AS26" s="5">
        <v>6</v>
      </c>
      <c r="AT26" s="5">
        <v>242.93520000000001</v>
      </c>
      <c r="AU26" s="5">
        <v>6</v>
      </c>
      <c r="AV26" s="5">
        <v>118.53870000000001</v>
      </c>
      <c r="AW26" s="5">
        <v>6</v>
      </c>
      <c r="AX26" s="5">
        <v>182.5703</v>
      </c>
      <c r="AY26" s="5">
        <v>7</v>
      </c>
      <c r="AZ26" s="5">
        <v>48.850700000000003</v>
      </c>
      <c r="BA26" s="5">
        <v>7</v>
      </c>
      <c r="BB26" s="5">
        <v>50.630400000000002</v>
      </c>
      <c r="BC26" s="5">
        <v>7</v>
      </c>
      <c r="BD26" s="5">
        <v>183.79920000000001</v>
      </c>
      <c r="BE26" s="5">
        <v>7</v>
      </c>
      <c r="BF26" s="5">
        <v>255.06389999999999</v>
      </c>
      <c r="BG26" s="5">
        <v>7</v>
      </c>
      <c r="BH26" s="5">
        <v>301.32569999999998</v>
      </c>
      <c r="BI26" s="5">
        <v>10</v>
      </c>
      <c r="BJ26" s="5">
        <v>44.492100000000001</v>
      </c>
      <c r="BK26" s="5">
        <v>10</v>
      </c>
      <c r="BL26" s="5">
        <v>49.780200000000001</v>
      </c>
      <c r="BM26" s="5">
        <v>10</v>
      </c>
      <c r="BN26" s="5">
        <v>82.274199999999993</v>
      </c>
      <c r="BO26" s="5">
        <v>10</v>
      </c>
      <c r="BP26" s="5">
        <v>147.98820000000001</v>
      </c>
      <c r="BQ26" s="5">
        <v>10</v>
      </c>
      <c r="BR26" s="5">
        <v>178.40299999999999</v>
      </c>
      <c r="BS26" s="5">
        <f>CHOOSE(MATCH(Setup!$B$5,{8,10,12,14,16},0)+(MATCH(Setup!$B$7,{"STD","Half-PPR","PPR"},0)-1)*5,AO26,AQ26,AS26,AU26,AW26,AY26,BA26,BC26,BE26,BG26,BI26,BK26,BM26,BO26,BQ26)</f>
        <v>7</v>
      </c>
      <c r="BT26" s="5">
        <f>CHOOSE(MATCH(Setup!$B$5,{8,10,12,14,16},0)+(MATCH(Setup!$B$7,{"STD","Half-PPR","PPR"},0)-1)*5,AP26,AR26,AT26,AV26,AX26,AZ26,BB26,BD26,BF26,BH26,BJ26,BL26,BN26,BP26,BR26)</f>
        <v>183.79920000000001</v>
      </c>
      <c r="BU26" s="5">
        <f>ROUND(1+BT26*'Live Calc'!$D$10,0)</f>
        <v>18</v>
      </c>
      <c r="BV26" s="5"/>
      <c r="BW26" s="5">
        <f>IF(BV26&lt;&gt;"",BV26,ROUND(BU26*INDEX('Live Calc'!$D$29:$D$46,MATCH(BS26,'Live Calc'!$A$29:$A$46,0))*'Live Calc'!$J$89,0))</f>
        <v>18</v>
      </c>
      <c r="BY26" s="6" t="s">
        <v>173</v>
      </c>
      <c r="BZ26" s="6" t="s">
        <v>48</v>
      </c>
      <c r="CA26" s="6">
        <v>8</v>
      </c>
      <c r="CB26" s="6">
        <v>26.822800000000001</v>
      </c>
      <c r="CC26" s="6">
        <v>8</v>
      </c>
      <c r="CD26" s="6">
        <v>59.657800000000002</v>
      </c>
      <c r="CE26" s="6">
        <v>8</v>
      </c>
      <c r="CF26" s="6">
        <v>134.749</v>
      </c>
      <c r="CG26" s="6">
        <v>8</v>
      </c>
      <c r="CH26" s="6">
        <v>95.829400000000007</v>
      </c>
      <c r="CI26" s="6">
        <v>8</v>
      </c>
      <c r="CJ26" s="6">
        <v>114.8695</v>
      </c>
      <c r="CK26" s="6">
        <v>7</v>
      </c>
      <c r="CL26" s="6">
        <v>50.884399999999999</v>
      </c>
      <c r="CM26" s="6">
        <v>7</v>
      </c>
      <c r="CN26" s="6">
        <v>150.44730000000001</v>
      </c>
      <c r="CO26" s="6">
        <v>7</v>
      </c>
      <c r="CP26" s="6">
        <v>160.88409999999999</v>
      </c>
      <c r="CQ26" s="6">
        <v>6</v>
      </c>
      <c r="CR26" s="6">
        <v>114.619</v>
      </c>
      <c r="CS26" s="6">
        <v>7</v>
      </c>
      <c r="CT26" s="6">
        <v>179.9281</v>
      </c>
      <c r="CU26" s="6">
        <v>8</v>
      </c>
      <c r="CV26" s="6">
        <v>41.221699999999998</v>
      </c>
      <c r="CW26" s="6">
        <v>8</v>
      </c>
      <c r="CX26" s="6">
        <v>50.916499999999999</v>
      </c>
      <c r="CY26" s="6">
        <v>8</v>
      </c>
      <c r="CZ26" s="6">
        <v>221.60290000000001</v>
      </c>
      <c r="DA26" s="6">
        <v>8</v>
      </c>
      <c r="DB26" s="6">
        <v>164.42500000000001</v>
      </c>
      <c r="DC26" s="6">
        <v>8</v>
      </c>
      <c r="DD26" s="6">
        <v>150.53360000000001</v>
      </c>
      <c r="DE26" s="6">
        <f>CHOOSE(MATCH(Setup!$B$5,{8,10,12,14,16},0)+(MATCH(Setup!$B$7,{"STD","Half-PPR","PPR"},0)-1)*5,CA26,CC26,CE26,CG26,CI26,CK26,CM26,CO26,CQ26,CS26,CU26,CW26,CY26,DA26,DC26)</f>
        <v>7</v>
      </c>
      <c r="DF26" s="6">
        <f>CHOOSE(MATCH(Setup!$B$5,{8,10,12,14,16},0)+(MATCH(Setup!$B$7,{"STD","Half-PPR","PPR"},0)-1)*5,CB26,CD26,CF26,CH26,CJ26,CL26,CN26,CP26,CR26,CT26,CV26,CX26,CZ26,DB26,DD26)</f>
        <v>160.88409999999999</v>
      </c>
      <c r="DG26" s="6">
        <f>ROUND(1+DF26*'Live Calc'!$D$11,0)</f>
        <v>18</v>
      </c>
      <c r="DH26" s="6"/>
      <c r="DI26" s="6">
        <f>IF(DH26&lt;&gt;"",DH26,ROUND(DG26*INDEX('Live Calc'!$D$50:$D$70,MATCH(DE26,'Live Calc'!$A$50:$A$70,0))*'Live Calc'!$J$89,0))</f>
        <v>18</v>
      </c>
      <c r="DK26" s="7" t="s">
        <v>174</v>
      </c>
      <c r="DL26" s="7" t="s">
        <v>175</v>
      </c>
      <c r="DM26" s="7">
        <v>8</v>
      </c>
      <c r="DN26" s="7">
        <v>0</v>
      </c>
      <c r="DO26" s="7">
        <v>9</v>
      </c>
      <c r="DP26" s="7">
        <v>0</v>
      </c>
      <c r="DQ26" s="7">
        <v>10</v>
      </c>
      <c r="DR26" s="7">
        <v>0</v>
      </c>
      <c r="DS26" s="7">
        <v>10</v>
      </c>
      <c r="DT26" s="7">
        <v>2.6038999999999999</v>
      </c>
      <c r="DU26" s="7">
        <v>10</v>
      </c>
      <c r="DV26" s="7">
        <v>3.4113000000000002</v>
      </c>
      <c r="DW26" s="7">
        <v>6</v>
      </c>
      <c r="DX26" s="7">
        <v>0</v>
      </c>
      <c r="DY26" s="7">
        <v>9</v>
      </c>
      <c r="DZ26" s="7">
        <v>0</v>
      </c>
      <c r="EA26" s="7">
        <v>9</v>
      </c>
      <c r="EB26" s="7">
        <v>0</v>
      </c>
      <c r="EC26" s="7">
        <v>11</v>
      </c>
      <c r="ED26" s="7">
        <v>0</v>
      </c>
      <c r="EE26" s="7">
        <v>11</v>
      </c>
      <c r="EF26" s="7">
        <v>3.7646000000000002</v>
      </c>
      <c r="EG26" s="7">
        <v>5</v>
      </c>
      <c r="EH26" s="7">
        <v>0</v>
      </c>
      <c r="EI26" s="7">
        <v>6</v>
      </c>
      <c r="EJ26" s="7">
        <v>0</v>
      </c>
      <c r="EK26" s="7">
        <v>7</v>
      </c>
      <c r="EL26" s="7">
        <v>0</v>
      </c>
      <c r="EM26" s="7">
        <v>9</v>
      </c>
      <c r="EN26" s="7">
        <v>0.72409999999999997</v>
      </c>
      <c r="EO26" s="7">
        <v>9</v>
      </c>
      <c r="EP26" s="7">
        <v>6.9179000000000004</v>
      </c>
      <c r="EQ26" s="7">
        <f>CHOOSE(MATCH(Setup!$B$5,{8,10,12,14,16},0)+(MATCH(Setup!$B$7,{"STD","Half-PPR","PPR"},0)-1)*5,DM26,DO26,DQ26,DS26,DU26,DW26,DY26,EA26,EC26,EE26,EG26,EI26,EK26,EM26,EO26)</f>
        <v>9</v>
      </c>
      <c r="ER26" s="7">
        <f>CHOOSE(MATCH(Setup!$B$5,{8,10,12,14,16},0)+(MATCH(Setup!$B$7,{"STD","Half-PPR","PPR"},0)-1)*5,DN26,DP26,DR26,DT26,DV26,DX26,DZ26,EB26,ED26,EF26,EH26,EJ26,EL26,EN26,EP26)</f>
        <v>0</v>
      </c>
      <c r="ES26" s="7">
        <f>ROUND(1+ER26*'Live Calc'!$D$12,0)</f>
        <v>1</v>
      </c>
      <c r="ET26" s="7"/>
      <c r="EU26" s="7">
        <f>IF(ET26&lt;&gt;"",ET26,ROUND(ES26*INDEX('Live Calc'!$D$74:$D$85,MATCH(EQ26,'Live Calc'!$A$74:$A$85,0))*'Live Calc'!$J$89,0))</f>
        <v>1</v>
      </c>
    </row>
    <row r="27" spans="1:151" x14ac:dyDescent="0.25">
      <c r="A27" s="4" t="s">
        <v>176</v>
      </c>
      <c r="B27" s="4" t="s">
        <v>177</v>
      </c>
      <c r="C27" s="4">
        <v>6</v>
      </c>
      <c r="D27" s="4">
        <v>0</v>
      </c>
      <c r="E27" s="4">
        <v>7</v>
      </c>
      <c r="F27" s="4">
        <v>0</v>
      </c>
      <c r="G27" s="4">
        <v>8</v>
      </c>
      <c r="H27" s="4">
        <v>0</v>
      </c>
      <c r="I27" s="4">
        <v>9</v>
      </c>
      <c r="J27" s="4">
        <v>0</v>
      </c>
      <c r="K27" s="4">
        <v>9</v>
      </c>
      <c r="L27" s="4">
        <v>0</v>
      </c>
      <c r="M27" s="4">
        <v>5</v>
      </c>
      <c r="N27" s="4">
        <v>0</v>
      </c>
      <c r="O27" s="4">
        <v>6</v>
      </c>
      <c r="P27" s="4">
        <v>0</v>
      </c>
      <c r="Q27" s="4">
        <v>8</v>
      </c>
      <c r="R27" s="4">
        <v>0</v>
      </c>
      <c r="S27" s="4">
        <v>8</v>
      </c>
      <c r="T27" s="4">
        <v>0</v>
      </c>
      <c r="U27" s="4">
        <v>8</v>
      </c>
      <c r="V27" s="4">
        <v>0</v>
      </c>
      <c r="W27" s="4">
        <v>6</v>
      </c>
      <c r="X27" s="4">
        <v>0</v>
      </c>
      <c r="Y27" s="4">
        <v>8</v>
      </c>
      <c r="Z27" s="4">
        <v>0</v>
      </c>
      <c r="AA27" s="4">
        <v>9</v>
      </c>
      <c r="AB27" s="4">
        <v>0</v>
      </c>
      <c r="AC27" s="4">
        <v>10</v>
      </c>
      <c r="AD27" s="4">
        <v>0</v>
      </c>
      <c r="AE27" s="4">
        <v>9</v>
      </c>
      <c r="AF27" s="4">
        <v>0</v>
      </c>
      <c r="AG27" s="4">
        <f>CHOOSE(MATCH(Setup!$B$5,{8,10,12,14,16},0)+(MATCH(Setup!$B$7,{"STD","Half-PPR","PPR"},0)-1)*5,C27,E27,G27,I27,K27,M27,O27,Q27,S27,U27,W27,Y27,AA27,AC27,AE27)</f>
        <v>8</v>
      </c>
      <c r="AH27" s="4">
        <f>CHOOSE(MATCH(Setup!$B$5,{8,10,12,14,16},0)+(MATCH(Setup!$B$7,{"STD","Half-PPR","PPR"},0)-1)*5,D27,F27,H27,J27,L27,N27,P27,R27,T27,V27,X27,Z27,AB27,AD27,AF27)</f>
        <v>0</v>
      </c>
      <c r="AI27" s="4">
        <f>ROUND(1+AH27*'Live Calc'!$D$9,0)</f>
        <v>1</v>
      </c>
      <c r="AJ27" s="4"/>
      <c r="AK27" s="4">
        <f>IF(AJ27&lt;&gt;"",AJ27,ROUND(AI27*INDEX('Live Calc'!$D$16:$D$25,MATCH(AG27,'Live Calc'!$A$16:$A$25,0))*'Live Calc'!$J$89,0))</f>
        <v>1</v>
      </c>
      <c r="AM27" s="5" t="s">
        <v>178</v>
      </c>
      <c r="AN27" s="5" t="s">
        <v>175</v>
      </c>
      <c r="AO27" s="5">
        <v>7</v>
      </c>
      <c r="AP27" s="5">
        <v>6.9020000000000001</v>
      </c>
      <c r="AQ27" s="5">
        <v>7</v>
      </c>
      <c r="AR27" s="5">
        <v>46.122300000000003</v>
      </c>
      <c r="AS27" s="5">
        <v>7</v>
      </c>
      <c r="AT27" s="5">
        <v>199.25200000000001</v>
      </c>
      <c r="AU27" s="5">
        <v>7</v>
      </c>
      <c r="AV27" s="5">
        <v>102.2236</v>
      </c>
      <c r="AW27" s="5">
        <v>7</v>
      </c>
      <c r="AX27" s="5">
        <v>160.81020000000001</v>
      </c>
      <c r="AY27" s="5">
        <v>8</v>
      </c>
      <c r="AZ27" s="5">
        <v>32.3431</v>
      </c>
      <c r="BA27" s="5">
        <v>8</v>
      </c>
      <c r="BB27" s="5">
        <v>39.474400000000003</v>
      </c>
      <c r="BC27" s="5">
        <v>8</v>
      </c>
      <c r="BD27" s="5">
        <v>158.7372</v>
      </c>
      <c r="BE27" s="5">
        <v>8</v>
      </c>
      <c r="BF27" s="5">
        <v>228.51730000000001</v>
      </c>
      <c r="BG27" s="5">
        <v>8</v>
      </c>
      <c r="BH27" s="5">
        <v>273.99860000000001</v>
      </c>
      <c r="BI27" s="5">
        <v>10</v>
      </c>
      <c r="BJ27" s="5">
        <v>33.260599999999997</v>
      </c>
      <c r="BK27" s="5">
        <v>10</v>
      </c>
      <c r="BL27" s="5">
        <v>42.142899999999997</v>
      </c>
      <c r="BM27" s="5">
        <v>10</v>
      </c>
      <c r="BN27" s="5">
        <v>74.440100000000001</v>
      </c>
      <c r="BO27" s="5">
        <v>10</v>
      </c>
      <c r="BP27" s="5">
        <v>137.52010000000001</v>
      </c>
      <c r="BQ27" s="5">
        <v>10</v>
      </c>
      <c r="BR27" s="5">
        <v>167.74979999999999</v>
      </c>
      <c r="BS27" s="5">
        <f>CHOOSE(MATCH(Setup!$B$5,{8,10,12,14,16},0)+(MATCH(Setup!$B$7,{"STD","Half-PPR","PPR"},0)-1)*5,AO27,AQ27,AS27,AU27,AW27,AY27,BA27,BC27,BE27,BG27,BI27,BK27,BM27,BO27,BQ27)</f>
        <v>8</v>
      </c>
      <c r="BT27" s="5">
        <f>CHOOSE(MATCH(Setup!$B$5,{8,10,12,14,16},0)+(MATCH(Setup!$B$7,{"STD","Half-PPR","PPR"},0)-1)*5,AP27,AR27,AT27,AV27,AX27,AZ27,BB27,BD27,BF27,BH27,BJ27,BL27,BN27,BP27,BR27)</f>
        <v>158.7372</v>
      </c>
      <c r="BU27" s="5">
        <f>ROUND(1+BT27*'Live Calc'!$D$10,0)</f>
        <v>16</v>
      </c>
      <c r="BV27" s="5"/>
      <c r="BW27" s="5">
        <f>IF(BV27&lt;&gt;"",BV27,ROUND(BU27*INDEX('Live Calc'!$D$29:$D$46,MATCH(BS27,'Live Calc'!$A$29:$A$46,0))*'Live Calc'!$J$89,0))</f>
        <v>16</v>
      </c>
      <c r="BY27" s="6" t="s">
        <v>179</v>
      </c>
      <c r="BZ27" s="6" t="s">
        <v>86</v>
      </c>
      <c r="CA27" s="6">
        <v>9</v>
      </c>
      <c r="CB27" s="6">
        <v>22.831800000000001</v>
      </c>
      <c r="CC27" s="6">
        <v>9</v>
      </c>
      <c r="CD27" s="6">
        <v>54.4754</v>
      </c>
      <c r="CE27" s="6">
        <v>9</v>
      </c>
      <c r="CF27" s="6">
        <v>125.93519999999999</v>
      </c>
      <c r="CG27" s="6">
        <v>9</v>
      </c>
      <c r="CH27" s="6">
        <v>90.411000000000001</v>
      </c>
      <c r="CI27" s="6">
        <v>9</v>
      </c>
      <c r="CJ27" s="6">
        <v>109.3588</v>
      </c>
      <c r="CK27" s="6">
        <v>7</v>
      </c>
      <c r="CL27" s="6">
        <v>45.641100000000002</v>
      </c>
      <c r="CM27" s="6">
        <v>7</v>
      </c>
      <c r="CN27" s="6">
        <v>141.1369</v>
      </c>
      <c r="CO27" s="6">
        <v>7</v>
      </c>
      <c r="CP27" s="6">
        <v>153.2191</v>
      </c>
      <c r="CQ27" s="6">
        <v>6</v>
      </c>
      <c r="CR27" s="6">
        <v>109.9725</v>
      </c>
      <c r="CS27" s="6">
        <v>7</v>
      </c>
      <c r="CT27" s="6">
        <v>173.71680000000001</v>
      </c>
      <c r="CU27" s="6">
        <v>8</v>
      </c>
      <c r="CV27" s="6">
        <v>33.969900000000003</v>
      </c>
      <c r="CW27" s="6">
        <v>8</v>
      </c>
      <c r="CX27" s="6">
        <v>45.9527</v>
      </c>
      <c r="CY27" s="6">
        <v>8</v>
      </c>
      <c r="CZ27" s="6">
        <v>207.2303</v>
      </c>
      <c r="DA27" s="6">
        <v>8</v>
      </c>
      <c r="DB27" s="6">
        <v>155.66329999999999</v>
      </c>
      <c r="DC27" s="6">
        <v>8</v>
      </c>
      <c r="DD27" s="6">
        <v>143.72829999999999</v>
      </c>
      <c r="DE27" s="6">
        <f>CHOOSE(MATCH(Setup!$B$5,{8,10,12,14,16},0)+(MATCH(Setup!$B$7,{"STD","Half-PPR","PPR"},0)-1)*5,CA27,CC27,CE27,CG27,CI27,CK27,CM27,CO27,CQ27,CS27,CU27,CW27,CY27,DA27,DC27)</f>
        <v>7</v>
      </c>
      <c r="DF27" s="6">
        <f>CHOOSE(MATCH(Setup!$B$5,{8,10,12,14,16},0)+(MATCH(Setup!$B$7,{"STD","Half-PPR","PPR"},0)-1)*5,CB27,CD27,CF27,CH27,CJ27,CL27,CN27,CP27,CR27,CT27,CV27,CX27,CZ27,DB27,DD27)</f>
        <v>153.2191</v>
      </c>
      <c r="DG27" s="6">
        <f>ROUND(1+DF27*'Live Calc'!$D$11,0)</f>
        <v>17</v>
      </c>
      <c r="DH27" s="6"/>
      <c r="DI27" s="6">
        <f>IF(DH27&lt;&gt;"",DH27,ROUND(DG27*INDEX('Live Calc'!$D$50:$D$70,MATCH(DE27,'Live Calc'!$A$50:$A$70,0))*'Live Calc'!$J$89,0))</f>
        <v>17</v>
      </c>
      <c r="DK27" s="7" t="s">
        <v>180</v>
      </c>
      <c r="DL27" s="7" t="s">
        <v>142</v>
      </c>
      <c r="DM27" s="7">
        <v>8</v>
      </c>
      <c r="DN27" s="7">
        <v>0</v>
      </c>
      <c r="DO27" s="7">
        <v>9</v>
      </c>
      <c r="DP27" s="7">
        <v>0</v>
      </c>
      <c r="DQ27" s="7">
        <v>10</v>
      </c>
      <c r="DR27" s="7">
        <v>0</v>
      </c>
      <c r="DS27" s="7">
        <v>11</v>
      </c>
      <c r="DT27" s="7">
        <v>0</v>
      </c>
      <c r="DU27" s="7">
        <v>12</v>
      </c>
      <c r="DV27" s="7">
        <v>0</v>
      </c>
      <c r="DW27" s="7">
        <v>6</v>
      </c>
      <c r="DX27" s="7">
        <v>0</v>
      </c>
      <c r="DY27" s="7">
        <v>9</v>
      </c>
      <c r="DZ27" s="7">
        <v>0</v>
      </c>
      <c r="EA27" s="7">
        <v>9</v>
      </c>
      <c r="EB27" s="7">
        <v>0</v>
      </c>
      <c r="EC27" s="7">
        <v>11</v>
      </c>
      <c r="ED27" s="7">
        <v>0</v>
      </c>
      <c r="EE27" s="7">
        <v>12</v>
      </c>
      <c r="EF27" s="7">
        <v>0</v>
      </c>
      <c r="EG27" s="7">
        <v>5</v>
      </c>
      <c r="EH27" s="7">
        <v>0</v>
      </c>
      <c r="EI27" s="7">
        <v>6</v>
      </c>
      <c r="EJ27" s="7">
        <v>0</v>
      </c>
      <c r="EK27" s="7">
        <v>7</v>
      </c>
      <c r="EL27" s="7">
        <v>0</v>
      </c>
      <c r="EM27" s="7">
        <v>10</v>
      </c>
      <c r="EN27" s="7">
        <v>0</v>
      </c>
      <c r="EO27" s="7">
        <v>9</v>
      </c>
      <c r="EP27" s="7">
        <v>6.5023</v>
      </c>
      <c r="EQ27" s="7">
        <f>CHOOSE(MATCH(Setup!$B$5,{8,10,12,14,16},0)+(MATCH(Setup!$B$7,{"STD","Half-PPR","PPR"},0)-1)*5,DM27,DO27,DQ27,DS27,DU27,DW27,DY27,EA27,EC27,EE27,EG27,EI27,EK27,EM27,EO27)</f>
        <v>9</v>
      </c>
      <c r="ER27" s="7">
        <f>CHOOSE(MATCH(Setup!$B$5,{8,10,12,14,16},0)+(MATCH(Setup!$B$7,{"STD","Half-PPR","PPR"},0)-1)*5,DN27,DP27,DR27,DT27,DV27,DX27,DZ27,EB27,ED27,EF27,EH27,EJ27,EL27,EN27,EP27)</f>
        <v>0</v>
      </c>
      <c r="ES27" s="7">
        <f>ROUND(1+ER27*'Live Calc'!$D$12,0)</f>
        <v>1</v>
      </c>
      <c r="ET27" s="7"/>
      <c r="EU27" s="7">
        <f>IF(ET27&lt;&gt;"",ET27,ROUND(ES27*INDEX('Live Calc'!$D$74:$D$85,MATCH(EQ27,'Live Calc'!$A$74:$A$85,0))*'Live Calc'!$J$89,0))</f>
        <v>1</v>
      </c>
    </row>
    <row r="28" spans="1:151" x14ac:dyDescent="0.25">
      <c r="A28" s="4" t="s">
        <v>181</v>
      </c>
      <c r="B28" s="4" t="s">
        <v>52</v>
      </c>
      <c r="C28" s="4">
        <v>6</v>
      </c>
      <c r="D28" s="4">
        <v>0</v>
      </c>
      <c r="E28" s="4">
        <v>7</v>
      </c>
      <c r="F28" s="4">
        <v>0</v>
      </c>
      <c r="G28" s="4">
        <v>8</v>
      </c>
      <c r="H28" s="4">
        <v>0</v>
      </c>
      <c r="I28" s="4">
        <v>9</v>
      </c>
      <c r="J28" s="4">
        <v>0</v>
      </c>
      <c r="K28" s="4">
        <v>9</v>
      </c>
      <c r="L28" s="4">
        <v>0</v>
      </c>
      <c r="M28" s="4">
        <v>5</v>
      </c>
      <c r="N28" s="4">
        <v>0</v>
      </c>
      <c r="O28" s="4">
        <v>6</v>
      </c>
      <c r="P28" s="4">
        <v>0</v>
      </c>
      <c r="Q28" s="4">
        <v>8</v>
      </c>
      <c r="R28" s="4">
        <v>0</v>
      </c>
      <c r="S28" s="4">
        <v>8</v>
      </c>
      <c r="T28" s="4">
        <v>0</v>
      </c>
      <c r="U28" s="4">
        <v>8</v>
      </c>
      <c r="V28" s="4">
        <v>0</v>
      </c>
      <c r="W28" s="4">
        <v>6</v>
      </c>
      <c r="X28" s="4">
        <v>0</v>
      </c>
      <c r="Y28" s="4">
        <v>8</v>
      </c>
      <c r="Z28" s="4">
        <v>0</v>
      </c>
      <c r="AA28" s="4">
        <v>9</v>
      </c>
      <c r="AB28" s="4">
        <v>0</v>
      </c>
      <c r="AC28" s="4">
        <v>10</v>
      </c>
      <c r="AD28" s="4">
        <v>0</v>
      </c>
      <c r="AE28" s="4">
        <v>9</v>
      </c>
      <c r="AF28" s="4">
        <v>0</v>
      </c>
      <c r="AG28" s="4">
        <f>CHOOSE(MATCH(Setup!$B$5,{8,10,12,14,16},0)+(MATCH(Setup!$B$7,{"STD","Half-PPR","PPR"},0)-1)*5,C28,E28,G28,I28,K28,M28,O28,Q28,S28,U28,W28,Y28,AA28,AC28,AE28)</f>
        <v>8</v>
      </c>
      <c r="AH28" s="4">
        <f>CHOOSE(MATCH(Setup!$B$5,{8,10,12,14,16},0)+(MATCH(Setup!$B$7,{"STD","Half-PPR","PPR"},0)-1)*5,D28,F28,H28,J28,L28,N28,P28,R28,T28,V28,X28,Z28,AB28,AD28,AF28)</f>
        <v>0</v>
      </c>
      <c r="AI28" s="4">
        <f>ROUND(1+AH28*'Live Calc'!$D$9,0)</f>
        <v>1</v>
      </c>
      <c r="AJ28" s="4"/>
      <c r="AK28" s="4">
        <f>IF(AJ28&lt;&gt;"",AJ28,ROUND(AI28*INDEX('Live Calc'!$D$16:$D$25,MATCH(AG28,'Live Calc'!$A$16:$A$25,0))*'Live Calc'!$J$89,0))</f>
        <v>1</v>
      </c>
      <c r="AM28" s="5" t="s">
        <v>182</v>
      </c>
      <c r="AN28" s="5" t="s">
        <v>145</v>
      </c>
      <c r="AO28" s="5">
        <v>7</v>
      </c>
      <c r="AP28" s="5">
        <v>5.9359999999999999</v>
      </c>
      <c r="AQ28" s="5">
        <v>7</v>
      </c>
      <c r="AR28" s="5">
        <v>44.295999999999999</v>
      </c>
      <c r="AS28" s="5">
        <v>7</v>
      </c>
      <c r="AT28" s="5">
        <v>195.00110000000001</v>
      </c>
      <c r="AU28" s="5">
        <v>7</v>
      </c>
      <c r="AV28" s="5">
        <v>100.6065</v>
      </c>
      <c r="AW28" s="5">
        <v>7</v>
      </c>
      <c r="AX28" s="5">
        <v>158.65710000000001</v>
      </c>
      <c r="AY28" s="5">
        <v>8</v>
      </c>
      <c r="AZ28" s="5">
        <v>29.043199999999999</v>
      </c>
      <c r="BA28" s="5">
        <v>8</v>
      </c>
      <c r="BB28" s="5">
        <v>37.180999999999997</v>
      </c>
      <c r="BC28" s="5">
        <v>8</v>
      </c>
      <c r="BD28" s="5">
        <v>153.62450000000001</v>
      </c>
      <c r="BE28" s="5">
        <v>8</v>
      </c>
      <c r="BF28" s="5">
        <v>223.0806</v>
      </c>
      <c r="BG28" s="5">
        <v>8</v>
      </c>
      <c r="BH28" s="5">
        <v>268.39330000000001</v>
      </c>
      <c r="BI28" s="5">
        <v>10</v>
      </c>
      <c r="BJ28" s="5">
        <v>25.932200000000002</v>
      </c>
      <c r="BK28" s="5">
        <v>10</v>
      </c>
      <c r="BL28" s="5">
        <v>37.016399999999997</v>
      </c>
      <c r="BM28" s="5">
        <v>10</v>
      </c>
      <c r="BN28" s="5">
        <v>69.165999999999997</v>
      </c>
      <c r="BO28" s="5">
        <v>10</v>
      </c>
      <c r="BP28" s="5">
        <v>130.48390000000001</v>
      </c>
      <c r="BQ28" s="5">
        <v>10</v>
      </c>
      <c r="BR28" s="5">
        <v>160.58260000000001</v>
      </c>
      <c r="BS28" s="5">
        <f>CHOOSE(MATCH(Setup!$B$5,{8,10,12,14,16},0)+(MATCH(Setup!$B$7,{"STD","Half-PPR","PPR"},0)-1)*5,AO28,AQ28,AS28,AU28,AW28,AY28,BA28,BC28,BE28,BG28,BI28,BK28,BM28,BO28,BQ28)</f>
        <v>8</v>
      </c>
      <c r="BT28" s="5">
        <f>CHOOSE(MATCH(Setup!$B$5,{8,10,12,14,16},0)+(MATCH(Setup!$B$7,{"STD","Half-PPR","PPR"},0)-1)*5,AP28,AR28,AT28,AV28,AX28,AZ28,BB28,BD28,BF28,BH28,BJ28,BL28,BN28,BP28,BR28)</f>
        <v>153.62450000000001</v>
      </c>
      <c r="BU28" s="5">
        <f>ROUND(1+BT28*'Live Calc'!$D$10,0)</f>
        <v>15</v>
      </c>
      <c r="BV28" s="5"/>
      <c r="BW28" s="5">
        <f>IF(BV28&lt;&gt;"",BV28,ROUND(BU28*INDEX('Live Calc'!$D$29:$D$46,MATCH(BS28,'Live Calc'!$A$29:$A$46,0))*'Live Calc'!$J$89,0))</f>
        <v>15</v>
      </c>
      <c r="BY28" s="6" t="s">
        <v>183</v>
      </c>
      <c r="BZ28" s="6" t="s">
        <v>72</v>
      </c>
      <c r="CA28" s="6">
        <v>11</v>
      </c>
      <c r="CB28" s="6">
        <v>15.220800000000001</v>
      </c>
      <c r="CC28" s="6">
        <v>11</v>
      </c>
      <c r="CD28" s="6">
        <v>44.592599999999997</v>
      </c>
      <c r="CE28" s="6">
        <v>11</v>
      </c>
      <c r="CF28" s="6">
        <v>109.1998</v>
      </c>
      <c r="CG28" s="6">
        <v>11</v>
      </c>
      <c r="CH28" s="6">
        <v>80.0274</v>
      </c>
      <c r="CI28" s="6">
        <v>11</v>
      </c>
      <c r="CJ28" s="6">
        <v>98.784700000000001</v>
      </c>
      <c r="CK28" s="6">
        <v>8</v>
      </c>
      <c r="CL28" s="6">
        <v>35.313899999999997</v>
      </c>
      <c r="CM28" s="6">
        <v>8</v>
      </c>
      <c r="CN28" s="6">
        <v>122.7409</v>
      </c>
      <c r="CO28" s="6">
        <v>8</v>
      </c>
      <c r="CP28" s="6">
        <v>137.9614</v>
      </c>
      <c r="CQ28" s="6">
        <v>7</v>
      </c>
      <c r="CR28" s="6">
        <v>100.6601</v>
      </c>
      <c r="CS28" s="6">
        <v>8</v>
      </c>
      <c r="CT28" s="6">
        <v>161.28319999999999</v>
      </c>
      <c r="CU28" s="6">
        <v>8</v>
      </c>
      <c r="CV28" s="6">
        <v>28.736499999999999</v>
      </c>
      <c r="CW28" s="6">
        <v>8</v>
      </c>
      <c r="CX28" s="6">
        <v>42.301000000000002</v>
      </c>
      <c r="CY28" s="6">
        <v>8</v>
      </c>
      <c r="CZ28" s="6">
        <v>196.73589999999999</v>
      </c>
      <c r="DA28" s="6">
        <v>8</v>
      </c>
      <c r="DB28" s="6">
        <v>149.22980000000001</v>
      </c>
      <c r="DC28" s="6">
        <v>8</v>
      </c>
      <c r="DD28" s="6">
        <v>138.7184</v>
      </c>
      <c r="DE28" s="6">
        <f>CHOOSE(MATCH(Setup!$B$5,{8,10,12,14,16},0)+(MATCH(Setup!$B$7,{"STD","Half-PPR","PPR"},0)-1)*5,CA28,CC28,CE28,CG28,CI28,CK28,CM28,CO28,CQ28,CS28,CU28,CW28,CY28,DA28,DC28)</f>
        <v>8</v>
      </c>
      <c r="DF28" s="6">
        <f>CHOOSE(MATCH(Setup!$B$5,{8,10,12,14,16},0)+(MATCH(Setup!$B$7,{"STD","Half-PPR","PPR"},0)-1)*5,CB28,CD28,CF28,CH28,CJ28,CL28,CN28,CP28,CR28,CT28,CV28,CX28,CZ28,DB28,DD28)</f>
        <v>137.9614</v>
      </c>
      <c r="DG28" s="6">
        <f>ROUND(1+DF28*'Live Calc'!$D$11,0)</f>
        <v>15</v>
      </c>
      <c r="DH28" s="6"/>
      <c r="DI28" s="6">
        <f>IF(DH28&lt;&gt;"",DH28,ROUND(DG28*INDEX('Live Calc'!$D$50:$D$70,MATCH(DE28,'Live Calc'!$A$50:$A$70,0))*'Live Calc'!$J$89,0))</f>
        <v>15</v>
      </c>
      <c r="DK28" s="7" t="s">
        <v>184</v>
      </c>
      <c r="DL28" s="7" t="s">
        <v>177</v>
      </c>
      <c r="DM28" s="7">
        <v>8</v>
      </c>
      <c r="DN28" s="7">
        <v>0</v>
      </c>
      <c r="DO28" s="7">
        <v>9</v>
      </c>
      <c r="DP28" s="7">
        <v>0</v>
      </c>
      <c r="DQ28" s="7">
        <v>10</v>
      </c>
      <c r="DR28" s="7">
        <v>0</v>
      </c>
      <c r="DS28" s="7">
        <v>11</v>
      </c>
      <c r="DT28" s="7">
        <v>0</v>
      </c>
      <c r="DU28" s="7">
        <v>11</v>
      </c>
      <c r="DV28" s="7">
        <v>1.5575000000000001</v>
      </c>
      <c r="DW28" s="7">
        <v>6</v>
      </c>
      <c r="DX28" s="7">
        <v>0</v>
      </c>
      <c r="DY28" s="7">
        <v>9</v>
      </c>
      <c r="DZ28" s="7">
        <v>0</v>
      </c>
      <c r="EA28" s="7">
        <v>9</v>
      </c>
      <c r="EB28" s="7">
        <v>0</v>
      </c>
      <c r="EC28" s="7">
        <v>11</v>
      </c>
      <c r="ED28" s="7">
        <v>0</v>
      </c>
      <c r="EE28" s="7">
        <v>12</v>
      </c>
      <c r="EF28" s="7">
        <v>0</v>
      </c>
      <c r="EG28" s="7">
        <v>5</v>
      </c>
      <c r="EH28" s="7">
        <v>0</v>
      </c>
      <c r="EI28" s="7">
        <v>6</v>
      </c>
      <c r="EJ28" s="7">
        <v>0</v>
      </c>
      <c r="EK28" s="7">
        <v>7</v>
      </c>
      <c r="EL28" s="7">
        <v>0</v>
      </c>
      <c r="EM28" s="7">
        <v>10</v>
      </c>
      <c r="EN28" s="7">
        <v>0</v>
      </c>
      <c r="EO28" s="7">
        <v>10</v>
      </c>
      <c r="EP28" s="7">
        <v>3.7614000000000001</v>
      </c>
      <c r="EQ28" s="7">
        <f>CHOOSE(MATCH(Setup!$B$5,{8,10,12,14,16},0)+(MATCH(Setup!$B$7,{"STD","Half-PPR","PPR"},0)-1)*5,DM28,DO28,DQ28,DS28,DU28,DW28,DY28,EA28,EC28,EE28,EG28,EI28,EK28,EM28,EO28)</f>
        <v>9</v>
      </c>
      <c r="ER28" s="7">
        <f>CHOOSE(MATCH(Setup!$B$5,{8,10,12,14,16},0)+(MATCH(Setup!$B$7,{"STD","Half-PPR","PPR"},0)-1)*5,DN28,DP28,DR28,DT28,DV28,DX28,DZ28,EB28,ED28,EF28,EH28,EJ28,EL28,EN28,EP28)</f>
        <v>0</v>
      </c>
      <c r="ES28" s="7">
        <f>ROUND(1+ER28*'Live Calc'!$D$12,0)</f>
        <v>1</v>
      </c>
      <c r="ET28" s="7"/>
      <c r="EU28" s="7">
        <f>IF(ET28&lt;&gt;"",ET28,ROUND(ES28*INDEX('Live Calc'!$D$74:$D$85,MATCH(EQ28,'Live Calc'!$A$74:$A$85,0))*'Live Calc'!$J$89,0))</f>
        <v>1</v>
      </c>
    </row>
    <row r="29" spans="1:151" x14ac:dyDescent="0.25">
      <c r="A29" s="4" t="s">
        <v>185</v>
      </c>
      <c r="B29" s="4" t="s">
        <v>127</v>
      </c>
      <c r="C29" s="4">
        <v>6</v>
      </c>
      <c r="D29" s="4">
        <v>0</v>
      </c>
      <c r="E29" s="4">
        <v>7</v>
      </c>
      <c r="F29" s="4">
        <v>0</v>
      </c>
      <c r="G29" s="4">
        <v>8</v>
      </c>
      <c r="H29" s="4">
        <v>0</v>
      </c>
      <c r="I29" s="4">
        <v>9</v>
      </c>
      <c r="J29" s="4">
        <v>0</v>
      </c>
      <c r="K29" s="4">
        <v>9</v>
      </c>
      <c r="L29" s="4">
        <v>0</v>
      </c>
      <c r="M29" s="4">
        <v>5</v>
      </c>
      <c r="N29" s="4">
        <v>0</v>
      </c>
      <c r="O29" s="4">
        <v>6</v>
      </c>
      <c r="P29" s="4">
        <v>0</v>
      </c>
      <c r="Q29" s="4">
        <v>8</v>
      </c>
      <c r="R29" s="4">
        <v>0</v>
      </c>
      <c r="S29" s="4">
        <v>8</v>
      </c>
      <c r="T29" s="4">
        <v>0</v>
      </c>
      <c r="U29" s="4">
        <v>8</v>
      </c>
      <c r="V29" s="4">
        <v>0</v>
      </c>
      <c r="W29" s="4">
        <v>6</v>
      </c>
      <c r="X29" s="4">
        <v>0</v>
      </c>
      <c r="Y29" s="4">
        <v>8</v>
      </c>
      <c r="Z29" s="4">
        <v>0</v>
      </c>
      <c r="AA29" s="4">
        <v>9</v>
      </c>
      <c r="AB29" s="4">
        <v>0</v>
      </c>
      <c r="AC29" s="4">
        <v>10</v>
      </c>
      <c r="AD29" s="4">
        <v>0</v>
      </c>
      <c r="AE29" s="4">
        <v>9</v>
      </c>
      <c r="AF29" s="4">
        <v>0</v>
      </c>
      <c r="AG29" s="4">
        <f>CHOOSE(MATCH(Setup!$B$5,{8,10,12,14,16},0)+(MATCH(Setup!$B$7,{"STD","Half-PPR","PPR"},0)-1)*5,C29,E29,G29,I29,K29,M29,O29,Q29,S29,U29,W29,Y29,AA29,AC29,AE29)</f>
        <v>8</v>
      </c>
      <c r="AH29" s="4">
        <f>CHOOSE(MATCH(Setup!$B$5,{8,10,12,14,16},0)+(MATCH(Setup!$B$7,{"STD","Half-PPR","PPR"},0)-1)*5,D29,F29,H29,J29,L29,N29,P29,R29,T29,V29,X29,Z29,AB29,AD29,AF29)</f>
        <v>0</v>
      </c>
      <c r="AI29" s="4">
        <f>ROUND(1+AH29*'Live Calc'!$D$9,0)</f>
        <v>1</v>
      </c>
      <c r="AJ29" s="4"/>
      <c r="AK29" s="4">
        <f>IF(AJ29&lt;&gt;"",AJ29,ROUND(AI29*INDEX('Live Calc'!$D$16:$D$25,MATCH(AG29,'Live Calc'!$A$16:$A$25,0))*'Live Calc'!$J$89,0))</f>
        <v>1</v>
      </c>
      <c r="AM29" s="5" t="s">
        <v>186</v>
      </c>
      <c r="AN29" s="5" t="s">
        <v>62</v>
      </c>
      <c r="AO29" s="5">
        <v>7</v>
      </c>
      <c r="AP29" s="5">
        <v>5.9160000000000004</v>
      </c>
      <c r="AQ29" s="5">
        <v>7</v>
      </c>
      <c r="AR29" s="5">
        <v>44.258299999999998</v>
      </c>
      <c r="AS29" s="5">
        <v>7</v>
      </c>
      <c r="AT29" s="5">
        <v>194.91329999999999</v>
      </c>
      <c r="AU29" s="5">
        <v>7</v>
      </c>
      <c r="AV29" s="5">
        <v>100.5731</v>
      </c>
      <c r="AW29" s="5">
        <v>7</v>
      </c>
      <c r="AX29" s="5">
        <v>158.61250000000001</v>
      </c>
      <c r="AY29" s="5">
        <v>8</v>
      </c>
      <c r="AZ29" s="5">
        <v>26.813300000000002</v>
      </c>
      <c r="BA29" s="5">
        <v>8</v>
      </c>
      <c r="BB29" s="5">
        <v>35.616</v>
      </c>
      <c r="BC29" s="5">
        <v>8</v>
      </c>
      <c r="BD29" s="5">
        <v>150.1431</v>
      </c>
      <c r="BE29" s="5">
        <v>8</v>
      </c>
      <c r="BF29" s="5">
        <v>219.374</v>
      </c>
      <c r="BG29" s="5">
        <v>8</v>
      </c>
      <c r="BH29" s="5">
        <v>264.56990000000002</v>
      </c>
      <c r="BI29" s="5">
        <v>10</v>
      </c>
      <c r="BJ29" s="5">
        <v>21.899799999999999</v>
      </c>
      <c r="BK29" s="5">
        <v>10</v>
      </c>
      <c r="BL29" s="5">
        <v>34.131300000000003</v>
      </c>
      <c r="BM29" s="5">
        <v>10</v>
      </c>
      <c r="BN29" s="5">
        <v>66.191199999999995</v>
      </c>
      <c r="BO29" s="5">
        <v>10</v>
      </c>
      <c r="BP29" s="5">
        <v>126.51909999999999</v>
      </c>
      <c r="BQ29" s="5">
        <v>10</v>
      </c>
      <c r="BR29" s="5">
        <v>156.54130000000001</v>
      </c>
      <c r="BS29" s="5">
        <f>CHOOSE(MATCH(Setup!$B$5,{8,10,12,14,16},0)+(MATCH(Setup!$B$7,{"STD","Half-PPR","PPR"},0)-1)*5,AO29,AQ29,AS29,AU29,AW29,AY29,BA29,BC29,BE29,BG29,BI29,BK29,BM29,BO29,BQ29)</f>
        <v>8</v>
      </c>
      <c r="BT29" s="5">
        <f>CHOOSE(MATCH(Setup!$B$5,{8,10,12,14,16},0)+(MATCH(Setup!$B$7,{"STD","Half-PPR","PPR"},0)-1)*5,AP29,AR29,AT29,AV29,AX29,AZ29,BB29,BD29,BF29,BH29,BJ29,BL29,BN29,BP29,BR29)</f>
        <v>150.1431</v>
      </c>
      <c r="BU29" s="5">
        <f>ROUND(1+BT29*'Live Calc'!$D$10,0)</f>
        <v>15</v>
      </c>
      <c r="BV29" s="5"/>
      <c r="BW29" s="5">
        <f>IF(BV29&lt;&gt;"",BV29,ROUND(BU29*INDEX('Live Calc'!$D$29:$D$46,MATCH(BS29,'Live Calc'!$A$29:$A$46,0))*'Live Calc'!$J$89,0))</f>
        <v>15</v>
      </c>
      <c r="BY29" s="6" t="s">
        <v>187</v>
      </c>
      <c r="BZ29" s="6" t="s">
        <v>46</v>
      </c>
      <c r="CA29" s="6">
        <v>11</v>
      </c>
      <c r="CB29" s="6">
        <v>13.216799999999999</v>
      </c>
      <c r="CC29" s="6">
        <v>11</v>
      </c>
      <c r="CD29" s="6">
        <v>41.986600000000003</v>
      </c>
      <c r="CE29" s="6">
        <v>11</v>
      </c>
      <c r="CF29" s="6">
        <v>104.80200000000001</v>
      </c>
      <c r="CG29" s="6">
        <v>11</v>
      </c>
      <c r="CH29" s="6">
        <v>77.275999999999996</v>
      </c>
      <c r="CI29" s="6">
        <v>11</v>
      </c>
      <c r="CJ29" s="6">
        <v>95.979299999999995</v>
      </c>
      <c r="CK29" s="6">
        <v>8</v>
      </c>
      <c r="CL29" s="6">
        <v>32.723500000000001</v>
      </c>
      <c r="CM29" s="6">
        <v>8</v>
      </c>
      <c r="CN29" s="6">
        <v>118.107</v>
      </c>
      <c r="CO29" s="6">
        <v>8</v>
      </c>
      <c r="CP29" s="6">
        <v>134.0917</v>
      </c>
      <c r="CQ29" s="6">
        <v>7</v>
      </c>
      <c r="CR29" s="6">
        <v>98.283799999999999</v>
      </c>
      <c r="CS29" s="6">
        <v>8</v>
      </c>
      <c r="CT29" s="6">
        <v>158.1138</v>
      </c>
      <c r="CU29" s="6">
        <v>8</v>
      </c>
      <c r="CV29" s="6">
        <v>27.4147</v>
      </c>
      <c r="CW29" s="6">
        <v>8</v>
      </c>
      <c r="CX29" s="6">
        <v>41.367800000000003</v>
      </c>
      <c r="CY29" s="6">
        <v>8</v>
      </c>
      <c r="CZ29" s="6">
        <v>194.06489999999999</v>
      </c>
      <c r="DA29" s="6">
        <v>8</v>
      </c>
      <c r="DB29" s="6">
        <v>147.5873</v>
      </c>
      <c r="DC29" s="6">
        <v>8</v>
      </c>
      <c r="DD29" s="6">
        <v>137.4374</v>
      </c>
      <c r="DE29" s="6">
        <f>CHOOSE(MATCH(Setup!$B$5,{8,10,12,14,16},0)+(MATCH(Setup!$B$7,{"STD","Half-PPR","PPR"},0)-1)*5,CA29,CC29,CE29,CG29,CI29,CK29,CM29,CO29,CQ29,CS29,CU29,CW29,CY29,DA29,DC29)</f>
        <v>8</v>
      </c>
      <c r="DF29" s="6">
        <f>CHOOSE(MATCH(Setup!$B$5,{8,10,12,14,16},0)+(MATCH(Setup!$B$7,{"STD","Half-PPR","PPR"},0)-1)*5,CB29,CD29,CF29,CH29,CJ29,CL29,CN29,CP29,CR29,CT29,CV29,CX29,CZ29,DB29,DD29)</f>
        <v>134.0917</v>
      </c>
      <c r="DG29" s="6">
        <f>ROUND(1+DF29*'Live Calc'!$D$11,0)</f>
        <v>15</v>
      </c>
      <c r="DH29" s="6"/>
      <c r="DI29" s="6">
        <f>IF(DH29&lt;&gt;"",DH29,ROUND(DG29*INDEX('Live Calc'!$D$50:$D$70,MATCH(DE29,'Live Calc'!$A$50:$A$70,0))*'Live Calc'!$J$89,0))</f>
        <v>15</v>
      </c>
      <c r="DK29" s="7" t="s">
        <v>188</v>
      </c>
      <c r="DL29" s="7" t="s">
        <v>95</v>
      </c>
      <c r="DM29" s="7">
        <v>8</v>
      </c>
      <c r="DN29" s="7">
        <v>0</v>
      </c>
      <c r="DO29" s="7">
        <v>9</v>
      </c>
      <c r="DP29" s="7">
        <v>0</v>
      </c>
      <c r="DQ29" s="7">
        <v>10</v>
      </c>
      <c r="DR29" s="7">
        <v>0</v>
      </c>
      <c r="DS29" s="7">
        <v>11</v>
      </c>
      <c r="DT29" s="7">
        <v>0</v>
      </c>
      <c r="DU29" s="7">
        <v>11</v>
      </c>
      <c r="DV29" s="7">
        <v>1.3192999999999999</v>
      </c>
      <c r="DW29" s="7">
        <v>6</v>
      </c>
      <c r="DX29" s="7">
        <v>0</v>
      </c>
      <c r="DY29" s="7">
        <v>9</v>
      </c>
      <c r="DZ29" s="7">
        <v>0</v>
      </c>
      <c r="EA29" s="7">
        <v>9</v>
      </c>
      <c r="EB29" s="7">
        <v>0</v>
      </c>
      <c r="EC29" s="7">
        <v>11</v>
      </c>
      <c r="ED29" s="7">
        <v>0</v>
      </c>
      <c r="EE29" s="7">
        <v>12</v>
      </c>
      <c r="EF29" s="7">
        <v>0</v>
      </c>
      <c r="EG29" s="7">
        <v>5</v>
      </c>
      <c r="EH29" s="7">
        <v>0</v>
      </c>
      <c r="EI29" s="7">
        <v>6</v>
      </c>
      <c r="EJ29" s="7">
        <v>0</v>
      </c>
      <c r="EK29" s="7">
        <v>7</v>
      </c>
      <c r="EL29" s="7">
        <v>0</v>
      </c>
      <c r="EM29" s="7">
        <v>10</v>
      </c>
      <c r="EN29" s="7">
        <v>0</v>
      </c>
      <c r="EO29" s="7">
        <v>11</v>
      </c>
      <c r="EP29" s="7">
        <v>0</v>
      </c>
      <c r="EQ29" s="7">
        <f>CHOOSE(MATCH(Setup!$B$5,{8,10,12,14,16},0)+(MATCH(Setup!$B$7,{"STD","Half-PPR","PPR"},0)-1)*5,DM29,DO29,DQ29,DS29,DU29,DW29,DY29,EA29,EC29,EE29,EG29,EI29,EK29,EM29,EO29)</f>
        <v>9</v>
      </c>
      <c r="ER29" s="7">
        <f>CHOOSE(MATCH(Setup!$B$5,{8,10,12,14,16},0)+(MATCH(Setup!$B$7,{"STD","Half-PPR","PPR"},0)-1)*5,DN29,DP29,DR29,DT29,DV29,DX29,DZ29,EB29,ED29,EF29,EH29,EJ29,EL29,EN29,EP29)</f>
        <v>0</v>
      </c>
      <c r="ES29" s="7">
        <f>ROUND(1+ER29*'Live Calc'!$D$12,0)</f>
        <v>1</v>
      </c>
      <c r="ET29" s="7"/>
      <c r="EU29" s="7">
        <f>IF(ET29&lt;&gt;"",ET29,ROUND(ES29*INDEX('Live Calc'!$D$74:$D$85,MATCH(EQ29,'Live Calc'!$A$74:$A$85,0))*'Live Calc'!$J$89,0))</f>
        <v>1</v>
      </c>
    </row>
    <row r="30" spans="1:151" x14ac:dyDescent="0.25">
      <c r="A30" s="4" t="s">
        <v>189</v>
      </c>
      <c r="B30" s="4" t="s">
        <v>175</v>
      </c>
      <c r="C30" s="4">
        <v>6</v>
      </c>
      <c r="D30" s="4">
        <v>0</v>
      </c>
      <c r="E30" s="4">
        <v>7</v>
      </c>
      <c r="F30" s="4">
        <v>0</v>
      </c>
      <c r="G30" s="4">
        <v>8</v>
      </c>
      <c r="H30" s="4">
        <v>0</v>
      </c>
      <c r="I30" s="4">
        <v>9</v>
      </c>
      <c r="J30" s="4">
        <v>0</v>
      </c>
      <c r="K30" s="4">
        <v>9</v>
      </c>
      <c r="L30" s="4">
        <v>0</v>
      </c>
      <c r="M30" s="4">
        <v>5</v>
      </c>
      <c r="N30" s="4">
        <v>0</v>
      </c>
      <c r="O30" s="4">
        <v>6</v>
      </c>
      <c r="P30" s="4">
        <v>0</v>
      </c>
      <c r="Q30" s="4">
        <v>8</v>
      </c>
      <c r="R30" s="4">
        <v>0</v>
      </c>
      <c r="S30" s="4">
        <v>8</v>
      </c>
      <c r="T30" s="4">
        <v>0</v>
      </c>
      <c r="U30" s="4">
        <v>8</v>
      </c>
      <c r="V30" s="4">
        <v>0</v>
      </c>
      <c r="W30" s="4">
        <v>6</v>
      </c>
      <c r="X30" s="4">
        <v>0</v>
      </c>
      <c r="Y30" s="4">
        <v>8</v>
      </c>
      <c r="Z30" s="4">
        <v>0</v>
      </c>
      <c r="AA30" s="4">
        <v>9</v>
      </c>
      <c r="AB30" s="4">
        <v>0</v>
      </c>
      <c r="AC30" s="4">
        <v>10</v>
      </c>
      <c r="AD30" s="4">
        <v>0</v>
      </c>
      <c r="AE30" s="4">
        <v>9</v>
      </c>
      <c r="AF30" s="4">
        <v>0</v>
      </c>
      <c r="AG30" s="4">
        <f>CHOOSE(MATCH(Setup!$B$5,{8,10,12,14,16},0)+(MATCH(Setup!$B$7,{"STD","Half-PPR","PPR"},0)-1)*5,C30,E30,G30,I30,K30,M30,O30,Q30,S30,U30,W30,Y30,AA30,AC30,AE30)</f>
        <v>8</v>
      </c>
      <c r="AH30" s="4">
        <f>CHOOSE(MATCH(Setup!$B$5,{8,10,12,14,16},0)+(MATCH(Setup!$B$7,{"STD","Half-PPR","PPR"},0)-1)*5,D30,F30,H30,J30,L30,N30,P30,R30,T30,V30,X30,Z30,AB30,AD30,AF30)</f>
        <v>0</v>
      </c>
      <c r="AI30" s="4">
        <f>ROUND(1+AH30*'Live Calc'!$D$9,0)</f>
        <v>1</v>
      </c>
      <c r="AJ30" s="4"/>
      <c r="AK30" s="4">
        <f>IF(AJ30&lt;&gt;"",AJ30,ROUND(AI30*INDEX('Live Calc'!$D$16:$D$25,MATCH(AG30,'Live Calc'!$A$16:$A$25,0))*'Live Calc'!$J$89,0))</f>
        <v>1</v>
      </c>
      <c r="AM30" s="5" t="s">
        <v>190</v>
      </c>
      <c r="AN30" s="5" t="s">
        <v>177</v>
      </c>
      <c r="AO30" s="5">
        <v>7</v>
      </c>
      <c r="AP30" s="5">
        <v>7.6840000000000002</v>
      </c>
      <c r="AQ30" s="5">
        <v>7</v>
      </c>
      <c r="AR30" s="5">
        <v>47.607599999999998</v>
      </c>
      <c r="AS30" s="5">
        <v>7</v>
      </c>
      <c r="AT30" s="5">
        <v>202.70849999999999</v>
      </c>
      <c r="AU30" s="5">
        <v>7</v>
      </c>
      <c r="AV30" s="5">
        <v>103.53449999999999</v>
      </c>
      <c r="AW30" s="5">
        <v>7</v>
      </c>
      <c r="AX30" s="5">
        <v>162.55600000000001</v>
      </c>
      <c r="AY30" s="5">
        <v>8</v>
      </c>
      <c r="AZ30" s="5">
        <v>25.321300000000001</v>
      </c>
      <c r="BA30" s="5">
        <v>8</v>
      </c>
      <c r="BB30" s="5">
        <v>34.561300000000003</v>
      </c>
      <c r="BC30" s="5">
        <v>8</v>
      </c>
      <c r="BD30" s="5">
        <v>147.80009999999999</v>
      </c>
      <c r="BE30" s="5">
        <v>8</v>
      </c>
      <c r="BF30" s="5">
        <v>216.87729999999999</v>
      </c>
      <c r="BG30" s="5">
        <v>8</v>
      </c>
      <c r="BH30" s="5">
        <v>261.99369999999999</v>
      </c>
      <c r="BI30" s="5">
        <v>10</v>
      </c>
      <c r="BJ30" s="5">
        <v>15.8375</v>
      </c>
      <c r="BK30" s="5">
        <v>10</v>
      </c>
      <c r="BL30" s="5">
        <v>29.678799999999999</v>
      </c>
      <c r="BM30" s="5">
        <v>10</v>
      </c>
      <c r="BN30" s="5">
        <v>61.588900000000002</v>
      </c>
      <c r="BO30" s="5">
        <v>10</v>
      </c>
      <c r="BP30" s="5">
        <v>120.3907</v>
      </c>
      <c r="BQ30" s="5">
        <v>10</v>
      </c>
      <c r="BR30" s="5">
        <v>150.29069999999999</v>
      </c>
      <c r="BS30" s="5">
        <f>CHOOSE(MATCH(Setup!$B$5,{8,10,12,14,16},0)+(MATCH(Setup!$B$7,{"STD","Half-PPR","PPR"},0)-1)*5,AO30,AQ30,AS30,AU30,AW30,AY30,BA30,BC30,BE30,BG30,BI30,BK30,BM30,BO30,BQ30)</f>
        <v>8</v>
      </c>
      <c r="BT30" s="5">
        <f>CHOOSE(MATCH(Setup!$B$5,{8,10,12,14,16},0)+(MATCH(Setup!$B$7,{"STD","Half-PPR","PPR"},0)-1)*5,AP30,AR30,AT30,AV30,AX30,AZ30,BB30,BD30,BF30,BH30,BJ30,BL30,BN30,BP30,BR30)</f>
        <v>147.80009999999999</v>
      </c>
      <c r="BU30" s="5">
        <f>ROUND(1+BT30*'Live Calc'!$D$10,0)</f>
        <v>15</v>
      </c>
      <c r="BV30" s="5"/>
      <c r="BW30" s="5">
        <f>IF(BV30&lt;&gt;"",BV30,ROUND(BU30*INDEX('Live Calc'!$D$29:$D$46,MATCH(BS30,'Live Calc'!$A$29:$A$46,0))*'Live Calc'!$J$89,0))</f>
        <v>15</v>
      </c>
      <c r="BY30" s="6" t="s">
        <v>191</v>
      </c>
      <c r="BZ30" s="6" t="s">
        <v>68</v>
      </c>
      <c r="CA30" s="6">
        <v>10</v>
      </c>
      <c r="CB30" s="6">
        <v>19.200199999999999</v>
      </c>
      <c r="CC30" s="6">
        <v>10</v>
      </c>
      <c r="CD30" s="6">
        <v>49.761000000000003</v>
      </c>
      <c r="CE30" s="6">
        <v>10</v>
      </c>
      <c r="CF30" s="6">
        <v>117.9402</v>
      </c>
      <c r="CG30" s="6">
        <v>10</v>
      </c>
      <c r="CH30" s="6">
        <v>85.466800000000006</v>
      </c>
      <c r="CI30" s="6">
        <v>10</v>
      </c>
      <c r="CJ30" s="6">
        <v>104.32640000000001</v>
      </c>
      <c r="CK30" s="6">
        <v>8</v>
      </c>
      <c r="CL30" s="6">
        <v>36.521099999999997</v>
      </c>
      <c r="CM30" s="6">
        <v>8</v>
      </c>
      <c r="CN30" s="6">
        <v>124.89709999999999</v>
      </c>
      <c r="CO30" s="6">
        <v>8</v>
      </c>
      <c r="CP30" s="6">
        <v>139.75829999999999</v>
      </c>
      <c r="CQ30" s="6">
        <v>7</v>
      </c>
      <c r="CR30" s="6">
        <v>101.76139999999999</v>
      </c>
      <c r="CS30" s="6">
        <v>8</v>
      </c>
      <c r="CT30" s="6">
        <v>162.7526</v>
      </c>
      <c r="CU30" s="6">
        <v>8</v>
      </c>
      <c r="CV30" s="6">
        <v>27.343800000000002</v>
      </c>
      <c r="CW30" s="6">
        <v>8</v>
      </c>
      <c r="CX30" s="6">
        <v>41.317599999999999</v>
      </c>
      <c r="CY30" s="6">
        <v>8</v>
      </c>
      <c r="CZ30" s="6">
        <v>193.92150000000001</v>
      </c>
      <c r="DA30" s="6">
        <v>8</v>
      </c>
      <c r="DB30" s="6">
        <v>147.4991</v>
      </c>
      <c r="DC30" s="6">
        <v>8</v>
      </c>
      <c r="DD30" s="6">
        <v>137.36859999999999</v>
      </c>
      <c r="DE30" s="6">
        <f>CHOOSE(MATCH(Setup!$B$5,{8,10,12,14,16},0)+(MATCH(Setup!$B$7,{"STD","Half-PPR","PPR"},0)-1)*5,CA30,CC30,CE30,CG30,CI30,CK30,CM30,CO30,CQ30,CS30,CU30,CW30,CY30,DA30,DC30)</f>
        <v>8</v>
      </c>
      <c r="DF30" s="6">
        <f>CHOOSE(MATCH(Setup!$B$5,{8,10,12,14,16},0)+(MATCH(Setup!$B$7,{"STD","Half-PPR","PPR"},0)-1)*5,CB30,CD30,CF30,CH30,CJ30,CL30,CN30,CP30,CR30,CT30,CV30,CX30,CZ30,DB30,DD30)</f>
        <v>139.75829999999999</v>
      </c>
      <c r="DG30" s="6">
        <f>ROUND(1+DF30*'Live Calc'!$D$11,0)</f>
        <v>16</v>
      </c>
      <c r="DH30" s="6"/>
      <c r="DI30" s="6">
        <f>IF(DH30&lt;&gt;"",DH30,ROUND(DG30*INDEX('Live Calc'!$D$50:$D$70,MATCH(DE30,'Live Calc'!$A$50:$A$70,0))*'Live Calc'!$J$89,0))</f>
        <v>16</v>
      </c>
      <c r="DK30" s="7" t="s">
        <v>192</v>
      </c>
      <c r="DL30" s="7" t="s">
        <v>60</v>
      </c>
      <c r="DM30" s="7">
        <v>8</v>
      </c>
      <c r="DN30" s="7">
        <v>0</v>
      </c>
      <c r="DO30" s="7">
        <v>9</v>
      </c>
      <c r="DP30" s="7">
        <v>0</v>
      </c>
      <c r="DQ30" s="7">
        <v>10</v>
      </c>
      <c r="DR30" s="7">
        <v>0</v>
      </c>
      <c r="DS30" s="7">
        <v>11</v>
      </c>
      <c r="DT30" s="7">
        <v>0</v>
      </c>
      <c r="DU30" s="7">
        <v>12</v>
      </c>
      <c r="DV30" s="7">
        <v>0</v>
      </c>
      <c r="DW30" s="7">
        <v>6</v>
      </c>
      <c r="DX30" s="7">
        <v>0</v>
      </c>
      <c r="DY30" s="7">
        <v>9</v>
      </c>
      <c r="DZ30" s="7">
        <v>0</v>
      </c>
      <c r="EA30" s="7">
        <v>9</v>
      </c>
      <c r="EB30" s="7">
        <v>0</v>
      </c>
      <c r="EC30" s="7">
        <v>11</v>
      </c>
      <c r="ED30" s="7">
        <v>0</v>
      </c>
      <c r="EE30" s="7">
        <v>12</v>
      </c>
      <c r="EF30" s="7">
        <v>0</v>
      </c>
      <c r="EG30" s="7">
        <v>5</v>
      </c>
      <c r="EH30" s="7">
        <v>0</v>
      </c>
      <c r="EI30" s="7">
        <v>6</v>
      </c>
      <c r="EJ30" s="7">
        <v>0</v>
      </c>
      <c r="EK30" s="7">
        <v>7</v>
      </c>
      <c r="EL30" s="7">
        <v>0</v>
      </c>
      <c r="EM30" s="7">
        <v>10</v>
      </c>
      <c r="EN30" s="7">
        <v>0</v>
      </c>
      <c r="EO30" s="7">
        <v>11</v>
      </c>
      <c r="EP30" s="7">
        <v>0</v>
      </c>
      <c r="EQ30" s="7">
        <f>CHOOSE(MATCH(Setup!$B$5,{8,10,12,14,16},0)+(MATCH(Setup!$B$7,{"STD","Half-PPR","PPR"},0)-1)*5,DM30,DO30,DQ30,DS30,DU30,DW30,DY30,EA30,EC30,EE30,EG30,EI30,EK30,EM30,EO30)</f>
        <v>9</v>
      </c>
      <c r="ER30" s="7">
        <f>CHOOSE(MATCH(Setup!$B$5,{8,10,12,14,16},0)+(MATCH(Setup!$B$7,{"STD","Half-PPR","PPR"},0)-1)*5,DN30,DP30,DR30,DT30,DV30,DX30,DZ30,EB30,ED30,EF30,EH30,EJ30,EL30,EN30,EP30)</f>
        <v>0</v>
      </c>
      <c r="ES30" s="7">
        <f>ROUND(1+ER30*'Live Calc'!$D$12,0)</f>
        <v>1</v>
      </c>
      <c r="ET30" s="7"/>
      <c r="EU30" s="7">
        <f>IF(ET30&lt;&gt;"",ET30,ROUND(ES30*INDEX('Live Calc'!$D$74:$D$85,MATCH(EQ30,'Live Calc'!$A$74:$A$85,0))*'Live Calc'!$J$89,0))</f>
        <v>1</v>
      </c>
    </row>
    <row r="31" spans="1:151" x14ac:dyDescent="0.25">
      <c r="A31" s="4" t="s">
        <v>193</v>
      </c>
      <c r="B31" s="4" t="s">
        <v>60</v>
      </c>
      <c r="C31" s="4">
        <v>6</v>
      </c>
      <c r="D31" s="4">
        <v>0</v>
      </c>
      <c r="E31" s="4">
        <v>7</v>
      </c>
      <c r="F31" s="4">
        <v>0</v>
      </c>
      <c r="G31" s="4">
        <v>8</v>
      </c>
      <c r="H31" s="4">
        <v>0</v>
      </c>
      <c r="I31" s="4">
        <v>9</v>
      </c>
      <c r="J31" s="4">
        <v>0</v>
      </c>
      <c r="K31" s="4">
        <v>9</v>
      </c>
      <c r="L31" s="4">
        <v>0</v>
      </c>
      <c r="M31" s="4">
        <v>5</v>
      </c>
      <c r="N31" s="4">
        <v>0</v>
      </c>
      <c r="O31" s="4">
        <v>6</v>
      </c>
      <c r="P31" s="4">
        <v>0</v>
      </c>
      <c r="Q31" s="4">
        <v>8</v>
      </c>
      <c r="R31" s="4">
        <v>0</v>
      </c>
      <c r="S31" s="4">
        <v>8</v>
      </c>
      <c r="T31" s="4">
        <v>0</v>
      </c>
      <c r="U31" s="4">
        <v>8</v>
      </c>
      <c r="V31" s="4">
        <v>0</v>
      </c>
      <c r="W31" s="4">
        <v>6</v>
      </c>
      <c r="X31" s="4">
        <v>0</v>
      </c>
      <c r="Y31" s="4">
        <v>8</v>
      </c>
      <c r="Z31" s="4">
        <v>0</v>
      </c>
      <c r="AA31" s="4">
        <v>9</v>
      </c>
      <c r="AB31" s="4">
        <v>0</v>
      </c>
      <c r="AC31" s="4">
        <v>10</v>
      </c>
      <c r="AD31" s="4">
        <v>0</v>
      </c>
      <c r="AE31" s="4">
        <v>9</v>
      </c>
      <c r="AF31" s="4">
        <v>0</v>
      </c>
      <c r="AG31" s="4">
        <f>CHOOSE(MATCH(Setup!$B$5,{8,10,12,14,16},0)+(MATCH(Setup!$B$7,{"STD","Half-PPR","PPR"},0)-1)*5,C31,E31,G31,I31,K31,M31,O31,Q31,S31,U31,W31,Y31,AA31,AC31,AE31)</f>
        <v>8</v>
      </c>
      <c r="AH31" s="4">
        <f>CHOOSE(MATCH(Setup!$B$5,{8,10,12,14,16},0)+(MATCH(Setup!$B$7,{"STD","Half-PPR","PPR"},0)-1)*5,D31,F31,H31,J31,L31,N31,P31,R31,T31,V31,X31,Z31,AB31,AD31,AF31)</f>
        <v>0</v>
      </c>
      <c r="AI31" s="4">
        <f>ROUND(1+AH31*'Live Calc'!$D$9,0)</f>
        <v>1</v>
      </c>
      <c r="AJ31" s="4"/>
      <c r="AK31" s="4">
        <f>IF(AJ31&lt;&gt;"",AJ31,ROUND(AI31*INDEX('Live Calc'!$D$16:$D$25,MATCH(AG31,'Live Calc'!$A$16:$A$25,0))*'Live Calc'!$J$89,0))</f>
        <v>1</v>
      </c>
      <c r="AM31" s="5" t="s">
        <v>194</v>
      </c>
      <c r="AN31" s="5" t="s">
        <v>66</v>
      </c>
      <c r="AO31" s="5">
        <v>7</v>
      </c>
      <c r="AP31" s="5">
        <v>7.1059999999999999</v>
      </c>
      <c r="AQ31" s="5">
        <v>7</v>
      </c>
      <c r="AR31" s="5">
        <v>46.5092</v>
      </c>
      <c r="AS31" s="5">
        <v>7</v>
      </c>
      <c r="AT31" s="5">
        <v>200.1524</v>
      </c>
      <c r="AU31" s="5">
        <v>7</v>
      </c>
      <c r="AV31" s="5">
        <v>102.5655</v>
      </c>
      <c r="AW31" s="5">
        <v>7</v>
      </c>
      <c r="AX31" s="5">
        <v>161.2654</v>
      </c>
      <c r="AY31" s="5">
        <v>8</v>
      </c>
      <c r="AZ31" s="5">
        <v>23.253699999999998</v>
      </c>
      <c r="BA31" s="5">
        <v>8</v>
      </c>
      <c r="BB31" s="5">
        <v>33.0886</v>
      </c>
      <c r="BC31" s="5">
        <v>8</v>
      </c>
      <c r="BD31" s="5">
        <v>144.53370000000001</v>
      </c>
      <c r="BE31" s="5">
        <v>8</v>
      </c>
      <c r="BF31" s="5">
        <v>213.39349999999999</v>
      </c>
      <c r="BG31" s="5">
        <v>8</v>
      </c>
      <c r="BH31" s="5">
        <v>258.39769999999999</v>
      </c>
      <c r="BI31" s="5">
        <v>10</v>
      </c>
      <c r="BJ31" s="5">
        <v>10.031599999999999</v>
      </c>
      <c r="BK31" s="5">
        <v>10</v>
      </c>
      <c r="BL31" s="5">
        <v>25.2286</v>
      </c>
      <c r="BM31" s="5">
        <v>10</v>
      </c>
      <c r="BN31" s="5">
        <v>56.972299999999997</v>
      </c>
      <c r="BO31" s="5">
        <v>10</v>
      </c>
      <c r="BP31" s="5">
        <v>114.25</v>
      </c>
      <c r="BQ31" s="5">
        <v>10</v>
      </c>
      <c r="BR31" s="5">
        <v>144.02209999999999</v>
      </c>
      <c r="BS31" s="5">
        <f>CHOOSE(MATCH(Setup!$B$5,{8,10,12,14,16},0)+(MATCH(Setup!$B$7,{"STD","Half-PPR","PPR"},0)-1)*5,AO31,AQ31,AS31,AU31,AW31,AY31,BA31,BC31,BE31,BG31,BI31,BK31,BM31,BO31,BQ31)</f>
        <v>8</v>
      </c>
      <c r="BT31" s="5">
        <f>CHOOSE(MATCH(Setup!$B$5,{8,10,12,14,16},0)+(MATCH(Setup!$B$7,{"STD","Half-PPR","PPR"},0)-1)*5,AP31,AR31,AT31,AV31,AX31,AZ31,BB31,BD31,BF31,BH31,BJ31,BL31,BN31,BP31,BR31)</f>
        <v>144.53370000000001</v>
      </c>
      <c r="BU31" s="5">
        <f>ROUND(1+BT31*'Live Calc'!$D$10,0)</f>
        <v>14</v>
      </c>
      <c r="BV31" s="5"/>
      <c r="BW31" s="5">
        <f>IF(BV31&lt;&gt;"",BV31,ROUND(BU31*INDEX('Live Calc'!$D$29:$D$46,MATCH(BS31,'Live Calc'!$A$29:$A$46,0))*'Live Calc'!$J$89,0))</f>
        <v>14</v>
      </c>
      <c r="BY31" s="6" t="s">
        <v>195</v>
      </c>
      <c r="BZ31" s="6" t="s">
        <v>64</v>
      </c>
      <c r="CA31" s="6">
        <v>11</v>
      </c>
      <c r="CB31" s="6">
        <v>14.936500000000001</v>
      </c>
      <c r="CC31" s="6">
        <v>11</v>
      </c>
      <c r="CD31" s="6">
        <v>44.222999999999999</v>
      </c>
      <c r="CE31" s="6">
        <v>11</v>
      </c>
      <c r="CF31" s="6">
        <v>108.5757</v>
      </c>
      <c r="CG31" s="6">
        <v>11</v>
      </c>
      <c r="CH31" s="6">
        <v>79.637500000000003</v>
      </c>
      <c r="CI31" s="6">
        <v>11</v>
      </c>
      <c r="CJ31" s="6">
        <v>98.387299999999996</v>
      </c>
      <c r="CK31" s="6">
        <v>8</v>
      </c>
      <c r="CL31" s="6">
        <v>31.155200000000001</v>
      </c>
      <c r="CM31" s="6">
        <v>8</v>
      </c>
      <c r="CN31" s="6">
        <v>115.2961</v>
      </c>
      <c r="CO31" s="6">
        <v>8</v>
      </c>
      <c r="CP31" s="6">
        <v>131.73869999999999</v>
      </c>
      <c r="CQ31" s="6">
        <v>7</v>
      </c>
      <c r="CR31" s="6">
        <v>96.835800000000006</v>
      </c>
      <c r="CS31" s="6">
        <v>8</v>
      </c>
      <c r="CT31" s="6">
        <v>156.1832</v>
      </c>
      <c r="CU31" s="6">
        <v>8</v>
      </c>
      <c r="CV31" s="6">
        <v>22.8139</v>
      </c>
      <c r="CW31" s="6">
        <v>8</v>
      </c>
      <c r="CX31" s="6">
        <v>38.079599999999999</v>
      </c>
      <c r="CY31" s="6">
        <v>8</v>
      </c>
      <c r="CZ31" s="6">
        <v>184.68950000000001</v>
      </c>
      <c r="DA31" s="6">
        <v>8</v>
      </c>
      <c r="DB31" s="6">
        <v>141.8048</v>
      </c>
      <c r="DC31" s="6">
        <v>8</v>
      </c>
      <c r="DD31" s="6">
        <v>132.92160000000001</v>
      </c>
      <c r="DE31" s="6">
        <f>CHOOSE(MATCH(Setup!$B$5,{8,10,12,14,16},0)+(MATCH(Setup!$B$7,{"STD","Half-PPR","PPR"},0)-1)*5,CA31,CC31,CE31,CG31,CI31,CK31,CM31,CO31,CQ31,CS31,CU31,CW31,CY31,DA31,DC31)</f>
        <v>8</v>
      </c>
      <c r="DF31" s="6">
        <f>CHOOSE(MATCH(Setup!$B$5,{8,10,12,14,16},0)+(MATCH(Setup!$B$7,{"STD","Half-PPR","PPR"},0)-1)*5,CB31,CD31,CF31,CH31,CJ31,CL31,CN31,CP31,CR31,CT31,CV31,CX31,CZ31,DB31,DD31)</f>
        <v>131.73869999999999</v>
      </c>
      <c r="DG31" s="6">
        <f>ROUND(1+DF31*'Live Calc'!$D$11,0)</f>
        <v>15</v>
      </c>
      <c r="DH31" s="6"/>
      <c r="DI31" s="6">
        <f>IF(DH31&lt;&gt;"",DH31,ROUND(DG31*INDEX('Live Calc'!$D$50:$D$70,MATCH(DE31,'Live Calc'!$A$50:$A$70,0))*'Live Calc'!$J$89,0))</f>
        <v>15</v>
      </c>
      <c r="DK31" s="7" t="s">
        <v>196</v>
      </c>
      <c r="DL31" s="7" t="s">
        <v>175</v>
      </c>
      <c r="DM31" s="7">
        <v>8</v>
      </c>
      <c r="DN31" s="7">
        <v>0</v>
      </c>
      <c r="DO31" s="7">
        <v>9</v>
      </c>
      <c r="DP31" s="7">
        <v>0</v>
      </c>
      <c r="DQ31" s="7">
        <v>10</v>
      </c>
      <c r="DR31" s="7">
        <v>0</v>
      </c>
      <c r="DS31" s="7">
        <v>11</v>
      </c>
      <c r="DT31" s="7">
        <v>0</v>
      </c>
      <c r="DU31" s="7">
        <v>12</v>
      </c>
      <c r="DV31" s="7">
        <v>0</v>
      </c>
      <c r="DW31" s="7">
        <v>6</v>
      </c>
      <c r="DX31" s="7">
        <v>0</v>
      </c>
      <c r="DY31" s="7">
        <v>9</v>
      </c>
      <c r="DZ31" s="7">
        <v>0</v>
      </c>
      <c r="EA31" s="7">
        <v>9</v>
      </c>
      <c r="EB31" s="7">
        <v>0</v>
      </c>
      <c r="EC31" s="7">
        <v>11</v>
      </c>
      <c r="ED31" s="7">
        <v>0</v>
      </c>
      <c r="EE31" s="7">
        <v>12</v>
      </c>
      <c r="EF31" s="7">
        <v>0</v>
      </c>
      <c r="EG31" s="7">
        <v>5</v>
      </c>
      <c r="EH31" s="7">
        <v>0</v>
      </c>
      <c r="EI31" s="7">
        <v>6</v>
      </c>
      <c r="EJ31" s="7">
        <v>0</v>
      </c>
      <c r="EK31" s="7">
        <v>7</v>
      </c>
      <c r="EL31" s="7">
        <v>0</v>
      </c>
      <c r="EM31" s="7">
        <v>10</v>
      </c>
      <c r="EN31" s="7">
        <v>0</v>
      </c>
      <c r="EO31" s="7">
        <v>11</v>
      </c>
      <c r="EP31" s="7">
        <v>0</v>
      </c>
      <c r="EQ31" s="7">
        <f>CHOOSE(MATCH(Setup!$B$5,{8,10,12,14,16},0)+(MATCH(Setup!$B$7,{"STD","Half-PPR","PPR"},0)-1)*5,DM31,DO31,DQ31,DS31,DU31,DW31,DY31,EA31,EC31,EE31,EG31,EI31,EK31,EM31,EO31)</f>
        <v>9</v>
      </c>
      <c r="ER31" s="7">
        <f>CHOOSE(MATCH(Setup!$B$5,{8,10,12,14,16},0)+(MATCH(Setup!$B$7,{"STD","Half-PPR","PPR"},0)-1)*5,DN31,DP31,DR31,DT31,DV31,DX31,DZ31,EB31,ED31,EF31,EH31,EJ31,EL31,EN31,EP31)</f>
        <v>0</v>
      </c>
      <c r="ES31" s="7">
        <f>ROUND(1+ER31*'Live Calc'!$D$12,0)</f>
        <v>1</v>
      </c>
      <c r="ET31" s="7"/>
      <c r="EU31" s="7">
        <f>IF(ET31&lt;&gt;"",ET31,ROUND(ES31*INDEX('Live Calc'!$D$74:$D$85,MATCH(EQ31,'Live Calc'!$A$74:$A$85,0))*'Live Calc'!$J$89,0))</f>
        <v>1</v>
      </c>
    </row>
    <row r="32" spans="1:151" x14ac:dyDescent="0.25">
      <c r="A32" s="4" t="s">
        <v>197</v>
      </c>
      <c r="B32" s="4" t="s">
        <v>81</v>
      </c>
      <c r="C32" s="4">
        <v>6</v>
      </c>
      <c r="D32" s="4">
        <v>0</v>
      </c>
      <c r="E32" s="4">
        <v>7</v>
      </c>
      <c r="F32" s="4">
        <v>0</v>
      </c>
      <c r="G32" s="4">
        <v>8</v>
      </c>
      <c r="H32" s="4">
        <v>0</v>
      </c>
      <c r="I32" s="4">
        <v>9</v>
      </c>
      <c r="J32" s="4">
        <v>0</v>
      </c>
      <c r="K32" s="4">
        <v>9</v>
      </c>
      <c r="L32" s="4">
        <v>0</v>
      </c>
      <c r="M32" s="4">
        <v>5</v>
      </c>
      <c r="N32" s="4">
        <v>0</v>
      </c>
      <c r="O32" s="4">
        <v>6</v>
      </c>
      <c r="P32" s="4">
        <v>0</v>
      </c>
      <c r="Q32" s="4">
        <v>8</v>
      </c>
      <c r="R32" s="4">
        <v>0</v>
      </c>
      <c r="S32" s="4">
        <v>8</v>
      </c>
      <c r="T32" s="4">
        <v>0</v>
      </c>
      <c r="U32" s="4">
        <v>8</v>
      </c>
      <c r="V32" s="4">
        <v>0</v>
      </c>
      <c r="W32" s="4">
        <v>6</v>
      </c>
      <c r="X32" s="4">
        <v>0</v>
      </c>
      <c r="Y32" s="4">
        <v>8</v>
      </c>
      <c r="Z32" s="4">
        <v>0</v>
      </c>
      <c r="AA32" s="4">
        <v>9</v>
      </c>
      <c r="AB32" s="4">
        <v>0</v>
      </c>
      <c r="AC32" s="4">
        <v>10</v>
      </c>
      <c r="AD32" s="4">
        <v>0</v>
      </c>
      <c r="AE32" s="4">
        <v>9</v>
      </c>
      <c r="AF32" s="4">
        <v>0</v>
      </c>
      <c r="AG32" s="4">
        <f>CHOOSE(MATCH(Setup!$B$5,{8,10,12,14,16},0)+(MATCH(Setup!$B$7,{"STD","Half-PPR","PPR"},0)-1)*5,C32,E32,G32,I32,K32,M32,O32,Q32,S32,U32,W32,Y32,AA32,AC32,AE32)</f>
        <v>8</v>
      </c>
      <c r="AH32" s="4">
        <f>CHOOSE(MATCH(Setup!$B$5,{8,10,12,14,16},0)+(MATCH(Setup!$B$7,{"STD","Half-PPR","PPR"},0)-1)*5,D32,F32,H32,J32,L32,N32,P32,R32,T32,V32,X32,Z32,AB32,AD32,AF32)</f>
        <v>0</v>
      </c>
      <c r="AI32" s="4">
        <f>ROUND(1+AH32*'Live Calc'!$D$9,0)</f>
        <v>1</v>
      </c>
      <c r="AJ32" s="4"/>
      <c r="AK32" s="4">
        <f>IF(AJ32&lt;&gt;"",AJ32,ROUND(AI32*INDEX('Live Calc'!$D$16:$D$25,MATCH(AG32,'Live Calc'!$A$16:$A$25,0))*'Live Calc'!$J$89,0))</f>
        <v>1</v>
      </c>
      <c r="AM32" s="5" t="s">
        <v>198</v>
      </c>
      <c r="AN32" s="5" t="s">
        <v>175</v>
      </c>
      <c r="AO32" s="5">
        <v>8</v>
      </c>
      <c r="AP32" s="5">
        <v>0.74399999999999999</v>
      </c>
      <c r="AQ32" s="5">
        <v>8</v>
      </c>
      <c r="AR32" s="5">
        <v>34.655700000000003</v>
      </c>
      <c r="AS32" s="5">
        <v>8</v>
      </c>
      <c r="AT32" s="5">
        <v>172.52500000000001</v>
      </c>
      <c r="AU32" s="5">
        <v>8</v>
      </c>
      <c r="AV32" s="5">
        <v>91.956199999999995</v>
      </c>
      <c r="AW32" s="5">
        <v>8</v>
      </c>
      <c r="AX32" s="5">
        <v>147.1506</v>
      </c>
      <c r="AY32" s="5">
        <v>8</v>
      </c>
      <c r="AZ32" s="5">
        <v>20.209199999999999</v>
      </c>
      <c r="BA32" s="5">
        <v>8</v>
      </c>
      <c r="BB32" s="5">
        <v>30.894200000000001</v>
      </c>
      <c r="BC32" s="5">
        <v>8</v>
      </c>
      <c r="BD32" s="5">
        <v>139.6763</v>
      </c>
      <c r="BE32" s="5">
        <v>8</v>
      </c>
      <c r="BF32" s="5">
        <v>208.20609999999999</v>
      </c>
      <c r="BG32" s="5">
        <v>8</v>
      </c>
      <c r="BH32" s="5">
        <v>253.04050000000001</v>
      </c>
      <c r="BI32" s="5">
        <v>10</v>
      </c>
      <c r="BJ32" s="5">
        <v>10.893800000000001</v>
      </c>
      <c r="BK32" s="5">
        <v>10</v>
      </c>
      <c r="BL32" s="5">
        <v>25.905000000000001</v>
      </c>
      <c r="BM32" s="5">
        <v>10</v>
      </c>
      <c r="BN32" s="5">
        <v>57.675199999999997</v>
      </c>
      <c r="BO32" s="5">
        <v>10</v>
      </c>
      <c r="BP32" s="5">
        <v>115.1845</v>
      </c>
      <c r="BQ32" s="5">
        <v>10</v>
      </c>
      <c r="BR32" s="5">
        <v>144.97640000000001</v>
      </c>
      <c r="BS32" s="5">
        <f>CHOOSE(MATCH(Setup!$B$5,{8,10,12,14,16},0)+(MATCH(Setup!$B$7,{"STD","Half-PPR","PPR"},0)-1)*5,AO32,AQ32,AS32,AU32,AW32,AY32,BA32,BC32,BE32,BG32,BI32,BK32,BM32,BO32,BQ32)</f>
        <v>8</v>
      </c>
      <c r="BT32" s="5">
        <f>CHOOSE(MATCH(Setup!$B$5,{8,10,12,14,16},0)+(MATCH(Setup!$B$7,{"STD","Half-PPR","PPR"},0)-1)*5,AP32,AR32,AT32,AV32,AX32,AZ32,BB32,BD32,BF32,BH32,BJ32,BL32,BN32,BP32,BR32)</f>
        <v>139.6763</v>
      </c>
      <c r="BU32" s="5">
        <f>ROUND(1+BT32*'Live Calc'!$D$10,0)</f>
        <v>14</v>
      </c>
      <c r="BV32" s="5"/>
      <c r="BW32" s="5">
        <f>IF(BV32&lt;&gt;"",BV32,ROUND(BU32*INDEX('Live Calc'!$D$29:$D$46,MATCH(BS32,'Live Calc'!$A$29:$A$46,0))*'Live Calc'!$J$89,0))</f>
        <v>14</v>
      </c>
      <c r="BY32" s="6" t="s">
        <v>199</v>
      </c>
      <c r="BZ32" s="6" t="s">
        <v>175</v>
      </c>
      <c r="CA32" s="6">
        <v>12</v>
      </c>
      <c r="CB32" s="6">
        <v>7.9794</v>
      </c>
      <c r="CC32" s="6">
        <v>12</v>
      </c>
      <c r="CD32" s="6">
        <v>35.149500000000003</v>
      </c>
      <c r="CE32" s="6">
        <v>12</v>
      </c>
      <c r="CF32" s="6">
        <v>93.2911</v>
      </c>
      <c r="CG32" s="6">
        <v>12</v>
      </c>
      <c r="CH32" s="6">
        <v>70.024000000000001</v>
      </c>
      <c r="CI32" s="6">
        <v>12</v>
      </c>
      <c r="CJ32" s="6">
        <v>88.577100000000002</v>
      </c>
      <c r="CK32" s="6">
        <v>9</v>
      </c>
      <c r="CL32" s="6">
        <v>21.858499999999999</v>
      </c>
      <c r="CM32" s="6">
        <v>9</v>
      </c>
      <c r="CN32" s="6">
        <v>98.511700000000005</v>
      </c>
      <c r="CO32" s="6">
        <v>9</v>
      </c>
      <c r="CP32" s="6">
        <v>117.5895</v>
      </c>
      <c r="CQ32" s="6">
        <v>8</v>
      </c>
      <c r="CR32" s="6">
        <v>88.077799999999996</v>
      </c>
      <c r="CS32" s="6">
        <v>9</v>
      </c>
      <c r="CT32" s="6">
        <v>144.5163</v>
      </c>
      <c r="CU32" s="6">
        <v>9</v>
      </c>
      <c r="CV32" s="6">
        <v>15.2552</v>
      </c>
      <c r="CW32" s="6">
        <v>9</v>
      </c>
      <c r="CX32" s="6">
        <v>32.505899999999997</v>
      </c>
      <c r="CY32" s="6">
        <v>9</v>
      </c>
      <c r="CZ32" s="6">
        <v>168.92599999999999</v>
      </c>
      <c r="DA32" s="6">
        <v>9</v>
      </c>
      <c r="DB32" s="6">
        <v>132.01830000000001</v>
      </c>
      <c r="DC32" s="6">
        <v>9</v>
      </c>
      <c r="DD32" s="6">
        <v>125.2557</v>
      </c>
      <c r="DE32" s="6">
        <f>CHOOSE(MATCH(Setup!$B$5,{8,10,12,14,16},0)+(MATCH(Setup!$B$7,{"STD","Half-PPR","PPR"},0)-1)*5,CA32,CC32,CE32,CG32,CI32,CK32,CM32,CO32,CQ32,CS32,CU32,CW32,CY32,DA32,DC32)</f>
        <v>9</v>
      </c>
      <c r="DF32" s="6">
        <f>CHOOSE(MATCH(Setup!$B$5,{8,10,12,14,16},0)+(MATCH(Setup!$B$7,{"STD","Half-PPR","PPR"},0)-1)*5,CB32,CD32,CF32,CH32,CJ32,CL32,CN32,CP32,CR32,CT32,CV32,CX32,CZ32,DB32,DD32)</f>
        <v>117.5895</v>
      </c>
      <c r="DG32" s="6">
        <f>ROUND(1+DF32*'Live Calc'!$D$11,0)</f>
        <v>13</v>
      </c>
      <c r="DH32" s="6"/>
      <c r="DI32" s="6">
        <f>IF(DH32&lt;&gt;"",DH32,ROUND(DG32*INDEX('Live Calc'!$D$50:$D$70,MATCH(DE32,'Live Calc'!$A$50:$A$70,0))*'Live Calc'!$J$89,0))</f>
        <v>13</v>
      </c>
      <c r="DK32" s="7" t="s">
        <v>200</v>
      </c>
      <c r="DL32" s="7" t="s">
        <v>91</v>
      </c>
      <c r="DM32" s="7">
        <v>8</v>
      </c>
      <c r="DN32" s="7">
        <v>0</v>
      </c>
      <c r="DO32" s="7">
        <v>9</v>
      </c>
      <c r="DP32" s="7">
        <v>0</v>
      </c>
      <c r="DQ32" s="7">
        <v>10</v>
      </c>
      <c r="DR32" s="7">
        <v>0</v>
      </c>
      <c r="DS32" s="7">
        <v>11</v>
      </c>
      <c r="DT32" s="7">
        <v>0</v>
      </c>
      <c r="DU32" s="7">
        <v>12</v>
      </c>
      <c r="DV32" s="7">
        <v>0</v>
      </c>
      <c r="DW32" s="7">
        <v>6</v>
      </c>
      <c r="DX32" s="7">
        <v>0</v>
      </c>
      <c r="DY32" s="7">
        <v>9</v>
      </c>
      <c r="DZ32" s="7">
        <v>0</v>
      </c>
      <c r="EA32" s="7">
        <v>9</v>
      </c>
      <c r="EB32" s="7">
        <v>0</v>
      </c>
      <c r="EC32" s="7">
        <v>11</v>
      </c>
      <c r="ED32" s="7">
        <v>0</v>
      </c>
      <c r="EE32" s="7">
        <v>12</v>
      </c>
      <c r="EF32" s="7">
        <v>0</v>
      </c>
      <c r="EG32" s="7">
        <v>5</v>
      </c>
      <c r="EH32" s="7">
        <v>0</v>
      </c>
      <c r="EI32" s="7">
        <v>6</v>
      </c>
      <c r="EJ32" s="7">
        <v>0</v>
      </c>
      <c r="EK32" s="7">
        <v>7</v>
      </c>
      <c r="EL32" s="7">
        <v>0</v>
      </c>
      <c r="EM32" s="7">
        <v>10</v>
      </c>
      <c r="EN32" s="7">
        <v>0</v>
      </c>
      <c r="EO32" s="7">
        <v>11</v>
      </c>
      <c r="EP32" s="7">
        <v>0</v>
      </c>
      <c r="EQ32" s="7">
        <f>CHOOSE(MATCH(Setup!$B$5,{8,10,12,14,16},0)+(MATCH(Setup!$B$7,{"STD","Half-PPR","PPR"},0)-1)*5,DM32,DO32,DQ32,DS32,DU32,DW32,DY32,EA32,EC32,EE32,EG32,EI32,EK32,EM32,EO32)</f>
        <v>9</v>
      </c>
      <c r="ER32" s="7">
        <f>CHOOSE(MATCH(Setup!$B$5,{8,10,12,14,16},0)+(MATCH(Setup!$B$7,{"STD","Half-PPR","PPR"},0)-1)*5,DN32,DP32,DR32,DT32,DV32,DX32,DZ32,EB32,ED32,EF32,EH32,EJ32,EL32,EN32,EP32)</f>
        <v>0</v>
      </c>
      <c r="ES32" s="7">
        <f>ROUND(1+ER32*'Live Calc'!$D$12,0)</f>
        <v>1</v>
      </c>
      <c r="ET32" s="7"/>
      <c r="EU32" s="7">
        <f>IF(ET32&lt;&gt;"",ET32,ROUND(ES32*INDEX('Live Calc'!$D$74:$D$85,MATCH(EQ32,'Live Calc'!$A$74:$A$85,0))*'Live Calc'!$J$89,0))</f>
        <v>1</v>
      </c>
    </row>
    <row r="33" spans="1:151" x14ac:dyDescent="0.25">
      <c r="A33" s="4" t="s">
        <v>201</v>
      </c>
      <c r="B33" s="4" t="s">
        <v>56</v>
      </c>
      <c r="C33" s="4">
        <v>6</v>
      </c>
      <c r="D33" s="4">
        <v>0</v>
      </c>
      <c r="E33" s="4">
        <v>7</v>
      </c>
      <c r="F33" s="4">
        <v>0</v>
      </c>
      <c r="G33" s="4">
        <v>8</v>
      </c>
      <c r="H33" s="4">
        <v>0</v>
      </c>
      <c r="I33" s="4">
        <v>9</v>
      </c>
      <c r="J33" s="4">
        <v>0</v>
      </c>
      <c r="K33" s="4">
        <v>9</v>
      </c>
      <c r="L33" s="4">
        <v>0</v>
      </c>
      <c r="M33" s="4">
        <v>5</v>
      </c>
      <c r="N33" s="4">
        <v>0</v>
      </c>
      <c r="O33" s="4">
        <v>6</v>
      </c>
      <c r="P33" s="4">
        <v>0</v>
      </c>
      <c r="Q33" s="4">
        <v>8</v>
      </c>
      <c r="R33" s="4">
        <v>0</v>
      </c>
      <c r="S33" s="4">
        <v>8</v>
      </c>
      <c r="T33" s="4">
        <v>0</v>
      </c>
      <c r="U33" s="4">
        <v>8</v>
      </c>
      <c r="V33" s="4">
        <v>0</v>
      </c>
      <c r="W33" s="4">
        <v>6</v>
      </c>
      <c r="X33" s="4">
        <v>0</v>
      </c>
      <c r="Y33" s="4">
        <v>8</v>
      </c>
      <c r="Z33" s="4">
        <v>0</v>
      </c>
      <c r="AA33" s="4">
        <v>9</v>
      </c>
      <c r="AB33" s="4">
        <v>0</v>
      </c>
      <c r="AC33" s="4">
        <v>10</v>
      </c>
      <c r="AD33" s="4">
        <v>0</v>
      </c>
      <c r="AE33" s="4">
        <v>9</v>
      </c>
      <c r="AF33" s="4">
        <v>0</v>
      </c>
      <c r="AG33" s="4">
        <f>CHOOSE(MATCH(Setup!$B$5,{8,10,12,14,16},0)+(MATCH(Setup!$B$7,{"STD","Half-PPR","PPR"},0)-1)*5,C33,E33,G33,I33,K33,M33,O33,Q33,S33,U33,W33,Y33,AA33,AC33,AE33)</f>
        <v>8</v>
      </c>
      <c r="AH33" s="4">
        <f>CHOOSE(MATCH(Setup!$B$5,{8,10,12,14,16},0)+(MATCH(Setup!$B$7,{"STD","Half-PPR","PPR"},0)-1)*5,D33,F33,H33,J33,L33,N33,P33,R33,T33,V33,X33,Z33,AB33,AD33,AF33)</f>
        <v>0</v>
      </c>
      <c r="AI33" s="4">
        <f>ROUND(1+AH33*'Live Calc'!$D$9,0)</f>
        <v>1</v>
      </c>
      <c r="AJ33" s="4"/>
      <c r="AK33" s="4">
        <f>IF(AJ33&lt;&gt;"",AJ33,ROUND(AI33*INDEX('Live Calc'!$D$16:$D$25,MATCH(AG33,'Live Calc'!$A$16:$A$25,0))*'Live Calc'!$J$89,0))</f>
        <v>1</v>
      </c>
      <c r="AM33" s="5" t="s">
        <v>202</v>
      </c>
      <c r="AN33" s="5" t="s">
        <v>124</v>
      </c>
      <c r="AO33" s="5">
        <v>9</v>
      </c>
      <c r="AP33" s="5">
        <v>0</v>
      </c>
      <c r="AQ33" s="5">
        <v>8</v>
      </c>
      <c r="AR33" s="5">
        <v>33.3005</v>
      </c>
      <c r="AS33" s="5">
        <v>8</v>
      </c>
      <c r="AT33" s="5">
        <v>169.357</v>
      </c>
      <c r="AU33" s="5">
        <v>8</v>
      </c>
      <c r="AV33" s="5">
        <v>90.722499999999997</v>
      </c>
      <c r="AW33" s="5">
        <v>8</v>
      </c>
      <c r="AX33" s="5">
        <v>145.5111</v>
      </c>
      <c r="AY33" s="5">
        <v>9</v>
      </c>
      <c r="AZ33" s="5">
        <v>0</v>
      </c>
      <c r="BA33" s="5">
        <v>9</v>
      </c>
      <c r="BB33" s="5">
        <v>14.2827</v>
      </c>
      <c r="BC33" s="5">
        <v>9</v>
      </c>
      <c r="BD33" s="5">
        <v>103.2406</v>
      </c>
      <c r="BE33" s="5">
        <v>9</v>
      </c>
      <c r="BF33" s="5">
        <v>168.9829</v>
      </c>
      <c r="BG33" s="5">
        <v>9</v>
      </c>
      <c r="BH33" s="5">
        <v>212.41409999999999</v>
      </c>
      <c r="BI33" s="5">
        <v>11</v>
      </c>
      <c r="BJ33" s="5">
        <v>0</v>
      </c>
      <c r="BK33" s="5">
        <v>12</v>
      </c>
      <c r="BL33" s="5">
        <v>6.6519000000000004</v>
      </c>
      <c r="BM33" s="5">
        <v>12</v>
      </c>
      <c r="BN33" s="5">
        <v>37.355699999999999</v>
      </c>
      <c r="BO33" s="5">
        <v>12</v>
      </c>
      <c r="BP33" s="5">
        <v>88.22</v>
      </c>
      <c r="BQ33" s="5">
        <v>12</v>
      </c>
      <c r="BR33" s="5">
        <v>117.37779999999999</v>
      </c>
      <c r="BS33" s="5">
        <f>CHOOSE(MATCH(Setup!$B$5,{8,10,12,14,16},0)+(MATCH(Setup!$B$7,{"STD","Half-PPR","PPR"},0)-1)*5,AO33,AQ33,AS33,AU33,AW33,AY33,BA33,BC33,BE33,BG33,BI33,BK33,BM33,BO33,BQ33)</f>
        <v>9</v>
      </c>
      <c r="BT33" s="5">
        <f>CHOOSE(MATCH(Setup!$B$5,{8,10,12,14,16},0)+(MATCH(Setup!$B$7,{"STD","Half-PPR","PPR"},0)-1)*5,AP33,AR33,AT33,AV33,AX33,AZ33,BB33,BD33,BF33,BH33,BJ33,BL33,BN33,BP33,BR33)</f>
        <v>103.2406</v>
      </c>
      <c r="BU33" s="5">
        <f>ROUND(1+BT33*'Live Calc'!$D$10,0)</f>
        <v>11</v>
      </c>
      <c r="BV33" s="5"/>
      <c r="BW33" s="5">
        <f>IF(BV33&lt;&gt;"",BV33,ROUND(BU33*INDEX('Live Calc'!$D$29:$D$46,MATCH(BS33,'Live Calc'!$A$29:$A$46,0))*'Live Calc'!$J$89,0))</f>
        <v>11</v>
      </c>
      <c r="BY33" s="6" t="s">
        <v>203</v>
      </c>
      <c r="BZ33" s="6" t="s">
        <v>177</v>
      </c>
      <c r="CA33" s="6">
        <v>13</v>
      </c>
      <c r="CB33" s="6">
        <v>3.7507999999999999</v>
      </c>
      <c r="CC33" s="6">
        <v>13</v>
      </c>
      <c r="CD33" s="6">
        <v>29.558199999999999</v>
      </c>
      <c r="CE33" s="6">
        <v>13</v>
      </c>
      <c r="CF33" s="6">
        <v>83.902199999999993</v>
      </c>
      <c r="CG33" s="6">
        <v>13</v>
      </c>
      <c r="CH33" s="6">
        <v>64.049400000000006</v>
      </c>
      <c r="CI33" s="6">
        <v>13</v>
      </c>
      <c r="CJ33" s="6">
        <v>82.468599999999995</v>
      </c>
      <c r="CK33" s="6">
        <v>9</v>
      </c>
      <c r="CL33" s="6">
        <v>18.496400000000001</v>
      </c>
      <c r="CM33" s="6">
        <v>9</v>
      </c>
      <c r="CN33" s="6">
        <v>92.365200000000002</v>
      </c>
      <c r="CO33" s="6">
        <v>9</v>
      </c>
      <c r="CP33" s="6">
        <v>112.3608</v>
      </c>
      <c r="CQ33" s="6">
        <v>8</v>
      </c>
      <c r="CR33" s="6">
        <v>84.817599999999999</v>
      </c>
      <c r="CS33" s="6">
        <v>9</v>
      </c>
      <c r="CT33" s="6">
        <v>140.17760000000001</v>
      </c>
      <c r="CU33" s="6">
        <v>9</v>
      </c>
      <c r="CV33" s="6">
        <v>13.901400000000001</v>
      </c>
      <c r="CW33" s="6">
        <v>9</v>
      </c>
      <c r="CX33" s="6">
        <v>31.478000000000002</v>
      </c>
      <c r="CY33" s="6">
        <v>9</v>
      </c>
      <c r="CZ33" s="6">
        <v>166.0368</v>
      </c>
      <c r="DA33" s="6">
        <v>9</v>
      </c>
      <c r="DB33" s="6">
        <v>130.21530000000001</v>
      </c>
      <c r="DC33" s="6">
        <v>9</v>
      </c>
      <c r="DD33" s="6">
        <v>123.84010000000001</v>
      </c>
      <c r="DE33" s="6">
        <f>CHOOSE(MATCH(Setup!$B$5,{8,10,12,14,16},0)+(MATCH(Setup!$B$7,{"STD","Half-PPR","PPR"},0)-1)*5,CA33,CC33,CE33,CG33,CI33,CK33,CM33,CO33,CQ33,CS33,CU33,CW33,CY33,DA33,DC33)</f>
        <v>9</v>
      </c>
      <c r="DF33" s="6">
        <f>CHOOSE(MATCH(Setup!$B$5,{8,10,12,14,16},0)+(MATCH(Setup!$B$7,{"STD","Half-PPR","PPR"},0)-1)*5,CB33,CD33,CF33,CH33,CJ33,CL33,CN33,CP33,CR33,CT33,CV33,CX33,CZ33,DB33,DD33)</f>
        <v>112.3608</v>
      </c>
      <c r="DG33" s="6">
        <f>ROUND(1+DF33*'Live Calc'!$D$11,0)</f>
        <v>13</v>
      </c>
      <c r="DH33" s="6"/>
      <c r="DI33" s="6">
        <f>IF(DH33&lt;&gt;"",DH33,ROUND(DG33*INDEX('Live Calc'!$D$50:$D$70,MATCH(DE33,'Live Calc'!$A$50:$A$70,0))*'Live Calc'!$J$89,0))</f>
        <v>13</v>
      </c>
      <c r="DK33" s="7" t="s">
        <v>204</v>
      </c>
      <c r="DL33" s="7" t="s">
        <v>50</v>
      </c>
      <c r="DM33" s="7">
        <v>8</v>
      </c>
      <c r="DN33" s="7">
        <v>0</v>
      </c>
      <c r="DO33" s="7">
        <v>9</v>
      </c>
      <c r="DP33" s="7">
        <v>0</v>
      </c>
      <c r="DQ33" s="7">
        <v>10</v>
      </c>
      <c r="DR33" s="7">
        <v>0</v>
      </c>
      <c r="DS33" s="7">
        <v>11</v>
      </c>
      <c r="DT33" s="7">
        <v>0</v>
      </c>
      <c r="DU33" s="7">
        <v>12</v>
      </c>
      <c r="DV33" s="7">
        <v>0</v>
      </c>
      <c r="DW33" s="7">
        <v>6</v>
      </c>
      <c r="DX33" s="7">
        <v>0</v>
      </c>
      <c r="DY33" s="7">
        <v>9</v>
      </c>
      <c r="DZ33" s="7">
        <v>0</v>
      </c>
      <c r="EA33" s="7">
        <v>9</v>
      </c>
      <c r="EB33" s="7">
        <v>0</v>
      </c>
      <c r="EC33" s="7">
        <v>11</v>
      </c>
      <c r="ED33" s="7">
        <v>0</v>
      </c>
      <c r="EE33" s="7">
        <v>12</v>
      </c>
      <c r="EF33" s="7">
        <v>0</v>
      </c>
      <c r="EG33" s="7">
        <v>5</v>
      </c>
      <c r="EH33" s="7">
        <v>0</v>
      </c>
      <c r="EI33" s="7">
        <v>6</v>
      </c>
      <c r="EJ33" s="7">
        <v>0</v>
      </c>
      <c r="EK33" s="7">
        <v>7</v>
      </c>
      <c r="EL33" s="7">
        <v>0</v>
      </c>
      <c r="EM33" s="7">
        <v>10</v>
      </c>
      <c r="EN33" s="7">
        <v>0</v>
      </c>
      <c r="EO33" s="7">
        <v>11</v>
      </c>
      <c r="EP33" s="7">
        <v>0</v>
      </c>
      <c r="EQ33" s="7">
        <f>CHOOSE(MATCH(Setup!$B$5,{8,10,12,14,16},0)+(MATCH(Setup!$B$7,{"STD","Half-PPR","PPR"},0)-1)*5,DM33,DO33,DQ33,DS33,DU33,DW33,DY33,EA33,EC33,EE33,EG33,EI33,EK33,EM33,EO33)</f>
        <v>9</v>
      </c>
      <c r="ER33" s="7">
        <f>CHOOSE(MATCH(Setup!$B$5,{8,10,12,14,16},0)+(MATCH(Setup!$B$7,{"STD","Half-PPR","PPR"},0)-1)*5,DN33,DP33,DR33,DT33,DV33,DX33,DZ33,EB33,ED33,EF33,EH33,EJ33,EL33,EN33,EP33)</f>
        <v>0</v>
      </c>
      <c r="ES33" s="7">
        <f>ROUND(1+ER33*'Live Calc'!$D$12,0)</f>
        <v>1</v>
      </c>
      <c r="ET33" s="7"/>
      <c r="EU33" s="7">
        <f>IF(ET33&lt;&gt;"",ET33,ROUND(ES33*INDEX('Live Calc'!$D$74:$D$85,MATCH(EQ33,'Live Calc'!$A$74:$A$85,0))*'Live Calc'!$J$89,0))</f>
        <v>1</v>
      </c>
    </row>
    <row r="34" spans="1:151" x14ac:dyDescent="0.25">
      <c r="A34" s="4" t="s">
        <v>205</v>
      </c>
      <c r="B34" s="4" t="s">
        <v>56</v>
      </c>
      <c r="C34" s="4">
        <v>6</v>
      </c>
      <c r="D34" s="4">
        <v>0</v>
      </c>
      <c r="E34" s="4">
        <v>7</v>
      </c>
      <c r="F34" s="4">
        <v>0</v>
      </c>
      <c r="G34" s="4">
        <v>8</v>
      </c>
      <c r="H34" s="4">
        <v>0</v>
      </c>
      <c r="I34" s="4">
        <v>9</v>
      </c>
      <c r="J34" s="4">
        <v>0</v>
      </c>
      <c r="K34" s="4">
        <v>9</v>
      </c>
      <c r="L34" s="4">
        <v>0</v>
      </c>
      <c r="M34" s="4">
        <v>5</v>
      </c>
      <c r="N34" s="4">
        <v>0</v>
      </c>
      <c r="O34" s="4">
        <v>6</v>
      </c>
      <c r="P34" s="4">
        <v>0</v>
      </c>
      <c r="Q34" s="4">
        <v>8</v>
      </c>
      <c r="R34" s="4">
        <v>0</v>
      </c>
      <c r="S34" s="4">
        <v>8</v>
      </c>
      <c r="T34" s="4">
        <v>0</v>
      </c>
      <c r="U34" s="4">
        <v>8</v>
      </c>
      <c r="V34" s="4">
        <v>0</v>
      </c>
      <c r="W34" s="4">
        <v>6</v>
      </c>
      <c r="X34" s="4">
        <v>0</v>
      </c>
      <c r="Y34" s="4">
        <v>8</v>
      </c>
      <c r="Z34" s="4">
        <v>0</v>
      </c>
      <c r="AA34" s="4">
        <v>9</v>
      </c>
      <c r="AB34" s="4">
        <v>0</v>
      </c>
      <c r="AC34" s="4">
        <v>10</v>
      </c>
      <c r="AD34" s="4">
        <v>0</v>
      </c>
      <c r="AE34" s="4">
        <v>9</v>
      </c>
      <c r="AF34" s="4">
        <v>0</v>
      </c>
      <c r="AG34" s="4">
        <f>CHOOSE(MATCH(Setup!$B$5,{8,10,12,14,16},0)+(MATCH(Setup!$B$7,{"STD","Half-PPR","PPR"},0)-1)*5,C34,E34,G34,I34,K34,M34,O34,Q34,S34,U34,W34,Y34,AA34,AC34,AE34)</f>
        <v>8</v>
      </c>
      <c r="AH34" s="4">
        <f>CHOOSE(MATCH(Setup!$B$5,{8,10,12,14,16},0)+(MATCH(Setup!$B$7,{"STD","Half-PPR","PPR"},0)-1)*5,D34,F34,H34,J34,L34,N34,P34,R34,T34,V34,X34,Z34,AB34,AD34,AF34)</f>
        <v>0</v>
      </c>
      <c r="AI34" s="4">
        <f>ROUND(1+AH34*'Live Calc'!$D$9,0)</f>
        <v>1</v>
      </c>
      <c r="AJ34" s="4"/>
      <c r="AK34" s="4">
        <f>IF(AJ34&lt;&gt;"",AJ34,ROUND(AI34*INDEX('Live Calc'!$D$16:$D$25,MATCH(AG34,'Live Calc'!$A$16:$A$25,0))*'Live Calc'!$J$89,0))</f>
        <v>1</v>
      </c>
      <c r="AM34" s="5" t="s">
        <v>206</v>
      </c>
      <c r="AN34" s="5" t="s">
        <v>124</v>
      </c>
      <c r="AO34" s="5">
        <v>9</v>
      </c>
      <c r="AP34" s="5">
        <v>0</v>
      </c>
      <c r="AQ34" s="5">
        <v>9</v>
      </c>
      <c r="AR34" s="5">
        <v>1.6308</v>
      </c>
      <c r="AS34" s="5">
        <v>10</v>
      </c>
      <c r="AT34" s="5">
        <v>91.489000000000004</v>
      </c>
      <c r="AU34" s="5">
        <v>10</v>
      </c>
      <c r="AV34" s="5">
        <v>58.911700000000003</v>
      </c>
      <c r="AW34" s="5">
        <v>10</v>
      </c>
      <c r="AX34" s="5">
        <v>103.36190000000001</v>
      </c>
      <c r="AY34" s="5">
        <v>9</v>
      </c>
      <c r="AZ34" s="5">
        <v>0</v>
      </c>
      <c r="BA34" s="5">
        <v>9</v>
      </c>
      <c r="BB34" s="5">
        <v>12.666499999999999</v>
      </c>
      <c r="BC34" s="5">
        <v>9</v>
      </c>
      <c r="BD34" s="5">
        <v>99.715999999999994</v>
      </c>
      <c r="BE34" s="5">
        <v>9</v>
      </c>
      <c r="BF34" s="5">
        <v>165.15289999999999</v>
      </c>
      <c r="BG34" s="5">
        <v>9</v>
      </c>
      <c r="BH34" s="5">
        <v>208.434</v>
      </c>
      <c r="BI34" s="5">
        <v>11</v>
      </c>
      <c r="BJ34" s="5">
        <v>0</v>
      </c>
      <c r="BK34" s="5">
        <v>11</v>
      </c>
      <c r="BL34" s="5">
        <v>16.2241</v>
      </c>
      <c r="BM34" s="5">
        <v>11</v>
      </c>
      <c r="BN34" s="5">
        <v>47.559199999999997</v>
      </c>
      <c r="BO34" s="5">
        <v>11</v>
      </c>
      <c r="BP34" s="5">
        <v>101.748</v>
      </c>
      <c r="BQ34" s="5">
        <v>11</v>
      </c>
      <c r="BR34" s="5">
        <v>131.24119999999999</v>
      </c>
      <c r="BS34" s="5">
        <f>CHOOSE(MATCH(Setup!$B$5,{8,10,12,14,16},0)+(MATCH(Setup!$B$7,{"STD","Half-PPR","PPR"},0)-1)*5,AO34,AQ34,AS34,AU34,AW34,AY34,BA34,BC34,BE34,BG34,BI34,BK34,BM34,BO34,BQ34)</f>
        <v>9</v>
      </c>
      <c r="BT34" s="5">
        <f>CHOOSE(MATCH(Setup!$B$5,{8,10,12,14,16},0)+(MATCH(Setup!$B$7,{"STD","Half-PPR","PPR"},0)-1)*5,AP34,AR34,AT34,AV34,AX34,AZ34,BB34,BD34,BF34,BH34,BJ34,BL34,BN34,BP34,BR34)</f>
        <v>99.715999999999994</v>
      </c>
      <c r="BU34" s="5">
        <f>ROUND(1+BT34*'Live Calc'!$D$10,0)</f>
        <v>10</v>
      </c>
      <c r="BV34" s="5"/>
      <c r="BW34" s="5">
        <f>IF(BV34&lt;&gt;"",BV34,ROUND(BU34*INDEX('Live Calc'!$D$29:$D$46,MATCH(BS34,'Live Calc'!$A$29:$A$46,0))*'Live Calc'!$J$89,0))</f>
        <v>10</v>
      </c>
      <c r="BY34" s="6" t="s">
        <v>207</v>
      </c>
      <c r="BZ34" s="6" t="s">
        <v>124</v>
      </c>
      <c r="CA34" s="6">
        <v>13</v>
      </c>
      <c r="CB34" s="6">
        <v>2.0510000000000002</v>
      </c>
      <c r="CC34" s="6">
        <v>13</v>
      </c>
      <c r="CD34" s="6">
        <v>27.261800000000001</v>
      </c>
      <c r="CE34" s="6">
        <v>13</v>
      </c>
      <c r="CF34" s="6">
        <v>80.050600000000003</v>
      </c>
      <c r="CG34" s="6">
        <v>13</v>
      </c>
      <c r="CH34" s="6">
        <v>61.581299999999999</v>
      </c>
      <c r="CI34" s="6">
        <v>13</v>
      </c>
      <c r="CJ34" s="6">
        <v>79.9422</v>
      </c>
      <c r="CK34" s="6">
        <v>9</v>
      </c>
      <c r="CL34" s="6">
        <v>18.170400000000001</v>
      </c>
      <c r="CM34" s="6">
        <v>9</v>
      </c>
      <c r="CN34" s="6">
        <v>91.766099999999994</v>
      </c>
      <c r="CO34" s="6">
        <v>9</v>
      </c>
      <c r="CP34" s="6">
        <v>111.8496</v>
      </c>
      <c r="CQ34" s="6">
        <v>8</v>
      </c>
      <c r="CR34" s="6">
        <v>84.498199999999997</v>
      </c>
      <c r="CS34" s="6">
        <v>9</v>
      </c>
      <c r="CT34" s="6">
        <v>139.7526</v>
      </c>
      <c r="CU34" s="6">
        <v>9</v>
      </c>
      <c r="CV34" s="6">
        <v>13.6165</v>
      </c>
      <c r="CW34" s="6">
        <v>9</v>
      </c>
      <c r="CX34" s="6">
        <v>31.260300000000001</v>
      </c>
      <c r="CY34" s="6">
        <v>9</v>
      </c>
      <c r="CZ34" s="6">
        <v>165.4254</v>
      </c>
      <c r="DA34" s="6">
        <v>9</v>
      </c>
      <c r="DB34" s="6">
        <v>129.83340000000001</v>
      </c>
      <c r="DC34" s="6">
        <v>9</v>
      </c>
      <c r="DD34" s="6">
        <v>123.5401</v>
      </c>
      <c r="DE34" s="6">
        <f>CHOOSE(MATCH(Setup!$B$5,{8,10,12,14,16},0)+(MATCH(Setup!$B$7,{"STD","Half-PPR","PPR"},0)-1)*5,CA34,CC34,CE34,CG34,CI34,CK34,CM34,CO34,CQ34,CS34,CU34,CW34,CY34,DA34,DC34)</f>
        <v>9</v>
      </c>
      <c r="DF34" s="6">
        <f>CHOOSE(MATCH(Setup!$B$5,{8,10,12,14,16},0)+(MATCH(Setup!$B$7,{"STD","Half-PPR","PPR"},0)-1)*5,CB34,CD34,CF34,CH34,CJ34,CL34,CN34,CP34,CR34,CT34,CV34,CX34,CZ34,DB34,DD34)</f>
        <v>111.8496</v>
      </c>
      <c r="DG34" s="6">
        <f>ROUND(1+DF34*'Live Calc'!$D$11,0)</f>
        <v>13</v>
      </c>
      <c r="DH34" s="6"/>
      <c r="DI34" s="6">
        <f>IF(DH34&lt;&gt;"",DH34,ROUND(DG34*INDEX('Live Calc'!$D$50:$D$70,MATCH(DE34,'Live Calc'!$A$50:$A$70,0))*'Live Calc'!$J$89,0))</f>
        <v>13</v>
      </c>
      <c r="DK34" s="7" t="s">
        <v>208</v>
      </c>
      <c r="DL34" s="7" t="s">
        <v>110</v>
      </c>
      <c r="DM34" s="7">
        <v>8</v>
      </c>
      <c r="DN34" s="7">
        <v>0</v>
      </c>
      <c r="DO34" s="7">
        <v>9</v>
      </c>
      <c r="DP34" s="7">
        <v>0</v>
      </c>
      <c r="DQ34" s="7">
        <v>10</v>
      </c>
      <c r="DR34" s="7">
        <v>0</v>
      </c>
      <c r="DS34" s="7">
        <v>11</v>
      </c>
      <c r="DT34" s="7">
        <v>0</v>
      </c>
      <c r="DU34" s="7">
        <v>12</v>
      </c>
      <c r="DV34" s="7">
        <v>0</v>
      </c>
      <c r="DW34" s="7">
        <v>6</v>
      </c>
      <c r="DX34" s="7">
        <v>0</v>
      </c>
      <c r="DY34" s="7">
        <v>9</v>
      </c>
      <c r="DZ34" s="7">
        <v>0</v>
      </c>
      <c r="EA34" s="7">
        <v>9</v>
      </c>
      <c r="EB34" s="7">
        <v>0</v>
      </c>
      <c r="EC34" s="7">
        <v>11</v>
      </c>
      <c r="ED34" s="7">
        <v>0</v>
      </c>
      <c r="EE34" s="7">
        <v>12</v>
      </c>
      <c r="EF34" s="7">
        <v>0</v>
      </c>
      <c r="EG34" s="7">
        <v>5</v>
      </c>
      <c r="EH34" s="7">
        <v>0</v>
      </c>
      <c r="EI34" s="7">
        <v>6</v>
      </c>
      <c r="EJ34" s="7">
        <v>0</v>
      </c>
      <c r="EK34" s="7">
        <v>7</v>
      </c>
      <c r="EL34" s="7">
        <v>0</v>
      </c>
      <c r="EM34" s="7">
        <v>10</v>
      </c>
      <c r="EN34" s="7">
        <v>0</v>
      </c>
      <c r="EO34" s="7">
        <v>11</v>
      </c>
      <c r="EP34" s="7">
        <v>0</v>
      </c>
      <c r="EQ34" s="7">
        <f>CHOOSE(MATCH(Setup!$B$5,{8,10,12,14,16},0)+(MATCH(Setup!$B$7,{"STD","Half-PPR","PPR"},0)-1)*5,DM34,DO34,DQ34,DS34,DU34,DW34,DY34,EA34,EC34,EE34,EG34,EI34,EK34,EM34,EO34)</f>
        <v>9</v>
      </c>
      <c r="ER34" s="7">
        <f>CHOOSE(MATCH(Setup!$B$5,{8,10,12,14,16},0)+(MATCH(Setup!$B$7,{"STD","Half-PPR","PPR"},0)-1)*5,DN34,DP34,DR34,DT34,DV34,DX34,DZ34,EB34,ED34,EF34,EH34,EJ34,EL34,EN34,EP34)</f>
        <v>0</v>
      </c>
      <c r="ES34" s="7">
        <f>ROUND(1+ER34*'Live Calc'!$D$12,0)</f>
        <v>1</v>
      </c>
      <c r="ET34" s="7"/>
      <c r="EU34" s="7">
        <f>IF(ET34&lt;&gt;"",ET34,ROUND(ES34*INDEX('Live Calc'!$D$74:$D$85,MATCH(EQ34,'Live Calc'!$A$74:$A$85,0))*'Live Calc'!$J$89,0))</f>
        <v>1</v>
      </c>
    </row>
    <row r="35" spans="1:151" x14ac:dyDescent="0.25">
      <c r="A35" s="4" t="s">
        <v>209</v>
      </c>
      <c r="B35" s="4" t="s">
        <v>81</v>
      </c>
      <c r="C35" s="4">
        <v>6</v>
      </c>
      <c r="D35" s="4">
        <v>0</v>
      </c>
      <c r="E35" s="4">
        <v>7</v>
      </c>
      <c r="F35" s="4">
        <v>0</v>
      </c>
      <c r="G35" s="4">
        <v>8</v>
      </c>
      <c r="H35" s="4">
        <v>0</v>
      </c>
      <c r="I35" s="4">
        <v>9</v>
      </c>
      <c r="J35" s="4">
        <v>0</v>
      </c>
      <c r="K35" s="4">
        <v>9</v>
      </c>
      <c r="L35" s="4">
        <v>0</v>
      </c>
      <c r="M35" s="4">
        <v>5</v>
      </c>
      <c r="N35" s="4">
        <v>0</v>
      </c>
      <c r="O35" s="4">
        <v>6</v>
      </c>
      <c r="P35" s="4">
        <v>0</v>
      </c>
      <c r="Q35" s="4">
        <v>8</v>
      </c>
      <c r="R35" s="4">
        <v>0</v>
      </c>
      <c r="S35" s="4">
        <v>8</v>
      </c>
      <c r="T35" s="4">
        <v>0</v>
      </c>
      <c r="U35" s="4">
        <v>8</v>
      </c>
      <c r="V35" s="4">
        <v>0</v>
      </c>
      <c r="W35" s="4">
        <v>6</v>
      </c>
      <c r="X35" s="4">
        <v>0</v>
      </c>
      <c r="Y35" s="4">
        <v>8</v>
      </c>
      <c r="Z35" s="4">
        <v>0</v>
      </c>
      <c r="AA35" s="4">
        <v>9</v>
      </c>
      <c r="AB35" s="4">
        <v>0</v>
      </c>
      <c r="AC35" s="4">
        <v>10</v>
      </c>
      <c r="AD35" s="4">
        <v>0</v>
      </c>
      <c r="AE35" s="4">
        <v>9</v>
      </c>
      <c r="AF35" s="4">
        <v>0</v>
      </c>
      <c r="AG35" s="4">
        <f>CHOOSE(MATCH(Setup!$B$5,{8,10,12,14,16},0)+(MATCH(Setup!$B$7,{"STD","Half-PPR","PPR"},0)-1)*5,C35,E35,G35,I35,K35,M35,O35,Q35,S35,U35,W35,Y35,AA35,AC35,AE35)</f>
        <v>8</v>
      </c>
      <c r="AH35" s="4">
        <f>CHOOSE(MATCH(Setup!$B$5,{8,10,12,14,16},0)+(MATCH(Setup!$B$7,{"STD","Half-PPR","PPR"},0)-1)*5,D35,F35,H35,J35,L35,N35,P35,R35,T35,V35,X35,Z35,AB35,AD35,AF35)</f>
        <v>0</v>
      </c>
      <c r="AI35" s="4">
        <f>ROUND(1+AH35*'Live Calc'!$D$9,0)</f>
        <v>1</v>
      </c>
      <c r="AJ35" s="4"/>
      <c r="AK35" s="4">
        <f>IF(AJ35&lt;&gt;"",AJ35,ROUND(AI35*INDEX('Live Calc'!$D$16:$D$25,MATCH(AG35,'Live Calc'!$A$16:$A$25,0))*'Live Calc'!$J$89,0))</f>
        <v>1</v>
      </c>
      <c r="AM35" s="5" t="s">
        <v>210</v>
      </c>
      <c r="AN35" s="5" t="s">
        <v>68</v>
      </c>
      <c r="AO35" s="5">
        <v>9</v>
      </c>
      <c r="AP35" s="5">
        <v>0</v>
      </c>
      <c r="AQ35" s="5">
        <v>9</v>
      </c>
      <c r="AR35" s="5">
        <v>8.5856999999999992</v>
      </c>
      <c r="AS35" s="5">
        <v>9</v>
      </c>
      <c r="AT35" s="5">
        <v>110.164</v>
      </c>
      <c r="AU35" s="5">
        <v>9</v>
      </c>
      <c r="AV35" s="5">
        <v>66.855000000000004</v>
      </c>
      <c r="AW35" s="5">
        <v>9</v>
      </c>
      <c r="AX35" s="5">
        <v>113.8659</v>
      </c>
      <c r="AY35" s="5">
        <v>9</v>
      </c>
      <c r="AZ35" s="5">
        <v>0</v>
      </c>
      <c r="BA35" s="5">
        <v>10</v>
      </c>
      <c r="BB35" s="5">
        <v>5.7244000000000002</v>
      </c>
      <c r="BC35" s="5">
        <v>10</v>
      </c>
      <c r="BD35" s="5">
        <v>84.530299999999997</v>
      </c>
      <c r="BE35" s="5">
        <v>10</v>
      </c>
      <c r="BF35" s="5">
        <v>148.5565</v>
      </c>
      <c r="BG35" s="5">
        <v>10</v>
      </c>
      <c r="BH35" s="5">
        <v>191.1541</v>
      </c>
      <c r="BI35" s="5">
        <v>11</v>
      </c>
      <c r="BJ35" s="5">
        <v>0</v>
      </c>
      <c r="BK35" s="5">
        <v>13</v>
      </c>
      <c r="BL35" s="5">
        <v>0</v>
      </c>
      <c r="BM35" s="5">
        <v>12</v>
      </c>
      <c r="BN35" s="5">
        <v>29.646699999999999</v>
      </c>
      <c r="BO35" s="5">
        <v>12</v>
      </c>
      <c r="BP35" s="5">
        <v>78.007900000000006</v>
      </c>
      <c r="BQ35" s="5">
        <v>12</v>
      </c>
      <c r="BR35" s="5">
        <v>106.8836</v>
      </c>
      <c r="BS35" s="5">
        <f>CHOOSE(MATCH(Setup!$B$5,{8,10,12,14,16},0)+(MATCH(Setup!$B$7,{"STD","Half-PPR","PPR"},0)-1)*5,AO35,AQ35,AS35,AU35,AW35,AY35,BA35,BC35,BE35,BG35,BI35,BK35,BM35,BO35,BQ35)</f>
        <v>10</v>
      </c>
      <c r="BT35" s="5">
        <f>CHOOSE(MATCH(Setup!$B$5,{8,10,12,14,16},0)+(MATCH(Setup!$B$7,{"STD","Half-PPR","PPR"},0)-1)*5,AP35,AR35,AT35,AV35,AX35,AZ35,BB35,BD35,BF35,BH35,BJ35,BL35,BN35,BP35,BR35)</f>
        <v>84.530299999999997</v>
      </c>
      <c r="BU35" s="5">
        <f>ROUND(1+BT35*'Live Calc'!$D$10,0)</f>
        <v>9</v>
      </c>
      <c r="BV35" s="5"/>
      <c r="BW35" s="5">
        <f>IF(BV35&lt;&gt;"",BV35,ROUND(BU35*INDEX('Live Calc'!$D$29:$D$46,MATCH(BS35,'Live Calc'!$A$29:$A$46,0))*'Live Calc'!$J$89,0))</f>
        <v>9</v>
      </c>
      <c r="BY35" s="6" t="s">
        <v>211</v>
      </c>
      <c r="BZ35" s="6" t="s">
        <v>52</v>
      </c>
      <c r="CA35" s="6">
        <v>13</v>
      </c>
      <c r="CB35" s="6">
        <v>3.1472000000000002</v>
      </c>
      <c r="CC35" s="6">
        <v>13</v>
      </c>
      <c r="CD35" s="6">
        <v>28.748100000000001</v>
      </c>
      <c r="CE35" s="6">
        <v>13</v>
      </c>
      <c r="CF35" s="6">
        <v>82.543199999999999</v>
      </c>
      <c r="CG35" s="6">
        <v>13</v>
      </c>
      <c r="CH35" s="6">
        <v>63.179699999999997</v>
      </c>
      <c r="CI35" s="6">
        <v>13</v>
      </c>
      <c r="CJ35" s="6">
        <v>81.578599999999994</v>
      </c>
      <c r="CK35" s="6">
        <v>9</v>
      </c>
      <c r="CL35" s="6">
        <v>13.771800000000001</v>
      </c>
      <c r="CM35" s="6">
        <v>9</v>
      </c>
      <c r="CN35" s="6">
        <v>83.613</v>
      </c>
      <c r="CO35" s="6">
        <v>9</v>
      </c>
      <c r="CP35" s="6">
        <v>104.86450000000001</v>
      </c>
      <c r="CQ35" s="6">
        <v>8</v>
      </c>
      <c r="CR35" s="6">
        <v>80.119100000000003</v>
      </c>
      <c r="CS35" s="6">
        <v>9</v>
      </c>
      <c r="CT35" s="6">
        <v>133.929</v>
      </c>
      <c r="CU35" s="6">
        <v>10</v>
      </c>
      <c r="CV35" s="6">
        <v>6.7946</v>
      </c>
      <c r="CW35" s="6">
        <v>10</v>
      </c>
      <c r="CX35" s="6">
        <v>25.848600000000001</v>
      </c>
      <c r="CY35" s="6">
        <v>10</v>
      </c>
      <c r="CZ35" s="6">
        <v>150.31110000000001</v>
      </c>
      <c r="DA35" s="6">
        <v>10</v>
      </c>
      <c r="DB35" s="6">
        <v>120.3472</v>
      </c>
      <c r="DC35" s="6">
        <v>10</v>
      </c>
      <c r="DD35" s="6">
        <v>116.0722</v>
      </c>
      <c r="DE35" s="6">
        <f>CHOOSE(MATCH(Setup!$B$5,{8,10,12,14,16},0)+(MATCH(Setup!$B$7,{"STD","Half-PPR","PPR"},0)-1)*5,CA35,CC35,CE35,CG35,CI35,CK35,CM35,CO35,CQ35,CS35,CU35,CW35,CY35,DA35,DC35)</f>
        <v>9</v>
      </c>
      <c r="DF35" s="6">
        <f>CHOOSE(MATCH(Setup!$B$5,{8,10,12,14,16},0)+(MATCH(Setup!$B$7,{"STD","Half-PPR","PPR"},0)-1)*5,CB35,CD35,CF35,CH35,CJ35,CL35,CN35,CP35,CR35,CT35,CV35,CX35,CZ35,DB35,DD35)</f>
        <v>104.86450000000001</v>
      </c>
      <c r="DG35" s="6">
        <f>ROUND(1+DF35*'Live Calc'!$D$11,0)</f>
        <v>12</v>
      </c>
      <c r="DH35" s="6"/>
      <c r="DI35" s="6">
        <f>IF(DH35&lt;&gt;"",DH35,ROUND(DG35*INDEX('Live Calc'!$D$50:$D$70,MATCH(DE35,'Live Calc'!$A$50:$A$70,0))*'Live Calc'!$J$89,0))</f>
        <v>12</v>
      </c>
      <c r="DK35" s="7" t="s">
        <v>212</v>
      </c>
      <c r="DL35" s="7" t="s">
        <v>58</v>
      </c>
      <c r="DM35" s="7">
        <v>8</v>
      </c>
      <c r="DN35" s="7">
        <v>0</v>
      </c>
      <c r="DO35" s="7">
        <v>9</v>
      </c>
      <c r="DP35" s="7">
        <v>0</v>
      </c>
      <c r="DQ35" s="7">
        <v>10</v>
      </c>
      <c r="DR35" s="7">
        <v>0</v>
      </c>
      <c r="DS35" s="7">
        <v>11</v>
      </c>
      <c r="DT35" s="7">
        <v>0</v>
      </c>
      <c r="DU35" s="7">
        <v>12</v>
      </c>
      <c r="DV35" s="7">
        <v>0</v>
      </c>
      <c r="DW35" s="7">
        <v>6</v>
      </c>
      <c r="DX35" s="7">
        <v>0</v>
      </c>
      <c r="DY35" s="7">
        <v>9</v>
      </c>
      <c r="DZ35" s="7">
        <v>0</v>
      </c>
      <c r="EA35" s="7">
        <v>9</v>
      </c>
      <c r="EB35" s="7">
        <v>0</v>
      </c>
      <c r="EC35" s="7">
        <v>11</v>
      </c>
      <c r="ED35" s="7">
        <v>0</v>
      </c>
      <c r="EE35" s="7">
        <v>12</v>
      </c>
      <c r="EF35" s="7">
        <v>0</v>
      </c>
      <c r="EG35" s="7">
        <v>5</v>
      </c>
      <c r="EH35" s="7">
        <v>0</v>
      </c>
      <c r="EI35" s="7">
        <v>6</v>
      </c>
      <c r="EJ35" s="7">
        <v>0</v>
      </c>
      <c r="EK35" s="7">
        <v>7</v>
      </c>
      <c r="EL35" s="7">
        <v>0</v>
      </c>
      <c r="EM35" s="7">
        <v>10</v>
      </c>
      <c r="EN35" s="7">
        <v>0</v>
      </c>
      <c r="EO35" s="7">
        <v>11</v>
      </c>
      <c r="EP35" s="7">
        <v>0</v>
      </c>
      <c r="EQ35" s="7">
        <f>CHOOSE(MATCH(Setup!$B$5,{8,10,12,14,16},0)+(MATCH(Setup!$B$7,{"STD","Half-PPR","PPR"},0)-1)*5,DM35,DO35,DQ35,DS35,DU35,DW35,DY35,EA35,EC35,EE35,EG35,EI35,EK35,EM35,EO35)</f>
        <v>9</v>
      </c>
      <c r="ER35" s="7">
        <f>CHOOSE(MATCH(Setup!$B$5,{8,10,12,14,16},0)+(MATCH(Setup!$B$7,{"STD","Half-PPR","PPR"},0)-1)*5,DN35,DP35,DR35,DT35,DV35,DX35,DZ35,EB35,ED35,EF35,EH35,EJ35,EL35,EN35,EP35)</f>
        <v>0</v>
      </c>
      <c r="ES35" s="7">
        <f>ROUND(1+ER35*'Live Calc'!$D$12,0)</f>
        <v>1</v>
      </c>
      <c r="ET35" s="7"/>
      <c r="EU35" s="7">
        <f>IF(ET35&lt;&gt;"",ET35,ROUND(ES35*INDEX('Live Calc'!$D$74:$D$85,MATCH(EQ35,'Live Calc'!$A$74:$A$85,0))*'Live Calc'!$J$89,0))</f>
        <v>1</v>
      </c>
    </row>
    <row r="36" spans="1:151" x14ac:dyDescent="0.25">
      <c r="A36" s="4" t="s">
        <v>213</v>
      </c>
      <c r="B36" s="4" t="s">
        <v>60</v>
      </c>
      <c r="C36" s="4">
        <v>6</v>
      </c>
      <c r="D36" s="4">
        <v>0</v>
      </c>
      <c r="E36" s="4">
        <v>7</v>
      </c>
      <c r="F36" s="4">
        <v>0</v>
      </c>
      <c r="G36" s="4">
        <v>8</v>
      </c>
      <c r="H36" s="4">
        <v>0</v>
      </c>
      <c r="I36" s="4">
        <v>9</v>
      </c>
      <c r="J36" s="4">
        <v>0</v>
      </c>
      <c r="K36" s="4">
        <v>9</v>
      </c>
      <c r="L36" s="4">
        <v>0</v>
      </c>
      <c r="M36" s="4">
        <v>5</v>
      </c>
      <c r="N36" s="4">
        <v>0</v>
      </c>
      <c r="O36" s="4">
        <v>6</v>
      </c>
      <c r="P36" s="4">
        <v>0</v>
      </c>
      <c r="Q36" s="4">
        <v>8</v>
      </c>
      <c r="R36" s="4">
        <v>0</v>
      </c>
      <c r="S36" s="4">
        <v>8</v>
      </c>
      <c r="T36" s="4">
        <v>0</v>
      </c>
      <c r="U36" s="4">
        <v>8</v>
      </c>
      <c r="V36" s="4">
        <v>0</v>
      </c>
      <c r="W36" s="4">
        <v>6</v>
      </c>
      <c r="X36" s="4">
        <v>0</v>
      </c>
      <c r="Y36" s="4">
        <v>8</v>
      </c>
      <c r="Z36" s="4">
        <v>0</v>
      </c>
      <c r="AA36" s="4">
        <v>9</v>
      </c>
      <c r="AB36" s="4">
        <v>0</v>
      </c>
      <c r="AC36" s="4">
        <v>10</v>
      </c>
      <c r="AD36" s="4">
        <v>0</v>
      </c>
      <c r="AE36" s="4">
        <v>9</v>
      </c>
      <c r="AF36" s="4">
        <v>0</v>
      </c>
      <c r="AG36" s="4">
        <f>CHOOSE(MATCH(Setup!$B$5,{8,10,12,14,16},0)+(MATCH(Setup!$B$7,{"STD","Half-PPR","PPR"},0)-1)*5,C36,E36,G36,I36,K36,M36,O36,Q36,S36,U36,W36,Y36,AA36,AC36,AE36)</f>
        <v>8</v>
      </c>
      <c r="AH36" s="4">
        <f>CHOOSE(MATCH(Setup!$B$5,{8,10,12,14,16},0)+(MATCH(Setup!$B$7,{"STD","Half-PPR","PPR"},0)-1)*5,D36,F36,H36,J36,L36,N36,P36,R36,T36,V36,X36,Z36,AB36,AD36,AF36)</f>
        <v>0</v>
      </c>
      <c r="AI36" s="4">
        <f>ROUND(1+AH36*'Live Calc'!$D$9,0)</f>
        <v>1</v>
      </c>
      <c r="AJ36" s="4"/>
      <c r="AK36" s="4">
        <f>IF(AJ36&lt;&gt;"",AJ36,ROUND(AI36*INDEX('Live Calc'!$D$16:$D$25,MATCH(AG36,'Live Calc'!$A$16:$A$25,0))*'Live Calc'!$J$89,0))</f>
        <v>1</v>
      </c>
      <c r="AM36" s="5" t="s">
        <v>214</v>
      </c>
      <c r="AN36" s="5" t="s">
        <v>91</v>
      </c>
      <c r="AO36" s="5">
        <v>9</v>
      </c>
      <c r="AP36" s="5">
        <v>0</v>
      </c>
      <c r="AQ36" s="5">
        <v>10</v>
      </c>
      <c r="AR36" s="5">
        <v>0</v>
      </c>
      <c r="AS36" s="5">
        <v>11</v>
      </c>
      <c r="AT36" s="5">
        <v>72.251300000000001</v>
      </c>
      <c r="AU36" s="5">
        <v>11</v>
      </c>
      <c r="AV36" s="5">
        <v>50.433</v>
      </c>
      <c r="AW36" s="5">
        <v>11</v>
      </c>
      <c r="AX36" s="5">
        <v>92.161000000000001</v>
      </c>
      <c r="AY36" s="5">
        <v>9</v>
      </c>
      <c r="AZ36" s="5">
        <v>0</v>
      </c>
      <c r="BA36" s="5">
        <v>10</v>
      </c>
      <c r="BB36" s="5">
        <v>0.42430000000000001</v>
      </c>
      <c r="BC36" s="5">
        <v>11</v>
      </c>
      <c r="BD36" s="5">
        <v>72.548100000000005</v>
      </c>
      <c r="BE36" s="5">
        <v>11</v>
      </c>
      <c r="BF36" s="5">
        <v>135.3306</v>
      </c>
      <c r="BG36" s="5">
        <v>11</v>
      </c>
      <c r="BH36" s="5">
        <v>177.34020000000001</v>
      </c>
      <c r="BI36" s="5">
        <v>11</v>
      </c>
      <c r="BJ36" s="5">
        <v>0</v>
      </c>
      <c r="BK36" s="5">
        <v>12</v>
      </c>
      <c r="BL36" s="5">
        <v>1.0947</v>
      </c>
      <c r="BM36" s="5">
        <v>12</v>
      </c>
      <c r="BN36" s="5">
        <v>31.158899999999999</v>
      </c>
      <c r="BO36" s="5">
        <v>12</v>
      </c>
      <c r="BP36" s="5">
        <v>80.010999999999996</v>
      </c>
      <c r="BQ36" s="5">
        <v>12</v>
      </c>
      <c r="BR36" s="5">
        <v>108.9443</v>
      </c>
      <c r="BS36" s="5">
        <f>CHOOSE(MATCH(Setup!$B$5,{8,10,12,14,16},0)+(MATCH(Setup!$B$7,{"STD","Half-PPR","PPR"},0)-1)*5,AO36,AQ36,AS36,AU36,AW36,AY36,BA36,BC36,BE36,BG36,BI36,BK36,BM36,BO36,BQ36)</f>
        <v>11</v>
      </c>
      <c r="BT36" s="5">
        <f>CHOOSE(MATCH(Setup!$B$5,{8,10,12,14,16},0)+(MATCH(Setup!$B$7,{"STD","Half-PPR","PPR"},0)-1)*5,AP36,AR36,AT36,AV36,AX36,AZ36,BB36,BD36,BF36,BH36,BJ36,BL36,BN36,BP36,BR36)</f>
        <v>72.548100000000005</v>
      </c>
      <c r="BU36" s="5">
        <f>ROUND(1+BT36*'Live Calc'!$D$10,0)</f>
        <v>8</v>
      </c>
      <c r="BV36" s="5"/>
      <c r="BW36" s="5">
        <f>IF(BV36&lt;&gt;"",BV36,ROUND(BU36*INDEX('Live Calc'!$D$29:$D$46,MATCH(BS36,'Live Calc'!$A$29:$A$46,0))*'Live Calc'!$J$89,0))</f>
        <v>8</v>
      </c>
      <c r="BY36" s="6" t="s">
        <v>215</v>
      </c>
      <c r="BZ36" s="6" t="s">
        <v>104</v>
      </c>
      <c r="CA36" s="6">
        <v>14</v>
      </c>
      <c r="CB36" s="6">
        <v>0</v>
      </c>
      <c r="CC36" s="6">
        <v>13</v>
      </c>
      <c r="CD36" s="6">
        <v>24.3323</v>
      </c>
      <c r="CE36" s="6">
        <v>13</v>
      </c>
      <c r="CF36" s="6">
        <v>75.1387</v>
      </c>
      <c r="CG36" s="6">
        <v>13</v>
      </c>
      <c r="CH36" s="6">
        <v>58.417900000000003</v>
      </c>
      <c r="CI36" s="6">
        <v>13</v>
      </c>
      <c r="CJ36" s="6">
        <v>76.701300000000003</v>
      </c>
      <c r="CK36" s="6">
        <v>9</v>
      </c>
      <c r="CL36" s="6">
        <v>11.157999999999999</v>
      </c>
      <c r="CM36" s="6">
        <v>9</v>
      </c>
      <c r="CN36" s="6">
        <v>78.686599999999999</v>
      </c>
      <c r="CO36" s="6">
        <v>9</v>
      </c>
      <c r="CP36" s="6">
        <v>100.6159</v>
      </c>
      <c r="CQ36" s="6">
        <v>8</v>
      </c>
      <c r="CR36" s="6">
        <v>77.442599999999999</v>
      </c>
      <c r="CS36" s="6">
        <v>9</v>
      </c>
      <c r="CT36" s="6">
        <v>130.3716</v>
      </c>
      <c r="CU36" s="6">
        <v>10</v>
      </c>
      <c r="CV36" s="6">
        <v>6.5765000000000002</v>
      </c>
      <c r="CW36" s="6">
        <v>10</v>
      </c>
      <c r="CX36" s="6">
        <v>25.667200000000001</v>
      </c>
      <c r="CY36" s="6">
        <v>10</v>
      </c>
      <c r="CZ36" s="6">
        <v>149.80709999999999</v>
      </c>
      <c r="DA36" s="6">
        <v>10</v>
      </c>
      <c r="DB36" s="6">
        <v>120.02930000000001</v>
      </c>
      <c r="DC36" s="6">
        <v>10</v>
      </c>
      <c r="DD36" s="6">
        <v>115.8214</v>
      </c>
      <c r="DE36" s="6">
        <f>CHOOSE(MATCH(Setup!$B$5,{8,10,12,14,16},0)+(MATCH(Setup!$B$7,{"STD","Half-PPR","PPR"},0)-1)*5,CA36,CC36,CE36,CG36,CI36,CK36,CM36,CO36,CQ36,CS36,CU36,CW36,CY36,DA36,DC36)</f>
        <v>9</v>
      </c>
      <c r="DF36" s="6">
        <f>CHOOSE(MATCH(Setup!$B$5,{8,10,12,14,16},0)+(MATCH(Setup!$B$7,{"STD","Half-PPR","PPR"},0)-1)*5,CB36,CD36,CF36,CH36,CJ36,CL36,CN36,CP36,CR36,CT36,CV36,CX36,CZ36,DB36,DD36)</f>
        <v>100.6159</v>
      </c>
      <c r="DG36" s="6">
        <f>ROUND(1+DF36*'Live Calc'!$D$11,0)</f>
        <v>12</v>
      </c>
      <c r="DH36" s="6"/>
      <c r="DI36" s="6">
        <f>IF(DH36&lt;&gt;"",DH36,ROUND(DG36*INDEX('Live Calc'!$D$50:$D$70,MATCH(DE36,'Live Calc'!$A$50:$A$70,0))*'Live Calc'!$J$89,0))</f>
        <v>12</v>
      </c>
      <c r="DK36" s="7" t="s">
        <v>216</v>
      </c>
      <c r="DL36" s="7" t="s">
        <v>50</v>
      </c>
      <c r="DM36" s="7">
        <v>8</v>
      </c>
      <c r="DN36" s="7">
        <v>0</v>
      </c>
      <c r="DO36" s="7">
        <v>9</v>
      </c>
      <c r="DP36" s="7">
        <v>0</v>
      </c>
      <c r="DQ36" s="7">
        <v>10</v>
      </c>
      <c r="DR36" s="7">
        <v>0</v>
      </c>
      <c r="DS36" s="7">
        <v>11</v>
      </c>
      <c r="DT36" s="7">
        <v>0</v>
      </c>
      <c r="DU36" s="7">
        <v>12</v>
      </c>
      <c r="DV36" s="7">
        <v>0</v>
      </c>
      <c r="DW36" s="7">
        <v>6</v>
      </c>
      <c r="DX36" s="7">
        <v>0</v>
      </c>
      <c r="DY36" s="7">
        <v>9</v>
      </c>
      <c r="DZ36" s="7">
        <v>0</v>
      </c>
      <c r="EA36" s="7">
        <v>9</v>
      </c>
      <c r="EB36" s="7">
        <v>0</v>
      </c>
      <c r="EC36" s="7">
        <v>11</v>
      </c>
      <c r="ED36" s="7">
        <v>0</v>
      </c>
      <c r="EE36" s="7">
        <v>12</v>
      </c>
      <c r="EF36" s="7">
        <v>0</v>
      </c>
      <c r="EG36" s="7">
        <v>5</v>
      </c>
      <c r="EH36" s="7">
        <v>0</v>
      </c>
      <c r="EI36" s="7">
        <v>6</v>
      </c>
      <c r="EJ36" s="7">
        <v>0</v>
      </c>
      <c r="EK36" s="7">
        <v>7</v>
      </c>
      <c r="EL36" s="7">
        <v>0</v>
      </c>
      <c r="EM36" s="7">
        <v>10</v>
      </c>
      <c r="EN36" s="7">
        <v>0</v>
      </c>
      <c r="EO36" s="7">
        <v>11</v>
      </c>
      <c r="EP36" s="7">
        <v>0</v>
      </c>
      <c r="EQ36" s="7">
        <f>CHOOSE(MATCH(Setup!$B$5,{8,10,12,14,16},0)+(MATCH(Setup!$B$7,{"STD","Half-PPR","PPR"},0)-1)*5,DM36,DO36,DQ36,DS36,DU36,DW36,DY36,EA36,EC36,EE36,EG36,EI36,EK36,EM36,EO36)</f>
        <v>9</v>
      </c>
      <c r="ER36" s="7">
        <f>CHOOSE(MATCH(Setup!$B$5,{8,10,12,14,16},0)+(MATCH(Setup!$B$7,{"STD","Half-PPR","PPR"},0)-1)*5,DN36,DP36,DR36,DT36,DV36,DX36,DZ36,EB36,ED36,EF36,EH36,EJ36,EL36,EN36,EP36)</f>
        <v>0</v>
      </c>
      <c r="ES36" s="7">
        <f>ROUND(1+ER36*'Live Calc'!$D$12,0)</f>
        <v>1</v>
      </c>
      <c r="ET36" s="7"/>
      <c r="EU36" s="7">
        <f>IF(ET36&lt;&gt;"",ET36,ROUND(ES36*INDEX('Live Calc'!$D$74:$D$85,MATCH(EQ36,'Live Calc'!$A$74:$A$85,0))*'Live Calc'!$J$89,0))</f>
        <v>1</v>
      </c>
    </row>
    <row r="37" spans="1:151" x14ac:dyDescent="0.25">
      <c r="A37" s="4" t="s">
        <v>217</v>
      </c>
      <c r="B37" s="4" t="s">
        <v>91</v>
      </c>
      <c r="C37" s="4">
        <v>6</v>
      </c>
      <c r="D37" s="4">
        <v>0</v>
      </c>
      <c r="E37" s="4">
        <v>7</v>
      </c>
      <c r="F37" s="4">
        <v>0</v>
      </c>
      <c r="G37" s="4">
        <v>8</v>
      </c>
      <c r="H37" s="4">
        <v>0</v>
      </c>
      <c r="I37" s="4">
        <v>9</v>
      </c>
      <c r="J37" s="4">
        <v>0</v>
      </c>
      <c r="K37" s="4">
        <v>9</v>
      </c>
      <c r="L37" s="4">
        <v>0</v>
      </c>
      <c r="M37" s="4">
        <v>5</v>
      </c>
      <c r="N37" s="4">
        <v>0</v>
      </c>
      <c r="O37" s="4">
        <v>6</v>
      </c>
      <c r="P37" s="4">
        <v>0</v>
      </c>
      <c r="Q37" s="4">
        <v>8</v>
      </c>
      <c r="R37" s="4">
        <v>0</v>
      </c>
      <c r="S37" s="4">
        <v>8</v>
      </c>
      <c r="T37" s="4">
        <v>0</v>
      </c>
      <c r="U37" s="4">
        <v>8</v>
      </c>
      <c r="V37" s="4">
        <v>0</v>
      </c>
      <c r="W37" s="4">
        <v>6</v>
      </c>
      <c r="X37" s="4">
        <v>0</v>
      </c>
      <c r="Y37" s="4">
        <v>8</v>
      </c>
      <c r="Z37" s="4">
        <v>0</v>
      </c>
      <c r="AA37" s="4">
        <v>9</v>
      </c>
      <c r="AB37" s="4">
        <v>0</v>
      </c>
      <c r="AC37" s="4">
        <v>10</v>
      </c>
      <c r="AD37" s="4">
        <v>0</v>
      </c>
      <c r="AE37" s="4">
        <v>9</v>
      </c>
      <c r="AF37" s="4">
        <v>0</v>
      </c>
      <c r="AG37" s="4">
        <f>CHOOSE(MATCH(Setup!$B$5,{8,10,12,14,16},0)+(MATCH(Setup!$B$7,{"STD","Half-PPR","PPR"},0)-1)*5,C37,E37,G37,I37,K37,M37,O37,Q37,S37,U37,W37,Y37,AA37,AC37,AE37)</f>
        <v>8</v>
      </c>
      <c r="AH37" s="4">
        <f>CHOOSE(MATCH(Setup!$B$5,{8,10,12,14,16},0)+(MATCH(Setup!$B$7,{"STD","Half-PPR","PPR"},0)-1)*5,D37,F37,H37,J37,L37,N37,P37,R37,T37,V37,X37,Z37,AB37,AD37,AF37)</f>
        <v>0</v>
      </c>
      <c r="AI37" s="4">
        <f>ROUND(1+AH37*'Live Calc'!$D$9,0)</f>
        <v>1</v>
      </c>
      <c r="AJ37" s="4"/>
      <c r="AK37" s="4">
        <f>IF(AJ37&lt;&gt;"",AJ37,ROUND(AI37*INDEX('Live Calc'!$D$16:$D$25,MATCH(AG37,'Live Calc'!$A$16:$A$25,0))*'Live Calc'!$J$89,0))</f>
        <v>1</v>
      </c>
      <c r="AM37" s="5" t="s">
        <v>218</v>
      </c>
      <c r="AN37" s="5" t="s">
        <v>70</v>
      </c>
      <c r="AO37" s="5">
        <v>9</v>
      </c>
      <c r="AP37" s="5">
        <v>0</v>
      </c>
      <c r="AQ37" s="5">
        <v>10</v>
      </c>
      <c r="AR37" s="5">
        <v>0</v>
      </c>
      <c r="AS37" s="5">
        <v>11</v>
      </c>
      <c r="AT37" s="5">
        <v>67.409899999999993</v>
      </c>
      <c r="AU37" s="5">
        <v>11</v>
      </c>
      <c r="AV37" s="5">
        <v>48.241100000000003</v>
      </c>
      <c r="AW37" s="5">
        <v>11</v>
      </c>
      <c r="AX37" s="5">
        <v>89.2667</v>
      </c>
      <c r="AY37" s="5">
        <v>9</v>
      </c>
      <c r="AZ37" s="5">
        <v>0</v>
      </c>
      <c r="BA37" s="5">
        <v>11</v>
      </c>
      <c r="BB37" s="5">
        <v>0</v>
      </c>
      <c r="BC37" s="5">
        <v>11</v>
      </c>
      <c r="BD37" s="5">
        <v>71.466300000000004</v>
      </c>
      <c r="BE37" s="5">
        <v>11</v>
      </c>
      <c r="BF37" s="5">
        <v>134.12970000000001</v>
      </c>
      <c r="BG37" s="5">
        <v>11</v>
      </c>
      <c r="BH37" s="5">
        <v>176.0838</v>
      </c>
      <c r="BI37" s="5">
        <v>11</v>
      </c>
      <c r="BJ37" s="5">
        <v>0</v>
      </c>
      <c r="BK37" s="5">
        <v>13</v>
      </c>
      <c r="BL37" s="5">
        <v>0</v>
      </c>
      <c r="BM37" s="5">
        <v>12</v>
      </c>
      <c r="BN37" s="5">
        <v>29.812100000000001</v>
      </c>
      <c r="BO37" s="5">
        <v>12</v>
      </c>
      <c r="BP37" s="5">
        <v>78.227000000000004</v>
      </c>
      <c r="BQ37" s="5">
        <v>12</v>
      </c>
      <c r="BR37" s="5">
        <v>107.1091</v>
      </c>
      <c r="BS37" s="5">
        <f>CHOOSE(MATCH(Setup!$B$5,{8,10,12,14,16},0)+(MATCH(Setup!$B$7,{"STD","Half-PPR","PPR"},0)-1)*5,AO37,AQ37,AS37,AU37,AW37,AY37,BA37,BC37,BE37,BG37,BI37,BK37,BM37,BO37,BQ37)</f>
        <v>11</v>
      </c>
      <c r="BT37" s="5">
        <f>CHOOSE(MATCH(Setup!$B$5,{8,10,12,14,16},0)+(MATCH(Setup!$B$7,{"STD","Half-PPR","PPR"},0)-1)*5,AP37,AR37,AT37,AV37,AX37,AZ37,BB37,BD37,BF37,BH37,BJ37,BL37,BN37,BP37,BR37)</f>
        <v>71.466300000000004</v>
      </c>
      <c r="BU37" s="5">
        <f>ROUND(1+BT37*'Live Calc'!$D$10,0)</f>
        <v>8</v>
      </c>
      <c r="BV37" s="5"/>
      <c r="BW37" s="5">
        <f>IF(BV37&lt;&gt;"",BV37,ROUND(BU37*INDEX('Live Calc'!$D$29:$D$46,MATCH(BS37,'Live Calc'!$A$29:$A$46,0))*'Live Calc'!$J$89,0))</f>
        <v>8</v>
      </c>
      <c r="BY37" s="6" t="s">
        <v>219</v>
      </c>
      <c r="BZ37" s="6" t="s">
        <v>142</v>
      </c>
      <c r="CA37" s="6">
        <v>14</v>
      </c>
      <c r="CB37" s="6">
        <v>0</v>
      </c>
      <c r="CC37" s="6">
        <v>14</v>
      </c>
      <c r="CD37" s="6">
        <v>15.1793</v>
      </c>
      <c r="CE37" s="6">
        <v>14</v>
      </c>
      <c r="CF37" s="6">
        <v>59.771099999999997</v>
      </c>
      <c r="CG37" s="6">
        <v>14</v>
      </c>
      <c r="CH37" s="6">
        <v>48.391300000000001</v>
      </c>
      <c r="CI37" s="6">
        <v>14</v>
      </c>
      <c r="CJ37" s="6">
        <v>66.403800000000004</v>
      </c>
      <c r="CK37" s="6">
        <v>9</v>
      </c>
      <c r="CL37" s="6">
        <v>4.8765000000000001</v>
      </c>
      <c r="CM37" s="6">
        <v>9</v>
      </c>
      <c r="CN37" s="6">
        <v>66.381900000000002</v>
      </c>
      <c r="CO37" s="6">
        <v>9</v>
      </c>
      <c r="CP37" s="6">
        <v>89.897499999999994</v>
      </c>
      <c r="CQ37" s="6">
        <v>8</v>
      </c>
      <c r="CR37" s="6">
        <v>70.642600000000002</v>
      </c>
      <c r="CS37" s="6">
        <v>9</v>
      </c>
      <c r="CT37" s="6">
        <v>121.34010000000001</v>
      </c>
      <c r="CU37" s="6">
        <v>10</v>
      </c>
      <c r="CV37" s="6">
        <v>5.5094000000000003</v>
      </c>
      <c r="CW37" s="6">
        <v>10</v>
      </c>
      <c r="CX37" s="6">
        <v>24.7684</v>
      </c>
      <c r="CY37" s="6">
        <v>10</v>
      </c>
      <c r="CZ37" s="6">
        <v>147.3126</v>
      </c>
      <c r="DA37" s="6">
        <v>10</v>
      </c>
      <c r="DB37" s="6">
        <v>118.4545</v>
      </c>
      <c r="DC37" s="6">
        <v>10</v>
      </c>
      <c r="DD37" s="6">
        <v>114.5783</v>
      </c>
      <c r="DE37" s="6">
        <f>CHOOSE(MATCH(Setup!$B$5,{8,10,12,14,16},0)+(MATCH(Setup!$B$7,{"STD","Half-PPR","PPR"},0)-1)*5,CA37,CC37,CE37,CG37,CI37,CK37,CM37,CO37,CQ37,CS37,CU37,CW37,CY37,DA37,DC37)</f>
        <v>9</v>
      </c>
      <c r="DF37" s="6">
        <f>CHOOSE(MATCH(Setup!$B$5,{8,10,12,14,16},0)+(MATCH(Setup!$B$7,{"STD","Half-PPR","PPR"},0)-1)*5,CB37,CD37,CF37,CH37,CJ37,CL37,CN37,CP37,CR37,CT37,CV37,CX37,CZ37,DB37,DD37)</f>
        <v>89.897499999999994</v>
      </c>
      <c r="DG37" s="6">
        <f>ROUND(1+DF37*'Live Calc'!$D$11,0)</f>
        <v>10</v>
      </c>
      <c r="DH37" s="6"/>
      <c r="DI37" s="6">
        <f>IF(DH37&lt;&gt;"",DH37,ROUND(DG37*INDEX('Live Calc'!$D$50:$D$70,MATCH(DE37,'Live Calc'!$A$50:$A$70,0))*'Live Calc'!$J$89,0))</f>
        <v>10</v>
      </c>
      <c r="DK37" s="7" t="s">
        <v>220</v>
      </c>
      <c r="DL37" s="7" t="s">
        <v>124</v>
      </c>
      <c r="DM37" s="7">
        <v>8</v>
      </c>
      <c r="DN37" s="7">
        <v>0</v>
      </c>
      <c r="DO37" s="7">
        <v>9</v>
      </c>
      <c r="DP37" s="7">
        <v>0</v>
      </c>
      <c r="DQ37" s="7">
        <v>10</v>
      </c>
      <c r="DR37" s="7">
        <v>0</v>
      </c>
      <c r="DS37" s="7">
        <v>11</v>
      </c>
      <c r="DT37" s="7">
        <v>0</v>
      </c>
      <c r="DU37" s="7">
        <v>12</v>
      </c>
      <c r="DV37" s="7">
        <v>0</v>
      </c>
      <c r="DW37" s="7">
        <v>6</v>
      </c>
      <c r="DX37" s="7">
        <v>0</v>
      </c>
      <c r="DY37" s="7">
        <v>9</v>
      </c>
      <c r="DZ37" s="7">
        <v>0</v>
      </c>
      <c r="EA37" s="7">
        <v>9</v>
      </c>
      <c r="EB37" s="7">
        <v>0</v>
      </c>
      <c r="EC37" s="7">
        <v>11</v>
      </c>
      <c r="ED37" s="7">
        <v>0</v>
      </c>
      <c r="EE37" s="7">
        <v>12</v>
      </c>
      <c r="EF37" s="7">
        <v>0</v>
      </c>
      <c r="EG37" s="7">
        <v>5</v>
      </c>
      <c r="EH37" s="7">
        <v>0</v>
      </c>
      <c r="EI37" s="7">
        <v>6</v>
      </c>
      <c r="EJ37" s="7">
        <v>0</v>
      </c>
      <c r="EK37" s="7">
        <v>7</v>
      </c>
      <c r="EL37" s="7">
        <v>0</v>
      </c>
      <c r="EM37" s="7">
        <v>10</v>
      </c>
      <c r="EN37" s="7">
        <v>0</v>
      </c>
      <c r="EO37" s="7">
        <v>11</v>
      </c>
      <c r="EP37" s="7">
        <v>0</v>
      </c>
      <c r="EQ37" s="7">
        <f>CHOOSE(MATCH(Setup!$B$5,{8,10,12,14,16},0)+(MATCH(Setup!$B$7,{"STD","Half-PPR","PPR"},0)-1)*5,DM37,DO37,DQ37,DS37,DU37,DW37,DY37,EA37,EC37,EE37,EG37,EI37,EK37,EM37,EO37)</f>
        <v>9</v>
      </c>
      <c r="ER37" s="7">
        <f>CHOOSE(MATCH(Setup!$B$5,{8,10,12,14,16},0)+(MATCH(Setup!$B$7,{"STD","Half-PPR","PPR"},0)-1)*5,DN37,DP37,DR37,DT37,DV37,DX37,DZ37,EB37,ED37,EF37,EH37,EJ37,EL37,EN37,EP37)</f>
        <v>0</v>
      </c>
      <c r="ES37" s="7">
        <f>ROUND(1+ER37*'Live Calc'!$D$12,0)</f>
        <v>1</v>
      </c>
      <c r="ET37" s="7"/>
      <c r="EU37" s="7">
        <f>IF(ET37&lt;&gt;"",ET37,ROUND(ES37*INDEX('Live Calc'!$D$74:$D$85,MATCH(EQ37,'Live Calc'!$A$74:$A$85,0))*'Live Calc'!$J$89,0))</f>
        <v>1</v>
      </c>
    </row>
    <row r="38" spans="1:151" x14ac:dyDescent="0.25">
      <c r="A38" s="4" t="s">
        <v>221</v>
      </c>
      <c r="B38" s="4" t="s">
        <v>52</v>
      </c>
      <c r="C38" s="4">
        <v>6</v>
      </c>
      <c r="D38" s="4">
        <v>0</v>
      </c>
      <c r="E38" s="4">
        <v>7</v>
      </c>
      <c r="F38" s="4">
        <v>0</v>
      </c>
      <c r="G38" s="4">
        <v>8</v>
      </c>
      <c r="H38" s="4">
        <v>0</v>
      </c>
      <c r="I38" s="4">
        <v>9</v>
      </c>
      <c r="J38" s="4">
        <v>0</v>
      </c>
      <c r="K38" s="4">
        <v>9</v>
      </c>
      <c r="L38" s="4">
        <v>0</v>
      </c>
      <c r="M38" s="4">
        <v>5</v>
      </c>
      <c r="N38" s="4">
        <v>0</v>
      </c>
      <c r="O38" s="4">
        <v>6</v>
      </c>
      <c r="P38" s="4">
        <v>0</v>
      </c>
      <c r="Q38" s="4">
        <v>8</v>
      </c>
      <c r="R38" s="4">
        <v>0</v>
      </c>
      <c r="S38" s="4">
        <v>8</v>
      </c>
      <c r="T38" s="4">
        <v>0</v>
      </c>
      <c r="U38" s="4">
        <v>8</v>
      </c>
      <c r="V38" s="4">
        <v>0</v>
      </c>
      <c r="W38" s="4">
        <v>6</v>
      </c>
      <c r="X38" s="4">
        <v>0</v>
      </c>
      <c r="Y38" s="4">
        <v>8</v>
      </c>
      <c r="Z38" s="4">
        <v>0</v>
      </c>
      <c r="AA38" s="4">
        <v>9</v>
      </c>
      <c r="AB38" s="4">
        <v>0</v>
      </c>
      <c r="AC38" s="4">
        <v>10</v>
      </c>
      <c r="AD38" s="4">
        <v>0</v>
      </c>
      <c r="AE38" s="4">
        <v>9</v>
      </c>
      <c r="AF38" s="4">
        <v>0</v>
      </c>
      <c r="AG38" s="4">
        <f>CHOOSE(MATCH(Setup!$B$5,{8,10,12,14,16},0)+(MATCH(Setup!$B$7,{"STD","Half-PPR","PPR"},0)-1)*5,C38,E38,G38,I38,K38,M38,O38,Q38,S38,U38,W38,Y38,AA38,AC38,AE38)</f>
        <v>8</v>
      </c>
      <c r="AH38" s="4">
        <f>CHOOSE(MATCH(Setup!$B$5,{8,10,12,14,16},0)+(MATCH(Setup!$B$7,{"STD","Half-PPR","PPR"},0)-1)*5,D38,F38,H38,J38,L38,N38,P38,R38,T38,V38,X38,Z38,AB38,AD38,AF38)</f>
        <v>0</v>
      </c>
      <c r="AI38" s="4">
        <f>ROUND(1+AH38*'Live Calc'!$D$9,0)</f>
        <v>1</v>
      </c>
      <c r="AJ38" s="4"/>
      <c r="AK38" s="4">
        <f>IF(AJ38&lt;&gt;"",AJ38,ROUND(AI38*INDEX('Live Calc'!$D$16:$D$25,MATCH(AG38,'Live Calc'!$A$16:$A$25,0))*'Live Calc'!$J$89,0))</f>
        <v>1</v>
      </c>
      <c r="AM38" s="5" t="s">
        <v>222</v>
      </c>
      <c r="AN38" s="5" t="s">
        <v>50</v>
      </c>
      <c r="AO38" s="5">
        <v>9</v>
      </c>
      <c r="AP38" s="5">
        <v>0</v>
      </c>
      <c r="AQ38" s="5">
        <v>9</v>
      </c>
      <c r="AR38" s="5">
        <v>7.4481999999999999</v>
      </c>
      <c r="AS38" s="5">
        <v>9</v>
      </c>
      <c r="AT38" s="5">
        <v>107.2718</v>
      </c>
      <c r="AU38" s="5">
        <v>9</v>
      </c>
      <c r="AV38" s="5">
        <v>65.640699999999995</v>
      </c>
      <c r="AW38" s="5">
        <v>9</v>
      </c>
      <c r="AX38" s="5">
        <v>112.2593</v>
      </c>
      <c r="AY38" s="5">
        <v>9</v>
      </c>
      <c r="AZ38" s="5">
        <v>0</v>
      </c>
      <c r="BA38" s="5">
        <v>11</v>
      </c>
      <c r="BB38" s="5">
        <v>0</v>
      </c>
      <c r="BC38" s="5">
        <v>11</v>
      </c>
      <c r="BD38" s="5">
        <v>70.865399999999994</v>
      </c>
      <c r="BE38" s="5">
        <v>11</v>
      </c>
      <c r="BF38" s="5">
        <v>133.46209999999999</v>
      </c>
      <c r="BG38" s="5">
        <v>11</v>
      </c>
      <c r="BH38" s="5">
        <v>175.38509999999999</v>
      </c>
      <c r="BI38" s="5">
        <v>11</v>
      </c>
      <c r="BJ38" s="5">
        <v>0</v>
      </c>
      <c r="BK38" s="5">
        <v>13</v>
      </c>
      <c r="BL38" s="5">
        <v>0</v>
      </c>
      <c r="BM38" s="5">
        <v>13</v>
      </c>
      <c r="BN38" s="5">
        <v>10.1272</v>
      </c>
      <c r="BO38" s="5">
        <v>13</v>
      </c>
      <c r="BP38" s="5">
        <v>52.047199999999997</v>
      </c>
      <c r="BQ38" s="5">
        <v>13</v>
      </c>
      <c r="BR38" s="5">
        <v>80.043800000000005</v>
      </c>
      <c r="BS38" s="5">
        <f>CHOOSE(MATCH(Setup!$B$5,{8,10,12,14,16},0)+(MATCH(Setup!$B$7,{"STD","Half-PPR","PPR"},0)-1)*5,AO38,AQ38,AS38,AU38,AW38,AY38,BA38,BC38,BE38,BG38,BI38,BK38,BM38,BO38,BQ38)</f>
        <v>11</v>
      </c>
      <c r="BT38" s="5">
        <f>CHOOSE(MATCH(Setup!$B$5,{8,10,12,14,16},0)+(MATCH(Setup!$B$7,{"STD","Half-PPR","PPR"},0)-1)*5,AP38,AR38,AT38,AV38,AX38,AZ38,BB38,BD38,BF38,BH38,BJ38,BL38,BN38,BP38,BR38)</f>
        <v>70.865399999999994</v>
      </c>
      <c r="BU38" s="5">
        <f>ROUND(1+BT38*'Live Calc'!$D$10,0)</f>
        <v>8</v>
      </c>
      <c r="BV38" s="5"/>
      <c r="BW38" s="5">
        <f>IF(BV38&lt;&gt;"",BV38,ROUND(BU38*INDEX('Live Calc'!$D$29:$D$46,MATCH(BS38,'Live Calc'!$A$29:$A$46,0))*'Live Calc'!$J$89,0))</f>
        <v>8</v>
      </c>
      <c r="BY38" s="6" t="s">
        <v>223</v>
      </c>
      <c r="BZ38" s="6" t="s">
        <v>117</v>
      </c>
      <c r="CA38" s="6">
        <v>14</v>
      </c>
      <c r="CB38" s="6">
        <v>0</v>
      </c>
      <c r="CC38" s="6">
        <v>13</v>
      </c>
      <c r="CD38" s="6">
        <v>20.969899999999999</v>
      </c>
      <c r="CE38" s="6">
        <v>13</v>
      </c>
      <c r="CF38" s="6">
        <v>69.500500000000002</v>
      </c>
      <c r="CG38" s="6">
        <v>13</v>
      </c>
      <c r="CH38" s="6">
        <v>54.763399999999997</v>
      </c>
      <c r="CI38" s="6">
        <v>13</v>
      </c>
      <c r="CJ38" s="6">
        <v>72.952699999999993</v>
      </c>
      <c r="CK38" s="6">
        <v>9</v>
      </c>
      <c r="CL38" s="6">
        <v>6.7089999999999996</v>
      </c>
      <c r="CM38" s="6">
        <v>9</v>
      </c>
      <c r="CN38" s="6">
        <v>70.069999999999993</v>
      </c>
      <c r="CO38" s="6">
        <v>9</v>
      </c>
      <c r="CP38" s="6">
        <v>93.127600000000001</v>
      </c>
      <c r="CQ38" s="6">
        <v>8</v>
      </c>
      <c r="CR38" s="6">
        <v>72.699299999999994</v>
      </c>
      <c r="CS38" s="6">
        <v>9</v>
      </c>
      <c r="CT38" s="6">
        <v>124.07080000000001</v>
      </c>
      <c r="CU38" s="6">
        <v>11</v>
      </c>
      <c r="CV38" s="6">
        <v>1.3353999999999999</v>
      </c>
      <c r="CW38" s="6">
        <v>11</v>
      </c>
      <c r="CX38" s="6">
        <v>20.961300000000001</v>
      </c>
      <c r="CY38" s="6">
        <v>11</v>
      </c>
      <c r="CZ38" s="6">
        <v>136.79079999999999</v>
      </c>
      <c r="DA38" s="6">
        <v>11</v>
      </c>
      <c r="DB38" s="6">
        <v>111.7826</v>
      </c>
      <c r="DC38" s="6">
        <v>11</v>
      </c>
      <c r="DD38" s="6">
        <v>109.3015</v>
      </c>
      <c r="DE38" s="6">
        <f>CHOOSE(MATCH(Setup!$B$5,{8,10,12,14,16},0)+(MATCH(Setup!$B$7,{"STD","Half-PPR","PPR"},0)-1)*5,CA38,CC38,CE38,CG38,CI38,CK38,CM38,CO38,CQ38,CS38,CU38,CW38,CY38,DA38,DC38)</f>
        <v>9</v>
      </c>
      <c r="DF38" s="6">
        <f>CHOOSE(MATCH(Setup!$B$5,{8,10,12,14,16},0)+(MATCH(Setup!$B$7,{"STD","Half-PPR","PPR"},0)-1)*5,CB38,CD38,CF38,CH38,CJ38,CL38,CN38,CP38,CR38,CT38,CV38,CX38,CZ38,DB38,DD38)</f>
        <v>93.127600000000001</v>
      </c>
      <c r="DG38" s="6">
        <f>ROUND(1+DF38*'Live Calc'!$D$11,0)</f>
        <v>11</v>
      </c>
      <c r="DH38" s="6"/>
      <c r="DI38" s="6">
        <f>IF(DH38&lt;&gt;"",DH38,ROUND(DG38*INDEX('Live Calc'!$D$50:$D$70,MATCH(DE38,'Live Calc'!$A$50:$A$70,0))*'Live Calc'!$J$89,0))</f>
        <v>11</v>
      </c>
      <c r="DK38" s="7" t="s">
        <v>224</v>
      </c>
      <c r="DL38" s="7" t="s">
        <v>175</v>
      </c>
      <c r="DM38" s="7">
        <v>8</v>
      </c>
      <c r="DN38" s="7">
        <v>0</v>
      </c>
      <c r="DO38" s="7">
        <v>9</v>
      </c>
      <c r="DP38" s="7">
        <v>0</v>
      </c>
      <c r="DQ38" s="7">
        <v>10</v>
      </c>
      <c r="DR38" s="7">
        <v>0</v>
      </c>
      <c r="DS38" s="7">
        <v>11</v>
      </c>
      <c r="DT38" s="7">
        <v>0</v>
      </c>
      <c r="DU38" s="7">
        <v>12</v>
      </c>
      <c r="DV38" s="7">
        <v>0</v>
      </c>
      <c r="DW38" s="7">
        <v>6</v>
      </c>
      <c r="DX38" s="7">
        <v>0</v>
      </c>
      <c r="DY38" s="7">
        <v>9</v>
      </c>
      <c r="DZ38" s="7">
        <v>0</v>
      </c>
      <c r="EA38" s="7">
        <v>9</v>
      </c>
      <c r="EB38" s="7">
        <v>0</v>
      </c>
      <c r="EC38" s="7">
        <v>11</v>
      </c>
      <c r="ED38" s="7">
        <v>0</v>
      </c>
      <c r="EE38" s="7">
        <v>12</v>
      </c>
      <c r="EF38" s="7">
        <v>0</v>
      </c>
      <c r="EG38" s="7">
        <v>5</v>
      </c>
      <c r="EH38" s="7">
        <v>0</v>
      </c>
      <c r="EI38" s="7">
        <v>6</v>
      </c>
      <c r="EJ38" s="7">
        <v>0</v>
      </c>
      <c r="EK38" s="7">
        <v>7</v>
      </c>
      <c r="EL38" s="7">
        <v>0</v>
      </c>
      <c r="EM38" s="7">
        <v>10</v>
      </c>
      <c r="EN38" s="7">
        <v>0</v>
      </c>
      <c r="EO38" s="7">
        <v>11</v>
      </c>
      <c r="EP38" s="7">
        <v>0</v>
      </c>
      <c r="EQ38" s="7">
        <f>CHOOSE(MATCH(Setup!$B$5,{8,10,12,14,16},0)+(MATCH(Setup!$B$7,{"STD","Half-PPR","PPR"},0)-1)*5,DM38,DO38,DQ38,DS38,DU38,DW38,DY38,EA38,EC38,EE38,EG38,EI38,EK38,EM38,EO38)</f>
        <v>9</v>
      </c>
      <c r="ER38" s="7">
        <f>CHOOSE(MATCH(Setup!$B$5,{8,10,12,14,16},0)+(MATCH(Setup!$B$7,{"STD","Half-PPR","PPR"},0)-1)*5,DN38,DP38,DR38,DT38,DV38,DX38,DZ38,EB38,ED38,EF38,EH38,EJ38,EL38,EN38,EP38)</f>
        <v>0</v>
      </c>
      <c r="ES38" s="7">
        <f>ROUND(1+ER38*'Live Calc'!$D$12,0)</f>
        <v>1</v>
      </c>
      <c r="ET38" s="7"/>
      <c r="EU38" s="7">
        <f>IF(ET38&lt;&gt;"",ET38,ROUND(ES38*INDEX('Live Calc'!$D$74:$D$85,MATCH(EQ38,'Live Calc'!$A$74:$A$85,0))*'Live Calc'!$J$89,0))</f>
        <v>1</v>
      </c>
    </row>
    <row r="39" spans="1:151" x14ac:dyDescent="0.25">
      <c r="A39" s="4" t="s">
        <v>225</v>
      </c>
      <c r="B39" s="4" t="s">
        <v>81</v>
      </c>
      <c r="C39" s="4">
        <v>6</v>
      </c>
      <c r="D39" s="4">
        <v>0</v>
      </c>
      <c r="E39" s="4">
        <v>7</v>
      </c>
      <c r="F39" s="4">
        <v>0</v>
      </c>
      <c r="G39" s="4">
        <v>8</v>
      </c>
      <c r="H39" s="4">
        <v>0</v>
      </c>
      <c r="I39" s="4">
        <v>9</v>
      </c>
      <c r="J39" s="4">
        <v>0</v>
      </c>
      <c r="K39" s="4">
        <v>9</v>
      </c>
      <c r="L39" s="4">
        <v>0</v>
      </c>
      <c r="M39" s="4">
        <v>5</v>
      </c>
      <c r="N39" s="4">
        <v>0</v>
      </c>
      <c r="O39" s="4">
        <v>6</v>
      </c>
      <c r="P39" s="4">
        <v>0</v>
      </c>
      <c r="Q39" s="4">
        <v>8</v>
      </c>
      <c r="R39" s="4">
        <v>0</v>
      </c>
      <c r="S39" s="4">
        <v>8</v>
      </c>
      <c r="T39" s="4">
        <v>0</v>
      </c>
      <c r="U39" s="4">
        <v>8</v>
      </c>
      <c r="V39" s="4">
        <v>0</v>
      </c>
      <c r="W39" s="4">
        <v>6</v>
      </c>
      <c r="X39" s="4">
        <v>0</v>
      </c>
      <c r="Y39" s="4">
        <v>8</v>
      </c>
      <c r="Z39" s="4">
        <v>0</v>
      </c>
      <c r="AA39" s="4">
        <v>9</v>
      </c>
      <c r="AB39" s="4">
        <v>0</v>
      </c>
      <c r="AC39" s="4">
        <v>10</v>
      </c>
      <c r="AD39" s="4">
        <v>0</v>
      </c>
      <c r="AE39" s="4">
        <v>9</v>
      </c>
      <c r="AF39" s="4">
        <v>0</v>
      </c>
      <c r="AG39" s="4">
        <f>CHOOSE(MATCH(Setup!$B$5,{8,10,12,14,16},0)+(MATCH(Setup!$B$7,{"STD","Half-PPR","PPR"},0)-1)*5,C39,E39,G39,I39,K39,M39,O39,Q39,S39,U39,W39,Y39,AA39,AC39,AE39)</f>
        <v>8</v>
      </c>
      <c r="AH39" s="4">
        <f>CHOOSE(MATCH(Setup!$B$5,{8,10,12,14,16},0)+(MATCH(Setup!$B$7,{"STD","Half-PPR","PPR"},0)-1)*5,D39,F39,H39,J39,L39,N39,P39,R39,T39,V39,X39,Z39,AB39,AD39,AF39)</f>
        <v>0</v>
      </c>
      <c r="AI39" s="4">
        <f>ROUND(1+AH39*'Live Calc'!$D$9,0)</f>
        <v>1</v>
      </c>
      <c r="AJ39" s="4"/>
      <c r="AK39" s="4">
        <f>IF(AJ39&lt;&gt;"",AJ39,ROUND(AI39*INDEX('Live Calc'!$D$16:$D$25,MATCH(AG39,'Live Calc'!$A$16:$A$25,0))*'Live Calc'!$J$89,0))</f>
        <v>1</v>
      </c>
      <c r="AM39" s="5" t="s">
        <v>226</v>
      </c>
      <c r="AN39" s="5" t="s">
        <v>142</v>
      </c>
      <c r="AO39" s="5">
        <v>9</v>
      </c>
      <c r="AP39" s="5">
        <v>0</v>
      </c>
      <c r="AQ39" s="5">
        <v>10</v>
      </c>
      <c r="AR39" s="5">
        <v>0</v>
      </c>
      <c r="AS39" s="5">
        <v>12</v>
      </c>
      <c r="AT39" s="5">
        <v>42.179499999999997</v>
      </c>
      <c r="AU39" s="5">
        <v>12</v>
      </c>
      <c r="AV39" s="5">
        <v>36.3035</v>
      </c>
      <c r="AW39" s="5">
        <v>12</v>
      </c>
      <c r="AX39" s="5">
        <v>73.503600000000006</v>
      </c>
      <c r="AY39" s="5">
        <v>9</v>
      </c>
      <c r="AZ39" s="5">
        <v>0</v>
      </c>
      <c r="BA39" s="5">
        <v>11</v>
      </c>
      <c r="BB39" s="5">
        <v>0</v>
      </c>
      <c r="BC39" s="5">
        <v>11</v>
      </c>
      <c r="BD39" s="5">
        <v>69.632000000000005</v>
      </c>
      <c r="BE39" s="5">
        <v>11</v>
      </c>
      <c r="BF39" s="5">
        <v>132.09059999999999</v>
      </c>
      <c r="BG39" s="5">
        <v>11</v>
      </c>
      <c r="BH39" s="5">
        <v>173.9495</v>
      </c>
      <c r="BI39" s="5">
        <v>11</v>
      </c>
      <c r="BJ39" s="5">
        <v>0</v>
      </c>
      <c r="BK39" s="5">
        <v>12</v>
      </c>
      <c r="BL39" s="5">
        <v>6.5003000000000002</v>
      </c>
      <c r="BM39" s="5">
        <v>12</v>
      </c>
      <c r="BN39" s="5">
        <v>37.191000000000003</v>
      </c>
      <c r="BO39" s="5">
        <v>12</v>
      </c>
      <c r="BP39" s="5">
        <v>88.001800000000003</v>
      </c>
      <c r="BQ39" s="5">
        <v>12</v>
      </c>
      <c r="BR39" s="5">
        <v>117.15389999999999</v>
      </c>
      <c r="BS39" s="5">
        <f>CHOOSE(MATCH(Setup!$B$5,{8,10,12,14,16},0)+(MATCH(Setup!$B$7,{"STD","Half-PPR","PPR"},0)-1)*5,AO39,AQ39,AS39,AU39,AW39,AY39,BA39,BC39,BE39,BG39,BI39,BK39,BM39,BO39,BQ39)</f>
        <v>11</v>
      </c>
      <c r="BT39" s="5">
        <f>CHOOSE(MATCH(Setup!$B$5,{8,10,12,14,16},0)+(MATCH(Setup!$B$7,{"STD","Half-PPR","PPR"},0)-1)*5,AP39,AR39,AT39,AV39,AX39,AZ39,BB39,BD39,BF39,BH39,BJ39,BL39,BN39,BP39,BR39)</f>
        <v>69.632000000000005</v>
      </c>
      <c r="BU39" s="5">
        <f>ROUND(1+BT39*'Live Calc'!$D$10,0)</f>
        <v>7</v>
      </c>
      <c r="BV39" s="5"/>
      <c r="BW39" s="5">
        <f>IF(BV39&lt;&gt;"",BV39,ROUND(BU39*INDEX('Live Calc'!$D$29:$D$46,MATCH(BS39,'Live Calc'!$A$29:$A$46,0))*'Live Calc'!$J$89,0))</f>
        <v>7</v>
      </c>
      <c r="BY39" s="6" t="s">
        <v>227</v>
      </c>
      <c r="BZ39" s="6" t="s">
        <v>104</v>
      </c>
      <c r="CA39" s="6">
        <v>14</v>
      </c>
      <c r="CB39" s="6">
        <v>0</v>
      </c>
      <c r="CC39" s="6">
        <v>13</v>
      </c>
      <c r="CD39" s="6">
        <v>22.439599999999999</v>
      </c>
      <c r="CE39" s="6">
        <v>13</v>
      </c>
      <c r="CF39" s="6">
        <v>71.965299999999999</v>
      </c>
      <c r="CG39" s="6">
        <v>13</v>
      </c>
      <c r="CH39" s="6">
        <v>56.364199999999997</v>
      </c>
      <c r="CI39" s="6">
        <v>13</v>
      </c>
      <c r="CJ39" s="6">
        <v>74.595299999999995</v>
      </c>
      <c r="CK39" s="6">
        <v>9</v>
      </c>
      <c r="CL39" s="6">
        <v>6.4385000000000003</v>
      </c>
      <c r="CM39" s="6">
        <v>9</v>
      </c>
      <c r="CN39" s="6">
        <v>69.532399999999996</v>
      </c>
      <c r="CO39" s="6">
        <v>9</v>
      </c>
      <c r="CP39" s="6">
        <v>92.657700000000006</v>
      </c>
      <c r="CQ39" s="6">
        <v>8</v>
      </c>
      <c r="CR39" s="6">
        <v>72.400599999999997</v>
      </c>
      <c r="CS39" s="6">
        <v>9</v>
      </c>
      <c r="CT39" s="6">
        <v>123.6741</v>
      </c>
      <c r="CU39" s="6">
        <v>11</v>
      </c>
      <c r="CV39" s="6">
        <v>0.34860000000000002</v>
      </c>
      <c r="CW39" s="6">
        <v>11</v>
      </c>
      <c r="CX39" s="6">
        <v>19.8873</v>
      </c>
      <c r="CY39" s="6">
        <v>11</v>
      </c>
      <c r="CZ39" s="6">
        <v>133.8355</v>
      </c>
      <c r="DA39" s="6">
        <v>11</v>
      </c>
      <c r="DB39" s="6">
        <v>109.8997</v>
      </c>
      <c r="DC39" s="6">
        <v>11</v>
      </c>
      <c r="DD39" s="6">
        <v>107.8091</v>
      </c>
      <c r="DE39" s="6">
        <f>CHOOSE(MATCH(Setup!$B$5,{8,10,12,14,16},0)+(MATCH(Setup!$B$7,{"STD","Half-PPR","PPR"},0)-1)*5,CA39,CC39,CE39,CG39,CI39,CK39,CM39,CO39,CQ39,CS39,CU39,CW39,CY39,DA39,DC39)</f>
        <v>9</v>
      </c>
      <c r="DF39" s="6">
        <f>CHOOSE(MATCH(Setup!$B$5,{8,10,12,14,16},0)+(MATCH(Setup!$B$7,{"STD","Half-PPR","PPR"},0)-1)*5,CB39,CD39,CF39,CH39,CJ39,CL39,CN39,CP39,CR39,CT39,CV39,CX39,CZ39,DB39,DD39)</f>
        <v>92.657700000000006</v>
      </c>
      <c r="DG39" s="6">
        <f>ROUND(1+DF39*'Live Calc'!$D$11,0)</f>
        <v>11</v>
      </c>
      <c r="DH39" s="6"/>
      <c r="DI39" s="6">
        <f>IF(DH39&lt;&gt;"",DH39,ROUND(DG39*INDEX('Live Calc'!$D$50:$D$70,MATCH(DE39,'Live Calc'!$A$50:$A$70,0))*'Live Calc'!$J$89,0))</f>
        <v>11</v>
      </c>
      <c r="DK39" s="7" t="s">
        <v>228</v>
      </c>
      <c r="DL39" s="7" t="s">
        <v>127</v>
      </c>
      <c r="DM39" s="7">
        <v>8</v>
      </c>
      <c r="DN39" s="7">
        <v>0</v>
      </c>
      <c r="DO39" s="7">
        <v>9</v>
      </c>
      <c r="DP39" s="7">
        <v>0</v>
      </c>
      <c r="DQ39" s="7">
        <v>10</v>
      </c>
      <c r="DR39" s="7">
        <v>0</v>
      </c>
      <c r="DS39" s="7">
        <v>11</v>
      </c>
      <c r="DT39" s="7">
        <v>0</v>
      </c>
      <c r="DU39" s="7">
        <v>12</v>
      </c>
      <c r="DV39" s="7">
        <v>0</v>
      </c>
      <c r="DW39" s="7">
        <v>6</v>
      </c>
      <c r="DX39" s="7">
        <v>0</v>
      </c>
      <c r="DY39" s="7">
        <v>9</v>
      </c>
      <c r="DZ39" s="7">
        <v>0</v>
      </c>
      <c r="EA39" s="7">
        <v>9</v>
      </c>
      <c r="EB39" s="7">
        <v>0</v>
      </c>
      <c r="EC39" s="7">
        <v>11</v>
      </c>
      <c r="ED39" s="7">
        <v>0</v>
      </c>
      <c r="EE39" s="7">
        <v>12</v>
      </c>
      <c r="EF39" s="7">
        <v>0</v>
      </c>
      <c r="EG39" s="7">
        <v>5</v>
      </c>
      <c r="EH39" s="7">
        <v>0</v>
      </c>
      <c r="EI39" s="7">
        <v>6</v>
      </c>
      <c r="EJ39" s="7">
        <v>0</v>
      </c>
      <c r="EK39" s="7">
        <v>7</v>
      </c>
      <c r="EL39" s="7">
        <v>0</v>
      </c>
      <c r="EM39" s="7">
        <v>10</v>
      </c>
      <c r="EN39" s="7">
        <v>0</v>
      </c>
      <c r="EO39" s="7">
        <v>11</v>
      </c>
      <c r="EP39" s="7">
        <v>0</v>
      </c>
      <c r="EQ39" s="7">
        <f>CHOOSE(MATCH(Setup!$B$5,{8,10,12,14,16},0)+(MATCH(Setup!$B$7,{"STD","Half-PPR","PPR"},0)-1)*5,DM39,DO39,DQ39,DS39,DU39,DW39,DY39,EA39,EC39,EE39,EG39,EI39,EK39,EM39,EO39)</f>
        <v>9</v>
      </c>
      <c r="ER39" s="7">
        <f>CHOOSE(MATCH(Setup!$B$5,{8,10,12,14,16},0)+(MATCH(Setup!$B$7,{"STD","Half-PPR","PPR"},0)-1)*5,DN39,DP39,DR39,DT39,DV39,DX39,DZ39,EB39,ED39,EF39,EH39,EJ39,EL39,EN39,EP39)</f>
        <v>0</v>
      </c>
      <c r="ES39" s="7">
        <f>ROUND(1+ER39*'Live Calc'!$D$12,0)</f>
        <v>1</v>
      </c>
      <c r="ET39" s="7"/>
      <c r="EU39" s="7">
        <f>IF(ET39&lt;&gt;"",ET39,ROUND(ES39*INDEX('Live Calc'!$D$74:$D$85,MATCH(EQ39,'Live Calc'!$A$74:$A$85,0))*'Live Calc'!$J$89,0))</f>
        <v>1</v>
      </c>
    </row>
    <row r="40" spans="1:151" x14ac:dyDescent="0.25">
      <c r="A40" s="4" t="s">
        <v>229</v>
      </c>
      <c r="B40" s="4" t="s">
        <v>72</v>
      </c>
      <c r="C40" s="4">
        <v>6</v>
      </c>
      <c r="D40" s="4">
        <v>0</v>
      </c>
      <c r="E40" s="4">
        <v>7</v>
      </c>
      <c r="F40" s="4">
        <v>0</v>
      </c>
      <c r="G40" s="4">
        <v>8</v>
      </c>
      <c r="H40" s="4">
        <v>0</v>
      </c>
      <c r="I40" s="4">
        <v>9</v>
      </c>
      <c r="J40" s="4">
        <v>0</v>
      </c>
      <c r="K40" s="4">
        <v>9</v>
      </c>
      <c r="L40" s="4">
        <v>0</v>
      </c>
      <c r="M40" s="4">
        <v>5</v>
      </c>
      <c r="N40" s="4">
        <v>0</v>
      </c>
      <c r="O40" s="4">
        <v>6</v>
      </c>
      <c r="P40" s="4">
        <v>0</v>
      </c>
      <c r="Q40" s="4">
        <v>8</v>
      </c>
      <c r="R40" s="4">
        <v>0</v>
      </c>
      <c r="S40" s="4">
        <v>8</v>
      </c>
      <c r="T40" s="4">
        <v>0</v>
      </c>
      <c r="U40" s="4">
        <v>8</v>
      </c>
      <c r="V40" s="4">
        <v>0</v>
      </c>
      <c r="W40" s="4">
        <v>6</v>
      </c>
      <c r="X40" s="4">
        <v>0</v>
      </c>
      <c r="Y40" s="4">
        <v>8</v>
      </c>
      <c r="Z40" s="4">
        <v>0</v>
      </c>
      <c r="AA40" s="4">
        <v>9</v>
      </c>
      <c r="AB40" s="4">
        <v>0</v>
      </c>
      <c r="AC40" s="4">
        <v>10</v>
      </c>
      <c r="AD40" s="4">
        <v>0</v>
      </c>
      <c r="AE40" s="4">
        <v>9</v>
      </c>
      <c r="AF40" s="4">
        <v>0</v>
      </c>
      <c r="AG40" s="4">
        <f>CHOOSE(MATCH(Setup!$B$5,{8,10,12,14,16},0)+(MATCH(Setup!$B$7,{"STD","Half-PPR","PPR"},0)-1)*5,C40,E40,G40,I40,K40,M40,O40,Q40,S40,U40,W40,Y40,AA40,AC40,AE40)</f>
        <v>8</v>
      </c>
      <c r="AH40" s="4">
        <f>CHOOSE(MATCH(Setup!$B$5,{8,10,12,14,16},0)+(MATCH(Setup!$B$7,{"STD","Half-PPR","PPR"},0)-1)*5,D40,F40,H40,J40,L40,N40,P40,R40,T40,V40,X40,Z40,AB40,AD40,AF40)</f>
        <v>0</v>
      </c>
      <c r="AI40" s="4">
        <f>ROUND(1+AH40*'Live Calc'!$D$9,0)</f>
        <v>1</v>
      </c>
      <c r="AJ40" s="4"/>
      <c r="AK40" s="4">
        <f>IF(AJ40&lt;&gt;"",AJ40,ROUND(AI40*INDEX('Live Calc'!$D$16:$D$25,MATCH(AG40,'Live Calc'!$A$16:$A$25,0))*'Live Calc'!$J$89,0))</f>
        <v>1</v>
      </c>
      <c r="AM40" s="5" t="s">
        <v>230</v>
      </c>
      <c r="AN40" s="5" t="s">
        <v>70</v>
      </c>
      <c r="AO40" s="5">
        <v>9</v>
      </c>
      <c r="AP40" s="5">
        <v>0</v>
      </c>
      <c r="AQ40" s="5">
        <v>10</v>
      </c>
      <c r="AR40" s="5">
        <v>0</v>
      </c>
      <c r="AS40" s="5">
        <v>10</v>
      </c>
      <c r="AT40" s="5">
        <v>85.889799999999994</v>
      </c>
      <c r="AU40" s="5">
        <v>10</v>
      </c>
      <c r="AV40" s="5">
        <v>56.478499999999997</v>
      </c>
      <c r="AW40" s="5">
        <v>10</v>
      </c>
      <c r="AX40" s="5">
        <v>100.1464</v>
      </c>
      <c r="AY40" s="5">
        <v>9</v>
      </c>
      <c r="AZ40" s="5">
        <v>0</v>
      </c>
      <c r="BA40" s="5">
        <v>11</v>
      </c>
      <c r="BB40" s="5">
        <v>0</v>
      </c>
      <c r="BC40" s="5">
        <v>11</v>
      </c>
      <c r="BD40" s="5">
        <v>54.510199999999998</v>
      </c>
      <c r="BE40" s="5">
        <v>11</v>
      </c>
      <c r="BF40" s="5">
        <v>115.1237</v>
      </c>
      <c r="BG40" s="5">
        <v>11</v>
      </c>
      <c r="BH40" s="5">
        <v>156.1439</v>
      </c>
      <c r="BI40" s="5">
        <v>11</v>
      </c>
      <c r="BJ40" s="5">
        <v>0</v>
      </c>
      <c r="BK40" s="5">
        <v>13</v>
      </c>
      <c r="BL40" s="5">
        <v>0</v>
      </c>
      <c r="BM40" s="5">
        <v>14</v>
      </c>
      <c r="BN40" s="5">
        <v>2.5731999999999999</v>
      </c>
      <c r="BO40" s="5">
        <v>14</v>
      </c>
      <c r="BP40" s="5">
        <v>41.7333</v>
      </c>
      <c r="BQ40" s="5">
        <v>14</v>
      </c>
      <c r="BR40" s="5">
        <v>69.283100000000005</v>
      </c>
      <c r="BS40" s="5">
        <f>CHOOSE(MATCH(Setup!$B$5,{8,10,12,14,16},0)+(MATCH(Setup!$B$7,{"STD","Half-PPR","PPR"},0)-1)*5,AO40,AQ40,AS40,AU40,AW40,AY40,BA40,BC40,BE40,BG40,BI40,BK40,BM40,BO40,BQ40)</f>
        <v>11</v>
      </c>
      <c r="BT40" s="5">
        <f>CHOOSE(MATCH(Setup!$B$5,{8,10,12,14,16},0)+(MATCH(Setup!$B$7,{"STD","Half-PPR","PPR"},0)-1)*5,AP40,AR40,AT40,AV40,AX40,AZ40,BB40,BD40,BF40,BH40,BJ40,BL40,BN40,BP40,BR40)</f>
        <v>54.510199999999998</v>
      </c>
      <c r="BU40" s="5">
        <f>ROUND(1+BT40*'Live Calc'!$D$10,0)</f>
        <v>6</v>
      </c>
      <c r="BV40" s="5"/>
      <c r="BW40" s="5">
        <f>IF(BV40&lt;&gt;"",BV40,ROUND(BU40*INDEX('Live Calc'!$D$29:$D$46,MATCH(BS40,'Live Calc'!$A$29:$A$46,0))*'Live Calc'!$J$89,0))</f>
        <v>6</v>
      </c>
      <c r="BY40" s="6" t="s">
        <v>231</v>
      </c>
      <c r="BZ40" s="6" t="s">
        <v>175</v>
      </c>
      <c r="CA40" s="6">
        <v>14</v>
      </c>
      <c r="CB40" s="6">
        <v>0</v>
      </c>
      <c r="CC40" s="6">
        <v>15</v>
      </c>
      <c r="CD40" s="6">
        <v>7.4489000000000001</v>
      </c>
      <c r="CE40" s="6">
        <v>15</v>
      </c>
      <c r="CF40" s="6">
        <v>46.633499999999998</v>
      </c>
      <c r="CG40" s="6">
        <v>15</v>
      </c>
      <c r="CH40" s="6">
        <v>39.628799999999998</v>
      </c>
      <c r="CI40" s="6">
        <v>15</v>
      </c>
      <c r="CJ40" s="6">
        <v>57.364800000000002</v>
      </c>
      <c r="CK40" s="6">
        <v>10</v>
      </c>
      <c r="CL40" s="6">
        <v>0</v>
      </c>
      <c r="CM40" s="6">
        <v>10</v>
      </c>
      <c r="CN40" s="6">
        <v>54.852699999999999</v>
      </c>
      <c r="CO40" s="6">
        <v>10</v>
      </c>
      <c r="CP40" s="6">
        <v>79.686999999999998</v>
      </c>
      <c r="CQ40" s="6">
        <v>9</v>
      </c>
      <c r="CR40" s="6">
        <v>64.094399999999993</v>
      </c>
      <c r="CS40" s="6">
        <v>10</v>
      </c>
      <c r="CT40" s="6">
        <v>112.6511</v>
      </c>
      <c r="CU40" s="6">
        <v>11</v>
      </c>
      <c r="CV40" s="6">
        <v>0.27939999999999998</v>
      </c>
      <c r="CW40" s="6">
        <v>11</v>
      </c>
      <c r="CX40" s="6">
        <v>19.802600000000002</v>
      </c>
      <c r="CY40" s="6">
        <v>11</v>
      </c>
      <c r="CZ40" s="6">
        <v>133.6026</v>
      </c>
      <c r="DA40" s="6">
        <v>11</v>
      </c>
      <c r="DB40" s="6">
        <v>109.75109999999999</v>
      </c>
      <c r="DC40" s="6">
        <v>11</v>
      </c>
      <c r="DD40" s="6">
        <v>107.6913</v>
      </c>
      <c r="DE40" s="6">
        <f>CHOOSE(MATCH(Setup!$B$5,{8,10,12,14,16},0)+(MATCH(Setup!$B$7,{"STD","Half-PPR","PPR"},0)-1)*5,CA40,CC40,CE40,CG40,CI40,CK40,CM40,CO40,CQ40,CS40,CU40,CW40,CY40,DA40,DC40)</f>
        <v>10</v>
      </c>
      <c r="DF40" s="6">
        <f>CHOOSE(MATCH(Setup!$B$5,{8,10,12,14,16},0)+(MATCH(Setup!$B$7,{"STD","Half-PPR","PPR"},0)-1)*5,CB40,CD40,CF40,CH40,CJ40,CL40,CN40,CP40,CR40,CT40,CV40,CX40,CZ40,DB40,DD40)</f>
        <v>79.686999999999998</v>
      </c>
      <c r="DG40" s="6">
        <f>ROUND(1+DF40*'Live Calc'!$D$11,0)</f>
        <v>9</v>
      </c>
      <c r="DH40" s="6"/>
      <c r="DI40" s="6">
        <f>IF(DH40&lt;&gt;"",DH40,ROUND(DG40*INDEX('Live Calc'!$D$50:$D$70,MATCH(DE40,'Live Calc'!$A$50:$A$70,0))*'Live Calc'!$J$89,0))</f>
        <v>9</v>
      </c>
      <c r="DK40" s="7" t="s">
        <v>232</v>
      </c>
      <c r="DL40" s="7" t="s">
        <v>76</v>
      </c>
      <c r="DM40" s="7">
        <v>8</v>
      </c>
      <c r="DN40" s="7">
        <v>0</v>
      </c>
      <c r="DO40" s="7">
        <v>9</v>
      </c>
      <c r="DP40" s="7">
        <v>0</v>
      </c>
      <c r="DQ40" s="7">
        <v>10</v>
      </c>
      <c r="DR40" s="7">
        <v>0</v>
      </c>
      <c r="DS40" s="7">
        <v>11</v>
      </c>
      <c r="DT40" s="7">
        <v>0</v>
      </c>
      <c r="DU40" s="7">
        <v>12</v>
      </c>
      <c r="DV40" s="7">
        <v>0</v>
      </c>
      <c r="DW40" s="7">
        <v>6</v>
      </c>
      <c r="DX40" s="7">
        <v>0</v>
      </c>
      <c r="DY40" s="7">
        <v>9</v>
      </c>
      <c r="DZ40" s="7">
        <v>0</v>
      </c>
      <c r="EA40" s="7">
        <v>9</v>
      </c>
      <c r="EB40" s="7">
        <v>0</v>
      </c>
      <c r="EC40" s="7">
        <v>11</v>
      </c>
      <c r="ED40" s="7">
        <v>0</v>
      </c>
      <c r="EE40" s="7">
        <v>12</v>
      </c>
      <c r="EF40" s="7">
        <v>0</v>
      </c>
      <c r="EG40" s="7">
        <v>5</v>
      </c>
      <c r="EH40" s="7">
        <v>0</v>
      </c>
      <c r="EI40" s="7">
        <v>6</v>
      </c>
      <c r="EJ40" s="7">
        <v>0</v>
      </c>
      <c r="EK40" s="7">
        <v>7</v>
      </c>
      <c r="EL40" s="7">
        <v>0</v>
      </c>
      <c r="EM40" s="7">
        <v>10</v>
      </c>
      <c r="EN40" s="7">
        <v>0</v>
      </c>
      <c r="EO40" s="7">
        <v>11</v>
      </c>
      <c r="EP40" s="7">
        <v>0</v>
      </c>
      <c r="EQ40" s="7">
        <f>CHOOSE(MATCH(Setup!$B$5,{8,10,12,14,16},0)+(MATCH(Setup!$B$7,{"STD","Half-PPR","PPR"},0)-1)*5,DM40,DO40,DQ40,DS40,DU40,DW40,DY40,EA40,EC40,EE40,EG40,EI40,EK40,EM40,EO40)</f>
        <v>9</v>
      </c>
      <c r="ER40" s="7">
        <f>CHOOSE(MATCH(Setup!$B$5,{8,10,12,14,16},0)+(MATCH(Setup!$B$7,{"STD","Half-PPR","PPR"},0)-1)*5,DN40,DP40,DR40,DT40,DV40,DX40,DZ40,EB40,ED40,EF40,EH40,EJ40,EL40,EN40,EP40)</f>
        <v>0</v>
      </c>
      <c r="ES40" s="7">
        <f>ROUND(1+ER40*'Live Calc'!$D$12,0)</f>
        <v>1</v>
      </c>
      <c r="ET40" s="7"/>
      <c r="EU40" s="7">
        <f>IF(ET40&lt;&gt;"",ET40,ROUND(ES40*INDEX('Live Calc'!$D$74:$D$85,MATCH(EQ40,'Live Calc'!$A$74:$A$85,0))*'Live Calc'!$J$89,0))</f>
        <v>1</v>
      </c>
    </row>
    <row r="41" spans="1:151" x14ac:dyDescent="0.25">
      <c r="A41" s="4" t="s">
        <v>233</v>
      </c>
      <c r="B41" s="4" t="s">
        <v>101</v>
      </c>
      <c r="C41" s="4">
        <v>6</v>
      </c>
      <c r="D41" s="4">
        <v>0</v>
      </c>
      <c r="E41" s="4">
        <v>7</v>
      </c>
      <c r="F41" s="4">
        <v>0</v>
      </c>
      <c r="G41" s="4">
        <v>8</v>
      </c>
      <c r="H41" s="4">
        <v>0</v>
      </c>
      <c r="I41" s="4">
        <v>9</v>
      </c>
      <c r="J41" s="4">
        <v>0</v>
      </c>
      <c r="K41" s="4">
        <v>9</v>
      </c>
      <c r="L41" s="4">
        <v>0</v>
      </c>
      <c r="M41" s="4">
        <v>5</v>
      </c>
      <c r="N41" s="4">
        <v>0</v>
      </c>
      <c r="O41" s="4">
        <v>6</v>
      </c>
      <c r="P41" s="4">
        <v>0</v>
      </c>
      <c r="Q41" s="4">
        <v>8</v>
      </c>
      <c r="R41" s="4">
        <v>0</v>
      </c>
      <c r="S41" s="4">
        <v>8</v>
      </c>
      <c r="T41" s="4">
        <v>0</v>
      </c>
      <c r="U41" s="4">
        <v>8</v>
      </c>
      <c r="V41" s="4">
        <v>0</v>
      </c>
      <c r="W41" s="4">
        <v>6</v>
      </c>
      <c r="X41" s="4">
        <v>0</v>
      </c>
      <c r="Y41" s="4">
        <v>8</v>
      </c>
      <c r="Z41" s="4">
        <v>0</v>
      </c>
      <c r="AA41" s="4">
        <v>9</v>
      </c>
      <c r="AB41" s="4">
        <v>0</v>
      </c>
      <c r="AC41" s="4">
        <v>10</v>
      </c>
      <c r="AD41" s="4">
        <v>0</v>
      </c>
      <c r="AE41" s="4">
        <v>9</v>
      </c>
      <c r="AF41" s="4">
        <v>0</v>
      </c>
      <c r="AG41" s="4">
        <f>CHOOSE(MATCH(Setup!$B$5,{8,10,12,14,16},0)+(MATCH(Setup!$B$7,{"STD","Half-PPR","PPR"},0)-1)*5,C41,E41,G41,I41,K41,M41,O41,Q41,S41,U41,W41,Y41,AA41,AC41,AE41)</f>
        <v>8</v>
      </c>
      <c r="AH41" s="4">
        <f>CHOOSE(MATCH(Setup!$B$5,{8,10,12,14,16},0)+(MATCH(Setup!$B$7,{"STD","Half-PPR","PPR"},0)-1)*5,D41,F41,H41,J41,L41,N41,P41,R41,T41,V41,X41,Z41,AB41,AD41,AF41)</f>
        <v>0</v>
      </c>
      <c r="AI41" s="4">
        <f>ROUND(1+AH41*'Live Calc'!$D$9,0)</f>
        <v>1</v>
      </c>
      <c r="AJ41" s="4"/>
      <c r="AK41" s="4">
        <f>IF(AJ41&lt;&gt;"",AJ41,ROUND(AI41*INDEX('Live Calc'!$D$16:$D$25,MATCH(AG41,'Live Calc'!$A$16:$A$25,0))*'Live Calc'!$J$89,0))</f>
        <v>1</v>
      </c>
      <c r="AM41" s="5" t="s">
        <v>234</v>
      </c>
      <c r="AN41" s="5" t="s">
        <v>91</v>
      </c>
      <c r="AO41" s="5">
        <v>9</v>
      </c>
      <c r="AP41" s="5">
        <v>0</v>
      </c>
      <c r="AQ41" s="5">
        <v>10</v>
      </c>
      <c r="AR41" s="5">
        <v>0</v>
      </c>
      <c r="AS41" s="5">
        <v>11</v>
      </c>
      <c r="AT41" s="5">
        <v>66.943100000000001</v>
      </c>
      <c r="AU41" s="5">
        <v>11</v>
      </c>
      <c r="AV41" s="5">
        <v>48.028300000000002</v>
      </c>
      <c r="AW41" s="5">
        <v>11</v>
      </c>
      <c r="AX41" s="5">
        <v>88.985699999999994</v>
      </c>
      <c r="AY41" s="5">
        <v>9</v>
      </c>
      <c r="AZ41" s="5">
        <v>0</v>
      </c>
      <c r="BA41" s="5">
        <v>11</v>
      </c>
      <c r="BB41" s="5">
        <v>0</v>
      </c>
      <c r="BC41" s="5">
        <v>11</v>
      </c>
      <c r="BD41" s="5">
        <v>40.125</v>
      </c>
      <c r="BE41" s="5">
        <v>12</v>
      </c>
      <c r="BF41" s="5">
        <v>98.636799999999994</v>
      </c>
      <c r="BG41" s="5">
        <v>12</v>
      </c>
      <c r="BH41" s="5">
        <v>138.7474</v>
      </c>
      <c r="BI41" s="5">
        <v>11</v>
      </c>
      <c r="BJ41" s="5">
        <v>0</v>
      </c>
      <c r="BK41" s="5">
        <v>13</v>
      </c>
      <c r="BL41" s="5">
        <v>0</v>
      </c>
      <c r="BM41" s="5">
        <v>15</v>
      </c>
      <c r="BN41" s="5">
        <v>0</v>
      </c>
      <c r="BO41" s="5">
        <v>14</v>
      </c>
      <c r="BP41" s="5">
        <v>37.950600000000001</v>
      </c>
      <c r="BQ41" s="5">
        <v>14</v>
      </c>
      <c r="BR41" s="5">
        <v>65.315700000000007</v>
      </c>
      <c r="BS41" s="5">
        <f>CHOOSE(MATCH(Setup!$B$5,{8,10,12,14,16},0)+(MATCH(Setup!$B$7,{"STD","Half-PPR","PPR"},0)-1)*5,AO41,AQ41,AS41,AU41,AW41,AY41,BA41,BC41,BE41,BG41,BI41,BK41,BM41,BO41,BQ41)</f>
        <v>11</v>
      </c>
      <c r="BT41" s="5">
        <f>CHOOSE(MATCH(Setup!$B$5,{8,10,12,14,16},0)+(MATCH(Setup!$B$7,{"STD","Half-PPR","PPR"},0)-1)*5,AP41,AR41,AT41,AV41,AX41,AZ41,BB41,BD41,BF41,BH41,BJ41,BL41,BN41,BP41,BR41)</f>
        <v>40.125</v>
      </c>
      <c r="BU41" s="5">
        <f>ROUND(1+BT41*'Live Calc'!$D$10,0)</f>
        <v>5</v>
      </c>
      <c r="BV41" s="5"/>
      <c r="BW41" s="5">
        <f>IF(BV41&lt;&gt;"",BV41,ROUND(BU41*INDEX('Live Calc'!$D$29:$D$46,MATCH(BS41,'Live Calc'!$A$29:$A$46,0))*'Live Calc'!$J$89,0))</f>
        <v>5</v>
      </c>
      <c r="BY41" s="6" t="s">
        <v>235</v>
      </c>
      <c r="BZ41" s="6" t="s">
        <v>104</v>
      </c>
      <c r="CA41" s="6">
        <v>14</v>
      </c>
      <c r="CB41" s="6">
        <v>0</v>
      </c>
      <c r="CC41" s="6">
        <v>14</v>
      </c>
      <c r="CD41" s="6">
        <v>11.5052</v>
      </c>
      <c r="CE41" s="6">
        <v>14</v>
      </c>
      <c r="CF41" s="6">
        <v>53.562899999999999</v>
      </c>
      <c r="CG41" s="6">
        <v>14</v>
      </c>
      <c r="CH41" s="6">
        <v>44.275799999999997</v>
      </c>
      <c r="CI41" s="6">
        <v>14</v>
      </c>
      <c r="CJ41" s="6">
        <v>62.163800000000002</v>
      </c>
      <c r="CK41" s="6">
        <v>9</v>
      </c>
      <c r="CL41" s="6">
        <v>0.22750000000000001</v>
      </c>
      <c r="CM41" s="6">
        <v>10</v>
      </c>
      <c r="CN41" s="6">
        <v>55.884900000000002</v>
      </c>
      <c r="CO41" s="6">
        <v>10</v>
      </c>
      <c r="CP41" s="6">
        <v>80.608900000000006</v>
      </c>
      <c r="CQ41" s="6">
        <v>9</v>
      </c>
      <c r="CR41" s="6">
        <v>64.688699999999997</v>
      </c>
      <c r="CS41" s="6">
        <v>10</v>
      </c>
      <c r="CT41" s="6">
        <v>113.4395</v>
      </c>
      <c r="CU41" s="6">
        <v>12</v>
      </c>
      <c r="CV41" s="6">
        <v>0</v>
      </c>
      <c r="CW41" s="6">
        <v>11</v>
      </c>
      <c r="CX41" s="6">
        <v>19.403300000000002</v>
      </c>
      <c r="CY41" s="6">
        <v>11</v>
      </c>
      <c r="CZ41" s="6">
        <v>132.50550000000001</v>
      </c>
      <c r="DA41" s="6">
        <v>11</v>
      </c>
      <c r="DB41" s="6">
        <v>109.051</v>
      </c>
      <c r="DC41" s="6">
        <v>11</v>
      </c>
      <c r="DD41" s="6">
        <v>107.136</v>
      </c>
      <c r="DE41" s="6">
        <f>CHOOSE(MATCH(Setup!$B$5,{8,10,12,14,16},0)+(MATCH(Setup!$B$7,{"STD","Half-PPR","PPR"},0)-1)*5,CA41,CC41,CE41,CG41,CI41,CK41,CM41,CO41,CQ41,CS41,CU41,CW41,CY41,DA41,DC41)</f>
        <v>10</v>
      </c>
      <c r="DF41" s="6">
        <f>CHOOSE(MATCH(Setup!$B$5,{8,10,12,14,16},0)+(MATCH(Setup!$B$7,{"STD","Half-PPR","PPR"},0)-1)*5,CB41,CD41,CF41,CH41,CJ41,CL41,CN41,CP41,CR41,CT41,CV41,CX41,CZ41,DB41,DD41)</f>
        <v>80.608900000000006</v>
      </c>
      <c r="DG41" s="6">
        <f>ROUND(1+DF41*'Live Calc'!$D$11,0)</f>
        <v>9</v>
      </c>
      <c r="DH41" s="6"/>
      <c r="DI41" s="6">
        <f>IF(DH41&lt;&gt;"",DH41,ROUND(DG41*INDEX('Live Calc'!$D$50:$D$70,MATCH(DE41,'Live Calc'!$A$50:$A$70,0))*'Live Calc'!$J$89,0))</f>
        <v>9</v>
      </c>
      <c r="DK41" s="7" t="s">
        <v>236</v>
      </c>
      <c r="DL41" s="7" t="s">
        <v>88</v>
      </c>
      <c r="DM41" s="7">
        <v>8</v>
      </c>
      <c r="DN41" s="7">
        <v>0</v>
      </c>
      <c r="DO41" s="7">
        <v>9</v>
      </c>
      <c r="DP41" s="7">
        <v>0</v>
      </c>
      <c r="DQ41" s="7">
        <v>10</v>
      </c>
      <c r="DR41" s="7">
        <v>0</v>
      </c>
      <c r="DS41" s="7">
        <v>11</v>
      </c>
      <c r="DT41" s="7">
        <v>0</v>
      </c>
      <c r="DU41" s="7">
        <v>12</v>
      </c>
      <c r="DV41" s="7">
        <v>0</v>
      </c>
      <c r="DW41" s="7">
        <v>6</v>
      </c>
      <c r="DX41" s="7">
        <v>0</v>
      </c>
      <c r="DY41" s="7">
        <v>9</v>
      </c>
      <c r="DZ41" s="7">
        <v>0</v>
      </c>
      <c r="EA41" s="7">
        <v>9</v>
      </c>
      <c r="EB41" s="7">
        <v>0</v>
      </c>
      <c r="EC41" s="7">
        <v>11</v>
      </c>
      <c r="ED41" s="7">
        <v>0</v>
      </c>
      <c r="EE41" s="7">
        <v>12</v>
      </c>
      <c r="EF41" s="7">
        <v>0</v>
      </c>
      <c r="EG41" s="7">
        <v>5</v>
      </c>
      <c r="EH41" s="7">
        <v>0</v>
      </c>
      <c r="EI41" s="7">
        <v>6</v>
      </c>
      <c r="EJ41" s="7">
        <v>0</v>
      </c>
      <c r="EK41" s="7">
        <v>7</v>
      </c>
      <c r="EL41" s="7">
        <v>0</v>
      </c>
      <c r="EM41" s="7">
        <v>10</v>
      </c>
      <c r="EN41" s="7">
        <v>0</v>
      </c>
      <c r="EO41" s="7">
        <v>11</v>
      </c>
      <c r="EP41" s="7">
        <v>0</v>
      </c>
      <c r="EQ41" s="7">
        <f>CHOOSE(MATCH(Setup!$B$5,{8,10,12,14,16},0)+(MATCH(Setup!$B$7,{"STD","Half-PPR","PPR"},0)-1)*5,DM41,DO41,DQ41,DS41,DU41,DW41,DY41,EA41,EC41,EE41,EG41,EI41,EK41,EM41,EO41)</f>
        <v>9</v>
      </c>
      <c r="ER41" s="7">
        <f>CHOOSE(MATCH(Setup!$B$5,{8,10,12,14,16},0)+(MATCH(Setup!$B$7,{"STD","Half-PPR","PPR"},0)-1)*5,DN41,DP41,DR41,DT41,DV41,DX41,DZ41,EB41,ED41,EF41,EH41,EJ41,EL41,EN41,EP41)</f>
        <v>0</v>
      </c>
      <c r="ES41" s="7">
        <f>ROUND(1+ER41*'Live Calc'!$D$12,0)</f>
        <v>1</v>
      </c>
      <c r="ET41" s="7"/>
      <c r="EU41" s="7">
        <f>IF(ET41&lt;&gt;"",ET41,ROUND(ES41*INDEX('Live Calc'!$D$74:$D$85,MATCH(EQ41,'Live Calc'!$A$74:$A$85,0))*'Live Calc'!$J$89,0))</f>
        <v>1</v>
      </c>
    </row>
    <row r="42" spans="1:151" x14ac:dyDescent="0.25">
      <c r="A42" s="4" t="s">
        <v>237</v>
      </c>
      <c r="B42" s="4" t="s">
        <v>64</v>
      </c>
      <c r="C42" s="4">
        <v>6</v>
      </c>
      <c r="D42" s="4">
        <v>0</v>
      </c>
      <c r="E42" s="4">
        <v>7</v>
      </c>
      <c r="F42" s="4">
        <v>0</v>
      </c>
      <c r="G42" s="4">
        <v>8</v>
      </c>
      <c r="H42" s="4">
        <v>0</v>
      </c>
      <c r="I42" s="4">
        <v>9</v>
      </c>
      <c r="J42" s="4">
        <v>0</v>
      </c>
      <c r="K42" s="4">
        <v>9</v>
      </c>
      <c r="L42" s="4">
        <v>0</v>
      </c>
      <c r="M42" s="4">
        <v>5</v>
      </c>
      <c r="N42" s="4">
        <v>0</v>
      </c>
      <c r="O42" s="4">
        <v>6</v>
      </c>
      <c r="P42" s="4">
        <v>0</v>
      </c>
      <c r="Q42" s="4">
        <v>8</v>
      </c>
      <c r="R42" s="4">
        <v>0</v>
      </c>
      <c r="S42" s="4">
        <v>8</v>
      </c>
      <c r="T42" s="4">
        <v>0</v>
      </c>
      <c r="U42" s="4">
        <v>8</v>
      </c>
      <c r="V42" s="4">
        <v>0</v>
      </c>
      <c r="W42" s="4">
        <v>6</v>
      </c>
      <c r="X42" s="4">
        <v>0</v>
      </c>
      <c r="Y42" s="4">
        <v>8</v>
      </c>
      <c r="Z42" s="4">
        <v>0</v>
      </c>
      <c r="AA42" s="4">
        <v>9</v>
      </c>
      <c r="AB42" s="4">
        <v>0</v>
      </c>
      <c r="AC42" s="4">
        <v>10</v>
      </c>
      <c r="AD42" s="4">
        <v>0</v>
      </c>
      <c r="AE42" s="4">
        <v>9</v>
      </c>
      <c r="AF42" s="4">
        <v>0</v>
      </c>
      <c r="AG42" s="4">
        <f>CHOOSE(MATCH(Setup!$B$5,{8,10,12,14,16},0)+(MATCH(Setup!$B$7,{"STD","Half-PPR","PPR"},0)-1)*5,C42,E42,G42,I42,K42,M42,O42,Q42,S42,U42,W42,Y42,AA42,AC42,AE42)</f>
        <v>8</v>
      </c>
      <c r="AH42" s="4">
        <f>CHOOSE(MATCH(Setup!$B$5,{8,10,12,14,16},0)+(MATCH(Setup!$B$7,{"STD","Half-PPR","PPR"},0)-1)*5,D42,F42,H42,J42,L42,N42,P42,R42,T42,V42,X42,Z42,AB42,AD42,AF42)</f>
        <v>0</v>
      </c>
      <c r="AI42" s="4">
        <f>ROUND(1+AH42*'Live Calc'!$D$9,0)</f>
        <v>1</v>
      </c>
      <c r="AJ42" s="4"/>
      <c r="AK42" s="4">
        <f>IF(AJ42&lt;&gt;"",AJ42,ROUND(AI42*INDEX('Live Calc'!$D$16:$D$25,MATCH(AG42,'Live Calc'!$A$16:$A$25,0))*'Live Calc'!$J$89,0))</f>
        <v>1</v>
      </c>
      <c r="AM42" s="5" t="s">
        <v>238</v>
      </c>
      <c r="AN42" s="5" t="s">
        <v>145</v>
      </c>
      <c r="AO42" s="5">
        <v>9</v>
      </c>
      <c r="AP42" s="5">
        <v>0</v>
      </c>
      <c r="AQ42" s="5">
        <v>10</v>
      </c>
      <c r="AR42" s="5">
        <v>0</v>
      </c>
      <c r="AS42" s="5">
        <v>12</v>
      </c>
      <c r="AT42" s="5">
        <v>24.090499999999999</v>
      </c>
      <c r="AU42" s="5">
        <v>13</v>
      </c>
      <c r="AV42" s="5">
        <v>26.932200000000002</v>
      </c>
      <c r="AW42" s="5">
        <v>13</v>
      </c>
      <c r="AX42" s="5">
        <v>61.108199999999997</v>
      </c>
      <c r="AY42" s="5">
        <v>9</v>
      </c>
      <c r="AZ42" s="5">
        <v>0</v>
      </c>
      <c r="BA42" s="5">
        <v>11</v>
      </c>
      <c r="BB42" s="5">
        <v>0</v>
      </c>
      <c r="BC42" s="5">
        <v>12</v>
      </c>
      <c r="BD42" s="5">
        <v>23.8063</v>
      </c>
      <c r="BE42" s="5">
        <v>13</v>
      </c>
      <c r="BF42" s="5">
        <v>79.249099999999999</v>
      </c>
      <c r="BG42" s="5">
        <v>13</v>
      </c>
      <c r="BH42" s="5">
        <v>118.1315</v>
      </c>
      <c r="BI42" s="5">
        <v>11</v>
      </c>
      <c r="BJ42" s="5">
        <v>0</v>
      </c>
      <c r="BK42" s="5">
        <v>13</v>
      </c>
      <c r="BL42" s="5">
        <v>0</v>
      </c>
      <c r="BM42" s="5">
        <v>15</v>
      </c>
      <c r="BN42" s="5">
        <v>0</v>
      </c>
      <c r="BO42" s="5">
        <v>14</v>
      </c>
      <c r="BP42" s="5">
        <v>36.678800000000003</v>
      </c>
      <c r="BQ42" s="5">
        <v>14</v>
      </c>
      <c r="BR42" s="5">
        <v>63.9788</v>
      </c>
      <c r="BS42" s="5">
        <f>CHOOSE(MATCH(Setup!$B$5,{8,10,12,14,16},0)+(MATCH(Setup!$B$7,{"STD","Half-PPR","PPR"},0)-1)*5,AO42,AQ42,AS42,AU42,AW42,AY42,BA42,BC42,BE42,BG42,BI42,BK42,BM42,BO42,BQ42)</f>
        <v>12</v>
      </c>
      <c r="BT42" s="5">
        <f>CHOOSE(MATCH(Setup!$B$5,{8,10,12,14,16},0)+(MATCH(Setup!$B$7,{"STD","Half-PPR","PPR"},0)-1)*5,AP42,AR42,AT42,AV42,AX42,AZ42,BB42,BD42,BF42,BH42,BJ42,BL42,BN42,BP42,BR42)</f>
        <v>23.8063</v>
      </c>
      <c r="BU42" s="5">
        <f>ROUND(1+BT42*'Live Calc'!$D$10,0)</f>
        <v>3</v>
      </c>
      <c r="BV42" s="5"/>
      <c r="BW42" s="5">
        <f>IF(BV42&lt;&gt;"",BV42,ROUND(BU42*INDEX('Live Calc'!$D$29:$D$46,MATCH(BS42,'Live Calc'!$A$29:$A$46,0))*'Live Calc'!$J$89,0))</f>
        <v>3</v>
      </c>
      <c r="BY42" s="6" t="s">
        <v>239</v>
      </c>
      <c r="BZ42" s="6" t="s">
        <v>52</v>
      </c>
      <c r="CA42" s="6">
        <v>14</v>
      </c>
      <c r="CB42" s="6">
        <v>0</v>
      </c>
      <c r="CC42" s="6">
        <v>14</v>
      </c>
      <c r="CD42" s="6">
        <v>12.138500000000001</v>
      </c>
      <c r="CE42" s="6">
        <v>14</v>
      </c>
      <c r="CF42" s="6">
        <v>54.636400000000002</v>
      </c>
      <c r="CG42" s="6">
        <v>14</v>
      </c>
      <c r="CH42" s="6">
        <v>44.990400000000001</v>
      </c>
      <c r="CI42" s="6">
        <v>14</v>
      </c>
      <c r="CJ42" s="6">
        <v>62.900799999999997</v>
      </c>
      <c r="CK42" s="6">
        <v>10</v>
      </c>
      <c r="CL42" s="6">
        <v>0</v>
      </c>
      <c r="CM42" s="6">
        <v>10</v>
      </c>
      <c r="CN42" s="6">
        <v>55.114600000000003</v>
      </c>
      <c r="CO42" s="6">
        <v>10</v>
      </c>
      <c r="CP42" s="6">
        <v>79.921000000000006</v>
      </c>
      <c r="CQ42" s="6">
        <v>9</v>
      </c>
      <c r="CR42" s="6">
        <v>64.2453</v>
      </c>
      <c r="CS42" s="6">
        <v>10</v>
      </c>
      <c r="CT42" s="6">
        <v>112.85129999999999</v>
      </c>
      <c r="CU42" s="6">
        <v>12</v>
      </c>
      <c r="CV42" s="6">
        <v>0</v>
      </c>
      <c r="CW42" s="6">
        <v>11</v>
      </c>
      <c r="CX42" s="6">
        <v>16.655999999999999</v>
      </c>
      <c r="CY42" s="6">
        <v>11</v>
      </c>
      <c r="CZ42" s="6">
        <v>124.9759</v>
      </c>
      <c r="DA42" s="6">
        <v>11</v>
      </c>
      <c r="DB42" s="6">
        <v>104.23</v>
      </c>
      <c r="DC42" s="6">
        <v>11</v>
      </c>
      <c r="DD42" s="6">
        <v>103.3064</v>
      </c>
      <c r="DE42" s="6">
        <f>CHOOSE(MATCH(Setup!$B$5,{8,10,12,14,16},0)+(MATCH(Setup!$B$7,{"STD","Half-PPR","PPR"},0)-1)*5,CA42,CC42,CE42,CG42,CI42,CK42,CM42,CO42,CQ42,CS42,CU42,CW42,CY42,DA42,DC42)</f>
        <v>10</v>
      </c>
      <c r="DF42" s="6">
        <f>CHOOSE(MATCH(Setup!$B$5,{8,10,12,14,16},0)+(MATCH(Setup!$B$7,{"STD","Half-PPR","PPR"},0)-1)*5,CB42,CD42,CF42,CH42,CJ42,CL42,CN42,CP42,CR42,CT42,CV42,CX42,CZ42,DB42,DD42)</f>
        <v>79.921000000000006</v>
      </c>
      <c r="DG42" s="6">
        <f>ROUND(1+DF42*'Live Calc'!$D$11,0)</f>
        <v>9</v>
      </c>
      <c r="DH42" s="6"/>
      <c r="DI42" s="6">
        <f>IF(DH42&lt;&gt;"",DH42,ROUND(DG42*INDEX('Live Calc'!$D$50:$D$70,MATCH(DE42,'Live Calc'!$A$50:$A$70,0))*'Live Calc'!$J$89,0))</f>
        <v>9</v>
      </c>
      <c r="DK42" s="7" t="s">
        <v>240</v>
      </c>
      <c r="DL42" s="7" t="s">
        <v>60</v>
      </c>
      <c r="DM42" s="7">
        <v>8</v>
      </c>
      <c r="DN42" s="7">
        <v>0</v>
      </c>
      <c r="DO42" s="7">
        <v>9</v>
      </c>
      <c r="DP42" s="7">
        <v>0</v>
      </c>
      <c r="DQ42" s="7">
        <v>10</v>
      </c>
      <c r="DR42" s="7">
        <v>0</v>
      </c>
      <c r="DS42" s="7">
        <v>11</v>
      </c>
      <c r="DT42" s="7">
        <v>0</v>
      </c>
      <c r="DU42" s="7">
        <v>12</v>
      </c>
      <c r="DV42" s="7">
        <v>0</v>
      </c>
      <c r="DW42" s="7">
        <v>6</v>
      </c>
      <c r="DX42" s="7">
        <v>0</v>
      </c>
      <c r="DY42" s="7">
        <v>9</v>
      </c>
      <c r="DZ42" s="7">
        <v>0</v>
      </c>
      <c r="EA42" s="7">
        <v>9</v>
      </c>
      <c r="EB42" s="7">
        <v>0</v>
      </c>
      <c r="EC42" s="7">
        <v>11</v>
      </c>
      <c r="ED42" s="7">
        <v>0</v>
      </c>
      <c r="EE42" s="7">
        <v>12</v>
      </c>
      <c r="EF42" s="7">
        <v>0</v>
      </c>
      <c r="EG42" s="7">
        <v>5</v>
      </c>
      <c r="EH42" s="7">
        <v>0</v>
      </c>
      <c r="EI42" s="7">
        <v>6</v>
      </c>
      <c r="EJ42" s="7">
        <v>0</v>
      </c>
      <c r="EK42" s="7">
        <v>7</v>
      </c>
      <c r="EL42" s="7">
        <v>0</v>
      </c>
      <c r="EM42" s="7">
        <v>10</v>
      </c>
      <c r="EN42" s="7">
        <v>0</v>
      </c>
      <c r="EO42" s="7">
        <v>11</v>
      </c>
      <c r="EP42" s="7">
        <v>0</v>
      </c>
      <c r="EQ42" s="7">
        <f>CHOOSE(MATCH(Setup!$B$5,{8,10,12,14,16},0)+(MATCH(Setup!$B$7,{"STD","Half-PPR","PPR"},0)-1)*5,DM42,DO42,DQ42,DS42,DU42,DW42,DY42,EA42,EC42,EE42,EG42,EI42,EK42,EM42,EO42)</f>
        <v>9</v>
      </c>
      <c r="ER42" s="7">
        <f>CHOOSE(MATCH(Setup!$B$5,{8,10,12,14,16},0)+(MATCH(Setup!$B$7,{"STD","Half-PPR","PPR"},0)-1)*5,DN42,DP42,DR42,DT42,DV42,DX42,DZ42,EB42,ED42,EF42,EH42,EJ42,EL42,EN42,EP42)</f>
        <v>0</v>
      </c>
      <c r="ES42" s="7">
        <f>ROUND(1+ER42*'Live Calc'!$D$12,0)</f>
        <v>1</v>
      </c>
      <c r="ET42" s="7"/>
      <c r="EU42" s="7">
        <f>IF(ET42&lt;&gt;"",ET42,ROUND(ES42*INDEX('Live Calc'!$D$74:$D$85,MATCH(EQ42,'Live Calc'!$A$74:$A$85,0))*'Live Calc'!$J$89,0))</f>
        <v>1</v>
      </c>
    </row>
    <row r="43" spans="1:151" x14ac:dyDescent="0.25">
      <c r="A43" s="4" t="s">
        <v>241</v>
      </c>
      <c r="B43" s="4" t="s">
        <v>88</v>
      </c>
      <c r="C43" s="4">
        <v>6</v>
      </c>
      <c r="D43" s="4">
        <v>0</v>
      </c>
      <c r="E43" s="4">
        <v>7</v>
      </c>
      <c r="F43" s="4">
        <v>0</v>
      </c>
      <c r="G43" s="4">
        <v>8</v>
      </c>
      <c r="H43" s="4">
        <v>0</v>
      </c>
      <c r="I43" s="4">
        <v>9</v>
      </c>
      <c r="J43" s="4">
        <v>0</v>
      </c>
      <c r="K43" s="4">
        <v>9</v>
      </c>
      <c r="L43" s="4">
        <v>0</v>
      </c>
      <c r="M43" s="4">
        <v>5</v>
      </c>
      <c r="N43" s="4">
        <v>0</v>
      </c>
      <c r="O43" s="4">
        <v>6</v>
      </c>
      <c r="P43" s="4">
        <v>0</v>
      </c>
      <c r="Q43" s="4">
        <v>8</v>
      </c>
      <c r="R43" s="4">
        <v>0</v>
      </c>
      <c r="S43" s="4">
        <v>8</v>
      </c>
      <c r="T43" s="4">
        <v>0</v>
      </c>
      <c r="U43" s="4">
        <v>8</v>
      </c>
      <c r="V43" s="4">
        <v>0</v>
      </c>
      <c r="W43" s="4">
        <v>6</v>
      </c>
      <c r="X43" s="4">
        <v>0</v>
      </c>
      <c r="Y43" s="4">
        <v>8</v>
      </c>
      <c r="Z43" s="4">
        <v>0</v>
      </c>
      <c r="AA43" s="4">
        <v>9</v>
      </c>
      <c r="AB43" s="4">
        <v>0</v>
      </c>
      <c r="AC43" s="4">
        <v>10</v>
      </c>
      <c r="AD43" s="4">
        <v>0</v>
      </c>
      <c r="AE43" s="4">
        <v>9</v>
      </c>
      <c r="AF43" s="4">
        <v>0</v>
      </c>
      <c r="AG43" s="4">
        <f>CHOOSE(MATCH(Setup!$B$5,{8,10,12,14,16},0)+(MATCH(Setup!$B$7,{"STD","Half-PPR","PPR"},0)-1)*5,C43,E43,G43,I43,K43,M43,O43,Q43,S43,U43,W43,Y43,AA43,AC43,AE43)</f>
        <v>8</v>
      </c>
      <c r="AH43" s="4">
        <f>CHOOSE(MATCH(Setup!$B$5,{8,10,12,14,16},0)+(MATCH(Setup!$B$7,{"STD","Half-PPR","PPR"},0)-1)*5,D43,F43,H43,J43,L43,N43,P43,R43,T43,V43,X43,Z43,AB43,AD43,AF43)</f>
        <v>0</v>
      </c>
      <c r="AI43" s="4">
        <f>ROUND(1+AH43*'Live Calc'!$D$9,0)</f>
        <v>1</v>
      </c>
      <c r="AJ43" s="4"/>
      <c r="AK43" s="4">
        <f>IF(AJ43&lt;&gt;"",AJ43,ROUND(AI43*INDEX('Live Calc'!$D$16:$D$25,MATCH(AG43,'Live Calc'!$A$16:$A$25,0))*'Live Calc'!$J$89,0))</f>
        <v>1</v>
      </c>
      <c r="AM43" s="5" t="s">
        <v>242</v>
      </c>
      <c r="AN43" s="5" t="s">
        <v>88</v>
      </c>
      <c r="AO43" s="5">
        <v>9</v>
      </c>
      <c r="AP43" s="5">
        <v>0</v>
      </c>
      <c r="AQ43" s="5">
        <v>10</v>
      </c>
      <c r="AR43" s="5">
        <v>0</v>
      </c>
      <c r="AS43" s="5">
        <v>13</v>
      </c>
      <c r="AT43" s="5">
        <v>1.4318</v>
      </c>
      <c r="AU43" s="5">
        <v>14</v>
      </c>
      <c r="AV43" s="5">
        <v>12.204800000000001</v>
      </c>
      <c r="AW43" s="5">
        <v>14</v>
      </c>
      <c r="AX43" s="5">
        <v>41.4422</v>
      </c>
      <c r="AY43" s="5">
        <v>9</v>
      </c>
      <c r="AZ43" s="5">
        <v>0</v>
      </c>
      <c r="BA43" s="5">
        <v>11</v>
      </c>
      <c r="BB43" s="5">
        <v>0</v>
      </c>
      <c r="BC43" s="5">
        <v>12</v>
      </c>
      <c r="BD43" s="5">
        <v>3.5082</v>
      </c>
      <c r="BE43" s="5">
        <v>14</v>
      </c>
      <c r="BF43" s="5">
        <v>52.307299999999998</v>
      </c>
      <c r="BG43" s="5">
        <v>14</v>
      </c>
      <c r="BH43" s="5">
        <v>89.049899999999994</v>
      </c>
      <c r="BI43" s="5">
        <v>11</v>
      </c>
      <c r="BJ43" s="5">
        <v>0</v>
      </c>
      <c r="BK43" s="5">
        <v>13</v>
      </c>
      <c r="BL43" s="5">
        <v>0</v>
      </c>
      <c r="BM43" s="5">
        <v>15</v>
      </c>
      <c r="BN43" s="5">
        <v>0</v>
      </c>
      <c r="BO43" s="5">
        <v>15</v>
      </c>
      <c r="BP43" s="5">
        <v>21.9788</v>
      </c>
      <c r="BQ43" s="5">
        <v>15</v>
      </c>
      <c r="BR43" s="5">
        <v>48.372500000000002</v>
      </c>
      <c r="BS43" s="5">
        <f>CHOOSE(MATCH(Setup!$B$5,{8,10,12,14,16},0)+(MATCH(Setup!$B$7,{"STD","Half-PPR","PPR"},0)-1)*5,AO43,AQ43,AS43,AU43,AW43,AY43,BA43,BC43,BE43,BG43,BI43,BK43,BM43,BO43,BQ43)</f>
        <v>12</v>
      </c>
      <c r="BT43" s="5">
        <f>CHOOSE(MATCH(Setup!$B$5,{8,10,12,14,16},0)+(MATCH(Setup!$B$7,{"STD","Half-PPR","PPR"},0)-1)*5,AP43,AR43,AT43,AV43,AX43,AZ43,BB43,BD43,BF43,BH43,BJ43,BL43,BN43,BP43,BR43)</f>
        <v>3.5082</v>
      </c>
      <c r="BU43" s="5">
        <f>ROUND(1+BT43*'Live Calc'!$D$10,0)</f>
        <v>1</v>
      </c>
      <c r="BV43" s="5"/>
      <c r="BW43" s="5">
        <f>IF(BV43&lt;&gt;"",BV43,ROUND(BU43*INDEX('Live Calc'!$D$29:$D$46,MATCH(BS43,'Live Calc'!$A$29:$A$46,0))*'Live Calc'!$J$89,0))</f>
        <v>1</v>
      </c>
      <c r="BY43" s="6" t="s">
        <v>243</v>
      </c>
      <c r="BZ43" s="6" t="s">
        <v>86</v>
      </c>
      <c r="CA43" s="6">
        <v>14</v>
      </c>
      <c r="CB43" s="6">
        <v>0</v>
      </c>
      <c r="CC43" s="6">
        <v>14</v>
      </c>
      <c r="CD43" s="6">
        <v>14.3111</v>
      </c>
      <c r="CE43" s="6">
        <v>14</v>
      </c>
      <c r="CF43" s="6">
        <v>58.307699999999997</v>
      </c>
      <c r="CG43" s="6">
        <v>14</v>
      </c>
      <c r="CH43" s="6">
        <v>47.424900000000001</v>
      </c>
      <c r="CI43" s="6">
        <v>14</v>
      </c>
      <c r="CJ43" s="6">
        <v>65.409000000000006</v>
      </c>
      <c r="CK43" s="6">
        <v>10</v>
      </c>
      <c r="CL43" s="6">
        <v>0</v>
      </c>
      <c r="CM43" s="6">
        <v>10</v>
      </c>
      <c r="CN43" s="6">
        <v>54.5244</v>
      </c>
      <c r="CO43" s="6">
        <v>10</v>
      </c>
      <c r="CP43" s="6">
        <v>79.393299999999996</v>
      </c>
      <c r="CQ43" s="6">
        <v>9</v>
      </c>
      <c r="CR43" s="6">
        <v>63.904899999999998</v>
      </c>
      <c r="CS43" s="6">
        <v>10</v>
      </c>
      <c r="CT43" s="6">
        <v>112.3998</v>
      </c>
      <c r="CU43" s="6">
        <v>12</v>
      </c>
      <c r="CV43" s="6">
        <v>0</v>
      </c>
      <c r="CW43" s="6">
        <v>11</v>
      </c>
      <c r="CX43" s="6">
        <v>14.502000000000001</v>
      </c>
      <c r="CY43" s="6">
        <v>11</v>
      </c>
      <c r="CZ43" s="6">
        <v>119.0946</v>
      </c>
      <c r="DA43" s="6">
        <v>11</v>
      </c>
      <c r="DB43" s="6">
        <v>100.4443</v>
      </c>
      <c r="DC43" s="6">
        <v>11</v>
      </c>
      <c r="DD43" s="6">
        <v>100.2921</v>
      </c>
      <c r="DE43" s="6">
        <f>CHOOSE(MATCH(Setup!$B$5,{8,10,12,14,16},0)+(MATCH(Setup!$B$7,{"STD","Half-PPR","PPR"},0)-1)*5,CA43,CC43,CE43,CG43,CI43,CK43,CM43,CO43,CQ43,CS43,CU43,CW43,CY43,DA43,DC43)</f>
        <v>10</v>
      </c>
      <c r="DF43" s="6">
        <f>CHOOSE(MATCH(Setup!$B$5,{8,10,12,14,16},0)+(MATCH(Setup!$B$7,{"STD","Half-PPR","PPR"},0)-1)*5,CB43,CD43,CF43,CH43,CJ43,CL43,CN43,CP43,CR43,CT43,CV43,CX43,CZ43,DB43,DD43)</f>
        <v>79.393299999999996</v>
      </c>
      <c r="DG43" s="6">
        <f>ROUND(1+DF43*'Live Calc'!$D$11,0)</f>
        <v>9</v>
      </c>
      <c r="DH43" s="6"/>
      <c r="DI43" s="6">
        <f>IF(DH43&lt;&gt;"",DH43,ROUND(DG43*INDEX('Live Calc'!$D$50:$D$70,MATCH(DE43,'Live Calc'!$A$50:$A$70,0))*'Live Calc'!$J$89,0))</f>
        <v>9</v>
      </c>
      <c r="DK43" s="7" t="s">
        <v>244</v>
      </c>
      <c r="DL43" s="7" t="s">
        <v>46</v>
      </c>
      <c r="DM43" s="7">
        <v>8</v>
      </c>
      <c r="DN43" s="7">
        <v>0</v>
      </c>
      <c r="DO43" s="7">
        <v>9</v>
      </c>
      <c r="DP43" s="7">
        <v>0</v>
      </c>
      <c r="DQ43" s="7">
        <v>10</v>
      </c>
      <c r="DR43" s="7">
        <v>0</v>
      </c>
      <c r="DS43" s="7">
        <v>11</v>
      </c>
      <c r="DT43" s="7">
        <v>0</v>
      </c>
      <c r="DU43" s="7">
        <v>12</v>
      </c>
      <c r="DV43" s="7">
        <v>0</v>
      </c>
      <c r="DW43" s="7">
        <v>6</v>
      </c>
      <c r="DX43" s="7">
        <v>0</v>
      </c>
      <c r="DY43" s="7">
        <v>9</v>
      </c>
      <c r="DZ43" s="7">
        <v>0</v>
      </c>
      <c r="EA43" s="7">
        <v>9</v>
      </c>
      <c r="EB43" s="7">
        <v>0</v>
      </c>
      <c r="EC43" s="7">
        <v>11</v>
      </c>
      <c r="ED43" s="7">
        <v>0</v>
      </c>
      <c r="EE43" s="7">
        <v>12</v>
      </c>
      <c r="EF43" s="7">
        <v>0</v>
      </c>
      <c r="EG43" s="7">
        <v>5</v>
      </c>
      <c r="EH43" s="7">
        <v>0</v>
      </c>
      <c r="EI43" s="7">
        <v>6</v>
      </c>
      <c r="EJ43" s="7">
        <v>0</v>
      </c>
      <c r="EK43" s="7">
        <v>7</v>
      </c>
      <c r="EL43" s="7">
        <v>0</v>
      </c>
      <c r="EM43" s="7">
        <v>10</v>
      </c>
      <c r="EN43" s="7">
        <v>0</v>
      </c>
      <c r="EO43" s="7">
        <v>11</v>
      </c>
      <c r="EP43" s="7">
        <v>0</v>
      </c>
      <c r="EQ43" s="7">
        <f>CHOOSE(MATCH(Setup!$B$5,{8,10,12,14,16},0)+(MATCH(Setup!$B$7,{"STD","Half-PPR","PPR"},0)-1)*5,DM43,DO43,DQ43,DS43,DU43,DW43,DY43,EA43,EC43,EE43,EG43,EI43,EK43,EM43,EO43)</f>
        <v>9</v>
      </c>
      <c r="ER43" s="7">
        <f>CHOOSE(MATCH(Setup!$B$5,{8,10,12,14,16},0)+(MATCH(Setup!$B$7,{"STD","Half-PPR","PPR"},0)-1)*5,DN43,DP43,DR43,DT43,DV43,DX43,DZ43,EB43,ED43,EF43,EH43,EJ43,EL43,EN43,EP43)</f>
        <v>0</v>
      </c>
      <c r="ES43" s="7">
        <f>ROUND(1+ER43*'Live Calc'!$D$12,0)</f>
        <v>1</v>
      </c>
      <c r="ET43" s="7"/>
      <c r="EU43" s="7">
        <f>IF(ET43&lt;&gt;"",ET43,ROUND(ES43*INDEX('Live Calc'!$D$74:$D$85,MATCH(EQ43,'Live Calc'!$A$74:$A$85,0))*'Live Calc'!$J$89,0))</f>
        <v>1</v>
      </c>
    </row>
    <row r="44" spans="1:151" x14ac:dyDescent="0.25">
      <c r="A44" s="4" t="s">
        <v>245</v>
      </c>
      <c r="B44" s="4" t="s">
        <v>70</v>
      </c>
      <c r="C44" s="4">
        <v>6</v>
      </c>
      <c r="D44" s="4">
        <v>0</v>
      </c>
      <c r="E44" s="4">
        <v>7</v>
      </c>
      <c r="F44" s="4">
        <v>0</v>
      </c>
      <c r="G44" s="4">
        <v>8</v>
      </c>
      <c r="H44" s="4">
        <v>0</v>
      </c>
      <c r="I44" s="4">
        <v>9</v>
      </c>
      <c r="J44" s="4">
        <v>0</v>
      </c>
      <c r="K44" s="4">
        <v>9</v>
      </c>
      <c r="L44" s="4">
        <v>0</v>
      </c>
      <c r="M44" s="4">
        <v>5</v>
      </c>
      <c r="N44" s="4">
        <v>0</v>
      </c>
      <c r="O44" s="4">
        <v>6</v>
      </c>
      <c r="P44" s="4">
        <v>0</v>
      </c>
      <c r="Q44" s="4">
        <v>8</v>
      </c>
      <c r="R44" s="4">
        <v>0</v>
      </c>
      <c r="S44" s="4">
        <v>8</v>
      </c>
      <c r="T44" s="4">
        <v>0</v>
      </c>
      <c r="U44" s="4">
        <v>8</v>
      </c>
      <c r="V44" s="4">
        <v>0</v>
      </c>
      <c r="W44" s="4">
        <v>6</v>
      </c>
      <c r="X44" s="4">
        <v>0</v>
      </c>
      <c r="Y44" s="4">
        <v>8</v>
      </c>
      <c r="Z44" s="4">
        <v>0</v>
      </c>
      <c r="AA44" s="4">
        <v>9</v>
      </c>
      <c r="AB44" s="4">
        <v>0</v>
      </c>
      <c r="AC44" s="4">
        <v>10</v>
      </c>
      <c r="AD44" s="4">
        <v>0</v>
      </c>
      <c r="AE44" s="4">
        <v>9</v>
      </c>
      <c r="AF44" s="4">
        <v>0</v>
      </c>
      <c r="AG44" s="4">
        <f>CHOOSE(MATCH(Setup!$B$5,{8,10,12,14,16},0)+(MATCH(Setup!$B$7,{"STD","Half-PPR","PPR"},0)-1)*5,C44,E44,G44,I44,K44,M44,O44,Q44,S44,U44,W44,Y44,AA44,AC44,AE44)</f>
        <v>8</v>
      </c>
      <c r="AH44" s="4">
        <f>CHOOSE(MATCH(Setup!$B$5,{8,10,12,14,16},0)+(MATCH(Setup!$B$7,{"STD","Half-PPR","PPR"},0)-1)*5,D44,F44,H44,J44,L44,N44,P44,R44,T44,V44,X44,Z44,AB44,AD44,AF44)</f>
        <v>0</v>
      </c>
      <c r="AI44" s="4">
        <f>ROUND(1+AH44*'Live Calc'!$D$9,0)</f>
        <v>1</v>
      </c>
      <c r="AJ44" s="4"/>
      <c r="AK44" s="4">
        <f>IF(AJ44&lt;&gt;"",AJ44,ROUND(AI44*INDEX('Live Calc'!$D$16:$D$25,MATCH(AG44,'Live Calc'!$A$16:$A$25,0))*'Live Calc'!$J$89,0))</f>
        <v>1</v>
      </c>
      <c r="AM44" s="5" t="s">
        <v>246</v>
      </c>
      <c r="AN44" s="5" t="s">
        <v>104</v>
      </c>
      <c r="AO44" s="5">
        <v>9</v>
      </c>
      <c r="AP44" s="5">
        <v>0</v>
      </c>
      <c r="AQ44" s="5">
        <v>10</v>
      </c>
      <c r="AR44" s="5">
        <v>0</v>
      </c>
      <c r="AS44" s="5">
        <v>12</v>
      </c>
      <c r="AT44" s="5">
        <v>27.586400000000001</v>
      </c>
      <c r="AU44" s="5">
        <v>13</v>
      </c>
      <c r="AV44" s="5">
        <v>28.822700000000001</v>
      </c>
      <c r="AW44" s="5">
        <v>13</v>
      </c>
      <c r="AX44" s="5">
        <v>63.612099999999998</v>
      </c>
      <c r="AY44" s="5">
        <v>9</v>
      </c>
      <c r="AZ44" s="5">
        <v>0</v>
      </c>
      <c r="BA44" s="5">
        <v>11</v>
      </c>
      <c r="BB44" s="5">
        <v>0</v>
      </c>
      <c r="BC44" s="5">
        <v>12</v>
      </c>
      <c r="BD44" s="5">
        <v>3.3637000000000001</v>
      </c>
      <c r="BE44" s="5">
        <v>14</v>
      </c>
      <c r="BF44" s="5">
        <v>52.079900000000002</v>
      </c>
      <c r="BG44" s="5">
        <v>14</v>
      </c>
      <c r="BH44" s="5">
        <v>88.801400000000001</v>
      </c>
      <c r="BI44" s="5">
        <v>11</v>
      </c>
      <c r="BJ44" s="5">
        <v>0</v>
      </c>
      <c r="BK44" s="5">
        <v>13</v>
      </c>
      <c r="BL44" s="5">
        <v>0</v>
      </c>
      <c r="BM44" s="5">
        <v>15</v>
      </c>
      <c r="BN44" s="5">
        <v>0</v>
      </c>
      <c r="BO44" s="5">
        <v>16</v>
      </c>
      <c r="BP44" s="5">
        <v>8.2955000000000005</v>
      </c>
      <c r="BQ44" s="5">
        <v>16</v>
      </c>
      <c r="BR44" s="5">
        <v>33.3506</v>
      </c>
      <c r="BS44" s="5">
        <f>CHOOSE(MATCH(Setup!$B$5,{8,10,12,14,16},0)+(MATCH(Setup!$B$7,{"STD","Half-PPR","PPR"},0)-1)*5,AO44,AQ44,AS44,AU44,AW44,AY44,BA44,BC44,BE44,BG44,BI44,BK44,BM44,BO44,BQ44)</f>
        <v>12</v>
      </c>
      <c r="BT44" s="5">
        <f>CHOOSE(MATCH(Setup!$B$5,{8,10,12,14,16},0)+(MATCH(Setup!$B$7,{"STD","Half-PPR","PPR"},0)-1)*5,AP44,AR44,AT44,AV44,AX44,AZ44,BB44,BD44,BF44,BH44,BJ44,BL44,BN44,BP44,BR44)</f>
        <v>3.3637000000000001</v>
      </c>
      <c r="BU44" s="5">
        <f>ROUND(1+BT44*'Live Calc'!$D$10,0)</f>
        <v>1</v>
      </c>
      <c r="BV44" s="5"/>
      <c r="BW44" s="5">
        <f>IF(BV44&lt;&gt;"",BV44,ROUND(BU44*INDEX('Live Calc'!$D$29:$D$46,MATCH(BS44,'Live Calc'!$A$29:$A$46,0))*'Live Calc'!$J$89,0))</f>
        <v>1</v>
      </c>
      <c r="BY44" s="6" t="s">
        <v>247</v>
      </c>
      <c r="BZ44" s="6" t="s">
        <v>64</v>
      </c>
      <c r="CA44" s="6">
        <v>14</v>
      </c>
      <c r="CB44" s="6">
        <v>0</v>
      </c>
      <c r="CC44" s="6">
        <v>16</v>
      </c>
      <c r="CD44" s="6">
        <v>3.1305000000000001</v>
      </c>
      <c r="CE44" s="6">
        <v>16</v>
      </c>
      <c r="CF44" s="6">
        <v>39.039499999999997</v>
      </c>
      <c r="CG44" s="6">
        <v>15</v>
      </c>
      <c r="CH44" s="6">
        <v>34.459899999999998</v>
      </c>
      <c r="CI44" s="6">
        <v>15</v>
      </c>
      <c r="CJ44" s="6">
        <v>52.009399999999999</v>
      </c>
      <c r="CK44" s="6">
        <v>10</v>
      </c>
      <c r="CL44" s="6">
        <v>0</v>
      </c>
      <c r="CM44" s="6">
        <v>11</v>
      </c>
      <c r="CN44" s="6">
        <v>43.721800000000002</v>
      </c>
      <c r="CO44" s="6">
        <v>11</v>
      </c>
      <c r="CP44" s="6">
        <v>69.627099999999999</v>
      </c>
      <c r="CQ44" s="6">
        <v>10</v>
      </c>
      <c r="CR44" s="6">
        <v>57.565100000000001</v>
      </c>
      <c r="CS44" s="6">
        <v>11</v>
      </c>
      <c r="CT44" s="6">
        <v>103.9939</v>
      </c>
      <c r="CU44" s="6">
        <v>12</v>
      </c>
      <c r="CV44" s="6">
        <v>0</v>
      </c>
      <c r="CW44" s="6">
        <v>11</v>
      </c>
      <c r="CX44" s="6">
        <v>13.521000000000001</v>
      </c>
      <c r="CY44" s="6">
        <v>11</v>
      </c>
      <c r="CZ44" s="6">
        <v>116.42140000000001</v>
      </c>
      <c r="DA44" s="6">
        <v>11</v>
      </c>
      <c r="DB44" s="6">
        <v>98.717500000000001</v>
      </c>
      <c r="DC44" s="6">
        <v>11</v>
      </c>
      <c r="DD44" s="6">
        <v>98.914900000000003</v>
      </c>
      <c r="DE44" s="6">
        <f>CHOOSE(MATCH(Setup!$B$5,{8,10,12,14,16},0)+(MATCH(Setup!$B$7,{"STD","Half-PPR","PPR"},0)-1)*5,CA44,CC44,CE44,CG44,CI44,CK44,CM44,CO44,CQ44,CS44,CU44,CW44,CY44,DA44,DC44)</f>
        <v>11</v>
      </c>
      <c r="DF44" s="6">
        <f>CHOOSE(MATCH(Setup!$B$5,{8,10,12,14,16},0)+(MATCH(Setup!$B$7,{"STD","Half-PPR","PPR"},0)-1)*5,CB44,CD44,CF44,CH44,CJ44,CL44,CN44,CP44,CR44,CT44,CV44,CX44,CZ44,DB44,DD44)</f>
        <v>69.627099999999999</v>
      </c>
      <c r="DG44" s="6">
        <f>ROUND(1+DF44*'Live Calc'!$D$11,0)</f>
        <v>8</v>
      </c>
      <c r="DH44" s="6"/>
      <c r="DI44" s="6">
        <f>IF(DH44&lt;&gt;"",DH44,ROUND(DG44*INDEX('Live Calc'!$D$50:$D$70,MATCH(DE44,'Live Calc'!$A$50:$A$70,0))*'Live Calc'!$J$89,0))</f>
        <v>8</v>
      </c>
      <c r="DK44" s="7" t="s">
        <v>248</v>
      </c>
      <c r="DL44" s="7" t="s">
        <v>95</v>
      </c>
      <c r="DM44" s="7">
        <v>8</v>
      </c>
      <c r="DN44" s="7">
        <v>0</v>
      </c>
      <c r="DO44" s="7">
        <v>9</v>
      </c>
      <c r="DP44" s="7">
        <v>0</v>
      </c>
      <c r="DQ44" s="7">
        <v>10</v>
      </c>
      <c r="DR44" s="7">
        <v>0</v>
      </c>
      <c r="DS44" s="7">
        <v>11</v>
      </c>
      <c r="DT44" s="7">
        <v>0</v>
      </c>
      <c r="DU44" s="7">
        <v>12</v>
      </c>
      <c r="DV44" s="7">
        <v>0</v>
      </c>
      <c r="DW44" s="7">
        <v>6</v>
      </c>
      <c r="DX44" s="7">
        <v>0</v>
      </c>
      <c r="DY44" s="7">
        <v>9</v>
      </c>
      <c r="DZ44" s="7">
        <v>0</v>
      </c>
      <c r="EA44" s="7">
        <v>9</v>
      </c>
      <c r="EB44" s="7">
        <v>0</v>
      </c>
      <c r="EC44" s="7">
        <v>11</v>
      </c>
      <c r="ED44" s="7">
        <v>0</v>
      </c>
      <c r="EE44" s="7">
        <v>12</v>
      </c>
      <c r="EF44" s="7">
        <v>0</v>
      </c>
      <c r="EG44" s="7">
        <v>5</v>
      </c>
      <c r="EH44" s="7">
        <v>0</v>
      </c>
      <c r="EI44" s="7">
        <v>6</v>
      </c>
      <c r="EJ44" s="7">
        <v>0</v>
      </c>
      <c r="EK44" s="7">
        <v>7</v>
      </c>
      <c r="EL44" s="7">
        <v>0</v>
      </c>
      <c r="EM44" s="7">
        <v>10</v>
      </c>
      <c r="EN44" s="7">
        <v>0</v>
      </c>
      <c r="EO44" s="7">
        <v>11</v>
      </c>
      <c r="EP44" s="7">
        <v>0</v>
      </c>
      <c r="EQ44" s="7">
        <f>CHOOSE(MATCH(Setup!$B$5,{8,10,12,14,16},0)+(MATCH(Setup!$B$7,{"STD","Half-PPR","PPR"},0)-1)*5,DM44,DO44,DQ44,DS44,DU44,DW44,DY44,EA44,EC44,EE44,EG44,EI44,EK44,EM44,EO44)</f>
        <v>9</v>
      </c>
      <c r="ER44" s="7">
        <f>CHOOSE(MATCH(Setup!$B$5,{8,10,12,14,16},0)+(MATCH(Setup!$B$7,{"STD","Half-PPR","PPR"},0)-1)*5,DN44,DP44,DR44,DT44,DV44,DX44,DZ44,EB44,ED44,EF44,EH44,EJ44,EL44,EN44,EP44)</f>
        <v>0</v>
      </c>
      <c r="ES44" s="7">
        <f>ROUND(1+ER44*'Live Calc'!$D$12,0)</f>
        <v>1</v>
      </c>
      <c r="ET44" s="7"/>
      <c r="EU44" s="7">
        <f>IF(ET44&lt;&gt;"",ET44,ROUND(ES44*INDEX('Live Calc'!$D$74:$D$85,MATCH(EQ44,'Live Calc'!$A$74:$A$85,0))*'Live Calc'!$J$89,0))</f>
        <v>1</v>
      </c>
    </row>
    <row r="45" spans="1:151" x14ac:dyDescent="0.25">
      <c r="A45" s="4" t="s">
        <v>249</v>
      </c>
      <c r="B45" s="4" t="s">
        <v>107</v>
      </c>
      <c r="C45" s="4">
        <v>6</v>
      </c>
      <c r="D45" s="4">
        <v>0</v>
      </c>
      <c r="E45" s="4">
        <v>7</v>
      </c>
      <c r="F45" s="4">
        <v>0</v>
      </c>
      <c r="G45" s="4">
        <v>8</v>
      </c>
      <c r="H45" s="4">
        <v>0</v>
      </c>
      <c r="I45" s="4">
        <v>9</v>
      </c>
      <c r="J45" s="4">
        <v>0</v>
      </c>
      <c r="K45" s="4">
        <v>9</v>
      </c>
      <c r="L45" s="4">
        <v>0</v>
      </c>
      <c r="M45" s="4">
        <v>5</v>
      </c>
      <c r="N45" s="4">
        <v>0</v>
      </c>
      <c r="O45" s="4">
        <v>6</v>
      </c>
      <c r="P45" s="4">
        <v>0</v>
      </c>
      <c r="Q45" s="4">
        <v>8</v>
      </c>
      <c r="R45" s="4">
        <v>0</v>
      </c>
      <c r="S45" s="4">
        <v>8</v>
      </c>
      <c r="T45" s="4">
        <v>0</v>
      </c>
      <c r="U45" s="4">
        <v>8</v>
      </c>
      <c r="V45" s="4">
        <v>0</v>
      </c>
      <c r="W45" s="4">
        <v>6</v>
      </c>
      <c r="X45" s="4">
        <v>0</v>
      </c>
      <c r="Y45" s="4">
        <v>8</v>
      </c>
      <c r="Z45" s="4">
        <v>0</v>
      </c>
      <c r="AA45" s="4">
        <v>9</v>
      </c>
      <c r="AB45" s="4">
        <v>0</v>
      </c>
      <c r="AC45" s="4">
        <v>10</v>
      </c>
      <c r="AD45" s="4">
        <v>0</v>
      </c>
      <c r="AE45" s="4">
        <v>9</v>
      </c>
      <c r="AF45" s="4">
        <v>0</v>
      </c>
      <c r="AG45" s="4">
        <f>CHOOSE(MATCH(Setup!$B$5,{8,10,12,14,16},0)+(MATCH(Setup!$B$7,{"STD","Half-PPR","PPR"},0)-1)*5,C45,E45,G45,I45,K45,M45,O45,Q45,S45,U45,W45,Y45,AA45,AC45,AE45)</f>
        <v>8</v>
      </c>
      <c r="AH45" s="4">
        <f>CHOOSE(MATCH(Setup!$B$5,{8,10,12,14,16},0)+(MATCH(Setup!$B$7,{"STD","Half-PPR","PPR"},0)-1)*5,D45,F45,H45,J45,L45,N45,P45,R45,T45,V45,X45,Z45,AB45,AD45,AF45)</f>
        <v>0</v>
      </c>
      <c r="AI45" s="4">
        <f>ROUND(1+AH45*'Live Calc'!$D$9,0)</f>
        <v>1</v>
      </c>
      <c r="AJ45" s="4"/>
      <c r="AK45" s="4">
        <f>IF(AJ45&lt;&gt;"",AJ45,ROUND(AI45*INDEX('Live Calc'!$D$16:$D$25,MATCH(AG45,'Live Calc'!$A$16:$A$25,0))*'Live Calc'!$J$89,0))</f>
        <v>1</v>
      </c>
      <c r="AM45" s="5" t="s">
        <v>250</v>
      </c>
      <c r="AN45" s="5" t="s">
        <v>177</v>
      </c>
      <c r="AO45" s="5">
        <v>9</v>
      </c>
      <c r="AP45" s="5">
        <v>0</v>
      </c>
      <c r="AQ45" s="5">
        <v>10</v>
      </c>
      <c r="AR45" s="5">
        <v>0</v>
      </c>
      <c r="AS45" s="5">
        <v>14</v>
      </c>
      <c r="AT45" s="5">
        <v>0</v>
      </c>
      <c r="AU45" s="5">
        <v>16</v>
      </c>
      <c r="AV45" s="5">
        <v>0</v>
      </c>
      <c r="AW45" s="5">
        <v>14</v>
      </c>
      <c r="AX45" s="5">
        <v>23.857900000000001</v>
      </c>
      <c r="AY45" s="5">
        <v>9</v>
      </c>
      <c r="AZ45" s="5">
        <v>0</v>
      </c>
      <c r="BA45" s="5">
        <v>11</v>
      </c>
      <c r="BB45" s="5">
        <v>0</v>
      </c>
      <c r="BC45" s="5">
        <v>13</v>
      </c>
      <c r="BD45" s="5">
        <v>0</v>
      </c>
      <c r="BE45" s="5">
        <v>14</v>
      </c>
      <c r="BF45" s="5">
        <v>45.774299999999997</v>
      </c>
      <c r="BG45" s="5">
        <v>14</v>
      </c>
      <c r="BH45" s="5">
        <v>81.882599999999996</v>
      </c>
      <c r="BI45" s="5">
        <v>11</v>
      </c>
      <c r="BJ45" s="5">
        <v>0</v>
      </c>
      <c r="BK45" s="5">
        <v>13</v>
      </c>
      <c r="BL45" s="5">
        <v>0</v>
      </c>
      <c r="BM45" s="5">
        <v>15</v>
      </c>
      <c r="BN45" s="5">
        <v>0</v>
      </c>
      <c r="BO45" s="5">
        <v>15</v>
      </c>
      <c r="BP45" s="5">
        <v>26.294799999999999</v>
      </c>
      <c r="BQ45" s="5">
        <v>15</v>
      </c>
      <c r="BR45" s="5">
        <v>52.990099999999998</v>
      </c>
      <c r="BS45" s="5">
        <f>CHOOSE(MATCH(Setup!$B$5,{8,10,12,14,16},0)+(MATCH(Setup!$B$7,{"STD","Half-PPR","PPR"},0)-1)*5,AO45,AQ45,AS45,AU45,AW45,AY45,BA45,BC45,BE45,BG45,BI45,BK45,BM45,BO45,BQ45)</f>
        <v>13</v>
      </c>
      <c r="BT45" s="5">
        <f>CHOOSE(MATCH(Setup!$B$5,{8,10,12,14,16},0)+(MATCH(Setup!$B$7,{"STD","Half-PPR","PPR"},0)-1)*5,AP45,AR45,AT45,AV45,AX45,AZ45,BB45,BD45,BF45,BH45,BJ45,BL45,BN45,BP45,BR45)</f>
        <v>0</v>
      </c>
      <c r="BU45" s="5">
        <f>ROUND(1+BT45*'Live Calc'!$D$10,0)</f>
        <v>1</v>
      </c>
      <c r="BV45" s="5"/>
      <c r="BW45" s="5">
        <f>IF(BV45&lt;&gt;"",BV45,ROUND(BU45*INDEX('Live Calc'!$D$29:$D$46,MATCH(BS45,'Live Calc'!$A$29:$A$46,0))*'Live Calc'!$J$89,0))</f>
        <v>1</v>
      </c>
      <c r="BY45" s="6" t="s">
        <v>251</v>
      </c>
      <c r="BZ45" s="6" t="s">
        <v>177</v>
      </c>
      <c r="CA45" s="6">
        <v>14</v>
      </c>
      <c r="CB45" s="6">
        <v>0</v>
      </c>
      <c r="CC45" s="6">
        <v>17</v>
      </c>
      <c r="CD45" s="6">
        <v>0</v>
      </c>
      <c r="CE45" s="6">
        <v>16</v>
      </c>
      <c r="CF45" s="6">
        <v>32.888500000000001</v>
      </c>
      <c r="CG45" s="6">
        <v>15</v>
      </c>
      <c r="CH45" s="6">
        <v>30.202300000000001</v>
      </c>
      <c r="CI45" s="6">
        <v>15</v>
      </c>
      <c r="CJ45" s="6">
        <v>47.581200000000003</v>
      </c>
      <c r="CK45" s="6">
        <v>10</v>
      </c>
      <c r="CL45" s="6">
        <v>0</v>
      </c>
      <c r="CM45" s="6">
        <v>12</v>
      </c>
      <c r="CN45" s="6">
        <v>35.384399999999999</v>
      </c>
      <c r="CO45" s="6">
        <v>12</v>
      </c>
      <c r="CP45" s="6">
        <v>61.917700000000004</v>
      </c>
      <c r="CQ45" s="6">
        <v>11</v>
      </c>
      <c r="CR45" s="6">
        <v>52.501100000000001</v>
      </c>
      <c r="CS45" s="6">
        <v>12</v>
      </c>
      <c r="CT45" s="6">
        <v>97.282799999999995</v>
      </c>
      <c r="CU45" s="6">
        <v>12</v>
      </c>
      <c r="CV45" s="6">
        <v>0</v>
      </c>
      <c r="CW45" s="6">
        <v>11</v>
      </c>
      <c r="CX45" s="6">
        <v>10.3406</v>
      </c>
      <c r="CY45" s="6">
        <v>11</v>
      </c>
      <c r="CZ45" s="6">
        <v>107.77419999999999</v>
      </c>
      <c r="DA45" s="6">
        <v>11</v>
      </c>
      <c r="DB45" s="6">
        <v>93.103499999999997</v>
      </c>
      <c r="DC45" s="6">
        <v>11</v>
      </c>
      <c r="DD45" s="6">
        <v>94.427999999999997</v>
      </c>
      <c r="DE45" s="6">
        <f>CHOOSE(MATCH(Setup!$B$5,{8,10,12,14,16},0)+(MATCH(Setup!$B$7,{"STD","Half-PPR","PPR"},0)-1)*5,CA45,CC45,CE45,CG45,CI45,CK45,CM45,CO45,CQ45,CS45,CU45,CW45,CY45,DA45,DC45)</f>
        <v>12</v>
      </c>
      <c r="DF45" s="6">
        <f>CHOOSE(MATCH(Setup!$B$5,{8,10,12,14,16},0)+(MATCH(Setup!$B$7,{"STD","Half-PPR","PPR"},0)-1)*5,CB45,CD45,CF45,CH45,CJ45,CL45,CN45,CP45,CR45,CT45,CV45,CX45,CZ45,DB45,DD45)</f>
        <v>61.917700000000004</v>
      </c>
      <c r="DG45" s="6">
        <f>ROUND(1+DF45*'Live Calc'!$D$11,0)</f>
        <v>7</v>
      </c>
      <c r="DH45" s="6"/>
      <c r="DI45" s="6">
        <f>IF(DH45&lt;&gt;"",DH45,ROUND(DG45*INDEX('Live Calc'!$D$50:$D$70,MATCH(DE45,'Live Calc'!$A$50:$A$70,0))*'Live Calc'!$J$89,0))</f>
        <v>7</v>
      </c>
      <c r="DK45" s="7" t="s">
        <v>252</v>
      </c>
      <c r="DL45" s="7" t="s">
        <v>253</v>
      </c>
      <c r="DM45" s="7">
        <v>8</v>
      </c>
      <c r="DN45" s="7">
        <v>0</v>
      </c>
      <c r="DO45" s="7">
        <v>9</v>
      </c>
      <c r="DP45" s="7">
        <v>0</v>
      </c>
      <c r="DQ45" s="7">
        <v>10</v>
      </c>
      <c r="DR45" s="7">
        <v>0</v>
      </c>
      <c r="DS45" s="7">
        <v>11</v>
      </c>
      <c r="DT45" s="7">
        <v>0</v>
      </c>
      <c r="DU45" s="7">
        <v>12</v>
      </c>
      <c r="DV45" s="7">
        <v>0</v>
      </c>
      <c r="DW45" s="7">
        <v>6</v>
      </c>
      <c r="DX45" s="7">
        <v>0</v>
      </c>
      <c r="DY45" s="7">
        <v>9</v>
      </c>
      <c r="DZ45" s="7">
        <v>0</v>
      </c>
      <c r="EA45" s="7">
        <v>9</v>
      </c>
      <c r="EB45" s="7">
        <v>0</v>
      </c>
      <c r="EC45" s="7">
        <v>11</v>
      </c>
      <c r="ED45" s="7">
        <v>0</v>
      </c>
      <c r="EE45" s="7">
        <v>12</v>
      </c>
      <c r="EF45" s="7">
        <v>0</v>
      </c>
      <c r="EG45" s="7">
        <v>5</v>
      </c>
      <c r="EH45" s="7">
        <v>0</v>
      </c>
      <c r="EI45" s="7">
        <v>6</v>
      </c>
      <c r="EJ45" s="7">
        <v>0</v>
      </c>
      <c r="EK45" s="7">
        <v>7</v>
      </c>
      <c r="EL45" s="7">
        <v>0</v>
      </c>
      <c r="EM45" s="7">
        <v>10</v>
      </c>
      <c r="EN45" s="7">
        <v>0</v>
      </c>
      <c r="EO45" s="7">
        <v>11</v>
      </c>
      <c r="EP45" s="7">
        <v>0</v>
      </c>
      <c r="EQ45" s="7">
        <f>CHOOSE(MATCH(Setup!$B$5,{8,10,12,14,16},0)+(MATCH(Setup!$B$7,{"STD","Half-PPR","PPR"},0)-1)*5,DM45,DO45,DQ45,DS45,DU45,DW45,DY45,EA45,EC45,EE45,EG45,EI45,EK45,EM45,EO45)</f>
        <v>9</v>
      </c>
      <c r="ER45" s="7">
        <f>CHOOSE(MATCH(Setup!$B$5,{8,10,12,14,16},0)+(MATCH(Setup!$B$7,{"STD","Half-PPR","PPR"},0)-1)*5,DN45,DP45,DR45,DT45,DV45,DX45,DZ45,EB45,ED45,EF45,EH45,EJ45,EL45,EN45,EP45)</f>
        <v>0</v>
      </c>
      <c r="ES45" s="7">
        <f>ROUND(1+ER45*'Live Calc'!$D$12,0)</f>
        <v>1</v>
      </c>
      <c r="ET45" s="7"/>
      <c r="EU45" s="7">
        <f>IF(ET45&lt;&gt;"",ET45,ROUND(ES45*INDEX('Live Calc'!$D$74:$D$85,MATCH(EQ45,'Live Calc'!$A$74:$A$85,0))*'Live Calc'!$J$89,0))</f>
        <v>1</v>
      </c>
    </row>
    <row r="46" spans="1:151" x14ac:dyDescent="0.25">
      <c r="A46" s="4" t="s">
        <v>254</v>
      </c>
      <c r="B46" s="4" t="s">
        <v>117</v>
      </c>
      <c r="C46" s="4">
        <v>6</v>
      </c>
      <c r="D46" s="4">
        <v>0</v>
      </c>
      <c r="E46" s="4">
        <v>7</v>
      </c>
      <c r="F46" s="4">
        <v>0</v>
      </c>
      <c r="G46" s="4">
        <v>8</v>
      </c>
      <c r="H46" s="4">
        <v>0</v>
      </c>
      <c r="I46" s="4">
        <v>9</v>
      </c>
      <c r="J46" s="4">
        <v>0</v>
      </c>
      <c r="K46" s="4">
        <v>9</v>
      </c>
      <c r="L46" s="4">
        <v>0</v>
      </c>
      <c r="M46" s="4">
        <v>5</v>
      </c>
      <c r="N46" s="4">
        <v>0</v>
      </c>
      <c r="O46" s="4">
        <v>6</v>
      </c>
      <c r="P46" s="4">
        <v>0</v>
      </c>
      <c r="Q46" s="4">
        <v>8</v>
      </c>
      <c r="R46" s="4">
        <v>0</v>
      </c>
      <c r="S46" s="4">
        <v>8</v>
      </c>
      <c r="T46" s="4">
        <v>0</v>
      </c>
      <c r="U46" s="4">
        <v>8</v>
      </c>
      <c r="V46" s="4">
        <v>0</v>
      </c>
      <c r="W46" s="4">
        <v>6</v>
      </c>
      <c r="X46" s="4">
        <v>0</v>
      </c>
      <c r="Y46" s="4">
        <v>8</v>
      </c>
      <c r="Z46" s="4">
        <v>0</v>
      </c>
      <c r="AA46" s="4">
        <v>9</v>
      </c>
      <c r="AB46" s="4">
        <v>0</v>
      </c>
      <c r="AC46" s="4">
        <v>10</v>
      </c>
      <c r="AD46" s="4">
        <v>0</v>
      </c>
      <c r="AE46" s="4">
        <v>9</v>
      </c>
      <c r="AF46" s="4">
        <v>0</v>
      </c>
      <c r="AG46" s="4">
        <f>CHOOSE(MATCH(Setup!$B$5,{8,10,12,14,16},0)+(MATCH(Setup!$B$7,{"STD","Half-PPR","PPR"},0)-1)*5,C46,E46,G46,I46,K46,M46,O46,Q46,S46,U46,W46,Y46,AA46,AC46,AE46)</f>
        <v>8</v>
      </c>
      <c r="AH46" s="4">
        <f>CHOOSE(MATCH(Setup!$B$5,{8,10,12,14,16},0)+(MATCH(Setup!$B$7,{"STD","Half-PPR","PPR"},0)-1)*5,D46,F46,H46,J46,L46,N46,P46,R46,T46,V46,X46,Z46,AB46,AD46,AF46)</f>
        <v>0</v>
      </c>
      <c r="AI46" s="4">
        <f>ROUND(1+AH46*'Live Calc'!$D$9,0)</f>
        <v>1</v>
      </c>
      <c r="AJ46" s="4"/>
      <c r="AK46" s="4">
        <f>IF(AJ46&lt;&gt;"",AJ46,ROUND(AI46*INDEX('Live Calc'!$D$16:$D$25,MATCH(AG46,'Live Calc'!$A$16:$A$25,0))*'Live Calc'!$J$89,0))</f>
        <v>1</v>
      </c>
      <c r="AM46" s="5" t="s">
        <v>255</v>
      </c>
      <c r="AN46" s="5" t="s">
        <v>48</v>
      </c>
      <c r="AO46" s="5">
        <v>9</v>
      </c>
      <c r="AP46" s="5">
        <v>0</v>
      </c>
      <c r="AQ46" s="5">
        <v>10</v>
      </c>
      <c r="AR46" s="5">
        <v>0</v>
      </c>
      <c r="AS46" s="5">
        <v>14</v>
      </c>
      <c r="AT46" s="5">
        <v>0</v>
      </c>
      <c r="AU46" s="5">
        <v>14</v>
      </c>
      <c r="AV46" s="5">
        <v>10.397600000000001</v>
      </c>
      <c r="AW46" s="5">
        <v>14</v>
      </c>
      <c r="AX46" s="5">
        <v>38.988199999999999</v>
      </c>
      <c r="AY46" s="5">
        <v>9</v>
      </c>
      <c r="AZ46" s="5">
        <v>0</v>
      </c>
      <c r="BA46" s="5">
        <v>11</v>
      </c>
      <c r="BB46" s="5">
        <v>0</v>
      </c>
      <c r="BC46" s="5">
        <v>13</v>
      </c>
      <c r="BD46" s="5">
        <v>0</v>
      </c>
      <c r="BE46" s="5">
        <v>14</v>
      </c>
      <c r="BF46" s="5">
        <v>41.702100000000002</v>
      </c>
      <c r="BG46" s="5">
        <v>14</v>
      </c>
      <c r="BH46" s="5">
        <v>77.382499999999993</v>
      </c>
      <c r="BI46" s="5">
        <v>11</v>
      </c>
      <c r="BJ46" s="5">
        <v>0</v>
      </c>
      <c r="BK46" s="5">
        <v>13</v>
      </c>
      <c r="BL46" s="5">
        <v>0</v>
      </c>
      <c r="BM46" s="5">
        <v>15</v>
      </c>
      <c r="BN46" s="5">
        <v>0</v>
      </c>
      <c r="BO46" s="5">
        <v>16</v>
      </c>
      <c r="BP46" s="5">
        <v>4.6074000000000002</v>
      </c>
      <c r="BQ46" s="5">
        <v>16</v>
      </c>
      <c r="BR46" s="5">
        <v>29.0886</v>
      </c>
      <c r="BS46" s="5">
        <f>CHOOSE(MATCH(Setup!$B$5,{8,10,12,14,16},0)+(MATCH(Setup!$B$7,{"STD","Half-PPR","PPR"},0)-1)*5,AO46,AQ46,AS46,AU46,AW46,AY46,BA46,BC46,BE46,BG46,BI46,BK46,BM46,BO46,BQ46)</f>
        <v>13</v>
      </c>
      <c r="BT46" s="5">
        <f>CHOOSE(MATCH(Setup!$B$5,{8,10,12,14,16},0)+(MATCH(Setup!$B$7,{"STD","Half-PPR","PPR"},0)-1)*5,AP46,AR46,AT46,AV46,AX46,AZ46,BB46,BD46,BF46,BH46,BJ46,BL46,BN46,BP46,BR46)</f>
        <v>0</v>
      </c>
      <c r="BU46" s="5">
        <f>ROUND(1+BT46*'Live Calc'!$D$10,0)</f>
        <v>1</v>
      </c>
      <c r="BV46" s="5"/>
      <c r="BW46" s="5">
        <f>IF(BV46&lt;&gt;"",BV46,ROUND(BU46*INDEX('Live Calc'!$D$29:$D$46,MATCH(BS46,'Live Calc'!$A$29:$A$46,0))*'Live Calc'!$J$89,0))</f>
        <v>1</v>
      </c>
      <c r="BY46" s="6" t="s">
        <v>256</v>
      </c>
      <c r="BZ46" s="6" t="s">
        <v>110</v>
      </c>
      <c r="CA46" s="6">
        <v>14</v>
      </c>
      <c r="CB46" s="6">
        <v>0</v>
      </c>
      <c r="CC46" s="6">
        <v>14</v>
      </c>
      <c r="CD46" s="6">
        <v>12.6973</v>
      </c>
      <c r="CE46" s="6">
        <v>14</v>
      </c>
      <c r="CF46" s="6">
        <v>55.5822</v>
      </c>
      <c r="CG46" s="6">
        <v>14</v>
      </c>
      <c r="CH46" s="6">
        <v>45.619</v>
      </c>
      <c r="CI46" s="6">
        <v>14</v>
      </c>
      <c r="CJ46" s="6">
        <v>63.5486</v>
      </c>
      <c r="CK46" s="6">
        <v>10</v>
      </c>
      <c r="CL46" s="6">
        <v>0</v>
      </c>
      <c r="CM46" s="6">
        <v>11</v>
      </c>
      <c r="CN46" s="6">
        <v>45.2545</v>
      </c>
      <c r="CO46" s="6">
        <v>11</v>
      </c>
      <c r="CP46" s="6">
        <v>71.026499999999999</v>
      </c>
      <c r="CQ46" s="6">
        <v>10</v>
      </c>
      <c r="CR46" s="6">
        <v>58.478400000000001</v>
      </c>
      <c r="CS46" s="6">
        <v>11</v>
      </c>
      <c r="CT46" s="6">
        <v>105.2046</v>
      </c>
      <c r="CU46" s="6">
        <v>12</v>
      </c>
      <c r="CV46" s="6">
        <v>0</v>
      </c>
      <c r="CW46" s="6">
        <v>11</v>
      </c>
      <c r="CX46" s="6">
        <v>4.2241</v>
      </c>
      <c r="CY46" s="6">
        <v>11</v>
      </c>
      <c r="CZ46" s="6">
        <v>91.130799999999994</v>
      </c>
      <c r="DA46" s="6">
        <v>12</v>
      </c>
      <c r="DB46" s="6">
        <v>82.164500000000004</v>
      </c>
      <c r="DC46" s="6">
        <v>12</v>
      </c>
      <c r="DD46" s="6">
        <v>85.638199999999998</v>
      </c>
      <c r="DE46" s="6">
        <f>CHOOSE(MATCH(Setup!$B$5,{8,10,12,14,16},0)+(MATCH(Setup!$B$7,{"STD","Half-PPR","PPR"},0)-1)*5,CA46,CC46,CE46,CG46,CI46,CK46,CM46,CO46,CQ46,CS46,CU46,CW46,CY46,DA46,DC46)</f>
        <v>11</v>
      </c>
      <c r="DF46" s="6">
        <f>CHOOSE(MATCH(Setup!$B$5,{8,10,12,14,16},0)+(MATCH(Setup!$B$7,{"STD","Half-PPR","PPR"},0)-1)*5,CB46,CD46,CF46,CH46,CJ46,CL46,CN46,CP46,CR46,CT46,CV46,CX46,CZ46,DB46,DD46)</f>
        <v>71.026499999999999</v>
      </c>
      <c r="DG46" s="6">
        <f>ROUND(1+DF46*'Live Calc'!$D$11,0)</f>
        <v>8</v>
      </c>
      <c r="DH46" s="6"/>
      <c r="DI46" s="6">
        <f>IF(DH46&lt;&gt;"",DH46,ROUND(DG46*INDEX('Live Calc'!$D$50:$D$70,MATCH(DE46,'Live Calc'!$A$50:$A$70,0))*'Live Calc'!$J$89,0))</f>
        <v>8</v>
      </c>
      <c r="DK46" s="7" t="s">
        <v>257</v>
      </c>
      <c r="DL46" s="7" t="s">
        <v>68</v>
      </c>
      <c r="DM46" s="7">
        <v>8</v>
      </c>
      <c r="DN46" s="7">
        <v>0</v>
      </c>
      <c r="DO46" s="7">
        <v>9</v>
      </c>
      <c r="DP46" s="7">
        <v>0</v>
      </c>
      <c r="DQ46" s="7">
        <v>10</v>
      </c>
      <c r="DR46" s="7">
        <v>0</v>
      </c>
      <c r="DS46" s="7">
        <v>11</v>
      </c>
      <c r="DT46" s="7">
        <v>0</v>
      </c>
      <c r="DU46" s="7">
        <v>12</v>
      </c>
      <c r="DV46" s="7">
        <v>0</v>
      </c>
      <c r="DW46" s="7">
        <v>6</v>
      </c>
      <c r="DX46" s="7">
        <v>0</v>
      </c>
      <c r="DY46" s="7">
        <v>9</v>
      </c>
      <c r="DZ46" s="7">
        <v>0</v>
      </c>
      <c r="EA46" s="7">
        <v>9</v>
      </c>
      <c r="EB46" s="7">
        <v>0</v>
      </c>
      <c r="EC46" s="7">
        <v>11</v>
      </c>
      <c r="ED46" s="7">
        <v>0</v>
      </c>
      <c r="EE46" s="7">
        <v>12</v>
      </c>
      <c r="EF46" s="7">
        <v>0</v>
      </c>
      <c r="EG46" s="7">
        <v>5</v>
      </c>
      <c r="EH46" s="7">
        <v>0</v>
      </c>
      <c r="EI46" s="7">
        <v>6</v>
      </c>
      <c r="EJ46" s="7">
        <v>0</v>
      </c>
      <c r="EK46" s="7">
        <v>7</v>
      </c>
      <c r="EL46" s="7">
        <v>0</v>
      </c>
      <c r="EM46" s="7">
        <v>10</v>
      </c>
      <c r="EN46" s="7">
        <v>0</v>
      </c>
      <c r="EO46" s="7">
        <v>11</v>
      </c>
      <c r="EP46" s="7">
        <v>0</v>
      </c>
      <c r="EQ46" s="7">
        <f>CHOOSE(MATCH(Setup!$B$5,{8,10,12,14,16},0)+(MATCH(Setup!$B$7,{"STD","Half-PPR","PPR"},0)-1)*5,DM46,DO46,DQ46,DS46,DU46,DW46,DY46,EA46,EC46,EE46,EG46,EI46,EK46,EM46,EO46)</f>
        <v>9</v>
      </c>
      <c r="ER46" s="7">
        <f>CHOOSE(MATCH(Setup!$B$5,{8,10,12,14,16},0)+(MATCH(Setup!$B$7,{"STD","Half-PPR","PPR"},0)-1)*5,DN46,DP46,DR46,DT46,DV46,DX46,DZ46,EB46,ED46,EF46,EH46,EJ46,EL46,EN46,EP46)</f>
        <v>0</v>
      </c>
      <c r="ES46" s="7">
        <f>ROUND(1+ER46*'Live Calc'!$D$12,0)</f>
        <v>1</v>
      </c>
      <c r="ET46" s="7"/>
      <c r="EU46" s="7">
        <f>IF(ET46&lt;&gt;"",ET46,ROUND(ES46*INDEX('Live Calc'!$D$74:$D$85,MATCH(EQ46,'Live Calc'!$A$74:$A$85,0))*'Live Calc'!$J$89,0))</f>
        <v>1</v>
      </c>
    </row>
    <row r="47" spans="1:151" x14ac:dyDescent="0.25">
      <c r="A47" s="4" t="s">
        <v>258</v>
      </c>
      <c r="B47" s="4" t="s">
        <v>64</v>
      </c>
      <c r="C47" s="4">
        <v>6</v>
      </c>
      <c r="D47" s="4">
        <v>0</v>
      </c>
      <c r="E47" s="4">
        <v>7</v>
      </c>
      <c r="F47" s="4">
        <v>0</v>
      </c>
      <c r="G47" s="4">
        <v>8</v>
      </c>
      <c r="H47" s="4">
        <v>0</v>
      </c>
      <c r="I47" s="4">
        <v>9</v>
      </c>
      <c r="J47" s="4">
        <v>0</v>
      </c>
      <c r="K47" s="4">
        <v>9</v>
      </c>
      <c r="L47" s="4">
        <v>0</v>
      </c>
      <c r="M47" s="4">
        <v>5</v>
      </c>
      <c r="N47" s="4">
        <v>0</v>
      </c>
      <c r="O47" s="4">
        <v>6</v>
      </c>
      <c r="P47" s="4">
        <v>0</v>
      </c>
      <c r="Q47" s="4">
        <v>8</v>
      </c>
      <c r="R47" s="4">
        <v>0</v>
      </c>
      <c r="S47" s="4">
        <v>8</v>
      </c>
      <c r="T47" s="4">
        <v>0</v>
      </c>
      <c r="U47" s="4">
        <v>8</v>
      </c>
      <c r="V47" s="4">
        <v>0</v>
      </c>
      <c r="W47" s="4">
        <v>6</v>
      </c>
      <c r="X47" s="4">
        <v>0</v>
      </c>
      <c r="Y47" s="4">
        <v>8</v>
      </c>
      <c r="Z47" s="4">
        <v>0</v>
      </c>
      <c r="AA47" s="4">
        <v>9</v>
      </c>
      <c r="AB47" s="4">
        <v>0</v>
      </c>
      <c r="AC47" s="4">
        <v>10</v>
      </c>
      <c r="AD47" s="4">
        <v>0</v>
      </c>
      <c r="AE47" s="4">
        <v>9</v>
      </c>
      <c r="AF47" s="4">
        <v>0</v>
      </c>
      <c r="AG47" s="4">
        <f>CHOOSE(MATCH(Setup!$B$5,{8,10,12,14,16},0)+(MATCH(Setup!$B$7,{"STD","Half-PPR","PPR"},0)-1)*5,C47,E47,G47,I47,K47,M47,O47,Q47,S47,U47,W47,Y47,AA47,AC47,AE47)</f>
        <v>8</v>
      </c>
      <c r="AH47" s="4">
        <f>CHOOSE(MATCH(Setup!$B$5,{8,10,12,14,16},0)+(MATCH(Setup!$B$7,{"STD","Half-PPR","PPR"},0)-1)*5,D47,F47,H47,J47,L47,N47,P47,R47,T47,V47,X47,Z47,AB47,AD47,AF47)</f>
        <v>0</v>
      </c>
      <c r="AI47" s="4">
        <f>ROUND(1+AH47*'Live Calc'!$D$9,0)</f>
        <v>1</v>
      </c>
      <c r="AJ47" s="4"/>
      <c r="AK47" s="4">
        <f>IF(AJ47&lt;&gt;"",AJ47,ROUND(AI47*INDEX('Live Calc'!$D$16:$D$25,MATCH(AG47,'Live Calc'!$A$16:$A$25,0))*'Live Calc'!$J$89,0))</f>
        <v>1</v>
      </c>
      <c r="AM47" s="5" t="s">
        <v>259</v>
      </c>
      <c r="AN47" s="5" t="s">
        <v>107</v>
      </c>
      <c r="AO47" s="5">
        <v>9</v>
      </c>
      <c r="AP47" s="5">
        <v>0</v>
      </c>
      <c r="AQ47" s="5">
        <v>10</v>
      </c>
      <c r="AR47" s="5">
        <v>0</v>
      </c>
      <c r="AS47" s="5">
        <v>14</v>
      </c>
      <c r="AT47" s="5">
        <v>0</v>
      </c>
      <c r="AU47" s="5">
        <v>15</v>
      </c>
      <c r="AV47" s="5">
        <v>3.5131999999999999</v>
      </c>
      <c r="AW47" s="5">
        <v>14</v>
      </c>
      <c r="AX47" s="5">
        <v>29.386099999999999</v>
      </c>
      <c r="AY47" s="5">
        <v>9</v>
      </c>
      <c r="AZ47" s="5">
        <v>0</v>
      </c>
      <c r="BA47" s="5">
        <v>11</v>
      </c>
      <c r="BB47" s="5">
        <v>0</v>
      </c>
      <c r="BC47" s="5">
        <v>13</v>
      </c>
      <c r="BD47" s="5">
        <v>0</v>
      </c>
      <c r="BE47" s="5">
        <v>14</v>
      </c>
      <c r="BF47" s="5">
        <v>40.125</v>
      </c>
      <c r="BG47" s="5">
        <v>14</v>
      </c>
      <c r="BH47" s="5">
        <v>75.632000000000005</v>
      </c>
      <c r="BI47" s="5">
        <v>11</v>
      </c>
      <c r="BJ47" s="5">
        <v>0</v>
      </c>
      <c r="BK47" s="5">
        <v>13</v>
      </c>
      <c r="BL47" s="5">
        <v>0</v>
      </c>
      <c r="BM47" s="5">
        <v>15</v>
      </c>
      <c r="BN47" s="5">
        <v>0</v>
      </c>
      <c r="BO47" s="5">
        <v>16</v>
      </c>
      <c r="BP47" s="5">
        <v>7.5414000000000003</v>
      </c>
      <c r="BQ47" s="5">
        <v>16</v>
      </c>
      <c r="BR47" s="5">
        <v>32.492199999999997</v>
      </c>
      <c r="BS47" s="5">
        <f>CHOOSE(MATCH(Setup!$B$5,{8,10,12,14,16},0)+(MATCH(Setup!$B$7,{"STD","Half-PPR","PPR"},0)-1)*5,AO47,AQ47,AS47,AU47,AW47,AY47,BA47,BC47,BE47,BG47,BI47,BK47,BM47,BO47,BQ47)</f>
        <v>13</v>
      </c>
      <c r="BT47" s="5">
        <f>CHOOSE(MATCH(Setup!$B$5,{8,10,12,14,16},0)+(MATCH(Setup!$B$7,{"STD","Half-PPR","PPR"},0)-1)*5,AP47,AR47,AT47,AV47,AX47,AZ47,BB47,BD47,BF47,BH47,BJ47,BL47,BN47,BP47,BR47)</f>
        <v>0</v>
      </c>
      <c r="BU47" s="5">
        <f>ROUND(1+BT47*'Live Calc'!$D$10,0)</f>
        <v>1</v>
      </c>
      <c r="BV47" s="5"/>
      <c r="BW47" s="5">
        <f>IF(BV47&lt;&gt;"",BV47,ROUND(BU47*INDEX('Live Calc'!$D$29:$D$46,MATCH(BS47,'Live Calc'!$A$29:$A$46,0))*'Live Calc'!$J$89,0))</f>
        <v>1</v>
      </c>
      <c r="BY47" s="6" t="s">
        <v>260</v>
      </c>
      <c r="BZ47" s="6" t="s">
        <v>91</v>
      </c>
      <c r="CA47" s="6">
        <v>14</v>
      </c>
      <c r="CB47" s="6">
        <v>0</v>
      </c>
      <c r="CC47" s="6">
        <v>14</v>
      </c>
      <c r="CD47" s="6">
        <v>11.164999999999999</v>
      </c>
      <c r="CE47" s="6">
        <v>14</v>
      </c>
      <c r="CF47" s="6">
        <v>52.985599999999998</v>
      </c>
      <c r="CG47" s="6">
        <v>14</v>
      </c>
      <c r="CH47" s="6">
        <v>43.890900000000002</v>
      </c>
      <c r="CI47" s="6">
        <v>14</v>
      </c>
      <c r="CJ47" s="6">
        <v>61.7669</v>
      </c>
      <c r="CK47" s="6">
        <v>10</v>
      </c>
      <c r="CL47" s="6">
        <v>0</v>
      </c>
      <c r="CM47" s="6">
        <v>11</v>
      </c>
      <c r="CN47" s="6">
        <v>45.0884</v>
      </c>
      <c r="CO47" s="6">
        <v>11</v>
      </c>
      <c r="CP47" s="6">
        <v>70.875100000000003</v>
      </c>
      <c r="CQ47" s="6">
        <v>10</v>
      </c>
      <c r="CR47" s="6">
        <v>58.3797</v>
      </c>
      <c r="CS47" s="6">
        <v>11</v>
      </c>
      <c r="CT47" s="6">
        <v>105.0737</v>
      </c>
      <c r="CU47" s="6">
        <v>12</v>
      </c>
      <c r="CV47" s="6">
        <v>0</v>
      </c>
      <c r="CW47" s="6">
        <v>11</v>
      </c>
      <c r="CX47" s="6">
        <v>8.0304000000000002</v>
      </c>
      <c r="CY47" s="6">
        <v>11</v>
      </c>
      <c r="CZ47" s="6">
        <v>101.5008</v>
      </c>
      <c r="DA47" s="6">
        <v>11</v>
      </c>
      <c r="DB47" s="6">
        <v>89.002300000000005</v>
      </c>
      <c r="DC47" s="6">
        <v>11</v>
      </c>
      <c r="DD47" s="6">
        <v>91.140199999999993</v>
      </c>
      <c r="DE47" s="6">
        <f>CHOOSE(MATCH(Setup!$B$5,{8,10,12,14,16},0)+(MATCH(Setup!$B$7,{"STD","Half-PPR","PPR"},0)-1)*5,CA47,CC47,CE47,CG47,CI47,CK47,CM47,CO47,CQ47,CS47,CU47,CW47,CY47,DA47,DC47)</f>
        <v>11</v>
      </c>
      <c r="DF47" s="6">
        <f>CHOOSE(MATCH(Setup!$B$5,{8,10,12,14,16},0)+(MATCH(Setup!$B$7,{"STD","Half-PPR","PPR"},0)-1)*5,CB47,CD47,CF47,CH47,CJ47,CL47,CN47,CP47,CR47,CT47,CV47,CX47,CZ47,DB47,DD47)</f>
        <v>70.875100000000003</v>
      </c>
      <c r="DG47" s="6">
        <f>ROUND(1+DF47*'Live Calc'!$D$11,0)</f>
        <v>8</v>
      </c>
      <c r="DH47" s="6"/>
      <c r="DI47" s="6">
        <f>IF(DH47&lt;&gt;"",DH47,ROUND(DG47*INDEX('Live Calc'!$D$50:$D$70,MATCH(DE47,'Live Calc'!$A$50:$A$70,0))*'Live Calc'!$J$89,0))</f>
        <v>8</v>
      </c>
      <c r="DK47" s="7" t="s">
        <v>261</v>
      </c>
      <c r="DL47" s="7" t="s">
        <v>50</v>
      </c>
      <c r="DM47" s="7">
        <v>8</v>
      </c>
      <c r="DN47" s="7">
        <v>0</v>
      </c>
      <c r="DO47" s="7">
        <v>9</v>
      </c>
      <c r="DP47" s="7">
        <v>0</v>
      </c>
      <c r="DQ47" s="7">
        <v>10</v>
      </c>
      <c r="DR47" s="7">
        <v>0</v>
      </c>
      <c r="DS47" s="7">
        <v>11</v>
      </c>
      <c r="DT47" s="7">
        <v>0</v>
      </c>
      <c r="DU47" s="7">
        <v>12</v>
      </c>
      <c r="DV47" s="7">
        <v>0</v>
      </c>
      <c r="DW47" s="7">
        <v>6</v>
      </c>
      <c r="DX47" s="7">
        <v>0</v>
      </c>
      <c r="DY47" s="7">
        <v>9</v>
      </c>
      <c r="DZ47" s="7">
        <v>0</v>
      </c>
      <c r="EA47" s="7">
        <v>9</v>
      </c>
      <c r="EB47" s="7">
        <v>0</v>
      </c>
      <c r="EC47" s="7">
        <v>11</v>
      </c>
      <c r="ED47" s="7">
        <v>0</v>
      </c>
      <c r="EE47" s="7">
        <v>12</v>
      </c>
      <c r="EF47" s="7">
        <v>0</v>
      </c>
      <c r="EG47" s="7">
        <v>5</v>
      </c>
      <c r="EH47" s="7">
        <v>0</v>
      </c>
      <c r="EI47" s="7">
        <v>6</v>
      </c>
      <c r="EJ47" s="7">
        <v>0</v>
      </c>
      <c r="EK47" s="7">
        <v>7</v>
      </c>
      <c r="EL47" s="7">
        <v>0</v>
      </c>
      <c r="EM47" s="7">
        <v>10</v>
      </c>
      <c r="EN47" s="7">
        <v>0</v>
      </c>
      <c r="EO47" s="7">
        <v>11</v>
      </c>
      <c r="EP47" s="7">
        <v>0</v>
      </c>
      <c r="EQ47" s="7">
        <f>CHOOSE(MATCH(Setup!$B$5,{8,10,12,14,16},0)+(MATCH(Setup!$B$7,{"STD","Half-PPR","PPR"},0)-1)*5,DM47,DO47,DQ47,DS47,DU47,DW47,DY47,EA47,EC47,EE47,EG47,EI47,EK47,EM47,EO47)</f>
        <v>9</v>
      </c>
      <c r="ER47" s="7">
        <f>CHOOSE(MATCH(Setup!$B$5,{8,10,12,14,16},0)+(MATCH(Setup!$B$7,{"STD","Half-PPR","PPR"},0)-1)*5,DN47,DP47,DR47,DT47,DV47,DX47,DZ47,EB47,ED47,EF47,EH47,EJ47,EL47,EN47,EP47)</f>
        <v>0</v>
      </c>
      <c r="ES47" s="7">
        <f>ROUND(1+ER47*'Live Calc'!$D$12,0)</f>
        <v>1</v>
      </c>
      <c r="ET47" s="7"/>
      <c r="EU47" s="7">
        <f>IF(ET47&lt;&gt;"",ET47,ROUND(ES47*INDEX('Live Calc'!$D$74:$D$85,MATCH(EQ47,'Live Calc'!$A$74:$A$85,0))*'Live Calc'!$J$89,0))</f>
        <v>1</v>
      </c>
    </row>
    <row r="48" spans="1:151" x14ac:dyDescent="0.25">
      <c r="A48" s="4" t="s">
        <v>262</v>
      </c>
      <c r="B48" s="4" t="s">
        <v>50</v>
      </c>
      <c r="C48" s="4">
        <v>6</v>
      </c>
      <c r="D48" s="4">
        <v>0</v>
      </c>
      <c r="E48" s="4">
        <v>7</v>
      </c>
      <c r="F48" s="4">
        <v>0</v>
      </c>
      <c r="G48" s="4">
        <v>8</v>
      </c>
      <c r="H48" s="4">
        <v>0</v>
      </c>
      <c r="I48" s="4">
        <v>9</v>
      </c>
      <c r="J48" s="4">
        <v>0</v>
      </c>
      <c r="K48" s="4">
        <v>9</v>
      </c>
      <c r="L48" s="4">
        <v>0</v>
      </c>
      <c r="M48" s="4">
        <v>5</v>
      </c>
      <c r="N48" s="4">
        <v>0</v>
      </c>
      <c r="O48" s="4">
        <v>6</v>
      </c>
      <c r="P48" s="4">
        <v>0</v>
      </c>
      <c r="Q48" s="4">
        <v>8</v>
      </c>
      <c r="R48" s="4">
        <v>0</v>
      </c>
      <c r="S48" s="4">
        <v>8</v>
      </c>
      <c r="T48" s="4">
        <v>0</v>
      </c>
      <c r="U48" s="4">
        <v>8</v>
      </c>
      <c r="V48" s="4">
        <v>0</v>
      </c>
      <c r="W48" s="4">
        <v>6</v>
      </c>
      <c r="X48" s="4">
        <v>0</v>
      </c>
      <c r="Y48" s="4">
        <v>8</v>
      </c>
      <c r="Z48" s="4">
        <v>0</v>
      </c>
      <c r="AA48" s="4">
        <v>9</v>
      </c>
      <c r="AB48" s="4">
        <v>0</v>
      </c>
      <c r="AC48" s="4">
        <v>10</v>
      </c>
      <c r="AD48" s="4">
        <v>0</v>
      </c>
      <c r="AE48" s="4">
        <v>9</v>
      </c>
      <c r="AF48" s="4">
        <v>0</v>
      </c>
      <c r="AG48" s="4">
        <f>CHOOSE(MATCH(Setup!$B$5,{8,10,12,14,16},0)+(MATCH(Setup!$B$7,{"STD","Half-PPR","PPR"},0)-1)*5,C48,E48,G48,I48,K48,M48,O48,Q48,S48,U48,W48,Y48,AA48,AC48,AE48)</f>
        <v>8</v>
      </c>
      <c r="AH48" s="4">
        <f>CHOOSE(MATCH(Setup!$B$5,{8,10,12,14,16},0)+(MATCH(Setup!$B$7,{"STD","Half-PPR","PPR"},0)-1)*5,D48,F48,H48,J48,L48,N48,P48,R48,T48,V48,X48,Z48,AB48,AD48,AF48)</f>
        <v>0</v>
      </c>
      <c r="AI48" s="4">
        <f>ROUND(1+AH48*'Live Calc'!$D$9,0)</f>
        <v>1</v>
      </c>
      <c r="AJ48" s="4"/>
      <c r="AK48" s="4">
        <f>IF(AJ48&lt;&gt;"",AJ48,ROUND(AI48*INDEX('Live Calc'!$D$16:$D$25,MATCH(AG48,'Live Calc'!$A$16:$A$25,0))*'Live Calc'!$J$89,0))</f>
        <v>1</v>
      </c>
      <c r="AM48" s="5" t="s">
        <v>263</v>
      </c>
      <c r="AN48" s="5" t="s">
        <v>66</v>
      </c>
      <c r="AO48" s="5">
        <v>9</v>
      </c>
      <c r="AP48" s="5">
        <v>0</v>
      </c>
      <c r="AQ48" s="5">
        <v>10</v>
      </c>
      <c r="AR48" s="5">
        <v>0</v>
      </c>
      <c r="AS48" s="5">
        <v>14</v>
      </c>
      <c r="AT48" s="5">
        <v>0</v>
      </c>
      <c r="AU48" s="5">
        <v>14</v>
      </c>
      <c r="AV48" s="5">
        <v>8.3140999999999998</v>
      </c>
      <c r="AW48" s="5">
        <v>14</v>
      </c>
      <c r="AX48" s="5">
        <v>36.135300000000001</v>
      </c>
      <c r="AY48" s="5">
        <v>9</v>
      </c>
      <c r="AZ48" s="5">
        <v>0</v>
      </c>
      <c r="BA48" s="5">
        <v>11</v>
      </c>
      <c r="BB48" s="5">
        <v>0</v>
      </c>
      <c r="BC48" s="5">
        <v>13</v>
      </c>
      <c r="BD48" s="5">
        <v>0</v>
      </c>
      <c r="BE48" s="5">
        <v>14</v>
      </c>
      <c r="BF48" s="5">
        <v>39.663600000000002</v>
      </c>
      <c r="BG48" s="5">
        <v>14</v>
      </c>
      <c r="BH48" s="5">
        <v>75.119</v>
      </c>
      <c r="BI48" s="5">
        <v>11</v>
      </c>
      <c r="BJ48" s="5">
        <v>0</v>
      </c>
      <c r="BK48" s="5">
        <v>13</v>
      </c>
      <c r="BL48" s="5">
        <v>0</v>
      </c>
      <c r="BM48" s="5">
        <v>15</v>
      </c>
      <c r="BN48" s="5">
        <v>0</v>
      </c>
      <c r="BO48" s="5">
        <v>16</v>
      </c>
      <c r="BP48" s="5">
        <v>2.7086000000000001</v>
      </c>
      <c r="BQ48" s="5">
        <v>16</v>
      </c>
      <c r="BR48" s="5">
        <v>26.8017</v>
      </c>
      <c r="BS48" s="5">
        <f>CHOOSE(MATCH(Setup!$B$5,{8,10,12,14,16},0)+(MATCH(Setup!$B$7,{"STD","Half-PPR","PPR"},0)-1)*5,AO48,AQ48,AS48,AU48,AW48,AY48,BA48,BC48,BE48,BG48,BI48,BK48,BM48,BO48,BQ48)</f>
        <v>13</v>
      </c>
      <c r="BT48" s="5">
        <f>CHOOSE(MATCH(Setup!$B$5,{8,10,12,14,16},0)+(MATCH(Setup!$B$7,{"STD","Half-PPR","PPR"},0)-1)*5,AP48,AR48,AT48,AV48,AX48,AZ48,BB48,BD48,BF48,BH48,BJ48,BL48,BN48,BP48,BR48)</f>
        <v>0</v>
      </c>
      <c r="BU48" s="5">
        <f>ROUND(1+BT48*'Live Calc'!$D$10,0)</f>
        <v>1</v>
      </c>
      <c r="BV48" s="5"/>
      <c r="BW48" s="5">
        <f>IF(BV48&lt;&gt;"",BV48,ROUND(BU48*INDEX('Live Calc'!$D$29:$D$46,MATCH(BS48,'Live Calc'!$A$29:$A$46,0))*'Live Calc'!$J$89,0))</f>
        <v>1</v>
      </c>
      <c r="BY48" s="6" t="s">
        <v>264</v>
      </c>
      <c r="BZ48" s="6" t="s">
        <v>72</v>
      </c>
      <c r="CA48" s="6">
        <v>14</v>
      </c>
      <c r="CB48" s="6">
        <v>0</v>
      </c>
      <c r="CC48" s="6">
        <v>15</v>
      </c>
      <c r="CD48" s="6">
        <v>6.1009000000000002</v>
      </c>
      <c r="CE48" s="6">
        <v>15</v>
      </c>
      <c r="CF48" s="6">
        <v>44.298499999999997</v>
      </c>
      <c r="CG48" s="6">
        <v>15</v>
      </c>
      <c r="CH48" s="6">
        <v>38.0486</v>
      </c>
      <c r="CI48" s="6">
        <v>15</v>
      </c>
      <c r="CJ48" s="6">
        <v>55.729700000000001</v>
      </c>
      <c r="CK48" s="6">
        <v>10</v>
      </c>
      <c r="CL48" s="6">
        <v>0</v>
      </c>
      <c r="CM48" s="6">
        <v>12</v>
      </c>
      <c r="CN48" s="6">
        <v>33.6584</v>
      </c>
      <c r="CO48" s="6">
        <v>12</v>
      </c>
      <c r="CP48" s="6">
        <v>60.298299999999998</v>
      </c>
      <c r="CQ48" s="6">
        <v>11</v>
      </c>
      <c r="CR48" s="6">
        <v>51.429900000000004</v>
      </c>
      <c r="CS48" s="6">
        <v>12</v>
      </c>
      <c r="CT48" s="6">
        <v>95.863399999999999</v>
      </c>
      <c r="CU48" s="6">
        <v>12</v>
      </c>
      <c r="CV48" s="6">
        <v>0</v>
      </c>
      <c r="CW48" s="6">
        <v>11</v>
      </c>
      <c r="CX48" s="6">
        <v>2.3321999999999998</v>
      </c>
      <c r="CY48" s="6">
        <v>11</v>
      </c>
      <c r="CZ48" s="6">
        <v>85.909499999999994</v>
      </c>
      <c r="DA48" s="6">
        <v>12</v>
      </c>
      <c r="DB48" s="6">
        <v>78.691599999999994</v>
      </c>
      <c r="DC48" s="6">
        <v>12</v>
      </c>
      <c r="DD48" s="6">
        <v>82.833399999999997</v>
      </c>
      <c r="DE48" s="6">
        <f>CHOOSE(MATCH(Setup!$B$5,{8,10,12,14,16},0)+(MATCH(Setup!$B$7,{"STD","Half-PPR","PPR"},0)-1)*5,CA48,CC48,CE48,CG48,CI48,CK48,CM48,CO48,CQ48,CS48,CU48,CW48,CY48,DA48,DC48)</f>
        <v>12</v>
      </c>
      <c r="DF48" s="6">
        <f>CHOOSE(MATCH(Setup!$B$5,{8,10,12,14,16},0)+(MATCH(Setup!$B$7,{"STD","Half-PPR","PPR"},0)-1)*5,CB48,CD48,CF48,CH48,CJ48,CL48,CN48,CP48,CR48,CT48,CV48,CX48,CZ48,DB48,DD48)</f>
        <v>60.298299999999998</v>
      </c>
      <c r="DG48" s="6">
        <f>ROUND(1+DF48*'Live Calc'!$D$11,0)</f>
        <v>7</v>
      </c>
      <c r="DH48" s="6"/>
      <c r="DI48" s="6">
        <f>IF(DH48&lt;&gt;"",DH48,ROUND(DG48*INDEX('Live Calc'!$D$50:$D$70,MATCH(DE48,'Live Calc'!$A$50:$A$70,0))*'Live Calc'!$J$89,0))</f>
        <v>7</v>
      </c>
      <c r="DK48" s="7" t="s">
        <v>265</v>
      </c>
      <c r="DL48" s="7" t="s">
        <v>145</v>
      </c>
      <c r="DM48" s="7">
        <v>8</v>
      </c>
      <c r="DN48" s="7">
        <v>0</v>
      </c>
      <c r="DO48" s="7">
        <v>9</v>
      </c>
      <c r="DP48" s="7">
        <v>0</v>
      </c>
      <c r="DQ48" s="7">
        <v>10</v>
      </c>
      <c r="DR48" s="7">
        <v>0</v>
      </c>
      <c r="DS48" s="7">
        <v>11</v>
      </c>
      <c r="DT48" s="7">
        <v>0</v>
      </c>
      <c r="DU48" s="7">
        <v>12</v>
      </c>
      <c r="DV48" s="7">
        <v>0</v>
      </c>
      <c r="DW48" s="7">
        <v>6</v>
      </c>
      <c r="DX48" s="7">
        <v>0</v>
      </c>
      <c r="DY48" s="7">
        <v>9</v>
      </c>
      <c r="DZ48" s="7">
        <v>0</v>
      </c>
      <c r="EA48" s="7">
        <v>9</v>
      </c>
      <c r="EB48" s="7">
        <v>0</v>
      </c>
      <c r="EC48" s="7">
        <v>11</v>
      </c>
      <c r="ED48" s="7">
        <v>0</v>
      </c>
      <c r="EE48" s="7">
        <v>12</v>
      </c>
      <c r="EF48" s="7">
        <v>0</v>
      </c>
      <c r="EG48" s="7">
        <v>5</v>
      </c>
      <c r="EH48" s="7">
        <v>0</v>
      </c>
      <c r="EI48" s="7">
        <v>6</v>
      </c>
      <c r="EJ48" s="7">
        <v>0</v>
      </c>
      <c r="EK48" s="7">
        <v>7</v>
      </c>
      <c r="EL48" s="7">
        <v>0</v>
      </c>
      <c r="EM48" s="7">
        <v>10</v>
      </c>
      <c r="EN48" s="7">
        <v>0</v>
      </c>
      <c r="EO48" s="7">
        <v>11</v>
      </c>
      <c r="EP48" s="7">
        <v>0</v>
      </c>
      <c r="EQ48" s="7">
        <f>CHOOSE(MATCH(Setup!$B$5,{8,10,12,14,16},0)+(MATCH(Setup!$B$7,{"STD","Half-PPR","PPR"},0)-1)*5,DM48,DO48,DQ48,DS48,DU48,DW48,DY48,EA48,EC48,EE48,EG48,EI48,EK48,EM48,EO48)</f>
        <v>9</v>
      </c>
      <c r="ER48" s="7">
        <f>CHOOSE(MATCH(Setup!$B$5,{8,10,12,14,16},0)+(MATCH(Setup!$B$7,{"STD","Half-PPR","PPR"},0)-1)*5,DN48,DP48,DR48,DT48,DV48,DX48,DZ48,EB48,ED48,EF48,EH48,EJ48,EL48,EN48,EP48)</f>
        <v>0</v>
      </c>
      <c r="ES48" s="7">
        <f>ROUND(1+ER48*'Live Calc'!$D$12,0)</f>
        <v>1</v>
      </c>
      <c r="ET48" s="7"/>
      <c r="EU48" s="7">
        <f>IF(ET48&lt;&gt;"",ET48,ROUND(ES48*INDEX('Live Calc'!$D$74:$D$85,MATCH(EQ48,'Live Calc'!$A$74:$A$85,0))*'Live Calc'!$J$89,0))</f>
        <v>1</v>
      </c>
    </row>
    <row r="49" spans="1:151" x14ac:dyDescent="0.25">
      <c r="A49" s="4" t="s">
        <v>266</v>
      </c>
      <c r="B49" s="4" t="s">
        <v>127</v>
      </c>
      <c r="C49" s="4">
        <v>6</v>
      </c>
      <c r="D49" s="4">
        <v>0</v>
      </c>
      <c r="E49" s="4">
        <v>7</v>
      </c>
      <c r="F49" s="4">
        <v>0</v>
      </c>
      <c r="G49" s="4">
        <v>8</v>
      </c>
      <c r="H49" s="4">
        <v>0</v>
      </c>
      <c r="I49" s="4">
        <v>9</v>
      </c>
      <c r="J49" s="4">
        <v>0</v>
      </c>
      <c r="K49" s="4">
        <v>9</v>
      </c>
      <c r="L49" s="4">
        <v>0</v>
      </c>
      <c r="M49" s="4">
        <v>5</v>
      </c>
      <c r="N49" s="4">
        <v>0</v>
      </c>
      <c r="O49" s="4">
        <v>6</v>
      </c>
      <c r="P49" s="4">
        <v>0</v>
      </c>
      <c r="Q49" s="4">
        <v>8</v>
      </c>
      <c r="R49" s="4">
        <v>0</v>
      </c>
      <c r="S49" s="4">
        <v>8</v>
      </c>
      <c r="T49" s="4">
        <v>0</v>
      </c>
      <c r="U49" s="4">
        <v>8</v>
      </c>
      <c r="V49" s="4">
        <v>0</v>
      </c>
      <c r="W49" s="4">
        <v>6</v>
      </c>
      <c r="X49" s="4">
        <v>0</v>
      </c>
      <c r="Y49" s="4">
        <v>8</v>
      </c>
      <c r="Z49" s="4">
        <v>0</v>
      </c>
      <c r="AA49" s="4">
        <v>9</v>
      </c>
      <c r="AB49" s="4">
        <v>0</v>
      </c>
      <c r="AC49" s="4">
        <v>10</v>
      </c>
      <c r="AD49" s="4">
        <v>0</v>
      </c>
      <c r="AE49" s="4">
        <v>9</v>
      </c>
      <c r="AF49" s="4">
        <v>0</v>
      </c>
      <c r="AG49" s="4">
        <f>CHOOSE(MATCH(Setup!$B$5,{8,10,12,14,16},0)+(MATCH(Setup!$B$7,{"STD","Half-PPR","PPR"},0)-1)*5,C49,E49,G49,I49,K49,M49,O49,Q49,S49,U49,W49,Y49,AA49,AC49,AE49)</f>
        <v>8</v>
      </c>
      <c r="AH49" s="4">
        <f>CHOOSE(MATCH(Setup!$B$5,{8,10,12,14,16},0)+(MATCH(Setup!$B$7,{"STD","Half-PPR","PPR"},0)-1)*5,D49,F49,H49,J49,L49,N49,P49,R49,T49,V49,X49,Z49,AB49,AD49,AF49)</f>
        <v>0</v>
      </c>
      <c r="AI49" s="4">
        <f>ROUND(1+AH49*'Live Calc'!$D$9,0)</f>
        <v>1</v>
      </c>
      <c r="AJ49" s="4"/>
      <c r="AK49" s="4">
        <f>IF(AJ49&lt;&gt;"",AJ49,ROUND(AI49*INDEX('Live Calc'!$D$16:$D$25,MATCH(AG49,'Live Calc'!$A$16:$A$25,0))*'Live Calc'!$J$89,0))</f>
        <v>1</v>
      </c>
      <c r="AM49" s="5" t="s">
        <v>267</v>
      </c>
      <c r="AN49" s="5" t="s">
        <v>52</v>
      </c>
      <c r="AO49" s="5">
        <v>9</v>
      </c>
      <c r="AP49" s="5">
        <v>0</v>
      </c>
      <c r="AQ49" s="5">
        <v>10</v>
      </c>
      <c r="AR49" s="5">
        <v>0</v>
      </c>
      <c r="AS49" s="5">
        <v>14</v>
      </c>
      <c r="AT49" s="5">
        <v>0</v>
      </c>
      <c r="AU49" s="5">
        <v>15</v>
      </c>
      <c r="AV49" s="5">
        <v>0.94510000000000005</v>
      </c>
      <c r="AW49" s="5">
        <v>14</v>
      </c>
      <c r="AX49" s="5">
        <v>25.517700000000001</v>
      </c>
      <c r="AY49" s="5">
        <v>9</v>
      </c>
      <c r="AZ49" s="5">
        <v>0</v>
      </c>
      <c r="BA49" s="5">
        <v>11</v>
      </c>
      <c r="BB49" s="5">
        <v>0</v>
      </c>
      <c r="BC49" s="5">
        <v>13</v>
      </c>
      <c r="BD49" s="5">
        <v>0</v>
      </c>
      <c r="BE49" s="5">
        <v>15</v>
      </c>
      <c r="BF49" s="5">
        <v>26.608799999999999</v>
      </c>
      <c r="BG49" s="5">
        <v>15</v>
      </c>
      <c r="BH49" s="5">
        <v>60.398099999999999</v>
      </c>
      <c r="BI49" s="5">
        <v>11</v>
      </c>
      <c r="BJ49" s="5">
        <v>0</v>
      </c>
      <c r="BK49" s="5">
        <v>13</v>
      </c>
      <c r="BL49" s="5">
        <v>0</v>
      </c>
      <c r="BM49" s="5">
        <v>15</v>
      </c>
      <c r="BN49" s="5">
        <v>0</v>
      </c>
      <c r="BO49" s="5">
        <v>17</v>
      </c>
      <c r="BP49" s="5">
        <v>0</v>
      </c>
      <c r="BQ49" s="5">
        <v>16</v>
      </c>
      <c r="BR49" s="5">
        <v>22.104099999999999</v>
      </c>
      <c r="BS49" s="5">
        <f>CHOOSE(MATCH(Setup!$B$5,{8,10,12,14,16},0)+(MATCH(Setup!$B$7,{"STD","Half-PPR","PPR"},0)-1)*5,AO49,AQ49,AS49,AU49,AW49,AY49,BA49,BC49,BE49,BG49,BI49,BK49,BM49,BO49,BQ49)</f>
        <v>13</v>
      </c>
      <c r="BT49" s="5">
        <f>CHOOSE(MATCH(Setup!$B$5,{8,10,12,14,16},0)+(MATCH(Setup!$B$7,{"STD","Half-PPR","PPR"},0)-1)*5,AP49,AR49,AT49,AV49,AX49,AZ49,BB49,BD49,BF49,BH49,BJ49,BL49,BN49,BP49,BR49)</f>
        <v>0</v>
      </c>
      <c r="BU49" s="5">
        <f>ROUND(1+BT49*'Live Calc'!$D$10,0)</f>
        <v>1</v>
      </c>
      <c r="BV49" s="5"/>
      <c r="BW49" s="5">
        <f>IF(BV49&lt;&gt;"",BV49,ROUND(BU49*INDEX('Live Calc'!$D$29:$D$46,MATCH(BS49,'Live Calc'!$A$29:$A$46,0))*'Live Calc'!$J$89,0))</f>
        <v>1</v>
      </c>
      <c r="BY49" s="6" t="s">
        <v>268</v>
      </c>
      <c r="BZ49" s="6" t="s">
        <v>76</v>
      </c>
      <c r="CA49" s="6">
        <v>14</v>
      </c>
      <c r="CB49" s="6">
        <v>0</v>
      </c>
      <c r="CC49" s="6">
        <v>15</v>
      </c>
      <c r="CD49" s="6">
        <v>6.6241000000000003</v>
      </c>
      <c r="CE49" s="6">
        <v>15</v>
      </c>
      <c r="CF49" s="6">
        <v>45.207500000000003</v>
      </c>
      <c r="CG49" s="6">
        <v>15</v>
      </c>
      <c r="CH49" s="6">
        <v>38.6646</v>
      </c>
      <c r="CI49" s="6">
        <v>15</v>
      </c>
      <c r="CJ49" s="6">
        <v>56.367400000000004</v>
      </c>
      <c r="CK49" s="6">
        <v>10</v>
      </c>
      <c r="CL49" s="6">
        <v>0</v>
      </c>
      <c r="CM49" s="6">
        <v>12</v>
      </c>
      <c r="CN49" s="6">
        <v>31.7851</v>
      </c>
      <c r="CO49" s="6">
        <v>12</v>
      </c>
      <c r="CP49" s="6">
        <v>58.529899999999998</v>
      </c>
      <c r="CQ49" s="6">
        <v>11</v>
      </c>
      <c r="CR49" s="6">
        <v>50.256999999999998</v>
      </c>
      <c r="CS49" s="6">
        <v>12</v>
      </c>
      <c r="CT49" s="6">
        <v>94.309399999999997</v>
      </c>
      <c r="CU49" s="6">
        <v>12</v>
      </c>
      <c r="CV49" s="6">
        <v>0</v>
      </c>
      <c r="CW49" s="6">
        <v>11</v>
      </c>
      <c r="CX49" s="6">
        <v>1.3875</v>
      </c>
      <c r="CY49" s="6">
        <v>11</v>
      </c>
      <c r="CZ49" s="6">
        <v>83.255700000000004</v>
      </c>
      <c r="DA49" s="6">
        <v>12</v>
      </c>
      <c r="DB49" s="6">
        <v>76.917900000000003</v>
      </c>
      <c r="DC49" s="6">
        <v>12</v>
      </c>
      <c r="DD49" s="6">
        <v>81.398099999999999</v>
      </c>
      <c r="DE49" s="6">
        <f>CHOOSE(MATCH(Setup!$B$5,{8,10,12,14,16},0)+(MATCH(Setup!$B$7,{"STD","Half-PPR","PPR"},0)-1)*5,CA49,CC49,CE49,CG49,CI49,CK49,CM49,CO49,CQ49,CS49,CU49,CW49,CY49,DA49,DC49)</f>
        <v>12</v>
      </c>
      <c r="DF49" s="6">
        <f>CHOOSE(MATCH(Setup!$B$5,{8,10,12,14,16},0)+(MATCH(Setup!$B$7,{"STD","Half-PPR","PPR"},0)-1)*5,CB49,CD49,CF49,CH49,CJ49,CL49,CN49,CP49,CR49,CT49,CV49,CX49,CZ49,DB49,DD49)</f>
        <v>58.529899999999998</v>
      </c>
      <c r="DG49" s="6">
        <f>ROUND(1+DF49*'Live Calc'!$D$11,0)</f>
        <v>7</v>
      </c>
      <c r="DH49" s="6"/>
      <c r="DI49" s="6">
        <f>IF(DH49&lt;&gt;"",DH49,ROUND(DG49*INDEX('Live Calc'!$D$50:$D$70,MATCH(DE49,'Live Calc'!$A$50:$A$70,0))*'Live Calc'!$J$89,0))</f>
        <v>7</v>
      </c>
      <c r="DK49" s="7" t="s">
        <v>269</v>
      </c>
      <c r="DL49" s="7" t="s">
        <v>66</v>
      </c>
      <c r="DM49" s="7">
        <v>8</v>
      </c>
      <c r="DN49" s="7">
        <v>0</v>
      </c>
      <c r="DO49" s="7">
        <v>9</v>
      </c>
      <c r="DP49" s="7">
        <v>0</v>
      </c>
      <c r="DQ49" s="7">
        <v>10</v>
      </c>
      <c r="DR49" s="7">
        <v>0</v>
      </c>
      <c r="DS49" s="7">
        <v>11</v>
      </c>
      <c r="DT49" s="7">
        <v>0</v>
      </c>
      <c r="DU49" s="7">
        <v>12</v>
      </c>
      <c r="DV49" s="7">
        <v>0</v>
      </c>
      <c r="DW49" s="7">
        <v>6</v>
      </c>
      <c r="DX49" s="7">
        <v>0</v>
      </c>
      <c r="DY49" s="7">
        <v>9</v>
      </c>
      <c r="DZ49" s="7">
        <v>0</v>
      </c>
      <c r="EA49" s="7">
        <v>9</v>
      </c>
      <c r="EB49" s="7">
        <v>0</v>
      </c>
      <c r="EC49" s="7">
        <v>11</v>
      </c>
      <c r="ED49" s="7">
        <v>0</v>
      </c>
      <c r="EE49" s="7">
        <v>12</v>
      </c>
      <c r="EF49" s="7">
        <v>0</v>
      </c>
      <c r="EG49" s="7">
        <v>5</v>
      </c>
      <c r="EH49" s="7">
        <v>0</v>
      </c>
      <c r="EI49" s="7">
        <v>6</v>
      </c>
      <c r="EJ49" s="7">
        <v>0</v>
      </c>
      <c r="EK49" s="7">
        <v>7</v>
      </c>
      <c r="EL49" s="7">
        <v>0</v>
      </c>
      <c r="EM49" s="7">
        <v>10</v>
      </c>
      <c r="EN49" s="7">
        <v>0</v>
      </c>
      <c r="EO49" s="7">
        <v>11</v>
      </c>
      <c r="EP49" s="7">
        <v>0</v>
      </c>
      <c r="EQ49" s="7">
        <f>CHOOSE(MATCH(Setup!$B$5,{8,10,12,14,16},0)+(MATCH(Setup!$B$7,{"STD","Half-PPR","PPR"},0)-1)*5,DM49,DO49,DQ49,DS49,DU49,DW49,DY49,EA49,EC49,EE49,EG49,EI49,EK49,EM49,EO49)</f>
        <v>9</v>
      </c>
      <c r="ER49" s="7">
        <f>CHOOSE(MATCH(Setup!$B$5,{8,10,12,14,16},0)+(MATCH(Setup!$B$7,{"STD","Half-PPR","PPR"},0)-1)*5,DN49,DP49,DR49,DT49,DV49,DX49,DZ49,EB49,ED49,EF49,EH49,EJ49,EL49,EN49,EP49)</f>
        <v>0</v>
      </c>
      <c r="ES49" s="7">
        <f>ROUND(1+ER49*'Live Calc'!$D$12,0)</f>
        <v>1</v>
      </c>
      <c r="ET49" s="7"/>
      <c r="EU49" s="7">
        <f>IF(ET49&lt;&gt;"",ET49,ROUND(ES49*INDEX('Live Calc'!$D$74:$D$85,MATCH(EQ49,'Live Calc'!$A$74:$A$85,0))*'Live Calc'!$J$89,0))</f>
        <v>1</v>
      </c>
    </row>
    <row r="50" spans="1:151" x14ac:dyDescent="0.25">
      <c r="A50" s="4" t="s">
        <v>270</v>
      </c>
      <c r="B50" s="4" t="s">
        <v>58</v>
      </c>
      <c r="C50" s="4">
        <v>6</v>
      </c>
      <c r="D50" s="4">
        <v>0</v>
      </c>
      <c r="E50" s="4">
        <v>7</v>
      </c>
      <c r="F50" s="4">
        <v>0</v>
      </c>
      <c r="G50" s="4">
        <v>8</v>
      </c>
      <c r="H50" s="4">
        <v>0</v>
      </c>
      <c r="I50" s="4">
        <v>9</v>
      </c>
      <c r="J50" s="4">
        <v>0</v>
      </c>
      <c r="K50" s="4">
        <v>9</v>
      </c>
      <c r="L50" s="4">
        <v>0</v>
      </c>
      <c r="M50" s="4">
        <v>5</v>
      </c>
      <c r="N50" s="4">
        <v>0</v>
      </c>
      <c r="O50" s="4">
        <v>6</v>
      </c>
      <c r="P50" s="4">
        <v>0</v>
      </c>
      <c r="Q50" s="4">
        <v>8</v>
      </c>
      <c r="R50" s="4">
        <v>0</v>
      </c>
      <c r="S50" s="4">
        <v>8</v>
      </c>
      <c r="T50" s="4">
        <v>0</v>
      </c>
      <c r="U50" s="4">
        <v>8</v>
      </c>
      <c r="V50" s="4">
        <v>0</v>
      </c>
      <c r="W50" s="4">
        <v>6</v>
      </c>
      <c r="X50" s="4">
        <v>0</v>
      </c>
      <c r="Y50" s="4">
        <v>8</v>
      </c>
      <c r="Z50" s="4">
        <v>0</v>
      </c>
      <c r="AA50" s="4">
        <v>9</v>
      </c>
      <c r="AB50" s="4">
        <v>0</v>
      </c>
      <c r="AC50" s="4">
        <v>10</v>
      </c>
      <c r="AD50" s="4">
        <v>0</v>
      </c>
      <c r="AE50" s="4">
        <v>9</v>
      </c>
      <c r="AF50" s="4">
        <v>0</v>
      </c>
      <c r="AG50" s="4">
        <f>CHOOSE(MATCH(Setup!$B$5,{8,10,12,14,16},0)+(MATCH(Setup!$B$7,{"STD","Half-PPR","PPR"},0)-1)*5,C50,E50,G50,I50,K50,M50,O50,Q50,S50,U50,W50,Y50,AA50,AC50,AE50)</f>
        <v>8</v>
      </c>
      <c r="AH50" s="4">
        <f>CHOOSE(MATCH(Setup!$B$5,{8,10,12,14,16},0)+(MATCH(Setup!$B$7,{"STD","Half-PPR","PPR"},0)-1)*5,D50,F50,H50,J50,L50,N50,P50,R50,T50,V50,X50,Z50,AB50,AD50,AF50)</f>
        <v>0</v>
      </c>
      <c r="AI50" s="4">
        <f>ROUND(1+AH50*'Live Calc'!$D$9,0)</f>
        <v>1</v>
      </c>
      <c r="AJ50" s="4"/>
      <c r="AK50" s="4">
        <f>IF(AJ50&lt;&gt;"",AJ50,ROUND(AI50*INDEX('Live Calc'!$D$16:$D$25,MATCH(AG50,'Live Calc'!$A$16:$A$25,0))*'Live Calc'!$J$89,0))</f>
        <v>1</v>
      </c>
      <c r="AM50" s="5" t="s">
        <v>271</v>
      </c>
      <c r="AN50" s="5" t="s">
        <v>81</v>
      </c>
      <c r="AO50" s="5">
        <v>9</v>
      </c>
      <c r="AP50" s="5">
        <v>0</v>
      </c>
      <c r="AQ50" s="5">
        <v>10</v>
      </c>
      <c r="AR50" s="5">
        <v>0</v>
      </c>
      <c r="AS50" s="5">
        <v>14</v>
      </c>
      <c r="AT50" s="5">
        <v>0</v>
      </c>
      <c r="AU50" s="5">
        <v>16</v>
      </c>
      <c r="AV50" s="5">
        <v>0</v>
      </c>
      <c r="AW50" s="5">
        <v>15</v>
      </c>
      <c r="AX50" s="5">
        <v>1.9081999999999999</v>
      </c>
      <c r="AY50" s="5">
        <v>9</v>
      </c>
      <c r="AZ50" s="5">
        <v>0</v>
      </c>
      <c r="BA50" s="5">
        <v>11</v>
      </c>
      <c r="BB50" s="5">
        <v>0</v>
      </c>
      <c r="BC50" s="5">
        <v>13</v>
      </c>
      <c r="BD50" s="5">
        <v>0</v>
      </c>
      <c r="BE50" s="5">
        <v>16</v>
      </c>
      <c r="BF50" s="5">
        <v>15.689299999999999</v>
      </c>
      <c r="BG50" s="5">
        <v>16</v>
      </c>
      <c r="BH50" s="5">
        <v>47.6096</v>
      </c>
      <c r="BI50" s="5">
        <v>11</v>
      </c>
      <c r="BJ50" s="5">
        <v>0</v>
      </c>
      <c r="BK50" s="5">
        <v>13</v>
      </c>
      <c r="BL50" s="5">
        <v>0</v>
      </c>
      <c r="BM50" s="5">
        <v>15</v>
      </c>
      <c r="BN50" s="5">
        <v>0</v>
      </c>
      <c r="BO50" s="5">
        <v>17</v>
      </c>
      <c r="BP50" s="5">
        <v>0</v>
      </c>
      <c r="BQ50" s="5">
        <v>16</v>
      </c>
      <c r="BR50" s="5">
        <v>23.155799999999999</v>
      </c>
      <c r="BS50" s="5">
        <f>CHOOSE(MATCH(Setup!$B$5,{8,10,12,14,16},0)+(MATCH(Setup!$B$7,{"STD","Half-PPR","PPR"},0)-1)*5,AO50,AQ50,AS50,AU50,AW50,AY50,BA50,BC50,BE50,BG50,BI50,BK50,BM50,BO50,BQ50)</f>
        <v>13</v>
      </c>
      <c r="BT50" s="5">
        <f>CHOOSE(MATCH(Setup!$B$5,{8,10,12,14,16},0)+(MATCH(Setup!$B$7,{"STD","Half-PPR","PPR"},0)-1)*5,AP50,AR50,AT50,AV50,AX50,AZ50,BB50,BD50,BF50,BH50,BJ50,BL50,BN50,BP50,BR50)</f>
        <v>0</v>
      </c>
      <c r="BU50" s="5">
        <f>ROUND(1+BT50*'Live Calc'!$D$10,0)</f>
        <v>1</v>
      </c>
      <c r="BV50" s="5"/>
      <c r="BW50" s="5">
        <f>IF(BV50&lt;&gt;"",BV50,ROUND(BU50*INDEX('Live Calc'!$D$29:$D$46,MATCH(BS50,'Live Calc'!$A$29:$A$46,0))*'Live Calc'!$J$89,0))</f>
        <v>1</v>
      </c>
      <c r="BY50" s="6" t="s">
        <v>272</v>
      </c>
      <c r="BZ50" s="6" t="s">
        <v>101</v>
      </c>
      <c r="CA50" s="6">
        <v>14</v>
      </c>
      <c r="CB50" s="6">
        <v>0</v>
      </c>
      <c r="CC50" s="6">
        <v>15</v>
      </c>
      <c r="CD50" s="6">
        <v>6.4545000000000003</v>
      </c>
      <c r="CE50" s="6">
        <v>15</v>
      </c>
      <c r="CF50" s="6">
        <v>44.913200000000003</v>
      </c>
      <c r="CG50" s="6">
        <v>15</v>
      </c>
      <c r="CH50" s="6">
        <v>38.465299999999999</v>
      </c>
      <c r="CI50" s="6">
        <v>15</v>
      </c>
      <c r="CJ50" s="6">
        <v>56.161099999999998</v>
      </c>
      <c r="CK50" s="6">
        <v>10</v>
      </c>
      <c r="CL50" s="6">
        <v>0</v>
      </c>
      <c r="CM50" s="6">
        <v>12</v>
      </c>
      <c r="CN50" s="6">
        <v>29.229900000000001</v>
      </c>
      <c r="CO50" s="6">
        <v>12</v>
      </c>
      <c r="CP50" s="6">
        <v>56.098300000000002</v>
      </c>
      <c r="CQ50" s="6">
        <v>11</v>
      </c>
      <c r="CR50" s="6">
        <v>48.6387</v>
      </c>
      <c r="CS50" s="6">
        <v>12</v>
      </c>
      <c r="CT50" s="6">
        <v>92.165199999999999</v>
      </c>
      <c r="CU50" s="6">
        <v>12</v>
      </c>
      <c r="CV50" s="6">
        <v>0</v>
      </c>
      <c r="CW50" s="6">
        <v>11</v>
      </c>
      <c r="CX50" s="6">
        <v>0.17100000000000001</v>
      </c>
      <c r="CY50" s="6">
        <v>11</v>
      </c>
      <c r="CZ50" s="6">
        <v>79.699399999999997</v>
      </c>
      <c r="DA50" s="6">
        <v>12</v>
      </c>
      <c r="DB50" s="6">
        <v>74.531800000000004</v>
      </c>
      <c r="DC50" s="6">
        <v>12</v>
      </c>
      <c r="DD50" s="6">
        <v>79.463899999999995</v>
      </c>
      <c r="DE50" s="6">
        <f>CHOOSE(MATCH(Setup!$B$5,{8,10,12,14,16},0)+(MATCH(Setup!$B$7,{"STD","Half-PPR","PPR"},0)-1)*5,CA50,CC50,CE50,CG50,CI50,CK50,CM50,CO50,CQ50,CS50,CU50,CW50,CY50,DA50,DC50)</f>
        <v>12</v>
      </c>
      <c r="DF50" s="6">
        <f>CHOOSE(MATCH(Setup!$B$5,{8,10,12,14,16},0)+(MATCH(Setup!$B$7,{"STD","Half-PPR","PPR"},0)-1)*5,CB50,CD50,CF50,CH50,CJ50,CL50,CN50,CP50,CR50,CT50,CV50,CX50,CZ50,DB50,DD50)</f>
        <v>56.098300000000002</v>
      </c>
      <c r="DG50" s="6">
        <f>ROUND(1+DF50*'Live Calc'!$D$11,0)</f>
        <v>7</v>
      </c>
      <c r="DH50" s="6"/>
      <c r="DI50" s="6">
        <f>IF(DH50&lt;&gt;"",DH50,ROUND(DG50*INDEX('Live Calc'!$D$50:$D$70,MATCH(DE50,'Live Calc'!$A$50:$A$70,0))*'Live Calc'!$J$89,0))</f>
        <v>7</v>
      </c>
      <c r="DK50" s="7" t="s">
        <v>273</v>
      </c>
      <c r="DL50" s="7" t="s">
        <v>72</v>
      </c>
      <c r="DM50" s="7">
        <v>8</v>
      </c>
      <c r="DN50" s="7">
        <v>0</v>
      </c>
      <c r="DO50" s="7">
        <v>9</v>
      </c>
      <c r="DP50" s="7">
        <v>0</v>
      </c>
      <c r="DQ50" s="7">
        <v>10</v>
      </c>
      <c r="DR50" s="7">
        <v>0</v>
      </c>
      <c r="DS50" s="7">
        <v>11</v>
      </c>
      <c r="DT50" s="7">
        <v>0</v>
      </c>
      <c r="DU50" s="7">
        <v>12</v>
      </c>
      <c r="DV50" s="7">
        <v>0</v>
      </c>
      <c r="DW50" s="7">
        <v>6</v>
      </c>
      <c r="DX50" s="7">
        <v>0</v>
      </c>
      <c r="DY50" s="7">
        <v>9</v>
      </c>
      <c r="DZ50" s="7">
        <v>0</v>
      </c>
      <c r="EA50" s="7">
        <v>9</v>
      </c>
      <c r="EB50" s="7">
        <v>0</v>
      </c>
      <c r="EC50" s="7">
        <v>11</v>
      </c>
      <c r="ED50" s="7">
        <v>0</v>
      </c>
      <c r="EE50" s="7">
        <v>12</v>
      </c>
      <c r="EF50" s="7">
        <v>0</v>
      </c>
      <c r="EG50" s="7">
        <v>5</v>
      </c>
      <c r="EH50" s="7">
        <v>0</v>
      </c>
      <c r="EI50" s="7">
        <v>6</v>
      </c>
      <c r="EJ50" s="7">
        <v>0</v>
      </c>
      <c r="EK50" s="7">
        <v>7</v>
      </c>
      <c r="EL50" s="7">
        <v>0</v>
      </c>
      <c r="EM50" s="7">
        <v>10</v>
      </c>
      <c r="EN50" s="7">
        <v>0</v>
      </c>
      <c r="EO50" s="7">
        <v>11</v>
      </c>
      <c r="EP50" s="7">
        <v>0</v>
      </c>
      <c r="EQ50" s="7">
        <f>CHOOSE(MATCH(Setup!$B$5,{8,10,12,14,16},0)+(MATCH(Setup!$B$7,{"STD","Half-PPR","PPR"},0)-1)*5,DM50,DO50,DQ50,DS50,DU50,DW50,DY50,EA50,EC50,EE50,EG50,EI50,EK50,EM50,EO50)</f>
        <v>9</v>
      </c>
      <c r="ER50" s="7">
        <f>CHOOSE(MATCH(Setup!$B$5,{8,10,12,14,16},0)+(MATCH(Setup!$B$7,{"STD","Half-PPR","PPR"},0)-1)*5,DN50,DP50,DR50,DT50,DV50,DX50,DZ50,EB50,ED50,EF50,EH50,EJ50,EL50,EN50,EP50)</f>
        <v>0</v>
      </c>
      <c r="ES50" s="7">
        <f>ROUND(1+ER50*'Live Calc'!$D$12,0)</f>
        <v>1</v>
      </c>
      <c r="ET50" s="7"/>
      <c r="EU50" s="7">
        <f>IF(ET50&lt;&gt;"",ET50,ROUND(ES50*INDEX('Live Calc'!$D$74:$D$85,MATCH(EQ50,'Live Calc'!$A$74:$A$85,0))*'Live Calc'!$J$89,0))</f>
        <v>1</v>
      </c>
    </row>
    <row r="51" spans="1:151" x14ac:dyDescent="0.25">
      <c r="A51" s="4" t="s">
        <v>274</v>
      </c>
      <c r="B51" s="4" t="s">
        <v>86</v>
      </c>
      <c r="C51" s="4">
        <v>6</v>
      </c>
      <c r="D51" s="4">
        <v>0</v>
      </c>
      <c r="E51" s="4">
        <v>7</v>
      </c>
      <c r="F51" s="4">
        <v>0</v>
      </c>
      <c r="G51" s="4">
        <v>8</v>
      </c>
      <c r="H51" s="4">
        <v>0</v>
      </c>
      <c r="I51" s="4">
        <v>9</v>
      </c>
      <c r="J51" s="4">
        <v>0</v>
      </c>
      <c r="K51" s="4">
        <v>9</v>
      </c>
      <c r="L51" s="4">
        <v>0</v>
      </c>
      <c r="M51" s="4">
        <v>5</v>
      </c>
      <c r="N51" s="4">
        <v>0</v>
      </c>
      <c r="O51" s="4">
        <v>6</v>
      </c>
      <c r="P51" s="4">
        <v>0</v>
      </c>
      <c r="Q51" s="4">
        <v>8</v>
      </c>
      <c r="R51" s="4">
        <v>0</v>
      </c>
      <c r="S51" s="4">
        <v>8</v>
      </c>
      <c r="T51" s="4">
        <v>0</v>
      </c>
      <c r="U51" s="4">
        <v>8</v>
      </c>
      <c r="V51" s="4">
        <v>0</v>
      </c>
      <c r="W51" s="4">
        <v>6</v>
      </c>
      <c r="X51" s="4">
        <v>0</v>
      </c>
      <c r="Y51" s="4">
        <v>8</v>
      </c>
      <c r="Z51" s="4">
        <v>0</v>
      </c>
      <c r="AA51" s="4">
        <v>9</v>
      </c>
      <c r="AB51" s="4">
        <v>0</v>
      </c>
      <c r="AC51" s="4">
        <v>10</v>
      </c>
      <c r="AD51" s="4">
        <v>0</v>
      </c>
      <c r="AE51" s="4">
        <v>9</v>
      </c>
      <c r="AF51" s="4">
        <v>0</v>
      </c>
      <c r="AG51" s="4">
        <f>CHOOSE(MATCH(Setup!$B$5,{8,10,12,14,16},0)+(MATCH(Setup!$B$7,{"STD","Half-PPR","PPR"},0)-1)*5,C51,E51,G51,I51,K51,M51,O51,Q51,S51,U51,W51,Y51,AA51,AC51,AE51)</f>
        <v>8</v>
      </c>
      <c r="AH51" s="4">
        <f>CHOOSE(MATCH(Setup!$B$5,{8,10,12,14,16},0)+(MATCH(Setup!$B$7,{"STD","Half-PPR","PPR"},0)-1)*5,D51,F51,H51,J51,L51,N51,P51,R51,T51,V51,X51,Z51,AB51,AD51,AF51)</f>
        <v>0</v>
      </c>
      <c r="AI51" s="4">
        <f>ROUND(1+AH51*'Live Calc'!$D$9,0)</f>
        <v>1</v>
      </c>
      <c r="AJ51" s="4"/>
      <c r="AK51" s="4">
        <f>IF(AJ51&lt;&gt;"",AJ51,ROUND(AI51*INDEX('Live Calc'!$D$16:$D$25,MATCH(AG51,'Live Calc'!$A$16:$A$25,0))*'Live Calc'!$J$89,0))</f>
        <v>1</v>
      </c>
      <c r="AM51" s="5" t="s">
        <v>275</v>
      </c>
      <c r="AN51" s="5" t="s">
        <v>56</v>
      </c>
      <c r="AO51" s="5">
        <v>9</v>
      </c>
      <c r="AP51" s="5">
        <v>0</v>
      </c>
      <c r="AQ51" s="5">
        <v>10</v>
      </c>
      <c r="AR51" s="5">
        <v>0</v>
      </c>
      <c r="AS51" s="5">
        <v>14</v>
      </c>
      <c r="AT51" s="5">
        <v>0</v>
      </c>
      <c r="AU51" s="5">
        <v>16</v>
      </c>
      <c r="AV51" s="5">
        <v>0</v>
      </c>
      <c r="AW51" s="5">
        <v>14</v>
      </c>
      <c r="AX51" s="5">
        <v>18.732199999999999</v>
      </c>
      <c r="AY51" s="5">
        <v>9</v>
      </c>
      <c r="AZ51" s="5">
        <v>0</v>
      </c>
      <c r="BA51" s="5">
        <v>11</v>
      </c>
      <c r="BB51" s="5">
        <v>0</v>
      </c>
      <c r="BC51" s="5">
        <v>13</v>
      </c>
      <c r="BD51" s="5">
        <v>0</v>
      </c>
      <c r="BE51" s="5">
        <v>16</v>
      </c>
      <c r="BF51" s="5">
        <v>8.8577999999999992</v>
      </c>
      <c r="BG51" s="5">
        <v>16</v>
      </c>
      <c r="BH51" s="5">
        <v>39.158900000000003</v>
      </c>
      <c r="BI51" s="5">
        <v>11</v>
      </c>
      <c r="BJ51" s="5">
        <v>0</v>
      </c>
      <c r="BK51" s="5">
        <v>13</v>
      </c>
      <c r="BL51" s="5">
        <v>0</v>
      </c>
      <c r="BM51" s="5">
        <v>15</v>
      </c>
      <c r="BN51" s="5">
        <v>0</v>
      </c>
      <c r="BO51" s="5">
        <v>17</v>
      </c>
      <c r="BP51" s="5">
        <v>0</v>
      </c>
      <c r="BQ51" s="5">
        <v>17</v>
      </c>
      <c r="BR51" s="5">
        <v>6.3009000000000004</v>
      </c>
      <c r="BS51" s="5">
        <f>CHOOSE(MATCH(Setup!$B$5,{8,10,12,14,16},0)+(MATCH(Setup!$B$7,{"STD","Half-PPR","PPR"},0)-1)*5,AO51,AQ51,AS51,AU51,AW51,AY51,BA51,BC51,BE51,BG51,BI51,BK51,BM51,BO51,BQ51)</f>
        <v>13</v>
      </c>
      <c r="BT51" s="5">
        <f>CHOOSE(MATCH(Setup!$B$5,{8,10,12,14,16},0)+(MATCH(Setup!$B$7,{"STD","Half-PPR","PPR"},0)-1)*5,AP51,AR51,AT51,AV51,AX51,AZ51,BB51,BD51,BF51,BH51,BJ51,BL51,BN51,BP51,BR51)</f>
        <v>0</v>
      </c>
      <c r="BU51" s="5">
        <f>ROUND(1+BT51*'Live Calc'!$D$10,0)</f>
        <v>1</v>
      </c>
      <c r="BV51" s="5"/>
      <c r="BW51" s="5">
        <f>IF(BV51&lt;&gt;"",BV51,ROUND(BU51*INDEX('Live Calc'!$D$29:$D$46,MATCH(BS51,'Live Calc'!$A$29:$A$46,0))*'Live Calc'!$J$89,0))</f>
        <v>1</v>
      </c>
      <c r="BY51" s="6" t="s">
        <v>276</v>
      </c>
      <c r="BZ51" s="6" t="s">
        <v>62</v>
      </c>
      <c r="CA51" s="6">
        <v>14</v>
      </c>
      <c r="CB51" s="6">
        <v>0</v>
      </c>
      <c r="CC51" s="6">
        <v>16</v>
      </c>
      <c r="CD51" s="6">
        <v>1.3889</v>
      </c>
      <c r="CE51" s="6">
        <v>16</v>
      </c>
      <c r="CF51" s="6">
        <v>35.8048</v>
      </c>
      <c r="CG51" s="6">
        <v>15</v>
      </c>
      <c r="CH51" s="6">
        <v>32.229700000000001</v>
      </c>
      <c r="CI51" s="6">
        <v>15</v>
      </c>
      <c r="CJ51" s="6">
        <v>49.691899999999997</v>
      </c>
      <c r="CK51" s="6">
        <v>10</v>
      </c>
      <c r="CL51" s="6">
        <v>0</v>
      </c>
      <c r="CM51" s="6">
        <v>12</v>
      </c>
      <c r="CN51" s="6">
        <v>28.955100000000002</v>
      </c>
      <c r="CO51" s="6">
        <v>12</v>
      </c>
      <c r="CP51" s="6">
        <v>55.8354</v>
      </c>
      <c r="CQ51" s="6">
        <v>11</v>
      </c>
      <c r="CR51" s="6">
        <v>48.463299999999997</v>
      </c>
      <c r="CS51" s="6">
        <v>12</v>
      </c>
      <c r="CT51" s="6">
        <v>91.9328</v>
      </c>
      <c r="CU51" s="6">
        <v>12</v>
      </c>
      <c r="CV51" s="6">
        <v>0</v>
      </c>
      <c r="CW51" s="6">
        <v>12</v>
      </c>
      <c r="CX51" s="6">
        <v>0</v>
      </c>
      <c r="CY51" s="6">
        <v>11</v>
      </c>
      <c r="CZ51" s="6">
        <v>79.1417</v>
      </c>
      <c r="DA51" s="6">
        <v>12</v>
      </c>
      <c r="DB51" s="6">
        <v>74.156599999999997</v>
      </c>
      <c r="DC51" s="6">
        <v>12</v>
      </c>
      <c r="DD51" s="6">
        <v>79.159499999999994</v>
      </c>
      <c r="DE51" s="6">
        <f>CHOOSE(MATCH(Setup!$B$5,{8,10,12,14,16},0)+(MATCH(Setup!$B$7,{"STD","Half-PPR","PPR"},0)-1)*5,CA51,CC51,CE51,CG51,CI51,CK51,CM51,CO51,CQ51,CS51,CU51,CW51,CY51,DA51,DC51)</f>
        <v>12</v>
      </c>
      <c r="DF51" s="6">
        <f>CHOOSE(MATCH(Setup!$B$5,{8,10,12,14,16},0)+(MATCH(Setup!$B$7,{"STD","Half-PPR","PPR"},0)-1)*5,CB51,CD51,CF51,CH51,CJ51,CL51,CN51,CP51,CR51,CT51,CV51,CX51,CZ51,DB51,DD51)</f>
        <v>55.8354</v>
      </c>
      <c r="DG51" s="6">
        <f>ROUND(1+DF51*'Live Calc'!$D$11,0)</f>
        <v>7</v>
      </c>
      <c r="DH51" s="6"/>
      <c r="DI51" s="6">
        <f>IF(DH51&lt;&gt;"",DH51,ROUND(DG51*INDEX('Live Calc'!$D$50:$D$70,MATCH(DE51,'Live Calc'!$A$50:$A$70,0))*'Live Calc'!$J$89,0))</f>
        <v>7</v>
      </c>
      <c r="DK51" s="7" t="s">
        <v>277</v>
      </c>
      <c r="DL51" s="7" t="s">
        <v>101</v>
      </c>
      <c r="DM51" s="7">
        <v>8</v>
      </c>
      <c r="DN51" s="7">
        <v>0</v>
      </c>
      <c r="DO51" s="7">
        <v>9</v>
      </c>
      <c r="DP51" s="7">
        <v>0</v>
      </c>
      <c r="DQ51" s="7">
        <v>10</v>
      </c>
      <c r="DR51" s="7">
        <v>0</v>
      </c>
      <c r="DS51" s="7">
        <v>11</v>
      </c>
      <c r="DT51" s="7">
        <v>0</v>
      </c>
      <c r="DU51" s="7">
        <v>12</v>
      </c>
      <c r="DV51" s="7">
        <v>0</v>
      </c>
      <c r="DW51" s="7">
        <v>6</v>
      </c>
      <c r="DX51" s="7">
        <v>0</v>
      </c>
      <c r="DY51" s="7">
        <v>9</v>
      </c>
      <c r="DZ51" s="7">
        <v>0</v>
      </c>
      <c r="EA51" s="7">
        <v>9</v>
      </c>
      <c r="EB51" s="7">
        <v>0</v>
      </c>
      <c r="EC51" s="7">
        <v>11</v>
      </c>
      <c r="ED51" s="7">
        <v>0</v>
      </c>
      <c r="EE51" s="7">
        <v>12</v>
      </c>
      <c r="EF51" s="7">
        <v>0</v>
      </c>
      <c r="EG51" s="7">
        <v>5</v>
      </c>
      <c r="EH51" s="7">
        <v>0</v>
      </c>
      <c r="EI51" s="7">
        <v>6</v>
      </c>
      <c r="EJ51" s="7">
        <v>0</v>
      </c>
      <c r="EK51" s="7">
        <v>7</v>
      </c>
      <c r="EL51" s="7">
        <v>0</v>
      </c>
      <c r="EM51" s="7">
        <v>10</v>
      </c>
      <c r="EN51" s="7">
        <v>0</v>
      </c>
      <c r="EO51" s="7">
        <v>11</v>
      </c>
      <c r="EP51" s="7">
        <v>0</v>
      </c>
      <c r="EQ51" s="7">
        <f>CHOOSE(MATCH(Setup!$B$5,{8,10,12,14,16},0)+(MATCH(Setup!$B$7,{"STD","Half-PPR","PPR"},0)-1)*5,DM51,DO51,DQ51,DS51,DU51,DW51,DY51,EA51,EC51,EE51,EG51,EI51,EK51,EM51,EO51)</f>
        <v>9</v>
      </c>
      <c r="ER51" s="7">
        <f>CHOOSE(MATCH(Setup!$B$5,{8,10,12,14,16},0)+(MATCH(Setup!$B$7,{"STD","Half-PPR","PPR"},0)-1)*5,DN51,DP51,DR51,DT51,DV51,DX51,DZ51,EB51,ED51,EF51,EH51,EJ51,EL51,EN51,EP51)</f>
        <v>0</v>
      </c>
      <c r="ES51" s="7">
        <f>ROUND(1+ER51*'Live Calc'!$D$12,0)</f>
        <v>1</v>
      </c>
      <c r="ET51" s="7"/>
      <c r="EU51" s="7">
        <f>IF(ET51&lt;&gt;"",ET51,ROUND(ES51*INDEX('Live Calc'!$D$74:$D$85,MATCH(EQ51,'Live Calc'!$A$74:$A$85,0))*'Live Calc'!$J$89,0))</f>
        <v>1</v>
      </c>
    </row>
    <row r="52" spans="1:151" x14ac:dyDescent="0.25">
      <c r="A52" s="4" t="s">
        <v>278</v>
      </c>
      <c r="B52" s="4" t="s">
        <v>79</v>
      </c>
      <c r="C52" s="4">
        <v>6</v>
      </c>
      <c r="D52" s="4">
        <v>0</v>
      </c>
      <c r="E52" s="4">
        <v>7</v>
      </c>
      <c r="F52" s="4">
        <v>0</v>
      </c>
      <c r="G52" s="4">
        <v>8</v>
      </c>
      <c r="H52" s="4">
        <v>0</v>
      </c>
      <c r="I52" s="4">
        <v>9</v>
      </c>
      <c r="J52" s="4">
        <v>0</v>
      </c>
      <c r="K52" s="4">
        <v>9</v>
      </c>
      <c r="L52" s="4">
        <v>0</v>
      </c>
      <c r="M52" s="4">
        <v>5</v>
      </c>
      <c r="N52" s="4">
        <v>0</v>
      </c>
      <c r="O52" s="4">
        <v>6</v>
      </c>
      <c r="P52" s="4">
        <v>0</v>
      </c>
      <c r="Q52" s="4">
        <v>8</v>
      </c>
      <c r="R52" s="4">
        <v>0</v>
      </c>
      <c r="S52" s="4">
        <v>8</v>
      </c>
      <c r="T52" s="4">
        <v>0</v>
      </c>
      <c r="U52" s="4">
        <v>8</v>
      </c>
      <c r="V52" s="4">
        <v>0</v>
      </c>
      <c r="W52" s="4">
        <v>6</v>
      </c>
      <c r="X52" s="4">
        <v>0</v>
      </c>
      <c r="Y52" s="4">
        <v>8</v>
      </c>
      <c r="Z52" s="4">
        <v>0</v>
      </c>
      <c r="AA52" s="4">
        <v>9</v>
      </c>
      <c r="AB52" s="4">
        <v>0</v>
      </c>
      <c r="AC52" s="4">
        <v>10</v>
      </c>
      <c r="AD52" s="4">
        <v>0</v>
      </c>
      <c r="AE52" s="4">
        <v>9</v>
      </c>
      <c r="AF52" s="4">
        <v>0</v>
      </c>
      <c r="AG52" s="4">
        <f>CHOOSE(MATCH(Setup!$B$5,{8,10,12,14,16},0)+(MATCH(Setup!$B$7,{"STD","Half-PPR","PPR"},0)-1)*5,C52,E52,G52,I52,K52,M52,O52,Q52,S52,U52,W52,Y52,AA52,AC52,AE52)</f>
        <v>8</v>
      </c>
      <c r="AH52" s="4">
        <f>CHOOSE(MATCH(Setup!$B$5,{8,10,12,14,16},0)+(MATCH(Setup!$B$7,{"STD","Half-PPR","PPR"},0)-1)*5,D52,F52,H52,J52,L52,N52,P52,R52,T52,V52,X52,Z52,AB52,AD52,AF52)</f>
        <v>0</v>
      </c>
      <c r="AI52" s="4">
        <f>ROUND(1+AH52*'Live Calc'!$D$9,0)</f>
        <v>1</v>
      </c>
      <c r="AJ52" s="4"/>
      <c r="AK52" s="4">
        <f>IF(AJ52&lt;&gt;"",AJ52,ROUND(AI52*INDEX('Live Calc'!$D$16:$D$25,MATCH(AG52,'Live Calc'!$A$16:$A$25,0))*'Live Calc'!$J$89,0))</f>
        <v>1</v>
      </c>
      <c r="AM52" s="5" t="s">
        <v>279</v>
      </c>
      <c r="AN52" s="5" t="s">
        <v>117</v>
      </c>
      <c r="AO52" s="5">
        <v>9</v>
      </c>
      <c r="AP52" s="5">
        <v>0</v>
      </c>
      <c r="AQ52" s="5">
        <v>10</v>
      </c>
      <c r="AR52" s="5">
        <v>0</v>
      </c>
      <c r="AS52" s="5">
        <v>14</v>
      </c>
      <c r="AT52" s="5">
        <v>0</v>
      </c>
      <c r="AU52" s="5">
        <v>16</v>
      </c>
      <c r="AV52" s="5">
        <v>0</v>
      </c>
      <c r="AW52" s="5">
        <v>16</v>
      </c>
      <c r="AX52" s="5">
        <v>0</v>
      </c>
      <c r="AY52" s="5">
        <v>9</v>
      </c>
      <c r="AZ52" s="5">
        <v>0</v>
      </c>
      <c r="BA52" s="5">
        <v>11</v>
      </c>
      <c r="BB52" s="5">
        <v>0</v>
      </c>
      <c r="BC52" s="5">
        <v>13</v>
      </c>
      <c r="BD52" s="5">
        <v>0</v>
      </c>
      <c r="BE52" s="5">
        <v>16</v>
      </c>
      <c r="BF52" s="5">
        <v>4.8815999999999997</v>
      </c>
      <c r="BG52" s="5">
        <v>16</v>
      </c>
      <c r="BH52" s="5">
        <v>33.892000000000003</v>
      </c>
      <c r="BI52" s="5">
        <v>11</v>
      </c>
      <c r="BJ52" s="5">
        <v>0</v>
      </c>
      <c r="BK52" s="5">
        <v>13</v>
      </c>
      <c r="BL52" s="5">
        <v>0</v>
      </c>
      <c r="BM52" s="5">
        <v>15</v>
      </c>
      <c r="BN52" s="5">
        <v>0</v>
      </c>
      <c r="BO52" s="5">
        <v>17</v>
      </c>
      <c r="BP52" s="5">
        <v>0</v>
      </c>
      <c r="BQ52" s="5">
        <v>17</v>
      </c>
      <c r="BR52" s="5">
        <v>10.8531</v>
      </c>
      <c r="BS52" s="5">
        <f>CHOOSE(MATCH(Setup!$B$5,{8,10,12,14,16},0)+(MATCH(Setup!$B$7,{"STD","Half-PPR","PPR"},0)-1)*5,AO52,AQ52,AS52,AU52,AW52,AY52,BA52,BC52,BE52,BG52,BI52,BK52,BM52,BO52,BQ52)</f>
        <v>13</v>
      </c>
      <c r="BT52" s="5">
        <f>CHOOSE(MATCH(Setup!$B$5,{8,10,12,14,16},0)+(MATCH(Setup!$B$7,{"STD","Half-PPR","PPR"},0)-1)*5,AP52,AR52,AT52,AV52,AX52,AZ52,BB52,BD52,BF52,BH52,BJ52,BL52,BN52,BP52,BR52)</f>
        <v>0</v>
      </c>
      <c r="BU52" s="5">
        <f>ROUND(1+BT52*'Live Calc'!$D$10,0)</f>
        <v>1</v>
      </c>
      <c r="BV52" s="5"/>
      <c r="BW52" s="5">
        <f>IF(BV52&lt;&gt;"",BV52,ROUND(BU52*INDEX('Live Calc'!$D$29:$D$46,MATCH(BS52,'Live Calc'!$A$29:$A$46,0))*'Live Calc'!$J$89,0))</f>
        <v>1</v>
      </c>
      <c r="BY52" s="6" t="s">
        <v>280</v>
      </c>
      <c r="BZ52" s="6" t="s">
        <v>46</v>
      </c>
      <c r="CA52" s="6">
        <v>14</v>
      </c>
      <c r="CB52" s="6">
        <v>0</v>
      </c>
      <c r="CC52" s="6">
        <v>17</v>
      </c>
      <c r="CD52" s="6">
        <v>0</v>
      </c>
      <c r="CE52" s="6">
        <v>17</v>
      </c>
      <c r="CF52" s="6">
        <v>18.500699999999998</v>
      </c>
      <c r="CG52" s="6">
        <v>16</v>
      </c>
      <c r="CH52" s="6">
        <v>19.8933</v>
      </c>
      <c r="CI52" s="6">
        <v>16</v>
      </c>
      <c r="CJ52" s="6">
        <v>36.767299999999999</v>
      </c>
      <c r="CK52" s="6">
        <v>10</v>
      </c>
      <c r="CL52" s="6">
        <v>0</v>
      </c>
      <c r="CM52" s="6">
        <v>13</v>
      </c>
      <c r="CN52" s="6">
        <v>14.2324</v>
      </c>
      <c r="CO52" s="6">
        <v>13</v>
      </c>
      <c r="CP52" s="6">
        <v>41.1753</v>
      </c>
      <c r="CQ52" s="6">
        <v>12</v>
      </c>
      <c r="CR52" s="6">
        <v>38.542000000000002</v>
      </c>
      <c r="CS52" s="6">
        <v>13</v>
      </c>
      <c r="CT52" s="6">
        <v>78.7851</v>
      </c>
      <c r="CU52" s="6">
        <v>12</v>
      </c>
      <c r="CV52" s="6">
        <v>0</v>
      </c>
      <c r="CW52" s="6">
        <v>12</v>
      </c>
      <c r="CX52" s="6">
        <v>0</v>
      </c>
      <c r="CY52" s="6">
        <v>12</v>
      </c>
      <c r="CZ52" s="6">
        <v>68.465400000000002</v>
      </c>
      <c r="DA52" s="6">
        <v>13</v>
      </c>
      <c r="DB52" s="6">
        <v>66.916300000000007</v>
      </c>
      <c r="DC52" s="6">
        <v>13</v>
      </c>
      <c r="DD52" s="6">
        <v>73.264700000000005</v>
      </c>
      <c r="DE52" s="6">
        <f>CHOOSE(MATCH(Setup!$B$5,{8,10,12,14,16},0)+(MATCH(Setup!$B$7,{"STD","Half-PPR","PPR"},0)-1)*5,CA52,CC52,CE52,CG52,CI52,CK52,CM52,CO52,CQ52,CS52,CU52,CW52,CY52,DA52,DC52)</f>
        <v>13</v>
      </c>
      <c r="DF52" s="6">
        <f>CHOOSE(MATCH(Setup!$B$5,{8,10,12,14,16},0)+(MATCH(Setup!$B$7,{"STD","Half-PPR","PPR"},0)-1)*5,CB52,CD52,CF52,CH52,CJ52,CL52,CN52,CP52,CR52,CT52,CV52,CX52,CZ52,DB52,DD52)</f>
        <v>41.1753</v>
      </c>
      <c r="DG52" s="6">
        <f>ROUND(1+DF52*'Live Calc'!$D$11,0)</f>
        <v>5</v>
      </c>
      <c r="DH52" s="6"/>
      <c r="DI52" s="6">
        <f>IF(DH52&lt;&gt;"",DH52,ROUND(DG52*INDEX('Live Calc'!$D$50:$D$70,MATCH(DE52,'Live Calc'!$A$50:$A$70,0))*'Live Calc'!$J$89,0))</f>
        <v>5</v>
      </c>
      <c r="DK52" s="7" t="s">
        <v>281</v>
      </c>
      <c r="DL52" s="7" t="s">
        <v>91</v>
      </c>
      <c r="DM52" s="7">
        <v>8</v>
      </c>
      <c r="DN52" s="7">
        <v>0</v>
      </c>
      <c r="DO52" s="7">
        <v>9</v>
      </c>
      <c r="DP52" s="7">
        <v>0</v>
      </c>
      <c r="DQ52" s="7">
        <v>10</v>
      </c>
      <c r="DR52" s="7">
        <v>0</v>
      </c>
      <c r="DS52" s="7">
        <v>11</v>
      </c>
      <c r="DT52" s="7">
        <v>0</v>
      </c>
      <c r="DU52" s="7">
        <v>12</v>
      </c>
      <c r="DV52" s="7">
        <v>0</v>
      </c>
      <c r="DW52" s="7">
        <v>6</v>
      </c>
      <c r="DX52" s="7">
        <v>0</v>
      </c>
      <c r="DY52" s="7">
        <v>9</v>
      </c>
      <c r="DZ52" s="7">
        <v>0</v>
      </c>
      <c r="EA52" s="7">
        <v>9</v>
      </c>
      <c r="EB52" s="7">
        <v>0</v>
      </c>
      <c r="EC52" s="7">
        <v>11</v>
      </c>
      <c r="ED52" s="7">
        <v>0</v>
      </c>
      <c r="EE52" s="7">
        <v>12</v>
      </c>
      <c r="EF52" s="7">
        <v>0</v>
      </c>
      <c r="EG52" s="7">
        <v>5</v>
      </c>
      <c r="EH52" s="7">
        <v>0</v>
      </c>
      <c r="EI52" s="7">
        <v>6</v>
      </c>
      <c r="EJ52" s="7">
        <v>0</v>
      </c>
      <c r="EK52" s="7">
        <v>7</v>
      </c>
      <c r="EL52" s="7">
        <v>0</v>
      </c>
      <c r="EM52" s="7">
        <v>10</v>
      </c>
      <c r="EN52" s="7">
        <v>0</v>
      </c>
      <c r="EO52" s="7">
        <v>11</v>
      </c>
      <c r="EP52" s="7">
        <v>0</v>
      </c>
      <c r="EQ52" s="7">
        <f>CHOOSE(MATCH(Setup!$B$5,{8,10,12,14,16},0)+(MATCH(Setup!$B$7,{"STD","Half-PPR","PPR"},0)-1)*5,DM52,DO52,DQ52,DS52,DU52,DW52,DY52,EA52,EC52,EE52,EG52,EI52,EK52,EM52,EO52)</f>
        <v>9</v>
      </c>
      <c r="ER52" s="7">
        <f>CHOOSE(MATCH(Setup!$B$5,{8,10,12,14,16},0)+(MATCH(Setup!$B$7,{"STD","Half-PPR","PPR"},0)-1)*5,DN52,DP52,DR52,DT52,DV52,DX52,DZ52,EB52,ED52,EF52,EH52,EJ52,EL52,EN52,EP52)</f>
        <v>0</v>
      </c>
      <c r="ES52" s="7">
        <f>ROUND(1+ER52*'Live Calc'!$D$12,0)</f>
        <v>1</v>
      </c>
      <c r="ET52" s="7"/>
      <c r="EU52" s="7">
        <f>IF(ET52&lt;&gt;"",ET52,ROUND(ES52*INDEX('Live Calc'!$D$74:$D$85,MATCH(EQ52,'Live Calc'!$A$74:$A$85,0))*'Live Calc'!$J$89,0))</f>
        <v>1</v>
      </c>
    </row>
    <row r="53" spans="1:151" x14ac:dyDescent="0.25">
      <c r="A53" s="4" t="s">
        <v>282</v>
      </c>
      <c r="B53" s="4" t="s">
        <v>175</v>
      </c>
      <c r="C53" s="4">
        <v>6</v>
      </c>
      <c r="D53" s="4">
        <v>0</v>
      </c>
      <c r="E53" s="4">
        <v>7</v>
      </c>
      <c r="F53" s="4">
        <v>0</v>
      </c>
      <c r="G53" s="4">
        <v>8</v>
      </c>
      <c r="H53" s="4">
        <v>0</v>
      </c>
      <c r="I53" s="4">
        <v>9</v>
      </c>
      <c r="J53" s="4">
        <v>0</v>
      </c>
      <c r="K53" s="4">
        <v>9</v>
      </c>
      <c r="L53" s="4">
        <v>0</v>
      </c>
      <c r="M53" s="4">
        <v>5</v>
      </c>
      <c r="N53" s="4">
        <v>0</v>
      </c>
      <c r="O53" s="4">
        <v>6</v>
      </c>
      <c r="P53" s="4">
        <v>0</v>
      </c>
      <c r="Q53" s="4">
        <v>8</v>
      </c>
      <c r="R53" s="4">
        <v>0</v>
      </c>
      <c r="S53" s="4">
        <v>8</v>
      </c>
      <c r="T53" s="4">
        <v>0</v>
      </c>
      <c r="U53" s="4">
        <v>8</v>
      </c>
      <c r="V53" s="4">
        <v>0</v>
      </c>
      <c r="W53" s="4">
        <v>6</v>
      </c>
      <c r="X53" s="4">
        <v>0</v>
      </c>
      <c r="Y53" s="4">
        <v>8</v>
      </c>
      <c r="Z53" s="4">
        <v>0</v>
      </c>
      <c r="AA53" s="4">
        <v>9</v>
      </c>
      <c r="AB53" s="4">
        <v>0</v>
      </c>
      <c r="AC53" s="4">
        <v>10</v>
      </c>
      <c r="AD53" s="4">
        <v>0</v>
      </c>
      <c r="AE53" s="4">
        <v>9</v>
      </c>
      <c r="AF53" s="4">
        <v>0</v>
      </c>
      <c r="AG53" s="4">
        <f>CHOOSE(MATCH(Setup!$B$5,{8,10,12,14,16},0)+(MATCH(Setup!$B$7,{"STD","Half-PPR","PPR"},0)-1)*5,C53,E53,G53,I53,K53,M53,O53,Q53,S53,U53,W53,Y53,AA53,AC53,AE53)</f>
        <v>8</v>
      </c>
      <c r="AH53" s="4">
        <f>CHOOSE(MATCH(Setup!$B$5,{8,10,12,14,16},0)+(MATCH(Setup!$B$7,{"STD","Half-PPR","PPR"},0)-1)*5,D53,F53,H53,J53,L53,N53,P53,R53,T53,V53,X53,Z53,AB53,AD53,AF53)</f>
        <v>0</v>
      </c>
      <c r="AI53" s="4">
        <f>ROUND(1+AH53*'Live Calc'!$D$9,0)</f>
        <v>1</v>
      </c>
      <c r="AJ53" s="4"/>
      <c r="AK53" s="4">
        <f>IF(AJ53&lt;&gt;"",AJ53,ROUND(AI53*INDEX('Live Calc'!$D$16:$D$25,MATCH(AG53,'Live Calc'!$A$16:$A$25,0))*'Live Calc'!$J$89,0))</f>
        <v>1</v>
      </c>
      <c r="AM53" s="5" t="s">
        <v>283</v>
      </c>
      <c r="AN53" s="5" t="s">
        <v>110</v>
      </c>
      <c r="AO53" s="5">
        <v>9</v>
      </c>
      <c r="AP53" s="5">
        <v>0</v>
      </c>
      <c r="AQ53" s="5">
        <v>10</v>
      </c>
      <c r="AR53" s="5">
        <v>0</v>
      </c>
      <c r="AS53" s="5">
        <v>14</v>
      </c>
      <c r="AT53" s="5">
        <v>0</v>
      </c>
      <c r="AU53" s="5">
        <v>16</v>
      </c>
      <c r="AV53" s="5">
        <v>0</v>
      </c>
      <c r="AW53" s="5">
        <v>15</v>
      </c>
      <c r="AX53" s="5">
        <v>3.4561999999999999</v>
      </c>
      <c r="AY53" s="5">
        <v>9</v>
      </c>
      <c r="AZ53" s="5">
        <v>0</v>
      </c>
      <c r="BA53" s="5">
        <v>11</v>
      </c>
      <c r="BB53" s="5">
        <v>0</v>
      </c>
      <c r="BC53" s="5">
        <v>13</v>
      </c>
      <c r="BD53" s="5">
        <v>0</v>
      </c>
      <c r="BE53" s="5">
        <v>17</v>
      </c>
      <c r="BF53" s="5">
        <v>0</v>
      </c>
      <c r="BG53" s="5">
        <v>16</v>
      </c>
      <c r="BH53" s="5">
        <v>25.971399999999999</v>
      </c>
      <c r="BI53" s="5">
        <v>11</v>
      </c>
      <c r="BJ53" s="5">
        <v>0</v>
      </c>
      <c r="BK53" s="5">
        <v>13</v>
      </c>
      <c r="BL53" s="5">
        <v>0</v>
      </c>
      <c r="BM53" s="5">
        <v>15</v>
      </c>
      <c r="BN53" s="5">
        <v>0</v>
      </c>
      <c r="BO53" s="5">
        <v>17</v>
      </c>
      <c r="BP53" s="5">
        <v>0</v>
      </c>
      <c r="BQ53" s="5">
        <v>18</v>
      </c>
      <c r="BR53" s="5">
        <v>0</v>
      </c>
      <c r="BS53" s="5">
        <f>CHOOSE(MATCH(Setup!$B$5,{8,10,12,14,16},0)+(MATCH(Setup!$B$7,{"STD","Half-PPR","PPR"},0)-1)*5,AO53,AQ53,AS53,AU53,AW53,AY53,BA53,BC53,BE53,BG53,BI53,BK53,BM53,BO53,BQ53)</f>
        <v>13</v>
      </c>
      <c r="BT53" s="5">
        <f>CHOOSE(MATCH(Setup!$B$5,{8,10,12,14,16},0)+(MATCH(Setup!$B$7,{"STD","Half-PPR","PPR"},0)-1)*5,AP53,AR53,AT53,AV53,AX53,AZ53,BB53,BD53,BF53,BH53,BJ53,BL53,BN53,BP53,BR53)</f>
        <v>0</v>
      </c>
      <c r="BU53" s="5">
        <f>ROUND(1+BT53*'Live Calc'!$D$10,0)</f>
        <v>1</v>
      </c>
      <c r="BV53" s="5"/>
      <c r="BW53" s="5">
        <f>IF(BV53&lt;&gt;"",BV53,ROUND(BU53*INDEX('Live Calc'!$D$29:$D$46,MATCH(BS53,'Live Calc'!$A$29:$A$46,0))*'Live Calc'!$J$89,0))</f>
        <v>1</v>
      </c>
      <c r="BY53" s="6" t="s">
        <v>284</v>
      </c>
      <c r="BZ53" s="6" t="s">
        <v>107</v>
      </c>
      <c r="CA53" s="6">
        <v>14</v>
      </c>
      <c r="CB53" s="6">
        <v>0</v>
      </c>
      <c r="CC53" s="6">
        <v>17</v>
      </c>
      <c r="CD53" s="6">
        <v>0</v>
      </c>
      <c r="CE53" s="6">
        <v>17</v>
      </c>
      <c r="CF53" s="6">
        <v>21.269400000000001</v>
      </c>
      <c r="CG53" s="6">
        <v>16</v>
      </c>
      <c r="CH53" s="6">
        <v>21.926400000000001</v>
      </c>
      <c r="CI53" s="6">
        <v>16</v>
      </c>
      <c r="CJ53" s="6">
        <v>38.9131</v>
      </c>
      <c r="CK53" s="6">
        <v>10</v>
      </c>
      <c r="CL53" s="6">
        <v>0</v>
      </c>
      <c r="CM53" s="6">
        <v>14</v>
      </c>
      <c r="CN53" s="6">
        <v>8.7609999999999992</v>
      </c>
      <c r="CO53" s="6">
        <v>13</v>
      </c>
      <c r="CP53" s="6">
        <v>35.247799999999998</v>
      </c>
      <c r="CQ53" s="6">
        <v>12</v>
      </c>
      <c r="CR53" s="6">
        <v>34.435600000000001</v>
      </c>
      <c r="CS53" s="6">
        <v>13</v>
      </c>
      <c r="CT53" s="6">
        <v>73.338399999999993</v>
      </c>
      <c r="CU53" s="6">
        <v>12</v>
      </c>
      <c r="CV53" s="6">
        <v>0</v>
      </c>
      <c r="CW53" s="6">
        <v>12</v>
      </c>
      <c r="CX53" s="6">
        <v>0</v>
      </c>
      <c r="CY53" s="6">
        <v>13</v>
      </c>
      <c r="CZ53" s="6">
        <v>47.743699999999997</v>
      </c>
      <c r="DA53" s="6">
        <v>14</v>
      </c>
      <c r="DB53" s="6">
        <v>52.481200000000001</v>
      </c>
      <c r="DC53" s="6">
        <v>14</v>
      </c>
      <c r="DD53" s="6">
        <v>61.386099999999999</v>
      </c>
      <c r="DE53" s="6">
        <f>CHOOSE(MATCH(Setup!$B$5,{8,10,12,14,16},0)+(MATCH(Setup!$B$7,{"STD","Half-PPR","PPR"},0)-1)*5,CA53,CC53,CE53,CG53,CI53,CK53,CM53,CO53,CQ53,CS53,CU53,CW53,CY53,DA53,DC53)</f>
        <v>13</v>
      </c>
      <c r="DF53" s="6">
        <f>CHOOSE(MATCH(Setup!$B$5,{8,10,12,14,16},0)+(MATCH(Setup!$B$7,{"STD","Half-PPR","PPR"},0)-1)*5,CB53,CD53,CF53,CH53,CJ53,CL53,CN53,CP53,CR53,CT53,CV53,CX53,CZ53,DB53,DD53)</f>
        <v>35.247799999999998</v>
      </c>
      <c r="DG53" s="6">
        <f>ROUND(1+DF53*'Live Calc'!$D$11,0)</f>
        <v>5</v>
      </c>
      <c r="DH53" s="6"/>
      <c r="DI53" s="6">
        <f>IF(DH53&lt;&gt;"",DH53,ROUND(DG53*INDEX('Live Calc'!$D$50:$D$70,MATCH(DE53,'Live Calc'!$A$50:$A$70,0))*'Live Calc'!$J$89,0))</f>
        <v>5</v>
      </c>
      <c r="DK53" s="7" t="s">
        <v>285</v>
      </c>
      <c r="DL53" s="7" t="s">
        <v>117</v>
      </c>
      <c r="DM53" s="7">
        <v>8</v>
      </c>
      <c r="DN53" s="7">
        <v>0</v>
      </c>
      <c r="DO53" s="7">
        <v>9</v>
      </c>
      <c r="DP53" s="7">
        <v>0</v>
      </c>
      <c r="DQ53" s="7">
        <v>10</v>
      </c>
      <c r="DR53" s="7">
        <v>0</v>
      </c>
      <c r="DS53" s="7">
        <v>11</v>
      </c>
      <c r="DT53" s="7">
        <v>0</v>
      </c>
      <c r="DU53" s="7">
        <v>12</v>
      </c>
      <c r="DV53" s="7">
        <v>0</v>
      </c>
      <c r="DW53" s="7">
        <v>6</v>
      </c>
      <c r="DX53" s="7">
        <v>0</v>
      </c>
      <c r="DY53" s="7">
        <v>9</v>
      </c>
      <c r="DZ53" s="7">
        <v>0</v>
      </c>
      <c r="EA53" s="7">
        <v>9</v>
      </c>
      <c r="EB53" s="7">
        <v>0</v>
      </c>
      <c r="EC53" s="7">
        <v>11</v>
      </c>
      <c r="ED53" s="7">
        <v>0</v>
      </c>
      <c r="EE53" s="7">
        <v>12</v>
      </c>
      <c r="EF53" s="7">
        <v>0</v>
      </c>
      <c r="EG53" s="7">
        <v>5</v>
      </c>
      <c r="EH53" s="7">
        <v>0</v>
      </c>
      <c r="EI53" s="7">
        <v>6</v>
      </c>
      <c r="EJ53" s="7">
        <v>0</v>
      </c>
      <c r="EK53" s="7">
        <v>7</v>
      </c>
      <c r="EL53" s="7">
        <v>0</v>
      </c>
      <c r="EM53" s="7">
        <v>10</v>
      </c>
      <c r="EN53" s="7">
        <v>0</v>
      </c>
      <c r="EO53" s="7">
        <v>11</v>
      </c>
      <c r="EP53" s="7">
        <v>0</v>
      </c>
      <c r="EQ53" s="7">
        <f>CHOOSE(MATCH(Setup!$B$5,{8,10,12,14,16},0)+(MATCH(Setup!$B$7,{"STD","Half-PPR","PPR"},0)-1)*5,DM53,DO53,DQ53,DS53,DU53,DW53,DY53,EA53,EC53,EE53,EG53,EI53,EK53,EM53,EO53)</f>
        <v>9</v>
      </c>
      <c r="ER53" s="7">
        <f>CHOOSE(MATCH(Setup!$B$5,{8,10,12,14,16},0)+(MATCH(Setup!$B$7,{"STD","Half-PPR","PPR"},0)-1)*5,DN53,DP53,DR53,DT53,DV53,DX53,DZ53,EB53,ED53,EF53,EH53,EJ53,EL53,EN53,EP53)</f>
        <v>0</v>
      </c>
      <c r="ES53" s="7">
        <f>ROUND(1+ER53*'Live Calc'!$D$12,0)</f>
        <v>1</v>
      </c>
      <c r="ET53" s="7"/>
      <c r="EU53" s="7">
        <f>IF(ET53&lt;&gt;"",ET53,ROUND(ES53*INDEX('Live Calc'!$D$74:$D$85,MATCH(EQ53,'Live Calc'!$A$74:$A$85,0))*'Live Calc'!$J$89,0))</f>
        <v>1</v>
      </c>
    </row>
    <row r="54" spans="1:151" x14ac:dyDescent="0.25">
      <c r="A54" s="4" t="s">
        <v>286</v>
      </c>
      <c r="B54" s="4" t="s">
        <v>68</v>
      </c>
      <c r="C54" s="4">
        <v>6</v>
      </c>
      <c r="D54" s="4">
        <v>0</v>
      </c>
      <c r="E54" s="4">
        <v>7</v>
      </c>
      <c r="F54" s="4">
        <v>0</v>
      </c>
      <c r="G54" s="4">
        <v>8</v>
      </c>
      <c r="H54" s="4">
        <v>0</v>
      </c>
      <c r="I54" s="4">
        <v>9</v>
      </c>
      <c r="J54" s="4">
        <v>0</v>
      </c>
      <c r="K54" s="4">
        <v>9</v>
      </c>
      <c r="L54" s="4">
        <v>0</v>
      </c>
      <c r="M54" s="4">
        <v>5</v>
      </c>
      <c r="N54" s="4">
        <v>0</v>
      </c>
      <c r="O54" s="4">
        <v>6</v>
      </c>
      <c r="P54" s="4">
        <v>0</v>
      </c>
      <c r="Q54" s="4">
        <v>8</v>
      </c>
      <c r="R54" s="4">
        <v>0</v>
      </c>
      <c r="S54" s="4">
        <v>8</v>
      </c>
      <c r="T54" s="4">
        <v>0</v>
      </c>
      <c r="U54" s="4">
        <v>8</v>
      </c>
      <c r="V54" s="4">
        <v>0</v>
      </c>
      <c r="W54" s="4">
        <v>6</v>
      </c>
      <c r="X54" s="4">
        <v>0</v>
      </c>
      <c r="Y54" s="4">
        <v>8</v>
      </c>
      <c r="Z54" s="4">
        <v>0</v>
      </c>
      <c r="AA54" s="4">
        <v>9</v>
      </c>
      <c r="AB54" s="4">
        <v>0</v>
      </c>
      <c r="AC54" s="4">
        <v>10</v>
      </c>
      <c r="AD54" s="4">
        <v>0</v>
      </c>
      <c r="AE54" s="4">
        <v>9</v>
      </c>
      <c r="AF54" s="4">
        <v>0</v>
      </c>
      <c r="AG54" s="4">
        <f>CHOOSE(MATCH(Setup!$B$5,{8,10,12,14,16},0)+(MATCH(Setup!$B$7,{"STD","Half-PPR","PPR"},0)-1)*5,C54,E54,G54,I54,K54,M54,O54,Q54,S54,U54,W54,Y54,AA54,AC54,AE54)</f>
        <v>8</v>
      </c>
      <c r="AH54" s="4">
        <f>CHOOSE(MATCH(Setup!$B$5,{8,10,12,14,16},0)+(MATCH(Setup!$B$7,{"STD","Half-PPR","PPR"},0)-1)*5,D54,F54,H54,J54,L54,N54,P54,R54,T54,V54,X54,Z54,AB54,AD54,AF54)</f>
        <v>0</v>
      </c>
      <c r="AI54" s="4">
        <f>ROUND(1+AH54*'Live Calc'!$D$9,0)</f>
        <v>1</v>
      </c>
      <c r="AJ54" s="4"/>
      <c r="AK54" s="4">
        <f>IF(AJ54&lt;&gt;"",AJ54,ROUND(AI54*INDEX('Live Calc'!$D$16:$D$25,MATCH(AG54,'Live Calc'!$A$16:$A$25,0))*'Live Calc'!$J$89,0))</f>
        <v>1</v>
      </c>
      <c r="AM54" s="5" t="s">
        <v>287</v>
      </c>
      <c r="AN54" s="5" t="s">
        <v>124</v>
      </c>
      <c r="AO54" s="5">
        <v>9</v>
      </c>
      <c r="AP54" s="5">
        <v>0</v>
      </c>
      <c r="AQ54" s="5">
        <v>10</v>
      </c>
      <c r="AR54" s="5">
        <v>0</v>
      </c>
      <c r="AS54" s="5">
        <v>14</v>
      </c>
      <c r="AT54" s="5">
        <v>0</v>
      </c>
      <c r="AU54" s="5">
        <v>16</v>
      </c>
      <c r="AV54" s="5">
        <v>0</v>
      </c>
      <c r="AW54" s="5">
        <v>16</v>
      </c>
      <c r="AX54" s="5">
        <v>0</v>
      </c>
      <c r="AY54" s="5">
        <v>9</v>
      </c>
      <c r="AZ54" s="5">
        <v>0</v>
      </c>
      <c r="BA54" s="5">
        <v>11</v>
      </c>
      <c r="BB54" s="5">
        <v>0</v>
      </c>
      <c r="BC54" s="5">
        <v>13</v>
      </c>
      <c r="BD54" s="5">
        <v>0</v>
      </c>
      <c r="BE54" s="5">
        <v>17</v>
      </c>
      <c r="BF54" s="5">
        <v>0</v>
      </c>
      <c r="BG54" s="5">
        <v>16</v>
      </c>
      <c r="BH54" s="5">
        <v>12.147600000000001</v>
      </c>
      <c r="BI54" s="5">
        <v>11</v>
      </c>
      <c r="BJ54" s="5">
        <v>0</v>
      </c>
      <c r="BK54" s="5">
        <v>13</v>
      </c>
      <c r="BL54" s="5">
        <v>0</v>
      </c>
      <c r="BM54" s="5">
        <v>15</v>
      </c>
      <c r="BN54" s="5">
        <v>0</v>
      </c>
      <c r="BO54" s="5">
        <v>17</v>
      </c>
      <c r="BP54" s="5">
        <v>0</v>
      </c>
      <c r="BQ54" s="5">
        <v>18</v>
      </c>
      <c r="BR54" s="5">
        <v>0</v>
      </c>
      <c r="BS54" s="5">
        <f>CHOOSE(MATCH(Setup!$B$5,{8,10,12,14,16},0)+(MATCH(Setup!$B$7,{"STD","Half-PPR","PPR"},0)-1)*5,AO54,AQ54,AS54,AU54,AW54,AY54,BA54,BC54,BE54,BG54,BI54,BK54,BM54,BO54,BQ54)</f>
        <v>13</v>
      </c>
      <c r="BT54" s="5">
        <f>CHOOSE(MATCH(Setup!$B$5,{8,10,12,14,16},0)+(MATCH(Setup!$B$7,{"STD","Half-PPR","PPR"},0)-1)*5,AP54,AR54,AT54,AV54,AX54,AZ54,BB54,BD54,BF54,BH54,BJ54,BL54,BN54,BP54,BR54)</f>
        <v>0</v>
      </c>
      <c r="BU54" s="5">
        <f>ROUND(1+BT54*'Live Calc'!$D$10,0)</f>
        <v>1</v>
      </c>
      <c r="BV54" s="5"/>
      <c r="BW54" s="5">
        <f>IF(BV54&lt;&gt;"",BV54,ROUND(BU54*INDEX('Live Calc'!$D$29:$D$46,MATCH(BS54,'Live Calc'!$A$29:$A$46,0))*'Live Calc'!$J$89,0))</f>
        <v>1</v>
      </c>
      <c r="BY54" s="6" t="s">
        <v>288</v>
      </c>
      <c r="BZ54" s="6" t="s">
        <v>86</v>
      </c>
      <c r="CA54" s="6">
        <v>14</v>
      </c>
      <c r="CB54" s="6">
        <v>0</v>
      </c>
      <c r="CC54" s="6">
        <v>17</v>
      </c>
      <c r="CD54" s="6">
        <v>0</v>
      </c>
      <c r="CE54" s="6">
        <v>17</v>
      </c>
      <c r="CF54" s="6">
        <v>22.099</v>
      </c>
      <c r="CG54" s="6">
        <v>16</v>
      </c>
      <c r="CH54" s="6">
        <v>22.530100000000001</v>
      </c>
      <c r="CI54" s="6">
        <v>16</v>
      </c>
      <c r="CJ54" s="6">
        <v>39.5488</v>
      </c>
      <c r="CK54" s="6">
        <v>10</v>
      </c>
      <c r="CL54" s="6">
        <v>0</v>
      </c>
      <c r="CM54" s="6">
        <v>14</v>
      </c>
      <c r="CN54" s="6">
        <v>4.2298</v>
      </c>
      <c r="CO54" s="6">
        <v>13</v>
      </c>
      <c r="CP54" s="6">
        <v>29.8752</v>
      </c>
      <c r="CQ54" s="6">
        <v>12</v>
      </c>
      <c r="CR54" s="6">
        <v>30.6525</v>
      </c>
      <c r="CS54" s="6">
        <v>13</v>
      </c>
      <c r="CT54" s="6">
        <v>68.314999999999998</v>
      </c>
      <c r="CU54" s="6">
        <v>12</v>
      </c>
      <c r="CV54" s="6">
        <v>0</v>
      </c>
      <c r="CW54" s="6">
        <v>12</v>
      </c>
      <c r="CX54" s="6">
        <v>0</v>
      </c>
      <c r="CY54" s="6">
        <v>13</v>
      </c>
      <c r="CZ54" s="6">
        <v>37.627600000000001</v>
      </c>
      <c r="DA54" s="6">
        <v>14</v>
      </c>
      <c r="DB54" s="6">
        <v>45.183300000000003</v>
      </c>
      <c r="DC54" s="6">
        <v>14</v>
      </c>
      <c r="DD54" s="6">
        <v>55.3018</v>
      </c>
      <c r="DE54" s="6">
        <f>CHOOSE(MATCH(Setup!$B$5,{8,10,12,14,16},0)+(MATCH(Setup!$B$7,{"STD","Half-PPR","PPR"},0)-1)*5,CA54,CC54,CE54,CG54,CI54,CK54,CM54,CO54,CQ54,CS54,CU54,CW54,CY54,DA54,DC54)</f>
        <v>13</v>
      </c>
      <c r="DF54" s="6">
        <f>CHOOSE(MATCH(Setup!$B$5,{8,10,12,14,16},0)+(MATCH(Setup!$B$7,{"STD","Half-PPR","PPR"},0)-1)*5,CB54,CD54,CF54,CH54,CJ54,CL54,CN54,CP54,CR54,CT54,CV54,CX54,CZ54,DB54,DD54)</f>
        <v>29.8752</v>
      </c>
      <c r="DG54" s="6">
        <f>ROUND(1+DF54*'Live Calc'!$D$11,0)</f>
        <v>4</v>
      </c>
      <c r="DH54" s="6"/>
      <c r="DI54" s="6">
        <f>IF(DH54&lt;&gt;"",DH54,ROUND(DG54*INDEX('Live Calc'!$D$50:$D$70,MATCH(DE54,'Live Calc'!$A$50:$A$70,0))*'Live Calc'!$J$89,0))</f>
        <v>4</v>
      </c>
      <c r="DK54" s="7" t="s">
        <v>289</v>
      </c>
      <c r="DL54" s="7" t="s">
        <v>145</v>
      </c>
      <c r="DM54" s="7">
        <v>8</v>
      </c>
      <c r="DN54" s="7">
        <v>0</v>
      </c>
      <c r="DO54" s="7">
        <v>9</v>
      </c>
      <c r="DP54" s="7">
        <v>0</v>
      </c>
      <c r="DQ54" s="7">
        <v>10</v>
      </c>
      <c r="DR54" s="7">
        <v>0</v>
      </c>
      <c r="DS54" s="7">
        <v>11</v>
      </c>
      <c r="DT54" s="7">
        <v>0</v>
      </c>
      <c r="DU54" s="7">
        <v>12</v>
      </c>
      <c r="DV54" s="7">
        <v>0</v>
      </c>
      <c r="DW54" s="7">
        <v>6</v>
      </c>
      <c r="DX54" s="7">
        <v>0</v>
      </c>
      <c r="DY54" s="7">
        <v>9</v>
      </c>
      <c r="DZ54" s="7">
        <v>0</v>
      </c>
      <c r="EA54" s="7">
        <v>9</v>
      </c>
      <c r="EB54" s="7">
        <v>0</v>
      </c>
      <c r="EC54" s="7">
        <v>11</v>
      </c>
      <c r="ED54" s="7">
        <v>0</v>
      </c>
      <c r="EE54" s="7">
        <v>12</v>
      </c>
      <c r="EF54" s="7">
        <v>0</v>
      </c>
      <c r="EG54" s="7">
        <v>5</v>
      </c>
      <c r="EH54" s="7">
        <v>0</v>
      </c>
      <c r="EI54" s="7">
        <v>6</v>
      </c>
      <c r="EJ54" s="7">
        <v>0</v>
      </c>
      <c r="EK54" s="7">
        <v>7</v>
      </c>
      <c r="EL54" s="7">
        <v>0</v>
      </c>
      <c r="EM54" s="7">
        <v>10</v>
      </c>
      <c r="EN54" s="7">
        <v>0</v>
      </c>
      <c r="EO54" s="7">
        <v>11</v>
      </c>
      <c r="EP54" s="7">
        <v>0</v>
      </c>
      <c r="EQ54" s="7">
        <f>CHOOSE(MATCH(Setup!$B$5,{8,10,12,14,16},0)+(MATCH(Setup!$B$7,{"STD","Half-PPR","PPR"},0)-1)*5,DM54,DO54,DQ54,DS54,DU54,DW54,DY54,EA54,EC54,EE54,EG54,EI54,EK54,EM54,EO54)</f>
        <v>9</v>
      </c>
      <c r="ER54" s="7">
        <f>CHOOSE(MATCH(Setup!$B$5,{8,10,12,14,16},0)+(MATCH(Setup!$B$7,{"STD","Half-PPR","PPR"},0)-1)*5,DN54,DP54,DR54,DT54,DV54,DX54,DZ54,EB54,ED54,EF54,EH54,EJ54,EL54,EN54,EP54)</f>
        <v>0</v>
      </c>
      <c r="ES54" s="7">
        <f>ROUND(1+ER54*'Live Calc'!$D$12,0)</f>
        <v>1</v>
      </c>
      <c r="ET54" s="7"/>
      <c r="EU54" s="7">
        <f>IF(ET54&lt;&gt;"",ET54,ROUND(ES54*INDEX('Live Calc'!$D$74:$D$85,MATCH(EQ54,'Live Calc'!$A$74:$A$85,0))*'Live Calc'!$J$89,0))</f>
        <v>1</v>
      </c>
    </row>
    <row r="55" spans="1:151" x14ac:dyDescent="0.25">
      <c r="A55" s="4" t="s">
        <v>290</v>
      </c>
      <c r="B55" s="4" t="s">
        <v>52</v>
      </c>
      <c r="C55" s="4">
        <v>6</v>
      </c>
      <c r="D55" s="4">
        <v>0</v>
      </c>
      <c r="E55" s="4">
        <v>7</v>
      </c>
      <c r="F55" s="4">
        <v>0</v>
      </c>
      <c r="G55" s="4">
        <v>8</v>
      </c>
      <c r="H55" s="4">
        <v>0</v>
      </c>
      <c r="I55" s="4">
        <v>9</v>
      </c>
      <c r="J55" s="4">
        <v>0</v>
      </c>
      <c r="K55" s="4">
        <v>9</v>
      </c>
      <c r="L55" s="4">
        <v>0</v>
      </c>
      <c r="M55" s="4">
        <v>5</v>
      </c>
      <c r="N55" s="4">
        <v>0</v>
      </c>
      <c r="O55" s="4">
        <v>6</v>
      </c>
      <c r="P55" s="4">
        <v>0</v>
      </c>
      <c r="Q55" s="4">
        <v>8</v>
      </c>
      <c r="R55" s="4">
        <v>0</v>
      </c>
      <c r="S55" s="4">
        <v>8</v>
      </c>
      <c r="T55" s="4">
        <v>0</v>
      </c>
      <c r="U55" s="4">
        <v>8</v>
      </c>
      <c r="V55" s="4">
        <v>0</v>
      </c>
      <c r="W55" s="4">
        <v>6</v>
      </c>
      <c r="X55" s="4">
        <v>0</v>
      </c>
      <c r="Y55" s="4">
        <v>8</v>
      </c>
      <c r="Z55" s="4">
        <v>0</v>
      </c>
      <c r="AA55" s="4">
        <v>9</v>
      </c>
      <c r="AB55" s="4">
        <v>0</v>
      </c>
      <c r="AC55" s="4">
        <v>10</v>
      </c>
      <c r="AD55" s="4">
        <v>0</v>
      </c>
      <c r="AE55" s="4">
        <v>9</v>
      </c>
      <c r="AF55" s="4">
        <v>0</v>
      </c>
      <c r="AG55" s="4">
        <f>CHOOSE(MATCH(Setup!$B$5,{8,10,12,14,16},0)+(MATCH(Setup!$B$7,{"STD","Half-PPR","PPR"},0)-1)*5,C55,E55,G55,I55,K55,M55,O55,Q55,S55,U55,W55,Y55,AA55,AC55,AE55)</f>
        <v>8</v>
      </c>
      <c r="AH55" s="4">
        <f>CHOOSE(MATCH(Setup!$B$5,{8,10,12,14,16},0)+(MATCH(Setup!$B$7,{"STD","Half-PPR","PPR"},0)-1)*5,D55,F55,H55,J55,L55,N55,P55,R55,T55,V55,X55,Z55,AB55,AD55,AF55)</f>
        <v>0</v>
      </c>
      <c r="AI55" s="4">
        <f>ROUND(1+AH55*'Live Calc'!$D$9,0)</f>
        <v>1</v>
      </c>
      <c r="AJ55" s="4"/>
      <c r="AK55" s="4">
        <f>IF(AJ55&lt;&gt;"",AJ55,ROUND(AI55*INDEX('Live Calc'!$D$16:$D$25,MATCH(AG55,'Live Calc'!$A$16:$A$25,0))*'Live Calc'!$J$89,0))</f>
        <v>1</v>
      </c>
      <c r="AM55" s="5" t="s">
        <v>291</v>
      </c>
      <c r="AN55" s="5" t="s">
        <v>127</v>
      </c>
      <c r="AO55" s="5">
        <v>9</v>
      </c>
      <c r="AP55" s="5">
        <v>0</v>
      </c>
      <c r="AQ55" s="5">
        <v>10</v>
      </c>
      <c r="AR55" s="5">
        <v>0</v>
      </c>
      <c r="AS55" s="5">
        <v>14</v>
      </c>
      <c r="AT55" s="5">
        <v>0</v>
      </c>
      <c r="AU55" s="5">
        <v>16</v>
      </c>
      <c r="AV55" s="5">
        <v>0</v>
      </c>
      <c r="AW55" s="5">
        <v>16</v>
      </c>
      <c r="AX55" s="5">
        <v>0</v>
      </c>
      <c r="AY55" s="5">
        <v>9</v>
      </c>
      <c r="AZ55" s="5">
        <v>0</v>
      </c>
      <c r="BA55" s="5">
        <v>11</v>
      </c>
      <c r="BB55" s="5">
        <v>0</v>
      </c>
      <c r="BC55" s="5">
        <v>13</v>
      </c>
      <c r="BD55" s="5">
        <v>0</v>
      </c>
      <c r="BE55" s="5">
        <v>17</v>
      </c>
      <c r="BF55" s="5">
        <v>0</v>
      </c>
      <c r="BG55" s="5">
        <v>16</v>
      </c>
      <c r="BH55" s="5">
        <v>8.5891999999999999</v>
      </c>
      <c r="BI55" s="5">
        <v>11</v>
      </c>
      <c r="BJ55" s="5">
        <v>0</v>
      </c>
      <c r="BK55" s="5">
        <v>13</v>
      </c>
      <c r="BL55" s="5">
        <v>0</v>
      </c>
      <c r="BM55" s="5">
        <v>15</v>
      </c>
      <c r="BN55" s="5">
        <v>0</v>
      </c>
      <c r="BO55" s="5">
        <v>17</v>
      </c>
      <c r="BP55" s="5">
        <v>0</v>
      </c>
      <c r="BQ55" s="5">
        <v>18</v>
      </c>
      <c r="BR55" s="5">
        <v>0</v>
      </c>
      <c r="BS55" s="5">
        <f>CHOOSE(MATCH(Setup!$B$5,{8,10,12,14,16},0)+(MATCH(Setup!$B$7,{"STD","Half-PPR","PPR"},0)-1)*5,AO55,AQ55,AS55,AU55,AW55,AY55,BA55,BC55,BE55,BG55,BI55,BK55,BM55,BO55,BQ55)</f>
        <v>13</v>
      </c>
      <c r="BT55" s="5">
        <f>CHOOSE(MATCH(Setup!$B$5,{8,10,12,14,16},0)+(MATCH(Setup!$B$7,{"STD","Half-PPR","PPR"},0)-1)*5,AP55,AR55,AT55,AV55,AX55,AZ55,BB55,BD55,BF55,BH55,BJ55,BL55,BN55,BP55,BR55)</f>
        <v>0</v>
      </c>
      <c r="BU55" s="5">
        <f>ROUND(1+BT55*'Live Calc'!$D$10,0)</f>
        <v>1</v>
      </c>
      <c r="BV55" s="5"/>
      <c r="BW55" s="5">
        <f>IF(BV55&lt;&gt;"",BV55,ROUND(BU55*INDEX('Live Calc'!$D$29:$D$46,MATCH(BS55,'Live Calc'!$A$29:$A$46,0))*'Live Calc'!$J$89,0))</f>
        <v>1</v>
      </c>
      <c r="BY55" s="6" t="s">
        <v>292</v>
      </c>
      <c r="BZ55" s="6" t="s">
        <v>145</v>
      </c>
      <c r="CA55" s="6">
        <v>14</v>
      </c>
      <c r="CB55" s="6">
        <v>0</v>
      </c>
      <c r="CC55" s="6">
        <v>17</v>
      </c>
      <c r="CD55" s="6">
        <v>0</v>
      </c>
      <c r="CE55" s="6">
        <v>17</v>
      </c>
      <c r="CF55" s="6">
        <v>14.388500000000001</v>
      </c>
      <c r="CG55" s="6">
        <v>16</v>
      </c>
      <c r="CH55" s="6">
        <v>16.8125</v>
      </c>
      <c r="CI55" s="6">
        <v>16</v>
      </c>
      <c r="CJ55" s="6">
        <v>33.498899999999999</v>
      </c>
      <c r="CK55" s="6">
        <v>10</v>
      </c>
      <c r="CL55" s="6">
        <v>0</v>
      </c>
      <c r="CM55" s="6">
        <v>14</v>
      </c>
      <c r="CN55" s="6">
        <v>1.3164</v>
      </c>
      <c r="CO55" s="6">
        <v>13</v>
      </c>
      <c r="CP55" s="6">
        <v>25.855799999999999</v>
      </c>
      <c r="CQ55" s="6">
        <v>12</v>
      </c>
      <c r="CR55" s="6">
        <v>27.776299999999999</v>
      </c>
      <c r="CS55" s="6">
        <v>13</v>
      </c>
      <c r="CT55" s="6">
        <v>64.490600000000001</v>
      </c>
      <c r="CU55" s="6">
        <v>12</v>
      </c>
      <c r="CV55" s="6">
        <v>0</v>
      </c>
      <c r="CW55" s="6">
        <v>12</v>
      </c>
      <c r="CX55" s="6">
        <v>0</v>
      </c>
      <c r="CY55" s="6">
        <v>13</v>
      </c>
      <c r="CZ55" s="6">
        <v>37.6999</v>
      </c>
      <c r="DA55" s="6">
        <v>14</v>
      </c>
      <c r="DB55" s="6">
        <v>45.2363</v>
      </c>
      <c r="DC55" s="6">
        <v>14</v>
      </c>
      <c r="DD55" s="6">
        <v>55.346200000000003</v>
      </c>
      <c r="DE55" s="6">
        <f>CHOOSE(MATCH(Setup!$B$5,{8,10,12,14,16},0)+(MATCH(Setup!$B$7,{"STD","Half-PPR","PPR"},0)-1)*5,CA55,CC55,CE55,CG55,CI55,CK55,CM55,CO55,CQ55,CS55,CU55,CW55,CY55,DA55,DC55)</f>
        <v>13</v>
      </c>
      <c r="DF55" s="6">
        <f>CHOOSE(MATCH(Setup!$B$5,{8,10,12,14,16},0)+(MATCH(Setup!$B$7,{"STD","Half-PPR","PPR"},0)-1)*5,CB55,CD55,CF55,CH55,CJ55,CL55,CN55,CP55,CR55,CT55,CV55,CX55,CZ55,DB55,DD55)</f>
        <v>25.855799999999999</v>
      </c>
      <c r="DG55" s="6">
        <f>ROUND(1+DF55*'Live Calc'!$D$11,0)</f>
        <v>4</v>
      </c>
      <c r="DH55" s="6"/>
      <c r="DI55" s="6">
        <f>IF(DH55&lt;&gt;"",DH55,ROUND(DG55*INDEX('Live Calc'!$D$50:$D$70,MATCH(DE55,'Live Calc'!$A$50:$A$70,0))*'Live Calc'!$J$89,0))</f>
        <v>4</v>
      </c>
      <c r="DK55" s="7" t="s">
        <v>293</v>
      </c>
      <c r="DL55" s="7" t="s">
        <v>117</v>
      </c>
      <c r="DM55" s="7">
        <v>8</v>
      </c>
      <c r="DN55" s="7">
        <v>0</v>
      </c>
      <c r="DO55" s="7">
        <v>9</v>
      </c>
      <c r="DP55" s="7">
        <v>0</v>
      </c>
      <c r="DQ55" s="7">
        <v>10</v>
      </c>
      <c r="DR55" s="7">
        <v>0</v>
      </c>
      <c r="DS55" s="7">
        <v>11</v>
      </c>
      <c r="DT55" s="7">
        <v>0</v>
      </c>
      <c r="DU55" s="7">
        <v>12</v>
      </c>
      <c r="DV55" s="7">
        <v>0</v>
      </c>
      <c r="DW55" s="7">
        <v>6</v>
      </c>
      <c r="DX55" s="7">
        <v>0</v>
      </c>
      <c r="DY55" s="7">
        <v>9</v>
      </c>
      <c r="DZ55" s="7">
        <v>0</v>
      </c>
      <c r="EA55" s="7">
        <v>9</v>
      </c>
      <c r="EB55" s="7">
        <v>0</v>
      </c>
      <c r="EC55" s="7">
        <v>11</v>
      </c>
      <c r="ED55" s="7">
        <v>0</v>
      </c>
      <c r="EE55" s="7">
        <v>12</v>
      </c>
      <c r="EF55" s="7">
        <v>0</v>
      </c>
      <c r="EG55" s="7">
        <v>5</v>
      </c>
      <c r="EH55" s="7">
        <v>0</v>
      </c>
      <c r="EI55" s="7">
        <v>6</v>
      </c>
      <c r="EJ55" s="7">
        <v>0</v>
      </c>
      <c r="EK55" s="7">
        <v>7</v>
      </c>
      <c r="EL55" s="7">
        <v>0</v>
      </c>
      <c r="EM55" s="7">
        <v>10</v>
      </c>
      <c r="EN55" s="7">
        <v>0</v>
      </c>
      <c r="EO55" s="7">
        <v>11</v>
      </c>
      <c r="EP55" s="7">
        <v>0</v>
      </c>
      <c r="EQ55" s="7">
        <f>CHOOSE(MATCH(Setup!$B$5,{8,10,12,14,16},0)+(MATCH(Setup!$B$7,{"STD","Half-PPR","PPR"},0)-1)*5,DM55,DO55,DQ55,DS55,DU55,DW55,DY55,EA55,EC55,EE55,EG55,EI55,EK55,EM55,EO55)</f>
        <v>9</v>
      </c>
      <c r="ER55" s="7">
        <f>CHOOSE(MATCH(Setup!$B$5,{8,10,12,14,16},0)+(MATCH(Setup!$B$7,{"STD","Half-PPR","PPR"},0)-1)*5,DN55,DP55,DR55,DT55,DV55,DX55,DZ55,EB55,ED55,EF55,EH55,EJ55,EL55,EN55,EP55)</f>
        <v>0</v>
      </c>
      <c r="ES55" s="7">
        <f>ROUND(1+ER55*'Live Calc'!$D$12,0)</f>
        <v>1</v>
      </c>
      <c r="ET55" s="7"/>
      <c r="EU55" s="7">
        <f>IF(ET55&lt;&gt;"",ET55,ROUND(ES55*INDEX('Live Calc'!$D$74:$D$85,MATCH(EQ55,'Live Calc'!$A$74:$A$85,0))*'Live Calc'!$J$89,0))</f>
        <v>1</v>
      </c>
    </row>
    <row r="56" spans="1:151" x14ac:dyDescent="0.25">
      <c r="A56" s="4" t="s">
        <v>294</v>
      </c>
      <c r="B56" s="4" t="s">
        <v>54</v>
      </c>
      <c r="C56" s="4">
        <v>6</v>
      </c>
      <c r="D56" s="4">
        <v>0</v>
      </c>
      <c r="E56" s="4">
        <v>7</v>
      </c>
      <c r="F56" s="4">
        <v>0</v>
      </c>
      <c r="G56" s="4">
        <v>8</v>
      </c>
      <c r="H56" s="4">
        <v>0</v>
      </c>
      <c r="I56" s="4">
        <v>9</v>
      </c>
      <c r="J56" s="4">
        <v>0</v>
      </c>
      <c r="K56" s="4">
        <v>9</v>
      </c>
      <c r="L56" s="4">
        <v>0</v>
      </c>
      <c r="M56" s="4">
        <v>5</v>
      </c>
      <c r="N56" s="4">
        <v>0</v>
      </c>
      <c r="O56" s="4">
        <v>6</v>
      </c>
      <c r="P56" s="4">
        <v>0</v>
      </c>
      <c r="Q56" s="4">
        <v>8</v>
      </c>
      <c r="R56" s="4">
        <v>0</v>
      </c>
      <c r="S56" s="4">
        <v>8</v>
      </c>
      <c r="T56" s="4">
        <v>0</v>
      </c>
      <c r="U56" s="4">
        <v>8</v>
      </c>
      <c r="V56" s="4">
        <v>0</v>
      </c>
      <c r="W56" s="4">
        <v>6</v>
      </c>
      <c r="X56" s="4">
        <v>0</v>
      </c>
      <c r="Y56" s="4">
        <v>8</v>
      </c>
      <c r="Z56" s="4">
        <v>0</v>
      </c>
      <c r="AA56" s="4">
        <v>9</v>
      </c>
      <c r="AB56" s="4">
        <v>0</v>
      </c>
      <c r="AC56" s="4">
        <v>10</v>
      </c>
      <c r="AD56" s="4">
        <v>0</v>
      </c>
      <c r="AE56" s="4">
        <v>9</v>
      </c>
      <c r="AF56" s="4">
        <v>0</v>
      </c>
      <c r="AG56" s="4">
        <f>CHOOSE(MATCH(Setup!$B$5,{8,10,12,14,16},0)+(MATCH(Setup!$B$7,{"STD","Half-PPR","PPR"},0)-1)*5,C56,E56,G56,I56,K56,M56,O56,Q56,S56,U56,W56,Y56,AA56,AC56,AE56)</f>
        <v>8</v>
      </c>
      <c r="AH56" s="4">
        <f>CHOOSE(MATCH(Setup!$B$5,{8,10,12,14,16},0)+(MATCH(Setup!$B$7,{"STD","Half-PPR","PPR"},0)-1)*5,D56,F56,H56,J56,L56,N56,P56,R56,T56,V56,X56,Z56,AB56,AD56,AF56)</f>
        <v>0</v>
      </c>
      <c r="AI56" s="4">
        <f>ROUND(1+AH56*'Live Calc'!$D$9,0)</f>
        <v>1</v>
      </c>
      <c r="AJ56" s="4"/>
      <c r="AK56" s="4">
        <f>IF(AJ56&lt;&gt;"",AJ56,ROUND(AI56*INDEX('Live Calc'!$D$16:$D$25,MATCH(AG56,'Live Calc'!$A$16:$A$25,0))*'Live Calc'!$J$89,0))</f>
        <v>1</v>
      </c>
      <c r="AM56" s="5" t="s">
        <v>295</v>
      </c>
      <c r="AN56" s="5" t="s">
        <v>54</v>
      </c>
      <c r="AO56" s="5">
        <v>9</v>
      </c>
      <c r="AP56" s="5">
        <v>0</v>
      </c>
      <c r="AQ56" s="5">
        <v>10</v>
      </c>
      <c r="AR56" s="5">
        <v>0</v>
      </c>
      <c r="AS56" s="5">
        <v>14</v>
      </c>
      <c r="AT56" s="5">
        <v>0</v>
      </c>
      <c r="AU56" s="5">
        <v>16</v>
      </c>
      <c r="AV56" s="5">
        <v>0</v>
      </c>
      <c r="AW56" s="5">
        <v>16</v>
      </c>
      <c r="AX56" s="5">
        <v>0</v>
      </c>
      <c r="AY56" s="5">
        <v>9</v>
      </c>
      <c r="AZ56" s="5">
        <v>0</v>
      </c>
      <c r="BA56" s="5">
        <v>11</v>
      </c>
      <c r="BB56" s="5">
        <v>0</v>
      </c>
      <c r="BC56" s="5">
        <v>13</v>
      </c>
      <c r="BD56" s="5">
        <v>0</v>
      </c>
      <c r="BE56" s="5">
        <v>17</v>
      </c>
      <c r="BF56" s="5">
        <v>0</v>
      </c>
      <c r="BG56" s="5">
        <v>16</v>
      </c>
      <c r="BH56" s="5">
        <v>5.5195999999999996</v>
      </c>
      <c r="BI56" s="5">
        <v>11</v>
      </c>
      <c r="BJ56" s="5">
        <v>0</v>
      </c>
      <c r="BK56" s="5">
        <v>13</v>
      </c>
      <c r="BL56" s="5">
        <v>0</v>
      </c>
      <c r="BM56" s="5">
        <v>15</v>
      </c>
      <c r="BN56" s="5">
        <v>0</v>
      </c>
      <c r="BO56" s="5">
        <v>17</v>
      </c>
      <c r="BP56" s="5">
        <v>0</v>
      </c>
      <c r="BQ56" s="5">
        <v>18</v>
      </c>
      <c r="BR56" s="5">
        <v>0</v>
      </c>
      <c r="BS56" s="5">
        <f>CHOOSE(MATCH(Setup!$B$5,{8,10,12,14,16},0)+(MATCH(Setup!$B$7,{"STD","Half-PPR","PPR"},0)-1)*5,AO56,AQ56,AS56,AU56,AW56,AY56,BA56,BC56,BE56,BG56,BI56,BK56,BM56,BO56,BQ56)</f>
        <v>13</v>
      </c>
      <c r="BT56" s="5">
        <f>CHOOSE(MATCH(Setup!$B$5,{8,10,12,14,16},0)+(MATCH(Setup!$B$7,{"STD","Half-PPR","PPR"},0)-1)*5,AP56,AR56,AT56,AV56,AX56,AZ56,BB56,BD56,BF56,BH56,BJ56,BL56,BN56,BP56,BR56)</f>
        <v>0</v>
      </c>
      <c r="BU56" s="5">
        <f>ROUND(1+BT56*'Live Calc'!$D$10,0)</f>
        <v>1</v>
      </c>
      <c r="BV56" s="5"/>
      <c r="BW56" s="5">
        <f>IF(BV56&lt;&gt;"",BV56,ROUND(BU56*INDEX('Live Calc'!$D$29:$D$46,MATCH(BS56,'Live Calc'!$A$29:$A$46,0))*'Live Calc'!$J$89,0))</f>
        <v>1</v>
      </c>
      <c r="BY56" s="6" t="s">
        <v>296</v>
      </c>
      <c r="BZ56" s="6" t="s">
        <v>253</v>
      </c>
      <c r="CA56" s="6">
        <v>14</v>
      </c>
      <c r="CB56" s="6">
        <v>0</v>
      </c>
      <c r="CC56" s="6">
        <v>17</v>
      </c>
      <c r="CD56" s="6">
        <v>0</v>
      </c>
      <c r="CE56" s="6">
        <v>18</v>
      </c>
      <c r="CF56" s="6">
        <v>6.7168999999999999</v>
      </c>
      <c r="CG56" s="6">
        <v>17</v>
      </c>
      <c r="CH56" s="6">
        <v>10.7629</v>
      </c>
      <c r="CI56" s="6">
        <v>17</v>
      </c>
      <c r="CJ56" s="6">
        <v>26.997499999999999</v>
      </c>
      <c r="CK56" s="6">
        <v>10</v>
      </c>
      <c r="CL56" s="6">
        <v>0</v>
      </c>
      <c r="CM56" s="6">
        <v>15</v>
      </c>
      <c r="CN56" s="6">
        <v>0</v>
      </c>
      <c r="CO56" s="6">
        <v>13</v>
      </c>
      <c r="CP56" s="6">
        <v>23.3065</v>
      </c>
      <c r="CQ56" s="6">
        <v>12</v>
      </c>
      <c r="CR56" s="6">
        <v>25.927800000000001</v>
      </c>
      <c r="CS56" s="6">
        <v>13</v>
      </c>
      <c r="CT56" s="6">
        <v>62.029400000000003</v>
      </c>
      <c r="CU56" s="6">
        <v>12</v>
      </c>
      <c r="CV56" s="6">
        <v>0</v>
      </c>
      <c r="CW56" s="6">
        <v>12</v>
      </c>
      <c r="CX56" s="6">
        <v>0</v>
      </c>
      <c r="CY56" s="6">
        <v>13</v>
      </c>
      <c r="CZ56" s="6">
        <v>40.311199999999999</v>
      </c>
      <c r="DA56" s="6">
        <v>14</v>
      </c>
      <c r="DB56" s="6">
        <v>47.139699999999998</v>
      </c>
      <c r="DC56" s="6">
        <v>14</v>
      </c>
      <c r="DD56" s="6">
        <v>56.939</v>
      </c>
      <c r="DE56" s="6">
        <f>CHOOSE(MATCH(Setup!$B$5,{8,10,12,14,16},0)+(MATCH(Setup!$B$7,{"STD","Half-PPR","PPR"},0)-1)*5,CA56,CC56,CE56,CG56,CI56,CK56,CM56,CO56,CQ56,CS56,CU56,CW56,CY56,DA56,DC56)</f>
        <v>13</v>
      </c>
      <c r="DF56" s="6">
        <f>CHOOSE(MATCH(Setup!$B$5,{8,10,12,14,16},0)+(MATCH(Setup!$B$7,{"STD","Half-PPR","PPR"},0)-1)*5,CB56,CD56,CF56,CH56,CJ56,CL56,CN56,CP56,CR56,CT56,CV56,CX56,CZ56,DB56,DD56)</f>
        <v>23.3065</v>
      </c>
      <c r="DG56" s="6">
        <f>ROUND(1+DF56*'Live Calc'!$D$11,0)</f>
        <v>3</v>
      </c>
      <c r="DH56" s="6"/>
      <c r="DI56" s="6">
        <f>IF(DH56&lt;&gt;"",DH56,ROUND(DG56*INDEX('Live Calc'!$D$50:$D$70,MATCH(DE56,'Live Calc'!$A$50:$A$70,0))*'Live Calc'!$J$89,0))</f>
        <v>3</v>
      </c>
      <c r="DK56" s="7" t="s">
        <v>297</v>
      </c>
      <c r="DL56" s="7" t="s">
        <v>56</v>
      </c>
      <c r="DM56" s="7">
        <v>8</v>
      </c>
      <c r="DN56" s="7">
        <v>0</v>
      </c>
      <c r="DO56" s="7">
        <v>9</v>
      </c>
      <c r="DP56" s="7">
        <v>0</v>
      </c>
      <c r="DQ56" s="7">
        <v>10</v>
      </c>
      <c r="DR56" s="7">
        <v>0</v>
      </c>
      <c r="DS56" s="7">
        <v>11</v>
      </c>
      <c r="DT56" s="7">
        <v>0</v>
      </c>
      <c r="DU56" s="7">
        <v>12</v>
      </c>
      <c r="DV56" s="7">
        <v>0</v>
      </c>
      <c r="DW56" s="7">
        <v>6</v>
      </c>
      <c r="DX56" s="7">
        <v>0</v>
      </c>
      <c r="DY56" s="7">
        <v>9</v>
      </c>
      <c r="DZ56" s="7">
        <v>0</v>
      </c>
      <c r="EA56" s="7">
        <v>9</v>
      </c>
      <c r="EB56" s="7">
        <v>0</v>
      </c>
      <c r="EC56" s="7">
        <v>11</v>
      </c>
      <c r="ED56" s="7">
        <v>0</v>
      </c>
      <c r="EE56" s="7">
        <v>12</v>
      </c>
      <c r="EF56" s="7">
        <v>0</v>
      </c>
      <c r="EG56" s="7">
        <v>5</v>
      </c>
      <c r="EH56" s="7">
        <v>0</v>
      </c>
      <c r="EI56" s="7">
        <v>6</v>
      </c>
      <c r="EJ56" s="7">
        <v>0</v>
      </c>
      <c r="EK56" s="7">
        <v>7</v>
      </c>
      <c r="EL56" s="7">
        <v>0</v>
      </c>
      <c r="EM56" s="7">
        <v>10</v>
      </c>
      <c r="EN56" s="7">
        <v>0</v>
      </c>
      <c r="EO56" s="7">
        <v>11</v>
      </c>
      <c r="EP56" s="7">
        <v>0</v>
      </c>
      <c r="EQ56" s="7">
        <f>CHOOSE(MATCH(Setup!$B$5,{8,10,12,14,16},0)+(MATCH(Setup!$B$7,{"STD","Half-PPR","PPR"},0)-1)*5,DM56,DO56,DQ56,DS56,DU56,DW56,DY56,EA56,EC56,EE56,EG56,EI56,EK56,EM56,EO56)</f>
        <v>9</v>
      </c>
      <c r="ER56" s="7">
        <f>CHOOSE(MATCH(Setup!$B$5,{8,10,12,14,16},0)+(MATCH(Setup!$B$7,{"STD","Half-PPR","PPR"},0)-1)*5,DN56,DP56,DR56,DT56,DV56,DX56,DZ56,EB56,ED56,EF56,EH56,EJ56,EL56,EN56,EP56)</f>
        <v>0</v>
      </c>
      <c r="ES56" s="7">
        <f>ROUND(1+ER56*'Live Calc'!$D$12,0)</f>
        <v>1</v>
      </c>
      <c r="ET56" s="7"/>
      <c r="EU56" s="7">
        <f>IF(ET56&lt;&gt;"",ET56,ROUND(ES56*INDEX('Live Calc'!$D$74:$D$85,MATCH(EQ56,'Live Calc'!$A$74:$A$85,0))*'Live Calc'!$J$89,0))</f>
        <v>1</v>
      </c>
    </row>
    <row r="57" spans="1:151" x14ac:dyDescent="0.25">
      <c r="AM57" s="5" t="s">
        <v>298</v>
      </c>
      <c r="AN57" s="5" t="s">
        <v>76</v>
      </c>
      <c r="AO57" s="5">
        <v>9</v>
      </c>
      <c r="AP57" s="5">
        <v>0</v>
      </c>
      <c r="AQ57" s="5">
        <v>10</v>
      </c>
      <c r="AR57" s="5">
        <v>0</v>
      </c>
      <c r="AS57" s="5">
        <v>14</v>
      </c>
      <c r="AT57" s="5">
        <v>0</v>
      </c>
      <c r="AU57" s="5">
        <v>16</v>
      </c>
      <c r="AV57" s="5">
        <v>0</v>
      </c>
      <c r="AW57" s="5">
        <v>16</v>
      </c>
      <c r="AX57" s="5">
        <v>0</v>
      </c>
      <c r="AY57" s="5">
        <v>9</v>
      </c>
      <c r="AZ57" s="5">
        <v>0</v>
      </c>
      <c r="BA57" s="5">
        <v>11</v>
      </c>
      <c r="BB57" s="5">
        <v>0</v>
      </c>
      <c r="BC57" s="5">
        <v>13</v>
      </c>
      <c r="BD57" s="5">
        <v>0</v>
      </c>
      <c r="BE57" s="5">
        <v>17</v>
      </c>
      <c r="BF57" s="5">
        <v>0</v>
      </c>
      <c r="BG57" s="5">
        <v>17</v>
      </c>
      <c r="BH57" s="5">
        <v>0</v>
      </c>
      <c r="BI57" s="5">
        <v>11</v>
      </c>
      <c r="BJ57" s="5">
        <v>0</v>
      </c>
      <c r="BK57" s="5">
        <v>13</v>
      </c>
      <c r="BL57" s="5">
        <v>0</v>
      </c>
      <c r="BM57" s="5">
        <v>15</v>
      </c>
      <c r="BN57" s="5">
        <v>0</v>
      </c>
      <c r="BO57" s="5">
        <v>17</v>
      </c>
      <c r="BP57" s="5">
        <v>0</v>
      </c>
      <c r="BQ57" s="5">
        <v>18</v>
      </c>
      <c r="BR57" s="5">
        <v>0</v>
      </c>
      <c r="BS57" s="5">
        <f>CHOOSE(MATCH(Setup!$B$5,{8,10,12,14,16},0)+(MATCH(Setup!$B$7,{"STD","Half-PPR","PPR"},0)-1)*5,AO57,AQ57,AS57,AU57,AW57,AY57,BA57,BC57,BE57,BG57,BI57,BK57,BM57,BO57,BQ57)</f>
        <v>13</v>
      </c>
      <c r="BT57" s="5">
        <f>CHOOSE(MATCH(Setup!$B$5,{8,10,12,14,16},0)+(MATCH(Setup!$B$7,{"STD","Half-PPR","PPR"},0)-1)*5,AP57,AR57,AT57,AV57,AX57,AZ57,BB57,BD57,BF57,BH57,BJ57,BL57,BN57,BP57,BR57)</f>
        <v>0</v>
      </c>
      <c r="BU57" s="5">
        <f>ROUND(1+BT57*'Live Calc'!$D$10,0)</f>
        <v>1</v>
      </c>
      <c r="BV57" s="5"/>
      <c r="BW57" s="5">
        <f>IF(BV57&lt;&gt;"",BV57,ROUND(BU57*INDEX('Live Calc'!$D$29:$D$46,MATCH(BS57,'Live Calc'!$A$29:$A$46,0))*'Live Calc'!$J$89,0))</f>
        <v>1</v>
      </c>
      <c r="BY57" s="6" t="s">
        <v>299</v>
      </c>
      <c r="BZ57" s="6" t="s">
        <v>66</v>
      </c>
      <c r="CA57" s="6">
        <v>14</v>
      </c>
      <c r="CB57" s="6">
        <v>0</v>
      </c>
      <c r="CC57" s="6">
        <v>17</v>
      </c>
      <c r="CD57" s="6">
        <v>0</v>
      </c>
      <c r="CE57" s="6">
        <v>17</v>
      </c>
      <c r="CF57" s="6">
        <v>14.718500000000001</v>
      </c>
      <c r="CG57" s="6">
        <v>16</v>
      </c>
      <c r="CH57" s="6">
        <v>17.062899999999999</v>
      </c>
      <c r="CI57" s="6">
        <v>16</v>
      </c>
      <c r="CJ57" s="6">
        <v>33.7654</v>
      </c>
      <c r="CK57" s="6">
        <v>10</v>
      </c>
      <c r="CL57" s="6">
        <v>0</v>
      </c>
      <c r="CM57" s="6">
        <v>15</v>
      </c>
      <c r="CN57" s="6">
        <v>0</v>
      </c>
      <c r="CO57" s="6">
        <v>13</v>
      </c>
      <c r="CP57" s="6">
        <v>16.107900000000001</v>
      </c>
      <c r="CQ57" s="6">
        <v>13</v>
      </c>
      <c r="CR57" s="6">
        <v>20.578600000000002</v>
      </c>
      <c r="CS57" s="6">
        <v>14</v>
      </c>
      <c r="CT57" s="6">
        <v>54.886299999999999</v>
      </c>
      <c r="CU57" s="6">
        <v>12</v>
      </c>
      <c r="CV57" s="6">
        <v>0</v>
      </c>
      <c r="CW57" s="6">
        <v>12</v>
      </c>
      <c r="CX57" s="6">
        <v>0</v>
      </c>
      <c r="CY57" s="6">
        <v>14</v>
      </c>
      <c r="CZ57" s="6">
        <v>18.148099999999999</v>
      </c>
      <c r="DA57" s="6">
        <v>15</v>
      </c>
      <c r="DB57" s="6">
        <v>30.331800000000001</v>
      </c>
      <c r="DC57" s="6">
        <v>15</v>
      </c>
      <c r="DD57" s="6">
        <v>42.691699999999997</v>
      </c>
      <c r="DE57" s="6">
        <f>CHOOSE(MATCH(Setup!$B$5,{8,10,12,14,16},0)+(MATCH(Setup!$B$7,{"STD","Half-PPR","PPR"},0)-1)*5,CA57,CC57,CE57,CG57,CI57,CK57,CM57,CO57,CQ57,CS57,CU57,CW57,CY57,DA57,DC57)</f>
        <v>13</v>
      </c>
      <c r="DF57" s="6">
        <f>CHOOSE(MATCH(Setup!$B$5,{8,10,12,14,16},0)+(MATCH(Setup!$B$7,{"STD","Half-PPR","PPR"},0)-1)*5,CB57,CD57,CF57,CH57,CJ57,CL57,CN57,CP57,CR57,CT57,CV57,CX57,CZ57,DB57,DD57)</f>
        <v>16.107900000000001</v>
      </c>
      <c r="DG57" s="6">
        <f>ROUND(1+DF57*'Live Calc'!$D$11,0)</f>
        <v>3</v>
      </c>
      <c r="DH57" s="6"/>
      <c r="DI57" s="6">
        <f>IF(DH57&lt;&gt;"",DH57,ROUND(DG57*INDEX('Live Calc'!$D$50:$D$70,MATCH(DE57,'Live Calc'!$A$50:$A$70,0))*'Live Calc'!$J$89,0))</f>
        <v>3</v>
      </c>
      <c r="DK57" s="7" t="s">
        <v>300</v>
      </c>
      <c r="DL57" s="7" t="s">
        <v>58</v>
      </c>
      <c r="DM57" s="7">
        <v>8</v>
      </c>
      <c r="DN57" s="7">
        <v>0</v>
      </c>
      <c r="DO57" s="7">
        <v>9</v>
      </c>
      <c r="DP57" s="7">
        <v>0</v>
      </c>
      <c r="DQ57" s="7">
        <v>10</v>
      </c>
      <c r="DR57" s="7">
        <v>0</v>
      </c>
      <c r="DS57" s="7">
        <v>11</v>
      </c>
      <c r="DT57" s="7">
        <v>0</v>
      </c>
      <c r="DU57" s="7">
        <v>12</v>
      </c>
      <c r="DV57" s="7">
        <v>0</v>
      </c>
      <c r="DW57" s="7">
        <v>6</v>
      </c>
      <c r="DX57" s="7">
        <v>0</v>
      </c>
      <c r="DY57" s="7">
        <v>9</v>
      </c>
      <c r="DZ57" s="7">
        <v>0</v>
      </c>
      <c r="EA57" s="7">
        <v>9</v>
      </c>
      <c r="EB57" s="7">
        <v>0</v>
      </c>
      <c r="EC57" s="7">
        <v>11</v>
      </c>
      <c r="ED57" s="7">
        <v>0</v>
      </c>
      <c r="EE57" s="7">
        <v>12</v>
      </c>
      <c r="EF57" s="7">
        <v>0</v>
      </c>
      <c r="EG57" s="7">
        <v>5</v>
      </c>
      <c r="EH57" s="7">
        <v>0</v>
      </c>
      <c r="EI57" s="7">
        <v>6</v>
      </c>
      <c r="EJ57" s="7">
        <v>0</v>
      </c>
      <c r="EK57" s="7">
        <v>7</v>
      </c>
      <c r="EL57" s="7">
        <v>0</v>
      </c>
      <c r="EM57" s="7">
        <v>10</v>
      </c>
      <c r="EN57" s="7">
        <v>0</v>
      </c>
      <c r="EO57" s="7">
        <v>11</v>
      </c>
      <c r="EP57" s="7">
        <v>0</v>
      </c>
      <c r="EQ57" s="7">
        <f>CHOOSE(MATCH(Setup!$B$5,{8,10,12,14,16},0)+(MATCH(Setup!$B$7,{"STD","Half-PPR","PPR"},0)-1)*5,DM57,DO57,DQ57,DS57,DU57,DW57,DY57,EA57,EC57,EE57,EG57,EI57,EK57,EM57,EO57)</f>
        <v>9</v>
      </c>
      <c r="ER57" s="7">
        <f>CHOOSE(MATCH(Setup!$B$5,{8,10,12,14,16},0)+(MATCH(Setup!$B$7,{"STD","Half-PPR","PPR"},0)-1)*5,DN57,DP57,DR57,DT57,DV57,DX57,DZ57,EB57,ED57,EF57,EH57,EJ57,EL57,EN57,EP57)</f>
        <v>0</v>
      </c>
      <c r="ES57" s="7">
        <f>ROUND(1+ER57*'Live Calc'!$D$12,0)</f>
        <v>1</v>
      </c>
      <c r="ET57" s="7"/>
      <c r="EU57" s="7">
        <f>IF(ET57&lt;&gt;"",ET57,ROUND(ES57*INDEX('Live Calc'!$D$74:$D$85,MATCH(EQ57,'Live Calc'!$A$74:$A$85,0))*'Live Calc'!$J$89,0))</f>
        <v>1</v>
      </c>
    </row>
    <row r="58" spans="1:151" x14ac:dyDescent="0.25">
      <c r="AM58" s="5" t="s">
        <v>301</v>
      </c>
      <c r="AN58" s="5" t="s">
        <v>58</v>
      </c>
      <c r="AO58" s="5">
        <v>9</v>
      </c>
      <c r="AP58" s="5">
        <v>0</v>
      </c>
      <c r="AQ58" s="5">
        <v>10</v>
      </c>
      <c r="AR58" s="5">
        <v>0</v>
      </c>
      <c r="AS58" s="5">
        <v>14</v>
      </c>
      <c r="AT58" s="5">
        <v>0</v>
      </c>
      <c r="AU58" s="5">
        <v>16</v>
      </c>
      <c r="AV58" s="5">
        <v>0</v>
      </c>
      <c r="AW58" s="5">
        <v>16</v>
      </c>
      <c r="AX58" s="5">
        <v>0</v>
      </c>
      <c r="AY58" s="5">
        <v>9</v>
      </c>
      <c r="AZ58" s="5">
        <v>0</v>
      </c>
      <c r="BA58" s="5">
        <v>11</v>
      </c>
      <c r="BB58" s="5">
        <v>0</v>
      </c>
      <c r="BC58" s="5">
        <v>13</v>
      </c>
      <c r="BD58" s="5">
        <v>0</v>
      </c>
      <c r="BE58" s="5">
        <v>17</v>
      </c>
      <c r="BF58" s="5">
        <v>0</v>
      </c>
      <c r="BG58" s="5">
        <v>17</v>
      </c>
      <c r="BH58" s="5">
        <v>0</v>
      </c>
      <c r="BI58" s="5">
        <v>11</v>
      </c>
      <c r="BJ58" s="5">
        <v>0</v>
      </c>
      <c r="BK58" s="5">
        <v>13</v>
      </c>
      <c r="BL58" s="5">
        <v>0</v>
      </c>
      <c r="BM58" s="5">
        <v>15</v>
      </c>
      <c r="BN58" s="5">
        <v>0</v>
      </c>
      <c r="BO58" s="5">
        <v>17</v>
      </c>
      <c r="BP58" s="5">
        <v>0</v>
      </c>
      <c r="BQ58" s="5">
        <v>18</v>
      </c>
      <c r="BR58" s="5">
        <v>0</v>
      </c>
      <c r="BS58" s="5">
        <f>CHOOSE(MATCH(Setup!$B$5,{8,10,12,14,16},0)+(MATCH(Setup!$B$7,{"STD","Half-PPR","PPR"},0)-1)*5,AO58,AQ58,AS58,AU58,AW58,AY58,BA58,BC58,BE58,BG58,BI58,BK58,BM58,BO58,BQ58)</f>
        <v>13</v>
      </c>
      <c r="BT58" s="5">
        <f>CHOOSE(MATCH(Setup!$B$5,{8,10,12,14,16},0)+(MATCH(Setup!$B$7,{"STD","Half-PPR","PPR"},0)-1)*5,AP58,AR58,AT58,AV58,AX58,AZ58,BB58,BD58,BF58,BH58,BJ58,BL58,BN58,BP58,BR58)</f>
        <v>0</v>
      </c>
      <c r="BU58" s="5">
        <f>ROUND(1+BT58*'Live Calc'!$D$10,0)</f>
        <v>1</v>
      </c>
      <c r="BV58" s="5"/>
      <c r="BW58" s="5">
        <f>IF(BV58&lt;&gt;"",BV58,ROUND(BU58*INDEX('Live Calc'!$D$29:$D$46,MATCH(BS58,'Live Calc'!$A$29:$A$46,0))*'Live Calc'!$J$89,0))</f>
        <v>1</v>
      </c>
      <c r="BY58" s="6" t="s">
        <v>302</v>
      </c>
      <c r="BZ58" s="6" t="s">
        <v>81</v>
      </c>
      <c r="CA58" s="6">
        <v>14</v>
      </c>
      <c r="CB58" s="6">
        <v>0</v>
      </c>
      <c r="CC58" s="6">
        <v>17</v>
      </c>
      <c r="CD58" s="6">
        <v>0</v>
      </c>
      <c r="CE58" s="6">
        <v>19</v>
      </c>
      <c r="CF58" s="6">
        <v>1.4258999999999999</v>
      </c>
      <c r="CG58" s="6">
        <v>18</v>
      </c>
      <c r="CH58" s="6">
        <v>6.0361000000000002</v>
      </c>
      <c r="CI58" s="6">
        <v>18</v>
      </c>
      <c r="CJ58" s="6">
        <v>21.7837</v>
      </c>
      <c r="CK58" s="6">
        <v>10</v>
      </c>
      <c r="CL58" s="6">
        <v>0</v>
      </c>
      <c r="CM58" s="6">
        <v>15</v>
      </c>
      <c r="CN58" s="6">
        <v>0</v>
      </c>
      <c r="CO58" s="6">
        <v>14</v>
      </c>
      <c r="CP58" s="6">
        <v>2.7822</v>
      </c>
      <c r="CQ58" s="6">
        <v>14</v>
      </c>
      <c r="CR58" s="6">
        <v>9.6354000000000006</v>
      </c>
      <c r="CS58" s="6">
        <v>15</v>
      </c>
      <c r="CT58" s="6">
        <v>40.0732</v>
      </c>
      <c r="CU58" s="6">
        <v>12</v>
      </c>
      <c r="CV58" s="6">
        <v>0</v>
      </c>
      <c r="CW58" s="6">
        <v>12</v>
      </c>
      <c r="CX58" s="6">
        <v>0</v>
      </c>
      <c r="CY58" s="6">
        <v>14</v>
      </c>
      <c r="CZ58" s="6">
        <v>7.7168000000000001</v>
      </c>
      <c r="DA58" s="6">
        <v>16</v>
      </c>
      <c r="DB58" s="6">
        <v>21.484100000000002</v>
      </c>
      <c r="DC58" s="6">
        <v>16</v>
      </c>
      <c r="DD58" s="6">
        <v>34.967100000000002</v>
      </c>
      <c r="DE58" s="6">
        <f>CHOOSE(MATCH(Setup!$B$5,{8,10,12,14,16},0)+(MATCH(Setup!$B$7,{"STD","Half-PPR","PPR"},0)-1)*5,CA58,CC58,CE58,CG58,CI58,CK58,CM58,CO58,CQ58,CS58,CU58,CW58,CY58,DA58,DC58)</f>
        <v>14</v>
      </c>
      <c r="DF58" s="6">
        <f>CHOOSE(MATCH(Setup!$B$5,{8,10,12,14,16},0)+(MATCH(Setup!$B$7,{"STD","Half-PPR","PPR"},0)-1)*5,CB58,CD58,CF58,CH58,CJ58,CL58,CN58,CP58,CR58,CT58,CV58,CX58,CZ58,DB58,DD58)</f>
        <v>2.7822</v>
      </c>
      <c r="DG58" s="6">
        <f>ROUND(1+DF58*'Live Calc'!$D$11,0)</f>
        <v>1</v>
      </c>
      <c r="DH58" s="6"/>
      <c r="DI58" s="6">
        <f>IF(DH58&lt;&gt;"",DH58,ROUND(DG58*INDEX('Live Calc'!$D$50:$D$70,MATCH(DE58,'Live Calc'!$A$50:$A$70,0))*'Live Calc'!$J$89,0))</f>
        <v>1</v>
      </c>
      <c r="DK58" s="7" t="s">
        <v>303</v>
      </c>
      <c r="DL58" s="7" t="s">
        <v>110</v>
      </c>
      <c r="DM58" s="7">
        <v>8</v>
      </c>
      <c r="DN58" s="7">
        <v>0</v>
      </c>
      <c r="DO58" s="7">
        <v>9</v>
      </c>
      <c r="DP58" s="7">
        <v>0</v>
      </c>
      <c r="DQ58" s="7">
        <v>10</v>
      </c>
      <c r="DR58" s="7">
        <v>0</v>
      </c>
      <c r="DS58" s="7">
        <v>11</v>
      </c>
      <c r="DT58" s="7">
        <v>0</v>
      </c>
      <c r="DU58" s="7">
        <v>12</v>
      </c>
      <c r="DV58" s="7">
        <v>0</v>
      </c>
      <c r="DW58" s="7">
        <v>6</v>
      </c>
      <c r="DX58" s="7">
        <v>0</v>
      </c>
      <c r="DY58" s="7">
        <v>9</v>
      </c>
      <c r="DZ58" s="7">
        <v>0</v>
      </c>
      <c r="EA58" s="7">
        <v>9</v>
      </c>
      <c r="EB58" s="7">
        <v>0</v>
      </c>
      <c r="EC58" s="7">
        <v>11</v>
      </c>
      <c r="ED58" s="7">
        <v>0</v>
      </c>
      <c r="EE58" s="7">
        <v>12</v>
      </c>
      <c r="EF58" s="7">
        <v>0</v>
      </c>
      <c r="EG58" s="7">
        <v>5</v>
      </c>
      <c r="EH58" s="7">
        <v>0</v>
      </c>
      <c r="EI58" s="7">
        <v>6</v>
      </c>
      <c r="EJ58" s="7">
        <v>0</v>
      </c>
      <c r="EK58" s="7">
        <v>7</v>
      </c>
      <c r="EL58" s="7">
        <v>0</v>
      </c>
      <c r="EM58" s="7">
        <v>10</v>
      </c>
      <c r="EN58" s="7">
        <v>0</v>
      </c>
      <c r="EO58" s="7">
        <v>11</v>
      </c>
      <c r="EP58" s="7">
        <v>0</v>
      </c>
      <c r="EQ58" s="7">
        <f>CHOOSE(MATCH(Setup!$B$5,{8,10,12,14,16},0)+(MATCH(Setup!$B$7,{"STD","Half-PPR","PPR"},0)-1)*5,DM58,DO58,DQ58,DS58,DU58,DW58,DY58,EA58,EC58,EE58,EG58,EI58,EK58,EM58,EO58)</f>
        <v>9</v>
      </c>
      <c r="ER58" s="7">
        <f>CHOOSE(MATCH(Setup!$B$5,{8,10,12,14,16},0)+(MATCH(Setup!$B$7,{"STD","Half-PPR","PPR"},0)-1)*5,DN58,DP58,DR58,DT58,DV58,DX58,DZ58,EB58,ED58,EF58,EH58,EJ58,EL58,EN58,EP58)</f>
        <v>0</v>
      </c>
      <c r="ES58" s="7">
        <f>ROUND(1+ER58*'Live Calc'!$D$12,0)</f>
        <v>1</v>
      </c>
      <c r="ET58" s="7"/>
      <c r="EU58" s="7">
        <f>IF(ET58&lt;&gt;"",ET58,ROUND(ES58*INDEX('Live Calc'!$D$74:$D$85,MATCH(EQ58,'Live Calc'!$A$74:$A$85,0))*'Live Calc'!$J$89,0))</f>
        <v>1</v>
      </c>
    </row>
    <row r="59" spans="1:151" x14ac:dyDescent="0.25">
      <c r="AM59" s="5" t="s">
        <v>304</v>
      </c>
      <c r="AN59" s="5" t="s">
        <v>60</v>
      </c>
      <c r="AO59" s="5">
        <v>9</v>
      </c>
      <c r="AP59" s="5">
        <v>0</v>
      </c>
      <c r="AQ59" s="5">
        <v>10</v>
      </c>
      <c r="AR59" s="5">
        <v>0</v>
      </c>
      <c r="AS59" s="5">
        <v>14</v>
      </c>
      <c r="AT59" s="5">
        <v>0</v>
      </c>
      <c r="AU59" s="5">
        <v>16</v>
      </c>
      <c r="AV59" s="5">
        <v>0</v>
      </c>
      <c r="AW59" s="5">
        <v>16</v>
      </c>
      <c r="AX59" s="5">
        <v>0</v>
      </c>
      <c r="AY59" s="5">
        <v>9</v>
      </c>
      <c r="AZ59" s="5">
        <v>0</v>
      </c>
      <c r="BA59" s="5">
        <v>11</v>
      </c>
      <c r="BB59" s="5">
        <v>0</v>
      </c>
      <c r="BC59" s="5">
        <v>13</v>
      </c>
      <c r="BD59" s="5">
        <v>0</v>
      </c>
      <c r="BE59" s="5">
        <v>17</v>
      </c>
      <c r="BF59" s="5">
        <v>0</v>
      </c>
      <c r="BG59" s="5">
        <v>17</v>
      </c>
      <c r="BH59" s="5">
        <v>0</v>
      </c>
      <c r="BI59" s="5">
        <v>11</v>
      </c>
      <c r="BJ59" s="5">
        <v>0</v>
      </c>
      <c r="BK59" s="5">
        <v>13</v>
      </c>
      <c r="BL59" s="5">
        <v>0</v>
      </c>
      <c r="BM59" s="5">
        <v>15</v>
      </c>
      <c r="BN59" s="5">
        <v>0</v>
      </c>
      <c r="BO59" s="5">
        <v>17</v>
      </c>
      <c r="BP59" s="5">
        <v>0</v>
      </c>
      <c r="BQ59" s="5">
        <v>18</v>
      </c>
      <c r="BR59" s="5">
        <v>0</v>
      </c>
      <c r="BS59" s="5">
        <f>CHOOSE(MATCH(Setup!$B$5,{8,10,12,14,16},0)+(MATCH(Setup!$B$7,{"STD","Half-PPR","PPR"},0)-1)*5,AO59,AQ59,AS59,AU59,AW59,AY59,BA59,BC59,BE59,BG59,BI59,BK59,BM59,BO59,BQ59)</f>
        <v>13</v>
      </c>
      <c r="BT59" s="5">
        <f>CHOOSE(MATCH(Setup!$B$5,{8,10,12,14,16},0)+(MATCH(Setup!$B$7,{"STD","Half-PPR","PPR"},0)-1)*5,AP59,AR59,AT59,AV59,AX59,AZ59,BB59,BD59,BF59,BH59,BJ59,BL59,BN59,BP59,BR59)</f>
        <v>0</v>
      </c>
      <c r="BU59" s="5">
        <f>ROUND(1+BT59*'Live Calc'!$D$10,0)</f>
        <v>1</v>
      </c>
      <c r="BV59" s="5"/>
      <c r="BW59" s="5">
        <f>IF(BV59&lt;&gt;"",BV59,ROUND(BU59*INDEX('Live Calc'!$D$29:$D$46,MATCH(BS59,'Live Calc'!$A$29:$A$46,0))*'Live Calc'!$J$89,0))</f>
        <v>1</v>
      </c>
      <c r="BY59" s="6" t="s">
        <v>305</v>
      </c>
      <c r="BZ59" s="6" t="s">
        <v>127</v>
      </c>
      <c r="CA59" s="6">
        <v>14</v>
      </c>
      <c r="CB59" s="6">
        <v>0</v>
      </c>
      <c r="CC59" s="6">
        <v>17</v>
      </c>
      <c r="CD59" s="6">
        <v>0</v>
      </c>
      <c r="CE59" s="6">
        <v>20</v>
      </c>
      <c r="CF59" s="6">
        <v>0</v>
      </c>
      <c r="CG59" s="6">
        <v>18</v>
      </c>
      <c r="CH59" s="6">
        <v>4.3201000000000001</v>
      </c>
      <c r="CI59" s="6">
        <v>18</v>
      </c>
      <c r="CJ59" s="6">
        <v>19.8355</v>
      </c>
      <c r="CK59" s="6">
        <v>10</v>
      </c>
      <c r="CL59" s="6">
        <v>0</v>
      </c>
      <c r="CM59" s="6">
        <v>15</v>
      </c>
      <c r="CN59" s="6">
        <v>0</v>
      </c>
      <c r="CO59" s="6">
        <v>14</v>
      </c>
      <c r="CP59" s="6">
        <v>0.89539999999999997</v>
      </c>
      <c r="CQ59" s="6">
        <v>14</v>
      </c>
      <c r="CR59" s="6">
        <v>7.7160000000000002</v>
      </c>
      <c r="CS59" s="6">
        <v>15</v>
      </c>
      <c r="CT59" s="6">
        <v>37.416200000000003</v>
      </c>
      <c r="CU59" s="6">
        <v>12</v>
      </c>
      <c r="CV59" s="6">
        <v>0</v>
      </c>
      <c r="CW59" s="6">
        <v>12</v>
      </c>
      <c r="CX59" s="6">
        <v>0</v>
      </c>
      <c r="CY59" s="6">
        <v>14</v>
      </c>
      <c r="CZ59" s="6">
        <v>0.2964</v>
      </c>
      <c r="DA59" s="6">
        <v>17</v>
      </c>
      <c r="DB59" s="6">
        <v>13.558299999999999</v>
      </c>
      <c r="DC59" s="6">
        <v>17</v>
      </c>
      <c r="DD59" s="6">
        <v>27.820900000000002</v>
      </c>
      <c r="DE59" s="6">
        <f>CHOOSE(MATCH(Setup!$B$5,{8,10,12,14,16},0)+(MATCH(Setup!$B$7,{"STD","Half-PPR","PPR"},0)-1)*5,CA59,CC59,CE59,CG59,CI59,CK59,CM59,CO59,CQ59,CS59,CU59,CW59,CY59,DA59,DC59)</f>
        <v>14</v>
      </c>
      <c r="DF59" s="6">
        <f>CHOOSE(MATCH(Setup!$B$5,{8,10,12,14,16},0)+(MATCH(Setup!$B$7,{"STD","Half-PPR","PPR"},0)-1)*5,CB59,CD59,CF59,CH59,CJ59,CL59,CN59,CP59,CR59,CT59,CV59,CX59,CZ59,DB59,DD59)</f>
        <v>0.89539999999999997</v>
      </c>
      <c r="DG59" s="6">
        <f>ROUND(1+DF59*'Live Calc'!$D$11,0)</f>
        <v>1</v>
      </c>
      <c r="DH59" s="6"/>
      <c r="DI59" s="6">
        <f>IF(DH59&lt;&gt;"",DH59,ROUND(DG59*INDEX('Live Calc'!$D$50:$D$70,MATCH(DE59,'Live Calc'!$A$50:$A$70,0))*'Live Calc'!$J$89,0))</f>
        <v>1</v>
      </c>
      <c r="DK59" s="7" t="s">
        <v>306</v>
      </c>
      <c r="DL59" s="7" t="s">
        <v>50</v>
      </c>
      <c r="DM59" s="7">
        <v>8</v>
      </c>
      <c r="DN59" s="7">
        <v>0</v>
      </c>
      <c r="DO59" s="7">
        <v>9</v>
      </c>
      <c r="DP59" s="7">
        <v>0</v>
      </c>
      <c r="DQ59" s="7">
        <v>10</v>
      </c>
      <c r="DR59" s="7">
        <v>0</v>
      </c>
      <c r="DS59" s="7">
        <v>11</v>
      </c>
      <c r="DT59" s="7">
        <v>0</v>
      </c>
      <c r="DU59" s="7">
        <v>12</v>
      </c>
      <c r="DV59" s="7">
        <v>0</v>
      </c>
      <c r="DW59" s="7">
        <v>6</v>
      </c>
      <c r="DX59" s="7">
        <v>0</v>
      </c>
      <c r="DY59" s="7">
        <v>9</v>
      </c>
      <c r="DZ59" s="7">
        <v>0</v>
      </c>
      <c r="EA59" s="7">
        <v>9</v>
      </c>
      <c r="EB59" s="7">
        <v>0</v>
      </c>
      <c r="EC59" s="7">
        <v>11</v>
      </c>
      <c r="ED59" s="7">
        <v>0</v>
      </c>
      <c r="EE59" s="7">
        <v>12</v>
      </c>
      <c r="EF59" s="7">
        <v>0</v>
      </c>
      <c r="EG59" s="7">
        <v>5</v>
      </c>
      <c r="EH59" s="7">
        <v>0</v>
      </c>
      <c r="EI59" s="7">
        <v>6</v>
      </c>
      <c r="EJ59" s="7">
        <v>0</v>
      </c>
      <c r="EK59" s="7">
        <v>7</v>
      </c>
      <c r="EL59" s="7">
        <v>0</v>
      </c>
      <c r="EM59" s="7">
        <v>10</v>
      </c>
      <c r="EN59" s="7">
        <v>0</v>
      </c>
      <c r="EO59" s="7">
        <v>11</v>
      </c>
      <c r="EP59" s="7">
        <v>0</v>
      </c>
      <c r="EQ59" s="7">
        <f>CHOOSE(MATCH(Setup!$B$5,{8,10,12,14,16},0)+(MATCH(Setup!$B$7,{"STD","Half-PPR","PPR"},0)-1)*5,DM59,DO59,DQ59,DS59,DU59,DW59,DY59,EA59,EC59,EE59,EG59,EI59,EK59,EM59,EO59)</f>
        <v>9</v>
      </c>
      <c r="ER59" s="7">
        <f>CHOOSE(MATCH(Setup!$B$5,{8,10,12,14,16},0)+(MATCH(Setup!$B$7,{"STD","Half-PPR","PPR"},0)-1)*5,DN59,DP59,DR59,DT59,DV59,DX59,DZ59,EB59,ED59,EF59,EH59,EJ59,EL59,EN59,EP59)</f>
        <v>0</v>
      </c>
      <c r="ES59" s="7">
        <f>ROUND(1+ER59*'Live Calc'!$D$12,0)</f>
        <v>1</v>
      </c>
      <c r="ET59" s="7"/>
      <c r="EU59" s="7">
        <f>IF(ET59&lt;&gt;"",ET59,ROUND(ES59*INDEX('Live Calc'!$D$74:$D$85,MATCH(EQ59,'Live Calc'!$A$74:$A$85,0))*'Live Calc'!$J$89,0))</f>
        <v>1</v>
      </c>
    </row>
    <row r="60" spans="1:151" x14ac:dyDescent="0.25">
      <c r="AM60" s="5" t="s">
        <v>307</v>
      </c>
      <c r="AN60" s="5" t="s">
        <v>46</v>
      </c>
      <c r="AO60" s="5">
        <v>9</v>
      </c>
      <c r="AP60" s="5">
        <v>0</v>
      </c>
      <c r="AQ60" s="5">
        <v>10</v>
      </c>
      <c r="AR60" s="5">
        <v>0</v>
      </c>
      <c r="AS60" s="5">
        <v>14</v>
      </c>
      <c r="AT60" s="5">
        <v>0</v>
      </c>
      <c r="AU60" s="5">
        <v>16</v>
      </c>
      <c r="AV60" s="5">
        <v>0</v>
      </c>
      <c r="AW60" s="5">
        <v>16</v>
      </c>
      <c r="AX60" s="5">
        <v>0</v>
      </c>
      <c r="AY60" s="5">
        <v>9</v>
      </c>
      <c r="AZ60" s="5">
        <v>0</v>
      </c>
      <c r="BA60" s="5">
        <v>11</v>
      </c>
      <c r="BB60" s="5">
        <v>0</v>
      </c>
      <c r="BC60" s="5">
        <v>13</v>
      </c>
      <c r="BD60" s="5">
        <v>0</v>
      </c>
      <c r="BE60" s="5">
        <v>17</v>
      </c>
      <c r="BF60" s="5">
        <v>0</v>
      </c>
      <c r="BG60" s="5">
        <v>17</v>
      </c>
      <c r="BH60" s="5">
        <v>0</v>
      </c>
      <c r="BI60" s="5">
        <v>11</v>
      </c>
      <c r="BJ60" s="5">
        <v>0</v>
      </c>
      <c r="BK60" s="5">
        <v>13</v>
      </c>
      <c r="BL60" s="5">
        <v>0</v>
      </c>
      <c r="BM60" s="5">
        <v>15</v>
      </c>
      <c r="BN60" s="5">
        <v>0</v>
      </c>
      <c r="BO60" s="5">
        <v>17</v>
      </c>
      <c r="BP60" s="5">
        <v>0</v>
      </c>
      <c r="BQ60" s="5">
        <v>18</v>
      </c>
      <c r="BR60" s="5">
        <v>0</v>
      </c>
      <c r="BS60" s="5">
        <f>CHOOSE(MATCH(Setup!$B$5,{8,10,12,14,16},0)+(MATCH(Setup!$B$7,{"STD","Half-PPR","PPR"},0)-1)*5,AO60,AQ60,AS60,AU60,AW60,AY60,BA60,BC60,BE60,BG60,BI60,BK60,BM60,BO60,BQ60)</f>
        <v>13</v>
      </c>
      <c r="BT60" s="5">
        <f>CHOOSE(MATCH(Setup!$B$5,{8,10,12,14,16},0)+(MATCH(Setup!$B$7,{"STD","Half-PPR","PPR"},0)-1)*5,AP60,AR60,AT60,AV60,AX60,AZ60,BB60,BD60,BF60,BH60,BJ60,BL60,BN60,BP60,BR60)</f>
        <v>0</v>
      </c>
      <c r="BU60" s="5">
        <f>ROUND(1+BT60*'Live Calc'!$D$10,0)</f>
        <v>1</v>
      </c>
      <c r="BV60" s="5"/>
      <c r="BW60" s="5">
        <f>IF(BV60&lt;&gt;"",BV60,ROUND(BU60*INDEX('Live Calc'!$D$29:$D$46,MATCH(BS60,'Live Calc'!$A$29:$A$46,0))*'Live Calc'!$J$89,0))</f>
        <v>1</v>
      </c>
      <c r="BY60" s="6" t="s">
        <v>308</v>
      </c>
      <c r="BZ60" s="6" t="s">
        <v>60</v>
      </c>
      <c r="CA60" s="6">
        <v>14</v>
      </c>
      <c r="CB60" s="6">
        <v>0</v>
      </c>
      <c r="CC60" s="6">
        <v>17</v>
      </c>
      <c r="CD60" s="6">
        <v>0</v>
      </c>
      <c r="CE60" s="6">
        <v>19</v>
      </c>
      <c r="CF60" s="6">
        <v>0.61619999999999997</v>
      </c>
      <c r="CG60" s="6">
        <v>18</v>
      </c>
      <c r="CH60" s="6">
        <v>5.1665000000000001</v>
      </c>
      <c r="CI60" s="6">
        <v>18</v>
      </c>
      <c r="CJ60" s="6">
        <v>20.8017</v>
      </c>
      <c r="CK60" s="6">
        <v>10</v>
      </c>
      <c r="CL60" s="6">
        <v>0</v>
      </c>
      <c r="CM60" s="6">
        <v>15</v>
      </c>
      <c r="CN60" s="6">
        <v>0</v>
      </c>
      <c r="CO60" s="6">
        <v>14</v>
      </c>
      <c r="CP60" s="6">
        <v>0.33700000000000002</v>
      </c>
      <c r="CQ60" s="6">
        <v>14</v>
      </c>
      <c r="CR60" s="6">
        <v>7.0458999999999996</v>
      </c>
      <c r="CS60" s="6">
        <v>15</v>
      </c>
      <c r="CT60" s="6">
        <v>36.480699999999999</v>
      </c>
      <c r="CU60" s="6">
        <v>12</v>
      </c>
      <c r="CV60" s="6">
        <v>0</v>
      </c>
      <c r="CW60" s="6">
        <v>12</v>
      </c>
      <c r="CX60" s="6">
        <v>0</v>
      </c>
      <c r="CY60" s="6">
        <v>15</v>
      </c>
      <c r="CZ60" s="6">
        <v>0</v>
      </c>
      <c r="DA60" s="6">
        <v>17</v>
      </c>
      <c r="DB60" s="6">
        <v>9.9291</v>
      </c>
      <c r="DC60" s="6">
        <v>17</v>
      </c>
      <c r="DD60" s="6">
        <v>24.432300000000001</v>
      </c>
      <c r="DE60" s="6">
        <f>CHOOSE(MATCH(Setup!$B$5,{8,10,12,14,16},0)+(MATCH(Setup!$B$7,{"STD","Half-PPR","PPR"},0)-1)*5,CA60,CC60,CE60,CG60,CI60,CK60,CM60,CO60,CQ60,CS60,CU60,CW60,CY60,DA60,DC60)</f>
        <v>14</v>
      </c>
      <c r="DF60" s="6">
        <f>CHOOSE(MATCH(Setup!$B$5,{8,10,12,14,16},0)+(MATCH(Setup!$B$7,{"STD","Half-PPR","PPR"},0)-1)*5,CB60,CD60,CF60,CH60,CJ60,CL60,CN60,CP60,CR60,CT60,CV60,CX60,CZ60,DB60,DD60)</f>
        <v>0.33700000000000002</v>
      </c>
      <c r="DG60" s="6">
        <f>ROUND(1+DF60*'Live Calc'!$D$11,0)</f>
        <v>1</v>
      </c>
      <c r="DH60" s="6"/>
      <c r="DI60" s="6">
        <f>IF(DH60&lt;&gt;"",DH60,ROUND(DG60*INDEX('Live Calc'!$D$50:$D$70,MATCH(DE60,'Live Calc'!$A$50:$A$70,0))*'Live Calc'!$J$89,0))</f>
        <v>1</v>
      </c>
      <c r="DK60" s="7" t="s">
        <v>309</v>
      </c>
      <c r="DL60" s="7" t="s">
        <v>48</v>
      </c>
      <c r="DM60" s="7">
        <v>8</v>
      </c>
      <c r="DN60" s="7">
        <v>0</v>
      </c>
      <c r="DO60" s="7">
        <v>9</v>
      </c>
      <c r="DP60" s="7">
        <v>0</v>
      </c>
      <c r="DQ60" s="7">
        <v>10</v>
      </c>
      <c r="DR60" s="7">
        <v>0</v>
      </c>
      <c r="DS60" s="7">
        <v>11</v>
      </c>
      <c r="DT60" s="7">
        <v>0</v>
      </c>
      <c r="DU60" s="7">
        <v>12</v>
      </c>
      <c r="DV60" s="7">
        <v>0</v>
      </c>
      <c r="DW60" s="7">
        <v>6</v>
      </c>
      <c r="DX60" s="7">
        <v>0</v>
      </c>
      <c r="DY60" s="7">
        <v>9</v>
      </c>
      <c r="DZ60" s="7">
        <v>0</v>
      </c>
      <c r="EA60" s="7">
        <v>9</v>
      </c>
      <c r="EB60" s="7">
        <v>0</v>
      </c>
      <c r="EC60" s="7">
        <v>11</v>
      </c>
      <c r="ED60" s="7">
        <v>0</v>
      </c>
      <c r="EE60" s="7">
        <v>12</v>
      </c>
      <c r="EF60" s="7">
        <v>0</v>
      </c>
      <c r="EG60" s="7">
        <v>5</v>
      </c>
      <c r="EH60" s="7">
        <v>0</v>
      </c>
      <c r="EI60" s="7">
        <v>6</v>
      </c>
      <c r="EJ60" s="7">
        <v>0</v>
      </c>
      <c r="EK60" s="7">
        <v>7</v>
      </c>
      <c r="EL60" s="7">
        <v>0</v>
      </c>
      <c r="EM60" s="7">
        <v>10</v>
      </c>
      <c r="EN60" s="7">
        <v>0</v>
      </c>
      <c r="EO60" s="7">
        <v>11</v>
      </c>
      <c r="EP60" s="7">
        <v>0</v>
      </c>
      <c r="EQ60" s="7">
        <f>CHOOSE(MATCH(Setup!$B$5,{8,10,12,14,16},0)+(MATCH(Setup!$B$7,{"STD","Half-PPR","PPR"},0)-1)*5,DM60,DO60,DQ60,DS60,DU60,DW60,DY60,EA60,EC60,EE60,EG60,EI60,EK60,EM60,EO60)</f>
        <v>9</v>
      </c>
      <c r="ER60" s="7">
        <f>CHOOSE(MATCH(Setup!$B$5,{8,10,12,14,16},0)+(MATCH(Setup!$B$7,{"STD","Half-PPR","PPR"},0)-1)*5,DN60,DP60,DR60,DT60,DV60,DX60,DZ60,EB60,ED60,EF60,EH60,EJ60,EL60,EN60,EP60)</f>
        <v>0</v>
      </c>
      <c r="ES60" s="7">
        <f>ROUND(1+ER60*'Live Calc'!$D$12,0)</f>
        <v>1</v>
      </c>
      <c r="ET60" s="7"/>
      <c r="EU60" s="7">
        <f>IF(ET60&lt;&gt;"",ET60,ROUND(ES60*INDEX('Live Calc'!$D$74:$D$85,MATCH(EQ60,'Live Calc'!$A$74:$A$85,0))*'Live Calc'!$J$89,0))</f>
        <v>1</v>
      </c>
    </row>
    <row r="61" spans="1:151" x14ac:dyDescent="0.25">
      <c r="AM61" s="5" t="s">
        <v>310</v>
      </c>
      <c r="AN61" s="5" t="s">
        <v>66</v>
      </c>
      <c r="AO61" s="5">
        <v>9</v>
      </c>
      <c r="AP61" s="5">
        <v>0</v>
      </c>
      <c r="AQ61" s="5">
        <v>10</v>
      </c>
      <c r="AR61" s="5">
        <v>0</v>
      </c>
      <c r="AS61" s="5">
        <v>14</v>
      </c>
      <c r="AT61" s="5">
        <v>0</v>
      </c>
      <c r="AU61" s="5">
        <v>16</v>
      </c>
      <c r="AV61" s="5">
        <v>0</v>
      </c>
      <c r="AW61" s="5">
        <v>16</v>
      </c>
      <c r="AX61" s="5">
        <v>0</v>
      </c>
      <c r="AY61" s="5">
        <v>9</v>
      </c>
      <c r="AZ61" s="5">
        <v>0</v>
      </c>
      <c r="BA61" s="5">
        <v>11</v>
      </c>
      <c r="BB61" s="5">
        <v>0</v>
      </c>
      <c r="BC61" s="5">
        <v>13</v>
      </c>
      <c r="BD61" s="5">
        <v>0</v>
      </c>
      <c r="BE61" s="5">
        <v>17</v>
      </c>
      <c r="BF61" s="5">
        <v>0</v>
      </c>
      <c r="BG61" s="5">
        <v>17</v>
      </c>
      <c r="BH61" s="5">
        <v>0</v>
      </c>
      <c r="BI61" s="5">
        <v>11</v>
      </c>
      <c r="BJ61" s="5">
        <v>0</v>
      </c>
      <c r="BK61" s="5">
        <v>13</v>
      </c>
      <c r="BL61" s="5">
        <v>0</v>
      </c>
      <c r="BM61" s="5">
        <v>15</v>
      </c>
      <c r="BN61" s="5">
        <v>0</v>
      </c>
      <c r="BO61" s="5">
        <v>17</v>
      </c>
      <c r="BP61" s="5">
        <v>0</v>
      </c>
      <c r="BQ61" s="5">
        <v>18</v>
      </c>
      <c r="BR61" s="5">
        <v>0</v>
      </c>
      <c r="BS61" s="5">
        <f>CHOOSE(MATCH(Setup!$B$5,{8,10,12,14,16},0)+(MATCH(Setup!$B$7,{"STD","Half-PPR","PPR"},0)-1)*5,AO61,AQ61,AS61,AU61,AW61,AY61,BA61,BC61,BE61,BG61,BI61,BK61,BM61,BO61,BQ61)</f>
        <v>13</v>
      </c>
      <c r="BT61" s="5">
        <f>CHOOSE(MATCH(Setup!$B$5,{8,10,12,14,16},0)+(MATCH(Setup!$B$7,{"STD","Half-PPR","PPR"},0)-1)*5,AP61,AR61,AT61,AV61,AX61,AZ61,BB61,BD61,BF61,BH61,BJ61,BL61,BN61,BP61,BR61)</f>
        <v>0</v>
      </c>
      <c r="BU61" s="5">
        <f>ROUND(1+BT61*'Live Calc'!$D$10,0)</f>
        <v>1</v>
      </c>
      <c r="BV61" s="5"/>
      <c r="BW61" s="5">
        <f>IF(BV61&lt;&gt;"",BV61,ROUND(BU61*INDEX('Live Calc'!$D$29:$D$46,MATCH(BS61,'Live Calc'!$A$29:$A$46,0))*'Live Calc'!$J$89,0))</f>
        <v>1</v>
      </c>
      <c r="BY61" s="6" t="s">
        <v>311</v>
      </c>
      <c r="BZ61" s="6" t="s">
        <v>81</v>
      </c>
      <c r="CA61" s="6">
        <v>14</v>
      </c>
      <c r="CB61" s="6">
        <v>0</v>
      </c>
      <c r="CC61" s="6">
        <v>17</v>
      </c>
      <c r="CD61" s="6">
        <v>0</v>
      </c>
      <c r="CE61" s="6">
        <v>20</v>
      </c>
      <c r="CF61" s="6">
        <v>0</v>
      </c>
      <c r="CG61" s="6">
        <v>18</v>
      </c>
      <c r="CH61" s="6">
        <v>1.8368</v>
      </c>
      <c r="CI61" s="6">
        <v>18</v>
      </c>
      <c r="CJ61" s="6">
        <v>16.906300000000002</v>
      </c>
      <c r="CK61" s="6">
        <v>10</v>
      </c>
      <c r="CL61" s="6">
        <v>0</v>
      </c>
      <c r="CM61" s="6">
        <v>15</v>
      </c>
      <c r="CN61" s="6">
        <v>0</v>
      </c>
      <c r="CO61" s="6">
        <v>15</v>
      </c>
      <c r="CP61" s="6">
        <v>0</v>
      </c>
      <c r="CQ61" s="6">
        <v>14</v>
      </c>
      <c r="CR61" s="6">
        <v>6.5171000000000001</v>
      </c>
      <c r="CS61" s="6">
        <v>15</v>
      </c>
      <c r="CT61" s="6">
        <v>35.738999999999997</v>
      </c>
      <c r="CU61" s="6">
        <v>12</v>
      </c>
      <c r="CV61" s="6">
        <v>0</v>
      </c>
      <c r="CW61" s="6">
        <v>12</v>
      </c>
      <c r="CX61" s="6">
        <v>0</v>
      </c>
      <c r="CY61" s="6">
        <v>15</v>
      </c>
      <c r="CZ61" s="6">
        <v>0</v>
      </c>
      <c r="DA61" s="6">
        <v>17</v>
      </c>
      <c r="DB61" s="6">
        <v>12.949400000000001</v>
      </c>
      <c r="DC61" s="6">
        <v>17</v>
      </c>
      <c r="DD61" s="6">
        <v>27.258900000000001</v>
      </c>
      <c r="DE61" s="6">
        <f>CHOOSE(MATCH(Setup!$B$5,{8,10,12,14,16},0)+(MATCH(Setup!$B$7,{"STD","Half-PPR","PPR"},0)-1)*5,CA61,CC61,CE61,CG61,CI61,CK61,CM61,CO61,CQ61,CS61,CU61,CW61,CY61,DA61,DC61)</f>
        <v>15</v>
      </c>
      <c r="DF61" s="6">
        <f>CHOOSE(MATCH(Setup!$B$5,{8,10,12,14,16},0)+(MATCH(Setup!$B$7,{"STD","Half-PPR","PPR"},0)-1)*5,CB61,CD61,CF61,CH61,CJ61,CL61,CN61,CP61,CR61,CT61,CV61,CX61,CZ61,DB61,DD61)</f>
        <v>0</v>
      </c>
      <c r="DG61" s="6">
        <f>ROUND(1+DF61*'Live Calc'!$D$11,0)</f>
        <v>1</v>
      </c>
      <c r="DH61" s="6"/>
      <c r="DI61" s="6">
        <f>IF(DH61&lt;&gt;"",DH61,ROUND(DG61*INDEX('Live Calc'!$D$50:$D$70,MATCH(DE61,'Live Calc'!$A$50:$A$70,0))*'Live Calc'!$J$89,0))</f>
        <v>1</v>
      </c>
      <c r="DK61" s="7" t="s">
        <v>312</v>
      </c>
      <c r="DL61" s="7" t="s">
        <v>62</v>
      </c>
      <c r="DM61" s="7">
        <v>8</v>
      </c>
      <c r="DN61" s="7">
        <v>0</v>
      </c>
      <c r="DO61" s="7">
        <v>9</v>
      </c>
      <c r="DP61" s="7">
        <v>0</v>
      </c>
      <c r="DQ61" s="7">
        <v>10</v>
      </c>
      <c r="DR61" s="7">
        <v>0</v>
      </c>
      <c r="DS61" s="7">
        <v>11</v>
      </c>
      <c r="DT61" s="7">
        <v>0</v>
      </c>
      <c r="DU61" s="7">
        <v>12</v>
      </c>
      <c r="DV61" s="7">
        <v>0</v>
      </c>
      <c r="DW61" s="7">
        <v>6</v>
      </c>
      <c r="DX61" s="7">
        <v>0</v>
      </c>
      <c r="DY61" s="7">
        <v>9</v>
      </c>
      <c r="DZ61" s="7">
        <v>0</v>
      </c>
      <c r="EA61" s="7">
        <v>9</v>
      </c>
      <c r="EB61" s="7">
        <v>0</v>
      </c>
      <c r="EC61" s="7">
        <v>11</v>
      </c>
      <c r="ED61" s="7">
        <v>0</v>
      </c>
      <c r="EE61" s="7">
        <v>12</v>
      </c>
      <c r="EF61" s="7">
        <v>0</v>
      </c>
      <c r="EG61" s="7">
        <v>5</v>
      </c>
      <c r="EH61" s="7">
        <v>0</v>
      </c>
      <c r="EI61" s="7">
        <v>6</v>
      </c>
      <c r="EJ61" s="7">
        <v>0</v>
      </c>
      <c r="EK61" s="7">
        <v>7</v>
      </c>
      <c r="EL61" s="7">
        <v>0</v>
      </c>
      <c r="EM61" s="7">
        <v>10</v>
      </c>
      <c r="EN61" s="7">
        <v>0</v>
      </c>
      <c r="EO61" s="7">
        <v>11</v>
      </c>
      <c r="EP61" s="7">
        <v>0</v>
      </c>
      <c r="EQ61" s="7">
        <f>CHOOSE(MATCH(Setup!$B$5,{8,10,12,14,16},0)+(MATCH(Setup!$B$7,{"STD","Half-PPR","PPR"},0)-1)*5,DM61,DO61,DQ61,DS61,DU61,DW61,DY61,EA61,EC61,EE61,EG61,EI61,EK61,EM61,EO61)</f>
        <v>9</v>
      </c>
      <c r="ER61" s="7">
        <f>CHOOSE(MATCH(Setup!$B$5,{8,10,12,14,16},0)+(MATCH(Setup!$B$7,{"STD","Half-PPR","PPR"},0)-1)*5,DN61,DP61,DR61,DT61,DV61,DX61,DZ61,EB61,ED61,EF61,EH61,EJ61,EL61,EN61,EP61)</f>
        <v>0</v>
      </c>
      <c r="ES61" s="7">
        <f>ROUND(1+ER61*'Live Calc'!$D$12,0)</f>
        <v>1</v>
      </c>
      <c r="ET61" s="7"/>
      <c r="EU61" s="7">
        <f>IF(ET61&lt;&gt;"",ET61,ROUND(ES61*INDEX('Live Calc'!$D$74:$D$85,MATCH(EQ61,'Live Calc'!$A$74:$A$85,0))*'Live Calc'!$J$89,0))</f>
        <v>1</v>
      </c>
    </row>
    <row r="62" spans="1:151" x14ac:dyDescent="0.25">
      <c r="AM62" s="5" t="s">
        <v>313</v>
      </c>
      <c r="AN62" s="5" t="s">
        <v>142</v>
      </c>
      <c r="AO62" s="5">
        <v>9</v>
      </c>
      <c r="AP62" s="5">
        <v>0</v>
      </c>
      <c r="AQ62" s="5">
        <v>10</v>
      </c>
      <c r="AR62" s="5">
        <v>0</v>
      </c>
      <c r="AS62" s="5">
        <v>14</v>
      </c>
      <c r="AT62" s="5">
        <v>0</v>
      </c>
      <c r="AU62" s="5">
        <v>16</v>
      </c>
      <c r="AV62" s="5">
        <v>0</v>
      </c>
      <c r="AW62" s="5">
        <v>16</v>
      </c>
      <c r="AX62" s="5">
        <v>0</v>
      </c>
      <c r="AY62" s="5">
        <v>9</v>
      </c>
      <c r="AZ62" s="5">
        <v>0</v>
      </c>
      <c r="BA62" s="5">
        <v>11</v>
      </c>
      <c r="BB62" s="5">
        <v>0</v>
      </c>
      <c r="BC62" s="5">
        <v>13</v>
      </c>
      <c r="BD62" s="5">
        <v>0</v>
      </c>
      <c r="BE62" s="5">
        <v>17</v>
      </c>
      <c r="BF62" s="5">
        <v>0</v>
      </c>
      <c r="BG62" s="5">
        <v>17</v>
      </c>
      <c r="BH62" s="5">
        <v>0</v>
      </c>
      <c r="BI62" s="5">
        <v>11</v>
      </c>
      <c r="BJ62" s="5">
        <v>0</v>
      </c>
      <c r="BK62" s="5">
        <v>13</v>
      </c>
      <c r="BL62" s="5">
        <v>0</v>
      </c>
      <c r="BM62" s="5">
        <v>15</v>
      </c>
      <c r="BN62" s="5">
        <v>0</v>
      </c>
      <c r="BO62" s="5">
        <v>17</v>
      </c>
      <c r="BP62" s="5">
        <v>0</v>
      </c>
      <c r="BQ62" s="5">
        <v>18</v>
      </c>
      <c r="BR62" s="5">
        <v>0</v>
      </c>
      <c r="BS62" s="5">
        <f>CHOOSE(MATCH(Setup!$B$5,{8,10,12,14,16},0)+(MATCH(Setup!$B$7,{"STD","Half-PPR","PPR"},0)-1)*5,AO62,AQ62,AS62,AU62,AW62,AY62,BA62,BC62,BE62,BG62,BI62,BK62,BM62,BO62,BQ62)</f>
        <v>13</v>
      </c>
      <c r="BT62" s="5">
        <f>CHOOSE(MATCH(Setup!$B$5,{8,10,12,14,16},0)+(MATCH(Setup!$B$7,{"STD","Half-PPR","PPR"},0)-1)*5,AP62,AR62,AT62,AV62,AX62,AZ62,BB62,BD62,BF62,BH62,BJ62,BL62,BN62,BP62,BR62)</f>
        <v>0</v>
      </c>
      <c r="BU62" s="5">
        <f>ROUND(1+BT62*'Live Calc'!$D$10,0)</f>
        <v>1</v>
      </c>
      <c r="BV62" s="5"/>
      <c r="BW62" s="5">
        <f>IF(BV62&lt;&gt;"",BV62,ROUND(BU62*INDEX('Live Calc'!$D$29:$D$46,MATCH(BS62,'Live Calc'!$A$29:$A$46,0))*'Live Calc'!$J$89,0))</f>
        <v>1</v>
      </c>
      <c r="BY62" s="6" t="s">
        <v>314</v>
      </c>
      <c r="BZ62" s="6" t="s">
        <v>253</v>
      </c>
      <c r="CA62" s="6">
        <v>14</v>
      </c>
      <c r="CB62" s="6">
        <v>0</v>
      </c>
      <c r="CC62" s="6">
        <v>17</v>
      </c>
      <c r="CD62" s="6">
        <v>0</v>
      </c>
      <c r="CE62" s="6">
        <v>20</v>
      </c>
      <c r="CF62" s="6">
        <v>0</v>
      </c>
      <c r="CG62" s="6">
        <v>18</v>
      </c>
      <c r="CH62" s="6">
        <v>2.8075000000000001</v>
      </c>
      <c r="CI62" s="6">
        <v>18</v>
      </c>
      <c r="CJ62" s="6">
        <v>18.073499999999999</v>
      </c>
      <c r="CK62" s="6">
        <v>10</v>
      </c>
      <c r="CL62" s="6">
        <v>0</v>
      </c>
      <c r="CM62" s="6">
        <v>15</v>
      </c>
      <c r="CN62" s="6">
        <v>0</v>
      </c>
      <c r="CO62" s="6">
        <v>15</v>
      </c>
      <c r="CP62" s="6">
        <v>0</v>
      </c>
      <c r="CQ62" s="6">
        <v>14</v>
      </c>
      <c r="CR62" s="6">
        <v>6.2332999999999998</v>
      </c>
      <c r="CS62" s="6">
        <v>15</v>
      </c>
      <c r="CT62" s="6">
        <v>35.339500000000001</v>
      </c>
      <c r="CU62" s="6">
        <v>12</v>
      </c>
      <c r="CV62" s="6">
        <v>0</v>
      </c>
      <c r="CW62" s="6">
        <v>12</v>
      </c>
      <c r="CX62" s="6">
        <v>0</v>
      </c>
      <c r="CY62" s="6">
        <v>15</v>
      </c>
      <c r="CZ62" s="6">
        <v>0</v>
      </c>
      <c r="DA62" s="6">
        <v>17</v>
      </c>
      <c r="DB62" s="6">
        <v>12.2293</v>
      </c>
      <c r="DC62" s="6">
        <v>17</v>
      </c>
      <c r="DD62" s="6">
        <v>26.591100000000001</v>
      </c>
      <c r="DE62" s="6">
        <f>CHOOSE(MATCH(Setup!$B$5,{8,10,12,14,16},0)+(MATCH(Setup!$B$7,{"STD","Half-PPR","PPR"},0)-1)*5,CA62,CC62,CE62,CG62,CI62,CK62,CM62,CO62,CQ62,CS62,CU62,CW62,CY62,DA62,DC62)</f>
        <v>15</v>
      </c>
      <c r="DF62" s="6">
        <f>CHOOSE(MATCH(Setup!$B$5,{8,10,12,14,16},0)+(MATCH(Setup!$B$7,{"STD","Half-PPR","PPR"},0)-1)*5,CB62,CD62,CF62,CH62,CJ62,CL62,CN62,CP62,CR62,CT62,CV62,CX62,CZ62,DB62,DD62)</f>
        <v>0</v>
      </c>
      <c r="DG62" s="6">
        <f>ROUND(1+DF62*'Live Calc'!$D$11,0)</f>
        <v>1</v>
      </c>
      <c r="DH62" s="6"/>
      <c r="DI62" s="6">
        <f>IF(DH62&lt;&gt;"",DH62,ROUND(DG62*INDEX('Live Calc'!$D$50:$D$70,MATCH(DE62,'Live Calc'!$A$50:$A$70,0))*'Live Calc'!$J$89,0))</f>
        <v>1</v>
      </c>
      <c r="DK62" s="7" t="s">
        <v>315</v>
      </c>
      <c r="DL62" s="7" t="s">
        <v>145</v>
      </c>
      <c r="DM62" s="7">
        <v>8</v>
      </c>
      <c r="DN62" s="7">
        <v>0</v>
      </c>
      <c r="DO62" s="7">
        <v>9</v>
      </c>
      <c r="DP62" s="7">
        <v>0</v>
      </c>
      <c r="DQ62" s="7">
        <v>10</v>
      </c>
      <c r="DR62" s="7">
        <v>0</v>
      </c>
      <c r="DS62" s="7">
        <v>11</v>
      </c>
      <c r="DT62" s="7">
        <v>0</v>
      </c>
      <c r="DU62" s="7">
        <v>12</v>
      </c>
      <c r="DV62" s="7">
        <v>0</v>
      </c>
      <c r="DW62" s="7">
        <v>6</v>
      </c>
      <c r="DX62" s="7">
        <v>0</v>
      </c>
      <c r="DY62" s="7">
        <v>9</v>
      </c>
      <c r="DZ62" s="7">
        <v>0</v>
      </c>
      <c r="EA62" s="7">
        <v>9</v>
      </c>
      <c r="EB62" s="7">
        <v>0</v>
      </c>
      <c r="EC62" s="7">
        <v>11</v>
      </c>
      <c r="ED62" s="7">
        <v>0</v>
      </c>
      <c r="EE62" s="7">
        <v>12</v>
      </c>
      <c r="EF62" s="7">
        <v>0</v>
      </c>
      <c r="EG62" s="7">
        <v>5</v>
      </c>
      <c r="EH62" s="7">
        <v>0</v>
      </c>
      <c r="EI62" s="7">
        <v>6</v>
      </c>
      <c r="EJ62" s="7">
        <v>0</v>
      </c>
      <c r="EK62" s="7">
        <v>7</v>
      </c>
      <c r="EL62" s="7">
        <v>0</v>
      </c>
      <c r="EM62" s="7">
        <v>10</v>
      </c>
      <c r="EN62" s="7">
        <v>0</v>
      </c>
      <c r="EO62" s="7">
        <v>11</v>
      </c>
      <c r="EP62" s="7">
        <v>0</v>
      </c>
      <c r="EQ62" s="7">
        <f>CHOOSE(MATCH(Setup!$B$5,{8,10,12,14,16},0)+(MATCH(Setup!$B$7,{"STD","Half-PPR","PPR"},0)-1)*5,DM62,DO62,DQ62,DS62,DU62,DW62,DY62,EA62,EC62,EE62,EG62,EI62,EK62,EM62,EO62)</f>
        <v>9</v>
      </c>
      <c r="ER62" s="7">
        <f>CHOOSE(MATCH(Setup!$B$5,{8,10,12,14,16},0)+(MATCH(Setup!$B$7,{"STD","Half-PPR","PPR"},0)-1)*5,DN62,DP62,DR62,DT62,DV62,DX62,DZ62,EB62,ED62,EF62,EH62,EJ62,EL62,EN62,EP62)</f>
        <v>0</v>
      </c>
      <c r="ES62" s="7">
        <f>ROUND(1+ER62*'Live Calc'!$D$12,0)</f>
        <v>1</v>
      </c>
      <c r="ET62" s="7"/>
      <c r="EU62" s="7">
        <f>IF(ET62&lt;&gt;"",ET62,ROUND(ES62*INDEX('Live Calc'!$D$74:$D$85,MATCH(EQ62,'Live Calc'!$A$74:$A$85,0))*'Live Calc'!$J$89,0))</f>
        <v>1</v>
      </c>
    </row>
    <row r="63" spans="1:151" x14ac:dyDescent="0.25">
      <c r="AM63" s="5" t="s">
        <v>316</v>
      </c>
      <c r="AN63" s="5" t="s">
        <v>101</v>
      </c>
      <c r="AO63" s="5">
        <v>9</v>
      </c>
      <c r="AP63" s="5">
        <v>0</v>
      </c>
      <c r="AQ63" s="5">
        <v>10</v>
      </c>
      <c r="AR63" s="5">
        <v>0</v>
      </c>
      <c r="AS63" s="5">
        <v>14</v>
      </c>
      <c r="AT63" s="5">
        <v>0</v>
      </c>
      <c r="AU63" s="5">
        <v>16</v>
      </c>
      <c r="AV63" s="5">
        <v>0</v>
      </c>
      <c r="AW63" s="5">
        <v>16</v>
      </c>
      <c r="AX63" s="5">
        <v>0</v>
      </c>
      <c r="AY63" s="5">
        <v>9</v>
      </c>
      <c r="AZ63" s="5">
        <v>0</v>
      </c>
      <c r="BA63" s="5">
        <v>11</v>
      </c>
      <c r="BB63" s="5">
        <v>0</v>
      </c>
      <c r="BC63" s="5">
        <v>13</v>
      </c>
      <c r="BD63" s="5">
        <v>0</v>
      </c>
      <c r="BE63" s="5">
        <v>17</v>
      </c>
      <c r="BF63" s="5">
        <v>0</v>
      </c>
      <c r="BG63" s="5">
        <v>17</v>
      </c>
      <c r="BH63" s="5">
        <v>0</v>
      </c>
      <c r="BI63" s="5">
        <v>11</v>
      </c>
      <c r="BJ63" s="5">
        <v>0</v>
      </c>
      <c r="BK63" s="5">
        <v>13</v>
      </c>
      <c r="BL63" s="5">
        <v>0</v>
      </c>
      <c r="BM63" s="5">
        <v>15</v>
      </c>
      <c r="BN63" s="5">
        <v>0</v>
      </c>
      <c r="BO63" s="5">
        <v>17</v>
      </c>
      <c r="BP63" s="5">
        <v>0</v>
      </c>
      <c r="BQ63" s="5">
        <v>18</v>
      </c>
      <c r="BR63" s="5">
        <v>0</v>
      </c>
      <c r="BS63" s="5">
        <f>CHOOSE(MATCH(Setup!$B$5,{8,10,12,14,16},0)+(MATCH(Setup!$B$7,{"STD","Half-PPR","PPR"},0)-1)*5,AO63,AQ63,AS63,AU63,AW63,AY63,BA63,BC63,BE63,BG63,BI63,BK63,BM63,BO63,BQ63)</f>
        <v>13</v>
      </c>
      <c r="BT63" s="5">
        <f>CHOOSE(MATCH(Setup!$B$5,{8,10,12,14,16},0)+(MATCH(Setup!$B$7,{"STD","Half-PPR","PPR"},0)-1)*5,AP63,AR63,AT63,AV63,AX63,AZ63,BB63,BD63,BF63,BH63,BJ63,BL63,BN63,BP63,BR63)</f>
        <v>0</v>
      </c>
      <c r="BU63" s="5">
        <f>ROUND(1+BT63*'Live Calc'!$D$10,0)</f>
        <v>1</v>
      </c>
      <c r="BV63" s="5"/>
      <c r="BW63" s="5">
        <f>IF(BV63&lt;&gt;"",BV63,ROUND(BU63*INDEX('Live Calc'!$D$29:$D$46,MATCH(BS63,'Live Calc'!$A$29:$A$46,0))*'Live Calc'!$J$89,0))</f>
        <v>1</v>
      </c>
      <c r="BY63" s="6" t="s">
        <v>317</v>
      </c>
      <c r="BZ63" s="6" t="s">
        <v>91</v>
      </c>
      <c r="CA63" s="6">
        <v>14</v>
      </c>
      <c r="CB63" s="6">
        <v>0</v>
      </c>
      <c r="CC63" s="6">
        <v>17</v>
      </c>
      <c r="CD63" s="6">
        <v>0</v>
      </c>
      <c r="CE63" s="6">
        <v>20</v>
      </c>
      <c r="CF63" s="6">
        <v>0</v>
      </c>
      <c r="CG63" s="6">
        <v>18</v>
      </c>
      <c r="CH63" s="6">
        <v>1.7996000000000001</v>
      </c>
      <c r="CI63" s="6">
        <v>18</v>
      </c>
      <c r="CJ63" s="6">
        <v>16.860800000000001</v>
      </c>
      <c r="CK63" s="6">
        <v>10</v>
      </c>
      <c r="CL63" s="6">
        <v>0</v>
      </c>
      <c r="CM63" s="6">
        <v>15</v>
      </c>
      <c r="CN63" s="6">
        <v>0</v>
      </c>
      <c r="CO63" s="6">
        <v>15</v>
      </c>
      <c r="CP63" s="6">
        <v>0</v>
      </c>
      <c r="CQ63" s="6">
        <v>14</v>
      </c>
      <c r="CR63" s="6">
        <v>6.2176999999999998</v>
      </c>
      <c r="CS63" s="6">
        <v>15</v>
      </c>
      <c r="CT63" s="6">
        <v>35.317599999999999</v>
      </c>
      <c r="CU63" s="6">
        <v>12</v>
      </c>
      <c r="CV63" s="6">
        <v>0</v>
      </c>
      <c r="CW63" s="6">
        <v>12</v>
      </c>
      <c r="CX63" s="6">
        <v>0</v>
      </c>
      <c r="CY63" s="6">
        <v>14</v>
      </c>
      <c r="CZ63" s="6">
        <v>0.25580000000000003</v>
      </c>
      <c r="DA63" s="6">
        <v>17</v>
      </c>
      <c r="DB63" s="6">
        <v>13.490500000000001</v>
      </c>
      <c r="DC63" s="6">
        <v>17</v>
      </c>
      <c r="DD63" s="6">
        <v>27.758400000000002</v>
      </c>
      <c r="DE63" s="6">
        <f>CHOOSE(MATCH(Setup!$B$5,{8,10,12,14,16},0)+(MATCH(Setup!$B$7,{"STD","Half-PPR","PPR"},0)-1)*5,CA63,CC63,CE63,CG63,CI63,CK63,CM63,CO63,CQ63,CS63,CU63,CW63,CY63,DA63,DC63)</f>
        <v>15</v>
      </c>
      <c r="DF63" s="6">
        <f>CHOOSE(MATCH(Setup!$B$5,{8,10,12,14,16},0)+(MATCH(Setup!$B$7,{"STD","Half-PPR","PPR"},0)-1)*5,CB63,CD63,CF63,CH63,CJ63,CL63,CN63,CP63,CR63,CT63,CV63,CX63,CZ63,DB63,DD63)</f>
        <v>0</v>
      </c>
      <c r="DG63" s="6">
        <f>ROUND(1+DF63*'Live Calc'!$D$11,0)</f>
        <v>1</v>
      </c>
      <c r="DH63" s="6"/>
      <c r="DI63" s="6">
        <f>IF(DH63&lt;&gt;"",DH63,ROUND(DG63*INDEX('Live Calc'!$D$50:$D$70,MATCH(DE63,'Live Calc'!$A$50:$A$70,0))*'Live Calc'!$J$89,0))</f>
        <v>1</v>
      </c>
      <c r="DK63" s="7" t="s">
        <v>318</v>
      </c>
      <c r="DL63" s="7" t="s">
        <v>86</v>
      </c>
      <c r="DM63" s="7">
        <v>8</v>
      </c>
      <c r="DN63" s="7">
        <v>0</v>
      </c>
      <c r="DO63" s="7">
        <v>9</v>
      </c>
      <c r="DP63" s="7">
        <v>0</v>
      </c>
      <c r="DQ63" s="7">
        <v>10</v>
      </c>
      <c r="DR63" s="7">
        <v>0</v>
      </c>
      <c r="DS63" s="7">
        <v>11</v>
      </c>
      <c r="DT63" s="7">
        <v>0</v>
      </c>
      <c r="DU63" s="7">
        <v>12</v>
      </c>
      <c r="DV63" s="7">
        <v>0</v>
      </c>
      <c r="DW63" s="7">
        <v>6</v>
      </c>
      <c r="DX63" s="7">
        <v>0</v>
      </c>
      <c r="DY63" s="7">
        <v>9</v>
      </c>
      <c r="DZ63" s="7">
        <v>0</v>
      </c>
      <c r="EA63" s="7">
        <v>9</v>
      </c>
      <c r="EB63" s="7">
        <v>0</v>
      </c>
      <c r="EC63" s="7">
        <v>11</v>
      </c>
      <c r="ED63" s="7">
        <v>0</v>
      </c>
      <c r="EE63" s="7">
        <v>12</v>
      </c>
      <c r="EF63" s="7">
        <v>0</v>
      </c>
      <c r="EG63" s="7">
        <v>5</v>
      </c>
      <c r="EH63" s="7">
        <v>0</v>
      </c>
      <c r="EI63" s="7">
        <v>6</v>
      </c>
      <c r="EJ63" s="7">
        <v>0</v>
      </c>
      <c r="EK63" s="7">
        <v>7</v>
      </c>
      <c r="EL63" s="7">
        <v>0</v>
      </c>
      <c r="EM63" s="7">
        <v>10</v>
      </c>
      <c r="EN63" s="7">
        <v>0</v>
      </c>
      <c r="EO63" s="7">
        <v>11</v>
      </c>
      <c r="EP63" s="7">
        <v>0</v>
      </c>
      <c r="EQ63" s="7">
        <f>CHOOSE(MATCH(Setup!$B$5,{8,10,12,14,16},0)+(MATCH(Setup!$B$7,{"STD","Half-PPR","PPR"},0)-1)*5,DM63,DO63,DQ63,DS63,DU63,DW63,DY63,EA63,EC63,EE63,EG63,EI63,EK63,EM63,EO63)</f>
        <v>9</v>
      </c>
      <c r="ER63" s="7">
        <f>CHOOSE(MATCH(Setup!$B$5,{8,10,12,14,16},0)+(MATCH(Setup!$B$7,{"STD","Half-PPR","PPR"},0)-1)*5,DN63,DP63,DR63,DT63,DV63,DX63,DZ63,EB63,ED63,EF63,EH63,EJ63,EL63,EN63,EP63)</f>
        <v>0</v>
      </c>
      <c r="ES63" s="7">
        <f>ROUND(1+ER63*'Live Calc'!$D$12,0)</f>
        <v>1</v>
      </c>
      <c r="ET63" s="7"/>
      <c r="EU63" s="7">
        <f>IF(ET63&lt;&gt;"",ET63,ROUND(ES63*INDEX('Live Calc'!$D$74:$D$85,MATCH(EQ63,'Live Calc'!$A$74:$A$85,0))*'Live Calc'!$J$89,0))</f>
        <v>1</v>
      </c>
    </row>
    <row r="64" spans="1:151" x14ac:dyDescent="0.25">
      <c r="AM64" s="5" t="s">
        <v>319</v>
      </c>
      <c r="AN64" s="5" t="s">
        <v>46</v>
      </c>
      <c r="AO64" s="5">
        <v>9</v>
      </c>
      <c r="AP64" s="5">
        <v>0</v>
      </c>
      <c r="AQ64" s="5">
        <v>10</v>
      </c>
      <c r="AR64" s="5">
        <v>0</v>
      </c>
      <c r="AS64" s="5">
        <v>14</v>
      </c>
      <c r="AT64" s="5">
        <v>0</v>
      </c>
      <c r="AU64" s="5">
        <v>16</v>
      </c>
      <c r="AV64" s="5">
        <v>0</v>
      </c>
      <c r="AW64" s="5">
        <v>16</v>
      </c>
      <c r="AX64" s="5">
        <v>0</v>
      </c>
      <c r="AY64" s="5">
        <v>9</v>
      </c>
      <c r="AZ64" s="5">
        <v>0</v>
      </c>
      <c r="BA64" s="5">
        <v>11</v>
      </c>
      <c r="BB64" s="5">
        <v>0</v>
      </c>
      <c r="BC64" s="5">
        <v>13</v>
      </c>
      <c r="BD64" s="5">
        <v>0</v>
      </c>
      <c r="BE64" s="5">
        <v>17</v>
      </c>
      <c r="BF64" s="5">
        <v>0</v>
      </c>
      <c r="BG64" s="5">
        <v>17</v>
      </c>
      <c r="BH64" s="5">
        <v>0</v>
      </c>
      <c r="BI64" s="5">
        <v>11</v>
      </c>
      <c r="BJ64" s="5">
        <v>0</v>
      </c>
      <c r="BK64" s="5">
        <v>13</v>
      </c>
      <c r="BL64" s="5">
        <v>0</v>
      </c>
      <c r="BM64" s="5">
        <v>15</v>
      </c>
      <c r="BN64" s="5">
        <v>0</v>
      </c>
      <c r="BO64" s="5">
        <v>17</v>
      </c>
      <c r="BP64" s="5">
        <v>0</v>
      </c>
      <c r="BQ64" s="5">
        <v>18</v>
      </c>
      <c r="BR64" s="5">
        <v>0</v>
      </c>
      <c r="BS64" s="5">
        <f>CHOOSE(MATCH(Setup!$B$5,{8,10,12,14,16},0)+(MATCH(Setup!$B$7,{"STD","Half-PPR","PPR"},0)-1)*5,AO64,AQ64,AS64,AU64,AW64,AY64,BA64,BC64,BE64,BG64,BI64,BK64,BM64,BO64,BQ64)</f>
        <v>13</v>
      </c>
      <c r="BT64" s="5">
        <f>CHOOSE(MATCH(Setup!$B$5,{8,10,12,14,16},0)+(MATCH(Setup!$B$7,{"STD","Half-PPR","PPR"},0)-1)*5,AP64,AR64,AT64,AV64,AX64,AZ64,BB64,BD64,BF64,BH64,BJ64,BL64,BN64,BP64,BR64)</f>
        <v>0</v>
      </c>
      <c r="BU64" s="5">
        <f>ROUND(1+BT64*'Live Calc'!$D$10,0)</f>
        <v>1</v>
      </c>
      <c r="BV64" s="5"/>
      <c r="BW64" s="5">
        <f>IF(BV64&lt;&gt;"",BV64,ROUND(BU64*INDEX('Live Calc'!$D$29:$D$46,MATCH(BS64,'Live Calc'!$A$29:$A$46,0))*'Live Calc'!$J$89,0))</f>
        <v>1</v>
      </c>
      <c r="BY64" s="6" t="s">
        <v>320</v>
      </c>
      <c r="BZ64" s="6" t="s">
        <v>142</v>
      </c>
      <c r="CA64" s="6">
        <v>14</v>
      </c>
      <c r="CB64" s="6">
        <v>0</v>
      </c>
      <c r="CC64" s="6">
        <v>17</v>
      </c>
      <c r="CD64" s="6">
        <v>0</v>
      </c>
      <c r="CE64" s="6">
        <v>19</v>
      </c>
      <c r="CF64" s="6">
        <v>1.3221000000000001</v>
      </c>
      <c r="CG64" s="6">
        <v>18</v>
      </c>
      <c r="CH64" s="6">
        <v>5.93</v>
      </c>
      <c r="CI64" s="6">
        <v>18</v>
      </c>
      <c r="CJ64" s="6">
        <v>21.664300000000001</v>
      </c>
      <c r="CK64" s="6">
        <v>10</v>
      </c>
      <c r="CL64" s="6">
        <v>0</v>
      </c>
      <c r="CM64" s="6">
        <v>15</v>
      </c>
      <c r="CN64" s="6">
        <v>0</v>
      </c>
      <c r="CO64" s="6">
        <v>15</v>
      </c>
      <c r="CP64" s="6">
        <v>0</v>
      </c>
      <c r="CQ64" s="6">
        <v>14</v>
      </c>
      <c r="CR64" s="6">
        <v>6.0541999999999998</v>
      </c>
      <c r="CS64" s="6">
        <v>15</v>
      </c>
      <c r="CT64" s="6">
        <v>35.087000000000003</v>
      </c>
      <c r="CU64" s="6">
        <v>12</v>
      </c>
      <c r="CV64" s="6">
        <v>0</v>
      </c>
      <c r="CW64" s="6">
        <v>12</v>
      </c>
      <c r="CX64" s="6">
        <v>0</v>
      </c>
      <c r="CY64" s="6">
        <v>15</v>
      </c>
      <c r="CZ64" s="6">
        <v>0</v>
      </c>
      <c r="DA64" s="6">
        <v>17</v>
      </c>
      <c r="DB64" s="6">
        <v>7.6727999999999996</v>
      </c>
      <c r="DC64" s="6">
        <v>17</v>
      </c>
      <c r="DD64" s="6">
        <v>22.267399999999999</v>
      </c>
      <c r="DE64" s="6">
        <f>CHOOSE(MATCH(Setup!$B$5,{8,10,12,14,16},0)+(MATCH(Setup!$B$7,{"STD","Half-PPR","PPR"},0)-1)*5,CA64,CC64,CE64,CG64,CI64,CK64,CM64,CO64,CQ64,CS64,CU64,CW64,CY64,DA64,DC64)</f>
        <v>15</v>
      </c>
      <c r="DF64" s="6">
        <f>CHOOSE(MATCH(Setup!$B$5,{8,10,12,14,16},0)+(MATCH(Setup!$B$7,{"STD","Half-PPR","PPR"},0)-1)*5,CB64,CD64,CF64,CH64,CJ64,CL64,CN64,CP64,CR64,CT64,CV64,CX64,CZ64,DB64,DD64)</f>
        <v>0</v>
      </c>
      <c r="DG64" s="6">
        <f>ROUND(1+DF64*'Live Calc'!$D$11,0)</f>
        <v>1</v>
      </c>
      <c r="DH64" s="6"/>
      <c r="DI64" s="6">
        <f>IF(DH64&lt;&gt;"",DH64,ROUND(DG64*INDEX('Live Calc'!$D$50:$D$70,MATCH(DE64,'Live Calc'!$A$50:$A$70,0))*'Live Calc'!$J$89,0))</f>
        <v>1</v>
      </c>
      <c r="DK64" s="7" t="s">
        <v>321</v>
      </c>
      <c r="DL64" s="7" t="s">
        <v>177</v>
      </c>
      <c r="DM64" s="7">
        <v>8</v>
      </c>
      <c r="DN64" s="7">
        <v>0</v>
      </c>
      <c r="DO64" s="7">
        <v>9</v>
      </c>
      <c r="DP64" s="7">
        <v>0</v>
      </c>
      <c r="DQ64" s="7">
        <v>10</v>
      </c>
      <c r="DR64" s="7">
        <v>0</v>
      </c>
      <c r="DS64" s="7">
        <v>11</v>
      </c>
      <c r="DT64" s="7">
        <v>0</v>
      </c>
      <c r="DU64" s="7">
        <v>12</v>
      </c>
      <c r="DV64" s="7">
        <v>0</v>
      </c>
      <c r="DW64" s="7">
        <v>6</v>
      </c>
      <c r="DX64" s="7">
        <v>0</v>
      </c>
      <c r="DY64" s="7">
        <v>9</v>
      </c>
      <c r="DZ64" s="7">
        <v>0</v>
      </c>
      <c r="EA64" s="7">
        <v>9</v>
      </c>
      <c r="EB64" s="7">
        <v>0</v>
      </c>
      <c r="EC64" s="7">
        <v>11</v>
      </c>
      <c r="ED64" s="7">
        <v>0</v>
      </c>
      <c r="EE64" s="7">
        <v>12</v>
      </c>
      <c r="EF64" s="7">
        <v>0</v>
      </c>
      <c r="EG64" s="7">
        <v>5</v>
      </c>
      <c r="EH64" s="7">
        <v>0</v>
      </c>
      <c r="EI64" s="7">
        <v>6</v>
      </c>
      <c r="EJ64" s="7">
        <v>0</v>
      </c>
      <c r="EK64" s="7">
        <v>7</v>
      </c>
      <c r="EL64" s="7">
        <v>0</v>
      </c>
      <c r="EM64" s="7">
        <v>10</v>
      </c>
      <c r="EN64" s="7">
        <v>0</v>
      </c>
      <c r="EO64" s="7">
        <v>11</v>
      </c>
      <c r="EP64" s="7">
        <v>0</v>
      </c>
      <c r="EQ64" s="7">
        <f>CHOOSE(MATCH(Setup!$B$5,{8,10,12,14,16},0)+(MATCH(Setup!$B$7,{"STD","Half-PPR","PPR"},0)-1)*5,DM64,DO64,DQ64,DS64,DU64,DW64,DY64,EA64,EC64,EE64,EG64,EI64,EK64,EM64,EO64)</f>
        <v>9</v>
      </c>
      <c r="ER64" s="7">
        <f>CHOOSE(MATCH(Setup!$B$5,{8,10,12,14,16},0)+(MATCH(Setup!$B$7,{"STD","Half-PPR","PPR"},0)-1)*5,DN64,DP64,DR64,DT64,DV64,DX64,DZ64,EB64,ED64,EF64,EH64,EJ64,EL64,EN64,EP64)</f>
        <v>0</v>
      </c>
      <c r="ES64" s="7">
        <f>ROUND(1+ER64*'Live Calc'!$D$12,0)</f>
        <v>1</v>
      </c>
      <c r="ET64" s="7"/>
      <c r="EU64" s="7">
        <f>IF(ET64&lt;&gt;"",ET64,ROUND(ES64*INDEX('Live Calc'!$D$74:$D$85,MATCH(EQ64,'Live Calc'!$A$74:$A$85,0))*'Live Calc'!$J$89,0))</f>
        <v>1</v>
      </c>
    </row>
    <row r="65" spans="39:151" x14ac:dyDescent="0.25">
      <c r="AM65" s="5" t="s">
        <v>322</v>
      </c>
      <c r="AN65" s="5" t="s">
        <v>110</v>
      </c>
      <c r="AO65" s="5">
        <v>9</v>
      </c>
      <c r="AP65" s="5">
        <v>0</v>
      </c>
      <c r="AQ65" s="5">
        <v>10</v>
      </c>
      <c r="AR65" s="5">
        <v>0</v>
      </c>
      <c r="AS65" s="5">
        <v>14</v>
      </c>
      <c r="AT65" s="5">
        <v>0</v>
      </c>
      <c r="AU65" s="5">
        <v>16</v>
      </c>
      <c r="AV65" s="5">
        <v>0</v>
      </c>
      <c r="AW65" s="5">
        <v>16</v>
      </c>
      <c r="AX65" s="5">
        <v>0</v>
      </c>
      <c r="AY65" s="5">
        <v>9</v>
      </c>
      <c r="AZ65" s="5">
        <v>0</v>
      </c>
      <c r="BA65" s="5">
        <v>11</v>
      </c>
      <c r="BB65" s="5">
        <v>0</v>
      </c>
      <c r="BC65" s="5">
        <v>13</v>
      </c>
      <c r="BD65" s="5">
        <v>0</v>
      </c>
      <c r="BE65" s="5">
        <v>17</v>
      </c>
      <c r="BF65" s="5">
        <v>0</v>
      </c>
      <c r="BG65" s="5">
        <v>17</v>
      </c>
      <c r="BH65" s="5">
        <v>0</v>
      </c>
      <c r="BI65" s="5">
        <v>11</v>
      </c>
      <c r="BJ65" s="5">
        <v>0</v>
      </c>
      <c r="BK65" s="5">
        <v>13</v>
      </c>
      <c r="BL65" s="5">
        <v>0</v>
      </c>
      <c r="BM65" s="5">
        <v>15</v>
      </c>
      <c r="BN65" s="5">
        <v>0</v>
      </c>
      <c r="BO65" s="5">
        <v>17</v>
      </c>
      <c r="BP65" s="5">
        <v>0</v>
      </c>
      <c r="BQ65" s="5">
        <v>18</v>
      </c>
      <c r="BR65" s="5">
        <v>0</v>
      </c>
      <c r="BS65" s="5">
        <f>CHOOSE(MATCH(Setup!$B$5,{8,10,12,14,16},0)+(MATCH(Setup!$B$7,{"STD","Half-PPR","PPR"},0)-1)*5,AO65,AQ65,AS65,AU65,AW65,AY65,BA65,BC65,BE65,BG65,BI65,BK65,BM65,BO65,BQ65)</f>
        <v>13</v>
      </c>
      <c r="BT65" s="5">
        <f>CHOOSE(MATCH(Setup!$B$5,{8,10,12,14,16},0)+(MATCH(Setup!$B$7,{"STD","Half-PPR","PPR"},0)-1)*5,AP65,AR65,AT65,AV65,AX65,AZ65,BB65,BD65,BF65,BH65,BJ65,BL65,BN65,BP65,BR65)</f>
        <v>0</v>
      </c>
      <c r="BU65" s="5">
        <f>ROUND(1+BT65*'Live Calc'!$D$10,0)</f>
        <v>1</v>
      </c>
      <c r="BV65" s="5"/>
      <c r="BW65" s="5">
        <f>IF(BV65&lt;&gt;"",BV65,ROUND(BU65*INDEX('Live Calc'!$D$29:$D$46,MATCH(BS65,'Live Calc'!$A$29:$A$46,0))*'Live Calc'!$J$89,0))</f>
        <v>1</v>
      </c>
      <c r="BY65" s="6" t="s">
        <v>323</v>
      </c>
      <c r="BZ65" s="6" t="s">
        <v>81</v>
      </c>
      <c r="CA65" s="6">
        <v>14</v>
      </c>
      <c r="CB65" s="6">
        <v>0</v>
      </c>
      <c r="CC65" s="6">
        <v>17</v>
      </c>
      <c r="CD65" s="6">
        <v>0</v>
      </c>
      <c r="CE65" s="6">
        <v>20</v>
      </c>
      <c r="CF65" s="6">
        <v>0</v>
      </c>
      <c r="CG65" s="6">
        <v>18</v>
      </c>
      <c r="CH65" s="6">
        <v>1.1484000000000001</v>
      </c>
      <c r="CI65" s="6">
        <v>18</v>
      </c>
      <c r="CJ65" s="6">
        <v>16.049199999999999</v>
      </c>
      <c r="CK65" s="6">
        <v>10</v>
      </c>
      <c r="CL65" s="6">
        <v>0</v>
      </c>
      <c r="CM65" s="6">
        <v>15</v>
      </c>
      <c r="CN65" s="6">
        <v>0</v>
      </c>
      <c r="CO65" s="6">
        <v>15</v>
      </c>
      <c r="CP65" s="6">
        <v>0</v>
      </c>
      <c r="CQ65" s="6">
        <v>15</v>
      </c>
      <c r="CR65" s="6">
        <v>4.8201999999999998</v>
      </c>
      <c r="CS65" s="6">
        <v>16</v>
      </c>
      <c r="CT65" s="6">
        <v>33.333199999999998</v>
      </c>
      <c r="CU65" s="6">
        <v>12</v>
      </c>
      <c r="CV65" s="6">
        <v>0</v>
      </c>
      <c r="CW65" s="6">
        <v>12</v>
      </c>
      <c r="CX65" s="6">
        <v>0</v>
      </c>
      <c r="CY65" s="6">
        <v>15</v>
      </c>
      <c r="CZ65" s="6">
        <v>0</v>
      </c>
      <c r="DA65" s="6">
        <v>17</v>
      </c>
      <c r="DB65" s="6">
        <v>5.6849999999999996</v>
      </c>
      <c r="DC65" s="6">
        <v>17</v>
      </c>
      <c r="DD65" s="6">
        <v>20.3065</v>
      </c>
      <c r="DE65" s="6">
        <f>CHOOSE(MATCH(Setup!$B$5,{8,10,12,14,16},0)+(MATCH(Setup!$B$7,{"STD","Half-PPR","PPR"},0)-1)*5,CA65,CC65,CE65,CG65,CI65,CK65,CM65,CO65,CQ65,CS65,CU65,CW65,CY65,DA65,DC65)</f>
        <v>15</v>
      </c>
      <c r="DF65" s="6">
        <f>CHOOSE(MATCH(Setup!$B$5,{8,10,12,14,16},0)+(MATCH(Setup!$B$7,{"STD","Half-PPR","PPR"},0)-1)*5,CB65,CD65,CF65,CH65,CJ65,CL65,CN65,CP65,CR65,CT65,CV65,CX65,CZ65,DB65,DD65)</f>
        <v>0</v>
      </c>
      <c r="DG65" s="6">
        <f>ROUND(1+DF65*'Live Calc'!$D$11,0)</f>
        <v>1</v>
      </c>
      <c r="DH65" s="6"/>
      <c r="DI65" s="6">
        <f>IF(DH65&lt;&gt;"",DH65,ROUND(DG65*INDEX('Live Calc'!$D$50:$D$70,MATCH(DE65,'Live Calc'!$A$50:$A$70,0))*'Live Calc'!$J$89,0))</f>
        <v>1</v>
      </c>
      <c r="DK65" s="7" t="s">
        <v>324</v>
      </c>
      <c r="DL65" s="7" t="s">
        <v>124</v>
      </c>
      <c r="DM65" s="7">
        <v>8</v>
      </c>
      <c r="DN65" s="7">
        <v>0</v>
      </c>
      <c r="DO65" s="7">
        <v>9</v>
      </c>
      <c r="DP65" s="7">
        <v>0</v>
      </c>
      <c r="DQ65" s="7">
        <v>10</v>
      </c>
      <c r="DR65" s="7">
        <v>0</v>
      </c>
      <c r="DS65" s="7">
        <v>11</v>
      </c>
      <c r="DT65" s="7">
        <v>0</v>
      </c>
      <c r="DU65" s="7">
        <v>12</v>
      </c>
      <c r="DV65" s="7">
        <v>0</v>
      </c>
      <c r="DW65" s="7">
        <v>6</v>
      </c>
      <c r="DX65" s="7">
        <v>0</v>
      </c>
      <c r="DY65" s="7">
        <v>9</v>
      </c>
      <c r="DZ65" s="7">
        <v>0</v>
      </c>
      <c r="EA65" s="7">
        <v>9</v>
      </c>
      <c r="EB65" s="7">
        <v>0</v>
      </c>
      <c r="EC65" s="7">
        <v>11</v>
      </c>
      <c r="ED65" s="7">
        <v>0</v>
      </c>
      <c r="EE65" s="7">
        <v>12</v>
      </c>
      <c r="EF65" s="7">
        <v>0</v>
      </c>
      <c r="EG65" s="7">
        <v>5</v>
      </c>
      <c r="EH65" s="7">
        <v>0</v>
      </c>
      <c r="EI65" s="7">
        <v>6</v>
      </c>
      <c r="EJ65" s="7">
        <v>0</v>
      </c>
      <c r="EK65" s="7">
        <v>7</v>
      </c>
      <c r="EL65" s="7">
        <v>0</v>
      </c>
      <c r="EM65" s="7">
        <v>10</v>
      </c>
      <c r="EN65" s="7">
        <v>0</v>
      </c>
      <c r="EO65" s="7">
        <v>11</v>
      </c>
      <c r="EP65" s="7">
        <v>0</v>
      </c>
      <c r="EQ65" s="7">
        <f>CHOOSE(MATCH(Setup!$B$5,{8,10,12,14,16},0)+(MATCH(Setup!$B$7,{"STD","Half-PPR","PPR"},0)-1)*5,DM65,DO65,DQ65,DS65,DU65,DW65,DY65,EA65,EC65,EE65,EG65,EI65,EK65,EM65,EO65)</f>
        <v>9</v>
      </c>
      <c r="ER65" s="7">
        <f>CHOOSE(MATCH(Setup!$B$5,{8,10,12,14,16},0)+(MATCH(Setup!$B$7,{"STD","Half-PPR","PPR"},0)-1)*5,DN65,DP65,DR65,DT65,DV65,DX65,DZ65,EB65,ED65,EF65,EH65,EJ65,EL65,EN65,EP65)</f>
        <v>0</v>
      </c>
      <c r="ES65" s="7">
        <f>ROUND(1+ER65*'Live Calc'!$D$12,0)</f>
        <v>1</v>
      </c>
      <c r="ET65" s="7"/>
      <c r="EU65" s="7">
        <f>IF(ET65&lt;&gt;"",ET65,ROUND(ES65*INDEX('Live Calc'!$D$74:$D$85,MATCH(EQ65,'Live Calc'!$A$74:$A$85,0))*'Live Calc'!$J$89,0))</f>
        <v>1</v>
      </c>
    </row>
    <row r="66" spans="39:151" x14ac:dyDescent="0.25">
      <c r="AM66" s="5" t="s">
        <v>325</v>
      </c>
      <c r="AN66" s="5" t="s">
        <v>72</v>
      </c>
      <c r="AO66" s="5">
        <v>9</v>
      </c>
      <c r="AP66" s="5">
        <v>0</v>
      </c>
      <c r="AQ66" s="5">
        <v>10</v>
      </c>
      <c r="AR66" s="5">
        <v>0</v>
      </c>
      <c r="AS66" s="5">
        <v>14</v>
      </c>
      <c r="AT66" s="5">
        <v>0</v>
      </c>
      <c r="AU66" s="5">
        <v>16</v>
      </c>
      <c r="AV66" s="5">
        <v>0</v>
      </c>
      <c r="AW66" s="5">
        <v>16</v>
      </c>
      <c r="AX66" s="5">
        <v>0</v>
      </c>
      <c r="AY66" s="5">
        <v>9</v>
      </c>
      <c r="AZ66" s="5">
        <v>0</v>
      </c>
      <c r="BA66" s="5">
        <v>11</v>
      </c>
      <c r="BB66" s="5">
        <v>0</v>
      </c>
      <c r="BC66" s="5">
        <v>13</v>
      </c>
      <c r="BD66" s="5">
        <v>0</v>
      </c>
      <c r="BE66" s="5">
        <v>17</v>
      </c>
      <c r="BF66" s="5">
        <v>0</v>
      </c>
      <c r="BG66" s="5">
        <v>17</v>
      </c>
      <c r="BH66" s="5">
        <v>0</v>
      </c>
      <c r="BI66" s="5">
        <v>11</v>
      </c>
      <c r="BJ66" s="5">
        <v>0</v>
      </c>
      <c r="BK66" s="5">
        <v>13</v>
      </c>
      <c r="BL66" s="5">
        <v>0</v>
      </c>
      <c r="BM66" s="5">
        <v>15</v>
      </c>
      <c r="BN66" s="5">
        <v>0</v>
      </c>
      <c r="BO66" s="5">
        <v>17</v>
      </c>
      <c r="BP66" s="5">
        <v>0</v>
      </c>
      <c r="BQ66" s="5">
        <v>18</v>
      </c>
      <c r="BR66" s="5">
        <v>0</v>
      </c>
      <c r="BS66" s="5">
        <f>CHOOSE(MATCH(Setup!$B$5,{8,10,12,14,16},0)+(MATCH(Setup!$B$7,{"STD","Half-PPR","PPR"},0)-1)*5,AO66,AQ66,AS66,AU66,AW66,AY66,BA66,BC66,BE66,BG66,BI66,BK66,BM66,BO66,BQ66)</f>
        <v>13</v>
      </c>
      <c r="BT66" s="5">
        <f>CHOOSE(MATCH(Setup!$B$5,{8,10,12,14,16},0)+(MATCH(Setup!$B$7,{"STD","Half-PPR","PPR"},0)-1)*5,AP66,AR66,AT66,AV66,AX66,AZ66,BB66,BD66,BF66,BH66,BJ66,BL66,BN66,BP66,BR66)</f>
        <v>0</v>
      </c>
      <c r="BU66" s="5">
        <f>ROUND(1+BT66*'Live Calc'!$D$10,0)</f>
        <v>1</v>
      </c>
      <c r="BV66" s="5"/>
      <c r="BW66" s="5">
        <f>IF(BV66&lt;&gt;"",BV66,ROUND(BU66*INDEX('Live Calc'!$D$29:$D$46,MATCH(BS66,'Live Calc'!$A$29:$A$46,0))*'Live Calc'!$J$89,0))</f>
        <v>1</v>
      </c>
      <c r="BY66" s="6" t="s">
        <v>326</v>
      </c>
      <c r="BZ66" s="6" t="s">
        <v>177</v>
      </c>
      <c r="CA66" s="6">
        <v>14</v>
      </c>
      <c r="CB66" s="6">
        <v>0</v>
      </c>
      <c r="CC66" s="6">
        <v>17</v>
      </c>
      <c r="CD66" s="6">
        <v>0</v>
      </c>
      <c r="CE66" s="6">
        <v>20</v>
      </c>
      <c r="CF66" s="6">
        <v>0</v>
      </c>
      <c r="CG66" s="6">
        <v>19</v>
      </c>
      <c r="CH66" s="6">
        <v>0</v>
      </c>
      <c r="CI66" s="6">
        <v>18</v>
      </c>
      <c r="CJ66" s="6">
        <v>14.4513</v>
      </c>
      <c r="CK66" s="6">
        <v>10</v>
      </c>
      <c r="CL66" s="6">
        <v>0</v>
      </c>
      <c r="CM66" s="6">
        <v>15</v>
      </c>
      <c r="CN66" s="6">
        <v>0</v>
      </c>
      <c r="CO66" s="6">
        <v>15</v>
      </c>
      <c r="CP66" s="6">
        <v>0</v>
      </c>
      <c r="CQ66" s="6">
        <v>16</v>
      </c>
      <c r="CR66" s="6">
        <v>0</v>
      </c>
      <c r="CS66" s="6">
        <v>17</v>
      </c>
      <c r="CT66" s="6">
        <v>25.861899999999999</v>
      </c>
      <c r="CU66" s="6">
        <v>12</v>
      </c>
      <c r="CV66" s="6">
        <v>0</v>
      </c>
      <c r="CW66" s="6">
        <v>12</v>
      </c>
      <c r="CX66" s="6">
        <v>0</v>
      </c>
      <c r="CY66" s="6">
        <v>15</v>
      </c>
      <c r="CZ66" s="6">
        <v>0</v>
      </c>
      <c r="DA66" s="6">
        <v>18</v>
      </c>
      <c r="DB66" s="6">
        <v>0</v>
      </c>
      <c r="DC66" s="6">
        <v>18</v>
      </c>
      <c r="DD66" s="6">
        <v>13.857799999999999</v>
      </c>
      <c r="DE66" s="6">
        <f>CHOOSE(MATCH(Setup!$B$5,{8,10,12,14,16},0)+(MATCH(Setup!$B$7,{"STD","Half-PPR","PPR"},0)-1)*5,CA66,CC66,CE66,CG66,CI66,CK66,CM66,CO66,CQ66,CS66,CU66,CW66,CY66,DA66,DC66)</f>
        <v>15</v>
      </c>
      <c r="DF66" s="6">
        <f>CHOOSE(MATCH(Setup!$B$5,{8,10,12,14,16},0)+(MATCH(Setup!$B$7,{"STD","Half-PPR","PPR"},0)-1)*5,CB66,CD66,CF66,CH66,CJ66,CL66,CN66,CP66,CR66,CT66,CV66,CX66,CZ66,DB66,DD66)</f>
        <v>0</v>
      </c>
      <c r="DG66" s="6">
        <f>ROUND(1+DF66*'Live Calc'!$D$11,0)</f>
        <v>1</v>
      </c>
      <c r="DH66" s="6"/>
      <c r="DI66" s="6">
        <f>IF(DH66&lt;&gt;"",DH66,ROUND(DG66*INDEX('Live Calc'!$D$50:$D$70,MATCH(DE66,'Live Calc'!$A$50:$A$70,0))*'Live Calc'!$J$89,0))</f>
        <v>1</v>
      </c>
      <c r="DK66" s="7" t="s">
        <v>327</v>
      </c>
      <c r="DL66" s="7" t="s">
        <v>124</v>
      </c>
      <c r="DM66" s="7">
        <v>8</v>
      </c>
      <c r="DN66" s="7">
        <v>0</v>
      </c>
      <c r="DO66" s="7">
        <v>9</v>
      </c>
      <c r="DP66" s="7">
        <v>0</v>
      </c>
      <c r="DQ66" s="7">
        <v>10</v>
      </c>
      <c r="DR66" s="7">
        <v>0</v>
      </c>
      <c r="DS66" s="7">
        <v>11</v>
      </c>
      <c r="DT66" s="7">
        <v>0</v>
      </c>
      <c r="DU66" s="7">
        <v>12</v>
      </c>
      <c r="DV66" s="7">
        <v>0</v>
      </c>
      <c r="DW66" s="7">
        <v>6</v>
      </c>
      <c r="DX66" s="7">
        <v>0</v>
      </c>
      <c r="DY66" s="7">
        <v>9</v>
      </c>
      <c r="DZ66" s="7">
        <v>0</v>
      </c>
      <c r="EA66" s="7">
        <v>9</v>
      </c>
      <c r="EB66" s="7">
        <v>0</v>
      </c>
      <c r="EC66" s="7">
        <v>11</v>
      </c>
      <c r="ED66" s="7">
        <v>0</v>
      </c>
      <c r="EE66" s="7">
        <v>12</v>
      </c>
      <c r="EF66" s="7">
        <v>0</v>
      </c>
      <c r="EG66" s="7">
        <v>5</v>
      </c>
      <c r="EH66" s="7">
        <v>0</v>
      </c>
      <c r="EI66" s="7">
        <v>6</v>
      </c>
      <c r="EJ66" s="7">
        <v>0</v>
      </c>
      <c r="EK66" s="7">
        <v>7</v>
      </c>
      <c r="EL66" s="7">
        <v>0</v>
      </c>
      <c r="EM66" s="7">
        <v>10</v>
      </c>
      <c r="EN66" s="7">
        <v>0</v>
      </c>
      <c r="EO66" s="7">
        <v>11</v>
      </c>
      <c r="EP66" s="7">
        <v>0</v>
      </c>
      <c r="EQ66" s="7">
        <f>CHOOSE(MATCH(Setup!$B$5,{8,10,12,14,16},0)+(MATCH(Setup!$B$7,{"STD","Half-PPR","PPR"},0)-1)*5,DM66,DO66,DQ66,DS66,DU66,DW66,DY66,EA66,EC66,EE66,EG66,EI66,EK66,EM66,EO66)</f>
        <v>9</v>
      </c>
      <c r="ER66" s="7">
        <f>CHOOSE(MATCH(Setup!$B$5,{8,10,12,14,16},0)+(MATCH(Setup!$B$7,{"STD","Half-PPR","PPR"},0)-1)*5,DN66,DP66,DR66,DT66,DV66,DX66,DZ66,EB66,ED66,EF66,EH66,EJ66,EL66,EN66,EP66)</f>
        <v>0</v>
      </c>
      <c r="ES66" s="7">
        <f>ROUND(1+ER66*'Live Calc'!$D$12,0)</f>
        <v>1</v>
      </c>
      <c r="ET66" s="7"/>
      <c r="EU66" s="7">
        <f>IF(ET66&lt;&gt;"",ET66,ROUND(ES66*INDEX('Live Calc'!$D$74:$D$85,MATCH(EQ66,'Live Calc'!$A$74:$A$85,0))*'Live Calc'!$J$89,0))</f>
        <v>1</v>
      </c>
    </row>
    <row r="67" spans="39:151" x14ac:dyDescent="0.25">
      <c r="AM67" s="5" t="s">
        <v>328</v>
      </c>
      <c r="AN67" s="5" t="s">
        <v>70</v>
      </c>
      <c r="AO67" s="5">
        <v>9</v>
      </c>
      <c r="AP67" s="5">
        <v>0</v>
      </c>
      <c r="AQ67" s="5">
        <v>10</v>
      </c>
      <c r="AR67" s="5">
        <v>0</v>
      </c>
      <c r="AS67" s="5">
        <v>14</v>
      </c>
      <c r="AT67" s="5">
        <v>0</v>
      </c>
      <c r="AU67" s="5">
        <v>16</v>
      </c>
      <c r="AV67" s="5">
        <v>0</v>
      </c>
      <c r="AW67" s="5">
        <v>16</v>
      </c>
      <c r="AX67" s="5">
        <v>0</v>
      </c>
      <c r="AY67" s="5">
        <v>9</v>
      </c>
      <c r="AZ67" s="5">
        <v>0</v>
      </c>
      <c r="BA67" s="5">
        <v>11</v>
      </c>
      <c r="BB67" s="5">
        <v>0</v>
      </c>
      <c r="BC67" s="5">
        <v>13</v>
      </c>
      <c r="BD67" s="5">
        <v>0</v>
      </c>
      <c r="BE67" s="5">
        <v>17</v>
      </c>
      <c r="BF67" s="5">
        <v>0</v>
      </c>
      <c r="BG67" s="5">
        <v>17</v>
      </c>
      <c r="BH67" s="5">
        <v>0</v>
      </c>
      <c r="BI67" s="5">
        <v>11</v>
      </c>
      <c r="BJ67" s="5">
        <v>0</v>
      </c>
      <c r="BK67" s="5">
        <v>13</v>
      </c>
      <c r="BL67" s="5">
        <v>0</v>
      </c>
      <c r="BM67" s="5">
        <v>15</v>
      </c>
      <c r="BN67" s="5">
        <v>0</v>
      </c>
      <c r="BO67" s="5">
        <v>17</v>
      </c>
      <c r="BP67" s="5">
        <v>0</v>
      </c>
      <c r="BQ67" s="5">
        <v>18</v>
      </c>
      <c r="BR67" s="5">
        <v>0</v>
      </c>
      <c r="BS67" s="5">
        <f>CHOOSE(MATCH(Setup!$B$5,{8,10,12,14,16},0)+(MATCH(Setup!$B$7,{"STD","Half-PPR","PPR"},0)-1)*5,AO67,AQ67,AS67,AU67,AW67,AY67,BA67,BC67,BE67,BG67,BI67,BK67,BM67,BO67,BQ67)</f>
        <v>13</v>
      </c>
      <c r="BT67" s="5">
        <f>CHOOSE(MATCH(Setup!$B$5,{8,10,12,14,16},0)+(MATCH(Setup!$B$7,{"STD","Half-PPR","PPR"},0)-1)*5,AP67,AR67,AT67,AV67,AX67,AZ67,BB67,BD67,BF67,BH67,BJ67,BL67,BN67,BP67,BR67)</f>
        <v>0</v>
      </c>
      <c r="BU67" s="5">
        <f>ROUND(1+BT67*'Live Calc'!$D$10,0)</f>
        <v>1</v>
      </c>
      <c r="BV67" s="5"/>
      <c r="BW67" s="5">
        <f>IF(BV67&lt;&gt;"",BV67,ROUND(BU67*INDEX('Live Calc'!$D$29:$D$46,MATCH(BS67,'Live Calc'!$A$29:$A$46,0))*'Live Calc'!$J$89,0))</f>
        <v>1</v>
      </c>
      <c r="BY67" s="6" t="s">
        <v>329</v>
      </c>
      <c r="BZ67" s="6" t="s">
        <v>60</v>
      </c>
      <c r="CA67" s="6">
        <v>14</v>
      </c>
      <c r="CB67" s="6">
        <v>0</v>
      </c>
      <c r="CC67" s="6">
        <v>17</v>
      </c>
      <c r="CD67" s="6">
        <v>0</v>
      </c>
      <c r="CE67" s="6">
        <v>20</v>
      </c>
      <c r="CF67" s="6">
        <v>0</v>
      </c>
      <c r="CG67" s="6">
        <v>19</v>
      </c>
      <c r="CH67" s="6">
        <v>0</v>
      </c>
      <c r="CI67" s="6">
        <v>19</v>
      </c>
      <c r="CJ67" s="6">
        <v>9.0021000000000004</v>
      </c>
      <c r="CK67" s="6">
        <v>10</v>
      </c>
      <c r="CL67" s="6">
        <v>0</v>
      </c>
      <c r="CM67" s="6">
        <v>15</v>
      </c>
      <c r="CN67" s="6">
        <v>0</v>
      </c>
      <c r="CO67" s="6">
        <v>15</v>
      </c>
      <c r="CP67" s="6">
        <v>0</v>
      </c>
      <c r="CQ67" s="6">
        <v>16</v>
      </c>
      <c r="CR67" s="6">
        <v>0</v>
      </c>
      <c r="CS67" s="6">
        <v>18</v>
      </c>
      <c r="CT67" s="6">
        <v>21.648900000000001</v>
      </c>
      <c r="CU67" s="6">
        <v>12</v>
      </c>
      <c r="CV67" s="6">
        <v>0</v>
      </c>
      <c r="CW67" s="6">
        <v>12</v>
      </c>
      <c r="CX67" s="6">
        <v>0</v>
      </c>
      <c r="CY67" s="6">
        <v>15</v>
      </c>
      <c r="CZ67" s="6">
        <v>0</v>
      </c>
      <c r="DA67" s="6">
        <v>18</v>
      </c>
      <c r="DB67" s="6">
        <v>0</v>
      </c>
      <c r="DC67" s="6">
        <v>18</v>
      </c>
      <c r="DD67" s="6">
        <v>10.5474</v>
      </c>
      <c r="DE67" s="6">
        <f>CHOOSE(MATCH(Setup!$B$5,{8,10,12,14,16},0)+(MATCH(Setup!$B$7,{"STD","Half-PPR","PPR"},0)-1)*5,CA67,CC67,CE67,CG67,CI67,CK67,CM67,CO67,CQ67,CS67,CU67,CW67,CY67,DA67,DC67)</f>
        <v>15</v>
      </c>
      <c r="DF67" s="6">
        <f>CHOOSE(MATCH(Setup!$B$5,{8,10,12,14,16},0)+(MATCH(Setup!$B$7,{"STD","Half-PPR","PPR"},0)-1)*5,CB67,CD67,CF67,CH67,CJ67,CL67,CN67,CP67,CR67,CT67,CV67,CX67,CZ67,DB67,DD67)</f>
        <v>0</v>
      </c>
      <c r="DG67" s="6">
        <f>ROUND(1+DF67*'Live Calc'!$D$11,0)</f>
        <v>1</v>
      </c>
      <c r="DH67" s="6"/>
      <c r="DI67" s="6">
        <f>IF(DH67&lt;&gt;"",DH67,ROUND(DG67*INDEX('Live Calc'!$D$50:$D$70,MATCH(DE67,'Live Calc'!$A$50:$A$70,0))*'Live Calc'!$J$89,0))</f>
        <v>1</v>
      </c>
      <c r="DK67" s="7" t="s">
        <v>330</v>
      </c>
      <c r="DL67" s="7" t="s">
        <v>95</v>
      </c>
      <c r="DM67" s="7">
        <v>8</v>
      </c>
      <c r="DN67" s="7">
        <v>0</v>
      </c>
      <c r="DO67" s="7">
        <v>9</v>
      </c>
      <c r="DP67" s="7">
        <v>0</v>
      </c>
      <c r="DQ67" s="7">
        <v>10</v>
      </c>
      <c r="DR67" s="7">
        <v>0</v>
      </c>
      <c r="DS67" s="7">
        <v>11</v>
      </c>
      <c r="DT67" s="7">
        <v>0</v>
      </c>
      <c r="DU67" s="7">
        <v>12</v>
      </c>
      <c r="DV67" s="7">
        <v>0</v>
      </c>
      <c r="DW67" s="7">
        <v>6</v>
      </c>
      <c r="DX67" s="7">
        <v>0</v>
      </c>
      <c r="DY67" s="7">
        <v>9</v>
      </c>
      <c r="DZ67" s="7">
        <v>0</v>
      </c>
      <c r="EA67" s="7">
        <v>9</v>
      </c>
      <c r="EB67" s="7">
        <v>0</v>
      </c>
      <c r="EC67" s="7">
        <v>11</v>
      </c>
      <c r="ED67" s="7">
        <v>0</v>
      </c>
      <c r="EE67" s="7">
        <v>12</v>
      </c>
      <c r="EF67" s="7">
        <v>0</v>
      </c>
      <c r="EG67" s="7">
        <v>5</v>
      </c>
      <c r="EH67" s="7">
        <v>0</v>
      </c>
      <c r="EI67" s="7">
        <v>6</v>
      </c>
      <c r="EJ67" s="7">
        <v>0</v>
      </c>
      <c r="EK67" s="7">
        <v>7</v>
      </c>
      <c r="EL67" s="7">
        <v>0</v>
      </c>
      <c r="EM67" s="7">
        <v>10</v>
      </c>
      <c r="EN67" s="7">
        <v>0</v>
      </c>
      <c r="EO67" s="7">
        <v>11</v>
      </c>
      <c r="EP67" s="7">
        <v>0</v>
      </c>
      <c r="EQ67" s="7">
        <f>CHOOSE(MATCH(Setup!$B$5,{8,10,12,14,16},0)+(MATCH(Setup!$B$7,{"STD","Half-PPR","PPR"},0)-1)*5,DM67,DO67,DQ67,DS67,DU67,DW67,DY67,EA67,EC67,EE67,EG67,EI67,EK67,EM67,EO67)</f>
        <v>9</v>
      </c>
      <c r="ER67" s="7">
        <f>CHOOSE(MATCH(Setup!$B$5,{8,10,12,14,16},0)+(MATCH(Setup!$B$7,{"STD","Half-PPR","PPR"},0)-1)*5,DN67,DP67,DR67,DT67,DV67,DX67,DZ67,EB67,ED67,EF67,EH67,EJ67,EL67,EN67,EP67)</f>
        <v>0</v>
      </c>
      <c r="ES67" s="7">
        <f>ROUND(1+ER67*'Live Calc'!$D$12,0)</f>
        <v>1</v>
      </c>
      <c r="ET67" s="7"/>
      <c r="EU67" s="7">
        <f>IF(ET67&lt;&gt;"",ET67,ROUND(ES67*INDEX('Live Calc'!$D$74:$D$85,MATCH(EQ67,'Live Calc'!$A$74:$A$85,0))*'Live Calc'!$J$89,0))</f>
        <v>1</v>
      </c>
    </row>
    <row r="68" spans="39:151" x14ac:dyDescent="0.25">
      <c r="AM68" s="5" t="s">
        <v>331</v>
      </c>
      <c r="AN68" s="5" t="s">
        <v>95</v>
      </c>
      <c r="AO68" s="5">
        <v>9</v>
      </c>
      <c r="AP68" s="5">
        <v>0</v>
      </c>
      <c r="AQ68" s="5">
        <v>10</v>
      </c>
      <c r="AR68" s="5">
        <v>0</v>
      </c>
      <c r="AS68" s="5">
        <v>14</v>
      </c>
      <c r="AT68" s="5">
        <v>0</v>
      </c>
      <c r="AU68" s="5">
        <v>16</v>
      </c>
      <c r="AV68" s="5">
        <v>0</v>
      </c>
      <c r="AW68" s="5">
        <v>16</v>
      </c>
      <c r="AX68" s="5">
        <v>0</v>
      </c>
      <c r="AY68" s="5">
        <v>9</v>
      </c>
      <c r="AZ68" s="5">
        <v>0</v>
      </c>
      <c r="BA68" s="5">
        <v>11</v>
      </c>
      <c r="BB68" s="5">
        <v>0</v>
      </c>
      <c r="BC68" s="5">
        <v>13</v>
      </c>
      <c r="BD68" s="5">
        <v>0</v>
      </c>
      <c r="BE68" s="5">
        <v>17</v>
      </c>
      <c r="BF68" s="5">
        <v>0</v>
      </c>
      <c r="BG68" s="5">
        <v>17</v>
      </c>
      <c r="BH68" s="5">
        <v>0</v>
      </c>
      <c r="BI68" s="5">
        <v>11</v>
      </c>
      <c r="BJ68" s="5">
        <v>0</v>
      </c>
      <c r="BK68" s="5">
        <v>13</v>
      </c>
      <c r="BL68" s="5">
        <v>0</v>
      </c>
      <c r="BM68" s="5">
        <v>15</v>
      </c>
      <c r="BN68" s="5">
        <v>0</v>
      </c>
      <c r="BO68" s="5">
        <v>17</v>
      </c>
      <c r="BP68" s="5">
        <v>0</v>
      </c>
      <c r="BQ68" s="5">
        <v>18</v>
      </c>
      <c r="BR68" s="5">
        <v>0</v>
      </c>
      <c r="BS68" s="5">
        <f>CHOOSE(MATCH(Setup!$B$5,{8,10,12,14,16},0)+(MATCH(Setup!$B$7,{"STD","Half-PPR","PPR"},0)-1)*5,AO68,AQ68,AS68,AU68,AW68,AY68,BA68,BC68,BE68,BG68,BI68,BK68,BM68,BO68,BQ68)</f>
        <v>13</v>
      </c>
      <c r="BT68" s="5">
        <f>CHOOSE(MATCH(Setup!$B$5,{8,10,12,14,16},0)+(MATCH(Setup!$B$7,{"STD","Half-PPR","PPR"},0)-1)*5,AP68,AR68,AT68,AV68,AX68,AZ68,BB68,BD68,BF68,BH68,BJ68,BL68,BN68,BP68,BR68)</f>
        <v>0</v>
      </c>
      <c r="BU68" s="5">
        <f>ROUND(1+BT68*'Live Calc'!$D$10,0)</f>
        <v>1</v>
      </c>
      <c r="BV68" s="5"/>
      <c r="BW68" s="5">
        <f>IF(BV68&lt;&gt;"",BV68,ROUND(BU68*INDEX('Live Calc'!$D$29:$D$46,MATCH(BS68,'Live Calc'!$A$29:$A$46,0))*'Live Calc'!$J$89,0))</f>
        <v>1</v>
      </c>
      <c r="BY68" s="6" t="s">
        <v>332</v>
      </c>
      <c r="BZ68" s="6" t="s">
        <v>70</v>
      </c>
      <c r="CA68" s="6">
        <v>14</v>
      </c>
      <c r="CB68" s="6">
        <v>0</v>
      </c>
      <c r="CC68" s="6">
        <v>17</v>
      </c>
      <c r="CD68" s="6">
        <v>0</v>
      </c>
      <c r="CE68" s="6">
        <v>20</v>
      </c>
      <c r="CF68" s="6">
        <v>0</v>
      </c>
      <c r="CG68" s="6">
        <v>19</v>
      </c>
      <c r="CH68" s="6">
        <v>0</v>
      </c>
      <c r="CI68" s="6">
        <v>19</v>
      </c>
      <c r="CJ68" s="6">
        <v>7.7823000000000002</v>
      </c>
      <c r="CK68" s="6">
        <v>10</v>
      </c>
      <c r="CL68" s="6">
        <v>0</v>
      </c>
      <c r="CM68" s="6">
        <v>15</v>
      </c>
      <c r="CN68" s="6">
        <v>0</v>
      </c>
      <c r="CO68" s="6">
        <v>15</v>
      </c>
      <c r="CP68" s="6">
        <v>0</v>
      </c>
      <c r="CQ68" s="6">
        <v>16</v>
      </c>
      <c r="CR68" s="6">
        <v>0</v>
      </c>
      <c r="CS68" s="6">
        <v>18</v>
      </c>
      <c r="CT68" s="6">
        <v>18.029499999999999</v>
      </c>
      <c r="CU68" s="6">
        <v>12</v>
      </c>
      <c r="CV68" s="6">
        <v>0</v>
      </c>
      <c r="CW68" s="6">
        <v>12</v>
      </c>
      <c r="CX68" s="6">
        <v>0</v>
      </c>
      <c r="CY68" s="6">
        <v>15</v>
      </c>
      <c r="CZ68" s="6">
        <v>0</v>
      </c>
      <c r="DA68" s="6">
        <v>18</v>
      </c>
      <c r="DB68" s="6">
        <v>0</v>
      </c>
      <c r="DC68" s="6">
        <v>18</v>
      </c>
      <c r="DD68" s="6">
        <v>8.0851000000000006</v>
      </c>
      <c r="DE68" s="6">
        <f>CHOOSE(MATCH(Setup!$B$5,{8,10,12,14,16},0)+(MATCH(Setup!$B$7,{"STD","Half-PPR","PPR"},0)-1)*5,CA68,CC68,CE68,CG68,CI68,CK68,CM68,CO68,CQ68,CS68,CU68,CW68,CY68,DA68,DC68)</f>
        <v>15</v>
      </c>
      <c r="DF68" s="6">
        <f>CHOOSE(MATCH(Setup!$B$5,{8,10,12,14,16},0)+(MATCH(Setup!$B$7,{"STD","Half-PPR","PPR"},0)-1)*5,CB68,CD68,CF68,CH68,CJ68,CL68,CN68,CP68,CR68,CT68,CV68,CX68,CZ68,DB68,DD68)</f>
        <v>0</v>
      </c>
      <c r="DG68" s="6">
        <f>ROUND(1+DF68*'Live Calc'!$D$11,0)</f>
        <v>1</v>
      </c>
      <c r="DH68" s="6"/>
      <c r="DI68" s="6">
        <f>IF(DH68&lt;&gt;"",DH68,ROUND(DG68*INDEX('Live Calc'!$D$50:$D$70,MATCH(DE68,'Live Calc'!$A$50:$A$70,0))*'Live Calc'!$J$89,0))</f>
        <v>1</v>
      </c>
      <c r="DK68" s="7" t="s">
        <v>333</v>
      </c>
      <c r="DL68" s="7" t="s">
        <v>117</v>
      </c>
      <c r="DM68" s="7">
        <v>8</v>
      </c>
      <c r="DN68" s="7">
        <v>0</v>
      </c>
      <c r="DO68" s="7">
        <v>9</v>
      </c>
      <c r="DP68" s="7">
        <v>0</v>
      </c>
      <c r="DQ68" s="7">
        <v>10</v>
      </c>
      <c r="DR68" s="7">
        <v>0</v>
      </c>
      <c r="DS68" s="7">
        <v>11</v>
      </c>
      <c r="DT68" s="7">
        <v>0</v>
      </c>
      <c r="DU68" s="7">
        <v>12</v>
      </c>
      <c r="DV68" s="7">
        <v>0</v>
      </c>
      <c r="DW68" s="7">
        <v>6</v>
      </c>
      <c r="DX68" s="7">
        <v>0</v>
      </c>
      <c r="DY68" s="7">
        <v>9</v>
      </c>
      <c r="DZ68" s="7">
        <v>0</v>
      </c>
      <c r="EA68" s="7">
        <v>9</v>
      </c>
      <c r="EB68" s="7">
        <v>0</v>
      </c>
      <c r="EC68" s="7">
        <v>11</v>
      </c>
      <c r="ED68" s="7">
        <v>0</v>
      </c>
      <c r="EE68" s="7">
        <v>12</v>
      </c>
      <c r="EF68" s="7">
        <v>0</v>
      </c>
      <c r="EG68" s="7">
        <v>5</v>
      </c>
      <c r="EH68" s="7">
        <v>0</v>
      </c>
      <c r="EI68" s="7">
        <v>6</v>
      </c>
      <c r="EJ68" s="7">
        <v>0</v>
      </c>
      <c r="EK68" s="7">
        <v>7</v>
      </c>
      <c r="EL68" s="7">
        <v>0</v>
      </c>
      <c r="EM68" s="7">
        <v>10</v>
      </c>
      <c r="EN68" s="7">
        <v>0</v>
      </c>
      <c r="EO68" s="7">
        <v>11</v>
      </c>
      <c r="EP68" s="7">
        <v>0</v>
      </c>
      <c r="EQ68" s="7">
        <f>CHOOSE(MATCH(Setup!$B$5,{8,10,12,14,16},0)+(MATCH(Setup!$B$7,{"STD","Half-PPR","PPR"},0)-1)*5,DM68,DO68,DQ68,DS68,DU68,DW68,DY68,EA68,EC68,EE68,EG68,EI68,EK68,EM68,EO68)</f>
        <v>9</v>
      </c>
      <c r="ER68" s="7">
        <f>CHOOSE(MATCH(Setup!$B$5,{8,10,12,14,16},0)+(MATCH(Setup!$B$7,{"STD","Half-PPR","PPR"},0)-1)*5,DN68,DP68,DR68,DT68,DV68,DX68,DZ68,EB68,ED68,EF68,EH68,EJ68,EL68,EN68,EP68)</f>
        <v>0</v>
      </c>
      <c r="ES68" s="7">
        <f>ROUND(1+ER68*'Live Calc'!$D$12,0)</f>
        <v>1</v>
      </c>
      <c r="ET68" s="7"/>
      <c r="EU68" s="7">
        <f>IF(ET68&lt;&gt;"",ET68,ROUND(ES68*INDEX('Live Calc'!$D$74:$D$85,MATCH(EQ68,'Live Calc'!$A$74:$A$85,0))*'Live Calc'!$J$89,0))</f>
        <v>1</v>
      </c>
    </row>
    <row r="69" spans="39:151" x14ac:dyDescent="0.25">
      <c r="AM69" s="5" t="s">
        <v>334</v>
      </c>
      <c r="AN69" s="5" t="s">
        <v>52</v>
      </c>
      <c r="AO69" s="5">
        <v>9</v>
      </c>
      <c r="AP69" s="5">
        <v>0</v>
      </c>
      <c r="AQ69" s="5">
        <v>10</v>
      </c>
      <c r="AR69" s="5">
        <v>0</v>
      </c>
      <c r="AS69" s="5">
        <v>14</v>
      </c>
      <c r="AT69" s="5">
        <v>0</v>
      </c>
      <c r="AU69" s="5">
        <v>16</v>
      </c>
      <c r="AV69" s="5">
        <v>0</v>
      </c>
      <c r="AW69" s="5">
        <v>16</v>
      </c>
      <c r="AX69" s="5">
        <v>0</v>
      </c>
      <c r="AY69" s="5">
        <v>9</v>
      </c>
      <c r="AZ69" s="5">
        <v>0</v>
      </c>
      <c r="BA69" s="5">
        <v>11</v>
      </c>
      <c r="BB69" s="5">
        <v>0</v>
      </c>
      <c r="BC69" s="5">
        <v>13</v>
      </c>
      <c r="BD69" s="5">
        <v>0</v>
      </c>
      <c r="BE69" s="5">
        <v>17</v>
      </c>
      <c r="BF69" s="5">
        <v>0</v>
      </c>
      <c r="BG69" s="5">
        <v>17</v>
      </c>
      <c r="BH69" s="5">
        <v>0</v>
      </c>
      <c r="BI69" s="5">
        <v>11</v>
      </c>
      <c r="BJ69" s="5">
        <v>0</v>
      </c>
      <c r="BK69" s="5">
        <v>13</v>
      </c>
      <c r="BL69" s="5">
        <v>0</v>
      </c>
      <c r="BM69" s="5">
        <v>15</v>
      </c>
      <c r="BN69" s="5">
        <v>0</v>
      </c>
      <c r="BO69" s="5">
        <v>17</v>
      </c>
      <c r="BP69" s="5">
        <v>0</v>
      </c>
      <c r="BQ69" s="5">
        <v>18</v>
      </c>
      <c r="BR69" s="5">
        <v>0</v>
      </c>
      <c r="BS69" s="5">
        <f>CHOOSE(MATCH(Setup!$B$5,{8,10,12,14,16},0)+(MATCH(Setup!$B$7,{"STD","Half-PPR","PPR"},0)-1)*5,AO69,AQ69,AS69,AU69,AW69,AY69,BA69,BC69,BE69,BG69,BI69,BK69,BM69,BO69,BQ69)</f>
        <v>13</v>
      </c>
      <c r="BT69" s="5">
        <f>CHOOSE(MATCH(Setup!$B$5,{8,10,12,14,16},0)+(MATCH(Setup!$B$7,{"STD","Half-PPR","PPR"},0)-1)*5,AP69,AR69,AT69,AV69,AX69,AZ69,BB69,BD69,BF69,BH69,BJ69,BL69,BN69,BP69,BR69)</f>
        <v>0</v>
      </c>
      <c r="BU69" s="5">
        <f>ROUND(1+BT69*'Live Calc'!$D$10,0)</f>
        <v>1</v>
      </c>
      <c r="BV69" s="5"/>
      <c r="BW69" s="5">
        <f>IF(BV69&lt;&gt;"",BV69,ROUND(BU69*INDEX('Live Calc'!$D$29:$D$46,MATCH(BS69,'Live Calc'!$A$29:$A$46,0))*'Live Calc'!$J$89,0))</f>
        <v>1</v>
      </c>
      <c r="BY69" s="6" t="s">
        <v>335</v>
      </c>
      <c r="BZ69" s="6" t="s">
        <v>127</v>
      </c>
      <c r="CA69" s="6">
        <v>14</v>
      </c>
      <c r="CB69" s="6">
        <v>0</v>
      </c>
      <c r="CC69" s="6">
        <v>17</v>
      </c>
      <c r="CD69" s="6">
        <v>0</v>
      </c>
      <c r="CE69" s="6">
        <v>20</v>
      </c>
      <c r="CF69" s="6">
        <v>0</v>
      </c>
      <c r="CG69" s="6">
        <v>19</v>
      </c>
      <c r="CH69" s="6">
        <v>0</v>
      </c>
      <c r="CI69" s="6">
        <v>20</v>
      </c>
      <c r="CJ69" s="6">
        <v>3.1206999999999998</v>
      </c>
      <c r="CK69" s="6">
        <v>10</v>
      </c>
      <c r="CL69" s="6">
        <v>0</v>
      </c>
      <c r="CM69" s="6">
        <v>15</v>
      </c>
      <c r="CN69" s="6">
        <v>0</v>
      </c>
      <c r="CO69" s="6">
        <v>15</v>
      </c>
      <c r="CP69" s="6">
        <v>0</v>
      </c>
      <c r="CQ69" s="6">
        <v>16</v>
      </c>
      <c r="CR69" s="6">
        <v>0</v>
      </c>
      <c r="CS69" s="6">
        <v>19</v>
      </c>
      <c r="CT69" s="6">
        <v>10.693</v>
      </c>
      <c r="CU69" s="6">
        <v>12</v>
      </c>
      <c r="CV69" s="6">
        <v>0</v>
      </c>
      <c r="CW69" s="6">
        <v>12</v>
      </c>
      <c r="CX69" s="6">
        <v>0</v>
      </c>
      <c r="CY69" s="6">
        <v>15</v>
      </c>
      <c r="CZ69" s="6">
        <v>0</v>
      </c>
      <c r="DA69" s="6">
        <v>18</v>
      </c>
      <c r="DB69" s="6">
        <v>0</v>
      </c>
      <c r="DC69" s="6">
        <v>19</v>
      </c>
      <c r="DD69" s="6">
        <v>0.84060000000000001</v>
      </c>
      <c r="DE69" s="6">
        <f>CHOOSE(MATCH(Setup!$B$5,{8,10,12,14,16},0)+(MATCH(Setup!$B$7,{"STD","Half-PPR","PPR"},0)-1)*5,CA69,CC69,CE69,CG69,CI69,CK69,CM69,CO69,CQ69,CS69,CU69,CW69,CY69,DA69,DC69)</f>
        <v>15</v>
      </c>
      <c r="DF69" s="6">
        <f>CHOOSE(MATCH(Setup!$B$5,{8,10,12,14,16},0)+(MATCH(Setup!$B$7,{"STD","Half-PPR","PPR"},0)-1)*5,CB69,CD69,CF69,CH69,CJ69,CL69,CN69,CP69,CR69,CT69,CV69,CX69,CZ69,DB69,DD69)</f>
        <v>0</v>
      </c>
      <c r="DG69" s="6">
        <f>ROUND(1+DF69*'Live Calc'!$D$11,0)</f>
        <v>1</v>
      </c>
      <c r="DH69" s="6"/>
      <c r="DI69" s="6">
        <f>IF(DH69&lt;&gt;"",DH69,ROUND(DG69*INDEX('Live Calc'!$D$50:$D$70,MATCH(DE69,'Live Calc'!$A$50:$A$70,0))*'Live Calc'!$J$89,0))</f>
        <v>1</v>
      </c>
      <c r="DK69" s="7" t="s">
        <v>336</v>
      </c>
      <c r="DL69" s="7" t="s">
        <v>52</v>
      </c>
      <c r="DM69" s="7">
        <v>8</v>
      </c>
      <c r="DN69" s="7">
        <v>0</v>
      </c>
      <c r="DO69" s="7">
        <v>9</v>
      </c>
      <c r="DP69" s="7">
        <v>0</v>
      </c>
      <c r="DQ69" s="7">
        <v>10</v>
      </c>
      <c r="DR69" s="7">
        <v>0</v>
      </c>
      <c r="DS69" s="7">
        <v>11</v>
      </c>
      <c r="DT69" s="7">
        <v>0</v>
      </c>
      <c r="DU69" s="7">
        <v>12</v>
      </c>
      <c r="DV69" s="7">
        <v>0</v>
      </c>
      <c r="DW69" s="7">
        <v>6</v>
      </c>
      <c r="DX69" s="7">
        <v>0</v>
      </c>
      <c r="DY69" s="7">
        <v>9</v>
      </c>
      <c r="DZ69" s="7">
        <v>0</v>
      </c>
      <c r="EA69" s="7">
        <v>9</v>
      </c>
      <c r="EB69" s="7">
        <v>0</v>
      </c>
      <c r="EC69" s="7">
        <v>11</v>
      </c>
      <c r="ED69" s="7">
        <v>0</v>
      </c>
      <c r="EE69" s="7">
        <v>12</v>
      </c>
      <c r="EF69" s="7">
        <v>0</v>
      </c>
      <c r="EG69" s="7">
        <v>5</v>
      </c>
      <c r="EH69" s="7">
        <v>0</v>
      </c>
      <c r="EI69" s="7">
        <v>6</v>
      </c>
      <c r="EJ69" s="7">
        <v>0</v>
      </c>
      <c r="EK69" s="7">
        <v>7</v>
      </c>
      <c r="EL69" s="7">
        <v>0</v>
      </c>
      <c r="EM69" s="7">
        <v>10</v>
      </c>
      <c r="EN69" s="7">
        <v>0</v>
      </c>
      <c r="EO69" s="7">
        <v>11</v>
      </c>
      <c r="EP69" s="7">
        <v>0</v>
      </c>
      <c r="EQ69" s="7">
        <f>CHOOSE(MATCH(Setup!$B$5,{8,10,12,14,16},0)+(MATCH(Setup!$B$7,{"STD","Half-PPR","PPR"},0)-1)*5,DM69,DO69,DQ69,DS69,DU69,DW69,DY69,EA69,EC69,EE69,EG69,EI69,EK69,EM69,EO69)</f>
        <v>9</v>
      </c>
      <c r="ER69" s="7">
        <f>CHOOSE(MATCH(Setup!$B$5,{8,10,12,14,16},0)+(MATCH(Setup!$B$7,{"STD","Half-PPR","PPR"},0)-1)*5,DN69,DP69,DR69,DT69,DV69,DX69,DZ69,EB69,ED69,EF69,EH69,EJ69,EL69,EN69,EP69)</f>
        <v>0</v>
      </c>
      <c r="ES69" s="7">
        <f>ROUND(1+ER69*'Live Calc'!$D$12,0)</f>
        <v>1</v>
      </c>
      <c r="ET69" s="7"/>
      <c r="EU69" s="7">
        <f>IF(ET69&lt;&gt;"",ET69,ROUND(ES69*INDEX('Live Calc'!$D$74:$D$85,MATCH(EQ69,'Live Calc'!$A$74:$A$85,0))*'Live Calc'!$J$89,0))</f>
        <v>1</v>
      </c>
    </row>
    <row r="70" spans="39:151" x14ac:dyDescent="0.25">
      <c r="AM70" s="5" t="s">
        <v>337</v>
      </c>
      <c r="AN70" s="5" t="s">
        <v>86</v>
      </c>
      <c r="AO70" s="5">
        <v>9</v>
      </c>
      <c r="AP70" s="5">
        <v>0</v>
      </c>
      <c r="AQ70" s="5">
        <v>10</v>
      </c>
      <c r="AR70" s="5">
        <v>0</v>
      </c>
      <c r="AS70" s="5">
        <v>14</v>
      </c>
      <c r="AT70" s="5">
        <v>0</v>
      </c>
      <c r="AU70" s="5">
        <v>16</v>
      </c>
      <c r="AV70" s="5">
        <v>0</v>
      </c>
      <c r="AW70" s="5">
        <v>16</v>
      </c>
      <c r="AX70" s="5">
        <v>0</v>
      </c>
      <c r="AY70" s="5">
        <v>9</v>
      </c>
      <c r="AZ70" s="5">
        <v>0</v>
      </c>
      <c r="BA70" s="5">
        <v>11</v>
      </c>
      <c r="BB70" s="5">
        <v>0</v>
      </c>
      <c r="BC70" s="5">
        <v>13</v>
      </c>
      <c r="BD70" s="5">
        <v>0</v>
      </c>
      <c r="BE70" s="5">
        <v>17</v>
      </c>
      <c r="BF70" s="5">
        <v>0</v>
      </c>
      <c r="BG70" s="5">
        <v>17</v>
      </c>
      <c r="BH70" s="5">
        <v>0</v>
      </c>
      <c r="BI70" s="5">
        <v>11</v>
      </c>
      <c r="BJ70" s="5">
        <v>0</v>
      </c>
      <c r="BK70" s="5">
        <v>13</v>
      </c>
      <c r="BL70" s="5">
        <v>0</v>
      </c>
      <c r="BM70" s="5">
        <v>15</v>
      </c>
      <c r="BN70" s="5">
        <v>0</v>
      </c>
      <c r="BO70" s="5">
        <v>17</v>
      </c>
      <c r="BP70" s="5">
        <v>0</v>
      </c>
      <c r="BQ70" s="5">
        <v>18</v>
      </c>
      <c r="BR70" s="5">
        <v>0</v>
      </c>
      <c r="BS70" s="5">
        <f>CHOOSE(MATCH(Setup!$B$5,{8,10,12,14,16},0)+(MATCH(Setup!$B$7,{"STD","Half-PPR","PPR"},0)-1)*5,AO70,AQ70,AS70,AU70,AW70,AY70,BA70,BC70,BE70,BG70,BI70,BK70,BM70,BO70,BQ70)</f>
        <v>13</v>
      </c>
      <c r="BT70" s="5">
        <f>CHOOSE(MATCH(Setup!$B$5,{8,10,12,14,16},0)+(MATCH(Setup!$B$7,{"STD","Half-PPR","PPR"},0)-1)*5,AP70,AR70,AT70,AV70,AX70,AZ70,BB70,BD70,BF70,BH70,BJ70,BL70,BN70,BP70,BR70)</f>
        <v>0</v>
      </c>
      <c r="BU70" s="5">
        <f>ROUND(1+BT70*'Live Calc'!$D$10,0)</f>
        <v>1</v>
      </c>
      <c r="BV70" s="5"/>
      <c r="BW70" s="5">
        <f>IF(BV70&lt;&gt;"",BV70,ROUND(BU70*INDEX('Live Calc'!$D$29:$D$46,MATCH(BS70,'Live Calc'!$A$29:$A$46,0))*'Live Calc'!$J$89,0))</f>
        <v>1</v>
      </c>
      <c r="BY70" s="6" t="s">
        <v>338</v>
      </c>
      <c r="BZ70" s="6" t="s">
        <v>79</v>
      </c>
      <c r="CA70" s="6">
        <v>14</v>
      </c>
      <c r="CB70" s="6">
        <v>0</v>
      </c>
      <c r="CC70" s="6">
        <v>17</v>
      </c>
      <c r="CD70" s="6">
        <v>0</v>
      </c>
      <c r="CE70" s="6">
        <v>20</v>
      </c>
      <c r="CF70" s="6">
        <v>0</v>
      </c>
      <c r="CG70" s="6">
        <v>19</v>
      </c>
      <c r="CH70" s="6">
        <v>0</v>
      </c>
      <c r="CI70" s="6">
        <v>20</v>
      </c>
      <c r="CJ70" s="6">
        <v>1.8716999999999999</v>
      </c>
      <c r="CK70" s="6">
        <v>10</v>
      </c>
      <c r="CL70" s="6">
        <v>0</v>
      </c>
      <c r="CM70" s="6">
        <v>15</v>
      </c>
      <c r="CN70" s="6">
        <v>0</v>
      </c>
      <c r="CO70" s="6">
        <v>15</v>
      </c>
      <c r="CP70" s="6">
        <v>0</v>
      </c>
      <c r="CQ70" s="6">
        <v>16</v>
      </c>
      <c r="CR70" s="6">
        <v>0</v>
      </c>
      <c r="CS70" s="6">
        <v>19</v>
      </c>
      <c r="CT70" s="6">
        <v>10.0191</v>
      </c>
      <c r="CU70" s="6">
        <v>12</v>
      </c>
      <c r="CV70" s="6">
        <v>0</v>
      </c>
      <c r="CW70" s="6">
        <v>12</v>
      </c>
      <c r="CX70" s="6">
        <v>0</v>
      </c>
      <c r="CY70" s="6">
        <v>15</v>
      </c>
      <c r="CZ70" s="6">
        <v>0</v>
      </c>
      <c r="DA70" s="6">
        <v>18</v>
      </c>
      <c r="DB70" s="6">
        <v>0</v>
      </c>
      <c r="DC70" s="6">
        <v>20</v>
      </c>
      <c r="DD70" s="6">
        <v>0</v>
      </c>
      <c r="DE70" s="6">
        <f>CHOOSE(MATCH(Setup!$B$5,{8,10,12,14,16},0)+(MATCH(Setup!$B$7,{"STD","Half-PPR","PPR"},0)-1)*5,CA70,CC70,CE70,CG70,CI70,CK70,CM70,CO70,CQ70,CS70,CU70,CW70,CY70,DA70,DC70)</f>
        <v>15</v>
      </c>
      <c r="DF70" s="6">
        <f>CHOOSE(MATCH(Setup!$B$5,{8,10,12,14,16},0)+(MATCH(Setup!$B$7,{"STD","Half-PPR","PPR"},0)-1)*5,CB70,CD70,CF70,CH70,CJ70,CL70,CN70,CP70,CR70,CT70,CV70,CX70,CZ70,DB70,DD70)</f>
        <v>0</v>
      </c>
      <c r="DG70" s="6">
        <f>ROUND(1+DF70*'Live Calc'!$D$11,0)</f>
        <v>1</v>
      </c>
      <c r="DH70" s="6"/>
      <c r="DI70" s="6">
        <f>IF(DH70&lt;&gt;"",DH70,ROUND(DG70*INDEX('Live Calc'!$D$50:$D$70,MATCH(DE70,'Live Calc'!$A$50:$A$70,0))*'Live Calc'!$J$89,0))</f>
        <v>1</v>
      </c>
      <c r="DK70" s="7" t="s">
        <v>339</v>
      </c>
      <c r="DL70" s="7" t="s">
        <v>70</v>
      </c>
      <c r="DM70" s="7">
        <v>8</v>
      </c>
      <c r="DN70" s="7">
        <v>0</v>
      </c>
      <c r="DO70" s="7">
        <v>9</v>
      </c>
      <c r="DP70" s="7">
        <v>0</v>
      </c>
      <c r="DQ70" s="7">
        <v>10</v>
      </c>
      <c r="DR70" s="7">
        <v>0</v>
      </c>
      <c r="DS70" s="7">
        <v>11</v>
      </c>
      <c r="DT70" s="7">
        <v>0</v>
      </c>
      <c r="DU70" s="7">
        <v>12</v>
      </c>
      <c r="DV70" s="7">
        <v>0</v>
      </c>
      <c r="DW70" s="7">
        <v>6</v>
      </c>
      <c r="DX70" s="7">
        <v>0</v>
      </c>
      <c r="DY70" s="7">
        <v>9</v>
      </c>
      <c r="DZ70" s="7">
        <v>0</v>
      </c>
      <c r="EA70" s="7">
        <v>9</v>
      </c>
      <c r="EB70" s="7">
        <v>0</v>
      </c>
      <c r="EC70" s="7">
        <v>11</v>
      </c>
      <c r="ED70" s="7">
        <v>0</v>
      </c>
      <c r="EE70" s="7">
        <v>12</v>
      </c>
      <c r="EF70" s="7">
        <v>0</v>
      </c>
      <c r="EG70" s="7">
        <v>5</v>
      </c>
      <c r="EH70" s="7">
        <v>0</v>
      </c>
      <c r="EI70" s="7">
        <v>6</v>
      </c>
      <c r="EJ70" s="7">
        <v>0</v>
      </c>
      <c r="EK70" s="7">
        <v>7</v>
      </c>
      <c r="EL70" s="7">
        <v>0</v>
      </c>
      <c r="EM70" s="7">
        <v>10</v>
      </c>
      <c r="EN70" s="7">
        <v>0</v>
      </c>
      <c r="EO70" s="7">
        <v>11</v>
      </c>
      <c r="EP70" s="7">
        <v>0</v>
      </c>
      <c r="EQ70" s="7">
        <f>CHOOSE(MATCH(Setup!$B$5,{8,10,12,14,16},0)+(MATCH(Setup!$B$7,{"STD","Half-PPR","PPR"},0)-1)*5,DM70,DO70,DQ70,DS70,DU70,DW70,DY70,EA70,EC70,EE70,EG70,EI70,EK70,EM70,EO70)</f>
        <v>9</v>
      </c>
      <c r="ER70" s="7">
        <f>CHOOSE(MATCH(Setup!$B$5,{8,10,12,14,16},0)+(MATCH(Setup!$B$7,{"STD","Half-PPR","PPR"},0)-1)*5,DN70,DP70,DR70,DT70,DV70,DX70,DZ70,EB70,ED70,EF70,EH70,EJ70,EL70,EN70,EP70)</f>
        <v>0</v>
      </c>
      <c r="ES70" s="7">
        <f>ROUND(1+ER70*'Live Calc'!$D$12,0)</f>
        <v>1</v>
      </c>
      <c r="ET70" s="7"/>
      <c r="EU70" s="7">
        <f>IF(ET70&lt;&gt;"",ET70,ROUND(ES70*INDEX('Live Calc'!$D$74:$D$85,MATCH(EQ70,'Live Calc'!$A$74:$A$85,0))*'Live Calc'!$J$89,0))</f>
        <v>1</v>
      </c>
    </row>
    <row r="71" spans="39:151" x14ac:dyDescent="0.25">
      <c r="AM71" s="5" t="s">
        <v>340</v>
      </c>
      <c r="AN71" s="5" t="s">
        <v>72</v>
      </c>
      <c r="AO71" s="5">
        <v>9</v>
      </c>
      <c r="AP71" s="5">
        <v>0</v>
      </c>
      <c r="AQ71" s="5">
        <v>10</v>
      </c>
      <c r="AR71" s="5">
        <v>0</v>
      </c>
      <c r="AS71" s="5">
        <v>14</v>
      </c>
      <c r="AT71" s="5">
        <v>0</v>
      </c>
      <c r="AU71" s="5">
        <v>16</v>
      </c>
      <c r="AV71" s="5">
        <v>0</v>
      </c>
      <c r="AW71" s="5">
        <v>16</v>
      </c>
      <c r="AX71" s="5">
        <v>0</v>
      </c>
      <c r="AY71" s="5">
        <v>9</v>
      </c>
      <c r="AZ71" s="5">
        <v>0</v>
      </c>
      <c r="BA71" s="5">
        <v>11</v>
      </c>
      <c r="BB71" s="5">
        <v>0</v>
      </c>
      <c r="BC71" s="5">
        <v>13</v>
      </c>
      <c r="BD71" s="5">
        <v>0</v>
      </c>
      <c r="BE71" s="5">
        <v>17</v>
      </c>
      <c r="BF71" s="5">
        <v>0</v>
      </c>
      <c r="BG71" s="5">
        <v>17</v>
      </c>
      <c r="BH71" s="5">
        <v>0</v>
      </c>
      <c r="BI71" s="5">
        <v>11</v>
      </c>
      <c r="BJ71" s="5">
        <v>0</v>
      </c>
      <c r="BK71" s="5">
        <v>13</v>
      </c>
      <c r="BL71" s="5">
        <v>0</v>
      </c>
      <c r="BM71" s="5">
        <v>15</v>
      </c>
      <c r="BN71" s="5">
        <v>0</v>
      </c>
      <c r="BO71" s="5">
        <v>17</v>
      </c>
      <c r="BP71" s="5">
        <v>0</v>
      </c>
      <c r="BQ71" s="5">
        <v>18</v>
      </c>
      <c r="BR71" s="5">
        <v>0</v>
      </c>
      <c r="BS71" s="5">
        <f>CHOOSE(MATCH(Setup!$B$5,{8,10,12,14,16},0)+(MATCH(Setup!$B$7,{"STD","Half-PPR","PPR"},0)-1)*5,AO71,AQ71,AS71,AU71,AW71,AY71,BA71,BC71,BE71,BG71,BI71,BK71,BM71,BO71,BQ71)</f>
        <v>13</v>
      </c>
      <c r="BT71" s="5">
        <f>CHOOSE(MATCH(Setup!$B$5,{8,10,12,14,16},0)+(MATCH(Setup!$B$7,{"STD","Half-PPR","PPR"},0)-1)*5,AP71,AR71,AT71,AV71,AX71,AZ71,BB71,BD71,BF71,BH71,BJ71,BL71,BN71,BP71,BR71)</f>
        <v>0</v>
      </c>
      <c r="BU71" s="5">
        <f>ROUND(1+BT71*'Live Calc'!$D$10,0)</f>
        <v>1</v>
      </c>
      <c r="BV71" s="5"/>
      <c r="BW71" s="5">
        <f>IF(BV71&lt;&gt;"",BV71,ROUND(BU71*INDEX('Live Calc'!$D$29:$D$46,MATCH(BS71,'Live Calc'!$A$29:$A$46,0))*'Live Calc'!$J$89,0))</f>
        <v>1</v>
      </c>
      <c r="BY71" s="6" t="s">
        <v>341</v>
      </c>
      <c r="BZ71" s="6" t="s">
        <v>175</v>
      </c>
      <c r="CA71" s="6">
        <v>14</v>
      </c>
      <c r="CB71" s="6">
        <v>0</v>
      </c>
      <c r="CC71" s="6">
        <v>17</v>
      </c>
      <c r="CD71" s="6">
        <v>0</v>
      </c>
      <c r="CE71" s="6">
        <v>20</v>
      </c>
      <c r="CF71" s="6">
        <v>0</v>
      </c>
      <c r="CG71" s="6">
        <v>19</v>
      </c>
      <c r="CH71" s="6">
        <v>0</v>
      </c>
      <c r="CI71" s="6">
        <v>21</v>
      </c>
      <c r="CJ71" s="6">
        <v>0</v>
      </c>
      <c r="CK71" s="6">
        <v>10</v>
      </c>
      <c r="CL71" s="6">
        <v>0</v>
      </c>
      <c r="CM71" s="6">
        <v>15</v>
      </c>
      <c r="CN71" s="6">
        <v>0</v>
      </c>
      <c r="CO71" s="6">
        <v>15</v>
      </c>
      <c r="CP71" s="6">
        <v>0</v>
      </c>
      <c r="CQ71" s="6">
        <v>16</v>
      </c>
      <c r="CR71" s="6">
        <v>0</v>
      </c>
      <c r="CS71" s="6">
        <v>19</v>
      </c>
      <c r="CT71" s="6">
        <v>7.4572000000000003</v>
      </c>
      <c r="CU71" s="6">
        <v>12</v>
      </c>
      <c r="CV71" s="6">
        <v>0</v>
      </c>
      <c r="CW71" s="6">
        <v>12</v>
      </c>
      <c r="CX71" s="6">
        <v>0</v>
      </c>
      <c r="CY71" s="6">
        <v>15</v>
      </c>
      <c r="CZ71" s="6">
        <v>0</v>
      </c>
      <c r="DA71" s="6">
        <v>18</v>
      </c>
      <c r="DB71" s="6">
        <v>0</v>
      </c>
      <c r="DC71" s="6">
        <v>20</v>
      </c>
      <c r="DD71" s="6">
        <v>0</v>
      </c>
      <c r="DE71" s="6">
        <f>CHOOSE(MATCH(Setup!$B$5,{8,10,12,14,16},0)+(MATCH(Setup!$B$7,{"STD","Half-PPR","PPR"},0)-1)*5,CA71,CC71,CE71,CG71,CI71,CK71,CM71,CO71,CQ71,CS71,CU71,CW71,CY71,DA71,DC71)</f>
        <v>15</v>
      </c>
      <c r="DF71" s="6">
        <f>CHOOSE(MATCH(Setup!$B$5,{8,10,12,14,16},0)+(MATCH(Setup!$B$7,{"STD","Half-PPR","PPR"},0)-1)*5,CB71,CD71,CF71,CH71,CJ71,CL71,CN71,CP71,CR71,CT71,CV71,CX71,CZ71,DB71,DD71)</f>
        <v>0</v>
      </c>
      <c r="DG71" s="6">
        <f>ROUND(1+DF71*'Live Calc'!$D$11,0)</f>
        <v>1</v>
      </c>
      <c r="DH71" s="6"/>
      <c r="DI71" s="6">
        <f>IF(DH71&lt;&gt;"",DH71,ROUND(DG71*INDEX('Live Calc'!$D$50:$D$70,MATCH(DE71,'Live Calc'!$A$50:$A$70,0))*'Live Calc'!$J$89,0))</f>
        <v>1</v>
      </c>
      <c r="DK71" s="7" t="s">
        <v>342</v>
      </c>
      <c r="DL71" s="7" t="s">
        <v>104</v>
      </c>
      <c r="DM71" s="7">
        <v>8</v>
      </c>
      <c r="DN71" s="7">
        <v>0</v>
      </c>
      <c r="DO71" s="7">
        <v>9</v>
      </c>
      <c r="DP71" s="7">
        <v>0</v>
      </c>
      <c r="DQ71" s="7">
        <v>10</v>
      </c>
      <c r="DR71" s="7">
        <v>0</v>
      </c>
      <c r="DS71" s="7">
        <v>11</v>
      </c>
      <c r="DT71" s="7">
        <v>0</v>
      </c>
      <c r="DU71" s="7">
        <v>12</v>
      </c>
      <c r="DV71" s="7">
        <v>0</v>
      </c>
      <c r="DW71" s="7">
        <v>6</v>
      </c>
      <c r="DX71" s="7">
        <v>0</v>
      </c>
      <c r="DY71" s="7">
        <v>9</v>
      </c>
      <c r="DZ71" s="7">
        <v>0</v>
      </c>
      <c r="EA71" s="7">
        <v>9</v>
      </c>
      <c r="EB71" s="7">
        <v>0</v>
      </c>
      <c r="EC71" s="7">
        <v>11</v>
      </c>
      <c r="ED71" s="7">
        <v>0</v>
      </c>
      <c r="EE71" s="7">
        <v>12</v>
      </c>
      <c r="EF71" s="7">
        <v>0</v>
      </c>
      <c r="EG71" s="7">
        <v>5</v>
      </c>
      <c r="EH71" s="7">
        <v>0</v>
      </c>
      <c r="EI71" s="7">
        <v>6</v>
      </c>
      <c r="EJ71" s="7">
        <v>0</v>
      </c>
      <c r="EK71" s="7">
        <v>7</v>
      </c>
      <c r="EL71" s="7">
        <v>0</v>
      </c>
      <c r="EM71" s="7">
        <v>10</v>
      </c>
      <c r="EN71" s="7">
        <v>0</v>
      </c>
      <c r="EO71" s="7">
        <v>11</v>
      </c>
      <c r="EP71" s="7">
        <v>0</v>
      </c>
      <c r="EQ71" s="7">
        <f>CHOOSE(MATCH(Setup!$B$5,{8,10,12,14,16},0)+(MATCH(Setup!$B$7,{"STD","Half-PPR","PPR"},0)-1)*5,DM71,DO71,DQ71,DS71,DU71,DW71,DY71,EA71,EC71,EE71,EG71,EI71,EK71,EM71,EO71)</f>
        <v>9</v>
      </c>
      <c r="ER71" s="7">
        <f>CHOOSE(MATCH(Setup!$B$5,{8,10,12,14,16},0)+(MATCH(Setup!$B$7,{"STD","Half-PPR","PPR"},0)-1)*5,DN71,DP71,DR71,DT71,DV71,DX71,DZ71,EB71,ED71,EF71,EH71,EJ71,EL71,EN71,EP71)</f>
        <v>0</v>
      </c>
      <c r="ES71" s="7">
        <f>ROUND(1+ER71*'Live Calc'!$D$12,0)</f>
        <v>1</v>
      </c>
      <c r="ET71" s="7"/>
      <c r="EU71" s="7">
        <f>IF(ET71&lt;&gt;"",ET71,ROUND(ES71*INDEX('Live Calc'!$D$74:$D$85,MATCH(EQ71,'Live Calc'!$A$74:$A$85,0))*'Live Calc'!$J$89,0))</f>
        <v>1</v>
      </c>
    </row>
    <row r="72" spans="39:151" x14ac:dyDescent="0.25">
      <c r="AM72" s="5" t="s">
        <v>343</v>
      </c>
      <c r="AN72" s="5" t="s">
        <v>79</v>
      </c>
      <c r="AO72" s="5">
        <v>9</v>
      </c>
      <c r="AP72" s="5">
        <v>0</v>
      </c>
      <c r="AQ72" s="5">
        <v>10</v>
      </c>
      <c r="AR72" s="5">
        <v>0</v>
      </c>
      <c r="AS72" s="5">
        <v>14</v>
      </c>
      <c r="AT72" s="5">
        <v>0</v>
      </c>
      <c r="AU72" s="5">
        <v>16</v>
      </c>
      <c r="AV72" s="5">
        <v>0</v>
      </c>
      <c r="AW72" s="5">
        <v>16</v>
      </c>
      <c r="AX72" s="5">
        <v>0</v>
      </c>
      <c r="AY72" s="5">
        <v>9</v>
      </c>
      <c r="AZ72" s="5">
        <v>0</v>
      </c>
      <c r="BA72" s="5">
        <v>11</v>
      </c>
      <c r="BB72" s="5">
        <v>0</v>
      </c>
      <c r="BC72" s="5">
        <v>13</v>
      </c>
      <c r="BD72" s="5">
        <v>0</v>
      </c>
      <c r="BE72" s="5">
        <v>17</v>
      </c>
      <c r="BF72" s="5">
        <v>0</v>
      </c>
      <c r="BG72" s="5">
        <v>17</v>
      </c>
      <c r="BH72" s="5">
        <v>0</v>
      </c>
      <c r="BI72" s="5">
        <v>11</v>
      </c>
      <c r="BJ72" s="5">
        <v>0</v>
      </c>
      <c r="BK72" s="5">
        <v>13</v>
      </c>
      <c r="BL72" s="5">
        <v>0</v>
      </c>
      <c r="BM72" s="5">
        <v>15</v>
      </c>
      <c r="BN72" s="5">
        <v>0</v>
      </c>
      <c r="BO72" s="5">
        <v>17</v>
      </c>
      <c r="BP72" s="5">
        <v>0</v>
      </c>
      <c r="BQ72" s="5">
        <v>18</v>
      </c>
      <c r="BR72" s="5">
        <v>0</v>
      </c>
      <c r="BS72" s="5">
        <f>CHOOSE(MATCH(Setup!$B$5,{8,10,12,14,16},0)+(MATCH(Setup!$B$7,{"STD","Half-PPR","PPR"},0)-1)*5,AO72,AQ72,AS72,AU72,AW72,AY72,BA72,BC72,BE72,BG72,BI72,BK72,BM72,BO72,BQ72)</f>
        <v>13</v>
      </c>
      <c r="BT72" s="5">
        <f>CHOOSE(MATCH(Setup!$B$5,{8,10,12,14,16},0)+(MATCH(Setup!$B$7,{"STD","Half-PPR","PPR"},0)-1)*5,AP72,AR72,AT72,AV72,AX72,AZ72,BB72,BD72,BF72,BH72,BJ72,BL72,BN72,BP72,BR72)</f>
        <v>0</v>
      </c>
      <c r="BU72" s="5">
        <f>ROUND(1+BT72*'Live Calc'!$D$10,0)</f>
        <v>1</v>
      </c>
      <c r="BV72" s="5"/>
      <c r="BW72" s="5">
        <f>IF(BV72&lt;&gt;"",BV72,ROUND(BU72*INDEX('Live Calc'!$D$29:$D$46,MATCH(BS72,'Live Calc'!$A$29:$A$46,0))*'Live Calc'!$J$89,0))</f>
        <v>1</v>
      </c>
      <c r="BY72" s="6" t="s">
        <v>344</v>
      </c>
      <c r="BZ72" s="6" t="s">
        <v>72</v>
      </c>
      <c r="CA72" s="6">
        <v>14</v>
      </c>
      <c r="CB72" s="6">
        <v>0</v>
      </c>
      <c r="CC72" s="6">
        <v>17</v>
      </c>
      <c r="CD72" s="6">
        <v>0</v>
      </c>
      <c r="CE72" s="6">
        <v>20</v>
      </c>
      <c r="CF72" s="6">
        <v>0</v>
      </c>
      <c r="CG72" s="6">
        <v>19</v>
      </c>
      <c r="CH72" s="6">
        <v>0</v>
      </c>
      <c r="CI72" s="6">
        <v>21</v>
      </c>
      <c r="CJ72" s="6">
        <v>0</v>
      </c>
      <c r="CK72" s="6">
        <v>10</v>
      </c>
      <c r="CL72" s="6">
        <v>0</v>
      </c>
      <c r="CM72" s="6">
        <v>15</v>
      </c>
      <c r="CN72" s="6">
        <v>0</v>
      </c>
      <c r="CO72" s="6">
        <v>15</v>
      </c>
      <c r="CP72" s="6">
        <v>0</v>
      </c>
      <c r="CQ72" s="6">
        <v>16</v>
      </c>
      <c r="CR72" s="6">
        <v>0</v>
      </c>
      <c r="CS72" s="6">
        <v>19</v>
      </c>
      <c r="CT72" s="6">
        <v>6.1112000000000002</v>
      </c>
      <c r="CU72" s="6">
        <v>12</v>
      </c>
      <c r="CV72" s="6">
        <v>0</v>
      </c>
      <c r="CW72" s="6">
        <v>12</v>
      </c>
      <c r="CX72" s="6">
        <v>0</v>
      </c>
      <c r="CY72" s="6">
        <v>15</v>
      </c>
      <c r="CZ72" s="6">
        <v>0</v>
      </c>
      <c r="DA72" s="6">
        <v>18</v>
      </c>
      <c r="DB72" s="6">
        <v>0</v>
      </c>
      <c r="DC72" s="6">
        <v>19</v>
      </c>
      <c r="DD72" s="6">
        <v>1.9599999999999999E-2</v>
      </c>
      <c r="DE72" s="6">
        <f>CHOOSE(MATCH(Setup!$B$5,{8,10,12,14,16},0)+(MATCH(Setup!$B$7,{"STD","Half-PPR","PPR"},0)-1)*5,CA72,CC72,CE72,CG72,CI72,CK72,CM72,CO72,CQ72,CS72,CU72,CW72,CY72,DA72,DC72)</f>
        <v>15</v>
      </c>
      <c r="DF72" s="6">
        <f>CHOOSE(MATCH(Setup!$B$5,{8,10,12,14,16},0)+(MATCH(Setup!$B$7,{"STD","Half-PPR","PPR"},0)-1)*5,CB72,CD72,CF72,CH72,CJ72,CL72,CN72,CP72,CR72,CT72,CV72,CX72,CZ72,DB72,DD72)</f>
        <v>0</v>
      </c>
      <c r="DG72" s="6">
        <f>ROUND(1+DF72*'Live Calc'!$D$11,0)</f>
        <v>1</v>
      </c>
      <c r="DH72" s="6"/>
      <c r="DI72" s="6">
        <f>IF(DH72&lt;&gt;"",DH72,ROUND(DG72*INDEX('Live Calc'!$D$50:$D$70,MATCH(DE72,'Live Calc'!$A$50:$A$70,0))*'Live Calc'!$J$89,0))</f>
        <v>1</v>
      </c>
      <c r="DK72" s="7" t="s">
        <v>345</v>
      </c>
      <c r="DL72" s="7" t="s">
        <v>46</v>
      </c>
      <c r="DM72" s="7">
        <v>8</v>
      </c>
      <c r="DN72" s="7">
        <v>0</v>
      </c>
      <c r="DO72" s="7">
        <v>9</v>
      </c>
      <c r="DP72" s="7">
        <v>0</v>
      </c>
      <c r="DQ72" s="7">
        <v>10</v>
      </c>
      <c r="DR72" s="7">
        <v>0</v>
      </c>
      <c r="DS72" s="7">
        <v>11</v>
      </c>
      <c r="DT72" s="7">
        <v>0</v>
      </c>
      <c r="DU72" s="7">
        <v>12</v>
      </c>
      <c r="DV72" s="7">
        <v>0</v>
      </c>
      <c r="DW72" s="7">
        <v>6</v>
      </c>
      <c r="DX72" s="7">
        <v>0</v>
      </c>
      <c r="DY72" s="7">
        <v>9</v>
      </c>
      <c r="DZ72" s="7">
        <v>0</v>
      </c>
      <c r="EA72" s="7">
        <v>9</v>
      </c>
      <c r="EB72" s="7">
        <v>0</v>
      </c>
      <c r="EC72" s="7">
        <v>11</v>
      </c>
      <c r="ED72" s="7">
        <v>0</v>
      </c>
      <c r="EE72" s="7">
        <v>12</v>
      </c>
      <c r="EF72" s="7">
        <v>0</v>
      </c>
      <c r="EG72" s="7">
        <v>5</v>
      </c>
      <c r="EH72" s="7">
        <v>0</v>
      </c>
      <c r="EI72" s="7">
        <v>6</v>
      </c>
      <c r="EJ72" s="7">
        <v>0</v>
      </c>
      <c r="EK72" s="7">
        <v>7</v>
      </c>
      <c r="EL72" s="7">
        <v>0</v>
      </c>
      <c r="EM72" s="7">
        <v>10</v>
      </c>
      <c r="EN72" s="7">
        <v>0</v>
      </c>
      <c r="EO72" s="7">
        <v>11</v>
      </c>
      <c r="EP72" s="7">
        <v>0</v>
      </c>
      <c r="EQ72" s="7">
        <f>CHOOSE(MATCH(Setup!$B$5,{8,10,12,14,16},0)+(MATCH(Setup!$B$7,{"STD","Half-PPR","PPR"},0)-1)*5,DM72,DO72,DQ72,DS72,DU72,DW72,DY72,EA72,EC72,EE72,EG72,EI72,EK72,EM72,EO72)</f>
        <v>9</v>
      </c>
      <c r="ER72" s="7">
        <f>CHOOSE(MATCH(Setup!$B$5,{8,10,12,14,16},0)+(MATCH(Setup!$B$7,{"STD","Half-PPR","PPR"},0)-1)*5,DN72,DP72,DR72,DT72,DV72,DX72,DZ72,EB72,ED72,EF72,EH72,EJ72,EL72,EN72,EP72)</f>
        <v>0</v>
      </c>
      <c r="ES72" s="7">
        <f>ROUND(1+ER72*'Live Calc'!$D$12,0)</f>
        <v>1</v>
      </c>
      <c r="ET72" s="7"/>
      <c r="EU72" s="7">
        <f>IF(ET72&lt;&gt;"",ET72,ROUND(ES72*INDEX('Live Calc'!$D$74:$D$85,MATCH(EQ72,'Live Calc'!$A$74:$A$85,0))*'Live Calc'!$J$89,0))</f>
        <v>1</v>
      </c>
    </row>
    <row r="73" spans="39:151" x14ac:dyDescent="0.25">
      <c r="AM73" s="5" t="s">
        <v>346</v>
      </c>
      <c r="AN73" s="5" t="s">
        <v>177</v>
      </c>
      <c r="AO73" s="5">
        <v>9</v>
      </c>
      <c r="AP73" s="5">
        <v>0</v>
      </c>
      <c r="AQ73" s="5">
        <v>10</v>
      </c>
      <c r="AR73" s="5">
        <v>0</v>
      </c>
      <c r="AS73" s="5">
        <v>14</v>
      </c>
      <c r="AT73" s="5">
        <v>0</v>
      </c>
      <c r="AU73" s="5">
        <v>16</v>
      </c>
      <c r="AV73" s="5">
        <v>0</v>
      </c>
      <c r="AW73" s="5">
        <v>16</v>
      </c>
      <c r="AX73" s="5">
        <v>0</v>
      </c>
      <c r="AY73" s="5">
        <v>9</v>
      </c>
      <c r="AZ73" s="5">
        <v>0</v>
      </c>
      <c r="BA73" s="5">
        <v>11</v>
      </c>
      <c r="BB73" s="5">
        <v>0</v>
      </c>
      <c r="BC73" s="5">
        <v>13</v>
      </c>
      <c r="BD73" s="5">
        <v>0</v>
      </c>
      <c r="BE73" s="5">
        <v>17</v>
      </c>
      <c r="BF73" s="5">
        <v>0</v>
      </c>
      <c r="BG73" s="5">
        <v>17</v>
      </c>
      <c r="BH73" s="5">
        <v>0</v>
      </c>
      <c r="BI73" s="5">
        <v>11</v>
      </c>
      <c r="BJ73" s="5">
        <v>0</v>
      </c>
      <c r="BK73" s="5">
        <v>13</v>
      </c>
      <c r="BL73" s="5">
        <v>0</v>
      </c>
      <c r="BM73" s="5">
        <v>15</v>
      </c>
      <c r="BN73" s="5">
        <v>0</v>
      </c>
      <c r="BO73" s="5">
        <v>17</v>
      </c>
      <c r="BP73" s="5">
        <v>0</v>
      </c>
      <c r="BQ73" s="5">
        <v>18</v>
      </c>
      <c r="BR73" s="5">
        <v>0</v>
      </c>
      <c r="BS73" s="5">
        <f>CHOOSE(MATCH(Setup!$B$5,{8,10,12,14,16},0)+(MATCH(Setup!$B$7,{"STD","Half-PPR","PPR"},0)-1)*5,AO73,AQ73,AS73,AU73,AW73,AY73,BA73,BC73,BE73,BG73,BI73,BK73,BM73,BO73,BQ73)</f>
        <v>13</v>
      </c>
      <c r="BT73" s="5">
        <f>CHOOSE(MATCH(Setup!$B$5,{8,10,12,14,16},0)+(MATCH(Setup!$B$7,{"STD","Half-PPR","PPR"},0)-1)*5,AP73,AR73,AT73,AV73,AX73,AZ73,BB73,BD73,BF73,BH73,BJ73,BL73,BN73,BP73,BR73)</f>
        <v>0</v>
      </c>
      <c r="BU73" s="5">
        <f>ROUND(1+BT73*'Live Calc'!$D$10,0)</f>
        <v>1</v>
      </c>
      <c r="BV73" s="5"/>
      <c r="BW73" s="5">
        <f>IF(BV73&lt;&gt;"",BV73,ROUND(BU73*INDEX('Live Calc'!$D$29:$D$46,MATCH(BS73,'Live Calc'!$A$29:$A$46,0))*'Live Calc'!$J$89,0))</f>
        <v>1</v>
      </c>
      <c r="BY73" s="6" t="s">
        <v>347</v>
      </c>
      <c r="BZ73" s="6" t="s">
        <v>95</v>
      </c>
      <c r="CA73" s="6">
        <v>14</v>
      </c>
      <c r="CB73" s="6">
        <v>0</v>
      </c>
      <c r="CC73" s="6">
        <v>17</v>
      </c>
      <c r="CD73" s="6">
        <v>0</v>
      </c>
      <c r="CE73" s="6">
        <v>20</v>
      </c>
      <c r="CF73" s="6">
        <v>0</v>
      </c>
      <c r="CG73" s="6">
        <v>19</v>
      </c>
      <c r="CH73" s="6">
        <v>0</v>
      </c>
      <c r="CI73" s="6">
        <v>21</v>
      </c>
      <c r="CJ73" s="6">
        <v>0</v>
      </c>
      <c r="CK73" s="6">
        <v>10</v>
      </c>
      <c r="CL73" s="6">
        <v>0</v>
      </c>
      <c r="CM73" s="6">
        <v>15</v>
      </c>
      <c r="CN73" s="6">
        <v>0</v>
      </c>
      <c r="CO73" s="6">
        <v>15</v>
      </c>
      <c r="CP73" s="6">
        <v>0</v>
      </c>
      <c r="CQ73" s="6">
        <v>16</v>
      </c>
      <c r="CR73" s="6">
        <v>0</v>
      </c>
      <c r="CS73" s="6">
        <v>19</v>
      </c>
      <c r="CT73" s="6">
        <v>2.8631000000000002</v>
      </c>
      <c r="CU73" s="6">
        <v>12</v>
      </c>
      <c r="CV73" s="6">
        <v>0</v>
      </c>
      <c r="CW73" s="6">
        <v>12</v>
      </c>
      <c r="CX73" s="6">
        <v>0</v>
      </c>
      <c r="CY73" s="6">
        <v>15</v>
      </c>
      <c r="CZ73" s="6">
        <v>0</v>
      </c>
      <c r="DA73" s="6">
        <v>18</v>
      </c>
      <c r="DB73" s="6">
        <v>0</v>
      </c>
      <c r="DC73" s="6">
        <v>20</v>
      </c>
      <c r="DD73" s="6">
        <v>0</v>
      </c>
      <c r="DE73" s="6">
        <f>CHOOSE(MATCH(Setup!$B$5,{8,10,12,14,16},0)+(MATCH(Setup!$B$7,{"STD","Half-PPR","PPR"},0)-1)*5,CA73,CC73,CE73,CG73,CI73,CK73,CM73,CO73,CQ73,CS73,CU73,CW73,CY73,DA73,DC73)</f>
        <v>15</v>
      </c>
      <c r="DF73" s="6">
        <f>CHOOSE(MATCH(Setup!$B$5,{8,10,12,14,16},0)+(MATCH(Setup!$B$7,{"STD","Half-PPR","PPR"},0)-1)*5,CB73,CD73,CF73,CH73,CJ73,CL73,CN73,CP73,CR73,CT73,CV73,CX73,CZ73,DB73,DD73)</f>
        <v>0</v>
      </c>
      <c r="DG73" s="6">
        <f>ROUND(1+DF73*'Live Calc'!$D$11,0)</f>
        <v>1</v>
      </c>
      <c r="DH73" s="6"/>
      <c r="DI73" s="6">
        <f>IF(DH73&lt;&gt;"",DH73,ROUND(DG73*INDEX('Live Calc'!$D$50:$D$70,MATCH(DE73,'Live Calc'!$A$50:$A$70,0))*'Live Calc'!$J$89,0))</f>
        <v>1</v>
      </c>
      <c r="DK73" s="7" t="s">
        <v>348</v>
      </c>
      <c r="DL73" s="7" t="s">
        <v>50</v>
      </c>
      <c r="DM73" s="7">
        <v>8</v>
      </c>
      <c r="DN73" s="7">
        <v>0</v>
      </c>
      <c r="DO73" s="7">
        <v>9</v>
      </c>
      <c r="DP73" s="7">
        <v>0</v>
      </c>
      <c r="DQ73" s="7">
        <v>10</v>
      </c>
      <c r="DR73" s="7">
        <v>0</v>
      </c>
      <c r="DS73" s="7">
        <v>11</v>
      </c>
      <c r="DT73" s="7">
        <v>0</v>
      </c>
      <c r="DU73" s="7">
        <v>12</v>
      </c>
      <c r="DV73" s="7">
        <v>0</v>
      </c>
      <c r="DW73" s="7">
        <v>6</v>
      </c>
      <c r="DX73" s="7">
        <v>0</v>
      </c>
      <c r="DY73" s="7">
        <v>9</v>
      </c>
      <c r="DZ73" s="7">
        <v>0</v>
      </c>
      <c r="EA73" s="7">
        <v>9</v>
      </c>
      <c r="EB73" s="7">
        <v>0</v>
      </c>
      <c r="EC73" s="7">
        <v>11</v>
      </c>
      <c r="ED73" s="7">
        <v>0</v>
      </c>
      <c r="EE73" s="7">
        <v>12</v>
      </c>
      <c r="EF73" s="7">
        <v>0</v>
      </c>
      <c r="EG73" s="7">
        <v>5</v>
      </c>
      <c r="EH73" s="7">
        <v>0</v>
      </c>
      <c r="EI73" s="7">
        <v>6</v>
      </c>
      <c r="EJ73" s="7">
        <v>0</v>
      </c>
      <c r="EK73" s="7">
        <v>7</v>
      </c>
      <c r="EL73" s="7">
        <v>0</v>
      </c>
      <c r="EM73" s="7">
        <v>10</v>
      </c>
      <c r="EN73" s="7">
        <v>0</v>
      </c>
      <c r="EO73" s="7">
        <v>11</v>
      </c>
      <c r="EP73" s="7">
        <v>0</v>
      </c>
      <c r="EQ73" s="7">
        <f>CHOOSE(MATCH(Setup!$B$5,{8,10,12,14,16},0)+(MATCH(Setup!$B$7,{"STD","Half-PPR","PPR"},0)-1)*5,DM73,DO73,DQ73,DS73,DU73,DW73,DY73,EA73,EC73,EE73,EG73,EI73,EK73,EM73,EO73)</f>
        <v>9</v>
      </c>
      <c r="ER73" s="7">
        <f>CHOOSE(MATCH(Setup!$B$5,{8,10,12,14,16},0)+(MATCH(Setup!$B$7,{"STD","Half-PPR","PPR"},0)-1)*5,DN73,DP73,DR73,DT73,DV73,DX73,DZ73,EB73,ED73,EF73,EH73,EJ73,EL73,EN73,EP73)</f>
        <v>0</v>
      </c>
      <c r="ES73" s="7">
        <f>ROUND(1+ER73*'Live Calc'!$D$12,0)</f>
        <v>1</v>
      </c>
      <c r="ET73" s="7"/>
      <c r="EU73" s="7">
        <f>IF(ET73&lt;&gt;"",ET73,ROUND(ES73*INDEX('Live Calc'!$D$74:$D$85,MATCH(EQ73,'Live Calc'!$A$74:$A$85,0))*'Live Calc'!$J$89,0))</f>
        <v>1</v>
      </c>
    </row>
    <row r="74" spans="39:151" x14ac:dyDescent="0.25">
      <c r="AM74" s="5" t="s">
        <v>349</v>
      </c>
      <c r="AN74" s="5" t="s">
        <v>86</v>
      </c>
      <c r="AO74" s="5">
        <v>9</v>
      </c>
      <c r="AP74" s="5">
        <v>0</v>
      </c>
      <c r="AQ74" s="5">
        <v>10</v>
      </c>
      <c r="AR74" s="5">
        <v>0</v>
      </c>
      <c r="AS74" s="5">
        <v>14</v>
      </c>
      <c r="AT74" s="5">
        <v>0</v>
      </c>
      <c r="AU74" s="5">
        <v>16</v>
      </c>
      <c r="AV74" s="5">
        <v>0</v>
      </c>
      <c r="AW74" s="5">
        <v>16</v>
      </c>
      <c r="AX74" s="5">
        <v>0</v>
      </c>
      <c r="AY74" s="5">
        <v>9</v>
      </c>
      <c r="AZ74" s="5">
        <v>0</v>
      </c>
      <c r="BA74" s="5">
        <v>11</v>
      </c>
      <c r="BB74" s="5">
        <v>0</v>
      </c>
      <c r="BC74" s="5">
        <v>13</v>
      </c>
      <c r="BD74" s="5">
        <v>0</v>
      </c>
      <c r="BE74" s="5">
        <v>17</v>
      </c>
      <c r="BF74" s="5">
        <v>0</v>
      </c>
      <c r="BG74" s="5">
        <v>17</v>
      </c>
      <c r="BH74" s="5">
        <v>0</v>
      </c>
      <c r="BI74" s="5">
        <v>11</v>
      </c>
      <c r="BJ74" s="5">
        <v>0</v>
      </c>
      <c r="BK74" s="5">
        <v>13</v>
      </c>
      <c r="BL74" s="5">
        <v>0</v>
      </c>
      <c r="BM74" s="5">
        <v>15</v>
      </c>
      <c r="BN74" s="5">
        <v>0</v>
      </c>
      <c r="BO74" s="5">
        <v>17</v>
      </c>
      <c r="BP74" s="5">
        <v>0</v>
      </c>
      <c r="BQ74" s="5">
        <v>18</v>
      </c>
      <c r="BR74" s="5">
        <v>0</v>
      </c>
      <c r="BS74" s="5">
        <f>CHOOSE(MATCH(Setup!$B$5,{8,10,12,14,16},0)+(MATCH(Setup!$B$7,{"STD","Half-PPR","PPR"},0)-1)*5,AO74,AQ74,AS74,AU74,AW74,AY74,BA74,BC74,BE74,BG74,BI74,BK74,BM74,BO74,BQ74)</f>
        <v>13</v>
      </c>
      <c r="BT74" s="5">
        <f>CHOOSE(MATCH(Setup!$B$5,{8,10,12,14,16},0)+(MATCH(Setup!$B$7,{"STD","Half-PPR","PPR"},0)-1)*5,AP74,AR74,AT74,AV74,AX74,AZ74,BB74,BD74,BF74,BH74,BJ74,BL74,BN74,BP74,BR74)</f>
        <v>0</v>
      </c>
      <c r="BU74" s="5">
        <f>ROUND(1+BT74*'Live Calc'!$D$10,0)</f>
        <v>1</v>
      </c>
      <c r="BV74" s="5"/>
      <c r="BW74" s="5">
        <f>IF(BV74&lt;&gt;"",BV74,ROUND(BU74*INDEX('Live Calc'!$D$29:$D$46,MATCH(BS74,'Live Calc'!$A$29:$A$46,0))*'Live Calc'!$J$89,0))</f>
        <v>1</v>
      </c>
      <c r="BY74" s="6" t="s">
        <v>350</v>
      </c>
      <c r="BZ74" s="6" t="s">
        <v>104</v>
      </c>
      <c r="CA74" s="6">
        <v>14</v>
      </c>
      <c r="CB74" s="6">
        <v>0</v>
      </c>
      <c r="CC74" s="6">
        <v>17</v>
      </c>
      <c r="CD74" s="6">
        <v>0</v>
      </c>
      <c r="CE74" s="6">
        <v>20</v>
      </c>
      <c r="CF74" s="6">
        <v>0</v>
      </c>
      <c r="CG74" s="6">
        <v>19</v>
      </c>
      <c r="CH74" s="6">
        <v>0</v>
      </c>
      <c r="CI74" s="6">
        <v>21</v>
      </c>
      <c r="CJ74" s="6">
        <v>0</v>
      </c>
      <c r="CK74" s="6">
        <v>10</v>
      </c>
      <c r="CL74" s="6">
        <v>0</v>
      </c>
      <c r="CM74" s="6">
        <v>15</v>
      </c>
      <c r="CN74" s="6">
        <v>0</v>
      </c>
      <c r="CO74" s="6">
        <v>15</v>
      </c>
      <c r="CP74" s="6">
        <v>0</v>
      </c>
      <c r="CQ74" s="6">
        <v>16</v>
      </c>
      <c r="CR74" s="6">
        <v>0</v>
      </c>
      <c r="CS74" s="6">
        <v>19</v>
      </c>
      <c r="CT74" s="6">
        <v>1.5549999999999999</v>
      </c>
      <c r="CU74" s="6">
        <v>12</v>
      </c>
      <c r="CV74" s="6">
        <v>0</v>
      </c>
      <c r="CW74" s="6">
        <v>12</v>
      </c>
      <c r="CX74" s="6">
        <v>0</v>
      </c>
      <c r="CY74" s="6">
        <v>15</v>
      </c>
      <c r="CZ74" s="6">
        <v>0</v>
      </c>
      <c r="DA74" s="6">
        <v>18</v>
      </c>
      <c r="DB74" s="6">
        <v>0</v>
      </c>
      <c r="DC74" s="6">
        <v>20</v>
      </c>
      <c r="DD74" s="6">
        <v>0</v>
      </c>
      <c r="DE74" s="6">
        <f>CHOOSE(MATCH(Setup!$B$5,{8,10,12,14,16},0)+(MATCH(Setup!$B$7,{"STD","Half-PPR","PPR"},0)-1)*5,CA74,CC74,CE74,CG74,CI74,CK74,CM74,CO74,CQ74,CS74,CU74,CW74,CY74,DA74,DC74)</f>
        <v>15</v>
      </c>
      <c r="DF74" s="6">
        <f>CHOOSE(MATCH(Setup!$B$5,{8,10,12,14,16},0)+(MATCH(Setup!$B$7,{"STD","Half-PPR","PPR"},0)-1)*5,CB74,CD74,CF74,CH74,CJ74,CL74,CN74,CP74,CR74,CT74,CV74,CX74,CZ74,DB74,DD74)</f>
        <v>0</v>
      </c>
      <c r="DG74" s="6">
        <f>ROUND(1+DF74*'Live Calc'!$D$11,0)</f>
        <v>1</v>
      </c>
      <c r="DH74" s="6"/>
      <c r="DI74" s="6">
        <f>IF(DH74&lt;&gt;"",DH74,ROUND(DG74*INDEX('Live Calc'!$D$50:$D$70,MATCH(DE74,'Live Calc'!$A$50:$A$70,0))*'Live Calc'!$J$89,0))</f>
        <v>1</v>
      </c>
      <c r="DK74" s="7" t="s">
        <v>351</v>
      </c>
      <c r="DL74" s="7" t="s">
        <v>253</v>
      </c>
      <c r="DM74" s="7">
        <v>8</v>
      </c>
      <c r="DN74" s="7">
        <v>0</v>
      </c>
      <c r="DO74" s="7">
        <v>9</v>
      </c>
      <c r="DP74" s="7">
        <v>0</v>
      </c>
      <c r="DQ74" s="7">
        <v>10</v>
      </c>
      <c r="DR74" s="7">
        <v>0</v>
      </c>
      <c r="DS74" s="7">
        <v>11</v>
      </c>
      <c r="DT74" s="7">
        <v>0</v>
      </c>
      <c r="DU74" s="7">
        <v>12</v>
      </c>
      <c r="DV74" s="7">
        <v>0</v>
      </c>
      <c r="DW74" s="7">
        <v>6</v>
      </c>
      <c r="DX74" s="7">
        <v>0</v>
      </c>
      <c r="DY74" s="7">
        <v>9</v>
      </c>
      <c r="DZ74" s="7">
        <v>0</v>
      </c>
      <c r="EA74" s="7">
        <v>9</v>
      </c>
      <c r="EB74" s="7">
        <v>0</v>
      </c>
      <c r="EC74" s="7">
        <v>11</v>
      </c>
      <c r="ED74" s="7">
        <v>0</v>
      </c>
      <c r="EE74" s="7">
        <v>12</v>
      </c>
      <c r="EF74" s="7">
        <v>0</v>
      </c>
      <c r="EG74" s="7">
        <v>5</v>
      </c>
      <c r="EH74" s="7">
        <v>0</v>
      </c>
      <c r="EI74" s="7">
        <v>6</v>
      </c>
      <c r="EJ74" s="7">
        <v>0</v>
      </c>
      <c r="EK74" s="7">
        <v>7</v>
      </c>
      <c r="EL74" s="7">
        <v>0</v>
      </c>
      <c r="EM74" s="7">
        <v>10</v>
      </c>
      <c r="EN74" s="7">
        <v>0</v>
      </c>
      <c r="EO74" s="7">
        <v>11</v>
      </c>
      <c r="EP74" s="7">
        <v>0</v>
      </c>
      <c r="EQ74" s="7">
        <f>CHOOSE(MATCH(Setup!$B$5,{8,10,12,14,16},0)+(MATCH(Setup!$B$7,{"STD","Half-PPR","PPR"},0)-1)*5,DM74,DO74,DQ74,DS74,DU74,DW74,DY74,EA74,EC74,EE74,EG74,EI74,EK74,EM74,EO74)</f>
        <v>9</v>
      </c>
      <c r="ER74" s="7">
        <f>CHOOSE(MATCH(Setup!$B$5,{8,10,12,14,16},0)+(MATCH(Setup!$B$7,{"STD","Half-PPR","PPR"},0)-1)*5,DN74,DP74,DR74,DT74,DV74,DX74,DZ74,EB74,ED74,EF74,EH74,EJ74,EL74,EN74,EP74)</f>
        <v>0</v>
      </c>
      <c r="ES74" s="7">
        <f>ROUND(1+ER74*'Live Calc'!$D$12,0)</f>
        <v>1</v>
      </c>
      <c r="ET74" s="7"/>
      <c r="EU74" s="7">
        <f>IF(ET74&lt;&gt;"",ET74,ROUND(ES74*INDEX('Live Calc'!$D$74:$D$85,MATCH(EQ74,'Live Calc'!$A$74:$A$85,0))*'Live Calc'!$J$89,0))</f>
        <v>1</v>
      </c>
    </row>
    <row r="75" spans="39:151" x14ac:dyDescent="0.25">
      <c r="AM75" s="5" t="s">
        <v>352</v>
      </c>
      <c r="AN75" s="5" t="s">
        <v>110</v>
      </c>
      <c r="AO75" s="5">
        <v>9</v>
      </c>
      <c r="AP75" s="5">
        <v>0</v>
      </c>
      <c r="AQ75" s="5">
        <v>10</v>
      </c>
      <c r="AR75" s="5">
        <v>0</v>
      </c>
      <c r="AS75" s="5">
        <v>14</v>
      </c>
      <c r="AT75" s="5">
        <v>0</v>
      </c>
      <c r="AU75" s="5">
        <v>16</v>
      </c>
      <c r="AV75" s="5">
        <v>0</v>
      </c>
      <c r="AW75" s="5">
        <v>16</v>
      </c>
      <c r="AX75" s="5">
        <v>0</v>
      </c>
      <c r="AY75" s="5">
        <v>9</v>
      </c>
      <c r="AZ75" s="5">
        <v>0</v>
      </c>
      <c r="BA75" s="5">
        <v>11</v>
      </c>
      <c r="BB75" s="5">
        <v>0</v>
      </c>
      <c r="BC75" s="5">
        <v>13</v>
      </c>
      <c r="BD75" s="5">
        <v>0</v>
      </c>
      <c r="BE75" s="5">
        <v>17</v>
      </c>
      <c r="BF75" s="5">
        <v>0</v>
      </c>
      <c r="BG75" s="5">
        <v>17</v>
      </c>
      <c r="BH75" s="5">
        <v>0</v>
      </c>
      <c r="BI75" s="5">
        <v>11</v>
      </c>
      <c r="BJ75" s="5">
        <v>0</v>
      </c>
      <c r="BK75" s="5">
        <v>13</v>
      </c>
      <c r="BL75" s="5">
        <v>0</v>
      </c>
      <c r="BM75" s="5">
        <v>15</v>
      </c>
      <c r="BN75" s="5">
        <v>0</v>
      </c>
      <c r="BO75" s="5">
        <v>17</v>
      </c>
      <c r="BP75" s="5">
        <v>0</v>
      </c>
      <c r="BQ75" s="5">
        <v>18</v>
      </c>
      <c r="BR75" s="5">
        <v>0</v>
      </c>
      <c r="BS75" s="5">
        <f>CHOOSE(MATCH(Setup!$B$5,{8,10,12,14,16},0)+(MATCH(Setup!$B$7,{"STD","Half-PPR","PPR"},0)-1)*5,AO75,AQ75,AS75,AU75,AW75,AY75,BA75,BC75,BE75,BG75,BI75,BK75,BM75,BO75,BQ75)</f>
        <v>13</v>
      </c>
      <c r="BT75" s="5">
        <f>CHOOSE(MATCH(Setup!$B$5,{8,10,12,14,16},0)+(MATCH(Setup!$B$7,{"STD","Half-PPR","PPR"},0)-1)*5,AP75,AR75,AT75,AV75,AX75,AZ75,BB75,BD75,BF75,BH75,BJ75,BL75,BN75,BP75,BR75)</f>
        <v>0</v>
      </c>
      <c r="BU75" s="5">
        <f>ROUND(1+BT75*'Live Calc'!$D$10,0)</f>
        <v>1</v>
      </c>
      <c r="BV75" s="5"/>
      <c r="BW75" s="5">
        <f>IF(BV75&lt;&gt;"",BV75,ROUND(BU75*INDEX('Live Calc'!$D$29:$D$46,MATCH(BS75,'Live Calc'!$A$29:$A$46,0))*'Live Calc'!$J$89,0))</f>
        <v>1</v>
      </c>
      <c r="BY75" s="6" t="s">
        <v>353</v>
      </c>
      <c r="BZ75" s="6" t="s">
        <v>62</v>
      </c>
      <c r="CA75" s="6">
        <v>14</v>
      </c>
      <c r="CB75" s="6">
        <v>0</v>
      </c>
      <c r="CC75" s="6">
        <v>17</v>
      </c>
      <c r="CD75" s="6">
        <v>0</v>
      </c>
      <c r="CE75" s="6">
        <v>20</v>
      </c>
      <c r="CF75" s="6">
        <v>0</v>
      </c>
      <c r="CG75" s="6">
        <v>19</v>
      </c>
      <c r="CH75" s="6">
        <v>0</v>
      </c>
      <c r="CI75" s="6">
        <v>21</v>
      </c>
      <c r="CJ75" s="6">
        <v>0</v>
      </c>
      <c r="CK75" s="6">
        <v>10</v>
      </c>
      <c r="CL75" s="6">
        <v>0</v>
      </c>
      <c r="CM75" s="6">
        <v>15</v>
      </c>
      <c r="CN75" s="6">
        <v>0</v>
      </c>
      <c r="CO75" s="6">
        <v>15</v>
      </c>
      <c r="CP75" s="6">
        <v>0</v>
      </c>
      <c r="CQ75" s="6">
        <v>16</v>
      </c>
      <c r="CR75" s="6">
        <v>0</v>
      </c>
      <c r="CS75" s="6">
        <v>19</v>
      </c>
      <c r="CT75" s="6">
        <v>1.3378000000000001</v>
      </c>
      <c r="CU75" s="6">
        <v>12</v>
      </c>
      <c r="CV75" s="6">
        <v>0</v>
      </c>
      <c r="CW75" s="6">
        <v>12</v>
      </c>
      <c r="CX75" s="6">
        <v>0</v>
      </c>
      <c r="CY75" s="6">
        <v>15</v>
      </c>
      <c r="CZ75" s="6">
        <v>0</v>
      </c>
      <c r="DA75" s="6">
        <v>18</v>
      </c>
      <c r="DB75" s="6">
        <v>0</v>
      </c>
      <c r="DC75" s="6">
        <v>20</v>
      </c>
      <c r="DD75" s="6">
        <v>0</v>
      </c>
      <c r="DE75" s="6">
        <f>CHOOSE(MATCH(Setup!$B$5,{8,10,12,14,16},0)+(MATCH(Setup!$B$7,{"STD","Half-PPR","PPR"},0)-1)*5,CA75,CC75,CE75,CG75,CI75,CK75,CM75,CO75,CQ75,CS75,CU75,CW75,CY75,DA75,DC75)</f>
        <v>15</v>
      </c>
      <c r="DF75" s="6">
        <f>CHOOSE(MATCH(Setup!$B$5,{8,10,12,14,16},0)+(MATCH(Setup!$B$7,{"STD","Half-PPR","PPR"},0)-1)*5,CB75,CD75,CF75,CH75,CJ75,CL75,CN75,CP75,CR75,CT75,CV75,CX75,CZ75,DB75,DD75)</f>
        <v>0</v>
      </c>
      <c r="DG75" s="6">
        <f>ROUND(1+DF75*'Live Calc'!$D$11,0)</f>
        <v>1</v>
      </c>
      <c r="DH75" s="6"/>
      <c r="DI75" s="6">
        <f>IF(DH75&lt;&gt;"",DH75,ROUND(DG75*INDEX('Live Calc'!$D$50:$D$70,MATCH(DE75,'Live Calc'!$A$50:$A$70,0))*'Live Calc'!$J$89,0))</f>
        <v>1</v>
      </c>
      <c r="DK75" s="7" t="s">
        <v>354</v>
      </c>
      <c r="DL75" s="7" t="s">
        <v>58</v>
      </c>
      <c r="DM75" s="7">
        <v>8</v>
      </c>
      <c r="DN75" s="7">
        <v>0</v>
      </c>
      <c r="DO75" s="7">
        <v>9</v>
      </c>
      <c r="DP75" s="7">
        <v>0</v>
      </c>
      <c r="DQ75" s="7">
        <v>10</v>
      </c>
      <c r="DR75" s="7">
        <v>0</v>
      </c>
      <c r="DS75" s="7">
        <v>11</v>
      </c>
      <c r="DT75" s="7">
        <v>0</v>
      </c>
      <c r="DU75" s="7">
        <v>12</v>
      </c>
      <c r="DV75" s="7">
        <v>0</v>
      </c>
      <c r="DW75" s="7">
        <v>6</v>
      </c>
      <c r="DX75" s="7">
        <v>0</v>
      </c>
      <c r="DY75" s="7">
        <v>9</v>
      </c>
      <c r="DZ75" s="7">
        <v>0</v>
      </c>
      <c r="EA75" s="7">
        <v>9</v>
      </c>
      <c r="EB75" s="7">
        <v>0</v>
      </c>
      <c r="EC75" s="7">
        <v>11</v>
      </c>
      <c r="ED75" s="7">
        <v>0</v>
      </c>
      <c r="EE75" s="7">
        <v>12</v>
      </c>
      <c r="EF75" s="7">
        <v>0</v>
      </c>
      <c r="EG75" s="7">
        <v>5</v>
      </c>
      <c r="EH75" s="7">
        <v>0</v>
      </c>
      <c r="EI75" s="7">
        <v>6</v>
      </c>
      <c r="EJ75" s="7">
        <v>0</v>
      </c>
      <c r="EK75" s="7">
        <v>7</v>
      </c>
      <c r="EL75" s="7">
        <v>0</v>
      </c>
      <c r="EM75" s="7">
        <v>10</v>
      </c>
      <c r="EN75" s="7">
        <v>0</v>
      </c>
      <c r="EO75" s="7">
        <v>11</v>
      </c>
      <c r="EP75" s="7">
        <v>0</v>
      </c>
      <c r="EQ75" s="7">
        <f>CHOOSE(MATCH(Setup!$B$5,{8,10,12,14,16},0)+(MATCH(Setup!$B$7,{"STD","Half-PPR","PPR"},0)-1)*5,DM75,DO75,DQ75,DS75,DU75,DW75,DY75,EA75,EC75,EE75,EG75,EI75,EK75,EM75,EO75)</f>
        <v>9</v>
      </c>
      <c r="ER75" s="7">
        <f>CHOOSE(MATCH(Setup!$B$5,{8,10,12,14,16},0)+(MATCH(Setup!$B$7,{"STD","Half-PPR","PPR"},0)-1)*5,DN75,DP75,DR75,DT75,DV75,DX75,DZ75,EB75,ED75,EF75,EH75,EJ75,EL75,EN75,EP75)</f>
        <v>0</v>
      </c>
      <c r="ES75" s="7">
        <f>ROUND(1+ER75*'Live Calc'!$D$12,0)</f>
        <v>1</v>
      </c>
      <c r="ET75" s="7"/>
      <c r="EU75" s="7">
        <f>IF(ET75&lt;&gt;"",ET75,ROUND(ES75*INDEX('Live Calc'!$D$74:$D$85,MATCH(EQ75,'Live Calc'!$A$74:$A$85,0))*'Live Calc'!$J$89,0))</f>
        <v>1</v>
      </c>
    </row>
    <row r="76" spans="39:151" x14ac:dyDescent="0.25">
      <c r="AM76" s="5" t="s">
        <v>355</v>
      </c>
      <c r="AN76" s="5" t="s">
        <v>253</v>
      </c>
      <c r="AO76" s="5">
        <v>9</v>
      </c>
      <c r="AP76" s="5">
        <v>0</v>
      </c>
      <c r="AQ76" s="5">
        <v>10</v>
      </c>
      <c r="AR76" s="5">
        <v>0</v>
      </c>
      <c r="AS76" s="5">
        <v>14</v>
      </c>
      <c r="AT76" s="5">
        <v>0</v>
      </c>
      <c r="AU76" s="5">
        <v>16</v>
      </c>
      <c r="AV76" s="5">
        <v>0</v>
      </c>
      <c r="AW76" s="5">
        <v>16</v>
      </c>
      <c r="AX76" s="5">
        <v>0</v>
      </c>
      <c r="AY76" s="5">
        <v>9</v>
      </c>
      <c r="AZ76" s="5">
        <v>0</v>
      </c>
      <c r="BA76" s="5">
        <v>11</v>
      </c>
      <c r="BB76" s="5">
        <v>0</v>
      </c>
      <c r="BC76" s="5">
        <v>13</v>
      </c>
      <c r="BD76" s="5">
        <v>0</v>
      </c>
      <c r="BE76" s="5">
        <v>17</v>
      </c>
      <c r="BF76" s="5">
        <v>0</v>
      </c>
      <c r="BG76" s="5">
        <v>17</v>
      </c>
      <c r="BH76" s="5">
        <v>0</v>
      </c>
      <c r="BI76" s="5">
        <v>11</v>
      </c>
      <c r="BJ76" s="5">
        <v>0</v>
      </c>
      <c r="BK76" s="5">
        <v>13</v>
      </c>
      <c r="BL76" s="5">
        <v>0</v>
      </c>
      <c r="BM76" s="5">
        <v>15</v>
      </c>
      <c r="BN76" s="5">
        <v>0</v>
      </c>
      <c r="BO76" s="5">
        <v>17</v>
      </c>
      <c r="BP76" s="5">
        <v>0</v>
      </c>
      <c r="BQ76" s="5">
        <v>18</v>
      </c>
      <c r="BR76" s="5">
        <v>0</v>
      </c>
      <c r="BS76" s="5">
        <f>CHOOSE(MATCH(Setup!$B$5,{8,10,12,14,16},0)+(MATCH(Setup!$B$7,{"STD","Half-PPR","PPR"},0)-1)*5,AO76,AQ76,AS76,AU76,AW76,AY76,BA76,BC76,BE76,BG76,BI76,BK76,BM76,BO76,BQ76)</f>
        <v>13</v>
      </c>
      <c r="BT76" s="5">
        <f>CHOOSE(MATCH(Setup!$B$5,{8,10,12,14,16},0)+(MATCH(Setup!$B$7,{"STD","Half-PPR","PPR"},0)-1)*5,AP76,AR76,AT76,AV76,AX76,AZ76,BB76,BD76,BF76,BH76,BJ76,BL76,BN76,BP76,BR76)</f>
        <v>0</v>
      </c>
      <c r="BU76" s="5">
        <f>ROUND(1+BT76*'Live Calc'!$D$10,0)</f>
        <v>1</v>
      </c>
      <c r="BV76" s="5"/>
      <c r="BW76" s="5">
        <f>IF(BV76&lt;&gt;"",BV76,ROUND(BU76*INDEX('Live Calc'!$D$29:$D$46,MATCH(BS76,'Live Calc'!$A$29:$A$46,0))*'Live Calc'!$J$89,0))</f>
        <v>1</v>
      </c>
      <c r="BY76" s="6" t="s">
        <v>356</v>
      </c>
      <c r="BZ76" s="6" t="s">
        <v>48</v>
      </c>
      <c r="CA76" s="6">
        <v>14</v>
      </c>
      <c r="CB76" s="6">
        <v>0</v>
      </c>
      <c r="CC76" s="6">
        <v>17</v>
      </c>
      <c r="CD76" s="6">
        <v>0</v>
      </c>
      <c r="CE76" s="6">
        <v>20</v>
      </c>
      <c r="CF76" s="6">
        <v>0</v>
      </c>
      <c r="CG76" s="6">
        <v>19</v>
      </c>
      <c r="CH76" s="6">
        <v>0</v>
      </c>
      <c r="CI76" s="6">
        <v>21</v>
      </c>
      <c r="CJ76" s="6">
        <v>0</v>
      </c>
      <c r="CK76" s="6">
        <v>10</v>
      </c>
      <c r="CL76" s="6">
        <v>0</v>
      </c>
      <c r="CM76" s="6">
        <v>15</v>
      </c>
      <c r="CN76" s="6">
        <v>0</v>
      </c>
      <c r="CO76" s="6">
        <v>15</v>
      </c>
      <c r="CP76" s="6">
        <v>0</v>
      </c>
      <c r="CQ76" s="6">
        <v>16</v>
      </c>
      <c r="CR76" s="6">
        <v>0</v>
      </c>
      <c r="CS76" s="6">
        <v>20</v>
      </c>
      <c r="CT76" s="6">
        <v>0</v>
      </c>
      <c r="CU76" s="6">
        <v>12</v>
      </c>
      <c r="CV76" s="6">
        <v>0</v>
      </c>
      <c r="CW76" s="6">
        <v>12</v>
      </c>
      <c r="CX76" s="6">
        <v>0</v>
      </c>
      <c r="CY76" s="6">
        <v>15</v>
      </c>
      <c r="CZ76" s="6">
        <v>0</v>
      </c>
      <c r="DA76" s="6">
        <v>18</v>
      </c>
      <c r="DB76" s="6">
        <v>0</v>
      </c>
      <c r="DC76" s="6">
        <v>20</v>
      </c>
      <c r="DD76" s="6">
        <v>0</v>
      </c>
      <c r="DE76" s="6">
        <f>CHOOSE(MATCH(Setup!$B$5,{8,10,12,14,16},0)+(MATCH(Setup!$B$7,{"STD","Half-PPR","PPR"},0)-1)*5,CA76,CC76,CE76,CG76,CI76,CK76,CM76,CO76,CQ76,CS76,CU76,CW76,CY76,DA76,DC76)</f>
        <v>15</v>
      </c>
      <c r="DF76" s="6">
        <f>CHOOSE(MATCH(Setup!$B$5,{8,10,12,14,16},0)+(MATCH(Setup!$B$7,{"STD","Half-PPR","PPR"},0)-1)*5,CB76,CD76,CF76,CH76,CJ76,CL76,CN76,CP76,CR76,CT76,CV76,CX76,CZ76,DB76,DD76)</f>
        <v>0</v>
      </c>
      <c r="DG76" s="6">
        <f>ROUND(1+DF76*'Live Calc'!$D$11,0)</f>
        <v>1</v>
      </c>
      <c r="DH76" s="6"/>
      <c r="DI76" s="6">
        <f>IF(DH76&lt;&gt;"",DH76,ROUND(DG76*INDEX('Live Calc'!$D$50:$D$70,MATCH(DE76,'Live Calc'!$A$50:$A$70,0))*'Live Calc'!$J$89,0))</f>
        <v>1</v>
      </c>
      <c r="DK76" s="7" t="s">
        <v>357</v>
      </c>
      <c r="DL76" s="7" t="s">
        <v>107</v>
      </c>
      <c r="DM76" s="7">
        <v>8</v>
      </c>
      <c r="DN76" s="7">
        <v>0</v>
      </c>
      <c r="DO76" s="7">
        <v>9</v>
      </c>
      <c r="DP76" s="7">
        <v>0</v>
      </c>
      <c r="DQ76" s="7">
        <v>10</v>
      </c>
      <c r="DR76" s="7">
        <v>0</v>
      </c>
      <c r="DS76" s="7">
        <v>11</v>
      </c>
      <c r="DT76" s="7">
        <v>0</v>
      </c>
      <c r="DU76" s="7">
        <v>12</v>
      </c>
      <c r="DV76" s="7">
        <v>0</v>
      </c>
      <c r="DW76" s="7">
        <v>6</v>
      </c>
      <c r="DX76" s="7">
        <v>0</v>
      </c>
      <c r="DY76" s="7">
        <v>9</v>
      </c>
      <c r="DZ76" s="7">
        <v>0</v>
      </c>
      <c r="EA76" s="7">
        <v>9</v>
      </c>
      <c r="EB76" s="7">
        <v>0</v>
      </c>
      <c r="EC76" s="7">
        <v>11</v>
      </c>
      <c r="ED76" s="7">
        <v>0</v>
      </c>
      <c r="EE76" s="7">
        <v>12</v>
      </c>
      <c r="EF76" s="7">
        <v>0</v>
      </c>
      <c r="EG76" s="7">
        <v>5</v>
      </c>
      <c r="EH76" s="7">
        <v>0</v>
      </c>
      <c r="EI76" s="7">
        <v>6</v>
      </c>
      <c r="EJ76" s="7">
        <v>0</v>
      </c>
      <c r="EK76" s="7">
        <v>7</v>
      </c>
      <c r="EL76" s="7">
        <v>0</v>
      </c>
      <c r="EM76" s="7">
        <v>10</v>
      </c>
      <c r="EN76" s="7">
        <v>0</v>
      </c>
      <c r="EO76" s="7">
        <v>11</v>
      </c>
      <c r="EP76" s="7">
        <v>0</v>
      </c>
      <c r="EQ76" s="7">
        <f>CHOOSE(MATCH(Setup!$B$5,{8,10,12,14,16},0)+(MATCH(Setup!$B$7,{"STD","Half-PPR","PPR"},0)-1)*5,DM76,DO76,DQ76,DS76,DU76,DW76,DY76,EA76,EC76,EE76,EG76,EI76,EK76,EM76,EO76)</f>
        <v>9</v>
      </c>
      <c r="ER76" s="7">
        <f>CHOOSE(MATCH(Setup!$B$5,{8,10,12,14,16},0)+(MATCH(Setup!$B$7,{"STD","Half-PPR","PPR"},0)-1)*5,DN76,DP76,DR76,DT76,DV76,DX76,DZ76,EB76,ED76,EF76,EH76,EJ76,EL76,EN76,EP76)</f>
        <v>0</v>
      </c>
      <c r="ES76" s="7">
        <f>ROUND(1+ER76*'Live Calc'!$D$12,0)</f>
        <v>1</v>
      </c>
      <c r="ET76" s="7"/>
      <c r="EU76" s="7">
        <f>IF(ET76&lt;&gt;"",ET76,ROUND(ES76*INDEX('Live Calc'!$D$74:$D$85,MATCH(EQ76,'Live Calc'!$A$74:$A$85,0))*'Live Calc'!$J$89,0))</f>
        <v>1</v>
      </c>
    </row>
    <row r="77" spans="39:151" x14ac:dyDescent="0.25">
      <c r="AM77" s="5" t="s">
        <v>358</v>
      </c>
      <c r="AN77" s="5" t="s">
        <v>101</v>
      </c>
      <c r="AO77" s="5">
        <v>9</v>
      </c>
      <c r="AP77" s="5">
        <v>0</v>
      </c>
      <c r="AQ77" s="5">
        <v>10</v>
      </c>
      <c r="AR77" s="5">
        <v>0</v>
      </c>
      <c r="AS77" s="5">
        <v>14</v>
      </c>
      <c r="AT77" s="5">
        <v>0</v>
      </c>
      <c r="AU77" s="5">
        <v>16</v>
      </c>
      <c r="AV77" s="5">
        <v>0</v>
      </c>
      <c r="AW77" s="5">
        <v>16</v>
      </c>
      <c r="AX77" s="5">
        <v>0</v>
      </c>
      <c r="AY77" s="5">
        <v>9</v>
      </c>
      <c r="AZ77" s="5">
        <v>0</v>
      </c>
      <c r="BA77" s="5">
        <v>11</v>
      </c>
      <c r="BB77" s="5">
        <v>0</v>
      </c>
      <c r="BC77" s="5">
        <v>13</v>
      </c>
      <c r="BD77" s="5">
        <v>0</v>
      </c>
      <c r="BE77" s="5">
        <v>17</v>
      </c>
      <c r="BF77" s="5">
        <v>0</v>
      </c>
      <c r="BG77" s="5">
        <v>17</v>
      </c>
      <c r="BH77" s="5">
        <v>0</v>
      </c>
      <c r="BI77" s="5">
        <v>11</v>
      </c>
      <c r="BJ77" s="5">
        <v>0</v>
      </c>
      <c r="BK77" s="5">
        <v>13</v>
      </c>
      <c r="BL77" s="5">
        <v>0</v>
      </c>
      <c r="BM77" s="5">
        <v>15</v>
      </c>
      <c r="BN77" s="5">
        <v>0</v>
      </c>
      <c r="BO77" s="5">
        <v>17</v>
      </c>
      <c r="BP77" s="5">
        <v>0</v>
      </c>
      <c r="BQ77" s="5">
        <v>18</v>
      </c>
      <c r="BR77" s="5">
        <v>0</v>
      </c>
      <c r="BS77" s="5">
        <f>CHOOSE(MATCH(Setup!$B$5,{8,10,12,14,16},0)+(MATCH(Setup!$B$7,{"STD","Half-PPR","PPR"},0)-1)*5,AO77,AQ77,AS77,AU77,AW77,AY77,BA77,BC77,BE77,BG77,BI77,BK77,BM77,BO77,BQ77)</f>
        <v>13</v>
      </c>
      <c r="BT77" s="5">
        <f>CHOOSE(MATCH(Setup!$B$5,{8,10,12,14,16},0)+(MATCH(Setup!$B$7,{"STD","Half-PPR","PPR"},0)-1)*5,AP77,AR77,AT77,AV77,AX77,AZ77,BB77,BD77,BF77,BH77,BJ77,BL77,BN77,BP77,BR77)</f>
        <v>0</v>
      </c>
      <c r="BU77" s="5">
        <f>ROUND(1+BT77*'Live Calc'!$D$10,0)</f>
        <v>1</v>
      </c>
      <c r="BV77" s="5"/>
      <c r="BW77" s="5">
        <f>IF(BV77&lt;&gt;"",BV77,ROUND(BU77*INDEX('Live Calc'!$D$29:$D$46,MATCH(BS77,'Live Calc'!$A$29:$A$46,0))*'Live Calc'!$J$89,0))</f>
        <v>1</v>
      </c>
      <c r="BY77" s="6" t="s">
        <v>359</v>
      </c>
      <c r="BZ77" s="6" t="s">
        <v>54</v>
      </c>
      <c r="CA77" s="6">
        <v>14</v>
      </c>
      <c r="CB77" s="6">
        <v>0</v>
      </c>
      <c r="CC77" s="6">
        <v>17</v>
      </c>
      <c r="CD77" s="6">
        <v>0</v>
      </c>
      <c r="CE77" s="6">
        <v>20</v>
      </c>
      <c r="CF77" s="6">
        <v>0</v>
      </c>
      <c r="CG77" s="6">
        <v>19</v>
      </c>
      <c r="CH77" s="6">
        <v>0</v>
      </c>
      <c r="CI77" s="6">
        <v>21</v>
      </c>
      <c r="CJ77" s="6">
        <v>0</v>
      </c>
      <c r="CK77" s="6">
        <v>10</v>
      </c>
      <c r="CL77" s="6">
        <v>0</v>
      </c>
      <c r="CM77" s="6">
        <v>15</v>
      </c>
      <c r="CN77" s="6">
        <v>0</v>
      </c>
      <c r="CO77" s="6">
        <v>15</v>
      </c>
      <c r="CP77" s="6">
        <v>0</v>
      </c>
      <c r="CQ77" s="6">
        <v>16</v>
      </c>
      <c r="CR77" s="6">
        <v>0</v>
      </c>
      <c r="CS77" s="6">
        <v>20</v>
      </c>
      <c r="CT77" s="6">
        <v>0</v>
      </c>
      <c r="CU77" s="6">
        <v>12</v>
      </c>
      <c r="CV77" s="6">
        <v>0</v>
      </c>
      <c r="CW77" s="6">
        <v>12</v>
      </c>
      <c r="CX77" s="6">
        <v>0</v>
      </c>
      <c r="CY77" s="6">
        <v>15</v>
      </c>
      <c r="CZ77" s="6">
        <v>0</v>
      </c>
      <c r="DA77" s="6">
        <v>18</v>
      </c>
      <c r="DB77" s="6">
        <v>0</v>
      </c>
      <c r="DC77" s="6">
        <v>20</v>
      </c>
      <c r="DD77" s="6">
        <v>0</v>
      </c>
      <c r="DE77" s="6">
        <f>CHOOSE(MATCH(Setup!$B$5,{8,10,12,14,16},0)+(MATCH(Setup!$B$7,{"STD","Half-PPR","PPR"},0)-1)*5,CA77,CC77,CE77,CG77,CI77,CK77,CM77,CO77,CQ77,CS77,CU77,CW77,CY77,DA77,DC77)</f>
        <v>15</v>
      </c>
      <c r="DF77" s="6">
        <f>CHOOSE(MATCH(Setup!$B$5,{8,10,12,14,16},0)+(MATCH(Setup!$B$7,{"STD","Half-PPR","PPR"},0)-1)*5,CB77,CD77,CF77,CH77,CJ77,CL77,CN77,CP77,CR77,CT77,CV77,CX77,CZ77,DB77,DD77)</f>
        <v>0</v>
      </c>
      <c r="DG77" s="6">
        <f>ROUND(1+DF77*'Live Calc'!$D$11,0)</f>
        <v>1</v>
      </c>
      <c r="DH77" s="6"/>
      <c r="DI77" s="6">
        <f>IF(DH77&lt;&gt;"",DH77,ROUND(DG77*INDEX('Live Calc'!$D$50:$D$70,MATCH(DE77,'Live Calc'!$A$50:$A$70,0))*'Live Calc'!$J$89,0))</f>
        <v>1</v>
      </c>
      <c r="DK77" s="7" t="s">
        <v>360</v>
      </c>
      <c r="DL77" s="7" t="s">
        <v>58</v>
      </c>
      <c r="DM77" s="7">
        <v>8</v>
      </c>
      <c r="DN77" s="7">
        <v>0</v>
      </c>
      <c r="DO77" s="7">
        <v>9</v>
      </c>
      <c r="DP77" s="7">
        <v>0</v>
      </c>
      <c r="DQ77" s="7">
        <v>10</v>
      </c>
      <c r="DR77" s="7">
        <v>0</v>
      </c>
      <c r="DS77" s="7">
        <v>11</v>
      </c>
      <c r="DT77" s="7">
        <v>0</v>
      </c>
      <c r="DU77" s="7">
        <v>12</v>
      </c>
      <c r="DV77" s="7">
        <v>0</v>
      </c>
      <c r="DW77" s="7">
        <v>6</v>
      </c>
      <c r="DX77" s="7">
        <v>0</v>
      </c>
      <c r="DY77" s="7">
        <v>9</v>
      </c>
      <c r="DZ77" s="7">
        <v>0</v>
      </c>
      <c r="EA77" s="7">
        <v>9</v>
      </c>
      <c r="EB77" s="7">
        <v>0</v>
      </c>
      <c r="EC77" s="7">
        <v>11</v>
      </c>
      <c r="ED77" s="7">
        <v>0</v>
      </c>
      <c r="EE77" s="7">
        <v>12</v>
      </c>
      <c r="EF77" s="7">
        <v>0</v>
      </c>
      <c r="EG77" s="7">
        <v>5</v>
      </c>
      <c r="EH77" s="7">
        <v>0</v>
      </c>
      <c r="EI77" s="7">
        <v>6</v>
      </c>
      <c r="EJ77" s="7">
        <v>0</v>
      </c>
      <c r="EK77" s="7">
        <v>7</v>
      </c>
      <c r="EL77" s="7">
        <v>0</v>
      </c>
      <c r="EM77" s="7">
        <v>10</v>
      </c>
      <c r="EN77" s="7">
        <v>0</v>
      </c>
      <c r="EO77" s="7">
        <v>11</v>
      </c>
      <c r="EP77" s="7">
        <v>0</v>
      </c>
      <c r="EQ77" s="7">
        <f>CHOOSE(MATCH(Setup!$B$5,{8,10,12,14,16},0)+(MATCH(Setup!$B$7,{"STD","Half-PPR","PPR"},0)-1)*5,DM77,DO77,DQ77,DS77,DU77,DW77,DY77,EA77,EC77,EE77,EG77,EI77,EK77,EM77,EO77)</f>
        <v>9</v>
      </c>
      <c r="ER77" s="7">
        <f>CHOOSE(MATCH(Setup!$B$5,{8,10,12,14,16},0)+(MATCH(Setup!$B$7,{"STD","Half-PPR","PPR"},0)-1)*5,DN77,DP77,DR77,DT77,DV77,DX77,DZ77,EB77,ED77,EF77,EH77,EJ77,EL77,EN77,EP77)</f>
        <v>0</v>
      </c>
      <c r="ES77" s="7">
        <f>ROUND(1+ER77*'Live Calc'!$D$12,0)</f>
        <v>1</v>
      </c>
      <c r="ET77" s="7"/>
      <c r="EU77" s="7">
        <f>IF(ET77&lt;&gt;"",ET77,ROUND(ES77*INDEX('Live Calc'!$D$74:$D$85,MATCH(EQ77,'Live Calc'!$A$74:$A$85,0))*'Live Calc'!$J$89,0))</f>
        <v>1</v>
      </c>
    </row>
    <row r="78" spans="39:151" x14ac:dyDescent="0.25">
      <c r="AM78" s="5" t="s">
        <v>361</v>
      </c>
      <c r="AN78" s="5" t="s">
        <v>127</v>
      </c>
      <c r="AO78" s="5">
        <v>9</v>
      </c>
      <c r="AP78" s="5">
        <v>0</v>
      </c>
      <c r="AQ78" s="5">
        <v>10</v>
      </c>
      <c r="AR78" s="5">
        <v>0</v>
      </c>
      <c r="AS78" s="5">
        <v>14</v>
      </c>
      <c r="AT78" s="5">
        <v>0</v>
      </c>
      <c r="AU78" s="5">
        <v>16</v>
      </c>
      <c r="AV78" s="5">
        <v>0</v>
      </c>
      <c r="AW78" s="5">
        <v>16</v>
      </c>
      <c r="AX78" s="5">
        <v>0</v>
      </c>
      <c r="AY78" s="5">
        <v>9</v>
      </c>
      <c r="AZ78" s="5">
        <v>0</v>
      </c>
      <c r="BA78" s="5">
        <v>11</v>
      </c>
      <c r="BB78" s="5">
        <v>0</v>
      </c>
      <c r="BC78" s="5">
        <v>13</v>
      </c>
      <c r="BD78" s="5">
        <v>0</v>
      </c>
      <c r="BE78" s="5">
        <v>17</v>
      </c>
      <c r="BF78" s="5">
        <v>0</v>
      </c>
      <c r="BG78" s="5">
        <v>17</v>
      </c>
      <c r="BH78" s="5">
        <v>0</v>
      </c>
      <c r="BI78" s="5">
        <v>11</v>
      </c>
      <c r="BJ78" s="5">
        <v>0</v>
      </c>
      <c r="BK78" s="5">
        <v>13</v>
      </c>
      <c r="BL78" s="5">
        <v>0</v>
      </c>
      <c r="BM78" s="5">
        <v>15</v>
      </c>
      <c r="BN78" s="5">
        <v>0</v>
      </c>
      <c r="BO78" s="5">
        <v>17</v>
      </c>
      <c r="BP78" s="5">
        <v>0</v>
      </c>
      <c r="BQ78" s="5">
        <v>18</v>
      </c>
      <c r="BR78" s="5">
        <v>0</v>
      </c>
      <c r="BS78" s="5">
        <f>CHOOSE(MATCH(Setup!$B$5,{8,10,12,14,16},0)+(MATCH(Setup!$B$7,{"STD","Half-PPR","PPR"},0)-1)*5,AO78,AQ78,AS78,AU78,AW78,AY78,BA78,BC78,BE78,BG78,BI78,BK78,BM78,BO78,BQ78)</f>
        <v>13</v>
      </c>
      <c r="BT78" s="5">
        <f>CHOOSE(MATCH(Setup!$B$5,{8,10,12,14,16},0)+(MATCH(Setup!$B$7,{"STD","Half-PPR","PPR"},0)-1)*5,AP78,AR78,AT78,AV78,AX78,AZ78,BB78,BD78,BF78,BH78,BJ78,BL78,BN78,BP78,BR78)</f>
        <v>0</v>
      </c>
      <c r="BU78" s="5">
        <f>ROUND(1+BT78*'Live Calc'!$D$10,0)</f>
        <v>1</v>
      </c>
      <c r="BV78" s="5"/>
      <c r="BW78" s="5">
        <f>IF(BV78&lt;&gt;"",BV78,ROUND(BU78*INDEX('Live Calc'!$D$29:$D$46,MATCH(BS78,'Live Calc'!$A$29:$A$46,0))*'Live Calc'!$J$89,0))</f>
        <v>1</v>
      </c>
      <c r="BY78" s="6" t="s">
        <v>362</v>
      </c>
      <c r="BZ78" s="6" t="s">
        <v>110</v>
      </c>
      <c r="CA78" s="6">
        <v>14</v>
      </c>
      <c r="CB78" s="6">
        <v>0</v>
      </c>
      <c r="CC78" s="6">
        <v>17</v>
      </c>
      <c r="CD78" s="6">
        <v>0</v>
      </c>
      <c r="CE78" s="6">
        <v>20</v>
      </c>
      <c r="CF78" s="6">
        <v>0</v>
      </c>
      <c r="CG78" s="6">
        <v>19</v>
      </c>
      <c r="CH78" s="6">
        <v>0</v>
      </c>
      <c r="CI78" s="6">
        <v>21</v>
      </c>
      <c r="CJ78" s="6">
        <v>0</v>
      </c>
      <c r="CK78" s="6">
        <v>10</v>
      </c>
      <c r="CL78" s="6">
        <v>0</v>
      </c>
      <c r="CM78" s="6">
        <v>15</v>
      </c>
      <c r="CN78" s="6">
        <v>0</v>
      </c>
      <c r="CO78" s="6">
        <v>15</v>
      </c>
      <c r="CP78" s="6">
        <v>0</v>
      </c>
      <c r="CQ78" s="6">
        <v>16</v>
      </c>
      <c r="CR78" s="6">
        <v>0</v>
      </c>
      <c r="CS78" s="6">
        <v>20</v>
      </c>
      <c r="CT78" s="6">
        <v>0</v>
      </c>
      <c r="CU78" s="6">
        <v>12</v>
      </c>
      <c r="CV78" s="6">
        <v>0</v>
      </c>
      <c r="CW78" s="6">
        <v>12</v>
      </c>
      <c r="CX78" s="6">
        <v>0</v>
      </c>
      <c r="CY78" s="6">
        <v>15</v>
      </c>
      <c r="CZ78" s="6">
        <v>0</v>
      </c>
      <c r="DA78" s="6">
        <v>18</v>
      </c>
      <c r="DB78" s="6">
        <v>0</v>
      </c>
      <c r="DC78" s="6">
        <v>20</v>
      </c>
      <c r="DD78" s="6">
        <v>0</v>
      </c>
      <c r="DE78" s="6">
        <f>CHOOSE(MATCH(Setup!$B$5,{8,10,12,14,16},0)+(MATCH(Setup!$B$7,{"STD","Half-PPR","PPR"},0)-1)*5,CA78,CC78,CE78,CG78,CI78,CK78,CM78,CO78,CQ78,CS78,CU78,CW78,CY78,DA78,DC78)</f>
        <v>15</v>
      </c>
      <c r="DF78" s="6">
        <f>CHOOSE(MATCH(Setup!$B$5,{8,10,12,14,16},0)+(MATCH(Setup!$B$7,{"STD","Half-PPR","PPR"},0)-1)*5,CB78,CD78,CF78,CH78,CJ78,CL78,CN78,CP78,CR78,CT78,CV78,CX78,CZ78,DB78,DD78)</f>
        <v>0</v>
      </c>
      <c r="DG78" s="6">
        <f>ROUND(1+DF78*'Live Calc'!$D$11,0)</f>
        <v>1</v>
      </c>
      <c r="DH78" s="6"/>
      <c r="DI78" s="6">
        <f>IF(DH78&lt;&gt;"",DH78,ROUND(DG78*INDEX('Live Calc'!$D$50:$D$70,MATCH(DE78,'Live Calc'!$A$50:$A$70,0))*'Live Calc'!$J$89,0))</f>
        <v>1</v>
      </c>
    </row>
    <row r="79" spans="39:151" x14ac:dyDescent="0.25">
      <c r="AM79" s="5" t="s">
        <v>363</v>
      </c>
      <c r="AN79" s="5" t="s">
        <v>54</v>
      </c>
      <c r="AO79" s="5">
        <v>9</v>
      </c>
      <c r="AP79" s="5">
        <v>0</v>
      </c>
      <c r="AQ79" s="5">
        <v>10</v>
      </c>
      <c r="AR79" s="5">
        <v>0</v>
      </c>
      <c r="AS79" s="5">
        <v>14</v>
      </c>
      <c r="AT79" s="5">
        <v>0</v>
      </c>
      <c r="AU79" s="5">
        <v>16</v>
      </c>
      <c r="AV79" s="5">
        <v>0</v>
      </c>
      <c r="AW79" s="5">
        <v>16</v>
      </c>
      <c r="AX79" s="5">
        <v>0</v>
      </c>
      <c r="AY79" s="5">
        <v>9</v>
      </c>
      <c r="AZ79" s="5">
        <v>0</v>
      </c>
      <c r="BA79" s="5">
        <v>11</v>
      </c>
      <c r="BB79" s="5">
        <v>0</v>
      </c>
      <c r="BC79" s="5">
        <v>13</v>
      </c>
      <c r="BD79" s="5">
        <v>0</v>
      </c>
      <c r="BE79" s="5">
        <v>17</v>
      </c>
      <c r="BF79" s="5">
        <v>0</v>
      </c>
      <c r="BG79" s="5">
        <v>17</v>
      </c>
      <c r="BH79" s="5">
        <v>0</v>
      </c>
      <c r="BI79" s="5">
        <v>11</v>
      </c>
      <c r="BJ79" s="5">
        <v>0</v>
      </c>
      <c r="BK79" s="5">
        <v>13</v>
      </c>
      <c r="BL79" s="5">
        <v>0</v>
      </c>
      <c r="BM79" s="5">
        <v>15</v>
      </c>
      <c r="BN79" s="5">
        <v>0</v>
      </c>
      <c r="BO79" s="5">
        <v>17</v>
      </c>
      <c r="BP79" s="5">
        <v>0</v>
      </c>
      <c r="BQ79" s="5">
        <v>18</v>
      </c>
      <c r="BR79" s="5">
        <v>0</v>
      </c>
      <c r="BS79" s="5">
        <f>CHOOSE(MATCH(Setup!$B$5,{8,10,12,14,16},0)+(MATCH(Setup!$B$7,{"STD","Half-PPR","PPR"},0)-1)*5,AO79,AQ79,AS79,AU79,AW79,AY79,BA79,BC79,BE79,BG79,BI79,BK79,BM79,BO79,BQ79)</f>
        <v>13</v>
      </c>
      <c r="BT79" s="5">
        <f>CHOOSE(MATCH(Setup!$B$5,{8,10,12,14,16},0)+(MATCH(Setup!$B$7,{"STD","Half-PPR","PPR"},0)-1)*5,AP79,AR79,AT79,AV79,AX79,AZ79,BB79,BD79,BF79,BH79,BJ79,BL79,BN79,BP79,BR79)</f>
        <v>0</v>
      </c>
      <c r="BU79" s="5">
        <f>ROUND(1+BT79*'Live Calc'!$D$10,0)</f>
        <v>1</v>
      </c>
      <c r="BV79" s="5"/>
      <c r="BW79" s="5">
        <f>IF(BV79&lt;&gt;"",BV79,ROUND(BU79*INDEX('Live Calc'!$D$29:$D$46,MATCH(BS79,'Live Calc'!$A$29:$A$46,0))*'Live Calc'!$J$89,0))</f>
        <v>1</v>
      </c>
      <c r="BY79" s="6" t="s">
        <v>364</v>
      </c>
      <c r="BZ79" s="6" t="s">
        <v>66</v>
      </c>
      <c r="CA79" s="6">
        <v>14</v>
      </c>
      <c r="CB79" s="6">
        <v>0</v>
      </c>
      <c r="CC79" s="6">
        <v>17</v>
      </c>
      <c r="CD79" s="6">
        <v>0</v>
      </c>
      <c r="CE79" s="6">
        <v>20</v>
      </c>
      <c r="CF79" s="6">
        <v>0</v>
      </c>
      <c r="CG79" s="6">
        <v>19</v>
      </c>
      <c r="CH79" s="6">
        <v>0</v>
      </c>
      <c r="CI79" s="6">
        <v>21</v>
      </c>
      <c r="CJ79" s="6">
        <v>0</v>
      </c>
      <c r="CK79" s="6">
        <v>10</v>
      </c>
      <c r="CL79" s="6">
        <v>0</v>
      </c>
      <c r="CM79" s="6">
        <v>15</v>
      </c>
      <c r="CN79" s="6">
        <v>0</v>
      </c>
      <c r="CO79" s="6">
        <v>15</v>
      </c>
      <c r="CP79" s="6">
        <v>0</v>
      </c>
      <c r="CQ79" s="6">
        <v>16</v>
      </c>
      <c r="CR79" s="6">
        <v>0</v>
      </c>
      <c r="CS79" s="6">
        <v>20</v>
      </c>
      <c r="CT79" s="6">
        <v>0</v>
      </c>
      <c r="CU79" s="6">
        <v>12</v>
      </c>
      <c r="CV79" s="6">
        <v>0</v>
      </c>
      <c r="CW79" s="6">
        <v>12</v>
      </c>
      <c r="CX79" s="6">
        <v>0</v>
      </c>
      <c r="CY79" s="6">
        <v>15</v>
      </c>
      <c r="CZ79" s="6">
        <v>0</v>
      </c>
      <c r="DA79" s="6">
        <v>18</v>
      </c>
      <c r="DB79" s="6">
        <v>0</v>
      </c>
      <c r="DC79" s="6">
        <v>20</v>
      </c>
      <c r="DD79" s="6">
        <v>0</v>
      </c>
      <c r="DE79" s="6">
        <f>CHOOSE(MATCH(Setup!$B$5,{8,10,12,14,16},0)+(MATCH(Setup!$B$7,{"STD","Half-PPR","PPR"},0)-1)*5,CA79,CC79,CE79,CG79,CI79,CK79,CM79,CO79,CQ79,CS79,CU79,CW79,CY79,DA79,DC79)</f>
        <v>15</v>
      </c>
      <c r="DF79" s="6">
        <f>CHOOSE(MATCH(Setup!$B$5,{8,10,12,14,16},0)+(MATCH(Setup!$B$7,{"STD","Half-PPR","PPR"},0)-1)*5,CB79,CD79,CF79,CH79,CJ79,CL79,CN79,CP79,CR79,CT79,CV79,CX79,CZ79,DB79,DD79)</f>
        <v>0</v>
      </c>
      <c r="DG79" s="6">
        <f>ROUND(1+DF79*'Live Calc'!$D$11,0)</f>
        <v>1</v>
      </c>
      <c r="DH79" s="6"/>
      <c r="DI79" s="6">
        <f>IF(DH79&lt;&gt;"",DH79,ROUND(DG79*INDEX('Live Calc'!$D$50:$D$70,MATCH(DE79,'Live Calc'!$A$50:$A$70,0))*'Live Calc'!$J$89,0))</f>
        <v>1</v>
      </c>
    </row>
    <row r="80" spans="39:151" x14ac:dyDescent="0.25">
      <c r="AM80" s="5" t="s">
        <v>365</v>
      </c>
      <c r="AN80" s="5" t="s">
        <v>64</v>
      </c>
      <c r="AO80" s="5">
        <v>9</v>
      </c>
      <c r="AP80" s="5">
        <v>0</v>
      </c>
      <c r="AQ80" s="5">
        <v>10</v>
      </c>
      <c r="AR80" s="5">
        <v>0</v>
      </c>
      <c r="AS80" s="5">
        <v>14</v>
      </c>
      <c r="AT80" s="5">
        <v>0</v>
      </c>
      <c r="AU80" s="5">
        <v>16</v>
      </c>
      <c r="AV80" s="5">
        <v>0</v>
      </c>
      <c r="AW80" s="5">
        <v>16</v>
      </c>
      <c r="AX80" s="5">
        <v>0</v>
      </c>
      <c r="AY80" s="5">
        <v>9</v>
      </c>
      <c r="AZ80" s="5">
        <v>0</v>
      </c>
      <c r="BA80" s="5">
        <v>11</v>
      </c>
      <c r="BB80" s="5">
        <v>0</v>
      </c>
      <c r="BC80" s="5">
        <v>13</v>
      </c>
      <c r="BD80" s="5">
        <v>0</v>
      </c>
      <c r="BE80" s="5">
        <v>17</v>
      </c>
      <c r="BF80" s="5">
        <v>0</v>
      </c>
      <c r="BG80" s="5">
        <v>17</v>
      </c>
      <c r="BH80" s="5">
        <v>0</v>
      </c>
      <c r="BI80" s="5">
        <v>11</v>
      </c>
      <c r="BJ80" s="5">
        <v>0</v>
      </c>
      <c r="BK80" s="5">
        <v>13</v>
      </c>
      <c r="BL80" s="5">
        <v>0</v>
      </c>
      <c r="BM80" s="5">
        <v>15</v>
      </c>
      <c r="BN80" s="5">
        <v>0</v>
      </c>
      <c r="BO80" s="5">
        <v>17</v>
      </c>
      <c r="BP80" s="5">
        <v>0</v>
      </c>
      <c r="BQ80" s="5">
        <v>18</v>
      </c>
      <c r="BR80" s="5">
        <v>0</v>
      </c>
      <c r="BS80" s="5">
        <f>CHOOSE(MATCH(Setup!$B$5,{8,10,12,14,16},0)+(MATCH(Setup!$B$7,{"STD","Half-PPR","PPR"},0)-1)*5,AO80,AQ80,AS80,AU80,AW80,AY80,BA80,BC80,BE80,BG80,BI80,BK80,BM80,BO80,BQ80)</f>
        <v>13</v>
      </c>
      <c r="BT80" s="5">
        <f>CHOOSE(MATCH(Setup!$B$5,{8,10,12,14,16},0)+(MATCH(Setup!$B$7,{"STD","Half-PPR","PPR"},0)-1)*5,AP80,AR80,AT80,AV80,AX80,AZ80,BB80,BD80,BF80,BH80,BJ80,BL80,BN80,BP80,BR80)</f>
        <v>0</v>
      </c>
      <c r="BU80" s="5">
        <f>ROUND(1+BT80*'Live Calc'!$D$10,0)</f>
        <v>1</v>
      </c>
      <c r="BV80" s="5"/>
      <c r="BW80" s="5">
        <f>IF(BV80&lt;&gt;"",BV80,ROUND(BU80*INDEX('Live Calc'!$D$29:$D$46,MATCH(BS80,'Live Calc'!$A$29:$A$46,0))*'Live Calc'!$J$89,0))</f>
        <v>1</v>
      </c>
      <c r="BY80" s="6" t="s">
        <v>366</v>
      </c>
      <c r="BZ80" s="6" t="s">
        <v>88</v>
      </c>
      <c r="CA80" s="6">
        <v>14</v>
      </c>
      <c r="CB80" s="6">
        <v>0</v>
      </c>
      <c r="CC80" s="6">
        <v>17</v>
      </c>
      <c r="CD80" s="6">
        <v>0</v>
      </c>
      <c r="CE80" s="6">
        <v>20</v>
      </c>
      <c r="CF80" s="6">
        <v>0</v>
      </c>
      <c r="CG80" s="6">
        <v>19</v>
      </c>
      <c r="CH80" s="6">
        <v>0</v>
      </c>
      <c r="CI80" s="6">
        <v>21</v>
      </c>
      <c r="CJ80" s="6">
        <v>0</v>
      </c>
      <c r="CK80" s="6">
        <v>10</v>
      </c>
      <c r="CL80" s="6">
        <v>0</v>
      </c>
      <c r="CM80" s="6">
        <v>15</v>
      </c>
      <c r="CN80" s="6">
        <v>0</v>
      </c>
      <c r="CO80" s="6">
        <v>15</v>
      </c>
      <c r="CP80" s="6">
        <v>0</v>
      </c>
      <c r="CQ80" s="6">
        <v>16</v>
      </c>
      <c r="CR80" s="6">
        <v>0</v>
      </c>
      <c r="CS80" s="6">
        <v>20</v>
      </c>
      <c r="CT80" s="6">
        <v>0</v>
      </c>
      <c r="CU80" s="6">
        <v>12</v>
      </c>
      <c r="CV80" s="6">
        <v>0</v>
      </c>
      <c r="CW80" s="6">
        <v>12</v>
      </c>
      <c r="CX80" s="6">
        <v>0</v>
      </c>
      <c r="CY80" s="6">
        <v>15</v>
      </c>
      <c r="CZ80" s="6">
        <v>0</v>
      </c>
      <c r="DA80" s="6">
        <v>18</v>
      </c>
      <c r="DB80" s="6">
        <v>0</v>
      </c>
      <c r="DC80" s="6">
        <v>20</v>
      </c>
      <c r="DD80" s="6">
        <v>0</v>
      </c>
      <c r="DE80" s="6">
        <f>CHOOSE(MATCH(Setup!$B$5,{8,10,12,14,16},0)+(MATCH(Setup!$B$7,{"STD","Half-PPR","PPR"},0)-1)*5,CA80,CC80,CE80,CG80,CI80,CK80,CM80,CO80,CQ80,CS80,CU80,CW80,CY80,DA80,DC80)</f>
        <v>15</v>
      </c>
      <c r="DF80" s="6">
        <f>CHOOSE(MATCH(Setup!$B$5,{8,10,12,14,16},0)+(MATCH(Setup!$B$7,{"STD","Half-PPR","PPR"},0)-1)*5,CB80,CD80,CF80,CH80,CJ80,CL80,CN80,CP80,CR80,CT80,CV80,CX80,CZ80,DB80,DD80)</f>
        <v>0</v>
      </c>
      <c r="DG80" s="6">
        <f>ROUND(1+DF80*'Live Calc'!$D$11,0)</f>
        <v>1</v>
      </c>
      <c r="DH80" s="6"/>
      <c r="DI80" s="6">
        <f>IF(DH80&lt;&gt;"",DH80,ROUND(DG80*INDEX('Live Calc'!$D$50:$D$70,MATCH(DE80,'Live Calc'!$A$50:$A$70,0))*'Live Calc'!$J$89,0))</f>
        <v>1</v>
      </c>
    </row>
    <row r="81" spans="39:113" x14ac:dyDescent="0.25">
      <c r="AM81" s="5" t="s">
        <v>367</v>
      </c>
      <c r="AN81" s="5" t="s">
        <v>66</v>
      </c>
      <c r="AO81" s="5">
        <v>9</v>
      </c>
      <c r="AP81" s="5">
        <v>0</v>
      </c>
      <c r="AQ81" s="5">
        <v>10</v>
      </c>
      <c r="AR81" s="5">
        <v>0</v>
      </c>
      <c r="AS81" s="5">
        <v>14</v>
      </c>
      <c r="AT81" s="5">
        <v>0</v>
      </c>
      <c r="AU81" s="5">
        <v>16</v>
      </c>
      <c r="AV81" s="5">
        <v>0</v>
      </c>
      <c r="AW81" s="5">
        <v>16</v>
      </c>
      <c r="AX81" s="5">
        <v>0</v>
      </c>
      <c r="AY81" s="5">
        <v>9</v>
      </c>
      <c r="AZ81" s="5">
        <v>0</v>
      </c>
      <c r="BA81" s="5">
        <v>11</v>
      </c>
      <c r="BB81" s="5">
        <v>0</v>
      </c>
      <c r="BC81" s="5">
        <v>13</v>
      </c>
      <c r="BD81" s="5">
        <v>0</v>
      </c>
      <c r="BE81" s="5">
        <v>17</v>
      </c>
      <c r="BF81" s="5">
        <v>0</v>
      </c>
      <c r="BG81" s="5">
        <v>17</v>
      </c>
      <c r="BH81" s="5">
        <v>0</v>
      </c>
      <c r="BI81" s="5">
        <v>11</v>
      </c>
      <c r="BJ81" s="5">
        <v>0</v>
      </c>
      <c r="BK81" s="5">
        <v>13</v>
      </c>
      <c r="BL81" s="5">
        <v>0</v>
      </c>
      <c r="BM81" s="5">
        <v>15</v>
      </c>
      <c r="BN81" s="5">
        <v>0</v>
      </c>
      <c r="BO81" s="5">
        <v>17</v>
      </c>
      <c r="BP81" s="5">
        <v>0</v>
      </c>
      <c r="BQ81" s="5">
        <v>18</v>
      </c>
      <c r="BR81" s="5">
        <v>0</v>
      </c>
      <c r="BS81" s="5">
        <f>CHOOSE(MATCH(Setup!$B$5,{8,10,12,14,16},0)+(MATCH(Setup!$B$7,{"STD","Half-PPR","PPR"},0)-1)*5,AO81,AQ81,AS81,AU81,AW81,AY81,BA81,BC81,BE81,BG81,BI81,BK81,BM81,BO81,BQ81)</f>
        <v>13</v>
      </c>
      <c r="BT81" s="5">
        <f>CHOOSE(MATCH(Setup!$B$5,{8,10,12,14,16},0)+(MATCH(Setup!$B$7,{"STD","Half-PPR","PPR"},0)-1)*5,AP81,AR81,AT81,AV81,AX81,AZ81,BB81,BD81,BF81,BH81,BJ81,BL81,BN81,BP81,BR81)</f>
        <v>0</v>
      </c>
      <c r="BU81" s="5">
        <f>ROUND(1+BT81*'Live Calc'!$D$10,0)</f>
        <v>1</v>
      </c>
      <c r="BV81" s="5"/>
      <c r="BW81" s="5">
        <f>IF(BV81&lt;&gt;"",BV81,ROUND(BU81*INDEX('Live Calc'!$D$29:$D$46,MATCH(BS81,'Live Calc'!$A$29:$A$46,0))*'Live Calc'!$J$89,0))</f>
        <v>1</v>
      </c>
      <c r="BY81" s="6" t="s">
        <v>368</v>
      </c>
      <c r="BZ81" s="6" t="s">
        <v>107</v>
      </c>
      <c r="CA81" s="6">
        <v>14</v>
      </c>
      <c r="CB81" s="6">
        <v>0</v>
      </c>
      <c r="CC81" s="6">
        <v>17</v>
      </c>
      <c r="CD81" s="6">
        <v>0</v>
      </c>
      <c r="CE81" s="6">
        <v>20</v>
      </c>
      <c r="CF81" s="6">
        <v>0</v>
      </c>
      <c r="CG81" s="6">
        <v>19</v>
      </c>
      <c r="CH81" s="6">
        <v>0</v>
      </c>
      <c r="CI81" s="6">
        <v>21</v>
      </c>
      <c r="CJ81" s="6">
        <v>0</v>
      </c>
      <c r="CK81" s="6">
        <v>10</v>
      </c>
      <c r="CL81" s="6">
        <v>0</v>
      </c>
      <c r="CM81" s="6">
        <v>15</v>
      </c>
      <c r="CN81" s="6">
        <v>0</v>
      </c>
      <c r="CO81" s="6">
        <v>15</v>
      </c>
      <c r="CP81" s="6">
        <v>0</v>
      </c>
      <c r="CQ81" s="6">
        <v>16</v>
      </c>
      <c r="CR81" s="6">
        <v>0</v>
      </c>
      <c r="CS81" s="6">
        <v>20</v>
      </c>
      <c r="CT81" s="6">
        <v>0</v>
      </c>
      <c r="CU81" s="6">
        <v>12</v>
      </c>
      <c r="CV81" s="6">
        <v>0</v>
      </c>
      <c r="CW81" s="6">
        <v>12</v>
      </c>
      <c r="CX81" s="6">
        <v>0</v>
      </c>
      <c r="CY81" s="6">
        <v>15</v>
      </c>
      <c r="CZ81" s="6">
        <v>0</v>
      </c>
      <c r="DA81" s="6">
        <v>18</v>
      </c>
      <c r="DB81" s="6">
        <v>0</v>
      </c>
      <c r="DC81" s="6">
        <v>20</v>
      </c>
      <c r="DD81" s="6">
        <v>0</v>
      </c>
      <c r="DE81" s="6">
        <f>CHOOSE(MATCH(Setup!$B$5,{8,10,12,14,16},0)+(MATCH(Setup!$B$7,{"STD","Half-PPR","PPR"},0)-1)*5,CA81,CC81,CE81,CG81,CI81,CK81,CM81,CO81,CQ81,CS81,CU81,CW81,CY81,DA81,DC81)</f>
        <v>15</v>
      </c>
      <c r="DF81" s="6">
        <f>CHOOSE(MATCH(Setup!$B$5,{8,10,12,14,16},0)+(MATCH(Setup!$B$7,{"STD","Half-PPR","PPR"},0)-1)*5,CB81,CD81,CF81,CH81,CJ81,CL81,CN81,CP81,CR81,CT81,CV81,CX81,CZ81,DB81,DD81)</f>
        <v>0</v>
      </c>
      <c r="DG81" s="6">
        <f>ROUND(1+DF81*'Live Calc'!$D$11,0)</f>
        <v>1</v>
      </c>
      <c r="DH81" s="6"/>
      <c r="DI81" s="6">
        <f>IF(DH81&lt;&gt;"",DH81,ROUND(DG81*INDEX('Live Calc'!$D$50:$D$70,MATCH(DE81,'Live Calc'!$A$50:$A$70,0))*'Live Calc'!$J$89,0))</f>
        <v>1</v>
      </c>
    </row>
    <row r="82" spans="39:113" x14ac:dyDescent="0.25">
      <c r="AM82" s="5" t="s">
        <v>369</v>
      </c>
      <c r="AN82" s="5" t="s">
        <v>95</v>
      </c>
      <c r="AO82" s="5">
        <v>9</v>
      </c>
      <c r="AP82" s="5">
        <v>0</v>
      </c>
      <c r="AQ82" s="5">
        <v>10</v>
      </c>
      <c r="AR82" s="5">
        <v>0</v>
      </c>
      <c r="AS82" s="5">
        <v>14</v>
      </c>
      <c r="AT82" s="5">
        <v>0</v>
      </c>
      <c r="AU82" s="5">
        <v>16</v>
      </c>
      <c r="AV82" s="5">
        <v>0</v>
      </c>
      <c r="AW82" s="5">
        <v>16</v>
      </c>
      <c r="AX82" s="5">
        <v>0</v>
      </c>
      <c r="AY82" s="5">
        <v>9</v>
      </c>
      <c r="AZ82" s="5">
        <v>0</v>
      </c>
      <c r="BA82" s="5">
        <v>11</v>
      </c>
      <c r="BB82" s="5">
        <v>0</v>
      </c>
      <c r="BC82" s="5">
        <v>13</v>
      </c>
      <c r="BD82" s="5">
        <v>0</v>
      </c>
      <c r="BE82" s="5">
        <v>17</v>
      </c>
      <c r="BF82" s="5">
        <v>0</v>
      </c>
      <c r="BG82" s="5">
        <v>17</v>
      </c>
      <c r="BH82" s="5">
        <v>0</v>
      </c>
      <c r="BI82" s="5">
        <v>11</v>
      </c>
      <c r="BJ82" s="5">
        <v>0</v>
      </c>
      <c r="BK82" s="5">
        <v>13</v>
      </c>
      <c r="BL82" s="5">
        <v>0</v>
      </c>
      <c r="BM82" s="5">
        <v>15</v>
      </c>
      <c r="BN82" s="5">
        <v>0</v>
      </c>
      <c r="BO82" s="5">
        <v>17</v>
      </c>
      <c r="BP82" s="5">
        <v>0</v>
      </c>
      <c r="BQ82" s="5">
        <v>18</v>
      </c>
      <c r="BR82" s="5">
        <v>0</v>
      </c>
      <c r="BS82" s="5">
        <f>CHOOSE(MATCH(Setup!$B$5,{8,10,12,14,16},0)+(MATCH(Setup!$B$7,{"STD","Half-PPR","PPR"},0)-1)*5,AO82,AQ82,AS82,AU82,AW82,AY82,BA82,BC82,BE82,BG82,BI82,BK82,BM82,BO82,BQ82)</f>
        <v>13</v>
      </c>
      <c r="BT82" s="5">
        <f>CHOOSE(MATCH(Setup!$B$5,{8,10,12,14,16},0)+(MATCH(Setup!$B$7,{"STD","Half-PPR","PPR"},0)-1)*5,AP82,AR82,AT82,AV82,AX82,AZ82,BB82,BD82,BF82,BH82,BJ82,BL82,BN82,BP82,BR82)</f>
        <v>0</v>
      </c>
      <c r="BU82" s="5">
        <f>ROUND(1+BT82*'Live Calc'!$D$10,0)</f>
        <v>1</v>
      </c>
      <c r="BV82" s="5"/>
      <c r="BW82" s="5">
        <f>IF(BV82&lt;&gt;"",BV82,ROUND(BU82*INDEX('Live Calc'!$D$29:$D$46,MATCH(BS82,'Live Calc'!$A$29:$A$46,0))*'Live Calc'!$J$89,0))</f>
        <v>1</v>
      </c>
      <c r="BY82" s="6" t="s">
        <v>370</v>
      </c>
      <c r="BZ82" s="6" t="s">
        <v>107</v>
      </c>
      <c r="CA82" s="6">
        <v>14</v>
      </c>
      <c r="CB82" s="6">
        <v>0</v>
      </c>
      <c r="CC82" s="6">
        <v>17</v>
      </c>
      <c r="CD82" s="6">
        <v>0</v>
      </c>
      <c r="CE82" s="6">
        <v>20</v>
      </c>
      <c r="CF82" s="6">
        <v>0</v>
      </c>
      <c r="CG82" s="6">
        <v>19</v>
      </c>
      <c r="CH82" s="6">
        <v>0</v>
      </c>
      <c r="CI82" s="6">
        <v>21</v>
      </c>
      <c r="CJ82" s="6">
        <v>0</v>
      </c>
      <c r="CK82" s="6">
        <v>10</v>
      </c>
      <c r="CL82" s="6">
        <v>0</v>
      </c>
      <c r="CM82" s="6">
        <v>15</v>
      </c>
      <c r="CN82" s="6">
        <v>0</v>
      </c>
      <c r="CO82" s="6">
        <v>15</v>
      </c>
      <c r="CP82" s="6">
        <v>0</v>
      </c>
      <c r="CQ82" s="6">
        <v>16</v>
      </c>
      <c r="CR82" s="6">
        <v>0</v>
      </c>
      <c r="CS82" s="6">
        <v>20</v>
      </c>
      <c r="CT82" s="6">
        <v>0</v>
      </c>
      <c r="CU82" s="6">
        <v>12</v>
      </c>
      <c r="CV82" s="6">
        <v>0</v>
      </c>
      <c r="CW82" s="6">
        <v>12</v>
      </c>
      <c r="CX82" s="6">
        <v>0</v>
      </c>
      <c r="CY82" s="6">
        <v>15</v>
      </c>
      <c r="CZ82" s="6">
        <v>0</v>
      </c>
      <c r="DA82" s="6">
        <v>18</v>
      </c>
      <c r="DB82" s="6">
        <v>0</v>
      </c>
      <c r="DC82" s="6">
        <v>20</v>
      </c>
      <c r="DD82" s="6">
        <v>0</v>
      </c>
      <c r="DE82" s="6">
        <f>CHOOSE(MATCH(Setup!$B$5,{8,10,12,14,16},0)+(MATCH(Setup!$B$7,{"STD","Half-PPR","PPR"},0)-1)*5,CA82,CC82,CE82,CG82,CI82,CK82,CM82,CO82,CQ82,CS82,CU82,CW82,CY82,DA82,DC82)</f>
        <v>15</v>
      </c>
      <c r="DF82" s="6">
        <f>CHOOSE(MATCH(Setup!$B$5,{8,10,12,14,16},0)+(MATCH(Setup!$B$7,{"STD","Half-PPR","PPR"},0)-1)*5,CB82,CD82,CF82,CH82,CJ82,CL82,CN82,CP82,CR82,CT82,CV82,CX82,CZ82,DB82,DD82)</f>
        <v>0</v>
      </c>
      <c r="DG82" s="6">
        <f>ROUND(1+DF82*'Live Calc'!$D$11,0)</f>
        <v>1</v>
      </c>
      <c r="DH82" s="6"/>
      <c r="DI82" s="6">
        <f>IF(DH82&lt;&gt;"",DH82,ROUND(DG82*INDEX('Live Calc'!$D$50:$D$70,MATCH(DE82,'Live Calc'!$A$50:$A$70,0))*'Live Calc'!$J$89,0))</f>
        <v>1</v>
      </c>
    </row>
    <row r="83" spans="39:113" x14ac:dyDescent="0.25">
      <c r="AM83" s="5" t="s">
        <v>371</v>
      </c>
      <c r="AN83" s="5" t="s">
        <v>79</v>
      </c>
      <c r="AO83" s="5">
        <v>9</v>
      </c>
      <c r="AP83" s="5">
        <v>0</v>
      </c>
      <c r="AQ83" s="5">
        <v>10</v>
      </c>
      <c r="AR83" s="5">
        <v>0</v>
      </c>
      <c r="AS83" s="5">
        <v>14</v>
      </c>
      <c r="AT83" s="5">
        <v>0</v>
      </c>
      <c r="AU83" s="5">
        <v>16</v>
      </c>
      <c r="AV83" s="5">
        <v>0</v>
      </c>
      <c r="AW83" s="5">
        <v>16</v>
      </c>
      <c r="AX83" s="5">
        <v>0</v>
      </c>
      <c r="AY83" s="5">
        <v>9</v>
      </c>
      <c r="AZ83" s="5">
        <v>0</v>
      </c>
      <c r="BA83" s="5">
        <v>11</v>
      </c>
      <c r="BB83" s="5">
        <v>0</v>
      </c>
      <c r="BC83" s="5">
        <v>13</v>
      </c>
      <c r="BD83" s="5">
        <v>0</v>
      </c>
      <c r="BE83" s="5">
        <v>17</v>
      </c>
      <c r="BF83" s="5">
        <v>0</v>
      </c>
      <c r="BG83" s="5">
        <v>17</v>
      </c>
      <c r="BH83" s="5">
        <v>0</v>
      </c>
      <c r="BI83" s="5">
        <v>11</v>
      </c>
      <c r="BJ83" s="5">
        <v>0</v>
      </c>
      <c r="BK83" s="5">
        <v>13</v>
      </c>
      <c r="BL83" s="5">
        <v>0</v>
      </c>
      <c r="BM83" s="5">
        <v>15</v>
      </c>
      <c r="BN83" s="5">
        <v>0</v>
      </c>
      <c r="BO83" s="5">
        <v>17</v>
      </c>
      <c r="BP83" s="5">
        <v>0</v>
      </c>
      <c r="BQ83" s="5">
        <v>18</v>
      </c>
      <c r="BR83" s="5">
        <v>0</v>
      </c>
      <c r="BS83" s="5">
        <f>CHOOSE(MATCH(Setup!$B$5,{8,10,12,14,16},0)+(MATCH(Setup!$B$7,{"STD","Half-PPR","PPR"},0)-1)*5,AO83,AQ83,AS83,AU83,AW83,AY83,BA83,BC83,BE83,BG83,BI83,BK83,BM83,BO83,BQ83)</f>
        <v>13</v>
      </c>
      <c r="BT83" s="5">
        <f>CHOOSE(MATCH(Setup!$B$5,{8,10,12,14,16},0)+(MATCH(Setup!$B$7,{"STD","Half-PPR","PPR"},0)-1)*5,AP83,AR83,AT83,AV83,AX83,AZ83,BB83,BD83,BF83,BH83,BJ83,BL83,BN83,BP83,BR83)</f>
        <v>0</v>
      </c>
      <c r="BU83" s="5">
        <f>ROUND(1+BT83*'Live Calc'!$D$10,0)</f>
        <v>1</v>
      </c>
      <c r="BV83" s="5"/>
      <c r="BW83" s="5">
        <f>IF(BV83&lt;&gt;"",BV83,ROUND(BU83*INDEX('Live Calc'!$D$29:$D$46,MATCH(BS83,'Live Calc'!$A$29:$A$46,0))*'Live Calc'!$J$89,0))</f>
        <v>1</v>
      </c>
      <c r="BY83" s="6" t="s">
        <v>372</v>
      </c>
      <c r="BZ83" s="6" t="s">
        <v>101</v>
      </c>
      <c r="CA83" s="6">
        <v>14</v>
      </c>
      <c r="CB83" s="6">
        <v>0</v>
      </c>
      <c r="CC83" s="6">
        <v>17</v>
      </c>
      <c r="CD83" s="6">
        <v>0</v>
      </c>
      <c r="CE83" s="6">
        <v>20</v>
      </c>
      <c r="CF83" s="6">
        <v>0</v>
      </c>
      <c r="CG83" s="6">
        <v>19</v>
      </c>
      <c r="CH83" s="6">
        <v>0</v>
      </c>
      <c r="CI83" s="6">
        <v>21</v>
      </c>
      <c r="CJ83" s="6">
        <v>0</v>
      </c>
      <c r="CK83" s="6">
        <v>10</v>
      </c>
      <c r="CL83" s="6">
        <v>0</v>
      </c>
      <c r="CM83" s="6">
        <v>15</v>
      </c>
      <c r="CN83" s="6">
        <v>0</v>
      </c>
      <c r="CO83" s="6">
        <v>15</v>
      </c>
      <c r="CP83" s="6">
        <v>0</v>
      </c>
      <c r="CQ83" s="6">
        <v>16</v>
      </c>
      <c r="CR83" s="6">
        <v>0</v>
      </c>
      <c r="CS83" s="6">
        <v>20</v>
      </c>
      <c r="CT83" s="6">
        <v>0</v>
      </c>
      <c r="CU83" s="6">
        <v>12</v>
      </c>
      <c r="CV83" s="6">
        <v>0</v>
      </c>
      <c r="CW83" s="6">
        <v>12</v>
      </c>
      <c r="CX83" s="6">
        <v>0</v>
      </c>
      <c r="CY83" s="6">
        <v>15</v>
      </c>
      <c r="CZ83" s="6">
        <v>0</v>
      </c>
      <c r="DA83" s="6">
        <v>18</v>
      </c>
      <c r="DB83" s="6">
        <v>0</v>
      </c>
      <c r="DC83" s="6">
        <v>20</v>
      </c>
      <c r="DD83" s="6">
        <v>0</v>
      </c>
      <c r="DE83" s="6">
        <f>CHOOSE(MATCH(Setup!$B$5,{8,10,12,14,16},0)+(MATCH(Setup!$B$7,{"STD","Half-PPR","PPR"},0)-1)*5,CA83,CC83,CE83,CG83,CI83,CK83,CM83,CO83,CQ83,CS83,CU83,CW83,CY83,DA83,DC83)</f>
        <v>15</v>
      </c>
      <c r="DF83" s="6">
        <f>CHOOSE(MATCH(Setup!$B$5,{8,10,12,14,16},0)+(MATCH(Setup!$B$7,{"STD","Half-PPR","PPR"},0)-1)*5,CB83,CD83,CF83,CH83,CJ83,CL83,CN83,CP83,CR83,CT83,CV83,CX83,CZ83,DB83,DD83)</f>
        <v>0</v>
      </c>
      <c r="DG83" s="6">
        <f>ROUND(1+DF83*'Live Calc'!$D$11,0)</f>
        <v>1</v>
      </c>
      <c r="DH83" s="6"/>
      <c r="DI83" s="6">
        <f>IF(DH83&lt;&gt;"",DH83,ROUND(DG83*INDEX('Live Calc'!$D$50:$D$70,MATCH(DE83,'Live Calc'!$A$50:$A$70,0))*'Live Calc'!$J$89,0))</f>
        <v>1</v>
      </c>
    </row>
    <row r="84" spans="39:113" x14ac:dyDescent="0.25">
      <c r="AM84" s="5" t="s">
        <v>373</v>
      </c>
      <c r="AN84" s="5" t="s">
        <v>101</v>
      </c>
      <c r="AO84" s="5">
        <v>9</v>
      </c>
      <c r="AP84" s="5">
        <v>0</v>
      </c>
      <c r="AQ84" s="5">
        <v>10</v>
      </c>
      <c r="AR84" s="5">
        <v>0</v>
      </c>
      <c r="AS84" s="5">
        <v>14</v>
      </c>
      <c r="AT84" s="5">
        <v>0</v>
      </c>
      <c r="AU84" s="5">
        <v>16</v>
      </c>
      <c r="AV84" s="5">
        <v>0</v>
      </c>
      <c r="AW84" s="5">
        <v>16</v>
      </c>
      <c r="AX84" s="5">
        <v>0</v>
      </c>
      <c r="AY84" s="5">
        <v>9</v>
      </c>
      <c r="AZ84" s="5">
        <v>0</v>
      </c>
      <c r="BA84" s="5">
        <v>11</v>
      </c>
      <c r="BB84" s="5">
        <v>0</v>
      </c>
      <c r="BC84" s="5">
        <v>13</v>
      </c>
      <c r="BD84" s="5">
        <v>0</v>
      </c>
      <c r="BE84" s="5">
        <v>17</v>
      </c>
      <c r="BF84" s="5">
        <v>0</v>
      </c>
      <c r="BG84" s="5">
        <v>17</v>
      </c>
      <c r="BH84" s="5">
        <v>0</v>
      </c>
      <c r="BI84" s="5">
        <v>11</v>
      </c>
      <c r="BJ84" s="5">
        <v>0</v>
      </c>
      <c r="BK84" s="5">
        <v>13</v>
      </c>
      <c r="BL84" s="5">
        <v>0</v>
      </c>
      <c r="BM84" s="5">
        <v>15</v>
      </c>
      <c r="BN84" s="5">
        <v>0</v>
      </c>
      <c r="BO84" s="5">
        <v>17</v>
      </c>
      <c r="BP84" s="5">
        <v>0</v>
      </c>
      <c r="BQ84" s="5">
        <v>18</v>
      </c>
      <c r="BR84" s="5">
        <v>0</v>
      </c>
      <c r="BS84" s="5">
        <f>CHOOSE(MATCH(Setup!$B$5,{8,10,12,14,16},0)+(MATCH(Setup!$B$7,{"STD","Half-PPR","PPR"},0)-1)*5,AO84,AQ84,AS84,AU84,AW84,AY84,BA84,BC84,BE84,BG84,BI84,BK84,BM84,BO84,BQ84)</f>
        <v>13</v>
      </c>
      <c r="BT84" s="5">
        <f>CHOOSE(MATCH(Setup!$B$5,{8,10,12,14,16},0)+(MATCH(Setup!$B$7,{"STD","Half-PPR","PPR"},0)-1)*5,AP84,AR84,AT84,AV84,AX84,AZ84,BB84,BD84,BF84,BH84,BJ84,BL84,BN84,BP84,BR84)</f>
        <v>0</v>
      </c>
      <c r="BU84" s="5">
        <f>ROUND(1+BT84*'Live Calc'!$D$10,0)</f>
        <v>1</v>
      </c>
      <c r="BV84" s="5"/>
      <c r="BW84" s="5">
        <f>IF(BV84&lt;&gt;"",BV84,ROUND(BU84*INDEX('Live Calc'!$D$29:$D$46,MATCH(BS84,'Live Calc'!$A$29:$A$46,0))*'Live Calc'!$J$89,0))</f>
        <v>1</v>
      </c>
      <c r="BY84" s="6" t="s">
        <v>374</v>
      </c>
      <c r="BZ84" s="6" t="s">
        <v>124</v>
      </c>
      <c r="CA84" s="6">
        <v>14</v>
      </c>
      <c r="CB84" s="6">
        <v>0</v>
      </c>
      <c r="CC84" s="6">
        <v>17</v>
      </c>
      <c r="CD84" s="6">
        <v>0</v>
      </c>
      <c r="CE84" s="6">
        <v>20</v>
      </c>
      <c r="CF84" s="6">
        <v>0</v>
      </c>
      <c r="CG84" s="6">
        <v>19</v>
      </c>
      <c r="CH84" s="6">
        <v>0</v>
      </c>
      <c r="CI84" s="6">
        <v>21</v>
      </c>
      <c r="CJ84" s="6">
        <v>0</v>
      </c>
      <c r="CK84" s="6">
        <v>10</v>
      </c>
      <c r="CL84" s="6">
        <v>0</v>
      </c>
      <c r="CM84" s="6">
        <v>15</v>
      </c>
      <c r="CN84" s="6">
        <v>0</v>
      </c>
      <c r="CO84" s="6">
        <v>15</v>
      </c>
      <c r="CP84" s="6">
        <v>0</v>
      </c>
      <c r="CQ84" s="6">
        <v>16</v>
      </c>
      <c r="CR84" s="6">
        <v>0</v>
      </c>
      <c r="CS84" s="6">
        <v>20</v>
      </c>
      <c r="CT84" s="6">
        <v>0</v>
      </c>
      <c r="CU84" s="6">
        <v>12</v>
      </c>
      <c r="CV84" s="6">
        <v>0</v>
      </c>
      <c r="CW84" s="6">
        <v>12</v>
      </c>
      <c r="CX84" s="6">
        <v>0</v>
      </c>
      <c r="CY84" s="6">
        <v>15</v>
      </c>
      <c r="CZ84" s="6">
        <v>0</v>
      </c>
      <c r="DA84" s="6">
        <v>18</v>
      </c>
      <c r="DB84" s="6">
        <v>0</v>
      </c>
      <c r="DC84" s="6">
        <v>20</v>
      </c>
      <c r="DD84" s="6">
        <v>0</v>
      </c>
      <c r="DE84" s="6">
        <f>CHOOSE(MATCH(Setup!$B$5,{8,10,12,14,16},0)+(MATCH(Setup!$B$7,{"STD","Half-PPR","PPR"},0)-1)*5,CA84,CC84,CE84,CG84,CI84,CK84,CM84,CO84,CQ84,CS84,CU84,CW84,CY84,DA84,DC84)</f>
        <v>15</v>
      </c>
      <c r="DF84" s="6">
        <f>CHOOSE(MATCH(Setup!$B$5,{8,10,12,14,16},0)+(MATCH(Setup!$B$7,{"STD","Half-PPR","PPR"},0)-1)*5,CB84,CD84,CF84,CH84,CJ84,CL84,CN84,CP84,CR84,CT84,CV84,CX84,CZ84,DB84,DD84)</f>
        <v>0</v>
      </c>
      <c r="DG84" s="6">
        <f>ROUND(1+DF84*'Live Calc'!$D$11,0)</f>
        <v>1</v>
      </c>
      <c r="DH84" s="6"/>
      <c r="DI84" s="6">
        <f>IF(DH84&lt;&gt;"",DH84,ROUND(DG84*INDEX('Live Calc'!$D$50:$D$70,MATCH(DE84,'Live Calc'!$A$50:$A$70,0))*'Live Calc'!$J$89,0))</f>
        <v>1</v>
      </c>
    </row>
    <row r="85" spans="39:113" x14ac:dyDescent="0.25">
      <c r="AM85" s="5" t="s">
        <v>375</v>
      </c>
      <c r="AN85" s="5" t="s">
        <v>253</v>
      </c>
      <c r="AO85" s="5">
        <v>9</v>
      </c>
      <c r="AP85" s="5">
        <v>0</v>
      </c>
      <c r="AQ85" s="5">
        <v>10</v>
      </c>
      <c r="AR85" s="5">
        <v>0</v>
      </c>
      <c r="AS85" s="5">
        <v>14</v>
      </c>
      <c r="AT85" s="5">
        <v>0</v>
      </c>
      <c r="AU85" s="5">
        <v>16</v>
      </c>
      <c r="AV85" s="5">
        <v>0</v>
      </c>
      <c r="AW85" s="5">
        <v>16</v>
      </c>
      <c r="AX85" s="5">
        <v>0</v>
      </c>
      <c r="AY85" s="5">
        <v>9</v>
      </c>
      <c r="AZ85" s="5">
        <v>0</v>
      </c>
      <c r="BA85" s="5">
        <v>11</v>
      </c>
      <c r="BB85" s="5">
        <v>0</v>
      </c>
      <c r="BC85" s="5">
        <v>13</v>
      </c>
      <c r="BD85" s="5">
        <v>0</v>
      </c>
      <c r="BE85" s="5">
        <v>17</v>
      </c>
      <c r="BF85" s="5">
        <v>0</v>
      </c>
      <c r="BG85" s="5">
        <v>17</v>
      </c>
      <c r="BH85" s="5">
        <v>0</v>
      </c>
      <c r="BI85" s="5">
        <v>11</v>
      </c>
      <c r="BJ85" s="5">
        <v>0</v>
      </c>
      <c r="BK85" s="5">
        <v>13</v>
      </c>
      <c r="BL85" s="5">
        <v>0</v>
      </c>
      <c r="BM85" s="5">
        <v>15</v>
      </c>
      <c r="BN85" s="5">
        <v>0</v>
      </c>
      <c r="BO85" s="5">
        <v>17</v>
      </c>
      <c r="BP85" s="5">
        <v>0</v>
      </c>
      <c r="BQ85" s="5">
        <v>18</v>
      </c>
      <c r="BR85" s="5">
        <v>0</v>
      </c>
      <c r="BS85" s="5">
        <f>CHOOSE(MATCH(Setup!$B$5,{8,10,12,14,16},0)+(MATCH(Setup!$B$7,{"STD","Half-PPR","PPR"},0)-1)*5,AO85,AQ85,AS85,AU85,AW85,AY85,BA85,BC85,BE85,BG85,BI85,BK85,BM85,BO85,BQ85)</f>
        <v>13</v>
      </c>
      <c r="BT85" s="5">
        <f>CHOOSE(MATCH(Setup!$B$5,{8,10,12,14,16},0)+(MATCH(Setup!$B$7,{"STD","Half-PPR","PPR"},0)-1)*5,AP85,AR85,AT85,AV85,AX85,AZ85,BB85,BD85,BF85,BH85,BJ85,BL85,BN85,BP85,BR85)</f>
        <v>0</v>
      </c>
      <c r="BU85" s="5">
        <f>ROUND(1+BT85*'Live Calc'!$D$10,0)</f>
        <v>1</v>
      </c>
      <c r="BV85" s="5"/>
      <c r="BW85" s="5">
        <f>IF(BV85&lt;&gt;"",BV85,ROUND(BU85*INDEX('Live Calc'!$D$29:$D$46,MATCH(BS85,'Live Calc'!$A$29:$A$46,0))*'Live Calc'!$J$89,0))</f>
        <v>1</v>
      </c>
      <c r="BY85" s="6" t="s">
        <v>376</v>
      </c>
      <c r="BZ85" s="6" t="s">
        <v>124</v>
      </c>
      <c r="CA85" s="6">
        <v>14</v>
      </c>
      <c r="CB85" s="6">
        <v>0</v>
      </c>
      <c r="CC85" s="6">
        <v>17</v>
      </c>
      <c r="CD85" s="6">
        <v>0</v>
      </c>
      <c r="CE85" s="6">
        <v>20</v>
      </c>
      <c r="CF85" s="6">
        <v>0</v>
      </c>
      <c r="CG85" s="6">
        <v>19</v>
      </c>
      <c r="CH85" s="6">
        <v>0</v>
      </c>
      <c r="CI85" s="6">
        <v>21</v>
      </c>
      <c r="CJ85" s="6">
        <v>0</v>
      </c>
      <c r="CK85" s="6">
        <v>10</v>
      </c>
      <c r="CL85" s="6">
        <v>0</v>
      </c>
      <c r="CM85" s="6">
        <v>15</v>
      </c>
      <c r="CN85" s="6">
        <v>0</v>
      </c>
      <c r="CO85" s="6">
        <v>15</v>
      </c>
      <c r="CP85" s="6">
        <v>0</v>
      </c>
      <c r="CQ85" s="6">
        <v>16</v>
      </c>
      <c r="CR85" s="6">
        <v>0</v>
      </c>
      <c r="CS85" s="6">
        <v>20</v>
      </c>
      <c r="CT85" s="6">
        <v>0</v>
      </c>
      <c r="CU85" s="6">
        <v>12</v>
      </c>
      <c r="CV85" s="6">
        <v>0</v>
      </c>
      <c r="CW85" s="6">
        <v>12</v>
      </c>
      <c r="CX85" s="6">
        <v>0</v>
      </c>
      <c r="CY85" s="6">
        <v>15</v>
      </c>
      <c r="CZ85" s="6">
        <v>0</v>
      </c>
      <c r="DA85" s="6">
        <v>18</v>
      </c>
      <c r="DB85" s="6">
        <v>0</v>
      </c>
      <c r="DC85" s="6">
        <v>20</v>
      </c>
      <c r="DD85" s="6">
        <v>0</v>
      </c>
      <c r="DE85" s="6">
        <f>CHOOSE(MATCH(Setup!$B$5,{8,10,12,14,16},0)+(MATCH(Setup!$B$7,{"STD","Half-PPR","PPR"},0)-1)*5,CA85,CC85,CE85,CG85,CI85,CK85,CM85,CO85,CQ85,CS85,CU85,CW85,CY85,DA85,DC85)</f>
        <v>15</v>
      </c>
      <c r="DF85" s="6">
        <f>CHOOSE(MATCH(Setup!$B$5,{8,10,12,14,16},0)+(MATCH(Setup!$B$7,{"STD","Half-PPR","PPR"},0)-1)*5,CB85,CD85,CF85,CH85,CJ85,CL85,CN85,CP85,CR85,CT85,CV85,CX85,CZ85,DB85,DD85)</f>
        <v>0</v>
      </c>
      <c r="DG85" s="6">
        <f>ROUND(1+DF85*'Live Calc'!$D$11,0)</f>
        <v>1</v>
      </c>
      <c r="DH85" s="6"/>
      <c r="DI85" s="6">
        <f>IF(DH85&lt;&gt;"",DH85,ROUND(DG85*INDEX('Live Calc'!$D$50:$D$70,MATCH(DE85,'Live Calc'!$A$50:$A$70,0))*'Live Calc'!$J$89,0))</f>
        <v>1</v>
      </c>
    </row>
    <row r="86" spans="39:113" x14ac:dyDescent="0.25">
      <c r="AM86" s="5" t="s">
        <v>377</v>
      </c>
      <c r="AN86" s="5" t="s">
        <v>91</v>
      </c>
      <c r="AO86" s="5">
        <v>9</v>
      </c>
      <c r="AP86" s="5">
        <v>0</v>
      </c>
      <c r="AQ86" s="5">
        <v>10</v>
      </c>
      <c r="AR86" s="5">
        <v>0</v>
      </c>
      <c r="AS86" s="5">
        <v>14</v>
      </c>
      <c r="AT86" s="5">
        <v>0</v>
      </c>
      <c r="AU86" s="5">
        <v>16</v>
      </c>
      <c r="AV86" s="5">
        <v>0</v>
      </c>
      <c r="AW86" s="5">
        <v>16</v>
      </c>
      <c r="AX86" s="5">
        <v>0</v>
      </c>
      <c r="AY86" s="5">
        <v>9</v>
      </c>
      <c r="AZ86" s="5">
        <v>0</v>
      </c>
      <c r="BA86" s="5">
        <v>11</v>
      </c>
      <c r="BB86" s="5">
        <v>0</v>
      </c>
      <c r="BC86" s="5">
        <v>13</v>
      </c>
      <c r="BD86" s="5">
        <v>0</v>
      </c>
      <c r="BE86" s="5">
        <v>17</v>
      </c>
      <c r="BF86" s="5">
        <v>0</v>
      </c>
      <c r="BG86" s="5">
        <v>17</v>
      </c>
      <c r="BH86" s="5">
        <v>0</v>
      </c>
      <c r="BI86" s="5">
        <v>11</v>
      </c>
      <c r="BJ86" s="5">
        <v>0</v>
      </c>
      <c r="BK86" s="5">
        <v>13</v>
      </c>
      <c r="BL86" s="5">
        <v>0</v>
      </c>
      <c r="BM86" s="5">
        <v>15</v>
      </c>
      <c r="BN86" s="5">
        <v>0</v>
      </c>
      <c r="BO86" s="5">
        <v>17</v>
      </c>
      <c r="BP86" s="5">
        <v>0</v>
      </c>
      <c r="BQ86" s="5">
        <v>18</v>
      </c>
      <c r="BR86" s="5">
        <v>0</v>
      </c>
      <c r="BS86" s="5">
        <f>CHOOSE(MATCH(Setup!$B$5,{8,10,12,14,16},0)+(MATCH(Setup!$B$7,{"STD","Half-PPR","PPR"},0)-1)*5,AO86,AQ86,AS86,AU86,AW86,AY86,BA86,BC86,BE86,BG86,BI86,BK86,BM86,BO86,BQ86)</f>
        <v>13</v>
      </c>
      <c r="BT86" s="5">
        <f>CHOOSE(MATCH(Setup!$B$5,{8,10,12,14,16},0)+(MATCH(Setup!$B$7,{"STD","Half-PPR","PPR"},0)-1)*5,AP86,AR86,AT86,AV86,AX86,AZ86,BB86,BD86,BF86,BH86,BJ86,BL86,BN86,BP86,BR86)</f>
        <v>0</v>
      </c>
      <c r="BU86" s="5">
        <f>ROUND(1+BT86*'Live Calc'!$D$10,0)</f>
        <v>1</v>
      </c>
      <c r="BV86" s="5"/>
      <c r="BW86" s="5">
        <f>IF(BV86&lt;&gt;"",BV86,ROUND(BU86*INDEX('Live Calc'!$D$29:$D$46,MATCH(BS86,'Live Calc'!$A$29:$A$46,0))*'Live Calc'!$J$89,0))</f>
        <v>1</v>
      </c>
      <c r="BY86" s="6" t="s">
        <v>378</v>
      </c>
      <c r="BZ86" s="6" t="s">
        <v>253</v>
      </c>
      <c r="CA86" s="6">
        <v>14</v>
      </c>
      <c r="CB86" s="6">
        <v>0</v>
      </c>
      <c r="CC86" s="6">
        <v>17</v>
      </c>
      <c r="CD86" s="6">
        <v>0</v>
      </c>
      <c r="CE86" s="6">
        <v>20</v>
      </c>
      <c r="CF86" s="6">
        <v>0</v>
      </c>
      <c r="CG86" s="6">
        <v>19</v>
      </c>
      <c r="CH86" s="6">
        <v>0</v>
      </c>
      <c r="CI86" s="6">
        <v>21</v>
      </c>
      <c r="CJ86" s="6">
        <v>0</v>
      </c>
      <c r="CK86" s="6">
        <v>10</v>
      </c>
      <c r="CL86" s="6">
        <v>0</v>
      </c>
      <c r="CM86" s="6">
        <v>15</v>
      </c>
      <c r="CN86" s="6">
        <v>0</v>
      </c>
      <c r="CO86" s="6">
        <v>15</v>
      </c>
      <c r="CP86" s="6">
        <v>0</v>
      </c>
      <c r="CQ86" s="6">
        <v>16</v>
      </c>
      <c r="CR86" s="6">
        <v>0</v>
      </c>
      <c r="CS86" s="6">
        <v>20</v>
      </c>
      <c r="CT86" s="6">
        <v>0</v>
      </c>
      <c r="CU86" s="6">
        <v>12</v>
      </c>
      <c r="CV86" s="6">
        <v>0</v>
      </c>
      <c r="CW86" s="6">
        <v>12</v>
      </c>
      <c r="CX86" s="6">
        <v>0</v>
      </c>
      <c r="CY86" s="6">
        <v>15</v>
      </c>
      <c r="CZ86" s="6">
        <v>0</v>
      </c>
      <c r="DA86" s="6">
        <v>18</v>
      </c>
      <c r="DB86" s="6">
        <v>0</v>
      </c>
      <c r="DC86" s="6">
        <v>20</v>
      </c>
      <c r="DD86" s="6">
        <v>0</v>
      </c>
      <c r="DE86" s="6">
        <f>CHOOSE(MATCH(Setup!$B$5,{8,10,12,14,16},0)+(MATCH(Setup!$B$7,{"STD","Half-PPR","PPR"},0)-1)*5,CA86,CC86,CE86,CG86,CI86,CK86,CM86,CO86,CQ86,CS86,CU86,CW86,CY86,DA86,DC86)</f>
        <v>15</v>
      </c>
      <c r="DF86" s="6">
        <f>CHOOSE(MATCH(Setup!$B$5,{8,10,12,14,16},0)+(MATCH(Setup!$B$7,{"STD","Half-PPR","PPR"},0)-1)*5,CB86,CD86,CF86,CH86,CJ86,CL86,CN86,CP86,CR86,CT86,CV86,CX86,CZ86,DB86,DD86)</f>
        <v>0</v>
      </c>
      <c r="DG86" s="6">
        <f>ROUND(1+DF86*'Live Calc'!$D$11,0)</f>
        <v>1</v>
      </c>
      <c r="DH86" s="6"/>
      <c r="DI86" s="6">
        <f>IF(DH86&lt;&gt;"",DH86,ROUND(DG86*INDEX('Live Calc'!$D$50:$D$70,MATCH(DE86,'Live Calc'!$A$50:$A$70,0))*'Live Calc'!$J$89,0))</f>
        <v>1</v>
      </c>
    </row>
    <row r="87" spans="39:113" x14ac:dyDescent="0.25">
      <c r="AM87" s="5" t="s">
        <v>379</v>
      </c>
      <c r="AN87" s="5" t="s">
        <v>253</v>
      </c>
      <c r="AO87" s="5">
        <v>9</v>
      </c>
      <c r="AP87" s="5">
        <v>0</v>
      </c>
      <c r="AQ87" s="5">
        <v>10</v>
      </c>
      <c r="AR87" s="5">
        <v>0</v>
      </c>
      <c r="AS87" s="5">
        <v>14</v>
      </c>
      <c r="AT87" s="5">
        <v>0</v>
      </c>
      <c r="AU87" s="5">
        <v>16</v>
      </c>
      <c r="AV87" s="5">
        <v>0</v>
      </c>
      <c r="AW87" s="5">
        <v>16</v>
      </c>
      <c r="AX87" s="5">
        <v>0</v>
      </c>
      <c r="AY87" s="5">
        <v>9</v>
      </c>
      <c r="AZ87" s="5">
        <v>0</v>
      </c>
      <c r="BA87" s="5">
        <v>11</v>
      </c>
      <c r="BB87" s="5">
        <v>0</v>
      </c>
      <c r="BC87" s="5">
        <v>13</v>
      </c>
      <c r="BD87" s="5">
        <v>0</v>
      </c>
      <c r="BE87" s="5">
        <v>17</v>
      </c>
      <c r="BF87" s="5">
        <v>0</v>
      </c>
      <c r="BG87" s="5">
        <v>17</v>
      </c>
      <c r="BH87" s="5">
        <v>0</v>
      </c>
      <c r="BI87" s="5">
        <v>11</v>
      </c>
      <c r="BJ87" s="5">
        <v>0</v>
      </c>
      <c r="BK87" s="5">
        <v>13</v>
      </c>
      <c r="BL87" s="5">
        <v>0</v>
      </c>
      <c r="BM87" s="5">
        <v>15</v>
      </c>
      <c r="BN87" s="5">
        <v>0</v>
      </c>
      <c r="BO87" s="5">
        <v>17</v>
      </c>
      <c r="BP87" s="5">
        <v>0</v>
      </c>
      <c r="BQ87" s="5">
        <v>18</v>
      </c>
      <c r="BR87" s="5">
        <v>0</v>
      </c>
      <c r="BS87" s="5">
        <f>CHOOSE(MATCH(Setup!$B$5,{8,10,12,14,16},0)+(MATCH(Setup!$B$7,{"STD","Half-PPR","PPR"},0)-1)*5,AO87,AQ87,AS87,AU87,AW87,AY87,BA87,BC87,BE87,BG87,BI87,BK87,BM87,BO87,BQ87)</f>
        <v>13</v>
      </c>
      <c r="BT87" s="5">
        <f>CHOOSE(MATCH(Setup!$B$5,{8,10,12,14,16},0)+(MATCH(Setup!$B$7,{"STD","Half-PPR","PPR"},0)-1)*5,AP87,AR87,AT87,AV87,AX87,AZ87,BB87,BD87,BF87,BH87,BJ87,BL87,BN87,BP87,BR87)</f>
        <v>0</v>
      </c>
      <c r="BU87" s="5">
        <f>ROUND(1+BT87*'Live Calc'!$D$10,0)</f>
        <v>1</v>
      </c>
      <c r="BV87" s="5"/>
      <c r="BW87" s="5">
        <f>IF(BV87&lt;&gt;"",BV87,ROUND(BU87*INDEX('Live Calc'!$D$29:$D$46,MATCH(BS87,'Live Calc'!$A$29:$A$46,0))*'Live Calc'!$J$89,0))</f>
        <v>1</v>
      </c>
      <c r="BY87" s="6" t="s">
        <v>380</v>
      </c>
      <c r="BZ87" s="6" t="s">
        <v>110</v>
      </c>
      <c r="CA87" s="6">
        <v>14</v>
      </c>
      <c r="CB87" s="6">
        <v>0</v>
      </c>
      <c r="CC87" s="6">
        <v>17</v>
      </c>
      <c r="CD87" s="6">
        <v>0</v>
      </c>
      <c r="CE87" s="6">
        <v>20</v>
      </c>
      <c r="CF87" s="6">
        <v>0</v>
      </c>
      <c r="CG87" s="6">
        <v>19</v>
      </c>
      <c r="CH87" s="6">
        <v>0</v>
      </c>
      <c r="CI87" s="6">
        <v>21</v>
      </c>
      <c r="CJ87" s="6">
        <v>0</v>
      </c>
      <c r="CK87" s="6">
        <v>10</v>
      </c>
      <c r="CL87" s="6">
        <v>0</v>
      </c>
      <c r="CM87" s="6">
        <v>15</v>
      </c>
      <c r="CN87" s="6">
        <v>0</v>
      </c>
      <c r="CO87" s="6">
        <v>15</v>
      </c>
      <c r="CP87" s="6">
        <v>0</v>
      </c>
      <c r="CQ87" s="6">
        <v>16</v>
      </c>
      <c r="CR87" s="6">
        <v>0</v>
      </c>
      <c r="CS87" s="6">
        <v>20</v>
      </c>
      <c r="CT87" s="6">
        <v>0</v>
      </c>
      <c r="CU87" s="6">
        <v>12</v>
      </c>
      <c r="CV87" s="6">
        <v>0</v>
      </c>
      <c r="CW87" s="6">
        <v>12</v>
      </c>
      <c r="CX87" s="6">
        <v>0</v>
      </c>
      <c r="CY87" s="6">
        <v>15</v>
      </c>
      <c r="CZ87" s="6">
        <v>0</v>
      </c>
      <c r="DA87" s="6">
        <v>18</v>
      </c>
      <c r="DB87" s="6">
        <v>0</v>
      </c>
      <c r="DC87" s="6">
        <v>20</v>
      </c>
      <c r="DD87" s="6">
        <v>0</v>
      </c>
      <c r="DE87" s="6">
        <f>CHOOSE(MATCH(Setup!$B$5,{8,10,12,14,16},0)+(MATCH(Setup!$B$7,{"STD","Half-PPR","PPR"},0)-1)*5,CA87,CC87,CE87,CG87,CI87,CK87,CM87,CO87,CQ87,CS87,CU87,CW87,CY87,DA87,DC87)</f>
        <v>15</v>
      </c>
      <c r="DF87" s="6">
        <f>CHOOSE(MATCH(Setup!$B$5,{8,10,12,14,16},0)+(MATCH(Setup!$B$7,{"STD","Half-PPR","PPR"},0)-1)*5,CB87,CD87,CF87,CH87,CJ87,CL87,CN87,CP87,CR87,CT87,CV87,CX87,CZ87,DB87,DD87)</f>
        <v>0</v>
      </c>
      <c r="DG87" s="6">
        <f>ROUND(1+DF87*'Live Calc'!$D$11,0)</f>
        <v>1</v>
      </c>
      <c r="DH87" s="6"/>
      <c r="DI87" s="6">
        <f>IF(DH87&lt;&gt;"",DH87,ROUND(DG87*INDEX('Live Calc'!$D$50:$D$70,MATCH(DE87,'Live Calc'!$A$50:$A$70,0))*'Live Calc'!$J$89,0))</f>
        <v>1</v>
      </c>
    </row>
    <row r="88" spans="39:113" x14ac:dyDescent="0.25">
      <c r="AM88" s="5" t="s">
        <v>381</v>
      </c>
      <c r="AN88" s="5" t="s">
        <v>88</v>
      </c>
      <c r="AO88" s="5">
        <v>9</v>
      </c>
      <c r="AP88" s="5">
        <v>0</v>
      </c>
      <c r="AQ88" s="5">
        <v>10</v>
      </c>
      <c r="AR88" s="5">
        <v>0</v>
      </c>
      <c r="AS88" s="5">
        <v>14</v>
      </c>
      <c r="AT88" s="5">
        <v>0</v>
      </c>
      <c r="AU88" s="5">
        <v>16</v>
      </c>
      <c r="AV88" s="5">
        <v>0</v>
      </c>
      <c r="AW88" s="5">
        <v>16</v>
      </c>
      <c r="AX88" s="5">
        <v>0</v>
      </c>
      <c r="AY88" s="5">
        <v>9</v>
      </c>
      <c r="AZ88" s="5">
        <v>0</v>
      </c>
      <c r="BA88" s="5">
        <v>11</v>
      </c>
      <c r="BB88" s="5">
        <v>0</v>
      </c>
      <c r="BC88" s="5">
        <v>13</v>
      </c>
      <c r="BD88" s="5">
        <v>0</v>
      </c>
      <c r="BE88" s="5">
        <v>17</v>
      </c>
      <c r="BF88" s="5">
        <v>0</v>
      </c>
      <c r="BG88" s="5">
        <v>17</v>
      </c>
      <c r="BH88" s="5">
        <v>0</v>
      </c>
      <c r="BI88" s="5">
        <v>11</v>
      </c>
      <c r="BJ88" s="5">
        <v>0</v>
      </c>
      <c r="BK88" s="5">
        <v>13</v>
      </c>
      <c r="BL88" s="5">
        <v>0</v>
      </c>
      <c r="BM88" s="5">
        <v>15</v>
      </c>
      <c r="BN88" s="5">
        <v>0</v>
      </c>
      <c r="BO88" s="5">
        <v>17</v>
      </c>
      <c r="BP88" s="5">
        <v>0</v>
      </c>
      <c r="BQ88" s="5">
        <v>18</v>
      </c>
      <c r="BR88" s="5">
        <v>0</v>
      </c>
      <c r="BS88" s="5">
        <f>CHOOSE(MATCH(Setup!$B$5,{8,10,12,14,16},0)+(MATCH(Setup!$B$7,{"STD","Half-PPR","PPR"},0)-1)*5,AO88,AQ88,AS88,AU88,AW88,AY88,BA88,BC88,BE88,BG88,BI88,BK88,BM88,BO88,BQ88)</f>
        <v>13</v>
      </c>
      <c r="BT88" s="5">
        <f>CHOOSE(MATCH(Setup!$B$5,{8,10,12,14,16},0)+(MATCH(Setup!$B$7,{"STD","Half-PPR","PPR"},0)-1)*5,AP88,AR88,AT88,AV88,AX88,AZ88,BB88,BD88,BF88,BH88,BJ88,BL88,BN88,BP88,BR88)</f>
        <v>0</v>
      </c>
      <c r="BU88" s="5">
        <f>ROUND(1+BT88*'Live Calc'!$D$10,0)</f>
        <v>1</v>
      </c>
      <c r="BV88" s="5"/>
      <c r="BW88" s="5">
        <f>IF(BV88&lt;&gt;"",BV88,ROUND(BU88*INDEX('Live Calc'!$D$29:$D$46,MATCH(BS88,'Live Calc'!$A$29:$A$46,0))*'Live Calc'!$J$89,0))</f>
        <v>1</v>
      </c>
      <c r="BY88" s="6" t="s">
        <v>382</v>
      </c>
      <c r="BZ88" s="6" t="s">
        <v>88</v>
      </c>
      <c r="CA88" s="6">
        <v>14</v>
      </c>
      <c r="CB88" s="6">
        <v>0</v>
      </c>
      <c r="CC88" s="6">
        <v>17</v>
      </c>
      <c r="CD88" s="6">
        <v>0</v>
      </c>
      <c r="CE88" s="6">
        <v>20</v>
      </c>
      <c r="CF88" s="6">
        <v>0</v>
      </c>
      <c r="CG88" s="6">
        <v>19</v>
      </c>
      <c r="CH88" s="6">
        <v>0</v>
      </c>
      <c r="CI88" s="6">
        <v>21</v>
      </c>
      <c r="CJ88" s="6">
        <v>0</v>
      </c>
      <c r="CK88" s="6">
        <v>10</v>
      </c>
      <c r="CL88" s="6">
        <v>0</v>
      </c>
      <c r="CM88" s="6">
        <v>15</v>
      </c>
      <c r="CN88" s="6">
        <v>0</v>
      </c>
      <c r="CO88" s="6">
        <v>15</v>
      </c>
      <c r="CP88" s="6">
        <v>0</v>
      </c>
      <c r="CQ88" s="6">
        <v>16</v>
      </c>
      <c r="CR88" s="6">
        <v>0</v>
      </c>
      <c r="CS88" s="6">
        <v>20</v>
      </c>
      <c r="CT88" s="6">
        <v>0</v>
      </c>
      <c r="CU88" s="6">
        <v>12</v>
      </c>
      <c r="CV88" s="6">
        <v>0</v>
      </c>
      <c r="CW88" s="6">
        <v>12</v>
      </c>
      <c r="CX88" s="6">
        <v>0</v>
      </c>
      <c r="CY88" s="6">
        <v>15</v>
      </c>
      <c r="CZ88" s="6">
        <v>0</v>
      </c>
      <c r="DA88" s="6">
        <v>18</v>
      </c>
      <c r="DB88" s="6">
        <v>0</v>
      </c>
      <c r="DC88" s="6">
        <v>20</v>
      </c>
      <c r="DD88" s="6">
        <v>0</v>
      </c>
      <c r="DE88" s="6">
        <f>CHOOSE(MATCH(Setup!$B$5,{8,10,12,14,16},0)+(MATCH(Setup!$B$7,{"STD","Half-PPR","PPR"},0)-1)*5,CA88,CC88,CE88,CG88,CI88,CK88,CM88,CO88,CQ88,CS88,CU88,CW88,CY88,DA88,DC88)</f>
        <v>15</v>
      </c>
      <c r="DF88" s="6">
        <f>CHOOSE(MATCH(Setup!$B$5,{8,10,12,14,16},0)+(MATCH(Setup!$B$7,{"STD","Half-PPR","PPR"},0)-1)*5,CB88,CD88,CF88,CH88,CJ88,CL88,CN88,CP88,CR88,CT88,CV88,CX88,CZ88,DB88,DD88)</f>
        <v>0</v>
      </c>
      <c r="DG88" s="6">
        <f>ROUND(1+DF88*'Live Calc'!$D$11,0)</f>
        <v>1</v>
      </c>
      <c r="DH88" s="6"/>
      <c r="DI88" s="6">
        <f>IF(DH88&lt;&gt;"",DH88,ROUND(DG88*INDEX('Live Calc'!$D$50:$D$70,MATCH(DE88,'Live Calc'!$A$50:$A$70,0))*'Live Calc'!$J$89,0))</f>
        <v>1</v>
      </c>
    </row>
    <row r="89" spans="39:113" x14ac:dyDescent="0.25">
      <c r="AM89" s="5" t="s">
        <v>383</v>
      </c>
      <c r="AN89" s="5" t="s">
        <v>117</v>
      </c>
      <c r="AO89" s="5">
        <v>9</v>
      </c>
      <c r="AP89" s="5">
        <v>0</v>
      </c>
      <c r="AQ89" s="5">
        <v>10</v>
      </c>
      <c r="AR89" s="5">
        <v>0</v>
      </c>
      <c r="AS89" s="5">
        <v>14</v>
      </c>
      <c r="AT89" s="5">
        <v>0</v>
      </c>
      <c r="AU89" s="5">
        <v>16</v>
      </c>
      <c r="AV89" s="5">
        <v>0</v>
      </c>
      <c r="AW89" s="5">
        <v>16</v>
      </c>
      <c r="AX89" s="5">
        <v>0</v>
      </c>
      <c r="AY89" s="5">
        <v>9</v>
      </c>
      <c r="AZ89" s="5">
        <v>0</v>
      </c>
      <c r="BA89" s="5">
        <v>11</v>
      </c>
      <c r="BB89" s="5">
        <v>0</v>
      </c>
      <c r="BC89" s="5">
        <v>13</v>
      </c>
      <c r="BD89" s="5">
        <v>0</v>
      </c>
      <c r="BE89" s="5">
        <v>17</v>
      </c>
      <c r="BF89" s="5">
        <v>0</v>
      </c>
      <c r="BG89" s="5">
        <v>17</v>
      </c>
      <c r="BH89" s="5">
        <v>0</v>
      </c>
      <c r="BI89" s="5">
        <v>11</v>
      </c>
      <c r="BJ89" s="5">
        <v>0</v>
      </c>
      <c r="BK89" s="5">
        <v>13</v>
      </c>
      <c r="BL89" s="5">
        <v>0</v>
      </c>
      <c r="BM89" s="5">
        <v>15</v>
      </c>
      <c r="BN89" s="5">
        <v>0</v>
      </c>
      <c r="BO89" s="5">
        <v>17</v>
      </c>
      <c r="BP89" s="5">
        <v>0</v>
      </c>
      <c r="BQ89" s="5">
        <v>18</v>
      </c>
      <c r="BR89" s="5">
        <v>0</v>
      </c>
      <c r="BS89" s="5">
        <f>CHOOSE(MATCH(Setup!$B$5,{8,10,12,14,16},0)+(MATCH(Setup!$B$7,{"STD","Half-PPR","PPR"},0)-1)*5,AO89,AQ89,AS89,AU89,AW89,AY89,BA89,BC89,BE89,BG89,BI89,BK89,BM89,BO89,BQ89)</f>
        <v>13</v>
      </c>
      <c r="BT89" s="5">
        <f>CHOOSE(MATCH(Setup!$B$5,{8,10,12,14,16},0)+(MATCH(Setup!$B$7,{"STD","Half-PPR","PPR"},0)-1)*5,AP89,AR89,AT89,AV89,AX89,AZ89,BB89,BD89,BF89,BH89,BJ89,BL89,BN89,BP89,BR89)</f>
        <v>0</v>
      </c>
      <c r="BU89" s="5">
        <f>ROUND(1+BT89*'Live Calc'!$D$10,0)</f>
        <v>1</v>
      </c>
      <c r="BV89" s="5"/>
      <c r="BW89" s="5">
        <f>IF(BV89&lt;&gt;"",BV89,ROUND(BU89*INDEX('Live Calc'!$D$29:$D$46,MATCH(BS89,'Live Calc'!$A$29:$A$46,0))*'Live Calc'!$J$89,0))</f>
        <v>1</v>
      </c>
      <c r="BY89" s="6" t="s">
        <v>384</v>
      </c>
      <c r="BZ89" s="6" t="s">
        <v>76</v>
      </c>
      <c r="CA89" s="6">
        <v>14</v>
      </c>
      <c r="CB89" s="6">
        <v>0</v>
      </c>
      <c r="CC89" s="6">
        <v>17</v>
      </c>
      <c r="CD89" s="6">
        <v>0</v>
      </c>
      <c r="CE89" s="6">
        <v>20</v>
      </c>
      <c r="CF89" s="6">
        <v>0</v>
      </c>
      <c r="CG89" s="6">
        <v>19</v>
      </c>
      <c r="CH89" s="6">
        <v>0</v>
      </c>
      <c r="CI89" s="6">
        <v>21</v>
      </c>
      <c r="CJ89" s="6">
        <v>0</v>
      </c>
      <c r="CK89" s="6">
        <v>10</v>
      </c>
      <c r="CL89" s="6">
        <v>0</v>
      </c>
      <c r="CM89" s="6">
        <v>15</v>
      </c>
      <c r="CN89" s="6">
        <v>0</v>
      </c>
      <c r="CO89" s="6">
        <v>15</v>
      </c>
      <c r="CP89" s="6">
        <v>0</v>
      </c>
      <c r="CQ89" s="6">
        <v>16</v>
      </c>
      <c r="CR89" s="6">
        <v>0</v>
      </c>
      <c r="CS89" s="6">
        <v>20</v>
      </c>
      <c r="CT89" s="6">
        <v>0</v>
      </c>
      <c r="CU89" s="6">
        <v>12</v>
      </c>
      <c r="CV89" s="6">
        <v>0</v>
      </c>
      <c r="CW89" s="6">
        <v>12</v>
      </c>
      <c r="CX89" s="6">
        <v>0</v>
      </c>
      <c r="CY89" s="6">
        <v>15</v>
      </c>
      <c r="CZ89" s="6">
        <v>0</v>
      </c>
      <c r="DA89" s="6">
        <v>18</v>
      </c>
      <c r="DB89" s="6">
        <v>0</v>
      </c>
      <c r="DC89" s="6">
        <v>20</v>
      </c>
      <c r="DD89" s="6">
        <v>0</v>
      </c>
      <c r="DE89" s="6">
        <f>CHOOSE(MATCH(Setup!$B$5,{8,10,12,14,16},0)+(MATCH(Setup!$B$7,{"STD","Half-PPR","PPR"},0)-1)*5,CA89,CC89,CE89,CG89,CI89,CK89,CM89,CO89,CQ89,CS89,CU89,CW89,CY89,DA89,DC89)</f>
        <v>15</v>
      </c>
      <c r="DF89" s="6">
        <f>CHOOSE(MATCH(Setup!$B$5,{8,10,12,14,16},0)+(MATCH(Setup!$B$7,{"STD","Half-PPR","PPR"},0)-1)*5,CB89,CD89,CF89,CH89,CJ89,CL89,CN89,CP89,CR89,CT89,CV89,CX89,CZ89,DB89,DD89)</f>
        <v>0</v>
      </c>
      <c r="DG89" s="6">
        <f>ROUND(1+DF89*'Live Calc'!$D$11,0)</f>
        <v>1</v>
      </c>
      <c r="DH89" s="6"/>
      <c r="DI89" s="6">
        <f>IF(DH89&lt;&gt;"",DH89,ROUND(DG89*INDEX('Live Calc'!$D$50:$D$70,MATCH(DE89,'Live Calc'!$A$50:$A$70,0))*'Live Calc'!$J$89,0))</f>
        <v>1</v>
      </c>
    </row>
    <row r="90" spans="39:113" x14ac:dyDescent="0.25">
      <c r="AM90" s="5" t="s">
        <v>385</v>
      </c>
      <c r="AN90" s="5" t="s">
        <v>145</v>
      </c>
      <c r="AO90" s="5">
        <v>9</v>
      </c>
      <c r="AP90" s="5">
        <v>0</v>
      </c>
      <c r="AQ90" s="5">
        <v>10</v>
      </c>
      <c r="AR90" s="5">
        <v>0</v>
      </c>
      <c r="AS90" s="5">
        <v>14</v>
      </c>
      <c r="AT90" s="5">
        <v>0</v>
      </c>
      <c r="AU90" s="5">
        <v>16</v>
      </c>
      <c r="AV90" s="5">
        <v>0</v>
      </c>
      <c r="AW90" s="5">
        <v>16</v>
      </c>
      <c r="AX90" s="5">
        <v>0</v>
      </c>
      <c r="AY90" s="5">
        <v>9</v>
      </c>
      <c r="AZ90" s="5">
        <v>0</v>
      </c>
      <c r="BA90" s="5">
        <v>11</v>
      </c>
      <c r="BB90" s="5">
        <v>0</v>
      </c>
      <c r="BC90" s="5">
        <v>13</v>
      </c>
      <c r="BD90" s="5">
        <v>0</v>
      </c>
      <c r="BE90" s="5">
        <v>17</v>
      </c>
      <c r="BF90" s="5">
        <v>0</v>
      </c>
      <c r="BG90" s="5">
        <v>17</v>
      </c>
      <c r="BH90" s="5">
        <v>0</v>
      </c>
      <c r="BI90" s="5">
        <v>11</v>
      </c>
      <c r="BJ90" s="5">
        <v>0</v>
      </c>
      <c r="BK90" s="5">
        <v>13</v>
      </c>
      <c r="BL90" s="5">
        <v>0</v>
      </c>
      <c r="BM90" s="5">
        <v>15</v>
      </c>
      <c r="BN90" s="5">
        <v>0</v>
      </c>
      <c r="BO90" s="5">
        <v>17</v>
      </c>
      <c r="BP90" s="5">
        <v>0</v>
      </c>
      <c r="BQ90" s="5">
        <v>18</v>
      </c>
      <c r="BR90" s="5">
        <v>0</v>
      </c>
      <c r="BS90" s="5">
        <f>CHOOSE(MATCH(Setup!$B$5,{8,10,12,14,16},0)+(MATCH(Setup!$B$7,{"STD","Half-PPR","PPR"},0)-1)*5,AO90,AQ90,AS90,AU90,AW90,AY90,BA90,BC90,BE90,BG90,BI90,BK90,BM90,BO90,BQ90)</f>
        <v>13</v>
      </c>
      <c r="BT90" s="5">
        <f>CHOOSE(MATCH(Setup!$B$5,{8,10,12,14,16},0)+(MATCH(Setup!$B$7,{"STD","Half-PPR","PPR"},0)-1)*5,AP90,AR90,AT90,AV90,AX90,AZ90,BB90,BD90,BF90,BH90,BJ90,BL90,BN90,BP90,BR90)</f>
        <v>0</v>
      </c>
      <c r="BU90" s="5">
        <f>ROUND(1+BT90*'Live Calc'!$D$10,0)</f>
        <v>1</v>
      </c>
      <c r="BV90" s="5"/>
      <c r="BW90" s="5">
        <f>IF(BV90&lt;&gt;"",BV90,ROUND(BU90*INDEX('Live Calc'!$D$29:$D$46,MATCH(BS90,'Live Calc'!$A$29:$A$46,0))*'Live Calc'!$J$89,0))</f>
        <v>1</v>
      </c>
      <c r="BY90" s="6" t="s">
        <v>386</v>
      </c>
      <c r="BZ90" s="6" t="s">
        <v>60</v>
      </c>
      <c r="CA90" s="6">
        <v>14</v>
      </c>
      <c r="CB90" s="6">
        <v>0</v>
      </c>
      <c r="CC90" s="6">
        <v>17</v>
      </c>
      <c r="CD90" s="6">
        <v>0</v>
      </c>
      <c r="CE90" s="6">
        <v>20</v>
      </c>
      <c r="CF90" s="6">
        <v>0</v>
      </c>
      <c r="CG90" s="6">
        <v>19</v>
      </c>
      <c r="CH90" s="6">
        <v>0</v>
      </c>
      <c r="CI90" s="6">
        <v>21</v>
      </c>
      <c r="CJ90" s="6">
        <v>0</v>
      </c>
      <c r="CK90" s="6">
        <v>10</v>
      </c>
      <c r="CL90" s="6">
        <v>0</v>
      </c>
      <c r="CM90" s="6">
        <v>15</v>
      </c>
      <c r="CN90" s="6">
        <v>0</v>
      </c>
      <c r="CO90" s="6">
        <v>15</v>
      </c>
      <c r="CP90" s="6">
        <v>0</v>
      </c>
      <c r="CQ90" s="6">
        <v>16</v>
      </c>
      <c r="CR90" s="6">
        <v>0</v>
      </c>
      <c r="CS90" s="6">
        <v>20</v>
      </c>
      <c r="CT90" s="6">
        <v>0</v>
      </c>
      <c r="CU90" s="6">
        <v>12</v>
      </c>
      <c r="CV90" s="6">
        <v>0</v>
      </c>
      <c r="CW90" s="6">
        <v>12</v>
      </c>
      <c r="CX90" s="6">
        <v>0</v>
      </c>
      <c r="CY90" s="6">
        <v>15</v>
      </c>
      <c r="CZ90" s="6">
        <v>0</v>
      </c>
      <c r="DA90" s="6">
        <v>18</v>
      </c>
      <c r="DB90" s="6">
        <v>0</v>
      </c>
      <c r="DC90" s="6">
        <v>20</v>
      </c>
      <c r="DD90" s="6">
        <v>0</v>
      </c>
      <c r="DE90" s="6">
        <f>CHOOSE(MATCH(Setup!$B$5,{8,10,12,14,16},0)+(MATCH(Setup!$B$7,{"STD","Half-PPR","PPR"},0)-1)*5,CA90,CC90,CE90,CG90,CI90,CK90,CM90,CO90,CQ90,CS90,CU90,CW90,CY90,DA90,DC90)</f>
        <v>15</v>
      </c>
      <c r="DF90" s="6">
        <f>CHOOSE(MATCH(Setup!$B$5,{8,10,12,14,16},0)+(MATCH(Setup!$B$7,{"STD","Half-PPR","PPR"},0)-1)*5,CB90,CD90,CF90,CH90,CJ90,CL90,CN90,CP90,CR90,CT90,CV90,CX90,CZ90,DB90,DD90)</f>
        <v>0</v>
      </c>
      <c r="DG90" s="6">
        <f>ROUND(1+DF90*'Live Calc'!$D$11,0)</f>
        <v>1</v>
      </c>
      <c r="DH90" s="6"/>
      <c r="DI90" s="6">
        <f>IF(DH90&lt;&gt;"",DH90,ROUND(DG90*INDEX('Live Calc'!$D$50:$D$70,MATCH(DE90,'Live Calc'!$A$50:$A$70,0))*'Live Calc'!$J$89,0))</f>
        <v>1</v>
      </c>
    </row>
    <row r="91" spans="39:113" x14ac:dyDescent="0.25">
      <c r="AM91" s="5" t="s">
        <v>387</v>
      </c>
      <c r="AN91" s="5" t="s">
        <v>104</v>
      </c>
      <c r="AO91" s="5">
        <v>9</v>
      </c>
      <c r="AP91" s="5">
        <v>0</v>
      </c>
      <c r="AQ91" s="5">
        <v>10</v>
      </c>
      <c r="AR91" s="5">
        <v>0</v>
      </c>
      <c r="AS91" s="5">
        <v>14</v>
      </c>
      <c r="AT91" s="5">
        <v>0</v>
      </c>
      <c r="AU91" s="5">
        <v>16</v>
      </c>
      <c r="AV91" s="5">
        <v>0</v>
      </c>
      <c r="AW91" s="5">
        <v>16</v>
      </c>
      <c r="AX91" s="5">
        <v>0</v>
      </c>
      <c r="AY91" s="5">
        <v>9</v>
      </c>
      <c r="AZ91" s="5">
        <v>0</v>
      </c>
      <c r="BA91" s="5">
        <v>11</v>
      </c>
      <c r="BB91" s="5">
        <v>0</v>
      </c>
      <c r="BC91" s="5">
        <v>13</v>
      </c>
      <c r="BD91" s="5">
        <v>0</v>
      </c>
      <c r="BE91" s="5">
        <v>17</v>
      </c>
      <c r="BF91" s="5">
        <v>0</v>
      </c>
      <c r="BG91" s="5">
        <v>17</v>
      </c>
      <c r="BH91" s="5">
        <v>0</v>
      </c>
      <c r="BI91" s="5">
        <v>11</v>
      </c>
      <c r="BJ91" s="5">
        <v>0</v>
      </c>
      <c r="BK91" s="5">
        <v>13</v>
      </c>
      <c r="BL91" s="5">
        <v>0</v>
      </c>
      <c r="BM91" s="5">
        <v>15</v>
      </c>
      <c r="BN91" s="5">
        <v>0</v>
      </c>
      <c r="BO91" s="5">
        <v>17</v>
      </c>
      <c r="BP91" s="5">
        <v>0</v>
      </c>
      <c r="BQ91" s="5">
        <v>18</v>
      </c>
      <c r="BR91" s="5">
        <v>0</v>
      </c>
      <c r="BS91" s="5">
        <f>CHOOSE(MATCH(Setup!$B$5,{8,10,12,14,16},0)+(MATCH(Setup!$B$7,{"STD","Half-PPR","PPR"},0)-1)*5,AO91,AQ91,AS91,AU91,AW91,AY91,BA91,BC91,BE91,BG91,BI91,BK91,BM91,BO91,BQ91)</f>
        <v>13</v>
      </c>
      <c r="BT91" s="5">
        <f>CHOOSE(MATCH(Setup!$B$5,{8,10,12,14,16},0)+(MATCH(Setup!$B$7,{"STD","Half-PPR","PPR"},0)-1)*5,AP91,AR91,AT91,AV91,AX91,AZ91,BB91,BD91,BF91,BH91,BJ91,BL91,BN91,BP91,BR91)</f>
        <v>0</v>
      </c>
      <c r="BU91" s="5">
        <f>ROUND(1+BT91*'Live Calc'!$D$10,0)</f>
        <v>1</v>
      </c>
      <c r="BV91" s="5"/>
      <c r="BW91" s="5">
        <f>IF(BV91&lt;&gt;"",BV91,ROUND(BU91*INDEX('Live Calc'!$D$29:$D$46,MATCH(BS91,'Live Calc'!$A$29:$A$46,0))*'Live Calc'!$J$89,0))</f>
        <v>1</v>
      </c>
      <c r="BY91" s="6" t="s">
        <v>388</v>
      </c>
      <c r="BZ91" s="6" t="s">
        <v>95</v>
      </c>
      <c r="CA91" s="6">
        <v>14</v>
      </c>
      <c r="CB91" s="6">
        <v>0</v>
      </c>
      <c r="CC91" s="6">
        <v>17</v>
      </c>
      <c r="CD91" s="6">
        <v>0</v>
      </c>
      <c r="CE91" s="6">
        <v>20</v>
      </c>
      <c r="CF91" s="6">
        <v>0</v>
      </c>
      <c r="CG91" s="6">
        <v>19</v>
      </c>
      <c r="CH91" s="6">
        <v>0</v>
      </c>
      <c r="CI91" s="6">
        <v>21</v>
      </c>
      <c r="CJ91" s="6">
        <v>0</v>
      </c>
      <c r="CK91" s="6">
        <v>10</v>
      </c>
      <c r="CL91" s="6">
        <v>0</v>
      </c>
      <c r="CM91" s="6">
        <v>15</v>
      </c>
      <c r="CN91" s="6">
        <v>0</v>
      </c>
      <c r="CO91" s="6">
        <v>15</v>
      </c>
      <c r="CP91" s="6">
        <v>0</v>
      </c>
      <c r="CQ91" s="6">
        <v>16</v>
      </c>
      <c r="CR91" s="6">
        <v>0</v>
      </c>
      <c r="CS91" s="6">
        <v>20</v>
      </c>
      <c r="CT91" s="6">
        <v>0</v>
      </c>
      <c r="CU91" s="6">
        <v>12</v>
      </c>
      <c r="CV91" s="6">
        <v>0</v>
      </c>
      <c r="CW91" s="6">
        <v>12</v>
      </c>
      <c r="CX91" s="6">
        <v>0</v>
      </c>
      <c r="CY91" s="6">
        <v>15</v>
      </c>
      <c r="CZ91" s="6">
        <v>0</v>
      </c>
      <c r="DA91" s="6">
        <v>18</v>
      </c>
      <c r="DB91" s="6">
        <v>0</v>
      </c>
      <c r="DC91" s="6">
        <v>20</v>
      </c>
      <c r="DD91" s="6">
        <v>0</v>
      </c>
      <c r="DE91" s="6">
        <f>CHOOSE(MATCH(Setup!$B$5,{8,10,12,14,16},0)+(MATCH(Setup!$B$7,{"STD","Half-PPR","PPR"},0)-1)*5,CA91,CC91,CE91,CG91,CI91,CK91,CM91,CO91,CQ91,CS91,CU91,CW91,CY91,DA91,DC91)</f>
        <v>15</v>
      </c>
      <c r="DF91" s="6">
        <f>CHOOSE(MATCH(Setup!$B$5,{8,10,12,14,16},0)+(MATCH(Setup!$B$7,{"STD","Half-PPR","PPR"},0)-1)*5,CB91,CD91,CF91,CH91,CJ91,CL91,CN91,CP91,CR91,CT91,CV91,CX91,CZ91,DB91,DD91)</f>
        <v>0</v>
      </c>
      <c r="DG91" s="6">
        <f>ROUND(1+DF91*'Live Calc'!$D$11,0)</f>
        <v>1</v>
      </c>
      <c r="DH91" s="6"/>
      <c r="DI91" s="6">
        <f>IF(DH91&lt;&gt;"",DH91,ROUND(DG91*INDEX('Live Calc'!$D$50:$D$70,MATCH(DE91,'Live Calc'!$A$50:$A$70,0))*'Live Calc'!$J$89,0))</f>
        <v>1</v>
      </c>
    </row>
    <row r="92" spans="39:113" x14ac:dyDescent="0.25">
      <c r="AM92" s="5" t="s">
        <v>389</v>
      </c>
      <c r="AN92" s="5" t="s">
        <v>70</v>
      </c>
      <c r="AO92" s="5">
        <v>9</v>
      </c>
      <c r="AP92" s="5">
        <v>0</v>
      </c>
      <c r="AQ92" s="5">
        <v>10</v>
      </c>
      <c r="AR92" s="5">
        <v>0</v>
      </c>
      <c r="AS92" s="5">
        <v>14</v>
      </c>
      <c r="AT92" s="5">
        <v>0</v>
      </c>
      <c r="AU92" s="5">
        <v>16</v>
      </c>
      <c r="AV92" s="5">
        <v>0</v>
      </c>
      <c r="AW92" s="5">
        <v>16</v>
      </c>
      <c r="AX92" s="5">
        <v>0</v>
      </c>
      <c r="AY92" s="5">
        <v>9</v>
      </c>
      <c r="AZ92" s="5">
        <v>0</v>
      </c>
      <c r="BA92" s="5">
        <v>11</v>
      </c>
      <c r="BB92" s="5">
        <v>0</v>
      </c>
      <c r="BC92" s="5">
        <v>13</v>
      </c>
      <c r="BD92" s="5">
        <v>0</v>
      </c>
      <c r="BE92" s="5">
        <v>17</v>
      </c>
      <c r="BF92" s="5">
        <v>0</v>
      </c>
      <c r="BG92" s="5">
        <v>17</v>
      </c>
      <c r="BH92" s="5">
        <v>0</v>
      </c>
      <c r="BI92" s="5">
        <v>11</v>
      </c>
      <c r="BJ92" s="5">
        <v>0</v>
      </c>
      <c r="BK92" s="5">
        <v>13</v>
      </c>
      <c r="BL92" s="5">
        <v>0</v>
      </c>
      <c r="BM92" s="5">
        <v>15</v>
      </c>
      <c r="BN92" s="5">
        <v>0</v>
      </c>
      <c r="BO92" s="5">
        <v>17</v>
      </c>
      <c r="BP92" s="5">
        <v>0</v>
      </c>
      <c r="BQ92" s="5">
        <v>18</v>
      </c>
      <c r="BR92" s="5">
        <v>0</v>
      </c>
      <c r="BS92" s="5">
        <f>CHOOSE(MATCH(Setup!$B$5,{8,10,12,14,16},0)+(MATCH(Setup!$B$7,{"STD","Half-PPR","PPR"},0)-1)*5,AO92,AQ92,AS92,AU92,AW92,AY92,BA92,BC92,BE92,BG92,BI92,BK92,BM92,BO92,BQ92)</f>
        <v>13</v>
      </c>
      <c r="BT92" s="5">
        <f>CHOOSE(MATCH(Setup!$B$5,{8,10,12,14,16},0)+(MATCH(Setup!$B$7,{"STD","Half-PPR","PPR"},0)-1)*5,AP92,AR92,AT92,AV92,AX92,AZ92,BB92,BD92,BF92,BH92,BJ92,BL92,BN92,BP92,BR92)</f>
        <v>0</v>
      </c>
      <c r="BU92" s="5">
        <f>ROUND(1+BT92*'Live Calc'!$D$10,0)</f>
        <v>1</v>
      </c>
      <c r="BV92" s="5"/>
      <c r="BW92" s="5">
        <f>IF(BV92&lt;&gt;"",BV92,ROUND(BU92*INDEX('Live Calc'!$D$29:$D$46,MATCH(BS92,'Live Calc'!$A$29:$A$46,0))*'Live Calc'!$J$89,0))</f>
        <v>1</v>
      </c>
      <c r="BY92" s="6" t="s">
        <v>390</v>
      </c>
      <c r="BZ92" s="6" t="s">
        <v>72</v>
      </c>
      <c r="CA92" s="6">
        <v>14</v>
      </c>
      <c r="CB92" s="6">
        <v>0</v>
      </c>
      <c r="CC92" s="6">
        <v>17</v>
      </c>
      <c r="CD92" s="6">
        <v>0</v>
      </c>
      <c r="CE92" s="6">
        <v>20</v>
      </c>
      <c r="CF92" s="6">
        <v>0</v>
      </c>
      <c r="CG92" s="6">
        <v>19</v>
      </c>
      <c r="CH92" s="6">
        <v>0</v>
      </c>
      <c r="CI92" s="6">
        <v>21</v>
      </c>
      <c r="CJ92" s="6">
        <v>0</v>
      </c>
      <c r="CK92" s="6">
        <v>10</v>
      </c>
      <c r="CL92" s="6">
        <v>0</v>
      </c>
      <c r="CM92" s="6">
        <v>15</v>
      </c>
      <c r="CN92" s="6">
        <v>0</v>
      </c>
      <c r="CO92" s="6">
        <v>15</v>
      </c>
      <c r="CP92" s="6">
        <v>0</v>
      </c>
      <c r="CQ92" s="6">
        <v>16</v>
      </c>
      <c r="CR92" s="6">
        <v>0</v>
      </c>
      <c r="CS92" s="6">
        <v>20</v>
      </c>
      <c r="CT92" s="6">
        <v>0</v>
      </c>
      <c r="CU92" s="6">
        <v>12</v>
      </c>
      <c r="CV92" s="6">
        <v>0</v>
      </c>
      <c r="CW92" s="6">
        <v>12</v>
      </c>
      <c r="CX92" s="6">
        <v>0</v>
      </c>
      <c r="CY92" s="6">
        <v>15</v>
      </c>
      <c r="CZ92" s="6">
        <v>0</v>
      </c>
      <c r="DA92" s="6">
        <v>18</v>
      </c>
      <c r="DB92" s="6">
        <v>0</v>
      </c>
      <c r="DC92" s="6">
        <v>20</v>
      </c>
      <c r="DD92" s="6">
        <v>0</v>
      </c>
      <c r="DE92" s="6">
        <f>CHOOSE(MATCH(Setup!$B$5,{8,10,12,14,16},0)+(MATCH(Setup!$B$7,{"STD","Half-PPR","PPR"},0)-1)*5,CA92,CC92,CE92,CG92,CI92,CK92,CM92,CO92,CQ92,CS92,CU92,CW92,CY92,DA92,DC92)</f>
        <v>15</v>
      </c>
      <c r="DF92" s="6">
        <f>CHOOSE(MATCH(Setup!$B$5,{8,10,12,14,16},0)+(MATCH(Setup!$B$7,{"STD","Half-PPR","PPR"},0)-1)*5,CB92,CD92,CF92,CH92,CJ92,CL92,CN92,CP92,CR92,CT92,CV92,CX92,CZ92,DB92,DD92)</f>
        <v>0</v>
      </c>
      <c r="DG92" s="6">
        <f>ROUND(1+DF92*'Live Calc'!$D$11,0)</f>
        <v>1</v>
      </c>
      <c r="DH92" s="6"/>
      <c r="DI92" s="6">
        <f>IF(DH92&lt;&gt;"",DH92,ROUND(DG92*INDEX('Live Calc'!$D$50:$D$70,MATCH(DE92,'Live Calc'!$A$50:$A$70,0))*'Live Calc'!$J$89,0))</f>
        <v>1</v>
      </c>
    </row>
    <row r="93" spans="39:113" x14ac:dyDescent="0.25">
      <c r="AM93" s="5" t="s">
        <v>391</v>
      </c>
      <c r="AN93" s="5" t="s">
        <v>72</v>
      </c>
      <c r="AO93" s="5">
        <v>9</v>
      </c>
      <c r="AP93" s="5">
        <v>0</v>
      </c>
      <c r="AQ93" s="5">
        <v>10</v>
      </c>
      <c r="AR93" s="5">
        <v>0</v>
      </c>
      <c r="AS93" s="5">
        <v>14</v>
      </c>
      <c r="AT93" s="5">
        <v>0</v>
      </c>
      <c r="AU93" s="5">
        <v>16</v>
      </c>
      <c r="AV93" s="5">
        <v>0</v>
      </c>
      <c r="AW93" s="5">
        <v>16</v>
      </c>
      <c r="AX93" s="5">
        <v>0</v>
      </c>
      <c r="AY93" s="5">
        <v>9</v>
      </c>
      <c r="AZ93" s="5">
        <v>0</v>
      </c>
      <c r="BA93" s="5">
        <v>11</v>
      </c>
      <c r="BB93" s="5">
        <v>0</v>
      </c>
      <c r="BC93" s="5">
        <v>13</v>
      </c>
      <c r="BD93" s="5">
        <v>0</v>
      </c>
      <c r="BE93" s="5">
        <v>17</v>
      </c>
      <c r="BF93" s="5">
        <v>0</v>
      </c>
      <c r="BG93" s="5">
        <v>17</v>
      </c>
      <c r="BH93" s="5">
        <v>0</v>
      </c>
      <c r="BI93" s="5">
        <v>11</v>
      </c>
      <c r="BJ93" s="5">
        <v>0</v>
      </c>
      <c r="BK93" s="5">
        <v>13</v>
      </c>
      <c r="BL93" s="5">
        <v>0</v>
      </c>
      <c r="BM93" s="5">
        <v>15</v>
      </c>
      <c r="BN93" s="5">
        <v>0</v>
      </c>
      <c r="BO93" s="5">
        <v>17</v>
      </c>
      <c r="BP93" s="5">
        <v>0</v>
      </c>
      <c r="BQ93" s="5">
        <v>18</v>
      </c>
      <c r="BR93" s="5">
        <v>0</v>
      </c>
      <c r="BS93" s="5">
        <f>CHOOSE(MATCH(Setup!$B$5,{8,10,12,14,16},0)+(MATCH(Setup!$B$7,{"STD","Half-PPR","PPR"},0)-1)*5,AO93,AQ93,AS93,AU93,AW93,AY93,BA93,BC93,BE93,BG93,BI93,BK93,BM93,BO93,BQ93)</f>
        <v>13</v>
      </c>
      <c r="BT93" s="5">
        <f>CHOOSE(MATCH(Setup!$B$5,{8,10,12,14,16},0)+(MATCH(Setup!$B$7,{"STD","Half-PPR","PPR"},0)-1)*5,AP93,AR93,AT93,AV93,AX93,AZ93,BB93,BD93,BF93,BH93,BJ93,BL93,BN93,BP93,BR93)</f>
        <v>0</v>
      </c>
      <c r="BU93" s="5">
        <f>ROUND(1+BT93*'Live Calc'!$D$10,0)</f>
        <v>1</v>
      </c>
      <c r="BV93" s="5"/>
      <c r="BW93" s="5">
        <f>IF(BV93&lt;&gt;"",BV93,ROUND(BU93*INDEX('Live Calc'!$D$29:$D$46,MATCH(BS93,'Live Calc'!$A$29:$A$46,0))*'Live Calc'!$J$89,0))</f>
        <v>1</v>
      </c>
      <c r="BY93" s="6" t="s">
        <v>392</v>
      </c>
      <c r="BZ93" s="6" t="s">
        <v>58</v>
      </c>
      <c r="CA93" s="6">
        <v>14</v>
      </c>
      <c r="CB93" s="6">
        <v>0</v>
      </c>
      <c r="CC93" s="6">
        <v>17</v>
      </c>
      <c r="CD93" s="6">
        <v>0</v>
      </c>
      <c r="CE93" s="6">
        <v>20</v>
      </c>
      <c r="CF93" s="6">
        <v>0</v>
      </c>
      <c r="CG93" s="6">
        <v>19</v>
      </c>
      <c r="CH93" s="6">
        <v>0</v>
      </c>
      <c r="CI93" s="6">
        <v>21</v>
      </c>
      <c r="CJ93" s="6">
        <v>0</v>
      </c>
      <c r="CK93" s="6">
        <v>10</v>
      </c>
      <c r="CL93" s="6">
        <v>0</v>
      </c>
      <c r="CM93" s="6">
        <v>15</v>
      </c>
      <c r="CN93" s="6">
        <v>0</v>
      </c>
      <c r="CO93" s="6">
        <v>15</v>
      </c>
      <c r="CP93" s="6">
        <v>0</v>
      </c>
      <c r="CQ93" s="6">
        <v>16</v>
      </c>
      <c r="CR93" s="6">
        <v>0</v>
      </c>
      <c r="CS93" s="6">
        <v>20</v>
      </c>
      <c r="CT93" s="6">
        <v>0</v>
      </c>
      <c r="CU93" s="6">
        <v>12</v>
      </c>
      <c r="CV93" s="6">
        <v>0</v>
      </c>
      <c r="CW93" s="6">
        <v>12</v>
      </c>
      <c r="CX93" s="6">
        <v>0</v>
      </c>
      <c r="CY93" s="6">
        <v>15</v>
      </c>
      <c r="CZ93" s="6">
        <v>0</v>
      </c>
      <c r="DA93" s="6">
        <v>18</v>
      </c>
      <c r="DB93" s="6">
        <v>0</v>
      </c>
      <c r="DC93" s="6">
        <v>20</v>
      </c>
      <c r="DD93" s="6">
        <v>0</v>
      </c>
      <c r="DE93" s="6">
        <f>CHOOSE(MATCH(Setup!$B$5,{8,10,12,14,16},0)+(MATCH(Setup!$B$7,{"STD","Half-PPR","PPR"},0)-1)*5,CA93,CC93,CE93,CG93,CI93,CK93,CM93,CO93,CQ93,CS93,CU93,CW93,CY93,DA93,DC93)</f>
        <v>15</v>
      </c>
      <c r="DF93" s="6">
        <f>CHOOSE(MATCH(Setup!$B$5,{8,10,12,14,16},0)+(MATCH(Setup!$B$7,{"STD","Half-PPR","PPR"},0)-1)*5,CB93,CD93,CF93,CH93,CJ93,CL93,CN93,CP93,CR93,CT93,CV93,CX93,CZ93,DB93,DD93)</f>
        <v>0</v>
      </c>
      <c r="DG93" s="6">
        <f>ROUND(1+DF93*'Live Calc'!$D$11,0)</f>
        <v>1</v>
      </c>
      <c r="DH93" s="6"/>
      <c r="DI93" s="6">
        <f>IF(DH93&lt;&gt;"",DH93,ROUND(DG93*INDEX('Live Calc'!$D$50:$D$70,MATCH(DE93,'Live Calc'!$A$50:$A$70,0))*'Live Calc'!$J$89,0))</f>
        <v>1</v>
      </c>
    </row>
    <row r="94" spans="39:113" x14ac:dyDescent="0.25">
      <c r="AM94" s="5" t="s">
        <v>393</v>
      </c>
      <c r="AN94" s="5" t="s">
        <v>52</v>
      </c>
      <c r="AO94" s="5">
        <v>9</v>
      </c>
      <c r="AP94" s="5">
        <v>0</v>
      </c>
      <c r="AQ94" s="5">
        <v>10</v>
      </c>
      <c r="AR94" s="5">
        <v>0</v>
      </c>
      <c r="AS94" s="5">
        <v>14</v>
      </c>
      <c r="AT94" s="5">
        <v>0</v>
      </c>
      <c r="AU94" s="5">
        <v>16</v>
      </c>
      <c r="AV94" s="5">
        <v>0</v>
      </c>
      <c r="AW94" s="5">
        <v>16</v>
      </c>
      <c r="AX94" s="5">
        <v>0</v>
      </c>
      <c r="AY94" s="5">
        <v>9</v>
      </c>
      <c r="AZ94" s="5">
        <v>0</v>
      </c>
      <c r="BA94" s="5">
        <v>11</v>
      </c>
      <c r="BB94" s="5">
        <v>0</v>
      </c>
      <c r="BC94" s="5">
        <v>13</v>
      </c>
      <c r="BD94" s="5">
        <v>0</v>
      </c>
      <c r="BE94" s="5">
        <v>17</v>
      </c>
      <c r="BF94" s="5">
        <v>0</v>
      </c>
      <c r="BG94" s="5">
        <v>17</v>
      </c>
      <c r="BH94" s="5">
        <v>0</v>
      </c>
      <c r="BI94" s="5">
        <v>11</v>
      </c>
      <c r="BJ94" s="5">
        <v>0</v>
      </c>
      <c r="BK94" s="5">
        <v>13</v>
      </c>
      <c r="BL94" s="5">
        <v>0</v>
      </c>
      <c r="BM94" s="5">
        <v>15</v>
      </c>
      <c r="BN94" s="5">
        <v>0</v>
      </c>
      <c r="BO94" s="5">
        <v>17</v>
      </c>
      <c r="BP94" s="5">
        <v>0</v>
      </c>
      <c r="BQ94" s="5">
        <v>18</v>
      </c>
      <c r="BR94" s="5">
        <v>0</v>
      </c>
      <c r="BS94" s="5">
        <f>CHOOSE(MATCH(Setup!$B$5,{8,10,12,14,16},0)+(MATCH(Setup!$B$7,{"STD","Half-PPR","PPR"},0)-1)*5,AO94,AQ94,AS94,AU94,AW94,AY94,BA94,BC94,BE94,BG94,BI94,BK94,BM94,BO94,BQ94)</f>
        <v>13</v>
      </c>
      <c r="BT94" s="5">
        <f>CHOOSE(MATCH(Setup!$B$5,{8,10,12,14,16},0)+(MATCH(Setup!$B$7,{"STD","Half-PPR","PPR"},0)-1)*5,AP94,AR94,AT94,AV94,AX94,AZ94,BB94,BD94,BF94,BH94,BJ94,BL94,BN94,BP94,BR94)</f>
        <v>0</v>
      </c>
      <c r="BU94" s="5">
        <f>ROUND(1+BT94*'Live Calc'!$D$10,0)</f>
        <v>1</v>
      </c>
      <c r="BV94" s="5"/>
      <c r="BW94" s="5">
        <f>IF(BV94&lt;&gt;"",BV94,ROUND(BU94*INDEX('Live Calc'!$D$29:$D$46,MATCH(BS94,'Live Calc'!$A$29:$A$46,0))*'Live Calc'!$J$89,0))</f>
        <v>1</v>
      </c>
      <c r="BY94" s="6" t="s">
        <v>394</v>
      </c>
      <c r="BZ94" s="6" t="s">
        <v>76</v>
      </c>
      <c r="CA94" s="6">
        <v>14</v>
      </c>
      <c r="CB94" s="6">
        <v>0</v>
      </c>
      <c r="CC94" s="6">
        <v>17</v>
      </c>
      <c r="CD94" s="6">
        <v>0</v>
      </c>
      <c r="CE94" s="6">
        <v>20</v>
      </c>
      <c r="CF94" s="6">
        <v>0</v>
      </c>
      <c r="CG94" s="6">
        <v>19</v>
      </c>
      <c r="CH94" s="6">
        <v>0</v>
      </c>
      <c r="CI94" s="6">
        <v>21</v>
      </c>
      <c r="CJ94" s="6">
        <v>0</v>
      </c>
      <c r="CK94" s="6">
        <v>10</v>
      </c>
      <c r="CL94" s="6">
        <v>0</v>
      </c>
      <c r="CM94" s="6">
        <v>15</v>
      </c>
      <c r="CN94" s="6">
        <v>0</v>
      </c>
      <c r="CO94" s="6">
        <v>15</v>
      </c>
      <c r="CP94" s="6">
        <v>0</v>
      </c>
      <c r="CQ94" s="6">
        <v>16</v>
      </c>
      <c r="CR94" s="6">
        <v>0</v>
      </c>
      <c r="CS94" s="6">
        <v>20</v>
      </c>
      <c r="CT94" s="6">
        <v>0</v>
      </c>
      <c r="CU94" s="6">
        <v>12</v>
      </c>
      <c r="CV94" s="6">
        <v>0</v>
      </c>
      <c r="CW94" s="6">
        <v>12</v>
      </c>
      <c r="CX94" s="6">
        <v>0</v>
      </c>
      <c r="CY94" s="6">
        <v>15</v>
      </c>
      <c r="CZ94" s="6">
        <v>0</v>
      </c>
      <c r="DA94" s="6">
        <v>18</v>
      </c>
      <c r="DB94" s="6">
        <v>0</v>
      </c>
      <c r="DC94" s="6">
        <v>20</v>
      </c>
      <c r="DD94" s="6">
        <v>0</v>
      </c>
      <c r="DE94" s="6">
        <f>CHOOSE(MATCH(Setup!$B$5,{8,10,12,14,16},0)+(MATCH(Setup!$B$7,{"STD","Half-PPR","PPR"},0)-1)*5,CA94,CC94,CE94,CG94,CI94,CK94,CM94,CO94,CQ94,CS94,CU94,CW94,CY94,DA94,DC94)</f>
        <v>15</v>
      </c>
      <c r="DF94" s="6">
        <f>CHOOSE(MATCH(Setup!$B$5,{8,10,12,14,16},0)+(MATCH(Setup!$B$7,{"STD","Half-PPR","PPR"},0)-1)*5,CB94,CD94,CF94,CH94,CJ94,CL94,CN94,CP94,CR94,CT94,CV94,CX94,CZ94,DB94,DD94)</f>
        <v>0</v>
      </c>
      <c r="DG94" s="6">
        <f>ROUND(1+DF94*'Live Calc'!$D$11,0)</f>
        <v>1</v>
      </c>
      <c r="DH94" s="6"/>
      <c r="DI94" s="6">
        <f>IF(DH94&lt;&gt;"",DH94,ROUND(DG94*INDEX('Live Calc'!$D$50:$D$70,MATCH(DE94,'Live Calc'!$A$50:$A$70,0))*'Live Calc'!$J$89,0))</f>
        <v>1</v>
      </c>
    </row>
    <row r="95" spans="39:113" x14ac:dyDescent="0.25">
      <c r="AM95" s="5" t="s">
        <v>395</v>
      </c>
      <c r="AN95" s="5" t="s">
        <v>253</v>
      </c>
      <c r="AO95" s="5">
        <v>9</v>
      </c>
      <c r="AP95" s="5">
        <v>0</v>
      </c>
      <c r="AQ95" s="5">
        <v>10</v>
      </c>
      <c r="AR95" s="5">
        <v>0</v>
      </c>
      <c r="AS95" s="5">
        <v>14</v>
      </c>
      <c r="AT95" s="5">
        <v>0</v>
      </c>
      <c r="AU95" s="5">
        <v>16</v>
      </c>
      <c r="AV95" s="5">
        <v>0</v>
      </c>
      <c r="AW95" s="5">
        <v>16</v>
      </c>
      <c r="AX95" s="5">
        <v>0</v>
      </c>
      <c r="AY95" s="5">
        <v>9</v>
      </c>
      <c r="AZ95" s="5">
        <v>0</v>
      </c>
      <c r="BA95" s="5">
        <v>11</v>
      </c>
      <c r="BB95" s="5">
        <v>0</v>
      </c>
      <c r="BC95" s="5">
        <v>13</v>
      </c>
      <c r="BD95" s="5">
        <v>0</v>
      </c>
      <c r="BE95" s="5">
        <v>17</v>
      </c>
      <c r="BF95" s="5">
        <v>0</v>
      </c>
      <c r="BG95" s="5">
        <v>17</v>
      </c>
      <c r="BH95" s="5">
        <v>0</v>
      </c>
      <c r="BI95" s="5">
        <v>11</v>
      </c>
      <c r="BJ95" s="5">
        <v>0</v>
      </c>
      <c r="BK95" s="5">
        <v>13</v>
      </c>
      <c r="BL95" s="5">
        <v>0</v>
      </c>
      <c r="BM95" s="5">
        <v>15</v>
      </c>
      <c r="BN95" s="5">
        <v>0</v>
      </c>
      <c r="BO95" s="5">
        <v>17</v>
      </c>
      <c r="BP95" s="5">
        <v>0</v>
      </c>
      <c r="BQ95" s="5">
        <v>18</v>
      </c>
      <c r="BR95" s="5">
        <v>0</v>
      </c>
      <c r="BS95" s="5">
        <f>CHOOSE(MATCH(Setup!$B$5,{8,10,12,14,16},0)+(MATCH(Setup!$B$7,{"STD","Half-PPR","PPR"},0)-1)*5,AO95,AQ95,AS95,AU95,AW95,AY95,BA95,BC95,BE95,BG95,BI95,BK95,BM95,BO95,BQ95)</f>
        <v>13</v>
      </c>
      <c r="BT95" s="5">
        <f>CHOOSE(MATCH(Setup!$B$5,{8,10,12,14,16},0)+(MATCH(Setup!$B$7,{"STD","Half-PPR","PPR"},0)-1)*5,AP95,AR95,AT95,AV95,AX95,AZ95,BB95,BD95,BF95,BH95,BJ95,BL95,BN95,BP95,BR95)</f>
        <v>0</v>
      </c>
      <c r="BU95" s="5">
        <f>ROUND(1+BT95*'Live Calc'!$D$10,0)</f>
        <v>1</v>
      </c>
      <c r="BV95" s="5"/>
      <c r="BW95" s="5">
        <f>IF(BV95&lt;&gt;"",BV95,ROUND(BU95*INDEX('Live Calc'!$D$29:$D$46,MATCH(BS95,'Live Calc'!$A$29:$A$46,0))*'Live Calc'!$J$89,0))</f>
        <v>1</v>
      </c>
      <c r="BY95" s="6" t="s">
        <v>396</v>
      </c>
      <c r="BZ95" s="6" t="s">
        <v>56</v>
      </c>
      <c r="CA95" s="6">
        <v>14</v>
      </c>
      <c r="CB95" s="6">
        <v>0</v>
      </c>
      <c r="CC95" s="6">
        <v>17</v>
      </c>
      <c r="CD95" s="6">
        <v>0</v>
      </c>
      <c r="CE95" s="6">
        <v>20</v>
      </c>
      <c r="CF95" s="6">
        <v>0</v>
      </c>
      <c r="CG95" s="6">
        <v>19</v>
      </c>
      <c r="CH95" s="6">
        <v>0</v>
      </c>
      <c r="CI95" s="6">
        <v>21</v>
      </c>
      <c r="CJ95" s="6">
        <v>0</v>
      </c>
      <c r="CK95" s="6">
        <v>10</v>
      </c>
      <c r="CL95" s="6">
        <v>0</v>
      </c>
      <c r="CM95" s="6">
        <v>15</v>
      </c>
      <c r="CN95" s="6">
        <v>0</v>
      </c>
      <c r="CO95" s="6">
        <v>15</v>
      </c>
      <c r="CP95" s="6">
        <v>0</v>
      </c>
      <c r="CQ95" s="6">
        <v>16</v>
      </c>
      <c r="CR95" s="6">
        <v>0</v>
      </c>
      <c r="CS95" s="6">
        <v>20</v>
      </c>
      <c r="CT95" s="6">
        <v>0</v>
      </c>
      <c r="CU95" s="6">
        <v>12</v>
      </c>
      <c r="CV95" s="6">
        <v>0</v>
      </c>
      <c r="CW95" s="6">
        <v>12</v>
      </c>
      <c r="CX95" s="6">
        <v>0</v>
      </c>
      <c r="CY95" s="6">
        <v>15</v>
      </c>
      <c r="CZ95" s="6">
        <v>0</v>
      </c>
      <c r="DA95" s="6">
        <v>18</v>
      </c>
      <c r="DB95" s="6">
        <v>0</v>
      </c>
      <c r="DC95" s="6">
        <v>20</v>
      </c>
      <c r="DD95" s="6">
        <v>0</v>
      </c>
      <c r="DE95" s="6">
        <f>CHOOSE(MATCH(Setup!$B$5,{8,10,12,14,16},0)+(MATCH(Setup!$B$7,{"STD","Half-PPR","PPR"},0)-1)*5,CA95,CC95,CE95,CG95,CI95,CK95,CM95,CO95,CQ95,CS95,CU95,CW95,CY95,DA95,DC95)</f>
        <v>15</v>
      </c>
      <c r="DF95" s="6">
        <f>CHOOSE(MATCH(Setup!$B$5,{8,10,12,14,16},0)+(MATCH(Setup!$B$7,{"STD","Half-PPR","PPR"},0)-1)*5,CB95,CD95,CF95,CH95,CJ95,CL95,CN95,CP95,CR95,CT95,CV95,CX95,CZ95,DB95,DD95)</f>
        <v>0</v>
      </c>
      <c r="DG95" s="6">
        <f>ROUND(1+DF95*'Live Calc'!$D$11,0)</f>
        <v>1</v>
      </c>
      <c r="DH95" s="6"/>
      <c r="DI95" s="6">
        <f>IF(DH95&lt;&gt;"",DH95,ROUND(DG95*INDEX('Live Calc'!$D$50:$D$70,MATCH(DE95,'Live Calc'!$A$50:$A$70,0))*'Live Calc'!$J$89,0))</f>
        <v>1</v>
      </c>
    </row>
    <row r="96" spans="39:113" x14ac:dyDescent="0.25">
      <c r="AM96" s="5" t="s">
        <v>397</v>
      </c>
      <c r="AN96" s="5" t="s">
        <v>117</v>
      </c>
      <c r="AO96" s="5">
        <v>9</v>
      </c>
      <c r="AP96" s="5">
        <v>0</v>
      </c>
      <c r="AQ96" s="5">
        <v>10</v>
      </c>
      <c r="AR96" s="5">
        <v>0</v>
      </c>
      <c r="AS96" s="5">
        <v>14</v>
      </c>
      <c r="AT96" s="5">
        <v>0</v>
      </c>
      <c r="AU96" s="5">
        <v>16</v>
      </c>
      <c r="AV96" s="5">
        <v>0</v>
      </c>
      <c r="AW96" s="5">
        <v>16</v>
      </c>
      <c r="AX96" s="5">
        <v>0</v>
      </c>
      <c r="AY96" s="5">
        <v>9</v>
      </c>
      <c r="AZ96" s="5">
        <v>0</v>
      </c>
      <c r="BA96" s="5">
        <v>11</v>
      </c>
      <c r="BB96" s="5">
        <v>0</v>
      </c>
      <c r="BC96" s="5">
        <v>13</v>
      </c>
      <c r="BD96" s="5">
        <v>0</v>
      </c>
      <c r="BE96" s="5">
        <v>17</v>
      </c>
      <c r="BF96" s="5">
        <v>0</v>
      </c>
      <c r="BG96" s="5">
        <v>17</v>
      </c>
      <c r="BH96" s="5">
        <v>0</v>
      </c>
      <c r="BI96" s="5">
        <v>11</v>
      </c>
      <c r="BJ96" s="5">
        <v>0</v>
      </c>
      <c r="BK96" s="5">
        <v>13</v>
      </c>
      <c r="BL96" s="5">
        <v>0</v>
      </c>
      <c r="BM96" s="5">
        <v>15</v>
      </c>
      <c r="BN96" s="5">
        <v>0</v>
      </c>
      <c r="BO96" s="5">
        <v>17</v>
      </c>
      <c r="BP96" s="5">
        <v>0</v>
      </c>
      <c r="BQ96" s="5">
        <v>18</v>
      </c>
      <c r="BR96" s="5">
        <v>0</v>
      </c>
      <c r="BS96" s="5">
        <f>CHOOSE(MATCH(Setup!$B$5,{8,10,12,14,16},0)+(MATCH(Setup!$B$7,{"STD","Half-PPR","PPR"},0)-1)*5,AO96,AQ96,AS96,AU96,AW96,AY96,BA96,BC96,BE96,BG96,BI96,BK96,BM96,BO96,BQ96)</f>
        <v>13</v>
      </c>
      <c r="BT96" s="5">
        <f>CHOOSE(MATCH(Setup!$B$5,{8,10,12,14,16},0)+(MATCH(Setup!$B$7,{"STD","Half-PPR","PPR"},0)-1)*5,AP96,AR96,AT96,AV96,AX96,AZ96,BB96,BD96,BF96,BH96,BJ96,BL96,BN96,BP96,BR96)</f>
        <v>0</v>
      </c>
      <c r="BU96" s="5">
        <f>ROUND(1+BT96*'Live Calc'!$D$10,0)</f>
        <v>1</v>
      </c>
      <c r="BV96" s="5"/>
      <c r="BW96" s="5">
        <f>IF(BV96&lt;&gt;"",BV96,ROUND(BU96*INDEX('Live Calc'!$D$29:$D$46,MATCH(BS96,'Live Calc'!$A$29:$A$46,0))*'Live Calc'!$J$89,0))</f>
        <v>1</v>
      </c>
      <c r="BY96" s="6" t="s">
        <v>398</v>
      </c>
      <c r="BZ96" s="6" t="s">
        <v>66</v>
      </c>
      <c r="CA96" s="6">
        <v>14</v>
      </c>
      <c r="CB96" s="6">
        <v>0</v>
      </c>
      <c r="CC96" s="6">
        <v>17</v>
      </c>
      <c r="CD96" s="6">
        <v>0</v>
      </c>
      <c r="CE96" s="6">
        <v>20</v>
      </c>
      <c r="CF96" s="6">
        <v>0</v>
      </c>
      <c r="CG96" s="6">
        <v>19</v>
      </c>
      <c r="CH96" s="6">
        <v>0</v>
      </c>
      <c r="CI96" s="6">
        <v>21</v>
      </c>
      <c r="CJ96" s="6">
        <v>0</v>
      </c>
      <c r="CK96" s="6">
        <v>10</v>
      </c>
      <c r="CL96" s="6">
        <v>0</v>
      </c>
      <c r="CM96" s="6">
        <v>15</v>
      </c>
      <c r="CN96" s="6">
        <v>0</v>
      </c>
      <c r="CO96" s="6">
        <v>15</v>
      </c>
      <c r="CP96" s="6">
        <v>0</v>
      </c>
      <c r="CQ96" s="6">
        <v>16</v>
      </c>
      <c r="CR96" s="6">
        <v>0</v>
      </c>
      <c r="CS96" s="6">
        <v>20</v>
      </c>
      <c r="CT96" s="6">
        <v>0</v>
      </c>
      <c r="CU96" s="6">
        <v>12</v>
      </c>
      <c r="CV96" s="6">
        <v>0</v>
      </c>
      <c r="CW96" s="6">
        <v>12</v>
      </c>
      <c r="CX96" s="6">
        <v>0</v>
      </c>
      <c r="CY96" s="6">
        <v>15</v>
      </c>
      <c r="CZ96" s="6">
        <v>0</v>
      </c>
      <c r="DA96" s="6">
        <v>18</v>
      </c>
      <c r="DB96" s="6">
        <v>0</v>
      </c>
      <c r="DC96" s="6">
        <v>20</v>
      </c>
      <c r="DD96" s="6">
        <v>0</v>
      </c>
      <c r="DE96" s="6">
        <f>CHOOSE(MATCH(Setup!$B$5,{8,10,12,14,16},0)+(MATCH(Setup!$B$7,{"STD","Half-PPR","PPR"},0)-1)*5,CA96,CC96,CE96,CG96,CI96,CK96,CM96,CO96,CQ96,CS96,CU96,CW96,CY96,DA96,DC96)</f>
        <v>15</v>
      </c>
      <c r="DF96" s="6">
        <f>CHOOSE(MATCH(Setup!$B$5,{8,10,12,14,16},0)+(MATCH(Setup!$B$7,{"STD","Half-PPR","PPR"},0)-1)*5,CB96,CD96,CF96,CH96,CJ96,CL96,CN96,CP96,CR96,CT96,CV96,CX96,CZ96,DB96,DD96)</f>
        <v>0</v>
      </c>
      <c r="DG96" s="6">
        <f>ROUND(1+DF96*'Live Calc'!$D$11,0)</f>
        <v>1</v>
      </c>
      <c r="DH96" s="6"/>
      <c r="DI96" s="6">
        <f>IF(DH96&lt;&gt;"",DH96,ROUND(DG96*INDEX('Live Calc'!$D$50:$D$70,MATCH(DE96,'Live Calc'!$A$50:$A$70,0))*'Live Calc'!$J$89,0))</f>
        <v>1</v>
      </c>
    </row>
    <row r="97" spans="39:113" x14ac:dyDescent="0.25">
      <c r="AM97" s="5" t="s">
        <v>399</v>
      </c>
      <c r="AN97" s="5" t="s">
        <v>175</v>
      </c>
      <c r="AO97" s="5">
        <v>9</v>
      </c>
      <c r="AP97" s="5">
        <v>0</v>
      </c>
      <c r="AQ97" s="5">
        <v>10</v>
      </c>
      <c r="AR97" s="5">
        <v>0</v>
      </c>
      <c r="AS97" s="5">
        <v>14</v>
      </c>
      <c r="AT97" s="5">
        <v>0</v>
      </c>
      <c r="AU97" s="5">
        <v>16</v>
      </c>
      <c r="AV97" s="5">
        <v>0</v>
      </c>
      <c r="AW97" s="5">
        <v>16</v>
      </c>
      <c r="AX97" s="5">
        <v>0</v>
      </c>
      <c r="AY97" s="5">
        <v>9</v>
      </c>
      <c r="AZ97" s="5">
        <v>0</v>
      </c>
      <c r="BA97" s="5">
        <v>11</v>
      </c>
      <c r="BB97" s="5">
        <v>0</v>
      </c>
      <c r="BC97" s="5">
        <v>13</v>
      </c>
      <c r="BD97" s="5">
        <v>0</v>
      </c>
      <c r="BE97" s="5">
        <v>17</v>
      </c>
      <c r="BF97" s="5">
        <v>0</v>
      </c>
      <c r="BG97" s="5">
        <v>17</v>
      </c>
      <c r="BH97" s="5">
        <v>0</v>
      </c>
      <c r="BI97" s="5">
        <v>11</v>
      </c>
      <c r="BJ97" s="5">
        <v>0</v>
      </c>
      <c r="BK97" s="5">
        <v>13</v>
      </c>
      <c r="BL97" s="5">
        <v>0</v>
      </c>
      <c r="BM97" s="5">
        <v>15</v>
      </c>
      <c r="BN97" s="5">
        <v>0</v>
      </c>
      <c r="BO97" s="5">
        <v>17</v>
      </c>
      <c r="BP97" s="5">
        <v>0</v>
      </c>
      <c r="BQ97" s="5">
        <v>18</v>
      </c>
      <c r="BR97" s="5">
        <v>0</v>
      </c>
      <c r="BS97" s="5">
        <f>CHOOSE(MATCH(Setup!$B$5,{8,10,12,14,16},0)+(MATCH(Setup!$B$7,{"STD","Half-PPR","PPR"},0)-1)*5,AO97,AQ97,AS97,AU97,AW97,AY97,BA97,BC97,BE97,BG97,BI97,BK97,BM97,BO97,BQ97)</f>
        <v>13</v>
      </c>
      <c r="BT97" s="5">
        <f>CHOOSE(MATCH(Setup!$B$5,{8,10,12,14,16},0)+(MATCH(Setup!$B$7,{"STD","Half-PPR","PPR"},0)-1)*5,AP97,AR97,AT97,AV97,AX97,AZ97,BB97,BD97,BF97,BH97,BJ97,BL97,BN97,BP97,BR97)</f>
        <v>0</v>
      </c>
      <c r="BU97" s="5">
        <f>ROUND(1+BT97*'Live Calc'!$D$10,0)</f>
        <v>1</v>
      </c>
      <c r="BV97" s="5"/>
      <c r="BW97" s="5">
        <f>IF(BV97&lt;&gt;"",BV97,ROUND(BU97*INDEX('Live Calc'!$D$29:$D$46,MATCH(BS97,'Live Calc'!$A$29:$A$46,0))*'Live Calc'!$J$89,0))</f>
        <v>1</v>
      </c>
      <c r="BY97" s="6" t="s">
        <v>400</v>
      </c>
      <c r="BZ97" s="6" t="s">
        <v>117</v>
      </c>
      <c r="CA97" s="6">
        <v>14</v>
      </c>
      <c r="CB97" s="6">
        <v>0</v>
      </c>
      <c r="CC97" s="6">
        <v>17</v>
      </c>
      <c r="CD97" s="6">
        <v>0</v>
      </c>
      <c r="CE97" s="6">
        <v>20</v>
      </c>
      <c r="CF97" s="6">
        <v>0</v>
      </c>
      <c r="CG97" s="6">
        <v>19</v>
      </c>
      <c r="CH97" s="6">
        <v>0</v>
      </c>
      <c r="CI97" s="6">
        <v>21</v>
      </c>
      <c r="CJ97" s="6">
        <v>0</v>
      </c>
      <c r="CK97" s="6">
        <v>10</v>
      </c>
      <c r="CL97" s="6">
        <v>0</v>
      </c>
      <c r="CM97" s="6">
        <v>15</v>
      </c>
      <c r="CN97" s="6">
        <v>0</v>
      </c>
      <c r="CO97" s="6">
        <v>15</v>
      </c>
      <c r="CP97" s="6">
        <v>0</v>
      </c>
      <c r="CQ97" s="6">
        <v>16</v>
      </c>
      <c r="CR97" s="6">
        <v>0</v>
      </c>
      <c r="CS97" s="6">
        <v>20</v>
      </c>
      <c r="CT97" s="6">
        <v>0</v>
      </c>
      <c r="CU97" s="6">
        <v>12</v>
      </c>
      <c r="CV97" s="6">
        <v>0</v>
      </c>
      <c r="CW97" s="6">
        <v>12</v>
      </c>
      <c r="CX97" s="6">
        <v>0</v>
      </c>
      <c r="CY97" s="6">
        <v>15</v>
      </c>
      <c r="CZ97" s="6">
        <v>0</v>
      </c>
      <c r="DA97" s="6">
        <v>18</v>
      </c>
      <c r="DB97" s="6">
        <v>0</v>
      </c>
      <c r="DC97" s="6">
        <v>20</v>
      </c>
      <c r="DD97" s="6">
        <v>0</v>
      </c>
      <c r="DE97" s="6">
        <f>CHOOSE(MATCH(Setup!$B$5,{8,10,12,14,16},0)+(MATCH(Setup!$B$7,{"STD","Half-PPR","PPR"},0)-1)*5,CA97,CC97,CE97,CG97,CI97,CK97,CM97,CO97,CQ97,CS97,CU97,CW97,CY97,DA97,DC97)</f>
        <v>15</v>
      </c>
      <c r="DF97" s="6">
        <f>CHOOSE(MATCH(Setup!$B$5,{8,10,12,14,16},0)+(MATCH(Setup!$B$7,{"STD","Half-PPR","PPR"},0)-1)*5,CB97,CD97,CF97,CH97,CJ97,CL97,CN97,CP97,CR97,CT97,CV97,CX97,CZ97,DB97,DD97)</f>
        <v>0</v>
      </c>
      <c r="DG97" s="6">
        <f>ROUND(1+DF97*'Live Calc'!$D$11,0)</f>
        <v>1</v>
      </c>
      <c r="DH97" s="6"/>
      <c r="DI97" s="6">
        <f>IF(DH97&lt;&gt;"",DH97,ROUND(DG97*INDEX('Live Calc'!$D$50:$D$70,MATCH(DE97,'Live Calc'!$A$50:$A$70,0))*'Live Calc'!$J$89,0))</f>
        <v>1</v>
      </c>
    </row>
    <row r="98" spans="39:113" x14ac:dyDescent="0.25">
      <c r="AM98" s="5" t="s">
        <v>401</v>
      </c>
      <c r="AN98" s="5" t="s">
        <v>70</v>
      </c>
      <c r="AO98" s="5">
        <v>9</v>
      </c>
      <c r="AP98" s="5">
        <v>0</v>
      </c>
      <c r="AQ98" s="5">
        <v>10</v>
      </c>
      <c r="AR98" s="5">
        <v>0</v>
      </c>
      <c r="AS98" s="5">
        <v>14</v>
      </c>
      <c r="AT98" s="5">
        <v>0</v>
      </c>
      <c r="AU98" s="5">
        <v>16</v>
      </c>
      <c r="AV98" s="5">
        <v>0</v>
      </c>
      <c r="AW98" s="5">
        <v>16</v>
      </c>
      <c r="AX98" s="5">
        <v>0</v>
      </c>
      <c r="AY98" s="5">
        <v>9</v>
      </c>
      <c r="AZ98" s="5">
        <v>0</v>
      </c>
      <c r="BA98" s="5">
        <v>11</v>
      </c>
      <c r="BB98" s="5">
        <v>0</v>
      </c>
      <c r="BC98" s="5">
        <v>13</v>
      </c>
      <c r="BD98" s="5">
        <v>0</v>
      </c>
      <c r="BE98" s="5">
        <v>17</v>
      </c>
      <c r="BF98" s="5">
        <v>0</v>
      </c>
      <c r="BG98" s="5">
        <v>17</v>
      </c>
      <c r="BH98" s="5">
        <v>0</v>
      </c>
      <c r="BI98" s="5">
        <v>11</v>
      </c>
      <c r="BJ98" s="5">
        <v>0</v>
      </c>
      <c r="BK98" s="5">
        <v>13</v>
      </c>
      <c r="BL98" s="5">
        <v>0</v>
      </c>
      <c r="BM98" s="5">
        <v>15</v>
      </c>
      <c r="BN98" s="5">
        <v>0</v>
      </c>
      <c r="BO98" s="5">
        <v>17</v>
      </c>
      <c r="BP98" s="5">
        <v>0</v>
      </c>
      <c r="BQ98" s="5">
        <v>18</v>
      </c>
      <c r="BR98" s="5">
        <v>0</v>
      </c>
      <c r="BS98" s="5">
        <f>CHOOSE(MATCH(Setup!$B$5,{8,10,12,14,16},0)+(MATCH(Setup!$B$7,{"STD","Half-PPR","PPR"},0)-1)*5,AO98,AQ98,AS98,AU98,AW98,AY98,BA98,BC98,BE98,BG98,BI98,BK98,BM98,BO98,BQ98)</f>
        <v>13</v>
      </c>
      <c r="BT98" s="5">
        <f>CHOOSE(MATCH(Setup!$B$5,{8,10,12,14,16},0)+(MATCH(Setup!$B$7,{"STD","Half-PPR","PPR"},0)-1)*5,AP98,AR98,AT98,AV98,AX98,AZ98,BB98,BD98,BF98,BH98,BJ98,BL98,BN98,BP98,BR98)</f>
        <v>0</v>
      </c>
      <c r="BU98" s="5">
        <f>ROUND(1+BT98*'Live Calc'!$D$10,0)</f>
        <v>1</v>
      </c>
      <c r="BV98" s="5"/>
      <c r="BW98" s="5">
        <f>IF(BV98&lt;&gt;"",BV98,ROUND(BU98*INDEX('Live Calc'!$D$29:$D$46,MATCH(BS98,'Live Calc'!$A$29:$A$46,0))*'Live Calc'!$J$89,0))</f>
        <v>1</v>
      </c>
      <c r="BY98" s="6" t="s">
        <v>402</v>
      </c>
      <c r="BZ98" s="6" t="s">
        <v>72</v>
      </c>
      <c r="CA98" s="6">
        <v>14</v>
      </c>
      <c r="CB98" s="6">
        <v>0</v>
      </c>
      <c r="CC98" s="6">
        <v>17</v>
      </c>
      <c r="CD98" s="6">
        <v>0</v>
      </c>
      <c r="CE98" s="6">
        <v>20</v>
      </c>
      <c r="CF98" s="6">
        <v>0</v>
      </c>
      <c r="CG98" s="6">
        <v>19</v>
      </c>
      <c r="CH98" s="6">
        <v>0</v>
      </c>
      <c r="CI98" s="6">
        <v>21</v>
      </c>
      <c r="CJ98" s="6">
        <v>0</v>
      </c>
      <c r="CK98" s="6">
        <v>10</v>
      </c>
      <c r="CL98" s="6">
        <v>0</v>
      </c>
      <c r="CM98" s="6">
        <v>15</v>
      </c>
      <c r="CN98" s="6">
        <v>0</v>
      </c>
      <c r="CO98" s="6">
        <v>15</v>
      </c>
      <c r="CP98" s="6">
        <v>0</v>
      </c>
      <c r="CQ98" s="6">
        <v>16</v>
      </c>
      <c r="CR98" s="6">
        <v>0</v>
      </c>
      <c r="CS98" s="6">
        <v>20</v>
      </c>
      <c r="CT98" s="6">
        <v>0</v>
      </c>
      <c r="CU98" s="6">
        <v>12</v>
      </c>
      <c r="CV98" s="6">
        <v>0</v>
      </c>
      <c r="CW98" s="6">
        <v>12</v>
      </c>
      <c r="CX98" s="6">
        <v>0</v>
      </c>
      <c r="CY98" s="6">
        <v>15</v>
      </c>
      <c r="CZ98" s="6">
        <v>0</v>
      </c>
      <c r="DA98" s="6">
        <v>18</v>
      </c>
      <c r="DB98" s="6">
        <v>0</v>
      </c>
      <c r="DC98" s="6">
        <v>20</v>
      </c>
      <c r="DD98" s="6">
        <v>0</v>
      </c>
      <c r="DE98" s="6">
        <f>CHOOSE(MATCH(Setup!$B$5,{8,10,12,14,16},0)+(MATCH(Setup!$B$7,{"STD","Half-PPR","PPR"},0)-1)*5,CA98,CC98,CE98,CG98,CI98,CK98,CM98,CO98,CQ98,CS98,CU98,CW98,CY98,DA98,DC98)</f>
        <v>15</v>
      </c>
      <c r="DF98" s="6">
        <f>CHOOSE(MATCH(Setup!$B$5,{8,10,12,14,16},0)+(MATCH(Setup!$B$7,{"STD","Half-PPR","PPR"},0)-1)*5,CB98,CD98,CF98,CH98,CJ98,CL98,CN98,CP98,CR98,CT98,CV98,CX98,CZ98,DB98,DD98)</f>
        <v>0</v>
      </c>
      <c r="DG98" s="6">
        <f>ROUND(1+DF98*'Live Calc'!$D$11,0)</f>
        <v>1</v>
      </c>
      <c r="DH98" s="6"/>
      <c r="DI98" s="6">
        <f>IF(DH98&lt;&gt;"",DH98,ROUND(DG98*INDEX('Live Calc'!$D$50:$D$70,MATCH(DE98,'Live Calc'!$A$50:$A$70,0))*'Live Calc'!$J$89,0))</f>
        <v>1</v>
      </c>
    </row>
    <row r="99" spans="39:113" x14ac:dyDescent="0.25">
      <c r="AM99" s="5" t="s">
        <v>403</v>
      </c>
      <c r="AN99" s="5" t="s">
        <v>70</v>
      </c>
      <c r="AO99" s="5">
        <v>9</v>
      </c>
      <c r="AP99" s="5">
        <v>0</v>
      </c>
      <c r="AQ99" s="5">
        <v>10</v>
      </c>
      <c r="AR99" s="5">
        <v>0</v>
      </c>
      <c r="AS99" s="5">
        <v>14</v>
      </c>
      <c r="AT99" s="5">
        <v>0</v>
      </c>
      <c r="AU99" s="5">
        <v>16</v>
      </c>
      <c r="AV99" s="5">
        <v>0</v>
      </c>
      <c r="AW99" s="5">
        <v>16</v>
      </c>
      <c r="AX99" s="5">
        <v>0</v>
      </c>
      <c r="AY99" s="5">
        <v>9</v>
      </c>
      <c r="AZ99" s="5">
        <v>0</v>
      </c>
      <c r="BA99" s="5">
        <v>11</v>
      </c>
      <c r="BB99" s="5">
        <v>0</v>
      </c>
      <c r="BC99" s="5">
        <v>13</v>
      </c>
      <c r="BD99" s="5">
        <v>0</v>
      </c>
      <c r="BE99" s="5">
        <v>17</v>
      </c>
      <c r="BF99" s="5">
        <v>0</v>
      </c>
      <c r="BG99" s="5">
        <v>17</v>
      </c>
      <c r="BH99" s="5">
        <v>0</v>
      </c>
      <c r="BI99" s="5">
        <v>11</v>
      </c>
      <c r="BJ99" s="5">
        <v>0</v>
      </c>
      <c r="BK99" s="5">
        <v>13</v>
      </c>
      <c r="BL99" s="5">
        <v>0</v>
      </c>
      <c r="BM99" s="5">
        <v>15</v>
      </c>
      <c r="BN99" s="5">
        <v>0</v>
      </c>
      <c r="BO99" s="5">
        <v>17</v>
      </c>
      <c r="BP99" s="5">
        <v>0</v>
      </c>
      <c r="BQ99" s="5">
        <v>18</v>
      </c>
      <c r="BR99" s="5">
        <v>0</v>
      </c>
      <c r="BS99" s="5">
        <f>CHOOSE(MATCH(Setup!$B$5,{8,10,12,14,16},0)+(MATCH(Setup!$B$7,{"STD","Half-PPR","PPR"},0)-1)*5,AO99,AQ99,AS99,AU99,AW99,AY99,BA99,BC99,BE99,BG99,BI99,BK99,BM99,BO99,BQ99)</f>
        <v>13</v>
      </c>
      <c r="BT99" s="5">
        <f>CHOOSE(MATCH(Setup!$B$5,{8,10,12,14,16},0)+(MATCH(Setup!$B$7,{"STD","Half-PPR","PPR"},0)-1)*5,AP99,AR99,AT99,AV99,AX99,AZ99,BB99,BD99,BF99,BH99,BJ99,BL99,BN99,BP99,BR99)</f>
        <v>0</v>
      </c>
      <c r="BU99" s="5">
        <f>ROUND(1+BT99*'Live Calc'!$D$10,0)</f>
        <v>1</v>
      </c>
      <c r="BV99" s="5"/>
      <c r="BW99" s="5">
        <f>IF(BV99&lt;&gt;"",BV99,ROUND(BU99*INDEX('Live Calc'!$D$29:$D$46,MATCH(BS99,'Live Calc'!$A$29:$A$46,0))*'Live Calc'!$J$89,0))</f>
        <v>1</v>
      </c>
      <c r="BY99" s="6" t="s">
        <v>404</v>
      </c>
      <c r="BZ99" s="6" t="s">
        <v>54</v>
      </c>
      <c r="CA99" s="6">
        <v>14</v>
      </c>
      <c r="CB99" s="6">
        <v>0</v>
      </c>
      <c r="CC99" s="6">
        <v>17</v>
      </c>
      <c r="CD99" s="6">
        <v>0</v>
      </c>
      <c r="CE99" s="6">
        <v>20</v>
      </c>
      <c r="CF99" s="6">
        <v>0</v>
      </c>
      <c r="CG99" s="6">
        <v>19</v>
      </c>
      <c r="CH99" s="6">
        <v>0</v>
      </c>
      <c r="CI99" s="6">
        <v>21</v>
      </c>
      <c r="CJ99" s="6">
        <v>0</v>
      </c>
      <c r="CK99" s="6">
        <v>10</v>
      </c>
      <c r="CL99" s="6">
        <v>0</v>
      </c>
      <c r="CM99" s="6">
        <v>15</v>
      </c>
      <c r="CN99" s="6">
        <v>0</v>
      </c>
      <c r="CO99" s="6">
        <v>15</v>
      </c>
      <c r="CP99" s="6">
        <v>0</v>
      </c>
      <c r="CQ99" s="6">
        <v>16</v>
      </c>
      <c r="CR99" s="6">
        <v>0</v>
      </c>
      <c r="CS99" s="6">
        <v>20</v>
      </c>
      <c r="CT99" s="6">
        <v>0</v>
      </c>
      <c r="CU99" s="6">
        <v>12</v>
      </c>
      <c r="CV99" s="6">
        <v>0</v>
      </c>
      <c r="CW99" s="6">
        <v>12</v>
      </c>
      <c r="CX99" s="6">
        <v>0</v>
      </c>
      <c r="CY99" s="6">
        <v>15</v>
      </c>
      <c r="CZ99" s="6">
        <v>0</v>
      </c>
      <c r="DA99" s="6">
        <v>18</v>
      </c>
      <c r="DB99" s="6">
        <v>0</v>
      </c>
      <c r="DC99" s="6">
        <v>20</v>
      </c>
      <c r="DD99" s="6">
        <v>0</v>
      </c>
      <c r="DE99" s="6">
        <f>CHOOSE(MATCH(Setup!$B$5,{8,10,12,14,16},0)+(MATCH(Setup!$B$7,{"STD","Half-PPR","PPR"},0)-1)*5,CA99,CC99,CE99,CG99,CI99,CK99,CM99,CO99,CQ99,CS99,CU99,CW99,CY99,DA99,DC99)</f>
        <v>15</v>
      </c>
      <c r="DF99" s="6">
        <f>CHOOSE(MATCH(Setup!$B$5,{8,10,12,14,16},0)+(MATCH(Setup!$B$7,{"STD","Half-PPR","PPR"},0)-1)*5,CB99,CD99,CF99,CH99,CJ99,CL99,CN99,CP99,CR99,CT99,CV99,CX99,CZ99,DB99,DD99)</f>
        <v>0</v>
      </c>
      <c r="DG99" s="6">
        <f>ROUND(1+DF99*'Live Calc'!$D$11,0)</f>
        <v>1</v>
      </c>
      <c r="DH99" s="6"/>
      <c r="DI99" s="6">
        <f>IF(DH99&lt;&gt;"",DH99,ROUND(DG99*INDEX('Live Calc'!$D$50:$D$70,MATCH(DE99,'Live Calc'!$A$50:$A$70,0))*'Live Calc'!$J$89,0))</f>
        <v>1</v>
      </c>
    </row>
    <row r="100" spans="39:113" x14ac:dyDescent="0.25">
      <c r="AM100" s="5" t="s">
        <v>405</v>
      </c>
      <c r="AN100" s="5" t="s">
        <v>64</v>
      </c>
      <c r="AO100" s="5">
        <v>9</v>
      </c>
      <c r="AP100" s="5">
        <v>0</v>
      </c>
      <c r="AQ100" s="5">
        <v>10</v>
      </c>
      <c r="AR100" s="5">
        <v>0</v>
      </c>
      <c r="AS100" s="5">
        <v>14</v>
      </c>
      <c r="AT100" s="5">
        <v>0</v>
      </c>
      <c r="AU100" s="5">
        <v>16</v>
      </c>
      <c r="AV100" s="5">
        <v>0</v>
      </c>
      <c r="AW100" s="5">
        <v>16</v>
      </c>
      <c r="AX100" s="5">
        <v>0</v>
      </c>
      <c r="AY100" s="5">
        <v>9</v>
      </c>
      <c r="AZ100" s="5">
        <v>0</v>
      </c>
      <c r="BA100" s="5">
        <v>11</v>
      </c>
      <c r="BB100" s="5">
        <v>0</v>
      </c>
      <c r="BC100" s="5">
        <v>13</v>
      </c>
      <c r="BD100" s="5">
        <v>0</v>
      </c>
      <c r="BE100" s="5">
        <v>17</v>
      </c>
      <c r="BF100" s="5">
        <v>0</v>
      </c>
      <c r="BG100" s="5">
        <v>17</v>
      </c>
      <c r="BH100" s="5">
        <v>0</v>
      </c>
      <c r="BI100" s="5">
        <v>11</v>
      </c>
      <c r="BJ100" s="5">
        <v>0</v>
      </c>
      <c r="BK100" s="5">
        <v>13</v>
      </c>
      <c r="BL100" s="5">
        <v>0</v>
      </c>
      <c r="BM100" s="5">
        <v>15</v>
      </c>
      <c r="BN100" s="5">
        <v>0</v>
      </c>
      <c r="BO100" s="5">
        <v>17</v>
      </c>
      <c r="BP100" s="5">
        <v>0</v>
      </c>
      <c r="BQ100" s="5">
        <v>18</v>
      </c>
      <c r="BR100" s="5">
        <v>0</v>
      </c>
      <c r="BS100" s="5">
        <f>CHOOSE(MATCH(Setup!$B$5,{8,10,12,14,16},0)+(MATCH(Setup!$B$7,{"STD","Half-PPR","PPR"},0)-1)*5,AO100,AQ100,AS100,AU100,AW100,AY100,BA100,BC100,BE100,BG100,BI100,BK100,BM100,BO100,BQ100)</f>
        <v>13</v>
      </c>
      <c r="BT100" s="5">
        <f>CHOOSE(MATCH(Setup!$B$5,{8,10,12,14,16},0)+(MATCH(Setup!$B$7,{"STD","Half-PPR","PPR"},0)-1)*5,AP100,AR100,AT100,AV100,AX100,AZ100,BB100,BD100,BF100,BH100,BJ100,BL100,BN100,BP100,BR100)</f>
        <v>0</v>
      </c>
      <c r="BU100" s="5">
        <f>ROUND(1+BT100*'Live Calc'!$D$10,0)</f>
        <v>1</v>
      </c>
      <c r="BV100" s="5"/>
      <c r="BW100" s="5">
        <f>IF(BV100&lt;&gt;"",BV100,ROUND(BU100*INDEX('Live Calc'!$D$29:$D$46,MATCH(BS100,'Live Calc'!$A$29:$A$46,0))*'Live Calc'!$J$89,0))</f>
        <v>1</v>
      </c>
      <c r="BY100" s="6" t="s">
        <v>406</v>
      </c>
      <c r="BZ100" s="6" t="s">
        <v>79</v>
      </c>
      <c r="CA100" s="6">
        <v>14</v>
      </c>
      <c r="CB100" s="6">
        <v>0</v>
      </c>
      <c r="CC100" s="6">
        <v>17</v>
      </c>
      <c r="CD100" s="6">
        <v>0</v>
      </c>
      <c r="CE100" s="6">
        <v>20</v>
      </c>
      <c r="CF100" s="6">
        <v>0</v>
      </c>
      <c r="CG100" s="6">
        <v>19</v>
      </c>
      <c r="CH100" s="6">
        <v>0</v>
      </c>
      <c r="CI100" s="6">
        <v>21</v>
      </c>
      <c r="CJ100" s="6">
        <v>0</v>
      </c>
      <c r="CK100" s="6">
        <v>10</v>
      </c>
      <c r="CL100" s="6">
        <v>0</v>
      </c>
      <c r="CM100" s="6">
        <v>15</v>
      </c>
      <c r="CN100" s="6">
        <v>0</v>
      </c>
      <c r="CO100" s="6">
        <v>15</v>
      </c>
      <c r="CP100" s="6">
        <v>0</v>
      </c>
      <c r="CQ100" s="6">
        <v>16</v>
      </c>
      <c r="CR100" s="6">
        <v>0</v>
      </c>
      <c r="CS100" s="6">
        <v>20</v>
      </c>
      <c r="CT100" s="6">
        <v>0</v>
      </c>
      <c r="CU100" s="6">
        <v>12</v>
      </c>
      <c r="CV100" s="6">
        <v>0</v>
      </c>
      <c r="CW100" s="6">
        <v>12</v>
      </c>
      <c r="CX100" s="6">
        <v>0</v>
      </c>
      <c r="CY100" s="6">
        <v>15</v>
      </c>
      <c r="CZ100" s="6">
        <v>0</v>
      </c>
      <c r="DA100" s="6">
        <v>18</v>
      </c>
      <c r="DB100" s="6">
        <v>0</v>
      </c>
      <c r="DC100" s="6">
        <v>20</v>
      </c>
      <c r="DD100" s="6">
        <v>0</v>
      </c>
      <c r="DE100" s="6">
        <f>CHOOSE(MATCH(Setup!$B$5,{8,10,12,14,16},0)+(MATCH(Setup!$B$7,{"STD","Half-PPR","PPR"},0)-1)*5,CA100,CC100,CE100,CG100,CI100,CK100,CM100,CO100,CQ100,CS100,CU100,CW100,CY100,DA100,DC100)</f>
        <v>15</v>
      </c>
      <c r="DF100" s="6">
        <f>CHOOSE(MATCH(Setup!$B$5,{8,10,12,14,16},0)+(MATCH(Setup!$B$7,{"STD","Half-PPR","PPR"},0)-1)*5,CB100,CD100,CF100,CH100,CJ100,CL100,CN100,CP100,CR100,CT100,CV100,CX100,CZ100,DB100,DD100)</f>
        <v>0</v>
      </c>
      <c r="DG100" s="6">
        <f>ROUND(1+DF100*'Live Calc'!$D$11,0)</f>
        <v>1</v>
      </c>
      <c r="DH100" s="6"/>
      <c r="DI100" s="6">
        <f>IF(DH100&lt;&gt;"",DH100,ROUND(DG100*INDEX('Live Calc'!$D$50:$D$70,MATCH(DE100,'Live Calc'!$A$50:$A$70,0))*'Live Calc'!$J$89,0))</f>
        <v>1</v>
      </c>
    </row>
    <row r="101" spans="39:113" x14ac:dyDescent="0.25">
      <c r="AM101" s="5" t="s">
        <v>407</v>
      </c>
      <c r="AN101" s="5" t="s">
        <v>107</v>
      </c>
      <c r="AO101" s="5">
        <v>9</v>
      </c>
      <c r="AP101" s="5">
        <v>0</v>
      </c>
      <c r="AQ101" s="5">
        <v>10</v>
      </c>
      <c r="AR101" s="5">
        <v>0</v>
      </c>
      <c r="AS101" s="5">
        <v>14</v>
      </c>
      <c r="AT101" s="5">
        <v>0</v>
      </c>
      <c r="AU101" s="5">
        <v>16</v>
      </c>
      <c r="AV101" s="5">
        <v>0</v>
      </c>
      <c r="AW101" s="5">
        <v>16</v>
      </c>
      <c r="AX101" s="5">
        <v>0</v>
      </c>
      <c r="AY101" s="5">
        <v>9</v>
      </c>
      <c r="AZ101" s="5">
        <v>0</v>
      </c>
      <c r="BA101" s="5">
        <v>11</v>
      </c>
      <c r="BB101" s="5">
        <v>0</v>
      </c>
      <c r="BC101" s="5">
        <v>13</v>
      </c>
      <c r="BD101" s="5">
        <v>0</v>
      </c>
      <c r="BE101" s="5">
        <v>17</v>
      </c>
      <c r="BF101" s="5">
        <v>0</v>
      </c>
      <c r="BG101" s="5">
        <v>17</v>
      </c>
      <c r="BH101" s="5">
        <v>0</v>
      </c>
      <c r="BI101" s="5">
        <v>11</v>
      </c>
      <c r="BJ101" s="5">
        <v>0</v>
      </c>
      <c r="BK101" s="5">
        <v>13</v>
      </c>
      <c r="BL101" s="5">
        <v>0</v>
      </c>
      <c r="BM101" s="5">
        <v>15</v>
      </c>
      <c r="BN101" s="5">
        <v>0</v>
      </c>
      <c r="BO101" s="5">
        <v>17</v>
      </c>
      <c r="BP101" s="5">
        <v>0</v>
      </c>
      <c r="BQ101" s="5">
        <v>18</v>
      </c>
      <c r="BR101" s="5">
        <v>0</v>
      </c>
      <c r="BS101" s="5">
        <f>CHOOSE(MATCH(Setup!$B$5,{8,10,12,14,16},0)+(MATCH(Setup!$B$7,{"STD","Half-PPR","PPR"},0)-1)*5,AO101,AQ101,AS101,AU101,AW101,AY101,BA101,BC101,BE101,BG101,BI101,BK101,BM101,BO101,BQ101)</f>
        <v>13</v>
      </c>
      <c r="BT101" s="5">
        <f>CHOOSE(MATCH(Setup!$B$5,{8,10,12,14,16},0)+(MATCH(Setup!$B$7,{"STD","Half-PPR","PPR"},0)-1)*5,AP101,AR101,AT101,AV101,AX101,AZ101,BB101,BD101,BF101,BH101,BJ101,BL101,BN101,BP101,BR101)</f>
        <v>0</v>
      </c>
      <c r="BU101" s="5">
        <f>ROUND(1+BT101*'Live Calc'!$D$10,0)</f>
        <v>1</v>
      </c>
      <c r="BV101" s="5"/>
      <c r="BW101" s="5">
        <f>IF(BV101&lt;&gt;"",BV101,ROUND(BU101*INDEX('Live Calc'!$D$29:$D$46,MATCH(BS101,'Live Calc'!$A$29:$A$46,0))*'Live Calc'!$J$89,0))</f>
        <v>1</v>
      </c>
      <c r="BY101" s="6" t="s">
        <v>408</v>
      </c>
      <c r="BZ101" s="6" t="s">
        <v>54</v>
      </c>
      <c r="CA101" s="6">
        <v>14</v>
      </c>
      <c r="CB101" s="6">
        <v>0</v>
      </c>
      <c r="CC101" s="6">
        <v>17</v>
      </c>
      <c r="CD101" s="6">
        <v>0</v>
      </c>
      <c r="CE101" s="6">
        <v>20</v>
      </c>
      <c r="CF101" s="6">
        <v>0</v>
      </c>
      <c r="CG101" s="6">
        <v>19</v>
      </c>
      <c r="CH101" s="6">
        <v>0</v>
      </c>
      <c r="CI101" s="6">
        <v>21</v>
      </c>
      <c r="CJ101" s="6">
        <v>0</v>
      </c>
      <c r="CK101" s="6">
        <v>10</v>
      </c>
      <c r="CL101" s="6">
        <v>0</v>
      </c>
      <c r="CM101" s="6">
        <v>15</v>
      </c>
      <c r="CN101" s="6">
        <v>0</v>
      </c>
      <c r="CO101" s="6">
        <v>15</v>
      </c>
      <c r="CP101" s="6">
        <v>0</v>
      </c>
      <c r="CQ101" s="6">
        <v>16</v>
      </c>
      <c r="CR101" s="6">
        <v>0</v>
      </c>
      <c r="CS101" s="6">
        <v>20</v>
      </c>
      <c r="CT101" s="6">
        <v>0</v>
      </c>
      <c r="CU101" s="6">
        <v>12</v>
      </c>
      <c r="CV101" s="6">
        <v>0</v>
      </c>
      <c r="CW101" s="6">
        <v>12</v>
      </c>
      <c r="CX101" s="6">
        <v>0</v>
      </c>
      <c r="CY101" s="6">
        <v>15</v>
      </c>
      <c r="CZ101" s="6">
        <v>0</v>
      </c>
      <c r="DA101" s="6">
        <v>18</v>
      </c>
      <c r="DB101" s="6">
        <v>0</v>
      </c>
      <c r="DC101" s="6">
        <v>20</v>
      </c>
      <c r="DD101" s="6">
        <v>0</v>
      </c>
      <c r="DE101" s="6">
        <f>CHOOSE(MATCH(Setup!$B$5,{8,10,12,14,16},0)+(MATCH(Setup!$B$7,{"STD","Half-PPR","PPR"},0)-1)*5,CA101,CC101,CE101,CG101,CI101,CK101,CM101,CO101,CQ101,CS101,CU101,CW101,CY101,DA101,DC101)</f>
        <v>15</v>
      </c>
      <c r="DF101" s="6">
        <f>CHOOSE(MATCH(Setup!$B$5,{8,10,12,14,16},0)+(MATCH(Setup!$B$7,{"STD","Half-PPR","PPR"},0)-1)*5,CB101,CD101,CF101,CH101,CJ101,CL101,CN101,CP101,CR101,CT101,CV101,CX101,CZ101,DB101,DD101)</f>
        <v>0</v>
      </c>
      <c r="DG101" s="6">
        <f>ROUND(1+DF101*'Live Calc'!$D$11,0)</f>
        <v>1</v>
      </c>
      <c r="DH101" s="6"/>
      <c r="DI101" s="6">
        <f>IF(DH101&lt;&gt;"",DH101,ROUND(DG101*INDEX('Live Calc'!$D$50:$D$70,MATCH(DE101,'Live Calc'!$A$50:$A$70,0))*'Live Calc'!$J$89,0))</f>
        <v>1</v>
      </c>
    </row>
    <row r="102" spans="39:113" x14ac:dyDescent="0.25">
      <c r="AM102" s="5" t="s">
        <v>409</v>
      </c>
      <c r="AN102" s="5" t="s">
        <v>58</v>
      </c>
      <c r="AO102" s="5">
        <v>9</v>
      </c>
      <c r="AP102" s="5">
        <v>0</v>
      </c>
      <c r="AQ102" s="5">
        <v>10</v>
      </c>
      <c r="AR102" s="5">
        <v>0</v>
      </c>
      <c r="AS102" s="5">
        <v>14</v>
      </c>
      <c r="AT102" s="5">
        <v>0</v>
      </c>
      <c r="AU102" s="5">
        <v>16</v>
      </c>
      <c r="AV102" s="5">
        <v>0</v>
      </c>
      <c r="AW102" s="5">
        <v>16</v>
      </c>
      <c r="AX102" s="5">
        <v>0</v>
      </c>
      <c r="AY102" s="5">
        <v>9</v>
      </c>
      <c r="AZ102" s="5">
        <v>0</v>
      </c>
      <c r="BA102" s="5">
        <v>11</v>
      </c>
      <c r="BB102" s="5">
        <v>0</v>
      </c>
      <c r="BC102" s="5">
        <v>13</v>
      </c>
      <c r="BD102" s="5">
        <v>0</v>
      </c>
      <c r="BE102" s="5">
        <v>17</v>
      </c>
      <c r="BF102" s="5">
        <v>0</v>
      </c>
      <c r="BG102" s="5">
        <v>17</v>
      </c>
      <c r="BH102" s="5">
        <v>0</v>
      </c>
      <c r="BI102" s="5">
        <v>11</v>
      </c>
      <c r="BJ102" s="5">
        <v>0</v>
      </c>
      <c r="BK102" s="5">
        <v>13</v>
      </c>
      <c r="BL102" s="5">
        <v>0</v>
      </c>
      <c r="BM102" s="5">
        <v>15</v>
      </c>
      <c r="BN102" s="5">
        <v>0</v>
      </c>
      <c r="BO102" s="5">
        <v>17</v>
      </c>
      <c r="BP102" s="5">
        <v>0</v>
      </c>
      <c r="BQ102" s="5">
        <v>18</v>
      </c>
      <c r="BR102" s="5">
        <v>0</v>
      </c>
      <c r="BS102" s="5">
        <f>CHOOSE(MATCH(Setup!$B$5,{8,10,12,14,16},0)+(MATCH(Setup!$B$7,{"STD","Half-PPR","PPR"},0)-1)*5,AO102,AQ102,AS102,AU102,AW102,AY102,BA102,BC102,BE102,BG102,BI102,BK102,BM102,BO102,BQ102)</f>
        <v>13</v>
      </c>
      <c r="BT102" s="5">
        <f>CHOOSE(MATCH(Setup!$B$5,{8,10,12,14,16},0)+(MATCH(Setup!$B$7,{"STD","Half-PPR","PPR"},0)-1)*5,AP102,AR102,AT102,AV102,AX102,AZ102,BB102,BD102,BF102,BH102,BJ102,BL102,BN102,BP102,BR102)</f>
        <v>0</v>
      </c>
      <c r="BU102" s="5">
        <f>ROUND(1+BT102*'Live Calc'!$D$10,0)</f>
        <v>1</v>
      </c>
      <c r="BV102" s="5"/>
      <c r="BW102" s="5">
        <f>IF(BV102&lt;&gt;"",BV102,ROUND(BU102*INDEX('Live Calc'!$D$29:$D$46,MATCH(BS102,'Live Calc'!$A$29:$A$46,0))*'Live Calc'!$J$89,0))</f>
        <v>1</v>
      </c>
      <c r="BY102" s="6" t="s">
        <v>410</v>
      </c>
      <c r="BZ102" s="6" t="s">
        <v>124</v>
      </c>
      <c r="CA102" s="6">
        <v>14</v>
      </c>
      <c r="CB102" s="6">
        <v>0</v>
      </c>
      <c r="CC102" s="6">
        <v>17</v>
      </c>
      <c r="CD102" s="6">
        <v>0</v>
      </c>
      <c r="CE102" s="6">
        <v>20</v>
      </c>
      <c r="CF102" s="6">
        <v>0</v>
      </c>
      <c r="CG102" s="6">
        <v>19</v>
      </c>
      <c r="CH102" s="6">
        <v>0</v>
      </c>
      <c r="CI102" s="6">
        <v>21</v>
      </c>
      <c r="CJ102" s="6">
        <v>0</v>
      </c>
      <c r="CK102" s="6">
        <v>10</v>
      </c>
      <c r="CL102" s="6">
        <v>0</v>
      </c>
      <c r="CM102" s="6">
        <v>15</v>
      </c>
      <c r="CN102" s="6">
        <v>0</v>
      </c>
      <c r="CO102" s="6">
        <v>15</v>
      </c>
      <c r="CP102" s="6">
        <v>0</v>
      </c>
      <c r="CQ102" s="6">
        <v>16</v>
      </c>
      <c r="CR102" s="6">
        <v>0</v>
      </c>
      <c r="CS102" s="6">
        <v>20</v>
      </c>
      <c r="CT102" s="6">
        <v>0</v>
      </c>
      <c r="CU102" s="6">
        <v>12</v>
      </c>
      <c r="CV102" s="6">
        <v>0</v>
      </c>
      <c r="CW102" s="6">
        <v>12</v>
      </c>
      <c r="CX102" s="6">
        <v>0</v>
      </c>
      <c r="CY102" s="6">
        <v>15</v>
      </c>
      <c r="CZ102" s="6">
        <v>0</v>
      </c>
      <c r="DA102" s="6">
        <v>18</v>
      </c>
      <c r="DB102" s="6">
        <v>0</v>
      </c>
      <c r="DC102" s="6">
        <v>20</v>
      </c>
      <c r="DD102" s="6">
        <v>0</v>
      </c>
      <c r="DE102" s="6">
        <f>CHOOSE(MATCH(Setup!$B$5,{8,10,12,14,16},0)+(MATCH(Setup!$B$7,{"STD","Half-PPR","PPR"},0)-1)*5,CA102,CC102,CE102,CG102,CI102,CK102,CM102,CO102,CQ102,CS102,CU102,CW102,CY102,DA102,DC102)</f>
        <v>15</v>
      </c>
      <c r="DF102" s="6">
        <f>CHOOSE(MATCH(Setup!$B$5,{8,10,12,14,16},0)+(MATCH(Setup!$B$7,{"STD","Half-PPR","PPR"},0)-1)*5,CB102,CD102,CF102,CH102,CJ102,CL102,CN102,CP102,CR102,CT102,CV102,CX102,CZ102,DB102,DD102)</f>
        <v>0</v>
      </c>
      <c r="DG102" s="6">
        <f>ROUND(1+DF102*'Live Calc'!$D$11,0)</f>
        <v>1</v>
      </c>
      <c r="DH102" s="6"/>
      <c r="DI102" s="6">
        <f>IF(DH102&lt;&gt;"",DH102,ROUND(DG102*INDEX('Live Calc'!$D$50:$D$70,MATCH(DE102,'Live Calc'!$A$50:$A$70,0))*'Live Calc'!$J$89,0))</f>
        <v>1</v>
      </c>
    </row>
    <row r="103" spans="39:113" x14ac:dyDescent="0.25">
      <c r="AM103" s="5" t="s">
        <v>411</v>
      </c>
      <c r="AN103" s="5" t="s">
        <v>253</v>
      </c>
      <c r="AO103" s="5">
        <v>9</v>
      </c>
      <c r="AP103" s="5">
        <v>0</v>
      </c>
      <c r="AQ103" s="5">
        <v>10</v>
      </c>
      <c r="AR103" s="5">
        <v>0</v>
      </c>
      <c r="AS103" s="5">
        <v>14</v>
      </c>
      <c r="AT103" s="5">
        <v>0</v>
      </c>
      <c r="AU103" s="5">
        <v>16</v>
      </c>
      <c r="AV103" s="5">
        <v>0</v>
      </c>
      <c r="AW103" s="5">
        <v>16</v>
      </c>
      <c r="AX103" s="5">
        <v>0</v>
      </c>
      <c r="AY103" s="5">
        <v>9</v>
      </c>
      <c r="AZ103" s="5">
        <v>0</v>
      </c>
      <c r="BA103" s="5">
        <v>11</v>
      </c>
      <c r="BB103" s="5">
        <v>0</v>
      </c>
      <c r="BC103" s="5">
        <v>13</v>
      </c>
      <c r="BD103" s="5">
        <v>0</v>
      </c>
      <c r="BE103" s="5">
        <v>17</v>
      </c>
      <c r="BF103" s="5">
        <v>0</v>
      </c>
      <c r="BG103" s="5">
        <v>17</v>
      </c>
      <c r="BH103" s="5">
        <v>0</v>
      </c>
      <c r="BI103" s="5">
        <v>11</v>
      </c>
      <c r="BJ103" s="5">
        <v>0</v>
      </c>
      <c r="BK103" s="5">
        <v>13</v>
      </c>
      <c r="BL103" s="5">
        <v>0</v>
      </c>
      <c r="BM103" s="5">
        <v>15</v>
      </c>
      <c r="BN103" s="5">
        <v>0</v>
      </c>
      <c r="BO103" s="5">
        <v>17</v>
      </c>
      <c r="BP103" s="5">
        <v>0</v>
      </c>
      <c r="BQ103" s="5">
        <v>18</v>
      </c>
      <c r="BR103" s="5">
        <v>0</v>
      </c>
      <c r="BS103" s="5">
        <f>CHOOSE(MATCH(Setup!$B$5,{8,10,12,14,16},0)+(MATCH(Setup!$B$7,{"STD","Half-PPR","PPR"},0)-1)*5,AO103,AQ103,AS103,AU103,AW103,AY103,BA103,BC103,BE103,BG103,BI103,BK103,BM103,BO103,BQ103)</f>
        <v>13</v>
      </c>
      <c r="BT103" s="5">
        <f>CHOOSE(MATCH(Setup!$B$5,{8,10,12,14,16},0)+(MATCH(Setup!$B$7,{"STD","Half-PPR","PPR"},0)-1)*5,AP103,AR103,AT103,AV103,AX103,AZ103,BB103,BD103,BF103,BH103,BJ103,BL103,BN103,BP103,BR103)</f>
        <v>0</v>
      </c>
      <c r="BU103" s="5">
        <f>ROUND(1+BT103*'Live Calc'!$D$10,0)</f>
        <v>1</v>
      </c>
      <c r="BV103" s="5"/>
      <c r="BW103" s="5">
        <f>IF(BV103&lt;&gt;"",BV103,ROUND(BU103*INDEX('Live Calc'!$D$29:$D$46,MATCH(BS103,'Live Calc'!$A$29:$A$46,0))*'Live Calc'!$J$89,0))</f>
        <v>1</v>
      </c>
      <c r="BY103" s="6" t="s">
        <v>412</v>
      </c>
      <c r="BZ103" s="6" t="s">
        <v>46</v>
      </c>
      <c r="CA103" s="6">
        <v>14</v>
      </c>
      <c r="CB103" s="6">
        <v>0</v>
      </c>
      <c r="CC103" s="6">
        <v>17</v>
      </c>
      <c r="CD103" s="6">
        <v>0</v>
      </c>
      <c r="CE103" s="6">
        <v>20</v>
      </c>
      <c r="CF103" s="6">
        <v>0</v>
      </c>
      <c r="CG103" s="6">
        <v>19</v>
      </c>
      <c r="CH103" s="6">
        <v>0</v>
      </c>
      <c r="CI103" s="6">
        <v>21</v>
      </c>
      <c r="CJ103" s="6">
        <v>0</v>
      </c>
      <c r="CK103" s="6">
        <v>10</v>
      </c>
      <c r="CL103" s="6">
        <v>0</v>
      </c>
      <c r="CM103" s="6">
        <v>15</v>
      </c>
      <c r="CN103" s="6">
        <v>0</v>
      </c>
      <c r="CO103" s="6">
        <v>15</v>
      </c>
      <c r="CP103" s="6">
        <v>0</v>
      </c>
      <c r="CQ103" s="6">
        <v>16</v>
      </c>
      <c r="CR103" s="6">
        <v>0</v>
      </c>
      <c r="CS103" s="6">
        <v>20</v>
      </c>
      <c r="CT103" s="6">
        <v>0</v>
      </c>
      <c r="CU103" s="6">
        <v>12</v>
      </c>
      <c r="CV103" s="6">
        <v>0</v>
      </c>
      <c r="CW103" s="6">
        <v>12</v>
      </c>
      <c r="CX103" s="6">
        <v>0</v>
      </c>
      <c r="CY103" s="6">
        <v>15</v>
      </c>
      <c r="CZ103" s="6">
        <v>0</v>
      </c>
      <c r="DA103" s="6">
        <v>18</v>
      </c>
      <c r="DB103" s="6">
        <v>0</v>
      </c>
      <c r="DC103" s="6">
        <v>20</v>
      </c>
      <c r="DD103" s="6">
        <v>0</v>
      </c>
      <c r="DE103" s="6">
        <f>CHOOSE(MATCH(Setup!$B$5,{8,10,12,14,16},0)+(MATCH(Setup!$B$7,{"STD","Half-PPR","PPR"},0)-1)*5,CA103,CC103,CE103,CG103,CI103,CK103,CM103,CO103,CQ103,CS103,CU103,CW103,CY103,DA103,DC103)</f>
        <v>15</v>
      </c>
      <c r="DF103" s="6">
        <f>CHOOSE(MATCH(Setup!$B$5,{8,10,12,14,16},0)+(MATCH(Setup!$B$7,{"STD","Half-PPR","PPR"},0)-1)*5,CB103,CD103,CF103,CH103,CJ103,CL103,CN103,CP103,CR103,CT103,CV103,CX103,CZ103,DB103,DD103)</f>
        <v>0</v>
      </c>
      <c r="DG103" s="6">
        <f>ROUND(1+DF103*'Live Calc'!$D$11,0)</f>
        <v>1</v>
      </c>
      <c r="DH103" s="6"/>
      <c r="DI103" s="6">
        <f>IF(DH103&lt;&gt;"",DH103,ROUND(DG103*INDEX('Live Calc'!$D$50:$D$70,MATCH(DE103,'Live Calc'!$A$50:$A$70,0))*'Live Calc'!$J$89,0))</f>
        <v>1</v>
      </c>
    </row>
    <row r="104" spans="39:113" x14ac:dyDescent="0.25">
      <c r="AM104" s="5" t="s">
        <v>413</v>
      </c>
      <c r="AN104" s="5" t="s">
        <v>175</v>
      </c>
      <c r="AO104" s="5">
        <v>9</v>
      </c>
      <c r="AP104" s="5">
        <v>0</v>
      </c>
      <c r="AQ104" s="5">
        <v>10</v>
      </c>
      <c r="AR104" s="5">
        <v>0</v>
      </c>
      <c r="AS104" s="5">
        <v>14</v>
      </c>
      <c r="AT104" s="5">
        <v>0</v>
      </c>
      <c r="AU104" s="5">
        <v>16</v>
      </c>
      <c r="AV104" s="5">
        <v>0</v>
      </c>
      <c r="AW104" s="5">
        <v>16</v>
      </c>
      <c r="AX104" s="5">
        <v>0</v>
      </c>
      <c r="AY104" s="5">
        <v>9</v>
      </c>
      <c r="AZ104" s="5">
        <v>0</v>
      </c>
      <c r="BA104" s="5">
        <v>11</v>
      </c>
      <c r="BB104" s="5">
        <v>0</v>
      </c>
      <c r="BC104" s="5">
        <v>13</v>
      </c>
      <c r="BD104" s="5">
        <v>0</v>
      </c>
      <c r="BE104" s="5">
        <v>17</v>
      </c>
      <c r="BF104" s="5">
        <v>0</v>
      </c>
      <c r="BG104" s="5">
        <v>17</v>
      </c>
      <c r="BH104" s="5">
        <v>0</v>
      </c>
      <c r="BI104" s="5">
        <v>11</v>
      </c>
      <c r="BJ104" s="5">
        <v>0</v>
      </c>
      <c r="BK104" s="5">
        <v>13</v>
      </c>
      <c r="BL104" s="5">
        <v>0</v>
      </c>
      <c r="BM104" s="5">
        <v>15</v>
      </c>
      <c r="BN104" s="5">
        <v>0</v>
      </c>
      <c r="BO104" s="5">
        <v>17</v>
      </c>
      <c r="BP104" s="5">
        <v>0</v>
      </c>
      <c r="BQ104" s="5">
        <v>18</v>
      </c>
      <c r="BR104" s="5">
        <v>0</v>
      </c>
      <c r="BS104" s="5">
        <f>CHOOSE(MATCH(Setup!$B$5,{8,10,12,14,16},0)+(MATCH(Setup!$B$7,{"STD","Half-PPR","PPR"},0)-1)*5,AO104,AQ104,AS104,AU104,AW104,AY104,BA104,BC104,BE104,BG104,BI104,BK104,BM104,BO104,BQ104)</f>
        <v>13</v>
      </c>
      <c r="BT104" s="5">
        <f>CHOOSE(MATCH(Setup!$B$5,{8,10,12,14,16},0)+(MATCH(Setup!$B$7,{"STD","Half-PPR","PPR"},0)-1)*5,AP104,AR104,AT104,AV104,AX104,AZ104,BB104,BD104,BF104,BH104,BJ104,BL104,BN104,BP104,BR104)</f>
        <v>0</v>
      </c>
      <c r="BU104" s="5">
        <f>ROUND(1+BT104*'Live Calc'!$D$10,0)</f>
        <v>1</v>
      </c>
      <c r="BV104" s="5"/>
      <c r="BW104" s="5">
        <f>IF(BV104&lt;&gt;"",BV104,ROUND(BU104*INDEX('Live Calc'!$D$29:$D$46,MATCH(BS104,'Live Calc'!$A$29:$A$46,0))*'Live Calc'!$J$89,0))</f>
        <v>1</v>
      </c>
      <c r="BY104" s="6" t="s">
        <v>414</v>
      </c>
      <c r="BZ104" s="6" t="s">
        <v>145</v>
      </c>
      <c r="CA104" s="6">
        <v>14</v>
      </c>
      <c r="CB104" s="6">
        <v>0</v>
      </c>
      <c r="CC104" s="6">
        <v>17</v>
      </c>
      <c r="CD104" s="6">
        <v>0</v>
      </c>
      <c r="CE104" s="6">
        <v>20</v>
      </c>
      <c r="CF104" s="6">
        <v>0</v>
      </c>
      <c r="CG104" s="6">
        <v>19</v>
      </c>
      <c r="CH104" s="6">
        <v>0</v>
      </c>
      <c r="CI104" s="6">
        <v>21</v>
      </c>
      <c r="CJ104" s="6">
        <v>0</v>
      </c>
      <c r="CK104" s="6">
        <v>10</v>
      </c>
      <c r="CL104" s="6">
        <v>0</v>
      </c>
      <c r="CM104" s="6">
        <v>15</v>
      </c>
      <c r="CN104" s="6">
        <v>0</v>
      </c>
      <c r="CO104" s="6">
        <v>15</v>
      </c>
      <c r="CP104" s="6">
        <v>0</v>
      </c>
      <c r="CQ104" s="6">
        <v>16</v>
      </c>
      <c r="CR104" s="6">
        <v>0</v>
      </c>
      <c r="CS104" s="6">
        <v>20</v>
      </c>
      <c r="CT104" s="6">
        <v>0</v>
      </c>
      <c r="CU104" s="6">
        <v>12</v>
      </c>
      <c r="CV104" s="6">
        <v>0</v>
      </c>
      <c r="CW104" s="6">
        <v>12</v>
      </c>
      <c r="CX104" s="6">
        <v>0</v>
      </c>
      <c r="CY104" s="6">
        <v>15</v>
      </c>
      <c r="CZ104" s="6">
        <v>0</v>
      </c>
      <c r="DA104" s="6">
        <v>18</v>
      </c>
      <c r="DB104" s="6">
        <v>0</v>
      </c>
      <c r="DC104" s="6">
        <v>20</v>
      </c>
      <c r="DD104" s="6">
        <v>0</v>
      </c>
      <c r="DE104" s="6">
        <f>CHOOSE(MATCH(Setup!$B$5,{8,10,12,14,16},0)+(MATCH(Setup!$B$7,{"STD","Half-PPR","PPR"},0)-1)*5,CA104,CC104,CE104,CG104,CI104,CK104,CM104,CO104,CQ104,CS104,CU104,CW104,CY104,DA104,DC104)</f>
        <v>15</v>
      </c>
      <c r="DF104" s="6">
        <f>CHOOSE(MATCH(Setup!$B$5,{8,10,12,14,16},0)+(MATCH(Setup!$B$7,{"STD","Half-PPR","PPR"},0)-1)*5,CB104,CD104,CF104,CH104,CJ104,CL104,CN104,CP104,CR104,CT104,CV104,CX104,CZ104,DB104,DD104)</f>
        <v>0</v>
      </c>
      <c r="DG104" s="6">
        <f>ROUND(1+DF104*'Live Calc'!$D$11,0)</f>
        <v>1</v>
      </c>
      <c r="DH104" s="6"/>
      <c r="DI104" s="6">
        <f>IF(DH104&lt;&gt;"",DH104,ROUND(DG104*INDEX('Live Calc'!$D$50:$D$70,MATCH(DE104,'Live Calc'!$A$50:$A$70,0))*'Live Calc'!$J$89,0))</f>
        <v>1</v>
      </c>
    </row>
    <row r="105" spans="39:113" x14ac:dyDescent="0.25">
      <c r="AM105" s="5" t="s">
        <v>415</v>
      </c>
      <c r="AN105" s="5" t="s">
        <v>76</v>
      </c>
      <c r="AO105" s="5">
        <v>9</v>
      </c>
      <c r="AP105" s="5">
        <v>0</v>
      </c>
      <c r="AQ105" s="5">
        <v>10</v>
      </c>
      <c r="AR105" s="5">
        <v>0</v>
      </c>
      <c r="AS105" s="5">
        <v>14</v>
      </c>
      <c r="AT105" s="5">
        <v>0</v>
      </c>
      <c r="AU105" s="5">
        <v>16</v>
      </c>
      <c r="AV105" s="5">
        <v>0</v>
      </c>
      <c r="AW105" s="5">
        <v>16</v>
      </c>
      <c r="AX105" s="5">
        <v>0</v>
      </c>
      <c r="AY105" s="5">
        <v>9</v>
      </c>
      <c r="AZ105" s="5">
        <v>0</v>
      </c>
      <c r="BA105" s="5">
        <v>11</v>
      </c>
      <c r="BB105" s="5">
        <v>0</v>
      </c>
      <c r="BC105" s="5">
        <v>13</v>
      </c>
      <c r="BD105" s="5">
        <v>0</v>
      </c>
      <c r="BE105" s="5">
        <v>17</v>
      </c>
      <c r="BF105" s="5">
        <v>0</v>
      </c>
      <c r="BG105" s="5">
        <v>17</v>
      </c>
      <c r="BH105" s="5">
        <v>0</v>
      </c>
      <c r="BI105" s="5">
        <v>11</v>
      </c>
      <c r="BJ105" s="5">
        <v>0</v>
      </c>
      <c r="BK105" s="5">
        <v>13</v>
      </c>
      <c r="BL105" s="5">
        <v>0</v>
      </c>
      <c r="BM105" s="5">
        <v>15</v>
      </c>
      <c r="BN105" s="5">
        <v>0</v>
      </c>
      <c r="BO105" s="5">
        <v>17</v>
      </c>
      <c r="BP105" s="5">
        <v>0</v>
      </c>
      <c r="BQ105" s="5">
        <v>18</v>
      </c>
      <c r="BR105" s="5">
        <v>0</v>
      </c>
      <c r="BS105" s="5">
        <f>CHOOSE(MATCH(Setup!$B$5,{8,10,12,14,16},0)+(MATCH(Setup!$B$7,{"STD","Half-PPR","PPR"},0)-1)*5,AO105,AQ105,AS105,AU105,AW105,AY105,BA105,BC105,BE105,BG105,BI105,BK105,BM105,BO105,BQ105)</f>
        <v>13</v>
      </c>
      <c r="BT105" s="5">
        <f>CHOOSE(MATCH(Setup!$B$5,{8,10,12,14,16},0)+(MATCH(Setup!$B$7,{"STD","Half-PPR","PPR"},0)-1)*5,AP105,AR105,AT105,AV105,AX105,AZ105,BB105,BD105,BF105,BH105,BJ105,BL105,BN105,BP105,BR105)</f>
        <v>0</v>
      </c>
      <c r="BU105" s="5">
        <f>ROUND(1+BT105*'Live Calc'!$D$10,0)</f>
        <v>1</v>
      </c>
      <c r="BV105" s="5"/>
      <c r="BW105" s="5">
        <f>IF(BV105&lt;&gt;"",BV105,ROUND(BU105*INDEX('Live Calc'!$D$29:$D$46,MATCH(BS105,'Live Calc'!$A$29:$A$46,0))*'Live Calc'!$J$89,0))</f>
        <v>1</v>
      </c>
      <c r="BY105" s="6" t="s">
        <v>416</v>
      </c>
      <c r="BZ105" s="6" t="s">
        <v>95</v>
      </c>
      <c r="CA105" s="6">
        <v>14</v>
      </c>
      <c r="CB105" s="6">
        <v>0</v>
      </c>
      <c r="CC105" s="6">
        <v>17</v>
      </c>
      <c r="CD105" s="6">
        <v>0</v>
      </c>
      <c r="CE105" s="6">
        <v>20</v>
      </c>
      <c r="CF105" s="6">
        <v>0</v>
      </c>
      <c r="CG105" s="6">
        <v>19</v>
      </c>
      <c r="CH105" s="6">
        <v>0</v>
      </c>
      <c r="CI105" s="6">
        <v>21</v>
      </c>
      <c r="CJ105" s="6">
        <v>0</v>
      </c>
      <c r="CK105" s="6">
        <v>10</v>
      </c>
      <c r="CL105" s="6">
        <v>0</v>
      </c>
      <c r="CM105" s="6">
        <v>15</v>
      </c>
      <c r="CN105" s="6">
        <v>0</v>
      </c>
      <c r="CO105" s="6">
        <v>15</v>
      </c>
      <c r="CP105" s="6">
        <v>0</v>
      </c>
      <c r="CQ105" s="6">
        <v>16</v>
      </c>
      <c r="CR105" s="6">
        <v>0</v>
      </c>
      <c r="CS105" s="6">
        <v>20</v>
      </c>
      <c r="CT105" s="6">
        <v>0</v>
      </c>
      <c r="CU105" s="6">
        <v>12</v>
      </c>
      <c r="CV105" s="6">
        <v>0</v>
      </c>
      <c r="CW105" s="6">
        <v>12</v>
      </c>
      <c r="CX105" s="6">
        <v>0</v>
      </c>
      <c r="CY105" s="6">
        <v>15</v>
      </c>
      <c r="CZ105" s="6">
        <v>0</v>
      </c>
      <c r="DA105" s="6">
        <v>18</v>
      </c>
      <c r="DB105" s="6">
        <v>0</v>
      </c>
      <c r="DC105" s="6">
        <v>20</v>
      </c>
      <c r="DD105" s="6">
        <v>0</v>
      </c>
      <c r="DE105" s="6">
        <f>CHOOSE(MATCH(Setup!$B$5,{8,10,12,14,16},0)+(MATCH(Setup!$B$7,{"STD","Half-PPR","PPR"},0)-1)*5,CA105,CC105,CE105,CG105,CI105,CK105,CM105,CO105,CQ105,CS105,CU105,CW105,CY105,DA105,DC105)</f>
        <v>15</v>
      </c>
      <c r="DF105" s="6">
        <f>CHOOSE(MATCH(Setup!$B$5,{8,10,12,14,16},0)+(MATCH(Setup!$B$7,{"STD","Half-PPR","PPR"},0)-1)*5,CB105,CD105,CF105,CH105,CJ105,CL105,CN105,CP105,CR105,CT105,CV105,CX105,CZ105,DB105,DD105)</f>
        <v>0</v>
      </c>
      <c r="DG105" s="6">
        <f>ROUND(1+DF105*'Live Calc'!$D$11,0)</f>
        <v>1</v>
      </c>
      <c r="DH105" s="6"/>
      <c r="DI105" s="6">
        <f>IF(DH105&lt;&gt;"",DH105,ROUND(DG105*INDEX('Live Calc'!$D$50:$D$70,MATCH(DE105,'Live Calc'!$A$50:$A$70,0))*'Live Calc'!$J$89,0))</f>
        <v>1</v>
      </c>
    </row>
    <row r="106" spans="39:113" x14ac:dyDescent="0.25">
      <c r="AM106" s="5" t="s">
        <v>417</v>
      </c>
      <c r="AN106" s="5" t="s">
        <v>79</v>
      </c>
      <c r="AO106" s="5">
        <v>9</v>
      </c>
      <c r="AP106" s="5">
        <v>0</v>
      </c>
      <c r="AQ106" s="5">
        <v>10</v>
      </c>
      <c r="AR106" s="5">
        <v>0</v>
      </c>
      <c r="AS106" s="5">
        <v>14</v>
      </c>
      <c r="AT106" s="5">
        <v>0</v>
      </c>
      <c r="AU106" s="5">
        <v>16</v>
      </c>
      <c r="AV106" s="5">
        <v>0</v>
      </c>
      <c r="AW106" s="5">
        <v>16</v>
      </c>
      <c r="AX106" s="5">
        <v>0</v>
      </c>
      <c r="AY106" s="5">
        <v>9</v>
      </c>
      <c r="AZ106" s="5">
        <v>0</v>
      </c>
      <c r="BA106" s="5">
        <v>11</v>
      </c>
      <c r="BB106" s="5">
        <v>0</v>
      </c>
      <c r="BC106" s="5">
        <v>13</v>
      </c>
      <c r="BD106" s="5">
        <v>0</v>
      </c>
      <c r="BE106" s="5">
        <v>17</v>
      </c>
      <c r="BF106" s="5">
        <v>0</v>
      </c>
      <c r="BG106" s="5">
        <v>17</v>
      </c>
      <c r="BH106" s="5">
        <v>0</v>
      </c>
      <c r="BI106" s="5">
        <v>11</v>
      </c>
      <c r="BJ106" s="5">
        <v>0</v>
      </c>
      <c r="BK106" s="5">
        <v>13</v>
      </c>
      <c r="BL106" s="5">
        <v>0</v>
      </c>
      <c r="BM106" s="5">
        <v>15</v>
      </c>
      <c r="BN106" s="5">
        <v>0</v>
      </c>
      <c r="BO106" s="5">
        <v>17</v>
      </c>
      <c r="BP106" s="5">
        <v>0</v>
      </c>
      <c r="BQ106" s="5">
        <v>18</v>
      </c>
      <c r="BR106" s="5">
        <v>0</v>
      </c>
      <c r="BS106" s="5">
        <f>CHOOSE(MATCH(Setup!$B$5,{8,10,12,14,16},0)+(MATCH(Setup!$B$7,{"STD","Half-PPR","PPR"},0)-1)*5,AO106,AQ106,AS106,AU106,AW106,AY106,BA106,BC106,BE106,BG106,BI106,BK106,BM106,BO106,BQ106)</f>
        <v>13</v>
      </c>
      <c r="BT106" s="5">
        <f>CHOOSE(MATCH(Setup!$B$5,{8,10,12,14,16},0)+(MATCH(Setup!$B$7,{"STD","Half-PPR","PPR"},0)-1)*5,AP106,AR106,AT106,AV106,AX106,AZ106,BB106,BD106,BF106,BH106,BJ106,BL106,BN106,BP106,BR106)</f>
        <v>0</v>
      </c>
      <c r="BU106" s="5">
        <f>ROUND(1+BT106*'Live Calc'!$D$10,0)</f>
        <v>1</v>
      </c>
      <c r="BV106" s="5"/>
      <c r="BW106" s="5">
        <f>IF(BV106&lt;&gt;"",BV106,ROUND(BU106*INDEX('Live Calc'!$D$29:$D$46,MATCH(BS106,'Live Calc'!$A$29:$A$46,0))*'Live Calc'!$J$89,0))</f>
        <v>1</v>
      </c>
      <c r="BY106" s="6" t="s">
        <v>418</v>
      </c>
      <c r="BZ106" s="6" t="s">
        <v>56</v>
      </c>
      <c r="CA106" s="6">
        <v>14</v>
      </c>
      <c r="CB106" s="6">
        <v>0</v>
      </c>
      <c r="CC106" s="6">
        <v>17</v>
      </c>
      <c r="CD106" s="6">
        <v>0</v>
      </c>
      <c r="CE106" s="6">
        <v>20</v>
      </c>
      <c r="CF106" s="6">
        <v>0</v>
      </c>
      <c r="CG106" s="6">
        <v>19</v>
      </c>
      <c r="CH106" s="6">
        <v>0</v>
      </c>
      <c r="CI106" s="6">
        <v>21</v>
      </c>
      <c r="CJ106" s="6">
        <v>0</v>
      </c>
      <c r="CK106" s="6">
        <v>10</v>
      </c>
      <c r="CL106" s="6">
        <v>0</v>
      </c>
      <c r="CM106" s="6">
        <v>15</v>
      </c>
      <c r="CN106" s="6">
        <v>0</v>
      </c>
      <c r="CO106" s="6">
        <v>15</v>
      </c>
      <c r="CP106" s="6">
        <v>0</v>
      </c>
      <c r="CQ106" s="6">
        <v>16</v>
      </c>
      <c r="CR106" s="6">
        <v>0</v>
      </c>
      <c r="CS106" s="6">
        <v>20</v>
      </c>
      <c r="CT106" s="6">
        <v>0</v>
      </c>
      <c r="CU106" s="6">
        <v>12</v>
      </c>
      <c r="CV106" s="6">
        <v>0</v>
      </c>
      <c r="CW106" s="6">
        <v>12</v>
      </c>
      <c r="CX106" s="6">
        <v>0</v>
      </c>
      <c r="CY106" s="6">
        <v>15</v>
      </c>
      <c r="CZ106" s="6">
        <v>0</v>
      </c>
      <c r="DA106" s="6">
        <v>18</v>
      </c>
      <c r="DB106" s="6">
        <v>0</v>
      </c>
      <c r="DC106" s="6">
        <v>20</v>
      </c>
      <c r="DD106" s="6">
        <v>0</v>
      </c>
      <c r="DE106" s="6">
        <f>CHOOSE(MATCH(Setup!$B$5,{8,10,12,14,16},0)+(MATCH(Setup!$B$7,{"STD","Half-PPR","PPR"},0)-1)*5,CA106,CC106,CE106,CG106,CI106,CK106,CM106,CO106,CQ106,CS106,CU106,CW106,CY106,DA106,DC106)</f>
        <v>15</v>
      </c>
      <c r="DF106" s="6">
        <f>CHOOSE(MATCH(Setup!$B$5,{8,10,12,14,16},0)+(MATCH(Setup!$B$7,{"STD","Half-PPR","PPR"},0)-1)*5,CB106,CD106,CF106,CH106,CJ106,CL106,CN106,CP106,CR106,CT106,CV106,CX106,CZ106,DB106,DD106)</f>
        <v>0</v>
      </c>
      <c r="DG106" s="6">
        <f>ROUND(1+DF106*'Live Calc'!$D$11,0)</f>
        <v>1</v>
      </c>
      <c r="DH106" s="6"/>
      <c r="DI106" s="6">
        <f>IF(DH106&lt;&gt;"",DH106,ROUND(DG106*INDEX('Live Calc'!$D$50:$D$70,MATCH(DE106,'Live Calc'!$A$50:$A$70,0))*'Live Calc'!$J$89,0))</f>
        <v>1</v>
      </c>
    </row>
    <row r="107" spans="39:113" x14ac:dyDescent="0.25">
      <c r="AM107" s="5" t="s">
        <v>419</v>
      </c>
      <c r="AN107" s="5" t="s">
        <v>81</v>
      </c>
      <c r="AO107" s="5">
        <v>9</v>
      </c>
      <c r="AP107" s="5">
        <v>0</v>
      </c>
      <c r="AQ107" s="5">
        <v>10</v>
      </c>
      <c r="AR107" s="5">
        <v>0</v>
      </c>
      <c r="AS107" s="5">
        <v>14</v>
      </c>
      <c r="AT107" s="5">
        <v>0</v>
      </c>
      <c r="AU107" s="5">
        <v>16</v>
      </c>
      <c r="AV107" s="5">
        <v>0</v>
      </c>
      <c r="AW107" s="5">
        <v>16</v>
      </c>
      <c r="AX107" s="5">
        <v>0</v>
      </c>
      <c r="AY107" s="5">
        <v>9</v>
      </c>
      <c r="AZ107" s="5">
        <v>0</v>
      </c>
      <c r="BA107" s="5">
        <v>11</v>
      </c>
      <c r="BB107" s="5">
        <v>0</v>
      </c>
      <c r="BC107" s="5">
        <v>13</v>
      </c>
      <c r="BD107" s="5">
        <v>0</v>
      </c>
      <c r="BE107" s="5">
        <v>17</v>
      </c>
      <c r="BF107" s="5">
        <v>0</v>
      </c>
      <c r="BG107" s="5">
        <v>17</v>
      </c>
      <c r="BH107" s="5">
        <v>0</v>
      </c>
      <c r="BI107" s="5">
        <v>11</v>
      </c>
      <c r="BJ107" s="5">
        <v>0</v>
      </c>
      <c r="BK107" s="5">
        <v>13</v>
      </c>
      <c r="BL107" s="5">
        <v>0</v>
      </c>
      <c r="BM107" s="5">
        <v>15</v>
      </c>
      <c r="BN107" s="5">
        <v>0</v>
      </c>
      <c r="BO107" s="5">
        <v>17</v>
      </c>
      <c r="BP107" s="5">
        <v>0</v>
      </c>
      <c r="BQ107" s="5">
        <v>18</v>
      </c>
      <c r="BR107" s="5">
        <v>0</v>
      </c>
      <c r="BS107" s="5">
        <f>CHOOSE(MATCH(Setup!$B$5,{8,10,12,14,16},0)+(MATCH(Setup!$B$7,{"STD","Half-PPR","PPR"},0)-1)*5,AO107,AQ107,AS107,AU107,AW107,AY107,BA107,BC107,BE107,BG107,BI107,BK107,BM107,BO107,BQ107)</f>
        <v>13</v>
      </c>
      <c r="BT107" s="5">
        <f>CHOOSE(MATCH(Setup!$B$5,{8,10,12,14,16},0)+(MATCH(Setup!$B$7,{"STD","Half-PPR","PPR"},0)-1)*5,AP107,AR107,AT107,AV107,AX107,AZ107,BB107,BD107,BF107,BH107,BJ107,BL107,BN107,BP107,BR107)</f>
        <v>0</v>
      </c>
      <c r="BU107" s="5">
        <f>ROUND(1+BT107*'Live Calc'!$D$10,0)</f>
        <v>1</v>
      </c>
      <c r="BV107" s="5"/>
      <c r="BW107" s="5">
        <f>IF(BV107&lt;&gt;"",BV107,ROUND(BU107*INDEX('Live Calc'!$D$29:$D$46,MATCH(BS107,'Live Calc'!$A$29:$A$46,0))*'Live Calc'!$J$89,0))</f>
        <v>1</v>
      </c>
      <c r="BY107" s="6" t="s">
        <v>420</v>
      </c>
      <c r="BZ107" s="6" t="s">
        <v>95</v>
      </c>
      <c r="CA107" s="6">
        <v>14</v>
      </c>
      <c r="CB107" s="6">
        <v>0</v>
      </c>
      <c r="CC107" s="6">
        <v>17</v>
      </c>
      <c r="CD107" s="6">
        <v>0</v>
      </c>
      <c r="CE107" s="6">
        <v>20</v>
      </c>
      <c r="CF107" s="6">
        <v>0</v>
      </c>
      <c r="CG107" s="6">
        <v>19</v>
      </c>
      <c r="CH107" s="6">
        <v>0</v>
      </c>
      <c r="CI107" s="6">
        <v>21</v>
      </c>
      <c r="CJ107" s="6">
        <v>0</v>
      </c>
      <c r="CK107" s="6">
        <v>10</v>
      </c>
      <c r="CL107" s="6">
        <v>0</v>
      </c>
      <c r="CM107" s="6">
        <v>15</v>
      </c>
      <c r="CN107" s="6">
        <v>0</v>
      </c>
      <c r="CO107" s="6">
        <v>15</v>
      </c>
      <c r="CP107" s="6">
        <v>0</v>
      </c>
      <c r="CQ107" s="6">
        <v>16</v>
      </c>
      <c r="CR107" s="6">
        <v>0</v>
      </c>
      <c r="CS107" s="6">
        <v>20</v>
      </c>
      <c r="CT107" s="6">
        <v>0</v>
      </c>
      <c r="CU107" s="6">
        <v>12</v>
      </c>
      <c r="CV107" s="6">
        <v>0</v>
      </c>
      <c r="CW107" s="6">
        <v>12</v>
      </c>
      <c r="CX107" s="6">
        <v>0</v>
      </c>
      <c r="CY107" s="6">
        <v>15</v>
      </c>
      <c r="CZ107" s="6">
        <v>0</v>
      </c>
      <c r="DA107" s="6">
        <v>18</v>
      </c>
      <c r="DB107" s="6">
        <v>0</v>
      </c>
      <c r="DC107" s="6">
        <v>20</v>
      </c>
      <c r="DD107" s="6">
        <v>0</v>
      </c>
      <c r="DE107" s="6">
        <f>CHOOSE(MATCH(Setup!$B$5,{8,10,12,14,16},0)+(MATCH(Setup!$B$7,{"STD","Half-PPR","PPR"},0)-1)*5,CA107,CC107,CE107,CG107,CI107,CK107,CM107,CO107,CQ107,CS107,CU107,CW107,CY107,DA107,DC107)</f>
        <v>15</v>
      </c>
      <c r="DF107" s="6">
        <f>CHOOSE(MATCH(Setup!$B$5,{8,10,12,14,16},0)+(MATCH(Setup!$B$7,{"STD","Half-PPR","PPR"},0)-1)*5,CB107,CD107,CF107,CH107,CJ107,CL107,CN107,CP107,CR107,CT107,CV107,CX107,CZ107,DB107,DD107)</f>
        <v>0</v>
      </c>
      <c r="DG107" s="6">
        <f>ROUND(1+DF107*'Live Calc'!$D$11,0)</f>
        <v>1</v>
      </c>
      <c r="DH107" s="6"/>
      <c r="DI107" s="6">
        <f>IF(DH107&lt;&gt;"",DH107,ROUND(DG107*INDEX('Live Calc'!$D$50:$D$70,MATCH(DE107,'Live Calc'!$A$50:$A$70,0))*'Live Calc'!$J$89,0))</f>
        <v>1</v>
      </c>
    </row>
    <row r="108" spans="39:113" x14ac:dyDescent="0.25">
      <c r="AM108" s="5" t="s">
        <v>421</v>
      </c>
      <c r="AN108" s="5" t="s">
        <v>54</v>
      </c>
      <c r="AO108" s="5">
        <v>9</v>
      </c>
      <c r="AP108" s="5">
        <v>0</v>
      </c>
      <c r="AQ108" s="5">
        <v>10</v>
      </c>
      <c r="AR108" s="5">
        <v>0</v>
      </c>
      <c r="AS108" s="5">
        <v>14</v>
      </c>
      <c r="AT108" s="5">
        <v>0</v>
      </c>
      <c r="AU108" s="5">
        <v>16</v>
      </c>
      <c r="AV108" s="5">
        <v>0</v>
      </c>
      <c r="AW108" s="5">
        <v>16</v>
      </c>
      <c r="AX108" s="5">
        <v>0</v>
      </c>
      <c r="AY108" s="5">
        <v>9</v>
      </c>
      <c r="AZ108" s="5">
        <v>0</v>
      </c>
      <c r="BA108" s="5">
        <v>11</v>
      </c>
      <c r="BB108" s="5">
        <v>0</v>
      </c>
      <c r="BC108" s="5">
        <v>13</v>
      </c>
      <c r="BD108" s="5">
        <v>0</v>
      </c>
      <c r="BE108" s="5">
        <v>17</v>
      </c>
      <c r="BF108" s="5">
        <v>0</v>
      </c>
      <c r="BG108" s="5">
        <v>17</v>
      </c>
      <c r="BH108" s="5">
        <v>0</v>
      </c>
      <c r="BI108" s="5">
        <v>11</v>
      </c>
      <c r="BJ108" s="5">
        <v>0</v>
      </c>
      <c r="BK108" s="5">
        <v>13</v>
      </c>
      <c r="BL108" s="5">
        <v>0</v>
      </c>
      <c r="BM108" s="5">
        <v>15</v>
      </c>
      <c r="BN108" s="5">
        <v>0</v>
      </c>
      <c r="BO108" s="5">
        <v>17</v>
      </c>
      <c r="BP108" s="5">
        <v>0</v>
      </c>
      <c r="BQ108" s="5">
        <v>18</v>
      </c>
      <c r="BR108" s="5">
        <v>0</v>
      </c>
      <c r="BS108" s="5">
        <f>CHOOSE(MATCH(Setup!$B$5,{8,10,12,14,16},0)+(MATCH(Setup!$B$7,{"STD","Half-PPR","PPR"},0)-1)*5,AO108,AQ108,AS108,AU108,AW108,AY108,BA108,BC108,BE108,BG108,BI108,BK108,BM108,BO108,BQ108)</f>
        <v>13</v>
      </c>
      <c r="BT108" s="5">
        <f>CHOOSE(MATCH(Setup!$B$5,{8,10,12,14,16},0)+(MATCH(Setup!$B$7,{"STD","Half-PPR","PPR"},0)-1)*5,AP108,AR108,AT108,AV108,AX108,AZ108,BB108,BD108,BF108,BH108,BJ108,BL108,BN108,BP108,BR108)</f>
        <v>0</v>
      </c>
      <c r="BU108" s="5">
        <f>ROUND(1+BT108*'Live Calc'!$D$10,0)</f>
        <v>1</v>
      </c>
      <c r="BV108" s="5"/>
      <c r="BW108" s="5">
        <f>IF(BV108&lt;&gt;"",BV108,ROUND(BU108*INDEX('Live Calc'!$D$29:$D$46,MATCH(BS108,'Live Calc'!$A$29:$A$46,0))*'Live Calc'!$J$89,0))</f>
        <v>1</v>
      </c>
      <c r="BY108" s="6" t="s">
        <v>422</v>
      </c>
      <c r="BZ108" s="6" t="s">
        <v>177</v>
      </c>
      <c r="CA108" s="6">
        <v>14</v>
      </c>
      <c r="CB108" s="6">
        <v>0</v>
      </c>
      <c r="CC108" s="6">
        <v>17</v>
      </c>
      <c r="CD108" s="6">
        <v>0</v>
      </c>
      <c r="CE108" s="6">
        <v>20</v>
      </c>
      <c r="CF108" s="6">
        <v>0</v>
      </c>
      <c r="CG108" s="6">
        <v>19</v>
      </c>
      <c r="CH108" s="6">
        <v>0</v>
      </c>
      <c r="CI108" s="6">
        <v>21</v>
      </c>
      <c r="CJ108" s="6">
        <v>0</v>
      </c>
      <c r="CK108" s="6">
        <v>10</v>
      </c>
      <c r="CL108" s="6">
        <v>0</v>
      </c>
      <c r="CM108" s="6">
        <v>15</v>
      </c>
      <c r="CN108" s="6">
        <v>0</v>
      </c>
      <c r="CO108" s="6">
        <v>15</v>
      </c>
      <c r="CP108" s="6">
        <v>0</v>
      </c>
      <c r="CQ108" s="6">
        <v>16</v>
      </c>
      <c r="CR108" s="6">
        <v>0</v>
      </c>
      <c r="CS108" s="6">
        <v>20</v>
      </c>
      <c r="CT108" s="6">
        <v>0</v>
      </c>
      <c r="CU108" s="6">
        <v>12</v>
      </c>
      <c r="CV108" s="6">
        <v>0</v>
      </c>
      <c r="CW108" s="6">
        <v>12</v>
      </c>
      <c r="CX108" s="6">
        <v>0</v>
      </c>
      <c r="CY108" s="6">
        <v>15</v>
      </c>
      <c r="CZ108" s="6">
        <v>0</v>
      </c>
      <c r="DA108" s="6">
        <v>18</v>
      </c>
      <c r="DB108" s="6">
        <v>0</v>
      </c>
      <c r="DC108" s="6">
        <v>20</v>
      </c>
      <c r="DD108" s="6">
        <v>0</v>
      </c>
      <c r="DE108" s="6">
        <f>CHOOSE(MATCH(Setup!$B$5,{8,10,12,14,16},0)+(MATCH(Setup!$B$7,{"STD","Half-PPR","PPR"},0)-1)*5,CA108,CC108,CE108,CG108,CI108,CK108,CM108,CO108,CQ108,CS108,CU108,CW108,CY108,DA108,DC108)</f>
        <v>15</v>
      </c>
      <c r="DF108" s="6">
        <f>CHOOSE(MATCH(Setup!$B$5,{8,10,12,14,16},0)+(MATCH(Setup!$B$7,{"STD","Half-PPR","PPR"},0)-1)*5,CB108,CD108,CF108,CH108,CJ108,CL108,CN108,CP108,CR108,CT108,CV108,CX108,CZ108,DB108,DD108)</f>
        <v>0</v>
      </c>
      <c r="DG108" s="6">
        <f>ROUND(1+DF108*'Live Calc'!$D$11,0)</f>
        <v>1</v>
      </c>
      <c r="DH108" s="6"/>
      <c r="DI108" s="6">
        <f>IF(DH108&lt;&gt;"",DH108,ROUND(DG108*INDEX('Live Calc'!$D$50:$D$70,MATCH(DE108,'Live Calc'!$A$50:$A$70,0))*'Live Calc'!$J$89,0))</f>
        <v>1</v>
      </c>
    </row>
    <row r="109" spans="39:113" x14ac:dyDescent="0.25">
      <c r="AM109" s="5" t="s">
        <v>423</v>
      </c>
      <c r="AN109" s="5" t="s">
        <v>145</v>
      </c>
      <c r="AO109" s="5">
        <v>9</v>
      </c>
      <c r="AP109" s="5">
        <v>0</v>
      </c>
      <c r="AQ109" s="5">
        <v>10</v>
      </c>
      <c r="AR109" s="5">
        <v>0</v>
      </c>
      <c r="AS109" s="5">
        <v>14</v>
      </c>
      <c r="AT109" s="5">
        <v>0</v>
      </c>
      <c r="AU109" s="5">
        <v>16</v>
      </c>
      <c r="AV109" s="5">
        <v>0</v>
      </c>
      <c r="AW109" s="5">
        <v>16</v>
      </c>
      <c r="AX109" s="5">
        <v>0</v>
      </c>
      <c r="AY109" s="5">
        <v>9</v>
      </c>
      <c r="AZ109" s="5">
        <v>0</v>
      </c>
      <c r="BA109" s="5">
        <v>11</v>
      </c>
      <c r="BB109" s="5">
        <v>0</v>
      </c>
      <c r="BC109" s="5">
        <v>13</v>
      </c>
      <c r="BD109" s="5">
        <v>0</v>
      </c>
      <c r="BE109" s="5">
        <v>17</v>
      </c>
      <c r="BF109" s="5">
        <v>0</v>
      </c>
      <c r="BG109" s="5">
        <v>17</v>
      </c>
      <c r="BH109" s="5">
        <v>0</v>
      </c>
      <c r="BI109" s="5">
        <v>11</v>
      </c>
      <c r="BJ109" s="5">
        <v>0</v>
      </c>
      <c r="BK109" s="5">
        <v>13</v>
      </c>
      <c r="BL109" s="5">
        <v>0</v>
      </c>
      <c r="BM109" s="5">
        <v>15</v>
      </c>
      <c r="BN109" s="5">
        <v>0</v>
      </c>
      <c r="BO109" s="5">
        <v>17</v>
      </c>
      <c r="BP109" s="5">
        <v>0</v>
      </c>
      <c r="BQ109" s="5">
        <v>18</v>
      </c>
      <c r="BR109" s="5">
        <v>0</v>
      </c>
      <c r="BS109" s="5">
        <f>CHOOSE(MATCH(Setup!$B$5,{8,10,12,14,16},0)+(MATCH(Setup!$B$7,{"STD","Half-PPR","PPR"},0)-1)*5,AO109,AQ109,AS109,AU109,AW109,AY109,BA109,BC109,BE109,BG109,BI109,BK109,BM109,BO109,BQ109)</f>
        <v>13</v>
      </c>
      <c r="BT109" s="5">
        <f>CHOOSE(MATCH(Setup!$B$5,{8,10,12,14,16},0)+(MATCH(Setup!$B$7,{"STD","Half-PPR","PPR"},0)-1)*5,AP109,AR109,AT109,AV109,AX109,AZ109,BB109,BD109,BF109,BH109,BJ109,BL109,BN109,BP109,BR109)</f>
        <v>0</v>
      </c>
      <c r="BU109" s="5">
        <f>ROUND(1+BT109*'Live Calc'!$D$10,0)</f>
        <v>1</v>
      </c>
      <c r="BV109" s="5"/>
      <c r="BW109" s="5">
        <f>IF(BV109&lt;&gt;"",BV109,ROUND(BU109*INDEX('Live Calc'!$D$29:$D$46,MATCH(BS109,'Live Calc'!$A$29:$A$46,0))*'Live Calc'!$J$89,0))</f>
        <v>1</v>
      </c>
      <c r="BY109" s="6" t="s">
        <v>424</v>
      </c>
      <c r="BZ109" s="6" t="s">
        <v>64</v>
      </c>
      <c r="CA109" s="6">
        <v>14</v>
      </c>
      <c r="CB109" s="6">
        <v>0</v>
      </c>
      <c r="CC109" s="6">
        <v>17</v>
      </c>
      <c r="CD109" s="6">
        <v>0</v>
      </c>
      <c r="CE109" s="6">
        <v>20</v>
      </c>
      <c r="CF109" s="6">
        <v>0</v>
      </c>
      <c r="CG109" s="6">
        <v>19</v>
      </c>
      <c r="CH109" s="6">
        <v>0</v>
      </c>
      <c r="CI109" s="6">
        <v>21</v>
      </c>
      <c r="CJ109" s="6">
        <v>0</v>
      </c>
      <c r="CK109" s="6">
        <v>10</v>
      </c>
      <c r="CL109" s="6">
        <v>0</v>
      </c>
      <c r="CM109" s="6">
        <v>15</v>
      </c>
      <c r="CN109" s="6">
        <v>0</v>
      </c>
      <c r="CO109" s="6">
        <v>15</v>
      </c>
      <c r="CP109" s="6">
        <v>0</v>
      </c>
      <c r="CQ109" s="6">
        <v>16</v>
      </c>
      <c r="CR109" s="6">
        <v>0</v>
      </c>
      <c r="CS109" s="6">
        <v>20</v>
      </c>
      <c r="CT109" s="6">
        <v>0</v>
      </c>
      <c r="CU109" s="6">
        <v>12</v>
      </c>
      <c r="CV109" s="6">
        <v>0</v>
      </c>
      <c r="CW109" s="6">
        <v>12</v>
      </c>
      <c r="CX109" s="6">
        <v>0</v>
      </c>
      <c r="CY109" s="6">
        <v>15</v>
      </c>
      <c r="CZ109" s="6">
        <v>0</v>
      </c>
      <c r="DA109" s="6">
        <v>18</v>
      </c>
      <c r="DB109" s="6">
        <v>0</v>
      </c>
      <c r="DC109" s="6">
        <v>20</v>
      </c>
      <c r="DD109" s="6">
        <v>0</v>
      </c>
      <c r="DE109" s="6">
        <f>CHOOSE(MATCH(Setup!$B$5,{8,10,12,14,16},0)+(MATCH(Setup!$B$7,{"STD","Half-PPR","PPR"},0)-1)*5,CA109,CC109,CE109,CG109,CI109,CK109,CM109,CO109,CQ109,CS109,CU109,CW109,CY109,DA109,DC109)</f>
        <v>15</v>
      </c>
      <c r="DF109" s="6">
        <f>CHOOSE(MATCH(Setup!$B$5,{8,10,12,14,16},0)+(MATCH(Setup!$B$7,{"STD","Half-PPR","PPR"},0)-1)*5,CB109,CD109,CF109,CH109,CJ109,CL109,CN109,CP109,CR109,CT109,CV109,CX109,CZ109,DB109,DD109)</f>
        <v>0</v>
      </c>
      <c r="DG109" s="6">
        <f>ROUND(1+DF109*'Live Calc'!$D$11,0)</f>
        <v>1</v>
      </c>
      <c r="DH109" s="6"/>
      <c r="DI109" s="6">
        <f>IF(DH109&lt;&gt;"",DH109,ROUND(DG109*INDEX('Live Calc'!$D$50:$D$70,MATCH(DE109,'Live Calc'!$A$50:$A$70,0))*'Live Calc'!$J$89,0))</f>
        <v>1</v>
      </c>
    </row>
    <row r="110" spans="39:113" x14ac:dyDescent="0.25">
      <c r="AM110" s="5" t="s">
        <v>425</v>
      </c>
      <c r="AN110" s="5" t="s">
        <v>117</v>
      </c>
      <c r="AO110" s="5">
        <v>9</v>
      </c>
      <c r="AP110" s="5">
        <v>0</v>
      </c>
      <c r="AQ110" s="5">
        <v>10</v>
      </c>
      <c r="AR110" s="5">
        <v>0</v>
      </c>
      <c r="AS110" s="5">
        <v>14</v>
      </c>
      <c r="AT110" s="5">
        <v>0</v>
      </c>
      <c r="AU110" s="5">
        <v>16</v>
      </c>
      <c r="AV110" s="5">
        <v>0</v>
      </c>
      <c r="AW110" s="5">
        <v>16</v>
      </c>
      <c r="AX110" s="5">
        <v>0</v>
      </c>
      <c r="AY110" s="5">
        <v>9</v>
      </c>
      <c r="AZ110" s="5">
        <v>0</v>
      </c>
      <c r="BA110" s="5">
        <v>11</v>
      </c>
      <c r="BB110" s="5">
        <v>0</v>
      </c>
      <c r="BC110" s="5">
        <v>13</v>
      </c>
      <c r="BD110" s="5">
        <v>0</v>
      </c>
      <c r="BE110" s="5">
        <v>17</v>
      </c>
      <c r="BF110" s="5">
        <v>0</v>
      </c>
      <c r="BG110" s="5">
        <v>17</v>
      </c>
      <c r="BH110" s="5">
        <v>0</v>
      </c>
      <c r="BI110" s="5">
        <v>11</v>
      </c>
      <c r="BJ110" s="5">
        <v>0</v>
      </c>
      <c r="BK110" s="5">
        <v>13</v>
      </c>
      <c r="BL110" s="5">
        <v>0</v>
      </c>
      <c r="BM110" s="5">
        <v>15</v>
      </c>
      <c r="BN110" s="5">
        <v>0</v>
      </c>
      <c r="BO110" s="5">
        <v>17</v>
      </c>
      <c r="BP110" s="5">
        <v>0</v>
      </c>
      <c r="BQ110" s="5">
        <v>18</v>
      </c>
      <c r="BR110" s="5">
        <v>0</v>
      </c>
      <c r="BS110" s="5">
        <f>CHOOSE(MATCH(Setup!$B$5,{8,10,12,14,16},0)+(MATCH(Setup!$B$7,{"STD","Half-PPR","PPR"},0)-1)*5,AO110,AQ110,AS110,AU110,AW110,AY110,BA110,BC110,BE110,BG110,BI110,BK110,BM110,BO110,BQ110)</f>
        <v>13</v>
      </c>
      <c r="BT110" s="5">
        <f>CHOOSE(MATCH(Setup!$B$5,{8,10,12,14,16},0)+(MATCH(Setup!$B$7,{"STD","Half-PPR","PPR"},0)-1)*5,AP110,AR110,AT110,AV110,AX110,AZ110,BB110,BD110,BF110,BH110,BJ110,BL110,BN110,BP110,BR110)</f>
        <v>0</v>
      </c>
      <c r="BU110" s="5">
        <f>ROUND(1+BT110*'Live Calc'!$D$10,0)</f>
        <v>1</v>
      </c>
      <c r="BV110" s="5"/>
      <c r="BW110" s="5">
        <f>IF(BV110&lt;&gt;"",BV110,ROUND(BU110*INDEX('Live Calc'!$D$29:$D$46,MATCH(BS110,'Live Calc'!$A$29:$A$46,0))*'Live Calc'!$J$89,0))</f>
        <v>1</v>
      </c>
      <c r="BY110" s="6" t="s">
        <v>426</v>
      </c>
      <c r="BZ110" s="6" t="s">
        <v>177</v>
      </c>
      <c r="CA110" s="6">
        <v>14</v>
      </c>
      <c r="CB110" s="6">
        <v>0</v>
      </c>
      <c r="CC110" s="6">
        <v>17</v>
      </c>
      <c r="CD110" s="6">
        <v>0</v>
      </c>
      <c r="CE110" s="6">
        <v>20</v>
      </c>
      <c r="CF110" s="6">
        <v>0</v>
      </c>
      <c r="CG110" s="6">
        <v>19</v>
      </c>
      <c r="CH110" s="6">
        <v>0</v>
      </c>
      <c r="CI110" s="6">
        <v>21</v>
      </c>
      <c r="CJ110" s="6">
        <v>0</v>
      </c>
      <c r="CK110" s="6">
        <v>10</v>
      </c>
      <c r="CL110" s="6">
        <v>0</v>
      </c>
      <c r="CM110" s="6">
        <v>15</v>
      </c>
      <c r="CN110" s="6">
        <v>0</v>
      </c>
      <c r="CO110" s="6">
        <v>15</v>
      </c>
      <c r="CP110" s="6">
        <v>0</v>
      </c>
      <c r="CQ110" s="6">
        <v>16</v>
      </c>
      <c r="CR110" s="6">
        <v>0</v>
      </c>
      <c r="CS110" s="6">
        <v>20</v>
      </c>
      <c r="CT110" s="6">
        <v>0</v>
      </c>
      <c r="CU110" s="6">
        <v>12</v>
      </c>
      <c r="CV110" s="6">
        <v>0</v>
      </c>
      <c r="CW110" s="6">
        <v>12</v>
      </c>
      <c r="CX110" s="6">
        <v>0</v>
      </c>
      <c r="CY110" s="6">
        <v>15</v>
      </c>
      <c r="CZ110" s="6">
        <v>0</v>
      </c>
      <c r="DA110" s="6">
        <v>18</v>
      </c>
      <c r="DB110" s="6">
        <v>0</v>
      </c>
      <c r="DC110" s="6">
        <v>20</v>
      </c>
      <c r="DD110" s="6">
        <v>0</v>
      </c>
      <c r="DE110" s="6">
        <f>CHOOSE(MATCH(Setup!$B$5,{8,10,12,14,16},0)+(MATCH(Setup!$B$7,{"STD","Half-PPR","PPR"},0)-1)*5,CA110,CC110,CE110,CG110,CI110,CK110,CM110,CO110,CQ110,CS110,CU110,CW110,CY110,DA110,DC110)</f>
        <v>15</v>
      </c>
      <c r="DF110" s="6">
        <f>CHOOSE(MATCH(Setup!$B$5,{8,10,12,14,16},0)+(MATCH(Setup!$B$7,{"STD","Half-PPR","PPR"},0)-1)*5,CB110,CD110,CF110,CH110,CJ110,CL110,CN110,CP110,CR110,CT110,CV110,CX110,CZ110,DB110,DD110)</f>
        <v>0</v>
      </c>
      <c r="DG110" s="6">
        <f>ROUND(1+DF110*'Live Calc'!$D$11,0)</f>
        <v>1</v>
      </c>
      <c r="DH110" s="6"/>
      <c r="DI110" s="6">
        <f>IF(DH110&lt;&gt;"",DH110,ROUND(DG110*INDEX('Live Calc'!$D$50:$D$70,MATCH(DE110,'Live Calc'!$A$50:$A$70,0))*'Live Calc'!$J$89,0))</f>
        <v>1</v>
      </c>
    </row>
    <row r="111" spans="39:113" x14ac:dyDescent="0.25">
      <c r="AM111" s="5" t="s">
        <v>427</v>
      </c>
      <c r="AN111" s="5" t="s">
        <v>95</v>
      </c>
      <c r="AO111" s="5">
        <v>9</v>
      </c>
      <c r="AP111" s="5">
        <v>0</v>
      </c>
      <c r="AQ111" s="5">
        <v>10</v>
      </c>
      <c r="AR111" s="5">
        <v>0</v>
      </c>
      <c r="AS111" s="5">
        <v>14</v>
      </c>
      <c r="AT111" s="5">
        <v>0</v>
      </c>
      <c r="AU111" s="5">
        <v>16</v>
      </c>
      <c r="AV111" s="5">
        <v>0</v>
      </c>
      <c r="AW111" s="5">
        <v>16</v>
      </c>
      <c r="AX111" s="5">
        <v>0</v>
      </c>
      <c r="AY111" s="5">
        <v>9</v>
      </c>
      <c r="AZ111" s="5">
        <v>0</v>
      </c>
      <c r="BA111" s="5">
        <v>11</v>
      </c>
      <c r="BB111" s="5">
        <v>0</v>
      </c>
      <c r="BC111" s="5">
        <v>13</v>
      </c>
      <c r="BD111" s="5">
        <v>0</v>
      </c>
      <c r="BE111" s="5">
        <v>17</v>
      </c>
      <c r="BF111" s="5">
        <v>0</v>
      </c>
      <c r="BG111" s="5">
        <v>17</v>
      </c>
      <c r="BH111" s="5">
        <v>0</v>
      </c>
      <c r="BI111" s="5">
        <v>11</v>
      </c>
      <c r="BJ111" s="5">
        <v>0</v>
      </c>
      <c r="BK111" s="5">
        <v>13</v>
      </c>
      <c r="BL111" s="5">
        <v>0</v>
      </c>
      <c r="BM111" s="5">
        <v>15</v>
      </c>
      <c r="BN111" s="5">
        <v>0</v>
      </c>
      <c r="BO111" s="5">
        <v>17</v>
      </c>
      <c r="BP111" s="5">
        <v>0</v>
      </c>
      <c r="BQ111" s="5">
        <v>18</v>
      </c>
      <c r="BR111" s="5">
        <v>0</v>
      </c>
      <c r="BS111" s="5">
        <f>CHOOSE(MATCH(Setup!$B$5,{8,10,12,14,16},0)+(MATCH(Setup!$B$7,{"STD","Half-PPR","PPR"},0)-1)*5,AO111,AQ111,AS111,AU111,AW111,AY111,BA111,BC111,BE111,BG111,BI111,BK111,BM111,BO111,BQ111)</f>
        <v>13</v>
      </c>
      <c r="BT111" s="5">
        <f>CHOOSE(MATCH(Setup!$B$5,{8,10,12,14,16},0)+(MATCH(Setup!$B$7,{"STD","Half-PPR","PPR"},0)-1)*5,AP111,AR111,AT111,AV111,AX111,AZ111,BB111,BD111,BF111,BH111,BJ111,BL111,BN111,BP111,BR111)</f>
        <v>0</v>
      </c>
      <c r="BU111" s="5">
        <f>ROUND(1+BT111*'Live Calc'!$D$10,0)</f>
        <v>1</v>
      </c>
      <c r="BV111" s="5"/>
      <c r="BW111" s="5">
        <f>IF(BV111&lt;&gt;"",BV111,ROUND(BU111*INDEX('Live Calc'!$D$29:$D$46,MATCH(BS111,'Live Calc'!$A$29:$A$46,0))*'Live Calc'!$J$89,0))</f>
        <v>1</v>
      </c>
      <c r="BY111" s="6" t="s">
        <v>428</v>
      </c>
      <c r="BZ111" s="6" t="s">
        <v>52</v>
      </c>
      <c r="CA111" s="6">
        <v>14</v>
      </c>
      <c r="CB111" s="6">
        <v>0</v>
      </c>
      <c r="CC111" s="6">
        <v>17</v>
      </c>
      <c r="CD111" s="6">
        <v>0</v>
      </c>
      <c r="CE111" s="6">
        <v>20</v>
      </c>
      <c r="CF111" s="6">
        <v>0</v>
      </c>
      <c r="CG111" s="6">
        <v>19</v>
      </c>
      <c r="CH111" s="6">
        <v>0</v>
      </c>
      <c r="CI111" s="6">
        <v>21</v>
      </c>
      <c r="CJ111" s="6">
        <v>0</v>
      </c>
      <c r="CK111" s="6">
        <v>10</v>
      </c>
      <c r="CL111" s="6">
        <v>0</v>
      </c>
      <c r="CM111" s="6">
        <v>15</v>
      </c>
      <c r="CN111" s="6">
        <v>0</v>
      </c>
      <c r="CO111" s="6">
        <v>15</v>
      </c>
      <c r="CP111" s="6">
        <v>0</v>
      </c>
      <c r="CQ111" s="6">
        <v>16</v>
      </c>
      <c r="CR111" s="6">
        <v>0</v>
      </c>
      <c r="CS111" s="6">
        <v>20</v>
      </c>
      <c r="CT111" s="6">
        <v>0</v>
      </c>
      <c r="CU111" s="6">
        <v>12</v>
      </c>
      <c r="CV111" s="6">
        <v>0</v>
      </c>
      <c r="CW111" s="6">
        <v>12</v>
      </c>
      <c r="CX111" s="6">
        <v>0</v>
      </c>
      <c r="CY111" s="6">
        <v>15</v>
      </c>
      <c r="CZ111" s="6">
        <v>0</v>
      </c>
      <c r="DA111" s="6">
        <v>18</v>
      </c>
      <c r="DB111" s="6">
        <v>0</v>
      </c>
      <c r="DC111" s="6">
        <v>20</v>
      </c>
      <c r="DD111" s="6">
        <v>0</v>
      </c>
      <c r="DE111" s="6">
        <f>CHOOSE(MATCH(Setup!$B$5,{8,10,12,14,16},0)+(MATCH(Setup!$B$7,{"STD","Half-PPR","PPR"},0)-1)*5,CA111,CC111,CE111,CG111,CI111,CK111,CM111,CO111,CQ111,CS111,CU111,CW111,CY111,DA111,DC111)</f>
        <v>15</v>
      </c>
      <c r="DF111" s="6">
        <f>CHOOSE(MATCH(Setup!$B$5,{8,10,12,14,16},0)+(MATCH(Setup!$B$7,{"STD","Half-PPR","PPR"},0)-1)*5,CB111,CD111,CF111,CH111,CJ111,CL111,CN111,CP111,CR111,CT111,CV111,CX111,CZ111,DB111,DD111)</f>
        <v>0</v>
      </c>
      <c r="DG111" s="6">
        <f>ROUND(1+DF111*'Live Calc'!$D$11,0)</f>
        <v>1</v>
      </c>
      <c r="DH111" s="6"/>
      <c r="DI111" s="6">
        <f>IF(DH111&lt;&gt;"",DH111,ROUND(DG111*INDEX('Live Calc'!$D$50:$D$70,MATCH(DE111,'Live Calc'!$A$50:$A$70,0))*'Live Calc'!$J$89,0))</f>
        <v>1</v>
      </c>
    </row>
    <row r="112" spans="39:113" x14ac:dyDescent="0.25">
      <c r="AM112" s="5" t="s">
        <v>429</v>
      </c>
      <c r="AN112" s="5" t="s">
        <v>117</v>
      </c>
      <c r="AO112" s="5">
        <v>9</v>
      </c>
      <c r="AP112" s="5">
        <v>0</v>
      </c>
      <c r="AQ112" s="5">
        <v>10</v>
      </c>
      <c r="AR112" s="5">
        <v>0</v>
      </c>
      <c r="AS112" s="5">
        <v>14</v>
      </c>
      <c r="AT112" s="5">
        <v>0</v>
      </c>
      <c r="AU112" s="5">
        <v>16</v>
      </c>
      <c r="AV112" s="5">
        <v>0</v>
      </c>
      <c r="AW112" s="5">
        <v>16</v>
      </c>
      <c r="AX112" s="5">
        <v>0</v>
      </c>
      <c r="AY112" s="5">
        <v>9</v>
      </c>
      <c r="AZ112" s="5">
        <v>0</v>
      </c>
      <c r="BA112" s="5">
        <v>11</v>
      </c>
      <c r="BB112" s="5">
        <v>0</v>
      </c>
      <c r="BC112" s="5">
        <v>13</v>
      </c>
      <c r="BD112" s="5">
        <v>0</v>
      </c>
      <c r="BE112" s="5">
        <v>17</v>
      </c>
      <c r="BF112" s="5">
        <v>0</v>
      </c>
      <c r="BG112" s="5">
        <v>17</v>
      </c>
      <c r="BH112" s="5">
        <v>0</v>
      </c>
      <c r="BI112" s="5">
        <v>11</v>
      </c>
      <c r="BJ112" s="5">
        <v>0</v>
      </c>
      <c r="BK112" s="5">
        <v>13</v>
      </c>
      <c r="BL112" s="5">
        <v>0</v>
      </c>
      <c r="BM112" s="5">
        <v>15</v>
      </c>
      <c r="BN112" s="5">
        <v>0</v>
      </c>
      <c r="BO112" s="5">
        <v>17</v>
      </c>
      <c r="BP112" s="5">
        <v>0</v>
      </c>
      <c r="BQ112" s="5">
        <v>18</v>
      </c>
      <c r="BR112" s="5">
        <v>0</v>
      </c>
      <c r="BS112" s="5">
        <f>CHOOSE(MATCH(Setup!$B$5,{8,10,12,14,16},0)+(MATCH(Setup!$B$7,{"STD","Half-PPR","PPR"},0)-1)*5,AO112,AQ112,AS112,AU112,AW112,AY112,BA112,BC112,BE112,BG112,BI112,BK112,BM112,BO112,BQ112)</f>
        <v>13</v>
      </c>
      <c r="BT112" s="5">
        <f>CHOOSE(MATCH(Setup!$B$5,{8,10,12,14,16},0)+(MATCH(Setup!$B$7,{"STD","Half-PPR","PPR"},0)-1)*5,AP112,AR112,AT112,AV112,AX112,AZ112,BB112,BD112,BF112,BH112,BJ112,BL112,BN112,BP112,BR112)</f>
        <v>0</v>
      </c>
      <c r="BU112" s="5">
        <f>ROUND(1+BT112*'Live Calc'!$D$10,0)</f>
        <v>1</v>
      </c>
      <c r="BV112" s="5"/>
      <c r="BW112" s="5">
        <f>IF(BV112&lt;&gt;"",BV112,ROUND(BU112*INDEX('Live Calc'!$D$29:$D$46,MATCH(BS112,'Live Calc'!$A$29:$A$46,0))*'Live Calc'!$J$89,0))</f>
        <v>1</v>
      </c>
      <c r="BY112" s="6" t="s">
        <v>430</v>
      </c>
      <c r="BZ112" s="6" t="s">
        <v>76</v>
      </c>
      <c r="CA112" s="6">
        <v>14</v>
      </c>
      <c r="CB112" s="6">
        <v>0</v>
      </c>
      <c r="CC112" s="6">
        <v>17</v>
      </c>
      <c r="CD112" s="6">
        <v>0</v>
      </c>
      <c r="CE112" s="6">
        <v>20</v>
      </c>
      <c r="CF112" s="6">
        <v>0</v>
      </c>
      <c r="CG112" s="6">
        <v>19</v>
      </c>
      <c r="CH112" s="6">
        <v>0</v>
      </c>
      <c r="CI112" s="6">
        <v>21</v>
      </c>
      <c r="CJ112" s="6">
        <v>0</v>
      </c>
      <c r="CK112" s="6">
        <v>10</v>
      </c>
      <c r="CL112" s="6">
        <v>0</v>
      </c>
      <c r="CM112" s="6">
        <v>15</v>
      </c>
      <c r="CN112" s="6">
        <v>0</v>
      </c>
      <c r="CO112" s="6">
        <v>15</v>
      </c>
      <c r="CP112" s="6">
        <v>0</v>
      </c>
      <c r="CQ112" s="6">
        <v>16</v>
      </c>
      <c r="CR112" s="6">
        <v>0</v>
      </c>
      <c r="CS112" s="6">
        <v>20</v>
      </c>
      <c r="CT112" s="6">
        <v>0</v>
      </c>
      <c r="CU112" s="6">
        <v>12</v>
      </c>
      <c r="CV112" s="6">
        <v>0</v>
      </c>
      <c r="CW112" s="6">
        <v>12</v>
      </c>
      <c r="CX112" s="6">
        <v>0</v>
      </c>
      <c r="CY112" s="6">
        <v>15</v>
      </c>
      <c r="CZ112" s="6">
        <v>0</v>
      </c>
      <c r="DA112" s="6">
        <v>18</v>
      </c>
      <c r="DB112" s="6">
        <v>0</v>
      </c>
      <c r="DC112" s="6">
        <v>20</v>
      </c>
      <c r="DD112" s="6">
        <v>0</v>
      </c>
      <c r="DE112" s="6">
        <f>CHOOSE(MATCH(Setup!$B$5,{8,10,12,14,16},0)+(MATCH(Setup!$B$7,{"STD","Half-PPR","PPR"},0)-1)*5,CA112,CC112,CE112,CG112,CI112,CK112,CM112,CO112,CQ112,CS112,CU112,CW112,CY112,DA112,DC112)</f>
        <v>15</v>
      </c>
      <c r="DF112" s="6">
        <f>CHOOSE(MATCH(Setup!$B$5,{8,10,12,14,16},0)+(MATCH(Setup!$B$7,{"STD","Half-PPR","PPR"},0)-1)*5,CB112,CD112,CF112,CH112,CJ112,CL112,CN112,CP112,CR112,CT112,CV112,CX112,CZ112,DB112,DD112)</f>
        <v>0</v>
      </c>
      <c r="DG112" s="6">
        <f>ROUND(1+DF112*'Live Calc'!$D$11,0)</f>
        <v>1</v>
      </c>
      <c r="DH112" s="6"/>
      <c r="DI112" s="6">
        <f>IF(DH112&lt;&gt;"",DH112,ROUND(DG112*INDEX('Live Calc'!$D$50:$D$70,MATCH(DE112,'Live Calc'!$A$50:$A$70,0))*'Live Calc'!$J$89,0))</f>
        <v>1</v>
      </c>
    </row>
    <row r="113" spans="39:113" x14ac:dyDescent="0.25">
      <c r="AM113" s="5" t="s">
        <v>431</v>
      </c>
      <c r="AN113" s="5" t="s">
        <v>79</v>
      </c>
      <c r="AO113" s="5">
        <v>9</v>
      </c>
      <c r="AP113" s="5">
        <v>0</v>
      </c>
      <c r="AQ113" s="5">
        <v>10</v>
      </c>
      <c r="AR113" s="5">
        <v>0</v>
      </c>
      <c r="AS113" s="5">
        <v>14</v>
      </c>
      <c r="AT113" s="5">
        <v>0</v>
      </c>
      <c r="AU113" s="5">
        <v>16</v>
      </c>
      <c r="AV113" s="5">
        <v>0</v>
      </c>
      <c r="AW113" s="5">
        <v>16</v>
      </c>
      <c r="AX113" s="5">
        <v>0</v>
      </c>
      <c r="AY113" s="5">
        <v>9</v>
      </c>
      <c r="AZ113" s="5">
        <v>0</v>
      </c>
      <c r="BA113" s="5">
        <v>11</v>
      </c>
      <c r="BB113" s="5">
        <v>0</v>
      </c>
      <c r="BC113" s="5">
        <v>13</v>
      </c>
      <c r="BD113" s="5">
        <v>0</v>
      </c>
      <c r="BE113" s="5">
        <v>17</v>
      </c>
      <c r="BF113" s="5">
        <v>0</v>
      </c>
      <c r="BG113" s="5">
        <v>17</v>
      </c>
      <c r="BH113" s="5">
        <v>0</v>
      </c>
      <c r="BI113" s="5">
        <v>11</v>
      </c>
      <c r="BJ113" s="5">
        <v>0</v>
      </c>
      <c r="BK113" s="5">
        <v>13</v>
      </c>
      <c r="BL113" s="5">
        <v>0</v>
      </c>
      <c r="BM113" s="5">
        <v>15</v>
      </c>
      <c r="BN113" s="5">
        <v>0</v>
      </c>
      <c r="BO113" s="5">
        <v>17</v>
      </c>
      <c r="BP113" s="5">
        <v>0</v>
      </c>
      <c r="BQ113" s="5">
        <v>18</v>
      </c>
      <c r="BR113" s="5">
        <v>0</v>
      </c>
      <c r="BS113" s="5">
        <f>CHOOSE(MATCH(Setup!$B$5,{8,10,12,14,16},0)+(MATCH(Setup!$B$7,{"STD","Half-PPR","PPR"},0)-1)*5,AO113,AQ113,AS113,AU113,AW113,AY113,BA113,BC113,BE113,BG113,BI113,BK113,BM113,BO113,BQ113)</f>
        <v>13</v>
      </c>
      <c r="BT113" s="5">
        <f>CHOOSE(MATCH(Setup!$B$5,{8,10,12,14,16},0)+(MATCH(Setup!$B$7,{"STD","Half-PPR","PPR"},0)-1)*5,AP113,AR113,AT113,AV113,AX113,AZ113,BB113,BD113,BF113,BH113,BJ113,BL113,BN113,BP113,BR113)</f>
        <v>0</v>
      </c>
      <c r="BU113" s="5">
        <f>ROUND(1+BT113*'Live Calc'!$D$10,0)</f>
        <v>1</v>
      </c>
      <c r="BV113" s="5"/>
      <c r="BW113" s="5">
        <f>IF(BV113&lt;&gt;"",BV113,ROUND(BU113*INDEX('Live Calc'!$D$29:$D$46,MATCH(BS113,'Live Calc'!$A$29:$A$46,0))*'Live Calc'!$J$89,0))</f>
        <v>1</v>
      </c>
      <c r="BY113" s="6" t="s">
        <v>432</v>
      </c>
      <c r="BZ113" s="6" t="s">
        <v>145</v>
      </c>
      <c r="CA113" s="6">
        <v>14</v>
      </c>
      <c r="CB113" s="6">
        <v>0</v>
      </c>
      <c r="CC113" s="6">
        <v>17</v>
      </c>
      <c r="CD113" s="6">
        <v>0</v>
      </c>
      <c r="CE113" s="6">
        <v>20</v>
      </c>
      <c r="CF113" s="6">
        <v>0</v>
      </c>
      <c r="CG113" s="6">
        <v>19</v>
      </c>
      <c r="CH113" s="6">
        <v>0</v>
      </c>
      <c r="CI113" s="6">
        <v>21</v>
      </c>
      <c r="CJ113" s="6">
        <v>0</v>
      </c>
      <c r="CK113" s="6">
        <v>10</v>
      </c>
      <c r="CL113" s="6">
        <v>0</v>
      </c>
      <c r="CM113" s="6">
        <v>15</v>
      </c>
      <c r="CN113" s="6">
        <v>0</v>
      </c>
      <c r="CO113" s="6">
        <v>15</v>
      </c>
      <c r="CP113" s="6">
        <v>0</v>
      </c>
      <c r="CQ113" s="6">
        <v>16</v>
      </c>
      <c r="CR113" s="6">
        <v>0</v>
      </c>
      <c r="CS113" s="6">
        <v>20</v>
      </c>
      <c r="CT113" s="6">
        <v>0</v>
      </c>
      <c r="CU113" s="6">
        <v>12</v>
      </c>
      <c r="CV113" s="6">
        <v>0</v>
      </c>
      <c r="CW113" s="6">
        <v>12</v>
      </c>
      <c r="CX113" s="6">
        <v>0</v>
      </c>
      <c r="CY113" s="6">
        <v>15</v>
      </c>
      <c r="CZ113" s="6">
        <v>0</v>
      </c>
      <c r="DA113" s="6">
        <v>18</v>
      </c>
      <c r="DB113" s="6">
        <v>0</v>
      </c>
      <c r="DC113" s="6">
        <v>20</v>
      </c>
      <c r="DD113" s="6">
        <v>0</v>
      </c>
      <c r="DE113" s="6">
        <f>CHOOSE(MATCH(Setup!$B$5,{8,10,12,14,16},0)+(MATCH(Setup!$B$7,{"STD","Half-PPR","PPR"},0)-1)*5,CA113,CC113,CE113,CG113,CI113,CK113,CM113,CO113,CQ113,CS113,CU113,CW113,CY113,DA113,DC113)</f>
        <v>15</v>
      </c>
      <c r="DF113" s="6">
        <f>CHOOSE(MATCH(Setup!$B$5,{8,10,12,14,16},0)+(MATCH(Setup!$B$7,{"STD","Half-PPR","PPR"},0)-1)*5,CB113,CD113,CF113,CH113,CJ113,CL113,CN113,CP113,CR113,CT113,CV113,CX113,CZ113,DB113,DD113)</f>
        <v>0</v>
      </c>
      <c r="DG113" s="6">
        <f>ROUND(1+DF113*'Live Calc'!$D$11,0)</f>
        <v>1</v>
      </c>
      <c r="DH113" s="6"/>
      <c r="DI113" s="6">
        <f>IF(DH113&lt;&gt;"",DH113,ROUND(DG113*INDEX('Live Calc'!$D$50:$D$70,MATCH(DE113,'Live Calc'!$A$50:$A$70,0))*'Live Calc'!$J$89,0))</f>
        <v>1</v>
      </c>
    </row>
    <row r="114" spans="39:113" x14ac:dyDescent="0.25">
      <c r="AM114" s="5" t="s">
        <v>433</v>
      </c>
      <c r="AN114" s="5" t="s">
        <v>91</v>
      </c>
      <c r="AO114" s="5">
        <v>9</v>
      </c>
      <c r="AP114" s="5">
        <v>0</v>
      </c>
      <c r="AQ114" s="5">
        <v>10</v>
      </c>
      <c r="AR114" s="5">
        <v>0</v>
      </c>
      <c r="AS114" s="5">
        <v>14</v>
      </c>
      <c r="AT114" s="5">
        <v>0</v>
      </c>
      <c r="AU114" s="5">
        <v>16</v>
      </c>
      <c r="AV114" s="5">
        <v>0</v>
      </c>
      <c r="AW114" s="5">
        <v>16</v>
      </c>
      <c r="AX114" s="5">
        <v>0</v>
      </c>
      <c r="AY114" s="5">
        <v>9</v>
      </c>
      <c r="AZ114" s="5">
        <v>0</v>
      </c>
      <c r="BA114" s="5">
        <v>11</v>
      </c>
      <c r="BB114" s="5">
        <v>0</v>
      </c>
      <c r="BC114" s="5">
        <v>13</v>
      </c>
      <c r="BD114" s="5">
        <v>0</v>
      </c>
      <c r="BE114" s="5">
        <v>17</v>
      </c>
      <c r="BF114" s="5">
        <v>0</v>
      </c>
      <c r="BG114" s="5">
        <v>17</v>
      </c>
      <c r="BH114" s="5">
        <v>0</v>
      </c>
      <c r="BI114" s="5">
        <v>11</v>
      </c>
      <c r="BJ114" s="5">
        <v>0</v>
      </c>
      <c r="BK114" s="5">
        <v>13</v>
      </c>
      <c r="BL114" s="5">
        <v>0</v>
      </c>
      <c r="BM114" s="5">
        <v>15</v>
      </c>
      <c r="BN114" s="5">
        <v>0</v>
      </c>
      <c r="BO114" s="5">
        <v>17</v>
      </c>
      <c r="BP114" s="5">
        <v>0</v>
      </c>
      <c r="BQ114" s="5">
        <v>18</v>
      </c>
      <c r="BR114" s="5">
        <v>0</v>
      </c>
      <c r="BS114" s="5">
        <f>CHOOSE(MATCH(Setup!$B$5,{8,10,12,14,16},0)+(MATCH(Setup!$B$7,{"STD","Half-PPR","PPR"},0)-1)*5,AO114,AQ114,AS114,AU114,AW114,AY114,BA114,BC114,BE114,BG114,BI114,BK114,BM114,BO114,BQ114)</f>
        <v>13</v>
      </c>
      <c r="BT114" s="5">
        <f>CHOOSE(MATCH(Setup!$B$5,{8,10,12,14,16},0)+(MATCH(Setup!$B$7,{"STD","Half-PPR","PPR"},0)-1)*5,AP114,AR114,AT114,AV114,AX114,AZ114,BB114,BD114,BF114,BH114,BJ114,BL114,BN114,BP114,BR114)</f>
        <v>0</v>
      </c>
      <c r="BU114" s="5">
        <f>ROUND(1+BT114*'Live Calc'!$D$10,0)</f>
        <v>1</v>
      </c>
      <c r="BV114" s="5"/>
      <c r="BW114" s="5">
        <f>IF(BV114&lt;&gt;"",BV114,ROUND(BU114*INDEX('Live Calc'!$D$29:$D$46,MATCH(BS114,'Live Calc'!$A$29:$A$46,0))*'Live Calc'!$J$89,0))</f>
        <v>1</v>
      </c>
      <c r="BY114" s="6" t="s">
        <v>434</v>
      </c>
      <c r="BZ114" s="6" t="s">
        <v>88</v>
      </c>
      <c r="CA114" s="6">
        <v>14</v>
      </c>
      <c r="CB114" s="6">
        <v>0</v>
      </c>
      <c r="CC114" s="6">
        <v>17</v>
      </c>
      <c r="CD114" s="6">
        <v>0</v>
      </c>
      <c r="CE114" s="6">
        <v>20</v>
      </c>
      <c r="CF114" s="6">
        <v>0</v>
      </c>
      <c r="CG114" s="6">
        <v>19</v>
      </c>
      <c r="CH114" s="6">
        <v>0</v>
      </c>
      <c r="CI114" s="6">
        <v>21</v>
      </c>
      <c r="CJ114" s="6">
        <v>0</v>
      </c>
      <c r="CK114" s="6">
        <v>10</v>
      </c>
      <c r="CL114" s="6">
        <v>0</v>
      </c>
      <c r="CM114" s="6">
        <v>15</v>
      </c>
      <c r="CN114" s="6">
        <v>0</v>
      </c>
      <c r="CO114" s="6">
        <v>15</v>
      </c>
      <c r="CP114" s="6">
        <v>0</v>
      </c>
      <c r="CQ114" s="6">
        <v>16</v>
      </c>
      <c r="CR114" s="6">
        <v>0</v>
      </c>
      <c r="CS114" s="6">
        <v>20</v>
      </c>
      <c r="CT114" s="6">
        <v>0</v>
      </c>
      <c r="CU114" s="6">
        <v>12</v>
      </c>
      <c r="CV114" s="6">
        <v>0</v>
      </c>
      <c r="CW114" s="6">
        <v>12</v>
      </c>
      <c r="CX114" s="6">
        <v>0</v>
      </c>
      <c r="CY114" s="6">
        <v>15</v>
      </c>
      <c r="CZ114" s="6">
        <v>0</v>
      </c>
      <c r="DA114" s="6">
        <v>18</v>
      </c>
      <c r="DB114" s="6">
        <v>0</v>
      </c>
      <c r="DC114" s="6">
        <v>20</v>
      </c>
      <c r="DD114" s="6">
        <v>0</v>
      </c>
      <c r="DE114" s="6">
        <f>CHOOSE(MATCH(Setup!$B$5,{8,10,12,14,16},0)+(MATCH(Setup!$B$7,{"STD","Half-PPR","PPR"},0)-1)*5,CA114,CC114,CE114,CG114,CI114,CK114,CM114,CO114,CQ114,CS114,CU114,CW114,CY114,DA114,DC114)</f>
        <v>15</v>
      </c>
      <c r="DF114" s="6">
        <f>CHOOSE(MATCH(Setup!$B$5,{8,10,12,14,16},0)+(MATCH(Setup!$B$7,{"STD","Half-PPR","PPR"},0)-1)*5,CB114,CD114,CF114,CH114,CJ114,CL114,CN114,CP114,CR114,CT114,CV114,CX114,CZ114,DB114,DD114)</f>
        <v>0</v>
      </c>
      <c r="DG114" s="6">
        <f>ROUND(1+DF114*'Live Calc'!$D$11,0)</f>
        <v>1</v>
      </c>
      <c r="DH114" s="6"/>
      <c r="DI114" s="6">
        <f>IF(DH114&lt;&gt;"",DH114,ROUND(DG114*INDEX('Live Calc'!$D$50:$D$70,MATCH(DE114,'Live Calc'!$A$50:$A$70,0))*'Live Calc'!$J$89,0))</f>
        <v>1</v>
      </c>
    </row>
    <row r="115" spans="39:113" x14ac:dyDescent="0.25">
      <c r="AM115" s="5" t="s">
        <v>435</v>
      </c>
      <c r="AN115" s="5" t="s">
        <v>72</v>
      </c>
      <c r="AO115" s="5">
        <v>9</v>
      </c>
      <c r="AP115" s="5">
        <v>0</v>
      </c>
      <c r="AQ115" s="5">
        <v>10</v>
      </c>
      <c r="AR115" s="5">
        <v>0</v>
      </c>
      <c r="AS115" s="5">
        <v>14</v>
      </c>
      <c r="AT115" s="5">
        <v>0</v>
      </c>
      <c r="AU115" s="5">
        <v>16</v>
      </c>
      <c r="AV115" s="5">
        <v>0</v>
      </c>
      <c r="AW115" s="5">
        <v>16</v>
      </c>
      <c r="AX115" s="5">
        <v>0</v>
      </c>
      <c r="AY115" s="5">
        <v>9</v>
      </c>
      <c r="AZ115" s="5">
        <v>0</v>
      </c>
      <c r="BA115" s="5">
        <v>11</v>
      </c>
      <c r="BB115" s="5">
        <v>0</v>
      </c>
      <c r="BC115" s="5">
        <v>13</v>
      </c>
      <c r="BD115" s="5">
        <v>0</v>
      </c>
      <c r="BE115" s="5">
        <v>17</v>
      </c>
      <c r="BF115" s="5">
        <v>0</v>
      </c>
      <c r="BG115" s="5">
        <v>17</v>
      </c>
      <c r="BH115" s="5">
        <v>0</v>
      </c>
      <c r="BI115" s="5">
        <v>11</v>
      </c>
      <c r="BJ115" s="5">
        <v>0</v>
      </c>
      <c r="BK115" s="5">
        <v>13</v>
      </c>
      <c r="BL115" s="5">
        <v>0</v>
      </c>
      <c r="BM115" s="5">
        <v>15</v>
      </c>
      <c r="BN115" s="5">
        <v>0</v>
      </c>
      <c r="BO115" s="5">
        <v>17</v>
      </c>
      <c r="BP115" s="5">
        <v>0</v>
      </c>
      <c r="BQ115" s="5">
        <v>18</v>
      </c>
      <c r="BR115" s="5">
        <v>0</v>
      </c>
      <c r="BS115" s="5">
        <f>CHOOSE(MATCH(Setup!$B$5,{8,10,12,14,16},0)+(MATCH(Setup!$B$7,{"STD","Half-PPR","PPR"},0)-1)*5,AO115,AQ115,AS115,AU115,AW115,AY115,BA115,BC115,BE115,BG115,BI115,BK115,BM115,BO115,BQ115)</f>
        <v>13</v>
      </c>
      <c r="BT115" s="5">
        <f>CHOOSE(MATCH(Setup!$B$5,{8,10,12,14,16},0)+(MATCH(Setup!$B$7,{"STD","Half-PPR","PPR"},0)-1)*5,AP115,AR115,AT115,AV115,AX115,AZ115,BB115,BD115,BF115,BH115,BJ115,BL115,BN115,BP115,BR115)</f>
        <v>0</v>
      </c>
      <c r="BU115" s="5">
        <f>ROUND(1+BT115*'Live Calc'!$D$10,0)</f>
        <v>1</v>
      </c>
      <c r="BV115" s="5"/>
      <c r="BW115" s="5">
        <f>IF(BV115&lt;&gt;"",BV115,ROUND(BU115*INDEX('Live Calc'!$D$29:$D$46,MATCH(BS115,'Live Calc'!$A$29:$A$46,0))*'Live Calc'!$J$89,0))</f>
        <v>1</v>
      </c>
      <c r="BY115" s="6" t="s">
        <v>436</v>
      </c>
      <c r="BZ115" s="6" t="s">
        <v>56</v>
      </c>
      <c r="CA115" s="6">
        <v>14</v>
      </c>
      <c r="CB115" s="6">
        <v>0</v>
      </c>
      <c r="CC115" s="6">
        <v>17</v>
      </c>
      <c r="CD115" s="6">
        <v>0</v>
      </c>
      <c r="CE115" s="6">
        <v>20</v>
      </c>
      <c r="CF115" s="6">
        <v>0</v>
      </c>
      <c r="CG115" s="6">
        <v>19</v>
      </c>
      <c r="CH115" s="6">
        <v>0</v>
      </c>
      <c r="CI115" s="6">
        <v>21</v>
      </c>
      <c r="CJ115" s="6">
        <v>0</v>
      </c>
      <c r="CK115" s="6">
        <v>10</v>
      </c>
      <c r="CL115" s="6">
        <v>0</v>
      </c>
      <c r="CM115" s="6">
        <v>15</v>
      </c>
      <c r="CN115" s="6">
        <v>0</v>
      </c>
      <c r="CO115" s="6">
        <v>15</v>
      </c>
      <c r="CP115" s="6">
        <v>0</v>
      </c>
      <c r="CQ115" s="6">
        <v>16</v>
      </c>
      <c r="CR115" s="6">
        <v>0</v>
      </c>
      <c r="CS115" s="6">
        <v>20</v>
      </c>
      <c r="CT115" s="6">
        <v>0</v>
      </c>
      <c r="CU115" s="6">
        <v>12</v>
      </c>
      <c r="CV115" s="6">
        <v>0</v>
      </c>
      <c r="CW115" s="6">
        <v>12</v>
      </c>
      <c r="CX115" s="6">
        <v>0</v>
      </c>
      <c r="CY115" s="6">
        <v>15</v>
      </c>
      <c r="CZ115" s="6">
        <v>0</v>
      </c>
      <c r="DA115" s="6">
        <v>18</v>
      </c>
      <c r="DB115" s="6">
        <v>0</v>
      </c>
      <c r="DC115" s="6">
        <v>20</v>
      </c>
      <c r="DD115" s="6">
        <v>0</v>
      </c>
      <c r="DE115" s="6">
        <f>CHOOSE(MATCH(Setup!$B$5,{8,10,12,14,16},0)+(MATCH(Setup!$B$7,{"STD","Half-PPR","PPR"},0)-1)*5,CA115,CC115,CE115,CG115,CI115,CK115,CM115,CO115,CQ115,CS115,CU115,CW115,CY115,DA115,DC115)</f>
        <v>15</v>
      </c>
      <c r="DF115" s="6">
        <f>CHOOSE(MATCH(Setup!$B$5,{8,10,12,14,16},0)+(MATCH(Setup!$B$7,{"STD","Half-PPR","PPR"},0)-1)*5,CB115,CD115,CF115,CH115,CJ115,CL115,CN115,CP115,CR115,CT115,CV115,CX115,CZ115,DB115,DD115)</f>
        <v>0</v>
      </c>
      <c r="DG115" s="6">
        <f>ROUND(1+DF115*'Live Calc'!$D$11,0)</f>
        <v>1</v>
      </c>
      <c r="DH115" s="6"/>
      <c r="DI115" s="6">
        <f>IF(DH115&lt;&gt;"",DH115,ROUND(DG115*INDEX('Live Calc'!$D$50:$D$70,MATCH(DE115,'Live Calc'!$A$50:$A$70,0))*'Live Calc'!$J$89,0))</f>
        <v>1</v>
      </c>
    </row>
    <row r="116" spans="39:113" x14ac:dyDescent="0.25">
      <c r="AM116" s="5" t="s">
        <v>437</v>
      </c>
      <c r="AN116" s="5" t="s">
        <v>62</v>
      </c>
      <c r="AO116" s="5">
        <v>9</v>
      </c>
      <c r="AP116" s="5">
        <v>0</v>
      </c>
      <c r="AQ116" s="5">
        <v>10</v>
      </c>
      <c r="AR116" s="5">
        <v>0</v>
      </c>
      <c r="AS116" s="5">
        <v>14</v>
      </c>
      <c r="AT116" s="5">
        <v>0</v>
      </c>
      <c r="AU116" s="5">
        <v>16</v>
      </c>
      <c r="AV116" s="5">
        <v>0</v>
      </c>
      <c r="AW116" s="5">
        <v>16</v>
      </c>
      <c r="AX116" s="5">
        <v>0</v>
      </c>
      <c r="AY116" s="5">
        <v>9</v>
      </c>
      <c r="AZ116" s="5">
        <v>0</v>
      </c>
      <c r="BA116" s="5">
        <v>11</v>
      </c>
      <c r="BB116" s="5">
        <v>0</v>
      </c>
      <c r="BC116" s="5">
        <v>13</v>
      </c>
      <c r="BD116" s="5">
        <v>0</v>
      </c>
      <c r="BE116" s="5">
        <v>17</v>
      </c>
      <c r="BF116" s="5">
        <v>0</v>
      </c>
      <c r="BG116" s="5">
        <v>17</v>
      </c>
      <c r="BH116" s="5">
        <v>0</v>
      </c>
      <c r="BI116" s="5">
        <v>11</v>
      </c>
      <c r="BJ116" s="5">
        <v>0</v>
      </c>
      <c r="BK116" s="5">
        <v>13</v>
      </c>
      <c r="BL116" s="5">
        <v>0</v>
      </c>
      <c r="BM116" s="5">
        <v>15</v>
      </c>
      <c r="BN116" s="5">
        <v>0</v>
      </c>
      <c r="BO116" s="5">
        <v>17</v>
      </c>
      <c r="BP116" s="5">
        <v>0</v>
      </c>
      <c r="BQ116" s="5">
        <v>18</v>
      </c>
      <c r="BR116" s="5">
        <v>0</v>
      </c>
      <c r="BS116" s="5">
        <f>CHOOSE(MATCH(Setup!$B$5,{8,10,12,14,16},0)+(MATCH(Setup!$B$7,{"STD","Half-PPR","PPR"},0)-1)*5,AO116,AQ116,AS116,AU116,AW116,AY116,BA116,BC116,BE116,BG116,BI116,BK116,BM116,BO116,BQ116)</f>
        <v>13</v>
      </c>
      <c r="BT116" s="5">
        <f>CHOOSE(MATCH(Setup!$B$5,{8,10,12,14,16},0)+(MATCH(Setup!$B$7,{"STD","Half-PPR","PPR"},0)-1)*5,AP116,AR116,AT116,AV116,AX116,AZ116,BB116,BD116,BF116,BH116,BJ116,BL116,BN116,BP116,BR116)</f>
        <v>0</v>
      </c>
      <c r="BU116" s="5">
        <f>ROUND(1+BT116*'Live Calc'!$D$10,0)</f>
        <v>1</v>
      </c>
      <c r="BV116" s="5"/>
      <c r="BW116" s="5">
        <f>IF(BV116&lt;&gt;"",BV116,ROUND(BU116*INDEX('Live Calc'!$D$29:$D$46,MATCH(BS116,'Live Calc'!$A$29:$A$46,0))*'Live Calc'!$J$89,0))</f>
        <v>1</v>
      </c>
      <c r="BY116" s="6" t="s">
        <v>438</v>
      </c>
      <c r="BZ116" s="6" t="s">
        <v>95</v>
      </c>
      <c r="CA116" s="6">
        <v>14</v>
      </c>
      <c r="CB116" s="6">
        <v>0</v>
      </c>
      <c r="CC116" s="6">
        <v>17</v>
      </c>
      <c r="CD116" s="6">
        <v>0</v>
      </c>
      <c r="CE116" s="6">
        <v>20</v>
      </c>
      <c r="CF116" s="6">
        <v>0</v>
      </c>
      <c r="CG116" s="6">
        <v>19</v>
      </c>
      <c r="CH116" s="6">
        <v>0</v>
      </c>
      <c r="CI116" s="6">
        <v>21</v>
      </c>
      <c r="CJ116" s="6">
        <v>0</v>
      </c>
      <c r="CK116" s="6">
        <v>10</v>
      </c>
      <c r="CL116" s="6">
        <v>0</v>
      </c>
      <c r="CM116" s="6">
        <v>15</v>
      </c>
      <c r="CN116" s="6">
        <v>0</v>
      </c>
      <c r="CO116" s="6">
        <v>15</v>
      </c>
      <c r="CP116" s="6">
        <v>0</v>
      </c>
      <c r="CQ116" s="6">
        <v>16</v>
      </c>
      <c r="CR116" s="6">
        <v>0</v>
      </c>
      <c r="CS116" s="6">
        <v>20</v>
      </c>
      <c r="CT116" s="6">
        <v>0</v>
      </c>
      <c r="CU116" s="6">
        <v>12</v>
      </c>
      <c r="CV116" s="6">
        <v>0</v>
      </c>
      <c r="CW116" s="6">
        <v>12</v>
      </c>
      <c r="CX116" s="6">
        <v>0</v>
      </c>
      <c r="CY116" s="6">
        <v>15</v>
      </c>
      <c r="CZ116" s="6">
        <v>0</v>
      </c>
      <c r="DA116" s="6">
        <v>18</v>
      </c>
      <c r="DB116" s="6">
        <v>0</v>
      </c>
      <c r="DC116" s="6">
        <v>20</v>
      </c>
      <c r="DD116" s="6">
        <v>0</v>
      </c>
      <c r="DE116" s="6">
        <f>CHOOSE(MATCH(Setup!$B$5,{8,10,12,14,16},0)+(MATCH(Setup!$B$7,{"STD","Half-PPR","PPR"},0)-1)*5,CA116,CC116,CE116,CG116,CI116,CK116,CM116,CO116,CQ116,CS116,CU116,CW116,CY116,DA116,DC116)</f>
        <v>15</v>
      </c>
      <c r="DF116" s="6">
        <f>CHOOSE(MATCH(Setup!$B$5,{8,10,12,14,16},0)+(MATCH(Setup!$B$7,{"STD","Half-PPR","PPR"},0)-1)*5,CB116,CD116,CF116,CH116,CJ116,CL116,CN116,CP116,CR116,CT116,CV116,CX116,CZ116,DB116,DD116)</f>
        <v>0</v>
      </c>
      <c r="DG116" s="6">
        <f>ROUND(1+DF116*'Live Calc'!$D$11,0)</f>
        <v>1</v>
      </c>
      <c r="DH116" s="6"/>
      <c r="DI116" s="6">
        <f>IF(DH116&lt;&gt;"",DH116,ROUND(DG116*INDEX('Live Calc'!$D$50:$D$70,MATCH(DE116,'Live Calc'!$A$50:$A$70,0))*'Live Calc'!$J$89,0))</f>
        <v>1</v>
      </c>
    </row>
    <row r="117" spans="39:113" x14ac:dyDescent="0.25">
      <c r="AM117" s="5" t="s">
        <v>439</v>
      </c>
      <c r="AN117" s="5" t="s">
        <v>50</v>
      </c>
      <c r="AO117" s="5">
        <v>9</v>
      </c>
      <c r="AP117" s="5">
        <v>0</v>
      </c>
      <c r="AQ117" s="5">
        <v>10</v>
      </c>
      <c r="AR117" s="5">
        <v>0</v>
      </c>
      <c r="AS117" s="5">
        <v>14</v>
      </c>
      <c r="AT117" s="5">
        <v>0</v>
      </c>
      <c r="AU117" s="5">
        <v>16</v>
      </c>
      <c r="AV117" s="5">
        <v>0</v>
      </c>
      <c r="AW117" s="5">
        <v>16</v>
      </c>
      <c r="AX117" s="5">
        <v>0</v>
      </c>
      <c r="AY117" s="5">
        <v>9</v>
      </c>
      <c r="AZ117" s="5">
        <v>0</v>
      </c>
      <c r="BA117" s="5">
        <v>11</v>
      </c>
      <c r="BB117" s="5">
        <v>0</v>
      </c>
      <c r="BC117" s="5">
        <v>13</v>
      </c>
      <c r="BD117" s="5">
        <v>0</v>
      </c>
      <c r="BE117" s="5">
        <v>17</v>
      </c>
      <c r="BF117" s="5">
        <v>0</v>
      </c>
      <c r="BG117" s="5">
        <v>17</v>
      </c>
      <c r="BH117" s="5">
        <v>0</v>
      </c>
      <c r="BI117" s="5">
        <v>11</v>
      </c>
      <c r="BJ117" s="5">
        <v>0</v>
      </c>
      <c r="BK117" s="5">
        <v>13</v>
      </c>
      <c r="BL117" s="5">
        <v>0</v>
      </c>
      <c r="BM117" s="5">
        <v>15</v>
      </c>
      <c r="BN117" s="5">
        <v>0</v>
      </c>
      <c r="BO117" s="5">
        <v>17</v>
      </c>
      <c r="BP117" s="5">
        <v>0</v>
      </c>
      <c r="BQ117" s="5">
        <v>18</v>
      </c>
      <c r="BR117" s="5">
        <v>0</v>
      </c>
      <c r="BS117" s="5">
        <f>CHOOSE(MATCH(Setup!$B$5,{8,10,12,14,16},0)+(MATCH(Setup!$B$7,{"STD","Half-PPR","PPR"},0)-1)*5,AO117,AQ117,AS117,AU117,AW117,AY117,BA117,BC117,BE117,BG117,BI117,BK117,BM117,BO117,BQ117)</f>
        <v>13</v>
      </c>
      <c r="BT117" s="5">
        <f>CHOOSE(MATCH(Setup!$B$5,{8,10,12,14,16},0)+(MATCH(Setup!$B$7,{"STD","Half-PPR","PPR"},0)-1)*5,AP117,AR117,AT117,AV117,AX117,AZ117,BB117,BD117,BF117,BH117,BJ117,BL117,BN117,BP117,BR117)</f>
        <v>0</v>
      </c>
      <c r="BU117" s="5">
        <f>ROUND(1+BT117*'Live Calc'!$D$10,0)</f>
        <v>1</v>
      </c>
      <c r="BV117" s="5"/>
      <c r="BW117" s="5">
        <f>IF(BV117&lt;&gt;"",BV117,ROUND(BU117*INDEX('Live Calc'!$D$29:$D$46,MATCH(BS117,'Live Calc'!$A$29:$A$46,0))*'Live Calc'!$J$89,0))</f>
        <v>1</v>
      </c>
      <c r="BY117" s="6" t="s">
        <v>440</v>
      </c>
      <c r="BZ117" s="6" t="s">
        <v>142</v>
      </c>
      <c r="CA117" s="6">
        <v>14</v>
      </c>
      <c r="CB117" s="6">
        <v>0</v>
      </c>
      <c r="CC117" s="6">
        <v>17</v>
      </c>
      <c r="CD117" s="6">
        <v>0</v>
      </c>
      <c r="CE117" s="6">
        <v>20</v>
      </c>
      <c r="CF117" s="6">
        <v>0</v>
      </c>
      <c r="CG117" s="6">
        <v>19</v>
      </c>
      <c r="CH117" s="6">
        <v>0</v>
      </c>
      <c r="CI117" s="6">
        <v>21</v>
      </c>
      <c r="CJ117" s="6">
        <v>0</v>
      </c>
      <c r="CK117" s="6">
        <v>10</v>
      </c>
      <c r="CL117" s="6">
        <v>0</v>
      </c>
      <c r="CM117" s="6">
        <v>15</v>
      </c>
      <c r="CN117" s="6">
        <v>0</v>
      </c>
      <c r="CO117" s="6">
        <v>15</v>
      </c>
      <c r="CP117" s="6">
        <v>0</v>
      </c>
      <c r="CQ117" s="6">
        <v>16</v>
      </c>
      <c r="CR117" s="6">
        <v>0</v>
      </c>
      <c r="CS117" s="6">
        <v>20</v>
      </c>
      <c r="CT117" s="6">
        <v>0</v>
      </c>
      <c r="CU117" s="6">
        <v>12</v>
      </c>
      <c r="CV117" s="6">
        <v>0</v>
      </c>
      <c r="CW117" s="6">
        <v>12</v>
      </c>
      <c r="CX117" s="6">
        <v>0</v>
      </c>
      <c r="CY117" s="6">
        <v>15</v>
      </c>
      <c r="CZ117" s="6">
        <v>0</v>
      </c>
      <c r="DA117" s="6">
        <v>18</v>
      </c>
      <c r="DB117" s="6">
        <v>0</v>
      </c>
      <c r="DC117" s="6">
        <v>20</v>
      </c>
      <c r="DD117" s="6">
        <v>0</v>
      </c>
      <c r="DE117" s="6">
        <f>CHOOSE(MATCH(Setup!$B$5,{8,10,12,14,16},0)+(MATCH(Setup!$B$7,{"STD","Half-PPR","PPR"},0)-1)*5,CA117,CC117,CE117,CG117,CI117,CK117,CM117,CO117,CQ117,CS117,CU117,CW117,CY117,DA117,DC117)</f>
        <v>15</v>
      </c>
      <c r="DF117" s="6">
        <f>CHOOSE(MATCH(Setup!$B$5,{8,10,12,14,16},0)+(MATCH(Setup!$B$7,{"STD","Half-PPR","PPR"},0)-1)*5,CB117,CD117,CF117,CH117,CJ117,CL117,CN117,CP117,CR117,CT117,CV117,CX117,CZ117,DB117,DD117)</f>
        <v>0</v>
      </c>
      <c r="DG117" s="6">
        <f>ROUND(1+DF117*'Live Calc'!$D$11,0)</f>
        <v>1</v>
      </c>
      <c r="DH117" s="6"/>
      <c r="DI117" s="6">
        <f>IF(DH117&lt;&gt;"",DH117,ROUND(DG117*INDEX('Live Calc'!$D$50:$D$70,MATCH(DE117,'Live Calc'!$A$50:$A$70,0))*'Live Calc'!$J$89,0))</f>
        <v>1</v>
      </c>
    </row>
    <row r="118" spans="39:113" x14ac:dyDescent="0.25">
      <c r="AM118" s="5" t="s">
        <v>441</v>
      </c>
      <c r="AN118" s="5" t="s">
        <v>68</v>
      </c>
      <c r="AO118" s="5">
        <v>9</v>
      </c>
      <c r="AP118" s="5">
        <v>0</v>
      </c>
      <c r="AQ118" s="5">
        <v>10</v>
      </c>
      <c r="AR118" s="5">
        <v>0</v>
      </c>
      <c r="AS118" s="5">
        <v>14</v>
      </c>
      <c r="AT118" s="5">
        <v>0</v>
      </c>
      <c r="AU118" s="5">
        <v>16</v>
      </c>
      <c r="AV118" s="5">
        <v>0</v>
      </c>
      <c r="AW118" s="5">
        <v>16</v>
      </c>
      <c r="AX118" s="5">
        <v>0</v>
      </c>
      <c r="AY118" s="5">
        <v>9</v>
      </c>
      <c r="AZ118" s="5">
        <v>0</v>
      </c>
      <c r="BA118" s="5">
        <v>11</v>
      </c>
      <c r="BB118" s="5">
        <v>0</v>
      </c>
      <c r="BC118" s="5">
        <v>13</v>
      </c>
      <c r="BD118" s="5">
        <v>0</v>
      </c>
      <c r="BE118" s="5">
        <v>17</v>
      </c>
      <c r="BF118" s="5">
        <v>0</v>
      </c>
      <c r="BG118" s="5">
        <v>17</v>
      </c>
      <c r="BH118" s="5">
        <v>0</v>
      </c>
      <c r="BI118" s="5">
        <v>11</v>
      </c>
      <c r="BJ118" s="5">
        <v>0</v>
      </c>
      <c r="BK118" s="5">
        <v>13</v>
      </c>
      <c r="BL118" s="5">
        <v>0</v>
      </c>
      <c r="BM118" s="5">
        <v>15</v>
      </c>
      <c r="BN118" s="5">
        <v>0</v>
      </c>
      <c r="BO118" s="5">
        <v>17</v>
      </c>
      <c r="BP118" s="5">
        <v>0</v>
      </c>
      <c r="BQ118" s="5">
        <v>18</v>
      </c>
      <c r="BR118" s="5">
        <v>0</v>
      </c>
      <c r="BS118" s="5">
        <f>CHOOSE(MATCH(Setup!$B$5,{8,10,12,14,16},0)+(MATCH(Setup!$B$7,{"STD","Half-PPR","PPR"},0)-1)*5,AO118,AQ118,AS118,AU118,AW118,AY118,BA118,BC118,BE118,BG118,BI118,BK118,BM118,BO118,BQ118)</f>
        <v>13</v>
      </c>
      <c r="BT118" s="5">
        <f>CHOOSE(MATCH(Setup!$B$5,{8,10,12,14,16},0)+(MATCH(Setup!$B$7,{"STD","Half-PPR","PPR"},0)-1)*5,AP118,AR118,AT118,AV118,AX118,AZ118,BB118,BD118,BF118,BH118,BJ118,BL118,BN118,BP118,BR118)</f>
        <v>0</v>
      </c>
      <c r="BU118" s="5">
        <f>ROUND(1+BT118*'Live Calc'!$D$10,0)</f>
        <v>1</v>
      </c>
      <c r="BV118" s="5"/>
      <c r="BW118" s="5">
        <f>IF(BV118&lt;&gt;"",BV118,ROUND(BU118*INDEX('Live Calc'!$D$29:$D$46,MATCH(BS118,'Live Calc'!$A$29:$A$46,0))*'Live Calc'!$J$89,0))</f>
        <v>1</v>
      </c>
      <c r="BY118" s="6" t="s">
        <v>442</v>
      </c>
      <c r="BZ118" s="6" t="s">
        <v>46</v>
      </c>
      <c r="CA118" s="6">
        <v>14</v>
      </c>
      <c r="CB118" s="6">
        <v>0</v>
      </c>
      <c r="CC118" s="6">
        <v>17</v>
      </c>
      <c r="CD118" s="6">
        <v>0</v>
      </c>
      <c r="CE118" s="6">
        <v>20</v>
      </c>
      <c r="CF118" s="6">
        <v>0</v>
      </c>
      <c r="CG118" s="6">
        <v>19</v>
      </c>
      <c r="CH118" s="6">
        <v>0</v>
      </c>
      <c r="CI118" s="6">
        <v>21</v>
      </c>
      <c r="CJ118" s="6">
        <v>0</v>
      </c>
      <c r="CK118" s="6">
        <v>10</v>
      </c>
      <c r="CL118" s="6">
        <v>0</v>
      </c>
      <c r="CM118" s="6">
        <v>15</v>
      </c>
      <c r="CN118" s="6">
        <v>0</v>
      </c>
      <c r="CO118" s="6">
        <v>15</v>
      </c>
      <c r="CP118" s="6">
        <v>0</v>
      </c>
      <c r="CQ118" s="6">
        <v>16</v>
      </c>
      <c r="CR118" s="6">
        <v>0</v>
      </c>
      <c r="CS118" s="6">
        <v>20</v>
      </c>
      <c r="CT118" s="6">
        <v>0</v>
      </c>
      <c r="CU118" s="6">
        <v>12</v>
      </c>
      <c r="CV118" s="6">
        <v>0</v>
      </c>
      <c r="CW118" s="6">
        <v>12</v>
      </c>
      <c r="CX118" s="6">
        <v>0</v>
      </c>
      <c r="CY118" s="6">
        <v>15</v>
      </c>
      <c r="CZ118" s="6">
        <v>0</v>
      </c>
      <c r="DA118" s="6">
        <v>18</v>
      </c>
      <c r="DB118" s="6">
        <v>0</v>
      </c>
      <c r="DC118" s="6">
        <v>20</v>
      </c>
      <c r="DD118" s="6">
        <v>0</v>
      </c>
      <c r="DE118" s="6">
        <f>CHOOSE(MATCH(Setup!$B$5,{8,10,12,14,16},0)+(MATCH(Setup!$B$7,{"STD","Half-PPR","PPR"},0)-1)*5,CA118,CC118,CE118,CG118,CI118,CK118,CM118,CO118,CQ118,CS118,CU118,CW118,CY118,DA118,DC118)</f>
        <v>15</v>
      </c>
      <c r="DF118" s="6">
        <f>CHOOSE(MATCH(Setup!$B$5,{8,10,12,14,16},0)+(MATCH(Setup!$B$7,{"STD","Half-PPR","PPR"},0)-1)*5,CB118,CD118,CF118,CH118,CJ118,CL118,CN118,CP118,CR118,CT118,CV118,CX118,CZ118,DB118,DD118)</f>
        <v>0</v>
      </c>
      <c r="DG118" s="6">
        <f>ROUND(1+DF118*'Live Calc'!$D$11,0)</f>
        <v>1</v>
      </c>
      <c r="DH118" s="6"/>
      <c r="DI118" s="6">
        <f>IF(DH118&lt;&gt;"",DH118,ROUND(DG118*INDEX('Live Calc'!$D$50:$D$70,MATCH(DE118,'Live Calc'!$A$50:$A$70,0))*'Live Calc'!$J$89,0))</f>
        <v>1</v>
      </c>
    </row>
    <row r="119" spans="39:113" x14ac:dyDescent="0.25">
      <c r="AM119" s="5" t="s">
        <v>443</v>
      </c>
      <c r="AN119" s="5" t="s">
        <v>104</v>
      </c>
      <c r="AO119" s="5">
        <v>9</v>
      </c>
      <c r="AP119" s="5">
        <v>0</v>
      </c>
      <c r="AQ119" s="5">
        <v>10</v>
      </c>
      <c r="AR119" s="5">
        <v>0</v>
      </c>
      <c r="AS119" s="5">
        <v>14</v>
      </c>
      <c r="AT119" s="5">
        <v>0</v>
      </c>
      <c r="AU119" s="5">
        <v>16</v>
      </c>
      <c r="AV119" s="5">
        <v>0</v>
      </c>
      <c r="AW119" s="5">
        <v>16</v>
      </c>
      <c r="AX119" s="5">
        <v>0</v>
      </c>
      <c r="AY119" s="5">
        <v>9</v>
      </c>
      <c r="AZ119" s="5">
        <v>0</v>
      </c>
      <c r="BA119" s="5">
        <v>11</v>
      </c>
      <c r="BB119" s="5">
        <v>0</v>
      </c>
      <c r="BC119" s="5">
        <v>13</v>
      </c>
      <c r="BD119" s="5">
        <v>0</v>
      </c>
      <c r="BE119" s="5">
        <v>17</v>
      </c>
      <c r="BF119" s="5">
        <v>0</v>
      </c>
      <c r="BG119" s="5">
        <v>17</v>
      </c>
      <c r="BH119" s="5">
        <v>0</v>
      </c>
      <c r="BI119" s="5">
        <v>11</v>
      </c>
      <c r="BJ119" s="5">
        <v>0</v>
      </c>
      <c r="BK119" s="5">
        <v>13</v>
      </c>
      <c r="BL119" s="5">
        <v>0</v>
      </c>
      <c r="BM119" s="5">
        <v>15</v>
      </c>
      <c r="BN119" s="5">
        <v>0</v>
      </c>
      <c r="BO119" s="5">
        <v>17</v>
      </c>
      <c r="BP119" s="5">
        <v>0</v>
      </c>
      <c r="BQ119" s="5">
        <v>18</v>
      </c>
      <c r="BR119" s="5">
        <v>0</v>
      </c>
      <c r="BS119" s="5">
        <f>CHOOSE(MATCH(Setup!$B$5,{8,10,12,14,16},0)+(MATCH(Setup!$B$7,{"STD","Half-PPR","PPR"},0)-1)*5,AO119,AQ119,AS119,AU119,AW119,AY119,BA119,BC119,BE119,BG119,BI119,BK119,BM119,BO119,BQ119)</f>
        <v>13</v>
      </c>
      <c r="BT119" s="5">
        <f>CHOOSE(MATCH(Setup!$B$5,{8,10,12,14,16},0)+(MATCH(Setup!$B$7,{"STD","Half-PPR","PPR"},0)-1)*5,AP119,AR119,AT119,AV119,AX119,AZ119,BB119,BD119,BF119,BH119,BJ119,BL119,BN119,BP119,BR119)</f>
        <v>0</v>
      </c>
      <c r="BU119" s="5">
        <f>ROUND(1+BT119*'Live Calc'!$D$10,0)</f>
        <v>1</v>
      </c>
      <c r="BV119" s="5"/>
      <c r="BW119" s="5">
        <f>IF(BV119&lt;&gt;"",BV119,ROUND(BU119*INDEX('Live Calc'!$D$29:$D$46,MATCH(BS119,'Live Calc'!$A$29:$A$46,0))*'Live Calc'!$J$89,0))</f>
        <v>1</v>
      </c>
      <c r="BY119" s="6" t="s">
        <v>444</v>
      </c>
      <c r="BZ119" s="6" t="s">
        <v>62</v>
      </c>
      <c r="CA119" s="6">
        <v>14</v>
      </c>
      <c r="CB119" s="6">
        <v>0</v>
      </c>
      <c r="CC119" s="6">
        <v>17</v>
      </c>
      <c r="CD119" s="6">
        <v>0</v>
      </c>
      <c r="CE119" s="6">
        <v>20</v>
      </c>
      <c r="CF119" s="6">
        <v>0</v>
      </c>
      <c r="CG119" s="6">
        <v>19</v>
      </c>
      <c r="CH119" s="6">
        <v>0</v>
      </c>
      <c r="CI119" s="6">
        <v>21</v>
      </c>
      <c r="CJ119" s="6">
        <v>0</v>
      </c>
      <c r="CK119" s="6">
        <v>10</v>
      </c>
      <c r="CL119" s="6">
        <v>0</v>
      </c>
      <c r="CM119" s="6">
        <v>15</v>
      </c>
      <c r="CN119" s="6">
        <v>0</v>
      </c>
      <c r="CO119" s="6">
        <v>15</v>
      </c>
      <c r="CP119" s="6">
        <v>0</v>
      </c>
      <c r="CQ119" s="6">
        <v>16</v>
      </c>
      <c r="CR119" s="6">
        <v>0</v>
      </c>
      <c r="CS119" s="6">
        <v>20</v>
      </c>
      <c r="CT119" s="6">
        <v>0</v>
      </c>
      <c r="CU119" s="6">
        <v>12</v>
      </c>
      <c r="CV119" s="6">
        <v>0</v>
      </c>
      <c r="CW119" s="6">
        <v>12</v>
      </c>
      <c r="CX119" s="6">
        <v>0</v>
      </c>
      <c r="CY119" s="6">
        <v>15</v>
      </c>
      <c r="CZ119" s="6">
        <v>0</v>
      </c>
      <c r="DA119" s="6">
        <v>18</v>
      </c>
      <c r="DB119" s="6">
        <v>0</v>
      </c>
      <c r="DC119" s="6">
        <v>20</v>
      </c>
      <c r="DD119" s="6">
        <v>0</v>
      </c>
      <c r="DE119" s="6">
        <f>CHOOSE(MATCH(Setup!$B$5,{8,10,12,14,16},0)+(MATCH(Setup!$B$7,{"STD","Half-PPR","PPR"},0)-1)*5,CA119,CC119,CE119,CG119,CI119,CK119,CM119,CO119,CQ119,CS119,CU119,CW119,CY119,DA119,DC119)</f>
        <v>15</v>
      </c>
      <c r="DF119" s="6">
        <f>CHOOSE(MATCH(Setup!$B$5,{8,10,12,14,16},0)+(MATCH(Setup!$B$7,{"STD","Half-PPR","PPR"},0)-1)*5,CB119,CD119,CF119,CH119,CJ119,CL119,CN119,CP119,CR119,CT119,CV119,CX119,CZ119,DB119,DD119)</f>
        <v>0</v>
      </c>
      <c r="DG119" s="6">
        <f>ROUND(1+DF119*'Live Calc'!$D$11,0)</f>
        <v>1</v>
      </c>
      <c r="DH119" s="6"/>
      <c r="DI119" s="6">
        <f>IF(DH119&lt;&gt;"",DH119,ROUND(DG119*INDEX('Live Calc'!$D$50:$D$70,MATCH(DE119,'Live Calc'!$A$50:$A$70,0))*'Live Calc'!$J$89,0))</f>
        <v>1</v>
      </c>
    </row>
    <row r="120" spans="39:113" x14ac:dyDescent="0.25">
      <c r="AM120" s="5" t="s">
        <v>445</v>
      </c>
      <c r="AN120" s="5" t="s">
        <v>56</v>
      </c>
      <c r="AO120" s="5">
        <v>9</v>
      </c>
      <c r="AP120" s="5">
        <v>0</v>
      </c>
      <c r="AQ120" s="5">
        <v>10</v>
      </c>
      <c r="AR120" s="5">
        <v>0</v>
      </c>
      <c r="AS120" s="5">
        <v>14</v>
      </c>
      <c r="AT120" s="5">
        <v>0</v>
      </c>
      <c r="AU120" s="5">
        <v>16</v>
      </c>
      <c r="AV120" s="5">
        <v>0</v>
      </c>
      <c r="AW120" s="5">
        <v>16</v>
      </c>
      <c r="AX120" s="5">
        <v>0</v>
      </c>
      <c r="AY120" s="5">
        <v>9</v>
      </c>
      <c r="AZ120" s="5">
        <v>0</v>
      </c>
      <c r="BA120" s="5">
        <v>11</v>
      </c>
      <c r="BB120" s="5">
        <v>0</v>
      </c>
      <c r="BC120" s="5">
        <v>13</v>
      </c>
      <c r="BD120" s="5">
        <v>0</v>
      </c>
      <c r="BE120" s="5">
        <v>17</v>
      </c>
      <c r="BF120" s="5">
        <v>0</v>
      </c>
      <c r="BG120" s="5">
        <v>17</v>
      </c>
      <c r="BH120" s="5">
        <v>0</v>
      </c>
      <c r="BI120" s="5">
        <v>11</v>
      </c>
      <c r="BJ120" s="5">
        <v>0</v>
      </c>
      <c r="BK120" s="5">
        <v>13</v>
      </c>
      <c r="BL120" s="5">
        <v>0</v>
      </c>
      <c r="BM120" s="5">
        <v>15</v>
      </c>
      <c r="BN120" s="5">
        <v>0</v>
      </c>
      <c r="BO120" s="5">
        <v>17</v>
      </c>
      <c r="BP120" s="5">
        <v>0</v>
      </c>
      <c r="BQ120" s="5">
        <v>18</v>
      </c>
      <c r="BR120" s="5">
        <v>0</v>
      </c>
      <c r="BS120" s="5">
        <f>CHOOSE(MATCH(Setup!$B$5,{8,10,12,14,16},0)+(MATCH(Setup!$B$7,{"STD","Half-PPR","PPR"},0)-1)*5,AO120,AQ120,AS120,AU120,AW120,AY120,BA120,BC120,BE120,BG120,BI120,BK120,BM120,BO120,BQ120)</f>
        <v>13</v>
      </c>
      <c r="BT120" s="5">
        <f>CHOOSE(MATCH(Setup!$B$5,{8,10,12,14,16},0)+(MATCH(Setup!$B$7,{"STD","Half-PPR","PPR"},0)-1)*5,AP120,AR120,AT120,AV120,AX120,AZ120,BB120,BD120,BF120,BH120,BJ120,BL120,BN120,BP120,BR120)</f>
        <v>0</v>
      </c>
      <c r="BU120" s="5">
        <f>ROUND(1+BT120*'Live Calc'!$D$10,0)</f>
        <v>1</v>
      </c>
      <c r="BV120" s="5"/>
      <c r="BW120" s="5">
        <f>IF(BV120&lt;&gt;"",BV120,ROUND(BU120*INDEX('Live Calc'!$D$29:$D$46,MATCH(BS120,'Live Calc'!$A$29:$A$46,0))*'Live Calc'!$J$89,0))</f>
        <v>1</v>
      </c>
      <c r="BY120" s="6" t="s">
        <v>446</v>
      </c>
      <c r="BZ120" s="6" t="s">
        <v>62</v>
      </c>
      <c r="CA120" s="6">
        <v>14</v>
      </c>
      <c r="CB120" s="6">
        <v>0</v>
      </c>
      <c r="CC120" s="6">
        <v>17</v>
      </c>
      <c r="CD120" s="6">
        <v>0</v>
      </c>
      <c r="CE120" s="6">
        <v>20</v>
      </c>
      <c r="CF120" s="6">
        <v>0</v>
      </c>
      <c r="CG120" s="6">
        <v>19</v>
      </c>
      <c r="CH120" s="6">
        <v>0</v>
      </c>
      <c r="CI120" s="6">
        <v>21</v>
      </c>
      <c r="CJ120" s="6">
        <v>0</v>
      </c>
      <c r="CK120" s="6">
        <v>10</v>
      </c>
      <c r="CL120" s="6">
        <v>0</v>
      </c>
      <c r="CM120" s="6">
        <v>15</v>
      </c>
      <c r="CN120" s="6">
        <v>0</v>
      </c>
      <c r="CO120" s="6">
        <v>15</v>
      </c>
      <c r="CP120" s="6">
        <v>0</v>
      </c>
      <c r="CQ120" s="6">
        <v>16</v>
      </c>
      <c r="CR120" s="6">
        <v>0</v>
      </c>
      <c r="CS120" s="6">
        <v>20</v>
      </c>
      <c r="CT120" s="6">
        <v>0</v>
      </c>
      <c r="CU120" s="6">
        <v>12</v>
      </c>
      <c r="CV120" s="6">
        <v>0</v>
      </c>
      <c r="CW120" s="6">
        <v>12</v>
      </c>
      <c r="CX120" s="6">
        <v>0</v>
      </c>
      <c r="CY120" s="6">
        <v>15</v>
      </c>
      <c r="CZ120" s="6">
        <v>0</v>
      </c>
      <c r="DA120" s="6">
        <v>18</v>
      </c>
      <c r="DB120" s="6">
        <v>0</v>
      </c>
      <c r="DC120" s="6">
        <v>20</v>
      </c>
      <c r="DD120" s="6">
        <v>0</v>
      </c>
      <c r="DE120" s="6">
        <f>CHOOSE(MATCH(Setup!$B$5,{8,10,12,14,16},0)+(MATCH(Setup!$B$7,{"STD","Half-PPR","PPR"},0)-1)*5,CA120,CC120,CE120,CG120,CI120,CK120,CM120,CO120,CQ120,CS120,CU120,CW120,CY120,DA120,DC120)</f>
        <v>15</v>
      </c>
      <c r="DF120" s="6">
        <f>CHOOSE(MATCH(Setup!$B$5,{8,10,12,14,16},0)+(MATCH(Setup!$B$7,{"STD","Half-PPR","PPR"},0)-1)*5,CB120,CD120,CF120,CH120,CJ120,CL120,CN120,CP120,CR120,CT120,CV120,CX120,CZ120,DB120,DD120)</f>
        <v>0</v>
      </c>
      <c r="DG120" s="6">
        <f>ROUND(1+DF120*'Live Calc'!$D$11,0)</f>
        <v>1</v>
      </c>
      <c r="DH120" s="6"/>
      <c r="DI120" s="6">
        <f>IF(DH120&lt;&gt;"",DH120,ROUND(DG120*INDEX('Live Calc'!$D$50:$D$70,MATCH(DE120,'Live Calc'!$A$50:$A$70,0))*'Live Calc'!$J$89,0))</f>
        <v>1</v>
      </c>
    </row>
    <row r="121" spans="39:113" x14ac:dyDescent="0.25">
      <c r="AM121" s="5" t="s">
        <v>447</v>
      </c>
      <c r="AN121" s="5" t="s">
        <v>76</v>
      </c>
      <c r="AO121" s="5">
        <v>9</v>
      </c>
      <c r="AP121" s="5">
        <v>0</v>
      </c>
      <c r="AQ121" s="5">
        <v>10</v>
      </c>
      <c r="AR121" s="5">
        <v>0</v>
      </c>
      <c r="AS121" s="5">
        <v>14</v>
      </c>
      <c r="AT121" s="5">
        <v>0</v>
      </c>
      <c r="AU121" s="5">
        <v>16</v>
      </c>
      <c r="AV121" s="5">
        <v>0</v>
      </c>
      <c r="AW121" s="5">
        <v>16</v>
      </c>
      <c r="AX121" s="5">
        <v>0</v>
      </c>
      <c r="AY121" s="5">
        <v>9</v>
      </c>
      <c r="AZ121" s="5">
        <v>0</v>
      </c>
      <c r="BA121" s="5">
        <v>11</v>
      </c>
      <c r="BB121" s="5">
        <v>0</v>
      </c>
      <c r="BC121" s="5">
        <v>13</v>
      </c>
      <c r="BD121" s="5">
        <v>0</v>
      </c>
      <c r="BE121" s="5">
        <v>17</v>
      </c>
      <c r="BF121" s="5">
        <v>0</v>
      </c>
      <c r="BG121" s="5">
        <v>17</v>
      </c>
      <c r="BH121" s="5">
        <v>0</v>
      </c>
      <c r="BI121" s="5">
        <v>11</v>
      </c>
      <c r="BJ121" s="5">
        <v>0</v>
      </c>
      <c r="BK121" s="5">
        <v>13</v>
      </c>
      <c r="BL121" s="5">
        <v>0</v>
      </c>
      <c r="BM121" s="5">
        <v>15</v>
      </c>
      <c r="BN121" s="5">
        <v>0</v>
      </c>
      <c r="BO121" s="5">
        <v>17</v>
      </c>
      <c r="BP121" s="5">
        <v>0</v>
      </c>
      <c r="BQ121" s="5">
        <v>18</v>
      </c>
      <c r="BR121" s="5">
        <v>0</v>
      </c>
      <c r="BS121" s="5">
        <f>CHOOSE(MATCH(Setup!$B$5,{8,10,12,14,16},0)+(MATCH(Setup!$B$7,{"STD","Half-PPR","PPR"},0)-1)*5,AO121,AQ121,AS121,AU121,AW121,AY121,BA121,BC121,BE121,BG121,BI121,BK121,BM121,BO121,BQ121)</f>
        <v>13</v>
      </c>
      <c r="BT121" s="5">
        <f>CHOOSE(MATCH(Setup!$B$5,{8,10,12,14,16},0)+(MATCH(Setup!$B$7,{"STD","Half-PPR","PPR"},0)-1)*5,AP121,AR121,AT121,AV121,AX121,AZ121,BB121,BD121,BF121,BH121,BJ121,BL121,BN121,BP121,BR121)</f>
        <v>0</v>
      </c>
      <c r="BU121" s="5">
        <f>ROUND(1+BT121*'Live Calc'!$D$10,0)</f>
        <v>1</v>
      </c>
      <c r="BV121" s="5"/>
      <c r="BW121" s="5">
        <f>IF(BV121&lt;&gt;"",BV121,ROUND(BU121*INDEX('Live Calc'!$D$29:$D$46,MATCH(BS121,'Live Calc'!$A$29:$A$46,0))*'Live Calc'!$J$89,0))</f>
        <v>1</v>
      </c>
      <c r="BY121" s="6" t="s">
        <v>448</v>
      </c>
      <c r="BZ121" s="6" t="s">
        <v>46</v>
      </c>
      <c r="CA121" s="6">
        <v>14</v>
      </c>
      <c r="CB121" s="6">
        <v>0</v>
      </c>
      <c r="CC121" s="6">
        <v>17</v>
      </c>
      <c r="CD121" s="6">
        <v>0</v>
      </c>
      <c r="CE121" s="6">
        <v>20</v>
      </c>
      <c r="CF121" s="6">
        <v>0</v>
      </c>
      <c r="CG121" s="6">
        <v>19</v>
      </c>
      <c r="CH121" s="6">
        <v>0</v>
      </c>
      <c r="CI121" s="6">
        <v>21</v>
      </c>
      <c r="CJ121" s="6">
        <v>0</v>
      </c>
      <c r="CK121" s="6">
        <v>10</v>
      </c>
      <c r="CL121" s="6">
        <v>0</v>
      </c>
      <c r="CM121" s="6">
        <v>15</v>
      </c>
      <c r="CN121" s="6">
        <v>0</v>
      </c>
      <c r="CO121" s="6">
        <v>15</v>
      </c>
      <c r="CP121" s="6">
        <v>0</v>
      </c>
      <c r="CQ121" s="6">
        <v>16</v>
      </c>
      <c r="CR121" s="6">
        <v>0</v>
      </c>
      <c r="CS121" s="6">
        <v>20</v>
      </c>
      <c r="CT121" s="6">
        <v>0</v>
      </c>
      <c r="CU121" s="6">
        <v>12</v>
      </c>
      <c r="CV121" s="6">
        <v>0</v>
      </c>
      <c r="CW121" s="6">
        <v>12</v>
      </c>
      <c r="CX121" s="6">
        <v>0</v>
      </c>
      <c r="CY121" s="6">
        <v>15</v>
      </c>
      <c r="CZ121" s="6">
        <v>0</v>
      </c>
      <c r="DA121" s="6">
        <v>18</v>
      </c>
      <c r="DB121" s="6">
        <v>0</v>
      </c>
      <c r="DC121" s="6">
        <v>20</v>
      </c>
      <c r="DD121" s="6">
        <v>0</v>
      </c>
      <c r="DE121" s="6">
        <f>CHOOSE(MATCH(Setup!$B$5,{8,10,12,14,16},0)+(MATCH(Setup!$B$7,{"STD","Half-PPR","PPR"},0)-1)*5,CA121,CC121,CE121,CG121,CI121,CK121,CM121,CO121,CQ121,CS121,CU121,CW121,CY121,DA121,DC121)</f>
        <v>15</v>
      </c>
      <c r="DF121" s="6">
        <f>CHOOSE(MATCH(Setup!$B$5,{8,10,12,14,16},0)+(MATCH(Setup!$B$7,{"STD","Half-PPR","PPR"},0)-1)*5,CB121,CD121,CF121,CH121,CJ121,CL121,CN121,CP121,CR121,CT121,CV121,CX121,CZ121,DB121,DD121)</f>
        <v>0</v>
      </c>
      <c r="DG121" s="6">
        <f>ROUND(1+DF121*'Live Calc'!$D$11,0)</f>
        <v>1</v>
      </c>
      <c r="DH121" s="6"/>
      <c r="DI121" s="6">
        <f>IF(DH121&lt;&gt;"",DH121,ROUND(DG121*INDEX('Live Calc'!$D$50:$D$70,MATCH(DE121,'Live Calc'!$A$50:$A$70,0))*'Live Calc'!$J$89,0))</f>
        <v>1</v>
      </c>
    </row>
    <row r="122" spans="39:113" x14ac:dyDescent="0.25">
      <c r="AM122" s="5" t="s">
        <v>449</v>
      </c>
      <c r="AN122" s="5" t="s">
        <v>177</v>
      </c>
      <c r="AO122" s="5">
        <v>9</v>
      </c>
      <c r="AP122" s="5">
        <v>0</v>
      </c>
      <c r="AQ122" s="5">
        <v>10</v>
      </c>
      <c r="AR122" s="5">
        <v>0</v>
      </c>
      <c r="AS122" s="5">
        <v>14</v>
      </c>
      <c r="AT122" s="5">
        <v>0</v>
      </c>
      <c r="AU122" s="5">
        <v>16</v>
      </c>
      <c r="AV122" s="5">
        <v>0</v>
      </c>
      <c r="AW122" s="5">
        <v>16</v>
      </c>
      <c r="AX122" s="5">
        <v>0</v>
      </c>
      <c r="AY122" s="5">
        <v>9</v>
      </c>
      <c r="AZ122" s="5">
        <v>0</v>
      </c>
      <c r="BA122" s="5">
        <v>11</v>
      </c>
      <c r="BB122" s="5">
        <v>0</v>
      </c>
      <c r="BC122" s="5">
        <v>13</v>
      </c>
      <c r="BD122" s="5">
        <v>0</v>
      </c>
      <c r="BE122" s="5">
        <v>17</v>
      </c>
      <c r="BF122" s="5">
        <v>0</v>
      </c>
      <c r="BG122" s="5">
        <v>17</v>
      </c>
      <c r="BH122" s="5">
        <v>0</v>
      </c>
      <c r="BI122" s="5">
        <v>11</v>
      </c>
      <c r="BJ122" s="5">
        <v>0</v>
      </c>
      <c r="BK122" s="5">
        <v>13</v>
      </c>
      <c r="BL122" s="5">
        <v>0</v>
      </c>
      <c r="BM122" s="5">
        <v>15</v>
      </c>
      <c r="BN122" s="5">
        <v>0</v>
      </c>
      <c r="BO122" s="5">
        <v>17</v>
      </c>
      <c r="BP122" s="5">
        <v>0</v>
      </c>
      <c r="BQ122" s="5">
        <v>18</v>
      </c>
      <c r="BR122" s="5">
        <v>0</v>
      </c>
      <c r="BS122" s="5">
        <f>CHOOSE(MATCH(Setup!$B$5,{8,10,12,14,16},0)+(MATCH(Setup!$B$7,{"STD","Half-PPR","PPR"},0)-1)*5,AO122,AQ122,AS122,AU122,AW122,AY122,BA122,BC122,BE122,BG122,BI122,BK122,BM122,BO122,BQ122)</f>
        <v>13</v>
      </c>
      <c r="BT122" s="5">
        <f>CHOOSE(MATCH(Setup!$B$5,{8,10,12,14,16},0)+(MATCH(Setup!$B$7,{"STD","Half-PPR","PPR"},0)-1)*5,AP122,AR122,AT122,AV122,AX122,AZ122,BB122,BD122,BF122,BH122,BJ122,BL122,BN122,BP122,BR122)</f>
        <v>0</v>
      </c>
      <c r="BU122" s="5">
        <f>ROUND(1+BT122*'Live Calc'!$D$10,0)</f>
        <v>1</v>
      </c>
      <c r="BV122" s="5"/>
      <c r="BW122" s="5">
        <f>IF(BV122&lt;&gt;"",BV122,ROUND(BU122*INDEX('Live Calc'!$D$29:$D$46,MATCH(BS122,'Live Calc'!$A$29:$A$46,0))*'Live Calc'!$J$89,0))</f>
        <v>1</v>
      </c>
      <c r="BY122" s="6" t="s">
        <v>450</v>
      </c>
      <c r="BZ122" s="6" t="s">
        <v>62</v>
      </c>
      <c r="CA122" s="6">
        <v>14</v>
      </c>
      <c r="CB122" s="6">
        <v>0</v>
      </c>
      <c r="CC122" s="6">
        <v>17</v>
      </c>
      <c r="CD122" s="6">
        <v>0</v>
      </c>
      <c r="CE122" s="6">
        <v>20</v>
      </c>
      <c r="CF122" s="6">
        <v>0</v>
      </c>
      <c r="CG122" s="6">
        <v>19</v>
      </c>
      <c r="CH122" s="6">
        <v>0</v>
      </c>
      <c r="CI122" s="6">
        <v>21</v>
      </c>
      <c r="CJ122" s="6">
        <v>0</v>
      </c>
      <c r="CK122" s="6">
        <v>10</v>
      </c>
      <c r="CL122" s="6">
        <v>0</v>
      </c>
      <c r="CM122" s="6">
        <v>15</v>
      </c>
      <c r="CN122" s="6">
        <v>0</v>
      </c>
      <c r="CO122" s="6">
        <v>15</v>
      </c>
      <c r="CP122" s="6">
        <v>0</v>
      </c>
      <c r="CQ122" s="6">
        <v>16</v>
      </c>
      <c r="CR122" s="6">
        <v>0</v>
      </c>
      <c r="CS122" s="6">
        <v>20</v>
      </c>
      <c r="CT122" s="6">
        <v>0</v>
      </c>
      <c r="CU122" s="6">
        <v>12</v>
      </c>
      <c r="CV122" s="6">
        <v>0</v>
      </c>
      <c r="CW122" s="6">
        <v>12</v>
      </c>
      <c r="CX122" s="6">
        <v>0</v>
      </c>
      <c r="CY122" s="6">
        <v>15</v>
      </c>
      <c r="CZ122" s="6">
        <v>0</v>
      </c>
      <c r="DA122" s="6">
        <v>18</v>
      </c>
      <c r="DB122" s="6">
        <v>0</v>
      </c>
      <c r="DC122" s="6">
        <v>20</v>
      </c>
      <c r="DD122" s="6">
        <v>0</v>
      </c>
      <c r="DE122" s="6">
        <f>CHOOSE(MATCH(Setup!$B$5,{8,10,12,14,16},0)+(MATCH(Setup!$B$7,{"STD","Half-PPR","PPR"},0)-1)*5,CA122,CC122,CE122,CG122,CI122,CK122,CM122,CO122,CQ122,CS122,CU122,CW122,CY122,DA122,DC122)</f>
        <v>15</v>
      </c>
      <c r="DF122" s="6">
        <f>CHOOSE(MATCH(Setup!$B$5,{8,10,12,14,16},0)+(MATCH(Setup!$B$7,{"STD","Half-PPR","PPR"},0)-1)*5,CB122,CD122,CF122,CH122,CJ122,CL122,CN122,CP122,CR122,CT122,CV122,CX122,CZ122,DB122,DD122)</f>
        <v>0</v>
      </c>
      <c r="DG122" s="6">
        <f>ROUND(1+DF122*'Live Calc'!$D$11,0)</f>
        <v>1</v>
      </c>
      <c r="DH122" s="6"/>
      <c r="DI122" s="6">
        <f>IF(DH122&lt;&gt;"",DH122,ROUND(DG122*INDEX('Live Calc'!$D$50:$D$70,MATCH(DE122,'Live Calc'!$A$50:$A$70,0))*'Live Calc'!$J$89,0))</f>
        <v>1</v>
      </c>
    </row>
    <row r="123" spans="39:113" x14ac:dyDescent="0.25">
      <c r="AM123" s="5" t="s">
        <v>451</v>
      </c>
      <c r="AN123" s="5" t="s">
        <v>124</v>
      </c>
      <c r="AO123" s="5">
        <v>9</v>
      </c>
      <c r="AP123" s="5">
        <v>0</v>
      </c>
      <c r="AQ123" s="5">
        <v>10</v>
      </c>
      <c r="AR123" s="5">
        <v>0</v>
      </c>
      <c r="AS123" s="5">
        <v>14</v>
      </c>
      <c r="AT123" s="5">
        <v>0</v>
      </c>
      <c r="AU123" s="5">
        <v>16</v>
      </c>
      <c r="AV123" s="5">
        <v>0</v>
      </c>
      <c r="AW123" s="5">
        <v>16</v>
      </c>
      <c r="AX123" s="5">
        <v>0</v>
      </c>
      <c r="AY123" s="5">
        <v>9</v>
      </c>
      <c r="AZ123" s="5">
        <v>0</v>
      </c>
      <c r="BA123" s="5">
        <v>11</v>
      </c>
      <c r="BB123" s="5">
        <v>0</v>
      </c>
      <c r="BC123" s="5">
        <v>13</v>
      </c>
      <c r="BD123" s="5">
        <v>0</v>
      </c>
      <c r="BE123" s="5">
        <v>17</v>
      </c>
      <c r="BF123" s="5">
        <v>0</v>
      </c>
      <c r="BG123" s="5">
        <v>17</v>
      </c>
      <c r="BH123" s="5">
        <v>0</v>
      </c>
      <c r="BI123" s="5">
        <v>11</v>
      </c>
      <c r="BJ123" s="5">
        <v>0</v>
      </c>
      <c r="BK123" s="5">
        <v>13</v>
      </c>
      <c r="BL123" s="5">
        <v>0</v>
      </c>
      <c r="BM123" s="5">
        <v>15</v>
      </c>
      <c r="BN123" s="5">
        <v>0</v>
      </c>
      <c r="BO123" s="5">
        <v>17</v>
      </c>
      <c r="BP123" s="5">
        <v>0</v>
      </c>
      <c r="BQ123" s="5">
        <v>18</v>
      </c>
      <c r="BR123" s="5">
        <v>0</v>
      </c>
      <c r="BS123" s="5">
        <f>CHOOSE(MATCH(Setup!$B$5,{8,10,12,14,16},0)+(MATCH(Setup!$B$7,{"STD","Half-PPR","PPR"},0)-1)*5,AO123,AQ123,AS123,AU123,AW123,AY123,BA123,BC123,BE123,BG123,BI123,BK123,BM123,BO123,BQ123)</f>
        <v>13</v>
      </c>
      <c r="BT123" s="5">
        <f>CHOOSE(MATCH(Setup!$B$5,{8,10,12,14,16},0)+(MATCH(Setup!$B$7,{"STD","Half-PPR","PPR"},0)-1)*5,AP123,AR123,AT123,AV123,AX123,AZ123,BB123,BD123,BF123,BH123,BJ123,BL123,BN123,BP123,BR123)</f>
        <v>0</v>
      </c>
      <c r="BU123" s="5">
        <f>ROUND(1+BT123*'Live Calc'!$D$10,0)</f>
        <v>1</v>
      </c>
      <c r="BV123" s="5"/>
      <c r="BW123" s="5">
        <f>IF(BV123&lt;&gt;"",BV123,ROUND(BU123*INDEX('Live Calc'!$D$29:$D$46,MATCH(BS123,'Live Calc'!$A$29:$A$46,0))*'Live Calc'!$J$89,0))</f>
        <v>1</v>
      </c>
      <c r="BY123" s="6" t="s">
        <v>452</v>
      </c>
      <c r="BZ123" s="6" t="s">
        <v>145</v>
      </c>
      <c r="CA123" s="6">
        <v>14</v>
      </c>
      <c r="CB123" s="6">
        <v>0</v>
      </c>
      <c r="CC123" s="6">
        <v>17</v>
      </c>
      <c r="CD123" s="6">
        <v>0</v>
      </c>
      <c r="CE123" s="6">
        <v>20</v>
      </c>
      <c r="CF123" s="6">
        <v>0</v>
      </c>
      <c r="CG123" s="6">
        <v>19</v>
      </c>
      <c r="CH123" s="6">
        <v>0</v>
      </c>
      <c r="CI123" s="6">
        <v>21</v>
      </c>
      <c r="CJ123" s="6">
        <v>0</v>
      </c>
      <c r="CK123" s="6">
        <v>10</v>
      </c>
      <c r="CL123" s="6">
        <v>0</v>
      </c>
      <c r="CM123" s="6">
        <v>15</v>
      </c>
      <c r="CN123" s="6">
        <v>0</v>
      </c>
      <c r="CO123" s="6">
        <v>15</v>
      </c>
      <c r="CP123" s="6">
        <v>0</v>
      </c>
      <c r="CQ123" s="6">
        <v>16</v>
      </c>
      <c r="CR123" s="6">
        <v>0</v>
      </c>
      <c r="CS123" s="6">
        <v>20</v>
      </c>
      <c r="CT123" s="6">
        <v>0</v>
      </c>
      <c r="CU123" s="6">
        <v>12</v>
      </c>
      <c r="CV123" s="6">
        <v>0</v>
      </c>
      <c r="CW123" s="6">
        <v>12</v>
      </c>
      <c r="CX123" s="6">
        <v>0</v>
      </c>
      <c r="CY123" s="6">
        <v>15</v>
      </c>
      <c r="CZ123" s="6">
        <v>0</v>
      </c>
      <c r="DA123" s="6">
        <v>18</v>
      </c>
      <c r="DB123" s="6">
        <v>0</v>
      </c>
      <c r="DC123" s="6">
        <v>20</v>
      </c>
      <c r="DD123" s="6">
        <v>0</v>
      </c>
      <c r="DE123" s="6">
        <f>CHOOSE(MATCH(Setup!$B$5,{8,10,12,14,16},0)+(MATCH(Setup!$B$7,{"STD","Half-PPR","PPR"},0)-1)*5,CA123,CC123,CE123,CG123,CI123,CK123,CM123,CO123,CQ123,CS123,CU123,CW123,CY123,DA123,DC123)</f>
        <v>15</v>
      </c>
      <c r="DF123" s="6">
        <f>CHOOSE(MATCH(Setup!$B$5,{8,10,12,14,16},0)+(MATCH(Setup!$B$7,{"STD","Half-PPR","PPR"},0)-1)*5,CB123,CD123,CF123,CH123,CJ123,CL123,CN123,CP123,CR123,CT123,CV123,CX123,CZ123,DB123,DD123)</f>
        <v>0</v>
      </c>
      <c r="DG123" s="6">
        <f>ROUND(1+DF123*'Live Calc'!$D$11,0)</f>
        <v>1</v>
      </c>
      <c r="DH123" s="6"/>
      <c r="DI123" s="6">
        <f>IF(DH123&lt;&gt;"",DH123,ROUND(DG123*INDEX('Live Calc'!$D$50:$D$70,MATCH(DE123,'Live Calc'!$A$50:$A$70,0))*'Live Calc'!$J$89,0))</f>
        <v>1</v>
      </c>
    </row>
    <row r="124" spans="39:113" x14ac:dyDescent="0.25">
      <c r="AM124" s="5" t="s">
        <v>453</v>
      </c>
      <c r="AN124" s="5" t="s">
        <v>50</v>
      </c>
      <c r="AO124" s="5">
        <v>9</v>
      </c>
      <c r="AP124" s="5">
        <v>0</v>
      </c>
      <c r="AQ124" s="5">
        <v>10</v>
      </c>
      <c r="AR124" s="5">
        <v>0</v>
      </c>
      <c r="AS124" s="5">
        <v>14</v>
      </c>
      <c r="AT124" s="5">
        <v>0</v>
      </c>
      <c r="AU124" s="5">
        <v>16</v>
      </c>
      <c r="AV124" s="5">
        <v>0</v>
      </c>
      <c r="AW124" s="5">
        <v>16</v>
      </c>
      <c r="AX124" s="5">
        <v>0</v>
      </c>
      <c r="AY124" s="5">
        <v>9</v>
      </c>
      <c r="AZ124" s="5">
        <v>0</v>
      </c>
      <c r="BA124" s="5">
        <v>11</v>
      </c>
      <c r="BB124" s="5">
        <v>0</v>
      </c>
      <c r="BC124" s="5">
        <v>13</v>
      </c>
      <c r="BD124" s="5">
        <v>0</v>
      </c>
      <c r="BE124" s="5">
        <v>17</v>
      </c>
      <c r="BF124" s="5">
        <v>0</v>
      </c>
      <c r="BG124" s="5">
        <v>17</v>
      </c>
      <c r="BH124" s="5">
        <v>0</v>
      </c>
      <c r="BI124" s="5">
        <v>11</v>
      </c>
      <c r="BJ124" s="5">
        <v>0</v>
      </c>
      <c r="BK124" s="5">
        <v>13</v>
      </c>
      <c r="BL124" s="5">
        <v>0</v>
      </c>
      <c r="BM124" s="5">
        <v>15</v>
      </c>
      <c r="BN124" s="5">
        <v>0</v>
      </c>
      <c r="BO124" s="5">
        <v>17</v>
      </c>
      <c r="BP124" s="5">
        <v>0</v>
      </c>
      <c r="BQ124" s="5">
        <v>18</v>
      </c>
      <c r="BR124" s="5">
        <v>0</v>
      </c>
      <c r="BS124" s="5">
        <f>CHOOSE(MATCH(Setup!$B$5,{8,10,12,14,16},0)+(MATCH(Setup!$B$7,{"STD","Half-PPR","PPR"},0)-1)*5,AO124,AQ124,AS124,AU124,AW124,AY124,BA124,BC124,BE124,BG124,BI124,BK124,BM124,BO124,BQ124)</f>
        <v>13</v>
      </c>
      <c r="BT124" s="5">
        <f>CHOOSE(MATCH(Setup!$B$5,{8,10,12,14,16},0)+(MATCH(Setup!$B$7,{"STD","Half-PPR","PPR"},0)-1)*5,AP124,AR124,AT124,AV124,AX124,AZ124,BB124,BD124,BF124,BH124,BJ124,BL124,BN124,BP124,BR124)</f>
        <v>0</v>
      </c>
      <c r="BU124" s="5">
        <f>ROUND(1+BT124*'Live Calc'!$D$10,0)</f>
        <v>1</v>
      </c>
      <c r="BV124" s="5"/>
      <c r="BW124" s="5">
        <f>IF(BV124&lt;&gt;"",BV124,ROUND(BU124*INDEX('Live Calc'!$D$29:$D$46,MATCH(BS124,'Live Calc'!$A$29:$A$46,0))*'Live Calc'!$J$89,0))</f>
        <v>1</v>
      </c>
      <c r="BY124" s="6" t="s">
        <v>454</v>
      </c>
      <c r="BZ124" s="6" t="s">
        <v>110</v>
      </c>
      <c r="CA124" s="6">
        <v>14</v>
      </c>
      <c r="CB124" s="6">
        <v>0</v>
      </c>
      <c r="CC124" s="6">
        <v>17</v>
      </c>
      <c r="CD124" s="6">
        <v>0</v>
      </c>
      <c r="CE124" s="6">
        <v>20</v>
      </c>
      <c r="CF124" s="6">
        <v>0</v>
      </c>
      <c r="CG124" s="6">
        <v>19</v>
      </c>
      <c r="CH124" s="6">
        <v>0</v>
      </c>
      <c r="CI124" s="6">
        <v>21</v>
      </c>
      <c r="CJ124" s="6">
        <v>0</v>
      </c>
      <c r="CK124" s="6">
        <v>10</v>
      </c>
      <c r="CL124" s="6">
        <v>0</v>
      </c>
      <c r="CM124" s="6">
        <v>15</v>
      </c>
      <c r="CN124" s="6">
        <v>0</v>
      </c>
      <c r="CO124" s="6">
        <v>15</v>
      </c>
      <c r="CP124" s="6">
        <v>0</v>
      </c>
      <c r="CQ124" s="6">
        <v>16</v>
      </c>
      <c r="CR124" s="6">
        <v>0</v>
      </c>
      <c r="CS124" s="6">
        <v>20</v>
      </c>
      <c r="CT124" s="6">
        <v>0</v>
      </c>
      <c r="CU124" s="6">
        <v>12</v>
      </c>
      <c r="CV124" s="6">
        <v>0</v>
      </c>
      <c r="CW124" s="6">
        <v>12</v>
      </c>
      <c r="CX124" s="6">
        <v>0</v>
      </c>
      <c r="CY124" s="6">
        <v>15</v>
      </c>
      <c r="CZ124" s="6">
        <v>0</v>
      </c>
      <c r="DA124" s="6">
        <v>18</v>
      </c>
      <c r="DB124" s="6">
        <v>0</v>
      </c>
      <c r="DC124" s="6">
        <v>20</v>
      </c>
      <c r="DD124" s="6">
        <v>0</v>
      </c>
      <c r="DE124" s="6">
        <f>CHOOSE(MATCH(Setup!$B$5,{8,10,12,14,16},0)+(MATCH(Setup!$B$7,{"STD","Half-PPR","PPR"},0)-1)*5,CA124,CC124,CE124,CG124,CI124,CK124,CM124,CO124,CQ124,CS124,CU124,CW124,CY124,DA124,DC124)</f>
        <v>15</v>
      </c>
      <c r="DF124" s="6">
        <f>CHOOSE(MATCH(Setup!$B$5,{8,10,12,14,16},0)+(MATCH(Setup!$B$7,{"STD","Half-PPR","PPR"},0)-1)*5,CB124,CD124,CF124,CH124,CJ124,CL124,CN124,CP124,CR124,CT124,CV124,CX124,CZ124,DB124,DD124)</f>
        <v>0</v>
      </c>
      <c r="DG124" s="6">
        <f>ROUND(1+DF124*'Live Calc'!$D$11,0)</f>
        <v>1</v>
      </c>
      <c r="DH124" s="6"/>
      <c r="DI124" s="6">
        <f>IF(DH124&lt;&gt;"",DH124,ROUND(DG124*INDEX('Live Calc'!$D$50:$D$70,MATCH(DE124,'Live Calc'!$A$50:$A$70,0))*'Live Calc'!$J$89,0))</f>
        <v>1</v>
      </c>
    </row>
    <row r="125" spans="39:113" x14ac:dyDescent="0.25">
      <c r="AM125" s="5" t="s">
        <v>455</v>
      </c>
      <c r="AN125" s="5" t="s">
        <v>50</v>
      </c>
      <c r="AO125" s="5">
        <v>9</v>
      </c>
      <c r="AP125" s="5">
        <v>0</v>
      </c>
      <c r="AQ125" s="5">
        <v>10</v>
      </c>
      <c r="AR125" s="5">
        <v>0</v>
      </c>
      <c r="AS125" s="5">
        <v>14</v>
      </c>
      <c r="AT125" s="5">
        <v>0</v>
      </c>
      <c r="AU125" s="5">
        <v>16</v>
      </c>
      <c r="AV125" s="5">
        <v>0</v>
      </c>
      <c r="AW125" s="5">
        <v>16</v>
      </c>
      <c r="AX125" s="5">
        <v>0</v>
      </c>
      <c r="AY125" s="5">
        <v>9</v>
      </c>
      <c r="AZ125" s="5">
        <v>0</v>
      </c>
      <c r="BA125" s="5">
        <v>11</v>
      </c>
      <c r="BB125" s="5">
        <v>0</v>
      </c>
      <c r="BC125" s="5">
        <v>13</v>
      </c>
      <c r="BD125" s="5">
        <v>0</v>
      </c>
      <c r="BE125" s="5">
        <v>17</v>
      </c>
      <c r="BF125" s="5">
        <v>0</v>
      </c>
      <c r="BG125" s="5">
        <v>17</v>
      </c>
      <c r="BH125" s="5">
        <v>0</v>
      </c>
      <c r="BI125" s="5">
        <v>11</v>
      </c>
      <c r="BJ125" s="5">
        <v>0</v>
      </c>
      <c r="BK125" s="5">
        <v>13</v>
      </c>
      <c r="BL125" s="5">
        <v>0</v>
      </c>
      <c r="BM125" s="5">
        <v>15</v>
      </c>
      <c r="BN125" s="5">
        <v>0</v>
      </c>
      <c r="BO125" s="5">
        <v>17</v>
      </c>
      <c r="BP125" s="5">
        <v>0</v>
      </c>
      <c r="BQ125" s="5">
        <v>18</v>
      </c>
      <c r="BR125" s="5">
        <v>0</v>
      </c>
      <c r="BS125" s="5">
        <f>CHOOSE(MATCH(Setup!$B$5,{8,10,12,14,16},0)+(MATCH(Setup!$B$7,{"STD","Half-PPR","PPR"},0)-1)*5,AO125,AQ125,AS125,AU125,AW125,AY125,BA125,BC125,BE125,BG125,BI125,BK125,BM125,BO125,BQ125)</f>
        <v>13</v>
      </c>
      <c r="BT125" s="5">
        <f>CHOOSE(MATCH(Setup!$B$5,{8,10,12,14,16},0)+(MATCH(Setup!$B$7,{"STD","Half-PPR","PPR"},0)-1)*5,AP125,AR125,AT125,AV125,AX125,AZ125,BB125,BD125,BF125,BH125,BJ125,BL125,BN125,BP125,BR125)</f>
        <v>0</v>
      </c>
      <c r="BU125" s="5">
        <f>ROUND(1+BT125*'Live Calc'!$D$10,0)</f>
        <v>1</v>
      </c>
      <c r="BV125" s="5"/>
      <c r="BW125" s="5">
        <f>IF(BV125&lt;&gt;"",BV125,ROUND(BU125*INDEX('Live Calc'!$D$29:$D$46,MATCH(BS125,'Live Calc'!$A$29:$A$46,0))*'Live Calc'!$J$89,0))</f>
        <v>1</v>
      </c>
      <c r="BY125" s="6" t="s">
        <v>456</v>
      </c>
      <c r="BZ125" s="6" t="s">
        <v>70</v>
      </c>
      <c r="CA125" s="6">
        <v>14</v>
      </c>
      <c r="CB125" s="6">
        <v>0</v>
      </c>
      <c r="CC125" s="6">
        <v>17</v>
      </c>
      <c r="CD125" s="6">
        <v>0</v>
      </c>
      <c r="CE125" s="6">
        <v>20</v>
      </c>
      <c r="CF125" s="6">
        <v>0</v>
      </c>
      <c r="CG125" s="6">
        <v>19</v>
      </c>
      <c r="CH125" s="6">
        <v>0</v>
      </c>
      <c r="CI125" s="6">
        <v>21</v>
      </c>
      <c r="CJ125" s="6">
        <v>0</v>
      </c>
      <c r="CK125" s="6">
        <v>10</v>
      </c>
      <c r="CL125" s="6">
        <v>0</v>
      </c>
      <c r="CM125" s="6">
        <v>15</v>
      </c>
      <c r="CN125" s="6">
        <v>0</v>
      </c>
      <c r="CO125" s="6">
        <v>15</v>
      </c>
      <c r="CP125" s="6">
        <v>0</v>
      </c>
      <c r="CQ125" s="6">
        <v>16</v>
      </c>
      <c r="CR125" s="6">
        <v>0</v>
      </c>
      <c r="CS125" s="6">
        <v>20</v>
      </c>
      <c r="CT125" s="6">
        <v>0</v>
      </c>
      <c r="CU125" s="6">
        <v>12</v>
      </c>
      <c r="CV125" s="6">
        <v>0</v>
      </c>
      <c r="CW125" s="6">
        <v>12</v>
      </c>
      <c r="CX125" s="6">
        <v>0</v>
      </c>
      <c r="CY125" s="6">
        <v>15</v>
      </c>
      <c r="CZ125" s="6">
        <v>0</v>
      </c>
      <c r="DA125" s="6">
        <v>18</v>
      </c>
      <c r="DB125" s="6">
        <v>0</v>
      </c>
      <c r="DC125" s="6">
        <v>20</v>
      </c>
      <c r="DD125" s="6">
        <v>0</v>
      </c>
      <c r="DE125" s="6">
        <f>CHOOSE(MATCH(Setup!$B$5,{8,10,12,14,16},0)+(MATCH(Setup!$B$7,{"STD","Half-PPR","PPR"},0)-1)*5,CA125,CC125,CE125,CG125,CI125,CK125,CM125,CO125,CQ125,CS125,CU125,CW125,CY125,DA125,DC125)</f>
        <v>15</v>
      </c>
      <c r="DF125" s="6">
        <f>CHOOSE(MATCH(Setup!$B$5,{8,10,12,14,16},0)+(MATCH(Setup!$B$7,{"STD","Half-PPR","PPR"},0)-1)*5,CB125,CD125,CF125,CH125,CJ125,CL125,CN125,CP125,CR125,CT125,CV125,CX125,CZ125,DB125,DD125)</f>
        <v>0</v>
      </c>
      <c r="DG125" s="6">
        <f>ROUND(1+DF125*'Live Calc'!$D$11,0)</f>
        <v>1</v>
      </c>
      <c r="DH125" s="6"/>
      <c r="DI125" s="6">
        <f>IF(DH125&lt;&gt;"",DH125,ROUND(DG125*INDEX('Live Calc'!$D$50:$D$70,MATCH(DE125,'Live Calc'!$A$50:$A$70,0))*'Live Calc'!$J$89,0))</f>
        <v>1</v>
      </c>
    </row>
    <row r="126" spans="39:113" x14ac:dyDescent="0.25">
      <c r="AM126" s="5" t="s">
        <v>457</v>
      </c>
      <c r="AN126" s="5" t="s">
        <v>95</v>
      </c>
      <c r="AO126" s="5">
        <v>9</v>
      </c>
      <c r="AP126" s="5">
        <v>0</v>
      </c>
      <c r="AQ126" s="5">
        <v>10</v>
      </c>
      <c r="AR126" s="5">
        <v>0</v>
      </c>
      <c r="AS126" s="5">
        <v>14</v>
      </c>
      <c r="AT126" s="5">
        <v>0</v>
      </c>
      <c r="AU126" s="5">
        <v>16</v>
      </c>
      <c r="AV126" s="5">
        <v>0</v>
      </c>
      <c r="AW126" s="5">
        <v>16</v>
      </c>
      <c r="AX126" s="5">
        <v>0</v>
      </c>
      <c r="AY126" s="5">
        <v>9</v>
      </c>
      <c r="AZ126" s="5">
        <v>0</v>
      </c>
      <c r="BA126" s="5">
        <v>11</v>
      </c>
      <c r="BB126" s="5">
        <v>0</v>
      </c>
      <c r="BC126" s="5">
        <v>13</v>
      </c>
      <c r="BD126" s="5">
        <v>0</v>
      </c>
      <c r="BE126" s="5">
        <v>17</v>
      </c>
      <c r="BF126" s="5">
        <v>0</v>
      </c>
      <c r="BG126" s="5">
        <v>17</v>
      </c>
      <c r="BH126" s="5">
        <v>0</v>
      </c>
      <c r="BI126" s="5">
        <v>11</v>
      </c>
      <c r="BJ126" s="5">
        <v>0</v>
      </c>
      <c r="BK126" s="5">
        <v>13</v>
      </c>
      <c r="BL126" s="5">
        <v>0</v>
      </c>
      <c r="BM126" s="5">
        <v>15</v>
      </c>
      <c r="BN126" s="5">
        <v>0</v>
      </c>
      <c r="BO126" s="5">
        <v>17</v>
      </c>
      <c r="BP126" s="5">
        <v>0</v>
      </c>
      <c r="BQ126" s="5">
        <v>18</v>
      </c>
      <c r="BR126" s="5">
        <v>0</v>
      </c>
      <c r="BS126" s="5">
        <f>CHOOSE(MATCH(Setup!$B$5,{8,10,12,14,16},0)+(MATCH(Setup!$B$7,{"STD","Half-PPR","PPR"},0)-1)*5,AO126,AQ126,AS126,AU126,AW126,AY126,BA126,BC126,BE126,BG126,BI126,BK126,BM126,BO126,BQ126)</f>
        <v>13</v>
      </c>
      <c r="BT126" s="5">
        <f>CHOOSE(MATCH(Setup!$B$5,{8,10,12,14,16},0)+(MATCH(Setup!$B$7,{"STD","Half-PPR","PPR"},0)-1)*5,AP126,AR126,AT126,AV126,AX126,AZ126,BB126,BD126,BF126,BH126,BJ126,BL126,BN126,BP126,BR126)</f>
        <v>0</v>
      </c>
      <c r="BU126" s="5">
        <f>ROUND(1+BT126*'Live Calc'!$D$10,0)</f>
        <v>1</v>
      </c>
      <c r="BV126" s="5"/>
      <c r="BW126" s="5">
        <f>IF(BV126&lt;&gt;"",BV126,ROUND(BU126*INDEX('Live Calc'!$D$29:$D$46,MATCH(BS126,'Live Calc'!$A$29:$A$46,0))*'Live Calc'!$J$89,0))</f>
        <v>1</v>
      </c>
      <c r="BY126" s="6" t="s">
        <v>458</v>
      </c>
      <c r="BZ126" s="6" t="s">
        <v>95</v>
      </c>
      <c r="CA126" s="6">
        <v>14</v>
      </c>
      <c r="CB126" s="6">
        <v>0</v>
      </c>
      <c r="CC126" s="6">
        <v>17</v>
      </c>
      <c r="CD126" s="6">
        <v>0</v>
      </c>
      <c r="CE126" s="6">
        <v>20</v>
      </c>
      <c r="CF126" s="6">
        <v>0</v>
      </c>
      <c r="CG126" s="6">
        <v>19</v>
      </c>
      <c r="CH126" s="6">
        <v>0</v>
      </c>
      <c r="CI126" s="6">
        <v>21</v>
      </c>
      <c r="CJ126" s="6">
        <v>0</v>
      </c>
      <c r="CK126" s="6">
        <v>10</v>
      </c>
      <c r="CL126" s="6">
        <v>0</v>
      </c>
      <c r="CM126" s="6">
        <v>15</v>
      </c>
      <c r="CN126" s="6">
        <v>0</v>
      </c>
      <c r="CO126" s="6">
        <v>15</v>
      </c>
      <c r="CP126" s="6">
        <v>0</v>
      </c>
      <c r="CQ126" s="6">
        <v>16</v>
      </c>
      <c r="CR126" s="6">
        <v>0</v>
      </c>
      <c r="CS126" s="6">
        <v>20</v>
      </c>
      <c r="CT126" s="6">
        <v>0</v>
      </c>
      <c r="CU126" s="6">
        <v>12</v>
      </c>
      <c r="CV126" s="6">
        <v>0</v>
      </c>
      <c r="CW126" s="6">
        <v>12</v>
      </c>
      <c r="CX126" s="6">
        <v>0</v>
      </c>
      <c r="CY126" s="6">
        <v>15</v>
      </c>
      <c r="CZ126" s="6">
        <v>0</v>
      </c>
      <c r="DA126" s="6">
        <v>18</v>
      </c>
      <c r="DB126" s="6">
        <v>0</v>
      </c>
      <c r="DC126" s="6">
        <v>20</v>
      </c>
      <c r="DD126" s="6">
        <v>0</v>
      </c>
      <c r="DE126" s="6">
        <f>CHOOSE(MATCH(Setup!$B$5,{8,10,12,14,16},0)+(MATCH(Setup!$B$7,{"STD","Half-PPR","PPR"},0)-1)*5,CA126,CC126,CE126,CG126,CI126,CK126,CM126,CO126,CQ126,CS126,CU126,CW126,CY126,DA126,DC126)</f>
        <v>15</v>
      </c>
      <c r="DF126" s="6">
        <f>CHOOSE(MATCH(Setup!$B$5,{8,10,12,14,16},0)+(MATCH(Setup!$B$7,{"STD","Half-PPR","PPR"},0)-1)*5,CB126,CD126,CF126,CH126,CJ126,CL126,CN126,CP126,CR126,CT126,CV126,CX126,CZ126,DB126,DD126)</f>
        <v>0</v>
      </c>
      <c r="DG126" s="6">
        <f>ROUND(1+DF126*'Live Calc'!$D$11,0)</f>
        <v>1</v>
      </c>
      <c r="DH126" s="6"/>
      <c r="DI126" s="6">
        <f>IF(DH126&lt;&gt;"",DH126,ROUND(DG126*INDEX('Live Calc'!$D$50:$D$70,MATCH(DE126,'Live Calc'!$A$50:$A$70,0))*'Live Calc'!$J$89,0))</f>
        <v>1</v>
      </c>
    </row>
    <row r="127" spans="39:113" x14ac:dyDescent="0.25">
      <c r="AM127" s="5" t="s">
        <v>459</v>
      </c>
      <c r="AN127" s="5" t="s">
        <v>101</v>
      </c>
      <c r="AO127" s="5">
        <v>9</v>
      </c>
      <c r="AP127" s="5">
        <v>0</v>
      </c>
      <c r="AQ127" s="5">
        <v>10</v>
      </c>
      <c r="AR127" s="5">
        <v>0</v>
      </c>
      <c r="AS127" s="5">
        <v>14</v>
      </c>
      <c r="AT127" s="5">
        <v>0</v>
      </c>
      <c r="AU127" s="5">
        <v>16</v>
      </c>
      <c r="AV127" s="5">
        <v>0</v>
      </c>
      <c r="AW127" s="5">
        <v>16</v>
      </c>
      <c r="AX127" s="5">
        <v>0</v>
      </c>
      <c r="AY127" s="5">
        <v>9</v>
      </c>
      <c r="AZ127" s="5">
        <v>0</v>
      </c>
      <c r="BA127" s="5">
        <v>11</v>
      </c>
      <c r="BB127" s="5">
        <v>0</v>
      </c>
      <c r="BC127" s="5">
        <v>13</v>
      </c>
      <c r="BD127" s="5">
        <v>0</v>
      </c>
      <c r="BE127" s="5">
        <v>17</v>
      </c>
      <c r="BF127" s="5">
        <v>0</v>
      </c>
      <c r="BG127" s="5">
        <v>17</v>
      </c>
      <c r="BH127" s="5">
        <v>0</v>
      </c>
      <c r="BI127" s="5">
        <v>11</v>
      </c>
      <c r="BJ127" s="5">
        <v>0</v>
      </c>
      <c r="BK127" s="5">
        <v>13</v>
      </c>
      <c r="BL127" s="5">
        <v>0</v>
      </c>
      <c r="BM127" s="5">
        <v>15</v>
      </c>
      <c r="BN127" s="5">
        <v>0</v>
      </c>
      <c r="BO127" s="5">
        <v>17</v>
      </c>
      <c r="BP127" s="5">
        <v>0</v>
      </c>
      <c r="BQ127" s="5">
        <v>18</v>
      </c>
      <c r="BR127" s="5">
        <v>0</v>
      </c>
      <c r="BS127" s="5">
        <f>CHOOSE(MATCH(Setup!$B$5,{8,10,12,14,16},0)+(MATCH(Setup!$B$7,{"STD","Half-PPR","PPR"},0)-1)*5,AO127,AQ127,AS127,AU127,AW127,AY127,BA127,BC127,BE127,BG127,BI127,BK127,BM127,BO127,BQ127)</f>
        <v>13</v>
      </c>
      <c r="BT127" s="5">
        <f>CHOOSE(MATCH(Setup!$B$5,{8,10,12,14,16},0)+(MATCH(Setup!$B$7,{"STD","Half-PPR","PPR"},0)-1)*5,AP127,AR127,AT127,AV127,AX127,AZ127,BB127,BD127,BF127,BH127,BJ127,BL127,BN127,BP127,BR127)</f>
        <v>0</v>
      </c>
      <c r="BU127" s="5">
        <f>ROUND(1+BT127*'Live Calc'!$D$10,0)</f>
        <v>1</v>
      </c>
      <c r="BV127" s="5"/>
      <c r="BW127" s="5">
        <f>IF(BV127&lt;&gt;"",BV127,ROUND(BU127*INDEX('Live Calc'!$D$29:$D$46,MATCH(BS127,'Live Calc'!$A$29:$A$46,0))*'Live Calc'!$J$89,0))</f>
        <v>1</v>
      </c>
      <c r="BY127" s="6" t="s">
        <v>460</v>
      </c>
      <c r="BZ127" s="6" t="s">
        <v>70</v>
      </c>
      <c r="CA127" s="6">
        <v>14</v>
      </c>
      <c r="CB127" s="6">
        <v>0</v>
      </c>
      <c r="CC127" s="6">
        <v>17</v>
      </c>
      <c r="CD127" s="6">
        <v>0</v>
      </c>
      <c r="CE127" s="6">
        <v>20</v>
      </c>
      <c r="CF127" s="6">
        <v>0</v>
      </c>
      <c r="CG127" s="6">
        <v>19</v>
      </c>
      <c r="CH127" s="6">
        <v>0</v>
      </c>
      <c r="CI127" s="6">
        <v>21</v>
      </c>
      <c r="CJ127" s="6">
        <v>0</v>
      </c>
      <c r="CK127" s="6">
        <v>10</v>
      </c>
      <c r="CL127" s="6">
        <v>0</v>
      </c>
      <c r="CM127" s="6">
        <v>15</v>
      </c>
      <c r="CN127" s="6">
        <v>0</v>
      </c>
      <c r="CO127" s="6">
        <v>15</v>
      </c>
      <c r="CP127" s="6">
        <v>0</v>
      </c>
      <c r="CQ127" s="6">
        <v>16</v>
      </c>
      <c r="CR127" s="6">
        <v>0</v>
      </c>
      <c r="CS127" s="6">
        <v>20</v>
      </c>
      <c r="CT127" s="6">
        <v>0</v>
      </c>
      <c r="CU127" s="6">
        <v>12</v>
      </c>
      <c r="CV127" s="6">
        <v>0</v>
      </c>
      <c r="CW127" s="6">
        <v>12</v>
      </c>
      <c r="CX127" s="6">
        <v>0</v>
      </c>
      <c r="CY127" s="6">
        <v>15</v>
      </c>
      <c r="CZ127" s="6">
        <v>0</v>
      </c>
      <c r="DA127" s="6">
        <v>18</v>
      </c>
      <c r="DB127" s="6">
        <v>0</v>
      </c>
      <c r="DC127" s="6">
        <v>20</v>
      </c>
      <c r="DD127" s="6">
        <v>0</v>
      </c>
      <c r="DE127" s="6">
        <f>CHOOSE(MATCH(Setup!$B$5,{8,10,12,14,16},0)+(MATCH(Setup!$B$7,{"STD","Half-PPR","PPR"},0)-1)*5,CA127,CC127,CE127,CG127,CI127,CK127,CM127,CO127,CQ127,CS127,CU127,CW127,CY127,DA127,DC127)</f>
        <v>15</v>
      </c>
      <c r="DF127" s="6">
        <f>CHOOSE(MATCH(Setup!$B$5,{8,10,12,14,16},0)+(MATCH(Setup!$B$7,{"STD","Half-PPR","PPR"},0)-1)*5,CB127,CD127,CF127,CH127,CJ127,CL127,CN127,CP127,CR127,CT127,CV127,CX127,CZ127,DB127,DD127)</f>
        <v>0</v>
      </c>
      <c r="DG127" s="6">
        <f>ROUND(1+DF127*'Live Calc'!$D$11,0)</f>
        <v>1</v>
      </c>
      <c r="DH127" s="6"/>
      <c r="DI127" s="6">
        <f>IF(DH127&lt;&gt;"",DH127,ROUND(DG127*INDEX('Live Calc'!$D$50:$D$70,MATCH(DE127,'Live Calc'!$A$50:$A$70,0))*'Live Calc'!$J$89,0))</f>
        <v>1</v>
      </c>
    </row>
    <row r="128" spans="39:113" x14ac:dyDescent="0.25">
      <c r="AM128" s="5" t="s">
        <v>461</v>
      </c>
      <c r="AN128" s="5" t="s">
        <v>46</v>
      </c>
      <c r="AO128" s="5">
        <v>9</v>
      </c>
      <c r="AP128" s="5">
        <v>0</v>
      </c>
      <c r="AQ128" s="5">
        <v>10</v>
      </c>
      <c r="AR128" s="5">
        <v>0</v>
      </c>
      <c r="AS128" s="5">
        <v>14</v>
      </c>
      <c r="AT128" s="5">
        <v>0</v>
      </c>
      <c r="AU128" s="5">
        <v>16</v>
      </c>
      <c r="AV128" s="5">
        <v>0</v>
      </c>
      <c r="AW128" s="5">
        <v>16</v>
      </c>
      <c r="AX128" s="5">
        <v>0</v>
      </c>
      <c r="AY128" s="5">
        <v>9</v>
      </c>
      <c r="AZ128" s="5">
        <v>0</v>
      </c>
      <c r="BA128" s="5">
        <v>11</v>
      </c>
      <c r="BB128" s="5">
        <v>0</v>
      </c>
      <c r="BC128" s="5">
        <v>13</v>
      </c>
      <c r="BD128" s="5">
        <v>0</v>
      </c>
      <c r="BE128" s="5">
        <v>17</v>
      </c>
      <c r="BF128" s="5">
        <v>0</v>
      </c>
      <c r="BG128" s="5">
        <v>17</v>
      </c>
      <c r="BH128" s="5">
        <v>0</v>
      </c>
      <c r="BI128" s="5">
        <v>11</v>
      </c>
      <c r="BJ128" s="5">
        <v>0</v>
      </c>
      <c r="BK128" s="5">
        <v>13</v>
      </c>
      <c r="BL128" s="5">
        <v>0</v>
      </c>
      <c r="BM128" s="5">
        <v>15</v>
      </c>
      <c r="BN128" s="5">
        <v>0</v>
      </c>
      <c r="BO128" s="5">
        <v>17</v>
      </c>
      <c r="BP128" s="5">
        <v>0</v>
      </c>
      <c r="BQ128" s="5">
        <v>18</v>
      </c>
      <c r="BR128" s="5">
        <v>0</v>
      </c>
      <c r="BS128" s="5">
        <f>CHOOSE(MATCH(Setup!$B$5,{8,10,12,14,16},0)+(MATCH(Setup!$B$7,{"STD","Half-PPR","PPR"},0)-1)*5,AO128,AQ128,AS128,AU128,AW128,AY128,BA128,BC128,BE128,BG128,BI128,BK128,BM128,BO128,BQ128)</f>
        <v>13</v>
      </c>
      <c r="BT128" s="5">
        <f>CHOOSE(MATCH(Setup!$B$5,{8,10,12,14,16},0)+(MATCH(Setup!$B$7,{"STD","Half-PPR","PPR"},0)-1)*5,AP128,AR128,AT128,AV128,AX128,AZ128,BB128,BD128,BF128,BH128,BJ128,BL128,BN128,BP128,BR128)</f>
        <v>0</v>
      </c>
      <c r="BU128" s="5">
        <f>ROUND(1+BT128*'Live Calc'!$D$10,0)</f>
        <v>1</v>
      </c>
      <c r="BV128" s="5"/>
      <c r="BW128" s="5">
        <f>IF(BV128&lt;&gt;"",BV128,ROUND(BU128*INDEX('Live Calc'!$D$29:$D$46,MATCH(BS128,'Live Calc'!$A$29:$A$46,0))*'Live Calc'!$J$89,0))</f>
        <v>1</v>
      </c>
      <c r="BY128" s="6" t="s">
        <v>462</v>
      </c>
      <c r="BZ128" s="6" t="s">
        <v>107</v>
      </c>
      <c r="CA128" s="6">
        <v>14</v>
      </c>
      <c r="CB128" s="6">
        <v>0</v>
      </c>
      <c r="CC128" s="6">
        <v>17</v>
      </c>
      <c r="CD128" s="6">
        <v>0</v>
      </c>
      <c r="CE128" s="6">
        <v>20</v>
      </c>
      <c r="CF128" s="6">
        <v>0</v>
      </c>
      <c r="CG128" s="6">
        <v>19</v>
      </c>
      <c r="CH128" s="6">
        <v>0</v>
      </c>
      <c r="CI128" s="6">
        <v>21</v>
      </c>
      <c r="CJ128" s="6">
        <v>0</v>
      </c>
      <c r="CK128" s="6">
        <v>10</v>
      </c>
      <c r="CL128" s="6">
        <v>0</v>
      </c>
      <c r="CM128" s="6">
        <v>15</v>
      </c>
      <c r="CN128" s="6">
        <v>0</v>
      </c>
      <c r="CO128" s="6">
        <v>15</v>
      </c>
      <c r="CP128" s="6">
        <v>0</v>
      </c>
      <c r="CQ128" s="6">
        <v>16</v>
      </c>
      <c r="CR128" s="6">
        <v>0</v>
      </c>
      <c r="CS128" s="6">
        <v>20</v>
      </c>
      <c r="CT128" s="6">
        <v>0</v>
      </c>
      <c r="CU128" s="6">
        <v>12</v>
      </c>
      <c r="CV128" s="6">
        <v>0</v>
      </c>
      <c r="CW128" s="6">
        <v>12</v>
      </c>
      <c r="CX128" s="6">
        <v>0</v>
      </c>
      <c r="CY128" s="6">
        <v>15</v>
      </c>
      <c r="CZ128" s="6">
        <v>0</v>
      </c>
      <c r="DA128" s="6">
        <v>18</v>
      </c>
      <c r="DB128" s="6">
        <v>0</v>
      </c>
      <c r="DC128" s="6">
        <v>20</v>
      </c>
      <c r="DD128" s="6">
        <v>0</v>
      </c>
      <c r="DE128" s="6">
        <f>CHOOSE(MATCH(Setup!$B$5,{8,10,12,14,16},0)+(MATCH(Setup!$B$7,{"STD","Half-PPR","PPR"},0)-1)*5,CA128,CC128,CE128,CG128,CI128,CK128,CM128,CO128,CQ128,CS128,CU128,CW128,CY128,DA128,DC128)</f>
        <v>15</v>
      </c>
      <c r="DF128" s="6">
        <f>CHOOSE(MATCH(Setup!$B$5,{8,10,12,14,16},0)+(MATCH(Setup!$B$7,{"STD","Half-PPR","PPR"},0)-1)*5,CB128,CD128,CF128,CH128,CJ128,CL128,CN128,CP128,CR128,CT128,CV128,CX128,CZ128,DB128,DD128)</f>
        <v>0</v>
      </c>
      <c r="DG128" s="6">
        <f>ROUND(1+DF128*'Live Calc'!$D$11,0)</f>
        <v>1</v>
      </c>
      <c r="DH128" s="6"/>
      <c r="DI128" s="6">
        <f>IF(DH128&lt;&gt;"",DH128,ROUND(DG128*INDEX('Live Calc'!$D$50:$D$70,MATCH(DE128,'Live Calc'!$A$50:$A$70,0))*'Live Calc'!$J$89,0))</f>
        <v>1</v>
      </c>
    </row>
    <row r="129" spans="39:113" x14ac:dyDescent="0.25">
      <c r="AM129" s="5" t="s">
        <v>463</v>
      </c>
      <c r="AN129" s="5" t="s">
        <v>66</v>
      </c>
      <c r="AO129" s="5">
        <v>9</v>
      </c>
      <c r="AP129" s="5">
        <v>0</v>
      </c>
      <c r="AQ129" s="5">
        <v>10</v>
      </c>
      <c r="AR129" s="5">
        <v>0</v>
      </c>
      <c r="AS129" s="5">
        <v>14</v>
      </c>
      <c r="AT129" s="5">
        <v>0</v>
      </c>
      <c r="AU129" s="5">
        <v>16</v>
      </c>
      <c r="AV129" s="5">
        <v>0</v>
      </c>
      <c r="AW129" s="5">
        <v>16</v>
      </c>
      <c r="AX129" s="5">
        <v>0</v>
      </c>
      <c r="AY129" s="5">
        <v>9</v>
      </c>
      <c r="AZ129" s="5">
        <v>0</v>
      </c>
      <c r="BA129" s="5">
        <v>11</v>
      </c>
      <c r="BB129" s="5">
        <v>0</v>
      </c>
      <c r="BC129" s="5">
        <v>13</v>
      </c>
      <c r="BD129" s="5">
        <v>0</v>
      </c>
      <c r="BE129" s="5">
        <v>17</v>
      </c>
      <c r="BF129" s="5">
        <v>0</v>
      </c>
      <c r="BG129" s="5">
        <v>17</v>
      </c>
      <c r="BH129" s="5">
        <v>0</v>
      </c>
      <c r="BI129" s="5">
        <v>11</v>
      </c>
      <c r="BJ129" s="5">
        <v>0</v>
      </c>
      <c r="BK129" s="5">
        <v>13</v>
      </c>
      <c r="BL129" s="5">
        <v>0</v>
      </c>
      <c r="BM129" s="5">
        <v>15</v>
      </c>
      <c r="BN129" s="5">
        <v>0</v>
      </c>
      <c r="BO129" s="5">
        <v>17</v>
      </c>
      <c r="BP129" s="5">
        <v>0</v>
      </c>
      <c r="BQ129" s="5">
        <v>18</v>
      </c>
      <c r="BR129" s="5">
        <v>0</v>
      </c>
      <c r="BS129" s="5">
        <f>CHOOSE(MATCH(Setup!$B$5,{8,10,12,14,16},0)+(MATCH(Setup!$B$7,{"STD","Half-PPR","PPR"},0)-1)*5,AO129,AQ129,AS129,AU129,AW129,AY129,BA129,BC129,BE129,BG129,BI129,BK129,BM129,BO129,BQ129)</f>
        <v>13</v>
      </c>
      <c r="BT129" s="5">
        <f>CHOOSE(MATCH(Setup!$B$5,{8,10,12,14,16},0)+(MATCH(Setup!$B$7,{"STD","Half-PPR","PPR"},0)-1)*5,AP129,AR129,AT129,AV129,AX129,AZ129,BB129,BD129,BF129,BH129,BJ129,BL129,BN129,BP129,BR129)</f>
        <v>0</v>
      </c>
      <c r="BU129" s="5">
        <f>ROUND(1+BT129*'Live Calc'!$D$10,0)</f>
        <v>1</v>
      </c>
      <c r="BV129" s="5"/>
      <c r="BW129" s="5">
        <f>IF(BV129&lt;&gt;"",BV129,ROUND(BU129*INDEX('Live Calc'!$D$29:$D$46,MATCH(BS129,'Live Calc'!$A$29:$A$46,0))*'Live Calc'!$J$89,0))</f>
        <v>1</v>
      </c>
      <c r="BY129" s="6" t="s">
        <v>464</v>
      </c>
      <c r="BZ129" s="6" t="s">
        <v>86</v>
      </c>
      <c r="CA129" s="6">
        <v>14</v>
      </c>
      <c r="CB129" s="6">
        <v>0</v>
      </c>
      <c r="CC129" s="6">
        <v>17</v>
      </c>
      <c r="CD129" s="6">
        <v>0</v>
      </c>
      <c r="CE129" s="6">
        <v>20</v>
      </c>
      <c r="CF129" s="6">
        <v>0</v>
      </c>
      <c r="CG129" s="6">
        <v>19</v>
      </c>
      <c r="CH129" s="6">
        <v>0</v>
      </c>
      <c r="CI129" s="6">
        <v>21</v>
      </c>
      <c r="CJ129" s="6">
        <v>0</v>
      </c>
      <c r="CK129" s="6">
        <v>10</v>
      </c>
      <c r="CL129" s="6">
        <v>0</v>
      </c>
      <c r="CM129" s="6">
        <v>15</v>
      </c>
      <c r="CN129" s="6">
        <v>0</v>
      </c>
      <c r="CO129" s="6">
        <v>15</v>
      </c>
      <c r="CP129" s="6">
        <v>0</v>
      </c>
      <c r="CQ129" s="6">
        <v>16</v>
      </c>
      <c r="CR129" s="6">
        <v>0</v>
      </c>
      <c r="CS129" s="6">
        <v>20</v>
      </c>
      <c r="CT129" s="6">
        <v>0</v>
      </c>
      <c r="CU129" s="6">
        <v>12</v>
      </c>
      <c r="CV129" s="6">
        <v>0</v>
      </c>
      <c r="CW129" s="6">
        <v>12</v>
      </c>
      <c r="CX129" s="6">
        <v>0</v>
      </c>
      <c r="CY129" s="6">
        <v>15</v>
      </c>
      <c r="CZ129" s="6">
        <v>0</v>
      </c>
      <c r="DA129" s="6">
        <v>18</v>
      </c>
      <c r="DB129" s="6">
        <v>0</v>
      </c>
      <c r="DC129" s="6">
        <v>20</v>
      </c>
      <c r="DD129" s="6">
        <v>0</v>
      </c>
      <c r="DE129" s="6">
        <f>CHOOSE(MATCH(Setup!$B$5,{8,10,12,14,16},0)+(MATCH(Setup!$B$7,{"STD","Half-PPR","PPR"},0)-1)*5,CA129,CC129,CE129,CG129,CI129,CK129,CM129,CO129,CQ129,CS129,CU129,CW129,CY129,DA129,DC129)</f>
        <v>15</v>
      </c>
      <c r="DF129" s="6">
        <f>CHOOSE(MATCH(Setup!$B$5,{8,10,12,14,16},0)+(MATCH(Setup!$B$7,{"STD","Half-PPR","PPR"},0)-1)*5,CB129,CD129,CF129,CH129,CJ129,CL129,CN129,CP129,CR129,CT129,CV129,CX129,CZ129,DB129,DD129)</f>
        <v>0</v>
      </c>
      <c r="DG129" s="6">
        <f>ROUND(1+DF129*'Live Calc'!$D$11,0)</f>
        <v>1</v>
      </c>
      <c r="DH129" s="6"/>
      <c r="DI129" s="6">
        <f>IF(DH129&lt;&gt;"",DH129,ROUND(DG129*INDEX('Live Calc'!$D$50:$D$70,MATCH(DE129,'Live Calc'!$A$50:$A$70,0))*'Live Calc'!$J$89,0))</f>
        <v>1</v>
      </c>
    </row>
    <row r="130" spans="39:113" x14ac:dyDescent="0.25">
      <c r="AM130" s="5" t="s">
        <v>465</v>
      </c>
      <c r="AN130" s="5" t="s">
        <v>107</v>
      </c>
      <c r="AO130" s="5">
        <v>9</v>
      </c>
      <c r="AP130" s="5">
        <v>0</v>
      </c>
      <c r="AQ130" s="5">
        <v>10</v>
      </c>
      <c r="AR130" s="5">
        <v>0</v>
      </c>
      <c r="AS130" s="5">
        <v>14</v>
      </c>
      <c r="AT130" s="5">
        <v>0</v>
      </c>
      <c r="AU130" s="5">
        <v>16</v>
      </c>
      <c r="AV130" s="5">
        <v>0</v>
      </c>
      <c r="AW130" s="5">
        <v>16</v>
      </c>
      <c r="AX130" s="5">
        <v>0</v>
      </c>
      <c r="AY130" s="5">
        <v>9</v>
      </c>
      <c r="AZ130" s="5">
        <v>0</v>
      </c>
      <c r="BA130" s="5">
        <v>11</v>
      </c>
      <c r="BB130" s="5">
        <v>0</v>
      </c>
      <c r="BC130" s="5">
        <v>13</v>
      </c>
      <c r="BD130" s="5">
        <v>0</v>
      </c>
      <c r="BE130" s="5">
        <v>17</v>
      </c>
      <c r="BF130" s="5">
        <v>0</v>
      </c>
      <c r="BG130" s="5">
        <v>17</v>
      </c>
      <c r="BH130" s="5">
        <v>0</v>
      </c>
      <c r="BI130" s="5">
        <v>11</v>
      </c>
      <c r="BJ130" s="5">
        <v>0</v>
      </c>
      <c r="BK130" s="5">
        <v>13</v>
      </c>
      <c r="BL130" s="5">
        <v>0</v>
      </c>
      <c r="BM130" s="5">
        <v>15</v>
      </c>
      <c r="BN130" s="5">
        <v>0</v>
      </c>
      <c r="BO130" s="5">
        <v>17</v>
      </c>
      <c r="BP130" s="5">
        <v>0</v>
      </c>
      <c r="BQ130" s="5">
        <v>18</v>
      </c>
      <c r="BR130" s="5">
        <v>0</v>
      </c>
      <c r="BS130" s="5">
        <f>CHOOSE(MATCH(Setup!$B$5,{8,10,12,14,16},0)+(MATCH(Setup!$B$7,{"STD","Half-PPR","PPR"},0)-1)*5,AO130,AQ130,AS130,AU130,AW130,AY130,BA130,BC130,BE130,BG130,BI130,BK130,BM130,BO130,BQ130)</f>
        <v>13</v>
      </c>
      <c r="BT130" s="5">
        <f>CHOOSE(MATCH(Setup!$B$5,{8,10,12,14,16},0)+(MATCH(Setup!$B$7,{"STD","Half-PPR","PPR"},0)-1)*5,AP130,AR130,AT130,AV130,AX130,AZ130,BB130,BD130,BF130,BH130,BJ130,BL130,BN130,BP130,BR130)</f>
        <v>0</v>
      </c>
      <c r="BU130" s="5">
        <f>ROUND(1+BT130*'Live Calc'!$D$10,0)</f>
        <v>1</v>
      </c>
      <c r="BV130" s="5"/>
      <c r="BW130" s="5">
        <f>IF(BV130&lt;&gt;"",BV130,ROUND(BU130*INDEX('Live Calc'!$D$29:$D$46,MATCH(BS130,'Live Calc'!$A$29:$A$46,0))*'Live Calc'!$J$89,0))</f>
        <v>1</v>
      </c>
      <c r="BY130" s="6" t="s">
        <v>466</v>
      </c>
      <c r="BZ130" s="6" t="s">
        <v>68</v>
      </c>
      <c r="CA130" s="6">
        <v>14</v>
      </c>
      <c r="CB130" s="6">
        <v>0</v>
      </c>
      <c r="CC130" s="6">
        <v>17</v>
      </c>
      <c r="CD130" s="6">
        <v>0</v>
      </c>
      <c r="CE130" s="6">
        <v>20</v>
      </c>
      <c r="CF130" s="6">
        <v>0</v>
      </c>
      <c r="CG130" s="6">
        <v>19</v>
      </c>
      <c r="CH130" s="6">
        <v>0</v>
      </c>
      <c r="CI130" s="6">
        <v>21</v>
      </c>
      <c r="CJ130" s="6">
        <v>0</v>
      </c>
      <c r="CK130" s="6">
        <v>10</v>
      </c>
      <c r="CL130" s="6">
        <v>0</v>
      </c>
      <c r="CM130" s="6">
        <v>15</v>
      </c>
      <c r="CN130" s="6">
        <v>0</v>
      </c>
      <c r="CO130" s="6">
        <v>15</v>
      </c>
      <c r="CP130" s="6">
        <v>0</v>
      </c>
      <c r="CQ130" s="6">
        <v>16</v>
      </c>
      <c r="CR130" s="6">
        <v>0</v>
      </c>
      <c r="CS130" s="6">
        <v>20</v>
      </c>
      <c r="CT130" s="6">
        <v>0</v>
      </c>
      <c r="CU130" s="6">
        <v>12</v>
      </c>
      <c r="CV130" s="6">
        <v>0</v>
      </c>
      <c r="CW130" s="6">
        <v>12</v>
      </c>
      <c r="CX130" s="6">
        <v>0</v>
      </c>
      <c r="CY130" s="6">
        <v>15</v>
      </c>
      <c r="CZ130" s="6">
        <v>0</v>
      </c>
      <c r="DA130" s="6">
        <v>18</v>
      </c>
      <c r="DB130" s="6">
        <v>0</v>
      </c>
      <c r="DC130" s="6">
        <v>20</v>
      </c>
      <c r="DD130" s="6">
        <v>0</v>
      </c>
      <c r="DE130" s="6">
        <f>CHOOSE(MATCH(Setup!$B$5,{8,10,12,14,16},0)+(MATCH(Setup!$B$7,{"STD","Half-PPR","PPR"},0)-1)*5,CA130,CC130,CE130,CG130,CI130,CK130,CM130,CO130,CQ130,CS130,CU130,CW130,CY130,DA130,DC130)</f>
        <v>15</v>
      </c>
      <c r="DF130" s="6">
        <f>CHOOSE(MATCH(Setup!$B$5,{8,10,12,14,16},0)+(MATCH(Setup!$B$7,{"STD","Half-PPR","PPR"},0)-1)*5,CB130,CD130,CF130,CH130,CJ130,CL130,CN130,CP130,CR130,CT130,CV130,CX130,CZ130,DB130,DD130)</f>
        <v>0</v>
      </c>
      <c r="DG130" s="6">
        <f>ROUND(1+DF130*'Live Calc'!$D$11,0)</f>
        <v>1</v>
      </c>
      <c r="DH130" s="6"/>
      <c r="DI130" s="6">
        <f>IF(DH130&lt;&gt;"",DH130,ROUND(DG130*INDEX('Live Calc'!$D$50:$D$70,MATCH(DE130,'Live Calc'!$A$50:$A$70,0))*'Live Calc'!$J$89,0))</f>
        <v>1</v>
      </c>
    </row>
    <row r="131" spans="39:113" x14ac:dyDescent="0.25">
      <c r="AM131" s="5" t="s">
        <v>467</v>
      </c>
      <c r="AN131" s="5" t="s">
        <v>68</v>
      </c>
      <c r="AO131" s="5">
        <v>9</v>
      </c>
      <c r="AP131" s="5">
        <v>0</v>
      </c>
      <c r="AQ131" s="5">
        <v>10</v>
      </c>
      <c r="AR131" s="5">
        <v>0</v>
      </c>
      <c r="AS131" s="5">
        <v>14</v>
      </c>
      <c r="AT131" s="5">
        <v>0</v>
      </c>
      <c r="AU131" s="5">
        <v>16</v>
      </c>
      <c r="AV131" s="5">
        <v>0</v>
      </c>
      <c r="AW131" s="5">
        <v>16</v>
      </c>
      <c r="AX131" s="5">
        <v>0</v>
      </c>
      <c r="AY131" s="5">
        <v>9</v>
      </c>
      <c r="AZ131" s="5">
        <v>0</v>
      </c>
      <c r="BA131" s="5">
        <v>11</v>
      </c>
      <c r="BB131" s="5">
        <v>0</v>
      </c>
      <c r="BC131" s="5">
        <v>13</v>
      </c>
      <c r="BD131" s="5">
        <v>0</v>
      </c>
      <c r="BE131" s="5">
        <v>17</v>
      </c>
      <c r="BF131" s="5">
        <v>0</v>
      </c>
      <c r="BG131" s="5">
        <v>17</v>
      </c>
      <c r="BH131" s="5">
        <v>0</v>
      </c>
      <c r="BI131" s="5">
        <v>11</v>
      </c>
      <c r="BJ131" s="5">
        <v>0</v>
      </c>
      <c r="BK131" s="5">
        <v>13</v>
      </c>
      <c r="BL131" s="5">
        <v>0</v>
      </c>
      <c r="BM131" s="5">
        <v>15</v>
      </c>
      <c r="BN131" s="5">
        <v>0</v>
      </c>
      <c r="BO131" s="5">
        <v>17</v>
      </c>
      <c r="BP131" s="5">
        <v>0</v>
      </c>
      <c r="BQ131" s="5">
        <v>18</v>
      </c>
      <c r="BR131" s="5">
        <v>0</v>
      </c>
      <c r="BS131" s="5">
        <f>CHOOSE(MATCH(Setup!$B$5,{8,10,12,14,16},0)+(MATCH(Setup!$B$7,{"STD","Half-PPR","PPR"},0)-1)*5,AO131,AQ131,AS131,AU131,AW131,AY131,BA131,BC131,BE131,BG131,BI131,BK131,BM131,BO131,BQ131)</f>
        <v>13</v>
      </c>
      <c r="BT131" s="5">
        <f>CHOOSE(MATCH(Setup!$B$5,{8,10,12,14,16},0)+(MATCH(Setup!$B$7,{"STD","Half-PPR","PPR"},0)-1)*5,AP131,AR131,AT131,AV131,AX131,AZ131,BB131,BD131,BF131,BH131,BJ131,BL131,BN131,BP131,BR131)</f>
        <v>0</v>
      </c>
      <c r="BU131" s="5">
        <f>ROUND(1+BT131*'Live Calc'!$D$10,0)</f>
        <v>1</v>
      </c>
      <c r="BV131" s="5"/>
      <c r="BW131" s="5">
        <f>IF(BV131&lt;&gt;"",BV131,ROUND(BU131*INDEX('Live Calc'!$D$29:$D$46,MATCH(BS131,'Live Calc'!$A$29:$A$46,0))*'Live Calc'!$J$89,0))</f>
        <v>1</v>
      </c>
      <c r="BY131" s="6" t="s">
        <v>468</v>
      </c>
      <c r="BZ131" s="6" t="s">
        <v>64</v>
      </c>
      <c r="CA131" s="6">
        <v>14</v>
      </c>
      <c r="CB131" s="6">
        <v>0</v>
      </c>
      <c r="CC131" s="6">
        <v>17</v>
      </c>
      <c r="CD131" s="6">
        <v>0</v>
      </c>
      <c r="CE131" s="6">
        <v>20</v>
      </c>
      <c r="CF131" s="6">
        <v>0</v>
      </c>
      <c r="CG131" s="6">
        <v>19</v>
      </c>
      <c r="CH131" s="6">
        <v>0</v>
      </c>
      <c r="CI131" s="6">
        <v>21</v>
      </c>
      <c r="CJ131" s="6">
        <v>0</v>
      </c>
      <c r="CK131" s="6">
        <v>10</v>
      </c>
      <c r="CL131" s="6">
        <v>0</v>
      </c>
      <c r="CM131" s="6">
        <v>15</v>
      </c>
      <c r="CN131" s="6">
        <v>0</v>
      </c>
      <c r="CO131" s="6">
        <v>15</v>
      </c>
      <c r="CP131" s="6">
        <v>0</v>
      </c>
      <c r="CQ131" s="6">
        <v>16</v>
      </c>
      <c r="CR131" s="6">
        <v>0</v>
      </c>
      <c r="CS131" s="6">
        <v>20</v>
      </c>
      <c r="CT131" s="6">
        <v>0</v>
      </c>
      <c r="CU131" s="6">
        <v>12</v>
      </c>
      <c r="CV131" s="6">
        <v>0</v>
      </c>
      <c r="CW131" s="6">
        <v>12</v>
      </c>
      <c r="CX131" s="6">
        <v>0</v>
      </c>
      <c r="CY131" s="6">
        <v>15</v>
      </c>
      <c r="CZ131" s="6">
        <v>0</v>
      </c>
      <c r="DA131" s="6">
        <v>18</v>
      </c>
      <c r="DB131" s="6">
        <v>0</v>
      </c>
      <c r="DC131" s="6">
        <v>20</v>
      </c>
      <c r="DD131" s="6">
        <v>0</v>
      </c>
      <c r="DE131" s="6">
        <f>CHOOSE(MATCH(Setup!$B$5,{8,10,12,14,16},0)+(MATCH(Setup!$B$7,{"STD","Half-PPR","PPR"},0)-1)*5,CA131,CC131,CE131,CG131,CI131,CK131,CM131,CO131,CQ131,CS131,CU131,CW131,CY131,DA131,DC131)</f>
        <v>15</v>
      </c>
      <c r="DF131" s="6">
        <f>CHOOSE(MATCH(Setup!$B$5,{8,10,12,14,16},0)+(MATCH(Setup!$B$7,{"STD","Half-PPR","PPR"},0)-1)*5,CB131,CD131,CF131,CH131,CJ131,CL131,CN131,CP131,CR131,CT131,CV131,CX131,CZ131,DB131,DD131)</f>
        <v>0</v>
      </c>
      <c r="DG131" s="6">
        <f>ROUND(1+DF131*'Live Calc'!$D$11,0)</f>
        <v>1</v>
      </c>
      <c r="DH131" s="6"/>
      <c r="DI131" s="6">
        <f>IF(DH131&lt;&gt;"",DH131,ROUND(DG131*INDEX('Live Calc'!$D$50:$D$70,MATCH(DE131,'Live Calc'!$A$50:$A$70,0))*'Live Calc'!$J$89,0))</f>
        <v>1</v>
      </c>
    </row>
    <row r="132" spans="39:113" x14ac:dyDescent="0.25">
      <c r="AM132" s="5" t="s">
        <v>469</v>
      </c>
      <c r="AN132" s="5" t="s">
        <v>60</v>
      </c>
      <c r="AO132" s="5">
        <v>9</v>
      </c>
      <c r="AP132" s="5">
        <v>0</v>
      </c>
      <c r="AQ132" s="5">
        <v>10</v>
      </c>
      <c r="AR132" s="5">
        <v>0</v>
      </c>
      <c r="AS132" s="5">
        <v>14</v>
      </c>
      <c r="AT132" s="5">
        <v>0</v>
      </c>
      <c r="AU132" s="5">
        <v>16</v>
      </c>
      <c r="AV132" s="5">
        <v>0</v>
      </c>
      <c r="AW132" s="5">
        <v>16</v>
      </c>
      <c r="AX132" s="5">
        <v>0</v>
      </c>
      <c r="AY132" s="5">
        <v>9</v>
      </c>
      <c r="AZ132" s="5">
        <v>0</v>
      </c>
      <c r="BA132" s="5">
        <v>11</v>
      </c>
      <c r="BB132" s="5">
        <v>0</v>
      </c>
      <c r="BC132" s="5">
        <v>13</v>
      </c>
      <c r="BD132" s="5">
        <v>0</v>
      </c>
      <c r="BE132" s="5">
        <v>17</v>
      </c>
      <c r="BF132" s="5">
        <v>0</v>
      </c>
      <c r="BG132" s="5">
        <v>17</v>
      </c>
      <c r="BH132" s="5">
        <v>0</v>
      </c>
      <c r="BI132" s="5">
        <v>11</v>
      </c>
      <c r="BJ132" s="5">
        <v>0</v>
      </c>
      <c r="BK132" s="5">
        <v>13</v>
      </c>
      <c r="BL132" s="5">
        <v>0</v>
      </c>
      <c r="BM132" s="5">
        <v>15</v>
      </c>
      <c r="BN132" s="5">
        <v>0</v>
      </c>
      <c r="BO132" s="5">
        <v>17</v>
      </c>
      <c r="BP132" s="5">
        <v>0</v>
      </c>
      <c r="BQ132" s="5">
        <v>18</v>
      </c>
      <c r="BR132" s="5">
        <v>0</v>
      </c>
      <c r="BS132" s="5">
        <f>CHOOSE(MATCH(Setup!$B$5,{8,10,12,14,16},0)+(MATCH(Setup!$B$7,{"STD","Half-PPR","PPR"},0)-1)*5,AO132,AQ132,AS132,AU132,AW132,AY132,BA132,BC132,BE132,BG132,BI132,BK132,BM132,BO132,BQ132)</f>
        <v>13</v>
      </c>
      <c r="BT132" s="5">
        <f>CHOOSE(MATCH(Setup!$B$5,{8,10,12,14,16},0)+(MATCH(Setup!$B$7,{"STD","Half-PPR","PPR"},0)-1)*5,AP132,AR132,AT132,AV132,AX132,AZ132,BB132,BD132,BF132,BH132,BJ132,BL132,BN132,BP132,BR132)</f>
        <v>0</v>
      </c>
      <c r="BU132" s="5">
        <f>ROUND(1+BT132*'Live Calc'!$D$10,0)</f>
        <v>1</v>
      </c>
      <c r="BV132" s="5"/>
      <c r="BW132" s="5">
        <f>IF(BV132&lt;&gt;"",BV132,ROUND(BU132*INDEX('Live Calc'!$D$29:$D$46,MATCH(BS132,'Live Calc'!$A$29:$A$46,0))*'Live Calc'!$J$89,0))</f>
        <v>1</v>
      </c>
      <c r="BY132" s="6" t="s">
        <v>470</v>
      </c>
      <c r="BZ132" s="6" t="s">
        <v>54</v>
      </c>
      <c r="CA132" s="6">
        <v>14</v>
      </c>
      <c r="CB132" s="6">
        <v>0</v>
      </c>
      <c r="CC132" s="6">
        <v>17</v>
      </c>
      <c r="CD132" s="6">
        <v>0</v>
      </c>
      <c r="CE132" s="6">
        <v>20</v>
      </c>
      <c r="CF132" s="6">
        <v>0</v>
      </c>
      <c r="CG132" s="6">
        <v>19</v>
      </c>
      <c r="CH132" s="6">
        <v>0</v>
      </c>
      <c r="CI132" s="6">
        <v>21</v>
      </c>
      <c r="CJ132" s="6">
        <v>0</v>
      </c>
      <c r="CK132" s="6">
        <v>10</v>
      </c>
      <c r="CL132" s="6">
        <v>0</v>
      </c>
      <c r="CM132" s="6">
        <v>15</v>
      </c>
      <c r="CN132" s="6">
        <v>0</v>
      </c>
      <c r="CO132" s="6">
        <v>15</v>
      </c>
      <c r="CP132" s="6">
        <v>0</v>
      </c>
      <c r="CQ132" s="6">
        <v>16</v>
      </c>
      <c r="CR132" s="6">
        <v>0</v>
      </c>
      <c r="CS132" s="6">
        <v>20</v>
      </c>
      <c r="CT132" s="6">
        <v>0</v>
      </c>
      <c r="CU132" s="6">
        <v>12</v>
      </c>
      <c r="CV132" s="6">
        <v>0</v>
      </c>
      <c r="CW132" s="6">
        <v>12</v>
      </c>
      <c r="CX132" s="6">
        <v>0</v>
      </c>
      <c r="CY132" s="6">
        <v>15</v>
      </c>
      <c r="CZ132" s="6">
        <v>0</v>
      </c>
      <c r="DA132" s="6">
        <v>18</v>
      </c>
      <c r="DB132" s="6">
        <v>0</v>
      </c>
      <c r="DC132" s="6">
        <v>20</v>
      </c>
      <c r="DD132" s="6">
        <v>0</v>
      </c>
      <c r="DE132" s="6">
        <f>CHOOSE(MATCH(Setup!$B$5,{8,10,12,14,16},0)+(MATCH(Setup!$B$7,{"STD","Half-PPR","PPR"},0)-1)*5,CA132,CC132,CE132,CG132,CI132,CK132,CM132,CO132,CQ132,CS132,CU132,CW132,CY132,DA132,DC132)</f>
        <v>15</v>
      </c>
      <c r="DF132" s="6">
        <f>CHOOSE(MATCH(Setup!$B$5,{8,10,12,14,16},0)+(MATCH(Setup!$B$7,{"STD","Half-PPR","PPR"},0)-1)*5,CB132,CD132,CF132,CH132,CJ132,CL132,CN132,CP132,CR132,CT132,CV132,CX132,CZ132,DB132,DD132)</f>
        <v>0</v>
      </c>
      <c r="DG132" s="6">
        <f>ROUND(1+DF132*'Live Calc'!$D$11,0)</f>
        <v>1</v>
      </c>
      <c r="DH132" s="6"/>
      <c r="DI132" s="6">
        <f>IF(DH132&lt;&gt;"",DH132,ROUND(DG132*INDEX('Live Calc'!$D$50:$D$70,MATCH(DE132,'Live Calc'!$A$50:$A$70,0))*'Live Calc'!$J$89,0))</f>
        <v>1</v>
      </c>
    </row>
    <row r="133" spans="39:113" x14ac:dyDescent="0.25">
      <c r="AM133" s="5" t="s">
        <v>471</v>
      </c>
      <c r="AN133" s="5" t="s">
        <v>79</v>
      </c>
      <c r="AO133" s="5">
        <v>9</v>
      </c>
      <c r="AP133" s="5">
        <v>0</v>
      </c>
      <c r="AQ133" s="5">
        <v>10</v>
      </c>
      <c r="AR133" s="5">
        <v>0</v>
      </c>
      <c r="AS133" s="5">
        <v>14</v>
      </c>
      <c r="AT133" s="5">
        <v>0</v>
      </c>
      <c r="AU133" s="5">
        <v>16</v>
      </c>
      <c r="AV133" s="5">
        <v>0</v>
      </c>
      <c r="AW133" s="5">
        <v>16</v>
      </c>
      <c r="AX133" s="5">
        <v>0</v>
      </c>
      <c r="AY133" s="5">
        <v>9</v>
      </c>
      <c r="AZ133" s="5">
        <v>0</v>
      </c>
      <c r="BA133" s="5">
        <v>11</v>
      </c>
      <c r="BB133" s="5">
        <v>0</v>
      </c>
      <c r="BC133" s="5">
        <v>13</v>
      </c>
      <c r="BD133" s="5">
        <v>0</v>
      </c>
      <c r="BE133" s="5">
        <v>17</v>
      </c>
      <c r="BF133" s="5">
        <v>0</v>
      </c>
      <c r="BG133" s="5">
        <v>17</v>
      </c>
      <c r="BH133" s="5">
        <v>0</v>
      </c>
      <c r="BI133" s="5">
        <v>11</v>
      </c>
      <c r="BJ133" s="5">
        <v>0</v>
      </c>
      <c r="BK133" s="5">
        <v>13</v>
      </c>
      <c r="BL133" s="5">
        <v>0</v>
      </c>
      <c r="BM133" s="5">
        <v>15</v>
      </c>
      <c r="BN133" s="5">
        <v>0</v>
      </c>
      <c r="BO133" s="5">
        <v>17</v>
      </c>
      <c r="BP133" s="5">
        <v>0</v>
      </c>
      <c r="BQ133" s="5">
        <v>18</v>
      </c>
      <c r="BR133" s="5">
        <v>0</v>
      </c>
      <c r="BS133" s="5">
        <f>CHOOSE(MATCH(Setup!$B$5,{8,10,12,14,16},0)+(MATCH(Setup!$B$7,{"STD","Half-PPR","PPR"},0)-1)*5,AO133,AQ133,AS133,AU133,AW133,AY133,BA133,BC133,BE133,BG133,BI133,BK133,BM133,BO133,BQ133)</f>
        <v>13</v>
      </c>
      <c r="BT133" s="5">
        <f>CHOOSE(MATCH(Setup!$B$5,{8,10,12,14,16},0)+(MATCH(Setup!$B$7,{"STD","Half-PPR","PPR"},0)-1)*5,AP133,AR133,AT133,AV133,AX133,AZ133,BB133,BD133,BF133,BH133,BJ133,BL133,BN133,BP133,BR133)</f>
        <v>0</v>
      </c>
      <c r="BU133" s="5">
        <f>ROUND(1+BT133*'Live Calc'!$D$10,0)</f>
        <v>1</v>
      </c>
      <c r="BV133" s="5"/>
      <c r="BW133" s="5">
        <f>IF(BV133&lt;&gt;"",BV133,ROUND(BU133*INDEX('Live Calc'!$D$29:$D$46,MATCH(BS133,'Live Calc'!$A$29:$A$46,0))*'Live Calc'!$J$89,0))</f>
        <v>1</v>
      </c>
      <c r="BY133" s="6" t="s">
        <v>472</v>
      </c>
      <c r="BZ133" s="6" t="s">
        <v>70</v>
      </c>
      <c r="CA133" s="6">
        <v>14</v>
      </c>
      <c r="CB133" s="6">
        <v>0</v>
      </c>
      <c r="CC133" s="6">
        <v>17</v>
      </c>
      <c r="CD133" s="6">
        <v>0</v>
      </c>
      <c r="CE133" s="6">
        <v>20</v>
      </c>
      <c r="CF133" s="6">
        <v>0</v>
      </c>
      <c r="CG133" s="6">
        <v>19</v>
      </c>
      <c r="CH133" s="6">
        <v>0</v>
      </c>
      <c r="CI133" s="6">
        <v>21</v>
      </c>
      <c r="CJ133" s="6">
        <v>0</v>
      </c>
      <c r="CK133" s="6">
        <v>10</v>
      </c>
      <c r="CL133" s="6">
        <v>0</v>
      </c>
      <c r="CM133" s="6">
        <v>15</v>
      </c>
      <c r="CN133" s="6">
        <v>0</v>
      </c>
      <c r="CO133" s="6">
        <v>15</v>
      </c>
      <c r="CP133" s="6">
        <v>0</v>
      </c>
      <c r="CQ133" s="6">
        <v>16</v>
      </c>
      <c r="CR133" s="6">
        <v>0</v>
      </c>
      <c r="CS133" s="6">
        <v>20</v>
      </c>
      <c r="CT133" s="6">
        <v>0</v>
      </c>
      <c r="CU133" s="6">
        <v>12</v>
      </c>
      <c r="CV133" s="6">
        <v>0</v>
      </c>
      <c r="CW133" s="6">
        <v>12</v>
      </c>
      <c r="CX133" s="6">
        <v>0</v>
      </c>
      <c r="CY133" s="6">
        <v>15</v>
      </c>
      <c r="CZ133" s="6">
        <v>0</v>
      </c>
      <c r="DA133" s="6">
        <v>18</v>
      </c>
      <c r="DB133" s="6">
        <v>0</v>
      </c>
      <c r="DC133" s="6">
        <v>20</v>
      </c>
      <c r="DD133" s="6">
        <v>0</v>
      </c>
      <c r="DE133" s="6">
        <f>CHOOSE(MATCH(Setup!$B$5,{8,10,12,14,16},0)+(MATCH(Setup!$B$7,{"STD","Half-PPR","PPR"},0)-1)*5,CA133,CC133,CE133,CG133,CI133,CK133,CM133,CO133,CQ133,CS133,CU133,CW133,CY133,DA133,DC133)</f>
        <v>15</v>
      </c>
      <c r="DF133" s="6">
        <f>CHOOSE(MATCH(Setup!$B$5,{8,10,12,14,16},0)+(MATCH(Setup!$B$7,{"STD","Half-PPR","PPR"},0)-1)*5,CB133,CD133,CF133,CH133,CJ133,CL133,CN133,CP133,CR133,CT133,CV133,CX133,CZ133,DB133,DD133)</f>
        <v>0</v>
      </c>
      <c r="DG133" s="6">
        <f>ROUND(1+DF133*'Live Calc'!$D$11,0)</f>
        <v>1</v>
      </c>
      <c r="DH133" s="6"/>
      <c r="DI133" s="6">
        <f>IF(DH133&lt;&gt;"",DH133,ROUND(DG133*INDEX('Live Calc'!$D$50:$D$70,MATCH(DE133,'Live Calc'!$A$50:$A$70,0))*'Live Calc'!$J$89,0))</f>
        <v>1</v>
      </c>
    </row>
    <row r="134" spans="39:113" x14ac:dyDescent="0.25">
      <c r="AM134" s="5" t="s">
        <v>473</v>
      </c>
      <c r="AN134" s="5" t="s">
        <v>86</v>
      </c>
      <c r="AO134" s="5">
        <v>9</v>
      </c>
      <c r="AP134" s="5">
        <v>0</v>
      </c>
      <c r="AQ134" s="5">
        <v>10</v>
      </c>
      <c r="AR134" s="5">
        <v>0</v>
      </c>
      <c r="AS134" s="5">
        <v>14</v>
      </c>
      <c r="AT134" s="5">
        <v>0</v>
      </c>
      <c r="AU134" s="5">
        <v>16</v>
      </c>
      <c r="AV134" s="5">
        <v>0</v>
      </c>
      <c r="AW134" s="5">
        <v>16</v>
      </c>
      <c r="AX134" s="5">
        <v>0</v>
      </c>
      <c r="AY134" s="5">
        <v>9</v>
      </c>
      <c r="AZ134" s="5">
        <v>0</v>
      </c>
      <c r="BA134" s="5">
        <v>11</v>
      </c>
      <c r="BB134" s="5">
        <v>0</v>
      </c>
      <c r="BC134" s="5">
        <v>13</v>
      </c>
      <c r="BD134" s="5">
        <v>0</v>
      </c>
      <c r="BE134" s="5">
        <v>17</v>
      </c>
      <c r="BF134" s="5">
        <v>0</v>
      </c>
      <c r="BG134" s="5">
        <v>17</v>
      </c>
      <c r="BH134" s="5">
        <v>0</v>
      </c>
      <c r="BI134" s="5">
        <v>11</v>
      </c>
      <c r="BJ134" s="5">
        <v>0</v>
      </c>
      <c r="BK134" s="5">
        <v>13</v>
      </c>
      <c r="BL134" s="5">
        <v>0</v>
      </c>
      <c r="BM134" s="5">
        <v>15</v>
      </c>
      <c r="BN134" s="5">
        <v>0</v>
      </c>
      <c r="BO134" s="5">
        <v>17</v>
      </c>
      <c r="BP134" s="5">
        <v>0</v>
      </c>
      <c r="BQ134" s="5">
        <v>18</v>
      </c>
      <c r="BR134" s="5">
        <v>0</v>
      </c>
      <c r="BS134" s="5">
        <f>CHOOSE(MATCH(Setup!$B$5,{8,10,12,14,16},0)+(MATCH(Setup!$B$7,{"STD","Half-PPR","PPR"},0)-1)*5,AO134,AQ134,AS134,AU134,AW134,AY134,BA134,BC134,BE134,BG134,BI134,BK134,BM134,BO134,BQ134)</f>
        <v>13</v>
      </c>
      <c r="BT134" s="5">
        <f>CHOOSE(MATCH(Setup!$B$5,{8,10,12,14,16},0)+(MATCH(Setup!$B$7,{"STD","Half-PPR","PPR"},0)-1)*5,AP134,AR134,AT134,AV134,AX134,AZ134,BB134,BD134,BF134,BH134,BJ134,BL134,BN134,BP134,BR134)</f>
        <v>0</v>
      </c>
      <c r="BU134" s="5">
        <f>ROUND(1+BT134*'Live Calc'!$D$10,0)</f>
        <v>1</v>
      </c>
      <c r="BV134" s="5"/>
      <c r="BW134" s="5">
        <f>IF(BV134&lt;&gt;"",BV134,ROUND(BU134*INDEX('Live Calc'!$D$29:$D$46,MATCH(BS134,'Live Calc'!$A$29:$A$46,0))*'Live Calc'!$J$89,0))</f>
        <v>1</v>
      </c>
      <c r="BY134" s="6" t="s">
        <v>474</v>
      </c>
      <c r="BZ134" s="6" t="s">
        <v>88</v>
      </c>
      <c r="CA134" s="6">
        <v>14</v>
      </c>
      <c r="CB134" s="6">
        <v>0</v>
      </c>
      <c r="CC134" s="6">
        <v>17</v>
      </c>
      <c r="CD134" s="6">
        <v>0</v>
      </c>
      <c r="CE134" s="6">
        <v>20</v>
      </c>
      <c r="CF134" s="6">
        <v>0</v>
      </c>
      <c r="CG134" s="6">
        <v>19</v>
      </c>
      <c r="CH134" s="6">
        <v>0</v>
      </c>
      <c r="CI134" s="6">
        <v>21</v>
      </c>
      <c r="CJ134" s="6">
        <v>0</v>
      </c>
      <c r="CK134" s="6">
        <v>10</v>
      </c>
      <c r="CL134" s="6">
        <v>0</v>
      </c>
      <c r="CM134" s="6">
        <v>15</v>
      </c>
      <c r="CN134" s="6">
        <v>0</v>
      </c>
      <c r="CO134" s="6">
        <v>15</v>
      </c>
      <c r="CP134" s="6">
        <v>0</v>
      </c>
      <c r="CQ134" s="6">
        <v>16</v>
      </c>
      <c r="CR134" s="6">
        <v>0</v>
      </c>
      <c r="CS134" s="6">
        <v>20</v>
      </c>
      <c r="CT134" s="6">
        <v>0</v>
      </c>
      <c r="CU134" s="6">
        <v>12</v>
      </c>
      <c r="CV134" s="6">
        <v>0</v>
      </c>
      <c r="CW134" s="6">
        <v>12</v>
      </c>
      <c r="CX134" s="6">
        <v>0</v>
      </c>
      <c r="CY134" s="6">
        <v>15</v>
      </c>
      <c r="CZ134" s="6">
        <v>0</v>
      </c>
      <c r="DA134" s="6">
        <v>18</v>
      </c>
      <c r="DB134" s="6">
        <v>0</v>
      </c>
      <c r="DC134" s="6">
        <v>20</v>
      </c>
      <c r="DD134" s="6">
        <v>0</v>
      </c>
      <c r="DE134" s="6">
        <f>CHOOSE(MATCH(Setup!$B$5,{8,10,12,14,16},0)+(MATCH(Setup!$B$7,{"STD","Half-PPR","PPR"},0)-1)*5,CA134,CC134,CE134,CG134,CI134,CK134,CM134,CO134,CQ134,CS134,CU134,CW134,CY134,DA134,DC134)</f>
        <v>15</v>
      </c>
      <c r="DF134" s="6">
        <f>CHOOSE(MATCH(Setup!$B$5,{8,10,12,14,16},0)+(MATCH(Setup!$B$7,{"STD","Half-PPR","PPR"},0)-1)*5,CB134,CD134,CF134,CH134,CJ134,CL134,CN134,CP134,CR134,CT134,CV134,CX134,CZ134,DB134,DD134)</f>
        <v>0</v>
      </c>
      <c r="DG134" s="6">
        <f>ROUND(1+DF134*'Live Calc'!$D$11,0)</f>
        <v>1</v>
      </c>
      <c r="DH134" s="6"/>
      <c r="DI134" s="6">
        <f>IF(DH134&lt;&gt;"",DH134,ROUND(DG134*INDEX('Live Calc'!$D$50:$D$70,MATCH(DE134,'Live Calc'!$A$50:$A$70,0))*'Live Calc'!$J$89,0))</f>
        <v>1</v>
      </c>
    </row>
    <row r="135" spans="39:113" x14ac:dyDescent="0.25">
      <c r="AM135" s="5" t="s">
        <v>475</v>
      </c>
      <c r="AN135" s="5" t="s">
        <v>124</v>
      </c>
      <c r="AO135" s="5">
        <v>9</v>
      </c>
      <c r="AP135" s="5">
        <v>0</v>
      </c>
      <c r="AQ135" s="5">
        <v>10</v>
      </c>
      <c r="AR135" s="5">
        <v>0</v>
      </c>
      <c r="AS135" s="5">
        <v>14</v>
      </c>
      <c r="AT135" s="5">
        <v>0</v>
      </c>
      <c r="AU135" s="5">
        <v>16</v>
      </c>
      <c r="AV135" s="5">
        <v>0</v>
      </c>
      <c r="AW135" s="5">
        <v>16</v>
      </c>
      <c r="AX135" s="5">
        <v>0</v>
      </c>
      <c r="AY135" s="5">
        <v>9</v>
      </c>
      <c r="AZ135" s="5">
        <v>0</v>
      </c>
      <c r="BA135" s="5">
        <v>11</v>
      </c>
      <c r="BB135" s="5">
        <v>0</v>
      </c>
      <c r="BC135" s="5">
        <v>13</v>
      </c>
      <c r="BD135" s="5">
        <v>0</v>
      </c>
      <c r="BE135" s="5">
        <v>17</v>
      </c>
      <c r="BF135" s="5">
        <v>0</v>
      </c>
      <c r="BG135" s="5">
        <v>17</v>
      </c>
      <c r="BH135" s="5">
        <v>0</v>
      </c>
      <c r="BI135" s="5">
        <v>11</v>
      </c>
      <c r="BJ135" s="5">
        <v>0</v>
      </c>
      <c r="BK135" s="5">
        <v>13</v>
      </c>
      <c r="BL135" s="5">
        <v>0</v>
      </c>
      <c r="BM135" s="5">
        <v>15</v>
      </c>
      <c r="BN135" s="5">
        <v>0</v>
      </c>
      <c r="BO135" s="5">
        <v>17</v>
      </c>
      <c r="BP135" s="5">
        <v>0</v>
      </c>
      <c r="BQ135" s="5">
        <v>18</v>
      </c>
      <c r="BR135" s="5">
        <v>0</v>
      </c>
      <c r="BS135" s="5">
        <f>CHOOSE(MATCH(Setup!$B$5,{8,10,12,14,16},0)+(MATCH(Setup!$B$7,{"STD","Half-PPR","PPR"},0)-1)*5,AO135,AQ135,AS135,AU135,AW135,AY135,BA135,BC135,BE135,BG135,BI135,BK135,BM135,BO135,BQ135)</f>
        <v>13</v>
      </c>
      <c r="BT135" s="5">
        <f>CHOOSE(MATCH(Setup!$B$5,{8,10,12,14,16},0)+(MATCH(Setup!$B$7,{"STD","Half-PPR","PPR"},0)-1)*5,AP135,AR135,AT135,AV135,AX135,AZ135,BB135,BD135,BF135,BH135,BJ135,BL135,BN135,BP135,BR135)</f>
        <v>0</v>
      </c>
      <c r="BU135" s="5">
        <f>ROUND(1+BT135*'Live Calc'!$D$10,0)</f>
        <v>1</v>
      </c>
      <c r="BV135" s="5"/>
      <c r="BW135" s="5">
        <f>IF(BV135&lt;&gt;"",BV135,ROUND(BU135*INDEX('Live Calc'!$D$29:$D$46,MATCH(BS135,'Live Calc'!$A$29:$A$46,0))*'Live Calc'!$J$89,0))</f>
        <v>1</v>
      </c>
      <c r="BY135" s="6" t="s">
        <v>476</v>
      </c>
      <c r="BZ135" s="6" t="s">
        <v>70</v>
      </c>
      <c r="CA135" s="6">
        <v>14</v>
      </c>
      <c r="CB135" s="6">
        <v>0</v>
      </c>
      <c r="CC135" s="6">
        <v>17</v>
      </c>
      <c r="CD135" s="6">
        <v>0</v>
      </c>
      <c r="CE135" s="6">
        <v>20</v>
      </c>
      <c r="CF135" s="6">
        <v>0</v>
      </c>
      <c r="CG135" s="6">
        <v>19</v>
      </c>
      <c r="CH135" s="6">
        <v>0</v>
      </c>
      <c r="CI135" s="6">
        <v>21</v>
      </c>
      <c r="CJ135" s="6">
        <v>0</v>
      </c>
      <c r="CK135" s="6">
        <v>10</v>
      </c>
      <c r="CL135" s="6">
        <v>0</v>
      </c>
      <c r="CM135" s="6">
        <v>15</v>
      </c>
      <c r="CN135" s="6">
        <v>0</v>
      </c>
      <c r="CO135" s="6">
        <v>15</v>
      </c>
      <c r="CP135" s="6">
        <v>0</v>
      </c>
      <c r="CQ135" s="6">
        <v>16</v>
      </c>
      <c r="CR135" s="6">
        <v>0</v>
      </c>
      <c r="CS135" s="6">
        <v>20</v>
      </c>
      <c r="CT135" s="6">
        <v>0</v>
      </c>
      <c r="CU135" s="6">
        <v>12</v>
      </c>
      <c r="CV135" s="6">
        <v>0</v>
      </c>
      <c r="CW135" s="6">
        <v>12</v>
      </c>
      <c r="CX135" s="6">
        <v>0</v>
      </c>
      <c r="CY135" s="6">
        <v>15</v>
      </c>
      <c r="CZ135" s="6">
        <v>0</v>
      </c>
      <c r="DA135" s="6">
        <v>18</v>
      </c>
      <c r="DB135" s="6">
        <v>0</v>
      </c>
      <c r="DC135" s="6">
        <v>20</v>
      </c>
      <c r="DD135" s="6">
        <v>0</v>
      </c>
      <c r="DE135" s="6">
        <f>CHOOSE(MATCH(Setup!$B$5,{8,10,12,14,16},0)+(MATCH(Setup!$B$7,{"STD","Half-PPR","PPR"},0)-1)*5,CA135,CC135,CE135,CG135,CI135,CK135,CM135,CO135,CQ135,CS135,CU135,CW135,CY135,DA135,DC135)</f>
        <v>15</v>
      </c>
      <c r="DF135" s="6">
        <f>CHOOSE(MATCH(Setup!$B$5,{8,10,12,14,16},0)+(MATCH(Setup!$B$7,{"STD","Half-PPR","PPR"},0)-1)*5,CB135,CD135,CF135,CH135,CJ135,CL135,CN135,CP135,CR135,CT135,CV135,CX135,CZ135,DB135,DD135)</f>
        <v>0</v>
      </c>
      <c r="DG135" s="6">
        <f>ROUND(1+DF135*'Live Calc'!$D$11,0)</f>
        <v>1</v>
      </c>
      <c r="DH135" s="6"/>
      <c r="DI135" s="6">
        <f>IF(DH135&lt;&gt;"",DH135,ROUND(DG135*INDEX('Live Calc'!$D$50:$D$70,MATCH(DE135,'Live Calc'!$A$50:$A$70,0))*'Live Calc'!$J$89,0))</f>
        <v>1</v>
      </c>
    </row>
    <row r="136" spans="39:113" x14ac:dyDescent="0.25">
      <c r="AM136" s="5" t="s">
        <v>477</v>
      </c>
      <c r="AN136" s="5" t="s">
        <v>110</v>
      </c>
      <c r="AO136" s="5">
        <v>9</v>
      </c>
      <c r="AP136" s="5">
        <v>0</v>
      </c>
      <c r="AQ136" s="5">
        <v>10</v>
      </c>
      <c r="AR136" s="5">
        <v>0</v>
      </c>
      <c r="AS136" s="5">
        <v>14</v>
      </c>
      <c r="AT136" s="5">
        <v>0</v>
      </c>
      <c r="AU136" s="5">
        <v>16</v>
      </c>
      <c r="AV136" s="5">
        <v>0</v>
      </c>
      <c r="AW136" s="5">
        <v>16</v>
      </c>
      <c r="AX136" s="5">
        <v>0</v>
      </c>
      <c r="AY136" s="5">
        <v>9</v>
      </c>
      <c r="AZ136" s="5">
        <v>0</v>
      </c>
      <c r="BA136" s="5">
        <v>11</v>
      </c>
      <c r="BB136" s="5">
        <v>0</v>
      </c>
      <c r="BC136" s="5">
        <v>13</v>
      </c>
      <c r="BD136" s="5">
        <v>0</v>
      </c>
      <c r="BE136" s="5">
        <v>17</v>
      </c>
      <c r="BF136" s="5">
        <v>0</v>
      </c>
      <c r="BG136" s="5">
        <v>17</v>
      </c>
      <c r="BH136" s="5">
        <v>0</v>
      </c>
      <c r="BI136" s="5">
        <v>11</v>
      </c>
      <c r="BJ136" s="5">
        <v>0</v>
      </c>
      <c r="BK136" s="5">
        <v>13</v>
      </c>
      <c r="BL136" s="5">
        <v>0</v>
      </c>
      <c r="BM136" s="5">
        <v>15</v>
      </c>
      <c r="BN136" s="5">
        <v>0</v>
      </c>
      <c r="BO136" s="5">
        <v>17</v>
      </c>
      <c r="BP136" s="5">
        <v>0</v>
      </c>
      <c r="BQ136" s="5">
        <v>18</v>
      </c>
      <c r="BR136" s="5">
        <v>0</v>
      </c>
      <c r="BS136" s="5">
        <f>CHOOSE(MATCH(Setup!$B$5,{8,10,12,14,16},0)+(MATCH(Setup!$B$7,{"STD","Half-PPR","PPR"},0)-1)*5,AO136,AQ136,AS136,AU136,AW136,AY136,BA136,BC136,BE136,BG136,BI136,BK136,BM136,BO136,BQ136)</f>
        <v>13</v>
      </c>
      <c r="BT136" s="5">
        <f>CHOOSE(MATCH(Setup!$B$5,{8,10,12,14,16},0)+(MATCH(Setup!$B$7,{"STD","Half-PPR","PPR"},0)-1)*5,AP136,AR136,AT136,AV136,AX136,AZ136,BB136,BD136,BF136,BH136,BJ136,BL136,BN136,BP136,BR136)</f>
        <v>0</v>
      </c>
      <c r="BU136" s="5">
        <f>ROUND(1+BT136*'Live Calc'!$D$10,0)</f>
        <v>1</v>
      </c>
      <c r="BV136" s="5"/>
      <c r="BW136" s="5">
        <f>IF(BV136&lt;&gt;"",BV136,ROUND(BU136*INDEX('Live Calc'!$D$29:$D$46,MATCH(BS136,'Live Calc'!$A$29:$A$46,0))*'Live Calc'!$J$89,0))</f>
        <v>1</v>
      </c>
      <c r="BY136" s="6" t="s">
        <v>478</v>
      </c>
      <c r="BZ136" s="6" t="s">
        <v>70</v>
      </c>
      <c r="CA136" s="6">
        <v>14</v>
      </c>
      <c r="CB136" s="6">
        <v>0</v>
      </c>
      <c r="CC136" s="6">
        <v>17</v>
      </c>
      <c r="CD136" s="6">
        <v>0</v>
      </c>
      <c r="CE136" s="6">
        <v>20</v>
      </c>
      <c r="CF136" s="6">
        <v>0</v>
      </c>
      <c r="CG136" s="6">
        <v>19</v>
      </c>
      <c r="CH136" s="6">
        <v>0</v>
      </c>
      <c r="CI136" s="6">
        <v>21</v>
      </c>
      <c r="CJ136" s="6">
        <v>0</v>
      </c>
      <c r="CK136" s="6">
        <v>10</v>
      </c>
      <c r="CL136" s="6">
        <v>0</v>
      </c>
      <c r="CM136" s="6">
        <v>15</v>
      </c>
      <c r="CN136" s="6">
        <v>0</v>
      </c>
      <c r="CO136" s="6">
        <v>15</v>
      </c>
      <c r="CP136" s="6">
        <v>0</v>
      </c>
      <c r="CQ136" s="6">
        <v>16</v>
      </c>
      <c r="CR136" s="6">
        <v>0</v>
      </c>
      <c r="CS136" s="6">
        <v>20</v>
      </c>
      <c r="CT136" s="6">
        <v>0</v>
      </c>
      <c r="CU136" s="6">
        <v>12</v>
      </c>
      <c r="CV136" s="6">
        <v>0</v>
      </c>
      <c r="CW136" s="6">
        <v>12</v>
      </c>
      <c r="CX136" s="6">
        <v>0</v>
      </c>
      <c r="CY136" s="6">
        <v>15</v>
      </c>
      <c r="CZ136" s="6">
        <v>0</v>
      </c>
      <c r="DA136" s="6">
        <v>18</v>
      </c>
      <c r="DB136" s="6">
        <v>0</v>
      </c>
      <c r="DC136" s="6">
        <v>20</v>
      </c>
      <c r="DD136" s="6">
        <v>0</v>
      </c>
      <c r="DE136" s="6">
        <f>CHOOSE(MATCH(Setup!$B$5,{8,10,12,14,16},0)+(MATCH(Setup!$B$7,{"STD","Half-PPR","PPR"},0)-1)*5,CA136,CC136,CE136,CG136,CI136,CK136,CM136,CO136,CQ136,CS136,CU136,CW136,CY136,DA136,DC136)</f>
        <v>15</v>
      </c>
      <c r="DF136" s="6">
        <f>CHOOSE(MATCH(Setup!$B$5,{8,10,12,14,16},0)+(MATCH(Setup!$B$7,{"STD","Half-PPR","PPR"},0)-1)*5,CB136,CD136,CF136,CH136,CJ136,CL136,CN136,CP136,CR136,CT136,CV136,CX136,CZ136,DB136,DD136)</f>
        <v>0</v>
      </c>
      <c r="DG136" s="6">
        <f>ROUND(1+DF136*'Live Calc'!$D$11,0)</f>
        <v>1</v>
      </c>
      <c r="DH136" s="6"/>
      <c r="DI136" s="6">
        <f>IF(DH136&lt;&gt;"",DH136,ROUND(DG136*INDEX('Live Calc'!$D$50:$D$70,MATCH(DE136,'Live Calc'!$A$50:$A$70,0))*'Live Calc'!$J$89,0))</f>
        <v>1</v>
      </c>
    </row>
    <row r="137" spans="39:113" x14ac:dyDescent="0.25">
      <c r="AM137" s="5" t="s">
        <v>479</v>
      </c>
      <c r="AN137" s="5" t="s">
        <v>104</v>
      </c>
      <c r="AO137" s="5">
        <v>9</v>
      </c>
      <c r="AP137" s="5">
        <v>0</v>
      </c>
      <c r="AQ137" s="5">
        <v>10</v>
      </c>
      <c r="AR137" s="5">
        <v>0</v>
      </c>
      <c r="AS137" s="5">
        <v>14</v>
      </c>
      <c r="AT137" s="5">
        <v>0</v>
      </c>
      <c r="AU137" s="5">
        <v>16</v>
      </c>
      <c r="AV137" s="5">
        <v>0</v>
      </c>
      <c r="AW137" s="5">
        <v>16</v>
      </c>
      <c r="AX137" s="5">
        <v>0</v>
      </c>
      <c r="AY137" s="5">
        <v>9</v>
      </c>
      <c r="AZ137" s="5">
        <v>0</v>
      </c>
      <c r="BA137" s="5">
        <v>11</v>
      </c>
      <c r="BB137" s="5">
        <v>0</v>
      </c>
      <c r="BC137" s="5">
        <v>13</v>
      </c>
      <c r="BD137" s="5">
        <v>0</v>
      </c>
      <c r="BE137" s="5">
        <v>17</v>
      </c>
      <c r="BF137" s="5">
        <v>0</v>
      </c>
      <c r="BG137" s="5">
        <v>17</v>
      </c>
      <c r="BH137" s="5">
        <v>0</v>
      </c>
      <c r="BI137" s="5">
        <v>11</v>
      </c>
      <c r="BJ137" s="5">
        <v>0</v>
      </c>
      <c r="BK137" s="5">
        <v>13</v>
      </c>
      <c r="BL137" s="5">
        <v>0</v>
      </c>
      <c r="BM137" s="5">
        <v>15</v>
      </c>
      <c r="BN137" s="5">
        <v>0</v>
      </c>
      <c r="BO137" s="5">
        <v>17</v>
      </c>
      <c r="BP137" s="5">
        <v>0</v>
      </c>
      <c r="BQ137" s="5">
        <v>18</v>
      </c>
      <c r="BR137" s="5">
        <v>0</v>
      </c>
      <c r="BS137" s="5">
        <f>CHOOSE(MATCH(Setup!$B$5,{8,10,12,14,16},0)+(MATCH(Setup!$B$7,{"STD","Half-PPR","PPR"},0)-1)*5,AO137,AQ137,AS137,AU137,AW137,AY137,BA137,BC137,BE137,BG137,BI137,BK137,BM137,BO137,BQ137)</f>
        <v>13</v>
      </c>
      <c r="BT137" s="5">
        <f>CHOOSE(MATCH(Setup!$B$5,{8,10,12,14,16},0)+(MATCH(Setup!$B$7,{"STD","Half-PPR","PPR"},0)-1)*5,AP137,AR137,AT137,AV137,AX137,AZ137,BB137,BD137,BF137,BH137,BJ137,BL137,BN137,BP137,BR137)</f>
        <v>0</v>
      </c>
      <c r="BU137" s="5">
        <f>ROUND(1+BT137*'Live Calc'!$D$10,0)</f>
        <v>1</v>
      </c>
      <c r="BV137" s="5"/>
      <c r="BW137" s="5">
        <f>IF(BV137&lt;&gt;"",BV137,ROUND(BU137*INDEX('Live Calc'!$D$29:$D$46,MATCH(BS137,'Live Calc'!$A$29:$A$46,0))*'Live Calc'!$J$89,0))</f>
        <v>1</v>
      </c>
      <c r="BY137" s="6" t="s">
        <v>480</v>
      </c>
      <c r="BZ137" s="6" t="s">
        <v>253</v>
      </c>
      <c r="CA137" s="6">
        <v>14</v>
      </c>
      <c r="CB137" s="6">
        <v>0</v>
      </c>
      <c r="CC137" s="6">
        <v>17</v>
      </c>
      <c r="CD137" s="6">
        <v>0</v>
      </c>
      <c r="CE137" s="6">
        <v>20</v>
      </c>
      <c r="CF137" s="6">
        <v>0</v>
      </c>
      <c r="CG137" s="6">
        <v>19</v>
      </c>
      <c r="CH137" s="6">
        <v>0</v>
      </c>
      <c r="CI137" s="6">
        <v>21</v>
      </c>
      <c r="CJ137" s="6">
        <v>0</v>
      </c>
      <c r="CK137" s="6">
        <v>10</v>
      </c>
      <c r="CL137" s="6">
        <v>0</v>
      </c>
      <c r="CM137" s="6">
        <v>15</v>
      </c>
      <c r="CN137" s="6">
        <v>0</v>
      </c>
      <c r="CO137" s="6">
        <v>15</v>
      </c>
      <c r="CP137" s="6">
        <v>0</v>
      </c>
      <c r="CQ137" s="6">
        <v>16</v>
      </c>
      <c r="CR137" s="6">
        <v>0</v>
      </c>
      <c r="CS137" s="6">
        <v>20</v>
      </c>
      <c r="CT137" s="6">
        <v>0</v>
      </c>
      <c r="CU137" s="6">
        <v>12</v>
      </c>
      <c r="CV137" s="6">
        <v>0</v>
      </c>
      <c r="CW137" s="6">
        <v>12</v>
      </c>
      <c r="CX137" s="6">
        <v>0</v>
      </c>
      <c r="CY137" s="6">
        <v>15</v>
      </c>
      <c r="CZ137" s="6">
        <v>0</v>
      </c>
      <c r="DA137" s="6">
        <v>18</v>
      </c>
      <c r="DB137" s="6">
        <v>0</v>
      </c>
      <c r="DC137" s="6">
        <v>20</v>
      </c>
      <c r="DD137" s="6">
        <v>0</v>
      </c>
      <c r="DE137" s="6">
        <f>CHOOSE(MATCH(Setup!$B$5,{8,10,12,14,16},0)+(MATCH(Setup!$B$7,{"STD","Half-PPR","PPR"},0)-1)*5,CA137,CC137,CE137,CG137,CI137,CK137,CM137,CO137,CQ137,CS137,CU137,CW137,CY137,DA137,DC137)</f>
        <v>15</v>
      </c>
      <c r="DF137" s="6">
        <f>CHOOSE(MATCH(Setup!$B$5,{8,10,12,14,16},0)+(MATCH(Setup!$B$7,{"STD","Half-PPR","PPR"},0)-1)*5,CB137,CD137,CF137,CH137,CJ137,CL137,CN137,CP137,CR137,CT137,CV137,CX137,CZ137,DB137,DD137)</f>
        <v>0</v>
      </c>
      <c r="DG137" s="6">
        <f>ROUND(1+DF137*'Live Calc'!$D$11,0)</f>
        <v>1</v>
      </c>
      <c r="DH137" s="6"/>
      <c r="DI137" s="6">
        <f>IF(DH137&lt;&gt;"",DH137,ROUND(DG137*INDEX('Live Calc'!$D$50:$D$70,MATCH(DE137,'Live Calc'!$A$50:$A$70,0))*'Live Calc'!$J$89,0))</f>
        <v>1</v>
      </c>
    </row>
    <row r="138" spans="39:113" x14ac:dyDescent="0.25">
      <c r="AM138" s="5" t="s">
        <v>481</v>
      </c>
      <c r="AN138" s="5" t="s">
        <v>70</v>
      </c>
      <c r="AO138" s="5">
        <v>9</v>
      </c>
      <c r="AP138" s="5">
        <v>0</v>
      </c>
      <c r="AQ138" s="5">
        <v>10</v>
      </c>
      <c r="AR138" s="5">
        <v>0</v>
      </c>
      <c r="AS138" s="5">
        <v>14</v>
      </c>
      <c r="AT138" s="5">
        <v>0</v>
      </c>
      <c r="AU138" s="5">
        <v>16</v>
      </c>
      <c r="AV138" s="5">
        <v>0</v>
      </c>
      <c r="AW138" s="5">
        <v>16</v>
      </c>
      <c r="AX138" s="5">
        <v>0</v>
      </c>
      <c r="AY138" s="5">
        <v>9</v>
      </c>
      <c r="AZ138" s="5">
        <v>0</v>
      </c>
      <c r="BA138" s="5">
        <v>11</v>
      </c>
      <c r="BB138" s="5">
        <v>0</v>
      </c>
      <c r="BC138" s="5">
        <v>13</v>
      </c>
      <c r="BD138" s="5">
        <v>0</v>
      </c>
      <c r="BE138" s="5">
        <v>17</v>
      </c>
      <c r="BF138" s="5">
        <v>0</v>
      </c>
      <c r="BG138" s="5">
        <v>17</v>
      </c>
      <c r="BH138" s="5">
        <v>0</v>
      </c>
      <c r="BI138" s="5">
        <v>11</v>
      </c>
      <c r="BJ138" s="5">
        <v>0</v>
      </c>
      <c r="BK138" s="5">
        <v>13</v>
      </c>
      <c r="BL138" s="5">
        <v>0</v>
      </c>
      <c r="BM138" s="5">
        <v>15</v>
      </c>
      <c r="BN138" s="5">
        <v>0</v>
      </c>
      <c r="BO138" s="5">
        <v>17</v>
      </c>
      <c r="BP138" s="5">
        <v>0</v>
      </c>
      <c r="BQ138" s="5">
        <v>18</v>
      </c>
      <c r="BR138" s="5">
        <v>0</v>
      </c>
      <c r="BS138" s="5">
        <f>CHOOSE(MATCH(Setup!$B$5,{8,10,12,14,16},0)+(MATCH(Setup!$B$7,{"STD","Half-PPR","PPR"},0)-1)*5,AO138,AQ138,AS138,AU138,AW138,AY138,BA138,BC138,BE138,BG138,BI138,BK138,BM138,BO138,BQ138)</f>
        <v>13</v>
      </c>
      <c r="BT138" s="5">
        <f>CHOOSE(MATCH(Setup!$B$5,{8,10,12,14,16},0)+(MATCH(Setup!$B$7,{"STD","Half-PPR","PPR"},0)-1)*5,AP138,AR138,AT138,AV138,AX138,AZ138,BB138,BD138,BF138,BH138,BJ138,BL138,BN138,BP138,BR138)</f>
        <v>0</v>
      </c>
      <c r="BU138" s="5">
        <f>ROUND(1+BT138*'Live Calc'!$D$10,0)</f>
        <v>1</v>
      </c>
      <c r="BV138" s="5"/>
      <c r="BW138" s="5">
        <f>IF(BV138&lt;&gt;"",BV138,ROUND(BU138*INDEX('Live Calc'!$D$29:$D$46,MATCH(BS138,'Live Calc'!$A$29:$A$46,0))*'Live Calc'!$J$89,0))</f>
        <v>1</v>
      </c>
      <c r="BY138" s="6" t="s">
        <v>482</v>
      </c>
      <c r="BZ138" s="6" t="s">
        <v>253</v>
      </c>
      <c r="CA138" s="6">
        <v>14</v>
      </c>
      <c r="CB138" s="6">
        <v>0</v>
      </c>
      <c r="CC138" s="6">
        <v>17</v>
      </c>
      <c r="CD138" s="6">
        <v>0</v>
      </c>
      <c r="CE138" s="6">
        <v>20</v>
      </c>
      <c r="CF138" s="6">
        <v>0</v>
      </c>
      <c r="CG138" s="6">
        <v>19</v>
      </c>
      <c r="CH138" s="6">
        <v>0</v>
      </c>
      <c r="CI138" s="6">
        <v>21</v>
      </c>
      <c r="CJ138" s="6">
        <v>0</v>
      </c>
      <c r="CK138" s="6">
        <v>10</v>
      </c>
      <c r="CL138" s="6">
        <v>0</v>
      </c>
      <c r="CM138" s="6">
        <v>15</v>
      </c>
      <c r="CN138" s="6">
        <v>0</v>
      </c>
      <c r="CO138" s="6">
        <v>15</v>
      </c>
      <c r="CP138" s="6">
        <v>0</v>
      </c>
      <c r="CQ138" s="6">
        <v>16</v>
      </c>
      <c r="CR138" s="6">
        <v>0</v>
      </c>
      <c r="CS138" s="6">
        <v>20</v>
      </c>
      <c r="CT138" s="6">
        <v>0</v>
      </c>
      <c r="CU138" s="6">
        <v>12</v>
      </c>
      <c r="CV138" s="6">
        <v>0</v>
      </c>
      <c r="CW138" s="6">
        <v>12</v>
      </c>
      <c r="CX138" s="6">
        <v>0</v>
      </c>
      <c r="CY138" s="6">
        <v>15</v>
      </c>
      <c r="CZ138" s="6">
        <v>0</v>
      </c>
      <c r="DA138" s="6">
        <v>18</v>
      </c>
      <c r="DB138" s="6">
        <v>0</v>
      </c>
      <c r="DC138" s="6">
        <v>20</v>
      </c>
      <c r="DD138" s="6">
        <v>0</v>
      </c>
      <c r="DE138" s="6">
        <f>CHOOSE(MATCH(Setup!$B$5,{8,10,12,14,16},0)+(MATCH(Setup!$B$7,{"STD","Half-PPR","PPR"},0)-1)*5,CA138,CC138,CE138,CG138,CI138,CK138,CM138,CO138,CQ138,CS138,CU138,CW138,CY138,DA138,DC138)</f>
        <v>15</v>
      </c>
      <c r="DF138" s="6">
        <f>CHOOSE(MATCH(Setup!$B$5,{8,10,12,14,16},0)+(MATCH(Setup!$B$7,{"STD","Half-PPR","PPR"},0)-1)*5,CB138,CD138,CF138,CH138,CJ138,CL138,CN138,CP138,CR138,CT138,CV138,CX138,CZ138,DB138,DD138)</f>
        <v>0</v>
      </c>
      <c r="DG138" s="6">
        <f>ROUND(1+DF138*'Live Calc'!$D$11,0)</f>
        <v>1</v>
      </c>
      <c r="DH138" s="6"/>
      <c r="DI138" s="6">
        <f>IF(DH138&lt;&gt;"",DH138,ROUND(DG138*INDEX('Live Calc'!$D$50:$D$70,MATCH(DE138,'Live Calc'!$A$50:$A$70,0))*'Live Calc'!$J$89,0))</f>
        <v>1</v>
      </c>
    </row>
    <row r="139" spans="39:113" x14ac:dyDescent="0.25">
      <c r="AM139" s="5" t="s">
        <v>483</v>
      </c>
      <c r="AN139" s="5" t="s">
        <v>46</v>
      </c>
      <c r="AO139" s="5">
        <v>9</v>
      </c>
      <c r="AP139" s="5">
        <v>0</v>
      </c>
      <c r="AQ139" s="5">
        <v>10</v>
      </c>
      <c r="AR139" s="5">
        <v>0</v>
      </c>
      <c r="AS139" s="5">
        <v>14</v>
      </c>
      <c r="AT139" s="5">
        <v>0</v>
      </c>
      <c r="AU139" s="5">
        <v>16</v>
      </c>
      <c r="AV139" s="5">
        <v>0</v>
      </c>
      <c r="AW139" s="5">
        <v>16</v>
      </c>
      <c r="AX139" s="5">
        <v>0</v>
      </c>
      <c r="AY139" s="5">
        <v>9</v>
      </c>
      <c r="AZ139" s="5">
        <v>0</v>
      </c>
      <c r="BA139" s="5">
        <v>11</v>
      </c>
      <c r="BB139" s="5">
        <v>0</v>
      </c>
      <c r="BC139" s="5">
        <v>13</v>
      </c>
      <c r="BD139" s="5">
        <v>0</v>
      </c>
      <c r="BE139" s="5">
        <v>17</v>
      </c>
      <c r="BF139" s="5">
        <v>0</v>
      </c>
      <c r="BG139" s="5">
        <v>17</v>
      </c>
      <c r="BH139" s="5">
        <v>0</v>
      </c>
      <c r="BI139" s="5">
        <v>11</v>
      </c>
      <c r="BJ139" s="5">
        <v>0</v>
      </c>
      <c r="BK139" s="5">
        <v>13</v>
      </c>
      <c r="BL139" s="5">
        <v>0</v>
      </c>
      <c r="BM139" s="5">
        <v>15</v>
      </c>
      <c r="BN139" s="5">
        <v>0</v>
      </c>
      <c r="BO139" s="5">
        <v>17</v>
      </c>
      <c r="BP139" s="5">
        <v>0</v>
      </c>
      <c r="BQ139" s="5">
        <v>18</v>
      </c>
      <c r="BR139" s="5">
        <v>0</v>
      </c>
      <c r="BS139" s="5">
        <f>CHOOSE(MATCH(Setup!$B$5,{8,10,12,14,16},0)+(MATCH(Setup!$B$7,{"STD","Half-PPR","PPR"},0)-1)*5,AO139,AQ139,AS139,AU139,AW139,AY139,BA139,BC139,BE139,BG139,BI139,BK139,BM139,BO139,BQ139)</f>
        <v>13</v>
      </c>
      <c r="BT139" s="5">
        <f>CHOOSE(MATCH(Setup!$B$5,{8,10,12,14,16},0)+(MATCH(Setup!$B$7,{"STD","Half-PPR","PPR"},0)-1)*5,AP139,AR139,AT139,AV139,AX139,AZ139,BB139,BD139,BF139,BH139,BJ139,BL139,BN139,BP139,BR139)</f>
        <v>0</v>
      </c>
      <c r="BU139" s="5">
        <f>ROUND(1+BT139*'Live Calc'!$D$10,0)</f>
        <v>1</v>
      </c>
      <c r="BV139" s="5"/>
      <c r="BW139" s="5">
        <f>IF(BV139&lt;&gt;"",BV139,ROUND(BU139*INDEX('Live Calc'!$D$29:$D$46,MATCH(BS139,'Live Calc'!$A$29:$A$46,0))*'Live Calc'!$J$89,0))</f>
        <v>1</v>
      </c>
      <c r="BY139" s="6" t="s">
        <v>484</v>
      </c>
      <c r="BZ139" s="6" t="s">
        <v>142</v>
      </c>
      <c r="CA139" s="6">
        <v>14</v>
      </c>
      <c r="CB139" s="6">
        <v>0</v>
      </c>
      <c r="CC139" s="6">
        <v>17</v>
      </c>
      <c r="CD139" s="6">
        <v>0</v>
      </c>
      <c r="CE139" s="6">
        <v>20</v>
      </c>
      <c r="CF139" s="6">
        <v>0</v>
      </c>
      <c r="CG139" s="6">
        <v>19</v>
      </c>
      <c r="CH139" s="6">
        <v>0</v>
      </c>
      <c r="CI139" s="6">
        <v>21</v>
      </c>
      <c r="CJ139" s="6">
        <v>0</v>
      </c>
      <c r="CK139" s="6">
        <v>10</v>
      </c>
      <c r="CL139" s="6">
        <v>0</v>
      </c>
      <c r="CM139" s="6">
        <v>15</v>
      </c>
      <c r="CN139" s="6">
        <v>0</v>
      </c>
      <c r="CO139" s="6">
        <v>15</v>
      </c>
      <c r="CP139" s="6">
        <v>0</v>
      </c>
      <c r="CQ139" s="6">
        <v>16</v>
      </c>
      <c r="CR139" s="6">
        <v>0</v>
      </c>
      <c r="CS139" s="6">
        <v>20</v>
      </c>
      <c r="CT139" s="6">
        <v>0</v>
      </c>
      <c r="CU139" s="6">
        <v>12</v>
      </c>
      <c r="CV139" s="6">
        <v>0</v>
      </c>
      <c r="CW139" s="6">
        <v>12</v>
      </c>
      <c r="CX139" s="6">
        <v>0</v>
      </c>
      <c r="CY139" s="6">
        <v>15</v>
      </c>
      <c r="CZ139" s="6">
        <v>0</v>
      </c>
      <c r="DA139" s="6">
        <v>18</v>
      </c>
      <c r="DB139" s="6">
        <v>0</v>
      </c>
      <c r="DC139" s="6">
        <v>20</v>
      </c>
      <c r="DD139" s="6">
        <v>0</v>
      </c>
      <c r="DE139" s="6">
        <f>CHOOSE(MATCH(Setup!$B$5,{8,10,12,14,16},0)+(MATCH(Setup!$B$7,{"STD","Half-PPR","PPR"},0)-1)*5,CA139,CC139,CE139,CG139,CI139,CK139,CM139,CO139,CQ139,CS139,CU139,CW139,CY139,DA139,DC139)</f>
        <v>15</v>
      </c>
      <c r="DF139" s="6">
        <f>CHOOSE(MATCH(Setup!$B$5,{8,10,12,14,16},0)+(MATCH(Setup!$B$7,{"STD","Half-PPR","PPR"},0)-1)*5,CB139,CD139,CF139,CH139,CJ139,CL139,CN139,CP139,CR139,CT139,CV139,CX139,CZ139,DB139,DD139)</f>
        <v>0</v>
      </c>
      <c r="DG139" s="6">
        <f>ROUND(1+DF139*'Live Calc'!$D$11,0)</f>
        <v>1</v>
      </c>
      <c r="DH139" s="6"/>
      <c r="DI139" s="6">
        <f>IF(DH139&lt;&gt;"",DH139,ROUND(DG139*INDEX('Live Calc'!$D$50:$D$70,MATCH(DE139,'Live Calc'!$A$50:$A$70,0))*'Live Calc'!$J$89,0))</f>
        <v>1</v>
      </c>
    </row>
    <row r="140" spans="39:113" x14ac:dyDescent="0.25">
      <c r="AM140" s="5" t="s">
        <v>485</v>
      </c>
      <c r="AN140" s="5" t="s">
        <v>95</v>
      </c>
      <c r="AO140" s="5">
        <v>9</v>
      </c>
      <c r="AP140" s="5">
        <v>0</v>
      </c>
      <c r="AQ140" s="5">
        <v>10</v>
      </c>
      <c r="AR140" s="5">
        <v>0</v>
      </c>
      <c r="AS140" s="5">
        <v>14</v>
      </c>
      <c r="AT140" s="5">
        <v>0</v>
      </c>
      <c r="AU140" s="5">
        <v>16</v>
      </c>
      <c r="AV140" s="5">
        <v>0</v>
      </c>
      <c r="AW140" s="5">
        <v>16</v>
      </c>
      <c r="AX140" s="5">
        <v>0</v>
      </c>
      <c r="AY140" s="5">
        <v>9</v>
      </c>
      <c r="AZ140" s="5">
        <v>0</v>
      </c>
      <c r="BA140" s="5">
        <v>11</v>
      </c>
      <c r="BB140" s="5">
        <v>0</v>
      </c>
      <c r="BC140" s="5">
        <v>13</v>
      </c>
      <c r="BD140" s="5">
        <v>0</v>
      </c>
      <c r="BE140" s="5">
        <v>17</v>
      </c>
      <c r="BF140" s="5">
        <v>0</v>
      </c>
      <c r="BG140" s="5">
        <v>17</v>
      </c>
      <c r="BH140" s="5">
        <v>0</v>
      </c>
      <c r="BI140" s="5">
        <v>11</v>
      </c>
      <c r="BJ140" s="5">
        <v>0</v>
      </c>
      <c r="BK140" s="5">
        <v>13</v>
      </c>
      <c r="BL140" s="5">
        <v>0</v>
      </c>
      <c r="BM140" s="5">
        <v>15</v>
      </c>
      <c r="BN140" s="5">
        <v>0</v>
      </c>
      <c r="BO140" s="5">
        <v>17</v>
      </c>
      <c r="BP140" s="5">
        <v>0</v>
      </c>
      <c r="BQ140" s="5">
        <v>18</v>
      </c>
      <c r="BR140" s="5">
        <v>0</v>
      </c>
      <c r="BS140" s="5">
        <f>CHOOSE(MATCH(Setup!$B$5,{8,10,12,14,16},0)+(MATCH(Setup!$B$7,{"STD","Half-PPR","PPR"},0)-1)*5,AO140,AQ140,AS140,AU140,AW140,AY140,BA140,BC140,BE140,BG140,BI140,BK140,BM140,BO140,BQ140)</f>
        <v>13</v>
      </c>
      <c r="BT140" s="5">
        <f>CHOOSE(MATCH(Setup!$B$5,{8,10,12,14,16},0)+(MATCH(Setup!$B$7,{"STD","Half-PPR","PPR"},0)-1)*5,AP140,AR140,AT140,AV140,AX140,AZ140,BB140,BD140,BF140,BH140,BJ140,BL140,BN140,BP140,BR140)</f>
        <v>0</v>
      </c>
      <c r="BU140" s="5">
        <f>ROUND(1+BT140*'Live Calc'!$D$10,0)</f>
        <v>1</v>
      </c>
      <c r="BV140" s="5"/>
      <c r="BW140" s="5">
        <f>IF(BV140&lt;&gt;"",BV140,ROUND(BU140*INDEX('Live Calc'!$D$29:$D$46,MATCH(BS140,'Live Calc'!$A$29:$A$46,0))*'Live Calc'!$J$89,0))</f>
        <v>1</v>
      </c>
      <c r="BY140" s="6" t="s">
        <v>486</v>
      </c>
      <c r="BZ140" s="6" t="s">
        <v>101</v>
      </c>
      <c r="CA140" s="6">
        <v>14</v>
      </c>
      <c r="CB140" s="6">
        <v>0</v>
      </c>
      <c r="CC140" s="6">
        <v>17</v>
      </c>
      <c r="CD140" s="6">
        <v>0</v>
      </c>
      <c r="CE140" s="6">
        <v>20</v>
      </c>
      <c r="CF140" s="6">
        <v>0</v>
      </c>
      <c r="CG140" s="6">
        <v>19</v>
      </c>
      <c r="CH140" s="6">
        <v>0</v>
      </c>
      <c r="CI140" s="6">
        <v>21</v>
      </c>
      <c r="CJ140" s="6">
        <v>0</v>
      </c>
      <c r="CK140" s="6">
        <v>10</v>
      </c>
      <c r="CL140" s="6">
        <v>0</v>
      </c>
      <c r="CM140" s="6">
        <v>15</v>
      </c>
      <c r="CN140" s="6">
        <v>0</v>
      </c>
      <c r="CO140" s="6">
        <v>15</v>
      </c>
      <c r="CP140" s="6">
        <v>0</v>
      </c>
      <c r="CQ140" s="6">
        <v>16</v>
      </c>
      <c r="CR140" s="6">
        <v>0</v>
      </c>
      <c r="CS140" s="6">
        <v>20</v>
      </c>
      <c r="CT140" s="6">
        <v>0</v>
      </c>
      <c r="CU140" s="6">
        <v>12</v>
      </c>
      <c r="CV140" s="6">
        <v>0</v>
      </c>
      <c r="CW140" s="6">
        <v>12</v>
      </c>
      <c r="CX140" s="6">
        <v>0</v>
      </c>
      <c r="CY140" s="6">
        <v>15</v>
      </c>
      <c r="CZ140" s="6">
        <v>0</v>
      </c>
      <c r="DA140" s="6">
        <v>18</v>
      </c>
      <c r="DB140" s="6">
        <v>0</v>
      </c>
      <c r="DC140" s="6">
        <v>20</v>
      </c>
      <c r="DD140" s="6">
        <v>0</v>
      </c>
      <c r="DE140" s="6">
        <f>CHOOSE(MATCH(Setup!$B$5,{8,10,12,14,16},0)+(MATCH(Setup!$B$7,{"STD","Half-PPR","PPR"},0)-1)*5,CA140,CC140,CE140,CG140,CI140,CK140,CM140,CO140,CQ140,CS140,CU140,CW140,CY140,DA140,DC140)</f>
        <v>15</v>
      </c>
      <c r="DF140" s="6">
        <f>CHOOSE(MATCH(Setup!$B$5,{8,10,12,14,16},0)+(MATCH(Setup!$B$7,{"STD","Half-PPR","PPR"},0)-1)*5,CB140,CD140,CF140,CH140,CJ140,CL140,CN140,CP140,CR140,CT140,CV140,CX140,CZ140,DB140,DD140)</f>
        <v>0</v>
      </c>
      <c r="DG140" s="6">
        <f>ROUND(1+DF140*'Live Calc'!$D$11,0)</f>
        <v>1</v>
      </c>
      <c r="DH140" s="6"/>
      <c r="DI140" s="6">
        <f>IF(DH140&lt;&gt;"",DH140,ROUND(DG140*INDEX('Live Calc'!$D$50:$D$70,MATCH(DE140,'Live Calc'!$A$50:$A$70,0))*'Live Calc'!$J$89,0))</f>
        <v>1</v>
      </c>
    </row>
    <row r="141" spans="39:113" x14ac:dyDescent="0.25">
      <c r="AM141" s="5" t="s">
        <v>487</v>
      </c>
      <c r="AN141" s="5" t="s">
        <v>52</v>
      </c>
      <c r="AO141" s="5">
        <v>9</v>
      </c>
      <c r="AP141" s="5">
        <v>0</v>
      </c>
      <c r="AQ141" s="5">
        <v>10</v>
      </c>
      <c r="AR141" s="5">
        <v>0</v>
      </c>
      <c r="AS141" s="5">
        <v>14</v>
      </c>
      <c r="AT141" s="5">
        <v>0</v>
      </c>
      <c r="AU141" s="5">
        <v>16</v>
      </c>
      <c r="AV141" s="5">
        <v>0</v>
      </c>
      <c r="AW141" s="5">
        <v>16</v>
      </c>
      <c r="AX141" s="5">
        <v>0</v>
      </c>
      <c r="AY141" s="5">
        <v>9</v>
      </c>
      <c r="AZ141" s="5">
        <v>0</v>
      </c>
      <c r="BA141" s="5">
        <v>11</v>
      </c>
      <c r="BB141" s="5">
        <v>0</v>
      </c>
      <c r="BC141" s="5">
        <v>13</v>
      </c>
      <c r="BD141" s="5">
        <v>0</v>
      </c>
      <c r="BE141" s="5">
        <v>17</v>
      </c>
      <c r="BF141" s="5">
        <v>0</v>
      </c>
      <c r="BG141" s="5">
        <v>17</v>
      </c>
      <c r="BH141" s="5">
        <v>0</v>
      </c>
      <c r="BI141" s="5">
        <v>11</v>
      </c>
      <c r="BJ141" s="5">
        <v>0</v>
      </c>
      <c r="BK141" s="5">
        <v>13</v>
      </c>
      <c r="BL141" s="5">
        <v>0</v>
      </c>
      <c r="BM141" s="5">
        <v>15</v>
      </c>
      <c r="BN141" s="5">
        <v>0</v>
      </c>
      <c r="BO141" s="5">
        <v>17</v>
      </c>
      <c r="BP141" s="5">
        <v>0</v>
      </c>
      <c r="BQ141" s="5">
        <v>18</v>
      </c>
      <c r="BR141" s="5">
        <v>0</v>
      </c>
      <c r="BS141" s="5">
        <f>CHOOSE(MATCH(Setup!$B$5,{8,10,12,14,16},0)+(MATCH(Setup!$B$7,{"STD","Half-PPR","PPR"},0)-1)*5,AO141,AQ141,AS141,AU141,AW141,AY141,BA141,BC141,BE141,BG141,BI141,BK141,BM141,BO141,BQ141)</f>
        <v>13</v>
      </c>
      <c r="BT141" s="5">
        <f>CHOOSE(MATCH(Setup!$B$5,{8,10,12,14,16},0)+(MATCH(Setup!$B$7,{"STD","Half-PPR","PPR"},0)-1)*5,AP141,AR141,AT141,AV141,AX141,AZ141,BB141,BD141,BF141,BH141,BJ141,BL141,BN141,BP141,BR141)</f>
        <v>0</v>
      </c>
      <c r="BU141" s="5">
        <f>ROUND(1+BT141*'Live Calc'!$D$10,0)</f>
        <v>1</v>
      </c>
      <c r="BV141" s="5"/>
      <c r="BW141" s="5">
        <f>IF(BV141&lt;&gt;"",BV141,ROUND(BU141*INDEX('Live Calc'!$D$29:$D$46,MATCH(BS141,'Live Calc'!$A$29:$A$46,0))*'Live Calc'!$J$89,0))</f>
        <v>1</v>
      </c>
      <c r="BY141" s="6" t="s">
        <v>488</v>
      </c>
      <c r="BZ141" s="6" t="s">
        <v>81</v>
      </c>
      <c r="CA141" s="6">
        <v>14</v>
      </c>
      <c r="CB141" s="6">
        <v>0</v>
      </c>
      <c r="CC141" s="6">
        <v>17</v>
      </c>
      <c r="CD141" s="6">
        <v>0</v>
      </c>
      <c r="CE141" s="6">
        <v>20</v>
      </c>
      <c r="CF141" s="6">
        <v>0</v>
      </c>
      <c r="CG141" s="6">
        <v>19</v>
      </c>
      <c r="CH141" s="6">
        <v>0</v>
      </c>
      <c r="CI141" s="6">
        <v>21</v>
      </c>
      <c r="CJ141" s="6">
        <v>0</v>
      </c>
      <c r="CK141" s="6">
        <v>10</v>
      </c>
      <c r="CL141" s="6">
        <v>0</v>
      </c>
      <c r="CM141" s="6">
        <v>15</v>
      </c>
      <c r="CN141" s="6">
        <v>0</v>
      </c>
      <c r="CO141" s="6">
        <v>15</v>
      </c>
      <c r="CP141" s="6">
        <v>0</v>
      </c>
      <c r="CQ141" s="6">
        <v>16</v>
      </c>
      <c r="CR141" s="6">
        <v>0</v>
      </c>
      <c r="CS141" s="6">
        <v>20</v>
      </c>
      <c r="CT141" s="6">
        <v>0</v>
      </c>
      <c r="CU141" s="6">
        <v>12</v>
      </c>
      <c r="CV141" s="6">
        <v>0</v>
      </c>
      <c r="CW141" s="6">
        <v>12</v>
      </c>
      <c r="CX141" s="6">
        <v>0</v>
      </c>
      <c r="CY141" s="6">
        <v>15</v>
      </c>
      <c r="CZ141" s="6">
        <v>0</v>
      </c>
      <c r="DA141" s="6">
        <v>18</v>
      </c>
      <c r="DB141" s="6">
        <v>0</v>
      </c>
      <c r="DC141" s="6">
        <v>20</v>
      </c>
      <c r="DD141" s="6">
        <v>0</v>
      </c>
      <c r="DE141" s="6">
        <f>CHOOSE(MATCH(Setup!$B$5,{8,10,12,14,16},0)+(MATCH(Setup!$B$7,{"STD","Half-PPR","PPR"},0)-1)*5,CA141,CC141,CE141,CG141,CI141,CK141,CM141,CO141,CQ141,CS141,CU141,CW141,CY141,DA141,DC141)</f>
        <v>15</v>
      </c>
      <c r="DF141" s="6">
        <f>CHOOSE(MATCH(Setup!$B$5,{8,10,12,14,16},0)+(MATCH(Setup!$B$7,{"STD","Half-PPR","PPR"},0)-1)*5,CB141,CD141,CF141,CH141,CJ141,CL141,CN141,CP141,CR141,CT141,CV141,CX141,CZ141,DB141,DD141)</f>
        <v>0</v>
      </c>
      <c r="DG141" s="6">
        <f>ROUND(1+DF141*'Live Calc'!$D$11,0)</f>
        <v>1</v>
      </c>
      <c r="DH141" s="6"/>
      <c r="DI141" s="6">
        <f>IF(DH141&lt;&gt;"",DH141,ROUND(DG141*INDEX('Live Calc'!$D$50:$D$70,MATCH(DE141,'Live Calc'!$A$50:$A$70,0))*'Live Calc'!$J$89,0))</f>
        <v>1</v>
      </c>
    </row>
    <row r="142" spans="39:113" x14ac:dyDescent="0.25">
      <c r="AM142" s="5" t="s">
        <v>489</v>
      </c>
      <c r="AN142" s="5" t="s">
        <v>127</v>
      </c>
      <c r="AO142" s="5">
        <v>9</v>
      </c>
      <c r="AP142" s="5">
        <v>0</v>
      </c>
      <c r="AQ142" s="5">
        <v>10</v>
      </c>
      <c r="AR142" s="5">
        <v>0</v>
      </c>
      <c r="AS142" s="5">
        <v>14</v>
      </c>
      <c r="AT142" s="5">
        <v>0</v>
      </c>
      <c r="AU142" s="5">
        <v>16</v>
      </c>
      <c r="AV142" s="5">
        <v>0</v>
      </c>
      <c r="AW142" s="5">
        <v>16</v>
      </c>
      <c r="AX142" s="5">
        <v>0</v>
      </c>
      <c r="AY142" s="5">
        <v>9</v>
      </c>
      <c r="AZ142" s="5">
        <v>0</v>
      </c>
      <c r="BA142" s="5">
        <v>11</v>
      </c>
      <c r="BB142" s="5">
        <v>0</v>
      </c>
      <c r="BC142" s="5">
        <v>13</v>
      </c>
      <c r="BD142" s="5">
        <v>0</v>
      </c>
      <c r="BE142" s="5">
        <v>17</v>
      </c>
      <c r="BF142" s="5">
        <v>0</v>
      </c>
      <c r="BG142" s="5">
        <v>17</v>
      </c>
      <c r="BH142" s="5">
        <v>0</v>
      </c>
      <c r="BI142" s="5">
        <v>11</v>
      </c>
      <c r="BJ142" s="5">
        <v>0</v>
      </c>
      <c r="BK142" s="5">
        <v>13</v>
      </c>
      <c r="BL142" s="5">
        <v>0</v>
      </c>
      <c r="BM142" s="5">
        <v>15</v>
      </c>
      <c r="BN142" s="5">
        <v>0</v>
      </c>
      <c r="BO142" s="5">
        <v>17</v>
      </c>
      <c r="BP142" s="5">
        <v>0</v>
      </c>
      <c r="BQ142" s="5">
        <v>18</v>
      </c>
      <c r="BR142" s="5">
        <v>0</v>
      </c>
      <c r="BS142" s="5">
        <f>CHOOSE(MATCH(Setup!$B$5,{8,10,12,14,16},0)+(MATCH(Setup!$B$7,{"STD","Half-PPR","PPR"},0)-1)*5,AO142,AQ142,AS142,AU142,AW142,AY142,BA142,BC142,BE142,BG142,BI142,BK142,BM142,BO142,BQ142)</f>
        <v>13</v>
      </c>
      <c r="BT142" s="5">
        <f>CHOOSE(MATCH(Setup!$B$5,{8,10,12,14,16},0)+(MATCH(Setup!$B$7,{"STD","Half-PPR","PPR"},0)-1)*5,AP142,AR142,AT142,AV142,AX142,AZ142,BB142,BD142,BF142,BH142,BJ142,BL142,BN142,BP142,BR142)</f>
        <v>0</v>
      </c>
      <c r="BU142" s="5">
        <f>ROUND(1+BT142*'Live Calc'!$D$10,0)</f>
        <v>1</v>
      </c>
      <c r="BV142" s="5"/>
      <c r="BW142" s="5">
        <f>IF(BV142&lt;&gt;"",BV142,ROUND(BU142*INDEX('Live Calc'!$D$29:$D$46,MATCH(BS142,'Live Calc'!$A$29:$A$46,0))*'Live Calc'!$J$89,0))</f>
        <v>1</v>
      </c>
      <c r="BY142" s="6" t="s">
        <v>490</v>
      </c>
      <c r="BZ142" s="6" t="s">
        <v>72</v>
      </c>
      <c r="CA142" s="6">
        <v>14</v>
      </c>
      <c r="CB142" s="6">
        <v>0</v>
      </c>
      <c r="CC142" s="6">
        <v>17</v>
      </c>
      <c r="CD142" s="6">
        <v>0</v>
      </c>
      <c r="CE142" s="6">
        <v>20</v>
      </c>
      <c r="CF142" s="6">
        <v>0</v>
      </c>
      <c r="CG142" s="6">
        <v>19</v>
      </c>
      <c r="CH142" s="6">
        <v>0</v>
      </c>
      <c r="CI142" s="6">
        <v>21</v>
      </c>
      <c r="CJ142" s="6">
        <v>0</v>
      </c>
      <c r="CK142" s="6">
        <v>10</v>
      </c>
      <c r="CL142" s="6">
        <v>0</v>
      </c>
      <c r="CM142" s="6">
        <v>15</v>
      </c>
      <c r="CN142" s="6">
        <v>0</v>
      </c>
      <c r="CO142" s="6">
        <v>15</v>
      </c>
      <c r="CP142" s="6">
        <v>0</v>
      </c>
      <c r="CQ142" s="6">
        <v>16</v>
      </c>
      <c r="CR142" s="6">
        <v>0</v>
      </c>
      <c r="CS142" s="6">
        <v>20</v>
      </c>
      <c r="CT142" s="6">
        <v>0</v>
      </c>
      <c r="CU142" s="6">
        <v>12</v>
      </c>
      <c r="CV142" s="6">
        <v>0</v>
      </c>
      <c r="CW142" s="6">
        <v>12</v>
      </c>
      <c r="CX142" s="6">
        <v>0</v>
      </c>
      <c r="CY142" s="6">
        <v>15</v>
      </c>
      <c r="CZ142" s="6">
        <v>0</v>
      </c>
      <c r="DA142" s="6">
        <v>18</v>
      </c>
      <c r="DB142" s="6">
        <v>0</v>
      </c>
      <c r="DC142" s="6">
        <v>20</v>
      </c>
      <c r="DD142" s="6">
        <v>0</v>
      </c>
      <c r="DE142" s="6">
        <f>CHOOSE(MATCH(Setup!$B$5,{8,10,12,14,16},0)+(MATCH(Setup!$B$7,{"STD","Half-PPR","PPR"},0)-1)*5,CA142,CC142,CE142,CG142,CI142,CK142,CM142,CO142,CQ142,CS142,CU142,CW142,CY142,DA142,DC142)</f>
        <v>15</v>
      </c>
      <c r="DF142" s="6">
        <f>CHOOSE(MATCH(Setup!$B$5,{8,10,12,14,16},0)+(MATCH(Setup!$B$7,{"STD","Half-PPR","PPR"},0)-1)*5,CB142,CD142,CF142,CH142,CJ142,CL142,CN142,CP142,CR142,CT142,CV142,CX142,CZ142,DB142,DD142)</f>
        <v>0</v>
      </c>
      <c r="DG142" s="6">
        <f>ROUND(1+DF142*'Live Calc'!$D$11,0)</f>
        <v>1</v>
      </c>
      <c r="DH142" s="6"/>
      <c r="DI142" s="6">
        <f>IF(DH142&lt;&gt;"",DH142,ROUND(DG142*INDEX('Live Calc'!$D$50:$D$70,MATCH(DE142,'Live Calc'!$A$50:$A$70,0))*'Live Calc'!$J$89,0))</f>
        <v>1</v>
      </c>
    </row>
    <row r="143" spans="39:113" x14ac:dyDescent="0.25">
      <c r="AM143" s="5" t="s">
        <v>491</v>
      </c>
      <c r="AN143" s="5" t="s">
        <v>60</v>
      </c>
      <c r="AO143" s="5">
        <v>9</v>
      </c>
      <c r="AP143" s="5">
        <v>0</v>
      </c>
      <c r="AQ143" s="5">
        <v>10</v>
      </c>
      <c r="AR143" s="5">
        <v>0</v>
      </c>
      <c r="AS143" s="5">
        <v>14</v>
      </c>
      <c r="AT143" s="5">
        <v>0</v>
      </c>
      <c r="AU143" s="5">
        <v>16</v>
      </c>
      <c r="AV143" s="5">
        <v>0</v>
      </c>
      <c r="AW143" s="5">
        <v>16</v>
      </c>
      <c r="AX143" s="5">
        <v>0</v>
      </c>
      <c r="AY143" s="5">
        <v>9</v>
      </c>
      <c r="AZ143" s="5">
        <v>0</v>
      </c>
      <c r="BA143" s="5">
        <v>11</v>
      </c>
      <c r="BB143" s="5">
        <v>0</v>
      </c>
      <c r="BC143" s="5">
        <v>13</v>
      </c>
      <c r="BD143" s="5">
        <v>0</v>
      </c>
      <c r="BE143" s="5">
        <v>17</v>
      </c>
      <c r="BF143" s="5">
        <v>0</v>
      </c>
      <c r="BG143" s="5">
        <v>17</v>
      </c>
      <c r="BH143" s="5">
        <v>0</v>
      </c>
      <c r="BI143" s="5">
        <v>11</v>
      </c>
      <c r="BJ143" s="5">
        <v>0</v>
      </c>
      <c r="BK143" s="5">
        <v>13</v>
      </c>
      <c r="BL143" s="5">
        <v>0</v>
      </c>
      <c r="BM143" s="5">
        <v>15</v>
      </c>
      <c r="BN143" s="5">
        <v>0</v>
      </c>
      <c r="BO143" s="5">
        <v>17</v>
      </c>
      <c r="BP143" s="5">
        <v>0</v>
      </c>
      <c r="BQ143" s="5">
        <v>18</v>
      </c>
      <c r="BR143" s="5">
        <v>0</v>
      </c>
      <c r="BS143" s="5">
        <f>CHOOSE(MATCH(Setup!$B$5,{8,10,12,14,16},0)+(MATCH(Setup!$B$7,{"STD","Half-PPR","PPR"},0)-1)*5,AO143,AQ143,AS143,AU143,AW143,AY143,BA143,BC143,BE143,BG143,BI143,BK143,BM143,BO143,BQ143)</f>
        <v>13</v>
      </c>
      <c r="BT143" s="5">
        <f>CHOOSE(MATCH(Setup!$B$5,{8,10,12,14,16},0)+(MATCH(Setup!$B$7,{"STD","Half-PPR","PPR"},0)-1)*5,AP143,AR143,AT143,AV143,AX143,AZ143,BB143,BD143,BF143,BH143,BJ143,BL143,BN143,BP143,BR143)</f>
        <v>0</v>
      </c>
      <c r="BU143" s="5">
        <f>ROUND(1+BT143*'Live Calc'!$D$10,0)</f>
        <v>1</v>
      </c>
      <c r="BV143" s="5"/>
      <c r="BW143" s="5">
        <f>IF(BV143&lt;&gt;"",BV143,ROUND(BU143*INDEX('Live Calc'!$D$29:$D$46,MATCH(BS143,'Live Calc'!$A$29:$A$46,0))*'Live Calc'!$J$89,0))</f>
        <v>1</v>
      </c>
      <c r="BY143" s="6" t="s">
        <v>492</v>
      </c>
      <c r="BZ143" s="6" t="s">
        <v>68</v>
      </c>
      <c r="CA143" s="6">
        <v>14</v>
      </c>
      <c r="CB143" s="6">
        <v>0</v>
      </c>
      <c r="CC143" s="6">
        <v>17</v>
      </c>
      <c r="CD143" s="6">
        <v>0</v>
      </c>
      <c r="CE143" s="6">
        <v>20</v>
      </c>
      <c r="CF143" s="6">
        <v>0</v>
      </c>
      <c r="CG143" s="6">
        <v>19</v>
      </c>
      <c r="CH143" s="6">
        <v>0</v>
      </c>
      <c r="CI143" s="6">
        <v>21</v>
      </c>
      <c r="CJ143" s="6">
        <v>0</v>
      </c>
      <c r="CK143" s="6">
        <v>10</v>
      </c>
      <c r="CL143" s="6">
        <v>0</v>
      </c>
      <c r="CM143" s="6">
        <v>15</v>
      </c>
      <c r="CN143" s="6">
        <v>0</v>
      </c>
      <c r="CO143" s="6">
        <v>15</v>
      </c>
      <c r="CP143" s="6">
        <v>0</v>
      </c>
      <c r="CQ143" s="6">
        <v>16</v>
      </c>
      <c r="CR143" s="6">
        <v>0</v>
      </c>
      <c r="CS143" s="6">
        <v>20</v>
      </c>
      <c r="CT143" s="6">
        <v>0</v>
      </c>
      <c r="CU143" s="6">
        <v>12</v>
      </c>
      <c r="CV143" s="6">
        <v>0</v>
      </c>
      <c r="CW143" s="6">
        <v>12</v>
      </c>
      <c r="CX143" s="6">
        <v>0</v>
      </c>
      <c r="CY143" s="6">
        <v>15</v>
      </c>
      <c r="CZ143" s="6">
        <v>0</v>
      </c>
      <c r="DA143" s="6">
        <v>18</v>
      </c>
      <c r="DB143" s="6">
        <v>0</v>
      </c>
      <c r="DC143" s="6">
        <v>20</v>
      </c>
      <c r="DD143" s="6">
        <v>0</v>
      </c>
      <c r="DE143" s="6">
        <f>CHOOSE(MATCH(Setup!$B$5,{8,10,12,14,16},0)+(MATCH(Setup!$B$7,{"STD","Half-PPR","PPR"},0)-1)*5,CA143,CC143,CE143,CG143,CI143,CK143,CM143,CO143,CQ143,CS143,CU143,CW143,CY143,DA143,DC143)</f>
        <v>15</v>
      </c>
      <c r="DF143" s="6">
        <f>CHOOSE(MATCH(Setup!$B$5,{8,10,12,14,16},0)+(MATCH(Setup!$B$7,{"STD","Half-PPR","PPR"},0)-1)*5,CB143,CD143,CF143,CH143,CJ143,CL143,CN143,CP143,CR143,CT143,CV143,CX143,CZ143,DB143,DD143)</f>
        <v>0</v>
      </c>
      <c r="DG143" s="6">
        <f>ROUND(1+DF143*'Live Calc'!$D$11,0)</f>
        <v>1</v>
      </c>
      <c r="DH143" s="6"/>
      <c r="DI143" s="6">
        <f>IF(DH143&lt;&gt;"",DH143,ROUND(DG143*INDEX('Live Calc'!$D$50:$D$70,MATCH(DE143,'Live Calc'!$A$50:$A$70,0))*'Live Calc'!$J$89,0))</f>
        <v>1</v>
      </c>
    </row>
    <row r="144" spans="39:113" x14ac:dyDescent="0.25">
      <c r="AM144" s="5" t="s">
        <v>493</v>
      </c>
      <c r="AN144" s="5" t="s">
        <v>62</v>
      </c>
      <c r="AO144" s="5">
        <v>9</v>
      </c>
      <c r="AP144" s="5">
        <v>0</v>
      </c>
      <c r="AQ144" s="5">
        <v>10</v>
      </c>
      <c r="AR144" s="5">
        <v>0</v>
      </c>
      <c r="AS144" s="5">
        <v>14</v>
      </c>
      <c r="AT144" s="5">
        <v>0</v>
      </c>
      <c r="AU144" s="5">
        <v>16</v>
      </c>
      <c r="AV144" s="5">
        <v>0</v>
      </c>
      <c r="AW144" s="5">
        <v>16</v>
      </c>
      <c r="AX144" s="5">
        <v>0</v>
      </c>
      <c r="AY144" s="5">
        <v>9</v>
      </c>
      <c r="AZ144" s="5">
        <v>0</v>
      </c>
      <c r="BA144" s="5">
        <v>11</v>
      </c>
      <c r="BB144" s="5">
        <v>0</v>
      </c>
      <c r="BC144" s="5">
        <v>13</v>
      </c>
      <c r="BD144" s="5">
        <v>0</v>
      </c>
      <c r="BE144" s="5">
        <v>17</v>
      </c>
      <c r="BF144" s="5">
        <v>0</v>
      </c>
      <c r="BG144" s="5">
        <v>17</v>
      </c>
      <c r="BH144" s="5">
        <v>0</v>
      </c>
      <c r="BI144" s="5">
        <v>11</v>
      </c>
      <c r="BJ144" s="5">
        <v>0</v>
      </c>
      <c r="BK144" s="5">
        <v>13</v>
      </c>
      <c r="BL144" s="5">
        <v>0</v>
      </c>
      <c r="BM144" s="5">
        <v>15</v>
      </c>
      <c r="BN144" s="5">
        <v>0</v>
      </c>
      <c r="BO144" s="5">
        <v>17</v>
      </c>
      <c r="BP144" s="5">
        <v>0</v>
      </c>
      <c r="BQ144" s="5">
        <v>18</v>
      </c>
      <c r="BR144" s="5">
        <v>0</v>
      </c>
      <c r="BS144" s="5">
        <f>CHOOSE(MATCH(Setup!$B$5,{8,10,12,14,16},0)+(MATCH(Setup!$B$7,{"STD","Half-PPR","PPR"},0)-1)*5,AO144,AQ144,AS144,AU144,AW144,AY144,BA144,BC144,BE144,BG144,BI144,BK144,BM144,BO144,BQ144)</f>
        <v>13</v>
      </c>
      <c r="BT144" s="5">
        <f>CHOOSE(MATCH(Setup!$B$5,{8,10,12,14,16},0)+(MATCH(Setup!$B$7,{"STD","Half-PPR","PPR"},0)-1)*5,AP144,AR144,AT144,AV144,AX144,AZ144,BB144,BD144,BF144,BH144,BJ144,BL144,BN144,BP144,BR144)</f>
        <v>0</v>
      </c>
      <c r="BU144" s="5">
        <f>ROUND(1+BT144*'Live Calc'!$D$10,0)</f>
        <v>1</v>
      </c>
      <c r="BV144" s="5"/>
      <c r="BW144" s="5">
        <f>IF(BV144&lt;&gt;"",BV144,ROUND(BU144*INDEX('Live Calc'!$D$29:$D$46,MATCH(BS144,'Live Calc'!$A$29:$A$46,0))*'Live Calc'!$J$89,0))</f>
        <v>1</v>
      </c>
      <c r="BY144" s="6" t="s">
        <v>494</v>
      </c>
      <c r="BZ144" s="6" t="s">
        <v>253</v>
      </c>
      <c r="CA144" s="6">
        <v>14</v>
      </c>
      <c r="CB144" s="6">
        <v>0</v>
      </c>
      <c r="CC144" s="6">
        <v>17</v>
      </c>
      <c r="CD144" s="6">
        <v>0</v>
      </c>
      <c r="CE144" s="6">
        <v>20</v>
      </c>
      <c r="CF144" s="6">
        <v>0</v>
      </c>
      <c r="CG144" s="6">
        <v>19</v>
      </c>
      <c r="CH144" s="6">
        <v>0</v>
      </c>
      <c r="CI144" s="6">
        <v>21</v>
      </c>
      <c r="CJ144" s="6">
        <v>0</v>
      </c>
      <c r="CK144" s="6">
        <v>10</v>
      </c>
      <c r="CL144" s="6">
        <v>0</v>
      </c>
      <c r="CM144" s="6">
        <v>15</v>
      </c>
      <c r="CN144" s="6">
        <v>0</v>
      </c>
      <c r="CO144" s="6">
        <v>15</v>
      </c>
      <c r="CP144" s="6">
        <v>0</v>
      </c>
      <c r="CQ144" s="6">
        <v>16</v>
      </c>
      <c r="CR144" s="6">
        <v>0</v>
      </c>
      <c r="CS144" s="6">
        <v>20</v>
      </c>
      <c r="CT144" s="6">
        <v>0</v>
      </c>
      <c r="CU144" s="6">
        <v>12</v>
      </c>
      <c r="CV144" s="6">
        <v>0</v>
      </c>
      <c r="CW144" s="6">
        <v>12</v>
      </c>
      <c r="CX144" s="6">
        <v>0</v>
      </c>
      <c r="CY144" s="6">
        <v>15</v>
      </c>
      <c r="CZ144" s="6">
        <v>0</v>
      </c>
      <c r="DA144" s="6">
        <v>18</v>
      </c>
      <c r="DB144" s="6">
        <v>0</v>
      </c>
      <c r="DC144" s="6">
        <v>20</v>
      </c>
      <c r="DD144" s="6">
        <v>0</v>
      </c>
      <c r="DE144" s="6">
        <f>CHOOSE(MATCH(Setup!$B$5,{8,10,12,14,16},0)+(MATCH(Setup!$B$7,{"STD","Half-PPR","PPR"},0)-1)*5,CA144,CC144,CE144,CG144,CI144,CK144,CM144,CO144,CQ144,CS144,CU144,CW144,CY144,DA144,DC144)</f>
        <v>15</v>
      </c>
      <c r="DF144" s="6">
        <f>CHOOSE(MATCH(Setup!$B$5,{8,10,12,14,16},0)+(MATCH(Setup!$B$7,{"STD","Half-PPR","PPR"},0)-1)*5,CB144,CD144,CF144,CH144,CJ144,CL144,CN144,CP144,CR144,CT144,CV144,CX144,CZ144,DB144,DD144)</f>
        <v>0</v>
      </c>
      <c r="DG144" s="6">
        <f>ROUND(1+DF144*'Live Calc'!$D$11,0)</f>
        <v>1</v>
      </c>
      <c r="DH144" s="6"/>
      <c r="DI144" s="6">
        <f>IF(DH144&lt;&gt;"",DH144,ROUND(DG144*INDEX('Live Calc'!$D$50:$D$70,MATCH(DE144,'Live Calc'!$A$50:$A$70,0))*'Live Calc'!$J$89,0))</f>
        <v>1</v>
      </c>
    </row>
    <row r="145" spans="39:113" x14ac:dyDescent="0.25">
      <c r="AM145" s="5" t="s">
        <v>495</v>
      </c>
      <c r="AN145" s="5" t="s">
        <v>62</v>
      </c>
      <c r="AO145" s="5">
        <v>9</v>
      </c>
      <c r="AP145" s="5">
        <v>0</v>
      </c>
      <c r="AQ145" s="5">
        <v>10</v>
      </c>
      <c r="AR145" s="5">
        <v>0</v>
      </c>
      <c r="AS145" s="5">
        <v>14</v>
      </c>
      <c r="AT145" s="5">
        <v>0</v>
      </c>
      <c r="AU145" s="5">
        <v>16</v>
      </c>
      <c r="AV145" s="5">
        <v>0</v>
      </c>
      <c r="AW145" s="5">
        <v>16</v>
      </c>
      <c r="AX145" s="5">
        <v>0</v>
      </c>
      <c r="AY145" s="5">
        <v>9</v>
      </c>
      <c r="AZ145" s="5">
        <v>0</v>
      </c>
      <c r="BA145" s="5">
        <v>11</v>
      </c>
      <c r="BB145" s="5">
        <v>0</v>
      </c>
      <c r="BC145" s="5">
        <v>13</v>
      </c>
      <c r="BD145" s="5">
        <v>0</v>
      </c>
      <c r="BE145" s="5">
        <v>17</v>
      </c>
      <c r="BF145" s="5">
        <v>0</v>
      </c>
      <c r="BG145" s="5">
        <v>17</v>
      </c>
      <c r="BH145" s="5">
        <v>0</v>
      </c>
      <c r="BI145" s="5">
        <v>11</v>
      </c>
      <c r="BJ145" s="5">
        <v>0</v>
      </c>
      <c r="BK145" s="5">
        <v>13</v>
      </c>
      <c r="BL145" s="5">
        <v>0</v>
      </c>
      <c r="BM145" s="5">
        <v>15</v>
      </c>
      <c r="BN145" s="5">
        <v>0</v>
      </c>
      <c r="BO145" s="5">
        <v>17</v>
      </c>
      <c r="BP145" s="5">
        <v>0</v>
      </c>
      <c r="BQ145" s="5">
        <v>18</v>
      </c>
      <c r="BR145" s="5">
        <v>0</v>
      </c>
      <c r="BS145" s="5">
        <f>CHOOSE(MATCH(Setup!$B$5,{8,10,12,14,16},0)+(MATCH(Setup!$B$7,{"STD","Half-PPR","PPR"},0)-1)*5,AO145,AQ145,AS145,AU145,AW145,AY145,BA145,BC145,BE145,BG145,BI145,BK145,BM145,BO145,BQ145)</f>
        <v>13</v>
      </c>
      <c r="BT145" s="5">
        <f>CHOOSE(MATCH(Setup!$B$5,{8,10,12,14,16},0)+(MATCH(Setup!$B$7,{"STD","Half-PPR","PPR"},0)-1)*5,AP145,AR145,AT145,AV145,AX145,AZ145,BB145,BD145,BF145,BH145,BJ145,BL145,BN145,BP145,BR145)</f>
        <v>0</v>
      </c>
      <c r="BU145" s="5">
        <f>ROUND(1+BT145*'Live Calc'!$D$10,0)</f>
        <v>1</v>
      </c>
      <c r="BV145" s="5"/>
      <c r="BW145" s="5">
        <f>IF(BV145&lt;&gt;"",BV145,ROUND(BU145*INDEX('Live Calc'!$D$29:$D$46,MATCH(BS145,'Live Calc'!$A$29:$A$46,0))*'Live Calc'!$J$89,0))</f>
        <v>1</v>
      </c>
      <c r="BY145" s="6" t="s">
        <v>496</v>
      </c>
      <c r="BZ145" s="6" t="s">
        <v>117</v>
      </c>
      <c r="CA145" s="6">
        <v>14</v>
      </c>
      <c r="CB145" s="6">
        <v>0</v>
      </c>
      <c r="CC145" s="6">
        <v>17</v>
      </c>
      <c r="CD145" s="6">
        <v>0</v>
      </c>
      <c r="CE145" s="6">
        <v>20</v>
      </c>
      <c r="CF145" s="6">
        <v>0</v>
      </c>
      <c r="CG145" s="6">
        <v>19</v>
      </c>
      <c r="CH145" s="6">
        <v>0</v>
      </c>
      <c r="CI145" s="6">
        <v>21</v>
      </c>
      <c r="CJ145" s="6">
        <v>0</v>
      </c>
      <c r="CK145" s="6">
        <v>10</v>
      </c>
      <c r="CL145" s="6">
        <v>0</v>
      </c>
      <c r="CM145" s="6">
        <v>15</v>
      </c>
      <c r="CN145" s="6">
        <v>0</v>
      </c>
      <c r="CO145" s="6">
        <v>15</v>
      </c>
      <c r="CP145" s="6">
        <v>0</v>
      </c>
      <c r="CQ145" s="6">
        <v>16</v>
      </c>
      <c r="CR145" s="6">
        <v>0</v>
      </c>
      <c r="CS145" s="6">
        <v>20</v>
      </c>
      <c r="CT145" s="6">
        <v>0</v>
      </c>
      <c r="CU145" s="6">
        <v>12</v>
      </c>
      <c r="CV145" s="6">
        <v>0</v>
      </c>
      <c r="CW145" s="6">
        <v>12</v>
      </c>
      <c r="CX145" s="6">
        <v>0</v>
      </c>
      <c r="CY145" s="6">
        <v>15</v>
      </c>
      <c r="CZ145" s="6">
        <v>0</v>
      </c>
      <c r="DA145" s="6">
        <v>18</v>
      </c>
      <c r="DB145" s="6">
        <v>0</v>
      </c>
      <c r="DC145" s="6">
        <v>20</v>
      </c>
      <c r="DD145" s="6">
        <v>0</v>
      </c>
      <c r="DE145" s="6">
        <f>CHOOSE(MATCH(Setup!$B$5,{8,10,12,14,16},0)+(MATCH(Setup!$B$7,{"STD","Half-PPR","PPR"},0)-1)*5,CA145,CC145,CE145,CG145,CI145,CK145,CM145,CO145,CQ145,CS145,CU145,CW145,CY145,DA145,DC145)</f>
        <v>15</v>
      </c>
      <c r="DF145" s="6">
        <f>CHOOSE(MATCH(Setup!$B$5,{8,10,12,14,16},0)+(MATCH(Setup!$B$7,{"STD","Half-PPR","PPR"},0)-1)*5,CB145,CD145,CF145,CH145,CJ145,CL145,CN145,CP145,CR145,CT145,CV145,CX145,CZ145,DB145,DD145)</f>
        <v>0</v>
      </c>
      <c r="DG145" s="6">
        <f>ROUND(1+DF145*'Live Calc'!$D$11,0)</f>
        <v>1</v>
      </c>
      <c r="DH145" s="6"/>
      <c r="DI145" s="6">
        <f>IF(DH145&lt;&gt;"",DH145,ROUND(DG145*INDEX('Live Calc'!$D$50:$D$70,MATCH(DE145,'Live Calc'!$A$50:$A$70,0))*'Live Calc'!$J$89,0))</f>
        <v>1</v>
      </c>
    </row>
    <row r="146" spans="39:113" x14ac:dyDescent="0.25">
      <c r="AM146" s="5" t="s">
        <v>497</v>
      </c>
      <c r="AN146" s="5" t="s">
        <v>76</v>
      </c>
      <c r="AO146" s="5">
        <v>9</v>
      </c>
      <c r="AP146" s="5">
        <v>0</v>
      </c>
      <c r="AQ146" s="5">
        <v>10</v>
      </c>
      <c r="AR146" s="5">
        <v>0</v>
      </c>
      <c r="AS146" s="5">
        <v>14</v>
      </c>
      <c r="AT146" s="5">
        <v>0</v>
      </c>
      <c r="AU146" s="5">
        <v>16</v>
      </c>
      <c r="AV146" s="5">
        <v>0</v>
      </c>
      <c r="AW146" s="5">
        <v>16</v>
      </c>
      <c r="AX146" s="5">
        <v>0</v>
      </c>
      <c r="AY146" s="5">
        <v>9</v>
      </c>
      <c r="AZ146" s="5">
        <v>0</v>
      </c>
      <c r="BA146" s="5">
        <v>11</v>
      </c>
      <c r="BB146" s="5">
        <v>0</v>
      </c>
      <c r="BC146" s="5">
        <v>13</v>
      </c>
      <c r="BD146" s="5">
        <v>0</v>
      </c>
      <c r="BE146" s="5">
        <v>17</v>
      </c>
      <c r="BF146" s="5">
        <v>0</v>
      </c>
      <c r="BG146" s="5">
        <v>17</v>
      </c>
      <c r="BH146" s="5">
        <v>0</v>
      </c>
      <c r="BI146" s="5">
        <v>11</v>
      </c>
      <c r="BJ146" s="5">
        <v>0</v>
      </c>
      <c r="BK146" s="5">
        <v>13</v>
      </c>
      <c r="BL146" s="5">
        <v>0</v>
      </c>
      <c r="BM146" s="5">
        <v>15</v>
      </c>
      <c r="BN146" s="5">
        <v>0</v>
      </c>
      <c r="BO146" s="5">
        <v>17</v>
      </c>
      <c r="BP146" s="5">
        <v>0</v>
      </c>
      <c r="BQ146" s="5">
        <v>18</v>
      </c>
      <c r="BR146" s="5">
        <v>0</v>
      </c>
      <c r="BS146" s="5">
        <f>CHOOSE(MATCH(Setup!$B$5,{8,10,12,14,16},0)+(MATCH(Setup!$B$7,{"STD","Half-PPR","PPR"},0)-1)*5,AO146,AQ146,AS146,AU146,AW146,AY146,BA146,BC146,BE146,BG146,BI146,BK146,BM146,BO146,BQ146)</f>
        <v>13</v>
      </c>
      <c r="BT146" s="5">
        <f>CHOOSE(MATCH(Setup!$B$5,{8,10,12,14,16},0)+(MATCH(Setup!$B$7,{"STD","Half-PPR","PPR"},0)-1)*5,AP146,AR146,AT146,AV146,AX146,AZ146,BB146,BD146,BF146,BH146,BJ146,BL146,BN146,BP146,BR146)</f>
        <v>0</v>
      </c>
      <c r="BU146" s="5">
        <f>ROUND(1+BT146*'Live Calc'!$D$10,0)</f>
        <v>1</v>
      </c>
      <c r="BV146" s="5"/>
      <c r="BW146" s="5">
        <f>IF(BV146&lt;&gt;"",BV146,ROUND(BU146*INDEX('Live Calc'!$D$29:$D$46,MATCH(BS146,'Live Calc'!$A$29:$A$46,0))*'Live Calc'!$J$89,0))</f>
        <v>1</v>
      </c>
      <c r="BY146" s="6" t="s">
        <v>498</v>
      </c>
      <c r="BZ146" s="6" t="s">
        <v>81</v>
      </c>
      <c r="CA146" s="6">
        <v>14</v>
      </c>
      <c r="CB146" s="6">
        <v>0</v>
      </c>
      <c r="CC146" s="6">
        <v>17</v>
      </c>
      <c r="CD146" s="6">
        <v>0</v>
      </c>
      <c r="CE146" s="6">
        <v>20</v>
      </c>
      <c r="CF146" s="6">
        <v>0</v>
      </c>
      <c r="CG146" s="6">
        <v>19</v>
      </c>
      <c r="CH146" s="6">
        <v>0</v>
      </c>
      <c r="CI146" s="6">
        <v>21</v>
      </c>
      <c r="CJ146" s="6">
        <v>0</v>
      </c>
      <c r="CK146" s="6">
        <v>10</v>
      </c>
      <c r="CL146" s="6">
        <v>0</v>
      </c>
      <c r="CM146" s="6">
        <v>15</v>
      </c>
      <c r="CN146" s="6">
        <v>0</v>
      </c>
      <c r="CO146" s="6">
        <v>15</v>
      </c>
      <c r="CP146" s="6">
        <v>0</v>
      </c>
      <c r="CQ146" s="6">
        <v>16</v>
      </c>
      <c r="CR146" s="6">
        <v>0</v>
      </c>
      <c r="CS146" s="6">
        <v>20</v>
      </c>
      <c r="CT146" s="6">
        <v>0</v>
      </c>
      <c r="CU146" s="6">
        <v>12</v>
      </c>
      <c r="CV146" s="6">
        <v>0</v>
      </c>
      <c r="CW146" s="6">
        <v>12</v>
      </c>
      <c r="CX146" s="6">
        <v>0</v>
      </c>
      <c r="CY146" s="6">
        <v>15</v>
      </c>
      <c r="CZ146" s="6">
        <v>0</v>
      </c>
      <c r="DA146" s="6">
        <v>18</v>
      </c>
      <c r="DB146" s="6">
        <v>0</v>
      </c>
      <c r="DC146" s="6">
        <v>20</v>
      </c>
      <c r="DD146" s="6">
        <v>0</v>
      </c>
      <c r="DE146" s="6">
        <f>CHOOSE(MATCH(Setup!$B$5,{8,10,12,14,16},0)+(MATCH(Setup!$B$7,{"STD","Half-PPR","PPR"},0)-1)*5,CA146,CC146,CE146,CG146,CI146,CK146,CM146,CO146,CQ146,CS146,CU146,CW146,CY146,DA146,DC146)</f>
        <v>15</v>
      </c>
      <c r="DF146" s="6">
        <f>CHOOSE(MATCH(Setup!$B$5,{8,10,12,14,16},0)+(MATCH(Setup!$B$7,{"STD","Half-PPR","PPR"},0)-1)*5,CB146,CD146,CF146,CH146,CJ146,CL146,CN146,CP146,CR146,CT146,CV146,CX146,CZ146,DB146,DD146)</f>
        <v>0</v>
      </c>
      <c r="DG146" s="6">
        <f>ROUND(1+DF146*'Live Calc'!$D$11,0)</f>
        <v>1</v>
      </c>
      <c r="DH146" s="6"/>
      <c r="DI146" s="6">
        <f>IF(DH146&lt;&gt;"",DH146,ROUND(DG146*INDEX('Live Calc'!$D$50:$D$70,MATCH(DE146,'Live Calc'!$A$50:$A$70,0))*'Live Calc'!$J$89,0))</f>
        <v>1</v>
      </c>
    </row>
    <row r="147" spans="39:113" x14ac:dyDescent="0.25">
      <c r="AM147" s="5" t="s">
        <v>499</v>
      </c>
      <c r="AN147" s="5" t="s">
        <v>110</v>
      </c>
      <c r="AO147" s="5">
        <v>9</v>
      </c>
      <c r="AP147" s="5">
        <v>0</v>
      </c>
      <c r="AQ147" s="5">
        <v>10</v>
      </c>
      <c r="AR147" s="5">
        <v>0</v>
      </c>
      <c r="AS147" s="5">
        <v>14</v>
      </c>
      <c r="AT147" s="5">
        <v>0</v>
      </c>
      <c r="AU147" s="5">
        <v>16</v>
      </c>
      <c r="AV147" s="5">
        <v>0</v>
      </c>
      <c r="AW147" s="5">
        <v>16</v>
      </c>
      <c r="AX147" s="5">
        <v>0</v>
      </c>
      <c r="AY147" s="5">
        <v>9</v>
      </c>
      <c r="AZ147" s="5">
        <v>0</v>
      </c>
      <c r="BA147" s="5">
        <v>11</v>
      </c>
      <c r="BB147" s="5">
        <v>0</v>
      </c>
      <c r="BC147" s="5">
        <v>13</v>
      </c>
      <c r="BD147" s="5">
        <v>0</v>
      </c>
      <c r="BE147" s="5">
        <v>17</v>
      </c>
      <c r="BF147" s="5">
        <v>0</v>
      </c>
      <c r="BG147" s="5">
        <v>17</v>
      </c>
      <c r="BH147" s="5">
        <v>0</v>
      </c>
      <c r="BI147" s="5">
        <v>11</v>
      </c>
      <c r="BJ147" s="5">
        <v>0</v>
      </c>
      <c r="BK147" s="5">
        <v>13</v>
      </c>
      <c r="BL147" s="5">
        <v>0</v>
      </c>
      <c r="BM147" s="5">
        <v>15</v>
      </c>
      <c r="BN147" s="5">
        <v>0</v>
      </c>
      <c r="BO147" s="5">
        <v>17</v>
      </c>
      <c r="BP147" s="5">
        <v>0</v>
      </c>
      <c r="BQ147" s="5">
        <v>18</v>
      </c>
      <c r="BR147" s="5">
        <v>0</v>
      </c>
      <c r="BS147" s="5">
        <f>CHOOSE(MATCH(Setup!$B$5,{8,10,12,14,16},0)+(MATCH(Setup!$B$7,{"STD","Half-PPR","PPR"},0)-1)*5,AO147,AQ147,AS147,AU147,AW147,AY147,BA147,BC147,BE147,BG147,BI147,BK147,BM147,BO147,BQ147)</f>
        <v>13</v>
      </c>
      <c r="BT147" s="5">
        <f>CHOOSE(MATCH(Setup!$B$5,{8,10,12,14,16},0)+(MATCH(Setup!$B$7,{"STD","Half-PPR","PPR"},0)-1)*5,AP147,AR147,AT147,AV147,AX147,AZ147,BB147,BD147,BF147,BH147,BJ147,BL147,BN147,BP147,BR147)</f>
        <v>0</v>
      </c>
      <c r="BU147" s="5">
        <f>ROUND(1+BT147*'Live Calc'!$D$10,0)</f>
        <v>1</v>
      </c>
      <c r="BV147" s="5"/>
      <c r="BW147" s="5">
        <f>IF(BV147&lt;&gt;"",BV147,ROUND(BU147*INDEX('Live Calc'!$D$29:$D$46,MATCH(BS147,'Live Calc'!$A$29:$A$46,0))*'Live Calc'!$J$89,0))</f>
        <v>1</v>
      </c>
      <c r="BY147" s="6" t="s">
        <v>500</v>
      </c>
      <c r="BZ147" s="6" t="s">
        <v>50</v>
      </c>
      <c r="CA147" s="6">
        <v>14</v>
      </c>
      <c r="CB147" s="6">
        <v>0</v>
      </c>
      <c r="CC147" s="6">
        <v>17</v>
      </c>
      <c r="CD147" s="6">
        <v>0</v>
      </c>
      <c r="CE147" s="6">
        <v>20</v>
      </c>
      <c r="CF147" s="6">
        <v>0</v>
      </c>
      <c r="CG147" s="6">
        <v>19</v>
      </c>
      <c r="CH147" s="6">
        <v>0</v>
      </c>
      <c r="CI147" s="6">
        <v>21</v>
      </c>
      <c r="CJ147" s="6">
        <v>0</v>
      </c>
      <c r="CK147" s="6">
        <v>10</v>
      </c>
      <c r="CL147" s="6">
        <v>0</v>
      </c>
      <c r="CM147" s="6">
        <v>15</v>
      </c>
      <c r="CN147" s="6">
        <v>0</v>
      </c>
      <c r="CO147" s="6">
        <v>15</v>
      </c>
      <c r="CP147" s="6">
        <v>0</v>
      </c>
      <c r="CQ147" s="6">
        <v>16</v>
      </c>
      <c r="CR147" s="6">
        <v>0</v>
      </c>
      <c r="CS147" s="6">
        <v>20</v>
      </c>
      <c r="CT147" s="6">
        <v>0</v>
      </c>
      <c r="CU147" s="6">
        <v>12</v>
      </c>
      <c r="CV147" s="6">
        <v>0</v>
      </c>
      <c r="CW147" s="6">
        <v>12</v>
      </c>
      <c r="CX147" s="6">
        <v>0</v>
      </c>
      <c r="CY147" s="6">
        <v>15</v>
      </c>
      <c r="CZ147" s="6">
        <v>0</v>
      </c>
      <c r="DA147" s="6">
        <v>18</v>
      </c>
      <c r="DB147" s="6">
        <v>0</v>
      </c>
      <c r="DC147" s="6">
        <v>20</v>
      </c>
      <c r="DD147" s="6">
        <v>0</v>
      </c>
      <c r="DE147" s="6">
        <f>CHOOSE(MATCH(Setup!$B$5,{8,10,12,14,16},0)+(MATCH(Setup!$B$7,{"STD","Half-PPR","PPR"},0)-1)*5,CA147,CC147,CE147,CG147,CI147,CK147,CM147,CO147,CQ147,CS147,CU147,CW147,CY147,DA147,DC147)</f>
        <v>15</v>
      </c>
      <c r="DF147" s="6">
        <f>CHOOSE(MATCH(Setup!$B$5,{8,10,12,14,16},0)+(MATCH(Setup!$B$7,{"STD","Half-PPR","PPR"},0)-1)*5,CB147,CD147,CF147,CH147,CJ147,CL147,CN147,CP147,CR147,CT147,CV147,CX147,CZ147,DB147,DD147)</f>
        <v>0</v>
      </c>
      <c r="DG147" s="6">
        <f>ROUND(1+DF147*'Live Calc'!$D$11,0)</f>
        <v>1</v>
      </c>
      <c r="DH147" s="6"/>
      <c r="DI147" s="6">
        <f>IF(DH147&lt;&gt;"",DH147,ROUND(DG147*INDEX('Live Calc'!$D$50:$D$70,MATCH(DE147,'Live Calc'!$A$50:$A$70,0))*'Live Calc'!$J$89,0))</f>
        <v>1</v>
      </c>
    </row>
    <row r="148" spans="39:113" x14ac:dyDescent="0.25">
      <c r="AM148" s="5" t="s">
        <v>501</v>
      </c>
      <c r="AN148" s="5" t="s">
        <v>86</v>
      </c>
      <c r="AO148" s="5">
        <v>9</v>
      </c>
      <c r="AP148" s="5">
        <v>0</v>
      </c>
      <c r="AQ148" s="5">
        <v>10</v>
      </c>
      <c r="AR148" s="5">
        <v>0</v>
      </c>
      <c r="AS148" s="5">
        <v>14</v>
      </c>
      <c r="AT148" s="5">
        <v>0</v>
      </c>
      <c r="AU148" s="5">
        <v>16</v>
      </c>
      <c r="AV148" s="5">
        <v>0</v>
      </c>
      <c r="AW148" s="5">
        <v>16</v>
      </c>
      <c r="AX148" s="5">
        <v>0</v>
      </c>
      <c r="AY148" s="5">
        <v>9</v>
      </c>
      <c r="AZ148" s="5">
        <v>0</v>
      </c>
      <c r="BA148" s="5">
        <v>11</v>
      </c>
      <c r="BB148" s="5">
        <v>0</v>
      </c>
      <c r="BC148" s="5">
        <v>13</v>
      </c>
      <c r="BD148" s="5">
        <v>0</v>
      </c>
      <c r="BE148" s="5">
        <v>17</v>
      </c>
      <c r="BF148" s="5">
        <v>0</v>
      </c>
      <c r="BG148" s="5">
        <v>17</v>
      </c>
      <c r="BH148" s="5">
        <v>0</v>
      </c>
      <c r="BI148" s="5">
        <v>11</v>
      </c>
      <c r="BJ148" s="5">
        <v>0</v>
      </c>
      <c r="BK148" s="5">
        <v>13</v>
      </c>
      <c r="BL148" s="5">
        <v>0</v>
      </c>
      <c r="BM148" s="5">
        <v>15</v>
      </c>
      <c r="BN148" s="5">
        <v>0</v>
      </c>
      <c r="BO148" s="5">
        <v>17</v>
      </c>
      <c r="BP148" s="5">
        <v>0</v>
      </c>
      <c r="BQ148" s="5">
        <v>18</v>
      </c>
      <c r="BR148" s="5">
        <v>0</v>
      </c>
      <c r="BS148" s="5">
        <f>CHOOSE(MATCH(Setup!$B$5,{8,10,12,14,16},0)+(MATCH(Setup!$B$7,{"STD","Half-PPR","PPR"},0)-1)*5,AO148,AQ148,AS148,AU148,AW148,AY148,BA148,BC148,BE148,BG148,BI148,BK148,BM148,BO148,BQ148)</f>
        <v>13</v>
      </c>
      <c r="BT148" s="5">
        <f>CHOOSE(MATCH(Setup!$B$5,{8,10,12,14,16},0)+(MATCH(Setup!$B$7,{"STD","Half-PPR","PPR"},0)-1)*5,AP148,AR148,AT148,AV148,AX148,AZ148,BB148,BD148,BF148,BH148,BJ148,BL148,BN148,BP148,BR148)</f>
        <v>0</v>
      </c>
      <c r="BU148" s="5">
        <f>ROUND(1+BT148*'Live Calc'!$D$10,0)</f>
        <v>1</v>
      </c>
      <c r="BV148" s="5"/>
      <c r="BW148" s="5">
        <f>IF(BV148&lt;&gt;"",BV148,ROUND(BU148*INDEX('Live Calc'!$D$29:$D$46,MATCH(BS148,'Live Calc'!$A$29:$A$46,0))*'Live Calc'!$J$89,0))</f>
        <v>1</v>
      </c>
      <c r="BY148" s="6" t="s">
        <v>502</v>
      </c>
      <c r="BZ148" s="6" t="s">
        <v>50</v>
      </c>
      <c r="CA148" s="6">
        <v>14</v>
      </c>
      <c r="CB148" s="6">
        <v>0</v>
      </c>
      <c r="CC148" s="6">
        <v>17</v>
      </c>
      <c r="CD148" s="6">
        <v>0</v>
      </c>
      <c r="CE148" s="6">
        <v>20</v>
      </c>
      <c r="CF148" s="6">
        <v>0</v>
      </c>
      <c r="CG148" s="6">
        <v>19</v>
      </c>
      <c r="CH148" s="6">
        <v>0</v>
      </c>
      <c r="CI148" s="6">
        <v>21</v>
      </c>
      <c r="CJ148" s="6">
        <v>0</v>
      </c>
      <c r="CK148" s="6">
        <v>10</v>
      </c>
      <c r="CL148" s="6">
        <v>0</v>
      </c>
      <c r="CM148" s="6">
        <v>15</v>
      </c>
      <c r="CN148" s="6">
        <v>0</v>
      </c>
      <c r="CO148" s="6">
        <v>15</v>
      </c>
      <c r="CP148" s="6">
        <v>0</v>
      </c>
      <c r="CQ148" s="6">
        <v>16</v>
      </c>
      <c r="CR148" s="6">
        <v>0</v>
      </c>
      <c r="CS148" s="6">
        <v>20</v>
      </c>
      <c r="CT148" s="6">
        <v>0</v>
      </c>
      <c r="CU148" s="6">
        <v>12</v>
      </c>
      <c r="CV148" s="6">
        <v>0</v>
      </c>
      <c r="CW148" s="6">
        <v>12</v>
      </c>
      <c r="CX148" s="6">
        <v>0</v>
      </c>
      <c r="CY148" s="6">
        <v>15</v>
      </c>
      <c r="CZ148" s="6">
        <v>0</v>
      </c>
      <c r="DA148" s="6">
        <v>18</v>
      </c>
      <c r="DB148" s="6">
        <v>0</v>
      </c>
      <c r="DC148" s="6">
        <v>20</v>
      </c>
      <c r="DD148" s="6">
        <v>0</v>
      </c>
      <c r="DE148" s="6">
        <f>CHOOSE(MATCH(Setup!$B$5,{8,10,12,14,16},0)+(MATCH(Setup!$B$7,{"STD","Half-PPR","PPR"},0)-1)*5,CA148,CC148,CE148,CG148,CI148,CK148,CM148,CO148,CQ148,CS148,CU148,CW148,CY148,DA148,DC148)</f>
        <v>15</v>
      </c>
      <c r="DF148" s="6">
        <f>CHOOSE(MATCH(Setup!$B$5,{8,10,12,14,16},0)+(MATCH(Setup!$B$7,{"STD","Half-PPR","PPR"},0)-1)*5,CB148,CD148,CF148,CH148,CJ148,CL148,CN148,CP148,CR148,CT148,CV148,CX148,CZ148,DB148,DD148)</f>
        <v>0</v>
      </c>
      <c r="DG148" s="6">
        <f>ROUND(1+DF148*'Live Calc'!$D$11,0)</f>
        <v>1</v>
      </c>
      <c r="DH148" s="6"/>
      <c r="DI148" s="6">
        <f>IF(DH148&lt;&gt;"",DH148,ROUND(DG148*INDEX('Live Calc'!$D$50:$D$70,MATCH(DE148,'Live Calc'!$A$50:$A$70,0))*'Live Calc'!$J$89,0))</f>
        <v>1</v>
      </c>
    </row>
    <row r="149" spans="39:113" x14ac:dyDescent="0.25">
      <c r="AM149" s="5" t="s">
        <v>503</v>
      </c>
      <c r="AN149" s="5" t="s">
        <v>81</v>
      </c>
      <c r="AO149" s="5">
        <v>9</v>
      </c>
      <c r="AP149" s="5">
        <v>0</v>
      </c>
      <c r="AQ149" s="5">
        <v>10</v>
      </c>
      <c r="AR149" s="5">
        <v>0</v>
      </c>
      <c r="AS149" s="5">
        <v>14</v>
      </c>
      <c r="AT149" s="5">
        <v>0</v>
      </c>
      <c r="AU149" s="5">
        <v>16</v>
      </c>
      <c r="AV149" s="5">
        <v>0</v>
      </c>
      <c r="AW149" s="5">
        <v>16</v>
      </c>
      <c r="AX149" s="5">
        <v>0</v>
      </c>
      <c r="AY149" s="5">
        <v>9</v>
      </c>
      <c r="AZ149" s="5">
        <v>0</v>
      </c>
      <c r="BA149" s="5">
        <v>11</v>
      </c>
      <c r="BB149" s="5">
        <v>0</v>
      </c>
      <c r="BC149" s="5">
        <v>13</v>
      </c>
      <c r="BD149" s="5">
        <v>0</v>
      </c>
      <c r="BE149" s="5">
        <v>17</v>
      </c>
      <c r="BF149" s="5">
        <v>0</v>
      </c>
      <c r="BG149" s="5">
        <v>17</v>
      </c>
      <c r="BH149" s="5">
        <v>0</v>
      </c>
      <c r="BI149" s="5">
        <v>11</v>
      </c>
      <c r="BJ149" s="5">
        <v>0</v>
      </c>
      <c r="BK149" s="5">
        <v>13</v>
      </c>
      <c r="BL149" s="5">
        <v>0</v>
      </c>
      <c r="BM149" s="5">
        <v>15</v>
      </c>
      <c r="BN149" s="5">
        <v>0</v>
      </c>
      <c r="BO149" s="5">
        <v>17</v>
      </c>
      <c r="BP149" s="5">
        <v>0</v>
      </c>
      <c r="BQ149" s="5">
        <v>18</v>
      </c>
      <c r="BR149" s="5">
        <v>0</v>
      </c>
      <c r="BS149" s="5">
        <f>CHOOSE(MATCH(Setup!$B$5,{8,10,12,14,16},0)+(MATCH(Setup!$B$7,{"STD","Half-PPR","PPR"},0)-1)*5,AO149,AQ149,AS149,AU149,AW149,AY149,BA149,BC149,BE149,BG149,BI149,BK149,BM149,BO149,BQ149)</f>
        <v>13</v>
      </c>
      <c r="BT149" s="5">
        <f>CHOOSE(MATCH(Setup!$B$5,{8,10,12,14,16},0)+(MATCH(Setup!$B$7,{"STD","Half-PPR","PPR"},0)-1)*5,AP149,AR149,AT149,AV149,AX149,AZ149,BB149,BD149,BF149,BH149,BJ149,BL149,BN149,BP149,BR149)</f>
        <v>0</v>
      </c>
      <c r="BU149" s="5">
        <f>ROUND(1+BT149*'Live Calc'!$D$10,0)</f>
        <v>1</v>
      </c>
      <c r="BV149" s="5"/>
      <c r="BW149" s="5">
        <f>IF(BV149&lt;&gt;"",BV149,ROUND(BU149*INDEX('Live Calc'!$D$29:$D$46,MATCH(BS149,'Live Calc'!$A$29:$A$46,0))*'Live Calc'!$J$89,0))</f>
        <v>1</v>
      </c>
      <c r="BY149" s="6" t="s">
        <v>504</v>
      </c>
      <c r="BZ149" s="6" t="s">
        <v>95</v>
      </c>
      <c r="CA149" s="6">
        <v>14</v>
      </c>
      <c r="CB149" s="6">
        <v>0</v>
      </c>
      <c r="CC149" s="6">
        <v>17</v>
      </c>
      <c r="CD149" s="6">
        <v>0</v>
      </c>
      <c r="CE149" s="6">
        <v>20</v>
      </c>
      <c r="CF149" s="6">
        <v>0</v>
      </c>
      <c r="CG149" s="6">
        <v>19</v>
      </c>
      <c r="CH149" s="6">
        <v>0</v>
      </c>
      <c r="CI149" s="6">
        <v>21</v>
      </c>
      <c r="CJ149" s="6">
        <v>0</v>
      </c>
      <c r="CK149" s="6">
        <v>10</v>
      </c>
      <c r="CL149" s="6">
        <v>0</v>
      </c>
      <c r="CM149" s="6">
        <v>15</v>
      </c>
      <c r="CN149" s="6">
        <v>0</v>
      </c>
      <c r="CO149" s="6">
        <v>15</v>
      </c>
      <c r="CP149" s="6">
        <v>0</v>
      </c>
      <c r="CQ149" s="6">
        <v>16</v>
      </c>
      <c r="CR149" s="6">
        <v>0</v>
      </c>
      <c r="CS149" s="6">
        <v>20</v>
      </c>
      <c r="CT149" s="6">
        <v>0</v>
      </c>
      <c r="CU149" s="6">
        <v>12</v>
      </c>
      <c r="CV149" s="6">
        <v>0</v>
      </c>
      <c r="CW149" s="6">
        <v>12</v>
      </c>
      <c r="CX149" s="6">
        <v>0</v>
      </c>
      <c r="CY149" s="6">
        <v>15</v>
      </c>
      <c r="CZ149" s="6">
        <v>0</v>
      </c>
      <c r="DA149" s="6">
        <v>18</v>
      </c>
      <c r="DB149" s="6">
        <v>0</v>
      </c>
      <c r="DC149" s="6">
        <v>20</v>
      </c>
      <c r="DD149" s="6">
        <v>0</v>
      </c>
      <c r="DE149" s="6">
        <f>CHOOSE(MATCH(Setup!$B$5,{8,10,12,14,16},0)+(MATCH(Setup!$B$7,{"STD","Half-PPR","PPR"},0)-1)*5,CA149,CC149,CE149,CG149,CI149,CK149,CM149,CO149,CQ149,CS149,CU149,CW149,CY149,DA149,DC149)</f>
        <v>15</v>
      </c>
      <c r="DF149" s="6">
        <f>CHOOSE(MATCH(Setup!$B$5,{8,10,12,14,16},0)+(MATCH(Setup!$B$7,{"STD","Half-PPR","PPR"},0)-1)*5,CB149,CD149,CF149,CH149,CJ149,CL149,CN149,CP149,CR149,CT149,CV149,CX149,CZ149,DB149,DD149)</f>
        <v>0</v>
      </c>
      <c r="DG149" s="6">
        <f>ROUND(1+DF149*'Live Calc'!$D$11,0)</f>
        <v>1</v>
      </c>
      <c r="DH149" s="6"/>
      <c r="DI149" s="6">
        <f>IF(DH149&lt;&gt;"",DH149,ROUND(DG149*INDEX('Live Calc'!$D$50:$D$70,MATCH(DE149,'Live Calc'!$A$50:$A$70,0))*'Live Calc'!$J$89,0))</f>
        <v>1</v>
      </c>
    </row>
    <row r="150" spans="39:113" x14ac:dyDescent="0.25">
      <c r="BY150" s="6" t="s">
        <v>505</v>
      </c>
      <c r="BZ150" s="6" t="s">
        <v>68</v>
      </c>
      <c r="CA150" s="6">
        <v>14</v>
      </c>
      <c r="CB150" s="6">
        <v>0</v>
      </c>
      <c r="CC150" s="6">
        <v>17</v>
      </c>
      <c r="CD150" s="6">
        <v>0</v>
      </c>
      <c r="CE150" s="6">
        <v>20</v>
      </c>
      <c r="CF150" s="6">
        <v>0</v>
      </c>
      <c r="CG150" s="6">
        <v>19</v>
      </c>
      <c r="CH150" s="6">
        <v>0</v>
      </c>
      <c r="CI150" s="6">
        <v>21</v>
      </c>
      <c r="CJ150" s="6">
        <v>0</v>
      </c>
      <c r="CK150" s="6">
        <v>10</v>
      </c>
      <c r="CL150" s="6">
        <v>0</v>
      </c>
      <c r="CM150" s="6">
        <v>15</v>
      </c>
      <c r="CN150" s="6">
        <v>0</v>
      </c>
      <c r="CO150" s="6">
        <v>15</v>
      </c>
      <c r="CP150" s="6">
        <v>0</v>
      </c>
      <c r="CQ150" s="6">
        <v>16</v>
      </c>
      <c r="CR150" s="6">
        <v>0</v>
      </c>
      <c r="CS150" s="6">
        <v>20</v>
      </c>
      <c r="CT150" s="6">
        <v>0</v>
      </c>
      <c r="CU150" s="6">
        <v>12</v>
      </c>
      <c r="CV150" s="6">
        <v>0</v>
      </c>
      <c r="CW150" s="6">
        <v>12</v>
      </c>
      <c r="CX150" s="6">
        <v>0</v>
      </c>
      <c r="CY150" s="6">
        <v>15</v>
      </c>
      <c r="CZ150" s="6">
        <v>0</v>
      </c>
      <c r="DA150" s="6">
        <v>18</v>
      </c>
      <c r="DB150" s="6">
        <v>0</v>
      </c>
      <c r="DC150" s="6">
        <v>20</v>
      </c>
      <c r="DD150" s="6">
        <v>0</v>
      </c>
      <c r="DE150" s="6">
        <f>CHOOSE(MATCH(Setup!$B$5,{8,10,12,14,16},0)+(MATCH(Setup!$B$7,{"STD","Half-PPR","PPR"},0)-1)*5,CA150,CC150,CE150,CG150,CI150,CK150,CM150,CO150,CQ150,CS150,CU150,CW150,CY150,DA150,DC150)</f>
        <v>15</v>
      </c>
      <c r="DF150" s="6">
        <f>CHOOSE(MATCH(Setup!$B$5,{8,10,12,14,16},0)+(MATCH(Setup!$B$7,{"STD","Half-PPR","PPR"},0)-1)*5,CB150,CD150,CF150,CH150,CJ150,CL150,CN150,CP150,CR150,CT150,CV150,CX150,CZ150,DB150,DD150)</f>
        <v>0</v>
      </c>
      <c r="DG150" s="6">
        <f>ROUND(1+DF150*'Live Calc'!$D$11,0)</f>
        <v>1</v>
      </c>
      <c r="DH150" s="6"/>
      <c r="DI150" s="6">
        <f>IF(DH150&lt;&gt;"",DH150,ROUND(DG150*INDEX('Live Calc'!$D$50:$D$70,MATCH(DE150,'Live Calc'!$A$50:$A$70,0))*'Live Calc'!$J$89,0))</f>
        <v>1</v>
      </c>
    </row>
    <row r="151" spans="39:113" x14ac:dyDescent="0.25">
      <c r="BY151" s="6" t="s">
        <v>506</v>
      </c>
      <c r="BZ151" s="6" t="s">
        <v>70</v>
      </c>
      <c r="CA151" s="6">
        <v>14</v>
      </c>
      <c r="CB151" s="6">
        <v>0</v>
      </c>
      <c r="CC151" s="6">
        <v>17</v>
      </c>
      <c r="CD151" s="6">
        <v>0</v>
      </c>
      <c r="CE151" s="6">
        <v>20</v>
      </c>
      <c r="CF151" s="6">
        <v>0</v>
      </c>
      <c r="CG151" s="6">
        <v>19</v>
      </c>
      <c r="CH151" s="6">
        <v>0</v>
      </c>
      <c r="CI151" s="6">
        <v>21</v>
      </c>
      <c r="CJ151" s="6">
        <v>0</v>
      </c>
      <c r="CK151" s="6">
        <v>10</v>
      </c>
      <c r="CL151" s="6">
        <v>0</v>
      </c>
      <c r="CM151" s="6">
        <v>15</v>
      </c>
      <c r="CN151" s="6">
        <v>0</v>
      </c>
      <c r="CO151" s="6">
        <v>15</v>
      </c>
      <c r="CP151" s="6">
        <v>0</v>
      </c>
      <c r="CQ151" s="6">
        <v>16</v>
      </c>
      <c r="CR151" s="6">
        <v>0</v>
      </c>
      <c r="CS151" s="6">
        <v>20</v>
      </c>
      <c r="CT151" s="6">
        <v>0</v>
      </c>
      <c r="CU151" s="6">
        <v>12</v>
      </c>
      <c r="CV151" s="6">
        <v>0</v>
      </c>
      <c r="CW151" s="6">
        <v>12</v>
      </c>
      <c r="CX151" s="6">
        <v>0</v>
      </c>
      <c r="CY151" s="6">
        <v>15</v>
      </c>
      <c r="CZ151" s="6">
        <v>0</v>
      </c>
      <c r="DA151" s="6">
        <v>18</v>
      </c>
      <c r="DB151" s="6">
        <v>0</v>
      </c>
      <c r="DC151" s="6">
        <v>20</v>
      </c>
      <c r="DD151" s="6">
        <v>0</v>
      </c>
      <c r="DE151" s="6">
        <f>CHOOSE(MATCH(Setup!$B$5,{8,10,12,14,16},0)+(MATCH(Setup!$B$7,{"STD","Half-PPR","PPR"},0)-1)*5,CA151,CC151,CE151,CG151,CI151,CK151,CM151,CO151,CQ151,CS151,CU151,CW151,CY151,DA151,DC151)</f>
        <v>15</v>
      </c>
      <c r="DF151" s="6">
        <f>CHOOSE(MATCH(Setup!$B$5,{8,10,12,14,16},0)+(MATCH(Setup!$B$7,{"STD","Half-PPR","PPR"},0)-1)*5,CB151,CD151,CF151,CH151,CJ151,CL151,CN151,CP151,CR151,CT151,CV151,CX151,CZ151,DB151,DD151)</f>
        <v>0</v>
      </c>
      <c r="DG151" s="6">
        <f>ROUND(1+DF151*'Live Calc'!$D$11,0)</f>
        <v>1</v>
      </c>
      <c r="DH151" s="6"/>
      <c r="DI151" s="6">
        <f>IF(DH151&lt;&gt;"",DH151,ROUND(DG151*INDEX('Live Calc'!$D$50:$D$70,MATCH(DE151,'Live Calc'!$A$50:$A$70,0))*'Live Calc'!$J$89,0))</f>
        <v>1</v>
      </c>
    </row>
    <row r="152" spans="39:113" x14ac:dyDescent="0.25">
      <c r="BY152" s="6" t="s">
        <v>507</v>
      </c>
      <c r="BZ152" s="6" t="s">
        <v>117</v>
      </c>
      <c r="CA152" s="6">
        <v>14</v>
      </c>
      <c r="CB152" s="6">
        <v>0</v>
      </c>
      <c r="CC152" s="6">
        <v>17</v>
      </c>
      <c r="CD152" s="6">
        <v>0</v>
      </c>
      <c r="CE152" s="6">
        <v>20</v>
      </c>
      <c r="CF152" s="6">
        <v>0</v>
      </c>
      <c r="CG152" s="6">
        <v>19</v>
      </c>
      <c r="CH152" s="6">
        <v>0</v>
      </c>
      <c r="CI152" s="6">
        <v>21</v>
      </c>
      <c r="CJ152" s="6">
        <v>0</v>
      </c>
      <c r="CK152" s="6">
        <v>10</v>
      </c>
      <c r="CL152" s="6">
        <v>0</v>
      </c>
      <c r="CM152" s="6">
        <v>15</v>
      </c>
      <c r="CN152" s="6">
        <v>0</v>
      </c>
      <c r="CO152" s="6">
        <v>15</v>
      </c>
      <c r="CP152" s="6">
        <v>0</v>
      </c>
      <c r="CQ152" s="6">
        <v>16</v>
      </c>
      <c r="CR152" s="6">
        <v>0</v>
      </c>
      <c r="CS152" s="6">
        <v>20</v>
      </c>
      <c r="CT152" s="6">
        <v>0</v>
      </c>
      <c r="CU152" s="6">
        <v>12</v>
      </c>
      <c r="CV152" s="6">
        <v>0</v>
      </c>
      <c r="CW152" s="6">
        <v>12</v>
      </c>
      <c r="CX152" s="6">
        <v>0</v>
      </c>
      <c r="CY152" s="6">
        <v>15</v>
      </c>
      <c r="CZ152" s="6">
        <v>0</v>
      </c>
      <c r="DA152" s="6">
        <v>18</v>
      </c>
      <c r="DB152" s="6">
        <v>0</v>
      </c>
      <c r="DC152" s="6">
        <v>20</v>
      </c>
      <c r="DD152" s="6">
        <v>0</v>
      </c>
      <c r="DE152" s="6">
        <f>CHOOSE(MATCH(Setup!$B$5,{8,10,12,14,16},0)+(MATCH(Setup!$B$7,{"STD","Half-PPR","PPR"},0)-1)*5,CA152,CC152,CE152,CG152,CI152,CK152,CM152,CO152,CQ152,CS152,CU152,CW152,CY152,DA152,DC152)</f>
        <v>15</v>
      </c>
      <c r="DF152" s="6">
        <f>CHOOSE(MATCH(Setup!$B$5,{8,10,12,14,16},0)+(MATCH(Setup!$B$7,{"STD","Half-PPR","PPR"},0)-1)*5,CB152,CD152,CF152,CH152,CJ152,CL152,CN152,CP152,CR152,CT152,CV152,CX152,CZ152,DB152,DD152)</f>
        <v>0</v>
      </c>
      <c r="DG152" s="6">
        <f>ROUND(1+DF152*'Live Calc'!$D$11,0)</f>
        <v>1</v>
      </c>
      <c r="DH152" s="6"/>
      <c r="DI152" s="6">
        <f>IF(DH152&lt;&gt;"",DH152,ROUND(DG152*INDEX('Live Calc'!$D$50:$D$70,MATCH(DE152,'Live Calc'!$A$50:$A$70,0))*'Live Calc'!$J$89,0))</f>
        <v>1</v>
      </c>
    </row>
    <row r="153" spans="39:113" x14ac:dyDescent="0.25">
      <c r="BY153" s="6" t="s">
        <v>508</v>
      </c>
      <c r="BZ153" s="6" t="s">
        <v>60</v>
      </c>
      <c r="CA153" s="6">
        <v>14</v>
      </c>
      <c r="CB153" s="6">
        <v>0</v>
      </c>
      <c r="CC153" s="6">
        <v>17</v>
      </c>
      <c r="CD153" s="6">
        <v>0</v>
      </c>
      <c r="CE153" s="6">
        <v>20</v>
      </c>
      <c r="CF153" s="6">
        <v>0</v>
      </c>
      <c r="CG153" s="6">
        <v>19</v>
      </c>
      <c r="CH153" s="6">
        <v>0</v>
      </c>
      <c r="CI153" s="6">
        <v>21</v>
      </c>
      <c r="CJ153" s="6">
        <v>0</v>
      </c>
      <c r="CK153" s="6">
        <v>10</v>
      </c>
      <c r="CL153" s="6">
        <v>0</v>
      </c>
      <c r="CM153" s="6">
        <v>15</v>
      </c>
      <c r="CN153" s="6">
        <v>0</v>
      </c>
      <c r="CO153" s="6">
        <v>15</v>
      </c>
      <c r="CP153" s="6">
        <v>0</v>
      </c>
      <c r="CQ153" s="6">
        <v>16</v>
      </c>
      <c r="CR153" s="6">
        <v>0</v>
      </c>
      <c r="CS153" s="6">
        <v>20</v>
      </c>
      <c r="CT153" s="6">
        <v>0</v>
      </c>
      <c r="CU153" s="6">
        <v>12</v>
      </c>
      <c r="CV153" s="6">
        <v>0</v>
      </c>
      <c r="CW153" s="6">
        <v>12</v>
      </c>
      <c r="CX153" s="6">
        <v>0</v>
      </c>
      <c r="CY153" s="6">
        <v>15</v>
      </c>
      <c r="CZ153" s="6">
        <v>0</v>
      </c>
      <c r="DA153" s="6">
        <v>18</v>
      </c>
      <c r="DB153" s="6">
        <v>0</v>
      </c>
      <c r="DC153" s="6">
        <v>20</v>
      </c>
      <c r="DD153" s="6">
        <v>0</v>
      </c>
      <c r="DE153" s="6">
        <f>CHOOSE(MATCH(Setup!$B$5,{8,10,12,14,16},0)+(MATCH(Setup!$B$7,{"STD","Half-PPR","PPR"},0)-1)*5,CA153,CC153,CE153,CG153,CI153,CK153,CM153,CO153,CQ153,CS153,CU153,CW153,CY153,DA153,DC153)</f>
        <v>15</v>
      </c>
      <c r="DF153" s="6">
        <f>CHOOSE(MATCH(Setup!$B$5,{8,10,12,14,16},0)+(MATCH(Setup!$B$7,{"STD","Half-PPR","PPR"},0)-1)*5,CB153,CD153,CF153,CH153,CJ153,CL153,CN153,CP153,CR153,CT153,CV153,CX153,CZ153,DB153,DD153)</f>
        <v>0</v>
      </c>
      <c r="DG153" s="6">
        <f>ROUND(1+DF153*'Live Calc'!$D$11,0)</f>
        <v>1</v>
      </c>
      <c r="DH153" s="6"/>
      <c r="DI153" s="6">
        <f>IF(DH153&lt;&gt;"",DH153,ROUND(DG153*INDEX('Live Calc'!$D$50:$D$70,MATCH(DE153,'Live Calc'!$A$50:$A$70,0))*'Live Calc'!$J$89,0))</f>
        <v>1</v>
      </c>
    </row>
    <row r="154" spans="39:113" x14ac:dyDescent="0.25">
      <c r="BY154" s="6" t="s">
        <v>509</v>
      </c>
      <c r="BZ154" s="6" t="s">
        <v>58</v>
      </c>
      <c r="CA154" s="6">
        <v>14</v>
      </c>
      <c r="CB154" s="6">
        <v>0</v>
      </c>
      <c r="CC154" s="6">
        <v>17</v>
      </c>
      <c r="CD154" s="6">
        <v>0</v>
      </c>
      <c r="CE154" s="6">
        <v>20</v>
      </c>
      <c r="CF154" s="6">
        <v>0</v>
      </c>
      <c r="CG154" s="6">
        <v>19</v>
      </c>
      <c r="CH154" s="6">
        <v>0</v>
      </c>
      <c r="CI154" s="6">
        <v>21</v>
      </c>
      <c r="CJ154" s="6">
        <v>0</v>
      </c>
      <c r="CK154" s="6">
        <v>10</v>
      </c>
      <c r="CL154" s="6">
        <v>0</v>
      </c>
      <c r="CM154" s="6">
        <v>15</v>
      </c>
      <c r="CN154" s="6">
        <v>0</v>
      </c>
      <c r="CO154" s="6">
        <v>15</v>
      </c>
      <c r="CP154" s="6">
        <v>0</v>
      </c>
      <c r="CQ154" s="6">
        <v>16</v>
      </c>
      <c r="CR154" s="6">
        <v>0</v>
      </c>
      <c r="CS154" s="6">
        <v>20</v>
      </c>
      <c r="CT154" s="6">
        <v>0</v>
      </c>
      <c r="CU154" s="6">
        <v>12</v>
      </c>
      <c r="CV154" s="6">
        <v>0</v>
      </c>
      <c r="CW154" s="6">
        <v>12</v>
      </c>
      <c r="CX154" s="6">
        <v>0</v>
      </c>
      <c r="CY154" s="6">
        <v>15</v>
      </c>
      <c r="CZ154" s="6">
        <v>0</v>
      </c>
      <c r="DA154" s="6">
        <v>18</v>
      </c>
      <c r="DB154" s="6">
        <v>0</v>
      </c>
      <c r="DC154" s="6">
        <v>20</v>
      </c>
      <c r="DD154" s="6">
        <v>0</v>
      </c>
      <c r="DE154" s="6">
        <f>CHOOSE(MATCH(Setup!$B$5,{8,10,12,14,16},0)+(MATCH(Setup!$B$7,{"STD","Half-PPR","PPR"},0)-1)*5,CA154,CC154,CE154,CG154,CI154,CK154,CM154,CO154,CQ154,CS154,CU154,CW154,CY154,DA154,DC154)</f>
        <v>15</v>
      </c>
      <c r="DF154" s="6">
        <f>CHOOSE(MATCH(Setup!$B$5,{8,10,12,14,16},0)+(MATCH(Setup!$B$7,{"STD","Half-PPR","PPR"},0)-1)*5,CB154,CD154,CF154,CH154,CJ154,CL154,CN154,CP154,CR154,CT154,CV154,CX154,CZ154,DB154,DD154)</f>
        <v>0</v>
      </c>
      <c r="DG154" s="6">
        <f>ROUND(1+DF154*'Live Calc'!$D$11,0)</f>
        <v>1</v>
      </c>
      <c r="DH154" s="6"/>
      <c r="DI154" s="6">
        <f>IF(DH154&lt;&gt;"",DH154,ROUND(DG154*INDEX('Live Calc'!$D$50:$D$70,MATCH(DE154,'Live Calc'!$A$50:$A$70,0))*'Live Calc'!$J$89,0))</f>
        <v>1</v>
      </c>
    </row>
    <row r="155" spans="39:113" x14ac:dyDescent="0.25">
      <c r="BY155" s="6" t="s">
        <v>510</v>
      </c>
      <c r="BZ155" s="6" t="s">
        <v>48</v>
      </c>
      <c r="CA155" s="6">
        <v>14</v>
      </c>
      <c r="CB155" s="6">
        <v>0</v>
      </c>
      <c r="CC155" s="6">
        <v>17</v>
      </c>
      <c r="CD155" s="6">
        <v>0</v>
      </c>
      <c r="CE155" s="6">
        <v>20</v>
      </c>
      <c r="CF155" s="6">
        <v>0</v>
      </c>
      <c r="CG155" s="6">
        <v>19</v>
      </c>
      <c r="CH155" s="6">
        <v>0</v>
      </c>
      <c r="CI155" s="6">
        <v>21</v>
      </c>
      <c r="CJ155" s="6">
        <v>0</v>
      </c>
      <c r="CK155" s="6">
        <v>10</v>
      </c>
      <c r="CL155" s="6">
        <v>0</v>
      </c>
      <c r="CM155" s="6">
        <v>15</v>
      </c>
      <c r="CN155" s="6">
        <v>0</v>
      </c>
      <c r="CO155" s="6">
        <v>15</v>
      </c>
      <c r="CP155" s="6">
        <v>0</v>
      </c>
      <c r="CQ155" s="6">
        <v>16</v>
      </c>
      <c r="CR155" s="6">
        <v>0</v>
      </c>
      <c r="CS155" s="6">
        <v>20</v>
      </c>
      <c r="CT155" s="6">
        <v>0</v>
      </c>
      <c r="CU155" s="6">
        <v>12</v>
      </c>
      <c r="CV155" s="6">
        <v>0</v>
      </c>
      <c r="CW155" s="6">
        <v>12</v>
      </c>
      <c r="CX155" s="6">
        <v>0</v>
      </c>
      <c r="CY155" s="6">
        <v>15</v>
      </c>
      <c r="CZ155" s="6">
        <v>0</v>
      </c>
      <c r="DA155" s="6">
        <v>18</v>
      </c>
      <c r="DB155" s="6">
        <v>0</v>
      </c>
      <c r="DC155" s="6">
        <v>20</v>
      </c>
      <c r="DD155" s="6">
        <v>0</v>
      </c>
      <c r="DE155" s="6">
        <f>CHOOSE(MATCH(Setup!$B$5,{8,10,12,14,16},0)+(MATCH(Setup!$B$7,{"STD","Half-PPR","PPR"},0)-1)*5,CA155,CC155,CE155,CG155,CI155,CK155,CM155,CO155,CQ155,CS155,CU155,CW155,CY155,DA155,DC155)</f>
        <v>15</v>
      </c>
      <c r="DF155" s="6">
        <f>CHOOSE(MATCH(Setup!$B$5,{8,10,12,14,16},0)+(MATCH(Setup!$B$7,{"STD","Half-PPR","PPR"},0)-1)*5,CB155,CD155,CF155,CH155,CJ155,CL155,CN155,CP155,CR155,CT155,CV155,CX155,CZ155,DB155,DD155)</f>
        <v>0</v>
      </c>
      <c r="DG155" s="6">
        <f>ROUND(1+DF155*'Live Calc'!$D$11,0)</f>
        <v>1</v>
      </c>
      <c r="DH155" s="6"/>
      <c r="DI155" s="6">
        <f>IF(DH155&lt;&gt;"",DH155,ROUND(DG155*INDEX('Live Calc'!$D$50:$D$70,MATCH(DE155,'Live Calc'!$A$50:$A$70,0))*'Live Calc'!$J$89,0))</f>
        <v>1</v>
      </c>
    </row>
    <row r="156" spans="39:113" x14ac:dyDescent="0.25">
      <c r="BY156" s="6" t="s">
        <v>511</v>
      </c>
      <c r="BZ156" s="6" t="s">
        <v>253</v>
      </c>
      <c r="CA156" s="6">
        <v>14</v>
      </c>
      <c r="CB156" s="6">
        <v>0</v>
      </c>
      <c r="CC156" s="6">
        <v>17</v>
      </c>
      <c r="CD156" s="6">
        <v>0</v>
      </c>
      <c r="CE156" s="6">
        <v>20</v>
      </c>
      <c r="CF156" s="6">
        <v>0</v>
      </c>
      <c r="CG156" s="6">
        <v>19</v>
      </c>
      <c r="CH156" s="6">
        <v>0</v>
      </c>
      <c r="CI156" s="6">
        <v>21</v>
      </c>
      <c r="CJ156" s="6">
        <v>0</v>
      </c>
      <c r="CK156" s="6">
        <v>10</v>
      </c>
      <c r="CL156" s="6">
        <v>0</v>
      </c>
      <c r="CM156" s="6">
        <v>15</v>
      </c>
      <c r="CN156" s="6">
        <v>0</v>
      </c>
      <c r="CO156" s="6">
        <v>15</v>
      </c>
      <c r="CP156" s="6">
        <v>0</v>
      </c>
      <c r="CQ156" s="6">
        <v>16</v>
      </c>
      <c r="CR156" s="6">
        <v>0</v>
      </c>
      <c r="CS156" s="6">
        <v>20</v>
      </c>
      <c r="CT156" s="6">
        <v>0</v>
      </c>
      <c r="CU156" s="6">
        <v>12</v>
      </c>
      <c r="CV156" s="6">
        <v>0</v>
      </c>
      <c r="CW156" s="6">
        <v>12</v>
      </c>
      <c r="CX156" s="6">
        <v>0</v>
      </c>
      <c r="CY156" s="6">
        <v>15</v>
      </c>
      <c r="CZ156" s="6">
        <v>0</v>
      </c>
      <c r="DA156" s="6">
        <v>18</v>
      </c>
      <c r="DB156" s="6">
        <v>0</v>
      </c>
      <c r="DC156" s="6">
        <v>20</v>
      </c>
      <c r="DD156" s="6">
        <v>0</v>
      </c>
      <c r="DE156" s="6">
        <f>CHOOSE(MATCH(Setup!$B$5,{8,10,12,14,16},0)+(MATCH(Setup!$B$7,{"STD","Half-PPR","PPR"},0)-1)*5,CA156,CC156,CE156,CG156,CI156,CK156,CM156,CO156,CQ156,CS156,CU156,CW156,CY156,DA156,DC156)</f>
        <v>15</v>
      </c>
      <c r="DF156" s="6">
        <f>CHOOSE(MATCH(Setup!$B$5,{8,10,12,14,16},0)+(MATCH(Setup!$B$7,{"STD","Half-PPR","PPR"},0)-1)*5,CB156,CD156,CF156,CH156,CJ156,CL156,CN156,CP156,CR156,CT156,CV156,CX156,CZ156,DB156,DD156)</f>
        <v>0</v>
      </c>
      <c r="DG156" s="6">
        <f>ROUND(1+DF156*'Live Calc'!$D$11,0)</f>
        <v>1</v>
      </c>
      <c r="DH156" s="6"/>
      <c r="DI156" s="6">
        <f>IF(DH156&lt;&gt;"",DH156,ROUND(DG156*INDEX('Live Calc'!$D$50:$D$70,MATCH(DE156,'Live Calc'!$A$50:$A$70,0))*'Live Calc'!$J$89,0))</f>
        <v>1</v>
      </c>
    </row>
    <row r="157" spans="39:113" x14ac:dyDescent="0.25">
      <c r="BY157" s="6" t="s">
        <v>512</v>
      </c>
      <c r="BZ157" s="6" t="s">
        <v>253</v>
      </c>
      <c r="CA157" s="6">
        <v>14</v>
      </c>
      <c r="CB157" s="6">
        <v>0</v>
      </c>
      <c r="CC157" s="6">
        <v>17</v>
      </c>
      <c r="CD157" s="6">
        <v>0</v>
      </c>
      <c r="CE157" s="6">
        <v>20</v>
      </c>
      <c r="CF157" s="6">
        <v>0</v>
      </c>
      <c r="CG157" s="6">
        <v>19</v>
      </c>
      <c r="CH157" s="6">
        <v>0</v>
      </c>
      <c r="CI157" s="6">
        <v>21</v>
      </c>
      <c r="CJ157" s="6">
        <v>0</v>
      </c>
      <c r="CK157" s="6">
        <v>10</v>
      </c>
      <c r="CL157" s="6">
        <v>0</v>
      </c>
      <c r="CM157" s="6">
        <v>15</v>
      </c>
      <c r="CN157" s="6">
        <v>0</v>
      </c>
      <c r="CO157" s="6">
        <v>15</v>
      </c>
      <c r="CP157" s="6">
        <v>0</v>
      </c>
      <c r="CQ157" s="6">
        <v>16</v>
      </c>
      <c r="CR157" s="6">
        <v>0</v>
      </c>
      <c r="CS157" s="6">
        <v>20</v>
      </c>
      <c r="CT157" s="6">
        <v>0</v>
      </c>
      <c r="CU157" s="6">
        <v>12</v>
      </c>
      <c r="CV157" s="6">
        <v>0</v>
      </c>
      <c r="CW157" s="6">
        <v>12</v>
      </c>
      <c r="CX157" s="6">
        <v>0</v>
      </c>
      <c r="CY157" s="6">
        <v>15</v>
      </c>
      <c r="CZ157" s="6">
        <v>0</v>
      </c>
      <c r="DA157" s="6">
        <v>18</v>
      </c>
      <c r="DB157" s="6">
        <v>0</v>
      </c>
      <c r="DC157" s="6">
        <v>20</v>
      </c>
      <c r="DD157" s="6">
        <v>0</v>
      </c>
      <c r="DE157" s="6">
        <f>CHOOSE(MATCH(Setup!$B$5,{8,10,12,14,16},0)+(MATCH(Setup!$B$7,{"STD","Half-PPR","PPR"},0)-1)*5,CA157,CC157,CE157,CG157,CI157,CK157,CM157,CO157,CQ157,CS157,CU157,CW157,CY157,DA157,DC157)</f>
        <v>15</v>
      </c>
      <c r="DF157" s="6">
        <f>CHOOSE(MATCH(Setup!$B$5,{8,10,12,14,16},0)+(MATCH(Setup!$B$7,{"STD","Half-PPR","PPR"},0)-1)*5,CB157,CD157,CF157,CH157,CJ157,CL157,CN157,CP157,CR157,CT157,CV157,CX157,CZ157,DB157,DD157)</f>
        <v>0</v>
      </c>
      <c r="DG157" s="6">
        <f>ROUND(1+DF157*'Live Calc'!$D$11,0)</f>
        <v>1</v>
      </c>
      <c r="DH157" s="6"/>
      <c r="DI157" s="6">
        <f>IF(DH157&lt;&gt;"",DH157,ROUND(DG157*INDEX('Live Calc'!$D$50:$D$70,MATCH(DE157,'Live Calc'!$A$50:$A$70,0))*'Live Calc'!$J$89,0))</f>
        <v>1</v>
      </c>
    </row>
    <row r="158" spans="39:113" x14ac:dyDescent="0.25">
      <c r="BY158" s="6" t="s">
        <v>513</v>
      </c>
      <c r="BZ158" s="6" t="s">
        <v>58</v>
      </c>
      <c r="CA158" s="6">
        <v>14</v>
      </c>
      <c r="CB158" s="6">
        <v>0</v>
      </c>
      <c r="CC158" s="6">
        <v>17</v>
      </c>
      <c r="CD158" s="6">
        <v>0</v>
      </c>
      <c r="CE158" s="6">
        <v>20</v>
      </c>
      <c r="CF158" s="6">
        <v>0</v>
      </c>
      <c r="CG158" s="6">
        <v>19</v>
      </c>
      <c r="CH158" s="6">
        <v>0</v>
      </c>
      <c r="CI158" s="6">
        <v>21</v>
      </c>
      <c r="CJ158" s="6">
        <v>0</v>
      </c>
      <c r="CK158" s="6">
        <v>10</v>
      </c>
      <c r="CL158" s="6">
        <v>0</v>
      </c>
      <c r="CM158" s="6">
        <v>15</v>
      </c>
      <c r="CN158" s="6">
        <v>0</v>
      </c>
      <c r="CO158" s="6">
        <v>15</v>
      </c>
      <c r="CP158" s="6">
        <v>0</v>
      </c>
      <c r="CQ158" s="6">
        <v>16</v>
      </c>
      <c r="CR158" s="6">
        <v>0</v>
      </c>
      <c r="CS158" s="6">
        <v>20</v>
      </c>
      <c r="CT158" s="6">
        <v>0</v>
      </c>
      <c r="CU158" s="6">
        <v>12</v>
      </c>
      <c r="CV158" s="6">
        <v>0</v>
      </c>
      <c r="CW158" s="6">
        <v>12</v>
      </c>
      <c r="CX158" s="6">
        <v>0</v>
      </c>
      <c r="CY158" s="6">
        <v>15</v>
      </c>
      <c r="CZ158" s="6">
        <v>0</v>
      </c>
      <c r="DA158" s="6">
        <v>18</v>
      </c>
      <c r="DB158" s="6">
        <v>0</v>
      </c>
      <c r="DC158" s="6">
        <v>20</v>
      </c>
      <c r="DD158" s="6">
        <v>0</v>
      </c>
      <c r="DE158" s="6">
        <f>CHOOSE(MATCH(Setup!$B$5,{8,10,12,14,16},0)+(MATCH(Setup!$B$7,{"STD","Half-PPR","PPR"},0)-1)*5,CA158,CC158,CE158,CG158,CI158,CK158,CM158,CO158,CQ158,CS158,CU158,CW158,CY158,DA158,DC158)</f>
        <v>15</v>
      </c>
      <c r="DF158" s="6">
        <f>CHOOSE(MATCH(Setup!$B$5,{8,10,12,14,16},0)+(MATCH(Setup!$B$7,{"STD","Half-PPR","PPR"},0)-1)*5,CB158,CD158,CF158,CH158,CJ158,CL158,CN158,CP158,CR158,CT158,CV158,CX158,CZ158,DB158,DD158)</f>
        <v>0</v>
      </c>
      <c r="DG158" s="6">
        <f>ROUND(1+DF158*'Live Calc'!$D$11,0)</f>
        <v>1</v>
      </c>
      <c r="DH158" s="6"/>
      <c r="DI158" s="6">
        <f>IF(DH158&lt;&gt;"",DH158,ROUND(DG158*INDEX('Live Calc'!$D$50:$D$70,MATCH(DE158,'Live Calc'!$A$50:$A$70,0))*'Live Calc'!$J$89,0))</f>
        <v>1</v>
      </c>
    </row>
    <row r="159" spans="39:113" x14ac:dyDescent="0.25">
      <c r="BY159" s="6" t="s">
        <v>514</v>
      </c>
      <c r="BZ159" s="6" t="s">
        <v>64</v>
      </c>
      <c r="CA159" s="6">
        <v>14</v>
      </c>
      <c r="CB159" s="6">
        <v>0</v>
      </c>
      <c r="CC159" s="6">
        <v>17</v>
      </c>
      <c r="CD159" s="6">
        <v>0</v>
      </c>
      <c r="CE159" s="6">
        <v>20</v>
      </c>
      <c r="CF159" s="6">
        <v>0</v>
      </c>
      <c r="CG159" s="6">
        <v>19</v>
      </c>
      <c r="CH159" s="6">
        <v>0</v>
      </c>
      <c r="CI159" s="6">
        <v>21</v>
      </c>
      <c r="CJ159" s="6">
        <v>0</v>
      </c>
      <c r="CK159" s="6">
        <v>10</v>
      </c>
      <c r="CL159" s="6">
        <v>0</v>
      </c>
      <c r="CM159" s="6">
        <v>15</v>
      </c>
      <c r="CN159" s="6">
        <v>0</v>
      </c>
      <c r="CO159" s="6">
        <v>15</v>
      </c>
      <c r="CP159" s="6">
        <v>0</v>
      </c>
      <c r="CQ159" s="6">
        <v>16</v>
      </c>
      <c r="CR159" s="6">
        <v>0</v>
      </c>
      <c r="CS159" s="6">
        <v>20</v>
      </c>
      <c r="CT159" s="6">
        <v>0</v>
      </c>
      <c r="CU159" s="6">
        <v>12</v>
      </c>
      <c r="CV159" s="6">
        <v>0</v>
      </c>
      <c r="CW159" s="6">
        <v>12</v>
      </c>
      <c r="CX159" s="6">
        <v>0</v>
      </c>
      <c r="CY159" s="6">
        <v>15</v>
      </c>
      <c r="CZ159" s="6">
        <v>0</v>
      </c>
      <c r="DA159" s="6">
        <v>18</v>
      </c>
      <c r="DB159" s="6">
        <v>0</v>
      </c>
      <c r="DC159" s="6">
        <v>20</v>
      </c>
      <c r="DD159" s="6">
        <v>0</v>
      </c>
      <c r="DE159" s="6">
        <f>CHOOSE(MATCH(Setup!$B$5,{8,10,12,14,16},0)+(MATCH(Setup!$B$7,{"STD","Half-PPR","PPR"},0)-1)*5,CA159,CC159,CE159,CG159,CI159,CK159,CM159,CO159,CQ159,CS159,CU159,CW159,CY159,DA159,DC159)</f>
        <v>15</v>
      </c>
      <c r="DF159" s="6">
        <f>CHOOSE(MATCH(Setup!$B$5,{8,10,12,14,16},0)+(MATCH(Setup!$B$7,{"STD","Half-PPR","PPR"},0)-1)*5,CB159,CD159,CF159,CH159,CJ159,CL159,CN159,CP159,CR159,CT159,CV159,CX159,CZ159,DB159,DD159)</f>
        <v>0</v>
      </c>
      <c r="DG159" s="6">
        <f>ROUND(1+DF159*'Live Calc'!$D$11,0)</f>
        <v>1</v>
      </c>
      <c r="DH159" s="6"/>
      <c r="DI159" s="6">
        <f>IF(DH159&lt;&gt;"",DH159,ROUND(DG159*INDEX('Live Calc'!$D$50:$D$70,MATCH(DE159,'Live Calc'!$A$50:$A$70,0))*'Live Calc'!$J$89,0))</f>
        <v>1</v>
      </c>
    </row>
    <row r="160" spans="39:113" x14ac:dyDescent="0.25">
      <c r="BY160" s="6" t="s">
        <v>515</v>
      </c>
      <c r="BZ160" s="6" t="s">
        <v>175</v>
      </c>
      <c r="CA160" s="6">
        <v>14</v>
      </c>
      <c r="CB160" s="6">
        <v>0</v>
      </c>
      <c r="CC160" s="6">
        <v>17</v>
      </c>
      <c r="CD160" s="6">
        <v>0</v>
      </c>
      <c r="CE160" s="6">
        <v>20</v>
      </c>
      <c r="CF160" s="6">
        <v>0</v>
      </c>
      <c r="CG160" s="6">
        <v>19</v>
      </c>
      <c r="CH160" s="6">
        <v>0</v>
      </c>
      <c r="CI160" s="6">
        <v>21</v>
      </c>
      <c r="CJ160" s="6">
        <v>0</v>
      </c>
      <c r="CK160" s="6">
        <v>10</v>
      </c>
      <c r="CL160" s="6">
        <v>0</v>
      </c>
      <c r="CM160" s="6">
        <v>15</v>
      </c>
      <c r="CN160" s="6">
        <v>0</v>
      </c>
      <c r="CO160" s="6">
        <v>15</v>
      </c>
      <c r="CP160" s="6">
        <v>0</v>
      </c>
      <c r="CQ160" s="6">
        <v>16</v>
      </c>
      <c r="CR160" s="6">
        <v>0</v>
      </c>
      <c r="CS160" s="6">
        <v>20</v>
      </c>
      <c r="CT160" s="6">
        <v>0</v>
      </c>
      <c r="CU160" s="6">
        <v>12</v>
      </c>
      <c r="CV160" s="6">
        <v>0</v>
      </c>
      <c r="CW160" s="6">
        <v>12</v>
      </c>
      <c r="CX160" s="6">
        <v>0</v>
      </c>
      <c r="CY160" s="6">
        <v>15</v>
      </c>
      <c r="CZ160" s="6">
        <v>0</v>
      </c>
      <c r="DA160" s="6">
        <v>18</v>
      </c>
      <c r="DB160" s="6">
        <v>0</v>
      </c>
      <c r="DC160" s="6">
        <v>20</v>
      </c>
      <c r="DD160" s="6">
        <v>0</v>
      </c>
      <c r="DE160" s="6">
        <f>CHOOSE(MATCH(Setup!$B$5,{8,10,12,14,16},0)+(MATCH(Setup!$B$7,{"STD","Half-PPR","PPR"},0)-1)*5,CA160,CC160,CE160,CG160,CI160,CK160,CM160,CO160,CQ160,CS160,CU160,CW160,CY160,DA160,DC160)</f>
        <v>15</v>
      </c>
      <c r="DF160" s="6">
        <f>CHOOSE(MATCH(Setup!$B$5,{8,10,12,14,16},0)+(MATCH(Setup!$B$7,{"STD","Half-PPR","PPR"},0)-1)*5,CB160,CD160,CF160,CH160,CJ160,CL160,CN160,CP160,CR160,CT160,CV160,CX160,CZ160,DB160,DD160)</f>
        <v>0</v>
      </c>
      <c r="DG160" s="6">
        <f>ROUND(1+DF160*'Live Calc'!$D$11,0)</f>
        <v>1</v>
      </c>
      <c r="DH160" s="6"/>
      <c r="DI160" s="6">
        <f>IF(DH160&lt;&gt;"",DH160,ROUND(DG160*INDEX('Live Calc'!$D$50:$D$70,MATCH(DE160,'Live Calc'!$A$50:$A$70,0))*'Live Calc'!$J$89,0))</f>
        <v>1</v>
      </c>
    </row>
    <row r="161" spans="77:113" x14ac:dyDescent="0.25">
      <c r="BY161" s="6" t="s">
        <v>516</v>
      </c>
      <c r="BZ161" s="6" t="s">
        <v>253</v>
      </c>
      <c r="CA161" s="6">
        <v>14</v>
      </c>
      <c r="CB161" s="6">
        <v>0</v>
      </c>
      <c r="CC161" s="6">
        <v>17</v>
      </c>
      <c r="CD161" s="6">
        <v>0</v>
      </c>
      <c r="CE161" s="6">
        <v>20</v>
      </c>
      <c r="CF161" s="6">
        <v>0</v>
      </c>
      <c r="CG161" s="6">
        <v>19</v>
      </c>
      <c r="CH161" s="6">
        <v>0</v>
      </c>
      <c r="CI161" s="6">
        <v>21</v>
      </c>
      <c r="CJ161" s="6">
        <v>0</v>
      </c>
      <c r="CK161" s="6">
        <v>10</v>
      </c>
      <c r="CL161" s="6">
        <v>0</v>
      </c>
      <c r="CM161" s="6">
        <v>15</v>
      </c>
      <c r="CN161" s="6">
        <v>0</v>
      </c>
      <c r="CO161" s="6">
        <v>15</v>
      </c>
      <c r="CP161" s="6">
        <v>0</v>
      </c>
      <c r="CQ161" s="6">
        <v>16</v>
      </c>
      <c r="CR161" s="6">
        <v>0</v>
      </c>
      <c r="CS161" s="6">
        <v>20</v>
      </c>
      <c r="CT161" s="6">
        <v>0</v>
      </c>
      <c r="CU161" s="6">
        <v>12</v>
      </c>
      <c r="CV161" s="6">
        <v>0</v>
      </c>
      <c r="CW161" s="6">
        <v>12</v>
      </c>
      <c r="CX161" s="6">
        <v>0</v>
      </c>
      <c r="CY161" s="6">
        <v>15</v>
      </c>
      <c r="CZ161" s="6">
        <v>0</v>
      </c>
      <c r="DA161" s="6">
        <v>18</v>
      </c>
      <c r="DB161" s="6">
        <v>0</v>
      </c>
      <c r="DC161" s="6">
        <v>20</v>
      </c>
      <c r="DD161" s="6">
        <v>0</v>
      </c>
      <c r="DE161" s="6">
        <f>CHOOSE(MATCH(Setup!$B$5,{8,10,12,14,16},0)+(MATCH(Setup!$B$7,{"STD","Half-PPR","PPR"},0)-1)*5,CA161,CC161,CE161,CG161,CI161,CK161,CM161,CO161,CQ161,CS161,CU161,CW161,CY161,DA161,DC161)</f>
        <v>15</v>
      </c>
      <c r="DF161" s="6">
        <f>CHOOSE(MATCH(Setup!$B$5,{8,10,12,14,16},0)+(MATCH(Setup!$B$7,{"STD","Half-PPR","PPR"},0)-1)*5,CB161,CD161,CF161,CH161,CJ161,CL161,CN161,CP161,CR161,CT161,CV161,CX161,CZ161,DB161,DD161)</f>
        <v>0</v>
      </c>
      <c r="DG161" s="6">
        <f>ROUND(1+DF161*'Live Calc'!$D$11,0)</f>
        <v>1</v>
      </c>
      <c r="DH161" s="6"/>
      <c r="DI161" s="6">
        <f>IF(DH161&lt;&gt;"",DH161,ROUND(DG161*INDEX('Live Calc'!$D$50:$D$70,MATCH(DE161,'Live Calc'!$A$50:$A$70,0))*'Live Calc'!$J$89,0))</f>
        <v>1</v>
      </c>
    </row>
    <row r="162" spans="77:113" x14ac:dyDescent="0.25">
      <c r="BY162" s="6" t="s">
        <v>517</v>
      </c>
      <c r="BZ162" s="6" t="s">
        <v>253</v>
      </c>
      <c r="CA162" s="6">
        <v>14</v>
      </c>
      <c r="CB162" s="6">
        <v>0</v>
      </c>
      <c r="CC162" s="6">
        <v>17</v>
      </c>
      <c r="CD162" s="6">
        <v>0</v>
      </c>
      <c r="CE162" s="6">
        <v>20</v>
      </c>
      <c r="CF162" s="6">
        <v>0</v>
      </c>
      <c r="CG162" s="6">
        <v>19</v>
      </c>
      <c r="CH162" s="6">
        <v>0</v>
      </c>
      <c r="CI162" s="6">
        <v>21</v>
      </c>
      <c r="CJ162" s="6">
        <v>0</v>
      </c>
      <c r="CK162" s="6">
        <v>10</v>
      </c>
      <c r="CL162" s="6">
        <v>0</v>
      </c>
      <c r="CM162" s="6">
        <v>15</v>
      </c>
      <c r="CN162" s="6">
        <v>0</v>
      </c>
      <c r="CO162" s="6">
        <v>15</v>
      </c>
      <c r="CP162" s="6">
        <v>0</v>
      </c>
      <c r="CQ162" s="6">
        <v>16</v>
      </c>
      <c r="CR162" s="6">
        <v>0</v>
      </c>
      <c r="CS162" s="6">
        <v>20</v>
      </c>
      <c r="CT162" s="6">
        <v>0</v>
      </c>
      <c r="CU162" s="6">
        <v>12</v>
      </c>
      <c r="CV162" s="6">
        <v>0</v>
      </c>
      <c r="CW162" s="6">
        <v>12</v>
      </c>
      <c r="CX162" s="6">
        <v>0</v>
      </c>
      <c r="CY162" s="6">
        <v>15</v>
      </c>
      <c r="CZ162" s="6">
        <v>0</v>
      </c>
      <c r="DA162" s="6">
        <v>18</v>
      </c>
      <c r="DB162" s="6">
        <v>0</v>
      </c>
      <c r="DC162" s="6">
        <v>20</v>
      </c>
      <c r="DD162" s="6">
        <v>0</v>
      </c>
      <c r="DE162" s="6">
        <f>CHOOSE(MATCH(Setup!$B$5,{8,10,12,14,16},0)+(MATCH(Setup!$B$7,{"STD","Half-PPR","PPR"},0)-1)*5,CA162,CC162,CE162,CG162,CI162,CK162,CM162,CO162,CQ162,CS162,CU162,CW162,CY162,DA162,DC162)</f>
        <v>15</v>
      </c>
      <c r="DF162" s="6">
        <f>CHOOSE(MATCH(Setup!$B$5,{8,10,12,14,16},0)+(MATCH(Setup!$B$7,{"STD","Half-PPR","PPR"},0)-1)*5,CB162,CD162,CF162,CH162,CJ162,CL162,CN162,CP162,CR162,CT162,CV162,CX162,CZ162,DB162,DD162)</f>
        <v>0</v>
      </c>
      <c r="DG162" s="6">
        <f>ROUND(1+DF162*'Live Calc'!$D$11,0)</f>
        <v>1</v>
      </c>
      <c r="DH162" s="6"/>
      <c r="DI162" s="6">
        <f>IF(DH162&lt;&gt;"",DH162,ROUND(DG162*INDEX('Live Calc'!$D$50:$D$70,MATCH(DE162,'Live Calc'!$A$50:$A$70,0))*'Live Calc'!$J$89,0))</f>
        <v>1</v>
      </c>
    </row>
    <row r="163" spans="77:113" x14ac:dyDescent="0.25">
      <c r="BY163" s="6" t="s">
        <v>518</v>
      </c>
      <c r="BZ163" s="6" t="s">
        <v>145</v>
      </c>
      <c r="CA163" s="6">
        <v>14</v>
      </c>
      <c r="CB163" s="6">
        <v>0</v>
      </c>
      <c r="CC163" s="6">
        <v>17</v>
      </c>
      <c r="CD163" s="6">
        <v>0</v>
      </c>
      <c r="CE163" s="6">
        <v>20</v>
      </c>
      <c r="CF163" s="6">
        <v>0</v>
      </c>
      <c r="CG163" s="6">
        <v>19</v>
      </c>
      <c r="CH163" s="6">
        <v>0</v>
      </c>
      <c r="CI163" s="6">
        <v>21</v>
      </c>
      <c r="CJ163" s="6">
        <v>0</v>
      </c>
      <c r="CK163" s="6">
        <v>10</v>
      </c>
      <c r="CL163" s="6">
        <v>0</v>
      </c>
      <c r="CM163" s="6">
        <v>15</v>
      </c>
      <c r="CN163" s="6">
        <v>0</v>
      </c>
      <c r="CO163" s="6">
        <v>15</v>
      </c>
      <c r="CP163" s="6">
        <v>0</v>
      </c>
      <c r="CQ163" s="6">
        <v>16</v>
      </c>
      <c r="CR163" s="6">
        <v>0</v>
      </c>
      <c r="CS163" s="6">
        <v>20</v>
      </c>
      <c r="CT163" s="6">
        <v>0</v>
      </c>
      <c r="CU163" s="6">
        <v>12</v>
      </c>
      <c r="CV163" s="6">
        <v>0</v>
      </c>
      <c r="CW163" s="6">
        <v>12</v>
      </c>
      <c r="CX163" s="6">
        <v>0</v>
      </c>
      <c r="CY163" s="6">
        <v>15</v>
      </c>
      <c r="CZ163" s="6">
        <v>0</v>
      </c>
      <c r="DA163" s="6">
        <v>18</v>
      </c>
      <c r="DB163" s="6">
        <v>0</v>
      </c>
      <c r="DC163" s="6">
        <v>20</v>
      </c>
      <c r="DD163" s="6">
        <v>0</v>
      </c>
      <c r="DE163" s="6">
        <f>CHOOSE(MATCH(Setup!$B$5,{8,10,12,14,16},0)+(MATCH(Setup!$B$7,{"STD","Half-PPR","PPR"},0)-1)*5,CA163,CC163,CE163,CG163,CI163,CK163,CM163,CO163,CQ163,CS163,CU163,CW163,CY163,DA163,DC163)</f>
        <v>15</v>
      </c>
      <c r="DF163" s="6">
        <f>CHOOSE(MATCH(Setup!$B$5,{8,10,12,14,16},0)+(MATCH(Setup!$B$7,{"STD","Half-PPR","PPR"},0)-1)*5,CB163,CD163,CF163,CH163,CJ163,CL163,CN163,CP163,CR163,CT163,CV163,CX163,CZ163,DB163,DD163)</f>
        <v>0</v>
      </c>
      <c r="DG163" s="6">
        <f>ROUND(1+DF163*'Live Calc'!$D$11,0)</f>
        <v>1</v>
      </c>
      <c r="DH163" s="6"/>
      <c r="DI163" s="6">
        <f>IF(DH163&lt;&gt;"",DH163,ROUND(DG163*INDEX('Live Calc'!$D$50:$D$70,MATCH(DE163,'Live Calc'!$A$50:$A$70,0))*'Live Calc'!$J$89,0))</f>
        <v>1</v>
      </c>
    </row>
    <row r="164" spans="77:113" x14ac:dyDescent="0.25">
      <c r="BY164" s="6" t="s">
        <v>519</v>
      </c>
      <c r="BZ164" s="6" t="s">
        <v>50</v>
      </c>
      <c r="CA164" s="6">
        <v>14</v>
      </c>
      <c r="CB164" s="6">
        <v>0</v>
      </c>
      <c r="CC164" s="6">
        <v>17</v>
      </c>
      <c r="CD164" s="6">
        <v>0</v>
      </c>
      <c r="CE164" s="6">
        <v>20</v>
      </c>
      <c r="CF164" s="6">
        <v>0</v>
      </c>
      <c r="CG164" s="6">
        <v>19</v>
      </c>
      <c r="CH164" s="6">
        <v>0</v>
      </c>
      <c r="CI164" s="6">
        <v>21</v>
      </c>
      <c r="CJ164" s="6">
        <v>0</v>
      </c>
      <c r="CK164" s="6">
        <v>10</v>
      </c>
      <c r="CL164" s="6">
        <v>0</v>
      </c>
      <c r="CM164" s="6">
        <v>15</v>
      </c>
      <c r="CN164" s="6">
        <v>0</v>
      </c>
      <c r="CO164" s="6">
        <v>15</v>
      </c>
      <c r="CP164" s="6">
        <v>0</v>
      </c>
      <c r="CQ164" s="6">
        <v>16</v>
      </c>
      <c r="CR164" s="6">
        <v>0</v>
      </c>
      <c r="CS164" s="6">
        <v>20</v>
      </c>
      <c r="CT164" s="6">
        <v>0</v>
      </c>
      <c r="CU164" s="6">
        <v>12</v>
      </c>
      <c r="CV164" s="6">
        <v>0</v>
      </c>
      <c r="CW164" s="6">
        <v>12</v>
      </c>
      <c r="CX164" s="6">
        <v>0</v>
      </c>
      <c r="CY164" s="6">
        <v>15</v>
      </c>
      <c r="CZ164" s="6">
        <v>0</v>
      </c>
      <c r="DA164" s="6">
        <v>18</v>
      </c>
      <c r="DB164" s="6">
        <v>0</v>
      </c>
      <c r="DC164" s="6">
        <v>20</v>
      </c>
      <c r="DD164" s="6">
        <v>0</v>
      </c>
      <c r="DE164" s="6">
        <f>CHOOSE(MATCH(Setup!$B$5,{8,10,12,14,16},0)+(MATCH(Setup!$B$7,{"STD","Half-PPR","PPR"},0)-1)*5,CA164,CC164,CE164,CG164,CI164,CK164,CM164,CO164,CQ164,CS164,CU164,CW164,CY164,DA164,DC164)</f>
        <v>15</v>
      </c>
      <c r="DF164" s="6">
        <f>CHOOSE(MATCH(Setup!$B$5,{8,10,12,14,16},0)+(MATCH(Setup!$B$7,{"STD","Half-PPR","PPR"},0)-1)*5,CB164,CD164,CF164,CH164,CJ164,CL164,CN164,CP164,CR164,CT164,CV164,CX164,CZ164,DB164,DD164)</f>
        <v>0</v>
      </c>
      <c r="DG164" s="6">
        <f>ROUND(1+DF164*'Live Calc'!$D$11,0)</f>
        <v>1</v>
      </c>
      <c r="DH164" s="6"/>
      <c r="DI164" s="6">
        <f>IF(DH164&lt;&gt;"",DH164,ROUND(DG164*INDEX('Live Calc'!$D$50:$D$70,MATCH(DE164,'Live Calc'!$A$50:$A$70,0))*'Live Calc'!$J$89,0))</f>
        <v>1</v>
      </c>
    </row>
    <row r="165" spans="77:113" x14ac:dyDescent="0.25">
      <c r="BY165" s="6" t="s">
        <v>520</v>
      </c>
      <c r="BZ165" s="6" t="s">
        <v>110</v>
      </c>
      <c r="CA165" s="6">
        <v>14</v>
      </c>
      <c r="CB165" s="6">
        <v>0</v>
      </c>
      <c r="CC165" s="6">
        <v>17</v>
      </c>
      <c r="CD165" s="6">
        <v>0</v>
      </c>
      <c r="CE165" s="6">
        <v>20</v>
      </c>
      <c r="CF165" s="6">
        <v>0</v>
      </c>
      <c r="CG165" s="6">
        <v>19</v>
      </c>
      <c r="CH165" s="6">
        <v>0</v>
      </c>
      <c r="CI165" s="6">
        <v>21</v>
      </c>
      <c r="CJ165" s="6">
        <v>0</v>
      </c>
      <c r="CK165" s="6">
        <v>10</v>
      </c>
      <c r="CL165" s="6">
        <v>0</v>
      </c>
      <c r="CM165" s="6">
        <v>15</v>
      </c>
      <c r="CN165" s="6">
        <v>0</v>
      </c>
      <c r="CO165" s="6">
        <v>15</v>
      </c>
      <c r="CP165" s="6">
        <v>0</v>
      </c>
      <c r="CQ165" s="6">
        <v>16</v>
      </c>
      <c r="CR165" s="6">
        <v>0</v>
      </c>
      <c r="CS165" s="6">
        <v>20</v>
      </c>
      <c r="CT165" s="6">
        <v>0</v>
      </c>
      <c r="CU165" s="6">
        <v>12</v>
      </c>
      <c r="CV165" s="6">
        <v>0</v>
      </c>
      <c r="CW165" s="6">
        <v>12</v>
      </c>
      <c r="CX165" s="6">
        <v>0</v>
      </c>
      <c r="CY165" s="6">
        <v>15</v>
      </c>
      <c r="CZ165" s="6">
        <v>0</v>
      </c>
      <c r="DA165" s="6">
        <v>18</v>
      </c>
      <c r="DB165" s="6">
        <v>0</v>
      </c>
      <c r="DC165" s="6">
        <v>20</v>
      </c>
      <c r="DD165" s="6">
        <v>0</v>
      </c>
      <c r="DE165" s="6">
        <f>CHOOSE(MATCH(Setup!$B$5,{8,10,12,14,16},0)+(MATCH(Setup!$B$7,{"STD","Half-PPR","PPR"},0)-1)*5,CA165,CC165,CE165,CG165,CI165,CK165,CM165,CO165,CQ165,CS165,CU165,CW165,CY165,DA165,DC165)</f>
        <v>15</v>
      </c>
      <c r="DF165" s="6">
        <f>CHOOSE(MATCH(Setup!$B$5,{8,10,12,14,16},0)+(MATCH(Setup!$B$7,{"STD","Half-PPR","PPR"},0)-1)*5,CB165,CD165,CF165,CH165,CJ165,CL165,CN165,CP165,CR165,CT165,CV165,CX165,CZ165,DB165,DD165)</f>
        <v>0</v>
      </c>
      <c r="DG165" s="6">
        <f>ROUND(1+DF165*'Live Calc'!$D$11,0)</f>
        <v>1</v>
      </c>
      <c r="DH165" s="6"/>
      <c r="DI165" s="6">
        <f>IF(DH165&lt;&gt;"",DH165,ROUND(DG165*INDEX('Live Calc'!$D$50:$D$70,MATCH(DE165,'Live Calc'!$A$50:$A$70,0))*'Live Calc'!$J$89,0))</f>
        <v>1</v>
      </c>
    </row>
    <row r="166" spans="77:113" x14ac:dyDescent="0.25">
      <c r="BY166" s="6" t="s">
        <v>521</v>
      </c>
      <c r="BZ166" s="6" t="s">
        <v>127</v>
      </c>
      <c r="CA166" s="6">
        <v>14</v>
      </c>
      <c r="CB166" s="6">
        <v>0</v>
      </c>
      <c r="CC166" s="6">
        <v>17</v>
      </c>
      <c r="CD166" s="6">
        <v>0</v>
      </c>
      <c r="CE166" s="6">
        <v>20</v>
      </c>
      <c r="CF166" s="6">
        <v>0</v>
      </c>
      <c r="CG166" s="6">
        <v>19</v>
      </c>
      <c r="CH166" s="6">
        <v>0</v>
      </c>
      <c r="CI166" s="6">
        <v>21</v>
      </c>
      <c r="CJ166" s="6">
        <v>0</v>
      </c>
      <c r="CK166" s="6">
        <v>10</v>
      </c>
      <c r="CL166" s="6">
        <v>0</v>
      </c>
      <c r="CM166" s="6">
        <v>15</v>
      </c>
      <c r="CN166" s="6">
        <v>0</v>
      </c>
      <c r="CO166" s="6">
        <v>15</v>
      </c>
      <c r="CP166" s="6">
        <v>0</v>
      </c>
      <c r="CQ166" s="6">
        <v>16</v>
      </c>
      <c r="CR166" s="6">
        <v>0</v>
      </c>
      <c r="CS166" s="6">
        <v>20</v>
      </c>
      <c r="CT166" s="6">
        <v>0</v>
      </c>
      <c r="CU166" s="6">
        <v>12</v>
      </c>
      <c r="CV166" s="6">
        <v>0</v>
      </c>
      <c r="CW166" s="6">
        <v>12</v>
      </c>
      <c r="CX166" s="6">
        <v>0</v>
      </c>
      <c r="CY166" s="6">
        <v>15</v>
      </c>
      <c r="CZ166" s="6">
        <v>0</v>
      </c>
      <c r="DA166" s="6">
        <v>18</v>
      </c>
      <c r="DB166" s="6">
        <v>0</v>
      </c>
      <c r="DC166" s="6">
        <v>20</v>
      </c>
      <c r="DD166" s="6">
        <v>0</v>
      </c>
      <c r="DE166" s="6">
        <f>CHOOSE(MATCH(Setup!$B$5,{8,10,12,14,16},0)+(MATCH(Setup!$B$7,{"STD","Half-PPR","PPR"},0)-1)*5,CA166,CC166,CE166,CG166,CI166,CK166,CM166,CO166,CQ166,CS166,CU166,CW166,CY166,DA166,DC166)</f>
        <v>15</v>
      </c>
      <c r="DF166" s="6">
        <f>CHOOSE(MATCH(Setup!$B$5,{8,10,12,14,16},0)+(MATCH(Setup!$B$7,{"STD","Half-PPR","PPR"},0)-1)*5,CB166,CD166,CF166,CH166,CJ166,CL166,CN166,CP166,CR166,CT166,CV166,CX166,CZ166,DB166,DD166)</f>
        <v>0</v>
      </c>
      <c r="DG166" s="6">
        <f>ROUND(1+DF166*'Live Calc'!$D$11,0)</f>
        <v>1</v>
      </c>
      <c r="DH166" s="6"/>
      <c r="DI166" s="6">
        <f>IF(DH166&lt;&gt;"",DH166,ROUND(DG166*INDEX('Live Calc'!$D$50:$D$70,MATCH(DE166,'Live Calc'!$A$50:$A$70,0))*'Live Calc'!$J$89,0))</f>
        <v>1</v>
      </c>
    </row>
    <row r="167" spans="77:113" x14ac:dyDescent="0.25">
      <c r="BY167" s="6" t="s">
        <v>522</v>
      </c>
      <c r="BZ167" s="6" t="s">
        <v>79</v>
      </c>
      <c r="CA167" s="6">
        <v>14</v>
      </c>
      <c r="CB167" s="6">
        <v>0</v>
      </c>
      <c r="CC167" s="6">
        <v>17</v>
      </c>
      <c r="CD167" s="6">
        <v>0</v>
      </c>
      <c r="CE167" s="6">
        <v>20</v>
      </c>
      <c r="CF167" s="6">
        <v>0</v>
      </c>
      <c r="CG167" s="6">
        <v>19</v>
      </c>
      <c r="CH167" s="6">
        <v>0</v>
      </c>
      <c r="CI167" s="6">
        <v>21</v>
      </c>
      <c r="CJ167" s="6">
        <v>0</v>
      </c>
      <c r="CK167" s="6">
        <v>10</v>
      </c>
      <c r="CL167" s="6">
        <v>0</v>
      </c>
      <c r="CM167" s="6">
        <v>15</v>
      </c>
      <c r="CN167" s="6">
        <v>0</v>
      </c>
      <c r="CO167" s="6">
        <v>15</v>
      </c>
      <c r="CP167" s="6">
        <v>0</v>
      </c>
      <c r="CQ167" s="6">
        <v>16</v>
      </c>
      <c r="CR167" s="6">
        <v>0</v>
      </c>
      <c r="CS167" s="6">
        <v>20</v>
      </c>
      <c r="CT167" s="6">
        <v>0</v>
      </c>
      <c r="CU167" s="6">
        <v>12</v>
      </c>
      <c r="CV167" s="6">
        <v>0</v>
      </c>
      <c r="CW167" s="6">
        <v>12</v>
      </c>
      <c r="CX167" s="6">
        <v>0</v>
      </c>
      <c r="CY167" s="6">
        <v>15</v>
      </c>
      <c r="CZ167" s="6">
        <v>0</v>
      </c>
      <c r="DA167" s="6">
        <v>18</v>
      </c>
      <c r="DB167" s="6">
        <v>0</v>
      </c>
      <c r="DC167" s="6">
        <v>20</v>
      </c>
      <c r="DD167" s="6">
        <v>0</v>
      </c>
      <c r="DE167" s="6">
        <f>CHOOSE(MATCH(Setup!$B$5,{8,10,12,14,16},0)+(MATCH(Setup!$B$7,{"STD","Half-PPR","PPR"},0)-1)*5,CA167,CC167,CE167,CG167,CI167,CK167,CM167,CO167,CQ167,CS167,CU167,CW167,CY167,DA167,DC167)</f>
        <v>15</v>
      </c>
      <c r="DF167" s="6">
        <f>CHOOSE(MATCH(Setup!$B$5,{8,10,12,14,16},0)+(MATCH(Setup!$B$7,{"STD","Half-PPR","PPR"},0)-1)*5,CB167,CD167,CF167,CH167,CJ167,CL167,CN167,CP167,CR167,CT167,CV167,CX167,CZ167,DB167,DD167)</f>
        <v>0</v>
      </c>
      <c r="DG167" s="6">
        <f>ROUND(1+DF167*'Live Calc'!$D$11,0)</f>
        <v>1</v>
      </c>
      <c r="DH167" s="6"/>
      <c r="DI167" s="6">
        <f>IF(DH167&lt;&gt;"",DH167,ROUND(DG167*INDEX('Live Calc'!$D$50:$D$70,MATCH(DE167,'Live Calc'!$A$50:$A$70,0))*'Live Calc'!$J$89,0))</f>
        <v>1</v>
      </c>
    </row>
    <row r="168" spans="77:113" x14ac:dyDescent="0.25">
      <c r="BY168" s="6" t="s">
        <v>523</v>
      </c>
      <c r="BZ168" s="6" t="s">
        <v>101</v>
      </c>
      <c r="CA168" s="6">
        <v>14</v>
      </c>
      <c r="CB168" s="6">
        <v>0</v>
      </c>
      <c r="CC168" s="6">
        <v>17</v>
      </c>
      <c r="CD168" s="6">
        <v>0</v>
      </c>
      <c r="CE168" s="6">
        <v>20</v>
      </c>
      <c r="CF168" s="6">
        <v>0</v>
      </c>
      <c r="CG168" s="6">
        <v>19</v>
      </c>
      <c r="CH168" s="6">
        <v>0</v>
      </c>
      <c r="CI168" s="6">
        <v>21</v>
      </c>
      <c r="CJ168" s="6">
        <v>0</v>
      </c>
      <c r="CK168" s="6">
        <v>10</v>
      </c>
      <c r="CL168" s="6">
        <v>0</v>
      </c>
      <c r="CM168" s="6">
        <v>15</v>
      </c>
      <c r="CN168" s="6">
        <v>0</v>
      </c>
      <c r="CO168" s="6">
        <v>15</v>
      </c>
      <c r="CP168" s="6">
        <v>0</v>
      </c>
      <c r="CQ168" s="6">
        <v>16</v>
      </c>
      <c r="CR168" s="6">
        <v>0</v>
      </c>
      <c r="CS168" s="6">
        <v>20</v>
      </c>
      <c r="CT168" s="6">
        <v>0</v>
      </c>
      <c r="CU168" s="6">
        <v>12</v>
      </c>
      <c r="CV168" s="6">
        <v>0</v>
      </c>
      <c r="CW168" s="6">
        <v>12</v>
      </c>
      <c r="CX168" s="6">
        <v>0</v>
      </c>
      <c r="CY168" s="6">
        <v>15</v>
      </c>
      <c r="CZ168" s="6">
        <v>0</v>
      </c>
      <c r="DA168" s="6">
        <v>18</v>
      </c>
      <c r="DB168" s="6">
        <v>0</v>
      </c>
      <c r="DC168" s="6">
        <v>20</v>
      </c>
      <c r="DD168" s="6">
        <v>0</v>
      </c>
      <c r="DE168" s="6">
        <f>CHOOSE(MATCH(Setup!$B$5,{8,10,12,14,16},0)+(MATCH(Setup!$B$7,{"STD","Half-PPR","PPR"},0)-1)*5,CA168,CC168,CE168,CG168,CI168,CK168,CM168,CO168,CQ168,CS168,CU168,CW168,CY168,DA168,DC168)</f>
        <v>15</v>
      </c>
      <c r="DF168" s="6">
        <f>CHOOSE(MATCH(Setup!$B$5,{8,10,12,14,16},0)+(MATCH(Setup!$B$7,{"STD","Half-PPR","PPR"},0)-1)*5,CB168,CD168,CF168,CH168,CJ168,CL168,CN168,CP168,CR168,CT168,CV168,CX168,CZ168,DB168,DD168)</f>
        <v>0</v>
      </c>
      <c r="DG168" s="6">
        <f>ROUND(1+DF168*'Live Calc'!$D$11,0)</f>
        <v>1</v>
      </c>
      <c r="DH168" s="6"/>
      <c r="DI168" s="6">
        <f>IF(DH168&lt;&gt;"",DH168,ROUND(DG168*INDEX('Live Calc'!$D$50:$D$70,MATCH(DE168,'Live Calc'!$A$50:$A$70,0))*'Live Calc'!$J$89,0))</f>
        <v>1</v>
      </c>
    </row>
    <row r="169" spans="77:113" x14ac:dyDescent="0.25">
      <c r="BY169" s="6" t="s">
        <v>524</v>
      </c>
      <c r="BZ169" s="6" t="s">
        <v>127</v>
      </c>
      <c r="CA169" s="6">
        <v>14</v>
      </c>
      <c r="CB169" s="6">
        <v>0</v>
      </c>
      <c r="CC169" s="6">
        <v>17</v>
      </c>
      <c r="CD169" s="6">
        <v>0</v>
      </c>
      <c r="CE169" s="6">
        <v>20</v>
      </c>
      <c r="CF169" s="6">
        <v>0</v>
      </c>
      <c r="CG169" s="6">
        <v>19</v>
      </c>
      <c r="CH169" s="6">
        <v>0</v>
      </c>
      <c r="CI169" s="6">
        <v>21</v>
      </c>
      <c r="CJ169" s="6">
        <v>0</v>
      </c>
      <c r="CK169" s="6">
        <v>10</v>
      </c>
      <c r="CL169" s="6">
        <v>0</v>
      </c>
      <c r="CM169" s="6">
        <v>15</v>
      </c>
      <c r="CN169" s="6">
        <v>0</v>
      </c>
      <c r="CO169" s="6">
        <v>15</v>
      </c>
      <c r="CP169" s="6">
        <v>0</v>
      </c>
      <c r="CQ169" s="6">
        <v>16</v>
      </c>
      <c r="CR169" s="6">
        <v>0</v>
      </c>
      <c r="CS169" s="6">
        <v>20</v>
      </c>
      <c r="CT169" s="6">
        <v>0</v>
      </c>
      <c r="CU169" s="6">
        <v>12</v>
      </c>
      <c r="CV169" s="6">
        <v>0</v>
      </c>
      <c r="CW169" s="6">
        <v>12</v>
      </c>
      <c r="CX169" s="6">
        <v>0</v>
      </c>
      <c r="CY169" s="6">
        <v>15</v>
      </c>
      <c r="CZ169" s="6">
        <v>0</v>
      </c>
      <c r="DA169" s="6">
        <v>18</v>
      </c>
      <c r="DB169" s="6">
        <v>0</v>
      </c>
      <c r="DC169" s="6">
        <v>20</v>
      </c>
      <c r="DD169" s="6">
        <v>0</v>
      </c>
      <c r="DE169" s="6">
        <f>CHOOSE(MATCH(Setup!$B$5,{8,10,12,14,16},0)+(MATCH(Setup!$B$7,{"STD","Half-PPR","PPR"},0)-1)*5,CA169,CC169,CE169,CG169,CI169,CK169,CM169,CO169,CQ169,CS169,CU169,CW169,CY169,DA169,DC169)</f>
        <v>15</v>
      </c>
      <c r="DF169" s="6">
        <f>CHOOSE(MATCH(Setup!$B$5,{8,10,12,14,16},0)+(MATCH(Setup!$B$7,{"STD","Half-PPR","PPR"},0)-1)*5,CB169,CD169,CF169,CH169,CJ169,CL169,CN169,CP169,CR169,CT169,CV169,CX169,CZ169,DB169,DD169)</f>
        <v>0</v>
      </c>
      <c r="DG169" s="6">
        <f>ROUND(1+DF169*'Live Calc'!$D$11,0)</f>
        <v>1</v>
      </c>
      <c r="DH169" s="6"/>
      <c r="DI169" s="6">
        <f>IF(DH169&lt;&gt;"",DH169,ROUND(DG169*INDEX('Live Calc'!$D$50:$D$70,MATCH(DE169,'Live Calc'!$A$50:$A$70,0))*'Live Calc'!$J$89,0))</f>
        <v>1</v>
      </c>
    </row>
    <row r="170" spans="77:113" x14ac:dyDescent="0.25">
      <c r="BY170" s="6" t="s">
        <v>525</v>
      </c>
      <c r="BZ170" s="6" t="s">
        <v>88</v>
      </c>
      <c r="CA170" s="6">
        <v>14</v>
      </c>
      <c r="CB170" s="6">
        <v>0</v>
      </c>
      <c r="CC170" s="6">
        <v>17</v>
      </c>
      <c r="CD170" s="6">
        <v>0</v>
      </c>
      <c r="CE170" s="6">
        <v>20</v>
      </c>
      <c r="CF170" s="6">
        <v>0</v>
      </c>
      <c r="CG170" s="6">
        <v>19</v>
      </c>
      <c r="CH170" s="6">
        <v>0</v>
      </c>
      <c r="CI170" s="6">
        <v>21</v>
      </c>
      <c r="CJ170" s="6">
        <v>0</v>
      </c>
      <c r="CK170" s="6">
        <v>10</v>
      </c>
      <c r="CL170" s="6">
        <v>0</v>
      </c>
      <c r="CM170" s="6">
        <v>15</v>
      </c>
      <c r="CN170" s="6">
        <v>0</v>
      </c>
      <c r="CO170" s="6">
        <v>15</v>
      </c>
      <c r="CP170" s="6">
        <v>0</v>
      </c>
      <c r="CQ170" s="6">
        <v>16</v>
      </c>
      <c r="CR170" s="6">
        <v>0</v>
      </c>
      <c r="CS170" s="6">
        <v>20</v>
      </c>
      <c r="CT170" s="6">
        <v>0</v>
      </c>
      <c r="CU170" s="6">
        <v>12</v>
      </c>
      <c r="CV170" s="6">
        <v>0</v>
      </c>
      <c r="CW170" s="6">
        <v>12</v>
      </c>
      <c r="CX170" s="6">
        <v>0</v>
      </c>
      <c r="CY170" s="6">
        <v>15</v>
      </c>
      <c r="CZ170" s="6">
        <v>0</v>
      </c>
      <c r="DA170" s="6">
        <v>18</v>
      </c>
      <c r="DB170" s="6">
        <v>0</v>
      </c>
      <c r="DC170" s="6">
        <v>20</v>
      </c>
      <c r="DD170" s="6">
        <v>0</v>
      </c>
      <c r="DE170" s="6">
        <f>CHOOSE(MATCH(Setup!$B$5,{8,10,12,14,16},0)+(MATCH(Setup!$B$7,{"STD","Half-PPR","PPR"},0)-1)*5,CA170,CC170,CE170,CG170,CI170,CK170,CM170,CO170,CQ170,CS170,CU170,CW170,CY170,DA170,DC170)</f>
        <v>15</v>
      </c>
      <c r="DF170" s="6">
        <f>CHOOSE(MATCH(Setup!$B$5,{8,10,12,14,16},0)+(MATCH(Setup!$B$7,{"STD","Half-PPR","PPR"},0)-1)*5,CB170,CD170,CF170,CH170,CJ170,CL170,CN170,CP170,CR170,CT170,CV170,CX170,CZ170,DB170,DD170)</f>
        <v>0</v>
      </c>
      <c r="DG170" s="6">
        <f>ROUND(1+DF170*'Live Calc'!$D$11,0)</f>
        <v>1</v>
      </c>
      <c r="DH170" s="6"/>
      <c r="DI170" s="6">
        <f>IF(DH170&lt;&gt;"",DH170,ROUND(DG170*INDEX('Live Calc'!$D$50:$D$70,MATCH(DE170,'Live Calc'!$A$50:$A$70,0))*'Live Calc'!$J$89,0))</f>
        <v>1</v>
      </c>
    </row>
    <row r="171" spans="77:113" x14ac:dyDescent="0.25">
      <c r="BY171" s="6" t="s">
        <v>526</v>
      </c>
      <c r="BZ171" s="6" t="s">
        <v>86</v>
      </c>
      <c r="CA171" s="6">
        <v>14</v>
      </c>
      <c r="CB171" s="6">
        <v>0</v>
      </c>
      <c r="CC171" s="6">
        <v>17</v>
      </c>
      <c r="CD171" s="6">
        <v>0</v>
      </c>
      <c r="CE171" s="6">
        <v>20</v>
      </c>
      <c r="CF171" s="6">
        <v>0</v>
      </c>
      <c r="CG171" s="6">
        <v>19</v>
      </c>
      <c r="CH171" s="6">
        <v>0</v>
      </c>
      <c r="CI171" s="6">
        <v>21</v>
      </c>
      <c r="CJ171" s="6">
        <v>0</v>
      </c>
      <c r="CK171" s="6">
        <v>10</v>
      </c>
      <c r="CL171" s="6">
        <v>0</v>
      </c>
      <c r="CM171" s="6">
        <v>15</v>
      </c>
      <c r="CN171" s="6">
        <v>0</v>
      </c>
      <c r="CO171" s="6">
        <v>15</v>
      </c>
      <c r="CP171" s="6">
        <v>0</v>
      </c>
      <c r="CQ171" s="6">
        <v>16</v>
      </c>
      <c r="CR171" s="6">
        <v>0</v>
      </c>
      <c r="CS171" s="6">
        <v>20</v>
      </c>
      <c r="CT171" s="6">
        <v>0</v>
      </c>
      <c r="CU171" s="6">
        <v>12</v>
      </c>
      <c r="CV171" s="6">
        <v>0</v>
      </c>
      <c r="CW171" s="6">
        <v>12</v>
      </c>
      <c r="CX171" s="6">
        <v>0</v>
      </c>
      <c r="CY171" s="6">
        <v>15</v>
      </c>
      <c r="CZ171" s="6">
        <v>0</v>
      </c>
      <c r="DA171" s="6">
        <v>18</v>
      </c>
      <c r="DB171" s="6">
        <v>0</v>
      </c>
      <c r="DC171" s="6">
        <v>20</v>
      </c>
      <c r="DD171" s="6">
        <v>0</v>
      </c>
      <c r="DE171" s="6">
        <f>CHOOSE(MATCH(Setup!$B$5,{8,10,12,14,16},0)+(MATCH(Setup!$B$7,{"STD","Half-PPR","PPR"},0)-1)*5,CA171,CC171,CE171,CG171,CI171,CK171,CM171,CO171,CQ171,CS171,CU171,CW171,CY171,DA171,DC171)</f>
        <v>15</v>
      </c>
      <c r="DF171" s="6">
        <f>CHOOSE(MATCH(Setup!$B$5,{8,10,12,14,16},0)+(MATCH(Setup!$B$7,{"STD","Half-PPR","PPR"},0)-1)*5,CB171,CD171,CF171,CH171,CJ171,CL171,CN171,CP171,CR171,CT171,CV171,CX171,CZ171,DB171,DD171)</f>
        <v>0</v>
      </c>
      <c r="DG171" s="6">
        <f>ROUND(1+DF171*'Live Calc'!$D$11,0)</f>
        <v>1</v>
      </c>
      <c r="DH171" s="6"/>
      <c r="DI171" s="6">
        <f>IF(DH171&lt;&gt;"",DH171,ROUND(DG171*INDEX('Live Calc'!$D$50:$D$70,MATCH(DE171,'Live Calc'!$A$50:$A$70,0))*'Live Calc'!$J$89,0))</f>
        <v>1</v>
      </c>
    </row>
    <row r="172" spans="77:113" x14ac:dyDescent="0.25">
      <c r="BY172" s="6" t="s">
        <v>527</v>
      </c>
      <c r="BZ172" s="6" t="s">
        <v>46</v>
      </c>
      <c r="CA172" s="6">
        <v>14</v>
      </c>
      <c r="CB172" s="6">
        <v>0</v>
      </c>
      <c r="CC172" s="6">
        <v>17</v>
      </c>
      <c r="CD172" s="6">
        <v>0</v>
      </c>
      <c r="CE172" s="6">
        <v>20</v>
      </c>
      <c r="CF172" s="6">
        <v>0</v>
      </c>
      <c r="CG172" s="6">
        <v>19</v>
      </c>
      <c r="CH172" s="6">
        <v>0</v>
      </c>
      <c r="CI172" s="6">
        <v>21</v>
      </c>
      <c r="CJ172" s="6">
        <v>0</v>
      </c>
      <c r="CK172" s="6">
        <v>10</v>
      </c>
      <c r="CL172" s="6">
        <v>0</v>
      </c>
      <c r="CM172" s="6">
        <v>15</v>
      </c>
      <c r="CN172" s="6">
        <v>0</v>
      </c>
      <c r="CO172" s="6">
        <v>15</v>
      </c>
      <c r="CP172" s="6">
        <v>0</v>
      </c>
      <c r="CQ172" s="6">
        <v>16</v>
      </c>
      <c r="CR172" s="6">
        <v>0</v>
      </c>
      <c r="CS172" s="6">
        <v>20</v>
      </c>
      <c r="CT172" s="6">
        <v>0</v>
      </c>
      <c r="CU172" s="6">
        <v>12</v>
      </c>
      <c r="CV172" s="6">
        <v>0</v>
      </c>
      <c r="CW172" s="6">
        <v>12</v>
      </c>
      <c r="CX172" s="6">
        <v>0</v>
      </c>
      <c r="CY172" s="6">
        <v>15</v>
      </c>
      <c r="CZ172" s="6">
        <v>0</v>
      </c>
      <c r="DA172" s="6">
        <v>18</v>
      </c>
      <c r="DB172" s="6">
        <v>0</v>
      </c>
      <c r="DC172" s="6">
        <v>20</v>
      </c>
      <c r="DD172" s="6">
        <v>0</v>
      </c>
      <c r="DE172" s="6">
        <f>CHOOSE(MATCH(Setup!$B$5,{8,10,12,14,16},0)+(MATCH(Setup!$B$7,{"STD","Half-PPR","PPR"},0)-1)*5,CA172,CC172,CE172,CG172,CI172,CK172,CM172,CO172,CQ172,CS172,CU172,CW172,CY172,DA172,DC172)</f>
        <v>15</v>
      </c>
      <c r="DF172" s="6">
        <f>CHOOSE(MATCH(Setup!$B$5,{8,10,12,14,16},0)+(MATCH(Setup!$B$7,{"STD","Half-PPR","PPR"},0)-1)*5,CB172,CD172,CF172,CH172,CJ172,CL172,CN172,CP172,CR172,CT172,CV172,CX172,CZ172,DB172,DD172)</f>
        <v>0</v>
      </c>
      <c r="DG172" s="6">
        <f>ROUND(1+DF172*'Live Calc'!$D$11,0)</f>
        <v>1</v>
      </c>
      <c r="DH172" s="6"/>
      <c r="DI172" s="6">
        <f>IF(DH172&lt;&gt;"",DH172,ROUND(DG172*INDEX('Live Calc'!$D$50:$D$70,MATCH(DE172,'Live Calc'!$A$50:$A$70,0))*'Live Calc'!$J$89,0))</f>
        <v>1</v>
      </c>
    </row>
    <row r="173" spans="77:113" x14ac:dyDescent="0.25">
      <c r="BY173" s="6" t="s">
        <v>528</v>
      </c>
      <c r="BZ173" s="6" t="s">
        <v>91</v>
      </c>
      <c r="CA173" s="6">
        <v>14</v>
      </c>
      <c r="CB173" s="6">
        <v>0</v>
      </c>
      <c r="CC173" s="6">
        <v>17</v>
      </c>
      <c r="CD173" s="6">
        <v>0</v>
      </c>
      <c r="CE173" s="6">
        <v>20</v>
      </c>
      <c r="CF173" s="6">
        <v>0</v>
      </c>
      <c r="CG173" s="6">
        <v>19</v>
      </c>
      <c r="CH173" s="6">
        <v>0</v>
      </c>
      <c r="CI173" s="6">
        <v>21</v>
      </c>
      <c r="CJ173" s="6">
        <v>0</v>
      </c>
      <c r="CK173" s="6">
        <v>10</v>
      </c>
      <c r="CL173" s="6">
        <v>0</v>
      </c>
      <c r="CM173" s="6">
        <v>15</v>
      </c>
      <c r="CN173" s="6">
        <v>0</v>
      </c>
      <c r="CO173" s="6">
        <v>15</v>
      </c>
      <c r="CP173" s="6">
        <v>0</v>
      </c>
      <c r="CQ173" s="6">
        <v>16</v>
      </c>
      <c r="CR173" s="6">
        <v>0</v>
      </c>
      <c r="CS173" s="6">
        <v>20</v>
      </c>
      <c r="CT173" s="6">
        <v>0</v>
      </c>
      <c r="CU173" s="6">
        <v>12</v>
      </c>
      <c r="CV173" s="6">
        <v>0</v>
      </c>
      <c r="CW173" s="6">
        <v>12</v>
      </c>
      <c r="CX173" s="6">
        <v>0</v>
      </c>
      <c r="CY173" s="6">
        <v>15</v>
      </c>
      <c r="CZ173" s="6">
        <v>0</v>
      </c>
      <c r="DA173" s="6">
        <v>18</v>
      </c>
      <c r="DB173" s="6">
        <v>0</v>
      </c>
      <c r="DC173" s="6">
        <v>20</v>
      </c>
      <c r="DD173" s="6">
        <v>0</v>
      </c>
      <c r="DE173" s="6">
        <f>CHOOSE(MATCH(Setup!$B$5,{8,10,12,14,16},0)+(MATCH(Setup!$B$7,{"STD","Half-PPR","PPR"},0)-1)*5,CA173,CC173,CE173,CG173,CI173,CK173,CM173,CO173,CQ173,CS173,CU173,CW173,CY173,DA173,DC173)</f>
        <v>15</v>
      </c>
      <c r="DF173" s="6">
        <f>CHOOSE(MATCH(Setup!$B$5,{8,10,12,14,16},0)+(MATCH(Setup!$B$7,{"STD","Half-PPR","PPR"},0)-1)*5,CB173,CD173,CF173,CH173,CJ173,CL173,CN173,CP173,CR173,CT173,CV173,CX173,CZ173,DB173,DD173)</f>
        <v>0</v>
      </c>
      <c r="DG173" s="6">
        <f>ROUND(1+DF173*'Live Calc'!$D$11,0)</f>
        <v>1</v>
      </c>
      <c r="DH173" s="6"/>
      <c r="DI173" s="6">
        <f>IF(DH173&lt;&gt;"",DH173,ROUND(DG173*INDEX('Live Calc'!$D$50:$D$70,MATCH(DE173,'Live Calc'!$A$50:$A$70,0))*'Live Calc'!$J$89,0))</f>
        <v>1</v>
      </c>
    </row>
  </sheetData>
  <dataValidations count="1">
    <dataValidation type="whole" allowBlank="1" showErrorMessage="1" errorTitle="Invalid price" error="Enter a whole-dollar amount (0-400)." sqref="AJ2:AJ56 ET2:ET77 DH2:DH173 BV2:BV149" xr:uid="{00000000-0002-0000-0100-000000000000}">
      <formula1>0</formula1>
      <formula2>400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89"/>
  <sheetViews>
    <sheetView workbookViewId="0"/>
  </sheetViews>
  <sheetFormatPr defaultRowHeight="15" x14ac:dyDescent="0.25"/>
  <cols>
    <col min="1" max="1" width="16" customWidth="1"/>
    <col min="2" max="2" width="24" customWidth="1"/>
    <col min="3" max="3" width="26" customWidth="1"/>
    <col min="4" max="4" width="16" customWidth="1"/>
    <col min="5" max="5" width="12" customWidth="1"/>
    <col min="6" max="6" width="18" customWidth="1"/>
    <col min="7" max="7" width="12" customWidth="1"/>
    <col min="8" max="8" width="22" customWidth="1"/>
    <col min="9" max="9" width="20" customWidth="1"/>
    <col min="10" max="10" width="24" customWidth="1"/>
  </cols>
  <sheetData>
    <row r="1" spans="1:24" x14ac:dyDescent="0.25">
      <c r="A1" s="2" t="s">
        <v>529</v>
      </c>
    </row>
    <row r="2" spans="1:24" x14ac:dyDescent="0.25">
      <c r="A2" t="s">
        <v>530</v>
      </c>
      <c r="B2">
        <f>Setup!$B$5</f>
        <v>12</v>
      </c>
    </row>
    <row r="3" spans="1:24" x14ac:dyDescent="0.25">
      <c r="A3" t="s">
        <v>531</v>
      </c>
      <c r="B3">
        <f>B2*16</f>
        <v>192</v>
      </c>
    </row>
    <row r="4" spans="1:24" x14ac:dyDescent="0.25">
      <c r="A4" t="s">
        <v>532</v>
      </c>
      <c r="B4">
        <f>B2*Setup!$B$3</f>
        <v>2400</v>
      </c>
    </row>
    <row r="5" spans="1:24" x14ac:dyDescent="0.25">
      <c r="A5" t="s">
        <v>533</v>
      </c>
      <c r="B5">
        <f>B4-B3*1</f>
        <v>2208</v>
      </c>
    </row>
    <row r="7" spans="1:24" x14ac:dyDescent="0.25">
      <c r="A7" s="2" t="s">
        <v>534</v>
      </c>
    </row>
    <row r="8" spans="1:24" x14ac:dyDescent="0.25">
      <c r="A8" s="2" t="s">
        <v>535</v>
      </c>
      <c r="B8" s="2" t="s">
        <v>536</v>
      </c>
      <c r="C8" s="2" t="s">
        <v>537</v>
      </c>
      <c r="D8" s="2" t="s">
        <v>538</v>
      </c>
    </row>
    <row r="9" spans="1:24" x14ac:dyDescent="0.25">
      <c r="A9" t="s">
        <v>539</v>
      </c>
      <c r="B9">
        <f>$B$5*CHOOSE(MATCH(Setup!$B$7,{"STD","Half-PPR","PPR"},0),F9,G9,H9)</f>
        <v>158.09279999999998</v>
      </c>
      <c r="C9">
        <f>CHOOSE(MATCH(Setup!$B$5,{8,10,12,14,16},0)+(MATCH(Setup!$B$7,{"STD","Half-PPR","PPR"},0)-1)*5,J9,K9,L9,M9,N9,O9,P9,Q9,R9,S9,T9,U9,V9,W9,X9)</f>
        <v>543.10389999999995</v>
      </c>
      <c r="D9">
        <f>IFERROR(B9/C9,0)</f>
        <v>0.29109126264790219</v>
      </c>
      <c r="F9">
        <v>7.4099999999999999E-2</v>
      </c>
      <c r="G9">
        <v>7.1599999999999997E-2</v>
      </c>
      <c r="H9">
        <v>7.1099999999999997E-2</v>
      </c>
      <c r="J9">
        <v>332.21140000000003</v>
      </c>
      <c r="K9">
        <v>770.50379999999996</v>
      </c>
      <c r="L9">
        <v>886.59259999999995</v>
      </c>
      <c r="M9">
        <v>830.72410000000002</v>
      </c>
      <c r="N9">
        <v>577.17999999999995</v>
      </c>
      <c r="O9">
        <v>291.16899999999998</v>
      </c>
      <c r="P9">
        <v>172.96090000000001</v>
      </c>
      <c r="Q9">
        <v>543.10389999999995</v>
      </c>
      <c r="R9">
        <v>886.59259999999995</v>
      </c>
      <c r="S9">
        <v>617.74459999999999</v>
      </c>
      <c r="T9">
        <v>238.97399999999999</v>
      </c>
      <c r="U9">
        <v>456.61340000000001</v>
      </c>
      <c r="V9">
        <v>997.79089999999997</v>
      </c>
      <c r="W9">
        <v>2710.5691999999999</v>
      </c>
      <c r="X9">
        <v>1244.6259</v>
      </c>
    </row>
    <row r="10" spans="1:24" x14ac:dyDescent="0.25">
      <c r="A10" t="s">
        <v>540</v>
      </c>
      <c r="B10">
        <f>$B$5*CHOOSE(MATCH(Setup!$B$7,{"STD","Half-PPR","PPR"},0),F10,G10,H10)</f>
        <v>922.72320000000002</v>
      </c>
      <c r="C10">
        <f>CHOOSE(MATCH(Setup!$B$5,{8,10,12,14,16},0)+(MATCH(Setup!$B$7,{"STD","Half-PPR","PPR"},0)-1)*5,J10,K10,L10,M10,N10,O10,P10,Q10,R10,S10,T10,U10,V10,W10,X10)</f>
        <v>9972.9244999999992</v>
      </c>
      <c r="D10">
        <f>IFERROR(B10/C10,0)</f>
        <v>9.25228301888779E-2</v>
      </c>
      <c r="F10">
        <v>0.43490000000000001</v>
      </c>
      <c r="G10">
        <v>0.41789999999999999</v>
      </c>
      <c r="H10">
        <v>0.40360000000000001</v>
      </c>
      <c r="J10">
        <v>1587.9880000000001</v>
      </c>
      <c r="K10">
        <v>4407.3652000000002</v>
      </c>
      <c r="L10">
        <v>14018.778899999999</v>
      </c>
      <c r="M10">
        <v>6181.1786000000002</v>
      </c>
      <c r="N10">
        <v>9480.5812000000005</v>
      </c>
      <c r="O10">
        <v>4002.415</v>
      </c>
      <c r="P10">
        <v>3107.2582000000002</v>
      </c>
      <c r="Q10">
        <v>9972.9244999999992</v>
      </c>
      <c r="R10">
        <v>13263.028700000001</v>
      </c>
      <c r="S10">
        <v>15584.9393</v>
      </c>
      <c r="T10">
        <v>4070.6691000000001</v>
      </c>
      <c r="U10">
        <v>3196.3105999999998</v>
      </c>
      <c r="V10">
        <v>4420.8423000000003</v>
      </c>
      <c r="W10">
        <v>7571.9224000000004</v>
      </c>
      <c r="X10">
        <v>9040.5987999999998</v>
      </c>
    </row>
    <row r="11" spans="1:24" x14ac:dyDescent="0.25">
      <c r="A11" t="s">
        <v>541</v>
      </c>
      <c r="B11">
        <f>$B$5*CHOOSE(MATCH(Setup!$B$7,{"STD","Half-PPR","PPR"},0),F11,G11,H11)</f>
        <v>931.55520000000001</v>
      </c>
      <c r="C11">
        <f>CHOOSE(MATCH(Setup!$B$5,{8,10,12,14,16},0)+(MATCH(Setup!$B$7,{"STD","Half-PPR","PPR"},0)-1)*5,J11,K11,L11,M11,N11,O11,P11,Q11,R11,S11,T11,U11,V11,W11,X11)</f>
        <v>8886.8601999999992</v>
      </c>
      <c r="D11">
        <f>IFERROR(B11/C11,0)</f>
        <v>0.10482388369291554</v>
      </c>
      <c r="F11">
        <v>0.40110000000000001</v>
      </c>
      <c r="G11">
        <v>0.4219</v>
      </c>
      <c r="H11">
        <v>0.437</v>
      </c>
      <c r="J11">
        <v>1401.2827</v>
      </c>
      <c r="K11">
        <v>2847.8108999999999</v>
      </c>
      <c r="L11">
        <v>6651.7422999999999</v>
      </c>
      <c r="M11">
        <v>4751.7739000000001</v>
      </c>
      <c r="N11">
        <v>5951.4984000000004</v>
      </c>
      <c r="O11">
        <v>3206.0347000000002</v>
      </c>
      <c r="P11">
        <v>8532.6695</v>
      </c>
      <c r="Q11">
        <v>8886.8601999999992</v>
      </c>
      <c r="R11">
        <v>6285.2876999999999</v>
      </c>
      <c r="S11">
        <v>10245.8264</v>
      </c>
      <c r="T11">
        <v>3563.1698000000001</v>
      </c>
      <c r="U11">
        <v>3240.0859999999998</v>
      </c>
      <c r="V11">
        <v>13717.397999999999</v>
      </c>
      <c r="W11">
        <v>9897.4688999999998</v>
      </c>
      <c r="X11">
        <v>9063.3932000000004</v>
      </c>
    </row>
    <row r="12" spans="1:24" x14ac:dyDescent="0.25">
      <c r="A12" t="s">
        <v>542</v>
      </c>
      <c r="B12">
        <f>$B$5*CHOOSE(MATCH(Setup!$B$7,{"STD","Half-PPR","PPR"},0),F12,G12,H12)</f>
        <v>195.62879999999998</v>
      </c>
      <c r="C12">
        <f>CHOOSE(MATCH(Setup!$B$5,{8,10,12,14,16},0)+(MATCH(Setup!$B$7,{"STD","Half-PPR","PPR"},0)-1)*5,J12,K12,L12,M12,N12,O12,P12,Q12,R12,S12,T12,U12,V12,W12,X12)</f>
        <v>618.84</v>
      </c>
      <c r="D12">
        <f>IFERROR(B12/C12,0)</f>
        <v>0.31612177622648824</v>
      </c>
      <c r="F12">
        <v>8.9800000000000005E-2</v>
      </c>
      <c r="G12">
        <v>8.8599999999999998E-2</v>
      </c>
      <c r="H12">
        <v>8.8300000000000003E-2</v>
      </c>
      <c r="J12">
        <v>208.94550000000001</v>
      </c>
      <c r="K12">
        <v>290.59390000000002</v>
      </c>
      <c r="L12">
        <v>413.6431</v>
      </c>
      <c r="M12">
        <v>535.07190000000003</v>
      </c>
      <c r="N12">
        <v>395.37599999999998</v>
      </c>
      <c r="O12">
        <v>205.1831</v>
      </c>
      <c r="P12">
        <v>224.87899999999999</v>
      </c>
      <c r="Q12">
        <v>618.84</v>
      </c>
      <c r="R12">
        <v>501.87200000000001</v>
      </c>
      <c r="S12">
        <v>631.97619999999995</v>
      </c>
      <c r="T12">
        <v>405.75599999999997</v>
      </c>
      <c r="U12">
        <v>387.05079999999998</v>
      </c>
      <c r="V12">
        <v>418.62220000000002</v>
      </c>
      <c r="W12">
        <v>554.3098</v>
      </c>
      <c r="X12">
        <v>679.05110000000002</v>
      </c>
    </row>
    <row r="14" spans="1:24" x14ac:dyDescent="0.25">
      <c r="A14" s="2" t="s">
        <v>543</v>
      </c>
    </row>
    <row r="15" spans="1:24" x14ac:dyDescent="0.25">
      <c r="A15" s="2" t="s">
        <v>544</v>
      </c>
      <c r="B15" s="2" t="s">
        <v>545</v>
      </c>
      <c r="C15" s="2" t="s">
        <v>546</v>
      </c>
      <c r="D15" s="2" t="s">
        <v>547</v>
      </c>
    </row>
    <row r="16" spans="1:24" x14ac:dyDescent="0.25">
      <c r="A16">
        <v>1</v>
      </c>
      <c r="B16">
        <f>SUMIFS('Draft Board'!$AJ$2:$AJ$56,'Draft Board'!$AG$2:$AG$56,A16,'Draft Board'!$AJ$2:$AJ$56,"&lt;&gt;")</f>
        <v>0</v>
      </c>
      <c r="C16">
        <f>SUMIFS('Draft Board'!$AI$2:$AI$56,'Draft Board'!$AG$2:$AG$56,A16,'Draft Board'!$AJ$2:$AJ$56,"&lt;&gt;")</f>
        <v>0</v>
      </c>
      <c r="D16">
        <f t="shared" ref="D16:D25" si="0">IFERROR(B16/C16,1)</f>
        <v>1</v>
      </c>
    </row>
    <row r="17" spans="1:4" x14ac:dyDescent="0.25">
      <c r="A17">
        <v>2</v>
      </c>
      <c r="B17">
        <f>SUMIFS('Draft Board'!$AJ$2:$AJ$56,'Draft Board'!$AG$2:$AG$56,A17,'Draft Board'!$AJ$2:$AJ$56,"&lt;&gt;")</f>
        <v>0</v>
      </c>
      <c r="C17">
        <f>SUMIFS('Draft Board'!$AI$2:$AI$56,'Draft Board'!$AG$2:$AG$56,A17,'Draft Board'!$AJ$2:$AJ$56,"&lt;&gt;")</f>
        <v>0</v>
      </c>
      <c r="D17">
        <f t="shared" si="0"/>
        <v>1</v>
      </c>
    </row>
    <row r="18" spans="1:4" x14ac:dyDescent="0.25">
      <c r="A18">
        <v>3</v>
      </c>
      <c r="B18">
        <f>SUMIFS('Draft Board'!$AJ$2:$AJ$56,'Draft Board'!$AG$2:$AG$56,A18,'Draft Board'!$AJ$2:$AJ$56,"&lt;&gt;")</f>
        <v>0</v>
      </c>
      <c r="C18">
        <f>SUMIFS('Draft Board'!$AI$2:$AI$56,'Draft Board'!$AG$2:$AG$56,A18,'Draft Board'!$AJ$2:$AJ$56,"&lt;&gt;")</f>
        <v>0</v>
      </c>
      <c r="D18">
        <f t="shared" si="0"/>
        <v>1</v>
      </c>
    </row>
    <row r="19" spans="1:4" x14ac:dyDescent="0.25">
      <c r="A19">
        <v>4</v>
      </c>
      <c r="B19">
        <f>SUMIFS('Draft Board'!$AJ$2:$AJ$56,'Draft Board'!$AG$2:$AG$56,A19,'Draft Board'!$AJ$2:$AJ$56,"&lt;&gt;")</f>
        <v>0</v>
      </c>
      <c r="C19">
        <f>SUMIFS('Draft Board'!$AI$2:$AI$56,'Draft Board'!$AG$2:$AG$56,A19,'Draft Board'!$AJ$2:$AJ$56,"&lt;&gt;")</f>
        <v>0</v>
      </c>
      <c r="D19">
        <f t="shared" si="0"/>
        <v>1</v>
      </c>
    </row>
    <row r="20" spans="1:4" x14ac:dyDescent="0.25">
      <c r="A20">
        <v>5</v>
      </c>
      <c r="B20">
        <f>SUMIFS('Draft Board'!$AJ$2:$AJ$56,'Draft Board'!$AG$2:$AG$56,A20,'Draft Board'!$AJ$2:$AJ$56,"&lt;&gt;")</f>
        <v>0</v>
      </c>
      <c r="C20">
        <f>SUMIFS('Draft Board'!$AI$2:$AI$56,'Draft Board'!$AG$2:$AG$56,A20,'Draft Board'!$AJ$2:$AJ$56,"&lt;&gt;")</f>
        <v>0</v>
      </c>
      <c r="D20">
        <f t="shared" si="0"/>
        <v>1</v>
      </c>
    </row>
    <row r="21" spans="1:4" x14ac:dyDescent="0.25">
      <c r="A21">
        <v>6</v>
      </c>
      <c r="B21">
        <f>SUMIFS('Draft Board'!$AJ$2:$AJ$56,'Draft Board'!$AG$2:$AG$56,A21,'Draft Board'!$AJ$2:$AJ$56,"&lt;&gt;")</f>
        <v>0</v>
      </c>
      <c r="C21">
        <f>SUMIFS('Draft Board'!$AI$2:$AI$56,'Draft Board'!$AG$2:$AG$56,A21,'Draft Board'!$AJ$2:$AJ$56,"&lt;&gt;")</f>
        <v>0</v>
      </c>
      <c r="D21">
        <f t="shared" si="0"/>
        <v>1</v>
      </c>
    </row>
    <row r="22" spans="1:4" x14ac:dyDescent="0.25">
      <c r="A22">
        <v>7</v>
      </c>
      <c r="B22">
        <f>SUMIFS('Draft Board'!$AJ$2:$AJ$56,'Draft Board'!$AG$2:$AG$56,A22,'Draft Board'!$AJ$2:$AJ$56,"&lt;&gt;")</f>
        <v>0</v>
      </c>
      <c r="C22">
        <f>SUMIFS('Draft Board'!$AI$2:$AI$56,'Draft Board'!$AG$2:$AG$56,A22,'Draft Board'!$AJ$2:$AJ$56,"&lt;&gt;")</f>
        <v>0</v>
      </c>
      <c r="D22">
        <f t="shared" si="0"/>
        <v>1</v>
      </c>
    </row>
    <row r="23" spans="1:4" x14ac:dyDescent="0.25">
      <c r="A23">
        <v>8</v>
      </c>
      <c r="B23">
        <f>SUMIFS('Draft Board'!$AJ$2:$AJ$56,'Draft Board'!$AG$2:$AG$56,A23,'Draft Board'!$AJ$2:$AJ$56,"&lt;&gt;")</f>
        <v>0</v>
      </c>
      <c r="C23">
        <f>SUMIFS('Draft Board'!$AI$2:$AI$56,'Draft Board'!$AG$2:$AG$56,A23,'Draft Board'!$AJ$2:$AJ$56,"&lt;&gt;")</f>
        <v>0</v>
      </c>
      <c r="D23">
        <f t="shared" si="0"/>
        <v>1</v>
      </c>
    </row>
    <row r="24" spans="1:4" x14ac:dyDescent="0.25">
      <c r="A24">
        <v>9</v>
      </c>
      <c r="B24">
        <f>SUMIFS('Draft Board'!$AJ$2:$AJ$56,'Draft Board'!$AG$2:$AG$56,A24,'Draft Board'!$AJ$2:$AJ$56,"&lt;&gt;")</f>
        <v>0</v>
      </c>
      <c r="C24">
        <f>SUMIFS('Draft Board'!$AI$2:$AI$56,'Draft Board'!$AG$2:$AG$56,A24,'Draft Board'!$AJ$2:$AJ$56,"&lt;&gt;")</f>
        <v>0</v>
      </c>
      <c r="D24">
        <f t="shared" si="0"/>
        <v>1</v>
      </c>
    </row>
    <row r="25" spans="1:4" x14ac:dyDescent="0.25">
      <c r="A25">
        <v>10</v>
      </c>
      <c r="B25">
        <f>SUMIFS('Draft Board'!$AJ$2:$AJ$56,'Draft Board'!$AG$2:$AG$56,A25,'Draft Board'!$AJ$2:$AJ$56,"&lt;&gt;")</f>
        <v>0</v>
      </c>
      <c r="C25">
        <f>SUMIFS('Draft Board'!$AI$2:$AI$56,'Draft Board'!$AG$2:$AG$56,A25,'Draft Board'!$AJ$2:$AJ$56,"&lt;&gt;")</f>
        <v>0</v>
      </c>
      <c r="D25">
        <f t="shared" si="0"/>
        <v>1</v>
      </c>
    </row>
    <row r="27" spans="1:4" x14ac:dyDescent="0.25">
      <c r="A27" s="2" t="s">
        <v>548</v>
      </c>
    </row>
    <row r="28" spans="1:4" x14ac:dyDescent="0.25">
      <c r="A28" s="2" t="s">
        <v>544</v>
      </c>
      <c r="B28" s="2" t="s">
        <v>545</v>
      </c>
      <c r="C28" s="2" t="s">
        <v>546</v>
      </c>
      <c r="D28" s="2" t="s">
        <v>547</v>
      </c>
    </row>
    <row r="29" spans="1:4" x14ac:dyDescent="0.25">
      <c r="A29">
        <v>1</v>
      </c>
      <c r="B29">
        <f>SUMIFS('Draft Board'!$BV$2:$BV$149,'Draft Board'!$BS$2:$BS$149,A29,'Draft Board'!$BV$2:$BV$149,"&lt;&gt;")</f>
        <v>0</v>
      </c>
      <c r="C29">
        <f>SUMIFS('Draft Board'!$BU$2:$BU$149,'Draft Board'!$BS$2:$BS$149,A29,'Draft Board'!$BV$2:$BV$149,"&lt;&gt;")</f>
        <v>0</v>
      </c>
      <c r="D29">
        <f t="shared" ref="D29:D46" si="1">IFERROR(B29/C29,1)</f>
        <v>1</v>
      </c>
    </row>
    <row r="30" spans="1:4" x14ac:dyDescent="0.25">
      <c r="A30">
        <v>2</v>
      </c>
      <c r="B30">
        <f>SUMIFS('Draft Board'!$BV$2:$BV$149,'Draft Board'!$BS$2:$BS$149,A30,'Draft Board'!$BV$2:$BV$149,"&lt;&gt;")</f>
        <v>0</v>
      </c>
      <c r="C30">
        <f>SUMIFS('Draft Board'!$BU$2:$BU$149,'Draft Board'!$BS$2:$BS$149,A30,'Draft Board'!$BV$2:$BV$149,"&lt;&gt;")</f>
        <v>0</v>
      </c>
      <c r="D30">
        <f t="shared" si="1"/>
        <v>1</v>
      </c>
    </row>
    <row r="31" spans="1:4" x14ac:dyDescent="0.25">
      <c r="A31">
        <v>3</v>
      </c>
      <c r="B31">
        <f>SUMIFS('Draft Board'!$BV$2:$BV$149,'Draft Board'!$BS$2:$BS$149,A31,'Draft Board'!$BV$2:$BV$149,"&lt;&gt;")</f>
        <v>0</v>
      </c>
      <c r="C31">
        <f>SUMIFS('Draft Board'!$BU$2:$BU$149,'Draft Board'!$BS$2:$BS$149,A31,'Draft Board'!$BV$2:$BV$149,"&lt;&gt;")</f>
        <v>0</v>
      </c>
      <c r="D31">
        <f t="shared" si="1"/>
        <v>1</v>
      </c>
    </row>
    <row r="32" spans="1:4" x14ac:dyDescent="0.25">
      <c r="A32">
        <v>4</v>
      </c>
      <c r="B32">
        <f>SUMIFS('Draft Board'!$BV$2:$BV$149,'Draft Board'!$BS$2:$BS$149,A32,'Draft Board'!$BV$2:$BV$149,"&lt;&gt;")</f>
        <v>0</v>
      </c>
      <c r="C32">
        <f>SUMIFS('Draft Board'!$BU$2:$BU$149,'Draft Board'!$BS$2:$BS$149,A32,'Draft Board'!$BV$2:$BV$149,"&lt;&gt;")</f>
        <v>0</v>
      </c>
      <c r="D32">
        <f t="shared" si="1"/>
        <v>1</v>
      </c>
    </row>
    <row r="33" spans="1:4" x14ac:dyDescent="0.25">
      <c r="A33">
        <v>5</v>
      </c>
      <c r="B33">
        <f>SUMIFS('Draft Board'!$BV$2:$BV$149,'Draft Board'!$BS$2:$BS$149,A33,'Draft Board'!$BV$2:$BV$149,"&lt;&gt;")</f>
        <v>0</v>
      </c>
      <c r="C33">
        <f>SUMIFS('Draft Board'!$BU$2:$BU$149,'Draft Board'!$BS$2:$BS$149,A33,'Draft Board'!$BV$2:$BV$149,"&lt;&gt;")</f>
        <v>0</v>
      </c>
      <c r="D33">
        <f t="shared" si="1"/>
        <v>1</v>
      </c>
    </row>
    <row r="34" spans="1:4" x14ac:dyDescent="0.25">
      <c r="A34">
        <v>6</v>
      </c>
      <c r="B34">
        <f>SUMIFS('Draft Board'!$BV$2:$BV$149,'Draft Board'!$BS$2:$BS$149,A34,'Draft Board'!$BV$2:$BV$149,"&lt;&gt;")</f>
        <v>0</v>
      </c>
      <c r="C34">
        <f>SUMIFS('Draft Board'!$BU$2:$BU$149,'Draft Board'!$BS$2:$BS$149,A34,'Draft Board'!$BV$2:$BV$149,"&lt;&gt;")</f>
        <v>0</v>
      </c>
      <c r="D34">
        <f t="shared" si="1"/>
        <v>1</v>
      </c>
    </row>
    <row r="35" spans="1:4" x14ac:dyDescent="0.25">
      <c r="A35">
        <v>7</v>
      </c>
      <c r="B35">
        <f>SUMIFS('Draft Board'!$BV$2:$BV$149,'Draft Board'!$BS$2:$BS$149,A35,'Draft Board'!$BV$2:$BV$149,"&lt;&gt;")</f>
        <v>0</v>
      </c>
      <c r="C35">
        <f>SUMIFS('Draft Board'!$BU$2:$BU$149,'Draft Board'!$BS$2:$BS$149,A35,'Draft Board'!$BV$2:$BV$149,"&lt;&gt;")</f>
        <v>0</v>
      </c>
      <c r="D35">
        <f t="shared" si="1"/>
        <v>1</v>
      </c>
    </row>
    <row r="36" spans="1:4" x14ac:dyDescent="0.25">
      <c r="A36">
        <v>8</v>
      </c>
      <c r="B36">
        <f>SUMIFS('Draft Board'!$BV$2:$BV$149,'Draft Board'!$BS$2:$BS$149,A36,'Draft Board'!$BV$2:$BV$149,"&lt;&gt;")</f>
        <v>0</v>
      </c>
      <c r="C36">
        <f>SUMIFS('Draft Board'!$BU$2:$BU$149,'Draft Board'!$BS$2:$BS$149,A36,'Draft Board'!$BV$2:$BV$149,"&lt;&gt;")</f>
        <v>0</v>
      </c>
      <c r="D36">
        <f t="shared" si="1"/>
        <v>1</v>
      </c>
    </row>
    <row r="37" spans="1:4" x14ac:dyDescent="0.25">
      <c r="A37">
        <v>9</v>
      </c>
      <c r="B37">
        <f>SUMIFS('Draft Board'!$BV$2:$BV$149,'Draft Board'!$BS$2:$BS$149,A37,'Draft Board'!$BV$2:$BV$149,"&lt;&gt;")</f>
        <v>0</v>
      </c>
      <c r="C37">
        <f>SUMIFS('Draft Board'!$BU$2:$BU$149,'Draft Board'!$BS$2:$BS$149,A37,'Draft Board'!$BV$2:$BV$149,"&lt;&gt;")</f>
        <v>0</v>
      </c>
      <c r="D37">
        <f t="shared" si="1"/>
        <v>1</v>
      </c>
    </row>
    <row r="38" spans="1:4" x14ac:dyDescent="0.25">
      <c r="A38">
        <v>10</v>
      </c>
      <c r="B38">
        <f>SUMIFS('Draft Board'!$BV$2:$BV$149,'Draft Board'!$BS$2:$BS$149,A38,'Draft Board'!$BV$2:$BV$149,"&lt;&gt;")</f>
        <v>0</v>
      </c>
      <c r="C38">
        <f>SUMIFS('Draft Board'!$BU$2:$BU$149,'Draft Board'!$BS$2:$BS$149,A38,'Draft Board'!$BV$2:$BV$149,"&lt;&gt;")</f>
        <v>0</v>
      </c>
      <c r="D38">
        <f t="shared" si="1"/>
        <v>1</v>
      </c>
    </row>
    <row r="39" spans="1:4" x14ac:dyDescent="0.25">
      <c r="A39">
        <v>11</v>
      </c>
      <c r="B39">
        <f>SUMIFS('Draft Board'!$BV$2:$BV$149,'Draft Board'!$BS$2:$BS$149,A39,'Draft Board'!$BV$2:$BV$149,"&lt;&gt;")</f>
        <v>0</v>
      </c>
      <c r="C39">
        <f>SUMIFS('Draft Board'!$BU$2:$BU$149,'Draft Board'!$BS$2:$BS$149,A39,'Draft Board'!$BV$2:$BV$149,"&lt;&gt;")</f>
        <v>0</v>
      </c>
      <c r="D39">
        <f t="shared" si="1"/>
        <v>1</v>
      </c>
    </row>
    <row r="40" spans="1:4" x14ac:dyDescent="0.25">
      <c r="A40">
        <v>12</v>
      </c>
      <c r="B40">
        <f>SUMIFS('Draft Board'!$BV$2:$BV$149,'Draft Board'!$BS$2:$BS$149,A40,'Draft Board'!$BV$2:$BV$149,"&lt;&gt;")</f>
        <v>0</v>
      </c>
      <c r="C40">
        <f>SUMIFS('Draft Board'!$BU$2:$BU$149,'Draft Board'!$BS$2:$BS$149,A40,'Draft Board'!$BV$2:$BV$149,"&lt;&gt;")</f>
        <v>0</v>
      </c>
      <c r="D40">
        <f t="shared" si="1"/>
        <v>1</v>
      </c>
    </row>
    <row r="41" spans="1:4" x14ac:dyDescent="0.25">
      <c r="A41">
        <v>13</v>
      </c>
      <c r="B41">
        <f>SUMIFS('Draft Board'!$BV$2:$BV$149,'Draft Board'!$BS$2:$BS$149,A41,'Draft Board'!$BV$2:$BV$149,"&lt;&gt;")</f>
        <v>0</v>
      </c>
      <c r="C41">
        <f>SUMIFS('Draft Board'!$BU$2:$BU$149,'Draft Board'!$BS$2:$BS$149,A41,'Draft Board'!$BV$2:$BV$149,"&lt;&gt;")</f>
        <v>0</v>
      </c>
      <c r="D41">
        <f t="shared" si="1"/>
        <v>1</v>
      </c>
    </row>
    <row r="42" spans="1:4" x14ac:dyDescent="0.25">
      <c r="A42">
        <v>14</v>
      </c>
      <c r="B42">
        <f>SUMIFS('Draft Board'!$BV$2:$BV$149,'Draft Board'!$BS$2:$BS$149,A42,'Draft Board'!$BV$2:$BV$149,"&lt;&gt;")</f>
        <v>0</v>
      </c>
      <c r="C42">
        <f>SUMIFS('Draft Board'!$BU$2:$BU$149,'Draft Board'!$BS$2:$BS$149,A42,'Draft Board'!$BV$2:$BV$149,"&lt;&gt;")</f>
        <v>0</v>
      </c>
      <c r="D42">
        <f t="shared" si="1"/>
        <v>1</v>
      </c>
    </row>
    <row r="43" spans="1:4" x14ac:dyDescent="0.25">
      <c r="A43">
        <v>15</v>
      </c>
      <c r="B43">
        <f>SUMIFS('Draft Board'!$BV$2:$BV$149,'Draft Board'!$BS$2:$BS$149,A43,'Draft Board'!$BV$2:$BV$149,"&lt;&gt;")</f>
        <v>0</v>
      </c>
      <c r="C43">
        <f>SUMIFS('Draft Board'!$BU$2:$BU$149,'Draft Board'!$BS$2:$BS$149,A43,'Draft Board'!$BV$2:$BV$149,"&lt;&gt;")</f>
        <v>0</v>
      </c>
      <c r="D43">
        <f t="shared" si="1"/>
        <v>1</v>
      </c>
    </row>
    <row r="44" spans="1:4" x14ac:dyDescent="0.25">
      <c r="A44">
        <v>16</v>
      </c>
      <c r="B44">
        <f>SUMIFS('Draft Board'!$BV$2:$BV$149,'Draft Board'!$BS$2:$BS$149,A44,'Draft Board'!$BV$2:$BV$149,"&lt;&gt;")</f>
        <v>0</v>
      </c>
      <c r="C44">
        <f>SUMIFS('Draft Board'!$BU$2:$BU$149,'Draft Board'!$BS$2:$BS$149,A44,'Draft Board'!$BV$2:$BV$149,"&lt;&gt;")</f>
        <v>0</v>
      </c>
      <c r="D44">
        <f t="shared" si="1"/>
        <v>1</v>
      </c>
    </row>
    <row r="45" spans="1:4" x14ac:dyDescent="0.25">
      <c r="A45">
        <v>17</v>
      </c>
      <c r="B45">
        <f>SUMIFS('Draft Board'!$BV$2:$BV$149,'Draft Board'!$BS$2:$BS$149,A45,'Draft Board'!$BV$2:$BV$149,"&lt;&gt;")</f>
        <v>0</v>
      </c>
      <c r="C45">
        <f>SUMIFS('Draft Board'!$BU$2:$BU$149,'Draft Board'!$BS$2:$BS$149,A45,'Draft Board'!$BV$2:$BV$149,"&lt;&gt;")</f>
        <v>0</v>
      </c>
      <c r="D45">
        <f t="shared" si="1"/>
        <v>1</v>
      </c>
    </row>
    <row r="46" spans="1:4" x14ac:dyDescent="0.25">
      <c r="A46">
        <v>18</v>
      </c>
      <c r="B46">
        <f>SUMIFS('Draft Board'!$BV$2:$BV$149,'Draft Board'!$BS$2:$BS$149,A46,'Draft Board'!$BV$2:$BV$149,"&lt;&gt;")</f>
        <v>0</v>
      </c>
      <c r="C46">
        <f>SUMIFS('Draft Board'!$BU$2:$BU$149,'Draft Board'!$BS$2:$BS$149,A46,'Draft Board'!$BV$2:$BV$149,"&lt;&gt;")</f>
        <v>0</v>
      </c>
      <c r="D46">
        <f t="shared" si="1"/>
        <v>1</v>
      </c>
    </row>
    <row r="48" spans="1:4" x14ac:dyDescent="0.25">
      <c r="A48" s="2" t="s">
        <v>549</v>
      </c>
    </row>
    <row r="49" spans="1:4" x14ac:dyDescent="0.25">
      <c r="A49" s="2" t="s">
        <v>544</v>
      </c>
      <c r="B49" s="2" t="s">
        <v>545</v>
      </c>
      <c r="C49" s="2" t="s">
        <v>546</v>
      </c>
      <c r="D49" s="2" t="s">
        <v>547</v>
      </c>
    </row>
    <row r="50" spans="1:4" x14ac:dyDescent="0.25">
      <c r="A50">
        <v>1</v>
      </c>
      <c r="B50">
        <f>SUMIFS('Draft Board'!$DH$2:$DH$173,'Draft Board'!$DE$2:$DE$173,A50,'Draft Board'!$DH$2:$DH$173,"&lt;&gt;")</f>
        <v>0</v>
      </c>
      <c r="C50">
        <f>SUMIFS('Draft Board'!$DG$2:$DG$173,'Draft Board'!$DE$2:$DE$173,A50,'Draft Board'!$DH$2:$DH$173,"&lt;&gt;")</f>
        <v>0</v>
      </c>
      <c r="D50">
        <f t="shared" ref="D50:D70" si="2">IFERROR(B50/C50,1)</f>
        <v>1</v>
      </c>
    </row>
    <row r="51" spans="1:4" x14ac:dyDescent="0.25">
      <c r="A51">
        <v>2</v>
      </c>
      <c r="B51">
        <f>SUMIFS('Draft Board'!$DH$2:$DH$173,'Draft Board'!$DE$2:$DE$173,A51,'Draft Board'!$DH$2:$DH$173,"&lt;&gt;")</f>
        <v>0</v>
      </c>
      <c r="C51">
        <f>SUMIFS('Draft Board'!$DG$2:$DG$173,'Draft Board'!$DE$2:$DE$173,A51,'Draft Board'!$DH$2:$DH$173,"&lt;&gt;")</f>
        <v>0</v>
      </c>
      <c r="D51">
        <f t="shared" si="2"/>
        <v>1</v>
      </c>
    </row>
    <row r="52" spans="1:4" x14ac:dyDescent="0.25">
      <c r="A52">
        <v>3</v>
      </c>
      <c r="B52">
        <f>SUMIFS('Draft Board'!$DH$2:$DH$173,'Draft Board'!$DE$2:$DE$173,A52,'Draft Board'!$DH$2:$DH$173,"&lt;&gt;")</f>
        <v>0</v>
      </c>
      <c r="C52">
        <f>SUMIFS('Draft Board'!$DG$2:$DG$173,'Draft Board'!$DE$2:$DE$173,A52,'Draft Board'!$DH$2:$DH$173,"&lt;&gt;")</f>
        <v>0</v>
      </c>
      <c r="D52">
        <f t="shared" si="2"/>
        <v>1</v>
      </c>
    </row>
    <row r="53" spans="1:4" x14ac:dyDescent="0.25">
      <c r="A53">
        <v>4</v>
      </c>
      <c r="B53">
        <f>SUMIFS('Draft Board'!$DH$2:$DH$173,'Draft Board'!$DE$2:$DE$173,A53,'Draft Board'!$DH$2:$DH$173,"&lt;&gt;")</f>
        <v>0</v>
      </c>
      <c r="C53">
        <f>SUMIFS('Draft Board'!$DG$2:$DG$173,'Draft Board'!$DE$2:$DE$173,A53,'Draft Board'!$DH$2:$DH$173,"&lt;&gt;")</f>
        <v>0</v>
      </c>
      <c r="D53">
        <f t="shared" si="2"/>
        <v>1</v>
      </c>
    </row>
    <row r="54" spans="1:4" x14ac:dyDescent="0.25">
      <c r="A54">
        <v>5</v>
      </c>
      <c r="B54">
        <f>SUMIFS('Draft Board'!$DH$2:$DH$173,'Draft Board'!$DE$2:$DE$173,A54,'Draft Board'!$DH$2:$DH$173,"&lt;&gt;")</f>
        <v>0</v>
      </c>
      <c r="C54">
        <f>SUMIFS('Draft Board'!$DG$2:$DG$173,'Draft Board'!$DE$2:$DE$173,A54,'Draft Board'!$DH$2:$DH$173,"&lt;&gt;")</f>
        <v>0</v>
      </c>
      <c r="D54">
        <f t="shared" si="2"/>
        <v>1</v>
      </c>
    </row>
    <row r="55" spans="1:4" x14ac:dyDescent="0.25">
      <c r="A55">
        <v>6</v>
      </c>
      <c r="B55">
        <f>SUMIFS('Draft Board'!$DH$2:$DH$173,'Draft Board'!$DE$2:$DE$173,A55,'Draft Board'!$DH$2:$DH$173,"&lt;&gt;")</f>
        <v>0</v>
      </c>
      <c r="C55">
        <f>SUMIFS('Draft Board'!$DG$2:$DG$173,'Draft Board'!$DE$2:$DE$173,A55,'Draft Board'!$DH$2:$DH$173,"&lt;&gt;")</f>
        <v>0</v>
      </c>
      <c r="D55">
        <f t="shared" si="2"/>
        <v>1</v>
      </c>
    </row>
    <row r="56" spans="1:4" x14ac:dyDescent="0.25">
      <c r="A56">
        <v>7</v>
      </c>
      <c r="B56">
        <f>SUMIFS('Draft Board'!$DH$2:$DH$173,'Draft Board'!$DE$2:$DE$173,A56,'Draft Board'!$DH$2:$DH$173,"&lt;&gt;")</f>
        <v>0</v>
      </c>
      <c r="C56">
        <f>SUMIFS('Draft Board'!$DG$2:$DG$173,'Draft Board'!$DE$2:$DE$173,A56,'Draft Board'!$DH$2:$DH$173,"&lt;&gt;")</f>
        <v>0</v>
      </c>
      <c r="D56">
        <f t="shared" si="2"/>
        <v>1</v>
      </c>
    </row>
    <row r="57" spans="1:4" x14ac:dyDescent="0.25">
      <c r="A57">
        <v>8</v>
      </c>
      <c r="B57">
        <f>SUMIFS('Draft Board'!$DH$2:$DH$173,'Draft Board'!$DE$2:$DE$173,A57,'Draft Board'!$DH$2:$DH$173,"&lt;&gt;")</f>
        <v>0</v>
      </c>
      <c r="C57">
        <f>SUMIFS('Draft Board'!$DG$2:$DG$173,'Draft Board'!$DE$2:$DE$173,A57,'Draft Board'!$DH$2:$DH$173,"&lt;&gt;")</f>
        <v>0</v>
      </c>
      <c r="D57">
        <f t="shared" si="2"/>
        <v>1</v>
      </c>
    </row>
    <row r="58" spans="1:4" x14ac:dyDescent="0.25">
      <c r="A58">
        <v>9</v>
      </c>
      <c r="B58">
        <f>SUMIFS('Draft Board'!$DH$2:$DH$173,'Draft Board'!$DE$2:$DE$173,A58,'Draft Board'!$DH$2:$DH$173,"&lt;&gt;")</f>
        <v>0</v>
      </c>
      <c r="C58">
        <f>SUMIFS('Draft Board'!$DG$2:$DG$173,'Draft Board'!$DE$2:$DE$173,A58,'Draft Board'!$DH$2:$DH$173,"&lt;&gt;")</f>
        <v>0</v>
      </c>
      <c r="D58">
        <f t="shared" si="2"/>
        <v>1</v>
      </c>
    </row>
    <row r="59" spans="1:4" x14ac:dyDescent="0.25">
      <c r="A59">
        <v>10</v>
      </c>
      <c r="B59">
        <f>SUMIFS('Draft Board'!$DH$2:$DH$173,'Draft Board'!$DE$2:$DE$173,A59,'Draft Board'!$DH$2:$DH$173,"&lt;&gt;")</f>
        <v>0</v>
      </c>
      <c r="C59">
        <f>SUMIFS('Draft Board'!$DG$2:$DG$173,'Draft Board'!$DE$2:$DE$173,A59,'Draft Board'!$DH$2:$DH$173,"&lt;&gt;")</f>
        <v>0</v>
      </c>
      <c r="D59">
        <f t="shared" si="2"/>
        <v>1</v>
      </c>
    </row>
    <row r="60" spans="1:4" x14ac:dyDescent="0.25">
      <c r="A60">
        <v>11</v>
      </c>
      <c r="B60">
        <f>SUMIFS('Draft Board'!$DH$2:$DH$173,'Draft Board'!$DE$2:$DE$173,A60,'Draft Board'!$DH$2:$DH$173,"&lt;&gt;")</f>
        <v>0</v>
      </c>
      <c r="C60">
        <f>SUMIFS('Draft Board'!$DG$2:$DG$173,'Draft Board'!$DE$2:$DE$173,A60,'Draft Board'!$DH$2:$DH$173,"&lt;&gt;")</f>
        <v>0</v>
      </c>
      <c r="D60">
        <f t="shared" si="2"/>
        <v>1</v>
      </c>
    </row>
    <row r="61" spans="1:4" x14ac:dyDescent="0.25">
      <c r="A61">
        <v>12</v>
      </c>
      <c r="B61">
        <f>SUMIFS('Draft Board'!$DH$2:$DH$173,'Draft Board'!$DE$2:$DE$173,A61,'Draft Board'!$DH$2:$DH$173,"&lt;&gt;")</f>
        <v>0</v>
      </c>
      <c r="C61">
        <f>SUMIFS('Draft Board'!$DG$2:$DG$173,'Draft Board'!$DE$2:$DE$173,A61,'Draft Board'!$DH$2:$DH$173,"&lt;&gt;")</f>
        <v>0</v>
      </c>
      <c r="D61">
        <f t="shared" si="2"/>
        <v>1</v>
      </c>
    </row>
    <row r="62" spans="1:4" x14ac:dyDescent="0.25">
      <c r="A62">
        <v>13</v>
      </c>
      <c r="B62">
        <f>SUMIFS('Draft Board'!$DH$2:$DH$173,'Draft Board'!$DE$2:$DE$173,A62,'Draft Board'!$DH$2:$DH$173,"&lt;&gt;")</f>
        <v>0</v>
      </c>
      <c r="C62">
        <f>SUMIFS('Draft Board'!$DG$2:$DG$173,'Draft Board'!$DE$2:$DE$173,A62,'Draft Board'!$DH$2:$DH$173,"&lt;&gt;")</f>
        <v>0</v>
      </c>
      <c r="D62">
        <f t="shared" si="2"/>
        <v>1</v>
      </c>
    </row>
    <row r="63" spans="1:4" x14ac:dyDescent="0.25">
      <c r="A63">
        <v>14</v>
      </c>
      <c r="B63">
        <f>SUMIFS('Draft Board'!$DH$2:$DH$173,'Draft Board'!$DE$2:$DE$173,A63,'Draft Board'!$DH$2:$DH$173,"&lt;&gt;")</f>
        <v>0</v>
      </c>
      <c r="C63">
        <f>SUMIFS('Draft Board'!$DG$2:$DG$173,'Draft Board'!$DE$2:$DE$173,A63,'Draft Board'!$DH$2:$DH$173,"&lt;&gt;")</f>
        <v>0</v>
      </c>
      <c r="D63">
        <f t="shared" si="2"/>
        <v>1</v>
      </c>
    </row>
    <row r="64" spans="1:4" x14ac:dyDescent="0.25">
      <c r="A64">
        <v>15</v>
      </c>
      <c r="B64">
        <f>SUMIFS('Draft Board'!$DH$2:$DH$173,'Draft Board'!$DE$2:$DE$173,A64,'Draft Board'!$DH$2:$DH$173,"&lt;&gt;")</f>
        <v>0</v>
      </c>
      <c r="C64">
        <f>SUMIFS('Draft Board'!$DG$2:$DG$173,'Draft Board'!$DE$2:$DE$173,A64,'Draft Board'!$DH$2:$DH$173,"&lt;&gt;")</f>
        <v>0</v>
      </c>
      <c r="D64">
        <f t="shared" si="2"/>
        <v>1</v>
      </c>
    </row>
    <row r="65" spans="1:4" x14ac:dyDescent="0.25">
      <c r="A65">
        <v>16</v>
      </c>
      <c r="B65">
        <f>SUMIFS('Draft Board'!$DH$2:$DH$173,'Draft Board'!$DE$2:$DE$173,A65,'Draft Board'!$DH$2:$DH$173,"&lt;&gt;")</f>
        <v>0</v>
      </c>
      <c r="C65">
        <f>SUMIFS('Draft Board'!$DG$2:$DG$173,'Draft Board'!$DE$2:$DE$173,A65,'Draft Board'!$DH$2:$DH$173,"&lt;&gt;")</f>
        <v>0</v>
      </c>
      <c r="D65">
        <f t="shared" si="2"/>
        <v>1</v>
      </c>
    </row>
    <row r="66" spans="1:4" x14ac:dyDescent="0.25">
      <c r="A66">
        <v>17</v>
      </c>
      <c r="B66">
        <f>SUMIFS('Draft Board'!$DH$2:$DH$173,'Draft Board'!$DE$2:$DE$173,A66,'Draft Board'!$DH$2:$DH$173,"&lt;&gt;")</f>
        <v>0</v>
      </c>
      <c r="C66">
        <f>SUMIFS('Draft Board'!$DG$2:$DG$173,'Draft Board'!$DE$2:$DE$173,A66,'Draft Board'!$DH$2:$DH$173,"&lt;&gt;")</f>
        <v>0</v>
      </c>
      <c r="D66">
        <f t="shared" si="2"/>
        <v>1</v>
      </c>
    </row>
    <row r="67" spans="1:4" x14ac:dyDescent="0.25">
      <c r="A67">
        <v>18</v>
      </c>
      <c r="B67">
        <f>SUMIFS('Draft Board'!$DH$2:$DH$173,'Draft Board'!$DE$2:$DE$173,A67,'Draft Board'!$DH$2:$DH$173,"&lt;&gt;")</f>
        <v>0</v>
      </c>
      <c r="C67">
        <f>SUMIFS('Draft Board'!$DG$2:$DG$173,'Draft Board'!$DE$2:$DE$173,A67,'Draft Board'!$DH$2:$DH$173,"&lt;&gt;")</f>
        <v>0</v>
      </c>
      <c r="D67">
        <f t="shared" si="2"/>
        <v>1</v>
      </c>
    </row>
    <row r="68" spans="1:4" x14ac:dyDescent="0.25">
      <c r="A68">
        <v>19</v>
      </c>
      <c r="B68">
        <f>SUMIFS('Draft Board'!$DH$2:$DH$173,'Draft Board'!$DE$2:$DE$173,A68,'Draft Board'!$DH$2:$DH$173,"&lt;&gt;")</f>
        <v>0</v>
      </c>
      <c r="C68">
        <f>SUMIFS('Draft Board'!$DG$2:$DG$173,'Draft Board'!$DE$2:$DE$173,A68,'Draft Board'!$DH$2:$DH$173,"&lt;&gt;")</f>
        <v>0</v>
      </c>
      <c r="D68">
        <f t="shared" si="2"/>
        <v>1</v>
      </c>
    </row>
    <row r="69" spans="1:4" x14ac:dyDescent="0.25">
      <c r="A69">
        <v>20</v>
      </c>
      <c r="B69">
        <f>SUMIFS('Draft Board'!$DH$2:$DH$173,'Draft Board'!$DE$2:$DE$173,A69,'Draft Board'!$DH$2:$DH$173,"&lt;&gt;")</f>
        <v>0</v>
      </c>
      <c r="C69">
        <f>SUMIFS('Draft Board'!$DG$2:$DG$173,'Draft Board'!$DE$2:$DE$173,A69,'Draft Board'!$DH$2:$DH$173,"&lt;&gt;")</f>
        <v>0</v>
      </c>
      <c r="D69">
        <f t="shared" si="2"/>
        <v>1</v>
      </c>
    </row>
    <row r="70" spans="1:4" x14ac:dyDescent="0.25">
      <c r="A70">
        <v>21</v>
      </c>
      <c r="B70">
        <f>SUMIFS('Draft Board'!$DH$2:$DH$173,'Draft Board'!$DE$2:$DE$173,A70,'Draft Board'!$DH$2:$DH$173,"&lt;&gt;")</f>
        <v>0</v>
      </c>
      <c r="C70">
        <f>SUMIFS('Draft Board'!$DG$2:$DG$173,'Draft Board'!$DE$2:$DE$173,A70,'Draft Board'!$DH$2:$DH$173,"&lt;&gt;")</f>
        <v>0</v>
      </c>
      <c r="D70">
        <f t="shared" si="2"/>
        <v>1</v>
      </c>
    </row>
    <row r="72" spans="1:4" x14ac:dyDescent="0.25">
      <c r="A72" s="2" t="s">
        <v>550</v>
      </c>
    </row>
    <row r="73" spans="1:4" x14ac:dyDescent="0.25">
      <c r="A73" s="2" t="s">
        <v>544</v>
      </c>
      <c r="B73" s="2" t="s">
        <v>545</v>
      </c>
      <c r="C73" s="2" t="s">
        <v>546</v>
      </c>
      <c r="D73" s="2" t="s">
        <v>547</v>
      </c>
    </row>
    <row r="74" spans="1:4" x14ac:dyDescent="0.25">
      <c r="A74">
        <v>1</v>
      </c>
      <c r="B74">
        <f>SUMIFS('Draft Board'!$ET$2:$ET$77,'Draft Board'!$EQ$2:$EQ$77,A74,'Draft Board'!$ET$2:$ET$77,"&lt;&gt;")</f>
        <v>0</v>
      </c>
      <c r="C74">
        <f>SUMIFS('Draft Board'!$ES$2:$ES$77,'Draft Board'!$EQ$2:$EQ$77,A74,'Draft Board'!$ET$2:$ET$77,"&lt;&gt;")</f>
        <v>0</v>
      </c>
      <c r="D74">
        <f t="shared" ref="D74:D85" si="3">IFERROR(B74/C74,1)</f>
        <v>1</v>
      </c>
    </row>
    <row r="75" spans="1:4" x14ac:dyDescent="0.25">
      <c r="A75">
        <v>2</v>
      </c>
      <c r="B75">
        <f>SUMIFS('Draft Board'!$ET$2:$ET$77,'Draft Board'!$EQ$2:$EQ$77,A75,'Draft Board'!$ET$2:$ET$77,"&lt;&gt;")</f>
        <v>0</v>
      </c>
      <c r="C75">
        <f>SUMIFS('Draft Board'!$ES$2:$ES$77,'Draft Board'!$EQ$2:$EQ$77,A75,'Draft Board'!$ET$2:$ET$77,"&lt;&gt;")</f>
        <v>0</v>
      </c>
      <c r="D75">
        <f t="shared" si="3"/>
        <v>1</v>
      </c>
    </row>
    <row r="76" spans="1:4" x14ac:dyDescent="0.25">
      <c r="A76">
        <v>3</v>
      </c>
      <c r="B76">
        <f>SUMIFS('Draft Board'!$ET$2:$ET$77,'Draft Board'!$EQ$2:$EQ$77,A76,'Draft Board'!$ET$2:$ET$77,"&lt;&gt;")</f>
        <v>0</v>
      </c>
      <c r="C76">
        <f>SUMIFS('Draft Board'!$ES$2:$ES$77,'Draft Board'!$EQ$2:$EQ$77,A76,'Draft Board'!$ET$2:$ET$77,"&lt;&gt;")</f>
        <v>0</v>
      </c>
      <c r="D76">
        <f t="shared" si="3"/>
        <v>1</v>
      </c>
    </row>
    <row r="77" spans="1:4" x14ac:dyDescent="0.25">
      <c r="A77">
        <v>4</v>
      </c>
      <c r="B77">
        <f>SUMIFS('Draft Board'!$ET$2:$ET$77,'Draft Board'!$EQ$2:$EQ$77,A77,'Draft Board'!$ET$2:$ET$77,"&lt;&gt;")</f>
        <v>0</v>
      </c>
      <c r="C77">
        <f>SUMIFS('Draft Board'!$ES$2:$ES$77,'Draft Board'!$EQ$2:$EQ$77,A77,'Draft Board'!$ET$2:$ET$77,"&lt;&gt;")</f>
        <v>0</v>
      </c>
      <c r="D77">
        <f t="shared" si="3"/>
        <v>1</v>
      </c>
    </row>
    <row r="78" spans="1:4" x14ac:dyDescent="0.25">
      <c r="A78">
        <v>5</v>
      </c>
      <c r="B78">
        <f>SUMIFS('Draft Board'!$ET$2:$ET$77,'Draft Board'!$EQ$2:$EQ$77,A78,'Draft Board'!$ET$2:$ET$77,"&lt;&gt;")</f>
        <v>0</v>
      </c>
      <c r="C78">
        <f>SUMIFS('Draft Board'!$ES$2:$ES$77,'Draft Board'!$EQ$2:$EQ$77,A78,'Draft Board'!$ET$2:$ET$77,"&lt;&gt;")</f>
        <v>0</v>
      </c>
      <c r="D78">
        <f t="shared" si="3"/>
        <v>1</v>
      </c>
    </row>
    <row r="79" spans="1:4" x14ac:dyDescent="0.25">
      <c r="A79">
        <v>6</v>
      </c>
      <c r="B79">
        <f>SUMIFS('Draft Board'!$ET$2:$ET$77,'Draft Board'!$EQ$2:$EQ$77,A79,'Draft Board'!$ET$2:$ET$77,"&lt;&gt;")</f>
        <v>0</v>
      </c>
      <c r="C79">
        <f>SUMIFS('Draft Board'!$ES$2:$ES$77,'Draft Board'!$EQ$2:$EQ$77,A79,'Draft Board'!$ET$2:$ET$77,"&lt;&gt;")</f>
        <v>0</v>
      </c>
      <c r="D79">
        <f t="shared" si="3"/>
        <v>1</v>
      </c>
    </row>
    <row r="80" spans="1:4" x14ac:dyDescent="0.25">
      <c r="A80">
        <v>7</v>
      </c>
      <c r="B80">
        <f>SUMIFS('Draft Board'!$ET$2:$ET$77,'Draft Board'!$EQ$2:$EQ$77,A80,'Draft Board'!$ET$2:$ET$77,"&lt;&gt;")</f>
        <v>0</v>
      </c>
      <c r="C80">
        <f>SUMIFS('Draft Board'!$ES$2:$ES$77,'Draft Board'!$EQ$2:$EQ$77,A80,'Draft Board'!$ET$2:$ET$77,"&lt;&gt;")</f>
        <v>0</v>
      </c>
      <c r="D80">
        <f t="shared" si="3"/>
        <v>1</v>
      </c>
    </row>
    <row r="81" spans="1:10" x14ac:dyDescent="0.25">
      <c r="A81">
        <v>8</v>
      </c>
      <c r="B81">
        <f>SUMIFS('Draft Board'!$ET$2:$ET$77,'Draft Board'!$EQ$2:$EQ$77,A81,'Draft Board'!$ET$2:$ET$77,"&lt;&gt;")</f>
        <v>0</v>
      </c>
      <c r="C81">
        <f>SUMIFS('Draft Board'!$ES$2:$ES$77,'Draft Board'!$EQ$2:$EQ$77,A81,'Draft Board'!$ET$2:$ET$77,"&lt;&gt;")</f>
        <v>0</v>
      </c>
      <c r="D81">
        <f t="shared" si="3"/>
        <v>1</v>
      </c>
    </row>
    <row r="82" spans="1:10" x14ac:dyDescent="0.25">
      <c r="A82">
        <v>9</v>
      </c>
      <c r="B82">
        <f>SUMIFS('Draft Board'!$ET$2:$ET$77,'Draft Board'!$EQ$2:$EQ$77,A82,'Draft Board'!$ET$2:$ET$77,"&lt;&gt;")</f>
        <v>0</v>
      </c>
      <c r="C82">
        <f>SUMIFS('Draft Board'!$ES$2:$ES$77,'Draft Board'!$EQ$2:$EQ$77,A82,'Draft Board'!$ET$2:$ET$77,"&lt;&gt;")</f>
        <v>0</v>
      </c>
      <c r="D82">
        <f t="shared" si="3"/>
        <v>1</v>
      </c>
    </row>
    <row r="83" spans="1:10" x14ac:dyDescent="0.25">
      <c r="A83">
        <v>10</v>
      </c>
      <c r="B83">
        <f>SUMIFS('Draft Board'!$ET$2:$ET$77,'Draft Board'!$EQ$2:$EQ$77,A83,'Draft Board'!$ET$2:$ET$77,"&lt;&gt;")</f>
        <v>0</v>
      </c>
      <c r="C83">
        <f>SUMIFS('Draft Board'!$ES$2:$ES$77,'Draft Board'!$EQ$2:$EQ$77,A83,'Draft Board'!$ET$2:$ET$77,"&lt;&gt;")</f>
        <v>0</v>
      </c>
      <c r="D83">
        <f t="shared" si="3"/>
        <v>1</v>
      </c>
    </row>
    <row r="84" spans="1:10" x14ac:dyDescent="0.25">
      <c r="A84">
        <v>11</v>
      </c>
      <c r="B84">
        <f>SUMIFS('Draft Board'!$ET$2:$ET$77,'Draft Board'!$EQ$2:$EQ$77,A84,'Draft Board'!$ET$2:$ET$77,"&lt;&gt;")</f>
        <v>0</v>
      </c>
      <c r="C84">
        <f>SUMIFS('Draft Board'!$ES$2:$ES$77,'Draft Board'!$EQ$2:$EQ$77,A84,'Draft Board'!$ET$2:$ET$77,"&lt;&gt;")</f>
        <v>0</v>
      </c>
      <c r="D84">
        <f t="shared" si="3"/>
        <v>1</v>
      </c>
    </row>
    <row r="85" spans="1:10" x14ac:dyDescent="0.25">
      <c r="A85">
        <v>12</v>
      </c>
      <c r="B85">
        <f>SUMIFS('Draft Board'!$ET$2:$ET$77,'Draft Board'!$EQ$2:$EQ$77,A85,'Draft Board'!$ET$2:$ET$77,"&lt;&gt;")</f>
        <v>0</v>
      </c>
      <c r="C85">
        <f>SUMIFS('Draft Board'!$ES$2:$ES$77,'Draft Board'!$EQ$2:$EQ$77,A85,'Draft Board'!$ET$2:$ET$77,"&lt;&gt;")</f>
        <v>0</v>
      </c>
      <c r="D85">
        <f t="shared" si="3"/>
        <v>1</v>
      </c>
    </row>
    <row r="87" spans="1:10" x14ac:dyDescent="0.25">
      <c r="A87" s="2" t="s">
        <v>551</v>
      </c>
    </row>
    <row r="88" spans="1:10" x14ac:dyDescent="0.25">
      <c r="A88" s="2" t="s">
        <v>552</v>
      </c>
      <c r="B88" s="2" t="s">
        <v>553</v>
      </c>
      <c r="C88" s="2" t="s">
        <v>554</v>
      </c>
      <c r="D88" s="2" t="s">
        <v>555</v>
      </c>
      <c r="E88" s="2" t="s">
        <v>556</v>
      </c>
      <c r="F88" s="2" t="s">
        <v>557</v>
      </c>
      <c r="G88" s="2" t="s">
        <v>558</v>
      </c>
      <c r="H88" s="2" t="s">
        <v>559</v>
      </c>
      <c r="I88" s="2" t="s">
        <v>560</v>
      </c>
      <c r="J88" s="2" t="s">
        <v>561</v>
      </c>
    </row>
    <row r="89" spans="1:10" x14ac:dyDescent="0.25">
      <c r="A89">
        <f>B5</f>
        <v>2208</v>
      </c>
      <c r="B89">
        <f>C9+C10+C11+C12</f>
        <v>20021.728599999999</v>
      </c>
      <c r="C89">
        <f>IFERROR(A89/B89,0)</f>
        <v>0.11028018829503064</v>
      </c>
      <c r="D89">
        <f>SUM('Draft Board'!$AJ$2:$AJ$56)+SUM('Draft Board'!$BV$2:$BV$149)+SUM('Draft Board'!$DH$2:$DH$173)+SUM('Draft Board'!$ET$2:$ET$77)</f>
        <v>0</v>
      </c>
      <c r="E89">
        <f>COUNT('Draft Board'!$AJ$2:$AJ$56)+COUNT('Draft Board'!$BV$2:$BV$149)+COUNT('Draft Board'!$DH$2:$DH$173)+COUNT('Draft Board'!$ET$2:$ET$77)</f>
        <v>0</v>
      </c>
      <c r="F89">
        <f>SUMIFS('Draft Board'!$AH$2:$AH$56,'Draft Board'!$AJ$2:$AJ$56,"&lt;&gt;")+SUMIFS('Draft Board'!$BT$2:$BT$149,'Draft Board'!$BV$2:$BV$149,"&lt;&gt;")+SUMIFS('Draft Board'!$DF$2:$DF$173,'Draft Board'!$DH$2:$DH$173,"&lt;&gt;")+SUMIFS('Draft Board'!$ER$2:$ER$77,'Draft Board'!$ET$2:$ET$77,"&lt;&gt;")</f>
        <v>0</v>
      </c>
      <c r="G89">
        <f>A89-(D89-E89)</f>
        <v>2208</v>
      </c>
      <c r="H89">
        <f>B89-F89</f>
        <v>20021.728599999999</v>
      </c>
      <c r="I89">
        <f>IFERROR(G89/H89,0)</f>
        <v>0.11028018829503064</v>
      </c>
      <c r="J89">
        <f>IFERROR(I89/C89,1)</f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7"/>
  <sheetViews>
    <sheetView workbookViewId="0"/>
  </sheetViews>
  <sheetFormatPr defaultRowHeight="15" x14ac:dyDescent="0.25"/>
  <cols>
    <col min="1" max="1" width="20" customWidth="1"/>
    <col min="2" max="2" width="26" customWidth="1"/>
    <col min="3" max="3" width="15" customWidth="1"/>
  </cols>
  <sheetData>
    <row r="1" spans="1:3" x14ac:dyDescent="0.25">
      <c r="A1" s="2" t="s">
        <v>562</v>
      </c>
      <c r="B1" s="2" t="s">
        <v>8</v>
      </c>
      <c r="C1" s="2" t="s">
        <v>43</v>
      </c>
    </row>
    <row r="2" spans="1:3" x14ac:dyDescent="0.25">
      <c r="A2" s="4" t="s">
        <v>539</v>
      </c>
    </row>
    <row r="3" spans="1:3" x14ac:dyDescent="0.25">
      <c r="A3" s="5" t="s">
        <v>540</v>
      </c>
    </row>
    <row r="4" spans="1:3" x14ac:dyDescent="0.25">
      <c r="A4" s="5" t="s">
        <v>540</v>
      </c>
    </row>
    <row r="5" spans="1:3" x14ac:dyDescent="0.25">
      <c r="A5" s="6" t="s">
        <v>541</v>
      </c>
    </row>
    <row r="6" spans="1:3" x14ac:dyDescent="0.25">
      <c r="A6" s="6" t="s">
        <v>541</v>
      </c>
    </row>
    <row r="7" spans="1:3" x14ac:dyDescent="0.25">
      <c r="A7" s="6" t="s">
        <v>541</v>
      </c>
    </row>
    <row r="8" spans="1:3" x14ac:dyDescent="0.25">
      <c r="A8" s="7" t="s">
        <v>542</v>
      </c>
    </row>
    <row r="9" spans="1:3" x14ac:dyDescent="0.25">
      <c r="A9" t="s">
        <v>563</v>
      </c>
    </row>
    <row r="10" spans="1:3" x14ac:dyDescent="0.25">
      <c r="A10" t="s">
        <v>564</v>
      </c>
    </row>
    <row r="11" spans="1:3" x14ac:dyDescent="0.25">
      <c r="A11" t="s">
        <v>565</v>
      </c>
    </row>
    <row r="12" spans="1:3" x14ac:dyDescent="0.25">
      <c r="A12" t="s">
        <v>566</v>
      </c>
    </row>
    <row r="13" spans="1:3" x14ac:dyDescent="0.25">
      <c r="A13" t="s">
        <v>566</v>
      </c>
    </row>
    <row r="14" spans="1:3" x14ac:dyDescent="0.25">
      <c r="A14" t="s">
        <v>566</v>
      </c>
    </row>
    <row r="15" spans="1:3" x14ac:dyDescent="0.25">
      <c r="A15" t="s">
        <v>566</v>
      </c>
    </row>
    <row r="16" spans="1:3" x14ac:dyDescent="0.25">
      <c r="A16" t="s">
        <v>566</v>
      </c>
    </row>
    <row r="17" spans="1:2" x14ac:dyDescent="0.25">
      <c r="A17" t="s">
        <v>566</v>
      </c>
    </row>
    <row r="20" spans="1:2" x14ac:dyDescent="0.25">
      <c r="A20" s="2" t="s">
        <v>567</v>
      </c>
      <c r="B20">
        <f>Setup!$B$3</f>
        <v>200</v>
      </c>
    </row>
    <row r="21" spans="1:2" x14ac:dyDescent="0.25">
      <c r="A21" s="2" t="s">
        <v>568</v>
      </c>
      <c r="B21">
        <v>16</v>
      </c>
    </row>
    <row r="22" spans="1:2" x14ac:dyDescent="0.25">
      <c r="A22" s="2" t="s">
        <v>569</v>
      </c>
      <c r="B22">
        <f>COUNT(C2:C17)</f>
        <v>0</v>
      </c>
    </row>
    <row r="23" spans="1:2" x14ac:dyDescent="0.25">
      <c r="A23" s="2" t="s">
        <v>570</v>
      </c>
      <c r="B23">
        <f>B21-B22</f>
        <v>16</v>
      </c>
    </row>
    <row r="24" spans="1:2" x14ac:dyDescent="0.25">
      <c r="A24" s="2" t="s">
        <v>571</v>
      </c>
      <c r="B24">
        <f>SUM(C2:C17)</f>
        <v>0</v>
      </c>
    </row>
    <row r="25" spans="1:2" x14ac:dyDescent="0.25">
      <c r="A25" s="2" t="s">
        <v>572</v>
      </c>
      <c r="B25">
        <f>B20-B24</f>
        <v>200</v>
      </c>
    </row>
    <row r="26" spans="1:2" x14ac:dyDescent="0.25">
      <c r="A26" s="2" t="s">
        <v>573</v>
      </c>
      <c r="B26">
        <f>IF(B23&gt;0,B25-(B23-1)*1,"Roster full")</f>
        <v>185</v>
      </c>
    </row>
    <row r="27" spans="1:2" x14ac:dyDescent="0.25">
      <c r="A27" s="2" t="s">
        <v>574</v>
      </c>
      <c r="B27">
        <f>IFERROR(B25/B23,"Roster full")</f>
        <v>12.5</v>
      </c>
    </row>
  </sheetData>
  <dataValidations count="1">
    <dataValidation type="whole" allowBlank="1" showErrorMessage="1" errorTitle="Invalid price" error="Enter a whole-dollar amount (0-400)." sqref="C2:C17" xr:uid="{00000000-0002-0000-0300-000000000000}">
      <formula1>0</formula1>
      <formula2>400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Draft Board</vt:lpstr>
      <vt:lpstr>Live Calc</vt:lpstr>
      <vt:lpstr>My Team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Bond</cp:lastModifiedBy>
  <dcterms:created xsi:type="dcterms:W3CDTF">2026-07-15T19:09:55Z</dcterms:created>
  <dcterms:modified xsi:type="dcterms:W3CDTF">2026-07-15T19:10:11Z</dcterms:modified>
</cp:coreProperties>
</file>