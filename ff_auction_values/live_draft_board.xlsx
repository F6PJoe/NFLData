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80998ace04e2b563/Documents/FF_ADP/ff_auction_values/"/>
    </mc:Choice>
  </mc:AlternateContent>
  <xr:revisionPtr revIDLastSave="2666" documentId="11_E29D06778B80AD22ABB88FB08A6F6862EDE2E927" xr6:coauthVersionLast="47" xr6:coauthVersionMax="47" xr10:uidLastSave="{EA5483D1-B9BF-4103-B720-C26BFDB82796}"/>
  <bookViews>
    <workbookView xWindow="-120" yWindow="-120" windowWidth="29040" windowHeight="15720" xr2:uid="{00000000-000D-0000-FFFF-FFFF00000000}"/>
  </bookViews>
  <sheets>
    <sheet name="Setup" sheetId="1" r:id="rId1"/>
    <sheet name="Draft Board" sheetId="2" r:id="rId2"/>
    <sheet name="Live Calc" sheetId="3" r:id="rId3"/>
    <sheet name="My Team"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B21" i="4"/>
  <c r="B22" i="4" s="1"/>
  <c r="B19" i="4"/>
  <c r="E78" i="3"/>
  <c r="D78" i="3"/>
  <c r="C12" i="3"/>
  <c r="C11" i="3"/>
  <c r="C10" i="3"/>
  <c r="C9" i="3"/>
  <c r="B2" i="3"/>
  <c r="B4" i="3" s="1"/>
  <c r="AX166" i="2"/>
  <c r="AW166" i="2"/>
  <c r="AX165" i="2"/>
  <c r="AW165" i="2"/>
  <c r="AX164" i="2"/>
  <c r="AW164" i="2"/>
  <c r="AX163" i="2"/>
  <c r="AW163" i="2"/>
  <c r="AX162" i="2"/>
  <c r="AW162" i="2"/>
  <c r="AX161" i="2"/>
  <c r="AW161" i="2"/>
  <c r="AX160" i="2"/>
  <c r="AW160" i="2"/>
  <c r="AX159" i="2"/>
  <c r="AW159" i="2"/>
  <c r="AX158" i="2"/>
  <c r="AW158" i="2"/>
  <c r="AX157" i="2"/>
  <c r="AW157" i="2"/>
  <c r="AX156" i="2"/>
  <c r="AW156" i="2"/>
  <c r="AX155" i="2"/>
  <c r="AW155" i="2"/>
  <c r="AX154" i="2"/>
  <c r="AW154" i="2"/>
  <c r="AX153" i="2"/>
  <c r="AW153" i="2"/>
  <c r="AX152" i="2"/>
  <c r="AW152" i="2"/>
  <c r="AX151" i="2"/>
  <c r="AW151" i="2"/>
  <c r="AX150" i="2"/>
  <c r="AW150" i="2"/>
  <c r="AX149" i="2"/>
  <c r="AW149" i="2"/>
  <c r="AX148" i="2"/>
  <c r="AW148" i="2"/>
  <c r="AX147" i="2"/>
  <c r="AW147" i="2"/>
  <c r="AX146" i="2"/>
  <c r="AW146" i="2"/>
  <c r="AX145" i="2"/>
  <c r="AW145" i="2"/>
  <c r="AX144" i="2"/>
  <c r="AW144" i="2"/>
  <c r="AX143" i="2"/>
  <c r="AW143" i="2"/>
  <c r="AX142" i="2"/>
  <c r="AW142" i="2"/>
  <c r="AX141" i="2"/>
  <c r="AW141" i="2"/>
  <c r="AF141" i="2"/>
  <c r="AE141" i="2"/>
  <c r="AX140" i="2"/>
  <c r="AW140" i="2"/>
  <c r="AF140" i="2"/>
  <c r="AE140" i="2"/>
  <c r="AX139" i="2"/>
  <c r="AW139" i="2"/>
  <c r="AF139" i="2"/>
  <c r="AE139" i="2"/>
  <c r="AX138" i="2"/>
  <c r="AW138" i="2"/>
  <c r="AF138" i="2"/>
  <c r="AE138" i="2"/>
  <c r="AX137" i="2"/>
  <c r="AW137" i="2"/>
  <c r="AF137" i="2"/>
  <c r="AE137" i="2"/>
  <c r="AX136" i="2"/>
  <c r="AW136" i="2"/>
  <c r="AF136" i="2"/>
  <c r="AE136" i="2"/>
  <c r="AX135" i="2"/>
  <c r="AW135" i="2"/>
  <c r="AF135" i="2"/>
  <c r="AE135" i="2"/>
  <c r="AX134" i="2"/>
  <c r="AW134" i="2"/>
  <c r="AF134" i="2"/>
  <c r="AE134" i="2"/>
  <c r="AX133" i="2"/>
  <c r="AW133" i="2"/>
  <c r="AF133" i="2"/>
  <c r="AE133" i="2"/>
  <c r="AX132" i="2"/>
  <c r="AW132" i="2"/>
  <c r="AF132" i="2"/>
  <c r="AE132" i="2"/>
  <c r="AX131" i="2"/>
  <c r="AW131" i="2"/>
  <c r="AF131" i="2"/>
  <c r="AE131" i="2"/>
  <c r="AX130" i="2"/>
  <c r="AW130" i="2"/>
  <c r="AF130" i="2"/>
  <c r="AE130" i="2"/>
  <c r="AX129" i="2"/>
  <c r="AW129" i="2"/>
  <c r="AF129" i="2"/>
  <c r="AE129" i="2"/>
  <c r="AX128" i="2"/>
  <c r="AW128" i="2"/>
  <c r="AF128" i="2"/>
  <c r="AE128" i="2"/>
  <c r="AX127" i="2"/>
  <c r="AW127" i="2"/>
  <c r="AF127" i="2"/>
  <c r="AE127" i="2"/>
  <c r="AX126" i="2"/>
  <c r="AW126" i="2"/>
  <c r="AF126" i="2"/>
  <c r="AE126" i="2"/>
  <c r="AX125" i="2"/>
  <c r="AW125" i="2"/>
  <c r="AF125" i="2"/>
  <c r="AE125" i="2"/>
  <c r="AX124" i="2"/>
  <c r="AW124" i="2"/>
  <c r="AF124" i="2"/>
  <c r="AE124" i="2"/>
  <c r="AX123" i="2"/>
  <c r="AW123" i="2"/>
  <c r="AF123" i="2"/>
  <c r="AE123" i="2"/>
  <c r="AX122" i="2"/>
  <c r="AW122" i="2"/>
  <c r="AF122" i="2"/>
  <c r="AE122" i="2"/>
  <c r="AX121" i="2"/>
  <c r="AW121" i="2"/>
  <c r="AF121" i="2"/>
  <c r="AE121" i="2"/>
  <c r="AX120" i="2"/>
  <c r="AW120" i="2"/>
  <c r="AF120" i="2"/>
  <c r="AE120" i="2"/>
  <c r="AX119" i="2"/>
  <c r="AW119" i="2"/>
  <c r="AF119" i="2"/>
  <c r="AE119" i="2"/>
  <c r="AX118" i="2"/>
  <c r="AW118" i="2"/>
  <c r="AF118" i="2"/>
  <c r="AE118" i="2"/>
  <c r="AX117" i="2"/>
  <c r="AW117" i="2"/>
  <c r="AF117" i="2"/>
  <c r="AE117" i="2"/>
  <c r="AX116" i="2"/>
  <c r="AW116" i="2"/>
  <c r="AF116" i="2"/>
  <c r="AE116" i="2"/>
  <c r="AX115" i="2"/>
  <c r="AW115" i="2"/>
  <c r="AF115" i="2"/>
  <c r="AE115" i="2"/>
  <c r="AX114" i="2"/>
  <c r="AW114" i="2"/>
  <c r="AF114" i="2"/>
  <c r="AE114" i="2"/>
  <c r="AX113" i="2"/>
  <c r="AW113" i="2"/>
  <c r="AF113" i="2"/>
  <c r="AE113" i="2"/>
  <c r="AX112" i="2"/>
  <c r="AW112" i="2"/>
  <c r="AF112" i="2"/>
  <c r="AE112" i="2"/>
  <c r="AX111" i="2"/>
  <c r="AW111" i="2"/>
  <c r="AF111" i="2"/>
  <c r="AE111" i="2"/>
  <c r="AX110" i="2"/>
  <c r="AW110" i="2"/>
  <c r="AF110" i="2"/>
  <c r="AE110" i="2"/>
  <c r="AX109" i="2"/>
  <c r="AW109" i="2"/>
  <c r="AF109" i="2"/>
  <c r="AE109" i="2"/>
  <c r="AX108" i="2"/>
  <c r="AW108" i="2"/>
  <c r="AF108" i="2"/>
  <c r="AE108" i="2"/>
  <c r="AX107" i="2"/>
  <c r="AW107" i="2"/>
  <c r="AF107" i="2"/>
  <c r="AE107" i="2"/>
  <c r="AX106" i="2"/>
  <c r="AW106" i="2"/>
  <c r="AF106" i="2"/>
  <c r="AE106" i="2"/>
  <c r="AX105" i="2"/>
  <c r="AW105" i="2"/>
  <c r="AF105" i="2"/>
  <c r="AE105" i="2"/>
  <c r="AX104" i="2"/>
  <c r="AW104" i="2"/>
  <c r="AF104" i="2"/>
  <c r="AE104" i="2"/>
  <c r="AX103" i="2"/>
  <c r="AW103" i="2"/>
  <c r="AF103" i="2"/>
  <c r="AE103" i="2"/>
  <c r="AX102" i="2"/>
  <c r="AW102" i="2"/>
  <c r="AF102" i="2"/>
  <c r="AE102" i="2"/>
  <c r="AX101" i="2"/>
  <c r="AW101" i="2"/>
  <c r="AF101" i="2"/>
  <c r="AE101" i="2"/>
  <c r="AX100" i="2"/>
  <c r="AW100" i="2"/>
  <c r="AF100" i="2"/>
  <c r="AE100" i="2"/>
  <c r="AX99" i="2"/>
  <c r="AW99" i="2"/>
  <c r="AF99" i="2"/>
  <c r="AE99" i="2"/>
  <c r="AX98" i="2"/>
  <c r="AW98" i="2"/>
  <c r="AF98" i="2"/>
  <c r="AE98" i="2"/>
  <c r="AX97" i="2"/>
  <c r="AW97" i="2"/>
  <c r="AF97" i="2"/>
  <c r="AE97" i="2"/>
  <c r="AX96" i="2"/>
  <c r="AW96" i="2"/>
  <c r="AF96" i="2"/>
  <c r="AE96" i="2"/>
  <c r="AX95" i="2"/>
  <c r="AW95" i="2"/>
  <c r="AF95" i="2"/>
  <c r="AE95" i="2"/>
  <c r="AX94" i="2"/>
  <c r="AW94" i="2"/>
  <c r="AF94" i="2"/>
  <c r="AE94" i="2"/>
  <c r="AX93" i="2"/>
  <c r="AW93" i="2"/>
  <c r="AF93" i="2"/>
  <c r="AE93" i="2"/>
  <c r="AX92" i="2"/>
  <c r="AW92" i="2"/>
  <c r="AF92" i="2"/>
  <c r="AE92" i="2"/>
  <c r="AX91" i="2"/>
  <c r="AW91" i="2"/>
  <c r="AF91" i="2"/>
  <c r="AE91" i="2"/>
  <c r="AX90" i="2"/>
  <c r="AW90" i="2"/>
  <c r="AF90" i="2"/>
  <c r="AE90" i="2"/>
  <c r="AX89" i="2"/>
  <c r="AW89" i="2"/>
  <c r="AF89" i="2"/>
  <c r="AE89" i="2"/>
  <c r="AX88" i="2"/>
  <c r="AW88" i="2"/>
  <c r="AF88" i="2"/>
  <c r="AE88" i="2"/>
  <c r="AX87" i="2"/>
  <c r="AW87" i="2"/>
  <c r="AF87" i="2"/>
  <c r="AE87" i="2"/>
  <c r="AX86" i="2"/>
  <c r="AW86" i="2"/>
  <c r="AF86" i="2"/>
  <c r="AE86" i="2"/>
  <c r="AX85" i="2"/>
  <c r="AW85" i="2"/>
  <c r="AF85" i="2"/>
  <c r="AE85" i="2"/>
  <c r="AX84" i="2"/>
  <c r="AW84" i="2"/>
  <c r="AF84" i="2"/>
  <c r="AE84" i="2"/>
  <c r="AX83" i="2"/>
  <c r="AW83" i="2"/>
  <c r="AF83" i="2"/>
  <c r="AE83" i="2"/>
  <c r="AX82" i="2"/>
  <c r="AW82" i="2"/>
  <c r="AF82" i="2"/>
  <c r="AE82" i="2"/>
  <c r="AX81" i="2"/>
  <c r="AW81" i="2"/>
  <c r="AF81" i="2"/>
  <c r="AE81" i="2"/>
  <c r="AX80" i="2"/>
  <c r="AW80" i="2"/>
  <c r="AF80" i="2"/>
  <c r="AE80" i="2"/>
  <c r="AX79" i="2"/>
  <c r="AW79" i="2"/>
  <c r="AF79" i="2"/>
  <c r="AE79" i="2"/>
  <c r="AX78" i="2"/>
  <c r="AW78" i="2"/>
  <c r="AF78" i="2"/>
  <c r="AE78" i="2"/>
  <c r="AX77" i="2"/>
  <c r="AW77" i="2"/>
  <c r="AF77" i="2"/>
  <c r="AE77" i="2"/>
  <c r="AX76" i="2"/>
  <c r="AW76" i="2"/>
  <c r="AF76" i="2"/>
  <c r="AE76" i="2"/>
  <c r="AX75" i="2"/>
  <c r="AW75" i="2"/>
  <c r="AF75" i="2"/>
  <c r="AE75" i="2"/>
  <c r="AX74" i="2"/>
  <c r="AW74" i="2"/>
  <c r="AF74" i="2"/>
  <c r="AE74" i="2"/>
  <c r="AX73" i="2"/>
  <c r="AW73" i="2"/>
  <c r="AF73" i="2"/>
  <c r="AE73" i="2"/>
  <c r="AX72" i="2"/>
  <c r="AW72" i="2"/>
  <c r="AF72" i="2"/>
  <c r="AE72" i="2"/>
  <c r="BP71" i="2"/>
  <c r="BO71" i="2"/>
  <c r="AX71" i="2"/>
  <c r="AW71" i="2"/>
  <c r="AF71" i="2"/>
  <c r="AE71" i="2"/>
  <c r="BP70" i="2"/>
  <c r="BO70" i="2"/>
  <c r="AX70" i="2"/>
  <c r="AW70" i="2"/>
  <c r="AF70" i="2"/>
  <c r="AE70" i="2"/>
  <c r="BP69" i="2"/>
  <c r="BO69" i="2"/>
  <c r="AX69" i="2"/>
  <c r="AW69" i="2"/>
  <c r="AF69" i="2"/>
  <c r="AE69" i="2"/>
  <c r="BP68" i="2"/>
  <c r="BO68" i="2"/>
  <c r="AX68" i="2"/>
  <c r="AW68" i="2"/>
  <c r="AF68" i="2"/>
  <c r="AE68" i="2"/>
  <c r="BP67" i="2"/>
  <c r="BO67" i="2"/>
  <c r="AX67" i="2"/>
  <c r="AW67" i="2"/>
  <c r="AF67" i="2"/>
  <c r="AE67" i="2"/>
  <c r="BP66" i="2"/>
  <c r="BO66" i="2"/>
  <c r="AX66" i="2"/>
  <c r="AW66" i="2"/>
  <c r="AF66" i="2"/>
  <c r="AE66" i="2"/>
  <c r="BP65" i="2"/>
  <c r="BO65" i="2"/>
  <c r="AX65" i="2"/>
  <c r="AW65" i="2"/>
  <c r="AF65" i="2"/>
  <c r="AE65" i="2"/>
  <c r="BP64" i="2"/>
  <c r="BO64" i="2"/>
  <c r="AX64" i="2"/>
  <c r="AW64" i="2"/>
  <c r="AF64" i="2"/>
  <c r="AE64" i="2"/>
  <c r="BP63" i="2"/>
  <c r="BO63" i="2"/>
  <c r="AX63" i="2"/>
  <c r="AW63" i="2"/>
  <c r="AF63" i="2"/>
  <c r="AE63" i="2"/>
  <c r="BP62" i="2"/>
  <c r="BO62" i="2"/>
  <c r="AX62" i="2"/>
  <c r="AW62" i="2"/>
  <c r="AF62" i="2"/>
  <c r="AE62" i="2"/>
  <c r="BP61" i="2"/>
  <c r="BO61" i="2"/>
  <c r="AX61" i="2"/>
  <c r="AW61" i="2"/>
  <c r="AF61" i="2"/>
  <c r="AE61" i="2"/>
  <c r="BP60" i="2"/>
  <c r="BO60" i="2"/>
  <c r="AX60" i="2"/>
  <c r="AW60" i="2"/>
  <c r="AF60" i="2"/>
  <c r="AE60" i="2"/>
  <c r="BP59" i="2"/>
  <c r="BO59" i="2"/>
  <c r="AX59" i="2"/>
  <c r="AW59" i="2"/>
  <c r="AF59" i="2"/>
  <c r="AE59" i="2"/>
  <c r="BP58" i="2"/>
  <c r="BO58" i="2"/>
  <c r="AX58" i="2"/>
  <c r="AW58" i="2"/>
  <c r="AF58" i="2"/>
  <c r="AE58" i="2"/>
  <c r="BP57" i="2"/>
  <c r="BO57" i="2"/>
  <c r="AX57" i="2"/>
  <c r="AW57" i="2"/>
  <c r="AF57" i="2"/>
  <c r="AE57" i="2"/>
  <c r="BP56" i="2"/>
  <c r="BO56" i="2"/>
  <c r="AX56" i="2"/>
  <c r="AW56" i="2"/>
  <c r="AF56" i="2"/>
  <c r="AE56" i="2"/>
  <c r="N56" i="2"/>
  <c r="M56" i="2"/>
  <c r="BP55" i="2"/>
  <c r="BO55" i="2"/>
  <c r="AX55" i="2"/>
  <c r="AW55" i="2"/>
  <c r="AF55" i="2"/>
  <c r="AE55" i="2"/>
  <c r="N55" i="2"/>
  <c r="M55" i="2"/>
  <c r="BP54" i="2"/>
  <c r="BO54" i="2"/>
  <c r="AX54" i="2"/>
  <c r="AW54" i="2"/>
  <c r="AF54" i="2"/>
  <c r="AE54" i="2"/>
  <c r="N54" i="2"/>
  <c r="M54" i="2"/>
  <c r="BP53" i="2"/>
  <c r="BO53" i="2"/>
  <c r="AX53" i="2"/>
  <c r="AW53" i="2"/>
  <c r="AF53" i="2"/>
  <c r="AE53" i="2"/>
  <c r="N53" i="2"/>
  <c r="M53" i="2"/>
  <c r="BP52" i="2"/>
  <c r="BO52" i="2"/>
  <c r="AX52" i="2"/>
  <c r="AW52" i="2"/>
  <c r="AF52" i="2"/>
  <c r="AE52" i="2"/>
  <c r="N52" i="2"/>
  <c r="M52" i="2"/>
  <c r="BP51" i="2"/>
  <c r="BO51" i="2"/>
  <c r="AX51" i="2"/>
  <c r="AW51" i="2"/>
  <c r="AF51" i="2"/>
  <c r="AE51" i="2"/>
  <c r="N51" i="2"/>
  <c r="M51" i="2"/>
  <c r="BP50" i="2"/>
  <c r="BO50" i="2"/>
  <c r="AX50" i="2"/>
  <c r="AW50" i="2"/>
  <c r="AF50" i="2"/>
  <c r="AE50" i="2"/>
  <c r="N50" i="2"/>
  <c r="M50" i="2"/>
  <c r="BP49" i="2"/>
  <c r="BO49" i="2"/>
  <c r="AX49" i="2"/>
  <c r="AW49" i="2"/>
  <c r="AF49" i="2"/>
  <c r="AE49" i="2"/>
  <c r="N49" i="2"/>
  <c r="M49" i="2"/>
  <c r="BP48" i="2"/>
  <c r="BO48" i="2"/>
  <c r="AX48" i="2"/>
  <c r="AW48" i="2"/>
  <c r="AF48" i="2"/>
  <c r="AE48" i="2"/>
  <c r="N48" i="2"/>
  <c r="M48" i="2"/>
  <c r="BP47" i="2"/>
  <c r="BO47" i="2"/>
  <c r="AX47" i="2"/>
  <c r="AW47" i="2"/>
  <c r="AF47" i="2"/>
  <c r="AE47" i="2"/>
  <c r="N47" i="2"/>
  <c r="M47" i="2"/>
  <c r="BP46" i="2"/>
  <c r="BO46" i="2"/>
  <c r="AX46" i="2"/>
  <c r="AW46" i="2"/>
  <c r="AF46" i="2"/>
  <c r="AE46" i="2"/>
  <c r="N46" i="2"/>
  <c r="M46" i="2"/>
  <c r="BP45" i="2"/>
  <c r="BO45" i="2"/>
  <c r="AX45" i="2"/>
  <c r="AW45" i="2"/>
  <c r="AF45" i="2"/>
  <c r="AE45" i="2"/>
  <c r="N45" i="2"/>
  <c r="M45" i="2"/>
  <c r="BP44" i="2"/>
  <c r="BO44" i="2"/>
  <c r="AX44" i="2"/>
  <c r="AW44" i="2"/>
  <c r="AF44" i="2"/>
  <c r="AE44" i="2"/>
  <c r="N44" i="2"/>
  <c r="M44" i="2"/>
  <c r="BP43" i="2"/>
  <c r="BO43" i="2"/>
  <c r="AX43" i="2"/>
  <c r="AW43" i="2"/>
  <c r="AF43" i="2"/>
  <c r="AE43" i="2"/>
  <c r="N43" i="2"/>
  <c r="M43" i="2"/>
  <c r="BP42" i="2"/>
  <c r="BO42" i="2"/>
  <c r="AX42" i="2"/>
  <c r="AW42" i="2"/>
  <c r="AF42" i="2"/>
  <c r="AE42" i="2"/>
  <c r="N42" i="2"/>
  <c r="M42" i="2"/>
  <c r="BP41" i="2"/>
  <c r="BO41" i="2"/>
  <c r="AX41" i="2"/>
  <c r="AW41" i="2"/>
  <c r="AF41" i="2"/>
  <c r="AE41" i="2"/>
  <c r="N41" i="2"/>
  <c r="M41" i="2"/>
  <c r="BP40" i="2"/>
  <c r="BO40" i="2"/>
  <c r="AX40" i="2"/>
  <c r="AW40" i="2"/>
  <c r="AF40" i="2"/>
  <c r="AE40" i="2"/>
  <c r="N40" i="2"/>
  <c r="M40" i="2"/>
  <c r="BP39" i="2"/>
  <c r="BO39" i="2"/>
  <c r="AX39" i="2"/>
  <c r="AW39" i="2"/>
  <c r="AF39" i="2"/>
  <c r="AE39" i="2"/>
  <c r="N39" i="2"/>
  <c r="M39" i="2"/>
  <c r="BP38" i="2"/>
  <c r="BO38" i="2"/>
  <c r="AX38" i="2"/>
  <c r="AW38" i="2"/>
  <c r="AF38" i="2"/>
  <c r="AE38" i="2"/>
  <c r="N38" i="2"/>
  <c r="M38" i="2"/>
  <c r="BP37" i="2"/>
  <c r="BO37" i="2"/>
  <c r="AX37" i="2"/>
  <c r="AW37" i="2"/>
  <c r="AF37" i="2"/>
  <c r="AE37" i="2"/>
  <c r="N37" i="2"/>
  <c r="M37" i="2"/>
  <c r="BP36" i="2"/>
  <c r="BO36" i="2"/>
  <c r="AX36" i="2"/>
  <c r="AW36" i="2"/>
  <c r="AF36" i="2"/>
  <c r="AE36" i="2"/>
  <c r="N36" i="2"/>
  <c r="M36" i="2"/>
  <c r="BP35" i="2"/>
  <c r="BO35" i="2"/>
  <c r="AX35" i="2"/>
  <c r="AW35" i="2"/>
  <c r="AF35" i="2"/>
  <c r="AE35" i="2"/>
  <c r="N35" i="2"/>
  <c r="M35" i="2"/>
  <c r="BP34" i="2"/>
  <c r="BO34" i="2"/>
  <c r="AX34" i="2"/>
  <c r="AW34" i="2"/>
  <c r="AF34" i="2"/>
  <c r="AE34" i="2"/>
  <c r="N34" i="2"/>
  <c r="M34" i="2"/>
  <c r="BP33" i="2"/>
  <c r="BO33" i="2"/>
  <c r="AX33" i="2"/>
  <c r="AW33" i="2"/>
  <c r="AF33" i="2"/>
  <c r="AE33" i="2"/>
  <c r="N33" i="2"/>
  <c r="M33" i="2"/>
  <c r="BP32" i="2"/>
  <c r="BO32" i="2"/>
  <c r="AX32" i="2"/>
  <c r="AW32" i="2"/>
  <c r="AF32" i="2"/>
  <c r="AE32" i="2"/>
  <c r="N32" i="2"/>
  <c r="M32" i="2"/>
  <c r="BP31" i="2"/>
  <c r="BO31" i="2"/>
  <c r="AX31" i="2"/>
  <c r="AW31" i="2"/>
  <c r="AF31" i="2"/>
  <c r="AE31" i="2"/>
  <c r="N31" i="2"/>
  <c r="M31" i="2"/>
  <c r="BP30" i="2"/>
  <c r="BO30" i="2"/>
  <c r="AX30" i="2"/>
  <c r="AW30" i="2"/>
  <c r="AF30" i="2"/>
  <c r="AE30" i="2"/>
  <c r="N30" i="2"/>
  <c r="M30" i="2"/>
  <c r="BP29" i="2"/>
  <c r="BO29" i="2"/>
  <c r="AX29" i="2"/>
  <c r="AW29" i="2"/>
  <c r="AF29" i="2"/>
  <c r="AE29" i="2"/>
  <c r="N29" i="2"/>
  <c r="M29" i="2"/>
  <c r="BP28" i="2"/>
  <c r="BO28" i="2"/>
  <c r="AX28" i="2"/>
  <c r="AW28" i="2"/>
  <c r="AF28" i="2"/>
  <c r="AE28" i="2"/>
  <c r="N28" i="2"/>
  <c r="M28" i="2"/>
  <c r="BP27" i="2"/>
  <c r="BO27" i="2"/>
  <c r="AX27" i="2"/>
  <c r="AW27" i="2"/>
  <c r="AF27" i="2"/>
  <c r="AE27" i="2"/>
  <c r="N27" i="2"/>
  <c r="M27" i="2"/>
  <c r="BP26" i="2"/>
  <c r="BO26" i="2"/>
  <c r="AX26" i="2"/>
  <c r="AW26" i="2"/>
  <c r="AF26" i="2"/>
  <c r="AE26" i="2"/>
  <c r="N26" i="2"/>
  <c r="M26" i="2"/>
  <c r="BP25" i="2"/>
  <c r="BO25" i="2"/>
  <c r="AX25" i="2"/>
  <c r="AW25" i="2"/>
  <c r="AF25" i="2"/>
  <c r="AE25" i="2"/>
  <c r="N25" i="2"/>
  <c r="M25" i="2"/>
  <c r="BP24" i="2"/>
  <c r="BO24" i="2"/>
  <c r="AX24" i="2"/>
  <c r="AW24" i="2"/>
  <c r="AF24" i="2"/>
  <c r="AE24" i="2"/>
  <c r="N24" i="2"/>
  <c r="M24" i="2"/>
  <c r="BP23" i="2"/>
  <c r="BO23" i="2"/>
  <c r="AX23" i="2"/>
  <c r="AW23" i="2"/>
  <c r="AF23" i="2"/>
  <c r="AE23" i="2"/>
  <c r="N23" i="2"/>
  <c r="M23" i="2"/>
  <c r="BP22" i="2"/>
  <c r="BO22" i="2"/>
  <c r="AX22" i="2"/>
  <c r="AW22" i="2"/>
  <c r="AF22" i="2"/>
  <c r="AE22" i="2"/>
  <c r="N22" i="2"/>
  <c r="M22" i="2"/>
  <c r="BP21" i="2"/>
  <c r="BO21" i="2"/>
  <c r="AX21" i="2"/>
  <c r="AW21" i="2"/>
  <c r="AF21" i="2"/>
  <c r="AE21" i="2"/>
  <c r="N21" i="2"/>
  <c r="M21" i="2"/>
  <c r="BP20" i="2"/>
  <c r="BO20" i="2"/>
  <c r="AX20" i="2"/>
  <c r="AW20" i="2"/>
  <c r="AF20" i="2"/>
  <c r="AE20" i="2"/>
  <c r="N20" i="2"/>
  <c r="M20" i="2"/>
  <c r="BP19" i="2"/>
  <c r="BO19" i="2"/>
  <c r="AX19" i="2"/>
  <c r="AW19" i="2"/>
  <c r="AF19" i="2"/>
  <c r="AE19" i="2"/>
  <c r="N19" i="2"/>
  <c r="M19" i="2"/>
  <c r="BP18" i="2"/>
  <c r="BO18" i="2"/>
  <c r="AX18" i="2"/>
  <c r="AW18" i="2"/>
  <c r="AF18" i="2"/>
  <c r="AE18" i="2"/>
  <c r="N18" i="2"/>
  <c r="M18" i="2"/>
  <c r="BP17" i="2"/>
  <c r="BO17" i="2"/>
  <c r="AX17" i="2"/>
  <c r="AW17" i="2"/>
  <c r="AF17" i="2"/>
  <c r="AE17" i="2"/>
  <c r="N17" i="2"/>
  <c r="M17" i="2"/>
  <c r="BP16" i="2"/>
  <c r="BO16" i="2"/>
  <c r="AX16" i="2"/>
  <c r="AW16" i="2"/>
  <c r="AF16" i="2"/>
  <c r="AE16" i="2"/>
  <c r="N16" i="2"/>
  <c r="M16" i="2"/>
  <c r="BP15" i="2"/>
  <c r="BO15" i="2"/>
  <c r="AX15" i="2"/>
  <c r="AW15" i="2"/>
  <c r="AF15" i="2"/>
  <c r="AE15" i="2"/>
  <c r="N15" i="2"/>
  <c r="M15" i="2"/>
  <c r="BP14" i="2"/>
  <c r="BO14" i="2"/>
  <c r="AX14" i="2"/>
  <c r="AW14" i="2"/>
  <c r="AF14" i="2"/>
  <c r="AE14" i="2"/>
  <c r="N14" i="2"/>
  <c r="M14" i="2"/>
  <c r="BP13" i="2"/>
  <c r="BO13" i="2"/>
  <c r="AX13" i="2"/>
  <c r="AW13" i="2"/>
  <c r="AF13" i="2"/>
  <c r="AE13" i="2"/>
  <c r="N13" i="2"/>
  <c r="M13" i="2"/>
  <c r="BP12" i="2"/>
  <c r="BO12" i="2"/>
  <c r="AX12" i="2"/>
  <c r="AW12" i="2"/>
  <c r="AF12" i="2"/>
  <c r="AE12" i="2"/>
  <c r="N12" i="2"/>
  <c r="M12" i="2"/>
  <c r="BP11" i="2"/>
  <c r="BO11" i="2"/>
  <c r="AX11" i="2"/>
  <c r="AW11" i="2"/>
  <c r="AF11" i="2"/>
  <c r="AE11" i="2"/>
  <c r="N11" i="2"/>
  <c r="M11" i="2"/>
  <c r="BP10" i="2"/>
  <c r="BO10" i="2"/>
  <c r="AX10" i="2"/>
  <c r="AW10" i="2"/>
  <c r="AF10" i="2"/>
  <c r="AE10" i="2"/>
  <c r="N10" i="2"/>
  <c r="M10" i="2"/>
  <c r="BP9" i="2"/>
  <c r="BO9" i="2"/>
  <c r="AX9" i="2"/>
  <c r="AW9" i="2"/>
  <c r="AF9" i="2"/>
  <c r="AE9" i="2"/>
  <c r="N9" i="2"/>
  <c r="M9" i="2"/>
  <c r="BP8" i="2"/>
  <c r="BO8" i="2"/>
  <c r="AX8" i="2"/>
  <c r="AW8" i="2"/>
  <c r="AF8" i="2"/>
  <c r="AE8" i="2"/>
  <c r="N8" i="2"/>
  <c r="M8" i="2"/>
  <c r="BP7" i="2"/>
  <c r="BO7" i="2"/>
  <c r="AX7" i="2"/>
  <c r="AW7" i="2"/>
  <c r="AF7" i="2"/>
  <c r="AE7" i="2"/>
  <c r="N7" i="2"/>
  <c r="M7" i="2"/>
  <c r="BP6" i="2"/>
  <c r="BO6" i="2"/>
  <c r="AX6" i="2"/>
  <c r="AW6" i="2"/>
  <c r="AF6" i="2"/>
  <c r="AE6" i="2"/>
  <c r="N6" i="2"/>
  <c r="M6" i="2"/>
  <c r="BP5" i="2"/>
  <c r="BO5" i="2"/>
  <c r="AX5" i="2"/>
  <c r="AW5" i="2"/>
  <c r="AF5" i="2"/>
  <c r="AE5" i="2"/>
  <c r="N5" i="2"/>
  <c r="M5" i="2"/>
  <c r="BP4" i="2"/>
  <c r="BO4" i="2"/>
  <c r="AX4" i="2"/>
  <c r="AW4" i="2"/>
  <c r="AF4" i="2"/>
  <c r="AE4" i="2"/>
  <c r="N4" i="2"/>
  <c r="M4" i="2"/>
  <c r="BP3" i="2"/>
  <c r="BO3" i="2"/>
  <c r="AX3" i="2"/>
  <c r="AW3" i="2"/>
  <c r="AF3" i="2"/>
  <c r="AE3" i="2"/>
  <c r="N3" i="2"/>
  <c r="M3" i="2"/>
  <c r="BP2" i="2"/>
  <c r="BO2" i="2"/>
  <c r="AX2" i="2"/>
  <c r="AW2" i="2"/>
  <c r="AF2" i="2"/>
  <c r="AE2" i="2"/>
  <c r="N2" i="2"/>
  <c r="M2" i="2"/>
  <c r="B78" i="3" l="1"/>
  <c r="F78" i="3"/>
  <c r="H78" i="3" s="1"/>
  <c r="B3" i="3"/>
  <c r="B5" i="3" s="1"/>
  <c r="B24" i="4"/>
  <c r="B26" i="4" s="1"/>
  <c r="B37" i="3"/>
  <c r="B31" i="3"/>
  <c r="B36" i="3"/>
  <c r="B30" i="3"/>
  <c r="C40" i="3"/>
  <c r="B35" i="3"/>
  <c r="B40" i="3"/>
  <c r="C29" i="3"/>
  <c r="B29" i="3"/>
  <c r="B34" i="3"/>
  <c r="B39" i="3"/>
  <c r="B28" i="3"/>
  <c r="B33" i="3"/>
  <c r="B38" i="3"/>
  <c r="C32" i="3"/>
  <c r="B27" i="3"/>
  <c r="B32" i="3"/>
  <c r="B56" i="3"/>
  <c r="B45" i="3"/>
  <c r="B50" i="3"/>
  <c r="B55" i="3"/>
  <c r="B44" i="3"/>
  <c r="B49" i="3"/>
  <c r="B54" i="3"/>
  <c r="B59" i="3"/>
  <c r="B48" i="3"/>
  <c r="B53" i="3"/>
  <c r="B58" i="3"/>
  <c r="B47" i="3"/>
  <c r="C57" i="3"/>
  <c r="B52" i="3"/>
  <c r="B57" i="3"/>
  <c r="B46" i="3"/>
  <c r="B51" i="3"/>
  <c r="B64" i="3"/>
  <c r="C74" i="3"/>
  <c r="B69" i="3"/>
  <c r="B74" i="3"/>
  <c r="B63" i="3"/>
  <c r="B68" i="3"/>
  <c r="B73" i="3"/>
  <c r="C67" i="3"/>
  <c r="B67" i="3"/>
  <c r="B72" i="3"/>
  <c r="B66" i="3"/>
  <c r="B71" i="3"/>
  <c r="B65" i="3"/>
  <c r="B70" i="3"/>
  <c r="C23" i="3"/>
  <c r="B18" i="3"/>
  <c r="B23" i="3"/>
  <c r="C17" i="3"/>
  <c r="B17" i="3"/>
  <c r="B22" i="3"/>
  <c r="B16" i="3"/>
  <c r="B21" i="3"/>
  <c r="B20" i="3"/>
  <c r="B19" i="3"/>
  <c r="B12" i="3" l="1"/>
  <c r="D12" i="3" s="1"/>
  <c r="BQ66" i="2" s="1"/>
  <c r="B11" i="3"/>
  <c r="D11" i="3" s="1"/>
  <c r="B10" i="3"/>
  <c r="D10" i="3" s="1"/>
  <c r="AG14" i="2" s="1"/>
  <c r="B9" i="3"/>
  <c r="D9" i="3" s="1"/>
  <c r="O40" i="2" s="1"/>
  <c r="A78" i="3"/>
  <c r="AY133" i="2"/>
  <c r="AY58" i="2"/>
  <c r="BQ56" i="2"/>
  <c r="D17" i="3"/>
  <c r="BQ26" i="2"/>
  <c r="O22" i="2"/>
  <c r="BQ33" i="2"/>
  <c r="O32" i="2"/>
  <c r="BQ28" i="2"/>
  <c r="O23" i="2"/>
  <c r="D65" i="3"/>
  <c r="D74" i="3"/>
  <c r="D57" i="3"/>
  <c r="D29" i="3"/>
  <c r="D23" i="3"/>
  <c r="BQ35" i="2"/>
  <c r="O15" i="2"/>
  <c r="BQ5" i="2"/>
  <c r="C65" i="3" s="1"/>
  <c r="O45" i="2"/>
  <c r="BQ43" i="2"/>
  <c r="O18" i="2"/>
  <c r="BQ44" i="2"/>
  <c r="AY97" i="2"/>
  <c r="AY7" i="2"/>
  <c r="BQ14" i="2"/>
  <c r="AY68" i="2"/>
  <c r="AY157" i="2"/>
  <c r="AY94" i="2"/>
  <c r="AY114" i="2"/>
  <c r="AY76" i="2"/>
  <c r="O52" i="2"/>
  <c r="AY139" i="2"/>
  <c r="AY121" i="2"/>
  <c r="B25" i="4"/>
  <c r="O46" i="2"/>
  <c r="BQ61" i="2"/>
  <c r="D32" i="3"/>
  <c r="BQ34" i="2"/>
  <c r="D40" i="3"/>
  <c r="AG102" i="2"/>
  <c r="AG6" i="2"/>
  <c r="AG61" i="2"/>
  <c r="AY152" i="2"/>
  <c r="AY128" i="2"/>
  <c r="BQ32" i="2"/>
  <c r="AY67" i="2"/>
  <c r="AG41" i="2"/>
  <c r="AG139" i="2"/>
  <c r="AY101" i="2"/>
  <c r="AG135" i="2"/>
  <c r="BQ58" i="2"/>
  <c r="AY105" i="2"/>
  <c r="AY90" i="2"/>
  <c r="AY85" i="2"/>
  <c r="AY75" i="2"/>
  <c r="BQ25" i="2"/>
  <c r="BQ37" i="2"/>
  <c r="O13" i="2"/>
  <c r="C20" i="3" s="1"/>
  <c r="D20" i="3" s="1"/>
  <c r="O14" i="2"/>
  <c r="BQ18" i="2"/>
  <c r="AG120" i="2"/>
  <c r="BQ16" i="2"/>
  <c r="C69" i="3" s="1"/>
  <c r="D69" i="3" s="1"/>
  <c r="O19" i="2"/>
  <c r="AY16" i="2"/>
  <c r="AY21" i="2"/>
  <c r="AY24" i="2"/>
  <c r="BQ54" i="2"/>
  <c r="AG90" i="2"/>
  <c r="O2" i="2"/>
  <c r="C16" i="3" s="1"/>
  <c r="D16" i="3" s="1"/>
  <c r="AG29" i="2"/>
  <c r="BQ70" i="2"/>
  <c r="AG5" i="2"/>
  <c r="C28" i="3" s="1"/>
  <c r="D28" i="3" s="1"/>
  <c r="AY119" i="2"/>
  <c r="AY39" i="2"/>
  <c r="AG93" i="2"/>
  <c r="O25" i="2"/>
  <c r="AG26" i="2"/>
  <c r="AY123" i="2"/>
  <c r="O35" i="2"/>
  <c r="AY163" i="2"/>
  <c r="AY153" i="2"/>
  <c r="AG103" i="2"/>
  <c r="AY66" i="2"/>
  <c r="AG83" i="2"/>
  <c r="AG73" i="2"/>
  <c r="AY22" i="2"/>
  <c r="BQ8" i="2"/>
  <c r="BQ9" i="2"/>
  <c r="AY104" i="2"/>
  <c r="AY15" i="2"/>
  <c r="AY116" i="2"/>
  <c r="AY13" i="2"/>
  <c r="C48" i="3" s="1"/>
  <c r="D48" i="3" s="1"/>
  <c r="AY12" i="2"/>
  <c r="O7" i="2"/>
  <c r="O12" i="2"/>
  <c r="BQ11" i="2"/>
  <c r="AY79" i="2"/>
  <c r="AG64" i="2"/>
  <c r="AG9" i="2"/>
  <c r="AG33" i="2"/>
  <c r="AG49" i="2"/>
  <c r="AG75" i="2"/>
  <c r="AG126" i="2"/>
  <c r="BQ31" i="2"/>
  <c r="AG138" i="2"/>
  <c r="AY100" i="2"/>
  <c r="BQ64" i="2"/>
  <c r="AY80" i="2"/>
  <c r="AG71" i="2"/>
  <c r="O21" i="2"/>
  <c r="BQ3" i="2"/>
  <c r="AY17" i="2"/>
  <c r="AY111" i="2"/>
  <c r="O6" i="2"/>
  <c r="AG40" i="2"/>
  <c r="AG59" i="2"/>
  <c r="O11" i="2"/>
  <c r="AG134" i="2"/>
  <c r="AY145" i="2"/>
  <c r="AG130" i="2"/>
  <c r="O39" i="2"/>
  <c r="AG46" i="2"/>
  <c r="AG28" i="2"/>
  <c r="AG7" i="2"/>
  <c r="BQ55" i="2"/>
  <c r="AG55" i="2"/>
  <c r="AG42" i="2"/>
  <c r="AY8" i="2"/>
  <c r="AG118" i="2"/>
  <c r="AG68" i="2"/>
  <c r="AG11" i="2"/>
  <c r="G78" i="3"/>
  <c r="I78" i="3" s="1"/>
  <c r="C78" i="3"/>
  <c r="AY59" i="2"/>
  <c r="O41" i="2"/>
  <c r="O36" i="2"/>
  <c r="BQ40" i="2"/>
  <c r="AG115" i="2"/>
  <c r="BQ38" i="2"/>
  <c r="AG32" i="2"/>
  <c r="BQ39" i="2"/>
  <c r="O30" i="2"/>
  <c r="AG67" i="2"/>
  <c r="AY118" i="2"/>
  <c r="AY144" i="2"/>
  <c r="AG133" i="2"/>
  <c r="AG123" i="2"/>
  <c r="AY143" i="2"/>
  <c r="AY73" i="2"/>
  <c r="AG63" i="2"/>
  <c r="BQ59" i="2"/>
  <c r="O54" i="2"/>
  <c r="AY6" i="2"/>
  <c r="AY131" i="2"/>
  <c r="BQ4" i="2"/>
  <c r="C64" i="3" s="1"/>
  <c r="D64" i="3" s="1"/>
  <c r="O20" i="2"/>
  <c r="BQ2" i="2"/>
  <c r="C63" i="3" s="1"/>
  <c r="D63" i="3" s="1"/>
  <c r="AY36" i="2"/>
  <c r="AG87" i="2"/>
  <c r="BQ7" i="2"/>
  <c r="AG116" i="2"/>
  <c r="AY72" i="2"/>
  <c r="AG112" i="2"/>
  <c r="AY35" i="2"/>
  <c r="AG30" i="2"/>
  <c r="AY57" i="2"/>
  <c r="AG106" i="2"/>
  <c r="AG74" i="2"/>
  <c r="AG53" i="2"/>
  <c r="AG37" i="2"/>
  <c r="C37" i="3" s="1"/>
  <c r="D37" i="3" s="1"/>
  <c r="AG128" i="2"/>
  <c r="AG96" i="2"/>
  <c r="AG48" i="2"/>
  <c r="AG140" i="2"/>
  <c r="AG108" i="2"/>
  <c r="AG54" i="2"/>
  <c r="AG38" i="2"/>
  <c r="AG72" i="2"/>
  <c r="AG36" i="2"/>
  <c r="AG104" i="2"/>
  <c r="AG35" i="2"/>
  <c r="C36" i="3" s="1"/>
  <c r="D36" i="3" s="1"/>
  <c r="AG136" i="2"/>
  <c r="AG124" i="2"/>
  <c r="AG82" i="2"/>
  <c r="AG52" i="2"/>
  <c r="AG51" i="2"/>
  <c r="AG114" i="2"/>
  <c r="AY127" i="2"/>
  <c r="AY47" i="2"/>
  <c r="AY11" i="2"/>
  <c r="AG127" i="2"/>
  <c r="AY54" i="2"/>
  <c r="AY49" i="2"/>
  <c r="AY117" i="2"/>
  <c r="AY42" i="2"/>
  <c r="C53" i="3" s="1"/>
  <c r="D53" i="3" s="1"/>
  <c r="AY14" i="2"/>
  <c r="BQ12" i="2"/>
  <c r="BQ24" i="2"/>
  <c r="AY20" i="2"/>
  <c r="BQ13" i="2"/>
  <c r="BQ27" i="2"/>
  <c r="AG10" i="2"/>
  <c r="AY159" i="2"/>
  <c r="AY82" i="2"/>
  <c r="AY91" i="2"/>
  <c r="AY71" i="2"/>
  <c r="O48" i="2"/>
  <c r="AG58" i="2"/>
  <c r="BQ52" i="2"/>
  <c r="O5" i="2"/>
  <c r="AG110" i="2"/>
  <c r="O50" i="2"/>
  <c r="AG80" i="2"/>
  <c r="AY84" i="2"/>
  <c r="AY28" i="2"/>
  <c r="AY37" i="2"/>
  <c r="AY4" i="2"/>
  <c r="AG109" i="2"/>
  <c r="O31" i="2"/>
  <c r="AG88" i="2"/>
  <c r="O34" i="2"/>
  <c r="AG24" i="2"/>
  <c r="AG2" i="2"/>
  <c r="C27" i="3" s="1"/>
  <c r="D27" i="3" s="1"/>
  <c r="AG19" i="2"/>
  <c r="AG84" i="2"/>
  <c r="AY146" i="2"/>
  <c r="AY29" i="2"/>
  <c r="AG107" i="2"/>
  <c r="AY147" i="2"/>
  <c r="AG85" i="2"/>
  <c r="AY25" i="2"/>
  <c r="BQ17" i="2"/>
  <c r="AY141" i="2"/>
  <c r="AG94" i="2"/>
  <c r="AY32" i="2"/>
  <c r="AG92" i="2"/>
  <c r="BQ57" i="2"/>
  <c r="AY87" i="2"/>
  <c r="AY102" i="2"/>
  <c r="AY3" i="2"/>
  <c r="AY96" i="2"/>
  <c r="AY136" i="2"/>
  <c r="O44" i="2"/>
  <c r="AY70" i="2"/>
  <c r="BQ68" i="2"/>
  <c r="AY149" i="2"/>
  <c r="AY140" i="2"/>
  <c r="BQ49" i="2"/>
  <c r="AG89" i="2"/>
  <c r="AY113" i="2"/>
  <c r="AY103" i="2"/>
  <c r="AY93" i="2"/>
  <c r="AG113" i="2"/>
  <c r="BQ69" i="2"/>
  <c r="BQ46" i="2"/>
  <c r="AY56" i="2"/>
  <c r="AY51" i="2"/>
  <c r="O16" i="2"/>
  <c r="AY106" i="2"/>
  <c r="O4" i="2"/>
  <c r="C18" i="3" s="1"/>
  <c r="D18" i="3" s="1"/>
  <c r="AY109" i="2"/>
  <c r="AY26" i="2"/>
  <c r="BQ15" i="2"/>
  <c r="AY162" i="2"/>
  <c r="AY31" i="2"/>
  <c r="AG69" i="2"/>
  <c r="AY154" i="2"/>
  <c r="AY53" i="2"/>
  <c r="BQ30" i="2"/>
  <c r="AG22" i="2"/>
  <c r="AG31" i="2"/>
  <c r="AG17" i="2"/>
  <c r="AG57" i="2"/>
  <c r="BQ50" i="2"/>
  <c r="BQ45" i="2"/>
  <c r="AY55" i="2"/>
  <c r="BQ42" i="2"/>
  <c r="AY134" i="2"/>
  <c r="AY30" i="2"/>
  <c r="AY44" i="2"/>
  <c r="O42" i="2"/>
  <c r="AY137" i="2"/>
  <c r="AY122" i="2"/>
  <c r="AY107" i="2"/>
  <c r="AG56" i="2"/>
  <c r="O29" i="2"/>
  <c r="O24" i="2"/>
  <c r="O27" i="2"/>
  <c r="BQ29" i="2"/>
  <c r="AG76" i="2"/>
  <c r="O10" i="2"/>
  <c r="AY130" i="2"/>
  <c r="AY120" i="2"/>
  <c r="AY115" i="2"/>
  <c r="AY48" i="2"/>
  <c r="AY86" i="2"/>
  <c r="AG111" i="2"/>
  <c r="O53" i="2"/>
  <c r="AY45" i="2"/>
  <c r="O43" i="2"/>
  <c r="O38" i="2"/>
  <c r="AY9" i="2"/>
  <c r="AG86" i="2"/>
  <c r="AY142" i="2"/>
  <c r="AY69" i="2"/>
  <c r="AY10" i="2"/>
  <c r="O3" i="2"/>
  <c r="AY155" i="2"/>
  <c r="AG119" i="2"/>
  <c r="AY62" i="2"/>
  <c r="AG141" i="2"/>
  <c r="AY2" i="2"/>
  <c r="C44" i="3" s="1"/>
  <c r="D44" i="3" s="1"/>
  <c r="AY27" i="2"/>
  <c r="AG18" i="2"/>
  <c r="AG13" i="2"/>
  <c r="AY150" i="2"/>
  <c r="AG77" i="2"/>
  <c r="AG23" i="2"/>
  <c r="AG39" i="2"/>
  <c r="AY135" i="2"/>
  <c r="AY125" i="2"/>
  <c r="AY148" i="2"/>
  <c r="O51" i="2"/>
  <c r="AG101" i="2"/>
  <c r="AG91" i="2"/>
  <c r="AY110" i="2"/>
  <c r="AY124" i="2"/>
  <c r="BQ63" i="2"/>
  <c r="AY108" i="2"/>
  <c r="AY98" i="2"/>
  <c r="AY88" i="2"/>
  <c r="AY83" i="2"/>
  <c r="BQ51" i="2"/>
  <c r="AY64" i="2"/>
  <c r="BQ41" i="2"/>
  <c r="BQ36" i="2"/>
  <c r="O8" i="2"/>
  <c r="AY65" i="2"/>
  <c r="AY138" i="2"/>
  <c r="BQ62" i="2"/>
  <c r="AY160" i="2"/>
  <c r="BQ10" i="2"/>
  <c r="AG78" i="2"/>
  <c r="AY34" i="2"/>
  <c r="BQ53" i="2"/>
  <c r="AY126" i="2"/>
  <c r="AG129" i="2"/>
  <c r="O26" i="2"/>
  <c r="AG16" i="2"/>
  <c r="AG34" i="2"/>
  <c r="C35" i="3" s="1"/>
  <c r="D35" i="3" s="1"/>
  <c r="AG21" i="2"/>
  <c r="C31" i="3" s="1"/>
  <c r="D31" i="3" s="1"/>
  <c r="AG27" i="2"/>
  <c r="AG131" i="2"/>
  <c r="AY43" i="2"/>
  <c r="AG125" i="2"/>
  <c r="AG95" i="2"/>
  <c r="AY95" i="2"/>
  <c r="AG105" i="2"/>
  <c r="AG44" i="2"/>
  <c r="BQ20" i="2"/>
  <c r="O28" i="2"/>
  <c r="BQ23" i="2"/>
  <c r="C72" i="3" s="1"/>
  <c r="D72" i="3" s="1"/>
  <c r="BQ21" i="2"/>
  <c r="C71" i="3" s="1"/>
  <c r="D71" i="3" s="1"/>
  <c r="BQ65" i="2"/>
  <c r="BQ6" i="2"/>
  <c r="AG99" i="2"/>
  <c r="AY41" i="2"/>
  <c r="AY132" i="2"/>
  <c r="AG100" i="2"/>
  <c r="AY38" i="2"/>
  <c r="BQ71" i="2"/>
  <c r="AG65" i="2"/>
  <c r="AG81" i="2"/>
  <c r="AY129" i="2"/>
  <c r="AY50" i="2"/>
  <c r="BQ47" i="2"/>
  <c r="AY40" i="2"/>
  <c r="AY92" i="2"/>
  <c r="AG50" i="2"/>
  <c r="BQ60" i="2"/>
  <c r="AY99" i="2"/>
  <c r="O56" i="2"/>
  <c r="O55" i="2"/>
  <c r="AG98" i="2"/>
  <c r="AY74" i="2"/>
  <c r="AY18" i="2"/>
  <c r="BQ48" i="2"/>
  <c r="AY77" i="2"/>
  <c r="BQ19" i="2"/>
  <c r="C70" i="3" s="1"/>
  <c r="D70" i="3" s="1"/>
  <c r="BQ22" i="2"/>
  <c r="AG8" i="2"/>
  <c r="AG20" i="2"/>
  <c r="AG25" i="2"/>
  <c r="C33" i="3" s="1"/>
  <c r="D33" i="3" s="1"/>
  <c r="AG47" i="2"/>
  <c r="AG122" i="2"/>
  <c r="AG43" i="2"/>
  <c r="AY61" i="2"/>
  <c r="AG97" i="2"/>
  <c r="AG15" i="2"/>
  <c r="O33" i="2"/>
  <c r="AG132" i="2"/>
  <c r="AY112" i="2"/>
  <c r="AY164" i="2"/>
  <c r="AG121" i="2"/>
  <c r="BQ67" i="2"/>
  <c r="AG62" i="2"/>
  <c r="AY81" i="2"/>
  <c r="AY46" i="2"/>
  <c r="AY60" i="2"/>
  <c r="AG79" i="2"/>
  <c r="AG70" i="2"/>
  <c r="AY63" i="2"/>
  <c r="AY78" i="2"/>
  <c r="D67" i="3"/>
  <c r="AY156" i="2"/>
  <c r="O37" i="2"/>
  <c r="AY161" i="2"/>
  <c r="AY151" i="2"/>
  <c r="AG66" i="2"/>
  <c r="AG45" i="2"/>
  <c r="AY52" i="2"/>
  <c r="AY89" i="2"/>
  <c r="AY33" i="2"/>
  <c r="AY5" i="2"/>
  <c r="C45" i="3" s="1"/>
  <c r="D45" i="3" s="1"/>
  <c r="O17" i="2"/>
  <c r="C21" i="3" s="1"/>
  <c r="D21" i="3" s="1"/>
  <c r="AG60" i="2"/>
  <c r="O9" i="2"/>
  <c r="AY23" i="2"/>
  <c r="AY158" i="2"/>
  <c r="AY19" i="2"/>
  <c r="AG4" i="2"/>
  <c r="AG12" i="2"/>
  <c r="AG3" i="2"/>
  <c r="C46" i="3" l="1"/>
  <c r="D46" i="3" s="1"/>
  <c r="C49" i="3"/>
  <c r="D49" i="3" s="1"/>
  <c r="C47" i="3"/>
  <c r="D47" i="3" s="1"/>
  <c r="C58" i="3"/>
  <c r="D58" i="3" s="1"/>
  <c r="C66" i="3"/>
  <c r="D66" i="3" s="1"/>
  <c r="AG117" i="2"/>
  <c r="AG137" i="2"/>
  <c r="C38" i="3"/>
  <c r="D38" i="3" s="1"/>
  <c r="C54" i="3"/>
  <c r="D54" i="3" s="1"/>
  <c r="C52" i="3"/>
  <c r="D52" i="3" s="1"/>
  <c r="C19" i="3"/>
  <c r="D19" i="3" s="1"/>
  <c r="C68" i="3"/>
  <c r="D68" i="3" s="1"/>
  <c r="C50" i="3"/>
  <c r="D50" i="3" s="1"/>
  <c r="O47" i="2"/>
  <c r="AY166" i="2"/>
  <c r="AY165" i="2"/>
  <c r="C59" i="3"/>
  <c r="D59" i="3" s="1"/>
  <c r="C56" i="3"/>
  <c r="D56" i="3" s="1"/>
  <c r="O49" i="2"/>
  <c r="C55" i="3"/>
  <c r="D55" i="3" s="1"/>
  <c r="C30" i="3"/>
  <c r="D30" i="3" s="1"/>
  <c r="C34" i="3"/>
  <c r="D34" i="3" s="1"/>
  <c r="C39" i="3"/>
  <c r="D39" i="3" s="1"/>
  <c r="C73" i="3"/>
  <c r="D73" i="3" s="1"/>
  <c r="C51" i="3"/>
  <c r="D51" i="3" s="1"/>
  <c r="C22" i="3"/>
  <c r="D22" i="3" s="1"/>
  <c r="J78" i="3"/>
  <c r="BS46" i="2" l="1"/>
  <c r="Q18" i="2"/>
  <c r="AI8" i="2"/>
  <c r="AI127" i="2"/>
  <c r="BS17" i="2"/>
  <c r="BA51" i="2"/>
  <c r="BA104" i="2"/>
  <c r="BS42" i="2"/>
  <c r="AI12" i="2"/>
  <c r="AI37" i="2"/>
  <c r="AI126" i="2"/>
  <c r="BA41" i="2"/>
  <c r="AI2" i="2"/>
  <c r="AI65" i="2"/>
  <c r="BS18" i="2"/>
  <c r="BA124" i="2"/>
  <c r="BA9" i="2"/>
  <c r="AI63" i="2"/>
  <c r="BS53" i="2"/>
  <c r="Q24" i="2"/>
  <c r="AI115" i="2"/>
  <c r="AI51" i="2"/>
  <c r="BA137" i="2"/>
  <c r="AI140" i="2"/>
  <c r="AI53" i="2"/>
  <c r="BS49" i="2"/>
  <c r="BA92" i="2"/>
  <c r="AI3" i="2"/>
  <c r="AI30" i="2"/>
  <c r="BS20" i="2"/>
  <c r="AI113" i="2"/>
  <c r="Q16" i="2"/>
  <c r="AI136" i="2"/>
  <c r="BA132" i="2"/>
  <c r="AI69" i="2"/>
  <c r="AI105" i="2"/>
  <c r="BS31" i="2"/>
  <c r="AI100" i="2"/>
  <c r="AI86" i="2"/>
  <c r="BA49" i="2"/>
  <c r="AI81" i="2"/>
  <c r="BA83" i="2"/>
  <c r="AI124" i="2"/>
  <c r="BA36" i="2"/>
  <c r="AI7" i="2"/>
  <c r="BA153" i="2"/>
  <c r="Q44" i="2"/>
  <c r="BS68" i="2"/>
  <c r="AI66" i="2"/>
  <c r="BA87" i="2"/>
  <c r="BS3" i="2"/>
  <c r="AI77" i="2"/>
  <c r="BS39" i="2"/>
  <c r="BA38" i="2"/>
  <c r="BA10" i="2"/>
  <c r="AI25" i="2"/>
  <c r="BA106" i="2"/>
  <c r="AI119" i="2"/>
  <c r="BS4" i="2"/>
  <c r="Q34" i="2"/>
  <c r="AI18" i="2"/>
  <c r="AI64" i="2"/>
  <c r="AI72" i="2"/>
  <c r="Q55" i="2"/>
  <c r="Q42" i="2"/>
  <c r="BS55" i="2"/>
  <c r="AI130" i="2"/>
  <c r="Q56" i="2"/>
  <c r="AI128" i="2"/>
  <c r="BS52" i="2"/>
  <c r="BA131" i="2"/>
  <c r="BS54" i="2"/>
  <c r="BA42" i="2"/>
  <c r="BS48" i="2"/>
  <c r="BA119" i="2"/>
  <c r="BA161" i="2"/>
  <c r="Q53" i="2"/>
  <c r="BA120" i="2"/>
  <c r="BA61" i="2"/>
  <c r="BA84" i="2"/>
  <c r="BA21" i="2"/>
  <c r="BA46" i="2"/>
  <c r="BA24" i="2"/>
  <c r="AI89" i="2"/>
  <c r="BS70" i="2"/>
  <c r="BA142" i="2"/>
  <c r="AI92" i="2"/>
  <c r="AI47" i="2"/>
  <c r="BA28" i="2"/>
  <c r="BA11" i="2"/>
  <c r="AI26" i="2"/>
  <c r="AI111" i="2"/>
  <c r="BA147" i="2"/>
  <c r="Q41" i="2"/>
  <c r="BA81" i="2"/>
  <c r="BS29" i="2"/>
  <c r="BA3" i="2"/>
  <c r="AI117" i="2"/>
  <c r="AI114" i="2"/>
  <c r="AI110" i="2"/>
  <c r="BS24" i="2"/>
  <c r="AI91" i="2"/>
  <c r="AI20" i="2"/>
  <c r="AI32" i="2"/>
  <c r="AI10" i="2"/>
  <c r="BS15" i="2"/>
  <c r="Q54" i="2"/>
  <c r="BA134" i="2"/>
  <c r="BS67" i="2"/>
  <c r="Q8" i="2"/>
  <c r="BA72" i="2"/>
  <c r="BA135" i="2"/>
  <c r="BA33" i="2"/>
  <c r="BA22" i="2"/>
  <c r="BA43" i="2"/>
  <c r="BS8" i="2"/>
  <c r="BS6" i="2"/>
  <c r="AI90" i="2"/>
  <c r="BA103" i="2"/>
  <c r="BA74" i="2"/>
  <c r="BS51" i="2"/>
  <c r="BA71" i="2"/>
  <c r="AI102" i="2"/>
  <c r="BA2" i="2"/>
  <c r="BA77" i="2"/>
  <c r="BA73" i="2"/>
  <c r="BA52" i="2"/>
  <c r="BA66" i="2"/>
  <c r="BA53" i="2"/>
  <c r="BA20" i="2"/>
  <c r="AI23" i="2"/>
  <c r="BA146" i="2"/>
  <c r="BS65" i="2"/>
  <c r="BA150" i="2"/>
  <c r="BA26" i="2"/>
  <c r="Q48" i="2"/>
  <c r="AI103" i="2"/>
  <c r="BA155" i="2"/>
  <c r="BA160" i="2"/>
  <c r="BA129" i="2"/>
  <c r="BS12" i="2"/>
  <c r="Q9" i="2"/>
  <c r="BS19" i="2"/>
  <c r="Q51" i="2"/>
  <c r="AI33" i="2"/>
  <c r="AI16" i="2"/>
  <c r="AI84" i="2"/>
  <c r="BA50" i="2"/>
  <c r="Q3" i="2"/>
  <c r="AI61" i="2"/>
  <c r="AI40" i="2"/>
  <c r="BA117" i="2"/>
  <c r="AI49" i="2"/>
  <c r="AI45" i="2"/>
  <c r="BA69" i="2"/>
  <c r="BA162" i="2"/>
  <c r="BA16" i="2"/>
  <c r="BA23" i="2"/>
  <c r="AI24" i="2"/>
  <c r="Q14" i="2"/>
  <c r="BA110" i="2"/>
  <c r="AI55" i="2"/>
  <c r="BA35" i="2"/>
  <c r="BS10" i="2"/>
  <c r="BA37" i="2"/>
  <c r="BA122" i="2"/>
  <c r="BA105" i="2"/>
  <c r="AI96" i="2"/>
  <c r="BA136" i="2"/>
  <c r="BA82" i="2"/>
  <c r="Q12" i="2"/>
  <c r="AI129" i="2"/>
  <c r="AI137" i="2"/>
  <c r="AI43" i="2"/>
  <c r="BA79" i="2"/>
  <c r="AI93" i="2"/>
  <c r="AI21" i="2"/>
  <c r="AI106" i="2"/>
  <c r="AI42" i="2"/>
  <c r="BA164" i="2"/>
  <c r="BS25" i="2"/>
  <c r="BA14" i="2"/>
  <c r="AI68" i="2"/>
  <c r="BA108" i="2"/>
  <c r="AI59" i="2"/>
  <c r="BA89" i="2"/>
  <c r="BA128" i="2"/>
  <c r="BA30" i="2"/>
  <c r="AI82" i="2"/>
  <c r="AI9" i="2"/>
  <c r="BS57" i="2"/>
  <c r="BA39" i="2"/>
  <c r="BS62" i="2"/>
  <c r="AI57" i="2"/>
  <c r="AI104" i="2"/>
  <c r="BS59" i="2"/>
  <c r="AI15" i="2"/>
  <c r="BA45" i="2"/>
  <c r="BS13" i="2"/>
  <c r="AI76" i="2"/>
  <c r="AI14" i="2"/>
  <c r="BS35" i="2"/>
  <c r="BA97" i="2"/>
  <c r="Q32" i="2"/>
  <c r="Q15" i="2"/>
  <c r="Q40" i="2"/>
  <c r="Q52" i="2"/>
  <c r="BA139" i="2"/>
  <c r="BA121" i="2"/>
  <c r="BA114" i="2"/>
  <c r="BA76" i="2"/>
  <c r="BA166" i="2"/>
  <c r="BS34" i="2"/>
  <c r="Q47" i="2"/>
  <c r="Q22" i="2"/>
  <c r="Q49" i="2"/>
  <c r="BS26" i="2"/>
  <c r="Q45" i="2"/>
  <c r="BS66" i="2"/>
  <c r="BA94" i="2"/>
  <c r="BS5" i="2"/>
  <c r="BA165" i="2"/>
  <c r="BA58" i="2"/>
  <c r="BS61" i="2"/>
  <c r="BS14" i="2"/>
  <c r="Q46" i="2"/>
  <c r="BS33" i="2"/>
  <c r="BS28" i="2"/>
  <c r="BA157" i="2"/>
  <c r="Q23" i="2"/>
  <c r="BA7" i="2"/>
  <c r="BS43" i="2"/>
  <c r="BS44" i="2"/>
  <c r="BA133" i="2"/>
  <c r="BA68" i="2"/>
  <c r="BS56" i="2"/>
  <c r="BS64" i="2"/>
  <c r="AI121" i="2"/>
  <c r="BA67" i="2"/>
  <c r="AI116" i="2"/>
  <c r="BA149" i="2"/>
  <c r="BS11" i="2"/>
  <c r="BS45" i="2"/>
  <c r="BA47" i="2"/>
  <c r="AI131" i="2"/>
  <c r="BA115" i="2"/>
  <c r="BA90" i="2"/>
  <c r="Q2" i="2"/>
  <c r="BS30" i="2"/>
  <c r="BA140" i="2"/>
  <c r="BS23" i="2"/>
  <c r="AI29" i="2"/>
  <c r="BA98" i="2"/>
  <c r="AI87" i="2"/>
  <c r="AI135" i="2"/>
  <c r="AI11" i="2"/>
  <c r="Q5" i="2"/>
  <c r="BS37" i="2"/>
  <c r="BA48" i="2"/>
  <c r="AI31" i="2"/>
  <c r="BS50" i="2"/>
  <c r="BA93" i="2"/>
  <c r="BA15" i="2"/>
  <c r="AI62" i="2"/>
  <c r="AI97" i="2"/>
  <c r="BA54" i="2"/>
  <c r="BS69" i="2"/>
  <c r="AI41" i="2"/>
  <c r="BA27" i="2"/>
  <c r="AI39" i="2"/>
  <c r="Q28" i="2"/>
  <c r="AI22" i="2"/>
  <c r="AI50" i="2"/>
  <c r="BA95" i="2"/>
  <c r="AI123" i="2"/>
  <c r="Q36" i="2"/>
  <c r="BA32" i="2"/>
  <c r="AI85" i="2"/>
  <c r="AI60" i="2"/>
  <c r="AI27" i="2"/>
  <c r="AI107" i="2"/>
  <c r="BA91" i="2"/>
  <c r="BA75" i="2"/>
  <c r="BA55" i="2"/>
  <c r="BA130" i="2"/>
  <c r="AI78" i="2"/>
  <c r="BS47" i="2"/>
  <c r="BS36" i="2"/>
  <c r="BA118" i="2"/>
  <c r="BS22" i="2"/>
  <c r="AI74" i="2"/>
  <c r="AI73" i="2"/>
  <c r="AI34" i="2"/>
  <c r="BA163" i="2"/>
  <c r="AI108" i="2"/>
  <c r="BA56" i="2"/>
  <c r="AI133" i="2"/>
  <c r="AI98" i="2"/>
  <c r="AI5" i="2"/>
  <c r="BA62" i="2"/>
  <c r="BA18" i="2"/>
  <c r="BA64" i="2"/>
  <c r="BA31" i="2"/>
  <c r="BA145" i="2"/>
  <c r="BA57" i="2"/>
  <c r="BA17" i="2"/>
  <c r="AI58" i="2"/>
  <c r="AI125" i="2"/>
  <c r="AI120" i="2"/>
  <c r="BS63" i="2"/>
  <c r="AI139" i="2"/>
  <c r="BA101" i="2"/>
  <c r="AI56" i="2"/>
  <c r="BA4" i="2"/>
  <c r="BA88" i="2"/>
  <c r="AI6" i="2"/>
  <c r="AI88" i="2"/>
  <c r="BA29" i="2"/>
  <c r="BA19" i="2"/>
  <c r="AI109" i="2"/>
  <c r="BS60" i="2"/>
  <c r="BA141" i="2"/>
  <c r="AI35" i="2"/>
  <c r="Q20" i="2"/>
  <c r="AI46" i="2"/>
  <c r="AI67" i="2"/>
  <c r="BS41" i="2"/>
  <c r="BA125" i="2"/>
  <c r="Q33" i="2"/>
  <c r="AI122" i="2"/>
  <c r="Q6" i="2"/>
  <c r="BA40" i="2"/>
  <c r="AI80" i="2"/>
  <c r="BA159" i="2"/>
  <c r="Q17" i="2"/>
  <c r="BS7" i="2"/>
  <c r="AI79" i="2"/>
  <c r="BS9" i="2"/>
  <c r="AI101" i="2"/>
  <c r="BA152" i="2"/>
  <c r="BA156" i="2"/>
  <c r="BA44" i="2"/>
  <c r="BA59" i="2"/>
  <c r="Q43" i="2"/>
  <c r="BA25" i="2"/>
  <c r="AI19" i="2"/>
  <c r="BS71" i="2"/>
  <c r="Q25" i="2"/>
  <c r="BA100" i="2"/>
  <c r="BS16" i="2"/>
  <c r="Q19" i="2"/>
  <c r="Q38" i="2"/>
  <c r="BA113" i="2"/>
  <c r="AI28" i="2"/>
  <c r="Q4" i="2"/>
  <c r="AI134" i="2"/>
  <c r="BA112" i="2"/>
  <c r="BA143" i="2"/>
  <c r="BA78" i="2"/>
  <c r="BA99" i="2"/>
  <c r="AI83" i="2"/>
  <c r="BA111" i="2"/>
  <c r="BA8" i="2"/>
  <c r="BS2" i="2"/>
  <c r="AI71" i="2"/>
  <c r="AI132" i="2"/>
  <c r="AI52" i="2"/>
  <c r="AI75" i="2"/>
  <c r="BA6" i="2"/>
  <c r="BS32" i="2"/>
  <c r="BA86" i="2"/>
  <c r="AI112" i="2"/>
  <c r="BA60" i="2"/>
  <c r="Q26" i="2"/>
  <c r="BA102" i="2"/>
  <c r="BA80" i="2"/>
  <c r="BA13" i="2"/>
  <c r="BA96" i="2"/>
  <c r="BS40" i="2"/>
  <c r="BA123" i="2"/>
  <c r="AI13" i="2"/>
  <c r="AI70" i="2"/>
  <c r="Q39" i="2"/>
  <c r="AI44" i="2"/>
  <c r="BA138" i="2"/>
  <c r="Q30" i="2"/>
  <c r="AI38" i="2"/>
  <c r="BA63" i="2"/>
  <c r="Q27" i="2"/>
  <c r="BA116" i="2"/>
  <c r="Q10" i="2"/>
  <c r="BA151" i="2"/>
  <c r="BA109" i="2"/>
  <c r="AI4" i="2"/>
  <c r="BA12" i="2"/>
  <c r="BA85" i="2"/>
  <c r="Q35" i="2"/>
  <c r="AI48" i="2"/>
  <c r="Q37" i="2"/>
  <c r="AI118" i="2"/>
  <c r="BA126" i="2"/>
  <c r="Q31" i="2"/>
  <c r="AI54" i="2"/>
  <c r="BS38" i="2"/>
  <c r="BA65" i="2"/>
  <c r="BS27" i="2"/>
  <c r="BS21" i="2"/>
  <c r="BA70" i="2"/>
  <c r="BA144" i="2"/>
  <c r="BA148" i="2"/>
  <c r="Q21" i="2"/>
  <c r="AI94" i="2"/>
  <c r="BS58" i="2"/>
  <c r="BA127" i="2"/>
  <c r="Q29" i="2"/>
  <c r="Q11" i="2"/>
  <c r="AI99" i="2"/>
  <c r="AI17" i="2"/>
  <c r="Q13" i="2"/>
  <c r="AI141" i="2"/>
  <c r="AI36" i="2"/>
  <c r="BA5" i="2"/>
  <c r="BA158" i="2"/>
  <c r="BA154" i="2"/>
  <c r="Q50" i="2"/>
  <c r="AI138" i="2"/>
  <c r="AI95" i="2"/>
  <c r="BA107" i="2"/>
  <c r="Q7" i="2"/>
  <c r="BA34" i="2"/>
</calcChain>
</file>

<file path=xl/sharedStrings.xml><?xml version="1.0" encoding="utf-8"?>
<sst xmlns="http://schemas.openxmlformats.org/spreadsheetml/2006/main" count="1005" uniqueCount="532">
  <si>
    <t>League Setup</t>
  </si>
  <si>
    <t>Starting Budget ($)</t>
  </si>
  <si>
    <t>Number of Teams</t>
  </si>
  <si>
    <t>Roster Shape (fixed for now)</t>
  </si>
  <si>
    <t>1 QB / 2 RB / 2 WR / 1 TE / 1 FLEX / 1 DEF / 1 K / 6 Bench</t>
  </si>
  <si>
    <t>Budget and Number of Teams are both fully live — change either and every value on the Draft Board updates automatically. Team count is restricted to 8, 10, 12, 14, 16 because those are the only team counts with real market-data calibration behind them (see CLAUDE.md) — picking anything else would silently give wrong numbers, not just an error. Roster shape isn't editable yet for the same reason: it's also tied to the current calibration.</t>
  </si>
  <si>
    <t>Player</t>
  </si>
  <si>
    <t>Team</t>
  </si>
  <si>
    <t>Tier (8T)</t>
  </si>
  <si>
    <t>Weighted VORP (8T)</t>
  </si>
  <si>
    <t>Tier (10T)</t>
  </si>
  <si>
    <t>Weighted VORP (10T)</t>
  </si>
  <si>
    <t>Tier (12T)</t>
  </si>
  <si>
    <t>Weighted VORP (12T)</t>
  </si>
  <si>
    <t>Tier (14T)</t>
  </si>
  <si>
    <t>Weighted VORP (14T)</t>
  </si>
  <si>
    <t>Tier (16T)</t>
  </si>
  <si>
    <t>Weighted VORP (16T)</t>
  </si>
  <si>
    <t>Tier (active)</t>
  </si>
  <si>
    <t>Weighted VORP (active)</t>
  </si>
  <si>
    <t>Static Value ($)</t>
  </si>
  <si>
    <t>Price Paid ($)</t>
  </si>
  <si>
    <t>Live Value ($)</t>
  </si>
  <si>
    <t>Josh Allen</t>
  </si>
  <si>
    <t>BUF</t>
  </si>
  <si>
    <t>Jahmyr Gibbs</t>
  </si>
  <si>
    <t>DET</t>
  </si>
  <si>
    <t>Puka Nacua</t>
  </si>
  <si>
    <t>LAR</t>
  </si>
  <si>
    <t>Trey McBride</t>
  </si>
  <si>
    <t>ARI</t>
  </si>
  <si>
    <t>Lamar Jackson</t>
  </si>
  <si>
    <t>BAL</t>
  </si>
  <si>
    <t>Bijan Robinson</t>
  </si>
  <si>
    <t>ATL</t>
  </si>
  <si>
    <t>Ja'Marr Chase</t>
  </si>
  <si>
    <t>CIN</t>
  </si>
  <si>
    <t>Brock Bowers</t>
  </si>
  <si>
    <t>LV</t>
  </si>
  <si>
    <t>Drake Maye</t>
  </si>
  <si>
    <t>NE</t>
  </si>
  <si>
    <t>Christian McCaffrey</t>
  </si>
  <si>
    <t>SF</t>
  </si>
  <si>
    <t>Jaxon Smith-Njigba</t>
  </si>
  <si>
    <t>SEA</t>
  </si>
  <si>
    <t>Colston Loveland</t>
  </si>
  <si>
    <t>CHI</t>
  </si>
  <si>
    <t>Jayden Daniels</t>
  </si>
  <si>
    <t>WAS</t>
  </si>
  <si>
    <t>Jonathan Taylor</t>
  </si>
  <si>
    <t>IND</t>
  </si>
  <si>
    <t>Amon-Ra St. Brown</t>
  </si>
  <si>
    <t>Tyler Warren</t>
  </si>
  <si>
    <t>Jalen Hurts</t>
  </si>
  <si>
    <t>PHI</t>
  </si>
  <si>
    <t>James Cook III</t>
  </si>
  <si>
    <t>CeeDee Lamb</t>
  </si>
  <si>
    <t>DAL</t>
  </si>
  <si>
    <t>Harold Fannin Jr.</t>
  </si>
  <si>
    <t>CLE</t>
  </si>
  <si>
    <t>Joe Burrow</t>
  </si>
  <si>
    <t>De'Von Achane</t>
  </si>
  <si>
    <t>MIA</t>
  </si>
  <si>
    <t>Drake London</t>
  </si>
  <si>
    <t>Tucker Kraft</t>
  </si>
  <si>
    <t>GB</t>
  </si>
  <si>
    <t>Jaxson Dart</t>
  </si>
  <si>
    <t>NYG</t>
  </si>
  <si>
    <t>Ashton Jeanty</t>
  </si>
  <si>
    <t>Justin Jefferson</t>
  </si>
  <si>
    <t>MIN</t>
  </si>
  <si>
    <t>Sam LaPorta</t>
  </si>
  <si>
    <t>Caleb Williams</t>
  </si>
  <si>
    <t>Saquon Barkley</t>
  </si>
  <si>
    <t>A.J. Brown</t>
  </si>
  <si>
    <t>Kyle Pitts Sr.</t>
  </si>
  <si>
    <t>Dak Prescott</t>
  </si>
  <si>
    <t>Derrick Henry</t>
  </si>
  <si>
    <t>George Pickens</t>
  </si>
  <si>
    <t>Travis Kelce</t>
  </si>
  <si>
    <t>KC</t>
  </si>
  <si>
    <t>Trevor Lawrence</t>
  </si>
  <si>
    <t>JAC</t>
  </si>
  <si>
    <t>Chase Brown</t>
  </si>
  <si>
    <t>Nico Collins</t>
  </si>
  <si>
    <t>HOU</t>
  </si>
  <si>
    <t>Mark Andrews</t>
  </si>
  <si>
    <t>Justin Herbert</t>
  </si>
  <si>
    <t>LAC</t>
  </si>
  <si>
    <t>Omarion Hampton</t>
  </si>
  <si>
    <t>Rashee Rice</t>
  </si>
  <si>
    <t>George Kittle</t>
  </si>
  <si>
    <t>Patrick Mahomes</t>
  </si>
  <si>
    <t>Kenneth Walker III</t>
  </si>
  <si>
    <t>Chris Olave</t>
  </si>
  <si>
    <t>NO</t>
  </si>
  <si>
    <t>Dallas Goedert</t>
  </si>
  <si>
    <t>Brock Purdy</t>
  </si>
  <si>
    <t>Josh Jacobs</t>
  </si>
  <si>
    <t>Zay Flowers</t>
  </si>
  <si>
    <t>Dalton Kincaid</t>
  </si>
  <si>
    <t>Bo Nix</t>
  </si>
  <si>
    <t>DEN</t>
  </si>
  <si>
    <t>Jeremiyah Love</t>
  </si>
  <si>
    <t>DeVonta Smith</t>
  </si>
  <si>
    <t>Jake Ferguson</t>
  </si>
  <si>
    <t>Matthew Stafford</t>
  </si>
  <si>
    <t>Breece Hall</t>
  </si>
  <si>
    <t>NYJ</t>
  </si>
  <si>
    <t>Tee Higgins</t>
  </si>
  <si>
    <t>Isaiah Likely</t>
  </si>
  <si>
    <t>Jared Goff</t>
  </si>
  <si>
    <t>Kyren Williams</t>
  </si>
  <si>
    <t>Garrett Wilson</t>
  </si>
  <si>
    <t>Hunter Henry</t>
  </si>
  <si>
    <t>Kyler Murray</t>
  </si>
  <si>
    <t>Javonte Williams</t>
  </si>
  <si>
    <t>Malik Nabers</t>
  </si>
  <si>
    <t>Juwan Johnson</t>
  </si>
  <si>
    <t>Baker Mayfield</t>
  </si>
  <si>
    <t>TB</t>
  </si>
  <si>
    <t>Travis Etienne Jr.</t>
  </si>
  <si>
    <t>Tetairoa McMillan</t>
  </si>
  <si>
    <t>CAR</t>
  </si>
  <si>
    <t>Brenton Strange</t>
  </si>
  <si>
    <t>Tyler Shough</t>
  </si>
  <si>
    <t>Cam Skattebo</t>
  </si>
  <si>
    <t>Davante Adams</t>
  </si>
  <si>
    <t>Dalton Schultz</t>
  </si>
  <si>
    <t>Jordan Love</t>
  </si>
  <si>
    <t>D'Andre Swift</t>
  </si>
  <si>
    <t>Terry McLaurin</t>
  </si>
  <si>
    <t>Oronde Gadsden II</t>
  </si>
  <si>
    <t>C.J. Stroud</t>
  </si>
  <si>
    <t>Bucky Irving</t>
  </si>
  <si>
    <t>Jaylen Waddle</t>
  </si>
  <si>
    <t>Kenyon Sadiq</t>
  </si>
  <si>
    <t>Malik Willis</t>
  </si>
  <si>
    <t>Quinshon Judkins</t>
  </si>
  <si>
    <t>Ladd McConkey</t>
  </si>
  <si>
    <t>T.J. Hockenson</t>
  </si>
  <si>
    <t>Sam Darnold</t>
  </si>
  <si>
    <t>David Montgomery</t>
  </si>
  <si>
    <t>Jameson Williams</t>
  </si>
  <si>
    <t>Chig Okonkwo</t>
  </si>
  <si>
    <t>Daniel Jones</t>
  </si>
  <si>
    <t>Bhayshul Tuten</t>
  </si>
  <si>
    <t>Emeka Egbuka</t>
  </si>
  <si>
    <t>Connor Heyward</t>
  </si>
  <si>
    <t>Bryce Young</t>
  </si>
  <si>
    <t>TreVeyon Henderson</t>
  </si>
  <si>
    <t>Luther Burden III</t>
  </si>
  <si>
    <t>Riley Nowakowski</t>
  </si>
  <si>
    <t>PIT</t>
  </si>
  <si>
    <t>Cam Ward</t>
  </si>
  <si>
    <t>TEN</t>
  </si>
  <si>
    <t>Jaylen Warren</t>
  </si>
  <si>
    <t>Christian Watson</t>
  </si>
  <si>
    <t>Max Bredeson</t>
  </si>
  <si>
    <t>Jacoby Brissett</t>
  </si>
  <si>
    <t>Chuba Hubbard</t>
  </si>
  <si>
    <t>Rome Odunze</t>
  </si>
  <si>
    <t>AJ Barner</t>
  </si>
  <si>
    <t>Geno Smith</t>
  </si>
  <si>
    <t>Rhamondre Stevenson</t>
  </si>
  <si>
    <t>Mike Evans</t>
  </si>
  <si>
    <t>Pat Freiermuth</t>
  </si>
  <si>
    <t>Aaron Rodgers</t>
  </si>
  <si>
    <t>Tony Pollard</t>
  </si>
  <si>
    <t>D.J. Moore</t>
  </si>
  <si>
    <t>Cade Otton</t>
  </si>
  <si>
    <t>Fernando Mendoza</t>
  </si>
  <si>
    <t>Jadarian Price</t>
  </si>
  <si>
    <t>Alec Pierce</t>
  </si>
  <si>
    <t>Gunnar Helm</t>
  </si>
  <si>
    <t>Deshaun Watson</t>
  </si>
  <si>
    <t>Rico Dowdle</t>
  </si>
  <si>
    <t>D.K. Metcalf</t>
  </si>
  <si>
    <t>Greg Dulcich</t>
  </si>
  <si>
    <t>Tua Tagovailoa</t>
  </si>
  <si>
    <t>J.K. Dobbins</t>
  </si>
  <si>
    <t>Carnell Tate</t>
  </si>
  <si>
    <t>David Njoku</t>
  </si>
  <si>
    <t>Michael Penix Jr.</t>
  </si>
  <si>
    <t>RJ Harvey</t>
  </si>
  <si>
    <t>Courtland Sutton</t>
  </si>
  <si>
    <t>Mike Gesicki</t>
  </si>
  <si>
    <t>Shedeur Sanders</t>
  </si>
  <si>
    <t>Kyle Monangai</t>
  </si>
  <si>
    <t>Marvin Harrison Jr.</t>
  </si>
  <si>
    <t>Terrance Ferguson</t>
  </si>
  <si>
    <t>Kirk Cousins</t>
  </si>
  <si>
    <t>Aaron Jones Sr.</t>
  </si>
  <si>
    <t>Parker Washington</t>
  </si>
  <si>
    <t>Evan Engram</t>
  </si>
  <si>
    <t>J.J. McCarthy</t>
  </si>
  <si>
    <t>Rachaad White</t>
  </si>
  <si>
    <t>Jordyn Tyson</t>
  </si>
  <si>
    <t>Colby Parkinson</t>
  </si>
  <si>
    <t>Carson Beck</t>
  </si>
  <si>
    <t>Blake Corum</t>
  </si>
  <si>
    <t>Brian Thomas Jr.</t>
  </si>
  <si>
    <t>Darnell Washington</t>
  </si>
  <si>
    <t>Taylen Green</t>
  </si>
  <si>
    <t>Kenny Gainwell</t>
  </si>
  <si>
    <t>Chris Godwin Jr.</t>
  </si>
  <si>
    <t>Mason Taylor</t>
  </si>
  <si>
    <t>Mac Jones</t>
  </si>
  <si>
    <t>Jacory Croskey-Merritt</t>
  </si>
  <si>
    <t>Jakobi Meyers</t>
  </si>
  <si>
    <t>Michael Mayer</t>
  </si>
  <si>
    <t>Justin Fields</t>
  </si>
  <si>
    <t>Jordan Mason</t>
  </si>
  <si>
    <t>Michael Wilson</t>
  </si>
  <si>
    <t>Eli Stowers</t>
  </si>
  <si>
    <t>Anthony Richardson Sr.</t>
  </si>
  <si>
    <t>Jonathon Brooks</t>
  </si>
  <si>
    <t>Michael Pittman Jr.</t>
  </si>
  <si>
    <t>Dawson Knox</t>
  </si>
  <si>
    <t>Jameis Winston</t>
  </si>
  <si>
    <t>Tyrone Tracy Jr.</t>
  </si>
  <si>
    <t>Jayden Reed</t>
  </si>
  <si>
    <t>Darren Waller</t>
  </si>
  <si>
    <t>Marcus Mariota</t>
  </si>
  <si>
    <t>Chris Rodriguez Jr.</t>
  </si>
  <si>
    <t>Quentin Johnston</t>
  </si>
  <si>
    <t>Theo Johnson</t>
  </si>
  <si>
    <t>Davis Mills</t>
  </si>
  <si>
    <t>Tyjae Spears</t>
  </si>
  <si>
    <t>Jordan Addison</t>
  </si>
  <si>
    <t>Cole Kmet</t>
  </si>
  <si>
    <t>Spencer Rattler</t>
  </si>
  <si>
    <t>Isiah Pacheco</t>
  </si>
  <si>
    <t>Josh Downs</t>
  </si>
  <si>
    <t>Jonnu Smith</t>
  </si>
  <si>
    <t>FA</t>
  </si>
  <si>
    <t>Riley Leonard</t>
  </si>
  <si>
    <t>Woody Marks</t>
  </si>
  <si>
    <t>Wan'Dale Robinson</t>
  </si>
  <si>
    <t>Ja'Tavion Sanders</t>
  </si>
  <si>
    <t>Ty Simpson</t>
  </si>
  <si>
    <t>Zach Charbonnet</t>
  </si>
  <si>
    <t>Ricky Pearsall</t>
  </si>
  <si>
    <t>Tyler Higbee</t>
  </si>
  <si>
    <t>Cade Klubnik</t>
  </si>
  <si>
    <t>Tyler Allgeier</t>
  </si>
  <si>
    <t>Makai Lemon</t>
  </si>
  <si>
    <t>Elijah Arroyo</t>
  </si>
  <si>
    <t>Joe Flacco</t>
  </si>
  <si>
    <t>Dylan Sampson</t>
  </si>
  <si>
    <t>Xavier Worthy</t>
  </si>
  <si>
    <t>Jake Tonges</t>
  </si>
  <si>
    <t>Tyrod Taylor</t>
  </si>
  <si>
    <t>Brian Robinson Jr.</t>
  </si>
  <si>
    <t>Romeo Doubs</t>
  </si>
  <si>
    <t>Noah Gray</t>
  </si>
  <si>
    <t>Joe Milton III</t>
  </si>
  <si>
    <t>Alvin Kamara</t>
  </si>
  <si>
    <t>Khalil Shakir</t>
  </si>
  <si>
    <t>Tommy Tremble</t>
  </si>
  <si>
    <t>Mason Rudolph</t>
  </si>
  <si>
    <t>Keaton Mitchell</t>
  </si>
  <si>
    <t>Jayden Higgins</t>
  </si>
  <si>
    <t>Josh Oliver</t>
  </si>
  <si>
    <t>Tyson Bagent</t>
  </si>
  <si>
    <t>Jonah Coleman</t>
  </si>
  <si>
    <t>Matthew Golden</t>
  </si>
  <si>
    <t>Taysom Hill</t>
  </si>
  <si>
    <t>Gardner Minshew II</t>
  </si>
  <si>
    <t>Braelon Allen</t>
  </si>
  <si>
    <t>Jalen Coker</t>
  </si>
  <si>
    <t>Noah Fant</t>
  </si>
  <si>
    <t>Tyler Huntley</t>
  </si>
  <si>
    <t>Justice Hill</t>
  </si>
  <si>
    <t>Stefon Diggs</t>
  </si>
  <si>
    <t>Erick All Jr.</t>
  </si>
  <si>
    <t>Samaje Perine</t>
  </si>
  <si>
    <t>Rashid Shaheed</t>
  </si>
  <si>
    <t>Austin Hooper</t>
  </si>
  <si>
    <t>Mike Washington Jr.</t>
  </si>
  <si>
    <t>KC Concepcion</t>
  </si>
  <si>
    <t>Eli Raridon</t>
  </si>
  <si>
    <t>Ty Johnson</t>
  </si>
  <si>
    <t>Omar Cooper Jr.</t>
  </si>
  <si>
    <t>Charlie Kolar</t>
  </si>
  <si>
    <t>Tank Bigsby</t>
  </si>
  <si>
    <t>Tre Tucker</t>
  </si>
  <si>
    <t>Brock Wright</t>
  </si>
  <si>
    <t>Emmett Johnson</t>
  </si>
  <si>
    <t>Jerry Jeudy</t>
  </si>
  <si>
    <t>Luke Musgrave</t>
  </si>
  <si>
    <t>Emanuel Wilson</t>
  </si>
  <si>
    <t>Deebo Samuel</t>
  </si>
  <si>
    <t>Max Klare</t>
  </si>
  <si>
    <t>Ray Davis</t>
  </si>
  <si>
    <t>Jauan Jennings</t>
  </si>
  <si>
    <t>Mitchell Evans</t>
  </si>
  <si>
    <t>Kimani Vidal</t>
  </si>
  <si>
    <t>Jalen McMillan</t>
  </si>
  <si>
    <t>Daniel Bellinger</t>
  </si>
  <si>
    <t>Sean Tucker</t>
  </si>
  <si>
    <t>Denzel Boston</t>
  </si>
  <si>
    <t>Elijah Higgins</t>
  </si>
  <si>
    <t>Jordan James</t>
  </si>
  <si>
    <t>Calvin Ridley</t>
  </si>
  <si>
    <t>Will Kacmarek</t>
  </si>
  <si>
    <t>Kaytron Allen</t>
  </si>
  <si>
    <t>Jalen Nailor</t>
  </si>
  <si>
    <t>Adam Trautman</t>
  </si>
  <si>
    <t>James Conner</t>
  </si>
  <si>
    <t>Antonio Williams</t>
  </si>
  <si>
    <t>Justin Joly</t>
  </si>
  <si>
    <t>Jaylen Wright</t>
  </si>
  <si>
    <t>Adonai Mitchell</t>
  </si>
  <si>
    <t>Oscar Delp</t>
  </si>
  <si>
    <t>Kaelon Black</t>
  </si>
  <si>
    <t>Ryan Flournoy</t>
  </si>
  <si>
    <t>Nate Boerkircher</t>
  </si>
  <si>
    <t>MarShawn Lloyd</t>
  </si>
  <si>
    <t>Germie Bernard</t>
  </si>
  <si>
    <t>Ben Sinnott</t>
  </si>
  <si>
    <t>Nicholas Singleton</t>
  </si>
  <si>
    <t>Brandon Aiyuk</t>
  </si>
  <si>
    <t>Chris Brooks</t>
  </si>
  <si>
    <t>Malik Washington</t>
  </si>
  <si>
    <t>Jaydon Blue</t>
  </si>
  <si>
    <t>Travis Hunter</t>
  </si>
  <si>
    <t>Najee Harris</t>
  </si>
  <si>
    <t>Kayshon Boutte</t>
  </si>
  <si>
    <t>Isaiah Davis</t>
  </si>
  <si>
    <t>Tre' Harris</t>
  </si>
  <si>
    <t>Emari Demercado</t>
  </si>
  <si>
    <t>Isaac TeSlaa</t>
  </si>
  <si>
    <t>Brashard Smith</t>
  </si>
  <si>
    <t>Rashod Bateman</t>
  </si>
  <si>
    <t>Nick Chubb</t>
  </si>
  <si>
    <t>Cooper Kupp</t>
  </si>
  <si>
    <t>DJ Giddens</t>
  </si>
  <si>
    <t>Darnell Mooney</t>
  </si>
  <si>
    <t>George Holani</t>
  </si>
  <si>
    <t>Tank Dell</t>
  </si>
  <si>
    <t>Adam Randall</t>
  </si>
  <si>
    <t>Jaylin Noel</t>
  </si>
  <si>
    <t>Ollie Gordon II</t>
  </si>
  <si>
    <t>Keenan Allen</t>
  </si>
  <si>
    <t>Joe Mixon</t>
  </si>
  <si>
    <t>Troy Franklin</t>
  </si>
  <si>
    <t>Malik Davis</t>
  </si>
  <si>
    <t>Tyreek Hill</t>
  </si>
  <si>
    <t>Demond Claiborne</t>
  </si>
  <si>
    <t>Pat Bryant</t>
  </si>
  <si>
    <t>LeQuint Allen Jr.</t>
  </si>
  <si>
    <t>Tyquan Thornton</t>
  </si>
  <si>
    <t>Devin Singletary</t>
  </si>
  <si>
    <t>Darius Slayton</t>
  </si>
  <si>
    <t>Kareem Hunt</t>
  </si>
  <si>
    <t>Jack Bech</t>
  </si>
  <si>
    <t>Kendre Miller</t>
  </si>
  <si>
    <t>Dontayvion Wicks</t>
  </si>
  <si>
    <t>Kyle Juszczyk</t>
  </si>
  <si>
    <t>Chris Bell</t>
  </si>
  <si>
    <t>AJ Dillon</t>
  </si>
  <si>
    <t>Andrei Iosivas</t>
  </si>
  <si>
    <t>Austin Ekeler</t>
  </si>
  <si>
    <t>De'Zhaun Stribling</t>
  </si>
  <si>
    <t>Trey Benson</t>
  </si>
  <si>
    <t>Zachariah Branch</t>
  </si>
  <si>
    <t>Antonio Gibson</t>
  </si>
  <si>
    <t>Marquise Brown</t>
  </si>
  <si>
    <t>Devin Neal</t>
  </si>
  <si>
    <t>Devaughn Vele</t>
  </si>
  <si>
    <t>Kaleb Johnson</t>
  </si>
  <si>
    <t>Christian Kirk</t>
  </si>
  <si>
    <t>Jerome Ford</t>
  </si>
  <si>
    <t>Tory Horton</t>
  </si>
  <si>
    <t>Jeremy McNichols</t>
  </si>
  <si>
    <t>Elijah Sarratt</t>
  </si>
  <si>
    <t>Seth McGowan</t>
  </si>
  <si>
    <t>Marvin Mims Jr.</t>
  </si>
  <si>
    <t>Jawhar Jordan</t>
  </si>
  <si>
    <t>KaVontae Turpin</t>
  </si>
  <si>
    <t>Will Shipley</t>
  </si>
  <si>
    <t>Ja'Kobi Lane</t>
  </si>
  <si>
    <t>Hunter Luepke</t>
  </si>
  <si>
    <t>Caleb Douglas</t>
  </si>
  <si>
    <t>Eli Heidenreich</t>
  </si>
  <si>
    <t>Jahan Dotson</t>
  </si>
  <si>
    <t>Tahj Brooks</t>
  </si>
  <si>
    <t>Chris Brazzell II</t>
  </si>
  <si>
    <t>Phil Mafah</t>
  </si>
  <si>
    <t>Keon Coleman</t>
  </si>
  <si>
    <t>Miles Sanders</t>
  </si>
  <si>
    <t>Jalen Tolbert</t>
  </si>
  <si>
    <t>Raheim Sanders</t>
  </si>
  <si>
    <t>Kendrick Bourne</t>
  </si>
  <si>
    <t>Rasheen Ali</t>
  </si>
  <si>
    <t>Chimere Dike</t>
  </si>
  <si>
    <t>Audric Estime</t>
  </si>
  <si>
    <t>Elic Ayomanor</t>
  </si>
  <si>
    <t>Trevor Etienne</t>
  </si>
  <si>
    <t>Ashton Dulin</t>
  </si>
  <si>
    <t>Alexander Mattison</t>
  </si>
  <si>
    <t>Olamide Zaccheaus</t>
  </si>
  <si>
    <t>Zavier Scott</t>
  </si>
  <si>
    <t>Xavier Legette</t>
  </si>
  <si>
    <t>Ty Chandler</t>
  </si>
  <si>
    <t>Hollywood Brown</t>
  </si>
  <si>
    <t>Isaac Guerendo</t>
  </si>
  <si>
    <t>Malachi Fields</t>
  </si>
  <si>
    <t>Jam Miller</t>
  </si>
  <si>
    <t>Ted Hurst III</t>
  </si>
  <si>
    <t>Dean Connors</t>
  </si>
  <si>
    <t>Mack Hollins</t>
  </si>
  <si>
    <t>J'Mari Taylor</t>
  </si>
  <si>
    <t>Tutu Atwell</t>
  </si>
  <si>
    <t>Roschon Johnson</t>
  </si>
  <si>
    <t>Josh Palmer</t>
  </si>
  <si>
    <t>Michael Carter</t>
  </si>
  <si>
    <t>John Metchie III</t>
  </si>
  <si>
    <t>Tyler Goodson</t>
  </si>
  <si>
    <t>Skyler Bell</t>
  </si>
  <si>
    <t>Jaleel McLaughlin</t>
  </si>
  <si>
    <t>Kyle Williams</t>
  </si>
  <si>
    <t>Jarquez Hunter</t>
  </si>
  <si>
    <t>DeMario Douglas</t>
  </si>
  <si>
    <t>Raheem Mostert</t>
  </si>
  <si>
    <t>Brenen Thompson</t>
  </si>
  <si>
    <t>Elijah Mitchell</t>
  </si>
  <si>
    <t>Dyami Brown</t>
  </si>
  <si>
    <t>Ronnie Rivers</t>
  </si>
  <si>
    <t>Treylon Burks</t>
  </si>
  <si>
    <t>Jaydn Ott</t>
  </si>
  <si>
    <t>Kalif Raymond</t>
  </si>
  <si>
    <t>Dare Ogunbowale</t>
  </si>
  <si>
    <t>Xavier Hutchinson</t>
  </si>
  <si>
    <t>Kenny McIntosh</t>
  </si>
  <si>
    <t>Nick Westbrook-Ikhine</t>
  </si>
  <si>
    <t>Tyler Badie</t>
  </si>
  <si>
    <t>Savion Williams</t>
  </si>
  <si>
    <t>Carlos Washington Jr.</t>
  </si>
  <si>
    <t>Theo Wease Jr.</t>
  </si>
  <si>
    <t>Frank Gore Jr.</t>
  </si>
  <si>
    <t>Luke McCaffrey</t>
  </si>
  <si>
    <t>Ameer Abdullah</t>
  </si>
  <si>
    <t>Devontez Walker</t>
  </si>
  <si>
    <t>Pierre Strong Jr.</t>
  </si>
  <si>
    <t>Calvin Austin III</t>
  </si>
  <si>
    <t>Brittain Brown</t>
  </si>
  <si>
    <t>Jaylin Lane</t>
  </si>
  <si>
    <t>Robert Henry Jr.</t>
  </si>
  <si>
    <t>Van Jefferson</t>
  </si>
  <si>
    <t>Jaret Patterson</t>
  </si>
  <si>
    <t>Curtis Samuel</t>
  </si>
  <si>
    <t>Israel Abanikanda</t>
  </si>
  <si>
    <t>Jalen Royals</t>
  </si>
  <si>
    <t>Desmond Reid</t>
  </si>
  <si>
    <t>DeAndre Hopkins</t>
  </si>
  <si>
    <t>Andrew Beck</t>
  </si>
  <si>
    <t>Tez Johnson</t>
  </si>
  <si>
    <t>Bam Knight</t>
  </si>
  <si>
    <t>Isaiah Bond</t>
  </si>
  <si>
    <t>Tyler Lockett</t>
  </si>
  <si>
    <t>Demarcus Robinson</t>
  </si>
  <si>
    <t>Jordan Whittington</t>
  </si>
  <si>
    <t>Zavion Thomas</t>
  </si>
  <si>
    <t>Bryce Lance</t>
  </si>
  <si>
    <t>Kevin Coleman Jr.</t>
  </si>
  <si>
    <t>Cedric Tillman</t>
  </si>
  <si>
    <t>Konata Mumpfield</t>
  </si>
  <si>
    <t>Noah Brown</t>
  </si>
  <si>
    <t>Bub Means</t>
  </si>
  <si>
    <t>Jahdae Walker</t>
  </si>
  <si>
    <t>Greg Dortch</t>
  </si>
  <si>
    <t>Dont'e Thornton Jr.</t>
  </si>
  <si>
    <t>Sterling Shepard</t>
  </si>
  <si>
    <t>Noah Thomas</t>
  </si>
  <si>
    <t>Eric McAlister</t>
  </si>
  <si>
    <t>Deion Burks</t>
  </si>
  <si>
    <t>Mitch Tinsley</t>
  </si>
  <si>
    <t>Hunter Renfrow</t>
  </si>
  <si>
    <t>Roman Wilson</t>
  </si>
  <si>
    <t>Brandin Cooks</t>
  </si>
  <si>
    <t>Jimmy Horn Jr.</t>
  </si>
  <si>
    <t>Xavier Smith</t>
  </si>
  <si>
    <t>Isaiah Williams</t>
  </si>
  <si>
    <t>KeAndre Lambert-Smith</t>
  </si>
  <si>
    <t>$ SETUP (driven by Setup!Teams and Setup!Budget)</t>
  </si>
  <si>
    <t>Total Teams</t>
  </si>
  <si>
    <t>Total Roster Spots</t>
  </si>
  <si>
    <t>Total Money ($)</t>
  </si>
  <si>
    <t>Total Discretionary ($)</t>
  </si>
  <si>
    <t>POSITION RATES</t>
  </si>
  <si>
    <t>Position</t>
  </si>
  <si>
    <t>Discretionary $</t>
  </si>
  <si>
    <t>Total Weighted VORP</t>
  </si>
  <si>
    <t>Rate</t>
  </si>
  <si>
    <t>QB</t>
  </si>
  <si>
    <t>RB</t>
  </si>
  <si>
    <t>WR</t>
  </si>
  <si>
    <t>TE</t>
  </si>
  <si>
    <t>QB tiers</t>
  </si>
  <si>
    <t>Tier</t>
  </si>
  <si>
    <t>Drafted Price Sum</t>
  </si>
  <si>
    <t>Drafted Static Sum</t>
  </si>
  <si>
    <t>Tier Factor</t>
  </si>
  <si>
    <t>RB tiers</t>
  </si>
  <si>
    <t>WR tiers</t>
  </si>
  <si>
    <t>TE tiers</t>
  </si>
  <si>
    <t>GLOBAL (whole draft)</t>
  </si>
  <si>
    <t>Initial Discretionary $</t>
  </si>
  <si>
    <t>Initial Weighted VORP</t>
  </si>
  <si>
    <t>Initial Rate</t>
  </si>
  <si>
    <t>Drafted $ (all positions)</t>
  </si>
  <si>
    <t>Drafted Count (all positions)</t>
  </si>
  <si>
    <t>Drafted Weighted VORP (all positions)</t>
  </si>
  <si>
    <t>Remaining Discretionary $</t>
  </si>
  <si>
    <t>Remaining Weighted VORP</t>
  </si>
  <si>
    <t>Current Rate</t>
  </si>
  <si>
    <t>Depletion Factor</t>
  </si>
  <si>
    <t>Roster Slot</t>
  </si>
  <si>
    <t>FLEX (RB/WR/TE)</t>
  </si>
  <si>
    <t>DEF</t>
  </si>
  <si>
    <t>K</t>
  </si>
  <si>
    <t>Bench</t>
  </si>
  <si>
    <t>Total Budget ($)</t>
  </si>
  <si>
    <t>Roster Spots (total)</t>
  </si>
  <si>
    <t>Spots Filled</t>
  </si>
  <si>
    <t>Spots Remaining</t>
  </si>
  <si>
    <t>Total Spent ($)</t>
  </si>
  <si>
    <t>Money Remaining ($)</t>
  </si>
  <si>
    <t>Max Bid on Next Player ($)</t>
  </si>
  <si>
    <t>Avg $ per Remaining Spot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</si>
</sst>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3"/>
      <name val="Calibri"/>
    </font>
    <font>
      <b/>
      <sz val="11"/>
      <name val="Calibri"/>
    </font>
    <font>
      <i/>
      <sz val="11"/>
      <name val="Calibri"/>
    </font>
  </fonts>
  <fills count="7">
    <fill>
      <patternFill patternType="none"/>
    </fill>
    <fill>
      <patternFill patternType="gray125"/>
    </fill>
    <fill>
      <patternFill patternType="solid">
        <fgColor rgb="FFFFF9C4"/>
        <bgColor rgb="FFFFF9C4"/>
      </patternFill>
    </fill>
    <fill>
      <patternFill patternType="solid">
        <fgColor rgb="FFFFE0B2"/>
        <bgColor rgb="FFFFE0B2"/>
      </patternFill>
    </fill>
    <fill>
      <patternFill patternType="solid">
        <fgColor rgb="FFC8E6C9"/>
        <bgColor rgb="FFC8E6C9"/>
      </patternFill>
    </fill>
    <fill>
      <patternFill patternType="solid">
        <fgColor rgb="FFBBDEFB"/>
        <bgColor rgb="FFBBDEFB"/>
      </patternFill>
    </fill>
    <fill>
      <patternFill patternType="solid">
        <fgColor rgb="FFF8BBD0"/>
        <bgColor rgb="FFF8BBD0"/>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3" fillId="0" borderId="0" xfId="0" applyFont="1" applyAlignment="1">
      <alignment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tabSelected="1" workbookViewId="0"/>
  </sheetViews>
  <sheetFormatPr defaultRowHeight="15" x14ac:dyDescent="0.25"/>
  <cols>
    <col min="1" max="1" width="32" customWidth="1"/>
    <col min="2" max="2" width="45" customWidth="1"/>
  </cols>
  <sheetData>
    <row r="1" spans="1:6" ht="17.25" x14ac:dyDescent="0.3">
      <c r="A1" s="1" t="s">
        <v>0</v>
      </c>
    </row>
    <row r="3" spans="1:6" x14ac:dyDescent="0.25">
      <c r="A3" s="2" t="s">
        <v>1</v>
      </c>
      <c r="B3" s="3">
        <v>200</v>
      </c>
    </row>
    <row r="5" spans="1:6" x14ac:dyDescent="0.25">
      <c r="A5" s="2" t="s">
        <v>2</v>
      </c>
      <c r="B5" s="3">
        <v>12</v>
      </c>
    </row>
    <row r="7" spans="1:6" x14ac:dyDescent="0.25">
      <c r="A7" t="s">
        <v>3</v>
      </c>
      <c r="B7" t="s">
        <v>4</v>
      </c>
    </row>
    <row r="9" spans="1:6" ht="60" customHeight="1" x14ac:dyDescent="0.25">
      <c r="A9" s="8" t="s">
        <v>5</v>
      </c>
      <c r="B9" s="9"/>
      <c r="C9" s="9"/>
      <c r="D9" s="9"/>
      <c r="E9" s="9"/>
      <c r="F9" s="9"/>
    </row>
  </sheetData>
  <mergeCells count="1">
    <mergeCell ref="A9:F9"/>
  </mergeCells>
  <dataValidations count="2">
    <dataValidation type="whole" showErrorMessage="1" errorTitle="Invalid budget" error="Enter a whole-dollar budget (15-1000)." sqref="B3" xr:uid="{00000000-0002-0000-0000-000000000000}">
      <formula1>15</formula1>
      <formula2>1000</formula2>
    </dataValidation>
    <dataValidation type="list" showErrorMessage="1" errorTitle="Invalid team count" error="Choose one of: 8, 10, 12, 14, 16." sqref="B5" xr:uid="{00000000-0002-0000-0000-000001000000}">
      <formula1>"8,10,12,14,16"</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166"/>
  <sheetViews>
    <sheetView workbookViewId="0">
      <pane ySplit="1" topLeftCell="A2" activePane="bottomLeft" state="frozen"/>
      <selection pane="bottomLeft"/>
    </sheetView>
  </sheetViews>
  <sheetFormatPr defaultRowHeight="15" x14ac:dyDescent="0.25"/>
  <cols>
    <col min="1" max="1" width="22" customWidth="1"/>
    <col min="2" max="2" width="7" customWidth="1"/>
    <col min="3" max="12" width="13" hidden="1" customWidth="1"/>
    <col min="13" max="13" width="8" customWidth="1"/>
    <col min="14" max="14" width="14" customWidth="1"/>
    <col min="15" max="15" width="13" customWidth="1"/>
    <col min="16" max="17" width="12" customWidth="1"/>
    <col min="19" max="19" width="22" customWidth="1"/>
    <col min="20" max="20" width="7" customWidth="1"/>
    <col min="21" max="30" width="13" hidden="1" customWidth="1"/>
    <col min="31" max="31" width="8" customWidth="1"/>
    <col min="32" max="32" width="14" customWidth="1"/>
    <col min="33" max="33" width="13" customWidth="1"/>
    <col min="34" max="35" width="12" customWidth="1"/>
    <col min="37" max="37" width="22" customWidth="1"/>
    <col min="38" max="38" width="7" customWidth="1"/>
    <col min="39" max="48" width="13" hidden="1" customWidth="1"/>
    <col min="49" max="49" width="8" customWidth="1"/>
    <col min="50" max="50" width="14" customWidth="1"/>
    <col min="51" max="51" width="13" customWidth="1"/>
    <col min="52" max="53" width="12" customWidth="1"/>
    <col min="55" max="55" width="22" customWidth="1"/>
    <col min="56" max="56" width="7" customWidth="1"/>
    <col min="57" max="66" width="13" hidden="1" customWidth="1"/>
    <col min="67" max="67" width="8" customWidth="1"/>
    <col min="68" max="68" width="14" customWidth="1"/>
    <col min="69" max="69" width="13" customWidth="1"/>
    <col min="70" max="71" width="12" customWidth="1"/>
  </cols>
  <sheetData>
    <row r="1" spans="1:71" x14ac:dyDescent="0.25">
      <c r="A1" s="2" t="s">
        <v>6</v>
      </c>
      <c r="B1" s="2" t="s">
        <v>7</v>
      </c>
      <c r="C1" s="2" t="s">
        <v>8</v>
      </c>
      <c r="D1" s="2" t="s">
        <v>9</v>
      </c>
      <c r="E1" s="2" t="s">
        <v>10</v>
      </c>
      <c r="F1" s="2" t="s">
        <v>11</v>
      </c>
      <c r="G1" s="2" t="s">
        <v>12</v>
      </c>
      <c r="H1" s="2" t="s">
        <v>13</v>
      </c>
      <c r="I1" s="2" t="s">
        <v>14</v>
      </c>
      <c r="J1" s="2" t="s">
        <v>15</v>
      </c>
      <c r="K1" s="2" t="s">
        <v>16</v>
      </c>
      <c r="L1" s="2" t="s">
        <v>17</v>
      </c>
      <c r="M1" s="2" t="s">
        <v>18</v>
      </c>
      <c r="N1" s="2" t="s">
        <v>19</v>
      </c>
      <c r="O1" s="2" t="s">
        <v>20</v>
      </c>
      <c r="P1" s="2" t="s">
        <v>21</v>
      </c>
      <c r="Q1" s="2" t="s">
        <v>22</v>
      </c>
      <c r="S1" s="2" t="s">
        <v>6</v>
      </c>
      <c r="T1" s="2" t="s">
        <v>7</v>
      </c>
      <c r="U1" s="2" t="s">
        <v>8</v>
      </c>
      <c r="V1" s="2" t="s">
        <v>9</v>
      </c>
      <c r="W1" s="2" t="s">
        <v>10</v>
      </c>
      <c r="X1" s="2" t="s">
        <v>11</v>
      </c>
      <c r="Y1" s="2" t="s">
        <v>12</v>
      </c>
      <c r="Z1" s="2" t="s">
        <v>13</v>
      </c>
      <c r="AA1" s="2" t="s">
        <v>14</v>
      </c>
      <c r="AB1" s="2" t="s">
        <v>15</v>
      </c>
      <c r="AC1" s="2" t="s">
        <v>16</v>
      </c>
      <c r="AD1" s="2" t="s">
        <v>17</v>
      </c>
      <c r="AE1" s="2" t="s">
        <v>18</v>
      </c>
      <c r="AF1" s="2" t="s">
        <v>19</v>
      </c>
      <c r="AG1" s="2" t="s">
        <v>20</v>
      </c>
      <c r="AH1" s="2" t="s">
        <v>21</v>
      </c>
      <c r="AI1" s="2" t="s">
        <v>22</v>
      </c>
      <c r="AK1" s="2" t="s">
        <v>6</v>
      </c>
      <c r="AL1" s="2" t="s">
        <v>7</v>
      </c>
      <c r="AM1" s="2" t="s">
        <v>8</v>
      </c>
      <c r="AN1" s="2" t="s">
        <v>9</v>
      </c>
      <c r="AO1" s="2" t="s">
        <v>10</v>
      </c>
      <c r="AP1" s="2" t="s">
        <v>11</v>
      </c>
      <c r="AQ1" s="2" t="s">
        <v>12</v>
      </c>
      <c r="AR1" s="2" t="s">
        <v>13</v>
      </c>
      <c r="AS1" s="2" t="s">
        <v>14</v>
      </c>
      <c r="AT1" s="2" t="s">
        <v>15</v>
      </c>
      <c r="AU1" s="2" t="s">
        <v>16</v>
      </c>
      <c r="AV1" s="2" t="s">
        <v>17</v>
      </c>
      <c r="AW1" s="2" t="s">
        <v>18</v>
      </c>
      <c r="AX1" s="2" t="s">
        <v>19</v>
      </c>
      <c r="AY1" s="2" t="s">
        <v>20</v>
      </c>
      <c r="AZ1" s="2" t="s">
        <v>21</v>
      </c>
      <c r="BA1" s="2" t="s">
        <v>22</v>
      </c>
      <c r="BC1" s="2" t="s">
        <v>6</v>
      </c>
      <c r="BD1" s="2" t="s">
        <v>7</v>
      </c>
      <c r="BE1" s="2" t="s">
        <v>8</v>
      </c>
      <c r="BF1" s="2" t="s">
        <v>9</v>
      </c>
      <c r="BG1" s="2" t="s">
        <v>10</v>
      </c>
      <c r="BH1" s="2" t="s">
        <v>11</v>
      </c>
      <c r="BI1" s="2" t="s">
        <v>12</v>
      </c>
      <c r="BJ1" s="2" t="s">
        <v>13</v>
      </c>
      <c r="BK1" s="2" t="s">
        <v>14</v>
      </c>
      <c r="BL1" s="2" t="s">
        <v>15</v>
      </c>
      <c r="BM1" s="2" t="s">
        <v>16</v>
      </c>
      <c r="BN1" s="2" t="s">
        <v>17</v>
      </c>
      <c r="BO1" s="2" t="s">
        <v>18</v>
      </c>
      <c r="BP1" s="2" t="s">
        <v>19</v>
      </c>
      <c r="BQ1" s="2" t="s">
        <v>20</v>
      </c>
      <c r="BR1" s="2" t="s">
        <v>21</v>
      </c>
      <c r="BS1" s="2" t="s">
        <v>22</v>
      </c>
    </row>
    <row r="2" spans="1:71" x14ac:dyDescent="0.25">
      <c r="A2" s="4" t="s">
        <v>23</v>
      </c>
      <c r="B2" s="4" t="s">
        <v>24</v>
      </c>
      <c r="C2" s="4">
        <v>1</v>
      </c>
      <c r="D2" s="4">
        <v>141.5239</v>
      </c>
      <c r="E2" s="4">
        <v>1</v>
      </c>
      <c r="F2" s="4">
        <v>78.709999999999994</v>
      </c>
      <c r="G2" s="4">
        <v>1</v>
      </c>
      <c r="H2" s="4">
        <v>108.94240000000001</v>
      </c>
      <c r="I2" s="4">
        <v>1</v>
      </c>
      <c r="J2" s="4">
        <v>55.740200000000002</v>
      </c>
      <c r="K2" s="4">
        <v>1</v>
      </c>
      <c r="L2" s="4">
        <v>21.243200000000002</v>
      </c>
      <c r="M2" s="4">
        <f>CHOOSE(MATCH(Setup!$B$5,{8,10,12,14,16},0),C2,E2,G2,I2,K2)</f>
        <v>1</v>
      </c>
      <c r="N2" s="4">
        <f>CHOOSE(MATCH(Setup!$B$5,{8,10,12,14,16},0),D2,F2,H2,J2,L2)</f>
        <v>108.94240000000001</v>
      </c>
      <c r="O2" s="4">
        <f>ROUND(1+N2*'Live Calc'!$D$9,0)</f>
        <v>23</v>
      </c>
      <c r="P2" s="4"/>
      <c r="Q2" s="4">
        <f>IF(P2&lt;&gt;"",P2,ROUND(O2*INDEX('Live Calc'!$D$16:$D$23,MATCH(M2,'Live Calc'!$A$16:$A$23,0))*'Live Calc'!$J$78,0))</f>
        <v>23</v>
      </c>
      <c r="S2" s="5" t="s">
        <v>25</v>
      </c>
      <c r="T2" s="5" t="s">
        <v>26</v>
      </c>
      <c r="U2" s="5">
        <v>1</v>
      </c>
      <c r="V2" s="5">
        <v>481.61590000000001</v>
      </c>
      <c r="W2" s="5">
        <v>1</v>
      </c>
      <c r="X2" s="5">
        <v>544.98249999999996</v>
      </c>
      <c r="Y2" s="5">
        <v>1</v>
      </c>
      <c r="Z2" s="5">
        <v>474.41879999999998</v>
      </c>
      <c r="AA2" s="5">
        <v>1</v>
      </c>
      <c r="AB2" s="5">
        <v>95.067599999999999</v>
      </c>
      <c r="AC2" s="5">
        <v>1</v>
      </c>
      <c r="AD2" s="5">
        <v>42.556699999999999</v>
      </c>
      <c r="AE2" s="5">
        <f>CHOOSE(MATCH(Setup!$B$5,{8,10,12,14,16},0),U2,W2,Y2,AA2,AC2)</f>
        <v>1</v>
      </c>
      <c r="AF2" s="5">
        <f>CHOOSE(MATCH(Setup!$B$5,{8,10,12,14,16},0),V2,X2,Z2,AB2,AD2)</f>
        <v>474.41879999999998</v>
      </c>
      <c r="AG2" s="5">
        <f>ROUND(1+AF2*'Live Calc'!$D$10,0)</f>
        <v>59</v>
      </c>
      <c r="AH2" s="5"/>
      <c r="AI2" s="5">
        <f>IF(AH2&lt;&gt;"",AH2,ROUND(AG2*INDEX('Live Calc'!$D$27:$D$40,MATCH(AE2,'Live Calc'!$A$27:$A$40,0))*'Live Calc'!$J$78,0))</f>
        <v>59</v>
      </c>
      <c r="AK2" s="6" t="s">
        <v>27</v>
      </c>
      <c r="AL2" s="6" t="s">
        <v>28</v>
      </c>
      <c r="AM2" s="6">
        <v>1</v>
      </c>
      <c r="AN2" s="6">
        <v>291.97800000000001</v>
      </c>
      <c r="AO2" s="6">
        <v>1</v>
      </c>
      <c r="AP2" s="6">
        <v>338.96379999999999</v>
      </c>
      <c r="AQ2" s="6">
        <v>1</v>
      </c>
      <c r="AR2" s="6">
        <v>379.47699999999998</v>
      </c>
      <c r="AS2" s="6">
        <v>1</v>
      </c>
      <c r="AT2" s="6">
        <v>173.57400000000001</v>
      </c>
      <c r="AU2" s="6">
        <v>1</v>
      </c>
      <c r="AV2" s="6">
        <v>80.087000000000003</v>
      </c>
      <c r="AW2" s="6">
        <f>CHOOSE(MATCH(Setup!$B$5,{8,10,12,14,16},0),AM2,AO2,AQ2,AS2,AU2)</f>
        <v>1</v>
      </c>
      <c r="AX2" s="6">
        <f>CHOOSE(MATCH(Setup!$B$5,{8,10,12,14,16},0),AN2,AP2,AR2,AT2,AV2)</f>
        <v>379.47699999999998</v>
      </c>
      <c r="AY2" s="6">
        <f>ROUND(1+AX2*'Live Calc'!$D$11,0)</f>
        <v>51</v>
      </c>
      <c r="AZ2" s="6"/>
      <c r="BA2" s="6">
        <f>IF(AZ2&lt;&gt;"",AZ2,ROUND(AY2*INDEX('Live Calc'!$D$44:$D$59,MATCH(AW2,'Live Calc'!$A$44:$A$59,0))*'Live Calc'!$J$78,0))</f>
        <v>51</v>
      </c>
      <c r="BC2" s="7" t="s">
        <v>29</v>
      </c>
      <c r="BD2" s="7" t="s">
        <v>30</v>
      </c>
      <c r="BE2" s="7">
        <v>1</v>
      </c>
      <c r="BF2" s="7">
        <v>72.05</v>
      </c>
      <c r="BG2" s="7">
        <v>1</v>
      </c>
      <c r="BH2" s="7">
        <v>50.441099999999999</v>
      </c>
      <c r="BI2" s="7">
        <v>1</v>
      </c>
      <c r="BJ2" s="7">
        <v>57.844200000000001</v>
      </c>
      <c r="BK2" s="7">
        <v>1</v>
      </c>
      <c r="BL2" s="7">
        <v>23.4772</v>
      </c>
      <c r="BM2" s="7">
        <v>1</v>
      </c>
      <c r="BN2" s="7">
        <v>9.5287000000000006</v>
      </c>
      <c r="BO2" s="7">
        <f>CHOOSE(MATCH(Setup!$B$5,{8,10,12,14,16},0),BE2,BG2,BI2,BK2,BM2)</f>
        <v>1</v>
      </c>
      <c r="BP2" s="7">
        <f>CHOOSE(MATCH(Setup!$B$5,{8,10,12,14,16},0),BF2,BH2,BJ2,BL2,BN2)</f>
        <v>57.844200000000001</v>
      </c>
      <c r="BQ2" s="7">
        <f>ROUND(1+BP2*'Live Calc'!$D$12,0)</f>
        <v>20</v>
      </c>
      <c r="BR2" s="7"/>
      <c r="BS2" s="7">
        <f>IF(BR2&lt;&gt;"",BR2,ROUND(BQ2*INDEX('Live Calc'!$D$63:$D$74,MATCH(BO2,'Live Calc'!$A$63:$A$74,0))*'Live Calc'!$J$78,0))</f>
        <v>20</v>
      </c>
    </row>
    <row r="3" spans="1:71" x14ac:dyDescent="0.25">
      <c r="A3" s="4" t="s">
        <v>31</v>
      </c>
      <c r="B3" s="4" t="s">
        <v>32</v>
      </c>
      <c r="C3" s="4">
        <v>2</v>
      </c>
      <c r="D3" s="4">
        <v>63.616100000000003</v>
      </c>
      <c r="E3" s="4">
        <v>2</v>
      </c>
      <c r="F3" s="4">
        <v>41.54</v>
      </c>
      <c r="G3" s="4">
        <v>2</v>
      </c>
      <c r="H3" s="4">
        <v>60.756100000000004</v>
      </c>
      <c r="I3" s="4">
        <v>2</v>
      </c>
      <c r="J3" s="4">
        <v>33.790300000000002</v>
      </c>
      <c r="K3" s="4">
        <v>2</v>
      </c>
      <c r="L3" s="4">
        <v>13.5808</v>
      </c>
      <c r="M3" s="4">
        <f>CHOOSE(MATCH(Setup!$B$5,{8,10,12,14,16},0),C3,E3,G3,I3,K3)</f>
        <v>2</v>
      </c>
      <c r="N3" s="4">
        <f>CHOOSE(MATCH(Setup!$B$5,{8,10,12,14,16},0),D3,F3,H3,J3,L3)</f>
        <v>60.756100000000004</v>
      </c>
      <c r="O3" s="4">
        <f>ROUND(1+N3*'Live Calc'!$D$9,0)</f>
        <v>14</v>
      </c>
      <c r="P3" s="4"/>
      <c r="Q3" s="4">
        <f>IF(P3&lt;&gt;"",P3,ROUND(O3*INDEX('Live Calc'!$D$16:$D$23,MATCH(M3,'Live Calc'!$A$16:$A$23,0))*'Live Calc'!$J$78,0))</f>
        <v>14</v>
      </c>
      <c r="S3" s="5" t="s">
        <v>33</v>
      </c>
      <c r="T3" s="5" t="s">
        <v>34</v>
      </c>
      <c r="U3" s="5">
        <v>1</v>
      </c>
      <c r="V3" s="5">
        <v>476.90940000000001</v>
      </c>
      <c r="W3" s="5">
        <v>1</v>
      </c>
      <c r="X3" s="5">
        <v>540.17769999999996</v>
      </c>
      <c r="Y3" s="5">
        <v>1</v>
      </c>
      <c r="Z3" s="5">
        <v>470.81880000000001</v>
      </c>
      <c r="AA3" s="5">
        <v>1</v>
      </c>
      <c r="AB3" s="5">
        <v>94.533900000000003</v>
      </c>
      <c r="AC3" s="5">
        <v>1</v>
      </c>
      <c r="AD3" s="5">
        <v>42.359900000000003</v>
      </c>
      <c r="AE3" s="5">
        <f>CHOOSE(MATCH(Setup!$B$5,{8,10,12,14,16},0),U3,W3,Y3,AA3,AC3)</f>
        <v>1</v>
      </c>
      <c r="AF3" s="5">
        <f>CHOOSE(MATCH(Setup!$B$5,{8,10,12,14,16},0),V3,X3,Z3,AB3,AD3)</f>
        <v>470.81880000000001</v>
      </c>
      <c r="AG3" s="5">
        <f>ROUND(1+AF3*'Live Calc'!$D$10,0)</f>
        <v>58</v>
      </c>
      <c r="AH3" s="5"/>
      <c r="AI3" s="5">
        <f>IF(AH3&lt;&gt;"",AH3,ROUND(AG3*INDEX('Live Calc'!$D$27:$D$40,MATCH(AE3,'Live Calc'!$A$27:$A$40,0))*'Live Calc'!$J$78,0))</f>
        <v>58</v>
      </c>
      <c r="AK3" s="6" t="s">
        <v>35</v>
      </c>
      <c r="AL3" s="6" t="s">
        <v>36</v>
      </c>
      <c r="AM3" s="6">
        <v>1</v>
      </c>
      <c r="AN3" s="6">
        <v>290.68110000000001</v>
      </c>
      <c r="AO3" s="6">
        <v>1</v>
      </c>
      <c r="AP3" s="6">
        <v>337.64139999999998</v>
      </c>
      <c r="AQ3" s="6">
        <v>1</v>
      </c>
      <c r="AR3" s="6">
        <v>378.13479999999998</v>
      </c>
      <c r="AS3" s="6">
        <v>1</v>
      </c>
      <c r="AT3" s="6">
        <v>173.036</v>
      </c>
      <c r="AU3" s="6">
        <v>1</v>
      </c>
      <c r="AV3" s="6">
        <v>79.875900000000001</v>
      </c>
      <c r="AW3" s="6">
        <f>CHOOSE(MATCH(Setup!$B$5,{8,10,12,14,16},0),AM3,AO3,AQ3,AS3,AU3)</f>
        <v>1</v>
      </c>
      <c r="AX3" s="6">
        <f>CHOOSE(MATCH(Setup!$B$5,{8,10,12,14,16},0),AN3,AP3,AR3,AT3,AV3)</f>
        <v>378.13479999999998</v>
      </c>
      <c r="AY3" s="6">
        <f>ROUND(1+AX3*'Live Calc'!$D$11,0)</f>
        <v>51</v>
      </c>
      <c r="AZ3" s="6"/>
      <c r="BA3" s="6">
        <f>IF(AZ3&lt;&gt;"",AZ3,ROUND(AY3*INDEX('Live Calc'!$D$44:$D$59,MATCH(AW3,'Live Calc'!$A$44:$A$59,0))*'Live Calc'!$J$78,0))</f>
        <v>51</v>
      </c>
      <c r="BC3" s="7" t="s">
        <v>37</v>
      </c>
      <c r="BD3" s="7" t="s">
        <v>38</v>
      </c>
      <c r="BE3" s="7">
        <v>1</v>
      </c>
      <c r="BF3" s="7">
        <v>70.158000000000001</v>
      </c>
      <c r="BG3" s="7">
        <v>1</v>
      </c>
      <c r="BH3" s="7">
        <v>49.338299999999997</v>
      </c>
      <c r="BI3" s="7">
        <v>1</v>
      </c>
      <c r="BJ3" s="7">
        <v>56.758299999999998</v>
      </c>
      <c r="BK3" s="7">
        <v>1</v>
      </c>
      <c r="BL3" s="7">
        <v>23.133700000000001</v>
      </c>
      <c r="BM3" s="7">
        <v>1</v>
      </c>
      <c r="BN3" s="7">
        <v>9.4289000000000005</v>
      </c>
      <c r="BO3" s="7">
        <f>CHOOSE(MATCH(Setup!$B$5,{8,10,12,14,16},0),BE3,BG3,BI3,BK3,BM3)</f>
        <v>1</v>
      </c>
      <c r="BP3" s="7">
        <f>CHOOSE(MATCH(Setup!$B$5,{8,10,12,14,16},0),BF3,BH3,BJ3,BL3,BN3)</f>
        <v>56.758299999999998</v>
      </c>
      <c r="BQ3" s="7">
        <f>ROUND(1+BP3*'Live Calc'!$D$12,0)</f>
        <v>20</v>
      </c>
      <c r="BR3" s="7"/>
      <c r="BS3" s="7">
        <f>IF(BR3&lt;&gt;"",BR3,ROUND(BQ3*INDEX('Live Calc'!$D$63:$D$74,MATCH(BO3,'Live Calc'!$A$63:$A$74,0))*'Live Calc'!$J$78,0))</f>
        <v>20</v>
      </c>
    </row>
    <row r="4" spans="1:71" x14ac:dyDescent="0.25">
      <c r="A4" s="4" t="s">
        <v>39</v>
      </c>
      <c r="B4" s="4" t="s">
        <v>40</v>
      </c>
      <c r="C4" s="4">
        <v>3</v>
      </c>
      <c r="D4" s="4">
        <v>50.025199999999998</v>
      </c>
      <c r="E4" s="4">
        <v>3</v>
      </c>
      <c r="F4" s="4">
        <v>34.56</v>
      </c>
      <c r="G4" s="4">
        <v>3</v>
      </c>
      <c r="H4" s="4">
        <v>51.8767</v>
      </c>
      <c r="I4" s="4">
        <v>3</v>
      </c>
      <c r="J4" s="4">
        <v>29.5105</v>
      </c>
      <c r="K4" s="4">
        <v>3</v>
      </c>
      <c r="L4" s="4">
        <v>11.9399</v>
      </c>
      <c r="M4" s="4">
        <f>CHOOSE(MATCH(Setup!$B$5,{8,10,12,14,16},0),C4,E4,G4,I4,K4)</f>
        <v>3</v>
      </c>
      <c r="N4" s="4">
        <f>CHOOSE(MATCH(Setup!$B$5,{8,10,12,14,16},0),D4,F4,H4,J4,L4)</f>
        <v>51.8767</v>
      </c>
      <c r="O4" s="4">
        <f>ROUND(1+N4*'Live Calc'!$D$9,0)</f>
        <v>12</v>
      </c>
      <c r="P4" s="4"/>
      <c r="Q4" s="4">
        <f>IF(P4&lt;&gt;"",P4,ROUND(O4*INDEX('Live Calc'!$D$16:$D$23,MATCH(M4,'Live Calc'!$A$16:$A$23,0))*'Live Calc'!$J$78,0))</f>
        <v>12</v>
      </c>
      <c r="S4" s="5" t="s">
        <v>41</v>
      </c>
      <c r="T4" s="5" t="s">
        <v>42</v>
      </c>
      <c r="U4" s="5">
        <v>2</v>
      </c>
      <c r="V4" s="5">
        <v>391.02269999999999</v>
      </c>
      <c r="W4" s="5">
        <v>2</v>
      </c>
      <c r="X4" s="5">
        <v>452.34370000000001</v>
      </c>
      <c r="Y4" s="5">
        <v>2</v>
      </c>
      <c r="Z4" s="5">
        <v>404.6807</v>
      </c>
      <c r="AA4" s="5">
        <v>2</v>
      </c>
      <c r="AB4" s="5">
        <v>84.527100000000004</v>
      </c>
      <c r="AC4" s="5">
        <v>2</v>
      </c>
      <c r="AD4" s="5">
        <v>38.6312</v>
      </c>
      <c r="AE4" s="5">
        <f>CHOOSE(MATCH(Setup!$B$5,{8,10,12,14,16},0),U4,W4,Y4,AA4,AC4)</f>
        <v>2</v>
      </c>
      <c r="AF4" s="5">
        <f>CHOOSE(MATCH(Setup!$B$5,{8,10,12,14,16},0),V4,X4,Z4,AB4,AD4)</f>
        <v>404.6807</v>
      </c>
      <c r="AG4" s="5">
        <f>ROUND(1+AF4*'Live Calc'!$D$10,0)</f>
        <v>50</v>
      </c>
      <c r="AH4" s="5"/>
      <c r="AI4" s="5">
        <f>IF(AH4&lt;&gt;"",AH4,ROUND(AG4*INDEX('Live Calc'!$D$27:$D$40,MATCH(AE4,'Live Calc'!$A$27:$A$40,0))*'Live Calc'!$J$78,0))</f>
        <v>50</v>
      </c>
      <c r="AK4" s="6" t="s">
        <v>43</v>
      </c>
      <c r="AL4" s="6" t="s">
        <v>44</v>
      </c>
      <c r="AM4" s="6">
        <v>2</v>
      </c>
      <c r="AN4" s="6">
        <v>253.328</v>
      </c>
      <c r="AO4" s="6">
        <v>2</v>
      </c>
      <c r="AP4" s="6">
        <v>299.50920000000002</v>
      </c>
      <c r="AQ4" s="6">
        <v>2</v>
      </c>
      <c r="AR4" s="6">
        <v>339.40649999999999</v>
      </c>
      <c r="AS4" s="6">
        <v>1</v>
      </c>
      <c r="AT4" s="6">
        <v>157.4</v>
      </c>
      <c r="AU4" s="6">
        <v>1</v>
      </c>
      <c r="AV4" s="6">
        <v>73.697699999999998</v>
      </c>
      <c r="AW4" s="6">
        <f>CHOOSE(MATCH(Setup!$B$5,{8,10,12,14,16},0),AM4,AO4,AQ4,AS4,AU4)</f>
        <v>2</v>
      </c>
      <c r="AX4" s="6">
        <f>CHOOSE(MATCH(Setup!$B$5,{8,10,12,14,16},0),AN4,AP4,AR4,AT4,AV4)</f>
        <v>339.40649999999999</v>
      </c>
      <c r="AY4" s="6">
        <f>ROUND(1+AX4*'Live Calc'!$D$11,0)</f>
        <v>46</v>
      </c>
      <c r="AZ4" s="6"/>
      <c r="BA4" s="6">
        <f>IF(AZ4&lt;&gt;"",AZ4,ROUND(AY4*INDEX('Live Calc'!$D$44:$D$59,MATCH(AW4,'Live Calc'!$A$44:$A$59,0))*'Live Calc'!$J$78,0))</f>
        <v>46</v>
      </c>
      <c r="BC4" s="7" t="s">
        <v>45</v>
      </c>
      <c r="BD4" s="7" t="s">
        <v>46</v>
      </c>
      <c r="BE4" s="7">
        <v>2</v>
      </c>
      <c r="BF4" s="7">
        <v>47.014000000000003</v>
      </c>
      <c r="BG4" s="7">
        <v>2</v>
      </c>
      <c r="BH4" s="7">
        <v>35.598799999999997</v>
      </c>
      <c r="BI4" s="7">
        <v>2</v>
      </c>
      <c r="BJ4" s="7">
        <v>43.267899999999997</v>
      </c>
      <c r="BK4" s="7">
        <v>2</v>
      </c>
      <c r="BL4" s="7">
        <v>18.7315</v>
      </c>
      <c r="BM4" s="7">
        <v>2</v>
      </c>
      <c r="BN4" s="7">
        <v>8.1092999999999993</v>
      </c>
      <c r="BO4" s="7">
        <f>CHOOSE(MATCH(Setup!$B$5,{8,10,12,14,16},0),BE4,BG4,BI4,BK4,BM4)</f>
        <v>2</v>
      </c>
      <c r="BP4" s="7">
        <f>CHOOSE(MATCH(Setup!$B$5,{8,10,12,14,16},0),BF4,BH4,BJ4,BL4,BN4)</f>
        <v>43.267899999999997</v>
      </c>
      <c r="BQ4" s="7">
        <f>ROUND(1+BP4*'Live Calc'!$D$12,0)</f>
        <v>16</v>
      </c>
      <c r="BR4" s="7"/>
      <c r="BS4" s="7">
        <f>IF(BR4&lt;&gt;"",BR4,ROUND(BQ4*INDEX('Live Calc'!$D$63:$D$74,MATCH(BO4,'Live Calc'!$A$63:$A$74,0))*'Live Calc'!$J$78,0))</f>
        <v>16</v>
      </c>
    </row>
    <row r="5" spans="1:71" x14ac:dyDescent="0.25">
      <c r="A5" s="4" t="s">
        <v>47</v>
      </c>
      <c r="B5" s="4" t="s">
        <v>48</v>
      </c>
      <c r="C5" s="4">
        <v>3</v>
      </c>
      <c r="D5" s="4">
        <v>48.0533</v>
      </c>
      <c r="E5" s="4">
        <v>3</v>
      </c>
      <c r="F5" s="4">
        <v>33.527999999999999</v>
      </c>
      <c r="G5" s="4">
        <v>3</v>
      </c>
      <c r="H5" s="4">
        <v>50.569699999999997</v>
      </c>
      <c r="I5" s="4">
        <v>3</v>
      </c>
      <c r="J5" s="4">
        <v>28.872</v>
      </c>
      <c r="K5" s="4">
        <v>3</v>
      </c>
      <c r="L5" s="4">
        <v>11.6892</v>
      </c>
      <c r="M5" s="4">
        <f>CHOOSE(MATCH(Setup!$B$5,{8,10,12,14,16},0),C5,E5,G5,I5,K5)</f>
        <v>3</v>
      </c>
      <c r="N5" s="4">
        <f>CHOOSE(MATCH(Setup!$B$5,{8,10,12,14,16},0),D5,F5,H5,J5,L5)</f>
        <v>50.569699999999997</v>
      </c>
      <c r="O5" s="4">
        <f>ROUND(1+N5*'Live Calc'!$D$9,0)</f>
        <v>11</v>
      </c>
      <c r="P5" s="4"/>
      <c r="Q5" s="4">
        <f>IF(P5&lt;&gt;"",P5,ROUND(O5*INDEX('Live Calc'!$D$16:$D$23,MATCH(M5,'Live Calc'!$A$16:$A$23,0))*'Live Calc'!$J$78,0))</f>
        <v>11</v>
      </c>
      <c r="S5" s="5" t="s">
        <v>49</v>
      </c>
      <c r="T5" s="5" t="s">
        <v>50</v>
      </c>
      <c r="U5" s="5">
        <v>2</v>
      </c>
      <c r="V5" s="5">
        <v>385.84289999999999</v>
      </c>
      <c r="W5" s="5">
        <v>2</v>
      </c>
      <c r="X5" s="5">
        <v>447.03590000000003</v>
      </c>
      <c r="Y5" s="5">
        <v>2</v>
      </c>
      <c r="Z5" s="5">
        <v>400.66230000000002</v>
      </c>
      <c r="AA5" s="5">
        <v>2</v>
      </c>
      <c r="AB5" s="5">
        <v>83.906000000000006</v>
      </c>
      <c r="AC5" s="5">
        <v>2</v>
      </c>
      <c r="AD5" s="5">
        <v>38.397199999999998</v>
      </c>
      <c r="AE5" s="5">
        <f>CHOOSE(MATCH(Setup!$B$5,{8,10,12,14,16},0),U5,W5,Y5,AA5,AC5)</f>
        <v>2</v>
      </c>
      <c r="AF5" s="5">
        <f>CHOOSE(MATCH(Setup!$B$5,{8,10,12,14,16},0),V5,X5,Z5,AB5,AD5)</f>
        <v>400.66230000000002</v>
      </c>
      <c r="AG5" s="5">
        <f>ROUND(1+AF5*'Live Calc'!$D$10,0)</f>
        <v>50</v>
      </c>
      <c r="AH5" s="5"/>
      <c r="AI5" s="5">
        <f>IF(AH5&lt;&gt;"",AH5,ROUND(AG5*INDEX('Live Calc'!$D$27:$D$40,MATCH(AE5,'Live Calc'!$A$27:$A$40,0))*'Live Calc'!$J$78,0))</f>
        <v>50</v>
      </c>
      <c r="AK5" s="6" t="s">
        <v>51</v>
      </c>
      <c r="AL5" s="6" t="s">
        <v>26</v>
      </c>
      <c r="AM5" s="6">
        <v>2</v>
      </c>
      <c r="AN5" s="6">
        <v>232.6815</v>
      </c>
      <c r="AO5" s="6">
        <v>2</v>
      </c>
      <c r="AP5" s="6">
        <v>278.39089999999999</v>
      </c>
      <c r="AQ5" s="6">
        <v>2</v>
      </c>
      <c r="AR5" s="6">
        <v>317.93020000000001</v>
      </c>
      <c r="AS5" s="6">
        <v>1</v>
      </c>
      <c r="AT5" s="6">
        <v>148.63</v>
      </c>
      <c r="AU5" s="6">
        <v>1</v>
      </c>
      <c r="AV5" s="6">
        <v>70.192499999999995</v>
      </c>
      <c r="AW5" s="6">
        <f>CHOOSE(MATCH(Setup!$B$5,{8,10,12,14,16},0),AM5,AO5,AQ5,AS5,AU5)</f>
        <v>2</v>
      </c>
      <c r="AX5" s="6">
        <f>CHOOSE(MATCH(Setup!$B$5,{8,10,12,14,16},0),AN5,AP5,AR5,AT5,AV5)</f>
        <v>317.93020000000001</v>
      </c>
      <c r="AY5" s="6">
        <f>ROUND(1+AX5*'Live Calc'!$D$11,0)</f>
        <v>43</v>
      </c>
      <c r="AZ5" s="6"/>
      <c r="BA5" s="6">
        <f>IF(AZ5&lt;&gt;"",AZ5,ROUND(AY5*INDEX('Live Calc'!$D$44:$D$59,MATCH(AW5,'Live Calc'!$A$44:$A$59,0))*'Live Calc'!$J$78,0))</f>
        <v>43</v>
      </c>
      <c r="BC5" s="7" t="s">
        <v>52</v>
      </c>
      <c r="BD5" s="7" t="s">
        <v>50</v>
      </c>
      <c r="BE5" s="7">
        <v>3</v>
      </c>
      <c r="BF5" s="7">
        <v>39.463999999999999</v>
      </c>
      <c r="BG5" s="7">
        <v>3</v>
      </c>
      <c r="BH5" s="7">
        <v>30.9955</v>
      </c>
      <c r="BI5" s="7">
        <v>3</v>
      </c>
      <c r="BJ5" s="7">
        <v>38.770200000000003</v>
      </c>
      <c r="BK5" s="7">
        <v>3</v>
      </c>
      <c r="BL5" s="7">
        <v>17.198799999999999</v>
      </c>
      <c r="BM5" s="7">
        <v>3</v>
      </c>
      <c r="BN5" s="7">
        <v>7.6295000000000002</v>
      </c>
      <c r="BO5" s="7">
        <f>CHOOSE(MATCH(Setup!$B$5,{8,10,12,14,16},0),BE5,BG5,BI5,BK5,BM5)</f>
        <v>3</v>
      </c>
      <c r="BP5" s="7">
        <f>CHOOSE(MATCH(Setup!$B$5,{8,10,12,14,16},0),BF5,BH5,BJ5,BL5,BN5)</f>
        <v>38.770200000000003</v>
      </c>
      <c r="BQ5" s="7">
        <f>ROUND(1+BP5*'Live Calc'!$D$12,0)</f>
        <v>14</v>
      </c>
      <c r="BR5" s="7"/>
      <c r="BS5" s="7">
        <f>IF(BR5&lt;&gt;"",BR5,ROUND(BQ5*INDEX('Live Calc'!$D$63:$D$74,MATCH(BO5,'Live Calc'!$A$63:$A$74,0))*'Live Calc'!$J$78,0))</f>
        <v>14</v>
      </c>
    </row>
    <row r="6" spans="1:71" x14ac:dyDescent="0.25">
      <c r="A6" s="4" t="s">
        <v>53</v>
      </c>
      <c r="B6" s="4" t="s">
        <v>54</v>
      </c>
      <c r="C6" s="4">
        <v>3</v>
      </c>
      <c r="D6" s="4">
        <v>44.7866</v>
      </c>
      <c r="E6" s="4">
        <v>3</v>
      </c>
      <c r="F6" s="4">
        <v>31.806000000000001</v>
      </c>
      <c r="G6" s="4">
        <v>3</v>
      </c>
      <c r="H6" s="4">
        <v>48.392400000000002</v>
      </c>
      <c r="I6" s="4">
        <v>3</v>
      </c>
      <c r="J6" s="4">
        <v>27.8032</v>
      </c>
      <c r="K6" s="4">
        <v>3</v>
      </c>
      <c r="L6" s="4">
        <v>11.265700000000001</v>
      </c>
      <c r="M6" s="4">
        <f>CHOOSE(MATCH(Setup!$B$5,{8,10,12,14,16},0),C6,E6,G6,I6,K6)</f>
        <v>3</v>
      </c>
      <c r="N6" s="4">
        <f>CHOOSE(MATCH(Setup!$B$5,{8,10,12,14,16},0),D6,F6,H6,J6,L6)</f>
        <v>48.392400000000002</v>
      </c>
      <c r="O6" s="4">
        <f>ROUND(1+N6*'Live Calc'!$D$9,0)</f>
        <v>11</v>
      </c>
      <c r="P6" s="4"/>
      <c r="Q6" s="4">
        <f>IF(P6&lt;&gt;"",P6,ROUND(O6*INDEX('Live Calc'!$D$16:$D$23,MATCH(M6,'Live Calc'!$A$16:$A$23,0))*'Live Calc'!$J$78,0))</f>
        <v>11</v>
      </c>
      <c r="S6" s="5" t="s">
        <v>55</v>
      </c>
      <c r="T6" s="5" t="s">
        <v>24</v>
      </c>
      <c r="U6" s="5">
        <v>3</v>
      </c>
      <c r="V6" s="5">
        <v>278.19979999999998</v>
      </c>
      <c r="W6" s="5">
        <v>3</v>
      </c>
      <c r="X6" s="5">
        <v>336.36309999999997</v>
      </c>
      <c r="Y6" s="5">
        <v>3</v>
      </c>
      <c r="Z6" s="5">
        <v>316.18990000000002</v>
      </c>
      <c r="AA6" s="5">
        <v>3</v>
      </c>
      <c r="AB6" s="5">
        <v>70.434899999999999</v>
      </c>
      <c r="AC6" s="5">
        <v>3</v>
      </c>
      <c r="AD6" s="5">
        <v>33.243600000000001</v>
      </c>
      <c r="AE6" s="5">
        <f>CHOOSE(MATCH(Setup!$B$5,{8,10,12,14,16},0),U6,W6,Y6,AA6,AC6)</f>
        <v>3</v>
      </c>
      <c r="AF6" s="5">
        <f>CHOOSE(MATCH(Setup!$B$5,{8,10,12,14,16},0),V6,X6,Z6,AB6,AD6)</f>
        <v>316.18990000000002</v>
      </c>
      <c r="AG6" s="5">
        <f>ROUND(1+AF6*'Live Calc'!$D$10,0)</f>
        <v>39</v>
      </c>
      <c r="AH6" s="5"/>
      <c r="AI6" s="5">
        <f>IF(AH6&lt;&gt;"",AH6,ROUND(AG6*INDEX('Live Calc'!$D$27:$D$40,MATCH(AE6,'Live Calc'!$A$27:$A$40,0))*'Live Calc'!$J$78,0))</f>
        <v>39</v>
      </c>
      <c r="AK6" s="6" t="s">
        <v>56</v>
      </c>
      <c r="AL6" s="6" t="s">
        <v>57</v>
      </c>
      <c r="AM6" s="6">
        <v>3</v>
      </c>
      <c r="AN6" s="6">
        <v>166.07730000000001</v>
      </c>
      <c r="AO6" s="6">
        <v>3</v>
      </c>
      <c r="AP6" s="6">
        <v>209.98779999999999</v>
      </c>
      <c r="AQ6" s="6">
        <v>3</v>
      </c>
      <c r="AR6" s="6">
        <v>248.18870000000001</v>
      </c>
      <c r="AS6" s="6">
        <v>2</v>
      </c>
      <c r="AT6" s="6">
        <v>119.58</v>
      </c>
      <c r="AU6" s="6">
        <v>2</v>
      </c>
      <c r="AV6" s="6">
        <v>58.345799999999997</v>
      </c>
      <c r="AW6" s="6">
        <f>CHOOSE(MATCH(Setup!$B$5,{8,10,12,14,16},0),AM6,AO6,AQ6,AS6,AU6)</f>
        <v>3</v>
      </c>
      <c r="AX6" s="6">
        <f>CHOOSE(MATCH(Setup!$B$5,{8,10,12,14,16},0),AN6,AP6,AR6,AT6,AV6)</f>
        <v>248.18870000000001</v>
      </c>
      <c r="AY6" s="6">
        <f>ROUND(1+AX6*'Live Calc'!$D$11,0)</f>
        <v>34</v>
      </c>
      <c r="AZ6" s="6"/>
      <c r="BA6" s="6">
        <f>IF(AZ6&lt;&gt;"",AZ6,ROUND(AY6*INDEX('Live Calc'!$D$44:$D$59,MATCH(AW6,'Live Calc'!$A$44:$A$59,0))*'Live Calc'!$J$78,0))</f>
        <v>34</v>
      </c>
      <c r="BC6" s="7" t="s">
        <v>58</v>
      </c>
      <c r="BD6" s="7" t="s">
        <v>59</v>
      </c>
      <c r="BE6" s="7">
        <v>4</v>
      </c>
      <c r="BF6" s="7">
        <v>25.925999999999998</v>
      </c>
      <c r="BG6" s="7">
        <v>4</v>
      </c>
      <c r="BH6" s="7">
        <v>22.535799999999998</v>
      </c>
      <c r="BI6" s="7">
        <v>4</v>
      </c>
      <c r="BJ6" s="7">
        <v>30.551500000000001</v>
      </c>
      <c r="BK6" s="7">
        <v>4</v>
      </c>
      <c r="BL6" s="7">
        <v>14.2898</v>
      </c>
      <c r="BM6" s="7">
        <v>4</v>
      </c>
      <c r="BN6" s="7">
        <v>6.6837</v>
      </c>
      <c r="BO6" s="7">
        <f>CHOOSE(MATCH(Setup!$B$5,{8,10,12,14,16},0),BE6,BG6,BI6,BK6,BM6)</f>
        <v>4</v>
      </c>
      <c r="BP6" s="7">
        <f>CHOOSE(MATCH(Setup!$B$5,{8,10,12,14,16},0),BF6,BH6,BJ6,BL6,BN6)</f>
        <v>30.551500000000001</v>
      </c>
      <c r="BQ6" s="7">
        <f>ROUND(1+BP6*'Live Calc'!$D$12,0)</f>
        <v>11</v>
      </c>
      <c r="BR6" s="7"/>
      <c r="BS6" s="7">
        <f>IF(BR6&lt;&gt;"",BR6,ROUND(BQ6*INDEX('Live Calc'!$D$63:$D$74,MATCH(BO6,'Live Calc'!$A$63:$A$74,0))*'Live Calc'!$J$78,0))</f>
        <v>11</v>
      </c>
    </row>
    <row r="7" spans="1:71" x14ac:dyDescent="0.25">
      <c r="A7" s="4" t="s">
        <v>60</v>
      </c>
      <c r="B7" s="4" t="s">
        <v>36</v>
      </c>
      <c r="C7" s="4">
        <v>3</v>
      </c>
      <c r="D7" s="4">
        <v>42.022199999999998</v>
      </c>
      <c r="E7" s="4">
        <v>3</v>
      </c>
      <c r="F7" s="4">
        <v>30.335999999999999</v>
      </c>
      <c r="G7" s="4">
        <v>3</v>
      </c>
      <c r="H7" s="4">
        <v>46.537500000000001</v>
      </c>
      <c r="I7" s="4">
        <v>3</v>
      </c>
      <c r="J7" s="4">
        <v>26.8872</v>
      </c>
      <c r="K7" s="4">
        <v>3</v>
      </c>
      <c r="L7" s="4">
        <v>10.8986</v>
      </c>
      <c r="M7" s="4">
        <f>CHOOSE(MATCH(Setup!$B$5,{8,10,12,14,16},0),C7,E7,G7,I7,K7)</f>
        <v>3</v>
      </c>
      <c r="N7" s="4">
        <f>CHOOSE(MATCH(Setup!$B$5,{8,10,12,14,16},0),D7,F7,H7,J7,L7)</f>
        <v>46.537500000000001</v>
      </c>
      <c r="O7" s="4">
        <f>ROUND(1+N7*'Live Calc'!$D$9,0)</f>
        <v>11</v>
      </c>
      <c r="P7" s="4"/>
      <c r="Q7" s="4">
        <f>IF(P7&lt;&gt;"",P7,ROUND(O7*INDEX('Live Calc'!$D$16:$D$23,MATCH(M7,'Live Calc'!$A$16:$A$23,0))*'Live Calc'!$J$78,0))</f>
        <v>11</v>
      </c>
      <c r="S7" s="5" t="s">
        <v>61</v>
      </c>
      <c r="T7" s="5" t="s">
        <v>62</v>
      </c>
      <c r="U7" s="5">
        <v>3</v>
      </c>
      <c r="V7" s="5">
        <v>275.69369999999998</v>
      </c>
      <c r="W7" s="5">
        <v>3</v>
      </c>
      <c r="X7" s="5">
        <v>333.77620000000002</v>
      </c>
      <c r="Y7" s="5">
        <v>3</v>
      </c>
      <c r="Z7" s="5">
        <v>314.19760000000002</v>
      </c>
      <c r="AA7" s="5">
        <v>3</v>
      </c>
      <c r="AB7" s="5">
        <v>70.1066</v>
      </c>
      <c r="AC7" s="5">
        <v>3</v>
      </c>
      <c r="AD7" s="5">
        <v>33.115900000000003</v>
      </c>
      <c r="AE7" s="5">
        <f>CHOOSE(MATCH(Setup!$B$5,{8,10,12,14,16},0),U7,W7,Y7,AA7,AC7)</f>
        <v>3</v>
      </c>
      <c r="AF7" s="5">
        <f>CHOOSE(MATCH(Setup!$B$5,{8,10,12,14,16},0),V7,X7,Z7,AB7,AD7)</f>
        <v>314.19760000000002</v>
      </c>
      <c r="AG7" s="5">
        <f>ROUND(1+AF7*'Live Calc'!$D$10,0)</f>
        <v>39</v>
      </c>
      <c r="AH7" s="5"/>
      <c r="AI7" s="5">
        <f>IF(AH7&lt;&gt;"",AH7,ROUND(AG7*INDEX('Live Calc'!$D$27:$D$40,MATCH(AE7,'Live Calc'!$A$27:$A$40,0))*'Live Calc'!$J$78,0))</f>
        <v>39</v>
      </c>
      <c r="AK7" s="6" t="s">
        <v>63</v>
      </c>
      <c r="AL7" s="6" t="s">
        <v>34</v>
      </c>
      <c r="AM7" s="6">
        <v>3</v>
      </c>
      <c r="AN7" s="6">
        <v>160.0163</v>
      </c>
      <c r="AO7" s="6">
        <v>3</v>
      </c>
      <c r="AP7" s="6">
        <v>203.73560000000001</v>
      </c>
      <c r="AQ7" s="6">
        <v>3</v>
      </c>
      <c r="AR7" s="6">
        <v>241.797</v>
      </c>
      <c r="AS7" s="6">
        <v>2</v>
      </c>
      <c r="AT7" s="6">
        <v>116.86799999999999</v>
      </c>
      <c r="AU7" s="6">
        <v>2</v>
      </c>
      <c r="AV7" s="6">
        <v>57.219099999999997</v>
      </c>
      <c r="AW7" s="6">
        <f>CHOOSE(MATCH(Setup!$B$5,{8,10,12,14,16},0),AM7,AO7,AQ7,AS7,AU7)</f>
        <v>3</v>
      </c>
      <c r="AX7" s="6">
        <f>CHOOSE(MATCH(Setup!$B$5,{8,10,12,14,16},0),AN7,AP7,AR7,AT7,AV7)</f>
        <v>241.797</v>
      </c>
      <c r="AY7" s="6">
        <f>ROUND(1+AX7*'Live Calc'!$D$11,0)</f>
        <v>33</v>
      </c>
      <c r="AZ7" s="6"/>
      <c r="BA7" s="6">
        <f>IF(AZ7&lt;&gt;"",AZ7,ROUND(AY7*INDEX('Live Calc'!$D$44:$D$59,MATCH(AW7,'Live Calc'!$A$44:$A$59,0))*'Live Calc'!$J$78,0))</f>
        <v>33</v>
      </c>
      <c r="BC7" s="7" t="s">
        <v>64</v>
      </c>
      <c r="BD7" s="7" t="s">
        <v>65</v>
      </c>
      <c r="BE7" s="7">
        <v>4</v>
      </c>
      <c r="BF7" s="7">
        <v>25.501999999999999</v>
      </c>
      <c r="BG7" s="7">
        <v>4</v>
      </c>
      <c r="BH7" s="7">
        <v>22.265599999999999</v>
      </c>
      <c r="BI7" s="7">
        <v>4</v>
      </c>
      <c r="BJ7" s="7">
        <v>30.290299999999998</v>
      </c>
      <c r="BK7" s="7">
        <v>4</v>
      </c>
      <c r="BL7" s="7">
        <v>14.194699999999999</v>
      </c>
      <c r="BM7" s="7">
        <v>4</v>
      </c>
      <c r="BN7" s="7">
        <v>6.6519000000000004</v>
      </c>
      <c r="BO7" s="7">
        <f>CHOOSE(MATCH(Setup!$B$5,{8,10,12,14,16},0),BE7,BG7,BI7,BK7,BM7)</f>
        <v>4</v>
      </c>
      <c r="BP7" s="7">
        <f>CHOOSE(MATCH(Setup!$B$5,{8,10,12,14,16},0),BF7,BH7,BJ7,BL7,BN7)</f>
        <v>30.290299999999998</v>
      </c>
      <c r="BQ7" s="7">
        <f>ROUND(1+BP7*'Live Calc'!$D$12,0)</f>
        <v>11</v>
      </c>
      <c r="BR7" s="7"/>
      <c r="BS7" s="7">
        <f>IF(BR7&lt;&gt;"",BR7,ROUND(BQ7*INDEX('Live Calc'!$D$63:$D$74,MATCH(BO7,'Live Calc'!$A$63:$A$74,0))*'Live Calc'!$J$78,0))</f>
        <v>11</v>
      </c>
    </row>
    <row r="8" spans="1:71" x14ac:dyDescent="0.25">
      <c r="A8" s="4" t="s">
        <v>66</v>
      </c>
      <c r="B8" s="4" t="s">
        <v>67</v>
      </c>
      <c r="C8" s="4">
        <v>4</v>
      </c>
      <c r="D8" s="4">
        <v>23.430599999999998</v>
      </c>
      <c r="E8" s="4">
        <v>4</v>
      </c>
      <c r="F8" s="4">
        <v>20.058</v>
      </c>
      <c r="G8" s="4">
        <v>4</v>
      </c>
      <c r="H8" s="4">
        <v>33.674300000000002</v>
      </c>
      <c r="I8" s="4">
        <v>4</v>
      </c>
      <c r="J8" s="4">
        <v>20.375699999999998</v>
      </c>
      <c r="K8" s="4">
        <v>4</v>
      </c>
      <c r="L8" s="4">
        <v>8.1583000000000006</v>
      </c>
      <c r="M8" s="4">
        <f>CHOOSE(MATCH(Setup!$B$5,{8,10,12,14,16},0),C8,E8,G8,I8,K8)</f>
        <v>4</v>
      </c>
      <c r="N8" s="4">
        <f>CHOOSE(MATCH(Setup!$B$5,{8,10,12,14,16},0),D8,F8,H8,J8,L8)</f>
        <v>33.674300000000002</v>
      </c>
      <c r="O8" s="4">
        <f>ROUND(1+N8*'Live Calc'!$D$9,0)</f>
        <v>8</v>
      </c>
      <c r="P8" s="4"/>
      <c r="Q8" s="4">
        <f>IF(P8&lt;&gt;"",P8,ROUND(O8*INDEX('Live Calc'!$D$16:$D$23,MATCH(M8,'Live Calc'!$A$16:$A$23,0))*'Live Calc'!$J$78,0))</f>
        <v>8</v>
      </c>
      <c r="S8" s="5" t="s">
        <v>68</v>
      </c>
      <c r="T8" s="5" t="s">
        <v>38</v>
      </c>
      <c r="U8" s="5">
        <v>4</v>
      </c>
      <c r="V8" s="5">
        <v>254.93700000000001</v>
      </c>
      <c r="W8" s="5">
        <v>4</v>
      </c>
      <c r="X8" s="5">
        <v>312.32670000000002</v>
      </c>
      <c r="Y8" s="5">
        <v>4</v>
      </c>
      <c r="Z8" s="5">
        <v>297.6422</v>
      </c>
      <c r="AA8" s="5">
        <v>3</v>
      </c>
      <c r="AB8" s="5">
        <v>67.356999999999999</v>
      </c>
      <c r="AC8" s="5">
        <v>3</v>
      </c>
      <c r="AD8" s="5">
        <v>32.0426</v>
      </c>
      <c r="AE8" s="5">
        <f>CHOOSE(MATCH(Setup!$B$5,{8,10,12,14,16},0),U8,W8,Y8,AA8,AC8)</f>
        <v>4</v>
      </c>
      <c r="AF8" s="5">
        <f>CHOOSE(MATCH(Setup!$B$5,{8,10,12,14,16},0),V8,X8,Z8,AB8,AD8)</f>
        <v>297.6422</v>
      </c>
      <c r="AG8" s="5">
        <f>ROUND(1+AF8*'Live Calc'!$D$10,0)</f>
        <v>37</v>
      </c>
      <c r="AH8" s="5"/>
      <c r="AI8" s="5">
        <f>IF(AH8&lt;&gt;"",AH8,ROUND(AG8*INDEX('Live Calc'!$D$27:$D$40,MATCH(AE8,'Live Calc'!$A$27:$A$40,0))*'Live Calc'!$J$78,0))</f>
        <v>37</v>
      </c>
      <c r="AK8" s="6" t="s">
        <v>69</v>
      </c>
      <c r="AL8" s="6" t="s">
        <v>70</v>
      </c>
      <c r="AM8" s="6">
        <v>3</v>
      </c>
      <c r="AN8" s="6">
        <v>157.61969999999999</v>
      </c>
      <c r="AO8" s="6">
        <v>3</v>
      </c>
      <c r="AP8" s="6">
        <v>201.2619</v>
      </c>
      <c r="AQ8" s="6">
        <v>3</v>
      </c>
      <c r="AR8" s="6">
        <v>239.2672</v>
      </c>
      <c r="AS8" s="6">
        <v>2</v>
      </c>
      <c r="AT8" s="6">
        <v>115.792</v>
      </c>
      <c r="AU8" s="6">
        <v>2</v>
      </c>
      <c r="AV8" s="6">
        <v>56.771000000000001</v>
      </c>
      <c r="AW8" s="6">
        <f>CHOOSE(MATCH(Setup!$B$5,{8,10,12,14,16},0),AM8,AO8,AQ8,AS8,AU8)</f>
        <v>3</v>
      </c>
      <c r="AX8" s="6">
        <f>CHOOSE(MATCH(Setup!$B$5,{8,10,12,14,16},0),AN8,AP8,AR8,AT8,AV8)</f>
        <v>239.2672</v>
      </c>
      <c r="AY8" s="6">
        <f>ROUND(1+AX8*'Live Calc'!$D$11,0)</f>
        <v>33</v>
      </c>
      <c r="AZ8" s="6"/>
      <c r="BA8" s="6">
        <f>IF(AZ8&lt;&gt;"",AZ8,ROUND(AY8*INDEX('Live Calc'!$D$44:$D$59,MATCH(AW8,'Live Calc'!$A$44:$A$59,0))*'Live Calc'!$J$78,0))</f>
        <v>33</v>
      </c>
      <c r="BC8" s="7" t="s">
        <v>71</v>
      </c>
      <c r="BD8" s="7" t="s">
        <v>26</v>
      </c>
      <c r="BE8" s="7">
        <v>4</v>
      </c>
      <c r="BF8" s="7">
        <v>23.193999999999999</v>
      </c>
      <c r="BG8" s="7">
        <v>4</v>
      </c>
      <c r="BH8" s="7">
        <v>20.788599999999999</v>
      </c>
      <c r="BI8" s="7">
        <v>4</v>
      </c>
      <c r="BJ8" s="7">
        <v>28.864599999999999</v>
      </c>
      <c r="BK8" s="7">
        <v>4</v>
      </c>
      <c r="BL8" s="7">
        <v>13.6722</v>
      </c>
      <c r="BM8" s="7">
        <v>4</v>
      </c>
      <c r="BN8" s="7">
        <v>6.4760999999999997</v>
      </c>
      <c r="BO8" s="7">
        <f>CHOOSE(MATCH(Setup!$B$5,{8,10,12,14,16},0),BE8,BG8,BI8,BK8,BM8)</f>
        <v>4</v>
      </c>
      <c r="BP8" s="7">
        <f>CHOOSE(MATCH(Setup!$B$5,{8,10,12,14,16},0),BF8,BH8,BJ8,BL8,BN8)</f>
        <v>28.864599999999999</v>
      </c>
      <c r="BQ8" s="7">
        <f>ROUND(1+BP8*'Live Calc'!$D$12,0)</f>
        <v>11</v>
      </c>
      <c r="BR8" s="7"/>
      <c r="BS8" s="7">
        <f>IF(BR8&lt;&gt;"",BR8,ROUND(BQ8*INDEX('Live Calc'!$D$63:$D$74,MATCH(BO8,'Live Calc'!$A$63:$A$74,0))*'Live Calc'!$J$78,0))</f>
        <v>11</v>
      </c>
    </row>
    <row r="9" spans="1:71" x14ac:dyDescent="0.25">
      <c r="A9" s="4" t="s">
        <v>72</v>
      </c>
      <c r="B9" s="4" t="s">
        <v>46</v>
      </c>
      <c r="C9" s="4">
        <v>4</v>
      </c>
      <c r="D9" s="4">
        <v>22.8139</v>
      </c>
      <c r="E9" s="4">
        <v>4</v>
      </c>
      <c r="F9" s="4">
        <v>19.702000000000002</v>
      </c>
      <c r="G9" s="4">
        <v>4</v>
      </c>
      <c r="H9" s="4">
        <v>33.232500000000002</v>
      </c>
      <c r="I9" s="4">
        <v>4</v>
      </c>
      <c r="J9" s="4">
        <v>20.1464</v>
      </c>
      <c r="K9" s="4">
        <v>4</v>
      </c>
      <c r="L9" s="4">
        <v>8.0566999999999993</v>
      </c>
      <c r="M9" s="4">
        <f>CHOOSE(MATCH(Setup!$B$5,{8,10,12,14,16},0),C9,E9,G9,I9,K9)</f>
        <v>4</v>
      </c>
      <c r="N9" s="4">
        <f>CHOOSE(MATCH(Setup!$B$5,{8,10,12,14,16},0),D9,F9,H9,J9,L9)</f>
        <v>33.232500000000002</v>
      </c>
      <c r="O9" s="4">
        <f>ROUND(1+N9*'Live Calc'!$D$9,0)</f>
        <v>8</v>
      </c>
      <c r="P9" s="4"/>
      <c r="Q9" s="4">
        <f>IF(P9&lt;&gt;"",P9,ROUND(O9*INDEX('Live Calc'!$D$16:$D$23,MATCH(M9,'Live Calc'!$A$16:$A$23,0))*'Live Calc'!$J$78,0))</f>
        <v>8</v>
      </c>
      <c r="S9" s="5" t="s">
        <v>73</v>
      </c>
      <c r="T9" s="5" t="s">
        <v>54</v>
      </c>
      <c r="U9" s="5">
        <v>5</v>
      </c>
      <c r="V9" s="5">
        <v>234.6789</v>
      </c>
      <c r="W9" s="5">
        <v>4</v>
      </c>
      <c r="X9" s="5">
        <v>291.34870000000001</v>
      </c>
      <c r="Y9" s="5">
        <v>4</v>
      </c>
      <c r="Z9" s="5">
        <v>281.38369999999998</v>
      </c>
      <c r="AA9" s="5">
        <v>3</v>
      </c>
      <c r="AB9" s="5">
        <v>64.617699999999999</v>
      </c>
      <c r="AC9" s="5">
        <v>3</v>
      </c>
      <c r="AD9" s="5">
        <v>30.965499999999999</v>
      </c>
      <c r="AE9" s="5">
        <f>CHOOSE(MATCH(Setup!$B$5,{8,10,12,14,16},0),U9,W9,Y9,AA9,AC9)</f>
        <v>4</v>
      </c>
      <c r="AF9" s="5">
        <f>CHOOSE(MATCH(Setup!$B$5,{8,10,12,14,16},0),V9,X9,Z9,AB9,AD9)</f>
        <v>281.38369999999998</v>
      </c>
      <c r="AG9" s="5">
        <f>ROUND(1+AF9*'Live Calc'!$D$10,0)</f>
        <v>35</v>
      </c>
      <c r="AH9" s="5"/>
      <c r="AI9" s="5">
        <f>IF(AH9&lt;&gt;"",AH9,ROUND(AG9*INDEX('Live Calc'!$D$27:$D$40,MATCH(AE9,'Live Calc'!$A$27:$A$40,0))*'Live Calc'!$J$78,0))</f>
        <v>35</v>
      </c>
      <c r="AK9" s="6" t="s">
        <v>74</v>
      </c>
      <c r="AL9" s="6" t="s">
        <v>40</v>
      </c>
      <c r="AM9" s="6">
        <v>4</v>
      </c>
      <c r="AN9" s="6">
        <v>129.89410000000001</v>
      </c>
      <c r="AO9" s="6">
        <v>4</v>
      </c>
      <c r="AP9" s="6">
        <v>172.56800000000001</v>
      </c>
      <c r="AQ9" s="6">
        <v>4</v>
      </c>
      <c r="AR9" s="6">
        <v>209.87690000000001</v>
      </c>
      <c r="AS9" s="6">
        <v>3</v>
      </c>
      <c r="AT9" s="6">
        <v>103.178</v>
      </c>
      <c r="AU9" s="6">
        <v>3</v>
      </c>
      <c r="AV9" s="6">
        <v>51.4694</v>
      </c>
      <c r="AW9" s="6">
        <f>CHOOSE(MATCH(Setup!$B$5,{8,10,12,14,16},0),AM9,AO9,AQ9,AS9,AU9)</f>
        <v>4</v>
      </c>
      <c r="AX9" s="6">
        <f>CHOOSE(MATCH(Setup!$B$5,{8,10,12,14,16},0),AN9,AP9,AR9,AT9,AV9)</f>
        <v>209.87690000000001</v>
      </c>
      <c r="AY9" s="6">
        <f>ROUND(1+AX9*'Live Calc'!$D$11,0)</f>
        <v>29</v>
      </c>
      <c r="AZ9" s="6"/>
      <c r="BA9" s="6">
        <f>IF(AZ9&lt;&gt;"",AZ9,ROUND(AY9*INDEX('Live Calc'!$D$44:$D$59,MATCH(AW9,'Live Calc'!$A$44:$A$59,0))*'Live Calc'!$J$78,0))</f>
        <v>29</v>
      </c>
      <c r="BC9" s="7" t="s">
        <v>75</v>
      </c>
      <c r="BD9" s="7" t="s">
        <v>34</v>
      </c>
      <c r="BE9" s="7">
        <v>4</v>
      </c>
      <c r="BF9" s="7">
        <v>21.094000000000001</v>
      </c>
      <c r="BG9" s="7">
        <v>4</v>
      </c>
      <c r="BH9" s="7">
        <v>19.4346</v>
      </c>
      <c r="BI9" s="7">
        <v>4</v>
      </c>
      <c r="BJ9" s="7">
        <v>27.560500000000001</v>
      </c>
      <c r="BK9" s="7">
        <v>4</v>
      </c>
      <c r="BL9" s="7">
        <v>13.189399999999999</v>
      </c>
      <c r="BM9" s="7">
        <v>4</v>
      </c>
      <c r="BN9" s="7">
        <v>6.3118999999999996</v>
      </c>
      <c r="BO9" s="7">
        <f>CHOOSE(MATCH(Setup!$B$5,{8,10,12,14,16},0),BE9,BG9,BI9,BK9,BM9)</f>
        <v>4</v>
      </c>
      <c r="BP9" s="7">
        <f>CHOOSE(MATCH(Setup!$B$5,{8,10,12,14,16},0),BF9,BH9,BJ9,BL9,BN9)</f>
        <v>27.560500000000001</v>
      </c>
      <c r="BQ9" s="7">
        <f>ROUND(1+BP9*'Live Calc'!$D$12,0)</f>
        <v>10</v>
      </c>
      <c r="BR9" s="7"/>
      <c r="BS9" s="7">
        <f>IF(BR9&lt;&gt;"",BR9,ROUND(BQ9*INDEX('Live Calc'!$D$63:$D$74,MATCH(BO9,'Live Calc'!$A$63:$A$74,0))*'Live Calc'!$J$78,0))</f>
        <v>10</v>
      </c>
    </row>
    <row r="10" spans="1:71" x14ac:dyDescent="0.25">
      <c r="A10" s="4" t="s">
        <v>76</v>
      </c>
      <c r="B10" s="4" t="s">
        <v>57</v>
      </c>
      <c r="C10" s="4">
        <v>4</v>
      </c>
      <c r="D10" s="4">
        <v>20.860700000000001</v>
      </c>
      <c r="E10" s="4">
        <v>4</v>
      </c>
      <c r="F10" s="4">
        <v>18.565999999999999</v>
      </c>
      <c r="G10" s="4">
        <v>4</v>
      </c>
      <c r="H10" s="4">
        <v>31.8246</v>
      </c>
      <c r="I10" s="4">
        <v>4</v>
      </c>
      <c r="J10" s="4">
        <v>19.412600000000001</v>
      </c>
      <c r="K10" s="4">
        <v>4</v>
      </c>
      <c r="L10" s="4">
        <v>7.7286000000000001</v>
      </c>
      <c r="M10" s="4">
        <f>CHOOSE(MATCH(Setup!$B$5,{8,10,12,14,16},0),C10,E10,G10,I10,K10)</f>
        <v>4</v>
      </c>
      <c r="N10" s="4">
        <f>CHOOSE(MATCH(Setup!$B$5,{8,10,12,14,16},0),D10,F10,H10,J10,L10)</f>
        <v>31.8246</v>
      </c>
      <c r="O10" s="4">
        <f>ROUND(1+N10*'Live Calc'!$D$9,0)</f>
        <v>8</v>
      </c>
      <c r="P10" s="4"/>
      <c r="Q10" s="4">
        <f>IF(P10&lt;&gt;"",P10,ROUND(O10*INDEX('Live Calc'!$D$16:$D$23,MATCH(M10,'Live Calc'!$A$16:$A$23,0))*'Live Calc'!$J$78,0))</f>
        <v>8</v>
      </c>
      <c r="S10" s="5" t="s">
        <v>77</v>
      </c>
      <c r="T10" s="5" t="s">
        <v>32</v>
      </c>
      <c r="U10" s="5">
        <v>5</v>
      </c>
      <c r="V10" s="5">
        <v>234.2081</v>
      </c>
      <c r="W10" s="5">
        <v>4</v>
      </c>
      <c r="X10" s="5">
        <v>290.86059999999998</v>
      </c>
      <c r="Y10" s="5">
        <v>4</v>
      </c>
      <c r="Z10" s="5">
        <v>281.00459999999998</v>
      </c>
      <c r="AA10" s="5">
        <v>3</v>
      </c>
      <c r="AB10" s="5">
        <v>64.553299999999993</v>
      </c>
      <c r="AC10" s="5">
        <v>3</v>
      </c>
      <c r="AD10" s="5">
        <v>30.940100000000001</v>
      </c>
      <c r="AE10" s="5">
        <f>CHOOSE(MATCH(Setup!$B$5,{8,10,12,14,16},0),U10,W10,Y10,AA10,AC10)</f>
        <v>4</v>
      </c>
      <c r="AF10" s="5">
        <f>CHOOSE(MATCH(Setup!$B$5,{8,10,12,14,16},0),V10,X10,Z10,AB10,AD10)</f>
        <v>281.00459999999998</v>
      </c>
      <c r="AG10" s="5">
        <f>ROUND(1+AF10*'Live Calc'!$D$10,0)</f>
        <v>35</v>
      </c>
      <c r="AH10" s="5"/>
      <c r="AI10" s="5">
        <f>IF(AH10&lt;&gt;"",AH10,ROUND(AG10*INDEX('Live Calc'!$D$27:$D$40,MATCH(AE10,'Live Calc'!$A$27:$A$40,0))*'Live Calc'!$J$78,0))</f>
        <v>35</v>
      </c>
      <c r="AK10" s="6" t="s">
        <v>78</v>
      </c>
      <c r="AL10" s="6" t="s">
        <v>57</v>
      </c>
      <c r="AM10" s="6">
        <v>4</v>
      </c>
      <c r="AN10" s="6">
        <v>125.22320000000001</v>
      </c>
      <c r="AO10" s="6">
        <v>4</v>
      </c>
      <c r="AP10" s="6">
        <v>167.7182</v>
      </c>
      <c r="AQ10" s="6">
        <v>4</v>
      </c>
      <c r="AR10" s="6">
        <v>204.90020000000001</v>
      </c>
      <c r="AS10" s="6">
        <v>3</v>
      </c>
      <c r="AT10" s="6">
        <v>101.02</v>
      </c>
      <c r="AU10" s="6">
        <v>3</v>
      </c>
      <c r="AV10" s="6">
        <v>50.552900000000001</v>
      </c>
      <c r="AW10" s="6">
        <f>CHOOSE(MATCH(Setup!$B$5,{8,10,12,14,16},0),AM10,AO10,AQ10,AS10,AU10)</f>
        <v>4</v>
      </c>
      <c r="AX10" s="6">
        <f>CHOOSE(MATCH(Setup!$B$5,{8,10,12,14,16},0),AN10,AP10,AR10,AT10,AV10)</f>
        <v>204.90020000000001</v>
      </c>
      <c r="AY10" s="6">
        <f>ROUND(1+AX10*'Live Calc'!$D$11,0)</f>
        <v>28</v>
      </c>
      <c r="AZ10" s="6"/>
      <c r="BA10" s="6">
        <f>IF(AZ10&lt;&gt;"",AZ10,ROUND(AY10*INDEX('Live Calc'!$D$44:$D$59,MATCH(AW10,'Live Calc'!$A$44:$A$59,0))*'Live Calc'!$J$78,0))</f>
        <v>28</v>
      </c>
      <c r="BC10" s="7" t="s">
        <v>79</v>
      </c>
      <c r="BD10" s="7" t="s">
        <v>80</v>
      </c>
      <c r="BE10" s="7">
        <v>4</v>
      </c>
      <c r="BF10" s="7">
        <v>17.074000000000002</v>
      </c>
      <c r="BG10" s="7">
        <v>4</v>
      </c>
      <c r="BH10" s="7">
        <v>16.812100000000001</v>
      </c>
      <c r="BI10" s="7">
        <v>4</v>
      </c>
      <c r="BJ10" s="7">
        <v>25.044499999999999</v>
      </c>
      <c r="BK10" s="7">
        <v>5</v>
      </c>
      <c r="BL10" s="7">
        <v>12.243</v>
      </c>
      <c r="BM10" s="7">
        <v>5</v>
      </c>
      <c r="BN10" s="7">
        <v>5.9850000000000003</v>
      </c>
      <c r="BO10" s="7">
        <f>CHOOSE(MATCH(Setup!$B$5,{8,10,12,14,16},0),BE10,BG10,BI10,BK10,BM10)</f>
        <v>4</v>
      </c>
      <c r="BP10" s="7">
        <f>CHOOSE(MATCH(Setup!$B$5,{8,10,12,14,16},0),BF10,BH10,BJ10,BL10,BN10)</f>
        <v>25.044499999999999</v>
      </c>
      <c r="BQ10" s="7">
        <f>ROUND(1+BP10*'Live Calc'!$D$12,0)</f>
        <v>9</v>
      </c>
      <c r="BR10" s="7"/>
      <c r="BS10" s="7">
        <f>IF(BR10&lt;&gt;"",BR10,ROUND(BQ10*INDEX('Live Calc'!$D$63:$D$74,MATCH(BO10,'Live Calc'!$A$63:$A$74,0))*'Live Calc'!$J$78,0))</f>
        <v>9</v>
      </c>
    </row>
    <row r="11" spans="1:71" x14ac:dyDescent="0.25">
      <c r="A11" s="4" t="s">
        <v>81</v>
      </c>
      <c r="B11" s="4" t="s">
        <v>82</v>
      </c>
      <c r="C11" s="4">
        <v>4</v>
      </c>
      <c r="D11" s="4">
        <v>20.509</v>
      </c>
      <c r="E11" s="4">
        <v>4</v>
      </c>
      <c r="F11" s="4">
        <v>18.36</v>
      </c>
      <c r="G11" s="4">
        <v>4</v>
      </c>
      <c r="H11" s="4">
        <v>31.569600000000001</v>
      </c>
      <c r="I11" s="4">
        <v>4</v>
      </c>
      <c r="J11" s="4">
        <v>19.279199999999999</v>
      </c>
      <c r="K11" s="4">
        <v>4</v>
      </c>
      <c r="L11" s="4">
        <v>7.6684999999999999</v>
      </c>
      <c r="M11" s="4">
        <f>CHOOSE(MATCH(Setup!$B$5,{8,10,12,14,16},0),C11,E11,G11,I11,K11)</f>
        <v>4</v>
      </c>
      <c r="N11" s="4">
        <f>CHOOSE(MATCH(Setup!$B$5,{8,10,12,14,16},0),D11,F11,H11,J11,L11)</f>
        <v>31.569600000000001</v>
      </c>
      <c r="O11" s="4">
        <f>ROUND(1+N11*'Live Calc'!$D$9,0)</f>
        <v>8</v>
      </c>
      <c r="P11" s="4"/>
      <c r="Q11" s="4">
        <f>IF(P11&lt;&gt;"",P11,ROUND(O11*INDEX('Live Calc'!$D$16:$D$23,MATCH(M11,'Live Calc'!$A$16:$A$23,0))*'Live Calc'!$J$78,0))</f>
        <v>8</v>
      </c>
      <c r="S11" s="5" t="s">
        <v>83</v>
      </c>
      <c r="T11" s="5" t="s">
        <v>36</v>
      </c>
      <c r="U11" s="5">
        <v>5</v>
      </c>
      <c r="V11" s="5">
        <v>225.21</v>
      </c>
      <c r="W11" s="5">
        <v>4</v>
      </c>
      <c r="X11" s="5">
        <v>281.52670000000001</v>
      </c>
      <c r="Y11" s="5">
        <v>4</v>
      </c>
      <c r="Z11" s="5">
        <v>273.74689999999998</v>
      </c>
      <c r="AA11" s="5">
        <v>3</v>
      </c>
      <c r="AB11" s="5">
        <v>63.316800000000001</v>
      </c>
      <c r="AC11" s="5">
        <v>3</v>
      </c>
      <c r="AD11" s="5">
        <v>30.4512</v>
      </c>
      <c r="AE11" s="5">
        <f>CHOOSE(MATCH(Setup!$B$5,{8,10,12,14,16},0),U11,W11,Y11,AA11,AC11)</f>
        <v>4</v>
      </c>
      <c r="AF11" s="5">
        <f>CHOOSE(MATCH(Setup!$B$5,{8,10,12,14,16},0),V11,X11,Z11,AB11,AD11)</f>
        <v>273.74689999999998</v>
      </c>
      <c r="AG11" s="5">
        <f>ROUND(1+AF11*'Live Calc'!$D$10,0)</f>
        <v>34</v>
      </c>
      <c r="AH11" s="5"/>
      <c r="AI11" s="5">
        <f>IF(AH11&lt;&gt;"",AH11,ROUND(AG11*INDEX('Live Calc'!$D$27:$D$40,MATCH(AE11,'Live Calc'!$A$27:$A$40,0))*'Live Calc'!$J$78,0))</f>
        <v>34</v>
      </c>
      <c r="AK11" s="6" t="s">
        <v>84</v>
      </c>
      <c r="AL11" s="6" t="s">
        <v>85</v>
      </c>
      <c r="AM11" s="6">
        <v>4</v>
      </c>
      <c r="AN11" s="6">
        <v>124.1485</v>
      </c>
      <c r="AO11" s="6">
        <v>4</v>
      </c>
      <c r="AP11" s="6">
        <v>166.60159999999999</v>
      </c>
      <c r="AQ11" s="6">
        <v>4</v>
      </c>
      <c r="AR11" s="6">
        <v>203.75399999999999</v>
      </c>
      <c r="AS11" s="6">
        <v>3</v>
      </c>
      <c r="AT11" s="6">
        <v>100.52200000000001</v>
      </c>
      <c r="AU11" s="6">
        <v>3</v>
      </c>
      <c r="AV11" s="6">
        <v>50.341000000000001</v>
      </c>
      <c r="AW11" s="6">
        <f>CHOOSE(MATCH(Setup!$B$5,{8,10,12,14,16},0),AM11,AO11,AQ11,AS11,AU11)</f>
        <v>4</v>
      </c>
      <c r="AX11" s="6">
        <f>CHOOSE(MATCH(Setup!$B$5,{8,10,12,14,16},0),AN11,AP11,AR11,AT11,AV11)</f>
        <v>203.75399999999999</v>
      </c>
      <c r="AY11" s="6">
        <f>ROUND(1+AX11*'Live Calc'!$D$11,0)</f>
        <v>28</v>
      </c>
      <c r="AZ11" s="6"/>
      <c r="BA11" s="6">
        <f>IF(AZ11&lt;&gt;"",AZ11,ROUND(AY11*INDEX('Live Calc'!$D$44:$D$59,MATCH(AW11,'Live Calc'!$A$44:$A$59,0))*'Live Calc'!$J$78,0))</f>
        <v>28</v>
      </c>
      <c r="BC11" s="7" t="s">
        <v>86</v>
      </c>
      <c r="BD11" s="7" t="s">
        <v>32</v>
      </c>
      <c r="BE11" s="7">
        <v>5</v>
      </c>
      <c r="BF11" s="7">
        <v>11.548</v>
      </c>
      <c r="BG11" s="7">
        <v>5</v>
      </c>
      <c r="BH11" s="7">
        <v>13.129300000000001</v>
      </c>
      <c r="BI11" s="7">
        <v>5</v>
      </c>
      <c r="BJ11" s="7">
        <v>21.538799999999998</v>
      </c>
      <c r="BK11" s="7">
        <v>6</v>
      </c>
      <c r="BL11" s="7">
        <v>10.888</v>
      </c>
      <c r="BM11" s="7">
        <v>6</v>
      </c>
      <c r="BN11" s="7">
        <v>5.5039999999999996</v>
      </c>
      <c r="BO11" s="7">
        <f>CHOOSE(MATCH(Setup!$B$5,{8,10,12,14,16},0),BE11,BG11,BI11,BK11,BM11)</f>
        <v>5</v>
      </c>
      <c r="BP11" s="7">
        <f>CHOOSE(MATCH(Setup!$B$5,{8,10,12,14,16},0),BF11,BH11,BJ11,BL11,BN11)</f>
        <v>21.538799999999998</v>
      </c>
      <c r="BQ11" s="7">
        <f>ROUND(1+BP11*'Live Calc'!$D$12,0)</f>
        <v>8</v>
      </c>
      <c r="BR11" s="7"/>
      <c r="BS11" s="7">
        <f>IF(BR11&lt;&gt;"",BR11,ROUND(BQ11*INDEX('Live Calc'!$D$63:$D$74,MATCH(BO11,'Live Calc'!$A$63:$A$74,0))*'Live Calc'!$J$78,0))</f>
        <v>8</v>
      </c>
    </row>
    <row r="12" spans="1:71" x14ac:dyDescent="0.25">
      <c r="A12" s="4" t="s">
        <v>87</v>
      </c>
      <c r="B12" s="4" t="s">
        <v>88</v>
      </c>
      <c r="C12" s="4">
        <v>4</v>
      </c>
      <c r="D12" s="4">
        <v>19.7164</v>
      </c>
      <c r="E12" s="4">
        <v>4</v>
      </c>
      <c r="F12" s="4">
        <v>17.893999999999998</v>
      </c>
      <c r="G12" s="4">
        <v>4</v>
      </c>
      <c r="H12" s="4">
        <v>30.993099999999998</v>
      </c>
      <c r="I12" s="4">
        <v>4</v>
      </c>
      <c r="J12" s="4">
        <v>18.977</v>
      </c>
      <c r="K12" s="4">
        <v>4</v>
      </c>
      <c r="L12" s="4">
        <v>7.5316999999999998</v>
      </c>
      <c r="M12" s="4">
        <f>CHOOSE(MATCH(Setup!$B$5,{8,10,12,14,16},0),C12,E12,G12,I12,K12)</f>
        <v>4</v>
      </c>
      <c r="N12" s="4">
        <f>CHOOSE(MATCH(Setup!$B$5,{8,10,12,14,16},0),D12,F12,H12,J12,L12)</f>
        <v>30.993099999999998</v>
      </c>
      <c r="O12" s="4">
        <f>ROUND(1+N12*'Live Calc'!$D$9,0)</f>
        <v>7</v>
      </c>
      <c r="P12" s="4"/>
      <c r="Q12" s="4">
        <f>IF(P12&lt;&gt;"",P12,ROUND(O12*INDEX('Live Calc'!$D$16:$D$23,MATCH(M12,'Live Calc'!$A$16:$A$23,0))*'Live Calc'!$J$78,0))</f>
        <v>7</v>
      </c>
      <c r="S12" s="5" t="s">
        <v>89</v>
      </c>
      <c r="T12" s="5" t="s">
        <v>88</v>
      </c>
      <c r="U12" s="5">
        <v>5</v>
      </c>
      <c r="V12" s="5">
        <v>210.63319999999999</v>
      </c>
      <c r="W12" s="5">
        <v>4</v>
      </c>
      <c r="X12" s="5">
        <v>266.38299999999998</v>
      </c>
      <c r="Y12" s="5">
        <v>4</v>
      </c>
      <c r="Z12" s="5">
        <v>261.93950000000001</v>
      </c>
      <c r="AA12" s="5">
        <v>3</v>
      </c>
      <c r="AB12" s="5">
        <v>61.286700000000003</v>
      </c>
      <c r="AC12" s="5">
        <v>3</v>
      </c>
      <c r="AD12" s="5">
        <v>29.6448</v>
      </c>
      <c r="AE12" s="5">
        <f>CHOOSE(MATCH(Setup!$B$5,{8,10,12,14,16},0),U12,W12,Y12,AA12,AC12)</f>
        <v>4</v>
      </c>
      <c r="AF12" s="5">
        <f>CHOOSE(MATCH(Setup!$B$5,{8,10,12,14,16},0),V12,X12,Z12,AB12,AD12)</f>
        <v>261.93950000000001</v>
      </c>
      <c r="AG12" s="5">
        <f>ROUND(1+AF12*'Live Calc'!$D$10,0)</f>
        <v>33</v>
      </c>
      <c r="AH12" s="5"/>
      <c r="AI12" s="5">
        <f>IF(AH12&lt;&gt;"",AH12,ROUND(AG12*INDEX('Live Calc'!$D$27:$D$40,MATCH(AE12,'Live Calc'!$A$27:$A$40,0))*'Live Calc'!$J$78,0))</f>
        <v>33</v>
      </c>
      <c r="AK12" s="6" t="s">
        <v>90</v>
      </c>
      <c r="AL12" s="6" t="s">
        <v>80</v>
      </c>
      <c r="AM12" s="6">
        <v>4</v>
      </c>
      <c r="AN12" s="6">
        <v>123.21720000000001</v>
      </c>
      <c r="AO12" s="6">
        <v>4</v>
      </c>
      <c r="AP12" s="6">
        <v>165.63380000000001</v>
      </c>
      <c r="AQ12" s="6">
        <v>4</v>
      </c>
      <c r="AR12" s="6">
        <v>202.7604</v>
      </c>
      <c r="AS12" s="6">
        <v>3</v>
      </c>
      <c r="AT12" s="6">
        <v>100.09</v>
      </c>
      <c r="AU12" s="6">
        <v>3</v>
      </c>
      <c r="AV12" s="6">
        <v>50.1571</v>
      </c>
      <c r="AW12" s="6">
        <f>CHOOSE(MATCH(Setup!$B$5,{8,10,12,14,16},0),AM12,AO12,AQ12,AS12,AU12)</f>
        <v>4</v>
      </c>
      <c r="AX12" s="6">
        <f>CHOOSE(MATCH(Setup!$B$5,{8,10,12,14,16},0),AN12,AP12,AR12,AT12,AV12)</f>
        <v>202.7604</v>
      </c>
      <c r="AY12" s="6">
        <f>ROUND(1+AX12*'Live Calc'!$D$11,0)</f>
        <v>28</v>
      </c>
      <c r="AZ12" s="6"/>
      <c r="BA12" s="6">
        <f>IF(AZ12&lt;&gt;"",AZ12,ROUND(AY12*INDEX('Live Calc'!$D$44:$D$59,MATCH(AW12,'Live Calc'!$A$44:$A$59,0))*'Live Calc'!$J$78,0))</f>
        <v>28</v>
      </c>
      <c r="BC12" s="7" t="s">
        <v>91</v>
      </c>
      <c r="BD12" s="7" t="s">
        <v>42</v>
      </c>
      <c r="BE12" s="7">
        <v>5</v>
      </c>
      <c r="BF12" s="7">
        <v>11.23</v>
      </c>
      <c r="BG12" s="7">
        <v>5</v>
      </c>
      <c r="BH12" s="7">
        <v>12.914099999999999</v>
      </c>
      <c r="BI12" s="7">
        <v>5</v>
      </c>
      <c r="BJ12" s="7">
        <v>21.3352</v>
      </c>
      <c r="BK12" s="7">
        <v>6</v>
      </c>
      <c r="BL12" s="7">
        <v>10.8079</v>
      </c>
      <c r="BM12" s="7">
        <v>6</v>
      </c>
      <c r="BN12" s="7">
        <v>5.4749999999999996</v>
      </c>
      <c r="BO12" s="7">
        <f>CHOOSE(MATCH(Setup!$B$5,{8,10,12,14,16},0),BE12,BG12,BI12,BK12,BM12)</f>
        <v>5</v>
      </c>
      <c r="BP12" s="7">
        <f>CHOOSE(MATCH(Setup!$B$5,{8,10,12,14,16},0),BF12,BH12,BJ12,BL12,BN12)</f>
        <v>21.3352</v>
      </c>
      <c r="BQ12" s="7">
        <f>ROUND(1+BP12*'Live Calc'!$D$12,0)</f>
        <v>8</v>
      </c>
      <c r="BR12" s="7"/>
      <c r="BS12" s="7">
        <f>IF(BR12&lt;&gt;"",BR12,ROUND(BQ12*INDEX('Live Calc'!$D$63:$D$74,MATCH(BO12,'Live Calc'!$A$63:$A$74,0))*'Live Calc'!$J$78,0))</f>
        <v>8</v>
      </c>
    </row>
    <row r="13" spans="1:71" x14ac:dyDescent="0.25">
      <c r="A13" s="4" t="s">
        <v>92</v>
      </c>
      <c r="B13" s="4" t="s">
        <v>80</v>
      </c>
      <c r="C13" s="4">
        <v>5</v>
      </c>
      <c r="D13" s="4">
        <v>10.6022</v>
      </c>
      <c r="E13" s="4">
        <v>5</v>
      </c>
      <c r="F13" s="4">
        <v>12.321999999999999</v>
      </c>
      <c r="G13" s="4">
        <v>5</v>
      </c>
      <c r="H13" s="4">
        <v>24.142399999999999</v>
      </c>
      <c r="I13" s="4">
        <v>5</v>
      </c>
      <c r="J13" s="4">
        <v>15.3194</v>
      </c>
      <c r="K13" s="4">
        <v>5</v>
      </c>
      <c r="L13" s="4">
        <v>5.8007</v>
      </c>
      <c r="M13" s="4">
        <f>CHOOSE(MATCH(Setup!$B$5,{8,10,12,14,16},0),C13,E13,G13,I13,K13)</f>
        <v>5</v>
      </c>
      <c r="N13" s="4">
        <f>CHOOSE(MATCH(Setup!$B$5,{8,10,12,14,16},0),D13,F13,H13,J13,L13)</f>
        <v>24.142399999999999</v>
      </c>
      <c r="O13" s="4">
        <f>ROUND(1+N13*'Live Calc'!$D$9,0)</f>
        <v>6</v>
      </c>
      <c r="P13" s="4"/>
      <c r="Q13" s="4">
        <f>IF(P13&lt;&gt;"",P13,ROUND(O13*INDEX('Live Calc'!$D$16:$D$23,MATCH(M13,'Live Calc'!$A$16:$A$23,0))*'Live Calc'!$J$78,0))</f>
        <v>6</v>
      </c>
      <c r="S13" s="5" t="s">
        <v>93</v>
      </c>
      <c r="T13" s="5" t="s">
        <v>80</v>
      </c>
      <c r="U13" s="5">
        <v>5</v>
      </c>
      <c r="V13" s="5">
        <v>199.39160000000001</v>
      </c>
      <c r="W13" s="5">
        <v>4</v>
      </c>
      <c r="X13" s="5">
        <v>254.6832</v>
      </c>
      <c r="Y13" s="5">
        <v>4</v>
      </c>
      <c r="Z13" s="5">
        <v>252.78829999999999</v>
      </c>
      <c r="AA13" s="5">
        <v>3</v>
      </c>
      <c r="AB13" s="5">
        <v>59.696800000000003</v>
      </c>
      <c r="AC13" s="5">
        <v>3</v>
      </c>
      <c r="AD13" s="5">
        <v>29.01</v>
      </c>
      <c r="AE13" s="5">
        <f>CHOOSE(MATCH(Setup!$B$5,{8,10,12,14,16},0),U13,W13,Y13,AA13,AC13)</f>
        <v>4</v>
      </c>
      <c r="AF13" s="5">
        <f>CHOOSE(MATCH(Setup!$B$5,{8,10,12,14,16},0),V13,X13,Z13,AB13,AD13)</f>
        <v>252.78829999999999</v>
      </c>
      <c r="AG13" s="5">
        <f>ROUND(1+AF13*'Live Calc'!$D$10,0)</f>
        <v>32</v>
      </c>
      <c r="AH13" s="5"/>
      <c r="AI13" s="5">
        <f>IF(AH13&lt;&gt;"",AH13,ROUND(AG13*INDEX('Live Calc'!$D$27:$D$40,MATCH(AE13,'Live Calc'!$A$27:$A$40,0))*'Live Calc'!$J$78,0))</f>
        <v>32</v>
      </c>
      <c r="AK13" s="6" t="s">
        <v>94</v>
      </c>
      <c r="AL13" s="6" t="s">
        <v>95</v>
      </c>
      <c r="AM13" s="6">
        <v>5</v>
      </c>
      <c r="AN13" s="6">
        <v>107.9575</v>
      </c>
      <c r="AO13" s="6">
        <v>5</v>
      </c>
      <c r="AP13" s="6">
        <v>149.74250000000001</v>
      </c>
      <c r="AQ13" s="6">
        <v>5</v>
      </c>
      <c r="AR13" s="6">
        <v>186.42679999999999</v>
      </c>
      <c r="AS13" s="6">
        <v>4</v>
      </c>
      <c r="AT13" s="6">
        <v>92.947999999999993</v>
      </c>
      <c r="AU13" s="6">
        <v>4</v>
      </c>
      <c r="AV13" s="6">
        <v>47.098199999999999</v>
      </c>
      <c r="AW13" s="6">
        <f>CHOOSE(MATCH(Setup!$B$5,{8,10,12,14,16},0),AM13,AO13,AQ13,AS13,AU13)</f>
        <v>5</v>
      </c>
      <c r="AX13" s="6">
        <f>CHOOSE(MATCH(Setup!$B$5,{8,10,12,14,16},0),AN13,AP13,AR13,AT13,AV13)</f>
        <v>186.42679999999999</v>
      </c>
      <c r="AY13" s="6">
        <f>ROUND(1+AX13*'Live Calc'!$D$11,0)</f>
        <v>26</v>
      </c>
      <c r="AZ13" s="6"/>
      <c r="BA13" s="6">
        <f>IF(AZ13&lt;&gt;"",AZ13,ROUND(AY13*INDEX('Live Calc'!$D$44:$D$59,MATCH(AW13,'Live Calc'!$A$44:$A$59,0))*'Live Calc'!$J$78,0))</f>
        <v>26</v>
      </c>
      <c r="BC13" s="7" t="s">
        <v>96</v>
      </c>
      <c r="BD13" s="7" t="s">
        <v>54</v>
      </c>
      <c r="BE13" s="7">
        <v>6</v>
      </c>
      <c r="BF13" s="7">
        <v>6.5339999999999998</v>
      </c>
      <c r="BG13" s="7">
        <v>6</v>
      </c>
      <c r="BH13" s="7">
        <v>9.6847999999999992</v>
      </c>
      <c r="BI13" s="7">
        <v>6</v>
      </c>
      <c r="BJ13" s="7">
        <v>18.302</v>
      </c>
      <c r="BK13" s="7">
        <v>7</v>
      </c>
      <c r="BL13" s="7">
        <v>9.5928000000000004</v>
      </c>
      <c r="BM13" s="7">
        <v>7</v>
      </c>
      <c r="BN13" s="7">
        <v>5.0278999999999998</v>
      </c>
      <c r="BO13" s="7">
        <f>CHOOSE(MATCH(Setup!$B$5,{8,10,12,14,16},0),BE13,BG13,BI13,BK13,BM13)</f>
        <v>6</v>
      </c>
      <c r="BP13" s="7">
        <f>CHOOSE(MATCH(Setup!$B$5,{8,10,12,14,16},0),BF13,BH13,BJ13,BL13,BN13)</f>
        <v>18.302</v>
      </c>
      <c r="BQ13" s="7">
        <f>ROUND(1+BP13*'Live Calc'!$D$12,0)</f>
        <v>7</v>
      </c>
      <c r="BR13" s="7"/>
      <c r="BS13" s="7">
        <f>IF(BR13&lt;&gt;"",BR13,ROUND(BQ13*INDEX('Live Calc'!$D$63:$D$74,MATCH(BO13,'Live Calc'!$A$63:$A$74,0))*'Live Calc'!$J$78,0))</f>
        <v>7</v>
      </c>
    </row>
    <row r="14" spans="1:71" x14ac:dyDescent="0.25">
      <c r="A14" s="4" t="s">
        <v>97</v>
      </c>
      <c r="B14" s="4" t="s">
        <v>42</v>
      </c>
      <c r="C14" s="4">
        <v>5</v>
      </c>
      <c r="D14" s="4">
        <v>10.558400000000001</v>
      </c>
      <c r="E14" s="4">
        <v>5</v>
      </c>
      <c r="F14" s="4">
        <v>12.294</v>
      </c>
      <c r="G14" s="4">
        <v>5</v>
      </c>
      <c r="H14" s="4">
        <v>24.1082</v>
      </c>
      <c r="I14" s="4">
        <v>5</v>
      </c>
      <c r="J14" s="4">
        <v>15.300800000000001</v>
      </c>
      <c r="K14" s="4">
        <v>5</v>
      </c>
      <c r="L14" s="4">
        <v>5.7914000000000003</v>
      </c>
      <c r="M14" s="4">
        <f>CHOOSE(MATCH(Setup!$B$5,{8,10,12,14,16},0),C14,E14,G14,I14,K14)</f>
        <v>5</v>
      </c>
      <c r="N14" s="4">
        <f>CHOOSE(MATCH(Setup!$B$5,{8,10,12,14,16},0),D14,F14,H14,J14,L14)</f>
        <v>24.1082</v>
      </c>
      <c r="O14" s="4">
        <f>ROUND(1+N14*'Live Calc'!$D$9,0)</f>
        <v>6</v>
      </c>
      <c r="P14" s="4"/>
      <c r="Q14" s="4">
        <f>IF(P14&lt;&gt;"",P14,ROUND(O14*INDEX('Live Calc'!$D$16:$D$23,MATCH(M14,'Live Calc'!$A$16:$A$23,0))*'Live Calc'!$J$78,0))</f>
        <v>6</v>
      </c>
      <c r="S14" s="5" t="s">
        <v>98</v>
      </c>
      <c r="T14" s="5" t="s">
        <v>65</v>
      </c>
      <c r="U14" s="5">
        <v>5</v>
      </c>
      <c r="V14" s="5">
        <v>196.0087</v>
      </c>
      <c r="W14" s="5">
        <v>4</v>
      </c>
      <c r="X14" s="5">
        <v>251.1585</v>
      </c>
      <c r="Y14" s="5">
        <v>4</v>
      </c>
      <c r="Z14" s="5">
        <v>250.02629999999999</v>
      </c>
      <c r="AA14" s="5">
        <v>3</v>
      </c>
      <c r="AB14" s="5">
        <v>59.213999999999999</v>
      </c>
      <c r="AC14" s="5">
        <v>3</v>
      </c>
      <c r="AD14" s="5">
        <v>28.816600000000001</v>
      </c>
      <c r="AE14" s="5">
        <f>CHOOSE(MATCH(Setup!$B$5,{8,10,12,14,16},0),U14,W14,Y14,AA14,AC14)</f>
        <v>4</v>
      </c>
      <c r="AF14" s="5">
        <f>CHOOSE(MATCH(Setup!$B$5,{8,10,12,14,16},0),V14,X14,Z14,AB14,AD14)</f>
        <v>250.02629999999999</v>
      </c>
      <c r="AG14" s="5">
        <f>ROUND(1+AF14*'Live Calc'!$D$10,0)</f>
        <v>31</v>
      </c>
      <c r="AH14" s="5"/>
      <c r="AI14" s="5">
        <f>IF(AH14&lt;&gt;"",AH14,ROUND(AG14*INDEX('Live Calc'!$D$27:$D$40,MATCH(AE14,'Live Calc'!$A$27:$A$40,0))*'Live Calc'!$J$78,0))</f>
        <v>31</v>
      </c>
      <c r="AK14" s="6" t="s">
        <v>99</v>
      </c>
      <c r="AL14" s="6" t="s">
        <v>32</v>
      </c>
      <c r="AM14" s="6">
        <v>6</v>
      </c>
      <c r="AN14" s="6">
        <v>94.2179</v>
      </c>
      <c r="AO14" s="6">
        <v>6</v>
      </c>
      <c r="AP14" s="6">
        <v>135.37209999999999</v>
      </c>
      <c r="AQ14" s="6">
        <v>6</v>
      </c>
      <c r="AR14" s="6">
        <v>171.62270000000001</v>
      </c>
      <c r="AS14" s="6">
        <v>5</v>
      </c>
      <c r="AT14" s="6">
        <v>86.403999999999996</v>
      </c>
      <c r="AU14" s="6">
        <v>5</v>
      </c>
      <c r="AV14" s="6">
        <v>44.264299999999999</v>
      </c>
      <c r="AW14" s="6">
        <f>CHOOSE(MATCH(Setup!$B$5,{8,10,12,14,16},0),AM14,AO14,AQ14,AS14,AU14)</f>
        <v>6</v>
      </c>
      <c r="AX14" s="6">
        <f>CHOOSE(MATCH(Setup!$B$5,{8,10,12,14,16},0),AN14,AP14,AR14,AT14,AV14)</f>
        <v>171.62270000000001</v>
      </c>
      <c r="AY14" s="6">
        <f>ROUND(1+AX14*'Live Calc'!$D$11,0)</f>
        <v>24</v>
      </c>
      <c r="AZ14" s="6"/>
      <c r="BA14" s="6">
        <f>IF(AZ14&lt;&gt;"",AZ14,ROUND(AY14*INDEX('Live Calc'!$D$44:$D$59,MATCH(AW14,'Live Calc'!$A$44:$A$59,0))*'Live Calc'!$J$78,0))</f>
        <v>24</v>
      </c>
      <c r="BC14" s="7" t="s">
        <v>100</v>
      </c>
      <c r="BD14" s="7" t="s">
        <v>24</v>
      </c>
      <c r="BE14" s="7">
        <v>6</v>
      </c>
      <c r="BF14" s="7">
        <v>5.8259999999999996</v>
      </c>
      <c r="BG14" s="7">
        <v>6</v>
      </c>
      <c r="BH14" s="7">
        <v>9.1882999999999999</v>
      </c>
      <c r="BI14" s="7">
        <v>6</v>
      </c>
      <c r="BJ14" s="7">
        <v>17.8401</v>
      </c>
      <c r="BK14" s="7">
        <v>7</v>
      </c>
      <c r="BL14" s="7">
        <v>9.4039000000000001</v>
      </c>
      <c r="BM14" s="7">
        <v>7</v>
      </c>
      <c r="BN14" s="7">
        <v>4.9569999999999999</v>
      </c>
      <c r="BO14" s="7">
        <f>CHOOSE(MATCH(Setup!$B$5,{8,10,12,14,16},0),BE14,BG14,BI14,BK14,BM14)</f>
        <v>6</v>
      </c>
      <c r="BP14" s="7">
        <f>CHOOSE(MATCH(Setup!$B$5,{8,10,12,14,16},0),BF14,BH14,BJ14,BL14,BN14)</f>
        <v>17.8401</v>
      </c>
      <c r="BQ14" s="7">
        <f>ROUND(1+BP14*'Live Calc'!$D$12,0)</f>
        <v>7</v>
      </c>
      <c r="BR14" s="7"/>
      <c r="BS14" s="7">
        <f>IF(BR14&lt;&gt;"",BR14,ROUND(BQ14*INDEX('Live Calc'!$D$63:$D$74,MATCH(BO14,'Live Calc'!$A$63:$A$74,0))*'Live Calc'!$J$78,0))</f>
        <v>7</v>
      </c>
    </row>
    <row r="15" spans="1:71" x14ac:dyDescent="0.25">
      <c r="A15" s="4" t="s">
        <v>101</v>
      </c>
      <c r="B15" s="4" t="s">
        <v>102</v>
      </c>
      <c r="C15" s="4">
        <v>6</v>
      </c>
      <c r="D15" s="4">
        <v>7.1382000000000003</v>
      </c>
      <c r="E15" s="4">
        <v>6</v>
      </c>
      <c r="F15" s="4">
        <v>10.054</v>
      </c>
      <c r="G15" s="4">
        <v>5</v>
      </c>
      <c r="H15" s="4">
        <v>21.379000000000001</v>
      </c>
      <c r="I15" s="4">
        <v>5</v>
      </c>
      <c r="J15" s="4">
        <v>13.8035</v>
      </c>
      <c r="K15" s="4">
        <v>6</v>
      </c>
      <c r="L15" s="4">
        <v>5.0308000000000002</v>
      </c>
      <c r="M15" s="4">
        <f>CHOOSE(MATCH(Setup!$B$5,{8,10,12,14,16},0),C15,E15,G15,I15,K15)</f>
        <v>5</v>
      </c>
      <c r="N15" s="4">
        <f>CHOOSE(MATCH(Setup!$B$5,{8,10,12,14,16},0),D15,F15,H15,J15,L15)</f>
        <v>21.379000000000001</v>
      </c>
      <c r="O15" s="4">
        <f>ROUND(1+N15*'Live Calc'!$D$9,0)</f>
        <v>5</v>
      </c>
      <c r="P15" s="4"/>
      <c r="Q15" s="4">
        <f>IF(P15&lt;&gt;"",P15,ROUND(O15*INDEX('Live Calc'!$D$16:$D$23,MATCH(M15,'Live Calc'!$A$16:$A$23,0))*'Live Calc'!$J$78,0))</f>
        <v>5</v>
      </c>
      <c r="S15" s="5" t="s">
        <v>103</v>
      </c>
      <c r="T15" s="5" t="s">
        <v>30</v>
      </c>
      <c r="U15" s="5">
        <v>5</v>
      </c>
      <c r="V15" s="5">
        <v>180.09710000000001</v>
      </c>
      <c r="W15" s="5">
        <v>4</v>
      </c>
      <c r="X15" s="5">
        <v>234.55369999999999</v>
      </c>
      <c r="Y15" s="5">
        <v>4</v>
      </c>
      <c r="Z15" s="5">
        <v>236.98009999999999</v>
      </c>
      <c r="AA15" s="5">
        <v>4</v>
      </c>
      <c r="AB15" s="5">
        <v>56.914400000000001</v>
      </c>
      <c r="AC15" s="5">
        <v>4</v>
      </c>
      <c r="AD15" s="5">
        <v>27.8918</v>
      </c>
      <c r="AE15" s="5">
        <f>CHOOSE(MATCH(Setup!$B$5,{8,10,12,14,16},0),U15,W15,Y15,AA15,AC15)</f>
        <v>4</v>
      </c>
      <c r="AF15" s="5">
        <f>CHOOSE(MATCH(Setup!$B$5,{8,10,12,14,16},0),V15,X15,Z15,AB15,AD15)</f>
        <v>236.98009999999999</v>
      </c>
      <c r="AG15" s="5">
        <f>ROUND(1+AF15*'Live Calc'!$D$10,0)</f>
        <v>30</v>
      </c>
      <c r="AH15" s="5"/>
      <c r="AI15" s="5">
        <f>IF(AH15&lt;&gt;"",AH15,ROUND(AG15*INDEX('Live Calc'!$D$27:$D$40,MATCH(AE15,'Live Calc'!$A$27:$A$40,0))*'Live Calc'!$J$78,0))</f>
        <v>30</v>
      </c>
      <c r="AK15" s="6" t="s">
        <v>104</v>
      </c>
      <c r="AL15" s="6" t="s">
        <v>54</v>
      </c>
      <c r="AM15" s="6">
        <v>6</v>
      </c>
      <c r="AN15" s="6">
        <v>93.668800000000005</v>
      </c>
      <c r="AO15" s="6">
        <v>6</v>
      </c>
      <c r="AP15" s="6">
        <v>134.79640000000001</v>
      </c>
      <c r="AQ15" s="6">
        <v>6</v>
      </c>
      <c r="AR15" s="6">
        <v>171.02889999999999</v>
      </c>
      <c r="AS15" s="6">
        <v>5</v>
      </c>
      <c r="AT15" s="6">
        <v>86.14</v>
      </c>
      <c r="AU15" s="6">
        <v>5</v>
      </c>
      <c r="AV15" s="6">
        <v>44.149299999999997</v>
      </c>
      <c r="AW15" s="6">
        <f>CHOOSE(MATCH(Setup!$B$5,{8,10,12,14,16},0),AM15,AO15,AQ15,AS15,AU15)</f>
        <v>6</v>
      </c>
      <c r="AX15" s="6">
        <f>CHOOSE(MATCH(Setup!$B$5,{8,10,12,14,16},0),AN15,AP15,AR15,AT15,AV15)</f>
        <v>171.02889999999999</v>
      </c>
      <c r="AY15" s="6">
        <f>ROUND(1+AX15*'Live Calc'!$D$11,0)</f>
        <v>24</v>
      </c>
      <c r="AZ15" s="6"/>
      <c r="BA15" s="6">
        <f>IF(AZ15&lt;&gt;"",AZ15,ROUND(AY15*INDEX('Live Calc'!$D$44:$D$59,MATCH(AW15,'Live Calc'!$A$44:$A$59,0))*'Live Calc'!$J$78,0))</f>
        <v>24</v>
      </c>
      <c r="BC15" s="7" t="s">
        <v>105</v>
      </c>
      <c r="BD15" s="7" t="s">
        <v>57</v>
      </c>
      <c r="BE15" s="7">
        <v>6</v>
      </c>
      <c r="BF15" s="7">
        <v>5.1840000000000002</v>
      </c>
      <c r="BG15" s="7">
        <v>6</v>
      </c>
      <c r="BH15" s="7">
        <v>8.7354000000000003</v>
      </c>
      <c r="BI15" s="7">
        <v>6</v>
      </c>
      <c r="BJ15" s="7">
        <v>17.420000000000002</v>
      </c>
      <c r="BK15" s="7">
        <v>7</v>
      </c>
      <c r="BL15" s="7">
        <v>9.2311999999999994</v>
      </c>
      <c r="BM15" s="7">
        <v>7</v>
      </c>
      <c r="BN15" s="7">
        <v>4.8917999999999999</v>
      </c>
      <c r="BO15" s="7">
        <f>CHOOSE(MATCH(Setup!$B$5,{8,10,12,14,16},0),BE15,BG15,BI15,BK15,BM15)</f>
        <v>6</v>
      </c>
      <c r="BP15" s="7">
        <f>CHOOSE(MATCH(Setup!$B$5,{8,10,12,14,16},0),BF15,BH15,BJ15,BL15,BN15)</f>
        <v>17.420000000000002</v>
      </c>
      <c r="BQ15" s="7">
        <f>ROUND(1+BP15*'Live Calc'!$D$12,0)</f>
        <v>7</v>
      </c>
      <c r="BR15" s="7"/>
      <c r="BS15" s="7">
        <f>IF(BR15&lt;&gt;"",BR15,ROUND(BQ15*INDEX('Live Calc'!$D$63:$D$74,MATCH(BO15,'Live Calc'!$A$63:$A$74,0))*'Live Calc'!$J$78,0))</f>
        <v>7</v>
      </c>
    </row>
    <row r="16" spans="1:71" x14ac:dyDescent="0.25">
      <c r="A16" s="4" t="s">
        <v>106</v>
      </c>
      <c r="B16" s="4" t="s">
        <v>28</v>
      </c>
      <c r="C16" s="4">
        <v>7</v>
      </c>
      <c r="D16" s="4">
        <v>0</v>
      </c>
      <c r="E16" s="4">
        <v>7</v>
      </c>
      <c r="F16" s="4">
        <v>4.53</v>
      </c>
      <c r="G16" s="4">
        <v>6</v>
      </c>
      <c r="H16" s="4">
        <v>14.7239</v>
      </c>
      <c r="I16" s="4">
        <v>6</v>
      </c>
      <c r="J16" s="4">
        <v>10.0268</v>
      </c>
      <c r="K16" s="4">
        <v>7</v>
      </c>
      <c r="L16" s="4">
        <v>2.8792</v>
      </c>
      <c r="M16" s="4">
        <f>CHOOSE(MATCH(Setup!$B$5,{8,10,12,14,16},0),C16,E16,G16,I16,K16)</f>
        <v>6</v>
      </c>
      <c r="N16" s="4">
        <f>CHOOSE(MATCH(Setup!$B$5,{8,10,12,14,16},0),D16,F16,H16,J16,L16)</f>
        <v>14.7239</v>
      </c>
      <c r="O16" s="4">
        <f>ROUND(1+N16*'Live Calc'!$D$9,0)</f>
        <v>4</v>
      </c>
      <c r="P16" s="4"/>
      <c r="Q16" s="4">
        <f>IF(P16&lt;&gt;"",P16,ROUND(O16*INDEX('Live Calc'!$D$16:$D$23,MATCH(M16,'Live Calc'!$A$16:$A$23,0))*'Live Calc'!$J$78,0))</f>
        <v>4</v>
      </c>
      <c r="S16" s="5" t="s">
        <v>107</v>
      </c>
      <c r="T16" s="5" t="s">
        <v>108</v>
      </c>
      <c r="U16" s="5">
        <v>5</v>
      </c>
      <c r="V16" s="5">
        <v>167.56739999999999</v>
      </c>
      <c r="W16" s="5">
        <v>4</v>
      </c>
      <c r="X16" s="5">
        <v>221.4444</v>
      </c>
      <c r="Y16" s="5">
        <v>4</v>
      </c>
      <c r="Z16" s="5">
        <v>226.63800000000001</v>
      </c>
      <c r="AA16" s="5">
        <v>4</v>
      </c>
      <c r="AB16" s="5">
        <v>55.067799999999998</v>
      </c>
      <c r="AC16" s="5">
        <v>4</v>
      </c>
      <c r="AD16" s="5">
        <v>27.144400000000001</v>
      </c>
      <c r="AE16" s="5">
        <f>CHOOSE(MATCH(Setup!$B$5,{8,10,12,14,16},0),U16,W16,Y16,AA16,AC16)</f>
        <v>4</v>
      </c>
      <c r="AF16" s="5">
        <f>CHOOSE(MATCH(Setup!$B$5,{8,10,12,14,16},0),V16,X16,Z16,AB16,AD16)</f>
        <v>226.63800000000001</v>
      </c>
      <c r="AG16" s="5">
        <f>ROUND(1+AF16*'Live Calc'!$D$10,0)</f>
        <v>29</v>
      </c>
      <c r="AH16" s="5"/>
      <c r="AI16" s="5">
        <f>IF(AH16&lt;&gt;"",AH16,ROUND(AG16*INDEX('Live Calc'!$D$27:$D$40,MATCH(AE16,'Live Calc'!$A$27:$A$40,0))*'Live Calc'!$J$78,0))</f>
        <v>29</v>
      </c>
      <c r="AK16" s="6" t="s">
        <v>109</v>
      </c>
      <c r="AL16" s="6" t="s">
        <v>36</v>
      </c>
      <c r="AM16" s="6">
        <v>6</v>
      </c>
      <c r="AN16" s="6">
        <v>93.003799999999998</v>
      </c>
      <c r="AO16" s="6">
        <v>6</v>
      </c>
      <c r="AP16" s="6">
        <v>134.09889999999999</v>
      </c>
      <c r="AQ16" s="6">
        <v>6</v>
      </c>
      <c r="AR16" s="6">
        <v>170.30940000000001</v>
      </c>
      <c r="AS16" s="6">
        <v>5</v>
      </c>
      <c r="AT16" s="6">
        <v>85.82</v>
      </c>
      <c r="AU16" s="6">
        <v>5</v>
      </c>
      <c r="AV16" s="6">
        <v>44.009900000000002</v>
      </c>
      <c r="AW16" s="6">
        <f>CHOOSE(MATCH(Setup!$B$5,{8,10,12,14,16},0),AM16,AO16,AQ16,AS16,AU16)</f>
        <v>6</v>
      </c>
      <c r="AX16" s="6">
        <f>CHOOSE(MATCH(Setup!$B$5,{8,10,12,14,16},0),AN16,AP16,AR16,AT16,AV16)</f>
        <v>170.30940000000001</v>
      </c>
      <c r="AY16" s="6">
        <f>ROUND(1+AX16*'Live Calc'!$D$11,0)</f>
        <v>24</v>
      </c>
      <c r="AZ16" s="6"/>
      <c r="BA16" s="6">
        <f>IF(AZ16&lt;&gt;"",AZ16,ROUND(AY16*INDEX('Live Calc'!$D$44:$D$59,MATCH(AW16,'Live Calc'!$A$44:$A$59,0))*'Live Calc'!$J$78,0))</f>
        <v>24</v>
      </c>
      <c r="BC16" s="7" t="s">
        <v>110</v>
      </c>
      <c r="BD16" s="7" t="s">
        <v>67</v>
      </c>
      <c r="BE16" s="7">
        <v>6</v>
      </c>
      <c r="BF16" s="7">
        <v>0.876</v>
      </c>
      <c r="BG16" s="7">
        <v>6</v>
      </c>
      <c r="BH16" s="7">
        <v>5.6182999999999996</v>
      </c>
      <c r="BI16" s="7">
        <v>7</v>
      </c>
      <c r="BJ16" s="7">
        <v>14.5703</v>
      </c>
      <c r="BK16" s="7">
        <v>8</v>
      </c>
      <c r="BL16" s="7">
        <v>8.0337999999999994</v>
      </c>
      <c r="BM16" s="7">
        <v>8</v>
      </c>
      <c r="BN16" s="7">
        <v>4.4297000000000004</v>
      </c>
      <c r="BO16" s="7">
        <f>CHOOSE(MATCH(Setup!$B$5,{8,10,12,14,16},0),BE16,BG16,BI16,BK16,BM16)</f>
        <v>7</v>
      </c>
      <c r="BP16" s="7">
        <f>CHOOSE(MATCH(Setup!$B$5,{8,10,12,14,16},0),BF16,BH16,BJ16,BL16,BN16)</f>
        <v>14.5703</v>
      </c>
      <c r="BQ16" s="7">
        <f>ROUND(1+BP16*'Live Calc'!$D$12,0)</f>
        <v>6</v>
      </c>
      <c r="BR16" s="7"/>
      <c r="BS16" s="7">
        <f>IF(BR16&lt;&gt;"",BR16,ROUND(BQ16*INDEX('Live Calc'!$D$63:$D$74,MATCH(BO16,'Live Calc'!$A$63:$A$74,0))*'Live Calc'!$J$78,0))</f>
        <v>6</v>
      </c>
    </row>
    <row r="17" spans="1:71" x14ac:dyDescent="0.25">
      <c r="A17" s="4" t="s">
        <v>111</v>
      </c>
      <c r="B17" s="4" t="s">
        <v>26</v>
      </c>
      <c r="C17" s="4">
        <v>7</v>
      </c>
      <c r="D17" s="4">
        <v>0</v>
      </c>
      <c r="E17" s="4">
        <v>8</v>
      </c>
      <c r="F17" s="4">
        <v>0</v>
      </c>
      <c r="G17" s="4">
        <v>6</v>
      </c>
      <c r="H17" s="4">
        <v>9.3712</v>
      </c>
      <c r="I17" s="4">
        <v>6</v>
      </c>
      <c r="J17" s="4">
        <v>6.8071999999999999</v>
      </c>
      <c r="K17" s="4">
        <v>8</v>
      </c>
      <c r="L17" s="4">
        <v>0</v>
      </c>
      <c r="M17" s="4">
        <f>CHOOSE(MATCH(Setup!$B$5,{8,10,12,14,16},0),C17,E17,G17,I17,K17)</f>
        <v>6</v>
      </c>
      <c r="N17" s="4">
        <f>CHOOSE(MATCH(Setup!$B$5,{8,10,12,14,16},0),D17,F17,H17,J17,L17)</f>
        <v>9.3712</v>
      </c>
      <c r="O17" s="4">
        <f>ROUND(1+N17*'Live Calc'!$D$9,0)</f>
        <v>3</v>
      </c>
      <c r="P17" s="4"/>
      <c r="Q17" s="4">
        <f>IF(P17&lt;&gt;"",P17,ROUND(O17*INDEX('Live Calc'!$D$16:$D$23,MATCH(M17,'Live Calc'!$A$16:$A$23,0))*'Live Calc'!$J$78,0))</f>
        <v>3</v>
      </c>
      <c r="S17" s="5" t="s">
        <v>112</v>
      </c>
      <c r="T17" s="5" t="s">
        <v>28</v>
      </c>
      <c r="U17" s="5">
        <v>5</v>
      </c>
      <c r="V17" s="5">
        <v>162.77780000000001</v>
      </c>
      <c r="W17" s="5">
        <v>4</v>
      </c>
      <c r="X17" s="5">
        <v>216.42439999999999</v>
      </c>
      <c r="Y17" s="5">
        <v>4</v>
      </c>
      <c r="Z17" s="5">
        <v>222.6671</v>
      </c>
      <c r="AA17" s="5">
        <v>4</v>
      </c>
      <c r="AB17" s="5">
        <v>54.353099999999998</v>
      </c>
      <c r="AC17" s="5">
        <v>4</v>
      </c>
      <c r="AD17" s="5">
        <v>26.853899999999999</v>
      </c>
      <c r="AE17" s="5">
        <f>CHOOSE(MATCH(Setup!$B$5,{8,10,12,14,16},0),U17,W17,Y17,AA17,AC17)</f>
        <v>4</v>
      </c>
      <c r="AF17" s="5">
        <f>CHOOSE(MATCH(Setup!$B$5,{8,10,12,14,16},0),V17,X17,Z17,AB17,AD17)</f>
        <v>222.6671</v>
      </c>
      <c r="AG17" s="5">
        <f>ROUND(1+AF17*'Live Calc'!$D$10,0)</f>
        <v>28</v>
      </c>
      <c r="AH17" s="5"/>
      <c r="AI17" s="5">
        <f>IF(AH17&lt;&gt;"",AH17,ROUND(AG17*INDEX('Live Calc'!$D$27:$D$40,MATCH(AE17,'Live Calc'!$A$27:$A$40,0))*'Live Calc'!$J$78,0))</f>
        <v>28</v>
      </c>
      <c r="AK17" s="6" t="s">
        <v>113</v>
      </c>
      <c r="AL17" s="6" t="s">
        <v>108</v>
      </c>
      <c r="AM17" s="6">
        <v>6</v>
      </c>
      <c r="AN17" s="6">
        <v>87.459199999999996</v>
      </c>
      <c r="AO17" s="6">
        <v>6</v>
      </c>
      <c r="AP17" s="6">
        <v>128.27690000000001</v>
      </c>
      <c r="AQ17" s="6">
        <v>6</v>
      </c>
      <c r="AR17" s="6">
        <v>164.2998</v>
      </c>
      <c r="AS17" s="6">
        <v>5</v>
      </c>
      <c r="AT17" s="6">
        <v>83.14</v>
      </c>
      <c r="AU17" s="6">
        <v>5</v>
      </c>
      <c r="AV17" s="6">
        <v>42.838900000000002</v>
      </c>
      <c r="AW17" s="6">
        <f>CHOOSE(MATCH(Setup!$B$5,{8,10,12,14,16},0),AM17,AO17,AQ17,AS17,AU17)</f>
        <v>6</v>
      </c>
      <c r="AX17" s="6">
        <f>CHOOSE(MATCH(Setup!$B$5,{8,10,12,14,16},0),AN17,AP17,AR17,AT17,AV17)</f>
        <v>164.2998</v>
      </c>
      <c r="AY17" s="6">
        <f>ROUND(1+AX17*'Live Calc'!$D$11,0)</f>
        <v>23</v>
      </c>
      <c r="AZ17" s="6"/>
      <c r="BA17" s="6">
        <f>IF(AZ17&lt;&gt;"",AZ17,ROUND(AY17*INDEX('Live Calc'!$D$44:$D$59,MATCH(AW17,'Live Calc'!$A$44:$A$59,0))*'Live Calc'!$J$78,0))</f>
        <v>23</v>
      </c>
      <c r="BC17" s="7" t="s">
        <v>114</v>
      </c>
      <c r="BD17" s="7" t="s">
        <v>40</v>
      </c>
      <c r="BE17" s="7">
        <v>7</v>
      </c>
      <c r="BF17" s="7">
        <v>0</v>
      </c>
      <c r="BG17" s="7">
        <v>6</v>
      </c>
      <c r="BH17" s="7">
        <v>4.9630999999999998</v>
      </c>
      <c r="BI17" s="7">
        <v>7</v>
      </c>
      <c r="BJ17" s="7">
        <v>13.983599999999999</v>
      </c>
      <c r="BK17" s="7">
        <v>8</v>
      </c>
      <c r="BL17" s="7">
        <v>7.7809999999999997</v>
      </c>
      <c r="BM17" s="7">
        <v>8</v>
      </c>
      <c r="BN17" s="7">
        <v>4.3296999999999999</v>
      </c>
      <c r="BO17" s="7">
        <f>CHOOSE(MATCH(Setup!$B$5,{8,10,12,14,16},0),BE17,BG17,BI17,BK17,BM17)</f>
        <v>7</v>
      </c>
      <c r="BP17" s="7">
        <f>CHOOSE(MATCH(Setup!$B$5,{8,10,12,14,16},0),BF17,BH17,BJ17,BL17,BN17)</f>
        <v>13.983599999999999</v>
      </c>
      <c r="BQ17" s="7">
        <f>ROUND(1+BP17*'Live Calc'!$D$12,0)</f>
        <v>6</v>
      </c>
      <c r="BR17" s="7"/>
      <c r="BS17" s="7">
        <f>IF(BR17&lt;&gt;"",BR17,ROUND(BQ17*INDEX('Live Calc'!$D$63:$D$74,MATCH(BO17,'Live Calc'!$A$63:$A$74,0))*'Live Calc'!$J$78,0))</f>
        <v>6</v>
      </c>
    </row>
    <row r="18" spans="1:71" x14ac:dyDescent="0.25">
      <c r="A18" s="4" t="s">
        <v>115</v>
      </c>
      <c r="B18" s="4" t="s">
        <v>70</v>
      </c>
      <c r="C18" s="4">
        <v>7</v>
      </c>
      <c r="D18" s="4">
        <v>0</v>
      </c>
      <c r="E18" s="4">
        <v>8</v>
      </c>
      <c r="F18" s="4">
        <v>0</v>
      </c>
      <c r="G18" s="4">
        <v>6</v>
      </c>
      <c r="H18" s="4">
        <v>6.9901999999999997</v>
      </c>
      <c r="I18" s="4">
        <v>6</v>
      </c>
      <c r="J18" s="4">
        <v>5.2948000000000004</v>
      </c>
      <c r="K18" s="4">
        <v>8</v>
      </c>
      <c r="L18" s="4">
        <v>0</v>
      </c>
      <c r="M18" s="4">
        <f>CHOOSE(MATCH(Setup!$B$5,{8,10,12,14,16},0),C18,E18,G18,I18,K18)</f>
        <v>6</v>
      </c>
      <c r="N18" s="4">
        <f>CHOOSE(MATCH(Setup!$B$5,{8,10,12,14,16},0),D18,F18,H18,J18,L18)</f>
        <v>6.9901999999999997</v>
      </c>
      <c r="O18" s="4">
        <f>ROUND(1+N18*'Live Calc'!$D$9,0)</f>
        <v>2</v>
      </c>
      <c r="P18" s="4"/>
      <c r="Q18" s="4">
        <f>IF(P18&lt;&gt;"",P18,ROUND(O18*INDEX('Live Calc'!$D$16:$D$23,MATCH(M18,'Live Calc'!$A$16:$A$23,0))*'Live Calc'!$J$78,0))</f>
        <v>2</v>
      </c>
      <c r="S18" s="5" t="s">
        <v>116</v>
      </c>
      <c r="T18" s="5" t="s">
        <v>57</v>
      </c>
      <c r="U18" s="5">
        <v>5</v>
      </c>
      <c r="V18" s="5">
        <v>162.05459999999999</v>
      </c>
      <c r="W18" s="5">
        <v>4</v>
      </c>
      <c r="X18" s="5">
        <v>215.666</v>
      </c>
      <c r="Y18" s="5">
        <v>4</v>
      </c>
      <c r="Z18" s="5">
        <v>222.0667</v>
      </c>
      <c r="AA18" s="5">
        <v>4</v>
      </c>
      <c r="AB18" s="5">
        <v>54.244700000000002</v>
      </c>
      <c r="AC18" s="5">
        <v>4</v>
      </c>
      <c r="AD18" s="5">
        <v>26.809799999999999</v>
      </c>
      <c r="AE18" s="5">
        <f>CHOOSE(MATCH(Setup!$B$5,{8,10,12,14,16},0),U18,W18,Y18,AA18,AC18)</f>
        <v>4</v>
      </c>
      <c r="AF18" s="5">
        <f>CHOOSE(MATCH(Setup!$B$5,{8,10,12,14,16},0),V18,X18,Z18,AB18,AD18)</f>
        <v>222.0667</v>
      </c>
      <c r="AG18" s="5">
        <f>ROUND(1+AF18*'Live Calc'!$D$10,0)</f>
        <v>28</v>
      </c>
      <c r="AH18" s="5"/>
      <c r="AI18" s="5">
        <f>IF(AH18&lt;&gt;"",AH18,ROUND(AG18*INDEX('Live Calc'!$D$27:$D$40,MATCH(AE18,'Live Calc'!$A$27:$A$40,0))*'Live Calc'!$J$78,0))</f>
        <v>28</v>
      </c>
      <c r="AK18" s="6" t="s">
        <v>117</v>
      </c>
      <c r="AL18" s="6" t="s">
        <v>67</v>
      </c>
      <c r="AM18" s="6">
        <v>6</v>
      </c>
      <c r="AN18" s="6">
        <v>84.506900000000002</v>
      </c>
      <c r="AO18" s="6">
        <v>6</v>
      </c>
      <c r="AP18" s="6">
        <v>125.17140000000001</v>
      </c>
      <c r="AQ18" s="6">
        <v>6</v>
      </c>
      <c r="AR18" s="6">
        <v>161.09129999999999</v>
      </c>
      <c r="AS18" s="6">
        <v>5</v>
      </c>
      <c r="AT18" s="6">
        <v>81.703999999999994</v>
      </c>
      <c r="AU18" s="6">
        <v>5</v>
      </c>
      <c r="AV18" s="6">
        <v>42.209200000000003</v>
      </c>
      <c r="AW18" s="6">
        <f>CHOOSE(MATCH(Setup!$B$5,{8,10,12,14,16},0),AM18,AO18,AQ18,AS18,AU18)</f>
        <v>6</v>
      </c>
      <c r="AX18" s="6">
        <f>CHOOSE(MATCH(Setup!$B$5,{8,10,12,14,16},0),AN18,AP18,AR18,AT18,AV18)</f>
        <v>161.09129999999999</v>
      </c>
      <c r="AY18" s="6">
        <f>ROUND(1+AX18*'Live Calc'!$D$11,0)</f>
        <v>22</v>
      </c>
      <c r="AZ18" s="6"/>
      <c r="BA18" s="6">
        <f>IF(AZ18&lt;&gt;"",AZ18,ROUND(AY18*INDEX('Live Calc'!$D$44:$D$59,MATCH(AW18,'Live Calc'!$A$44:$A$59,0))*'Live Calc'!$J$78,0))</f>
        <v>22</v>
      </c>
      <c r="BC18" s="7" t="s">
        <v>118</v>
      </c>
      <c r="BD18" s="7" t="s">
        <v>95</v>
      </c>
      <c r="BE18" s="7">
        <v>7</v>
      </c>
      <c r="BF18" s="7">
        <v>0</v>
      </c>
      <c r="BG18" s="7">
        <v>7</v>
      </c>
      <c r="BH18" s="7">
        <v>0.65790000000000004</v>
      </c>
      <c r="BI18" s="7">
        <v>8</v>
      </c>
      <c r="BJ18" s="7">
        <v>10.3675</v>
      </c>
      <c r="BK18" s="7">
        <v>9</v>
      </c>
      <c r="BL18" s="7">
        <v>6.1654999999999998</v>
      </c>
      <c r="BM18" s="7">
        <v>9</v>
      </c>
      <c r="BN18" s="7">
        <v>3.6665999999999999</v>
      </c>
      <c r="BO18" s="7">
        <f>CHOOSE(MATCH(Setup!$B$5,{8,10,12,14,16},0),BE18,BG18,BI18,BK18,BM18)</f>
        <v>8</v>
      </c>
      <c r="BP18" s="7">
        <f>CHOOSE(MATCH(Setup!$B$5,{8,10,12,14,16},0),BF18,BH18,BJ18,BL18,BN18)</f>
        <v>10.3675</v>
      </c>
      <c r="BQ18" s="7">
        <f>ROUND(1+BP18*'Live Calc'!$D$12,0)</f>
        <v>4</v>
      </c>
      <c r="BR18" s="7"/>
      <c r="BS18" s="7">
        <f>IF(BR18&lt;&gt;"",BR18,ROUND(BQ18*INDEX('Live Calc'!$D$63:$D$74,MATCH(BO18,'Live Calc'!$A$63:$A$74,0))*'Live Calc'!$J$78,0))</f>
        <v>4</v>
      </c>
    </row>
    <row r="19" spans="1:71" x14ac:dyDescent="0.25">
      <c r="A19" s="4" t="s">
        <v>119</v>
      </c>
      <c r="B19" s="4" t="s">
        <v>120</v>
      </c>
      <c r="C19" s="4">
        <v>7</v>
      </c>
      <c r="D19" s="4">
        <v>0</v>
      </c>
      <c r="E19" s="4">
        <v>8</v>
      </c>
      <c r="F19" s="4">
        <v>0</v>
      </c>
      <c r="G19" s="4">
        <v>6</v>
      </c>
      <c r="H19" s="4">
        <v>0.52359999999999995</v>
      </c>
      <c r="I19" s="4">
        <v>7</v>
      </c>
      <c r="J19" s="4">
        <v>0.57430000000000003</v>
      </c>
      <c r="K19" s="4">
        <v>8</v>
      </c>
      <c r="L19" s="4">
        <v>0</v>
      </c>
      <c r="M19" s="4">
        <f>CHOOSE(MATCH(Setup!$B$5,{8,10,12,14,16},0),C19,E19,G19,I19,K19)</f>
        <v>6</v>
      </c>
      <c r="N19" s="4">
        <f>CHOOSE(MATCH(Setup!$B$5,{8,10,12,14,16},0),D19,F19,H19,J19,L19)</f>
        <v>0.52359999999999995</v>
      </c>
      <c r="O19" s="4">
        <f>ROUND(1+N19*'Live Calc'!$D$9,0)</f>
        <v>1</v>
      </c>
      <c r="P19" s="4"/>
      <c r="Q19" s="4">
        <f>IF(P19&lt;&gt;"",P19,ROUND(O19*INDEX('Live Calc'!$D$16:$D$23,MATCH(M19,'Live Calc'!$A$16:$A$23,0))*'Live Calc'!$J$78,0))</f>
        <v>1</v>
      </c>
      <c r="S19" s="5" t="s">
        <v>121</v>
      </c>
      <c r="T19" s="5" t="s">
        <v>95</v>
      </c>
      <c r="U19" s="5">
        <v>5</v>
      </c>
      <c r="V19" s="5">
        <v>142.73769999999999</v>
      </c>
      <c r="W19" s="5">
        <v>4</v>
      </c>
      <c r="X19" s="5">
        <v>195.36099999999999</v>
      </c>
      <c r="Y19" s="5">
        <v>4</v>
      </c>
      <c r="Z19" s="5">
        <v>205.9367</v>
      </c>
      <c r="AA19" s="5">
        <v>4</v>
      </c>
      <c r="AB19" s="5">
        <v>51.304000000000002</v>
      </c>
      <c r="AC19" s="5">
        <v>4</v>
      </c>
      <c r="AD19" s="5">
        <v>25.607099999999999</v>
      </c>
      <c r="AE19" s="5">
        <f>CHOOSE(MATCH(Setup!$B$5,{8,10,12,14,16},0),U19,W19,Y19,AA19,AC19)</f>
        <v>4</v>
      </c>
      <c r="AF19" s="5">
        <f>CHOOSE(MATCH(Setup!$B$5,{8,10,12,14,16},0),V19,X19,Z19,AB19,AD19)</f>
        <v>205.9367</v>
      </c>
      <c r="AG19" s="5">
        <f>ROUND(1+AF19*'Live Calc'!$D$10,0)</f>
        <v>26</v>
      </c>
      <c r="AH19" s="5"/>
      <c r="AI19" s="5">
        <f>IF(AH19&lt;&gt;"",AH19,ROUND(AG19*INDEX('Live Calc'!$D$27:$D$40,MATCH(AE19,'Live Calc'!$A$27:$A$40,0))*'Live Calc'!$J$78,0))</f>
        <v>26</v>
      </c>
      <c r="AK19" s="6" t="s">
        <v>122</v>
      </c>
      <c r="AL19" s="6" t="s">
        <v>123</v>
      </c>
      <c r="AM19" s="6">
        <v>6</v>
      </c>
      <c r="AN19" s="6">
        <v>81.531199999999998</v>
      </c>
      <c r="AO19" s="6">
        <v>6</v>
      </c>
      <c r="AP19" s="6">
        <v>122.0371</v>
      </c>
      <c r="AQ19" s="6">
        <v>6</v>
      </c>
      <c r="AR19" s="6">
        <v>157.85120000000001</v>
      </c>
      <c r="AS19" s="6">
        <v>5</v>
      </c>
      <c r="AT19" s="6">
        <v>80.25</v>
      </c>
      <c r="AU19" s="6">
        <v>5</v>
      </c>
      <c r="AV19" s="6">
        <v>41.569800000000001</v>
      </c>
      <c r="AW19" s="6">
        <f>CHOOSE(MATCH(Setup!$B$5,{8,10,12,14,16},0),AM19,AO19,AQ19,AS19,AU19)</f>
        <v>6</v>
      </c>
      <c r="AX19" s="6">
        <f>CHOOSE(MATCH(Setup!$B$5,{8,10,12,14,16},0),AN19,AP19,AR19,AT19,AV19)</f>
        <v>157.85120000000001</v>
      </c>
      <c r="AY19" s="6">
        <f>ROUND(1+AX19*'Live Calc'!$D$11,0)</f>
        <v>22</v>
      </c>
      <c r="AZ19" s="6"/>
      <c r="BA19" s="6">
        <f>IF(AZ19&lt;&gt;"",AZ19,ROUND(AY19*INDEX('Live Calc'!$D$44:$D$59,MATCH(AW19,'Live Calc'!$A$44:$A$59,0))*'Live Calc'!$J$78,0))</f>
        <v>22</v>
      </c>
      <c r="BC19" s="7" t="s">
        <v>124</v>
      </c>
      <c r="BD19" s="7" t="s">
        <v>82</v>
      </c>
      <c r="BE19" s="7">
        <v>7</v>
      </c>
      <c r="BF19" s="7">
        <v>0</v>
      </c>
      <c r="BG19" s="7">
        <v>8</v>
      </c>
      <c r="BH19" s="7">
        <v>0</v>
      </c>
      <c r="BI19" s="7">
        <v>8</v>
      </c>
      <c r="BJ19" s="7">
        <v>9.9306000000000001</v>
      </c>
      <c r="BK19" s="7">
        <v>9</v>
      </c>
      <c r="BL19" s="7">
        <v>5.9625000000000004</v>
      </c>
      <c r="BM19" s="7">
        <v>9</v>
      </c>
      <c r="BN19" s="7">
        <v>3.5798999999999999</v>
      </c>
      <c r="BO19" s="7">
        <f>CHOOSE(MATCH(Setup!$B$5,{8,10,12,14,16},0),BE19,BG19,BI19,BK19,BM19)</f>
        <v>8</v>
      </c>
      <c r="BP19" s="7">
        <f>CHOOSE(MATCH(Setup!$B$5,{8,10,12,14,16},0),BF19,BH19,BJ19,BL19,BN19)</f>
        <v>9.9306000000000001</v>
      </c>
      <c r="BQ19" s="7">
        <f>ROUND(1+BP19*'Live Calc'!$D$12,0)</f>
        <v>4</v>
      </c>
      <c r="BR19" s="7"/>
      <c r="BS19" s="7">
        <f>IF(BR19&lt;&gt;"",BR19,ROUND(BQ19*INDEX('Live Calc'!$D$63:$D$74,MATCH(BO19,'Live Calc'!$A$63:$A$74,0))*'Live Calc'!$J$78,0))</f>
        <v>4</v>
      </c>
    </row>
    <row r="20" spans="1:71" x14ac:dyDescent="0.25">
      <c r="A20" s="4" t="s">
        <v>125</v>
      </c>
      <c r="B20" s="4" t="s">
        <v>95</v>
      </c>
      <c r="C20" s="4">
        <v>7</v>
      </c>
      <c r="D20" s="4">
        <v>0</v>
      </c>
      <c r="E20" s="4">
        <v>8</v>
      </c>
      <c r="F20" s="4">
        <v>0</v>
      </c>
      <c r="G20" s="4">
        <v>7</v>
      </c>
      <c r="H20" s="4">
        <v>0</v>
      </c>
      <c r="I20" s="4">
        <v>8</v>
      </c>
      <c r="J20" s="4">
        <v>0</v>
      </c>
      <c r="K20" s="4">
        <v>8</v>
      </c>
      <c r="L20" s="4">
        <v>0</v>
      </c>
      <c r="M20" s="4">
        <f>CHOOSE(MATCH(Setup!$B$5,{8,10,12,14,16},0),C20,E20,G20,I20,K20)</f>
        <v>7</v>
      </c>
      <c r="N20" s="4">
        <f>CHOOSE(MATCH(Setup!$B$5,{8,10,12,14,16},0),D20,F20,H20,J20,L20)</f>
        <v>0</v>
      </c>
      <c r="O20" s="4">
        <f>ROUND(1+N20*'Live Calc'!$D$9,0)</f>
        <v>1</v>
      </c>
      <c r="P20" s="4"/>
      <c r="Q20" s="4">
        <f>IF(P20&lt;&gt;"",P20,ROUND(O20*INDEX('Live Calc'!$D$16:$D$23,MATCH(M20,'Live Calc'!$A$16:$A$23,0))*'Live Calc'!$J$78,0))</f>
        <v>1</v>
      </c>
      <c r="S20" s="5" t="s">
        <v>126</v>
      </c>
      <c r="T20" s="5" t="s">
        <v>67</v>
      </c>
      <c r="U20" s="5">
        <v>5</v>
      </c>
      <c r="V20" s="5">
        <v>141.29050000000001</v>
      </c>
      <c r="W20" s="5">
        <v>4</v>
      </c>
      <c r="X20" s="5">
        <v>193.83580000000001</v>
      </c>
      <c r="Y20" s="5">
        <v>4</v>
      </c>
      <c r="Z20" s="5">
        <v>204.72069999999999</v>
      </c>
      <c r="AA20" s="5">
        <v>4</v>
      </c>
      <c r="AB20" s="5">
        <v>51.079900000000002</v>
      </c>
      <c r="AC20" s="5">
        <v>4</v>
      </c>
      <c r="AD20" s="5">
        <v>25.514900000000001</v>
      </c>
      <c r="AE20" s="5">
        <f>CHOOSE(MATCH(Setup!$B$5,{8,10,12,14,16},0),U20,W20,Y20,AA20,AC20)</f>
        <v>4</v>
      </c>
      <c r="AF20" s="5">
        <f>CHOOSE(MATCH(Setup!$B$5,{8,10,12,14,16},0),V20,X20,Z20,AB20,AD20)</f>
        <v>204.72069999999999</v>
      </c>
      <c r="AG20" s="5">
        <f>ROUND(1+AF20*'Live Calc'!$D$10,0)</f>
        <v>26</v>
      </c>
      <c r="AH20" s="5"/>
      <c r="AI20" s="5">
        <f>IF(AH20&lt;&gt;"",AH20,ROUND(AG20*INDEX('Live Calc'!$D$27:$D$40,MATCH(AE20,'Live Calc'!$A$27:$A$40,0))*'Live Calc'!$J$78,0))</f>
        <v>26</v>
      </c>
      <c r="AK20" s="6" t="s">
        <v>127</v>
      </c>
      <c r="AL20" s="6" t="s">
        <v>28</v>
      </c>
      <c r="AM20" s="6">
        <v>7</v>
      </c>
      <c r="AN20" s="6">
        <v>72.609899999999996</v>
      </c>
      <c r="AO20" s="6">
        <v>7</v>
      </c>
      <c r="AP20" s="6">
        <v>112.61279999999999</v>
      </c>
      <c r="AQ20" s="6">
        <v>7</v>
      </c>
      <c r="AR20" s="6">
        <v>148.09479999999999</v>
      </c>
      <c r="AS20" s="6">
        <v>6</v>
      </c>
      <c r="AT20" s="6">
        <v>75.847999999999999</v>
      </c>
      <c r="AU20" s="6">
        <v>6</v>
      </c>
      <c r="AV20" s="6">
        <v>39.6235</v>
      </c>
      <c r="AW20" s="6">
        <f>CHOOSE(MATCH(Setup!$B$5,{8,10,12,14,16},0),AM20,AO20,AQ20,AS20,AU20)</f>
        <v>7</v>
      </c>
      <c r="AX20" s="6">
        <f>CHOOSE(MATCH(Setup!$B$5,{8,10,12,14,16},0),AN20,AP20,AR20,AT20,AV20)</f>
        <v>148.09479999999999</v>
      </c>
      <c r="AY20" s="6">
        <f>ROUND(1+AX20*'Live Calc'!$D$11,0)</f>
        <v>21</v>
      </c>
      <c r="AZ20" s="6"/>
      <c r="BA20" s="6">
        <f>IF(AZ20&lt;&gt;"",AZ20,ROUND(AY20*INDEX('Live Calc'!$D$44:$D$59,MATCH(AW20,'Live Calc'!$A$44:$A$59,0))*'Live Calc'!$J$78,0))</f>
        <v>21</v>
      </c>
      <c r="BC20" s="7" t="s">
        <v>128</v>
      </c>
      <c r="BD20" s="7" t="s">
        <v>85</v>
      </c>
      <c r="BE20" s="7">
        <v>7</v>
      </c>
      <c r="BF20" s="7">
        <v>0</v>
      </c>
      <c r="BG20" s="7">
        <v>8</v>
      </c>
      <c r="BH20" s="7">
        <v>0</v>
      </c>
      <c r="BI20" s="7">
        <v>9</v>
      </c>
      <c r="BJ20" s="7">
        <v>4.6395</v>
      </c>
      <c r="BK20" s="7">
        <v>10</v>
      </c>
      <c r="BL20" s="7">
        <v>3.2989000000000002</v>
      </c>
      <c r="BM20" s="7">
        <v>10</v>
      </c>
      <c r="BN20" s="7">
        <v>2.3456000000000001</v>
      </c>
      <c r="BO20" s="7">
        <f>CHOOSE(MATCH(Setup!$B$5,{8,10,12,14,16},0),BE20,BG20,BI20,BK20,BM20)</f>
        <v>9</v>
      </c>
      <c r="BP20" s="7">
        <f>CHOOSE(MATCH(Setup!$B$5,{8,10,12,14,16},0),BF20,BH20,BJ20,BL20,BN20)</f>
        <v>4.6395</v>
      </c>
      <c r="BQ20" s="7">
        <f>ROUND(1+BP20*'Live Calc'!$D$12,0)</f>
        <v>3</v>
      </c>
      <c r="BR20" s="7"/>
      <c r="BS20" s="7">
        <f>IF(BR20&lt;&gt;"",BR20,ROUND(BQ20*INDEX('Live Calc'!$D$63:$D$74,MATCH(BO20,'Live Calc'!$A$63:$A$74,0))*'Live Calc'!$J$78,0))</f>
        <v>3</v>
      </c>
    </row>
    <row r="21" spans="1:71" x14ac:dyDescent="0.25">
      <c r="A21" s="4" t="s">
        <v>129</v>
      </c>
      <c r="B21" s="4" t="s">
        <v>65</v>
      </c>
      <c r="C21" s="4">
        <v>7</v>
      </c>
      <c r="D21" s="4">
        <v>0</v>
      </c>
      <c r="E21" s="4">
        <v>8</v>
      </c>
      <c r="F21" s="4">
        <v>0</v>
      </c>
      <c r="G21" s="4">
        <v>7</v>
      </c>
      <c r="H21" s="4">
        <v>0</v>
      </c>
      <c r="I21" s="4">
        <v>8</v>
      </c>
      <c r="J21" s="4">
        <v>0</v>
      </c>
      <c r="K21" s="4">
        <v>8</v>
      </c>
      <c r="L21" s="4">
        <v>0</v>
      </c>
      <c r="M21" s="4">
        <f>CHOOSE(MATCH(Setup!$B$5,{8,10,12,14,16},0),C21,E21,G21,I21,K21)</f>
        <v>7</v>
      </c>
      <c r="N21" s="4">
        <f>CHOOSE(MATCH(Setup!$B$5,{8,10,12,14,16},0),D21,F21,H21,J21,L21)</f>
        <v>0</v>
      </c>
      <c r="O21" s="4">
        <f>ROUND(1+N21*'Live Calc'!$D$9,0)</f>
        <v>1</v>
      </c>
      <c r="P21" s="4"/>
      <c r="Q21" s="4">
        <f>IF(P21&lt;&gt;"",P21,ROUND(O21*INDEX('Live Calc'!$D$16:$D$23,MATCH(M21,'Live Calc'!$A$16:$A$23,0))*'Live Calc'!$J$78,0))</f>
        <v>1</v>
      </c>
      <c r="S21" s="5" t="s">
        <v>130</v>
      </c>
      <c r="T21" s="5" t="s">
        <v>46</v>
      </c>
      <c r="U21" s="5">
        <v>6</v>
      </c>
      <c r="V21" s="5">
        <v>106.11660000000001</v>
      </c>
      <c r="W21" s="5">
        <v>5</v>
      </c>
      <c r="X21" s="5">
        <v>156.5506</v>
      </c>
      <c r="Y21" s="5">
        <v>5</v>
      </c>
      <c r="Z21" s="5">
        <v>174.77180000000001</v>
      </c>
      <c r="AA21" s="5">
        <v>5</v>
      </c>
      <c r="AB21" s="5">
        <v>45.444200000000002</v>
      </c>
      <c r="AC21" s="5">
        <v>5</v>
      </c>
      <c r="AD21" s="5">
        <v>23.172999999999998</v>
      </c>
      <c r="AE21" s="5">
        <f>CHOOSE(MATCH(Setup!$B$5,{8,10,12,14,16},0),U21,W21,Y21,AA21,AC21)</f>
        <v>5</v>
      </c>
      <c r="AF21" s="5">
        <f>CHOOSE(MATCH(Setup!$B$5,{8,10,12,14,16},0),V21,X21,Z21,AB21,AD21)</f>
        <v>174.77180000000001</v>
      </c>
      <c r="AG21" s="5">
        <f>ROUND(1+AF21*'Live Calc'!$D$10,0)</f>
        <v>22</v>
      </c>
      <c r="AH21" s="5"/>
      <c r="AI21" s="5">
        <f>IF(AH21&lt;&gt;"",AH21,ROUND(AG21*INDEX('Live Calc'!$D$27:$D$40,MATCH(AE21,'Live Calc'!$A$27:$A$40,0))*'Live Calc'!$J$78,0))</f>
        <v>22</v>
      </c>
      <c r="AK21" s="6" t="s">
        <v>131</v>
      </c>
      <c r="AL21" s="6" t="s">
        <v>48</v>
      </c>
      <c r="AM21" s="6">
        <v>7</v>
      </c>
      <c r="AN21" s="6">
        <v>69.077799999999996</v>
      </c>
      <c r="AO21" s="6">
        <v>7</v>
      </c>
      <c r="AP21" s="6">
        <v>108.8687</v>
      </c>
      <c r="AQ21" s="6">
        <v>7</v>
      </c>
      <c r="AR21" s="6">
        <v>144.21270000000001</v>
      </c>
      <c r="AS21" s="6">
        <v>6</v>
      </c>
      <c r="AT21" s="6">
        <v>74.085999999999999</v>
      </c>
      <c r="AU21" s="6">
        <v>6</v>
      </c>
      <c r="AV21" s="6">
        <v>38.839700000000001</v>
      </c>
      <c r="AW21" s="6">
        <f>CHOOSE(MATCH(Setup!$B$5,{8,10,12,14,16},0),AM21,AO21,AQ21,AS21,AU21)</f>
        <v>7</v>
      </c>
      <c r="AX21" s="6">
        <f>CHOOSE(MATCH(Setup!$B$5,{8,10,12,14,16},0),AN21,AP21,AR21,AT21,AV21)</f>
        <v>144.21270000000001</v>
      </c>
      <c r="AY21" s="6">
        <f>ROUND(1+AX21*'Live Calc'!$D$11,0)</f>
        <v>20</v>
      </c>
      <c r="AZ21" s="6"/>
      <c r="BA21" s="6">
        <f>IF(AZ21&lt;&gt;"",AZ21,ROUND(AY21*INDEX('Live Calc'!$D$44:$D$59,MATCH(AW21,'Live Calc'!$A$44:$A$59,0))*'Live Calc'!$J$78,0))</f>
        <v>20</v>
      </c>
      <c r="BC21" s="7" t="s">
        <v>132</v>
      </c>
      <c r="BD21" s="7" t="s">
        <v>88</v>
      </c>
      <c r="BE21" s="7">
        <v>7</v>
      </c>
      <c r="BF21" s="7">
        <v>0</v>
      </c>
      <c r="BG21" s="7">
        <v>8</v>
      </c>
      <c r="BH21" s="7">
        <v>0</v>
      </c>
      <c r="BI21" s="7">
        <v>9</v>
      </c>
      <c r="BJ21" s="7">
        <v>4.2781000000000002</v>
      </c>
      <c r="BK21" s="7">
        <v>10</v>
      </c>
      <c r="BL21" s="7">
        <v>3.0973000000000002</v>
      </c>
      <c r="BM21" s="7">
        <v>10</v>
      </c>
      <c r="BN21" s="7">
        <v>2.2423000000000002</v>
      </c>
      <c r="BO21" s="7">
        <f>CHOOSE(MATCH(Setup!$B$5,{8,10,12,14,16},0),BE21,BG21,BI21,BK21,BM21)</f>
        <v>9</v>
      </c>
      <c r="BP21" s="7">
        <f>CHOOSE(MATCH(Setup!$B$5,{8,10,12,14,16},0),BF21,BH21,BJ21,BL21,BN21)</f>
        <v>4.2781000000000002</v>
      </c>
      <c r="BQ21" s="7">
        <f>ROUND(1+BP21*'Live Calc'!$D$12,0)</f>
        <v>2</v>
      </c>
      <c r="BR21" s="7"/>
      <c r="BS21" s="7">
        <f>IF(BR21&lt;&gt;"",BR21,ROUND(BQ21*INDEX('Live Calc'!$D$63:$D$74,MATCH(BO21,'Live Calc'!$A$63:$A$74,0))*'Live Calc'!$J$78,0))</f>
        <v>2</v>
      </c>
    </row>
    <row r="22" spans="1:71" x14ac:dyDescent="0.25">
      <c r="A22" s="4" t="s">
        <v>133</v>
      </c>
      <c r="B22" s="4" t="s">
        <v>85</v>
      </c>
      <c r="C22" s="4">
        <v>7</v>
      </c>
      <c r="D22" s="4">
        <v>0</v>
      </c>
      <c r="E22" s="4">
        <v>8</v>
      </c>
      <c r="F22" s="4">
        <v>0</v>
      </c>
      <c r="G22" s="4">
        <v>7</v>
      </c>
      <c r="H22" s="4">
        <v>0</v>
      </c>
      <c r="I22" s="4">
        <v>8</v>
      </c>
      <c r="J22" s="4">
        <v>0</v>
      </c>
      <c r="K22" s="4">
        <v>8</v>
      </c>
      <c r="L22" s="4">
        <v>0</v>
      </c>
      <c r="M22" s="4">
        <f>CHOOSE(MATCH(Setup!$B$5,{8,10,12,14,16},0),C22,E22,G22,I22,K22)</f>
        <v>7</v>
      </c>
      <c r="N22" s="4">
        <f>CHOOSE(MATCH(Setup!$B$5,{8,10,12,14,16},0),D22,F22,H22,J22,L22)</f>
        <v>0</v>
      </c>
      <c r="O22" s="4">
        <f>ROUND(1+N22*'Live Calc'!$D$9,0)</f>
        <v>1</v>
      </c>
      <c r="P22" s="4"/>
      <c r="Q22" s="4">
        <f>IF(P22&lt;&gt;"",P22,ROUND(O22*INDEX('Live Calc'!$D$16:$D$23,MATCH(M22,'Live Calc'!$A$16:$A$23,0))*'Live Calc'!$J$78,0))</f>
        <v>1</v>
      </c>
      <c r="S22" s="5" t="s">
        <v>134</v>
      </c>
      <c r="T22" s="5" t="s">
        <v>120</v>
      </c>
      <c r="U22" s="5">
        <v>6</v>
      </c>
      <c r="V22" s="5">
        <v>105.9391</v>
      </c>
      <c r="W22" s="5">
        <v>5</v>
      </c>
      <c r="X22" s="5">
        <v>156.3612</v>
      </c>
      <c r="Y22" s="5">
        <v>5</v>
      </c>
      <c r="Z22" s="5">
        <v>174.61850000000001</v>
      </c>
      <c r="AA22" s="5">
        <v>5</v>
      </c>
      <c r="AB22" s="5">
        <v>45.4148</v>
      </c>
      <c r="AC22" s="5">
        <v>5</v>
      </c>
      <c r="AD22" s="5">
        <v>23.160599999999999</v>
      </c>
      <c r="AE22" s="5">
        <f>CHOOSE(MATCH(Setup!$B$5,{8,10,12,14,16},0),U22,W22,Y22,AA22,AC22)</f>
        <v>5</v>
      </c>
      <c r="AF22" s="5">
        <f>CHOOSE(MATCH(Setup!$B$5,{8,10,12,14,16},0),V22,X22,Z22,AB22,AD22)</f>
        <v>174.61850000000001</v>
      </c>
      <c r="AG22" s="5">
        <f>ROUND(1+AF22*'Live Calc'!$D$10,0)</f>
        <v>22</v>
      </c>
      <c r="AH22" s="5"/>
      <c r="AI22" s="5">
        <f>IF(AH22&lt;&gt;"",AH22,ROUND(AG22*INDEX('Live Calc'!$D$27:$D$40,MATCH(AE22,'Live Calc'!$A$27:$A$40,0))*'Live Calc'!$J$78,0))</f>
        <v>22</v>
      </c>
      <c r="AK22" s="6" t="s">
        <v>135</v>
      </c>
      <c r="AL22" s="6" t="s">
        <v>102</v>
      </c>
      <c r="AM22" s="6">
        <v>7</v>
      </c>
      <c r="AN22" s="6">
        <v>65.402299999999997</v>
      </c>
      <c r="AO22" s="6">
        <v>7</v>
      </c>
      <c r="AP22" s="6">
        <v>104.964</v>
      </c>
      <c r="AQ22" s="6">
        <v>7</v>
      </c>
      <c r="AR22" s="6">
        <v>140.1601</v>
      </c>
      <c r="AS22" s="6">
        <v>6</v>
      </c>
      <c r="AT22" s="6">
        <v>72.239999999999995</v>
      </c>
      <c r="AU22" s="6">
        <v>6</v>
      </c>
      <c r="AV22" s="6">
        <v>38.015500000000003</v>
      </c>
      <c r="AW22" s="6">
        <f>CHOOSE(MATCH(Setup!$B$5,{8,10,12,14,16},0),AM22,AO22,AQ22,AS22,AU22)</f>
        <v>7</v>
      </c>
      <c r="AX22" s="6">
        <f>CHOOSE(MATCH(Setup!$B$5,{8,10,12,14,16},0),AN22,AP22,AR22,AT22,AV22)</f>
        <v>140.1601</v>
      </c>
      <c r="AY22" s="6">
        <f>ROUND(1+AX22*'Live Calc'!$D$11,0)</f>
        <v>20</v>
      </c>
      <c r="AZ22" s="6"/>
      <c r="BA22" s="6">
        <f>IF(AZ22&lt;&gt;"",AZ22,ROUND(AY22*INDEX('Live Calc'!$D$44:$D$59,MATCH(AW22,'Live Calc'!$A$44:$A$59,0))*'Live Calc'!$J$78,0))</f>
        <v>20</v>
      </c>
      <c r="BC22" s="7" t="s">
        <v>136</v>
      </c>
      <c r="BD22" s="7" t="s">
        <v>108</v>
      </c>
      <c r="BE22" s="7">
        <v>7</v>
      </c>
      <c r="BF22" s="7">
        <v>0</v>
      </c>
      <c r="BG22" s="7">
        <v>8</v>
      </c>
      <c r="BH22" s="7">
        <v>0</v>
      </c>
      <c r="BI22" s="7">
        <v>9</v>
      </c>
      <c r="BJ22" s="7">
        <v>3.7692000000000001</v>
      </c>
      <c r="BK22" s="7">
        <v>10</v>
      </c>
      <c r="BL22" s="7">
        <v>2.8067000000000002</v>
      </c>
      <c r="BM22" s="7">
        <v>10</v>
      </c>
      <c r="BN22" s="7">
        <v>2.09</v>
      </c>
      <c r="BO22" s="7">
        <f>CHOOSE(MATCH(Setup!$B$5,{8,10,12,14,16},0),BE22,BG22,BI22,BK22,BM22)</f>
        <v>9</v>
      </c>
      <c r="BP22" s="7">
        <f>CHOOSE(MATCH(Setup!$B$5,{8,10,12,14,16},0),BF22,BH22,BJ22,BL22,BN22)</f>
        <v>3.7692000000000001</v>
      </c>
      <c r="BQ22" s="7">
        <f>ROUND(1+BP22*'Live Calc'!$D$12,0)</f>
        <v>2</v>
      </c>
      <c r="BR22" s="7"/>
      <c r="BS22" s="7">
        <f>IF(BR22&lt;&gt;"",BR22,ROUND(BQ22*INDEX('Live Calc'!$D$63:$D$74,MATCH(BO22,'Live Calc'!$A$63:$A$74,0))*'Live Calc'!$J$78,0))</f>
        <v>2</v>
      </c>
    </row>
    <row r="23" spans="1:71" x14ac:dyDescent="0.25">
      <c r="A23" s="4" t="s">
        <v>137</v>
      </c>
      <c r="B23" s="4" t="s">
        <v>62</v>
      </c>
      <c r="C23" s="4">
        <v>7</v>
      </c>
      <c r="D23" s="4">
        <v>0</v>
      </c>
      <c r="E23" s="4">
        <v>8</v>
      </c>
      <c r="F23" s="4">
        <v>0</v>
      </c>
      <c r="G23" s="4">
        <v>7</v>
      </c>
      <c r="H23" s="4">
        <v>0</v>
      </c>
      <c r="I23" s="4">
        <v>8</v>
      </c>
      <c r="J23" s="4">
        <v>0</v>
      </c>
      <c r="K23" s="4">
        <v>8</v>
      </c>
      <c r="L23" s="4">
        <v>0</v>
      </c>
      <c r="M23" s="4">
        <f>CHOOSE(MATCH(Setup!$B$5,{8,10,12,14,16},0),C23,E23,G23,I23,K23)</f>
        <v>7</v>
      </c>
      <c r="N23" s="4">
        <f>CHOOSE(MATCH(Setup!$B$5,{8,10,12,14,16},0),D23,F23,H23,J23,L23)</f>
        <v>0</v>
      </c>
      <c r="O23" s="4">
        <f>ROUND(1+N23*'Live Calc'!$D$9,0)</f>
        <v>1</v>
      </c>
      <c r="P23" s="4"/>
      <c r="Q23" s="4">
        <f>IF(P23&lt;&gt;"",P23,ROUND(O23*INDEX('Live Calc'!$D$16:$D$23,MATCH(M23,'Live Calc'!$A$16:$A$23,0))*'Live Calc'!$J$78,0))</f>
        <v>1</v>
      </c>
      <c r="S23" s="5" t="s">
        <v>138</v>
      </c>
      <c r="T23" s="5" t="s">
        <v>59</v>
      </c>
      <c r="U23" s="5">
        <v>7</v>
      </c>
      <c r="V23" s="5">
        <v>94.647199999999998</v>
      </c>
      <c r="W23" s="5">
        <v>6</v>
      </c>
      <c r="X23" s="5">
        <v>144.2808</v>
      </c>
      <c r="Y23" s="5">
        <v>6</v>
      </c>
      <c r="Z23" s="5">
        <v>164.8099</v>
      </c>
      <c r="AA23" s="5">
        <v>6</v>
      </c>
      <c r="AB23" s="5">
        <v>43.515099999999997</v>
      </c>
      <c r="AC23" s="5">
        <v>6</v>
      </c>
      <c r="AD23" s="5">
        <v>22.3598</v>
      </c>
      <c r="AE23" s="5">
        <f>CHOOSE(MATCH(Setup!$B$5,{8,10,12,14,16},0),U23,W23,Y23,AA23,AC23)</f>
        <v>6</v>
      </c>
      <c r="AF23" s="5">
        <f>CHOOSE(MATCH(Setup!$B$5,{8,10,12,14,16},0),V23,X23,Z23,AB23,AD23)</f>
        <v>164.8099</v>
      </c>
      <c r="AG23" s="5">
        <f>ROUND(1+AF23*'Live Calc'!$D$10,0)</f>
        <v>21</v>
      </c>
      <c r="AH23" s="5"/>
      <c r="AI23" s="5">
        <f>IF(AH23&lt;&gt;"",AH23,ROUND(AG23*INDEX('Live Calc'!$D$27:$D$40,MATCH(AE23,'Live Calc'!$A$27:$A$40,0))*'Live Calc'!$J$78,0))</f>
        <v>21</v>
      </c>
      <c r="AK23" s="6" t="s">
        <v>139</v>
      </c>
      <c r="AL23" s="6" t="s">
        <v>88</v>
      </c>
      <c r="AM23" s="6">
        <v>7</v>
      </c>
      <c r="AN23" s="6">
        <v>64.312399999999997</v>
      </c>
      <c r="AO23" s="6">
        <v>7</v>
      </c>
      <c r="AP23" s="6">
        <v>103.8043</v>
      </c>
      <c r="AQ23" s="6">
        <v>7</v>
      </c>
      <c r="AR23" s="6">
        <v>138.9556</v>
      </c>
      <c r="AS23" s="6">
        <v>6</v>
      </c>
      <c r="AT23" s="6">
        <v>71.69</v>
      </c>
      <c r="AU23" s="6">
        <v>6</v>
      </c>
      <c r="AV23" s="6">
        <v>37.769399999999997</v>
      </c>
      <c r="AW23" s="6">
        <f>CHOOSE(MATCH(Setup!$B$5,{8,10,12,14,16},0),AM23,AO23,AQ23,AS23,AU23)</f>
        <v>7</v>
      </c>
      <c r="AX23" s="6">
        <f>CHOOSE(MATCH(Setup!$B$5,{8,10,12,14,16},0),AN23,AP23,AR23,AT23,AV23)</f>
        <v>138.9556</v>
      </c>
      <c r="AY23" s="6">
        <f>ROUND(1+AX23*'Live Calc'!$D$11,0)</f>
        <v>19</v>
      </c>
      <c r="AZ23" s="6"/>
      <c r="BA23" s="6">
        <f>IF(AZ23&lt;&gt;"",AZ23,ROUND(AY23*INDEX('Live Calc'!$D$44:$D$59,MATCH(AW23,'Live Calc'!$A$44:$A$59,0))*'Live Calc'!$J$78,0))</f>
        <v>19</v>
      </c>
      <c r="BC23" s="7" t="s">
        <v>140</v>
      </c>
      <c r="BD23" s="7" t="s">
        <v>70</v>
      </c>
      <c r="BE23" s="7">
        <v>7</v>
      </c>
      <c r="BF23" s="7">
        <v>0</v>
      </c>
      <c r="BG23" s="7">
        <v>8</v>
      </c>
      <c r="BH23" s="7">
        <v>0</v>
      </c>
      <c r="BI23" s="7">
        <v>10</v>
      </c>
      <c r="BJ23" s="7">
        <v>2.7313999999999998</v>
      </c>
      <c r="BK23" s="7">
        <v>11</v>
      </c>
      <c r="BL23" s="7">
        <v>2.1848000000000001</v>
      </c>
      <c r="BM23" s="7">
        <v>10</v>
      </c>
      <c r="BN23" s="7">
        <v>1.7476</v>
      </c>
      <c r="BO23" s="7">
        <f>CHOOSE(MATCH(Setup!$B$5,{8,10,12,14,16},0),BE23,BG23,BI23,BK23,BM23)</f>
        <v>10</v>
      </c>
      <c r="BP23" s="7">
        <f>CHOOSE(MATCH(Setup!$B$5,{8,10,12,14,16},0),BF23,BH23,BJ23,BL23,BN23)</f>
        <v>2.7313999999999998</v>
      </c>
      <c r="BQ23" s="7">
        <f>ROUND(1+BP23*'Live Calc'!$D$12,0)</f>
        <v>2</v>
      </c>
      <c r="BR23" s="7"/>
      <c r="BS23" s="7">
        <f>IF(BR23&lt;&gt;"",BR23,ROUND(BQ23*INDEX('Live Calc'!$D$63:$D$74,MATCH(BO23,'Live Calc'!$A$63:$A$74,0))*'Live Calc'!$J$78,0))</f>
        <v>2</v>
      </c>
    </row>
    <row r="24" spans="1:71" x14ac:dyDescent="0.25">
      <c r="A24" s="4" t="s">
        <v>141</v>
      </c>
      <c r="B24" s="4" t="s">
        <v>44</v>
      </c>
      <c r="C24" s="4">
        <v>7</v>
      </c>
      <c r="D24" s="4">
        <v>0</v>
      </c>
      <c r="E24" s="4">
        <v>8</v>
      </c>
      <c r="F24" s="4">
        <v>0</v>
      </c>
      <c r="G24" s="4">
        <v>7</v>
      </c>
      <c r="H24" s="4">
        <v>0</v>
      </c>
      <c r="I24" s="4">
        <v>8</v>
      </c>
      <c r="J24" s="4">
        <v>0</v>
      </c>
      <c r="K24" s="4">
        <v>8</v>
      </c>
      <c r="L24" s="4">
        <v>0</v>
      </c>
      <c r="M24" s="4">
        <f>CHOOSE(MATCH(Setup!$B$5,{8,10,12,14,16},0),C24,E24,G24,I24,K24)</f>
        <v>7</v>
      </c>
      <c r="N24" s="4">
        <f>CHOOSE(MATCH(Setup!$B$5,{8,10,12,14,16},0),D24,F24,H24,J24,L24)</f>
        <v>0</v>
      </c>
      <c r="O24" s="4">
        <f>ROUND(1+N24*'Live Calc'!$D$9,0)</f>
        <v>1</v>
      </c>
      <c r="P24" s="4"/>
      <c r="Q24" s="4">
        <f>IF(P24&lt;&gt;"",P24,ROUND(O24*INDEX('Live Calc'!$D$16:$D$23,MATCH(M24,'Live Calc'!$A$16:$A$23,0))*'Live Calc'!$J$78,0))</f>
        <v>1</v>
      </c>
      <c r="S24" s="5" t="s">
        <v>142</v>
      </c>
      <c r="T24" s="5" t="s">
        <v>85</v>
      </c>
      <c r="U24" s="5">
        <v>8</v>
      </c>
      <c r="V24" s="5">
        <v>80.663799999999995</v>
      </c>
      <c r="W24" s="5">
        <v>7</v>
      </c>
      <c r="X24" s="5">
        <v>129.2199</v>
      </c>
      <c r="Y24" s="5">
        <v>7</v>
      </c>
      <c r="Z24" s="5">
        <v>152.49529999999999</v>
      </c>
      <c r="AA24" s="5">
        <v>7</v>
      </c>
      <c r="AB24" s="5">
        <v>41.087600000000002</v>
      </c>
      <c r="AC24" s="5">
        <v>7</v>
      </c>
      <c r="AD24" s="5">
        <v>21.327400000000001</v>
      </c>
      <c r="AE24" s="5">
        <f>CHOOSE(MATCH(Setup!$B$5,{8,10,12,14,16},0),U24,W24,Y24,AA24,AC24)</f>
        <v>7</v>
      </c>
      <c r="AF24" s="5">
        <f>CHOOSE(MATCH(Setup!$B$5,{8,10,12,14,16},0),V24,X24,Z24,AB24,AD24)</f>
        <v>152.49529999999999</v>
      </c>
      <c r="AG24" s="5">
        <f>ROUND(1+AF24*'Live Calc'!$D$10,0)</f>
        <v>20</v>
      </c>
      <c r="AH24" s="5"/>
      <c r="AI24" s="5">
        <f>IF(AH24&lt;&gt;"",AH24,ROUND(AG24*INDEX('Live Calc'!$D$27:$D$40,MATCH(AE24,'Live Calc'!$A$27:$A$40,0))*'Live Calc'!$J$78,0))</f>
        <v>20</v>
      </c>
      <c r="AK24" s="6" t="s">
        <v>143</v>
      </c>
      <c r="AL24" s="6" t="s">
        <v>26</v>
      </c>
      <c r="AM24" s="6">
        <v>7</v>
      </c>
      <c r="AN24" s="6">
        <v>58.989400000000003</v>
      </c>
      <c r="AO24" s="6">
        <v>7</v>
      </c>
      <c r="AP24" s="6">
        <v>98.127399999999994</v>
      </c>
      <c r="AQ24" s="6">
        <v>7</v>
      </c>
      <c r="AR24" s="6">
        <v>133.05369999999999</v>
      </c>
      <c r="AS24" s="6">
        <v>6</v>
      </c>
      <c r="AT24" s="6">
        <v>68.986000000000004</v>
      </c>
      <c r="AU24" s="6">
        <v>6</v>
      </c>
      <c r="AV24" s="6">
        <v>36.555</v>
      </c>
      <c r="AW24" s="6">
        <f>CHOOSE(MATCH(Setup!$B$5,{8,10,12,14,16},0),AM24,AO24,AQ24,AS24,AU24)</f>
        <v>7</v>
      </c>
      <c r="AX24" s="6">
        <f>CHOOSE(MATCH(Setup!$B$5,{8,10,12,14,16},0),AN24,AP24,AR24,AT24,AV24)</f>
        <v>133.05369999999999</v>
      </c>
      <c r="AY24" s="6">
        <f>ROUND(1+AX24*'Live Calc'!$D$11,0)</f>
        <v>19</v>
      </c>
      <c r="AZ24" s="6"/>
      <c r="BA24" s="6">
        <f>IF(AZ24&lt;&gt;"",AZ24,ROUND(AY24*INDEX('Live Calc'!$D$44:$D$59,MATCH(AW24,'Live Calc'!$A$44:$A$59,0))*'Live Calc'!$J$78,0))</f>
        <v>19</v>
      </c>
      <c r="BC24" s="7" t="s">
        <v>144</v>
      </c>
      <c r="BD24" s="7" t="s">
        <v>48</v>
      </c>
      <c r="BE24" s="7">
        <v>7</v>
      </c>
      <c r="BF24" s="7">
        <v>0</v>
      </c>
      <c r="BG24" s="7">
        <v>8</v>
      </c>
      <c r="BH24" s="7">
        <v>0</v>
      </c>
      <c r="BI24" s="7">
        <v>10</v>
      </c>
      <c r="BJ24" s="7">
        <v>2.2136999999999998</v>
      </c>
      <c r="BK24" s="7">
        <v>11</v>
      </c>
      <c r="BL24" s="7">
        <v>1.8552999999999999</v>
      </c>
      <c r="BM24" s="7">
        <v>10</v>
      </c>
      <c r="BN24" s="7">
        <v>1.5549999999999999</v>
      </c>
      <c r="BO24" s="7">
        <f>CHOOSE(MATCH(Setup!$B$5,{8,10,12,14,16},0),BE24,BG24,BI24,BK24,BM24)</f>
        <v>10</v>
      </c>
      <c r="BP24" s="7">
        <f>CHOOSE(MATCH(Setup!$B$5,{8,10,12,14,16},0),BF24,BH24,BJ24,BL24,BN24)</f>
        <v>2.2136999999999998</v>
      </c>
      <c r="BQ24" s="7">
        <f>ROUND(1+BP24*'Live Calc'!$D$12,0)</f>
        <v>2</v>
      </c>
      <c r="BR24" s="7"/>
      <c r="BS24" s="7">
        <f>IF(BR24&lt;&gt;"",BR24,ROUND(BQ24*INDEX('Live Calc'!$D$63:$D$74,MATCH(BO24,'Live Calc'!$A$63:$A$74,0))*'Live Calc'!$J$78,0))</f>
        <v>2</v>
      </c>
    </row>
    <row r="25" spans="1:71" x14ac:dyDescent="0.25">
      <c r="A25" s="4" t="s">
        <v>145</v>
      </c>
      <c r="B25" s="4" t="s">
        <v>50</v>
      </c>
      <c r="C25" s="4">
        <v>7</v>
      </c>
      <c r="D25" s="4">
        <v>0</v>
      </c>
      <c r="E25" s="4">
        <v>8</v>
      </c>
      <c r="F25" s="4">
        <v>0</v>
      </c>
      <c r="G25" s="4">
        <v>7</v>
      </c>
      <c r="H25" s="4">
        <v>0</v>
      </c>
      <c r="I25" s="4">
        <v>8</v>
      </c>
      <c r="J25" s="4">
        <v>0</v>
      </c>
      <c r="K25" s="4">
        <v>8</v>
      </c>
      <c r="L25" s="4">
        <v>0</v>
      </c>
      <c r="M25" s="4">
        <f>CHOOSE(MATCH(Setup!$B$5,{8,10,12,14,16},0),C25,E25,G25,I25,K25)</f>
        <v>7</v>
      </c>
      <c r="N25" s="4">
        <f>CHOOSE(MATCH(Setup!$B$5,{8,10,12,14,16},0),D25,F25,H25,J25,L25)</f>
        <v>0</v>
      </c>
      <c r="O25" s="4">
        <f>ROUND(1+N25*'Live Calc'!$D$9,0)</f>
        <v>1</v>
      </c>
      <c r="P25" s="4"/>
      <c r="Q25" s="4">
        <f>IF(P25&lt;&gt;"",P25,ROUND(O25*INDEX('Live Calc'!$D$16:$D$23,MATCH(M25,'Live Calc'!$A$16:$A$23,0))*'Live Calc'!$J$78,0))</f>
        <v>1</v>
      </c>
      <c r="S25" s="5" t="s">
        <v>146</v>
      </c>
      <c r="T25" s="5" t="s">
        <v>82</v>
      </c>
      <c r="U25" s="5">
        <v>8</v>
      </c>
      <c r="V25" s="5">
        <v>75.7851</v>
      </c>
      <c r="W25" s="5">
        <v>7</v>
      </c>
      <c r="X25" s="5">
        <v>123.9336</v>
      </c>
      <c r="Y25" s="5">
        <v>7</v>
      </c>
      <c r="Z25" s="5">
        <v>148.14779999999999</v>
      </c>
      <c r="AA25" s="5">
        <v>7</v>
      </c>
      <c r="AB25" s="5">
        <v>40.218600000000002</v>
      </c>
      <c r="AC25" s="5">
        <v>7</v>
      </c>
      <c r="AD25" s="5">
        <v>20.955200000000001</v>
      </c>
      <c r="AE25" s="5">
        <f>CHOOSE(MATCH(Setup!$B$5,{8,10,12,14,16},0),U25,W25,Y25,AA25,AC25)</f>
        <v>7</v>
      </c>
      <c r="AF25" s="5">
        <f>CHOOSE(MATCH(Setup!$B$5,{8,10,12,14,16},0),V25,X25,Z25,AB25,AD25)</f>
        <v>148.14779999999999</v>
      </c>
      <c r="AG25" s="5">
        <f>ROUND(1+AF25*'Live Calc'!$D$10,0)</f>
        <v>19</v>
      </c>
      <c r="AH25" s="5"/>
      <c r="AI25" s="5">
        <f>IF(AH25&lt;&gt;"",AH25,ROUND(AG25*INDEX('Live Calc'!$D$27:$D$40,MATCH(AE25,'Live Calc'!$A$27:$A$40,0))*'Live Calc'!$J$78,0))</f>
        <v>19</v>
      </c>
      <c r="AK25" s="6" t="s">
        <v>147</v>
      </c>
      <c r="AL25" s="6" t="s">
        <v>120</v>
      </c>
      <c r="AM25" s="6">
        <v>7</v>
      </c>
      <c r="AN25" s="6">
        <v>58.825000000000003</v>
      </c>
      <c r="AO25" s="6">
        <v>7</v>
      </c>
      <c r="AP25" s="6">
        <v>97.951700000000002</v>
      </c>
      <c r="AQ25" s="6">
        <v>7</v>
      </c>
      <c r="AR25" s="6">
        <v>132.87090000000001</v>
      </c>
      <c r="AS25" s="6">
        <v>6</v>
      </c>
      <c r="AT25" s="6">
        <v>68.902000000000001</v>
      </c>
      <c r="AU25" s="6">
        <v>6</v>
      </c>
      <c r="AV25" s="6">
        <v>36.517200000000003</v>
      </c>
      <c r="AW25" s="6">
        <f>CHOOSE(MATCH(Setup!$B$5,{8,10,12,14,16},0),AM25,AO25,AQ25,AS25,AU25)</f>
        <v>7</v>
      </c>
      <c r="AX25" s="6">
        <f>CHOOSE(MATCH(Setup!$B$5,{8,10,12,14,16},0),AN25,AP25,AR25,AT25,AV25)</f>
        <v>132.87090000000001</v>
      </c>
      <c r="AY25" s="6">
        <f>ROUND(1+AX25*'Live Calc'!$D$11,0)</f>
        <v>19</v>
      </c>
      <c r="AZ25" s="6"/>
      <c r="BA25" s="6">
        <f>IF(AZ25&lt;&gt;"",AZ25,ROUND(AY25*INDEX('Live Calc'!$D$44:$D$59,MATCH(AW25,'Live Calc'!$A$44:$A$59,0))*'Live Calc'!$J$78,0))</f>
        <v>19</v>
      </c>
      <c r="BC25" s="7" t="s">
        <v>148</v>
      </c>
      <c r="BD25" s="7" t="s">
        <v>38</v>
      </c>
      <c r="BE25" s="7">
        <v>7</v>
      </c>
      <c r="BF25" s="7">
        <v>0</v>
      </c>
      <c r="BG25" s="7">
        <v>8</v>
      </c>
      <c r="BH25" s="7">
        <v>0</v>
      </c>
      <c r="BI25" s="7">
        <v>11</v>
      </c>
      <c r="BJ25" s="7">
        <v>0</v>
      </c>
      <c r="BK25" s="7">
        <v>12</v>
      </c>
      <c r="BL25" s="7">
        <v>0</v>
      </c>
      <c r="BM25" s="7">
        <v>11</v>
      </c>
      <c r="BN25" s="7">
        <v>0</v>
      </c>
      <c r="BO25" s="7">
        <f>CHOOSE(MATCH(Setup!$B$5,{8,10,12,14,16},0),BE25,BG25,BI25,BK25,BM25)</f>
        <v>11</v>
      </c>
      <c r="BP25" s="7">
        <f>CHOOSE(MATCH(Setup!$B$5,{8,10,12,14,16},0),BF25,BH25,BJ25,BL25,BN25)</f>
        <v>0</v>
      </c>
      <c r="BQ25" s="7">
        <f>ROUND(1+BP25*'Live Calc'!$D$12,0)</f>
        <v>1</v>
      </c>
      <c r="BR25" s="7"/>
      <c r="BS25" s="7">
        <f>IF(BR25&lt;&gt;"",BR25,ROUND(BQ25*INDEX('Live Calc'!$D$63:$D$74,MATCH(BO25,'Live Calc'!$A$63:$A$74,0))*'Live Calc'!$J$78,0))</f>
        <v>1</v>
      </c>
    </row>
    <row r="26" spans="1:71" x14ac:dyDescent="0.25">
      <c r="A26" s="4" t="s">
        <v>149</v>
      </c>
      <c r="B26" s="4" t="s">
        <v>123</v>
      </c>
      <c r="C26" s="4">
        <v>7</v>
      </c>
      <c r="D26" s="4">
        <v>0</v>
      </c>
      <c r="E26" s="4">
        <v>8</v>
      </c>
      <c r="F26" s="4">
        <v>0</v>
      </c>
      <c r="G26" s="4">
        <v>7</v>
      </c>
      <c r="H26" s="4">
        <v>0</v>
      </c>
      <c r="I26" s="4">
        <v>8</v>
      </c>
      <c r="J26" s="4">
        <v>0</v>
      </c>
      <c r="K26" s="4">
        <v>8</v>
      </c>
      <c r="L26" s="4">
        <v>0</v>
      </c>
      <c r="M26" s="4">
        <f>CHOOSE(MATCH(Setup!$B$5,{8,10,12,14,16},0),C26,E26,G26,I26,K26)</f>
        <v>7</v>
      </c>
      <c r="N26" s="4">
        <f>CHOOSE(MATCH(Setup!$B$5,{8,10,12,14,16},0),D26,F26,H26,J26,L26)</f>
        <v>0</v>
      </c>
      <c r="O26" s="4">
        <f>ROUND(1+N26*'Live Calc'!$D$9,0)</f>
        <v>1</v>
      </c>
      <c r="P26" s="4"/>
      <c r="Q26" s="4">
        <f>IF(P26&lt;&gt;"",P26,ROUND(O26*INDEX('Live Calc'!$D$16:$D$23,MATCH(M26,'Live Calc'!$A$16:$A$23,0))*'Live Calc'!$J$78,0))</f>
        <v>1</v>
      </c>
      <c r="S26" s="5" t="s">
        <v>150</v>
      </c>
      <c r="T26" s="5" t="s">
        <v>40</v>
      </c>
      <c r="U26" s="5">
        <v>8</v>
      </c>
      <c r="V26" s="5">
        <v>75.518500000000003</v>
      </c>
      <c r="W26" s="5">
        <v>7</v>
      </c>
      <c r="X26" s="5">
        <v>123.6443</v>
      </c>
      <c r="Y26" s="5">
        <v>7</v>
      </c>
      <c r="Z26" s="5">
        <v>147.90940000000001</v>
      </c>
      <c r="AA26" s="5">
        <v>7</v>
      </c>
      <c r="AB26" s="5">
        <v>40.1708</v>
      </c>
      <c r="AC26" s="5">
        <v>7</v>
      </c>
      <c r="AD26" s="5">
        <v>20.934699999999999</v>
      </c>
      <c r="AE26" s="5">
        <f>CHOOSE(MATCH(Setup!$B$5,{8,10,12,14,16},0),U26,W26,Y26,AA26,AC26)</f>
        <v>7</v>
      </c>
      <c r="AF26" s="5">
        <f>CHOOSE(MATCH(Setup!$B$5,{8,10,12,14,16},0),V26,X26,Z26,AB26,AD26)</f>
        <v>147.90940000000001</v>
      </c>
      <c r="AG26" s="5">
        <f>ROUND(1+AF26*'Live Calc'!$D$10,0)</f>
        <v>19</v>
      </c>
      <c r="AH26" s="5"/>
      <c r="AI26" s="5">
        <f>IF(AH26&lt;&gt;"",AH26,ROUND(AG26*INDEX('Live Calc'!$D$27:$D$40,MATCH(AE26,'Live Calc'!$A$27:$A$40,0))*'Live Calc'!$J$78,0))</f>
        <v>19</v>
      </c>
      <c r="AK26" s="6" t="s">
        <v>151</v>
      </c>
      <c r="AL26" s="6" t="s">
        <v>46</v>
      </c>
      <c r="AM26" s="6">
        <v>7</v>
      </c>
      <c r="AN26" s="6">
        <v>57.699399999999997</v>
      </c>
      <c r="AO26" s="6">
        <v>7</v>
      </c>
      <c r="AP26" s="6">
        <v>96.748099999999994</v>
      </c>
      <c r="AQ26" s="6">
        <v>7</v>
      </c>
      <c r="AR26" s="6">
        <v>131.6183</v>
      </c>
      <c r="AS26" s="6">
        <v>6</v>
      </c>
      <c r="AT26" s="6">
        <v>68.325999999999993</v>
      </c>
      <c r="AU26" s="6">
        <v>6</v>
      </c>
      <c r="AV26" s="6">
        <v>36.2575</v>
      </c>
      <c r="AW26" s="6">
        <f>CHOOSE(MATCH(Setup!$B$5,{8,10,12,14,16},0),AM26,AO26,AQ26,AS26,AU26)</f>
        <v>7</v>
      </c>
      <c r="AX26" s="6">
        <f>CHOOSE(MATCH(Setup!$B$5,{8,10,12,14,16},0),AN26,AP26,AR26,AT26,AV26)</f>
        <v>131.6183</v>
      </c>
      <c r="AY26" s="6">
        <f>ROUND(1+AX26*'Live Calc'!$D$11,0)</f>
        <v>18</v>
      </c>
      <c r="AZ26" s="6"/>
      <c r="BA26" s="6">
        <f>IF(AZ26&lt;&gt;"",AZ26,ROUND(AY26*INDEX('Live Calc'!$D$44:$D$59,MATCH(AW26,'Live Calc'!$A$44:$A$59,0))*'Live Calc'!$J$78,0))</f>
        <v>18</v>
      </c>
      <c r="BC26" s="7" t="s">
        <v>152</v>
      </c>
      <c r="BD26" s="7" t="s">
        <v>153</v>
      </c>
      <c r="BE26" s="7">
        <v>7</v>
      </c>
      <c r="BF26" s="7">
        <v>0</v>
      </c>
      <c r="BG26" s="7">
        <v>8</v>
      </c>
      <c r="BH26" s="7">
        <v>0</v>
      </c>
      <c r="BI26" s="7">
        <v>11</v>
      </c>
      <c r="BJ26" s="7">
        <v>0</v>
      </c>
      <c r="BK26" s="7">
        <v>12</v>
      </c>
      <c r="BL26" s="7">
        <v>0</v>
      </c>
      <c r="BM26" s="7">
        <v>11</v>
      </c>
      <c r="BN26" s="7">
        <v>0</v>
      </c>
      <c r="BO26" s="7">
        <f>CHOOSE(MATCH(Setup!$B$5,{8,10,12,14,16},0),BE26,BG26,BI26,BK26,BM26)</f>
        <v>11</v>
      </c>
      <c r="BP26" s="7">
        <f>CHOOSE(MATCH(Setup!$B$5,{8,10,12,14,16},0),BF26,BH26,BJ26,BL26,BN26)</f>
        <v>0</v>
      </c>
      <c r="BQ26" s="7">
        <f>ROUND(1+BP26*'Live Calc'!$D$12,0)</f>
        <v>1</v>
      </c>
      <c r="BR26" s="7"/>
      <c r="BS26" s="7">
        <f>IF(BR26&lt;&gt;"",BR26,ROUND(BQ26*INDEX('Live Calc'!$D$63:$D$74,MATCH(BO26,'Live Calc'!$A$63:$A$74,0))*'Live Calc'!$J$78,0))</f>
        <v>1</v>
      </c>
    </row>
    <row r="27" spans="1:71" x14ac:dyDescent="0.25">
      <c r="A27" s="4" t="s">
        <v>154</v>
      </c>
      <c r="B27" s="4" t="s">
        <v>155</v>
      </c>
      <c r="C27" s="4">
        <v>7</v>
      </c>
      <c r="D27" s="4">
        <v>0</v>
      </c>
      <c r="E27" s="4">
        <v>8</v>
      </c>
      <c r="F27" s="4">
        <v>0</v>
      </c>
      <c r="G27" s="4">
        <v>7</v>
      </c>
      <c r="H27" s="4">
        <v>0</v>
      </c>
      <c r="I27" s="4">
        <v>8</v>
      </c>
      <c r="J27" s="4">
        <v>0</v>
      </c>
      <c r="K27" s="4">
        <v>8</v>
      </c>
      <c r="L27" s="4">
        <v>0</v>
      </c>
      <c r="M27" s="4">
        <f>CHOOSE(MATCH(Setup!$B$5,{8,10,12,14,16},0),C27,E27,G27,I27,K27)</f>
        <v>7</v>
      </c>
      <c r="N27" s="4">
        <f>CHOOSE(MATCH(Setup!$B$5,{8,10,12,14,16},0),D27,F27,H27,J27,L27)</f>
        <v>0</v>
      </c>
      <c r="O27" s="4">
        <f>ROUND(1+N27*'Live Calc'!$D$9,0)</f>
        <v>1</v>
      </c>
      <c r="P27" s="4"/>
      <c r="Q27" s="4">
        <f>IF(P27&lt;&gt;"",P27,ROUND(O27*INDEX('Live Calc'!$D$16:$D$23,MATCH(M27,'Live Calc'!$A$16:$A$23,0))*'Live Calc'!$J$78,0))</f>
        <v>1</v>
      </c>
      <c r="S27" s="5" t="s">
        <v>156</v>
      </c>
      <c r="T27" s="5" t="s">
        <v>153</v>
      </c>
      <c r="U27" s="5">
        <v>9</v>
      </c>
      <c r="V27" s="5">
        <v>54.215899999999998</v>
      </c>
      <c r="W27" s="5">
        <v>8</v>
      </c>
      <c r="X27" s="5">
        <v>100.30029999999999</v>
      </c>
      <c r="Y27" s="5">
        <v>8</v>
      </c>
      <c r="Z27" s="5">
        <v>128.5239</v>
      </c>
      <c r="AA27" s="5">
        <v>8</v>
      </c>
      <c r="AB27" s="5">
        <v>36.208799999999997</v>
      </c>
      <c r="AC27" s="5">
        <v>8</v>
      </c>
      <c r="AD27" s="5">
        <v>19.218900000000001</v>
      </c>
      <c r="AE27" s="5">
        <f>CHOOSE(MATCH(Setup!$B$5,{8,10,12,14,16},0),U27,W27,Y27,AA27,AC27)</f>
        <v>8</v>
      </c>
      <c r="AF27" s="5">
        <f>CHOOSE(MATCH(Setup!$B$5,{8,10,12,14,16},0),V27,X27,Z27,AB27,AD27)</f>
        <v>128.5239</v>
      </c>
      <c r="AG27" s="5">
        <f>ROUND(1+AF27*'Live Calc'!$D$10,0)</f>
        <v>17</v>
      </c>
      <c r="AH27" s="5"/>
      <c r="AI27" s="5">
        <f>IF(AH27&lt;&gt;"",AH27,ROUND(AG27*INDEX('Live Calc'!$D$27:$D$40,MATCH(AE27,'Live Calc'!$A$27:$A$40,0))*'Live Calc'!$J$78,0))</f>
        <v>17</v>
      </c>
      <c r="AK27" s="6" t="s">
        <v>157</v>
      </c>
      <c r="AL27" s="6" t="s">
        <v>65</v>
      </c>
      <c r="AM27" s="6">
        <v>7</v>
      </c>
      <c r="AN27" s="6">
        <v>53.639499999999998</v>
      </c>
      <c r="AO27" s="6">
        <v>7</v>
      </c>
      <c r="AP27" s="6">
        <v>92.397499999999994</v>
      </c>
      <c r="AQ27" s="6">
        <v>7</v>
      </c>
      <c r="AR27" s="6">
        <v>127.08629999999999</v>
      </c>
      <c r="AS27" s="6">
        <v>6</v>
      </c>
      <c r="AT27" s="6">
        <v>66.236000000000004</v>
      </c>
      <c r="AU27" s="6">
        <v>6</v>
      </c>
      <c r="AV27" s="6">
        <v>35.312600000000003</v>
      </c>
      <c r="AW27" s="6">
        <f>CHOOSE(MATCH(Setup!$B$5,{8,10,12,14,16},0),AM27,AO27,AQ27,AS27,AU27)</f>
        <v>7</v>
      </c>
      <c r="AX27" s="6">
        <f>CHOOSE(MATCH(Setup!$B$5,{8,10,12,14,16},0),AN27,AP27,AR27,AT27,AV27)</f>
        <v>127.08629999999999</v>
      </c>
      <c r="AY27" s="6">
        <f>ROUND(1+AX27*'Live Calc'!$D$11,0)</f>
        <v>18</v>
      </c>
      <c r="AZ27" s="6"/>
      <c r="BA27" s="6">
        <f>IF(AZ27&lt;&gt;"",AZ27,ROUND(AY27*INDEX('Live Calc'!$D$44:$D$59,MATCH(AW27,'Live Calc'!$A$44:$A$59,0))*'Live Calc'!$J$78,0))</f>
        <v>18</v>
      </c>
      <c r="BC27" s="7" t="s">
        <v>158</v>
      </c>
      <c r="BD27" s="7" t="s">
        <v>70</v>
      </c>
      <c r="BE27" s="7">
        <v>7</v>
      </c>
      <c r="BF27" s="7">
        <v>0</v>
      </c>
      <c r="BG27" s="7">
        <v>8</v>
      </c>
      <c r="BH27" s="7">
        <v>0</v>
      </c>
      <c r="BI27" s="7">
        <v>11</v>
      </c>
      <c r="BJ27" s="7">
        <v>0</v>
      </c>
      <c r="BK27" s="7">
        <v>12</v>
      </c>
      <c r="BL27" s="7">
        <v>0</v>
      </c>
      <c r="BM27" s="7">
        <v>11</v>
      </c>
      <c r="BN27" s="7">
        <v>0</v>
      </c>
      <c r="BO27" s="7">
        <f>CHOOSE(MATCH(Setup!$B$5,{8,10,12,14,16},0),BE27,BG27,BI27,BK27,BM27)</f>
        <v>11</v>
      </c>
      <c r="BP27" s="7">
        <f>CHOOSE(MATCH(Setup!$B$5,{8,10,12,14,16},0),BF27,BH27,BJ27,BL27,BN27)</f>
        <v>0</v>
      </c>
      <c r="BQ27" s="7">
        <f>ROUND(1+BP27*'Live Calc'!$D$12,0)</f>
        <v>1</v>
      </c>
      <c r="BR27" s="7"/>
      <c r="BS27" s="7">
        <f>IF(BR27&lt;&gt;"",BR27,ROUND(BQ27*INDEX('Live Calc'!$D$63:$D$74,MATCH(BO27,'Live Calc'!$A$63:$A$74,0))*'Live Calc'!$J$78,0))</f>
        <v>1</v>
      </c>
    </row>
    <row r="28" spans="1:71" x14ac:dyDescent="0.25">
      <c r="A28" s="4" t="s">
        <v>159</v>
      </c>
      <c r="B28" s="4" t="s">
        <v>30</v>
      </c>
      <c r="C28" s="4">
        <v>7</v>
      </c>
      <c r="D28" s="4">
        <v>0</v>
      </c>
      <c r="E28" s="4">
        <v>8</v>
      </c>
      <c r="F28" s="4">
        <v>0</v>
      </c>
      <c r="G28" s="4">
        <v>7</v>
      </c>
      <c r="H28" s="4">
        <v>0</v>
      </c>
      <c r="I28" s="4">
        <v>8</v>
      </c>
      <c r="J28" s="4">
        <v>0</v>
      </c>
      <c r="K28" s="4">
        <v>8</v>
      </c>
      <c r="L28" s="4">
        <v>0</v>
      </c>
      <c r="M28" s="4">
        <f>CHOOSE(MATCH(Setup!$B$5,{8,10,12,14,16},0),C28,E28,G28,I28,K28)</f>
        <v>7</v>
      </c>
      <c r="N28" s="4">
        <f>CHOOSE(MATCH(Setup!$B$5,{8,10,12,14,16},0),D28,F28,H28,J28,L28)</f>
        <v>0</v>
      </c>
      <c r="O28" s="4">
        <f>ROUND(1+N28*'Live Calc'!$D$9,0)</f>
        <v>1</v>
      </c>
      <c r="P28" s="4"/>
      <c r="Q28" s="4">
        <f>IF(P28&lt;&gt;"",P28,ROUND(O28*INDEX('Live Calc'!$D$16:$D$23,MATCH(M28,'Live Calc'!$A$16:$A$23,0))*'Live Calc'!$J$78,0))</f>
        <v>1</v>
      </c>
      <c r="S28" s="5" t="s">
        <v>160</v>
      </c>
      <c r="T28" s="5" t="s">
        <v>123</v>
      </c>
      <c r="U28" s="5">
        <v>9</v>
      </c>
      <c r="V28" s="5">
        <v>49.958500000000001</v>
      </c>
      <c r="W28" s="5">
        <v>8</v>
      </c>
      <c r="X28" s="5">
        <v>95.5702</v>
      </c>
      <c r="Y28" s="5">
        <v>8</v>
      </c>
      <c r="Z28" s="5">
        <v>124.55410000000001</v>
      </c>
      <c r="AA28" s="5">
        <v>8</v>
      </c>
      <c r="AB28" s="5">
        <v>35.378799999999998</v>
      </c>
      <c r="AC28" s="5">
        <v>8</v>
      </c>
      <c r="AD28" s="5">
        <v>18.855399999999999</v>
      </c>
      <c r="AE28" s="5">
        <f>CHOOSE(MATCH(Setup!$B$5,{8,10,12,14,16},0),U28,W28,Y28,AA28,AC28)</f>
        <v>8</v>
      </c>
      <c r="AF28" s="5">
        <f>CHOOSE(MATCH(Setup!$B$5,{8,10,12,14,16},0),V28,X28,Z28,AB28,AD28)</f>
        <v>124.55410000000001</v>
      </c>
      <c r="AG28" s="5">
        <f>ROUND(1+AF28*'Live Calc'!$D$10,0)</f>
        <v>16</v>
      </c>
      <c r="AH28" s="5"/>
      <c r="AI28" s="5">
        <f>IF(AH28&lt;&gt;"",AH28,ROUND(AG28*INDEX('Live Calc'!$D$27:$D$40,MATCH(AE28,'Live Calc'!$A$27:$A$40,0))*'Live Calc'!$J$78,0))</f>
        <v>16</v>
      </c>
      <c r="AK28" s="6" t="s">
        <v>161</v>
      </c>
      <c r="AL28" s="6" t="s">
        <v>46</v>
      </c>
      <c r="AM28" s="6">
        <v>8</v>
      </c>
      <c r="AN28" s="6">
        <v>44.307299999999998</v>
      </c>
      <c r="AO28" s="6">
        <v>8</v>
      </c>
      <c r="AP28" s="6">
        <v>82.332099999999997</v>
      </c>
      <c r="AQ28" s="6">
        <v>8</v>
      </c>
      <c r="AR28" s="6">
        <v>116.57429999999999</v>
      </c>
      <c r="AS28" s="6">
        <v>7</v>
      </c>
      <c r="AT28" s="6">
        <v>61.35</v>
      </c>
      <c r="AU28" s="6">
        <v>7</v>
      </c>
      <c r="AV28" s="6">
        <v>33.085900000000002</v>
      </c>
      <c r="AW28" s="6">
        <f>CHOOSE(MATCH(Setup!$B$5,{8,10,12,14,16},0),AM28,AO28,AQ28,AS28,AU28)</f>
        <v>8</v>
      </c>
      <c r="AX28" s="6">
        <f>CHOOSE(MATCH(Setup!$B$5,{8,10,12,14,16},0),AN28,AP28,AR28,AT28,AV28)</f>
        <v>116.57429999999999</v>
      </c>
      <c r="AY28" s="6">
        <f>ROUND(1+AX28*'Live Calc'!$D$11,0)</f>
        <v>16</v>
      </c>
      <c r="AZ28" s="6"/>
      <c r="BA28" s="6">
        <f>IF(AZ28&lt;&gt;"",AZ28,ROUND(AY28*INDEX('Live Calc'!$D$44:$D$59,MATCH(AW28,'Live Calc'!$A$44:$A$59,0))*'Live Calc'!$J$78,0))</f>
        <v>16</v>
      </c>
      <c r="BC28" s="7" t="s">
        <v>162</v>
      </c>
      <c r="BD28" s="7" t="s">
        <v>44</v>
      </c>
      <c r="BE28" s="7">
        <v>7</v>
      </c>
      <c r="BF28" s="7">
        <v>0</v>
      </c>
      <c r="BG28" s="7">
        <v>8</v>
      </c>
      <c r="BH28" s="7">
        <v>0</v>
      </c>
      <c r="BI28" s="7">
        <v>11</v>
      </c>
      <c r="BJ28" s="7">
        <v>0</v>
      </c>
      <c r="BK28" s="7">
        <v>12</v>
      </c>
      <c r="BL28" s="7">
        <v>0</v>
      </c>
      <c r="BM28" s="7">
        <v>11</v>
      </c>
      <c r="BN28" s="7">
        <v>0</v>
      </c>
      <c r="BO28" s="7">
        <f>CHOOSE(MATCH(Setup!$B$5,{8,10,12,14,16},0),BE28,BG28,BI28,BK28,BM28)</f>
        <v>11</v>
      </c>
      <c r="BP28" s="7">
        <f>CHOOSE(MATCH(Setup!$B$5,{8,10,12,14,16},0),BF28,BH28,BJ28,BL28,BN28)</f>
        <v>0</v>
      </c>
      <c r="BQ28" s="7">
        <f>ROUND(1+BP28*'Live Calc'!$D$12,0)</f>
        <v>1</v>
      </c>
      <c r="BR28" s="7"/>
      <c r="BS28" s="7">
        <f>IF(BR28&lt;&gt;"",BR28,ROUND(BQ28*INDEX('Live Calc'!$D$63:$D$74,MATCH(BO28,'Live Calc'!$A$63:$A$74,0))*'Live Calc'!$J$78,0))</f>
        <v>1</v>
      </c>
    </row>
    <row r="29" spans="1:71" x14ac:dyDescent="0.25">
      <c r="A29" s="4" t="s">
        <v>163</v>
      </c>
      <c r="B29" s="4" t="s">
        <v>108</v>
      </c>
      <c r="C29" s="4">
        <v>7</v>
      </c>
      <c r="D29" s="4">
        <v>0</v>
      </c>
      <c r="E29" s="4">
        <v>8</v>
      </c>
      <c r="F29" s="4">
        <v>0</v>
      </c>
      <c r="G29" s="4">
        <v>7</v>
      </c>
      <c r="H29" s="4">
        <v>0</v>
      </c>
      <c r="I29" s="4">
        <v>8</v>
      </c>
      <c r="J29" s="4">
        <v>0</v>
      </c>
      <c r="K29" s="4">
        <v>8</v>
      </c>
      <c r="L29" s="4">
        <v>0</v>
      </c>
      <c r="M29" s="4">
        <f>CHOOSE(MATCH(Setup!$B$5,{8,10,12,14,16},0),C29,E29,G29,I29,K29)</f>
        <v>7</v>
      </c>
      <c r="N29" s="4">
        <f>CHOOSE(MATCH(Setup!$B$5,{8,10,12,14,16},0),D29,F29,H29,J29,L29)</f>
        <v>0</v>
      </c>
      <c r="O29" s="4">
        <f>ROUND(1+N29*'Live Calc'!$D$9,0)</f>
        <v>1</v>
      </c>
      <c r="P29" s="4"/>
      <c r="Q29" s="4">
        <f>IF(P29&lt;&gt;"",P29,ROUND(O29*INDEX('Live Calc'!$D$16:$D$23,MATCH(M29,'Live Calc'!$A$16:$A$23,0))*'Live Calc'!$J$78,0))</f>
        <v>1</v>
      </c>
      <c r="S29" s="5" t="s">
        <v>164</v>
      </c>
      <c r="T29" s="5" t="s">
        <v>40</v>
      </c>
      <c r="U29" s="5">
        <v>9</v>
      </c>
      <c r="V29" s="5">
        <v>47.080100000000002</v>
      </c>
      <c r="W29" s="5">
        <v>8</v>
      </c>
      <c r="X29" s="5">
        <v>92.3566</v>
      </c>
      <c r="Y29" s="5">
        <v>8</v>
      </c>
      <c r="Z29" s="5">
        <v>121.84780000000001</v>
      </c>
      <c r="AA29" s="5">
        <v>8</v>
      </c>
      <c r="AB29" s="5">
        <v>34.808999999999997</v>
      </c>
      <c r="AC29" s="5">
        <v>8</v>
      </c>
      <c r="AD29" s="5">
        <v>18.604900000000001</v>
      </c>
      <c r="AE29" s="5">
        <f>CHOOSE(MATCH(Setup!$B$5,{8,10,12,14,16},0),U29,W29,Y29,AA29,AC29)</f>
        <v>8</v>
      </c>
      <c r="AF29" s="5">
        <f>CHOOSE(MATCH(Setup!$B$5,{8,10,12,14,16},0),V29,X29,Z29,AB29,AD29)</f>
        <v>121.84780000000001</v>
      </c>
      <c r="AG29" s="5">
        <f>ROUND(1+AF29*'Live Calc'!$D$10,0)</f>
        <v>16</v>
      </c>
      <c r="AH29" s="5"/>
      <c r="AI29" s="5">
        <f>IF(AH29&lt;&gt;"",AH29,ROUND(AG29*INDEX('Live Calc'!$D$27:$D$40,MATCH(AE29,'Live Calc'!$A$27:$A$40,0))*'Live Calc'!$J$78,0))</f>
        <v>16</v>
      </c>
      <c r="AK29" s="6" t="s">
        <v>165</v>
      </c>
      <c r="AL29" s="6" t="s">
        <v>42</v>
      </c>
      <c r="AM29" s="6">
        <v>8</v>
      </c>
      <c r="AN29" s="6">
        <v>43.068800000000003</v>
      </c>
      <c r="AO29" s="6">
        <v>8</v>
      </c>
      <c r="AP29" s="6">
        <v>80.988299999999995</v>
      </c>
      <c r="AQ29" s="6">
        <v>8</v>
      </c>
      <c r="AR29" s="6">
        <v>115.1678</v>
      </c>
      <c r="AS29" s="6">
        <v>7</v>
      </c>
      <c r="AT29" s="6">
        <v>60.692</v>
      </c>
      <c r="AU29" s="6">
        <v>7</v>
      </c>
      <c r="AV29" s="6">
        <v>32.783999999999999</v>
      </c>
      <c r="AW29" s="6">
        <f>CHOOSE(MATCH(Setup!$B$5,{8,10,12,14,16},0),AM29,AO29,AQ29,AS29,AU29)</f>
        <v>8</v>
      </c>
      <c r="AX29" s="6">
        <f>CHOOSE(MATCH(Setup!$B$5,{8,10,12,14,16},0),AN29,AP29,AR29,AT29,AV29)</f>
        <v>115.1678</v>
      </c>
      <c r="AY29" s="6">
        <f>ROUND(1+AX29*'Live Calc'!$D$11,0)</f>
        <v>16</v>
      </c>
      <c r="AZ29" s="6"/>
      <c r="BA29" s="6">
        <f>IF(AZ29&lt;&gt;"",AZ29,ROUND(AY29*INDEX('Live Calc'!$D$44:$D$59,MATCH(AW29,'Live Calc'!$A$44:$A$59,0))*'Live Calc'!$J$78,0))</f>
        <v>16</v>
      </c>
      <c r="BC29" s="7" t="s">
        <v>166</v>
      </c>
      <c r="BD29" s="7" t="s">
        <v>153</v>
      </c>
      <c r="BE29" s="7">
        <v>7</v>
      </c>
      <c r="BF29" s="7">
        <v>0</v>
      </c>
      <c r="BG29" s="7">
        <v>8</v>
      </c>
      <c r="BH29" s="7">
        <v>0</v>
      </c>
      <c r="BI29" s="7">
        <v>11</v>
      </c>
      <c r="BJ29" s="7">
        <v>0</v>
      </c>
      <c r="BK29" s="7">
        <v>12</v>
      </c>
      <c r="BL29" s="7">
        <v>0</v>
      </c>
      <c r="BM29" s="7">
        <v>11</v>
      </c>
      <c r="BN29" s="7">
        <v>0</v>
      </c>
      <c r="BO29" s="7">
        <f>CHOOSE(MATCH(Setup!$B$5,{8,10,12,14,16},0),BE29,BG29,BI29,BK29,BM29)</f>
        <v>11</v>
      </c>
      <c r="BP29" s="7">
        <f>CHOOSE(MATCH(Setup!$B$5,{8,10,12,14,16},0),BF29,BH29,BJ29,BL29,BN29)</f>
        <v>0</v>
      </c>
      <c r="BQ29" s="7">
        <f>ROUND(1+BP29*'Live Calc'!$D$12,0)</f>
        <v>1</v>
      </c>
      <c r="BR29" s="7"/>
      <c r="BS29" s="7">
        <f>IF(BR29&lt;&gt;"",BR29,ROUND(BQ29*INDEX('Live Calc'!$D$63:$D$74,MATCH(BO29,'Live Calc'!$A$63:$A$74,0))*'Live Calc'!$J$78,0))</f>
        <v>1</v>
      </c>
    </row>
    <row r="30" spans="1:71" x14ac:dyDescent="0.25">
      <c r="A30" s="4" t="s">
        <v>167</v>
      </c>
      <c r="B30" s="4" t="s">
        <v>153</v>
      </c>
      <c r="C30" s="4">
        <v>7</v>
      </c>
      <c r="D30" s="4">
        <v>0</v>
      </c>
      <c r="E30" s="4">
        <v>8</v>
      </c>
      <c r="F30" s="4">
        <v>0</v>
      </c>
      <c r="G30" s="4">
        <v>7</v>
      </c>
      <c r="H30" s="4">
        <v>0</v>
      </c>
      <c r="I30" s="4">
        <v>8</v>
      </c>
      <c r="J30" s="4">
        <v>0</v>
      </c>
      <c r="K30" s="4">
        <v>8</v>
      </c>
      <c r="L30" s="4">
        <v>0</v>
      </c>
      <c r="M30" s="4">
        <f>CHOOSE(MATCH(Setup!$B$5,{8,10,12,14,16},0),C30,E30,G30,I30,K30)</f>
        <v>7</v>
      </c>
      <c r="N30" s="4">
        <f>CHOOSE(MATCH(Setup!$B$5,{8,10,12,14,16},0),D30,F30,H30,J30,L30)</f>
        <v>0</v>
      </c>
      <c r="O30" s="4">
        <f>ROUND(1+N30*'Live Calc'!$D$9,0)</f>
        <v>1</v>
      </c>
      <c r="P30" s="4"/>
      <c r="Q30" s="4">
        <f>IF(P30&lt;&gt;"",P30,ROUND(O30*INDEX('Live Calc'!$D$16:$D$23,MATCH(M30,'Live Calc'!$A$16:$A$23,0))*'Live Calc'!$J$78,0))</f>
        <v>1</v>
      </c>
      <c r="S30" s="5" t="s">
        <v>168</v>
      </c>
      <c r="T30" s="5" t="s">
        <v>155</v>
      </c>
      <c r="U30" s="5">
        <v>9</v>
      </c>
      <c r="V30" s="5">
        <v>45.153100000000002</v>
      </c>
      <c r="W30" s="5">
        <v>8</v>
      </c>
      <c r="X30" s="5">
        <v>90.197299999999998</v>
      </c>
      <c r="Y30" s="5">
        <v>8</v>
      </c>
      <c r="Z30" s="5">
        <v>120.02500000000001</v>
      </c>
      <c r="AA30" s="5">
        <v>8</v>
      </c>
      <c r="AB30" s="5">
        <v>34.423299999999998</v>
      </c>
      <c r="AC30" s="5">
        <v>8</v>
      </c>
      <c r="AD30" s="5">
        <v>18.434999999999999</v>
      </c>
      <c r="AE30" s="5">
        <f>CHOOSE(MATCH(Setup!$B$5,{8,10,12,14,16},0),U30,W30,Y30,AA30,AC30)</f>
        <v>8</v>
      </c>
      <c r="AF30" s="5">
        <f>CHOOSE(MATCH(Setup!$B$5,{8,10,12,14,16},0),V30,X30,Z30,AB30,AD30)</f>
        <v>120.02500000000001</v>
      </c>
      <c r="AG30" s="5">
        <f>ROUND(1+AF30*'Live Calc'!$D$10,0)</f>
        <v>16</v>
      </c>
      <c r="AH30" s="5"/>
      <c r="AI30" s="5">
        <f>IF(AH30&lt;&gt;"",AH30,ROUND(AG30*INDEX('Live Calc'!$D$27:$D$40,MATCH(AE30,'Live Calc'!$A$27:$A$40,0))*'Live Calc'!$J$78,0))</f>
        <v>16</v>
      </c>
      <c r="AK30" s="6" t="s">
        <v>169</v>
      </c>
      <c r="AL30" s="6" t="s">
        <v>24</v>
      </c>
      <c r="AM30" s="6">
        <v>8</v>
      </c>
      <c r="AN30" s="6">
        <v>40.408299999999997</v>
      </c>
      <c r="AO30" s="6">
        <v>8</v>
      </c>
      <c r="AP30" s="6">
        <v>78.094399999999993</v>
      </c>
      <c r="AQ30" s="6">
        <v>8</v>
      </c>
      <c r="AR30" s="6">
        <v>112.13590000000001</v>
      </c>
      <c r="AS30" s="6">
        <v>7</v>
      </c>
      <c r="AT30" s="6">
        <v>59.27</v>
      </c>
      <c r="AU30" s="6">
        <v>7</v>
      </c>
      <c r="AV30" s="6">
        <v>32.129899999999999</v>
      </c>
      <c r="AW30" s="6">
        <f>CHOOSE(MATCH(Setup!$B$5,{8,10,12,14,16},0),AM30,AO30,AQ30,AS30,AU30)</f>
        <v>8</v>
      </c>
      <c r="AX30" s="6">
        <f>CHOOSE(MATCH(Setup!$B$5,{8,10,12,14,16},0),AN30,AP30,AR30,AT30,AV30)</f>
        <v>112.13590000000001</v>
      </c>
      <c r="AY30" s="6">
        <f>ROUND(1+AX30*'Live Calc'!$D$11,0)</f>
        <v>16</v>
      </c>
      <c r="AZ30" s="6"/>
      <c r="BA30" s="6">
        <f>IF(AZ30&lt;&gt;"",AZ30,ROUND(AY30*INDEX('Live Calc'!$D$44:$D$59,MATCH(AW30,'Live Calc'!$A$44:$A$59,0))*'Live Calc'!$J$78,0))</f>
        <v>16</v>
      </c>
      <c r="BC30" s="7" t="s">
        <v>170</v>
      </c>
      <c r="BD30" s="7" t="s">
        <v>120</v>
      </c>
      <c r="BE30" s="7">
        <v>7</v>
      </c>
      <c r="BF30" s="7">
        <v>0</v>
      </c>
      <c r="BG30" s="7">
        <v>8</v>
      </c>
      <c r="BH30" s="7">
        <v>0</v>
      </c>
      <c r="BI30" s="7">
        <v>11</v>
      </c>
      <c r="BJ30" s="7">
        <v>0</v>
      </c>
      <c r="BK30" s="7">
        <v>12</v>
      </c>
      <c r="BL30" s="7">
        <v>0</v>
      </c>
      <c r="BM30" s="7">
        <v>11</v>
      </c>
      <c r="BN30" s="7">
        <v>0</v>
      </c>
      <c r="BO30" s="7">
        <f>CHOOSE(MATCH(Setup!$B$5,{8,10,12,14,16},0),BE30,BG30,BI30,BK30,BM30)</f>
        <v>11</v>
      </c>
      <c r="BP30" s="7">
        <f>CHOOSE(MATCH(Setup!$B$5,{8,10,12,14,16},0),BF30,BH30,BJ30,BL30,BN30)</f>
        <v>0</v>
      </c>
      <c r="BQ30" s="7">
        <f>ROUND(1+BP30*'Live Calc'!$D$12,0)</f>
        <v>1</v>
      </c>
      <c r="BR30" s="7"/>
      <c r="BS30" s="7">
        <f>IF(BR30&lt;&gt;"",BR30,ROUND(BQ30*INDEX('Live Calc'!$D$63:$D$74,MATCH(BO30,'Live Calc'!$A$63:$A$74,0))*'Live Calc'!$J$78,0))</f>
        <v>1</v>
      </c>
    </row>
    <row r="31" spans="1:71" x14ac:dyDescent="0.25">
      <c r="A31" s="4" t="s">
        <v>171</v>
      </c>
      <c r="B31" s="4" t="s">
        <v>38</v>
      </c>
      <c r="C31" s="4">
        <v>7</v>
      </c>
      <c r="D31" s="4">
        <v>0</v>
      </c>
      <c r="E31" s="4">
        <v>8</v>
      </c>
      <c r="F31" s="4">
        <v>0</v>
      </c>
      <c r="G31" s="4">
        <v>7</v>
      </c>
      <c r="H31" s="4">
        <v>0</v>
      </c>
      <c r="I31" s="4">
        <v>8</v>
      </c>
      <c r="J31" s="4">
        <v>0</v>
      </c>
      <c r="K31" s="4">
        <v>8</v>
      </c>
      <c r="L31" s="4">
        <v>0</v>
      </c>
      <c r="M31" s="4">
        <f>CHOOSE(MATCH(Setup!$B$5,{8,10,12,14,16},0),C31,E31,G31,I31,K31)</f>
        <v>7</v>
      </c>
      <c r="N31" s="4">
        <f>CHOOSE(MATCH(Setup!$B$5,{8,10,12,14,16},0),D31,F31,H31,J31,L31)</f>
        <v>0</v>
      </c>
      <c r="O31" s="4">
        <f>ROUND(1+N31*'Live Calc'!$D$9,0)</f>
        <v>1</v>
      </c>
      <c r="P31" s="4"/>
      <c r="Q31" s="4">
        <f>IF(P31&lt;&gt;"",P31,ROUND(O31*INDEX('Live Calc'!$D$16:$D$23,MATCH(M31,'Live Calc'!$A$16:$A$23,0))*'Live Calc'!$J$78,0))</f>
        <v>1</v>
      </c>
      <c r="S31" s="5" t="s">
        <v>172</v>
      </c>
      <c r="T31" s="5" t="s">
        <v>44</v>
      </c>
      <c r="U31" s="5">
        <v>9</v>
      </c>
      <c r="V31" s="5">
        <v>42.481000000000002</v>
      </c>
      <c r="W31" s="5">
        <v>8</v>
      </c>
      <c r="X31" s="5">
        <v>87.191900000000004</v>
      </c>
      <c r="Y31" s="5">
        <v>8</v>
      </c>
      <c r="Z31" s="5">
        <v>117.48180000000001</v>
      </c>
      <c r="AA31" s="5">
        <v>8</v>
      </c>
      <c r="AB31" s="5">
        <v>33.8827</v>
      </c>
      <c r="AC31" s="5">
        <v>8</v>
      </c>
      <c r="AD31" s="5">
        <v>18.196300000000001</v>
      </c>
      <c r="AE31" s="5">
        <f>CHOOSE(MATCH(Setup!$B$5,{8,10,12,14,16},0),U31,W31,Y31,AA31,AC31)</f>
        <v>8</v>
      </c>
      <c r="AF31" s="5">
        <f>CHOOSE(MATCH(Setup!$B$5,{8,10,12,14,16},0),V31,X31,Z31,AB31,AD31)</f>
        <v>117.48180000000001</v>
      </c>
      <c r="AG31" s="5">
        <f>ROUND(1+AF31*'Live Calc'!$D$10,0)</f>
        <v>15</v>
      </c>
      <c r="AH31" s="5"/>
      <c r="AI31" s="5">
        <f>IF(AH31&lt;&gt;"",AH31,ROUND(AG31*INDEX('Live Calc'!$D$27:$D$40,MATCH(AE31,'Live Calc'!$A$27:$A$40,0))*'Live Calc'!$J$78,0))</f>
        <v>15</v>
      </c>
      <c r="AK31" s="6" t="s">
        <v>173</v>
      </c>
      <c r="AL31" s="6" t="s">
        <v>50</v>
      </c>
      <c r="AM31" s="6">
        <v>8</v>
      </c>
      <c r="AN31" s="6">
        <v>38.795400000000001</v>
      </c>
      <c r="AO31" s="6">
        <v>8</v>
      </c>
      <c r="AP31" s="6">
        <v>76.334699999999998</v>
      </c>
      <c r="AQ31" s="6">
        <v>8</v>
      </c>
      <c r="AR31" s="6">
        <v>110.29040000000001</v>
      </c>
      <c r="AS31" s="6">
        <v>7</v>
      </c>
      <c r="AT31" s="6">
        <v>58.402000000000001</v>
      </c>
      <c r="AU31" s="6">
        <v>7</v>
      </c>
      <c r="AV31" s="6">
        <v>31.729500000000002</v>
      </c>
      <c r="AW31" s="6">
        <f>CHOOSE(MATCH(Setup!$B$5,{8,10,12,14,16},0),AM31,AO31,AQ31,AS31,AU31)</f>
        <v>8</v>
      </c>
      <c r="AX31" s="6">
        <f>CHOOSE(MATCH(Setup!$B$5,{8,10,12,14,16},0),AN31,AP31,AR31,AT31,AV31)</f>
        <v>110.29040000000001</v>
      </c>
      <c r="AY31" s="6">
        <f>ROUND(1+AX31*'Live Calc'!$D$11,0)</f>
        <v>16</v>
      </c>
      <c r="AZ31" s="6"/>
      <c r="BA31" s="6">
        <f>IF(AZ31&lt;&gt;"",AZ31,ROUND(AY31*INDEX('Live Calc'!$D$44:$D$59,MATCH(AW31,'Live Calc'!$A$44:$A$59,0))*'Live Calc'!$J$78,0))</f>
        <v>16</v>
      </c>
      <c r="BC31" s="7" t="s">
        <v>174</v>
      </c>
      <c r="BD31" s="7" t="s">
        <v>155</v>
      </c>
      <c r="BE31" s="7">
        <v>7</v>
      </c>
      <c r="BF31" s="7">
        <v>0</v>
      </c>
      <c r="BG31" s="7">
        <v>8</v>
      </c>
      <c r="BH31" s="7">
        <v>0</v>
      </c>
      <c r="BI31" s="7">
        <v>11</v>
      </c>
      <c r="BJ31" s="7">
        <v>0</v>
      </c>
      <c r="BK31" s="7">
        <v>12</v>
      </c>
      <c r="BL31" s="7">
        <v>0</v>
      </c>
      <c r="BM31" s="7">
        <v>11</v>
      </c>
      <c r="BN31" s="7">
        <v>0</v>
      </c>
      <c r="BO31" s="7">
        <f>CHOOSE(MATCH(Setup!$B$5,{8,10,12,14,16},0),BE31,BG31,BI31,BK31,BM31)</f>
        <v>11</v>
      </c>
      <c r="BP31" s="7">
        <f>CHOOSE(MATCH(Setup!$B$5,{8,10,12,14,16},0),BF31,BH31,BJ31,BL31,BN31)</f>
        <v>0</v>
      </c>
      <c r="BQ31" s="7">
        <f>ROUND(1+BP31*'Live Calc'!$D$12,0)</f>
        <v>1</v>
      </c>
      <c r="BR31" s="7"/>
      <c r="BS31" s="7">
        <f>IF(BR31&lt;&gt;"",BR31,ROUND(BQ31*INDEX('Live Calc'!$D$63:$D$74,MATCH(BO31,'Live Calc'!$A$63:$A$74,0))*'Live Calc'!$J$78,0))</f>
        <v>1</v>
      </c>
    </row>
    <row r="32" spans="1:71" x14ac:dyDescent="0.25">
      <c r="A32" s="4" t="s">
        <v>175</v>
      </c>
      <c r="B32" s="4" t="s">
        <v>59</v>
      </c>
      <c r="C32" s="4">
        <v>7</v>
      </c>
      <c r="D32" s="4">
        <v>0</v>
      </c>
      <c r="E32" s="4">
        <v>8</v>
      </c>
      <c r="F32" s="4">
        <v>0</v>
      </c>
      <c r="G32" s="4">
        <v>7</v>
      </c>
      <c r="H32" s="4">
        <v>0</v>
      </c>
      <c r="I32" s="4">
        <v>8</v>
      </c>
      <c r="J32" s="4">
        <v>0</v>
      </c>
      <c r="K32" s="4">
        <v>8</v>
      </c>
      <c r="L32" s="4">
        <v>0</v>
      </c>
      <c r="M32" s="4">
        <f>CHOOSE(MATCH(Setup!$B$5,{8,10,12,14,16},0),C32,E32,G32,I32,K32)</f>
        <v>7</v>
      </c>
      <c r="N32" s="4">
        <f>CHOOSE(MATCH(Setup!$B$5,{8,10,12,14,16},0),D32,F32,H32,J32,L32)</f>
        <v>0</v>
      </c>
      <c r="O32" s="4">
        <f>ROUND(1+N32*'Live Calc'!$D$9,0)</f>
        <v>1</v>
      </c>
      <c r="P32" s="4"/>
      <c r="Q32" s="4">
        <f>IF(P32&lt;&gt;"",P32,ROUND(O32*INDEX('Live Calc'!$D$16:$D$23,MATCH(M32,'Live Calc'!$A$16:$A$23,0))*'Live Calc'!$J$78,0))</f>
        <v>1</v>
      </c>
      <c r="S32" s="5" t="s">
        <v>176</v>
      </c>
      <c r="T32" s="5" t="s">
        <v>153</v>
      </c>
      <c r="U32" s="5">
        <v>9</v>
      </c>
      <c r="V32" s="5">
        <v>38.540599999999998</v>
      </c>
      <c r="W32" s="5">
        <v>8</v>
      </c>
      <c r="X32" s="5">
        <v>82.733500000000006</v>
      </c>
      <c r="Y32" s="5">
        <v>8</v>
      </c>
      <c r="Z32" s="5">
        <v>113.6953</v>
      </c>
      <c r="AA32" s="5">
        <v>8</v>
      </c>
      <c r="AB32" s="5">
        <v>33.072099999999999</v>
      </c>
      <c r="AC32" s="5">
        <v>8</v>
      </c>
      <c r="AD32" s="5">
        <v>17.837</v>
      </c>
      <c r="AE32" s="5">
        <f>CHOOSE(MATCH(Setup!$B$5,{8,10,12,14,16},0),U32,W32,Y32,AA32,AC32)</f>
        <v>8</v>
      </c>
      <c r="AF32" s="5">
        <f>CHOOSE(MATCH(Setup!$B$5,{8,10,12,14,16},0),V32,X32,Z32,AB32,AD32)</f>
        <v>113.6953</v>
      </c>
      <c r="AG32" s="5">
        <f>ROUND(1+AF32*'Live Calc'!$D$10,0)</f>
        <v>15</v>
      </c>
      <c r="AH32" s="5"/>
      <c r="AI32" s="5">
        <f>IF(AH32&lt;&gt;"",AH32,ROUND(AG32*INDEX('Live Calc'!$D$27:$D$40,MATCH(AE32,'Live Calc'!$A$27:$A$40,0))*'Live Calc'!$J$78,0))</f>
        <v>15</v>
      </c>
      <c r="AK32" s="6" t="s">
        <v>177</v>
      </c>
      <c r="AL32" s="6" t="s">
        <v>153</v>
      </c>
      <c r="AM32" s="6">
        <v>9</v>
      </c>
      <c r="AN32" s="6">
        <v>29.189599999999999</v>
      </c>
      <c r="AO32" s="6">
        <v>9</v>
      </c>
      <c r="AP32" s="6">
        <v>65.755600000000001</v>
      </c>
      <c r="AQ32" s="6">
        <v>9</v>
      </c>
      <c r="AR32" s="6">
        <v>99.1614</v>
      </c>
      <c r="AS32" s="6">
        <v>8</v>
      </c>
      <c r="AT32" s="6">
        <v>53.125999999999998</v>
      </c>
      <c r="AU32" s="6">
        <v>8</v>
      </c>
      <c r="AV32" s="6">
        <v>29.276</v>
      </c>
      <c r="AW32" s="6">
        <f>CHOOSE(MATCH(Setup!$B$5,{8,10,12,14,16},0),AM32,AO32,AQ32,AS32,AU32)</f>
        <v>9</v>
      </c>
      <c r="AX32" s="6">
        <f>CHOOSE(MATCH(Setup!$B$5,{8,10,12,14,16},0),AN32,AP32,AR32,AT32,AV32)</f>
        <v>99.1614</v>
      </c>
      <c r="AY32" s="6">
        <f>ROUND(1+AX32*'Live Calc'!$D$11,0)</f>
        <v>14</v>
      </c>
      <c r="AZ32" s="6"/>
      <c r="BA32" s="6">
        <f>IF(AZ32&lt;&gt;"",AZ32,ROUND(AY32*INDEX('Live Calc'!$D$44:$D$59,MATCH(AW32,'Live Calc'!$A$44:$A$59,0))*'Live Calc'!$J$78,0))</f>
        <v>14</v>
      </c>
      <c r="BC32" s="7" t="s">
        <v>178</v>
      </c>
      <c r="BD32" s="7" t="s">
        <v>62</v>
      </c>
      <c r="BE32" s="7">
        <v>7</v>
      </c>
      <c r="BF32" s="7">
        <v>0</v>
      </c>
      <c r="BG32" s="7">
        <v>8</v>
      </c>
      <c r="BH32" s="7">
        <v>0</v>
      </c>
      <c r="BI32" s="7">
        <v>11</v>
      </c>
      <c r="BJ32" s="7">
        <v>0</v>
      </c>
      <c r="BK32" s="7">
        <v>12</v>
      </c>
      <c r="BL32" s="7">
        <v>0</v>
      </c>
      <c r="BM32" s="7">
        <v>11</v>
      </c>
      <c r="BN32" s="7">
        <v>0</v>
      </c>
      <c r="BO32" s="7">
        <f>CHOOSE(MATCH(Setup!$B$5,{8,10,12,14,16},0),BE32,BG32,BI32,BK32,BM32)</f>
        <v>11</v>
      </c>
      <c r="BP32" s="7">
        <f>CHOOSE(MATCH(Setup!$B$5,{8,10,12,14,16},0),BF32,BH32,BJ32,BL32,BN32)</f>
        <v>0</v>
      </c>
      <c r="BQ32" s="7">
        <f>ROUND(1+BP32*'Live Calc'!$D$12,0)</f>
        <v>1</v>
      </c>
      <c r="BR32" s="7"/>
      <c r="BS32" s="7">
        <f>IF(BR32&lt;&gt;"",BR32,ROUND(BQ32*INDEX('Live Calc'!$D$63:$D$74,MATCH(BO32,'Live Calc'!$A$63:$A$74,0))*'Live Calc'!$J$78,0))</f>
        <v>1</v>
      </c>
    </row>
    <row r="33" spans="1:71" x14ac:dyDescent="0.25">
      <c r="A33" s="4" t="s">
        <v>179</v>
      </c>
      <c r="B33" s="4" t="s">
        <v>34</v>
      </c>
      <c r="C33" s="4">
        <v>7</v>
      </c>
      <c r="D33" s="4">
        <v>0</v>
      </c>
      <c r="E33" s="4">
        <v>8</v>
      </c>
      <c r="F33" s="4">
        <v>0</v>
      </c>
      <c r="G33" s="4">
        <v>7</v>
      </c>
      <c r="H33" s="4">
        <v>0</v>
      </c>
      <c r="I33" s="4">
        <v>8</v>
      </c>
      <c r="J33" s="4">
        <v>0</v>
      </c>
      <c r="K33" s="4">
        <v>8</v>
      </c>
      <c r="L33" s="4">
        <v>0</v>
      </c>
      <c r="M33" s="4">
        <f>CHOOSE(MATCH(Setup!$B$5,{8,10,12,14,16},0),C33,E33,G33,I33,K33)</f>
        <v>7</v>
      </c>
      <c r="N33" s="4">
        <f>CHOOSE(MATCH(Setup!$B$5,{8,10,12,14,16},0),D33,F33,H33,J33,L33)</f>
        <v>0</v>
      </c>
      <c r="O33" s="4">
        <f>ROUND(1+N33*'Live Calc'!$D$9,0)</f>
        <v>1</v>
      </c>
      <c r="P33" s="4"/>
      <c r="Q33" s="4">
        <f>IF(P33&lt;&gt;"",P33,ROUND(O33*INDEX('Live Calc'!$D$16:$D$23,MATCH(M33,'Live Calc'!$A$16:$A$23,0))*'Live Calc'!$J$78,0))</f>
        <v>1</v>
      </c>
      <c r="S33" s="5" t="s">
        <v>180</v>
      </c>
      <c r="T33" s="5" t="s">
        <v>102</v>
      </c>
      <c r="U33" s="5">
        <v>10</v>
      </c>
      <c r="V33" s="5">
        <v>10.8925</v>
      </c>
      <c r="W33" s="5">
        <v>9</v>
      </c>
      <c r="X33" s="5">
        <v>49.838700000000003</v>
      </c>
      <c r="Y33" s="5">
        <v>9</v>
      </c>
      <c r="Z33" s="5">
        <v>85.102000000000004</v>
      </c>
      <c r="AA33" s="5">
        <v>9</v>
      </c>
      <c r="AB33" s="5">
        <v>26.697900000000001</v>
      </c>
      <c r="AC33" s="5">
        <v>9</v>
      </c>
      <c r="AD33" s="5">
        <v>14.9536</v>
      </c>
      <c r="AE33" s="5">
        <f>CHOOSE(MATCH(Setup!$B$5,{8,10,12,14,16},0),U33,W33,Y33,AA33,AC33)</f>
        <v>9</v>
      </c>
      <c r="AF33" s="5">
        <f>CHOOSE(MATCH(Setup!$B$5,{8,10,12,14,16},0),V33,X33,Z33,AB33,AD33)</f>
        <v>85.102000000000004</v>
      </c>
      <c r="AG33" s="5">
        <f>ROUND(1+AF33*'Live Calc'!$D$10,0)</f>
        <v>11</v>
      </c>
      <c r="AH33" s="5"/>
      <c r="AI33" s="5">
        <f>IF(AH33&lt;&gt;"",AH33,ROUND(AG33*INDEX('Live Calc'!$D$27:$D$40,MATCH(AE33,'Live Calc'!$A$27:$A$40,0))*'Live Calc'!$J$78,0))</f>
        <v>11</v>
      </c>
      <c r="AK33" s="6" t="s">
        <v>181</v>
      </c>
      <c r="AL33" s="6" t="s">
        <v>155</v>
      </c>
      <c r="AM33" s="6">
        <v>9</v>
      </c>
      <c r="AN33" s="6">
        <v>25.689699999999998</v>
      </c>
      <c r="AO33" s="6">
        <v>9</v>
      </c>
      <c r="AP33" s="6">
        <v>61.848199999999999</v>
      </c>
      <c r="AQ33" s="6">
        <v>9</v>
      </c>
      <c r="AR33" s="6">
        <v>95.033900000000003</v>
      </c>
      <c r="AS33" s="6">
        <v>8</v>
      </c>
      <c r="AT33" s="6">
        <v>51.15</v>
      </c>
      <c r="AU33" s="6">
        <v>8</v>
      </c>
      <c r="AV33" s="6">
        <v>28.347799999999999</v>
      </c>
      <c r="AW33" s="6">
        <f>CHOOSE(MATCH(Setup!$B$5,{8,10,12,14,16},0),AM33,AO33,AQ33,AS33,AU33)</f>
        <v>9</v>
      </c>
      <c r="AX33" s="6">
        <f>CHOOSE(MATCH(Setup!$B$5,{8,10,12,14,16},0),AN33,AP33,AR33,AT33,AV33)</f>
        <v>95.033900000000003</v>
      </c>
      <c r="AY33" s="6">
        <f>ROUND(1+AX33*'Live Calc'!$D$11,0)</f>
        <v>14</v>
      </c>
      <c r="AZ33" s="6"/>
      <c r="BA33" s="6">
        <f>IF(AZ33&lt;&gt;"",AZ33,ROUND(AY33*INDEX('Live Calc'!$D$44:$D$59,MATCH(AW33,'Live Calc'!$A$44:$A$59,0))*'Live Calc'!$J$78,0))</f>
        <v>14</v>
      </c>
      <c r="BC33" s="7" t="s">
        <v>182</v>
      </c>
      <c r="BD33" s="7" t="s">
        <v>88</v>
      </c>
      <c r="BE33" s="7">
        <v>7</v>
      </c>
      <c r="BF33" s="7">
        <v>0</v>
      </c>
      <c r="BG33" s="7">
        <v>8</v>
      </c>
      <c r="BH33" s="7">
        <v>0</v>
      </c>
      <c r="BI33" s="7">
        <v>11</v>
      </c>
      <c r="BJ33" s="7">
        <v>0</v>
      </c>
      <c r="BK33" s="7">
        <v>12</v>
      </c>
      <c r="BL33" s="7">
        <v>0</v>
      </c>
      <c r="BM33" s="7">
        <v>11</v>
      </c>
      <c r="BN33" s="7">
        <v>0</v>
      </c>
      <c r="BO33" s="7">
        <f>CHOOSE(MATCH(Setup!$B$5,{8,10,12,14,16},0),BE33,BG33,BI33,BK33,BM33)</f>
        <v>11</v>
      </c>
      <c r="BP33" s="7">
        <f>CHOOSE(MATCH(Setup!$B$5,{8,10,12,14,16},0),BF33,BH33,BJ33,BL33,BN33)</f>
        <v>0</v>
      </c>
      <c r="BQ33" s="7">
        <f>ROUND(1+BP33*'Live Calc'!$D$12,0)</f>
        <v>1</v>
      </c>
      <c r="BR33" s="7"/>
      <c r="BS33" s="7">
        <f>IF(BR33&lt;&gt;"",BR33,ROUND(BQ33*INDEX('Live Calc'!$D$63:$D$74,MATCH(BO33,'Live Calc'!$A$63:$A$74,0))*'Live Calc'!$J$78,0))</f>
        <v>1</v>
      </c>
    </row>
    <row r="34" spans="1:71" x14ac:dyDescent="0.25">
      <c r="A34" s="4" t="s">
        <v>183</v>
      </c>
      <c r="B34" s="4" t="s">
        <v>34</v>
      </c>
      <c r="C34" s="4">
        <v>7</v>
      </c>
      <c r="D34" s="4">
        <v>0</v>
      </c>
      <c r="E34" s="4">
        <v>8</v>
      </c>
      <c r="F34" s="4">
        <v>0</v>
      </c>
      <c r="G34" s="4">
        <v>7</v>
      </c>
      <c r="H34" s="4">
        <v>0</v>
      </c>
      <c r="I34" s="4">
        <v>8</v>
      </c>
      <c r="J34" s="4">
        <v>0</v>
      </c>
      <c r="K34" s="4">
        <v>8</v>
      </c>
      <c r="L34" s="4">
        <v>0</v>
      </c>
      <c r="M34" s="4">
        <f>CHOOSE(MATCH(Setup!$B$5,{8,10,12,14,16},0),C34,E34,G34,I34,K34)</f>
        <v>7</v>
      </c>
      <c r="N34" s="4">
        <f>CHOOSE(MATCH(Setup!$B$5,{8,10,12,14,16},0),D34,F34,H34,J34,L34)</f>
        <v>0</v>
      </c>
      <c r="O34" s="4">
        <f>ROUND(1+N34*'Live Calc'!$D$9,0)</f>
        <v>1</v>
      </c>
      <c r="P34" s="4"/>
      <c r="Q34" s="4">
        <f>IF(P34&lt;&gt;"",P34,ROUND(O34*INDEX('Live Calc'!$D$16:$D$23,MATCH(M34,'Live Calc'!$A$16:$A$23,0))*'Live Calc'!$J$78,0))</f>
        <v>1</v>
      </c>
      <c r="S34" s="5" t="s">
        <v>184</v>
      </c>
      <c r="T34" s="5" t="s">
        <v>102</v>
      </c>
      <c r="U34" s="5">
        <v>10</v>
      </c>
      <c r="V34" s="5">
        <v>8.5103000000000009</v>
      </c>
      <c r="W34" s="5">
        <v>9</v>
      </c>
      <c r="X34" s="5">
        <v>46.724600000000002</v>
      </c>
      <c r="Y34" s="5">
        <v>9</v>
      </c>
      <c r="Z34" s="5">
        <v>82.315700000000007</v>
      </c>
      <c r="AA34" s="5">
        <v>9</v>
      </c>
      <c r="AB34" s="5">
        <v>26.048999999999999</v>
      </c>
      <c r="AC34" s="5">
        <v>9</v>
      </c>
      <c r="AD34" s="5">
        <v>14.653700000000001</v>
      </c>
      <c r="AE34" s="5">
        <f>CHOOSE(MATCH(Setup!$B$5,{8,10,12,14,16},0),U34,W34,Y34,AA34,AC34)</f>
        <v>9</v>
      </c>
      <c r="AF34" s="5">
        <f>CHOOSE(MATCH(Setup!$B$5,{8,10,12,14,16},0),V34,X34,Z34,AB34,AD34)</f>
        <v>82.315700000000007</v>
      </c>
      <c r="AG34" s="5">
        <f>ROUND(1+AF34*'Live Calc'!$D$10,0)</f>
        <v>11</v>
      </c>
      <c r="AH34" s="5"/>
      <c r="AI34" s="5">
        <f>IF(AH34&lt;&gt;"",AH34,ROUND(AG34*INDEX('Live Calc'!$D$27:$D$40,MATCH(AE34,'Live Calc'!$A$27:$A$40,0))*'Live Calc'!$J$78,0))</f>
        <v>11</v>
      </c>
      <c r="AK34" s="6" t="s">
        <v>185</v>
      </c>
      <c r="AL34" s="6" t="s">
        <v>102</v>
      </c>
      <c r="AM34" s="6">
        <v>9</v>
      </c>
      <c r="AN34" s="6">
        <v>25.349299999999999</v>
      </c>
      <c r="AO34" s="6">
        <v>9</v>
      </c>
      <c r="AP34" s="6">
        <v>61.466299999999997</v>
      </c>
      <c r="AQ34" s="6">
        <v>9</v>
      </c>
      <c r="AR34" s="6">
        <v>94.629900000000006</v>
      </c>
      <c r="AS34" s="6">
        <v>8</v>
      </c>
      <c r="AT34" s="6">
        <v>50.956000000000003</v>
      </c>
      <c r="AU34" s="6">
        <v>8</v>
      </c>
      <c r="AV34" s="6">
        <v>28.2563</v>
      </c>
      <c r="AW34" s="6">
        <f>CHOOSE(MATCH(Setup!$B$5,{8,10,12,14,16},0),AM34,AO34,AQ34,AS34,AU34)</f>
        <v>9</v>
      </c>
      <c r="AX34" s="6">
        <f>CHOOSE(MATCH(Setup!$B$5,{8,10,12,14,16},0),AN34,AP34,AR34,AT34,AV34)</f>
        <v>94.629900000000006</v>
      </c>
      <c r="AY34" s="6">
        <f>ROUND(1+AX34*'Live Calc'!$D$11,0)</f>
        <v>14</v>
      </c>
      <c r="AZ34" s="6"/>
      <c r="BA34" s="6">
        <f>IF(AZ34&lt;&gt;"",AZ34,ROUND(AY34*INDEX('Live Calc'!$D$44:$D$59,MATCH(AW34,'Live Calc'!$A$44:$A$59,0))*'Live Calc'!$J$78,0))</f>
        <v>14</v>
      </c>
      <c r="BC34" s="7" t="s">
        <v>186</v>
      </c>
      <c r="BD34" s="7" t="s">
        <v>36</v>
      </c>
      <c r="BE34" s="7">
        <v>7</v>
      </c>
      <c r="BF34" s="7">
        <v>0</v>
      </c>
      <c r="BG34" s="7">
        <v>8</v>
      </c>
      <c r="BH34" s="7">
        <v>0</v>
      </c>
      <c r="BI34" s="7">
        <v>11</v>
      </c>
      <c r="BJ34" s="7">
        <v>0</v>
      </c>
      <c r="BK34" s="7">
        <v>12</v>
      </c>
      <c r="BL34" s="7">
        <v>0</v>
      </c>
      <c r="BM34" s="7">
        <v>11</v>
      </c>
      <c r="BN34" s="7">
        <v>0</v>
      </c>
      <c r="BO34" s="7">
        <f>CHOOSE(MATCH(Setup!$B$5,{8,10,12,14,16},0),BE34,BG34,BI34,BK34,BM34)</f>
        <v>11</v>
      </c>
      <c r="BP34" s="7">
        <f>CHOOSE(MATCH(Setup!$B$5,{8,10,12,14,16},0),BF34,BH34,BJ34,BL34,BN34)</f>
        <v>0</v>
      </c>
      <c r="BQ34" s="7">
        <f>ROUND(1+BP34*'Live Calc'!$D$12,0)</f>
        <v>1</v>
      </c>
      <c r="BR34" s="7"/>
      <c r="BS34" s="7">
        <f>IF(BR34&lt;&gt;"",BR34,ROUND(BQ34*INDEX('Live Calc'!$D$63:$D$74,MATCH(BO34,'Live Calc'!$A$63:$A$74,0))*'Live Calc'!$J$78,0))</f>
        <v>1</v>
      </c>
    </row>
    <row r="35" spans="1:71" x14ac:dyDescent="0.25">
      <c r="A35" s="4" t="s">
        <v>187</v>
      </c>
      <c r="B35" s="4" t="s">
        <v>59</v>
      </c>
      <c r="C35" s="4">
        <v>7</v>
      </c>
      <c r="D35" s="4">
        <v>0</v>
      </c>
      <c r="E35" s="4">
        <v>8</v>
      </c>
      <c r="F35" s="4">
        <v>0</v>
      </c>
      <c r="G35" s="4">
        <v>7</v>
      </c>
      <c r="H35" s="4">
        <v>0</v>
      </c>
      <c r="I35" s="4">
        <v>8</v>
      </c>
      <c r="J35" s="4">
        <v>0</v>
      </c>
      <c r="K35" s="4">
        <v>8</v>
      </c>
      <c r="L35" s="4">
        <v>0</v>
      </c>
      <c r="M35" s="4">
        <f>CHOOSE(MATCH(Setup!$B$5,{8,10,12,14,16},0),C35,E35,G35,I35,K35)</f>
        <v>7</v>
      </c>
      <c r="N35" s="4">
        <f>CHOOSE(MATCH(Setup!$B$5,{8,10,12,14,16},0),D35,F35,H35,J35,L35)</f>
        <v>0</v>
      </c>
      <c r="O35" s="4">
        <f>ROUND(1+N35*'Live Calc'!$D$9,0)</f>
        <v>1</v>
      </c>
      <c r="P35" s="4"/>
      <c r="Q35" s="4">
        <f>IF(P35&lt;&gt;"",P35,ROUND(O35*INDEX('Live Calc'!$D$16:$D$23,MATCH(M35,'Live Calc'!$A$16:$A$23,0))*'Live Calc'!$J$78,0))</f>
        <v>1</v>
      </c>
      <c r="S35" s="5" t="s">
        <v>188</v>
      </c>
      <c r="T35" s="5" t="s">
        <v>46</v>
      </c>
      <c r="U35" s="5">
        <v>11</v>
      </c>
      <c r="V35" s="5">
        <v>0</v>
      </c>
      <c r="W35" s="5">
        <v>10</v>
      </c>
      <c r="X35" s="5">
        <v>33.5124</v>
      </c>
      <c r="Y35" s="5">
        <v>10</v>
      </c>
      <c r="Z35" s="5">
        <v>70.261899999999997</v>
      </c>
      <c r="AA35" s="5">
        <v>10</v>
      </c>
      <c r="AB35" s="5">
        <v>23.1722</v>
      </c>
      <c r="AC35" s="5">
        <v>10</v>
      </c>
      <c r="AD35" s="5">
        <v>13.3073</v>
      </c>
      <c r="AE35" s="5">
        <f>CHOOSE(MATCH(Setup!$B$5,{8,10,12,14,16},0),U35,W35,Y35,AA35,AC35)</f>
        <v>10</v>
      </c>
      <c r="AF35" s="5">
        <f>CHOOSE(MATCH(Setup!$B$5,{8,10,12,14,16},0),V35,X35,Z35,AB35,AD35)</f>
        <v>70.261899999999997</v>
      </c>
      <c r="AG35" s="5">
        <f>ROUND(1+AF35*'Live Calc'!$D$10,0)</f>
        <v>10</v>
      </c>
      <c r="AH35" s="5"/>
      <c r="AI35" s="5">
        <f>IF(AH35&lt;&gt;"",AH35,ROUND(AG35*INDEX('Live Calc'!$D$27:$D$40,MATCH(AE35,'Live Calc'!$A$27:$A$40,0))*'Live Calc'!$J$78,0))</f>
        <v>10</v>
      </c>
      <c r="AK35" s="6" t="s">
        <v>189</v>
      </c>
      <c r="AL35" s="6" t="s">
        <v>30</v>
      </c>
      <c r="AM35" s="6">
        <v>9</v>
      </c>
      <c r="AN35" s="6">
        <v>20.734300000000001</v>
      </c>
      <c r="AO35" s="6">
        <v>9</v>
      </c>
      <c r="AP35" s="6">
        <v>56.249699999999997</v>
      </c>
      <c r="AQ35" s="6">
        <v>9</v>
      </c>
      <c r="AR35" s="6">
        <v>89.101399999999998</v>
      </c>
      <c r="AS35" s="6">
        <v>8</v>
      </c>
      <c r="AT35" s="6">
        <v>48.29</v>
      </c>
      <c r="AU35" s="6">
        <v>8</v>
      </c>
      <c r="AV35" s="6">
        <v>26.994700000000002</v>
      </c>
      <c r="AW35" s="6">
        <f>CHOOSE(MATCH(Setup!$B$5,{8,10,12,14,16},0),AM35,AO35,AQ35,AS35,AU35)</f>
        <v>9</v>
      </c>
      <c r="AX35" s="6">
        <f>CHOOSE(MATCH(Setup!$B$5,{8,10,12,14,16},0),AN35,AP35,AR35,AT35,AV35)</f>
        <v>89.101399999999998</v>
      </c>
      <c r="AY35" s="6">
        <f>ROUND(1+AX35*'Live Calc'!$D$11,0)</f>
        <v>13</v>
      </c>
      <c r="AZ35" s="6"/>
      <c r="BA35" s="6">
        <f>IF(AZ35&lt;&gt;"",AZ35,ROUND(AY35*INDEX('Live Calc'!$D$44:$D$59,MATCH(AW35,'Live Calc'!$A$44:$A$59,0))*'Live Calc'!$J$78,0))</f>
        <v>13</v>
      </c>
      <c r="BC35" s="7" t="s">
        <v>190</v>
      </c>
      <c r="BD35" s="7" t="s">
        <v>28</v>
      </c>
      <c r="BE35" s="7">
        <v>7</v>
      </c>
      <c r="BF35" s="7">
        <v>0</v>
      </c>
      <c r="BG35" s="7">
        <v>8</v>
      </c>
      <c r="BH35" s="7">
        <v>0</v>
      </c>
      <c r="BI35" s="7">
        <v>11</v>
      </c>
      <c r="BJ35" s="7">
        <v>0</v>
      </c>
      <c r="BK35" s="7">
        <v>12</v>
      </c>
      <c r="BL35" s="7">
        <v>0</v>
      </c>
      <c r="BM35" s="7">
        <v>11</v>
      </c>
      <c r="BN35" s="7">
        <v>0</v>
      </c>
      <c r="BO35" s="7">
        <f>CHOOSE(MATCH(Setup!$B$5,{8,10,12,14,16},0),BE35,BG35,BI35,BK35,BM35)</f>
        <v>11</v>
      </c>
      <c r="BP35" s="7">
        <f>CHOOSE(MATCH(Setup!$B$5,{8,10,12,14,16},0),BF35,BH35,BJ35,BL35,BN35)</f>
        <v>0</v>
      </c>
      <c r="BQ35" s="7">
        <f>ROUND(1+BP35*'Live Calc'!$D$12,0)</f>
        <v>1</v>
      </c>
      <c r="BR35" s="7"/>
      <c r="BS35" s="7">
        <f>IF(BR35&lt;&gt;"",BR35,ROUND(BQ35*INDEX('Live Calc'!$D$63:$D$74,MATCH(BO35,'Live Calc'!$A$63:$A$74,0))*'Live Calc'!$J$78,0))</f>
        <v>1</v>
      </c>
    </row>
    <row r="36" spans="1:71" x14ac:dyDescent="0.25">
      <c r="A36" s="4" t="s">
        <v>191</v>
      </c>
      <c r="B36" s="4" t="s">
        <v>38</v>
      </c>
      <c r="C36" s="4">
        <v>7</v>
      </c>
      <c r="D36" s="4">
        <v>0</v>
      </c>
      <c r="E36" s="4">
        <v>8</v>
      </c>
      <c r="F36" s="4">
        <v>0</v>
      </c>
      <c r="G36" s="4">
        <v>7</v>
      </c>
      <c r="H36" s="4">
        <v>0</v>
      </c>
      <c r="I36" s="4">
        <v>8</v>
      </c>
      <c r="J36" s="4">
        <v>0</v>
      </c>
      <c r="K36" s="4">
        <v>8</v>
      </c>
      <c r="L36" s="4">
        <v>0</v>
      </c>
      <c r="M36" s="4">
        <f>CHOOSE(MATCH(Setup!$B$5,{8,10,12,14,16},0),C36,E36,G36,I36,K36)</f>
        <v>7</v>
      </c>
      <c r="N36" s="4">
        <f>CHOOSE(MATCH(Setup!$B$5,{8,10,12,14,16},0),D36,F36,H36,J36,L36)</f>
        <v>0</v>
      </c>
      <c r="O36" s="4">
        <f>ROUND(1+N36*'Live Calc'!$D$9,0)</f>
        <v>1</v>
      </c>
      <c r="P36" s="4"/>
      <c r="Q36" s="4">
        <f>IF(P36&lt;&gt;"",P36,ROUND(O36*INDEX('Live Calc'!$D$16:$D$23,MATCH(M36,'Live Calc'!$A$16:$A$23,0))*'Live Calc'!$J$78,0))</f>
        <v>1</v>
      </c>
      <c r="S36" s="5" t="s">
        <v>192</v>
      </c>
      <c r="T36" s="5" t="s">
        <v>70</v>
      </c>
      <c r="U36" s="5">
        <v>11</v>
      </c>
      <c r="V36" s="5">
        <v>0</v>
      </c>
      <c r="W36" s="5">
        <v>11</v>
      </c>
      <c r="X36" s="5">
        <v>23.4039</v>
      </c>
      <c r="Y36" s="5">
        <v>11</v>
      </c>
      <c r="Z36" s="5">
        <v>60.687600000000003</v>
      </c>
      <c r="AA36" s="5">
        <v>11</v>
      </c>
      <c r="AB36" s="5">
        <v>20.7943</v>
      </c>
      <c r="AC36" s="5">
        <v>11</v>
      </c>
      <c r="AD36" s="5">
        <v>12.1721</v>
      </c>
      <c r="AE36" s="5">
        <f>CHOOSE(MATCH(Setup!$B$5,{8,10,12,14,16},0),U36,W36,Y36,AA36,AC36)</f>
        <v>11</v>
      </c>
      <c r="AF36" s="5">
        <f>CHOOSE(MATCH(Setup!$B$5,{8,10,12,14,16},0),V36,X36,Z36,AB36,AD36)</f>
        <v>60.687600000000003</v>
      </c>
      <c r="AG36" s="5">
        <f>ROUND(1+AF36*'Live Calc'!$D$10,0)</f>
        <v>8</v>
      </c>
      <c r="AH36" s="5"/>
      <c r="AI36" s="5">
        <f>IF(AH36&lt;&gt;"",AH36,ROUND(AG36*INDEX('Live Calc'!$D$27:$D$40,MATCH(AE36,'Live Calc'!$A$27:$A$40,0))*'Live Calc'!$J$78,0))</f>
        <v>8</v>
      </c>
      <c r="AK36" s="6" t="s">
        <v>193</v>
      </c>
      <c r="AL36" s="6" t="s">
        <v>82</v>
      </c>
      <c r="AM36" s="6">
        <v>9</v>
      </c>
      <c r="AN36" s="6">
        <v>17.965800000000002</v>
      </c>
      <c r="AO36" s="6">
        <v>9</v>
      </c>
      <c r="AP36" s="6">
        <v>53.0792</v>
      </c>
      <c r="AQ36" s="6">
        <v>9</v>
      </c>
      <c r="AR36" s="6">
        <v>85.730599999999995</v>
      </c>
      <c r="AS36" s="6">
        <v>8</v>
      </c>
      <c r="AT36" s="6">
        <v>46.654000000000003</v>
      </c>
      <c r="AU36" s="6">
        <v>8</v>
      </c>
      <c r="AV36" s="6">
        <v>26.215299999999999</v>
      </c>
      <c r="AW36" s="6">
        <f>CHOOSE(MATCH(Setup!$B$5,{8,10,12,14,16},0),AM36,AO36,AQ36,AS36,AU36)</f>
        <v>9</v>
      </c>
      <c r="AX36" s="6">
        <f>CHOOSE(MATCH(Setup!$B$5,{8,10,12,14,16},0),AN36,AP36,AR36,AT36,AV36)</f>
        <v>85.730599999999995</v>
      </c>
      <c r="AY36" s="6">
        <f>ROUND(1+AX36*'Live Calc'!$D$11,0)</f>
        <v>12</v>
      </c>
      <c r="AZ36" s="6"/>
      <c r="BA36" s="6">
        <f>IF(AZ36&lt;&gt;"",AZ36,ROUND(AY36*INDEX('Live Calc'!$D$44:$D$59,MATCH(AW36,'Live Calc'!$A$44:$A$59,0))*'Live Calc'!$J$78,0))</f>
        <v>12</v>
      </c>
      <c r="BC36" s="7" t="s">
        <v>194</v>
      </c>
      <c r="BD36" s="7" t="s">
        <v>102</v>
      </c>
      <c r="BE36" s="7">
        <v>7</v>
      </c>
      <c r="BF36" s="7">
        <v>0</v>
      </c>
      <c r="BG36" s="7">
        <v>8</v>
      </c>
      <c r="BH36" s="7">
        <v>0</v>
      </c>
      <c r="BI36" s="7">
        <v>11</v>
      </c>
      <c r="BJ36" s="7">
        <v>0</v>
      </c>
      <c r="BK36" s="7">
        <v>12</v>
      </c>
      <c r="BL36" s="7">
        <v>0</v>
      </c>
      <c r="BM36" s="7">
        <v>11</v>
      </c>
      <c r="BN36" s="7">
        <v>0</v>
      </c>
      <c r="BO36" s="7">
        <f>CHOOSE(MATCH(Setup!$B$5,{8,10,12,14,16},0),BE36,BG36,BI36,BK36,BM36)</f>
        <v>11</v>
      </c>
      <c r="BP36" s="7">
        <f>CHOOSE(MATCH(Setup!$B$5,{8,10,12,14,16},0),BF36,BH36,BJ36,BL36,BN36)</f>
        <v>0</v>
      </c>
      <c r="BQ36" s="7">
        <f>ROUND(1+BP36*'Live Calc'!$D$12,0)</f>
        <v>1</v>
      </c>
      <c r="BR36" s="7"/>
      <c r="BS36" s="7">
        <f>IF(BR36&lt;&gt;"",BR36,ROUND(BQ36*INDEX('Live Calc'!$D$63:$D$74,MATCH(BO36,'Live Calc'!$A$63:$A$74,0))*'Live Calc'!$J$78,0))</f>
        <v>1</v>
      </c>
    </row>
    <row r="37" spans="1:71" x14ac:dyDescent="0.25">
      <c r="A37" s="4" t="s">
        <v>195</v>
      </c>
      <c r="B37" s="4" t="s">
        <v>70</v>
      </c>
      <c r="C37" s="4">
        <v>7</v>
      </c>
      <c r="D37" s="4">
        <v>0</v>
      </c>
      <c r="E37" s="4">
        <v>8</v>
      </c>
      <c r="F37" s="4">
        <v>0</v>
      </c>
      <c r="G37" s="4">
        <v>7</v>
      </c>
      <c r="H37" s="4">
        <v>0</v>
      </c>
      <c r="I37" s="4">
        <v>8</v>
      </c>
      <c r="J37" s="4">
        <v>0</v>
      </c>
      <c r="K37" s="4">
        <v>8</v>
      </c>
      <c r="L37" s="4">
        <v>0</v>
      </c>
      <c r="M37" s="4">
        <f>CHOOSE(MATCH(Setup!$B$5,{8,10,12,14,16},0),C37,E37,G37,I37,K37)</f>
        <v>7</v>
      </c>
      <c r="N37" s="4">
        <f>CHOOSE(MATCH(Setup!$B$5,{8,10,12,14,16},0),D37,F37,H37,J37,L37)</f>
        <v>0</v>
      </c>
      <c r="O37" s="4">
        <f>ROUND(1+N37*'Live Calc'!$D$9,0)</f>
        <v>1</v>
      </c>
      <c r="P37" s="4"/>
      <c r="Q37" s="4">
        <f>IF(P37&lt;&gt;"",P37,ROUND(O37*INDEX('Live Calc'!$D$16:$D$23,MATCH(M37,'Live Calc'!$A$16:$A$23,0))*'Live Calc'!$J$78,0))</f>
        <v>1</v>
      </c>
      <c r="S37" s="5" t="s">
        <v>196</v>
      </c>
      <c r="T37" s="5" t="s">
        <v>48</v>
      </c>
      <c r="U37" s="5">
        <v>11</v>
      </c>
      <c r="V37" s="5">
        <v>0</v>
      </c>
      <c r="W37" s="5">
        <v>11</v>
      </c>
      <c r="X37" s="5">
        <v>22.509699999999999</v>
      </c>
      <c r="Y37" s="5">
        <v>11</v>
      </c>
      <c r="Z37" s="5">
        <v>59.820099999999996</v>
      </c>
      <c r="AA37" s="5">
        <v>11</v>
      </c>
      <c r="AB37" s="5">
        <v>20.574100000000001</v>
      </c>
      <c r="AC37" s="5">
        <v>11</v>
      </c>
      <c r="AD37" s="5">
        <v>12.065899999999999</v>
      </c>
      <c r="AE37" s="5">
        <f>CHOOSE(MATCH(Setup!$B$5,{8,10,12,14,16},0),U37,W37,Y37,AA37,AC37)</f>
        <v>11</v>
      </c>
      <c r="AF37" s="5">
        <f>CHOOSE(MATCH(Setup!$B$5,{8,10,12,14,16},0),V37,X37,Z37,AB37,AD37)</f>
        <v>59.820099999999996</v>
      </c>
      <c r="AG37" s="5">
        <f>ROUND(1+AF37*'Live Calc'!$D$10,0)</f>
        <v>8</v>
      </c>
      <c r="AH37" s="5"/>
      <c r="AI37" s="5">
        <f>IF(AH37&lt;&gt;"",AH37,ROUND(AG37*INDEX('Live Calc'!$D$27:$D$40,MATCH(AE37,'Live Calc'!$A$27:$A$40,0))*'Live Calc'!$J$78,0))</f>
        <v>8</v>
      </c>
      <c r="AK37" s="6" t="s">
        <v>197</v>
      </c>
      <c r="AL37" s="6" t="s">
        <v>95</v>
      </c>
      <c r="AM37" s="6">
        <v>9</v>
      </c>
      <c r="AN37" s="6">
        <v>13.1777</v>
      </c>
      <c r="AO37" s="6">
        <v>9</v>
      </c>
      <c r="AP37" s="6">
        <v>47.497300000000003</v>
      </c>
      <c r="AQ37" s="6">
        <v>9</v>
      </c>
      <c r="AR37" s="6">
        <v>79.773700000000005</v>
      </c>
      <c r="AS37" s="6">
        <v>8</v>
      </c>
      <c r="AT37" s="6">
        <v>43.741999999999997</v>
      </c>
      <c r="AU37" s="6">
        <v>8</v>
      </c>
      <c r="AV37" s="6">
        <v>24.817799999999998</v>
      </c>
      <c r="AW37" s="6">
        <f>CHOOSE(MATCH(Setup!$B$5,{8,10,12,14,16},0),AM37,AO37,AQ37,AS37,AU37)</f>
        <v>9</v>
      </c>
      <c r="AX37" s="6">
        <f>CHOOSE(MATCH(Setup!$B$5,{8,10,12,14,16},0),AN37,AP37,AR37,AT37,AV37)</f>
        <v>79.773700000000005</v>
      </c>
      <c r="AY37" s="6">
        <f>ROUND(1+AX37*'Live Calc'!$D$11,0)</f>
        <v>12</v>
      </c>
      <c r="AZ37" s="6"/>
      <c r="BA37" s="6">
        <f>IF(AZ37&lt;&gt;"",AZ37,ROUND(AY37*INDEX('Live Calc'!$D$44:$D$59,MATCH(AW37,'Live Calc'!$A$44:$A$59,0))*'Live Calc'!$J$78,0))</f>
        <v>12</v>
      </c>
      <c r="BC37" s="7" t="s">
        <v>198</v>
      </c>
      <c r="BD37" s="7" t="s">
        <v>28</v>
      </c>
      <c r="BE37" s="7">
        <v>7</v>
      </c>
      <c r="BF37" s="7">
        <v>0</v>
      </c>
      <c r="BG37" s="7">
        <v>8</v>
      </c>
      <c r="BH37" s="7">
        <v>0</v>
      </c>
      <c r="BI37" s="7">
        <v>11</v>
      </c>
      <c r="BJ37" s="7">
        <v>0</v>
      </c>
      <c r="BK37" s="7">
        <v>12</v>
      </c>
      <c r="BL37" s="7">
        <v>0</v>
      </c>
      <c r="BM37" s="7">
        <v>11</v>
      </c>
      <c r="BN37" s="7">
        <v>0</v>
      </c>
      <c r="BO37" s="7">
        <f>CHOOSE(MATCH(Setup!$B$5,{8,10,12,14,16},0),BE37,BG37,BI37,BK37,BM37)</f>
        <v>11</v>
      </c>
      <c r="BP37" s="7">
        <f>CHOOSE(MATCH(Setup!$B$5,{8,10,12,14,16},0),BF37,BH37,BJ37,BL37,BN37)</f>
        <v>0</v>
      </c>
      <c r="BQ37" s="7">
        <f>ROUND(1+BP37*'Live Calc'!$D$12,0)</f>
        <v>1</v>
      </c>
      <c r="BR37" s="7"/>
      <c r="BS37" s="7">
        <f>IF(BR37&lt;&gt;"",BR37,ROUND(BQ37*INDEX('Live Calc'!$D$63:$D$74,MATCH(BO37,'Live Calc'!$A$63:$A$74,0))*'Live Calc'!$J$78,0))</f>
        <v>1</v>
      </c>
    </row>
    <row r="38" spans="1:71" x14ac:dyDescent="0.25">
      <c r="A38" s="4" t="s">
        <v>199</v>
      </c>
      <c r="B38" s="4" t="s">
        <v>30</v>
      </c>
      <c r="C38" s="4">
        <v>7</v>
      </c>
      <c r="D38" s="4">
        <v>0</v>
      </c>
      <c r="E38" s="4">
        <v>8</v>
      </c>
      <c r="F38" s="4">
        <v>0</v>
      </c>
      <c r="G38" s="4">
        <v>7</v>
      </c>
      <c r="H38" s="4">
        <v>0</v>
      </c>
      <c r="I38" s="4">
        <v>8</v>
      </c>
      <c r="J38" s="4">
        <v>0</v>
      </c>
      <c r="K38" s="4">
        <v>8</v>
      </c>
      <c r="L38" s="4">
        <v>0</v>
      </c>
      <c r="M38" s="4">
        <f>CHOOSE(MATCH(Setup!$B$5,{8,10,12,14,16},0),C38,E38,G38,I38,K38)</f>
        <v>7</v>
      </c>
      <c r="N38" s="4">
        <f>CHOOSE(MATCH(Setup!$B$5,{8,10,12,14,16},0),D38,F38,H38,J38,L38)</f>
        <v>0</v>
      </c>
      <c r="O38" s="4">
        <f>ROUND(1+N38*'Live Calc'!$D$9,0)</f>
        <v>1</v>
      </c>
      <c r="P38" s="4"/>
      <c r="Q38" s="4">
        <f>IF(P38&lt;&gt;"",P38,ROUND(O38*INDEX('Live Calc'!$D$16:$D$23,MATCH(M38,'Live Calc'!$A$16:$A$23,0))*'Live Calc'!$J$78,0))</f>
        <v>1</v>
      </c>
      <c r="S38" s="5" t="s">
        <v>200</v>
      </c>
      <c r="T38" s="5" t="s">
        <v>28</v>
      </c>
      <c r="U38" s="5">
        <v>11</v>
      </c>
      <c r="V38" s="5">
        <v>0</v>
      </c>
      <c r="W38" s="5">
        <v>11</v>
      </c>
      <c r="X38" s="5">
        <v>22.014600000000002</v>
      </c>
      <c r="Y38" s="5">
        <v>11</v>
      </c>
      <c r="Z38" s="5">
        <v>59.337899999999998</v>
      </c>
      <c r="AA38" s="5">
        <v>11</v>
      </c>
      <c r="AB38" s="5">
        <v>20.4514</v>
      </c>
      <c r="AC38" s="5">
        <v>11</v>
      </c>
      <c r="AD38" s="5">
        <v>12.006600000000001</v>
      </c>
      <c r="AE38" s="5">
        <f>CHOOSE(MATCH(Setup!$B$5,{8,10,12,14,16},0),U38,W38,Y38,AA38,AC38)</f>
        <v>11</v>
      </c>
      <c r="AF38" s="5">
        <f>CHOOSE(MATCH(Setup!$B$5,{8,10,12,14,16},0),V38,X38,Z38,AB38,AD38)</f>
        <v>59.337899999999998</v>
      </c>
      <c r="AG38" s="5">
        <f>ROUND(1+AF38*'Live Calc'!$D$10,0)</f>
        <v>8</v>
      </c>
      <c r="AH38" s="5"/>
      <c r="AI38" s="5">
        <f>IF(AH38&lt;&gt;"",AH38,ROUND(AG38*INDEX('Live Calc'!$D$27:$D$40,MATCH(AE38,'Live Calc'!$A$27:$A$40,0))*'Live Calc'!$J$78,0))</f>
        <v>8</v>
      </c>
      <c r="AK38" s="6" t="s">
        <v>201</v>
      </c>
      <c r="AL38" s="6" t="s">
        <v>82</v>
      </c>
      <c r="AM38" s="6">
        <v>9</v>
      </c>
      <c r="AN38" s="6">
        <v>12.882</v>
      </c>
      <c r="AO38" s="6">
        <v>9</v>
      </c>
      <c r="AP38" s="6">
        <v>47.147300000000001</v>
      </c>
      <c r="AQ38" s="6">
        <v>9</v>
      </c>
      <c r="AR38" s="6">
        <v>79.399199999999993</v>
      </c>
      <c r="AS38" s="6">
        <v>8</v>
      </c>
      <c r="AT38" s="6">
        <v>43.558</v>
      </c>
      <c r="AU38" s="6">
        <v>8</v>
      </c>
      <c r="AV38" s="6">
        <v>24.729099999999999</v>
      </c>
      <c r="AW38" s="6">
        <f>CHOOSE(MATCH(Setup!$B$5,{8,10,12,14,16},0),AM38,AO38,AQ38,AS38,AU38)</f>
        <v>9</v>
      </c>
      <c r="AX38" s="6">
        <f>CHOOSE(MATCH(Setup!$B$5,{8,10,12,14,16},0),AN38,AP38,AR38,AT38,AV38)</f>
        <v>79.399199999999993</v>
      </c>
      <c r="AY38" s="6">
        <f>ROUND(1+AX38*'Live Calc'!$D$11,0)</f>
        <v>11</v>
      </c>
      <c r="AZ38" s="6"/>
      <c r="BA38" s="6">
        <f>IF(AZ38&lt;&gt;"",AZ38,ROUND(AY38*INDEX('Live Calc'!$D$44:$D$59,MATCH(AW38,'Live Calc'!$A$44:$A$59,0))*'Live Calc'!$J$78,0))</f>
        <v>11</v>
      </c>
      <c r="BC38" s="7" t="s">
        <v>202</v>
      </c>
      <c r="BD38" s="7" t="s">
        <v>153</v>
      </c>
      <c r="BE38" s="7">
        <v>7</v>
      </c>
      <c r="BF38" s="7">
        <v>0</v>
      </c>
      <c r="BG38" s="7">
        <v>8</v>
      </c>
      <c r="BH38" s="7">
        <v>0</v>
      </c>
      <c r="BI38" s="7">
        <v>11</v>
      </c>
      <c r="BJ38" s="7">
        <v>0</v>
      </c>
      <c r="BK38" s="7">
        <v>12</v>
      </c>
      <c r="BL38" s="7">
        <v>0</v>
      </c>
      <c r="BM38" s="7">
        <v>11</v>
      </c>
      <c r="BN38" s="7">
        <v>0</v>
      </c>
      <c r="BO38" s="7">
        <f>CHOOSE(MATCH(Setup!$B$5,{8,10,12,14,16},0),BE38,BG38,BI38,BK38,BM38)</f>
        <v>11</v>
      </c>
      <c r="BP38" s="7">
        <f>CHOOSE(MATCH(Setup!$B$5,{8,10,12,14,16},0),BF38,BH38,BJ38,BL38,BN38)</f>
        <v>0</v>
      </c>
      <c r="BQ38" s="7">
        <f>ROUND(1+BP38*'Live Calc'!$D$12,0)</f>
        <v>1</v>
      </c>
      <c r="BR38" s="7"/>
      <c r="BS38" s="7">
        <f>IF(BR38&lt;&gt;"",BR38,ROUND(BQ38*INDEX('Live Calc'!$D$63:$D$74,MATCH(BO38,'Live Calc'!$A$63:$A$74,0))*'Live Calc'!$J$78,0))</f>
        <v>1</v>
      </c>
    </row>
    <row r="39" spans="1:71" x14ac:dyDescent="0.25">
      <c r="A39" s="4" t="s">
        <v>203</v>
      </c>
      <c r="B39" s="4" t="s">
        <v>59</v>
      </c>
      <c r="C39" s="4">
        <v>7</v>
      </c>
      <c r="D39" s="4">
        <v>0</v>
      </c>
      <c r="E39" s="4">
        <v>8</v>
      </c>
      <c r="F39" s="4">
        <v>0</v>
      </c>
      <c r="G39" s="4">
        <v>7</v>
      </c>
      <c r="H39" s="4">
        <v>0</v>
      </c>
      <c r="I39" s="4">
        <v>8</v>
      </c>
      <c r="J39" s="4">
        <v>0</v>
      </c>
      <c r="K39" s="4">
        <v>8</v>
      </c>
      <c r="L39" s="4">
        <v>0</v>
      </c>
      <c r="M39" s="4">
        <f>CHOOSE(MATCH(Setup!$B$5,{8,10,12,14,16},0),C39,E39,G39,I39,K39)</f>
        <v>7</v>
      </c>
      <c r="N39" s="4">
        <f>CHOOSE(MATCH(Setup!$B$5,{8,10,12,14,16},0),D39,F39,H39,J39,L39)</f>
        <v>0</v>
      </c>
      <c r="O39" s="4">
        <f>ROUND(1+N39*'Live Calc'!$D$9,0)</f>
        <v>1</v>
      </c>
      <c r="P39" s="4"/>
      <c r="Q39" s="4">
        <f>IF(P39&lt;&gt;"",P39,ROUND(O39*INDEX('Live Calc'!$D$16:$D$23,MATCH(M39,'Live Calc'!$A$16:$A$23,0))*'Live Calc'!$J$78,0))</f>
        <v>1</v>
      </c>
      <c r="S39" s="5" t="s">
        <v>204</v>
      </c>
      <c r="T39" s="5" t="s">
        <v>120</v>
      </c>
      <c r="U39" s="5">
        <v>11</v>
      </c>
      <c r="V39" s="5">
        <v>0</v>
      </c>
      <c r="W39" s="5">
        <v>11</v>
      </c>
      <c r="X39" s="5">
        <v>21.001999999999999</v>
      </c>
      <c r="Y39" s="5">
        <v>11</v>
      </c>
      <c r="Z39" s="5">
        <v>58.347900000000003</v>
      </c>
      <c r="AA39" s="5">
        <v>11</v>
      </c>
      <c r="AB39" s="5">
        <v>20.198699999999999</v>
      </c>
      <c r="AC39" s="5">
        <v>11</v>
      </c>
      <c r="AD39" s="5">
        <v>11.8842</v>
      </c>
      <c r="AE39" s="5">
        <f>CHOOSE(MATCH(Setup!$B$5,{8,10,12,14,16},0),U39,W39,Y39,AA39,AC39)</f>
        <v>11</v>
      </c>
      <c r="AF39" s="5">
        <f>CHOOSE(MATCH(Setup!$B$5,{8,10,12,14,16},0),V39,X39,Z39,AB39,AD39)</f>
        <v>58.347900000000003</v>
      </c>
      <c r="AG39" s="5">
        <f>ROUND(1+AF39*'Live Calc'!$D$10,0)</f>
        <v>8</v>
      </c>
      <c r="AH39" s="5"/>
      <c r="AI39" s="5">
        <f>IF(AH39&lt;&gt;"",AH39,ROUND(AG39*INDEX('Live Calc'!$D$27:$D$40,MATCH(AE39,'Live Calc'!$A$27:$A$40,0))*'Live Calc'!$J$78,0))</f>
        <v>8</v>
      </c>
      <c r="AK39" s="6" t="s">
        <v>205</v>
      </c>
      <c r="AL39" s="6" t="s">
        <v>120</v>
      </c>
      <c r="AM39" s="6">
        <v>9</v>
      </c>
      <c r="AN39" s="6">
        <v>11.157999999999999</v>
      </c>
      <c r="AO39" s="6">
        <v>9</v>
      </c>
      <c r="AP39" s="6">
        <v>45.092599999999997</v>
      </c>
      <c r="AQ39" s="6">
        <v>9</v>
      </c>
      <c r="AR39" s="6">
        <v>77.197599999999994</v>
      </c>
      <c r="AS39" s="6">
        <v>8</v>
      </c>
      <c r="AT39" s="6">
        <v>42.473999999999997</v>
      </c>
      <c r="AU39" s="6">
        <v>8</v>
      </c>
      <c r="AV39" s="6">
        <v>24.204999999999998</v>
      </c>
      <c r="AW39" s="6">
        <f>CHOOSE(MATCH(Setup!$B$5,{8,10,12,14,16},0),AM39,AO39,AQ39,AS39,AU39)</f>
        <v>9</v>
      </c>
      <c r="AX39" s="6">
        <f>CHOOSE(MATCH(Setup!$B$5,{8,10,12,14,16},0),AN39,AP39,AR39,AT39,AV39)</f>
        <v>77.197599999999994</v>
      </c>
      <c r="AY39" s="6">
        <f>ROUND(1+AX39*'Live Calc'!$D$11,0)</f>
        <v>11</v>
      </c>
      <c r="AZ39" s="6"/>
      <c r="BA39" s="6">
        <f>IF(AZ39&lt;&gt;"",AZ39,ROUND(AY39*INDEX('Live Calc'!$D$44:$D$59,MATCH(AW39,'Live Calc'!$A$44:$A$59,0))*'Live Calc'!$J$78,0))</f>
        <v>11</v>
      </c>
      <c r="BC39" s="7" t="s">
        <v>206</v>
      </c>
      <c r="BD39" s="7" t="s">
        <v>108</v>
      </c>
      <c r="BE39" s="7">
        <v>7</v>
      </c>
      <c r="BF39" s="7">
        <v>0</v>
      </c>
      <c r="BG39" s="7">
        <v>8</v>
      </c>
      <c r="BH39" s="7">
        <v>0</v>
      </c>
      <c r="BI39" s="7">
        <v>11</v>
      </c>
      <c r="BJ39" s="7">
        <v>0</v>
      </c>
      <c r="BK39" s="7">
        <v>12</v>
      </c>
      <c r="BL39" s="7">
        <v>0</v>
      </c>
      <c r="BM39" s="7">
        <v>11</v>
      </c>
      <c r="BN39" s="7">
        <v>0</v>
      </c>
      <c r="BO39" s="7">
        <f>CHOOSE(MATCH(Setup!$B$5,{8,10,12,14,16},0),BE39,BG39,BI39,BK39,BM39)</f>
        <v>11</v>
      </c>
      <c r="BP39" s="7">
        <f>CHOOSE(MATCH(Setup!$B$5,{8,10,12,14,16},0),BF39,BH39,BJ39,BL39,BN39)</f>
        <v>0</v>
      </c>
      <c r="BQ39" s="7">
        <f>ROUND(1+BP39*'Live Calc'!$D$12,0)</f>
        <v>1</v>
      </c>
      <c r="BR39" s="7"/>
      <c r="BS39" s="7">
        <f>IF(BR39&lt;&gt;"",BR39,ROUND(BQ39*INDEX('Live Calc'!$D$63:$D$74,MATCH(BO39,'Live Calc'!$A$63:$A$74,0))*'Live Calc'!$J$78,0))</f>
        <v>1</v>
      </c>
    </row>
    <row r="40" spans="1:71" x14ac:dyDescent="0.25">
      <c r="A40" s="4" t="s">
        <v>207</v>
      </c>
      <c r="B40" s="4" t="s">
        <v>42</v>
      </c>
      <c r="C40" s="4">
        <v>7</v>
      </c>
      <c r="D40" s="4">
        <v>0</v>
      </c>
      <c r="E40" s="4">
        <v>8</v>
      </c>
      <c r="F40" s="4">
        <v>0</v>
      </c>
      <c r="G40" s="4">
        <v>7</v>
      </c>
      <c r="H40" s="4">
        <v>0</v>
      </c>
      <c r="I40" s="4">
        <v>8</v>
      </c>
      <c r="J40" s="4">
        <v>0</v>
      </c>
      <c r="K40" s="4">
        <v>8</v>
      </c>
      <c r="L40" s="4">
        <v>0</v>
      </c>
      <c r="M40" s="4">
        <f>CHOOSE(MATCH(Setup!$B$5,{8,10,12,14,16},0),C40,E40,G40,I40,K40)</f>
        <v>7</v>
      </c>
      <c r="N40" s="4">
        <f>CHOOSE(MATCH(Setup!$B$5,{8,10,12,14,16},0),D40,F40,H40,J40,L40)</f>
        <v>0</v>
      </c>
      <c r="O40" s="4">
        <f>ROUND(1+N40*'Live Calc'!$D$9,0)</f>
        <v>1</v>
      </c>
      <c r="P40" s="4"/>
      <c r="Q40" s="4">
        <f>IF(P40&lt;&gt;"",P40,ROUND(O40*INDEX('Live Calc'!$D$16:$D$23,MATCH(M40,'Live Calc'!$A$16:$A$23,0))*'Live Calc'!$J$78,0))</f>
        <v>1</v>
      </c>
      <c r="S40" s="5" t="s">
        <v>208</v>
      </c>
      <c r="T40" s="5" t="s">
        <v>48</v>
      </c>
      <c r="U40" s="5">
        <v>11</v>
      </c>
      <c r="V40" s="5">
        <v>0</v>
      </c>
      <c r="W40" s="5">
        <v>12</v>
      </c>
      <c r="X40" s="5">
        <v>9.1173999999999999</v>
      </c>
      <c r="Y40" s="5">
        <v>11</v>
      </c>
      <c r="Z40" s="5">
        <v>46.145000000000003</v>
      </c>
      <c r="AA40" s="5">
        <v>11</v>
      </c>
      <c r="AB40" s="5">
        <v>16.982600000000001</v>
      </c>
      <c r="AC40" s="5">
        <v>11</v>
      </c>
      <c r="AD40" s="5">
        <v>10.3026</v>
      </c>
      <c r="AE40" s="5">
        <f>CHOOSE(MATCH(Setup!$B$5,{8,10,12,14,16},0),U40,W40,Y40,AA40,AC40)</f>
        <v>11</v>
      </c>
      <c r="AF40" s="5">
        <f>CHOOSE(MATCH(Setup!$B$5,{8,10,12,14,16},0),V40,X40,Z40,AB40,AD40)</f>
        <v>46.145000000000003</v>
      </c>
      <c r="AG40" s="5">
        <f>ROUND(1+AF40*'Live Calc'!$D$10,0)</f>
        <v>7</v>
      </c>
      <c r="AH40" s="5"/>
      <c r="AI40" s="5">
        <f>IF(AH40&lt;&gt;"",AH40,ROUND(AG40*INDEX('Live Calc'!$D$27:$D$40,MATCH(AE40,'Live Calc'!$A$27:$A$40,0))*'Live Calc'!$J$78,0))</f>
        <v>7</v>
      </c>
      <c r="AK40" s="6" t="s">
        <v>209</v>
      </c>
      <c r="AL40" s="6" t="s">
        <v>82</v>
      </c>
      <c r="AM40" s="6">
        <v>10</v>
      </c>
      <c r="AN40" s="6">
        <v>5.5754999999999999</v>
      </c>
      <c r="AO40" s="6">
        <v>10</v>
      </c>
      <c r="AP40" s="6">
        <v>38.191899999999997</v>
      </c>
      <c r="AQ40" s="6">
        <v>10</v>
      </c>
      <c r="AR40" s="6">
        <v>69.765500000000003</v>
      </c>
      <c r="AS40" s="6">
        <v>9</v>
      </c>
      <c r="AT40" s="6">
        <v>38.783999999999999</v>
      </c>
      <c r="AU40" s="6">
        <v>9</v>
      </c>
      <c r="AV40" s="6">
        <v>22.4055</v>
      </c>
      <c r="AW40" s="6">
        <f>CHOOSE(MATCH(Setup!$B$5,{8,10,12,14,16},0),AM40,AO40,AQ40,AS40,AU40)</f>
        <v>10</v>
      </c>
      <c r="AX40" s="6">
        <f>CHOOSE(MATCH(Setup!$B$5,{8,10,12,14,16},0),AN40,AP40,AR40,AT40,AV40)</f>
        <v>69.765500000000003</v>
      </c>
      <c r="AY40" s="6">
        <f>ROUND(1+AX40*'Live Calc'!$D$11,0)</f>
        <v>10</v>
      </c>
      <c r="AZ40" s="6"/>
      <c r="BA40" s="6">
        <f>IF(AZ40&lt;&gt;"",AZ40,ROUND(AY40*INDEX('Live Calc'!$D$44:$D$59,MATCH(AW40,'Live Calc'!$A$44:$A$59,0))*'Live Calc'!$J$78,0))</f>
        <v>10</v>
      </c>
      <c r="BC40" s="7" t="s">
        <v>210</v>
      </c>
      <c r="BD40" s="7" t="s">
        <v>38</v>
      </c>
      <c r="BE40" s="7">
        <v>7</v>
      </c>
      <c r="BF40" s="7">
        <v>0</v>
      </c>
      <c r="BG40" s="7">
        <v>8</v>
      </c>
      <c r="BH40" s="7">
        <v>0</v>
      </c>
      <c r="BI40" s="7">
        <v>11</v>
      </c>
      <c r="BJ40" s="7">
        <v>0</v>
      </c>
      <c r="BK40" s="7">
        <v>12</v>
      </c>
      <c r="BL40" s="7">
        <v>0</v>
      </c>
      <c r="BM40" s="7">
        <v>11</v>
      </c>
      <c r="BN40" s="7">
        <v>0</v>
      </c>
      <c r="BO40" s="7">
        <f>CHOOSE(MATCH(Setup!$B$5,{8,10,12,14,16},0),BE40,BG40,BI40,BK40,BM40)</f>
        <v>11</v>
      </c>
      <c r="BP40" s="7">
        <f>CHOOSE(MATCH(Setup!$B$5,{8,10,12,14,16},0),BF40,BH40,BJ40,BL40,BN40)</f>
        <v>0</v>
      </c>
      <c r="BQ40" s="7">
        <f>ROUND(1+BP40*'Live Calc'!$D$12,0)</f>
        <v>1</v>
      </c>
      <c r="BR40" s="7"/>
      <c r="BS40" s="7">
        <f>IF(BR40&lt;&gt;"",BR40,ROUND(BQ40*INDEX('Live Calc'!$D$63:$D$74,MATCH(BO40,'Live Calc'!$A$63:$A$74,0))*'Live Calc'!$J$78,0))</f>
        <v>1</v>
      </c>
    </row>
    <row r="41" spans="1:71" x14ac:dyDescent="0.25">
      <c r="A41" s="4" t="s">
        <v>211</v>
      </c>
      <c r="B41" s="4" t="s">
        <v>80</v>
      </c>
      <c r="C41" s="4">
        <v>7</v>
      </c>
      <c r="D41" s="4">
        <v>0</v>
      </c>
      <c r="E41" s="4">
        <v>8</v>
      </c>
      <c r="F41" s="4">
        <v>0</v>
      </c>
      <c r="G41" s="4">
        <v>7</v>
      </c>
      <c r="H41" s="4">
        <v>0</v>
      </c>
      <c r="I41" s="4">
        <v>8</v>
      </c>
      <c r="J41" s="4">
        <v>0</v>
      </c>
      <c r="K41" s="4">
        <v>8</v>
      </c>
      <c r="L41" s="4">
        <v>0</v>
      </c>
      <c r="M41" s="4">
        <f>CHOOSE(MATCH(Setup!$B$5,{8,10,12,14,16},0),C41,E41,G41,I41,K41)</f>
        <v>7</v>
      </c>
      <c r="N41" s="4">
        <f>CHOOSE(MATCH(Setup!$B$5,{8,10,12,14,16},0),D41,F41,H41,J41,L41)</f>
        <v>0</v>
      </c>
      <c r="O41" s="4">
        <f>ROUND(1+N41*'Live Calc'!$D$9,0)</f>
        <v>1</v>
      </c>
      <c r="P41" s="4"/>
      <c r="Q41" s="4">
        <f>IF(P41&lt;&gt;"",P41,ROUND(O41*INDEX('Live Calc'!$D$16:$D$23,MATCH(M41,'Live Calc'!$A$16:$A$23,0))*'Live Calc'!$J$78,0))</f>
        <v>1</v>
      </c>
      <c r="S41" s="5" t="s">
        <v>212</v>
      </c>
      <c r="T41" s="5" t="s">
        <v>70</v>
      </c>
      <c r="U41" s="5">
        <v>11</v>
      </c>
      <c r="V41" s="5">
        <v>0</v>
      </c>
      <c r="W41" s="5">
        <v>13</v>
      </c>
      <c r="X41" s="5">
        <v>0</v>
      </c>
      <c r="Y41" s="5">
        <v>11</v>
      </c>
      <c r="Z41" s="5">
        <v>34.403799999999997</v>
      </c>
      <c r="AA41" s="5">
        <v>11</v>
      </c>
      <c r="AB41" s="5">
        <v>13.669499999999999</v>
      </c>
      <c r="AC41" s="5">
        <v>11</v>
      </c>
      <c r="AD41" s="5">
        <v>8.6164000000000005</v>
      </c>
      <c r="AE41" s="5">
        <f>CHOOSE(MATCH(Setup!$B$5,{8,10,12,14,16},0),U41,W41,Y41,AA41,AC41)</f>
        <v>11</v>
      </c>
      <c r="AF41" s="5">
        <f>CHOOSE(MATCH(Setup!$B$5,{8,10,12,14,16},0),V41,X41,Z41,AB41,AD41)</f>
        <v>34.403799999999997</v>
      </c>
      <c r="AG41" s="5">
        <f>ROUND(1+AF41*'Live Calc'!$D$10,0)</f>
        <v>5</v>
      </c>
      <c r="AH41" s="5"/>
      <c r="AI41" s="5">
        <f>IF(AH41&lt;&gt;"",AH41,ROUND(AG41*INDEX('Live Calc'!$D$27:$D$40,MATCH(AE41,'Live Calc'!$A$27:$A$40,0))*'Live Calc'!$J$78,0))</f>
        <v>5</v>
      </c>
      <c r="AK41" s="6" t="s">
        <v>213</v>
      </c>
      <c r="AL41" s="6" t="s">
        <v>30</v>
      </c>
      <c r="AM41" s="6">
        <v>10</v>
      </c>
      <c r="AN41" s="6">
        <v>5.1802999999999999</v>
      </c>
      <c r="AO41" s="6">
        <v>10</v>
      </c>
      <c r="AP41" s="6">
        <v>37.681899999999999</v>
      </c>
      <c r="AQ41" s="6">
        <v>10</v>
      </c>
      <c r="AR41" s="6">
        <v>69.2136</v>
      </c>
      <c r="AS41" s="6">
        <v>9</v>
      </c>
      <c r="AT41" s="6">
        <v>38.508000000000003</v>
      </c>
      <c r="AU41" s="6">
        <v>9</v>
      </c>
      <c r="AV41" s="6">
        <v>22.2699</v>
      </c>
      <c r="AW41" s="6">
        <f>CHOOSE(MATCH(Setup!$B$5,{8,10,12,14,16},0),AM41,AO41,AQ41,AS41,AU41)</f>
        <v>10</v>
      </c>
      <c r="AX41" s="6">
        <f>CHOOSE(MATCH(Setup!$B$5,{8,10,12,14,16},0),AN41,AP41,AR41,AT41,AV41)</f>
        <v>69.2136</v>
      </c>
      <c r="AY41" s="6">
        <f>ROUND(1+AX41*'Live Calc'!$D$11,0)</f>
        <v>10</v>
      </c>
      <c r="AZ41" s="6"/>
      <c r="BA41" s="6">
        <f>IF(AZ41&lt;&gt;"",AZ41,ROUND(AY41*INDEX('Live Calc'!$D$44:$D$59,MATCH(AW41,'Live Calc'!$A$44:$A$59,0))*'Live Calc'!$J$78,0))</f>
        <v>10</v>
      </c>
      <c r="BC41" s="7" t="s">
        <v>214</v>
      </c>
      <c r="BD41" s="7" t="s">
        <v>54</v>
      </c>
      <c r="BE41" s="7">
        <v>7</v>
      </c>
      <c r="BF41" s="7">
        <v>0</v>
      </c>
      <c r="BG41" s="7">
        <v>8</v>
      </c>
      <c r="BH41" s="7">
        <v>0</v>
      </c>
      <c r="BI41" s="7">
        <v>11</v>
      </c>
      <c r="BJ41" s="7">
        <v>0</v>
      </c>
      <c r="BK41" s="7">
        <v>12</v>
      </c>
      <c r="BL41" s="7">
        <v>0</v>
      </c>
      <c r="BM41" s="7">
        <v>11</v>
      </c>
      <c r="BN41" s="7">
        <v>0</v>
      </c>
      <c r="BO41" s="7">
        <f>CHOOSE(MATCH(Setup!$B$5,{8,10,12,14,16},0),BE41,BG41,BI41,BK41,BM41)</f>
        <v>11</v>
      </c>
      <c r="BP41" s="7">
        <f>CHOOSE(MATCH(Setup!$B$5,{8,10,12,14,16},0),BF41,BH41,BJ41,BL41,BN41)</f>
        <v>0</v>
      </c>
      <c r="BQ41" s="7">
        <f>ROUND(1+BP41*'Live Calc'!$D$12,0)</f>
        <v>1</v>
      </c>
      <c r="BR41" s="7"/>
      <c r="BS41" s="7">
        <f>IF(BR41&lt;&gt;"",BR41,ROUND(BQ41*INDEX('Live Calc'!$D$63:$D$74,MATCH(BO41,'Live Calc'!$A$63:$A$74,0))*'Live Calc'!$J$78,0))</f>
        <v>1</v>
      </c>
    </row>
    <row r="42" spans="1:71" x14ac:dyDescent="0.25">
      <c r="A42" s="4" t="s">
        <v>215</v>
      </c>
      <c r="B42" s="4" t="s">
        <v>50</v>
      </c>
      <c r="C42" s="4">
        <v>7</v>
      </c>
      <c r="D42" s="4">
        <v>0</v>
      </c>
      <c r="E42" s="4">
        <v>8</v>
      </c>
      <c r="F42" s="4">
        <v>0</v>
      </c>
      <c r="G42" s="4">
        <v>7</v>
      </c>
      <c r="H42" s="4">
        <v>0</v>
      </c>
      <c r="I42" s="4">
        <v>8</v>
      </c>
      <c r="J42" s="4">
        <v>0</v>
      </c>
      <c r="K42" s="4">
        <v>8</v>
      </c>
      <c r="L42" s="4">
        <v>0</v>
      </c>
      <c r="M42" s="4">
        <f>CHOOSE(MATCH(Setup!$B$5,{8,10,12,14,16},0),C42,E42,G42,I42,K42)</f>
        <v>7</v>
      </c>
      <c r="N42" s="4">
        <f>CHOOSE(MATCH(Setup!$B$5,{8,10,12,14,16},0),D42,F42,H42,J42,L42)</f>
        <v>0</v>
      </c>
      <c r="O42" s="4">
        <f>ROUND(1+N42*'Live Calc'!$D$9,0)</f>
        <v>1</v>
      </c>
      <c r="P42" s="4"/>
      <c r="Q42" s="4">
        <f>IF(P42&lt;&gt;"",P42,ROUND(O42*INDEX('Live Calc'!$D$16:$D$23,MATCH(M42,'Live Calc'!$A$16:$A$23,0))*'Live Calc'!$J$78,0))</f>
        <v>1</v>
      </c>
      <c r="S42" s="5" t="s">
        <v>216</v>
      </c>
      <c r="T42" s="5" t="s">
        <v>123</v>
      </c>
      <c r="U42" s="5">
        <v>11</v>
      </c>
      <c r="V42" s="5">
        <v>0</v>
      </c>
      <c r="W42" s="5">
        <v>13</v>
      </c>
      <c r="X42" s="5">
        <v>0</v>
      </c>
      <c r="Y42" s="5">
        <v>12</v>
      </c>
      <c r="Z42" s="5">
        <v>20.860700000000001</v>
      </c>
      <c r="AA42" s="5">
        <v>12</v>
      </c>
      <c r="AB42" s="5">
        <v>9.4440000000000008</v>
      </c>
      <c r="AC42" s="5">
        <v>12</v>
      </c>
      <c r="AD42" s="5">
        <v>6.3543000000000003</v>
      </c>
      <c r="AE42" s="5">
        <f>CHOOSE(MATCH(Setup!$B$5,{8,10,12,14,16},0),U42,W42,Y42,AA42,AC42)</f>
        <v>12</v>
      </c>
      <c r="AF42" s="5">
        <f>CHOOSE(MATCH(Setup!$B$5,{8,10,12,14,16},0),V42,X42,Z42,AB42,AD42)</f>
        <v>20.860700000000001</v>
      </c>
      <c r="AG42" s="5">
        <f>ROUND(1+AF42*'Live Calc'!$D$10,0)</f>
        <v>4</v>
      </c>
      <c r="AH42" s="5"/>
      <c r="AI42" s="5">
        <f>IF(AH42&lt;&gt;"",AH42,ROUND(AG42*INDEX('Live Calc'!$D$27:$D$40,MATCH(AE42,'Live Calc'!$A$27:$A$40,0))*'Live Calc'!$J$78,0))</f>
        <v>4</v>
      </c>
      <c r="AK42" s="6" t="s">
        <v>217</v>
      </c>
      <c r="AL42" s="6" t="s">
        <v>153</v>
      </c>
      <c r="AM42" s="6">
        <v>10</v>
      </c>
      <c r="AN42" s="6">
        <v>5.0465</v>
      </c>
      <c r="AO42" s="6">
        <v>10</v>
      </c>
      <c r="AP42" s="6">
        <v>37.508400000000002</v>
      </c>
      <c r="AQ42" s="6">
        <v>10</v>
      </c>
      <c r="AR42" s="6">
        <v>69.025800000000004</v>
      </c>
      <c r="AS42" s="6">
        <v>9</v>
      </c>
      <c r="AT42" s="6">
        <v>38.414000000000001</v>
      </c>
      <c r="AU42" s="6">
        <v>9</v>
      </c>
      <c r="AV42" s="6">
        <v>22.223700000000001</v>
      </c>
      <c r="AW42" s="6">
        <f>CHOOSE(MATCH(Setup!$B$5,{8,10,12,14,16},0),AM42,AO42,AQ42,AS42,AU42)</f>
        <v>10</v>
      </c>
      <c r="AX42" s="6">
        <f>CHOOSE(MATCH(Setup!$B$5,{8,10,12,14,16},0),AN42,AP42,AR42,AT42,AV42)</f>
        <v>69.025800000000004</v>
      </c>
      <c r="AY42" s="6">
        <f>ROUND(1+AX42*'Live Calc'!$D$11,0)</f>
        <v>10</v>
      </c>
      <c r="AZ42" s="6"/>
      <c r="BA42" s="6">
        <f>IF(AZ42&lt;&gt;"",AZ42,ROUND(AY42*INDEX('Live Calc'!$D$44:$D$59,MATCH(AW42,'Live Calc'!$A$44:$A$59,0))*'Live Calc'!$J$78,0))</f>
        <v>10</v>
      </c>
      <c r="BC42" s="7" t="s">
        <v>218</v>
      </c>
      <c r="BD42" s="7" t="s">
        <v>24</v>
      </c>
      <c r="BE42" s="7">
        <v>7</v>
      </c>
      <c r="BF42" s="7">
        <v>0</v>
      </c>
      <c r="BG42" s="7">
        <v>8</v>
      </c>
      <c r="BH42" s="7">
        <v>0</v>
      </c>
      <c r="BI42" s="7">
        <v>11</v>
      </c>
      <c r="BJ42" s="7">
        <v>0</v>
      </c>
      <c r="BK42" s="7">
        <v>12</v>
      </c>
      <c r="BL42" s="7">
        <v>0</v>
      </c>
      <c r="BM42" s="7">
        <v>11</v>
      </c>
      <c r="BN42" s="7">
        <v>0</v>
      </c>
      <c r="BO42" s="7">
        <f>CHOOSE(MATCH(Setup!$B$5,{8,10,12,14,16},0),BE42,BG42,BI42,BK42,BM42)</f>
        <v>11</v>
      </c>
      <c r="BP42" s="7">
        <f>CHOOSE(MATCH(Setup!$B$5,{8,10,12,14,16},0),BF42,BH42,BJ42,BL42,BN42)</f>
        <v>0</v>
      </c>
      <c r="BQ42" s="7">
        <f>ROUND(1+BP42*'Live Calc'!$D$12,0)</f>
        <v>1</v>
      </c>
      <c r="BR42" s="7"/>
      <c r="BS42" s="7">
        <f>IF(BR42&lt;&gt;"",BR42,ROUND(BQ42*INDEX('Live Calc'!$D$63:$D$74,MATCH(BO42,'Live Calc'!$A$63:$A$74,0))*'Live Calc'!$J$78,0))</f>
        <v>1</v>
      </c>
    </row>
    <row r="43" spans="1:71" x14ac:dyDescent="0.25">
      <c r="A43" s="4" t="s">
        <v>219</v>
      </c>
      <c r="B43" s="4" t="s">
        <v>67</v>
      </c>
      <c r="C43" s="4">
        <v>7</v>
      </c>
      <c r="D43" s="4">
        <v>0</v>
      </c>
      <c r="E43" s="4">
        <v>8</v>
      </c>
      <c r="F43" s="4">
        <v>0</v>
      </c>
      <c r="G43" s="4">
        <v>7</v>
      </c>
      <c r="H43" s="4">
        <v>0</v>
      </c>
      <c r="I43" s="4">
        <v>8</v>
      </c>
      <c r="J43" s="4">
        <v>0</v>
      </c>
      <c r="K43" s="4">
        <v>8</v>
      </c>
      <c r="L43" s="4">
        <v>0</v>
      </c>
      <c r="M43" s="4">
        <f>CHOOSE(MATCH(Setup!$B$5,{8,10,12,14,16},0),C43,E43,G43,I43,K43)</f>
        <v>7</v>
      </c>
      <c r="N43" s="4">
        <f>CHOOSE(MATCH(Setup!$B$5,{8,10,12,14,16},0),D43,F43,H43,J43,L43)</f>
        <v>0</v>
      </c>
      <c r="O43" s="4">
        <f>ROUND(1+N43*'Live Calc'!$D$9,0)</f>
        <v>1</v>
      </c>
      <c r="P43" s="4"/>
      <c r="Q43" s="4">
        <f>IF(P43&lt;&gt;"",P43,ROUND(O43*INDEX('Live Calc'!$D$16:$D$23,MATCH(M43,'Live Calc'!$A$16:$A$23,0))*'Live Calc'!$J$78,0))</f>
        <v>1</v>
      </c>
      <c r="S43" s="5" t="s">
        <v>220</v>
      </c>
      <c r="T43" s="5" t="s">
        <v>67</v>
      </c>
      <c r="U43" s="5">
        <v>11</v>
      </c>
      <c r="V43" s="5">
        <v>0</v>
      </c>
      <c r="W43" s="5">
        <v>13</v>
      </c>
      <c r="X43" s="5">
        <v>0</v>
      </c>
      <c r="Y43" s="5">
        <v>12</v>
      </c>
      <c r="Z43" s="5">
        <v>3.3294000000000001</v>
      </c>
      <c r="AA43" s="5">
        <v>13</v>
      </c>
      <c r="AB43" s="5">
        <v>2.4327999999999999</v>
      </c>
      <c r="AC43" s="5">
        <v>13</v>
      </c>
      <c r="AD43" s="5">
        <v>2.0794999999999999</v>
      </c>
      <c r="AE43" s="5">
        <f>CHOOSE(MATCH(Setup!$B$5,{8,10,12,14,16},0),U43,W43,Y43,AA43,AC43)</f>
        <v>12</v>
      </c>
      <c r="AF43" s="5">
        <f>CHOOSE(MATCH(Setup!$B$5,{8,10,12,14,16},0),V43,X43,Z43,AB43,AD43)</f>
        <v>3.3294000000000001</v>
      </c>
      <c r="AG43" s="5">
        <f>ROUND(1+AF43*'Live Calc'!$D$10,0)</f>
        <v>1</v>
      </c>
      <c r="AH43" s="5"/>
      <c r="AI43" s="5">
        <f>IF(AH43&lt;&gt;"",AH43,ROUND(AG43*INDEX('Live Calc'!$D$27:$D$40,MATCH(AE43,'Live Calc'!$A$27:$A$40,0))*'Live Calc'!$J$78,0))</f>
        <v>1</v>
      </c>
      <c r="AK43" s="6" t="s">
        <v>221</v>
      </c>
      <c r="AL43" s="6" t="s">
        <v>65</v>
      </c>
      <c r="AM43" s="6">
        <v>10</v>
      </c>
      <c r="AN43" s="6">
        <v>4.8792999999999997</v>
      </c>
      <c r="AO43" s="6">
        <v>10</v>
      </c>
      <c r="AP43" s="6">
        <v>37.290799999999997</v>
      </c>
      <c r="AQ43" s="6">
        <v>10</v>
      </c>
      <c r="AR43" s="6">
        <v>68.790099999999995</v>
      </c>
      <c r="AS43" s="6">
        <v>9</v>
      </c>
      <c r="AT43" s="6">
        <v>38.295999999999999</v>
      </c>
      <c r="AU43" s="6">
        <v>9</v>
      </c>
      <c r="AV43" s="6">
        <v>22.165600000000001</v>
      </c>
      <c r="AW43" s="6">
        <f>CHOOSE(MATCH(Setup!$B$5,{8,10,12,14,16},0),AM43,AO43,AQ43,AS43,AU43)</f>
        <v>10</v>
      </c>
      <c r="AX43" s="6">
        <f>CHOOSE(MATCH(Setup!$B$5,{8,10,12,14,16},0),AN43,AP43,AR43,AT43,AV43)</f>
        <v>68.790099999999995</v>
      </c>
      <c r="AY43" s="6">
        <f>ROUND(1+AX43*'Live Calc'!$D$11,0)</f>
        <v>10</v>
      </c>
      <c r="AZ43" s="6"/>
      <c r="BA43" s="6">
        <f>IF(AZ43&lt;&gt;"",AZ43,ROUND(AY43*INDEX('Live Calc'!$D$44:$D$59,MATCH(AW43,'Live Calc'!$A$44:$A$59,0))*'Live Calc'!$J$78,0))</f>
        <v>10</v>
      </c>
      <c r="BC43" s="7" t="s">
        <v>222</v>
      </c>
      <c r="BD43" s="7" t="s">
        <v>62</v>
      </c>
      <c r="BE43" s="7">
        <v>7</v>
      </c>
      <c r="BF43" s="7">
        <v>0</v>
      </c>
      <c r="BG43" s="7">
        <v>8</v>
      </c>
      <c r="BH43" s="7">
        <v>0</v>
      </c>
      <c r="BI43" s="7">
        <v>11</v>
      </c>
      <c r="BJ43" s="7">
        <v>0</v>
      </c>
      <c r="BK43" s="7">
        <v>12</v>
      </c>
      <c r="BL43" s="7">
        <v>0</v>
      </c>
      <c r="BM43" s="7">
        <v>11</v>
      </c>
      <c r="BN43" s="7">
        <v>0</v>
      </c>
      <c r="BO43" s="7">
        <f>CHOOSE(MATCH(Setup!$B$5,{8,10,12,14,16},0),BE43,BG43,BI43,BK43,BM43)</f>
        <v>11</v>
      </c>
      <c r="BP43" s="7">
        <f>CHOOSE(MATCH(Setup!$B$5,{8,10,12,14,16},0),BF43,BH43,BJ43,BL43,BN43)</f>
        <v>0</v>
      </c>
      <c r="BQ43" s="7">
        <f>ROUND(1+BP43*'Live Calc'!$D$12,0)</f>
        <v>1</v>
      </c>
      <c r="BR43" s="7"/>
      <c r="BS43" s="7">
        <f>IF(BR43&lt;&gt;"",BR43,ROUND(BQ43*INDEX('Live Calc'!$D$63:$D$74,MATCH(BO43,'Live Calc'!$A$63:$A$74,0))*'Live Calc'!$J$78,0))</f>
        <v>1</v>
      </c>
    </row>
    <row r="44" spans="1:71" x14ac:dyDescent="0.25">
      <c r="A44" s="4" t="s">
        <v>223</v>
      </c>
      <c r="B44" s="4" t="s">
        <v>48</v>
      </c>
      <c r="C44" s="4">
        <v>7</v>
      </c>
      <c r="D44" s="4">
        <v>0</v>
      </c>
      <c r="E44" s="4">
        <v>8</v>
      </c>
      <c r="F44" s="4">
        <v>0</v>
      </c>
      <c r="G44" s="4">
        <v>7</v>
      </c>
      <c r="H44" s="4">
        <v>0</v>
      </c>
      <c r="I44" s="4">
        <v>8</v>
      </c>
      <c r="J44" s="4">
        <v>0</v>
      </c>
      <c r="K44" s="4">
        <v>8</v>
      </c>
      <c r="L44" s="4">
        <v>0</v>
      </c>
      <c r="M44" s="4">
        <f>CHOOSE(MATCH(Setup!$B$5,{8,10,12,14,16},0),C44,E44,G44,I44,K44)</f>
        <v>7</v>
      </c>
      <c r="N44" s="4">
        <f>CHOOSE(MATCH(Setup!$B$5,{8,10,12,14,16},0),D44,F44,H44,J44,L44)</f>
        <v>0</v>
      </c>
      <c r="O44" s="4">
        <f>ROUND(1+N44*'Live Calc'!$D$9,0)</f>
        <v>1</v>
      </c>
      <c r="P44" s="4"/>
      <c r="Q44" s="4">
        <f>IF(P44&lt;&gt;"",P44,ROUND(O44*INDEX('Live Calc'!$D$16:$D$23,MATCH(M44,'Live Calc'!$A$16:$A$23,0))*'Live Calc'!$J$78,0))</f>
        <v>1</v>
      </c>
      <c r="S44" s="5" t="s">
        <v>224</v>
      </c>
      <c r="T44" s="5" t="s">
        <v>82</v>
      </c>
      <c r="U44" s="5">
        <v>11</v>
      </c>
      <c r="V44" s="5">
        <v>0</v>
      </c>
      <c r="W44" s="5">
        <v>13</v>
      </c>
      <c r="X44" s="5">
        <v>0</v>
      </c>
      <c r="Y44" s="5">
        <v>12</v>
      </c>
      <c r="Z44" s="5">
        <v>3.1979000000000002</v>
      </c>
      <c r="AA44" s="5">
        <v>13</v>
      </c>
      <c r="AB44" s="5">
        <v>2.3614000000000002</v>
      </c>
      <c r="AC44" s="5">
        <v>13</v>
      </c>
      <c r="AD44" s="5">
        <v>2.0291000000000001</v>
      </c>
      <c r="AE44" s="5">
        <f>CHOOSE(MATCH(Setup!$B$5,{8,10,12,14,16},0),U44,W44,Y44,AA44,AC44)</f>
        <v>12</v>
      </c>
      <c r="AF44" s="5">
        <f>CHOOSE(MATCH(Setup!$B$5,{8,10,12,14,16},0),V44,X44,Z44,AB44,AD44)</f>
        <v>3.1979000000000002</v>
      </c>
      <c r="AG44" s="5">
        <f>ROUND(1+AF44*'Live Calc'!$D$10,0)</f>
        <v>1</v>
      </c>
      <c r="AH44" s="5"/>
      <c r="AI44" s="5">
        <f>IF(AH44&lt;&gt;"",AH44,ROUND(AG44*INDEX('Live Calc'!$D$27:$D$40,MATCH(AE44,'Live Calc'!$A$27:$A$40,0))*'Live Calc'!$J$78,0))</f>
        <v>1</v>
      </c>
      <c r="AK44" s="6" t="s">
        <v>225</v>
      </c>
      <c r="AL44" s="6" t="s">
        <v>88</v>
      </c>
      <c r="AM44" s="6">
        <v>11</v>
      </c>
      <c r="AN44" s="6">
        <v>0.52810000000000001</v>
      </c>
      <c r="AO44" s="6">
        <v>11</v>
      </c>
      <c r="AP44" s="6">
        <v>31.104800000000001</v>
      </c>
      <c r="AQ44" s="6">
        <v>11</v>
      </c>
      <c r="AR44" s="6">
        <v>62.057000000000002</v>
      </c>
      <c r="AS44" s="6">
        <v>10</v>
      </c>
      <c r="AT44" s="6">
        <v>34.902000000000001</v>
      </c>
      <c r="AU44" s="6">
        <v>10</v>
      </c>
      <c r="AV44" s="6">
        <v>20.484400000000001</v>
      </c>
      <c r="AW44" s="6">
        <f>CHOOSE(MATCH(Setup!$B$5,{8,10,12,14,16},0),AM44,AO44,AQ44,AS44,AU44)</f>
        <v>11</v>
      </c>
      <c r="AX44" s="6">
        <f>CHOOSE(MATCH(Setup!$B$5,{8,10,12,14,16},0),AN44,AP44,AR44,AT44,AV44)</f>
        <v>62.057000000000002</v>
      </c>
      <c r="AY44" s="6">
        <f>ROUND(1+AX44*'Live Calc'!$D$11,0)</f>
        <v>9</v>
      </c>
      <c r="AZ44" s="6"/>
      <c r="BA44" s="6">
        <f>IF(AZ44&lt;&gt;"",AZ44,ROUND(AY44*INDEX('Live Calc'!$D$44:$D$59,MATCH(AW44,'Live Calc'!$A$44:$A$59,0))*'Live Calc'!$J$78,0))</f>
        <v>9</v>
      </c>
      <c r="BC44" s="7" t="s">
        <v>226</v>
      </c>
      <c r="BD44" s="7" t="s">
        <v>67</v>
      </c>
      <c r="BE44" s="7">
        <v>7</v>
      </c>
      <c r="BF44" s="7">
        <v>0</v>
      </c>
      <c r="BG44" s="7">
        <v>8</v>
      </c>
      <c r="BH44" s="7">
        <v>0</v>
      </c>
      <c r="BI44" s="7">
        <v>11</v>
      </c>
      <c r="BJ44" s="7">
        <v>0</v>
      </c>
      <c r="BK44" s="7">
        <v>12</v>
      </c>
      <c r="BL44" s="7">
        <v>0</v>
      </c>
      <c r="BM44" s="7">
        <v>11</v>
      </c>
      <c r="BN44" s="7">
        <v>0</v>
      </c>
      <c r="BO44" s="7">
        <f>CHOOSE(MATCH(Setup!$B$5,{8,10,12,14,16},0),BE44,BG44,BI44,BK44,BM44)</f>
        <v>11</v>
      </c>
      <c r="BP44" s="7">
        <f>CHOOSE(MATCH(Setup!$B$5,{8,10,12,14,16},0),BF44,BH44,BJ44,BL44,BN44)</f>
        <v>0</v>
      </c>
      <c r="BQ44" s="7">
        <f>ROUND(1+BP44*'Live Calc'!$D$12,0)</f>
        <v>1</v>
      </c>
      <c r="BR44" s="7"/>
      <c r="BS44" s="7">
        <f>IF(BR44&lt;&gt;"",BR44,ROUND(BQ44*INDEX('Live Calc'!$D$63:$D$74,MATCH(BO44,'Live Calc'!$A$63:$A$74,0))*'Live Calc'!$J$78,0))</f>
        <v>1</v>
      </c>
    </row>
    <row r="45" spans="1:71" x14ac:dyDescent="0.25">
      <c r="A45" s="4" t="s">
        <v>227</v>
      </c>
      <c r="B45" s="4" t="s">
        <v>85</v>
      </c>
      <c r="C45" s="4">
        <v>7</v>
      </c>
      <c r="D45" s="4">
        <v>0</v>
      </c>
      <c r="E45" s="4">
        <v>8</v>
      </c>
      <c r="F45" s="4">
        <v>0</v>
      </c>
      <c r="G45" s="4">
        <v>7</v>
      </c>
      <c r="H45" s="4">
        <v>0</v>
      </c>
      <c r="I45" s="4">
        <v>8</v>
      </c>
      <c r="J45" s="4">
        <v>0</v>
      </c>
      <c r="K45" s="4">
        <v>8</v>
      </c>
      <c r="L45" s="4">
        <v>0</v>
      </c>
      <c r="M45" s="4">
        <f>CHOOSE(MATCH(Setup!$B$5,{8,10,12,14,16},0),C45,E45,G45,I45,K45)</f>
        <v>7</v>
      </c>
      <c r="N45" s="4">
        <f>CHOOSE(MATCH(Setup!$B$5,{8,10,12,14,16},0),D45,F45,H45,J45,L45)</f>
        <v>0</v>
      </c>
      <c r="O45" s="4">
        <f>ROUND(1+N45*'Live Calc'!$D$9,0)</f>
        <v>1</v>
      </c>
      <c r="P45" s="4"/>
      <c r="Q45" s="4">
        <f>IF(P45&lt;&gt;"",P45,ROUND(O45*INDEX('Live Calc'!$D$16:$D$23,MATCH(M45,'Live Calc'!$A$16:$A$23,0))*'Live Calc'!$J$78,0))</f>
        <v>1</v>
      </c>
      <c r="S45" s="5" t="s">
        <v>228</v>
      </c>
      <c r="T45" s="5" t="s">
        <v>155</v>
      </c>
      <c r="U45" s="5">
        <v>11</v>
      </c>
      <c r="V45" s="5">
        <v>0</v>
      </c>
      <c r="W45" s="5">
        <v>13</v>
      </c>
      <c r="X45" s="5">
        <v>0</v>
      </c>
      <c r="Y45" s="5">
        <v>13</v>
      </c>
      <c r="Z45" s="5">
        <v>0</v>
      </c>
      <c r="AA45" s="5">
        <v>14</v>
      </c>
      <c r="AB45" s="5">
        <v>0</v>
      </c>
      <c r="AC45" s="5">
        <v>14</v>
      </c>
      <c r="AD45" s="5">
        <v>0</v>
      </c>
      <c r="AE45" s="5">
        <f>CHOOSE(MATCH(Setup!$B$5,{8,10,12,14,16},0),U45,W45,Y45,AA45,AC45)</f>
        <v>13</v>
      </c>
      <c r="AF45" s="5">
        <f>CHOOSE(MATCH(Setup!$B$5,{8,10,12,14,16},0),V45,X45,Z45,AB45,AD45)</f>
        <v>0</v>
      </c>
      <c r="AG45" s="5">
        <f>ROUND(1+AF45*'Live Calc'!$D$10,0)</f>
        <v>1</v>
      </c>
      <c r="AH45" s="5"/>
      <c r="AI45" s="5">
        <f>IF(AH45&lt;&gt;"",AH45,ROUND(AG45*INDEX('Live Calc'!$D$27:$D$40,MATCH(AE45,'Live Calc'!$A$27:$A$40,0))*'Live Calc'!$J$78,0))</f>
        <v>1</v>
      </c>
      <c r="AK45" s="6" t="s">
        <v>229</v>
      </c>
      <c r="AL45" s="6" t="s">
        <v>70</v>
      </c>
      <c r="AM45" s="6">
        <v>11</v>
      </c>
      <c r="AN45" s="6">
        <v>0.46310000000000001</v>
      </c>
      <c r="AO45" s="6">
        <v>11</v>
      </c>
      <c r="AP45" s="6">
        <v>30.993200000000002</v>
      </c>
      <c r="AQ45" s="6">
        <v>11</v>
      </c>
      <c r="AR45" s="6">
        <v>61.934800000000003</v>
      </c>
      <c r="AS45" s="6">
        <v>10</v>
      </c>
      <c r="AT45" s="6">
        <v>34.840000000000003</v>
      </c>
      <c r="AU45" s="6">
        <v>10</v>
      </c>
      <c r="AV45" s="6">
        <v>20.453399999999998</v>
      </c>
      <c r="AW45" s="6">
        <f>CHOOSE(MATCH(Setup!$B$5,{8,10,12,14,16},0),AM45,AO45,AQ45,AS45,AU45)</f>
        <v>11</v>
      </c>
      <c r="AX45" s="6">
        <f>CHOOSE(MATCH(Setup!$B$5,{8,10,12,14,16},0),AN45,AP45,AR45,AT45,AV45)</f>
        <v>61.934800000000003</v>
      </c>
      <c r="AY45" s="6">
        <f>ROUND(1+AX45*'Live Calc'!$D$11,0)</f>
        <v>9</v>
      </c>
      <c r="AZ45" s="6"/>
      <c r="BA45" s="6">
        <f>IF(AZ45&lt;&gt;"",AZ45,ROUND(AY45*INDEX('Live Calc'!$D$44:$D$59,MATCH(AW45,'Live Calc'!$A$44:$A$59,0))*'Live Calc'!$J$78,0))</f>
        <v>9</v>
      </c>
      <c r="BC45" s="7" t="s">
        <v>230</v>
      </c>
      <c r="BD45" s="7" t="s">
        <v>46</v>
      </c>
      <c r="BE45" s="7">
        <v>7</v>
      </c>
      <c r="BF45" s="7">
        <v>0</v>
      </c>
      <c r="BG45" s="7">
        <v>8</v>
      </c>
      <c r="BH45" s="7">
        <v>0</v>
      </c>
      <c r="BI45" s="7">
        <v>11</v>
      </c>
      <c r="BJ45" s="7">
        <v>0</v>
      </c>
      <c r="BK45" s="7">
        <v>12</v>
      </c>
      <c r="BL45" s="7">
        <v>0</v>
      </c>
      <c r="BM45" s="7">
        <v>11</v>
      </c>
      <c r="BN45" s="7">
        <v>0</v>
      </c>
      <c r="BO45" s="7">
        <f>CHOOSE(MATCH(Setup!$B$5,{8,10,12,14,16},0),BE45,BG45,BI45,BK45,BM45)</f>
        <v>11</v>
      </c>
      <c r="BP45" s="7">
        <f>CHOOSE(MATCH(Setup!$B$5,{8,10,12,14,16},0),BF45,BH45,BJ45,BL45,BN45)</f>
        <v>0</v>
      </c>
      <c r="BQ45" s="7">
        <f>ROUND(1+BP45*'Live Calc'!$D$12,0)</f>
        <v>1</v>
      </c>
      <c r="BR45" s="7"/>
      <c r="BS45" s="7">
        <f>IF(BR45&lt;&gt;"",BR45,ROUND(BQ45*INDEX('Live Calc'!$D$63:$D$74,MATCH(BO45,'Live Calc'!$A$63:$A$74,0))*'Live Calc'!$J$78,0))</f>
        <v>1</v>
      </c>
    </row>
    <row r="46" spans="1:71" x14ac:dyDescent="0.25">
      <c r="A46" s="4" t="s">
        <v>231</v>
      </c>
      <c r="B46" s="4" t="s">
        <v>95</v>
      </c>
      <c r="C46" s="4">
        <v>7</v>
      </c>
      <c r="D46" s="4">
        <v>0</v>
      </c>
      <c r="E46" s="4">
        <v>8</v>
      </c>
      <c r="F46" s="4">
        <v>0</v>
      </c>
      <c r="G46" s="4">
        <v>7</v>
      </c>
      <c r="H46" s="4">
        <v>0</v>
      </c>
      <c r="I46" s="4">
        <v>8</v>
      </c>
      <c r="J46" s="4">
        <v>0</v>
      </c>
      <c r="K46" s="4">
        <v>8</v>
      </c>
      <c r="L46" s="4">
        <v>0</v>
      </c>
      <c r="M46" s="4">
        <f>CHOOSE(MATCH(Setup!$B$5,{8,10,12,14,16},0),C46,E46,G46,I46,K46)</f>
        <v>7</v>
      </c>
      <c r="N46" s="4">
        <f>CHOOSE(MATCH(Setup!$B$5,{8,10,12,14,16},0),D46,F46,H46,J46,L46)</f>
        <v>0</v>
      </c>
      <c r="O46" s="4">
        <f>ROUND(1+N46*'Live Calc'!$D$9,0)</f>
        <v>1</v>
      </c>
      <c r="P46" s="4"/>
      <c r="Q46" s="4">
        <f>IF(P46&lt;&gt;"",P46,ROUND(O46*INDEX('Live Calc'!$D$16:$D$23,MATCH(M46,'Live Calc'!$A$16:$A$23,0))*'Live Calc'!$J$78,0))</f>
        <v>1</v>
      </c>
      <c r="S46" s="5" t="s">
        <v>232</v>
      </c>
      <c r="T46" s="5" t="s">
        <v>26</v>
      </c>
      <c r="U46" s="5">
        <v>11</v>
      </c>
      <c r="V46" s="5">
        <v>0</v>
      </c>
      <c r="W46" s="5">
        <v>13</v>
      </c>
      <c r="X46" s="5">
        <v>0</v>
      </c>
      <c r="Y46" s="5">
        <v>13</v>
      </c>
      <c r="Z46" s="5">
        <v>0</v>
      </c>
      <c r="AA46" s="5">
        <v>14</v>
      </c>
      <c r="AB46" s="5">
        <v>0</v>
      </c>
      <c r="AC46" s="5">
        <v>14</v>
      </c>
      <c r="AD46" s="5">
        <v>0</v>
      </c>
      <c r="AE46" s="5">
        <f>CHOOSE(MATCH(Setup!$B$5,{8,10,12,14,16},0),U46,W46,Y46,AA46,AC46)</f>
        <v>13</v>
      </c>
      <c r="AF46" s="5">
        <f>CHOOSE(MATCH(Setup!$B$5,{8,10,12,14,16},0),V46,X46,Z46,AB46,AD46)</f>
        <v>0</v>
      </c>
      <c r="AG46" s="5">
        <f>ROUND(1+AF46*'Live Calc'!$D$10,0)</f>
        <v>1</v>
      </c>
      <c r="AH46" s="5"/>
      <c r="AI46" s="5">
        <f>IF(AH46&lt;&gt;"",AH46,ROUND(AG46*INDEX('Live Calc'!$D$27:$D$40,MATCH(AE46,'Live Calc'!$A$27:$A$40,0))*'Live Calc'!$J$78,0))</f>
        <v>1</v>
      </c>
      <c r="AK46" s="6" t="s">
        <v>233</v>
      </c>
      <c r="AL46" s="6" t="s">
        <v>50</v>
      </c>
      <c r="AM46" s="6">
        <v>12</v>
      </c>
      <c r="AN46" s="6">
        <v>0</v>
      </c>
      <c r="AO46" s="6">
        <v>11</v>
      </c>
      <c r="AP46" s="6">
        <v>30.073499999999999</v>
      </c>
      <c r="AQ46" s="6">
        <v>11</v>
      </c>
      <c r="AR46" s="6">
        <v>60.927399999999999</v>
      </c>
      <c r="AS46" s="6">
        <v>10</v>
      </c>
      <c r="AT46" s="6">
        <v>34.328000000000003</v>
      </c>
      <c r="AU46" s="6">
        <v>10</v>
      </c>
      <c r="AV46" s="6">
        <v>20.197700000000001</v>
      </c>
      <c r="AW46" s="6">
        <f>CHOOSE(MATCH(Setup!$B$5,{8,10,12,14,16},0),AM46,AO46,AQ46,AS46,AU46)</f>
        <v>11</v>
      </c>
      <c r="AX46" s="6">
        <f>CHOOSE(MATCH(Setup!$B$5,{8,10,12,14,16},0),AN46,AP46,AR46,AT46,AV46)</f>
        <v>60.927399999999999</v>
      </c>
      <c r="AY46" s="6">
        <f>ROUND(1+AX46*'Live Calc'!$D$11,0)</f>
        <v>9</v>
      </c>
      <c r="AZ46" s="6"/>
      <c r="BA46" s="6">
        <f>IF(AZ46&lt;&gt;"",AZ46,ROUND(AY46*INDEX('Live Calc'!$D$44:$D$59,MATCH(AW46,'Live Calc'!$A$44:$A$59,0))*'Live Calc'!$J$78,0))</f>
        <v>9</v>
      </c>
      <c r="BC46" s="7" t="s">
        <v>234</v>
      </c>
      <c r="BD46" s="7" t="s">
        <v>235</v>
      </c>
      <c r="BE46" s="7">
        <v>7</v>
      </c>
      <c r="BF46" s="7">
        <v>0</v>
      </c>
      <c r="BG46" s="7">
        <v>8</v>
      </c>
      <c r="BH46" s="7">
        <v>0</v>
      </c>
      <c r="BI46" s="7">
        <v>11</v>
      </c>
      <c r="BJ46" s="7">
        <v>0</v>
      </c>
      <c r="BK46" s="7">
        <v>12</v>
      </c>
      <c r="BL46" s="7">
        <v>0</v>
      </c>
      <c r="BM46" s="7">
        <v>11</v>
      </c>
      <c r="BN46" s="7">
        <v>0</v>
      </c>
      <c r="BO46" s="7">
        <f>CHOOSE(MATCH(Setup!$B$5,{8,10,12,14,16},0),BE46,BG46,BI46,BK46,BM46)</f>
        <v>11</v>
      </c>
      <c r="BP46" s="7">
        <f>CHOOSE(MATCH(Setup!$B$5,{8,10,12,14,16},0),BF46,BH46,BJ46,BL46,BN46)</f>
        <v>0</v>
      </c>
      <c r="BQ46" s="7">
        <f>ROUND(1+BP46*'Live Calc'!$D$12,0)</f>
        <v>1</v>
      </c>
      <c r="BR46" s="7"/>
      <c r="BS46" s="7">
        <f>IF(BR46&lt;&gt;"",BR46,ROUND(BQ46*INDEX('Live Calc'!$D$63:$D$74,MATCH(BO46,'Live Calc'!$A$63:$A$74,0))*'Live Calc'!$J$78,0))</f>
        <v>1</v>
      </c>
    </row>
    <row r="47" spans="1:71" x14ac:dyDescent="0.25">
      <c r="A47" s="4" t="s">
        <v>236</v>
      </c>
      <c r="B47" s="4" t="s">
        <v>50</v>
      </c>
      <c r="C47" s="4">
        <v>7</v>
      </c>
      <c r="D47" s="4">
        <v>0</v>
      </c>
      <c r="E47" s="4">
        <v>8</v>
      </c>
      <c r="F47" s="4">
        <v>0</v>
      </c>
      <c r="G47" s="4">
        <v>7</v>
      </c>
      <c r="H47" s="4">
        <v>0</v>
      </c>
      <c r="I47" s="4">
        <v>8</v>
      </c>
      <c r="J47" s="4">
        <v>0</v>
      </c>
      <c r="K47" s="4">
        <v>8</v>
      </c>
      <c r="L47" s="4">
        <v>0</v>
      </c>
      <c r="M47" s="4">
        <f>CHOOSE(MATCH(Setup!$B$5,{8,10,12,14,16},0),C47,E47,G47,I47,K47)</f>
        <v>7</v>
      </c>
      <c r="N47" s="4">
        <f>CHOOSE(MATCH(Setup!$B$5,{8,10,12,14,16},0),D47,F47,H47,J47,L47)</f>
        <v>0</v>
      </c>
      <c r="O47" s="4">
        <f>ROUND(1+N47*'Live Calc'!$D$9,0)</f>
        <v>1</v>
      </c>
      <c r="P47" s="4"/>
      <c r="Q47" s="4">
        <f>IF(P47&lt;&gt;"",P47,ROUND(O47*INDEX('Live Calc'!$D$16:$D$23,MATCH(M47,'Live Calc'!$A$16:$A$23,0))*'Live Calc'!$J$78,0))</f>
        <v>1</v>
      </c>
      <c r="S47" s="5" t="s">
        <v>237</v>
      </c>
      <c r="T47" s="5" t="s">
        <v>85</v>
      </c>
      <c r="U47" s="5">
        <v>11</v>
      </c>
      <c r="V47" s="5">
        <v>0</v>
      </c>
      <c r="W47" s="5">
        <v>13</v>
      </c>
      <c r="X47" s="5">
        <v>0</v>
      </c>
      <c r="Y47" s="5">
        <v>13</v>
      </c>
      <c r="Z47" s="5">
        <v>0</v>
      </c>
      <c r="AA47" s="5">
        <v>14</v>
      </c>
      <c r="AB47" s="5">
        <v>0</v>
      </c>
      <c r="AC47" s="5">
        <v>14</v>
      </c>
      <c r="AD47" s="5">
        <v>0</v>
      </c>
      <c r="AE47" s="5">
        <f>CHOOSE(MATCH(Setup!$B$5,{8,10,12,14,16},0),U47,W47,Y47,AA47,AC47)</f>
        <v>13</v>
      </c>
      <c r="AF47" s="5">
        <f>CHOOSE(MATCH(Setup!$B$5,{8,10,12,14,16},0),V47,X47,Z47,AB47,AD47)</f>
        <v>0</v>
      </c>
      <c r="AG47" s="5">
        <f>ROUND(1+AF47*'Live Calc'!$D$10,0)</f>
        <v>1</v>
      </c>
      <c r="AH47" s="5"/>
      <c r="AI47" s="5">
        <f>IF(AH47&lt;&gt;"",AH47,ROUND(AG47*INDEX('Live Calc'!$D$27:$D$40,MATCH(AE47,'Live Calc'!$A$27:$A$40,0))*'Live Calc'!$J$78,0))</f>
        <v>1</v>
      </c>
      <c r="AK47" s="6" t="s">
        <v>238</v>
      </c>
      <c r="AL47" s="6" t="s">
        <v>155</v>
      </c>
      <c r="AM47" s="6">
        <v>12</v>
      </c>
      <c r="AN47" s="6">
        <v>0</v>
      </c>
      <c r="AO47" s="6">
        <v>12</v>
      </c>
      <c r="AP47" s="6">
        <v>24.415400000000002</v>
      </c>
      <c r="AQ47" s="6">
        <v>12</v>
      </c>
      <c r="AR47" s="6">
        <v>54.684699999999999</v>
      </c>
      <c r="AS47" s="6">
        <v>11</v>
      </c>
      <c r="AT47" s="6">
        <v>31.13</v>
      </c>
      <c r="AU47" s="6">
        <v>11</v>
      </c>
      <c r="AV47" s="6">
        <v>18.5867</v>
      </c>
      <c r="AW47" s="6">
        <f>CHOOSE(MATCH(Setup!$B$5,{8,10,12,14,16},0),AM47,AO47,AQ47,AS47,AU47)</f>
        <v>12</v>
      </c>
      <c r="AX47" s="6">
        <f>CHOOSE(MATCH(Setup!$B$5,{8,10,12,14,16},0),AN47,AP47,AR47,AT47,AV47)</f>
        <v>54.684699999999999</v>
      </c>
      <c r="AY47" s="6">
        <f>ROUND(1+AX47*'Live Calc'!$D$11,0)</f>
        <v>8</v>
      </c>
      <c r="AZ47" s="6"/>
      <c r="BA47" s="6">
        <f>IF(AZ47&lt;&gt;"",AZ47,ROUND(AY47*INDEX('Live Calc'!$D$44:$D$59,MATCH(AW47,'Live Calc'!$A$44:$A$59,0))*'Live Calc'!$J$78,0))</f>
        <v>8</v>
      </c>
      <c r="BC47" s="7" t="s">
        <v>239</v>
      </c>
      <c r="BD47" s="7" t="s">
        <v>123</v>
      </c>
      <c r="BE47" s="7">
        <v>7</v>
      </c>
      <c r="BF47" s="7">
        <v>0</v>
      </c>
      <c r="BG47" s="7">
        <v>8</v>
      </c>
      <c r="BH47" s="7">
        <v>0</v>
      </c>
      <c r="BI47" s="7">
        <v>11</v>
      </c>
      <c r="BJ47" s="7">
        <v>0</v>
      </c>
      <c r="BK47" s="7">
        <v>12</v>
      </c>
      <c r="BL47" s="7">
        <v>0</v>
      </c>
      <c r="BM47" s="7">
        <v>11</v>
      </c>
      <c r="BN47" s="7">
        <v>0</v>
      </c>
      <c r="BO47" s="7">
        <f>CHOOSE(MATCH(Setup!$B$5,{8,10,12,14,16},0),BE47,BG47,BI47,BK47,BM47)</f>
        <v>11</v>
      </c>
      <c r="BP47" s="7">
        <f>CHOOSE(MATCH(Setup!$B$5,{8,10,12,14,16},0),BF47,BH47,BJ47,BL47,BN47)</f>
        <v>0</v>
      </c>
      <c r="BQ47" s="7">
        <f>ROUND(1+BP47*'Live Calc'!$D$12,0)</f>
        <v>1</v>
      </c>
      <c r="BR47" s="7"/>
      <c r="BS47" s="7">
        <f>IF(BR47&lt;&gt;"",BR47,ROUND(BQ47*INDEX('Live Calc'!$D$63:$D$74,MATCH(BO47,'Live Calc'!$A$63:$A$74,0))*'Live Calc'!$J$78,0))</f>
        <v>1</v>
      </c>
    </row>
    <row r="48" spans="1:71" x14ac:dyDescent="0.25">
      <c r="A48" s="4" t="s">
        <v>240</v>
      </c>
      <c r="B48" s="4" t="s">
        <v>28</v>
      </c>
      <c r="C48" s="4">
        <v>7</v>
      </c>
      <c r="D48" s="4">
        <v>0</v>
      </c>
      <c r="E48" s="4">
        <v>8</v>
      </c>
      <c r="F48" s="4">
        <v>0</v>
      </c>
      <c r="G48" s="4">
        <v>7</v>
      </c>
      <c r="H48" s="4">
        <v>0</v>
      </c>
      <c r="I48" s="4">
        <v>8</v>
      </c>
      <c r="J48" s="4">
        <v>0</v>
      </c>
      <c r="K48" s="4">
        <v>8</v>
      </c>
      <c r="L48" s="4">
        <v>0</v>
      </c>
      <c r="M48" s="4">
        <f>CHOOSE(MATCH(Setup!$B$5,{8,10,12,14,16},0),C48,E48,G48,I48,K48)</f>
        <v>7</v>
      </c>
      <c r="N48" s="4">
        <f>CHOOSE(MATCH(Setup!$B$5,{8,10,12,14,16},0),D48,F48,H48,J48,L48)</f>
        <v>0</v>
      </c>
      <c r="O48" s="4">
        <f>ROUND(1+N48*'Live Calc'!$D$9,0)</f>
        <v>1</v>
      </c>
      <c r="P48" s="4"/>
      <c r="Q48" s="4">
        <f>IF(P48&lt;&gt;"",P48,ROUND(O48*INDEX('Live Calc'!$D$16:$D$23,MATCH(M48,'Live Calc'!$A$16:$A$23,0))*'Live Calc'!$J$78,0))</f>
        <v>1</v>
      </c>
      <c r="S48" s="5" t="s">
        <v>241</v>
      </c>
      <c r="T48" s="5" t="s">
        <v>44</v>
      </c>
      <c r="U48" s="5">
        <v>11</v>
      </c>
      <c r="V48" s="5">
        <v>0</v>
      </c>
      <c r="W48" s="5">
        <v>13</v>
      </c>
      <c r="X48" s="5">
        <v>0</v>
      </c>
      <c r="Y48" s="5">
        <v>13</v>
      </c>
      <c r="Z48" s="5">
        <v>0</v>
      </c>
      <c r="AA48" s="5">
        <v>14</v>
      </c>
      <c r="AB48" s="5">
        <v>0</v>
      </c>
      <c r="AC48" s="5">
        <v>14</v>
      </c>
      <c r="AD48" s="5">
        <v>0</v>
      </c>
      <c r="AE48" s="5">
        <f>CHOOSE(MATCH(Setup!$B$5,{8,10,12,14,16},0),U48,W48,Y48,AA48,AC48)</f>
        <v>13</v>
      </c>
      <c r="AF48" s="5">
        <f>CHOOSE(MATCH(Setup!$B$5,{8,10,12,14,16},0),V48,X48,Z48,AB48,AD48)</f>
        <v>0</v>
      </c>
      <c r="AG48" s="5">
        <f>ROUND(1+AF48*'Live Calc'!$D$10,0)</f>
        <v>1</v>
      </c>
      <c r="AH48" s="5"/>
      <c r="AI48" s="5">
        <f>IF(AH48&lt;&gt;"",AH48,ROUND(AG48*INDEX('Live Calc'!$D$27:$D$40,MATCH(AE48,'Live Calc'!$A$27:$A$40,0))*'Live Calc'!$J$78,0))</f>
        <v>1</v>
      </c>
      <c r="AK48" s="6" t="s">
        <v>242</v>
      </c>
      <c r="AL48" s="6" t="s">
        <v>42</v>
      </c>
      <c r="AM48" s="6">
        <v>12</v>
      </c>
      <c r="AN48" s="6">
        <v>0</v>
      </c>
      <c r="AO48" s="6">
        <v>12</v>
      </c>
      <c r="AP48" s="6">
        <v>23.232900000000001</v>
      </c>
      <c r="AQ48" s="6">
        <v>12</v>
      </c>
      <c r="AR48" s="6">
        <v>53.368899999999996</v>
      </c>
      <c r="AS48" s="6">
        <v>11</v>
      </c>
      <c r="AT48" s="6">
        <v>30.45</v>
      </c>
      <c r="AU48" s="6">
        <v>11</v>
      </c>
      <c r="AV48" s="6">
        <v>18.241</v>
      </c>
      <c r="AW48" s="6">
        <f>CHOOSE(MATCH(Setup!$B$5,{8,10,12,14,16},0),AM48,AO48,AQ48,AS48,AU48)</f>
        <v>12</v>
      </c>
      <c r="AX48" s="6">
        <f>CHOOSE(MATCH(Setup!$B$5,{8,10,12,14,16},0),AN48,AP48,AR48,AT48,AV48)</f>
        <v>53.368899999999996</v>
      </c>
      <c r="AY48" s="6">
        <f>ROUND(1+AX48*'Live Calc'!$D$11,0)</f>
        <v>8</v>
      </c>
      <c r="AZ48" s="6"/>
      <c r="BA48" s="6">
        <f>IF(AZ48&lt;&gt;"",AZ48,ROUND(AY48*INDEX('Live Calc'!$D$44:$D$59,MATCH(AW48,'Live Calc'!$A$44:$A$59,0))*'Live Calc'!$J$78,0))</f>
        <v>8</v>
      </c>
      <c r="BC48" s="7" t="s">
        <v>243</v>
      </c>
      <c r="BD48" s="7" t="s">
        <v>28</v>
      </c>
      <c r="BE48" s="7">
        <v>7</v>
      </c>
      <c r="BF48" s="7">
        <v>0</v>
      </c>
      <c r="BG48" s="7">
        <v>8</v>
      </c>
      <c r="BH48" s="7">
        <v>0</v>
      </c>
      <c r="BI48" s="7">
        <v>11</v>
      </c>
      <c r="BJ48" s="7">
        <v>0</v>
      </c>
      <c r="BK48" s="7">
        <v>12</v>
      </c>
      <c r="BL48" s="7">
        <v>0</v>
      </c>
      <c r="BM48" s="7">
        <v>11</v>
      </c>
      <c r="BN48" s="7">
        <v>0</v>
      </c>
      <c r="BO48" s="7">
        <f>CHOOSE(MATCH(Setup!$B$5,{8,10,12,14,16},0),BE48,BG48,BI48,BK48,BM48)</f>
        <v>11</v>
      </c>
      <c r="BP48" s="7">
        <f>CHOOSE(MATCH(Setup!$B$5,{8,10,12,14,16},0),BF48,BH48,BJ48,BL48,BN48)</f>
        <v>0</v>
      </c>
      <c r="BQ48" s="7">
        <f>ROUND(1+BP48*'Live Calc'!$D$12,0)</f>
        <v>1</v>
      </c>
      <c r="BR48" s="7"/>
      <c r="BS48" s="7">
        <f>IF(BR48&lt;&gt;"",BR48,ROUND(BQ48*INDEX('Live Calc'!$D$63:$D$74,MATCH(BO48,'Live Calc'!$A$63:$A$74,0))*'Live Calc'!$J$78,0))</f>
        <v>1</v>
      </c>
    </row>
    <row r="49" spans="1:71" x14ac:dyDescent="0.25">
      <c r="A49" s="4" t="s">
        <v>244</v>
      </c>
      <c r="B49" s="4" t="s">
        <v>108</v>
      </c>
      <c r="C49" s="4">
        <v>7</v>
      </c>
      <c r="D49" s="4">
        <v>0</v>
      </c>
      <c r="E49" s="4">
        <v>8</v>
      </c>
      <c r="F49" s="4">
        <v>0</v>
      </c>
      <c r="G49" s="4">
        <v>7</v>
      </c>
      <c r="H49" s="4">
        <v>0</v>
      </c>
      <c r="I49" s="4">
        <v>8</v>
      </c>
      <c r="J49" s="4">
        <v>0</v>
      </c>
      <c r="K49" s="4">
        <v>8</v>
      </c>
      <c r="L49" s="4">
        <v>0</v>
      </c>
      <c r="M49" s="4">
        <f>CHOOSE(MATCH(Setup!$B$5,{8,10,12,14,16},0),C49,E49,G49,I49,K49)</f>
        <v>7</v>
      </c>
      <c r="N49" s="4">
        <f>CHOOSE(MATCH(Setup!$B$5,{8,10,12,14,16},0),D49,F49,H49,J49,L49)</f>
        <v>0</v>
      </c>
      <c r="O49" s="4">
        <f>ROUND(1+N49*'Live Calc'!$D$9,0)</f>
        <v>1</v>
      </c>
      <c r="P49" s="4"/>
      <c r="Q49" s="4">
        <f>IF(P49&lt;&gt;"",P49,ROUND(O49*INDEX('Live Calc'!$D$16:$D$23,MATCH(M49,'Live Calc'!$A$16:$A$23,0))*'Live Calc'!$J$78,0))</f>
        <v>1</v>
      </c>
      <c r="S49" s="5" t="s">
        <v>245</v>
      </c>
      <c r="T49" s="5" t="s">
        <v>30</v>
      </c>
      <c r="U49" s="5">
        <v>11</v>
      </c>
      <c r="V49" s="5">
        <v>0</v>
      </c>
      <c r="W49" s="5">
        <v>13</v>
      </c>
      <c r="X49" s="5">
        <v>0</v>
      </c>
      <c r="Y49" s="5">
        <v>13</v>
      </c>
      <c r="Z49" s="5">
        <v>0</v>
      </c>
      <c r="AA49" s="5">
        <v>14</v>
      </c>
      <c r="AB49" s="5">
        <v>0</v>
      </c>
      <c r="AC49" s="5">
        <v>14</v>
      </c>
      <c r="AD49" s="5">
        <v>0</v>
      </c>
      <c r="AE49" s="5">
        <f>CHOOSE(MATCH(Setup!$B$5,{8,10,12,14,16},0),U49,W49,Y49,AA49,AC49)</f>
        <v>13</v>
      </c>
      <c r="AF49" s="5">
        <f>CHOOSE(MATCH(Setup!$B$5,{8,10,12,14,16},0),V49,X49,Z49,AB49,AD49)</f>
        <v>0</v>
      </c>
      <c r="AG49" s="5">
        <f>ROUND(1+AF49*'Live Calc'!$D$10,0)</f>
        <v>1</v>
      </c>
      <c r="AH49" s="5"/>
      <c r="AI49" s="5">
        <f>IF(AH49&lt;&gt;"",AH49,ROUND(AG49*INDEX('Live Calc'!$D$27:$D$40,MATCH(AE49,'Live Calc'!$A$27:$A$40,0))*'Live Calc'!$J$78,0))</f>
        <v>1</v>
      </c>
      <c r="AK49" s="6" t="s">
        <v>246</v>
      </c>
      <c r="AL49" s="6" t="s">
        <v>54</v>
      </c>
      <c r="AM49" s="6">
        <v>12</v>
      </c>
      <c r="AN49" s="6">
        <v>0</v>
      </c>
      <c r="AO49" s="6">
        <v>12</v>
      </c>
      <c r="AP49" s="6">
        <v>21.944500000000001</v>
      </c>
      <c r="AQ49" s="6">
        <v>12</v>
      </c>
      <c r="AR49" s="6">
        <v>51.930199999999999</v>
      </c>
      <c r="AS49" s="6">
        <v>11</v>
      </c>
      <c r="AT49" s="6">
        <v>29.704000000000001</v>
      </c>
      <c r="AU49" s="6">
        <v>11</v>
      </c>
      <c r="AV49" s="6">
        <v>17.860499999999998</v>
      </c>
      <c r="AW49" s="6">
        <f>CHOOSE(MATCH(Setup!$B$5,{8,10,12,14,16},0),AM49,AO49,AQ49,AS49,AU49)</f>
        <v>12</v>
      </c>
      <c r="AX49" s="6">
        <f>CHOOSE(MATCH(Setup!$B$5,{8,10,12,14,16},0),AN49,AP49,AR49,AT49,AV49)</f>
        <v>51.930199999999999</v>
      </c>
      <c r="AY49" s="6">
        <f>ROUND(1+AX49*'Live Calc'!$D$11,0)</f>
        <v>8</v>
      </c>
      <c r="AZ49" s="6"/>
      <c r="BA49" s="6">
        <f>IF(AZ49&lt;&gt;"",AZ49,ROUND(AY49*INDEX('Live Calc'!$D$44:$D$59,MATCH(AW49,'Live Calc'!$A$44:$A$59,0))*'Live Calc'!$J$78,0))</f>
        <v>8</v>
      </c>
      <c r="BC49" s="7" t="s">
        <v>247</v>
      </c>
      <c r="BD49" s="7" t="s">
        <v>44</v>
      </c>
      <c r="BE49" s="7">
        <v>7</v>
      </c>
      <c r="BF49" s="7">
        <v>0</v>
      </c>
      <c r="BG49" s="7">
        <v>8</v>
      </c>
      <c r="BH49" s="7">
        <v>0</v>
      </c>
      <c r="BI49" s="7">
        <v>11</v>
      </c>
      <c r="BJ49" s="7">
        <v>0</v>
      </c>
      <c r="BK49" s="7">
        <v>12</v>
      </c>
      <c r="BL49" s="7">
        <v>0</v>
      </c>
      <c r="BM49" s="7">
        <v>11</v>
      </c>
      <c r="BN49" s="7">
        <v>0</v>
      </c>
      <c r="BO49" s="7">
        <f>CHOOSE(MATCH(Setup!$B$5,{8,10,12,14,16},0),BE49,BG49,BI49,BK49,BM49)</f>
        <v>11</v>
      </c>
      <c r="BP49" s="7">
        <f>CHOOSE(MATCH(Setup!$B$5,{8,10,12,14,16},0),BF49,BH49,BJ49,BL49,BN49)</f>
        <v>0</v>
      </c>
      <c r="BQ49" s="7">
        <f>ROUND(1+BP49*'Live Calc'!$D$12,0)</f>
        <v>1</v>
      </c>
      <c r="BR49" s="7"/>
      <c r="BS49" s="7">
        <f>IF(BR49&lt;&gt;"",BR49,ROUND(BQ49*INDEX('Live Calc'!$D$63:$D$74,MATCH(BO49,'Live Calc'!$A$63:$A$74,0))*'Live Calc'!$J$78,0))</f>
        <v>1</v>
      </c>
    </row>
    <row r="50" spans="1:71" x14ac:dyDescent="0.25">
      <c r="A50" s="4" t="s">
        <v>248</v>
      </c>
      <c r="B50" s="4" t="s">
        <v>36</v>
      </c>
      <c r="C50" s="4">
        <v>7</v>
      </c>
      <c r="D50" s="4">
        <v>0</v>
      </c>
      <c r="E50" s="4">
        <v>8</v>
      </c>
      <c r="F50" s="4">
        <v>0</v>
      </c>
      <c r="G50" s="4">
        <v>7</v>
      </c>
      <c r="H50" s="4">
        <v>0</v>
      </c>
      <c r="I50" s="4">
        <v>8</v>
      </c>
      <c r="J50" s="4">
        <v>0</v>
      </c>
      <c r="K50" s="4">
        <v>8</v>
      </c>
      <c r="L50" s="4">
        <v>0</v>
      </c>
      <c r="M50" s="4">
        <f>CHOOSE(MATCH(Setup!$B$5,{8,10,12,14,16},0),C50,E50,G50,I50,K50)</f>
        <v>7</v>
      </c>
      <c r="N50" s="4">
        <f>CHOOSE(MATCH(Setup!$B$5,{8,10,12,14,16},0),D50,F50,H50,J50,L50)</f>
        <v>0</v>
      </c>
      <c r="O50" s="4">
        <f>ROUND(1+N50*'Live Calc'!$D$9,0)</f>
        <v>1</v>
      </c>
      <c r="P50" s="4"/>
      <c r="Q50" s="4">
        <f>IF(P50&lt;&gt;"",P50,ROUND(O50*INDEX('Live Calc'!$D$16:$D$23,MATCH(M50,'Live Calc'!$A$16:$A$23,0))*'Live Calc'!$J$78,0))</f>
        <v>1</v>
      </c>
      <c r="S50" s="5" t="s">
        <v>249</v>
      </c>
      <c r="T50" s="5" t="s">
        <v>59</v>
      </c>
      <c r="U50" s="5">
        <v>11</v>
      </c>
      <c r="V50" s="5">
        <v>0</v>
      </c>
      <c r="W50" s="5">
        <v>13</v>
      </c>
      <c r="X50" s="5">
        <v>0</v>
      </c>
      <c r="Y50" s="5">
        <v>13</v>
      </c>
      <c r="Z50" s="5">
        <v>0</v>
      </c>
      <c r="AA50" s="5">
        <v>14</v>
      </c>
      <c r="AB50" s="5">
        <v>0</v>
      </c>
      <c r="AC50" s="5">
        <v>14</v>
      </c>
      <c r="AD50" s="5">
        <v>0</v>
      </c>
      <c r="AE50" s="5">
        <f>CHOOSE(MATCH(Setup!$B$5,{8,10,12,14,16},0),U50,W50,Y50,AA50,AC50)</f>
        <v>13</v>
      </c>
      <c r="AF50" s="5">
        <f>CHOOSE(MATCH(Setup!$B$5,{8,10,12,14,16},0),V50,X50,Z50,AB50,AD50)</f>
        <v>0</v>
      </c>
      <c r="AG50" s="5">
        <f>ROUND(1+AF50*'Live Calc'!$D$10,0)</f>
        <v>1</v>
      </c>
      <c r="AH50" s="5"/>
      <c r="AI50" s="5">
        <f>IF(AH50&lt;&gt;"",AH50,ROUND(AG50*INDEX('Live Calc'!$D$27:$D$40,MATCH(AE50,'Live Calc'!$A$27:$A$40,0))*'Live Calc'!$J$78,0))</f>
        <v>1</v>
      </c>
      <c r="AK50" s="6" t="s">
        <v>250</v>
      </c>
      <c r="AL50" s="6" t="s">
        <v>80</v>
      </c>
      <c r="AM50" s="6">
        <v>12</v>
      </c>
      <c r="AN50" s="6">
        <v>0</v>
      </c>
      <c r="AO50" s="6">
        <v>12</v>
      </c>
      <c r="AP50" s="6">
        <v>20.178599999999999</v>
      </c>
      <c r="AQ50" s="6">
        <v>12</v>
      </c>
      <c r="AR50" s="6">
        <v>49.948599999999999</v>
      </c>
      <c r="AS50" s="6">
        <v>11</v>
      </c>
      <c r="AT50" s="6">
        <v>28.672000000000001</v>
      </c>
      <c r="AU50" s="6">
        <v>11</v>
      </c>
      <c r="AV50" s="6">
        <v>17.331600000000002</v>
      </c>
      <c r="AW50" s="6">
        <f>CHOOSE(MATCH(Setup!$B$5,{8,10,12,14,16},0),AM50,AO50,AQ50,AS50,AU50)</f>
        <v>12</v>
      </c>
      <c r="AX50" s="6">
        <f>CHOOSE(MATCH(Setup!$B$5,{8,10,12,14,16},0),AN50,AP50,AR50,AT50,AV50)</f>
        <v>49.948599999999999</v>
      </c>
      <c r="AY50" s="6">
        <f>ROUND(1+AX50*'Live Calc'!$D$11,0)</f>
        <v>8</v>
      </c>
      <c r="AZ50" s="6"/>
      <c r="BA50" s="6">
        <f>IF(AZ50&lt;&gt;"",AZ50,ROUND(AY50*INDEX('Live Calc'!$D$44:$D$59,MATCH(AW50,'Live Calc'!$A$44:$A$59,0))*'Live Calc'!$J$78,0))</f>
        <v>8</v>
      </c>
      <c r="BC50" s="7" t="s">
        <v>251</v>
      </c>
      <c r="BD50" s="7" t="s">
        <v>42</v>
      </c>
      <c r="BE50" s="7">
        <v>7</v>
      </c>
      <c r="BF50" s="7">
        <v>0</v>
      </c>
      <c r="BG50" s="7">
        <v>8</v>
      </c>
      <c r="BH50" s="7">
        <v>0</v>
      </c>
      <c r="BI50" s="7">
        <v>11</v>
      </c>
      <c r="BJ50" s="7">
        <v>0</v>
      </c>
      <c r="BK50" s="7">
        <v>12</v>
      </c>
      <c r="BL50" s="7">
        <v>0</v>
      </c>
      <c r="BM50" s="7">
        <v>11</v>
      </c>
      <c r="BN50" s="7">
        <v>0</v>
      </c>
      <c r="BO50" s="7">
        <f>CHOOSE(MATCH(Setup!$B$5,{8,10,12,14,16},0),BE50,BG50,BI50,BK50,BM50)</f>
        <v>11</v>
      </c>
      <c r="BP50" s="7">
        <f>CHOOSE(MATCH(Setup!$B$5,{8,10,12,14,16},0),BF50,BH50,BJ50,BL50,BN50)</f>
        <v>0</v>
      </c>
      <c r="BQ50" s="7">
        <f>ROUND(1+BP50*'Live Calc'!$D$12,0)</f>
        <v>1</v>
      </c>
      <c r="BR50" s="7"/>
      <c r="BS50" s="7">
        <f>IF(BR50&lt;&gt;"",BR50,ROUND(BQ50*INDEX('Live Calc'!$D$63:$D$74,MATCH(BO50,'Live Calc'!$A$63:$A$74,0))*'Live Calc'!$J$78,0))</f>
        <v>1</v>
      </c>
    </row>
    <row r="51" spans="1:71" x14ac:dyDescent="0.25">
      <c r="A51" s="4" t="s">
        <v>252</v>
      </c>
      <c r="B51" s="4" t="s">
        <v>65</v>
      </c>
      <c r="C51" s="4">
        <v>7</v>
      </c>
      <c r="D51" s="4">
        <v>0</v>
      </c>
      <c r="E51" s="4">
        <v>8</v>
      </c>
      <c r="F51" s="4">
        <v>0</v>
      </c>
      <c r="G51" s="4">
        <v>7</v>
      </c>
      <c r="H51" s="4">
        <v>0</v>
      </c>
      <c r="I51" s="4">
        <v>8</v>
      </c>
      <c r="J51" s="4">
        <v>0</v>
      </c>
      <c r="K51" s="4">
        <v>8</v>
      </c>
      <c r="L51" s="4">
        <v>0</v>
      </c>
      <c r="M51" s="4">
        <f>CHOOSE(MATCH(Setup!$B$5,{8,10,12,14,16},0),C51,E51,G51,I51,K51)</f>
        <v>7</v>
      </c>
      <c r="N51" s="4">
        <f>CHOOSE(MATCH(Setup!$B$5,{8,10,12,14,16},0),D51,F51,H51,J51,L51)</f>
        <v>0</v>
      </c>
      <c r="O51" s="4">
        <f>ROUND(1+N51*'Live Calc'!$D$9,0)</f>
        <v>1</v>
      </c>
      <c r="P51" s="4"/>
      <c r="Q51" s="4">
        <f>IF(P51&lt;&gt;"",P51,ROUND(O51*INDEX('Live Calc'!$D$16:$D$23,MATCH(M51,'Live Calc'!$A$16:$A$23,0))*'Live Calc'!$J$78,0))</f>
        <v>1</v>
      </c>
      <c r="S51" s="5" t="s">
        <v>253</v>
      </c>
      <c r="T51" s="5" t="s">
        <v>34</v>
      </c>
      <c r="U51" s="5">
        <v>11</v>
      </c>
      <c r="V51" s="5">
        <v>0</v>
      </c>
      <c r="W51" s="5">
        <v>13</v>
      </c>
      <c r="X51" s="5">
        <v>0</v>
      </c>
      <c r="Y51" s="5">
        <v>13</v>
      </c>
      <c r="Z51" s="5">
        <v>0</v>
      </c>
      <c r="AA51" s="5">
        <v>14</v>
      </c>
      <c r="AB51" s="5">
        <v>0</v>
      </c>
      <c r="AC51" s="5">
        <v>14</v>
      </c>
      <c r="AD51" s="5">
        <v>0</v>
      </c>
      <c r="AE51" s="5">
        <f>CHOOSE(MATCH(Setup!$B$5,{8,10,12,14,16},0),U51,W51,Y51,AA51,AC51)</f>
        <v>13</v>
      </c>
      <c r="AF51" s="5">
        <f>CHOOSE(MATCH(Setup!$B$5,{8,10,12,14,16},0),V51,X51,Z51,AB51,AD51)</f>
        <v>0</v>
      </c>
      <c r="AG51" s="5">
        <f>ROUND(1+AF51*'Live Calc'!$D$10,0)</f>
        <v>1</v>
      </c>
      <c r="AH51" s="5"/>
      <c r="AI51" s="5">
        <f>IF(AH51&lt;&gt;"",AH51,ROUND(AG51*INDEX('Live Calc'!$D$27:$D$40,MATCH(AE51,'Live Calc'!$A$27:$A$40,0))*'Live Calc'!$J$78,0))</f>
        <v>1</v>
      </c>
      <c r="AK51" s="6" t="s">
        <v>254</v>
      </c>
      <c r="AL51" s="6" t="s">
        <v>40</v>
      </c>
      <c r="AM51" s="6">
        <v>12</v>
      </c>
      <c r="AN51" s="6">
        <v>0</v>
      </c>
      <c r="AO51" s="6">
        <v>12</v>
      </c>
      <c r="AP51" s="6">
        <v>19.988099999999999</v>
      </c>
      <c r="AQ51" s="6">
        <v>12</v>
      </c>
      <c r="AR51" s="6">
        <v>49.734099999999998</v>
      </c>
      <c r="AS51" s="6">
        <v>11</v>
      </c>
      <c r="AT51" s="6">
        <v>28.56</v>
      </c>
      <c r="AU51" s="6">
        <v>11</v>
      </c>
      <c r="AV51" s="6">
        <v>17.274100000000001</v>
      </c>
      <c r="AW51" s="6">
        <f>CHOOSE(MATCH(Setup!$B$5,{8,10,12,14,16},0),AM51,AO51,AQ51,AS51,AU51)</f>
        <v>12</v>
      </c>
      <c r="AX51" s="6">
        <f>CHOOSE(MATCH(Setup!$B$5,{8,10,12,14,16},0),AN51,AP51,AR51,AT51,AV51)</f>
        <v>49.734099999999998</v>
      </c>
      <c r="AY51" s="6">
        <f>ROUND(1+AX51*'Live Calc'!$D$11,0)</f>
        <v>8</v>
      </c>
      <c r="AZ51" s="6"/>
      <c r="BA51" s="6">
        <f>IF(AZ51&lt;&gt;"",AZ51,ROUND(AY51*INDEX('Live Calc'!$D$44:$D$59,MATCH(AW51,'Live Calc'!$A$44:$A$59,0))*'Live Calc'!$J$78,0))</f>
        <v>8</v>
      </c>
      <c r="BC51" s="7" t="s">
        <v>255</v>
      </c>
      <c r="BD51" s="7" t="s">
        <v>80</v>
      </c>
      <c r="BE51" s="7">
        <v>7</v>
      </c>
      <c r="BF51" s="7">
        <v>0</v>
      </c>
      <c r="BG51" s="7">
        <v>8</v>
      </c>
      <c r="BH51" s="7">
        <v>0</v>
      </c>
      <c r="BI51" s="7">
        <v>11</v>
      </c>
      <c r="BJ51" s="7">
        <v>0</v>
      </c>
      <c r="BK51" s="7">
        <v>12</v>
      </c>
      <c r="BL51" s="7">
        <v>0</v>
      </c>
      <c r="BM51" s="7">
        <v>11</v>
      </c>
      <c r="BN51" s="7">
        <v>0</v>
      </c>
      <c r="BO51" s="7">
        <f>CHOOSE(MATCH(Setup!$B$5,{8,10,12,14,16},0),BE51,BG51,BI51,BK51,BM51)</f>
        <v>11</v>
      </c>
      <c r="BP51" s="7">
        <f>CHOOSE(MATCH(Setup!$B$5,{8,10,12,14,16},0),BF51,BH51,BJ51,BL51,BN51)</f>
        <v>0</v>
      </c>
      <c r="BQ51" s="7">
        <f>ROUND(1+BP51*'Live Calc'!$D$12,0)</f>
        <v>1</v>
      </c>
      <c r="BR51" s="7"/>
      <c r="BS51" s="7">
        <f>IF(BR51&lt;&gt;"",BR51,ROUND(BQ51*INDEX('Live Calc'!$D$63:$D$74,MATCH(BO51,'Live Calc'!$A$63:$A$74,0))*'Live Calc'!$J$78,0))</f>
        <v>1</v>
      </c>
    </row>
    <row r="52" spans="1:71" x14ac:dyDescent="0.25">
      <c r="A52" s="4" t="s">
        <v>256</v>
      </c>
      <c r="B52" s="4" t="s">
        <v>57</v>
      </c>
      <c r="C52" s="4">
        <v>7</v>
      </c>
      <c r="D52" s="4">
        <v>0</v>
      </c>
      <c r="E52" s="4">
        <v>8</v>
      </c>
      <c r="F52" s="4">
        <v>0</v>
      </c>
      <c r="G52" s="4">
        <v>7</v>
      </c>
      <c r="H52" s="4">
        <v>0</v>
      </c>
      <c r="I52" s="4">
        <v>8</v>
      </c>
      <c r="J52" s="4">
        <v>0</v>
      </c>
      <c r="K52" s="4">
        <v>8</v>
      </c>
      <c r="L52" s="4">
        <v>0</v>
      </c>
      <c r="M52" s="4">
        <f>CHOOSE(MATCH(Setup!$B$5,{8,10,12,14,16},0),C52,E52,G52,I52,K52)</f>
        <v>7</v>
      </c>
      <c r="N52" s="4">
        <f>CHOOSE(MATCH(Setup!$B$5,{8,10,12,14,16},0),D52,F52,H52,J52,L52)</f>
        <v>0</v>
      </c>
      <c r="O52" s="4">
        <f>ROUND(1+N52*'Live Calc'!$D$9,0)</f>
        <v>1</v>
      </c>
      <c r="P52" s="4"/>
      <c r="Q52" s="4">
        <f>IF(P52&lt;&gt;"",P52,ROUND(O52*INDEX('Live Calc'!$D$16:$D$23,MATCH(M52,'Live Calc'!$A$16:$A$23,0))*'Live Calc'!$J$78,0))</f>
        <v>1</v>
      </c>
      <c r="S52" s="5" t="s">
        <v>257</v>
      </c>
      <c r="T52" s="5" t="s">
        <v>95</v>
      </c>
      <c r="U52" s="5">
        <v>11</v>
      </c>
      <c r="V52" s="5">
        <v>0</v>
      </c>
      <c r="W52" s="5">
        <v>13</v>
      </c>
      <c r="X52" s="5">
        <v>0</v>
      </c>
      <c r="Y52" s="5">
        <v>13</v>
      </c>
      <c r="Z52" s="5">
        <v>0</v>
      </c>
      <c r="AA52" s="5">
        <v>14</v>
      </c>
      <c r="AB52" s="5">
        <v>0</v>
      </c>
      <c r="AC52" s="5">
        <v>14</v>
      </c>
      <c r="AD52" s="5">
        <v>0</v>
      </c>
      <c r="AE52" s="5">
        <f>CHOOSE(MATCH(Setup!$B$5,{8,10,12,14,16},0),U52,W52,Y52,AA52,AC52)</f>
        <v>13</v>
      </c>
      <c r="AF52" s="5">
        <f>CHOOSE(MATCH(Setup!$B$5,{8,10,12,14,16},0),V52,X52,Z52,AB52,AD52)</f>
        <v>0</v>
      </c>
      <c r="AG52" s="5">
        <f>ROUND(1+AF52*'Live Calc'!$D$10,0)</f>
        <v>1</v>
      </c>
      <c r="AH52" s="5"/>
      <c r="AI52" s="5">
        <f>IF(AH52&lt;&gt;"",AH52,ROUND(AG52*INDEX('Live Calc'!$D$27:$D$40,MATCH(AE52,'Live Calc'!$A$27:$A$40,0))*'Live Calc'!$J$78,0))</f>
        <v>1</v>
      </c>
      <c r="AK52" s="6" t="s">
        <v>258</v>
      </c>
      <c r="AL52" s="6" t="s">
        <v>24</v>
      </c>
      <c r="AM52" s="6">
        <v>12</v>
      </c>
      <c r="AN52" s="6">
        <v>0</v>
      </c>
      <c r="AO52" s="6">
        <v>13</v>
      </c>
      <c r="AP52" s="6">
        <v>9.5608000000000004</v>
      </c>
      <c r="AQ52" s="6">
        <v>13</v>
      </c>
      <c r="AR52" s="6">
        <v>37.689300000000003</v>
      </c>
      <c r="AS52" s="6">
        <v>12</v>
      </c>
      <c r="AT52" s="6">
        <v>22.158000000000001</v>
      </c>
      <c r="AU52" s="6">
        <v>12</v>
      </c>
      <c r="AV52" s="6">
        <v>13.922000000000001</v>
      </c>
      <c r="AW52" s="6">
        <f>CHOOSE(MATCH(Setup!$B$5,{8,10,12,14,16},0),AM52,AO52,AQ52,AS52,AU52)</f>
        <v>13</v>
      </c>
      <c r="AX52" s="6">
        <f>CHOOSE(MATCH(Setup!$B$5,{8,10,12,14,16},0),AN52,AP52,AR52,AT52,AV52)</f>
        <v>37.689300000000003</v>
      </c>
      <c r="AY52" s="6">
        <f>ROUND(1+AX52*'Live Calc'!$D$11,0)</f>
        <v>6</v>
      </c>
      <c r="AZ52" s="6"/>
      <c r="BA52" s="6">
        <f>IF(AZ52&lt;&gt;"",AZ52,ROUND(AY52*INDEX('Live Calc'!$D$44:$D$59,MATCH(AW52,'Live Calc'!$A$44:$A$59,0))*'Live Calc'!$J$78,0))</f>
        <v>6</v>
      </c>
      <c r="BC52" s="7" t="s">
        <v>259</v>
      </c>
      <c r="BD52" s="7" t="s">
        <v>123</v>
      </c>
      <c r="BE52" s="7">
        <v>7</v>
      </c>
      <c r="BF52" s="7">
        <v>0</v>
      </c>
      <c r="BG52" s="7">
        <v>8</v>
      </c>
      <c r="BH52" s="7">
        <v>0</v>
      </c>
      <c r="BI52" s="7">
        <v>11</v>
      </c>
      <c r="BJ52" s="7">
        <v>0</v>
      </c>
      <c r="BK52" s="7">
        <v>12</v>
      </c>
      <c r="BL52" s="7">
        <v>0</v>
      </c>
      <c r="BM52" s="7">
        <v>11</v>
      </c>
      <c r="BN52" s="7">
        <v>0</v>
      </c>
      <c r="BO52" s="7">
        <f>CHOOSE(MATCH(Setup!$B$5,{8,10,12,14,16},0),BE52,BG52,BI52,BK52,BM52)</f>
        <v>11</v>
      </c>
      <c r="BP52" s="7">
        <f>CHOOSE(MATCH(Setup!$B$5,{8,10,12,14,16},0),BF52,BH52,BJ52,BL52,BN52)</f>
        <v>0</v>
      </c>
      <c r="BQ52" s="7">
        <f>ROUND(1+BP52*'Live Calc'!$D$12,0)</f>
        <v>1</v>
      </c>
      <c r="BR52" s="7"/>
      <c r="BS52" s="7">
        <f>IF(BR52&lt;&gt;"",BR52,ROUND(BQ52*INDEX('Live Calc'!$D$63:$D$74,MATCH(BO52,'Live Calc'!$A$63:$A$74,0))*'Live Calc'!$J$78,0))</f>
        <v>1</v>
      </c>
    </row>
    <row r="53" spans="1:71" x14ac:dyDescent="0.25">
      <c r="A53" s="4" t="s">
        <v>260</v>
      </c>
      <c r="B53" s="4" t="s">
        <v>153</v>
      </c>
      <c r="C53" s="4">
        <v>7</v>
      </c>
      <c r="D53" s="4">
        <v>0</v>
      </c>
      <c r="E53" s="4">
        <v>8</v>
      </c>
      <c r="F53" s="4">
        <v>0</v>
      </c>
      <c r="G53" s="4">
        <v>7</v>
      </c>
      <c r="H53" s="4">
        <v>0</v>
      </c>
      <c r="I53" s="4">
        <v>8</v>
      </c>
      <c r="J53" s="4">
        <v>0</v>
      </c>
      <c r="K53" s="4">
        <v>8</v>
      </c>
      <c r="L53" s="4">
        <v>0</v>
      </c>
      <c r="M53" s="4">
        <f>CHOOSE(MATCH(Setup!$B$5,{8,10,12,14,16},0),C53,E53,G53,I53,K53)</f>
        <v>7</v>
      </c>
      <c r="N53" s="4">
        <f>CHOOSE(MATCH(Setup!$B$5,{8,10,12,14,16},0),D53,F53,H53,J53,L53)</f>
        <v>0</v>
      </c>
      <c r="O53" s="4">
        <f>ROUND(1+N53*'Live Calc'!$D$9,0)</f>
        <v>1</v>
      </c>
      <c r="P53" s="4"/>
      <c r="Q53" s="4">
        <f>IF(P53&lt;&gt;"",P53,ROUND(O53*INDEX('Live Calc'!$D$16:$D$23,MATCH(M53,'Live Calc'!$A$16:$A$23,0))*'Live Calc'!$J$78,0))</f>
        <v>1</v>
      </c>
      <c r="S53" s="5" t="s">
        <v>261</v>
      </c>
      <c r="T53" s="5" t="s">
        <v>88</v>
      </c>
      <c r="U53" s="5">
        <v>11</v>
      </c>
      <c r="V53" s="5">
        <v>0</v>
      </c>
      <c r="W53" s="5">
        <v>13</v>
      </c>
      <c r="X53" s="5">
        <v>0</v>
      </c>
      <c r="Y53" s="5">
        <v>13</v>
      </c>
      <c r="Z53" s="5">
        <v>0</v>
      </c>
      <c r="AA53" s="5">
        <v>14</v>
      </c>
      <c r="AB53" s="5">
        <v>0</v>
      </c>
      <c r="AC53" s="5">
        <v>14</v>
      </c>
      <c r="AD53" s="5">
        <v>0</v>
      </c>
      <c r="AE53" s="5">
        <f>CHOOSE(MATCH(Setup!$B$5,{8,10,12,14,16},0),U53,W53,Y53,AA53,AC53)</f>
        <v>13</v>
      </c>
      <c r="AF53" s="5">
        <f>CHOOSE(MATCH(Setup!$B$5,{8,10,12,14,16},0),V53,X53,Z53,AB53,AD53)</f>
        <v>0</v>
      </c>
      <c r="AG53" s="5">
        <f>ROUND(1+AF53*'Live Calc'!$D$10,0)</f>
        <v>1</v>
      </c>
      <c r="AH53" s="5"/>
      <c r="AI53" s="5">
        <f>IF(AH53&lt;&gt;"",AH53,ROUND(AG53*INDEX('Live Calc'!$D$27:$D$40,MATCH(AE53,'Live Calc'!$A$27:$A$40,0))*'Live Calc'!$J$78,0))</f>
        <v>1</v>
      </c>
      <c r="AK53" s="6" t="s">
        <v>262</v>
      </c>
      <c r="AL53" s="6" t="s">
        <v>85</v>
      </c>
      <c r="AM53" s="6">
        <v>12</v>
      </c>
      <c r="AN53" s="6">
        <v>0</v>
      </c>
      <c r="AO53" s="6">
        <v>14</v>
      </c>
      <c r="AP53" s="6">
        <v>5.5381</v>
      </c>
      <c r="AQ53" s="6">
        <v>13</v>
      </c>
      <c r="AR53" s="6">
        <v>32.763399999999997</v>
      </c>
      <c r="AS53" s="6">
        <v>12</v>
      </c>
      <c r="AT53" s="6">
        <v>19.466000000000001</v>
      </c>
      <c r="AU53" s="6">
        <v>12</v>
      </c>
      <c r="AV53" s="6">
        <v>12.470499999999999</v>
      </c>
      <c r="AW53" s="6">
        <f>CHOOSE(MATCH(Setup!$B$5,{8,10,12,14,16},0),AM53,AO53,AQ53,AS53,AU53)</f>
        <v>13</v>
      </c>
      <c r="AX53" s="6">
        <f>CHOOSE(MATCH(Setup!$B$5,{8,10,12,14,16},0),AN53,AP53,AR53,AT53,AV53)</f>
        <v>32.763399999999997</v>
      </c>
      <c r="AY53" s="6">
        <f>ROUND(1+AX53*'Live Calc'!$D$11,0)</f>
        <v>5</v>
      </c>
      <c r="AZ53" s="6"/>
      <c r="BA53" s="6">
        <f>IF(AZ53&lt;&gt;"",AZ53,ROUND(AY53*INDEX('Live Calc'!$D$44:$D$59,MATCH(AW53,'Live Calc'!$A$44:$A$59,0))*'Live Calc'!$J$78,0))</f>
        <v>5</v>
      </c>
      <c r="BC53" s="7" t="s">
        <v>263</v>
      </c>
      <c r="BD53" s="7" t="s">
        <v>70</v>
      </c>
      <c r="BE53" s="7">
        <v>7</v>
      </c>
      <c r="BF53" s="7">
        <v>0</v>
      </c>
      <c r="BG53" s="7">
        <v>8</v>
      </c>
      <c r="BH53" s="7">
        <v>0</v>
      </c>
      <c r="BI53" s="7">
        <v>11</v>
      </c>
      <c r="BJ53" s="7">
        <v>0</v>
      </c>
      <c r="BK53" s="7">
        <v>12</v>
      </c>
      <c r="BL53" s="7">
        <v>0</v>
      </c>
      <c r="BM53" s="7">
        <v>11</v>
      </c>
      <c r="BN53" s="7">
        <v>0</v>
      </c>
      <c r="BO53" s="7">
        <f>CHOOSE(MATCH(Setup!$B$5,{8,10,12,14,16},0),BE53,BG53,BI53,BK53,BM53)</f>
        <v>11</v>
      </c>
      <c r="BP53" s="7">
        <f>CHOOSE(MATCH(Setup!$B$5,{8,10,12,14,16},0),BF53,BH53,BJ53,BL53,BN53)</f>
        <v>0</v>
      </c>
      <c r="BQ53" s="7">
        <f>ROUND(1+BP53*'Live Calc'!$D$12,0)</f>
        <v>1</v>
      </c>
      <c r="BR53" s="7"/>
      <c r="BS53" s="7">
        <f>IF(BR53&lt;&gt;"",BR53,ROUND(BQ53*INDEX('Live Calc'!$D$63:$D$74,MATCH(BO53,'Live Calc'!$A$63:$A$74,0))*'Live Calc'!$J$78,0))</f>
        <v>1</v>
      </c>
    </row>
    <row r="54" spans="1:71" x14ac:dyDescent="0.25">
      <c r="A54" s="4" t="s">
        <v>264</v>
      </c>
      <c r="B54" s="4" t="s">
        <v>46</v>
      </c>
      <c r="C54" s="4">
        <v>7</v>
      </c>
      <c r="D54" s="4">
        <v>0</v>
      </c>
      <c r="E54" s="4">
        <v>8</v>
      </c>
      <c r="F54" s="4">
        <v>0</v>
      </c>
      <c r="G54" s="4">
        <v>7</v>
      </c>
      <c r="H54" s="4">
        <v>0</v>
      </c>
      <c r="I54" s="4">
        <v>8</v>
      </c>
      <c r="J54" s="4">
        <v>0</v>
      </c>
      <c r="K54" s="4">
        <v>8</v>
      </c>
      <c r="L54" s="4">
        <v>0</v>
      </c>
      <c r="M54" s="4">
        <f>CHOOSE(MATCH(Setup!$B$5,{8,10,12,14,16},0),C54,E54,G54,I54,K54)</f>
        <v>7</v>
      </c>
      <c r="N54" s="4">
        <f>CHOOSE(MATCH(Setup!$B$5,{8,10,12,14,16},0),D54,F54,H54,J54,L54)</f>
        <v>0</v>
      </c>
      <c r="O54" s="4">
        <f>ROUND(1+N54*'Live Calc'!$D$9,0)</f>
        <v>1</v>
      </c>
      <c r="P54" s="4"/>
      <c r="Q54" s="4">
        <f>IF(P54&lt;&gt;"",P54,ROUND(O54*INDEX('Live Calc'!$D$16:$D$23,MATCH(M54,'Live Calc'!$A$16:$A$23,0))*'Live Calc'!$J$78,0))</f>
        <v>1</v>
      </c>
      <c r="S54" s="5" t="s">
        <v>265</v>
      </c>
      <c r="T54" s="5" t="s">
        <v>102</v>
      </c>
      <c r="U54" s="5">
        <v>11</v>
      </c>
      <c r="V54" s="5">
        <v>0</v>
      </c>
      <c r="W54" s="5">
        <v>13</v>
      </c>
      <c r="X54" s="5">
        <v>0</v>
      </c>
      <c r="Y54" s="5">
        <v>13</v>
      </c>
      <c r="Z54" s="5">
        <v>0</v>
      </c>
      <c r="AA54" s="5">
        <v>14</v>
      </c>
      <c r="AB54" s="5">
        <v>0</v>
      </c>
      <c r="AC54" s="5">
        <v>14</v>
      </c>
      <c r="AD54" s="5">
        <v>0</v>
      </c>
      <c r="AE54" s="5">
        <f>CHOOSE(MATCH(Setup!$B$5,{8,10,12,14,16},0),U54,W54,Y54,AA54,AC54)</f>
        <v>13</v>
      </c>
      <c r="AF54" s="5">
        <f>CHOOSE(MATCH(Setup!$B$5,{8,10,12,14,16},0),V54,X54,Z54,AB54,AD54)</f>
        <v>0</v>
      </c>
      <c r="AG54" s="5">
        <f>ROUND(1+AF54*'Live Calc'!$D$10,0)</f>
        <v>1</v>
      </c>
      <c r="AH54" s="5"/>
      <c r="AI54" s="5">
        <f>IF(AH54&lt;&gt;"",AH54,ROUND(AG54*INDEX('Live Calc'!$D$27:$D$40,MATCH(AE54,'Live Calc'!$A$27:$A$40,0))*'Live Calc'!$J$78,0))</f>
        <v>1</v>
      </c>
      <c r="AK54" s="6" t="s">
        <v>266</v>
      </c>
      <c r="AL54" s="6" t="s">
        <v>65</v>
      </c>
      <c r="AM54" s="6">
        <v>12</v>
      </c>
      <c r="AN54" s="6">
        <v>0</v>
      </c>
      <c r="AO54" s="6">
        <v>14</v>
      </c>
      <c r="AP54" s="6">
        <v>2.1223999999999998</v>
      </c>
      <c r="AQ54" s="6">
        <v>13</v>
      </c>
      <c r="AR54" s="6">
        <v>28.263000000000002</v>
      </c>
      <c r="AS54" s="6">
        <v>12</v>
      </c>
      <c r="AT54" s="6">
        <v>16.96</v>
      </c>
      <c r="AU54" s="6">
        <v>12</v>
      </c>
      <c r="AV54" s="6">
        <v>11.0921</v>
      </c>
      <c r="AW54" s="6">
        <f>CHOOSE(MATCH(Setup!$B$5,{8,10,12,14,16},0),AM54,AO54,AQ54,AS54,AU54)</f>
        <v>13</v>
      </c>
      <c r="AX54" s="6">
        <f>CHOOSE(MATCH(Setup!$B$5,{8,10,12,14,16},0),AN54,AP54,AR54,AT54,AV54)</f>
        <v>28.263000000000002</v>
      </c>
      <c r="AY54" s="6">
        <f>ROUND(1+AX54*'Live Calc'!$D$11,0)</f>
        <v>5</v>
      </c>
      <c r="AZ54" s="6"/>
      <c r="BA54" s="6">
        <f>IF(AZ54&lt;&gt;"",AZ54,ROUND(AY54*INDEX('Live Calc'!$D$44:$D$59,MATCH(AW54,'Live Calc'!$A$44:$A$59,0))*'Live Calc'!$J$78,0))</f>
        <v>5</v>
      </c>
      <c r="BC54" s="7" t="s">
        <v>267</v>
      </c>
      <c r="BD54" s="7" t="s">
        <v>95</v>
      </c>
      <c r="BE54" s="7">
        <v>7</v>
      </c>
      <c r="BF54" s="7">
        <v>0</v>
      </c>
      <c r="BG54" s="7">
        <v>8</v>
      </c>
      <c r="BH54" s="7">
        <v>0</v>
      </c>
      <c r="BI54" s="7">
        <v>11</v>
      </c>
      <c r="BJ54" s="7">
        <v>0</v>
      </c>
      <c r="BK54" s="7">
        <v>12</v>
      </c>
      <c r="BL54" s="7">
        <v>0</v>
      </c>
      <c r="BM54" s="7">
        <v>11</v>
      </c>
      <c r="BN54" s="7">
        <v>0</v>
      </c>
      <c r="BO54" s="7">
        <f>CHOOSE(MATCH(Setup!$B$5,{8,10,12,14,16},0),BE54,BG54,BI54,BK54,BM54)</f>
        <v>11</v>
      </c>
      <c r="BP54" s="7">
        <f>CHOOSE(MATCH(Setup!$B$5,{8,10,12,14,16},0),BF54,BH54,BJ54,BL54,BN54)</f>
        <v>0</v>
      </c>
      <c r="BQ54" s="7">
        <f>ROUND(1+BP54*'Live Calc'!$D$12,0)</f>
        <v>1</v>
      </c>
      <c r="BR54" s="7"/>
      <c r="BS54" s="7">
        <f>IF(BR54&lt;&gt;"",BR54,ROUND(BQ54*INDEX('Live Calc'!$D$63:$D$74,MATCH(BO54,'Live Calc'!$A$63:$A$74,0))*'Live Calc'!$J$78,0))</f>
        <v>1</v>
      </c>
    </row>
    <row r="55" spans="1:71" x14ac:dyDescent="0.25">
      <c r="A55" s="4" t="s">
        <v>268</v>
      </c>
      <c r="B55" s="4" t="s">
        <v>30</v>
      </c>
      <c r="C55" s="4">
        <v>7</v>
      </c>
      <c r="D55" s="4">
        <v>0</v>
      </c>
      <c r="E55" s="4">
        <v>8</v>
      </c>
      <c r="F55" s="4">
        <v>0</v>
      </c>
      <c r="G55" s="4">
        <v>7</v>
      </c>
      <c r="H55" s="4">
        <v>0</v>
      </c>
      <c r="I55" s="4">
        <v>8</v>
      </c>
      <c r="J55" s="4">
        <v>0</v>
      </c>
      <c r="K55" s="4">
        <v>8</v>
      </c>
      <c r="L55" s="4">
        <v>0</v>
      </c>
      <c r="M55" s="4">
        <f>CHOOSE(MATCH(Setup!$B$5,{8,10,12,14,16},0),C55,E55,G55,I55,K55)</f>
        <v>7</v>
      </c>
      <c r="N55" s="4">
        <f>CHOOSE(MATCH(Setup!$B$5,{8,10,12,14,16},0),D55,F55,H55,J55,L55)</f>
        <v>0</v>
      </c>
      <c r="O55" s="4">
        <f>ROUND(1+N55*'Live Calc'!$D$9,0)</f>
        <v>1</v>
      </c>
      <c r="P55" s="4"/>
      <c r="Q55" s="4">
        <f>IF(P55&lt;&gt;"",P55,ROUND(O55*INDEX('Live Calc'!$D$16:$D$23,MATCH(M55,'Live Calc'!$A$16:$A$23,0))*'Live Calc'!$J$78,0))</f>
        <v>1</v>
      </c>
      <c r="S55" s="5" t="s">
        <v>269</v>
      </c>
      <c r="T55" s="5" t="s">
        <v>108</v>
      </c>
      <c r="U55" s="5">
        <v>11</v>
      </c>
      <c r="V55" s="5">
        <v>0</v>
      </c>
      <c r="W55" s="5">
        <v>13</v>
      </c>
      <c r="X55" s="5">
        <v>0</v>
      </c>
      <c r="Y55" s="5">
        <v>13</v>
      </c>
      <c r="Z55" s="5">
        <v>0</v>
      </c>
      <c r="AA55" s="5">
        <v>14</v>
      </c>
      <c r="AB55" s="5">
        <v>0</v>
      </c>
      <c r="AC55" s="5">
        <v>14</v>
      </c>
      <c r="AD55" s="5">
        <v>0</v>
      </c>
      <c r="AE55" s="5">
        <f>CHOOSE(MATCH(Setup!$B$5,{8,10,12,14,16},0),U55,W55,Y55,AA55,AC55)</f>
        <v>13</v>
      </c>
      <c r="AF55" s="5">
        <f>CHOOSE(MATCH(Setup!$B$5,{8,10,12,14,16},0),V55,X55,Z55,AB55,AD55)</f>
        <v>0</v>
      </c>
      <c r="AG55" s="5">
        <f>ROUND(1+AF55*'Live Calc'!$D$10,0)</f>
        <v>1</v>
      </c>
      <c r="AH55" s="5"/>
      <c r="AI55" s="5">
        <f>IF(AH55&lt;&gt;"",AH55,ROUND(AG55*INDEX('Live Calc'!$D$27:$D$40,MATCH(AE55,'Live Calc'!$A$27:$A$40,0))*'Live Calc'!$J$78,0))</f>
        <v>1</v>
      </c>
      <c r="AK55" s="6" t="s">
        <v>270</v>
      </c>
      <c r="AL55" s="6" t="s">
        <v>123</v>
      </c>
      <c r="AM55" s="6">
        <v>12</v>
      </c>
      <c r="AN55" s="6">
        <v>0</v>
      </c>
      <c r="AO55" s="6">
        <v>15</v>
      </c>
      <c r="AP55" s="6">
        <v>0</v>
      </c>
      <c r="AQ55" s="6">
        <v>13</v>
      </c>
      <c r="AR55" s="6">
        <v>24.869499999999999</v>
      </c>
      <c r="AS55" s="6">
        <v>12</v>
      </c>
      <c r="AT55" s="6">
        <v>15.036</v>
      </c>
      <c r="AU55" s="6">
        <v>12</v>
      </c>
      <c r="AV55" s="6">
        <v>10.013</v>
      </c>
      <c r="AW55" s="6">
        <f>CHOOSE(MATCH(Setup!$B$5,{8,10,12,14,16},0),AM55,AO55,AQ55,AS55,AU55)</f>
        <v>13</v>
      </c>
      <c r="AX55" s="6">
        <f>CHOOSE(MATCH(Setup!$B$5,{8,10,12,14,16},0),AN55,AP55,AR55,AT55,AV55)</f>
        <v>24.869499999999999</v>
      </c>
      <c r="AY55" s="6">
        <f>ROUND(1+AX55*'Live Calc'!$D$11,0)</f>
        <v>4</v>
      </c>
      <c r="AZ55" s="6"/>
      <c r="BA55" s="6">
        <f>IF(AZ55&lt;&gt;"",AZ55,ROUND(AY55*INDEX('Live Calc'!$D$44:$D$59,MATCH(AW55,'Live Calc'!$A$44:$A$59,0))*'Live Calc'!$J$78,0))</f>
        <v>4</v>
      </c>
      <c r="BC55" s="7" t="s">
        <v>271</v>
      </c>
      <c r="BD55" s="7" t="s">
        <v>95</v>
      </c>
      <c r="BE55" s="7">
        <v>7</v>
      </c>
      <c r="BF55" s="7">
        <v>0</v>
      </c>
      <c r="BG55" s="7">
        <v>8</v>
      </c>
      <c r="BH55" s="7">
        <v>0</v>
      </c>
      <c r="BI55" s="7">
        <v>11</v>
      </c>
      <c r="BJ55" s="7">
        <v>0</v>
      </c>
      <c r="BK55" s="7">
        <v>12</v>
      </c>
      <c r="BL55" s="7">
        <v>0</v>
      </c>
      <c r="BM55" s="7">
        <v>11</v>
      </c>
      <c r="BN55" s="7">
        <v>0</v>
      </c>
      <c r="BO55" s="7">
        <f>CHOOSE(MATCH(Setup!$B$5,{8,10,12,14,16},0),BE55,BG55,BI55,BK55,BM55)</f>
        <v>11</v>
      </c>
      <c r="BP55" s="7">
        <f>CHOOSE(MATCH(Setup!$B$5,{8,10,12,14,16},0),BF55,BH55,BJ55,BL55,BN55)</f>
        <v>0</v>
      </c>
      <c r="BQ55" s="7">
        <f>ROUND(1+BP55*'Live Calc'!$D$12,0)</f>
        <v>1</v>
      </c>
      <c r="BR55" s="7"/>
      <c r="BS55" s="7">
        <f>IF(BR55&lt;&gt;"",BR55,ROUND(BQ55*INDEX('Live Calc'!$D$63:$D$74,MATCH(BO55,'Live Calc'!$A$63:$A$74,0))*'Live Calc'!$J$78,0))</f>
        <v>1</v>
      </c>
    </row>
    <row r="56" spans="1:71" x14ac:dyDescent="0.25">
      <c r="A56" s="4" t="s">
        <v>272</v>
      </c>
      <c r="B56" s="4" t="s">
        <v>32</v>
      </c>
      <c r="C56" s="4">
        <v>7</v>
      </c>
      <c r="D56" s="4">
        <v>0</v>
      </c>
      <c r="E56" s="4">
        <v>8</v>
      </c>
      <c r="F56" s="4">
        <v>0</v>
      </c>
      <c r="G56" s="4">
        <v>7</v>
      </c>
      <c r="H56" s="4">
        <v>0</v>
      </c>
      <c r="I56" s="4">
        <v>8</v>
      </c>
      <c r="J56" s="4">
        <v>0</v>
      </c>
      <c r="K56" s="4">
        <v>8</v>
      </c>
      <c r="L56" s="4">
        <v>0</v>
      </c>
      <c r="M56" s="4">
        <f>CHOOSE(MATCH(Setup!$B$5,{8,10,12,14,16},0),C56,E56,G56,I56,K56)</f>
        <v>7</v>
      </c>
      <c r="N56" s="4">
        <f>CHOOSE(MATCH(Setup!$B$5,{8,10,12,14,16},0),D56,F56,H56,J56,L56)</f>
        <v>0</v>
      </c>
      <c r="O56" s="4">
        <f>ROUND(1+N56*'Live Calc'!$D$9,0)</f>
        <v>1</v>
      </c>
      <c r="P56" s="4"/>
      <c r="Q56" s="4">
        <f>IF(P56&lt;&gt;"",P56,ROUND(O56*INDEX('Live Calc'!$D$16:$D$23,MATCH(M56,'Live Calc'!$A$16:$A$23,0))*'Live Calc'!$J$78,0))</f>
        <v>1</v>
      </c>
      <c r="S56" s="5" t="s">
        <v>273</v>
      </c>
      <c r="T56" s="5" t="s">
        <v>32</v>
      </c>
      <c r="U56" s="5">
        <v>11</v>
      </c>
      <c r="V56" s="5">
        <v>0</v>
      </c>
      <c r="W56" s="5">
        <v>13</v>
      </c>
      <c r="X56" s="5">
        <v>0</v>
      </c>
      <c r="Y56" s="5">
        <v>13</v>
      </c>
      <c r="Z56" s="5">
        <v>0</v>
      </c>
      <c r="AA56" s="5">
        <v>14</v>
      </c>
      <c r="AB56" s="5">
        <v>0</v>
      </c>
      <c r="AC56" s="5">
        <v>14</v>
      </c>
      <c r="AD56" s="5">
        <v>0</v>
      </c>
      <c r="AE56" s="5">
        <f>CHOOSE(MATCH(Setup!$B$5,{8,10,12,14,16},0),U56,W56,Y56,AA56,AC56)</f>
        <v>13</v>
      </c>
      <c r="AF56" s="5">
        <f>CHOOSE(MATCH(Setup!$B$5,{8,10,12,14,16},0),V56,X56,Z56,AB56,AD56)</f>
        <v>0</v>
      </c>
      <c r="AG56" s="5">
        <f>ROUND(1+AF56*'Live Calc'!$D$10,0)</f>
        <v>1</v>
      </c>
      <c r="AH56" s="5"/>
      <c r="AI56" s="5">
        <f>IF(AH56&lt;&gt;"",AH56,ROUND(AG56*INDEX('Live Calc'!$D$27:$D$40,MATCH(AE56,'Live Calc'!$A$27:$A$40,0))*'Live Calc'!$J$78,0))</f>
        <v>1</v>
      </c>
      <c r="AK56" s="6" t="s">
        <v>274</v>
      </c>
      <c r="AL56" s="6" t="s">
        <v>235</v>
      </c>
      <c r="AM56" s="6">
        <v>12</v>
      </c>
      <c r="AN56" s="6">
        <v>0</v>
      </c>
      <c r="AO56" s="6">
        <v>15</v>
      </c>
      <c r="AP56" s="6">
        <v>0</v>
      </c>
      <c r="AQ56" s="6">
        <v>13</v>
      </c>
      <c r="AR56" s="6">
        <v>22.703199999999999</v>
      </c>
      <c r="AS56" s="6">
        <v>12</v>
      </c>
      <c r="AT56" s="6">
        <v>13.79</v>
      </c>
      <c r="AU56" s="6">
        <v>12</v>
      </c>
      <c r="AV56" s="6">
        <v>9.3031000000000006</v>
      </c>
      <c r="AW56" s="6">
        <f>CHOOSE(MATCH(Setup!$B$5,{8,10,12,14,16},0),AM56,AO56,AQ56,AS56,AU56)</f>
        <v>13</v>
      </c>
      <c r="AX56" s="6">
        <f>CHOOSE(MATCH(Setup!$B$5,{8,10,12,14,16},0),AN56,AP56,AR56,AT56,AV56)</f>
        <v>22.703199999999999</v>
      </c>
      <c r="AY56" s="6">
        <f>ROUND(1+AX56*'Live Calc'!$D$11,0)</f>
        <v>4</v>
      </c>
      <c r="AZ56" s="6"/>
      <c r="BA56" s="6">
        <f>IF(AZ56&lt;&gt;"",AZ56,ROUND(AY56*INDEX('Live Calc'!$D$44:$D$59,MATCH(AW56,'Live Calc'!$A$44:$A$59,0))*'Live Calc'!$J$78,0))</f>
        <v>4</v>
      </c>
      <c r="BC56" s="7" t="s">
        <v>275</v>
      </c>
      <c r="BD56" s="7" t="s">
        <v>36</v>
      </c>
      <c r="BE56" s="7">
        <v>7</v>
      </c>
      <c r="BF56" s="7">
        <v>0</v>
      </c>
      <c r="BG56" s="7">
        <v>8</v>
      </c>
      <c r="BH56" s="7">
        <v>0</v>
      </c>
      <c r="BI56" s="7">
        <v>11</v>
      </c>
      <c r="BJ56" s="7">
        <v>0</v>
      </c>
      <c r="BK56" s="7">
        <v>12</v>
      </c>
      <c r="BL56" s="7">
        <v>0</v>
      </c>
      <c r="BM56" s="7">
        <v>11</v>
      </c>
      <c r="BN56" s="7">
        <v>0</v>
      </c>
      <c r="BO56" s="7">
        <f>CHOOSE(MATCH(Setup!$B$5,{8,10,12,14,16},0),BE56,BG56,BI56,BK56,BM56)</f>
        <v>11</v>
      </c>
      <c r="BP56" s="7">
        <f>CHOOSE(MATCH(Setup!$B$5,{8,10,12,14,16},0),BF56,BH56,BJ56,BL56,BN56)</f>
        <v>0</v>
      </c>
      <c r="BQ56" s="7">
        <f>ROUND(1+BP56*'Live Calc'!$D$12,0)</f>
        <v>1</v>
      </c>
      <c r="BR56" s="7"/>
      <c r="BS56" s="7">
        <f>IF(BR56&lt;&gt;"",BR56,ROUND(BQ56*INDEX('Live Calc'!$D$63:$D$74,MATCH(BO56,'Live Calc'!$A$63:$A$74,0))*'Live Calc'!$J$78,0))</f>
        <v>1</v>
      </c>
    </row>
    <row r="57" spans="1:71" x14ac:dyDescent="0.25">
      <c r="S57" s="5" t="s">
        <v>276</v>
      </c>
      <c r="T57" s="5" t="s">
        <v>36</v>
      </c>
      <c r="U57" s="5">
        <v>11</v>
      </c>
      <c r="V57" s="5">
        <v>0</v>
      </c>
      <c r="W57" s="5">
        <v>13</v>
      </c>
      <c r="X57" s="5">
        <v>0</v>
      </c>
      <c r="Y57" s="5">
        <v>13</v>
      </c>
      <c r="Z57" s="5">
        <v>0</v>
      </c>
      <c r="AA57" s="5">
        <v>14</v>
      </c>
      <c r="AB57" s="5">
        <v>0</v>
      </c>
      <c r="AC57" s="5">
        <v>14</v>
      </c>
      <c r="AD57" s="5">
        <v>0</v>
      </c>
      <c r="AE57" s="5">
        <f>CHOOSE(MATCH(Setup!$B$5,{8,10,12,14,16},0),U57,W57,Y57,AA57,AC57)</f>
        <v>13</v>
      </c>
      <c r="AF57" s="5">
        <f>CHOOSE(MATCH(Setup!$B$5,{8,10,12,14,16},0),V57,X57,Z57,AB57,AD57)</f>
        <v>0</v>
      </c>
      <c r="AG57" s="5">
        <f>ROUND(1+AF57*'Live Calc'!$D$10,0)</f>
        <v>1</v>
      </c>
      <c r="AH57" s="5"/>
      <c r="AI57" s="5">
        <f>IF(AH57&lt;&gt;"",AH57,ROUND(AG57*INDEX('Live Calc'!$D$27:$D$40,MATCH(AE57,'Live Calc'!$A$27:$A$40,0))*'Live Calc'!$J$78,0))</f>
        <v>1</v>
      </c>
      <c r="AK57" s="6" t="s">
        <v>277</v>
      </c>
      <c r="AL57" s="6" t="s">
        <v>44</v>
      </c>
      <c r="AM57" s="6">
        <v>12</v>
      </c>
      <c r="AN57" s="6">
        <v>0</v>
      </c>
      <c r="AO57" s="6">
        <v>15</v>
      </c>
      <c r="AP57" s="6">
        <v>0</v>
      </c>
      <c r="AQ57" s="6">
        <v>14</v>
      </c>
      <c r="AR57" s="6">
        <v>16.512</v>
      </c>
      <c r="AS57" s="6">
        <v>12</v>
      </c>
      <c r="AT57" s="6">
        <v>10.135999999999999</v>
      </c>
      <c r="AU57" s="6">
        <v>12</v>
      </c>
      <c r="AV57" s="6">
        <v>7.1612</v>
      </c>
      <c r="AW57" s="6">
        <f>CHOOSE(MATCH(Setup!$B$5,{8,10,12,14,16},0),AM57,AO57,AQ57,AS57,AU57)</f>
        <v>14</v>
      </c>
      <c r="AX57" s="6">
        <f>CHOOSE(MATCH(Setup!$B$5,{8,10,12,14,16},0),AN57,AP57,AR57,AT57,AV57)</f>
        <v>16.512</v>
      </c>
      <c r="AY57" s="6">
        <f>ROUND(1+AX57*'Live Calc'!$D$11,0)</f>
        <v>3</v>
      </c>
      <c r="AZ57" s="6"/>
      <c r="BA57" s="6">
        <f>IF(AZ57&lt;&gt;"",AZ57,ROUND(AY57*INDEX('Live Calc'!$D$44:$D$59,MATCH(AW57,'Live Calc'!$A$44:$A$59,0))*'Live Calc'!$J$78,0))</f>
        <v>3</v>
      </c>
      <c r="BC57" s="7" t="s">
        <v>278</v>
      </c>
      <c r="BD57" s="7" t="s">
        <v>34</v>
      </c>
      <c r="BE57" s="7">
        <v>7</v>
      </c>
      <c r="BF57" s="7">
        <v>0</v>
      </c>
      <c r="BG57" s="7">
        <v>8</v>
      </c>
      <c r="BH57" s="7">
        <v>0</v>
      </c>
      <c r="BI57" s="7">
        <v>11</v>
      </c>
      <c r="BJ57" s="7">
        <v>0</v>
      </c>
      <c r="BK57" s="7">
        <v>12</v>
      </c>
      <c r="BL57" s="7">
        <v>0</v>
      </c>
      <c r="BM57" s="7">
        <v>11</v>
      </c>
      <c r="BN57" s="7">
        <v>0</v>
      </c>
      <c r="BO57" s="7">
        <f>CHOOSE(MATCH(Setup!$B$5,{8,10,12,14,16},0),BE57,BG57,BI57,BK57,BM57)</f>
        <v>11</v>
      </c>
      <c r="BP57" s="7">
        <f>CHOOSE(MATCH(Setup!$B$5,{8,10,12,14,16},0),BF57,BH57,BJ57,BL57,BN57)</f>
        <v>0</v>
      </c>
      <c r="BQ57" s="7">
        <f>ROUND(1+BP57*'Live Calc'!$D$12,0)</f>
        <v>1</v>
      </c>
      <c r="BR57" s="7"/>
      <c r="BS57" s="7">
        <f>IF(BR57&lt;&gt;"",BR57,ROUND(BQ57*INDEX('Live Calc'!$D$63:$D$74,MATCH(BO57,'Live Calc'!$A$63:$A$74,0))*'Live Calc'!$J$78,0))</f>
        <v>1</v>
      </c>
    </row>
    <row r="58" spans="1:71" x14ac:dyDescent="0.25">
      <c r="S58" s="5" t="s">
        <v>279</v>
      </c>
      <c r="T58" s="5" t="s">
        <v>38</v>
      </c>
      <c r="U58" s="5">
        <v>11</v>
      </c>
      <c r="V58" s="5">
        <v>0</v>
      </c>
      <c r="W58" s="5">
        <v>13</v>
      </c>
      <c r="X58" s="5">
        <v>0</v>
      </c>
      <c r="Y58" s="5">
        <v>13</v>
      </c>
      <c r="Z58" s="5">
        <v>0</v>
      </c>
      <c r="AA58" s="5">
        <v>14</v>
      </c>
      <c r="AB58" s="5">
        <v>0</v>
      </c>
      <c r="AC58" s="5">
        <v>14</v>
      </c>
      <c r="AD58" s="5">
        <v>0</v>
      </c>
      <c r="AE58" s="5">
        <f>CHOOSE(MATCH(Setup!$B$5,{8,10,12,14,16},0),U58,W58,Y58,AA58,AC58)</f>
        <v>13</v>
      </c>
      <c r="AF58" s="5">
        <f>CHOOSE(MATCH(Setup!$B$5,{8,10,12,14,16},0),V58,X58,Z58,AB58,AD58)</f>
        <v>0</v>
      </c>
      <c r="AG58" s="5">
        <f>ROUND(1+AF58*'Live Calc'!$D$10,0)</f>
        <v>1</v>
      </c>
      <c r="AH58" s="5"/>
      <c r="AI58" s="5">
        <f>IF(AH58&lt;&gt;"",AH58,ROUND(AG58*INDEX('Live Calc'!$D$27:$D$40,MATCH(AE58,'Live Calc'!$A$27:$A$40,0))*'Live Calc'!$J$78,0))</f>
        <v>1</v>
      </c>
      <c r="AK58" s="6" t="s">
        <v>280</v>
      </c>
      <c r="AL58" s="6" t="s">
        <v>59</v>
      </c>
      <c r="AM58" s="6">
        <v>12</v>
      </c>
      <c r="AN58" s="6">
        <v>0</v>
      </c>
      <c r="AO58" s="6">
        <v>15</v>
      </c>
      <c r="AP58" s="6">
        <v>0</v>
      </c>
      <c r="AQ58" s="6">
        <v>15</v>
      </c>
      <c r="AR58" s="6">
        <v>4.4519000000000002</v>
      </c>
      <c r="AS58" s="6">
        <v>13</v>
      </c>
      <c r="AT58" s="6">
        <v>2.3460000000000001</v>
      </c>
      <c r="AU58" s="6">
        <v>13</v>
      </c>
      <c r="AV58" s="6">
        <v>2.0642999999999998</v>
      </c>
      <c r="AW58" s="6">
        <f>CHOOSE(MATCH(Setup!$B$5,{8,10,12,14,16},0),AM58,AO58,AQ58,AS58,AU58)</f>
        <v>15</v>
      </c>
      <c r="AX58" s="6">
        <f>CHOOSE(MATCH(Setup!$B$5,{8,10,12,14,16},0),AN58,AP58,AR58,AT58,AV58)</f>
        <v>4.4519000000000002</v>
      </c>
      <c r="AY58" s="6">
        <f>ROUND(1+AX58*'Live Calc'!$D$11,0)</f>
        <v>2</v>
      </c>
      <c r="AZ58" s="6"/>
      <c r="BA58" s="6">
        <f>IF(AZ58&lt;&gt;"",AZ58,ROUND(AY58*INDEX('Live Calc'!$D$44:$D$59,MATCH(AW58,'Live Calc'!$A$44:$A$59,0))*'Live Calc'!$J$78,0))</f>
        <v>2</v>
      </c>
      <c r="BC58" s="7" t="s">
        <v>281</v>
      </c>
      <c r="BD58" s="7" t="s">
        <v>40</v>
      </c>
      <c r="BE58" s="7">
        <v>7</v>
      </c>
      <c r="BF58" s="7">
        <v>0</v>
      </c>
      <c r="BG58" s="7">
        <v>8</v>
      </c>
      <c r="BH58" s="7">
        <v>0</v>
      </c>
      <c r="BI58" s="7">
        <v>11</v>
      </c>
      <c r="BJ58" s="7">
        <v>0</v>
      </c>
      <c r="BK58" s="7">
        <v>12</v>
      </c>
      <c r="BL58" s="7">
        <v>0</v>
      </c>
      <c r="BM58" s="7">
        <v>11</v>
      </c>
      <c r="BN58" s="7">
        <v>0</v>
      </c>
      <c r="BO58" s="7">
        <f>CHOOSE(MATCH(Setup!$B$5,{8,10,12,14,16},0),BE58,BG58,BI58,BK58,BM58)</f>
        <v>11</v>
      </c>
      <c r="BP58" s="7">
        <f>CHOOSE(MATCH(Setup!$B$5,{8,10,12,14,16},0),BF58,BH58,BJ58,BL58,BN58)</f>
        <v>0</v>
      </c>
      <c r="BQ58" s="7">
        <f>ROUND(1+BP58*'Live Calc'!$D$12,0)</f>
        <v>1</v>
      </c>
      <c r="BR58" s="7"/>
      <c r="BS58" s="7">
        <f>IF(BR58&lt;&gt;"",BR58,ROUND(BQ58*INDEX('Live Calc'!$D$63:$D$74,MATCH(BO58,'Live Calc'!$A$63:$A$74,0))*'Live Calc'!$J$78,0))</f>
        <v>1</v>
      </c>
    </row>
    <row r="59" spans="1:71" x14ac:dyDescent="0.25">
      <c r="S59" s="5" t="s">
        <v>282</v>
      </c>
      <c r="T59" s="5" t="s">
        <v>24</v>
      </c>
      <c r="U59" s="5">
        <v>11</v>
      </c>
      <c r="V59" s="5">
        <v>0</v>
      </c>
      <c r="W59" s="5">
        <v>13</v>
      </c>
      <c r="X59" s="5">
        <v>0</v>
      </c>
      <c r="Y59" s="5">
        <v>13</v>
      </c>
      <c r="Z59" s="5">
        <v>0</v>
      </c>
      <c r="AA59" s="5">
        <v>14</v>
      </c>
      <c r="AB59" s="5">
        <v>0</v>
      </c>
      <c r="AC59" s="5">
        <v>14</v>
      </c>
      <c r="AD59" s="5">
        <v>0</v>
      </c>
      <c r="AE59" s="5">
        <f>CHOOSE(MATCH(Setup!$B$5,{8,10,12,14,16},0),U59,W59,Y59,AA59,AC59)</f>
        <v>13</v>
      </c>
      <c r="AF59" s="5">
        <f>CHOOSE(MATCH(Setup!$B$5,{8,10,12,14,16},0),V59,X59,Z59,AB59,AD59)</f>
        <v>0</v>
      </c>
      <c r="AG59" s="5">
        <f>ROUND(1+AF59*'Live Calc'!$D$10,0)</f>
        <v>1</v>
      </c>
      <c r="AH59" s="5"/>
      <c r="AI59" s="5">
        <f>IF(AH59&lt;&gt;"",AH59,ROUND(AG59*INDEX('Live Calc'!$D$27:$D$40,MATCH(AE59,'Live Calc'!$A$27:$A$40,0))*'Live Calc'!$J$78,0))</f>
        <v>1</v>
      </c>
      <c r="AK59" s="6" t="s">
        <v>283</v>
      </c>
      <c r="AL59" s="6" t="s">
        <v>108</v>
      </c>
      <c r="AM59" s="6">
        <v>12</v>
      </c>
      <c r="AN59" s="6">
        <v>0</v>
      </c>
      <c r="AO59" s="6">
        <v>15</v>
      </c>
      <c r="AP59" s="6">
        <v>0</v>
      </c>
      <c r="AQ59" s="6">
        <v>15</v>
      </c>
      <c r="AR59" s="6">
        <v>2.5150999999999999</v>
      </c>
      <c r="AS59" s="6">
        <v>13</v>
      </c>
      <c r="AT59" s="6">
        <v>0.91200000000000003</v>
      </c>
      <c r="AU59" s="6">
        <v>13</v>
      </c>
      <c r="AV59" s="6">
        <v>0.92469999999999997</v>
      </c>
      <c r="AW59" s="6">
        <f>CHOOSE(MATCH(Setup!$B$5,{8,10,12,14,16},0),AM59,AO59,AQ59,AS59,AU59)</f>
        <v>15</v>
      </c>
      <c r="AX59" s="6">
        <f>CHOOSE(MATCH(Setup!$B$5,{8,10,12,14,16},0),AN59,AP59,AR59,AT59,AV59)</f>
        <v>2.5150999999999999</v>
      </c>
      <c r="AY59" s="6">
        <f>ROUND(1+AX59*'Live Calc'!$D$11,0)</f>
        <v>1</v>
      </c>
      <c r="AZ59" s="6"/>
      <c r="BA59" s="6">
        <f>IF(AZ59&lt;&gt;"",AZ59,ROUND(AY59*INDEX('Live Calc'!$D$44:$D$59,MATCH(AW59,'Live Calc'!$A$44:$A$59,0))*'Live Calc'!$J$78,0))</f>
        <v>1</v>
      </c>
      <c r="BC59" s="7" t="s">
        <v>284</v>
      </c>
      <c r="BD59" s="7" t="s">
        <v>88</v>
      </c>
      <c r="BE59" s="7">
        <v>7</v>
      </c>
      <c r="BF59" s="7">
        <v>0</v>
      </c>
      <c r="BG59" s="7">
        <v>8</v>
      </c>
      <c r="BH59" s="7">
        <v>0</v>
      </c>
      <c r="BI59" s="7">
        <v>11</v>
      </c>
      <c r="BJ59" s="7">
        <v>0</v>
      </c>
      <c r="BK59" s="7">
        <v>12</v>
      </c>
      <c r="BL59" s="7">
        <v>0</v>
      </c>
      <c r="BM59" s="7">
        <v>11</v>
      </c>
      <c r="BN59" s="7">
        <v>0</v>
      </c>
      <c r="BO59" s="7">
        <f>CHOOSE(MATCH(Setup!$B$5,{8,10,12,14,16},0),BE59,BG59,BI59,BK59,BM59)</f>
        <v>11</v>
      </c>
      <c r="BP59" s="7">
        <f>CHOOSE(MATCH(Setup!$B$5,{8,10,12,14,16},0),BF59,BH59,BJ59,BL59,BN59)</f>
        <v>0</v>
      </c>
      <c r="BQ59" s="7">
        <f>ROUND(1+BP59*'Live Calc'!$D$12,0)</f>
        <v>1</v>
      </c>
      <c r="BR59" s="7"/>
      <c r="BS59" s="7">
        <f>IF(BR59&lt;&gt;"",BR59,ROUND(BQ59*INDEX('Live Calc'!$D$63:$D$74,MATCH(BO59,'Live Calc'!$A$63:$A$74,0))*'Live Calc'!$J$78,0))</f>
        <v>1</v>
      </c>
    </row>
    <row r="60" spans="1:71" x14ac:dyDescent="0.25">
      <c r="S60" s="5" t="s">
        <v>285</v>
      </c>
      <c r="T60" s="5" t="s">
        <v>54</v>
      </c>
      <c r="U60" s="5">
        <v>11</v>
      </c>
      <c r="V60" s="5">
        <v>0</v>
      </c>
      <c r="W60" s="5">
        <v>13</v>
      </c>
      <c r="X60" s="5">
        <v>0</v>
      </c>
      <c r="Y60" s="5">
        <v>13</v>
      </c>
      <c r="Z60" s="5">
        <v>0</v>
      </c>
      <c r="AA60" s="5">
        <v>14</v>
      </c>
      <c r="AB60" s="5">
        <v>0</v>
      </c>
      <c r="AC60" s="5">
        <v>14</v>
      </c>
      <c r="AD60" s="5">
        <v>0</v>
      </c>
      <c r="AE60" s="5">
        <f>CHOOSE(MATCH(Setup!$B$5,{8,10,12,14,16},0),U60,W60,Y60,AA60,AC60)</f>
        <v>13</v>
      </c>
      <c r="AF60" s="5">
        <f>CHOOSE(MATCH(Setup!$B$5,{8,10,12,14,16},0),V60,X60,Z60,AB60,AD60)</f>
        <v>0</v>
      </c>
      <c r="AG60" s="5">
        <f>ROUND(1+AF60*'Live Calc'!$D$10,0)</f>
        <v>1</v>
      </c>
      <c r="AH60" s="5"/>
      <c r="AI60" s="5">
        <f>IF(AH60&lt;&gt;"",AH60,ROUND(AG60*INDEX('Live Calc'!$D$27:$D$40,MATCH(AE60,'Live Calc'!$A$27:$A$40,0))*'Live Calc'!$J$78,0))</f>
        <v>1</v>
      </c>
      <c r="AK60" s="6" t="s">
        <v>286</v>
      </c>
      <c r="AL60" s="6" t="s">
        <v>38</v>
      </c>
      <c r="AM60" s="6">
        <v>12</v>
      </c>
      <c r="AN60" s="6">
        <v>0</v>
      </c>
      <c r="AO60" s="6">
        <v>15</v>
      </c>
      <c r="AP60" s="6">
        <v>0</v>
      </c>
      <c r="AQ60" s="6">
        <v>15</v>
      </c>
      <c r="AR60" s="6">
        <v>1.8683000000000001</v>
      </c>
      <c r="AS60" s="6">
        <v>13</v>
      </c>
      <c r="AT60" s="6">
        <v>0.40400000000000003</v>
      </c>
      <c r="AU60" s="6">
        <v>13</v>
      </c>
      <c r="AV60" s="6">
        <v>0.46279999999999999</v>
      </c>
      <c r="AW60" s="6">
        <f>CHOOSE(MATCH(Setup!$B$5,{8,10,12,14,16},0),AM60,AO60,AQ60,AS60,AU60)</f>
        <v>15</v>
      </c>
      <c r="AX60" s="6">
        <f>CHOOSE(MATCH(Setup!$B$5,{8,10,12,14,16},0),AN60,AP60,AR60,AT60,AV60)</f>
        <v>1.8683000000000001</v>
      </c>
      <c r="AY60" s="6">
        <f>ROUND(1+AX60*'Live Calc'!$D$11,0)</f>
        <v>1</v>
      </c>
      <c r="AZ60" s="6"/>
      <c r="BA60" s="6">
        <f>IF(AZ60&lt;&gt;"",AZ60,ROUND(AY60*INDEX('Live Calc'!$D$44:$D$59,MATCH(AW60,'Live Calc'!$A$44:$A$59,0))*'Live Calc'!$J$78,0))</f>
        <v>1</v>
      </c>
      <c r="BC60" s="7" t="s">
        <v>287</v>
      </c>
      <c r="BD60" s="7" t="s">
        <v>26</v>
      </c>
      <c r="BE60" s="7">
        <v>7</v>
      </c>
      <c r="BF60" s="7">
        <v>0</v>
      </c>
      <c r="BG60" s="7">
        <v>8</v>
      </c>
      <c r="BH60" s="7">
        <v>0</v>
      </c>
      <c r="BI60" s="7">
        <v>11</v>
      </c>
      <c r="BJ60" s="7">
        <v>0</v>
      </c>
      <c r="BK60" s="7">
        <v>12</v>
      </c>
      <c r="BL60" s="7">
        <v>0</v>
      </c>
      <c r="BM60" s="7">
        <v>11</v>
      </c>
      <c r="BN60" s="7">
        <v>0</v>
      </c>
      <c r="BO60" s="7">
        <f>CHOOSE(MATCH(Setup!$B$5,{8,10,12,14,16},0),BE60,BG60,BI60,BK60,BM60)</f>
        <v>11</v>
      </c>
      <c r="BP60" s="7">
        <f>CHOOSE(MATCH(Setup!$B$5,{8,10,12,14,16},0),BF60,BH60,BJ60,BL60,BN60)</f>
        <v>0</v>
      </c>
      <c r="BQ60" s="7">
        <f>ROUND(1+BP60*'Live Calc'!$D$12,0)</f>
        <v>1</v>
      </c>
      <c r="BR60" s="7"/>
      <c r="BS60" s="7">
        <f>IF(BR60&lt;&gt;"",BR60,ROUND(BQ60*INDEX('Live Calc'!$D$63:$D$74,MATCH(BO60,'Live Calc'!$A$63:$A$74,0))*'Live Calc'!$J$78,0))</f>
        <v>1</v>
      </c>
    </row>
    <row r="61" spans="1:71" x14ac:dyDescent="0.25">
      <c r="S61" s="5" t="s">
        <v>288</v>
      </c>
      <c r="T61" s="5" t="s">
        <v>80</v>
      </c>
      <c r="U61" s="5">
        <v>11</v>
      </c>
      <c r="V61" s="5">
        <v>0</v>
      </c>
      <c r="W61" s="5">
        <v>13</v>
      </c>
      <c r="X61" s="5">
        <v>0</v>
      </c>
      <c r="Y61" s="5">
        <v>13</v>
      </c>
      <c r="Z61" s="5">
        <v>0</v>
      </c>
      <c r="AA61" s="5">
        <v>14</v>
      </c>
      <c r="AB61" s="5">
        <v>0</v>
      </c>
      <c r="AC61" s="5">
        <v>14</v>
      </c>
      <c r="AD61" s="5">
        <v>0</v>
      </c>
      <c r="AE61" s="5">
        <f>CHOOSE(MATCH(Setup!$B$5,{8,10,12,14,16},0),U61,W61,Y61,AA61,AC61)</f>
        <v>13</v>
      </c>
      <c r="AF61" s="5">
        <f>CHOOSE(MATCH(Setup!$B$5,{8,10,12,14,16},0),V61,X61,Z61,AB61,AD61)</f>
        <v>0</v>
      </c>
      <c r="AG61" s="5">
        <f>ROUND(1+AF61*'Live Calc'!$D$10,0)</f>
        <v>1</v>
      </c>
      <c r="AH61" s="5"/>
      <c r="AI61" s="5">
        <f>IF(AH61&lt;&gt;"",AH61,ROUND(AG61*INDEX('Live Calc'!$D$27:$D$40,MATCH(AE61,'Live Calc'!$A$27:$A$40,0))*'Live Calc'!$J$78,0))</f>
        <v>1</v>
      </c>
      <c r="AK61" s="6" t="s">
        <v>289</v>
      </c>
      <c r="AL61" s="6" t="s">
        <v>59</v>
      </c>
      <c r="AM61" s="6">
        <v>12</v>
      </c>
      <c r="AN61" s="6">
        <v>0</v>
      </c>
      <c r="AO61" s="6">
        <v>15</v>
      </c>
      <c r="AP61" s="6">
        <v>0</v>
      </c>
      <c r="AQ61" s="6">
        <v>15</v>
      </c>
      <c r="AR61" s="6">
        <v>1.3736999999999999</v>
      </c>
      <c r="AS61" s="6">
        <v>14</v>
      </c>
      <c r="AT61" s="6">
        <v>0</v>
      </c>
      <c r="AU61" s="6">
        <v>14</v>
      </c>
      <c r="AV61" s="6">
        <v>0</v>
      </c>
      <c r="AW61" s="6">
        <f>CHOOSE(MATCH(Setup!$B$5,{8,10,12,14,16},0),AM61,AO61,AQ61,AS61,AU61)</f>
        <v>15</v>
      </c>
      <c r="AX61" s="6">
        <f>CHOOSE(MATCH(Setup!$B$5,{8,10,12,14,16},0),AN61,AP61,AR61,AT61,AV61)</f>
        <v>1.3736999999999999</v>
      </c>
      <c r="AY61" s="6">
        <f>ROUND(1+AX61*'Live Calc'!$D$11,0)</f>
        <v>1</v>
      </c>
      <c r="AZ61" s="6"/>
      <c r="BA61" s="6">
        <f>IF(AZ61&lt;&gt;"",AZ61,ROUND(AY61*INDEX('Live Calc'!$D$44:$D$59,MATCH(AW61,'Live Calc'!$A$44:$A$59,0))*'Live Calc'!$J$78,0))</f>
        <v>1</v>
      </c>
      <c r="BC61" s="7" t="s">
        <v>290</v>
      </c>
      <c r="BD61" s="7" t="s">
        <v>65</v>
      </c>
      <c r="BE61" s="7">
        <v>7</v>
      </c>
      <c r="BF61" s="7">
        <v>0</v>
      </c>
      <c r="BG61" s="7">
        <v>8</v>
      </c>
      <c r="BH61" s="7">
        <v>0</v>
      </c>
      <c r="BI61" s="7">
        <v>11</v>
      </c>
      <c r="BJ61" s="7">
        <v>0</v>
      </c>
      <c r="BK61" s="7">
        <v>12</v>
      </c>
      <c r="BL61" s="7">
        <v>0</v>
      </c>
      <c r="BM61" s="7">
        <v>11</v>
      </c>
      <c r="BN61" s="7">
        <v>0</v>
      </c>
      <c r="BO61" s="7">
        <f>CHOOSE(MATCH(Setup!$B$5,{8,10,12,14,16},0),BE61,BG61,BI61,BK61,BM61)</f>
        <v>11</v>
      </c>
      <c r="BP61" s="7">
        <f>CHOOSE(MATCH(Setup!$B$5,{8,10,12,14,16},0),BF61,BH61,BJ61,BL61,BN61)</f>
        <v>0</v>
      </c>
      <c r="BQ61" s="7">
        <f>ROUND(1+BP61*'Live Calc'!$D$12,0)</f>
        <v>1</v>
      </c>
      <c r="BR61" s="7"/>
      <c r="BS61" s="7">
        <f>IF(BR61&lt;&gt;"",BR61,ROUND(BQ61*INDEX('Live Calc'!$D$63:$D$74,MATCH(BO61,'Live Calc'!$A$63:$A$74,0))*'Live Calc'!$J$78,0))</f>
        <v>1</v>
      </c>
    </row>
    <row r="62" spans="1:71" x14ac:dyDescent="0.25">
      <c r="S62" s="5" t="s">
        <v>291</v>
      </c>
      <c r="T62" s="5" t="s">
        <v>44</v>
      </c>
      <c r="U62" s="5">
        <v>11</v>
      </c>
      <c r="V62" s="5">
        <v>0</v>
      </c>
      <c r="W62" s="5">
        <v>13</v>
      </c>
      <c r="X62" s="5">
        <v>0</v>
      </c>
      <c r="Y62" s="5">
        <v>13</v>
      </c>
      <c r="Z62" s="5">
        <v>0</v>
      </c>
      <c r="AA62" s="5">
        <v>14</v>
      </c>
      <c r="AB62" s="5">
        <v>0</v>
      </c>
      <c r="AC62" s="5">
        <v>14</v>
      </c>
      <c r="AD62" s="5">
        <v>0</v>
      </c>
      <c r="AE62" s="5">
        <f>CHOOSE(MATCH(Setup!$B$5,{8,10,12,14,16},0),U62,W62,Y62,AA62,AC62)</f>
        <v>13</v>
      </c>
      <c r="AF62" s="5">
        <f>CHOOSE(MATCH(Setup!$B$5,{8,10,12,14,16},0),V62,X62,Z62,AB62,AD62)</f>
        <v>0</v>
      </c>
      <c r="AG62" s="5">
        <f>ROUND(1+AF62*'Live Calc'!$D$10,0)</f>
        <v>1</v>
      </c>
      <c r="AH62" s="5"/>
      <c r="AI62" s="5">
        <f>IF(AH62&lt;&gt;"",AH62,ROUND(AG62*INDEX('Live Calc'!$D$27:$D$40,MATCH(AE62,'Live Calc'!$A$27:$A$40,0))*'Live Calc'!$J$78,0))</f>
        <v>1</v>
      </c>
      <c r="AK62" s="6" t="s">
        <v>292</v>
      </c>
      <c r="AL62" s="6" t="s">
        <v>235</v>
      </c>
      <c r="AM62" s="6">
        <v>12</v>
      </c>
      <c r="AN62" s="6">
        <v>0</v>
      </c>
      <c r="AO62" s="6">
        <v>15</v>
      </c>
      <c r="AP62" s="6">
        <v>0</v>
      </c>
      <c r="AQ62" s="6">
        <v>15</v>
      </c>
      <c r="AR62" s="6">
        <v>1.1157999999999999</v>
      </c>
      <c r="AS62" s="6">
        <v>14</v>
      </c>
      <c r="AT62" s="6">
        <v>0</v>
      </c>
      <c r="AU62" s="6">
        <v>14</v>
      </c>
      <c r="AV62" s="6">
        <v>0</v>
      </c>
      <c r="AW62" s="6">
        <f>CHOOSE(MATCH(Setup!$B$5,{8,10,12,14,16},0),AM62,AO62,AQ62,AS62,AU62)</f>
        <v>15</v>
      </c>
      <c r="AX62" s="6">
        <f>CHOOSE(MATCH(Setup!$B$5,{8,10,12,14,16},0),AN62,AP62,AR62,AT62,AV62)</f>
        <v>1.1157999999999999</v>
      </c>
      <c r="AY62" s="6">
        <f>ROUND(1+AX62*'Live Calc'!$D$11,0)</f>
        <v>1</v>
      </c>
      <c r="AZ62" s="6"/>
      <c r="BA62" s="6">
        <f>IF(AZ62&lt;&gt;"",AZ62,ROUND(AY62*INDEX('Live Calc'!$D$44:$D$59,MATCH(AW62,'Live Calc'!$A$44:$A$59,0))*'Live Calc'!$J$78,0))</f>
        <v>1</v>
      </c>
      <c r="BC62" s="7" t="s">
        <v>293</v>
      </c>
      <c r="BD62" s="7" t="s">
        <v>28</v>
      </c>
      <c r="BE62" s="7">
        <v>7</v>
      </c>
      <c r="BF62" s="7">
        <v>0</v>
      </c>
      <c r="BG62" s="7">
        <v>8</v>
      </c>
      <c r="BH62" s="7">
        <v>0</v>
      </c>
      <c r="BI62" s="7">
        <v>11</v>
      </c>
      <c r="BJ62" s="7">
        <v>0</v>
      </c>
      <c r="BK62" s="7">
        <v>12</v>
      </c>
      <c r="BL62" s="7">
        <v>0</v>
      </c>
      <c r="BM62" s="7">
        <v>11</v>
      </c>
      <c r="BN62" s="7">
        <v>0</v>
      </c>
      <c r="BO62" s="7">
        <f>CHOOSE(MATCH(Setup!$B$5,{8,10,12,14,16},0),BE62,BG62,BI62,BK62,BM62)</f>
        <v>11</v>
      </c>
      <c r="BP62" s="7">
        <f>CHOOSE(MATCH(Setup!$B$5,{8,10,12,14,16},0),BF62,BH62,BJ62,BL62,BN62)</f>
        <v>0</v>
      </c>
      <c r="BQ62" s="7">
        <f>ROUND(1+BP62*'Live Calc'!$D$12,0)</f>
        <v>1</v>
      </c>
      <c r="BR62" s="7"/>
      <c r="BS62" s="7">
        <f>IF(BR62&lt;&gt;"",BR62,ROUND(BQ62*INDEX('Live Calc'!$D$63:$D$74,MATCH(BO62,'Live Calc'!$A$63:$A$74,0))*'Live Calc'!$J$78,0))</f>
        <v>1</v>
      </c>
    </row>
    <row r="63" spans="1:71" x14ac:dyDescent="0.25">
      <c r="S63" s="5" t="s">
        <v>294</v>
      </c>
      <c r="T63" s="5" t="s">
        <v>24</v>
      </c>
      <c r="U63" s="5">
        <v>11</v>
      </c>
      <c r="V63" s="5">
        <v>0</v>
      </c>
      <c r="W63" s="5">
        <v>13</v>
      </c>
      <c r="X63" s="5">
        <v>0</v>
      </c>
      <c r="Y63" s="5">
        <v>13</v>
      </c>
      <c r="Z63" s="5">
        <v>0</v>
      </c>
      <c r="AA63" s="5">
        <v>14</v>
      </c>
      <c r="AB63" s="5">
        <v>0</v>
      </c>
      <c r="AC63" s="5">
        <v>14</v>
      </c>
      <c r="AD63" s="5">
        <v>0</v>
      </c>
      <c r="AE63" s="5">
        <f>CHOOSE(MATCH(Setup!$B$5,{8,10,12,14,16},0),U63,W63,Y63,AA63,AC63)</f>
        <v>13</v>
      </c>
      <c r="AF63" s="5">
        <f>CHOOSE(MATCH(Setup!$B$5,{8,10,12,14,16},0),V63,X63,Z63,AB63,AD63)</f>
        <v>0</v>
      </c>
      <c r="AG63" s="5">
        <f>ROUND(1+AF63*'Live Calc'!$D$10,0)</f>
        <v>1</v>
      </c>
      <c r="AH63" s="5"/>
      <c r="AI63" s="5">
        <f>IF(AH63&lt;&gt;"",AH63,ROUND(AG63*INDEX('Live Calc'!$D$27:$D$40,MATCH(AE63,'Live Calc'!$A$27:$A$40,0))*'Live Calc'!$J$78,0))</f>
        <v>1</v>
      </c>
      <c r="AK63" s="6" t="s">
        <v>295</v>
      </c>
      <c r="AL63" s="6" t="s">
        <v>70</v>
      </c>
      <c r="AM63" s="6">
        <v>12</v>
      </c>
      <c r="AN63" s="6">
        <v>0</v>
      </c>
      <c r="AO63" s="6">
        <v>15</v>
      </c>
      <c r="AP63" s="6">
        <v>0</v>
      </c>
      <c r="AQ63" s="6">
        <v>15</v>
      </c>
      <c r="AR63" s="6">
        <v>1.1019000000000001</v>
      </c>
      <c r="AS63" s="6">
        <v>14</v>
      </c>
      <c r="AT63" s="6">
        <v>0</v>
      </c>
      <c r="AU63" s="6">
        <v>14</v>
      </c>
      <c r="AV63" s="6">
        <v>0</v>
      </c>
      <c r="AW63" s="6">
        <f>CHOOSE(MATCH(Setup!$B$5,{8,10,12,14,16},0),AM63,AO63,AQ63,AS63,AU63)</f>
        <v>15</v>
      </c>
      <c r="AX63" s="6">
        <f>CHOOSE(MATCH(Setup!$B$5,{8,10,12,14,16},0),AN63,AP63,AR63,AT63,AV63)</f>
        <v>1.1019000000000001</v>
      </c>
      <c r="AY63" s="6">
        <f>ROUND(1+AX63*'Live Calc'!$D$11,0)</f>
        <v>1</v>
      </c>
      <c r="AZ63" s="6"/>
      <c r="BA63" s="6">
        <f>IF(AZ63&lt;&gt;"",AZ63,ROUND(AY63*INDEX('Live Calc'!$D$44:$D$59,MATCH(AW63,'Live Calc'!$A$44:$A$59,0))*'Live Calc'!$J$78,0))</f>
        <v>1</v>
      </c>
      <c r="BC63" s="7" t="s">
        <v>296</v>
      </c>
      <c r="BD63" s="7" t="s">
        <v>123</v>
      </c>
      <c r="BE63" s="7">
        <v>7</v>
      </c>
      <c r="BF63" s="7">
        <v>0</v>
      </c>
      <c r="BG63" s="7">
        <v>8</v>
      </c>
      <c r="BH63" s="7">
        <v>0</v>
      </c>
      <c r="BI63" s="7">
        <v>11</v>
      </c>
      <c r="BJ63" s="7">
        <v>0</v>
      </c>
      <c r="BK63" s="7">
        <v>12</v>
      </c>
      <c r="BL63" s="7">
        <v>0</v>
      </c>
      <c r="BM63" s="7">
        <v>11</v>
      </c>
      <c r="BN63" s="7">
        <v>0</v>
      </c>
      <c r="BO63" s="7">
        <f>CHOOSE(MATCH(Setup!$B$5,{8,10,12,14,16},0),BE63,BG63,BI63,BK63,BM63)</f>
        <v>11</v>
      </c>
      <c r="BP63" s="7">
        <f>CHOOSE(MATCH(Setup!$B$5,{8,10,12,14,16},0),BF63,BH63,BJ63,BL63,BN63)</f>
        <v>0</v>
      </c>
      <c r="BQ63" s="7">
        <f>ROUND(1+BP63*'Live Calc'!$D$12,0)</f>
        <v>1</v>
      </c>
      <c r="BR63" s="7"/>
      <c r="BS63" s="7">
        <f>IF(BR63&lt;&gt;"",BR63,ROUND(BQ63*INDEX('Live Calc'!$D$63:$D$74,MATCH(BO63,'Live Calc'!$A$63:$A$74,0))*'Live Calc'!$J$78,0))</f>
        <v>1</v>
      </c>
    </row>
    <row r="64" spans="1:71" x14ac:dyDescent="0.25">
      <c r="S64" s="5" t="s">
        <v>297</v>
      </c>
      <c r="T64" s="5" t="s">
        <v>88</v>
      </c>
      <c r="U64" s="5">
        <v>11</v>
      </c>
      <c r="V64" s="5">
        <v>0</v>
      </c>
      <c r="W64" s="5">
        <v>13</v>
      </c>
      <c r="X64" s="5">
        <v>0</v>
      </c>
      <c r="Y64" s="5">
        <v>13</v>
      </c>
      <c r="Z64" s="5">
        <v>0</v>
      </c>
      <c r="AA64" s="5">
        <v>14</v>
      </c>
      <c r="AB64" s="5">
        <v>0</v>
      </c>
      <c r="AC64" s="5">
        <v>14</v>
      </c>
      <c r="AD64" s="5">
        <v>0</v>
      </c>
      <c r="AE64" s="5">
        <f>CHOOSE(MATCH(Setup!$B$5,{8,10,12,14,16},0),U64,W64,Y64,AA64,AC64)</f>
        <v>13</v>
      </c>
      <c r="AF64" s="5">
        <f>CHOOSE(MATCH(Setup!$B$5,{8,10,12,14,16},0),V64,X64,Z64,AB64,AD64)</f>
        <v>0</v>
      </c>
      <c r="AG64" s="5">
        <f>ROUND(1+AF64*'Live Calc'!$D$10,0)</f>
        <v>1</v>
      </c>
      <c r="AH64" s="5"/>
      <c r="AI64" s="5">
        <f>IF(AH64&lt;&gt;"",AH64,ROUND(AG64*INDEX('Live Calc'!$D$27:$D$40,MATCH(AE64,'Live Calc'!$A$27:$A$40,0))*'Live Calc'!$J$78,0))</f>
        <v>1</v>
      </c>
      <c r="AK64" s="6" t="s">
        <v>298</v>
      </c>
      <c r="AL64" s="6" t="s">
        <v>120</v>
      </c>
      <c r="AM64" s="6">
        <v>12</v>
      </c>
      <c r="AN64" s="6">
        <v>0</v>
      </c>
      <c r="AO64" s="6">
        <v>15</v>
      </c>
      <c r="AP64" s="6">
        <v>0</v>
      </c>
      <c r="AQ64" s="6">
        <v>15</v>
      </c>
      <c r="AR64" s="6">
        <v>0.95640000000000003</v>
      </c>
      <c r="AS64" s="6">
        <v>14</v>
      </c>
      <c r="AT64" s="6">
        <v>0</v>
      </c>
      <c r="AU64" s="6">
        <v>14</v>
      </c>
      <c r="AV64" s="6">
        <v>0</v>
      </c>
      <c r="AW64" s="6">
        <f>CHOOSE(MATCH(Setup!$B$5,{8,10,12,14,16},0),AM64,AO64,AQ64,AS64,AU64)</f>
        <v>15</v>
      </c>
      <c r="AX64" s="6">
        <f>CHOOSE(MATCH(Setup!$B$5,{8,10,12,14,16},0),AN64,AP64,AR64,AT64,AV64)</f>
        <v>0.95640000000000003</v>
      </c>
      <c r="AY64" s="6">
        <f>ROUND(1+AX64*'Live Calc'!$D$11,0)</f>
        <v>1</v>
      </c>
      <c r="AZ64" s="6"/>
      <c r="BA64" s="6">
        <f>IF(AZ64&lt;&gt;"",AZ64,ROUND(AY64*INDEX('Live Calc'!$D$44:$D$59,MATCH(AW64,'Live Calc'!$A$44:$A$59,0))*'Live Calc'!$J$78,0))</f>
        <v>1</v>
      </c>
      <c r="BC64" s="7" t="s">
        <v>299</v>
      </c>
      <c r="BD64" s="7" t="s">
        <v>155</v>
      </c>
      <c r="BE64" s="7">
        <v>7</v>
      </c>
      <c r="BF64" s="7">
        <v>0</v>
      </c>
      <c r="BG64" s="7">
        <v>8</v>
      </c>
      <c r="BH64" s="7">
        <v>0</v>
      </c>
      <c r="BI64" s="7">
        <v>11</v>
      </c>
      <c r="BJ64" s="7">
        <v>0</v>
      </c>
      <c r="BK64" s="7">
        <v>12</v>
      </c>
      <c r="BL64" s="7">
        <v>0</v>
      </c>
      <c r="BM64" s="7">
        <v>11</v>
      </c>
      <c r="BN64" s="7">
        <v>0</v>
      </c>
      <c r="BO64" s="7">
        <f>CHOOSE(MATCH(Setup!$B$5,{8,10,12,14,16},0),BE64,BG64,BI64,BK64,BM64)</f>
        <v>11</v>
      </c>
      <c r="BP64" s="7">
        <f>CHOOSE(MATCH(Setup!$B$5,{8,10,12,14,16},0),BF64,BH64,BJ64,BL64,BN64)</f>
        <v>0</v>
      </c>
      <c r="BQ64" s="7">
        <f>ROUND(1+BP64*'Live Calc'!$D$12,0)</f>
        <v>1</v>
      </c>
      <c r="BR64" s="7"/>
      <c r="BS64" s="7">
        <f>IF(BR64&lt;&gt;"",BR64,ROUND(BQ64*INDEX('Live Calc'!$D$63:$D$74,MATCH(BO64,'Live Calc'!$A$63:$A$74,0))*'Live Calc'!$J$78,0))</f>
        <v>1</v>
      </c>
    </row>
    <row r="65" spans="19:71" x14ac:dyDescent="0.25">
      <c r="S65" s="5" t="s">
        <v>300</v>
      </c>
      <c r="T65" s="5" t="s">
        <v>120</v>
      </c>
      <c r="U65" s="5">
        <v>11</v>
      </c>
      <c r="V65" s="5">
        <v>0</v>
      </c>
      <c r="W65" s="5">
        <v>13</v>
      </c>
      <c r="X65" s="5">
        <v>0</v>
      </c>
      <c r="Y65" s="5">
        <v>13</v>
      </c>
      <c r="Z65" s="5">
        <v>0</v>
      </c>
      <c r="AA65" s="5">
        <v>14</v>
      </c>
      <c r="AB65" s="5">
        <v>0</v>
      </c>
      <c r="AC65" s="5">
        <v>14</v>
      </c>
      <c r="AD65" s="5">
        <v>0</v>
      </c>
      <c r="AE65" s="5">
        <f>CHOOSE(MATCH(Setup!$B$5,{8,10,12,14,16},0),U65,W65,Y65,AA65,AC65)</f>
        <v>13</v>
      </c>
      <c r="AF65" s="5">
        <f>CHOOSE(MATCH(Setup!$B$5,{8,10,12,14,16},0),V65,X65,Z65,AB65,AD65)</f>
        <v>0</v>
      </c>
      <c r="AG65" s="5">
        <f>ROUND(1+AF65*'Live Calc'!$D$10,0)</f>
        <v>1</v>
      </c>
      <c r="AH65" s="5"/>
      <c r="AI65" s="5">
        <f>IF(AH65&lt;&gt;"",AH65,ROUND(AG65*INDEX('Live Calc'!$D$27:$D$40,MATCH(AE65,'Live Calc'!$A$27:$A$40,0))*'Live Calc'!$J$78,0))</f>
        <v>1</v>
      </c>
      <c r="AK65" s="6" t="s">
        <v>301</v>
      </c>
      <c r="AL65" s="6" t="s">
        <v>59</v>
      </c>
      <c r="AM65" s="6">
        <v>12</v>
      </c>
      <c r="AN65" s="6">
        <v>0</v>
      </c>
      <c r="AO65" s="6">
        <v>15</v>
      </c>
      <c r="AP65" s="6">
        <v>0</v>
      </c>
      <c r="AQ65" s="6">
        <v>16</v>
      </c>
      <c r="AR65" s="6">
        <v>0</v>
      </c>
      <c r="AS65" s="6">
        <v>14</v>
      </c>
      <c r="AT65" s="6">
        <v>0</v>
      </c>
      <c r="AU65" s="6">
        <v>14</v>
      </c>
      <c r="AV65" s="6">
        <v>0</v>
      </c>
      <c r="AW65" s="6">
        <f>CHOOSE(MATCH(Setup!$B$5,{8,10,12,14,16},0),AM65,AO65,AQ65,AS65,AU65)</f>
        <v>16</v>
      </c>
      <c r="AX65" s="6">
        <f>CHOOSE(MATCH(Setup!$B$5,{8,10,12,14,16},0),AN65,AP65,AR65,AT65,AV65)</f>
        <v>0</v>
      </c>
      <c r="AY65" s="6">
        <f>ROUND(1+AX65*'Live Calc'!$D$11,0)</f>
        <v>1</v>
      </c>
      <c r="AZ65" s="6"/>
      <c r="BA65" s="6">
        <f>IF(AZ65&lt;&gt;"",AZ65,ROUND(AY65*INDEX('Live Calc'!$D$44:$D$59,MATCH(AW65,'Live Calc'!$A$44:$A$59,0))*'Live Calc'!$J$78,0))</f>
        <v>1</v>
      </c>
      <c r="BC65" s="7" t="s">
        <v>302</v>
      </c>
      <c r="BD65" s="7" t="s">
        <v>30</v>
      </c>
      <c r="BE65" s="7">
        <v>7</v>
      </c>
      <c r="BF65" s="7">
        <v>0</v>
      </c>
      <c r="BG65" s="7">
        <v>8</v>
      </c>
      <c r="BH65" s="7">
        <v>0</v>
      </c>
      <c r="BI65" s="7">
        <v>11</v>
      </c>
      <c r="BJ65" s="7">
        <v>0</v>
      </c>
      <c r="BK65" s="7">
        <v>12</v>
      </c>
      <c r="BL65" s="7">
        <v>0</v>
      </c>
      <c r="BM65" s="7">
        <v>11</v>
      </c>
      <c r="BN65" s="7">
        <v>0</v>
      </c>
      <c r="BO65" s="7">
        <f>CHOOSE(MATCH(Setup!$B$5,{8,10,12,14,16},0),BE65,BG65,BI65,BK65,BM65)</f>
        <v>11</v>
      </c>
      <c r="BP65" s="7">
        <f>CHOOSE(MATCH(Setup!$B$5,{8,10,12,14,16},0),BF65,BH65,BJ65,BL65,BN65)</f>
        <v>0</v>
      </c>
      <c r="BQ65" s="7">
        <f>ROUND(1+BP65*'Live Calc'!$D$12,0)</f>
        <v>1</v>
      </c>
      <c r="BR65" s="7"/>
      <c r="BS65" s="7">
        <f>IF(BR65&lt;&gt;"",BR65,ROUND(BQ65*INDEX('Live Calc'!$D$63:$D$74,MATCH(BO65,'Live Calc'!$A$63:$A$74,0))*'Live Calc'!$J$78,0))</f>
        <v>1</v>
      </c>
    </row>
    <row r="66" spans="19:71" x14ac:dyDescent="0.25">
      <c r="S66" s="5" t="s">
        <v>303</v>
      </c>
      <c r="T66" s="5" t="s">
        <v>42</v>
      </c>
      <c r="U66" s="5">
        <v>11</v>
      </c>
      <c r="V66" s="5">
        <v>0</v>
      </c>
      <c r="W66" s="5">
        <v>13</v>
      </c>
      <c r="X66" s="5">
        <v>0</v>
      </c>
      <c r="Y66" s="5">
        <v>13</v>
      </c>
      <c r="Z66" s="5">
        <v>0</v>
      </c>
      <c r="AA66" s="5">
        <v>14</v>
      </c>
      <c r="AB66" s="5">
        <v>0</v>
      </c>
      <c r="AC66" s="5">
        <v>14</v>
      </c>
      <c r="AD66" s="5">
        <v>0</v>
      </c>
      <c r="AE66" s="5">
        <f>CHOOSE(MATCH(Setup!$B$5,{8,10,12,14,16},0),U66,W66,Y66,AA66,AC66)</f>
        <v>13</v>
      </c>
      <c r="AF66" s="5">
        <f>CHOOSE(MATCH(Setup!$B$5,{8,10,12,14,16},0),V66,X66,Z66,AB66,AD66)</f>
        <v>0</v>
      </c>
      <c r="AG66" s="5">
        <f>ROUND(1+AF66*'Live Calc'!$D$10,0)</f>
        <v>1</v>
      </c>
      <c r="AH66" s="5"/>
      <c r="AI66" s="5">
        <f>IF(AH66&lt;&gt;"",AH66,ROUND(AG66*INDEX('Live Calc'!$D$27:$D$40,MATCH(AE66,'Live Calc'!$A$27:$A$40,0))*'Live Calc'!$J$78,0))</f>
        <v>1</v>
      </c>
      <c r="AK66" s="6" t="s">
        <v>304</v>
      </c>
      <c r="AL66" s="6" t="s">
        <v>155</v>
      </c>
      <c r="AM66" s="6">
        <v>12</v>
      </c>
      <c r="AN66" s="6">
        <v>0</v>
      </c>
      <c r="AO66" s="6">
        <v>15</v>
      </c>
      <c r="AP66" s="6">
        <v>0</v>
      </c>
      <c r="AQ66" s="6">
        <v>16</v>
      </c>
      <c r="AR66" s="6">
        <v>0</v>
      </c>
      <c r="AS66" s="6">
        <v>14</v>
      </c>
      <c r="AT66" s="6">
        <v>0</v>
      </c>
      <c r="AU66" s="6">
        <v>14</v>
      </c>
      <c r="AV66" s="6">
        <v>0</v>
      </c>
      <c r="AW66" s="6">
        <f>CHOOSE(MATCH(Setup!$B$5,{8,10,12,14,16},0),AM66,AO66,AQ66,AS66,AU66)</f>
        <v>16</v>
      </c>
      <c r="AX66" s="6">
        <f>CHOOSE(MATCH(Setup!$B$5,{8,10,12,14,16},0),AN66,AP66,AR66,AT66,AV66)</f>
        <v>0</v>
      </c>
      <c r="AY66" s="6">
        <f>ROUND(1+AX66*'Live Calc'!$D$11,0)</f>
        <v>1</v>
      </c>
      <c r="AZ66" s="6"/>
      <c r="BA66" s="6">
        <f>IF(AZ66&lt;&gt;"",AZ66,ROUND(AY66*INDEX('Live Calc'!$D$44:$D$59,MATCH(AW66,'Live Calc'!$A$44:$A$59,0))*'Live Calc'!$J$78,0))</f>
        <v>1</v>
      </c>
      <c r="BC66" s="7" t="s">
        <v>305</v>
      </c>
      <c r="BD66" s="7" t="s">
        <v>62</v>
      </c>
      <c r="BE66" s="7">
        <v>7</v>
      </c>
      <c r="BF66" s="7">
        <v>0</v>
      </c>
      <c r="BG66" s="7">
        <v>8</v>
      </c>
      <c r="BH66" s="7">
        <v>0</v>
      </c>
      <c r="BI66" s="7">
        <v>11</v>
      </c>
      <c r="BJ66" s="7">
        <v>0</v>
      </c>
      <c r="BK66" s="7">
        <v>12</v>
      </c>
      <c r="BL66" s="7">
        <v>0</v>
      </c>
      <c r="BM66" s="7">
        <v>11</v>
      </c>
      <c r="BN66" s="7">
        <v>0</v>
      </c>
      <c r="BO66" s="7">
        <f>CHOOSE(MATCH(Setup!$B$5,{8,10,12,14,16},0),BE66,BG66,BI66,BK66,BM66)</f>
        <v>11</v>
      </c>
      <c r="BP66" s="7">
        <f>CHOOSE(MATCH(Setup!$B$5,{8,10,12,14,16},0),BF66,BH66,BJ66,BL66,BN66)</f>
        <v>0</v>
      </c>
      <c r="BQ66" s="7">
        <f>ROUND(1+BP66*'Live Calc'!$D$12,0)</f>
        <v>1</v>
      </c>
      <c r="BR66" s="7"/>
      <c r="BS66" s="7">
        <f>IF(BR66&lt;&gt;"",BR66,ROUND(BQ66*INDEX('Live Calc'!$D$63:$D$74,MATCH(BO66,'Live Calc'!$A$63:$A$74,0))*'Live Calc'!$J$78,0))</f>
        <v>1</v>
      </c>
    </row>
    <row r="67" spans="19:71" x14ac:dyDescent="0.25">
      <c r="S67" s="5" t="s">
        <v>306</v>
      </c>
      <c r="T67" s="5" t="s">
        <v>48</v>
      </c>
      <c r="U67" s="5">
        <v>11</v>
      </c>
      <c r="V67" s="5">
        <v>0</v>
      </c>
      <c r="W67" s="5">
        <v>13</v>
      </c>
      <c r="X67" s="5">
        <v>0</v>
      </c>
      <c r="Y67" s="5">
        <v>13</v>
      </c>
      <c r="Z67" s="5">
        <v>0</v>
      </c>
      <c r="AA67" s="5">
        <v>14</v>
      </c>
      <c r="AB67" s="5">
        <v>0</v>
      </c>
      <c r="AC67" s="5">
        <v>14</v>
      </c>
      <c r="AD67" s="5">
        <v>0</v>
      </c>
      <c r="AE67" s="5">
        <f>CHOOSE(MATCH(Setup!$B$5,{8,10,12,14,16},0),U67,W67,Y67,AA67,AC67)</f>
        <v>13</v>
      </c>
      <c r="AF67" s="5">
        <f>CHOOSE(MATCH(Setup!$B$5,{8,10,12,14,16},0),V67,X67,Z67,AB67,AD67)</f>
        <v>0</v>
      </c>
      <c r="AG67" s="5">
        <f>ROUND(1+AF67*'Live Calc'!$D$10,0)</f>
        <v>1</v>
      </c>
      <c r="AH67" s="5"/>
      <c r="AI67" s="5">
        <f>IF(AH67&lt;&gt;"",AH67,ROUND(AG67*INDEX('Live Calc'!$D$27:$D$40,MATCH(AE67,'Live Calc'!$A$27:$A$40,0))*'Live Calc'!$J$78,0))</f>
        <v>1</v>
      </c>
      <c r="AK67" s="6" t="s">
        <v>307</v>
      </c>
      <c r="AL67" s="6" t="s">
        <v>38</v>
      </c>
      <c r="AM67" s="6">
        <v>12</v>
      </c>
      <c r="AN67" s="6">
        <v>0</v>
      </c>
      <c r="AO67" s="6">
        <v>15</v>
      </c>
      <c r="AP67" s="6">
        <v>0</v>
      </c>
      <c r="AQ67" s="6">
        <v>16</v>
      </c>
      <c r="AR67" s="6">
        <v>0</v>
      </c>
      <c r="AS67" s="6">
        <v>14</v>
      </c>
      <c r="AT67" s="6">
        <v>0</v>
      </c>
      <c r="AU67" s="6">
        <v>14</v>
      </c>
      <c r="AV67" s="6">
        <v>0</v>
      </c>
      <c r="AW67" s="6">
        <f>CHOOSE(MATCH(Setup!$B$5,{8,10,12,14,16},0),AM67,AO67,AQ67,AS67,AU67)</f>
        <v>16</v>
      </c>
      <c r="AX67" s="6">
        <f>CHOOSE(MATCH(Setup!$B$5,{8,10,12,14,16},0),AN67,AP67,AR67,AT67,AV67)</f>
        <v>0</v>
      </c>
      <c r="AY67" s="6">
        <f>ROUND(1+AX67*'Live Calc'!$D$11,0)</f>
        <v>1</v>
      </c>
      <c r="AZ67" s="6"/>
      <c r="BA67" s="6">
        <f>IF(AZ67&lt;&gt;"",AZ67,ROUND(AY67*INDEX('Live Calc'!$D$44:$D$59,MATCH(AW67,'Live Calc'!$A$44:$A$59,0))*'Live Calc'!$J$78,0))</f>
        <v>1</v>
      </c>
      <c r="BC67" s="7" t="s">
        <v>308</v>
      </c>
      <c r="BD67" s="7" t="s">
        <v>102</v>
      </c>
      <c r="BE67" s="7">
        <v>7</v>
      </c>
      <c r="BF67" s="7">
        <v>0</v>
      </c>
      <c r="BG67" s="7">
        <v>8</v>
      </c>
      <c r="BH67" s="7">
        <v>0</v>
      </c>
      <c r="BI67" s="7">
        <v>11</v>
      </c>
      <c r="BJ67" s="7">
        <v>0</v>
      </c>
      <c r="BK67" s="7">
        <v>12</v>
      </c>
      <c r="BL67" s="7">
        <v>0</v>
      </c>
      <c r="BM67" s="7">
        <v>11</v>
      </c>
      <c r="BN67" s="7">
        <v>0</v>
      </c>
      <c r="BO67" s="7">
        <f>CHOOSE(MATCH(Setup!$B$5,{8,10,12,14,16},0),BE67,BG67,BI67,BK67,BM67)</f>
        <v>11</v>
      </c>
      <c r="BP67" s="7">
        <f>CHOOSE(MATCH(Setup!$B$5,{8,10,12,14,16},0),BF67,BH67,BJ67,BL67,BN67)</f>
        <v>0</v>
      </c>
      <c r="BQ67" s="7">
        <f>ROUND(1+BP67*'Live Calc'!$D$12,0)</f>
        <v>1</v>
      </c>
      <c r="BR67" s="7"/>
      <c r="BS67" s="7">
        <f>IF(BR67&lt;&gt;"",BR67,ROUND(BQ67*INDEX('Live Calc'!$D$63:$D$74,MATCH(BO67,'Live Calc'!$A$63:$A$74,0))*'Live Calc'!$J$78,0))</f>
        <v>1</v>
      </c>
    </row>
    <row r="68" spans="19:71" x14ac:dyDescent="0.25">
      <c r="S68" s="5" t="s">
        <v>309</v>
      </c>
      <c r="T68" s="5" t="s">
        <v>30</v>
      </c>
      <c r="U68" s="5">
        <v>11</v>
      </c>
      <c r="V68" s="5">
        <v>0</v>
      </c>
      <c r="W68" s="5">
        <v>13</v>
      </c>
      <c r="X68" s="5">
        <v>0</v>
      </c>
      <c r="Y68" s="5">
        <v>13</v>
      </c>
      <c r="Z68" s="5">
        <v>0</v>
      </c>
      <c r="AA68" s="5">
        <v>14</v>
      </c>
      <c r="AB68" s="5">
        <v>0</v>
      </c>
      <c r="AC68" s="5">
        <v>14</v>
      </c>
      <c r="AD68" s="5">
        <v>0</v>
      </c>
      <c r="AE68" s="5">
        <f>CHOOSE(MATCH(Setup!$B$5,{8,10,12,14,16},0),U68,W68,Y68,AA68,AC68)</f>
        <v>13</v>
      </c>
      <c r="AF68" s="5">
        <f>CHOOSE(MATCH(Setup!$B$5,{8,10,12,14,16},0),V68,X68,Z68,AB68,AD68)</f>
        <v>0</v>
      </c>
      <c r="AG68" s="5">
        <f>ROUND(1+AF68*'Live Calc'!$D$10,0)</f>
        <v>1</v>
      </c>
      <c r="AH68" s="5"/>
      <c r="AI68" s="5">
        <f>IF(AH68&lt;&gt;"",AH68,ROUND(AG68*INDEX('Live Calc'!$D$27:$D$40,MATCH(AE68,'Live Calc'!$A$27:$A$40,0))*'Live Calc'!$J$78,0))</f>
        <v>1</v>
      </c>
      <c r="AK68" s="6" t="s">
        <v>310</v>
      </c>
      <c r="AL68" s="6" t="s">
        <v>48</v>
      </c>
      <c r="AM68" s="6">
        <v>12</v>
      </c>
      <c r="AN68" s="6">
        <v>0</v>
      </c>
      <c r="AO68" s="6">
        <v>15</v>
      </c>
      <c r="AP68" s="6">
        <v>0</v>
      </c>
      <c r="AQ68" s="6">
        <v>16</v>
      </c>
      <c r="AR68" s="6">
        <v>0</v>
      </c>
      <c r="AS68" s="6">
        <v>14</v>
      </c>
      <c r="AT68" s="6">
        <v>0</v>
      </c>
      <c r="AU68" s="6">
        <v>14</v>
      </c>
      <c r="AV68" s="6">
        <v>0</v>
      </c>
      <c r="AW68" s="6">
        <f>CHOOSE(MATCH(Setup!$B$5,{8,10,12,14,16},0),AM68,AO68,AQ68,AS68,AU68)</f>
        <v>16</v>
      </c>
      <c r="AX68" s="6">
        <f>CHOOSE(MATCH(Setup!$B$5,{8,10,12,14,16},0),AN68,AP68,AR68,AT68,AV68)</f>
        <v>0</v>
      </c>
      <c r="AY68" s="6">
        <f>ROUND(1+AX68*'Live Calc'!$D$11,0)</f>
        <v>1</v>
      </c>
      <c r="AZ68" s="6"/>
      <c r="BA68" s="6">
        <f>IF(AZ68&lt;&gt;"",AZ68,ROUND(AY68*INDEX('Live Calc'!$D$44:$D$59,MATCH(AW68,'Live Calc'!$A$44:$A$59,0))*'Live Calc'!$J$78,0))</f>
        <v>1</v>
      </c>
      <c r="BC68" s="7" t="s">
        <v>311</v>
      </c>
      <c r="BD68" s="7" t="s">
        <v>102</v>
      </c>
      <c r="BE68" s="7">
        <v>7</v>
      </c>
      <c r="BF68" s="7">
        <v>0</v>
      </c>
      <c r="BG68" s="7">
        <v>8</v>
      </c>
      <c r="BH68" s="7">
        <v>0</v>
      </c>
      <c r="BI68" s="7">
        <v>11</v>
      </c>
      <c r="BJ68" s="7">
        <v>0</v>
      </c>
      <c r="BK68" s="7">
        <v>12</v>
      </c>
      <c r="BL68" s="7">
        <v>0</v>
      </c>
      <c r="BM68" s="7">
        <v>11</v>
      </c>
      <c r="BN68" s="7">
        <v>0</v>
      </c>
      <c r="BO68" s="7">
        <f>CHOOSE(MATCH(Setup!$B$5,{8,10,12,14,16},0),BE68,BG68,BI68,BK68,BM68)</f>
        <v>11</v>
      </c>
      <c r="BP68" s="7">
        <f>CHOOSE(MATCH(Setup!$B$5,{8,10,12,14,16},0),BF68,BH68,BJ68,BL68,BN68)</f>
        <v>0</v>
      </c>
      <c r="BQ68" s="7">
        <f>ROUND(1+BP68*'Live Calc'!$D$12,0)</f>
        <v>1</v>
      </c>
      <c r="BR68" s="7"/>
      <c r="BS68" s="7">
        <f>IF(BR68&lt;&gt;"",BR68,ROUND(BQ68*INDEX('Live Calc'!$D$63:$D$74,MATCH(BO68,'Live Calc'!$A$63:$A$74,0))*'Live Calc'!$J$78,0))</f>
        <v>1</v>
      </c>
    </row>
    <row r="69" spans="19:71" x14ac:dyDescent="0.25">
      <c r="S69" s="5" t="s">
        <v>312</v>
      </c>
      <c r="T69" s="5" t="s">
        <v>62</v>
      </c>
      <c r="U69" s="5">
        <v>11</v>
      </c>
      <c r="V69" s="5">
        <v>0</v>
      </c>
      <c r="W69" s="5">
        <v>13</v>
      </c>
      <c r="X69" s="5">
        <v>0</v>
      </c>
      <c r="Y69" s="5">
        <v>13</v>
      </c>
      <c r="Z69" s="5">
        <v>0</v>
      </c>
      <c r="AA69" s="5">
        <v>14</v>
      </c>
      <c r="AB69" s="5">
        <v>0</v>
      </c>
      <c r="AC69" s="5">
        <v>14</v>
      </c>
      <c r="AD69" s="5">
        <v>0</v>
      </c>
      <c r="AE69" s="5">
        <f>CHOOSE(MATCH(Setup!$B$5,{8,10,12,14,16},0),U69,W69,Y69,AA69,AC69)</f>
        <v>13</v>
      </c>
      <c r="AF69" s="5">
        <f>CHOOSE(MATCH(Setup!$B$5,{8,10,12,14,16},0),V69,X69,Z69,AB69,AD69)</f>
        <v>0</v>
      </c>
      <c r="AG69" s="5">
        <f>ROUND(1+AF69*'Live Calc'!$D$10,0)</f>
        <v>1</v>
      </c>
      <c r="AH69" s="5"/>
      <c r="AI69" s="5">
        <f>IF(AH69&lt;&gt;"",AH69,ROUND(AG69*INDEX('Live Calc'!$D$27:$D$40,MATCH(AE69,'Live Calc'!$A$27:$A$40,0))*'Live Calc'!$J$78,0))</f>
        <v>1</v>
      </c>
      <c r="AK69" s="6" t="s">
        <v>313</v>
      </c>
      <c r="AL69" s="6" t="s">
        <v>108</v>
      </c>
      <c r="AM69" s="6">
        <v>12</v>
      </c>
      <c r="AN69" s="6">
        <v>0</v>
      </c>
      <c r="AO69" s="6">
        <v>15</v>
      </c>
      <c r="AP69" s="6">
        <v>0</v>
      </c>
      <c r="AQ69" s="6">
        <v>16</v>
      </c>
      <c r="AR69" s="6">
        <v>0</v>
      </c>
      <c r="AS69" s="6">
        <v>14</v>
      </c>
      <c r="AT69" s="6">
        <v>0</v>
      </c>
      <c r="AU69" s="6">
        <v>14</v>
      </c>
      <c r="AV69" s="6">
        <v>0</v>
      </c>
      <c r="AW69" s="6">
        <f>CHOOSE(MATCH(Setup!$B$5,{8,10,12,14,16},0),AM69,AO69,AQ69,AS69,AU69)</f>
        <v>16</v>
      </c>
      <c r="AX69" s="6">
        <f>CHOOSE(MATCH(Setup!$B$5,{8,10,12,14,16},0),AN69,AP69,AR69,AT69,AV69)</f>
        <v>0</v>
      </c>
      <c r="AY69" s="6">
        <f>ROUND(1+AX69*'Live Calc'!$D$11,0)</f>
        <v>1</v>
      </c>
      <c r="AZ69" s="6"/>
      <c r="BA69" s="6">
        <f>IF(AZ69&lt;&gt;"",AZ69,ROUND(AY69*INDEX('Live Calc'!$D$44:$D$59,MATCH(AW69,'Live Calc'!$A$44:$A$59,0))*'Live Calc'!$J$78,0))</f>
        <v>1</v>
      </c>
      <c r="BC69" s="7" t="s">
        <v>314</v>
      </c>
      <c r="BD69" s="7" t="s">
        <v>95</v>
      </c>
      <c r="BE69" s="7">
        <v>7</v>
      </c>
      <c r="BF69" s="7">
        <v>0</v>
      </c>
      <c r="BG69" s="7">
        <v>8</v>
      </c>
      <c r="BH69" s="7">
        <v>0</v>
      </c>
      <c r="BI69" s="7">
        <v>11</v>
      </c>
      <c r="BJ69" s="7">
        <v>0</v>
      </c>
      <c r="BK69" s="7">
        <v>12</v>
      </c>
      <c r="BL69" s="7">
        <v>0</v>
      </c>
      <c r="BM69" s="7">
        <v>11</v>
      </c>
      <c r="BN69" s="7">
        <v>0</v>
      </c>
      <c r="BO69" s="7">
        <f>CHOOSE(MATCH(Setup!$B$5,{8,10,12,14,16},0),BE69,BG69,BI69,BK69,BM69)</f>
        <v>11</v>
      </c>
      <c r="BP69" s="7">
        <f>CHOOSE(MATCH(Setup!$B$5,{8,10,12,14,16},0),BF69,BH69,BJ69,BL69,BN69)</f>
        <v>0</v>
      </c>
      <c r="BQ69" s="7">
        <f>ROUND(1+BP69*'Live Calc'!$D$12,0)</f>
        <v>1</v>
      </c>
      <c r="BR69" s="7"/>
      <c r="BS69" s="7">
        <f>IF(BR69&lt;&gt;"",BR69,ROUND(BQ69*INDEX('Live Calc'!$D$63:$D$74,MATCH(BO69,'Live Calc'!$A$63:$A$74,0))*'Live Calc'!$J$78,0))</f>
        <v>1</v>
      </c>
    </row>
    <row r="70" spans="19:71" x14ac:dyDescent="0.25">
      <c r="S70" s="5" t="s">
        <v>315</v>
      </c>
      <c r="T70" s="5" t="s">
        <v>42</v>
      </c>
      <c r="U70" s="5">
        <v>11</v>
      </c>
      <c r="V70" s="5">
        <v>0</v>
      </c>
      <c r="W70" s="5">
        <v>13</v>
      </c>
      <c r="X70" s="5">
        <v>0</v>
      </c>
      <c r="Y70" s="5">
        <v>13</v>
      </c>
      <c r="Z70" s="5">
        <v>0</v>
      </c>
      <c r="AA70" s="5">
        <v>14</v>
      </c>
      <c r="AB70" s="5">
        <v>0</v>
      </c>
      <c r="AC70" s="5">
        <v>14</v>
      </c>
      <c r="AD70" s="5">
        <v>0</v>
      </c>
      <c r="AE70" s="5">
        <f>CHOOSE(MATCH(Setup!$B$5,{8,10,12,14,16},0),U70,W70,Y70,AA70,AC70)</f>
        <v>13</v>
      </c>
      <c r="AF70" s="5">
        <f>CHOOSE(MATCH(Setup!$B$5,{8,10,12,14,16},0),V70,X70,Z70,AB70,AD70)</f>
        <v>0</v>
      </c>
      <c r="AG70" s="5">
        <f>ROUND(1+AF70*'Live Calc'!$D$10,0)</f>
        <v>1</v>
      </c>
      <c r="AH70" s="5"/>
      <c r="AI70" s="5">
        <f>IF(AH70&lt;&gt;"",AH70,ROUND(AG70*INDEX('Live Calc'!$D$27:$D$40,MATCH(AE70,'Live Calc'!$A$27:$A$40,0))*'Live Calc'!$J$78,0))</f>
        <v>1</v>
      </c>
      <c r="AK70" s="6" t="s">
        <v>316</v>
      </c>
      <c r="AL70" s="6" t="s">
        <v>57</v>
      </c>
      <c r="AM70" s="6">
        <v>12</v>
      </c>
      <c r="AN70" s="6">
        <v>0</v>
      </c>
      <c r="AO70" s="6">
        <v>15</v>
      </c>
      <c r="AP70" s="6">
        <v>0</v>
      </c>
      <c r="AQ70" s="6">
        <v>16</v>
      </c>
      <c r="AR70" s="6">
        <v>0</v>
      </c>
      <c r="AS70" s="6">
        <v>14</v>
      </c>
      <c r="AT70" s="6">
        <v>0</v>
      </c>
      <c r="AU70" s="6">
        <v>14</v>
      </c>
      <c r="AV70" s="6">
        <v>0</v>
      </c>
      <c r="AW70" s="6">
        <f>CHOOSE(MATCH(Setup!$B$5,{8,10,12,14,16},0),AM70,AO70,AQ70,AS70,AU70)</f>
        <v>16</v>
      </c>
      <c r="AX70" s="6">
        <f>CHOOSE(MATCH(Setup!$B$5,{8,10,12,14,16},0),AN70,AP70,AR70,AT70,AV70)</f>
        <v>0</v>
      </c>
      <c r="AY70" s="6">
        <f>ROUND(1+AX70*'Live Calc'!$D$11,0)</f>
        <v>1</v>
      </c>
      <c r="AZ70" s="6"/>
      <c r="BA70" s="6">
        <f>IF(AZ70&lt;&gt;"",AZ70,ROUND(AY70*INDEX('Live Calc'!$D$44:$D$59,MATCH(AW70,'Live Calc'!$A$44:$A$59,0))*'Live Calc'!$J$78,0))</f>
        <v>1</v>
      </c>
      <c r="BC70" s="7" t="s">
        <v>317</v>
      </c>
      <c r="BD70" s="7" t="s">
        <v>82</v>
      </c>
      <c r="BE70" s="7">
        <v>7</v>
      </c>
      <c r="BF70" s="7">
        <v>0</v>
      </c>
      <c r="BG70" s="7">
        <v>8</v>
      </c>
      <c r="BH70" s="7">
        <v>0</v>
      </c>
      <c r="BI70" s="7">
        <v>11</v>
      </c>
      <c r="BJ70" s="7">
        <v>0</v>
      </c>
      <c r="BK70" s="7">
        <v>12</v>
      </c>
      <c r="BL70" s="7">
        <v>0</v>
      </c>
      <c r="BM70" s="7">
        <v>11</v>
      </c>
      <c r="BN70" s="7">
        <v>0</v>
      </c>
      <c r="BO70" s="7">
        <f>CHOOSE(MATCH(Setup!$B$5,{8,10,12,14,16},0),BE70,BG70,BI70,BK70,BM70)</f>
        <v>11</v>
      </c>
      <c r="BP70" s="7">
        <f>CHOOSE(MATCH(Setup!$B$5,{8,10,12,14,16},0),BF70,BH70,BJ70,BL70,BN70)</f>
        <v>0</v>
      </c>
      <c r="BQ70" s="7">
        <f>ROUND(1+BP70*'Live Calc'!$D$12,0)</f>
        <v>1</v>
      </c>
      <c r="BR70" s="7"/>
      <c r="BS70" s="7">
        <f>IF(BR70&lt;&gt;"",BR70,ROUND(BQ70*INDEX('Live Calc'!$D$63:$D$74,MATCH(BO70,'Live Calc'!$A$63:$A$74,0))*'Live Calc'!$J$78,0))</f>
        <v>1</v>
      </c>
    </row>
    <row r="71" spans="19:71" x14ac:dyDescent="0.25">
      <c r="S71" s="5" t="s">
        <v>318</v>
      </c>
      <c r="T71" s="5" t="s">
        <v>65</v>
      </c>
      <c r="U71" s="5">
        <v>11</v>
      </c>
      <c r="V71" s="5">
        <v>0</v>
      </c>
      <c r="W71" s="5">
        <v>13</v>
      </c>
      <c r="X71" s="5">
        <v>0</v>
      </c>
      <c r="Y71" s="5">
        <v>13</v>
      </c>
      <c r="Z71" s="5">
        <v>0</v>
      </c>
      <c r="AA71" s="5">
        <v>14</v>
      </c>
      <c r="AB71" s="5">
        <v>0</v>
      </c>
      <c r="AC71" s="5">
        <v>14</v>
      </c>
      <c r="AD71" s="5">
        <v>0</v>
      </c>
      <c r="AE71" s="5">
        <f>CHOOSE(MATCH(Setup!$B$5,{8,10,12,14,16},0),U71,W71,Y71,AA71,AC71)</f>
        <v>13</v>
      </c>
      <c r="AF71" s="5">
        <f>CHOOSE(MATCH(Setup!$B$5,{8,10,12,14,16},0),V71,X71,Z71,AB71,AD71)</f>
        <v>0</v>
      </c>
      <c r="AG71" s="5">
        <f>ROUND(1+AF71*'Live Calc'!$D$10,0)</f>
        <v>1</v>
      </c>
      <c r="AH71" s="5"/>
      <c r="AI71" s="5">
        <f>IF(AH71&lt;&gt;"",AH71,ROUND(AG71*INDEX('Live Calc'!$D$27:$D$40,MATCH(AE71,'Live Calc'!$A$27:$A$40,0))*'Live Calc'!$J$78,0))</f>
        <v>1</v>
      </c>
      <c r="AK71" s="6" t="s">
        <v>319</v>
      </c>
      <c r="AL71" s="6" t="s">
        <v>153</v>
      </c>
      <c r="AM71" s="6">
        <v>12</v>
      </c>
      <c r="AN71" s="6">
        <v>0</v>
      </c>
      <c r="AO71" s="6">
        <v>15</v>
      </c>
      <c r="AP71" s="6">
        <v>0</v>
      </c>
      <c r="AQ71" s="6">
        <v>16</v>
      </c>
      <c r="AR71" s="6">
        <v>0</v>
      </c>
      <c r="AS71" s="6">
        <v>14</v>
      </c>
      <c r="AT71" s="6">
        <v>0</v>
      </c>
      <c r="AU71" s="6">
        <v>14</v>
      </c>
      <c r="AV71" s="6">
        <v>0</v>
      </c>
      <c r="AW71" s="6">
        <f>CHOOSE(MATCH(Setup!$B$5,{8,10,12,14,16},0),AM71,AO71,AQ71,AS71,AU71)</f>
        <v>16</v>
      </c>
      <c r="AX71" s="6">
        <f>CHOOSE(MATCH(Setup!$B$5,{8,10,12,14,16},0),AN71,AP71,AR71,AT71,AV71)</f>
        <v>0</v>
      </c>
      <c r="AY71" s="6">
        <f>ROUND(1+AX71*'Live Calc'!$D$11,0)</f>
        <v>1</v>
      </c>
      <c r="AZ71" s="6"/>
      <c r="BA71" s="6">
        <f>IF(AZ71&lt;&gt;"",AZ71,ROUND(AY71*INDEX('Live Calc'!$D$44:$D$59,MATCH(AW71,'Live Calc'!$A$44:$A$59,0))*'Live Calc'!$J$78,0))</f>
        <v>1</v>
      </c>
      <c r="BC71" s="7" t="s">
        <v>320</v>
      </c>
      <c r="BD71" s="7" t="s">
        <v>48</v>
      </c>
      <c r="BE71" s="7">
        <v>7</v>
      </c>
      <c r="BF71" s="7">
        <v>0</v>
      </c>
      <c r="BG71" s="7">
        <v>8</v>
      </c>
      <c r="BH71" s="7">
        <v>0</v>
      </c>
      <c r="BI71" s="7">
        <v>11</v>
      </c>
      <c r="BJ71" s="7">
        <v>0</v>
      </c>
      <c r="BK71" s="7">
        <v>12</v>
      </c>
      <c r="BL71" s="7">
        <v>0</v>
      </c>
      <c r="BM71" s="7">
        <v>11</v>
      </c>
      <c r="BN71" s="7">
        <v>0</v>
      </c>
      <c r="BO71" s="7">
        <f>CHOOSE(MATCH(Setup!$B$5,{8,10,12,14,16},0),BE71,BG71,BI71,BK71,BM71)</f>
        <v>11</v>
      </c>
      <c r="BP71" s="7">
        <f>CHOOSE(MATCH(Setup!$B$5,{8,10,12,14,16},0),BF71,BH71,BJ71,BL71,BN71)</f>
        <v>0</v>
      </c>
      <c r="BQ71" s="7">
        <f>ROUND(1+BP71*'Live Calc'!$D$12,0)</f>
        <v>1</v>
      </c>
      <c r="BR71" s="7"/>
      <c r="BS71" s="7">
        <f>IF(BR71&lt;&gt;"",BR71,ROUND(BQ71*INDEX('Live Calc'!$D$63:$D$74,MATCH(BO71,'Live Calc'!$A$63:$A$74,0))*'Live Calc'!$J$78,0))</f>
        <v>1</v>
      </c>
    </row>
    <row r="72" spans="19:71" x14ac:dyDescent="0.25">
      <c r="S72" s="5" t="s">
        <v>321</v>
      </c>
      <c r="T72" s="5" t="s">
        <v>155</v>
      </c>
      <c r="U72" s="5">
        <v>11</v>
      </c>
      <c r="V72" s="5">
        <v>0</v>
      </c>
      <c r="W72" s="5">
        <v>13</v>
      </c>
      <c r="X72" s="5">
        <v>0</v>
      </c>
      <c r="Y72" s="5">
        <v>13</v>
      </c>
      <c r="Z72" s="5">
        <v>0</v>
      </c>
      <c r="AA72" s="5">
        <v>14</v>
      </c>
      <c r="AB72" s="5">
        <v>0</v>
      </c>
      <c r="AC72" s="5">
        <v>14</v>
      </c>
      <c r="AD72" s="5">
        <v>0</v>
      </c>
      <c r="AE72" s="5">
        <f>CHOOSE(MATCH(Setup!$B$5,{8,10,12,14,16},0),U72,W72,Y72,AA72,AC72)</f>
        <v>13</v>
      </c>
      <c r="AF72" s="5">
        <f>CHOOSE(MATCH(Setup!$B$5,{8,10,12,14,16},0),V72,X72,Z72,AB72,AD72)</f>
        <v>0</v>
      </c>
      <c r="AG72" s="5">
        <f>ROUND(1+AF72*'Live Calc'!$D$10,0)</f>
        <v>1</v>
      </c>
      <c r="AH72" s="5"/>
      <c r="AI72" s="5">
        <f>IF(AH72&lt;&gt;"",AH72,ROUND(AG72*INDEX('Live Calc'!$D$27:$D$40,MATCH(AE72,'Live Calc'!$A$27:$A$40,0))*'Live Calc'!$J$78,0))</f>
        <v>1</v>
      </c>
      <c r="AK72" s="6" t="s">
        <v>322</v>
      </c>
      <c r="AL72" s="6" t="s">
        <v>42</v>
      </c>
      <c r="AM72" s="6">
        <v>12</v>
      </c>
      <c r="AN72" s="6">
        <v>0</v>
      </c>
      <c r="AO72" s="6">
        <v>15</v>
      </c>
      <c r="AP72" s="6">
        <v>0</v>
      </c>
      <c r="AQ72" s="6">
        <v>16</v>
      </c>
      <c r="AR72" s="6">
        <v>0</v>
      </c>
      <c r="AS72" s="6">
        <v>14</v>
      </c>
      <c r="AT72" s="6">
        <v>0</v>
      </c>
      <c r="AU72" s="6">
        <v>14</v>
      </c>
      <c r="AV72" s="6">
        <v>0</v>
      </c>
      <c r="AW72" s="6">
        <f>CHOOSE(MATCH(Setup!$B$5,{8,10,12,14,16},0),AM72,AO72,AQ72,AS72,AU72)</f>
        <v>16</v>
      </c>
      <c r="AX72" s="6">
        <f>CHOOSE(MATCH(Setup!$B$5,{8,10,12,14,16},0),AN72,AP72,AR72,AT72,AV72)</f>
        <v>0</v>
      </c>
      <c r="AY72" s="6">
        <f>ROUND(1+AX72*'Live Calc'!$D$11,0)</f>
        <v>1</v>
      </c>
      <c r="AZ72" s="6"/>
      <c r="BA72" s="6">
        <f>IF(AZ72&lt;&gt;"",AZ72,ROUND(AY72*INDEX('Live Calc'!$D$44:$D$59,MATCH(AW72,'Live Calc'!$A$44:$A$59,0))*'Live Calc'!$J$78,0))</f>
        <v>1</v>
      </c>
    </row>
    <row r="73" spans="19:71" x14ac:dyDescent="0.25">
      <c r="S73" s="5" t="s">
        <v>323</v>
      </c>
      <c r="T73" s="5" t="s">
        <v>65</v>
      </c>
      <c r="U73" s="5">
        <v>11</v>
      </c>
      <c r="V73" s="5">
        <v>0</v>
      </c>
      <c r="W73" s="5">
        <v>13</v>
      </c>
      <c r="X73" s="5">
        <v>0</v>
      </c>
      <c r="Y73" s="5">
        <v>13</v>
      </c>
      <c r="Z73" s="5">
        <v>0</v>
      </c>
      <c r="AA73" s="5">
        <v>14</v>
      </c>
      <c r="AB73" s="5">
        <v>0</v>
      </c>
      <c r="AC73" s="5">
        <v>14</v>
      </c>
      <c r="AD73" s="5">
        <v>0</v>
      </c>
      <c r="AE73" s="5">
        <f>CHOOSE(MATCH(Setup!$B$5,{8,10,12,14,16},0),U73,W73,Y73,AA73,AC73)</f>
        <v>13</v>
      </c>
      <c r="AF73" s="5">
        <f>CHOOSE(MATCH(Setup!$B$5,{8,10,12,14,16},0),V73,X73,Z73,AB73,AD73)</f>
        <v>0</v>
      </c>
      <c r="AG73" s="5">
        <f>ROUND(1+AF73*'Live Calc'!$D$10,0)</f>
        <v>1</v>
      </c>
      <c r="AH73" s="5"/>
      <c r="AI73" s="5">
        <f>IF(AH73&lt;&gt;"",AH73,ROUND(AG73*INDEX('Live Calc'!$D$27:$D$40,MATCH(AE73,'Live Calc'!$A$27:$A$40,0))*'Live Calc'!$J$78,0))</f>
        <v>1</v>
      </c>
      <c r="AK73" s="6" t="s">
        <v>324</v>
      </c>
      <c r="AL73" s="6" t="s">
        <v>62</v>
      </c>
      <c r="AM73" s="6">
        <v>12</v>
      </c>
      <c r="AN73" s="6">
        <v>0</v>
      </c>
      <c r="AO73" s="6">
        <v>15</v>
      </c>
      <c r="AP73" s="6">
        <v>0</v>
      </c>
      <c r="AQ73" s="6">
        <v>16</v>
      </c>
      <c r="AR73" s="6">
        <v>0</v>
      </c>
      <c r="AS73" s="6">
        <v>14</v>
      </c>
      <c r="AT73" s="6">
        <v>0</v>
      </c>
      <c r="AU73" s="6">
        <v>14</v>
      </c>
      <c r="AV73" s="6">
        <v>0</v>
      </c>
      <c r="AW73" s="6">
        <f>CHOOSE(MATCH(Setup!$B$5,{8,10,12,14,16},0),AM73,AO73,AQ73,AS73,AU73)</f>
        <v>16</v>
      </c>
      <c r="AX73" s="6">
        <f>CHOOSE(MATCH(Setup!$B$5,{8,10,12,14,16},0),AN73,AP73,AR73,AT73,AV73)</f>
        <v>0</v>
      </c>
      <c r="AY73" s="6">
        <f>ROUND(1+AX73*'Live Calc'!$D$11,0)</f>
        <v>1</v>
      </c>
      <c r="AZ73" s="6"/>
      <c r="BA73" s="6">
        <f>IF(AZ73&lt;&gt;"",AZ73,ROUND(AY73*INDEX('Live Calc'!$D$44:$D$59,MATCH(AW73,'Live Calc'!$A$44:$A$59,0))*'Live Calc'!$J$78,0))</f>
        <v>1</v>
      </c>
    </row>
    <row r="74" spans="19:71" x14ac:dyDescent="0.25">
      <c r="S74" s="5" t="s">
        <v>325</v>
      </c>
      <c r="T74" s="5" t="s">
        <v>57</v>
      </c>
      <c r="U74" s="5">
        <v>11</v>
      </c>
      <c r="V74" s="5">
        <v>0</v>
      </c>
      <c r="W74" s="5">
        <v>13</v>
      </c>
      <c r="X74" s="5">
        <v>0</v>
      </c>
      <c r="Y74" s="5">
        <v>13</v>
      </c>
      <c r="Z74" s="5">
        <v>0</v>
      </c>
      <c r="AA74" s="5">
        <v>14</v>
      </c>
      <c r="AB74" s="5">
        <v>0</v>
      </c>
      <c r="AC74" s="5">
        <v>14</v>
      </c>
      <c r="AD74" s="5">
        <v>0</v>
      </c>
      <c r="AE74" s="5">
        <f>CHOOSE(MATCH(Setup!$B$5,{8,10,12,14,16},0),U74,W74,Y74,AA74,AC74)</f>
        <v>13</v>
      </c>
      <c r="AF74" s="5">
        <f>CHOOSE(MATCH(Setup!$B$5,{8,10,12,14,16},0),V74,X74,Z74,AB74,AD74)</f>
        <v>0</v>
      </c>
      <c r="AG74" s="5">
        <f>ROUND(1+AF74*'Live Calc'!$D$10,0)</f>
        <v>1</v>
      </c>
      <c r="AH74" s="5"/>
      <c r="AI74" s="5">
        <f>IF(AH74&lt;&gt;"",AH74,ROUND(AG74*INDEX('Live Calc'!$D$27:$D$40,MATCH(AE74,'Live Calc'!$A$27:$A$40,0))*'Live Calc'!$J$78,0))</f>
        <v>1</v>
      </c>
      <c r="AK74" s="6" t="s">
        <v>326</v>
      </c>
      <c r="AL74" s="6" t="s">
        <v>82</v>
      </c>
      <c r="AM74" s="6">
        <v>12</v>
      </c>
      <c r="AN74" s="6">
        <v>0</v>
      </c>
      <c r="AO74" s="6">
        <v>15</v>
      </c>
      <c r="AP74" s="6">
        <v>0</v>
      </c>
      <c r="AQ74" s="6">
        <v>16</v>
      </c>
      <c r="AR74" s="6">
        <v>0</v>
      </c>
      <c r="AS74" s="6">
        <v>14</v>
      </c>
      <c r="AT74" s="6">
        <v>0</v>
      </c>
      <c r="AU74" s="6">
        <v>14</v>
      </c>
      <c r="AV74" s="6">
        <v>0</v>
      </c>
      <c r="AW74" s="6">
        <f>CHOOSE(MATCH(Setup!$B$5,{8,10,12,14,16},0),AM74,AO74,AQ74,AS74,AU74)</f>
        <v>16</v>
      </c>
      <c r="AX74" s="6">
        <f>CHOOSE(MATCH(Setup!$B$5,{8,10,12,14,16},0),AN74,AP74,AR74,AT74,AV74)</f>
        <v>0</v>
      </c>
      <c r="AY74" s="6">
        <f>ROUND(1+AX74*'Live Calc'!$D$11,0)</f>
        <v>1</v>
      </c>
      <c r="AZ74" s="6"/>
      <c r="BA74" s="6">
        <f>IF(AZ74&lt;&gt;"",AZ74,ROUND(AY74*INDEX('Live Calc'!$D$44:$D$59,MATCH(AW74,'Live Calc'!$A$44:$A$59,0))*'Live Calc'!$J$78,0))</f>
        <v>1</v>
      </c>
    </row>
    <row r="75" spans="19:71" x14ac:dyDescent="0.25">
      <c r="S75" s="5" t="s">
        <v>327</v>
      </c>
      <c r="T75" s="5" t="s">
        <v>88</v>
      </c>
      <c r="U75" s="5">
        <v>11</v>
      </c>
      <c r="V75" s="5">
        <v>0</v>
      </c>
      <c r="W75" s="5">
        <v>13</v>
      </c>
      <c r="X75" s="5">
        <v>0</v>
      </c>
      <c r="Y75" s="5">
        <v>13</v>
      </c>
      <c r="Z75" s="5">
        <v>0</v>
      </c>
      <c r="AA75" s="5">
        <v>14</v>
      </c>
      <c r="AB75" s="5">
        <v>0</v>
      </c>
      <c r="AC75" s="5">
        <v>14</v>
      </c>
      <c r="AD75" s="5">
        <v>0</v>
      </c>
      <c r="AE75" s="5">
        <f>CHOOSE(MATCH(Setup!$B$5,{8,10,12,14,16},0),U75,W75,Y75,AA75,AC75)</f>
        <v>13</v>
      </c>
      <c r="AF75" s="5">
        <f>CHOOSE(MATCH(Setup!$B$5,{8,10,12,14,16},0),V75,X75,Z75,AB75,AD75)</f>
        <v>0</v>
      </c>
      <c r="AG75" s="5">
        <f>ROUND(1+AF75*'Live Calc'!$D$10,0)</f>
        <v>1</v>
      </c>
      <c r="AH75" s="5"/>
      <c r="AI75" s="5">
        <f>IF(AH75&lt;&gt;"",AH75,ROUND(AG75*INDEX('Live Calc'!$D$27:$D$40,MATCH(AE75,'Live Calc'!$A$27:$A$40,0))*'Live Calc'!$J$78,0))</f>
        <v>1</v>
      </c>
      <c r="AK75" s="6" t="s">
        <v>328</v>
      </c>
      <c r="AL75" s="6" t="s">
        <v>40</v>
      </c>
      <c r="AM75" s="6">
        <v>12</v>
      </c>
      <c r="AN75" s="6">
        <v>0</v>
      </c>
      <c r="AO75" s="6">
        <v>15</v>
      </c>
      <c r="AP75" s="6">
        <v>0</v>
      </c>
      <c r="AQ75" s="6">
        <v>16</v>
      </c>
      <c r="AR75" s="6">
        <v>0</v>
      </c>
      <c r="AS75" s="6">
        <v>14</v>
      </c>
      <c r="AT75" s="6">
        <v>0</v>
      </c>
      <c r="AU75" s="6">
        <v>14</v>
      </c>
      <c r="AV75" s="6">
        <v>0</v>
      </c>
      <c r="AW75" s="6">
        <f>CHOOSE(MATCH(Setup!$B$5,{8,10,12,14,16},0),AM75,AO75,AQ75,AS75,AU75)</f>
        <v>16</v>
      </c>
      <c r="AX75" s="6">
        <f>CHOOSE(MATCH(Setup!$B$5,{8,10,12,14,16},0),AN75,AP75,AR75,AT75,AV75)</f>
        <v>0</v>
      </c>
      <c r="AY75" s="6">
        <f>ROUND(1+AX75*'Live Calc'!$D$11,0)</f>
        <v>1</v>
      </c>
      <c r="AZ75" s="6"/>
      <c r="BA75" s="6">
        <f>IF(AZ75&lt;&gt;"",AZ75,ROUND(AY75*INDEX('Live Calc'!$D$44:$D$59,MATCH(AW75,'Live Calc'!$A$44:$A$59,0))*'Live Calc'!$J$78,0))</f>
        <v>1</v>
      </c>
    </row>
    <row r="76" spans="19:71" x14ac:dyDescent="0.25">
      <c r="S76" s="5" t="s">
        <v>329</v>
      </c>
      <c r="T76" s="5" t="s">
        <v>108</v>
      </c>
      <c r="U76" s="5">
        <v>11</v>
      </c>
      <c r="V76" s="5">
        <v>0</v>
      </c>
      <c r="W76" s="5">
        <v>13</v>
      </c>
      <c r="X76" s="5">
        <v>0</v>
      </c>
      <c r="Y76" s="5">
        <v>13</v>
      </c>
      <c r="Z76" s="5">
        <v>0</v>
      </c>
      <c r="AA76" s="5">
        <v>14</v>
      </c>
      <c r="AB76" s="5">
        <v>0</v>
      </c>
      <c r="AC76" s="5">
        <v>14</v>
      </c>
      <c r="AD76" s="5">
        <v>0</v>
      </c>
      <c r="AE76" s="5">
        <f>CHOOSE(MATCH(Setup!$B$5,{8,10,12,14,16},0),U76,W76,Y76,AA76,AC76)</f>
        <v>13</v>
      </c>
      <c r="AF76" s="5">
        <f>CHOOSE(MATCH(Setup!$B$5,{8,10,12,14,16},0),V76,X76,Z76,AB76,AD76)</f>
        <v>0</v>
      </c>
      <c r="AG76" s="5">
        <f>ROUND(1+AF76*'Live Calc'!$D$10,0)</f>
        <v>1</v>
      </c>
      <c r="AH76" s="5"/>
      <c r="AI76" s="5">
        <f>IF(AH76&lt;&gt;"",AH76,ROUND(AG76*INDEX('Live Calc'!$D$27:$D$40,MATCH(AE76,'Live Calc'!$A$27:$A$40,0))*'Live Calc'!$J$78,0))</f>
        <v>1</v>
      </c>
      <c r="AK76" s="6" t="s">
        <v>330</v>
      </c>
      <c r="AL76" s="6" t="s">
        <v>88</v>
      </c>
      <c r="AM76" s="6">
        <v>12</v>
      </c>
      <c r="AN76" s="6">
        <v>0</v>
      </c>
      <c r="AO76" s="6">
        <v>15</v>
      </c>
      <c r="AP76" s="6">
        <v>0</v>
      </c>
      <c r="AQ76" s="6">
        <v>16</v>
      </c>
      <c r="AR76" s="6">
        <v>0</v>
      </c>
      <c r="AS76" s="6">
        <v>14</v>
      </c>
      <c r="AT76" s="6">
        <v>0</v>
      </c>
      <c r="AU76" s="6">
        <v>14</v>
      </c>
      <c r="AV76" s="6">
        <v>0</v>
      </c>
      <c r="AW76" s="6">
        <f>CHOOSE(MATCH(Setup!$B$5,{8,10,12,14,16},0),AM76,AO76,AQ76,AS76,AU76)</f>
        <v>16</v>
      </c>
      <c r="AX76" s="6">
        <f>CHOOSE(MATCH(Setup!$B$5,{8,10,12,14,16},0),AN76,AP76,AR76,AT76,AV76)</f>
        <v>0</v>
      </c>
      <c r="AY76" s="6">
        <f>ROUND(1+AX76*'Live Calc'!$D$11,0)</f>
        <v>1</v>
      </c>
      <c r="AZ76" s="6"/>
      <c r="BA76" s="6">
        <f>IF(AZ76&lt;&gt;"",AZ76,ROUND(AY76*INDEX('Live Calc'!$D$44:$D$59,MATCH(AW76,'Live Calc'!$A$44:$A$59,0))*'Live Calc'!$J$78,0))</f>
        <v>1</v>
      </c>
    </row>
    <row r="77" spans="19:71" x14ac:dyDescent="0.25">
      <c r="S77" s="5" t="s">
        <v>331</v>
      </c>
      <c r="T77" s="5" t="s">
        <v>80</v>
      </c>
      <c r="U77" s="5">
        <v>11</v>
      </c>
      <c r="V77" s="5">
        <v>0</v>
      </c>
      <c r="W77" s="5">
        <v>13</v>
      </c>
      <c r="X77" s="5">
        <v>0</v>
      </c>
      <c r="Y77" s="5">
        <v>13</v>
      </c>
      <c r="Z77" s="5">
        <v>0</v>
      </c>
      <c r="AA77" s="5">
        <v>14</v>
      </c>
      <c r="AB77" s="5">
        <v>0</v>
      </c>
      <c r="AC77" s="5">
        <v>14</v>
      </c>
      <c r="AD77" s="5">
        <v>0</v>
      </c>
      <c r="AE77" s="5">
        <f>CHOOSE(MATCH(Setup!$B$5,{8,10,12,14,16},0),U77,W77,Y77,AA77,AC77)</f>
        <v>13</v>
      </c>
      <c r="AF77" s="5">
        <f>CHOOSE(MATCH(Setup!$B$5,{8,10,12,14,16},0),V77,X77,Z77,AB77,AD77)</f>
        <v>0</v>
      </c>
      <c r="AG77" s="5">
        <f>ROUND(1+AF77*'Live Calc'!$D$10,0)</f>
        <v>1</v>
      </c>
      <c r="AH77" s="5"/>
      <c r="AI77" s="5">
        <f>IF(AH77&lt;&gt;"",AH77,ROUND(AG77*INDEX('Live Calc'!$D$27:$D$40,MATCH(AE77,'Live Calc'!$A$27:$A$40,0))*'Live Calc'!$J$78,0))</f>
        <v>1</v>
      </c>
      <c r="AK77" s="6" t="s">
        <v>332</v>
      </c>
      <c r="AL77" s="6" t="s">
        <v>26</v>
      </c>
      <c r="AM77" s="6">
        <v>12</v>
      </c>
      <c r="AN77" s="6">
        <v>0</v>
      </c>
      <c r="AO77" s="6">
        <v>15</v>
      </c>
      <c r="AP77" s="6">
        <v>0</v>
      </c>
      <c r="AQ77" s="6">
        <v>16</v>
      </c>
      <c r="AR77" s="6">
        <v>0</v>
      </c>
      <c r="AS77" s="6">
        <v>14</v>
      </c>
      <c r="AT77" s="6">
        <v>0</v>
      </c>
      <c r="AU77" s="6">
        <v>14</v>
      </c>
      <c r="AV77" s="6">
        <v>0</v>
      </c>
      <c r="AW77" s="6">
        <f>CHOOSE(MATCH(Setup!$B$5,{8,10,12,14,16},0),AM77,AO77,AQ77,AS77,AU77)</f>
        <v>16</v>
      </c>
      <c r="AX77" s="6">
        <f>CHOOSE(MATCH(Setup!$B$5,{8,10,12,14,16},0),AN77,AP77,AR77,AT77,AV77)</f>
        <v>0</v>
      </c>
      <c r="AY77" s="6">
        <f>ROUND(1+AX77*'Live Calc'!$D$11,0)</f>
        <v>1</v>
      </c>
      <c r="AZ77" s="6"/>
      <c r="BA77" s="6">
        <f>IF(AZ77&lt;&gt;"",AZ77,ROUND(AY77*INDEX('Live Calc'!$D$44:$D$59,MATCH(AW77,'Live Calc'!$A$44:$A$59,0))*'Live Calc'!$J$78,0))</f>
        <v>1</v>
      </c>
    </row>
    <row r="78" spans="19:71" x14ac:dyDescent="0.25">
      <c r="S78" s="5" t="s">
        <v>333</v>
      </c>
      <c r="T78" s="5" t="s">
        <v>80</v>
      </c>
      <c r="U78" s="5">
        <v>11</v>
      </c>
      <c r="V78" s="5">
        <v>0</v>
      </c>
      <c r="W78" s="5">
        <v>13</v>
      </c>
      <c r="X78" s="5">
        <v>0</v>
      </c>
      <c r="Y78" s="5">
        <v>13</v>
      </c>
      <c r="Z78" s="5">
        <v>0</v>
      </c>
      <c r="AA78" s="5">
        <v>14</v>
      </c>
      <c r="AB78" s="5">
        <v>0</v>
      </c>
      <c r="AC78" s="5">
        <v>14</v>
      </c>
      <c r="AD78" s="5">
        <v>0</v>
      </c>
      <c r="AE78" s="5">
        <f>CHOOSE(MATCH(Setup!$B$5,{8,10,12,14,16},0),U78,W78,Y78,AA78,AC78)</f>
        <v>13</v>
      </c>
      <c r="AF78" s="5">
        <f>CHOOSE(MATCH(Setup!$B$5,{8,10,12,14,16},0),V78,X78,Z78,AB78,AD78)</f>
        <v>0</v>
      </c>
      <c r="AG78" s="5">
        <f>ROUND(1+AF78*'Live Calc'!$D$10,0)</f>
        <v>1</v>
      </c>
      <c r="AH78" s="5"/>
      <c r="AI78" s="5">
        <f>IF(AH78&lt;&gt;"",AH78,ROUND(AG78*INDEX('Live Calc'!$D$27:$D$40,MATCH(AE78,'Live Calc'!$A$27:$A$40,0))*'Live Calc'!$J$78,0))</f>
        <v>1</v>
      </c>
      <c r="AK78" s="6" t="s">
        <v>334</v>
      </c>
      <c r="AL78" s="6" t="s">
        <v>32</v>
      </c>
      <c r="AM78" s="6">
        <v>12</v>
      </c>
      <c r="AN78" s="6">
        <v>0</v>
      </c>
      <c r="AO78" s="6">
        <v>15</v>
      </c>
      <c r="AP78" s="6">
        <v>0</v>
      </c>
      <c r="AQ78" s="6">
        <v>16</v>
      </c>
      <c r="AR78" s="6">
        <v>0</v>
      </c>
      <c r="AS78" s="6">
        <v>14</v>
      </c>
      <c r="AT78" s="6">
        <v>0</v>
      </c>
      <c r="AU78" s="6">
        <v>14</v>
      </c>
      <c r="AV78" s="6">
        <v>0</v>
      </c>
      <c r="AW78" s="6">
        <f>CHOOSE(MATCH(Setup!$B$5,{8,10,12,14,16},0),AM78,AO78,AQ78,AS78,AU78)</f>
        <v>16</v>
      </c>
      <c r="AX78" s="6">
        <f>CHOOSE(MATCH(Setup!$B$5,{8,10,12,14,16},0),AN78,AP78,AR78,AT78,AV78)</f>
        <v>0</v>
      </c>
      <c r="AY78" s="6">
        <f>ROUND(1+AX78*'Live Calc'!$D$11,0)</f>
        <v>1</v>
      </c>
      <c r="AZ78" s="6"/>
      <c r="BA78" s="6">
        <f>IF(AZ78&lt;&gt;"",AZ78,ROUND(AY78*INDEX('Live Calc'!$D$44:$D$59,MATCH(AW78,'Live Calc'!$A$44:$A$59,0))*'Live Calc'!$J$78,0))</f>
        <v>1</v>
      </c>
    </row>
    <row r="79" spans="19:71" x14ac:dyDescent="0.25">
      <c r="S79" s="5" t="s">
        <v>335</v>
      </c>
      <c r="T79" s="5" t="s">
        <v>235</v>
      </c>
      <c r="U79" s="5">
        <v>11</v>
      </c>
      <c r="V79" s="5">
        <v>0</v>
      </c>
      <c r="W79" s="5">
        <v>13</v>
      </c>
      <c r="X79" s="5">
        <v>0</v>
      </c>
      <c r="Y79" s="5">
        <v>13</v>
      </c>
      <c r="Z79" s="5">
        <v>0</v>
      </c>
      <c r="AA79" s="5">
        <v>14</v>
      </c>
      <c r="AB79" s="5">
        <v>0</v>
      </c>
      <c r="AC79" s="5">
        <v>14</v>
      </c>
      <c r="AD79" s="5">
        <v>0</v>
      </c>
      <c r="AE79" s="5">
        <f>CHOOSE(MATCH(Setup!$B$5,{8,10,12,14,16},0),U79,W79,Y79,AA79,AC79)</f>
        <v>13</v>
      </c>
      <c r="AF79" s="5">
        <f>CHOOSE(MATCH(Setup!$B$5,{8,10,12,14,16},0),V79,X79,Z79,AB79,AD79)</f>
        <v>0</v>
      </c>
      <c r="AG79" s="5">
        <f>ROUND(1+AF79*'Live Calc'!$D$10,0)</f>
        <v>1</v>
      </c>
      <c r="AH79" s="5"/>
      <c r="AI79" s="5">
        <f>IF(AH79&lt;&gt;"",AH79,ROUND(AG79*INDEX('Live Calc'!$D$27:$D$40,MATCH(AE79,'Live Calc'!$A$27:$A$40,0))*'Live Calc'!$J$78,0))</f>
        <v>1</v>
      </c>
      <c r="AK79" s="6" t="s">
        <v>336</v>
      </c>
      <c r="AL79" s="6" t="s">
        <v>44</v>
      </c>
      <c r="AM79" s="6">
        <v>12</v>
      </c>
      <c r="AN79" s="6">
        <v>0</v>
      </c>
      <c r="AO79" s="6">
        <v>15</v>
      </c>
      <c r="AP79" s="6">
        <v>0</v>
      </c>
      <c r="AQ79" s="6">
        <v>16</v>
      </c>
      <c r="AR79" s="6">
        <v>0</v>
      </c>
      <c r="AS79" s="6">
        <v>14</v>
      </c>
      <c r="AT79" s="6">
        <v>0</v>
      </c>
      <c r="AU79" s="6">
        <v>14</v>
      </c>
      <c r="AV79" s="6">
        <v>0</v>
      </c>
      <c r="AW79" s="6">
        <f>CHOOSE(MATCH(Setup!$B$5,{8,10,12,14,16},0),AM79,AO79,AQ79,AS79,AU79)</f>
        <v>16</v>
      </c>
      <c r="AX79" s="6">
        <f>CHOOSE(MATCH(Setup!$B$5,{8,10,12,14,16},0),AN79,AP79,AR79,AT79,AV79)</f>
        <v>0</v>
      </c>
      <c r="AY79" s="6">
        <f>ROUND(1+AX79*'Live Calc'!$D$11,0)</f>
        <v>1</v>
      </c>
      <c r="AZ79" s="6"/>
      <c r="BA79" s="6">
        <f>IF(AZ79&lt;&gt;"",AZ79,ROUND(AY79*INDEX('Live Calc'!$D$44:$D$59,MATCH(AW79,'Live Calc'!$A$44:$A$59,0))*'Live Calc'!$J$78,0))</f>
        <v>1</v>
      </c>
    </row>
    <row r="80" spans="19:71" x14ac:dyDescent="0.25">
      <c r="S80" s="5" t="s">
        <v>337</v>
      </c>
      <c r="T80" s="5" t="s">
        <v>50</v>
      </c>
      <c r="U80" s="5">
        <v>11</v>
      </c>
      <c r="V80" s="5">
        <v>0</v>
      </c>
      <c r="W80" s="5">
        <v>13</v>
      </c>
      <c r="X80" s="5">
        <v>0</v>
      </c>
      <c r="Y80" s="5">
        <v>13</v>
      </c>
      <c r="Z80" s="5">
        <v>0</v>
      </c>
      <c r="AA80" s="5">
        <v>14</v>
      </c>
      <c r="AB80" s="5">
        <v>0</v>
      </c>
      <c r="AC80" s="5">
        <v>14</v>
      </c>
      <c r="AD80" s="5">
        <v>0</v>
      </c>
      <c r="AE80" s="5">
        <f>CHOOSE(MATCH(Setup!$B$5,{8,10,12,14,16},0),U80,W80,Y80,AA80,AC80)</f>
        <v>13</v>
      </c>
      <c r="AF80" s="5">
        <f>CHOOSE(MATCH(Setup!$B$5,{8,10,12,14,16},0),V80,X80,Z80,AB80,AD80)</f>
        <v>0</v>
      </c>
      <c r="AG80" s="5">
        <f>ROUND(1+AF80*'Live Calc'!$D$10,0)</f>
        <v>1</v>
      </c>
      <c r="AH80" s="5"/>
      <c r="AI80" s="5">
        <f>IF(AH80&lt;&gt;"",AH80,ROUND(AG80*INDEX('Live Calc'!$D$27:$D$40,MATCH(AE80,'Live Calc'!$A$27:$A$40,0))*'Live Calc'!$J$78,0))</f>
        <v>1</v>
      </c>
      <c r="AK80" s="6" t="s">
        <v>338</v>
      </c>
      <c r="AL80" s="6" t="s">
        <v>67</v>
      </c>
      <c r="AM80" s="6">
        <v>12</v>
      </c>
      <c r="AN80" s="6">
        <v>0</v>
      </c>
      <c r="AO80" s="6">
        <v>15</v>
      </c>
      <c r="AP80" s="6">
        <v>0</v>
      </c>
      <c r="AQ80" s="6">
        <v>16</v>
      </c>
      <c r="AR80" s="6">
        <v>0</v>
      </c>
      <c r="AS80" s="6">
        <v>14</v>
      </c>
      <c r="AT80" s="6">
        <v>0</v>
      </c>
      <c r="AU80" s="6">
        <v>14</v>
      </c>
      <c r="AV80" s="6">
        <v>0</v>
      </c>
      <c r="AW80" s="6">
        <f>CHOOSE(MATCH(Setup!$B$5,{8,10,12,14,16},0),AM80,AO80,AQ80,AS80,AU80)</f>
        <v>16</v>
      </c>
      <c r="AX80" s="6">
        <f>CHOOSE(MATCH(Setup!$B$5,{8,10,12,14,16},0),AN80,AP80,AR80,AT80,AV80)</f>
        <v>0</v>
      </c>
      <c r="AY80" s="6">
        <f>ROUND(1+AX80*'Live Calc'!$D$11,0)</f>
        <v>1</v>
      </c>
      <c r="AZ80" s="6"/>
      <c r="BA80" s="6">
        <f>IF(AZ80&lt;&gt;"",AZ80,ROUND(AY80*INDEX('Live Calc'!$D$44:$D$59,MATCH(AW80,'Live Calc'!$A$44:$A$59,0))*'Live Calc'!$J$78,0))</f>
        <v>1</v>
      </c>
    </row>
    <row r="81" spans="19:53" x14ac:dyDescent="0.25">
      <c r="S81" s="5" t="s">
        <v>339</v>
      </c>
      <c r="T81" s="5" t="s">
        <v>44</v>
      </c>
      <c r="U81" s="5">
        <v>11</v>
      </c>
      <c r="V81" s="5">
        <v>0</v>
      </c>
      <c r="W81" s="5">
        <v>13</v>
      </c>
      <c r="X81" s="5">
        <v>0</v>
      </c>
      <c r="Y81" s="5">
        <v>13</v>
      </c>
      <c r="Z81" s="5">
        <v>0</v>
      </c>
      <c r="AA81" s="5">
        <v>14</v>
      </c>
      <c r="AB81" s="5">
        <v>0</v>
      </c>
      <c r="AC81" s="5">
        <v>14</v>
      </c>
      <c r="AD81" s="5">
        <v>0</v>
      </c>
      <c r="AE81" s="5">
        <f>CHOOSE(MATCH(Setup!$B$5,{8,10,12,14,16},0),U81,W81,Y81,AA81,AC81)</f>
        <v>13</v>
      </c>
      <c r="AF81" s="5">
        <f>CHOOSE(MATCH(Setup!$B$5,{8,10,12,14,16},0),V81,X81,Z81,AB81,AD81)</f>
        <v>0</v>
      </c>
      <c r="AG81" s="5">
        <f>ROUND(1+AF81*'Live Calc'!$D$10,0)</f>
        <v>1</v>
      </c>
      <c r="AH81" s="5"/>
      <c r="AI81" s="5">
        <f>IF(AH81&lt;&gt;"",AH81,ROUND(AG81*INDEX('Live Calc'!$D$27:$D$40,MATCH(AE81,'Live Calc'!$A$27:$A$40,0))*'Live Calc'!$J$78,0))</f>
        <v>1</v>
      </c>
      <c r="AK81" s="6" t="s">
        <v>340</v>
      </c>
      <c r="AL81" s="6" t="s">
        <v>85</v>
      </c>
      <c r="AM81" s="6">
        <v>12</v>
      </c>
      <c r="AN81" s="6">
        <v>0</v>
      </c>
      <c r="AO81" s="6">
        <v>15</v>
      </c>
      <c r="AP81" s="6">
        <v>0</v>
      </c>
      <c r="AQ81" s="6">
        <v>16</v>
      </c>
      <c r="AR81" s="6">
        <v>0</v>
      </c>
      <c r="AS81" s="6">
        <v>14</v>
      </c>
      <c r="AT81" s="6">
        <v>0</v>
      </c>
      <c r="AU81" s="6">
        <v>14</v>
      </c>
      <c r="AV81" s="6">
        <v>0</v>
      </c>
      <c r="AW81" s="6">
        <f>CHOOSE(MATCH(Setup!$B$5,{8,10,12,14,16},0),AM81,AO81,AQ81,AS81,AU81)</f>
        <v>16</v>
      </c>
      <c r="AX81" s="6">
        <f>CHOOSE(MATCH(Setup!$B$5,{8,10,12,14,16},0),AN81,AP81,AR81,AT81,AV81)</f>
        <v>0</v>
      </c>
      <c r="AY81" s="6">
        <f>ROUND(1+AX81*'Live Calc'!$D$11,0)</f>
        <v>1</v>
      </c>
      <c r="AZ81" s="6"/>
      <c r="BA81" s="6">
        <f>IF(AZ81&lt;&gt;"",AZ81,ROUND(AY81*INDEX('Live Calc'!$D$44:$D$59,MATCH(AW81,'Live Calc'!$A$44:$A$59,0))*'Live Calc'!$J$78,0))</f>
        <v>1</v>
      </c>
    </row>
    <row r="82" spans="19:53" x14ac:dyDescent="0.25">
      <c r="S82" s="5" t="s">
        <v>341</v>
      </c>
      <c r="T82" s="5" t="s">
        <v>32</v>
      </c>
      <c r="U82" s="5">
        <v>11</v>
      </c>
      <c r="V82" s="5">
        <v>0</v>
      </c>
      <c r="W82" s="5">
        <v>13</v>
      </c>
      <c r="X82" s="5">
        <v>0</v>
      </c>
      <c r="Y82" s="5">
        <v>13</v>
      </c>
      <c r="Z82" s="5">
        <v>0</v>
      </c>
      <c r="AA82" s="5">
        <v>14</v>
      </c>
      <c r="AB82" s="5">
        <v>0</v>
      </c>
      <c r="AC82" s="5">
        <v>14</v>
      </c>
      <c r="AD82" s="5">
        <v>0</v>
      </c>
      <c r="AE82" s="5">
        <f>CHOOSE(MATCH(Setup!$B$5,{8,10,12,14,16},0),U82,W82,Y82,AA82,AC82)</f>
        <v>13</v>
      </c>
      <c r="AF82" s="5">
        <f>CHOOSE(MATCH(Setup!$B$5,{8,10,12,14,16},0),V82,X82,Z82,AB82,AD82)</f>
        <v>0</v>
      </c>
      <c r="AG82" s="5">
        <f>ROUND(1+AF82*'Live Calc'!$D$10,0)</f>
        <v>1</v>
      </c>
      <c r="AH82" s="5"/>
      <c r="AI82" s="5">
        <f>IF(AH82&lt;&gt;"",AH82,ROUND(AG82*INDEX('Live Calc'!$D$27:$D$40,MATCH(AE82,'Live Calc'!$A$27:$A$40,0))*'Live Calc'!$J$78,0))</f>
        <v>1</v>
      </c>
      <c r="AK82" s="6" t="s">
        <v>342</v>
      </c>
      <c r="AL82" s="6" t="s">
        <v>85</v>
      </c>
      <c r="AM82" s="6">
        <v>12</v>
      </c>
      <c r="AN82" s="6">
        <v>0</v>
      </c>
      <c r="AO82" s="6">
        <v>15</v>
      </c>
      <c r="AP82" s="6">
        <v>0</v>
      </c>
      <c r="AQ82" s="6">
        <v>16</v>
      </c>
      <c r="AR82" s="6">
        <v>0</v>
      </c>
      <c r="AS82" s="6">
        <v>14</v>
      </c>
      <c r="AT82" s="6">
        <v>0</v>
      </c>
      <c r="AU82" s="6">
        <v>14</v>
      </c>
      <c r="AV82" s="6">
        <v>0</v>
      </c>
      <c r="AW82" s="6">
        <f>CHOOSE(MATCH(Setup!$B$5,{8,10,12,14,16},0),AM82,AO82,AQ82,AS82,AU82)</f>
        <v>16</v>
      </c>
      <c r="AX82" s="6">
        <f>CHOOSE(MATCH(Setup!$B$5,{8,10,12,14,16},0),AN82,AP82,AR82,AT82,AV82)</f>
        <v>0</v>
      </c>
      <c r="AY82" s="6">
        <f>ROUND(1+AX82*'Live Calc'!$D$11,0)</f>
        <v>1</v>
      </c>
      <c r="AZ82" s="6"/>
      <c r="BA82" s="6">
        <f>IF(AZ82&lt;&gt;"",AZ82,ROUND(AY82*INDEX('Live Calc'!$D$44:$D$59,MATCH(AW82,'Live Calc'!$A$44:$A$59,0))*'Live Calc'!$J$78,0))</f>
        <v>1</v>
      </c>
    </row>
    <row r="83" spans="19:53" x14ac:dyDescent="0.25">
      <c r="S83" s="5" t="s">
        <v>343</v>
      </c>
      <c r="T83" s="5" t="s">
        <v>62</v>
      </c>
      <c r="U83" s="5">
        <v>11</v>
      </c>
      <c r="V83" s="5">
        <v>0</v>
      </c>
      <c r="W83" s="5">
        <v>13</v>
      </c>
      <c r="X83" s="5">
        <v>0</v>
      </c>
      <c r="Y83" s="5">
        <v>13</v>
      </c>
      <c r="Z83" s="5">
        <v>0</v>
      </c>
      <c r="AA83" s="5">
        <v>14</v>
      </c>
      <c r="AB83" s="5">
        <v>0</v>
      </c>
      <c r="AC83" s="5">
        <v>14</v>
      </c>
      <c r="AD83" s="5">
        <v>0</v>
      </c>
      <c r="AE83" s="5">
        <f>CHOOSE(MATCH(Setup!$B$5,{8,10,12,14,16},0),U83,W83,Y83,AA83,AC83)</f>
        <v>13</v>
      </c>
      <c r="AF83" s="5">
        <f>CHOOSE(MATCH(Setup!$B$5,{8,10,12,14,16},0),V83,X83,Z83,AB83,AD83)</f>
        <v>0</v>
      </c>
      <c r="AG83" s="5">
        <f>ROUND(1+AF83*'Live Calc'!$D$10,0)</f>
        <v>1</v>
      </c>
      <c r="AH83" s="5"/>
      <c r="AI83" s="5">
        <f>IF(AH83&lt;&gt;"",AH83,ROUND(AG83*INDEX('Live Calc'!$D$27:$D$40,MATCH(AE83,'Live Calc'!$A$27:$A$40,0))*'Live Calc'!$J$78,0))</f>
        <v>1</v>
      </c>
      <c r="AK83" s="6" t="s">
        <v>344</v>
      </c>
      <c r="AL83" s="6" t="s">
        <v>88</v>
      </c>
      <c r="AM83" s="6">
        <v>12</v>
      </c>
      <c r="AN83" s="6">
        <v>0</v>
      </c>
      <c r="AO83" s="6">
        <v>15</v>
      </c>
      <c r="AP83" s="6">
        <v>0</v>
      </c>
      <c r="AQ83" s="6">
        <v>16</v>
      </c>
      <c r="AR83" s="6">
        <v>0</v>
      </c>
      <c r="AS83" s="6">
        <v>14</v>
      </c>
      <c r="AT83" s="6">
        <v>0</v>
      </c>
      <c r="AU83" s="6">
        <v>14</v>
      </c>
      <c r="AV83" s="6">
        <v>0</v>
      </c>
      <c r="AW83" s="6">
        <f>CHOOSE(MATCH(Setup!$B$5,{8,10,12,14,16},0),AM83,AO83,AQ83,AS83,AU83)</f>
        <v>16</v>
      </c>
      <c r="AX83" s="6">
        <f>CHOOSE(MATCH(Setup!$B$5,{8,10,12,14,16},0),AN83,AP83,AR83,AT83,AV83)</f>
        <v>0</v>
      </c>
      <c r="AY83" s="6">
        <f>ROUND(1+AX83*'Live Calc'!$D$11,0)</f>
        <v>1</v>
      </c>
      <c r="AZ83" s="6"/>
      <c r="BA83" s="6">
        <f>IF(AZ83&lt;&gt;"",AZ83,ROUND(AY83*INDEX('Live Calc'!$D$44:$D$59,MATCH(AW83,'Live Calc'!$A$44:$A$59,0))*'Live Calc'!$J$78,0))</f>
        <v>1</v>
      </c>
    </row>
    <row r="84" spans="19:53" x14ac:dyDescent="0.25">
      <c r="S84" s="5" t="s">
        <v>345</v>
      </c>
      <c r="T84" s="5" t="s">
        <v>235</v>
      </c>
      <c r="U84" s="5">
        <v>11</v>
      </c>
      <c r="V84" s="5">
        <v>0</v>
      </c>
      <c r="W84" s="5">
        <v>13</v>
      </c>
      <c r="X84" s="5">
        <v>0</v>
      </c>
      <c r="Y84" s="5">
        <v>13</v>
      </c>
      <c r="Z84" s="5">
        <v>0</v>
      </c>
      <c r="AA84" s="5">
        <v>14</v>
      </c>
      <c r="AB84" s="5">
        <v>0</v>
      </c>
      <c r="AC84" s="5">
        <v>14</v>
      </c>
      <c r="AD84" s="5">
        <v>0</v>
      </c>
      <c r="AE84" s="5">
        <f>CHOOSE(MATCH(Setup!$B$5,{8,10,12,14,16},0),U84,W84,Y84,AA84,AC84)</f>
        <v>13</v>
      </c>
      <c r="AF84" s="5">
        <f>CHOOSE(MATCH(Setup!$B$5,{8,10,12,14,16},0),V84,X84,Z84,AB84,AD84)</f>
        <v>0</v>
      </c>
      <c r="AG84" s="5">
        <f>ROUND(1+AF84*'Live Calc'!$D$10,0)</f>
        <v>1</v>
      </c>
      <c r="AH84" s="5"/>
      <c r="AI84" s="5">
        <f>IF(AH84&lt;&gt;"",AH84,ROUND(AG84*INDEX('Live Calc'!$D$27:$D$40,MATCH(AE84,'Live Calc'!$A$27:$A$40,0))*'Live Calc'!$J$78,0))</f>
        <v>1</v>
      </c>
      <c r="AK84" s="6" t="s">
        <v>346</v>
      </c>
      <c r="AL84" s="6" t="s">
        <v>102</v>
      </c>
      <c r="AM84" s="6">
        <v>12</v>
      </c>
      <c r="AN84" s="6">
        <v>0</v>
      </c>
      <c r="AO84" s="6">
        <v>15</v>
      </c>
      <c r="AP84" s="6">
        <v>0</v>
      </c>
      <c r="AQ84" s="6">
        <v>16</v>
      </c>
      <c r="AR84" s="6">
        <v>0</v>
      </c>
      <c r="AS84" s="6">
        <v>14</v>
      </c>
      <c r="AT84" s="6">
        <v>0</v>
      </c>
      <c r="AU84" s="6">
        <v>14</v>
      </c>
      <c r="AV84" s="6">
        <v>0</v>
      </c>
      <c r="AW84" s="6">
        <f>CHOOSE(MATCH(Setup!$B$5,{8,10,12,14,16},0),AM84,AO84,AQ84,AS84,AU84)</f>
        <v>16</v>
      </c>
      <c r="AX84" s="6">
        <f>CHOOSE(MATCH(Setup!$B$5,{8,10,12,14,16},0),AN84,AP84,AR84,AT84,AV84)</f>
        <v>0</v>
      </c>
      <c r="AY84" s="6">
        <f>ROUND(1+AX84*'Live Calc'!$D$11,0)</f>
        <v>1</v>
      </c>
      <c r="AZ84" s="6"/>
      <c r="BA84" s="6">
        <f>IF(AZ84&lt;&gt;"",AZ84,ROUND(AY84*INDEX('Live Calc'!$D$44:$D$59,MATCH(AW84,'Live Calc'!$A$44:$A$59,0))*'Live Calc'!$J$78,0))</f>
        <v>1</v>
      </c>
    </row>
    <row r="85" spans="19:53" x14ac:dyDescent="0.25">
      <c r="S85" s="5" t="s">
        <v>347</v>
      </c>
      <c r="T85" s="5" t="s">
        <v>57</v>
      </c>
      <c r="U85" s="5">
        <v>11</v>
      </c>
      <c r="V85" s="5">
        <v>0</v>
      </c>
      <c r="W85" s="5">
        <v>13</v>
      </c>
      <c r="X85" s="5">
        <v>0</v>
      </c>
      <c r="Y85" s="5">
        <v>13</v>
      </c>
      <c r="Z85" s="5">
        <v>0</v>
      </c>
      <c r="AA85" s="5">
        <v>14</v>
      </c>
      <c r="AB85" s="5">
        <v>0</v>
      </c>
      <c r="AC85" s="5">
        <v>14</v>
      </c>
      <c r="AD85" s="5">
        <v>0</v>
      </c>
      <c r="AE85" s="5">
        <f>CHOOSE(MATCH(Setup!$B$5,{8,10,12,14,16},0),U85,W85,Y85,AA85,AC85)</f>
        <v>13</v>
      </c>
      <c r="AF85" s="5">
        <f>CHOOSE(MATCH(Setup!$B$5,{8,10,12,14,16},0),V85,X85,Z85,AB85,AD85)</f>
        <v>0</v>
      </c>
      <c r="AG85" s="5">
        <f>ROUND(1+AF85*'Live Calc'!$D$10,0)</f>
        <v>1</v>
      </c>
      <c r="AH85" s="5"/>
      <c r="AI85" s="5">
        <f>IF(AH85&lt;&gt;"",AH85,ROUND(AG85*INDEX('Live Calc'!$D$27:$D$40,MATCH(AE85,'Live Calc'!$A$27:$A$40,0))*'Live Calc'!$J$78,0))</f>
        <v>1</v>
      </c>
      <c r="AK85" s="6" t="s">
        <v>348</v>
      </c>
      <c r="AL85" s="6" t="s">
        <v>235</v>
      </c>
      <c r="AM85" s="6">
        <v>12</v>
      </c>
      <c r="AN85" s="6">
        <v>0</v>
      </c>
      <c r="AO85" s="6">
        <v>15</v>
      </c>
      <c r="AP85" s="6">
        <v>0</v>
      </c>
      <c r="AQ85" s="6">
        <v>16</v>
      </c>
      <c r="AR85" s="6">
        <v>0</v>
      </c>
      <c r="AS85" s="6">
        <v>14</v>
      </c>
      <c r="AT85" s="6">
        <v>0</v>
      </c>
      <c r="AU85" s="6">
        <v>14</v>
      </c>
      <c r="AV85" s="6">
        <v>0</v>
      </c>
      <c r="AW85" s="6">
        <f>CHOOSE(MATCH(Setup!$B$5,{8,10,12,14,16},0),AM85,AO85,AQ85,AS85,AU85)</f>
        <v>16</v>
      </c>
      <c r="AX85" s="6">
        <f>CHOOSE(MATCH(Setup!$B$5,{8,10,12,14,16},0),AN85,AP85,AR85,AT85,AV85)</f>
        <v>0</v>
      </c>
      <c r="AY85" s="6">
        <f>ROUND(1+AX85*'Live Calc'!$D$11,0)</f>
        <v>1</v>
      </c>
      <c r="AZ85" s="6"/>
      <c r="BA85" s="6">
        <f>IF(AZ85&lt;&gt;"",AZ85,ROUND(AY85*INDEX('Live Calc'!$D$44:$D$59,MATCH(AW85,'Live Calc'!$A$44:$A$59,0))*'Live Calc'!$J$78,0))</f>
        <v>1</v>
      </c>
    </row>
    <row r="86" spans="19:53" x14ac:dyDescent="0.25">
      <c r="S86" s="5" t="s">
        <v>349</v>
      </c>
      <c r="T86" s="5" t="s">
        <v>70</v>
      </c>
      <c r="U86" s="5">
        <v>11</v>
      </c>
      <c r="V86" s="5">
        <v>0</v>
      </c>
      <c r="W86" s="5">
        <v>13</v>
      </c>
      <c r="X86" s="5">
        <v>0</v>
      </c>
      <c r="Y86" s="5">
        <v>13</v>
      </c>
      <c r="Z86" s="5">
        <v>0</v>
      </c>
      <c r="AA86" s="5">
        <v>14</v>
      </c>
      <c r="AB86" s="5">
        <v>0</v>
      </c>
      <c r="AC86" s="5">
        <v>14</v>
      </c>
      <c r="AD86" s="5">
        <v>0</v>
      </c>
      <c r="AE86" s="5">
        <f>CHOOSE(MATCH(Setup!$B$5,{8,10,12,14,16},0),U86,W86,Y86,AA86,AC86)</f>
        <v>13</v>
      </c>
      <c r="AF86" s="5">
        <f>CHOOSE(MATCH(Setup!$B$5,{8,10,12,14,16},0),V86,X86,Z86,AB86,AD86)</f>
        <v>0</v>
      </c>
      <c r="AG86" s="5">
        <f>ROUND(1+AF86*'Live Calc'!$D$10,0)</f>
        <v>1</v>
      </c>
      <c r="AH86" s="5"/>
      <c r="AI86" s="5">
        <f>IF(AH86&lt;&gt;"",AH86,ROUND(AG86*INDEX('Live Calc'!$D$27:$D$40,MATCH(AE86,'Live Calc'!$A$27:$A$40,0))*'Live Calc'!$J$78,0))</f>
        <v>1</v>
      </c>
      <c r="AK86" s="6" t="s">
        <v>350</v>
      </c>
      <c r="AL86" s="6" t="s">
        <v>102</v>
      </c>
      <c r="AM86" s="6">
        <v>12</v>
      </c>
      <c r="AN86" s="6">
        <v>0</v>
      </c>
      <c r="AO86" s="6">
        <v>15</v>
      </c>
      <c r="AP86" s="6">
        <v>0</v>
      </c>
      <c r="AQ86" s="6">
        <v>16</v>
      </c>
      <c r="AR86" s="6">
        <v>0</v>
      </c>
      <c r="AS86" s="6">
        <v>14</v>
      </c>
      <c r="AT86" s="6">
        <v>0</v>
      </c>
      <c r="AU86" s="6">
        <v>14</v>
      </c>
      <c r="AV86" s="6">
        <v>0</v>
      </c>
      <c r="AW86" s="6">
        <f>CHOOSE(MATCH(Setup!$B$5,{8,10,12,14,16},0),AM86,AO86,AQ86,AS86,AU86)</f>
        <v>16</v>
      </c>
      <c r="AX86" s="6">
        <f>CHOOSE(MATCH(Setup!$B$5,{8,10,12,14,16},0),AN86,AP86,AR86,AT86,AV86)</f>
        <v>0</v>
      </c>
      <c r="AY86" s="6">
        <f>ROUND(1+AX86*'Live Calc'!$D$11,0)</f>
        <v>1</v>
      </c>
      <c r="AZ86" s="6"/>
      <c r="BA86" s="6">
        <f>IF(AZ86&lt;&gt;"",AZ86,ROUND(AY86*INDEX('Live Calc'!$D$44:$D$59,MATCH(AW86,'Live Calc'!$A$44:$A$59,0))*'Live Calc'!$J$78,0))</f>
        <v>1</v>
      </c>
    </row>
    <row r="87" spans="19:53" x14ac:dyDescent="0.25">
      <c r="S87" s="5" t="s">
        <v>351</v>
      </c>
      <c r="T87" s="5" t="s">
        <v>82</v>
      </c>
      <c r="U87" s="5">
        <v>11</v>
      </c>
      <c r="V87" s="5">
        <v>0</v>
      </c>
      <c r="W87" s="5">
        <v>13</v>
      </c>
      <c r="X87" s="5">
        <v>0</v>
      </c>
      <c r="Y87" s="5">
        <v>13</v>
      </c>
      <c r="Z87" s="5">
        <v>0</v>
      </c>
      <c r="AA87" s="5">
        <v>14</v>
      </c>
      <c r="AB87" s="5">
        <v>0</v>
      </c>
      <c r="AC87" s="5">
        <v>14</v>
      </c>
      <c r="AD87" s="5">
        <v>0</v>
      </c>
      <c r="AE87" s="5">
        <f>CHOOSE(MATCH(Setup!$B$5,{8,10,12,14,16},0),U87,W87,Y87,AA87,AC87)</f>
        <v>13</v>
      </c>
      <c r="AF87" s="5">
        <f>CHOOSE(MATCH(Setup!$B$5,{8,10,12,14,16},0),V87,X87,Z87,AB87,AD87)</f>
        <v>0</v>
      </c>
      <c r="AG87" s="5">
        <f>ROUND(1+AF87*'Live Calc'!$D$10,0)</f>
        <v>1</v>
      </c>
      <c r="AH87" s="5"/>
      <c r="AI87" s="5">
        <f>IF(AH87&lt;&gt;"",AH87,ROUND(AG87*INDEX('Live Calc'!$D$27:$D$40,MATCH(AE87,'Live Calc'!$A$27:$A$40,0))*'Live Calc'!$J$78,0))</f>
        <v>1</v>
      </c>
      <c r="AK87" s="6" t="s">
        <v>352</v>
      </c>
      <c r="AL87" s="6" t="s">
        <v>80</v>
      </c>
      <c r="AM87" s="6">
        <v>12</v>
      </c>
      <c r="AN87" s="6">
        <v>0</v>
      </c>
      <c r="AO87" s="6">
        <v>15</v>
      </c>
      <c r="AP87" s="6">
        <v>0</v>
      </c>
      <c r="AQ87" s="6">
        <v>16</v>
      </c>
      <c r="AR87" s="6">
        <v>0</v>
      </c>
      <c r="AS87" s="6">
        <v>14</v>
      </c>
      <c r="AT87" s="6">
        <v>0</v>
      </c>
      <c r="AU87" s="6">
        <v>14</v>
      </c>
      <c r="AV87" s="6">
        <v>0</v>
      </c>
      <c r="AW87" s="6">
        <f>CHOOSE(MATCH(Setup!$B$5,{8,10,12,14,16},0),AM87,AO87,AQ87,AS87,AU87)</f>
        <v>16</v>
      </c>
      <c r="AX87" s="6">
        <f>CHOOSE(MATCH(Setup!$B$5,{8,10,12,14,16},0),AN87,AP87,AR87,AT87,AV87)</f>
        <v>0</v>
      </c>
      <c r="AY87" s="6">
        <f>ROUND(1+AX87*'Live Calc'!$D$11,0)</f>
        <v>1</v>
      </c>
      <c r="AZ87" s="6"/>
      <c r="BA87" s="6">
        <f>IF(AZ87&lt;&gt;"",AZ87,ROUND(AY87*INDEX('Live Calc'!$D$44:$D$59,MATCH(AW87,'Live Calc'!$A$44:$A$59,0))*'Live Calc'!$J$78,0))</f>
        <v>1</v>
      </c>
    </row>
    <row r="88" spans="19:53" x14ac:dyDescent="0.25">
      <c r="S88" s="5" t="s">
        <v>353</v>
      </c>
      <c r="T88" s="5" t="s">
        <v>67</v>
      </c>
      <c r="U88" s="5">
        <v>11</v>
      </c>
      <c r="V88" s="5">
        <v>0</v>
      </c>
      <c r="W88" s="5">
        <v>13</v>
      </c>
      <c r="X88" s="5">
        <v>0</v>
      </c>
      <c r="Y88" s="5">
        <v>13</v>
      </c>
      <c r="Z88" s="5">
        <v>0</v>
      </c>
      <c r="AA88" s="5">
        <v>14</v>
      </c>
      <c r="AB88" s="5">
        <v>0</v>
      </c>
      <c r="AC88" s="5">
        <v>14</v>
      </c>
      <c r="AD88" s="5">
        <v>0</v>
      </c>
      <c r="AE88" s="5">
        <f>CHOOSE(MATCH(Setup!$B$5,{8,10,12,14,16},0),U88,W88,Y88,AA88,AC88)</f>
        <v>13</v>
      </c>
      <c r="AF88" s="5">
        <f>CHOOSE(MATCH(Setup!$B$5,{8,10,12,14,16},0),V88,X88,Z88,AB88,AD88)</f>
        <v>0</v>
      </c>
      <c r="AG88" s="5">
        <f>ROUND(1+AF88*'Live Calc'!$D$10,0)</f>
        <v>1</v>
      </c>
      <c r="AH88" s="5"/>
      <c r="AI88" s="5">
        <f>IF(AH88&lt;&gt;"",AH88,ROUND(AG88*INDEX('Live Calc'!$D$27:$D$40,MATCH(AE88,'Live Calc'!$A$27:$A$40,0))*'Live Calc'!$J$78,0))</f>
        <v>1</v>
      </c>
      <c r="AK88" s="6" t="s">
        <v>354</v>
      </c>
      <c r="AL88" s="6" t="s">
        <v>67</v>
      </c>
      <c r="AM88" s="6">
        <v>12</v>
      </c>
      <c r="AN88" s="6">
        <v>0</v>
      </c>
      <c r="AO88" s="6">
        <v>15</v>
      </c>
      <c r="AP88" s="6">
        <v>0</v>
      </c>
      <c r="AQ88" s="6">
        <v>16</v>
      </c>
      <c r="AR88" s="6">
        <v>0</v>
      </c>
      <c r="AS88" s="6">
        <v>14</v>
      </c>
      <c r="AT88" s="6">
        <v>0</v>
      </c>
      <c r="AU88" s="6">
        <v>14</v>
      </c>
      <c r="AV88" s="6">
        <v>0</v>
      </c>
      <c r="AW88" s="6">
        <f>CHOOSE(MATCH(Setup!$B$5,{8,10,12,14,16},0),AM88,AO88,AQ88,AS88,AU88)</f>
        <v>16</v>
      </c>
      <c r="AX88" s="6">
        <f>CHOOSE(MATCH(Setup!$B$5,{8,10,12,14,16},0),AN88,AP88,AR88,AT88,AV88)</f>
        <v>0</v>
      </c>
      <c r="AY88" s="6">
        <f>ROUND(1+AX88*'Live Calc'!$D$11,0)</f>
        <v>1</v>
      </c>
      <c r="AZ88" s="6"/>
      <c r="BA88" s="6">
        <f>IF(AZ88&lt;&gt;"",AZ88,ROUND(AY88*INDEX('Live Calc'!$D$44:$D$59,MATCH(AW88,'Live Calc'!$A$44:$A$59,0))*'Live Calc'!$J$78,0))</f>
        <v>1</v>
      </c>
    </row>
    <row r="89" spans="19:53" x14ac:dyDescent="0.25">
      <c r="S89" s="5" t="s">
        <v>355</v>
      </c>
      <c r="T89" s="5" t="s">
        <v>235</v>
      </c>
      <c r="U89" s="5">
        <v>11</v>
      </c>
      <c r="V89" s="5">
        <v>0</v>
      </c>
      <c r="W89" s="5">
        <v>13</v>
      </c>
      <c r="X89" s="5">
        <v>0</v>
      </c>
      <c r="Y89" s="5">
        <v>13</v>
      </c>
      <c r="Z89" s="5">
        <v>0</v>
      </c>
      <c r="AA89" s="5">
        <v>14</v>
      </c>
      <c r="AB89" s="5">
        <v>0</v>
      </c>
      <c r="AC89" s="5">
        <v>14</v>
      </c>
      <c r="AD89" s="5">
        <v>0</v>
      </c>
      <c r="AE89" s="5">
        <f>CHOOSE(MATCH(Setup!$B$5,{8,10,12,14,16},0),U89,W89,Y89,AA89,AC89)</f>
        <v>13</v>
      </c>
      <c r="AF89" s="5">
        <f>CHOOSE(MATCH(Setup!$B$5,{8,10,12,14,16},0),V89,X89,Z89,AB89,AD89)</f>
        <v>0</v>
      </c>
      <c r="AG89" s="5">
        <f>ROUND(1+AF89*'Live Calc'!$D$10,0)</f>
        <v>1</v>
      </c>
      <c r="AH89" s="5"/>
      <c r="AI89" s="5">
        <f>IF(AH89&lt;&gt;"",AH89,ROUND(AG89*INDEX('Live Calc'!$D$27:$D$40,MATCH(AE89,'Live Calc'!$A$27:$A$40,0))*'Live Calc'!$J$78,0))</f>
        <v>1</v>
      </c>
      <c r="AK89" s="6" t="s">
        <v>356</v>
      </c>
      <c r="AL89" s="6" t="s">
        <v>38</v>
      </c>
      <c r="AM89" s="6">
        <v>12</v>
      </c>
      <c r="AN89" s="6">
        <v>0</v>
      </c>
      <c r="AO89" s="6">
        <v>15</v>
      </c>
      <c r="AP89" s="6">
        <v>0</v>
      </c>
      <c r="AQ89" s="6">
        <v>16</v>
      </c>
      <c r="AR89" s="6">
        <v>0</v>
      </c>
      <c r="AS89" s="6">
        <v>14</v>
      </c>
      <c r="AT89" s="6">
        <v>0</v>
      </c>
      <c r="AU89" s="6">
        <v>14</v>
      </c>
      <c r="AV89" s="6">
        <v>0</v>
      </c>
      <c r="AW89" s="6">
        <f>CHOOSE(MATCH(Setup!$B$5,{8,10,12,14,16},0),AM89,AO89,AQ89,AS89,AU89)</f>
        <v>16</v>
      </c>
      <c r="AX89" s="6">
        <f>CHOOSE(MATCH(Setup!$B$5,{8,10,12,14,16},0),AN89,AP89,AR89,AT89,AV89)</f>
        <v>0</v>
      </c>
      <c r="AY89" s="6">
        <f>ROUND(1+AX89*'Live Calc'!$D$11,0)</f>
        <v>1</v>
      </c>
      <c r="AZ89" s="6"/>
      <c r="BA89" s="6">
        <f>IF(AZ89&lt;&gt;"",AZ89,ROUND(AY89*INDEX('Live Calc'!$D$44:$D$59,MATCH(AW89,'Live Calc'!$A$44:$A$59,0))*'Live Calc'!$J$78,0))</f>
        <v>1</v>
      </c>
    </row>
    <row r="90" spans="19:53" x14ac:dyDescent="0.25">
      <c r="S90" s="5" t="s">
        <v>357</v>
      </c>
      <c r="T90" s="5" t="s">
        <v>95</v>
      </c>
      <c r="U90" s="5">
        <v>11</v>
      </c>
      <c r="V90" s="5">
        <v>0</v>
      </c>
      <c r="W90" s="5">
        <v>13</v>
      </c>
      <c r="X90" s="5">
        <v>0</v>
      </c>
      <c r="Y90" s="5">
        <v>13</v>
      </c>
      <c r="Z90" s="5">
        <v>0</v>
      </c>
      <c r="AA90" s="5">
        <v>14</v>
      </c>
      <c r="AB90" s="5">
        <v>0</v>
      </c>
      <c r="AC90" s="5">
        <v>14</v>
      </c>
      <c r="AD90" s="5">
        <v>0</v>
      </c>
      <c r="AE90" s="5">
        <f>CHOOSE(MATCH(Setup!$B$5,{8,10,12,14,16},0),U90,W90,Y90,AA90,AC90)</f>
        <v>13</v>
      </c>
      <c r="AF90" s="5">
        <f>CHOOSE(MATCH(Setup!$B$5,{8,10,12,14,16},0),V90,X90,Z90,AB90,AD90)</f>
        <v>0</v>
      </c>
      <c r="AG90" s="5">
        <f>ROUND(1+AF90*'Live Calc'!$D$10,0)</f>
        <v>1</v>
      </c>
      <c r="AH90" s="5"/>
      <c r="AI90" s="5">
        <f>IF(AH90&lt;&gt;"",AH90,ROUND(AG90*INDEX('Live Calc'!$D$27:$D$40,MATCH(AE90,'Live Calc'!$A$27:$A$40,0))*'Live Calc'!$J$78,0))</f>
        <v>1</v>
      </c>
      <c r="AK90" s="6" t="s">
        <v>358</v>
      </c>
      <c r="AL90" s="6" t="s">
        <v>54</v>
      </c>
      <c r="AM90" s="6">
        <v>12</v>
      </c>
      <c r="AN90" s="6">
        <v>0</v>
      </c>
      <c r="AO90" s="6">
        <v>15</v>
      </c>
      <c r="AP90" s="6">
        <v>0</v>
      </c>
      <c r="AQ90" s="6">
        <v>16</v>
      </c>
      <c r="AR90" s="6">
        <v>0</v>
      </c>
      <c r="AS90" s="6">
        <v>14</v>
      </c>
      <c r="AT90" s="6">
        <v>0</v>
      </c>
      <c r="AU90" s="6">
        <v>14</v>
      </c>
      <c r="AV90" s="6">
        <v>0</v>
      </c>
      <c r="AW90" s="6">
        <f>CHOOSE(MATCH(Setup!$B$5,{8,10,12,14,16},0),AM90,AO90,AQ90,AS90,AU90)</f>
        <v>16</v>
      </c>
      <c r="AX90" s="6">
        <f>CHOOSE(MATCH(Setup!$B$5,{8,10,12,14,16},0),AN90,AP90,AR90,AT90,AV90)</f>
        <v>0</v>
      </c>
      <c r="AY90" s="6">
        <f>ROUND(1+AX90*'Live Calc'!$D$11,0)</f>
        <v>1</v>
      </c>
      <c r="AZ90" s="6"/>
      <c r="BA90" s="6">
        <f>IF(AZ90&lt;&gt;"",AZ90,ROUND(AY90*INDEX('Live Calc'!$D$44:$D$59,MATCH(AW90,'Live Calc'!$A$44:$A$59,0))*'Live Calc'!$J$78,0))</f>
        <v>1</v>
      </c>
    </row>
    <row r="91" spans="19:53" x14ac:dyDescent="0.25">
      <c r="S91" s="5" t="s">
        <v>359</v>
      </c>
      <c r="T91" s="5" t="s">
        <v>42</v>
      </c>
      <c r="U91" s="5">
        <v>11</v>
      </c>
      <c r="V91" s="5">
        <v>0</v>
      </c>
      <c r="W91" s="5">
        <v>13</v>
      </c>
      <c r="X91" s="5">
        <v>0</v>
      </c>
      <c r="Y91" s="5">
        <v>13</v>
      </c>
      <c r="Z91" s="5">
        <v>0</v>
      </c>
      <c r="AA91" s="5">
        <v>14</v>
      </c>
      <c r="AB91" s="5">
        <v>0</v>
      </c>
      <c r="AC91" s="5">
        <v>14</v>
      </c>
      <c r="AD91" s="5">
        <v>0</v>
      </c>
      <c r="AE91" s="5">
        <f>CHOOSE(MATCH(Setup!$B$5,{8,10,12,14,16},0),U91,W91,Y91,AA91,AC91)</f>
        <v>13</v>
      </c>
      <c r="AF91" s="5">
        <f>CHOOSE(MATCH(Setup!$B$5,{8,10,12,14,16},0),V91,X91,Z91,AB91,AD91)</f>
        <v>0</v>
      </c>
      <c r="AG91" s="5">
        <f>ROUND(1+AF91*'Live Calc'!$D$10,0)</f>
        <v>1</v>
      </c>
      <c r="AH91" s="5"/>
      <c r="AI91" s="5">
        <f>IF(AH91&lt;&gt;"",AH91,ROUND(AG91*INDEX('Live Calc'!$D$27:$D$40,MATCH(AE91,'Live Calc'!$A$27:$A$40,0))*'Live Calc'!$J$78,0))</f>
        <v>1</v>
      </c>
      <c r="AK91" s="6" t="s">
        <v>360</v>
      </c>
      <c r="AL91" s="6" t="s">
        <v>62</v>
      </c>
      <c r="AM91" s="6">
        <v>12</v>
      </c>
      <c r="AN91" s="6">
        <v>0</v>
      </c>
      <c r="AO91" s="6">
        <v>15</v>
      </c>
      <c r="AP91" s="6">
        <v>0</v>
      </c>
      <c r="AQ91" s="6">
        <v>16</v>
      </c>
      <c r="AR91" s="6">
        <v>0</v>
      </c>
      <c r="AS91" s="6">
        <v>14</v>
      </c>
      <c r="AT91" s="6">
        <v>0</v>
      </c>
      <c r="AU91" s="6">
        <v>14</v>
      </c>
      <c r="AV91" s="6">
        <v>0</v>
      </c>
      <c r="AW91" s="6">
        <f>CHOOSE(MATCH(Setup!$B$5,{8,10,12,14,16},0),AM91,AO91,AQ91,AS91,AU91)</f>
        <v>16</v>
      </c>
      <c r="AX91" s="6">
        <f>CHOOSE(MATCH(Setup!$B$5,{8,10,12,14,16},0),AN91,AP91,AR91,AT91,AV91)</f>
        <v>0</v>
      </c>
      <c r="AY91" s="6">
        <f>ROUND(1+AX91*'Live Calc'!$D$11,0)</f>
        <v>1</v>
      </c>
      <c r="AZ91" s="6"/>
      <c r="BA91" s="6">
        <f>IF(AZ91&lt;&gt;"",AZ91,ROUND(AY91*INDEX('Live Calc'!$D$44:$D$59,MATCH(AW91,'Live Calc'!$A$44:$A$59,0))*'Live Calc'!$J$78,0))</f>
        <v>1</v>
      </c>
    </row>
    <row r="92" spans="19:53" x14ac:dyDescent="0.25">
      <c r="S92" s="5" t="s">
        <v>361</v>
      </c>
      <c r="T92" s="5" t="s">
        <v>123</v>
      </c>
      <c r="U92" s="5">
        <v>11</v>
      </c>
      <c r="V92" s="5">
        <v>0</v>
      </c>
      <c r="W92" s="5">
        <v>13</v>
      </c>
      <c r="X92" s="5">
        <v>0</v>
      </c>
      <c r="Y92" s="5">
        <v>13</v>
      </c>
      <c r="Z92" s="5">
        <v>0</v>
      </c>
      <c r="AA92" s="5">
        <v>14</v>
      </c>
      <c r="AB92" s="5">
        <v>0</v>
      </c>
      <c r="AC92" s="5">
        <v>14</v>
      </c>
      <c r="AD92" s="5">
        <v>0</v>
      </c>
      <c r="AE92" s="5">
        <f>CHOOSE(MATCH(Setup!$B$5,{8,10,12,14,16},0),U92,W92,Y92,AA92,AC92)</f>
        <v>13</v>
      </c>
      <c r="AF92" s="5">
        <f>CHOOSE(MATCH(Setup!$B$5,{8,10,12,14,16},0),V92,X92,Z92,AB92,AD92)</f>
        <v>0</v>
      </c>
      <c r="AG92" s="5">
        <f>ROUND(1+AF92*'Live Calc'!$D$10,0)</f>
        <v>1</v>
      </c>
      <c r="AH92" s="5"/>
      <c r="AI92" s="5">
        <f>IF(AH92&lt;&gt;"",AH92,ROUND(AG92*INDEX('Live Calc'!$D$27:$D$40,MATCH(AE92,'Live Calc'!$A$27:$A$40,0))*'Live Calc'!$J$78,0))</f>
        <v>1</v>
      </c>
      <c r="AK92" s="6" t="s">
        <v>362</v>
      </c>
      <c r="AL92" s="6" t="s">
        <v>36</v>
      </c>
      <c r="AM92" s="6">
        <v>12</v>
      </c>
      <c r="AN92" s="6">
        <v>0</v>
      </c>
      <c r="AO92" s="6">
        <v>15</v>
      </c>
      <c r="AP92" s="6">
        <v>0</v>
      </c>
      <c r="AQ92" s="6">
        <v>16</v>
      </c>
      <c r="AR92" s="6">
        <v>0</v>
      </c>
      <c r="AS92" s="6">
        <v>14</v>
      </c>
      <c r="AT92" s="6">
        <v>0</v>
      </c>
      <c r="AU92" s="6">
        <v>14</v>
      </c>
      <c r="AV92" s="6">
        <v>0</v>
      </c>
      <c r="AW92" s="6">
        <f>CHOOSE(MATCH(Setup!$B$5,{8,10,12,14,16},0),AM92,AO92,AQ92,AS92,AU92)</f>
        <v>16</v>
      </c>
      <c r="AX92" s="6">
        <f>CHOOSE(MATCH(Setup!$B$5,{8,10,12,14,16},0),AN92,AP92,AR92,AT92,AV92)</f>
        <v>0</v>
      </c>
      <c r="AY92" s="6">
        <f>ROUND(1+AX92*'Live Calc'!$D$11,0)</f>
        <v>1</v>
      </c>
      <c r="AZ92" s="6"/>
      <c r="BA92" s="6">
        <f>IF(AZ92&lt;&gt;"",AZ92,ROUND(AY92*INDEX('Live Calc'!$D$44:$D$59,MATCH(AW92,'Live Calc'!$A$44:$A$59,0))*'Live Calc'!$J$78,0))</f>
        <v>1</v>
      </c>
    </row>
    <row r="93" spans="19:53" x14ac:dyDescent="0.25">
      <c r="S93" s="5" t="s">
        <v>363</v>
      </c>
      <c r="T93" s="5" t="s">
        <v>48</v>
      </c>
      <c r="U93" s="5">
        <v>11</v>
      </c>
      <c r="V93" s="5">
        <v>0</v>
      </c>
      <c r="W93" s="5">
        <v>13</v>
      </c>
      <c r="X93" s="5">
        <v>0</v>
      </c>
      <c r="Y93" s="5">
        <v>13</v>
      </c>
      <c r="Z93" s="5">
        <v>0</v>
      </c>
      <c r="AA93" s="5">
        <v>14</v>
      </c>
      <c r="AB93" s="5">
        <v>0</v>
      </c>
      <c r="AC93" s="5">
        <v>14</v>
      </c>
      <c r="AD93" s="5">
        <v>0</v>
      </c>
      <c r="AE93" s="5">
        <f>CHOOSE(MATCH(Setup!$B$5,{8,10,12,14,16},0),U93,W93,Y93,AA93,AC93)</f>
        <v>13</v>
      </c>
      <c r="AF93" s="5">
        <f>CHOOSE(MATCH(Setup!$B$5,{8,10,12,14,16},0),V93,X93,Z93,AB93,AD93)</f>
        <v>0</v>
      </c>
      <c r="AG93" s="5">
        <f>ROUND(1+AF93*'Live Calc'!$D$10,0)</f>
        <v>1</v>
      </c>
      <c r="AH93" s="5"/>
      <c r="AI93" s="5">
        <f>IF(AH93&lt;&gt;"",AH93,ROUND(AG93*INDEX('Live Calc'!$D$27:$D$40,MATCH(AE93,'Live Calc'!$A$27:$A$40,0))*'Live Calc'!$J$78,0))</f>
        <v>1</v>
      </c>
      <c r="AK93" s="6" t="s">
        <v>364</v>
      </c>
      <c r="AL93" s="6" t="s">
        <v>42</v>
      </c>
      <c r="AM93" s="6">
        <v>12</v>
      </c>
      <c r="AN93" s="6">
        <v>0</v>
      </c>
      <c r="AO93" s="6">
        <v>15</v>
      </c>
      <c r="AP93" s="6">
        <v>0</v>
      </c>
      <c r="AQ93" s="6">
        <v>16</v>
      </c>
      <c r="AR93" s="6">
        <v>0</v>
      </c>
      <c r="AS93" s="6">
        <v>14</v>
      </c>
      <c r="AT93" s="6">
        <v>0</v>
      </c>
      <c r="AU93" s="6">
        <v>14</v>
      </c>
      <c r="AV93" s="6">
        <v>0</v>
      </c>
      <c r="AW93" s="6">
        <f>CHOOSE(MATCH(Setup!$B$5,{8,10,12,14,16},0),AM93,AO93,AQ93,AS93,AU93)</f>
        <v>16</v>
      </c>
      <c r="AX93" s="6">
        <f>CHOOSE(MATCH(Setup!$B$5,{8,10,12,14,16},0),AN93,AP93,AR93,AT93,AV93)</f>
        <v>0</v>
      </c>
      <c r="AY93" s="6">
        <f>ROUND(1+AX93*'Live Calc'!$D$11,0)</f>
        <v>1</v>
      </c>
      <c r="AZ93" s="6"/>
      <c r="BA93" s="6">
        <f>IF(AZ93&lt;&gt;"",AZ93,ROUND(AY93*INDEX('Live Calc'!$D$44:$D$59,MATCH(AW93,'Live Calc'!$A$44:$A$59,0))*'Live Calc'!$J$78,0))</f>
        <v>1</v>
      </c>
    </row>
    <row r="94" spans="19:53" x14ac:dyDescent="0.25">
      <c r="S94" s="5" t="s">
        <v>365</v>
      </c>
      <c r="T94" s="5" t="s">
        <v>30</v>
      </c>
      <c r="U94" s="5">
        <v>11</v>
      </c>
      <c r="V94" s="5">
        <v>0</v>
      </c>
      <c r="W94" s="5">
        <v>13</v>
      </c>
      <c r="X94" s="5">
        <v>0</v>
      </c>
      <c r="Y94" s="5">
        <v>13</v>
      </c>
      <c r="Z94" s="5">
        <v>0</v>
      </c>
      <c r="AA94" s="5">
        <v>14</v>
      </c>
      <c r="AB94" s="5">
        <v>0</v>
      </c>
      <c r="AC94" s="5">
        <v>14</v>
      </c>
      <c r="AD94" s="5">
        <v>0</v>
      </c>
      <c r="AE94" s="5">
        <f>CHOOSE(MATCH(Setup!$B$5,{8,10,12,14,16},0),U94,W94,Y94,AA94,AC94)</f>
        <v>13</v>
      </c>
      <c r="AF94" s="5">
        <f>CHOOSE(MATCH(Setup!$B$5,{8,10,12,14,16},0),V94,X94,Z94,AB94,AD94)</f>
        <v>0</v>
      </c>
      <c r="AG94" s="5">
        <f>ROUND(1+AF94*'Live Calc'!$D$10,0)</f>
        <v>1</v>
      </c>
      <c r="AH94" s="5"/>
      <c r="AI94" s="5">
        <f>IF(AH94&lt;&gt;"",AH94,ROUND(AG94*INDEX('Live Calc'!$D$27:$D$40,MATCH(AE94,'Live Calc'!$A$27:$A$40,0))*'Live Calc'!$J$78,0))</f>
        <v>1</v>
      </c>
      <c r="AK94" s="6" t="s">
        <v>366</v>
      </c>
      <c r="AL94" s="6" t="s">
        <v>34</v>
      </c>
      <c r="AM94" s="6">
        <v>12</v>
      </c>
      <c r="AN94" s="6">
        <v>0</v>
      </c>
      <c r="AO94" s="6">
        <v>15</v>
      </c>
      <c r="AP94" s="6">
        <v>0</v>
      </c>
      <c r="AQ94" s="6">
        <v>16</v>
      </c>
      <c r="AR94" s="6">
        <v>0</v>
      </c>
      <c r="AS94" s="6">
        <v>14</v>
      </c>
      <c r="AT94" s="6">
        <v>0</v>
      </c>
      <c r="AU94" s="6">
        <v>14</v>
      </c>
      <c r="AV94" s="6">
        <v>0</v>
      </c>
      <c r="AW94" s="6">
        <f>CHOOSE(MATCH(Setup!$B$5,{8,10,12,14,16},0),AM94,AO94,AQ94,AS94,AU94)</f>
        <v>16</v>
      </c>
      <c r="AX94" s="6">
        <f>CHOOSE(MATCH(Setup!$B$5,{8,10,12,14,16},0),AN94,AP94,AR94,AT94,AV94)</f>
        <v>0</v>
      </c>
      <c r="AY94" s="6">
        <f>ROUND(1+AX94*'Live Calc'!$D$11,0)</f>
        <v>1</v>
      </c>
      <c r="AZ94" s="6"/>
      <c r="BA94" s="6">
        <f>IF(AZ94&lt;&gt;"",AZ94,ROUND(AY94*INDEX('Live Calc'!$D$44:$D$59,MATCH(AW94,'Live Calc'!$A$44:$A$59,0))*'Live Calc'!$J$78,0))</f>
        <v>1</v>
      </c>
    </row>
    <row r="95" spans="19:53" x14ac:dyDescent="0.25">
      <c r="S95" s="5" t="s">
        <v>367</v>
      </c>
      <c r="T95" s="5" t="s">
        <v>235</v>
      </c>
      <c r="U95" s="5">
        <v>11</v>
      </c>
      <c r="V95" s="5">
        <v>0</v>
      </c>
      <c r="W95" s="5">
        <v>13</v>
      </c>
      <c r="X95" s="5">
        <v>0</v>
      </c>
      <c r="Y95" s="5">
        <v>13</v>
      </c>
      <c r="Z95" s="5">
        <v>0</v>
      </c>
      <c r="AA95" s="5">
        <v>14</v>
      </c>
      <c r="AB95" s="5">
        <v>0</v>
      </c>
      <c r="AC95" s="5">
        <v>14</v>
      </c>
      <c r="AD95" s="5">
        <v>0</v>
      </c>
      <c r="AE95" s="5">
        <f>CHOOSE(MATCH(Setup!$B$5,{8,10,12,14,16},0),U95,W95,Y95,AA95,AC95)</f>
        <v>13</v>
      </c>
      <c r="AF95" s="5">
        <f>CHOOSE(MATCH(Setup!$B$5,{8,10,12,14,16},0),V95,X95,Z95,AB95,AD95)</f>
        <v>0</v>
      </c>
      <c r="AG95" s="5">
        <f>ROUND(1+AF95*'Live Calc'!$D$10,0)</f>
        <v>1</v>
      </c>
      <c r="AH95" s="5"/>
      <c r="AI95" s="5">
        <f>IF(AH95&lt;&gt;"",AH95,ROUND(AG95*INDEX('Live Calc'!$D$27:$D$40,MATCH(AE95,'Live Calc'!$A$27:$A$40,0))*'Live Calc'!$J$78,0))</f>
        <v>1</v>
      </c>
      <c r="AK95" s="6" t="s">
        <v>368</v>
      </c>
      <c r="AL95" s="6" t="s">
        <v>54</v>
      </c>
      <c r="AM95" s="6">
        <v>12</v>
      </c>
      <c r="AN95" s="6">
        <v>0</v>
      </c>
      <c r="AO95" s="6">
        <v>15</v>
      </c>
      <c r="AP95" s="6">
        <v>0</v>
      </c>
      <c r="AQ95" s="6">
        <v>16</v>
      </c>
      <c r="AR95" s="6">
        <v>0</v>
      </c>
      <c r="AS95" s="6">
        <v>14</v>
      </c>
      <c r="AT95" s="6">
        <v>0</v>
      </c>
      <c r="AU95" s="6">
        <v>14</v>
      </c>
      <c r="AV95" s="6">
        <v>0</v>
      </c>
      <c r="AW95" s="6">
        <f>CHOOSE(MATCH(Setup!$B$5,{8,10,12,14,16},0),AM95,AO95,AQ95,AS95,AU95)</f>
        <v>16</v>
      </c>
      <c r="AX95" s="6">
        <f>CHOOSE(MATCH(Setup!$B$5,{8,10,12,14,16},0),AN95,AP95,AR95,AT95,AV95)</f>
        <v>0</v>
      </c>
      <c r="AY95" s="6">
        <f>ROUND(1+AX95*'Live Calc'!$D$11,0)</f>
        <v>1</v>
      </c>
      <c r="AZ95" s="6"/>
      <c r="BA95" s="6">
        <f>IF(AZ95&lt;&gt;"",AZ95,ROUND(AY95*INDEX('Live Calc'!$D$44:$D$59,MATCH(AW95,'Live Calc'!$A$44:$A$59,0))*'Live Calc'!$J$78,0))</f>
        <v>1</v>
      </c>
    </row>
    <row r="96" spans="19:53" x14ac:dyDescent="0.25">
      <c r="S96" s="5" t="s">
        <v>369</v>
      </c>
      <c r="T96" s="5" t="s">
        <v>95</v>
      </c>
      <c r="U96" s="5">
        <v>11</v>
      </c>
      <c r="V96" s="5">
        <v>0</v>
      </c>
      <c r="W96" s="5">
        <v>13</v>
      </c>
      <c r="X96" s="5">
        <v>0</v>
      </c>
      <c r="Y96" s="5">
        <v>13</v>
      </c>
      <c r="Z96" s="5">
        <v>0</v>
      </c>
      <c r="AA96" s="5">
        <v>14</v>
      </c>
      <c r="AB96" s="5">
        <v>0</v>
      </c>
      <c r="AC96" s="5">
        <v>14</v>
      </c>
      <c r="AD96" s="5">
        <v>0</v>
      </c>
      <c r="AE96" s="5">
        <f>CHOOSE(MATCH(Setup!$B$5,{8,10,12,14,16},0),U96,W96,Y96,AA96,AC96)</f>
        <v>13</v>
      </c>
      <c r="AF96" s="5">
        <f>CHOOSE(MATCH(Setup!$B$5,{8,10,12,14,16},0),V96,X96,Z96,AB96,AD96)</f>
        <v>0</v>
      </c>
      <c r="AG96" s="5">
        <f>ROUND(1+AF96*'Live Calc'!$D$10,0)</f>
        <v>1</v>
      </c>
      <c r="AH96" s="5"/>
      <c r="AI96" s="5">
        <f>IF(AH96&lt;&gt;"",AH96,ROUND(AG96*INDEX('Live Calc'!$D$27:$D$40,MATCH(AE96,'Live Calc'!$A$27:$A$40,0))*'Live Calc'!$J$78,0))</f>
        <v>1</v>
      </c>
      <c r="AK96" s="6" t="s">
        <v>370</v>
      </c>
      <c r="AL96" s="6" t="s">
        <v>95</v>
      </c>
      <c r="AM96" s="6">
        <v>12</v>
      </c>
      <c r="AN96" s="6">
        <v>0</v>
      </c>
      <c r="AO96" s="6">
        <v>15</v>
      </c>
      <c r="AP96" s="6">
        <v>0</v>
      </c>
      <c r="AQ96" s="6">
        <v>16</v>
      </c>
      <c r="AR96" s="6">
        <v>0</v>
      </c>
      <c r="AS96" s="6">
        <v>14</v>
      </c>
      <c r="AT96" s="6">
        <v>0</v>
      </c>
      <c r="AU96" s="6">
        <v>14</v>
      </c>
      <c r="AV96" s="6">
        <v>0</v>
      </c>
      <c r="AW96" s="6">
        <f>CHOOSE(MATCH(Setup!$B$5,{8,10,12,14,16},0),AM96,AO96,AQ96,AS96,AU96)</f>
        <v>16</v>
      </c>
      <c r="AX96" s="6">
        <f>CHOOSE(MATCH(Setup!$B$5,{8,10,12,14,16},0),AN96,AP96,AR96,AT96,AV96)</f>
        <v>0</v>
      </c>
      <c r="AY96" s="6">
        <f>ROUND(1+AX96*'Live Calc'!$D$11,0)</f>
        <v>1</v>
      </c>
      <c r="AZ96" s="6"/>
      <c r="BA96" s="6">
        <f>IF(AZ96&lt;&gt;"",AZ96,ROUND(AY96*INDEX('Live Calc'!$D$44:$D$59,MATCH(AW96,'Live Calc'!$A$44:$A$59,0))*'Live Calc'!$J$78,0))</f>
        <v>1</v>
      </c>
    </row>
    <row r="97" spans="19:53" x14ac:dyDescent="0.25">
      <c r="S97" s="5" t="s">
        <v>371</v>
      </c>
      <c r="T97" s="5" t="s">
        <v>153</v>
      </c>
      <c r="U97" s="5">
        <v>11</v>
      </c>
      <c r="V97" s="5">
        <v>0</v>
      </c>
      <c r="W97" s="5">
        <v>13</v>
      </c>
      <c r="X97" s="5">
        <v>0</v>
      </c>
      <c r="Y97" s="5">
        <v>13</v>
      </c>
      <c r="Z97" s="5">
        <v>0</v>
      </c>
      <c r="AA97" s="5">
        <v>14</v>
      </c>
      <c r="AB97" s="5">
        <v>0</v>
      </c>
      <c r="AC97" s="5">
        <v>14</v>
      </c>
      <c r="AD97" s="5">
        <v>0</v>
      </c>
      <c r="AE97" s="5">
        <f>CHOOSE(MATCH(Setup!$B$5,{8,10,12,14,16},0),U97,W97,Y97,AA97,AC97)</f>
        <v>13</v>
      </c>
      <c r="AF97" s="5">
        <f>CHOOSE(MATCH(Setup!$B$5,{8,10,12,14,16},0),V97,X97,Z97,AB97,AD97)</f>
        <v>0</v>
      </c>
      <c r="AG97" s="5">
        <f>ROUND(1+AF97*'Live Calc'!$D$10,0)</f>
        <v>1</v>
      </c>
      <c r="AH97" s="5"/>
      <c r="AI97" s="5">
        <f>IF(AH97&lt;&gt;"",AH97,ROUND(AG97*INDEX('Live Calc'!$D$27:$D$40,MATCH(AE97,'Live Calc'!$A$27:$A$40,0))*'Live Calc'!$J$78,0))</f>
        <v>1</v>
      </c>
      <c r="AK97" s="6" t="s">
        <v>372</v>
      </c>
      <c r="AL97" s="6" t="s">
        <v>42</v>
      </c>
      <c r="AM97" s="6">
        <v>12</v>
      </c>
      <c r="AN97" s="6">
        <v>0</v>
      </c>
      <c r="AO97" s="6">
        <v>15</v>
      </c>
      <c r="AP97" s="6">
        <v>0</v>
      </c>
      <c r="AQ97" s="6">
        <v>16</v>
      </c>
      <c r="AR97" s="6">
        <v>0</v>
      </c>
      <c r="AS97" s="6">
        <v>14</v>
      </c>
      <c r="AT97" s="6">
        <v>0</v>
      </c>
      <c r="AU97" s="6">
        <v>14</v>
      </c>
      <c r="AV97" s="6">
        <v>0</v>
      </c>
      <c r="AW97" s="6">
        <f>CHOOSE(MATCH(Setup!$B$5,{8,10,12,14,16},0),AM97,AO97,AQ97,AS97,AU97)</f>
        <v>16</v>
      </c>
      <c r="AX97" s="6">
        <f>CHOOSE(MATCH(Setup!$B$5,{8,10,12,14,16},0),AN97,AP97,AR97,AT97,AV97)</f>
        <v>0</v>
      </c>
      <c r="AY97" s="6">
        <f>ROUND(1+AX97*'Live Calc'!$D$11,0)</f>
        <v>1</v>
      </c>
      <c r="AZ97" s="6"/>
      <c r="BA97" s="6">
        <f>IF(AZ97&lt;&gt;"",AZ97,ROUND(AY97*INDEX('Live Calc'!$D$44:$D$59,MATCH(AW97,'Live Calc'!$A$44:$A$59,0))*'Live Calc'!$J$78,0))</f>
        <v>1</v>
      </c>
    </row>
    <row r="98" spans="19:53" x14ac:dyDescent="0.25">
      <c r="S98" s="5" t="s">
        <v>373</v>
      </c>
      <c r="T98" s="5" t="s">
        <v>48</v>
      </c>
      <c r="U98" s="5">
        <v>11</v>
      </c>
      <c r="V98" s="5">
        <v>0</v>
      </c>
      <c r="W98" s="5">
        <v>13</v>
      </c>
      <c r="X98" s="5">
        <v>0</v>
      </c>
      <c r="Y98" s="5">
        <v>13</v>
      </c>
      <c r="Z98" s="5">
        <v>0</v>
      </c>
      <c r="AA98" s="5">
        <v>14</v>
      </c>
      <c r="AB98" s="5">
        <v>0</v>
      </c>
      <c r="AC98" s="5">
        <v>14</v>
      </c>
      <c r="AD98" s="5">
        <v>0</v>
      </c>
      <c r="AE98" s="5">
        <f>CHOOSE(MATCH(Setup!$B$5,{8,10,12,14,16},0),U98,W98,Y98,AA98,AC98)</f>
        <v>13</v>
      </c>
      <c r="AF98" s="5">
        <f>CHOOSE(MATCH(Setup!$B$5,{8,10,12,14,16},0),V98,X98,Z98,AB98,AD98)</f>
        <v>0</v>
      </c>
      <c r="AG98" s="5">
        <f>ROUND(1+AF98*'Live Calc'!$D$10,0)</f>
        <v>1</v>
      </c>
      <c r="AH98" s="5"/>
      <c r="AI98" s="5">
        <f>IF(AH98&lt;&gt;"",AH98,ROUND(AG98*INDEX('Live Calc'!$D$27:$D$40,MATCH(AE98,'Live Calc'!$A$27:$A$40,0))*'Live Calc'!$J$78,0))</f>
        <v>1</v>
      </c>
      <c r="AK98" s="6" t="s">
        <v>374</v>
      </c>
      <c r="AL98" s="6" t="s">
        <v>44</v>
      </c>
      <c r="AM98" s="6">
        <v>12</v>
      </c>
      <c r="AN98" s="6">
        <v>0</v>
      </c>
      <c r="AO98" s="6">
        <v>15</v>
      </c>
      <c r="AP98" s="6">
        <v>0</v>
      </c>
      <c r="AQ98" s="6">
        <v>16</v>
      </c>
      <c r="AR98" s="6">
        <v>0</v>
      </c>
      <c r="AS98" s="6">
        <v>14</v>
      </c>
      <c r="AT98" s="6">
        <v>0</v>
      </c>
      <c r="AU98" s="6">
        <v>14</v>
      </c>
      <c r="AV98" s="6">
        <v>0</v>
      </c>
      <c r="AW98" s="6">
        <f>CHOOSE(MATCH(Setup!$B$5,{8,10,12,14,16},0),AM98,AO98,AQ98,AS98,AU98)</f>
        <v>16</v>
      </c>
      <c r="AX98" s="6">
        <f>CHOOSE(MATCH(Setup!$B$5,{8,10,12,14,16},0),AN98,AP98,AR98,AT98,AV98)</f>
        <v>0</v>
      </c>
      <c r="AY98" s="6">
        <f>ROUND(1+AX98*'Live Calc'!$D$11,0)</f>
        <v>1</v>
      </c>
      <c r="AZ98" s="6"/>
      <c r="BA98" s="6">
        <f>IF(AZ98&lt;&gt;"",AZ98,ROUND(AY98*INDEX('Live Calc'!$D$44:$D$59,MATCH(AW98,'Live Calc'!$A$44:$A$59,0))*'Live Calc'!$J$78,0))</f>
        <v>1</v>
      </c>
    </row>
    <row r="99" spans="19:53" x14ac:dyDescent="0.25">
      <c r="S99" s="5" t="s">
        <v>375</v>
      </c>
      <c r="T99" s="5" t="s">
        <v>48</v>
      </c>
      <c r="U99" s="5">
        <v>11</v>
      </c>
      <c r="V99" s="5">
        <v>0</v>
      </c>
      <c r="W99" s="5">
        <v>13</v>
      </c>
      <c r="X99" s="5">
        <v>0</v>
      </c>
      <c r="Y99" s="5">
        <v>13</v>
      </c>
      <c r="Z99" s="5">
        <v>0</v>
      </c>
      <c r="AA99" s="5">
        <v>14</v>
      </c>
      <c r="AB99" s="5">
        <v>0</v>
      </c>
      <c r="AC99" s="5">
        <v>14</v>
      </c>
      <c r="AD99" s="5">
        <v>0</v>
      </c>
      <c r="AE99" s="5">
        <f>CHOOSE(MATCH(Setup!$B$5,{8,10,12,14,16},0),U99,W99,Y99,AA99,AC99)</f>
        <v>13</v>
      </c>
      <c r="AF99" s="5">
        <f>CHOOSE(MATCH(Setup!$B$5,{8,10,12,14,16},0),V99,X99,Z99,AB99,AD99)</f>
        <v>0</v>
      </c>
      <c r="AG99" s="5">
        <f>ROUND(1+AF99*'Live Calc'!$D$10,0)</f>
        <v>1</v>
      </c>
      <c r="AH99" s="5"/>
      <c r="AI99" s="5">
        <f>IF(AH99&lt;&gt;"",AH99,ROUND(AG99*INDEX('Live Calc'!$D$27:$D$40,MATCH(AE99,'Live Calc'!$A$27:$A$40,0))*'Live Calc'!$J$78,0))</f>
        <v>1</v>
      </c>
      <c r="AK99" s="6" t="s">
        <v>376</v>
      </c>
      <c r="AL99" s="6" t="s">
        <v>32</v>
      </c>
      <c r="AM99" s="6">
        <v>12</v>
      </c>
      <c r="AN99" s="6">
        <v>0</v>
      </c>
      <c r="AO99" s="6">
        <v>15</v>
      </c>
      <c r="AP99" s="6">
        <v>0</v>
      </c>
      <c r="AQ99" s="6">
        <v>16</v>
      </c>
      <c r="AR99" s="6">
        <v>0</v>
      </c>
      <c r="AS99" s="6">
        <v>14</v>
      </c>
      <c r="AT99" s="6">
        <v>0</v>
      </c>
      <c r="AU99" s="6">
        <v>14</v>
      </c>
      <c r="AV99" s="6">
        <v>0</v>
      </c>
      <c r="AW99" s="6">
        <f>CHOOSE(MATCH(Setup!$B$5,{8,10,12,14,16},0),AM99,AO99,AQ99,AS99,AU99)</f>
        <v>16</v>
      </c>
      <c r="AX99" s="6">
        <f>CHOOSE(MATCH(Setup!$B$5,{8,10,12,14,16},0),AN99,AP99,AR99,AT99,AV99)</f>
        <v>0</v>
      </c>
      <c r="AY99" s="6">
        <f>ROUND(1+AX99*'Live Calc'!$D$11,0)</f>
        <v>1</v>
      </c>
      <c r="AZ99" s="6"/>
      <c r="BA99" s="6">
        <f>IF(AZ99&lt;&gt;"",AZ99,ROUND(AY99*INDEX('Live Calc'!$D$44:$D$59,MATCH(AW99,'Live Calc'!$A$44:$A$59,0))*'Live Calc'!$J$78,0))</f>
        <v>1</v>
      </c>
    </row>
    <row r="100" spans="19:53" x14ac:dyDescent="0.25">
      <c r="S100" s="5" t="s">
        <v>377</v>
      </c>
      <c r="T100" s="5" t="s">
        <v>50</v>
      </c>
      <c r="U100" s="5">
        <v>11</v>
      </c>
      <c r="V100" s="5">
        <v>0</v>
      </c>
      <c r="W100" s="5">
        <v>13</v>
      </c>
      <c r="X100" s="5">
        <v>0</v>
      </c>
      <c r="Y100" s="5">
        <v>13</v>
      </c>
      <c r="Z100" s="5">
        <v>0</v>
      </c>
      <c r="AA100" s="5">
        <v>14</v>
      </c>
      <c r="AB100" s="5">
        <v>0</v>
      </c>
      <c r="AC100" s="5">
        <v>14</v>
      </c>
      <c r="AD100" s="5">
        <v>0</v>
      </c>
      <c r="AE100" s="5">
        <f>CHOOSE(MATCH(Setup!$B$5,{8,10,12,14,16},0),U100,W100,Y100,AA100,AC100)</f>
        <v>13</v>
      </c>
      <c r="AF100" s="5">
        <f>CHOOSE(MATCH(Setup!$B$5,{8,10,12,14,16},0),V100,X100,Z100,AB100,AD100)</f>
        <v>0</v>
      </c>
      <c r="AG100" s="5">
        <f>ROUND(1+AF100*'Live Calc'!$D$10,0)</f>
        <v>1</v>
      </c>
      <c r="AH100" s="5"/>
      <c r="AI100" s="5">
        <f>IF(AH100&lt;&gt;"",AH100,ROUND(AG100*INDEX('Live Calc'!$D$27:$D$40,MATCH(AE100,'Live Calc'!$A$27:$A$40,0))*'Live Calc'!$J$78,0))</f>
        <v>1</v>
      </c>
      <c r="AK100" s="6" t="s">
        <v>378</v>
      </c>
      <c r="AL100" s="6" t="s">
        <v>102</v>
      </c>
      <c r="AM100" s="6">
        <v>12</v>
      </c>
      <c r="AN100" s="6">
        <v>0</v>
      </c>
      <c r="AO100" s="6">
        <v>15</v>
      </c>
      <c r="AP100" s="6">
        <v>0</v>
      </c>
      <c r="AQ100" s="6">
        <v>16</v>
      </c>
      <c r="AR100" s="6">
        <v>0</v>
      </c>
      <c r="AS100" s="6">
        <v>14</v>
      </c>
      <c r="AT100" s="6">
        <v>0</v>
      </c>
      <c r="AU100" s="6">
        <v>14</v>
      </c>
      <c r="AV100" s="6">
        <v>0</v>
      </c>
      <c r="AW100" s="6">
        <f>CHOOSE(MATCH(Setup!$B$5,{8,10,12,14,16},0),AM100,AO100,AQ100,AS100,AU100)</f>
        <v>16</v>
      </c>
      <c r="AX100" s="6">
        <f>CHOOSE(MATCH(Setup!$B$5,{8,10,12,14,16},0),AN100,AP100,AR100,AT100,AV100)</f>
        <v>0</v>
      </c>
      <c r="AY100" s="6">
        <f>ROUND(1+AX100*'Live Calc'!$D$11,0)</f>
        <v>1</v>
      </c>
      <c r="AZ100" s="6"/>
      <c r="BA100" s="6">
        <f>IF(AZ100&lt;&gt;"",AZ100,ROUND(AY100*INDEX('Live Calc'!$D$44:$D$59,MATCH(AW100,'Live Calc'!$A$44:$A$59,0))*'Live Calc'!$J$78,0))</f>
        <v>1</v>
      </c>
    </row>
    <row r="101" spans="19:53" x14ac:dyDescent="0.25">
      <c r="S101" s="5" t="s">
        <v>379</v>
      </c>
      <c r="T101" s="5" t="s">
        <v>85</v>
      </c>
      <c r="U101" s="5">
        <v>11</v>
      </c>
      <c r="V101" s="5">
        <v>0</v>
      </c>
      <c r="W101" s="5">
        <v>13</v>
      </c>
      <c r="X101" s="5">
        <v>0</v>
      </c>
      <c r="Y101" s="5">
        <v>13</v>
      </c>
      <c r="Z101" s="5">
        <v>0</v>
      </c>
      <c r="AA101" s="5">
        <v>14</v>
      </c>
      <c r="AB101" s="5">
        <v>0</v>
      </c>
      <c r="AC101" s="5">
        <v>14</v>
      </c>
      <c r="AD101" s="5">
        <v>0</v>
      </c>
      <c r="AE101" s="5">
        <f>CHOOSE(MATCH(Setup!$B$5,{8,10,12,14,16},0),U101,W101,Y101,AA101,AC101)</f>
        <v>13</v>
      </c>
      <c r="AF101" s="5">
        <f>CHOOSE(MATCH(Setup!$B$5,{8,10,12,14,16},0),V101,X101,Z101,AB101,AD101)</f>
        <v>0</v>
      </c>
      <c r="AG101" s="5">
        <f>ROUND(1+AF101*'Live Calc'!$D$10,0)</f>
        <v>1</v>
      </c>
      <c r="AH101" s="5"/>
      <c r="AI101" s="5">
        <f>IF(AH101&lt;&gt;"",AH101,ROUND(AG101*INDEX('Live Calc'!$D$27:$D$40,MATCH(AE101,'Live Calc'!$A$27:$A$40,0))*'Live Calc'!$J$78,0))</f>
        <v>1</v>
      </c>
      <c r="AK101" s="6" t="s">
        <v>380</v>
      </c>
      <c r="AL101" s="6" t="s">
        <v>57</v>
      </c>
      <c r="AM101" s="6">
        <v>12</v>
      </c>
      <c r="AN101" s="6">
        <v>0</v>
      </c>
      <c r="AO101" s="6">
        <v>15</v>
      </c>
      <c r="AP101" s="6">
        <v>0</v>
      </c>
      <c r="AQ101" s="6">
        <v>16</v>
      </c>
      <c r="AR101" s="6">
        <v>0</v>
      </c>
      <c r="AS101" s="6">
        <v>14</v>
      </c>
      <c r="AT101" s="6">
        <v>0</v>
      </c>
      <c r="AU101" s="6">
        <v>14</v>
      </c>
      <c r="AV101" s="6">
        <v>0</v>
      </c>
      <c r="AW101" s="6">
        <f>CHOOSE(MATCH(Setup!$B$5,{8,10,12,14,16},0),AM101,AO101,AQ101,AS101,AU101)</f>
        <v>16</v>
      </c>
      <c r="AX101" s="6">
        <f>CHOOSE(MATCH(Setup!$B$5,{8,10,12,14,16},0),AN101,AP101,AR101,AT101,AV101)</f>
        <v>0</v>
      </c>
      <c r="AY101" s="6">
        <f>ROUND(1+AX101*'Live Calc'!$D$11,0)</f>
        <v>1</v>
      </c>
      <c r="AZ101" s="6"/>
      <c r="BA101" s="6">
        <f>IF(AZ101&lt;&gt;"",AZ101,ROUND(AY101*INDEX('Live Calc'!$D$44:$D$59,MATCH(AW101,'Live Calc'!$A$44:$A$59,0))*'Live Calc'!$J$78,0))</f>
        <v>1</v>
      </c>
    </row>
    <row r="102" spans="19:53" x14ac:dyDescent="0.25">
      <c r="S102" s="5" t="s">
        <v>381</v>
      </c>
      <c r="T102" s="5" t="s">
        <v>54</v>
      </c>
      <c r="U102" s="5">
        <v>11</v>
      </c>
      <c r="V102" s="5">
        <v>0</v>
      </c>
      <c r="W102" s="5">
        <v>13</v>
      </c>
      <c r="X102" s="5">
        <v>0</v>
      </c>
      <c r="Y102" s="5">
        <v>13</v>
      </c>
      <c r="Z102" s="5">
        <v>0</v>
      </c>
      <c r="AA102" s="5">
        <v>14</v>
      </c>
      <c r="AB102" s="5">
        <v>0</v>
      </c>
      <c r="AC102" s="5">
        <v>14</v>
      </c>
      <c r="AD102" s="5">
        <v>0</v>
      </c>
      <c r="AE102" s="5">
        <f>CHOOSE(MATCH(Setup!$B$5,{8,10,12,14,16},0),U102,W102,Y102,AA102,AC102)</f>
        <v>13</v>
      </c>
      <c r="AF102" s="5">
        <f>CHOOSE(MATCH(Setup!$B$5,{8,10,12,14,16},0),V102,X102,Z102,AB102,AD102)</f>
        <v>0</v>
      </c>
      <c r="AG102" s="5">
        <f>ROUND(1+AF102*'Live Calc'!$D$10,0)</f>
        <v>1</v>
      </c>
      <c r="AH102" s="5"/>
      <c r="AI102" s="5">
        <f>IF(AH102&lt;&gt;"",AH102,ROUND(AG102*INDEX('Live Calc'!$D$27:$D$40,MATCH(AE102,'Live Calc'!$A$27:$A$40,0))*'Live Calc'!$J$78,0))</f>
        <v>1</v>
      </c>
      <c r="AK102" s="6" t="s">
        <v>382</v>
      </c>
      <c r="AL102" s="6" t="s">
        <v>32</v>
      </c>
      <c r="AM102" s="6">
        <v>12</v>
      </c>
      <c r="AN102" s="6">
        <v>0</v>
      </c>
      <c r="AO102" s="6">
        <v>15</v>
      </c>
      <c r="AP102" s="6">
        <v>0</v>
      </c>
      <c r="AQ102" s="6">
        <v>16</v>
      </c>
      <c r="AR102" s="6">
        <v>0</v>
      </c>
      <c r="AS102" s="6">
        <v>14</v>
      </c>
      <c r="AT102" s="6">
        <v>0</v>
      </c>
      <c r="AU102" s="6">
        <v>14</v>
      </c>
      <c r="AV102" s="6">
        <v>0</v>
      </c>
      <c r="AW102" s="6">
        <f>CHOOSE(MATCH(Setup!$B$5,{8,10,12,14,16},0),AM102,AO102,AQ102,AS102,AU102)</f>
        <v>16</v>
      </c>
      <c r="AX102" s="6">
        <f>CHOOSE(MATCH(Setup!$B$5,{8,10,12,14,16},0),AN102,AP102,AR102,AT102,AV102)</f>
        <v>0</v>
      </c>
      <c r="AY102" s="6">
        <f>ROUND(1+AX102*'Live Calc'!$D$11,0)</f>
        <v>1</v>
      </c>
      <c r="AZ102" s="6"/>
      <c r="BA102" s="6">
        <f>IF(AZ102&lt;&gt;"",AZ102,ROUND(AY102*INDEX('Live Calc'!$D$44:$D$59,MATCH(AW102,'Live Calc'!$A$44:$A$59,0))*'Live Calc'!$J$78,0))</f>
        <v>1</v>
      </c>
    </row>
    <row r="103" spans="19:53" x14ac:dyDescent="0.25">
      <c r="S103" s="5" t="s">
        <v>383</v>
      </c>
      <c r="T103" s="5" t="s">
        <v>57</v>
      </c>
      <c r="U103" s="5">
        <v>11</v>
      </c>
      <c r="V103" s="5">
        <v>0</v>
      </c>
      <c r="W103" s="5">
        <v>13</v>
      </c>
      <c r="X103" s="5">
        <v>0</v>
      </c>
      <c r="Y103" s="5">
        <v>13</v>
      </c>
      <c r="Z103" s="5">
        <v>0</v>
      </c>
      <c r="AA103" s="5">
        <v>14</v>
      </c>
      <c r="AB103" s="5">
        <v>0</v>
      </c>
      <c r="AC103" s="5">
        <v>14</v>
      </c>
      <c r="AD103" s="5">
        <v>0</v>
      </c>
      <c r="AE103" s="5">
        <f>CHOOSE(MATCH(Setup!$B$5,{8,10,12,14,16},0),U103,W103,Y103,AA103,AC103)</f>
        <v>13</v>
      </c>
      <c r="AF103" s="5">
        <f>CHOOSE(MATCH(Setup!$B$5,{8,10,12,14,16},0),V103,X103,Z103,AB103,AD103)</f>
        <v>0</v>
      </c>
      <c r="AG103" s="5">
        <f>ROUND(1+AF103*'Live Calc'!$D$10,0)</f>
        <v>1</v>
      </c>
      <c r="AH103" s="5"/>
      <c r="AI103" s="5">
        <f>IF(AH103&lt;&gt;"",AH103,ROUND(AG103*INDEX('Live Calc'!$D$27:$D$40,MATCH(AE103,'Live Calc'!$A$27:$A$40,0))*'Live Calc'!$J$78,0))</f>
        <v>1</v>
      </c>
      <c r="AK103" s="6" t="s">
        <v>384</v>
      </c>
      <c r="AL103" s="6" t="s">
        <v>62</v>
      </c>
      <c r="AM103" s="6">
        <v>12</v>
      </c>
      <c r="AN103" s="6">
        <v>0</v>
      </c>
      <c r="AO103" s="6">
        <v>15</v>
      </c>
      <c r="AP103" s="6">
        <v>0</v>
      </c>
      <c r="AQ103" s="6">
        <v>16</v>
      </c>
      <c r="AR103" s="6">
        <v>0</v>
      </c>
      <c r="AS103" s="6">
        <v>14</v>
      </c>
      <c r="AT103" s="6">
        <v>0</v>
      </c>
      <c r="AU103" s="6">
        <v>14</v>
      </c>
      <c r="AV103" s="6">
        <v>0</v>
      </c>
      <c r="AW103" s="6">
        <f>CHOOSE(MATCH(Setup!$B$5,{8,10,12,14,16},0),AM103,AO103,AQ103,AS103,AU103)</f>
        <v>16</v>
      </c>
      <c r="AX103" s="6">
        <f>CHOOSE(MATCH(Setup!$B$5,{8,10,12,14,16},0),AN103,AP103,AR103,AT103,AV103)</f>
        <v>0</v>
      </c>
      <c r="AY103" s="6">
        <f>ROUND(1+AX103*'Live Calc'!$D$11,0)</f>
        <v>1</v>
      </c>
      <c r="AZ103" s="6"/>
      <c r="BA103" s="6">
        <f>IF(AZ103&lt;&gt;"",AZ103,ROUND(AY103*INDEX('Live Calc'!$D$44:$D$59,MATCH(AW103,'Live Calc'!$A$44:$A$59,0))*'Live Calc'!$J$78,0))</f>
        <v>1</v>
      </c>
    </row>
    <row r="104" spans="19:53" x14ac:dyDescent="0.25">
      <c r="S104" s="5" t="s">
        <v>385</v>
      </c>
      <c r="T104" s="5" t="s">
        <v>153</v>
      </c>
      <c r="U104" s="5">
        <v>11</v>
      </c>
      <c r="V104" s="5">
        <v>0</v>
      </c>
      <c r="W104" s="5">
        <v>13</v>
      </c>
      <c r="X104" s="5">
        <v>0</v>
      </c>
      <c r="Y104" s="5">
        <v>13</v>
      </c>
      <c r="Z104" s="5">
        <v>0</v>
      </c>
      <c r="AA104" s="5">
        <v>14</v>
      </c>
      <c r="AB104" s="5">
        <v>0</v>
      </c>
      <c r="AC104" s="5">
        <v>14</v>
      </c>
      <c r="AD104" s="5">
        <v>0</v>
      </c>
      <c r="AE104" s="5">
        <f>CHOOSE(MATCH(Setup!$B$5,{8,10,12,14,16},0),U104,W104,Y104,AA104,AC104)</f>
        <v>13</v>
      </c>
      <c r="AF104" s="5">
        <f>CHOOSE(MATCH(Setup!$B$5,{8,10,12,14,16},0),V104,X104,Z104,AB104,AD104)</f>
        <v>0</v>
      </c>
      <c r="AG104" s="5">
        <f>ROUND(1+AF104*'Live Calc'!$D$10,0)</f>
        <v>1</v>
      </c>
      <c r="AH104" s="5"/>
      <c r="AI104" s="5">
        <f>IF(AH104&lt;&gt;"",AH104,ROUND(AG104*INDEX('Live Calc'!$D$27:$D$40,MATCH(AE104,'Live Calc'!$A$27:$A$40,0))*'Live Calc'!$J$78,0))</f>
        <v>1</v>
      </c>
      <c r="AK104" s="6" t="s">
        <v>386</v>
      </c>
      <c r="AL104" s="6" t="s">
        <v>34</v>
      </c>
      <c r="AM104" s="6">
        <v>12</v>
      </c>
      <c r="AN104" s="6">
        <v>0</v>
      </c>
      <c r="AO104" s="6">
        <v>15</v>
      </c>
      <c r="AP104" s="6">
        <v>0</v>
      </c>
      <c r="AQ104" s="6">
        <v>16</v>
      </c>
      <c r="AR104" s="6">
        <v>0</v>
      </c>
      <c r="AS104" s="6">
        <v>14</v>
      </c>
      <c r="AT104" s="6">
        <v>0</v>
      </c>
      <c r="AU104" s="6">
        <v>14</v>
      </c>
      <c r="AV104" s="6">
        <v>0</v>
      </c>
      <c r="AW104" s="6">
        <f>CHOOSE(MATCH(Setup!$B$5,{8,10,12,14,16},0),AM104,AO104,AQ104,AS104,AU104)</f>
        <v>16</v>
      </c>
      <c r="AX104" s="6">
        <f>CHOOSE(MATCH(Setup!$B$5,{8,10,12,14,16},0),AN104,AP104,AR104,AT104,AV104)</f>
        <v>0</v>
      </c>
      <c r="AY104" s="6">
        <f>ROUND(1+AX104*'Live Calc'!$D$11,0)</f>
        <v>1</v>
      </c>
      <c r="AZ104" s="6"/>
      <c r="BA104" s="6">
        <f>IF(AZ104&lt;&gt;"",AZ104,ROUND(AY104*INDEX('Live Calc'!$D$44:$D$59,MATCH(AW104,'Live Calc'!$A$44:$A$59,0))*'Live Calc'!$J$78,0))</f>
        <v>1</v>
      </c>
    </row>
    <row r="105" spans="19:53" x14ac:dyDescent="0.25">
      <c r="S105" s="5" t="s">
        <v>387</v>
      </c>
      <c r="T105" s="5" t="s">
        <v>36</v>
      </c>
      <c r="U105" s="5">
        <v>11</v>
      </c>
      <c r="V105" s="5">
        <v>0</v>
      </c>
      <c r="W105" s="5">
        <v>13</v>
      </c>
      <c r="X105" s="5">
        <v>0</v>
      </c>
      <c r="Y105" s="5">
        <v>13</v>
      </c>
      <c r="Z105" s="5">
        <v>0</v>
      </c>
      <c r="AA105" s="5">
        <v>14</v>
      </c>
      <c r="AB105" s="5">
        <v>0</v>
      </c>
      <c r="AC105" s="5">
        <v>14</v>
      </c>
      <c r="AD105" s="5">
        <v>0</v>
      </c>
      <c r="AE105" s="5">
        <f>CHOOSE(MATCH(Setup!$B$5,{8,10,12,14,16},0),U105,W105,Y105,AA105,AC105)</f>
        <v>13</v>
      </c>
      <c r="AF105" s="5">
        <f>CHOOSE(MATCH(Setup!$B$5,{8,10,12,14,16},0),V105,X105,Z105,AB105,AD105)</f>
        <v>0</v>
      </c>
      <c r="AG105" s="5">
        <f>ROUND(1+AF105*'Live Calc'!$D$10,0)</f>
        <v>1</v>
      </c>
      <c r="AH105" s="5"/>
      <c r="AI105" s="5">
        <f>IF(AH105&lt;&gt;"",AH105,ROUND(AG105*INDEX('Live Calc'!$D$27:$D$40,MATCH(AE105,'Live Calc'!$A$27:$A$40,0))*'Live Calc'!$J$78,0))</f>
        <v>1</v>
      </c>
      <c r="AK105" s="6" t="s">
        <v>388</v>
      </c>
      <c r="AL105" s="6" t="s">
        <v>123</v>
      </c>
      <c r="AM105" s="6">
        <v>12</v>
      </c>
      <c r="AN105" s="6">
        <v>0</v>
      </c>
      <c r="AO105" s="6">
        <v>15</v>
      </c>
      <c r="AP105" s="6">
        <v>0</v>
      </c>
      <c r="AQ105" s="6">
        <v>16</v>
      </c>
      <c r="AR105" s="6">
        <v>0</v>
      </c>
      <c r="AS105" s="6">
        <v>14</v>
      </c>
      <c r="AT105" s="6">
        <v>0</v>
      </c>
      <c r="AU105" s="6">
        <v>14</v>
      </c>
      <c r="AV105" s="6">
        <v>0</v>
      </c>
      <c r="AW105" s="6">
        <f>CHOOSE(MATCH(Setup!$B$5,{8,10,12,14,16},0),AM105,AO105,AQ105,AS105,AU105)</f>
        <v>16</v>
      </c>
      <c r="AX105" s="6">
        <f>CHOOSE(MATCH(Setup!$B$5,{8,10,12,14,16},0),AN105,AP105,AR105,AT105,AV105)</f>
        <v>0</v>
      </c>
      <c r="AY105" s="6">
        <f>ROUND(1+AX105*'Live Calc'!$D$11,0)</f>
        <v>1</v>
      </c>
      <c r="AZ105" s="6"/>
      <c r="BA105" s="6">
        <f>IF(AZ105&lt;&gt;"",AZ105,ROUND(AY105*INDEX('Live Calc'!$D$44:$D$59,MATCH(AW105,'Live Calc'!$A$44:$A$59,0))*'Live Calc'!$J$78,0))</f>
        <v>1</v>
      </c>
    </row>
    <row r="106" spans="19:53" x14ac:dyDescent="0.25">
      <c r="S106" s="5" t="s">
        <v>389</v>
      </c>
      <c r="T106" s="5" t="s">
        <v>57</v>
      </c>
      <c r="U106" s="5">
        <v>11</v>
      </c>
      <c r="V106" s="5">
        <v>0</v>
      </c>
      <c r="W106" s="5">
        <v>13</v>
      </c>
      <c r="X106" s="5">
        <v>0</v>
      </c>
      <c r="Y106" s="5">
        <v>13</v>
      </c>
      <c r="Z106" s="5">
        <v>0</v>
      </c>
      <c r="AA106" s="5">
        <v>14</v>
      </c>
      <c r="AB106" s="5">
        <v>0</v>
      </c>
      <c r="AC106" s="5">
        <v>14</v>
      </c>
      <c r="AD106" s="5">
        <v>0</v>
      </c>
      <c r="AE106" s="5">
        <f>CHOOSE(MATCH(Setup!$B$5,{8,10,12,14,16},0),U106,W106,Y106,AA106,AC106)</f>
        <v>13</v>
      </c>
      <c r="AF106" s="5">
        <f>CHOOSE(MATCH(Setup!$B$5,{8,10,12,14,16},0),V106,X106,Z106,AB106,AD106)</f>
        <v>0</v>
      </c>
      <c r="AG106" s="5">
        <f>ROUND(1+AF106*'Live Calc'!$D$10,0)</f>
        <v>1</v>
      </c>
      <c r="AH106" s="5"/>
      <c r="AI106" s="5">
        <f>IF(AH106&lt;&gt;"",AH106,ROUND(AG106*INDEX('Live Calc'!$D$27:$D$40,MATCH(AE106,'Live Calc'!$A$27:$A$40,0))*'Live Calc'!$J$78,0))</f>
        <v>1</v>
      </c>
      <c r="AK106" s="6" t="s">
        <v>390</v>
      </c>
      <c r="AL106" s="6" t="s">
        <v>24</v>
      </c>
      <c r="AM106" s="6">
        <v>12</v>
      </c>
      <c r="AN106" s="6">
        <v>0</v>
      </c>
      <c r="AO106" s="6">
        <v>15</v>
      </c>
      <c r="AP106" s="6">
        <v>0</v>
      </c>
      <c r="AQ106" s="6">
        <v>16</v>
      </c>
      <c r="AR106" s="6">
        <v>0</v>
      </c>
      <c r="AS106" s="6">
        <v>14</v>
      </c>
      <c r="AT106" s="6">
        <v>0</v>
      </c>
      <c r="AU106" s="6">
        <v>14</v>
      </c>
      <c r="AV106" s="6">
        <v>0</v>
      </c>
      <c r="AW106" s="6">
        <f>CHOOSE(MATCH(Setup!$B$5,{8,10,12,14,16},0),AM106,AO106,AQ106,AS106,AU106)</f>
        <v>16</v>
      </c>
      <c r="AX106" s="6">
        <f>CHOOSE(MATCH(Setup!$B$5,{8,10,12,14,16},0),AN106,AP106,AR106,AT106,AV106)</f>
        <v>0</v>
      </c>
      <c r="AY106" s="6">
        <f>ROUND(1+AX106*'Live Calc'!$D$11,0)</f>
        <v>1</v>
      </c>
      <c r="AZ106" s="6"/>
      <c r="BA106" s="6">
        <f>IF(AZ106&lt;&gt;"",AZ106,ROUND(AY106*INDEX('Live Calc'!$D$44:$D$59,MATCH(AW106,'Live Calc'!$A$44:$A$59,0))*'Live Calc'!$J$78,0))</f>
        <v>1</v>
      </c>
    </row>
    <row r="107" spans="19:53" x14ac:dyDescent="0.25">
      <c r="S107" s="5" t="s">
        <v>391</v>
      </c>
      <c r="T107" s="5" t="s">
        <v>235</v>
      </c>
      <c r="U107" s="5">
        <v>11</v>
      </c>
      <c r="V107" s="5">
        <v>0</v>
      </c>
      <c r="W107" s="5">
        <v>13</v>
      </c>
      <c r="X107" s="5">
        <v>0</v>
      </c>
      <c r="Y107" s="5">
        <v>13</v>
      </c>
      <c r="Z107" s="5">
        <v>0</v>
      </c>
      <c r="AA107" s="5">
        <v>14</v>
      </c>
      <c r="AB107" s="5">
        <v>0</v>
      </c>
      <c r="AC107" s="5">
        <v>14</v>
      </c>
      <c r="AD107" s="5">
        <v>0</v>
      </c>
      <c r="AE107" s="5">
        <f>CHOOSE(MATCH(Setup!$B$5,{8,10,12,14,16},0),U107,W107,Y107,AA107,AC107)</f>
        <v>13</v>
      </c>
      <c r="AF107" s="5">
        <f>CHOOSE(MATCH(Setup!$B$5,{8,10,12,14,16},0),V107,X107,Z107,AB107,AD107)</f>
        <v>0</v>
      </c>
      <c r="AG107" s="5">
        <f>ROUND(1+AF107*'Live Calc'!$D$10,0)</f>
        <v>1</v>
      </c>
      <c r="AH107" s="5"/>
      <c r="AI107" s="5">
        <f>IF(AH107&lt;&gt;"",AH107,ROUND(AG107*INDEX('Live Calc'!$D$27:$D$40,MATCH(AE107,'Live Calc'!$A$27:$A$40,0))*'Live Calc'!$J$78,0))</f>
        <v>1</v>
      </c>
      <c r="AK107" s="6" t="s">
        <v>392</v>
      </c>
      <c r="AL107" s="6" t="s">
        <v>62</v>
      </c>
      <c r="AM107" s="6">
        <v>12</v>
      </c>
      <c r="AN107" s="6">
        <v>0</v>
      </c>
      <c r="AO107" s="6">
        <v>15</v>
      </c>
      <c r="AP107" s="6">
        <v>0</v>
      </c>
      <c r="AQ107" s="6">
        <v>16</v>
      </c>
      <c r="AR107" s="6">
        <v>0</v>
      </c>
      <c r="AS107" s="6">
        <v>14</v>
      </c>
      <c r="AT107" s="6">
        <v>0</v>
      </c>
      <c r="AU107" s="6">
        <v>14</v>
      </c>
      <c r="AV107" s="6">
        <v>0</v>
      </c>
      <c r="AW107" s="6">
        <f>CHOOSE(MATCH(Setup!$B$5,{8,10,12,14,16},0),AM107,AO107,AQ107,AS107,AU107)</f>
        <v>16</v>
      </c>
      <c r="AX107" s="6">
        <f>CHOOSE(MATCH(Setup!$B$5,{8,10,12,14,16},0),AN107,AP107,AR107,AT107,AV107)</f>
        <v>0</v>
      </c>
      <c r="AY107" s="6">
        <f>ROUND(1+AX107*'Live Calc'!$D$11,0)</f>
        <v>1</v>
      </c>
      <c r="AZ107" s="6"/>
      <c r="BA107" s="6">
        <f>IF(AZ107&lt;&gt;"",AZ107,ROUND(AY107*INDEX('Live Calc'!$D$44:$D$59,MATCH(AW107,'Live Calc'!$A$44:$A$59,0))*'Live Calc'!$J$78,0))</f>
        <v>1</v>
      </c>
    </row>
    <row r="108" spans="19:53" x14ac:dyDescent="0.25">
      <c r="S108" s="5" t="s">
        <v>393</v>
      </c>
      <c r="T108" s="5" t="s">
        <v>59</v>
      </c>
      <c r="U108" s="5">
        <v>11</v>
      </c>
      <c r="V108" s="5">
        <v>0</v>
      </c>
      <c r="W108" s="5">
        <v>13</v>
      </c>
      <c r="X108" s="5">
        <v>0</v>
      </c>
      <c r="Y108" s="5">
        <v>13</v>
      </c>
      <c r="Z108" s="5">
        <v>0</v>
      </c>
      <c r="AA108" s="5">
        <v>14</v>
      </c>
      <c r="AB108" s="5">
        <v>0</v>
      </c>
      <c r="AC108" s="5">
        <v>14</v>
      </c>
      <c r="AD108" s="5">
        <v>0</v>
      </c>
      <c r="AE108" s="5">
        <f>CHOOSE(MATCH(Setup!$B$5,{8,10,12,14,16},0),U108,W108,Y108,AA108,AC108)</f>
        <v>13</v>
      </c>
      <c r="AF108" s="5">
        <f>CHOOSE(MATCH(Setup!$B$5,{8,10,12,14,16},0),V108,X108,Z108,AB108,AD108)</f>
        <v>0</v>
      </c>
      <c r="AG108" s="5">
        <f>ROUND(1+AF108*'Live Calc'!$D$10,0)</f>
        <v>1</v>
      </c>
      <c r="AH108" s="5"/>
      <c r="AI108" s="5">
        <f>IF(AH108&lt;&gt;"",AH108,ROUND(AG108*INDEX('Live Calc'!$D$27:$D$40,MATCH(AE108,'Live Calc'!$A$27:$A$40,0))*'Live Calc'!$J$78,0))</f>
        <v>1</v>
      </c>
      <c r="AK108" s="6" t="s">
        <v>394</v>
      </c>
      <c r="AL108" s="6" t="s">
        <v>30</v>
      </c>
      <c r="AM108" s="6">
        <v>12</v>
      </c>
      <c r="AN108" s="6">
        <v>0</v>
      </c>
      <c r="AO108" s="6">
        <v>15</v>
      </c>
      <c r="AP108" s="6">
        <v>0</v>
      </c>
      <c r="AQ108" s="6">
        <v>16</v>
      </c>
      <c r="AR108" s="6">
        <v>0</v>
      </c>
      <c r="AS108" s="6">
        <v>14</v>
      </c>
      <c r="AT108" s="6">
        <v>0</v>
      </c>
      <c r="AU108" s="6">
        <v>14</v>
      </c>
      <c r="AV108" s="6">
        <v>0</v>
      </c>
      <c r="AW108" s="6">
        <f>CHOOSE(MATCH(Setup!$B$5,{8,10,12,14,16},0),AM108,AO108,AQ108,AS108,AU108)</f>
        <v>16</v>
      </c>
      <c r="AX108" s="6">
        <f>CHOOSE(MATCH(Setup!$B$5,{8,10,12,14,16},0),AN108,AP108,AR108,AT108,AV108)</f>
        <v>0</v>
      </c>
      <c r="AY108" s="6">
        <f>ROUND(1+AX108*'Live Calc'!$D$11,0)</f>
        <v>1</v>
      </c>
      <c r="AZ108" s="6"/>
      <c r="BA108" s="6">
        <f>IF(AZ108&lt;&gt;"",AZ108,ROUND(AY108*INDEX('Live Calc'!$D$44:$D$59,MATCH(AW108,'Live Calc'!$A$44:$A$59,0))*'Live Calc'!$J$78,0))</f>
        <v>1</v>
      </c>
    </row>
    <row r="109" spans="19:53" x14ac:dyDescent="0.25">
      <c r="S109" s="5" t="s">
        <v>395</v>
      </c>
      <c r="T109" s="5" t="s">
        <v>32</v>
      </c>
      <c r="U109" s="5">
        <v>11</v>
      </c>
      <c r="V109" s="5">
        <v>0</v>
      </c>
      <c r="W109" s="5">
        <v>13</v>
      </c>
      <c r="X109" s="5">
        <v>0</v>
      </c>
      <c r="Y109" s="5">
        <v>13</v>
      </c>
      <c r="Z109" s="5">
        <v>0</v>
      </c>
      <c r="AA109" s="5">
        <v>14</v>
      </c>
      <c r="AB109" s="5">
        <v>0</v>
      </c>
      <c r="AC109" s="5">
        <v>14</v>
      </c>
      <c r="AD109" s="5">
        <v>0</v>
      </c>
      <c r="AE109" s="5">
        <f>CHOOSE(MATCH(Setup!$B$5,{8,10,12,14,16},0),U109,W109,Y109,AA109,AC109)</f>
        <v>13</v>
      </c>
      <c r="AF109" s="5">
        <f>CHOOSE(MATCH(Setup!$B$5,{8,10,12,14,16},0),V109,X109,Z109,AB109,AD109)</f>
        <v>0</v>
      </c>
      <c r="AG109" s="5">
        <f>ROUND(1+AF109*'Live Calc'!$D$10,0)</f>
        <v>1</v>
      </c>
      <c r="AH109" s="5"/>
      <c r="AI109" s="5">
        <f>IF(AH109&lt;&gt;"",AH109,ROUND(AG109*INDEX('Live Calc'!$D$27:$D$40,MATCH(AE109,'Live Calc'!$A$27:$A$40,0))*'Live Calc'!$J$78,0))</f>
        <v>1</v>
      </c>
      <c r="AK109" s="6" t="s">
        <v>396</v>
      </c>
      <c r="AL109" s="6" t="s">
        <v>155</v>
      </c>
      <c r="AM109" s="6">
        <v>12</v>
      </c>
      <c r="AN109" s="6">
        <v>0</v>
      </c>
      <c r="AO109" s="6">
        <v>15</v>
      </c>
      <c r="AP109" s="6">
        <v>0</v>
      </c>
      <c r="AQ109" s="6">
        <v>16</v>
      </c>
      <c r="AR109" s="6">
        <v>0</v>
      </c>
      <c r="AS109" s="6">
        <v>14</v>
      </c>
      <c r="AT109" s="6">
        <v>0</v>
      </c>
      <c r="AU109" s="6">
        <v>14</v>
      </c>
      <c r="AV109" s="6">
        <v>0</v>
      </c>
      <c r="AW109" s="6">
        <f>CHOOSE(MATCH(Setup!$B$5,{8,10,12,14,16},0),AM109,AO109,AQ109,AS109,AU109)</f>
        <v>16</v>
      </c>
      <c r="AX109" s="6">
        <f>CHOOSE(MATCH(Setup!$B$5,{8,10,12,14,16},0),AN109,AP109,AR109,AT109,AV109)</f>
        <v>0</v>
      </c>
      <c r="AY109" s="6">
        <f>ROUND(1+AX109*'Live Calc'!$D$11,0)</f>
        <v>1</v>
      </c>
      <c r="AZ109" s="6"/>
      <c r="BA109" s="6">
        <f>IF(AZ109&lt;&gt;"",AZ109,ROUND(AY109*INDEX('Live Calc'!$D$44:$D$59,MATCH(AW109,'Live Calc'!$A$44:$A$59,0))*'Live Calc'!$J$78,0))</f>
        <v>1</v>
      </c>
    </row>
    <row r="110" spans="19:53" x14ac:dyDescent="0.25">
      <c r="S110" s="5" t="s">
        <v>397</v>
      </c>
      <c r="T110" s="5" t="s">
        <v>95</v>
      </c>
      <c r="U110" s="5">
        <v>11</v>
      </c>
      <c r="V110" s="5">
        <v>0</v>
      </c>
      <c r="W110" s="5">
        <v>13</v>
      </c>
      <c r="X110" s="5">
        <v>0</v>
      </c>
      <c r="Y110" s="5">
        <v>13</v>
      </c>
      <c r="Z110" s="5">
        <v>0</v>
      </c>
      <c r="AA110" s="5">
        <v>14</v>
      </c>
      <c r="AB110" s="5">
        <v>0</v>
      </c>
      <c r="AC110" s="5">
        <v>14</v>
      </c>
      <c r="AD110" s="5">
        <v>0</v>
      </c>
      <c r="AE110" s="5">
        <f>CHOOSE(MATCH(Setup!$B$5,{8,10,12,14,16},0),U110,W110,Y110,AA110,AC110)</f>
        <v>13</v>
      </c>
      <c r="AF110" s="5">
        <f>CHOOSE(MATCH(Setup!$B$5,{8,10,12,14,16},0),V110,X110,Z110,AB110,AD110)</f>
        <v>0</v>
      </c>
      <c r="AG110" s="5">
        <f>ROUND(1+AF110*'Live Calc'!$D$10,0)</f>
        <v>1</v>
      </c>
      <c r="AH110" s="5"/>
      <c r="AI110" s="5">
        <f>IF(AH110&lt;&gt;"",AH110,ROUND(AG110*INDEX('Live Calc'!$D$27:$D$40,MATCH(AE110,'Live Calc'!$A$27:$A$40,0))*'Live Calc'!$J$78,0))</f>
        <v>1</v>
      </c>
      <c r="AK110" s="6" t="s">
        <v>398</v>
      </c>
      <c r="AL110" s="6" t="s">
        <v>155</v>
      </c>
      <c r="AM110" s="6">
        <v>12</v>
      </c>
      <c r="AN110" s="6">
        <v>0</v>
      </c>
      <c r="AO110" s="6">
        <v>15</v>
      </c>
      <c r="AP110" s="6">
        <v>0</v>
      </c>
      <c r="AQ110" s="6">
        <v>16</v>
      </c>
      <c r="AR110" s="6">
        <v>0</v>
      </c>
      <c r="AS110" s="6">
        <v>14</v>
      </c>
      <c r="AT110" s="6">
        <v>0</v>
      </c>
      <c r="AU110" s="6">
        <v>14</v>
      </c>
      <c r="AV110" s="6">
        <v>0</v>
      </c>
      <c r="AW110" s="6">
        <f>CHOOSE(MATCH(Setup!$B$5,{8,10,12,14,16},0),AM110,AO110,AQ110,AS110,AU110)</f>
        <v>16</v>
      </c>
      <c r="AX110" s="6">
        <f>CHOOSE(MATCH(Setup!$B$5,{8,10,12,14,16},0),AN110,AP110,AR110,AT110,AV110)</f>
        <v>0</v>
      </c>
      <c r="AY110" s="6">
        <f>ROUND(1+AX110*'Live Calc'!$D$11,0)</f>
        <v>1</v>
      </c>
      <c r="AZ110" s="6"/>
      <c r="BA110" s="6">
        <f>IF(AZ110&lt;&gt;"",AZ110,ROUND(AY110*INDEX('Live Calc'!$D$44:$D$59,MATCH(AW110,'Live Calc'!$A$44:$A$59,0))*'Live Calc'!$J$78,0))</f>
        <v>1</v>
      </c>
    </row>
    <row r="111" spans="19:53" x14ac:dyDescent="0.25">
      <c r="S111" s="5" t="s">
        <v>399</v>
      </c>
      <c r="T111" s="5" t="s">
        <v>123</v>
      </c>
      <c r="U111" s="5">
        <v>11</v>
      </c>
      <c r="V111" s="5">
        <v>0</v>
      </c>
      <c r="W111" s="5">
        <v>13</v>
      </c>
      <c r="X111" s="5">
        <v>0</v>
      </c>
      <c r="Y111" s="5">
        <v>13</v>
      </c>
      <c r="Z111" s="5">
        <v>0</v>
      </c>
      <c r="AA111" s="5">
        <v>14</v>
      </c>
      <c r="AB111" s="5">
        <v>0</v>
      </c>
      <c r="AC111" s="5">
        <v>14</v>
      </c>
      <c r="AD111" s="5">
        <v>0</v>
      </c>
      <c r="AE111" s="5">
        <f>CHOOSE(MATCH(Setup!$B$5,{8,10,12,14,16},0),U111,W111,Y111,AA111,AC111)</f>
        <v>13</v>
      </c>
      <c r="AF111" s="5">
        <f>CHOOSE(MATCH(Setup!$B$5,{8,10,12,14,16},0),V111,X111,Z111,AB111,AD111)</f>
        <v>0</v>
      </c>
      <c r="AG111" s="5">
        <f>ROUND(1+AF111*'Live Calc'!$D$10,0)</f>
        <v>1</v>
      </c>
      <c r="AH111" s="5"/>
      <c r="AI111" s="5">
        <f>IF(AH111&lt;&gt;"",AH111,ROUND(AG111*INDEX('Live Calc'!$D$27:$D$40,MATCH(AE111,'Live Calc'!$A$27:$A$40,0))*'Live Calc'!$J$78,0))</f>
        <v>1</v>
      </c>
      <c r="AK111" s="6" t="s">
        <v>400</v>
      </c>
      <c r="AL111" s="6" t="s">
        <v>50</v>
      </c>
      <c r="AM111" s="6">
        <v>12</v>
      </c>
      <c r="AN111" s="6">
        <v>0</v>
      </c>
      <c r="AO111" s="6">
        <v>15</v>
      </c>
      <c r="AP111" s="6">
        <v>0</v>
      </c>
      <c r="AQ111" s="6">
        <v>16</v>
      </c>
      <c r="AR111" s="6">
        <v>0</v>
      </c>
      <c r="AS111" s="6">
        <v>14</v>
      </c>
      <c r="AT111" s="6">
        <v>0</v>
      </c>
      <c r="AU111" s="6">
        <v>14</v>
      </c>
      <c r="AV111" s="6">
        <v>0</v>
      </c>
      <c r="AW111" s="6">
        <f>CHOOSE(MATCH(Setup!$B$5,{8,10,12,14,16},0),AM111,AO111,AQ111,AS111,AU111)</f>
        <v>16</v>
      </c>
      <c r="AX111" s="6">
        <f>CHOOSE(MATCH(Setup!$B$5,{8,10,12,14,16},0),AN111,AP111,AR111,AT111,AV111)</f>
        <v>0</v>
      </c>
      <c r="AY111" s="6">
        <f>ROUND(1+AX111*'Live Calc'!$D$11,0)</f>
        <v>1</v>
      </c>
      <c r="AZ111" s="6"/>
      <c r="BA111" s="6">
        <f>IF(AZ111&lt;&gt;"",AZ111,ROUND(AY111*INDEX('Live Calc'!$D$44:$D$59,MATCH(AW111,'Live Calc'!$A$44:$A$59,0))*'Live Calc'!$J$78,0))</f>
        <v>1</v>
      </c>
    </row>
    <row r="112" spans="19:53" x14ac:dyDescent="0.25">
      <c r="S112" s="5" t="s">
        <v>401</v>
      </c>
      <c r="T112" s="5" t="s">
        <v>62</v>
      </c>
      <c r="U112" s="5">
        <v>11</v>
      </c>
      <c r="V112" s="5">
        <v>0</v>
      </c>
      <c r="W112" s="5">
        <v>13</v>
      </c>
      <c r="X112" s="5">
        <v>0</v>
      </c>
      <c r="Y112" s="5">
        <v>13</v>
      </c>
      <c r="Z112" s="5">
        <v>0</v>
      </c>
      <c r="AA112" s="5">
        <v>14</v>
      </c>
      <c r="AB112" s="5">
        <v>0</v>
      </c>
      <c r="AC112" s="5">
        <v>14</v>
      </c>
      <c r="AD112" s="5">
        <v>0</v>
      </c>
      <c r="AE112" s="5">
        <f>CHOOSE(MATCH(Setup!$B$5,{8,10,12,14,16},0),U112,W112,Y112,AA112,AC112)</f>
        <v>13</v>
      </c>
      <c r="AF112" s="5">
        <f>CHOOSE(MATCH(Setup!$B$5,{8,10,12,14,16},0),V112,X112,Z112,AB112,AD112)</f>
        <v>0</v>
      </c>
      <c r="AG112" s="5">
        <f>ROUND(1+AF112*'Live Calc'!$D$10,0)</f>
        <v>1</v>
      </c>
      <c r="AH112" s="5"/>
      <c r="AI112" s="5">
        <f>IF(AH112&lt;&gt;"",AH112,ROUND(AG112*INDEX('Live Calc'!$D$27:$D$40,MATCH(AE112,'Live Calc'!$A$27:$A$40,0))*'Live Calc'!$J$78,0))</f>
        <v>1</v>
      </c>
      <c r="AK112" s="6" t="s">
        <v>402</v>
      </c>
      <c r="AL112" s="6" t="s">
        <v>34</v>
      </c>
      <c r="AM112" s="6">
        <v>12</v>
      </c>
      <c r="AN112" s="6">
        <v>0</v>
      </c>
      <c r="AO112" s="6">
        <v>15</v>
      </c>
      <c r="AP112" s="6">
        <v>0</v>
      </c>
      <c r="AQ112" s="6">
        <v>16</v>
      </c>
      <c r="AR112" s="6">
        <v>0</v>
      </c>
      <c r="AS112" s="6">
        <v>14</v>
      </c>
      <c r="AT112" s="6">
        <v>0</v>
      </c>
      <c r="AU112" s="6">
        <v>14</v>
      </c>
      <c r="AV112" s="6">
        <v>0</v>
      </c>
      <c r="AW112" s="6">
        <f>CHOOSE(MATCH(Setup!$B$5,{8,10,12,14,16},0),AM112,AO112,AQ112,AS112,AU112)</f>
        <v>16</v>
      </c>
      <c r="AX112" s="6">
        <f>CHOOSE(MATCH(Setup!$B$5,{8,10,12,14,16},0),AN112,AP112,AR112,AT112,AV112)</f>
        <v>0</v>
      </c>
      <c r="AY112" s="6">
        <f>ROUND(1+AX112*'Live Calc'!$D$11,0)</f>
        <v>1</v>
      </c>
      <c r="AZ112" s="6"/>
      <c r="BA112" s="6">
        <f>IF(AZ112&lt;&gt;"",AZ112,ROUND(AY112*INDEX('Live Calc'!$D$44:$D$59,MATCH(AW112,'Live Calc'!$A$44:$A$59,0))*'Live Calc'!$J$78,0))</f>
        <v>1</v>
      </c>
    </row>
    <row r="113" spans="19:53" x14ac:dyDescent="0.25">
      <c r="S113" s="5" t="s">
        <v>403</v>
      </c>
      <c r="T113" s="5" t="s">
        <v>70</v>
      </c>
      <c r="U113" s="5">
        <v>11</v>
      </c>
      <c r="V113" s="5">
        <v>0</v>
      </c>
      <c r="W113" s="5">
        <v>13</v>
      </c>
      <c r="X113" s="5">
        <v>0</v>
      </c>
      <c r="Y113" s="5">
        <v>13</v>
      </c>
      <c r="Z113" s="5">
        <v>0</v>
      </c>
      <c r="AA113" s="5">
        <v>14</v>
      </c>
      <c r="AB113" s="5">
        <v>0</v>
      </c>
      <c r="AC113" s="5">
        <v>14</v>
      </c>
      <c r="AD113" s="5">
        <v>0</v>
      </c>
      <c r="AE113" s="5">
        <f>CHOOSE(MATCH(Setup!$B$5,{8,10,12,14,16},0),U113,W113,Y113,AA113,AC113)</f>
        <v>13</v>
      </c>
      <c r="AF113" s="5">
        <f>CHOOSE(MATCH(Setup!$B$5,{8,10,12,14,16},0),V113,X113,Z113,AB113,AD113)</f>
        <v>0</v>
      </c>
      <c r="AG113" s="5">
        <f>ROUND(1+AF113*'Live Calc'!$D$10,0)</f>
        <v>1</v>
      </c>
      <c r="AH113" s="5"/>
      <c r="AI113" s="5">
        <f>IF(AH113&lt;&gt;"",AH113,ROUND(AG113*INDEX('Live Calc'!$D$27:$D$40,MATCH(AE113,'Live Calc'!$A$27:$A$40,0))*'Live Calc'!$J$78,0))</f>
        <v>1</v>
      </c>
      <c r="AK113" s="6" t="s">
        <v>404</v>
      </c>
      <c r="AL113" s="6" t="s">
        <v>123</v>
      </c>
      <c r="AM113" s="6">
        <v>12</v>
      </c>
      <c r="AN113" s="6">
        <v>0</v>
      </c>
      <c r="AO113" s="6">
        <v>15</v>
      </c>
      <c r="AP113" s="6">
        <v>0</v>
      </c>
      <c r="AQ113" s="6">
        <v>16</v>
      </c>
      <c r="AR113" s="6">
        <v>0</v>
      </c>
      <c r="AS113" s="6">
        <v>14</v>
      </c>
      <c r="AT113" s="6">
        <v>0</v>
      </c>
      <c r="AU113" s="6">
        <v>14</v>
      </c>
      <c r="AV113" s="6">
        <v>0</v>
      </c>
      <c r="AW113" s="6">
        <f>CHOOSE(MATCH(Setup!$B$5,{8,10,12,14,16},0),AM113,AO113,AQ113,AS113,AU113)</f>
        <v>16</v>
      </c>
      <c r="AX113" s="6">
        <f>CHOOSE(MATCH(Setup!$B$5,{8,10,12,14,16},0),AN113,AP113,AR113,AT113,AV113)</f>
        <v>0</v>
      </c>
      <c r="AY113" s="6">
        <f>ROUND(1+AX113*'Live Calc'!$D$11,0)</f>
        <v>1</v>
      </c>
      <c r="AZ113" s="6"/>
      <c r="BA113" s="6">
        <f>IF(AZ113&lt;&gt;"",AZ113,ROUND(AY113*INDEX('Live Calc'!$D$44:$D$59,MATCH(AW113,'Live Calc'!$A$44:$A$59,0))*'Live Calc'!$J$78,0))</f>
        <v>1</v>
      </c>
    </row>
    <row r="114" spans="19:53" x14ac:dyDescent="0.25">
      <c r="S114" s="5" t="s">
        <v>405</v>
      </c>
      <c r="T114" s="5" t="s">
        <v>95</v>
      </c>
      <c r="U114" s="5">
        <v>11</v>
      </c>
      <c r="V114" s="5">
        <v>0</v>
      </c>
      <c r="W114" s="5">
        <v>13</v>
      </c>
      <c r="X114" s="5">
        <v>0</v>
      </c>
      <c r="Y114" s="5">
        <v>13</v>
      </c>
      <c r="Z114" s="5">
        <v>0</v>
      </c>
      <c r="AA114" s="5">
        <v>14</v>
      </c>
      <c r="AB114" s="5">
        <v>0</v>
      </c>
      <c r="AC114" s="5">
        <v>14</v>
      </c>
      <c r="AD114" s="5">
        <v>0</v>
      </c>
      <c r="AE114" s="5">
        <f>CHOOSE(MATCH(Setup!$B$5,{8,10,12,14,16},0),U114,W114,Y114,AA114,AC114)</f>
        <v>13</v>
      </c>
      <c r="AF114" s="5">
        <f>CHOOSE(MATCH(Setup!$B$5,{8,10,12,14,16},0),V114,X114,Z114,AB114,AD114)</f>
        <v>0</v>
      </c>
      <c r="AG114" s="5">
        <f>ROUND(1+AF114*'Live Calc'!$D$10,0)</f>
        <v>1</v>
      </c>
      <c r="AH114" s="5"/>
      <c r="AI114" s="5">
        <f>IF(AH114&lt;&gt;"",AH114,ROUND(AG114*INDEX('Live Calc'!$D$27:$D$40,MATCH(AE114,'Live Calc'!$A$27:$A$40,0))*'Live Calc'!$J$78,0))</f>
        <v>1</v>
      </c>
      <c r="AK114" s="6" t="s">
        <v>406</v>
      </c>
      <c r="AL114" s="6" t="s">
        <v>54</v>
      </c>
      <c r="AM114" s="6">
        <v>12</v>
      </c>
      <c r="AN114" s="6">
        <v>0</v>
      </c>
      <c r="AO114" s="6">
        <v>15</v>
      </c>
      <c r="AP114" s="6">
        <v>0</v>
      </c>
      <c r="AQ114" s="6">
        <v>16</v>
      </c>
      <c r="AR114" s="6">
        <v>0</v>
      </c>
      <c r="AS114" s="6">
        <v>14</v>
      </c>
      <c r="AT114" s="6">
        <v>0</v>
      </c>
      <c r="AU114" s="6">
        <v>14</v>
      </c>
      <c r="AV114" s="6">
        <v>0</v>
      </c>
      <c r="AW114" s="6">
        <f>CHOOSE(MATCH(Setup!$B$5,{8,10,12,14,16},0),AM114,AO114,AQ114,AS114,AU114)</f>
        <v>16</v>
      </c>
      <c r="AX114" s="6">
        <f>CHOOSE(MATCH(Setup!$B$5,{8,10,12,14,16},0),AN114,AP114,AR114,AT114,AV114)</f>
        <v>0</v>
      </c>
      <c r="AY114" s="6">
        <f>ROUND(1+AX114*'Live Calc'!$D$11,0)</f>
        <v>1</v>
      </c>
      <c r="AZ114" s="6"/>
      <c r="BA114" s="6">
        <f>IF(AZ114&lt;&gt;"",AZ114,ROUND(AY114*INDEX('Live Calc'!$D$44:$D$59,MATCH(AW114,'Live Calc'!$A$44:$A$59,0))*'Live Calc'!$J$78,0))</f>
        <v>1</v>
      </c>
    </row>
    <row r="115" spans="19:53" x14ac:dyDescent="0.25">
      <c r="S115" s="5" t="s">
        <v>407</v>
      </c>
      <c r="T115" s="5" t="s">
        <v>42</v>
      </c>
      <c r="U115" s="5">
        <v>11</v>
      </c>
      <c r="V115" s="5">
        <v>0</v>
      </c>
      <c r="W115" s="5">
        <v>13</v>
      </c>
      <c r="X115" s="5">
        <v>0</v>
      </c>
      <c r="Y115" s="5">
        <v>13</v>
      </c>
      <c r="Z115" s="5">
        <v>0</v>
      </c>
      <c r="AA115" s="5">
        <v>14</v>
      </c>
      <c r="AB115" s="5">
        <v>0</v>
      </c>
      <c r="AC115" s="5">
        <v>14</v>
      </c>
      <c r="AD115" s="5">
        <v>0</v>
      </c>
      <c r="AE115" s="5">
        <f>CHOOSE(MATCH(Setup!$B$5,{8,10,12,14,16},0),U115,W115,Y115,AA115,AC115)</f>
        <v>13</v>
      </c>
      <c r="AF115" s="5">
        <f>CHOOSE(MATCH(Setup!$B$5,{8,10,12,14,16},0),V115,X115,Z115,AB115,AD115)</f>
        <v>0</v>
      </c>
      <c r="AG115" s="5">
        <f>ROUND(1+AF115*'Live Calc'!$D$10,0)</f>
        <v>1</v>
      </c>
      <c r="AH115" s="5"/>
      <c r="AI115" s="5">
        <f>IF(AH115&lt;&gt;"",AH115,ROUND(AG115*INDEX('Live Calc'!$D$27:$D$40,MATCH(AE115,'Live Calc'!$A$27:$A$40,0))*'Live Calc'!$J$78,0))</f>
        <v>1</v>
      </c>
      <c r="AK115" s="6" t="s">
        <v>408</v>
      </c>
      <c r="AL115" s="6" t="s">
        <v>67</v>
      </c>
      <c r="AM115" s="6">
        <v>12</v>
      </c>
      <c r="AN115" s="6">
        <v>0</v>
      </c>
      <c r="AO115" s="6">
        <v>15</v>
      </c>
      <c r="AP115" s="6">
        <v>0</v>
      </c>
      <c r="AQ115" s="6">
        <v>16</v>
      </c>
      <c r="AR115" s="6">
        <v>0</v>
      </c>
      <c r="AS115" s="6">
        <v>14</v>
      </c>
      <c r="AT115" s="6">
        <v>0</v>
      </c>
      <c r="AU115" s="6">
        <v>14</v>
      </c>
      <c r="AV115" s="6">
        <v>0</v>
      </c>
      <c r="AW115" s="6">
        <f>CHOOSE(MATCH(Setup!$B$5,{8,10,12,14,16},0),AM115,AO115,AQ115,AS115,AU115)</f>
        <v>16</v>
      </c>
      <c r="AX115" s="6">
        <f>CHOOSE(MATCH(Setup!$B$5,{8,10,12,14,16},0),AN115,AP115,AR115,AT115,AV115)</f>
        <v>0</v>
      </c>
      <c r="AY115" s="6">
        <f>ROUND(1+AX115*'Live Calc'!$D$11,0)</f>
        <v>1</v>
      </c>
      <c r="AZ115" s="6"/>
      <c r="BA115" s="6">
        <f>IF(AZ115&lt;&gt;"",AZ115,ROUND(AY115*INDEX('Live Calc'!$D$44:$D$59,MATCH(AW115,'Live Calc'!$A$44:$A$59,0))*'Live Calc'!$J$78,0))</f>
        <v>1</v>
      </c>
    </row>
    <row r="116" spans="19:53" x14ac:dyDescent="0.25">
      <c r="S116" s="5" t="s">
        <v>409</v>
      </c>
      <c r="T116" s="5" t="s">
        <v>40</v>
      </c>
      <c r="U116" s="5">
        <v>11</v>
      </c>
      <c r="V116" s="5">
        <v>0</v>
      </c>
      <c r="W116" s="5">
        <v>13</v>
      </c>
      <c r="X116" s="5">
        <v>0</v>
      </c>
      <c r="Y116" s="5">
        <v>13</v>
      </c>
      <c r="Z116" s="5">
        <v>0</v>
      </c>
      <c r="AA116" s="5">
        <v>14</v>
      </c>
      <c r="AB116" s="5">
        <v>0</v>
      </c>
      <c r="AC116" s="5">
        <v>14</v>
      </c>
      <c r="AD116" s="5">
        <v>0</v>
      </c>
      <c r="AE116" s="5">
        <f>CHOOSE(MATCH(Setup!$B$5,{8,10,12,14,16},0),U116,W116,Y116,AA116,AC116)</f>
        <v>13</v>
      </c>
      <c r="AF116" s="5">
        <f>CHOOSE(MATCH(Setup!$B$5,{8,10,12,14,16},0),V116,X116,Z116,AB116,AD116)</f>
        <v>0</v>
      </c>
      <c r="AG116" s="5">
        <f>ROUND(1+AF116*'Live Calc'!$D$10,0)</f>
        <v>1</v>
      </c>
      <c r="AH116" s="5"/>
      <c r="AI116" s="5">
        <f>IF(AH116&lt;&gt;"",AH116,ROUND(AG116*INDEX('Live Calc'!$D$27:$D$40,MATCH(AE116,'Live Calc'!$A$27:$A$40,0))*'Live Calc'!$J$78,0))</f>
        <v>1</v>
      </c>
      <c r="AK116" s="6" t="s">
        <v>410</v>
      </c>
      <c r="AL116" s="6" t="s">
        <v>120</v>
      </c>
      <c r="AM116" s="6">
        <v>12</v>
      </c>
      <c r="AN116" s="6">
        <v>0</v>
      </c>
      <c r="AO116" s="6">
        <v>15</v>
      </c>
      <c r="AP116" s="6">
        <v>0</v>
      </c>
      <c r="AQ116" s="6">
        <v>16</v>
      </c>
      <c r="AR116" s="6">
        <v>0</v>
      </c>
      <c r="AS116" s="6">
        <v>14</v>
      </c>
      <c r="AT116" s="6">
        <v>0</v>
      </c>
      <c r="AU116" s="6">
        <v>14</v>
      </c>
      <c r="AV116" s="6">
        <v>0</v>
      </c>
      <c r="AW116" s="6">
        <f>CHOOSE(MATCH(Setup!$B$5,{8,10,12,14,16},0),AM116,AO116,AQ116,AS116,AU116)</f>
        <v>16</v>
      </c>
      <c r="AX116" s="6">
        <f>CHOOSE(MATCH(Setup!$B$5,{8,10,12,14,16},0),AN116,AP116,AR116,AT116,AV116)</f>
        <v>0</v>
      </c>
      <c r="AY116" s="6">
        <f>ROUND(1+AX116*'Live Calc'!$D$11,0)</f>
        <v>1</v>
      </c>
      <c r="AZ116" s="6"/>
      <c r="BA116" s="6">
        <f>IF(AZ116&lt;&gt;"",AZ116,ROUND(AY116*INDEX('Live Calc'!$D$44:$D$59,MATCH(AW116,'Live Calc'!$A$44:$A$59,0))*'Live Calc'!$J$78,0))</f>
        <v>1</v>
      </c>
    </row>
    <row r="117" spans="19:53" x14ac:dyDescent="0.25">
      <c r="S117" s="5" t="s">
        <v>411</v>
      </c>
      <c r="T117" s="5" t="s">
        <v>28</v>
      </c>
      <c r="U117" s="5">
        <v>11</v>
      </c>
      <c r="V117" s="5">
        <v>0</v>
      </c>
      <c r="W117" s="5">
        <v>13</v>
      </c>
      <c r="X117" s="5">
        <v>0</v>
      </c>
      <c r="Y117" s="5">
        <v>13</v>
      </c>
      <c r="Z117" s="5">
        <v>0</v>
      </c>
      <c r="AA117" s="5">
        <v>14</v>
      </c>
      <c r="AB117" s="5">
        <v>0</v>
      </c>
      <c r="AC117" s="5">
        <v>14</v>
      </c>
      <c r="AD117" s="5">
        <v>0</v>
      </c>
      <c r="AE117" s="5">
        <f>CHOOSE(MATCH(Setup!$B$5,{8,10,12,14,16},0),U117,W117,Y117,AA117,AC117)</f>
        <v>13</v>
      </c>
      <c r="AF117" s="5">
        <f>CHOOSE(MATCH(Setup!$B$5,{8,10,12,14,16},0),V117,X117,Z117,AB117,AD117)</f>
        <v>0</v>
      </c>
      <c r="AG117" s="5">
        <f>ROUND(1+AF117*'Live Calc'!$D$10,0)</f>
        <v>1</v>
      </c>
      <c r="AH117" s="5"/>
      <c r="AI117" s="5">
        <f>IF(AH117&lt;&gt;"",AH117,ROUND(AG117*INDEX('Live Calc'!$D$27:$D$40,MATCH(AE117,'Live Calc'!$A$27:$A$40,0))*'Live Calc'!$J$78,0))</f>
        <v>1</v>
      </c>
      <c r="AK117" s="6" t="s">
        <v>412</v>
      </c>
      <c r="AL117" s="6" t="s">
        <v>40</v>
      </c>
      <c r="AM117" s="6">
        <v>12</v>
      </c>
      <c r="AN117" s="6">
        <v>0</v>
      </c>
      <c r="AO117" s="6">
        <v>15</v>
      </c>
      <c r="AP117" s="6">
        <v>0</v>
      </c>
      <c r="AQ117" s="6">
        <v>16</v>
      </c>
      <c r="AR117" s="6">
        <v>0</v>
      </c>
      <c r="AS117" s="6">
        <v>14</v>
      </c>
      <c r="AT117" s="6">
        <v>0</v>
      </c>
      <c r="AU117" s="6">
        <v>14</v>
      </c>
      <c r="AV117" s="6">
        <v>0</v>
      </c>
      <c r="AW117" s="6">
        <f>CHOOSE(MATCH(Setup!$B$5,{8,10,12,14,16},0),AM117,AO117,AQ117,AS117,AU117)</f>
        <v>16</v>
      </c>
      <c r="AX117" s="6">
        <f>CHOOSE(MATCH(Setup!$B$5,{8,10,12,14,16},0),AN117,AP117,AR117,AT117,AV117)</f>
        <v>0</v>
      </c>
      <c r="AY117" s="6">
        <f>ROUND(1+AX117*'Live Calc'!$D$11,0)</f>
        <v>1</v>
      </c>
      <c r="AZ117" s="6"/>
      <c r="BA117" s="6">
        <f>IF(AZ117&lt;&gt;"",AZ117,ROUND(AY117*INDEX('Live Calc'!$D$44:$D$59,MATCH(AW117,'Live Calc'!$A$44:$A$59,0))*'Live Calc'!$J$78,0))</f>
        <v>1</v>
      </c>
    </row>
    <row r="118" spans="19:53" x14ac:dyDescent="0.25">
      <c r="S118" s="5" t="s">
        <v>413</v>
      </c>
      <c r="T118" s="5" t="s">
        <v>82</v>
      </c>
      <c r="U118" s="5">
        <v>11</v>
      </c>
      <c r="V118" s="5">
        <v>0</v>
      </c>
      <c r="W118" s="5">
        <v>13</v>
      </c>
      <c r="X118" s="5">
        <v>0</v>
      </c>
      <c r="Y118" s="5">
        <v>13</v>
      </c>
      <c r="Z118" s="5">
        <v>0</v>
      </c>
      <c r="AA118" s="5">
        <v>14</v>
      </c>
      <c r="AB118" s="5">
        <v>0</v>
      </c>
      <c r="AC118" s="5">
        <v>14</v>
      </c>
      <c r="AD118" s="5">
        <v>0</v>
      </c>
      <c r="AE118" s="5">
        <f>CHOOSE(MATCH(Setup!$B$5,{8,10,12,14,16},0),U118,W118,Y118,AA118,AC118)</f>
        <v>13</v>
      </c>
      <c r="AF118" s="5">
        <f>CHOOSE(MATCH(Setup!$B$5,{8,10,12,14,16},0),V118,X118,Z118,AB118,AD118)</f>
        <v>0</v>
      </c>
      <c r="AG118" s="5">
        <f>ROUND(1+AF118*'Live Calc'!$D$10,0)</f>
        <v>1</v>
      </c>
      <c r="AH118" s="5"/>
      <c r="AI118" s="5">
        <f>IF(AH118&lt;&gt;"",AH118,ROUND(AG118*INDEX('Live Calc'!$D$27:$D$40,MATCH(AE118,'Live Calc'!$A$27:$A$40,0))*'Live Calc'!$J$78,0))</f>
        <v>1</v>
      </c>
      <c r="AK118" s="6" t="s">
        <v>414</v>
      </c>
      <c r="AL118" s="6" t="s">
        <v>62</v>
      </c>
      <c r="AM118" s="6">
        <v>12</v>
      </c>
      <c r="AN118" s="6">
        <v>0</v>
      </c>
      <c r="AO118" s="6">
        <v>15</v>
      </c>
      <c r="AP118" s="6">
        <v>0</v>
      </c>
      <c r="AQ118" s="6">
        <v>16</v>
      </c>
      <c r="AR118" s="6">
        <v>0</v>
      </c>
      <c r="AS118" s="6">
        <v>14</v>
      </c>
      <c r="AT118" s="6">
        <v>0</v>
      </c>
      <c r="AU118" s="6">
        <v>14</v>
      </c>
      <c r="AV118" s="6">
        <v>0</v>
      </c>
      <c r="AW118" s="6">
        <f>CHOOSE(MATCH(Setup!$B$5,{8,10,12,14,16},0),AM118,AO118,AQ118,AS118,AU118)</f>
        <v>16</v>
      </c>
      <c r="AX118" s="6">
        <f>CHOOSE(MATCH(Setup!$B$5,{8,10,12,14,16},0),AN118,AP118,AR118,AT118,AV118)</f>
        <v>0</v>
      </c>
      <c r="AY118" s="6">
        <f>ROUND(1+AX118*'Live Calc'!$D$11,0)</f>
        <v>1</v>
      </c>
      <c r="AZ118" s="6"/>
      <c r="BA118" s="6">
        <f>IF(AZ118&lt;&gt;"",AZ118,ROUND(AY118*INDEX('Live Calc'!$D$44:$D$59,MATCH(AW118,'Live Calc'!$A$44:$A$59,0))*'Live Calc'!$J$78,0))</f>
        <v>1</v>
      </c>
    </row>
    <row r="119" spans="19:53" x14ac:dyDescent="0.25">
      <c r="S119" s="5" t="s">
        <v>415</v>
      </c>
      <c r="T119" s="5" t="s">
        <v>46</v>
      </c>
      <c r="U119" s="5">
        <v>11</v>
      </c>
      <c r="V119" s="5">
        <v>0</v>
      </c>
      <c r="W119" s="5">
        <v>13</v>
      </c>
      <c r="X119" s="5">
        <v>0</v>
      </c>
      <c r="Y119" s="5">
        <v>13</v>
      </c>
      <c r="Z119" s="5">
        <v>0</v>
      </c>
      <c r="AA119" s="5">
        <v>14</v>
      </c>
      <c r="AB119" s="5">
        <v>0</v>
      </c>
      <c r="AC119" s="5">
        <v>14</v>
      </c>
      <c r="AD119" s="5">
        <v>0</v>
      </c>
      <c r="AE119" s="5">
        <f>CHOOSE(MATCH(Setup!$B$5,{8,10,12,14,16},0),U119,W119,Y119,AA119,AC119)</f>
        <v>13</v>
      </c>
      <c r="AF119" s="5">
        <f>CHOOSE(MATCH(Setup!$B$5,{8,10,12,14,16},0),V119,X119,Z119,AB119,AD119)</f>
        <v>0</v>
      </c>
      <c r="AG119" s="5">
        <f>ROUND(1+AF119*'Live Calc'!$D$10,0)</f>
        <v>1</v>
      </c>
      <c r="AH119" s="5"/>
      <c r="AI119" s="5">
        <f>IF(AH119&lt;&gt;"",AH119,ROUND(AG119*INDEX('Live Calc'!$D$27:$D$40,MATCH(AE119,'Live Calc'!$A$27:$A$40,0))*'Live Calc'!$J$78,0))</f>
        <v>1</v>
      </c>
      <c r="AK119" s="6" t="s">
        <v>416</v>
      </c>
      <c r="AL119" s="6" t="s">
        <v>24</v>
      </c>
      <c r="AM119" s="6">
        <v>12</v>
      </c>
      <c r="AN119" s="6">
        <v>0</v>
      </c>
      <c r="AO119" s="6">
        <v>15</v>
      </c>
      <c r="AP119" s="6">
        <v>0</v>
      </c>
      <c r="AQ119" s="6">
        <v>16</v>
      </c>
      <c r="AR119" s="6">
        <v>0</v>
      </c>
      <c r="AS119" s="6">
        <v>14</v>
      </c>
      <c r="AT119" s="6">
        <v>0</v>
      </c>
      <c r="AU119" s="6">
        <v>14</v>
      </c>
      <c r="AV119" s="6">
        <v>0</v>
      </c>
      <c r="AW119" s="6">
        <f>CHOOSE(MATCH(Setup!$B$5,{8,10,12,14,16},0),AM119,AO119,AQ119,AS119,AU119)</f>
        <v>16</v>
      </c>
      <c r="AX119" s="6">
        <f>CHOOSE(MATCH(Setup!$B$5,{8,10,12,14,16},0),AN119,AP119,AR119,AT119,AV119)</f>
        <v>0</v>
      </c>
      <c r="AY119" s="6">
        <f>ROUND(1+AX119*'Live Calc'!$D$11,0)</f>
        <v>1</v>
      </c>
      <c r="AZ119" s="6"/>
      <c r="BA119" s="6">
        <f>IF(AZ119&lt;&gt;"",AZ119,ROUND(AY119*INDEX('Live Calc'!$D$44:$D$59,MATCH(AW119,'Live Calc'!$A$44:$A$59,0))*'Live Calc'!$J$78,0))</f>
        <v>1</v>
      </c>
    </row>
    <row r="120" spans="19:53" x14ac:dyDescent="0.25">
      <c r="S120" s="5" t="s">
        <v>417</v>
      </c>
      <c r="T120" s="5" t="s">
        <v>155</v>
      </c>
      <c r="U120" s="5">
        <v>11</v>
      </c>
      <c r="V120" s="5">
        <v>0</v>
      </c>
      <c r="W120" s="5">
        <v>13</v>
      </c>
      <c r="X120" s="5">
        <v>0</v>
      </c>
      <c r="Y120" s="5">
        <v>13</v>
      </c>
      <c r="Z120" s="5">
        <v>0</v>
      </c>
      <c r="AA120" s="5">
        <v>14</v>
      </c>
      <c r="AB120" s="5">
        <v>0</v>
      </c>
      <c r="AC120" s="5">
        <v>14</v>
      </c>
      <c r="AD120" s="5">
        <v>0</v>
      </c>
      <c r="AE120" s="5">
        <f>CHOOSE(MATCH(Setup!$B$5,{8,10,12,14,16},0),U120,W120,Y120,AA120,AC120)</f>
        <v>13</v>
      </c>
      <c r="AF120" s="5">
        <f>CHOOSE(MATCH(Setup!$B$5,{8,10,12,14,16},0),V120,X120,Z120,AB120,AD120)</f>
        <v>0</v>
      </c>
      <c r="AG120" s="5">
        <f>ROUND(1+AF120*'Live Calc'!$D$10,0)</f>
        <v>1</v>
      </c>
      <c r="AH120" s="5"/>
      <c r="AI120" s="5">
        <f>IF(AH120&lt;&gt;"",AH120,ROUND(AG120*INDEX('Live Calc'!$D$27:$D$40,MATCH(AE120,'Live Calc'!$A$27:$A$40,0))*'Live Calc'!$J$78,0))</f>
        <v>1</v>
      </c>
      <c r="AK120" s="6" t="s">
        <v>418</v>
      </c>
      <c r="AL120" s="6" t="s">
        <v>123</v>
      </c>
      <c r="AM120" s="6">
        <v>12</v>
      </c>
      <c r="AN120" s="6">
        <v>0</v>
      </c>
      <c r="AO120" s="6">
        <v>15</v>
      </c>
      <c r="AP120" s="6">
        <v>0</v>
      </c>
      <c r="AQ120" s="6">
        <v>16</v>
      </c>
      <c r="AR120" s="6">
        <v>0</v>
      </c>
      <c r="AS120" s="6">
        <v>14</v>
      </c>
      <c r="AT120" s="6">
        <v>0</v>
      </c>
      <c r="AU120" s="6">
        <v>14</v>
      </c>
      <c r="AV120" s="6">
        <v>0</v>
      </c>
      <c r="AW120" s="6">
        <f>CHOOSE(MATCH(Setup!$B$5,{8,10,12,14,16},0),AM120,AO120,AQ120,AS120,AU120)</f>
        <v>16</v>
      </c>
      <c r="AX120" s="6">
        <f>CHOOSE(MATCH(Setup!$B$5,{8,10,12,14,16},0),AN120,AP120,AR120,AT120,AV120)</f>
        <v>0</v>
      </c>
      <c r="AY120" s="6">
        <f>ROUND(1+AX120*'Live Calc'!$D$11,0)</f>
        <v>1</v>
      </c>
      <c r="AZ120" s="6"/>
      <c r="BA120" s="6">
        <f>IF(AZ120&lt;&gt;"",AZ120,ROUND(AY120*INDEX('Live Calc'!$D$44:$D$59,MATCH(AW120,'Live Calc'!$A$44:$A$59,0))*'Live Calc'!$J$78,0))</f>
        <v>1</v>
      </c>
    </row>
    <row r="121" spans="19:53" x14ac:dyDescent="0.25">
      <c r="S121" s="5" t="s">
        <v>419</v>
      </c>
      <c r="T121" s="5" t="s">
        <v>34</v>
      </c>
      <c r="U121" s="5">
        <v>11</v>
      </c>
      <c r="V121" s="5">
        <v>0</v>
      </c>
      <c r="W121" s="5">
        <v>13</v>
      </c>
      <c r="X121" s="5">
        <v>0</v>
      </c>
      <c r="Y121" s="5">
        <v>13</v>
      </c>
      <c r="Z121" s="5">
        <v>0</v>
      </c>
      <c r="AA121" s="5">
        <v>14</v>
      </c>
      <c r="AB121" s="5">
        <v>0</v>
      </c>
      <c r="AC121" s="5">
        <v>14</v>
      </c>
      <c r="AD121" s="5">
        <v>0</v>
      </c>
      <c r="AE121" s="5">
        <f>CHOOSE(MATCH(Setup!$B$5,{8,10,12,14,16},0),U121,W121,Y121,AA121,AC121)</f>
        <v>13</v>
      </c>
      <c r="AF121" s="5">
        <f>CHOOSE(MATCH(Setup!$B$5,{8,10,12,14,16},0),V121,X121,Z121,AB121,AD121)</f>
        <v>0</v>
      </c>
      <c r="AG121" s="5">
        <f>ROUND(1+AF121*'Live Calc'!$D$10,0)</f>
        <v>1</v>
      </c>
      <c r="AH121" s="5"/>
      <c r="AI121" s="5">
        <f>IF(AH121&lt;&gt;"",AH121,ROUND(AG121*INDEX('Live Calc'!$D$27:$D$40,MATCH(AE121,'Live Calc'!$A$27:$A$40,0))*'Live Calc'!$J$78,0))</f>
        <v>1</v>
      </c>
      <c r="AK121" s="6" t="s">
        <v>420</v>
      </c>
      <c r="AL121" s="6" t="s">
        <v>24</v>
      </c>
      <c r="AM121" s="6">
        <v>12</v>
      </c>
      <c r="AN121" s="6">
        <v>0</v>
      </c>
      <c r="AO121" s="6">
        <v>15</v>
      </c>
      <c r="AP121" s="6">
        <v>0</v>
      </c>
      <c r="AQ121" s="6">
        <v>16</v>
      </c>
      <c r="AR121" s="6">
        <v>0</v>
      </c>
      <c r="AS121" s="6">
        <v>14</v>
      </c>
      <c r="AT121" s="6">
        <v>0</v>
      </c>
      <c r="AU121" s="6">
        <v>14</v>
      </c>
      <c r="AV121" s="6">
        <v>0</v>
      </c>
      <c r="AW121" s="6">
        <f>CHOOSE(MATCH(Setup!$B$5,{8,10,12,14,16},0),AM121,AO121,AQ121,AS121,AU121)</f>
        <v>16</v>
      </c>
      <c r="AX121" s="6">
        <f>CHOOSE(MATCH(Setup!$B$5,{8,10,12,14,16},0),AN121,AP121,AR121,AT121,AV121)</f>
        <v>0</v>
      </c>
      <c r="AY121" s="6">
        <f>ROUND(1+AX121*'Live Calc'!$D$11,0)</f>
        <v>1</v>
      </c>
      <c r="AZ121" s="6"/>
      <c r="BA121" s="6">
        <f>IF(AZ121&lt;&gt;"",AZ121,ROUND(AY121*INDEX('Live Calc'!$D$44:$D$59,MATCH(AW121,'Live Calc'!$A$44:$A$59,0))*'Live Calc'!$J$78,0))</f>
        <v>1</v>
      </c>
    </row>
    <row r="122" spans="19:53" x14ac:dyDescent="0.25">
      <c r="S122" s="5" t="s">
        <v>421</v>
      </c>
      <c r="T122" s="5" t="s">
        <v>102</v>
      </c>
      <c r="U122" s="5">
        <v>11</v>
      </c>
      <c r="V122" s="5">
        <v>0</v>
      </c>
      <c r="W122" s="5">
        <v>13</v>
      </c>
      <c r="X122" s="5">
        <v>0</v>
      </c>
      <c r="Y122" s="5">
        <v>13</v>
      </c>
      <c r="Z122" s="5">
        <v>0</v>
      </c>
      <c r="AA122" s="5">
        <v>14</v>
      </c>
      <c r="AB122" s="5">
        <v>0</v>
      </c>
      <c r="AC122" s="5">
        <v>14</v>
      </c>
      <c r="AD122" s="5">
        <v>0</v>
      </c>
      <c r="AE122" s="5">
        <f>CHOOSE(MATCH(Setup!$B$5,{8,10,12,14,16},0),U122,W122,Y122,AA122,AC122)</f>
        <v>13</v>
      </c>
      <c r="AF122" s="5">
        <f>CHOOSE(MATCH(Setup!$B$5,{8,10,12,14,16},0),V122,X122,Z122,AB122,AD122)</f>
        <v>0</v>
      </c>
      <c r="AG122" s="5">
        <f>ROUND(1+AF122*'Live Calc'!$D$10,0)</f>
        <v>1</v>
      </c>
      <c r="AH122" s="5"/>
      <c r="AI122" s="5">
        <f>IF(AH122&lt;&gt;"",AH122,ROUND(AG122*INDEX('Live Calc'!$D$27:$D$40,MATCH(AE122,'Live Calc'!$A$27:$A$40,0))*'Live Calc'!$J$78,0))</f>
        <v>1</v>
      </c>
      <c r="AK122" s="6" t="s">
        <v>422</v>
      </c>
      <c r="AL122" s="6" t="s">
        <v>40</v>
      </c>
      <c r="AM122" s="6">
        <v>12</v>
      </c>
      <c r="AN122" s="6">
        <v>0</v>
      </c>
      <c r="AO122" s="6">
        <v>15</v>
      </c>
      <c r="AP122" s="6">
        <v>0</v>
      </c>
      <c r="AQ122" s="6">
        <v>16</v>
      </c>
      <c r="AR122" s="6">
        <v>0</v>
      </c>
      <c r="AS122" s="6">
        <v>14</v>
      </c>
      <c r="AT122" s="6">
        <v>0</v>
      </c>
      <c r="AU122" s="6">
        <v>14</v>
      </c>
      <c r="AV122" s="6">
        <v>0</v>
      </c>
      <c r="AW122" s="6">
        <f>CHOOSE(MATCH(Setup!$B$5,{8,10,12,14,16},0),AM122,AO122,AQ122,AS122,AU122)</f>
        <v>16</v>
      </c>
      <c r="AX122" s="6">
        <f>CHOOSE(MATCH(Setup!$B$5,{8,10,12,14,16},0),AN122,AP122,AR122,AT122,AV122)</f>
        <v>0</v>
      </c>
      <c r="AY122" s="6">
        <f>ROUND(1+AX122*'Live Calc'!$D$11,0)</f>
        <v>1</v>
      </c>
      <c r="AZ122" s="6"/>
      <c r="BA122" s="6">
        <f>IF(AZ122&lt;&gt;"",AZ122,ROUND(AY122*INDEX('Live Calc'!$D$44:$D$59,MATCH(AW122,'Live Calc'!$A$44:$A$59,0))*'Live Calc'!$J$78,0))</f>
        <v>1</v>
      </c>
    </row>
    <row r="123" spans="19:53" x14ac:dyDescent="0.25">
      <c r="S123" s="5" t="s">
        <v>423</v>
      </c>
      <c r="T123" s="5" t="s">
        <v>28</v>
      </c>
      <c r="U123" s="5">
        <v>11</v>
      </c>
      <c r="V123" s="5">
        <v>0</v>
      </c>
      <c r="W123" s="5">
        <v>13</v>
      </c>
      <c r="X123" s="5">
        <v>0</v>
      </c>
      <c r="Y123" s="5">
        <v>13</v>
      </c>
      <c r="Z123" s="5">
        <v>0</v>
      </c>
      <c r="AA123" s="5">
        <v>14</v>
      </c>
      <c r="AB123" s="5">
        <v>0</v>
      </c>
      <c r="AC123" s="5">
        <v>14</v>
      </c>
      <c r="AD123" s="5">
        <v>0</v>
      </c>
      <c r="AE123" s="5">
        <f>CHOOSE(MATCH(Setup!$B$5,{8,10,12,14,16},0),U123,W123,Y123,AA123,AC123)</f>
        <v>13</v>
      </c>
      <c r="AF123" s="5">
        <f>CHOOSE(MATCH(Setup!$B$5,{8,10,12,14,16},0),V123,X123,Z123,AB123,AD123)</f>
        <v>0</v>
      </c>
      <c r="AG123" s="5">
        <f>ROUND(1+AF123*'Live Calc'!$D$10,0)</f>
        <v>1</v>
      </c>
      <c r="AH123" s="5"/>
      <c r="AI123" s="5">
        <f>IF(AH123&lt;&gt;"",AH123,ROUND(AG123*INDEX('Live Calc'!$D$27:$D$40,MATCH(AE123,'Live Calc'!$A$27:$A$40,0))*'Live Calc'!$J$78,0))</f>
        <v>1</v>
      </c>
      <c r="AK123" s="6" t="s">
        <v>424</v>
      </c>
      <c r="AL123" s="6" t="s">
        <v>40</v>
      </c>
      <c r="AM123" s="6">
        <v>12</v>
      </c>
      <c r="AN123" s="6">
        <v>0</v>
      </c>
      <c r="AO123" s="6">
        <v>15</v>
      </c>
      <c r="AP123" s="6">
        <v>0</v>
      </c>
      <c r="AQ123" s="6">
        <v>16</v>
      </c>
      <c r="AR123" s="6">
        <v>0</v>
      </c>
      <c r="AS123" s="6">
        <v>14</v>
      </c>
      <c r="AT123" s="6">
        <v>0</v>
      </c>
      <c r="AU123" s="6">
        <v>14</v>
      </c>
      <c r="AV123" s="6">
        <v>0</v>
      </c>
      <c r="AW123" s="6">
        <f>CHOOSE(MATCH(Setup!$B$5,{8,10,12,14,16},0),AM123,AO123,AQ123,AS123,AU123)</f>
        <v>16</v>
      </c>
      <c r="AX123" s="6">
        <f>CHOOSE(MATCH(Setup!$B$5,{8,10,12,14,16},0),AN123,AP123,AR123,AT123,AV123)</f>
        <v>0</v>
      </c>
      <c r="AY123" s="6">
        <f>ROUND(1+AX123*'Live Calc'!$D$11,0)</f>
        <v>1</v>
      </c>
      <c r="AZ123" s="6"/>
      <c r="BA123" s="6">
        <f>IF(AZ123&lt;&gt;"",AZ123,ROUND(AY123*INDEX('Live Calc'!$D$44:$D$59,MATCH(AW123,'Live Calc'!$A$44:$A$59,0))*'Live Calc'!$J$78,0))</f>
        <v>1</v>
      </c>
    </row>
    <row r="124" spans="19:53" x14ac:dyDescent="0.25">
      <c r="S124" s="5" t="s">
        <v>425</v>
      </c>
      <c r="T124" s="5" t="s">
        <v>38</v>
      </c>
      <c r="U124" s="5">
        <v>11</v>
      </c>
      <c r="V124" s="5">
        <v>0</v>
      </c>
      <c r="W124" s="5">
        <v>13</v>
      </c>
      <c r="X124" s="5">
        <v>0</v>
      </c>
      <c r="Y124" s="5">
        <v>13</v>
      </c>
      <c r="Z124" s="5">
        <v>0</v>
      </c>
      <c r="AA124" s="5">
        <v>14</v>
      </c>
      <c r="AB124" s="5">
        <v>0</v>
      </c>
      <c r="AC124" s="5">
        <v>14</v>
      </c>
      <c r="AD124" s="5">
        <v>0</v>
      </c>
      <c r="AE124" s="5">
        <f>CHOOSE(MATCH(Setup!$B$5,{8,10,12,14,16},0),U124,W124,Y124,AA124,AC124)</f>
        <v>13</v>
      </c>
      <c r="AF124" s="5">
        <f>CHOOSE(MATCH(Setup!$B$5,{8,10,12,14,16},0),V124,X124,Z124,AB124,AD124)</f>
        <v>0</v>
      </c>
      <c r="AG124" s="5">
        <f>ROUND(1+AF124*'Live Calc'!$D$10,0)</f>
        <v>1</v>
      </c>
      <c r="AH124" s="5"/>
      <c r="AI124" s="5">
        <f>IF(AH124&lt;&gt;"",AH124,ROUND(AG124*INDEX('Live Calc'!$D$27:$D$40,MATCH(AE124,'Live Calc'!$A$27:$A$40,0))*'Live Calc'!$J$78,0))</f>
        <v>1</v>
      </c>
      <c r="AK124" s="6" t="s">
        <v>426</v>
      </c>
      <c r="AL124" s="6" t="s">
        <v>88</v>
      </c>
      <c r="AM124" s="6">
        <v>12</v>
      </c>
      <c r="AN124" s="6">
        <v>0</v>
      </c>
      <c r="AO124" s="6">
        <v>15</v>
      </c>
      <c r="AP124" s="6">
        <v>0</v>
      </c>
      <c r="AQ124" s="6">
        <v>16</v>
      </c>
      <c r="AR124" s="6">
        <v>0</v>
      </c>
      <c r="AS124" s="6">
        <v>14</v>
      </c>
      <c r="AT124" s="6">
        <v>0</v>
      </c>
      <c r="AU124" s="6">
        <v>14</v>
      </c>
      <c r="AV124" s="6">
        <v>0</v>
      </c>
      <c r="AW124" s="6">
        <f>CHOOSE(MATCH(Setup!$B$5,{8,10,12,14,16},0),AM124,AO124,AQ124,AS124,AU124)</f>
        <v>16</v>
      </c>
      <c r="AX124" s="6">
        <f>CHOOSE(MATCH(Setup!$B$5,{8,10,12,14,16},0),AN124,AP124,AR124,AT124,AV124)</f>
        <v>0</v>
      </c>
      <c r="AY124" s="6">
        <f>ROUND(1+AX124*'Live Calc'!$D$11,0)</f>
        <v>1</v>
      </c>
      <c r="AZ124" s="6"/>
      <c r="BA124" s="6">
        <f>IF(AZ124&lt;&gt;"",AZ124,ROUND(AY124*INDEX('Live Calc'!$D$44:$D$59,MATCH(AW124,'Live Calc'!$A$44:$A$59,0))*'Live Calc'!$J$78,0))</f>
        <v>1</v>
      </c>
    </row>
    <row r="125" spans="19:53" x14ac:dyDescent="0.25">
      <c r="S125" s="5" t="s">
        <v>427</v>
      </c>
      <c r="T125" s="5" t="s">
        <v>54</v>
      </c>
      <c r="U125" s="5">
        <v>11</v>
      </c>
      <c r="V125" s="5">
        <v>0</v>
      </c>
      <c r="W125" s="5">
        <v>13</v>
      </c>
      <c r="X125" s="5">
        <v>0</v>
      </c>
      <c r="Y125" s="5">
        <v>13</v>
      </c>
      <c r="Z125" s="5">
        <v>0</v>
      </c>
      <c r="AA125" s="5">
        <v>14</v>
      </c>
      <c r="AB125" s="5">
        <v>0</v>
      </c>
      <c r="AC125" s="5">
        <v>14</v>
      </c>
      <c r="AD125" s="5">
        <v>0</v>
      </c>
      <c r="AE125" s="5">
        <f>CHOOSE(MATCH(Setup!$B$5,{8,10,12,14,16},0),U125,W125,Y125,AA125,AC125)</f>
        <v>13</v>
      </c>
      <c r="AF125" s="5">
        <f>CHOOSE(MATCH(Setup!$B$5,{8,10,12,14,16},0),V125,X125,Z125,AB125,AD125)</f>
        <v>0</v>
      </c>
      <c r="AG125" s="5">
        <f>ROUND(1+AF125*'Live Calc'!$D$10,0)</f>
        <v>1</v>
      </c>
      <c r="AH125" s="5"/>
      <c r="AI125" s="5">
        <f>IF(AH125&lt;&gt;"",AH125,ROUND(AG125*INDEX('Live Calc'!$D$27:$D$40,MATCH(AE125,'Live Calc'!$A$27:$A$40,0))*'Live Calc'!$J$78,0))</f>
        <v>1</v>
      </c>
      <c r="AK125" s="6" t="s">
        <v>428</v>
      </c>
      <c r="AL125" s="6" t="s">
        <v>48</v>
      </c>
      <c r="AM125" s="6">
        <v>12</v>
      </c>
      <c r="AN125" s="6">
        <v>0</v>
      </c>
      <c r="AO125" s="6">
        <v>15</v>
      </c>
      <c r="AP125" s="6">
        <v>0</v>
      </c>
      <c r="AQ125" s="6">
        <v>16</v>
      </c>
      <c r="AR125" s="6">
        <v>0</v>
      </c>
      <c r="AS125" s="6">
        <v>14</v>
      </c>
      <c r="AT125" s="6">
        <v>0</v>
      </c>
      <c r="AU125" s="6">
        <v>14</v>
      </c>
      <c r="AV125" s="6">
        <v>0</v>
      </c>
      <c r="AW125" s="6">
        <f>CHOOSE(MATCH(Setup!$B$5,{8,10,12,14,16},0),AM125,AO125,AQ125,AS125,AU125)</f>
        <v>16</v>
      </c>
      <c r="AX125" s="6">
        <f>CHOOSE(MATCH(Setup!$B$5,{8,10,12,14,16},0),AN125,AP125,AR125,AT125,AV125)</f>
        <v>0</v>
      </c>
      <c r="AY125" s="6">
        <f>ROUND(1+AX125*'Live Calc'!$D$11,0)</f>
        <v>1</v>
      </c>
      <c r="AZ125" s="6"/>
      <c r="BA125" s="6">
        <f>IF(AZ125&lt;&gt;"",AZ125,ROUND(AY125*INDEX('Live Calc'!$D$44:$D$59,MATCH(AW125,'Live Calc'!$A$44:$A$59,0))*'Live Calc'!$J$78,0))</f>
        <v>1</v>
      </c>
    </row>
    <row r="126" spans="19:53" x14ac:dyDescent="0.25">
      <c r="S126" s="5" t="s">
        <v>429</v>
      </c>
      <c r="T126" s="5" t="s">
        <v>28</v>
      </c>
      <c r="U126" s="5">
        <v>11</v>
      </c>
      <c r="V126" s="5">
        <v>0</v>
      </c>
      <c r="W126" s="5">
        <v>13</v>
      </c>
      <c r="X126" s="5">
        <v>0</v>
      </c>
      <c r="Y126" s="5">
        <v>13</v>
      </c>
      <c r="Z126" s="5">
        <v>0</v>
      </c>
      <c r="AA126" s="5">
        <v>14</v>
      </c>
      <c r="AB126" s="5">
        <v>0</v>
      </c>
      <c r="AC126" s="5">
        <v>14</v>
      </c>
      <c r="AD126" s="5">
        <v>0</v>
      </c>
      <c r="AE126" s="5">
        <f>CHOOSE(MATCH(Setup!$B$5,{8,10,12,14,16},0),U126,W126,Y126,AA126,AC126)</f>
        <v>13</v>
      </c>
      <c r="AF126" s="5">
        <f>CHOOSE(MATCH(Setup!$B$5,{8,10,12,14,16},0),V126,X126,Z126,AB126,AD126)</f>
        <v>0</v>
      </c>
      <c r="AG126" s="5">
        <f>ROUND(1+AF126*'Live Calc'!$D$10,0)</f>
        <v>1</v>
      </c>
      <c r="AH126" s="5"/>
      <c r="AI126" s="5">
        <f>IF(AH126&lt;&gt;"",AH126,ROUND(AG126*INDEX('Live Calc'!$D$27:$D$40,MATCH(AE126,'Live Calc'!$A$27:$A$40,0))*'Live Calc'!$J$78,0))</f>
        <v>1</v>
      </c>
      <c r="AK126" s="6" t="s">
        <v>430</v>
      </c>
      <c r="AL126" s="6" t="s">
        <v>48</v>
      </c>
      <c r="AM126" s="6">
        <v>12</v>
      </c>
      <c r="AN126" s="6">
        <v>0</v>
      </c>
      <c r="AO126" s="6">
        <v>15</v>
      </c>
      <c r="AP126" s="6">
        <v>0</v>
      </c>
      <c r="AQ126" s="6">
        <v>16</v>
      </c>
      <c r="AR126" s="6">
        <v>0</v>
      </c>
      <c r="AS126" s="6">
        <v>14</v>
      </c>
      <c r="AT126" s="6">
        <v>0</v>
      </c>
      <c r="AU126" s="6">
        <v>14</v>
      </c>
      <c r="AV126" s="6">
        <v>0</v>
      </c>
      <c r="AW126" s="6">
        <f>CHOOSE(MATCH(Setup!$B$5,{8,10,12,14,16},0),AM126,AO126,AQ126,AS126,AU126)</f>
        <v>16</v>
      </c>
      <c r="AX126" s="6">
        <f>CHOOSE(MATCH(Setup!$B$5,{8,10,12,14,16},0),AN126,AP126,AR126,AT126,AV126)</f>
        <v>0</v>
      </c>
      <c r="AY126" s="6">
        <f>ROUND(1+AX126*'Live Calc'!$D$11,0)</f>
        <v>1</v>
      </c>
      <c r="AZ126" s="6"/>
      <c r="BA126" s="6">
        <f>IF(AZ126&lt;&gt;"",AZ126,ROUND(AY126*INDEX('Live Calc'!$D$44:$D$59,MATCH(AW126,'Live Calc'!$A$44:$A$59,0))*'Live Calc'!$J$78,0))</f>
        <v>1</v>
      </c>
    </row>
    <row r="127" spans="19:53" x14ac:dyDescent="0.25">
      <c r="S127" s="5" t="s">
        <v>431</v>
      </c>
      <c r="T127" s="5" t="s">
        <v>80</v>
      </c>
      <c r="U127" s="5">
        <v>11</v>
      </c>
      <c r="V127" s="5">
        <v>0</v>
      </c>
      <c r="W127" s="5">
        <v>13</v>
      </c>
      <c r="X127" s="5">
        <v>0</v>
      </c>
      <c r="Y127" s="5">
        <v>13</v>
      </c>
      <c r="Z127" s="5">
        <v>0</v>
      </c>
      <c r="AA127" s="5">
        <v>14</v>
      </c>
      <c r="AB127" s="5">
        <v>0</v>
      </c>
      <c r="AC127" s="5">
        <v>14</v>
      </c>
      <c r="AD127" s="5">
        <v>0</v>
      </c>
      <c r="AE127" s="5">
        <f>CHOOSE(MATCH(Setup!$B$5,{8,10,12,14,16},0),U127,W127,Y127,AA127,AC127)</f>
        <v>13</v>
      </c>
      <c r="AF127" s="5">
        <f>CHOOSE(MATCH(Setup!$B$5,{8,10,12,14,16},0),V127,X127,Z127,AB127,AD127)</f>
        <v>0</v>
      </c>
      <c r="AG127" s="5">
        <f>ROUND(1+AF127*'Live Calc'!$D$10,0)</f>
        <v>1</v>
      </c>
      <c r="AH127" s="5"/>
      <c r="AI127" s="5">
        <f>IF(AH127&lt;&gt;"",AH127,ROUND(AG127*INDEX('Live Calc'!$D$27:$D$40,MATCH(AE127,'Live Calc'!$A$27:$A$40,0))*'Live Calc'!$J$78,0))</f>
        <v>1</v>
      </c>
      <c r="AK127" s="6" t="s">
        <v>432</v>
      </c>
      <c r="AL127" s="6" t="s">
        <v>46</v>
      </c>
      <c r="AM127" s="6">
        <v>12</v>
      </c>
      <c r="AN127" s="6">
        <v>0</v>
      </c>
      <c r="AO127" s="6">
        <v>15</v>
      </c>
      <c r="AP127" s="6">
        <v>0</v>
      </c>
      <c r="AQ127" s="6">
        <v>16</v>
      </c>
      <c r="AR127" s="6">
        <v>0</v>
      </c>
      <c r="AS127" s="6">
        <v>14</v>
      </c>
      <c r="AT127" s="6">
        <v>0</v>
      </c>
      <c r="AU127" s="6">
        <v>14</v>
      </c>
      <c r="AV127" s="6">
        <v>0</v>
      </c>
      <c r="AW127" s="6">
        <f>CHOOSE(MATCH(Setup!$B$5,{8,10,12,14,16},0),AM127,AO127,AQ127,AS127,AU127)</f>
        <v>16</v>
      </c>
      <c r="AX127" s="6">
        <f>CHOOSE(MATCH(Setup!$B$5,{8,10,12,14,16},0),AN127,AP127,AR127,AT127,AV127)</f>
        <v>0</v>
      </c>
      <c r="AY127" s="6">
        <f>ROUND(1+AX127*'Live Calc'!$D$11,0)</f>
        <v>1</v>
      </c>
      <c r="AZ127" s="6"/>
      <c r="BA127" s="6">
        <f>IF(AZ127&lt;&gt;"",AZ127,ROUND(AY127*INDEX('Live Calc'!$D$44:$D$59,MATCH(AW127,'Live Calc'!$A$44:$A$59,0))*'Live Calc'!$J$78,0))</f>
        <v>1</v>
      </c>
    </row>
    <row r="128" spans="19:53" x14ac:dyDescent="0.25">
      <c r="S128" s="5" t="s">
        <v>433</v>
      </c>
      <c r="T128" s="5" t="s">
        <v>85</v>
      </c>
      <c r="U128" s="5">
        <v>11</v>
      </c>
      <c r="V128" s="5">
        <v>0</v>
      </c>
      <c r="W128" s="5">
        <v>13</v>
      </c>
      <c r="X128" s="5">
        <v>0</v>
      </c>
      <c r="Y128" s="5">
        <v>13</v>
      </c>
      <c r="Z128" s="5">
        <v>0</v>
      </c>
      <c r="AA128" s="5">
        <v>14</v>
      </c>
      <c r="AB128" s="5">
        <v>0</v>
      </c>
      <c r="AC128" s="5">
        <v>14</v>
      </c>
      <c r="AD128" s="5">
        <v>0</v>
      </c>
      <c r="AE128" s="5">
        <f>CHOOSE(MATCH(Setup!$B$5,{8,10,12,14,16},0),U128,W128,Y128,AA128,AC128)</f>
        <v>13</v>
      </c>
      <c r="AF128" s="5">
        <f>CHOOSE(MATCH(Setup!$B$5,{8,10,12,14,16},0),V128,X128,Z128,AB128,AD128)</f>
        <v>0</v>
      </c>
      <c r="AG128" s="5">
        <f>ROUND(1+AF128*'Live Calc'!$D$10,0)</f>
        <v>1</v>
      </c>
      <c r="AH128" s="5"/>
      <c r="AI128" s="5">
        <f>IF(AH128&lt;&gt;"",AH128,ROUND(AG128*INDEX('Live Calc'!$D$27:$D$40,MATCH(AE128,'Live Calc'!$A$27:$A$40,0))*'Live Calc'!$J$78,0))</f>
        <v>1</v>
      </c>
      <c r="AK128" s="6" t="s">
        <v>434</v>
      </c>
      <c r="AL128" s="6" t="s">
        <v>85</v>
      </c>
      <c r="AM128" s="6">
        <v>12</v>
      </c>
      <c r="AN128" s="6">
        <v>0</v>
      </c>
      <c r="AO128" s="6">
        <v>15</v>
      </c>
      <c r="AP128" s="6">
        <v>0</v>
      </c>
      <c r="AQ128" s="6">
        <v>16</v>
      </c>
      <c r="AR128" s="6">
        <v>0</v>
      </c>
      <c r="AS128" s="6">
        <v>14</v>
      </c>
      <c r="AT128" s="6">
        <v>0</v>
      </c>
      <c r="AU128" s="6">
        <v>14</v>
      </c>
      <c r="AV128" s="6">
        <v>0</v>
      </c>
      <c r="AW128" s="6">
        <f>CHOOSE(MATCH(Setup!$B$5,{8,10,12,14,16},0),AM128,AO128,AQ128,AS128,AU128)</f>
        <v>16</v>
      </c>
      <c r="AX128" s="6">
        <f>CHOOSE(MATCH(Setup!$B$5,{8,10,12,14,16},0),AN128,AP128,AR128,AT128,AV128)</f>
        <v>0</v>
      </c>
      <c r="AY128" s="6">
        <f>ROUND(1+AX128*'Live Calc'!$D$11,0)</f>
        <v>1</v>
      </c>
      <c r="AZ128" s="6"/>
      <c r="BA128" s="6">
        <f>IF(AZ128&lt;&gt;"",AZ128,ROUND(AY128*INDEX('Live Calc'!$D$44:$D$59,MATCH(AW128,'Live Calc'!$A$44:$A$59,0))*'Live Calc'!$J$78,0))</f>
        <v>1</v>
      </c>
    </row>
    <row r="129" spans="19:53" x14ac:dyDescent="0.25">
      <c r="S129" s="5" t="s">
        <v>435</v>
      </c>
      <c r="T129" s="5" t="s">
        <v>44</v>
      </c>
      <c r="U129" s="5">
        <v>11</v>
      </c>
      <c r="V129" s="5">
        <v>0</v>
      </c>
      <c r="W129" s="5">
        <v>13</v>
      </c>
      <c r="X129" s="5">
        <v>0</v>
      </c>
      <c r="Y129" s="5">
        <v>13</v>
      </c>
      <c r="Z129" s="5">
        <v>0</v>
      </c>
      <c r="AA129" s="5">
        <v>14</v>
      </c>
      <c r="AB129" s="5">
        <v>0</v>
      </c>
      <c r="AC129" s="5">
        <v>14</v>
      </c>
      <c r="AD129" s="5">
        <v>0</v>
      </c>
      <c r="AE129" s="5">
        <f>CHOOSE(MATCH(Setup!$B$5,{8,10,12,14,16},0),U129,W129,Y129,AA129,AC129)</f>
        <v>13</v>
      </c>
      <c r="AF129" s="5">
        <f>CHOOSE(MATCH(Setup!$B$5,{8,10,12,14,16},0),V129,X129,Z129,AB129,AD129)</f>
        <v>0</v>
      </c>
      <c r="AG129" s="5">
        <f>ROUND(1+AF129*'Live Calc'!$D$10,0)</f>
        <v>1</v>
      </c>
      <c r="AH129" s="5"/>
      <c r="AI129" s="5">
        <f>IF(AH129&lt;&gt;"",AH129,ROUND(AG129*INDEX('Live Calc'!$D$27:$D$40,MATCH(AE129,'Live Calc'!$A$27:$A$40,0))*'Live Calc'!$J$78,0))</f>
        <v>1</v>
      </c>
      <c r="AK129" s="6" t="s">
        <v>436</v>
      </c>
      <c r="AL129" s="6" t="s">
        <v>50</v>
      </c>
      <c r="AM129" s="6">
        <v>12</v>
      </c>
      <c r="AN129" s="6">
        <v>0</v>
      </c>
      <c r="AO129" s="6">
        <v>15</v>
      </c>
      <c r="AP129" s="6">
        <v>0</v>
      </c>
      <c r="AQ129" s="6">
        <v>16</v>
      </c>
      <c r="AR129" s="6">
        <v>0</v>
      </c>
      <c r="AS129" s="6">
        <v>14</v>
      </c>
      <c r="AT129" s="6">
        <v>0</v>
      </c>
      <c r="AU129" s="6">
        <v>14</v>
      </c>
      <c r="AV129" s="6">
        <v>0</v>
      </c>
      <c r="AW129" s="6">
        <f>CHOOSE(MATCH(Setup!$B$5,{8,10,12,14,16},0),AM129,AO129,AQ129,AS129,AU129)</f>
        <v>16</v>
      </c>
      <c r="AX129" s="6">
        <f>CHOOSE(MATCH(Setup!$B$5,{8,10,12,14,16},0),AN129,AP129,AR129,AT129,AV129)</f>
        <v>0</v>
      </c>
      <c r="AY129" s="6">
        <f>ROUND(1+AX129*'Live Calc'!$D$11,0)</f>
        <v>1</v>
      </c>
      <c r="AZ129" s="6"/>
      <c r="BA129" s="6">
        <f>IF(AZ129&lt;&gt;"",AZ129,ROUND(AY129*INDEX('Live Calc'!$D$44:$D$59,MATCH(AW129,'Live Calc'!$A$44:$A$59,0))*'Live Calc'!$J$78,0))</f>
        <v>1</v>
      </c>
    </row>
    <row r="130" spans="19:53" x14ac:dyDescent="0.25">
      <c r="S130" s="5" t="s">
        <v>437</v>
      </c>
      <c r="T130" s="5" t="s">
        <v>102</v>
      </c>
      <c r="U130" s="5">
        <v>11</v>
      </c>
      <c r="V130" s="5">
        <v>0</v>
      </c>
      <c r="W130" s="5">
        <v>13</v>
      </c>
      <c r="X130" s="5">
        <v>0</v>
      </c>
      <c r="Y130" s="5">
        <v>13</v>
      </c>
      <c r="Z130" s="5">
        <v>0</v>
      </c>
      <c r="AA130" s="5">
        <v>14</v>
      </c>
      <c r="AB130" s="5">
        <v>0</v>
      </c>
      <c r="AC130" s="5">
        <v>14</v>
      </c>
      <c r="AD130" s="5">
        <v>0</v>
      </c>
      <c r="AE130" s="5">
        <f>CHOOSE(MATCH(Setup!$B$5,{8,10,12,14,16},0),U130,W130,Y130,AA130,AC130)</f>
        <v>13</v>
      </c>
      <c r="AF130" s="5">
        <f>CHOOSE(MATCH(Setup!$B$5,{8,10,12,14,16},0),V130,X130,Z130,AB130,AD130)</f>
        <v>0</v>
      </c>
      <c r="AG130" s="5">
        <f>ROUND(1+AF130*'Live Calc'!$D$10,0)</f>
        <v>1</v>
      </c>
      <c r="AH130" s="5"/>
      <c r="AI130" s="5">
        <f>IF(AH130&lt;&gt;"",AH130,ROUND(AG130*INDEX('Live Calc'!$D$27:$D$40,MATCH(AE130,'Live Calc'!$A$27:$A$40,0))*'Live Calc'!$J$78,0))</f>
        <v>1</v>
      </c>
      <c r="AK130" s="6" t="s">
        <v>438</v>
      </c>
      <c r="AL130" s="6" t="s">
        <v>65</v>
      </c>
      <c r="AM130" s="6">
        <v>12</v>
      </c>
      <c r="AN130" s="6">
        <v>0</v>
      </c>
      <c r="AO130" s="6">
        <v>15</v>
      </c>
      <c r="AP130" s="6">
        <v>0</v>
      </c>
      <c r="AQ130" s="6">
        <v>16</v>
      </c>
      <c r="AR130" s="6">
        <v>0</v>
      </c>
      <c r="AS130" s="6">
        <v>14</v>
      </c>
      <c r="AT130" s="6">
        <v>0</v>
      </c>
      <c r="AU130" s="6">
        <v>14</v>
      </c>
      <c r="AV130" s="6">
        <v>0</v>
      </c>
      <c r="AW130" s="6">
        <f>CHOOSE(MATCH(Setup!$B$5,{8,10,12,14,16},0),AM130,AO130,AQ130,AS130,AU130)</f>
        <v>16</v>
      </c>
      <c r="AX130" s="6">
        <f>CHOOSE(MATCH(Setup!$B$5,{8,10,12,14,16},0),AN130,AP130,AR130,AT130,AV130)</f>
        <v>0</v>
      </c>
      <c r="AY130" s="6">
        <f>ROUND(1+AX130*'Live Calc'!$D$11,0)</f>
        <v>1</v>
      </c>
      <c r="AZ130" s="6"/>
      <c r="BA130" s="6">
        <f>IF(AZ130&lt;&gt;"",AZ130,ROUND(AY130*INDEX('Live Calc'!$D$44:$D$59,MATCH(AW130,'Live Calc'!$A$44:$A$59,0))*'Live Calc'!$J$78,0))</f>
        <v>1</v>
      </c>
    </row>
    <row r="131" spans="19:53" x14ac:dyDescent="0.25">
      <c r="S131" s="5" t="s">
        <v>439</v>
      </c>
      <c r="T131" s="5" t="s">
        <v>62</v>
      </c>
      <c r="U131" s="5">
        <v>11</v>
      </c>
      <c r="V131" s="5">
        <v>0</v>
      </c>
      <c r="W131" s="5">
        <v>13</v>
      </c>
      <c r="X131" s="5">
        <v>0</v>
      </c>
      <c r="Y131" s="5">
        <v>13</v>
      </c>
      <c r="Z131" s="5">
        <v>0</v>
      </c>
      <c r="AA131" s="5">
        <v>14</v>
      </c>
      <c r="AB131" s="5">
        <v>0</v>
      </c>
      <c r="AC131" s="5">
        <v>14</v>
      </c>
      <c r="AD131" s="5">
        <v>0</v>
      </c>
      <c r="AE131" s="5">
        <f>CHOOSE(MATCH(Setup!$B$5,{8,10,12,14,16},0),U131,W131,Y131,AA131,AC131)</f>
        <v>13</v>
      </c>
      <c r="AF131" s="5">
        <f>CHOOSE(MATCH(Setup!$B$5,{8,10,12,14,16},0),V131,X131,Z131,AB131,AD131)</f>
        <v>0</v>
      </c>
      <c r="AG131" s="5">
        <f>ROUND(1+AF131*'Live Calc'!$D$10,0)</f>
        <v>1</v>
      </c>
      <c r="AH131" s="5"/>
      <c r="AI131" s="5">
        <f>IF(AH131&lt;&gt;"",AH131,ROUND(AG131*INDEX('Live Calc'!$D$27:$D$40,MATCH(AE131,'Live Calc'!$A$27:$A$40,0))*'Live Calc'!$J$78,0))</f>
        <v>1</v>
      </c>
      <c r="AK131" s="6" t="s">
        <v>440</v>
      </c>
      <c r="AL131" s="6" t="s">
        <v>62</v>
      </c>
      <c r="AM131" s="6">
        <v>12</v>
      </c>
      <c r="AN131" s="6">
        <v>0</v>
      </c>
      <c r="AO131" s="6">
        <v>15</v>
      </c>
      <c r="AP131" s="6">
        <v>0</v>
      </c>
      <c r="AQ131" s="6">
        <v>16</v>
      </c>
      <c r="AR131" s="6">
        <v>0</v>
      </c>
      <c r="AS131" s="6">
        <v>14</v>
      </c>
      <c r="AT131" s="6">
        <v>0</v>
      </c>
      <c r="AU131" s="6">
        <v>14</v>
      </c>
      <c r="AV131" s="6">
        <v>0</v>
      </c>
      <c r="AW131" s="6">
        <f>CHOOSE(MATCH(Setup!$B$5,{8,10,12,14,16},0),AM131,AO131,AQ131,AS131,AU131)</f>
        <v>16</v>
      </c>
      <c r="AX131" s="6">
        <f>CHOOSE(MATCH(Setup!$B$5,{8,10,12,14,16},0),AN131,AP131,AR131,AT131,AV131)</f>
        <v>0</v>
      </c>
      <c r="AY131" s="6">
        <f>ROUND(1+AX131*'Live Calc'!$D$11,0)</f>
        <v>1</v>
      </c>
      <c r="AZ131" s="6"/>
      <c r="BA131" s="6">
        <f>IF(AZ131&lt;&gt;"",AZ131,ROUND(AY131*INDEX('Live Calc'!$D$44:$D$59,MATCH(AW131,'Live Calc'!$A$44:$A$59,0))*'Live Calc'!$J$78,0))</f>
        <v>1</v>
      </c>
    </row>
    <row r="132" spans="19:53" x14ac:dyDescent="0.25">
      <c r="S132" s="5" t="s">
        <v>441</v>
      </c>
      <c r="T132" s="5" t="s">
        <v>24</v>
      </c>
      <c r="U132" s="5">
        <v>11</v>
      </c>
      <c r="V132" s="5">
        <v>0</v>
      </c>
      <c r="W132" s="5">
        <v>13</v>
      </c>
      <c r="X132" s="5">
        <v>0</v>
      </c>
      <c r="Y132" s="5">
        <v>13</v>
      </c>
      <c r="Z132" s="5">
        <v>0</v>
      </c>
      <c r="AA132" s="5">
        <v>14</v>
      </c>
      <c r="AB132" s="5">
        <v>0</v>
      </c>
      <c r="AC132" s="5">
        <v>14</v>
      </c>
      <c r="AD132" s="5">
        <v>0</v>
      </c>
      <c r="AE132" s="5">
        <f>CHOOSE(MATCH(Setup!$B$5,{8,10,12,14,16},0),U132,W132,Y132,AA132,AC132)</f>
        <v>13</v>
      </c>
      <c r="AF132" s="5">
        <f>CHOOSE(MATCH(Setup!$B$5,{8,10,12,14,16},0),V132,X132,Z132,AB132,AD132)</f>
        <v>0</v>
      </c>
      <c r="AG132" s="5">
        <f>ROUND(1+AF132*'Live Calc'!$D$10,0)</f>
        <v>1</v>
      </c>
      <c r="AH132" s="5"/>
      <c r="AI132" s="5">
        <f>IF(AH132&lt;&gt;"",AH132,ROUND(AG132*INDEX('Live Calc'!$D$27:$D$40,MATCH(AE132,'Live Calc'!$A$27:$A$40,0))*'Live Calc'!$J$78,0))</f>
        <v>1</v>
      </c>
      <c r="AK132" s="6" t="s">
        <v>442</v>
      </c>
      <c r="AL132" s="6" t="s">
        <v>48</v>
      </c>
      <c r="AM132" s="6">
        <v>12</v>
      </c>
      <c r="AN132" s="6">
        <v>0</v>
      </c>
      <c r="AO132" s="6">
        <v>15</v>
      </c>
      <c r="AP132" s="6">
        <v>0</v>
      </c>
      <c r="AQ132" s="6">
        <v>16</v>
      </c>
      <c r="AR132" s="6">
        <v>0</v>
      </c>
      <c r="AS132" s="6">
        <v>14</v>
      </c>
      <c r="AT132" s="6">
        <v>0</v>
      </c>
      <c r="AU132" s="6">
        <v>14</v>
      </c>
      <c r="AV132" s="6">
        <v>0</v>
      </c>
      <c r="AW132" s="6">
        <f>CHOOSE(MATCH(Setup!$B$5,{8,10,12,14,16},0),AM132,AO132,AQ132,AS132,AU132)</f>
        <v>16</v>
      </c>
      <c r="AX132" s="6">
        <f>CHOOSE(MATCH(Setup!$B$5,{8,10,12,14,16},0),AN132,AP132,AR132,AT132,AV132)</f>
        <v>0</v>
      </c>
      <c r="AY132" s="6">
        <f>ROUND(1+AX132*'Live Calc'!$D$11,0)</f>
        <v>1</v>
      </c>
      <c r="AZ132" s="6"/>
      <c r="BA132" s="6">
        <f>IF(AZ132&lt;&gt;"",AZ132,ROUND(AY132*INDEX('Live Calc'!$D$44:$D$59,MATCH(AW132,'Live Calc'!$A$44:$A$59,0))*'Live Calc'!$J$78,0))</f>
        <v>1</v>
      </c>
    </row>
    <row r="133" spans="19:53" x14ac:dyDescent="0.25">
      <c r="S133" s="5" t="s">
        <v>443</v>
      </c>
      <c r="T133" s="5" t="s">
        <v>82</v>
      </c>
      <c r="U133" s="5">
        <v>11</v>
      </c>
      <c r="V133" s="5">
        <v>0</v>
      </c>
      <c r="W133" s="5">
        <v>13</v>
      </c>
      <c r="X133" s="5">
        <v>0</v>
      </c>
      <c r="Y133" s="5">
        <v>13</v>
      </c>
      <c r="Z133" s="5">
        <v>0</v>
      </c>
      <c r="AA133" s="5">
        <v>14</v>
      </c>
      <c r="AB133" s="5">
        <v>0</v>
      </c>
      <c r="AC133" s="5">
        <v>14</v>
      </c>
      <c r="AD133" s="5">
        <v>0</v>
      </c>
      <c r="AE133" s="5">
        <f>CHOOSE(MATCH(Setup!$B$5,{8,10,12,14,16},0),U133,W133,Y133,AA133,AC133)</f>
        <v>13</v>
      </c>
      <c r="AF133" s="5">
        <f>CHOOSE(MATCH(Setup!$B$5,{8,10,12,14,16},0),V133,X133,Z133,AB133,AD133)</f>
        <v>0</v>
      </c>
      <c r="AG133" s="5">
        <f>ROUND(1+AF133*'Live Calc'!$D$10,0)</f>
        <v>1</v>
      </c>
      <c r="AH133" s="5"/>
      <c r="AI133" s="5">
        <f>IF(AH133&lt;&gt;"",AH133,ROUND(AG133*INDEX('Live Calc'!$D$27:$D$40,MATCH(AE133,'Live Calc'!$A$27:$A$40,0))*'Live Calc'!$J$78,0))</f>
        <v>1</v>
      </c>
      <c r="AK133" s="6" t="s">
        <v>444</v>
      </c>
      <c r="AL133" s="6" t="s">
        <v>32</v>
      </c>
      <c r="AM133" s="6">
        <v>12</v>
      </c>
      <c r="AN133" s="6">
        <v>0</v>
      </c>
      <c r="AO133" s="6">
        <v>15</v>
      </c>
      <c r="AP133" s="6">
        <v>0</v>
      </c>
      <c r="AQ133" s="6">
        <v>16</v>
      </c>
      <c r="AR133" s="6">
        <v>0</v>
      </c>
      <c r="AS133" s="6">
        <v>14</v>
      </c>
      <c r="AT133" s="6">
        <v>0</v>
      </c>
      <c r="AU133" s="6">
        <v>14</v>
      </c>
      <c r="AV133" s="6">
        <v>0</v>
      </c>
      <c r="AW133" s="6">
        <f>CHOOSE(MATCH(Setup!$B$5,{8,10,12,14,16},0),AM133,AO133,AQ133,AS133,AU133)</f>
        <v>16</v>
      </c>
      <c r="AX133" s="6">
        <f>CHOOSE(MATCH(Setup!$B$5,{8,10,12,14,16},0),AN133,AP133,AR133,AT133,AV133)</f>
        <v>0</v>
      </c>
      <c r="AY133" s="6">
        <f>ROUND(1+AX133*'Live Calc'!$D$11,0)</f>
        <v>1</v>
      </c>
      <c r="AZ133" s="6"/>
      <c r="BA133" s="6">
        <f>IF(AZ133&lt;&gt;"",AZ133,ROUND(AY133*INDEX('Live Calc'!$D$44:$D$59,MATCH(AW133,'Live Calc'!$A$44:$A$59,0))*'Live Calc'!$J$78,0))</f>
        <v>1</v>
      </c>
    </row>
    <row r="134" spans="19:53" x14ac:dyDescent="0.25">
      <c r="S134" s="5" t="s">
        <v>445</v>
      </c>
      <c r="T134" s="5" t="s">
        <v>65</v>
      </c>
      <c r="U134" s="5">
        <v>11</v>
      </c>
      <c r="V134" s="5">
        <v>0</v>
      </c>
      <c r="W134" s="5">
        <v>13</v>
      </c>
      <c r="X134" s="5">
        <v>0</v>
      </c>
      <c r="Y134" s="5">
        <v>13</v>
      </c>
      <c r="Z134" s="5">
        <v>0</v>
      </c>
      <c r="AA134" s="5">
        <v>14</v>
      </c>
      <c r="AB134" s="5">
        <v>0</v>
      </c>
      <c r="AC134" s="5">
        <v>14</v>
      </c>
      <c r="AD134" s="5">
        <v>0</v>
      </c>
      <c r="AE134" s="5">
        <f>CHOOSE(MATCH(Setup!$B$5,{8,10,12,14,16},0),U134,W134,Y134,AA134,AC134)</f>
        <v>13</v>
      </c>
      <c r="AF134" s="5">
        <f>CHOOSE(MATCH(Setup!$B$5,{8,10,12,14,16},0),V134,X134,Z134,AB134,AD134)</f>
        <v>0</v>
      </c>
      <c r="AG134" s="5">
        <f>ROUND(1+AF134*'Live Calc'!$D$10,0)</f>
        <v>1</v>
      </c>
      <c r="AH134" s="5"/>
      <c r="AI134" s="5">
        <f>IF(AH134&lt;&gt;"",AH134,ROUND(AG134*INDEX('Live Calc'!$D$27:$D$40,MATCH(AE134,'Live Calc'!$A$27:$A$40,0))*'Live Calc'!$J$78,0))</f>
        <v>1</v>
      </c>
      <c r="AK134" s="6" t="s">
        <v>446</v>
      </c>
      <c r="AL134" s="6" t="s">
        <v>67</v>
      </c>
      <c r="AM134" s="6">
        <v>12</v>
      </c>
      <c r="AN134" s="6">
        <v>0</v>
      </c>
      <c r="AO134" s="6">
        <v>15</v>
      </c>
      <c r="AP134" s="6">
        <v>0</v>
      </c>
      <c r="AQ134" s="6">
        <v>16</v>
      </c>
      <c r="AR134" s="6">
        <v>0</v>
      </c>
      <c r="AS134" s="6">
        <v>14</v>
      </c>
      <c r="AT134" s="6">
        <v>0</v>
      </c>
      <c r="AU134" s="6">
        <v>14</v>
      </c>
      <c r="AV134" s="6">
        <v>0</v>
      </c>
      <c r="AW134" s="6">
        <f>CHOOSE(MATCH(Setup!$B$5,{8,10,12,14,16},0),AM134,AO134,AQ134,AS134,AU134)</f>
        <v>16</v>
      </c>
      <c r="AX134" s="6">
        <f>CHOOSE(MATCH(Setup!$B$5,{8,10,12,14,16},0),AN134,AP134,AR134,AT134,AV134)</f>
        <v>0</v>
      </c>
      <c r="AY134" s="6">
        <f>ROUND(1+AX134*'Live Calc'!$D$11,0)</f>
        <v>1</v>
      </c>
      <c r="AZ134" s="6"/>
      <c r="BA134" s="6">
        <f>IF(AZ134&lt;&gt;"",AZ134,ROUND(AY134*INDEX('Live Calc'!$D$44:$D$59,MATCH(AW134,'Live Calc'!$A$44:$A$59,0))*'Live Calc'!$J$78,0))</f>
        <v>1</v>
      </c>
    </row>
    <row r="135" spans="19:53" x14ac:dyDescent="0.25">
      <c r="S135" s="5" t="s">
        <v>447</v>
      </c>
      <c r="T135" s="5" t="s">
        <v>46</v>
      </c>
      <c r="U135" s="5">
        <v>11</v>
      </c>
      <c r="V135" s="5">
        <v>0</v>
      </c>
      <c r="W135" s="5">
        <v>13</v>
      </c>
      <c r="X135" s="5">
        <v>0</v>
      </c>
      <c r="Y135" s="5">
        <v>13</v>
      </c>
      <c r="Z135" s="5">
        <v>0</v>
      </c>
      <c r="AA135" s="5">
        <v>14</v>
      </c>
      <c r="AB135" s="5">
        <v>0</v>
      </c>
      <c r="AC135" s="5">
        <v>14</v>
      </c>
      <c r="AD135" s="5">
        <v>0</v>
      </c>
      <c r="AE135" s="5">
        <f>CHOOSE(MATCH(Setup!$B$5,{8,10,12,14,16},0),U135,W135,Y135,AA135,AC135)</f>
        <v>13</v>
      </c>
      <c r="AF135" s="5">
        <f>CHOOSE(MATCH(Setup!$B$5,{8,10,12,14,16},0),V135,X135,Z135,AB135,AD135)</f>
        <v>0</v>
      </c>
      <c r="AG135" s="5">
        <f>ROUND(1+AF135*'Live Calc'!$D$10,0)</f>
        <v>1</v>
      </c>
      <c r="AH135" s="5"/>
      <c r="AI135" s="5">
        <f>IF(AH135&lt;&gt;"",AH135,ROUND(AG135*INDEX('Live Calc'!$D$27:$D$40,MATCH(AE135,'Live Calc'!$A$27:$A$40,0))*'Live Calc'!$J$78,0))</f>
        <v>1</v>
      </c>
      <c r="AK135" s="6" t="s">
        <v>448</v>
      </c>
      <c r="AL135" s="6" t="s">
        <v>48</v>
      </c>
      <c r="AM135" s="6">
        <v>12</v>
      </c>
      <c r="AN135" s="6">
        <v>0</v>
      </c>
      <c r="AO135" s="6">
        <v>15</v>
      </c>
      <c r="AP135" s="6">
        <v>0</v>
      </c>
      <c r="AQ135" s="6">
        <v>16</v>
      </c>
      <c r="AR135" s="6">
        <v>0</v>
      </c>
      <c r="AS135" s="6">
        <v>14</v>
      </c>
      <c r="AT135" s="6">
        <v>0</v>
      </c>
      <c r="AU135" s="6">
        <v>14</v>
      </c>
      <c r="AV135" s="6">
        <v>0</v>
      </c>
      <c r="AW135" s="6">
        <f>CHOOSE(MATCH(Setup!$B$5,{8,10,12,14,16},0),AM135,AO135,AQ135,AS135,AU135)</f>
        <v>16</v>
      </c>
      <c r="AX135" s="6">
        <f>CHOOSE(MATCH(Setup!$B$5,{8,10,12,14,16},0),AN135,AP135,AR135,AT135,AV135)</f>
        <v>0</v>
      </c>
      <c r="AY135" s="6">
        <f>ROUND(1+AX135*'Live Calc'!$D$11,0)</f>
        <v>1</v>
      </c>
      <c r="AZ135" s="6"/>
      <c r="BA135" s="6">
        <f>IF(AZ135&lt;&gt;"",AZ135,ROUND(AY135*INDEX('Live Calc'!$D$44:$D$59,MATCH(AW135,'Live Calc'!$A$44:$A$59,0))*'Live Calc'!$J$78,0))</f>
        <v>1</v>
      </c>
    </row>
    <row r="136" spans="19:53" x14ac:dyDescent="0.25">
      <c r="S136" s="5" t="s">
        <v>449</v>
      </c>
      <c r="T136" s="5" t="s">
        <v>48</v>
      </c>
      <c r="U136" s="5">
        <v>11</v>
      </c>
      <c r="V136" s="5">
        <v>0</v>
      </c>
      <c r="W136" s="5">
        <v>13</v>
      </c>
      <c r="X136" s="5">
        <v>0</v>
      </c>
      <c r="Y136" s="5">
        <v>13</v>
      </c>
      <c r="Z136" s="5">
        <v>0</v>
      </c>
      <c r="AA136" s="5">
        <v>14</v>
      </c>
      <c r="AB136" s="5">
        <v>0</v>
      </c>
      <c r="AC136" s="5">
        <v>14</v>
      </c>
      <c r="AD136" s="5">
        <v>0</v>
      </c>
      <c r="AE136" s="5">
        <f>CHOOSE(MATCH(Setup!$B$5,{8,10,12,14,16},0),U136,W136,Y136,AA136,AC136)</f>
        <v>13</v>
      </c>
      <c r="AF136" s="5">
        <f>CHOOSE(MATCH(Setup!$B$5,{8,10,12,14,16},0),V136,X136,Z136,AB136,AD136)</f>
        <v>0</v>
      </c>
      <c r="AG136" s="5">
        <f>ROUND(1+AF136*'Live Calc'!$D$10,0)</f>
        <v>1</v>
      </c>
      <c r="AH136" s="5"/>
      <c r="AI136" s="5">
        <f>IF(AH136&lt;&gt;"",AH136,ROUND(AG136*INDEX('Live Calc'!$D$27:$D$40,MATCH(AE136,'Live Calc'!$A$27:$A$40,0))*'Live Calc'!$J$78,0))</f>
        <v>1</v>
      </c>
      <c r="AK136" s="6" t="s">
        <v>450</v>
      </c>
      <c r="AL136" s="6" t="s">
        <v>48</v>
      </c>
      <c r="AM136" s="6">
        <v>12</v>
      </c>
      <c r="AN136" s="6">
        <v>0</v>
      </c>
      <c r="AO136" s="6">
        <v>15</v>
      </c>
      <c r="AP136" s="6">
        <v>0</v>
      </c>
      <c r="AQ136" s="6">
        <v>16</v>
      </c>
      <c r="AR136" s="6">
        <v>0</v>
      </c>
      <c r="AS136" s="6">
        <v>14</v>
      </c>
      <c r="AT136" s="6">
        <v>0</v>
      </c>
      <c r="AU136" s="6">
        <v>14</v>
      </c>
      <c r="AV136" s="6">
        <v>0</v>
      </c>
      <c r="AW136" s="6">
        <f>CHOOSE(MATCH(Setup!$B$5,{8,10,12,14,16},0),AM136,AO136,AQ136,AS136,AU136)</f>
        <v>16</v>
      </c>
      <c r="AX136" s="6">
        <f>CHOOSE(MATCH(Setup!$B$5,{8,10,12,14,16},0),AN136,AP136,AR136,AT136,AV136)</f>
        <v>0</v>
      </c>
      <c r="AY136" s="6">
        <f>ROUND(1+AX136*'Live Calc'!$D$11,0)</f>
        <v>1</v>
      </c>
      <c r="AZ136" s="6"/>
      <c r="BA136" s="6">
        <f>IF(AZ136&lt;&gt;"",AZ136,ROUND(AY136*INDEX('Live Calc'!$D$44:$D$59,MATCH(AW136,'Live Calc'!$A$44:$A$59,0))*'Live Calc'!$J$78,0))</f>
        <v>1</v>
      </c>
    </row>
    <row r="137" spans="19:53" x14ac:dyDescent="0.25">
      <c r="S137" s="5" t="s">
        <v>451</v>
      </c>
      <c r="T137" s="5" t="s">
        <v>88</v>
      </c>
      <c r="U137" s="5">
        <v>11</v>
      </c>
      <c r="V137" s="5">
        <v>0</v>
      </c>
      <c r="W137" s="5">
        <v>13</v>
      </c>
      <c r="X137" s="5">
        <v>0</v>
      </c>
      <c r="Y137" s="5">
        <v>13</v>
      </c>
      <c r="Z137" s="5">
        <v>0</v>
      </c>
      <c r="AA137" s="5">
        <v>14</v>
      </c>
      <c r="AB137" s="5">
        <v>0</v>
      </c>
      <c r="AC137" s="5">
        <v>14</v>
      </c>
      <c r="AD137" s="5">
        <v>0</v>
      </c>
      <c r="AE137" s="5">
        <f>CHOOSE(MATCH(Setup!$B$5,{8,10,12,14,16},0),U137,W137,Y137,AA137,AC137)</f>
        <v>13</v>
      </c>
      <c r="AF137" s="5">
        <f>CHOOSE(MATCH(Setup!$B$5,{8,10,12,14,16},0),V137,X137,Z137,AB137,AD137)</f>
        <v>0</v>
      </c>
      <c r="AG137" s="5">
        <f>ROUND(1+AF137*'Live Calc'!$D$10,0)</f>
        <v>1</v>
      </c>
      <c r="AH137" s="5"/>
      <c r="AI137" s="5">
        <f>IF(AH137&lt;&gt;"",AH137,ROUND(AG137*INDEX('Live Calc'!$D$27:$D$40,MATCH(AE137,'Live Calc'!$A$27:$A$40,0))*'Live Calc'!$J$78,0))</f>
        <v>1</v>
      </c>
      <c r="AK137" s="6" t="s">
        <v>452</v>
      </c>
      <c r="AL137" s="6" t="s">
        <v>235</v>
      </c>
      <c r="AM137" s="6">
        <v>12</v>
      </c>
      <c r="AN137" s="6">
        <v>0</v>
      </c>
      <c r="AO137" s="6">
        <v>15</v>
      </c>
      <c r="AP137" s="6">
        <v>0</v>
      </c>
      <c r="AQ137" s="6">
        <v>16</v>
      </c>
      <c r="AR137" s="6">
        <v>0</v>
      </c>
      <c r="AS137" s="6">
        <v>14</v>
      </c>
      <c r="AT137" s="6">
        <v>0</v>
      </c>
      <c r="AU137" s="6">
        <v>14</v>
      </c>
      <c r="AV137" s="6">
        <v>0</v>
      </c>
      <c r="AW137" s="6">
        <f>CHOOSE(MATCH(Setup!$B$5,{8,10,12,14,16},0),AM137,AO137,AQ137,AS137,AU137)</f>
        <v>16</v>
      </c>
      <c r="AX137" s="6">
        <f>CHOOSE(MATCH(Setup!$B$5,{8,10,12,14,16},0),AN137,AP137,AR137,AT137,AV137)</f>
        <v>0</v>
      </c>
      <c r="AY137" s="6">
        <f>ROUND(1+AX137*'Live Calc'!$D$11,0)</f>
        <v>1</v>
      </c>
      <c r="AZ137" s="6"/>
      <c r="BA137" s="6">
        <f>IF(AZ137&lt;&gt;"",AZ137,ROUND(AY137*INDEX('Live Calc'!$D$44:$D$59,MATCH(AW137,'Live Calc'!$A$44:$A$59,0))*'Live Calc'!$J$78,0))</f>
        <v>1</v>
      </c>
    </row>
    <row r="138" spans="19:53" x14ac:dyDescent="0.25">
      <c r="S138" s="5" t="s">
        <v>453</v>
      </c>
      <c r="T138" s="5" t="s">
        <v>57</v>
      </c>
      <c r="U138" s="5">
        <v>11</v>
      </c>
      <c r="V138" s="5">
        <v>0</v>
      </c>
      <c r="W138" s="5">
        <v>13</v>
      </c>
      <c r="X138" s="5">
        <v>0</v>
      </c>
      <c r="Y138" s="5">
        <v>13</v>
      </c>
      <c r="Z138" s="5">
        <v>0</v>
      </c>
      <c r="AA138" s="5">
        <v>14</v>
      </c>
      <c r="AB138" s="5">
        <v>0</v>
      </c>
      <c r="AC138" s="5">
        <v>14</v>
      </c>
      <c r="AD138" s="5">
        <v>0</v>
      </c>
      <c r="AE138" s="5">
        <f>CHOOSE(MATCH(Setup!$B$5,{8,10,12,14,16},0),U138,W138,Y138,AA138,AC138)</f>
        <v>13</v>
      </c>
      <c r="AF138" s="5">
        <f>CHOOSE(MATCH(Setup!$B$5,{8,10,12,14,16},0),V138,X138,Z138,AB138,AD138)</f>
        <v>0</v>
      </c>
      <c r="AG138" s="5">
        <f>ROUND(1+AF138*'Live Calc'!$D$10,0)</f>
        <v>1</v>
      </c>
      <c r="AH138" s="5"/>
      <c r="AI138" s="5">
        <f>IF(AH138&lt;&gt;"",AH138,ROUND(AG138*INDEX('Live Calc'!$D$27:$D$40,MATCH(AE138,'Live Calc'!$A$27:$A$40,0))*'Live Calc'!$J$78,0))</f>
        <v>1</v>
      </c>
      <c r="AK138" s="6" t="s">
        <v>454</v>
      </c>
      <c r="AL138" s="6" t="s">
        <v>80</v>
      </c>
      <c r="AM138" s="6">
        <v>12</v>
      </c>
      <c r="AN138" s="6">
        <v>0</v>
      </c>
      <c r="AO138" s="6">
        <v>15</v>
      </c>
      <c r="AP138" s="6">
        <v>0</v>
      </c>
      <c r="AQ138" s="6">
        <v>16</v>
      </c>
      <c r="AR138" s="6">
        <v>0</v>
      </c>
      <c r="AS138" s="6">
        <v>14</v>
      </c>
      <c r="AT138" s="6">
        <v>0</v>
      </c>
      <c r="AU138" s="6">
        <v>14</v>
      </c>
      <c r="AV138" s="6">
        <v>0</v>
      </c>
      <c r="AW138" s="6">
        <f>CHOOSE(MATCH(Setup!$B$5,{8,10,12,14,16},0),AM138,AO138,AQ138,AS138,AU138)</f>
        <v>16</v>
      </c>
      <c r="AX138" s="6">
        <f>CHOOSE(MATCH(Setup!$B$5,{8,10,12,14,16},0),AN138,AP138,AR138,AT138,AV138)</f>
        <v>0</v>
      </c>
      <c r="AY138" s="6">
        <f>ROUND(1+AX138*'Live Calc'!$D$11,0)</f>
        <v>1</v>
      </c>
      <c r="AZ138" s="6"/>
      <c r="BA138" s="6">
        <f>IF(AZ138&lt;&gt;"",AZ138,ROUND(AY138*INDEX('Live Calc'!$D$44:$D$59,MATCH(AW138,'Live Calc'!$A$44:$A$59,0))*'Live Calc'!$J$78,0))</f>
        <v>1</v>
      </c>
    </row>
    <row r="139" spans="19:53" x14ac:dyDescent="0.25">
      <c r="S139" s="5" t="s">
        <v>455</v>
      </c>
      <c r="T139" s="5" t="s">
        <v>24</v>
      </c>
      <c r="U139" s="5">
        <v>11</v>
      </c>
      <c r="V139" s="5">
        <v>0</v>
      </c>
      <c r="W139" s="5">
        <v>13</v>
      </c>
      <c r="X139" s="5">
        <v>0</v>
      </c>
      <c r="Y139" s="5">
        <v>13</v>
      </c>
      <c r="Z139" s="5">
        <v>0</v>
      </c>
      <c r="AA139" s="5">
        <v>14</v>
      </c>
      <c r="AB139" s="5">
        <v>0</v>
      </c>
      <c r="AC139" s="5">
        <v>14</v>
      </c>
      <c r="AD139" s="5">
        <v>0</v>
      </c>
      <c r="AE139" s="5">
        <f>CHOOSE(MATCH(Setup!$B$5,{8,10,12,14,16},0),U139,W139,Y139,AA139,AC139)</f>
        <v>13</v>
      </c>
      <c r="AF139" s="5">
        <f>CHOOSE(MATCH(Setup!$B$5,{8,10,12,14,16},0),V139,X139,Z139,AB139,AD139)</f>
        <v>0</v>
      </c>
      <c r="AG139" s="5">
        <f>ROUND(1+AF139*'Live Calc'!$D$10,0)</f>
        <v>1</v>
      </c>
      <c r="AH139" s="5"/>
      <c r="AI139" s="5">
        <f>IF(AH139&lt;&gt;"",AH139,ROUND(AG139*INDEX('Live Calc'!$D$27:$D$40,MATCH(AE139,'Live Calc'!$A$27:$A$40,0))*'Live Calc'!$J$78,0))</f>
        <v>1</v>
      </c>
      <c r="AK139" s="6" t="s">
        <v>456</v>
      </c>
      <c r="AL139" s="6" t="s">
        <v>235</v>
      </c>
      <c r="AM139" s="6">
        <v>12</v>
      </c>
      <c r="AN139" s="6">
        <v>0</v>
      </c>
      <c r="AO139" s="6">
        <v>15</v>
      </c>
      <c r="AP139" s="6">
        <v>0</v>
      </c>
      <c r="AQ139" s="6">
        <v>16</v>
      </c>
      <c r="AR139" s="6">
        <v>0</v>
      </c>
      <c r="AS139" s="6">
        <v>14</v>
      </c>
      <c r="AT139" s="6">
        <v>0</v>
      </c>
      <c r="AU139" s="6">
        <v>14</v>
      </c>
      <c r="AV139" s="6">
        <v>0</v>
      </c>
      <c r="AW139" s="6">
        <f>CHOOSE(MATCH(Setup!$B$5,{8,10,12,14,16},0),AM139,AO139,AQ139,AS139,AU139)</f>
        <v>16</v>
      </c>
      <c r="AX139" s="6">
        <f>CHOOSE(MATCH(Setup!$B$5,{8,10,12,14,16},0),AN139,AP139,AR139,AT139,AV139)</f>
        <v>0</v>
      </c>
      <c r="AY139" s="6">
        <f>ROUND(1+AX139*'Live Calc'!$D$11,0)</f>
        <v>1</v>
      </c>
      <c r="AZ139" s="6"/>
      <c r="BA139" s="6">
        <f>IF(AZ139&lt;&gt;"",AZ139,ROUND(AY139*INDEX('Live Calc'!$D$44:$D$59,MATCH(AW139,'Live Calc'!$A$44:$A$59,0))*'Live Calc'!$J$78,0))</f>
        <v>1</v>
      </c>
    </row>
    <row r="140" spans="19:53" x14ac:dyDescent="0.25">
      <c r="S140" s="5" t="s">
        <v>457</v>
      </c>
      <c r="T140" s="5" t="s">
        <v>108</v>
      </c>
      <c r="U140" s="5">
        <v>11</v>
      </c>
      <c r="V140" s="5">
        <v>0</v>
      </c>
      <c r="W140" s="5">
        <v>13</v>
      </c>
      <c r="X140" s="5">
        <v>0</v>
      </c>
      <c r="Y140" s="5">
        <v>13</v>
      </c>
      <c r="Z140" s="5">
        <v>0</v>
      </c>
      <c r="AA140" s="5">
        <v>14</v>
      </c>
      <c r="AB140" s="5">
        <v>0</v>
      </c>
      <c r="AC140" s="5">
        <v>14</v>
      </c>
      <c r="AD140" s="5">
        <v>0</v>
      </c>
      <c r="AE140" s="5">
        <f>CHOOSE(MATCH(Setup!$B$5,{8,10,12,14,16},0),U140,W140,Y140,AA140,AC140)</f>
        <v>13</v>
      </c>
      <c r="AF140" s="5">
        <f>CHOOSE(MATCH(Setup!$B$5,{8,10,12,14,16},0),V140,X140,Z140,AB140,AD140)</f>
        <v>0</v>
      </c>
      <c r="AG140" s="5">
        <f>ROUND(1+AF140*'Live Calc'!$D$10,0)</f>
        <v>1</v>
      </c>
      <c r="AH140" s="5"/>
      <c r="AI140" s="5">
        <f>IF(AH140&lt;&gt;"",AH140,ROUND(AG140*INDEX('Live Calc'!$D$27:$D$40,MATCH(AE140,'Live Calc'!$A$27:$A$40,0))*'Live Calc'!$J$78,0))</f>
        <v>1</v>
      </c>
      <c r="AK140" s="6" t="s">
        <v>458</v>
      </c>
      <c r="AL140" s="6" t="s">
        <v>120</v>
      </c>
      <c r="AM140" s="6">
        <v>12</v>
      </c>
      <c r="AN140" s="6">
        <v>0</v>
      </c>
      <c r="AO140" s="6">
        <v>15</v>
      </c>
      <c r="AP140" s="6">
        <v>0</v>
      </c>
      <c r="AQ140" s="6">
        <v>16</v>
      </c>
      <c r="AR140" s="6">
        <v>0</v>
      </c>
      <c r="AS140" s="6">
        <v>14</v>
      </c>
      <c r="AT140" s="6">
        <v>0</v>
      </c>
      <c r="AU140" s="6">
        <v>14</v>
      </c>
      <c r="AV140" s="6">
        <v>0</v>
      </c>
      <c r="AW140" s="6">
        <f>CHOOSE(MATCH(Setup!$B$5,{8,10,12,14,16},0),AM140,AO140,AQ140,AS140,AU140)</f>
        <v>16</v>
      </c>
      <c r="AX140" s="6">
        <f>CHOOSE(MATCH(Setup!$B$5,{8,10,12,14,16},0),AN140,AP140,AR140,AT140,AV140)</f>
        <v>0</v>
      </c>
      <c r="AY140" s="6">
        <f>ROUND(1+AX140*'Live Calc'!$D$11,0)</f>
        <v>1</v>
      </c>
      <c r="AZ140" s="6"/>
      <c r="BA140" s="6">
        <f>IF(AZ140&lt;&gt;"",AZ140,ROUND(AY140*INDEX('Live Calc'!$D$44:$D$59,MATCH(AW140,'Live Calc'!$A$44:$A$59,0))*'Live Calc'!$J$78,0))</f>
        <v>1</v>
      </c>
    </row>
    <row r="141" spans="19:53" x14ac:dyDescent="0.25">
      <c r="S141" s="5" t="s">
        <v>459</v>
      </c>
      <c r="T141" s="5" t="s">
        <v>30</v>
      </c>
      <c r="U141" s="5">
        <v>11</v>
      </c>
      <c r="V141" s="5">
        <v>0</v>
      </c>
      <c r="W141" s="5">
        <v>13</v>
      </c>
      <c r="X141" s="5">
        <v>0</v>
      </c>
      <c r="Y141" s="5">
        <v>13</v>
      </c>
      <c r="Z141" s="5">
        <v>0</v>
      </c>
      <c r="AA141" s="5">
        <v>14</v>
      </c>
      <c r="AB141" s="5">
        <v>0</v>
      </c>
      <c r="AC141" s="5">
        <v>14</v>
      </c>
      <c r="AD141" s="5">
        <v>0</v>
      </c>
      <c r="AE141" s="5">
        <f>CHOOSE(MATCH(Setup!$B$5,{8,10,12,14,16},0),U141,W141,Y141,AA141,AC141)</f>
        <v>13</v>
      </c>
      <c r="AF141" s="5">
        <f>CHOOSE(MATCH(Setup!$B$5,{8,10,12,14,16},0),V141,X141,Z141,AB141,AD141)</f>
        <v>0</v>
      </c>
      <c r="AG141" s="5">
        <f>ROUND(1+AF141*'Live Calc'!$D$10,0)</f>
        <v>1</v>
      </c>
      <c r="AH141" s="5"/>
      <c r="AI141" s="5">
        <f>IF(AH141&lt;&gt;"",AH141,ROUND(AG141*INDEX('Live Calc'!$D$27:$D$40,MATCH(AE141,'Live Calc'!$A$27:$A$40,0))*'Live Calc'!$J$78,0))</f>
        <v>1</v>
      </c>
      <c r="AK141" s="6" t="s">
        <v>460</v>
      </c>
      <c r="AL141" s="6" t="s">
        <v>59</v>
      </c>
      <c r="AM141" s="6">
        <v>12</v>
      </c>
      <c r="AN141" s="6">
        <v>0</v>
      </c>
      <c r="AO141" s="6">
        <v>15</v>
      </c>
      <c r="AP141" s="6">
        <v>0</v>
      </c>
      <c r="AQ141" s="6">
        <v>16</v>
      </c>
      <c r="AR141" s="6">
        <v>0</v>
      </c>
      <c r="AS141" s="6">
        <v>14</v>
      </c>
      <c r="AT141" s="6">
        <v>0</v>
      </c>
      <c r="AU141" s="6">
        <v>14</v>
      </c>
      <c r="AV141" s="6">
        <v>0</v>
      </c>
      <c r="AW141" s="6">
        <f>CHOOSE(MATCH(Setup!$B$5,{8,10,12,14,16},0),AM141,AO141,AQ141,AS141,AU141)</f>
        <v>16</v>
      </c>
      <c r="AX141" s="6">
        <f>CHOOSE(MATCH(Setup!$B$5,{8,10,12,14,16},0),AN141,AP141,AR141,AT141,AV141)</f>
        <v>0</v>
      </c>
      <c r="AY141" s="6">
        <f>ROUND(1+AX141*'Live Calc'!$D$11,0)</f>
        <v>1</v>
      </c>
      <c r="AZ141" s="6"/>
      <c r="BA141" s="6">
        <f>IF(AZ141&lt;&gt;"",AZ141,ROUND(AY141*INDEX('Live Calc'!$D$44:$D$59,MATCH(AW141,'Live Calc'!$A$44:$A$59,0))*'Live Calc'!$J$78,0))</f>
        <v>1</v>
      </c>
    </row>
    <row r="142" spans="19:53" x14ac:dyDescent="0.25">
      <c r="AK142" s="6" t="s">
        <v>461</v>
      </c>
      <c r="AL142" s="6" t="s">
        <v>235</v>
      </c>
      <c r="AM142" s="6">
        <v>12</v>
      </c>
      <c r="AN142" s="6">
        <v>0</v>
      </c>
      <c r="AO142" s="6">
        <v>15</v>
      </c>
      <c r="AP142" s="6">
        <v>0</v>
      </c>
      <c r="AQ142" s="6">
        <v>16</v>
      </c>
      <c r="AR142" s="6">
        <v>0</v>
      </c>
      <c r="AS142" s="6">
        <v>14</v>
      </c>
      <c r="AT142" s="6">
        <v>0</v>
      </c>
      <c r="AU142" s="6">
        <v>14</v>
      </c>
      <c r="AV142" s="6">
        <v>0</v>
      </c>
      <c r="AW142" s="6">
        <f>CHOOSE(MATCH(Setup!$B$5,{8,10,12,14,16},0),AM142,AO142,AQ142,AS142,AU142)</f>
        <v>16</v>
      </c>
      <c r="AX142" s="6">
        <f>CHOOSE(MATCH(Setup!$B$5,{8,10,12,14,16},0),AN142,AP142,AR142,AT142,AV142)</f>
        <v>0</v>
      </c>
      <c r="AY142" s="6">
        <f>ROUND(1+AX142*'Live Calc'!$D$11,0)</f>
        <v>1</v>
      </c>
      <c r="AZ142" s="6"/>
      <c r="BA142" s="6">
        <f>IF(AZ142&lt;&gt;"",AZ142,ROUND(AY142*INDEX('Live Calc'!$D$44:$D$59,MATCH(AW142,'Live Calc'!$A$44:$A$59,0))*'Live Calc'!$J$78,0))</f>
        <v>1</v>
      </c>
    </row>
    <row r="143" spans="19:53" x14ac:dyDescent="0.25">
      <c r="AK143" s="6" t="s">
        <v>462</v>
      </c>
      <c r="AL143" s="6" t="s">
        <v>42</v>
      </c>
      <c r="AM143" s="6">
        <v>12</v>
      </c>
      <c r="AN143" s="6">
        <v>0</v>
      </c>
      <c r="AO143" s="6">
        <v>15</v>
      </c>
      <c r="AP143" s="6">
        <v>0</v>
      </c>
      <c r="AQ143" s="6">
        <v>16</v>
      </c>
      <c r="AR143" s="6">
        <v>0</v>
      </c>
      <c r="AS143" s="6">
        <v>14</v>
      </c>
      <c r="AT143" s="6">
        <v>0</v>
      </c>
      <c r="AU143" s="6">
        <v>14</v>
      </c>
      <c r="AV143" s="6">
        <v>0</v>
      </c>
      <c r="AW143" s="6">
        <f>CHOOSE(MATCH(Setup!$B$5,{8,10,12,14,16},0),AM143,AO143,AQ143,AS143,AU143)</f>
        <v>16</v>
      </c>
      <c r="AX143" s="6">
        <f>CHOOSE(MATCH(Setup!$B$5,{8,10,12,14,16},0),AN143,AP143,AR143,AT143,AV143)</f>
        <v>0</v>
      </c>
      <c r="AY143" s="6">
        <f>ROUND(1+AX143*'Live Calc'!$D$11,0)</f>
        <v>1</v>
      </c>
      <c r="AZ143" s="6"/>
      <c r="BA143" s="6">
        <f>IF(AZ143&lt;&gt;"",AZ143,ROUND(AY143*INDEX('Live Calc'!$D$44:$D$59,MATCH(AW143,'Live Calc'!$A$44:$A$59,0))*'Live Calc'!$J$78,0))</f>
        <v>1</v>
      </c>
    </row>
    <row r="144" spans="19:53" x14ac:dyDescent="0.25">
      <c r="AK144" s="6" t="s">
        <v>463</v>
      </c>
      <c r="AL144" s="6" t="s">
        <v>28</v>
      </c>
      <c r="AM144" s="6">
        <v>12</v>
      </c>
      <c r="AN144" s="6">
        <v>0</v>
      </c>
      <c r="AO144" s="6">
        <v>15</v>
      </c>
      <c r="AP144" s="6">
        <v>0</v>
      </c>
      <c r="AQ144" s="6">
        <v>16</v>
      </c>
      <c r="AR144" s="6">
        <v>0</v>
      </c>
      <c r="AS144" s="6">
        <v>14</v>
      </c>
      <c r="AT144" s="6">
        <v>0</v>
      </c>
      <c r="AU144" s="6">
        <v>14</v>
      </c>
      <c r="AV144" s="6">
        <v>0</v>
      </c>
      <c r="AW144" s="6">
        <f>CHOOSE(MATCH(Setup!$B$5,{8,10,12,14,16},0),AM144,AO144,AQ144,AS144,AU144)</f>
        <v>16</v>
      </c>
      <c r="AX144" s="6">
        <f>CHOOSE(MATCH(Setup!$B$5,{8,10,12,14,16},0),AN144,AP144,AR144,AT144,AV144)</f>
        <v>0</v>
      </c>
      <c r="AY144" s="6">
        <f>ROUND(1+AX144*'Live Calc'!$D$11,0)</f>
        <v>1</v>
      </c>
      <c r="AZ144" s="6"/>
      <c r="BA144" s="6">
        <f>IF(AZ144&lt;&gt;"",AZ144,ROUND(AY144*INDEX('Live Calc'!$D$44:$D$59,MATCH(AW144,'Live Calc'!$A$44:$A$59,0))*'Live Calc'!$J$78,0))</f>
        <v>1</v>
      </c>
    </row>
    <row r="145" spans="37:53" x14ac:dyDescent="0.25">
      <c r="AK145" s="6" t="s">
        <v>464</v>
      </c>
      <c r="AL145" s="6" t="s">
        <v>46</v>
      </c>
      <c r="AM145" s="6">
        <v>12</v>
      </c>
      <c r="AN145" s="6">
        <v>0</v>
      </c>
      <c r="AO145" s="6">
        <v>15</v>
      </c>
      <c r="AP145" s="6">
        <v>0</v>
      </c>
      <c r="AQ145" s="6">
        <v>16</v>
      </c>
      <c r="AR145" s="6">
        <v>0</v>
      </c>
      <c r="AS145" s="6">
        <v>14</v>
      </c>
      <c r="AT145" s="6">
        <v>0</v>
      </c>
      <c r="AU145" s="6">
        <v>14</v>
      </c>
      <c r="AV145" s="6">
        <v>0</v>
      </c>
      <c r="AW145" s="6">
        <f>CHOOSE(MATCH(Setup!$B$5,{8,10,12,14,16},0),AM145,AO145,AQ145,AS145,AU145)</f>
        <v>16</v>
      </c>
      <c r="AX145" s="6">
        <f>CHOOSE(MATCH(Setup!$B$5,{8,10,12,14,16},0),AN145,AP145,AR145,AT145,AV145)</f>
        <v>0</v>
      </c>
      <c r="AY145" s="6">
        <f>ROUND(1+AX145*'Live Calc'!$D$11,0)</f>
        <v>1</v>
      </c>
      <c r="AZ145" s="6"/>
      <c r="BA145" s="6">
        <f>IF(AZ145&lt;&gt;"",AZ145,ROUND(AY145*INDEX('Live Calc'!$D$44:$D$59,MATCH(AW145,'Live Calc'!$A$44:$A$59,0))*'Live Calc'!$J$78,0))</f>
        <v>1</v>
      </c>
    </row>
    <row r="146" spans="37:53" x14ac:dyDescent="0.25">
      <c r="AK146" s="6" t="s">
        <v>465</v>
      </c>
      <c r="AL146" s="6" t="s">
        <v>95</v>
      </c>
      <c r="AM146" s="6">
        <v>12</v>
      </c>
      <c r="AN146" s="6">
        <v>0</v>
      </c>
      <c r="AO146" s="6">
        <v>15</v>
      </c>
      <c r="AP146" s="6">
        <v>0</v>
      </c>
      <c r="AQ146" s="6">
        <v>16</v>
      </c>
      <c r="AR146" s="6">
        <v>0</v>
      </c>
      <c r="AS146" s="6">
        <v>14</v>
      </c>
      <c r="AT146" s="6">
        <v>0</v>
      </c>
      <c r="AU146" s="6">
        <v>14</v>
      </c>
      <c r="AV146" s="6">
        <v>0</v>
      </c>
      <c r="AW146" s="6">
        <f>CHOOSE(MATCH(Setup!$B$5,{8,10,12,14,16},0),AM146,AO146,AQ146,AS146,AU146)</f>
        <v>16</v>
      </c>
      <c r="AX146" s="6">
        <f>CHOOSE(MATCH(Setup!$B$5,{8,10,12,14,16},0),AN146,AP146,AR146,AT146,AV146)</f>
        <v>0</v>
      </c>
      <c r="AY146" s="6">
        <f>ROUND(1+AX146*'Live Calc'!$D$11,0)</f>
        <v>1</v>
      </c>
      <c r="AZ146" s="6"/>
      <c r="BA146" s="6">
        <f>IF(AZ146&lt;&gt;"",AZ146,ROUND(AY146*INDEX('Live Calc'!$D$44:$D$59,MATCH(AW146,'Live Calc'!$A$44:$A$59,0))*'Live Calc'!$J$78,0))</f>
        <v>1</v>
      </c>
    </row>
    <row r="147" spans="37:53" x14ac:dyDescent="0.25">
      <c r="AK147" s="6" t="s">
        <v>466</v>
      </c>
      <c r="AL147" s="6" t="s">
        <v>62</v>
      </c>
      <c r="AM147" s="6">
        <v>12</v>
      </c>
      <c r="AN147" s="6">
        <v>0</v>
      </c>
      <c r="AO147" s="6">
        <v>15</v>
      </c>
      <c r="AP147" s="6">
        <v>0</v>
      </c>
      <c r="AQ147" s="6">
        <v>16</v>
      </c>
      <c r="AR147" s="6">
        <v>0</v>
      </c>
      <c r="AS147" s="6">
        <v>14</v>
      </c>
      <c r="AT147" s="6">
        <v>0</v>
      </c>
      <c r="AU147" s="6">
        <v>14</v>
      </c>
      <c r="AV147" s="6">
        <v>0</v>
      </c>
      <c r="AW147" s="6">
        <f>CHOOSE(MATCH(Setup!$B$5,{8,10,12,14,16},0),AM147,AO147,AQ147,AS147,AU147)</f>
        <v>16</v>
      </c>
      <c r="AX147" s="6">
        <f>CHOOSE(MATCH(Setup!$B$5,{8,10,12,14,16},0),AN147,AP147,AR147,AT147,AV147)</f>
        <v>0</v>
      </c>
      <c r="AY147" s="6">
        <f>ROUND(1+AX147*'Live Calc'!$D$11,0)</f>
        <v>1</v>
      </c>
      <c r="AZ147" s="6"/>
      <c r="BA147" s="6">
        <f>IF(AZ147&lt;&gt;"",AZ147,ROUND(AY147*INDEX('Live Calc'!$D$44:$D$59,MATCH(AW147,'Live Calc'!$A$44:$A$59,0))*'Live Calc'!$J$78,0))</f>
        <v>1</v>
      </c>
    </row>
    <row r="148" spans="37:53" x14ac:dyDescent="0.25">
      <c r="AK148" s="6" t="s">
        <v>467</v>
      </c>
      <c r="AL148" s="6" t="s">
        <v>59</v>
      </c>
      <c r="AM148" s="6">
        <v>12</v>
      </c>
      <c r="AN148" s="6">
        <v>0</v>
      </c>
      <c r="AO148" s="6">
        <v>15</v>
      </c>
      <c r="AP148" s="6">
        <v>0</v>
      </c>
      <c r="AQ148" s="6">
        <v>16</v>
      </c>
      <c r="AR148" s="6">
        <v>0</v>
      </c>
      <c r="AS148" s="6">
        <v>14</v>
      </c>
      <c r="AT148" s="6">
        <v>0</v>
      </c>
      <c r="AU148" s="6">
        <v>14</v>
      </c>
      <c r="AV148" s="6">
        <v>0</v>
      </c>
      <c r="AW148" s="6">
        <f>CHOOSE(MATCH(Setup!$B$5,{8,10,12,14,16},0),AM148,AO148,AQ148,AS148,AU148)</f>
        <v>16</v>
      </c>
      <c r="AX148" s="6">
        <f>CHOOSE(MATCH(Setup!$B$5,{8,10,12,14,16},0),AN148,AP148,AR148,AT148,AV148)</f>
        <v>0</v>
      </c>
      <c r="AY148" s="6">
        <f>ROUND(1+AX148*'Live Calc'!$D$11,0)</f>
        <v>1</v>
      </c>
      <c r="AZ148" s="6"/>
      <c r="BA148" s="6">
        <f>IF(AZ148&lt;&gt;"",AZ148,ROUND(AY148*INDEX('Live Calc'!$D$44:$D$59,MATCH(AW148,'Live Calc'!$A$44:$A$59,0))*'Live Calc'!$J$78,0))</f>
        <v>1</v>
      </c>
    </row>
    <row r="149" spans="37:53" x14ac:dyDescent="0.25">
      <c r="AK149" s="6" t="s">
        <v>468</v>
      </c>
      <c r="AL149" s="6" t="s">
        <v>28</v>
      </c>
      <c r="AM149" s="6">
        <v>12</v>
      </c>
      <c r="AN149" s="6">
        <v>0</v>
      </c>
      <c r="AO149" s="6">
        <v>15</v>
      </c>
      <c r="AP149" s="6">
        <v>0</v>
      </c>
      <c r="AQ149" s="6">
        <v>16</v>
      </c>
      <c r="AR149" s="6">
        <v>0</v>
      </c>
      <c r="AS149" s="6">
        <v>14</v>
      </c>
      <c r="AT149" s="6">
        <v>0</v>
      </c>
      <c r="AU149" s="6">
        <v>14</v>
      </c>
      <c r="AV149" s="6">
        <v>0</v>
      </c>
      <c r="AW149" s="6">
        <f>CHOOSE(MATCH(Setup!$B$5,{8,10,12,14,16},0),AM149,AO149,AQ149,AS149,AU149)</f>
        <v>16</v>
      </c>
      <c r="AX149" s="6">
        <f>CHOOSE(MATCH(Setup!$B$5,{8,10,12,14,16},0),AN149,AP149,AR149,AT149,AV149)</f>
        <v>0</v>
      </c>
      <c r="AY149" s="6">
        <f>ROUND(1+AX149*'Live Calc'!$D$11,0)</f>
        <v>1</v>
      </c>
      <c r="AZ149" s="6"/>
      <c r="BA149" s="6">
        <f>IF(AZ149&lt;&gt;"",AZ149,ROUND(AY149*INDEX('Live Calc'!$D$44:$D$59,MATCH(AW149,'Live Calc'!$A$44:$A$59,0))*'Live Calc'!$J$78,0))</f>
        <v>1</v>
      </c>
    </row>
    <row r="150" spans="37:53" x14ac:dyDescent="0.25">
      <c r="AK150" s="6" t="s">
        <v>469</v>
      </c>
      <c r="AL150" s="6" t="s">
        <v>48</v>
      </c>
      <c r="AM150" s="6">
        <v>12</v>
      </c>
      <c r="AN150" s="6">
        <v>0</v>
      </c>
      <c r="AO150" s="6">
        <v>15</v>
      </c>
      <c r="AP150" s="6">
        <v>0</v>
      </c>
      <c r="AQ150" s="6">
        <v>16</v>
      </c>
      <c r="AR150" s="6">
        <v>0</v>
      </c>
      <c r="AS150" s="6">
        <v>14</v>
      </c>
      <c r="AT150" s="6">
        <v>0</v>
      </c>
      <c r="AU150" s="6">
        <v>14</v>
      </c>
      <c r="AV150" s="6">
        <v>0</v>
      </c>
      <c r="AW150" s="6">
        <f>CHOOSE(MATCH(Setup!$B$5,{8,10,12,14,16},0),AM150,AO150,AQ150,AS150,AU150)</f>
        <v>16</v>
      </c>
      <c r="AX150" s="6">
        <f>CHOOSE(MATCH(Setup!$B$5,{8,10,12,14,16},0),AN150,AP150,AR150,AT150,AV150)</f>
        <v>0</v>
      </c>
      <c r="AY150" s="6">
        <f>ROUND(1+AX150*'Live Calc'!$D$11,0)</f>
        <v>1</v>
      </c>
      <c r="AZ150" s="6"/>
      <c r="BA150" s="6">
        <f>IF(AZ150&lt;&gt;"",AZ150,ROUND(AY150*INDEX('Live Calc'!$D$44:$D$59,MATCH(AW150,'Live Calc'!$A$44:$A$59,0))*'Live Calc'!$J$78,0))</f>
        <v>1</v>
      </c>
    </row>
    <row r="151" spans="37:53" x14ac:dyDescent="0.25">
      <c r="AK151" s="6" t="s">
        <v>470</v>
      </c>
      <c r="AL151" s="6" t="s">
        <v>95</v>
      </c>
      <c r="AM151" s="6">
        <v>12</v>
      </c>
      <c r="AN151" s="6">
        <v>0</v>
      </c>
      <c r="AO151" s="6">
        <v>15</v>
      </c>
      <c r="AP151" s="6">
        <v>0</v>
      </c>
      <c r="AQ151" s="6">
        <v>16</v>
      </c>
      <c r="AR151" s="6">
        <v>0</v>
      </c>
      <c r="AS151" s="6">
        <v>14</v>
      </c>
      <c r="AT151" s="6">
        <v>0</v>
      </c>
      <c r="AU151" s="6">
        <v>14</v>
      </c>
      <c r="AV151" s="6">
        <v>0</v>
      </c>
      <c r="AW151" s="6">
        <f>CHOOSE(MATCH(Setup!$B$5,{8,10,12,14,16},0),AM151,AO151,AQ151,AS151,AU151)</f>
        <v>16</v>
      </c>
      <c r="AX151" s="6">
        <f>CHOOSE(MATCH(Setup!$B$5,{8,10,12,14,16},0),AN151,AP151,AR151,AT151,AV151)</f>
        <v>0</v>
      </c>
      <c r="AY151" s="6">
        <f>ROUND(1+AX151*'Live Calc'!$D$11,0)</f>
        <v>1</v>
      </c>
      <c r="AZ151" s="6"/>
      <c r="BA151" s="6">
        <f>IF(AZ151&lt;&gt;"",AZ151,ROUND(AY151*INDEX('Live Calc'!$D$44:$D$59,MATCH(AW151,'Live Calc'!$A$44:$A$59,0))*'Live Calc'!$J$78,0))</f>
        <v>1</v>
      </c>
    </row>
    <row r="152" spans="37:53" x14ac:dyDescent="0.25">
      <c r="AK152" s="6" t="s">
        <v>471</v>
      </c>
      <c r="AL152" s="6" t="s">
        <v>46</v>
      </c>
      <c r="AM152" s="6">
        <v>12</v>
      </c>
      <c r="AN152" s="6">
        <v>0</v>
      </c>
      <c r="AO152" s="6">
        <v>15</v>
      </c>
      <c r="AP152" s="6">
        <v>0</v>
      </c>
      <c r="AQ152" s="6">
        <v>16</v>
      </c>
      <c r="AR152" s="6">
        <v>0</v>
      </c>
      <c r="AS152" s="6">
        <v>14</v>
      </c>
      <c r="AT152" s="6">
        <v>0</v>
      </c>
      <c r="AU152" s="6">
        <v>14</v>
      </c>
      <c r="AV152" s="6">
        <v>0</v>
      </c>
      <c r="AW152" s="6">
        <f>CHOOSE(MATCH(Setup!$B$5,{8,10,12,14,16},0),AM152,AO152,AQ152,AS152,AU152)</f>
        <v>16</v>
      </c>
      <c r="AX152" s="6">
        <f>CHOOSE(MATCH(Setup!$B$5,{8,10,12,14,16},0),AN152,AP152,AR152,AT152,AV152)</f>
        <v>0</v>
      </c>
      <c r="AY152" s="6">
        <f>ROUND(1+AX152*'Live Calc'!$D$11,0)</f>
        <v>1</v>
      </c>
      <c r="AZ152" s="6"/>
      <c r="BA152" s="6">
        <f>IF(AZ152&lt;&gt;"",AZ152,ROUND(AY152*INDEX('Live Calc'!$D$44:$D$59,MATCH(AW152,'Live Calc'!$A$44:$A$59,0))*'Live Calc'!$J$78,0))</f>
        <v>1</v>
      </c>
    </row>
    <row r="153" spans="37:53" x14ac:dyDescent="0.25">
      <c r="AK153" s="6" t="s">
        <v>472</v>
      </c>
      <c r="AL153" s="6" t="s">
        <v>26</v>
      </c>
      <c r="AM153" s="6">
        <v>12</v>
      </c>
      <c r="AN153" s="6">
        <v>0</v>
      </c>
      <c r="AO153" s="6">
        <v>15</v>
      </c>
      <c r="AP153" s="6">
        <v>0</v>
      </c>
      <c r="AQ153" s="6">
        <v>16</v>
      </c>
      <c r="AR153" s="6">
        <v>0</v>
      </c>
      <c r="AS153" s="6">
        <v>14</v>
      </c>
      <c r="AT153" s="6">
        <v>0</v>
      </c>
      <c r="AU153" s="6">
        <v>14</v>
      </c>
      <c r="AV153" s="6">
        <v>0</v>
      </c>
      <c r="AW153" s="6">
        <f>CHOOSE(MATCH(Setup!$B$5,{8,10,12,14,16},0),AM153,AO153,AQ153,AS153,AU153)</f>
        <v>16</v>
      </c>
      <c r="AX153" s="6">
        <f>CHOOSE(MATCH(Setup!$B$5,{8,10,12,14,16},0),AN153,AP153,AR153,AT153,AV153)</f>
        <v>0</v>
      </c>
      <c r="AY153" s="6">
        <f>ROUND(1+AX153*'Live Calc'!$D$11,0)</f>
        <v>1</v>
      </c>
      <c r="AZ153" s="6"/>
      <c r="BA153" s="6">
        <f>IF(AZ153&lt;&gt;"",AZ153,ROUND(AY153*INDEX('Live Calc'!$D$44:$D$59,MATCH(AW153,'Live Calc'!$A$44:$A$59,0))*'Live Calc'!$J$78,0))</f>
        <v>1</v>
      </c>
    </row>
    <row r="154" spans="37:53" x14ac:dyDescent="0.25">
      <c r="AK154" s="6" t="s">
        <v>473</v>
      </c>
      <c r="AL154" s="6" t="s">
        <v>38</v>
      </c>
      <c r="AM154" s="6">
        <v>12</v>
      </c>
      <c r="AN154" s="6">
        <v>0</v>
      </c>
      <c r="AO154" s="6">
        <v>15</v>
      </c>
      <c r="AP154" s="6">
        <v>0</v>
      </c>
      <c r="AQ154" s="6">
        <v>16</v>
      </c>
      <c r="AR154" s="6">
        <v>0</v>
      </c>
      <c r="AS154" s="6">
        <v>14</v>
      </c>
      <c r="AT154" s="6">
        <v>0</v>
      </c>
      <c r="AU154" s="6">
        <v>14</v>
      </c>
      <c r="AV154" s="6">
        <v>0</v>
      </c>
      <c r="AW154" s="6">
        <f>CHOOSE(MATCH(Setup!$B$5,{8,10,12,14,16},0),AM154,AO154,AQ154,AS154,AU154)</f>
        <v>16</v>
      </c>
      <c r="AX154" s="6">
        <f>CHOOSE(MATCH(Setup!$B$5,{8,10,12,14,16},0),AN154,AP154,AR154,AT154,AV154)</f>
        <v>0</v>
      </c>
      <c r="AY154" s="6">
        <f>ROUND(1+AX154*'Live Calc'!$D$11,0)</f>
        <v>1</v>
      </c>
      <c r="AZ154" s="6"/>
      <c r="BA154" s="6">
        <f>IF(AZ154&lt;&gt;"",AZ154,ROUND(AY154*INDEX('Live Calc'!$D$44:$D$59,MATCH(AW154,'Live Calc'!$A$44:$A$59,0))*'Live Calc'!$J$78,0))</f>
        <v>1</v>
      </c>
    </row>
    <row r="155" spans="37:53" x14ac:dyDescent="0.25">
      <c r="AK155" s="6" t="s">
        <v>474</v>
      </c>
      <c r="AL155" s="6" t="s">
        <v>235</v>
      </c>
      <c r="AM155" s="6">
        <v>12</v>
      </c>
      <c r="AN155" s="6">
        <v>0</v>
      </c>
      <c r="AO155" s="6">
        <v>15</v>
      </c>
      <c r="AP155" s="6">
        <v>0</v>
      </c>
      <c r="AQ155" s="6">
        <v>16</v>
      </c>
      <c r="AR155" s="6">
        <v>0</v>
      </c>
      <c r="AS155" s="6">
        <v>14</v>
      </c>
      <c r="AT155" s="6">
        <v>0</v>
      </c>
      <c r="AU155" s="6">
        <v>14</v>
      </c>
      <c r="AV155" s="6">
        <v>0</v>
      </c>
      <c r="AW155" s="6">
        <f>CHOOSE(MATCH(Setup!$B$5,{8,10,12,14,16},0),AM155,AO155,AQ155,AS155,AU155)</f>
        <v>16</v>
      </c>
      <c r="AX155" s="6">
        <f>CHOOSE(MATCH(Setup!$B$5,{8,10,12,14,16},0),AN155,AP155,AR155,AT155,AV155)</f>
        <v>0</v>
      </c>
      <c r="AY155" s="6">
        <f>ROUND(1+AX155*'Live Calc'!$D$11,0)</f>
        <v>1</v>
      </c>
      <c r="AZ155" s="6"/>
      <c r="BA155" s="6">
        <f>IF(AZ155&lt;&gt;"",AZ155,ROUND(AY155*INDEX('Live Calc'!$D$44:$D$59,MATCH(AW155,'Live Calc'!$A$44:$A$59,0))*'Live Calc'!$J$78,0))</f>
        <v>1</v>
      </c>
    </row>
    <row r="156" spans="37:53" x14ac:dyDescent="0.25">
      <c r="AK156" s="6" t="s">
        <v>475</v>
      </c>
      <c r="AL156" s="6" t="s">
        <v>36</v>
      </c>
      <c r="AM156" s="6">
        <v>12</v>
      </c>
      <c r="AN156" s="6">
        <v>0</v>
      </c>
      <c r="AO156" s="6">
        <v>15</v>
      </c>
      <c r="AP156" s="6">
        <v>0</v>
      </c>
      <c r="AQ156" s="6">
        <v>16</v>
      </c>
      <c r="AR156" s="6">
        <v>0</v>
      </c>
      <c r="AS156" s="6">
        <v>14</v>
      </c>
      <c r="AT156" s="6">
        <v>0</v>
      </c>
      <c r="AU156" s="6">
        <v>14</v>
      </c>
      <c r="AV156" s="6">
        <v>0</v>
      </c>
      <c r="AW156" s="6">
        <f>CHOOSE(MATCH(Setup!$B$5,{8,10,12,14,16},0),AM156,AO156,AQ156,AS156,AU156)</f>
        <v>16</v>
      </c>
      <c r="AX156" s="6">
        <f>CHOOSE(MATCH(Setup!$B$5,{8,10,12,14,16},0),AN156,AP156,AR156,AT156,AV156)</f>
        <v>0</v>
      </c>
      <c r="AY156" s="6">
        <f>ROUND(1+AX156*'Live Calc'!$D$11,0)</f>
        <v>1</v>
      </c>
      <c r="AZ156" s="6"/>
      <c r="BA156" s="6">
        <f>IF(AZ156&lt;&gt;"",AZ156,ROUND(AY156*INDEX('Live Calc'!$D$44:$D$59,MATCH(AW156,'Live Calc'!$A$44:$A$59,0))*'Live Calc'!$J$78,0))</f>
        <v>1</v>
      </c>
    </row>
    <row r="157" spans="37:53" x14ac:dyDescent="0.25">
      <c r="AK157" s="6" t="s">
        <v>476</v>
      </c>
      <c r="AL157" s="6" t="s">
        <v>235</v>
      </c>
      <c r="AM157" s="6">
        <v>12</v>
      </c>
      <c r="AN157" s="6">
        <v>0</v>
      </c>
      <c r="AO157" s="6">
        <v>15</v>
      </c>
      <c r="AP157" s="6">
        <v>0</v>
      </c>
      <c r="AQ157" s="6">
        <v>16</v>
      </c>
      <c r="AR157" s="6">
        <v>0</v>
      </c>
      <c r="AS157" s="6">
        <v>14</v>
      </c>
      <c r="AT157" s="6">
        <v>0</v>
      </c>
      <c r="AU157" s="6">
        <v>14</v>
      </c>
      <c r="AV157" s="6">
        <v>0</v>
      </c>
      <c r="AW157" s="6">
        <f>CHOOSE(MATCH(Setup!$B$5,{8,10,12,14,16},0),AM157,AO157,AQ157,AS157,AU157)</f>
        <v>16</v>
      </c>
      <c r="AX157" s="6">
        <f>CHOOSE(MATCH(Setup!$B$5,{8,10,12,14,16},0),AN157,AP157,AR157,AT157,AV157)</f>
        <v>0</v>
      </c>
      <c r="AY157" s="6">
        <f>ROUND(1+AX157*'Live Calc'!$D$11,0)</f>
        <v>1</v>
      </c>
      <c r="AZ157" s="6"/>
      <c r="BA157" s="6">
        <f>IF(AZ157&lt;&gt;"",AZ157,ROUND(AY157*INDEX('Live Calc'!$D$44:$D$59,MATCH(AW157,'Live Calc'!$A$44:$A$59,0))*'Live Calc'!$J$78,0))</f>
        <v>1</v>
      </c>
    </row>
    <row r="158" spans="37:53" x14ac:dyDescent="0.25">
      <c r="AK158" s="6" t="s">
        <v>477</v>
      </c>
      <c r="AL158" s="6" t="s">
        <v>50</v>
      </c>
      <c r="AM158" s="6">
        <v>12</v>
      </c>
      <c r="AN158" s="6">
        <v>0</v>
      </c>
      <c r="AO158" s="6">
        <v>15</v>
      </c>
      <c r="AP158" s="6">
        <v>0</v>
      </c>
      <c r="AQ158" s="6">
        <v>16</v>
      </c>
      <c r="AR158" s="6">
        <v>0</v>
      </c>
      <c r="AS158" s="6">
        <v>14</v>
      </c>
      <c r="AT158" s="6">
        <v>0</v>
      </c>
      <c r="AU158" s="6">
        <v>14</v>
      </c>
      <c r="AV158" s="6">
        <v>0</v>
      </c>
      <c r="AW158" s="6">
        <f>CHOOSE(MATCH(Setup!$B$5,{8,10,12,14,16},0),AM158,AO158,AQ158,AS158,AU158)</f>
        <v>16</v>
      </c>
      <c r="AX158" s="6">
        <f>CHOOSE(MATCH(Setup!$B$5,{8,10,12,14,16},0),AN158,AP158,AR158,AT158,AV158)</f>
        <v>0</v>
      </c>
      <c r="AY158" s="6">
        <f>ROUND(1+AX158*'Live Calc'!$D$11,0)</f>
        <v>1</v>
      </c>
      <c r="AZ158" s="6"/>
      <c r="BA158" s="6">
        <f>IF(AZ158&lt;&gt;"",AZ158,ROUND(AY158*INDEX('Live Calc'!$D$44:$D$59,MATCH(AW158,'Live Calc'!$A$44:$A$59,0))*'Live Calc'!$J$78,0))</f>
        <v>1</v>
      </c>
    </row>
    <row r="159" spans="37:53" x14ac:dyDescent="0.25">
      <c r="AK159" s="6" t="s">
        <v>478</v>
      </c>
      <c r="AL159" s="6" t="s">
        <v>36</v>
      </c>
      <c r="AM159" s="6">
        <v>12</v>
      </c>
      <c r="AN159" s="6">
        <v>0</v>
      </c>
      <c r="AO159" s="6">
        <v>15</v>
      </c>
      <c r="AP159" s="6">
        <v>0</v>
      </c>
      <c r="AQ159" s="6">
        <v>16</v>
      </c>
      <c r="AR159" s="6">
        <v>0</v>
      </c>
      <c r="AS159" s="6">
        <v>14</v>
      </c>
      <c r="AT159" s="6">
        <v>0</v>
      </c>
      <c r="AU159" s="6">
        <v>14</v>
      </c>
      <c r="AV159" s="6">
        <v>0</v>
      </c>
      <c r="AW159" s="6">
        <f>CHOOSE(MATCH(Setup!$B$5,{8,10,12,14,16},0),AM159,AO159,AQ159,AS159,AU159)</f>
        <v>16</v>
      </c>
      <c r="AX159" s="6">
        <f>CHOOSE(MATCH(Setup!$B$5,{8,10,12,14,16},0),AN159,AP159,AR159,AT159,AV159)</f>
        <v>0</v>
      </c>
      <c r="AY159" s="6">
        <f>ROUND(1+AX159*'Live Calc'!$D$11,0)</f>
        <v>1</v>
      </c>
      <c r="AZ159" s="6"/>
      <c r="BA159" s="6">
        <f>IF(AZ159&lt;&gt;"",AZ159,ROUND(AY159*INDEX('Live Calc'!$D$44:$D$59,MATCH(AW159,'Live Calc'!$A$44:$A$59,0))*'Live Calc'!$J$78,0))</f>
        <v>1</v>
      </c>
    </row>
    <row r="160" spans="37:53" x14ac:dyDescent="0.25">
      <c r="AK160" s="6" t="s">
        <v>479</v>
      </c>
      <c r="AL160" s="6" t="s">
        <v>235</v>
      </c>
      <c r="AM160" s="6">
        <v>12</v>
      </c>
      <c r="AN160" s="6">
        <v>0</v>
      </c>
      <c r="AO160" s="6">
        <v>15</v>
      </c>
      <c r="AP160" s="6">
        <v>0</v>
      </c>
      <c r="AQ160" s="6">
        <v>16</v>
      </c>
      <c r="AR160" s="6">
        <v>0</v>
      </c>
      <c r="AS160" s="6">
        <v>14</v>
      </c>
      <c r="AT160" s="6">
        <v>0</v>
      </c>
      <c r="AU160" s="6">
        <v>14</v>
      </c>
      <c r="AV160" s="6">
        <v>0</v>
      </c>
      <c r="AW160" s="6">
        <f>CHOOSE(MATCH(Setup!$B$5,{8,10,12,14,16},0),AM160,AO160,AQ160,AS160,AU160)</f>
        <v>16</v>
      </c>
      <c r="AX160" s="6">
        <f>CHOOSE(MATCH(Setup!$B$5,{8,10,12,14,16},0),AN160,AP160,AR160,AT160,AV160)</f>
        <v>0</v>
      </c>
      <c r="AY160" s="6">
        <f>ROUND(1+AX160*'Live Calc'!$D$11,0)</f>
        <v>1</v>
      </c>
      <c r="AZ160" s="6"/>
      <c r="BA160" s="6">
        <f>IF(AZ160&lt;&gt;"",AZ160,ROUND(AY160*INDEX('Live Calc'!$D$44:$D$59,MATCH(AW160,'Live Calc'!$A$44:$A$59,0))*'Live Calc'!$J$78,0))</f>
        <v>1</v>
      </c>
    </row>
    <row r="161" spans="37:53" x14ac:dyDescent="0.25">
      <c r="AK161" s="6" t="s">
        <v>480</v>
      </c>
      <c r="AL161" s="6" t="s">
        <v>153</v>
      </c>
      <c r="AM161" s="6">
        <v>12</v>
      </c>
      <c r="AN161" s="6">
        <v>0</v>
      </c>
      <c r="AO161" s="6">
        <v>15</v>
      </c>
      <c r="AP161" s="6">
        <v>0</v>
      </c>
      <c r="AQ161" s="6">
        <v>16</v>
      </c>
      <c r="AR161" s="6">
        <v>0</v>
      </c>
      <c r="AS161" s="6">
        <v>14</v>
      </c>
      <c r="AT161" s="6">
        <v>0</v>
      </c>
      <c r="AU161" s="6">
        <v>14</v>
      </c>
      <c r="AV161" s="6">
        <v>0</v>
      </c>
      <c r="AW161" s="6">
        <f>CHOOSE(MATCH(Setup!$B$5,{8,10,12,14,16},0),AM161,AO161,AQ161,AS161,AU161)</f>
        <v>16</v>
      </c>
      <c r="AX161" s="6">
        <f>CHOOSE(MATCH(Setup!$B$5,{8,10,12,14,16},0),AN161,AP161,AR161,AT161,AV161)</f>
        <v>0</v>
      </c>
      <c r="AY161" s="6">
        <f>ROUND(1+AX161*'Live Calc'!$D$11,0)</f>
        <v>1</v>
      </c>
      <c r="AZ161" s="6"/>
      <c r="BA161" s="6">
        <f>IF(AZ161&lt;&gt;"",AZ161,ROUND(AY161*INDEX('Live Calc'!$D$44:$D$59,MATCH(AW161,'Live Calc'!$A$44:$A$59,0))*'Live Calc'!$J$78,0))</f>
        <v>1</v>
      </c>
    </row>
    <row r="162" spans="37:53" x14ac:dyDescent="0.25">
      <c r="AK162" s="6" t="s">
        <v>481</v>
      </c>
      <c r="AL162" s="6" t="s">
        <v>235</v>
      </c>
      <c r="AM162" s="6">
        <v>12</v>
      </c>
      <c r="AN162" s="6">
        <v>0</v>
      </c>
      <c r="AO162" s="6">
        <v>15</v>
      </c>
      <c r="AP162" s="6">
        <v>0</v>
      </c>
      <c r="AQ162" s="6">
        <v>16</v>
      </c>
      <c r="AR162" s="6">
        <v>0</v>
      </c>
      <c r="AS162" s="6">
        <v>14</v>
      </c>
      <c r="AT162" s="6">
        <v>0</v>
      </c>
      <c r="AU162" s="6">
        <v>14</v>
      </c>
      <c r="AV162" s="6">
        <v>0</v>
      </c>
      <c r="AW162" s="6">
        <f>CHOOSE(MATCH(Setup!$B$5,{8,10,12,14,16},0),AM162,AO162,AQ162,AS162,AU162)</f>
        <v>16</v>
      </c>
      <c r="AX162" s="6">
        <f>CHOOSE(MATCH(Setup!$B$5,{8,10,12,14,16},0),AN162,AP162,AR162,AT162,AV162)</f>
        <v>0</v>
      </c>
      <c r="AY162" s="6">
        <f>ROUND(1+AX162*'Live Calc'!$D$11,0)</f>
        <v>1</v>
      </c>
      <c r="AZ162" s="6"/>
      <c r="BA162" s="6">
        <f>IF(AZ162&lt;&gt;"",AZ162,ROUND(AY162*INDEX('Live Calc'!$D$44:$D$59,MATCH(AW162,'Live Calc'!$A$44:$A$59,0))*'Live Calc'!$J$78,0))</f>
        <v>1</v>
      </c>
    </row>
    <row r="163" spans="37:53" x14ac:dyDescent="0.25">
      <c r="AK163" s="6" t="s">
        <v>482</v>
      </c>
      <c r="AL163" s="6" t="s">
        <v>123</v>
      </c>
      <c r="AM163" s="6">
        <v>12</v>
      </c>
      <c r="AN163" s="6">
        <v>0</v>
      </c>
      <c r="AO163" s="6">
        <v>15</v>
      </c>
      <c r="AP163" s="6">
        <v>0</v>
      </c>
      <c r="AQ163" s="6">
        <v>16</v>
      </c>
      <c r="AR163" s="6">
        <v>0</v>
      </c>
      <c r="AS163" s="6">
        <v>14</v>
      </c>
      <c r="AT163" s="6">
        <v>0</v>
      </c>
      <c r="AU163" s="6">
        <v>14</v>
      </c>
      <c r="AV163" s="6">
        <v>0</v>
      </c>
      <c r="AW163" s="6">
        <f>CHOOSE(MATCH(Setup!$B$5,{8,10,12,14,16},0),AM163,AO163,AQ163,AS163,AU163)</f>
        <v>16</v>
      </c>
      <c r="AX163" s="6">
        <f>CHOOSE(MATCH(Setup!$B$5,{8,10,12,14,16},0),AN163,AP163,AR163,AT163,AV163)</f>
        <v>0</v>
      </c>
      <c r="AY163" s="6">
        <f>ROUND(1+AX163*'Live Calc'!$D$11,0)</f>
        <v>1</v>
      </c>
      <c r="AZ163" s="6"/>
      <c r="BA163" s="6">
        <f>IF(AZ163&lt;&gt;"",AZ163,ROUND(AY163*INDEX('Live Calc'!$D$44:$D$59,MATCH(AW163,'Live Calc'!$A$44:$A$59,0))*'Live Calc'!$J$78,0))</f>
        <v>1</v>
      </c>
    </row>
    <row r="164" spans="37:53" x14ac:dyDescent="0.25">
      <c r="AK164" s="6" t="s">
        <v>483</v>
      </c>
      <c r="AL164" s="6" t="s">
        <v>28</v>
      </c>
      <c r="AM164" s="6">
        <v>12</v>
      </c>
      <c r="AN164" s="6">
        <v>0</v>
      </c>
      <c r="AO164" s="6">
        <v>15</v>
      </c>
      <c r="AP164" s="6">
        <v>0</v>
      </c>
      <c r="AQ164" s="6">
        <v>16</v>
      </c>
      <c r="AR164" s="6">
        <v>0</v>
      </c>
      <c r="AS164" s="6">
        <v>14</v>
      </c>
      <c r="AT164" s="6">
        <v>0</v>
      </c>
      <c r="AU164" s="6">
        <v>14</v>
      </c>
      <c r="AV164" s="6">
        <v>0</v>
      </c>
      <c r="AW164" s="6">
        <f>CHOOSE(MATCH(Setup!$B$5,{8,10,12,14,16},0),AM164,AO164,AQ164,AS164,AU164)</f>
        <v>16</v>
      </c>
      <c r="AX164" s="6">
        <f>CHOOSE(MATCH(Setup!$B$5,{8,10,12,14,16},0),AN164,AP164,AR164,AT164,AV164)</f>
        <v>0</v>
      </c>
      <c r="AY164" s="6">
        <f>ROUND(1+AX164*'Live Calc'!$D$11,0)</f>
        <v>1</v>
      </c>
      <c r="AZ164" s="6"/>
      <c r="BA164" s="6">
        <f>IF(AZ164&lt;&gt;"",AZ164,ROUND(AY164*INDEX('Live Calc'!$D$44:$D$59,MATCH(AW164,'Live Calc'!$A$44:$A$59,0))*'Live Calc'!$J$78,0))</f>
        <v>1</v>
      </c>
    </row>
    <row r="165" spans="37:53" x14ac:dyDescent="0.25">
      <c r="AK165" s="6" t="s">
        <v>484</v>
      </c>
      <c r="AL165" s="6" t="s">
        <v>108</v>
      </c>
      <c r="AM165" s="6">
        <v>12</v>
      </c>
      <c r="AN165" s="6">
        <v>0</v>
      </c>
      <c r="AO165" s="6">
        <v>15</v>
      </c>
      <c r="AP165" s="6">
        <v>0</v>
      </c>
      <c r="AQ165" s="6">
        <v>16</v>
      </c>
      <c r="AR165" s="6">
        <v>0</v>
      </c>
      <c r="AS165" s="6">
        <v>14</v>
      </c>
      <c r="AT165" s="6">
        <v>0</v>
      </c>
      <c r="AU165" s="6">
        <v>14</v>
      </c>
      <c r="AV165" s="6">
        <v>0</v>
      </c>
      <c r="AW165" s="6">
        <f>CHOOSE(MATCH(Setup!$B$5,{8,10,12,14,16},0),AM165,AO165,AQ165,AS165,AU165)</f>
        <v>16</v>
      </c>
      <c r="AX165" s="6">
        <f>CHOOSE(MATCH(Setup!$B$5,{8,10,12,14,16},0),AN165,AP165,AR165,AT165,AV165)</f>
        <v>0</v>
      </c>
      <c r="AY165" s="6">
        <f>ROUND(1+AX165*'Live Calc'!$D$11,0)</f>
        <v>1</v>
      </c>
      <c r="AZ165" s="6"/>
      <c r="BA165" s="6">
        <f>IF(AZ165&lt;&gt;"",AZ165,ROUND(AY165*INDEX('Live Calc'!$D$44:$D$59,MATCH(AW165,'Live Calc'!$A$44:$A$59,0))*'Live Calc'!$J$78,0))</f>
        <v>1</v>
      </c>
    </row>
    <row r="166" spans="37:53" x14ac:dyDescent="0.25">
      <c r="AK166" s="6" t="s">
        <v>485</v>
      </c>
      <c r="AL166" s="6" t="s">
        <v>88</v>
      </c>
      <c r="AM166" s="6">
        <v>12</v>
      </c>
      <c r="AN166" s="6">
        <v>0</v>
      </c>
      <c r="AO166" s="6">
        <v>15</v>
      </c>
      <c r="AP166" s="6">
        <v>0</v>
      </c>
      <c r="AQ166" s="6">
        <v>16</v>
      </c>
      <c r="AR166" s="6">
        <v>0</v>
      </c>
      <c r="AS166" s="6">
        <v>14</v>
      </c>
      <c r="AT166" s="6">
        <v>0</v>
      </c>
      <c r="AU166" s="6">
        <v>14</v>
      </c>
      <c r="AV166" s="6">
        <v>0</v>
      </c>
      <c r="AW166" s="6">
        <f>CHOOSE(MATCH(Setup!$B$5,{8,10,12,14,16},0),AM166,AO166,AQ166,AS166,AU166)</f>
        <v>16</v>
      </c>
      <c r="AX166" s="6">
        <f>CHOOSE(MATCH(Setup!$B$5,{8,10,12,14,16},0),AN166,AP166,AR166,AT166,AV166)</f>
        <v>0</v>
      </c>
      <c r="AY166" s="6">
        <f>ROUND(1+AX166*'Live Calc'!$D$11,0)</f>
        <v>1</v>
      </c>
      <c r="AZ166" s="6"/>
      <c r="BA166" s="6">
        <f>IF(AZ166&lt;&gt;"",AZ166,ROUND(AY166*INDEX('Live Calc'!$D$44:$D$59,MATCH(AW166,'Live Calc'!$A$44:$A$59,0))*'Live Calc'!$J$78,0))</f>
        <v>1</v>
      </c>
    </row>
  </sheetData>
  <dataValidations count="1">
    <dataValidation type="whole" allowBlank="1" showErrorMessage="1" errorTitle="Invalid price" error="Enter a whole-dollar amount (0-400)." sqref="P2:P56 BR2:BR71 AZ2:AZ166 AH2:AH141" xr:uid="{00000000-0002-0000-0100-000000000000}">
      <formula1>0</formula1>
      <formula2>400</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8"/>
  <sheetViews>
    <sheetView workbookViewId="0"/>
  </sheetViews>
  <sheetFormatPr defaultRowHeight="15" x14ac:dyDescent="0.25"/>
  <cols>
    <col min="1" max="1" width="16" customWidth="1"/>
    <col min="2" max="2" width="24" customWidth="1"/>
    <col min="3" max="3" width="26" customWidth="1"/>
    <col min="4" max="4" width="16" customWidth="1"/>
    <col min="5" max="5" width="12" customWidth="1"/>
    <col min="6" max="6" width="18" customWidth="1"/>
    <col min="7" max="7" width="12" customWidth="1"/>
    <col min="8" max="8" width="22" customWidth="1"/>
    <col min="9" max="9" width="20" customWidth="1"/>
    <col min="10" max="10" width="24" customWidth="1"/>
  </cols>
  <sheetData>
    <row r="1" spans="1:10" x14ac:dyDescent="0.25">
      <c r="A1" s="2" t="s">
        <v>486</v>
      </c>
    </row>
    <row r="2" spans="1:10" x14ac:dyDescent="0.25">
      <c r="A2" t="s">
        <v>487</v>
      </c>
      <c r="B2">
        <f>Setup!$B$5</f>
        <v>12</v>
      </c>
    </row>
    <row r="3" spans="1:10" x14ac:dyDescent="0.25">
      <c r="A3" t="s">
        <v>488</v>
      </c>
      <c r="B3">
        <f>B2*15</f>
        <v>180</v>
      </c>
    </row>
    <row r="4" spans="1:10" x14ac:dyDescent="0.25">
      <c r="A4" t="s">
        <v>489</v>
      </c>
      <c r="B4">
        <f>B2*Setup!$B$3</f>
        <v>2400</v>
      </c>
    </row>
    <row r="5" spans="1:10" x14ac:dyDescent="0.25">
      <c r="A5" t="s">
        <v>490</v>
      </c>
      <c r="B5">
        <f>B4-B3*1</f>
        <v>2220</v>
      </c>
    </row>
    <row r="7" spans="1:10" x14ac:dyDescent="0.25">
      <c r="A7" s="2" t="s">
        <v>491</v>
      </c>
    </row>
    <row r="8" spans="1:10" x14ac:dyDescent="0.25">
      <c r="A8" s="2" t="s">
        <v>492</v>
      </c>
      <c r="B8" s="2" t="s">
        <v>493</v>
      </c>
      <c r="C8" s="2" t="s">
        <v>494</v>
      </c>
      <c r="D8" s="2" t="s">
        <v>495</v>
      </c>
    </row>
    <row r="9" spans="1:10" x14ac:dyDescent="0.25">
      <c r="A9" t="s">
        <v>496</v>
      </c>
      <c r="B9">
        <f>$B$5*0.0585</f>
        <v>129.87</v>
      </c>
      <c r="C9">
        <f>CHOOSE(MATCH(Setup!$B$5,{8,10,12,14,16},0),F9,G9,H9,I9,J9)</f>
        <v>629.60770000000002</v>
      </c>
      <c r="D9">
        <f>IFERROR(B9/C9,0)</f>
        <v>0.20627130195516985</v>
      </c>
      <c r="F9">
        <v>525.6567</v>
      </c>
      <c r="G9">
        <v>384.26</v>
      </c>
      <c r="H9">
        <v>629.60770000000002</v>
      </c>
      <c r="I9">
        <v>367.92099999999999</v>
      </c>
      <c r="J9">
        <v>139.26349999999999</v>
      </c>
    </row>
    <row r="10" spans="1:10" x14ac:dyDescent="0.25">
      <c r="A10" t="s">
        <v>497</v>
      </c>
      <c r="B10">
        <f>$B$5*0.431</f>
        <v>956.81999999999994</v>
      </c>
      <c r="C10">
        <f>CHOOSE(MATCH(Setup!$B$5,{8,10,12,14,16},0),F10,G10,H10,I10,J10)</f>
        <v>7871.1994000000004</v>
      </c>
      <c r="D10">
        <f>IFERROR(B10/C10,0)</f>
        <v>0.12155961898259113</v>
      </c>
      <c r="F10">
        <v>5636.3793999999998</v>
      </c>
      <c r="G10">
        <v>7490.7155000000002</v>
      </c>
      <c r="H10">
        <v>7871.1994000000004</v>
      </c>
      <c r="I10">
        <v>1928.0359000000001</v>
      </c>
      <c r="J10">
        <v>963.48090000000002</v>
      </c>
    </row>
    <row r="11" spans="1:10" x14ac:dyDescent="0.25">
      <c r="A11" t="s">
        <v>498</v>
      </c>
      <c r="B11">
        <f>$B$5*0.4345</f>
        <v>964.59</v>
      </c>
      <c r="C11">
        <f>CHOOSE(MATCH(Setup!$B$5,{8,10,12,14,16},0),F11,G11,H11,I11,J11)</f>
        <v>7295.9359999999997</v>
      </c>
      <c r="D11">
        <f>IFERROR(B11/C11,0)</f>
        <v>0.13220921894051704</v>
      </c>
      <c r="F11">
        <v>3542.1649000000002</v>
      </c>
      <c r="G11">
        <v>5412.6926999999996</v>
      </c>
      <c r="H11">
        <v>7295.9359999999997</v>
      </c>
      <c r="I11">
        <v>3699.87</v>
      </c>
      <c r="J11">
        <v>1933.2185999999999</v>
      </c>
    </row>
    <row r="12" spans="1:10" x14ac:dyDescent="0.25">
      <c r="A12" t="s">
        <v>499</v>
      </c>
      <c r="B12">
        <f>$B$5*0.076</f>
        <v>168.72</v>
      </c>
      <c r="C12">
        <f>CHOOSE(MATCH(Setup!$B$5,{8,10,12,14,16},0),F12,G12,H12,I12,J12)</f>
        <v>501.87200000000001</v>
      </c>
      <c r="D12">
        <f>IFERROR(B12/C12,0)</f>
        <v>0.33618133707399495</v>
      </c>
      <c r="F12">
        <v>382.67399999999998</v>
      </c>
      <c r="G12">
        <v>333.10169999999999</v>
      </c>
      <c r="H12">
        <v>501.87200000000001</v>
      </c>
      <c r="I12">
        <v>241.23990000000001</v>
      </c>
      <c r="J12">
        <v>118.6472</v>
      </c>
    </row>
    <row r="14" spans="1:10" x14ac:dyDescent="0.25">
      <c r="A14" s="2" t="s">
        <v>500</v>
      </c>
    </row>
    <row r="15" spans="1:10" x14ac:dyDescent="0.25">
      <c r="A15" s="2" t="s">
        <v>501</v>
      </c>
      <c r="B15" s="2" t="s">
        <v>502</v>
      </c>
      <c r="C15" s="2" t="s">
        <v>503</v>
      </c>
      <c r="D15" s="2" t="s">
        <v>504</v>
      </c>
    </row>
    <row r="16" spans="1:10" x14ac:dyDescent="0.25">
      <c r="A16">
        <v>1</v>
      </c>
      <c r="B16">
        <f>SUMIFS('Draft Board'!$P$2:$P$56,'Draft Board'!$M$2:$M$56,A16,'Draft Board'!$P$2:$P$56,"&lt;&gt;")</f>
        <v>0</v>
      </c>
      <c r="C16">
        <f>SUMIFS('Draft Board'!$O$2:$O$56,'Draft Board'!$M$2:$M$56,A16,'Draft Board'!$P$2:$P$56,"&lt;&gt;")</f>
        <v>0</v>
      </c>
      <c r="D16">
        <f t="shared" ref="D16:D23" si="0">IFERROR(B16/C16,1)</f>
        <v>1</v>
      </c>
    </row>
    <row r="17" spans="1:4" x14ac:dyDescent="0.25">
      <c r="A17">
        <v>2</v>
      </c>
      <c r="B17">
        <f>SUMIFS('Draft Board'!$P$2:$P$56,'Draft Board'!$M$2:$M$56,A17,'Draft Board'!$P$2:$P$56,"&lt;&gt;")</f>
        <v>0</v>
      </c>
      <c r="C17">
        <f>SUMIFS('Draft Board'!$O$2:$O$56,'Draft Board'!$M$2:$M$56,A17,'Draft Board'!$P$2:$P$56,"&lt;&gt;")</f>
        <v>0</v>
      </c>
      <c r="D17">
        <f t="shared" si="0"/>
        <v>1</v>
      </c>
    </row>
    <row r="18" spans="1:4" x14ac:dyDescent="0.25">
      <c r="A18">
        <v>3</v>
      </c>
      <c r="B18">
        <f>SUMIFS('Draft Board'!$P$2:$P$56,'Draft Board'!$M$2:$M$56,A18,'Draft Board'!$P$2:$P$56,"&lt;&gt;")</f>
        <v>0</v>
      </c>
      <c r="C18">
        <f>SUMIFS('Draft Board'!$O$2:$O$56,'Draft Board'!$M$2:$M$56,A18,'Draft Board'!$P$2:$P$56,"&lt;&gt;")</f>
        <v>0</v>
      </c>
      <c r="D18">
        <f t="shared" si="0"/>
        <v>1</v>
      </c>
    </row>
    <row r="19" spans="1:4" x14ac:dyDescent="0.25">
      <c r="A19">
        <v>4</v>
      </c>
      <c r="B19">
        <f>SUMIFS('Draft Board'!$P$2:$P$56,'Draft Board'!$M$2:$M$56,A19,'Draft Board'!$P$2:$P$56,"&lt;&gt;")</f>
        <v>0</v>
      </c>
      <c r="C19">
        <f>SUMIFS('Draft Board'!$O$2:$O$56,'Draft Board'!$M$2:$M$56,A19,'Draft Board'!$P$2:$P$56,"&lt;&gt;")</f>
        <v>0</v>
      </c>
      <c r="D19">
        <f t="shared" si="0"/>
        <v>1</v>
      </c>
    </row>
    <row r="20" spans="1:4" x14ac:dyDescent="0.25">
      <c r="A20">
        <v>5</v>
      </c>
      <c r="B20">
        <f>SUMIFS('Draft Board'!$P$2:$P$56,'Draft Board'!$M$2:$M$56,A20,'Draft Board'!$P$2:$P$56,"&lt;&gt;")</f>
        <v>0</v>
      </c>
      <c r="C20">
        <f>SUMIFS('Draft Board'!$O$2:$O$56,'Draft Board'!$M$2:$M$56,A20,'Draft Board'!$P$2:$P$56,"&lt;&gt;")</f>
        <v>0</v>
      </c>
      <c r="D20">
        <f t="shared" si="0"/>
        <v>1</v>
      </c>
    </row>
    <row r="21" spans="1:4" x14ac:dyDescent="0.25">
      <c r="A21">
        <v>6</v>
      </c>
      <c r="B21">
        <f>SUMIFS('Draft Board'!$P$2:$P$56,'Draft Board'!$M$2:$M$56,A21,'Draft Board'!$P$2:$P$56,"&lt;&gt;")</f>
        <v>0</v>
      </c>
      <c r="C21">
        <f>SUMIFS('Draft Board'!$O$2:$O$56,'Draft Board'!$M$2:$M$56,A21,'Draft Board'!$P$2:$P$56,"&lt;&gt;")</f>
        <v>0</v>
      </c>
      <c r="D21">
        <f t="shared" si="0"/>
        <v>1</v>
      </c>
    </row>
    <row r="22" spans="1:4" x14ac:dyDescent="0.25">
      <c r="A22">
        <v>7</v>
      </c>
      <c r="B22">
        <f>SUMIFS('Draft Board'!$P$2:$P$56,'Draft Board'!$M$2:$M$56,A22,'Draft Board'!$P$2:$P$56,"&lt;&gt;")</f>
        <v>0</v>
      </c>
      <c r="C22">
        <f>SUMIFS('Draft Board'!$O$2:$O$56,'Draft Board'!$M$2:$M$56,A22,'Draft Board'!$P$2:$P$56,"&lt;&gt;")</f>
        <v>0</v>
      </c>
      <c r="D22">
        <f t="shared" si="0"/>
        <v>1</v>
      </c>
    </row>
    <row r="23" spans="1:4" x14ac:dyDescent="0.25">
      <c r="A23">
        <v>8</v>
      </c>
      <c r="B23">
        <f>SUMIFS('Draft Board'!$P$2:$P$56,'Draft Board'!$M$2:$M$56,A23,'Draft Board'!$P$2:$P$56,"&lt;&gt;")</f>
        <v>0</v>
      </c>
      <c r="C23">
        <f>SUMIFS('Draft Board'!$O$2:$O$56,'Draft Board'!$M$2:$M$56,A23,'Draft Board'!$P$2:$P$56,"&lt;&gt;")</f>
        <v>0</v>
      </c>
      <c r="D23">
        <f t="shared" si="0"/>
        <v>1</v>
      </c>
    </row>
    <row r="25" spans="1:4" x14ac:dyDescent="0.25">
      <c r="A25" s="2" t="s">
        <v>505</v>
      </c>
    </row>
    <row r="26" spans="1:4" x14ac:dyDescent="0.25">
      <c r="A26" s="2" t="s">
        <v>501</v>
      </c>
      <c r="B26" s="2" t="s">
        <v>502</v>
      </c>
      <c r="C26" s="2" t="s">
        <v>503</v>
      </c>
      <c r="D26" s="2" t="s">
        <v>504</v>
      </c>
    </row>
    <row r="27" spans="1:4" x14ac:dyDescent="0.25">
      <c r="A27">
        <v>1</v>
      </c>
      <c r="B27">
        <f>SUMIFS('Draft Board'!$AH$2:$AH$141,'Draft Board'!$AE$2:$AE$141,A27,'Draft Board'!$AH$2:$AH$141,"&lt;&gt;")</f>
        <v>0</v>
      </c>
      <c r="C27">
        <f>SUMIFS('Draft Board'!$AG$2:$AG$141,'Draft Board'!$AE$2:$AE$141,A27,'Draft Board'!$AH$2:$AH$141,"&lt;&gt;")</f>
        <v>0</v>
      </c>
      <c r="D27">
        <f t="shared" ref="D27:D40" si="1">IFERROR(B27/C27,1)</f>
        <v>1</v>
      </c>
    </row>
    <row r="28" spans="1:4" x14ac:dyDescent="0.25">
      <c r="A28">
        <v>2</v>
      </c>
      <c r="B28">
        <f>SUMIFS('Draft Board'!$AH$2:$AH$141,'Draft Board'!$AE$2:$AE$141,A28,'Draft Board'!$AH$2:$AH$141,"&lt;&gt;")</f>
        <v>0</v>
      </c>
      <c r="C28">
        <f>SUMIFS('Draft Board'!$AG$2:$AG$141,'Draft Board'!$AE$2:$AE$141,A28,'Draft Board'!$AH$2:$AH$141,"&lt;&gt;")</f>
        <v>0</v>
      </c>
      <c r="D28">
        <f t="shared" si="1"/>
        <v>1</v>
      </c>
    </row>
    <row r="29" spans="1:4" x14ac:dyDescent="0.25">
      <c r="A29">
        <v>3</v>
      </c>
      <c r="B29">
        <f>SUMIFS('Draft Board'!$AH$2:$AH$141,'Draft Board'!$AE$2:$AE$141,A29,'Draft Board'!$AH$2:$AH$141,"&lt;&gt;")</f>
        <v>0</v>
      </c>
      <c r="C29">
        <f>SUMIFS('Draft Board'!$AG$2:$AG$141,'Draft Board'!$AE$2:$AE$141,A29,'Draft Board'!$AH$2:$AH$141,"&lt;&gt;")</f>
        <v>0</v>
      </c>
      <c r="D29">
        <f t="shared" si="1"/>
        <v>1</v>
      </c>
    </row>
    <row r="30" spans="1:4" x14ac:dyDescent="0.25">
      <c r="A30">
        <v>4</v>
      </c>
      <c r="B30">
        <f>SUMIFS('Draft Board'!$AH$2:$AH$141,'Draft Board'!$AE$2:$AE$141,A30,'Draft Board'!$AH$2:$AH$141,"&lt;&gt;")</f>
        <v>0</v>
      </c>
      <c r="C30">
        <f>SUMIFS('Draft Board'!$AG$2:$AG$141,'Draft Board'!$AE$2:$AE$141,A30,'Draft Board'!$AH$2:$AH$141,"&lt;&gt;")</f>
        <v>0</v>
      </c>
      <c r="D30">
        <f t="shared" si="1"/>
        <v>1</v>
      </c>
    </row>
    <row r="31" spans="1:4" x14ac:dyDescent="0.25">
      <c r="A31">
        <v>5</v>
      </c>
      <c r="B31">
        <f>SUMIFS('Draft Board'!$AH$2:$AH$141,'Draft Board'!$AE$2:$AE$141,A31,'Draft Board'!$AH$2:$AH$141,"&lt;&gt;")</f>
        <v>0</v>
      </c>
      <c r="C31">
        <f>SUMIFS('Draft Board'!$AG$2:$AG$141,'Draft Board'!$AE$2:$AE$141,A31,'Draft Board'!$AH$2:$AH$141,"&lt;&gt;")</f>
        <v>0</v>
      </c>
      <c r="D31">
        <f t="shared" si="1"/>
        <v>1</v>
      </c>
    </row>
    <row r="32" spans="1:4" x14ac:dyDescent="0.25">
      <c r="A32">
        <v>6</v>
      </c>
      <c r="B32">
        <f>SUMIFS('Draft Board'!$AH$2:$AH$141,'Draft Board'!$AE$2:$AE$141,A32,'Draft Board'!$AH$2:$AH$141,"&lt;&gt;")</f>
        <v>0</v>
      </c>
      <c r="C32">
        <f>SUMIFS('Draft Board'!$AG$2:$AG$141,'Draft Board'!$AE$2:$AE$141,A32,'Draft Board'!$AH$2:$AH$141,"&lt;&gt;")</f>
        <v>0</v>
      </c>
      <c r="D32">
        <f t="shared" si="1"/>
        <v>1</v>
      </c>
    </row>
    <row r="33" spans="1:4" x14ac:dyDescent="0.25">
      <c r="A33">
        <v>7</v>
      </c>
      <c r="B33">
        <f>SUMIFS('Draft Board'!$AH$2:$AH$141,'Draft Board'!$AE$2:$AE$141,A33,'Draft Board'!$AH$2:$AH$141,"&lt;&gt;")</f>
        <v>0</v>
      </c>
      <c r="C33">
        <f>SUMIFS('Draft Board'!$AG$2:$AG$141,'Draft Board'!$AE$2:$AE$141,A33,'Draft Board'!$AH$2:$AH$141,"&lt;&gt;")</f>
        <v>0</v>
      </c>
      <c r="D33">
        <f t="shared" si="1"/>
        <v>1</v>
      </c>
    </row>
    <row r="34" spans="1:4" x14ac:dyDescent="0.25">
      <c r="A34">
        <v>8</v>
      </c>
      <c r="B34">
        <f>SUMIFS('Draft Board'!$AH$2:$AH$141,'Draft Board'!$AE$2:$AE$141,A34,'Draft Board'!$AH$2:$AH$141,"&lt;&gt;")</f>
        <v>0</v>
      </c>
      <c r="C34">
        <f>SUMIFS('Draft Board'!$AG$2:$AG$141,'Draft Board'!$AE$2:$AE$141,A34,'Draft Board'!$AH$2:$AH$141,"&lt;&gt;")</f>
        <v>0</v>
      </c>
      <c r="D34">
        <f t="shared" si="1"/>
        <v>1</v>
      </c>
    </row>
    <row r="35" spans="1:4" x14ac:dyDescent="0.25">
      <c r="A35">
        <v>9</v>
      </c>
      <c r="B35">
        <f>SUMIFS('Draft Board'!$AH$2:$AH$141,'Draft Board'!$AE$2:$AE$141,A35,'Draft Board'!$AH$2:$AH$141,"&lt;&gt;")</f>
        <v>0</v>
      </c>
      <c r="C35">
        <f>SUMIFS('Draft Board'!$AG$2:$AG$141,'Draft Board'!$AE$2:$AE$141,A35,'Draft Board'!$AH$2:$AH$141,"&lt;&gt;")</f>
        <v>0</v>
      </c>
      <c r="D35">
        <f t="shared" si="1"/>
        <v>1</v>
      </c>
    </row>
    <row r="36" spans="1:4" x14ac:dyDescent="0.25">
      <c r="A36">
        <v>10</v>
      </c>
      <c r="B36">
        <f>SUMIFS('Draft Board'!$AH$2:$AH$141,'Draft Board'!$AE$2:$AE$141,A36,'Draft Board'!$AH$2:$AH$141,"&lt;&gt;")</f>
        <v>0</v>
      </c>
      <c r="C36">
        <f>SUMIFS('Draft Board'!$AG$2:$AG$141,'Draft Board'!$AE$2:$AE$141,A36,'Draft Board'!$AH$2:$AH$141,"&lt;&gt;")</f>
        <v>0</v>
      </c>
      <c r="D36">
        <f t="shared" si="1"/>
        <v>1</v>
      </c>
    </row>
    <row r="37" spans="1:4" x14ac:dyDescent="0.25">
      <c r="A37">
        <v>11</v>
      </c>
      <c r="B37">
        <f>SUMIFS('Draft Board'!$AH$2:$AH$141,'Draft Board'!$AE$2:$AE$141,A37,'Draft Board'!$AH$2:$AH$141,"&lt;&gt;")</f>
        <v>0</v>
      </c>
      <c r="C37">
        <f>SUMIFS('Draft Board'!$AG$2:$AG$141,'Draft Board'!$AE$2:$AE$141,A37,'Draft Board'!$AH$2:$AH$141,"&lt;&gt;")</f>
        <v>0</v>
      </c>
      <c r="D37">
        <f t="shared" si="1"/>
        <v>1</v>
      </c>
    </row>
    <row r="38" spans="1:4" x14ac:dyDescent="0.25">
      <c r="A38">
        <v>12</v>
      </c>
      <c r="B38">
        <f>SUMIFS('Draft Board'!$AH$2:$AH$141,'Draft Board'!$AE$2:$AE$141,A38,'Draft Board'!$AH$2:$AH$141,"&lt;&gt;")</f>
        <v>0</v>
      </c>
      <c r="C38">
        <f>SUMIFS('Draft Board'!$AG$2:$AG$141,'Draft Board'!$AE$2:$AE$141,A38,'Draft Board'!$AH$2:$AH$141,"&lt;&gt;")</f>
        <v>0</v>
      </c>
      <c r="D38">
        <f t="shared" si="1"/>
        <v>1</v>
      </c>
    </row>
    <row r="39" spans="1:4" x14ac:dyDescent="0.25">
      <c r="A39">
        <v>13</v>
      </c>
      <c r="B39">
        <f>SUMIFS('Draft Board'!$AH$2:$AH$141,'Draft Board'!$AE$2:$AE$141,A39,'Draft Board'!$AH$2:$AH$141,"&lt;&gt;")</f>
        <v>0</v>
      </c>
      <c r="C39">
        <f>SUMIFS('Draft Board'!$AG$2:$AG$141,'Draft Board'!$AE$2:$AE$141,A39,'Draft Board'!$AH$2:$AH$141,"&lt;&gt;")</f>
        <v>0</v>
      </c>
      <c r="D39">
        <f t="shared" si="1"/>
        <v>1</v>
      </c>
    </row>
    <row r="40" spans="1:4" x14ac:dyDescent="0.25">
      <c r="A40">
        <v>14</v>
      </c>
      <c r="B40">
        <f>SUMIFS('Draft Board'!$AH$2:$AH$141,'Draft Board'!$AE$2:$AE$141,A40,'Draft Board'!$AH$2:$AH$141,"&lt;&gt;")</f>
        <v>0</v>
      </c>
      <c r="C40">
        <f>SUMIFS('Draft Board'!$AG$2:$AG$141,'Draft Board'!$AE$2:$AE$141,A40,'Draft Board'!$AH$2:$AH$141,"&lt;&gt;")</f>
        <v>0</v>
      </c>
      <c r="D40">
        <f t="shared" si="1"/>
        <v>1</v>
      </c>
    </row>
    <row r="42" spans="1:4" x14ac:dyDescent="0.25">
      <c r="A42" s="2" t="s">
        <v>506</v>
      </c>
    </row>
    <row r="43" spans="1:4" x14ac:dyDescent="0.25">
      <c r="A43" s="2" t="s">
        <v>501</v>
      </c>
      <c r="B43" s="2" t="s">
        <v>502</v>
      </c>
      <c r="C43" s="2" t="s">
        <v>503</v>
      </c>
      <c r="D43" s="2" t="s">
        <v>504</v>
      </c>
    </row>
    <row r="44" spans="1:4" x14ac:dyDescent="0.25">
      <c r="A44">
        <v>1</v>
      </c>
      <c r="B44">
        <f>SUMIFS('Draft Board'!$AZ$2:$AZ$166,'Draft Board'!$AW$2:$AW$166,A44,'Draft Board'!$AZ$2:$AZ$166,"&lt;&gt;")</f>
        <v>0</v>
      </c>
      <c r="C44">
        <f>SUMIFS('Draft Board'!$AY$2:$AY$166,'Draft Board'!$AW$2:$AW$166,A44,'Draft Board'!$AZ$2:$AZ$166,"&lt;&gt;")</f>
        <v>0</v>
      </c>
      <c r="D44">
        <f t="shared" ref="D44:D59" si="2">IFERROR(B44/C44,1)</f>
        <v>1</v>
      </c>
    </row>
    <row r="45" spans="1:4" x14ac:dyDescent="0.25">
      <c r="A45">
        <v>2</v>
      </c>
      <c r="B45">
        <f>SUMIFS('Draft Board'!$AZ$2:$AZ$166,'Draft Board'!$AW$2:$AW$166,A45,'Draft Board'!$AZ$2:$AZ$166,"&lt;&gt;")</f>
        <v>0</v>
      </c>
      <c r="C45">
        <f>SUMIFS('Draft Board'!$AY$2:$AY$166,'Draft Board'!$AW$2:$AW$166,A45,'Draft Board'!$AZ$2:$AZ$166,"&lt;&gt;")</f>
        <v>0</v>
      </c>
      <c r="D45">
        <f t="shared" si="2"/>
        <v>1</v>
      </c>
    </row>
    <row r="46" spans="1:4" x14ac:dyDescent="0.25">
      <c r="A46">
        <v>3</v>
      </c>
      <c r="B46">
        <f>SUMIFS('Draft Board'!$AZ$2:$AZ$166,'Draft Board'!$AW$2:$AW$166,A46,'Draft Board'!$AZ$2:$AZ$166,"&lt;&gt;")</f>
        <v>0</v>
      </c>
      <c r="C46">
        <f>SUMIFS('Draft Board'!$AY$2:$AY$166,'Draft Board'!$AW$2:$AW$166,A46,'Draft Board'!$AZ$2:$AZ$166,"&lt;&gt;")</f>
        <v>0</v>
      </c>
      <c r="D46">
        <f t="shared" si="2"/>
        <v>1</v>
      </c>
    </row>
    <row r="47" spans="1:4" x14ac:dyDescent="0.25">
      <c r="A47">
        <v>4</v>
      </c>
      <c r="B47">
        <f>SUMIFS('Draft Board'!$AZ$2:$AZ$166,'Draft Board'!$AW$2:$AW$166,A47,'Draft Board'!$AZ$2:$AZ$166,"&lt;&gt;")</f>
        <v>0</v>
      </c>
      <c r="C47">
        <f>SUMIFS('Draft Board'!$AY$2:$AY$166,'Draft Board'!$AW$2:$AW$166,A47,'Draft Board'!$AZ$2:$AZ$166,"&lt;&gt;")</f>
        <v>0</v>
      </c>
      <c r="D47">
        <f t="shared" si="2"/>
        <v>1</v>
      </c>
    </row>
    <row r="48" spans="1:4" x14ac:dyDescent="0.25">
      <c r="A48">
        <v>5</v>
      </c>
      <c r="B48">
        <f>SUMIFS('Draft Board'!$AZ$2:$AZ$166,'Draft Board'!$AW$2:$AW$166,A48,'Draft Board'!$AZ$2:$AZ$166,"&lt;&gt;")</f>
        <v>0</v>
      </c>
      <c r="C48">
        <f>SUMIFS('Draft Board'!$AY$2:$AY$166,'Draft Board'!$AW$2:$AW$166,A48,'Draft Board'!$AZ$2:$AZ$166,"&lt;&gt;")</f>
        <v>0</v>
      </c>
      <c r="D48">
        <f t="shared" si="2"/>
        <v>1</v>
      </c>
    </row>
    <row r="49" spans="1:4" x14ac:dyDescent="0.25">
      <c r="A49">
        <v>6</v>
      </c>
      <c r="B49">
        <f>SUMIFS('Draft Board'!$AZ$2:$AZ$166,'Draft Board'!$AW$2:$AW$166,A49,'Draft Board'!$AZ$2:$AZ$166,"&lt;&gt;")</f>
        <v>0</v>
      </c>
      <c r="C49">
        <f>SUMIFS('Draft Board'!$AY$2:$AY$166,'Draft Board'!$AW$2:$AW$166,A49,'Draft Board'!$AZ$2:$AZ$166,"&lt;&gt;")</f>
        <v>0</v>
      </c>
      <c r="D49">
        <f t="shared" si="2"/>
        <v>1</v>
      </c>
    </row>
    <row r="50" spans="1:4" x14ac:dyDescent="0.25">
      <c r="A50">
        <v>7</v>
      </c>
      <c r="B50">
        <f>SUMIFS('Draft Board'!$AZ$2:$AZ$166,'Draft Board'!$AW$2:$AW$166,A50,'Draft Board'!$AZ$2:$AZ$166,"&lt;&gt;")</f>
        <v>0</v>
      </c>
      <c r="C50">
        <f>SUMIFS('Draft Board'!$AY$2:$AY$166,'Draft Board'!$AW$2:$AW$166,A50,'Draft Board'!$AZ$2:$AZ$166,"&lt;&gt;")</f>
        <v>0</v>
      </c>
      <c r="D50">
        <f t="shared" si="2"/>
        <v>1</v>
      </c>
    </row>
    <row r="51" spans="1:4" x14ac:dyDescent="0.25">
      <c r="A51">
        <v>8</v>
      </c>
      <c r="B51">
        <f>SUMIFS('Draft Board'!$AZ$2:$AZ$166,'Draft Board'!$AW$2:$AW$166,A51,'Draft Board'!$AZ$2:$AZ$166,"&lt;&gt;")</f>
        <v>0</v>
      </c>
      <c r="C51">
        <f>SUMIFS('Draft Board'!$AY$2:$AY$166,'Draft Board'!$AW$2:$AW$166,A51,'Draft Board'!$AZ$2:$AZ$166,"&lt;&gt;")</f>
        <v>0</v>
      </c>
      <c r="D51">
        <f t="shared" si="2"/>
        <v>1</v>
      </c>
    </row>
    <row r="52" spans="1:4" x14ac:dyDescent="0.25">
      <c r="A52">
        <v>9</v>
      </c>
      <c r="B52">
        <f>SUMIFS('Draft Board'!$AZ$2:$AZ$166,'Draft Board'!$AW$2:$AW$166,A52,'Draft Board'!$AZ$2:$AZ$166,"&lt;&gt;")</f>
        <v>0</v>
      </c>
      <c r="C52">
        <f>SUMIFS('Draft Board'!$AY$2:$AY$166,'Draft Board'!$AW$2:$AW$166,A52,'Draft Board'!$AZ$2:$AZ$166,"&lt;&gt;")</f>
        <v>0</v>
      </c>
      <c r="D52">
        <f t="shared" si="2"/>
        <v>1</v>
      </c>
    </row>
    <row r="53" spans="1:4" x14ac:dyDescent="0.25">
      <c r="A53">
        <v>10</v>
      </c>
      <c r="B53">
        <f>SUMIFS('Draft Board'!$AZ$2:$AZ$166,'Draft Board'!$AW$2:$AW$166,A53,'Draft Board'!$AZ$2:$AZ$166,"&lt;&gt;")</f>
        <v>0</v>
      </c>
      <c r="C53">
        <f>SUMIFS('Draft Board'!$AY$2:$AY$166,'Draft Board'!$AW$2:$AW$166,A53,'Draft Board'!$AZ$2:$AZ$166,"&lt;&gt;")</f>
        <v>0</v>
      </c>
      <c r="D53">
        <f t="shared" si="2"/>
        <v>1</v>
      </c>
    </row>
    <row r="54" spans="1:4" x14ac:dyDescent="0.25">
      <c r="A54">
        <v>11</v>
      </c>
      <c r="B54">
        <f>SUMIFS('Draft Board'!$AZ$2:$AZ$166,'Draft Board'!$AW$2:$AW$166,A54,'Draft Board'!$AZ$2:$AZ$166,"&lt;&gt;")</f>
        <v>0</v>
      </c>
      <c r="C54">
        <f>SUMIFS('Draft Board'!$AY$2:$AY$166,'Draft Board'!$AW$2:$AW$166,A54,'Draft Board'!$AZ$2:$AZ$166,"&lt;&gt;")</f>
        <v>0</v>
      </c>
      <c r="D54">
        <f t="shared" si="2"/>
        <v>1</v>
      </c>
    </row>
    <row r="55" spans="1:4" x14ac:dyDescent="0.25">
      <c r="A55">
        <v>12</v>
      </c>
      <c r="B55">
        <f>SUMIFS('Draft Board'!$AZ$2:$AZ$166,'Draft Board'!$AW$2:$AW$166,A55,'Draft Board'!$AZ$2:$AZ$166,"&lt;&gt;")</f>
        <v>0</v>
      </c>
      <c r="C55">
        <f>SUMIFS('Draft Board'!$AY$2:$AY$166,'Draft Board'!$AW$2:$AW$166,A55,'Draft Board'!$AZ$2:$AZ$166,"&lt;&gt;")</f>
        <v>0</v>
      </c>
      <c r="D55">
        <f t="shared" si="2"/>
        <v>1</v>
      </c>
    </row>
    <row r="56" spans="1:4" x14ac:dyDescent="0.25">
      <c r="A56">
        <v>13</v>
      </c>
      <c r="B56">
        <f>SUMIFS('Draft Board'!$AZ$2:$AZ$166,'Draft Board'!$AW$2:$AW$166,A56,'Draft Board'!$AZ$2:$AZ$166,"&lt;&gt;")</f>
        <v>0</v>
      </c>
      <c r="C56">
        <f>SUMIFS('Draft Board'!$AY$2:$AY$166,'Draft Board'!$AW$2:$AW$166,A56,'Draft Board'!$AZ$2:$AZ$166,"&lt;&gt;")</f>
        <v>0</v>
      </c>
      <c r="D56">
        <f t="shared" si="2"/>
        <v>1</v>
      </c>
    </row>
    <row r="57" spans="1:4" x14ac:dyDescent="0.25">
      <c r="A57">
        <v>14</v>
      </c>
      <c r="B57">
        <f>SUMIFS('Draft Board'!$AZ$2:$AZ$166,'Draft Board'!$AW$2:$AW$166,A57,'Draft Board'!$AZ$2:$AZ$166,"&lt;&gt;")</f>
        <v>0</v>
      </c>
      <c r="C57">
        <f>SUMIFS('Draft Board'!$AY$2:$AY$166,'Draft Board'!$AW$2:$AW$166,A57,'Draft Board'!$AZ$2:$AZ$166,"&lt;&gt;")</f>
        <v>0</v>
      </c>
      <c r="D57">
        <f t="shared" si="2"/>
        <v>1</v>
      </c>
    </row>
    <row r="58" spans="1:4" x14ac:dyDescent="0.25">
      <c r="A58">
        <v>15</v>
      </c>
      <c r="B58">
        <f>SUMIFS('Draft Board'!$AZ$2:$AZ$166,'Draft Board'!$AW$2:$AW$166,A58,'Draft Board'!$AZ$2:$AZ$166,"&lt;&gt;")</f>
        <v>0</v>
      </c>
      <c r="C58">
        <f>SUMIFS('Draft Board'!$AY$2:$AY$166,'Draft Board'!$AW$2:$AW$166,A58,'Draft Board'!$AZ$2:$AZ$166,"&lt;&gt;")</f>
        <v>0</v>
      </c>
      <c r="D58">
        <f t="shared" si="2"/>
        <v>1</v>
      </c>
    </row>
    <row r="59" spans="1:4" x14ac:dyDescent="0.25">
      <c r="A59">
        <v>16</v>
      </c>
      <c r="B59">
        <f>SUMIFS('Draft Board'!$AZ$2:$AZ$166,'Draft Board'!$AW$2:$AW$166,A59,'Draft Board'!$AZ$2:$AZ$166,"&lt;&gt;")</f>
        <v>0</v>
      </c>
      <c r="C59">
        <f>SUMIFS('Draft Board'!$AY$2:$AY$166,'Draft Board'!$AW$2:$AW$166,A59,'Draft Board'!$AZ$2:$AZ$166,"&lt;&gt;")</f>
        <v>0</v>
      </c>
      <c r="D59">
        <f t="shared" si="2"/>
        <v>1</v>
      </c>
    </row>
    <row r="61" spans="1:4" x14ac:dyDescent="0.25">
      <c r="A61" s="2" t="s">
        <v>507</v>
      </c>
    </row>
    <row r="62" spans="1:4" x14ac:dyDescent="0.25">
      <c r="A62" s="2" t="s">
        <v>501</v>
      </c>
      <c r="B62" s="2" t="s">
        <v>502</v>
      </c>
      <c r="C62" s="2" t="s">
        <v>503</v>
      </c>
      <c r="D62" s="2" t="s">
        <v>504</v>
      </c>
    </row>
    <row r="63" spans="1:4" x14ac:dyDescent="0.25">
      <c r="A63">
        <v>1</v>
      </c>
      <c r="B63">
        <f>SUMIFS('Draft Board'!$BR$2:$BR$71,'Draft Board'!$BO$2:$BO$71,A63,'Draft Board'!$BR$2:$BR$71,"&lt;&gt;")</f>
        <v>0</v>
      </c>
      <c r="C63">
        <f>SUMIFS('Draft Board'!$BQ$2:$BQ$71,'Draft Board'!$BO$2:$BO$71,A63,'Draft Board'!$BR$2:$BR$71,"&lt;&gt;")</f>
        <v>0</v>
      </c>
      <c r="D63">
        <f t="shared" ref="D63:D74" si="3">IFERROR(B63/C63,1)</f>
        <v>1</v>
      </c>
    </row>
    <row r="64" spans="1:4" x14ac:dyDescent="0.25">
      <c r="A64">
        <v>2</v>
      </c>
      <c r="B64">
        <f>SUMIFS('Draft Board'!$BR$2:$BR$71,'Draft Board'!$BO$2:$BO$71,A64,'Draft Board'!$BR$2:$BR$71,"&lt;&gt;")</f>
        <v>0</v>
      </c>
      <c r="C64">
        <f>SUMIFS('Draft Board'!$BQ$2:$BQ$71,'Draft Board'!$BO$2:$BO$71,A64,'Draft Board'!$BR$2:$BR$71,"&lt;&gt;")</f>
        <v>0</v>
      </c>
      <c r="D64">
        <f t="shared" si="3"/>
        <v>1</v>
      </c>
    </row>
    <row r="65" spans="1:10" x14ac:dyDescent="0.25">
      <c r="A65">
        <v>3</v>
      </c>
      <c r="B65">
        <f>SUMIFS('Draft Board'!$BR$2:$BR$71,'Draft Board'!$BO$2:$BO$71,A65,'Draft Board'!$BR$2:$BR$71,"&lt;&gt;")</f>
        <v>0</v>
      </c>
      <c r="C65">
        <f>SUMIFS('Draft Board'!$BQ$2:$BQ$71,'Draft Board'!$BO$2:$BO$71,A65,'Draft Board'!$BR$2:$BR$71,"&lt;&gt;")</f>
        <v>0</v>
      </c>
      <c r="D65">
        <f t="shared" si="3"/>
        <v>1</v>
      </c>
    </row>
    <row r="66" spans="1:10" x14ac:dyDescent="0.25">
      <c r="A66">
        <v>4</v>
      </c>
      <c r="B66">
        <f>SUMIFS('Draft Board'!$BR$2:$BR$71,'Draft Board'!$BO$2:$BO$71,A66,'Draft Board'!$BR$2:$BR$71,"&lt;&gt;")</f>
        <v>0</v>
      </c>
      <c r="C66">
        <f>SUMIFS('Draft Board'!$BQ$2:$BQ$71,'Draft Board'!$BO$2:$BO$71,A66,'Draft Board'!$BR$2:$BR$71,"&lt;&gt;")</f>
        <v>0</v>
      </c>
      <c r="D66">
        <f t="shared" si="3"/>
        <v>1</v>
      </c>
    </row>
    <row r="67" spans="1:10" x14ac:dyDescent="0.25">
      <c r="A67">
        <v>5</v>
      </c>
      <c r="B67">
        <f>SUMIFS('Draft Board'!$BR$2:$BR$71,'Draft Board'!$BO$2:$BO$71,A67,'Draft Board'!$BR$2:$BR$71,"&lt;&gt;")</f>
        <v>0</v>
      </c>
      <c r="C67">
        <f>SUMIFS('Draft Board'!$BQ$2:$BQ$71,'Draft Board'!$BO$2:$BO$71,A67,'Draft Board'!$BR$2:$BR$71,"&lt;&gt;")</f>
        <v>0</v>
      </c>
      <c r="D67">
        <f t="shared" si="3"/>
        <v>1</v>
      </c>
    </row>
    <row r="68" spans="1:10" x14ac:dyDescent="0.25">
      <c r="A68">
        <v>6</v>
      </c>
      <c r="B68">
        <f>SUMIFS('Draft Board'!$BR$2:$BR$71,'Draft Board'!$BO$2:$BO$71,A68,'Draft Board'!$BR$2:$BR$71,"&lt;&gt;")</f>
        <v>0</v>
      </c>
      <c r="C68">
        <f>SUMIFS('Draft Board'!$BQ$2:$BQ$71,'Draft Board'!$BO$2:$BO$71,A68,'Draft Board'!$BR$2:$BR$71,"&lt;&gt;")</f>
        <v>0</v>
      </c>
      <c r="D68">
        <f t="shared" si="3"/>
        <v>1</v>
      </c>
    </row>
    <row r="69" spans="1:10" x14ac:dyDescent="0.25">
      <c r="A69">
        <v>7</v>
      </c>
      <c r="B69">
        <f>SUMIFS('Draft Board'!$BR$2:$BR$71,'Draft Board'!$BO$2:$BO$71,A69,'Draft Board'!$BR$2:$BR$71,"&lt;&gt;")</f>
        <v>0</v>
      </c>
      <c r="C69">
        <f>SUMIFS('Draft Board'!$BQ$2:$BQ$71,'Draft Board'!$BO$2:$BO$71,A69,'Draft Board'!$BR$2:$BR$71,"&lt;&gt;")</f>
        <v>0</v>
      </c>
      <c r="D69">
        <f t="shared" si="3"/>
        <v>1</v>
      </c>
    </row>
    <row r="70" spans="1:10" x14ac:dyDescent="0.25">
      <c r="A70">
        <v>8</v>
      </c>
      <c r="B70">
        <f>SUMIFS('Draft Board'!$BR$2:$BR$71,'Draft Board'!$BO$2:$BO$71,A70,'Draft Board'!$BR$2:$BR$71,"&lt;&gt;")</f>
        <v>0</v>
      </c>
      <c r="C70">
        <f>SUMIFS('Draft Board'!$BQ$2:$BQ$71,'Draft Board'!$BO$2:$BO$71,A70,'Draft Board'!$BR$2:$BR$71,"&lt;&gt;")</f>
        <v>0</v>
      </c>
      <c r="D70">
        <f t="shared" si="3"/>
        <v>1</v>
      </c>
    </row>
    <row r="71" spans="1:10" x14ac:dyDescent="0.25">
      <c r="A71">
        <v>9</v>
      </c>
      <c r="B71">
        <f>SUMIFS('Draft Board'!$BR$2:$BR$71,'Draft Board'!$BO$2:$BO$71,A71,'Draft Board'!$BR$2:$BR$71,"&lt;&gt;")</f>
        <v>0</v>
      </c>
      <c r="C71">
        <f>SUMIFS('Draft Board'!$BQ$2:$BQ$71,'Draft Board'!$BO$2:$BO$71,A71,'Draft Board'!$BR$2:$BR$71,"&lt;&gt;")</f>
        <v>0</v>
      </c>
      <c r="D71">
        <f t="shared" si="3"/>
        <v>1</v>
      </c>
    </row>
    <row r="72" spans="1:10" x14ac:dyDescent="0.25">
      <c r="A72">
        <v>10</v>
      </c>
      <c r="B72">
        <f>SUMIFS('Draft Board'!$BR$2:$BR$71,'Draft Board'!$BO$2:$BO$71,A72,'Draft Board'!$BR$2:$BR$71,"&lt;&gt;")</f>
        <v>0</v>
      </c>
      <c r="C72">
        <f>SUMIFS('Draft Board'!$BQ$2:$BQ$71,'Draft Board'!$BO$2:$BO$71,A72,'Draft Board'!$BR$2:$BR$71,"&lt;&gt;")</f>
        <v>0</v>
      </c>
      <c r="D72">
        <f t="shared" si="3"/>
        <v>1</v>
      </c>
    </row>
    <row r="73" spans="1:10" x14ac:dyDescent="0.25">
      <c r="A73">
        <v>11</v>
      </c>
      <c r="B73">
        <f>SUMIFS('Draft Board'!$BR$2:$BR$71,'Draft Board'!$BO$2:$BO$71,A73,'Draft Board'!$BR$2:$BR$71,"&lt;&gt;")</f>
        <v>0</v>
      </c>
      <c r="C73">
        <f>SUMIFS('Draft Board'!$BQ$2:$BQ$71,'Draft Board'!$BO$2:$BO$71,A73,'Draft Board'!$BR$2:$BR$71,"&lt;&gt;")</f>
        <v>0</v>
      </c>
      <c r="D73">
        <f t="shared" si="3"/>
        <v>1</v>
      </c>
    </row>
    <row r="74" spans="1:10" x14ac:dyDescent="0.25">
      <c r="A74">
        <v>12</v>
      </c>
      <c r="B74">
        <f>SUMIFS('Draft Board'!$BR$2:$BR$71,'Draft Board'!$BO$2:$BO$71,A74,'Draft Board'!$BR$2:$BR$71,"&lt;&gt;")</f>
        <v>0</v>
      </c>
      <c r="C74">
        <f>SUMIFS('Draft Board'!$BQ$2:$BQ$71,'Draft Board'!$BO$2:$BO$71,A74,'Draft Board'!$BR$2:$BR$71,"&lt;&gt;")</f>
        <v>0</v>
      </c>
      <c r="D74">
        <f t="shared" si="3"/>
        <v>1</v>
      </c>
    </row>
    <row r="76" spans="1:10" x14ac:dyDescent="0.25">
      <c r="A76" s="2" t="s">
        <v>508</v>
      </c>
    </row>
    <row r="77" spans="1:10" x14ac:dyDescent="0.25">
      <c r="A77" s="2" t="s">
        <v>509</v>
      </c>
      <c r="B77" s="2" t="s">
        <v>510</v>
      </c>
      <c r="C77" s="2" t="s">
        <v>511</v>
      </c>
      <c r="D77" s="2" t="s">
        <v>512</v>
      </c>
      <c r="E77" s="2" t="s">
        <v>513</v>
      </c>
      <c r="F77" s="2" t="s">
        <v>514</v>
      </c>
      <c r="G77" s="2" t="s">
        <v>515</v>
      </c>
      <c r="H77" s="2" t="s">
        <v>516</v>
      </c>
      <c r="I77" s="2" t="s">
        <v>517</v>
      </c>
      <c r="J77" s="2" t="s">
        <v>518</v>
      </c>
    </row>
    <row r="78" spans="1:10" x14ac:dyDescent="0.25">
      <c r="A78">
        <f>B5</f>
        <v>2220</v>
      </c>
      <c r="B78">
        <f>C9+C10+C11+C12</f>
        <v>16298.615099999999</v>
      </c>
      <c r="C78">
        <f>IFERROR(A78/B78,0)</f>
        <v>0.13620789167540989</v>
      </c>
      <c r="D78">
        <f>SUM('Draft Board'!$P$2:$P$56)+SUM('Draft Board'!$AH$2:$AH$141)+SUM('Draft Board'!$AZ$2:$AZ$166)+SUM('Draft Board'!$BR$2:$BR$71)</f>
        <v>0</v>
      </c>
      <c r="E78">
        <f>COUNT('Draft Board'!$P$2:$P$56)+COUNT('Draft Board'!$AH$2:$AH$141)+COUNT('Draft Board'!$AZ$2:$AZ$166)+COUNT('Draft Board'!$BR$2:$BR$71)</f>
        <v>0</v>
      </c>
      <c r="F78">
        <f>SUMIFS('Draft Board'!$N$2:$N$56,'Draft Board'!$P$2:$P$56,"&lt;&gt;")+SUMIFS('Draft Board'!$AF$2:$AF$141,'Draft Board'!$AH$2:$AH$141,"&lt;&gt;")+SUMIFS('Draft Board'!$AX$2:$AX$166,'Draft Board'!$AZ$2:$AZ$166,"&lt;&gt;")+SUMIFS('Draft Board'!$BP$2:$BP$71,'Draft Board'!$BR$2:$BR$71,"&lt;&gt;")</f>
        <v>0</v>
      </c>
      <c r="G78">
        <f>A78-(D78-E78)</f>
        <v>2220</v>
      </c>
      <c r="H78">
        <f>B78-F78</f>
        <v>16298.615099999999</v>
      </c>
      <c r="I78">
        <f>IFERROR(G78/H78,0)</f>
        <v>0.13620789167540989</v>
      </c>
      <c r="J78">
        <f>IFERROR(I78/C78,1)</f>
        <v>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6"/>
  <sheetViews>
    <sheetView workbookViewId="0"/>
  </sheetViews>
  <sheetFormatPr defaultRowHeight="15" x14ac:dyDescent="0.25"/>
  <cols>
    <col min="1" max="1" width="20" customWidth="1"/>
    <col min="2" max="2" width="26" customWidth="1"/>
    <col min="3" max="3" width="15" customWidth="1"/>
  </cols>
  <sheetData>
    <row r="1" spans="1:3" x14ac:dyDescent="0.25">
      <c r="A1" s="2" t="s">
        <v>519</v>
      </c>
      <c r="B1" s="2" t="s">
        <v>6</v>
      </c>
      <c r="C1" s="2" t="s">
        <v>21</v>
      </c>
    </row>
    <row r="2" spans="1:3" x14ac:dyDescent="0.25">
      <c r="A2" s="4" t="s">
        <v>496</v>
      </c>
    </row>
    <row r="3" spans="1:3" x14ac:dyDescent="0.25">
      <c r="A3" s="5" t="s">
        <v>497</v>
      </c>
    </row>
    <row r="4" spans="1:3" x14ac:dyDescent="0.25">
      <c r="A4" s="5" t="s">
        <v>497</v>
      </c>
    </row>
    <row r="5" spans="1:3" x14ac:dyDescent="0.25">
      <c r="A5" s="6" t="s">
        <v>498</v>
      </c>
    </row>
    <row r="6" spans="1:3" x14ac:dyDescent="0.25">
      <c r="A6" s="6" t="s">
        <v>498</v>
      </c>
    </row>
    <row r="7" spans="1:3" x14ac:dyDescent="0.25">
      <c r="A7" s="7" t="s">
        <v>499</v>
      </c>
    </row>
    <row r="8" spans="1:3" x14ac:dyDescent="0.25">
      <c r="A8" t="s">
        <v>520</v>
      </c>
    </row>
    <row r="9" spans="1:3" x14ac:dyDescent="0.25">
      <c r="A9" t="s">
        <v>521</v>
      </c>
    </row>
    <row r="10" spans="1:3" x14ac:dyDescent="0.25">
      <c r="A10" t="s">
        <v>522</v>
      </c>
    </row>
    <row r="11" spans="1:3" x14ac:dyDescent="0.25">
      <c r="A11" t="s">
        <v>523</v>
      </c>
    </row>
    <row r="12" spans="1:3" x14ac:dyDescent="0.25">
      <c r="A12" t="s">
        <v>523</v>
      </c>
    </row>
    <row r="13" spans="1:3" x14ac:dyDescent="0.25">
      <c r="A13" t="s">
        <v>523</v>
      </c>
    </row>
    <row r="14" spans="1:3" x14ac:dyDescent="0.25">
      <c r="A14" t="s">
        <v>523</v>
      </c>
    </row>
    <row r="15" spans="1:3" x14ac:dyDescent="0.25">
      <c r="A15" t="s">
        <v>523</v>
      </c>
    </row>
    <row r="16" spans="1:3" x14ac:dyDescent="0.25">
      <c r="A16" t="s">
        <v>523</v>
      </c>
    </row>
    <row r="19" spans="1:2" x14ac:dyDescent="0.25">
      <c r="A19" s="2" t="s">
        <v>524</v>
      </c>
      <c r="B19">
        <f>Setup!$B$3</f>
        <v>200</v>
      </c>
    </row>
    <row r="20" spans="1:2" x14ac:dyDescent="0.25">
      <c r="A20" s="2" t="s">
        <v>525</v>
      </c>
      <c r="B20">
        <v>15</v>
      </c>
    </row>
    <row r="21" spans="1:2" x14ac:dyDescent="0.25">
      <c r="A21" s="2" t="s">
        <v>526</v>
      </c>
      <c r="B21">
        <f>COUNT(C2:C16)</f>
        <v>0</v>
      </c>
    </row>
    <row r="22" spans="1:2" x14ac:dyDescent="0.25">
      <c r="A22" s="2" t="s">
        <v>527</v>
      </c>
      <c r="B22">
        <f>B20-B21</f>
        <v>15</v>
      </c>
    </row>
    <row r="23" spans="1:2" x14ac:dyDescent="0.25">
      <c r="A23" s="2" t="s">
        <v>528</v>
      </c>
      <c r="B23">
        <f>SUM(C2:C16)</f>
        <v>0</v>
      </c>
    </row>
    <row r="24" spans="1:2" x14ac:dyDescent="0.25">
      <c r="A24" s="2" t="s">
        <v>529</v>
      </c>
      <c r="B24">
        <f>B19-B23</f>
        <v>200</v>
      </c>
    </row>
    <row r="25" spans="1:2" x14ac:dyDescent="0.25">
      <c r="A25" s="2" t="s">
        <v>530</v>
      </c>
      <c r="B25">
        <f>IF(B22&gt;0,B24-(B22-1)*1,"Roster full")</f>
        <v>186</v>
      </c>
    </row>
    <row r="26" spans="1:2" x14ac:dyDescent="0.25">
      <c r="A26" s="2" t="s">
        <v>531</v>
      </c>
      <c r="B26">
        <f>IFERROR(B24/B22,"Roster full")</f>
        <v>13.333333333333334</v>
      </c>
    </row>
  </sheetData>
  <dataValidations count="1">
    <dataValidation type="whole" allowBlank="1" showErrorMessage="1" errorTitle="Invalid price" error="Enter a whole-dollar amount (0-400)." sqref="C2:C16" xr:uid="{00000000-0002-0000-0300-000000000000}">
      <formula1>0</formula1>
      <formula2>400</formula2>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Setup</vt:lpstr>
      <vt:lpstr>Draft Board</vt:lpstr>
      <vt:lpstr>Live Calc</vt:lpstr>
      <vt:lpstr>My Team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Joe Bond</cp:lastModifiedBy>
  <dcterms:created xsi:type="dcterms:W3CDTF">2026-07-15T14:58:17Z</dcterms:created>
  <dcterms:modified xsi:type="dcterms:W3CDTF">2026-07-15T15:00:26Z</dcterms:modified>
</cp:coreProperties>
</file>