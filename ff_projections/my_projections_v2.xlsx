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0998ace04e2b563/Documents/FF_ADP/ff_projections/"/>
    </mc:Choice>
  </mc:AlternateContent>
  <xr:revisionPtr revIDLastSave="6" documentId="11_4AF8BED15738979DD605062FDAEFE34B57197646" xr6:coauthVersionLast="47" xr6:coauthVersionMax="47" xr10:uidLastSave="{80F7DB2D-4971-4DAA-943F-473708CFFFC6}"/>
  <bookViews>
    <workbookView xWindow="-120" yWindow="-120" windowWidth="29040" windowHeight="15720" activeTab="1" xr2:uid="{00000000-000D-0000-FFFF-FFFF00000000}"/>
  </bookViews>
  <sheets>
    <sheet name="Start Here" sheetId="1" r:id="rId1"/>
    <sheet name="ARI" sheetId="2" r:id="rId2"/>
    <sheet name="ATL" sheetId="3" r:id="rId3"/>
    <sheet name="BAL" sheetId="4" r:id="rId4"/>
    <sheet name="BUF" sheetId="5" r:id="rId5"/>
    <sheet name="CAR" sheetId="6" r:id="rId6"/>
    <sheet name="CHI" sheetId="7" r:id="rId7"/>
    <sheet name="CIN" sheetId="8" r:id="rId8"/>
    <sheet name="CLE" sheetId="9" r:id="rId9"/>
    <sheet name="DAL" sheetId="10" r:id="rId10"/>
    <sheet name="DEN" sheetId="11" r:id="rId11"/>
    <sheet name="DET" sheetId="12" r:id="rId12"/>
    <sheet name="GB" sheetId="13" r:id="rId13"/>
    <sheet name="HOU" sheetId="14" r:id="rId14"/>
    <sheet name="IND" sheetId="15" r:id="rId15"/>
    <sheet name="JAC" sheetId="16" r:id="rId16"/>
    <sheet name="KC" sheetId="17" r:id="rId17"/>
    <sheet name="LAC" sheetId="18" r:id="rId18"/>
    <sheet name="LAR" sheetId="19" r:id="rId19"/>
    <sheet name="LV" sheetId="20" r:id="rId20"/>
    <sheet name="MIA" sheetId="21" r:id="rId21"/>
    <sheet name="MIN" sheetId="22" r:id="rId22"/>
    <sheet name="NE" sheetId="23" r:id="rId23"/>
    <sheet name="NO" sheetId="24" r:id="rId24"/>
    <sheet name="NYG" sheetId="25" r:id="rId25"/>
    <sheet name="NYJ" sheetId="26" r:id="rId26"/>
    <sheet name="PHI" sheetId="27" r:id="rId27"/>
    <sheet name="PIT" sheetId="28" r:id="rId28"/>
    <sheet name="SEA" sheetId="29" r:id="rId29"/>
    <sheet name="SF" sheetId="30" r:id="rId30"/>
    <sheet name="TB" sheetId="31" r:id="rId31"/>
    <sheet name="TEN" sheetId="32" r:id="rId32"/>
    <sheet name="WAS" sheetId="33" r:id="rId33"/>
    <sheet name="Settings" sheetId="34" r:id="rId34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8" i="33" l="1"/>
  <c r="AF38" i="33"/>
  <c r="AC38" i="33"/>
  <c r="AB38" i="33"/>
  <c r="Z38" i="33"/>
  <c r="Y38" i="33"/>
  <c r="X38" i="33"/>
  <c r="AG37" i="33"/>
  <c r="AG39" i="33" s="1"/>
  <c r="AF37" i="33"/>
  <c r="AF39" i="33" s="1"/>
  <c r="AE37" i="33"/>
  <c r="AD37" i="33"/>
  <c r="AC37" i="33"/>
  <c r="AC39" i="33" s="1"/>
  <c r="AB37" i="33"/>
  <c r="AB39" i="33" s="1"/>
  <c r="AA37" i="33"/>
  <c r="Z37" i="33"/>
  <c r="Z39" i="33" s="1"/>
  <c r="Y37" i="33"/>
  <c r="Y39" i="33" s="1"/>
  <c r="X37" i="33"/>
  <c r="X39" i="33" s="1"/>
  <c r="W37" i="33"/>
  <c r="V37" i="33"/>
  <c r="U37" i="33"/>
  <c r="AU35" i="33"/>
  <c r="AT35" i="33"/>
  <c r="AS35" i="33"/>
  <c r="AR35" i="33"/>
  <c r="AQ35" i="33"/>
  <c r="AM35" i="33"/>
  <c r="AL35" i="33"/>
  <c r="AK35" i="33"/>
  <c r="AJ35" i="33"/>
  <c r="AI35" i="33"/>
  <c r="AU34" i="33"/>
  <c r="AT34" i="33"/>
  <c r="AS34" i="33"/>
  <c r="AR34" i="33"/>
  <c r="AQ34" i="33"/>
  <c r="AO34" i="33"/>
  <c r="AM34" i="33"/>
  <c r="AL34" i="33"/>
  <c r="AK34" i="33"/>
  <c r="AJ34" i="33"/>
  <c r="AI34" i="33"/>
  <c r="AU33" i="33"/>
  <c r="AT33" i="33"/>
  <c r="AS33" i="33"/>
  <c r="AR33" i="33"/>
  <c r="AQ33" i="33"/>
  <c r="AM33" i="33"/>
  <c r="AL33" i="33"/>
  <c r="AK33" i="33"/>
  <c r="AJ33" i="33"/>
  <c r="AI33" i="33"/>
  <c r="AU32" i="33"/>
  <c r="AT32" i="33"/>
  <c r="AS32" i="33"/>
  <c r="AR32" i="33"/>
  <c r="AQ32" i="33"/>
  <c r="AP32" i="33"/>
  <c r="AN32" i="33"/>
  <c r="AM32" i="33"/>
  <c r="AL32" i="33"/>
  <c r="AK32" i="33"/>
  <c r="AJ32" i="33"/>
  <c r="AI32" i="33"/>
  <c r="AU31" i="33"/>
  <c r="AT31" i="33"/>
  <c r="AS31" i="33"/>
  <c r="AR31" i="33"/>
  <c r="AQ31" i="33"/>
  <c r="AN31" i="33"/>
  <c r="AM31" i="33"/>
  <c r="AL31" i="33"/>
  <c r="AK31" i="33"/>
  <c r="AJ31" i="33"/>
  <c r="AI31" i="33"/>
  <c r="AU30" i="33"/>
  <c r="AT30" i="33"/>
  <c r="AS30" i="33"/>
  <c r="AR30" i="33"/>
  <c r="AQ30" i="33"/>
  <c r="AP30" i="33"/>
  <c r="AM30" i="33"/>
  <c r="AL30" i="33"/>
  <c r="AK30" i="33"/>
  <c r="AJ30" i="33"/>
  <c r="AI30" i="33"/>
  <c r="AU29" i="33"/>
  <c r="AT29" i="33"/>
  <c r="AS29" i="33"/>
  <c r="AR29" i="33"/>
  <c r="AQ29" i="33"/>
  <c r="AP29" i="33"/>
  <c r="AM29" i="33"/>
  <c r="AL29" i="33"/>
  <c r="AK29" i="33"/>
  <c r="AJ29" i="33"/>
  <c r="AI29" i="33"/>
  <c r="AU28" i="33"/>
  <c r="AT28" i="33"/>
  <c r="AS28" i="33"/>
  <c r="AR28" i="33"/>
  <c r="AQ28" i="33"/>
  <c r="AP28" i="33"/>
  <c r="AM28" i="33"/>
  <c r="AL28" i="33"/>
  <c r="AK28" i="33"/>
  <c r="AJ28" i="33"/>
  <c r="AI28" i="33"/>
  <c r="AU27" i="33"/>
  <c r="AT27" i="33"/>
  <c r="AS27" i="33"/>
  <c r="AR27" i="33"/>
  <c r="AQ27" i="33"/>
  <c r="AO27" i="33"/>
  <c r="AM27" i="33"/>
  <c r="AL27" i="33"/>
  <c r="AK27" i="33"/>
  <c r="AJ27" i="33"/>
  <c r="AI27" i="33"/>
  <c r="AU26" i="33"/>
  <c r="AT26" i="33"/>
  <c r="AS26" i="33"/>
  <c r="AR26" i="33"/>
  <c r="AQ26" i="33"/>
  <c r="AN26" i="33"/>
  <c r="AM26" i="33"/>
  <c r="AL26" i="33"/>
  <c r="AK26" i="33"/>
  <c r="AJ26" i="33"/>
  <c r="AI26" i="33"/>
  <c r="AU25" i="33"/>
  <c r="AT25" i="33"/>
  <c r="AS25" i="33"/>
  <c r="AR25" i="33"/>
  <c r="AQ25" i="33"/>
  <c r="AM25" i="33"/>
  <c r="AL25" i="33"/>
  <c r="AK25" i="33"/>
  <c r="AJ25" i="33"/>
  <c r="AI25" i="33"/>
  <c r="AU24" i="33"/>
  <c r="AT24" i="33"/>
  <c r="AS24" i="33"/>
  <c r="AR24" i="33"/>
  <c r="AQ24" i="33"/>
  <c r="AN24" i="33"/>
  <c r="AM24" i="33"/>
  <c r="AL24" i="33"/>
  <c r="AK24" i="33"/>
  <c r="AJ24" i="33"/>
  <c r="AI24" i="33"/>
  <c r="AU23" i="33"/>
  <c r="AT23" i="33"/>
  <c r="AS23" i="33"/>
  <c r="AR23" i="33"/>
  <c r="AQ23" i="33"/>
  <c r="AN23" i="33"/>
  <c r="AM23" i="33"/>
  <c r="AL23" i="33"/>
  <c r="AK23" i="33"/>
  <c r="AJ23" i="33"/>
  <c r="AI23" i="33"/>
  <c r="AU22" i="33"/>
  <c r="AT22" i="33"/>
  <c r="AS22" i="33"/>
  <c r="AR22" i="33"/>
  <c r="AQ22" i="33"/>
  <c r="AP22" i="33"/>
  <c r="AN22" i="33"/>
  <c r="AM22" i="33"/>
  <c r="AL22" i="33"/>
  <c r="AK22" i="33"/>
  <c r="AJ22" i="33"/>
  <c r="AI22" i="33"/>
  <c r="AU21" i="33"/>
  <c r="AT21" i="33"/>
  <c r="AS21" i="33"/>
  <c r="AR21" i="33"/>
  <c r="AQ21" i="33"/>
  <c r="AP21" i="33"/>
  <c r="AO21" i="33"/>
  <c r="AM21" i="33"/>
  <c r="AL21" i="33"/>
  <c r="AK21" i="33"/>
  <c r="AJ21" i="33"/>
  <c r="AI21" i="33"/>
  <c r="AU20" i="33"/>
  <c r="AT20" i="33"/>
  <c r="AS20" i="33"/>
  <c r="AR20" i="33"/>
  <c r="AQ20" i="33"/>
  <c r="AM20" i="33"/>
  <c r="AL20" i="33"/>
  <c r="AK20" i="33"/>
  <c r="AJ20" i="33"/>
  <c r="AI20" i="33"/>
  <c r="AU19" i="33"/>
  <c r="AT19" i="33"/>
  <c r="AS19" i="33"/>
  <c r="AR19" i="33"/>
  <c r="AQ19" i="33"/>
  <c r="AM19" i="33"/>
  <c r="AL19" i="33"/>
  <c r="AK19" i="33"/>
  <c r="AJ19" i="33"/>
  <c r="AI19" i="33"/>
  <c r="AU18" i="33"/>
  <c r="AT18" i="33"/>
  <c r="AS18" i="33"/>
  <c r="AR18" i="33"/>
  <c r="AQ18" i="33"/>
  <c r="AO18" i="33"/>
  <c r="AM18" i="33"/>
  <c r="AL18" i="33"/>
  <c r="AK18" i="33"/>
  <c r="AJ18" i="33"/>
  <c r="AI18" i="33"/>
  <c r="AU17" i="33"/>
  <c r="AT17" i="33"/>
  <c r="AS17" i="33"/>
  <c r="AR17" i="33"/>
  <c r="AQ17" i="33"/>
  <c r="AM17" i="33"/>
  <c r="AL17" i="33"/>
  <c r="AK17" i="33"/>
  <c r="AJ17" i="33"/>
  <c r="AI17" i="33"/>
  <c r="AU16" i="33"/>
  <c r="AT16" i="33"/>
  <c r="AS16" i="33"/>
  <c r="AR16" i="33"/>
  <c r="AQ16" i="33"/>
  <c r="AP16" i="33"/>
  <c r="AN16" i="33"/>
  <c r="AM16" i="33"/>
  <c r="AL16" i="33"/>
  <c r="AK16" i="33"/>
  <c r="AJ16" i="33"/>
  <c r="AI16" i="33"/>
  <c r="AU15" i="33"/>
  <c r="AT15" i="33"/>
  <c r="AS15" i="33"/>
  <c r="AR15" i="33"/>
  <c r="AQ15" i="33"/>
  <c r="AN15" i="33"/>
  <c r="AM15" i="33"/>
  <c r="AL15" i="33"/>
  <c r="AK15" i="33"/>
  <c r="AJ15" i="33"/>
  <c r="AI15" i="33"/>
  <c r="AU14" i="33"/>
  <c r="AT14" i="33"/>
  <c r="AS14" i="33"/>
  <c r="AR14" i="33"/>
  <c r="AQ14" i="33"/>
  <c r="AP14" i="33"/>
  <c r="AM14" i="33"/>
  <c r="AL14" i="33"/>
  <c r="AK14" i="33"/>
  <c r="AJ14" i="33"/>
  <c r="AI14" i="33"/>
  <c r="AU13" i="33"/>
  <c r="AT13" i="33"/>
  <c r="AS13" i="33"/>
  <c r="AR13" i="33"/>
  <c r="AQ13" i="33"/>
  <c r="AP13" i="33"/>
  <c r="AM13" i="33"/>
  <c r="AL13" i="33"/>
  <c r="AK13" i="33"/>
  <c r="AJ13" i="33"/>
  <c r="AI13" i="33"/>
  <c r="AU12" i="33"/>
  <c r="AT12" i="33"/>
  <c r="AS12" i="33"/>
  <c r="AR12" i="33"/>
  <c r="AQ12" i="33"/>
  <c r="AP12" i="33"/>
  <c r="AM12" i="33"/>
  <c r="AL12" i="33"/>
  <c r="AK12" i="33"/>
  <c r="AJ12" i="33"/>
  <c r="AI12" i="33"/>
  <c r="AU11" i="33"/>
  <c r="AT11" i="33"/>
  <c r="AS11" i="33"/>
  <c r="AR11" i="33"/>
  <c r="AQ11" i="33"/>
  <c r="AO11" i="33"/>
  <c r="AM11" i="33"/>
  <c r="AL11" i="33"/>
  <c r="AK11" i="33"/>
  <c r="AJ11" i="33"/>
  <c r="AI11" i="33"/>
  <c r="H5" i="33"/>
  <c r="AN27" i="33" s="1"/>
  <c r="G5" i="33"/>
  <c r="AO22" i="33" s="1"/>
  <c r="F5" i="33"/>
  <c r="AP33" i="33" s="1"/>
  <c r="D5" i="33"/>
  <c r="AG39" i="32"/>
  <c r="AC39" i="32"/>
  <c r="AB39" i="32"/>
  <c r="Y39" i="32"/>
  <c r="AG38" i="32"/>
  <c r="AF38" i="32"/>
  <c r="AC38" i="32"/>
  <c r="AB38" i="32"/>
  <c r="Z38" i="32"/>
  <c r="Y38" i="32"/>
  <c r="X38" i="32"/>
  <c r="V38" i="32"/>
  <c r="AG37" i="32"/>
  <c r="AF37" i="32"/>
  <c r="AF39" i="32" s="1"/>
  <c r="AE37" i="32"/>
  <c r="AD37" i="32"/>
  <c r="AC37" i="32"/>
  <c r="AB37" i="32"/>
  <c r="AA37" i="32"/>
  <c r="Z37" i="32"/>
  <c r="Z39" i="32" s="1"/>
  <c r="Y37" i="32"/>
  <c r="X37" i="32"/>
  <c r="X39" i="32" s="1"/>
  <c r="W37" i="32"/>
  <c r="V37" i="32"/>
  <c r="U37" i="32"/>
  <c r="AU35" i="32"/>
  <c r="AT35" i="32"/>
  <c r="AS35" i="32"/>
  <c r="AR35" i="32"/>
  <c r="AQ35" i="32"/>
  <c r="AM35" i="32"/>
  <c r="AL35" i="32"/>
  <c r="AK35" i="32"/>
  <c r="AJ35" i="32"/>
  <c r="AI35" i="32"/>
  <c r="AU34" i="32"/>
  <c r="AT34" i="32"/>
  <c r="AS34" i="32"/>
  <c r="AR34" i="32"/>
  <c r="AQ34" i="32"/>
  <c r="AP34" i="32"/>
  <c r="AM34" i="32"/>
  <c r="AL34" i="32"/>
  <c r="AK34" i="32"/>
  <c r="AJ34" i="32"/>
  <c r="AI34" i="32"/>
  <c r="AU33" i="32"/>
  <c r="AT33" i="32"/>
  <c r="AS33" i="32"/>
  <c r="AR33" i="32"/>
  <c r="AQ33" i="32"/>
  <c r="AP33" i="32"/>
  <c r="AM33" i="32"/>
  <c r="AL33" i="32"/>
  <c r="AK33" i="32"/>
  <c r="AJ33" i="32"/>
  <c r="AI33" i="32"/>
  <c r="AU32" i="32"/>
  <c r="AT32" i="32"/>
  <c r="AS32" i="32"/>
  <c r="AR32" i="32"/>
  <c r="AQ32" i="32"/>
  <c r="AP32" i="32"/>
  <c r="AM32" i="32"/>
  <c r="AL32" i="32"/>
  <c r="AK32" i="32"/>
  <c r="AJ32" i="32"/>
  <c r="AI32" i="32"/>
  <c r="AU31" i="32"/>
  <c r="AT31" i="32"/>
  <c r="AS31" i="32"/>
  <c r="AR31" i="32"/>
  <c r="AQ31" i="32"/>
  <c r="AP31" i="32"/>
  <c r="AM31" i="32"/>
  <c r="AL31" i="32"/>
  <c r="AK31" i="32"/>
  <c r="AJ31" i="32"/>
  <c r="AI31" i="32"/>
  <c r="AU30" i="32"/>
  <c r="AT30" i="32"/>
  <c r="AS30" i="32"/>
  <c r="AR30" i="32"/>
  <c r="AQ30" i="32"/>
  <c r="AP30" i="32"/>
  <c r="AM30" i="32"/>
  <c r="AL30" i="32"/>
  <c r="AK30" i="32"/>
  <c r="AJ30" i="32"/>
  <c r="AI30" i="32"/>
  <c r="AU29" i="32"/>
  <c r="AT29" i="32"/>
  <c r="AS29" i="32"/>
  <c r="AR29" i="32"/>
  <c r="AQ29" i="32"/>
  <c r="AO29" i="32"/>
  <c r="AM29" i="32"/>
  <c r="AL29" i="32"/>
  <c r="AK29" i="32"/>
  <c r="AJ29" i="32"/>
  <c r="AI29" i="32"/>
  <c r="AU28" i="32"/>
  <c r="AT28" i="32"/>
  <c r="AS28" i="32"/>
  <c r="AR28" i="32"/>
  <c r="AQ28" i="32"/>
  <c r="AP28" i="32"/>
  <c r="AM28" i="32"/>
  <c r="AL28" i="32"/>
  <c r="AK28" i="32"/>
  <c r="AJ28" i="32"/>
  <c r="AI28" i="32"/>
  <c r="AU27" i="32"/>
  <c r="AT27" i="32"/>
  <c r="AS27" i="32"/>
  <c r="AR27" i="32"/>
  <c r="AQ27" i="32"/>
  <c r="AP27" i="32"/>
  <c r="AM27" i="32"/>
  <c r="AL27" i="32"/>
  <c r="AK27" i="32"/>
  <c r="AJ27" i="32"/>
  <c r="AI27" i="32"/>
  <c r="AU26" i="32"/>
  <c r="AT26" i="32"/>
  <c r="AS26" i="32"/>
  <c r="AR26" i="32"/>
  <c r="AQ26" i="32"/>
  <c r="AP26" i="32"/>
  <c r="AM26" i="32"/>
  <c r="AL26" i="32"/>
  <c r="AK26" i="32"/>
  <c r="AJ26" i="32"/>
  <c r="AI26" i="32"/>
  <c r="AU25" i="32"/>
  <c r="AT25" i="32"/>
  <c r="AS25" i="32"/>
  <c r="AR25" i="32"/>
  <c r="AQ25" i="32"/>
  <c r="AM25" i="32"/>
  <c r="AL25" i="32"/>
  <c r="AK25" i="32"/>
  <c r="AJ25" i="32"/>
  <c r="AI25" i="32"/>
  <c r="AU24" i="32"/>
  <c r="AT24" i="32"/>
  <c r="AS24" i="32"/>
  <c r="AR24" i="32"/>
  <c r="AQ24" i="32"/>
  <c r="AP24" i="32"/>
  <c r="AM24" i="32"/>
  <c r="AL24" i="32"/>
  <c r="AK24" i="32"/>
  <c r="AJ24" i="32"/>
  <c r="AI24" i="32"/>
  <c r="AU23" i="32"/>
  <c r="AT23" i="32"/>
  <c r="AS23" i="32"/>
  <c r="AR23" i="32"/>
  <c r="AQ23" i="32"/>
  <c r="AP23" i="32"/>
  <c r="AO23" i="32"/>
  <c r="AM23" i="32"/>
  <c r="AL23" i="32"/>
  <c r="AK23" i="32"/>
  <c r="AJ23" i="32"/>
  <c r="AI23" i="32"/>
  <c r="AU22" i="32"/>
  <c r="AT22" i="32"/>
  <c r="AS22" i="32"/>
  <c r="AR22" i="32"/>
  <c r="AQ22" i="32"/>
  <c r="AP22" i="32"/>
  <c r="AM22" i="32"/>
  <c r="AL22" i="32"/>
  <c r="AK22" i="32"/>
  <c r="AJ22" i="32"/>
  <c r="AI22" i="32"/>
  <c r="AU21" i="32"/>
  <c r="AT21" i="32"/>
  <c r="AS21" i="32"/>
  <c r="AR21" i="32"/>
  <c r="AQ21" i="32"/>
  <c r="AP21" i="32"/>
  <c r="AM21" i="32"/>
  <c r="AL21" i="32"/>
  <c r="AK21" i="32"/>
  <c r="AJ21" i="32"/>
  <c r="AI21" i="32"/>
  <c r="AU20" i="32"/>
  <c r="AT20" i="32"/>
  <c r="AS20" i="32"/>
  <c r="AR20" i="32"/>
  <c r="AQ20" i="32"/>
  <c r="AO20" i="32"/>
  <c r="AM20" i="32"/>
  <c r="AL20" i="32"/>
  <c r="AK20" i="32"/>
  <c r="AJ20" i="32"/>
  <c r="AI20" i="32"/>
  <c r="AU19" i="32"/>
  <c r="AT19" i="32"/>
  <c r="AS19" i="32"/>
  <c r="AR19" i="32"/>
  <c r="AQ19" i="32"/>
  <c r="AM19" i="32"/>
  <c r="AL19" i="32"/>
  <c r="AK19" i="32"/>
  <c r="AJ19" i="32"/>
  <c r="AI19" i="32"/>
  <c r="AU18" i="32"/>
  <c r="AT18" i="32"/>
  <c r="AS18" i="32"/>
  <c r="AR18" i="32"/>
  <c r="AQ18" i="32"/>
  <c r="AP18" i="32"/>
  <c r="AM18" i="32"/>
  <c r="AL18" i="32"/>
  <c r="AK18" i="32"/>
  <c r="AJ18" i="32"/>
  <c r="AI18" i="32"/>
  <c r="AU17" i="32"/>
  <c r="AT17" i="32"/>
  <c r="AS17" i="32"/>
  <c r="AR17" i="32"/>
  <c r="AQ17" i="32"/>
  <c r="AP17" i="32"/>
  <c r="AM17" i="32"/>
  <c r="AL17" i="32"/>
  <c r="AK17" i="32"/>
  <c r="AJ17" i="32"/>
  <c r="AI17" i="32"/>
  <c r="AU16" i="32"/>
  <c r="AT16" i="32"/>
  <c r="AS16" i="32"/>
  <c r="AR16" i="32"/>
  <c r="AQ16" i="32"/>
  <c r="AP16" i="32"/>
  <c r="AM16" i="32"/>
  <c r="AL16" i="32"/>
  <c r="AK16" i="32"/>
  <c r="AJ16" i="32"/>
  <c r="AI16" i="32"/>
  <c r="AU15" i="32"/>
  <c r="AT15" i="32"/>
  <c r="AS15" i="32"/>
  <c r="AR15" i="32"/>
  <c r="AQ15" i="32"/>
  <c r="AP15" i="32"/>
  <c r="AM15" i="32"/>
  <c r="AL15" i="32"/>
  <c r="AK15" i="32"/>
  <c r="AJ15" i="32"/>
  <c r="AI15" i="32"/>
  <c r="AU14" i="32"/>
  <c r="AT14" i="32"/>
  <c r="AS14" i="32"/>
  <c r="AR14" i="32"/>
  <c r="AQ14" i="32"/>
  <c r="AP14" i="32"/>
  <c r="AM14" i="32"/>
  <c r="AL14" i="32"/>
  <c r="AK14" i="32"/>
  <c r="AJ14" i="32"/>
  <c r="AI14" i="32"/>
  <c r="AU13" i="32"/>
  <c r="AT13" i="32"/>
  <c r="AS13" i="32"/>
  <c r="AR13" i="32"/>
  <c r="AQ13" i="32"/>
  <c r="AO13" i="32"/>
  <c r="AM13" i="32"/>
  <c r="AL13" i="32"/>
  <c r="AK13" i="32"/>
  <c r="AJ13" i="32"/>
  <c r="AI13" i="32"/>
  <c r="AU12" i="32"/>
  <c r="AT12" i="32"/>
  <c r="AS12" i="32"/>
  <c r="AR12" i="32"/>
  <c r="AQ12" i="32"/>
  <c r="AP12" i="32"/>
  <c r="AM12" i="32"/>
  <c r="AL12" i="32"/>
  <c r="AK12" i="32"/>
  <c r="AJ12" i="32"/>
  <c r="AI12" i="32"/>
  <c r="AU11" i="32"/>
  <c r="AT11" i="32"/>
  <c r="AS11" i="32"/>
  <c r="AR11" i="32"/>
  <c r="AQ11" i="32"/>
  <c r="AP11" i="32"/>
  <c r="AM11" i="32"/>
  <c r="AL11" i="32"/>
  <c r="AK11" i="32"/>
  <c r="AJ11" i="32"/>
  <c r="AI11" i="32"/>
  <c r="G5" i="32"/>
  <c r="AO24" i="32" s="1"/>
  <c r="F5" i="32"/>
  <c r="AP35" i="32" s="1"/>
  <c r="D5" i="32"/>
  <c r="AG39" i="31"/>
  <c r="AF39" i="31"/>
  <c r="AC39" i="31"/>
  <c r="Y39" i="31"/>
  <c r="AG38" i="31"/>
  <c r="AF38" i="31"/>
  <c r="AC38" i="31"/>
  <c r="AB38" i="31"/>
  <c r="Z38" i="31"/>
  <c r="Y38" i="31"/>
  <c r="X38" i="31"/>
  <c r="AG37" i="31"/>
  <c r="AF37" i="31"/>
  <c r="AE37" i="31"/>
  <c r="AD37" i="31"/>
  <c r="AC37" i="31"/>
  <c r="AB37" i="31"/>
  <c r="AB39" i="31" s="1"/>
  <c r="AA37" i="31"/>
  <c r="Z37" i="31"/>
  <c r="Z39" i="31" s="1"/>
  <c r="Y37" i="31"/>
  <c r="X37" i="31"/>
  <c r="X39" i="31" s="1"/>
  <c r="W37" i="31"/>
  <c r="V37" i="31"/>
  <c r="U37" i="31"/>
  <c r="AU35" i="31"/>
  <c r="AT35" i="31"/>
  <c r="AS35" i="31"/>
  <c r="AR35" i="31"/>
  <c r="AQ35" i="31"/>
  <c r="AM35" i="31"/>
  <c r="AL35" i="31"/>
  <c r="AK35" i="31"/>
  <c r="AJ35" i="31"/>
  <c r="AI35" i="31"/>
  <c r="AU34" i="31"/>
  <c r="AT34" i="31"/>
  <c r="AS34" i="31"/>
  <c r="AR34" i="31"/>
  <c r="AQ34" i="31"/>
  <c r="AM34" i="31"/>
  <c r="AL34" i="31"/>
  <c r="AK34" i="31"/>
  <c r="AJ34" i="31"/>
  <c r="AI34" i="31"/>
  <c r="AU33" i="31"/>
  <c r="AT33" i="31"/>
  <c r="AS33" i="31"/>
  <c r="AR33" i="31"/>
  <c r="AQ33" i="31"/>
  <c r="AM33" i="31"/>
  <c r="AL33" i="31"/>
  <c r="AK33" i="31"/>
  <c r="AJ33" i="31"/>
  <c r="AI33" i="31"/>
  <c r="AU32" i="31"/>
  <c r="AT32" i="31"/>
  <c r="AS32" i="31"/>
  <c r="AR32" i="31"/>
  <c r="AQ32" i="31"/>
  <c r="AM32" i="31"/>
  <c r="AL32" i="31"/>
  <c r="AK32" i="31"/>
  <c r="AJ32" i="31"/>
  <c r="AI32" i="31"/>
  <c r="AU31" i="31"/>
  <c r="AT31" i="31"/>
  <c r="AS31" i="31"/>
  <c r="AR31" i="31"/>
  <c r="AQ31" i="31"/>
  <c r="AM31" i="31"/>
  <c r="AL31" i="31"/>
  <c r="AK31" i="31"/>
  <c r="AJ31" i="31"/>
  <c r="AI31" i="31"/>
  <c r="AU30" i="31"/>
  <c r="AT30" i="31"/>
  <c r="AS30" i="31"/>
  <c r="AR30" i="31"/>
  <c r="AQ30" i="31"/>
  <c r="AM30" i="31"/>
  <c r="AL30" i="31"/>
  <c r="AK30" i="31"/>
  <c r="AJ30" i="31"/>
  <c r="AI30" i="31"/>
  <c r="AU29" i="31"/>
  <c r="AT29" i="31"/>
  <c r="AS29" i="31"/>
  <c r="AR29" i="31"/>
  <c r="AQ29" i="31"/>
  <c r="AM29" i="31"/>
  <c r="AL29" i="31"/>
  <c r="AK29" i="31"/>
  <c r="AJ29" i="31"/>
  <c r="AI29" i="31"/>
  <c r="AU28" i="31"/>
  <c r="AT28" i="31"/>
  <c r="AS28" i="31"/>
  <c r="AR28" i="31"/>
  <c r="AQ28" i="31"/>
  <c r="AM28" i="31"/>
  <c r="AL28" i="31"/>
  <c r="AK28" i="31"/>
  <c r="AJ28" i="31"/>
  <c r="AI28" i="31"/>
  <c r="AU27" i="31"/>
  <c r="AT27" i="31"/>
  <c r="AS27" i="31"/>
  <c r="AR27" i="31"/>
  <c r="AQ27" i="31"/>
  <c r="AM27" i="31"/>
  <c r="AL27" i="31"/>
  <c r="AK27" i="31"/>
  <c r="AJ27" i="31"/>
  <c r="AI27" i="31"/>
  <c r="AU26" i="31"/>
  <c r="AT26" i="31"/>
  <c r="AS26" i="31"/>
  <c r="AR26" i="31"/>
  <c r="AQ26" i="31"/>
  <c r="AM26" i="31"/>
  <c r="AL26" i="31"/>
  <c r="AK26" i="31"/>
  <c r="AJ26" i="31"/>
  <c r="AI26" i="31"/>
  <c r="AU25" i="31"/>
  <c r="AT25" i="31"/>
  <c r="AS25" i="31"/>
  <c r="AR25" i="31"/>
  <c r="AQ25" i="31"/>
  <c r="AM25" i="31"/>
  <c r="AL25" i="31"/>
  <c r="AK25" i="31"/>
  <c r="AJ25" i="31"/>
  <c r="AI25" i="31"/>
  <c r="AU24" i="31"/>
  <c r="AT24" i="31"/>
  <c r="AS24" i="31"/>
  <c r="AR24" i="31"/>
  <c r="AQ24" i="31"/>
  <c r="AM24" i="31"/>
  <c r="AL24" i="31"/>
  <c r="AK24" i="31"/>
  <c r="AJ24" i="31"/>
  <c r="AI24" i="31"/>
  <c r="AU23" i="31"/>
  <c r="AT23" i="31"/>
  <c r="AS23" i="31"/>
  <c r="AR23" i="31"/>
  <c r="AQ23" i="31"/>
  <c r="AM23" i="31"/>
  <c r="AL23" i="31"/>
  <c r="AK23" i="31"/>
  <c r="AJ23" i="31"/>
  <c r="AI23" i="31"/>
  <c r="AU22" i="31"/>
  <c r="AT22" i="31"/>
  <c r="AS22" i="31"/>
  <c r="AR22" i="31"/>
  <c r="AQ22" i="31"/>
  <c r="AM22" i="31"/>
  <c r="AL22" i="31"/>
  <c r="AK22" i="31"/>
  <c r="AJ22" i="31"/>
  <c r="AI22" i="31"/>
  <c r="AU21" i="31"/>
  <c r="AT21" i="31"/>
  <c r="AS21" i="31"/>
  <c r="AR21" i="31"/>
  <c r="AQ21" i="31"/>
  <c r="AM21" i="31"/>
  <c r="AL21" i="31"/>
  <c r="AK21" i="31"/>
  <c r="AJ21" i="31"/>
  <c r="AI21" i="31"/>
  <c r="AU20" i="31"/>
  <c r="AT20" i="31"/>
  <c r="AS20" i="31"/>
  <c r="AR20" i="31"/>
  <c r="AQ20" i="31"/>
  <c r="AM20" i="31"/>
  <c r="AL20" i="31"/>
  <c r="AK20" i="31"/>
  <c r="AJ20" i="31"/>
  <c r="AI20" i="31"/>
  <c r="AU19" i="31"/>
  <c r="AT19" i="31"/>
  <c r="AS19" i="31"/>
  <c r="AR19" i="31"/>
  <c r="AQ19" i="31"/>
  <c r="AM19" i="31"/>
  <c r="AL19" i="31"/>
  <c r="AK19" i="31"/>
  <c r="AJ19" i="31"/>
  <c r="AI19" i="31"/>
  <c r="AU18" i="31"/>
  <c r="AT18" i="31"/>
  <c r="AS18" i="31"/>
  <c r="AR18" i="31"/>
  <c r="AQ18" i="31"/>
  <c r="AM18" i="31"/>
  <c r="AL18" i="31"/>
  <c r="AK18" i="31"/>
  <c r="AJ18" i="31"/>
  <c r="AI18" i="31"/>
  <c r="AU17" i="31"/>
  <c r="AT17" i="31"/>
  <c r="AS17" i="31"/>
  <c r="AR17" i="31"/>
  <c r="AQ17" i="31"/>
  <c r="AM17" i="31"/>
  <c r="AL17" i="31"/>
  <c r="AK17" i="31"/>
  <c r="AJ17" i="31"/>
  <c r="AI17" i="31"/>
  <c r="AU16" i="31"/>
  <c r="AT16" i="31"/>
  <c r="AS16" i="31"/>
  <c r="AR16" i="31"/>
  <c r="AQ16" i="31"/>
  <c r="AM16" i="31"/>
  <c r="AL16" i="31"/>
  <c r="AK16" i="31"/>
  <c r="AJ16" i="31"/>
  <c r="AI16" i="31"/>
  <c r="AU15" i="31"/>
  <c r="AT15" i="31"/>
  <c r="AS15" i="31"/>
  <c r="AR15" i="31"/>
  <c r="AQ15" i="31"/>
  <c r="AM15" i="31"/>
  <c r="AL15" i="31"/>
  <c r="AK15" i="31"/>
  <c r="AJ15" i="31"/>
  <c r="AI15" i="31"/>
  <c r="AU14" i="31"/>
  <c r="AT14" i="31"/>
  <c r="AS14" i="31"/>
  <c r="AR14" i="31"/>
  <c r="AQ14" i="31"/>
  <c r="AM14" i="31"/>
  <c r="AL14" i="31"/>
  <c r="AK14" i="31"/>
  <c r="AJ14" i="31"/>
  <c r="AI14" i="31"/>
  <c r="AU13" i="31"/>
  <c r="AT13" i="31"/>
  <c r="AS13" i="31"/>
  <c r="AR13" i="31"/>
  <c r="AQ13" i="31"/>
  <c r="AM13" i="31"/>
  <c r="AL13" i="31"/>
  <c r="AK13" i="31"/>
  <c r="AJ13" i="31"/>
  <c r="AI13" i="31"/>
  <c r="AU12" i="31"/>
  <c r="AT12" i="31"/>
  <c r="AS12" i="31"/>
  <c r="AR12" i="31"/>
  <c r="AQ12" i="31"/>
  <c r="AM12" i="31"/>
  <c r="AL12" i="31"/>
  <c r="AK12" i="31"/>
  <c r="AJ12" i="31"/>
  <c r="AI12" i="31"/>
  <c r="AU11" i="31"/>
  <c r="AT11" i="31"/>
  <c r="AS11" i="31"/>
  <c r="AR11" i="31"/>
  <c r="AQ11" i="31"/>
  <c r="AM11" i="31"/>
  <c r="AL11" i="31"/>
  <c r="AK11" i="31"/>
  <c r="AJ11" i="31"/>
  <c r="AI11" i="31"/>
  <c r="D5" i="31"/>
  <c r="AF39" i="30"/>
  <c r="AC39" i="30"/>
  <c r="Z39" i="30"/>
  <c r="Y39" i="30"/>
  <c r="X39" i="30"/>
  <c r="AG38" i="30"/>
  <c r="AF38" i="30"/>
  <c r="AC38" i="30"/>
  <c r="AB38" i="30"/>
  <c r="Z38" i="30"/>
  <c r="Y38" i="30"/>
  <c r="X38" i="30"/>
  <c r="AG37" i="30"/>
  <c r="AG39" i="30" s="1"/>
  <c r="AF37" i="30"/>
  <c r="AE37" i="30"/>
  <c r="AD37" i="30"/>
  <c r="AC37" i="30"/>
  <c r="AB37" i="30"/>
  <c r="AB39" i="30" s="1"/>
  <c r="AA37" i="30"/>
  <c r="Z37" i="30"/>
  <c r="Y37" i="30"/>
  <c r="X37" i="30"/>
  <c r="W37" i="30"/>
  <c r="V37" i="30"/>
  <c r="U37" i="30"/>
  <c r="AU35" i="30"/>
  <c r="AT35" i="30"/>
  <c r="AS35" i="30"/>
  <c r="AR35" i="30"/>
  <c r="AQ35" i="30"/>
  <c r="AP35" i="30"/>
  <c r="AM35" i="30"/>
  <c r="AL35" i="30"/>
  <c r="AK35" i="30"/>
  <c r="AJ35" i="30"/>
  <c r="AI35" i="30"/>
  <c r="AU34" i="30"/>
  <c r="AT34" i="30"/>
  <c r="AS34" i="30"/>
  <c r="AR34" i="30"/>
  <c r="AQ34" i="30"/>
  <c r="AM34" i="30"/>
  <c r="AL34" i="30"/>
  <c r="AK34" i="30"/>
  <c r="AJ34" i="30"/>
  <c r="AI34" i="30"/>
  <c r="AU33" i="30"/>
  <c r="AT33" i="30"/>
  <c r="AS33" i="30"/>
  <c r="AR33" i="30"/>
  <c r="AQ33" i="30"/>
  <c r="AM33" i="30"/>
  <c r="AL33" i="30"/>
  <c r="AK33" i="30"/>
  <c r="AJ33" i="30"/>
  <c r="AI33" i="30"/>
  <c r="AU32" i="30"/>
  <c r="AT32" i="30"/>
  <c r="AS32" i="30"/>
  <c r="AR32" i="30"/>
  <c r="AQ32" i="30"/>
  <c r="AM32" i="30"/>
  <c r="AL32" i="30"/>
  <c r="AK32" i="30"/>
  <c r="AJ32" i="30"/>
  <c r="AI32" i="30"/>
  <c r="AU31" i="30"/>
  <c r="AT31" i="30"/>
  <c r="AS31" i="30"/>
  <c r="AR31" i="30"/>
  <c r="AQ31" i="30"/>
  <c r="AM31" i="30"/>
  <c r="AL31" i="30"/>
  <c r="AK31" i="30"/>
  <c r="AJ31" i="30"/>
  <c r="AI31" i="30"/>
  <c r="AU30" i="30"/>
  <c r="AT30" i="30"/>
  <c r="AS30" i="30"/>
  <c r="AR30" i="30"/>
  <c r="AQ30" i="30"/>
  <c r="AM30" i="30"/>
  <c r="AL30" i="30"/>
  <c r="AK30" i="30"/>
  <c r="AJ30" i="30"/>
  <c r="AI30" i="30"/>
  <c r="AU29" i="30"/>
  <c r="AT29" i="30"/>
  <c r="AS29" i="30"/>
  <c r="AR29" i="30"/>
  <c r="AQ29" i="30"/>
  <c r="AM29" i="30"/>
  <c r="AL29" i="30"/>
  <c r="AK29" i="30"/>
  <c r="AJ29" i="30"/>
  <c r="AI29" i="30"/>
  <c r="AU28" i="30"/>
  <c r="AT28" i="30"/>
  <c r="AS28" i="30"/>
  <c r="AR28" i="30"/>
  <c r="AQ28" i="30"/>
  <c r="AM28" i="30"/>
  <c r="AL28" i="30"/>
  <c r="AK28" i="30"/>
  <c r="AJ28" i="30"/>
  <c r="AI28" i="30"/>
  <c r="AU27" i="30"/>
  <c r="AT27" i="30"/>
  <c r="AS27" i="30"/>
  <c r="AR27" i="30"/>
  <c r="AQ27" i="30"/>
  <c r="AM27" i="30"/>
  <c r="AL27" i="30"/>
  <c r="AK27" i="30"/>
  <c r="AJ27" i="30"/>
  <c r="AI27" i="30"/>
  <c r="AU26" i="30"/>
  <c r="AT26" i="30"/>
  <c r="AS26" i="30"/>
  <c r="AR26" i="30"/>
  <c r="AQ26" i="30"/>
  <c r="AM26" i="30"/>
  <c r="AL26" i="30"/>
  <c r="AK26" i="30"/>
  <c r="AJ26" i="30"/>
  <c r="AI26" i="30"/>
  <c r="AU25" i="30"/>
  <c r="AT25" i="30"/>
  <c r="AS25" i="30"/>
  <c r="AR25" i="30"/>
  <c r="AQ25" i="30"/>
  <c r="AM25" i="30"/>
  <c r="AL25" i="30"/>
  <c r="AK25" i="30"/>
  <c r="AJ25" i="30"/>
  <c r="AI25" i="30"/>
  <c r="AU24" i="30"/>
  <c r="AT24" i="30"/>
  <c r="AS24" i="30"/>
  <c r="AR24" i="30"/>
  <c r="AQ24" i="30"/>
  <c r="AM24" i="30"/>
  <c r="AL24" i="30"/>
  <c r="AK24" i="30"/>
  <c r="AJ24" i="30"/>
  <c r="AI24" i="30"/>
  <c r="AU23" i="30"/>
  <c r="AT23" i="30"/>
  <c r="AS23" i="30"/>
  <c r="AR23" i="30"/>
  <c r="AQ23" i="30"/>
  <c r="AM23" i="30"/>
  <c r="AL23" i="30"/>
  <c r="AK23" i="30"/>
  <c r="AJ23" i="30"/>
  <c r="AI23" i="30"/>
  <c r="AU22" i="30"/>
  <c r="AT22" i="30"/>
  <c r="AS22" i="30"/>
  <c r="AR22" i="30"/>
  <c r="AQ22" i="30"/>
  <c r="AM22" i="30"/>
  <c r="AL22" i="30"/>
  <c r="AK22" i="30"/>
  <c r="AJ22" i="30"/>
  <c r="AI22" i="30"/>
  <c r="AU21" i="30"/>
  <c r="AT21" i="30"/>
  <c r="AS21" i="30"/>
  <c r="AR21" i="30"/>
  <c r="AQ21" i="30"/>
  <c r="AM21" i="30"/>
  <c r="AL21" i="30"/>
  <c r="AK21" i="30"/>
  <c r="AJ21" i="30"/>
  <c r="AI21" i="30"/>
  <c r="AU20" i="30"/>
  <c r="AT20" i="30"/>
  <c r="AS20" i="30"/>
  <c r="AR20" i="30"/>
  <c r="AQ20" i="30"/>
  <c r="AM20" i="30"/>
  <c r="AL20" i="30"/>
  <c r="AK20" i="30"/>
  <c r="AJ20" i="30"/>
  <c r="AI20" i="30"/>
  <c r="AU19" i="30"/>
  <c r="AT19" i="30"/>
  <c r="AS19" i="30"/>
  <c r="AR19" i="30"/>
  <c r="AQ19" i="30"/>
  <c r="AM19" i="30"/>
  <c r="AL19" i="30"/>
  <c r="AK19" i="30"/>
  <c r="AJ19" i="30"/>
  <c r="AI19" i="30"/>
  <c r="AU18" i="30"/>
  <c r="AT18" i="30"/>
  <c r="AS18" i="30"/>
  <c r="AR18" i="30"/>
  <c r="AQ18" i="30"/>
  <c r="AM18" i="30"/>
  <c r="AL18" i="30"/>
  <c r="AK18" i="30"/>
  <c r="AJ18" i="30"/>
  <c r="AI18" i="30"/>
  <c r="AU17" i="30"/>
  <c r="AT17" i="30"/>
  <c r="AS17" i="30"/>
  <c r="AR17" i="30"/>
  <c r="AQ17" i="30"/>
  <c r="AM17" i="30"/>
  <c r="AL17" i="30"/>
  <c r="AK17" i="30"/>
  <c r="AJ17" i="30"/>
  <c r="AI17" i="30"/>
  <c r="AU16" i="30"/>
  <c r="AT16" i="30"/>
  <c r="AS16" i="30"/>
  <c r="AR16" i="30"/>
  <c r="AQ16" i="30"/>
  <c r="AM16" i="30"/>
  <c r="AL16" i="30"/>
  <c r="AK16" i="30"/>
  <c r="AJ16" i="30"/>
  <c r="AI16" i="30"/>
  <c r="AU15" i="30"/>
  <c r="AT15" i="30"/>
  <c r="AS15" i="30"/>
  <c r="AR15" i="30"/>
  <c r="AQ15" i="30"/>
  <c r="AM15" i="30"/>
  <c r="AL15" i="30"/>
  <c r="AK15" i="30"/>
  <c r="AJ15" i="30"/>
  <c r="AI15" i="30"/>
  <c r="AU14" i="30"/>
  <c r="AT14" i="30"/>
  <c r="AS14" i="30"/>
  <c r="AR14" i="30"/>
  <c r="AQ14" i="30"/>
  <c r="AM14" i="30"/>
  <c r="AL14" i="30"/>
  <c r="AK14" i="30"/>
  <c r="AJ14" i="30"/>
  <c r="AI14" i="30"/>
  <c r="AU13" i="30"/>
  <c r="AT13" i="30"/>
  <c r="AS13" i="30"/>
  <c r="AR13" i="30"/>
  <c r="AQ13" i="30"/>
  <c r="AM13" i="30"/>
  <c r="AL13" i="30"/>
  <c r="AK13" i="30"/>
  <c r="AJ13" i="30"/>
  <c r="AI13" i="30"/>
  <c r="AU12" i="30"/>
  <c r="AT12" i="30"/>
  <c r="AS12" i="30"/>
  <c r="AR12" i="30"/>
  <c r="AQ12" i="30"/>
  <c r="AM12" i="30"/>
  <c r="AL12" i="30"/>
  <c r="AK12" i="30"/>
  <c r="AJ12" i="30"/>
  <c r="AI12" i="30"/>
  <c r="AU11" i="30"/>
  <c r="AT11" i="30"/>
  <c r="AS11" i="30"/>
  <c r="AR11" i="30"/>
  <c r="AQ11" i="30"/>
  <c r="AM11" i="30"/>
  <c r="AL11" i="30"/>
  <c r="AK11" i="30"/>
  <c r="AJ11" i="30"/>
  <c r="AI11" i="30"/>
  <c r="D5" i="30"/>
  <c r="F5" i="30" s="1"/>
  <c r="AP19" i="30" s="1"/>
  <c r="AC39" i="29"/>
  <c r="AB39" i="29"/>
  <c r="AG38" i="29"/>
  <c r="AF38" i="29"/>
  <c r="AC38" i="29"/>
  <c r="AB38" i="29"/>
  <c r="Z38" i="29"/>
  <c r="Y38" i="29"/>
  <c r="X38" i="29"/>
  <c r="AG37" i="29"/>
  <c r="AG39" i="29" s="1"/>
  <c r="AF37" i="29"/>
  <c r="AF39" i="29" s="1"/>
  <c r="AE37" i="29"/>
  <c r="AD37" i="29"/>
  <c r="AC37" i="29"/>
  <c r="AB37" i="29"/>
  <c r="AA37" i="29"/>
  <c r="Z37" i="29"/>
  <c r="Z39" i="29" s="1"/>
  <c r="Y37" i="29"/>
  <c r="Y39" i="29" s="1"/>
  <c r="X37" i="29"/>
  <c r="X39" i="29" s="1"/>
  <c r="W37" i="29"/>
  <c r="V37" i="29"/>
  <c r="U37" i="29"/>
  <c r="AU35" i="29"/>
  <c r="AT35" i="29"/>
  <c r="AS35" i="29"/>
  <c r="AR35" i="29"/>
  <c r="AQ35" i="29"/>
  <c r="AM35" i="29"/>
  <c r="AL35" i="29"/>
  <c r="AK35" i="29"/>
  <c r="AJ35" i="29"/>
  <c r="AI35" i="29"/>
  <c r="AU34" i="29"/>
  <c r="AT34" i="29"/>
  <c r="AS34" i="29"/>
  <c r="AR34" i="29"/>
  <c r="AQ34" i="29"/>
  <c r="AM34" i="29"/>
  <c r="AL34" i="29"/>
  <c r="AK34" i="29"/>
  <c r="AJ34" i="29"/>
  <c r="AI34" i="29"/>
  <c r="AU33" i="29"/>
  <c r="AT33" i="29"/>
  <c r="AS33" i="29"/>
  <c r="AR33" i="29"/>
  <c r="AQ33" i="29"/>
  <c r="AM33" i="29"/>
  <c r="AL33" i="29"/>
  <c r="AK33" i="29"/>
  <c r="AJ33" i="29"/>
  <c r="AI33" i="29"/>
  <c r="AU32" i="29"/>
  <c r="AT32" i="29"/>
  <c r="AS32" i="29"/>
  <c r="AR32" i="29"/>
  <c r="AQ32" i="29"/>
  <c r="AM32" i="29"/>
  <c r="AL32" i="29"/>
  <c r="AK32" i="29"/>
  <c r="AJ32" i="29"/>
  <c r="AI32" i="29"/>
  <c r="AU31" i="29"/>
  <c r="AT31" i="29"/>
  <c r="AS31" i="29"/>
  <c r="AR31" i="29"/>
  <c r="AQ31" i="29"/>
  <c r="AM31" i="29"/>
  <c r="AL31" i="29"/>
  <c r="AK31" i="29"/>
  <c r="AJ31" i="29"/>
  <c r="AI31" i="29"/>
  <c r="AU30" i="29"/>
  <c r="AT30" i="29"/>
  <c r="AS30" i="29"/>
  <c r="AR30" i="29"/>
  <c r="AQ30" i="29"/>
  <c r="AP30" i="29"/>
  <c r="AM30" i="29"/>
  <c r="AL30" i="29"/>
  <c r="AK30" i="29"/>
  <c r="AJ30" i="29"/>
  <c r="AI30" i="29"/>
  <c r="AU29" i="29"/>
  <c r="AT29" i="29"/>
  <c r="AS29" i="29"/>
  <c r="AR29" i="29"/>
  <c r="AQ29" i="29"/>
  <c r="AP29" i="29"/>
  <c r="AM29" i="29"/>
  <c r="AL29" i="29"/>
  <c r="AK29" i="29"/>
  <c r="AJ29" i="29"/>
  <c r="AI29" i="29"/>
  <c r="AU28" i="29"/>
  <c r="AT28" i="29"/>
  <c r="AS28" i="29"/>
  <c r="AR28" i="29"/>
  <c r="AQ28" i="29"/>
  <c r="AM28" i="29"/>
  <c r="AL28" i="29"/>
  <c r="AK28" i="29"/>
  <c r="AJ28" i="29"/>
  <c r="AI28" i="29"/>
  <c r="AU27" i="29"/>
  <c r="AT27" i="29"/>
  <c r="AS27" i="29"/>
  <c r="AR27" i="29"/>
  <c r="AQ27" i="29"/>
  <c r="AM27" i="29"/>
  <c r="AL27" i="29"/>
  <c r="AK27" i="29"/>
  <c r="AJ27" i="29"/>
  <c r="AI27" i="29"/>
  <c r="AU26" i="29"/>
  <c r="AT26" i="29"/>
  <c r="AS26" i="29"/>
  <c r="AR26" i="29"/>
  <c r="AQ26" i="29"/>
  <c r="AM26" i="29"/>
  <c r="AL26" i="29"/>
  <c r="AK26" i="29"/>
  <c r="AJ26" i="29"/>
  <c r="AI26" i="29"/>
  <c r="AU25" i="29"/>
  <c r="AT25" i="29"/>
  <c r="AS25" i="29"/>
  <c r="AR25" i="29"/>
  <c r="AQ25" i="29"/>
  <c r="AM25" i="29"/>
  <c r="AL25" i="29"/>
  <c r="AK25" i="29"/>
  <c r="AJ25" i="29"/>
  <c r="AI25" i="29"/>
  <c r="AU24" i="29"/>
  <c r="AT24" i="29"/>
  <c r="AS24" i="29"/>
  <c r="AR24" i="29"/>
  <c r="AQ24" i="29"/>
  <c r="AP24" i="29"/>
  <c r="AM24" i="29"/>
  <c r="AL24" i="29"/>
  <c r="AK24" i="29"/>
  <c r="AJ24" i="29"/>
  <c r="AI24" i="29"/>
  <c r="AU23" i="29"/>
  <c r="AT23" i="29"/>
  <c r="AS23" i="29"/>
  <c r="AR23" i="29"/>
  <c r="AQ23" i="29"/>
  <c r="AM23" i="29"/>
  <c r="AL23" i="29"/>
  <c r="AK23" i="29"/>
  <c r="AJ23" i="29"/>
  <c r="AI23" i="29"/>
  <c r="AU22" i="29"/>
  <c r="AT22" i="29"/>
  <c r="AS22" i="29"/>
  <c r="AR22" i="29"/>
  <c r="AQ22" i="29"/>
  <c r="AM22" i="29"/>
  <c r="AL22" i="29"/>
  <c r="AK22" i="29"/>
  <c r="AJ22" i="29"/>
  <c r="AI22" i="29"/>
  <c r="AU21" i="29"/>
  <c r="AT21" i="29"/>
  <c r="AS21" i="29"/>
  <c r="AR21" i="29"/>
  <c r="AQ21" i="29"/>
  <c r="AP21" i="29"/>
  <c r="AM21" i="29"/>
  <c r="AL21" i="29"/>
  <c r="AK21" i="29"/>
  <c r="AJ21" i="29"/>
  <c r="AI21" i="29"/>
  <c r="AU20" i="29"/>
  <c r="AT20" i="29"/>
  <c r="AS20" i="29"/>
  <c r="AR20" i="29"/>
  <c r="AQ20" i="29"/>
  <c r="AM20" i="29"/>
  <c r="AL20" i="29"/>
  <c r="AK20" i="29"/>
  <c r="AJ20" i="29"/>
  <c r="AI20" i="29"/>
  <c r="AU19" i="29"/>
  <c r="AT19" i="29"/>
  <c r="AS19" i="29"/>
  <c r="AR19" i="29"/>
  <c r="AQ19" i="29"/>
  <c r="AM19" i="29"/>
  <c r="AL19" i="29"/>
  <c r="AK19" i="29"/>
  <c r="AJ19" i="29"/>
  <c r="AI19" i="29"/>
  <c r="AU18" i="29"/>
  <c r="AT18" i="29"/>
  <c r="AS18" i="29"/>
  <c r="AR18" i="29"/>
  <c r="AQ18" i="29"/>
  <c r="AM18" i="29"/>
  <c r="AL18" i="29"/>
  <c r="AK18" i="29"/>
  <c r="AJ18" i="29"/>
  <c r="AI18" i="29"/>
  <c r="AU17" i="29"/>
  <c r="AT17" i="29"/>
  <c r="AS17" i="29"/>
  <c r="AR17" i="29"/>
  <c r="AQ17" i="29"/>
  <c r="AM17" i="29"/>
  <c r="AL17" i="29"/>
  <c r="AK17" i="29"/>
  <c r="AJ17" i="29"/>
  <c r="AI17" i="29"/>
  <c r="AU16" i="29"/>
  <c r="AT16" i="29"/>
  <c r="AS16" i="29"/>
  <c r="AR16" i="29"/>
  <c r="AQ16" i="29"/>
  <c r="AM16" i="29"/>
  <c r="AL16" i="29"/>
  <c r="AK16" i="29"/>
  <c r="AJ16" i="29"/>
  <c r="AI16" i="29"/>
  <c r="AU15" i="29"/>
  <c r="AT15" i="29"/>
  <c r="AS15" i="29"/>
  <c r="AR15" i="29"/>
  <c r="AQ15" i="29"/>
  <c r="AM15" i="29"/>
  <c r="AL15" i="29"/>
  <c r="AK15" i="29"/>
  <c r="AJ15" i="29"/>
  <c r="AI15" i="29"/>
  <c r="AU14" i="29"/>
  <c r="AT14" i="29"/>
  <c r="AS14" i="29"/>
  <c r="AR14" i="29"/>
  <c r="AQ14" i="29"/>
  <c r="AM14" i="29"/>
  <c r="AL14" i="29"/>
  <c r="AK14" i="29"/>
  <c r="AJ14" i="29"/>
  <c r="AI14" i="29"/>
  <c r="AU13" i="29"/>
  <c r="AT13" i="29"/>
  <c r="AS13" i="29"/>
  <c r="AR13" i="29"/>
  <c r="AQ13" i="29"/>
  <c r="AP13" i="29"/>
  <c r="AM13" i="29"/>
  <c r="AL13" i="29"/>
  <c r="AK13" i="29"/>
  <c r="AJ13" i="29"/>
  <c r="AI13" i="29"/>
  <c r="AU12" i="29"/>
  <c r="AT12" i="29"/>
  <c r="AS12" i="29"/>
  <c r="AR12" i="29"/>
  <c r="AQ12" i="29"/>
  <c r="AM12" i="29"/>
  <c r="AL12" i="29"/>
  <c r="AK12" i="29"/>
  <c r="AJ12" i="29"/>
  <c r="AI12" i="29"/>
  <c r="AU11" i="29"/>
  <c r="AT11" i="29"/>
  <c r="AS11" i="29"/>
  <c r="AR11" i="29"/>
  <c r="AQ11" i="29"/>
  <c r="AM11" i="29"/>
  <c r="AL11" i="29"/>
  <c r="AK11" i="29"/>
  <c r="AJ11" i="29"/>
  <c r="AI11" i="29"/>
  <c r="G5" i="29"/>
  <c r="AO34" i="29" s="1"/>
  <c r="D5" i="29"/>
  <c r="F5" i="29" s="1"/>
  <c r="AP14" i="29" s="1"/>
  <c r="AC39" i="28"/>
  <c r="AB39" i="28"/>
  <c r="Y39" i="28"/>
  <c r="AG38" i="28"/>
  <c r="AF38" i="28"/>
  <c r="AC38" i="28"/>
  <c r="AB38" i="28"/>
  <c r="AA38" i="28"/>
  <c r="Z38" i="28"/>
  <c r="Y38" i="28"/>
  <c r="X38" i="28"/>
  <c r="V38" i="28"/>
  <c r="AG37" i="28"/>
  <c r="AG39" i="28" s="1"/>
  <c r="AF37" i="28"/>
  <c r="AF39" i="28" s="1"/>
  <c r="AE37" i="28"/>
  <c r="AD37" i="28"/>
  <c r="AC37" i="28"/>
  <c r="AB37" i="28"/>
  <c r="AA37" i="28"/>
  <c r="AA39" i="28" s="1"/>
  <c r="Z37" i="28"/>
  <c r="Z39" i="28" s="1"/>
  <c r="Y37" i="28"/>
  <c r="X37" i="28"/>
  <c r="X39" i="28" s="1"/>
  <c r="W37" i="28"/>
  <c r="V37" i="28"/>
  <c r="U37" i="28"/>
  <c r="AU35" i="28"/>
  <c r="AT35" i="28"/>
  <c r="AS35" i="28"/>
  <c r="AR35" i="28"/>
  <c r="AQ35" i="28"/>
  <c r="AP35" i="28"/>
  <c r="AM35" i="28"/>
  <c r="AL35" i="28"/>
  <c r="AK35" i="28"/>
  <c r="AJ35" i="28"/>
  <c r="AI35" i="28"/>
  <c r="AU34" i="28"/>
  <c r="AT34" i="28"/>
  <c r="AS34" i="28"/>
  <c r="AR34" i="28"/>
  <c r="AQ34" i="28"/>
  <c r="AP34" i="28"/>
  <c r="AN34" i="28"/>
  <c r="AM34" i="28"/>
  <c r="AL34" i="28"/>
  <c r="AK34" i="28"/>
  <c r="AJ34" i="28"/>
  <c r="AI34" i="28"/>
  <c r="AU33" i="28"/>
  <c r="AT33" i="28"/>
  <c r="AS33" i="28"/>
  <c r="AR33" i="28"/>
  <c r="AQ33" i="28"/>
  <c r="AN33" i="28"/>
  <c r="AM33" i="28"/>
  <c r="AL33" i="28"/>
  <c r="AK33" i="28"/>
  <c r="AJ33" i="28"/>
  <c r="AI33" i="28"/>
  <c r="AU32" i="28"/>
  <c r="AT32" i="28"/>
  <c r="AS32" i="28"/>
  <c r="AR32" i="28"/>
  <c r="AQ32" i="28"/>
  <c r="AP32" i="28"/>
  <c r="AN32" i="28"/>
  <c r="AM32" i="28"/>
  <c r="AL32" i="28"/>
  <c r="AK32" i="28"/>
  <c r="AJ32" i="28"/>
  <c r="AI32" i="28"/>
  <c r="AU31" i="28"/>
  <c r="AT31" i="28"/>
  <c r="AS31" i="28"/>
  <c r="AR31" i="28"/>
  <c r="AQ31" i="28"/>
  <c r="AP31" i="28"/>
  <c r="AM31" i="28"/>
  <c r="AL31" i="28"/>
  <c r="AK31" i="28"/>
  <c r="AJ31" i="28"/>
  <c r="AI31" i="28"/>
  <c r="AU30" i="28"/>
  <c r="AT30" i="28"/>
  <c r="AS30" i="28"/>
  <c r="AR30" i="28"/>
  <c r="AQ30" i="28"/>
  <c r="AM30" i="28"/>
  <c r="AL30" i="28"/>
  <c r="AK30" i="28"/>
  <c r="AJ30" i="28"/>
  <c r="AI30" i="28"/>
  <c r="AU29" i="28"/>
  <c r="AT29" i="28"/>
  <c r="AS29" i="28"/>
  <c r="AR29" i="28"/>
  <c r="AQ29" i="28"/>
  <c r="AP29" i="28"/>
  <c r="AM29" i="28"/>
  <c r="AL29" i="28"/>
  <c r="AK29" i="28"/>
  <c r="AJ29" i="28"/>
  <c r="AI29" i="28"/>
  <c r="AU28" i="28"/>
  <c r="AT28" i="28"/>
  <c r="AS28" i="28"/>
  <c r="AR28" i="28"/>
  <c r="AQ28" i="28"/>
  <c r="AM28" i="28"/>
  <c r="AL28" i="28"/>
  <c r="AK28" i="28"/>
  <c r="AJ28" i="28"/>
  <c r="AI28" i="28"/>
  <c r="AU27" i="28"/>
  <c r="AT27" i="28"/>
  <c r="AS27" i="28"/>
  <c r="AR27" i="28"/>
  <c r="AQ27" i="28"/>
  <c r="AM27" i="28"/>
  <c r="AL27" i="28"/>
  <c r="AK27" i="28"/>
  <c r="AJ27" i="28"/>
  <c r="AI27" i="28"/>
  <c r="AU26" i="28"/>
  <c r="AT26" i="28"/>
  <c r="AS26" i="28"/>
  <c r="AR26" i="28"/>
  <c r="AQ26" i="28"/>
  <c r="AP26" i="28"/>
  <c r="AN26" i="28"/>
  <c r="AM26" i="28"/>
  <c r="AL26" i="28"/>
  <c r="AK26" i="28"/>
  <c r="AJ26" i="28"/>
  <c r="AI26" i="28"/>
  <c r="AU25" i="28"/>
  <c r="AT25" i="28"/>
  <c r="AS25" i="28"/>
  <c r="AR25" i="28"/>
  <c r="AQ25" i="28"/>
  <c r="AN25" i="28"/>
  <c r="AM25" i="28"/>
  <c r="AL25" i="28"/>
  <c r="AK25" i="28"/>
  <c r="AJ25" i="28"/>
  <c r="AI25" i="28"/>
  <c r="AU24" i="28"/>
  <c r="AT24" i="28"/>
  <c r="AS24" i="28"/>
  <c r="AR24" i="28"/>
  <c r="AQ24" i="28"/>
  <c r="AP24" i="28"/>
  <c r="AM24" i="28"/>
  <c r="AL24" i="28"/>
  <c r="AK24" i="28"/>
  <c r="AJ24" i="28"/>
  <c r="AI24" i="28"/>
  <c r="AU23" i="28"/>
  <c r="AT23" i="28"/>
  <c r="AS23" i="28"/>
  <c r="AR23" i="28"/>
  <c r="AQ23" i="28"/>
  <c r="AP23" i="28"/>
  <c r="AM23" i="28"/>
  <c r="AL23" i="28"/>
  <c r="AK23" i="28"/>
  <c r="AJ23" i="28"/>
  <c r="AI23" i="28"/>
  <c r="AU22" i="28"/>
  <c r="AT22" i="28"/>
  <c r="AS22" i="28"/>
  <c r="AR22" i="28"/>
  <c r="AQ22" i="28"/>
  <c r="AP22" i="28"/>
  <c r="AM22" i="28"/>
  <c r="AL22" i="28"/>
  <c r="AK22" i="28"/>
  <c r="AJ22" i="28"/>
  <c r="AI22" i="28"/>
  <c r="AU21" i="28"/>
  <c r="AT21" i="28"/>
  <c r="AS21" i="28"/>
  <c r="AR21" i="28"/>
  <c r="AQ21" i="28"/>
  <c r="AM21" i="28"/>
  <c r="AL21" i="28"/>
  <c r="AK21" i="28"/>
  <c r="AJ21" i="28"/>
  <c r="AI21" i="28"/>
  <c r="AU20" i="28"/>
  <c r="AT20" i="28"/>
  <c r="AS20" i="28"/>
  <c r="AR20" i="28"/>
  <c r="AQ20" i="28"/>
  <c r="AN20" i="28"/>
  <c r="AM20" i="28"/>
  <c r="AL20" i="28"/>
  <c r="AK20" i="28"/>
  <c r="AJ20" i="28"/>
  <c r="AI20" i="28"/>
  <c r="AU19" i="28"/>
  <c r="AT19" i="28"/>
  <c r="AS19" i="28"/>
  <c r="AR19" i="28"/>
  <c r="AQ19" i="28"/>
  <c r="AP19" i="28"/>
  <c r="AM19" i="28"/>
  <c r="AL19" i="28"/>
  <c r="AK19" i="28"/>
  <c r="AJ19" i="28"/>
  <c r="AI19" i="28"/>
  <c r="AU18" i="28"/>
  <c r="AT18" i="28"/>
  <c r="AS18" i="28"/>
  <c r="AR18" i="28"/>
  <c r="AQ18" i="28"/>
  <c r="AP18" i="28"/>
  <c r="AN18" i="28"/>
  <c r="AM18" i="28"/>
  <c r="AL18" i="28"/>
  <c r="AK18" i="28"/>
  <c r="AJ18" i="28"/>
  <c r="AI18" i="28"/>
  <c r="AU17" i="28"/>
  <c r="AT17" i="28"/>
  <c r="AS17" i="28"/>
  <c r="AR17" i="28"/>
  <c r="AQ17" i="28"/>
  <c r="AN17" i="28"/>
  <c r="AM17" i="28"/>
  <c r="AL17" i="28"/>
  <c r="AK17" i="28"/>
  <c r="AJ17" i="28"/>
  <c r="AI17" i="28"/>
  <c r="AU16" i="28"/>
  <c r="AT16" i="28"/>
  <c r="AS16" i="28"/>
  <c r="AR16" i="28"/>
  <c r="AQ16" i="28"/>
  <c r="AP16" i="28"/>
  <c r="AN16" i="28"/>
  <c r="AM16" i="28"/>
  <c r="AL16" i="28"/>
  <c r="AK16" i="28"/>
  <c r="AJ16" i="28"/>
  <c r="AI16" i="28"/>
  <c r="AU15" i="28"/>
  <c r="AT15" i="28"/>
  <c r="AS15" i="28"/>
  <c r="AR15" i="28"/>
  <c r="AQ15" i="28"/>
  <c r="AP15" i="28"/>
  <c r="AM15" i="28"/>
  <c r="AL15" i="28"/>
  <c r="AK15" i="28"/>
  <c r="AJ15" i="28"/>
  <c r="AI15" i="28"/>
  <c r="AU14" i="28"/>
  <c r="AT14" i="28"/>
  <c r="AS14" i="28"/>
  <c r="AR14" i="28"/>
  <c r="AQ14" i="28"/>
  <c r="AM14" i="28"/>
  <c r="AL14" i="28"/>
  <c r="AK14" i="28"/>
  <c r="AJ14" i="28"/>
  <c r="AI14" i="28"/>
  <c r="AU13" i="28"/>
  <c r="AT13" i="28"/>
  <c r="AS13" i="28"/>
  <c r="AR13" i="28"/>
  <c r="AQ13" i="28"/>
  <c r="AP13" i="28"/>
  <c r="AM13" i="28"/>
  <c r="AL13" i="28"/>
  <c r="AK13" i="28"/>
  <c r="AJ13" i="28"/>
  <c r="AI13" i="28"/>
  <c r="AU12" i="28"/>
  <c r="AT12" i="28"/>
  <c r="AS12" i="28"/>
  <c r="AR12" i="28"/>
  <c r="AQ12" i="28"/>
  <c r="AM12" i="28"/>
  <c r="AL12" i="28"/>
  <c r="AK12" i="28"/>
  <c r="AJ12" i="28"/>
  <c r="AI12" i="28"/>
  <c r="AU11" i="28"/>
  <c r="AT11" i="28"/>
  <c r="AS11" i="28"/>
  <c r="AR11" i="28"/>
  <c r="AQ11" i="28"/>
  <c r="AM11" i="28"/>
  <c r="AL11" i="28"/>
  <c r="AK11" i="28"/>
  <c r="AJ11" i="28"/>
  <c r="AI11" i="28"/>
  <c r="H5" i="28"/>
  <c r="AN21" i="28" s="1"/>
  <c r="F5" i="28"/>
  <c r="AP27" i="28" s="1"/>
  <c r="D5" i="28"/>
  <c r="AG39" i="27"/>
  <c r="AC39" i="27"/>
  <c r="X39" i="27"/>
  <c r="AG38" i="27"/>
  <c r="AF38" i="27"/>
  <c r="AC38" i="27"/>
  <c r="AB38" i="27"/>
  <c r="Z38" i="27"/>
  <c r="Y38" i="27"/>
  <c r="X38" i="27"/>
  <c r="AG37" i="27"/>
  <c r="AF37" i="27"/>
  <c r="AF39" i="27" s="1"/>
  <c r="AE37" i="27"/>
  <c r="AD37" i="27"/>
  <c r="AC37" i="27"/>
  <c r="AB37" i="27"/>
  <c r="AB39" i="27" s="1"/>
  <c r="AA37" i="27"/>
  <c r="Z37" i="27"/>
  <c r="Z39" i="27" s="1"/>
  <c r="Y37" i="27"/>
  <c r="Y39" i="27" s="1"/>
  <c r="X37" i="27"/>
  <c r="W37" i="27"/>
  <c r="V37" i="27"/>
  <c r="U37" i="27"/>
  <c r="AU35" i="27"/>
  <c r="AT35" i="27"/>
  <c r="AS35" i="27"/>
  <c r="AR35" i="27"/>
  <c r="AQ35" i="27"/>
  <c r="AM35" i="27"/>
  <c r="AL35" i="27"/>
  <c r="AK35" i="27"/>
  <c r="AJ35" i="27"/>
  <c r="AI35" i="27"/>
  <c r="AU34" i="27"/>
  <c r="AT34" i="27"/>
  <c r="AS34" i="27"/>
  <c r="AR34" i="27"/>
  <c r="AQ34" i="27"/>
  <c r="AM34" i="27"/>
  <c r="AL34" i="27"/>
  <c r="AK34" i="27"/>
  <c r="AJ34" i="27"/>
  <c r="AI34" i="27"/>
  <c r="AU33" i="27"/>
  <c r="AT33" i="27"/>
  <c r="AS33" i="27"/>
  <c r="AR33" i="27"/>
  <c r="AQ33" i="27"/>
  <c r="AM33" i="27"/>
  <c r="AL33" i="27"/>
  <c r="AK33" i="27"/>
  <c r="AJ33" i="27"/>
  <c r="AI33" i="27"/>
  <c r="AU32" i="27"/>
  <c r="AT32" i="27"/>
  <c r="AS32" i="27"/>
  <c r="AR32" i="27"/>
  <c r="AQ32" i="27"/>
  <c r="AM32" i="27"/>
  <c r="AL32" i="27"/>
  <c r="AK32" i="27"/>
  <c r="AJ32" i="27"/>
  <c r="AI32" i="27"/>
  <c r="AU31" i="27"/>
  <c r="AT31" i="27"/>
  <c r="AS31" i="27"/>
  <c r="AR31" i="27"/>
  <c r="AQ31" i="27"/>
  <c r="AM31" i="27"/>
  <c r="AL31" i="27"/>
  <c r="AK31" i="27"/>
  <c r="AJ31" i="27"/>
  <c r="AI31" i="27"/>
  <c r="AU30" i="27"/>
  <c r="AT30" i="27"/>
  <c r="AS30" i="27"/>
  <c r="AR30" i="27"/>
  <c r="AQ30" i="27"/>
  <c r="AM30" i="27"/>
  <c r="AL30" i="27"/>
  <c r="AK30" i="27"/>
  <c r="AJ30" i="27"/>
  <c r="AI30" i="27"/>
  <c r="AU29" i="27"/>
  <c r="AT29" i="27"/>
  <c r="AS29" i="27"/>
  <c r="AR29" i="27"/>
  <c r="AQ29" i="27"/>
  <c r="AM29" i="27"/>
  <c r="AL29" i="27"/>
  <c r="AK29" i="27"/>
  <c r="AJ29" i="27"/>
  <c r="AI29" i="27"/>
  <c r="AU28" i="27"/>
  <c r="AT28" i="27"/>
  <c r="AS28" i="27"/>
  <c r="AR28" i="27"/>
  <c r="AQ28" i="27"/>
  <c r="AM28" i="27"/>
  <c r="AL28" i="27"/>
  <c r="AK28" i="27"/>
  <c r="AJ28" i="27"/>
  <c r="AI28" i="27"/>
  <c r="AU27" i="27"/>
  <c r="AT27" i="27"/>
  <c r="AS27" i="27"/>
  <c r="AR27" i="27"/>
  <c r="AQ27" i="27"/>
  <c r="AM27" i="27"/>
  <c r="AL27" i="27"/>
  <c r="AK27" i="27"/>
  <c r="AJ27" i="27"/>
  <c r="AI27" i="27"/>
  <c r="AU26" i="27"/>
  <c r="AT26" i="27"/>
  <c r="AS26" i="27"/>
  <c r="AR26" i="27"/>
  <c r="AQ26" i="27"/>
  <c r="AM26" i="27"/>
  <c r="AL26" i="27"/>
  <c r="AK26" i="27"/>
  <c r="AJ26" i="27"/>
  <c r="AI26" i="27"/>
  <c r="AU25" i="27"/>
  <c r="AT25" i="27"/>
  <c r="AS25" i="27"/>
  <c r="AR25" i="27"/>
  <c r="AQ25" i="27"/>
  <c r="AM25" i="27"/>
  <c r="AL25" i="27"/>
  <c r="AK25" i="27"/>
  <c r="AJ25" i="27"/>
  <c r="AI25" i="27"/>
  <c r="AU24" i="27"/>
  <c r="AT24" i="27"/>
  <c r="AS24" i="27"/>
  <c r="AR24" i="27"/>
  <c r="AQ24" i="27"/>
  <c r="AM24" i="27"/>
  <c r="AL24" i="27"/>
  <c r="AK24" i="27"/>
  <c r="AJ24" i="27"/>
  <c r="AI24" i="27"/>
  <c r="AU23" i="27"/>
  <c r="AT23" i="27"/>
  <c r="AS23" i="27"/>
  <c r="AR23" i="27"/>
  <c r="AQ23" i="27"/>
  <c r="AM23" i="27"/>
  <c r="AL23" i="27"/>
  <c r="AK23" i="27"/>
  <c r="AJ23" i="27"/>
  <c r="AI23" i="27"/>
  <c r="AU22" i="27"/>
  <c r="AT22" i="27"/>
  <c r="AS22" i="27"/>
  <c r="AR22" i="27"/>
  <c r="AQ22" i="27"/>
  <c r="AM22" i="27"/>
  <c r="AL22" i="27"/>
  <c r="AK22" i="27"/>
  <c r="AJ22" i="27"/>
  <c r="AI22" i="27"/>
  <c r="AU21" i="27"/>
  <c r="AT21" i="27"/>
  <c r="AS21" i="27"/>
  <c r="AR21" i="27"/>
  <c r="AQ21" i="27"/>
  <c r="AM21" i="27"/>
  <c r="AL21" i="27"/>
  <c r="AK21" i="27"/>
  <c r="AJ21" i="27"/>
  <c r="AI21" i="27"/>
  <c r="AU20" i="27"/>
  <c r="AT20" i="27"/>
  <c r="AS20" i="27"/>
  <c r="AR20" i="27"/>
  <c r="AQ20" i="27"/>
  <c r="AM20" i="27"/>
  <c r="AL20" i="27"/>
  <c r="AK20" i="27"/>
  <c r="AJ20" i="27"/>
  <c r="AI20" i="27"/>
  <c r="AU19" i="27"/>
  <c r="AT19" i="27"/>
  <c r="AS19" i="27"/>
  <c r="AR19" i="27"/>
  <c r="AQ19" i="27"/>
  <c r="AM19" i="27"/>
  <c r="AL19" i="27"/>
  <c r="AK19" i="27"/>
  <c r="AJ19" i="27"/>
  <c r="AI19" i="27"/>
  <c r="AU18" i="27"/>
  <c r="AT18" i="27"/>
  <c r="AS18" i="27"/>
  <c r="AR18" i="27"/>
  <c r="AQ18" i="27"/>
  <c r="AM18" i="27"/>
  <c r="AL18" i="27"/>
  <c r="AK18" i="27"/>
  <c r="AJ18" i="27"/>
  <c r="AI18" i="27"/>
  <c r="AU17" i="27"/>
  <c r="AT17" i="27"/>
  <c r="AS17" i="27"/>
  <c r="AR17" i="27"/>
  <c r="AQ17" i="27"/>
  <c r="AM17" i="27"/>
  <c r="AL17" i="27"/>
  <c r="AK17" i="27"/>
  <c r="AJ17" i="27"/>
  <c r="AI17" i="27"/>
  <c r="AU16" i="27"/>
  <c r="AT16" i="27"/>
  <c r="AS16" i="27"/>
  <c r="AR16" i="27"/>
  <c r="AQ16" i="27"/>
  <c r="AM16" i="27"/>
  <c r="AL16" i="27"/>
  <c r="AK16" i="27"/>
  <c r="AJ16" i="27"/>
  <c r="AI16" i="27"/>
  <c r="AU15" i="27"/>
  <c r="AT15" i="27"/>
  <c r="AS15" i="27"/>
  <c r="AR15" i="27"/>
  <c r="AQ15" i="27"/>
  <c r="AM15" i="27"/>
  <c r="AL15" i="27"/>
  <c r="AK15" i="27"/>
  <c r="AJ15" i="27"/>
  <c r="AI15" i="27"/>
  <c r="AU14" i="27"/>
  <c r="AT14" i="27"/>
  <c r="AS14" i="27"/>
  <c r="AR14" i="27"/>
  <c r="AQ14" i="27"/>
  <c r="AM14" i="27"/>
  <c r="AL14" i="27"/>
  <c r="AK14" i="27"/>
  <c r="AJ14" i="27"/>
  <c r="AI14" i="27"/>
  <c r="AU13" i="27"/>
  <c r="AT13" i="27"/>
  <c r="AS13" i="27"/>
  <c r="AR13" i="27"/>
  <c r="AQ13" i="27"/>
  <c r="AM13" i="27"/>
  <c r="AL13" i="27"/>
  <c r="AK13" i="27"/>
  <c r="AJ13" i="27"/>
  <c r="AI13" i="27"/>
  <c r="AU12" i="27"/>
  <c r="AT12" i="27"/>
  <c r="AS12" i="27"/>
  <c r="AR12" i="27"/>
  <c r="AQ12" i="27"/>
  <c r="AM12" i="27"/>
  <c r="AL12" i="27"/>
  <c r="AK12" i="27"/>
  <c r="AJ12" i="27"/>
  <c r="AI12" i="27"/>
  <c r="AU11" i="27"/>
  <c r="AT11" i="27"/>
  <c r="AS11" i="27"/>
  <c r="AR11" i="27"/>
  <c r="AQ11" i="27"/>
  <c r="AM11" i="27"/>
  <c r="AL11" i="27"/>
  <c r="AK11" i="27"/>
  <c r="AJ11" i="27"/>
  <c r="AI11" i="27"/>
  <c r="F5" i="27"/>
  <c r="D5" i="27"/>
  <c r="AG39" i="26"/>
  <c r="AF39" i="26"/>
  <c r="AC39" i="26"/>
  <c r="Z39" i="26"/>
  <c r="Y39" i="26"/>
  <c r="AG38" i="26"/>
  <c r="AF38" i="26"/>
  <c r="AC38" i="26"/>
  <c r="AB38" i="26"/>
  <c r="Z38" i="26"/>
  <c r="Y38" i="26"/>
  <c r="X38" i="26"/>
  <c r="AG37" i="26"/>
  <c r="AF37" i="26"/>
  <c r="AE37" i="26"/>
  <c r="AD37" i="26"/>
  <c r="AC37" i="26"/>
  <c r="AB37" i="26"/>
  <c r="AB39" i="26" s="1"/>
  <c r="AA37" i="26"/>
  <c r="Z37" i="26"/>
  <c r="Y37" i="26"/>
  <c r="X37" i="26"/>
  <c r="X39" i="26" s="1"/>
  <c r="W37" i="26"/>
  <c r="V37" i="26"/>
  <c r="U37" i="26"/>
  <c r="AU35" i="26"/>
  <c r="AT35" i="26"/>
  <c r="AS35" i="26"/>
  <c r="AR35" i="26"/>
  <c r="AQ35" i="26"/>
  <c r="AP35" i="26"/>
  <c r="AO35" i="26"/>
  <c r="AM35" i="26"/>
  <c r="AL35" i="26"/>
  <c r="AK35" i="26"/>
  <c r="AJ35" i="26"/>
  <c r="AI35" i="26"/>
  <c r="AU34" i="26"/>
  <c r="AT34" i="26"/>
  <c r="AS34" i="26"/>
  <c r="AR34" i="26"/>
  <c r="AQ34" i="26"/>
  <c r="AM34" i="26"/>
  <c r="AL34" i="26"/>
  <c r="AK34" i="26"/>
  <c r="AJ34" i="26"/>
  <c r="AI34" i="26"/>
  <c r="AU33" i="26"/>
  <c r="AT33" i="26"/>
  <c r="AS33" i="26"/>
  <c r="AR33" i="26"/>
  <c r="AQ33" i="26"/>
  <c r="AM33" i="26"/>
  <c r="AL33" i="26"/>
  <c r="AK33" i="26"/>
  <c r="AJ33" i="26"/>
  <c r="AI33" i="26"/>
  <c r="AU32" i="26"/>
  <c r="AT32" i="26"/>
  <c r="AS32" i="26"/>
  <c r="AR32" i="26"/>
  <c r="AQ32" i="26"/>
  <c r="AM32" i="26"/>
  <c r="AL32" i="26"/>
  <c r="AK32" i="26"/>
  <c r="AJ32" i="26"/>
  <c r="AI32" i="26"/>
  <c r="AU31" i="26"/>
  <c r="AT31" i="26"/>
  <c r="AS31" i="26"/>
  <c r="AR31" i="26"/>
  <c r="AQ31" i="26"/>
  <c r="AM31" i="26"/>
  <c r="AL31" i="26"/>
  <c r="AK31" i="26"/>
  <c r="AJ31" i="26"/>
  <c r="AI31" i="26"/>
  <c r="AU30" i="26"/>
  <c r="AT30" i="26"/>
  <c r="AS30" i="26"/>
  <c r="AR30" i="26"/>
  <c r="AQ30" i="26"/>
  <c r="AM30" i="26"/>
  <c r="AL30" i="26"/>
  <c r="AK30" i="26"/>
  <c r="AJ30" i="26"/>
  <c r="AI30" i="26"/>
  <c r="AU29" i="26"/>
  <c r="AT29" i="26"/>
  <c r="AS29" i="26"/>
  <c r="AR29" i="26"/>
  <c r="AQ29" i="26"/>
  <c r="AM29" i="26"/>
  <c r="AL29" i="26"/>
  <c r="AK29" i="26"/>
  <c r="AJ29" i="26"/>
  <c r="AI29" i="26"/>
  <c r="AU28" i="26"/>
  <c r="AT28" i="26"/>
  <c r="AS28" i="26"/>
  <c r="AR28" i="26"/>
  <c r="AQ28" i="26"/>
  <c r="AP28" i="26"/>
  <c r="AM28" i="26"/>
  <c r="AL28" i="26"/>
  <c r="AK28" i="26"/>
  <c r="AJ28" i="26"/>
  <c r="AI28" i="26"/>
  <c r="AU27" i="26"/>
  <c r="AT27" i="26"/>
  <c r="AS27" i="26"/>
  <c r="AR27" i="26"/>
  <c r="AQ27" i="26"/>
  <c r="AM27" i="26"/>
  <c r="AL27" i="26"/>
  <c r="AK27" i="26"/>
  <c r="AJ27" i="26"/>
  <c r="AI27" i="26"/>
  <c r="AU26" i="26"/>
  <c r="AT26" i="26"/>
  <c r="AS26" i="26"/>
  <c r="AR26" i="26"/>
  <c r="AQ26" i="26"/>
  <c r="AM26" i="26"/>
  <c r="AL26" i="26"/>
  <c r="AK26" i="26"/>
  <c r="AJ26" i="26"/>
  <c r="AI26" i="26"/>
  <c r="AU25" i="26"/>
  <c r="AT25" i="26"/>
  <c r="AS25" i="26"/>
  <c r="AR25" i="26"/>
  <c r="AQ25" i="26"/>
  <c r="AO25" i="26"/>
  <c r="AM25" i="26"/>
  <c r="AL25" i="26"/>
  <c r="AK25" i="26"/>
  <c r="AJ25" i="26"/>
  <c r="AI25" i="26"/>
  <c r="AU24" i="26"/>
  <c r="AT24" i="26"/>
  <c r="AS24" i="26"/>
  <c r="AR24" i="26"/>
  <c r="AQ24" i="26"/>
  <c r="AM24" i="26"/>
  <c r="AL24" i="26"/>
  <c r="AK24" i="26"/>
  <c r="AJ24" i="26"/>
  <c r="AI24" i="26"/>
  <c r="AU23" i="26"/>
  <c r="AT23" i="26"/>
  <c r="AS23" i="26"/>
  <c r="AR23" i="26"/>
  <c r="AQ23" i="26"/>
  <c r="AM23" i="26"/>
  <c r="AL23" i="26"/>
  <c r="AK23" i="26"/>
  <c r="AJ23" i="26"/>
  <c r="AI23" i="26"/>
  <c r="AU22" i="26"/>
  <c r="AT22" i="26"/>
  <c r="AS22" i="26"/>
  <c r="AR22" i="26"/>
  <c r="AQ22" i="26"/>
  <c r="AM22" i="26"/>
  <c r="AL22" i="26"/>
  <c r="AK22" i="26"/>
  <c r="AJ22" i="26"/>
  <c r="AI22" i="26"/>
  <c r="AU21" i="26"/>
  <c r="AT21" i="26"/>
  <c r="AS21" i="26"/>
  <c r="AR21" i="26"/>
  <c r="AQ21" i="26"/>
  <c r="AM21" i="26"/>
  <c r="AL21" i="26"/>
  <c r="AK21" i="26"/>
  <c r="AJ21" i="26"/>
  <c r="AI21" i="26"/>
  <c r="AU20" i="26"/>
  <c r="AT20" i="26"/>
  <c r="AS20" i="26"/>
  <c r="AR20" i="26"/>
  <c r="AQ20" i="26"/>
  <c r="AM20" i="26"/>
  <c r="AL20" i="26"/>
  <c r="AK20" i="26"/>
  <c r="AJ20" i="26"/>
  <c r="AI20" i="26"/>
  <c r="AU19" i="26"/>
  <c r="AT19" i="26"/>
  <c r="AS19" i="26"/>
  <c r="AR19" i="26"/>
  <c r="AQ19" i="26"/>
  <c r="AM19" i="26"/>
  <c r="AL19" i="26"/>
  <c r="AK19" i="26"/>
  <c r="AJ19" i="26"/>
  <c r="AI19" i="26"/>
  <c r="AU18" i="26"/>
  <c r="AT18" i="26"/>
  <c r="AS18" i="26"/>
  <c r="AR18" i="26"/>
  <c r="AQ18" i="26"/>
  <c r="AM18" i="26"/>
  <c r="AL18" i="26"/>
  <c r="AK18" i="26"/>
  <c r="AJ18" i="26"/>
  <c r="AI18" i="26"/>
  <c r="AU17" i="26"/>
  <c r="AT17" i="26"/>
  <c r="AS17" i="26"/>
  <c r="AR17" i="26"/>
  <c r="AQ17" i="26"/>
  <c r="AM17" i="26"/>
  <c r="AL17" i="26"/>
  <c r="AK17" i="26"/>
  <c r="AJ17" i="26"/>
  <c r="AI17" i="26"/>
  <c r="AU16" i="26"/>
  <c r="AT16" i="26"/>
  <c r="AS16" i="26"/>
  <c r="AR16" i="26"/>
  <c r="AQ16" i="26"/>
  <c r="AM16" i="26"/>
  <c r="AL16" i="26"/>
  <c r="AK16" i="26"/>
  <c r="AJ16" i="26"/>
  <c r="AI16" i="26"/>
  <c r="AU15" i="26"/>
  <c r="AT15" i="26"/>
  <c r="AS15" i="26"/>
  <c r="AR15" i="26"/>
  <c r="AQ15" i="26"/>
  <c r="AM15" i="26"/>
  <c r="AL15" i="26"/>
  <c r="AK15" i="26"/>
  <c r="AJ15" i="26"/>
  <c r="AI15" i="26"/>
  <c r="AU14" i="26"/>
  <c r="AT14" i="26"/>
  <c r="AS14" i="26"/>
  <c r="AR14" i="26"/>
  <c r="AQ14" i="26"/>
  <c r="AM14" i="26"/>
  <c r="AL14" i="26"/>
  <c r="AK14" i="26"/>
  <c r="AJ14" i="26"/>
  <c r="AI14" i="26"/>
  <c r="AU13" i="26"/>
  <c r="AT13" i="26"/>
  <c r="AS13" i="26"/>
  <c r="AR13" i="26"/>
  <c r="AQ13" i="26"/>
  <c r="AM13" i="26"/>
  <c r="AL13" i="26"/>
  <c r="AK13" i="26"/>
  <c r="AJ13" i="26"/>
  <c r="AI13" i="26"/>
  <c r="AU12" i="26"/>
  <c r="AT12" i="26"/>
  <c r="AS12" i="26"/>
  <c r="AR12" i="26"/>
  <c r="AQ12" i="26"/>
  <c r="AP12" i="26"/>
  <c r="AM12" i="26"/>
  <c r="AL12" i="26"/>
  <c r="AK12" i="26"/>
  <c r="AJ12" i="26"/>
  <c r="AI12" i="26"/>
  <c r="AU11" i="26"/>
  <c r="AT11" i="26"/>
  <c r="AS11" i="26"/>
  <c r="AR11" i="26"/>
  <c r="AQ11" i="26"/>
  <c r="AP11" i="26"/>
  <c r="AM11" i="26"/>
  <c r="AL11" i="26"/>
  <c r="AK11" i="26"/>
  <c r="AJ11" i="26"/>
  <c r="AI11" i="26"/>
  <c r="G5" i="26"/>
  <c r="AO24" i="26" s="1"/>
  <c r="D5" i="26"/>
  <c r="F5" i="26" s="1"/>
  <c r="AP20" i="26" s="1"/>
  <c r="AF39" i="25"/>
  <c r="AB39" i="25"/>
  <c r="Z39" i="25"/>
  <c r="Y39" i="25"/>
  <c r="AG38" i="25"/>
  <c r="AF38" i="25"/>
  <c r="AC38" i="25"/>
  <c r="AB38" i="25"/>
  <c r="Z38" i="25"/>
  <c r="Y38" i="25"/>
  <c r="X38" i="25"/>
  <c r="AG37" i="25"/>
  <c r="AG39" i="25" s="1"/>
  <c r="AF37" i="25"/>
  <c r="AE37" i="25"/>
  <c r="AD37" i="25"/>
  <c r="AC37" i="25"/>
  <c r="AC39" i="25" s="1"/>
  <c r="AB37" i="25"/>
  <c r="AA37" i="25"/>
  <c r="Z37" i="25"/>
  <c r="Y37" i="25"/>
  <c r="X37" i="25"/>
  <c r="X39" i="25" s="1"/>
  <c r="W37" i="25"/>
  <c r="V37" i="25"/>
  <c r="U37" i="25"/>
  <c r="AU35" i="25"/>
  <c r="AT35" i="25"/>
  <c r="AS35" i="25"/>
  <c r="AR35" i="25"/>
  <c r="AQ35" i="25"/>
  <c r="AP35" i="25"/>
  <c r="AM35" i="25"/>
  <c r="AL35" i="25"/>
  <c r="AK35" i="25"/>
  <c r="AJ35" i="25"/>
  <c r="AI35" i="25"/>
  <c r="AU34" i="25"/>
  <c r="AT34" i="25"/>
  <c r="AS34" i="25"/>
  <c r="AR34" i="25"/>
  <c r="AQ34" i="25"/>
  <c r="AM34" i="25"/>
  <c r="AL34" i="25"/>
  <c r="AK34" i="25"/>
  <c r="AJ34" i="25"/>
  <c r="AI34" i="25"/>
  <c r="AU33" i="25"/>
  <c r="AT33" i="25"/>
  <c r="AS33" i="25"/>
  <c r="AR33" i="25"/>
  <c r="AQ33" i="25"/>
  <c r="AM33" i="25"/>
  <c r="AL33" i="25"/>
  <c r="AK33" i="25"/>
  <c r="AJ33" i="25"/>
  <c r="AI33" i="25"/>
  <c r="AU32" i="25"/>
  <c r="AT32" i="25"/>
  <c r="AS32" i="25"/>
  <c r="AR32" i="25"/>
  <c r="AQ32" i="25"/>
  <c r="AP32" i="25"/>
  <c r="AM32" i="25"/>
  <c r="AL32" i="25"/>
  <c r="AK32" i="25"/>
  <c r="AJ32" i="25"/>
  <c r="AI32" i="25"/>
  <c r="AU31" i="25"/>
  <c r="AT31" i="25"/>
  <c r="AS31" i="25"/>
  <c r="AR31" i="25"/>
  <c r="AQ31" i="25"/>
  <c r="AM31" i="25"/>
  <c r="AL31" i="25"/>
  <c r="AK31" i="25"/>
  <c r="AJ31" i="25"/>
  <c r="AI31" i="25"/>
  <c r="AU30" i="25"/>
  <c r="AT30" i="25"/>
  <c r="AS30" i="25"/>
  <c r="AR30" i="25"/>
  <c r="AQ30" i="25"/>
  <c r="AP30" i="25"/>
  <c r="AM30" i="25"/>
  <c r="AL30" i="25"/>
  <c r="AK30" i="25"/>
  <c r="AJ30" i="25"/>
  <c r="AI30" i="25"/>
  <c r="AU29" i="25"/>
  <c r="AT29" i="25"/>
  <c r="AS29" i="25"/>
  <c r="AR29" i="25"/>
  <c r="AQ29" i="25"/>
  <c r="AP29" i="25"/>
  <c r="AM29" i="25"/>
  <c r="AL29" i="25"/>
  <c r="AK29" i="25"/>
  <c r="AJ29" i="25"/>
  <c r="AI29" i="25"/>
  <c r="AU28" i="25"/>
  <c r="AT28" i="25"/>
  <c r="AS28" i="25"/>
  <c r="AR28" i="25"/>
  <c r="AQ28" i="25"/>
  <c r="AP28" i="25"/>
  <c r="AM28" i="25"/>
  <c r="AL28" i="25"/>
  <c r="AK28" i="25"/>
  <c r="AJ28" i="25"/>
  <c r="AI28" i="25"/>
  <c r="AU27" i="25"/>
  <c r="AT27" i="25"/>
  <c r="AS27" i="25"/>
  <c r="AR27" i="25"/>
  <c r="AQ27" i="25"/>
  <c r="AM27" i="25"/>
  <c r="AL27" i="25"/>
  <c r="AK27" i="25"/>
  <c r="AJ27" i="25"/>
  <c r="AI27" i="25"/>
  <c r="AU26" i="25"/>
  <c r="AT26" i="25"/>
  <c r="AS26" i="25"/>
  <c r="AR26" i="25"/>
  <c r="AQ26" i="25"/>
  <c r="AN26" i="25"/>
  <c r="AM26" i="25"/>
  <c r="AL26" i="25"/>
  <c r="AK26" i="25"/>
  <c r="AJ26" i="25"/>
  <c r="AI26" i="25"/>
  <c r="AU25" i="25"/>
  <c r="AT25" i="25"/>
  <c r="AS25" i="25"/>
  <c r="AR25" i="25"/>
  <c r="AQ25" i="25"/>
  <c r="AM25" i="25"/>
  <c r="AL25" i="25"/>
  <c r="AK25" i="25"/>
  <c r="AJ25" i="25"/>
  <c r="AI25" i="25"/>
  <c r="AU24" i="25"/>
  <c r="AT24" i="25"/>
  <c r="AS24" i="25"/>
  <c r="AR24" i="25"/>
  <c r="AQ24" i="25"/>
  <c r="AM24" i="25"/>
  <c r="AL24" i="25"/>
  <c r="AK24" i="25"/>
  <c r="AJ24" i="25"/>
  <c r="AI24" i="25"/>
  <c r="AU23" i="25"/>
  <c r="AT23" i="25"/>
  <c r="AS23" i="25"/>
  <c r="AR23" i="25"/>
  <c r="AQ23" i="25"/>
  <c r="AN23" i="25"/>
  <c r="AM23" i="25"/>
  <c r="AL23" i="25"/>
  <c r="AK23" i="25"/>
  <c r="AJ23" i="25"/>
  <c r="AI23" i="25"/>
  <c r="AU22" i="25"/>
  <c r="AT22" i="25"/>
  <c r="AS22" i="25"/>
  <c r="AR22" i="25"/>
  <c r="AQ22" i="25"/>
  <c r="AP22" i="25"/>
  <c r="AM22" i="25"/>
  <c r="AL22" i="25"/>
  <c r="AK22" i="25"/>
  <c r="AJ22" i="25"/>
  <c r="AI22" i="25"/>
  <c r="AU21" i="25"/>
  <c r="AT21" i="25"/>
  <c r="AS21" i="25"/>
  <c r="AR21" i="25"/>
  <c r="AQ21" i="25"/>
  <c r="AP21" i="25"/>
  <c r="AM21" i="25"/>
  <c r="AL21" i="25"/>
  <c r="AK21" i="25"/>
  <c r="AJ21" i="25"/>
  <c r="AI21" i="25"/>
  <c r="AU20" i="25"/>
  <c r="AT20" i="25"/>
  <c r="AS20" i="25"/>
  <c r="AR20" i="25"/>
  <c r="AQ20" i="25"/>
  <c r="AM20" i="25"/>
  <c r="AL20" i="25"/>
  <c r="AK20" i="25"/>
  <c r="AJ20" i="25"/>
  <c r="AI20" i="25"/>
  <c r="AU19" i="25"/>
  <c r="AT19" i="25"/>
  <c r="AS19" i="25"/>
  <c r="AR19" i="25"/>
  <c r="AQ19" i="25"/>
  <c r="AP19" i="25"/>
  <c r="AM19" i="25"/>
  <c r="AL19" i="25"/>
  <c r="AK19" i="25"/>
  <c r="AJ19" i="25"/>
  <c r="AI19" i="25"/>
  <c r="AU18" i="25"/>
  <c r="AT18" i="25"/>
  <c r="AS18" i="25"/>
  <c r="AR18" i="25"/>
  <c r="AQ18" i="25"/>
  <c r="AM18" i="25"/>
  <c r="AL18" i="25"/>
  <c r="AK18" i="25"/>
  <c r="AJ18" i="25"/>
  <c r="AI18" i="25"/>
  <c r="AU17" i="25"/>
  <c r="AT17" i="25"/>
  <c r="AS17" i="25"/>
  <c r="AR17" i="25"/>
  <c r="AQ17" i="25"/>
  <c r="AM17" i="25"/>
  <c r="AL17" i="25"/>
  <c r="AK17" i="25"/>
  <c r="AJ17" i="25"/>
  <c r="AI17" i="25"/>
  <c r="AU16" i="25"/>
  <c r="AT16" i="25"/>
  <c r="AS16" i="25"/>
  <c r="AR16" i="25"/>
  <c r="AQ16" i="25"/>
  <c r="AP16" i="25"/>
  <c r="AN16" i="25"/>
  <c r="AM16" i="25"/>
  <c r="AL16" i="25"/>
  <c r="AK16" i="25"/>
  <c r="AJ16" i="25"/>
  <c r="AI16" i="25"/>
  <c r="AU15" i="25"/>
  <c r="AT15" i="25"/>
  <c r="AS15" i="25"/>
  <c r="AR15" i="25"/>
  <c r="AQ15" i="25"/>
  <c r="AM15" i="25"/>
  <c r="AL15" i="25"/>
  <c r="AK15" i="25"/>
  <c r="AJ15" i="25"/>
  <c r="AI15" i="25"/>
  <c r="AU14" i="25"/>
  <c r="AT14" i="25"/>
  <c r="AS14" i="25"/>
  <c r="AR14" i="25"/>
  <c r="AQ14" i="25"/>
  <c r="AP14" i="25"/>
  <c r="AM14" i="25"/>
  <c r="AL14" i="25"/>
  <c r="AK14" i="25"/>
  <c r="AJ14" i="25"/>
  <c r="AI14" i="25"/>
  <c r="AU13" i="25"/>
  <c r="AT13" i="25"/>
  <c r="AS13" i="25"/>
  <c r="AR13" i="25"/>
  <c r="AQ13" i="25"/>
  <c r="AP13" i="25"/>
  <c r="AM13" i="25"/>
  <c r="AL13" i="25"/>
  <c r="AK13" i="25"/>
  <c r="AJ13" i="25"/>
  <c r="AI13" i="25"/>
  <c r="AU12" i="25"/>
  <c r="AT12" i="25"/>
  <c r="AS12" i="25"/>
  <c r="AR12" i="25"/>
  <c r="AQ12" i="25"/>
  <c r="AP12" i="25"/>
  <c r="AM12" i="25"/>
  <c r="AL12" i="25"/>
  <c r="AK12" i="25"/>
  <c r="AJ12" i="25"/>
  <c r="AI12" i="25"/>
  <c r="AU11" i="25"/>
  <c r="AT11" i="25"/>
  <c r="AS11" i="25"/>
  <c r="AR11" i="25"/>
  <c r="AQ11" i="25"/>
  <c r="AM11" i="25"/>
  <c r="AL11" i="25"/>
  <c r="AK11" i="25"/>
  <c r="AJ11" i="25"/>
  <c r="AI11" i="25"/>
  <c r="H5" i="25"/>
  <c r="G5" i="25"/>
  <c r="F5" i="25"/>
  <c r="AP33" i="25" s="1"/>
  <c r="D5" i="25"/>
  <c r="AC39" i="24"/>
  <c r="AB39" i="24"/>
  <c r="AG38" i="24"/>
  <c r="AF38" i="24"/>
  <c r="AC38" i="24"/>
  <c r="AB38" i="24"/>
  <c r="Z38" i="24"/>
  <c r="Y38" i="24"/>
  <c r="X38" i="24"/>
  <c r="V38" i="24"/>
  <c r="AG37" i="24"/>
  <c r="AG39" i="24" s="1"/>
  <c r="AF37" i="24"/>
  <c r="AF39" i="24" s="1"/>
  <c r="AE37" i="24"/>
  <c r="AD37" i="24"/>
  <c r="AC37" i="24"/>
  <c r="AB37" i="24"/>
  <c r="AA37" i="24"/>
  <c r="Z37" i="24"/>
  <c r="Z39" i="24" s="1"/>
  <c r="Y37" i="24"/>
  <c r="Y39" i="24" s="1"/>
  <c r="X37" i="24"/>
  <c r="X39" i="24" s="1"/>
  <c r="W37" i="24"/>
  <c r="V37" i="24"/>
  <c r="U37" i="24"/>
  <c r="AU35" i="24"/>
  <c r="AT35" i="24"/>
  <c r="AS35" i="24"/>
  <c r="AR35" i="24"/>
  <c r="AQ35" i="24"/>
  <c r="AM35" i="24"/>
  <c r="AL35" i="24"/>
  <c r="AK35" i="24"/>
  <c r="AJ35" i="24"/>
  <c r="AI35" i="24"/>
  <c r="AU34" i="24"/>
  <c r="AT34" i="24"/>
  <c r="AS34" i="24"/>
  <c r="AR34" i="24"/>
  <c r="AQ34" i="24"/>
  <c r="AP34" i="24"/>
  <c r="AM34" i="24"/>
  <c r="AL34" i="24"/>
  <c r="AK34" i="24"/>
  <c r="AJ34" i="24"/>
  <c r="AI34" i="24"/>
  <c r="AU33" i="24"/>
  <c r="AT33" i="24"/>
  <c r="AS33" i="24"/>
  <c r="AR33" i="24"/>
  <c r="AQ33" i="24"/>
  <c r="AP33" i="24"/>
  <c r="AM33" i="24"/>
  <c r="AL33" i="24"/>
  <c r="AK33" i="24"/>
  <c r="AJ33" i="24"/>
  <c r="AI33" i="24"/>
  <c r="AU32" i="24"/>
  <c r="AT32" i="24"/>
  <c r="AS32" i="24"/>
  <c r="AR32" i="24"/>
  <c r="AQ32" i="24"/>
  <c r="AP32" i="24"/>
  <c r="AM32" i="24"/>
  <c r="AL32" i="24"/>
  <c r="AK32" i="24"/>
  <c r="AJ32" i="24"/>
  <c r="AI32" i="24"/>
  <c r="AU31" i="24"/>
  <c r="AT31" i="24"/>
  <c r="AS31" i="24"/>
  <c r="AR31" i="24"/>
  <c r="AQ31" i="24"/>
  <c r="AP31" i="24"/>
  <c r="AN31" i="24"/>
  <c r="AM31" i="24"/>
  <c r="AL31" i="24"/>
  <c r="AK31" i="24"/>
  <c r="AJ31" i="24"/>
  <c r="AI31" i="24"/>
  <c r="AU30" i="24"/>
  <c r="AT30" i="24"/>
  <c r="AS30" i="24"/>
  <c r="AR30" i="24"/>
  <c r="AQ30" i="24"/>
  <c r="AP30" i="24"/>
  <c r="AM30" i="24"/>
  <c r="AL30" i="24"/>
  <c r="AK30" i="24"/>
  <c r="AJ30" i="24"/>
  <c r="AI30" i="24"/>
  <c r="AU29" i="24"/>
  <c r="AT29" i="24"/>
  <c r="AS29" i="24"/>
  <c r="AR29" i="24"/>
  <c r="AQ29" i="24"/>
  <c r="AP29" i="24"/>
  <c r="AM29" i="24"/>
  <c r="AL29" i="24"/>
  <c r="AK29" i="24"/>
  <c r="AJ29" i="24"/>
  <c r="AI29" i="24"/>
  <c r="AU28" i="24"/>
  <c r="AT28" i="24"/>
  <c r="AS28" i="24"/>
  <c r="AR28" i="24"/>
  <c r="AQ28" i="24"/>
  <c r="AP28" i="24"/>
  <c r="AM28" i="24"/>
  <c r="AL28" i="24"/>
  <c r="AK28" i="24"/>
  <c r="AJ28" i="24"/>
  <c r="AI28" i="24"/>
  <c r="AU27" i="24"/>
  <c r="AT27" i="24"/>
  <c r="AS27" i="24"/>
  <c r="AR27" i="24"/>
  <c r="AQ27" i="24"/>
  <c r="AP27" i="24"/>
  <c r="AM27" i="24"/>
  <c r="AL27" i="24"/>
  <c r="AK27" i="24"/>
  <c r="AJ27" i="24"/>
  <c r="AI27" i="24"/>
  <c r="AU26" i="24"/>
  <c r="AT26" i="24"/>
  <c r="AS26" i="24"/>
  <c r="AR26" i="24"/>
  <c r="AQ26" i="24"/>
  <c r="AP26" i="24"/>
  <c r="AM26" i="24"/>
  <c r="AL26" i="24"/>
  <c r="AK26" i="24"/>
  <c r="AJ26" i="24"/>
  <c r="AI26" i="24"/>
  <c r="AU25" i="24"/>
  <c r="AT25" i="24"/>
  <c r="AS25" i="24"/>
  <c r="AR25" i="24"/>
  <c r="AQ25" i="24"/>
  <c r="AM25" i="24"/>
  <c r="AL25" i="24"/>
  <c r="AK25" i="24"/>
  <c r="AJ25" i="24"/>
  <c r="AI25" i="24"/>
  <c r="AU24" i="24"/>
  <c r="AT24" i="24"/>
  <c r="AS24" i="24"/>
  <c r="AR24" i="24"/>
  <c r="AQ24" i="24"/>
  <c r="AP24" i="24"/>
  <c r="AM24" i="24"/>
  <c r="AL24" i="24"/>
  <c r="AK24" i="24"/>
  <c r="AJ24" i="24"/>
  <c r="AI24" i="24"/>
  <c r="AU23" i="24"/>
  <c r="AT23" i="24"/>
  <c r="AS23" i="24"/>
  <c r="AR23" i="24"/>
  <c r="AQ23" i="24"/>
  <c r="AP23" i="24"/>
  <c r="AM23" i="24"/>
  <c r="AL23" i="24"/>
  <c r="AK23" i="24"/>
  <c r="AJ23" i="24"/>
  <c r="AI23" i="24"/>
  <c r="AU22" i="24"/>
  <c r="AT22" i="24"/>
  <c r="AS22" i="24"/>
  <c r="AR22" i="24"/>
  <c r="AQ22" i="24"/>
  <c r="AP22" i="24"/>
  <c r="AM22" i="24"/>
  <c r="AL22" i="24"/>
  <c r="AK22" i="24"/>
  <c r="AJ22" i="24"/>
  <c r="AI22" i="24"/>
  <c r="AU21" i="24"/>
  <c r="AT21" i="24"/>
  <c r="AS21" i="24"/>
  <c r="AR21" i="24"/>
  <c r="AQ21" i="24"/>
  <c r="AP21" i="24"/>
  <c r="AM21" i="24"/>
  <c r="AL21" i="24"/>
  <c r="AK21" i="24"/>
  <c r="AJ21" i="24"/>
  <c r="AI21" i="24"/>
  <c r="AU20" i="24"/>
  <c r="AT20" i="24"/>
  <c r="AS20" i="24"/>
  <c r="AR20" i="24"/>
  <c r="AQ20" i="24"/>
  <c r="AM20" i="24"/>
  <c r="AL20" i="24"/>
  <c r="AK20" i="24"/>
  <c r="AJ20" i="24"/>
  <c r="AI20" i="24"/>
  <c r="AU19" i="24"/>
  <c r="AT19" i="24"/>
  <c r="AS19" i="24"/>
  <c r="AR19" i="24"/>
  <c r="AQ19" i="24"/>
  <c r="AM19" i="24"/>
  <c r="AL19" i="24"/>
  <c r="AK19" i="24"/>
  <c r="AJ19" i="24"/>
  <c r="AI19" i="24"/>
  <c r="AU18" i="24"/>
  <c r="AT18" i="24"/>
  <c r="AS18" i="24"/>
  <c r="AR18" i="24"/>
  <c r="AQ18" i="24"/>
  <c r="AP18" i="24"/>
  <c r="AM18" i="24"/>
  <c r="AL18" i="24"/>
  <c r="AK18" i="24"/>
  <c r="AJ18" i="24"/>
  <c r="AI18" i="24"/>
  <c r="AU17" i="24"/>
  <c r="AT17" i="24"/>
  <c r="AS17" i="24"/>
  <c r="AR17" i="24"/>
  <c r="AQ17" i="24"/>
  <c r="AP17" i="24"/>
  <c r="AM17" i="24"/>
  <c r="AL17" i="24"/>
  <c r="AK17" i="24"/>
  <c r="AJ17" i="24"/>
  <c r="AI17" i="24"/>
  <c r="AU16" i="24"/>
  <c r="AT16" i="24"/>
  <c r="AS16" i="24"/>
  <c r="AR16" i="24"/>
  <c r="AQ16" i="24"/>
  <c r="AP16" i="24"/>
  <c r="AM16" i="24"/>
  <c r="AL16" i="24"/>
  <c r="AK16" i="24"/>
  <c r="AJ16" i="24"/>
  <c r="AI16" i="24"/>
  <c r="AU15" i="24"/>
  <c r="AT15" i="24"/>
  <c r="AS15" i="24"/>
  <c r="AR15" i="24"/>
  <c r="AQ15" i="24"/>
  <c r="AP15" i="24"/>
  <c r="AM15" i="24"/>
  <c r="AL15" i="24"/>
  <c r="AK15" i="24"/>
  <c r="AJ15" i="24"/>
  <c r="AI15" i="24"/>
  <c r="AU14" i="24"/>
  <c r="AT14" i="24"/>
  <c r="AS14" i="24"/>
  <c r="AR14" i="24"/>
  <c r="AQ14" i="24"/>
  <c r="AP14" i="24"/>
  <c r="AM14" i="24"/>
  <c r="AL14" i="24"/>
  <c r="AK14" i="24"/>
  <c r="AJ14" i="24"/>
  <c r="AI14" i="24"/>
  <c r="AU13" i="24"/>
  <c r="AT13" i="24"/>
  <c r="AS13" i="24"/>
  <c r="AR13" i="24"/>
  <c r="AQ13" i="24"/>
  <c r="AP13" i="24"/>
  <c r="AM13" i="24"/>
  <c r="AL13" i="24"/>
  <c r="AK13" i="24"/>
  <c r="AJ13" i="24"/>
  <c r="AI13" i="24"/>
  <c r="AU12" i="24"/>
  <c r="AT12" i="24"/>
  <c r="AS12" i="24"/>
  <c r="AR12" i="24"/>
  <c r="AQ12" i="24"/>
  <c r="AP12" i="24"/>
  <c r="AN12" i="24"/>
  <c r="AM12" i="24"/>
  <c r="AL12" i="24"/>
  <c r="AK12" i="24"/>
  <c r="AJ12" i="24"/>
  <c r="AI12" i="24"/>
  <c r="AU11" i="24"/>
  <c r="AT11" i="24"/>
  <c r="AS11" i="24"/>
  <c r="AR11" i="24"/>
  <c r="AQ11" i="24"/>
  <c r="AP11" i="24"/>
  <c r="AM11" i="24"/>
  <c r="AL11" i="24"/>
  <c r="AK11" i="24"/>
  <c r="AJ11" i="24"/>
  <c r="AI11" i="24"/>
  <c r="G5" i="24"/>
  <c r="F5" i="24"/>
  <c r="AP35" i="24" s="1"/>
  <c r="D5" i="24"/>
  <c r="H5" i="24" s="1"/>
  <c r="AN24" i="24" s="1"/>
  <c r="AG39" i="23"/>
  <c r="AF39" i="23"/>
  <c r="Y39" i="23"/>
  <c r="AG38" i="23"/>
  <c r="AF38" i="23"/>
  <c r="AC38" i="23"/>
  <c r="AB38" i="23"/>
  <c r="Z38" i="23"/>
  <c r="Y38" i="23"/>
  <c r="X38" i="23"/>
  <c r="AG37" i="23"/>
  <c r="AF37" i="23"/>
  <c r="AE37" i="23"/>
  <c r="AD37" i="23"/>
  <c r="AC37" i="23"/>
  <c r="AC39" i="23" s="1"/>
  <c r="AB37" i="23"/>
  <c r="AB39" i="23" s="1"/>
  <c r="AA37" i="23"/>
  <c r="Z37" i="23"/>
  <c r="Z39" i="23" s="1"/>
  <c r="Y37" i="23"/>
  <c r="X37" i="23"/>
  <c r="X39" i="23" s="1"/>
  <c r="W37" i="23"/>
  <c r="V37" i="23"/>
  <c r="U37" i="23"/>
  <c r="AU35" i="23"/>
  <c r="AT35" i="23"/>
  <c r="AS35" i="23"/>
  <c r="AR35" i="23"/>
  <c r="AQ35" i="23"/>
  <c r="AM35" i="23"/>
  <c r="AL35" i="23"/>
  <c r="AK35" i="23"/>
  <c r="AJ35" i="23"/>
  <c r="AI35" i="23"/>
  <c r="AU34" i="23"/>
  <c r="AT34" i="23"/>
  <c r="AS34" i="23"/>
  <c r="AR34" i="23"/>
  <c r="AQ34" i="23"/>
  <c r="AM34" i="23"/>
  <c r="AL34" i="23"/>
  <c r="AK34" i="23"/>
  <c r="AJ34" i="23"/>
  <c r="AI34" i="23"/>
  <c r="AU33" i="23"/>
  <c r="AT33" i="23"/>
  <c r="AS33" i="23"/>
  <c r="AR33" i="23"/>
  <c r="AQ33" i="23"/>
  <c r="AM33" i="23"/>
  <c r="AL33" i="23"/>
  <c r="AK33" i="23"/>
  <c r="AJ33" i="23"/>
  <c r="AI33" i="23"/>
  <c r="AU32" i="23"/>
  <c r="AT32" i="23"/>
  <c r="AS32" i="23"/>
  <c r="AR32" i="23"/>
  <c r="AQ32" i="23"/>
  <c r="AM32" i="23"/>
  <c r="AL32" i="23"/>
  <c r="AK32" i="23"/>
  <c r="AJ32" i="23"/>
  <c r="AI32" i="23"/>
  <c r="AU31" i="23"/>
  <c r="AT31" i="23"/>
  <c r="AS31" i="23"/>
  <c r="AR31" i="23"/>
  <c r="AQ31" i="23"/>
  <c r="AM31" i="23"/>
  <c r="AL31" i="23"/>
  <c r="AK31" i="23"/>
  <c r="AJ31" i="23"/>
  <c r="AI31" i="23"/>
  <c r="AU30" i="23"/>
  <c r="AT30" i="23"/>
  <c r="AS30" i="23"/>
  <c r="AR30" i="23"/>
  <c r="AQ30" i="23"/>
  <c r="AM30" i="23"/>
  <c r="AL30" i="23"/>
  <c r="AK30" i="23"/>
  <c r="AJ30" i="23"/>
  <c r="AI30" i="23"/>
  <c r="AU29" i="23"/>
  <c r="AT29" i="23"/>
  <c r="AS29" i="23"/>
  <c r="AR29" i="23"/>
  <c r="AQ29" i="23"/>
  <c r="AM29" i="23"/>
  <c r="AL29" i="23"/>
  <c r="AK29" i="23"/>
  <c r="AJ29" i="23"/>
  <c r="AI29" i="23"/>
  <c r="AU28" i="23"/>
  <c r="AT28" i="23"/>
  <c r="AS28" i="23"/>
  <c r="AR28" i="23"/>
  <c r="AQ28" i="23"/>
  <c r="AM28" i="23"/>
  <c r="AL28" i="23"/>
  <c r="AK28" i="23"/>
  <c r="AJ28" i="23"/>
  <c r="AI28" i="23"/>
  <c r="AU27" i="23"/>
  <c r="AT27" i="23"/>
  <c r="AS27" i="23"/>
  <c r="AR27" i="23"/>
  <c r="AQ27" i="23"/>
  <c r="AM27" i="23"/>
  <c r="AL27" i="23"/>
  <c r="AK27" i="23"/>
  <c r="AJ27" i="23"/>
  <c r="AI27" i="23"/>
  <c r="AU26" i="23"/>
  <c r="AT26" i="23"/>
  <c r="AS26" i="23"/>
  <c r="AR26" i="23"/>
  <c r="AQ26" i="23"/>
  <c r="AM26" i="23"/>
  <c r="AL26" i="23"/>
  <c r="AK26" i="23"/>
  <c r="AJ26" i="23"/>
  <c r="AI26" i="23"/>
  <c r="AU25" i="23"/>
  <c r="AT25" i="23"/>
  <c r="AS25" i="23"/>
  <c r="AR25" i="23"/>
  <c r="AQ25" i="23"/>
  <c r="AM25" i="23"/>
  <c r="AL25" i="23"/>
  <c r="AK25" i="23"/>
  <c r="AJ25" i="23"/>
  <c r="AI25" i="23"/>
  <c r="AU24" i="23"/>
  <c r="AT24" i="23"/>
  <c r="AS24" i="23"/>
  <c r="AR24" i="23"/>
  <c r="AQ24" i="23"/>
  <c r="AM24" i="23"/>
  <c r="AL24" i="23"/>
  <c r="AK24" i="23"/>
  <c r="AJ24" i="23"/>
  <c r="AI24" i="23"/>
  <c r="AU23" i="23"/>
  <c r="AT23" i="23"/>
  <c r="AS23" i="23"/>
  <c r="AR23" i="23"/>
  <c r="AQ23" i="23"/>
  <c r="AM23" i="23"/>
  <c r="AL23" i="23"/>
  <c r="AK23" i="23"/>
  <c r="AJ23" i="23"/>
  <c r="AI23" i="23"/>
  <c r="AU22" i="23"/>
  <c r="AT22" i="23"/>
  <c r="AS22" i="23"/>
  <c r="AR22" i="23"/>
  <c r="AQ22" i="23"/>
  <c r="AM22" i="23"/>
  <c r="AL22" i="23"/>
  <c r="AK22" i="23"/>
  <c r="AJ22" i="23"/>
  <c r="AI22" i="23"/>
  <c r="AU21" i="23"/>
  <c r="AT21" i="23"/>
  <c r="AS21" i="23"/>
  <c r="AR21" i="23"/>
  <c r="AQ21" i="23"/>
  <c r="AM21" i="23"/>
  <c r="AL21" i="23"/>
  <c r="AK21" i="23"/>
  <c r="AJ21" i="23"/>
  <c r="AI21" i="23"/>
  <c r="AU20" i="23"/>
  <c r="AT20" i="23"/>
  <c r="AS20" i="23"/>
  <c r="AR20" i="23"/>
  <c r="AQ20" i="23"/>
  <c r="AM20" i="23"/>
  <c r="AL20" i="23"/>
  <c r="AK20" i="23"/>
  <c r="AJ20" i="23"/>
  <c r="AI20" i="23"/>
  <c r="AU19" i="23"/>
  <c r="AT19" i="23"/>
  <c r="AS19" i="23"/>
  <c r="AR19" i="23"/>
  <c r="AQ19" i="23"/>
  <c r="AM19" i="23"/>
  <c r="AL19" i="23"/>
  <c r="AK19" i="23"/>
  <c r="AJ19" i="23"/>
  <c r="AI19" i="23"/>
  <c r="AU18" i="23"/>
  <c r="AT18" i="23"/>
  <c r="AS18" i="23"/>
  <c r="AR18" i="23"/>
  <c r="AQ18" i="23"/>
  <c r="AM18" i="23"/>
  <c r="AL18" i="23"/>
  <c r="AK18" i="23"/>
  <c r="AJ18" i="23"/>
  <c r="AI18" i="23"/>
  <c r="AU17" i="23"/>
  <c r="AT17" i="23"/>
  <c r="AS17" i="23"/>
  <c r="AR17" i="23"/>
  <c r="AQ17" i="23"/>
  <c r="AM17" i="23"/>
  <c r="AL17" i="23"/>
  <c r="AK17" i="23"/>
  <c r="AJ17" i="23"/>
  <c r="AI17" i="23"/>
  <c r="AU16" i="23"/>
  <c r="AT16" i="23"/>
  <c r="AS16" i="23"/>
  <c r="AR16" i="23"/>
  <c r="AQ16" i="23"/>
  <c r="AM16" i="23"/>
  <c r="AL16" i="23"/>
  <c r="AK16" i="23"/>
  <c r="AJ16" i="23"/>
  <c r="AI16" i="23"/>
  <c r="AU15" i="23"/>
  <c r="AT15" i="23"/>
  <c r="AS15" i="23"/>
  <c r="AR15" i="23"/>
  <c r="AQ15" i="23"/>
  <c r="AM15" i="23"/>
  <c r="AL15" i="23"/>
  <c r="AK15" i="23"/>
  <c r="AJ15" i="23"/>
  <c r="AI15" i="23"/>
  <c r="AU14" i="23"/>
  <c r="AT14" i="23"/>
  <c r="AS14" i="23"/>
  <c r="AR14" i="23"/>
  <c r="AQ14" i="23"/>
  <c r="AM14" i="23"/>
  <c r="AL14" i="23"/>
  <c r="AK14" i="23"/>
  <c r="AJ14" i="23"/>
  <c r="AI14" i="23"/>
  <c r="AU13" i="23"/>
  <c r="AT13" i="23"/>
  <c r="AS13" i="23"/>
  <c r="AR13" i="23"/>
  <c r="AQ13" i="23"/>
  <c r="AM13" i="23"/>
  <c r="AL13" i="23"/>
  <c r="AK13" i="23"/>
  <c r="AJ13" i="23"/>
  <c r="AI13" i="23"/>
  <c r="AU12" i="23"/>
  <c r="AT12" i="23"/>
  <c r="AS12" i="23"/>
  <c r="AR12" i="23"/>
  <c r="AQ12" i="23"/>
  <c r="AM12" i="23"/>
  <c r="AL12" i="23"/>
  <c r="AK12" i="23"/>
  <c r="AJ12" i="23"/>
  <c r="AI12" i="23"/>
  <c r="AU11" i="23"/>
  <c r="AT11" i="23"/>
  <c r="AS11" i="23"/>
  <c r="AR11" i="23"/>
  <c r="AQ11" i="23"/>
  <c r="AM11" i="23"/>
  <c r="AL11" i="23"/>
  <c r="AK11" i="23"/>
  <c r="AJ11" i="23"/>
  <c r="AI11" i="23"/>
  <c r="D5" i="23"/>
  <c r="AG39" i="22"/>
  <c r="AF39" i="22"/>
  <c r="Z39" i="22"/>
  <c r="Y39" i="22"/>
  <c r="X39" i="22"/>
  <c r="AG38" i="22"/>
  <c r="AF38" i="22"/>
  <c r="AC38" i="22"/>
  <c r="AB38" i="22"/>
  <c r="Z38" i="22"/>
  <c r="Y38" i="22"/>
  <c r="X38" i="22"/>
  <c r="AG37" i="22"/>
  <c r="AF37" i="22"/>
  <c r="AE37" i="22"/>
  <c r="AD37" i="22"/>
  <c r="AC37" i="22"/>
  <c r="AC39" i="22" s="1"/>
  <c r="AB37" i="22"/>
  <c r="AB39" i="22" s="1"/>
  <c r="AA37" i="22"/>
  <c r="Z37" i="22"/>
  <c r="Y37" i="22"/>
  <c r="X37" i="22"/>
  <c r="W37" i="22"/>
  <c r="V37" i="22"/>
  <c r="U37" i="22"/>
  <c r="AU35" i="22"/>
  <c r="AT35" i="22"/>
  <c r="AS35" i="22"/>
  <c r="AR35" i="22"/>
  <c r="AQ35" i="22"/>
  <c r="AM35" i="22"/>
  <c r="AL35" i="22"/>
  <c r="AK35" i="22"/>
  <c r="AJ35" i="22"/>
  <c r="AI35" i="22"/>
  <c r="AU34" i="22"/>
  <c r="AT34" i="22"/>
  <c r="AS34" i="22"/>
  <c r="AR34" i="22"/>
  <c r="AQ34" i="22"/>
  <c r="AM34" i="22"/>
  <c r="AL34" i="22"/>
  <c r="AK34" i="22"/>
  <c r="AJ34" i="22"/>
  <c r="AI34" i="22"/>
  <c r="AU33" i="22"/>
  <c r="AT33" i="22"/>
  <c r="AS33" i="22"/>
  <c r="AR33" i="22"/>
  <c r="AQ33" i="22"/>
  <c r="AM33" i="22"/>
  <c r="AL33" i="22"/>
  <c r="AK33" i="22"/>
  <c r="AJ33" i="22"/>
  <c r="AI33" i="22"/>
  <c r="AU32" i="22"/>
  <c r="AT32" i="22"/>
  <c r="AS32" i="22"/>
  <c r="AR32" i="22"/>
  <c r="AQ32" i="22"/>
  <c r="AM32" i="22"/>
  <c r="AL32" i="22"/>
  <c r="AK32" i="22"/>
  <c r="AJ32" i="22"/>
  <c r="AI32" i="22"/>
  <c r="AU31" i="22"/>
  <c r="AT31" i="22"/>
  <c r="AS31" i="22"/>
  <c r="AR31" i="22"/>
  <c r="AQ31" i="22"/>
  <c r="AM31" i="22"/>
  <c r="AL31" i="22"/>
  <c r="AK31" i="22"/>
  <c r="AJ31" i="22"/>
  <c r="AI31" i="22"/>
  <c r="AU30" i="22"/>
  <c r="AT30" i="22"/>
  <c r="AS30" i="22"/>
  <c r="AR30" i="22"/>
  <c r="AQ30" i="22"/>
  <c r="AM30" i="22"/>
  <c r="AL30" i="22"/>
  <c r="AK30" i="22"/>
  <c r="AJ30" i="22"/>
  <c r="AI30" i="22"/>
  <c r="AU29" i="22"/>
  <c r="AT29" i="22"/>
  <c r="AS29" i="22"/>
  <c r="AR29" i="22"/>
  <c r="AQ29" i="22"/>
  <c r="AM29" i="22"/>
  <c r="AL29" i="22"/>
  <c r="AK29" i="22"/>
  <c r="AJ29" i="22"/>
  <c r="AI29" i="22"/>
  <c r="AU28" i="22"/>
  <c r="AT28" i="22"/>
  <c r="AS28" i="22"/>
  <c r="AR28" i="22"/>
  <c r="AQ28" i="22"/>
  <c r="AM28" i="22"/>
  <c r="AL28" i="22"/>
  <c r="AK28" i="22"/>
  <c r="AJ28" i="22"/>
  <c r="AI28" i="22"/>
  <c r="AU27" i="22"/>
  <c r="AT27" i="22"/>
  <c r="AS27" i="22"/>
  <c r="AR27" i="22"/>
  <c r="AQ27" i="22"/>
  <c r="AM27" i="22"/>
  <c r="AL27" i="22"/>
  <c r="AK27" i="22"/>
  <c r="AJ27" i="22"/>
  <c r="AI27" i="22"/>
  <c r="AU26" i="22"/>
  <c r="AT26" i="22"/>
  <c r="AS26" i="22"/>
  <c r="AR26" i="22"/>
  <c r="AQ26" i="22"/>
  <c r="AM26" i="22"/>
  <c r="AL26" i="22"/>
  <c r="AK26" i="22"/>
  <c r="AJ26" i="22"/>
  <c r="AI26" i="22"/>
  <c r="AU25" i="22"/>
  <c r="AT25" i="22"/>
  <c r="AS25" i="22"/>
  <c r="AR25" i="22"/>
  <c r="AQ25" i="22"/>
  <c r="AP25" i="22"/>
  <c r="AM25" i="22"/>
  <c r="AL25" i="22"/>
  <c r="AK25" i="22"/>
  <c r="AJ25" i="22"/>
  <c r="AI25" i="22"/>
  <c r="AU24" i="22"/>
  <c r="AT24" i="22"/>
  <c r="AS24" i="22"/>
  <c r="AR24" i="22"/>
  <c r="AQ24" i="22"/>
  <c r="AM24" i="22"/>
  <c r="AL24" i="22"/>
  <c r="AK24" i="22"/>
  <c r="AJ24" i="22"/>
  <c r="AI24" i="22"/>
  <c r="AU23" i="22"/>
  <c r="AT23" i="22"/>
  <c r="AS23" i="22"/>
  <c r="AR23" i="22"/>
  <c r="AQ23" i="22"/>
  <c r="AM23" i="22"/>
  <c r="AL23" i="22"/>
  <c r="AK23" i="22"/>
  <c r="AJ23" i="22"/>
  <c r="AI23" i="22"/>
  <c r="AU22" i="22"/>
  <c r="AT22" i="22"/>
  <c r="AS22" i="22"/>
  <c r="AR22" i="22"/>
  <c r="AQ22" i="22"/>
  <c r="AM22" i="22"/>
  <c r="AL22" i="22"/>
  <c r="AK22" i="22"/>
  <c r="AJ22" i="22"/>
  <c r="AI22" i="22"/>
  <c r="AU21" i="22"/>
  <c r="AT21" i="22"/>
  <c r="AS21" i="22"/>
  <c r="AR21" i="22"/>
  <c r="AQ21" i="22"/>
  <c r="AM21" i="22"/>
  <c r="AL21" i="22"/>
  <c r="AK21" i="22"/>
  <c r="AJ21" i="22"/>
  <c r="AI21" i="22"/>
  <c r="AU20" i="22"/>
  <c r="AT20" i="22"/>
  <c r="AS20" i="22"/>
  <c r="AR20" i="22"/>
  <c r="AQ20" i="22"/>
  <c r="AM20" i="22"/>
  <c r="AL20" i="22"/>
  <c r="AK20" i="22"/>
  <c r="AJ20" i="22"/>
  <c r="AI20" i="22"/>
  <c r="AU19" i="22"/>
  <c r="AT19" i="22"/>
  <c r="AS19" i="22"/>
  <c r="AR19" i="22"/>
  <c r="AQ19" i="22"/>
  <c r="AM19" i="22"/>
  <c r="AL19" i="22"/>
  <c r="AK19" i="22"/>
  <c r="AJ19" i="22"/>
  <c r="AI19" i="22"/>
  <c r="AU18" i="22"/>
  <c r="AT18" i="22"/>
  <c r="AS18" i="22"/>
  <c r="AR18" i="22"/>
  <c r="AQ18" i="22"/>
  <c r="AP18" i="22"/>
  <c r="AM18" i="22"/>
  <c r="AL18" i="22"/>
  <c r="AK18" i="22"/>
  <c r="AJ18" i="22"/>
  <c r="AI18" i="22"/>
  <c r="AU17" i="22"/>
  <c r="AT17" i="22"/>
  <c r="AS17" i="22"/>
  <c r="AR17" i="22"/>
  <c r="AQ17" i="22"/>
  <c r="AM17" i="22"/>
  <c r="AL17" i="22"/>
  <c r="AK17" i="22"/>
  <c r="AJ17" i="22"/>
  <c r="AI17" i="22"/>
  <c r="AU16" i="22"/>
  <c r="AT16" i="22"/>
  <c r="AS16" i="22"/>
  <c r="AR16" i="22"/>
  <c r="AQ16" i="22"/>
  <c r="AM16" i="22"/>
  <c r="AL16" i="22"/>
  <c r="AK16" i="22"/>
  <c r="AJ16" i="22"/>
  <c r="AI16" i="22"/>
  <c r="AU15" i="22"/>
  <c r="AT15" i="22"/>
  <c r="AS15" i="22"/>
  <c r="AR15" i="22"/>
  <c r="AQ15" i="22"/>
  <c r="AM15" i="22"/>
  <c r="AL15" i="22"/>
  <c r="AK15" i="22"/>
  <c r="AJ15" i="22"/>
  <c r="AI15" i="22"/>
  <c r="AU14" i="22"/>
  <c r="AT14" i="22"/>
  <c r="AS14" i="22"/>
  <c r="AR14" i="22"/>
  <c r="AQ14" i="22"/>
  <c r="AM14" i="22"/>
  <c r="AL14" i="22"/>
  <c r="AK14" i="22"/>
  <c r="AJ14" i="22"/>
  <c r="AI14" i="22"/>
  <c r="AU13" i="22"/>
  <c r="AT13" i="22"/>
  <c r="AS13" i="22"/>
  <c r="AR13" i="22"/>
  <c r="AQ13" i="22"/>
  <c r="AM13" i="22"/>
  <c r="AL13" i="22"/>
  <c r="AK13" i="22"/>
  <c r="AJ13" i="22"/>
  <c r="AI13" i="22"/>
  <c r="AU12" i="22"/>
  <c r="AT12" i="22"/>
  <c r="AS12" i="22"/>
  <c r="AR12" i="22"/>
  <c r="AQ12" i="22"/>
  <c r="AM12" i="22"/>
  <c r="AL12" i="22"/>
  <c r="AK12" i="22"/>
  <c r="AJ12" i="22"/>
  <c r="AI12" i="22"/>
  <c r="AU11" i="22"/>
  <c r="AT11" i="22"/>
  <c r="AS11" i="22"/>
  <c r="AR11" i="22"/>
  <c r="AQ11" i="22"/>
  <c r="AP11" i="22"/>
  <c r="AM11" i="22"/>
  <c r="AL11" i="22"/>
  <c r="AK11" i="22"/>
  <c r="AJ11" i="22"/>
  <c r="AI11" i="22"/>
  <c r="D5" i="22"/>
  <c r="F5" i="22" s="1"/>
  <c r="AC39" i="21"/>
  <c r="Z39" i="21"/>
  <c r="Y39" i="21"/>
  <c r="AG38" i="21"/>
  <c r="AF38" i="21"/>
  <c r="AC38" i="21"/>
  <c r="AB38" i="21"/>
  <c r="Z38" i="21"/>
  <c r="Y38" i="21"/>
  <c r="X38" i="21"/>
  <c r="AG37" i="21"/>
  <c r="AG39" i="21" s="1"/>
  <c r="AF37" i="21"/>
  <c r="AF39" i="21" s="1"/>
  <c r="AE37" i="21"/>
  <c r="AD37" i="21"/>
  <c r="AC37" i="21"/>
  <c r="AB37" i="21"/>
  <c r="AB39" i="21" s="1"/>
  <c r="AA37" i="21"/>
  <c r="Z37" i="21"/>
  <c r="Y37" i="21"/>
  <c r="X37" i="21"/>
  <c r="X39" i="21" s="1"/>
  <c r="W37" i="21"/>
  <c r="V37" i="21"/>
  <c r="U37" i="21"/>
  <c r="AU35" i="21"/>
  <c r="AT35" i="21"/>
  <c r="AS35" i="21"/>
  <c r="AR35" i="21"/>
  <c r="AQ35" i="21"/>
  <c r="AM35" i="21"/>
  <c r="AL35" i="21"/>
  <c r="AK35" i="21"/>
  <c r="AJ35" i="21"/>
  <c r="AI35" i="21"/>
  <c r="AU34" i="21"/>
  <c r="AT34" i="21"/>
  <c r="AS34" i="21"/>
  <c r="AR34" i="21"/>
  <c r="AQ34" i="21"/>
  <c r="AM34" i="21"/>
  <c r="AL34" i="21"/>
  <c r="AK34" i="21"/>
  <c r="AJ34" i="21"/>
  <c r="AI34" i="21"/>
  <c r="AU33" i="21"/>
  <c r="AT33" i="21"/>
  <c r="AS33" i="21"/>
  <c r="AR33" i="21"/>
  <c r="AQ33" i="21"/>
  <c r="AM33" i="21"/>
  <c r="AL33" i="21"/>
  <c r="AK33" i="21"/>
  <c r="AJ33" i="21"/>
  <c r="AI33" i="21"/>
  <c r="AU32" i="21"/>
  <c r="AT32" i="21"/>
  <c r="AS32" i="21"/>
  <c r="AR32" i="21"/>
  <c r="AQ32" i="21"/>
  <c r="AP32" i="21"/>
  <c r="AO32" i="21"/>
  <c r="AM32" i="21"/>
  <c r="AL32" i="21"/>
  <c r="AK32" i="21"/>
  <c r="AJ32" i="21"/>
  <c r="AI32" i="21"/>
  <c r="AU31" i="21"/>
  <c r="AT31" i="21"/>
  <c r="AS31" i="21"/>
  <c r="AR31" i="21"/>
  <c r="AQ31" i="21"/>
  <c r="AM31" i="21"/>
  <c r="AL31" i="21"/>
  <c r="AK31" i="21"/>
  <c r="AJ31" i="21"/>
  <c r="AI31" i="21"/>
  <c r="AU30" i="21"/>
  <c r="AT30" i="21"/>
  <c r="AS30" i="21"/>
  <c r="AR30" i="21"/>
  <c r="AQ30" i="21"/>
  <c r="AM30" i="21"/>
  <c r="AL30" i="21"/>
  <c r="AK30" i="21"/>
  <c r="AJ30" i="21"/>
  <c r="AI30" i="21"/>
  <c r="AU29" i="21"/>
  <c r="AT29" i="21"/>
  <c r="AS29" i="21"/>
  <c r="AR29" i="21"/>
  <c r="AQ29" i="21"/>
  <c r="AM29" i="21"/>
  <c r="AL29" i="21"/>
  <c r="AK29" i="21"/>
  <c r="AJ29" i="21"/>
  <c r="AI29" i="21"/>
  <c r="AU28" i="21"/>
  <c r="AT28" i="21"/>
  <c r="AS28" i="21"/>
  <c r="AR28" i="21"/>
  <c r="AQ28" i="21"/>
  <c r="AM28" i="21"/>
  <c r="AL28" i="21"/>
  <c r="AK28" i="21"/>
  <c r="AJ28" i="21"/>
  <c r="AI28" i="21"/>
  <c r="AU27" i="21"/>
  <c r="AT27" i="21"/>
  <c r="AS27" i="21"/>
  <c r="AR27" i="21"/>
  <c r="AQ27" i="21"/>
  <c r="AM27" i="21"/>
  <c r="AL27" i="21"/>
  <c r="AK27" i="21"/>
  <c r="AJ27" i="21"/>
  <c r="AI27" i="21"/>
  <c r="AU26" i="21"/>
  <c r="AT26" i="21"/>
  <c r="AS26" i="21"/>
  <c r="AR26" i="21"/>
  <c r="AQ26" i="21"/>
  <c r="AM26" i="21"/>
  <c r="AL26" i="21"/>
  <c r="AK26" i="21"/>
  <c r="AJ26" i="21"/>
  <c r="AI26" i="21"/>
  <c r="AU25" i="21"/>
  <c r="AT25" i="21"/>
  <c r="AS25" i="21"/>
  <c r="AR25" i="21"/>
  <c r="AQ25" i="21"/>
  <c r="AM25" i="21"/>
  <c r="AL25" i="21"/>
  <c r="AK25" i="21"/>
  <c r="AJ25" i="21"/>
  <c r="AI25" i="21"/>
  <c r="AU24" i="21"/>
  <c r="AT24" i="21"/>
  <c r="AS24" i="21"/>
  <c r="AR24" i="21"/>
  <c r="AQ24" i="21"/>
  <c r="AO24" i="21"/>
  <c r="AM24" i="21"/>
  <c r="AL24" i="21"/>
  <c r="AK24" i="21"/>
  <c r="AJ24" i="21"/>
  <c r="AI24" i="21"/>
  <c r="AU23" i="21"/>
  <c r="AT23" i="21"/>
  <c r="AS23" i="21"/>
  <c r="AR23" i="21"/>
  <c r="AQ23" i="21"/>
  <c r="AM23" i="21"/>
  <c r="AL23" i="21"/>
  <c r="AK23" i="21"/>
  <c r="AJ23" i="21"/>
  <c r="AI23" i="21"/>
  <c r="AU22" i="21"/>
  <c r="AT22" i="21"/>
  <c r="AS22" i="21"/>
  <c r="AR22" i="21"/>
  <c r="AQ22" i="21"/>
  <c r="AM22" i="21"/>
  <c r="AL22" i="21"/>
  <c r="AK22" i="21"/>
  <c r="AJ22" i="21"/>
  <c r="AI22" i="21"/>
  <c r="AU21" i="21"/>
  <c r="AT21" i="21"/>
  <c r="AS21" i="21"/>
  <c r="AR21" i="21"/>
  <c r="AQ21" i="21"/>
  <c r="AM21" i="21"/>
  <c r="AL21" i="21"/>
  <c r="AK21" i="21"/>
  <c r="AJ21" i="21"/>
  <c r="AI21" i="21"/>
  <c r="AU20" i="21"/>
  <c r="AT20" i="21"/>
  <c r="AS20" i="21"/>
  <c r="AR20" i="21"/>
  <c r="AQ20" i="21"/>
  <c r="AP20" i="21"/>
  <c r="AM20" i="21"/>
  <c r="AL20" i="21"/>
  <c r="AK20" i="21"/>
  <c r="AJ20" i="21"/>
  <c r="AI20" i="21"/>
  <c r="AU19" i="21"/>
  <c r="AT19" i="21"/>
  <c r="AS19" i="21"/>
  <c r="AR19" i="21"/>
  <c r="AQ19" i="21"/>
  <c r="AM19" i="21"/>
  <c r="AL19" i="21"/>
  <c r="AK19" i="21"/>
  <c r="AJ19" i="21"/>
  <c r="AI19" i="21"/>
  <c r="AU18" i="21"/>
  <c r="AT18" i="21"/>
  <c r="AS18" i="21"/>
  <c r="AR18" i="21"/>
  <c r="AQ18" i="21"/>
  <c r="AM18" i="21"/>
  <c r="AL18" i="21"/>
  <c r="AK18" i="21"/>
  <c r="AJ18" i="21"/>
  <c r="AI18" i="21"/>
  <c r="AU17" i="21"/>
  <c r="AT17" i="21"/>
  <c r="AS17" i="21"/>
  <c r="AR17" i="21"/>
  <c r="AQ17" i="21"/>
  <c r="AP17" i="21"/>
  <c r="AM17" i="21"/>
  <c r="AL17" i="21"/>
  <c r="AK17" i="21"/>
  <c r="AJ17" i="21"/>
  <c r="AI17" i="21"/>
  <c r="AU16" i="21"/>
  <c r="AT16" i="21"/>
  <c r="AS16" i="21"/>
  <c r="AR16" i="21"/>
  <c r="AQ16" i="21"/>
  <c r="AP16" i="21"/>
  <c r="AO16" i="21"/>
  <c r="AM16" i="21"/>
  <c r="AL16" i="21"/>
  <c r="AK16" i="21"/>
  <c r="AJ16" i="21"/>
  <c r="AI16" i="21"/>
  <c r="AU15" i="21"/>
  <c r="AT15" i="21"/>
  <c r="AS15" i="21"/>
  <c r="AR15" i="21"/>
  <c r="AQ15" i="21"/>
  <c r="AM15" i="21"/>
  <c r="AL15" i="21"/>
  <c r="AK15" i="21"/>
  <c r="AJ15" i="21"/>
  <c r="AI15" i="21"/>
  <c r="AU14" i="21"/>
  <c r="AT14" i="21"/>
  <c r="AS14" i="21"/>
  <c r="AR14" i="21"/>
  <c r="AQ14" i="21"/>
  <c r="AP14" i="21"/>
  <c r="AM14" i="21"/>
  <c r="AL14" i="21"/>
  <c r="AK14" i="21"/>
  <c r="AJ14" i="21"/>
  <c r="AI14" i="21"/>
  <c r="AU13" i="21"/>
  <c r="AT13" i="21"/>
  <c r="AS13" i="21"/>
  <c r="AR13" i="21"/>
  <c r="AQ13" i="21"/>
  <c r="AM13" i="21"/>
  <c r="AL13" i="21"/>
  <c r="AK13" i="21"/>
  <c r="AJ13" i="21"/>
  <c r="AI13" i="21"/>
  <c r="AU12" i="21"/>
  <c r="AT12" i="21"/>
  <c r="AS12" i="21"/>
  <c r="AR12" i="21"/>
  <c r="AQ12" i="21"/>
  <c r="AM12" i="21"/>
  <c r="AL12" i="21"/>
  <c r="AK12" i="21"/>
  <c r="AJ12" i="21"/>
  <c r="AI12" i="21"/>
  <c r="AU11" i="21"/>
  <c r="AT11" i="21"/>
  <c r="AS11" i="21"/>
  <c r="AR11" i="21"/>
  <c r="AQ11" i="21"/>
  <c r="AM11" i="21"/>
  <c r="AL11" i="21"/>
  <c r="AK11" i="21"/>
  <c r="AJ11" i="21"/>
  <c r="AI11" i="21"/>
  <c r="G5" i="21"/>
  <c r="AD38" i="21" s="1"/>
  <c r="D5" i="21"/>
  <c r="F5" i="21" s="1"/>
  <c r="AP33" i="21" s="1"/>
  <c r="AC39" i="20"/>
  <c r="AB39" i="20"/>
  <c r="AG38" i="20"/>
  <c r="AF38" i="20"/>
  <c r="AC38" i="20"/>
  <c r="AB38" i="20"/>
  <c r="Z38" i="20"/>
  <c r="Y38" i="20"/>
  <c r="X38" i="20"/>
  <c r="AG37" i="20"/>
  <c r="AG39" i="20" s="1"/>
  <c r="AF37" i="20"/>
  <c r="AF39" i="20" s="1"/>
  <c r="AE37" i="20"/>
  <c r="AD37" i="20"/>
  <c r="AC37" i="20"/>
  <c r="AB37" i="20"/>
  <c r="AA37" i="20"/>
  <c r="Z37" i="20"/>
  <c r="Z39" i="20" s="1"/>
  <c r="Y37" i="20"/>
  <c r="Y39" i="20" s="1"/>
  <c r="X37" i="20"/>
  <c r="X39" i="20" s="1"/>
  <c r="W37" i="20"/>
  <c r="V37" i="20"/>
  <c r="U37" i="20"/>
  <c r="AU35" i="20"/>
  <c r="AT35" i="20"/>
  <c r="AS35" i="20"/>
  <c r="AR35" i="20"/>
  <c r="AQ35" i="20"/>
  <c r="AM35" i="20"/>
  <c r="AL35" i="20"/>
  <c r="AK35" i="20"/>
  <c r="AJ35" i="20"/>
  <c r="AI35" i="20"/>
  <c r="AU34" i="20"/>
  <c r="AT34" i="20"/>
  <c r="AS34" i="20"/>
  <c r="AR34" i="20"/>
  <c r="AQ34" i="20"/>
  <c r="AM34" i="20"/>
  <c r="AL34" i="20"/>
  <c r="AK34" i="20"/>
  <c r="AJ34" i="20"/>
  <c r="AI34" i="20"/>
  <c r="AU33" i="20"/>
  <c r="AT33" i="20"/>
  <c r="AS33" i="20"/>
  <c r="AR33" i="20"/>
  <c r="AQ33" i="20"/>
  <c r="AM33" i="20"/>
  <c r="AL33" i="20"/>
  <c r="AK33" i="20"/>
  <c r="AJ33" i="20"/>
  <c r="AI33" i="20"/>
  <c r="AU32" i="20"/>
  <c r="AT32" i="20"/>
  <c r="AS32" i="20"/>
  <c r="AR32" i="20"/>
  <c r="AQ32" i="20"/>
  <c r="AM32" i="20"/>
  <c r="AL32" i="20"/>
  <c r="AK32" i="20"/>
  <c r="AJ32" i="20"/>
  <c r="AI32" i="20"/>
  <c r="AU31" i="20"/>
  <c r="AT31" i="20"/>
  <c r="AS31" i="20"/>
  <c r="AR31" i="20"/>
  <c r="AQ31" i="20"/>
  <c r="AM31" i="20"/>
  <c r="AL31" i="20"/>
  <c r="AK31" i="20"/>
  <c r="AJ31" i="20"/>
  <c r="AI31" i="20"/>
  <c r="AU30" i="20"/>
  <c r="AT30" i="20"/>
  <c r="AS30" i="20"/>
  <c r="AR30" i="20"/>
  <c r="AQ30" i="20"/>
  <c r="AM30" i="20"/>
  <c r="AL30" i="20"/>
  <c r="AK30" i="20"/>
  <c r="AJ30" i="20"/>
  <c r="AI30" i="20"/>
  <c r="AU29" i="20"/>
  <c r="AT29" i="20"/>
  <c r="AS29" i="20"/>
  <c r="AR29" i="20"/>
  <c r="AQ29" i="20"/>
  <c r="AM29" i="20"/>
  <c r="AL29" i="20"/>
  <c r="AK29" i="20"/>
  <c r="AJ29" i="20"/>
  <c r="AI29" i="20"/>
  <c r="AU28" i="20"/>
  <c r="AT28" i="20"/>
  <c r="AS28" i="20"/>
  <c r="AR28" i="20"/>
  <c r="AQ28" i="20"/>
  <c r="AM28" i="20"/>
  <c r="AL28" i="20"/>
  <c r="AK28" i="20"/>
  <c r="AJ28" i="20"/>
  <c r="AI28" i="20"/>
  <c r="AU27" i="20"/>
  <c r="AT27" i="20"/>
  <c r="AS27" i="20"/>
  <c r="AR27" i="20"/>
  <c r="AQ27" i="20"/>
  <c r="AM27" i="20"/>
  <c r="AL27" i="20"/>
  <c r="AK27" i="20"/>
  <c r="AJ27" i="20"/>
  <c r="AI27" i="20"/>
  <c r="AU26" i="20"/>
  <c r="AT26" i="20"/>
  <c r="AS26" i="20"/>
  <c r="AR26" i="20"/>
  <c r="AQ26" i="20"/>
  <c r="AM26" i="20"/>
  <c r="AL26" i="20"/>
  <c r="AK26" i="20"/>
  <c r="AJ26" i="20"/>
  <c r="AI26" i="20"/>
  <c r="AU25" i="20"/>
  <c r="AT25" i="20"/>
  <c r="AS25" i="20"/>
  <c r="AR25" i="20"/>
  <c r="AQ25" i="20"/>
  <c r="AM25" i="20"/>
  <c r="AL25" i="20"/>
  <c r="AK25" i="20"/>
  <c r="AJ25" i="20"/>
  <c r="AI25" i="20"/>
  <c r="AU24" i="20"/>
  <c r="AT24" i="20"/>
  <c r="AS24" i="20"/>
  <c r="AR24" i="20"/>
  <c r="AQ24" i="20"/>
  <c r="AM24" i="20"/>
  <c r="AL24" i="20"/>
  <c r="AK24" i="20"/>
  <c r="AJ24" i="20"/>
  <c r="AI24" i="20"/>
  <c r="AU23" i="20"/>
  <c r="AT23" i="20"/>
  <c r="AS23" i="20"/>
  <c r="AR23" i="20"/>
  <c r="AQ23" i="20"/>
  <c r="AM23" i="20"/>
  <c r="AL23" i="20"/>
  <c r="AK23" i="20"/>
  <c r="AJ23" i="20"/>
  <c r="AI23" i="20"/>
  <c r="AU22" i="20"/>
  <c r="AT22" i="20"/>
  <c r="AS22" i="20"/>
  <c r="AR22" i="20"/>
  <c r="AQ22" i="20"/>
  <c r="AM22" i="20"/>
  <c r="AL22" i="20"/>
  <c r="AK22" i="20"/>
  <c r="AJ22" i="20"/>
  <c r="AI22" i="20"/>
  <c r="AU21" i="20"/>
  <c r="AT21" i="20"/>
  <c r="AS21" i="20"/>
  <c r="AR21" i="20"/>
  <c r="AQ21" i="20"/>
  <c r="AM21" i="20"/>
  <c r="AL21" i="20"/>
  <c r="AK21" i="20"/>
  <c r="AJ21" i="20"/>
  <c r="AI21" i="20"/>
  <c r="AU20" i="20"/>
  <c r="AT20" i="20"/>
  <c r="AS20" i="20"/>
  <c r="AR20" i="20"/>
  <c r="AQ20" i="20"/>
  <c r="AM20" i="20"/>
  <c r="AL20" i="20"/>
  <c r="AK20" i="20"/>
  <c r="AJ20" i="20"/>
  <c r="AI20" i="20"/>
  <c r="AU19" i="20"/>
  <c r="AT19" i="20"/>
  <c r="AS19" i="20"/>
  <c r="AR19" i="20"/>
  <c r="AQ19" i="20"/>
  <c r="AM19" i="20"/>
  <c r="AL19" i="20"/>
  <c r="AK19" i="20"/>
  <c r="AJ19" i="20"/>
  <c r="AI19" i="20"/>
  <c r="AU18" i="20"/>
  <c r="AT18" i="20"/>
  <c r="AS18" i="20"/>
  <c r="AR18" i="20"/>
  <c r="AQ18" i="20"/>
  <c r="AM18" i="20"/>
  <c r="AL18" i="20"/>
  <c r="AK18" i="20"/>
  <c r="AJ18" i="20"/>
  <c r="AI18" i="20"/>
  <c r="AU17" i="20"/>
  <c r="AT17" i="20"/>
  <c r="AS17" i="20"/>
  <c r="AR17" i="20"/>
  <c r="AQ17" i="20"/>
  <c r="AM17" i="20"/>
  <c r="AL17" i="20"/>
  <c r="AK17" i="20"/>
  <c r="AJ17" i="20"/>
  <c r="AI17" i="20"/>
  <c r="AU16" i="20"/>
  <c r="AT16" i="20"/>
  <c r="AS16" i="20"/>
  <c r="AR16" i="20"/>
  <c r="AQ16" i="20"/>
  <c r="AM16" i="20"/>
  <c r="AL16" i="20"/>
  <c r="AK16" i="20"/>
  <c r="AJ16" i="20"/>
  <c r="AI16" i="20"/>
  <c r="AU15" i="20"/>
  <c r="AT15" i="20"/>
  <c r="AS15" i="20"/>
  <c r="AR15" i="20"/>
  <c r="AQ15" i="20"/>
  <c r="AM15" i="20"/>
  <c r="AL15" i="20"/>
  <c r="AK15" i="20"/>
  <c r="AJ15" i="20"/>
  <c r="AI15" i="20"/>
  <c r="AU14" i="20"/>
  <c r="AT14" i="20"/>
  <c r="AS14" i="20"/>
  <c r="AR14" i="20"/>
  <c r="AQ14" i="20"/>
  <c r="AM14" i="20"/>
  <c r="AL14" i="20"/>
  <c r="AK14" i="20"/>
  <c r="AJ14" i="20"/>
  <c r="AI14" i="20"/>
  <c r="AU13" i="20"/>
  <c r="AT13" i="20"/>
  <c r="AS13" i="20"/>
  <c r="AR13" i="20"/>
  <c r="AQ13" i="20"/>
  <c r="AM13" i="20"/>
  <c r="AL13" i="20"/>
  <c r="AK13" i="20"/>
  <c r="AJ13" i="20"/>
  <c r="AI13" i="20"/>
  <c r="AU12" i="20"/>
  <c r="AT12" i="20"/>
  <c r="AS12" i="20"/>
  <c r="AR12" i="20"/>
  <c r="AQ12" i="20"/>
  <c r="AM12" i="20"/>
  <c r="AL12" i="20"/>
  <c r="AK12" i="20"/>
  <c r="AJ12" i="20"/>
  <c r="AI12" i="20"/>
  <c r="AU11" i="20"/>
  <c r="AT11" i="20"/>
  <c r="AS11" i="20"/>
  <c r="AR11" i="20"/>
  <c r="AQ11" i="20"/>
  <c r="AM11" i="20"/>
  <c r="AL11" i="20"/>
  <c r="AK11" i="20"/>
  <c r="AJ11" i="20"/>
  <c r="AI11" i="20"/>
  <c r="D5" i="20"/>
  <c r="AG39" i="19"/>
  <c r="AF39" i="19"/>
  <c r="X39" i="19"/>
  <c r="AG38" i="19"/>
  <c r="AF38" i="19"/>
  <c r="AC38" i="19"/>
  <c r="AB38" i="19"/>
  <c r="Z38" i="19"/>
  <c r="Y38" i="19"/>
  <c r="X38" i="19"/>
  <c r="AG37" i="19"/>
  <c r="AF37" i="19"/>
  <c r="AE37" i="19"/>
  <c r="AD37" i="19"/>
  <c r="AC37" i="19"/>
  <c r="AC39" i="19" s="1"/>
  <c r="AB37" i="19"/>
  <c r="AB39" i="19" s="1"/>
  <c r="AA37" i="19"/>
  <c r="Z37" i="19"/>
  <c r="Z39" i="19" s="1"/>
  <c r="Y37" i="19"/>
  <c r="Y39" i="19" s="1"/>
  <c r="X37" i="19"/>
  <c r="W37" i="19"/>
  <c r="V37" i="19"/>
  <c r="U37" i="19"/>
  <c r="AU35" i="19"/>
  <c r="AT35" i="19"/>
  <c r="AS35" i="19"/>
  <c r="AR35" i="19"/>
  <c r="AQ35" i="19"/>
  <c r="AM35" i="19"/>
  <c r="AL35" i="19"/>
  <c r="AK35" i="19"/>
  <c r="AJ35" i="19"/>
  <c r="AI35" i="19"/>
  <c r="AU34" i="19"/>
  <c r="AT34" i="19"/>
  <c r="AS34" i="19"/>
  <c r="AR34" i="19"/>
  <c r="AQ34" i="19"/>
  <c r="AM34" i="19"/>
  <c r="AL34" i="19"/>
  <c r="AK34" i="19"/>
  <c r="AJ34" i="19"/>
  <c r="AI34" i="19"/>
  <c r="AU33" i="19"/>
  <c r="AT33" i="19"/>
  <c r="AS33" i="19"/>
  <c r="AR33" i="19"/>
  <c r="AQ33" i="19"/>
  <c r="AM33" i="19"/>
  <c r="AL33" i="19"/>
  <c r="AK33" i="19"/>
  <c r="AJ33" i="19"/>
  <c r="AI33" i="19"/>
  <c r="AU32" i="19"/>
  <c r="AT32" i="19"/>
  <c r="AS32" i="19"/>
  <c r="AR32" i="19"/>
  <c r="AQ32" i="19"/>
  <c r="AM32" i="19"/>
  <c r="AL32" i="19"/>
  <c r="AK32" i="19"/>
  <c r="AJ32" i="19"/>
  <c r="AI32" i="19"/>
  <c r="AU31" i="19"/>
  <c r="AT31" i="19"/>
  <c r="AS31" i="19"/>
  <c r="AR31" i="19"/>
  <c r="AQ31" i="19"/>
  <c r="AM31" i="19"/>
  <c r="AL31" i="19"/>
  <c r="AK31" i="19"/>
  <c r="AJ31" i="19"/>
  <c r="AI31" i="19"/>
  <c r="AU30" i="19"/>
  <c r="AT30" i="19"/>
  <c r="AS30" i="19"/>
  <c r="AR30" i="19"/>
  <c r="AQ30" i="19"/>
  <c r="AM30" i="19"/>
  <c r="AL30" i="19"/>
  <c r="AK30" i="19"/>
  <c r="AJ30" i="19"/>
  <c r="AI30" i="19"/>
  <c r="AU29" i="19"/>
  <c r="AT29" i="19"/>
  <c r="AS29" i="19"/>
  <c r="AR29" i="19"/>
  <c r="AQ29" i="19"/>
  <c r="AM29" i="19"/>
  <c r="AL29" i="19"/>
  <c r="AK29" i="19"/>
  <c r="AJ29" i="19"/>
  <c r="AI29" i="19"/>
  <c r="AU28" i="19"/>
  <c r="AT28" i="19"/>
  <c r="AS28" i="19"/>
  <c r="AR28" i="19"/>
  <c r="AQ28" i="19"/>
  <c r="AM28" i="19"/>
  <c r="AL28" i="19"/>
  <c r="AK28" i="19"/>
  <c r="AJ28" i="19"/>
  <c r="AI28" i="19"/>
  <c r="AU27" i="19"/>
  <c r="AT27" i="19"/>
  <c r="AS27" i="19"/>
  <c r="AR27" i="19"/>
  <c r="AQ27" i="19"/>
  <c r="AM27" i="19"/>
  <c r="AL27" i="19"/>
  <c r="AK27" i="19"/>
  <c r="AJ27" i="19"/>
  <c r="AI27" i="19"/>
  <c r="AU26" i="19"/>
  <c r="AT26" i="19"/>
  <c r="AS26" i="19"/>
  <c r="AR26" i="19"/>
  <c r="AQ26" i="19"/>
  <c r="AM26" i="19"/>
  <c r="AL26" i="19"/>
  <c r="AK26" i="19"/>
  <c r="AJ26" i="19"/>
  <c r="AI26" i="19"/>
  <c r="AU25" i="19"/>
  <c r="AT25" i="19"/>
  <c r="AS25" i="19"/>
  <c r="AR25" i="19"/>
  <c r="AQ25" i="19"/>
  <c r="AM25" i="19"/>
  <c r="AL25" i="19"/>
  <c r="AK25" i="19"/>
  <c r="AJ25" i="19"/>
  <c r="AI25" i="19"/>
  <c r="AU24" i="19"/>
  <c r="AT24" i="19"/>
  <c r="AS24" i="19"/>
  <c r="AR24" i="19"/>
  <c r="AQ24" i="19"/>
  <c r="AM24" i="19"/>
  <c r="AL24" i="19"/>
  <c r="AK24" i="19"/>
  <c r="AJ24" i="19"/>
  <c r="AI24" i="19"/>
  <c r="AU23" i="19"/>
  <c r="AT23" i="19"/>
  <c r="AS23" i="19"/>
  <c r="AR23" i="19"/>
  <c r="AQ23" i="19"/>
  <c r="AM23" i="19"/>
  <c r="AL23" i="19"/>
  <c r="AK23" i="19"/>
  <c r="AJ23" i="19"/>
  <c r="AI23" i="19"/>
  <c r="AU22" i="19"/>
  <c r="AT22" i="19"/>
  <c r="AS22" i="19"/>
  <c r="AR22" i="19"/>
  <c r="AQ22" i="19"/>
  <c r="AM22" i="19"/>
  <c r="AL22" i="19"/>
  <c r="AK22" i="19"/>
  <c r="AJ22" i="19"/>
  <c r="AI22" i="19"/>
  <c r="AU21" i="19"/>
  <c r="AT21" i="19"/>
  <c r="AS21" i="19"/>
  <c r="AR21" i="19"/>
  <c r="AQ21" i="19"/>
  <c r="AM21" i="19"/>
  <c r="AL21" i="19"/>
  <c r="AK21" i="19"/>
  <c r="AJ21" i="19"/>
  <c r="AI21" i="19"/>
  <c r="AU20" i="19"/>
  <c r="AT20" i="19"/>
  <c r="AS20" i="19"/>
  <c r="AR20" i="19"/>
  <c r="AQ20" i="19"/>
  <c r="AM20" i="19"/>
  <c r="AL20" i="19"/>
  <c r="AK20" i="19"/>
  <c r="AJ20" i="19"/>
  <c r="AI20" i="19"/>
  <c r="AU19" i="19"/>
  <c r="AT19" i="19"/>
  <c r="AS19" i="19"/>
  <c r="AR19" i="19"/>
  <c r="AQ19" i="19"/>
  <c r="AM19" i="19"/>
  <c r="AL19" i="19"/>
  <c r="AK19" i="19"/>
  <c r="AJ19" i="19"/>
  <c r="AI19" i="19"/>
  <c r="AU18" i="19"/>
  <c r="AT18" i="19"/>
  <c r="AS18" i="19"/>
  <c r="AR18" i="19"/>
  <c r="AQ18" i="19"/>
  <c r="AM18" i="19"/>
  <c r="AL18" i="19"/>
  <c r="AK18" i="19"/>
  <c r="AJ18" i="19"/>
  <c r="AI18" i="19"/>
  <c r="AU17" i="19"/>
  <c r="AT17" i="19"/>
  <c r="AS17" i="19"/>
  <c r="AR17" i="19"/>
  <c r="AQ17" i="19"/>
  <c r="AM17" i="19"/>
  <c r="AL17" i="19"/>
  <c r="AK17" i="19"/>
  <c r="AJ17" i="19"/>
  <c r="AI17" i="19"/>
  <c r="AU16" i="19"/>
  <c r="AT16" i="19"/>
  <c r="AS16" i="19"/>
  <c r="AR16" i="19"/>
  <c r="AQ16" i="19"/>
  <c r="AM16" i="19"/>
  <c r="AL16" i="19"/>
  <c r="AK16" i="19"/>
  <c r="AJ16" i="19"/>
  <c r="AI16" i="19"/>
  <c r="AU15" i="19"/>
  <c r="AT15" i="19"/>
  <c r="AS15" i="19"/>
  <c r="AR15" i="19"/>
  <c r="AQ15" i="19"/>
  <c r="AM15" i="19"/>
  <c r="AL15" i="19"/>
  <c r="AK15" i="19"/>
  <c r="AJ15" i="19"/>
  <c r="AI15" i="19"/>
  <c r="AU14" i="19"/>
  <c r="AT14" i="19"/>
  <c r="AS14" i="19"/>
  <c r="AR14" i="19"/>
  <c r="AQ14" i="19"/>
  <c r="AM14" i="19"/>
  <c r="AL14" i="19"/>
  <c r="AK14" i="19"/>
  <c r="AJ14" i="19"/>
  <c r="AI14" i="19"/>
  <c r="AU13" i="19"/>
  <c r="AT13" i="19"/>
  <c r="AS13" i="19"/>
  <c r="AR13" i="19"/>
  <c r="AQ13" i="19"/>
  <c r="AM13" i="19"/>
  <c r="AL13" i="19"/>
  <c r="AK13" i="19"/>
  <c r="AJ13" i="19"/>
  <c r="AI13" i="19"/>
  <c r="AU12" i="19"/>
  <c r="AT12" i="19"/>
  <c r="AS12" i="19"/>
  <c r="AR12" i="19"/>
  <c r="AQ12" i="19"/>
  <c r="AM12" i="19"/>
  <c r="AL12" i="19"/>
  <c r="AK12" i="19"/>
  <c r="AJ12" i="19"/>
  <c r="AI12" i="19"/>
  <c r="AU11" i="19"/>
  <c r="AT11" i="19"/>
  <c r="AS11" i="19"/>
  <c r="AR11" i="19"/>
  <c r="AQ11" i="19"/>
  <c r="AM11" i="19"/>
  <c r="AL11" i="19"/>
  <c r="AK11" i="19"/>
  <c r="AJ11" i="19"/>
  <c r="AI11" i="19"/>
  <c r="D5" i="19"/>
  <c r="AG39" i="18"/>
  <c r="AF39" i="18"/>
  <c r="AB39" i="18"/>
  <c r="Z39" i="18"/>
  <c r="Y39" i="18"/>
  <c r="AG38" i="18"/>
  <c r="AF38" i="18"/>
  <c r="AC38" i="18"/>
  <c r="AB38" i="18"/>
  <c r="Z38" i="18"/>
  <c r="Y38" i="18"/>
  <c r="X38" i="18"/>
  <c r="AG37" i="18"/>
  <c r="AF37" i="18"/>
  <c r="AE37" i="18"/>
  <c r="AD37" i="18"/>
  <c r="AC37" i="18"/>
  <c r="AC39" i="18" s="1"/>
  <c r="AB37" i="18"/>
  <c r="AA37" i="18"/>
  <c r="Z37" i="18"/>
  <c r="Y37" i="18"/>
  <c r="X37" i="18"/>
  <c r="X39" i="18" s="1"/>
  <c r="W37" i="18"/>
  <c r="V37" i="18"/>
  <c r="U37" i="18"/>
  <c r="AU35" i="18"/>
  <c r="AT35" i="18"/>
  <c r="AS35" i="18"/>
  <c r="AR35" i="18"/>
  <c r="AQ35" i="18"/>
  <c r="AM35" i="18"/>
  <c r="AL35" i="18"/>
  <c r="AK35" i="18"/>
  <c r="AJ35" i="18"/>
  <c r="AI35" i="18"/>
  <c r="AU34" i="18"/>
  <c r="AT34" i="18"/>
  <c r="AS34" i="18"/>
  <c r="AR34" i="18"/>
  <c r="AQ34" i="18"/>
  <c r="AM34" i="18"/>
  <c r="AL34" i="18"/>
  <c r="AK34" i="18"/>
  <c r="AJ34" i="18"/>
  <c r="AI34" i="18"/>
  <c r="AU33" i="18"/>
  <c r="AT33" i="18"/>
  <c r="AS33" i="18"/>
  <c r="AR33" i="18"/>
  <c r="AQ33" i="18"/>
  <c r="AP33" i="18"/>
  <c r="AM33" i="18"/>
  <c r="AL33" i="18"/>
  <c r="AK33" i="18"/>
  <c r="AJ33" i="18"/>
  <c r="AI33" i="18"/>
  <c r="AU32" i="18"/>
  <c r="AT32" i="18"/>
  <c r="AS32" i="18"/>
  <c r="AR32" i="18"/>
  <c r="AQ32" i="18"/>
  <c r="AM32" i="18"/>
  <c r="AL32" i="18"/>
  <c r="AK32" i="18"/>
  <c r="AJ32" i="18"/>
  <c r="AI32" i="18"/>
  <c r="AU31" i="18"/>
  <c r="AT31" i="18"/>
  <c r="AS31" i="18"/>
  <c r="AR31" i="18"/>
  <c r="AQ31" i="18"/>
  <c r="AM31" i="18"/>
  <c r="AL31" i="18"/>
  <c r="AK31" i="18"/>
  <c r="AJ31" i="18"/>
  <c r="AI31" i="18"/>
  <c r="AU30" i="18"/>
  <c r="AT30" i="18"/>
  <c r="AS30" i="18"/>
  <c r="AR30" i="18"/>
  <c r="AQ30" i="18"/>
  <c r="AM30" i="18"/>
  <c r="AL30" i="18"/>
  <c r="AK30" i="18"/>
  <c r="AJ30" i="18"/>
  <c r="AI30" i="18"/>
  <c r="AU29" i="18"/>
  <c r="AT29" i="18"/>
  <c r="AS29" i="18"/>
  <c r="AR29" i="18"/>
  <c r="AQ29" i="18"/>
  <c r="AM29" i="18"/>
  <c r="AL29" i="18"/>
  <c r="AK29" i="18"/>
  <c r="AJ29" i="18"/>
  <c r="AI29" i="18"/>
  <c r="AU28" i="18"/>
  <c r="AT28" i="18"/>
  <c r="AS28" i="18"/>
  <c r="AR28" i="18"/>
  <c r="AQ28" i="18"/>
  <c r="AM28" i="18"/>
  <c r="AL28" i="18"/>
  <c r="AK28" i="18"/>
  <c r="AJ28" i="18"/>
  <c r="AI28" i="18"/>
  <c r="AU27" i="18"/>
  <c r="AT27" i="18"/>
  <c r="AS27" i="18"/>
  <c r="AR27" i="18"/>
  <c r="AQ27" i="18"/>
  <c r="AM27" i="18"/>
  <c r="AL27" i="18"/>
  <c r="AK27" i="18"/>
  <c r="AJ27" i="18"/>
  <c r="AI27" i="18"/>
  <c r="AU26" i="18"/>
  <c r="AT26" i="18"/>
  <c r="AS26" i="18"/>
  <c r="AR26" i="18"/>
  <c r="AQ26" i="18"/>
  <c r="AM26" i="18"/>
  <c r="AL26" i="18"/>
  <c r="AK26" i="18"/>
  <c r="AJ26" i="18"/>
  <c r="AI26" i="18"/>
  <c r="AU25" i="18"/>
  <c r="AT25" i="18"/>
  <c r="AS25" i="18"/>
  <c r="AR25" i="18"/>
  <c r="AQ25" i="18"/>
  <c r="AM25" i="18"/>
  <c r="AL25" i="18"/>
  <c r="AK25" i="18"/>
  <c r="AJ25" i="18"/>
  <c r="AI25" i="18"/>
  <c r="AU24" i="18"/>
  <c r="AT24" i="18"/>
  <c r="AS24" i="18"/>
  <c r="AR24" i="18"/>
  <c r="AQ24" i="18"/>
  <c r="AM24" i="18"/>
  <c r="AL24" i="18"/>
  <c r="AK24" i="18"/>
  <c r="AJ24" i="18"/>
  <c r="AI24" i="18"/>
  <c r="AU23" i="18"/>
  <c r="AT23" i="18"/>
  <c r="AS23" i="18"/>
  <c r="AR23" i="18"/>
  <c r="AQ23" i="18"/>
  <c r="AP23" i="18"/>
  <c r="AM23" i="18"/>
  <c r="AL23" i="18"/>
  <c r="AK23" i="18"/>
  <c r="AJ23" i="18"/>
  <c r="AI23" i="18"/>
  <c r="AU22" i="18"/>
  <c r="AT22" i="18"/>
  <c r="AS22" i="18"/>
  <c r="AR22" i="18"/>
  <c r="AQ22" i="18"/>
  <c r="AM22" i="18"/>
  <c r="AL22" i="18"/>
  <c r="AK22" i="18"/>
  <c r="AJ22" i="18"/>
  <c r="AI22" i="18"/>
  <c r="AU21" i="18"/>
  <c r="AT21" i="18"/>
  <c r="AS21" i="18"/>
  <c r="AR21" i="18"/>
  <c r="AQ21" i="18"/>
  <c r="AM21" i="18"/>
  <c r="AL21" i="18"/>
  <c r="AK21" i="18"/>
  <c r="AJ21" i="18"/>
  <c r="AI21" i="18"/>
  <c r="AU20" i="18"/>
  <c r="AT20" i="18"/>
  <c r="AS20" i="18"/>
  <c r="AR20" i="18"/>
  <c r="AQ20" i="18"/>
  <c r="AM20" i="18"/>
  <c r="AL20" i="18"/>
  <c r="AK20" i="18"/>
  <c r="AJ20" i="18"/>
  <c r="AI20" i="18"/>
  <c r="AU19" i="18"/>
  <c r="AT19" i="18"/>
  <c r="AS19" i="18"/>
  <c r="AR19" i="18"/>
  <c r="AQ19" i="18"/>
  <c r="AM19" i="18"/>
  <c r="AL19" i="18"/>
  <c r="AK19" i="18"/>
  <c r="AJ19" i="18"/>
  <c r="AI19" i="18"/>
  <c r="AU18" i="18"/>
  <c r="AT18" i="18"/>
  <c r="AS18" i="18"/>
  <c r="AR18" i="18"/>
  <c r="AQ18" i="18"/>
  <c r="AM18" i="18"/>
  <c r="AL18" i="18"/>
  <c r="AK18" i="18"/>
  <c r="AJ18" i="18"/>
  <c r="AI18" i="18"/>
  <c r="AU17" i="18"/>
  <c r="AT17" i="18"/>
  <c r="AS17" i="18"/>
  <c r="AR17" i="18"/>
  <c r="AQ17" i="18"/>
  <c r="AP17" i="18"/>
  <c r="AM17" i="18"/>
  <c r="AL17" i="18"/>
  <c r="AK17" i="18"/>
  <c r="AJ17" i="18"/>
  <c r="AI17" i="18"/>
  <c r="AU16" i="18"/>
  <c r="AT16" i="18"/>
  <c r="AS16" i="18"/>
  <c r="AR16" i="18"/>
  <c r="AQ16" i="18"/>
  <c r="AP16" i="18"/>
  <c r="AM16" i="18"/>
  <c r="AL16" i="18"/>
  <c r="AK16" i="18"/>
  <c r="AJ16" i="18"/>
  <c r="AI16" i="18"/>
  <c r="AU15" i="18"/>
  <c r="AT15" i="18"/>
  <c r="AS15" i="18"/>
  <c r="AR15" i="18"/>
  <c r="AQ15" i="18"/>
  <c r="AM15" i="18"/>
  <c r="AL15" i="18"/>
  <c r="AK15" i="18"/>
  <c r="AJ15" i="18"/>
  <c r="AI15" i="18"/>
  <c r="AU14" i="18"/>
  <c r="AT14" i="18"/>
  <c r="AS14" i="18"/>
  <c r="AR14" i="18"/>
  <c r="AQ14" i="18"/>
  <c r="AM14" i="18"/>
  <c r="AL14" i="18"/>
  <c r="AK14" i="18"/>
  <c r="AJ14" i="18"/>
  <c r="AI14" i="18"/>
  <c r="AU13" i="18"/>
  <c r="AT13" i="18"/>
  <c r="AS13" i="18"/>
  <c r="AR13" i="18"/>
  <c r="AQ13" i="18"/>
  <c r="AM13" i="18"/>
  <c r="AL13" i="18"/>
  <c r="AK13" i="18"/>
  <c r="AJ13" i="18"/>
  <c r="AI13" i="18"/>
  <c r="AU12" i="18"/>
  <c r="AT12" i="18"/>
  <c r="AS12" i="18"/>
  <c r="AR12" i="18"/>
  <c r="AQ12" i="18"/>
  <c r="AM12" i="18"/>
  <c r="AL12" i="18"/>
  <c r="AK12" i="18"/>
  <c r="AJ12" i="18"/>
  <c r="AI12" i="18"/>
  <c r="AU11" i="18"/>
  <c r="AT11" i="18"/>
  <c r="AS11" i="18"/>
  <c r="AR11" i="18"/>
  <c r="AQ11" i="18"/>
  <c r="AM11" i="18"/>
  <c r="AL11" i="18"/>
  <c r="AK11" i="18"/>
  <c r="AJ11" i="18"/>
  <c r="AI11" i="18"/>
  <c r="F5" i="18"/>
  <c r="AP28" i="18" s="1"/>
  <c r="D5" i="18"/>
  <c r="AG39" i="17"/>
  <c r="Z39" i="17"/>
  <c r="X39" i="17"/>
  <c r="AG38" i="17"/>
  <c r="AF38" i="17"/>
  <c r="AC38" i="17"/>
  <c r="AB38" i="17"/>
  <c r="Z38" i="17"/>
  <c r="Y38" i="17"/>
  <c r="X38" i="17"/>
  <c r="AG37" i="17"/>
  <c r="AF37" i="17"/>
  <c r="AF39" i="17" s="1"/>
  <c r="AE37" i="17"/>
  <c r="AD37" i="17"/>
  <c r="AC37" i="17"/>
  <c r="AC39" i="17" s="1"/>
  <c r="AB37" i="17"/>
  <c r="AB39" i="17" s="1"/>
  <c r="AA37" i="17"/>
  <c r="Z37" i="17"/>
  <c r="Y37" i="17"/>
  <c r="Y39" i="17" s="1"/>
  <c r="X37" i="17"/>
  <c r="W37" i="17"/>
  <c r="V37" i="17"/>
  <c r="U37" i="17"/>
  <c r="AU35" i="17"/>
  <c r="AT35" i="17"/>
  <c r="AS35" i="17"/>
  <c r="AR35" i="17"/>
  <c r="AQ35" i="17"/>
  <c r="AN35" i="17"/>
  <c r="AM35" i="17"/>
  <c r="AL35" i="17"/>
  <c r="AK35" i="17"/>
  <c r="AJ35" i="17"/>
  <c r="AI35" i="17"/>
  <c r="AU34" i="17"/>
  <c r="AT34" i="17"/>
  <c r="AS34" i="17"/>
  <c r="AR34" i="17"/>
  <c r="AQ34" i="17"/>
  <c r="AM34" i="17"/>
  <c r="AL34" i="17"/>
  <c r="AK34" i="17"/>
  <c r="AJ34" i="17"/>
  <c r="AI34" i="17"/>
  <c r="AU33" i="17"/>
  <c r="AT33" i="17"/>
  <c r="AS33" i="17"/>
  <c r="AR33" i="17"/>
  <c r="AQ33" i="17"/>
  <c r="AM33" i="17"/>
  <c r="AL33" i="17"/>
  <c r="AK33" i="17"/>
  <c r="AJ33" i="17"/>
  <c r="AI33" i="17"/>
  <c r="AU32" i="17"/>
  <c r="AT32" i="17"/>
  <c r="AS32" i="17"/>
  <c r="AR32" i="17"/>
  <c r="AQ32" i="17"/>
  <c r="AM32" i="17"/>
  <c r="AL32" i="17"/>
  <c r="AK32" i="17"/>
  <c r="AJ32" i="17"/>
  <c r="AI32" i="17"/>
  <c r="AU31" i="17"/>
  <c r="AT31" i="17"/>
  <c r="AS31" i="17"/>
  <c r="AR31" i="17"/>
  <c r="AQ31" i="17"/>
  <c r="AM31" i="17"/>
  <c r="AL31" i="17"/>
  <c r="AK31" i="17"/>
  <c r="AJ31" i="17"/>
  <c r="AI31" i="17"/>
  <c r="AU30" i="17"/>
  <c r="AT30" i="17"/>
  <c r="AS30" i="17"/>
  <c r="AR30" i="17"/>
  <c r="AQ30" i="17"/>
  <c r="AM30" i="17"/>
  <c r="AL30" i="17"/>
  <c r="AK30" i="17"/>
  <c r="AJ30" i="17"/>
  <c r="AI30" i="17"/>
  <c r="AU29" i="17"/>
  <c r="AT29" i="17"/>
  <c r="AS29" i="17"/>
  <c r="AR29" i="17"/>
  <c r="AQ29" i="17"/>
  <c r="AM29" i="17"/>
  <c r="AL29" i="17"/>
  <c r="AK29" i="17"/>
  <c r="AJ29" i="17"/>
  <c r="AI29" i="17"/>
  <c r="AU28" i="17"/>
  <c r="AT28" i="17"/>
  <c r="AS28" i="17"/>
  <c r="AR28" i="17"/>
  <c r="AQ28" i="17"/>
  <c r="AM28" i="17"/>
  <c r="AL28" i="17"/>
  <c r="AK28" i="17"/>
  <c r="AJ28" i="17"/>
  <c r="AI28" i="17"/>
  <c r="AU27" i="17"/>
  <c r="AT27" i="17"/>
  <c r="AS27" i="17"/>
  <c r="AR27" i="17"/>
  <c r="AQ27" i="17"/>
  <c r="AM27" i="17"/>
  <c r="AL27" i="17"/>
  <c r="AK27" i="17"/>
  <c r="AJ27" i="17"/>
  <c r="AI27" i="17"/>
  <c r="AU26" i="17"/>
  <c r="AT26" i="17"/>
  <c r="AS26" i="17"/>
  <c r="AR26" i="17"/>
  <c r="AQ26" i="17"/>
  <c r="AM26" i="17"/>
  <c r="AL26" i="17"/>
  <c r="AK26" i="17"/>
  <c r="AJ26" i="17"/>
  <c r="AI26" i="17"/>
  <c r="AU25" i="17"/>
  <c r="AT25" i="17"/>
  <c r="AS25" i="17"/>
  <c r="AR25" i="17"/>
  <c r="AQ25" i="17"/>
  <c r="AM25" i="17"/>
  <c r="AL25" i="17"/>
  <c r="AK25" i="17"/>
  <c r="AJ25" i="17"/>
  <c r="AI25" i="17"/>
  <c r="AU24" i="17"/>
  <c r="AT24" i="17"/>
  <c r="AS24" i="17"/>
  <c r="AR24" i="17"/>
  <c r="AQ24" i="17"/>
  <c r="AM24" i="17"/>
  <c r="AL24" i="17"/>
  <c r="AK24" i="17"/>
  <c r="AJ24" i="17"/>
  <c r="AI24" i="17"/>
  <c r="AU23" i="17"/>
  <c r="AT23" i="17"/>
  <c r="AS23" i="17"/>
  <c r="AR23" i="17"/>
  <c r="AQ23" i="17"/>
  <c r="AM23" i="17"/>
  <c r="AL23" i="17"/>
  <c r="AK23" i="17"/>
  <c r="AJ23" i="17"/>
  <c r="AI23" i="17"/>
  <c r="AU22" i="17"/>
  <c r="AT22" i="17"/>
  <c r="AS22" i="17"/>
  <c r="AR22" i="17"/>
  <c r="AQ22" i="17"/>
  <c r="AM22" i="17"/>
  <c r="AL22" i="17"/>
  <c r="AK22" i="17"/>
  <c r="AJ22" i="17"/>
  <c r="AI22" i="17"/>
  <c r="AU21" i="17"/>
  <c r="AT21" i="17"/>
  <c r="AS21" i="17"/>
  <c r="AR21" i="17"/>
  <c r="AQ21" i="17"/>
  <c r="AM21" i="17"/>
  <c r="AL21" i="17"/>
  <c r="AK21" i="17"/>
  <c r="AJ21" i="17"/>
  <c r="AI21" i="17"/>
  <c r="AU20" i="17"/>
  <c r="AT20" i="17"/>
  <c r="AS20" i="17"/>
  <c r="AR20" i="17"/>
  <c r="AQ20" i="17"/>
  <c r="AM20" i="17"/>
  <c r="AL20" i="17"/>
  <c r="AK20" i="17"/>
  <c r="AJ20" i="17"/>
  <c r="AI20" i="17"/>
  <c r="AU19" i="17"/>
  <c r="AT19" i="17"/>
  <c r="AS19" i="17"/>
  <c r="AR19" i="17"/>
  <c r="AQ19" i="17"/>
  <c r="AP19" i="17"/>
  <c r="AN19" i="17"/>
  <c r="AM19" i="17"/>
  <c r="AL19" i="17"/>
  <c r="AK19" i="17"/>
  <c r="AJ19" i="17"/>
  <c r="AI19" i="17"/>
  <c r="AU18" i="17"/>
  <c r="AT18" i="17"/>
  <c r="AS18" i="17"/>
  <c r="AR18" i="17"/>
  <c r="AQ18" i="17"/>
  <c r="AM18" i="17"/>
  <c r="AL18" i="17"/>
  <c r="AK18" i="17"/>
  <c r="AJ18" i="17"/>
  <c r="AI18" i="17"/>
  <c r="AU17" i="17"/>
  <c r="AT17" i="17"/>
  <c r="AS17" i="17"/>
  <c r="AR17" i="17"/>
  <c r="AQ17" i="17"/>
  <c r="AM17" i="17"/>
  <c r="AL17" i="17"/>
  <c r="AK17" i="17"/>
  <c r="AJ17" i="17"/>
  <c r="AI17" i="17"/>
  <c r="AU16" i="17"/>
  <c r="AT16" i="17"/>
  <c r="AS16" i="17"/>
  <c r="AR16" i="17"/>
  <c r="AQ16" i="17"/>
  <c r="AM16" i="17"/>
  <c r="AL16" i="17"/>
  <c r="AK16" i="17"/>
  <c r="AJ16" i="17"/>
  <c r="AI16" i="17"/>
  <c r="AU15" i="17"/>
  <c r="AT15" i="17"/>
  <c r="AS15" i="17"/>
  <c r="AR15" i="17"/>
  <c r="AQ15" i="17"/>
  <c r="AM15" i="17"/>
  <c r="AL15" i="17"/>
  <c r="AK15" i="17"/>
  <c r="AJ15" i="17"/>
  <c r="AI15" i="17"/>
  <c r="AU14" i="17"/>
  <c r="AT14" i="17"/>
  <c r="AS14" i="17"/>
  <c r="AR14" i="17"/>
  <c r="AQ14" i="17"/>
  <c r="AM14" i="17"/>
  <c r="AL14" i="17"/>
  <c r="AK14" i="17"/>
  <c r="AJ14" i="17"/>
  <c r="AI14" i="17"/>
  <c r="AU13" i="17"/>
  <c r="AT13" i="17"/>
  <c r="AS13" i="17"/>
  <c r="AR13" i="17"/>
  <c r="AQ13" i="17"/>
  <c r="AM13" i="17"/>
  <c r="AL13" i="17"/>
  <c r="AK13" i="17"/>
  <c r="AJ13" i="17"/>
  <c r="AI13" i="17"/>
  <c r="AU12" i="17"/>
  <c r="AT12" i="17"/>
  <c r="AS12" i="17"/>
  <c r="AR12" i="17"/>
  <c r="AQ12" i="17"/>
  <c r="AM12" i="17"/>
  <c r="AL12" i="17"/>
  <c r="AK12" i="17"/>
  <c r="AJ12" i="17"/>
  <c r="AI12" i="17"/>
  <c r="AU11" i="17"/>
  <c r="AT11" i="17"/>
  <c r="AS11" i="17"/>
  <c r="AR11" i="17"/>
  <c r="AQ11" i="17"/>
  <c r="AM11" i="17"/>
  <c r="AL11" i="17"/>
  <c r="AK11" i="17"/>
  <c r="AJ11" i="17"/>
  <c r="AI11" i="17"/>
  <c r="H5" i="17"/>
  <c r="F5" i="17"/>
  <c r="D5" i="17"/>
  <c r="AF39" i="16"/>
  <c r="AB39" i="16"/>
  <c r="AG38" i="16"/>
  <c r="AF38" i="16"/>
  <c r="AC38" i="16"/>
  <c r="AB38" i="16"/>
  <c r="Z38" i="16"/>
  <c r="Y38" i="16"/>
  <c r="X38" i="16"/>
  <c r="AG37" i="16"/>
  <c r="AG39" i="16" s="1"/>
  <c r="AF37" i="16"/>
  <c r="AE37" i="16"/>
  <c r="AD37" i="16"/>
  <c r="AC37" i="16"/>
  <c r="AC39" i="16" s="1"/>
  <c r="AB37" i="16"/>
  <c r="AA37" i="16"/>
  <c r="Z37" i="16"/>
  <c r="Z39" i="16" s="1"/>
  <c r="Y37" i="16"/>
  <c r="Y39" i="16" s="1"/>
  <c r="X37" i="16"/>
  <c r="X39" i="16" s="1"/>
  <c r="W37" i="16"/>
  <c r="V37" i="16"/>
  <c r="U37" i="16"/>
  <c r="AU35" i="16"/>
  <c r="AT35" i="16"/>
  <c r="AS35" i="16"/>
  <c r="AR35" i="16"/>
  <c r="AQ35" i="16"/>
  <c r="AM35" i="16"/>
  <c r="AL35" i="16"/>
  <c r="AK35" i="16"/>
  <c r="AJ35" i="16"/>
  <c r="AI35" i="16"/>
  <c r="AU34" i="16"/>
  <c r="AT34" i="16"/>
  <c r="AS34" i="16"/>
  <c r="AR34" i="16"/>
  <c r="AQ34" i="16"/>
  <c r="AM34" i="16"/>
  <c r="AL34" i="16"/>
  <c r="AK34" i="16"/>
  <c r="AJ34" i="16"/>
  <c r="AI34" i="16"/>
  <c r="AU33" i="16"/>
  <c r="AT33" i="16"/>
  <c r="AS33" i="16"/>
  <c r="AR33" i="16"/>
  <c r="AQ33" i="16"/>
  <c r="AM33" i="16"/>
  <c r="AL33" i="16"/>
  <c r="AK33" i="16"/>
  <c r="AJ33" i="16"/>
  <c r="AI33" i="16"/>
  <c r="AU32" i="16"/>
  <c r="AT32" i="16"/>
  <c r="AS32" i="16"/>
  <c r="AR32" i="16"/>
  <c r="AQ32" i="16"/>
  <c r="AM32" i="16"/>
  <c r="AL32" i="16"/>
  <c r="AK32" i="16"/>
  <c r="AJ32" i="16"/>
  <c r="AI32" i="16"/>
  <c r="AU31" i="16"/>
  <c r="AT31" i="16"/>
  <c r="AS31" i="16"/>
  <c r="AR31" i="16"/>
  <c r="AQ31" i="16"/>
  <c r="AM31" i="16"/>
  <c r="AL31" i="16"/>
  <c r="AK31" i="16"/>
  <c r="AJ31" i="16"/>
  <c r="AI31" i="16"/>
  <c r="AU30" i="16"/>
  <c r="AT30" i="16"/>
  <c r="AS30" i="16"/>
  <c r="AR30" i="16"/>
  <c r="AQ30" i="16"/>
  <c r="AM30" i="16"/>
  <c r="AL30" i="16"/>
  <c r="AK30" i="16"/>
  <c r="AJ30" i="16"/>
  <c r="AI30" i="16"/>
  <c r="AU29" i="16"/>
  <c r="AT29" i="16"/>
  <c r="AS29" i="16"/>
  <c r="AR29" i="16"/>
  <c r="AQ29" i="16"/>
  <c r="AM29" i="16"/>
  <c r="AL29" i="16"/>
  <c r="AK29" i="16"/>
  <c r="AJ29" i="16"/>
  <c r="AI29" i="16"/>
  <c r="AU28" i="16"/>
  <c r="AT28" i="16"/>
  <c r="AS28" i="16"/>
  <c r="AR28" i="16"/>
  <c r="AQ28" i="16"/>
  <c r="AM28" i="16"/>
  <c r="AL28" i="16"/>
  <c r="AK28" i="16"/>
  <c r="AJ28" i="16"/>
  <c r="AI28" i="16"/>
  <c r="AU27" i="16"/>
  <c r="AT27" i="16"/>
  <c r="AS27" i="16"/>
  <c r="AR27" i="16"/>
  <c r="AQ27" i="16"/>
  <c r="AP27" i="16"/>
  <c r="AM27" i="16"/>
  <c r="AL27" i="16"/>
  <c r="AK27" i="16"/>
  <c r="AJ27" i="16"/>
  <c r="AI27" i="16"/>
  <c r="AU26" i="16"/>
  <c r="AT26" i="16"/>
  <c r="AS26" i="16"/>
  <c r="AR26" i="16"/>
  <c r="AQ26" i="16"/>
  <c r="AM26" i="16"/>
  <c r="AL26" i="16"/>
  <c r="AK26" i="16"/>
  <c r="AJ26" i="16"/>
  <c r="AI26" i="16"/>
  <c r="AU25" i="16"/>
  <c r="AT25" i="16"/>
  <c r="AS25" i="16"/>
  <c r="AR25" i="16"/>
  <c r="AQ25" i="16"/>
  <c r="AM25" i="16"/>
  <c r="AL25" i="16"/>
  <c r="AK25" i="16"/>
  <c r="AJ25" i="16"/>
  <c r="AI25" i="16"/>
  <c r="AU24" i="16"/>
  <c r="AT24" i="16"/>
  <c r="AS24" i="16"/>
  <c r="AR24" i="16"/>
  <c r="AQ24" i="16"/>
  <c r="AM24" i="16"/>
  <c r="AL24" i="16"/>
  <c r="AK24" i="16"/>
  <c r="AJ24" i="16"/>
  <c r="AI24" i="16"/>
  <c r="AU23" i="16"/>
  <c r="AT23" i="16"/>
  <c r="AS23" i="16"/>
  <c r="AR23" i="16"/>
  <c r="AQ23" i="16"/>
  <c r="AM23" i="16"/>
  <c r="AL23" i="16"/>
  <c r="AK23" i="16"/>
  <c r="AJ23" i="16"/>
  <c r="AI23" i="16"/>
  <c r="AU22" i="16"/>
  <c r="AT22" i="16"/>
  <c r="AS22" i="16"/>
  <c r="AR22" i="16"/>
  <c r="AQ22" i="16"/>
  <c r="AM22" i="16"/>
  <c r="AL22" i="16"/>
  <c r="AK22" i="16"/>
  <c r="AJ22" i="16"/>
  <c r="AI22" i="16"/>
  <c r="AU21" i="16"/>
  <c r="AT21" i="16"/>
  <c r="AS21" i="16"/>
  <c r="AR21" i="16"/>
  <c r="AQ21" i="16"/>
  <c r="AP21" i="16"/>
  <c r="AM21" i="16"/>
  <c r="AL21" i="16"/>
  <c r="AK21" i="16"/>
  <c r="AJ21" i="16"/>
  <c r="AI21" i="16"/>
  <c r="AU20" i="16"/>
  <c r="AT20" i="16"/>
  <c r="AS20" i="16"/>
  <c r="AR20" i="16"/>
  <c r="AQ20" i="16"/>
  <c r="AM20" i="16"/>
  <c r="AL20" i="16"/>
  <c r="AK20" i="16"/>
  <c r="AJ20" i="16"/>
  <c r="AI20" i="16"/>
  <c r="AU19" i="16"/>
  <c r="AT19" i="16"/>
  <c r="AS19" i="16"/>
  <c r="AR19" i="16"/>
  <c r="AQ19" i="16"/>
  <c r="AM19" i="16"/>
  <c r="AL19" i="16"/>
  <c r="AK19" i="16"/>
  <c r="AJ19" i="16"/>
  <c r="AI19" i="16"/>
  <c r="AU18" i="16"/>
  <c r="AT18" i="16"/>
  <c r="AS18" i="16"/>
  <c r="AR18" i="16"/>
  <c r="AQ18" i="16"/>
  <c r="AM18" i="16"/>
  <c r="AL18" i="16"/>
  <c r="AK18" i="16"/>
  <c r="AJ18" i="16"/>
  <c r="AI18" i="16"/>
  <c r="AU17" i="16"/>
  <c r="AT17" i="16"/>
  <c r="AS17" i="16"/>
  <c r="AR17" i="16"/>
  <c r="AQ17" i="16"/>
  <c r="AP17" i="16"/>
  <c r="AM17" i="16"/>
  <c r="AL17" i="16"/>
  <c r="AK17" i="16"/>
  <c r="AJ17" i="16"/>
  <c r="AI17" i="16"/>
  <c r="AU16" i="16"/>
  <c r="AT16" i="16"/>
  <c r="AS16" i="16"/>
  <c r="AR16" i="16"/>
  <c r="AQ16" i="16"/>
  <c r="AM16" i="16"/>
  <c r="AL16" i="16"/>
  <c r="AK16" i="16"/>
  <c r="AJ16" i="16"/>
  <c r="AI16" i="16"/>
  <c r="AU15" i="16"/>
  <c r="AT15" i="16"/>
  <c r="AS15" i="16"/>
  <c r="AR15" i="16"/>
  <c r="AQ15" i="16"/>
  <c r="AN15" i="16"/>
  <c r="AM15" i="16"/>
  <c r="AL15" i="16"/>
  <c r="AK15" i="16"/>
  <c r="AJ15" i="16"/>
  <c r="AI15" i="16"/>
  <c r="AU14" i="16"/>
  <c r="AT14" i="16"/>
  <c r="AS14" i="16"/>
  <c r="AR14" i="16"/>
  <c r="AQ14" i="16"/>
  <c r="AM14" i="16"/>
  <c r="AL14" i="16"/>
  <c r="AK14" i="16"/>
  <c r="AJ14" i="16"/>
  <c r="AI14" i="16"/>
  <c r="AU13" i="16"/>
  <c r="AT13" i="16"/>
  <c r="AS13" i="16"/>
  <c r="AR13" i="16"/>
  <c r="AQ13" i="16"/>
  <c r="AP13" i="16"/>
  <c r="AM13" i="16"/>
  <c r="AL13" i="16"/>
  <c r="AK13" i="16"/>
  <c r="AJ13" i="16"/>
  <c r="AI13" i="16"/>
  <c r="AU12" i="16"/>
  <c r="AT12" i="16"/>
  <c r="AS12" i="16"/>
  <c r="AR12" i="16"/>
  <c r="AQ12" i="16"/>
  <c r="AM12" i="16"/>
  <c r="AL12" i="16"/>
  <c r="AK12" i="16"/>
  <c r="AJ12" i="16"/>
  <c r="AI12" i="16"/>
  <c r="AU11" i="16"/>
  <c r="AT11" i="16"/>
  <c r="AS11" i="16"/>
  <c r="AR11" i="16"/>
  <c r="AQ11" i="16"/>
  <c r="AP11" i="16"/>
  <c r="AM11" i="16"/>
  <c r="AL11" i="16"/>
  <c r="AK11" i="16"/>
  <c r="AJ11" i="16"/>
  <c r="AI11" i="16"/>
  <c r="F5" i="16"/>
  <c r="AP32" i="16" s="1"/>
  <c r="D5" i="16"/>
  <c r="H5" i="16" s="1"/>
  <c r="AF39" i="15"/>
  <c r="AB39" i="15"/>
  <c r="Z39" i="15"/>
  <c r="Y39" i="15"/>
  <c r="X39" i="15"/>
  <c r="AG38" i="15"/>
  <c r="AF38" i="15"/>
  <c r="AC38" i="15"/>
  <c r="AB38" i="15"/>
  <c r="Z38" i="15"/>
  <c r="Y38" i="15"/>
  <c r="X38" i="15"/>
  <c r="AG37" i="15"/>
  <c r="AG39" i="15" s="1"/>
  <c r="AF37" i="15"/>
  <c r="AE37" i="15"/>
  <c r="AD37" i="15"/>
  <c r="AC37" i="15"/>
  <c r="AC39" i="15" s="1"/>
  <c r="AB37" i="15"/>
  <c r="AA37" i="15"/>
  <c r="Z37" i="15"/>
  <c r="Y37" i="15"/>
  <c r="X37" i="15"/>
  <c r="W37" i="15"/>
  <c r="V37" i="15"/>
  <c r="U37" i="15"/>
  <c r="AU35" i="15"/>
  <c r="AT35" i="15"/>
  <c r="AS35" i="15"/>
  <c r="AR35" i="15"/>
  <c r="AQ35" i="15"/>
  <c r="AM35" i="15"/>
  <c r="AL35" i="15"/>
  <c r="AK35" i="15"/>
  <c r="AJ35" i="15"/>
  <c r="AI35" i="15"/>
  <c r="AU34" i="15"/>
  <c r="AT34" i="15"/>
  <c r="AS34" i="15"/>
  <c r="AR34" i="15"/>
  <c r="AQ34" i="15"/>
  <c r="AM34" i="15"/>
  <c r="AL34" i="15"/>
  <c r="AK34" i="15"/>
  <c r="AJ34" i="15"/>
  <c r="AI34" i="15"/>
  <c r="AU33" i="15"/>
  <c r="AT33" i="15"/>
  <c r="AS33" i="15"/>
  <c r="AR33" i="15"/>
  <c r="AQ33" i="15"/>
  <c r="AM33" i="15"/>
  <c r="AL33" i="15"/>
  <c r="AK33" i="15"/>
  <c r="AJ33" i="15"/>
  <c r="AI33" i="15"/>
  <c r="AU32" i="15"/>
  <c r="AT32" i="15"/>
  <c r="AS32" i="15"/>
  <c r="AR32" i="15"/>
  <c r="AQ32" i="15"/>
  <c r="AM32" i="15"/>
  <c r="AL32" i="15"/>
  <c r="AK32" i="15"/>
  <c r="AJ32" i="15"/>
  <c r="AI32" i="15"/>
  <c r="AU31" i="15"/>
  <c r="AT31" i="15"/>
  <c r="AS31" i="15"/>
  <c r="AR31" i="15"/>
  <c r="AQ31" i="15"/>
  <c r="AM31" i="15"/>
  <c r="AL31" i="15"/>
  <c r="AK31" i="15"/>
  <c r="AJ31" i="15"/>
  <c r="AI31" i="15"/>
  <c r="AU30" i="15"/>
  <c r="AT30" i="15"/>
  <c r="AS30" i="15"/>
  <c r="AR30" i="15"/>
  <c r="AQ30" i="15"/>
  <c r="AM30" i="15"/>
  <c r="AL30" i="15"/>
  <c r="AK30" i="15"/>
  <c r="AJ30" i="15"/>
  <c r="AI30" i="15"/>
  <c r="AU29" i="15"/>
  <c r="AT29" i="15"/>
  <c r="AS29" i="15"/>
  <c r="AR29" i="15"/>
  <c r="AQ29" i="15"/>
  <c r="AM29" i="15"/>
  <c r="AL29" i="15"/>
  <c r="AK29" i="15"/>
  <c r="AJ29" i="15"/>
  <c r="AI29" i="15"/>
  <c r="AU28" i="15"/>
  <c r="AT28" i="15"/>
  <c r="AS28" i="15"/>
  <c r="AR28" i="15"/>
  <c r="AQ28" i="15"/>
  <c r="AM28" i="15"/>
  <c r="AL28" i="15"/>
  <c r="AK28" i="15"/>
  <c r="AJ28" i="15"/>
  <c r="AI28" i="15"/>
  <c r="AU27" i="15"/>
  <c r="AT27" i="15"/>
  <c r="AS27" i="15"/>
  <c r="AR27" i="15"/>
  <c r="AQ27" i="15"/>
  <c r="AM27" i="15"/>
  <c r="AL27" i="15"/>
  <c r="AK27" i="15"/>
  <c r="AJ27" i="15"/>
  <c r="AI27" i="15"/>
  <c r="AU26" i="15"/>
  <c r="AT26" i="15"/>
  <c r="AS26" i="15"/>
  <c r="AR26" i="15"/>
  <c r="AQ26" i="15"/>
  <c r="AM26" i="15"/>
  <c r="AL26" i="15"/>
  <c r="AK26" i="15"/>
  <c r="AJ26" i="15"/>
  <c r="AI26" i="15"/>
  <c r="AU25" i="15"/>
  <c r="AT25" i="15"/>
  <c r="AS25" i="15"/>
  <c r="AR25" i="15"/>
  <c r="AQ25" i="15"/>
  <c r="AM25" i="15"/>
  <c r="AL25" i="15"/>
  <c r="AK25" i="15"/>
  <c r="AJ25" i="15"/>
  <c r="AI25" i="15"/>
  <c r="AU24" i="15"/>
  <c r="AT24" i="15"/>
  <c r="AS24" i="15"/>
  <c r="AR24" i="15"/>
  <c r="AQ24" i="15"/>
  <c r="AM24" i="15"/>
  <c r="AL24" i="15"/>
  <c r="AK24" i="15"/>
  <c r="AJ24" i="15"/>
  <c r="AI24" i="15"/>
  <c r="AU23" i="15"/>
  <c r="AT23" i="15"/>
  <c r="AS23" i="15"/>
  <c r="AR23" i="15"/>
  <c r="AQ23" i="15"/>
  <c r="AP23" i="15"/>
  <c r="AM23" i="15"/>
  <c r="AL23" i="15"/>
  <c r="AK23" i="15"/>
  <c r="AJ23" i="15"/>
  <c r="AI23" i="15"/>
  <c r="AU22" i="15"/>
  <c r="AT22" i="15"/>
  <c r="AS22" i="15"/>
  <c r="AR22" i="15"/>
  <c r="AQ22" i="15"/>
  <c r="AM22" i="15"/>
  <c r="AL22" i="15"/>
  <c r="AK22" i="15"/>
  <c r="AJ22" i="15"/>
  <c r="AI22" i="15"/>
  <c r="AU21" i="15"/>
  <c r="AT21" i="15"/>
  <c r="AS21" i="15"/>
  <c r="AR21" i="15"/>
  <c r="AQ21" i="15"/>
  <c r="AM21" i="15"/>
  <c r="AL21" i="15"/>
  <c r="AK21" i="15"/>
  <c r="AJ21" i="15"/>
  <c r="AI21" i="15"/>
  <c r="AU20" i="15"/>
  <c r="AT20" i="15"/>
  <c r="AS20" i="15"/>
  <c r="AR20" i="15"/>
  <c r="AQ20" i="15"/>
  <c r="AM20" i="15"/>
  <c r="AL20" i="15"/>
  <c r="AK20" i="15"/>
  <c r="AJ20" i="15"/>
  <c r="AI20" i="15"/>
  <c r="AU19" i="15"/>
  <c r="AT19" i="15"/>
  <c r="AS19" i="15"/>
  <c r="AR19" i="15"/>
  <c r="AQ19" i="15"/>
  <c r="AM19" i="15"/>
  <c r="AL19" i="15"/>
  <c r="AK19" i="15"/>
  <c r="AJ19" i="15"/>
  <c r="AI19" i="15"/>
  <c r="AU18" i="15"/>
  <c r="AT18" i="15"/>
  <c r="AS18" i="15"/>
  <c r="AR18" i="15"/>
  <c r="AQ18" i="15"/>
  <c r="AM18" i="15"/>
  <c r="AL18" i="15"/>
  <c r="AK18" i="15"/>
  <c r="AJ18" i="15"/>
  <c r="AI18" i="15"/>
  <c r="AU17" i="15"/>
  <c r="AT17" i="15"/>
  <c r="AS17" i="15"/>
  <c r="AR17" i="15"/>
  <c r="AQ17" i="15"/>
  <c r="AM17" i="15"/>
  <c r="AL17" i="15"/>
  <c r="AK17" i="15"/>
  <c r="AJ17" i="15"/>
  <c r="AI17" i="15"/>
  <c r="AU16" i="15"/>
  <c r="AT16" i="15"/>
  <c r="AS16" i="15"/>
  <c r="AR16" i="15"/>
  <c r="AQ16" i="15"/>
  <c r="AM16" i="15"/>
  <c r="AL16" i="15"/>
  <c r="AK16" i="15"/>
  <c r="AJ16" i="15"/>
  <c r="AI16" i="15"/>
  <c r="AU15" i="15"/>
  <c r="AT15" i="15"/>
  <c r="AS15" i="15"/>
  <c r="AR15" i="15"/>
  <c r="AQ15" i="15"/>
  <c r="AP15" i="15"/>
  <c r="AM15" i="15"/>
  <c r="AL15" i="15"/>
  <c r="AK15" i="15"/>
  <c r="AJ15" i="15"/>
  <c r="AI15" i="15"/>
  <c r="AU14" i="15"/>
  <c r="AT14" i="15"/>
  <c r="AS14" i="15"/>
  <c r="AR14" i="15"/>
  <c r="AQ14" i="15"/>
  <c r="AM14" i="15"/>
  <c r="AL14" i="15"/>
  <c r="AK14" i="15"/>
  <c r="AJ14" i="15"/>
  <c r="AI14" i="15"/>
  <c r="AU13" i="15"/>
  <c r="AT13" i="15"/>
  <c r="AS13" i="15"/>
  <c r="AR13" i="15"/>
  <c r="AQ13" i="15"/>
  <c r="AM13" i="15"/>
  <c r="AL13" i="15"/>
  <c r="AK13" i="15"/>
  <c r="AJ13" i="15"/>
  <c r="AI13" i="15"/>
  <c r="AU12" i="15"/>
  <c r="AT12" i="15"/>
  <c r="AS12" i="15"/>
  <c r="AR12" i="15"/>
  <c r="AQ12" i="15"/>
  <c r="AM12" i="15"/>
  <c r="AL12" i="15"/>
  <c r="AK12" i="15"/>
  <c r="AJ12" i="15"/>
  <c r="AI12" i="15"/>
  <c r="AU11" i="15"/>
  <c r="AT11" i="15"/>
  <c r="AS11" i="15"/>
  <c r="AR11" i="15"/>
  <c r="AQ11" i="15"/>
  <c r="AM11" i="15"/>
  <c r="AL11" i="15"/>
  <c r="AK11" i="15"/>
  <c r="AJ11" i="15"/>
  <c r="AI11" i="15"/>
  <c r="D5" i="15"/>
  <c r="F5" i="15" s="1"/>
  <c r="AG39" i="14"/>
  <c r="Y39" i="14"/>
  <c r="X39" i="14"/>
  <c r="AG38" i="14"/>
  <c r="AF38" i="14"/>
  <c r="AC38" i="14"/>
  <c r="AB38" i="14"/>
  <c r="Z38" i="14"/>
  <c r="Y38" i="14"/>
  <c r="X38" i="14"/>
  <c r="AG37" i="14"/>
  <c r="AF37" i="14"/>
  <c r="AF39" i="14" s="1"/>
  <c r="AE37" i="14"/>
  <c r="AD37" i="14"/>
  <c r="AC37" i="14"/>
  <c r="AC39" i="14" s="1"/>
  <c r="AB37" i="14"/>
  <c r="AB39" i="14" s="1"/>
  <c r="AA37" i="14"/>
  <c r="Z37" i="14"/>
  <c r="Z39" i="14" s="1"/>
  <c r="Y37" i="14"/>
  <c r="X37" i="14"/>
  <c r="W37" i="14"/>
  <c r="V37" i="14"/>
  <c r="U37" i="14"/>
  <c r="AU35" i="14"/>
  <c r="AT35" i="14"/>
  <c r="AS35" i="14"/>
  <c r="AR35" i="14"/>
  <c r="AQ35" i="14"/>
  <c r="AM35" i="14"/>
  <c r="AL35" i="14"/>
  <c r="AK35" i="14"/>
  <c r="AJ35" i="14"/>
  <c r="AI35" i="14"/>
  <c r="AU34" i="14"/>
  <c r="AT34" i="14"/>
  <c r="AS34" i="14"/>
  <c r="AR34" i="14"/>
  <c r="AQ34" i="14"/>
  <c r="AM34" i="14"/>
  <c r="AL34" i="14"/>
  <c r="AK34" i="14"/>
  <c r="AJ34" i="14"/>
  <c r="AI34" i="14"/>
  <c r="AU33" i="14"/>
  <c r="AT33" i="14"/>
  <c r="AS33" i="14"/>
  <c r="AR33" i="14"/>
  <c r="AQ33" i="14"/>
  <c r="AM33" i="14"/>
  <c r="AL33" i="14"/>
  <c r="AK33" i="14"/>
  <c r="AJ33" i="14"/>
  <c r="AI33" i="14"/>
  <c r="AU32" i="14"/>
  <c r="AT32" i="14"/>
  <c r="AS32" i="14"/>
  <c r="AR32" i="14"/>
  <c r="AQ32" i="14"/>
  <c r="AM32" i="14"/>
  <c r="AL32" i="14"/>
  <c r="AK32" i="14"/>
  <c r="AJ32" i="14"/>
  <c r="AI32" i="14"/>
  <c r="AU31" i="14"/>
  <c r="AT31" i="14"/>
  <c r="AS31" i="14"/>
  <c r="AR31" i="14"/>
  <c r="AQ31" i="14"/>
  <c r="AM31" i="14"/>
  <c r="AL31" i="14"/>
  <c r="AK31" i="14"/>
  <c r="AJ31" i="14"/>
  <c r="AI31" i="14"/>
  <c r="AU30" i="14"/>
  <c r="AT30" i="14"/>
  <c r="AS30" i="14"/>
  <c r="AR30" i="14"/>
  <c r="AQ30" i="14"/>
  <c r="AM30" i="14"/>
  <c r="AL30" i="14"/>
  <c r="AK30" i="14"/>
  <c r="AJ30" i="14"/>
  <c r="AI30" i="14"/>
  <c r="AU29" i="14"/>
  <c r="AT29" i="14"/>
  <c r="AS29" i="14"/>
  <c r="AR29" i="14"/>
  <c r="AQ29" i="14"/>
  <c r="AM29" i="14"/>
  <c r="AL29" i="14"/>
  <c r="AK29" i="14"/>
  <c r="AJ29" i="14"/>
  <c r="AI29" i="14"/>
  <c r="AU28" i="14"/>
  <c r="AT28" i="14"/>
  <c r="AS28" i="14"/>
  <c r="AR28" i="14"/>
  <c r="AQ28" i="14"/>
  <c r="AM28" i="14"/>
  <c r="AL28" i="14"/>
  <c r="AK28" i="14"/>
  <c r="AJ28" i="14"/>
  <c r="AI28" i="14"/>
  <c r="AU27" i="14"/>
  <c r="AT27" i="14"/>
  <c r="AS27" i="14"/>
  <c r="AR27" i="14"/>
  <c r="AQ27" i="14"/>
  <c r="AM27" i="14"/>
  <c r="AL27" i="14"/>
  <c r="AK27" i="14"/>
  <c r="AJ27" i="14"/>
  <c r="AI27" i="14"/>
  <c r="AU26" i="14"/>
  <c r="AT26" i="14"/>
  <c r="AS26" i="14"/>
  <c r="AR26" i="14"/>
  <c r="AQ26" i="14"/>
  <c r="AM26" i="14"/>
  <c r="AL26" i="14"/>
  <c r="AK26" i="14"/>
  <c r="AJ26" i="14"/>
  <c r="AI26" i="14"/>
  <c r="AU25" i="14"/>
  <c r="AT25" i="14"/>
  <c r="AS25" i="14"/>
  <c r="AR25" i="14"/>
  <c r="AQ25" i="14"/>
  <c r="AM25" i="14"/>
  <c r="AL25" i="14"/>
  <c r="AK25" i="14"/>
  <c r="AJ25" i="14"/>
  <c r="AI25" i="14"/>
  <c r="AU24" i="14"/>
  <c r="AT24" i="14"/>
  <c r="AS24" i="14"/>
  <c r="AR24" i="14"/>
  <c r="AQ24" i="14"/>
  <c r="AM24" i="14"/>
  <c r="AL24" i="14"/>
  <c r="AK24" i="14"/>
  <c r="AJ24" i="14"/>
  <c r="AI24" i="14"/>
  <c r="AU23" i="14"/>
  <c r="AT23" i="14"/>
  <c r="AS23" i="14"/>
  <c r="AR23" i="14"/>
  <c r="AQ23" i="14"/>
  <c r="AM23" i="14"/>
  <c r="AL23" i="14"/>
  <c r="AK23" i="14"/>
  <c r="AJ23" i="14"/>
  <c r="AI23" i="14"/>
  <c r="AU22" i="14"/>
  <c r="AT22" i="14"/>
  <c r="AS22" i="14"/>
  <c r="AR22" i="14"/>
  <c r="AQ22" i="14"/>
  <c r="AM22" i="14"/>
  <c r="AL22" i="14"/>
  <c r="AK22" i="14"/>
  <c r="AJ22" i="14"/>
  <c r="AI22" i="14"/>
  <c r="AU21" i="14"/>
  <c r="AT21" i="14"/>
  <c r="AS21" i="14"/>
  <c r="AR21" i="14"/>
  <c r="AQ21" i="14"/>
  <c r="AM21" i="14"/>
  <c r="AL21" i="14"/>
  <c r="AK21" i="14"/>
  <c r="AJ21" i="14"/>
  <c r="AI21" i="14"/>
  <c r="AU20" i="14"/>
  <c r="AT20" i="14"/>
  <c r="AS20" i="14"/>
  <c r="AR20" i="14"/>
  <c r="AQ20" i="14"/>
  <c r="AM20" i="14"/>
  <c r="AL20" i="14"/>
  <c r="AK20" i="14"/>
  <c r="AJ20" i="14"/>
  <c r="AI20" i="14"/>
  <c r="AU19" i="14"/>
  <c r="AT19" i="14"/>
  <c r="AS19" i="14"/>
  <c r="AR19" i="14"/>
  <c r="AQ19" i="14"/>
  <c r="AM19" i="14"/>
  <c r="AL19" i="14"/>
  <c r="AK19" i="14"/>
  <c r="AJ19" i="14"/>
  <c r="AI19" i="14"/>
  <c r="AU18" i="14"/>
  <c r="AT18" i="14"/>
  <c r="AS18" i="14"/>
  <c r="AR18" i="14"/>
  <c r="AQ18" i="14"/>
  <c r="AM18" i="14"/>
  <c r="AL18" i="14"/>
  <c r="AK18" i="14"/>
  <c r="AJ18" i="14"/>
  <c r="AI18" i="14"/>
  <c r="AU17" i="14"/>
  <c r="AT17" i="14"/>
  <c r="AS17" i="14"/>
  <c r="AR17" i="14"/>
  <c r="AQ17" i="14"/>
  <c r="AM17" i="14"/>
  <c r="AL17" i="14"/>
  <c r="AK17" i="14"/>
  <c r="AJ17" i="14"/>
  <c r="AI17" i="14"/>
  <c r="AU16" i="14"/>
  <c r="AT16" i="14"/>
  <c r="AS16" i="14"/>
  <c r="AR16" i="14"/>
  <c r="AQ16" i="14"/>
  <c r="AM16" i="14"/>
  <c r="AL16" i="14"/>
  <c r="AK16" i="14"/>
  <c r="AJ16" i="14"/>
  <c r="AI16" i="14"/>
  <c r="AU15" i="14"/>
  <c r="AT15" i="14"/>
  <c r="AS15" i="14"/>
  <c r="AR15" i="14"/>
  <c r="AQ15" i="14"/>
  <c r="AM15" i="14"/>
  <c r="AL15" i="14"/>
  <c r="AK15" i="14"/>
  <c r="AJ15" i="14"/>
  <c r="AI15" i="14"/>
  <c r="AU14" i="14"/>
  <c r="AT14" i="14"/>
  <c r="AS14" i="14"/>
  <c r="AR14" i="14"/>
  <c r="AQ14" i="14"/>
  <c r="AM14" i="14"/>
  <c r="AL14" i="14"/>
  <c r="AK14" i="14"/>
  <c r="AJ14" i="14"/>
  <c r="AI14" i="14"/>
  <c r="AU13" i="14"/>
  <c r="AT13" i="14"/>
  <c r="AS13" i="14"/>
  <c r="AR13" i="14"/>
  <c r="AQ13" i="14"/>
  <c r="AM13" i="14"/>
  <c r="AL13" i="14"/>
  <c r="AK13" i="14"/>
  <c r="AJ13" i="14"/>
  <c r="AI13" i="14"/>
  <c r="AU12" i="14"/>
  <c r="AT12" i="14"/>
  <c r="AS12" i="14"/>
  <c r="AR12" i="14"/>
  <c r="AQ12" i="14"/>
  <c r="AM12" i="14"/>
  <c r="AL12" i="14"/>
  <c r="AK12" i="14"/>
  <c r="AJ12" i="14"/>
  <c r="AI12" i="14"/>
  <c r="AU11" i="14"/>
  <c r="AT11" i="14"/>
  <c r="AS11" i="14"/>
  <c r="AR11" i="14"/>
  <c r="AQ11" i="14"/>
  <c r="AM11" i="14"/>
  <c r="AL11" i="14"/>
  <c r="AK11" i="14"/>
  <c r="AJ11" i="14"/>
  <c r="AI11" i="14"/>
  <c r="D5" i="14"/>
  <c r="AG39" i="13"/>
  <c r="AF39" i="13"/>
  <c r="AD39" i="13"/>
  <c r="AC39" i="13"/>
  <c r="AB39" i="13"/>
  <c r="Y39" i="13"/>
  <c r="AG38" i="13"/>
  <c r="AF38" i="13"/>
  <c r="AC38" i="13"/>
  <c r="AB38" i="13"/>
  <c r="AA38" i="13"/>
  <c r="Z38" i="13"/>
  <c r="Y38" i="13"/>
  <c r="X38" i="13"/>
  <c r="V38" i="13"/>
  <c r="AG37" i="13"/>
  <c r="AF37" i="13"/>
  <c r="AE37" i="13"/>
  <c r="AD37" i="13"/>
  <c r="AC37" i="13"/>
  <c r="AB37" i="13"/>
  <c r="AA37" i="13"/>
  <c r="Z37" i="13"/>
  <c r="Z39" i="13" s="1"/>
  <c r="Y37" i="13"/>
  <c r="X37" i="13"/>
  <c r="X39" i="13" s="1"/>
  <c r="W37" i="13"/>
  <c r="V37" i="13"/>
  <c r="U37" i="13"/>
  <c r="AU35" i="13"/>
  <c r="AT35" i="13"/>
  <c r="AS35" i="13"/>
  <c r="AR35" i="13"/>
  <c r="AQ35" i="13"/>
  <c r="AP35" i="13"/>
  <c r="AM35" i="13"/>
  <c r="AL35" i="13"/>
  <c r="AK35" i="13"/>
  <c r="AJ35" i="13"/>
  <c r="AI35" i="13"/>
  <c r="AU34" i="13"/>
  <c r="AT34" i="13"/>
  <c r="AS34" i="13"/>
  <c r="AR34" i="13"/>
  <c r="AQ34" i="13"/>
  <c r="AP34" i="13"/>
  <c r="AO34" i="13"/>
  <c r="AM34" i="13"/>
  <c r="AL34" i="13"/>
  <c r="AK34" i="13"/>
  <c r="AJ34" i="13"/>
  <c r="AI34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U32" i="13"/>
  <c r="AT32" i="13"/>
  <c r="AS32" i="13"/>
  <c r="AR32" i="13"/>
  <c r="AQ32" i="13"/>
  <c r="AP32" i="13"/>
  <c r="AO32" i="13"/>
  <c r="AM32" i="13"/>
  <c r="AL32" i="13"/>
  <c r="AK32" i="13"/>
  <c r="AJ32" i="13"/>
  <c r="AI32" i="13"/>
  <c r="AU31" i="13"/>
  <c r="AT31" i="13"/>
  <c r="AS31" i="13"/>
  <c r="AR31" i="13"/>
  <c r="AQ31" i="13"/>
  <c r="AP31" i="13"/>
  <c r="AO31" i="13"/>
  <c r="AM31" i="13"/>
  <c r="AL31" i="13"/>
  <c r="AK31" i="13"/>
  <c r="AJ31" i="13"/>
  <c r="AI31" i="13"/>
  <c r="AU30" i="13"/>
  <c r="AT30" i="13"/>
  <c r="AS30" i="13"/>
  <c r="AR30" i="13"/>
  <c r="AQ30" i="13"/>
  <c r="AM30" i="13"/>
  <c r="AL30" i="13"/>
  <c r="AK30" i="13"/>
  <c r="AJ30" i="13"/>
  <c r="AI30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U28" i="13"/>
  <c r="AT28" i="13"/>
  <c r="AS28" i="13"/>
  <c r="AR28" i="13"/>
  <c r="AQ28" i="13"/>
  <c r="AP28" i="13"/>
  <c r="AO28" i="13"/>
  <c r="AM28" i="13"/>
  <c r="AL28" i="13"/>
  <c r="AK28" i="13"/>
  <c r="AJ28" i="13"/>
  <c r="AI28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U26" i="13"/>
  <c r="AT26" i="13"/>
  <c r="AS26" i="13"/>
  <c r="AR26" i="13"/>
  <c r="AQ26" i="13"/>
  <c r="AP26" i="13"/>
  <c r="AM26" i="13"/>
  <c r="AL26" i="13"/>
  <c r="AK26" i="13"/>
  <c r="AJ26" i="13"/>
  <c r="AI26" i="13"/>
  <c r="AU25" i="13"/>
  <c r="AT25" i="13"/>
  <c r="AS25" i="13"/>
  <c r="AR25" i="13"/>
  <c r="AQ25" i="13"/>
  <c r="AM25" i="13"/>
  <c r="AL25" i="13"/>
  <c r="AK25" i="13"/>
  <c r="AJ25" i="13"/>
  <c r="AI25" i="13"/>
  <c r="AU24" i="13"/>
  <c r="AT24" i="13"/>
  <c r="AS24" i="13"/>
  <c r="AR24" i="13"/>
  <c r="AQ24" i="13"/>
  <c r="AP24" i="13"/>
  <c r="AO24" i="13"/>
  <c r="AM24" i="13"/>
  <c r="AL24" i="13"/>
  <c r="AK24" i="13"/>
  <c r="AJ24" i="13"/>
  <c r="AI24" i="13"/>
  <c r="AU23" i="13"/>
  <c r="AT23" i="13"/>
  <c r="AS23" i="13"/>
  <c r="AR23" i="13"/>
  <c r="AQ23" i="13"/>
  <c r="AP23" i="13"/>
  <c r="AO23" i="13"/>
  <c r="AM23" i="13"/>
  <c r="AL23" i="13"/>
  <c r="AK23" i="13"/>
  <c r="AJ23" i="13"/>
  <c r="AI23" i="13"/>
  <c r="AU22" i="13"/>
  <c r="AT22" i="13"/>
  <c r="AS22" i="13"/>
  <c r="AR22" i="13"/>
  <c r="AQ22" i="13"/>
  <c r="AP22" i="13"/>
  <c r="AO22" i="13"/>
  <c r="AM22" i="13"/>
  <c r="AL22" i="13"/>
  <c r="AK22" i="13"/>
  <c r="AJ22" i="13"/>
  <c r="AI22" i="13"/>
  <c r="AU21" i="13"/>
  <c r="AT21" i="13"/>
  <c r="AS21" i="13"/>
  <c r="AR21" i="13"/>
  <c r="AQ21" i="13"/>
  <c r="AO21" i="13"/>
  <c r="AM21" i="13"/>
  <c r="AL21" i="13"/>
  <c r="AK21" i="13"/>
  <c r="AJ21" i="13"/>
  <c r="AI21" i="13"/>
  <c r="AU20" i="13"/>
  <c r="AT20" i="13"/>
  <c r="AS20" i="13"/>
  <c r="AR20" i="13"/>
  <c r="AQ20" i="13"/>
  <c r="AO20" i="13"/>
  <c r="AM20" i="13"/>
  <c r="AL20" i="13"/>
  <c r="AK20" i="13"/>
  <c r="AJ20" i="13"/>
  <c r="AI20" i="13"/>
  <c r="AU19" i="13"/>
  <c r="AT19" i="13"/>
  <c r="AS19" i="13"/>
  <c r="AR19" i="13"/>
  <c r="AQ19" i="13"/>
  <c r="AP19" i="13"/>
  <c r="AM19" i="13"/>
  <c r="AL19" i="13"/>
  <c r="AK19" i="13"/>
  <c r="AJ19" i="13"/>
  <c r="AI19" i="13"/>
  <c r="AU18" i="13"/>
  <c r="AT18" i="13"/>
  <c r="AS18" i="13"/>
  <c r="AR18" i="13"/>
  <c r="AQ18" i="13"/>
  <c r="AP18" i="13"/>
  <c r="AO18" i="13"/>
  <c r="AM18" i="13"/>
  <c r="AL18" i="13"/>
  <c r="AK18" i="13"/>
  <c r="AJ18" i="13"/>
  <c r="AI18" i="13"/>
  <c r="AU17" i="13"/>
  <c r="AT17" i="13"/>
  <c r="AS17" i="13"/>
  <c r="AR17" i="13"/>
  <c r="AQ17" i="13"/>
  <c r="AP17" i="13"/>
  <c r="AO17" i="13"/>
  <c r="AM17" i="13"/>
  <c r="AL17" i="13"/>
  <c r="AK17" i="13"/>
  <c r="AJ17" i="13"/>
  <c r="AI17" i="13"/>
  <c r="AU16" i="13"/>
  <c r="AT16" i="13"/>
  <c r="AS16" i="13"/>
  <c r="AR16" i="13"/>
  <c r="AQ16" i="13"/>
  <c r="AP16" i="13"/>
  <c r="AO16" i="13"/>
  <c r="AM16" i="13"/>
  <c r="AL16" i="13"/>
  <c r="AK16" i="13"/>
  <c r="AJ16" i="13"/>
  <c r="AI16" i="13"/>
  <c r="AU15" i="13"/>
  <c r="AT15" i="13"/>
  <c r="AS15" i="13"/>
  <c r="AR15" i="13"/>
  <c r="AQ15" i="13"/>
  <c r="AP15" i="13"/>
  <c r="AO15" i="13"/>
  <c r="AM15" i="13"/>
  <c r="AL15" i="13"/>
  <c r="AK15" i="13"/>
  <c r="AJ15" i="13"/>
  <c r="AI15" i="13"/>
  <c r="AU14" i="13"/>
  <c r="AT14" i="13"/>
  <c r="AS14" i="13"/>
  <c r="AR14" i="13"/>
  <c r="AQ14" i="13"/>
  <c r="AP14" i="13"/>
  <c r="AM14" i="13"/>
  <c r="AL14" i="13"/>
  <c r="AK14" i="13"/>
  <c r="AJ14" i="13"/>
  <c r="AI14" i="13"/>
  <c r="AU13" i="13"/>
  <c r="AT13" i="13"/>
  <c r="AS13" i="13"/>
  <c r="AR13" i="13"/>
  <c r="AQ13" i="13"/>
  <c r="AP13" i="13"/>
  <c r="AO13" i="13"/>
  <c r="AM13" i="13"/>
  <c r="AL13" i="13"/>
  <c r="AK13" i="13"/>
  <c r="AJ13" i="13"/>
  <c r="AI13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U11" i="13"/>
  <c r="AT11" i="13"/>
  <c r="AS11" i="13"/>
  <c r="AR11" i="13"/>
  <c r="AQ11" i="13"/>
  <c r="AP11" i="13"/>
  <c r="AO11" i="13"/>
  <c r="AN11" i="13"/>
  <c r="AM11" i="13"/>
  <c r="AL11" i="13"/>
  <c r="AK11" i="13"/>
  <c r="AJ11" i="13"/>
  <c r="AI11" i="13"/>
  <c r="H5" i="13"/>
  <c r="AN22" i="13" s="1"/>
  <c r="G5" i="13"/>
  <c r="AO35" i="13" s="1"/>
  <c r="F5" i="13"/>
  <c r="AP30" i="13" s="1"/>
  <c r="D5" i="13"/>
  <c r="Z39" i="12"/>
  <c r="Y39" i="12"/>
  <c r="X39" i="12"/>
  <c r="AG38" i="12"/>
  <c r="AF38" i="12"/>
  <c r="AC38" i="12"/>
  <c r="AB38" i="12"/>
  <c r="Z38" i="12"/>
  <c r="Y38" i="12"/>
  <c r="X38" i="12"/>
  <c r="AG37" i="12"/>
  <c r="AG39" i="12" s="1"/>
  <c r="AF37" i="12"/>
  <c r="AF39" i="12" s="1"/>
  <c r="AE37" i="12"/>
  <c r="AD37" i="12"/>
  <c r="AC37" i="12"/>
  <c r="AC39" i="12" s="1"/>
  <c r="AB37" i="12"/>
  <c r="AB39" i="12" s="1"/>
  <c r="AA37" i="12"/>
  <c r="Z37" i="12"/>
  <c r="Y37" i="12"/>
  <c r="X37" i="12"/>
  <c r="W37" i="12"/>
  <c r="V37" i="12"/>
  <c r="U37" i="12"/>
  <c r="AU35" i="12"/>
  <c r="AT35" i="12"/>
  <c r="AS35" i="12"/>
  <c r="AR35" i="12"/>
  <c r="AQ35" i="12"/>
  <c r="AM35" i="12"/>
  <c r="AL35" i="12"/>
  <c r="AK35" i="12"/>
  <c r="AJ35" i="12"/>
  <c r="AI35" i="12"/>
  <c r="AU34" i="12"/>
  <c r="AT34" i="12"/>
  <c r="AS34" i="12"/>
  <c r="AR34" i="12"/>
  <c r="AQ34" i="12"/>
  <c r="AM34" i="12"/>
  <c r="AL34" i="12"/>
  <c r="AK34" i="12"/>
  <c r="AJ34" i="12"/>
  <c r="AI34" i="12"/>
  <c r="AU33" i="12"/>
  <c r="AT33" i="12"/>
  <c r="AS33" i="12"/>
  <c r="AR33" i="12"/>
  <c r="AQ33" i="12"/>
  <c r="AM33" i="12"/>
  <c r="AL33" i="12"/>
  <c r="AK33" i="12"/>
  <c r="AJ33" i="12"/>
  <c r="AI33" i="12"/>
  <c r="AU32" i="12"/>
  <c r="AT32" i="12"/>
  <c r="AS32" i="12"/>
  <c r="AR32" i="12"/>
  <c r="AQ32" i="12"/>
  <c r="AM32" i="12"/>
  <c r="AL32" i="12"/>
  <c r="AK32" i="12"/>
  <c r="AJ32" i="12"/>
  <c r="AI32" i="12"/>
  <c r="AU31" i="12"/>
  <c r="AT31" i="12"/>
  <c r="AS31" i="12"/>
  <c r="AR31" i="12"/>
  <c r="AQ31" i="12"/>
  <c r="AM31" i="12"/>
  <c r="AL31" i="12"/>
  <c r="AK31" i="12"/>
  <c r="AJ31" i="12"/>
  <c r="AI31" i="12"/>
  <c r="AU30" i="12"/>
  <c r="AT30" i="12"/>
  <c r="AS30" i="12"/>
  <c r="AR30" i="12"/>
  <c r="AQ30" i="12"/>
  <c r="AM30" i="12"/>
  <c r="AL30" i="12"/>
  <c r="AK30" i="12"/>
  <c r="AJ30" i="12"/>
  <c r="AI30" i="12"/>
  <c r="AU29" i="12"/>
  <c r="AT29" i="12"/>
  <c r="AS29" i="12"/>
  <c r="AR29" i="12"/>
  <c r="AQ29" i="12"/>
  <c r="AM29" i="12"/>
  <c r="AL29" i="12"/>
  <c r="AK29" i="12"/>
  <c r="AJ29" i="12"/>
  <c r="AI29" i="12"/>
  <c r="AU28" i="12"/>
  <c r="AT28" i="12"/>
  <c r="AS28" i="12"/>
  <c r="AR28" i="12"/>
  <c r="AQ28" i="12"/>
  <c r="AM28" i="12"/>
  <c r="AL28" i="12"/>
  <c r="AK28" i="12"/>
  <c r="AJ28" i="12"/>
  <c r="AI28" i="12"/>
  <c r="AU27" i="12"/>
  <c r="AT27" i="12"/>
  <c r="AS27" i="12"/>
  <c r="AR27" i="12"/>
  <c r="AQ27" i="12"/>
  <c r="AM27" i="12"/>
  <c r="AL27" i="12"/>
  <c r="AK27" i="12"/>
  <c r="AJ27" i="12"/>
  <c r="AI27" i="12"/>
  <c r="AU26" i="12"/>
  <c r="AT26" i="12"/>
  <c r="AS26" i="12"/>
  <c r="AR26" i="12"/>
  <c r="AQ26" i="12"/>
  <c r="AM26" i="12"/>
  <c r="AL26" i="12"/>
  <c r="AK26" i="12"/>
  <c r="AJ26" i="12"/>
  <c r="AI26" i="12"/>
  <c r="AU25" i="12"/>
  <c r="AT25" i="12"/>
  <c r="AS25" i="12"/>
  <c r="AR25" i="12"/>
  <c r="AQ25" i="12"/>
  <c r="AM25" i="12"/>
  <c r="AL25" i="12"/>
  <c r="AK25" i="12"/>
  <c r="AJ25" i="12"/>
  <c r="AI25" i="12"/>
  <c r="AU24" i="12"/>
  <c r="AT24" i="12"/>
  <c r="AS24" i="12"/>
  <c r="AR24" i="12"/>
  <c r="AQ24" i="12"/>
  <c r="AM24" i="12"/>
  <c r="AL24" i="12"/>
  <c r="AK24" i="12"/>
  <c r="AJ24" i="12"/>
  <c r="AI24" i="12"/>
  <c r="AU23" i="12"/>
  <c r="AT23" i="12"/>
  <c r="AS23" i="12"/>
  <c r="AR23" i="12"/>
  <c r="AQ23" i="12"/>
  <c r="AM23" i="12"/>
  <c r="AL23" i="12"/>
  <c r="AK23" i="12"/>
  <c r="AJ23" i="12"/>
  <c r="AI23" i="12"/>
  <c r="AU22" i="12"/>
  <c r="AT22" i="12"/>
  <c r="AS22" i="12"/>
  <c r="AR22" i="12"/>
  <c r="AQ22" i="12"/>
  <c r="AM22" i="12"/>
  <c r="AL22" i="12"/>
  <c r="AK22" i="12"/>
  <c r="AJ22" i="12"/>
  <c r="AI22" i="12"/>
  <c r="AU21" i="12"/>
  <c r="AT21" i="12"/>
  <c r="AS21" i="12"/>
  <c r="AR21" i="12"/>
  <c r="AQ21" i="12"/>
  <c r="AM21" i="12"/>
  <c r="AL21" i="12"/>
  <c r="AK21" i="12"/>
  <c r="AJ21" i="12"/>
  <c r="AI21" i="12"/>
  <c r="AU20" i="12"/>
  <c r="AT20" i="12"/>
  <c r="AS20" i="12"/>
  <c r="AR20" i="12"/>
  <c r="AQ20" i="12"/>
  <c r="AM20" i="12"/>
  <c r="AL20" i="12"/>
  <c r="AK20" i="12"/>
  <c r="AJ20" i="12"/>
  <c r="AI20" i="12"/>
  <c r="AU19" i="12"/>
  <c r="AT19" i="12"/>
  <c r="AS19" i="12"/>
  <c r="AR19" i="12"/>
  <c r="AQ19" i="12"/>
  <c r="AM19" i="12"/>
  <c r="AL19" i="12"/>
  <c r="AK19" i="12"/>
  <c r="AJ19" i="12"/>
  <c r="AI19" i="12"/>
  <c r="AU18" i="12"/>
  <c r="AT18" i="12"/>
  <c r="AS18" i="12"/>
  <c r="AR18" i="12"/>
  <c r="AQ18" i="12"/>
  <c r="AM18" i="12"/>
  <c r="AL18" i="12"/>
  <c r="AK18" i="12"/>
  <c r="AJ18" i="12"/>
  <c r="AI18" i="12"/>
  <c r="AU17" i="12"/>
  <c r="AT17" i="12"/>
  <c r="AS17" i="12"/>
  <c r="AR17" i="12"/>
  <c r="AQ17" i="12"/>
  <c r="AM17" i="12"/>
  <c r="AL17" i="12"/>
  <c r="AK17" i="12"/>
  <c r="AJ17" i="12"/>
  <c r="AI17" i="12"/>
  <c r="AU16" i="12"/>
  <c r="AT16" i="12"/>
  <c r="AS16" i="12"/>
  <c r="AR16" i="12"/>
  <c r="AQ16" i="12"/>
  <c r="AM16" i="12"/>
  <c r="AL16" i="12"/>
  <c r="AK16" i="12"/>
  <c r="AJ16" i="12"/>
  <c r="AI16" i="12"/>
  <c r="AU15" i="12"/>
  <c r="AT15" i="12"/>
  <c r="AS15" i="12"/>
  <c r="AR15" i="12"/>
  <c r="AQ15" i="12"/>
  <c r="AM15" i="12"/>
  <c r="AL15" i="12"/>
  <c r="AK15" i="12"/>
  <c r="AJ15" i="12"/>
  <c r="AI15" i="12"/>
  <c r="AU14" i="12"/>
  <c r="AT14" i="12"/>
  <c r="AS14" i="12"/>
  <c r="AR14" i="12"/>
  <c r="AQ14" i="12"/>
  <c r="AM14" i="12"/>
  <c r="AL14" i="12"/>
  <c r="AK14" i="12"/>
  <c r="AJ14" i="12"/>
  <c r="AI14" i="12"/>
  <c r="AU13" i="12"/>
  <c r="AT13" i="12"/>
  <c r="AS13" i="12"/>
  <c r="AR13" i="12"/>
  <c r="AQ13" i="12"/>
  <c r="AM13" i="12"/>
  <c r="AL13" i="12"/>
  <c r="AK13" i="12"/>
  <c r="AJ13" i="12"/>
  <c r="AI13" i="12"/>
  <c r="AU12" i="12"/>
  <c r="AT12" i="12"/>
  <c r="AS12" i="12"/>
  <c r="AR12" i="12"/>
  <c r="AQ12" i="12"/>
  <c r="AM12" i="12"/>
  <c r="AL12" i="12"/>
  <c r="AK12" i="12"/>
  <c r="AJ12" i="12"/>
  <c r="AI12" i="12"/>
  <c r="AU11" i="12"/>
  <c r="AT11" i="12"/>
  <c r="AS11" i="12"/>
  <c r="AR11" i="12"/>
  <c r="AQ11" i="12"/>
  <c r="AM11" i="12"/>
  <c r="AL11" i="12"/>
  <c r="AK11" i="12"/>
  <c r="AJ11" i="12"/>
  <c r="AI11" i="12"/>
  <c r="D5" i="12"/>
  <c r="AG39" i="11"/>
  <c r="AF39" i="11"/>
  <c r="AC39" i="11"/>
  <c r="AG38" i="11"/>
  <c r="AF38" i="11"/>
  <c r="AC38" i="11"/>
  <c r="AB38" i="11"/>
  <c r="Z38" i="11"/>
  <c r="Y38" i="11"/>
  <c r="X38" i="11"/>
  <c r="AG37" i="11"/>
  <c r="AF37" i="11"/>
  <c r="AE37" i="11"/>
  <c r="AD37" i="11"/>
  <c r="AC37" i="11"/>
  <c r="AB37" i="11"/>
  <c r="AB39" i="11" s="1"/>
  <c r="AA37" i="11"/>
  <c r="Z37" i="11"/>
  <c r="Z39" i="11" s="1"/>
  <c r="Y37" i="11"/>
  <c r="Y39" i="11" s="1"/>
  <c r="X37" i="11"/>
  <c r="X39" i="11" s="1"/>
  <c r="W37" i="11"/>
  <c r="V37" i="11"/>
  <c r="U37" i="11"/>
  <c r="AU35" i="11"/>
  <c r="AT35" i="11"/>
  <c r="AS35" i="11"/>
  <c r="AR35" i="11"/>
  <c r="AQ35" i="11"/>
  <c r="AM35" i="11"/>
  <c r="AL35" i="11"/>
  <c r="AK35" i="11"/>
  <c r="AJ35" i="11"/>
  <c r="AI35" i="11"/>
  <c r="AU34" i="11"/>
  <c r="AT34" i="11"/>
  <c r="AS34" i="11"/>
  <c r="AR34" i="11"/>
  <c r="AQ34" i="11"/>
  <c r="AM34" i="11"/>
  <c r="AL34" i="11"/>
  <c r="AK34" i="11"/>
  <c r="AJ34" i="11"/>
  <c r="AI34" i="11"/>
  <c r="AU33" i="11"/>
  <c r="AT33" i="11"/>
  <c r="AS33" i="11"/>
  <c r="AR33" i="11"/>
  <c r="AQ33" i="11"/>
  <c r="AM33" i="11"/>
  <c r="AL33" i="11"/>
  <c r="AK33" i="11"/>
  <c r="AJ33" i="11"/>
  <c r="AI33" i="11"/>
  <c r="AU32" i="11"/>
  <c r="AT32" i="11"/>
  <c r="AS32" i="11"/>
  <c r="AR32" i="11"/>
  <c r="AQ32" i="11"/>
  <c r="AM32" i="11"/>
  <c r="AL32" i="11"/>
  <c r="AK32" i="11"/>
  <c r="AJ32" i="11"/>
  <c r="AI32" i="11"/>
  <c r="AU31" i="11"/>
  <c r="AT31" i="11"/>
  <c r="AS31" i="11"/>
  <c r="AR31" i="11"/>
  <c r="AQ31" i="11"/>
  <c r="AP31" i="11"/>
  <c r="AM31" i="11"/>
  <c r="AL31" i="11"/>
  <c r="AK31" i="11"/>
  <c r="AJ31" i="11"/>
  <c r="AI31" i="11"/>
  <c r="AU30" i="11"/>
  <c r="AT30" i="11"/>
  <c r="AS30" i="11"/>
  <c r="AR30" i="11"/>
  <c r="AQ30" i="11"/>
  <c r="AM30" i="11"/>
  <c r="AL30" i="11"/>
  <c r="AK30" i="11"/>
  <c r="AJ30" i="11"/>
  <c r="AI30" i="11"/>
  <c r="AU29" i="11"/>
  <c r="AT29" i="11"/>
  <c r="AS29" i="11"/>
  <c r="AR29" i="11"/>
  <c r="AQ29" i="11"/>
  <c r="AM29" i="11"/>
  <c r="AL29" i="11"/>
  <c r="AK29" i="11"/>
  <c r="AJ29" i="11"/>
  <c r="AI29" i="11"/>
  <c r="AU28" i="11"/>
  <c r="AT28" i="11"/>
  <c r="AS28" i="11"/>
  <c r="AR28" i="11"/>
  <c r="AQ28" i="11"/>
  <c r="AM28" i="11"/>
  <c r="AL28" i="11"/>
  <c r="AK28" i="11"/>
  <c r="AJ28" i="11"/>
  <c r="AI28" i="11"/>
  <c r="AU27" i="11"/>
  <c r="AT27" i="11"/>
  <c r="AS27" i="11"/>
  <c r="AR27" i="11"/>
  <c r="AQ27" i="11"/>
  <c r="AP27" i="11"/>
  <c r="AM27" i="11"/>
  <c r="AL27" i="11"/>
  <c r="AK27" i="11"/>
  <c r="AJ27" i="11"/>
  <c r="AI27" i="11"/>
  <c r="AU26" i="11"/>
  <c r="AT26" i="11"/>
  <c r="AS26" i="11"/>
  <c r="AR26" i="11"/>
  <c r="AQ26" i="11"/>
  <c r="AM26" i="11"/>
  <c r="AL26" i="11"/>
  <c r="AK26" i="11"/>
  <c r="AJ26" i="11"/>
  <c r="AI26" i="11"/>
  <c r="AU25" i="11"/>
  <c r="AT25" i="11"/>
  <c r="AS25" i="11"/>
  <c r="AR25" i="11"/>
  <c r="AQ25" i="11"/>
  <c r="AM25" i="11"/>
  <c r="AL25" i="11"/>
  <c r="AK25" i="11"/>
  <c r="AJ25" i="11"/>
  <c r="AI25" i="11"/>
  <c r="AU24" i="11"/>
  <c r="AT24" i="11"/>
  <c r="AS24" i="11"/>
  <c r="AR24" i="11"/>
  <c r="AQ24" i="11"/>
  <c r="AM24" i="11"/>
  <c r="AL24" i="11"/>
  <c r="AK24" i="11"/>
  <c r="AJ24" i="11"/>
  <c r="AI24" i="11"/>
  <c r="AU23" i="11"/>
  <c r="AT23" i="11"/>
  <c r="AS23" i="11"/>
  <c r="AR23" i="11"/>
  <c r="AQ23" i="11"/>
  <c r="AP23" i="11"/>
  <c r="AM23" i="11"/>
  <c r="AL23" i="11"/>
  <c r="AK23" i="11"/>
  <c r="AJ23" i="11"/>
  <c r="AI23" i="11"/>
  <c r="AU22" i="11"/>
  <c r="AT22" i="11"/>
  <c r="AS22" i="11"/>
  <c r="AR22" i="11"/>
  <c r="AQ22" i="11"/>
  <c r="AM22" i="11"/>
  <c r="AL22" i="11"/>
  <c r="AK22" i="11"/>
  <c r="AJ22" i="11"/>
  <c r="AI22" i="11"/>
  <c r="AU21" i="11"/>
  <c r="AT21" i="11"/>
  <c r="AS21" i="11"/>
  <c r="AR21" i="11"/>
  <c r="AQ21" i="11"/>
  <c r="AM21" i="11"/>
  <c r="AL21" i="11"/>
  <c r="AK21" i="11"/>
  <c r="AJ21" i="11"/>
  <c r="AI21" i="11"/>
  <c r="AU20" i="11"/>
  <c r="AT20" i="11"/>
  <c r="AS20" i="11"/>
  <c r="AR20" i="11"/>
  <c r="AQ20" i="11"/>
  <c r="AM20" i="11"/>
  <c r="AL20" i="11"/>
  <c r="AK20" i="11"/>
  <c r="AJ20" i="11"/>
  <c r="AI20" i="11"/>
  <c r="AU19" i="11"/>
  <c r="AT19" i="11"/>
  <c r="AS19" i="11"/>
  <c r="AR19" i="11"/>
  <c r="AQ19" i="11"/>
  <c r="AM19" i="11"/>
  <c r="AL19" i="11"/>
  <c r="AK19" i="11"/>
  <c r="AJ19" i="11"/>
  <c r="AI19" i="11"/>
  <c r="AU18" i="11"/>
  <c r="AT18" i="11"/>
  <c r="AS18" i="11"/>
  <c r="AR18" i="11"/>
  <c r="AQ18" i="11"/>
  <c r="AM18" i="11"/>
  <c r="AL18" i="11"/>
  <c r="AK18" i="11"/>
  <c r="AJ18" i="11"/>
  <c r="AI18" i="11"/>
  <c r="AU17" i="11"/>
  <c r="AT17" i="11"/>
  <c r="AS17" i="11"/>
  <c r="AR17" i="11"/>
  <c r="AQ17" i="11"/>
  <c r="AM17" i="11"/>
  <c r="AL17" i="11"/>
  <c r="AK17" i="11"/>
  <c r="AJ17" i="11"/>
  <c r="AI17" i="11"/>
  <c r="AU16" i="11"/>
  <c r="AT16" i="11"/>
  <c r="AS16" i="11"/>
  <c r="AR16" i="11"/>
  <c r="AQ16" i="11"/>
  <c r="AM16" i="11"/>
  <c r="AL16" i="11"/>
  <c r="AK16" i="11"/>
  <c r="AJ16" i="11"/>
  <c r="AI16" i="11"/>
  <c r="AU15" i="11"/>
  <c r="AT15" i="11"/>
  <c r="AS15" i="11"/>
  <c r="AR15" i="11"/>
  <c r="AQ15" i="11"/>
  <c r="AM15" i="11"/>
  <c r="AL15" i="11"/>
  <c r="AK15" i="11"/>
  <c r="AJ15" i="11"/>
  <c r="AI15" i="11"/>
  <c r="AU14" i="11"/>
  <c r="AT14" i="11"/>
  <c r="AS14" i="11"/>
  <c r="AR14" i="11"/>
  <c r="AQ14" i="11"/>
  <c r="AP14" i="11"/>
  <c r="AM14" i="11"/>
  <c r="AL14" i="11"/>
  <c r="AK14" i="11"/>
  <c r="AJ14" i="11"/>
  <c r="AI14" i="11"/>
  <c r="AU13" i="11"/>
  <c r="AT13" i="11"/>
  <c r="AS13" i="11"/>
  <c r="AR13" i="11"/>
  <c r="AQ13" i="11"/>
  <c r="AM13" i="11"/>
  <c r="AL13" i="11"/>
  <c r="AK13" i="11"/>
  <c r="AJ13" i="11"/>
  <c r="AI13" i="11"/>
  <c r="AU12" i="11"/>
  <c r="AT12" i="11"/>
  <c r="AS12" i="11"/>
  <c r="AR12" i="11"/>
  <c r="AQ12" i="11"/>
  <c r="AM12" i="11"/>
  <c r="AL12" i="11"/>
  <c r="AK12" i="11"/>
  <c r="AJ12" i="11"/>
  <c r="AI12" i="11"/>
  <c r="AU11" i="11"/>
  <c r="AT11" i="11"/>
  <c r="AS11" i="11"/>
  <c r="AR11" i="11"/>
  <c r="AQ11" i="11"/>
  <c r="AM11" i="11"/>
  <c r="AL11" i="11"/>
  <c r="AK11" i="11"/>
  <c r="AJ11" i="11"/>
  <c r="AI11" i="11"/>
  <c r="D5" i="11"/>
  <c r="F5" i="11" s="1"/>
  <c r="AP30" i="11" s="1"/>
  <c r="AC39" i="10"/>
  <c r="AB39" i="10"/>
  <c r="Z39" i="10"/>
  <c r="AG38" i="10"/>
  <c r="AF38" i="10"/>
  <c r="AC38" i="10"/>
  <c r="AB38" i="10"/>
  <c r="Z38" i="10"/>
  <c r="Y38" i="10"/>
  <c r="X38" i="10"/>
  <c r="AG37" i="10"/>
  <c r="AG39" i="10" s="1"/>
  <c r="AF37" i="10"/>
  <c r="AF39" i="10" s="1"/>
  <c r="AE37" i="10"/>
  <c r="AD37" i="10"/>
  <c r="AC37" i="10"/>
  <c r="AB37" i="10"/>
  <c r="AA37" i="10"/>
  <c r="Z37" i="10"/>
  <c r="Y37" i="10"/>
  <c r="Y39" i="10" s="1"/>
  <c r="X37" i="10"/>
  <c r="X39" i="10" s="1"/>
  <c r="W37" i="10"/>
  <c r="V37" i="10"/>
  <c r="U37" i="10"/>
  <c r="AU35" i="10"/>
  <c r="AT35" i="10"/>
  <c r="AS35" i="10"/>
  <c r="AR35" i="10"/>
  <c r="AQ35" i="10"/>
  <c r="AM35" i="10"/>
  <c r="AL35" i="10"/>
  <c r="AK35" i="10"/>
  <c r="AJ35" i="10"/>
  <c r="AI35" i="10"/>
  <c r="AU34" i="10"/>
  <c r="AT34" i="10"/>
  <c r="AS34" i="10"/>
  <c r="AR34" i="10"/>
  <c r="AQ34" i="10"/>
  <c r="AM34" i="10"/>
  <c r="AL34" i="10"/>
  <c r="AK34" i="10"/>
  <c r="AJ34" i="10"/>
  <c r="AI34" i="10"/>
  <c r="AU33" i="10"/>
  <c r="AT33" i="10"/>
  <c r="AS33" i="10"/>
  <c r="AR33" i="10"/>
  <c r="AQ33" i="10"/>
  <c r="AM33" i="10"/>
  <c r="AL33" i="10"/>
  <c r="AK33" i="10"/>
  <c r="AJ33" i="10"/>
  <c r="AI33" i="10"/>
  <c r="AU32" i="10"/>
  <c r="AT32" i="10"/>
  <c r="AS32" i="10"/>
  <c r="AR32" i="10"/>
  <c r="AQ32" i="10"/>
  <c r="AM32" i="10"/>
  <c r="AL32" i="10"/>
  <c r="AK32" i="10"/>
  <c r="AJ32" i="10"/>
  <c r="AI32" i="10"/>
  <c r="AU31" i="10"/>
  <c r="AT31" i="10"/>
  <c r="AS31" i="10"/>
  <c r="AR31" i="10"/>
  <c r="AQ31" i="10"/>
  <c r="AM31" i="10"/>
  <c r="AL31" i="10"/>
  <c r="AK31" i="10"/>
  <c r="AJ31" i="10"/>
  <c r="AI31" i="10"/>
  <c r="AU30" i="10"/>
  <c r="AT30" i="10"/>
  <c r="AS30" i="10"/>
  <c r="AR30" i="10"/>
  <c r="AQ30" i="10"/>
  <c r="AM30" i="10"/>
  <c r="AL30" i="10"/>
  <c r="AK30" i="10"/>
  <c r="AJ30" i="10"/>
  <c r="AI30" i="10"/>
  <c r="AU29" i="10"/>
  <c r="AT29" i="10"/>
  <c r="AS29" i="10"/>
  <c r="AR29" i="10"/>
  <c r="AQ29" i="10"/>
  <c r="AM29" i="10"/>
  <c r="AL29" i="10"/>
  <c r="AK29" i="10"/>
  <c r="AJ29" i="10"/>
  <c r="AI29" i="10"/>
  <c r="AU28" i="10"/>
  <c r="AT28" i="10"/>
  <c r="AS28" i="10"/>
  <c r="AR28" i="10"/>
  <c r="AQ28" i="10"/>
  <c r="AM28" i="10"/>
  <c r="AL28" i="10"/>
  <c r="AK28" i="10"/>
  <c r="AJ28" i="10"/>
  <c r="AI28" i="10"/>
  <c r="AU27" i="10"/>
  <c r="AT27" i="10"/>
  <c r="AS27" i="10"/>
  <c r="AR27" i="10"/>
  <c r="AQ27" i="10"/>
  <c r="AM27" i="10"/>
  <c r="AL27" i="10"/>
  <c r="AK27" i="10"/>
  <c r="AJ27" i="10"/>
  <c r="AI27" i="10"/>
  <c r="AU26" i="10"/>
  <c r="AT26" i="10"/>
  <c r="AS26" i="10"/>
  <c r="AR26" i="10"/>
  <c r="AQ26" i="10"/>
  <c r="AM26" i="10"/>
  <c r="AL26" i="10"/>
  <c r="AK26" i="10"/>
  <c r="AJ26" i="10"/>
  <c r="AI26" i="10"/>
  <c r="AU25" i="10"/>
  <c r="AT25" i="10"/>
  <c r="AS25" i="10"/>
  <c r="AR25" i="10"/>
  <c r="AQ25" i="10"/>
  <c r="AM25" i="10"/>
  <c r="AL25" i="10"/>
  <c r="AK25" i="10"/>
  <c r="AJ25" i="10"/>
  <c r="AI25" i="10"/>
  <c r="AU24" i="10"/>
  <c r="AT24" i="10"/>
  <c r="AS24" i="10"/>
  <c r="AR24" i="10"/>
  <c r="AQ24" i="10"/>
  <c r="AM24" i="10"/>
  <c r="AL24" i="10"/>
  <c r="AK24" i="10"/>
  <c r="AJ24" i="10"/>
  <c r="AI24" i="10"/>
  <c r="AU23" i="10"/>
  <c r="AT23" i="10"/>
  <c r="AS23" i="10"/>
  <c r="AR23" i="10"/>
  <c r="AQ23" i="10"/>
  <c r="AM23" i="10"/>
  <c r="AL23" i="10"/>
  <c r="AK23" i="10"/>
  <c r="AJ23" i="10"/>
  <c r="AI23" i="10"/>
  <c r="AU22" i="10"/>
  <c r="AT22" i="10"/>
  <c r="AS22" i="10"/>
  <c r="AR22" i="10"/>
  <c r="AQ22" i="10"/>
  <c r="AM22" i="10"/>
  <c r="AL22" i="10"/>
  <c r="AK22" i="10"/>
  <c r="AJ22" i="10"/>
  <c r="AI22" i="10"/>
  <c r="AU21" i="10"/>
  <c r="AT21" i="10"/>
  <c r="AS21" i="10"/>
  <c r="AR21" i="10"/>
  <c r="AQ21" i="10"/>
  <c r="AM21" i="10"/>
  <c r="AL21" i="10"/>
  <c r="AK21" i="10"/>
  <c r="AJ21" i="10"/>
  <c r="AI21" i="10"/>
  <c r="AU20" i="10"/>
  <c r="AT20" i="10"/>
  <c r="AS20" i="10"/>
  <c r="AR20" i="10"/>
  <c r="AQ20" i="10"/>
  <c r="AM20" i="10"/>
  <c r="AL20" i="10"/>
  <c r="AK20" i="10"/>
  <c r="AJ20" i="10"/>
  <c r="AI20" i="10"/>
  <c r="AU19" i="10"/>
  <c r="AT19" i="10"/>
  <c r="AS19" i="10"/>
  <c r="AR19" i="10"/>
  <c r="AQ19" i="10"/>
  <c r="AM19" i="10"/>
  <c r="AL19" i="10"/>
  <c r="AK19" i="10"/>
  <c r="AJ19" i="10"/>
  <c r="AI19" i="10"/>
  <c r="AU18" i="10"/>
  <c r="AT18" i="10"/>
  <c r="AS18" i="10"/>
  <c r="AR18" i="10"/>
  <c r="AQ18" i="10"/>
  <c r="AM18" i="10"/>
  <c r="AL18" i="10"/>
  <c r="AK18" i="10"/>
  <c r="AJ18" i="10"/>
  <c r="AI18" i="10"/>
  <c r="AU17" i="10"/>
  <c r="AT17" i="10"/>
  <c r="AS17" i="10"/>
  <c r="AR17" i="10"/>
  <c r="AQ17" i="10"/>
  <c r="AM17" i="10"/>
  <c r="AL17" i="10"/>
  <c r="AK17" i="10"/>
  <c r="AJ17" i="10"/>
  <c r="AI17" i="10"/>
  <c r="AU16" i="10"/>
  <c r="AT16" i="10"/>
  <c r="AS16" i="10"/>
  <c r="AR16" i="10"/>
  <c r="AQ16" i="10"/>
  <c r="AM16" i="10"/>
  <c r="AL16" i="10"/>
  <c r="AK16" i="10"/>
  <c r="AJ16" i="10"/>
  <c r="AI16" i="10"/>
  <c r="AU15" i="10"/>
  <c r="AT15" i="10"/>
  <c r="AS15" i="10"/>
  <c r="AR15" i="10"/>
  <c r="AQ15" i="10"/>
  <c r="AM15" i="10"/>
  <c r="AL15" i="10"/>
  <c r="AK15" i="10"/>
  <c r="AJ15" i="10"/>
  <c r="AI15" i="10"/>
  <c r="AU14" i="10"/>
  <c r="AT14" i="10"/>
  <c r="AS14" i="10"/>
  <c r="AR14" i="10"/>
  <c r="AQ14" i="10"/>
  <c r="AM14" i="10"/>
  <c r="AL14" i="10"/>
  <c r="AK14" i="10"/>
  <c r="AJ14" i="10"/>
  <c r="AI14" i="10"/>
  <c r="AU13" i="10"/>
  <c r="AT13" i="10"/>
  <c r="AS13" i="10"/>
  <c r="AR13" i="10"/>
  <c r="AQ13" i="10"/>
  <c r="AM13" i="10"/>
  <c r="AL13" i="10"/>
  <c r="AK13" i="10"/>
  <c r="AJ13" i="10"/>
  <c r="AI13" i="10"/>
  <c r="AU12" i="10"/>
  <c r="AT12" i="10"/>
  <c r="AS12" i="10"/>
  <c r="AR12" i="10"/>
  <c r="AQ12" i="10"/>
  <c r="AM12" i="10"/>
  <c r="AL12" i="10"/>
  <c r="AK12" i="10"/>
  <c r="AJ12" i="10"/>
  <c r="AI12" i="10"/>
  <c r="AU11" i="10"/>
  <c r="AT11" i="10"/>
  <c r="AS11" i="10"/>
  <c r="AR11" i="10"/>
  <c r="AQ11" i="10"/>
  <c r="AM11" i="10"/>
  <c r="AL11" i="10"/>
  <c r="AK11" i="10"/>
  <c r="AJ11" i="10"/>
  <c r="AI11" i="10"/>
  <c r="D5" i="10"/>
  <c r="AG38" i="9"/>
  <c r="AF38" i="9"/>
  <c r="AC38" i="9"/>
  <c r="AB38" i="9"/>
  <c r="Z38" i="9"/>
  <c r="Y38" i="9"/>
  <c r="X38" i="9"/>
  <c r="AG37" i="9"/>
  <c r="AG39" i="9" s="1"/>
  <c r="AF37" i="9"/>
  <c r="AF39" i="9" s="1"/>
  <c r="AE37" i="9"/>
  <c r="AD37" i="9"/>
  <c r="AC37" i="9"/>
  <c r="AC39" i="9" s="1"/>
  <c r="AB37" i="9"/>
  <c r="AB39" i="9" s="1"/>
  <c r="AA37" i="9"/>
  <c r="Z37" i="9"/>
  <c r="Z39" i="9" s="1"/>
  <c r="Y37" i="9"/>
  <c r="Y39" i="9" s="1"/>
  <c r="X37" i="9"/>
  <c r="X39" i="9" s="1"/>
  <c r="W37" i="9"/>
  <c r="V37" i="9"/>
  <c r="U37" i="9"/>
  <c r="AU35" i="9"/>
  <c r="AT35" i="9"/>
  <c r="AS35" i="9"/>
  <c r="AR35" i="9"/>
  <c r="AQ35" i="9"/>
  <c r="AM35" i="9"/>
  <c r="AL35" i="9"/>
  <c r="AK35" i="9"/>
  <c r="AJ35" i="9"/>
  <c r="AI35" i="9"/>
  <c r="AU34" i="9"/>
  <c r="AT34" i="9"/>
  <c r="AS34" i="9"/>
  <c r="AR34" i="9"/>
  <c r="AQ34" i="9"/>
  <c r="AM34" i="9"/>
  <c r="AL34" i="9"/>
  <c r="AK34" i="9"/>
  <c r="AJ34" i="9"/>
  <c r="AI34" i="9"/>
  <c r="AU33" i="9"/>
  <c r="AT33" i="9"/>
  <c r="AS33" i="9"/>
  <c r="AR33" i="9"/>
  <c r="AQ33" i="9"/>
  <c r="AM33" i="9"/>
  <c r="AL33" i="9"/>
  <c r="AK33" i="9"/>
  <c r="AJ33" i="9"/>
  <c r="AI33" i="9"/>
  <c r="AU32" i="9"/>
  <c r="AT32" i="9"/>
  <c r="AS32" i="9"/>
  <c r="AR32" i="9"/>
  <c r="AQ32" i="9"/>
  <c r="AM32" i="9"/>
  <c r="AL32" i="9"/>
  <c r="AK32" i="9"/>
  <c r="AJ32" i="9"/>
  <c r="AI32" i="9"/>
  <c r="AU31" i="9"/>
  <c r="AT31" i="9"/>
  <c r="AS31" i="9"/>
  <c r="AR31" i="9"/>
  <c r="AQ31" i="9"/>
  <c r="AM31" i="9"/>
  <c r="AL31" i="9"/>
  <c r="AK31" i="9"/>
  <c r="AJ31" i="9"/>
  <c r="AI31" i="9"/>
  <c r="AU30" i="9"/>
  <c r="AT30" i="9"/>
  <c r="AS30" i="9"/>
  <c r="AR30" i="9"/>
  <c r="AQ30" i="9"/>
  <c r="AM30" i="9"/>
  <c r="AL30" i="9"/>
  <c r="AK30" i="9"/>
  <c r="AJ30" i="9"/>
  <c r="AI30" i="9"/>
  <c r="AU29" i="9"/>
  <c r="AT29" i="9"/>
  <c r="AS29" i="9"/>
  <c r="AR29" i="9"/>
  <c r="AQ29" i="9"/>
  <c r="AM29" i="9"/>
  <c r="AL29" i="9"/>
  <c r="AK29" i="9"/>
  <c r="AJ29" i="9"/>
  <c r="AI29" i="9"/>
  <c r="AU28" i="9"/>
  <c r="AT28" i="9"/>
  <c r="AS28" i="9"/>
  <c r="AR28" i="9"/>
  <c r="AQ28" i="9"/>
  <c r="AM28" i="9"/>
  <c r="AL28" i="9"/>
  <c r="AK28" i="9"/>
  <c r="AJ28" i="9"/>
  <c r="AI28" i="9"/>
  <c r="AU27" i="9"/>
  <c r="AT27" i="9"/>
  <c r="AS27" i="9"/>
  <c r="AR27" i="9"/>
  <c r="AQ27" i="9"/>
  <c r="AM27" i="9"/>
  <c r="AL27" i="9"/>
  <c r="AK27" i="9"/>
  <c r="AJ27" i="9"/>
  <c r="AI27" i="9"/>
  <c r="AU26" i="9"/>
  <c r="AT26" i="9"/>
  <c r="AS26" i="9"/>
  <c r="AR26" i="9"/>
  <c r="AQ26" i="9"/>
  <c r="AM26" i="9"/>
  <c r="AL26" i="9"/>
  <c r="AK26" i="9"/>
  <c r="AJ26" i="9"/>
  <c r="AI26" i="9"/>
  <c r="AU25" i="9"/>
  <c r="AT25" i="9"/>
  <c r="AS25" i="9"/>
  <c r="AR25" i="9"/>
  <c r="AQ25" i="9"/>
  <c r="AM25" i="9"/>
  <c r="AL25" i="9"/>
  <c r="AK25" i="9"/>
  <c r="AJ25" i="9"/>
  <c r="AI25" i="9"/>
  <c r="AU24" i="9"/>
  <c r="AT24" i="9"/>
  <c r="AS24" i="9"/>
  <c r="AR24" i="9"/>
  <c r="AQ24" i="9"/>
  <c r="AM24" i="9"/>
  <c r="AL24" i="9"/>
  <c r="AK24" i="9"/>
  <c r="AJ24" i="9"/>
  <c r="AI24" i="9"/>
  <c r="AU23" i="9"/>
  <c r="AT23" i="9"/>
  <c r="AS23" i="9"/>
  <c r="AR23" i="9"/>
  <c r="AQ23" i="9"/>
  <c r="AP23" i="9"/>
  <c r="AM23" i="9"/>
  <c r="AL23" i="9"/>
  <c r="AK23" i="9"/>
  <c r="AJ23" i="9"/>
  <c r="AI23" i="9"/>
  <c r="AU22" i="9"/>
  <c r="AT22" i="9"/>
  <c r="AS22" i="9"/>
  <c r="AR22" i="9"/>
  <c r="AQ22" i="9"/>
  <c r="AM22" i="9"/>
  <c r="AL22" i="9"/>
  <c r="AK22" i="9"/>
  <c r="AJ22" i="9"/>
  <c r="AI22" i="9"/>
  <c r="AU21" i="9"/>
  <c r="AT21" i="9"/>
  <c r="AS21" i="9"/>
  <c r="AR21" i="9"/>
  <c r="AQ21" i="9"/>
  <c r="AM21" i="9"/>
  <c r="AL21" i="9"/>
  <c r="AK21" i="9"/>
  <c r="AJ21" i="9"/>
  <c r="AI21" i="9"/>
  <c r="AU20" i="9"/>
  <c r="AT20" i="9"/>
  <c r="AS20" i="9"/>
  <c r="AR20" i="9"/>
  <c r="AQ20" i="9"/>
  <c r="AM20" i="9"/>
  <c r="AL20" i="9"/>
  <c r="AK20" i="9"/>
  <c r="AJ20" i="9"/>
  <c r="AI20" i="9"/>
  <c r="AU19" i="9"/>
  <c r="AT19" i="9"/>
  <c r="AS19" i="9"/>
  <c r="AR19" i="9"/>
  <c r="AQ19" i="9"/>
  <c r="AM19" i="9"/>
  <c r="AL19" i="9"/>
  <c r="AK19" i="9"/>
  <c r="AJ19" i="9"/>
  <c r="AI19" i="9"/>
  <c r="AU18" i="9"/>
  <c r="AT18" i="9"/>
  <c r="AS18" i="9"/>
  <c r="AR18" i="9"/>
  <c r="AQ18" i="9"/>
  <c r="AP18" i="9"/>
  <c r="AM18" i="9"/>
  <c r="AL18" i="9"/>
  <c r="AK18" i="9"/>
  <c r="AJ18" i="9"/>
  <c r="AI18" i="9"/>
  <c r="AU17" i="9"/>
  <c r="AT17" i="9"/>
  <c r="AS17" i="9"/>
  <c r="AR17" i="9"/>
  <c r="AQ17" i="9"/>
  <c r="AM17" i="9"/>
  <c r="AL17" i="9"/>
  <c r="AK17" i="9"/>
  <c r="AJ17" i="9"/>
  <c r="AI17" i="9"/>
  <c r="AU16" i="9"/>
  <c r="AT16" i="9"/>
  <c r="AS16" i="9"/>
  <c r="AR16" i="9"/>
  <c r="AQ16" i="9"/>
  <c r="AM16" i="9"/>
  <c r="AL16" i="9"/>
  <c r="AK16" i="9"/>
  <c r="AJ16" i="9"/>
  <c r="AI16" i="9"/>
  <c r="AU15" i="9"/>
  <c r="AT15" i="9"/>
  <c r="AS15" i="9"/>
  <c r="AR15" i="9"/>
  <c r="AQ15" i="9"/>
  <c r="AM15" i="9"/>
  <c r="AL15" i="9"/>
  <c r="AK15" i="9"/>
  <c r="AJ15" i="9"/>
  <c r="AI15" i="9"/>
  <c r="AU14" i="9"/>
  <c r="AT14" i="9"/>
  <c r="AS14" i="9"/>
  <c r="AR14" i="9"/>
  <c r="AQ14" i="9"/>
  <c r="AM14" i="9"/>
  <c r="AL14" i="9"/>
  <c r="AK14" i="9"/>
  <c r="AJ14" i="9"/>
  <c r="AI14" i="9"/>
  <c r="AU13" i="9"/>
  <c r="AT13" i="9"/>
  <c r="AS13" i="9"/>
  <c r="AR13" i="9"/>
  <c r="AQ13" i="9"/>
  <c r="AP13" i="9"/>
  <c r="AM13" i="9"/>
  <c r="AL13" i="9"/>
  <c r="AK13" i="9"/>
  <c r="AJ13" i="9"/>
  <c r="AI13" i="9"/>
  <c r="AU12" i="9"/>
  <c r="AT12" i="9"/>
  <c r="AS12" i="9"/>
  <c r="AR12" i="9"/>
  <c r="AQ12" i="9"/>
  <c r="AM12" i="9"/>
  <c r="AL12" i="9"/>
  <c r="AK12" i="9"/>
  <c r="AJ12" i="9"/>
  <c r="AI12" i="9"/>
  <c r="AU11" i="9"/>
  <c r="AT11" i="9"/>
  <c r="AS11" i="9"/>
  <c r="AR11" i="9"/>
  <c r="AQ11" i="9"/>
  <c r="AM11" i="9"/>
  <c r="AL11" i="9"/>
  <c r="AK11" i="9"/>
  <c r="AJ11" i="9"/>
  <c r="AI11" i="9"/>
  <c r="F5" i="9"/>
  <c r="AP29" i="9" s="1"/>
  <c r="D5" i="9"/>
  <c r="H5" i="9" s="1"/>
  <c r="AC39" i="8"/>
  <c r="X39" i="8"/>
  <c r="AG38" i="8"/>
  <c r="AF38" i="8"/>
  <c r="AD38" i="8"/>
  <c r="AC38" i="8"/>
  <c r="AB38" i="8"/>
  <c r="Z38" i="8"/>
  <c r="Y38" i="8"/>
  <c r="X38" i="8"/>
  <c r="AG37" i="8"/>
  <c r="AG39" i="8" s="1"/>
  <c r="AF37" i="8"/>
  <c r="AF39" i="8" s="1"/>
  <c r="AE37" i="8"/>
  <c r="AD37" i="8"/>
  <c r="AC37" i="8"/>
  <c r="AB37" i="8"/>
  <c r="AB39" i="8" s="1"/>
  <c r="AA37" i="8"/>
  <c r="Z37" i="8"/>
  <c r="Z39" i="8" s="1"/>
  <c r="Y37" i="8"/>
  <c r="Y39" i="8" s="1"/>
  <c r="X37" i="8"/>
  <c r="W37" i="8"/>
  <c r="V37" i="8"/>
  <c r="U37" i="8"/>
  <c r="AU35" i="8"/>
  <c r="AT35" i="8"/>
  <c r="AS35" i="8"/>
  <c r="AR35" i="8"/>
  <c r="AQ35" i="8"/>
  <c r="AM35" i="8"/>
  <c r="AL35" i="8"/>
  <c r="AK35" i="8"/>
  <c r="AJ35" i="8"/>
  <c r="AI35" i="8"/>
  <c r="AU34" i="8"/>
  <c r="AT34" i="8"/>
  <c r="AS34" i="8"/>
  <c r="AR34" i="8"/>
  <c r="AQ34" i="8"/>
  <c r="AM34" i="8"/>
  <c r="AL34" i="8"/>
  <c r="AK34" i="8"/>
  <c r="AJ34" i="8"/>
  <c r="AI34" i="8"/>
  <c r="AU33" i="8"/>
  <c r="AT33" i="8"/>
  <c r="AS33" i="8"/>
  <c r="AR33" i="8"/>
  <c r="AQ33" i="8"/>
  <c r="AM33" i="8"/>
  <c r="AL33" i="8"/>
  <c r="AK33" i="8"/>
  <c r="AJ33" i="8"/>
  <c r="AI33" i="8"/>
  <c r="AU32" i="8"/>
  <c r="AT32" i="8"/>
  <c r="AS32" i="8"/>
  <c r="AR32" i="8"/>
  <c r="AQ32" i="8"/>
  <c r="AP32" i="8"/>
  <c r="AM32" i="8"/>
  <c r="AL32" i="8"/>
  <c r="AK32" i="8"/>
  <c r="AJ32" i="8"/>
  <c r="AI32" i="8"/>
  <c r="AU31" i="8"/>
  <c r="AT31" i="8"/>
  <c r="AS31" i="8"/>
  <c r="AR31" i="8"/>
  <c r="AQ31" i="8"/>
  <c r="AO31" i="8"/>
  <c r="AM31" i="8"/>
  <c r="AL31" i="8"/>
  <c r="AK31" i="8"/>
  <c r="AJ31" i="8"/>
  <c r="AI31" i="8"/>
  <c r="AU30" i="8"/>
  <c r="AT30" i="8"/>
  <c r="AS30" i="8"/>
  <c r="AR30" i="8"/>
  <c r="AQ30" i="8"/>
  <c r="AM30" i="8"/>
  <c r="AL30" i="8"/>
  <c r="AK30" i="8"/>
  <c r="AJ30" i="8"/>
  <c r="AI30" i="8"/>
  <c r="AU29" i="8"/>
  <c r="AT29" i="8"/>
  <c r="AS29" i="8"/>
  <c r="AR29" i="8"/>
  <c r="AQ29" i="8"/>
  <c r="AM29" i="8"/>
  <c r="AL29" i="8"/>
  <c r="AK29" i="8"/>
  <c r="AJ29" i="8"/>
  <c r="AI29" i="8"/>
  <c r="AU28" i="8"/>
  <c r="AT28" i="8"/>
  <c r="AS28" i="8"/>
  <c r="AR28" i="8"/>
  <c r="AQ28" i="8"/>
  <c r="AM28" i="8"/>
  <c r="AL28" i="8"/>
  <c r="AK28" i="8"/>
  <c r="AJ28" i="8"/>
  <c r="AI28" i="8"/>
  <c r="AU27" i="8"/>
  <c r="AT27" i="8"/>
  <c r="AS27" i="8"/>
  <c r="AR27" i="8"/>
  <c r="AQ27" i="8"/>
  <c r="AP27" i="8"/>
  <c r="AM27" i="8"/>
  <c r="AL27" i="8"/>
  <c r="AK27" i="8"/>
  <c r="AJ27" i="8"/>
  <c r="AI27" i="8"/>
  <c r="AU26" i="8"/>
  <c r="AT26" i="8"/>
  <c r="AS26" i="8"/>
  <c r="AR26" i="8"/>
  <c r="AQ26" i="8"/>
  <c r="AO26" i="8"/>
  <c r="AM26" i="8"/>
  <c r="AL26" i="8"/>
  <c r="AK26" i="8"/>
  <c r="AJ26" i="8"/>
  <c r="AI26" i="8"/>
  <c r="AU25" i="8"/>
  <c r="AT25" i="8"/>
  <c r="AS25" i="8"/>
  <c r="AR25" i="8"/>
  <c r="AQ25" i="8"/>
  <c r="AM25" i="8"/>
  <c r="AL25" i="8"/>
  <c r="AK25" i="8"/>
  <c r="AJ25" i="8"/>
  <c r="AI25" i="8"/>
  <c r="AU24" i="8"/>
  <c r="AT24" i="8"/>
  <c r="AS24" i="8"/>
  <c r="AR24" i="8"/>
  <c r="AQ24" i="8"/>
  <c r="AM24" i="8"/>
  <c r="AL24" i="8"/>
  <c r="AK24" i="8"/>
  <c r="AJ24" i="8"/>
  <c r="AI24" i="8"/>
  <c r="AU23" i="8"/>
  <c r="AT23" i="8"/>
  <c r="AS23" i="8"/>
  <c r="AR23" i="8"/>
  <c r="AQ23" i="8"/>
  <c r="AM23" i="8"/>
  <c r="AL23" i="8"/>
  <c r="AK23" i="8"/>
  <c r="AJ23" i="8"/>
  <c r="AI23" i="8"/>
  <c r="AU22" i="8"/>
  <c r="AT22" i="8"/>
  <c r="AS22" i="8"/>
  <c r="AR22" i="8"/>
  <c r="AQ22" i="8"/>
  <c r="AP22" i="8"/>
  <c r="AM22" i="8"/>
  <c r="AL22" i="8"/>
  <c r="AK22" i="8"/>
  <c r="AJ22" i="8"/>
  <c r="AI22" i="8"/>
  <c r="AU21" i="8"/>
  <c r="AT21" i="8"/>
  <c r="AS21" i="8"/>
  <c r="AR21" i="8"/>
  <c r="AQ21" i="8"/>
  <c r="AO21" i="8"/>
  <c r="AM21" i="8"/>
  <c r="AL21" i="8"/>
  <c r="AK21" i="8"/>
  <c r="AJ21" i="8"/>
  <c r="AI21" i="8"/>
  <c r="AU20" i="8"/>
  <c r="AT20" i="8"/>
  <c r="AS20" i="8"/>
  <c r="AR20" i="8"/>
  <c r="AQ20" i="8"/>
  <c r="AM20" i="8"/>
  <c r="AL20" i="8"/>
  <c r="AK20" i="8"/>
  <c r="AJ20" i="8"/>
  <c r="AI20" i="8"/>
  <c r="AU19" i="8"/>
  <c r="AT19" i="8"/>
  <c r="AS19" i="8"/>
  <c r="AR19" i="8"/>
  <c r="AQ19" i="8"/>
  <c r="AM19" i="8"/>
  <c r="AL19" i="8"/>
  <c r="AK19" i="8"/>
  <c r="AJ19" i="8"/>
  <c r="AI19" i="8"/>
  <c r="AU18" i="8"/>
  <c r="AT18" i="8"/>
  <c r="AS18" i="8"/>
  <c r="AR18" i="8"/>
  <c r="AQ18" i="8"/>
  <c r="AM18" i="8"/>
  <c r="AL18" i="8"/>
  <c r="AK18" i="8"/>
  <c r="AJ18" i="8"/>
  <c r="AI18" i="8"/>
  <c r="AU17" i="8"/>
  <c r="AT17" i="8"/>
  <c r="AS17" i="8"/>
  <c r="AR17" i="8"/>
  <c r="AQ17" i="8"/>
  <c r="AP17" i="8"/>
  <c r="AM17" i="8"/>
  <c r="AL17" i="8"/>
  <c r="AK17" i="8"/>
  <c r="AJ17" i="8"/>
  <c r="AI17" i="8"/>
  <c r="AU16" i="8"/>
  <c r="AT16" i="8"/>
  <c r="AS16" i="8"/>
  <c r="AR16" i="8"/>
  <c r="AQ16" i="8"/>
  <c r="AO16" i="8"/>
  <c r="AM16" i="8"/>
  <c r="AL16" i="8"/>
  <c r="AK16" i="8"/>
  <c r="AJ16" i="8"/>
  <c r="AI16" i="8"/>
  <c r="AU15" i="8"/>
  <c r="AT15" i="8"/>
  <c r="AS15" i="8"/>
  <c r="AR15" i="8"/>
  <c r="AQ15" i="8"/>
  <c r="AO15" i="8"/>
  <c r="AM15" i="8"/>
  <c r="AL15" i="8"/>
  <c r="AK15" i="8"/>
  <c r="AJ15" i="8"/>
  <c r="AI15" i="8"/>
  <c r="AU14" i="8"/>
  <c r="AT14" i="8"/>
  <c r="AS14" i="8"/>
  <c r="AR14" i="8"/>
  <c r="AQ14" i="8"/>
  <c r="AP14" i="8"/>
  <c r="AM14" i="8"/>
  <c r="AL14" i="8"/>
  <c r="AK14" i="8"/>
  <c r="AJ14" i="8"/>
  <c r="AI14" i="8"/>
  <c r="AU13" i="8"/>
  <c r="AT13" i="8"/>
  <c r="AS13" i="8"/>
  <c r="AR13" i="8"/>
  <c r="AQ13" i="8"/>
  <c r="AM13" i="8"/>
  <c r="AL13" i="8"/>
  <c r="AK13" i="8"/>
  <c r="AJ13" i="8"/>
  <c r="AI13" i="8"/>
  <c r="AU12" i="8"/>
  <c r="AT12" i="8"/>
  <c r="AS12" i="8"/>
  <c r="AR12" i="8"/>
  <c r="AQ12" i="8"/>
  <c r="AM12" i="8"/>
  <c r="AL12" i="8"/>
  <c r="AK12" i="8"/>
  <c r="AJ12" i="8"/>
  <c r="AI12" i="8"/>
  <c r="AU11" i="8"/>
  <c r="AT11" i="8"/>
  <c r="AS11" i="8"/>
  <c r="AR11" i="8"/>
  <c r="AQ11" i="8"/>
  <c r="AP11" i="8"/>
  <c r="AO11" i="8"/>
  <c r="AM11" i="8"/>
  <c r="AL11" i="8"/>
  <c r="AK11" i="8"/>
  <c r="AJ11" i="8"/>
  <c r="AI11" i="8"/>
  <c r="G5" i="8"/>
  <c r="AO24" i="8" s="1"/>
  <c r="F5" i="8"/>
  <c r="AP30" i="8" s="1"/>
  <c r="D5" i="8"/>
  <c r="H5" i="8" s="1"/>
  <c r="AC39" i="7"/>
  <c r="AB39" i="7"/>
  <c r="Z39" i="7"/>
  <c r="AG38" i="7"/>
  <c r="AF38" i="7"/>
  <c r="AC38" i="7"/>
  <c r="AB38" i="7"/>
  <c r="Z38" i="7"/>
  <c r="Y38" i="7"/>
  <c r="X38" i="7"/>
  <c r="AG37" i="7"/>
  <c r="AG39" i="7" s="1"/>
  <c r="AF37" i="7"/>
  <c r="AF39" i="7" s="1"/>
  <c r="AE37" i="7"/>
  <c r="AD37" i="7"/>
  <c r="AC37" i="7"/>
  <c r="AB37" i="7"/>
  <c r="AA37" i="7"/>
  <c r="Z37" i="7"/>
  <c r="Y37" i="7"/>
  <c r="Y39" i="7" s="1"/>
  <c r="X37" i="7"/>
  <c r="X39" i="7" s="1"/>
  <c r="W37" i="7"/>
  <c r="V37" i="7"/>
  <c r="U37" i="7"/>
  <c r="AU35" i="7"/>
  <c r="AT35" i="7"/>
  <c r="AS35" i="7"/>
  <c r="AR35" i="7"/>
  <c r="AQ35" i="7"/>
  <c r="AP35" i="7"/>
  <c r="AM35" i="7"/>
  <c r="AL35" i="7"/>
  <c r="AK35" i="7"/>
  <c r="AJ35" i="7"/>
  <c r="AI35" i="7"/>
  <c r="AU34" i="7"/>
  <c r="AT34" i="7"/>
  <c r="AS34" i="7"/>
  <c r="AR34" i="7"/>
  <c r="AQ34" i="7"/>
  <c r="AM34" i="7"/>
  <c r="AL34" i="7"/>
  <c r="AK34" i="7"/>
  <c r="AJ34" i="7"/>
  <c r="AI34" i="7"/>
  <c r="AU33" i="7"/>
  <c r="AT33" i="7"/>
  <c r="AS33" i="7"/>
  <c r="AR33" i="7"/>
  <c r="AQ33" i="7"/>
  <c r="AM33" i="7"/>
  <c r="AL33" i="7"/>
  <c r="AK33" i="7"/>
  <c r="AJ33" i="7"/>
  <c r="AI33" i="7"/>
  <c r="AU32" i="7"/>
  <c r="AT32" i="7"/>
  <c r="AS32" i="7"/>
  <c r="AR32" i="7"/>
  <c r="AQ32" i="7"/>
  <c r="AM32" i="7"/>
  <c r="AL32" i="7"/>
  <c r="AK32" i="7"/>
  <c r="AJ32" i="7"/>
  <c r="AI32" i="7"/>
  <c r="AU31" i="7"/>
  <c r="AT31" i="7"/>
  <c r="AS31" i="7"/>
  <c r="AR31" i="7"/>
  <c r="AQ31" i="7"/>
  <c r="AM31" i="7"/>
  <c r="AL31" i="7"/>
  <c r="AK31" i="7"/>
  <c r="AJ31" i="7"/>
  <c r="AI31" i="7"/>
  <c r="AU30" i="7"/>
  <c r="AT30" i="7"/>
  <c r="AS30" i="7"/>
  <c r="AR30" i="7"/>
  <c r="AQ30" i="7"/>
  <c r="AM30" i="7"/>
  <c r="AL30" i="7"/>
  <c r="AK30" i="7"/>
  <c r="AJ30" i="7"/>
  <c r="AI30" i="7"/>
  <c r="AU29" i="7"/>
  <c r="AT29" i="7"/>
  <c r="AS29" i="7"/>
  <c r="AR29" i="7"/>
  <c r="AQ29" i="7"/>
  <c r="AM29" i="7"/>
  <c r="AL29" i="7"/>
  <c r="AK29" i="7"/>
  <c r="AJ29" i="7"/>
  <c r="AI29" i="7"/>
  <c r="AU28" i="7"/>
  <c r="AT28" i="7"/>
  <c r="AS28" i="7"/>
  <c r="AR28" i="7"/>
  <c r="AQ28" i="7"/>
  <c r="AM28" i="7"/>
  <c r="AL28" i="7"/>
  <c r="AK28" i="7"/>
  <c r="AJ28" i="7"/>
  <c r="AI28" i="7"/>
  <c r="AU27" i="7"/>
  <c r="AT27" i="7"/>
  <c r="AS27" i="7"/>
  <c r="AR27" i="7"/>
  <c r="AQ27" i="7"/>
  <c r="AM27" i="7"/>
  <c r="AL27" i="7"/>
  <c r="AK27" i="7"/>
  <c r="AJ27" i="7"/>
  <c r="AI27" i="7"/>
  <c r="AU26" i="7"/>
  <c r="AT26" i="7"/>
  <c r="AS26" i="7"/>
  <c r="AR26" i="7"/>
  <c r="AQ26" i="7"/>
  <c r="AM26" i="7"/>
  <c r="AL26" i="7"/>
  <c r="AK26" i="7"/>
  <c r="AJ26" i="7"/>
  <c r="AI26" i="7"/>
  <c r="AU25" i="7"/>
  <c r="AT25" i="7"/>
  <c r="AS25" i="7"/>
  <c r="AR25" i="7"/>
  <c r="AQ25" i="7"/>
  <c r="AM25" i="7"/>
  <c r="AL25" i="7"/>
  <c r="AK25" i="7"/>
  <c r="AJ25" i="7"/>
  <c r="AI25" i="7"/>
  <c r="AU24" i="7"/>
  <c r="AT24" i="7"/>
  <c r="AS24" i="7"/>
  <c r="AR24" i="7"/>
  <c r="AQ24" i="7"/>
  <c r="AM24" i="7"/>
  <c r="AL24" i="7"/>
  <c r="AK24" i="7"/>
  <c r="AJ24" i="7"/>
  <c r="AI24" i="7"/>
  <c r="AU23" i="7"/>
  <c r="AT23" i="7"/>
  <c r="AS23" i="7"/>
  <c r="AR23" i="7"/>
  <c r="AQ23" i="7"/>
  <c r="AM23" i="7"/>
  <c r="AL23" i="7"/>
  <c r="AK23" i="7"/>
  <c r="AJ23" i="7"/>
  <c r="AI23" i="7"/>
  <c r="AU22" i="7"/>
  <c r="AT22" i="7"/>
  <c r="AS22" i="7"/>
  <c r="AR22" i="7"/>
  <c r="AQ22" i="7"/>
  <c r="AM22" i="7"/>
  <c r="AL22" i="7"/>
  <c r="AK22" i="7"/>
  <c r="AJ22" i="7"/>
  <c r="AI22" i="7"/>
  <c r="AU21" i="7"/>
  <c r="AT21" i="7"/>
  <c r="AS21" i="7"/>
  <c r="AR21" i="7"/>
  <c r="AQ21" i="7"/>
  <c r="AM21" i="7"/>
  <c r="AL21" i="7"/>
  <c r="AK21" i="7"/>
  <c r="AJ21" i="7"/>
  <c r="AI21" i="7"/>
  <c r="AU20" i="7"/>
  <c r="AT20" i="7"/>
  <c r="AS20" i="7"/>
  <c r="AR20" i="7"/>
  <c r="AQ20" i="7"/>
  <c r="AM20" i="7"/>
  <c r="AL20" i="7"/>
  <c r="AK20" i="7"/>
  <c r="AJ20" i="7"/>
  <c r="AI20" i="7"/>
  <c r="AU19" i="7"/>
  <c r="AT19" i="7"/>
  <c r="AS19" i="7"/>
  <c r="AR19" i="7"/>
  <c r="AQ19" i="7"/>
  <c r="AP19" i="7"/>
  <c r="AM19" i="7"/>
  <c r="AL19" i="7"/>
  <c r="AK19" i="7"/>
  <c r="AJ19" i="7"/>
  <c r="AI19" i="7"/>
  <c r="AU18" i="7"/>
  <c r="AT18" i="7"/>
  <c r="AS18" i="7"/>
  <c r="AR18" i="7"/>
  <c r="AQ18" i="7"/>
  <c r="AM18" i="7"/>
  <c r="AL18" i="7"/>
  <c r="AK18" i="7"/>
  <c r="AJ18" i="7"/>
  <c r="AI18" i="7"/>
  <c r="AU17" i="7"/>
  <c r="AT17" i="7"/>
  <c r="AS17" i="7"/>
  <c r="AR17" i="7"/>
  <c r="AQ17" i="7"/>
  <c r="AM17" i="7"/>
  <c r="AL17" i="7"/>
  <c r="AK17" i="7"/>
  <c r="AJ17" i="7"/>
  <c r="AI17" i="7"/>
  <c r="AU16" i="7"/>
  <c r="AT16" i="7"/>
  <c r="AS16" i="7"/>
  <c r="AR16" i="7"/>
  <c r="AQ16" i="7"/>
  <c r="AM16" i="7"/>
  <c r="AL16" i="7"/>
  <c r="AK16" i="7"/>
  <c r="AJ16" i="7"/>
  <c r="AI16" i="7"/>
  <c r="AU15" i="7"/>
  <c r="AT15" i="7"/>
  <c r="AS15" i="7"/>
  <c r="AR15" i="7"/>
  <c r="AQ15" i="7"/>
  <c r="AM15" i="7"/>
  <c r="AL15" i="7"/>
  <c r="AK15" i="7"/>
  <c r="AJ15" i="7"/>
  <c r="AI15" i="7"/>
  <c r="AU14" i="7"/>
  <c r="AT14" i="7"/>
  <c r="AS14" i="7"/>
  <c r="AR14" i="7"/>
  <c r="AQ14" i="7"/>
  <c r="AM14" i="7"/>
  <c r="AL14" i="7"/>
  <c r="AK14" i="7"/>
  <c r="AJ14" i="7"/>
  <c r="AI14" i="7"/>
  <c r="AU13" i="7"/>
  <c r="AT13" i="7"/>
  <c r="AS13" i="7"/>
  <c r="AR13" i="7"/>
  <c r="AQ13" i="7"/>
  <c r="AM13" i="7"/>
  <c r="AL13" i="7"/>
  <c r="AK13" i="7"/>
  <c r="AJ13" i="7"/>
  <c r="AI13" i="7"/>
  <c r="AU12" i="7"/>
  <c r="AT12" i="7"/>
  <c r="AS12" i="7"/>
  <c r="AR12" i="7"/>
  <c r="AQ12" i="7"/>
  <c r="AM12" i="7"/>
  <c r="AL12" i="7"/>
  <c r="AK12" i="7"/>
  <c r="AJ12" i="7"/>
  <c r="AI12" i="7"/>
  <c r="AU11" i="7"/>
  <c r="AT11" i="7"/>
  <c r="AS11" i="7"/>
  <c r="AR11" i="7"/>
  <c r="AQ11" i="7"/>
  <c r="AM11" i="7"/>
  <c r="AL11" i="7"/>
  <c r="AK11" i="7"/>
  <c r="AJ11" i="7"/>
  <c r="AI11" i="7"/>
  <c r="D5" i="7"/>
  <c r="F5" i="7" s="1"/>
  <c r="AF39" i="6"/>
  <c r="AC39" i="6"/>
  <c r="AB39" i="6"/>
  <c r="X39" i="6"/>
  <c r="AG38" i="6"/>
  <c r="AF38" i="6"/>
  <c r="AC38" i="6"/>
  <c r="AB38" i="6"/>
  <c r="Z38" i="6"/>
  <c r="Y38" i="6"/>
  <c r="X38" i="6"/>
  <c r="AG37" i="6"/>
  <c r="AG39" i="6" s="1"/>
  <c r="AF37" i="6"/>
  <c r="AE37" i="6"/>
  <c r="AD37" i="6"/>
  <c r="AC37" i="6"/>
  <c r="AB37" i="6"/>
  <c r="AA37" i="6"/>
  <c r="Z37" i="6"/>
  <c r="Z39" i="6" s="1"/>
  <c r="Y37" i="6"/>
  <c r="Y39" i="6" s="1"/>
  <c r="X37" i="6"/>
  <c r="W37" i="6"/>
  <c r="V37" i="6"/>
  <c r="U37" i="6"/>
  <c r="AU35" i="6"/>
  <c r="AT35" i="6"/>
  <c r="AS35" i="6"/>
  <c r="AR35" i="6"/>
  <c r="AQ35" i="6"/>
  <c r="AM35" i="6"/>
  <c r="AL35" i="6"/>
  <c r="AK35" i="6"/>
  <c r="AJ35" i="6"/>
  <c r="AI35" i="6"/>
  <c r="AU34" i="6"/>
  <c r="AT34" i="6"/>
  <c r="AS34" i="6"/>
  <c r="AR34" i="6"/>
  <c r="AQ34" i="6"/>
  <c r="AM34" i="6"/>
  <c r="AL34" i="6"/>
  <c r="AK34" i="6"/>
  <c r="AJ34" i="6"/>
  <c r="AI34" i="6"/>
  <c r="AU33" i="6"/>
  <c r="AT33" i="6"/>
  <c r="AS33" i="6"/>
  <c r="AR33" i="6"/>
  <c r="AQ33" i="6"/>
  <c r="AM33" i="6"/>
  <c r="AL33" i="6"/>
  <c r="AK33" i="6"/>
  <c r="AJ33" i="6"/>
  <c r="AI33" i="6"/>
  <c r="AU32" i="6"/>
  <c r="AT32" i="6"/>
  <c r="AS32" i="6"/>
  <c r="AR32" i="6"/>
  <c r="AQ32" i="6"/>
  <c r="AM32" i="6"/>
  <c r="AL32" i="6"/>
  <c r="AK32" i="6"/>
  <c r="AJ32" i="6"/>
  <c r="AI32" i="6"/>
  <c r="AU31" i="6"/>
  <c r="AT31" i="6"/>
  <c r="AS31" i="6"/>
  <c r="AR31" i="6"/>
  <c r="AQ31" i="6"/>
  <c r="AM31" i="6"/>
  <c r="AL31" i="6"/>
  <c r="AK31" i="6"/>
  <c r="AJ31" i="6"/>
  <c r="AI31" i="6"/>
  <c r="AU30" i="6"/>
  <c r="AT30" i="6"/>
  <c r="AS30" i="6"/>
  <c r="AR30" i="6"/>
  <c r="AQ30" i="6"/>
  <c r="AM30" i="6"/>
  <c r="AL30" i="6"/>
  <c r="AK30" i="6"/>
  <c r="AJ30" i="6"/>
  <c r="AI30" i="6"/>
  <c r="AU29" i="6"/>
  <c r="AT29" i="6"/>
  <c r="AS29" i="6"/>
  <c r="AR29" i="6"/>
  <c r="AQ29" i="6"/>
  <c r="AM29" i="6"/>
  <c r="AL29" i="6"/>
  <c r="AK29" i="6"/>
  <c r="AJ29" i="6"/>
  <c r="AI29" i="6"/>
  <c r="AU28" i="6"/>
  <c r="AT28" i="6"/>
  <c r="AS28" i="6"/>
  <c r="AR28" i="6"/>
  <c r="AQ28" i="6"/>
  <c r="AM28" i="6"/>
  <c r="AL28" i="6"/>
  <c r="AK28" i="6"/>
  <c r="AJ28" i="6"/>
  <c r="AI28" i="6"/>
  <c r="AU27" i="6"/>
  <c r="AT27" i="6"/>
  <c r="AS27" i="6"/>
  <c r="AR27" i="6"/>
  <c r="AQ27" i="6"/>
  <c r="AM27" i="6"/>
  <c r="AL27" i="6"/>
  <c r="AK27" i="6"/>
  <c r="AJ27" i="6"/>
  <c r="AI27" i="6"/>
  <c r="AU26" i="6"/>
  <c r="AT26" i="6"/>
  <c r="AS26" i="6"/>
  <c r="AR26" i="6"/>
  <c r="AQ26" i="6"/>
  <c r="AM26" i="6"/>
  <c r="AL26" i="6"/>
  <c r="AK26" i="6"/>
  <c r="AJ26" i="6"/>
  <c r="AI26" i="6"/>
  <c r="AU25" i="6"/>
  <c r="AT25" i="6"/>
  <c r="AS25" i="6"/>
  <c r="AR25" i="6"/>
  <c r="AQ25" i="6"/>
  <c r="AM25" i="6"/>
  <c r="AL25" i="6"/>
  <c r="AK25" i="6"/>
  <c r="AJ25" i="6"/>
  <c r="AI25" i="6"/>
  <c r="AU24" i="6"/>
  <c r="AT24" i="6"/>
  <c r="AS24" i="6"/>
  <c r="AR24" i="6"/>
  <c r="AQ24" i="6"/>
  <c r="AM24" i="6"/>
  <c r="AL24" i="6"/>
  <c r="AK24" i="6"/>
  <c r="AJ24" i="6"/>
  <c r="AI24" i="6"/>
  <c r="AU23" i="6"/>
  <c r="AT23" i="6"/>
  <c r="AS23" i="6"/>
  <c r="AR23" i="6"/>
  <c r="AQ23" i="6"/>
  <c r="AM23" i="6"/>
  <c r="AL23" i="6"/>
  <c r="AK23" i="6"/>
  <c r="AJ23" i="6"/>
  <c r="AI23" i="6"/>
  <c r="AU22" i="6"/>
  <c r="AT22" i="6"/>
  <c r="AS22" i="6"/>
  <c r="AR22" i="6"/>
  <c r="AQ22" i="6"/>
  <c r="AM22" i="6"/>
  <c r="AL22" i="6"/>
  <c r="AK22" i="6"/>
  <c r="AJ22" i="6"/>
  <c r="AI22" i="6"/>
  <c r="AU21" i="6"/>
  <c r="AT21" i="6"/>
  <c r="AS21" i="6"/>
  <c r="AR21" i="6"/>
  <c r="AQ21" i="6"/>
  <c r="AM21" i="6"/>
  <c r="AL21" i="6"/>
  <c r="AK21" i="6"/>
  <c r="AJ21" i="6"/>
  <c r="AI21" i="6"/>
  <c r="AU20" i="6"/>
  <c r="AT20" i="6"/>
  <c r="AS20" i="6"/>
  <c r="AR20" i="6"/>
  <c r="AQ20" i="6"/>
  <c r="AM20" i="6"/>
  <c r="AL20" i="6"/>
  <c r="AK20" i="6"/>
  <c r="AJ20" i="6"/>
  <c r="AI20" i="6"/>
  <c r="AU19" i="6"/>
  <c r="AT19" i="6"/>
  <c r="AS19" i="6"/>
  <c r="AR19" i="6"/>
  <c r="AQ19" i="6"/>
  <c r="AM19" i="6"/>
  <c r="AL19" i="6"/>
  <c r="AK19" i="6"/>
  <c r="AJ19" i="6"/>
  <c r="AI19" i="6"/>
  <c r="AU18" i="6"/>
  <c r="AT18" i="6"/>
  <c r="AS18" i="6"/>
  <c r="AR18" i="6"/>
  <c r="AQ18" i="6"/>
  <c r="AM18" i="6"/>
  <c r="AL18" i="6"/>
  <c r="AK18" i="6"/>
  <c r="AJ18" i="6"/>
  <c r="AI18" i="6"/>
  <c r="AU17" i="6"/>
  <c r="AT17" i="6"/>
  <c r="AS17" i="6"/>
  <c r="AR17" i="6"/>
  <c r="AQ17" i="6"/>
  <c r="AM17" i="6"/>
  <c r="AL17" i="6"/>
  <c r="AK17" i="6"/>
  <c r="AJ17" i="6"/>
  <c r="AI17" i="6"/>
  <c r="AU16" i="6"/>
  <c r="AT16" i="6"/>
  <c r="AS16" i="6"/>
  <c r="AR16" i="6"/>
  <c r="AQ16" i="6"/>
  <c r="AM16" i="6"/>
  <c r="AL16" i="6"/>
  <c r="AK16" i="6"/>
  <c r="AJ16" i="6"/>
  <c r="AI16" i="6"/>
  <c r="AU15" i="6"/>
  <c r="AT15" i="6"/>
  <c r="AS15" i="6"/>
  <c r="AR15" i="6"/>
  <c r="AQ15" i="6"/>
  <c r="AM15" i="6"/>
  <c r="AL15" i="6"/>
  <c r="AK15" i="6"/>
  <c r="AJ15" i="6"/>
  <c r="AI15" i="6"/>
  <c r="AU14" i="6"/>
  <c r="AT14" i="6"/>
  <c r="AS14" i="6"/>
  <c r="AR14" i="6"/>
  <c r="AQ14" i="6"/>
  <c r="AM14" i="6"/>
  <c r="AL14" i="6"/>
  <c r="AK14" i="6"/>
  <c r="AJ14" i="6"/>
  <c r="AI14" i="6"/>
  <c r="AU13" i="6"/>
  <c r="AT13" i="6"/>
  <c r="AS13" i="6"/>
  <c r="AR13" i="6"/>
  <c r="AQ13" i="6"/>
  <c r="AM13" i="6"/>
  <c r="AL13" i="6"/>
  <c r="AK13" i="6"/>
  <c r="AJ13" i="6"/>
  <c r="AI13" i="6"/>
  <c r="AU12" i="6"/>
  <c r="AT12" i="6"/>
  <c r="AS12" i="6"/>
  <c r="AR12" i="6"/>
  <c r="AQ12" i="6"/>
  <c r="AM12" i="6"/>
  <c r="AL12" i="6"/>
  <c r="AK12" i="6"/>
  <c r="AJ12" i="6"/>
  <c r="AI12" i="6"/>
  <c r="AU11" i="6"/>
  <c r="AT11" i="6"/>
  <c r="AS11" i="6"/>
  <c r="AR11" i="6"/>
  <c r="AQ11" i="6"/>
  <c r="AM11" i="6"/>
  <c r="AL11" i="6"/>
  <c r="AK11" i="6"/>
  <c r="AJ11" i="6"/>
  <c r="AI11" i="6"/>
  <c r="D5" i="6"/>
  <c r="AG39" i="5"/>
  <c r="AF39" i="5"/>
  <c r="Z39" i="5"/>
  <c r="Y39" i="5"/>
  <c r="AG38" i="5"/>
  <c r="AF38" i="5"/>
  <c r="AC38" i="5"/>
  <c r="AB38" i="5"/>
  <c r="Z38" i="5"/>
  <c r="Y38" i="5"/>
  <c r="X38" i="5"/>
  <c r="AG37" i="5"/>
  <c r="AF37" i="5"/>
  <c r="AE37" i="5"/>
  <c r="AD37" i="5"/>
  <c r="AC37" i="5"/>
  <c r="AC39" i="5" s="1"/>
  <c r="AB37" i="5"/>
  <c r="AB39" i="5" s="1"/>
  <c r="AA37" i="5"/>
  <c r="Z37" i="5"/>
  <c r="Y37" i="5"/>
  <c r="X37" i="5"/>
  <c r="X39" i="5" s="1"/>
  <c r="W37" i="5"/>
  <c r="V37" i="5"/>
  <c r="U37" i="5"/>
  <c r="AU35" i="5"/>
  <c r="AT35" i="5"/>
  <c r="AS35" i="5"/>
  <c r="AR35" i="5"/>
  <c r="AQ35" i="5"/>
  <c r="AM35" i="5"/>
  <c r="AL35" i="5"/>
  <c r="AK35" i="5"/>
  <c r="AJ35" i="5"/>
  <c r="AI35" i="5"/>
  <c r="AU34" i="5"/>
  <c r="AT34" i="5"/>
  <c r="AS34" i="5"/>
  <c r="AR34" i="5"/>
  <c r="AQ34" i="5"/>
  <c r="AM34" i="5"/>
  <c r="AL34" i="5"/>
  <c r="AK34" i="5"/>
  <c r="AJ34" i="5"/>
  <c r="AI34" i="5"/>
  <c r="AU33" i="5"/>
  <c r="AT33" i="5"/>
  <c r="AS33" i="5"/>
  <c r="AR33" i="5"/>
  <c r="AQ33" i="5"/>
  <c r="AM33" i="5"/>
  <c r="AL33" i="5"/>
  <c r="AK33" i="5"/>
  <c r="AJ33" i="5"/>
  <c r="AI33" i="5"/>
  <c r="AU32" i="5"/>
  <c r="AT32" i="5"/>
  <c r="AS32" i="5"/>
  <c r="AR32" i="5"/>
  <c r="AQ32" i="5"/>
  <c r="AM32" i="5"/>
  <c r="AL32" i="5"/>
  <c r="AK32" i="5"/>
  <c r="AJ32" i="5"/>
  <c r="AI32" i="5"/>
  <c r="AU31" i="5"/>
  <c r="AT31" i="5"/>
  <c r="AS31" i="5"/>
  <c r="AR31" i="5"/>
  <c r="AQ31" i="5"/>
  <c r="AM31" i="5"/>
  <c r="AL31" i="5"/>
  <c r="AK31" i="5"/>
  <c r="AJ31" i="5"/>
  <c r="AI31" i="5"/>
  <c r="AU30" i="5"/>
  <c r="AT30" i="5"/>
  <c r="AS30" i="5"/>
  <c r="AR30" i="5"/>
  <c r="AQ30" i="5"/>
  <c r="AM30" i="5"/>
  <c r="AL30" i="5"/>
  <c r="AK30" i="5"/>
  <c r="AJ30" i="5"/>
  <c r="AI30" i="5"/>
  <c r="AU29" i="5"/>
  <c r="AT29" i="5"/>
  <c r="AS29" i="5"/>
  <c r="AR29" i="5"/>
  <c r="AQ29" i="5"/>
  <c r="AM29" i="5"/>
  <c r="AL29" i="5"/>
  <c r="AK29" i="5"/>
  <c r="AJ29" i="5"/>
  <c r="AI29" i="5"/>
  <c r="AU28" i="5"/>
  <c r="AT28" i="5"/>
  <c r="AS28" i="5"/>
  <c r="AR28" i="5"/>
  <c r="AQ28" i="5"/>
  <c r="AM28" i="5"/>
  <c r="AL28" i="5"/>
  <c r="AK28" i="5"/>
  <c r="AJ28" i="5"/>
  <c r="AI28" i="5"/>
  <c r="AU27" i="5"/>
  <c r="AT27" i="5"/>
  <c r="AS27" i="5"/>
  <c r="AR27" i="5"/>
  <c r="AQ27" i="5"/>
  <c r="AM27" i="5"/>
  <c r="AL27" i="5"/>
  <c r="AK27" i="5"/>
  <c r="AJ27" i="5"/>
  <c r="AI27" i="5"/>
  <c r="AU26" i="5"/>
  <c r="AT26" i="5"/>
  <c r="AS26" i="5"/>
  <c r="AR26" i="5"/>
  <c r="AQ26" i="5"/>
  <c r="AM26" i="5"/>
  <c r="AL26" i="5"/>
  <c r="AK26" i="5"/>
  <c r="AJ26" i="5"/>
  <c r="AI26" i="5"/>
  <c r="AU25" i="5"/>
  <c r="AT25" i="5"/>
  <c r="AS25" i="5"/>
  <c r="AR25" i="5"/>
  <c r="AQ25" i="5"/>
  <c r="AM25" i="5"/>
  <c r="AL25" i="5"/>
  <c r="AK25" i="5"/>
  <c r="AJ25" i="5"/>
  <c r="AI25" i="5"/>
  <c r="AU24" i="5"/>
  <c r="AT24" i="5"/>
  <c r="AS24" i="5"/>
  <c r="AR24" i="5"/>
  <c r="AQ24" i="5"/>
  <c r="AM24" i="5"/>
  <c r="AL24" i="5"/>
  <c r="AK24" i="5"/>
  <c r="AJ24" i="5"/>
  <c r="AI24" i="5"/>
  <c r="AU23" i="5"/>
  <c r="AT23" i="5"/>
  <c r="AS23" i="5"/>
  <c r="AR23" i="5"/>
  <c r="AQ23" i="5"/>
  <c r="AM23" i="5"/>
  <c r="AL23" i="5"/>
  <c r="AK23" i="5"/>
  <c r="AJ23" i="5"/>
  <c r="AI23" i="5"/>
  <c r="AU22" i="5"/>
  <c r="AT22" i="5"/>
  <c r="AS22" i="5"/>
  <c r="AR22" i="5"/>
  <c r="AQ22" i="5"/>
  <c r="AM22" i="5"/>
  <c r="AL22" i="5"/>
  <c r="AK22" i="5"/>
  <c r="AJ22" i="5"/>
  <c r="AI22" i="5"/>
  <c r="AU21" i="5"/>
  <c r="AT21" i="5"/>
  <c r="AS21" i="5"/>
  <c r="AR21" i="5"/>
  <c r="AQ21" i="5"/>
  <c r="AM21" i="5"/>
  <c r="AL21" i="5"/>
  <c r="AK21" i="5"/>
  <c r="AJ21" i="5"/>
  <c r="AI21" i="5"/>
  <c r="AU20" i="5"/>
  <c r="AT20" i="5"/>
  <c r="AS20" i="5"/>
  <c r="AR20" i="5"/>
  <c r="AQ20" i="5"/>
  <c r="AM20" i="5"/>
  <c r="AL20" i="5"/>
  <c r="AK20" i="5"/>
  <c r="AJ20" i="5"/>
  <c r="AI20" i="5"/>
  <c r="AU19" i="5"/>
  <c r="AT19" i="5"/>
  <c r="AS19" i="5"/>
  <c r="AR19" i="5"/>
  <c r="AQ19" i="5"/>
  <c r="AM19" i="5"/>
  <c r="AL19" i="5"/>
  <c r="AK19" i="5"/>
  <c r="AJ19" i="5"/>
  <c r="AI19" i="5"/>
  <c r="AU18" i="5"/>
  <c r="AT18" i="5"/>
  <c r="AS18" i="5"/>
  <c r="AR18" i="5"/>
  <c r="AQ18" i="5"/>
  <c r="AM18" i="5"/>
  <c r="AL18" i="5"/>
  <c r="AK18" i="5"/>
  <c r="AJ18" i="5"/>
  <c r="AI18" i="5"/>
  <c r="AU17" i="5"/>
  <c r="AT17" i="5"/>
  <c r="AS17" i="5"/>
  <c r="AR17" i="5"/>
  <c r="AQ17" i="5"/>
  <c r="AM17" i="5"/>
  <c r="AL17" i="5"/>
  <c r="AK17" i="5"/>
  <c r="AJ17" i="5"/>
  <c r="AI17" i="5"/>
  <c r="AU16" i="5"/>
  <c r="AT16" i="5"/>
  <c r="AS16" i="5"/>
  <c r="AR16" i="5"/>
  <c r="AQ16" i="5"/>
  <c r="AM16" i="5"/>
  <c r="AL16" i="5"/>
  <c r="AK16" i="5"/>
  <c r="AJ16" i="5"/>
  <c r="AI16" i="5"/>
  <c r="AU15" i="5"/>
  <c r="AT15" i="5"/>
  <c r="AS15" i="5"/>
  <c r="AR15" i="5"/>
  <c r="AQ15" i="5"/>
  <c r="AM15" i="5"/>
  <c r="AL15" i="5"/>
  <c r="AK15" i="5"/>
  <c r="AJ15" i="5"/>
  <c r="AI15" i="5"/>
  <c r="AU14" i="5"/>
  <c r="AT14" i="5"/>
  <c r="AS14" i="5"/>
  <c r="AR14" i="5"/>
  <c r="AQ14" i="5"/>
  <c r="AM14" i="5"/>
  <c r="AL14" i="5"/>
  <c r="AK14" i="5"/>
  <c r="AJ14" i="5"/>
  <c r="AI14" i="5"/>
  <c r="AU13" i="5"/>
  <c r="AT13" i="5"/>
  <c r="AS13" i="5"/>
  <c r="AR13" i="5"/>
  <c r="AQ13" i="5"/>
  <c r="AM13" i="5"/>
  <c r="AL13" i="5"/>
  <c r="AK13" i="5"/>
  <c r="AJ13" i="5"/>
  <c r="AI13" i="5"/>
  <c r="AU12" i="5"/>
  <c r="AT12" i="5"/>
  <c r="AS12" i="5"/>
  <c r="AR12" i="5"/>
  <c r="AQ12" i="5"/>
  <c r="AM12" i="5"/>
  <c r="AL12" i="5"/>
  <c r="AK12" i="5"/>
  <c r="AJ12" i="5"/>
  <c r="AI12" i="5"/>
  <c r="AU11" i="5"/>
  <c r="AT11" i="5"/>
  <c r="AS11" i="5"/>
  <c r="AR11" i="5"/>
  <c r="AQ11" i="5"/>
  <c r="AM11" i="5"/>
  <c r="AL11" i="5"/>
  <c r="AK11" i="5"/>
  <c r="AJ11" i="5"/>
  <c r="AI11" i="5"/>
  <c r="D5" i="5"/>
  <c r="AB39" i="4"/>
  <c r="Z39" i="4"/>
  <c r="Y39" i="4"/>
  <c r="X39" i="4"/>
  <c r="AG38" i="4"/>
  <c r="AF38" i="4"/>
  <c r="AC38" i="4"/>
  <c r="AB38" i="4"/>
  <c r="Z38" i="4"/>
  <c r="Y38" i="4"/>
  <c r="X38" i="4"/>
  <c r="AG37" i="4"/>
  <c r="AG39" i="4" s="1"/>
  <c r="AF37" i="4"/>
  <c r="AF39" i="4" s="1"/>
  <c r="AE37" i="4"/>
  <c r="AD37" i="4"/>
  <c r="AC37" i="4"/>
  <c r="AC39" i="4" s="1"/>
  <c r="AB37" i="4"/>
  <c r="AA37" i="4"/>
  <c r="Z37" i="4"/>
  <c r="Y37" i="4"/>
  <c r="X37" i="4"/>
  <c r="W37" i="4"/>
  <c r="V37" i="4"/>
  <c r="U37" i="4"/>
  <c r="AU35" i="4"/>
  <c r="AT35" i="4"/>
  <c r="AS35" i="4"/>
  <c r="AR35" i="4"/>
  <c r="AQ35" i="4"/>
  <c r="AM35" i="4"/>
  <c r="AL35" i="4"/>
  <c r="AK35" i="4"/>
  <c r="AJ35" i="4"/>
  <c r="AI35" i="4"/>
  <c r="AU34" i="4"/>
  <c r="AT34" i="4"/>
  <c r="AS34" i="4"/>
  <c r="AR34" i="4"/>
  <c r="AQ34" i="4"/>
  <c r="AM34" i="4"/>
  <c r="AL34" i="4"/>
  <c r="AK34" i="4"/>
  <c r="AJ34" i="4"/>
  <c r="AI34" i="4"/>
  <c r="AU33" i="4"/>
  <c r="AT33" i="4"/>
  <c r="AS33" i="4"/>
  <c r="AR33" i="4"/>
  <c r="AQ33" i="4"/>
  <c r="AM33" i="4"/>
  <c r="AL33" i="4"/>
  <c r="AK33" i="4"/>
  <c r="AJ33" i="4"/>
  <c r="AI33" i="4"/>
  <c r="AU32" i="4"/>
  <c r="AT32" i="4"/>
  <c r="AS32" i="4"/>
  <c r="AR32" i="4"/>
  <c r="AQ32" i="4"/>
  <c r="AM32" i="4"/>
  <c r="AL32" i="4"/>
  <c r="AK32" i="4"/>
  <c r="AJ32" i="4"/>
  <c r="AI32" i="4"/>
  <c r="AU31" i="4"/>
  <c r="AT31" i="4"/>
  <c r="AS31" i="4"/>
  <c r="AR31" i="4"/>
  <c r="AQ31" i="4"/>
  <c r="AM31" i="4"/>
  <c r="AL31" i="4"/>
  <c r="AK31" i="4"/>
  <c r="AJ31" i="4"/>
  <c r="AI31" i="4"/>
  <c r="AU30" i="4"/>
  <c r="AT30" i="4"/>
  <c r="AS30" i="4"/>
  <c r="AR30" i="4"/>
  <c r="AQ30" i="4"/>
  <c r="AM30" i="4"/>
  <c r="AL30" i="4"/>
  <c r="AK30" i="4"/>
  <c r="AJ30" i="4"/>
  <c r="AI30" i="4"/>
  <c r="AU29" i="4"/>
  <c r="AT29" i="4"/>
  <c r="AS29" i="4"/>
  <c r="AR29" i="4"/>
  <c r="AQ29" i="4"/>
  <c r="AM29" i="4"/>
  <c r="AL29" i="4"/>
  <c r="AK29" i="4"/>
  <c r="AJ29" i="4"/>
  <c r="AI29" i="4"/>
  <c r="AU28" i="4"/>
  <c r="AT28" i="4"/>
  <c r="AS28" i="4"/>
  <c r="AR28" i="4"/>
  <c r="AQ28" i="4"/>
  <c r="AM28" i="4"/>
  <c r="AL28" i="4"/>
  <c r="AK28" i="4"/>
  <c r="AJ28" i="4"/>
  <c r="AI28" i="4"/>
  <c r="AU27" i="4"/>
  <c r="AT27" i="4"/>
  <c r="AS27" i="4"/>
  <c r="AR27" i="4"/>
  <c r="AQ27" i="4"/>
  <c r="AM27" i="4"/>
  <c r="AL27" i="4"/>
  <c r="AK27" i="4"/>
  <c r="AJ27" i="4"/>
  <c r="AI27" i="4"/>
  <c r="AU26" i="4"/>
  <c r="AT26" i="4"/>
  <c r="AS26" i="4"/>
  <c r="AR26" i="4"/>
  <c r="AQ26" i="4"/>
  <c r="AM26" i="4"/>
  <c r="AL26" i="4"/>
  <c r="AK26" i="4"/>
  <c r="AJ26" i="4"/>
  <c r="AI26" i="4"/>
  <c r="AU25" i="4"/>
  <c r="AT25" i="4"/>
  <c r="AS25" i="4"/>
  <c r="AR25" i="4"/>
  <c r="AQ25" i="4"/>
  <c r="AM25" i="4"/>
  <c r="AL25" i="4"/>
  <c r="AK25" i="4"/>
  <c r="AJ25" i="4"/>
  <c r="AI25" i="4"/>
  <c r="AU24" i="4"/>
  <c r="AT24" i="4"/>
  <c r="AS24" i="4"/>
  <c r="AR24" i="4"/>
  <c r="AQ24" i="4"/>
  <c r="AM24" i="4"/>
  <c r="AL24" i="4"/>
  <c r="AK24" i="4"/>
  <c r="AJ24" i="4"/>
  <c r="AI24" i="4"/>
  <c r="AU23" i="4"/>
  <c r="AT23" i="4"/>
  <c r="AS23" i="4"/>
  <c r="AR23" i="4"/>
  <c r="AQ23" i="4"/>
  <c r="AM23" i="4"/>
  <c r="AL23" i="4"/>
  <c r="AK23" i="4"/>
  <c r="AJ23" i="4"/>
  <c r="AI23" i="4"/>
  <c r="AU22" i="4"/>
  <c r="AT22" i="4"/>
  <c r="AS22" i="4"/>
  <c r="AR22" i="4"/>
  <c r="AQ22" i="4"/>
  <c r="AM22" i="4"/>
  <c r="AL22" i="4"/>
  <c r="AK22" i="4"/>
  <c r="AJ22" i="4"/>
  <c r="AI22" i="4"/>
  <c r="AU21" i="4"/>
  <c r="AT21" i="4"/>
  <c r="AS21" i="4"/>
  <c r="AR21" i="4"/>
  <c r="AQ21" i="4"/>
  <c r="AM21" i="4"/>
  <c r="AL21" i="4"/>
  <c r="AK21" i="4"/>
  <c r="AJ21" i="4"/>
  <c r="AI21" i="4"/>
  <c r="AU20" i="4"/>
  <c r="AT20" i="4"/>
  <c r="AS20" i="4"/>
  <c r="AR20" i="4"/>
  <c r="AQ20" i="4"/>
  <c r="AM20" i="4"/>
  <c r="AL20" i="4"/>
  <c r="AK20" i="4"/>
  <c r="AJ20" i="4"/>
  <c r="AI20" i="4"/>
  <c r="AU19" i="4"/>
  <c r="AT19" i="4"/>
  <c r="AS19" i="4"/>
  <c r="AR19" i="4"/>
  <c r="AQ19" i="4"/>
  <c r="AM19" i="4"/>
  <c r="AL19" i="4"/>
  <c r="AK19" i="4"/>
  <c r="AJ19" i="4"/>
  <c r="AI19" i="4"/>
  <c r="AU18" i="4"/>
  <c r="AT18" i="4"/>
  <c r="AS18" i="4"/>
  <c r="AR18" i="4"/>
  <c r="AQ18" i="4"/>
  <c r="AM18" i="4"/>
  <c r="AL18" i="4"/>
  <c r="AK18" i="4"/>
  <c r="AJ18" i="4"/>
  <c r="AI18" i="4"/>
  <c r="AU17" i="4"/>
  <c r="AT17" i="4"/>
  <c r="AS17" i="4"/>
  <c r="AR17" i="4"/>
  <c r="AQ17" i="4"/>
  <c r="AM17" i="4"/>
  <c r="AL17" i="4"/>
  <c r="AK17" i="4"/>
  <c r="AJ17" i="4"/>
  <c r="AI17" i="4"/>
  <c r="AU16" i="4"/>
  <c r="AT16" i="4"/>
  <c r="AS16" i="4"/>
  <c r="AR16" i="4"/>
  <c r="AQ16" i="4"/>
  <c r="AM16" i="4"/>
  <c r="AL16" i="4"/>
  <c r="AK16" i="4"/>
  <c r="AJ16" i="4"/>
  <c r="AI16" i="4"/>
  <c r="AU15" i="4"/>
  <c r="AT15" i="4"/>
  <c r="AS15" i="4"/>
  <c r="AR15" i="4"/>
  <c r="AQ15" i="4"/>
  <c r="AM15" i="4"/>
  <c r="AL15" i="4"/>
  <c r="AK15" i="4"/>
  <c r="AJ15" i="4"/>
  <c r="AI15" i="4"/>
  <c r="AU14" i="4"/>
  <c r="AT14" i="4"/>
  <c r="AS14" i="4"/>
  <c r="AR14" i="4"/>
  <c r="AQ14" i="4"/>
  <c r="AM14" i="4"/>
  <c r="AL14" i="4"/>
  <c r="AK14" i="4"/>
  <c r="AJ14" i="4"/>
  <c r="AI14" i="4"/>
  <c r="AU13" i="4"/>
  <c r="AT13" i="4"/>
  <c r="AS13" i="4"/>
  <c r="AR13" i="4"/>
  <c r="AQ13" i="4"/>
  <c r="AM13" i="4"/>
  <c r="AL13" i="4"/>
  <c r="AK13" i="4"/>
  <c r="AJ13" i="4"/>
  <c r="AI13" i="4"/>
  <c r="AU12" i="4"/>
  <c r="AT12" i="4"/>
  <c r="AS12" i="4"/>
  <c r="AR12" i="4"/>
  <c r="AQ12" i="4"/>
  <c r="AM12" i="4"/>
  <c r="AL12" i="4"/>
  <c r="AK12" i="4"/>
  <c r="AJ12" i="4"/>
  <c r="AI12" i="4"/>
  <c r="AU11" i="4"/>
  <c r="AT11" i="4"/>
  <c r="AS11" i="4"/>
  <c r="AR11" i="4"/>
  <c r="AQ11" i="4"/>
  <c r="AM11" i="4"/>
  <c r="AL11" i="4"/>
  <c r="AK11" i="4"/>
  <c r="AJ11" i="4"/>
  <c r="AI11" i="4"/>
  <c r="F5" i="4"/>
  <c r="AP25" i="4" s="1"/>
  <c r="D5" i="4"/>
  <c r="AF39" i="3"/>
  <c r="AC39" i="3"/>
  <c r="AG38" i="3"/>
  <c r="AF38" i="3"/>
  <c r="AC38" i="3"/>
  <c r="AB38" i="3"/>
  <c r="Z38" i="3"/>
  <c r="Y38" i="3"/>
  <c r="X38" i="3"/>
  <c r="AG37" i="3"/>
  <c r="AG39" i="3" s="1"/>
  <c r="AF37" i="3"/>
  <c r="AE37" i="3"/>
  <c r="AD37" i="3"/>
  <c r="AC37" i="3"/>
  <c r="AB37" i="3"/>
  <c r="AB39" i="3" s="1"/>
  <c r="AA37" i="3"/>
  <c r="Z37" i="3"/>
  <c r="Z39" i="3" s="1"/>
  <c r="Y37" i="3"/>
  <c r="Y39" i="3" s="1"/>
  <c r="X37" i="3"/>
  <c r="X39" i="3" s="1"/>
  <c r="W37" i="3"/>
  <c r="V37" i="3"/>
  <c r="U37" i="3"/>
  <c r="AU35" i="3"/>
  <c r="AT35" i="3"/>
  <c r="AS35" i="3"/>
  <c r="AR35" i="3"/>
  <c r="AQ35" i="3"/>
  <c r="AM35" i="3"/>
  <c r="AL35" i="3"/>
  <c r="AK35" i="3"/>
  <c r="AJ35" i="3"/>
  <c r="AI35" i="3"/>
  <c r="AU34" i="3"/>
  <c r="AT34" i="3"/>
  <c r="AS34" i="3"/>
  <c r="AR34" i="3"/>
  <c r="AQ34" i="3"/>
  <c r="AM34" i="3"/>
  <c r="AL34" i="3"/>
  <c r="AK34" i="3"/>
  <c r="AJ34" i="3"/>
  <c r="AI34" i="3"/>
  <c r="AU33" i="3"/>
  <c r="AT33" i="3"/>
  <c r="AS33" i="3"/>
  <c r="AR33" i="3"/>
  <c r="AQ33" i="3"/>
  <c r="AM33" i="3"/>
  <c r="AL33" i="3"/>
  <c r="AK33" i="3"/>
  <c r="AJ33" i="3"/>
  <c r="AI33" i="3"/>
  <c r="AU32" i="3"/>
  <c r="AT32" i="3"/>
  <c r="AS32" i="3"/>
  <c r="AR32" i="3"/>
  <c r="AQ32" i="3"/>
  <c r="AM32" i="3"/>
  <c r="AL32" i="3"/>
  <c r="AK32" i="3"/>
  <c r="AJ32" i="3"/>
  <c r="AI32" i="3"/>
  <c r="AU31" i="3"/>
  <c r="AT31" i="3"/>
  <c r="AS31" i="3"/>
  <c r="AR31" i="3"/>
  <c r="AQ31" i="3"/>
  <c r="AM31" i="3"/>
  <c r="AL31" i="3"/>
  <c r="AK31" i="3"/>
  <c r="AJ31" i="3"/>
  <c r="AI31" i="3"/>
  <c r="AU30" i="3"/>
  <c r="AT30" i="3"/>
  <c r="AS30" i="3"/>
  <c r="AR30" i="3"/>
  <c r="AQ30" i="3"/>
  <c r="AM30" i="3"/>
  <c r="AL30" i="3"/>
  <c r="AK30" i="3"/>
  <c r="AJ30" i="3"/>
  <c r="AI30" i="3"/>
  <c r="AU29" i="3"/>
  <c r="AT29" i="3"/>
  <c r="AS29" i="3"/>
  <c r="AR29" i="3"/>
  <c r="AQ29" i="3"/>
  <c r="AM29" i="3"/>
  <c r="AL29" i="3"/>
  <c r="AK29" i="3"/>
  <c r="AJ29" i="3"/>
  <c r="AI29" i="3"/>
  <c r="AU28" i="3"/>
  <c r="AT28" i="3"/>
  <c r="AS28" i="3"/>
  <c r="AR28" i="3"/>
  <c r="AQ28" i="3"/>
  <c r="AM28" i="3"/>
  <c r="AL28" i="3"/>
  <c r="AK28" i="3"/>
  <c r="AJ28" i="3"/>
  <c r="AI28" i="3"/>
  <c r="AU27" i="3"/>
  <c r="AT27" i="3"/>
  <c r="AS27" i="3"/>
  <c r="AR27" i="3"/>
  <c r="AQ27" i="3"/>
  <c r="AM27" i="3"/>
  <c r="AL27" i="3"/>
  <c r="AK27" i="3"/>
  <c r="AJ27" i="3"/>
  <c r="AI27" i="3"/>
  <c r="AU26" i="3"/>
  <c r="AT26" i="3"/>
  <c r="AS26" i="3"/>
  <c r="AR26" i="3"/>
  <c r="AQ26" i="3"/>
  <c r="AM26" i="3"/>
  <c r="AL26" i="3"/>
  <c r="AK26" i="3"/>
  <c r="AJ26" i="3"/>
  <c r="AI26" i="3"/>
  <c r="AU25" i="3"/>
  <c r="AT25" i="3"/>
  <c r="AS25" i="3"/>
  <c r="AR25" i="3"/>
  <c r="AQ25" i="3"/>
  <c r="AM25" i="3"/>
  <c r="AL25" i="3"/>
  <c r="AK25" i="3"/>
  <c r="AJ25" i="3"/>
  <c r="AI25" i="3"/>
  <c r="AU24" i="3"/>
  <c r="AT24" i="3"/>
  <c r="AS24" i="3"/>
  <c r="AR24" i="3"/>
  <c r="AQ24" i="3"/>
  <c r="AM24" i="3"/>
  <c r="AL24" i="3"/>
  <c r="AK24" i="3"/>
  <c r="AJ24" i="3"/>
  <c r="AI24" i="3"/>
  <c r="AU23" i="3"/>
  <c r="AT23" i="3"/>
  <c r="AS23" i="3"/>
  <c r="AR23" i="3"/>
  <c r="AQ23" i="3"/>
  <c r="AM23" i="3"/>
  <c r="AL23" i="3"/>
  <c r="AK23" i="3"/>
  <c r="AJ23" i="3"/>
  <c r="AI23" i="3"/>
  <c r="AU22" i="3"/>
  <c r="AT22" i="3"/>
  <c r="AS22" i="3"/>
  <c r="AR22" i="3"/>
  <c r="AQ22" i="3"/>
  <c r="AM22" i="3"/>
  <c r="AL22" i="3"/>
  <c r="AK22" i="3"/>
  <c r="AJ22" i="3"/>
  <c r="AI22" i="3"/>
  <c r="AU21" i="3"/>
  <c r="AT21" i="3"/>
  <c r="AS21" i="3"/>
  <c r="AR21" i="3"/>
  <c r="AQ21" i="3"/>
  <c r="AM21" i="3"/>
  <c r="AL21" i="3"/>
  <c r="AK21" i="3"/>
  <c r="AJ21" i="3"/>
  <c r="AI21" i="3"/>
  <c r="AU20" i="3"/>
  <c r="AT20" i="3"/>
  <c r="AS20" i="3"/>
  <c r="AR20" i="3"/>
  <c r="AQ20" i="3"/>
  <c r="AM20" i="3"/>
  <c r="AL20" i="3"/>
  <c r="AK20" i="3"/>
  <c r="AJ20" i="3"/>
  <c r="AI20" i="3"/>
  <c r="AU19" i="3"/>
  <c r="AT19" i="3"/>
  <c r="AS19" i="3"/>
  <c r="AR19" i="3"/>
  <c r="AQ19" i="3"/>
  <c r="AM19" i="3"/>
  <c r="AL19" i="3"/>
  <c r="AK19" i="3"/>
  <c r="AJ19" i="3"/>
  <c r="AI19" i="3"/>
  <c r="AU18" i="3"/>
  <c r="AT18" i="3"/>
  <c r="AS18" i="3"/>
  <c r="AR18" i="3"/>
  <c r="AQ18" i="3"/>
  <c r="AM18" i="3"/>
  <c r="AL18" i="3"/>
  <c r="AK18" i="3"/>
  <c r="AJ18" i="3"/>
  <c r="AI18" i="3"/>
  <c r="AU17" i="3"/>
  <c r="AT17" i="3"/>
  <c r="AS17" i="3"/>
  <c r="AR17" i="3"/>
  <c r="AQ17" i="3"/>
  <c r="AM17" i="3"/>
  <c r="AL17" i="3"/>
  <c r="AK17" i="3"/>
  <c r="AJ17" i="3"/>
  <c r="AI17" i="3"/>
  <c r="AU16" i="3"/>
  <c r="AT16" i="3"/>
  <c r="AS16" i="3"/>
  <c r="AR16" i="3"/>
  <c r="AQ16" i="3"/>
  <c r="AM16" i="3"/>
  <c r="AL16" i="3"/>
  <c r="AK16" i="3"/>
  <c r="AJ16" i="3"/>
  <c r="AI16" i="3"/>
  <c r="AU15" i="3"/>
  <c r="AT15" i="3"/>
  <c r="AS15" i="3"/>
  <c r="AR15" i="3"/>
  <c r="AQ15" i="3"/>
  <c r="AM15" i="3"/>
  <c r="AL15" i="3"/>
  <c r="AK15" i="3"/>
  <c r="AJ15" i="3"/>
  <c r="AI15" i="3"/>
  <c r="AU14" i="3"/>
  <c r="AT14" i="3"/>
  <c r="AS14" i="3"/>
  <c r="AR14" i="3"/>
  <c r="AQ14" i="3"/>
  <c r="AM14" i="3"/>
  <c r="AL14" i="3"/>
  <c r="AK14" i="3"/>
  <c r="AJ14" i="3"/>
  <c r="AI14" i="3"/>
  <c r="AU13" i="3"/>
  <c r="AT13" i="3"/>
  <c r="AS13" i="3"/>
  <c r="AR13" i="3"/>
  <c r="AQ13" i="3"/>
  <c r="AM13" i="3"/>
  <c r="AL13" i="3"/>
  <c r="AK13" i="3"/>
  <c r="AJ13" i="3"/>
  <c r="AI13" i="3"/>
  <c r="AU12" i="3"/>
  <c r="AT12" i="3"/>
  <c r="AS12" i="3"/>
  <c r="AR12" i="3"/>
  <c r="AQ12" i="3"/>
  <c r="AM12" i="3"/>
  <c r="AL12" i="3"/>
  <c r="AK12" i="3"/>
  <c r="AJ12" i="3"/>
  <c r="AI12" i="3"/>
  <c r="AU11" i="3"/>
  <c r="AT11" i="3"/>
  <c r="AS11" i="3"/>
  <c r="AR11" i="3"/>
  <c r="AQ11" i="3"/>
  <c r="AM11" i="3"/>
  <c r="AL11" i="3"/>
  <c r="AK11" i="3"/>
  <c r="AJ11" i="3"/>
  <c r="AI11" i="3"/>
  <c r="D5" i="3"/>
  <c r="AF39" i="2"/>
  <c r="AC39" i="2"/>
  <c r="AB39" i="2"/>
  <c r="Y39" i="2"/>
  <c r="AG38" i="2"/>
  <c r="AF38" i="2"/>
  <c r="AC38" i="2"/>
  <c r="AB38" i="2"/>
  <c r="Z38" i="2"/>
  <c r="Y38" i="2"/>
  <c r="X38" i="2"/>
  <c r="AG37" i="2"/>
  <c r="AG39" i="2" s="1"/>
  <c r="AF37" i="2"/>
  <c r="AE37" i="2"/>
  <c r="AD37" i="2"/>
  <c r="AC37" i="2"/>
  <c r="AB37" i="2"/>
  <c r="AA37" i="2"/>
  <c r="Z37" i="2"/>
  <c r="Z39" i="2" s="1"/>
  <c r="Y37" i="2"/>
  <c r="X37" i="2"/>
  <c r="X39" i="2" s="1"/>
  <c r="W37" i="2"/>
  <c r="V37" i="2"/>
  <c r="U37" i="2"/>
  <c r="AU35" i="2"/>
  <c r="AT35" i="2"/>
  <c r="AS35" i="2"/>
  <c r="AR35" i="2"/>
  <c r="AQ35" i="2"/>
  <c r="AM35" i="2"/>
  <c r="AL35" i="2"/>
  <c r="AK35" i="2"/>
  <c r="AJ35" i="2"/>
  <c r="AI35" i="2"/>
  <c r="AU34" i="2"/>
  <c r="AT34" i="2"/>
  <c r="AS34" i="2"/>
  <c r="AR34" i="2"/>
  <c r="AQ34" i="2"/>
  <c r="AM34" i="2"/>
  <c r="AL34" i="2"/>
  <c r="AK34" i="2"/>
  <c r="AJ34" i="2"/>
  <c r="AI34" i="2"/>
  <c r="AU33" i="2"/>
  <c r="AT33" i="2"/>
  <c r="AS33" i="2"/>
  <c r="AR33" i="2"/>
  <c r="AQ33" i="2"/>
  <c r="AM33" i="2"/>
  <c r="AL33" i="2"/>
  <c r="AK33" i="2"/>
  <c r="AJ33" i="2"/>
  <c r="AI33" i="2"/>
  <c r="AU32" i="2"/>
  <c r="AT32" i="2"/>
  <c r="AS32" i="2"/>
  <c r="AR32" i="2"/>
  <c r="AQ32" i="2"/>
  <c r="AM32" i="2"/>
  <c r="AL32" i="2"/>
  <c r="AK32" i="2"/>
  <c r="AJ32" i="2"/>
  <c r="AI32" i="2"/>
  <c r="AU31" i="2"/>
  <c r="AT31" i="2"/>
  <c r="AS31" i="2"/>
  <c r="AR31" i="2"/>
  <c r="AQ31" i="2"/>
  <c r="AM31" i="2"/>
  <c r="AL31" i="2"/>
  <c r="AK31" i="2"/>
  <c r="AJ31" i="2"/>
  <c r="AI31" i="2"/>
  <c r="AU30" i="2"/>
  <c r="AT30" i="2"/>
  <c r="AS30" i="2"/>
  <c r="AR30" i="2"/>
  <c r="AQ30" i="2"/>
  <c r="AM30" i="2"/>
  <c r="AL30" i="2"/>
  <c r="AK30" i="2"/>
  <c r="AJ30" i="2"/>
  <c r="AI30" i="2"/>
  <c r="AU29" i="2"/>
  <c r="AT29" i="2"/>
  <c r="AS29" i="2"/>
  <c r="AR29" i="2"/>
  <c r="AQ29" i="2"/>
  <c r="AM29" i="2"/>
  <c r="AL29" i="2"/>
  <c r="AK29" i="2"/>
  <c r="AJ29" i="2"/>
  <c r="AI29" i="2"/>
  <c r="AU28" i="2"/>
  <c r="AT28" i="2"/>
  <c r="AS28" i="2"/>
  <c r="AR28" i="2"/>
  <c r="AQ28" i="2"/>
  <c r="AM28" i="2"/>
  <c r="AL28" i="2"/>
  <c r="AK28" i="2"/>
  <c r="AJ28" i="2"/>
  <c r="AI28" i="2"/>
  <c r="AU27" i="2"/>
  <c r="AT27" i="2"/>
  <c r="AS27" i="2"/>
  <c r="AR27" i="2"/>
  <c r="AQ27" i="2"/>
  <c r="AM27" i="2"/>
  <c r="AL27" i="2"/>
  <c r="AK27" i="2"/>
  <c r="AJ27" i="2"/>
  <c r="AI27" i="2"/>
  <c r="AU26" i="2"/>
  <c r="AT26" i="2"/>
  <c r="AS26" i="2"/>
  <c r="AR26" i="2"/>
  <c r="AQ26" i="2"/>
  <c r="AM26" i="2"/>
  <c r="AL26" i="2"/>
  <c r="AK26" i="2"/>
  <c r="AJ26" i="2"/>
  <c r="AI26" i="2"/>
  <c r="AU25" i="2"/>
  <c r="AT25" i="2"/>
  <c r="AS25" i="2"/>
  <c r="AR25" i="2"/>
  <c r="AQ25" i="2"/>
  <c r="AM25" i="2"/>
  <c r="AL25" i="2"/>
  <c r="AK25" i="2"/>
  <c r="AJ25" i="2"/>
  <c r="AI25" i="2"/>
  <c r="AU24" i="2"/>
  <c r="AT24" i="2"/>
  <c r="AS24" i="2"/>
  <c r="AR24" i="2"/>
  <c r="AQ24" i="2"/>
  <c r="AM24" i="2"/>
  <c r="AL24" i="2"/>
  <c r="AK24" i="2"/>
  <c r="AJ24" i="2"/>
  <c r="AI24" i="2"/>
  <c r="AU23" i="2"/>
  <c r="AT23" i="2"/>
  <c r="AS23" i="2"/>
  <c r="AR23" i="2"/>
  <c r="AQ23" i="2"/>
  <c r="AM23" i="2"/>
  <c r="AL23" i="2"/>
  <c r="AK23" i="2"/>
  <c r="AJ23" i="2"/>
  <c r="AI23" i="2"/>
  <c r="AU22" i="2"/>
  <c r="AT22" i="2"/>
  <c r="AS22" i="2"/>
  <c r="AR22" i="2"/>
  <c r="AQ22" i="2"/>
  <c r="AM22" i="2"/>
  <c r="AL22" i="2"/>
  <c r="AK22" i="2"/>
  <c r="AJ22" i="2"/>
  <c r="AI22" i="2"/>
  <c r="AU21" i="2"/>
  <c r="AT21" i="2"/>
  <c r="AS21" i="2"/>
  <c r="AR21" i="2"/>
  <c r="AQ21" i="2"/>
  <c r="AM21" i="2"/>
  <c r="AL21" i="2"/>
  <c r="AK21" i="2"/>
  <c r="AJ21" i="2"/>
  <c r="AI21" i="2"/>
  <c r="AU20" i="2"/>
  <c r="AT20" i="2"/>
  <c r="AS20" i="2"/>
  <c r="AR20" i="2"/>
  <c r="AQ20" i="2"/>
  <c r="AM20" i="2"/>
  <c r="AL20" i="2"/>
  <c r="AK20" i="2"/>
  <c r="AJ20" i="2"/>
  <c r="AI20" i="2"/>
  <c r="AU19" i="2"/>
  <c r="AT19" i="2"/>
  <c r="AS19" i="2"/>
  <c r="AR19" i="2"/>
  <c r="AQ19" i="2"/>
  <c r="AM19" i="2"/>
  <c r="AL19" i="2"/>
  <c r="AK19" i="2"/>
  <c r="AJ19" i="2"/>
  <c r="AI19" i="2"/>
  <c r="AU18" i="2"/>
  <c r="AT18" i="2"/>
  <c r="AS18" i="2"/>
  <c r="AR18" i="2"/>
  <c r="AQ18" i="2"/>
  <c r="AM18" i="2"/>
  <c r="AL18" i="2"/>
  <c r="AK18" i="2"/>
  <c r="AJ18" i="2"/>
  <c r="AI18" i="2"/>
  <c r="AU17" i="2"/>
  <c r="AT17" i="2"/>
  <c r="AS17" i="2"/>
  <c r="AR17" i="2"/>
  <c r="AQ17" i="2"/>
  <c r="AM17" i="2"/>
  <c r="AL17" i="2"/>
  <c r="AK17" i="2"/>
  <c r="AJ17" i="2"/>
  <c r="AI17" i="2"/>
  <c r="AU16" i="2"/>
  <c r="AT16" i="2"/>
  <c r="AS16" i="2"/>
  <c r="AR16" i="2"/>
  <c r="AQ16" i="2"/>
  <c r="AM16" i="2"/>
  <c r="AL16" i="2"/>
  <c r="AK16" i="2"/>
  <c r="AJ16" i="2"/>
  <c r="AI16" i="2"/>
  <c r="AU15" i="2"/>
  <c r="AT15" i="2"/>
  <c r="AS15" i="2"/>
  <c r="AR15" i="2"/>
  <c r="AQ15" i="2"/>
  <c r="AM15" i="2"/>
  <c r="AL15" i="2"/>
  <c r="AK15" i="2"/>
  <c r="AJ15" i="2"/>
  <c r="AI15" i="2"/>
  <c r="AU14" i="2"/>
  <c r="AT14" i="2"/>
  <c r="AS14" i="2"/>
  <c r="AR14" i="2"/>
  <c r="AQ14" i="2"/>
  <c r="AM14" i="2"/>
  <c r="AL14" i="2"/>
  <c r="AK14" i="2"/>
  <c r="AJ14" i="2"/>
  <c r="AI14" i="2"/>
  <c r="AU13" i="2"/>
  <c r="AT13" i="2"/>
  <c r="AS13" i="2"/>
  <c r="AR13" i="2"/>
  <c r="AQ13" i="2"/>
  <c r="AM13" i="2"/>
  <c r="AL13" i="2"/>
  <c r="AK13" i="2"/>
  <c r="AJ13" i="2"/>
  <c r="AI13" i="2"/>
  <c r="AU12" i="2"/>
  <c r="AT12" i="2"/>
  <c r="AS12" i="2"/>
  <c r="AR12" i="2"/>
  <c r="AQ12" i="2"/>
  <c r="AM12" i="2"/>
  <c r="AL12" i="2"/>
  <c r="AK12" i="2"/>
  <c r="AJ12" i="2"/>
  <c r="AI12" i="2"/>
  <c r="AU11" i="2"/>
  <c r="AT11" i="2"/>
  <c r="AS11" i="2"/>
  <c r="AR11" i="2"/>
  <c r="AQ11" i="2"/>
  <c r="AM11" i="2"/>
  <c r="AL11" i="2"/>
  <c r="AK11" i="2"/>
  <c r="AJ11" i="2"/>
  <c r="AI11" i="2"/>
  <c r="D5" i="2"/>
  <c r="AN24" i="8" l="1"/>
  <c r="AN32" i="8"/>
  <c r="AN27" i="8"/>
  <c r="AN22" i="8"/>
  <c r="AN17" i="8"/>
  <c r="AA38" i="8"/>
  <c r="AN12" i="8"/>
  <c r="AN33" i="8"/>
  <c r="AN28" i="8"/>
  <c r="AN23" i="8"/>
  <c r="AN18" i="8"/>
  <c r="AN13" i="8"/>
  <c r="AN34" i="8"/>
  <c r="AN29" i="8"/>
  <c r="AN19" i="8"/>
  <c r="AN14" i="8"/>
  <c r="AA39" i="8"/>
  <c r="AN35" i="8"/>
  <c r="AN30" i="8"/>
  <c r="AN25" i="8"/>
  <c r="AN20" i="8"/>
  <c r="AN15" i="8"/>
  <c r="AN31" i="8"/>
  <c r="AN26" i="8"/>
  <c r="AN21" i="8"/>
  <c r="AN16" i="8"/>
  <c r="AN27" i="9"/>
  <c r="AN22" i="9"/>
  <c r="AN17" i="9"/>
  <c r="AA38" i="9"/>
  <c r="AN33" i="9"/>
  <c r="AN28" i="9"/>
  <c r="AN23" i="9"/>
  <c r="AN18" i="9"/>
  <c r="AN13" i="9"/>
  <c r="AN24" i="9"/>
  <c r="AN19" i="9"/>
  <c r="AN14" i="9"/>
  <c r="AN29" i="9"/>
  <c r="AN34" i="9"/>
  <c r="AN12" i="9"/>
  <c r="AA39" i="9"/>
  <c r="AN25" i="9"/>
  <c r="AN20" i="9"/>
  <c r="AN15" i="9"/>
  <c r="AN30" i="9"/>
  <c r="AN35" i="9"/>
  <c r="AN26" i="9"/>
  <c r="AN21" i="9"/>
  <c r="AN16" i="9"/>
  <c r="AN11" i="9"/>
  <c r="AN31" i="9"/>
  <c r="AN32" i="9"/>
  <c r="V39" i="4"/>
  <c r="AP20" i="4"/>
  <c r="AP35" i="4"/>
  <c r="AP31" i="4"/>
  <c r="AP15" i="4"/>
  <c r="AP26" i="4"/>
  <c r="AP30" i="4"/>
  <c r="AP21" i="4"/>
  <c r="AP16" i="4"/>
  <c r="AP32" i="4"/>
  <c r="AP19" i="4"/>
  <c r="AP27" i="4"/>
  <c r="AP11" i="4"/>
  <c r="AP22" i="4"/>
  <c r="H5" i="4"/>
  <c r="AP33" i="4"/>
  <c r="AP17" i="4"/>
  <c r="AP28" i="4"/>
  <c r="AP12" i="4"/>
  <c r="AP23" i="4"/>
  <c r="V38" i="4"/>
  <c r="AP34" i="4"/>
  <c r="G5" i="4"/>
  <c r="AP18" i="4"/>
  <c r="AP14" i="4"/>
  <c r="AP29" i="4"/>
  <c r="AP13" i="4"/>
  <c r="AP24" i="4"/>
  <c r="AP30" i="7"/>
  <c r="AP14" i="7"/>
  <c r="G5" i="7"/>
  <c r="AP25" i="7"/>
  <c r="V39" i="7"/>
  <c r="AP20" i="7"/>
  <c r="AP31" i="7"/>
  <c r="AP15" i="7"/>
  <c r="AP26" i="7"/>
  <c r="AP13" i="7"/>
  <c r="AP21" i="7"/>
  <c r="AP32" i="7"/>
  <c r="AP16" i="7"/>
  <c r="AP27" i="7"/>
  <c r="AP11" i="7"/>
  <c r="AP22" i="7"/>
  <c r="AP33" i="7"/>
  <c r="AP17" i="7"/>
  <c r="AP29" i="7"/>
  <c r="AP28" i="7"/>
  <c r="AP12" i="7"/>
  <c r="AP23" i="7"/>
  <c r="V38" i="7"/>
  <c r="AP34" i="7"/>
  <c r="AP18" i="7"/>
  <c r="AP24" i="7"/>
  <c r="AN11" i="8"/>
  <c r="H5" i="7"/>
  <c r="F5" i="12"/>
  <c r="AO24" i="24"/>
  <c r="AO30" i="24"/>
  <c r="AO14" i="24"/>
  <c r="AO25" i="24"/>
  <c r="AO31" i="24"/>
  <c r="AO15" i="24"/>
  <c r="AO32" i="24"/>
  <c r="AO16" i="24"/>
  <c r="AO27" i="24"/>
  <c r="AO11" i="24"/>
  <c r="AO22" i="24"/>
  <c r="AO33" i="24"/>
  <c r="AO17" i="24"/>
  <c r="AO34" i="24"/>
  <c r="AO18" i="24"/>
  <c r="AO23" i="24"/>
  <c r="AD39" i="24"/>
  <c r="AO35" i="24"/>
  <c r="AO20" i="24"/>
  <c r="AO13" i="24"/>
  <c r="AO28" i="24"/>
  <c r="AO21" i="24"/>
  <c r="AO29" i="24"/>
  <c r="AD38" i="24"/>
  <c r="AO26" i="24"/>
  <c r="AO19" i="24"/>
  <c r="AP16" i="8"/>
  <c r="AP21" i="8"/>
  <c r="AP26" i="8"/>
  <c r="AP31" i="8"/>
  <c r="V39" i="8"/>
  <c r="AP17" i="9"/>
  <c r="AP22" i="9"/>
  <c r="AP27" i="9"/>
  <c r="AP32" i="9"/>
  <c r="V38" i="15"/>
  <c r="AP34" i="15"/>
  <c r="AP30" i="15"/>
  <c r="AP14" i="15"/>
  <c r="G5" i="15"/>
  <c r="AP25" i="15"/>
  <c r="V39" i="15"/>
  <c r="AP20" i="15"/>
  <c r="AP31" i="15"/>
  <c r="AP26" i="15"/>
  <c r="AP21" i="15"/>
  <c r="AP32" i="15"/>
  <c r="AP16" i="15"/>
  <c r="AP27" i="15"/>
  <c r="AP11" i="15"/>
  <c r="AP33" i="15"/>
  <c r="AP17" i="15"/>
  <c r="AP28" i="15"/>
  <c r="AP12" i="15"/>
  <c r="AP13" i="15"/>
  <c r="AP35" i="15"/>
  <c r="AN26" i="16"/>
  <c r="AA38" i="16"/>
  <c r="AN32" i="16"/>
  <c r="AN16" i="16"/>
  <c r="AN27" i="16"/>
  <c r="AN22" i="16"/>
  <c r="AN33" i="16"/>
  <c r="AN17" i="16"/>
  <c r="AN28" i="16"/>
  <c r="AN12" i="16"/>
  <c r="AN23" i="16"/>
  <c r="AA39" i="16"/>
  <c r="AN34" i="16"/>
  <c r="AN18" i="16"/>
  <c r="AN29" i="16"/>
  <c r="AN13" i="16"/>
  <c r="AN24" i="16"/>
  <c r="AN35" i="16"/>
  <c r="AN19" i="16"/>
  <c r="AN30" i="16"/>
  <c r="AN14" i="16"/>
  <c r="AN25" i="16"/>
  <c r="AN20" i="16"/>
  <c r="AP30" i="17"/>
  <c r="AP14" i="17"/>
  <c r="G5" i="17"/>
  <c r="V39" i="17"/>
  <c r="AP20" i="17"/>
  <c r="AP31" i="17"/>
  <c r="AP15" i="17"/>
  <c r="AP26" i="17"/>
  <c r="AP21" i="17"/>
  <c r="AP32" i="17"/>
  <c r="AP16" i="17"/>
  <c r="AP27" i="17"/>
  <c r="AP11" i="17"/>
  <c r="AP22" i="17"/>
  <c r="AP33" i="17"/>
  <c r="AP17" i="17"/>
  <c r="AP28" i="17"/>
  <c r="AP12" i="17"/>
  <c r="AP23" i="17"/>
  <c r="V38" i="17"/>
  <c r="AP34" i="17"/>
  <c r="AP18" i="17"/>
  <c r="AP29" i="17"/>
  <c r="AP13" i="17"/>
  <c r="AP24" i="17"/>
  <c r="AP35" i="17"/>
  <c r="AO12" i="24"/>
  <c r="F5" i="6"/>
  <c r="V39" i="9"/>
  <c r="H5" i="15"/>
  <c r="AP29" i="15"/>
  <c r="AN21" i="16"/>
  <c r="AN24" i="17"/>
  <c r="AN30" i="17"/>
  <c r="AN14" i="17"/>
  <c r="AN25" i="17"/>
  <c r="AN20" i="17"/>
  <c r="AN31" i="17"/>
  <c r="AN15" i="17"/>
  <c r="AN26" i="17"/>
  <c r="AN21" i="17"/>
  <c r="AA38" i="17"/>
  <c r="AN32" i="17"/>
  <c r="AN16" i="17"/>
  <c r="AN27" i="17"/>
  <c r="AN11" i="17"/>
  <c r="AN22" i="17"/>
  <c r="AN33" i="17"/>
  <c r="AN17" i="17"/>
  <c r="AN28" i="17"/>
  <c r="AN12" i="17"/>
  <c r="AN23" i="17"/>
  <c r="AA39" i="17"/>
  <c r="AN34" i="17"/>
  <c r="AN18" i="17"/>
  <c r="AN29" i="17"/>
  <c r="AO20" i="8"/>
  <c r="AO25" i="8"/>
  <c r="AP33" i="11"/>
  <c r="V38" i="11"/>
  <c r="AP34" i="11"/>
  <c r="AP18" i="11"/>
  <c r="AP29" i="11"/>
  <c r="AP13" i="11"/>
  <c r="AP24" i="11"/>
  <c r="AP35" i="11"/>
  <c r="AP25" i="11"/>
  <c r="AP22" i="11"/>
  <c r="AP26" i="11"/>
  <c r="F5" i="3"/>
  <c r="AP15" i="8"/>
  <c r="AP20" i="8"/>
  <c r="AP25" i="8"/>
  <c r="AO30" i="8"/>
  <c r="AP35" i="8"/>
  <c r="AP31" i="9"/>
  <c r="G5" i="11"/>
  <c r="AN26" i="13"/>
  <c r="AP19" i="15"/>
  <c r="AP22" i="15"/>
  <c r="AP11" i="9"/>
  <c r="AP16" i="9"/>
  <c r="AP21" i="9"/>
  <c r="AP26" i="9"/>
  <c r="AP35" i="9"/>
  <c r="H5" i="11"/>
  <c r="AO14" i="8"/>
  <c r="AO35" i="8"/>
  <c r="AO19" i="8"/>
  <c r="AP19" i="8"/>
  <c r="AP24" i="8"/>
  <c r="AO29" i="8"/>
  <c r="AO34" i="8"/>
  <c r="V38" i="8"/>
  <c r="AD39" i="8"/>
  <c r="AP30" i="9"/>
  <c r="AP17" i="11"/>
  <c r="AP21" i="11"/>
  <c r="F5" i="14"/>
  <c r="H5" i="14" s="1"/>
  <c r="F5" i="5"/>
  <c r="AP29" i="8"/>
  <c r="AP34" i="8"/>
  <c r="AP15" i="9"/>
  <c r="AP20" i="9"/>
  <c r="AP25" i="9"/>
  <c r="AP34" i="9"/>
  <c r="V38" i="9"/>
  <c r="V39" i="11"/>
  <c r="AN23" i="13"/>
  <c r="AA39" i="13"/>
  <c r="AN34" i="13"/>
  <c r="AN18" i="13"/>
  <c r="AN24" i="13"/>
  <c r="AN35" i="13"/>
  <c r="AN19" i="13"/>
  <c r="AN30" i="13"/>
  <c r="AN14" i="13"/>
  <c r="AN25" i="13"/>
  <c r="AN31" i="13"/>
  <c r="AN15" i="13"/>
  <c r="AN13" i="13"/>
  <c r="AN11" i="16"/>
  <c r="AO13" i="8"/>
  <c r="AP12" i="11"/>
  <c r="AN17" i="13"/>
  <c r="AN21" i="13"/>
  <c r="AP18" i="15"/>
  <c r="AP25" i="17"/>
  <c r="F5" i="20"/>
  <c r="H5" i="20" s="1"/>
  <c r="F5" i="2"/>
  <c r="AP13" i="8"/>
  <c r="AO18" i="8"/>
  <c r="AO23" i="8"/>
  <c r="AO28" i="8"/>
  <c r="AO33" i="8"/>
  <c r="F5" i="10"/>
  <c r="AP16" i="11"/>
  <c r="AP20" i="11"/>
  <c r="AN31" i="16"/>
  <c r="AP18" i="8"/>
  <c r="AP23" i="8"/>
  <c r="AP28" i="8"/>
  <c r="AP33" i="8"/>
  <c r="AP33" i="9"/>
  <c r="AP28" i="9"/>
  <c r="AP12" i="9"/>
  <c r="AP14" i="9"/>
  <c r="AP19" i="9"/>
  <c r="AP24" i="9"/>
  <c r="AP28" i="11"/>
  <c r="AP32" i="11"/>
  <c r="AO12" i="8"/>
  <c r="G5" i="9"/>
  <c r="AN16" i="13"/>
  <c r="AP24" i="15"/>
  <c r="AN13" i="17"/>
  <c r="AP12" i="8"/>
  <c r="AO17" i="8"/>
  <c r="AO22" i="8"/>
  <c r="AO27" i="8"/>
  <c r="AO32" i="8"/>
  <c r="AP11" i="11"/>
  <c r="AP15" i="11"/>
  <c r="AP19" i="11"/>
  <c r="AN20" i="13"/>
  <c r="AN28" i="13"/>
  <c r="AN32" i="13"/>
  <c r="AP23" i="22"/>
  <c r="AP29" i="22"/>
  <c r="AP13" i="22"/>
  <c r="AP24" i="22"/>
  <c r="AP30" i="22"/>
  <c r="AP14" i="22"/>
  <c r="AP31" i="22"/>
  <c r="AP26" i="22"/>
  <c r="AP21" i="22"/>
  <c r="AP32" i="22"/>
  <c r="AP16" i="22"/>
  <c r="AP33" i="22"/>
  <c r="AP17" i="22"/>
  <c r="V39" i="22"/>
  <c r="AP22" i="22"/>
  <c r="AP15" i="22"/>
  <c r="AP19" i="22"/>
  <c r="AP12" i="22"/>
  <c r="H5" i="22"/>
  <c r="AP27" i="22"/>
  <c r="AP20" i="22"/>
  <c r="G5" i="22"/>
  <c r="AP34" i="22"/>
  <c r="V38" i="22"/>
  <c r="AP28" i="22"/>
  <c r="AP35" i="22"/>
  <c r="AO22" i="25"/>
  <c r="AD39" i="25"/>
  <c r="AO28" i="25"/>
  <c r="AO12" i="25"/>
  <c r="AO23" i="25"/>
  <c r="AO29" i="25"/>
  <c r="AO13" i="25"/>
  <c r="AO30" i="25"/>
  <c r="AO14" i="25"/>
  <c r="AO25" i="25"/>
  <c r="AO20" i="25"/>
  <c r="AO31" i="25"/>
  <c r="AO15" i="25"/>
  <c r="AO32" i="25"/>
  <c r="AO16" i="25"/>
  <c r="AO33" i="25"/>
  <c r="AD38" i="25"/>
  <c r="AP29" i="27"/>
  <c r="AP13" i="27"/>
  <c r="AP35" i="27"/>
  <c r="AP19" i="27"/>
  <c r="AP30" i="27"/>
  <c r="AP14" i="27"/>
  <c r="G5" i="27"/>
  <c r="V39" i="27"/>
  <c r="AP20" i="27"/>
  <c r="AP21" i="27"/>
  <c r="AP32" i="27"/>
  <c r="AP16" i="27"/>
  <c r="AP27" i="27"/>
  <c r="AP11" i="27"/>
  <c r="AP22" i="27"/>
  <c r="AP23" i="27"/>
  <c r="AP26" i="27"/>
  <c r="AP26" i="16"/>
  <c r="AP22" i="18"/>
  <c r="AP24" i="21"/>
  <c r="AO35" i="21"/>
  <c r="AN34" i="24"/>
  <c r="AN27" i="25"/>
  <c r="AN11" i="25"/>
  <c r="AN33" i="25"/>
  <c r="AN17" i="25"/>
  <c r="AN28" i="25"/>
  <c r="AN12" i="25"/>
  <c r="AA39" i="25"/>
  <c r="AN34" i="25"/>
  <c r="AN18" i="25"/>
  <c r="AN35" i="25"/>
  <c r="AN19" i="25"/>
  <c r="AN30" i="25"/>
  <c r="AN14" i="25"/>
  <c r="AN25" i="25"/>
  <c r="AN20" i="25"/>
  <c r="AN21" i="25"/>
  <c r="AO19" i="25"/>
  <c r="AO26" i="25"/>
  <c r="AP28" i="30"/>
  <c r="AP21" i="13"/>
  <c r="AO26" i="13"/>
  <c r="AD38" i="13"/>
  <c r="AP15" i="16"/>
  <c r="AP31" i="16"/>
  <c r="AP11" i="18"/>
  <c r="AP27" i="18"/>
  <c r="F5" i="19"/>
  <c r="AN26" i="24"/>
  <c r="AN29" i="25"/>
  <c r="AP14" i="26"/>
  <c r="AO31" i="26"/>
  <c r="AP12" i="27"/>
  <c r="AP20" i="16"/>
  <c r="V39" i="16"/>
  <c r="AP32" i="18"/>
  <c r="AN15" i="24"/>
  <c r="AN22" i="25"/>
  <c r="AO17" i="26"/>
  <c r="AP25" i="16"/>
  <c r="AP21" i="18"/>
  <c r="AO11" i="21"/>
  <c r="AO19" i="21"/>
  <c r="AO27" i="21"/>
  <c r="AN15" i="25"/>
  <c r="AN32" i="25"/>
  <c r="AP17" i="26"/>
  <c r="AP15" i="27"/>
  <c r="AO29" i="29"/>
  <c r="AP20" i="13"/>
  <c r="AO25" i="13"/>
  <c r="V39" i="13"/>
  <c r="G5" i="16"/>
  <c r="AP14" i="16"/>
  <c r="AP30" i="16"/>
  <c r="AP26" i="18"/>
  <c r="AP11" i="21"/>
  <c r="AP19" i="21"/>
  <c r="AP27" i="21"/>
  <c r="F5" i="23"/>
  <c r="AN33" i="24"/>
  <c r="AP27" i="26"/>
  <c r="AP25" i="27"/>
  <c r="AO26" i="29"/>
  <c r="AP23" i="30"/>
  <c r="V38" i="30"/>
  <c r="AP34" i="30"/>
  <c r="AP18" i="30"/>
  <c r="AP29" i="30"/>
  <c r="AP13" i="30"/>
  <c r="AP24" i="30"/>
  <c r="AP30" i="30"/>
  <c r="AP14" i="30"/>
  <c r="G5" i="30"/>
  <c r="AP25" i="30"/>
  <c r="V39" i="30"/>
  <c r="AP20" i="30"/>
  <c r="AP31" i="30"/>
  <c r="AP15" i="30"/>
  <c r="AP26" i="30"/>
  <c r="AP21" i="30"/>
  <c r="AP32" i="30"/>
  <c r="AP16" i="30"/>
  <c r="AP22" i="30"/>
  <c r="AP33" i="30"/>
  <c r="AP17" i="30"/>
  <c r="AO14" i="13"/>
  <c r="AP25" i="13"/>
  <c r="AO30" i="13"/>
  <c r="AP19" i="16"/>
  <c r="AP35" i="16"/>
  <c r="AP15" i="18"/>
  <c r="AP31" i="18"/>
  <c r="AO34" i="21"/>
  <c r="AN18" i="24"/>
  <c r="AO18" i="25"/>
  <c r="AO35" i="25"/>
  <c r="AP18" i="27"/>
  <c r="AO35" i="29"/>
  <c r="H5" i="30"/>
  <c r="AP27" i="30"/>
  <c r="AO19" i="13"/>
  <c r="AP24" i="16"/>
  <c r="AP20" i="18"/>
  <c r="V39" i="18"/>
  <c r="AP30" i="21"/>
  <c r="AN25" i="24"/>
  <c r="AO11" i="25"/>
  <c r="AO21" i="25"/>
  <c r="AP31" i="26"/>
  <c r="AP15" i="26"/>
  <c r="AP21" i="26"/>
  <c r="AP32" i="26"/>
  <c r="AP16" i="26"/>
  <c r="AP22" i="26"/>
  <c r="AP23" i="26"/>
  <c r="V38" i="26"/>
  <c r="AP34" i="26"/>
  <c r="AP18" i="26"/>
  <c r="AP29" i="26"/>
  <c r="AP13" i="26"/>
  <c r="AP24" i="26"/>
  <c r="AP25" i="26"/>
  <c r="AP30" i="26"/>
  <c r="AP28" i="27"/>
  <c r="AP29" i="16"/>
  <c r="AP25" i="18"/>
  <c r="AO18" i="21"/>
  <c r="AO22" i="21"/>
  <c r="AO26" i="21"/>
  <c r="AO20" i="26"/>
  <c r="AD38" i="26"/>
  <c r="AO26" i="26"/>
  <c r="AO21" i="26"/>
  <c r="AO27" i="26"/>
  <c r="AO11" i="26"/>
  <c r="AD39" i="26"/>
  <c r="AO28" i="26"/>
  <c r="AO12" i="26"/>
  <c r="AO23" i="26"/>
  <c r="AO34" i="26"/>
  <c r="AO18" i="26"/>
  <c r="AO29" i="26"/>
  <c r="AO13" i="26"/>
  <c r="AO30" i="26"/>
  <c r="AO14" i="26"/>
  <c r="AO16" i="26"/>
  <c r="AO33" i="26"/>
  <c r="AO13" i="29"/>
  <c r="AP12" i="30"/>
  <c r="AP18" i="16"/>
  <c r="AP34" i="16"/>
  <c r="V38" i="16"/>
  <c r="G5" i="18"/>
  <c r="AP14" i="18"/>
  <c r="AP30" i="18"/>
  <c r="AP18" i="21"/>
  <c r="AP22" i="21"/>
  <c r="AN31" i="25"/>
  <c r="H5" i="26"/>
  <c r="AO19" i="26"/>
  <c r="AP26" i="26"/>
  <c r="AP33" i="26"/>
  <c r="V39" i="26"/>
  <c r="AP24" i="27"/>
  <c r="AP31" i="27"/>
  <c r="V38" i="27"/>
  <c r="AP23" i="16"/>
  <c r="H5" i="18"/>
  <c r="AP19" i="18"/>
  <c r="AP35" i="18"/>
  <c r="AO29" i="21"/>
  <c r="AN17" i="24"/>
  <c r="AN28" i="24"/>
  <c r="AA39" i="24"/>
  <c r="AN24" i="25"/>
  <c r="AP19" i="26"/>
  <c r="AP17" i="27"/>
  <c r="AO19" i="29"/>
  <c r="AP12" i="16"/>
  <c r="AP28" i="16"/>
  <c r="AP24" i="18"/>
  <c r="AP25" i="21"/>
  <c r="AP31" i="21"/>
  <c r="AP15" i="21"/>
  <c r="AP26" i="21"/>
  <c r="AP28" i="21"/>
  <c r="AP12" i="21"/>
  <c r="AP23" i="21"/>
  <c r="V38" i="21"/>
  <c r="AP34" i="21"/>
  <c r="AP35" i="21"/>
  <c r="AP29" i="21"/>
  <c r="AO17" i="25"/>
  <c r="AO24" i="25"/>
  <c r="AO34" i="25"/>
  <c r="AP34" i="27"/>
  <c r="AP33" i="16"/>
  <c r="AP13" i="18"/>
  <c r="AP29" i="18"/>
  <c r="AO30" i="21"/>
  <c r="AO14" i="21"/>
  <c r="AO20" i="21"/>
  <c r="AO31" i="21"/>
  <c r="AO15" i="21"/>
  <c r="AO33" i="21"/>
  <c r="AO17" i="21"/>
  <c r="AD39" i="21"/>
  <c r="AO28" i="21"/>
  <c r="AO12" i="21"/>
  <c r="AO23" i="21"/>
  <c r="AO13" i="21"/>
  <c r="AO21" i="21"/>
  <c r="AO25" i="21"/>
  <c r="AN29" i="24"/>
  <c r="AN13" i="24"/>
  <c r="AN35" i="24"/>
  <c r="AN19" i="24"/>
  <c r="AN30" i="24"/>
  <c r="AN14" i="24"/>
  <c r="AN20" i="24"/>
  <c r="AN21" i="24"/>
  <c r="AA38" i="24"/>
  <c r="AN32" i="24"/>
  <c r="AN16" i="24"/>
  <c r="AN27" i="24"/>
  <c r="AN11" i="24"/>
  <c r="AN22" i="24"/>
  <c r="AN23" i="24"/>
  <c r="AO27" i="25"/>
  <c r="AP22" i="16"/>
  <c r="AP18" i="18"/>
  <c r="AP34" i="18"/>
  <c r="V38" i="18"/>
  <c r="H5" i="21"/>
  <c r="AP13" i="21"/>
  <c r="AP21" i="21"/>
  <c r="V39" i="21"/>
  <c r="AN13" i="25"/>
  <c r="AA38" i="25"/>
  <c r="AO15" i="26"/>
  <c r="AO22" i="26"/>
  <c r="AO32" i="26"/>
  <c r="AP25" i="29"/>
  <c r="V39" i="29"/>
  <c r="AP20" i="29"/>
  <c r="AP31" i="29"/>
  <c r="AP15" i="29"/>
  <c r="AP26" i="29"/>
  <c r="AP32" i="29"/>
  <c r="AP16" i="29"/>
  <c r="AP27" i="29"/>
  <c r="AP11" i="29"/>
  <c r="AP22" i="29"/>
  <c r="AP33" i="29"/>
  <c r="AP17" i="29"/>
  <c r="AP28" i="29"/>
  <c r="AP12" i="29"/>
  <c r="AP23" i="29"/>
  <c r="V38" i="29"/>
  <c r="AP34" i="29"/>
  <c r="AP18" i="29"/>
  <c r="AP35" i="29"/>
  <c r="AP19" i="29"/>
  <c r="AP11" i="30"/>
  <c r="AO30" i="29"/>
  <c r="AO14" i="29"/>
  <c r="AO25" i="29"/>
  <c r="AO20" i="29"/>
  <c r="AO31" i="29"/>
  <c r="AO15" i="29"/>
  <c r="AO21" i="29"/>
  <c r="AO32" i="29"/>
  <c r="AO16" i="29"/>
  <c r="AO27" i="29"/>
  <c r="AO11" i="29"/>
  <c r="AO22" i="29"/>
  <c r="AO33" i="29"/>
  <c r="AO17" i="29"/>
  <c r="AD39" i="29"/>
  <c r="AO28" i="29"/>
  <c r="AO12" i="29"/>
  <c r="AO23" i="29"/>
  <c r="AO24" i="29"/>
  <c r="AD38" i="29"/>
  <c r="AP16" i="16"/>
  <c r="AP12" i="18"/>
  <c r="H5" i="27"/>
  <c r="AP33" i="27"/>
  <c r="AO18" i="29"/>
  <c r="AA38" i="33"/>
  <c r="AP11" i="25"/>
  <c r="AP27" i="25"/>
  <c r="AN15" i="28"/>
  <c r="AP21" i="28"/>
  <c r="AN31" i="28"/>
  <c r="H5" i="29"/>
  <c r="AP13" i="32"/>
  <c r="AO18" i="32"/>
  <c r="AP29" i="32"/>
  <c r="AO34" i="32"/>
  <c r="AP11" i="33"/>
  <c r="AO16" i="33"/>
  <c r="AN21" i="33"/>
  <c r="AP27" i="33"/>
  <c r="AO32" i="33"/>
  <c r="F5" i="31"/>
  <c r="H5" i="31" s="1"/>
  <c r="AO12" i="32"/>
  <c r="AO28" i="32"/>
  <c r="AD39" i="32"/>
  <c r="AO26" i="33"/>
  <c r="AD38" i="33"/>
  <c r="AP26" i="25"/>
  <c r="AN14" i="28"/>
  <c r="AP20" i="28"/>
  <c r="AN30" i="28"/>
  <c r="V39" i="28"/>
  <c r="AO17" i="32"/>
  <c r="AO33" i="32"/>
  <c r="AO15" i="33"/>
  <c r="AN20" i="33"/>
  <c r="AP26" i="33"/>
  <c r="AO31" i="33"/>
  <c r="AP15" i="25"/>
  <c r="AP31" i="25"/>
  <c r="AN19" i="28"/>
  <c r="AP25" i="28"/>
  <c r="AN35" i="28"/>
  <c r="AO22" i="32"/>
  <c r="AP15" i="33"/>
  <c r="AO20" i="33"/>
  <c r="AN25" i="33"/>
  <c r="AP31" i="33"/>
  <c r="AP20" i="25"/>
  <c r="V39" i="25"/>
  <c r="G5" i="28"/>
  <c r="AP14" i="28"/>
  <c r="AN24" i="28"/>
  <c r="AP30" i="28"/>
  <c r="AO11" i="32"/>
  <c r="AO27" i="32"/>
  <c r="AN14" i="33"/>
  <c r="AP20" i="33"/>
  <c r="AO25" i="33"/>
  <c r="AN30" i="33"/>
  <c r="V39" i="33"/>
  <c r="AP25" i="25"/>
  <c r="AN13" i="28"/>
  <c r="AN29" i="28"/>
  <c r="AO16" i="32"/>
  <c r="AO32" i="32"/>
  <c r="AO14" i="33"/>
  <c r="AN19" i="33"/>
  <c r="AP25" i="33"/>
  <c r="AO30" i="33"/>
  <c r="AN35" i="33"/>
  <c r="AO21" i="32"/>
  <c r="AO19" i="33"/>
  <c r="AO35" i="33"/>
  <c r="AN23" i="28"/>
  <c r="AO26" i="32"/>
  <c r="AD38" i="32"/>
  <c r="AN13" i="33"/>
  <c r="AP19" i="33"/>
  <c r="AO24" i="33"/>
  <c r="AN29" i="33"/>
  <c r="AP35" i="33"/>
  <c r="AP24" i="25"/>
  <c r="AN12" i="28"/>
  <c r="AN28" i="28"/>
  <c r="AO15" i="32"/>
  <c r="AO31" i="32"/>
  <c r="AO13" i="33"/>
  <c r="AN18" i="33"/>
  <c r="AP24" i="33"/>
  <c r="AO29" i="33"/>
  <c r="AN34" i="33"/>
  <c r="AA39" i="33"/>
  <c r="AP20" i="24"/>
  <c r="V39" i="24"/>
  <c r="AP18" i="25"/>
  <c r="AP34" i="25"/>
  <c r="V38" i="25"/>
  <c r="AP12" i="28"/>
  <c r="AN22" i="28"/>
  <c r="AP28" i="28"/>
  <c r="AP20" i="32"/>
  <c r="AO25" i="32"/>
  <c r="V39" i="32"/>
  <c r="AN12" i="33"/>
  <c r="AP18" i="33"/>
  <c r="AO23" i="33"/>
  <c r="AN28" i="33"/>
  <c r="AP34" i="33"/>
  <c r="V38" i="33"/>
  <c r="AP25" i="24"/>
  <c r="AP23" i="25"/>
  <c r="AN11" i="28"/>
  <c r="AP17" i="28"/>
  <c r="AN27" i="28"/>
  <c r="AP33" i="28"/>
  <c r="AO14" i="32"/>
  <c r="AP25" i="32"/>
  <c r="AO30" i="32"/>
  <c r="AO12" i="33"/>
  <c r="AN17" i="33"/>
  <c r="AP23" i="33"/>
  <c r="AO28" i="33"/>
  <c r="AN33" i="33"/>
  <c r="AD39" i="33"/>
  <c r="AO19" i="32"/>
  <c r="AO35" i="32"/>
  <c r="AO17" i="33"/>
  <c r="AO33" i="33"/>
  <c r="AP19" i="24"/>
  <c r="AP17" i="25"/>
  <c r="AP11" i="28"/>
  <c r="H5" i="32"/>
  <c r="AP19" i="32"/>
  <c r="AN11" i="33"/>
  <c r="AP17" i="33"/>
  <c r="AN26" i="14" l="1"/>
  <c r="AN21" i="14"/>
  <c r="AA38" i="14"/>
  <c r="AN32" i="14"/>
  <c r="AN16" i="14"/>
  <c r="AN22" i="14"/>
  <c r="AN33" i="14"/>
  <c r="AN17" i="14"/>
  <c r="AN28" i="14"/>
  <c r="AN12" i="14"/>
  <c r="AN23" i="14"/>
  <c r="AN29" i="14"/>
  <c r="AN13" i="14"/>
  <c r="AN25" i="14"/>
  <c r="AN18" i="14"/>
  <c r="AN15" i="14"/>
  <c r="AN19" i="14"/>
  <c r="AN14" i="14"/>
  <c r="AN35" i="14"/>
  <c r="AN30" i="14"/>
  <c r="AN27" i="14"/>
  <c r="AN34" i="14"/>
  <c r="AN20" i="14"/>
  <c r="AN11" i="14"/>
  <c r="AN31" i="14"/>
  <c r="AN24" i="14"/>
  <c r="AA39" i="14"/>
  <c r="AN31" i="31"/>
  <c r="AN15" i="31"/>
  <c r="AN26" i="31"/>
  <c r="AN21" i="31"/>
  <c r="AA38" i="31"/>
  <c r="AN32" i="31"/>
  <c r="AN16" i="31"/>
  <c r="AN22" i="31"/>
  <c r="AN33" i="31"/>
  <c r="AN17" i="31"/>
  <c r="AN28" i="31"/>
  <c r="AN12" i="31"/>
  <c r="AN23" i="31"/>
  <c r="AA39" i="31"/>
  <c r="AN34" i="31"/>
  <c r="AN18" i="31"/>
  <c r="AN29" i="31"/>
  <c r="AN13" i="31"/>
  <c r="AN24" i="31"/>
  <c r="AN35" i="31"/>
  <c r="AN19" i="31"/>
  <c r="AN30" i="31"/>
  <c r="AN14" i="31"/>
  <c r="AN25" i="31"/>
  <c r="AN20" i="31"/>
  <c r="AN27" i="31"/>
  <c r="AN11" i="31"/>
  <c r="AN21" i="20"/>
  <c r="AN27" i="20"/>
  <c r="AN11" i="20"/>
  <c r="AN22" i="20"/>
  <c r="AN24" i="20"/>
  <c r="AN35" i="20"/>
  <c r="AN19" i="20"/>
  <c r="AA38" i="20"/>
  <c r="AN29" i="20"/>
  <c r="AN25" i="20"/>
  <c r="AN17" i="20"/>
  <c r="AN30" i="20"/>
  <c r="AN34" i="20"/>
  <c r="AN26" i="20"/>
  <c r="AN14" i="20"/>
  <c r="AN18" i="20"/>
  <c r="AA39" i="20"/>
  <c r="AN31" i="20"/>
  <c r="AN23" i="20"/>
  <c r="AN15" i="20"/>
  <c r="AN32" i="20"/>
  <c r="AN28" i="20"/>
  <c r="AN16" i="20"/>
  <c r="AN20" i="20"/>
  <c r="AN12" i="20"/>
  <c r="AN33" i="20"/>
  <c r="AN13" i="20"/>
  <c r="V39" i="10"/>
  <c r="AP31" i="10"/>
  <c r="AP15" i="10"/>
  <c r="AP26" i="10"/>
  <c r="AP27" i="10"/>
  <c r="AP11" i="10"/>
  <c r="AP35" i="10"/>
  <c r="AP13" i="10"/>
  <c r="AP22" i="10"/>
  <c r="AP18" i="10"/>
  <c r="G5" i="10"/>
  <c r="AP14" i="10"/>
  <c r="AP23" i="10"/>
  <c r="AP19" i="10"/>
  <c r="AP17" i="10"/>
  <c r="V38" i="10"/>
  <c r="AP32" i="10"/>
  <c r="AP28" i="10"/>
  <c r="AP24" i="10"/>
  <c r="AP34" i="10"/>
  <c r="AP33" i="10"/>
  <c r="AP29" i="10"/>
  <c r="AP20" i="10"/>
  <c r="AP12" i="10"/>
  <c r="AP25" i="10"/>
  <c r="AP16" i="10"/>
  <c r="AP30" i="10"/>
  <c r="AP21" i="10"/>
  <c r="AO23" i="15"/>
  <c r="AO29" i="15"/>
  <c r="AO35" i="15"/>
  <c r="AO19" i="15"/>
  <c r="AO30" i="15"/>
  <c r="AO14" i="15"/>
  <c r="AO25" i="15"/>
  <c r="AO31" i="15"/>
  <c r="AO15" i="15"/>
  <c r="AD38" i="15"/>
  <c r="AO26" i="15"/>
  <c r="AO21" i="15"/>
  <c r="AO32" i="15"/>
  <c r="AO16" i="15"/>
  <c r="AO27" i="15"/>
  <c r="AO22" i="15"/>
  <c r="AO33" i="15"/>
  <c r="AO17" i="15"/>
  <c r="AO24" i="15"/>
  <c r="AO18" i="15"/>
  <c r="AO11" i="15"/>
  <c r="AO13" i="15"/>
  <c r="AO34" i="15"/>
  <c r="AO28" i="15"/>
  <c r="AO12" i="15"/>
  <c r="AD39" i="15"/>
  <c r="AO20" i="15"/>
  <c r="AN33" i="22"/>
  <c r="AN17" i="22"/>
  <c r="AN23" i="22"/>
  <c r="AA39" i="22"/>
  <c r="AN34" i="22"/>
  <c r="AN18" i="22"/>
  <c r="AN24" i="22"/>
  <c r="AN20" i="22"/>
  <c r="AN31" i="22"/>
  <c r="AN15" i="22"/>
  <c r="AN26" i="22"/>
  <c r="AN27" i="22"/>
  <c r="AN11" i="22"/>
  <c r="AN29" i="22"/>
  <c r="AN22" i="22"/>
  <c r="AN19" i="22"/>
  <c r="AN12" i="22"/>
  <c r="AA38" i="22"/>
  <c r="AN30" i="22"/>
  <c r="AN16" i="22"/>
  <c r="AN13" i="22"/>
  <c r="AN28" i="22"/>
  <c r="AN21" i="22"/>
  <c r="AN32" i="22"/>
  <c r="AN35" i="22"/>
  <c r="AN25" i="22"/>
  <c r="AN14" i="22"/>
  <c r="AO25" i="4"/>
  <c r="AO20" i="4"/>
  <c r="AO15" i="4"/>
  <c r="AO31" i="4"/>
  <c r="AO19" i="4"/>
  <c r="AD38" i="4"/>
  <c r="AO26" i="4"/>
  <c r="AO21" i="4"/>
  <c r="AO32" i="4"/>
  <c r="AO16" i="4"/>
  <c r="AO27" i="4"/>
  <c r="AO11" i="4"/>
  <c r="AO24" i="4"/>
  <c r="AO22" i="4"/>
  <c r="AO33" i="4"/>
  <c r="AO17" i="4"/>
  <c r="AO35" i="4"/>
  <c r="AD39" i="4"/>
  <c r="AO28" i="4"/>
  <c r="AO12" i="4"/>
  <c r="AO23" i="4"/>
  <c r="AO34" i="4"/>
  <c r="AO18" i="4"/>
  <c r="AO29" i="4"/>
  <c r="AO13" i="4"/>
  <c r="AO30" i="4"/>
  <c r="AO14" i="4"/>
  <c r="AN35" i="21"/>
  <c r="AN19" i="21"/>
  <c r="AN25" i="21"/>
  <c r="AN20" i="21"/>
  <c r="AN22" i="21"/>
  <c r="AN33" i="21"/>
  <c r="AN17" i="21"/>
  <c r="AN28" i="21"/>
  <c r="AN29" i="21"/>
  <c r="AN24" i="21"/>
  <c r="AN16" i="21"/>
  <c r="AN32" i="21"/>
  <c r="AN21" i="21"/>
  <c r="AN13" i="21"/>
  <c r="AN14" i="21"/>
  <c r="AA38" i="21"/>
  <c r="AN26" i="21"/>
  <c r="AN18" i="21"/>
  <c r="AN30" i="21"/>
  <c r="AN34" i="21"/>
  <c r="AN23" i="21"/>
  <c r="AN15" i="21"/>
  <c r="AN27" i="21"/>
  <c r="AN11" i="21"/>
  <c r="AN31" i="21"/>
  <c r="AA39" i="21"/>
  <c r="AN12" i="21"/>
  <c r="AP21" i="23"/>
  <c r="AP27" i="23"/>
  <c r="AP11" i="23"/>
  <c r="AP22" i="23"/>
  <c r="AP28" i="23"/>
  <c r="AP12" i="23"/>
  <c r="AP29" i="23"/>
  <c r="AP13" i="23"/>
  <c r="AP24" i="23"/>
  <c r="AP35" i="23"/>
  <c r="AP19" i="23"/>
  <c r="AP30" i="23"/>
  <c r="AP14" i="23"/>
  <c r="G5" i="23"/>
  <c r="AP31" i="23"/>
  <c r="AP15" i="23"/>
  <c r="AP34" i="23"/>
  <c r="AP17" i="23"/>
  <c r="V38" i="23"/>
  <c r="AP18" i="23"/>
  <c r="AP25" i="23"/>
  <c r="AP32" i="23"/>
  <c r="V39" i="23"/>
  <c r="AP26" i="23"/>
  <c r="AP33" i="23"/>
  <c r="AP23" i="23"/>
  <c r="AP16" i="23"/>
  <c r="AP20" i="23"/>
  <c r="H5" i="23"/>
  <c r="AN27" i="11"/>
  <c r="AN28" i="11"/>
  <c r="AN12" i="11"/>
  <c r="AN23" i="11"/>
  <c r="AA39" i="11"/>
  <c r="AN34" i="11"/>
  <c r="AN18" i="11"/>
  <c r="AN29" i="11"/>
  <c r="AN35" i="11"/>
  <c r="AN19" i="11"/>
  <c r="AN31" i="11"/>
  <c r="AN15" i="11"/>
  <c r="AN11" i="11"/>
  <c r="AN30" i="11"/>
  <c r="AN32" i="11"/>
  <c r="AN24" i="11"/>
  <c r="AN20" i="11"/>
  <c r="AN16" i="11"/>
  <c r="AN33" i="11"/>
  <c r="AN25" i="11"/>
  <c r="AN21" i="11"/>
  <c r="AN17" i="11"/>
  <c r="AN13" i="11"/>
  <c r="AA38" i="11"/>
  <c r="AN22" i="11"/>
  <c r="AN26" i="11"/>
  <c r="AN14" i="11"/>
  <c r="AP22" i="3"/>
  <c r="AP28" i="3"/>
  <c r="AP12" i="3"/>
  <c r="AP33" i="3"/>
  <c r="AP17" i="3"/>
  <c r="AP23" i="3"/>
  <c r="V38" i="3"/>
  <c r="AP21" i="3"/>
  <c r="AP34" i="3"/>
  <c r="AP18" i="3"/>
  <c r="AP29" i="3"/>
  <c r="AP13" i="3"/>
  <c r="AP15" i="3"/>
  <c r="AP32" i="3"/>
  <c r="AP24" i="3"/>
  <c r="AP35" i="3"/>
  <c r="AP19" i="3"/>
  <c r="AP30" i="3"/>
  <c r="AP14" i="3"/>
  <c r="G5" i="3"/>
  <c r="AP16" i="3"/>
  <c r="AP25" i="3"/>
  <c r="AP20" i="3"/>
  <c r="AP26" i="3"/>
  <c r="V39" i="3"/>
  <c r="AP31" i="3"/>
  <c r="AP11" i="3"/>
  <c r="AP27" i="3"/>
  <c r="AP32" i="6"/>
  <c r="AP16" i="6"/>
  <c r="AP27" i="6"/>
  <c r="AP11" i="6"/>
  <c r="AP22" i="6"/>
  <c r="AP33" i="6"/>
  <c r="AP17" i="6"/>
  <c r="AP28" i="6"/>
  <c r="AP12" i="6"/>
  <c r="AP15" i="6"/>
  <c r="AP26" i="6"/>
  <c r="AP23" i="6"/>
  <c r="V38" i="6"/>
  <c r="AP34" i="6"/>
  <c r="AP18" i="6"/>
  <c r="AP29" i="6"/>
  <c r="AP13" i="6"/>
  <c r="AP24" i="6"/>
  <c r="AP35" i="6"/>
  <c r="AP19" i="6"/>
  <c r="AP30" i="6"/>
  <c r="AP14" i="6"/>
  <c r="G5" i="6"/>
  <c r="AP25" i="6"/>
  <c r="AP31" i="6"/>
  <c r="V39" i="6"/>
  <c r="AP20" i="6"/>
  <c r="AP21" i="6"/>
  <c r="AO32" i="28"/>
  <c r="AO16" i="28"/>
  <c r="AO22" i="28"/>
  <c r="AO33" i="28"/>
  <c r="AO17" i="28"/>
  <c r="AO23" i="28"/>
  <c r="AO34" i="28"/>
  <c r="AO18" i="28"/>
  <c r="AO29" i="28"/>
  <c r="AO24" i="28"/>
  <c r="AO35" i="28"/>
  <c r="AO19" i="28"/>
  <c r="AO30" i="28"/>
  <c r="AO14" i="28"/>
  <c r="AO25" i="28"/>
  <c r="AD38" i="28"/>
  <c r="AO26" i="28"/>
  <c r="AO31" i="28"/>
  <c r="AO28" i="28"/>
  <c r="AO11" i="28"/>
  <c r="AD39" i="28"/>
  <c r="AO15" i="28"/>
  <c r="AO12" i="28"/>
  <c r="AO20" i="28"/>
  <c r="AO13" i="28"/>
  <c r="AO27" i="28"/>
  <c r="AO21" i="28"/>
  <c r="AO33" i="9"/>
  <c r="AO17" i="9"/>
  <c r="AO34" i="9"/>
  <c r="AO28" i="9"/>
  <c r="AO23" i="9"/>
  <c r="AO18" i="9"/>
  <c r="AO13" i="9"/>
  <c r="AO27" i="9"/>
  <c r="AO22" i="9"/>
  <c r="AO24" i="9"/>
  <c r="AO19" i="9"/>
  <c r="AO14" i="9"/>
  <c r="AO32" i="9"/>
  <c r="AO29" i="9"/>
  <c r="AD39" i="9"/>
  <c r="AO25" i="9"/>
  <c r="AO20" i="9"/>
  <c r="AO15" i="9"/>
  <c r="AO30" i="9"/>
  <c r="AO35" i="9"/>
  <c r="AO26" i="9"/>
  <c r="AO21" i="9"/>
  <c r="AO16" i="9"/>
  <c r="AO11" i="9"/>
  <c r="AO31" i="9"/>
  <c r="AO12" i="9"/>
  <c r="AD38" i="9"/>
  <c r="AP29" i="19"/>
  <c r="AP35" i="19"/>
  <c r="AP30" i="19"/>
  <c r="V38" i="19"/>
  <c r="AP16" i="19"/>
  <c r="AP31" i="19"/>
  <c r="AP11" i="19"/>
  <c r="AP27" i="19"/>
  <c r="AP22" i="19"/>
  <c r="AP17" i="19"/>
  <c r="V39" i="19"/>
  <c r="AP12" i="19"/>
  <c r="AP32" i="19"/>
  <c r="AP28" i="19"/>
  <c r="AP23" i="19"/>
  <c r="AP18" i="19"/>
  <c r="AP13" i="19"/>
  <c r="AP33" i="19"/>
  <c r="AP24" i="19"/>
  <c r="AP19" i="19"/>
  <c r="AP14" i="19"/>
  <c r="G5" i="19"/>
  <c r="AP34" i="19"/>
  <c r="AP25" i="19"/>
  <c r="AP20" i="19"/>
  <c r="AP21" i="19"/>
  <c r="AP26" i="19"/>
  <c r="AP15" i="19"/>
  <c r="V38" i="5"/>
  <c r="AP34" i="5"/>
  <c r="AP18" i="5"/>
  <c r="AP29" i="5"/>
  <c r="AP13" i="5"/>
  <c r="AP24" i="5"/>
  <c r="AP12" i="5"/>
  <c r="AP35" i="5"/>
  <c r="AP19" i="5"/>
  <c r="AP30" i="5"/>
  <c r="AP14" i="5"/>
  <c r="G5" i="5"/>
  <c r="AP25" i="5"/>
  <c r="AP28" i="5"/>
  <c r="V39" i="5"/>
  <c r="AP20" i="5"/>
  <c r="AP33" i="5"/>
  <c r="AP31" i="5"/>
  <c r="AP15" i="5"/>
  <c r="AP26" i="5"/>
  <c r="AP21" i="5"/>
  <c r="AP17" i="5"/>
  <c r="AP32" i="5"/>
  <c r="AP16" i="5"/>
  <c r="AP27" i="5"/>
  <c r="AP11" i="5"/>
  <c r="AP22" i="5"/>
  <c r="AP23" i="5"/>
  <c r="AO35" i="7"/>
  <c r="AO19" i="7"/>
  <c r="AO30" i="7"/>
  <c r="AO14" i="7"/>
  <c r="AO25" i="7"/>
  <c r="AO20" i="7"/>
  <c r="AO31" i="7"/>
  <c r="AO15" i="7"/>
  <c r="AO34" i="7"/>
  <c r="AD38" i="7"/>
  <c r="AO26" i="7"/>
  <c r="AO18" i="7"/>
  <c r="AO21" i="7"/>
  <c r="AO32" i="7"/>
  <c r="AO16" i="7"/>
  <c r="AO27" i="7"/>
  <c r="AO11" i="7"/>
  <c r="AO22" i="7"/>
  <c r="AO33" i="7"/>
  <c r="AO17" i="7"/>
  <c r="AD39" i="7"/>
  <c r="AO28" i="7"/>
  <c r="AO12" i="7"/>
  <c r="AO23" i="7"/>
  <c r="AO29" i="7"/>
  <c r="AO13" i="7"/>
  <c r="AO24" i="7"/>
  <c r="AO33" i="18"/>
  <c r="AO17" i="18"/>
  <c r="AO23" i="18"/>
  <c r="AO34" i="18"/>
  <c r="AO18" i="18"/>
  <c r="AO29" i="18"/>
  <c r="AO13" i="18"/>
  <c r="AO24" i="18"/>
  <c r="AO35" i="18"/>
  <c r="AO19" i="18"/>
  <c r="AO30" i="18"/>
  <c r="AO14" i="18"/>
  <c r="AO25" i="18"/>
  <c r="AO20" i="18"/>
  <c r="AO31" i="18"/>
  <c r="AO15" i="18"/>
  <c r="AD38" i="18"/>
  <c r="AO26" i="18"/>
  <c r="AO21" i="18"/>
  <c r="AO32" i="18"/>
  <c r="AO16" i="18"/>
  <c r="AO27" i="18"/>
  <c r="AO11" i="18"/>
  <c r="AD39" i="18"/>
  <c r="AO12" i="18"/>
  <c r="AO22" i="18"/>
  <c r="AO28" i="18"/>
  <c r="AD39" i="30"/>
  <c r="AO28" i="30"/>
  <c r="AO12" i="30"/>
  <c r="AO23" i="30"/>
  <c r="AO34" i="30"/>
  <c r="AO18" i="30"/>
  <c r="AO29" i="30"/>
  <c r="AO13" i="30"/>
  <c r="AO35" i="30"/>
  <c r="AO19" i="30"/>
  <c r="AO30" i="30"/>
  <c r="AO14" i="30"/>
  <c r="AO25" i="30"/>
  <c r="AO20" i="30"/>
  <c r="AO31" i="30"/>
  <c r="AO15" i="30"/>
  <c r="AD38" i="30"/>
  <c r="AO26" i="30"/>
  <c r="AO21" i="30"/>
  <c r="AO27" i="30"/>
  <c r="AO22" i="30"/>
  <c r="AO17" i="30"/>
  <c r="AO11" i="30"/>
  <c r="AO32" i="30"/>
  <c r="AO24" i="30"/>
  <c r="AO33" i="30"/>
  <c r="AO16" i="30"/>
  <c r="AP24" i="2"/>
  <c r="AP14" i="2"/>
  <c r="G5" i="2"/>
  <c r="AP35" i="2"/>
  <c r="AP19" i="2"/>
  <c r="AP23" i="2"/>
  <c r="AP30" i="2"/>
  <c r="AP25" i="2"/>
  <c r="V39" i="2"/>
  <c r="AP17" i="2"/>
  <c r="AP20" i="2"/>
  <c r="AP33" i="2"/>
  <c r="AP31" i="2"/>
  <c r="AP15" i="2"/>
  <c r="AP26" i="2"/>
  <c r="AP34" i="2"/>
  <c r="AP18" i="2"/>
  <c r="AP28" i="2"/>
  <c r="AP21" i="2"/>
  <c r="AP32" i="2"/>
  <c r="AP16" i="2"/>
  <c r="AP12" i="2"/>
  <c r="V38" i="2"/>
  <c r="AP27" i="2"/>
  <c r="AP11" i="2"/>
  <c r="AP22" i="2"/>
  <c r="AP13" i="2"/>
  <c r="AP29" i="2"/>
  <c r="AP32" i="14"/>
  <c r="AP16" i="14"/>
  <c r="AP27" i="14"/>
  <c r="AP11" i="14"/>
  <c r="AP22" i="14"/>
  <c r="AP28" i="14"/>
  <c r="AP12" i="14"/>
  <c r="AP23" i="14"/>
  <c r="V38" i="14"/>
  <c r="AP34" i="14"/>
  <c r="AP18" i="14"/>
  <c r="AP29" i="14"/>
  <c r="AP13" i="14"/>
  <c r="AP35" i="14"/>
  <c r="AP19" i="14"/>
  <c r="AP15" i="14"/>
  <c r="AP14" i="14"/>
  <c r="V39" i="14"/>
  <c r="AP26" i="14"/>
  <c r="AP33" i="14"/>
  <c r="AP30" i="14"/>
  <c r="G5" i="14"/>
  <c r="AP20" i="14"/>
  <c r="AP31" i="14"/>
  <c r="AP24" i="14"/>
  <c r="AP17" i="14"/>
  <c r="AP21" i="14"/>
  <c r="AP25" i="14"/>
  <c r="AN23" i="27"/>
  <c r="AN29" i="27"/>
  <c r="AN13" i="27"/>
  <c r="AN24" i="27"/>
  <c r="AN30" i="27"/>
  <c r="AN14" i="27"/>
  <c r="AN31" i="27"/>
  <c r="AN15" i="27"/>
  <c r="AN26" i="27"/>
  <c r="AN21" i="27"/>
  <c r="AA38" i="27"/>
  <c r="AN32" i="27"/>
  <c r="AN16" i="27"/>
  <c r="AN33" i="27"/>
  <c r="AN17" i="27"/>
  <c r="AN20" i="27"/>
  <c r="AN27" i="27"/>
  <c r="AN34" i="27"/>
  <c r="AN35" i="27"/>
  <c r="AN28" i="27"/>
  <c r="AN11" i="27"/>
  <c r="AN18" i="27"/>
  <c r="AN25" i="27"/>
  <c r="AA39" i="27"/>
  <c r="AN22" i="27"/>
  <c r="AN19" i="27"/>
  <c r="AN12" i="27"/>
  <c r="AN25" i="26"/>
  <c r="AN31" i="26"/>
  <c r="AN15" i="26"/>
  <c r="AN26" i="26"/>
  <c r="AA38" i="26"/>
  <c r="AN32" i="26"/>
  <c r="AN16" i="26"/>
  <c r="AN33" i="26"/>
  <c r="AN17" i="26"/>
  <c r="AN28" i="26"/>
  <c r="AN12" i="26"/>
  <c r="AN23" i="26"/>
  <c r="AA39" i="26"/>
  <c r="AN34" i="26"/>
  <c r="AN18" i="26"/>
  <c r="AN35" i="26"/>
  <c r="AN19" i="26"/>
  <c r="AN11" i="26"/>
  <c r="AN22" i="26"/>
  <c r="AN29" i="26"/>
  <c r="AN30" i="26"/>
  <c r="AN13" i="26"/>
  <c r="AN20" i="26"/>
  <c r="AN27" i="26"/>
  <c r="AN24" i="26"/>
  <c r="AN21" i="26"/>
  <c r="AN14" i="26"/>
  <c r="AN22" i="18"/>
  <c r="AN28" i="18"/>
  <c r="AN12" i="18"/>
  <c r="AN23" i="18"/>
  <c r="AA39" i="18"/>
  <c r="AN34" i="18"/>
  <c r="AN18" i="18"/>
  <c r="AN29" i="18"/>
  <c r="AN13" i="18"/>
  <c r="AN24" i="18"/>
  <c r="AN35" i="18"/>
  <c r="AN19" i="18"/>
  <c r="AN30" i="18"/>
  <c r="AN14" i="18"/>
  <c r="AN25" i="18"/>
  <c r="AN20" i="18"/>
  <c r="AN31" i="18"/>
  <c r="AN15" i="18"/>
  <c r="AN26" i="18"/>
  <c r="AN21" i="18"/>
  <c r="AA38" i="18"/>
  <c r="AN32" i="18"/>
  <c r="AN16" i="18"/>
  <c r="AN27" i="18"/>
  <c r="AN33" i="18"/>
  <c r="AN11" i="18"/>
  <c r="AN17" i="18"/>
  <c r="AO35" i="17"/>
  <c r="AO19" i="17"/>
  <c r="AO25" i="17"/>
  <c r="AO20" i="17"/>
  <c r="AO31" i="17"/>
  <c r="AO15" i="17"/>
  <c r="AD38" i="17"/>
  <c r="AO26" i="17"/>
  <c r="AO21" i="17"/>
  <c r="AO32" i="17"/>
  <c r="AO16" i="17"/>
  <c r="AO27" i="17"/>
  <c r="AO11" i="17"/>
  <c r="AO22" i="17"/>
  <c r="AO33" i="17"/>
  <c r="AO17" i="17"/>
  <c r="AD39" i="17"/>
  <c r="AO28" i="17"/>
  <c r="AO12" i="17"/>
  <c r="AO23" i="17"/>
  <c r="AO34" i="17"/>
  <c r="AO18" i="17"/>
  <c r="AO29" i="17"/>
  <c r="AO13" i="17"/>
  <c r="AO30" i="17"/>
  <c r="AO14" i="17"/>
  <c r="AO24" i="17"/>
  <c r="H5" i="10"/>
  <c r="AO34" i="27"/>
  <c r="AO18" i="27"/>
  <c r="AO24" i="27"/>
  <c r="AO35" i="27"/>
  <c r="AO19" i="27"/>
  <c r="AO25" i="27"/>
  <c r="AD38" i="27"/>
  <c r="AO26" i="27"/>
  <c r="AO21" i="27"/>
  <c r="AO32" i="27"/>
  <c r="AO16" i="27"/>
  <c r="AO27" i="27"/>
  <c r="AO11" i="27"/>
  <c r="AD39" i="27"/>
  <c r="AO28" i="27"/>
  <c r="AO12" i="27"/>
  <c r="AO33" i="27"/>
  <c r="AO23" i="27"/>
  <c r="AO30" i="27"/>
  <c r="AO20" i="27"/>
  <c r="AO13" i="27"/>
  <c r="AO17" i="27"/>
  <c r="AO31" i="27"/>
  <c r="AO14" i="27"/>
  <c r="AO22" i="27"/>
  <c r="AO15" i="27"/>
  <c r="AO29" i="27"/>
  <c r="AP27" i="20"/>
  <c r="AP11" i="20"/>
  <c r="AP33" i="20"/>
  <c r="AP17" i="20"/>
  <c r="AP28" i="20"/>
  <c r="AP12" i="20"/>
  <c r="AP30" i="20"/>
  <c r="AP14" i="20"/>
  <c r="G5" i="20"/>
  <c r="AP25" i="20"/>
  <c r="AP34" i="20"/>
  <c r="AP26" i="20"/>
  <c r="AP18" i="20"/>
  <c r="V38" i="20"/>
  <c r="AP22" i="20"/>
  <c r="AP31" i="20"/>
  <c r="AP35" i="20"/>
  <c r="AP23" i="20"/>
  <c r="AP15" i="20"/>
  <c r="AP19" i="20"/>
  <c r="V39" i="20"/>
  <c r="AP32" i="20"/>
  <c r="AP24" i="20"/>
  <c r="AP20" i="20"/>
  <c r="AP16" i="20"/>
  <c r="AP29" i="20"/>
  <c r="AP21" i="20"/>
  <c r="AP13" i="20"/>
  <c r="H5" i="3"/>
  <c r="AN30" i="4"/>
  <c r="AN14" i="4"/>
  <c r="AN25" i="4"/>
  <c r="AN20" i="4"/>
  <c r="AN31" i="4"/>
  <c r="AN15" i="4"/>
  <c r="AN26" i="4"/>
  <c r="AN13" i="4"/>
  <c r="AN21" i="4"/>
  <c r="AA38" i="4"/>
  <c r="AN32" i="4"/>
  <c r="AN16" i="4"/>
  <c r="AN27" i="4"/>
  <c r="AN11" i="4"/>
  <c r="AN22" i="4"/>
  <c r="AN29" i="4"/>
  <c r="AN24" i="4"/>
  <c r="AN33" i="4"/>
  <c r="AN17" i="4"/>
  <c r="AN28" i="4"/>
  <c r="AN12" i="4"/>
  <c r="AN23" i="4"/>
  <c r="AA39" i="4"/>
  <c r="AN34" i="4"/>
  <c r="AN18" i="4"/>
  <c r="AN35" i="4"/>
  <c r="AN19" i="4"/>
  <c r="AN35" i="29"/>
  <c r="AN19" i="29"/>
  <c r="AN30" i="29"/>
  <c r="AN14" i="29"/>
  <c r="AN25" i="29"/>
  <c r="AN20" i="29"/>
  <c r="AN26" i="29"/>
  <c r="AN21" i="29"/>
  <c r="AA38" i="29"/>
  <c r="AN32" i="29"/>
  <c r="AN16" i="29"/>
  <c r="AN27" i="29"/>
  <c r="AN11" i="29"/>
  <c r="AN22" i="29"/>
  <c r="AN33" i="29"/>
  <c r="AN17" i="29"/>
  <c r="AN28" i="29"/>
  <c r="AN12" i="29"/>
  <c r="AN29" i="29"/>
  <c r="AN13" i="29"/>
  <c r="AN24" i="29"/>
  <c r="AN15" i="29"/>
  <c r="AN18" i="29"/>
  <c r="AN31" i="29"/>
  <c r="AN34" i="29"/>
  <c r="AN23" i="29"/>
  <c r="AA39" i="29"/>
  <c r="H5" i="19"/>
  <c r="H5" i="5"/>
  <c r="AP31" i="12"/>
  <c r="AP15" i="12"/>
  <c r="AP26" i="12"/>
  <c r="AP32" i="12"/>
  <c r="AP16" i="12"/>
  <c r="AP27" i="12"/>
  <c r="AP11" i="12"/>
  <c r="AP22" i="12"/>
  <c r="AP33" i="12"/>
  <c r="AP17" i="12"/>
  <c r="AP23" i="12"/>
  <c r="V39" i="12"/>
  <c r="AP28" i="12"/>
  <c r="G5" i="12"/>
  <c r="AP25" i="12"/>
  <c r="AP21" i="12"/>
  <c r="AP14" i="12"/>
  <c r="AP29" i="12"/>
  <c r="AP18" i="12"/>
  <c r="AP30" i="12"/>
  <c r="AP24" i="12"/>
  <c r="AP19" i="12"/>
  <c r="V38" i="12"/>
  <c r="AP34" i="12"/>
  <c r="AP12" i="12"/>
  <c r="AP35" i="12"/>
  <c r="AP20" i="12"/>
  <c r="AP13" i="12"/>
  <c r="H5" i="2"/>
  <c r="AO21" i="16"/>
  <c r="AO27" i="16"/>
  <c r="AO11" i="16"/>
  <c r="AO22" i="16"/>
  <c r="AO33" i="16"/>
  <c r="AO17" i="16"/>
  <c r="AD39" i="16"/>
  <c r="AO28" i="16"/>
  <c r="AO12" i="16"/>
  <c r="AO23" i="16"/>
  <c r="AO34" i="16"/>
  <c r="AO18" i="16"/>
  <c r="AO29" i="16"/>
  <c r="AO13" i="16"/>
  <c r="AO24" i="16"/>
  <c r="AO35" i="16"/>
  <c r="AO19" i="16"/>
  <c r="AO30" i="16"/>
  <c r="AO14" i="16"/>
  <c r="AO25" i="16"/>
  <c r="AO20" i="16"/>
  <c r="AO31" i="16"/>
  <c r="AO15" i="16"/>
  <c r="AD38" i="16"/>
  <c r="AO26" i="16"/>
  <c r="AO32" i="16"/>
  <c r="AO16" i="16"/>
  <c r="AD39" i="22"/>
  <c r="AO28" i="22"/>
  <c r="AO12" i="22"/>
  <c r="AO34" i="22"/>
  <c r="AO18" i="22"/>
  <c r="AO29" i="22"/>
  <c r="AO13" i="22"/>
  <c r="AO35" i="22"/>
  <c r="AO19" i="22"/>
  <c r="AO31" i="22"/>
  <c r="AO15" i="22"/>
  <c r="AD38" i="22"/>
  <c r="AO26" i="22"/>
  <c r="AO21" i="22"/>
  <c r="AO22" i="22"/>
  <c r="AO32" i="22"/>
  <c r="AO25" i="22"/>
  <c r="AO11" i="22"/>
  <c r="AO33" i="22"/>
  <c r="AO30" i="22"/>
  <c r="AO23" i="22"/>
  <c r="AO16" i="22"/>
  <c r="AO27" i="22"/>
  <c r="AO20" i="22"/>
  <c r="AO24" i="22"/>
  <c r="AO17" i="22"/>
  <c r="AO14" i="22"/>
  <c r="H5" i="12"/>
  <c r="AN33" i="30"/>
  <c r="AN17" i="30"/>
  <c r="AN28" i="30"/>
  <c r="AN12" i="30"/>
  <c r="AN23" i="30"/>
  <c r="AA39" i="30"/>
  <c r="AN34" i="30"/>
  <c r="AN18" i="30"/>
  <c r="AN24" i="30"/>
  <c r="AN35" i="30"/>
  <c r="AN19" i="30"/>
  <c r="AN30" i="30"/>
  <c r="AN14" i="30"/>
  <c r="AN25" i="30"/>
  <c r="AN20" i="30"/>
  <c r="AN31" i="30"/>
  <c r="AN15" i="30"/>
  <c r="AN26" i="30"/>
  <c r="AA38" i="30"/>
  <c r="AN32" i="30"/>
  <c r="AN16" i="30"/>
  <c r="AN27" i="30"/>
  <c r="AN11" i="30"/>
  <c r="AN29" i="30"/>
  <c r="AN21" i="30"/>
  <c r="AN13" i="30"/>
  <c r="AN22" i="30"/>
  <c r="AN28" i="15"/>
  <c r="AA39" i="15"/>
  <c r="AN34" i="15"/>
  <c r="AN24" i="15"/>
  <c r="AN35" i="15"/>
  <c r="AN19" i="15"/>
  <c r="AN30" i="15"/>
  <c r="AN14" i="15"/>
  <c r="AN20" i="15"/>
  <c r="AN31" i="15"/>
  <c r="AN15" i="15"/>
  <c r="AN26" i="15"/>
  <c r="AN21" i="15"/>
  <c r="AA38" i="15"/>
  <c r="AN32" i="15"/>
  <c r="AN27" i="15"/>
  <c r="AN11" i="15"/>
  <c r="AN22" i="15"/>
  <c r="AN17" i="15"/>
  <c r="AN33" i="15"/>
  <c r="AN25" i="15"/>
  <c r="AN18" i="15"/>
  <c r="AN12" i="15"/>
  <c r="AN29" i="15"/>
  <c r="AN16" i="15"/>
  <c r="AN23" i="15"/>
  <c r="AN13" i="15"/>
  <c r="AN24" i="7"/>
  <c r="AN35" i="7"/>
  <c r="AN19" i="7"/>
  <c r="AN30" i="7"/>
  <c r="AN14" i="7"/>
  <c r="AN25" i="7"/>
  <c r="AN20" i="7"/>
  <c r="AN31" i="7"/>
  <c r="AN15" i="7"/>
  <c r="AN23" i="7"/>
  <c r="AN26" i="7"/>
  <c r="AN21" i="7"/>
  <c r="AA38" i="7"/>
  <c r="AN32" i="7"/>
  <c r="AN16" i="7"/>
  <c r="AN27" i="7"/>
  <c r="AN11" i="7"/>
  <c r="AN22" i="7"/>
  <c r="AN33" i="7"/>
  <c r="AN17" i="7"/>
  <c r="AN28" i="7"/>
  <c r="AN12" i="7"/>
  <c r="AA39" i="7"/>
  <c r="AN34" i="7"/>
  <c r="AN18" i="7"/>
  <c r="AN29" i="7"/>
  <c r="AN13" i="7"/>
  <c r="AP21" i="31"/>
  <c r="AP32" i="31"/>
  <c r="AP16" i="31"/>
  <c r="AP27" i="31"/>
  <c r="AP11" i="31"/>
  <c r="AP22" i="31"/>
  <c r="AP28" i="31"/>
  <c r="AP12" i="31"/>
  <c r="AP23" i="31"/>
  <c r="V38" i="31"/>
  <c r="AP34" i="31"/>
  <c r="AP18" i="31"/>
  <c r="AP29" i="31"/>
  <c r="AP13" i="31"/>
  <c r="AP24" i="31"/>
  <c r="AP35" i="31"/>
  <c r="AP19" i="31"/>
  <c r="AP30" i="31"/>
  <c r="AP14" i="31"/>
  <c r="G5" i="31"/>
  <c r="AP25" i="31"/>
  <c r="V39" i="31"/>
  <c r="AP20" i="31"/>
  <c r="AP31" i="31"/>
  <c r="AP15" i="31"/>
  <c r="AP17" i="31"/>
  <c r="AP26" i="31"/>
  <c r="AP33" i="31"/>
  <c r="AN29" i="32"/>
  <c r="AN13" i="32"/>
  <c r="AN24" i="32"/>
  <c r="AN35" i="32"/>
  <c r="AN19" i="32"/>
  <c r="AN30" i="32"/>
  <c r="AN14" i="32"/>
  <c r="AN20" i="32"/>
  <c r="AN31" i="32"/>
  <c r="AN15" i="32"/>
  <c r="AN26" i="32"/>
  <c r="AN21" i="32"/>
  <c r="AA38" i="32"/>
  <c r="AN32" i="32"/>
  <c r="AN16" i="32"/>
  <c r="AN27" i="32"/>
  <c r="AN11" i="32"/>
  <c r="AN22" i="32"/>
  <c r="AN33" i="32"/>
  <c r="AN17" i="32"/>
  <c r="AN28" i="32"/>
  <c r="AN12" i="32"/>
  <c r="AN23" i="32"/>
  <c r="AN34" i="32"/>
  <c r="AN18" i="32"/>
  <c r="AN25" i="32"/>
  <c r="AA39" i="32"/>
  <c r="AO22" i="11"/>
  <c r="AO23" i="11"/>
  <c r="AO34" i="11"/>
  <c r="AO18" i="11"/>
  <c r="AO29" i="11"/>
  <c r="AO13" i="11"/>
  <c r="AO30" i="11"/>
  <c r="AO14" i="11"/>
  <c r="AO31" i="11"/>
  <c r="AO35" i="11"/>
  <c r="AO19" i="11"/>
  <c r="AO15" i="11"/>
  <c r="AO11" i="11"/>
  <c r="AD39" i="11"/>
  <c r="AO32" i="11"/>
  <c r="AO28" i="11"/>
  <c r="AO24" i="11"/>
  <c r="AO20" i="11"/>
  <c r="AO16" i="11"/>
  <c r="AO12" i="11"/>
  <c r="AO33" i="11"/>
  <c r="AO25" i="11"/>
  <c r="AO21" i="11"/>
  <c r="AO17" i="11"/>
  <c r="AD38" i="11"/>
  <c r="AO27" i="11"/>
  <c r="AO26" i="11"/>
  <c r="H5" i="6"/>
  <c r="AN29" i="19" l="1"/>
  <c r="AN25" i="19"/>
  <c r="AN20" i="19"/>
  <c r="AN35" i="19"/>
  <c r="AN26" i="19"/>
  <c r="AN21" i="19"/>
  <c r="AA39" i="19"/>
  <c r="AN16" i="19"/>
  <c r="AN31" i="19"/>
  <c r="AN11" i="19"/>
  <c r="AN27" i="19"/>
  <c r="AN22" i="19"/>
  <c r="AN17" i="19"/>
  <c r="AN32" i="19"/>
  <c r="AN12" i="19"/>
  <c r="AN28" i="19"/>
  <c r="AN23" i="19"/>
  <c r="AN18" i="19"/>
  <c r="AN13" i="19"/>
  <c r="AA38" i="19"/>
  <c r="AN33" i="19"/>
  <c r="AN24" i="19"/>
  <c r="AN19" i="19"/>
  <c r="AN14" i="19"/>
  <c r="AN15" i="19"/>
  <c r="AN30" i="19"/>
  <c r="AN34" i="19"/>
  <c r="AO25" i="10"/>
  <c r="AO20" i="10"/>
  <c r="AO31" i="10"/>
  <c r="AO15" i="10"/>
  <c r="AO32" i="10"/>
  <c r="AO16" i="10"/>
  <c r="AO26" i="10"/>
  <c r="AO17" i="10"/>
  <c r="AD39" i="10"/>
  <c r="AO35" i="10"/>
  <c r="AO13" i="10"/>
  <c r="AO22" i="10"/>
  <c r="AO18" i="10"/>
  <c r="AO27" i="10"/>
  <c r="AO14" i="10"/>
  <c r="AO30" i="10"/>
  <c r="AO23" i="10"/>
  <c r="AD38" i="10"/>
  <c r="AO19" i="10"/>
  <c r="AO28" i="10"/>
  <c r="AO24" i="10"/>
  <c r="AO11" i="10"/>
  <c r="AO33" i="10"/>
  <c r="AO29" i="10"/>
  <c r="AO21" i="10"/>
  <c r="AO34" i="10"/>
  <c r="AO12" i="10"/>
  <c r="AO21" i="14"/>
  <c r="AO32" i="14"/>
  <c r="AO16" i="14"/>
  <c r="AO27" i="14"/>
  <c r="AO11" i="14"/>
  <c r="AO33" i="14"/>
  <c r="AO17" i="14"/>
  <c r="AD39" i="14"/>
  <c r="AO28" i="14"/>
  <c r="AO12" i="14"/>
  <c r="AO23" i="14"/>
  <c r="AO34" i="14"/>
  <c r="AO18" i="14"/>
  <c r="AO24" i="14"/>
  <c r="AO22" i="14"/>
  <c r="AO15" i="14"/>
  <c r="AO29" i="14"/>
  <c r="AO26" i="14"/>
  <c r="AD38" i="14"/>
  <c r="AO19" i="14"/>
  <c r="AO30" i="14"/>
  <c r="AO20" i="14"/>
  <c r="AO31" i="14"/>
  <c r="AO13" i="14"/>
  <c r="AO35" i="14"/>
  <c r="AO25" i="14"/>
  <c r="AO14" i="14"/>
  <c r="AA39" i="2"/>
  <c r="AN34" i="2"/>
  <c r="AN18" i="2"/>
  <c r="AN24" i="2"/>
  <c r="AN17" i="2"/>
  <c r="AN29" i="2"/>
  <c r="AN13" i="2"/>
  <c r="AN35" i="2"/>
  <c r="AN19" i="2"/>
  <c r="AN30" i="2"/>
  <c r="AN14" i="2"/>
  <c r="AN27" i="2"/>
  <c r="AN11" i="2"/>
  <c r="AN33" i="2"/>
  <c r="AN25" i="2"/>
  <c r="AA38" i="2"/>
  <c r="AN12" i="2"/>
  <c r="AN20" i="2"/>
  <c r="AN31" i="2"/>
  <c r="AN15" i="2"/>
  <c r="AN26" i="2"/>
  <c r="AN16" i="2"/>
  <c r="AN28" i="2"/>
  <c r="AN21" i="2"/>
  <c r="AN32" i="2"/>
  <c r="AN22" i="2"/>
  <c r="AN23" i="2"/>
  <c r="AN30" i="10"/>
  <c r="AN25" i="10"/>
  <c r="AN20" i="10"/>
  <c r="AN21" i="10"/>
  <c r="AA39" i="10"/>
  <c r="AN16" i="10"/>
  <c r="AN26" i="10"/>
  <c r="AN17" i="10"/>
  <c r="AN35" i="10"/>
  <c r="AN13" i="10"/>
  <c r="AN31" i="10"/>
  <c r="AN22" i="10"/>
  <c r="AN18" i="10"/>
  <c r="AN27" i="10"/>
  <c r="AN14" i="10"/>
  <c r="AN23" i="10"/>
  <c r="AN19" i="10"/>
  <c r="AN32" i="10"/>
  <c r="AN15" i="10"/>
  <c r="AA38" i="10"/>
  <c r="AN28" i="10"/>
  <c r="AN24" i="10"/>
  <c r="AN11" i="10"/>
  <c r="AN33" i="10"/>
  <c r="AN29" i="10"/>
  <c r="AN34" i="10"/>
  <c r="AN12" i="10"/>
  <c r="AO23" i="5"/>
  <c r="AO34" i="5"/>
  <c r="AO18" i="5"/>
  <c r="AO13" i="5"/>
  <c r="AO29" i="5"/>
  <c r="AO24" i="5"/>
  <c r="AO35" i="5"/>
  <c r="AO19" i="5"/>
  <c r="AO30" i="5"/>
  <c r="AO14" i="5"/>
  <c r="AO25" i="5"/>
  <c r="AO33" i="5"/>
  <c r="AO20" i="5"/>
  <c r="AO31" i="5"/>
  <c r="AO15" i="5"/>
  <c r="AO17" i="5"/>
  <c r="AD38" i="5"/>
  <c r="AO26" i="5"/>
  <c r="AO22" i="5"/>
  <c r="AO21" i="5"/>
  <c r="AO32" i="5"/>
  <c r="AO16" i="5"/>
  <c r="AO27" i="5"/>
  <c r="AO11" i="5"/>
  <c r="AO28" i="5"/>
  <c r="AO12" i="5"/>
  <c r="AD39" i="5"/>
  <c r="AD38" i="23"/>
  <c r="AO26" i="23"/>
  <c r="AO32" i="23"/>
  <c r="AO16" i="23"/>
  <c r="AO27" i="23"/>
  <c r="AO11" i="23"/>
  <c r="AO33" i="23"/>
  <c r="AO17" i="23"/>
  <c r="AO34" i="23"/>
  <c r="AO18" i="23"/>
  <c r="AO29" i="23"/>
  <c r="AO13" i="23"/>
  <c r="AO24" i="23"/>
  <c r="AO35" i="23"/>
  <c r="AO19" i="23"/>
  <c r="AO20" i="23"/>
  <c r="AO31" i="23"/>
  <c r="AO14" i="23"/>
  <c r="AO28" i="23"/>
  <c r="AO21" i="23"/>
  <c r="AD39" i="23"/>
  <c r="AO25" i="23"/>
  <c r="AO15" i="23"/>
  <c r="AO22" i="23"/>
  <c r="AO12" i="23"/>
  <c r="AO30" i="23"/>
  <c r="AO23" i="23"/>
  <c r="AD38" i="31"/>
  <c r="AO26" i="31"/>
  <c r="AO21" i="31"/>
  <c r="AO32" i="31"/>
  <c r="AO16" i="31"/>
  <c r="AO27" i="31"/>
  <c r="AO11" i="31"/>
  <c r="AO33" i="31"/>
  <c r="AO17" i="31"/>
  <c r="AD39" i="31"/>
  <c r="AO28" i="31"/>
  <c r="AO12" i="31"/>
  <c r="AO23" i="31"/>
  <c r="AO34" i="31"/>
  <c r="AO18" i="31"/>
  <c r="AO29" i="31"/>
  <c r="AO13" i="31"/>
  <c r="AO24" i="31"/>
  <c r="AO35" i="31"/>
  <c r="AO19" i="31"/>
  <c r="AO30" i="31"/>
  <c r="AO14" i="31"/>
  <c r="AO25" i="31"/>
  <c r="AO20" i="31"/>
  <c r="AO31" i="31"/>
  <c r="AO15" i="31"/>
  <c r="AO22" i="31"/>
  <c r="AN31" i="23"/>
  <c r="AN15" i="23"/>
  <c r="AN21" i="23"/>
  <c r="AA38" i="23"/>
  <c r="AN32" i="23"/>
  <c r="AN16" i="23"/>
  <c r="AN22" i="23"/>
  <c r="AN23" i="23"/>
  <c r="AA39" i="23"/>
  <c r="AN34" i="23"/>
  <c r="AN18" i="23"/>
  <c r="AN29" i="23"/>
  <c r="AN13" i="23"/>
  <c r="AN24" i="23"/>
  <c r="AN25" i="23"/>
  <c r="AN14" i="23"/>
  <c r="AN28" i="23"/>
  <c r="AN11" i="23"/>
  <c r="AN35" i="23"/>
  <c r="AN12" i="23"/>
  <c r="AN19" i="23"/>
  <c r="AN26" i="23"/>
  <c r="AN33" i="23"/>
  <c r="AN30" i="23"/>
  <c r="AN17" i="23"/>
  <c r="AN20" i="23"/>
  <c r="AN27" i="23"/>
  <c r="AO27" i="3"/>
  <c r="AO11" i="3"/>
  <c r="AO33" i="3"/>
  <c r="AO17" i="3"/>
  <c r="AO22" i="3"/>
  <c r="AO15" i="3"/>
  <c r="AO26" i="3"/>
  <c r="AD39" i="3"/>
  <c r="AO28" i="3"/>
  <c r="AO12" i="3"/>
  <c r="AO23" i="3"/>
  <c r="AD38" i="3"/>
  <c r="AO34" i="3"/>
  <c r="AO18" i="3"/>
  <c r="AO13" i="3"/>
  <c r="AO29" i="3"/>
  <c r="AO24" i="3"/>
  <c r="AO35" i="3"/>
  <c r="AO19" i="3"/>
  <c r="AO20" i="3"/>
  <c r="AO21" i="3"/>
  <c r="AO30" i="3"/>
  <c r="AO14" i="3"/>
  <c r="AO25" i="3"/>
  <c r="AO31" i="3"/>
  <c r="AO32" i="3"/>
  <c r="AO16" i="3"/>
  <c r="AN28" i="5"/>
  <c r="AN12" i="5"/>
  <c r="AN23" i="5"/>
  <c r="AA39" i="5"/>
  <c r="AN34" i="5"/>
  <c r="AN18" i="5"/>
  <c r="AN27" i="5"/>
  <c r="AN29" i="5"/>
  <c r="AN13" i="5"/>
  <c r="AN11" i="5"/>
  <c r="AN24" i="5"/>
  <c r="AN35" i="5"/>
  <c r="AN19" i="5"/>
  <c r="AN14" i="5"/>
  <c r="AN30" i="5"/>
  <c r="AN25" i="5"/>
  <c r="AN20" i="5"/>
  <c r="AN31" i="5"/>
  <c r="AN15" i="5"/>
  <c r="AN26" i="5"/>
  <c r="AN21" i="5"/>
  <c r="AN22" i="5"/>
  <c r="AA38" i="5"/>
  <c r="AN32" i="5"/>
  <c r="AN16" i="5"/>
  <c r="AN17" i="5"/>
  <c r="AN33" i="5"/>
  <c r="AO29" i="2"/>
  <c r="AO13" i="2"/>
  <c r="AO11" i="2"/>
  <c r="AO24" i="2"/>
  <c r="AO33" i="2"/>
  <c r="AO28" i="2"/>
  <c r="AO35" i="2"/>
  <c r="AO19" i="2"/>
  <c r="AD39" i="2"/>
  <c r="AO30" i="2"/>
  <c r="AO14" i="2"/>
  <c r="AO25" i="2"/>
  <c r="AO20" i="2"/>
  <c r="AO31" i="2"/>
  <c r="AO15" i="2"/>
  <c r="AD38" i="2"/>
  <c r="AO26" i="2"/>
  <c r="AO27" i="2"/>
  <c r="AO21" i="2"/>
  <c r="AO32" i="2"/>
  <c r="AO16" i="2"/>
  <c r="AO22" i="2"/>
  <c r="AO17" i="2"/>
  <c r="AO23" i="2"/>
  <c r="AO12" i="2"/>
  <c r="AO18" i="2"/>
  <c r="AO34" i="2"/>
  <c r="AO34" i="19"/>
  <c r="AO24" i="19"/>
  <c r="AO35" i="19"/>
  <c r="AO32" i="19"/>
  <c r="AO30" i="19"/>
  <c r="AO15" i="19"/>
  <c r="AD39" i="19"/>
  <c r="AO26" i="19"/>
  <c r="AO21" i="19"/>
  <c r="AO16" i="19"/>
  <c r="AO31" i="19"/>
  <c r="AO11" i="19"/>
  <c r="AO27" i="19"/>
  <c r="AO22" i="19"/>
  <c r="AO17" i="19"/>
  <c r="AO12" i="19"/>
  <c r="AO28" i="19"/>
  <c r="AO23" i="19"/>
  <c r="AD38" i="19"/>
  <c r="AO18" i="19"/>
  <c r="AO13" i="19"/>
  <c r="AO33" i="19"/>
  <c r="AO29" i="19"/>
  <c r="AO19" i="19"/>
  <c r="AO14" i="19"/>
  <c r="AO25" i="19"/>
  <c r="AO20" i="19"/>
  <c r="AO21" i="6"/>
  <c r="AO32" i="6"/>
  <c r="AO16" i="6"/>
  <c r="AO27" i="6"/>
  <c r="AO11" i="6"/>
  <c r="AO31" i="6"/>
  <c r="AO22" i="6"/>
  <c r="AO33" i="6"/>
  <c r="AO17" i="6"/>
  <c r="AD39" i="6"/>
  <c r="AO28" i="6"/>
  <c r="AO12" i="6"/>
  <c r="AO20" i="6"/>
  <c r="AO23" i="6"/>
  <c r="AO34" i="6"/>
  <c r="AO18" i="6"/>
  <c r="AO29" i="6"/>
  <c r="AO13" i="6"/>
  <c r="AO24" i="6"/>
  <c r="AO35" i="6"/>
  <c r="AO19" i="6"/>
  <c r="AO30" i="6"/>
  <c r="AO14" i="6"/>
  <c r="AO25" i="6"/>
  <c r="AO15" i="6"/>
  <c r="AO26" i="6"/>
  <c r="AD38" i="6"/>
  <c r="AN26" i="6"/>
  <c r="AN21" i="6"/>
  <c r="AA38" i="6"/>
  <c r="AN32" i="6"/>
  <c r="AN16" i="6"/>
  <c r="AN27" i="6"/>
  <c r="AN11" i="6"/>
  <c r="AN22" i="6"/>
  <c r="AN33" i="6"/>
  <c r="AN17" i="6"/>
  <c r="AN28" i="6"/>
  <c r="AN12" i="6"/>
  <c r="AN23" i="6"/>
  <c r="AA39" i="6"/>
  <c r="AN34" i="6"/>
  <c r="AN18" i="6"/>
  <c r="AN25" i="6"/>
  <c r="AN29" i="6"/>
  <c r="AN13" i="6"/>
  <c r="AN24" i="6"/>
  <c r="AN35" i="6"/>
  <c r="AN19" i="6"/>
  <c r="AN30" i="6"/>
  <c r="AN14" i="6"/>
  <c r="AN20" i="6"/>
  <c r="AN15" i="6"/>
  <c r="AN31" i="6"/>
  <c r="AO20" i="12"/>
  <c r="AO31" i="12"/>
  <c r="AO15" i="12"/>
  <c r="AO21" i="12"/>
  <c r="AO32" i="12"/>
  <c r="AO16" i="12"/>
  <c r="AO27" i="12"/>
  <c r="AO11" i="12"/>
  <c r="AO22" i="12"/>
  <c r="AD39" i="12"/>
  <c r="AO28" i="12"/>
  <c r="AO12" i="12"/>
  <c r="AO35" i="12"/>
  <c r="AO17" i="12"/>
  <c r="AO25" i="12"/>
  <c r="AO14" i="12"/>
  <c r="AD38" i="12"/>
  <c r="AO29" i="12"/>
  <c r="AO18" i="12"/>
  <c r="AO13" i="12"/>
  <c r="AO33" i="12"/>
  <c r="AO26" i="12"/>
  <c r="AO30" i="12"/>
  <c r="AO19" i="12"/>
  <c r="AO34" i="12"/>
  <c r="AO23" i="12"/>
  <c r="AO24" i="12"/>
  <c r="AA38" i="3"/>
  <c r="AN32" i="3"/>
  <c r="AN16" i="3"/>
  <c r="AN22" i="3"/>
  <c r="AN20" i="3"/>
  <c r="AN27" i="3"/>
  <c r="AN11" i="3"/>
  <c r="AN15" i="3"/>
  <c r="AN33" i="3"/>
  <c r="AN17" i="3"/>
  <c r="AN28" i="3"/>
  <c r="AN12" i="3"/>
  <c r="AN23" i="3"/>
  <c r="AN18" i="3"/>
  <c r="AA39" i="3"/>
  <c r="AN34" i="3"/>
  <c r="AN31" i="3"/>
  <c r="AN29" i="3"/>
  <c r="AN13" i="3"/>
  <c r="AN24" i="3"/>
  <c r="AN30" i="3"/>
  <c r="AN26" i="3"/>
  <c r="AN35" i="3"/>
  <c r="AN19" i="3"/>
  <c r="AN14" i="3"/>
  <c r="AN25" i="3"/>
  <c r="AN21" i="3"/>
  <c r="AN25" i="12"/>
  <c r="AN20" i="12"/>
  <c r="AN26" i="12"/>
  <c r="AN21" i="12"/>
  <c r="AA38" i="12"/>
  <c r="AN32" i="12"/>
  <c r="AN16" i="12"/>
  <c r="AN27" i="12"/>
  <c r="AN11" i="12"/>
  <c r="AN33" i="12"/>
  <c r="AN17" i="12"/>
  <c r="AN13" i="12"/>
  <c r="AN28" i="12"/>
  <c r="AN14" i="12"/>
  <c r="AN29" i="12"/>
  <c r="AN22" i="12"/>
  <c r="AN18" i="12"/>
  <c r="AN15" i="12"/>
  <c r="AN30" i="12"/>
  <c r="AN19" i="12"/>
  <c r="AN24" i="12"/>
  <c r="AN34" i="12"/>
  <c r="AN31" i="12"/>
  <c r="AN23" i="12"/>
  <c r="AA39" i="12"/>
  <c r="AN12" i="12"/>
  <c r="AN35" i="12"/>
  <c r="AO32" i="20"/>
  <c r="AO16" i="20"/>
  <c r="AO22" i="20"/>
  <c r="AO33" i="20"/>
  <c r="AO17" i="20"/>
  <c r="AO35" i="20"/>
  <c r="AO19" i="20"/>
  <c r="AO30" i="20"/>
  <c r="AO14" i="20"/>
  <c r="AO21" i="20"/>
  <c r="AO13" i="20"/>
  <c r="AO34" i="20"/>
  <c r="AO26" i="20"/>
  <c r="AO18" i="20"/>
  <c r="AD39" i="20"/>
  <c r="AO31" i="20"/>
  <c r="AO27" i="20"/>
  <c r="AO23" i="20"/>
  <c r="AO15" i="20"/>
  <c r="AO11" i="20"/>
  <c r="AO28" i="20"/>
  <c r="AO24" i="20"/>
  <c r="AO20" i="20"/>
  <c r="AO12" i="20"/>
  <c r="AD38" i="20"/>
  <c r="AO29" i="20"/>
  <c r="AO25" i="20"/>
</calcChain>
</file>

<file path=xl/sharedStrings.xml><?xml version="1.0" encoding="utf-8"?>
<sst xmlns="http://schemas.openxmlformats.org/spreadsheetml/2006/main" count="6312" uniqueCount="944">
  <si>
    <t>2026 PROJECTIONS - DIRECT ENTRY (v2)</t>
  </si>
  <si>
    <t>What changed from v1</t>
  </si>
  <si>
    <t>v1: you entered percentages, everything else was derived, and nothing</t>
  </si>
  <si>
    <t>could exceed the team total. Yards per carry was an output.</t>
  </si>
  <si>
    <t>v2: you type the real numbers. Rates and shares are computed as</t>
  </si>
  <si>
    <t>checks. Nothing is auto-balanced - the footer tells you when you've</t>
  </si>
  <si>
    <t>gone over instead of silently absorbing it.</t>
  </si>
  <si>
    <t>Colours</t>
  </si>
  <si>
    <t xml:space="preserve">   BLUE  you type here</t>
  </si>
  <si>
    <t xml:space="preserve">   CREAM what he actually did - 2023/24/25 volume, yards, team, games</t>
  </si>
  <si>
    <t xml:space="preserve">   GREY  computed: rates, shares, per-game, change vs last year</t>
  </si>
  <si>
    <t>The footer is the control</t>
  </si>
  <si>
    <t xml:space="preserve">   YOUR TOTAL   what your rows add up to</t>
  </si>
  <si>
    <t xml:space="preserve">   TEAM TARGET  the team total from the block up top</t>
  </si>
  <si>
    <t xml:space="preserve">   LEFT         what's still unallocated</t>
  </si>
  <si>
    <t xml:space="preserve">   RED   = over the team total</t>
  </si>
  <si>
    <t xml:space="preserve">   AMBER = more than 3% under</t>
  </si>
  <si>
    <t xml:space="preserve">   GREEN = within 3%</t>
  </si>
  <si>
    <t>Team totals are editable. If you think the team is better than the</t>
  </si>
  <si>
    <t>model says, raise the total rather than squeezing the players.</t>
  </si>
  <si>
    <t>Seeds</t>
  </si>
  <si>
    <t>This build's un-typed rows came from: each player's actual last-season line.</t>
  </si>
  <si>
    <t>The Seed column (grey, next to Half PPR) shows the source per row -</t>
  </si>
  <si>
    <t>'consensus', ''25', or 'kept' if it's your own number, restored.</t>
  </si>
  <si>
    <t>The cream columns show the matching historical number beside it, so</t>
  </si>
  <si>
    <t>you can see exactly what you're changing and by how much.</t>
  </si>
  <si>
    <t>Rebuilding without losing your work</t>
  </si>
  <si>
    <t>python build_workbook_v2.py --merge  keeps every typed cell, only</t>
  </si>
  <si>
    <t>refreshes rows nobody has touched. This is the normal command for</t>
  </si>
  <si>
    <t>every rebuild after the first - a plain rebuild REFUSES once Excel</t>
  </si>
  <si>
    <t>has saved this file, specifically so you don't do this by accident.</t>
  </si>
  <si>
    <t>Consensus seeding was a ONE-TIME bootstrap, not something that</t>
  </si>
  <si>
    <t>happens again automatically. --merge never re-pulls it. If you want</t>
  </si>
  <si>
    <t>another fresh consensus pull later, ask for it on purpose:</t>
  </si>
  <si>
    <t>python build_workbook_v2.py --seed consensus --merge</t>
  </si>
  <si>
    <t>Sanity checks worth watching</t>
  </si>
  <si>
    <t xml:space="preserve">   Y/C, Y/R, Catch%, Y/A   are your rates believable?</t>
  </si>
  <si>
    <t xml:space="preserve">   Car/G, Tgt/G            per-game is easier to judge than a total</t>
  </si>
  <si>
    <t xml:space="preserve">   dCar, dTgt              change vs last season - big jumps stand out</t>
  </si>
  <si>
    <t>ARI  -  2026 projections  (direct entry)</t>
  </si>
  <si>
    <t>TEAM TOTALS</t>
  </si>
  <si>
    <t>all editable - these are your targets, not hard caps</t>
  </si>
  <si>
    <t>Games</t>
  </si>
  <si>
    <t>Plays/G</t>
  </si>
  <si>
    <t>Plays</t>
  </si>
  <si>
    <t>Pass Rate</t>
  </si>
  <si>
    <t>Pass Att</t>
  </si>
  <si>
    <t>Targets</t>
  </si>
  <si>
    <t>Rush Att</t>
  </si>
  <si>
    <t>Pass Yds</t>
  </si>
  <si>
    <t>Pass TD</t>
  </si>
  <si>
    <t>Int</t>
  </si>
  <si>
    <t>Rush Yds</t>
  </si>
  <si>
    <t>Rush TD</t>
  </si>
  <si>
    <t>VACATED</t>
  </si>
  <si>
    <t>24% of targets and 70% of carries left this roster - that volume is yours to reassign.</t>
  </si>
  <si>
    <t>STAFF</t>
  </si>
  <si>
    <t>NEW HC Mike LaFleur + OC Nathaniel Hackett. Pass rate projected to DROP 69.4% -&gt; 58%. Biggest scheme change in the league - revisit Pass Rate above.</t>
  </si>
  <si>
    <t>Pos</t>
  </si>
  <si>
    <t>Player</t>
  </si>
  <si>
    <t>Dep</t>
  </si>
  <si>
    <t>Age</t>
  </si>
  <si>
    <t>Status</t>
  </si>
  <si>
    <t>'23 Car</t>
  </si>
  <si>
    <t>'24 Car</t>
  </si>
  <si>
    <t>'25 Car</t>
  </si>
  <si>
    <t>'25 RuYd</t>
  </si>
  <si>
    <t>'23 Tgt</t>
  </si>
  <si>
    <t>'24 Tgt</t>
  </si>
  <si>
    <t>'25 Tgt</t>
  </si>
  <si>
    <t>'25 ReYd</t>
  </si>
  <si>
    <t>'25 Tm</t>
  </si>
  <si>
    <t>'25 G</t>
  </si>
  <si>
    <t>3y Y/C</t>
  </si>
  <si>
    <t>3y Y/R</t>
  </si>
  <si>
    <t>3y Ctch</t>
  </si>
  <si>
    <t>3y Comp%</t>
  </si>
  <si>
    <t>3y Y/A</t>
  </si>
  <si>
    <t>Cmp</t>
  </si>
  <si>
    <t>Rec</t>
  </si>
  <si>
    <t>Rec Yds</t>
  </si>
  <si>
    <t>Rec TD</t>
  </si>
  <si>
    <t>Seed</t>
  </si>
  <si>
    <t>Y/C</t>
  </si>
  <si>
    <t>Y/R</t>
  </si>
  <si>
    <t>Catch%</t>
  </si>
  <si>
    <t>Y/A</t>
  </si>
  <si>
    <t>Comp%</t>
  </si>
  <si>
    <t>Rush %</t>
  </si>
  <si>
    <t>Tgt %</t>
  </si>
  <si>
    <t>Pass %</t>
  </si>
  <si>
    <t>Car/G</t>
  </si>
  <si>
    <t>Tgt/G</t>
  </si>
  <si>
    <t>dTgt</t>
  </si>
  <si>
    <t>dCar</t>
  </si>
  <si>
    <t>Half PPR</t>
  </si>
  <si>
    <t>QB</t>
  </si>
  <si>
    <t>Jacoby Brissett</t>
  </si>
  <si>
    <t>33</t>
  </si>
  <si>
    <t>ACT</t>
  </si>
  <si>
    <t>ARI</t>
  </si>
  <si>
    <t>kept</t>
  </si>
  <si>
    <t>Carson Beck</t>
  </si>
  <si>
    <t>23</t>
  </si>
  <si>
    <t>Kedon Slovis</t>
  </si>
  <si>
    <t>25</t>
  </si>
  <si>
    <t>Other QBs</t>
  </si>
  <si>
    <t>RB</t>
  </si>
  <si>
    <t>Jeremiyah Love</t>
  </si>
  <si>
    <t>21</t>
  </si>
  <si>
    <t>Tyler Allgeier</t>
  </si>
  <si>
    <t>26</t>
  </si>
  <si>
    <t>ATL</t>
  </si>
  <si>
    <t>James Conner</t>
  </si>
  <si>
    <t>31</t>
  </si>
  <si>
    <t>QUESTIONABLE</t>
  </si>
  <si>
    <t>Zonovan Knight</t>
  </si>
  <si>
    <t>Trey Benson</t>
  </si>
  <si>
    <t>24</t>
  </si>
  <si>
    <t>Corey Kiner</t>
  </si>
  <si>
    <t>Other RBs</t>
  </si>
  <si>
    <t>WR</t>
  </si>
  <si>
    <t>Marvin Harrison</t>
  </si>
  <si>
    <t>Michael Wilson</t>
  </si>
  <si>
    <t>Kendrick Bourne</t>
  </si>
  <si>
    <t>SF</t>
  </si>
  <si>
    <t>Xavier Weaver</t>
  </si>
  <si>
    <t>Reggie Virgil</t>
  </si>
  <si>
    <t>22</t>
  </si>
  <si>
    <t>Simi Fehoko</t>
  </si>
  <si>
    <t>28</t>
  </si>
  <si>
    <t>Devin Duvernay</t>
  </si>
  <si>
    <t>CHI</t>
  </si>
  <si>
    <t>Ihmir Smith-Marsette</t>
  </si>
  <si>
    <t>Other WRs</t>
  </si>
  <si>
    <t>TE</t>
  </si>
  <si>
    <t>Trey McBride</t>
  </si>
  <si>
    <t>Elijah Higgins</t>
  </si>
  <si>
    <t>Teagan Quitoriano</t>
  </si>
  <si>
    <t>Rivaldo Fairweather</t>
  </si>
  <si>
    <t>Other TEs</t>
  </si>
  <si>
    <t>YOUR TOTAL</t>
  </si>
  <si>
    <t>TEAM TARGET</t>
  </si>
  <si>
    <t>LEFT</t>
  </si>
  <si>
    <t>Red = you have allocated more than the team total. Amber = more than 3% under. These are targets, not hard caps - if you disagree, edit the team total above.</t>
  </si>
  <si>
    <t>Rec Yds / Rec TD are checked against the PASSING totals</t>
  </si>
  <si>
    <t>ATL  -  2026 projections  (direct entry)</t>
  </si>
  <si>
    <t>29% of targets and 33% of carries left this roster - that volume is yours to reassign.</t>
  </si>
  <si>
    <t>NEW HC Kevin Stefanski + OC Tommy Rees. Zone-heavy run game; little pass-rate change expected. Emphasis on Robinson touches.</t>
  </si>
  <si>
    <t>Tua Tagovailoa</t>
  </si>
  <si>
    <t>MIA</t>
  </si>
  <si>
    <t>Michael Penix</t>
  </si>
  <si>
    <t>Cooper Rush</t>
  </si>
  <si>
    <t>32</t>
  </si>
  <si>
    <t>-4</t>
  </si>
  <si>
    <t>BAL</t>
  </si>
  <si>
    <t>Bijan Robinson</t>
  </si>
  <si>
    <t>Brian Robinson</t>
  </si>
  <si>
    <t>27</t>
  </si>
  <si>
    <t>Tyler Goodson</t>
  </si>
  <si>
    <t>IND</t>
  </si>
  <si>
    <t>Nathan Carter</t>
  </si>
  <si>
    <t>Cash Jones</t>
  </si>
  <si>
    <t>Drake London</t>
  </si>
  <si>
    <t>Zachariah Branch</t>
  </si>
  <si>
    <t>Jahan Dotson</t>
  </si>
  <si>
    <t>PHI</t>
  </si>
  <si>
    <t>Olamide Zaccheaus</t>
  </si>
  <si>
    <t>29</t>
  </si>
  <si>
    <t>Dylan Drummond</t>
  </si>
  <si>
    <t>Chris Blair</t>
  </si>
  <si>
    <t>Antwane Wells</t>
  </si>
  <si>
    <t>Vinny Anthony</t>
  </si>
  <si>
    <t>Kyle Pitts</t>
  </si>
  <si>
    <t>Austin Hooper</t>
  </si>
  <si>
    <t>NE</t>
  </si>
  <si>
    <t>Charlie Woerner</t>
  </si>
  <si>
    <t>Joshua Simon</t>
  </si>
  <si>
    <t>BAL  -  2026 projections  (direct entry)</t>
  </si>
  <si>
    <t>27% of targets and 12% of carries left this roster - that volume is yours to reassign.</t>
  </si>
  <si>
    <t>NEW HC Jesse Minter + OC Declan Doyle. More explosive plays expected - Doyle brings creativity and detail.</t>
  </si>
  <si>
    <t>Lamar Jackson</t>
  </si>
  <si>
    <t>Tyler Huntley</t>
  </si>
  <si>
    <t>Skylar Thompson</t>
  </si>
  <si>
    <t>Derrick Henry</t>
  </si>
  <si>
    <t>Justice Hill</t>
  </si>
  <si>
    <t>Adam Randall</t>
  </si>
  <si>
    <t>Rasheen Ali</t>
  </si>
  <si>
    <t>Dontae McMillan</t>
  </si>
  <si>
    <t>Elijah Tau-Tolliver</t>
  </si>
  <si>
    <t>Zay Flowers</t>
  </si>
  <si>
    <t>Rashod Bateman</t>
  </si>
  <si>
    <t>Ja'Kobi Lane</t>
  </si>
  <si>
    <t>Elijah Sarratt</t>
  </si>
  <si>
    <t>Devontez Walker</t>
  </si>
  <si>
    <t>Cornelius Johnson</t>
  </si>
  <si>
    <t>Chris Moore</t>
  </si>
  <si>
    <t>WAS</t>
  </si>
  <si>
    <t>LaJohntay Wester</t>
  </si>
  <si>
    <t>Mark Andrews</t>
  </si>
  <si>
    <t>30</t>
  </si>
  <si>
    <t>Matt Hibner</t>
  </si>
  <si>
    <t>Durham Smythe</t>
  </si>
  <si>
    <t>Josh Cuevas</t>
  </si>
  <si>
    <t>BUF  -  2026 projections  (direct entry)</t>
  </si>
  <si>
    <t>9% of targets and 1% of carries left this roster - that volume is yours to reassign.</t>
  </si>
  <si>
    <t>NEW HC Joe Brady (promoted from OC) + OC Pete Carmichael Jr. Brady keeps play-calling. Run-lean; controlled pace continues.</t>
  </si>
  <si>
    <t>Josh Allen</t>
  </si>
  <si>
    <t>BUF</t>
  </si>
  <si>
    <t>Shane Buechele</t>
  </si>
  <si>
    <t>KC</t>
  </si>
  <si>
    <t>Kyle Allen</t>
  </si>
  <si>
    <t>-3</t>
  </si>
  <si>
    <t>DET</t>
  </si>
  <si>
    <t>James Cook</t>
  </si>
  <si>
    <t>Ty Johnson</t>
  </si>
  <si>
    <t>Frank Gore</t>
  </si>
  <si>
    <t>Ray Davis</t>
  </si>
  <si>
    <t>Ian Wheeler</t>
  </si>
  <si>
    <t>Jackson Acker</t>
  </si>
  <si>
    <t>DJ Moore</t>
  </si>
  <si>
    <t>Khalil Shakir</t>
  </si>
  <si>
    <t>Joshua Palmer</t>
  </si>
  <si>
    <t>Keon Coleman</t>
  </si>
  <si>
    <t>Skyler Bell</t>
  </si>
  <si>
    <t>Tyrell Shavers</t>
  </si>
  <si>
    <t>PUP</t>
  </si>
  <si>
    <t>Trent Sherfield</t>
  </si>
  <si>
    <t>DEN</t>
  </si>
  <si>
    <t>Dante Pettis</t>
  </si>
  <si>
    <t>NO</t>
  </si>
  <si>
    <t>Dalton Kincaid</t>
  </si>
  <si>
    <t>Dawson Knox</t>
  </si>
  <si>
    <t>Jackson Hawes</t>
  </si>
  <si>
    <t>Keleki Latu</t>
  </si>
  <si>
    <t>CAR  -  2026 projections  (direct entry)</t>
  </si>
  <si>
    <t>16% of targets and 53% of carries left this roster - that volume is yours to reassign.</t>
  </si>
  <si>
    <t>no coaching change recorded</t>
  </si>
  <si>
    <t>Bryce Young</t>
  </si>
  <si>
    <t>CAR</t>
  </si>
  <si>
    <t>Kenny Pickett</t>
  </si>
  <si>
    <t>LV</t>
  </si>
  <si>
    <t>Haynes King</t>
  </si>
  <si>
    <t>Chuba Hubbard</t>
  </si>
  <si>
    <t>Jonathon Brooks</t>
  </si>
  <si>
    <t>AJ Dillon</t>
  </si>
  <si>
    <t>Trevor Etienne</t>
  </si>
  <si>
    <t>Anthony Tyus</t>
  </si>
  <si>
    <t>Miles Davis</t>
  </si>
  <si>
    <t>Tetairoa McMillan</t>
  </si>
  <si>
    <t>John Metchie</t>
  </si>
  <si>
    <t>Jalen Coker</t>
  </si>
  <si>
    <t>Xavier Legette</t>
  </si>
  <si>
    <t>David Moore</t>
  </si>
  <si>
    <t>Jimmy Horn</t>
  </si>
  <si>
    <t>Brycen Tremayne</t>
  </si>
  <si>
    <t>Casey Washington</t>
  </si>
  <si>
    <t>Ja'Tavion Sanders</t>
  </si>
  <si>
    <t>Tommy Tremble</t>
  </si>
  <si>
    <t>Mitchell Evans</t>
  </si>
  <si>
    <t>James Mitchell</t>
  </si>
  <si>
    <t>CHI  -  2026 projections  (direct entry)</t>
  </si>
  <si>
    <t>29% of targets and 4% of carries left this roster - that volume is yours to reassign.</t>
  </si>
  <si>
    <t>HC unchanged. OC Press Taylor under Ben Johnson. Continuity maintained; no significant regression expected.</t>
  </si>
  <si>
    <t>Caleb Williams</t>
  </si>
  <si>
    <t>Tyson Bagent</t>
  </si>
  <si>
    <t>Case Keenum</t>
  </si>
  <si>
    <t>38</t>
  </si>
  <si>
    <t>D'Andre Swift</t>
  </si>
  <si>
    <t>Kyle Monangai</t>
  </si>
  <si>
    <t>Roschon Johnson</t>
  </si>
  <si>
    <t>Brittain Brown</t>
  </si>
  <si>
    <t>Salvon Ahmed</t>
  </si>
  <si>
    <t>Coleman Bennett</t>
  </si>
  <si>
    <t>Rome Odunze</t>
  </si>
  <si>
    <t>Luther Burden</t>
  </si>
  <si>
    <t>Jahdae Walker</t>
  </si>
  <si>
    <t>Kalif Raymond</t>
  </si>
  <si>
    <t>Maurice Alexander</t>
  </si>
  <si>
    <t>Zavion Thomas</t>
  </si>
  <si>
    <t>JP Richardson</t>
  </si>
  <si>
    <t>Qadir Ismail</t>
  </si>
  <si>
    <t>Colston Loveland</t>
  </si>
  <si>
    <t>-2</t>
  </si>
  <si>
    <t>Cole Kmet</t>
  </si>
  <si>
    <t>Stephen Carlson</t>
  </si>
  <si>
    <t>Sam Roush</t>
  </si>
  <si>
    <t>CIN  -  2026 projections  (direct entry)</t>
  </si>
  <si>
    <t>7% of targets and 2% of carries left this roster - that volume is yours to reassign.</t>
  </si>
  <si>
    <t>Joe Burrow</t>
  </si>
  <si>
    <t>CIN</t>
  </si>
  <si>
    <t>Joe Flacco</t>
  </si>
  <si>
    <t>41</t>
  </si>
  <si>
    <t>CLE</t>
  </si>
  <si>
    <t>Josh Johnson</t>
  </si>
  <si>
    <t>40</t>
  </si>
  <si>
    <t>Chase Brown</t>
  </si>
  <si>
    <t>Samaje Perine</t>
  </si>
  <si>
    <t>Tahj Brooks</t>
  </si>
  <si>
    <t>Jamal Haynes</t>
  </si>
  <si>
    <t>Kendall Milton</t>
  </si>
  <si>
    <t>Gary Brightwell</t>
  </si>
  <si>
    <t>Ja'Marr Chase</t>
  </si>
  <si>
    <t>Tee Higgins</t>
  </si>
  <si>
    <t>Andrei Iosivas</t>
  </si>
  <si>
    <t>Mitch Tinsley</t>
  </si>
  <si>
    <t>Colbie Young</t>
  </si>
  <si>
    <t>Noah Thomas</t>
  </si>
  <si>
    <t>Kendric Pryor</t>
  </si>
  <si>
    <t>Charlie Jones</t>
  </si>
  <si>
    <t>Mike Gesicki</t>
  </si>
  <si>
    <t>Erick All</t>
  </si>
  <si>
    <t>Drew Sample</t>
  </si>
  <si>
    <t>Jack Endries</t>
  </si>
  <si>
    <t>CLE  -  2026 projections  (direct entry)</t>
  </si>
  <si>
    <t>15% of targets and 7% of carries left this roster - that volume is yours to reassign.</t>
  </si>
  <si>
    <t>NEW HC Todd Monken + OC Travis Switzer. Shift toward MORE RUN given QB uncertainty - lower pass rate.</t>
  </si>
  <si>
    <t>Deshaun Watson</t>
  </si>
  <si>
    <t>Shedeur Sanders</t>
  </si>
  <si>
    <t>Taylen Green</t>
  </si>
  <si>
    <t>Quinshon Judkins</t>
  </si>
  <si>
    <t>Dylan Sampson</t>
  </si>
  <si>
    <t>Raheim Sanders</t>
  </si>
  <si>
    <t>Ahmani Marshall</t>
  </si>
  <si>
    <t>Davon Booth</t>
  </si>
  <si>
    <t>Michael Burton</t>
  </si>
  <si>
    <t>34</t>
  </si>
  <si>
    <t>Jerry Jeudy</t>
  </si>
  <si>
    <t>KC Concepcion</t>
  </si>
  <si>
    <t>Denzel Boston</t>
  </si>
  <si>
    <t>Cedric Tillman</t>
  </si>
  <si>
    <t>Isaiah Bond</t>
  </si>
  <si>
    <t>Malachi Corley</t>
  </si>
  <si>
    <t>Tylan Wallace</t>
  </si>
  <si>
    <t>Jamari Thrash</t>
  </si>
  <si>
    <t>Harold Fannin</t>
  </si>
  <si>
    <t>Joe Royer</t>
  </si>
  <si>
    <t>Blake Whiteheart</t>
  </si>
  <si>
    <t>Jack Stoll</t>
  </si>
  <si>
    <t>DAL  -  2026 projections  (direct entry)</t>
  </si>
  <si>
    <t>7% of targets and 4% of carries left this roster - that volume is yours to reassign.</t>
  </si>
  <si>
    <t>Dak Prescott</t>
  </si>
  <si>
    <t>DAL</t>
  </si>
  <si>
    <t>Joe Milton</t>
  </si>
  <si>
    <t>Sam Howell</t>
  </si>
  <si>
    <t>Javonte Williams</t>
  </si>
  <si>
    <t>Malik Davis</t>
  </si>
  <si>
    <t>Jaydon Blue</t>
  </si>
  <si>
    <t>Phil Mafah</t>
  </si>
  <si>
    <t>Israel Abanikanda</t>
  </si>
  <si>
    <t>Dominic Richardson</t>
  </si>
  <si>
    <t>CeeDee Lamb</t>
  </si>
  <si>
    <t>George Pickens</t>
  </si>
  <si>
    <t>Ryan Flournoy</t>
  </si>
  <si>
    <t>KaVontae Turpin</t>
  </si>
  <si>
    <t>Marquez Valdes-Scantling</t>
  </si>
  <si>
    <t>Jonathan Mingo</t>
  </si>
  <si>
    <t>Tyler Johnson</t>
  </si>
  <si>
    <t>NYJ</t>
  </si>
  <si>
    <t>Denzel Mims</t>
  </si>
  <si>
    <t>Jake Ferguson</t>
  </si>
  <si>
    <t>Michael Trigg</t>
  </si>
  <si>
    <t>Luke Schoonmaker</t>
  </si>
  <si>
    <t>Brevyn Spann-Ford</t>
  </si>
  <si>
    <t>DEN  -  2026 projections  (direct entry)</t>
  </si>
  <si>
    <t>0% of targets and 0% of carries left this roster - that volume is yours to reassign.</t>
  </si>
  <si>
    <t>HC unchanged. OC Davis Webb under Sean Payton. Same offense with little tweaks; emphasis on the quick passing game.</t>
  </si>
  <si>
    <t>Bo Nix</t>
  </si>
  <si>
    <t>Jarrett Stidham</t>
  </si>
  <si>
    <t>Sam Ehlinger</t>
  </si>
  <si>
    <t>J.K. Dobbins</t>
  </si>
  <si>
    <t>RJ Harvey</t>
  </si>
  <si>
    <t>Jonah Coleman</t>
  </si>
  <si>
    <t>Tyler Badie</t>
  </si>
  <si>
    <t>Jaleel McLaughlin</t>
  </si>
  <si>
    <t>Cody Schrader</t>
  </si>
  <si>
    <t>Courtland Sutton</t>
  </si>
  <si>
    <t>Jaylen Waddle</t>
  </si>
  <si>
    <t>Troy Franklin</t>
  </si>
  <si>
    <t>Pat Bryant</t>
  </si>
  <si>
    <t>Marvin Mims</t>
  </si>
  <si>
    <t>Lil'Jordan Humphrey</t>
  </si>
  <si>
    <t>NYG</t>
  </si>
  <si>
    <t>Dane Key</t>
  </si>
  <si>
    <t>Michael Bandy</t>
  </si>
  <si>
    <t>Evan Engram</t>
  </si>
  <si>
    <t>Adam Trautman</t>
  </si>
  <si>
    <t>Nate Adkins</t>
  </si>
  <si>
    <t>Dallen Bentley</t>
  </si>
  <si>
    <t>DET  -  2026 projections  (direct entry)</t>
  </si>
  <si>
    <t>13% of targets and 37% of carries left this roster - that volume is yours to reassign.</t>
  </si>
  <si>
    <t>HC unchanged. OC Drew Petzing under Dan Campbell. Won't completely depart from the prior system.</t>
  </si>
  <si>
    <t>Jared Goff</t>
  </si>
  <si>
    <t>Teddy Bridgewater</t>
  </si>
  <si>
    <t>TB</t>
  </si>
  <si>
    <t>Luke Altmyer</t>
  </si>
  <si>
    <t>Jahmyr Gibbs</t>
  </si>
  <si>
    <t>Isiah Pacheco</t>
  </si>
  <si>
    <t>Sione Vaki</t>
  </si>
  <si>
    <t>Jabari Small</t>
  </si>
  <si>
    <t>Jacob Saylors</t>
  </si>
  <si>
    <t>Raheem Blackshear</t>
  </si>
  <si>
    <t>Amon-Ra St. Brown</t>
  </si>
  <si>
    <t>Jameson Williams</t>
  </si>
  <si>
    <t>Isaac TeSlaa</t>
  </si>
  <si>
    <t>Jackson Meeks</t>
  </si>
  <si>
    <t>Greg Dortch</t>
  </si>
  <si>
    <t>Tom Kennedy</t>
  </si>
  <si>
    <t>Lucky Jackson</t>
  </si>
  <si>
    <t>Cedrick Wilson</t>
  </si>
  <si>
    <t>Sam LaPorta</t>
  </si>
  <si>
    <t>Brock Wright</t>
  </si>
  <si>
    <t>Tyler Conklin</t>
  </si>
  <si>
    <t>LAC</t>
  </si>
  <si>
    <t>Nick Muse</t>
  </si>
  <si>
    <t>GB  -  2026 projections  (direct entry)</t>
  </si>
  <si>
    <t>37% of targets and 30% of carries left this roster - that volume is yours to reassign.</t>
  </si>
  <si>
    <t>Jordan Love</t>
  </si>
  <si>
    <t>GB</t>
  </si>
  <si>
    <t>Tyrod Taylor</t>
  </si>
  <si>
    <t>37</t>
  </si>
  <si>
    <t>Kyle McCord</t>
  </si>
  <si>
    <t>Josh Jacobs</t>
  </si>
  <si>
    <t>Chris Brooks</t>
  </si>
  <si>
    <t>MarShawn Lloyd</t>
  </si>
  <si>
    <t>Pierre Strong</t>
  </si>
  <si>
    <t>Damien Martinez</t>
  </si>
  <si>
    <t>Jaden Nixon</t>
  </si>
  <si>
    <t>Christian Watson</t>
  </si>
  <si>
    <t>Jayden Reed</t>
  </si>
  <si>
    <t>Matthew Golden</t>
  </si>
  <si>
    <t>Savion Williams</t>
  </si>
  <si>
    <t>Bo Melton</t>
  </si>
  <si>
    <t>Skyy Moore</t>
  </si>
  <si>
    <t>Isaiah Neyor</t>
  </si>
  <si>
    <t>Kaden Prather</t>
  </si>
  <si>
    <t>Tucker Kraft</t>
  </si>
  <si>
    <t>Luke Musgrave</t>
  </si>
  <si>
    <t>Drake Dabney</t>
  </si>
  <si>
    <t>Josh Whyle</t>
  </si>
  <si>
    <t>HOU  -  2026 projections  (direct entry)</t>
  </si>
  <si>
    <t>18% of targets and 29% of carries left this roster - that volume is yours to reassign.</t>
  </si>
  <si>
    <t>C.J. Stroud</t>
  </si>
  <si>
    <t>HOU</t>
  </si>
  <si>
    <t>Davis Mills</t>
  </si>
  <si>
    <t>Graham Mertz</t>
  </si>
  <si>
    <t>David Montgomery</t>
  </si>
  <si>
    <t>Woody Marks</t>
  </si>
  <si>
    <t>Jawhar Jordan</t>
  </si>
  <si>
    <t>British Brooks</t>
  </si>
  <si>
    <t>Noah Whittington</t>
  </si>
  <si>
    <t>Joshua Pitsenberger</t>
  </si>
  <si>
    <t>Nico Collins</t>
  </si>
  <si>
    <t>Jayden Higgins</t>
  </si>
  <si>
    <t>Tank Dell</t>
  </si>
  <si>
    <t>Jaylin Noel</t>
  </si>
  <si>
    <t>Xavier Hutchinson</t>
  </si>
  <si>
    <t>Justin Watson</t>
  </si>
  <si>
    <t>Josh Kelly</t>
  </si>
  <si>
    <t>Montrell Washington</t>
  </si>
  <si>
    <t>Dalton Schultz</t>
  </si>
  <si>
    <t>Marlin Klein</t>
  </si>
  <si>
    <t>Cade Stover</t>
  </si>
  <si>
    <t>Foster Moreau</t>
  </si>
  <si>
    <t>IND  -  2026 projections  (direct entry)</t>
  </si>
  <si>
    <t>25% of targets and 5% of carries left this roster - that volume is yours to reassign.</t>
  </si>
  <si>
    <t>Daniel Jones</t>
  </si>
  <si>
    <t>Riley Leonard</t>
  </si>
  <si>
    <t>Anthony Richardson</t>
  </si>
  <si>
    <t>-1</t>
  </si>
  <si>
    <t>Jonathan Taylor</t>
  </si>
  <si>
    <t>DJ Giddens</t>
  </si>
  <si>
    <t>Seth McGowan</t>
  </si>
  <si>
    <t>Ulysses Bentley</t>
  </si>
  <si>
    <t>Anderson Castle</t>
  </si>
  <si>
    <t>Roydell Williams</t>
  </si>
  <si>
    <t>Alec Pierce</t>
  </si>
  <si>
    <t>Josh Downs</t>
  </si>
  <si>
    <t>Nick Westbrook-Ikhine</t>
  </si>
  <si>
    <t>Ashton Dulin</t>
  </si>
  <si>
    <t>Deion Burks</t>
  </si>
  <si>
    <t>Anthony Gould</t>
  </si>
  <si>
    <t>Laquon Treadwell</t>
  </si>
  <si>
    <t>Coleman Owen</t>
  </si>
  <si>
    <t>Tyler Warren</t>
  </si>
  <si>
    <t>Will Mallory</t>
  </si>
  <si>
    <t>Mo Alie-Cox</t>
  </si>
  <si>
    <t>Drew Ogletree</t>
  </si>
  <si>
    <t>JAC  -  2026 projections  (direct entry)</t>
  </si>
  <si>
    <t>24% of targets and 57% of carries left this roster - that volume is yours to reassign.</t>
  </si>
  <si>
    <t>Trevor Lawrence</t>
  </si>
  <si>
    <t>JAC</t>
  </si>
  <si>
    <t>Nick Mullens</t>
  </si>
  <si>
    <t>-8</t>
  </si>
  <si>
    <t>Carter Bradley</t>
  </si>
  <si>
    <t>Bhayshul Tuten</t>
  </si>
  <si>
    <t>Chris Rodriguez</t>
  </si>
  <si>
    <t>J'Mari Taylor</t>
  </si>
  <si>
    <t>LeQuint Allen</t>
  </si>
  <si>
    <t>Ameer Abdullah</t>
  </si>
  <si>
    <t>DeeJay Dallas</t>
  </si>
  <si>
    <t>Brian Thomas</t>
  </si>
  <si>
    <t>Parker Washington</t>
  </si>
  <si>
    <t>Chandler Brayboy</t>
  </si>
  <si>
    <t>Jakobi Meyers</t>
  </si>
  <si>
    <t>Travis Hunter</t>
  </si>
  <si>
    <t>Trebor Pena</t>
  </si>
  <si>
    <t>CJ Williams</t>
  </si>
  <si>
    <t>Austin Trammell</t>
  </si>
  <si>
    <t>Brenton Strange</t>
  </si>
  <si>
    <t>Nate Boerkircher</t>
  </si>
  <si>
    <t>Hunter Long</t>
  </si>
  <si>
    <t>Tanner Koziol</t>
  </si>
  <si>
    <t>KC  -  2026 projections  (direct entry)</t>
  </si>
  <si>
    <t>31% of targets and 69% of carries left this roster - that volume is yours to reassign.</t>
  </si>
  <si>
    <t>HC unchanged. OC Eric Bieniemy under Andy Reid. Focus on developing an explosive run game.</t>
  </si>
  <si>
    <t>Patrick Mahomes</t>
  </si>
  <si>
    <t>-10</t>
  </si>
  <si>
    <t>Justin Fields</t>
  </si>
  <si>
    <t>Chris Oladokun</t>
  </si>
  <si>
    <t>Kenneth Walker</t>
  </si>
  <si>
    <t>SEA</t>
  </si>
  <si>
    <t>Emari Demercado</t>
  </si>
  <si>
    <t>Emmett Johnson</t>
  </si>
  <si>
    <t>Brashard Smith</t>
  </si>
  <si>
    <t>Jaydn Ott</t>
  </si>
  <si>
    <t>EJ Smith</t>
  </si>
  <si>
    <t>Rashee Rice</t>
  </si>
  <si>
    <t>Xavier Worthy</t>
  </si>
  <si>
    <t>Tyquan Thornton</t>
  </si>
  <si>
    <t>Jalen Royals</t>
  </si>
  <si>
    <t>Cyrus Allen</t>
  </si>
  <si>
    <t>Nikko Remigio</t>
  </si>
  <si>
    <t>Jason Brownlee</t>
  </si>
  <si>
    <t>Jimmy Holiday</t>
  </si>
  <si>
    <t>Travis Kelce</t>
  </si>
  <si>
    <t>36</t>
  </si>
  <si>
    <t>Noah Gray</t>
  </si>
  <si>
    <t>Jared Wiley</t>
  </si>
  <si>
    <t>Mason Pline</t>
  </si>
  <si>
    <t>LAC  -  2026 projections  (direct entry)</t>
  </si>
  <si>
    <t>28% of targets and 7% of carries left this roster - that volume is yours to reassign.</t>
  </si>
  <si>
    <t>HC unchanged. OC Mike McDaniel. Earlier ball release; more catch-and-run opportunities.</t>
  </si>
  <si>
    <t>Justin Herbert</t>
  </si>
  <si>
    <t>Trey Lance</t>
  </si>
  <si>
    <t>DJ Uiagalelei</t>
  </si>
  <si>
    <t>Omarion Hampton</t>
  </si>
  <si>
    <t>Keaton Mitchell</t>
  </si>
  <si>
    <t>Kimani Vidal</t>
  </si>
  <si>
    <t>Jaret Patterson</t>
  </si>
  <si>
    <t>Amar Johnson</t>
  </si>
  <si>
    <t>Alec Ingold</t>
  </si>
  <si>
    <t>Ladd McConkey</t>
  </si>
  <si>
    <t>Quentin Johnston</t>
  </si>
  <si>
    <t>Tre' Harris</t>
  </si>
  <si>
    <t>Jerand Bradley</t>
  </si>
  <si>
    <t>Brenen Thompson</t>
  </si>
  <si>
    <t>KeAndre Lambert-Smith</t>
  </si>
  <si>
    <t>Derius Davis</t>
  </si>
  <si>
    <t>Dalevon Campbell</t>
  </si>
  <si>
    <t>Oronde Gadsden</t>
  </si>
  <si>
    <t>David Njoku</t>
  </si>
  <si>
    <t>Charlie Kolar</t>
  </si>
  <si>
    <t>Evan Svoboda</t>
  </si>
  <si>
    <t>LAR  -  2026 projections  (direct entry)</t>
  </si>
  <si>
    <t>3% of targets and 0% of carries left this roster - that volume is yours to reassign.</t>
  </si>
  <si>
    <t>HC unchanged. OC Nate Scheelhaase under Sean McVay. McVay retains play-calling; smooth transition expected.</t>
  </si>
  <si>
    <t>Matthew Stafford</t>
  </si>
  <si>
    <t>LAR</t>
  </si>
  <si>
    <t>Ty Simpson</t>
  </si>
  <si>
    <t>Stetson Bennett</t>
  </si>
  <si>
    <t>Kyren Williams</t>
  </si>
  <si>
    <t>Blake Corum</t>
  </si>
  <si>
    <t>Jarquez Hunter</t>
  </si>
  <si>
    <t>Ronnie Rivers</t>
  </si>
  <si>
    <t>Jordan Waters</t>
  </si>
  <si>
    <t>Dean Connors</t>
  </si>
  <si>
    <t>Puka Nacua</t>
  </si>
  <si>
    <t>Davante Adams</t>
  </si>
  <si>
    <t>Jordan Whittington</t>
  </si>
  <si>
    <t>Konata Mumpfield</t>
  </si>
  <si>
    <t>Xavier Smith</t>
  </si>
  <si>
    <t>CJ Daniels</t>
  </si>
  <si>
    <t>Tyler Scott</t>
  </si>
  <si>
    <t>Mario Williams</t>
  </si>
  <si>
    <t>Terrance Ferguson</t>
  </si>
  <si>
    <t>Colby Parkinson</t>
  </si>
  <si>
    <t>Tyler Higbee</t>
  </si>
  <si>
    <t>Davis Allen</t>
  </si>
  <si>
    <t>LV  -  2026 projections  (direct entry)</t>
  </si>
  <si>
    <t>14% of targets and 20% of carries left this roster - that volume is yours to reassign.</t>
  </si>
  <si>
    <t>NEW HC Klint Kubiak + OC Andrew Janocko. Balanced offense with established run-game emphasis.</t>
  </si>
  <si>
    <t>Fernando Mendoza</t>
  </si>
  <si>
    <t>Kirk Cousins</t>
  </si>
  <si>
    <t>Aidan O'Connell</t>
  </si>
  <si>
    <t>Ashton Jeanty</t>
  </si>
  <si>
    <t>Mike Washington</t>
  </si>
  <si>
    <t>Dylan Laube</t>
  </si>
  <si>
    <t>Roman Hemby</t>
  </si>
  <si>
    <t>Jalen Richard</t>
  </si>
  <si>
    <t>Tre Tucker</t>
  </si>
  <si>
    <t>Jalen Nailor</t>
  </si>
  <si>
    <t>MIN</t>
  </si>
  <si>
    <t>Jack Bech</t>
  </si>
  <si>
    <t>Dont'e Thornton</t>
  </si>
  <si>
    <t>Malik Benson</t>
  </si>
  <si>
    <t>Chase Roberts</t>
  </si>
  <si>
    <t>Phillip Dorsett</t>
  </si>
  <si>
    <t>Dareke Young</t>
  </si>
  <si>
    <t>Brock Bowers</t>
  </si>
  <si>
    <t>Michael Mayer</t>
  </si>
  <si>
    <t>Zack Kuntz</t>
  </si>
  <si>
    <t>Connor Heyward</t>
  </si>
  <si>
    <t>PIT</t>
  </si>
  <si>
    <t>MIA  -  2026 projections  (direct entry)</t>
  </si>
  <si>
    <t>53% of targets and 5% of carries left this roster - that volume is yours to reassign.</t>
  </si>
  <si>
    <t>NEW HC Jeff Hafley + OC Bobby Slowik. Defensive HC; run-game focus and balance despite the QB transition. Pace may slow.</t>
  </si>
  <si>
    <t>Malik Willis</t>
  </si>
  <si>
    <t>Quinn Ewers</t>
  </si>
  <si>
    <t>-6</t>
  </si>
  <si>
    <t>Cam Miller</t>
  </si>
  <si>
    <t>De'Von Achane</t>
  </si>
  <si>
    <t>Jaylen Wright</t>
  </si>
  <si>
    <t>Ollie Gordon</t>
  </si>
  <si>
    <t>Carlos Washington</t>
  </si>
  <si>
    <t>Donovan Edwards</t>
  </si>
  <si>
    <t>Anthony Hankerson</t>
  </si>
  <si>
    <t>Theo Wease</t>
  </si>
  <si>
    <t>Malik Washington</t>
  </si>
  <si>
    <t>Caleb Douglas</t>
  </si>
  <si>
    <t>Jalen Tolbert</t>
  </si>
  <si>
    <t>Jalen Reagor</t>
  </si>
  <si>
    <t>Chris Bell</t>
  </si>
  <si>
    <t>Tutu Atwell</t>
  </si>
  <si>
    <t>Kevin Coleman</t>
  </si>
  <si>
    <t>Greg Dulcich</t>
  </si>
  <si>
    <t>-7</t>
  </si>
  <si>
    <t>Will Kacmarek</t>
  </si>
  <si>
    <t>Ben Sims</t>
  </si>
  <si>
    <t>Seydou Traore</t>
  </si>
  <si>
    <t>MIN  -  2026 projections  (direct entry)</t>
  </si>
  <si>
    <t>14% of targets and 6% of carries left this roster - that volume is yours to reassign.</t>
  </si>
  <si>
    <t>Kyler Murray</t>
  </si>
  <si>
    <t>J.J. McCarthy</t>
  </si>
  <si>
    <t>Carson Wentz</t>
  </si>
  <si>
    <t>Aaron Jones</t>
  </si>
  <si>
    <t>Jordan Mason</t>
  </si>
  <si>
    <t>Demond Claiborne</t>
  </si>
  <si>
    <t>Zavier Scott</t>
  </si>
  <si>
    <t>Jordan Mims</t>
  </si>
  <si>
    <t>Justin Jefferson</t>
  </si>
  <si>
    <t>Jordan Addison</t>
  </si>
  <si>
    <t>Jauan Jennings</t>
  </si>
  <si>
    <t>Tai Felton</t>
  </si>
  <si>
    <t>Jeshaun Jones</t>
  </si>
  <si>
    <t>Myles Price</t>
  </si>
  <si>
    <t>Dillon Bell</t>
  </si>
  <si>
    <t>Dontae Fleming</t>
  </si>
  <si>
    <t>T.J. Hockenson</t>
  </si>
  <si>
    <t>Josh Oliver</t>
  </si>
  <si>
    <t>Ben Yurosek</t>
  </si>
  <si>
    <t>Max Bredeson</t>
  </si>
  <si>
    <t>NE  -  2026 projections  (direct entry)</t>
  </si>
  <si>
    <t>27% of targets and 8% of carries left this roster - that volume is yours to reassign.</t>
  </si>
  <si>
    <t>Drake Maye</t>
  </si>
  <si>
    <t>Tommy DeVito</t>
  </si>
  <si>
    <t>Behren Morton</t>
  </si>
  <si>
    <t>TreVeyon Henderson</t>
  </si>
  <si>
    <t>Rhamondre Stevenson</t>
  </si>
  <si>
    <t>Terrell Jennings</t>
  </si>
  <si>
    <t>Jam Miller</t>
  </si>
  <si>
    <t>Lan Larison</t>
  </si>
  <si>
    <t>Myles Montgomery</t>
  </si>
  <si>
    <t>A.J. Brown</t>
  </si>
  <si>
    <t>Romeo Doubs</t>
  </si>
  <si>
    <t>Kayshon Boutte</t>
  </si>
  <si>
    <t>DeMario Douglas</t>
  </si>
  <si>
    <t>Mack Hollins</t>
  </si>
  <si>
    <t>Mitch Van Vooren</t>
  </si>
  <si>
    <t>Kyle Williams</t>
  </si>
  <si>
    <t>Efton Chism</t>
  </si>
  <si>
    <t>Hunter Henry</t>
  </si>
  <si>
    <t>Eli Raridon</t>
  </si>
  <si>
    <t>CJ Dippre</t>
  </si>
  <si>
    <t>Tanner Arkin</t>
  </si>
  <si>
    <t>NO  -  2026 projections  (direct entry)</t>
  </si>
  <si>
    <t>13% of targets and 17% of carries left this roster - that volume is yours to reassign.</t>
  </si>
  <si>
    <t>Tyler Shough</t>
  </si>
  <si>
    <t>Spencer Rattler</t>
  </si>
  <si>
    <t>Zach Wilson</t>
  </si>
  <si>
    <t>Travis Etienne</t>
  </si>
  <si>
    <t>Alvin Kamara</t>
  </si>
  <si>
    <t>Kendre Miller</t>
  </si>
  <si>
    <t>Ty Chandler</t>
  </si>
  <si>
    <t>Audric Estime</t>
  </si>
  <si>
    <t>Devin Neal</t>
  </si>
  <si>
    <t>Chris Olave</t>
  </si>
  <si>
    <t>Jordyn Tyson</t>
  </si>
  <si>
    <t>Bub Means</t>
  </si>
  <si>
    <t>Devaughn Vele</t>
  </si>
  <si>
    <t>Bryce Lance</t>
  </si>
  <si>
    <t>Kevin Austin</t>
  </si>
  <si>
    <t>Mason Tipton</t>
  </si>
  <si>
    <t>Barion Brown</t>
  </si>
  <si>
    <t>Juwan Johnson</t>
  </si>
  <si>
    <t>Noah Fant</t>
  </si>
  <si>
    <t>Zaire Mitchell-Paden</t>
  </si>
  <si>
    <t>Oscar Delp</t>
  </si>
  <si>
    <t>NYG  -  2026 projections  (direct entry)</t>
  </si>
  <si>
    <t>38% of targets and 4% of carries left this roster - that volume is yours to reassign.</t>
  </si>
  <si>
    <t>NEW HC John Harbaugh + OC Matt Nagy. More run emphasis expected; Nagy's historical results underwhelming.</t>
  </si>
  <si>
    <t>Jaxson Dart</t>
  </si>
  <si>
    <t>Jameis Winston</t>
  </si>
  <si>
    <t>Brandon Allen</t>
  </si>
  <si>
    <t>TEN</t>
  </si>
  <si>
    <t>Cam Skattebo</t>
  </si>
  <si>
    <t>Tyrone Tracy</t>
  </si>
  <si>
    <t>Devin Singletary</t>
  </si>
  <si>
    <t>Eric Gray</t>
  </si>
  <si>
    <t>Dante Miller</t>
  </si>
  <si>
    <t>Damon Bankston</t>
  </si>
  <si>
    <t>Malik Nabers</t>
  </si>
  <si>
    <t>Darnell Mooney</t>
  </si>
  <si>
    <t>Darius Slayton</t>
  </si>
  <si>
    <t>Calvin Austin</t>
  </si>
  <si>
    <t>Odell Beckham</t>
  </si>
  <si>
    <t>Malachi Fields</t>
  </si>
  <si>
    <t>Isaiah Hodgins</t>
  </si>
  <si>
    <t>JuJu Smith-Schuster</t>
  </si>
  <si>
    <t>Isaiah Likely</t>
  </si>
  <si>
    <t>Theo Johnson</t>
  </si>
  <si>
    <t>Tanner Conner</t>
  </si>
  <si>
    <t>Thomas Fidone</t>
  </si>
  <si>
    <t>NYJ  -  2026 projections  (direct entry)</t>
  </si>
  <si>
    <t>15% of targets and 24% of carries left this roster - that volume is yours to reassign.</t>
  </si>
  <si>
    <t>HC unchanged. OC Frank Reich. Offense starts with the run game.</t>
  </si>
  <si>
    <t>Geno Smith</t>
  </si>
  <si>
    <t>35</t>
  </si>
  <si>
    <t>Cade Klubnik</t>
  </si>
  <si>
    <t>Brady Cook</t>
  </si>
  <si>
    <t>Breece Hall</t>
  </si>
  <si>
    <t>Braelon Allen</t>
  </si>
  <si>
    <t>Isaiah Davis</t>
  </si>
  <si>
    <t>Andrew Beck</t>
  </si>
  <si>
    <t>Kene Nwangwu</t>
  </si>
  <si>
    <t>Sam Scott</t>
  </si>
  <si>
    <t>Garrett Wilson</t>
  </si>
  <si>
    <t>Adonai Mitchell</t>
  </si>
  <si>
    <t>Omar Cooper</t>
  </si>
  <si>
    <t>Tim Patrick</t>
  </si>
  <si>
    <t>Isaiah Williams</t>
  </si>
  <si>
    <t>Arian Smith</t>
  </si>
  <si>
    <t>Jamaal Pritchett</t>
  </si>
  <si>
    <t>Caullin Lacy</t>
  </si>
  <si>
    <t>Kenyon Sadiq</t>
  </si>
  <si>
    <t>Mason Taylor</t>
  </si>
  <si>
    <t>Jeremy Ruckert</t>
  </si>
  <si>
    <t>Jelani Woods</t>
  </si>
  <si>
    <t>PHI  -  2026 projections  (direct entry)</t>
  </si>
  <si>
    <t>36% of targets and 3% of carries left this roster - that volume is yours to reassign.</t>
  </si>
  <si>
    <t>HC unchanged. OC Sean Mannion under Nick Sirianni. Shift toward under-center looks; wide-zone running scheme.</t>
  </si>
  <si>
    <t>Jalen Hurts</t>
  </si>
  <si>
    <t>Tanner McKee</t>
  </si>
  <si>
    <t>Andy Dalton</t>
  </si>
  <si>
    <t>Saquon Barkley</t>
  </si>
  <si>
    <t>Tank Bigsby</t>
  </si>
  <si>
    <t>Elijah Mitchell</t>
  </si>
  <si>
    <t>Dameon Pierce</t>
  </si>
  <si>
    <t>Will Shipley</t>
  </si>
  <si>
    <t>Carson Steele</t>
  </si>
  <si>
    <t>DeVonta Smith</t>
  </si>
  <si>
    <t>Makai Lemon</t>
  </si>
  <si>
    <t>Marquise Brown</t>
  </si>
  <si>
    <t>Dontayvion Wicks</t>
  </si>
  <si>
    <t>Elijah Moore</t>
  </si>
  <si>
    <t>Quez Watkins</t>
  </si>
  <si>
    <t>Darius Cooper</t>
  </si>
  <si>
    <t>Britain Covey</t>
  </si>
  <si>
    <t>Dallas Goedert</t>
  </si>
  <si>
    <t>Eli Stowers</t>
  </si>
  <si>
    <t>Grant Calcaterra</t>
  </si>
  <si>
    <t>Johnny Mundt</t>
  </si>
  <si>
    <t>PIT  -  2026 projections  (direct entry)</t>
  </si>
  <si>
    <t>44% of targets and 35% of carries left this roster - that volume is yours to reassign.</t>
  </si>
  <si>
    <t>NEW HC Mike McCarthy + OC Brian Angelichio. West Coast principles; moderate pass rates.</t>
  </si>
  <si>
    <t>Aaron Rodgers</t>
  </si>
  <si>
    <t>42</t>
  </si>
  <si>
    <t>-9</t>
  </si>
  <si>
    <t>Mason Rudolph</t>
  </si>
  <si>
    <t>Drew Allar</t>
  </si>
  <si>
    <t>Rico Dowdle</t>
  </si>
  <si>
    <t>Jaylen Warren</t>
  </si>
  <si>
    <t>Eli Heidenreich</t>
  </si>
  <si>
    <t>Kaleb Johnson</t>
  </si>
  <si>
    <t>Lew Nichols</t>
  </si>
  <si>
    <t>Travis Homer</t>
  </si>
  <si>
    <t>DK Metcalf</t>
  </si>
  <si>
    <t>Michael Pittman</t>
  </si>
  <si>
    <t>Germie Bernard</t>
  </si>
  <si>
    <t>Roman Wilson</t>
  </si>
  <si>
    <t>Ben Skowronek</t>
  </si>
  <si>
    <t>Kaden Wetjen</t>
  </si>
  <si>
    <t>A.T. Perry</t>
  </si>
  <si>
    <t>Brandon Smith</t>
  </si>
  <si>
    <t>Pat Freiermuth</t>
  </si>
  <si>
    <t>Darnell Washington</t>
  </si>
  <si>
    <t>Jaheim Bell</t>
  </si>
  <si>
    <t>Robert Tonyan</t>
  </si>
  <si>
    <t>SEA  -  2026 projections  (direct entry)</t>
  </si>
  <si>
    <t>8% of targets and 45% of carries left this roster - that volume is yours to reassign.</t>
  </si>
  <si>
    <t>HC unchanged. OC Brian Fleury. Lot of the same stuff as his predecessor; similar personnel deployment.</t>
  </si>
  <si>
    <t>Sam Darnold</t>
  </si>
  <si>
    <t>Drew Lock</t>
  </si>
  <si>
    <t>-5</t>
  </si>
  <si>
    <t>Jalen Milroe</t>
  </si>
  <si>
    <t>Jadarian Price</t>
  </si>
  <si>
    <t>Zach Charbonnet</t>
  </si>
  <si>
    <t>Emanuel Wilson</t>
  </si>
  <si>
    <t>George Holani</t>
  </si>
  <si>
    <t>Jacardia Wright</t>
  </si>
  <si>
    <t>Robbie Ouzts</t>
  </si>
  <si>
    <t>Jaxon Smith-Njigba</t>
  </si>
  <si>
    <t>Rashid Shaheed</t>
  </si>
  <si>
    <t>Cooper Kupp</t>
  </si>
  <si>
    <t>Tory Horton</t>
  </si>
  <si>
    <t>Cody White</t>
  </si>
  <si>
    <t>Jake Bobo</t>
  </si>
  <si>
    <t>Velus Jones</t>
  </si>
  <si>
    <t>Ricky White</t>
  </si>
  <si>
    <t>AJ Barner</t>
  </si>
  <si>
    <t>Elijah Arroyo</t>
  </si>
  <si>
    <t>Nick Vannett</t>
  </si>
  <si>
    <t>Eric Saubert</t>
  </si>
  <si>
    <t>SF  -  2026 projections  (direct entry)</t>
  </si>
  <si>
    <t>41% of targets and 21% of carries left this roster - that volume is yours to reassign.</t>
  </si>
  <si>
    <t>Brock Purdy</t>
  </si>
  <si>
    <t>Mac Jones</t>
  </si>
  <si>
    <t>Adrian Martinez</t>
  </si>
  <si>
    <t>Christian McCaffrey</t>
  </si>
  <si>
    <t>Jordan James</t>
  </si>
  <si>
    <t>Kaelon Black</t>
  </si>
  <si>
    <t>Isaac Guerendo</t>
  </si>
  <si>
    <t>Patrick Taylor</t>
  </si>
  <si>
    <t>Khalil Herbert</t>
  </si>
  <si>
    <t>Mike Evans</t>
  </si>
  <si>
    <t>Deebo Samuel</t>
  </si>
  <si>
    <t>De'Zhaun Stribling</t>
  </si>
  <si>
    <t>Christian Kirk</t>
  </si>
  <si>
    <t>Demarcus Robinson</t>
  </si>
  <si>
    <t>KhaDarel Hodge</t>
  </si>
  <si>
    <t>Colton Dowell</t>
  </si>
  <si>
    <t>Malik Turner</t>
  </si>
  <si>
    <t>George Kittle</t>
  </si>
  <si>
    <t>Jake Tonges</t>
  </si>
  <si>
    <t>Hayden Rucci</t>
  </si>
  <si>
    <t>Luke Farrell</t>
  </si>
  <si>
    <t>TB  -  2026 projections  (direct entry)</t>
  </si>
  <si>
    <t>30% of targets and 29% of carries left this roster - that volume is yours to reassign.</t>
  </si>
  <si>
    <t>HC unchanged. OC Zac Robinson. Balanced approach; pre-snap motion emphasis; flexible personnel usage.</t>
  </si>
  <si>
    <t>Baker Mayfield</t>
  </si>
  <si>
    <t>Jake Browning</t>
  </si>
  <si>
    <t>Connor Bazelak</t>
  </si>
  <si>
    <t>Bucky Irving</t>
  </si>
  <si>
    <t>Kenny Gainwell</t>
  </si>
  <si>
    <t>Sean Tucker</t>
  </si>
  <si>
    <t>Josh Williams</t>
  </si>
  <si>
    <t>Kadarius Calloway</t>
  </si>
  <si>
    <t>Le'Veon Bell</t>
  </si>
  <si>
    <t>Emeka Egbuka</t>
  </si>
  <si>
    <t>Chris Godwin</t>
  </si>
  <si>
    <t>Jalen McMillan</t>
  </si>
  <si>
    <t>Ted Hurst</t>
  </si>
  <si>
    <t>Eric Rivers</t>
  </si>
  <si>
    <t>David Sills</t>
  </si>
  <si>
    <t>Dennis Houston</t>
  </si>
  <si>
    <t>Tez Johnson</t>
  </si>
  <si>
    <t>Cade Otton</t>
  </si>
  <si>
    <t>Bauer Sharp</t>
  </si>
  <si>
    <t>Devin Culp</t>
  </si>
  <si>
    <t>Payne Durham</t>
  </si>
  <si>
    <t>TEN  -  2026 projections  (direct entry)</t>
  </si>
  <si>
    <t>31% of targets and 0% of carries left this roster - that volume is yours to reassign.</t>
  </si>
  <si>
    <t>NEW HC Robert Saleh + OC Brian Daboll. Potential shift toward a more balanced approach.</t>
  </si>
  <si>
    <t>Cam Ward</t>
  </si>
  <si>
    <t>Will Levis</t>
  </si>
  <si>
    <t>Mitchell Trubisky</t>
  </si>
  <si>
    <t>Tony Pollard</t>
  </si>
  <si>
    <t>Tyjae Spears</t>
  </si>
  <si>
    <t>Nicholas Singleton</t>
  </si>
  <si>
    <t>Michael Carter</t>
  </si>
  <si>
    <t>Kalel Mullings</t>
  </si>
  <si>
    <t>Julius Chestnut</t>
  </si>
  <si>
    <t>Carnell Tate</t>
  </si>
  <si>
    <t>Wan'Dale Robinson</t>
  </si>
  <si>
    <t>Calvin Ridley</t>
  </si>
  <si>
    <t>Elic Ayomanor</t>
  </si>
  <si>
    <t>Chimere Dike</t>
  </si>
  <si>
    <t>Xavier Restrepo</t>
  </si>
  <si>
    <t>Bryce Oliver</t>
  </si>
  <si>
    <t>K.J. Osborn</t>
  </si>
  <si>
    <t>Gunnar Helm</t>
  </si>
  <si>
    <t>Daniel Bellinger</t>
  </si>
  <si>
    <t>Jaren Kanak</t>
  </si>
  <si>
    <t>Kylen Granson</t>
  </si>
  <si>
    <t>WAS  -  2026 projections  (direct entry)</t>
  </si>
  <si>
    <t>52% of targets and 33% of carries left this roster - that volume is yours to reassign.</t>
  </si>
  <si>
    <t>HC unchanged. OC David Blough under Dan Quinn. Shift from shotgun-heavy (86.9%) toward under-center; more play-action.</t>
  </si>
  <si>
    <t>Jayden Daniels</t>
  </si>
  <si>
    <t>Marcus Mariota</t>
  </si>
  <si>
    <t>Sam Hartman</t>
  </si>
  <si>
    <t>Jacory Croskey-Merritt</t>
  </si>
  <si>
    <t>Rachaad White</t>
  </si>
  <si>
    <t>Jeremy McNichols</t>
  </si>
  <si>
    <t>Kaytron Allen</t>
  </si>
  <si>
    <t>Jerome Ford</t>
  </si>
  <si>
    <t>Robert Henry</t>
  </si>
  <si>
    <t>Terry McLaurin</t>
  </si>
  <si>
    <t>Stefon Diggs</t>
  </si>
  <si>
    <t>Antonio Williams</t>
  </si>
  <si>
    <t>Dyami Brown</t>
  </si>
  <si>
    <t>Van Jefferson</t>
  </si>
  <si>
    <t>Jaylin Lane</t>
  </si>
  <si>
    <t>Luke McCaffrey</t>
  </si>
  <si>
    <t>Treylon Burks</t>
  </si>
  <si>
    <t>Chig Okonkwo</t>
  </si>
  <si>
    <t>John Bates</t>
  </si>
  <si>
    <t>Ben Sinnott</t>
  </si>
  <si>
    <t>Lawrence Cager</t>
  </si>
  <si>
    <t>SETTINGS</t>
  </si>
  <si>
    <t>Games in season</t>
  </si>
  <si>
    <t>Target rate</t>
  </si>
  <si>
    <t>Targets / pass attempt. Gap is throwaways, spikes, batted balls.</t>
  </si>
  <si>
    <t>SCORING (half PPR)</t>
  </si>
  <si>
    <t>matches ff_draft_proj/scoring.py</t>
  </si>
  <si>
    <t>Pts per rec yard</t>
  </si>
  <si>
    <t>Pts per rec TD</t>
  </si>
  <si>
    <t>Pts per reception</t>
  </si>
  <si>
    <t>0 = standard, 1 = full PPR</t>
  </si>
  <si>
    <t>Pts per rush yard</t>
  </si>
  <si>
    <t>Pts per rush TD</t>
  </si>
  <si>
    <t>Pts per pass yard</t>
  </si>
  <si>
    <t>Pts per pass TD</t>
  </si>
  <si>
    <t>Pts per INT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</si>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</sst>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20" x14ac:knownFonts="1">
    <font>
      <sz val="11"/>
      <color theme="1"/>
      <name val="Calibri"/>
      <family val="2"/>
      <scheme val="minor"/>
    </font>
    <font>
      <b/>
      <sz val="18"/>
      <color rgb="FF2F4F6F"/>
      <name val="Calibri"/>
    </font>
    <font>
      <b/>
      <sz val="12"/>
      <color rgb="FF2F4F6F"/>
      <name val="Calibri"/>
    </font>
    <font>
      <sz val="10"/>
      <name val="Calibri"/>
    </font>
    <font>
      <b/>
      <sz val="15"/>
      <color rgb="FF2F4F6F"/>
      <name val="Calibri"/>
    </font>
    <font>
      <b/>
      <sz val="11"/>
      <name val="Calibri"/>
    </font>
    <font>
      <sz val="9"/>
      <color rgb="FF666666"/>
      <name val="Calibri"/>
    </font>
    <font>
      <b/>
      <sz val="9"/>
      <color rgb="FFFFFFFF"/>
      <name val="Calibri"/>
    </font>
    <font>
      <sz val="9"/>
      <color rgb="FFA0522D"/>
      <name val="Calibri"/>
    </font>
    <font>
      <sz val="9"/>
      <color rgb="FF1F6FB5"/>
      <name val="Calibri"/>
    </font>
    <font>
      <b/>
      <sz val="8"/>
      <color rgb="FFFFFFFF"/>
      <name val="Calibri"/>
    </font>
    <font>
      <b/>
      <sz val="9"/>
      <name val="Calibri"/>
    </font>
    <font>
      <sz val="8"/>
      <color rgb="FF666666"/>
      <name val="Calibri"/>
    </font>
    <font>
      <sz val="8"/>
      <color rgb="FF7A6A55"/>
      <name val="Calibri"/>
    </font>
    <font>
      <i/>
      <sz val="8"/>
      <color rgb="FF2E7D32"/>
      <name val="Calibri"/>
    </font>
    <font>
      <sz val="9"/>
      <color rgb="FF888888"/>
      <name val="Calibri"/>
    </font>
    <font>
      <i/>
      <sz val="9"/>
      <color rgb="FF888888"/>
      <name val="Calibri"/>
    </font>
    <font>
      <sz val="8"/>
      <color rgb="FFB22222"/>
      <name val="Calibri"/>
    </font>
    <font>
      <i/>
      <sz val="8"/>
      <color rgb="FF888888"/>
      <name val="Calibri"/>
    </font>
    <font>
      <b/>
      <sz val="14"/>
      <color rgb="FF2F4F6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8EA9C1"/>
      </patternFill>
    </fill>
    <fill>
      <patternFill patternType="solid">
        <fgColor rgb="FFDCE9F7"/>
      </patternFill>
    </fill>
    <fill>
      <patternFill patternType="solid">
        <fgColor rgb="FFF2F2F2"/>
      </patternFill>
    </fill>
    <fill>
      <patternFill patternType="solid">
        <fgColor rgb="FF2F4F6F"/>
      </patternFill>
    </fill>
    <fill>
      <patternFill patternType="solid">
        <fgColor rgb="FFFFF6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5" borderId="1" xfId="0" applyFont="1" applyFill="1" applyBorder="1" applyAlignment="1">
      <alignment horizontal="center" wrapText="1"/>
    </xf>
    <xf numFmtId="0" fontId="1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2" fillId="0" borderId="1" xfId="0" applyFont="1" applyBorder="1"/>
    <xf numFmtId="1" fontId="13" fillId="6" borderId="1" xfId="0" applyNumberFormat="1" applyFont="1" applyFill="1" applyBorder="1"/>
    <xf numFmtId="2" fontId="13" fillId="6" borderId="1" xfId="0" applyNumberFormat="1" applyFont="1" applyFill="1" applyBorder="1"/>
    <xf numFmtId="165" fontId="13" fillId="6" borderId="1" xfId="0" applyNumberFormat="1" applyFont="1" applyFill="1" applyBorder="1"/>
    <xf numFmtId="1" fontId="0" fillId="3" borderId="1" xfId="0" applyNumberFormat="1" applyFill="1" applyBorder="1"/>
    <xf numFmtId="0" fontId="14" fillId="4" borderId="1" xfId="0" applyFont="1" applyFill="1" applyBorder="1"/>
    <xf numFmtId="2" fontId="0" fillId="4" borderId="1" xfId="0" applyNumberFormat="1" applyFill="1" applyBorder="1"/>
    <xf numFmtId="165" fontId="0" fillId="4" borderId="1" xfId="0" applyNumberFormat="1" applyFill="1" applyBorder="1"/>
    <xf numFmtId="164" fontId="0" fillId="4" borderId="1" xfId="0" applyNumberFormat="1" applyFill="1" applyBorder="1"/>
    <xf numFmtId="1" fontId="0" fillId="4" borderId="1" xfId="0" applyNumberFormat="1" applyFill="1" applyBorder="1"/>
    <xf numFmtId="164" fontId="5" fillId="4" borderId="1" xfId="0" applyNumberFormat="1" applyFont="1" applyFill="1" applyBorder="1"/>
    <xf numFmtId="0" fontId="15" fillId="7" borderId="1" xfId="0" applyFont="1" applyFill="1" applyBorder="1"/>
    <xf numFmtId="0" fontId="16" fillId="7" borderId="1" xfId="0" applyFont="1" applyFill="1" applyBorder="1"/>
    <xf numFmtId="0" fontId="0" fillId="7" borderId="1" xfId="0" applyFill="1" applyBorder="1"/>
    <xf numFmtId="0" fontId="17" fillId="0" borderId="1" xfId="0" applyFont="1" applyBorder="1"/>
    <xf numFmtId="0" fontId="18" fillId="4" borderId="1" xfId="0" applyFont="1" applyFill="1" applyBorder="1"/>
    <xf numFmtId="1" fontId="5" fillId="0" borderId="1" xfId="0" applyNumberFormat="1" applyFont="1" applyBorder="1"/>
    <xf numFmtId="1" fontId="6" fillId="0" borderId="1" xfId="0" applyNumberFormat="1" applyFont="1" applyBorder="1"/>
    <xf numFmtId="1" fontId="0" fillId="0" borderId="1" xfId="0" applyNumberFormat="1" applyBorder="1"/>
    <xf numFmtId="0" fontId="0" fillId="3" borderId="1" xfId="0" applyFill="1" applyBorder="1"/>
    <xf numFmtId="0" fontId="19" fillId="0" borderId="0" xfId="0" applyFont="1"/>
    <xf numFmtId="1" fontId="0" fillId="3" borderId="0" xfId="0" applyNumberFormat="1" applyFill="1"/>
    <xf numFmtId="166" fontId="0" fillId="3" borderId="0" xfId="0" applyNumberFormat="1" applyFill="1"/>
  </cellXfs>
  <cellStyles count="1">
    <cellStyle name="Normal" xfId="0" builtinId="0"/>
  </cellStyles>
  <dxfs count="960"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9"/>
  <sheetViews>
    <sheetView showGridLines="0" workbookViewId="0"/>
  </sheetViews>
  <sheetFormatPr defaultRowHeight="15" x14ac:dyDescent="0.25"/>
  <cols>
    <col min="1" max="1" width="4" customWidth="1"/>
    <col min="2" max="2" width="100" customWidth="1"/>
  </cols>
  <sheetData>
    <row r="2" spans="2:2" ht="23.25" x14ac:dyDescent="0.35">
      <c r="B2" s="1" t="s">
        <v>0</v>
      </c>
    </row>
    <row r="4" spans="2:2" ht="15.75" x14ac:dyDescent="0.25">
      <c r="B4" s="2" t="s">
        <v>1</v>
      </c>
    </row>
    <row r="5" spans="2:2" x14ac:dyDescent="0.25">
      <c r="B5" s="3" t="s">
        <v>2</v>
      </c>
    </row>
    <row r="6" spans="2:2" x14ac:dyDescent="0.25">
      <c r="B6" s="3" t="s">
        <v>3</v>
      </c>
    </row>
    <row r="7" spans="2:2" x14ac:dyDescent="0.25">
      <c r="B7" s="3" t="s">
        <v>4</v>
      </c>
    </row>
    <row r="8" spans="2:2" x14ac:dyDescent="0.25">
      <c r="B8" s="3" t="s">
        <v>5</v>
      </c>
    </row>
    <row r="9" spans="2:2" x14ac:dyDescent="0.25">
      <c r="B9" s="3" t="s">
        <v>6</v>
      </c>
    </row>
    <row r="11" spans="2:2" ht="15.75" x14ac:dyDescent="0.25">
      <c r="B11" s="2" t="s">
        <v>7</v>
      </c>
    </row>
    <row r="12" spans="2:2" x14ac:dyDescent="0.25">
      <c r="B12" s="3" t="s">
        <v>8</v>
      </c>
    </row>
    <row r="13" spans="2:2" x14ac:dyDescent="0.25">
      <c r="B13" s="3" t="s">
        <v>9</v>
      </c>
    </row>
    <row r="14" spans="2:2" x14ac:dyDescent="0.25">
      <c r="B14" s="3" t="s">
        <v>10</v>
      </c>
    </row>
    <row r="16" spans="2:2" ht="15.75" x14ac:dyDescent="0.25">
      <c r="B16" s="2" t="s">
        <v>11</v>
      </c>
    </row>
    <row r="17" spans="2:2" x14ac:dyDescent="0.25">
      <c r="B17" s="3" t="s">
        <v>12</v>
      </c>
    </row>
    <row r="18" spans="2:2" x14ac:dyDescent="0.25">
      <c r="B18" s="3" t="s">
        <v>13</v>
      </c>
    </row>
    <row r="19" spans="2:2" x14ac:dyDescent="0.25">
      <c r="B19" s="3" t="s">
        <v>14</v>
      </c>
    </row>
    <row r="20" spans="2:2" x14ac:dyDescent="0.25">
      <c r="B20" s="3"/>
    </row>
    <row r="21" spans="2:2" x14ac:dyDescent="0.25">
      <c r="B21" s="3" t="s">
        <v>15</v>
      </c>
    </row>
    <row r="22" spans="2:2" x14ac:dyDescent="0.25">
      <c r="B22" s="3" t="s">
        <v>16</v>
      </c>
    </row>
    <row r="23" spans="2:2" x14ac:dyDescent="0.25">
      <c r="B23" s="3" t="s">
        <v>17</v>
      </c>
    </row>
    <row r="24" spans="2:2" x14ac:dyDescent="0.25">
      <c r="B24" s="3"/>
    </row>
    <row r="25" spans="2:2" x14ac:dyDescent="0.25">
      <c r="B25" s="3" t="s">
        <v>18</v>
      </c>
    </row>
    <row r="26" spans="2:2" x14ac:dyDescent="0.25">
      <c r="B26" s="3" t="s">
        <v>19</v>
      </c>
    </row>
    <row r="28" spans="2:2" ht="15.75" x14ac:dyDescent="0.25">
      <c r="B28" s="2" t="s">
        <v>20</v>
      </c>
    </row>
    <row r="29" spans="2:2" x14ac:dyDescent="0.25">
      <c r="B29" s="3" t="s">
        <v>21</v>
      </c>
    </row>
    <row r="30" spans="2:2" x14ac:dyDescent="0.25">
      <c r="B30" s="3" t="s">
        <v>22</v>
      </c>
    </row>
    <row r="31" spans="2:2" x14ac:dyDescent="0.25">
      <c r="B31" s="3" t="s">
        <v>23</v>
      </c>
    </row>
    <row r="32" spans="2:2" x14ac:dyDescent="0.25">
      <c r="B32" s="3" t="s">
        <v>24</v>
      </c>
    </row>
    <row r="33" spans="2:2" x14ac:dyDescent="0.25">
      <c r="B33" s="3" t="s">
        <v>25</v>
      </c>
    </row>
    <row r="35" spans="2:2" ht="15.75" x14ac:dyDescent="0.25">
      <c r="B35" s="2" t="s">
        <v>26</v>
      </c>
    </row>
    <row r="36" spans="2:2" x14ac:dyDescent="0.25">
      <c r="B36" s="3" t="s">
        <v>27</v>
      </c>
    </row>
    <row r="37" spans="2:2" x14ac:dyDescent="0.25">
      <c r="B37" s="3" t="s">
        <v>28</v>
      </c>
    </row>
    <row r="38" spans="2:2" x14ac:dyDescent="0.25">
      <c r="B38" s="3" t="s">
        <v>29</v>
      </c>
    </row>
    <row r="39" spans="2:2" x14ac:dyDescent="0.25">
      <c r="B39" s="3" t="s">
        <v>30</v>
      </c>
    </row>
    <row r="40" spans="2:2" x14ac:dyDescent="0.25">
      <c r="B40" s="3"/>
    </row>
    <row r="41" spans="2:2" x14ac:dyDescent="0.25">
      <c r="B41" s="3" t="s">
        <v>31</v>
      </c>
    </row>
    <row r="42" spans="2:2" x14ac:dyDescent="0.25">
      <c r="B42" s="3" t="s">
        <v>32</v>
      </c>
    </row>
    <row r="43" spans="2:2" x14ac:dyDescent="0.25">
      <c r="B43" s="3" t="s">
        <v>33</v>
      </c>
    </row>
    <row r="44" spans="2:2" x14ac:dyDescent="0.25">
      <c r="B44" s="3" t="s">
        <v>34</v>
      </c>
    </row>
    <row r="46" spans="2:2" ht="15.75" x14ac:dyDescent="0.25">
      <c r="B46" s="2" t="s">
        <v>35</v>
      </c>
    </row>
    <row r="47" spans="2:2" x14ac:dyDescent="0.25">
      <c r="B47" s="3" t="s">
        <v>36</v>
      </c>
    </row>
    <row r="48" spans="2:2" x14ac:dyDescent="0.25">
      <c r="B48" s="3" t="s">
        <v>37</v>
      </c>
    </row>
    <row r="49" spans="2:2" x14ac:dyDescent="0.25">
      <c r="B49" s="3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40"/>
  <sheetViews>
    <sheetView showGridLines="0" tabSelected="1" workbookViewId="0">
      <pane xSplit="2" ySplit="10" topLeftCell="I19" activePane="bottomRight" state="frozen"/>
      <selection pane="topRight"/>
      <selection pane="bottomLeft"/>
      <selection pane="bottomRight" activeCell="AE41" sqref="AE41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39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62.2</v>
      </c>
      <c r="D5" s="10">
        <f>C5*B5</f>
        <v>1057.4000000000001</v>
      </c>
      <c r="E5" s="11">
        <v>0.59499999999999997</v>
      </c>
      <c r="F5" s="10">
        <f>ROUND(D5*E5,0)</f>
        <v>629</v>
      </c>
      <c r="G5" s="10">
        <f>ROUND(F5*Settings!$B$4,0)</f>
        <v>600</v>
      </c>
      <c r="H5" s="10">
        <f>D5-F5</f>
        <v>428.40000000000009</v>
      </c>
      <c r="I5" s="8">
        <v>3992</v>
      </c>
      <c r="J5" s="9">
        <v>25</v>
      </c>
      <c r="K5" s="9">
        <v>12</v>
      </c>
      <c r="L5" s="8">
        <v>1940</v>
      </c>
      <c r="M5" s="9">
        <v>14</v>
      </c>
    </row>
    <row r="7" spans="1:47" x14ac:dyDescent="0.25">
      <c r="A7" s="5" t="s">
        <v>54</v>
      </c>
      <c r="B7" s="12" t="s">
        <v>55</v>
      </c>
    </row>
    <row r="8" spans="1:47" x14ac:dyDescent="0.25">
      <c r="A8" s="5" t="s">
        <v>56</v>
      </c>
      <c r="B8" s="13" t="s">
        <v>57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97</v>
      </c>
      <c r="C11" s="17">
        <v>1</v>
      </c>
      <c r="D11" s="17" t="s">
        <v>98</v>
      </c>
      <c r="E11" s="18" t="s">
        <v>99</v>
      </c>
      <c r="F11" s="19">
        <v>3</v>
      </c>
      <c r="G11" s="19">
        <v>12</v>
      </c>
      <c r="H11" s="19">
        <v>36</v>
      </c>
      <c r="I11" s="19">
        <v>168</v>
      </c>
      <c r="J11" s="19"/>
      <c r="K11" s="19"/>
      <c r="L11" s="19"/>
      <c r="M11" s="19"/>
      <c r="N11" s="19" t="s">
        <v>100</v>
      </c>
      <c r="O11" s="19">
        <v>14</v>
      </c>
      <c r="P11" s="20">
        <v>4.88</v>
      </c>
      <c r="Q11" s="20"/>
      <c r="R11" s="21"/>
      <c r="S11" s="21">
        <v>0.64</v>
      </c>
      <c r="T11" s="20">
        <v>6.6</v>
      </c>
      <c r="U11" s="22">
        <v>17</v>
      </c>
      <c r="V11" s="22">
        <v>509</v>
      </c>
      <c r="W11" s="22">
        <v>319</v>
      </c>
      <c r="X11" s="22">
        <v>3366</v>
      </c>
      <c r="Y11" s="22">
        <v>21</v>
      </c>
      <c r="Z11" s="22">
        <v>10</v>
      </c>
      <c r="AA11" s="22">
        <v>44</v>
      </c>
      <c r="AB11" s="22">
        <v>193</v>
      </c>
      <c r="AC11" s="22">
        <v>1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4.3863636363636367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6.6129666011787815</v>
      </c>
      <c r="AM11" s="25">
        <f t="shared" ref="AM11:AM35" si="4">IFERROR(W11/V11,"")</f>
        <v>0.62671905697445973</v>
      </c>
      <c r="AN11" s="25">
        <f t="shared" ref="AN11:AN35" si="5">IFERROR(AA11/$H$5,"")</f>
        <v>0.10270774976657328</v>
      </c>
      <c r="AO11" s="25">
        <f t="shared" ref="AO11:AO35" si="6">IFERROR(AD11/$G$5,"")</f>
        <v>0</v>
      </c>
      <c r="AP11" s="25">
        <f t="shared" ref="AP11:AP35" si="7">IFERROR(V11/$F$5,"")</f>
        <v>0.80922098569157397</v>
      </c>
      <c r="AQ11" s="26">
        <f t="shared" ref="AQ11:AQ35" si="8">IFERROR(AA11/U11,"")</f>
        <v>2.5882352941176472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8</v>
      </c>
      <c r="AU11" s="28">
        <f>AF11*Settings!$B$7+AG11*Settings!$B$8+AE11*Settings!$B$9+AB11*Settings!$B$10+AC11*Settings!$B$11+X11*Settings!$B$12+Y11*Settings!$B$13+Z11*Settings!$B$14</f>
        <v>223.94000000000003</v>
      </c>
    </row>
    <row r="12" spans="1:47" x14ac:dyDescent="0.25">
      <c r="A12" s="15" t="s">
        <v>96</v>
      </c>
      <c r="B12" s="16" t="s">
        <v>102</v>
      </c>
      <c r="C12" s="17">
        <v>2</v>
      </c>
      <c r="D12" s="17" t="s">
        <v>103</v>
      </c>
      <c r="E12" s="18" t="s">
        <v>99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/>
      <c r="Q12" s="20"/>
      <c r="R12" s="21"/>
      <c r="S12" s="21"/>
      <c r="T12" s="20"/>
      <c r="U12" s="22">
        <v>17</v>
      </c>
      <c r="V12" s="22">
        <v>101</v>
      </c>
      <c r="W12" s="22">
        <v>52</v>
      </c>
      <c r="X12" s="22">
        <v>624</v>
      </c>
      <c r="Y12" s="22">
        <v>4</v>
      </c>
      <c r="Z12" s="22">
        <v>2</v>
      </c>
      <c r="AA12" s="22">
        <v>6</v>
      </c>
      <c r="AB12" s="22">
        <v>21</v>
      </c>
      <c r="AC12" s="22">
        <v>0</v>
      </c>
      <c r="AD12" s="22"/>
      <c r="AE12" s="22"/>
      <c r="AF12" s="22"/>
      <c r="AG12" s="22"/>
      <c r="AH12" s="23" t="s">
        <v>101</v>
      </c>
      <c r="AI12" s="24">
        <f t="shared" si="0"/>
        <v>3.5</v>
      </c>
      <c r="AJ12" s="24" t="str">
        <f t="shared" si="1"/>
        <v/>
      </c>
      <c r="AK12" s="25" t="str">
        <f t="shared" si="2"/>
        <v/>
      </c>
      <c r="AL12" s="24">
        <f t="shared" si="3"/>
        <v>6.1782178217821784</v>
      </c>
      <c r="AM12" s="25">
        <f t="shared" si="4"/>
        <v>0.51485148514851486</v>
      </c>
      <c r="AN12" s="25">
        <f t="shared" si="5"/>
        <v>1.4005602240896356E-2</v>
      </c>
      <c r="AO12" s="25">
        <f t="shared" si="6"/>
        <v>0</v>
      </c>
      <c r="AP12" s="25">
        <f t="shared" si="7"/>
        <v>0.16057233704292528</v>
      </c>
      <c r="AQ12" s="26">
        <f t="shared" si="8"/>
        <v>0.35294117647058826</v>
      </c>
      <c r="AR12" s="26">
        <f t="shared" si="9"/>
        <v>0</v>
      </c>
      <c r="AS12" s="27">
        <f t="shared" si="10"/>
        <v>0</v>
      </c>
      <c r="AT12" s="27">
        <f t="shared" si="11"/>
        <v>6</v>
      </c>
      <c r="AU12" s="28">
        <f>AF12*Settings!$B$7+AG12*Settings!$B$8+AE12*Settings!$B$9+AB12*Settings!$B$10+AC12*Settings!$B$11+X12*Settings!$B$12+Y12*Settings!$B$13+Z12*Settings!$B$14</f>
        <v>39.06</v>
      </c>
    </row>
    <row r="13" spans="1:47" x14ac:dyDescent="0.25">
      <c r="A13" s="15" t="s">
        <v>96</v>
      </c>
      <c r="B13" s="16" t="s">
        <v>104</v>
      </c>
      <c r="C13" s="17">
        <v>3</v>
      </c>
      <c r="D13" s="17" t="s">
        <v>105</v>
      </c>
      <c r="E13" s="18" t="s">
        <v>99</v>
      </c>
      <c r="F13" s="19"/>
      <c r="G13" s="19"/>
      <c r="H13" s="19"/>
      <c r="I13" s="19"/>
      <c r="J13" s="19"/>
      <c r="K13" s="19"/>
      <c r="L13" s="19"/>
      <c r="M13" s="19"/>
      <c r="N13" s="19" t="s">
        <v>100</v>
      </c>
      <c r="O13" s="19">
        <v>2</v>
      </c>
      <c r="P13" s="20"/>
      <c r="Q13" s="20"/>
      <c r="R13" s="21"/>
      <c r="S13" s="21">
        <v>0.5</v>
      </c>
      <c r="T13" s="20"/>
      <c r="U13" s="22">
        <v>17</v>
      </c>
      <c r="V13" s="22">
        <v>12</v>
      </c>
      <c r="W13" s="22">
        <v>8</v>
      </c>
      <c r="X13" s="22">
        <v>33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3" t="s">
        <v>101</v>
      </c>
      <c r="AI13" s="24" t="str">
        <f t="shared" si="0"/>
        <v/>
      </c>
      <c r="AJ13" s="24" t="str">
        <f t="shared" si="1"/>
        <v/>
      </c>
      <c r="AK13" s="25" t="str">
        <f t="shared" si="2"/>
        <v/>
      </c>
      <c r="AL13" s="24">
        <f t="shared" si="3"/>
        <v>2.75</v>
      </c>
      <c r="AM13" s="25">
        <f t="shared" si="4"/>
        <v>0.66666666666666663</v>
      </c>
      <c r="AN13" s="25">
        <f t="shared" si="5"/>
        <v>0</v>
      </c>
      <c r="AO13" s="25">
        <f t="shared" si="6"/>
        <v>0</v>
      </c>
      <c r="AP13" s="25">
        <f t="shared" si="7"/>
        <v>1.9077901430842606E-2</v>
      </c>
      <c r="AQ13" s="26">
        <f t="shared" si="8"/>
        <v>0</v>
      </c>
      <c r="AR13" s="26">
        <f t="shared" si="9"/>
        <v>0</v>
      </c>
      <c r="AS13" s="27">
        <f t="shared" si="10"/>
        <v>0</v>
      </c>
      <c r="AT13" s="27">
        <f t="shared" si="11"/>
        <v>0</v>
      </c>
      <c r="AU13" s="28">
        <f>AF13*Settings!$B$7+AG13*Settings!$B$8+AE13*Settings!$B$9+AB13*Settings!$B$10+AC13*Settings!$B$11+X13*Settings!$B$12+Y13*Settings!$B$13+Z13*Settings!$B$14</f>
        <v>1.32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108</v>
      </c>
      <c r="C15" s="17">
        <v>1</v>
      </c>
      <c r="D15" s="17" t="s">
        <v>109</v>
      </c>
      <c r="E15" s="18" t="s">
        <v>99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0"/>
      <c r="Q15" s="20"/>
      <c r="R15" s="21"/>
      <c r="S15" s="21"/>
      <c r="T15" s="20"/>
      <c r="U15" s="22">
        <v>17</v>
      </c>
      <c r="V15" s="22"/>
      <c r="W15" s="22"/>
      <c r="X15" s="22"/>
      <c r="Y15" s="22"/>
      <c r="Z15" s="22"/>
      <c r="AA15" s="22">
        <v>221</v>
      </c>
      <c r="AB15" s="22">
        <v>1022</v>
      </c>
      <c r="AC15" s="22">
        <v>6</v>
      </c>
      <c r="AD15" s="22">
        <v>67</v>
      </c>
      <c r="AE15" s="22">
        <v>49</v>
      </c>
      <c r="AF15" s="22">
        <v>408</v>
      </c>
      <c r="AG15" s="22">
        <v>2</v>
      </c>
      <c r="AH15" s="23" t="s">
        <v>101</v>
      </c>
      <c r="AI15" s="24">
        <f t="shared" si="0"/>
        <v>4.6244343891402711</v>
      </c>
      <c r="AJ15" s="24">
        <f t="shared" si="1"/>
        <v>8.3265306122448983</v>
      </c>
      <c r="AK15" s="25">
        <f t="shared" si="2"/>
        <v>0.73134328358208955</v>
      </c>
      <c r="AL15" s="24" t="str">
        <f t="shared" si="3"/>
        <v/>
      </c>
      <c r="AM15" s="25" t="str">
        <f t="shared" si="4"/>
        <v/>
      </c>
      <c r="AN15" s="25">
        <f t="shared" si="5"/>
        <v>0.51587301587301582</v>
      </c>
      <c r="AO15" s="25">
        <f t="shared" si="6"/>
        <v>0.11166666666666666</v>
      </c>
      <c r="AP15" s="25">
        <f t="shared" si="7"/>
        <v>0</v>
      </c>
      <c r="AQ15" s="26">
        <f t="shared" si="8"/>
        <v>13</v>
      </c>
      <c r="AR15" s="26">
        <f t="shared" si="9"/>
        <v>3.9411764705882355</v>
      </c>
      <c r="AS15" s="27">
        <f t="shared" si="10"/>
        <v>67</v>
      </c>
      <c r="AT15" s="27">
        <f t="shared" si="11"/>
        <v>221</v>
      </c>
      <c r="AU15" s="28">
        <f>AF15*Settings!$B$7+AG15*Settings!$B$8+AE15*Settings!$B$9+AB15*Settings!$B$10+AC15*Settings!$B$11+X15*Settings!$B$12+Y15*Settings!$B$13+Z15*Settings!$B$14</f>
        <v>215.5</v>
      </c>
    </row>
    <row r="16" spans="1:47" x14ac:dyDescent="0.25">
      <c r="A16" s="15" t="s">
        <v>107</v>
      </c>
      <c r="B16" s="16" t="s">
        <v>110</v>
      </c>
      <c r="C16" s="17">
        <v>2</v>
      </c>
      <c r="D16" s="17" t="s">
        <v>111</v>
      </c>
      <c r="E16" s="18" t="s">
        <v>99</v>
      </c>
      <c r="F16" s="19">
        <v>186</v>
      </c>
      <c r="G16" s="19">
        <v>137</v>
      </c>
      <c r="H16" s="19">
        <v>143</v>
      </c>
      <c r="I16" s="19">
        <v>514</v>
      </c>
      <c r="J16" s="19">
        <v>23</v>
      </c>
      <c r="K16" s="19">
        <v>13</v>
      </c>
      <c r="L16" s="19">
        <v>16</v>
      </c>
      <c r="M16" s="19">
        <v>96</v>
      </c>
      <c r="N16" s="19" t="s">
        <v>112</v>
      </c>
      <c r="O16" s="19">
        <v>17</v>
      </c>
      <c r="P16" s="20">
        <v>3.95</v>
      </c>
      <c r="Q16" s="20">
        <v>8.3800000000000008</v>
      </c>
      <c r="R16" s="21">
        <v>0.86499999999999999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107</v>
      </c>
      <c r="AB16" s="22">
        <v>485</v>
      </c>
      <c r="AC16" s="22">
        <v>5</v>
      </c>
      <c r="AD16" s="22">
        <v>15</v>
      </c>
      <c r="AE16" s="22">
        <v>9</v>
      </c>
      <c r="AF16" s="22">
        <v>88</v>
      </c>
      <c r="AG16" s="22">
        <v>0</v>
      </c>
      <c r="AH16" s="23" t="s">
        <v>101</v>
      </c>
      <c r="AI16" s="24">
        <f t="shared" si="0"/>
        <v>4.5327102803738315</v>
      </c>
      <c r="AJ16" s="24">
        <f t="shared" si="1"/>
        <v>9.7777777777777786</v>
      </c>
      <c r="AK16" s="25">
        <f t="shared" si="2"/>
        <v>0.6</v>
      </c>
      <c r="AL16" s="24" t="str">
        <f t="shared" si="3"/>
        <v/>
      </c>
      <c r="AM16" s="25" t="str">
        <f t="shared" si="4"/>
        <v/>
      </c>
      <c r="AN16" s="25">
        <f t="shared" si="5"/>
        <v>0.24976657329598501</v>
      </c>
      <c r="AO16" s="25">
        <f t="shared" si="6"/>
        <v>2.5000000000000001E-2</v>
      </c>
      <c r="AP16" s="25">
        <f t="shared" si="7"/>
        <v>0</v>
      </c>
      <c r="AQ16" s="26">
        <f t="shared" si="8"/>
        <v>6.2941176470588234</v>
      </c>
      <c r="AR16" s="26">
        <f t="shared" si="9"/>
        <v>0.88235294117647056</v>
      </c>
      <c r="AS16" s="27">
        <f t="shared" si="10"/>
        <v>-1</v>
      </c>
      <c r="AT16" s="27">
        <f t="shared" si="11"/>
        <v>-36</v>
      </c>
      <c r="AU16" s="28">
        <f>AF16*Settings!$B$7+AG16*Settings!$B$8+AE16*Settings!$B$9+AB16*Settings!$B$10+AC16*Settings!$B$11+X16*Settings!$B$12+Y16*Settings!$B$13+Z16*Settings!$B$14</f>
        <v>91.8</v>
      </c>
    </row>
    <row r="17" spans="1:47" x14ac:dyDescent="0.25">
      <c r="A17" s="15" t="s">
        <v>107</v>
      </c>
      <c r="B17" s="16" t="s">
        <v>113</v>
      </c>
      <c r="C17" s="17">
        <v>3</v>
      </c>
      <c r="D17" s="17" t="s">
        <v>114</v>
      </c>
      <c r="E17" s="32" t="s">
        <v>115</v>
      </c>
      <c r="F17" s="19">
        <v>208</v>
      </c>
      <c r="G17" s="19">
        <v>236</v>
      </c>
      <c r="H17" s="19">
        <v>32</v>
      </c>
      <c r="I17" s="19">
        <v>95</v>
      </c>
      <c r="J17" s="19">
        <v>33</v>
      </c>
      <c r="K17" s="19">
        <v>55</v>
      </c>
      <c r="L17" s="19">
        <v>9</v>
      </c>
      <c r="M17" s="19">
        <v>38</v>
      </c>
      <c r="N17" s="19" t="s">
        <v>100</v>
      </c>
      <c r="O17" s="19">
        <v>3</v>
      </c>
      <c r="P17" s="20">
        <v>4.68</v>
      </c>
      <c r="Q17" s="20">
        <v>7.52</v>
      </c>
      <c r="R17" s="21">
        <v>0.84499999999999997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33</v>
      </c>
      <c r="AB17" s="22">
        <v>148</v>
      </c>
      <c r="AC17" s="22">
        <v>1</v>
      </c>
      <c r="AD17" s="22">
        <v>16</v>
      </c>
      <c r="AE17" s="22">
        <v>12</v>
      </c>
      <c r="AF17" s="22">
        <v>90</v>
      </c>
      <c r="AG17" s="22">
        <v>1</v>
      </c>
      <c r="AH17" s="23" t="s">
        <v>101</v>
      </c>
      <c r="AI17" s="24">
        <f t="shared" si="0"/>
        <v>4.4848484848484844</v>
      </c>
      <c r="AJ17" s="24">
        <f t="shared" si="1"/>
        <v>7.5</v>
      </c>
      <c r="AK17" s="25">
        <f t="shared" si="2"/>
        <v>0.75</v>
      </c>
      <c r="AL17" s="24" t="str">
        <f t="shared" si="3"/>
        <v/>
      </c>
      <c r="AM17" s="25" t="str">
        <f t="shared" si="4"/>
        <v/>
      </c>
      <c r="AN17" s="25">
        <f t="shared" si="5"/>
        <v>7.7030812324929962E-2</v>
      </c>
      <c r="AO17" s="25">
        <f t="shared" si="6"/>
        <v>2.6666666666666668E-2</v>
      </c>
      <c r="AP17" s="25">
        <f t="shared" si="7"/>
        <v>0</v>
      </c>
      <c r="AQ17" s="26">
        <f t="shared" si="8"/>
        <v>1.9411764705882353</v>
      </c>
      <c r="AR17" s="26">
        <f t="shared" si="9"/>
        <v>0.94117647058823528</v>
      </c>
      <c r="AS17" s="27">
        <f t="shared" si="10"/>
        <v>7</v>
      </c>
      <c r="AT17" s="27">
        <f t="shared" si="11"/>
        <v>1</v>
      </c>
      <c r="AU17" s="28">
        <f>AF17*Settings!$B$7+AG17*Settings!$B$8+AE17*Settings!$B$9+AB17*Settings!$B$10+AC17*Settings!$B$11+X17*Settings!$B$12+Y17*Settings!$B$13+Z17*Settings!$B$14</f>
        <v>41.8</v>
      </c>
    </row>
    <row r="18" spans="1:47" x14ac:dyDescent="0.25">
      <c r="A18" s="15" t="s">
        <v>107</v>
      </c>
      <c r="B18" s="16" t="s">
        <v>116</v>
      </c>
      <c r="C18" s="17">
        <v>4</v>
      </c>
      <c r="D18" s="17" t="s">
        <v>105</v>
      </c>
      <c r="E18" s="18" t="s">
        <v>99</v>
      </c>
      <c r="F18" s="19">
        <v>3</v>
      </c>
      <c r="G18" s="19"/>
      <c r="H18" s="19">
        <v>82</v>
      </c>
      <c r="I18" s="19">
        <v>269</v>
      </c>
      <c r="J18" s="19">
        <v>1</v>
      </c>
      <c r="K18" s="19"/>
      <c r="L18" s="19">
        <v>31</v>
      </c>
      <c r="M18" s="19">
        <v>160</v>
      </c>
      <c r="N18" s="19" t="s">
        <v>100</v>
      </c>
      <c r="O18" s="19">
        <v>12</v>
      </c>
      <c r="P18" s="20">
        <v>3.32</v>
      </c>
      <c r="Q18" s="20">
        <v>7.3</v>
      </c>
      <c r="R18" s="21">
        <v>0.71899999999999997</v>
      </c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5</v>
      </c>
      <c r="AB18" s="22">
        <v>21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3" t="s">
        <v>101</v>
      </c>
      <c r="AI18" s="24">
        <f t="shared" si="0"/>
        <v>4.2</v>
      </c>
      <c r="AJ18" s="24" t="str">
        <f t="shared" si="1"/>
        <v/>
      </c>
      <c r="AK18" s="25" t="str">
        <f t="shared" si="2"/>
        <v/>
      </c>
      <c r="AL18" s="24" t="str">
        <f t="shared" si="3"/>
        <v/>
      </c>
      <c r="AM18" s="25" t="str">
        <f t="shared" si="4"/>
        <v/>
      </c>
      <c r="AN18" s="25">
        <f t="shared" si="5"/>
        <v>1.1671335200746962E-2</v>
      </c>
      <c r="AO18" s="25">
        <f t="shared" si="6"/>
        <v>0</v>
      </c>
      <c r="AP18" s="25">
        <f t="shared" si="7"/>
        <v>0</v>
      </c>
      <c r="AQ18" s="26">
        <f t="shared" si="8"/>
        <v>0.29411764705882354</v>
      </c>
      <c r="AR18" s="26">
        <f t="shared" si="9"/>
        <v>0</v>
      </c>
      <c r="AS18" s="27">
        <f t="shared" si="10"/>
        <v>-31</v>
      </c>
      <c r="AT18" s="27">
        <f t="shared" si="11"/>
        <v>-77</v>
      </c>
      <c r="AU18" s="28">
        <f>AF18*Settings!$B$7+AG18*Settings!$B$8+AE18*Settings!$B$9+AB18*Settings!$B$10+AC18*Settings!$B$11+X18*Settings!$B$12+Y18*Settings!$B$13+Z18*Settings!$B$14</f>
        <v>2.1</v>
      </c>
    </row>
    <row r="19" spans="1:47" x14ac:dyDescent="0.25">
      <c r="A19" s="15" t="s">
        <v>107</v>
      </c>
      <c r="B19" s="16" t="s">
        <v>117</v>
      </c>
      <c r="C19" s="17">
        <v>5</v>
      </c>
      <c r="D19" s="17" t="s">
        <v>118</v>
      </c>
      <c r="E19" s="18" t="s">
        <v>99</v>
      </c>
      <c r="F19" s="19"/>
      <c r="G19" s="19">
        <v>63</v>
      </c>
      <c r="H19" s="19">
        <v>29</v>
      </c>
      <c r="I19" s="19">
        <v>160</v>
      </c>
      <c r="J19" s="19"/>
      <c r="K19" s="19">
        <v>6</v>
      </c>
      <c r="L19" s="19">
        <v>16</v>
      </c>
      <c r="M19" s="19">
        <v>64</v>
      </c>
      <c r="N19" s="19" t="s">
        <v>100</v>
      </c>
      <c r="O19" s="19">
        <v>4</v>
      </c>
      <c r="P19" s="20">
        <v>4.9000000000000004</v>
      </c>
      <c r="Q19" s="20">
        <v>6.47</v>
      </c>
      <c r="R19" s="21">
        <v>0.86399999999999999</v>
      </c>
      <c r="S19" s="21"/>
      <c r="T19" s="20"/>
      <c r="U19" s="22">
        <v>17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11</v>
      </c>
      <c r="AB19" s="22">
        <v>44</v>
      </c>
      <c r="AC19" s="22">
        <v>0</v>
      </c>
      <c r="AD19" s="22">
        <v>5</v>
      </c>
      <c r="AE19" s="22">
        <v>4</v>
      </c>
      <c r="AF19" s="22">
        <v>31</v>
      </c>
      <c r="AG19" s="22">
        <v>0</v>
      </c>
      <c r="AH19" s="23" t="s">
        <v>101</v>
      </c>
      <c r="AI19" s="24">
        <f t="shared" si="0"/>
        <v>4</v>
      </c>
      <c r="AJ19" s="24">
        <f t="shared" si="1"/>
        <v>7.75</v>
      </c>
      <c r="AK19" s="25">
        <f t="shared" si="2"/>
        <v>0.8</v>
      </c>
      <c r="AL19" s="24" t="str">
        <f t="shared" si="3"/>
        <v/>
      </c>
      <c r="AM19" s="25" t="str">
        <f t="shared" si="4"/>
        <v/>
      </c>
      <c r="AN19" s="25">
        <f t="shared" si="5"/>
        <v>2.567693744164332E-2</v>
      </c>
      <c r="AO19" s="25">
        <f t="shared" si="6"/>
        <v>8.3333333333333332E-3</v>
      </c>
      <c r="AP19" s="25">
        <f t="shared" si="7"/>
        <v>0</v>
      </c>
      <c r="AQ19" s="26">
        <f t="shared" si="8"/>
        <v>0.6470588235294118</v>
      </c>
      <c r="AR19" s="26">
        <f t="shared" si="9"/>
        <v>0.29411764705882354</v>
      </c>
      <c r="AS19" s="27">
        <f t="shared" si="10"/>
        <v>-11</v>
      </c>
      <c r="AT19" s="27">
        <f t="shared" si="11"/>
        <v>-18</v>
      </c>
      <c r="AU19" s="28">
        <f>AF19*Settings!$B$7+AG19*Settings!$B$8+AE19*Settings!$B$9+AB19*Settings!$B$10+AC19*Settings!$B$11+X19*Settings!$B$12+Y19*Settings!$B$13+Z19*Settings!$B$14</f>
        <v>9.5</v>
      </c>
    </row>
    <row r="20" spans="1:47" x14ac:dyDescent="0.25">
      <c r="A20" s="15" t="s">
        <v>107</v>
      </c>
      <c r="B20" s="16" t="s">
        <v>119</v>
      </c>
      <c r="C20" s="17">
        <v>6</v>
      </c>
      <c r="D20" s="17" t="s">
        <v>118</v>
      </c>
      <c r="E20" s="18" t="s">
        <v>99</v>
      </c>
      <c r="F20" s="19"/>
      <c r="G20" s="19"/>
      <c r="H20" s="19">
        <v>12</v>
      </c>
      <c r="I20" s="19">
        <v>58</v>
      </c>
      <c r="J20" s="19"/>
      <c r="K20" s="19"/>
      <c r="L20" s="19">
        <v>3</v>
      </c>
      <c r="M20" s="19">
        <v>15</v>
      </c>
      <c r="N20" s="19" t="s">
        <v>100</v>
      </c>
      <c r="O20" s="19">
        <v>4</v>
      </c>
      <c r="P20" s="20">
        <v>4.83</v>
      </c>
      <c r="Q20" s="20">
        <v>7.5</v>
      </c>
      <c r="R20" s="21">
        <v>0.66700000000000004</v>
      </c>
      <c r="S20" s="21"/>
      <c r="T20" s="20"/>
      <c r="U20" s="22">
        <v>17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3" t="s">
        <v>101</v>
      </c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-3</v>
      </c>
      <c r="AT20" s="27">
        <f t="shared" si="11"/>
        <v>-12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122</v>
      </c>
      <c r="C22" s="17">
        <v>1</v>
      </c>
      <c r="D22" s="17" t="s">
        <v>103</v>
      </c>
      <c r="E22" s="18" t="s">
        <v>99</v>
      </c>
      <c r="F22" s="19"/>
      <c r="G22" s="19"/>
      <c r="H22" s="19"/>
      <c r="I22" s="19"/>
      <c r="J22" s="19"/>
      <c r="K22" s="19">
        <v>116</v>
      </c>
      <c r="L22" s="19">
        <v>73</v>
      </c>
      <c r="M22" s="19">
        <v>608</v>
      </c>
      <c r="N22" s="19" t="s">
        <v>100</v>
      </c>
      <c r="O22" s="19">
        <v>12</v>
      </c>
      <c r="P22" s="20"/>
      <c r="Q22" s="20">
        <v>14.5</v>
      </c>
      <c r="R22" s="21">
        <v>0.54500000000000004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1</v>
      </c>
      <c r="AC22" s="22">
        <v>0</v>
      </c>
      <c r="AD22" s="22">
        <v>111</v>
      </c>
      <c r="AE22" s="22">
        <v>61</v>
      </c>
      <c r="AF22" s="22">
        <v>864</v>
      </c>
      <c r="AG22" s="22">
        <v>7</v>
      </c>
      <c r="AH22" s="23" t="s">
        <v>101</v>
      </c>
      <c r="AI22" s="24" t="str">
        <f t="shared" si="0"/>
        <v/>
      </c>
      <c r="AJ22" s="24">
        <f t="shared" si="1"/>
        <v>14.163934426229508</v>
      </c>
      <c r="AK22" s="25">
        <f t="shared" si="2"/>
        <v>0.5495495495495496</v>
      </c>
      <c r="AL22" s="24" t="str">
        <f t="shared" si="3"/>
        <v/>
      </c>
      <c r="AM22" s="25" t="str">
        <f t="shared" si="4"/>
        <v/>
      </c>
      <c r="AN22" s="25">
        <f t="shared" si="5"/>
        <v>0</v>
      </c>
      <c r="AO22" s="25">
        <f t="shared" si="6"/>
        <v>0.185</v>
      </c>
      <c r="AP22" s="25">
        <f t="shared" si="7"/>
        <v>0</v>
      </c>
      <c r="AQ22" s="26">
        <f t="shared" si="8"/>
        <v>0</v>
      </c>
      <c r="AR22" s="26">
        <f t="shared" si="9"/>
        <v>6.5294117647058822</v>
      </c>
      <c r="AS22" s="27">
        <f t="shared" si="10"/>
        <v>38</v>
      </c>
      <c r="AT22" s="27">
        <f t="shared" si="11"/>
        <v>0</v>
      </c>
      <c r="AU22" s="28">
        <f>AF22*Settings!$B$7+AG22*Settings!$B$8+AE22*Settings!$B$9+AB22*Settings!$B$10+AC22*Settings!$B$11+X22*Settings!$B$12+Y22*Settings!$B$13+Z22*Settings!$B$14</f>
        <v>159</v>
      </c>
    </row>
    <row r="23" spans="1:47" x14ac:dyDescent="0.25">
      <c r="A23" s="15" t="s">
        <v>121</v>
      </c>
      <c r="B23" s="16" t="s">
        <v>123</v>
      </c>
      <c r="C23" s="17">
        <v>2</v>
      </c>
      <c r="D23" s="17" t="s">
        <v>111</v>
      </c>
      <c r="E23" s="18" t="s">
        <v>99</v>
      </c>
      <c r="F23" s="19"/>
      <c r="G23" s="19">
        <v>1</v>
      </c>
      <c r="H23" s="19"/>
      <c r="I23" s="19"/>
      <c r="J23" s="19">
        <v>58</v>
      </c>
      <c r="K23" s="19">
        <v>71</v>
      </c>
      <c r="L23" s="19">
        <v>126</v>
      </c>
      <c r="M23" s="19">
        <v>1006</v>
      </c>
      <c r="N23" s="19" t="s">
        <v>100</v>
      </c>
      <c r="O23" s="19">
        <v>17</v>
      </c>
      <c r="P23" s="20">
        <v>7</v>
      </c>
      <c r="Q23" s="20">
        <v>13</v>
      </c>
      <c r="R23" s="21">
        <v>0.63900000000000001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1</v>
      </c>
      <c r="AC23" s="22">
        <v>0</v>
      </c>
      <c r="AD23" s="22">
        <v>101</v>
      </c>
      <c r="AE23" s="22">
        <v>63</v>
      </c>
      <c r="AF23" s="22">
        <v>815</v>
      </c>
      <c r="AG23" s="22">
        <v>6</v>
      </c>
      <c r="AH23" s="23" t="s">
        <v>101</v>
      </c>
      <c r="AI23" s="24" t="str">
        <f t="shared" si="0"/>
        <v/>
      </c>
      <c r="AJ23" s="24">
        <f t="shared" si="1"/>
        <v>12.936507936507937</v>
      </c>
      <c r="AK23" s="25">
        <f t="shared" si="2"/>
        <v>0.62376237623762376</v>
      </c>
      <c r="AL23" s="24" t="str">
        <f t="shared" si="3"/>
        <v/>
      </c>
      <c r="AM23" s="25" t="str">
        <f t="shared" si="4"/>
        <v/>
      </c>
      <c r="AN23" s="25">
        <f t="shared" si="5"/>
        <v>0</v>
      </c>
      <c r="AO23" s="25">
        <f t="shared" si="6"/>
        <v>0.16833333333333333</v>
      </c>
      <c r="AP23" s="25">
        <f t="shared" si="7"/>
        <v>0</v>
      </c>
      <c r="AQ23" s="26">
        <f t="shared" si="8"/>
        <v>0</v>
      </c>
      <c r="AR23" s="26">
        <f t="shared" si="9"/>
        <v>5.9411764705882355</v>
      </c>
      <c r="AS23" s="27">
        <f t="shared" si="10"/>
        <v>-25</v>
      </c>
      <c r="AT23" s="27">
        <f t="shared" si="11"/>
        <v>0</v>
      </c>
      <c r="AU23" s="28">
        <f>AF23*Settings!$B$7+AG23*Settings!$B$8+AE23*Settings!$B$9+AB23*Settings!$B$10+AC23*Settings!$B$11+X23*Settings!$B$12+Y23*Settings!$B$13+Z23*Settings!$B$14</f>
        <v>149.1</v>
      </c>
    </row>
    <row r="24" spans="1:47" x14ac:dyDescent="0.25">
      <c r="A24" s="15" t="s">
        <v>121</v>
      </c>
      <c r="B24" s="16" t="s">
        <v>124</v>
      </c>
      <c r="C24" s="17">
        <v>3</v>
      </c>
      <c r="D24" s="17" t="s">
        <v>114</v>
      </c>
      <c r="E24" s="18" t="s">
        <v>99</v>
      </c>
      <c r="F24" s="19">
        <v>1</v>
      </c>
      <c r="G24" s="19">
        <v>1</v>
      </c>
      <c r="H24" s="19"/>
      <c r="I24" s="19"/>
      <c r="J24" s="19">
        <v>55</v>
      </c>
      <c r="K24" s="19">
        <v>38</v>
      </c>
      <c r="L24" s="19">
        <v>53</v>
      </c>
      <c r="M24" s="19">
        <v>551</v>
      </c>
      <c r="N24" s="19" t="s">
        <v>125</v>
      </c>
      <c r="O24" s="19">
        <v>16</v>
      </c>
      <c r="P24" s="20">
        <v>5</v>
      </c>
      <c r="Q24" s="20">
        <v>12.37</v>
      </c>
      <c r="R24" s="21">
        <v>0.69899999999999995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1</v>
      </c>
      <c r="AC24" s="22">
        <v>0</v>
      </c>
      <c r="AD24" s="22">
        <v>42</v>
      </c>
      <c r="AE24" s="22">
        <v>28</v>
      </c>
      <c r="AF24" s="22">
        <v>241</v>
      </c>
      <c r="AG24" s="22">
        <v>1</v>
      </c>
      <c r="AH24" s="23" t="s">
        <v>101</v>
      </c>
      <c r="AI24" s="24" t="str">
        <f t="shared" si="0"/>
        <v/>
      </c>
      <c r="AJ24" s="24">
        <f t="shared" si="1"/>
        <v>8.6071428571428577</v>
      </c>
      <c r="AK24" s="25">
        <f t="shared" si="2"/>
        <v>0.66666666666666663</v>
      </c>
      <c r="AL24" s="24" t="str">
        <f t="shared" si="3"/>
        <v/>
      </c>
      <c r="AM24" s="25" t="str">
        <f t="shared" si="4"/>
        <v/>
      </c>
      <c r="AN24" s="25">
        <f t="shared" si="5"/>
        <v>0</v>
      </c>
      <c r="AO24" s="25">
        <f t="shared" si="6"/>
        <v>7.0000000000000007E-2</v>
      </c>
      <c r="AP24" s="25">
        <f t="shared" si="7"/>
        <v>0</v>
      </c>
      <c r="AQ24" s="26">
        <f t="shared" si="8"/>
        <v>0</v>
      </c>
      <c r="AR24" s="26">
        <f t="shared" si="9"/>
        <v>2.4705882352941178</v>
      </c>
      <c r="AS24" s="27">
        <f t="shared" si="10"/>
        <v>-11</v>
      </c>
      <c r="AT24" s="27">
        <f t="shared" si="11"/>
        <v>0</v>
      </c>
      <c r="AU24" s="28">
        <f>AF24*Settings!$B$7+AG24*Settings!$B$8+AE24*Settings!$B$9+AB24*Settings!$B$10+AC24*Settings!$B$11+X24*Settings!$B$12+Y24*Settings!$B$13+Z24*Settings!$B$14</f>
        <v>44.2</v>
      </c>
    </row>
    <row r="25" spans="1:47" x14ac:dyDescent="0.25">
      <c r="A25" s="15" t="s">
        <v>121</v>
      </c>
      <c r="B25" s="16" t="s">
        <v>126</v>
      </c>
      <c r="C25" s="17">
        <v>4</v>
      </c>
      <c r="D25" s="17" t="s">
        <v>105</v>
      </c>
      <c r="E25" s="18" t="s">
        <v>99</v>
      </c>
      <c r="F25" s="19"/>
      <c r="G25" s="19"/>
      <c r="H25" s="19"/>
      <c r="I25" s="19"/>
      <c r="J25" s="19"/>
      <c r="K25" s="19">
        <v>2</v>
      </c>
      <c r="L25" s="19">
        <v>13</v>
      </c>
      <c r="M25" s="19">
        <v>67</v>
      </c>
      <c r="N25" s="19" t="s">
        <v>100</v>
      </c>
      <c r="O25" s="19">
        <v>10</v>
      </c>
      <c r="P25" s="20"/>
      <c r="Q25" s="20">
        <v>9.57</v>
      </c>
      <c r="R25" s="21">
        <v>0.46700000000000003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1</v>
      </c>
      <c r="AC25" s="22">
        <v>0</v>
      </c>
      <c r="AD25" s="22">
        <v>9</v>
      </c>
      <c r="AE25" s="22">
        <v>5</v>
      </c>
      <c r="AF25" s="22">
        <v>51</v>
      </c>
      <c r="AG25" s="22">
        <v>0</v>
      </c>
      <c r="AH25" s="23" t="s">
        <v>101</v>
      </c>
      <c r="AI25" s="24" t="str">
        <f t="shared" si="0"/>
        <v/>
      </c>
      <c r="AJ25" s="24">
        <f t="shared" si="1"/>
        <v>10.199999999999999</v>
      </c>
      <c r="AK25" s="25">
        <f t="shared" si="2"/>
        <v>0.55555555555555558</v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1.4999999999999999E-2</v>
      </c>
      <c r="AP25" s="25">
        <f t="shared" si="7"/>
        <v>0</v>
      </c>
      <c r="AQ25" s="26">
        <f t="shared" si="8"/>
        <v>0</v>
      </c>
      <c r="AR25" s="26">
        <f t="shared" si="9"/>
        <v>0.52941176470588236</v>
      </c>
      <c r="AS25" s="27">
        <f t="shared" si="10"/>
        <v>-4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7.7</v>
      </c>
    </row>
    <row r="26" spans="1:47" x14ac:dyDescent="0.25">
      <c r="A26" s="15" t="s">
        <v>121</v>
      </c>
      <c r="B26" s="16" t="s">
        <v>127</v>
      </c>
      <c r="C26" s="17">
        <v>5</v>
      </c>
      <c r="D26" s="17" t="s">
        <v>128</v>
      </c>
      <c r="E26" s="18" t="s">
        <v>99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  <c r="R26" s="21"/>
      <c r="S26" s="21"/>
      <c r="T26" s="20"/>
      <c r="U26" s="22">
        <v>17</v>
      </c>
      <c r="V26" s="22"/>
      <c r="W26" s="22"/>
      <c r="X26" s="22"/>
      <c r="Y26" s="22"/>
      <c r="Z26" s="22"/>
      <c r="AA26" s="22">
        <v>0</v>
      </c>
      <c r="AB26" s="22">
        <v>0</v>
      </c>
      <c r="AC26" s="22">
        <v>0</v>
      </c>
      <c r="AD26" s="22">
        <v>8</v>
      </c>
      <c r="AE26" s="22">
        <v>6</v>
      </c>
      <c r="AF26" s="22">
        <v>78</v>
      </c>
      <c r="AG26" s="22">
        <v>0</v>
      </c>
      <c r="AH26" s="23" t="s">
        <v>101</v>
      </c>
      <c r="AI26" s="24" t="str">
        <f t="shared" si="0"/>
        <v/>
      </c>
      <c r="AJ26" s="24">
        <f t="shared" si="1"/>
        <v>13</v>
      </c>
      <c r="AK26" s="25">
        <f t="shared" si="2"/>
        <v>0.75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1.3333333333333334E-2</v>
      </c>
      <c r="AP26" s="25">
        <f t="shared" si="7"/>
        <v>0</v>
      </c>
      <c r="AQ26" s="26">
        <f t="shared" si="8"/>
        <v>0</v>
      </c>
      <c r="AR26" s="26">
        <f t="shared" si="9"/>
        <v>0.47058823529411764</v>
      </c>
      <c r="AS26" s="27">
        <f t="shared" si="10"/>
        <v>8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10.8</v>
      </c>
    </row>
    <row r="27" spans="1:47" x14ac:dyDescent="0.25">
      <c r="A27" s="15" t="s">
        <v>121</v>
      </c>
      <c r="B27" s="16" t="s">
        <v>129</v>
      </c>
      <c r="C27" s="17">
        <v>6</v>
      </c>
      <c r="D27" s="17" t="s">
        <v>130</v>
      </c>
      <c r="E27" s="18" t="s">
        <v>99</v>
      </c>
      <c r="F27" s="19"/>
      <c r="G27" s="19"/>
      <c r="H27" s="19"/>
      <c r="I27" s="19"/>
      <c r="J27" s="19">
        <v>2</v>
      </c>
      <c r="K27" s="19">
        <v>16</v>
      </c>
      <c r="L27" s="19"/>
      <c r="M27" s="19"/>
      <c r="N27" s="19"/>
      <c r="O27" s="19"/>
      <c r="P27" s="20"/>
      <c r="Q27" s="20">
        <v>16.43</v>
      </c>
      <c r="R27" s="21">
        <v>0.38900000000000001</v>
      </c>
      <c r="S27" s="21"/>
      <c r="T27" s="20"/>
      <c r="U27" s="22">
        <v>17</v>
      </c>
      <c r="V27" s="22"/>
      <c r="W27" s="22"/>
      <c r="X27" s="22"/>
      <c r="Y27" s="22"/>
      <c r="Z27" s="22"/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4</v>
      </c>
      <c r="AG27" s="22">
        <v>0</v>
      </c>
      <c r="AH27" s="23" t="s">
        <v>101</v>
      </c>
      <c r="AI27" s="24" t="str">
        <f t="shared" si="0"/>
        <v/>
      </c>
      <c r="AJ27" s="24" t="str">
        <f t="shared" si="1"/>
        <v/>
      </c>
      <c r="AK27" s="25" t="str">
        <f t="shared" si="2"/>
        <v/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0</v>
      </c>
      <c r="AP27" s="25">
        <f t="shared" si="7"/>
        <v>0</v>
      </c>
      <c r="AQ27" s="26">
        <f t="shared" si="8"/>
        <v>0</v>
      </c>
      <c r="AR27" s="26">
        <f t="shared" si="9"/>
        <v>0</v>
      </c>
      <c r="AS27" s="27">
        <f t="shared" si="10"/>
        <v>0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0.4</v>
      </c>
    </row>
    <row r="28" spans="1:47" x14ac:dyDescent="0.25">
      <c r="A28" s="15" t="s">
        <v>121</v>
      </c>
      <c r="B28" s="16" t="s">
        <v>131</v>
      </c>
      <c r="C28" s="17">
        <v>7</v>
      </c>
      <c r="D28" s="17" t="s">
        <v>130</v>
      </c>
      <c r="E28" s="18" t="s">
        <v>99</v>
      </c>
      <c r="F28" s="19">
        <v>4</v>
      </c>
      <c r="G28" s="19">
        <v>4</v>
      </c>
      <c r="H28" s="19"/>
      <c r="I28" s="19"/>
      <c r="J28" s="19">
        <v>9</v>
      </c>
      <c r="K28" s="19">
        <v>16</v>
      </c>
      <c r="L28" s="19">
        <v>5</v>
      </c>
      <c r="M28" s="19">
        <v>26</v>
      </c>
      <c r="N28" s="19" t="s">
        <v>132</v>
      </c>
      <c r="O28" s="19">
        <v>17</v>
      </c>
      <c r="P28" s="20">
        <v>2.25</v>
      </c>
      <c r="Q28" s="20">
        <v>7.24</v>
      </c>
      <c r="R28" s="21">
        <v>0.56699999999999995</v>
      </c>
      <c r="S28" s="21"/>
      <c r="T28" s="20"/>
      <c r="U28" s="22">
        <v>17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1</v>
      </c>
      <c r="AB28" s="22">
        <v>2</v>
      </c>
      <c r="AC28" s="22">
        <v>0</v>
      </c>
      <c r="AD28" s="22">
        <v>4</v>
      </c>
      <c r="AE28" s="22">
        <v>2</v>
      </c>
      <c r="AF28" s="22">
        <v>13</v>
      </c>
      <c r="AG28" s="22">
        <v>0</v>
      </c>
      <c r="AH28" s="23" t="s">
        <v>101</v>
      </c>
      <c r="AI28" s="24">
        <f t="shared" si="0"/>
        <v>2</v>
      </c>
      <c r="AJ28" s="24">
        <f t="shared" si="1"/>
        <v>6.5</v>
      </c>
      <c r="AK28" s="25">
        <f t="shared" si="2"/>
        <v>0.5</v>
      </c>
      <c r="AL28" s="24" t="str">
        <f t="shared" si="3"/>
        <v/>
      </c>
      <c r="AM28" s="25" t="str">
        <f t="shared" si="4"/>
        <v/>
      </c>
      <c r="AN28" s="25">
        <f t="shared" si="5"/>
        <v>2.3342670401493926E-3</v>
      </c>
      <c r="AO28" s="25">
        <f t="shared" si="6"/>
        <v>6.6666666666666671E-3</v>
      </c>
      <c r="AP28" s="25">
        <f t="shared" si="7"/>
        <v>0</v>
      </c>
      <c r="AQ28" s="26">
        <f t="shared" si="8"/>
        <v>5.8823529411764705E-2</v>
      </c>
      <c r="AR28" s="26">
        <f t="shared" si="9"/>
        <v>0.23529411764705882</v>
      </c>
      <c r="AS28" s="27">
        <f t="shared" si="10"/>
        <v>-1</v>
      </c>
      <c r="AT28" s="27">
        <f t="shared" si="11"/>
        <v>1</v>
      </c>
      <c r="AU28" s="28">
        <f>AF28*Settings!$B$7+AG28*Settings!$B$8+AE28*Settings!$B$9+AB28*Settings!$B$10+AC28*Settings!$B$11+X28*Settings!$B$12+Y28*Settings!$B$13+Z28*Settings!$B$14</f>
        <v>2.5</v>
      </c>
    </row>
    <row r="29" spans="1:47" x14ac:dyDescent="0.25">
      <c r="A29" s="15" t="s">
        <v>121</v>
      </c>
      <c r="B29" s="16" t="s">
        <v>133</v>
      </c>
      <c r="C29" s="17">
        <v>8</v>
      </c>
      <c r="D29" s="17" t="s">
        <v>111</v>
      </c>
      <c r="E29" s="18" t="s">
        <v>99</v>
      </c>
      <c r="F29" s="19">
        <v>8</v>
      </c>
      <c r="G29" s="19"/>
      <c r="H29" s="19"/>
      <c r="I29" s="19"/>
      <c r="J29" s="19">
        <v>10</v>
      </c>
      <c r="K29" s="19"/>
      <c r="L29" s="19"/>
      <c r="M29" s="19"/>
      <c r="N29" s="19"/>
      <c r="O29" s="19"/>
      <c r="P29" s="20">
        <v>9.25</v>
      </c>
      <c r="Q29" s="20">
        <v>6.38</v>
      </c>
      <c r="R29" s="21">
        <v>0.8</v>
      </c>
      <c r="S29" s="21"/>
      <c r="T29" s="20"/>
      <c r="U29" s="22">
        <v>17</v>
      </c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33"/>
      <c r="AI29" s="24" t="str">
        <f t="shared" si="0"/>
        <v/>
      </c>
      <c r="AJ29" s="24" t="str">
        <f t="shared" si="1"/>
        <v/>
      </c>
      <c r="AK29" s="25" t="str">
        <f t="shared" si="2"/>
        <v/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0</v>
      </c>
      <c r="AP29" s="25">
        <f t="shared" si="7"/>
        <v>0</v>
      </c>
      <c r="AQ29" s="26">
        <f t="shared" si="8"/>
        <v>0</v>
      </c>
      <c r="AR29" s="26">
        <f t="shared" si="9"/>
        <v>0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0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136</v>
      </c>
      <c r="C31" s="17">
        <v>1</v>
      </c>
      <c r="D31" s="17" t="s">
        <v>111</v>
      </c>
      <c r="E31" s="18" t="s">
        <v>99</v>
      </c>
      <c r="F31" s="19"/>
      <c r="G31" s="19">
        <v>1</v>
      </c>
      <c r="H31" s="19"/>
      <c r="I31" s="19"/>
      <c r="J31" s="19">
        <v>106</v>
      </c>
      <c r="K31" s="19">
        <v>147</v>
      </c>
      <c r="L31" s="19">
        <v>169</v>
      </c>
      <c r="M31" s="19">
        <v>1239</v>
      </c>
      <c r="N31" s="19" t="s">
        <v>100</v>
      </c>
      <c r="O31" s="19">
        <v>17</v>
      </c>
      <c r="P31" s="20">
        <v>2</v>
      </c>
      <c r="Q31" s="20">
        <v>10.09</v>
      </c>
      <c r="R31" s="21">
        <v>0.754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143</v>
      </c>
      <c r="AE31" s="22">
        <v>104</v>
      </c>
      <c r="AF31" s="22">
        <v>1052</v>
      </c>
      <c r="AG31" s="22">
        <v>7</v>
      </c>
      <c r="AH31" s="23" t="s">
        <v>101</v>
      </c>
      <c r="AI31" s="24" t="str">
        <f t="shared" si="0"/>
        <v/>
      </c>
      <c r="AJ31" s="24">
        <f t="shared" si="1"/>
        <v>10.115384615384615</v>
      </c>
      <c r="AK31" s="25">
        <f t="shared" si="2"/>
        <v>0.72727272727272729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0.23833333333333334</v>
      </c>
      <c r="AP31" s="25">
        <f t="shared" si="7"/>
        <v>0</v>
      </c>
      <c r="AQ31" s="26">
        <f t="shared" si="8"/>
        <v>0</v>
      </c>
      <c r="AR31" s="26">
        <f t="shared" si="9"/>
        <v>8.4117647058823533</v>
      </c>
      <c r="AS31" s="27">
        <f t="shared" si="10"/>
        <v>-26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199.2</v>
      </c>
    </row>
    <row r="32" spans="1:47" x14ac:dyDescent="0.25">
      <c r="A32" s="15" t="s">
        <v>135</v>
      </c>
      <c r="B32" s="16" t="s">
        <v>137</v>
      </c>
      <c r="C32" s="17">
        <v>2</v>
      </c>
      <c r="D32" s="17" t="s">
        <v>105</v>
      </c>
      <c r="E32" s="18" t="s">
        <v>99</v>
      </c>
      <c r="F32" s="19"/>
      <c r="G32" s="19"/>
      <c r="H32" s="19"/>
      <c r="I32" s="19"/>
      <c r="J32" s="19">
        <v>19</v>
      </c>
      <c r="K32" s="19">
        <v>24</v>
      </c>
      <c r="L32" s="19">
        <v>37</v>
      </c>
      <c r="M32" s="19">
        <v>301</v>
      </c>
      <c r="N32" s="19" t="s">
        <v>100</v>
      </c>
      <c r="O32" s="19">
        <v>17</v>
      </c>
      <c r="P32" s="20"/>
      <c r="Q32" s="20">
        <v>9.94</v>
      </c>
      <c r="R32" s="21">
        <v>0.8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26</v>
      </c>
      <c r="AE32" s="22">
        <v>20</v>
      </c>
      <c r="AF32" s="22">
        <v>185</v>
      </c>
      <c r="AG32" s="22">
        <v>1</v>
      </c>
      <c r="AH32" s="23" t="s">
        <v>101</v>
      </c>
      <c r="AI32" s="24" t="str">
        <f t="shared" si="0"/>
        <v/>
      </c>
      <c r="AJ32" s="24">
        <f t="shared" si="1"/>
        <v>9.25</v>
      </c>
      <c r="AK32" s="25">
        <f t="shared" si="2"/>
        <v>0.76923076923076927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4.3333333333333335E-2</v>
      </c>
      <c r="AP32" s="25">
        <f t="shared" si="7"/>
        <v>0</v>
      </c>
      <c r="AQ32" s="26">
        <f t="shared" si="8"/>
        <v>0</v>
      </c>
      <c r="AR32" s="26">
        <f t="shared" si="9"/>
        <v>1.5294117647058822</v>
      </c>
      <c r="AS32" s="27">
        <f t="shared" si="10"/>
        <v>-11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34.5</v>
      </c>
    </row>
    <row r="33" spans="1:47" x14ac:dyDescent="0.25">
      <c r="A33" s="15" t="s">
        <v>135</v>
      </c>
      <c r="B33" s="16" t="s">
        <v>138</v>
      </c>
      <c r="C33" s="17">
        <v>3</v>
      </c>
      <c r="D33" s="17" t="s">
        <v>111</v>
      </c>
      <c r="E33" s="18" t="s">
        <v>99</v>
      </c>
      <c r="F33" s="19"/>
      <c r="G33" s="19"/>
      <c r="H33" s="19"/>
      <c r="I33" s="19"/>
      <c r="J33" s="19">
        <v>3</v>
      </c>
      <c r="K33" s="19"/>
      <c r="L33" s="19"/>
      <c r="M33" s="19"/>
      <c r="N33" s="19"/>
      <c r="O33" s="19"/>
      <c r="P33" s="20"/>
      <c r="Q33" s="20">
        <v>16.5</v>
      </c>
      <c r="R33" s="21">
        <v>0.66700000000000004</v>
      </c>
      <c r="S33" s="21"/>
      <c r="T33" s="20"/>
      <c r="U33" s="22">
        <v>17</v>
      </c>
      <c r="V33" s="22"/>
      <c r="W33" s="22"/>
      <c r="X33" s="22"/>
      <c r="Y33" s="22"/>
      <c r="Z33" s="22"/>
      <c r="AA33" s="22">
        <v>0</v>
      </c>
      <c r="AB33" s="22">
        <v>0</v>
      </c>
      <c r="AC33" s="22">
        <v>0</v>
      </c>
      <c r="AD33" s="22">
        <v>5</v>
      </c>
      <c r="AE33" s="22">
        <v>4</v>
      </c>
      <c r="AF33" s="22">
        <v>36</v>
      </c>
      <c r="AG33" s="22">
        <v>0</v>
      </c>
      <c r="AH33" s="23" t="s">
        <v>101</v>
      </c>
      <c r="AI33" s="24" t="str">
        <f t="shared" si="0"/>
        <v/>
      </c>
      <c r="AJ33" s="24">
        <f t="shared" si="1"/>
        <v>9</v>
      </c>
      <c r="AK33" s="25">
        <f t="shared" si="2"/>
        <v>0.8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8.3333333333333332E-3</v>
      </c>
      <c r="AP33" s="25">
        <f t="shared" si="7"/>
        <v>0</v>
      </c>
      <c r="AQ33" s="26">
        <f t="shared" si="8"/>
        <v>0</v>
      </c>
      <c r="AR33" s="26">
        <f t="shared" si="9"/>
        <v>0.29411764705882354</v>
      </c>
      <c r="AS33" s="27">
        <f t="shared" si="10"/>
        <v>5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5.6</v>
      </c>
    </row>
    <row r="34" spans="1:47" x14ac:dyDescent="0.25">
      <c r="A34" s="15" t="s">
        <v>135</v>
      </c>
      <c r="B34" s="16" t="s">
        <v>139</v>
      </c>
      <c r="C34" s="17">
        <v>4</v>
      </c>
      <c r="D34" s="17" t="s">
        <v>118</v>
      </c>
      <c r="E34" s="18" t="s">
        <v>99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1"/>
      <c r="S34" s="21"/>
      <c r="T34" s="20"/>
      <c r="U34" s="22">
        <v>17</v>
      </c>
      <c r="V34" s="22"/>
      <c r="W34" s="22"/>
      <c r="X34" s="22"/>
      <c r="Y34" s="22"/>
      <c r="Z34" s="22"/>
      <c r="AA34" s="22">
        <v>0</v>
      </c>
      <c r="AB34" s="22">
        <v>0</v>
      </c>
      <c r="AC34" s="22">
        <v>0</v>
      </c>
      <c r="AD34" s="22">
        <v>5</v>
      </c>
      <c r="AE34" s="22">
        <v>4</v>
      </c>
      <c r="AF34" s="22">
        <v>36</v>
      </c>
      <c r="AG34" s="22">
        <v>0</v>
      </c>
      <c r="AH34" s="23" t="s">
        <v>101</v>
      </c>
      <c r="AI34" s="24" t="str">
        <f t="shared" si="0"/>
        <v/>
      </c>
      <c r="AJ34" s="24">
        <f t="shared" si="1"/>
        <v>9</v>
      </c>
      <c r="AK34" s="25">
        <f t="shared" si="2"/>
        <v>0.8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8.3333333333333332E-3</v>
      </c>
      <c r="AP34" s="25">
        <f t="shared" si="7"/>
        <v>0</v>
      </c>
      <c r="AQ34" s="26">
        <f t="shared" si="8"/>
        <v>0</v>
      </c>
      <c r="AR34" s="26">
        <f t="shared" si="9"/>
        <v>0.29411764705882354</v>
      </c>
      <c r="AS34" s="27">
        <f t="shared" si="10"/>
        <v>5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5.6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622</v>
      </c>
      <c r="W37" s="34">
        <f t="shared" si="12"/>
        <v>379</v>
      </c>
      <c r="X37" s="34">
        <f t="shared" si="12"/>
        <v>4023</v>
      </c>
      <c r="Y37" s="34">
        <f t="shared" si="12"/>
        <v>25</v>
      </c>
      <c r="Z37" s="34">
        <f t="shared" si="12"/>
        <v>12</v>
      </c>
      <c r="AA37" s="34">
        <f t="shared" si="12"/>
        <v>428</v>
      </c>
      <c r="AB37" s="34">
        <f t="shared" si="12"/>
        <v>1940</v>
      </c>
      <c r="AC37" s="34">
        <f t="shared" si="12"/>
        <v>13</v>
      </c>
      <c r="AD37" s="34">
        <f t="shared" si="12"/>
        <v>557</v>
      </c>
      <c r="AE37" s="34">
        <f t="shared" si="12"/>
        <v>371</v>
      </c>
      <c r="AF37" s="34">
        <f t="shared" si="12"/>
        <v>3992</v>
      </c>
      <c r="AG37" s="34">
        <f t="shared" si="12"/>
        <v>25</v>
      </c>
    </row>
    <row r="38" spans="1:47" x14ac:dyDescent="0.25">
      <c r="A38" s="5" t="s">
        <v>142</v>
      </c>
      <c r="V38" s="35">
        <f>$F$5</f>
        <v>629</v>
      </c>
      <c r="X38" s="35">
        <f>$I$5</f>
        <v>3992</v>
      </c>
      <c r="Y38" s="35">
        <f>$J$5</f>
        <v>25</v>
      </c>
      <c r="Z38" s="35">
        <f>$K$5</f>
        <v>12</v>
      </c>
      <c r="AA38" s="35">
        <f>$H$5</f>
        <v>428.40000000000009</v>
      </c>
      <c r="AB38" s="35">
        <f>$L$5</f>
        <v>1940</v>
      </c>
      <c r="AC38" s="35">
        <f>$M$5</f>
        <v>14</v>
      </c>
      <c r="AD38" s="35">
        <f>$G$5</f>
        <v>600</v>
      </c>
      <c r="AF38" s="35">
        <f>$I$5</f>
        <v>3992</v>
      </c>
      <c r="AG38" s="35">
        <f>$J$5</f>
        <v>25</v>
      </c>
    </row>
    <row r="39" spans="1:47" x14ac:dyDescent="0.25">
      <c r="A39" s="5" t="s">
        <v>143</v>
      </c>
      <c r="V39" s="36">
        <f>$F$5-V37</f>
        <v>7</v>
      </c>
      <c r="X39" s="36">
        <f>$I$5-X37</f>
        <v>-31</v>
      </c>
      <c r="Y39" s="36">
        <f>$J$5-Y37</f>
        <v>0</v>
      </c>
      <c r="Z39" s="36">
        <f>$K$5-Z37</f>
        <v>0</v>
      </c>
      <c r="AA39" s="36">
        <f>$H$5-AA37</f>
        <v>0.40000000000009095</v>
      </c>
      <c r="AB39" s="36">
        <f>$L$5-AB37</f>
        <v>0</v>
      </c>
      <c r="AC39" s="36">
        <f>$M$5-AC37</f>
        <v>1</v>
      </c>
      <c r="AD39" s="36">
        <f>$G$5-AD37</f>
        <v>43</v>
      </c>
      <c r="AF39" s="36">
        <f>$I$5-AF37</f>
        <v>0</v>
      </c>
      <c r="AG39" s="36">
        <f>$J$5-AG37</f>
        <v>0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959" priority="1" stopIfTrue="1">
      <formula>V37&gt;$F$5</formula>
    </cfRule>
    <cfRule type="expression" dxfId="958" priority="2">
      <formula>AND($F$5&gt;0,V37&lt;$F$5*0.97)</formula>
    </cfRule>
    <cfRule type="expression" dxfId="957" priority="3">
      <formula>AND($F$5&gt;0,V37&gt;=$F$5*0.97,V37&lt;=$F$5)</formula>
    </cfRule>
  </conditionalFormatting>
  <conditionalFormatting sqref="X37">
    <cfRule type="expression" dxfId="956" priority="4" stopIfTrue="1">
      <formula>X37&gt;$I$5</formula>
    </cfRule>
    <cfRule type="expression" dxfId="955" priority="5">
      <formula>AND($I$5&gt;0,X37&lt;$I$5*0.97)</formula>
    </cfRule>
    <cfRule type="expression" dxfId="954" priority="6">
      <formula>AND($I$5&gt;0,X37&gt;=$I$5*0.97,X37&lt;=$I$5)</formula>
    </cfRule>
  </conditionalFormatting>
  <conditionalFormatting sqref="Y37">
    <cfRule type="expression" dxfId="953" priority="7" stopIfTrue="1">
      <formula>Y37&gt;$J$5</formula>
    </cfRule>
    <cfRule type="expression" dxfId="952" priority="8">
      <formula>AND($J$5&gt;0,Y37&lt;$J$5*0.97)</formula>
    </cfRule>
    <cfRule type="expression" dxfId="951" priority="9">
      <formula>AND($J$5&gt;0,Y37&gt;=$J$5*0.97,Y37&lt;=$J$5)</formula>
    </cfRule>
  </conditionalFormatting>
  <conditionalFormatting sqref="Z37">
    <cfRule type="expression" dxfId="950" priority="10" stopIfTrue="1">
      <formula>Z37&gt;$K$5</formula>
    </cfRule>
    <cfRule type="expression" dxfId="949" priority="11">
      <formula>AND($K$5&gt;0,Z37&lt;$K$5*0.97)</formula>
    </cfRule>
    <cfRule type="expression" dxfId="948" priority="12">
      <formula>AND($K$5&gt;0,Z37&gt;=$K$5*0.97,Z37&lt;=$K$5)</formula>
    </cfRule>
  </conditionalFormatting>
  <conditionalFormatting sqref="AA37">
    <cfRule type="expression" dxfId="947" priority="13" stopIfTrue="1">
      <formula>AA37&gt;$H$5</formula>
    </cfRule>
    <cfRule type="expression" dxfId="946" priority="14">
      <formula>AND($H$5&gt;0,AA37&lt;$H$5*0.97)</formula>
    </cfRule>
    <cfRule type="expression" dxfId="945" priority="15">
      <formula>AND($H$5&gt;0,AA37&gt;=$H$5*0.97,AA37&lt;=$H$5)</formula>
    </cfRule>
  </conditionalFormatting>
  <conditionalFormatting sqref="AB37">
    <cfRule type="expression" dxfId="944" priority="16" stopIfTrue="1">
      <formula>AB37&gt;$L$5</formula>
    </cfRule>
    <cfRule type="expression" dxfId="943" priority="17">
      <formula>AND($L$5&gt;0,AB37&lt;$L$5*0.97)</formula>
    </cfRule>
    <cfRule type="expression" dxfId="942" priority="18">
      <formula>AND($L$5&gt;0,AB37&gt;=$L$5*0.97,AB37&lt;=$L$5)</formula>
    </cfRule>
  </conditionalFormatting>
  <conditionalFormatting sqref="AC37">
    <cfRule type="expression" dxfId="941" priority="19" stopIfTrue="1">
      <formula>AC37&gt;$M$5</formula>
    </cfRule>
    <cfRule type="expression" dxfId="940" priority="20">
      <formula>AND($M$5&gt;0,AC37&lt;$M$5*0.97)</formula>
    </cfRule>
    <cfRule type="expression" dxfId="939" priority="21">
      <formula>AND($M$5&gt;0,AC37&gt;=$M$5*0.97,AC37&lt;=$M$5)</formula>
    </cfRule>
  </conditionalFormatting>
  <conditionalFormatting sqref="AD37">
    <cfRule type="expression" dxfId="938" priority="22" stopIfTrue="1">
      <formula>AD37&gt;$G$5</formula>
    </cfRule>
    <cfRule type="expression" dxfId="937" priority="23">
      <formula>AND($G$5&gt;0,AD37&lt;$G$5*0.97)</formula>
    </cfRule>
    <cfRule type="expression" dxfId="936" priority="24">
      <formula>AND($G$5&gt;0,AD37&gt;=$G$5*0.97,AD37&lt;=$G$5)</formula>
    </cfRule>
  </conditionalFormatting>
  <conditionalFormatting sqref="AF37">
    <cfRule type="expression" dxfId="935" priority="25" stopIfTrue="1">
      <formula>AF37&gt;$I$5</formula>
    </cfRule>
    <cfRule type="expression" dxfId="934" priority="26">
      <formula>AND($I$5&gt;0,AF37&lt;$I$5*0.97)</formula>
    </cfRule>
    <cfRule type="expression" dxfId="933" priority="27">
      <formula>AND($I$5&gt;0,AF37&gt;=$I$5*0.97,AF37&lt;=$I$5)</formula>
    </cfRule>
  </conditionalFormatting>
  <conditionalFormatting sqref="AG37">
    <cfRule type="expression" dxfId="932" priority="28" stopIfTrue="1">
      <formula>AG37&gt;$J$5</formula>
    </cfRule>
    <cfRule type="expression" dxfId="931" priority="29">
      <formula>AND($J$5&gt;0,AG37&lt;$J$5*0.97)</formula>
    </cfRule>
    <cfRule type="expression" dxfId="930" priority="30">
      <formula>AND($J$5&gt;0,AG37&gt;=$J$5*0.97,AG37&lt;=$J$5)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146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62.5</v>
      </c>
      <c r="D5" s="10">
        <f>C5*B5</f>
        <v>1062.5</v>
      </c>
      <c r="E5" s="11">
        <v>0.54749999999999999</v>
      </c>
      <c r="F5" s="10">
        <f>ROUND(D5*E5,0)</f>
        <v>582</v>
      </c>
      <c r="G5" s="10">
        <f>ROUND(F5*Settings!$B$4,0)</f>
        <v>555</v>
      </c>
      <c r="H5" s="10">
        <f>D5-F5</f>
        <v>480.5</v>
      </c>
      <c r="I5" s="8">
        <v>3893</v>
      </c>
      <c r="J5" s="9">
        <v>21</v>
      </c>
      <c r="K5" s="9">
        <v>13</v>
      </c>
      <c r="L5" s="8">
        <v>2108</v>
      </c>
      <c r="M5" s="9">
        <v>16</v>
      </c>
    </row>
    <row r="7" spans="1:47" x14ac:dyDescent="0.25">
      <c r="A7" s="5" t="s">
        <v>54</v>
      </c>
      <c r="B7" s="12" t="s">
        <v>147</v>
      </c>
    </row>
    <row r="8" spans="1:47" x14ac:dyDescent="0.25">
      <c r="A8" s="5" t="s">
        <v>56</v>
      </c>
      <c r="B8" s="13" t="s">
        <v>148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149</v>
      </c>
      <c r="C11" s="17">
        <v>1</v>
      </c>
      <c r="D11" s="17" t="s">
        <v>130</v>
      </c>
      <c r="E11" s="32" t="s">
        <v>115</v>
      </c>
      <c r="F11" s="19">
        <v>24</v>
      </c>
      <c r="G11" s="19">
        <v>11</v>
      </c>
      <c r="H11" s="19">
        <v>16</v>
      </c>
      <c r="I11" s="19">
        <v>43</v>
      </c>
      <c r="J11" s="19"/>
      <c r="K11" s="19"/>
      <c r="L11" s="19"/>
      <c r="M11" s="19"/>
      <c r="N11" s="19" t="s">
        <v>150</v>
      </c>
      <c r="O11" s="19">
        <v>14</v>
      </c>
      <c r="P11" s="20">
        <v>3.25</v>
      </c>
      <c r="Q11" s="20"/>
      <c r="R11" s="21"/>
      <c r="S11" s="21">
        <v>0.69899999999999995</v>
      </c>
      <c r="T11" s="20">
        <v>7.56</v>
      </c>
      <c r="U11" s="22">
        <v>17</v>
      </c>
      <c r="V11" s="22">
        <v>282</v>
      </c>
      <c r="W11" s="22">
        <v>196</v>
      </c>
      <c r="X11" s="22">
        <v>2180</v>
      </c>
      <c r="Y11" s="22">
        <v>12</v>
      </c>
      <c r="Z11" s="22">
        <v>7</v>
      </c>
      <c r="AA11" s="22">
        <v>17</v>
      </c>
      <c r="AB11" s="22">
        <v>40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2.3529411764705883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7.7304964539007095</v>
      </c>
      <c r="AM11" s="25">
        <f t="shared" ref="AM11:AM35" si="4">IFERROR(W11/V11,"")</f>
        <v>0.69503546099290781</v>
      </c>
      <c r="AN11" s="25">
        <f t="shared" ref="AN11:AN35" si="5">IFERROR(AA11/$H$5,"")</f>
        <v>3.5379812695109258E-2</v>
      </c>
      <c r="AO11" s="25">
        <f t="shared" ref="AO11:AO35" si="6">IFERROR(AD11/$G$5,"")</f>
        <v>0</v>
      </c>
      <c r="AP11" s="25">
        <f t="shared" ref="AP11:AP35" si="7">IFERROR(V11/$F$5,"")</f>
        <v>0.4845360824742268</v>
      </c>
      <c r="AQ11" s="26">
        <f t="shared" ref="AQ11:AQ35" si="8">IFERROR(AA11/U11,"")</f>
        <v>1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1</v>
      </c>
      <c r="AU11" s="28">
        <f>AF11*Settings!$B$7+AG11*Settings!$B$8+AE11*Settings!$B$9+AB11*Settings!$B$10+AC11*Settings!$B$11+X11*Settings!$B$12+Y11*Settings!$B$13+Z11*Settings!$B$14</f>
        <v>125.19999999999999</v>
      </c>
    </row>
    <row r="12" spans="1:47" x14ac:dyDescent="0.25">
      <c r="A12" s="15" t="s">
        <v>96</v>
      </c>
      <c r="B12" s="16" t="s">
        <v>151</v>
      </c>
      <c r="C12" s="17">
        <v>2</v>
      </c>
      <c r="D12" s="17" t="s">
        <v>111</v>
      </c>
      <c r="E12" s="32" t="s">
        <v>115</v>
      </c>
      <c r="F12" s="19"/>
      <c r="G12" s="19">
        <v>5</v>
      </c>
      <c r="H12" s="19">
        <v>14</v>
      </c>
      <c r="I12" s="19">
        <v>70</v>
      </c>
      <c r="J12" s="19"/>
      <c r="K12" s="19"/>
      <c r="L12" s="19"/>
      <c r="M12" s="19"/>
      <c r="N12" s="19" t="s">
        <v>112</v>
      </c>
      <c r="O12" s="19">
        <v>9</v>
      </c>
      <c r="P12" s="20">
        <v>4.26</v>
      </c>
      <c r="Q12" s="20"/>
      <c r="R12" s="21"/>
      <c r="S12" s="21">
        <v>0.59599999999999997</v>
      </c>
      <c r="T12" s="20">
        <v>7.24</v>
      </c>
      <c r="U12" s="22">
        <v>17</v>
      </c>
      <c r="V12" s="22">
        <v>218</v>
      </c>
      <c r="W12" s="22">
        <v>138</v>
      </c>
      <c r="X12" s="22">
        <v>1749</v>
      </c>
      <c r="Y12" s="22">
        <v>9</v>
      </c>
      <c r="Z12" s="22">
        <v>5</v>
      </c>
      <c r="AA12" s="22">
        <v>17</v>
      </c>
      <c r="AB12" s="22">
        <v>57</v>
      </c>
      <c r="AC12" s="22">
        <v>1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3.3529411764705883</v>
      </c>
      <c r="AJ12" s="24" t="str">
        <f t="shared" si="1"/>
        <v/>
      </c>
      <c r="AK12" s="25" t="str">
        <f t="shared" si="2"/>
        <v/>
      </c>
      <c r="AL12" s="24">
        <f t="shared" si="3"/>
        <v>8.022935779816514</v>
      </c>
      <c r="AM12" s="25">
        <f t="shared" si="4"/>
        <v>0.6330275229357798</v>
      </c>
      <c r="AN12" s="25">
        <f t="shared" si="5"/>
        <v>3.5379812695109258E-2</v>
      </c>
      <c r="AO12" s="25">
        <f t="shared" si="6"/>
        <v>0</v>
      </c>
      <c r="AP12" s="25">
        <f t="shared" si="7"/>
        <v>0.37457044673539519</v>
      </c>
      <c r="AQ12" s="26">
        <f t="shared" si="8"/>
        <v>1</v>
      </c>
      <c r="AR12" s="26">
        <f t="shared" si="9"/>
        <v>0</v>
      </c>
      <c r="AS12" s="27">
        <f t="shared" si="10"/>
        <v>0</v>
      </c>
      <c r="AT12" s="27">
        <f t="shared" si="11"/>
        <v>3</v>
      </c>
      <c r="AU12" s="28">
        <f>AF12*Settings!$B$7+AG12*Settings!$B$8+AE12*Settings!$B$9+AB12*Settings!$B$10+AC12*Settings!$B$11+X12*Settings!$B$12+Y12*Settings!$B$13+Z12*Settings!$B$14</f>
        <v>107.66000000000001</v>
      </c>
    </row>
    <row r="13" spans="1:47" x14ac:dyDescent="0.25">
      <c r="A13" s="15" t="s">
        <v>96</v>
      </c>
      <c r="B13" s="16" t="s">
        <v>152</v>
      </c>
      <c r="C13" s="17">
        <v>3</v>
      </c>
      <c r="D13" s="17" t="s">
        <v>153</v>
      </c>
      <c r="E13" s="18" t="s">
        <v>99</v>
      </c>
      <c r="F13" s="19">
        <v>1</v>
      </c>
      <c r="G13" s="19">
        <v>19</v>
      </c>
      <c r="H13" s="19">
        <v>1</v>
      </c>
      <c r="I13" s="19" t="s">
        <v>154</v>
      </c>
      <c r="J13" s="19"/>
      <c r="K13" s="19"/>
      <c r="L13" s="19"/>
      <c r="M13" s="19"/>
      <c r="N13" s="19" t="s">
        <v>155</v>
      </c>
      <c r="O13" s="19">
        <v>4</v>
      </c>
      <c r="P13" s="20">
        <v>0.43</v>
      </c>
      <c r="Q13" s="20"/>
      <c r="R13" s="21"/>
      <c r="S13" s="21">
        <v>0.622</v>
      </c>
      <c r="T13" s="20">
        <v>5.97</v>
      </c>
      <c r="U13" s="22">
        <v>17</v>
      </c>
      <c r="V13" s="22">
        <v>12</v>
      </c>
      <c r="W13" s="22">
        <v>8</v>
      </c>
      <c r="X13" s="22">
        <v>66</v>
      </c>
      <c r="Y13" s="22">
        <v>0</v>
      </c>
      <c r="Z13" s="22">
        <v>4</v>
      </c>
      <c r="AA13" s="22">
        <v>1</v>
      </c>
      <c r="AB13" s="22">
        <v>-4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3" t="s">
        <v>101</v>
      </c>
      <c r="AI13" s="24">
        <f t="shared" si="0"/>
        <v>-4</v>
      </c>
      <c r="AJ13" s="24" t="str">
        <f t="shared" si="1"/>
        <v/>
      </c>
      <c r="AK13" s="25" t="str">
        <f t="shared" si="2"/>
        <v/>
      </c>
      <c r="AL13" s="24">
        <f t="shared" si="3"/>
        <v>5.5</v>
      </c>
      <c r="AM13" s="25">
        <f t="shared" si="4"/>
        <v>0.66666666666666663</v>
      </c>
      <c r="AN13" s="25">
        <f t="shared" si="5"/>
        <v>2.0811654526534861E-3</v>
      </c>
      <c r="AO13" s="25">
        <f t="shared" si="6"/>
        <v>0</v>
      </c>
      <c r="AP13" s="25">
        <f t="shared" si="7"/>
        <v>2.0618556701030927E-2</v>
      </c>
      <c r="AQ13" s="26">
        <f t="shared" si="8"/>
        <v>5.8823529411764705E-2</v>
      </c>
      <c r="AR13" s="26">
        <f t="shared" si="9"/>
        <v>0</v>
      </c>
      <c r="AS13" s="27">
        <f t="shared" si="10"/>
        <v>0</v>
      </c>
      <c r="AT13" s="27">
        <f t="shared" si="11"/>
        <v>0</v>
      </c>
      <c r="AU13" s="28">
        <f>AF13*Settings!$B$7+AG13*Settings!$B$8+AE13*Settings!$B$9+AB13*Settings!$B$10+AC13*Settings!$B$11+X13*Settings!$B$12+Y13*Settings!$B$13+Z13*Settings!$B$14</f>
        <v>-5.76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156</v>
      </c>
      <c r="C15" s="17">
        <v>1</v>
      </c>
      <c r="D15" s="17" t="s">
        <v>118</v>
      </c>
      <c r="E15" s="18" t="s">
        <v>99</v>
      </c>
      <c r="F15" s="19">
        <v>214</v>
      </c>
      <c r="G15" s="19">
        <v>304</v>
      </c>
      <c r="H15" s="19">
        <v>287</v>
      </c>
      <c r="I15" s="19">
        <v>1478</v>
      </c>
      <c r="J15" s="19">
        <v>86</v>
      </c>
      <c r="K15" s="19">
        <v>72</v>
      </c>
      <c r="L15" s="19">
        <v>103</v>
      </c>
      <c r="M15" s="19">
        <v>820</v>
      </c>
      <c r="N15" s="19" t="s">
        <v>112</v>
      </c>
      <c r="O15" s="19">
        <v>17</v>
      </c>
      <c r="P15" s="20">
        <v>4.8600000000000003</v>
      </c>
      <c r="Q15" s="20">
        <v>8.7799999999999994</v>
      </c>
      <c r="R15" s="21">
        <v>0.75900000000000001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273</v>
      </c>
      <c r="AB15" s="22">
        <v>1344</v>
      </c>
      <c r="AC15" s="22">
        <v>9</v>
      </c>
      <c r="AD15" s="22">
        <v>94</v>
      </c>
      <c r="AE15" s="22">
        <v>73</v>
      </c>
      <c r="AF15" s="22">
        <v>680</v>
      </c>
      <c r="AG15" s="22">
        <v>3</v>
      </c>
      <c r="AH15" s="23" t="s">
        <v>101</v>
      </c>
      <c r="AI15" s="24">
        <f t="shared" si="0"/>
        <v>4.9230769230769234</v>
      </c>
      <c r="AJ15" s="24">
        <f t="shared" si="1"/>
        <v>9.3150684931506849</v>
      </c>
      <c r="AK15" s="25">
        <f t="shared" si="2"/>
        <v>0.77659574468085102</v>
      </c>
      <c r="AL15" s="24" t="str">
        <f t="shared" si="3"/>
        <v/>
      </c>
      <c r="AM15" s="25" t="str">
        <f t="shared" si="4"/>
        <v/>
      </c>
      <c r="AN15" s="25">
        <f t="shared" si="5"/>
        <v>0.56815816857440171</v>
      </c>
      <c r="AO15" s="25">
        <f t="shared" si="6"/>
        <v>0.16936936936936936</v>
      </c>
      <c r="AP15" s="25">
        <f t="shared" si="7"/>
        <v>0</v>
      </c>
      <c r="AQ15" s="26">
        <f t="shared" si="8"/>
        <v>16.058823529411764</v>
      </c>
      <c r="AR15" s="26">
        <f t="shared" si="9"/>
        <v>5.5294117647058822</v>
      </c>
      <c r="AS15" s="27">
        <f t="shared" si="10"/>
        <v>-9</v>
      </c>
      <c r="AT15" s="27">
        <f t="shared" si="11"/>
        <v>-14</v>
      </c>
      <c r="AU15" s="28">
        <f>AF15*Settings!$B$7+AG15*Settings!$B$8+AE15*Settings!$B$9+AB15*Settings!$B$10+AC15*Settings!$B$11+X15*Settings!$B$12+Y15*Settings!$B$13+Z15*Settings!$B$14</f>
        <v>310.89999999999998</v>
      </c>
    </row>
    <row r="16" spans="1:47" x14ac:dyDescent="0.25">
      <c r="A16" s="15" t="s">
        <v>107</v>
      </c>
      <c r="B16" s="16" t="s">
        <v>157</v>
      </c>
      <c r="C16" s="17">
        <v>2</v>
      </c>
      <c r="D16" s="17" t="s">
        <v>158</v>
      </c>
      <c r="E16" s="18" t="s">
        <v>99</v>
      </c>
      <c r="F16" s="19">
        <v>178</v>
      </c>
      <c r="G16" s="19">
        <v>187</v>
      </c>
      <c r="H16" s="19">
        <v>92</v>
      </c>
      <c r="I16" s="19">
        <v>400</v>
      </c>
      <c r="J16" s="19">
        <v>43</v>
      </c>
      <c r="K16" s="19">
        <v>25</v>
      </c>
      <c r="L16" s="19">
        <v>12</v>
      </c>
      <c r="M16" s="19">
        <v>25</v>
      </c>
      <c r="N16" s="19" t="s">
        <v>125</v>
      </c>
      <c r="O16" s="19">
        <v>17</v>
      </c>
      <c r="P16" s="20">
        <v>4.2300000000000004</v>
      </c>
      <c r="Q16" s="20">
        <v>8.6199999999999992</v>
      </c>
      <c r="R16" s="21">
        <v>0.8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117</v>
      </c>
      <c r="AB16" s="22">
        <v>500</v>
      </c>
      <c r="AC16" s="22">
        <v>4</v>
      </c>
      <c r="AD16" s="22">
        <v>11</v>
      </c>
      <c r="AE16" s="22">
        <v>9</v>
      </c>
      <c r="AF16" s="22">
        <v>62</v>
      </c>
      <c r="AG16" s="22">
        <v>0</v>
      </c>
      <c r="AH16" s="23" t="s">
        <v>101</v>
      </c>
      <c r="AI16" s="24">
        <f t="shared" si="0"/>
        <v>4.2735042735042734</v>
      </c>
      <c r="AJ16" s="24">
        <f t="shared" si="1"/>
        <v>6.8888888888888893</v>
      </c>
      <c r="AK16" s="25">
        <f t="shared" si="2"/>
        <v>0.81818181818181823</v>
      </c>
      <c r="AL16" s="24" t="str">
        <f t="shared" si="3"/>
        <v/>
      </c>
      <c r="AM16" s="25" t="str">
        <f t="shared" si="4"/>
        <v/>
      </c>
      <c r="AN16" s="25">
        <f t="shared" si="5"/>
        <v>0.24349635796045785</v>
      </c>
      <c r="AO16" s="25">
        <f t="shared" si="6"/>
        <v>1.9819819819819819E-2</v>
      </c>
      <c r="AP16" s="25">
        <f t="shared" si="7"/>
        <v>0</v>
      </c>
      <c r="AQ16" s="26">
        <f t="shared" si="8"/>
        <v>6.882352941176471</v>
      </c>
      <c r="AR16" s="26">
        <f t="shared" si="9"/>
        <v>0.6470588235294118</v>
      </c>
      <c r="AS16" s="27">
        <f t="shared" si="10"/>
        <v>-1</v>
      </c>
      <c r="AT16" s="27">
        <f t="shared" si="11"/>
        <v>25</v>
      </c>
      <c r="AU16" s="28">
        <f>AF16*Settings!$B$7+AG16*Settings!$B$8+AE16*Settings!$B$9+AB16*Settings!$B$10+AC16*Settings!$B$11+X16*Settings!$B$12+Y16*Settings!$B$13+Z16*Settings!$B$14</f>
        <v>84.7</v>
      </c>
    </row>
    <row r="17" spans="1:47" x14ac:dyDescent="0.25">
      <c r="A17" s="15" t="s">
        <v>107</v>
      </c>
      <c r="B17" s="16" t="s">
        <v>159</v>
      </c>
      <c r="C17" s="17">
        <v>3</v>
      </c>
      <c r="D17" s="17" t="s">
        <v>105</v>
      </c>
      <c r="E17" s="18" t="s">
        <v>99</v>
      </c>
      <c r="F17" s="19">
        <v>13</v>
      </c>
      <c r="G17" s="19">
        <v>32</v>
      </c>
      <c r="H17" s="19">
        <v>9</v>
      </c>
      <c r="I17" s="19">
        <v>24</v>
      </c>
      <c r="J17" s="19">
        <v>9</v>
      </c>
      <c r="K17" s="19">
        <v>15</v>
      </c>
      <c r="L17" s="19">
        <v>3</v>
      </c>
      <c r="M17" s="19">
        <v>8</v>
      </c>
      <c r="N17" s="19" t="s">
        <v>160</v>
      </c>
      <c r="O17" s="19">
        <v>11</v>
      </c>
      <c r="P17" s="20">
        <v>4.8899999999999997</v>
      </c>
      <c r="Q17" s="20">
        <v>5.42</v>
      </c>
      <c r="R17" s="21">
        <v>0.70399999999999996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22</v>
      </c>
      <c r="AB17" s="22">
        <v>76</v>
      </c>
      <c r="AC17" s="22">
        <v>1</v>
      </c>
      <c r="AD17" s="22">
        <v>4</v>
      </c>
      <c r="AE17" s="22">
        <v>4</v>
      </c>
      <c r="AF17" s="22">
        <v>25</v>
      </c>
      <c r="AG17" s="22">
        <v>0</v>
      </c>
      <c r="AH17" s="23" t="s">
        <v>101</v>
      </c>
      <c r="AI17" s="24">
        <f t="shared" si="0"/>
        <v>3.4545454545454546</v>
      </c>
      <c r="AJ17" s="24">
        <f t="shared" si="1"/>
        <v>6.25</v>
      </c>
      <c r="AK17" s="25">
        <f t="shared" si="2"/>
        <v>1</v>
      </c>
      <c r="AL17" s="24" t="str">
        <f t="shared" si="3"/>
        <v/>
      </c>
      <c r="AM17" s="25" t="str">
        <f t="shared" si="4"/>
        <v/>
      </c>
      <c r="AN17" s="25">
        <f t="shared" si="5"/>
        <v>4.5785639958376693E-2</v>
      </c>
      <c r="AO17" s="25">
        <f t="shared" si="6"/>
        <v>7.2072072072072073E-3</v>
      </c>
      <c r="AP17" s="25">
        <f t="shared" si="7"/>
        <v>0</v>
      </c>
      <c r="AQ17" s="26">
        <f t="shared" si="8"/>
        <v>1.2941176470588236</v>
      </c>
      <c r="AR17" s="26">
        <f t="shared" si="9"/>
        <v>0.23529411764705882</v>
      </c>
      <c r="AS17" s="27">
        <f t="shared" si="10"/>
        <v>1</v>
      </c>
      <c r="AT17" s="27">
        <f t="shared" si="11"/>
        <v>13</v>
      </c>
      <c r="AU17" s="28">
        <f>AF17*Settings!$B$7+AG17*Settings!$B$8+AE17*Settings!$B$9+AB17*Settings!$B$10+AC17*Settings!$B$11+X17*Settings!$B$12+Y17*Settings!$B$13+Z17*Settings!$B$14</f>
        <v>18.100000000000001</v>
      </c>
    </row>
    <row r="18" spans="1:47" x14ac:dyDescent="0.25">
      <c r="A18" s="15" t="s">
        <v>107</v>
      </c>
      <c r="B18" s="16" t="s">
        <v>161</v>
      </c>
      <c r="C18" s="17">
        <v>4</v>
      </c>
      <c r="D18" s="17" t="s">
        <v>118</v>
      </c>
      <c r="E18" s="18" t="s">
        <v>99</v>
      </c>
      <c r="F18" s="19"/>
      <c r="G18" s="19"/>
      <c r="H18" s="19">
        <v>9</v>
      </c>
      <c r="I18" s="19">
        <v>60</v>
      </c>
      <c r="J18" s="19"/>
      <c r="K18" s="19"/>
      <c r="L18" s="19"/>
      <c r="M18" s="19"/>
      <c r="N18" s="19" t="s">
        <v>112</v>
      </c>
      <c r="O18" s="19">
        <v>7</v>
      </c>
      <c r="P18" s="20">
        <v>6.67</v>
      </c>
      <c r="Q18" s="20"/>
      <c r="R18" s="21"/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10</v>
      </c>
      <c r="AB18" s="22">
        <v>64</v>
      </c>
      <c r="AC18" s="22">
        <v>1</v>
      </c>
      <c r="AD18" s="22">
        <v>0</v>
      </c>
      <c r="AE18" s="22">
        <v>0</v>
      </c>
      <c r="AF18" s="22">
        <v>0</v>
      </c>
      <c r="AG18" s="22">
        <v>0</v>
      </c>
      <c r="AH18" s="23" t="s">
        <v>101</v>
      </c>
      <c r="AI18" s="24">
        <f t="shared" si="0"/>
        <v>6.4</v>
      </c>
      <c r="AJ18" s="24" t="str">
        <f t="shared" si="1"/>
        <v/>
      </c>
      <c r="AK18" s="25" t="str">
        <f t="shared" si="2"/>
        <v/>
      </c>
      <c r="AL18" s="24" t="str">
        <f t="shared" si="3"/>
        <v/>
      </c>
      <c r="AM18" s="25" t="str">
        <f t="shared" si="4"/>
        <v/>
      </c>
      <c r="AN18" s="25">
        <f t="shared" si="5"/>
        <v>2.081165452653486E-2</v>
      </c>
      <c r="AO18" s="25">
        <f t="shared" si="6"/>
        <v>0</v>
      </c>
      <c r="AP18" s="25">
        <f t="shared" si="7"/>
        <v>0</v>
      </c>
      <c r="AQ18" s="26">
        <f t="shared" si="8"/>
        <v>0.58823529411764708</v>
      </c>
      <c r="AR18" s="26">
        <f t="shared" si="9"/>
        <v>0</v>
      </c>
      <c r="AS18" s="27">
        <f t="shared" si="10"/>
        <v>0</v>
      </c>
      <c r="AT18" s="27">
        <f t="shared" si="11"/>
        <v>1</v>
      </c>
      <c r="AU18" s="28">
        <f>AF18*Settings!$B$7+AG18*Settings!$B$8+AE18*Settings!$B$9+AB18*Settings!$B$10+AC18*Settings!$B$11+X18*Settings!$B$12+Y18*Settings!$B$13+Z18*Settings!$B$14</f>
        <v>12.4</v>
      </c>
    </row>
    <row r="19" spans="1:47" x14ac:dyDescent="0.25">
      <c r="A19" s="15" t="s">
        <v>107</v>
      </c>
      <c r="B19" s="16" t="s">
        <v>162</v>
      </c>
      <c r="C19" s="17">
        <v>5</v>
      </c>
      <c r="D19" s="17" t="s">
        <v>118</v>
      </c>
      <c r="E19" s="18" t="s">
        <v>99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1"/>
      <c r="S19" s="21"/>
      <c r="T19" s="20"/>
      <c r="U19" s="22">
        <v>17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33"/>
      <c r="AI19" s="24" t="str">
        <f t="shared" si="0"/>
        <v/>
      </c>
      <c r="AJ19" s="24" t="str">
        <f t="shared" si="1"/>
        <v/>
      </c>
      <c r="AK19" s="25" t="str">
        <f t="shared" si="2"/>
        <v/>
      </c>
      <c r="AL19" s="24" t="str">
        <f t="shared" si="3"/>
        <v/>
      </c>
      <c r="AM19" s="25" t="str">
        <f t="shared" si="4"/>
        <v/>
      </c>
      <c r="AN19" s="25">
        <f t="shared" si="5"/>
        <v>0</v>
      </c>
      <c r="AO19" s="25">
        <f t="shared" si="6"/>
        <v>0</v>
      </c>
      <c r="AP19" s="25">
        <f t="shared" si="7"/>
        <v>0</v>
      </c>
      <c r="AQ19" s="26">
        <f t="shared" si="8"/>
        <v>0</v>
      </c>
      <c r="AR19" s="26">
        <f t="shared" si="9"/>
        <v>0</v>
      </c>
      <c r="AS19" s="27">
        <f t="shared" si="10"/>
        <v>0</v>
      </c>
      <c r="AT19" s="27">
        <f t="shared" si="11"/>
        <v>0</v>
      </c>
      <c r="AU19" s="28">
        <f>AF19*Settings!$B$7+AG19*Settings!$B$8+AE19*Settings!$B$9+AB19*Settings!$B$10+AC19*Settings!$B$11+X19*Settings!$B$12+Y19*Settings!$B$13+Z19*Settings!$B$14</f>
        <v>0</v>
      </c>
    </row>
    <row r="20" spans="1:47" x14ac:dyDescent="0.25">
      <c r="A20" s="15" t="s">
        <v>107</v>
      </c>
      <c r="B20" s="37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16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 t="str">
        <f t="shared" si="8"/>
        <v/>
      </c>
      <c r="AR20" s="26" t="str">
        <f t="shared" si="9"/>
        <v/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163</v>
      </c>
      <c r="C22" s="17">
        <v>1</v>
      </c>
      <c r="D22" s="17" t="s">
        <v>105</v>
      </c>
      <c r="E22" s="18" t="s">
        <v>99</v>
      </c>
      <c r="F22" s="19"/>
      <c r="G22" s="19">
        <v>1</v>
      </c>
      <c r="H22" s="19"/>
      <c r="I22" s="19"/>
      <c r="J22" s="19">
        <v>110</v>
      </c>
      <c r="K22" s="19">
        <v>158</v>
      </c>
      <c r="L22" s="19">
        <v>112</v>
      </c>
      <c r="M22" s="19">
        <v>919</v>
      </c>
      <c r="N22" s="19" t="s">
        <v>112</v>
      </c>
      <c r="O22" s="19">
        <v>12</v>
      </c>
      <c r="P22" s="20">
        <v>-3</v>
      </c>
      <c r="Q22" s="20">
        <v>13.06</v>
      </c>
      <c r="R22" s="21">
        <v>0.624</v>
      </c>
      <c r="S22" s="21">
        <v>1</v>
      </c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148</v>
      </c>
      <c r="AE22" s="22">
        <v>89</v>
      </c>
      <c r="AF22" s="22">
        <v>1189</v>
      </c>
      <c r="AG22" s="22">
        <v>7</v>
      </c>
      <c r="AH22" s="23" t="s">
        <v>101</v>
      </c>
      <c r="AI22" s="24" t="str">
        <f t="shared" si="0"/>
        <v/>
      </c>
      <c r="AJ22" s="24">
        <f t="shared" si="1"/>
        <v>13.359550561797754</v>
      </c>
      <c r="AK22" s="25">
        <f t="shared" si="2"/>
        <v>0.60135135135135132</v>
      </c>
      <c r="AL22" s="24" t="str">
        <f t="shared" si="3"/>
        <v/>
      </c>
      <c r="AM22" s="25" t="str">
        <f t="shared" si="4"/>
        <v/>
      </c>
      <c r="AN22" s="25">
        <f t="shared" si="5"/>
        <v>0</v>
      </c>
      <c r="AO22" s="25">
        <f t="shared" si="6"/>
        <v>0.26666666666666666</v>
      </c>
      <c r="AP22" s="25">
        <f t="shared" si="7"/>
        <v>0</v>
      </c>
      <c r="AQ22" s="26">
        <f t="shared" si="8"/>
        <v>0</v>
      </c>
      <c r="AR22" s="26">
        <f t="shared" si="9"/>
        <v>8.7058823529411757</v>
      </c>
      <c r="AS22" s="27">
        <f t="shared" si="10"/>
        <v>36</v>
      </c>
      <c r="AT22" s="27">
        <f t="shared" si="11"/>
        <v>0</v>
      </c>
      <c r="AU22" s="28">
        <f>AF22*Settings!$B$7+AG22*Settings!$B$8+AE22*Settings!$B$9+AB22*Settings!$B$10+AC22*Settings!$B$11+X22*Settings!$B$12+Y22*Settings!$B$13+Z22*Settings!$B$14</f>
        <v>205.4</v>
      </c>
    </row>
    <row r="23" spans="1:47" x14ac:dyDescent="0.25">
      <c r="A23" s="15" t="s">
        <v>121</v>
      </c>
      <c r="B23" s="16" t="s">
        <v>164</v>
      </c>
      <c r="C23" s="17">
        <v>2</v>
      </c>
      <c r="D23" s="17" t="s">
        <v>128</v>
      </c>
      <c r="E23" s="18" t="s">
        <v>99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  <c r="Q23" s="20"/>
      <c r="R23" s="21"/>
      <c r="S23" s="21"/>
      <c r="T23" s="20"/>
      <c r="U23" s="22">
        <v>17</v>
      </c>
      <c r="V23" s="22"/>
      <c r="W23" s="22"/>
      <c r="X23" s="22"/>
      <c r="Y23" s="22"/>
      <c r="Z23" s="22"/>
      <c r="AA23" s="22">
        <v>3</v>
      </c>
      <c r="AB23" s="22">
        <v>22</v>
      </c>
      <c r="AC23" s="22">
        <v>0</v>
      </c>
      <c r="AD23" s="22">
        <v>54</v>
      </c>
      <c r="AE23" s="22">
        <v>35</v>
      </c>
      <c r="AF23" s="22">
        <v>415</v>
      </c>
      <c r="AG23" s="22">
        <v>2</v>
      </c>
      <c r="AH23" s="23" t="s">
        <v>101</v>
      </c>
      <c r="AI23" s="24">
        <f t="shared" si="0"/>
        <v>7.333333333333333</v>
      </c>
      <c r="AJ23" s="24">
        <f t="shared" si="1"/>
        <v>11.857142857142858</v>
      </c>
      <c r="AK23" s="25">
        <f t="shared" si="2"/>
        <v>0.64814814814814814</v>
      </c>
      <c r="AL23" s="24" t="str">
        <f t="shared" si="3"/>
        <v/>
      </c>
      <c r="AM23" s="25" t="str">
        <f t="shared" si="4"/>
        <v/>
      </c>
      <c r="AN23" s="25">
        <f t="shared" si="5"/>
        <v>6.2434963579604576E-3</v>
      </c>
      <c r="AO23" s="25">
        <f t="shared" si="6"/>
        <v>9.7297297297297303E-2</v>
      </c>
      <c r="AP23" s="25">
        <f t="shared" si="7"/>
        <v>0</v>
      </c>
      <c r="AQ23" s="26">
        <f t="shared" si="8"/>
        <v>0.17647058823529413</v>
      </c>
      <c r="AR23" s="26">
        <f t="shared" si="9"/>
        <v>3.1764705882352939</v>
      </c>
      <c r="AS23" s="27">
        <f t="shared" si="10"/>
        <v>54</v>
      </c>
      <c r="AT23" s="27">
        <f t="shared" si="11"/>
        <v>3</v>
      </c>
      <c r="AU23" s="28">
        <f>AF23*Settings!$B$7+AG23*Settings!$B$8+AE23*Settings!$B$9+AB23*Settings!$B$10+AC23*Settings!$B$11+X23*Settings!$B$12+Y23*Settings!$B$13+Z23*Settings!$B$14</f>
        <v>73.2</v>
      </c>
    </row>
    <row r="24" spans="1:47" x14ac:dyDescent="0.25">
      <c r="A24" s="15" t="s">
        <v>121</v>
      </c>
      <c r="B24" s="16" t="s">
        <v>165</v>
      </c>
      <c r="C24" s="17">
        <v>3</v>
      </c>
      <c r="D24" s="17" t="s">
        <v>111</v>
      </c>
      <c r="E24" s="18" t="s">
        <v>99</v>
      </c>
      <c r="F24" s="19"/>
      <c r="G24" s="19">
        <v>1</v>
      </c>
      <c r="H24" s="19"/>
      <c r="I24" s="19"/>
      <c r="J24" s="19">
        <v>83</v>
      </c>
      <c r="K24" s="19">
        <v>33</v>
      </c>
      <c r="L24" s="19">
        <v>36</v>
      </c>
      <c r="M24" s="19">
        <v>262</v>
      </c>
      <c r="N24" s="19" t="s">
        <v>166</v>
      </c>
      <c r="O24" s="19">
        <v>17</v>
      </c>
      <c r="P24" s="20">
        <v>13</v>
      </c>
      <c r="Q24" s="20">
        <v>11.58</v>
      </c>
      <c r="R24" s="21">
        <v>0.56599999999999995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1</v>
      </c>
      <c r="AC24" s="22">
        <v>0</v>
      </c>
      <c r="AD24" s="22">
        <v>43</v>
      </c>
      <c r="AE24" s="22">
        <v>25</v>
      </c>
      <c r="AF24" s="22">
        <v>326</v>
      </c>
      <c r="AG24" s="22">
        <v>2</v>
      </c>
      <c r="AH24" s="23" t="s">
        <v>101</v>
      </c>
      <c r="AI24" s="24" t="str">
        <f t="shared" si="0"/>
        <v/>
      </c>
      <c r="AJ24" s="24">
        <f t="shared" si="1"/>
        <v>13.04</v>
      </c>
      <c r="AK24" s="25">
        <f t="shared" si="2"/>
        <v>0.58139534883720934</v>
      </c>
      <c r="AL24" s="24" t="str">
        <f t="shared" si="3"/>
        <v/>
      </c>
      <c r="AM24" s="25" t="str">
        <f t="shared" si="4"/>
        <v/>
      </c>
      <c r="AN24" s="25">
        <f t="shared" si="5"/>
        <v>0</v>
      </c>
      <c r="AO24" s="25">
        <f t="shared" si="6"/>
        <v>7.7477477477477477E-2</v>
      </c>
      <c r="AP24" s="25">
        <f t="shared" si="7"/>
        <v>0</v>
      </c>
      <c r="AQ24" s="26">
        <f t="shared" si="8"/>
        <v>0</v>
      </c>
      <c r="AR24" s="26">
        <f t="shared" si="9"/>
        <v>2.5294117647058822</v>
      </c>
      <c r="AS24" s="27">
        <f t="shared" si="10"/>
        <v>7</v>
      </c>
      <c r="AT24" s="27">
        <f t="shared" si="11"/>
        <v>0</v>
      </c>
      <c r="AU24" s="28">
        <f>AF24*Settings!$B$7+AG24*Settings!$B$8+AE24*Settings!$B$9+AB24*Settings!$B$10+AC24*Settings!$B$11+X24*Settings!$B$12+Y24*Settings!$B$13+Z24*Settings!$B$14</f>
        <v>57.2</v>
      </c>
    </row>
    <row r="25" spans="1:47" x14ac:dyDescent="0.25">
      <c r="A25" s="15" t="s">
        <v>121</v>
      </c>
      <c r="B25" s="16" t="s">
        <v>167</v>
      </c>
      <c r="C25" s="17">
        <v>4</v>
      </c>
      <c r="D25" s="17" t="s">
        <v>168</v>
      </c>
      <c r="E25" s="18" t="s">
        <v>99</v>
      </c>
      <c r="F25" s="19"/>
      <c r="G25" s="19">
        <v>1</v>
      </c>
      <c r="H25" s="19">
        <v>4</v>
      </c>
      <c r="I25" s="19">
        <v>25</v>
      </c>
      <c r="J25" s="19">
        <v>20</v>
      </c>
      <c r="K25" s="19">
        <v>64</v>
      </c>
      <c r="L25" s="19">
        <v>65</v>
      </c>
      <c r="M25" s="19">
        <v>313</v>
      </c>
      <c r="N25" s="19" t="s">
        <v>132</v>
      </c>
      <c r="O25" s="19">
        <v>16</v>
      </c>
      <c r="P25" s="20">
        <v>6.6</v>
      </c>
      <c r="Q25" s="20">
        <v>10.46</v>
      </c>
      <c r="R25" s="21">
        <v>0.63100000000000001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1</v>
      </c>
      <c r="AB25" s="22">
        <v>6</v>
      </c>
      <c r="AC25" s="22">
        <v>0</v>
      </c>
      <c r="AD25" s="22">
        <v>44</v>
      </c>
      <c r="AE25" s="22">
        <v>28</v>
      </c>
      <c r="AF25" s="22">
        <v>278</v>
      </c>
      <c r="AG25" s="22">
        <v>2</v>
      </c>
      <c r="AH25" s="23" t="s">
        <v>101</v>
      </c>
      <c r="AI25" s="24">
        <f t="shared" si="0"/>
        <v>6</v>
      </c>
      <c r="AJ25" s="24">
        <f t="shared" si="1"/>
        <v>9.9285714285714288</v>
      </c>
      <c r="AK25" s="25">
        <f t="shared" si="2"/>
        <v>0.63636363636363635</v>
      </c>
      <c r="AL25" s="24" t="str">
        <f t="shared" si="3"/>
        <v/>
      </c>
      <c r="AM25" s="25" t="str">
        <f t="shared" si="4"/>
        <v/>
      </c>
      <c r="AN25" s="25">
        <f t="shared" si="5"/>
        <v>2.0811654526534861E-3</v>
      </c>
      <c r="AO25" s="25">
        <f t="shared" si="6"/>
        <v>7.9279279279279274E-2</v>
      </c>
      <c r="AP25" s="25">
        <f t="shared" si="7"/>
        <v>0</v>
      </c>
      <c r="AQ25" s="26">
        <f t="shared" si="8"/>
        <v>5.8823529411764705E-2</v>
      </c>
      <c r="AR25" s="26">
        <f t="shared" si="9"/>
        <v>2.5882352941176472</v>
      </c>
      <c r="AS25" s="27">
        <f t="shared" si="10"/>
        <v>-21</v>
      </c>
      <c r="AT25" s="27">
        <f t="shared" si="11"/>
        <v>-3</v>
      </c>
      <c r="AU25" s="28">
        <f>AF25*Settings!$B$7+AG25*Settings!$B$8+AE25*Settings!$B$9+AB25*Settings!$B$10+AC25*Settings!$B$11+X25*Settings!$B$12+Y25*Settings!$B$13+Z25*Settings!$B$14</f>
        <v>54.4</v>
      </c>
    </row>
    <row r="26" spans="1:47" x14ac:dyDescent="0.25">
      <c r="A26" s="15" t="s">
        <v>121</v>
      </c>
      <c r="B26" s="16" t="s">
        <v>169</v>
      </c>
      <c r="C26" s="17">
        <v>5</v>
      </c>
      <c r="D26" s="17" t="s">
        <v>111</v>
      </c>
      <c r="E26" s="18" t="s">
        <v>99</v>
      </c>
      <c r="F26" s="19"/>
      <c r="G26" s="19"/>
      <c r="H26" s="19"/>
      <c r="I26" s="19"/>
      <c r="J26" s="19"/>
      <c r="K26" s="19"/>
      <c r="L26" s="19">
        <v>11</v>
      </c>
      <c r="M26" s="19">
        <v>42</v>
      </c>
      <c r="N26" s="19" t="s">
        <v>112</v>
      </c>
      <c r="O26" s="19">
        <v>9</v>
      </c>
      <c r="P26" s="20"/>
      <c r="Q26" s="20">
        <v>6</v>
      </c>
      <c r="R26" s="21">
        <v>0.63600000000000001</v>
      </c>
      <c r="S26" s="21"/>
      <c r="T26" s="20"/>
      <c r="U26" s="22">
        <v>17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11</v>
      </c>
      <c r="AE26" s="22">
        <v>7</v>
      </c>
      <c r="AF26" s="22">
        <v>42</v>
      </c>
      <c r="AG26" s="22">
        <v>0</v>
      </c>
      <c r="AH26" s="23" t="s">
        <v>101</v>
      </c>
      <c r="AI26" s="24" t="str">
        <f t="shared" si="0"/>
        <v/>
      </c>
      <c r="AJ26" s="24">
        <f t="shared" si="1"/>
        <v>6</v>
      </c>
      <c r="AK26" s="25">
        <f t="shared" si="2"/>
        <v>0.63636363636363635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1.9819819819819819E-2</v>
      </c>
      <c r="AP26" s="25">
        <f t="shared" si="7"/>
        <v>0</v>
      </c>
      <c r="AQ26" s="26">
        <f t="shared" si="8"/>
        <v>0</v>
      </c>
      <c r="AR26" s="26">
        <f t="shared" si="9"/>
        <v>0.6470588235294118</v>
      </c>
      <c r="AS26" s="27">
        <f t="shared" si="10"/>
        <v>0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7.7</v>
      </c>
    </row>
    <row r="27" spans="1:47" x14ac:dyDescent="0.25">
      <c r="A27" s="15" t="s">
        <v>121</v>
      </c>
      <c r="B27" s="16" t="s">
        <v>170</v>
      </c>
      <c r="C27" s="17">
        <v>6</v>
      </c>
      <c r="D27" s="17" t="s">
        <v>130</v>
      </c>
      <c r="E27" s="18" t="s">
        <v>99</v>
      </c>
      <c r="F27" s="19"/>
      <c r="G27" s="19"/>
      <c r="H27" s="19"/>
      <c r="I27" s="19"/>
      <c r="J27" s="19"/>
      <c r="K27" s="19">
        <v>2</v>
      </c>
      <c r="L27" s="19"/>
      <c r="M27" s="19"/>
      <c r="N27" s="19"/>
      <c r="O27" s="19"/>
      <c r="P27" s="20"/>
      <c r="Q27" s="20">
        <v>17</v>
      </c>
      <c r="R27" s="21">
        <v>0.5</v>
      </c>
      <c r="S27" s="21"/>
      <c r="T27" s="20"/>
      <c r="U27" s="22">
        <v>17</v>
      </c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33"/>
      <c r="AI27" s="24" t="str">
        <f t="shared" si="0"/>
        <v/>
      </c>
      <c r="AJ27" s="24" t="str">
        <f t="shared" si="1"/>
        <v/>
      </c>
      <c r="AK27" s="25" t="str">
        <f t="shared" si="2"/>
        <v/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0</v>
      </c>
      <c r="AP27" s="25">
        <f t="shared" si="7"/>
        <v>0</v>
      </c>
      <c r="AQ27" s="26">
        <f t="shared" si="8"/>
        <v>0</v>
      </c>
      <c r="AR27" s="26">
        <f t="shared" si="9"/>
        <v>0</v>
      </c>
      <c r="AS27" s="27">
        <f t="shared" si="10"/>
        <v>0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0</v>
      </c>
    </row>
    <row r="28" spans="1:47" x14ac:dyDescent="0.25">
      <c r="A28" s="15" t="s">
        <v>121</v>
      </c>
      <c r="B28" s="16" t="s">
        <v>171</v>
      </c>
      <c r="C28" s="17">
        <v>7</v>
      </c>
      <c r="D28" s="17" t="s">
        <v>105</v>
      </c>
      <c r="E28" s="18" t="s">
        <v>99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20"/>
      <c r="R28" s="21"/>
      <c r="S28" s="21"/>
      <c r="T28" s="20"/>
      <c r="U28" s="22">
        <v>17</v>
      </c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33"/>
      <c r="AI28" s="24" t="str">
        <f t="shared" si="0"/>
        <v/>
      </c>
      <c r="AJ28" s="24" t="str">
        <f t="shared" si="1"/>
        <v/>
      </c>
      <c r="AK28" s="25" t="str">
        <f t="shared" si="2"/>
        <v/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0</v>
      </c>
      <c r="AP28" s="25">
        <f t="shared" si="7"/>
        <v>0</v>
      </c>
      <c r="AQ28" s="26">
        <f t="shared" si="8"/>
        <v>0</v>
      </c>
      <c r="AR28" s="26">
        <f t="shared" si="9"/>
        <v>0</v>
      </c>
      <c r="AS28" s="27">
        <f t="shared" si="10"/>
        <v>0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0</v>
      </c>
    </row>
    <row r="29" spans="1:47" x14ac:dyDescent="0.25">
      <c r="A29" s="15" t="s">
        <v>121</v>
      </c>
      <c r="B29" s="16" t="s">
        <v>172</v>
      </c>
      <c r="C29" s="17">
        <v>8</v>
      </c>
      <c r="D29" s="17"/>
      <c r="E29" s="18" t="s">
        <v>99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1"/>
      <c r="S29" s="21"/>
      <c r="T29" s="20"/>
      <c r="U29" s="22">
        <v>17</v>
      </c>
      <c r="V29" s="22"/>
      <c r="W29" s="22"/>
      <c r="X29" s="22"/>
      <c r="Y29" s="22"/>
      <c r="Z29" s="22"/>
      <c r="AA29" s="22">
        <v>0</v>
      </c>
      <c r="AB29" s="22">
        <v>0</v>
      </c>
      <c r="AC29" s="22">
        <v>0</v>
      </c>
      <c r="AD29" s="22">
        <v>0</v>
      </c>
      <c r="AE29" s="22">
        <v>2</v>
      </c>
      <c r="AF29" s="22">
        <v>20</v>
      </c>
      <c r="AG29" s="22">
        <v>0</v>
      </c>
      <c r="AH29" s="23" t="s">
        <v>101</v>
      </c>
      <c r="AI29" s="24" t="str">
        <f t="shared" si="0"/>
        <v/>
      </c>
      <c r="AJ29" s="24">
        <f t="shared" si="1"/>
        <v>10</v>
      </c>
      <c r="AK29" s="25" t="str">
        <f t="shared" si="2"/>
        <v/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0</v>
      </c>
      <c r="AP29" s="25">
        <f t="shared" si="7"/>
        <v>0</v>
      </c>
      <c r="AQ29" s="26">
        <f t="shared" si="8"/>
        <v>0</v>
      </c>
      <c r="AR29" s="26">
        <f t="shared" si="9"/>
        <v>0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3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173</v>
      </c>
      <c r="C31" s="17">
        <v>1</v>
      </c>
      <c r="D31" s="17" t="s">
        <v>105</v>
      </c>
      <c r="E31" s="18" t="s">
        <v>99</v>
      </c>
      <c r="F31" s="19">
        <v>1</v>
      </c>
      <c r="G31" s="19"/>
      <c r="H31" s="19"/>
      <c r="I31" s="19"/>
      <c r="J31" s="19">
        <v>90</v>
      </c>
      <c r="K31" s="19">
        <v>74</v>
      </c>
      <c r="L31" s="19">
        <v>118</v>
      </c>
      <c r="M31" s="19">
        <v>928</v>
      </c>
      <c r="N31" s="19" t="s">
        <v>112</v>
      </c>
      <c r="O31" s="19">
        <v>17</v>
      </c>
      <c r="P31" s="20">
        <v>-4</v>
      </c>
      <c r="Q31" s="20">
        <v>11.69</v>
      </c>
      <c r="R31" s="21">
        <v>0.66700000000000004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106</v>
      </c>
      <c r="AE31" s="22">
        <v>73</v>
      </c>
      <c r="AF31" s="22">
        <v>772</v>
      </c>
      <c r="AG31" s="22">
        <v>4</v>
      </c>
      <c r="AH31" s="23" t="s">
        <v>101</v>
      </c>
      <c r="AI31" s="24" t="str">
        <f t="shared" si="0"/>
        <v/>
      </c>
      <c r="AJ31" s="24">
        <f t="shared" si="1"/>
        <v>10.575342465753424</v>
      </c>
      <c r="AK31" s="25">
        <f t="shared" si="2"/>
        <v>0.68867924528301883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0.19099099099099098</v>
      </c>
      <c r="AP31" s="25">
        <f t="shared" si="7"/>
        <v>0</v>
      </c>
      <c r="AQ31" s="26">
        <f t="shared" si="8"/>
        <v>0</v>
      </c>
      <c r="AR31" s="26">
        <f t="shared" si="9"/>
        <v>6.2352941176470589</v>
      </c>
      <c r="AS31" s="27">
        <f t="shared" si="10"/>
        <v>-12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137.69999999999999</v>
      </c>
    </row>
    <row r="32" spans="1:47" x14ac:dyDescent="0.25">
      <c r="A32" s="15" t="s">
        <v>135</v>
      </c>
      <c r="B32" s="16" t="s">
        <v>174</v>
      </c>
      <c r="C32" s="17">
        <v>2</v>
      </c>
      <c r="D32" s="17" t="s">
        <v>114</v>
      </c>
      <c r="E32" s="18" t="s">
        <v>99</v>
      </c>
      <c r="F32" s="19"/>
      <c r="G32" s="19"/>
      <c r="H32" s="19"/>
      <c r="I32" s="19"/>
      <c r="J32" s="19">
        <v>31</v>
      </c>
      <c r="K32" s="19">
        <v>59</v>
      </c>
      <c r="L32" s="19">
        <v>26</v>
      </c>
      <c r="M32" s="19">
        <v>263</v>
      </c>
      <c r="N32" s="19" t="s">
        <v>175</v>
      </c>
      <c r="O32" s="19">
        <v>16</v>
      </c>
      <c r="P32" s="20"/>
      <c r="Q32" s="20">
        <v>10.69</v>
      </c>
      <c r="R32" s="21">
        <v>0.78400000000000003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18</v>
      </c>
      <c r="AE32" s="22">
        <v>15</v>
      </c>
      <c r="AF32" s="22">
        <v>124</v>
      </c>
      <c r="AG32" s="22">
        <v>1</v>
      </c>
      <c r="AH32" s="23" t="s">
        <v>101</v>
      </c>
      <c r="AI32" s="24" t="str">
        <f t="shared" si="0"/>
        <v/>
      </c>
      <c r="AJ32" s="24">
        <f t="shared" si="1"/>
        <v>8.2666666666666675</v>
      </c>
      <c r="AK32" s="25">
        <f t="shared" si="2"/>
        <v>0.83333333333333337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3.2432432432432434E-2</v>
      </c>
      <c r="AP32" s="25">
        <f t="shared" si="7"/>
        <v>0</v>
      </c>
      <c r="AQ32" s="26">
        <f t="shared" si="8"/>
        <v>0</v>
      </c>
      <c r="AR32" s="26">
        <f t="shared" si="9"/>
        <v>1.0588235294117647</v>
      </c>
      <c r="AS32" s="27">
        <f t="shared" si="10"/>
        <v>-8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25.9</v>
      </c>
    </row>
    <row r="33" spans="1:47" x14ac:dyDescent="0.25">
      <c r="A33" s="15" t="s">
        <v>135</v>
      </c>
      <c r="B33" s="16" t="s">
        <v>176</v>
      </c>
      <c r="C33" s="17">
        <v>3</v>
      </c>
      <c r="D33" s="17" t="s">
        <v>130</v>
      </c>
      <c r="E33" s="18" t="s">
        <v>99</v>
      </c>
      <c r="F33" s="19"/>
      <c r="G33" s="19"/>
      <c r="H33" s="19"/>
      <c r="I33" s="19"/>
      <c r="J33" s="19">
        <v>3</v>
      </c>
      <c r="K33" s="19">
        <v>12</v>
      </c>
      <c r="L33" s="19">
        <v>9</v>
      </c>
      <c r="M33" s="19">
        <v>48</v>
      </c>
      <c r="N33" s="19" t="s">
        <v>112</v>
      </c>
      <c r="O33" s="19">
        <v>17</v>
      </c>
      <c r="P33" s="20"/>
      <c r="Q33" s="20">
        <v>7</v>
      </c>
      <c r="R33" s="21">
        <v>0.75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13</v>
      </c>
      <c r="AE33" s="22">
        <v>9</v>
      </c>
      <c r="AF33" s="22">
        <v>49</v>
      </c>
      <c r="AG33" s="22">
        <v>0</v>
      </c>
      <c r="AH33" s="23" t="s">
        <v>101</v>
      </c>
      <c r="AI33" s="24" t="str">
        <f t="shared" si="0"/>
        <v/>
      </c>
      <c r="AJ33" s="24">
        <f t="shared" si="1"/>
        <v>5.4444444444444446</v>
      </c>
      <c r="AK33" s="25">
        <f t="shared" si="2"/>
        <v>0.69230769230769229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2.3423423423423424E-2</v>
      </c>
      <c r="AP33" s="25">
        <f t="shared" si="7"/>
        <v>0</v>
      </c>
      <c r="AQ33" s="26">
        <f t="shared" si="8"/>
        <v>0</v>
      </c>
      <c r="AR33" s="26">
        <f t="shared" si="9"/>
        <v>0.76470588235294112</v>
      </c>
      <c r="AS33" s="27">
        <f t="shared" si="10"/>
        <v>4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9.4</v>
      </c>
    </row>
    <row r="34" spans="1:47" x14ac:dyDescent="0.25">
      <c r="A34" s="15" t="s">
        <v>135</v>
      </c>
      <c r="B34" s="16" t="s">
        <v>177</v>
      </c>
      <c r="C34" s="17">
        <v>4</v>
      </c>
      <c r="D34" s="17" t="s">
        <v>105</v>
      </c>
      <c r="E34" s="18" t="s">
        <v>99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1"/>
      <c r="S34" s="21"/>
      <c r="T34" s="20"/>
      <c r="U34" s="22">
        <v>17</v>
      </c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33"/>
      <c r="AI34" s="24" t="str">
        <f t="shared" si="0"/>
        <v/>
      </c>
      <c r="AJ34" s="24" t="str">
        <f t="shared" si="1"/>
        <v/>
      </c>
      <c r="AK34" s="25" t="str">
        <f t="shared" si="2"/>
        <v/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0</v>
      </c>
      <c r="AP34" s="25">
        <f t="shared" si="7"/>
        <v>0</v>
      </c>
      <c r="AQ34" s="26">
        <f t="shared" si="8"/>
        <v>0</v>
      </c>
      <c r="AR34" s="26">
        <f t="shared" si="9"/>
        <v>0</v>
      </c>
      <c r="AS34" s="27">
        <f t="shared" si="10"/>
        <v>0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0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408</v>
      </c>
      <c r="V37" s="34">
        <f t="shared" si="12"/>
        <v>512</v>
      </c>
      <c r="W37" s="34">
        <f t="shared" si="12"/>
        <v>342</v>
      </c>
      <c r="X37" s="34">
        <f t="shared" si="12"/>
        <v>3995</v>
      </c>
      <c r="Y37" s="34">
        <f t="shared" si="12"/>
        <v>21</v>
      </c>
      <c r="Z37" s="34">
        <f t="shared" si="12"/>
        <v>16</v>
      </c>
      <c r="AA37" s="34">
        <f t="shared" si="12"/>
        <v>461</v>
      </c>
      <c r="AB37" s="34">
        <f t="shared" si="12"/>
        <v>2106</v>
      </c>
      <c r="AC37" s="34">
        <f t="shared" si="12"/>
        <v>16</v>
      </c>
      <c r="AD37" s="34">
        <f t="shared" si="12"/>
        <v>546</v>
      </c>
      <c r="AE37" s="34">
        <f t="shared" si="12"/>
        <v>369</v>
      </c>
      <c r="AF37" s="34">
        <f t="shared" si="12"/>
        <v>3982</v>
      </c>
      <c r="AG37" s="34">
        <f t="shared" si="12"/>
        <v>21</v>
      </c>
    </row>
    <row r="38" spans="1:47" x14ac:dyDescent="0.25">
      <c r="A38" s="5" t="s">
        <v>142</v>
      </c>
      <c r="V38" s="35">
        <f>$F$5</f>
        <v>582</v>
      </c>
      <c r="X38" s="35">
        <f>$I$5</f>
        <v>3893</v>
      </c>
      <c r="Y38" s="35">
        <f>$J$5</f>
        <v>21</v>
      </c>
      <c r="Z38" s="35">
        <f>$K$5</f>
        <v>13</v>
      </c>
      <c r="AA38" s="35">
        <f>$H$5</f>
        <v>480.5</v>
      </c>
      <c r="AB38" s="35">
        <f>$L$5</f>
        <v>2108</v>
      </c>
      <c r="AC38" s="35">
        <f>$M$5</f>
        <v>16</v>
      </c>
      <c r="AD38" s="35">
        <f>$G$5</f>
        <v>555</v>
      </c>
      <c r="AF38" s="35">
        <f>$I$5</f>
        <v>3893</v>
      </c>
      <c r="AG38" s="35">
        <f>$J$5</f>
        <v>21</v>
      </c>
    </row>
    <row r="39" spans="1:47" x14ac:dyDescent="0.25">
      <c r="A39" s="5" t="s">
        <v>143</v>
      </c>
      <c r="V39" s="36">
        <f>$F$5-V37</f>
        <v>70</v>
      </c>
      <c r="X39" s="36">
        <f>$I$5-X37</f>
        <v>-102</v>
      </c>
      <c r="Y39" s="36">
        <f>$J$5-Y37</f>
        <v>0</v>
      </c>
      <c r="Z39" s="36">
        <f>$K$5-Z37</f>
        <v>-3</v>
      </c>
      <c r="AA39" s="36">
        <f>$H$5-AA37</f>
        <v>19.5</v>
      </c>
      <c r="AB39" s="36">
        <f>$L$5-AB37</f>
        <v>2</v>
      </c>
      <c r="AC39" s="36">
        <f>$M$5-AC37</f>
        <v>0</v>
      </c>
      <c r="AD39" s="36">
        <f>$G$5-AD37</f>
        <v>9</v>
      </c>
      <c r="AF39" s="36">
        <f>$I$5-AF37</f>
        <v>-89</v>
      </c>
      <c r="AG39" s="36">
        <f>$J$5-AG37</f>
        <v>0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929" priority="1" stopIfTrue="1">
      <formula>V37&gt;$F$5</formula>
    </cfRule>
    <cfRule type="expression" dxfId="928" priority="2">
      <formula>AND($F$5&gt;0,V37&lt;$F$5*0.97)</formula>
    </cfRule>
    <cfRule type="expression" dxfId="927" priority="3">
      <formula>AND($F$5&gt;0,V37&gt;=$F$5*0.97,V37&lt;=$F$5)</formula>
    </cfRule>
  </conditionalFormatting>
  <conditionalFormatting sqref="X37">
    <cfRule type="expression" dxfId="926" priority="4" stopIfTrue="1">
      <formula>X37&gt;$I$5</formula>
    </cfRule>
    <cfRule type="expression" dxfId="925" priority="5">
      <formula>AND($I$5&gt;0,X37&lt;$I$5*0.97)</formula>
    </cfRule>
    <cfRule type="expression" dxfId="924" priority="6">
      <formula>AND($I$5&gt;0,X37&gt;=$I$5*0.97,X37&lt;=$I$5)</formula>
    </cfRule>
  </conditionalFormatting>
  <conditionalFormatting sqref="Y37">
    <cfRule type="expression" dxfId="923" priority="7" stopIfTrue="1">
      <formula>Y37&gt;$J$5</formula>
    </cfRule>
    <cfRule type="expression" dxfId="922" priority="8">
      <formula>AND($J$5&gt;0,Y37&lt;$J$5*0.97)</formula>
    </cfRule>
    <cfRule type="expression" dxfId="921" priority="9">
      <formula>AND($J$5&gt;0,Y37&gt;=$J$5*0.97,Y37&lt;=$J$5)</formula>
    </cfRule>
  </conditionalFormatting>
  <conditionalFormatting sqref="Z37">
    <cfRule type="expression" dxfId="920" priority="10" stopIfTrue="1">
      <formula>Z37&gt;$K$5</formula>
    </cfRule>
    <cfRule type="expression" dxfId="919" priority="11">
      <formula>AND($K$5&gt;0,Z37&lt;$K$5*0.97)</formula>
    </cfRule>
    <cfRule type="expression" dxfId="918" priority="12">
      <formula>AND($K$5&gt;0,Z37&gt;=$K$5*0.97,Z37&lt;=$K$5)</formula>
    </cfRule>
  </conditionalFormatting>
  <conditionalFormatting sqref="AA37">
    <cfRule type="expression" dxfId="917" priority="13" stopIfTrue="1">
      <formula>AA37&gt;$H$5</formula>
    </cfRule>
    <cfRule type="expression" dxfId="916" priority="14">
      <formula>AND($H$5&gt;0,AA37&lt;$H$5*0.97)</formula>
    </cfRule>
    <cfRule type="expression" dxfId="915" priority="15">
      <formula>AND($H$5&gt;0,AA37&gt;=$H$5*0.97,AA37&lt;=$H$5)</formula>
    </cfRule>
  </conditionalFormatting>
  <conditionalFormatting sqref="AB37">
    <cfRule type="expression" dxfId="914" priority="16" stopIfTrue="1">
      <formula>AB37&gt;$L$5</formula>
    </cfRule>
    <cfRule type="expression" dxfId="913" priority="17">
      <formula>AND($L$5&gt;0,AB37&lt;$L$5*0.97)</formula>
    </cfRule>
    <cfRule type="expression" dxfId="912" priority="18">
      <formula>AND($L$5&gt;0,AB37&gt;=$L$5*0.97,AB37&lt;=$L$5)</formula>
    </cfRule>
  </conditionalFormatting>
  <conditionalFormatting sqref="AC37">
    <cfRule type="expression" dxfId="911" priority="19" stopIfTrue="1">
      <formula>AC37&gt;$M$5</formula>
    </cfRule>
    <cfRule type="expression" dxfId="910" priority="20">
      <formula>AND($M$5&gt;0,AC37&lt;$M$5*0.97)</formula>
    </cfRule>
    <cfRule type="expression" dxfId="909" priority="21">
      <formula>AND($M$5&gt;0,AC37&gt;=$M$5*0.97,AC37&lt;=$M$5)</formula>
    </cfRule>
  </conditionalFormatting>
  <conditionalFormatting sqref="AD37">
    <cfRule type="expression" dxfId="908" priority="22" stopIfTrue="1">
      <formula>AD37&gt;$G$5</formula>
    </cfRule>
    <cfRule type="expression" dxfId="907" priority="23">
      <formula>AND($G$5&gt;0,AD37&lt;$G$5*0.97)</formula>
    </cfRule>
    <cfRule type="expression" dxfId="906" priority="24">
      <formula>AND($G$5&gt;0,AD37&gt;=$G$5*0.97,AD37&lt;=$G$5)</formula>
    </cfRule>
  </conditionalFormatting>
  <conditionalFormatting sqref="AF37">
    <cfRule type="expression" dxfId="905" priority="25" stopIfTrue="1">
      <formula>AF37&gt;$I$5</formula>
    </cfRule>
    <cfRule type="expression" dxfId="904" priority="26">
      <formula>AND($I$5&gt;0,AF37&lt;$I$5*0.97)</formula>
    </cfRule>
    <cfRule type="expression" dxfId="903" priority="27">
      <formula>AND($I$5&gt;0,AF37&gt;=$I$5*0.97,AF37&lt;=$I$5)</formula>
    </cfRule>
  </conditionalFormatting>
  <conditionalFormatting sqref="AG37">
    <cfRule type="expression" dxfId="902" priority="28" stopIfTrue="1">
      <formula>AG37&gt;$J$5</formula>
    </cfRule>
    <cfRule type="expression" dxfId="901" priority="29">
      <formula>AND($J$5&gt;0,AG37&lt;$J$5*0.97)</formula>
    </cfRule>
    <cfRule type="expression" dxfId="900" priority="30">
      <formula>AND($J$5&gt;0,AG37&gt;=$J$5*0.97,AG37&lt;=$J$5)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178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60.7</v>
      </c>
      <c r="D5" s="10">
        <f>C5*B5</f>
        <v>1031.9000000000001</v>
      </c>
      <c r="E5" s="11">
        <v>0.50629999999999997</v>
      </c>
      <c r="F5" s="10">
        <f>ROUND(D5*E5,0)</f>
        <v>522</v>
      </c>
      <c r="G5" s="10">
        <f>ROUND(F5*Settings!$B$4,0)</f>
        <v>498</v>
      </c>
      <c r="H5" s="10">
        <f>D5-F5</f>
        <v>509.90000000000009</v>
      </c>
      <c r="I5" s="8">
        <v>3763</v>
      </c>
      <c r="J5" s="9">
        <v>28</v>
      </c>
      <c r="K5" s="9">
        <v>10</v>
      </c>
      <c r="L5" s="8">
        <v>2551</v>
      </c>
      <c r="M5" s="9">
        <v>20</v>
      </c>
    </row>
    <row r="7" spans="1:47" x14ac:dyDescent="0.25">
      <c r="A7" s="5" t="s">
        <v>54</v>
      </c>
      <c r="B7" s="12" t="s">
        <v>179</v>
      </c>
    </row>
    <row r="8" spans="1:47" x14ac:dyDescent="0.25">
      <c r="A8" s="5" t="s">
        <v>56</v>
      </c>
      <c r="B8" s="13" t="s">
        <v>180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181</v>
      </c>
      <c r="C11" s="17">
        <v>1</v>
      </c>
      <c r="D11" s="17" t="s">
        <v>168</v>
      </c>
      <c r="E11" s="18" t="s">
        <v>99</v>
      </c>
      <c r="F11" s="19">
        <v>139</v>
      </c>
      <c r="G11" s="19">
        <v>127</v>
      </c>
      <c r="H11" s="19">
        <v>58</v>
      </c>
      <c r="I11" s="19">
        <v>349</v>
      </c>
      <c r="J11" s="19"/>
      <c r="K11" s="19"/>
      <c r="L11" s="19"/>
      <c r="M11" s="19"/>
      <c r="N11" s="19" t="s">
        <v>155</v>
      </c>
      <c r="O11" s="19">
        <v>13</v>
      </c>
      <c r="P11" s="20">
        <v>6.44</v>
      </c>
      <c r="Q11" s="20"/>
      <c r="R11" s="21"/>
      <c r="S11" s="21">
        <v>0.66100000000000003</v>
      </c>
      <c r="T11" s="20">
        <v>8.43</v>
      </c>
      <c r="U11" s="22">
        <v>17</v>
      </c>
      <c r="V11" s="22">
        <v>450</v>
      </c>
      <c r="W11" s="22">
        <v>291</v>
      </c>
      <c r="X11" s="22">
        <v>3599</v>
      </c>
      <c r="Y11" s="22">
        <v>27</v>
      </c>
      <c r="Z11" s="22">
        <v>9</v>
      </c>
      <c r="AA11" s="22">
        <v>117</v>
      </c>
      <c r="AB11" s="22">
        <v>639</v>
      </c>
      <c r="AC11" s="22">
        <v>3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5.4615384615384617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7.9977777777777774</v>
      </c>
      <c r="AM11" s="25">
        <f t="shared" ref="AM11:AM35" si="4">IFERROR(W11/V11,"")</f>
        <v>0.64666666666666661</v>
      </c>
      <c r="AN11" s="25">
        <f t="shared" ref="AN11:AN35" si="5">IFERROR(AA11/$H$5,"")</f>
        <v>0.22945675622671108</v>
      </c>
      <c r="AO11" s="25">
        <f t="shared" ref="AO11:AO35" si="6">IFERROR(AD11/$G$5,"")</f>
        <v>0</v>
      </c>
      <c r="AP11" s="25">
        <f t="shared" ref="AP11:AP35" si="7">IFERROR(V11/$F$5,"")</f>
        <v>0.86206896551724133</v>
      </c>
      <c r="AQ11" s="26">
        <f t="shared" ref="AQ11:AQ35" si="8">IFERROR(AA11/U11,"")</f>
        <v>6.882352941176471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59</v>
      </c>
      <c r="AU11" s="28">
        <f>AF11*Settings!$B$7+AG11*Settings!$B$8+AE11*Settings!$B$9+AB11*Settings!$B$10+AC11*Settings!$B$11+X11*Settings!$B$12+Y11*Settings!$B$13+Z11*Settings!$B$14</f>
        <v>315.86</v>
      </c>
    </row>
    <row r="12" spans="1:47" x14ac:dyDescent="0.25">
      <c r="A12" s="15" t="s">
        <v>96</v>
      </c>
      <c r="B12" s="16" t="s">
        <v>182</v>
      </c>
      <c r="C12" s="17">
        <v>2</v>
      </c>
      <c r="D12" s="17" t="s">
        <v>130</v>
      </c>
      <c r="E12" s="18" t="s">
        <v>99</v>
      </c>
      <c r="F12" s="19">
        <v>11</v>
      </c>
      <c r="G12" s="19">
        <v>25</v>
      </c>
      <c r="H12" s="19">
        <v>19</v>
      </c>
      <c r="I12" s="19">
        <v>151</v>
      </c>
      <c r="J12" s="19"/>
      <c r="K12" s="19"/>
      <c r="L12" s="19"/>
      <c r="M12" s="19"/>
      <c r="N12" s="19" t="s">
        <v>155</v>
      </c>
      <c r="O12" s="19">
        <v>5</v>
      </c>
      <c r="P12" s="20">
        <v>6.2</v>
      </c>
      <c r="Q12" s="20"/>
      <c r="R12" s="21"/>
      <c r="S12" s="21">
        <v>0.67100000000000004</v>
      </c>
      <c r="T12" s="20">
        <v>6.15</v>
      </c>
      <c r="U12" s="22">
        <v>17</v>
      </c>
      <c r="V12" s="22">
        <v>30</v>
      </c>
      <c r="W12" s="22">
        <v>20</v>
      </c>
      <c r="X12" s="22">
        <v>200</v>
      </c>
      <c r="Y12" s="22">
        <v>1</v>
      </c>
      <c r="Z12" s="22">
        <v>1</v>
      </c>
      <c r="AA12" s="22">
        <v>4</v>
      </c>
      <c r="AB12" s="22">
        <v>21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5.25</v>
      </c>
      <c r="AJ12" s="24" t="str">
        <f t="shared" si="1"/>
        <v/>
      </c>
      <c r="AK12" s="25" t="str">
        <f t="shared" si="2"/>
        <v/>
      </c>
      <c r="AL12" s="24">
        <f t="shared" si="3"/>
        <v>6.666666666666667</v>
      </c>
      <c r="AM12" s="25">
        <f t="shared" si="4"/>
        <v>0.66666666666666663</v>
      </c>
      <c r="AN12" s="25">
        <f t="shared" si="5"/>
        <v>7.8446754265542248E-3</v>
      </c>
      <c r="AO12" s="25">
        <f t="shared" si="6"/>
        <v>0</v>
      </c>
      <c r="AP12" s="25">
        <f t="shared" si="7"/>
        <v>5.7471264367816091E-2</v>
      </c>
      <c r="AQ12" s="26">
        <f t="shared" si="8"/>
        <v>0.23529411764705882</v>
      </c>
      <c r="AR12" s="26">
        <f t="shared" si="9"/>
        <v>0</v>
      </c>
      <c r="AS12" s="27">
        <f t="shared" si="10"/>
        <v>0</v>
      </c>
      <c r="AT12" s="27">
        <f t="shared" si="11"/>
        <v>-15</v>
      </c>
      <c r="AU12" s="28">
        <f>AF12*Settings!$B$7+AG12*Settings!$B$8+AE12*Settings!$B$9+AB12*Settings!$B$10+AC12*Settings!$B$11+X12*Settings!$B$12+Y12*Settings!$B$13+Z12*Settings!$B$14</f>
        <v>12.1</v>
      </c>
    </row>
    <row r="13" spans="1:47" x14ac:dyDescent="0.25">
      <c r="A13" s="15" t="s">
        <v>96</v>
      </c>
      <c r="B13" s="16" t="s">
        <v>183</v>
      </c>
      <c r="C13" s="17">
        <v>3</v>
      </c>
      <c r="D13" s="17" t="s">
        <v>168</v>
      </c>
      <c r="E13" s="18" t="s">
        <v>99</v>
      </c>
      <c r="F13" s="19"/>
      <c r="G13" s="19">
        <v>1</v>
      </c>
      <c r="H13" s="19"/>
      <c r="I13" s="19"/>
      <c r="J13" s="19"/>
      <c r="K13" s="19"/>
      <c r="L13" s="19"/>
      <c r="M13" s="19"/>
      <c r="N13" s="19"/>
      <c r="O13" s="19"/>
      <c r="P13" s="20">
        <v>4</v>
      </c>
      <c r="Q13" s="20"/>
      <c r="R13" s="21"/>
      <c r="S13" s="21">
        <v>0.63600000000000001</v>
      </c>
      <c r="T13" s="20">
        <v>5.67</v>
      </c>
      <c r="U13" s="22">
        <v>17</v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33"/>
      <c r="AI13" s="24" t="str">
        <f t="shared" si="0"/>
        <v/>
      </c>
      <c r="AJ13" s="24" t="str">
        <f t="shared" si="1"/>
        <v/>
      </c>
      <c r="AK13" s="25" t="str">
        <f t="shared" si="2"/>
        <v/>
      </c>
      <c r="AL13" s="24" t="str">
        <f t="shared" si="3"/>
        <v/>
      </c>
      <c r="AM13" s="25" t="str">
        <f t="shared" si="4"/>
        <v/>
      </c>
      <c r="AN13" s="25">
        <f t="shared" si="5"/>
        <v>0</v>
      </c>
      <c r="AO13" s="25">
        <f t="shared" si="6"/>
        <v>0</v>
      </c>
      <c r="AP13" s="25">
        <f t="shared" si="7"/>
        <v>0</v>
      </c>
      <c r="AQ13" s="26">
        <f t="shared" si="8"/>
        <v>0</v>
      </c>
      <c r="AR13" s="26">
        <f t="shared" si="9"/>
        <v>0</v>
      </c>
      <c r="AS13" s="27">
        <f t="shared" si="10"/>
        <v>0</v>
      </c>
      <c r="AT13" s="27">
        <f t="shared" si="11"/>
        <v>0</v>
      </c>
      <c r="AU13" s="28">
        <f>AF13*Settings!$B$7+AG13*Settings!$B$8+AE13*Settings!$B$9+AB13*Settings!$B$10+AC13*Settings!$B$11+X13*Settings!$B$12+Y13*Settings!$B$13+Z13*Settings!$B$14</f>
        <v>0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184</v>
      </c>
      <c r="C15" s="17">
        <v>1</v>
      </c>
      <c r="D15" s="17" t="s">
        <v>153</v>
      </c>
      <c r="E15" s="18" t="s">
        <v>99</v>
      </c>
      <c r="F15" s="19">
        <v>280</v>
      </c>
      <c r="G15" s="19">
        <v>325</v>
      </c>
      <c r="H15" s="19">
        <v>307</v>
      </c>
      <c r="I15" s="19">
        <v>1595</v>
      </c>
      <c r="J15" s="19">
        <v>36</v>
      </c>
      <c r="K15" s="19">
        <v>22</v>
      </c>
      <c r="L15" s="19">
        <v>21</v>
      </c>
      <c r="M15" s="19">
        <v>150</v>
      </c>
      <c r="N15" s="19" t="s">
        <v>155</v>
      </c>
      <c r="O15" s="19">
        <v>17</v>
      </c>
      <c r="P15" s="20">
        <v>5.13</v>
      </c>
      <c r="Q15" s="20">
        <v>8.98</v>
      </c>
      <c r="R15" s="21">
        <v>0.78500000000000003</v>
      </c>
      <c r="S15" s="21">
        <v>0.5</v>
      </c>
      <c r="T15" s="20"/>
      <c r="U15" s="22">
        <v>17</v>
      </c>
      <c r="V15" s="22">
        <v>1</v>
      </c>
      <c r="W15" s="22">
        <v>0</v>
      </c>
      <c r="X15" s="22">
        <v>0</v>
      </c>
      <c r="Y15" s="22">
        <v>0</v>
      </c>
      <c r="Z15" s="22">
        <v>0</v>
      </c>
      <c r="AA15" s="22">
        <v>289</v>
      </c>
      <c r="AB15" s="22">
        <v>1447</v>
      </c>
      <c r="AC15" s="22">
        <v>12</v>
      </c>
      <c r="AD15" s="22">
        <v>23</v>
      </c>
      <c r="AE15" s="22">
        <v>17</v>
      </c>
      <c r="AF15" s="22">
        <v>162</v>
      </c>
      <c r="AG15" s="22">
        <v>1</v>
      </c>
      <c r="AH15" s="23" t="s">
        <v>101</v>
      </c>
      <c r="AI15" s="24">
        <f t="shared" si="0"/>
        <v>5.0069204152249132</v>
      </c>
      <c r="AJ15" s="24">
        <f t="shared" si="1"/>
        <v>9.5294117647058822</v>
      </c>
      <c r="AK15" s="25">
        <f t="shared" si="2"/>
        <v>0.73913043478260865</v>
      </c>
      <c r="AL15" s="24">
        <f t="shared" si="3"/>
        <v>0</v>
      </c>
      <c r="AM15" s="25">
        <f t="shared" si="4"/>
        <v>0</v>
      </c>
      <c r="AN15" s="25">
        <f t="shared" si="5"/>
        <v>0.56677779956854279</v>
      </c>
      <c r="AO15" s="25">
        <f t="shared" si="6"/>
        <v>4.6184738955823292E-2</v>
      </c>
      <c r="AP15" s="25">
        <f t="shared" si="7"/>
        <v>1.9157088122605363E-3</v>
      </c>
      <c r="AQ15" s="26">
        <f t="shared" si="8"/>
        <v>17</v>
      </c>
      <c r="AR15" s="26">
        <f t="shared" si="9"/>
        <v>1.3529411764705883</v>
      </c>
      <c r="AS15" s="27">
        <f t="shared" si="10"/>
        <v>2</v>
      </c>
      <c r="AT15" s="27">
        <f t="shared" si="11"/>
        <v>-18</v>
      </c>
      <c r="AU15" s="28">
        <f>AF15*Settings!$B$7+AG15*Settings!$B$8+AE15*Settings!$B$9+AB15*Settings!$B$10+AC15*Settings!$B$11+X15*Settings!$B$12+Y15*Settings!$B$13+Z15*Settings!$B$14</f>
        <v>247.4</v>
      </c>
    </row>
    <row r="16" spans="1:47" x14ac:dyDescent="0.25">
      <c r="A16" s="15" t="s">
        <v>107</v>
      </c>
      <c r="B16" s="16" t="s">
        <v>185</v>
      </c>
      <c r="C16" s="17">
        <v>2</v>
      </c>
      <c r="D16" s="17" t="s">
        <v>130</v>
      </c>
      <c r="E16" s="18" t="s">
        <v>99</v>
      </c>
      <c r="F16" s="19">
        <v>84</v>
      </c>
      <c r="G16" s="19">
        <v>47</v>
      </c>
      <c r="H16" s="19">
        <v>18</v>
      </c>
      <c r="I16" s="19">
        <v>93</v>
      </c>
      <c r="J16" s="19">
        <v>39</v>
      </c>
      <c r="K16" s="19">
        <v>51</v>
      </c>
      <c r="L16" s="19">
        <v>27</v>
      </c>
      <c r="M16" s="19">
        <v>169</v>
      </c>
      <c r="N16" s="19" t="s">
        <v>155</v>
      </c>
      <c r="O16" s="19">
        <v>10</v>
      </c>
      <c r="P16" s="20">
        <v>4.75</v>
      </c>
      <c r="Q16" s="20">
        <v>8.33</v>
      </c>
      <c r="R16" s="21">
        <v>0.77800000000000002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43</v>
      </c>
      <c r="AB16" s="22">
        <v>202</v>
      </c>
      <c r="AC16" s="22">
        <v>2</v>
      </c>
      <c r="AD16" s="22">
        <v>39</v>
      </c>
      <c r="AE16" s="22">
        <v>31</v>
      </c>
      <c r="AF16" s="22">
        <v>260</v>
      </c>
      <c r="AG16" s="22">
        <v>2</v>
      </c>
      <c r="AH16" s="23" t="s">
        <v>101</v>
      </c>
      <c r="AI16" s="24">
        <f t="shared" si="0"/>
        <v>4.6976744186046515</v>
      </c>
      <c r="AJ16" s="24">
        <f t="shared" si="1"/>
        <v>8.387096774193548</v>
      </c>
      <c r="AK16" s="25">
        <f t="shared" si="2"/>
        <v>0.79487179487179482</v>
      </c>
      <c r="AL16" s="24" t="str">
        <f t="shared" si="3"/>
        <v/>
      </c>
      <c r="AM16" s="25" t="str">
        <f t="shared" si="4"/>
        <v/>
      </c>
      <c r="AN16" s="25">
        <f t="shared" si="5"/>
        <v>8.4330260835457915E-2</v>
      </c>
      <c r="AO16" s="25">
        <f t="shared" si="6"/>
        <v>7.8313253012048195E-2</v>
      </c>
      <c r="AP16" s="25">
        <f t="shared" si="7"/>
        <v>0</v>
      </c>
      <c r="AQ16" s="26">
        <f t="shared" si="8"/>
        <v>2.5294117647058822</v>
      </c>
      <c r="AR16" s="26">
        <f t="shared" si="9"/>
        <v>2.2941176470588234</v>
      </c>
      <c r="AS16" s="27">
        <f t="shared" si="10"/>
        <v>12</v>
      </c>
      <c r="AT16" s="27">
        <f t="shared" si="11"/>
        <v>25</v>
      </c>
      <c r="AU16" s="28">
        <f>AF16*Settings!$B$7+AG16*Settings!$B$8+AE16*Settings!$B$9+AB16*Settings!$B$10+AC16*Settings!$B$11+X16*Settings!$B$12+Y16*Settings!$B$13+Z16*Settings!$B$14</f>
        <v>85.7</v>
      </c>
    </row>
    <row r="17" spans="1:47" x14ac:dyDescent="0.25">
      <c r="A17" s="15" t="s">
        <v>107</v>
      </c>
      <c r="B17" s="16" t="s">
        <v>186</v>
      </c>
      <c r="C17" s="17">
        <v>3</v>
      </c>
      <c r="D17" s="17" t="s">
        <v>128</v>
      </c>
      <c r="E17" s="18" t="s">
        <v>99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20"/>
      <c r="R17" s="21"/>
      <c r="S17" s="21"/>
      <c r="T17" s="20"/>
      <c r="U17" s="22">
        <v>17</v>
      </c>
      <c r="V17" s="22"/>
      <c r="W17" s="22"/>
      <c r="X17" s="22"/>
      <c r="Y17" s="22"/>
      <c r="Z17" s="22"/>
      <c r="AA17" s="22">
        <v>42</v>
      </c>
      <c r="AB17" s="22">
        <v>191</v>
      </c>
      <c r="AC17" s="22">
        <v>1</v>
      </c>
      <c r="AD17" s="22">
        <v>10</v>
      </c>
      <c r="AE17" s="22">
        <v>8</v>
      </c>
      <c r="AF17" s="22">
        <v>72</v>
      </c>
      <c r="AG17" s="22">
        <v>0</v>
      </c>
      <c r="AH17" s="23" t="s">
        <v>101</v>
      </c>
      <c r="AI17" s="24">
        <f t="shared" si="0"/>
        <v>4.5476190476190474</v>
      </c>
      <c r="AJ17" s="24">
        <f t="shared" si="1"/>
        <v>9</v>
      </c>
      <c r="AK17" s="25">
        <f t="shared" si="2"/>
        <v>0.8</v>
      </c>
      <c r="AL17" s="24" t="str">
        <f t="shared" si="3"/>
        <v/>
      </c>
      <c r="AM17" s="25" t="str">
        <f t="shared" si="4"/>
        <v/>
      </c>
      <c r="AN17" s="25">
        <f t="shared" si="5"/>
        <v>8.2369091978819364E-2</v>
      </c>
      <c r="AO17" s="25">
        <f t="shared" si="6"/>
        <v>2.0080321285140562E-2</v>
      </c>
      <c r="AP17" s="25">
        <f t="shared" si="7"/>
        <v>0</v>
      </c>
      <c r="AQ17" s="26">
        <f t="shared" si="8"/>
        <v>2.4705882352941178</v>
      </c>
      <c r="AR17" s="26">
        <f t="shared" si="9"/>
        <v>0.58823529411764708</v>
      </c>
      <c r="AS17" s="27">
        <f t="shared" si="10"/>
        <v>10</v>
      </c>
      <c r="AT17" s="27">
        <f t="shared" si="11"/>
        <v>42</v>
      </c>
      <c r="AU17" s="28">
        <f>AF17*Settings!$B$7+AG17*Settings!$B$8+AE17*Settings!$B$9+AB17*Settings!$B$10+AC17*Settings!$B$11+X17*Settings!$B$12+Y17*Settings!$B$13+Z17*Settings!$B$14</f>
        <v>36.299999999999997</v>
      </c>
    </row>
    <row r="18" spans="1:47" x14ac:dyDescent="0.25">
      <c r="A18" s="15" t="s">
        <v>107</v>
      </c>
      <c r="B18" s="16" t="s">
        <v>187</v>
      </c>
      <c r="C18" s="17">
        <v>4</v>
      </c>
      <c r="D18" s="17" t="s">
        <v>105</v>
      </c>
      <c r="E18" s="18" t="s">
        <v>99</v>
      </c>
      <c r="F18" s="19"/>
      <c r="G18" s="19">
        <v>10</v>
      </c>
      <c r="H18" s="19">
        <v>7</v>
      </c>
      <c r="I18" s="19">
        <v>24</v>
      </c>
      <c r="J18" s="19"/>
      <c r="K18" s="19">
        <v>2</v>
      </c>
      <c r="L18" s="19">
        <v>11</v>
      </c>
      <c r="M18" s="19">
        <v>68</v>
      </c>
      <c r="N18" s="19" t="s">
        <v>155</v>
      </c>
      <c r="O18" s="19">
        <v>15</v>
      </c>
      <c r="P18" s="20">
        <v>3.24</v>
      </c>
      <c r="Q18" s="20">
        <v>7.56</v>
      </c>
      <c r="R18" s="21">
        <v>0.69199999999999995</v>
      </c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24</v>
      </c>
      <c r="AB18" s="22">
        <v>91</v>
      </c>
      <c r="AC18" s="22">
        <v>1</v>
      </c>
      <c r="AD18" s="22">
        <v>7</v>
      </c>
      <c r="AE18" s="22">
        <v>5</v>
      </c>
      <c r="AF18" s="22">
        <v>40</v>
      </c>
      <c r="AG18" s="22">
        <v>0</v>
      </c>
      <c r="AH18" s="23" t="s">
        <v>101</v>
      </c>
      <c r="AI18" s="24">
        <f t="shared" si="0"/>
        <v>3.7916666666666665</v>
      </c>
      <c r="AJ18" s="24">
        <f t="shared" si="1"/>
        <v>8</v>
      </c>
      <c r="AK18" s="25">
        <f t="shared" si="2"/>
        <v>0.7142857142857143</v>
      </c>
      <c r="AL18" s="24" t="str">
        <f t="shared" si="3"/>
        <v/>
      </c>
      <c r="AM18" s="25" t="str">
        <f t="shared" si="4"/>
        <v/>
      </c>
      <c r="AN18" s="25">
        <f t="shared" si="5"/>
        <v>4.7068052559325349E-2</v>
      </c>
      <c r="AO18" s="25">
        <f t="shared" si="6"/>
        <v>1.4056224899598393E-2</v>
      </c>
      <c r="AP18" s="25">
        <f t="shared" si="7"/>
        <v>0</v>
      </c>
      <c r="AQ18" s="26">
        <f t="shared" si="8"/>
        <v>1.411764705882353</v>
      </c>
      <c r="AR18" s="26">
        <f t="shared" si="9"/>
        <v>0.41176470588235292</v>
      </c>
      <c r="AS18" s="27">
        <f t="shared" si="10"/>
        <v>-4</v>
      </c>
      <c r="AT18" s="27">
        <f t="shared" si="11"/>
        <v>17</v>
      </c>
      <c r="AU18" s="28">
        <f>AF18*Settings!$B$7+AG18*Settings!$B$8+AE18*Settings!$B$9+AB18*Settings!$B$10+AC18*Settings!$B$11+X18*Settings!$B$12+Y18*Settings!$B$13+Z18*Settings!$B$14</f>
        <v>21.6</v>
      </c>
    </row>
    <row r="19" spans="1:47" x14ac:dyDescent="0.25">
      <c r="A19" s="15" t="s">
        <v>107</v>
      </c>
      <c r="B19" s="16" t="s">
        <v>188</v>
      </c>
      <c r="C19" s="17">
        <v>5</v>
      </c>
      <c r="D19" s="17" t="s">
        <v>118</v>
      </c>
      <c r="E19" s="18" t="s">
        <v>99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1"/>
      <c r="S19" s="21"/>
      <c r="T19" s="20"/>
      <c r="U19" s="22">
        <v>17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33"/>
      <c r="AI19" s="24" t="str">
        <f t="shared" si="0"/>
        <v/>
      </c>
      <c r="AJ19" s="24" t="str">
        <f t="shared" si="1"/>
        <v/>
      </c>
      <c r="AK19" s="25" t="str">
        <f t="shared" si="2"/>
        <v/>
      </c>
      <c r="AL19" s="24" t="str">
        <f t="shared" si="3"/>
        <v/>
      </c>
      <c r="AM19" s="25" t="str">
        <f t="shared" si="4"/>
        <v/>
      </c>
      <c r="AN19" s="25">
        <f t="shared" si="5"/>
        <v>0</v>
      </c>
      <c r="AO19" s="25">
        <f t="shared" si="6"/>
        <v>0</v>
      </c>
      <c r="AP19" s="25">
        <f t="shared" si="7"/>
        <v>0</v>
      </c>
      <c r="AQ19" s="26">
        <f t="shared" si="8"/>
        <v>0</v>
      </c>
      <c r="AR19" s="26">
        <f t="shared" si="9"/>
        <v>0</v>
      </c>
      <c r="AS19" s="27">
        <f t="shared" si="10"/>
        <v>0</v>
      </c>
      <c r="AT19" s="27">
        <f t="shared" si="11"/>
        <v>0</v>
      </c>
      <c r="AU19" s="28">
        <f>AF19*Settings!$B$7+AG19*Settings!$B$8+AE19*Settings!$B$9+AB19*Settings!$B$10+AC19*Settings!$B$11+X19*Settings!$B$12+Y19*Settings!$B$13+Z19*Settings!$B$14</f>
        <v>0</v>
      </c>
    </row>
    <row r="20" spans="1:47" x14ac:dyDescent="0.25">
      <c r="A20" s="15" t="s">
        <v>107</v>
      </c>
      <c r="B20" s="16" t="s">
        <v>189</v>
      </c>
      <c r="C20" s="17">
        <v>6</v>
      </c>
      <c r="D20" s="17" t="s">
        <v>103</v>
      </c>
      <c r="E20" s="18" t="s">
        <v>99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1"/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190</v>
      </c>
      <c r="C22" s="17">
        <v>1</v>
      </c>
      <c r="D22" s="17" t="s">
        <v>105</v>
      </c>
      <c r="E22" s="18" t="s">
        <v>99</v>
      </c>
      <c r="F22" s="19">
        <v>8</v>
      </c>
      <c r="G22" s="19">
        <v>9</v>
      </c>
      <c r="H22" s="19">
        <v>10</v>
      </c>
      <c r="I22" s="19">
        <v>62</v>
      </c>
      <c r="J22" s="19">
        <v>108</v>
      </c>
      <c r="K22" s="19">
        <v>116</v>
      </c>
      <c r="L22" s="19">
        <v>118</v>
      </c>
      <c r="M22" s="19">
        <v>1211</v>
      </c>
      <c r="N22" s="19" t="s">
        <v>155</v>
      </c>
      <c r="O22" s="19">
        <v>17</v>
      </c>
      <c r="P22" s="20">
        <v>6.44</v>
      </c>
      <c r="Q22" s="20">
        <v>13.2</v>
      </c>
      <c r="R22" s="21">
        <v>0.69299999999999995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9</v>
      </c>
      <c r="AB22" s="22">
        <v>56</v>
      </c>
      <c r="AC22" s="22">
        <v>0</v>
      </c>
      <c r="AD22" s="22">
        <v>118</v>
      </c>
      <c r="AE22" s="22">
        <v>81</v>
      </c>
      <c r="AF22" s="22">
        <v>1140</v>
      </c>
      <c r="AG22" s="22">
        <v>6</v>
      </c>
      <c r="AH22" s="23" t="s">
        <v>101</v>
      </c>
      <c r="AI22" s="24">
        <f t="shared" si="0"/>
        <v>6.2222222222222223</v>
      </c>
      <c r="AJ22" s="24">
        <f t="shared" si="1"/>
        <v>14.074074074074074</v>
      </c>
      <c r="AK22" s="25">
        <f t="shared" si="2"/>
        <v>0.68644067796610164</v>
      </c>
      <c r="AL22" s="24" t="str">
        <f t="shared" si="3"/>
        <v/>
      </c>
      <c r="AM22" s="25" t="str">
        <f t="shared" si="4"/>
        <v/>
      </c>
      <c r="AN22" s="25">
        <f t="shared" si="5"/>
        <v>1.7650519709747008E-2</v>
      </c>
      <c r="AO22" s="25">
        <f t="shared" si="6"/>
        <v>0.23694779116465864</v>
      </c>
      <c r="AP22" s="25">
        <f t="shared" si="7"/>
        <v>0</v>
      </c>
      <c r="AQ22" s="26">
        <f t="shared" si="8"/>
        <v>0.52941176470588236</v>
      </c>
      <c r="AR22" s="26">
        <f t="shared" si="9"/>
        <v>6.9411764705882355</v>
      </c>
      <c r="AS22" s="27">
        <f t="shared" si="10"/>
        <v>0</v>
      </c>
      <c r="AT22" s="27">
        <f t="shared" si="11"/>
        <v>-1</v>
      </c>
      <c r="AU22" s="28">
        <f>AF22*Settings!$B$7+AG22*Settings!$B$8+AE22*Settings!$B$9+AB22*Settings!$B$10+AC22*Settings!$B$11+X22*Settings!$B$12+Y22*Settings!$B$13+Z22*Settings!$B$14</f>
        <v>196.1</v>
      </c>
    </row>
    <row r="23" spans="1:47" x14ac:dyDescent="0.25">
      <c r="A23" s="15" t="s">
        <v>121</v>
      </c>
      <c r="B23" s="16" t="s">
        <v>191</v>
      </c>
      <c r="C23" s="17">
        <v>2</v>
      </c>
      <c r="D23" s="17" t="s">
        <v>111</v>
      </c>
      <c r="E23" s="18" t="s">
        <v>99</v>
      </c>
      <c r="F23" s="19">
        <v>1</v>
      </c>
      <c r="G23" s="19"/>
      <c r="H23" s="19"/>
      <c r="I23" s="19"/>
      <c r="J23" s="19">
        <v>56</v>
      </c>
      <c r="K23" s="19">
        <v>72</v>
      </c>
      <c r="L23" s="19">
        <v>38</v>
      </c>
      <c r="M23" s="19">
        <v>224</v>
      </c>
      <c r="N23" s="19" t="s">
        <v>155</v>
      </c>
      <c r="O23" s="19">
        <v>13</v>
      </c>
      <c r="P23" s="20">
        <v>18</v>
      </c>
      <c r="Q23" s="20">
        <v>14.03</v>
      </c>
      <c r="R23" s="21">
        <v>0.57799999999999996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1</v>
      </c>
      <c r="AC23" s="22">
        <v>0</v>
      </c>
      <c r="AD23" s="22">
        <v>59</v>
      </c>
      <c r="AE23" s="22">
        <v>35</v>
      </c>
      <c r="AF23" s="22">
        <v>492</v>
      </c>
      <c r="AG23" s="22">
        <v>4</v>
      </c>
      <c r="AH23" s="23" t="s">
        <v>101</v>
      </c>
      <c r="AI23" s="24" t="str">
        <f t="shared" si="0"/>
        <v/>
      </c>
      <c r="AJ23" s="24">
        <f t="shared" si="1"/>
        <v>14.057142857142857</v>
      </c>
      <c r="AK23" s="25">
        <f t="shared" si="2"/>
        <v>0.59322033898305082</v>
      </c>
      <c r="AL23" s="24" t="str">
        <f t="shared" si="3"/>
        <v/>
      </c>
      <c r="AM23" s="25" t="str">
        <f t="shared" si="4"/>
        <v/>
      </c>
      <c r="AN23" s="25">
        <f t="shared" si="5"/>
        <v>0</v>
      </c>
      <c r="AO23" s="25">
        <f t="shared" si="6"/>
        <v>0.11847389558232932</v>
      </c>
      <c r="AP23" s="25">
        <f t="shared" si="7"/>
        <v>0</v>
      </c>
      <c r="AQ23" s="26">
        <f t="shared" si="8"/>
        <v>0</v>
      </c>
      <c r="AR23" s="26">
        <f t="shared" si="9"/>
        <v>3.4705882352941178</v>
      </c>
      <c r="AS23" s="27">
        <f t="shared" si="10"/>
        <v>21</v>
      </c>
      <c r="AT23" s="27">
        <f t="shared" si="11"/>
        <v>0</v>
      </c>
      <c r="AU23" s="28">
        <f>AF23*Settings!$B$7+AG23*Settings!$B$8+AE23*Settings!$B$9+AB23*Settings!$B$10+AC23*Settings!$B$11+X23*Settings!$B$12+Y23*Settings!$B$13+Z23*Settings!$B$14</f>
        <v>90.8</v>
      </c>
    </row>
    <row r="24" spans="1:47" x14ac:dyDescent="0.25">
      <c r="A24" s="15" t="s">
        <v>121</v>
      </c>
      <c r="B24" s="16" t="s">
        <v>192</v>
      </c>
      <c r="C24" s="17">
        <v>3</v>
      </c>
      <c r="D24" s="17" t="s">
        <v>128</v>
      </c>
      <c r="E24" s="18" t="s">
        <v>99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20"/>
      <c r="R24" s="21"/>
      <c r="S24" s="21"/>
      <c r="T24" s="20"/>
      <c r="U24" s="22">
        <v>17</v>
      </c>
      <c r="V24" s="22"/>
      <c r="W24" s="22"/>
      <c r="X24" s="22"/>
      <c r="Y24" s="22"/>
      <c r="Z24" s="22"/>
      <c r="AA24" s="22">
        <v>1</v>
      </c>
      <c r="AB24" s="22">
        <v>3</v>
      </c>
      <c r="AC24" s="22">
        <v>0</v>
      </c>
      <c r="AD24" s="22">
        <v>49</v>
      </c>
      <c r="AE24" s="22">
        <v>30</v>
      </c>
      <c r="AF24" s="22">
        <v>427</v>
      </c>
      <c r="AG24" s="22">
        <v>3</v>
      </c>
      <c r="AH24" s="23" t="s">
        <v>101</v>
      </c>
      <c r="AI24" s="24">
        <f t="shared" si="0"/>
        <v>3</v>
      </c>
      <c r="AJ24" s="24">
        <f t="shared" si="1"/>
        <v>14.233333333333333</v>
      </c>
      <c r="AK24" s="25">
        <f t="shared" si="2"/>
        <v>0.61224489795918369</v>
      </c>
      <c r="AL24" s="24" t="str">
        <f t="shared" si="3"/>
        <v/>
      </c>
      <c r="AM24" s="25" t="str">
        <f t="shared" si="4"/>
        <v/>
      </c>
      <c r="AN24" s="25">
        <f t="shared" si="5"/>
        <v>1.9611688566385562E-3</v>
      </c>
      <c r="AO24" s="25">
        <f t="shared" si="6"/>
        <v>9.8393574297188757E-2</v>
      </c>
      <c r="AP24" s="25">
        <f t="shared" si="7"/>
        <v>0</v>
      </c>
      <c r="AQ24" s="26">
        <f t="shared" si="8"/>
        <v>5.8823529411764705E-2</v>
      </c>
      <c r="AR24" s="26">
        <f t="shared" si="9"/>
        <v>2.8823529411764706</v>
      </c>
      <c r="AS24" s="27">
        <f t="shared" si="10"/>
        <v>49</v>
      </c>
      <c r="AT24" s="27">
        <f t="shared" si="11"/>
        <v>1</v>
      </c>
      <c r="AU24" s="28">
        <f>AF24*Settings!$B$7+AG24*Settings!$B$8+AE24*Settings!$B$9+AB24*Settings!$B$10+AC24*Settings!$B$11+X24*Settings!$B$12+Y24*Settings!$B$13+Z24*Settings!$B$14</f>
        <v>76</v>
      </c>
    </row>
    <row r="25" spans="1:47" x14ac:dyDescent="0.25">
      <c r="A25" s="15" t="s">
        <v>121</v>
      </c>
      <c r="B25" s="16" t="s">
        <v>193</v>
      </c>
      <c r="C25" s="17">
        <v>4</v>
      </c>
      <c r="D25" s="17" t="s">
        <v>103</v>
      </c>
      <c r="E25" s="18" t="s">
        <v>99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20"/>
      <c r="R25" s="21"/>
      <c r="S25" s="21"/>
      <c r="T25" s="20"/>
      <c r="U25" s="22">
        <v>17</v>
      </c>
      <c r="V25" s="22"/>
      <c r="W25" s="22"/>
      <c r="X25" s="22"/>
      <c r="Y25" s="22"/>
      <c r="Z25" s="22"/>
      <c r="AA25" s="22">
        <v>0</v>
      </c>
      <c r="AB25" s="22">
        <v>0</v>
      </c>
      <c r="AC25" s="22">
        <v>0</v>
      </c>
      <c r="AD25" s="22">
        <v>32</v>
      </c>
      <c r="AE25" s="22">
        <v>20</v>
      </c>
      <c r="AF25" s="22">
        <v>272</v>
      </c>
      <c r="AG25" s="22">
        <v>2</v>
      </c>
      <c r="AH25" s="23" t="s">
        <v>101</v>
      </c>
      <c r="AI25" s="24" t="str">
        <f t="shared" si="0"/>
        <v/>
      </c>
      <c r="AJ25" s="24">
        <f t="shared" si="1"/>
        <v>13.6</v>
      </c>
      <c r="AK25" s="25">
        <f t="shared" si="2"/>
        <v>0.625</v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6.4257028112449793E-2</v>
      </c>
      <c r="AP25" s="25">
        <f t="shared" si="7"/>
        <v>0</v>
      </c>
      <c r="AQ25" s="26">
        <f t="shared" si="8"/>
        <v>0</v>
      </c>
      <c r="AR25" s="26">
        <f t="shared" si="9"/>
        <v>1.8823529411764706</v>
      </c>
      <c r="AS25" s="27">
        <f t="shared" si="10"/>
        <v>32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49.2</v>
      </c>
    </row>
    <row r="26" spans="1:47" x14ac:dyDescent="0.25">
      <c r="A26" s="15" t="s">
        <v>121</v>
      </c>
      <c r="B26" s="16" t="s">
        <v>194</v>
      </c>
      <c r="C26" s="17">
        <v>5</v>
      </c>
      <c r="D26" s="17" t="s">
        <v>105</v>
      </c>
      <c r="E26" s="18" t="s">
        <v>99</v>
      </c>
      <c r="F26" s="19"/>
      <c r="G26" s="19"/>
      <c r="H26" s="19"/>
      <c r="I26" s="19"/>
      <c r="J26" s="19"/>
      <c r="K26" s="19">
        <v>3</v>
      </c>
      <c r="L26" s="19">
        <v>8</v>
      </c>
      <c r="M26" s="19">
        <v>136</v>
      </c>
      <c r="N26" s="19" t="s">
        <v>155</v>
      </c>
      <c r="O26" s="19">
        <v>12</v>
      </c>
      <c r="P26" s="20"/>
      <c r="Q26" s="20">
        <v>22.43</v>
      </c>
      <c r="R26" s="21">
        <v>0.63600000000000001</v>
      </c>
      <c r="S26" s="21"/>
      <c r="T26" s="20"/>
      <c r="U26" s="22">
        <v>17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1</v>
      </c>
      <c r="AC26" s="22">
        <v>0</v>
      </c>
      <c r="AD26" s="22">
        <v>17</v>
      </c>
      <c r="AE26" s="22">
        <v>12</v>
      </c>
      <c r="AF26" s="22">
        <v>188</v>
      </c>
      <c r="AG26" s="22">
        <v>2</v>
      </c>
      <c r="AH26" s="23" t="s">
        <v>101</v>
      </c>
      <c r="AI26" s="24" t="str">
        <f t="shared" si="0"/>
        <v/>
      </c>
      <c r="AJ26" s="24">
        <f t="shared" si="1"/>
        <v>15.666666666666666</v>
      </c>
      <c r="AK26" s="25">
        <f t="shared" si="2"/>
        <v>0.70588235294117652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3.4136546184738957E-2</v>
      </c>
      <c r="AP26" s="25">
        <f t="shared" si="7"/>
        <v>0</v>
      </c>
      <c r="AQ26" s="26">
        <f t="shared" si="8"/>
        <v>0</v>
      </c>
      <c r="AR26" s="26">
        <f t="shared" si="9"/>
        <v>1</v>
      </c>
      <c r="AS26" s="27">
        <f t="shared" si="10"/>
        <v>9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36.9</v>
      </c>
    </row>
    <row r="27" spans="1:47" x14ac:dyDescent="0.25">
      <c r="A27" s="15" t="s">
        <v>121</v>
      </c>
      <c r="B27" s="16" t="s">
        <v>195</v>
      </c>
      <c r="C27" s="17">
        <v>6</v>
      </c>
      <c r="D27" s="17" t="s">
        <v>105</v>
      </c>
      <c r="E27" s="18" t="s">
        <v>99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20"/>
      <c r="R27" s="21"/>
      <c r="S27" s="21"/>
      <c r="T27" s="20"/>
      <c r="U27" s="22">
        <v>17</v>
      </c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33"/>
      <c r="AI27" s="24" t="str">
        <f t="shared" si="0"/>
        <v/>
      </c>
      <c r="AJ27" s="24" t="str">
        <f t="shared" si="1"/>
        <v/>
      </c>
      <c r="AK27" s="25" t="str">
        <f t="shared" si="2"/>
        <v/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0</v>
      </c>
      <c r="AP27" s="25">
        <f t="shared" si="7"/>
        <v>0</v>
      </c>
      <c r="AQ27" s="26">
        <f t="shared" si="8"/>
        <v>0</v>
      </c>
      <c r="AR27" s="26">
        <f t="shared" si="9"/>
        <v>0</v>
      </c>
      <c r="AS27" s="27">
        <f t="shared" si="10"/>
        <v>0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0</v>
      </c>
    </row>
    <row r="28" spans="1:47" x14ac:dyDescent="0.25">
      <c r="A28" s="15" t="s">
        <v>121</v>
      </c>
      <c r="B28" s="16" t="s">
        <v>196</v>
      </c>
      <c r="C28" s="17">
        <v>7</v>
      </c>
      <c r="D28" s="17" t="s">
        <v>98</v>
      </c>
      <c r="E28" s="18" t="s">
        <v>99</v>
      </c>
      <c r="F28" s="19">
        <v>2</v>
      </c>
      <c r="G28" s="19"/>
      <c r="H28" s="19">
        <v>1</v>
      </c>
      <c r="I28" s="19">
        <v>9</v>
      </c>
      <c r="J28" s="19">
        <v>35</v>
      </c>
      <c r="K28" s="19"/>
      <c r="L28" s="19">
        <v>23</v>
      </c>
      <c r="M28" s="19">
        <v>207</v>
      </c>
      <c r="N28" s="19" t="s">
        <v>197</v>
      </c>
      <c r="O28" s="19">
        <v>14</v>
      </c>
      <c r="P28" s="20">
        <v>16</v>
      </c>
      <c r="Q28" s="20">
        <v>19.12</v>
      </c>
      <c r="R28" s="21">
        <v>0.56899999999999995</v>
      </c>
      <c r="S28" s="21"/>
      <c r="T28" s="20"/>
      <c r="U28" s="22">
        <v>17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1</v>
      </c>
      <c r="AC28" s="22">
        <v>0</v>
      </c>
      <c r="AD28" s="22">
        <v>2</v>
      </c>
      <c r="AE28" s="22">
        <v>2</v>
      </c>
      <c r="AF28" s="22">
        <v>16</v>
      </c>
      <c r="AG28" s="22">
        <v>0</v>
      </c>
      <c r="AH28" s="23" t="s">
        <v>101</v>
      </c>
      <c r="AI28" s="24" t="str">
        <f t="shared" si="0"/>
        <v/>
      </c>
      <c r="AJ28" s="24">
        <f t="shared" si="1"/>
        <v>8</v>
      </c>
      <c r="AK28" s="25">
        <f t="shared" si="2"/>
        <v>1</v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4.0160642570281121E-3</v>
      </c>
      <c r="AP28" s="25">
        <f t="shared" si="7"/>
        <v>0</v>
      </c>
      <c r="AQ28" s="26">
        <f t="shared" si="8"/>
        <v>0</v>
      </c>
      <c r="AR28" s="26">
        <f t="shared" si="9"/>
        <v>0.11764705882352941</v>
      </c>
      <c r="AS28" s="27">
        <f t="shared" si="10"/>
        <v>-21</v>
      </c>
      <c r="AT28" s="27">
        <f t="shared" si="11"/>
        <v>-1</v>
      </c>
      <c r="AU28" s="28">
        <f>AF28*Settings!$B$7+AG28*Settings!$B$8+AE28*Settings!$B$9+AB28*Settings!$B$10+AC28*Settings!$B$11+X28*Settings!$B$12+Y28*Settings!$B$13+Z28*Settings!$B$14</f>
        <v>2.7</v>
      </c>
    </row>
    <row r="29" spans="1:47" x14ac:dyDescent="0.25">
      <c r="A29" s="15" t="s">
        <v>121</v>
      </c>
      <c r="B29" s="16" t="s">
        <v>198</v>
      </c>
      <c r="C29" s="17">
        <v>8</v>
      </c>
      <c r="D29" s="17" t="s">
        <v>118</v>
      </c>
      <c r="E29" s="18" t="s">
        <v>99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1"/>
      <c r="S29" s="21"/>
      <c r="T29" s="20"/>
      <c r="U29" s="22">
        <v>17</v>
      </c>
      <c r="V29" s="22"/>
      <c r="W29" s="22"/>
      <c r="X29" s="22"/>
      <c r="Y29" s="22"/>
      <c r="Z29" s="22"/>
      <c r="AA29" s="22">
        <v>0</v>
      </c>
      <c r="AB29" s="22">
        <v>1</v>
      </c>
      <c r="AC29" s="22">
        <v>0</v>
      </c>
      <c r="AD29" s="22">
        <v>1</v>
      </c>
      <c r="AE29" s="22">
        <v>0</v>
      </c>
      <c r="AF29" s="22">
        <v>8</v>
      </c>
      <c r="AG29" s="22">
        <v>0</v>
      </c>
      <c r="AH29" s="23" t="s">
        <v>101</v>
      </c>
      <c r="AI29" s="24" t="str">
        <f t="shared" si="0"/>
        <v/>
      </c>
      <c r="AJ29" s="24" t="str">
        <f t="shared" si="1"/>
        <v/>
      </c>
      <c r="AK29" s="25">
        <f t="shared" si="2"/>
        <v>0</v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2.008032128514056E-3</v>
      </c>
      <c r="AP29" s="25">
        <f t="shared" si="7"/>
        <v>0</v>
      </c>
      <c r="AQ29" s="26">
        <f t="shared" si="8"/>
        <v>0</v>
      </c>
      <c r="AR29" s="26">
        <f t="shared" si="9"/>
        <v>5.8823529411764705E-2</v>
      </c>
      <c r="AS29" s="27">
        <f t="shared" si="10"/>
        <v>1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0.9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199</v>
      </c>
      <c r="C31" s="17">
        <v>1</v>
      </c>
      <c r="D31" s="17" t="s">
        <v>200</v>
      </c>
      <c r="E31" s="18" t="s">
        <v>99</v>
      </c>
      <c r="F31" s="19">
        <v>1</v>
      </c>
      <c r="G31" s="19">
        <v>4</v>
      </c>
      <c r="H31" s="19">
        <v>10</v>
      </c>
      <c r="I31" s="19">
        <v>48</v>
      </c>
      <c r="J31" s="19">
        <v>61</v>
      </c>
      <c r="K31" s="19">
        <v>69</v>
      </c>
      <c r="L31" s="19">
        <v>70</v>
      </c>
      <c r="M31" s="19">
        <v>422</v>
      </c>
      <c r="N31" s="19" t="s">
        <v>155</v>
      </c>
      <c r="O31" s="19">
        <v>17</v>
      </c>
      <c r="P31" s="20">
        <v>3.53</v>
      </c>
      <c r="Q31" s="20">
        <v>11.07</v>
      </c>
      <c r="R31" s="21">
        <v>0.74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8</v>
      </c>
      <c r="AB31" s="22">
        <v>29</v>
      </c>
      <c r="AC31" s="22">
        <v>1</v>
      </c>
      <c r="AD31" s="22">
        <v>78</v>
      </c>
      <c r="AE31" s="22">
        <v>54</v>
      </c>
      <c r="AF31" s="22">
        <v>568</v>
      </c>
      <c r="AG31" s="22">
        <v>7</v>
      </c>
      <c r="AH31" s="23" t="s">
        <v>101</v>
      </c>
      <c r="AI31" s="24">
        <f t="shared" si="0"/>
        <v>3.625</v>
      </c>
      <c r="AJ31" s="24">
        <f t="shared" si="1"/>
        <v>10.518518518518519</v>
      </c>
      <c r="AK31" s="25">
        <f t="shared" si="2"/>
        <v>0.69230769230769229</v>
      </c>
      <c r="AL31" s="24" t="str">
        <f t="shared" si="3"/>
        <v/>
      </c>
      <c r="AM31" s="25" t="str">
        <f t="shared" si="4"/>
        <v/>
      </c>
      <c r="AN31" s="25">
        <f t="shared" si="5"/>
        <v>1.568935085310845E-2</v>
      </c>
      <c r="AO31" s="25">
        <f t="shared" si="6"/>
        <v>0.15662650602409639</v>
      </c>
      <c r="AP31" s="25">
        <f t="shared" si="7"/>
        <v>0</v>
      </c>
      <c r="AQ31" s="26">
        <f t="shared" si="8"/>
        <v>0.47058823529411764</v>
      </c>
      <c r="AR31" s="26">
        <f t="shared" si="9"/>
        <v>4.5882352941176467</v>
      </c>
      <c r="AS31" s="27">
        <f t="shared" si="10"/>
        <v>8</v>
      </c>
      <c r="AT31" s="27">
        <f t="shared" si="11"/>
        <v>-2</v>
      </c>
      <c r="AU31" s="28">
        <f>AF31*Settings!$B$7+AG31*Settings!$B$8+AE31*Settings!$B$9+AB31*Settings!$B$10+AC31*Settings!$B$11+X31*Settings!$B$12+Y31*Settings!$B$13+Z31*Settings!$B$14</f>
        <v>134.70000000000002</v>
      </c>
    </row>
    <row r="32" spans="1:47" x14ac:dyDescent="0.25">
      <c r="A32" s="15" t="s">
        <v>135</v>
      </c>
      <c r="B32" s="16" t="s">
        <v>201</v>
      </c>
      <c r="C32" s="17">
        <v>2</v>
      </c>
      <c r="D32" s="17" t="s">
        <v>118</v>
      </c>
      <c r="E32" s="18" t="s">
        <v>99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20"/>
      <c r="R32" s="21"/>
      <c r="S32" s="21"/>
      <c r="T32" s="20"/>
      <c r="U32" s="22">
        <v>17</v>
      </c>
      <c r="V32" s="22"/>
      <c r="W32" s="22"/>
      <c r="X32" s="22"/>
      <c r="Y32" s="22"/>
      <c r="Z32" s="22"/>
      <c r="AA32" s="22">
        <v>0</v>
      </c>
      <c r="AB32" s="22">
        <v>0</v>
      </c>
      <c r="AC32" s="22">
        <v>0</v>
      </c>
      <c r="AD32" s="22">
        <v>10</v>
      </c>
      <c r="AE32" s="22">
        <v>8</v>
      </c>
      <c r="AF32" s="22">
        <v>78</v>
      </c>
      <c r="AG32" s="22">
        <v>1</v>
      </c>
      <c r="AH32" s="23" t="s">
        <v>101</v>
      </c>
      <c r="AI32" s="24" t="str">
        <f t="shared" si="0"/>
        <v/>
      </c>
      <c r="AJ32" s="24">
        <f t="shared" si="1"/>
        <v>9.75</v>
      </c>
      <c r="AK32" s="25">
        <f t="shared" si="2"/>
        <v>0.8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2.0080321285140562E-2</v>
      </c>
      <c r="AP32" s="25">
        <f t="shared" si="7"/>
        <v>0</v>
      </c>
      <c r="AQ32" s="26">
        <f t="shared" si="8"/>
        <v>0</v>
      </c>
      <c r="AR32" s="26">
        <f t="shared" si="9"/>
        <v>0.58823529411764708</v>
      </c>
      <c r="AS32" s="27">
        <f t="shared" si="10"/>
        <v>10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17.8</v>
      </c>
    </row>
    <row r="33" spans="1:47" x14ac:dyDescent="0.25">
      <c r="A33" s="15" t="s">
        <v>135</v>
      </c>
      <c r="B33" s="16" t="s">
        <v>202</v>
      </c>
      <c r="C33" s="17">
        <v>3</v>
      </c>
      <c r="D33" s="17" t="s">
        <v>200</v>
      </c>
      <c r="E33" s="18" t="s">
        <v>99</v>
      </c>
      <c r="F33" s="19"/>
      <c r="G33" s="19"/>
      <c r="H33" s="19"/>
      <c r="I33" s="19"/>
      <c r="J33" s="19">
        <v>43</v>
      </c>
      <c r="K33" s="19">
        <v>17</v>
      </c>
      <c r="L33" s="19">
        <v>6</v>
      </c>
      <c r="M33" s="19">
        <v>25</v>
      </c>
      <c r="N33" s="19" t="s">
        <v>132</v>
      </c>
      <c r="O33" s="19">
        <v>17</v>
      </c>
      <c r="P33" s="20"/>
      <c r="Q33" s="20">
        <v>9.25</v>
      </c>
      <c r="R33" s="21">
        <v>0.72699999999999998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15</v>
      </c>
      <c r="AE33" s="22">
        <v>10</v>
      </c>
      <c r="AF33" s="22">
        <v>94</v>
      </c>
      <c r="AG33" s="22">
        <v>1</v>
      </c>
      <c r="AH33" s="23" t="s">
        <v>101</v>
      </c>
      <c r="AI33" s="24" t="str">
        <f t="shared" si="0"/>
        <v/>
      </c>
      <c r="AJ33" s="24">
        <f t="shared" si="1"/>
        <v>9.4</v>
      </c>
      <c r="AK33" s="25">
        <f t="shared" si="2"/>
        <v>0.66666666666666663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3.0120481927710843E-2</v>
      </c>
      <c r="AP33" s="25">
        <f t="shared" si="7"/>
        <v>0</v>
      </c>
      <c r="AQ33" s="26">
        <f t="shared" si="8"/>
        <v>0</v>
      </c>
      <c r="AR33" s="26">
        <f t="shared" si="9"/>
        <v>0.88235294117647056</v>
      </c>
      <c r="AS33" s="27">
        <f t="shared" si="10"/>
        <v>9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20.399999999999999</v>
      </c>
    </row>
    <row r="34" spans="1:47" x14ac:dyDescent="0.25">
      <c r="A34" s="15" t="s">
        <v>135</v>
      </c>
      <c r="B34" s="16" t="s">
        <v>203</v>
      </c>
      <c r="C34" s="17">
        <v>4</v>
      </c>
      <c r="D34" s="17" t="s">
        <v>128</v>
      </c>
      <c r="E34" s="18" t="s">
        <v>99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1"/>
      <c r="S34" s="21"/>
      <c r="T34" s="20"/>
      <c r="U34" s="22">
        <v>17</v>
      </c>
      <c r="V34" s="22"/>
      <c r="W34" s="22"/>
      <c r="X34" s="22"/>
      <c r="Y34" s="22"/>
      <c r="Z34" s="22"/>
      <c r="AA34" s="22">
        <v>0</v>
      </c>
      <c r="AB34" s="22">
        <v>0</v>
      </c>
      <c r="AC34" s="22">
        <v>0</v>
      </c>
      <c r="AD34" s="22">
        <v>6</v>
      </c>
      <c r="AE34" s="22">
        <v>5</v>
      </c>
      <c r="AF34" s="22">
        <v>56</v>
      </c>
      <c r="AG34" s="22">
        <v>0</v>
      </c>
      <c r="AH34" s="23" t="s">
        <v>101</v>
      </c>
      <c r="AI34" s="24" t="str">
        <f t="shared" si="0"/>
        <v/>
      </c>
      <c r="AJ34" s="24">
        <f t="shared" si="1"/>
        <v>11.2</v>
      </c>
      <c r="AK34" s="25">
        <f t="shared" si="2"/>
        <v>0.83333333333333337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1.2048192771084338E-2</v>
      </c>
      <c r="AP34" s="25">
        <f t="shared" si="7"/>
        <v>0</v>
      </c>
      <c r="AQ34" s="26">
        <f t="shared" si="8"/>
        <v>0</v>
      </c>
      <c r="AR34" s="26">
        <f t="shared" si="9"/>
        <v>0.35294117647058826</v>
      </c>
      <c r="AS34" s="27">
        <f t="shared" si="10"/>
        <v>6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8.1000000000000014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481</v>
      </c>
      <c r="W37" s="34">
        <f t="shared" si="12"/>
        <v>311</v>
      </c>
      <c r="X37" s="34">
        <f t="shared" si="12"/>
        <v>3799</v>
      </c>
      <c r="Y37" s="34">
        <f t="shared" si="12"/>
        <v>28</v>
      </c>
      <c r="Z37" s="34">
        <f t="shared" si="12"/>
        <v>10</v>
      </c>
      <c r="AA37" s="34">
        <f t="shared" si="12"/>
        <v>537</v>
      </c>
      <c r="AB37" s="34">
        <f t="shared" si="12"/>
        <v>2683</v>
      </c>
      <c r="AC37" s="34">
        <f t="shared" si="12"/>
        <v>20</v>
      </c>
      <c r="AD37" s="34">
        <f t="shared" si="12"/>
        <v>466</v>
      </c>
      <c r="AE37" s="34">
        <f t="shared" si="12"/>
        <v>318</v>
      </c>
      <c r="AF37" s="34">
        <f t="shared" si="12"/>
        <v>3873</v>
      </c>
      <c r="AG37" s="34">
        <f t="shared" si="12"/>
        <v>29</v>
      </c>
    </row>
    <row r="38" spans="1:47" x14ac:dyDescent="0.25">
      <c r="A38" s="5" t="s">
        <v>142</v>
      </c>
      <c r="V38" s="35">
        <f>$F$5</f>
        <v>522</v>
      </c>
      <c r="X38" s="35">
        <f>$I$5</f>
        <v>3763</v>
      </c>
      <c r="Y38" s="35">
        <f>$J$5</f>
        <v>28</v>
      </c>
      <c r="Z38" s="35">
        <f>$K$5</f>
        <v>10</v>
      </c>
      <c r="AA38" s="35">
        <f>$H$5</f>
        <v>509.90000000000009</v>
      </c>
      <c r="AB38" s="35">
        <f>$L$5</f>
        <v>2551</v>
      </c>
      <c r="AC38" s="35">
        <f>$M$5</f>
        <v>20</v>
      </c>
      <c r="AD38" s="35">
        <f>$G$5</f>
        <v>498</v>
      </c>
      <c r="AF38" s="35">
        <f>$I$5</f>
        <v>3763</v>
      </c>
      <c r="AG38" s="35">
        <f>$J$5</f>
        <v>28</v>
      </c>
    </row>
    <row r="39" spans="1:47" x14ac:dyDescent="0.25">
      <c r="A39" s="5" t="s">
        <v>143</v>
      </c>
      <c r="V39" s="36">
        <f>$F$5-V37</f>
        <v>41</v>
      </c>
      <c r="X39" s="36">
        <f>$I$5-X37</f>
        <v>-36</v>
      </c>
      <c r="Y39" s="36">
        <f>$J$5-Y37</f>
        <v>0</v>
      </c>
      <c r="Z39" s="36">
        <f>$K$5-Z37</f>
        <v>0</v>
      </c>
      <c r="AA39" s="36">
        <f>$H$5-AA37</f>
        <v>-27.099999999999909</v>
      </c>
      <c r="AB39" s="36">
        <f>$L$5-AB37</f>
        <v>-132</v>
      </c>
      <c r="AC39" s="36">
        <f>$M$5-AC37</f>
        <v>0</v>
      </c>
      <c r="AD39" s="36">
        <f>$G$5-AD37</f>
        <v>32</v>
      </c>
      <c r="AF39" s="36">
        <f>$I$5-AF37</f>
        <v>-110</v>
      </c>
      <c r="AG39" s="36">
        <f>$J$5-AG37</f>
        <v>-1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899" priority="1" stopIfTrue="1">
      <formula>V37&gt;$F$5</formula>
    </cfRule>
    <cfRule type="expression" dxfId="898" priority="2">
      <formula>AND($F$5&gt;0,V37&lt;$F$5*0.97)</formula>
    </cfRule>
    <cfRule type="expression" dxfId="897" priority="3">
      <formula>AND($F$5&gt;0,V37&gt;=$F$5*0.97,V37&lt;=$F$5)</formula>
    </cfRule>
  </conditionalFormatting>
  <conditionalFormatting sqref="X37">
    <cfRule type="expression" dxfId="896" priority="4" stopIfTrue="1">
      <formula>X37&gt;$I$5</formula>
    </cfRule>
    <cfRule type="expression" dxfId="895" priority="5">
      <formula>AND($I$5&gt;0,X37&lt;$I$5*0.97)</formula>
    </cfRule>
    <cfRule type="expression" dxfId="894" priority="6">
      <formula>AND($I$5&gt;0,X37&gt;=$I$5*0.97,X37&lt;=$I$5)</formula>
    </cfRule>
  </conditionalFormatting>
  <conditionalFormatting sqref="Y37">
    <cfRule type="expression" dxfId="893" priority="7" stopIfTrue="1">
      <formula>Y37&gt;$J$5</formula>
    </cfRule>
    <cfRule type="expression" dxfId="892" priority="8">
      <formula>AND($J$5&gt;0,Y37&lt;$J$5*0.97)</formula>
    </cfRule>
    <cfRule type="expression" dxfId="891" priority="9">
      <formula>AND($J$5&gt;0,Y37&gt;=$J$5*0.97,Y37&lt;=$J$5)</formula>
    </cfRule>
  </conditionalFormatting>
  <conditionalFormatting sqref="Z37">
    <cfRule type="expression" dxfId="890" priority="10" stopIfTrue="1">
      <formula>Z37&gt;$K$5</formula>
    </cfRule>
    <cfRule type="expression" dxfId="889" priority="11">
      <formula>AND($K$5&gt;0,Z37&lt;$K$5*0.97)</formula>
    </cfRule>
    <cfRule type="expression" dxfId="888" priority="12">
      <formula>AND($K$5&gt;0,Z37&gt;=$K$5*0.97,Z37&lt;=$K$5)</formula>
    </cfRule>
  </conditionalFormatting>
  <conditionalFormatting sqref="AA37">
    <cfRule type="expression" dxfId="887" priority="13" stopIfTrue="1">
      <formula>AA37&gt;$H$5</formula>
    </cfRule>
    <cfRule type="expression" dxfId="886" priority="14">
      <formula>AND($H$5&gt;0,AA37&lt;$H$5*0.97)</formula>
    </cfRule>
    <cfRule type="expression" dxfId="885" priority="15">
      <formula>AND($H$5&gt;0,AA37&gt;=$H$5*0.97,AA37&lt;=$H$5)</formula>
    </cfRule>
  </conditionalFormatting>
  <conditionalFormatting sqref="AB37">
    <cfRule type="expression" dxfId="884" priority="16" stopIfTrue="1">
      <formula>AB37&gt;$L$5</formula>
    </cfRule>
    <cfRule type="expression" dxfId="883" priority="17">
      <formula>AND($L$5&gt;0,AB37&lt;$L$5*0.97)</formula>
    </cfRule>
    <cfRule type="expression" dxfId="882" priority="18">
      <formula>AND($L$5&gt;0,AB37&gt;=$L$5*0.97,AB37&lt;=$L$5)</formula>
    </cfRule>
  </conditionalFormatting>
  <conditionalFormatting sqref="AC37">
    <cfRule type="expression" dxfId="881" priority="19" stopIfTrue="1">
      <formula>AC37&gt;$M$5</formula>
    </cfRule>
    <cfRule type="expression" dxfId="880" priority="20">
      <formula>AND($M$5&gt;0,AC37&lt;$M$5*0.97)</formula>
    </cfRule>
    <cfRule type="expression" dxfId="879" priority="21">
      <formula>AND($M$5&gt;0,AC37&gt;=$M$5*0.97,AC37&lt;=$M$5)</formula>
    </cfRule>
  </conditionalFormatting>
  <conditionalFormatting sqref="AD37">
    <cfRule type="expression" dxfId="878" priority="22" stopIfTrue="1">
      <formula>AD37&gt;$G$5</formula>
    </cfRule>
    <cfRule type="expression" dxfId="877" priority="23">
      <formula>AND($G$5&gt;0,AD37&lt;$G$5*0.97)</formula>
    </cfRule>
    <cfRule type="expression" dxfId="876" priority="24">
      <formula>AND($G$5&gt;0,AD37&gt;=$G$5*0.97,AD37&lt;=$G$5)</formula>
    </cfRule>
  </conditionalFormatting>
  <conditionalFormatting sqref="AF37">
    <cfRule type="expression" dxfId="875" priority="25" stopIfTrue="1">
      <formula>AF37&gt;$I$5</formula>
    </cfRule>
    <cfRule type="expression" dxfId="874" priority="26">
      <formula>AND($I$5&gt;0,AF37&lt;$I$5*0.97)</formula>
    </cfRule>
    <cfRule type="expression" dxfId="873" priority="27">
      <formula>AND($I$5&gt;0,AF37&gt;=$I$5*0.97,AF37&lt;=$I$5)</formula>
    </cfRule>
  </conditionalFormatting>
  <conditionalFormatting sqref="AG37">
    <cfRule type="expression" dxfId="872" priority="28" stopIfTrue="1">
      <formula>AG37&gt;$J$5</formula>
    </cfRule>
    <cfRule type="expression" dxfId="871" priority="29">
      <formula>AND($J$5&gt;0,AG37&lt;$J$5*0.97)</formula>
    </cfRule>
    <cfRule type="expression" dxfId="870" priority="30">
      <formula>AND($J$5&gt;0,AG37&gt;=$J$5*0.97,AG37&lt;=$J$5)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204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62.6</v>
      </c>
      <c r="D5" s="10">
        <f>C5*B5</f>
        <v>1064.2</v>
      </c>
      <c r="E5" s="11">
        <v>0.52749999999999997</v>
      </c>
      <c r="F5" s="10">
        <f>ROUND(D5*E5,0)</f>
        <v>561</v>
      </c>
      <c r="G5" s="10">
        <f>ROUND(F5*Settings!$B$4,0)</f>
        <v>535</v>
      </c>
      <c r="H5" s="10">
        <f>D5-F5</f>
        <v>503.20000000000005</v>
      </c>
      <c r="I5" s="8">
        <v>4003</v>
      </c>
      <c r="J5" s="9">
        <v>28</v>
      </c>
      <c r="K5" s="9">
        <v>11</v>
      </c>
      <c r="L5" s="8">
        <v>2305</v>
      </c>
      <c r="M5" s="9">
        <v>24</v>
      </c>
    </row>
    <row r="7" spans="1:47" x14ac:dyDescent="0.25">
      <c r="A7" s="5" t="s">
        <v>54</v>
      </c>
      <c r="B7" s="12" t="s">
        <v>205</v>
      </c>
    </row>
    <row r="8" spans="1:47" x14ac:dyDescent="0.25">
      <c r="A8" s="5" t="s">
        <v>56</v>
      </c>
      <c r="B8" s="13" t="s">
        <v>206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207</v>
      </c>
      <c r="C11" s="17">
        <v>1</v>
      </c>
      <c r="D11" s="17" t="s">
        <v>200</v>
      </c>
      <c r="E11" s="18" t="s">
        <v>99</v>
      </c>
      <c r="F11" s="19">
        <v>102</v>
      </c>
      <c r="G11" s="19">
        <v>94</v>
      </c>
      <c r="H11" s="19">
        <v>93</v>
      </c>
      <c r="I11" s="19">
        <v>579</v>
      </c>
      <c r="J11" s="19"/>
      <c r="K11" s="19"/>
      <c r="L11" s="19"/>
      <c r="M11" s="19"/>
      <c r="N11" s="19" t="s">
        <v>208</v>
      </c>
      <c r="O11" s="19">
        <v>17</v>
      </c>
      <c r="P11" s="20">
        <v>5.65</v>
      </c>
      <c r="Q11" s="20"/>
      <c r="R11" s="21"/>
      <c r="S11" s="21">
        <v>0.66400000000000003</v>
      </c>
      <c r="T11" s="20">
        <v>7.69</v>
      </c>
      <c r="U11" s="22">
        <v>17</v>
      </c>
      <c r="V11" s="22">
        <v>488</v>
      </c>
      <c r="W11" s="22">
        <v>329</v>
      </c>
      <c r="X11" s="22">
        <v>3760</v>
      </c>
      <c r="Y11" s="22">
        <v>26</v>
      </c>
      <c r="Z11" s="22">
        <v>10</v>
      </c>
      <c r="AA11" s="22">
        <v>110</v>
      </c>
      <c r="AB11" s="22">
        <v>558</v>
      </c>
      <c r="AC11" s="22">
        <v>11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5.0727272727272723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7.7049180327868854</v>
      </c>
      <c r="AM11" s="25">
        <f t="shared" ref="AM11:AM35" si="4">IFERROR(W11/V11,"")</f>
        <v>0.67418032786885251</v>
      </c>
      <c r="AN11" s="25">
        <f t="shared" ref="AN11:AN35" si="5">IFERROR(AA11/$H$5,"")</f>
        <v>0.21860095389507153</v>
      </c>
      <c r="AO11" s="25">
        <f t="shared" ref="AO11:AO35" si="6">IFERROR(AD11/$G$5,"")</f>
        <v>0</v>
      </c>
      <c r="AP11" s="25">
        <f t="shared" ref="AP11:AP35" si="7">IFERROR(V11/$F$5,"")</f>
        <v>0.86987522281639929</v>
      </c>
      <c r="AQ11" s="26">
        <f t="shared" ref="AQ11:AQ35" si="8">IFERROR(AA11/U11,"")</f>
        <v>6.4705882352941178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17</v>
      </c>
      <c r="AU11" s="28">
        <f>AF11*Settings!$B$7+AG11*Settings!$B$8+AE11*Settings!$B$9+AB11*Settings!$B$10+AC11*Settings!$B$11+X11*Settings!$B$12+Y11*Settings!$B$13+Z11*Settings!$B$14</f>
        <v>356.20000000000005</v>
      </c>
    </row>
    <row r="12" spans="1:47" x14ac:dyDescent="0.25">
      <c r="A12" s="15" t="s">
        <v>96</v>
      </c>
      <c r="B12" s="16" t="s">
        <v>209</v>
      </c>
      <c r="C12" s="17">
        <v>2</v>
      </c>
      <c r="D12" s="17" t="s">
        <v>130</v>
      </c>
      <c r="E12" s="18" t="s">
        <v>99</v>
      </c>
      <c r="F12" s="19"/>
      <c r="G12" s="19"/>
      <c r="H12" s="19">
        <v>1</v>
      </c>
      <c r="I12" s="19">
        <v>4</v>
      </c>
      <c r="J12" s="19"/>
      <c r="K12" s="19"/>
      <c r="L12" s="19"/>
      <c r="M12" s="19"/>
      <c r="N12" s="19" t="s">
        <v>210</v>
      </c>
      <c r="O12" s="19">
        <v>1</v>
      </c>
      <c r="P12" s="20">
        <v>4</v>
      </c>
      <c r="Q12" s="20"/>
      <c r="R12" s="21"/>
      <c r="S12" s="21">
        <v>0.5</v>
      </c>
      <c r="T12" s="20"/>
      <c r="U12" s="22">
        <v>17</v>
      </c>
      <c r="V12" s="22">
        <v>17</v>
      </c>
      <c r="W12" s="22">
        <v>12</v>
      </c>
      <c r="X12" s="22">
        <v>84</v>
      </c>
      <c r="Y12" s="22">
        <v>1</v>
      </c>
      <c r="Z12" s="22">
        <v>0</v>
      </c>
      <c r="AA12" s="22">
        <v>2</v>
      </c>
      <c r="AB12" s="22">
        <v>11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5.5</v>
      </c>
      <c r="AJ12" s="24" t="str">
        <f t="shared" si="1"/>
        <v/>
      </c>
      <c r="AK12" s="25" t="str">
        <f t="shared" si="2"/>
        <v/>
      </c>
      <c r="AL12" s="24">
        <f t="shared" si="3"/>
        <v>4.9411764705882355</v>
      </c>
      <c r="AM12" s="25">
        <f t="shared" si="4"/>
        <v>0.70588235294117652</v>
      </c>
      <c r="AN12" s="25">
        <f t="shared" si="5"/>
        <v>3.9745627980922096E-3</v>
      </c>
      <c r="AO12" s="25">
        <f t="shared" si="6"/>
        <v>0</v>
      </c>
      <c r="AP12" s="25">
        <f t="shared" si="7"/>
        <v>3.0303030303030304E-2</v>
      </c>
      <c r="AQ12" s="26">
        <f t="shared" si="8"/>
        <v>0.11764705882352941</v>
      </c>
      <c r="AR12" s="26">
        <f t="shared" si="9"/>
        <v>0</v>
      </c>
      <c r="AS12" s="27">
        <f t="shared" si="10"/>
        <v>0</v>
      </c>
      <c r="AT12" s="27">
        <f t="shared" si="11"/>
        <v>1</v>
      </c>
      <c r="AU12" s="28">
        <f>AF12*Settings!$B$7+AG12*Settings!$B$8+AE12*Settings!$B$9+AB12*Settings!$B$10+AC12*Settings!$B$11+X12*Settings!$B$12+Y12*Settings!$B$13+Z12*Settings!$B$14</f>
        <v>8.4600000000000009</v>
      </c>
    </row>
    <row r="13" spans="1:47" x14ac:dyDescent="0.25">
      <c r="A13" s="15" t="s">
        <v>96</v>
      </c>
      <c r="B13" s="16" t="s">
        <v>211</v>
      </c>
      <c r="C13" s="17">
        <v>3</v>
      </c>
      <c r="D13" s="17" t="s">
        <v>200</v>
      </c>
      <c r="E13" s="18" t="s">
        <v>99</v>
      </c>
      <c r="F13" s="19"/>
      <c r="G13" s="19"/>
      <c r="H13" s="19"/>
      <c r="I13" s="19" t="s">
        <v>212</v>
      </c>
      <c r="J13" s="19"/>
      <c r="K13" s="19"/>
      <c r="L13" s="19"/>
      <c r="M13" s="19"/>
      <c r="N13" s="19" t="s">
        <v>213</v>
      </c>
      <c r="O13" s="19">
        <v>3</v>
      </c>
      <c r="P13" s="20"/>
      <c r="Q13" s="20"/>
      <c r="R13" s="21"/>
      <c r="S13" s="21">
        <v>0.33300000000000002</v>
      </c>
      <c r="T13" s="20"/>
      <c r="U13" s="22">
        <v>17</v>
      </c>
      <c r="V13" s="22">
        <v>27</v>
      </c>
      <c r="W13" s="22">
        <v>16</v>
      </c>
      <c r="X13" s="22">
        <v>202</v>
      </c>
      <c r="Y13" s="22">
        <v>1</v>
      </c>
      <c r="Z13" s="22">
        <v>1</v>
      </c>
      <c r="AA13" s="22">
        <v>2</v>
      </c>
      <c r="AB13" s="22">
        <v>7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3" t="s">
        <v>101</v>
      </c>
      <c r="AI13" s="24">
        <f t="shared" si="0"/>
        <v>3.5</v>
      </c>
      <c r="AJ13" s="24" t="str">
        <f t="shared" si="1"/>
        <v/>
      </c>
      <c r="AK13" s="25" t="str">
        <f t="shared" si="2"/>
        <v/>
      </c>
      <c r="AL13" s="24">
        <f t="shared" si="3"/>
        <v>7.4814814814814818</v>
      </c>
      <c r="AM13" s="25">
        <f t="shared" si="4"/>
        <v>0.59259259259259256</v>
      </c>
      <c r="AN13" s="25">
        <f t="shared" si="5"/>
        <v>3.9745627980922096E-3</v>
      </c>
      <c r="AO13" s="25">
        <f t="shared" si="6"/>
        <v>0</v>
      </c>
      <c r="AP13" s="25">
        <f t="shared" si="7"/>
        <v>4.8128342245989303E-2</v>
      </c>
      <c r="AQ13" s="26">
        <f t="shared" si="8"/>
        <v>0.11764705882352941</v>
      </c>
      <c r="AR13" s="26">
        <f t="shared" si="9"/>
        <v>0</v>
      </c>
      <c r="AS13" s="27">
        <f t="shared" si="10"/>
        <v>0</v>
      </c>
      <c r="AT13" s="27">
        <f t="shared" si="11"/>
        <v>2</v>
      </c>
      <c r="AU13" s="28">
        <f>AF13*Settings!$B$7+AG13*Settings!$B$8+AE13*Settings!$B$9+AB13*Settings!$B$10+AC13*Settings!$B$11+X13*Settings!$B$12+Y13*Settings!$B$13+Z13*Settings!$B$14</f>
        <v>10.78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214</v>
      </c>
      <c r="C15" s="17">
        <v>1</v>
      </c>
      <c r="D15" s="17" t="s">
        <v>111</v>
      </c>
      <c r="E15" s="18" t="s">
        <v>99</v>
      </c>
      <c r="F15" s="19">
        <v>237</v>
      </c>
      <c r="G15" s="19">
        <v>207</v>
      </c>
      <c r="H15" s="19">
        <v>309</v>
      </c>
      <c r="I15" s="19">
        <v>1621</v>
      </c>
      <c r="J15" s="19">
        <v>54</v>
      </c>
      <c r="K15" s="19">
        <v>38</v>
      </c>
      <c r="L15" s="19">
        <v>40</v>
      </c>
      <c r="M15" s="19">
        <v>291</v>
      </c>
      <c r="N15" s="19" t="s">
        <v>208</v>
      </c>
      <c r="O15" s="19">
        <v>17</v>
      </c>
      <c r="P15" s="20">
        <v>4.9800000000000004</v>
      </c>
      <c r="Q15" s="20">
        <v>9.1199999999999992</v>
      </c>
      <c r="R15" s="21">
        <v>0.82599999999999996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274</v>
      </c>
      <c r="AB15" s="22">
        <v>1351</v>
      </c>
      <c r="AC15" s="22">
        <v>10</v>
      </c>
      <c r="AD15" s="22">
        <v>42</v>
      </c>
      <c r="AE15" s="22">
        <v>33</v>
      </c>
      <c r="AF15" s="22">
        <v>276</v>
      </c>
      <c r="AG15" s="22">
        <v>2</v>
      </c>
      <c r="AH15" s="23" t="s">
        <v>101</v>
      </c>
      <c r="AI15" s="24">
        <f t="shared" si="0"/>
        <v>4.9306569343065689</v>
      </c>
      <c r="AJ15" s="24">
        <f t="shared" si="1"/>
        <v>8.3636363636363633</v>
      </c>
      <c r="AK15" s="25">
        <f t="shared" si="2"/>
        <v>0.7857142857142857</v>
      </c>
      <c r="AL15" s="24" t="str">
        <f t="shared" si="3"/>
        <v/>
      </c>
      <c r="AM15" s="25" t="str">
        <f t="shared" si="4"/>
        <v/>
      </c>
      <c r="AN15" s="25">
        <f t="shared" si="5"/>
        <v>0.54451510333863273</v>
      </c>
      <c r="AO15" s="25">
        <f t="shared" si="6"/>
        <v>7.8504672897196259E-2</v>
      </c>
      <c r="AP15" s="25">
        <f t="shared" si="7"/>
        <v>0</v>
      </c>
      <c r="AQ15" s="26">
        <f t="shared" si="8"/>
        <v>16.117647058823529</v>
      </c>
      <c r="AR15" s="26">
        <f t="shared" si="9"/>
        <v>2.4705882352941178</v>
      </c>
      <c r="AS15" s="27">
        <f t="shared" si="10"/>
        <v>2</v>
      </c>
      <c r="AT15" s="27">
        <f t="shared" si="11"/>
        <v>-35</v>
      </c>
      <c r="AU15" s="28">
        <f>AF15*Settings!$B$7+AG15*Settings!$B$8+AE15*Settings!$B$9+AB15*Settings!$B$10+AC15*Settings!$B$11+X15*Settings!$B$12+Y15*Settings!$B$13+Z15*Settings!$B$14</f>
        <v>251.2</v>
      </c>
    </row>
    <row r="16" spans="1:47" x14ac:dyDescent="0.25">
      <c r="A16" s="15" t="s">
        <v>107</v>
      </c>
      <c r="B16" s="16" t="s">
        <v>215</v>
      </c>
      <c r="C16" s="17">
        <v>2</v>
      </c>
      <c r="D16" s="17" t="s">
        <v>130</v>
      </c>
      <c r="E16" s="18" t="s">
        <v>99</v>
      </c>
      <c r="F16" s="19">
        <v>30</v>
      </c>
      <c r="G16" s="19">
        <v>41</v>
      </c>
      <c r="H16" s="19">
        <v>50</v>
      </c>
      <c r="I16" s="19">
        <v>200</v>
      </c>
      <c r="J16" s="19">
        <v>7</v>
      </c>
      <c r="K16" s="19">
        <v>25</v>
      </c>
      <c r="L16" s="19">
        <v>33</v>
      </c>
      <c r="M16" s="19">
        <v>263</v>
      </c>
      <c r="N16" s="19" t="s">
        <v>208</v>
      </c>
      <c r="O16" s="19">
        <v>17</v>
      </c>
      <c r="P16" s="20">
        <v>4.5</v>
      </c>
      <c r="Q16" s="20">
        <v>12.43</v>
      </c>
      <c r="R16" s="21">
        <v>0.754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49</v>
      </c>
      <c r="AB16" s="22">
        <v>202</v>
      </c>
      <c r="AC16" s="22">
        <v>2</v>
      </c>
      <c r="AD16" s="22">
        <v>26</v>
      </c>
      <c r="AE16" s="22">
        <v>21</v>
      </c>
      <c r="AF16" s="22">
        <v>205</v>
      </c>
      <c r="AG16" s="22">
        <v>2</v>
      </c>
      <c r="AH16" s="23" t="s">
        <v>101</v>
      </c>
      <c r="AI16" s="24">
        <f t="shared" si="0"/>
        <v>4.1224489795918364</v>
      </c>
      <c r="AJ16" s="24">
        <f t="shared" si="1"/>
        <v>9.7619047619047628</v>
      </c>
      <c r="AK16" s="25">
        <f t="shared" si="2"/>
        <v>0.80769230769230771</v>
      </c>
      <c r="AL16" s="24" t="str">
        <f t="shared" si="3"/>
        <v/>
      </c>
      <c r="AM16" s="25" t="str">
        <f t="shared" si="4"/>
        <v/>
      </c>
      <c r="AN16" s="25">
        <f t="shared" si="5"/>
        <v>9.7376788553259139E-2</v>
      </c>
      <c r="AO16" s="25">
        <f t="shared" si="6"/>
        <v>4.8598130841121495E-2</v>
      </c>
      <c r="AP16" s="25">
        <f t="shared" si="7"/>
        <v>0</v>
      </c>
      <c r="AQ16" s="26">
        <f t="shared" si="8"/>
        <v>2.8823529411764706</v>
      </c>
      <c r="AR16" s="26">
        <f t="shared" si="9"/>
        <v>1.5294117647058822</v>
      </c>
      <c r="AS16" s="27">
        <f t="shared" si="10"/>
        <v>-7</v>
      </c>
      <c r="AT16" s="27">
        <f t="shared" si="11"/>
        <v>-1</v>
      </c>
      <c r="AU16" s="28">
        <f>AF16*Settings!$B$7+AG16*Settings!$B$8+AE16*Settings!$B$9+AB16*Settings!$B$10+AC16*Settings!$B$11+X16*Settings!$B$12+Y16*Settings!$B$13+Z16*Settings!$B$14</f>
        <v>75.2</v>
      </c>
    </row>
    <row r="17" spans="1:47" x14ac:dyDescent="0.25">
      <c r="A17" s="15" t="s">
        <v>107</v>
      </c>
      <c r="B17" s="16" t="s">
        <v>216</v>
      </c>
      <c r="C17" s="17">
        <v>3</v>
      </c>
      <c r="D17" s="17" t="s">
        <v>118</v>
      </c>
      <c r="E17" s="18" t="s">
        <v>99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20"/>
      <c r="R17" s="21"/>
      <c r="S17" s="21"/>
      <c r="T17" s="20"/>
      <c r="U17" s="22">
        <v>17</v>
      </c>
      <c r="V17" s="22"/>
      <c r="W17" s="22"/>
      <c r="X17" s="22"/>
      <c r="Y17" s="22"/>
      <c r="Z17" s="22"/>
      <c r="AA17" s="22">
        <v>19</v>
      </c>
      <c r="AB17" s="22">
        <v>87</v>
      </c>
      <c r="AC17" s="22">
        <v>1</v>
      </c>
      <c r="AD17" s="22">
        <v>2</v>
      </c>
      <c r="AE17" s="22">
        <v>1</v>
      </c>
      <c r="AF17" s="22">
        <v>11</v>
      </c>
      <c r="AG17" s="22">
        <v>0</v>
      </c>
      <c r="AH17" s="23" t="s">
        <v>101</v>
      </c>
      <c r="AI17" s="24">
        <f t="shared" si="0"/>
        <v>4.5789473684210522</v>
      </c>
      <c r="AJ17" s="24">
        <f t="shared" si="1"/>
        <v>11</v>
      </c>
      <c r="AK17" s="25">
        <f t="shared" si="2"/>
        <v>0.5</v>
      </c>
      <c r="AL17" s="24" t="str">
        <f t="shared" si="3"/>
        <v/>
      </c>
      <c r="AM17" s="25" t="str">
        <f t="shared" si="4"/>
        <v/>
      </c>
      <c r="AN17" s="25">
        <f t="shared" si="5"/>
        <v>3.775834658187599E-2</v>
      </c>
      <c r="AO17" s="25">
        <f t="shared" si="6"/>
        <v>3.7383177570093459E-3</v>
      </c>
      <c r="AP17" s="25">
        <f t="shared" si="7"/>
        <v>0</v>
      </c>
      <c r="AQ17" s="26">
        <f t="shared" si="8"/>
        <v>1.1176470588235294</v>
      </c>
      <c r="AR17" s="26">
        <f t="shared" si="9"/>
        <v>0.11764705882352941</v>
      </c>
      <c r="AS17" s="27">
        <f t="shared" si="10"/>
        <v>2</v>
      </c>
      <c r="AT17" s="27">
        <f t="shared" si="11"/>
        <v>19</v>
      </c>
      <c r="AU17" s="28">
        <f>AF17*Settings!$B$7+AG17*Settings!$B$8+AE17*Settings!$B$9+AB17*Settings!$B$10+AC17*Settings!$B$11+X17*Settings!$B$12+Y17*Settings!$B$13+Z17*Settings!$B$14</f>
        <v>16.3</v>
      </c>
    </row>
    <row r="18" spans="1:47" x14ac:dyDescent="0.25">
      <c r="A18" s="15" t="s">
        <v>107</v>
      </c>
      <c r="B18" s="16" t="s">
        <v>217</v>
      </c>
      <c r="C18" s="17">
        <v>4</v>
      </c>
      <c r="D18" s="17" t="s">
        <v>111</v>
      </c>
      <c r="E18" s="18" t="s">
        <v>99</v>
      </c>
      <c r="F18" s="19"/>
      <c r="G18" s="19">
        <v>113</v>
      </c>
      <c r="H18" s="19">
        <v>58</v>
      </c>
      <c r="I18" s="19">
        <v>275</v>
      </c>
      <c r="J18" s="19"/>
      <c r="K18" s="19">
        <v>19</v>
      </c>
      <c r="L18" s="19">
        <v>13</v>
      </c>
      <c r="M18" s="19">
        <v>86</v>
      </c>
      <c r="N18" s="19" t="s">
        <v>208</v>
      </c>
      <c r="O18" s="19">
        <v>17</v>
      </c>
      <c r="P18" s="20">
        <v>4.1900000000000004</v>
      </c>
      <c r="Q18" s="20">
        <v>10.19</v>
      </c>
      <c r="R18" s="21">
        <v>0.84399999999999997</v>
      </c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63</v>
      </c>
      <c r="AB18" s="22">
        <v>268</v>
      </c>
      <c r="AC18" s="22">
        <v>2</v>
      </c>
      <c r="AD18" s="22">
        <v>15</v>
      </c>
      <c r="AE18" s="22">
        <v>11</v>
      </c>
      <c r="AF18" s="22">
        <v>92</v>
      </c>
      <c r="AG18" s="22">
        <v>1</v>
      </c>
      <c r="AH18" s="23" t="s">
        <v>101</v>
      </c>
      <c r="AI18" s="24">
        <f t="shared" si="0"/>
        <v>4.253968253968254</v>
      </c>
      <c r="AJ18" s="24">
        <f t="shared" si="1"/>
        <v>8.3636363636363633</v>
      </c>
      <c r="AK18" s="25">
        <f t="shared" si="2"/>
        <v>0.73333333333333328</v>
      </c>
      <c r="AL18" s="24" t="str">
        <f t="shared" si="3"/>
        <v/>
      </c>
      <c r="AM18" s="25" t="str">
        <f t="shared" si="4"/>
        <v/>
      </c>
      <c r="AN18" s="25">
        <f t="shared" si="5"/>
        <v>0.1251987281399046</v>
      </c>
      <c r="AO18" s="25">
        <f t="shared" si="6"/>
        <v>2.8037383177570093E-2</v>
      </c>
      <c r="AP18" s="25">
        <f t="shared" si="7"/>
        <v>0</v>
      </c>
      <c r="AQ18" s="26">
        <f t="shared" si="8"/>
        <v>3.7058823529411766</v>
      </c>
      <c r="AR18" s="26">
        <f t="shared" si="9"/>
        <v>0.88235294117647056</v>
      </c>
      <c r="AS18" s="27">
        <f t="shared" si="10"/>
        <v>2</v>
      </c>
      <c r="AT18" s="27">
        <f t="shared" si="11"/>
        <v>5</v>
      </c>
      <c r="AU18" s="28">
        <f>AF18*Settings!$B$7+AG18*Settings!$B$8+AE18*Settings!$B$9+AB18*Settings!$B$10+AC18*Settings!$B$11+X18*Settings!$B$12+Y18*Settings!$B$13+Z18*Settings!$B$14</f>
        <v>59.5</v>
      </c>
    </row>
    <row r="19" spans="1:47" x14ac:dyDescent="0.25">
      <c r="A19" s="15" t="s">
        <v>107</v>
      </c>
      <c r="B19" s="16" t="s">
        <v>218</v>
      </c>
      <c r="C19" s="17">
        <v>5</v>
      </c>
      <c r="D19" s="17" t="s">
        <v>118</v>
      </c>
      <c r="E19" s="18" t="s">
        <v>99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1"/>
      <c r="S19" s="21"/>
      <c r="T19" s="20"/>
      <c r="U19" s="22">
        <v>17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33"/>
      <c r="AI19" s="24" t="str">
        <f t="shared" si="0"/>
        <v/>
      </c>
      <c r="AJ19" s="24" t="str">
        <f t="shared" si="1"/>
        <v/>
      </c>
      <c r="AK19" s="25" t="str">
        <f t="shared" si="2"/>
        <v/>
      </c>
      <c r="AL19" s="24" t="str">
        <f t="shared" si="3"/>
        <v/>
      </c>
      <c r="AM19" s="25" t="str">
        <f t="shared" si="4"/>
        <v/>
      </c>
      <c r="AN19" s="25">
        <f t="shared" si="5"/>
        <v>0</v>
      </c>
      <c r="AO19" s="25">
        <f t="shared" si="6"/>
        <v>0</v>
      </c>
      <c r="AP19" s="25">
        <f t="shared" si="7"/>
        <v>0</v>
      </c>
      <c r="AQ19" s="26">
        <f t="shared" si="8"/>
        <v>0</v>
      </c>
      <c r="AR19" s="26">
        <f t="shared" si="9"/>
        <v>0</v>
      </c>
      <c r="AS19" s="27">
        <f t="shared" si="10"/>
        <v>0</v>
      </c>
      <c r="AT19" s="27">
        <f t="shared" si="11"/>
        <v>0</v>
      </c>
      <c r="AU19" s="28">
        <f>AF19*Settings!$B$7+AG19*Settings!$B$8+AE19*Settings!$B$9+AB19*Settings!$B$10+AC19*Settings!$B$11+X19*Settings!$B$12+Y19*Settings!$B$13+Z19*Settings!$B$14</f>
        <v>0</v>
      </c>
    </row>
    <row r="20" spans="1:47" x14ac:dyDescent="0.25">
      <c r="A20" s="15" t="s">
        <v>107</v>
      </c>
      <c r="B20" s="16" t="s">
        <v>219</v>
      </c>
      <c r="C20" s="17">
        <v>6</v>
      </c>
      <c r="D20" s="17" t="s">
        <v>103</v>
      </c>
      <c r="E20" s="18" t="s">
        <v>99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1"/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220</v>
      </c>
      <c r="C22" s="17">
        <v>1</v>
      </c>
      <c r="D22" s="17" t="s">
        <v>168</v>
      </c>
      <c r="E22" s="18" t="s">
        <v>99</v>
      </c>
      <c r="F22" s="19">
        <v>4</v>
      </c>
      <c r="G22" s="19">
        <v>14</v>
      </c>
      <c r="H22" s="19">
        <v>15</v>
      </c>
      <c r="I22" s="19">
        <v>79</v>
      </c>
      <c r="J22" s="19">
        <v>136</v>
      </c>
      <c r="K22" s="19">
        <v>140</v>
      </c>
      <c r="L22" s="19">
        <v>85</v>
      </c>
      <c r="M22" s="19">
        <v>682</v>
      </c>
      <c r="N22" s="19" t="s">
        <v>132</v>
      </c>
      <c r="O22" s="19">
        <v>17</v>
      </c>
      <c r="P22" s="20">
        <v>5.3</v>
      </c>
      <c r="Q22" s="20">
        <v>12.34</v>
      </c>
      <c r="R22" s="21">
        <v>0.67600000000000005</v>
      </c>
      <c r="S22" s="21">
        <v>0.5</v>
      </c>
      <c r="T22" s="20"/>
      <c r="U22" s="22">
        <v>17</v>
      </c>
      <c r="V22" s="22">
        <v>1</v>
      </c>
      <c r="W22" s="22">
        <v>1</v>
      </c>
      <c r="X22" s="22">
        <v>2</v>
      </c>
      <c r="Y22" s="22">
        <v>1</v>
      </c>
      <c r="Z22" s="22">
        <v>0</v>
      </c>
      <c r="AA22" s="22">
        <v>8</v>
      </c>
      <c r="AB22" s="22">
        <v>40</v>
      </c>
      <c r="AC22" s="22">
        <v>0</v>
      </c>
      <c r="AD22" s="22">
        <v>105</v>
      </c>
      <c r="AE22" s="22">
        <v>67</v>
      </c>
      <c r="AF22" s="22">
        <v>866</v>
      </c>
      <c r="AG22" s="22">
        <v>7</v>
      </c>
      <c r="AH22" s="23" t="s">
        <v>101</v>
      </c>
      <c r="AI22" s="24">
        <f t="shared" si="0"/>
        <v>5</v>
      </c>
      <c r="AJ22" s="24">
        <f t="shared" si="1"/>
        <v>12.925373134328359</v>
      </c>
      <c r="AK22" s="25">
        <f t="shared" si="2"/>
        <v>0.63809523809523805</v>
      </c>
      <c r="AL22" s="24">
        <f t="shared" si="3"/>
        <v>2</v>
      </c>
      <c r="AM22" s="25">
        <f t="shared" si="4"/>
        <v>1</v>
      </c>
      <c r="AN22" s="25">
        <f t="shared" si="5"/>
        <v>1.5898251192368838E-2</v>
      </c>
      <c r="AO22" s="25">
        <f t="shared" si="6"/>
        <v>0.19626168224299065</v>
      </c>
      <c r="AP22" s="25">
        <f t="shared" si="7"/>
        <v>1.7825311942959001E-3</v>
      </c>
      <c r="AQ22" s="26">
        <f t="shared" si="8"/>
        <v>0.47058823529411764</v>
      </c>
      <c r="AR22" s="26">
        <f t="shared" si="9"/>
        <v>6.1764705882352944</v>
      </c>
      <c r="AS22" s="27">
        <f t="shared" si="10"/>
        <v>20</v>
      </c>
      <c r="AT22" s="27">
        <f t="shared" si="11"/>
        <v>-7</v>
      </c>
      <c r="AU22" s="28">
        <f>AF22*Settings!$B$7+AG22*Settings!$B$8+AE22*Settings!$B$9+AB22*Settings!$B$10+AC22*Settings!$B$11+X22*Settings!$B$12+Y22*Settings!$B$13+Z22*Settings!$B$14</f>
        <v>170.18000000000004</v>
      </c>
    </row>
    <row r="23" spans="1:47" x14ac:dyDescent="0.25">
      <c r="A23" s="15" t="s">
        <v>121</v>
      </c>
      <c r="B23" s="16" t="s">
        <v>221</v>
      </c>
      <c r="C23" s="17">
        <v>2</v>
      </c>
      <c r="D23" s="17" t="s">
        <v>111</v>
      </c>
      <c r="E23" s="18" t="s">
        <v>99</v>
      </c>
      <c r="F23" s="19">
        <v>1</v>
      </c>
      <c r="G23" s="19">
        <v>2</v>
      </c>
      <c r="H23" s="19">
        <v>1</v>
      </c>
      <c r="I23" s="19">
        <v>5</v>
      </c>
      <c r="J23" s="19">
        <v>45</v>
      </c>
      <c r="K23" s="19">
        <v>100</v>
      </c>
      <c r="L23" s="19">
        <v>95</v>
      </c>
      <c r="M23" s="19">
        <v>719</v>
      </c>
      <c r="N23" s="19" t="s">
        <v>208</v>
      </c>
      <c r="O23" s="19">
        <v>16</v>
      </c>
      <c r="P23" s="20">
        <v>4.75</v>
      </c>
      <c r="Q23" s="20">
        <v>11.5</v>
      </c>
      <c r="R23" s="21">
        <v>0.77900000000000003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2</v>
      </c>
      <c r="AB23" s="22">
        <v>9</v>
      </c>
      <c r="AC23" s="22">
        <v>0</v>
      </c>
      <c r="AD23" s="22">
        <v>85</v>
      </c>
      <c r="AE23" s="22">
        <v>66</v>
      </c>
      <c r="AF23" s="22">
        <v>701</v>
      </c>
      <c r="AG23" s="22">
        <v>4</v>
      </c>
      <c r="AH23" s="23" t="s">
        <v>101</v>
      </c>
      <c r="AI23" s="24">
        <f t="shared" si="0"/>
        <v>4.5</v>
      </c>
      <c r="AJ23" s="24">
        <f t="shared" si="1"/>
        <v>10.621212121212121</v>
      </c>
      <c r="AK23" s="25">
        <f t="shared" si="2"/>
        <v>0.77647058823529413</v>
      </c>
      <c r="AL23" s="24" t="str">
        <f t="shared" si="3"/>
        <v/>
      </c>
      <c r="AM23" s="25" t="str">
        <f t="shared" si="4"/>
        <v/>
      </c>
      <c r="AN23" s="25">
        <f t="shared" si="5"/>
        <v>3.9745627980922096E-3</v>
      </c>
      <c r="AO23" s="25">
        <f t="shared" si="6"/>
        <v>0.15887850467289719</v>
      </c>
      <c r="AP23" s="25">
        <f t="shared" si="7"/>
        <v>0</v>
      </c>
      <c r="AQ23" s="26">
        <f t="shared" si="8"/>
        <v>0.11764705882352941</v>
      </c>
      <c r="AR23" s="26">
        <f t="shared" si="9"/>
        <v>5</v>
      </c>
      <c r="AS23" s="27">
        <f t="shared" si="10"/>
        <v>-10</v>
      </c>
      <c r="AT23" s="27">
        <f t="shared" si="11"/>
        <v>1</v>
      </c>
      <c r="AU23" s="28">
        <f>AF23*Settings!$B$7+AG23*Settings!$B$8+AE23*Settings!$B$9+AB23*Settings!$B$10+AC23*Settings!$B$11+X23*Settings!$B$12+Y23*Settings!$B$13+Z23*Settings!$B$14</f>
        <v>128</v>
      </c>
    </row>
    <row r="24" spans="1:47" x14ac:dyDescent="0.25">
      <c r="A24" s="15" t="s">
        <v>121</v>
      </c>
      <c r="B24" s="16" t="s">
        <v>222</v>
      </c>
      <c r="C24" s="17">
        <v>3</v>
      </c>
      <c r="D24" s="17" t="s">
        <v>111</v>
      </c>
      <c r="E24" s="18" t="s">
        <v>99</v>
      </c>
      <c r="F24" s="19">
        <v>1</v>
      </c>
      <c r="G24" s="19"/>
      <c r="H24" s="19"/>
      <c r="I24" s="19"/>
      <c r="J24" s="19">
        <v>61</v>
      </c>
      <c r="K24" s="19">
        <v>65</v>
      </c>
      <c r="L24" s="19">
        <v>37</v>
      </c>
      <c r="M24" s="19">
        <v>303</v>
      </c>
      <c r="N24" s="19" t="s">
        <v>208</v>
      </c>
      <c r="O24" s="19">
        <v>12</v>
      </c>
      <c r="P24" s="20">
        <v>6</v>
      </c>
      <c r="Q24" s="20">
        <v>14.83</v>
      </c>
      <c r="R24" s="21">
        <v>0.60699999999999998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37</v>
      </c>
      <c r="AE24" s="22">
        <v>22</v>
      </c>
      <c r="AF24" s="22">
        <v>303</v>
      </c>
      <c r="AG24" s="22">
        <v>0</v>
      </c>
      <c r="AH24" s="23" t="s">
        <v>101</v>
      </c>
      <c r="AI24" s="24" t="str">
        <f t="shared" si="0"/>
        <v/>
      </c>
      <c r="AJ24" s="24">
        <f t="shared" si="1"/>
        <v>13.772727272727273</v>
      </c>
      <c r="AK24" s="25">
        <f t="shared" si="2"/>
        <v>0.59459459459459463</v>
      </c>
      <c r="AL24" s="24" t="str">
        <f t="shared" si="3"/>
        <v/>
      </c>
      <c r="AM24" s="25" t="str">
        <f t="shared" si="4"/>
        <v/>
      </c>
      <c r="AN24" s="25">
        <f t="shared" si="5"/>
        <v>0</v>
      </c>
      <c r="AO24" s="25">
        <f t="shared" si="6"/>
        <v>6.9158878504672894E-2</v>
      </c>
      <c r="AP24" s="25">
        <f t="shared" si="7"/>
        <v>0</v>
      </c>
      <c r="AQ24" s="26">
        <f t="shared" si="8"/>
        <v>0</v>
      </c>
      <c r="AR24" s="26">
        <f t="shared" si="9"/>
        <v>2.1764705882352939</v>
      </c>
      <c r="AS24" s="27">
        <f t="shared" si="10"/>
        <v>0</v>
      </c>
      <c r="AT24" s="27">
        <f t="shared" si="11"/>
        <v>0</v>
      </c>
      <c r="AU24" s="28">
        <f>AF24*Settings!$B$7+AG24*Settings!$B$8+AE24*Settings!$B$9+AB24*Settings!$B$10+AC24*Settings!$B$11+X24*Settings!$B$12+Y24*Settings!$B$13+Z24*Settings!$B$14</f>
        <v>41.3</v>
      </c>
    </row>
    <row r="25" spans="1:47" x14ac:dyDescent="0.25">
      <c r="A25" s="15" t="s">
        <v>121</v>
      </c>
      <c r="B25" s="16" t="s">
        <v>223</v>
      </c>
      <c r="C25" s="17">
        <v>4</v>
      </c>
      <c r="D25" s="17" t="s">
        <v>103</v>
      </c>
      <c r="E25" s="18" t="s">
        <v>99</v>
      </c>
      <c r="F25" s="19"/>
      <c r="G25" s="19">
        <v>1</v>
      </c>
      <c r="H25" s="19"/>
      <c r="I25" s="19"/>
      <c r="J25" s="19"/>
      <c r="K25" s="19">
        <v>57</v>
      </c>
      <c r="L25" s="19">
        <v>59</v>
      </c>
      <c r="M25" s="19">
        <v>404</v>
      </c>
      <c r="N25" s="19" t="s">
        <v>208</v>
      </c>
      <c r="O25" s="19">
        <v>13</v>
      </c>
      <c r="P25" s="20">
        <v>9</v>
      </c>
      <c r="Q25" s="20">
        <v>14.33</v>
      </c>
      <c r="R25" s="21">
        <v>0.57799999999999996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1</v>
      </c>
      <c r="AC25" s="22">
        <v>0</v>
      </c>
      <c r="AD25" s="22">
        <v>34</v>
      </c>
      <c r="AE25" s="22">
        <v>20</v>
      </c>
      <c r="AF25" s="22">
        <v>273</v>
      </c>
      <c r="AG25" s="22">
        <v>2</v>
      </c>
      <c r="AH25" s="23" t="s">
        <v>101</v>
      </c>
      <c r="AI25" s="24" t="str">
        <f t="shared" si="0"/>
        <v/>
      </c>
      <c r="AJ25" s="24">
        <f t="shared" si="1"/>
        <v>13.65</v>
      </c>
      <c r="AK25" s="25">
        <f t="shared" si="2"/>
        <v>0.58823529411764708</v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6.3551401869158877E-2</v>
      </c>
      <c r="AP25" s="25">
        <f t="shared" si="7"/>
        <v>0</v>
      </c>
      <c r="AQ25" s="26">
        <f t="shared" si="8"/>
        <v>0</v>
      </c>
      <c r="AR25" s="26">
        <f t="shared" si="9"/>
        <v>2</v>
      </c>
      <c r="AS25" s="27">
        <f t="shared" si="10"/>
        <v>-25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49.4</v>
      </c>
    </row>
    <row r="26" spans="1:47" x14ac:dyDescent="0.25">
      <c r="A26" s="15" t="s">
        <v>121</v>
      </c>
      <c r="B26" s="16" t="s">
        <v>224</v>
      </c>
      <c r="C26" s="17">
        <v>5</v>
      </c>
      <c r="D26" s="17" t="s">
        <v>118</v>
      </c>
      <c r="E26" s="18" t="s">
        <v>99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  <c r="R26" s="21"/>
      <c r="S26" s="21"/>
      <c r="T26" s="20"/>
      <c r="U26" s="22">
        <v>17</v>
      </c>
      <c r="V26" s="22"/>
      <c r="W26" s="22"/>
      <c r="X26" s="22"/>
      <c r="Y26" s="22"/>
      <c r="Z26" s="22"/>
      <c r="AA26" s="22">
        <v>0</v>
      </c>
      <c r="AB26" s="22">
        <v>1</v>
      </c>
      <c r="AC26" s="22">
        <v>0</v>
      </c>
      <c r="AD26" s="22">
        <v>31</v>
      </c>
      <c r="AE26" s="22">
        <v>16</v>
      </c>
      <c r="AF26" s="22">
        <v>205</v>
      </c>
      <c r="AG26" s="22">
        <v>1</v>
      </c>
      <c r="AH26" s="23" t="s">
        <v>101</v>
      </c>
      <c r="AI26" s="24" t="str">
        <f t="shared" si="0"/>
        <v/>
      </c>
      <c r="AJ26" s="24">
        <f t="shared" si="1"/>
        <v>12.8125</v>
      </c>
      <c r="AK26" s="25">
        <f t="shared" si="2"/>
        <v>0.5161290322580645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5.7943925233644861E-2</v>
      </c>
      <c r="AP26" s="25">
        <f t="shared" si="7"/>
        <v>0</v>
      </c>
      <c r="AQ26" s="26">
        <f t="shared" si="8"/>
        <v>0</v>
      </c>
      <c r="AR26" s="26">
        <f t="shared" si="9"/>
        <v>1.8235294117647058</v>
      </c>
      <c r="AS26" s="27">
        <f t="shared" si="10"/>
        <v>31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34.6</v>
      </c>
    </row>
    <row r="27" spans="1:47" x14ac:dyDescent="0.25">
      <c r="A27" s="15" t="s">
        <v>121</v>
      </c>
      <c r="B27" s="16" t="s">
        <v>225</v>
      </c>
      <c r="C27" s="17">
        <v>6</v>
      </c>
      <c r="D27" s="17" t="s">
        <v>111</v>
      </c>
      <c r="E27" s="32" t="s">
        <v>226</v>
      </c>
      <c r="F27" s="19"/>
      <c r="G27" s="19"/>
      <c r="H27" s="19"/>
      <c r="I27" s="19"/>
      <c r="J27" s="19"/>
      <c r="K27" s="19">
        <v>1</v>
      </c>
      <c r="L27" s="19">
        <v>23</v>
      </c>
      <c r="M27" s="19">
        <v>245</v>
      </c>
      <c r="N27" s="19" t="s">
        <v>208</v>
      </c>
      <c r="O27" s="19">
        <v>17</v>
      </c>
      <c r="P27" s="20"/>
      <c r="Q27" s="20">
        <v>19.62</v>
      </c>
      <c r="R27" s="21">
        <v>0.66700000000000004</v>
      </c>
      <c r="S27" s="21"/>
      <c r="T27" s="20"/>
      <c r="U27" s="22">
        <v>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1</v>
      </c>
      <c r="AC27" s="22">
        <v>0</v>
      </c>
      <c r="AD27" s="22">
        <v>7</v>
      </c>
      <c r="AE27" s="22">
        <v>4</v>
      </c>
      <c r="AF27" s="22">
        <v>63</v>
      </c>
      <c r="AG27" s="22">
        <v>0</v>
      </c>
      <c r="AH27" s="23" t="s">
        <v>101</v>
      </c>
      <c r="AI27" s="24" t="str">
        <f t="shared" si="0"/>
        <v/>
      </c>
      <c r="AJ27" s="24">
        <f t="shared" si="1"/>
        <v>15.75</v>
      </c>
      <c r="AK27" s="25">
        <f t="shared" si="2"/>
        <v>0.5714285714285714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1.3084112149532711E-2</v>
      </c>
      <c r="AP27" s="25">
        <f t="shared" si="7"/>
        <v>0</v>
      </c>
      <c r="AQ27" s="26">
        <f t="shared" si="8"/>
        <v>0</v>
      </c>
      <c r="AR27" s="26">
        <f t="shared" si="9"/>
        <v>0.41176470588235292</v>
      </c>
      <c r="AS27" s="27">
        <f t="shared" si="10"/>
        <v>-16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8.4</v>
      </c>
    </row>
    <row r="28" spans="1:47" x14ac:dyDescent="0.25">
      <c r="A28" s="15" t="s">
        <v>121</v>
      </c>
      <c r="B28" s="16" t="s">
        <v>227</v>
      </c>
      <c r="C28" s="17">
        <v>7</v>
      </c>
      <c r="D28" s="17" t="s">
        <v>200</v>
      </c>
      <c r="E28" s="18" t="s">
        <v>99</v>
      </c>
      <c r="F28" s="19"/>
      <c r="G28" s="19"/>
      <c r="H28" s="19"/>
      <c r="I28" s="19"/>
      <c r="J28" s="19">
        <v>22</v>
      </c>
      <c r="K28" s="19">
        <v>9</v>
      </c>
      <c r="L28" s="19">
        <v>4</v>
      </c>
      <c r="M28" s="19">
        <v>21</v>
      </c>
      <c r="N28" s="19" t="s">
        <v>228</v>
      </c>
      <c r="O28" s="19">
        <v>10</v>
      </c>
      <c r="P28" s="20"/>
      <c r="Q28" s="20">
        <v>8.64</v>
      </c>
      <c r="R28" s="21">
        <v>0.629</v>
      </c>
      <c r="S28" s="21"/>
      <c r="T28" s="20"/>
      <c r="U28" s="22">
        <v>17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2</v>
      </c>
      <c r="AE28" s="22">
        <v>2</v>
      </c>
      <c r="AF28" s="22">
        <v>17</v>
      </c>
      <c r="AG28" s="22">
        <v>0</v>
      </c>
      <c r="AH28" s="23" t="s">
        <v>101</v>
      </c>
      <c r="AI28" s="24" t="str">
        <f t="shared" si="0"/>
        <v/>
      </c>
      <c r="AJ28" s="24">
        <f t="shared" si="1"/>
        <v>8.5</v>
      </c>
      <c r="AK28" s="25">
        <f t="shared" si="2"/>
        <v>1</v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3.7383177570093459E-3</v>
      </c>
      <c r="AP28" s="25">
        <f t="shared" si="7"/>
        <v>0</v>
      </c>
      <c r="AQ28" s="26">
        <f t="shared" si="8"/>
        <v>0</v>
      </c>
      <c r="AR28" s="26">
        <f t="shared" si="9"/>
        <v>0.11764705882352941</v>
      </c>
      <c r="AS28" s="27">
        <f t="shared" si="10"/>
        <v>-2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2.7</v>
      </c>
    </row>
    <row r="29" spans="1:47" x14ac:dyDescent="0.25">
      <c r="A29" s="15" t="s">
        <v>121</v>
      </c>
      <c r="B29" s="16" t="s">
        <v>229</v>
      </c>
      <c r="C29" s="17">
        <v>8</v>
      </c>
      <c r="D29" s="17" t="s">
        <v>200</v>
      </c>
      <c r="E29" s="18" t="s">
        <v>99</v>
      </c>
      <c r="F29" s="19"/>
      <c r="G29" s="19"/>
      <c r="H29" s="19"/>
      <c r="I29" s="19"/>
      <c r="J29" s="19"/>
      <c r="K29" s="19">
        <v>28</v>
      </c>
      <c r="L29" s="19">
        <v>11</v>
      </c>
      <c r="M29" s="19">
        <v>127</v>
      </c>
      <c r="N29" s="19" t="s">
        <v>230</v>
      </c>
      <c r="O29" s="19">
        <v>8</v>
      </c>
      <c r="P29" s="20"/>
      <c r="Q29" s="20">
        <v>11.76</v>
      </c>
      <c r="R29" s="21">
        <v>0.53800000000000003</v>
      </c>
      <c r="S29" s="21"/>
      <c r="T29" s="20"/>
      <c r="U29" s="22">
        <v>17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1</v>
      </c>
      <c r="AB29" s="22">
        <v>3</v>
      </c>
      <c r="AC29" s="22">
        <v>0</v>
      </c>
      <c r="AD29" s="22">
        <v>11</v>
      </c>
      <c r="AE29" s="22">
        <v>5</v>
      </c>
      <c r="AF29" s="22">
        <v>66</v>
      </c>
      <c r="AG29" s="22">
        <v>0</v>
      </c>
      <c r="AH29" s="23" t="s">
        <v>101</v>
      </c>
      <c r="AI29" s="24">
        <f t="shared" si="0"/>
        <v>3</v>
      </c>
      <c r="AJ29" s="24">
        <f t="shared" si="1"/>
        <v>13.2</v>
      </c>
      <c r="AK29" s="25">
        <f t="shared" si="2"/>
        <v>0.45454545454545453</v>
      </c>
      <c r="AL29" s="24" t="str">
        <f t="shared" si="3"/>
        <v/>
      </c>
      <c r="AM29" s="25" t="str">
        <f t="shared" si="4"/>
        <v/>
      </c>
      <c r="AN29" s="25">
        <f t="shared" si="5"/>
        <v>1.9872813990461048E-3</v>
      </c>
      <c r="AO29" s="25">
        <f t="shared" si="6"/>
        <v>2.0560747663551402E-2</v>
      </c>
      <c r="AP29" s="25">
        <f t="shared" si="7"/>
        <v>0</v>
      </c>
      <c r="AQ29" s="26">
        <f t="shared" si="8"/>
        <v>5.8823529411764705E-2</v>
      </c>
      <c r="AR29" s="26">
        <f t="shared" si="9"/>
        <v>0.6470588235294118</v>
      </c>
      <c r="AS29" s="27">
        <f t="shared" si="10"/>
        <v>0</v>
      </c>
      <c r="AT29" s="27">
        <f t="shared" si="11"/>
        <v>1</v>
      </c>
      <c r="AU29" s="28">
        <f>AF29*Settings!$B$7+AG29*Settings!$B$8+AE29*Settings!$B$9+AB29*Settings!$B$10+AC29*Settings!$B$11+X29*Settings!$B$12+Y29*Settings!$B$13+Z29*Settings!$B$14</f>
        <v>9.4000000000000021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231</v>
      </c>
      <c r="C31" s="17">
        <v>1</v>
      </c>
      <c r="D31" s="17" t="s">
        <v>111</v>
      </c>
      <c r="E31" s="18" t="s">
        <v>99</v>
      </c>
      <c r="F31" s="19"/>
      <c r="G31" s="19"/>
      <c r="H31" s="19"/>
      <c r="I31" s="19"/>
      <c r="J31" s="19">
        <v>91</v>
      </c>
      <c r="K31" s="19">
        <v>75</v>
      </c>
      <c r="L31" s="19">
        <v>49</v>
      </c>
      <c r="M31" s="19">
        <v>571</v>
      </c>
      <c r="N31" s="19" t="s">
        <v>208</v>
      </c>
      <c r="O31" s="19">
        <v>12</v>
      </c>
      <c r="P31" s="20"/>
      <c r="Q31" s="20">
        <v>10.85</v>
      </c>
      <c r="R31" s="21">
        <v>0.72599999999999998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80</v>
      </c>
      <c r="AE31" s="22">
        <v>56</v>
      </c>
      <c r="AF31" s="22">
        <v>688</v>
      </c>
      <c r="AG31" s="22">
        <v>5</v>
      </c>
      <c r="AH31" s="23" t="s">
        <v>101</v>
      </c>
      <c r="AI31" s="24" t="str">
        <f t="shared" si="0"/>
        <v/>
      </c>
      <c r="AJ31" s="24">
        <f t="shared" si="1"/>
        <v>12.285714285714286</v>
      </c>
      <c r="AK31" s="25">
        <f t="shared" si="2"/>
        <v>0.7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0.14953271028037382</v>
      </c>
      <c r="AP31" s="25">
        <f t="shared" si="7"/>
        <v>0</v>
      </c>
      <c r="AQ31" s="26">
        <f t="shared" si="8"/>
        <v>0</v>
      </c>
      <c r="AR31" s="26">
        <f t="shared" si="9"/>
        <v>4.7058823529411766</v>
      </c>
      <c r="AS31" s="27">
        <f t="shared" si="10"/>
        <v>31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126.8</v>
      </c>
    </row>
    <row r="32" spans="1:47" x14ac:dyDescent="0.25">
      <c r="A32" s="15" t="s">
        <v>135</v>
      </c>
      <c r="B32" s="16" t="s">
        <v>232</v>
      </c>
      <c r="C32" s="17">
        <v>2</v>
      </c>
      <c r="D32" s="17" t="s">
        <v>168</v>
      </c>
      <c r="E32" s="18" t="s">
        <v>99</v>
      </c>
      <c r="F32" s="19"/>
      <c r="G32" s="19"/>
      <c r="H32" s="19"/>
      <c r="I32" s="19"/>
      <c r="J32" s="19">
        <v>36</v>
      </c>
      <c r="K32" s="19">
        <v>33</v>
      </c>
      <c r="L32" s="19">
        <v>49</v>
      </c>
      <c r="M32" s="19">
        <v>417</v>
      </c>
      <c r="N32" s="19" t="s">
        <v>208</v>
      </c>
      <c r="O32" s="19">
        <v>17</v>
      </c>
      <c r="P32" s="20"/>
      <c r="Q32" s="20">
        <v>11.43</v>
      </c>
      <c r="R32" s="21">
        <v>0.67800000000000005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38</v>
      </c>
      <c r="AE32" s="22">
        <v>26</v>
      </c>
      <c r="AF32" s="22">
        <v>299</v>
      </c>
      <c r="AG32" s="22">
        <v>3</v>
      </c>
      <c r="AH32" s="23" t="s">
        <v>101</v>
      </c>
      <c r="AI32" s="24" t="str">
        <f t="shared" si="0"/>
        <v/>
      </c>
      <c r="AJ32" s="24">
        <f t="shared" si="1"/>
        <v>11.5</v>
      </c>
      <c r="AK32" s="25">
        <f t="shared" si="2"/>
        <v>0.68421052631578949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7.1028037383177575E-2</v>
      </c>
      <c r="AP32" s="25">
        <f t="shared" si="7"/>
        <v>0</v>
      </c>
      <c r="AQ32" s="26">
        <f t="shared" si="8"/>
        <v>0</v>
      </c>
      <c r="AR32" s="26">
        <f t="shared" si="9"/>
        <v>2.2352941176470589</v>
      </c>
      <c r="AS32" s="27">
        <f t="shared" si="10"/>
        <v>-11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60.900000000000006</v>
      </c>
    </row>
    <row r="33" spans="1:47" x14ac:dyDescent="0.25">
      <c r="A33" s="15" t="s">
        <v>135</v>
      </c>
      <c r="B33" s="16" t="s">
        <v>233</v>
      </c>
      <c r="C33" s="17">
        <v>3</v>
      </c>
      <c r="D33" s="17" t="s">
        <v>105</v>
      </c>
      <c r="E33" s="18" t="s">
        <v>99</v>
      </c>
      <c r="F33" s="19"/>
      <c r="G33" s="19"/>
      <c r="H33" s="19"/>
      <c r="I33" s="19"/>
      <c r="J33" s="19"/>
      <c r="K33" s="19"/>
      <c r="L33" s="19">
        <v>19</v>
      </c>
      <c r="M33" s="19">
        <v>187</v>
      </c>
      <c r="N33" s="19" t="s">
        <v>208</v>
      </c>
      <c r="O33" s="19">
        <v>17</v>
      </c>
      <c r="P33" s="20"/>
      <c r="Q33" s="20">
        <v>11.69</v>
      </c>
      <c r="R33" s="21">
        <v>0.84199999999999997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15</v>
      </c>
      <c r="AE33" s="22">
        <v>12</v>
      </c>
      <c r="AF33" s="22">
        <v>128</v>
      </c>
      <c r="AG33" s="22">
        <v>1</v>
      </c>
      <c r="AH33" s="23" t="s">
        <v>101</v>
      </c>
      <c r="AI33" s="24" t="str">
        <f t="shared" si="0"/>
        <v/>
      </c>
      <c r="AJ33" s="24">
        <f t="shared" si="1"/>
        <v>10.666666666666666</v>
      </c>
      <c r="AK33" s="25">
        <f t="shared" si="2"/>
        <v>0.8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2.8037383177570093E-2</v>
      </c>
      <c r="AP33" s="25">
        <f t="shared" si="7"/>
        <v>0</v>
      </c>
      <c r="AQ33" s="26">
        <f t="shared" si="8"/>
        <v>0</v>
      </c>
      <c r="AR33" s="26">
        <f t="shared" si="9"/>
        <v>0.88235294117647056</v>
      </c>
      <c r="AS33" s="27">
        <f t="shared" si="10"/>
        <v>-4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24.8</v>
      </c>
    </row>
    <row r="34" spans="1:47" x14ac:dyDescent="0.25">
      <c r="A34" s="15" t="s">
        <v>135</v>
      </c>
      <c r="B34" s="16" t="s">
        <v>234</v>
      </c>
      <c r="C34" s="17">
        <v>4</v>
      </c>
      <c r="D34" s="17" t="s">
        <v>103</v>
      </c>
      <c r="E34" s="18" t="s">
        <v>99</v>
      </c>
      <c r="F34" s="19"/>
      <c r="G34" s="19"/>
      <c r="H34" s="19"/>
      <c r="I34" s="19"/>
      <c r="J34" s="19"/>
      <c r="K34" s="19"/>
      <c r="L34" s="19">
        <v>4</v>
      </c>
      <c r="M34" s="19">
        <v>35</v>
      </c>
      <c r="N34" s="19" t="s">
        <v>208</v>
      </c>
      <c r="O34" s="19">
        <v>5</v>
      </c>
      <c r="P34" s="20"/>
      <c r="Q34" s="20">
        <v>8.75</v>
      </c>
      <c r="R34" s="21">
        <v>1</v>
      </c>
      <c r="S34" s="21"/>
      <c r="T34" s="20"/>
      <c r="U34" s="22">
        <v>17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6</v>
      </c>
      <c r="AE34" s="22">
        <v>7</v>
      </c>
      <c r="AF34" s="22">
        <v>80</v>
      </c>
      <c r="AG34" s="22">
        <v>0</v>
      </c>
      <c r="AH34" s="23" t="s">
        <v>101</v>
      </c>
      <c r="AI34" s="24" t="str">
        <f t="shared" si="0"/>
        <v/>
      </c>
      <c r="AJ34" s="24">
        <f t="shared" si="1"/>
        <v>11.428571428571429</v>
      </c>
      <c r="AK34" s="25">
        <f t="shared" si="2"/>
        <v>1.1666666666666667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1.1214953271028037E-2</v>
      </c>
      <c r="AP34" s="25">
        <f t="shared" si="7"/>
        <v>0</v>
      </c>
      <c r="AQ34" s="26">
        <f t="shared" si="8"/>
        <v>0</v>
      </c>
      <c r="AR34" s="26">
        <f t="shared" si="9"/>
        <v>0.35294117647058826</v>
      </c>
      <c r="AS34" s="27">
        <f t="shared" si="10"/>
        <v>2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11.5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533</v>
      </c>
      <c r="W37" s="34">
        <f t="shared" si="12"/>
        <v>358</v>
      </c>
      <c r="X37" s="34">
        <f t="shared" si="12"/>
        <v>4048</v>
      </c>
      <c r="Y37" s="34">
        <f t="shared" si="12"/>
        <v>29</v>
      </c>
      <c r="Z37" s="34">
        <f t="shared" si="12"/>
        <v>11</v>
      </c>
      <c r="AA37" s="34">
        <f t="shared" si="12"/>
        <v>530</v>
      </c>
      <c r="AB37" s="34">
        <f t="shared" si="12"/>
        <v>2539</v>
      </c>
      <c r="AC37" s="34">
        <f t="shared" si="12"/>
        <v>26</v>
      </c>
      <c r="AD37" s="34">
        <f t="shared" si="12"/>
        <v>536</v>
      </c>
      <c r="AE37" s="34">
        <f t="shared" si="12"/>
        <v>369</v>
      </c>
      <c r="AF37" s="34">
        <f t="shared" si="12"/>
        <v>4273</v>
      </c>
      <c r="AG37" s="34">
        <f t="shared" si="12"/>
        <v>28</v>
      </c>
    </row>
    <row r="38" spans="1:47" x14ac:dyDescent="0.25">
      <c r="A38" s="5" t="s">
        <v>142</v>
      </c>
      <c r="V38" s="35">
        <f>$F$5</f>
        <v>561</v>
      </c>
      <c r="X38" s="35">
        <f>$I$5</f>
        <v>4003</v>
      </c>
      <c r="Y38" s="35">
        <f>$J$5</f>
        <v>28</v>
      </c>
      <c r="Z38" s="35">
        <f>$K$5</f>
        <v>11</v>
      </c>
      <c r="AA38" s="35">
        <f>$H$5</f>
        <v>503.20000000000005</v>
      </c>
      <c r="AB38" s="35">
        <f>$L$5</f>
        <v>2305</v>
      </c>
      <c r="AC38" s="35">
        <f>$M$5</f>
        <v>24</v>
      </c>
      <c r="AD38" s="35">
        <f>$G$5</f>
        <v>535</v>
      </c>
      <c r="AF38" s="35">
        <f>$I$5</f>
        <v>4003</v>
      </c>
      <c r="AG38" s="35">
        <f>$J$5</f>
        <v>28</v>
      </c>
    </row>
    <row r="39" spans="1:47" x14ac:dyDescent="0.25">
      <c r="A39" s="5" t="s">
        <v>143</v>
      </c>
      <c r="V39" s="36">
        <f>$F$5-V37</f>
        <v>28</v>
      </c>
      <c r="X39" s="36">
        <f>$I$5-X37</f>
        <v>-45</v>
      </c>
      <c r="Y39" s="36">
        <f>$J$5-Y37</f>
        <v>-1</v>
      </c>
      <c r="Z39" s="36">
        <f>$K$5-Z37</f>
        <v>0</v>
      </c>
      <c r="AA39" s="36">
        <f>$H$5-AA37</f>
        <v>-26.799999999999955</v>
      </c>
      <c r="AB39" s="36">
        <f>$L$5-AB37</f>
        <v>-234</v>
      </c>
      <c r="AC39" s="36">
        <f>$M$5-AC37</f>
        <v>-2</v>
      </c>
      <c r="AD39" s="36">
        <f>$G$5-AD37</f>
        <v>-1</v>
      </c>
      <c r="AF39" s="36">
        <f>$I$5-AF37</f>
        <v>-270</v>
      </c>
      <c r="AG39" s="36">
        <f>$J$5-AG37</f>
        <v>0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869" priority="1" stopIfTrue="1">
      <formula>V37&gt;$F$5</formula>
    </cfRule>
    <cfRule type="expression" dxfId="868" priority="2">
      <formula>AND($F$5&gt;0,V37&lt;$F$5*0.97)</formula>
    </cfRule>
    <cfRule type="expression" dxfId="867" priority="3">
      <formula>AND($F$5&gt;0,V37&gt;=$F$5*0.97,V37&lt;=$F$5)</formula>
    </cfRule>
  </conditionalFormatting>
  <conditionalFormatting sqref="X37">
    <cfRule type="expression" dxfId="866" priority="4" stopIfTrue="1">
      <formula>X37&gt;$I$5</formula>
    </cfRule>
    <cfRule type="expression" dxfId="865" priority="5">
      <formula>AND($I$5&gt;0,X37&lt;$I$5*0.97)</formula>
    </cfRule>
    <cfRule type="expression" dxfId="864" priority="6">
      <formula>AND($I$5&gt;0,X37&gt;=$I$5*0.97,X37&lt;=$I$5)</formula>
    </cfRule>
  </conditionalFormatting>
  <conditionalFormatting sqref="Y37">
    <cfRule type="expression" dxfId="863" priority="7" stopIfTrue="1">
      <formula>Y37&gt;$J$5</formula>
    </cfRule>
    <cfRule type="expression" dxfId="862" priority="8">
      <formula>AND($J$5&gt;0,Y37&lt;$J$5*0.97)</formula>
    </cfRule>
    <cfRule type="expression" dxfId="861" priority="9">
      <formula>AND($J$5&gt;0,Y37&gt;=$J$5*0.97,Y37&lt;=$J$5)</formula>
    </cfRule>
  </conditionalFormatting>
  <conditionalFormatting sqref="Z37">
    <cfRule type="expression" dxfId="860" priority="10" stopIfTrue="1">
      <formula>Z37&gt;$K$5</formula>
    </cfRule>
    <cfRule type="expression" dxfId="859" priority="11">
      <formula>AND($K$5&gt;0,Z37&lt;$K$5*0.97)</formula>
    </cfRule>
    <cfRule type="expression" dxfId="858" priority="12">
      <formula>AND($K$5&gt;0,Z37&gt;=$K$5*0.97,Z37&lt;=$K$5)</formula>
    </cfRule>
  </conditionalFormatting>
  <conditionalFormatting sqref="AA37">
    <cfRule type="expression" dxfId="857" priority="13" stopIfTrue="1">
      <formula>AA37&gt;$H$5</formula>
    </cfRule>
    <cfRule type="expression" dxfId="856" priority="14">
      <formula>AND($H$5&gt;0,AA37&lt;$H$5*0.97)</formula>
    </cfRule>
    <cfRule type="expression" dxfId="855" priority="15">
      <formula>AND($H$5&gt;0,AA37&gt;=$H$5*0.97,AA37&lt;=$H$5)</formula>
    </cfRule>
  </conditionalFormatting>
  <conditionalFormatting sqref="AB37">
    <cfRule type="expression" dxfId="854" priority="16" stopIfTrue="1">
      <formula>AB37&gt;$L$5</formula>
    </cfRule>
    <cfRule type="expression" dxfId="853" priority="17">
      <formula>AND($L$5&gt;0,AB37&lt;$L$5*0.97)</formula>
    </cfRule>
    <cfRule type="expression" dxfId="852" priority="18">
      <formula>AND($L$5&gt;0,AB37&gt;=$L$5*0.97,AB37&lt;=$L$5)</formula>
    </cfRule>
  </conditionalFormatting>
  <conditionalFormatting sqref="AC37">
    <cfRule type="expression" dxfId="851" priority="19" stopIfTrue="1">
      <formula>AC37&gt;$M$5</formula>
    </cfRule>
    <cfRule type="expression" dxfId="850" priority="20">
      <formula>AND($M$5&gt;0,AC37&lt;$M$5*0.97)</formula>
    </cfRule>
    <cfRule type="expression" dxfId="849" priority="21">
      <formula>AND($M$5&gt;0,AC37&gt;=$M$5*0.97,AC37&lt;=$M$5)</formula>
    </cfRule>
  </conditionalFormatting>
  <conditionalFormatting sqref="AD37">
    <cfRule type="expression" dxfId="848" priority="22" stopIfTrue="1">
      <formula>AD37&gt;$G$5</formula>
    </cfRule>
    <cfRule type="expression" dxfId="847" priority="23">
      <formula>AND($G$5&gt;0,AD37&lt;$G$5*0.97)</formula>
    </cfRule>
    <cfRule type="expression" dxfId="846" priority="24">
      <formula>AND($G$5&gt;0,AD37&gt;=$G$5*0.97,AD37&lt;=$G$5)</formula>
    </cfRule>
  </conditionalFormatting>
  <conditionalFormatting sqref="AF37">
    <cfRule type="expression" dxfId="845" priority="25" stopIfTrue="1">
      <formula>AF37&gt;$I$5</formula>
    </cfRule>
    <cfRule type="expression" dxfId="844" priority="26">
      <formula>AND($I$5&gt;0,AF37&lt;$I$5*0.97)</formula>
    </cfRule>
    <cfRule type="expression" dxfId="843" priority="27">
      <formula>AND($I$5&gt;0,AF37&gt;=$I$5*0.97,AF37&lt;=$I$5)</formula>
    </cfRule>
  </conditionalFormatting>
  <conditionalFormatting sqref="AG37">
    <cfRule type="expression" dxfId="842" priority="28" stopIfTrue="1">
      <formula>AG37&gt;$J$5</formula>
    </cfRule>
    <cfRule type="expression" dxfId="841" priority="29">
      <formula>AND($J$5&gt;0,AG37&lt;$J$5*0.97)</formula>
    </cfRule>
    <cfRule type="expression" dxfId="840" priority="30">
      <formula>AND($J$5&gt;0,AG37&gt;=$J$5*0.97,AG37&lt;=$J$5)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235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60.8</v>
      </c>
      <c r="D5" s="10">
        <f>C5*B5</f>
        <v>1033.5999999999999</v>
      </c>
      <c r="E5" s="11">
        <v>0.5665</v>
      </c>
      <c r="F5" s="10">
        <f>ROUND(D5*E5,0)</f>
        <v>586</v>
      </c>
      <c r="G5" s="10">
        <f>ROUND(F5*Settings!$B$4,0)</f>
        <v>559</v>
      </c>
      <c r="H5" s="10">
        <f>D5-F5</f>
        <v>447.59999999999991</v>
      </c>
      <c r="I5" s="8">
        <v>3513</v>
      </c>
      <c r="J5" s="9">
        <v>23</v>
      </c>
      <c r="K5" s="9">
        <v>12</v>
      </c>
      <c r="L5" s="8">
        <v>1936</v>
      </c>
      <c r="M5" s="9">
        <v>13</v>
      </c>
    </row>
    <row r="7" spans="1:47" x14ac:dyDescent="0.25">
      <c r="A7" s="5" t="s">
        <v>54</v>
      </c>
      <c r="B7" s="12" t="s">
        <v>236</v>
      </c>
    </row>
    <row r="8" spans="1:47" x14ac:dyDescent="0.25">
      <c r="A8" s="5" t="s">
        <v>56</v>
      </c>
      <c r="B8" s="13" t="s">
        <v>237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238</v>
      </c>
      <c r="C11" s="17">
        <v>1</v>
      </c>
      <c r="D11" s="17" t="s">
        <v>105</v>
      </c>
      <c r="E11" s="18" t="s">
        <v>99</v>
      </c>
      <c r="F11" s="19">
        <v>35</v>
      </c>
      <c r="G11" s="19">
        <v>38</v>
      </c>
      <c r="H11" s="19">
        <v>39</v>
      </c>
      <c r="I11" s="19">
        <v>216</v>
      </c>
      <c r="J11" s="19"/>
      <c r="K11" s="19"/>
      <c r="L11" s="19"/>
      <c r="M11" s="19"/>
      <c r="N11" s="19" t="s">
        <v>239</v>
      </c>
      <c r="O11" s="19">
        <v>16</v>
      </c>
      <c r="P11" s="20">
        <v>6.41</v>
      </c>
      <c r="Q11" s="20"/>
      <c r="R11" s="21"/>
      <c r="S11" s="21">
        <v>0.61399999999999999</v>
      </c>
      <c r="T11" s="20">
        <v>5.97</v>
      </c>
      <c r="U11" s="22">
        <v>17</v>
      </c>
      <c r="V11" s="22">
        <v>504</v>
      </c>
      <c r="W11" s="22">
        <v>318</v>
      </c>
      <c r="X11" s="22">
        <v>3288</v>
      </c>
      <c r="Y11" s="22">
        <v>22</v>
      </c>
      <c r="Z11" s="22">
        <v>12</v>
      </c>
      <c r="AA11" s="22">
        <v>55</v>
      </c>
      <c r="AB11" s="22">
        <v>250</v>
      </c>
      <c r="AC11" s="22">
        <v>3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4.5454545454545459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6.5238095238095237</v>
      </c>
      <c r="AM11" s="25">
        <f t="shared" ref="AM11:AM35" si="4">IFERROR(W11/V11,"")</f>
        <v>0.63095238095238093</v>
      </c>
      <c r="AN11" s="25">
        <f t="shared" ref="AN11:AN35" si="5">IFERROR(AA11/$H$5,"")</f>
        <v>0.12287756925826633</v>
      </c>
      <c r="AO11" s="25">
        <f t="shared" ref="AO11:AO35" si="6">IFERROR(AD11/$G$5,"")</f>
        <v>0</v>
      </c>
      <c r="AP11" s="25">
        <f t="shared" ref="AP11:AP35" si="7">IFERROR(V11/$F$5,"")</f>
        <v>0.86006825938566556</v>
      </c>
      <c r="AQ11" s="26">
        <f t="shared" ref="AQ11:AQ35" si="8">IFERROR(AA11/U11,"")</f>
        <v>3.2352941176470589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16</v>
      </c>
      <c r="AU11" s="28">
        <f>AF11*Settings!$B$7+AG11*Settings!$B$8+AE11*Settings!$B$9+AB11*Settings!$B$10+AC11*Settings!$B$11+X11*Settings!$B$12+Y11*Settings!$B$13+Z11*Settings!$B$14</f>
        <v>238.51999999999998</v>
      </c>
    </row>
    <row r="12" spans="1:47" x14ac:dyDescent="0.25">
      <c r="A12" s="15" t="s">
        <v>96</v>
      </c>
      <c r="B12" s="16" t="s">
        <v>240</v>
      </c>
      <c r="C12" s="17">
        <v>2</v>
      </c>
      <c r="D12" s="17" t="s">
        <v>130</v>
      </c>
      <c r="E12" s="18" t="s">
        <v>99</v>
      </c>
      <c r="F12" s="19">
        <v>24</v>
      </c>
      <c r="G12" s="19">
        <v>7</v>
      </c>
      <c r="H12" s="19">
        <v>5</v>
      </c>
      <c r="I12" s="19">
        <v>22</v>
      </c>
      <c r="J12" s="19"/>
      <c r="K12" s="19"/>
      <c r="L12" s="19"/>
      <c r="M12" s="19"/>
      <c r="N12" s="19" t="s">
        <v>241</v>
      </c>
      <c r="O12" s="19">
        <v>6</v>
      </c>
      <c r="P12" s="20">
        <v>2.5299999999999998</v>
      </c>
      <c r="Q12" s="20"/>
      <c r="R12" s="21"/>
      <c r="S12" s="21">
        <v>0.61799999999999999</v>
      </c>
      <c r="T12" s="20">
        <v>6.2</v>
      </c>
      <c r="U12" s="22">
        <v>17</v>
      </c>
      <c r="V12" s="22">
        <v>31</v>
      </c>
      <c r="W12" s="22">
        <v>20</v>
      </c>
      <c r="X12" s="22">
        <v>196</v>
      </c>
      <c r="Y12" s="22">
        <v>1</v>
      </c>
      <c r="Z12" s="22">
        <v>1</v>
      </c>
      <c r="AA12" s="22">
        <v>3</v>
      </c>
      <c r="AB12" s="22">
        <v>9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3</v>
      </c>
      <c r="AJ12" s="24" t="str">
        <f t="shared" si="1"/>
        <v/>
      </c>
      <c r="AK12" s="25" t="str">
        <f t="shared" si="2"/>
        <v/>
      </c>
      <c r="AL12" s="24">
        <f t="shared" si="3"/>
        <v>6.32258064516129</v>
      </c>
      <c r="AM12" s="25">
        <f t="shared" si="4"/>
        <v>0.64516129032258063</v>
      </c>
      <c r="AN12" s="25">
        <f t="shared" si="5"/>
        <v>6.7024128686327088E-3</v>
      </c>
      <c r="AO12" s="25">
        <f t="shared" si="6"/>
        <v>0</v>
      </c>
      <c r="AP12" s="25">
        <f t="shared" si="7"/>
        <v>5.2901023890784986E-2</v>
      </c>
      <c r="AQ12" s="26">
        <f t="shared" si="8"/>
        <v>0.17647058823529413</v>
      </c>
      <c r="AR12" s="26">
        <f t="shared" si="9"/>
        <v>0</v>
      </c>
      <c r="AS12" s="27">
        <f t="shared" si="10"/>
        <v>0</v>
      </c>
      <c r="AT12" s="27">
        <f t="shared" si="11"/>
        <v>-2</v>
      </c>
      <c r="AU12" s="28">
        <f>AF12*Settings!$B$7+AG12*Settings!$B$8+AE12*Settings!$B$9+AB12*Settings!$B$10+AC12*Settings!$B$11+X12*Settings!$B$12+Y12*Settings!$B$13+Z12*Settings!$B$14</f>
        <v>10.74</v>
      </c>
    </row>
    <row r="13" spans="1:47" x14ac:dyDescent="0.25">
      <c r="A13" s="15" t="s">
        <v>96</v>
      </c>
      <c r="B13" s="16" t="s">
        <v>242</v>
      </c>
      <c r="C13" s="17">
        <v>3</v>
      </c>
      <c r="D13" s="17" t="s">
        <v>105</v>
      </c>
      <c r="E13" s="18" t="s">
        <v>99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1"/>
      <c r="S13" s="21"/>
      <c r="T13" s="20"/>
      <c r="U13" s="22">
        <v>17</v>
      </c>
      <c r="V13" s="22">
        <v>10</v>
      </c>
      <c r="W13" s="22">
        <v>6</v>
      </c>
      <c r="X13" s="22">
        <v>33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/>
      <c r="AE13" s="22"/>
      <c r="AF13" s="22"/>
      <c r="AG13" s="22"/>
      <c r="AH13" s="23" t="s">
        <v>101</v>
      </c>
      <c r="AI13" s="24" t="str">
        <f t="shared" si="0"/>
        <v/>
      </c>
      <c r="AJ13" s="24" t="str">
        <f t="shared" si="1"/>
        <v/>
      </c>
      <c r="AK13" s="25" t="str">
        <f t="shared" si="2"/>
        <v/>
      </c>
      <c r="AL13" s="24">
        <f t="shared" si="3"/>
        <v>3.3</v>
      </c>
      <c r="AM13" s="25">
        <f t="shared" si="4"/>
        <v>0.6</v>
      </c>
      <c r="AN13" s="25">
        <f t="shared" si="5"/>
        <v>0</v>
      </c>
      <c r="AO13" s="25">
        <f t="shared" si="6"/>
        <v>0</v>
      </c>
      <c r="AP13" s="25">
        <f t="shared" si="7"/>
        <v>1.7064846416382253E-2</v>
      </c>
      <c r="AQ13" s="26">
        <f t="shared" si="8"/>
        <v>0</v>
      </c>
      <c r="AR13" s="26">
        <f t="shared" si="9"/>
        <v>0</v>
      </c>
      <c r="AS13" s="27">
        <f t="shared" si="10"/>
        <v>0</v>
      </c>
      <c r="AT13" s="27">
        <f t="shared" si="11"/>
        <v>0</v>
      </c>
      <c r="AU13" s="28">
        <f>AF13*Settings!$B$7+AG13*Settings!$B$8+AE13*Settings!$B$9+AB13*Settings!$B$10+AC13*Settings!$B$11+X13*Settings!$B$12+Y13*Settings!$B$13+Z13*Settings!$B$14</f>
        <v>1.32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243</v>
      </c>
      <c r="C15" s="17">
        <v>1</v>
      </c>
      <c r="D15" s="17" t="s">
        <v>158</v>
      </c>
      <c r="E15" s="18" t="s">
        <v>99</v>
      </c>
      <c r="F15" s="19">
        <v>238</v>
      </c>
      <c r="G15" s="19">
        <v>250</v>
      </c>
      <c r="H15" s="19">
        <v>134</v>
      </c>
      <c r="I15" s="19">
        <v>511</v>
      </c>
      <c r="J15" s="19">
        <v>44</v>
      </c>
      <c r="K15" s="19">
        <v>54</v>
      </c>
      <c r="L15" s="19">
        <v>39</v>
      </c>
      <c r="M15" s="19">
        <v>223</v>
      </c>
      <c r="N15" s="19" t="s">
        <v>239</v>
      </c>
      <c r="O15" s="19">
        <v>15</v>
      </c>
      <c r="P15" s="20">
        <v>4.1900000000000004</v>
      </c>
      <c r="Q15" s="20">
        <v>5.6</v>
      </c>
      <c r="R15" s="21">
        <v>0.81799999999999995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197</v>
      </c>
      <c r="AB15" s="22">
        <v>816</v>
      </c>
      <c r="AC15" s="22">
        <v>5</v>
      </c>
      <c r="AD15" s="22">
        <v>45</v>
      </c>
      <c r="AE15" s="22">
        <v>33</v>
      </c>
      <c r="AF15" s="22">
        <v>226</v>
      </c>
      <c r="AG15" s="22">
        <v>2</v>
      </c>
      <c r="AH15" s="23" t="s">
        <v>101</v>
      </c>
      <c r="AI15" s="24">
        <f t="shared" si="0"/>
        <v>4.1421319796954315</v>
      </c>
      <c r="AJ15" s="24">
        <f t="shared" si="1"/>
        <v>6.8484848484848486</v>
      </c>
      <c r="AK15" s="25">
        <f t="shared" si="2"/>
        <v>0.73333333333333328</v>
      </c>
      <c r="AL15" s="24" t="str">
        <f t="shared" si="3"/>
        <v/>
      </c>
      <c r="AM15" s="25" t="str">
        <f t="shared" si="4"/>
        <v/>
      </c>
      <c r="AN15" s="25">
        <f t="shared" si="5"/>
        <v>0.44012511170688123</v>
      </c>
      <c r="AO15" s="25">
        <f t="shared" si="6"/>
        <v>8.0500894454382826E-2</v>
      </c>
      <c r="AP15" s="25">
        <f t="shared" si="7"/>
        <v>0</v>
      </c>
      <c r="AQ15" s="26">
        <f t="shared" si="8"/>
        <v>11.588235294117647</v>
      </c>
      <c r="AR15" s="26">
        <f t="shared" si="9"/>
        <v>2.6470588235294117</v>
      </c>
      <c r="AS15" s="27">
        <f t="shared" si="10"/>
        <v>6</v>
      </c>
      <c r="AT15" s="27">
        <f t="shared" si="11"/>
        <v>63</v>
      </c>
      <c r="AU15" s="28">
        <f>AF15*Settings!$B$7+AG15*Settings!$B$8+AE15*Settings!$B$9+AB15*Settings!$B$10+AC15*Settings!$B$11+X15*Settings!$B$12+Y15*Settings!$B$13+Z15*Settings!$B$14</f>
        <v>162.70000000000002</v>
      </c>
    </row>
    <row r="16" spans="1:47" x14ac:dyDescent="0.25">
      <c r="A16" s="15" t="s">
        <v>107</v>
      </c>
      <c r="B16" s="16" t="s">
        <v>244</v>
      </c>
      <c r="C16" s="17">
        <v>2</v>
      </c>
      <c r="D16" s="17" t="s">
        <v>103</v>
      </c>
      <c r="E16" s="18" t="s">
        <v>99</v>
      </c>
      <c r="F16" s="19"/>
      <c r="G16" s="19">
        <v>9</v>
      </c>
      <c r="H16" s="19"/>
      <c r="I16" s="19"/>
      <c r="J16" s="19"/>
      <c r="K16" s="19">
        <v>3</v>
      </c>
      <c r="L16" s="19"/>
      <c r="M16" s="19"/>
      <c r="N16" s="19"/>
      <c r="O16" s="19"/>
      <c r="P16" s="20">
        <v>2.44</v>
      </c>
      <c r="Q16" s="20">
        <v>7.67</v>
      </c>
      <c r="R16" s="21">
        <v>1</v>
      </c>
      <c r="S16" s="21"/>
      <c r="T16" s="20"/>
      <c r="U16" s="22">
        <v>17</v>
      </c>
      <c r="V16" s="22"/>
      <c r="W16" s="22"/>
      <c r="X16" s="22"/>
      <c r="Y16" s="22"/>
      <c r="Z16" s="22"/>
      <c r="AA16" s="22">
        <v>167</v>
      </c>
      <c r="AB16" s="22">
        <v>700</v>
      </c>
      <c r="AC16" s="22">
        <v>4</v>
      </c>
      <c r="AD16" s="22">
        <v>35</v>
      </c>
      <c r="AE16" s="22">
        <v>27</v>
      </c>
      <c r="AF16" s="22">
        <v>200</v>
      </c>
      <c r="AG16" s="22">
        <v>1</v>
      </c>
      <c r="AH16" s="23" t="s">
        <v>101</v>
      </c>
      <c r="AI16" s="24">
        <f t="shared" si="0"/>
        <v>4.1916167664670656</v>
      </c>
      <c r="AJ16" s="24">
        <f t="shared" si="1"/>
        <v>7.4074074074074074</v>
      </c>
      <c r="AK16" s="25">
        <f t="shared" si="2"/>
        <v>0.77142857142857146</v>
      </c>
      <c r="AL16" s="24" t="str">
        <f t="shared" si="3"/>
        <v/>
      </c>
      <c r="AM16" s="25" t="str">
        <f t="shared" si="4"/>
        <v/>
      </c>
      <c r="AN16" s="25">
        <f t="shared" si="5"/>
        <v>0.37310098302055417</v>
      </c>
      <c r="AO16" s="25">
        <f t="shared" si="6"/>
        <v>6.2611806797853303E-2</v>
      </c>
      <c r="AP16" s="25">
        <f t="shared" si="7"/>
        <v>0</v>
      </c>
      <c r="AQ16" s="26">
        <f t="shared" si="8"/>
        <v>9.8235294117647065</v>
      </c>
      <c r="AR16" s="26">
        <f t="shared" si="9"/>
        <v>2.0588235294117645</v>
      </c>
      <c r="AS16" s="27">
        <f t="shared" si="10"/>
        <v>35</v>
      </c>
      <c r="AT16" s="27">
        <f t="shared" si="11"/>
        <v>167</v>
      </c>
      <c r="AU16" s="28">
        <f>AF16*Settings!$B$7+AG16*Settings!$B$8+AE16*Settings!$B$9+AB16*Settings!$B$10+AC16*Settings!$B$11+X16*Settings!$B$12+Y16*Settings!$B$13+Z16*Settings!$B$14</f>
        <v>133.5</v>
      </c>
    </row>
    <row r="17" spans="1:47" x14ac:dyDescent="0.25">
      <c r="A17" s="15" t="s">
        <v>107</v>
      </c>
      <c r="B17" s="16" t="s">
        <v>245</v>
      </c>
      <c r="C17" s="17">
        <v>3</v>
      </c>
      <c r="D17" s="17" t="s">
        <v>130</v>
      </c>
      <c r="E17" s="18" t="s">
        <v>99</v>
      </c>
      <c r="F17" s="19">
        <v>178</v>
      </c>
      <c r="G17" s="19"/>
      <c r="H17" s="19">
        <v>12</v>
      </c>
      <c r="I17" s="19">
        <v>60</v>
      </c>
      <c r="J17" s="19">
        <v>28</v>
      </c>
      <c r="K17" s="19"/>
      <c r="L17" s="19">
        <v>3</v>
      </c>
      <c r="M17" s="19">
        <v>21</v>
      </c>
      <c r="N17" s="19" t="s">
        <v>166</v>
      </c>
      <c r="O17" s="19">
        <v>7</v>
      </c>
      <c r="P17" s="20">
        <v>3.54</v>
      </c>
      <c r="Q17" s="20">
        <v>9.76</v>
      </c>
      <c r="R17" s="21">
        <v>0.80600000000000005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49</v>
      </c>
      <c r="AB17" s="22">
        <v>206</v>
      </c>
      <c r="AC17" s="22">
        <v>1</v>
      </c>
      <c r="AD17" s="22">
        <v>7</v>
      </c>
      <c r="AE17" s="22">
        <v>6</v>
      </c>
      <c r="AF17" s="22">
        <v>53</v>
      </c>
      <c r="AG17" s="22">
        <v>0</v>
      </c>
      <c r="AH17" s="23" t="s">
        <v>101</v>
      </c>
      <c r="AI17" s="24">
        <f t="shared" si="0"/>
        <v>4.204081632653061</v>
      </c>
      <c r="AJ17" s="24">
        <f t="shared" si="1"/>
        <v>8.8333333333333339</v>
      </c>
      <c r="AK17" s="25">
        <f t="shared" si="2"/>
        <v>0.8571428571428571</v>
      </c>
      <c r="AL17" s="24" t="str">
        <f t="shared" si="3"/>
        <v/>
      </c>
      <c r="AM17" s="25" t="str">
        <f t="shared" si="4"/>
        <v/>
      </c>
      <c r="AN17" s="25">
        <f t="shared" si="5"/>
        <v>0.10947274352100092</v>
      </c>
      <c r="AO17" s="25">
        <f t="shared" si="6"/>
        <v>1.2522361359570662E-2</v>
      </c>
      <c r="AP17" s="25">
        <f t="shared" si="7"/>
        <v>0</v>
      </c>
      <c r="AQ17" s="26">
        <f t="shared" si="8"/>
        <v>2.8823529411764706</v>
      </c>
      <c r="AR17" s="26">
        <f t="shared" si="9"/>
        <v>0.41176470588235292</v>
      </c>
      <c r="AS17" s="27">
        <f t="shared" si="10"/>
        <v>4</v>
      </c>
      <c r="AT17" s="27">
        <f t="shared" si="11"/>
        <v>37</v>
      </c>
      <c r="AU17" s="28">
        <f>AF17*Settings!$B$7+AG17*Settings!$B$8+AE17*Settings!$B$9+AB17*Settings!$B$10+AC17*Settings!$B$11+X17*Settings!$B$12+Y17*Settings!$B$13+Z17*Settings!$B$14</f>
        <v>34.900000000000006</v>
      </c>
    </row>
    <row r="18" spans="1:47" x14ac:dyDescent="0.25">
      <c r="A18" s="15" t="s">
        <v>107</v>
      </c>
      <c r="B18" s="16" t="s">
        <v>246</v>
      </c>
      <c r="C18" s="17">
        <v>4</v>
      </c>
      <c r="D18" s="17" t="s">
        <v>128</v>
      </c>
      <c r="E18" s="18" t="s">
        <v>99</v>
      </c>
      <c r="F18" s="19"/>
      <c r="G18" s="19"/>
      <c r="H18" s="19">
        <v>20</v>
      </c>
      <c r="I18" s="19">
        <v>94</v>
      </c>
      <c r="J18" s="19"/>
      <c r="K18" s="19"/>
      <c r="L18" s="19">
        <v>3</v>
      </c>
      <c r="M18" s="19">
        <v>13</v>
      </c>
      <c r="N18" s="19" t="s">
        <v>239</v>
      </c>
      <c r="O18" s="19">
        <v>17</v>
      </c>
      <c r="P18" s="20">
        <v>4.7</v>
      </c>
      <c r="Q18" s="20">
        <v>4.33</v>
      </c>
      <c r="R18" s="21">
        <v>1</v>
      </c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18</v>
      </c>
      <c r="AB18" s="22">
        <v>87</v>
      </c>
      <c r="AC18" s="22">
        <v>0</v>
      </c>
      <c r="AD18" s="22">
        <v>5</v>
      </c>
      <c r="AE18" s="22">
        <v>5</v>
      </c>
      <c r="AF18" s="22">
        <v>33</v>
      </c>
      <c r="AG18" s="22">
        <v>0</v>
      </c>
      <c r="AH18" s="23" t="s">
        <v>101</v>
      </c>
      <c r="AI18" s="24">
        <f t="shared" si="0"/>
        <v>4.833333333333333</v>
      </c>
      <c r="AJ18" s="24">
        <f t="shared" si="1"/>
        <v>6.6</v>
      </c>
      <c r="AK18" s="25">
        <f t="shared" si="2"/>
        <v>1</v>
      </c>
      <c r="AL18" s="24" t="str">
        <f t="shared" si="3"/>
        <v/>
      </c>
      <c r="AM18" s="25" t="str">
        <f t="shared" si="4"/>
        <v/>
      </c>
      <c r="AN18" s="25">
        <f t="shared" si="5"/>
        <v>4.0214477211796253E-2</v>
      </c>
      <c r="AO18" s="25">
        <f t="shared" si="6"/>
        <v>8.9445438282647581E-3</v>
      </c>
      <c r="AP18" s="25">
        <f t="shared" si="7"/>
        <v>0</v>
      </c>
      <c r="AQ18" s="26">
        <f t="shared" si="8"/>
        <v>1.0588235294117647</v>
      </c>
      <c r="AR18" s="26">
        <f t="shared" si="9"/>
        <v>0.29411764705882354</v>
      </c>
      <c r="AS18" s="27">
        <f t="shared" si="10"/>
        <v>2</v>
      </c>
      <c r="AT18" s="27">
        <f t="shared" si="11"/>
        <v>-2</v>
      </c>
      <c r="AU18" s="28">
        <f>AF18*Settings!$B$7+AG18*Settings!$B$8+AE18*Settings!$B$9+AB18*Settings!$B$10+AC18*Settings!$B$11+X18*Settings!$B$12+Y18*Settings!$B$13+Z18*Settings!$B$14</f>
        <v>14.500000000000002</v>
      </c>
    </row>
    <row r="19" spans="1:47" x14ac:dyDescent="0.25">
      <c r="A19" s="15" t="s">
        <v>107</v>
      </c>
      <c r="B19" s="16" t="s">
        <v>247</v>
      </c>
      <c r="C19" s="17">
        <v>5</v>
      </c>
      <c r="D19" s="17" t="s">
        <v>103</v>
      </c>
      <c r="E19" s="18" t="s">
        <v>99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1"/>
      <c r="S19" s="21"/>
      <c r="T19" s="20"/>
      <c r="U19" s="22">
        <v>17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33"/>
      <c r="AI19" s="24" t="str">
        <f t="shared" si="0"/>
        <v/>
      </c>
      <c r="AJ19" s="24" t="str">
        <f t="shared" si="1"/>
        <v/>
      </c>
      <c r="AK19" s="25" t="str">
        <f t="shared" si="2"/>
        <v/>
      </c>
      <c r="AL19" s="24" t="str">
        <f t="shared" si="3"/>
        <v/>
      </c>
      <c r="AM19" s="25" t="str">
        <f t="shared" si="4"/>
        <v/>
      </c>
      <c r="AN19" s="25">
        <f t="shared" si="5"/>
        <v>0</v>
      </c>
      <c r="AO19" s="25">
        <f t="shared" si="6"/>
        <v>0</v>
      </c>
      <c r="AP19" s="25">
        <f t="shared" si="7"/>
        <v>0</v>
      </c>
      <c r="AQ19" s="26">
        <f t="shared" si="8"/>
        <v>0</v>
      </c>
      <c r="AR19" s="26">
        <f t="shared" si="9"/>
        <v>0</v>
      </c>
      <c r="AS19" s="27">
        <f t="shared" si="10"/>
        <v>0</v>
      </c>
      <c r="AT19" s="27">
        <f t="shared" si="11"/>
        <v>0</v>
      </c>
      <c r="AU19" s="28">
        <f>AF19*Settings!$B$7+AG19*Settings!$B$8+AE19*Settings!$B$9+AB19*Settings!$B$10+AC19*Settings!$B$11+X19*Settings!$B$12+Y19*Settings!$B$13+Z19*Settings!$B$14</f>
        <v>0</v>
      </c>
    </row>
    <row r="20" spans="1:47" x14ac:dyDescent="0.25">
      <c r="A20" s="15" t="s">
        <v>107</v>
      </c>
      <c r="B20" s="16" t="s">
        <v>248</v>
      </c>
      <c r="C20" s="17">
        <v>6</v>
      </c>
      <c r="D20" s="17" t="s">
        <v>111</v>
      </c>
      <c r="E20" s="18" t="s">
        <v>99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1"/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249</v>
      </c>
      <c r="C22" s="17">
        <v>1</v>
      </c>
      <c r="D22" s="17" t="s">
        <v>103</v>
      </c>
      <c r="E22" s="18" t="s">
        <v>99</v>
      </c>
      <c r="F22" s="19"/>
      <c r="G22" s="19"/>
      <c r="H22" s="19"/>
      <c r="I22" s="19"/>
      <c r="J22" s="19"/>
      <c r="K22" s="19"/>
      <c r="L22" s="19">
        <v>122</v>
      </c>
      <c r="M22" s="19">
        <v>1014</v>
      </c>
      <c r="N22" s="19" t="s">
        <v>239</v>
      </c>
      <c r="O22" s="19">
        <v>17</v>
      </c>
      <c r="P22" s="20"/>
      <c r="Q22" s="20">
        <v>14.49</v>
      </c>
      <c r="R22" s="21">
        <v>0.57399999999999995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1</v>
      </c>
      <c r="AC22" s="22">
        <v>0</v>
      </c>
      <c r="AD22" s="22">
        <v>129</v>
      </c>
      <c r="AE22" s="22">
        <v>75</v>
      </c>
      <c r="AF22" s="22">
        <v>1072</v>
      </c>
      <c r="AG22" s="22">
        <v>7</v>
      </c>
      <c r="AH22" s="23" t="s">
        <v>101</v>
      </c>
      <c r="AI22" s="24" t="str">
        <f t="shared" si="0"/>
        <v/>
      </c>
      <c r="AJ22" s="24">
        <f t="shared" si="1"/>
        <v>14.293333333333333</v>
      </c>
      <c r="AK22" s="25">
        <f t="shared" si="2"/>
        <v>0.58139534883720934</v>
      </c>
      <c r="AL22" s="24" t="str">
        <f t="shared" si="3"/>
        <v/>
      </c>
      <c r="AM22" s="25" t="str">
        <f t="shared" si="4"/>
        <v/>
      </c>
      <c r="AN22" s="25">
        <f t="shared" si="5"/>
        <v>0</v>
      </c>
      <c r="AO22" s="25">
        <f t="shared" si="6"/>
        <v>0.23076923076923078</v>
      </c>
      <c r="AP22" s="25">
        <f t="shared" si="7"/>
        <v>0</v>
      </c>
      <c r="AQ22" s="26">
        <f t="shared" si="8"/>
        <v>0</v>
      </c>
      <c r="AR22" s="26">
        <f t="shared" si="9"/>
        <v>7.5882352941176467</v>
      </c>
      <c r="AS22" s="27">
        <f t="shared" si="10"/>
        <v>7</v>
      </c>
      <c r="AT22" s="27">
        <f t="shared" si="11"/>
        <v>0</v>
      </c>
      <c r="AU22" s="28">
        <f>AF22*Settings!$B$7+AG22*Settings!$B$8+AE22*Settings!$B$9+AB22*Settings!$B$10+AC22*Settings!$B$11+X22*Settings!$B$12+Y22*Settings!$B$13+Z22*Settings!$B$14</f>
        <v>186.79999999999998</v>
      </c>
    </row>
    <row r="23" spans="1:47" x14ac:dyDescent="0.25">
      <c r="A23" s="15" t="s">
        <v>121</v>
      </c>
      <c r="B23" s="16" t="s">
        <v>250</v>
      </c>
      <c r="C23" s="17">
        <v>2</v>
      </c>
      <c r="D23" s="17" t="s">
        <v>111</v>
      </c>
      <c r="E23" s="18" t="s">
        <v>99</v>
      </c>
      <c r="F23" s="19">
        <v>1</v>
      </c>
      <c r="G23" s="19"/>
      <c r="H23" s="19"/>
      <c r="I23" s="19"/>
      <c r="J23" s="19">
        <v>30</v>
      </c>
      <c r="K23" s="19">
        <v>37</v>
      </c>
      <c r="L23" s="19">
        <v>4</v>
      </c>
      <c r="M23" s="19">
        <v>18</v>
      </c>
      <c r="N23" s="19" t="s">
        <v>166</v>
      </c>
      <c r="O23" s="19">
        <v>7</v>
      </c>
      <c r="P23" s="20">
        <v>4</v>
      </c>
      <c r="Q23" s="20">
        <v>9.77</v>
      </c>
      <c r="R23" s="21">
        <v>0.62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1</v>
      </c>
      <c r="AB23" s="22">
        <v>2</v>
      </c>
      <c r="AC23" s="22">
        <v>0</v>
      </c>
      <c r="AD23" s="22">
        <v>45</v>
      </c>
      <c r="AE23" s="22">
        <v>27</v>
      </c>
      <c r="AF23" s="22">
        <v>272</v>
      </c>
      <c r="AG23" s="22">
        <v>2</v>
      </c>
      <c r="AH23" s="23" t="s">
        <v>101</v>
      </c>
      <c r="AI23" s="24">
        <f t="shared" si="0"/>
        <v>2</v>
      </c>
      <c r="AJ23" s="24">
        <f t="shared" si="1"/>
        <v>10.074074074074074</v>
      </c>
      <c r="AK23" s="25">
        <f t="shared" si="2"/>
        <v>0.6</v>
      </c>
      <c r="AL23" s="24" t="str">
        <f t="shared" si="3"/>
        <v/>
      </c>
      <c r="AM23" s="25" t="str">
        <f t="shared" si="4"/>
        <v/>
      </c>
      <c r="AN23" s="25">
        <f t="shared" si="5"/>
        <v>2.2341376228775696E-3</v>
      </c>
      <c r="AO23" s="25">
        <f t="shared" si="6"/>
        <v>8.0500894454382826E-2</v>
      </c>
      <c r="AP23" s="25">
        <f t="shared" si="7"/>
        <v>0</v>
      </c>
      <c r="AQ23" s="26">
        <f t="shared" si="8"/>
        <v>5.8823529411764705E-2</v>
      </c>
      <c r="AR23" s="26">
        <f t="shared" si="9"/>
        <v>2.6470588235294117</v>
      </c>
      <c r="AS23" s="27">
        <f t="shared" si="10"/>
        <v>41</v>
      </c>
      <c r="AT23" s="27">
        <f t="shared" si="11"/>
        <v>1</v>
      </c>
      <c r="AU23" s="28">
        <f>AF23*Settings!$B$7+AG23*Settings!$B$8+AE23*Settings!$B$9+AB23*Settings!$B$10+AC23*Settings!$B$11+X23*Settings!$B$12+Y23*Settings!$B$13+Z23*Settings!$B$14</f>
        <v>52.900000000000006</v>
      </c>
    </row>
    <row r="24" spans="1:47" x14ac:dyDescent="0.25">
      <c r="A24" s="15" t="s">
        <v>121</v>
      </c>
      <c r="B24" s="16" t="s">
        <v>251</v>
      </c>
      <c r="C24" s="17">
        <v>3</v>
      </c>
      <c r="D24" s="17" t="s">
        <v>118</v>
      </c>
      <c r="E24" s="18" t="s">
        <v>99</v>
      </c>
      <c r="F24" s="19"/>
      <c r="G24" s="19"/>
      <c r="H24" s="19"/>
      <c r="I24" s="19"/>
      <c r="J24" s="19"/>
      <c r="K24" s="19">
        <v>46</v>
      </c>
      <c r="L24" s="19">
        <v>43</v>
      </c>
      <c r="M24" s="19">
        <v>394</v>
      </c>
      <c r="N24" s="19" t="s">
        <v>239</v>
      </c>
      <c r="O24" s="19">
        <v>11</v>
      </c>
      <c r="P24" s="20"/>
      <c r="Q24" s="20">
        <v>13.42</v>
      </c>
      <c r="R24" s="21">
        <v>0.73</v>
      </c>
      <c r="S24" s="21">
        <v>1</v>
      </c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83</v>
      </c>
      <c r="AE24" s="22">
        <v>57</v>
      </c>
      <c r="AF24" s="22">
        <v>694</v>
      </c>
      <c r="AG24" s="22">
        <v>4</v>
      </c>
      <c r="AH24" s="23" t="s">
        <v>101</v>
      </c>
      <c r="AI24" s="24" t="str">
        <f t="shared" si="0"/>
        <v/>
      </c>
      <c r="AJ24" s="24">
        <f t="shared" si="1"/>
        <v>12.175438596491228</v>
      </c>
      <c r="AK24" s="25">
        <f t="shared" si="2"/>
        <v>0.68674698795180722</v>
      </c>
      <c r="AL24" s="24" t="str">
        <f t="shared" si="3"/>
        <v/>
      </c>
      <c r="AM24" s="25" t="str">
        <f t="shared" si="4"/>
        <v/>
      </c>
      <c r="AN24" s="25">
        <f t="shared" si="5"/>
        <v>0</v>
      </c>
      <c r="AO24" s="25">
        <f t="shared" si="6"/>
        <v>0.14847942754919499</v>
      </c>
      <c r="AP24" s="25">
        <f t="shared" si="7"/>
        <v>0</v>
      </c>
      <c r="AQ24" s="26">
        <f t="shared" si="8"/>
        <v>0</v>
      </c>
      <c r="AR24" s="26">
        <f t="shared" si="9"/>
        <v>4.882352941176471</v>
      </c>
      <c r="AS24" s="27">
        <f t="shared" si="10"/>
        <v>40</v>
      </c>
      <c r="AT24" s="27">
        <f t="shared" si="11"/>
        <v>0</v>
      </c>
      <c r="AU24" s="28">
        <f>AF24*Settings!$B$7+AG24*Settings!$B$8+AE24*Settings!$B$9+AB24*Settings!$B$10+AC24*Settings!$B$11+X24*Settings!$B$12+Y24*Settings!$B$13+Z24*Settings!$B$14</f>
        <v>121.9</v>
      </c>
    </row>
    <row r="25" spans="1:47" x14ac:dyDescent="0.25">
      <c r="A25" s="15" t="s">
        <v>121</v>
      </c>
      <c r="B25" s="16" t="s">
        <v>252</v>
      </c>
      <c r="C25" s="17">
        <v>4</v>
      </c>
      <c r="D25" s="17" t="s">
        <v>105</v>
      </c>
      <c r="E25" s="32" t="s">
        <v>115</v>
      </c>
      <c r="F25" s="19"/>
      <c r="G25" s="19">
        <v>6</v>
      </c>
      <c r="H25" s="19">
        <v>1</v>
      </c>
      <c r="I25" s="19"/>
      <c r="J25" s="19"/>
      <c r="K25" s="19">
        <v>84</v>
      </c>
      <c r="L25" s="19">
        <v>64</v>
      </c>
      <c r="M25" s="19">
        <v>363</v>
      </c>
      <c r="N25" s="19" t="s">
        <v>239</v>
      </c>
      <c r="O25" s="19">
        <v>15</v>
      </c>
      <c r="P25" s="20">
        <v>3.43</v>
      </c>
      <c r="Q25" s="20">
        <v>10.24</v>
      </c>
      <c r="R25" s="21">
        <v>0.56799999999999995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1</v>
      </c>
      <c r="AB25" s="22">
        <v>5</v>
      </c>
      <c r="AC25" s="22">
        <v>0</v>
      </c>
      <c r="AD25" s="22">
        <v>56</v>
      </c>
      <c r="AE25" s="22">
        <v>33</v>
      </c>
      <c r="AF25" s="22">
        <v>364</v>
      </c>
      <c r="AG25" s="22">
        <v>3</v>
      </c>
      <c r="AH25" s="23" t="s">
        <v>101</v>
      </c>
      <c r="AI25" s="24">
        <f t="shared" si="0"/>
        <v>5</v>
      </c>
      <c r="AJ25" s="24">
        <f t="shared" si="1"/>
        <v>11.030303030303031</v>
      </c>
      <c r="AK25" s="25">
        <f t="shared" si="2"/>
        <v>0.5892857142857143</v>
      </c>
      <c r="AL25" s="24" t="str">
        <f t="shared" si="3"/>
        <v/>
      </c>
      <c r="AM25" s="25" t="str">
        <f t="shared" si="4"/>
        <v/>
      </c>
      <c r="AN25" s="25">
        <f t="shared" si="5"/>
        <v>2.2341376228775696E-3</v>
      </c>
      <c r="AO25" s="25">
        <f t="shared" si="6"/>
        <v>0.1001788908765653</v>
      </c>
      <c r="AP25" s="25">
        <f t="shared" si="7"/>
        <v>0</v>
      </c>
      <c r="AQ25" s="26">
        <f t="shared" si="8"/>
        <v>5.8823529411764705E-2</v>
      </c>
      <c r="AR25" s="26">
        <f t="shared" si="9"/>
        <v>3.2941176470588234</v>
      </c>
      <c r="AS25" s="27">
        <f t="shared" si="10"/>
        <v>-8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71.400000000000006</v>
      </c>
    </row>
    <row r="26" spans="1:47" x14ac:dyDescent="0.25">
      <c r="A26" s="15" t="s">
        <v>121</v>
      </c>
      <c r="B26" s="16" t="s">
        <v>253</v>
      </c>
      <c r="C26" s="17">
        <v>5</v>
      </c>
      <c r="D26" s="17" t="s">
        <v>114</v>
      </c>
      <c r="E26" s="18" t="s">
        <v>99</v>
      </c>
      <c r="F26" s="19"/>
      <c r="G26" s="19">
        <v>1</v>
      </c>
      <c r="H26" s="19">
        <v>1</v>
      </c>
      <c r="I26" s="19">
        <v>12</v>
      </c>
      <c r="J26" s="19">
        <v>7</v>
      </c>
      <c r="K26" s="19">
        <v>57</v>
      </c>
      <c r="L26" s="19">
        <v>1</v>
      </c>
      <c r="M26" s="19">
        <v>5</v>
      </c>
      <c r="N26" s="19" t="s">
        <v>239</v>
      </c>
      <c r="O26" s="19">
        <v>4</v>
      </c>
      <c r="P26" s="20">
        <v>6</v>
      </c>
      <c r="Q26" s="20">
        <v>11.84</v>
      </c>
      <c r="R26" s="21">
        <v>0.58499999999999996</v>
      </c>
      <c r="S26" s="21"/>
      <c r="T26" s="20"/>
      <c r="U26" s="22">
        <v>17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7</v>
      </c>
      <c r="AE26" s="22">
        <v>5</v>
      </c>
      <c r="AF26" s="22">
        <v>57</v>
      </c>
      <c r="AG26" s="22">
        <v>0</v>
      </c>
      <c r="AH26" s="23" t="s">
        <v>101</v>
      </c>
      <c r="AI26" s="24" t="str">
        <f t="shared" si="0"/>
        <v/>
      </c>
      <c r="AJ26" s="24">
        <f t="shared" si="1"/>
        <v>11.4</v>
      </c>
      <c r="AK26" s="25">
        <f t="shared" si="2"/>
        <v>0.7142857142857143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1.2522361359570662E-2</v>
      </c>
      <c r="AP26" s="25">
        <f t="shared" si="7"/>
        <v>0</v>
      </c>
      <c r="AQ26" s="26">
        <f t="shared" si="8"/>
        <v>0</v>
      </c>
      <c r="AR26" s="26">
        <f t="shared" si="9"/>
        <v>0.41176470588235292</v>
      </c>
      <c r="AS26" s="27">
        <f t="shared" si="10"/>
        <v>6</v>
      </c>
      <c r="AT26" s="27">
        <f t="shared" si="11"/>
        <v>-1</v>
      </c>
      <c r="AU26" s="28">
        <f>AF26*Settings!$B$7+AG26*Settings!$B$8+AE26*Settings!$B$9+AB26*Settings!$B$10+AC26*Settings!$B$11+X26*Settings!$B$12+Y26*Settings!$B$13+Z26*Settings!$B$14</f>
        <v>8.1999999999999993</v>
      </c>
    </row>
    <row r="27" spans="1:47" x14ac:dyDescent="0.25">
      <c r="A27" s="15" t="s">
        <v>121</v>
      </c>
      <c r="B27" s="16" t="s">
        <v>254</v>
      </c>
      <c r="C27" s="17">
        <v>6</v>
      </c>
      <c r="D27" s="17" t="s">
        <v>103</v>
      </c>
      <c r="E27" s="18" t="s">
        <v>99</v>
      </c>
      <c r="F27" s="19"/>
      <c r="G27" s="19"/>
      <c r="H27" s="19">
        <v>8</v>
      </c>
      <c r="I27" s="19">
        <v>69</v>
      </c>
      <c r="J27" s="19"/>
      <c r="K27" s="19"/>
      <c r="L27" s="19">
        <v>15</v>
      </c>
      <c r="M27" s="19">
        <v>108</v>
      </c>
      <c r="N27" s="19" t="s">
        <v>239</v>
      </c>
      <c r="O27" s="19">
        <v>13</v>
      </c>
      <c r="P27" s="20">
        <v>8.6199999999999992</v>
      </c>
      <c r="Q27" s="20">
        <v>9.82</v>
      </c>
      <c r="R27" s="21">
        <v>0.73299999999999998</v>
      </c>
      <c r="S27" s="21"/>
      <c r="T27" s="20"/>
      <c r="U27" s="22">
        <v>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6</v>
      </c>
      <c r="AB27" s="22">
        <v>45</v>
      </c>
      <c r="AC27" s="22">
        <v>0</v>
      </c>
      <c r="AD27" s="22">
        <v>16</v>
      </c>
      <c r="AE27" s="22">
        <v>12</v>
      </c>
      <c r="AF27" s="22">
        <v>114</v>
      </c>
      <c r="AG27" s="22">
        <v>1</v>
      </c>
      <c r="AH27" s="23" t="s">
        <v>101</v>
      </c>
      <c r="AI27" s="24">
        <f t="shared" si="0"/>
        <v>7.5</v>
      </c>
      <c r="AJ27" s="24">
        <f t="shared" si="1"/>
        <v>9.5</v>
      </c>
      <c r="AK27" s="25">
        <f t="shared" si="2"/>
        <v>0.75</v>
      </c>
      <c r="AL27" s="24" t="str">
        <f t="shared" si="3"/>
        <v/>
      </c>
      <c r="AM27" s="25" t="str">
        <f t="shared" si="4"/>
        <v/>
      </c>
      <c r="AN27" s="25">
        <f t="shared" si="5"/>
        <v>1.3404825737265418E-2</v>
      </c>
      <c r="AO27" s="25">
        <f t="shared" si="6"/>
        <v>2.8622540250447227E-2</v>
      </c>
      <c r="AP27" s="25">
        <f t="shared" si="7"/>
        <v>0</v>
      </c>
      <c r="AQ27" s="26">
        <f t="shared" si="8"/>
        <v>0.35294117647058826</v>
      </c>
      <c r="AR27" s="26">
        <f t="shared" si="9"/>
        <v>0.94117647058823528</v>
      </c>
      <c r="AS27" s="27">
        <f t="shared" si="10"/>
        <v>1</v>
      </c>
      <c r="AT27" s="27">
        <f t="shared" si="11"/>
        <v>-2</v>
      </c>
      <c r="AU27" s="28">
        <f>AF27*Settings!$B$7+AG27*Settings!$B$8+AE27*Settings!$B$9+AB27*Settings!$B$10+AC27*Settings!$B$11+X27*Settings!$B$12+Y27*Settings!$B$13+Z27*Settings!$B$14</f>
        <v>27.9</v>
      </c>
    </row>
    <row r="28" spans="1:47" x14ac:dyDescent="0.25">
      <c r="A28" s="15" t="s">
        <v>121</v>
      </c>
      <c r="B28" s="16" t="s">
        <v>255</v>
      </c>
      <c r="C28" s="17">
        <v>7</v>
      </c>
      <c r="D28" s="17" t="s">
        <v>111</v>
      </c>
      <c r="E28" s="18" t="s">
        <v>99</v>
      </c>
      <c r="F28" s="19"/>
      <c r="G28" s="19"/>
      <c r="H28" s="19"/>
      <c r="I28" s="19"/>
      <c r="J28" s="19"/>
      <c r="K28" s="19">
        <v>1</v>
      </c>
      <c r="L28" s="19">
        <v>18</v>
      </c>
      <c r="M28" s="19">
        <v>160</v>
      </c>
      <c r="N28" s="19" t="s">
        <v>239</v>
      </c>
      <c r="O28" s="19">
        <v>16</v>
      </c>
      <c r="P28" s="20"/>
      <c r="Q28" s="20">
        <v>10.53</v>
      </c>
      <c r="R28" s="21">
        <v>0.78900000000000003</v>
      </c>
      <c r="S28" s="21"/>
      <c r="T28" s="20"/>
      <c r="U28" s="22">
        <v>17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3</v>
      </c>
      <c r="AE28" s="22">
        <v>2</v>
      </c>
      <c r="AF28" s="22">
        <v>21</v>
      </c>
      <c r="AG28" s="22">
        <v>0</v>
      </c>
      <c r="AH28" s="23" t="s">
        <v>101</v>
      </c>
      <c r="AI28" s="24" t="str">
        <f t="shared" si="0"/>
        <v/>
      </c>
      <c r="AJ28" s="24">
        <f t="shared" si="1"/>
        <v>10.5</v>
      </c>
      <c r="AK28" s="25">
        <f t="shared" si="2"/>
        <v>0.66666666666666663</v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5.3667262969588547E-3</v>
      </c>
      <c r="AP28" s="25">
        <f t="shared" si="7"/>
        <v>0</v>
      </c>
      <c r="AQ28" s="26">
        <f t="shared" si="8"/>
        <v>0</v>
      </c>
      <c r="AR28" s="26">
        <f t="shared" si="9"/>
        <v>0.17647058823529413</v>
      </c>
      <c r="AS28" s="27">
        <f t="shared" si="10"/>
        <v>-15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3.1</v>
      </c>
    </row>
    <row r="29" spans="1:47" x14ac:dyDescent="0.25">
      <c r="A29" s="15" t="s">
        <v>121</v>
      </c>
      <c r="B29" s="16" t="s">
        <v>256</v>
      </c>
      <c r="C29" s="17">
        <v>8</v>
      </c>
      <c r="D29" s="17" t="s">
        <v>105</v>
      </c>
      <c r="E29" s="18" t="s">
        <v>99</v>
      </c>
      <c r="F29" s="19"/>
      <c r="G29" s="19"/>
      <c r="H29" s="19"/>
      <c r="I29" s="19"/>
      <c r="J29" s="19"/>
      <c r="K29" s="19">
        <v>2</v>
      </c>
      <c r="L29" s="19">
        <v>14</v>
      </c>
      <c r="M29" s="19">
        <v>94</v>
      </c>
      <c r="N29" s="19" t="s">
        <v>112</v>
      </c>
      <c r="O29" s="19">
        <v>7</v>
      </c>
      <c r="P29" s="20"/>
      <c r="Q29" s="20">
        <v>15.43</v>
      </c>
      <c r="R29" s="21">
        <v>0.438</v>
      </c>
      <c r="S29" s="21"/>
      <c r="T29" s="20"/>
      <c r="U29" s="22">
        <v>17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1</v>
      </c>
      <c r="AE29" s="22">
        <v>3</v>
      </c>
      <c r="AF29" s="22">
        <v>40</v>
      </c>
      <c r="AG29" s="22">
        <v>0</v>
      </c>
      <c r="AH29" s="23" t="s">
        <v>101</v>
      </c>
      <c r="AI29" s="24" t="str">
        <f t="shared" si="0"/>
        <v/>
      </c>
      <c r="AJ29" s="24">
        <f t="shared" si="1"/>
        <v>13.333333333333334</v>
      </c>
      <c r="AK29" s="25">
        <f t="shared" si="2"/>
        <v>3</v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1.7889087656529517E-3</v>
      </c>
      <c r="AP29" s="25">
        <f t="shared" si="7"/>
        <v>0</v>
      </c>
      <c r="AQ29" s="26">
        <f t="shared" si="8"/>
        <v>0</v>
      </c>
      <c r="AR29" s="26">
        <f t="shared" si="9"/>
        <v>5.8823529411764705E-2</v>
      </c>
      <c r="AS29" s="27">
        <f t="shared" si="10"/>
        <v>-13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5.5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257</v>
      </c>
      <c r="C31" s="17">
        <v>1</v>
      </c>
      <c r="D31" s="17" t="s">
        <v>103</v>
      </c>
      <c r="E31" s="32" t="s">
        <v>115</v>
      </c>
      <c r="F31" s="19"/>
      <c r="G31" s="19"/>
      <c r="H31" s="19"/>
      <c r="I31" s="19"/>
      <c r="J31" s="19"/>
      <c r="K31" s="19">
        <v>43</v>
      </c>
      <c r="L31" s="19">
        <v>34</v>
      </c>
      <c r="M31" s="19">
        <v>190</v>
      </c>
      <c r="N31" s="19" t="s">
        <v>239</v>
      </c>
      <c r="O31" s="19">
        <v>13</v>
      </c>
      <c r="P31" s="20"/>
      <c r="Q31" s="20">
        <v>8.58</v>
      </c>
      <c r="R31" s="21">
        <v>0.80500000000000005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37</v>
      </c>
      <c r="AE31" s="22">
        <v>29</v>
      </c>
      <c r="AF31" s="22">
        <v>238</v>
      </c>
      <c r="AG31" s="22">
        <v>2</v>
      </c>
      <c r="AH31" s="23" t="s">
        <v>101</v>
      </c>
      <c r="AI31" s="24" t="str">
        <f t="shared" si="0"/>
        <v/>
      </c>
      <c r="AJ31" s="24">
        <f t="shared" si="1"/>
        <v>8.2068965517241388</v>
      </c>
      <c r="AK31" s="25">
        <f t="shared" si="2"/>
        <v>0.78378378378378377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6.6189624329159216E-2</v>
      </c>
      <c r="AP31" s="25">
        <f t="shared" si="7"/>
        <v>0</v>
      </c>
      <c r="AQ31" s="26">
        <f t="shared" si="8"/>
        <v>0</v>
      </c>
      <c r="AR31" s="26">
        <f t="shared" si="9"/>
        <v>2.1764705882352939</v>
      </c>
      <c r="AS31" s="27">
        <f t="shared" si="10"/>
        <v>3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50.3</v>
      </c>
    </row>
    <row r="32" spans="1:47" x14ac:dyDescent="0.25">
      <c r="A32" s="15" t="s">
        <v>135</v>
      </c>
      <c r="B32" s="16" t="s">
        <v>258</v>
      </c>
      <c r="C32" s="17">
        <v>2</v>
      </c>
      <c r="D32" s="17" t="s">
        <v>111</v>
      </c>
      <c r="E32" s="18" t="s">
        <v>99</v>
      </c>
      <c r="F32" s="19"/>
      <c r="G32" s="19"/>
      <c r="H32" s="19"/>
      <c r="I32" s="19"/>
      <c r="J32" s="19">
        <v>32</v>
      </c>
      <c r="K32" s="19">
        <v>32</v>
      </c>
      <c r="L32" s="19">
        <v>37</v>
      </c>
      <c r="M32" s="19">
        <v>249</v>
      </c>
      <c r="N32" s="19" t="s">
        <v>239</v>
      </c>
      <c r="O32" s="19">
        <v>17</v>
      </c>
      <c r="P32" s="20"/>
      <c r="Q32" s="20">
        <v>9.27</v>
      </c>
      <c r="R32" s="21">
        <v>0.72299999999999998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30</v>
      </c>
      <c r="AE32" s="22">
        <v>22</v>
      </c>
      <c r="AF32" s="22">
        <v>202</v>
      </c>
      <c r="AG32" s="22">
        <v>2</v>
      </c>
      <c r="AH32" s="23" t="s">
        <v>101</v>
      </c>
      <c r="AI32" s="24" t="str">
        <f t="shared" si="0"/>
        <v/>
      </c>
      <c r="AJ32" s="24">
        <f t="shared" si="1"/>
        <v>9.1818181818181817</v>
      </c>
      <c r="AK32" s="25">
        <f t="shared" si="2"/>
        <v>0.73333333333333328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5.3667262969588549E-2</v>
      </c>
      <c r="AP32" s="25">
        <f t="shared" si="7"/>
        <v>0</v>
      </c>
      <c r="AQ32" s="26">
        <f t="shared" si="8"/>
        <v>0</v>
      </c>
      <c r="AR32" s="26">
        <f t="shared" si="9"/>
        <v>1.7647058823529411</v>
      </c>
      <c r="AS32" s="27">
        <f t="shared" si="10"/>
        <v>-7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43.2</v>
      </c>
    </row>
    <row r="33" spans="1:47" x14ac:dyDescent="0.25">
      <c r="A33" s="15" t="s">
        <v>135</v>
      </c>
      <c r="B33" s="16" t="s">
        <v>259</v>
      </c>
      <c r="C33" s="17">
        <v>3</v>
      </c>
      <c r="D33" s="17" t="s">
        <v>103</v>
      </c>
      <c r="E33" s="18" t="s">
        <v>99</v>
      </c>
      <c r="F33" s="19"/>
      <c r="G33" s="19"/>
      <c r="H33" s="19">
        <v>1</v>
      </c>
      <c r="I33" s="19">
        <v>1</v>
      </c>
      <c r="J33" s="19"/>
      <c r="K33" s="19"/>
      <c r="L33" s="19">
        <v>25</v>
      </c>
      <c r="M33" s="19">
        <v>171</v>
      </c>
      <c r="N33" s="19" t="s">
        <v>239</v>
      </c>
      <c r="O33" s="19">
        <v>17</v>
      </c>
      <c r="P33" s="20">
        <v>1</v>
      </c>
      <c r="Q33" s="20">
        <v>9</v>
      </c>
      <c r="R33" s="21">
        <v>0.76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24</v>
      </c>
      <c r="AE33" s="22">
        <v>19</v>
      </c>
      <c r="AF33" s="22">
        <v>174</v>
      </c>
      <c r="AG33" s="22">
        <v>2</v>
      </c>
      <c r="AH33" s="23" t="s">
        <v>101</v>
      </c>
      <c r="AI33" s="24" t="str">
        <f t="shared" si="0"/>
        <v/>
      </c>
      <c r="AJ33" s="24">
        <f t="shared" si="1"/>
        <v>9.1578947368421044</v>
      </c>
      <c r="AK33" s="25">
        <f t="shared" si="2"/>
        <v>0.79166666666666663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4.2933810375670838E-2</v>
      </c>
      <c r="AP33" s="25">
        <f t="shared" si="7"/>
        <v>0</v>
      </c>
      <c r="AQ33" s="26">
        <f t="shared" si="8"/>
        <v>0</v>
      </c>
      <c r="AR33" s="26">
        <f t="shared" si="9"/>
        <v>1.411764705882353</v>
      </c>
      <c r="AS33" s="27">
        <f t="shared" si="10"/>
        <v>-1</v>
      </c>
      <c r="AT33" s="27">
        <f t="shared" si="11"/>
        <v>-1</v>
      </c>
      <c r="AU33" s="28">
        <f>AF33*Settings!$B$7+AG33*Settings!$B$8+AE33*Settings!$B$9+AB33*Settings!$B$10+AC33*Settings!$B$11+X33*Settings!$B$12+Y33*Settings!$B$13+Z33*Settings!$B$14</f>
        <v>38.900000000000006</v>
      </c>
    </row>
    <row r="34" spans="1:47" x14ac:dyDescent="0.25">
      <c r="A34" s="15" t="s">
        <v>135</v>
      </c>
      <c r="B34" s="16" t="s">
        <v>260</v>
      </c>
      <c r="C34" s="17">
        <v>4</v>
      </c>
      <c r="D34" s="17" t="s">
        <v>111</v>
      </c>
      <c r="E34" s="18" t="s">
        <v>99</v>
      </c>
      <c r="F34" s="19"/>
      <c r="G34" s="19"/>
      <c r="H34" s="19"/>
      <c r="I34" s="19"/>
      <c r="J34" s="19">
        <v>2</v>
      </c>
      <c r="K34" s="19"/>
      <c r="L34" s="19">
        <v>3</v>
      </c>
      <c r="M34" s="19">
        <v>28</v>
      </c>
      <c r="N34" s="19" t="s">
        <v>239</v>
      </c>
      <c r="O34" s="19">
        <v>5</v>
      </c>
      <c r="P34" s="20"/>
      <c r="Q34" s="20">
        <v>11.2</v>
      </c>
      <c r="R34" s="21">
        <v>1</v>
      </c>
      <c r="S34" s="21"/>
      <c r="T34" s="20"/>
      <c r="U34" s="22">
        <v>17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6</v>
      </c>
      <c r="AE34" s="22">
        <v>7</v>
      </c>
      <c r="AF34" s="22">
        <v>68</v>
      </c>
      <c r="AG34" s="22">
        <v>0</v>
      </c>
      <c r="AH34" s="23" t="s">
        <v>101</v>
      </c>
      <c r="AI34" s="24" t="str">
        <f t="shared" si="0"/>
        <v/>
      </c>
      <c r="AJ34" s="24">
        <f t="shared" si="1"/>
        <v>9.7142857142857135</v>
      </c>
      <c r="AK34" s="25">
        <f t="shared" si="2"/>
        <v>1.1666666666666667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1.0733452593917709E-2</v>
      </c>
      <c r="AP34" s="25">
        <f t="shared" si="7"/>
        <v>0</v>
      </c>
      <c r="AQ34" s="26">
        <f t="shared" si="8"/>
        <v>0</v>
      </c>
      <c r="AR34" s="26">
        <f t="shared" si="9"/>
        <v>0.35294117647058826</v>
      </c>
      <c r="AS34" s="27">
        <f t="shared" si="10"/>
        <v>3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10.3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545</v>
      </c>
      <c r="W37" s="34">
        <f t="shared" si="12"/>
        <v>344</v>
      </c>
      <c r="X37" s="34">
        <f t="shared" si="12"/>
        <v>3517</v>
      </c>
      <c r="Y37" s="34">
        <f t="shared" si="12"/>
        <v>23</v>
      </c>
      <c r="Z37" s="34">
        <f t="shared" si="12"/>
        <v>13</v>
      </c>
      <c r="AA37" s="34">
        <f t="shared" si="12"/>
        <v>497</v>
      </c>
      <c r="AB37" s="34">
        <f t="shared" si="12"/>
        <v>2121</v>
      </c>
      <c r="AC37" s="34">
        <f t="shared" si="12"/>
        <v>13</v>
      </c>
      <c r="AD37" s="34">
        <f t="shared" si="12"/>
        <v>529</v>
      </c>
      <c r="AE37" s="34">
        <f t="shared" si="12"/>
        <v>362</v>
      </c>
      <c r="AF37" s="34">
        <f t="shared" si="12"/>
        <v>3828</v>
      </c>
      <c r="AG37" s="34">
        <f t="shared" si="12"/>
        <v>26</v>
      </c>
    </row>
    <row r="38" spans="1:47" x14ac:dyDescent="0.25">
      <c r="A38" s="5" t="s">
        <v>142</v>
      </c>
      <c r="V38" s="35">
        <f>$F$5</f>
        <v>586</v>
      </c>
      <c r="X38" s="35">
        <f>$I$5</f>
        <v>3513</v>
      </c>
      <c r="Y38" s="35">
        <f>$J$5</f>
        <v>23</v>
      </c>
      <c r="Z38" s="35">
        <f>$K$5</f>
        <v>12</v>
      </c>
      <c r="AA38" s="35">
        <f>$H$5</f>
        <v>447.59999999999991</v>
      </c>
      <c r="AB38" s="35">
        <f>$L$5</f>
        <v>1936</v>
      </c>
      <c r="AC38" s="35">
        <f>$M$5</f>
        <v>13</v>
      </c>
      <c r="AD38" s="35">
        <f>$G$5</f>
        <v>559</v>
      </c>
      <c r="AF38" s="35">
        <f>$I$5</f>
        <v>3513</v>
      </c>
      <c r="AG38" s="35">
        <f>$J$5</f>
        <v>23</v>
      </c>
    </row>
    <row r="39" spans="1:47" x14ac:dyDescent="0.25">
      <c r="A39" s="5" t="s">
        <v>143</v>
      </c>
      <c r="V39" s="36">
        <f>$F$5-V37</f>
        <v>41</v>
      </c>
      <c r="X39" s="36">
        <f>$I$5-X37</f>
        <v>-4</v>
      </c>
      <c r="Y39" s="36">
        <f>$J$5-Y37</f>
        <v>0</v>
      </c>
      <c r="Z39" s="36">
        <f>$K$5-Z37</f>
        <v>-1</v>
      </c>
      <c r="AA39" s="36">
        <f>$H$5-AA37</f>
        <v>-49.400000000000091</v>
      </c>
      <c r="AB39" s="36">
        <f>$L$5-AB37</f>
        <v>-185</v>
      </c>
      <c r="AC39" s="36">
        <f>$M$5-AC37</f>
        <v>0</v>
      </c>
      <c r="AD39" s="36">
        <f>$G$5-AD37</f>
        <v>30</v>
      </c>
      <c r="AF39" s="36">
        <f>$I$5-AF37</f>
        <v>-315</v>
      </c>
      <c r="AG39" s="36">
        <f>$J$5-AG37</f>
        <v>-3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839" priority="1" stopIfTrue="1">
      <formula>V37&gt;$F$5</formula>
    </cfRule>
    <cfRule type="expression" dxfId="838" priority="2">
      <formula>AND($F$5&gt;0,V37&lt;$F$5*0.97)</formula>
    </cfRule>
    <cfRule type="expression" dxfId="837" priority="3">
      <formula>AND($F$5&gt;0,V37&gt;=$F$5*0.97,V37&lt;=$F$5)</formula>
    </cfRule>
  </conditionalFormatting>
  <conditionalFormatting sqref="X37">
    <cfRule type="expression" dxfId="836" priority="4" stopIfTrue="1">
      <formula>X37&gt;$I$5</formula>
    </cfRule>
    <cfRule type="expression" dxfId="835" priority="5">
      <formula>AND($I$5&gt;0,X37&lt;$I$5*0.97)</formula>
    </cfRule>
    <cfRule type="expression" dxfId="834" priority="6">
      <formula>AND($I$5&gt;0,X37&gt;=$I$5*0.97,X37&lt;=$I$5)</formula>
    </cfRule>
  </conditionalFormatting>
  <conditionalFormatting sqref="Y37">
    <cfRule type="expression" dxfId="833" priority="7" stopIfTrue="1">
      <formula>Y37&gt;$J$5</formula>
    </cfRule>
    <cfRule type="expression" dxfId="832" priority="8">
      <formula>AND($J$5&gt;0,Y37&lt;$J$5*0.97)</formula>
    </cfRule>
    <cfRule type="expression" dxfId="831" priority="9">
      <formula>AND($J$5&gt;0,Y37&gt;=$J$5*0.97,Y37&lt;=$J$5)</formula>
    </cfRule>
  </conditionalFormatting>
  <conditionalFormatting sqref="Z37">
    <cfRule type="expression" dxfId="830" priority="10" stopIfTrue="1">
      <formula>Z37&gt;$K$5</formula>
    </cfRule>
    <cfRule type="expression" dxfId="829" priority="11">
      <formula>AND($K$5&gt;0,Z37&lt;$K$5*0.97)</formula>
    </cfRule>
    <cfRule type="expression" dxfId="828" priority="12">
      <formula>AND($K$5&gt;0,Z37&gt;=$K$5*0.97,Z37&lt;=$K$5)</formula>
    </cfRule>
  </conditionalFormatting>
  <conditionalFormatting sqref="AA37">
    <cfRule type="expression" dxfId="827" priority="13" stopIfTrue="1">
      <formula>AA37&gt;$H$5</formula>
    </cfRule>
    <cfRule type="expression" dxfId="826" priority="14">
      <formula>AND($H$5&gt;0,AA37&lt;$H$5*0.97)</formula>
    </cfRule>
    <cfRule type="expression" dxfId="825" priority="15">
      <formula>AND($H$5&gt;0,AA37&gt;=$H$5*0.97,AA37&lt;=$H$5)</formula>
    </cfRule>
  </conditionalFormatting>
  <conditionalFormatting sqref="AB37">
    <cfRule type="expression" dxfId="824" priority="16" stopIfTrue="1">
      <formula>AB37&gt;$L$5</formula>
    </cfRule>
    <cfRule type="expression" dxfId="823" priority="17">
      <formula>AND($L$5&gt;0,AB37&lt;$L$5*0.97)</formula>
    </cfRule>
    <cfRule type="expression" dxfId="822" priority="18">
      <formula>AND($L$5&gt;0,AB37&gt;=$L$5*0.97,AB37&lt;=$L$5)</formula>
    </cfRule>
  </conditionalFormatting>
  <conditionalFormatting sqref="AC37">
    <cfRule type="expression" dxfId="821" priority="19" stopIfTrue="1">
      <formula>AC37&gt;$M$5</formula>
    </cfRule>
    <cfRule type="expression" dxfId="820" priority="20">
      <formula>AND($M$5&gt;0,AC37&lt;$M$5*0.97)</formula>
    </cfRule>
    <cfRule type="expression" dxfId="819" priority="21">
      <formula>AND($M$5&gt;0,AC37&gt;=$M$5*0.97,AC37&lt;=$M$5)</formula>
    </cfRule>
  </conditionalFormatting>
  <conditionalFormatting sqref="AD37">
    <cfRule type="expression" dxfId="818" priority="22" stopIfTrue="1">
      <formula>AD37&gt;$G$5</formula>
    </cfRule>
    <cfRule type="expression" dxfId="817" priority="23">
      <formula>AND($G$5&gt;0,AD37&lt;$G$5*0.97)</formula>
    </cfRule>
    <cfRule type="expression" dxfId="816" priority="24">
      <formula>AND($G$5&gt;0,AD37&gt;=$G$5*0.97,AD37&lt;=$G$5)</formula>
    </cfRule>
  </conditionalFormatting>
  <conditionalFormatting sqref="AF37">
    <cfRule type="expression" dxfId="815" priority="25" stopIfTrue="1">
      <formula>AF37&gt;$I$5</formula>
    </cfRule>
    <cfRule type="expression" dxfId="814" priority="26">
      <formula>AND($I$5&gt;0,AF37&lt;$I$5*0.97)</formula>
    </cfRule>
    <cfRule type="expression" dxfId="813" priority="27">
      <formula>AND($I$5&gt;0,AF37&gt;=$I$5*0.97,AF37&lt;=$I$5)</formula>
    </cfRule>
  </conditionalFormatting>
  <conditionalFormatting sqref="AG37">
    <cfRule type="expression" dxfId="812" priority="28" stopIfTrue="1">
      <formula>AG37&gt;$J$5</formula>
    </cfRule>
    <cfRule type="expression" dxfId="811" priority="29">
      <formula>AND($J$5&gt;0,AG37&lt;$J$5*0.97)</formula>
    </cfRule>
    <cfRule type="expression" dxfId="810" priority="30">
      <formula>AND($J$5&gt;0,AG37&gt;=$J$5*0.97,AG37&lt;=$J$5)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261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63.3</v>
      </c>
      <c r="D5" s="10">
        <f>C5*B5</f>
        <v>1076.0999999999999</v>
      </c>
      <c r="E5" s="11">
        <v>0.55620000000000003</v>
      </c>
      <c r="F5" s="10">
        <f>ROUND(D5*E5,0)</f>
        <v>599</v>
      </c>
      <c r="G5" s="10">
        <f>ROUND(F5*Settings!$B$4,0)</f>
        <v>571</v>
      </c>
      <c r="H5" s="10">
        <f>D5-F5</f>
        <v>477.09999999999991</v>
      </c>
      <c r="I5" s="8">
        <v>3787</v>
      </c>
      <c r="J5" s="9">
        <v>24</v>
      </c>
      <c r="K5" s="9">
        <v>10</v>
      </c>
      <c r="L5" s="8">
        <v>2132</v>
      </c>
      <c r="M5" s="9">
        <v>16</v>
      </c>
    </row>
    <row r="7" spans="1:47" x14ac:dyDescent="0.25">
      <c r="A7" s="5" t="s">
        <v>54</v>
      </c>
      <c r="B7" s="12" t="s">
        <v>262</v>
      </c>
    </row>
    <row r="8" spans="1:47" x14ac:dyDescent="0.25">
      <c r="A8" s="5" t="s">
        <v>56</v>
      </c>
      <c r="B8" s="13" t="s">
        <v>263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264</v>
      </c>
      <c r="C11" s="17">
        <v>1</v>
      </c>
      <c r="D11" s="17" t="s">
        <v>118</v>
      </c>
      <c r="E11" s="18" t="s">
        <v>99</v>
      </c>
      <c r="F11" s="19"/>
      <c r="G11" s="19">
        <v>75</v>
      </c>
      <c r="H11" s="19">
        <v>66</v>
      </c>
      <c r="I11" s="19">
        <v>388</v>
      </c>
      <c r="J11" s="19"/>
      <c r="K11" s="19"/>
      <c r="L11" s="19">
        <v>2</v>
      </c>
      <c r="M11" s="19">
        <v>22</v>
      </c>
      <c r="N11" s="19" t="s">
        <v>132</v>
      </c>
      <c r="O11" s="19">
        <v>17</v>
      </c>
      <c r="P11" s="20">
        <v>6.22</v>
      </c>
      <c r="Q11" s="20">
        <v>11</v>
      </c>
      <c r="R11" s="21">
        <v>1</v>
      </c>
      <c r="S11" s="21">
        <v>0.60299999999999998</v>
      </c>
      <c r="T11" s="20">
        <v>6.62</v>
      </c>
      <c r="U11" s="22">
        <v>17</v>
      </c>
      <c r="V11" s="22">
        <v>546</v>
      </c>
      <c r="W11" s="22">
        <v>330</v>
      </c>
      <c r="X11" s="22">
        <v>3823</v>
      </c>
      <c r="Y11" s="22">
        <v>27</v>
      </c>
      <c r="Z11" s="22">
        <v>9</v>
      </c>
      <c r="AA11" s="22">
        <v>76</v>
      </c>
      <c r="AB11" s="22">
        <v>396</v>
      </c>
      <c r="AC11" s="22">
        <v>2</v>
      </c>
      <c r="AD11" s="22">
        <v>2</v>
      </c>
      <c r="AE11" s="22">
        <v>2</v>
      </c>
      <c r="AF11" s="22">
        <v>22</v>
      </c>
      <c r="AG11" s="22">
        <v>1</v>
      </c>
      <c r="AH11" s="23" t="s">
        <v>101</v>
      </c>
      <c r="AI11" s="24">
        <f t="shared" ref="AI11:AI35" si="0">IFERROR(AB11/AA11,"")</f>
        <v>5.2105263157894735</v>
      </c>
      <c r="AJ11" s="24">
        <f t="shared" ref="AJ11:AJ35" si="1">IFERROR(AF11/AE11,"")</f>
        <v>11</v>
      </c>
      <c r="AK11" s="25">
        <f t="shared" ref="AK11:AK35" si="2">IFERROR(AE11/AD11,"")</f>
        <v>1</v>
      </c>
      <c r="AL11" s="24">
        <f t="shared" ref="AL11:AL35" si="3">IFERROR(X11/V11,"")</f>
        <v>7.0018315018315018</v>
      </c>
      <c r="AM11" s="25">
        <f t="shared" ref="AM11:AM35" si="4">IFERROR(W11/V11,"")</f>
        <v>0.60439560439560436</v>
      </c>
      <c r="AN11" s="25">
        <f t="shared" ref="AN11:AN35" si="5">IFERROR(AA11/$H$5,"")</f>
        <v>0.15929574512680783</v>
      </c>
      <c r="AO11" s="25">
        <f t="shared" ref="AO11:AO35" si="6">IFERROR(AD11/$G$5,"")</f>
        <v>3.5026269702276708E-3</v>
      </c>
      <c r="AP11" s="25">
        <f t="shared" ref="AP11:AP35" si="7">IFERROR(V11/$F$5,"")</f>
        <v>0.91151919866444076</v>
      </c>
      <c r="AQ11" s="26">
        <f t="shared" ref="AQ11:AQ35" si="8">IFERROR(AA11/U11,"")</f>
        <v>4.4705882352941178</v>
      </c>
      <c r="AR11" s="26">
        <f t="shared" ref="AR11:AR35" si="9">IFERROR(AD11/U11,"")</f>
        <v>0.11764705882352941</v>
      </c>
      <c r="AS11" s="27">
        <f t="shared" ref="AS11:AS35" si="10">IFERROR(AD11-L11,"")</f>
        <v>0</v>
      </c>
      <c r="AT11" s="27">
        <f t="shared" ref="AT11:AT35" si="11">IFERROR(AA11-H11,"")</f>
        <v>10</v>
      </c>
      <c r="AU11" s="28">
        <f>AF11*Settings!$B$7+AG11*Settings!$B$8+AE11*Settings!$B$9+AB11*Settings!$B$10+AC11*Settings!$B$11+X11*Settings!$B$12+Y11*Settings!$B$13+Z11*Settings!$B$14</f>
        <v>303.72000000000003</v>
      </c>
    </row>
    <row r="12" spans="1:47" x14ac:dyDescent="0.25">
      <c r="A12" s="15" t="s">
        <v>96</v>
      </c>
      <c r="B12" s="16" t="s">
        <v>265</v>
      </c>
      <c r="C12" s="17">
        <v>2</v>
      </c>
      <c r="D12" s="17" t="s">
        <v>111</v>
      </c>
      <c r="E12" s="18" t="s">
        <v>99</v>
      </c>
      <c r="F12" s="19">
        <v>20</v>
      </c>
      <c r="G12" s="19"/>
      <c r="H12" s="19">
        <v>2</v>
      </c>
      <c r="I12" s="19">
        <v>7</v>
      </c>
      <c r="J12" s="19"/>
      <c r="K12" s="19"/>
      <c r="L12" s="19"/>
      <c r="M12" s="19"/>
      <c r="N12" s="19" t="s">
        <v>132</v>
      </c>
      <c r="O12" s="19">
        <v>3</v>
      </c>
      <c r="P12" s="20">
        <v>4.95</v>
      </c>
      <c r="Q12" s="20"/>
      <c r="R12" s="21"/>
      <c r="S12" s="21">
        <v>0.66400000000000003</v>
      </c>
      <c r="T12" s="20">
        <v>6.15</v>
      </c>
      <c r="U12" s="22">
        <v>17</v>
      </c>
      <c r="V12" s="22">
        <v>26</v>
      </c>
      <c r="W12" s="22">
        <v>18</v>
      </c>
      <c r="X12" s="22">
        <v>210</v>
      </c>
      <c r="Y12" s="22">
        <v>1</v>
      </c>
      <c r="Z12" s="22">
        <v>1</v>
      </c>
      <c r="AA12" s="22">
        <v>5</v>
      </c>
      <c r="AB12" s="22">
        <v>15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3</v>
      </c>
      <c r="AJ12" s="24" t="str">
        <f t="shared" si="1"/>
        <v/>
      </c>
      <c r="AK12" s="25" t="str">
        <f t="shared" si="2"/>
        <v/>
      </c>
      <c r="AL12" s="24">
        <f t="shared" si="3"/>
        <v>8.0769230769230766</v>
      </c>
      <c r="AM12" s="25">
        <f t="shared" si="4"/>
        <v>0.69230769230769229</v>
      </c>
      <c r="AN12" s="25">
        <f t="shared" si="5"/>
        <v>1.047998323202683E-2</v>
      </c>
      <c r="AO12" s="25">
        <f t="shared" si="6"/>
        <v>0</v>
      </c>
      <c r="AP12" s="25">
        <f t="shared" si="7"/>
        <v>4.340567612687813E-2</v>
      </c>
      <c r="AQ12" s="26">
        <f t="shared" si="8"/>
        <v>0.29411764705882354</v>
      </c>
      <c r="AR12" s="26">
        <f t="shared" si="9"/>
        <v>0</v>
      </c>
      <c r="AS12" s="27">
        <f t="shared" si="10"/>
        <v>0</v>
      </c>
      <c r="AT12" s="27">
        <f t="shared" si="11"/>
        <v>3</v>
      </c>
      <c r="AU12" s="28">
        <f>AF12*Settings!$B$7+AG12*Settings!$B$8+AE12*Settings!$B$9+AB12*Settings!$B$10+AC12*Settings!$B$11+X12*Settings!$B$12+Y12*Settings!$B$13+Z12*Settings!$B$14</f>
        <v>11.9</v>
      </c>
    </row>
    <row r="13" spans="1:47" x14ac:dyDescent="0.25">
      <c r="A13" s="15" t="s">
        <v>96</v>
      </c>
      <c r="B13" s="16" t="s">
        <v>266</v>
      </c>
      <c r="C13" s="17">
        <v>3</v>
      </c>
      <c r="D13" s="17" t="s">
        <v>267</v>
      </c>
      <c r="E13" s="18" t="s">
        <v>99</v>
      </c>
      <c r="F13" s="19">
        <v>2</v>
      </c>
      <c r="G13" s="19"/>
      <c r="H13" s="19"/>
      <c r="I13" s="19"/>
      <c r="J13" s="19"/>
      <c r="K13" s="19"/>
      <c r="L13" s="19"/>
      <c r="M13" s="19"/>
      <c r="N13" s="19"/>
      <c r="O13" s="19"/>
      <c r="P13" s="20">
        <v>0.5</v>
      </c>
      <c r="Q13" s="20"/>
      <c r="R13" s="21"/>
      <c r="S13" s="21">
        <v>0.64200000000000002</v>
      </c>
      <c r="T13" s="20">
        <v>5.49</v>
      </c>
      <c r="U13" s="22">
        <v>17</v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33"/>
      <c r="AI13" s="24" t="str">
        <f t="shared" si="0"/>
        <v/>
      </c>
      <c r="AJ13" s="24" t="str">
        <f t="shared" si="1"/>
        <v/>
      </c>
      <c r="AK13" s="25" t="str">
        <f t="shared" si="2"/>
        <v/>
      </c>
      <c r="AL13" s="24" t="str">
        <f t="shared" si="3"/>
        <v/>
      </c>
      <c r="AM13" s="25" t="str">
        <f t="shared" si="4"/>
        <v/>
      </c>
      <c r="AN13" s="25">
        <f t="shared" si="5"/>
        <v>0</v>
      </c>
      <c r="AO13" s="25">
        <f t="shared" si="6"/>
        <v>0</v>
      </c>
      <c r="AP13" s="25">
        <f t="shared" si="7"/>
        <v>0</v>
      </c>
      <c r="AQ13" s="26">
        <f t="shared" si="8"/>
        <v>0</v>
      </c>
      <c r="AR13" s="26">
        <f t="shared" si="9"/>
        <v>0</v>
      </c>
      <c r="AS13" s="27">
        <f t="shared" si="10"/>
        <v>0</v>
      </c>
      <c r="AT13" s="27">
        <f t="shared" si="11"/>
        <v>0</v>
      </c>
      <c r="AU13" s="28">
        <f>AF13*Settings!$B$7+AG13*Settings!$B$8+AE13*Settings!$B$9+AB13*Settings!$B$10+AC13*Settings!$B$11+X13*Settings!$B$12+Y13*Settings!$B$13+Z13*Settings!$B$14</f>
        <v>0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268</v>
      </c>
      <c r="C15" s="17">
        <v>1</v>
      </c>
      <c r="D15" s="17" t="s">
        <v>158</v>
      </c>
      <c r="E15" s="18" t="s">
        <v>99</v>
      </c>
      <c r="F15" s="19">
        <v>229</v>
      </c>
      <c r="G15" s="19">
        <v>253</v>
      </c>
      <c r="H15" s="19">
        <v>223</v>
      </c>
      <c r="I15" s="19">
        <v>1087</v>
      </c>
      <c r="J15" s="19">
        <v>49</v>
      </c>
      <c r="K15" s="19">
        <v>52</v>
      </c>
      <c r="L15" s="19">
        <v>48</v>
      </c>
      <c r="M15" s="19">
        <v>299</v>
      </c>
      <c r="N15" s="19" t="s">
        <v>132</v>
      </c>
      <c r="O15" s="19">
        <v>16</v>
      </c>
      <c r="P15" s="20">
        <v>4.3899999999999997</v>
      </c>
      <c r="Q15" s="20">
        <v>7.82</v>
      </c>
      <c r="R15" s="21">
        <v>0.77200000000000002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217</v>
      </c>
      <c r="AB15" s="22">
        <v>979</v>
      </c>
      <c r="AC15" s="22">
        <v>8</v>
      </c>
      <c r="AD15" s="22">
        <v>43</v>
      </c>
      <c r="AE15" s="22">
        <v>33</v>
      </c>
      <c r="AF15" s="22">
        <v>273</v>
      </c>
      <c r="AG15" s="22">
        <v>1</v>
      </c>
      <c r="AH15" s="23" t="s">
        <v>101</v>
      </c>
      <c r="AI15" s="24">
        <f t="shared" si="0"/>
        <v>4.5115207373271886</v>
      </c>
      <c r="AJ15" s="24">
        <f t="shared" si="1"/>
        <v>8.2727272727272734</v>
      </c>
      <c r="AK15" s="25">
        <f t="shared" si="2"/>
        <v>0.76744186046511631</v>
      </c>
      <c r="AL15" s="24" t="str">
        <f t="shared" si="3"/>
        <v/>
      </c>
      <c r="AM15" s="25" t="str">
        <f t="shared" si="4"/>
        <v/>
      </c>
      <c r="AN15" s="25">
        <f t="shared" si="5"/>
        <v>0.45483127226996445</v>
      </c>
      <c r="AO15" s="25">
        <f t="shared" si="6"/>
        <v>7.5306479859894915E-2</v>
      </c>
      <c r="AP15" s="25">
        <f t="shared" si="7"/>
        <v>0</v>
      </c>
      <c r="AQ15" s="26">
        <f t="shared" si="8"/>
        <v>12.764705882352942</v>
      </c>
      <c r="AR15" s="26">
        <f t="shared" si="9"/>
        <v>2.5294117647058822</v>
      </c>
      <c r="AS15" s="27">
        <f t="shared" si="10"/>
        <v>-5</v>
      </c>
      <c r="AT15" s="27">
        <f t="shared" si="11"/>
        <v>-6</v>
      </c>
      <c r="AU15" s="28">
        <f>AF15*Settings!$B$7+AG15*Settings!$B$8+AE15*Settings!$B$9+AB15*Settings!$B$10+AC15*Settings!$B$11+X15*Settings!$B$12+Y15*Settings!$B$13+Z15*Settings!$B$14</f>
        <v>195.7</v>
      </c>
    </row>
    <row r="16" spans="1:47" x14ac:dyDescent="0.25">
      <c r="A16" s="15" t="s">
        <v>107</v>
      </c>
      <c r="B16" s="16" t="s">
        <v>269</v>
      </c>
      <c r="C16" s="17">
        <v>2</v>
      </c>
      <c r="D16" s="17" t="s">
        <v>118</v>
      </c>
      <c r="E16" s="18" t="s">
        <v>99</v>
      </c>
      <c r="F16" s="19"/>
      <c r="G16" s="19"/>
      <c r="H16" s="19">
        <v>169</v>
      </c>
      <c r="I16" s="19">
        <v>783</v>
      </c>
      <c r="J16" s="19"/>
      <c r="K16" s="19"/>
      <c r="L16" s="19">
        <v>30</v>
      </c>
      <c r="M16" s="19">
        <v>164</v>
      </c>
      <c r="N16" s="19" t="s">
        <v>132</v>
      </c>
      <c r="O16" s="19">
        <v>17</v>
      </c>
      <c r="P16" s="20">
        <v>4.63</v>
      </c>
      <c r="Q16" s="20">
        <v>9.11</v>
      </c>
      <c r="R16" s="21">
        <v>0.6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177</v>
      </c>
      <c r="AB16" s="22">
        <v>761</v>
      </c>
      <c r="AC16" s="22">
        <v>5</v>
      </c>
      <c r="AD16" s="22">
        <v>32</v>
      </c>
      <c r="AE16" s="22">
        <v>22</v>
      </c>
      <c r="AF16" s="22">
        <v>175</v>
      </c>
      <c r="AG16" s="22">
        <v>1</v>
      </c>
      <c r="AH16" s="23" t="s">
        <v>101</v>
      </c>
      <c r="AI16" s="24">
        <f t="shared" si="0"/>
        <v>4.2994350282485874</v>
      </c>
      <c r="AJ16" s="24">
        <f t="shared" si="1"/>
        <v>7.9545454545454541</v>
      </c>
      <c r="AK16" s="25">
        <f t="shared" si="2"/>
        <v>0.6875</v>
      </c>
      <c r="AL16" s="24" t="str">
        <f t="shared" si="3"/>
        <v/>
      </c>
      <c r="AM16" s="25" t="str">
        <f t="shared" si="4"/>
        <v/>
      </c>
      <c r="AN16" s="25">
        <f t="shared" si="5"/>
        <v>0.37099140641374984</v>
      </c>
      <c r="AO16" s="25">
        <f t="shared" si="6"/>
        <v>5.6042031523642732E-2</v>
      </c>
      <c r="AP16" s="25">
        <f t="shared" si="7"/>
        <v>0</v>
      </c>
      <c r="AQ16" s="26">
        <f t="shared" si="8"/>
        <v>10.411764705882353</v>
      </c>
      <c r="AR16" s="26">
        <f t="shared" si="9"/>
        <v>1.8823529411764706</v>
      </c>
      <c r="AS16" s="27">
        <f t="shared" si="10"/>
        <v>2</v>
      </c>
      <c r="AT16" s="27">
        <f t="shared" si="11"/>
        <v>8</v>
      </c>
      <c r="AU16" s="28">
        <f>AF16*Settings!$B$7+AG16*Settings!$B$8+AE16*Settings!$B$9+AB16*Settings!$B$10+AC16*Settings!$B$11+X16*Settings!$B$12+Y16*Settings!$B$13+Z16*Settings!$B$14</f>
        <v>140.60000000000002</v>
      </c>
    </row>
    <row r="17" spans="1:47" x14ac:dyDescent="0.25">
      <c r="A17" s="15" t="s">
        <v>107</v>
      </c>
      <c r="B17" s="16" t="s">
        <v>270</v>
      </c>
      <c r="C17" s="17">
        <v>3</v>
      </c>
      <c r="D17" s="17" t="s">
        <v>105</v>
      </c>
      <c r="E17" s="18" t="s">
        <v>99</v>
      </c>
      <c r="F17" s="19">
        <v>81</v>
      </c>
      <c r="G17" s="19">
        <v>55</v>
      </c>
      <c r="H17" s="19">
        <v>2</v>
      </c>
      <c r="I17" s="19">
        <v>17</v>
      </c>
      <c r="J17" s="19">
        <v>40</v>
      </c>
      <c r="K17" s="19">
        <v>20</v>
      </c>
      <c r="L17" s="19"/>
      <c r="M17" s="19"/>
      <c r="N17" s="19" t="s">
        <v>132</v>
      </c>
      <c r="O17" s="19">
        <v>7</v>
      </c>
      <c r="P17" s="20">
        <v>3.76</v>
      </c>
      <c r="Q17" s="20">
        <v>6.26</v>
      </c>
      <c r="R17" s="21">
        <v>0.83299999999999996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18</v>
      </c>
      <c r="AB17" s="22">
        <v>78</v>
      </c>
      <c r="AC17" s="22">
        <v>1</v>
      </c>
      <c r="AD17" s="22">
        <v>3</v>
      </c>
      <c r="AE17" s="22">
        <v>3</v>
      </c>
      <c r="AF17" s="22">
        <v>19</v>
      </c>
      <c r="AG17" s="22">
        <v>0</v>
      </c>
      <c r="AH17" s="23" t="s">
        <v>101</v>
      </c>
      <c r="AI17" s="24">
        <f t="shared" si="0"/>
        <v>4.333333333333333</v>
      </c>
      <c r="AJ17" s="24">
        <f t="shared" si="1"/>
        <v>6.333333333333333</v>
      </c>
      <c r="AK17" s="25">
        <f t="shared" si="2"/>
        <v>1</v>
      </c>
      <c r="AL17" s="24" t="str">
        <f t="shared" si="3"/>
        <v/>
      </c>
      <c r="AM17" s="25" t="str">
        <f t="shared" si="4"/>
        <v/>
      </c>
      <c r="AN17" s="25">
        <f t="shared" si="5"/>
        <v>3.7727939635296588E-2</v>
      </c>
      <c r="AO17" s="25">
        <f t="shared" si="6"/>
        <v>5.2539404553415062E-3</v>
      </c>
      <c r="AP17" s="25">
        <f t="shared" si="7"/>
        <v>0</v>
      </c>
      <c r="AQ17" s="26">
        <f t="shared" si="8"/>
        <v>1.0588235294117647</v>
      </c>
      <c r="AR17" s="26">
        <f t="shared" si="9"/>
        <v>0.17647058823529413</v>
      </c>
      <c r="AS17" s="27">
        <f t="shared" si="10"/>
        <v>3</v>
      </c>
      <c r="AT17" s="27">
        <f t="shared" si="11"/>
        <v>16</v>
      </c>
      <c r="AU17" s="28">
        <f>AF17*Settings!$B$7+AG17*Settings!$B$8+AE17*Settings!$B$9+AB17*Settings!$B$10+AC17*Settings!$B$11+X17*Settings!$B$12+Y17*Settings!$B$13+Z17*Settings!$B$14</f>
        <v>17.200000000000003</v>
      </c>
    </row>
    <row r="18" spans="1:47" x14ac:dyDescent="0.25">
      <c r="A18" s="15" t="s">
        <v>107</v>
      </c>
      <c r="B18" s="16" t="s">
        <v>271</v>
      </c>
      <c r="C18" s="17">
        <v>4</v>
      </c>
      <c r="D18" s="17" t="s">
        <v>130</v>
      </c>
      <c r="E18" s="18" t="s">
        <v>99</v>
      </c>
      <c r="F18" s="19"/>
      <c r="G18" s="19"/>
      <c r="H18" s="19">
        <v>5</v>
      </c>
      <c r="I18" s="19">
        <v>37</v>
      </c>
      <c r="J18" s="19"/>
      <c r="K18" s="19"/>
      <c r="L18" s="19">
        <v>1</v>
      </c>
      <c r="M18" s="19"/>
      <c r="N18" s="19" t="s">
        <v>132</v>
      </c>
      <c r="O18" s="19">
        <v>3</v>
      </c>
      <c r="P18" s="20">
        <v>7.4</v>
      </c>
      <c r="Q18" s="20"/>
      <c r="R18" s="21"/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8</v>
      </c>
      <c r="AB18" s="22">
        <v>54</v>
      </c>
      <c r="AC18" s="22">
        <v>2</v>
      </c>
      <c r="AD18" s="22">
        <v>0</v>
      </c>
      <c r="AE18" s="22">
        <v>0</v>
      </c>
      <c r="AF18" s="22">
        <v>0</v>
      </c>
      <c r="AG18" s="22">
        <v>0</v>
      </c>
      <c r="AH18" s="23" t="s">
        <v>101</v>
      </c>
      <c r="AI18" s="24">
        <f t="shared" si="0"/>
        <v>6.75</v>
      </c>
      <c r="AJ18" s="24" t="str">
        <f t="shared" si="1"/>
        <v/>
      </c>
      <c r="AK18" s="25" t="str">
        <f t="shared" si="2"/>
        <v/>
      </c>
      <c r="AL18" s="24" t="str">
        <f t="shared" si="3"/>
        <v/>
      </c>
      <c r="AM18" s="25" t="str">
        <f t="shared" si="4"/>
        <v/>
      </c>
      <c r="AN18" s="25">
        <f t="shared" si="5"/>
        <v>1.6767973171242928E-2</v>
      </c>
      <c r="AO18" s="25">
        <f t="shared" si="6"/>
        <v>0</v>
      </c>
      <c r="AP18" s="25">
        <f t="shared" si="7"/>
        <v>0</v>
      </c>
      <c r="AQ18" s="26">
        <f t="shared" si="8"/>
        <v>0.47058823529411764</v>
      </c>
      <c r="AR18" s="26">
        <f t="shared" si="9"/>
        <v>0</v>
      </c>
      <c r="AS18" s="27">
        <f t="shared" si="10"/>
        <v>-1</v>
      </c>
      <c r="AT18" s="27">
        <f t="shared" si="11"/>
        <v>3</v>
      </c>
      <c r="AU18" s="28">
        <f>AF18*Settings!$B$7+AG18*Settings!$B$8+AE18*Settings!$B$9+AB18*Settings!$B$10+AC18*Settings!$B$11+X18*Settings!$B$12+Y18*Settings!$B$13+Z18*Settings!$B$14</f>
        <v>17.399999999999999</v>
      </c>
    </row>
    <row r="19" spans="1:47" x14ac:dyDescent="0.25">
      <c r="A19" s="15" t="s">
        <v>107</v>
      </c>
      <c r="B19" s="16" t="s">
        <v>272</v>
      </c>
      <c r="C19" s="17">
        <v>5</v>
      </c>
      <c r="D19" s="17" t="s">
        <v>158</v>
      </c>
      <c r="E19" s="18" t="s">
        <v>99</v>
      </c>
      <c r="F19" s="19">
        <v>22</v>
      </c>
      <c r="G19" s="19"/>
      <c r="H19" s="19"/>
      <c r="I19" s="19"/>
      <c r="J19" s="19">
        <v>23</v>
      </c>
      <c r="K19" s="19"/>
      <c r="L19" s="19"/>
      <c r="M19" s="19"/>
      <c r="N19" s="19"/>
      <c r="O19" s="19"/>
      <c r="P19" s="20">
        <v>2.77</v>
      </c>
      <c r="Q19" s="20">
        <v>5.5</v>
      </c>
      <c r="R19" s="21">
        <v>0.69599999999999995</v>
      </c>
      <c r="S19" s="21"/>
      <c r="T19" s="20"/>
      <c r="U19" s="22">
        <v>17</v>
      </c>
      <c r="V19" s="22"/>
      <c r="W19" s="22"/>
      <c r="X19" s="22"/>
      <c r="Y19" s="22"/>
      <c r="Z19" s="22"/>
      <c r="AA19" s="22">
        <v>18</v>
      </c>
      <c r="AB19" s="22">
        <v>76</v>
      </c>
      <c r="AC19" s="22">
        <v>0</v>
      </c>
      <c r="AD19" s="22">
        <v>1</v>
      </c>
      <c r="AE19" s="22">
        <v>0</v>
      </c>
      <c r="AF19" s="22">
        <v>6</v>
      </c>
      <c r="AG19" s="22">
        <v>0</v>
      </c>
      <c r="AH19" s="23" t="s">
        <v>101</v>
      </c>
      <c r="AI19" s="24">
        <f t="shared" si="0"/>
        <v>4.2222222222222223</v>
      </c>
      <c r="AJ19" s="24" t="str">
        <f t="shared" si="1"/>
        <v/>
      </c>
      <c r="AK19" s="25">
        <f t="shared" si="2"/>
        <v>0</v>
      </c>
      <c r="AL19" s="24" t="str">
        <f t="shared" si="3"/>
        <v/>
      </c>
      <c r="AM19" s="25" t="str">
        <f t="shared" si="4"/>
        <v/>
      </c>
      <c r="AN19" s="25">
        <f t="shared" si="5"/>
        <v>3.7727939635296588E-2</v>
      </c>
      <c r="AO19" s="25">
        <f t="shared" si="6"/>
        <v>1.7513134851138354E-3</v>
      </c>
      <c r="AP19" s="25">
        <f t="shared" si="7"/>
        <v>0</v>
      </c>
      <c r="AQ19" s="26">
        <f t="shared" si="8"/>
        <v>1.0588235294117647</v>
      </c>
      <c r="AR19" s="26">
        <f t="shared" si="9"/>
        <v>5.8823529411764705E-2</v>
      </c>
      <c r="AS19" s="27">
        <f t="shared" si="10"/>
        <v>1</v>
      </c>
      <c r="AT19" s="27">
        <f t="shared" si="11"/>
        <v>18</v>
      </c>
      <c r="AU19" s="28">
        <f>AF19*Settings!$B$7+AG19*Settings!$B$8+AE19*Settings!$B$9+AB19*Settings!$B$10+AC19*Settings!$B$11+X19*Settings!$B$12+Y19*Settings!$B$13+Z19*Settings!$B$14</f>
        <v>8.2000000000000011</v>
      </c>
    </row>
    <row r="20" spans="1:47" x14ac:dyDescent="0.25">
      <c r="A20" s="15" t="s">
        <v>107</v>
      </c>
      <c r="B20" s="16" t="s">
        <v>273</v>
      </c>
      <c r="C20" s="17">
        <v>6</v>
      </c>
      <c r="D20" s="17"/>
      <c r="E20" s="18" t="s">
        <v>99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1"/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274</v>
      </c>
      <c r="C22" s="17">
        <v>1</v>
      </c>
      <c r="D22" s="17" t="s">
        <v>118</v>
      </c>
      <c r="E22" s="18" t="s">
        <v>99</v>
      </c>
      <c r="F22" s="19"/>
      <c r="G22" s="19">
        <v>3</v>
      </c>
      <c r="H22" s="19"/>
      <c r="I22" s="19"/>
      <c r="J22" s="19"/>
      <c r="K22" s="19">
        <v>101</v>
      </c>
      <c r="L22" s="19">
        <v>90</v>
      </c>
      <c r="M22" s="19">
        <v>661</v>
      </c>
      <c r="N22" s="19" t="s">
        <v>132</v>
      </c>
      <c r="O22" s="19">
        <v>12</v>
      </c>
      <c r="P22" s="20">
        <v>5</v>
      </c>
      <c r="Q22" s="20">
        <v>14.23</v>
      </c>
      <c r="R22" s="21">
        <v>0.51300000000000001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1</v>
      </c>
      <c r="AB22" s="22">
        <v>3</v>
      </c>
      <c r="AC22" s="22">
        <v>0</v>
      </c>
      <c r="AD22" s="22">
        <v>118</v>
      </c>
      <c r="AE22" s="22">
        <v>61</v>
      </c>
      <c r="AF22" s="22">
        <v>915</v>
      </c>
      <c r="AG22" s="22">
        <v>8</v>
      </c>
      <c r="AH22" s="23" t="s">
        <v>101</v>
      </c>
      <c r="AI22" s="24">
        <f t="shared" si="0"/>
        <v>3</v>
      </c>
      <c r="AJ22" s="24">
        <f t="shared" si="1"/>
        <v>15</v>
      </c>
      <c r="AK22" s="25">
        <f t="shared" si="2"/>
        <v>0.51694915254237284</v>
      </c>
      <c r="AL22" s="24" t="str">
        <f t="shared" si="3"/>
        <v/>
      </c>
      <c r="AM22" s="25" t="str">
        <f t="shared" si="4"/>
        <v/>
      </c>
      <c r="AN22" s="25">
        <f t="shared" si="5"/>
        <v>2.095996646405366E-3</v>
      </c>
      <c r="AO22" s="25">
        <f t="shared" si="6"/>
        <v>0.20665499124343256</v>
      </c>
      <c r="AP22" s="25">
        <f t="shared" si="7"/>
        <v>0</v>
      </c>
      <c r="AQ22" s="26">
        <f t="shared" si="8"/>
        <v>5.8823529411764705E-2</v>
      </c>
      <c r="AR22" s="26">
        <f t="shared" si="9"/>
        <v>6.9411764705882355</v>
      </c>
      <c r="AS22" s="27">
        <f t="shared" si="10"/>
        <v>28</v>
      </c>
      <c r="AT22" s="27">
        <f t="shared" si="11"/>
        <v>1</v>
      </c>
      <c r="AU22" s="28">
        <f>AF22*Settings!$B$7+AG22*Settings!$B$8+AE22*Settings!$B$9+AB22*Settings!$B$10+AC22*Settings!$B$11+X22*Settings!$B$12+Y22*Settings!$B$13+Z22*Settings!$B$14</f>
        <v>170.3</v>
      </c>
    </row>
    <row r="23" spans="1:47" x14ac:dyDescent="0.25">
      <c r="A23" s="15" t="s">
        <v>121</v>
      </c>
      <c r="B23" s="16" t="s">
        <v>275</v>
      </c>
      <c r="C23" s="17">
        <v>2</v>
      </c>
      <c r="D23" s="17" t="s">
        <v>128</v>
      </c>
      <c r="E23" s="18" t="s">
        <v>99</v>
      </c>
      <c r="F23" s="19"/>
      <c r="G23" s="19"/>
      <c r="H23" s="19">
        <v>6</v>
      </c>
      <c r="I23" s="19">
        <v>37</v>
      </c>
      <c r="J23" s="19"/>
      <c r="K23" s="19"/>
      <c r="L23" s="19">
        <v>60</v>
      </c>
      <c r="M23" s="19">
        <v>652</v>
      </c>
      <c r="N23" s="19" t="s">
        <v>132</v>
      </c>
      <c r="O23" s="19">
        <v>15</v>
      </c>
      <c r="P23" s="20">
        <v>6.17</v>
      </c>
      <c r="Q23" s="20">
        <v>13.87</v>
      </c>
      <c r="R23" s="21">
        <v>0.78300000000000003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9</v>
      </c>
      <c r="AB23" s="22">
        <v>47</v>
      </c>
      <c r="AC23" s="22">
        <v>0</v>
      </c>
      <c r="AD23" s="22">
        <v>109</v>
      </c>
      <c r="AE23" s="22">
        <v>74</v>
      </c>
      <c r="AF23" s="22">
        <v>968</v>
      </c>
      <c r="AG23" s="22">
        <v>6</v>
      </c>
      <c r="AH23" s="23" t="s">
        <v>101</v>
      </c>
      <c r="AI23" s="24">
        <f t="shared" si="0"/>
        <v>5.2222222222222223</v>
      </c>
      <c r="AJ23" s="24">
        <f t="shared" si="1"/>
        <v>13.081081081081081</v>
      </c>
      <c r="AK23" s="25">
        <f t="shared" si="2"/>
        <v>0.67889908256880738</v>
      </c>
      <c r="AL23" s="24" t="str">
        <f t="shared" si="3"/>
        <v/>
      </c>
      <c r="AM23" s="25" t="str">
        <f t="shared" si="4"/>
        <v/>
      </c>
      <c r="AN23" s="25">
        <f t="shared" si="5"/>
        <v>1.8863969817648294E-2</v>
      </c>
      <c r="AO23" s="25">
        <f t="shared" si="6"/>
        <v>0.19089316987740806</v>
      </c>
      <c r="AP23" s="25">
        <f t="shared" si="7"/>
        <v>0</v>
      </c>
      <c r="AQ23" s="26">
        <f t="shared" si="8"/>
        <v>0.52941176470588236</v>
      </c>
      <c r="AR23" s="26">
        <f t="shared" si="9"/>
        <v>6.4117647058823533</v>
      </c>
      <c r="AS23" s="27">
        <f t="shared" si="10"/>
        <v>49</v>
      </c>
      <c r="AT23" s="27">
        <f t="shared" si="11"/>
        <v>3</v>
      </c>
      <c r="AU23" s="28">
        <f>AF23*Settings!$B$7+AG23*Settings!$B$8+AE23*Settings!$B$9+AB23*Settings!$B$10+AC23*Settings!$B$11+X23*Settings!$B$12+Y23*Settings!$B$13+Z23*Settings!$B$14</f>
        <v>174.5</v>
      </c>
    </row>
    <row r="24" spans="1:47" x14ac:dyDescent="0.25">
      <c r="A24" s="15" t="s">
        <v>121</v>
      </c>
      <c r="B24" s="16" t="s">
        <v>276</v>
      </c>
      <c r="C24" s="17">
        <v>3</v>
      </c>
      <c r="D24" s="17" t="s">
        <v>118</v>
      </c>
      <c r="E24" s="18" t="s">
        <v>99</v>
      </c>
      <c r="F24" s="19"/>
      <c r="G24" s="19"/>
      <c r="H24" s="19"/>
      <c r="I24" s="19"/>
      <c r="J24" s="19"/>
      <c r="K24" s="19"/>
      <c r="L24" s="19">
        <v>10</v>
      </c>
      <c r="M24" s="19">
        <v>87</v>
      </c>
      <c r="N24" s="19" t="s">
        <v>132</v>
      </c>
      <c r="O24" s="19">
        <v>9</v>
      </c>
      <c r="P24" s="20"/>
      <c r="Q24" s="20">
        <v>14.5</v>
      </c>
      <c r="R24" s="21">
        <v>0.6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1</v>
      </c>
      <c r="AC24" s="22">
        <v>0</v>
      </c>
      <c r="AD24" s="22">
        <v>19</v>
      </c>
      <c r="AE24" s="22">
        <v>12</v>
      </c>
      <c r="AF24" s="22">
        <v>156</v>
      </c>
      <c r="AG24" s="22">
        <v>2</v>
      </c>
      <c r="AH24" s="23" t="s">
        <v>101</v>
      </c>
      <c r="AI24" s="24" t="str">
        <f t="shared" si="0"/>
        <v/>
      </c>
      <c r="AJ24" s="24">
        <f t="shared" si="1"/>
        <v>13</v>
      </c>
      <c r="AK24" s="25">
        <f t="shared" si="2"/>
        <v>0.63157894736842102</v>
      </c>
      <c r="AL24" s="24" t="str">
        <f t="shared" si="3"/>
        <v/>
      </c>
      <c r="AM24" s="25" t="str">
        <f t="shared" si="4"/>
        <v/>
      </c>
      <c r="AN24" s="25">
        <f t="shared" si="5"/>
        <v>0</v>
      </c>
      <c r="AO24" s="25">
        <f t="shared" si="6"/>
        <v>3.3274956217162872E-2</v>
      </c>
      <c r="AP24" s="25">
        <f t="shared" si="7"/>
        <v>0</v>
      </c>
      <c r="AQ24" s="26">
        <f t="shared" si="8"/>
        <v>0</v>
      </c>
      <c r="AR24" s="26">
        <f t="shared" si="9"/>
        <v>1.1176470588235294</v>
      </c>
      <c r="AS24" s="27">
        <f t="shared" si="10"/>
        <v>9</v>
      </c>
      <c r="AT24" s="27">
        <f t="shared" si="11"/>
        <v>0</v>
      </c>
      <c r="AU24" s="28">
        <f>AF24*Settings!$B$7+AG24*Settings!$B$8+AE24*Settings!$B$9+AB24*Settings!$B$10+AC24*Settings!$B$11+X24*Settings!$B$12+Y24*Settings!$B$13+Z24*Settings!$B$14</f>
        <v>33.700000000000003</v>
      </c>
    </row>
    <row r="25" spans="1:47" x14ac:dyDescent="0.25">
      <c r="A25" s="15" t="s">
        <v>121</v>
      </c>
      <c r="B25" s="16" t="s">
        <v>277</v>
      </c>
      <c r="C25" s="17">
        <v>4</v>
      </c>
      <c r="D25" s="17" t="s">
        <v>114</v>
      </c>
      <c r="E25" s="18" t="s">
        <v>99</v>
      </c>
      <c r="F25" s="19">
        <v>7</v>
      </c>
      <c r="G25" s="19">
        <v>2</v>
      </c>
      <c r="H25" s="19">
        <v>2</v>
      </c>
      <c r="I25" s="19">
        <v>19</v>
      </c>
      <c r="J25" s="19">
        <v>44</v>
      </c>
      <c r="K25" s="19">
        <v>22</v>
      </c>
      <c r="L25" s="19">
        <v>30</v>
      </c>
      <c r="M25" s="19">
        <v>289</v>
      </c>
      <c r="N25" s="19" t="s">
        <v>213</v>
      </c>
      <c r="O25" s="19">
        <v>15</v>
      </c>
      <c r="P25" s="20">
        <v>8.5500000000000007</v>
      </c>
      <c r="Q25" s="20">
        <v>13.07</v>
      </c>
      <c r="R25" s="21">
        <v>0.79200000000000004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2</v>
      </c>
      <c r="AB25" s="22">
        <v>14</v>
      </c>
      <c r="AC25" s="22">
        <v>0</v>
      </c>
      <c r="AD25" s="22">
        <v>25</v>
      </c>
      <c r="AE25" s="22">
        <v>20</v>
      </c>
      <c r="AF25" s="22">
        <v>228</v>
      </c>
      <c r="AG25" s="22">
        <v>1</v>
      </c>
      <c r="AH25" s="23" t="s">
        <v>101</v>
      </c>
      <c r="AI25" s="24">
        <f t="shared" si="0"/>
        <v>7</v>
      </c>
      <c r="AJ25" s="24">
        <f t="shared" si="1"/>
        <v>11.4</v>
      </c>
      <c r="AK25" s="25">
        <f t="shared" si="2"/>
        <v>0.8</v>
      </c>
      <c r="AL25" s="24" t="str">
        <f t="shared" si="3"/>
        <v/>
      </c>
      <c r="AM25" s="25" t="str">
        <f t="shared" si="4"/>
        <v/>
      </c>
      <c r="AN25" s="25">
        <f t="shared" si="5"/>
        <v>4.191993292810732E-3</v>
      </c>
      <c r="AO25" s="25">
        <f t="shared" si="6"/>
        <v>4.3782837127845885E-2</v>
      </c>
      <c r="AP25" s="25">
        <f t="shared" si="7"/>
        <v>0</v>
      </c>
      <c r="AQ25" s="26">
        <f t="shared" si="8"/>
        <v>0.11764705882352941</v>
      </c>
      <c r="AR25" s="26">
        <f t="shared" si="9"/>
        <v>1.4705882352941178</v>
      </c>
      <c r="AS25" s="27">
        <f t="shared" si="10"/>
        <v>-5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40.199999999999996</v>
      </c>
    </row>
    <row r="26" spans="1:47" x14ac:dyDescent="0.25">
      <c r="A26" s="15" t="s">
        <v>121</v>
      </c>
      <c r="B26" s="16" t="s">
        <v>278</v>
      </c>
      <c r="C26" s="17">
        <v>5</v>
      </c>
      <c r="D26" s="17" t="s">
        <v>168</v>
      </c>
      <c r="E26" s="18" t="s">
        <v>99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  <c r="R26" s="21"/>
      <c r="S26" s="21"/>
      <c r="T26" s="20"/>
      <c r="U26" s="22">
        <v>17</v>
      </c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33"/>
      <c r="AI26" s="24" t="str">
        <f t="shared" si="0"/>
        <v/>
      </c>
      <c r="AJ26" s="24" t="str">
        <f t="shared" si="1"/>
        <v/>
      </c>
      <c r="AK26" s="25" t="str">
        <f t="shared" si="2"/>
        <v/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0</v>
      </c>
      <c r="AP26" s="25">
        <f t="shared" si="7"/>
        <v>0</v>
      </c>
      <c r="AQ26" s="26">
        <f t="shared" si="8"/>
        <v>0</v>
      </c>
      <c r="AR26" s="26">
        <f t="shared" si="9"/>
        <v>0</v>
      </c>
      <c r="AS26" s="27">
        <f t="shared" si="10"/>
        <v>0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0</v>
      </c>
    </row>
    <row r="27" spans="1:47" x14ac:dyDescent="0.25">
      <c r="A27" s="15" t="s">
        <v>121</v>
      </c>
      <c r="B27" s="16" t="s">
        <v>279</v>
      </c>
      <c r="C27" s="17">
        <v>6</v>
      </c>
      <c r="D27" s="17" t="s">
        <v>128</v>
      </c>
      <c r="E27" s="18" t="s">
        <v>99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20"/>
      <c r="R27" s="21"/>
      <c r="S27" s="21"/>
      <c r="T27" s="20"/>
      <c r="U27" s="22">
        <v>17</v>
      </c>
      <c r="V27" s="22"/>
      <c r="W27" s="22"/>
      <c r="X27" s="22"/>
      <c r="Y27" s="22"/>
      <c r="Z27" s="22"/>
      <c r="AA27" s="22">
        <v>2</v>
      </c>
      <c r="AB27" s="22">
        <v>17</v>
      </c>
      <c r="AC27" s="22">
        <v>0</v>
      </c>
      <c r="AD27" s="22">
        <v>28</v>
      </c>
      <c r="AE27" s="22">
        <v>17</v>
      </c>
      <c r="AF27" s="22">
        <v>205</v>
      </c>
      <c r="AG27" s="22">
        <v>1</v>
      </c>
      <c r="AH27" s="23" t="s">
        <v>101</v>
      </c>
      <c r="AI27" s="24">
        <f t="shared" si="0"/>
        <v>8.5</v>
      </c>
      <c r="AJ27" s="24">
        <f t="shared" si="1"/>
        <v>12.058823529411764</v>
      </c>
      <c r="AK27" s="25">
        <f t="shared" si="2"/>
        <v>0.6071428571428571</v>
      </c>
      <c r="AL27" s="24" t="str">
        <f t="shared" si="3"/>
        <v/>
      </c>
      <c r="AM27" s="25" t="str">
        <f t="shared" si="4"/>
        <v/>
      </c>
      <c r="AN27" s="25">
        <f t="shared" si="5"/>
        <v>4.191993292810732E-3</v>
      </c>
      <c r="AO27" s="25">
        <f t="shared" si="6"/>
        <v>4.9036777583187391E-2</v>
      </c>
      <c r="AP27" s="25">
        <f t="shared" si="7"/>
        <v>0</v>
      </c>
      <c r="AQ27" s="26">
        <f t="shared" si="8"/>
        <v>0.11764705882352941</v>
      </c>
      <c r="AR27" s="26">
        <f t="shared" si="9"/>
        <v>1.6470588235294117</v>
      </c>
      <c r="AS27" s="27">
        <f t="shared" si="10"/>
        <v>28</v>
      </c>
      <c r="AT27" s="27">
        <f t="shared" si="11"/>
        <v>2</v>
      </c>
      <c r="AU27" s="28">
        <f>AF27*Settings!$B$7+AG27*Settings!$B$8+AE27*Settings!$B$9+AB27*Settings!$B$10+AC27*Settings!$B$11+X27*Settings!$B$12+Y27*Settings!$B$13+Z27*Settings!$B$14</f>
        <v>36.700000000000003</v>
      </c>
    </row>
    <row r="28" spans="1:47" x14ac:dyDescent="0.25">
      <c r="A28" s="15" t="s">
        <v>121</v>
      </c>
      <c r="B28" s="16" t="s">
        <v>280</v>
      </c>
      <c r="C28" s="17">
        <v>7</v>
      </c>
      <c r="D28" s="17" t="s">
        <v>118</v>
      </c>
      <c r="E28" s="18" t="s">
        <v>99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20"/>
      <c r="R28" s="21"/>
      <c r="S28" s="21"/>
      <c r="T28" s="20"/>
      <c r="U28" s="22">
        <v>17</v>
      </c>
      <c r="V28" s="22"/>
      <c r="W28" s="22"/>
      <c r="X28" s="22"/>
      <c r="Y28" s="22"/>
      <c r="Z28" s="22"/>
      <c r="AA28" s="22">
        <v>0</v>
      </c>
      <c r="AB28" s="22">
        <v>0</v>
      </c>
      <c r="AC28" s="22">
        <v>0</v>
      </c>
      <c r="AD28" s="22">
        <v>6</v>
      </c>
      <c r="AE28" s="22">
        <v>7</v>
      </c>
      <c r="AF28" s="22">
        <v>53</v>
      </c>
      <c r="AG28" s="22">
        <v>0</v>
      </c>
      <c r="AH28" s="23" t="s">
        <v>101</v>
      </c>
      <c r="AI28" s="24" t="str">
        <f t="shared" si="0"/>
        <v/>
      </c>
      <c r="AJ28" s="24">
        <f t="shared" si="1"/>
        <v>7.5714285714285712</v>
      </c>
      <c r="AK28" s="25">
        <f t="shared" si="2"/>
        <v>1.1666666666666667</v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1.0507880910683012E-2</v>
      </c>
      <c r="AP28" s="25">
        <f t="shared" si="7"/>
        <v>0</v>
      </c>
      <c r="AQ28" s="26">
        <f t="shared" si="8"/>
        <v>0</v>
      </c>
      <c r="AR28" s="26">
        <f t="shared" si="9"/>
        <v>0.35294117647058826</v>
      </c>
      <c r="AS28" s="27">
        <f t="shared" si="10"/>
        <v>6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8.8000000000000007</v>
      </c>
    </row>
    <row r="29" spans="1:47" x14ac:dyDescent="0.25">
      <c r="A29" s="15" t="s">
        <v>121</v>
      </c>
      <c r="B29" s="16" t="s">
        <v>281</v>
      </c>
      <c r="C29" s="17">
        <v>8</v>
      </c>
      <c r="D29" s="17" t="s">
        <v>111</v>
      </c>
      <c r="E29" s="18" t="s">
        <v>99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1"/>
      <c r="S29" s="21"/>
      <c r="T29" s="20"/>
      <c r="U29" s="22">
        <v>17</v>
      </c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33"/>
      <c r="AI29" s="24" t="str">
        <f t="shared" si="0"/>
        <v/>
      </c>
      <c r="AJ29" s="24" t="str">
        <f t="shared" si="1"/>
        <v/>
      </c>
      <c r="AK29" s="25" t="str">
        <f t="shared" si="2"/>
        <v/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0</v>
      </c>
      <c r="AP29" s="25">
        <f t="shared" si="7"/>
        <v>0</v>
      </c>
      <c r="AQ29" s="26">
        <f t="shared" si="8"/>
        <v>0</v>
      </c>
      <c r="AR29" s="26">
        <f t="shared" si="9"/>
        <v>0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0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282</v>
      </c>
      <c r="C31" s="17">
        <v>1</v>
      </c>
      <c r="D31" s="17" t="s">
        <v>128</v>
      </c>
      <c r="E31" s="18" t="s">
        <v>99</v>
      </c>
      <c r="F31" s="19"/>
      <c r="G31" s="19"/>
      <c r="H31" s="19">
        <v>1</v>
      </c>
      <c r="I31" s="19" t="s">
        <v>283</v>
      </c>
      <c r="J31" s="19"/>
      <c r="K31" s="19"/>
      <c r="L31" s="19">
        <v>82</v>
      </c>
      <c r="M31" s="19">
        <v>713</v>
      </c>
      <c r="N31" s="19" t="s">
        <v>132</v>
      </c>
      <c r="O31" s="19">
        <v>16</v>
      </c>
      <c r="P31" s="20">
        <v>-2</v>
      </c>
      <c r="Q31" s="20">
        <v>12.29</v>
      </c>
      <c r="R31" s="21">
        <v>0.70699999999999996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1</v>
      </c>
      <c r="AB31" s="22">
        <v>1</v>
      </c>
      <c r="AC31" s="22">
        <v>0</v>
      </c>
      <c r="AD31" s="22">
        <v>115</v>
      </c>
      <c r="AE31" s="22">
        <v>77</v>
      </c>
      <c r="AF31" s="22">
        <v>915</v>
      </c>
      <c r="AG31" s="22">
        <v>7</v>
      </c>
      <c r="AH31" s="23" t="s">
        <v>101</v>
      </c>
      <c r="AI31" s="24">
        <f t="shared" si="0"/>
        <v>1</v>
      </c>
      <c r="AJ31" s="24">
        <f t="shared" si="1"/>
        <v>11.883116883116884</v>
      </c>
      <c r="AK31" s="25">
        <f t="shared" si="2"/>
        <v>0.66956521739130437</v>
      </c>
      <c r="AL31" s="24" t="str">
        <f t="shared" si="3"/>
        <v/>
      </c>
      <c r="AM31" s="25" t="str">
        <f t="shared" si="4"/>
        <v/>
      </c>
      <c r="AN31" s="25">
        <f t="shared" si="5"/>
        <v>2.095996646405366E-3</v>
      </c>
      <c r="AO31" s="25">
        <f t="shared" si="6"/>
        <v>0.20140105078809106</v>
      </c>
      <c r="AP31" s="25">
        <f t="shared" si="7"/>
        <v>0</v>
      </c>
      <c r="AQ31" s="26">
        <f t="shared" si="8"/>
        <v>5.8823529411764705E-2</v>
      </c>
      <c r="AR31" s="26">
        <f t="shared" si="9"/>
        <v>6.7647058823529411</v>
      </c>
      <c r="AS31" s="27">
        <f t="shared" si="10"/>
        <v>33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172.1</v>
      </c>
    </row>
    <row r="32" spans="1:47" x14ac:dyDescent="0.25">
      <c r="A32" s="15" t="s">
        <v>135</v>
      </c>
      <c r="B32" s="16" t="s">
        <v>284</v>
      </c>
      <c r="C32" s="17">
        <v>2</v>
      </c>
      <c r="D32" s="17" t="s">
        <v>158</v>
      </c>
      <c r="E32" s="18" t="s">
        <v>99</v>
      </c>
      <c r="F32" s="19">
        <v>3</v>
      </c>
      <c r="G32" s="19"/>
      <c r="H32" s="19"/>
      <c r="I32" s="19"/>
      <c r="J32" s="19">
        <v>90</v>
      </c>
      <c r="K32" s="19">
        <v>55</v>
      </c>
      <c r="L32" s="19">
        <v>48</v>
      </c>
      <c r="M32" s="19">
        <v>347</v>
      </c>
      <c r="N32" s="19" t="s">
        <v>132</v>
      </c>
      <c r="O32" s="19">
        <v>16</v>
      </c>
      <c r="P32" s="20">
        <v>0.67</v>
      </c>
      <c r="Q32" s="20">
        <v>10.27</v>
      </c>
      <c r="R32" s="21">
        <v>0.77700000000000002</v>
      </c>
      <c r="S32" s="21"/>
      <c r="T32" s="20"/>
      <c r="U32" s="22">
        <v>17</v>
      </c>
      <c r="V32" s="22">
        <v>1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35</v>
      </c>
      <c r="AE32" s="22">
        <v>25</v>
      </c>
      <c r="AF32" s="22">
        <v>269</v>
      </c>
      <c r="AG32" s="22">
        <v>2</v>
      </c>
      <c r="AH32" s="23" t="s">
        <v>101</v>
      </c>
      <c r="AI32" s="24" t="str">
        <f t="shared" si="0"/>
        <v/>
      </c>
      <c r="AJ32" s="24">
        <f t="shared" si="1"/>
        <v>10.76</v>
      </c>
      <c r="AK32" s="25">
        <f t="shared" si="2"/>
        <v>0.7142857142857143</v>
      </c>
      <c r="AL32" s="24">
        <f t="shared" si="3"/>
        <v>0</v>
      </c>
      <c r="AM32" s="25">
        <f t="shared" si="4"/>
        <v>0</v>
      </c>
      <c r="AN32" s="25">
        <f t="shared" si="5"/>
        <v>0</v>
      </c>
      <c r="AO32" s="25">
        <f t="shared" si="6"/>
        <v>6.1295971978984239E-2</v>
      </c>
      <c r="AP32" s="25">
        <f t="shared" si="7"/>
        <v>1.6694490818030051E-3</v>
      </c>
      <c r="AQ32" s="26">
        <f t="shared" si="8"/>
        <v>0</v>
      </c>
      <c r="AR32" s="26">
        <f t="shared" si="9"/>
        <v>2.0588235294117645</v>
      </c>
      <c r="AS32" s="27">
        <f t="shared" si="10"/>
        <v>-13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51.400000000000006</v>
      </c>
    </row>
    <row r="33" spans="1:47" x14ac:dyDescent="0.25">
      <c r="A33" s="15" t="s">
        <v>135</v>
      </c>
      <c r="B33" s="16" t="s">
        <v>285</v>
      </c>
      <c r="C33" s="17">
        <v>3</v>
      </c>
      <c r="D33" s="17" t="s">
        <v>168</v>
      </c>
      <c r="E33" s="18" t="s">
        <v>99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0"/>
      <c r="Q33" s="20"/>
      <c r="R33" s="21"/>
      <c r="S33" s="21"/>
      <c r="T33" s="20"/>
      <c r="U33" s="22">
        <v>17</v>
      </c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33"/>
      <c r="AI33" s="24" t="str">
        <f t="shared" si="0"/>
        <v/>
      </c>
      <c r="AJ33" s="24" t="str">
        <f t="shared" si="1"/>
        <v/>
      </c>
      <c r="AK33" s="25" t="str">
        <f t="shared" si="2"/>
        <v/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0</v>
      </c>
      <c r="AP33" s="25">
        <f t="shared" si="7"/>
        <v>0</v>
      </c>
      <c r="AQ33" s="26">
        <f t="shared" si="8"/>
        <v>0</v>
      </c>
      <c r="AR33" s="26">
        <f t="shared" si="9"/>
        <v>0</v>
      </c>
      <c r="AS33" s="27">
        <f t="shared" si="10"/>
        <v>0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0</v>
      </c>
    </row>
    <row r="34" spans="1:47" x14ac:dyDescent="0.25">
      <c r="A34" s="15" t="s">
        <v>135</v>
      </c>
      <c r="B34" s="16" t="s">
        <v>286</v>
      </c>
      <c r="C34" s="17">
        <v>4</v>
      </c>
      <c r="D34" s="17" t="s">
        <v>128</v>
      </c>
      <c r="E34" s="18" t="s">
        <v>99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1"/>
      <c r="S34" s="21"/>
      <c r="T34" s="20"/>
      <c r="U34" s="22">
        <v>17</v>
      </c>
      <c r="V34" s="22"/>
      <c r="W34" s="22"/>
      <c r="X34" s="22"/>
      <c r="Y34" s="22"/>
      <c r="Z34" s="22"/>
      <c r="AA34" s="22">
        <v>0</v>
      </c>
      <c r="AB34" s="22">
        <v>0</v>
      </c>
      <c r="AC34" s="22">
        <v>0</v>
      </c>
      <c r="AD34" s="22">
        <v>12</v>
      </c>
      <c r="AE34" s="22">
        <v>9</v>
      </c>
      <c r="AF34" s="22">
        <v>89</v>
      </c>
      <c r="AG34" s="22">
        <v>1</v>
      </c>
      <c r="AH34" s="23" t="s">
        <v>101</v>
      </c>
      <c r="AI34" s="24" t="str">
        <f t="shared" si="0"/>
        <v/>
      </c>
      <c r="AJ34" s="24">
        <f t="shared" si="1"/>
        <v>9.8888888888888893</v>
      </c>
      <c r="AK34" s="25">
        <f t="shared" si="2"/>
        <v>0.75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2.1015761821366025E-2</v>
      </c>
      <c r="AP34" s="25">
        <f t="shared" si="7"/>
        <v>0</v>
      </c>
      <c r="AQ34" s="26">
        <f t="shared" si="8"/>
        <v>0</v>
      </c>
      <c r="AR34" s="26">
        <f t="shared" si="9"/>
        <v>0.70588235294117652</v>
      </c>
      <c r="AS34" s="27">
        <f t="shared" si="10"/>
        <v>12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19.399999999999999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573</v>
      </c>
      <c r="W37" s="34">
        <f t="shared" si="12"/>
        <v>348</v>
      </c>
      <c r="X37" s="34">
        <f t="shared" si="12"/>
        <v>4033</v>
      </c>
      <c r="Y37" s="34">
        <f t="shared" si="12"/>
        <v>28</v>
      </c>
      <c r="Z37" s="34">
        <f t="shared" si="12"/>
        <v>10</v>
      </c>
      <c r="AA37" s="34">
        <f t="shared" si="12"/>
        <v>534</v>
      </c>
      <c r="AB37" s="34">
        <f t="shared" si="12"/>
        <v>2442</v>
      </c>
      <c r="AC37" s="34">
        <f t="shared" si="12"/>
        <v>18</v>
      </c>
      <c r="AD37" s="34">
        <f t="shared" si="12"/>
        <v>548</v>
      </c>
      <c r="AE37" s="34">
        <f t="shared" si="12"/>
        <v>362</v>
      </c>
      <c r="AF37" s="34">
        <f t="shared" si="12"/>
        <v>4293</v>
      </c>
      <c r="AG37" s="34">
        <f t="shared" si="12"/>
        <v>31</v>
      </c>
    </row>
    <row r="38" spans="1:47" x14ac:dyDescent="0.25">
      <c r="A38" s="5" t="s">
        <v>142</v>
      </c>
      <c r="V38" s="35">
        <f>$F$5</f>
        <v>599</v>
      </c>
      <c r="X38" s="35">
        <f>$I$5</f>
        <v>3787</v>
      </c>
      <c r="Y38" s="35">
        <f>$J$5</f>
        <v>24</v>
      </c>
      <c r="Z38" s="35">
        <f>$K$5</f>
        <v>10</v>
      </c>
      <c r="AA38" s="35">
        <f>$H$5</f>
        <v>477.09999999999991</v>
      </c>
      <c r="AB38" s="35">
        <f>$L$5</f>
        <v>2132</v>
      </c>
      <c r="AC38" s="35">
        <f>$M$5</f>
        <v>16</v>
      </c>
      <c r="AD38" s="35">
        <f>$G$5</f>
        <v>571</v>
      </c>
      <c r="AF38" s="35">
        <f>$I$5</f>
        <v>3787</v>
      </c>
      <c r="AG38" s="35">
        <f>$J$5</f>
        <v>24</v>
      </c>
    </row>
    <row r="39" spans="1:47" x14ac:dyDescent="0.25">
      <c r="A39" s="5" t="s">
        <v>143</v>
      </c>
      <c r="V39" s="36">
        <f>$F$5-V37</f>
        <v>26</v>
      </c>
      <c r="X39" s="36">
        <f>$I$5-X37</f>
        <v>-246</v>
      </c>
      <c r="Y39" s="36">
        <f>$J$5-Y37</f>
        <v>-4</v>
      </c>
      <c r="Z39" s="36">
        <f>$K$5-Z37</f>
        <v>0</v>
      </c>
      <c r="AA39" s="36">
        <f>$H$5-AA37</f>
        <v>-56.900000000000091</v>
      </c>
      <c r="AB39" s="36">
        <f>$L$5-AB37</f>
        <v>-310</v>
      </c>
      <c r="AC39" s="36">
        <f>$M$5-AC37</f>
        <v>-2</v>
      </c>
      <c r="AD39" s="36">
        <f>$G$5-AD37</f>
        <v>23</v>
      </c>
      <c r="AF39" s="36">
        <f>$I$5-AF37</f>
        <v>-506</v>
      </c>
      <c r="AG39" s="36">
        <f>$J$5-AG37</f>
        <v>-7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809" priority="1" stopIfTrue="1">
      <formula>V37&gt;$F$5</formula>
    </cfRule>
    <cfRule type="expression" dxfId="808" priority="2">
      <formula>AND($F$5&gt;0,V37&lt;$F$5*0.97)</formula>
    </cfRule>
    <cfRule type="expression" dxfId="807" priority="3">
      <formula>AND($F$5&gt;0,V37&gt;=$F$5*0.97,V37&lt;=$F$5)</formula>
    </cfRule>
  </conditionalFormatting>
  <conditionalFormatting sqref="X37">
    <cfRule type="expression" dxfId="806" priority="4" stopIfTrue="1">
      <formula>X37&gt;$I$5</formula>
    </cfRule>
    <cfRule type="expression" dxfId="805" priority="5">
      <formula>AND($I$5&gt;0,X37&lt;$I$5*0.97)</formula>
    </cfRule>
    <cfRule type="expression" dxfId="804" priority="6">
      <formula>AND($I$5&gt;0,X37&gt;=$I$5*0.97,X37&lt;=$I$5)</formula>
    </cfRule>
  </conditionalFormatting>
  <conditionalFormatting sqref="Y37">
    <cfRule type="expression" dxfId="803" priority="7" stopIfTrue="1">
      <formula>Y37&gt;$J$5</formula>
    </cfRule>
    <cfRule type="expression" dxfId="802" priority="8">
      <formula>AND($J$5&gt;0,Y37&lt;$J$5*0.97)</formula>
    </cfRule>
    <cfRule type="expression" dxfId="801" priority="9">
      <formula>AND($J$5&gt;0,Y37&gt;=$J$5*0.97,Y37&lt;=$J$5)</formula>
    </cfRule>
  </conditionalFormatting>
  <conditionalFormatting sqref="Z37">
    <cfRule type="expression" dxfId="800" priority="10" stopIfTrue="1">
      <formula>Z37&gt;$K$5</formula>
    </cfRule>
    <cfRule type="expression" dxfId="799" priority="11">
      <formula>AND($K$5&gt;0,Z37&lt;$K$5*0.97)</formula>
    </cfRule>
    <cfRule type="expression" dxfId="798" priority="12">
      <formula>AND($K$5&gt;0,Z37&gt;=$K$5*0.97,Z37&lt;=$K$5)</formula>
    </cfRule>
  </conditionalFormatting>
  <conditionalFormatting sqref="AA37">
    <cfRule type="expression" dxfId="797" priority="13" stopIfTrue="1">
      <formula>AA37&gt;$H$5</formula>
    </cfRule>
    <cfRule type="expression" dxfId="796" priority="14">
      <formula>AND($H$5&gt;0,AA37&lt;$H$5*0.97)</formula>
    </cfRule>
    <cfRule type="expression" dxfId="795" priority="15">
      <formula>AND($H$5&gt;0,AA37&gt;=$H$5*0.97,AA37&lt;=$H$5)</formula>
    </cfRule>
  </conditionalFormatting>
  <conditionalFormatting sqref="AB37">
    <cfRule type="expression" dxfId="794" priority="16" stopIfTrue="1">
      <formula>AB37&gt;$L$5</formula>
    </cfRule>
    <cfRule type="expression" dxfId="793" priority="17">
      <formula>AND($L$5&gt;0,AB37&lt;$L$5*0.97)</formula>
    </cfRule>
    <cfRule type="expression" dxfId="792" priority="18">
      <formula>AND($L$5&gt;0,AB37&gt;=$L$5*0.97,AB37&lt;=$L$5)</formula>
    </cfRule>
  </conditionalFormatting>
  <conditionalFormatting sqref="AC37">
    <cfRule type="expression" dxfId="791" priority="19" stopIfTrue="1">
      <formula>AC37&gt;$M$5</formula>
    </cfRule>
    <cfRule type="expression" dxfId="790" priority="20">
      <formula>AND($M$5&gt;0,AC37&lt;$M$5*0.97)</formula>
    </cfRule>
    <cfRule type="expression" dxfId="789" priority="21">
      <formula>AND($M$5&gt;0,AC37&gt;=$M$5*0.97,AC37&lt;=$M$5)</formula>
    </cfRule>
  </conditionalFormatting>
  <conditionalFormatting sqref="AD37">
    <cfRule type="expression" dxfId="788" priority="22" stopIfTrue="1">
      <formula>AD37&gt;$G$5</formula>
    </cfRule>
    <cfRule type="expression" dxfId="787" priority="23">
      <formula>AND($G$5&gt;0,AD37&lt;$G$5*0.97)</formula>
    </cfRule>
    <cfRule type="expression" dxfId="786" priority="24">
      <formula>AND($G$5&gt;0,AD37&gt;=$G$5*0.97,AD37&lt;=$G$5)</formula>
    </cfRule>
  </conditionalFormatting>
  <conditionalFormatting sqref="AF37">
    <cfRule type="expression" dxfId="785" priority="25" stopIfTrue="1">
      <formula>AF37&gt;$I$5</formula>
    </cfRule>
    <cfRule type="expression" dxfId="784" priority="26">
      <formula>AND($I$5&gt;0,AF37&lt;$I$5*0.97)</formula>
    </cfRule>
    <cfRule type="expression" dxfId="783" priority="27">
      <formula>AND($I$5&gt;0,AF37&gt;=$I$5*0.97,AF37&lt;=$I$5)</formula>
    </cfRule>
  </conditionalFormatting>
  <conditionalFormatting sqref="AG37">
    <cfRule type="expression" dxfId="782" priority="28" stopIfTrue="1">
      <formula>AG37&gt;$J$5</formula>
    </cfRule>
    <cfRule type="expression" dxfId="781" priority="29">
      <formula>AND($J$5&gt;0,AG37&lt;$J$5*0.97)</formula>
    </cfRule>
    <cfRule type="expression" dxfId="780" priority="30">
      <formula>AND($J$5&gt;0,AG37&gt;=$J$5*0.97,AG37&lt;=$J$5)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287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62.3</v>
      </c>
      <c r="D5" s="10">
        <f>C5*B5</f>
        <v>1059.0999999999999</v>
      </c>
      <c r="E5" s="11">
        <v>0.61890000000000001</v>
      </c>
      <c r="F5" s="10">
        <f>ROUND(D5*E5,0)</f>
        <v>655</v>
      </c>
      <c r="G5" s="10">
        <f>ROUND(F5*Settings!$B$4,0)</f>
        <v>625</v>
      </c>
      <c r="H5" s="10">
        <f>D5-F5</f>
        <v>404.09999999999991</v>
      </c>
      <c r="I5" s="8">
        <v>4287</v>
      </c>
      <c r="J5" s="9">
        <v>33</v>
      </c>
      <c r="K5" s="9">
        <v>14</v>
      </c>
      <c r="L5" s="8">
        <v>1691</v>
      </c>
      <c r="M5" s="9">
        <v>13</v>
      </c>
    </row>
    <row r="7" spans="1:47" x14ac:dyDescent="0.25">
      <c r="A7" s="5" t="s">
        <v>54</v>
      </c>
      <c r="B7" s="12" t="s">
        <v>288</v>
      </c>
    </row>
    <row r="8" spans="1:47" x14ac:dyDescent="0.25">
      <c r="A8" s="5" t="s">
        <v>56</v>
      </c>
      <c r="B8" s="13" t="s">
        <v>237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289</v>
      </c>
      <c r="C11" s="17">
        <v>1</v>
      </c>
      <c r="D11" s="17" t="s">
        <v>168</v>
      </c>
      <c r="E11" s="18" t="s">
        <v>99</v>
      </c>
      <c r="F11" s="19">
        <v>19</v>
      </c>
      <c r="G11" s="19">
        <v>31</v>
      </c>
      <c r="H11" s="19">
        <v>13</v>
      </c>
      <c r="I11" s="19">
        <v>41</v>
      </c>
      <c r="J11" s="19"/>
      <c r="K11" s="19"/>
      <c r="L11" s="19"/>
      <c r="M11" s="19"/>
      <c r="N11" s="19" t="s">
        <v>290</v>
      </c>
      <c r="O11" s="19">
        <v>8</v>
      </c>
      <c r="P11" s="20">
        <v>5.24</v>
      </c>
      <c r="Q11" s="20"/>
      <c r="R11" s="21"/>
      <c r="S11" s="21">
        <v>0.68700000000000006</v>
      </c>
      <c r="T11" s="20">
        <v>7.08</v>
      </c>
      <c r="U11" s="22">
        <v>17</v>
      </c>
      <c r="V11" s="22">
        <v>587</v>
      </c>
      <c r="W11" s="22">
        <v>397</v>
      </c>
      <c r="X11" s="22">
        <v>4207</v>
      </c>
      <c r="Y11" s="22">
        <v>33</v>
      </c>
      <c r="Z11" s="22">
        <v>11</v>
      </c>
      <c r="AA11" s="22">
        <v>46</v>
      </c>
      <c r="AB11" s="22">
        <v>161</v>
      </c>
      <c r="AC11" s="22">
        <v>1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3.5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7.1669505962521294</v>
      </c>
      <c r="AM11" s="25">
        <f t="shared" ref="AM11:AM35" si="4">IFERROR(W11/V11,"")</f>
        <v>0.67632027257240201</v>
      </c>
      <c r="AN11" s="25">
        <f t="shared" ref="AN11:AN35" si="5">IFERROR(AA11/$H$5,"")</f>
        <v>0.11383320960158379</v>
      </c>
      <c r="AO11" s="25">
        <f t="shared" ref="AO11:AO35" si="6">IFERROR(AD11/$G$5,"")</f>
        <v>0</v>
      </c>
      <c r="AP11" s="25">
        <f t="shared" ref="AP11:AP35" si="7">IFERROR(V11/$F$5,"")</f>
        <v>0.89618320610687019</v>
      </c>
      <c r="AQ11" s="26">
        <f t="shared" ref="AQ11:AQ35" si="8">IFERROR(AA11/U11,"")</f>
        <v>2.7058823529411766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33</v>
      </c>
      <c r="AU11" s="28">
        <f>AF11*Settings!$B$7+AG11*Settings!$B$8+AE11*Settings!$B$9+AB11*Settings!$B$10+AC11*Settings!$B$11+X11*Settings!$B$12+Y11*Settings!$B$13+Z11*Settings!$B$14</f>
        <v>300.38</v>
      </c>
    </row>
    <row r="12" spans="1:47" x14ac:dyDescent="0.25">
      <c r="A12" s="15" t="s">
        <v>96</v>
      </c>
      <c r="B12" s="16" t="s">
        <v>291</v>
      </c>
      <c r="C12" s="17">
        <v>2</v>
      </c>
      <c r="D12" s="17" t="s">
        <v>292</v>
      </c>
      <c r="E12" s="18" t="s">
        <v>99</v>
      </c>
      <c r="F12" s="19">
        <v>4</v>
      </c>
      <c r="G12" s="19">
        <v>6</v>
      </c>
      <c r="H12" s="19">
        <v>5</v>
      </c>
      <c r="I12" s="19">
        <v>13</v>
      </c>
      <c r="J12" s="19"/>
      <c r="K12" s="19"/>
      <c r="L12" s="19"/>
      <c r="M12" s="19"/>
      <c r="N12" s="19" t="s">
        <v>293</v>
      </c>
      <c r="O12" s="19">
        <v>4</v>
      </c>
      <c r="P12" s="20">
        <v>2.73</v>
      </c>
      <c r="Q12" s="20"/>
      <c r="R12" s="21"/>
      <c r="S12" s="21">
        <v>0.61799999999999999</v>
      </c>
      <c r="T12" s="20">
        <v>6.85</v>
      </c>
      <c r="U12" s="22">
        <v>17</v>
      </c>
      <c r="V12" s="22">
        <v>37</v>
      </c>
      <c r="W12" s="22">
        <v>24</v>
      </c>
      <c r="X12" s="22">
        <v>260</v>
      </c>
      <c r="Y12" s="22">
        <v>2</v>
      </c>
      <c r="Z12" s="22">
        <v>1</v>
      </c>
      <c r="AA12" s="22">
        <v>2</v>
      </c>
      <c r="AB12" s="22">
        <v>5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2.5</v>
      </c>
      <c r="AJ12" s="24" t="str">
        <f t="shared" si="1"/>
        <v/>
      </c>
      <c r="AK12" s="25" t="str">
        <f t="shared" si="2"/>
        <v/>
      </c>
      <c r="AL12" s="24">
        <f t="shared" si="3"/>
        <v>7.0270270270270272</v>
      </c>
      <c r="AM12" s="25">
        <f t="shared" si="4"/>
        <v>0.64864864864864868</v>
      </c>
      <c r="AN12" s="25">
        <f t="shared" si="5"/>
        <v>4.9492699826775566E-3</v>
      </c>
      <c r="AO12" s="25">
        <f t="shared" si="6"/>
        <v>0</v>
      </c>
      <c r="AP12" s="25">
        <f t="shared" si="7"/>
        <v>5.6488549618320609E-2</v>
      </c>
      <c r="AQ12" s="26">
        <f t="shared" si="8"/>
        <v>0.11764705882352941</v>
      </c>
      <c r="AR12" s="26">
        <f t="shared" si="9"/>
        <v>0</v>
      </c>
      <c r="AS12" s="27">
        <f t="shared" si="10"/>
        <v>0</v>
      </c>
      <c r="AT12" s="27">
        <f t="shared" si="11"/>
        <v>-3</v>
      </c>
      <c r="AU12" s="28">
        <f>AF12*Settings!$B$7+AG12*Settings!$B$8+AE12*Settings!$B$9+AB12*Settings!$B$10+AC12*Settings!$B$11+X12*Settings!$B$12+Y12*Settings!$B$13+Z12*Settings!$B$14</f>
        <v>16.899999999999999</v>
      </c>
    </row>
    <row r="13" spans="1:47" x14ac:dyDescent="0.25">
      <c r="A13" s="15" t="s">
        <v>96</v>
      </c>
      <c r="B13" s="16" t="s">
        <v>294</v>
      </c>
      <c r="C13" s="17">
        <v>3</v>
      </c>
      <c r="D13" s="17" t="s">
        <v>295</v>
      </c>
      <c r="E13" s="18" t="s">
        <v>99</v>
      </c>
      <c r="F13" s="19"/>
      <c r="G13" s="19">
        <v>2</v>
      </c>
      <c r="H13" s="19">
        <v>11</v>
      </c>
      <c r="I13" s="19">
        <v>55</v>
      </c>
      <c r="J13" s="19"/>
      <c r="K13" s="19"/>
      <c r="L13" s="19"/>
      <c r="M13" s="19"/>
      <c r="N13" s="19" t="s">
        <v>197</v>
      </c>
      <c r="O13" s="19">
        <v>5</v>
      </c>
      <c r="P13" s="20">
        <v>4.3099999999999996</v>
      </c>
      <c r="Q13" s="20"/>
      <c r="R13" s="21"/>
      <c r="S13" s="21">
        <v>0.63200000000000001</v>
      </c>
      <c r="T13" s="20">
        <v>6.82</v>
      </c>
      <c r="U13" s="22">
        <v>17</v>
      </c>
      <c r="V13" s="22">
        <v>1</v>
      </c>
      <c r="W13" s="22">
        <v>0</v>
      </c>
      <c r="X13" s="22">
        <v>55</v>
      </c>
      <c r="Y13" s="22">
        <v>0</v>
      </c>
      <c r="Z13" s="22">
        <v>0</v>
      </c>
      <c r="AA13" s="22">
        <v>1</v>
      </c>
      <c r="AB13" s="22">
        <v>4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3" t="s">
        <v>101</v>
      </c>
      <c r="AI13" s="24">
        <f t="shared" si="0"/>
        <v>4</v>
      </c>
      <c r="AJ13" s="24" t="str">
        <f t="shared" si="1"/>
        <v/>
      </c>
      <c r="AK13" s="25" t="str">
        <f t="shared" si="2"/>
        <v/>
      </c>
      <c r="AL13" s="24">
        <f t="shared" si="3"/>
        <v>55</v>
      </c>
      <c r="AM13" s="25">
        <f t="shared" si="4"/>
        <v>0</v>
      </c>
      <c r="AN13" s="25">
        <f t="shared" si="5"/>
        <v>2.4746349913387783E-3</v>
      </c>
      <c r="AO13" s="25">
        <f t="shared" si="6"/>
        <v>0</v>
      </c>
      <c r="AP13" s="25">
        <f t="shared" si="7"/>
        <v>1.5267175572519084E-3</v>
      </c>
      <c r="AQ13" s="26">
        <f t="shared" si="8"/>
        <v>5.8823529411764705E-2</v>
      </c>
      <c r="AR13" s="26">
        <f t="shared" si="9"/>
        <v>0</v>
      </c>
      <c r="AS13" s="27">
        <f t="shared" si="10"/>
        <v>0</v>
      </c>
      <c r="AT13" s="27">
        <f t="shared" si="11"/>
        <v>-10</v>
      </c>
      <c r="AU13" s="28">
        <f>AF13*Settings!$B$7+AG13*Settings!$B$8+AE13*Settings!$B$9+AB13*Settings!$B$10+AC13*Settings!$B$11+X13*Settings!$B$12+Y13*Settings!$B$13+Z13*Settings!$B$14</f>
        <v>2.6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296</v>
      </c>
      <c r="C15" s="17">
        <v>1</v>
      </c>
      <c r="D15" s="17" t="s">
        <v>111</v>
      </c>
      <c r="E15" s="18" t="s">
        <v>99</v>
      </c>
      <c r="F15" s="19">
        <v>44</v>
      </c>
      <c r="G15" s="19">
        <v>229</v>
      </c>
      <c r="H15" s="19">
        <v>232</v>
      </c>
      <c r="I15" s="19">
        <v>1019</v>
      </c>
      <c r="J15" s="19">
        <v>15</v>
      </c>
      <c r="K15" s="19">
        <v>65</v>
      </c>
      <c r="L15" s="19">
        <v>88</v>
      </c>
      <c r="M15" s="19">
        <v>437</v>
      </c>
      <c r="N15" s="19" t="s">
        <v>290</v>
      </c>
      <c r="O15" s="19">
        <v>17</v>
      </c>
      <c r="P15" s="20">
        <v>4.33</v>
      </c>
      <c r="Q15" s="20">
        <v>6.96</v>
      </c>
      <c r="R15" s="21">
        <v>0.81499999999999995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226</v>
      </c>
      <c r="AB15" s="22">
        <v>983</v>
      </c>
      <c r="AC15" s="22">
        <v>7</v>
      </c>
      <c r="AD15" s="22">
        <v>79</v>
      </c>
      <c r="AE15" s="22">
        <v>62</v>
      </c>
      <c r="AF15" s="22">
        <v>425</v>
      </c>
      <c r="AG15" s="22">
        <v>4</v>
      </c>
      <c r="AH15" s="23" t="s">
        <v>101</v>
      </c>
      <c r="AI15" s="24">
        <f t="shared" si="0"/>
        <v>4.3495575221238942</v>
      </c>
      <c r="AJ15" s="24">
        <f t="shared" si="1"/>
        <v>6.854838709677419</v>
      </c>
      <c r="AK15" s="25">
        <f t="shared" si="2"/>
        <v>0.78481012658227844</v>
      </c>
      <c r="AL15" s="24" t="str">
        <f t="shared" si="3"/>
        <v/>
      </c>
      <c r="AM15" s="25" t="str">
        <f t="shared" si="4"/>
        <v/>
      </c>
      <c r="AN15" s="25">
        <f t="shared" si="5"/>
        <v>0.55926750804256387</v>
      </c>
      <c r="AO15" s="25">
        <f t="shared" si="6"/>
        <v>0.12640000000000001</v>
      </c>
      <c r="AP15" s="25">
        <f t="shared" si="7"/>
        <v>0</v>
      </c>
      <c r="AQ15" s="26">
        <f t="shared" si="8"/>
        <v>13.294117647058824</v>
      </c>
      <c r="AR15" s="26">
        <f t="shared" si="9"/>
        <v>4.6470588235294121</v>
      </c>
      <c r="AS15" s="27">
        <f t="shared" si="10"/>
        <v>-9</v>
      </c>
      <c r="AT15" s="27">
        <f t="shared" si="11"/>
        <v>-6</v>
      </c>
      <c r="AU15" s="28">
        <f>AF15*Settings!$B$7+AG15*Settings!$B$8+AE15*Settings!$B$9+AB15*Settings!$B$10+AC15*Settings!$B$11+X15*Settings!$B$12+Y15*Settings!$B$13+Z15*Settings!$B$14</f>
        <v>237.8</v>
      </c>
    </row>
    <row r="16" spans="1:47" x14ac:dyDescent="0.25">
      <c r="A16" s="15" t="s">
        <v>107</v>
      </c>
      <c r="B16" s="16" t="s">
        <v>297</v>
      </c>
      <c r="C16" s="17">
        <v>2</v>
      </c>
      <c r="D16" s="17" t="s">
        <v>200</v>
      </c>
      <c r="E16" s="18" t="s">
        <v>99</v>
      </c>
      <c r="F16" s="19">
        <v>53</v>
      </c>
      <c r="G16" s="19">
        <v>20</v>
      </c>
      <c r="H16" s="19">
        <v>84</v>
      </c>
      <c r="I16" s="19">
        <v>382</v>
      </c>
      <c r="J16" s="19">
        <v>56</v>
      </c>
      <c r="K16" s="19">
        <v>35</v>
      </c>
      <c r="L16" s="19">
        <v>21</v>
      </c>
      <c r="M16" s="19">
        <v>87</v>
      </c>
      <c r="N16" s="19" t="s">
        <v>290</v>
      </c>
      <c r="O16" s="19">
        <v>15</v>
      </c>
      <c r="P16" s="20">
        <v>4.54</v>
      </c>
      <c r="Q16" s="20">
        <v>9.09</v>
      </c>
      <c r="R16" s="21">
        <v>0.84799999999999998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79</v>
      </c>
      <c r="AB16" s="22">
        <v>349</v>
      </c>
      <c r="AC16" s="22">
        <v>3</v>
      </c>
      <c r="AD16" s="22">
        <v>21</v>
      </c>
      <c r="AE16" s="22">
        <v>18</v>
      </c>
      <c r="AF16" s="22">
        <v>124</v>
      </c>
      <c r="AG16" s="22">
        <v>1</v>
      </c>
      <c r="AH16" s="23" t="s">
        <v>101</v>
      </c>
      <c r="AI16" s="24">
        <f t="shared" si="0"/>
        <v>4.4177215189873413</v>
      </c>
      <c r="AJ16" s="24">
        <f t="shared" si="1"/>
        <v>6.8888888888888893</v>
      </c>
      <c r="AK16" s="25">
        <f t="shared" si="2"/>
        <v>0.8571428571428571</v>
      </c>
      <c r="AL16" s="24" t="str">
        <f t="shared" si="3"/>
        <v/>
      </c>
      <c r="AM16" s="25" t="str">
        <f t="shared" si="4"/>
        <v/>
      </c>
      <c r="AN16" s="25">
        <f t="shared" si="5"/>
        <v>0.19549616431576347</v>
      </c>
      <c r="AO16" s="25">
        <f t="shared" si="6"/>
        <v>3.3599999999999998E-2</v>
      </c>
      <c r="AP16" s="25">
        <f t="shared" si="7"/>
        <v>0</v>
      </c>
      <c r="AQ16" s="26">
        <f t="shared" si="8"/>
        <v>4.6470588235294121</v>
      </c>
      <c r="AR16" s="26">
        <f t="shared" si="9"/>
        <v>1.2352941176470589</v>
      </c>
      <c r="AS16" s="27">
        <f t="shared" si="10"/>
        <v>0</v>
      </c>
      <c r="AT16" s="27">
        <f t="shared" si="11"/>
        <v>-5</v>
      </c>
      <c r="AU16" s="28">
        <f>AF16*Settings!$B$7+AG16*Settings!$B$8+AE16*Settings!$B$9+AB16*Settings!$B$10+AC16*Settings!$B$11+X16*Settings!$B$12+Y16*Settings!$B$13+Z16*Settings!$B$14</f>
        <v>80.3</v>
      </c>
    </row>
    <row r="17" spans="1:47" x14ac:dyDescent="0.25">
      <c r="A17" s="15" t="s">
        <v>107</v>
      </c>
      <c r="B17" s="16" t="s">
        <v>298</v>
      </c>
      <c r="C17" s="17">
        <v>3</v>
      </c>
      <c r="D17" s="17" t="s">
        <v>118</v>
      </c>
      <c r="E17" s="18" t="s">
        <v>99</v>
      </c>
      <c r="F17" s="19"/>
      <c r="G17" s="19"/>
      <c r="H17" s="19">
        <v>16</v>
      </c>
      <c r="I17" s="19">
        <v>45</v>
      </c>
      <c r="J17" s="19"/>
      <c r="K17" s="19"/>
      <c r="L17" s="19">
        <v>2</v>
      </c>
      <c r="M17" s="19">
        <v>9</v>
      </c>
      <c r="N17" s="19" t="s">
        <v>290</v>
      </c>
      <c r="O17" s="19">
        <v>16</v>
      </c>
      <c r="P17" s="20">
        <v>2.81</v>
      </c>
      <c r="Q17" s="20">
        <v>9</v>
      </c>
      <c r="R17" s="21">
        <v>0.5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29</v>
      </c>
      <c r="AB17" s="22">
        <v>108</v>
      </c>
      <c r="AC17" s="22">
        <v>1</v>
      </c>
      <c r="AD17" s="22">
        <v>4</v>
      </c>
      <c r="AE17" s="22">
        <v>3</v>
      </c>
      <c r="AF17" s="22">
        <v>22</v>
      </c>
      <c r="AG17" s="22">
        <v>0</v>
      </c>
      <c r="AH17" s="23" t="s">
        <v>101</v>
      </c>
      <c r="AI17" s="24">
        <f t="shared" si="0"/>
        <v>3.7241379310344827</v>
      </c>
      <c r="AJ17" s="24">
        <f t="shared" si="1"/>
        <v>7.333333333333333</v>
      </c>
      <c r="AK17" s="25">
        <f t="shared" si="2"/>
        <v>0.75</v>
      </c>
      <c r="AL17" s="24" t="str">
        <f t="shared" si="3"/>
        <v/>
      </c>
      <c r="AM17" s="25" t="str">
        <f t="shared" si="4"/>
        <v/>
      </c>
      <c r="AN17" s="25">
        <f t="shared" si="5"/>
        <v>7.176441474882457E-2</v>
      </c>
      <c r="AO17" s="25">
        <f t="shared" si="6"/>
        <v>6.4000000000000003E-3</v>
      </c>
      <c r="AP17" s="25">
        <f t="shared" si="7"/>
        <v>0</v>
      </c>
      <c r="AQ17" s="26">
        <f t="shared" si="8"/>
        <v>1.7058823529411764</v>
      </c>
      <c r="AR17" s="26">
        <f t="shared" si="9"/>
        <v>0.23529411764705882</v>
      </c>
      <c r="AS17" s="27">
        <f t="shared" si="10"/>
        <v>2</v>
      </c>
      <c r="AT17" s="27">
        <f t="shared" si="11"/>
        <v>13</v>
      </c>
      <c r="AU17" s="28">
        <f>AF17*Settings!$B$7+AG17*Settings!$B$8+AE17*Settings!$B$9+AB17*Settings!$B$10+AC17*Settings!$B$11+X17*Settings!$B$12+Y17*Settings!$B$13+Z17*Settings!$B$14</f>
        <v>20.5</v>
      </c>
    </row>
    <row r="18" spans="1:47" x14ac:dyDescent="0.25">
      <c r="A18" s="15" t="s">
        <v>107</v>
      </c>
      <c r="B18" s="16" t="s">
        <v>299</v>
      </c>
      <c r="C18" s="17">
        <v>4</v>
      </c>
      <c r="D18" s="17" t="s">
        <v>103</v>
      </c>
      <c r="E18" s="18" t="s">
        <v>99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0"/>
      <c r="Q18" s="20"/>
      <c r="R18" s="21"/>
      <c r="S18" s="21"/>
      <c r="T18" s="20"/>
      <c r="U18" s="22">
        <v>17</v>
      </c>
      <c r="V18" s="22"/>
      <c r="W18" s="22"/>
      <c r="X18" s="22"/>
      <c r="Y18" s="22"/>
      <c r="Z18" s="22"/>
      <c r="AA18" s="22">
        <v>15</v>
      </c>
      <c r="AB18" s="22">
        <v>58</v>
      </c>
      <c r="AC18" s="22">
        <v>0</v>
      </c>
      <c r="AD18" s="22">
        <v>3</v>
      </c>
      <c r="AE18" s="22">
        <v>2</v>
      </c>
      <c r="AF18" s="22">
        <v>15</v>
      </c>
      <c r="AG18" s="22">
        <v>0</v>
      </c>
      <c r="AH18" s="23" t="s">
        <v>101</v>
      </c>
      <c r="AI18" s="24">
        <f t="shared" si="0"/>
        <v>3.8666666666666667</v>
      </c>
      <c r="AJ18" s="24">
        <f t="shared" si="1"/>
        <v>7.5</v>
      </c>
      <c r="AK18" s="25">
        <f t="shared" si="2"/>
        <v>0.66666666666666663</v>
      </c>
      <c r="AL18" s="24" t="str">
        <f t="shared" si="3"/>
        <v/>
      </c>
      <c r="AM18" s="25" t="str">
        <f t="shared" si="4"/>
        <v/>
      </c>
      <c r="AN18" s="25">
        <f t="shared" si="5"/>
        <v>3.7119524870081674E-2</v>
      </c>
      <c r="AO18" s="25">
        <f t="shared" si="6"/>
        <v>4.7999999999999996E-3</v>
      </c>
      <c r="AP18" s="25">
        <f t="shared" si="7"/>
        <v>0</v>
      </c>
      <c r="AQ18" s="26">
        <f t="shared" si="8"/>
        <v>0.88235294117647056</v>
      </c>
      <c r="AR18" s="26">
        <f t="shared" si="9"/>
        <v>0.17647058823529413</v>
      </c>
      <c r="AS18" s="27">
        <f t="shared" si="10"/>
        <v>3</v>
      </c>
      <c r="AT18" s="27">
        <f t="shared" si="11"/>
        <v>15</v>
      </c>
      <c r="AU18" s="28">
        <f>AF18*Settings!$B$7+AG18*Settings!$B$8+AE18*Settings!$B$9+AB18*Settings!$B$10+AC18*Settings!$B$11+X18*Settings!$B$12+Y18*Settings!$B$13+Z18*Settings!$B$14</f>
        <v>8.3000000000000007</v>
      </c>
    </row>
    <row r="19" spans="1:47" x14ac:dyDescent="0.25">
      <c r="A19" s="15" t="s">
        <v>107</v>
      </c>
      <c r="B19" s="16" t="s">
        <v>300</v>
      </c>
      <c r="C19" s="17">
        <v>5</v>
      </c>
      <c r="D19" s="17" t="s">
        <v>118</v>
      </c>
      <c r="E19" s="18" t="s">
        <v>99</v>
      </c>
      <c r="F19" s="19"/>
      <c r="G19" s="19"/>
      <c r="H19" s="19">
        <v>2</v>
      </c>
      <c r="I19" s="19">
        <v>2</v>
      </c>
      <c r="J19" s="19"/>
      <c r="K19" s="19"/>
      <c r="L19" s="19"/>
      <c r="M19" s="19"/>
      <c r="N19" s="19" t="s">
        <v>290</v>
      </c>
      <c r="O19" s="19">
        <v>1</v>
      </c>
      <c r="P19" s="20">
        <v>1</v>
      </c>
      <c r="Q19" s="20"/>
      <c r="R19" s="21"/>
      <c r="S19" s="21"/>
      <c r="T19" s="20"/>
      <c r="U19" s="22">
        <v>17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2</v>
      </c>
      <c r="AB19" s="22">
        <v>2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3" t="s">
        <v>101</v>
      </c>
      <c r="AI19" s="24">
        <f t="shared" si="0"/>
        <v>1</v>
      </c>
      <c r="AJ19" s="24" t="str">
        <f t="shared" si="1"/>
        <v/>
      </c>
      <c r="AK19" s="25" t="str">
        <f t="shared" si="2"/>
        <v/>
      </c>
      <c r="AL19" s="24" t="str">
        <f t="shared" si="3"/>
        <v/>
      </c>
      <c r="AM19" s="25" t="str">
        <f t="shared" si="4"/>
        <v/>
      </c>
      <c r="AN19" s="25">
        <f t="shared" si="5"/>
        <v>4.9492699826775566E-3</v>
      </c>
      <c r="AO19" s="25">
        <f t="shared" si="6"/>
        <v>0</v>
      </c>
      <c r="AP19" s="25">
        <f t="shared" si="7"/>
        <v>0</v>
      </c>
      <c r="AQ19" s="26">
        <f t="shared" si="8"/>
        <v>0.11764705882352941</v>
      </c>
      <c r="AR19" s="26">
        <f t="shared" si="9"/>
        <v>0</v>
      </c>
      <c r="AS19" s="27">
        <f t="shared" si="10"/>
        <v>0</v>
      </c>
      <c r="AT19" s="27">
        <f t="shared" si="11"/>
        <v>0</v>
      </c>
      <c r="AU19" s="28">
        <f>AF19*Settings!$B$7+AG19*Settings!$B$8+AE19*Settings!$B$9+AB19*Settings!$B$10+AC19*Settings!$B$11+X19*Settings!$B$12+Y19*Settings!$B$13+Z19*Settings!$B$14</f>
        <v>0.2</v>
      </c>
    </row>
    <row r="20" spans="1:47" x14ac:dyDescent="0.25">
      <c r="A20" s="15" t="s">
        <v>107</v>
      </c>
      <c r="B20" s="16" t="s">
        <v>301</v>
      </c>
      <c r="C20" s="17">
        <v>6</v>
      </c>
      <c r="D20" s="17" t="s">
        <v>130</v>
      </c>
      <c r="E20" s="18" t="s">
        <v>99</v>
      </c>
      <c r="F20" s="19">
        <v>9</v>
      </c>
      <c r="G20" s="19"/>
      <c r="H20" s="19"/>
      <c r="I20" s="19"/>
      <c r="J20" s="19">
        <v>7</v>
      </c>
      <c r="K20" s="19"/>
      <c r="L20" s="19"/>
      <c r="M20" s="19"/>
      <c r="N20" s="19"/>
      <c r="O20" s="19"/>
      <c r="P20" s="20">
        <v>2.11</v>
      </c>
      <c r="Q20" s="20">
        <v>9.4</v>
      </c>
      <c r="R20" s="21">
        <v>0.71399999999999997</v>
      </c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302</v>
      </c>
      <c r="C22" s="17">
        <v>1</v>
      </c>
      <c r="D22" s="17" t="s">
        <v>111</v>
      </c>
      <c r="E22" s="18" t="s">
        <v>99</v>
      </c>
      <c r="F22" s="19">
        <v>3</v>
      </c>
      <c r="G22" s="19">
        <v>3</v>
      </c>
      <c r="H22" s="19">
        <v>3</v>
      </c>
      <c r="I22" s="19">
        <v>14</v>
      </c>
      <c r="J22" s="19">
        <v>145</v>
      </c>
      <c r="K22" s="19">
        <v>175</v>
      </c>
      <c r="L22" s="19">
        <v>185</v>
      </c>
      <c r="M22" s="19">
        <v>1412</v>
      </c>
      <c r="N22" s="19" t="s">
        <v>290</v>
      </c>
      <c r="O22" s="19">
        <v>16</v>
      </c>
      <c r="P22" s="20">
        <v>4.4400000000000004</v>
      </c>
      <c r="Q22" s="20">
        <v>12.32</v>
      </c>
      <c r="R22" s="21">
        <v>0.69699999999999995</v>
      </c>
      <c r="S22" s="21">
        <v>1</v>
      </c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3</v>
      </c>
      <c r="AB22" s="22">
        <v>17</v>
      </c>
      <c r="AC22" s="22">
        <v>0</v>
      </c>
      <c r="AD22" s="22">
        <v>174</v>
      </c>
      <c r="AE22" s="22">
        <v>120</v>
      </c>
      <c r="AF22" s="22">
        <v>1476</v>
      </c>
      <c r="AG22" s="22">
        <v>11</v>
      </c>
      <c r="AH22" s="23" t="s">
        <v>101</v>
      </c>
      <c r="AI22" s="24">
        <f t="shared" si="0"/>
        <v>5.666666666666667</v>
      </c>
      <c r="AJ22" s="24">
        <f t="shared" si="1"/>
        <v>12.3</v>
      </c>
      <c r="AK22" s="25">
        <f t="shared" si="2"/>
        <v>0.68965517241379315</v>
      </c>
      <c r="AL22" s="24" t="str">
        <f t="shared" si="3"/>
        <v/>
      </c>
      <c r="AM22" s="25" t="str">
        <f t="shared" si="4"/>
        <v/>
      </c>
      <c r="AN22" s="25">
        <f t="shared" si="5"/>
        <v>7.423904974016334E-3</v>
      </c>
      <c r="AO22" s="25">
        <f t="shared" si="6"/>
        <v>0.27839999999999998</v>
      </c>
      <c r="AP22" s="25">
        <f t="shared" si="7"/>
        <v>0</v>
      </c>
      <c r="AQ22" s="26">
        <f t="shared" si="8"/>
        <v>0.17647058823529413</v>
      </c>
      <c r="AR22" s="26">
        <f t="shared" si="9"/>
        <v>10.235294117647058</v>
      </c>
      <c r="AS22" s="27">
        <f t="shared" si="10"/>
        <v>-11</v>
      </c>
      <c r="AT22" s="27">
        <f t="shared" si="11"/>
        <v>0</v>
      </c>
      <c r="AU22" s="28">
        <f>AF22*Settings!$B$7+AG22*Settings!$B$8+AE22*Settings!$B$9+AB22*Settings!$B$10+AC22*Settings!$B$11+X22*Settings!$B$12+Y22*Settings!$B$13+Z22*Settings!$B$14</f>
        <v>275.3</v>
      </c>
    </row>
    <row r="23" spans="1:47" x14ac:dyDescent="0.25">
      <c r="A23" s="15" t="s">
        <v>121</v>
      </c>
      <c r="B23" s="16" t="s">
        <v>303</v>
      </c>
      <c r="C23" s="17">
        <v>2</v>
      </c>
      <c r="D23" s="17" t="s">
        <v>158</v>
      </c>
      <c r="E23" s="18" t="s">
        <v>99</v>
      </c>
      <c r="F23" s="19"/>
      <c r="G23" s="19"/>
      <c r="H23" s="19"/>
      <c r="I23" s="19"/>
      <c r="J23" s="19">
        <v>76</v>
      </c>
      <c r="K23" s="19">
        <v>109</v>
      </c>
      <c r="L23" s="19">
        <v>98</v>
      </c>
      <c r="M23" s="19">
        <v>846</v>
      </c>
      <c r="N23" s="19" t="s">
        <v>290</v>
      </c>
      <c r="O23" s="19">
        <v>15</v>
      </c>
      <c r="P23" s="20"/>
      <c r="Q23" s="20">
        <v>13.87</v>
      </c>
      <c r="R23" s="21">
        <v>0.61499999999999999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1</v>
      </c>
      <c r="AC23" s="22">
        <v>0</v>
      </c>
      <c r="AD23" s="22">
        <v>113</v>
      </c>
      <c r="AE23" s="22">
        <v>72</v>
      </c>
      <c r="AF23" s="22">
        <v>985</v>
      </c>
      <c r="AG23" s="22">
        <v>9</v>
      </c>
      <c r="AH23" s="23" t="s">
        <v>101</v>
      </c>
      <c r="AI23" s="24" t="str">
        <f t="shared" si="0"/>
        <v/>
      </c>
      <c r="AJ23" s="24">
        <f t="shared" si="1"/>
        <v>13.680555555555555</v>
      </c>
      <c r="AK23" s="25">
        <f t="shared" si="2"/>
        <v>0.63716814159292035</v>
      </c>
      <c r="AL23" s="24" t="str">
        <f t="shared" si="3"/>
        <v/>
      </c>
      <c r="AM23" s="25" t="str">
        <f t="shared" si="4"/>
        <v/>
      </c>
      <c r="AN23" s="25">
        <f t="shared" si="5"/>
        <v>0</v>
      </c>
      <c r="AO23" s="25">
        <f t="shared" si="6"/>
        <v>0.18079999999999999</v>
      </c>
      <c r="AP23" s="25">
        <f t="shared" si="7"/>
        <v>0</v>
      </c>
      <c r="AQ23" s="26">
        <f t="shared" si="8"/>
        <v>0</v>
      </c>
      <c r="AR23" s="26">
        <f t="shared" si="9"/>
        <v>6.6470588235294121</v>
      </c>
      <c r="AS23" s="27">
        <f t="shared" si="10"/>
        <v>15</v>
      </c>
      <c r="AT23" s="27">
        <f t="shared" si="11"/>
        <v>0</v>
      </c>
      <c r="AU23" s="28">
        <f>AF23*Settings!$B$7+AG23*Settings!$B$8+AE23*Settings!$B$9+AB23*Settings!$B$10+AC23*Settings!$B$11+X23*Settings!$B$12+Y23*Settings!$B$13+Z23*Settings!$B$14</f>
        <v>188.6</v>
      </c>
    </row>
    <row r="24" spans="1:47" x14ac:dyDescent="0.25">
      <c r="A24" s="15" t="s">
        <v>121</v>
      </c>
      <c r="B24" s="16" t="s">
        <v>304</v>
      </c>
      <c r="C24" s="17">
        <v>3</v>
      </c>
      <c r="D24" s="17" t="s">
        <v>111</v>
      </c>
      <c r="E24" s="18" t="s">
        <v>99</v>
      </c>
      <c r="F24" s="19"/>
      <c r="G24" s="19"/>
      <c r="H24" s="19">
        <v>3</v>
      </c>
      <c r="I24" s="19">
        <v>14</v>
      </c>
      <c r="J24" s="19">
        <v>25</v>
      </c>
      <c r="K24" s="19">
        <v>61</v>
      </c>
      <c r="L24" s="19">
        <v>58</v>
      </c>
      <c r="M24" s="19">
        <v>435</v>
      </c>
      <c r="N24" s="19" t="s">
        <v>290</v>
      </c>
      <c r="O24" s="19">
        <v>17</v>
      </c>
      <c r="P24" s="20">
        <v>4.67</v>
      </c>
      <c r="Q24" s="20">
        <v>12.26</v>
      </c>
      <c r="R24" s="21">
        <v>0.58299999999999996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2</v>
      </c>
      <c r="AB24" s="22">
        <v>9</v>
      </c>
      <c r="AC24" s="22">
        <v>0</v>
      </c>
      <c r="AD24" s="22">
        <v>51</v>
      </c>
      <c r="AE24" s="22">
        <v>31</v>
      </c>
      <c r="AF24" s="22">
        <v>379</v>
      </c>
      <c r="AG24" s="22">
        <v>3</v>
      </c>
      <c r="AH24" s="23" t="s">
        <v>101</v>
      </c>
      <c r="AI24" s="24">
        <f t="shared" si="0"/>
        <v>4.5</v>
      </c>
      <c r="AJ24" s="24">
        <f t="shared" si="1"/>
        <v>12.225806451612904</v>
      </c>
      <c r="AK24" s="25">
        <f t="shared" si="2"/>
        <v>0.60784313725490191</v>
      </c>
      <c r="AL24" s="24" t="str">
        <f t="shared" si="3"/>
        <v/>
      </c>
      <c r="AM24" s="25" t="str">
        <f t="shared" si="4"/>
        <v/>
      </c>
      <c r="AN24" s="25">
        <f t="shared" si="5"/>
        <v>4.9492699826775566E-3</v>
      </c>
      <c r="AO24" s="25">
        <f t="shared" si="6"/>
        <v>8.1600000000000006E-2</v>
      </c>
      <c r="AP24" s="25">
        <f t="shared" si="7"/>
        <v>0</v>
      </c>
      <c r="AQ24" s="26">
        <f t="shared" si="8"/>
        <v>0.11764705882352941</v>
      </c>
      <c r="AR24" s="26">
        <f t="shared" si="9"/>
        <v>3</v>
      </c>
      <c r="AS24" s="27">
        <f t="shared" si="10"/>
        <v>-7</v>
      </c>
      <c r="AT24" s="27">
        <f t="shared" si="11"/>
        <v>-1</v>
      </c>
      <c r="AU24" s="28">
        <f>AF24*Settings!$B$7+AG24*Settings!$B$8+AE24*Settings!$B$9+AB24*Settings!$B$10+AC24*Settings!$B$11+X24*Settings!$B$12+Y24*Settings!$B$13+Z24*Settings!$B$14</f>
        <v>72.300000000000011</v>
      </c>
    </row>
    <row r="25" spans="1:47" x14ac:dyDescent="0.25">
      <c r="A25" s="15" t="s">
        <v>121</v>
      </c>
      <c r="B25" s="16" t="s">
        <v>305</v>
      </c>
      <c r="C25" s="17">
        <v>4</v>
      </c>
      <c r="D25" s="17" t="s">
        <v>111</v>
      </c>
      <c r="E25" s="18" t="s">
        <v>99</v>
      </c>
      <c r="F25" s="19"/>
      <c r="G25" s="19"/>
      <c r="H25" s="19"/>
      <c r="I25" s="19"/>
      <c r="J25" s="19"/>
      <c r="K25" s="19"/>
      <c r="L25" s="19">
        <v>24</v>
      </c>
      <c r="M25" s="19">
        <v>116</v>
      </c>
      <c r="N25" s="19" t="s">
        <v>290</v>
      </c>
      <c r="O25" s="19">
        <v>17</v>
      </c>
      <c r="P25" s="20"/>
      <c r="Q25" s="20">
        <v>14.5</v>
      </c>
      <c r="R25" s="21">
        <v>0.33300000000000002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15</v>
      </c>
      <c r="AE25" s="22">
        <v>10</v>
      </c>
      <c r="AF25" s="22">
        <v>132</v>
      </c>
      <c r="AG25" s="22">
        <v>1</v>
      </c>
      <c r="AH25" s="23" t="s">
        <v>101</v>
      </c>
      <c r="AI25" s="24" t="str">
        <f t="shared" si="0"/>
        <v/>
      </c>
      <c r="AJ25" s="24">
        <f t="shared" si="1"/>
        <v>13.2</v>
      </c>
      <c r="AK25" s="25">
        <f t="shared" si="2"/>
        <v>0.66666666666666663</v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2.4E-2</v>
      </c>
      <c r="AP25" s="25">
        <f t="shared" si="7"/>
        <v>0</v>
      </c>
      <c r="AQ25" s="26">
        <f t="shared" si="8"/>
        <v>0</v>
      </c>
      <c r="AR25" s="26">
        <f t="shared" si="9"/>
        <v>0.88235294117647056</v>
      </c>
      <c r="AS25" s="27">
        <f t="shared" si="10"/>
        <v>-9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24.200000000000003</v>
      </c>
    </row>
    <row r="26" spans="1:47" x14ac:dyDescent="0.25">
      <c r="A26" s="15" t="s">
        <v>121</v>
      </c>
      <c r="B26" s="16" t="s">
        <v>306</v>
      </c>
      <c r="C26" s="17">
        <v>5</v>
      </c>
      <c r="D26" s="17" t="s">
        <v>118</v>
      </c>
      <c r="E26" s="18" t="s">
        <v>99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  <c r="R26" s="21"/>
      <c r="S26" s="21"/>
      <c r="T26" s="20"/>
      <c r="U26" s="22">
        <v>17</v>
      </c>
      <c r="V26" s="22"/>
      <c r="W26" s="22"/>
      <c r="X26" s="22"/>
      <c r="Y26" s="22"/>
      <c r="Z26" s="22"/>
      <c r="AA26" s="22">
        <v>0</v>
      </c>
      <c r="AB26" s="22">
        <v>0</v>
      </c>
      <c r="AC26" s="22">
        <v>0</v>
      </c>
      <c r="AD26" s="22">
        <v>15</v>
      </c>
      <c r="AE26" s="22">
        <v>10</v>
      </c>
      <c r="AF26" s="22">
        <v>119</v>
      </c>
      <c r="AG26" s="22">
        <v>1</v>
      </c>
      <c r="AH26" s="23" t="s">
        <v>101</v>
      </c>
      <c r="AI26" s="24" t="str">
        <f t="shared" si="0"/>
        <v/>
      </c>
      <c r="AJ26" s="24">
        <f t="shared" si="1"/>
        <v>11.9</v>
      </c>
      <c r="AK26" s="25">
        <f t="shared" si="2"/>
        <v>0.66666666666666663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2.4E-2</v>
      </c>
      <c r="AP26" s="25">
        <f t="shared" si="7"/>
        <v>0</v>
      </c>
      <c r="AQ26" s="26">
        <f t="shared" si="8"/>
        <v>0</v>
      </c>
      <c r="AR26" s="26">
        <f t="shared" si="9"/>
        <v>0.88235294117647056</v>
      </c>
      <c r="AS26" s="27">
        <f t="shared" si="10"/>
        <v>15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22.9</v>
      </c>
    </row>
    <row r="27" spans="1:47" x14ac:dyDescent="0.25">
      <c r="A27" s="15" t="s">
        <v>121</v>
      </c>
      <c r="B27" s="16" t="s">
        <v>307</v>
      </c>
      <c r="C27" s="17">
        <v>6</v>
      </c>
      <c r="D27" s="17" t="s">
        <v>128</v>
      </c>
      <c r="E27" s="18" t="s">
        <v>99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20"/>
      <c r="R27" s="21"/>
      <c r="S27" s="21"/>
      <c r="T27" s="20"/>
      <c r="U27" s="22">
        <v>17</v>
      </c>
      <c r="V27" s="22"/>
      <c r="W27" s="22"/>
      <c r="X27" s="22"/>
      <c r="Y27" s="22"/>
      <c r="Z27" s="22"/>
      <c r="AA27" s="22">
        <v>0</v>
      </c>
      <c r="AB27" s="22">
        <v>0</v>
      </c>
      <c r="AC27" s="22">
        <v>0</v>
      </c>
      <c r="AD27" s="22">
        <v>4</v>
      </c>
      <c r="AE27" s="22">
        <v>3</v>
      </c>
      <c r="AF27" s="22">
        <v>36</v>
      </c>
      <c r="AG27" s="22">
        <v>0</v>
      </c>
      <c r="AH27" s="23" t="s">
        <v>101</v>
      </c>
      <c r="AI27" s="24" t="str">
        <f t="shared" si="0"/>
        <v/>
      </c>
      <c r="AJ27" s="24">
        <f t="shared" si="1"/>
        <v>12</v>
      </c>
      <c r="AK27" s="25">
        <f t="shared" si="2"/>
        <v>0.75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6.4000000000000003E-3</v>
      </c>
      <c r="AP27" s="25">
        <f t="shared" si="7"/>
        <v>0</v>
      </c>
      <c r="AQ27" s="26">
        <f t="shared" si="8"/>
        <v>0</v>
      </c>
      <c r="AR27" s="26">
        <f t="shared" si="9"/>
        <v>0.23529411764705882</v>
      </c>
      <c r="AS27" s="27">
        <f t="shared" si="10"/>
        <v>4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5.0999999999999996</v>
      </c>
    </row>
    <row r="28" spans="1:47" x14ac:dyDescent="0.25">
      <c r="A28" s="15" t="s">
        <v>121</v>
      </c>
      <c r="B28" s="16" t="s">
        <v>308</v>
      </c>
      <c r="C28" s="17">
        <v>7</v>
      </c>
      <c r="D28" s="17" t="s">
        <v>130</v>
      </c>
      <c r="E28" s="18" t="s">
        <v>99</v>
      </c>
      <c r="F28" s="19"/>
      <c r="G28" s="19"/>
      <c r="H28" s="19"/>
      <c r="I28" s="19"/>
      <c r="J28" s="19"/>
      <c r="K28" s="19">
        <v>1</v>
      </c>
      <c r="L28" s="19"/>
      <c r="M28" s="19"/>
      <c r="N28" s="19"/>
      <c r="O28" s="19"/>
      <c r="P28" s="20"/>
      <c r="Q28" s="20">
        <v>9</v>
      </c>
      <c r="R28" s="21">
        <v>1</v>
      </c>
      <c r="S28" s="21"/>
      <c r="T28" s="20"/>
      <c r="U28" s="22">
        <v>17</v>
      </c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33"/>
      <c r="AI28" s="24" t="str">
        <f t="shared" si="0"/>
        <v/>
      </c>
      <c r="AJ28" s="24" t="str">
        <f t="shared" si="1"/>
        <v/>
      </c>
      <c r="AK28" s="25" t="str">
        <f t="shared" si="2"/>
        <v/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0</v>
      </c>
      <c r="AP28" s="25">
        <f t="shared" si="7"/>
        <v>0</v>
      </c>
      <c r="AQ28" s="26">
        <f t="shared" si="8"/>
        <v>0</v>
      </c>
      <c r="AR28" s="26">
        <f t="shared" si="9"/>
        <v>0</v>
      </c>
      <c r="AS28" s="27">
        <f t="shared" si="10"/>
        <v>0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0</v>
      </c>
    </row>
    <row r="29" spans="1:47" x14ac:dyDescent="0.25">
      <c r="A29" s="15" t="s">
        <v>121</v>
      </c>
      <c r="B29" s="16" t="s">
        <v>309</v>
      </c>
      <c r="C29" s="17">
        <v>8</v>
      </c>
      <c r="D29" s="17" t="s">
        <v>158</v>
      </c>
      <c r="E29" s="18" t="s">
        <v>99</v>
      </c>
      <c r="F29" s="19">
        <v>2</v>
      </c>
      <c r="G29" s="19"/>
      <c r="H29" s="19"/>
      <c r="I29" s="19"/>
      <c r="J29" s="19">
        <v>9</v>
      </c>
      <c r="K29" s="19">
        <v>1</v>
      </c>
      <c r="L29" s="19">
        <v>1</v>
      </c>
      <c r="M29" s="19"/>
      <c r="N29" s="19" t="s">
        <v>290</v>
      </c>
      <c r="O29" s="19">
        <v>14</v>
      </c>
      <c r="P29" s="20">
        <v>6.5</v>
      </c>
      <c r="Q29" s="20">
        <v>8.6199999999999992</v>
      </c>
      <c r="R29" s="21">
        <v>0.72699999999999998</v>
      </c>
      <c r="S29" s="21"/>
      <c r="T29" s="20"/>
      <c r="U29" s="22">
        <v>17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2</v>
      </c>
      <c r="AE29" s="22">
        <v>2</v>
      </c>
      <c r="AF29" s="22">
        <v>22</v>
      </c>
      <c r="AG29" s="22">
        <v>0</v>
      </c>
      <c r="AH29" s="23" t="s">
        <v>101</v>
      </c>
      <c r="AI29" s="24" t="str">
        <f t="shared" si="0"/>
        <v/>
      </c>
      <c r="AJ29" s="24">
        <f t="shared" si="1"/>
        <v>11</v>
      </c>
      <c r="AK29" s="25">
        <f t="shared" si="2"/>
        <v>1</v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3.2000000000000002E-3</v>
      </c>
      <c r="AP29" s="25">
        <f t="shared" si="7"/>
        <v>0</v>
      </c>
      <c r="AQ29" s="26">
        <f t="shared" si="8"/>
        <v>0</v>
      </c>
      <c r="AR29" s="26">
        <f t="shared" si="9"/>
        <v>0.11764705882352941</v>
      </c>
      <c r="AS29" s="27">
        <f t="shared" si="10"/>
        <v>1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3.2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310</v>
      </c>
      <c r="C31" s="17">
        <v>1</v>
      </c>
      <c r="D31" s="17" t="s">
        <v>200</v>
      </c>
      <c r="E31" s="18" t="s">
        <v>99</v>
      </c>
      <c r="F31" s="19"/>
      <c r="G31" s="19"/>
      <c r="H31" s="19"/>
      <c r="I31" s="19"/>
      <c r="J31" s="19">
        <v>45</v>
      </c>
      <c r="K31" s="19">
        <v>83</v>
      </c>
      <c r="L31" s="19">
        <v>42</v>
      </c>
      <c r="M31" s="19">
        <v>307</v>
      </c>
      <c r="N31" s="19" t="s">
        <v>290</v>
      </c>
      <c r="O31" s="19">
        <v>13</v>
      </c>
      <c r="P31" s="20"/>
      <c r="Q31" s="20">
        <v>9.9700000000000006</v>
      </c>
      <c r="R31" s="21">
        <v>0.71799999999999997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58</v>
      </c>
      <c r="AE31" s="22">
        <v>40</v>
      </c>
      <c r="AF31" s="22">
        <v>417</v>
      </c>
      <c r="AG31" s="22">
        <v>3</v>
      </c>
      <c r="AH31" s="23" t="s">
        <v>101</v>
      </c>
      <c r="AI31" s="24" t="str">
        <f t="shared" si="0"/>
        <v/>
      </c>
      <c r="AJ31" s="24">
        <f t="shared" si="1"/>
        <v>10.425000000000001</v>
      </c>
      <c r="AK31" s="25">
        <f t="shared" si="2"/>
        <v>0.68965517241379315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9.2799999999999994E-2</v>
      </c>
      <c r="AP31" s="25">
        <f t="shared" si="7"/>
        <v>0</v>
      </c>
      <c r="AQ31" s="26">
        <f t="shared" si="8"/>
        <v>0</v>
      </c>
      <c r="AR31" s="26">
        <f t="shared" si="9"/>
        <v>3.4117647058823528</v>
      </c>
      <c r="AS31" s="27">
        <f t="shared" si="10"/>
        <v>16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79.7</v>
      </c>
    </row>
    <row r="32" spans="1:47" x14ac:dyDescent="0.25">
      <c r="A32" s="15" t="s">
        <v>135</v>
      </c>
      <c r="B32" s="16" t="s">
        <v>311</v>
      </c>
      <c r="C32" s="17">
        <v>2</v>
      </c>
      <c r="D32" s="17" t="s">
        <v>105</v>
      </c>
      <c r="E32" s="18" t="s">
        <v>99</v>
      </c>
      <c r="F32" s="19"/>
      <c r="G32" s="19"/>
      <c r="H32" s="19"/>
      <c r="I32" s="19"/>
      <c r="J32" s="19"/>
      <c r="K32" s="19">
        <v>22</v>
      </c>
      <c r="L32" s="19"/>
      <c r="M32" s="19"/>
      <c r="N32" s="19"/>
      <c r="O32" s="19"/>
      <c r="P32" s="20"/>
      <c r="Q32" s="20">
        <v>7.9</v>
      </c>
      <c r="R32" s="21">
        <v>0.90900000000000003</v>
      </c>
      <c r="S32" s="21"/>
      <c r="T32" s="20"/>
      <c r="U32" s="22">
        <v>17</v>
      </c>
      <c r="V32" s="22"/>
      <c r="W32" s="22"/>
      <c r="X32" s="22"/>
      <c r="Y32" s="22"/>
      <c r="Z32" s="22"/>
      <c r="AA32" s="22">
        <v>0</v>
      </c>
      <c r="AB32" s="22">
        <v>0</v>
      </c>
      <c r="AC32" s="22">
        <v>0</v>
      </c>
      <c r="AD32" s="22">
        <v>31</v>
      </c>
      <c r="AE32" s="22">
        <v>26</v>
      </c>
      <c r="AF32" s="22">
        <v>243</v>
      </c>
      <c r="AG32" s="22">
        <v>2</v>
      </c>
      <c r="AH32" s="23" t="s">
        <v>101</v>
      </c>
      <c r="AI32" s="24" t="str">
        <f t="shared" si="0"/>
        <v/>
      </c>
      <c r="AJ32" s="24">
        <f t="shared" si="1"/>
        <v>9.3461538461538467</v>
      </c>
      <c r="AK32" s="25">
        <f t="shared" si="2"/>
        <v>0.83870967741935487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4.9599999999999998E-2</v>
      </c>
      <c r="AP32" s="25">
        <f t="shared" si="7"/>
        <v>0</v>
      </c>
      <c r="AQ32" s="26">
        <f t="shared" si="8"/>
        <v>0</v>
      </c>
      <c r="AR32" s="26">
        <f t="shared" si="9"/>
        <v>1.8235294117647058</v>
      </c>
      <c r="AS32" s="27">
        <f t="shared" si="10"/>
        <v>31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49.3</v>
      </c>
    </row>
    <row r="33" spans="1:47" x14ac:dyDescent="0.25">
      <c r="A33" s="15" t="s">
        <v>135</v>
      </c>
      <c r="B33" s="16" t="s">
        <v>312</v>
      </c>
      <c r="C33" s="17">
        <v>3</v>
      </c>
      <c r="D33" s="17" t="s">
        <v>200</v>
      </c>
      <c r="E33" s="18" t="s">
        <v>99</v>
      </c>
      <c r="F33" s="19"/>
      <c r="G33" s="19">
        <v>1</v>
      </c>
      <c r="H33" s="19">
        <v>1</v>
      </c>
      <c r="I33" s="19">
        <v>3</v>
      </c>
      <c r="J33" s="19">
        <v>27</v>
      </c>
      <c r="K33" s="19">
        <v>22</v>
      </c>
      <c r="L33" s="19">
        <v>20</v>
      </c>
      <c r="M33" s="19">
        <v>106</v>
      </c>
      <c r="N33" s="19" t="s">
        <v>290</v>
      </c>
      <c r="O33" s="19">
        <v>17</v>
      </c>
      <c r="P33" s="20">
        <v>-0.5</v>
      </c>
      <c r="Q33" s="20">
        <v>6.63</v>
      </c>
      <c r="R33" s="21">
        <v>0.82599999999999996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18</v>
      </c>
      <c r="AE33" s="22">
        <v>14</v>
      </c>
      <c r="AF33" s="22">
        <v>107</v>
      </c>
      <c r="AG33" s="22">
        <v>1</v>
      </c>
      <c r="AH33" s="23" t="s">
        <v>101</v>
      </c>
      <c r="AI33" s="24" t="str">
        <f t="shared" si="0"/>
        <v/>
      </c>
      <c r="AJ33" s="24">
        <f t="shared" si="1"/>
        <v>7.6428571428571432</v>
      </c>
      <c r="AK33" s="25">
        <f t="shared" si="2"/>
        <v>0.77777777777777779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2.8799999999999999E-2</v>
      </c>
      <c r="AP33" s="25">
        <f t="shared" si="7"/>
        <v>0</v>
      </c>
      <c r="AQ33" s="26">
        <f t="shared" si="8"/>
        <v>0</v>
      </c>
      <c r="AR33" s="26">
        <f t="shared" si="9"/>
        <v>1.0588235294117647</v>
      </c>
      <c r="AS33" s="27">
        <f t="shared" si="10"/>
        <v>-2</v>
      </c>
      <c r="AT33" s="27">
        <f t="shared" si="11"/>
        <v>-1</v>
      </c>
      <c r="AU33" s="28">
        <f>AF33*Settings!$B$7+AG33*Settings!$B$8+AE33*Settings!$B$9+AB33*Settings!$B$10+AC33*Settings!$B$11+X33*Settings!$B$12+Y33*Settings!$B$13+Z33*Settings!$B$14</f>
        <v>23.700000000000003</v>
      </c>
    </row>
    <row r="34" spans="1:47" x14ac:dyDescent="0.25">
      <c r="A34" s="15" t="s">
        <v>135</v>
      </c>
      <c r="B34" s="16" t="s">
        <v>313</v>
      </c>
      <c r="C34" s="17">
        <v>4</v>
      </c>
      <c r="D34" s="17" t="s">
        <v>128</v>
      </c>
      <c r="E34" s="18" t="s">
        <v>99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1"/>
      <c r="S34" s="21"/>
      <c r="T34" s="20"/>
      <c r="U34" s="22">
        <v>17</v>
      </c>
      <c r="V34" s="22"/>
      <c r="W34" s="22"/>
      <c r="X34" s="22"/>
      <c r="Y34" s="22"/>
      <c r="Z34" s="22"/>
      <c r="AA34" s="22">
        <v>0</v>
      </c>
      <c r="AB34" s="22">
        <v>0</v>
      </c>
      <c r="AC34" s="22">
        <v>0</v>
      </c>
      <c r="AD34" s="22">
        <v>17</v>
      </c>
      <c r="AE34" s="22">
        <v>12</v>
      </c>
      <c r="AF34" s="22">
        <v>125</v>
      </c>
      <c r="AG34" s="22">
        <v>1</v>
      </c>
      <c r="AH34" s="23" t="s">
        <v>101</v>
      </c>
      <c r="AI34" s="24" t="str">
        <f t="shared" si="0"/>
        <v/>
      </c>
      <c r="AJ34" s="24">
        <f t="shared" si="1"/>
        <v>10.416666666666666</v>
      </c>
      <c r="AK34" s="25">
        <f t="shared" si="2"/>
        <v>0.70588235294117652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2.7199999999999998E-2</v>
      </c>
      <c r="AP34" s="25">
        <f t="shared" si="7"/>
        <v>0</v>
      </c>
      <c r="AQ34" s="26">
        <f t="shared" si="8"/>
        <v>0</v>
      </c>
      <c r="AR34" s="26">
        <f t="shared" si="9"/>
        <v>1</v>
      </c>
      <c r="AS34" s="27">
        <f t="shared" si="10"/>
        <v>17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24.5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625</v>
      </c>
      <c r="W37" s="34">
        <f t="shared" si="12"/>
        <v>421</v>
      </c>
      <c r="X37" s="34">
        <f t="shared" si="12"/>
        <v>4522</v>
      </c>
      <c r="Y37" s="34">
        <f t="shared" si="12"/>
        <v>35</v>
      </c>
      <c r="Z37" s="34">
        <f t="shared" si="12"/>
        <v>12</v>
      </c>
      <c r="AA37" s="34">
        <f t="shared" si="12"/>
        <v>405</v>
      </c>
      <c r="AB37" s="34">
        <f t="shared" si="12"/>
        <v>1697</v>
      </c>
      <c r="AC37" s="34">
        <f t="shared" si="12"/>
        <v>12</v>
      </c>
      <c r="AD37" s="34">
        <f t="shared" si="12"/>
        <v>605</v>
      </c>
      <c r="AE37" s="34">
        <f t="shared" si="12"/>
        <v>425</v>
      </c>
      <c r="AF37" s="34">
        <f t="shared" si="12"/>
        <v>4627</v>
      </c>
      <c r="AG37" s="34">
        <f t="shared" si="12"/>
        <v>37</v>
      </c>
    </row>
    <row r="38" spans="1:47" x14ac:dyDescent="0.25">
      <c r="A38" s="5" t="s">
        <v>142</v>
      </c>
      <c r="V38" s="35">
        <f>$F$5</f>
        <v>655</v>
      </c>
      <c r="X38" s="35">
        <f>$I$5</f>
        <v>4287</v>
      </c>
      <c r="Y38" s="35">
        <f>$J$5</f>
        <v>33</v>
      </c>
      <c r="Z38" s="35">
        <f>$K$5</f>
        <v>14</v>
      </c>
      <c r="AA38" s="35">
        <f>$H$5</f>
        <v>404.09999999999991</v>
      </c>
      <c r="AB38" s="35">
        <f>$L$5</f>
        <v>1691</v>
      </c>
      <c r="AC38" s="35">
        <f>$M$5</f>
        <v>13</v>
      </c>
      <c r="AD38" s="35">
        <f>$G$5</f>
        <v>625</v>
      </c>
      <c r="AF38" s="35">
        <f>$I$5</f>
        <v>4287</v>
      </c>
      <c r="AG38" s="35">
        <f>$J$5</f>
        <v>33</v>
      </c>
    </row>
    <row r="39" spans="1:47" x14ac:dyDescent="0.25">
      <c r="A39" s="5" t="s">
        <v>143</v>
      </c>
      <c r="V39" s="36">
        <f>$F$5-V37</f>
        <v>30</v>
      </c>
      <c r="X39" s="36">
        <f>$I$5-X37</f>
        <v>-235</v>
      </c>
      <c r="Y39" s="36">
        <f>$J$5-Y37</f>
        <v>-2</v>
      </c>
      <c r="Z39" s="36">
        <f>$K$5-Z37</f>
        <v>2</v>
      </c>
      <c r="AA39" s="36">
        <f>$H$5-AA37</f>
        <v>-0.90000000000009095</v>
      </c>
      <c r="AB39" s="36">
        <f>$L$5-AB37</f>
        <v>-6</v>
      </c>
      <c r="AC39" s="36">
        <f>$M$5-AC37</f>
        <v>1</v>
      </c>
      <c r="AD39" s="36">
        <f>$G$5-AD37</f>
        <v>20</v>
      </c>
      <c r="AF39" s="36">
        <f>$I$5-AF37</f>
        <v>-340</v>
      </c>
      <c r="AG39" s="36">
        <f>$J$5-AG37</f>
        <v>-4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779" priority="1" stopIfTrue="1">
      <formula>V37&gt;$F$5</formula>
    </cfRule>
    <cfRule type="expression" dxfId="778" priority="2">
      <formula>AND($F$5&gt;0,V37&lt;$F$5*0.97)</formula>
    </cfRule>
    <cfRule type="expression" dxfId="777" priority="3">
      <formula>AND($F$5&gt;0,V37&gt;=$F$5*0.97,V37&lt;=$F$5)</formula>
    </cfRule>
  </conditionalFormatting>
  <conditionalFormatting sqref="X37">
    <cfRule type="expression" dxfId="776" priority="4" stopIfTrue="1">
      <formula>X37&gt;$I$5</formula>
    </cfRule>
    <cfRule type="expression" dxfId="775" priority="5">
      <formula>AND($I$5&gt;0,X37&lt;$I$5*0.97)</formula>
    </cfRule>
    <cfRule type="expression" dxfId="774" priority="6">
      <formula>AND($I$5&gt;0,X37&gt;=$I$5*0.97,X37&lt;=$I$5)</formula>
    </cfRule>
  </conditionalFormatting>
  <conditionalFormatting sqref="Y37">
    <cfRule type="expression" dxfId="773" priority="7" stopIfTrue="1">
      <formula>Y37&gt;$J$5</formula>
    </cfRule>
    <cfRule type="expression" dxfId="772" priority="8">
      <formula>AND($J$5&gt;0,Y37&lt;$J$5*0.97)</formula>
    </cfRule>
    <cfRule type="expression" dxfId="771" priority="9">
      <formula>AND($J$5&gt;0,Y37&gt;=$J$5*0.97,Y37&lt;=$J$5)</formula>
    </cfRule>
  </conditionalFormatting>
  <conditionalFormatting sqref="Z37">
    <cfRule type="expression" dxfId="770" priority="10" stopIfTrue="1">
      <formula>Z37&gt;$K$5</formula>
    </cfRule>
    <cfRule type="expression" dxfId="769" priority="11">
      <formula>AND($K$5&gt;0,Z37&lt;$K$5*0.97)</formula>
    </cfRule>
    <cfRule type="expression" dxfId="768" priority="12">
      <formula>AND($K$5&gt;0,Z37&gt;=$K$5*0.97,Z37&lt;=$K$5)</formula>
    </cfRule>
  </conditionalFormatting>
  <conditionalFormatting sqref="AA37">
    <cfRule type="expression" dxfId="767" priority="13" stopIfTrue="1">
      <formula>AA37&gt;$H$5</formula>
    </cfRule>
    <cfRule type="expression" dxfId="766" priority="14">
      <formula>AND($H$5&gt;0,AA37&lt;$H$5*0.97)</formula>
    </cfRule>
    <cfRule type="expression" dxfId="765" priority="15">
      <formula>AND($H$5&gt;0,AA37&gt;=$H$5*0.97,AA37&lt;=$H$5)</formula>
    </cfRule>
  </conditionalFormatting>
  <conditionalFormatting sqref="AB37">
    <cfRule type="expression" dxfId="764" priority="16" stopIfTrue="1">
      <formula>AB37&gt;$L$5</formula>
    </cfRule>
    <cfRule type="expression" dxfId="763" priority="17">
      <formula>AND($L$5&gt;0,AB37&lt;$L$5*0.97)</formula>
    </cfRule>
    <cfRule type="expression" dxfId="762" priority="18">
      <formula>AND($L$5&gt;0,AB37&gt;=$L$5*0.97,AB37&lt;=$L$5)</formula>
    </cfRule>
  </conditionalFormatting>
  <conditionalFormatting sqref="AC37">
    <cfRule type="expression" dxfId="761" priority="19" stopIfTrue="1">
      <formula>AC37&gt;$M$5</formula>
    </cfRule>
    <cfRule type="expression" dxfId="760" priority="20">
      <formula>AND($M$5&gt;0,AC37&lt;$M$5*0.97)</formula>
    </cfRule>
    <cfRule type="expression" dxfId="759" priority="21">
      <formula>AND($M$5&gt;0,AC37&gt;=$M$5*0.97,AC37&lt;=$M$5)</formula>
    </cfRule>
  </conditionalFormatting>
  <conditionalFormatting sqref="AD37">
    <cfRule type="expression" dxfId="758" priority="22" stopIfTrue="1">
      <formula>AD37&gt;$G$5</formula>
    </cfRule>
    <cfRule type="expression" dxfId="757" priority="23">
      <formula>AND($G$5&gt;0,AD37&lt;$G$5*0.97)</formula>
    </cfRule>
    <cfRule type="expression" dxfId="756" priority="24">
      <formula>AND($G$5&gt;0,AD37&gt;=$G$5*0.97,AD37&lt;=$G$5)</formula>
    </cfRule>
  </conditionalFormatting>
  <conditionalFormatting sqref="AF37">
    <cfRule type="expression" dxfId="755" priority="25" stopIfTrue="1">
      <formula>AF37&gt;$I$5</formula>
    </cfRule>
    <cfRule type="expression" dxfId="754" priority="26">
      <formula>AND($I$5&gt;0,AF37&lt;$I$5*0.97)</formula>
    </cfRule>
    <cfRule type="expression" dxfId="753" priority="27">
      <formula>AND($I$5&gt;0,AF37&gt;=$I$5*0.97,AF37&lt;=$I$5)</formula>
    </cfRule>
  </conditionalFormatting>
  <conditionalFormatting sqref="AG37">
    <cfRule type="expression" dxfId="752" priority="28" stopIfTrue="1">
      <formula>AG37&gt;$J$5</formula>
    </cfRule>
    <cfRule type="expression" dxfId="751" priority="29">
      <formula>AND($J$5&gt;0,AG37&lt;$J$5*0.97)</formula>
    </cfRule>
    <cfRule type="expression" dxfId="750" priority="30">
      <formula>AND($J$5&gt;0,AG37&gt;=$J$5*0.97,AG37&lt;=$J$5)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314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63.2</v>
      </c>
      <c r="D5" s="10">
        <f>C5*B5</f>
        <v>1074.4000000000001</v>
      </c>
      <c r="E5" s="11">
        <v>0.59230000000000005</v>
      </c>
      <c r="F5" s="10">
        <f>ROUND(D5*E5,0)</f>
        <v>636</v>
      </c>
      <c r="G5" s="10">
        <f>ROUND(F5*Settings!$B$4,0)</f>
        <v>607</v>
      </c>
      <c r="H5" s="10">
        <f>D5-F5</f>
        <v>438.40000000000009</v>
      </c>
      <c r="I5" s="8">
        <v>3649</v>
      </c>
      <c r="J5" s="9">
        <v>21</v>
      </c>
      <c r="K5" s="9">
        <v>17</v>
      </c>
      <c r="L5" s="8">
        <v>1790</v>
      </c>
      <c r="M5" s="9">
        <v>12</v>
      </c>
    </row>
    <row r="7" spans="1:47" x14ac:dyDescent="0.25">
      <c r="A7" s="5" t="s">
        <v>54</v>
      </c>
      <c r="B7" s="12" t="s">
        <v>315</v>
      </c>
    </row>
    <row r="8" spans="1:47" x14ac:dyDescent="0.25">
      <c r="A8" s="5" t="s">
        <v>56</v>
      </c>
      <c r="B8" s="13" t="s">
        <v>316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317</v>
      </c>
      <c r="C11" s="17">
        <v>1</v>
      </c>
      <c r="D11" s="17" t="s">
        <v>200</v>
      </c>
      <c r="E11" s="18" t="s">
        <v>99</v>
      </c>
      <c r="F11" s="19">
        <v>25</v>
      </c>
      <c r="G11" s="19">
        <v>30</v>
      </c>
      <c r="H11" s="19"/>
      <c r="I11" s="19"/>
      <c r="J11" s="19"/>
      <c r="K11" s="19"/>
      <c r="L11" s="19"/>
      <c r="M11" s="19"/>
      <c r="N11" s="19"/>
      <c r="O11" s="19"/>
      <c r="P11" s="20">
        <v>5.27</v>
      </c>
      <c r="Q11" s="20"/>
      <c r="R11" s="21"/>
      <c r="S11" s="21">
        <v>0.625</v>
      </c>
      <c r="T11" s="20">
        <v>5.85</v>
      </c>
      <c r="U11" s="22">
        <v>17</v>
      </c>
      <c r="V11" s="22">
        <v>254</v>
      </c>
      <c r="W11" s="22">
        <v>155</v>
      </c>
      <c r="X11" s="22">
        <v>1663</v>
      </c>
      <c r="Y11" s="22">
        <v>9</v>
      </c>
      <c r="Z11" s="22">
        <v>7</v>
      </c>
      <c r="AA11" s="22">
        <v>37</v>
      </c>
      <c r="AB11" s="22">
        <v>158</v>
      </c>
      <c r="AC11" s="22">
        <v>1</v>
      </c>
      <c r="AD11" s="22"/>
      <c r="AE11" s="22"/>
      <c r="AF11" s="22"/>
      <c r="AG11" s="22"/>
      <c r="AH11" s="23" t="s">
        <v>101</v>
      </c>
      <c r="AI11" s="24">
        <f t="shared" ref="AI11:AI35" si="0">IFERROR(AB11/AA11,"")</f>
        <v>4.2702702702702702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6.5472440944881889</v>
      </c>
      <c r="AM11" s="25">
        <f t="shared" ref="AM11:AM35" si="4">IFERROR(W11/V11,"")</f>
        <v>0.61023622047244097</v>
      </c>
      <c r="AN11" s="25">
        <f t="shared" ref="AN11:AN35" si="5">IFERROR(AA11/$H$5,"")</f>
        <v>8.4397810218978089E-2</v>
      </c>
      <c r="AO11" s="25">
        <f t="shared" ref="AO11:AO35" si="6">IFERROR(AD11/$G$5,"")</f>
        <v>0</v>
      </c>
      <c r="AP11" s="25">
        <f t="shared" ref="AP11:AP35" si="7">IFERROR(V11/$F$5,"")</f>
        <v>0.39937106918238996</v>
      </c>
      <c r="AQ11" s="26">
        <f t="shared" ref="AQ11:AQ35" si="8">IFERROR(AA11/U11,"")</f>
        <v>2.1764705882352939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37</v>
      </c>
      <c r="AU11" s="28">
        <f>AF11*Settings!$B$7+AG11*Settings!$B$8+AE11*Settings!$B$9+AB11*Settings!$B$10+AC11*Settings!$B$11+X11*Settings!$B$12+Y11*Settings!$B$13+Z11*Settings!$B$14</f>
        <v>110.32</v>
      </c>
    </row>
    <row r="12" spans="1:47" x14ac:dyDescent="0.25">
      <c r="A12" s="15" t="s">
        <v>96</v>
      </c>
      <c r="B12" s="16" t="s">
        <v>318</v>
      </c>
      <c r="C12" s="17">
        <v>2</v>
      </c>
      <c r="D12" s="17" t="s">
        <v>118</v>
      </c>
      <c r="E12" s="18" t="s">
        <v>99</v>
      </c>
      <c r="F12" s="19"/>
      <c r="G12" s="19"/>
      <c r="H12" s="19">
        <v>19</v>
      </c>
      <c r="I12" s="19">
        <v>169</v>
      </c>
      <c r="J12" s="19"/>
      <c r="K12" s="19"/>
      <c r="L12" s="19"/>
      <c r="M12" s="19"/>
      <c r="N12" s="19" t="s">
        <v>293</v>
      </c>
      <c r="O12" s="19">
        <v>8</v>
      </c>
      <c r="P12" s="20">
        <v>8.89</v>
      </c>
      <c r="Q12" s="20"/>
      <c r="R12" s="21"/>
      <c r="S12" s="21">
        <v>0.56599999999999995</v>
      </c>
      <c r="T12" s="20">
        <v>6.6</v>
      </c>
      <c r="U12" s="22">
        <v>17</v>
      </c>
      <c r="V12" s="22">
        <v>265</v>
      </c>
      <c r="W12" s="22">
        <v>158</v>
      </c>
      <c r="X12" s="22">
        <v>1729</v>
      </c>
      <c r="Y12" s="22">
        <v>9</v>
      </c>
      <c r="Z12" s="22">
        <v>9</v>
      </c>
      <c r="AA12" s="22">
        <v>27</v>
      </c>
      <c r="AB12" s="22">
        <v>152</v>
      </c>
      <c r="AC12" s="22">
        <v>1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5.6296296296296298</v>
      </c>
      <c r="AJ12" s="24" t="str">
        <f t="shared" si="1"/>
        <v/>
      </c>
      <c r="AK12" s="25" t="str">
        <f t="shared" si="2"/>
        <v/>
      </c>
      <c r="AL12" s="24">
        <f t="shared" si="3"/>
        <v>6.5245283018867921</v>
      </c>
      <c r="AM12" s="25">
        <f t="shared" si="4"/>
        <v>0.5962264150943396</v>
      </c>
      <c r="AN12" s="25">
        <f t="shared" si="5"/>
        <v>6.15875912408759E-2</v>
      </c>
      <c r="AO12" s="25">
        <f t="shared" si="6"/>
        <v>0</v>
      </c>
      <c r="AP12" s="25">
        <f t="shared" si="7"/>
        <v>0.41666666666666669</v>
      </c>
      <c r="AQ12" s="26">
        <f t="shared" si="8"/>
        <v>1.588235294117647</v>
      </c>
      <c r="AR12" s="26">
        <f t="shared" si="9"/>
        <v>0</v>
      </c>
      <c r="AS12" s="27">
        <f t="shared" si="10"/>
        <v>0</v>
      </c>
      <c r="AT12" s="27">
        <f t="shared" si="11"/>
        <v>8</v>
      </c>
      <c r="AU12" s="28">
        <f>AF12*Settings!$B$7+AG12*Settings!$B$8+AE12*Settings!$B$9+AB12*Settings!$B$10+AC12*Settings!$B$11+X12*Settings!$B$12+Y12*Settings!$B$13+Z12*Settings!$B$14</f>
        <v>108.36</v>
      </c>
    </row>
    <row r="13" spans="1:47" x14ac:dyDescent="0.25">
      <c r="A13" s="15" t="s">
        <v>96</v>
      </c>
      <c r="B13" s="16" t="s">
        <v>319</v>
      </c>
      <c r="C13" s="17">
        <v>3</v>
      </c>
      <c r="D13" s="17" t="s">
        <v>103</v>
      </c>
      <c r="E13" s="18" t="s">
        <v>99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1"/>
      <c r="S13" s="21"/>
      <c r="T13" s="20"/>
      <c r="U13" s="22">
        <v>17</v>
      </c>
      <c r="V13" s="22">
        <v>40</v>
      </c>
      <c r="W13" s="22">
        <v>24</v>
      </c>
      <c r="X13" s="22">
        <v>276</v>
      </c>
      <c r="Y13" s="22">
        <v>2</v>
      </c>
      <c r="Z13" s="22">
        <v>1</v>
      </c>
      <c r="AA13" s="22">
        <v>12</v>
      </c>
      <c r="AB13" s="22">
        <v>45</v>
      </c>
      <c r="AC13" s="22">
        <v>1</v>
      </c>
      <c r="AD13" s="22"/>
      <c r="AE13" s="22"/>
      <c r="AF13" s="22"/>
      <c r="AG13" s="22"/>
      <c r="AH13" s="23" t="s">
        <v>101</v>
      </c>
      <c r="AI13" s="24">
        <f t="shared" si="0"/>
        <v>3.75</v>
      </c>
      <c r="AJ13" s="24" t="str">
        <f t="shared" si="1"/>
        <v/>
      </c>
      <c r="AK13" s="25" t="str">
        <f t="shared" si="2"/>
        <v/>
      </c>
      <c r="AL13" s="24">
        <f t="shared" si="3"/>
        <v>6.9</v>
      </c>
      <c r="AM13" s="25">
        <f t="shared" si="4"/>
        <v>0.6</v>
      </c>
      <c r="AN13" s="25">
        <f t="shared" si="5"/>
        <v>2.7372262773722622E-2</v>
      </c>
      <c r="AO13" s="25">
        <f t="shared" si="6"/>
        <v>0</v>
      </c>
      <c r="AP13" s="25">
        <f t="shared" si="7"/>
        <v>6.2893081761006289E-2</v>
      </c>
      <c r="AQ13" s="26">
        <f t="shared" si="8"/>
        <v>0.70588235294117652</v>
      </c>
      <c r="AR13" s="26">
        <f t="shared" si="9"/>
        <v>0</v>
      </c>
      <c r="AS13" s="27">
        <f t="shared" si="10"/>
        <v>0</v>
      </c>
      <c r="AT13" s="27">
        <f t="shared" si="11"/>
        <v>12</v>
      </c>
      <c r="AU13" s="28">
        <f>AF13*Settings!$B$7+AG13*Settings!$B$8+AE13*Settings!$B$9+AB13*Settings!$B$10+AC13*Settings!$B$11+X13*Settings!$B$12+Y13*Settings!$B$13+Z13*Settings!$B$14</f>
        <v>27.54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320</v>
      </c>
      <c r="C15" s="17">
        <v>1</v>
      </c>
      <c r="D15" s="17" t="s">
        <v>128</v>
      </c>
      <c r="E15" s="18" t="s">
        <v>99</v>
      </c>
      <c r="F15" s="19"/>
      <c r="G15" s="19"/>
      <c r="H15" s="19">
        <v>230</v>
      </c>
      <c r="I15" s="19">
        <v>827</v>
      </c>
      <c r="J15" s="19"/>
      <c r="K15" s="19"/>
      <c r="L15" s="19">
        <v>36</v>
      </c>
      <c r="M15" s="19">
        <v>171</v>
      </c>
      <c r="N15" s="19" t="s">
        <v>293</v>
      </c>
      <c r="O15" s="19">
        <v>14</v>
      </c>
      <c r="P15" s="20">
        <v>3.6</v>
      </c>
      <c r="Q15" s="20">
        <v>6.58</v>
      </c>
      <c r="R15" s="21">
        <v>0.72199999999999998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268</v>
      </c>
      <c r="AB15" s="22">
        <v>1032</v>
      </c>
      <c r="AC15" s="22">
        <v>7</v>
      </c>
      <c r="AD15" s="22">
        <v>40</v>
      </c>
      <c r="AE15" s="22">
        <v>29</v>
      </c>
      <c r="AF15" s="22">
        <v>203</v>
      </c>
      <c r="AG15" s="22">
        <v>1</v>
      </c>
      <c r="AH15" s="23" t="s">
        <v>101</v>
      </c>
      <c r="AI15" s="24">
        <f t="shared" si="0"/>
        <v>3.8507462686567164</v>
      </c>
      <c r="AJ15" s="24">
        <f t="shared" si="1"/>
        <v>7</v>
      </c>
      <c r="AK15" s="25">
        <f t="shared" si="2"/>
        <v>0.72499999999999998</v>
      </c>
      <c r="AL15" s="24" t="str">
        <f t="shared" si="3"/>
        <v/>
      </c>
      <c r="AM15" s="25" t="str">
        <f t="shared" si="4"/>
        <v/>
      </c>
      <c r="AN15" s="25">
        <f t="shared" si="5"/>
        <v>0.61131386861313852</v>
      </c>
      <c r="AO15" s="25">
        <f t="shared" si="6"/>
        <v>6.589785831960461E-2</v>
      </c>
      <c r="AP15" s="25">
        <f t="shared" si="7"/>
        <v>0</v>
      </c>
      <c r="AQ15" s="26">
        <f t="shared" si="8"/>
        <v>15.764705882352942</v>
      </c>
      <c r="AR15" s="26">
        <f t="shared" si="9"/>
        <v>2.3529411764705883</v>
      </c>
      <c r="AS15" s="27">
        <f t="shared" si="10"/>
        <v>4</v>
      </c>
      <c r="AT15" s="27">
        <f t="shared" si="11"/>
        <v>38</v>
      </c>
      <c r="AU15" s="28">
        <f>AF15*Settings!$B$7+AG15*Settings!$B$8+AE15*Settings!$B$9+AB15*Settings!$B$10+AC15*Settings!$B$11+X15*Settings!$B$12+Y15*Settings!$B$13+Z15*Settings!$B$14</f>
        <v>186</v>
      </c>
    </row>
    <row r="16" spans="1:47" x14ac:dyDescent="0.25">
      <c r="A16" s="15" t="s">
        <v>107</v>
      </c>
      <c r="B16" s="16" t="s">
        <v>321</v>
      </c>
      <c r="C16" s="17">
        <v>2</v>
      </c>
      <c r="D16" s="17" t="s">
        <v>109</v>
      </c>
      <c r="E16" s="18" t="s">
        <v>99</v>
      </c>
      <c r="F16" s="19"/>
      <c r="G16" s="19"/>
      <c r="H16" s="19">
        <v>65</v>
      </c>
      <c r="I16" s="19">
        <v>175</v>
      </c>
      <c r="J16" s="19"/>
      <c r="K16" s="19"/>
      <c r="L16" s="19">
        <v>40</v>
      </c>
      <c r="M16" s="19">
        <v>271</v>
      </c>
      <c r="N16" s="19" t="s">
        <v>293</v>
      </c>
      <c r="O16" s="19">
        <v>15</v>
      </c>
      <c r="P16" s="20">
        <v>2.69</v>
      </c>
      <c r="Q16" s="20">
        <v>8.2100000000000009</v>
      </c>
      <c r="R16" s="21">
        <v>0.82499999999999996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78</v>
      </c>
      <c r="AB16" s="22">
        <v>284</v>
      </c>
      <c r="AC16" s="22">
        <v>1</v>
      </c>
      <c r="AD16" s="22">
        <v>38</v>
      </c>
      <c r="AE16" s="22">
        <v>33</v>
      </c>
      <c r="AF16" s="22">
        <v>260</v>
      </c>
      <c r="AG16" s="22">
        <v>2</v>
      </c>
      <c r="AH16" s="23" t="s">
        <v>101</v>
      </c>
      <c r="AI16" s="24">
        <f t="shared" si="0"/>
        <v>3.641025641025641</v>
      </c>
      <c r="AJ16" s="24">
        <f t="shared" si="1"/>
        <v>7.8787878787878789</v>
      </c>
      <c r="AK16" s="25">
        <f t="shared" si="2"/>
        <v>0.86842105263157898</v>
      </c>
      <c r="AL16" s="24" t="str">
        <f t="shared" si="3"/>
        <v/>
      </c>
      <c r="AM16" s="25" t="str">
        <f t="shared" si="4"/>
        <v/>
      </c>
      <c r="AN16" s="25">
        <f t="shared" si="5"/>
        <v>0.17791970802919704</v>
      </c>
      <c r="AO16" s="25">
        <f t="shared" si="6"/>
        <v>6.260296540362438E-2</v>
      </c>
      <c r="AP16" s="25">
        <f t="shared" si="7"/>
        <v>0</v>
      </c>
      <c r="AQ16" s="26">
        <f t="shared" si="8"/>
        <v>4.5882352941176467</v>
      </c>
      <c r="AR16" s="26">
        <f t="shared" si="9"/>
        <v>2.2352941176470589</v>
      </c>
      <c r="AS16" s="27">
        <f t="shared" si="10"/>
        <v>-2</v>
      </c>
      <c r="AT16" s="27">
        <f t="shared" si="11"/>
        <v>13</v>
      </c>
      <c r="AU16" s="28">
        <f>AF16*Settings!$B$7+AG16*Settings!$B$8+AE16*Settings!$B$9+AB16*Settings!$B$10+AC16*Settings!$B$11+X16*Settings!$B$12+Y16*Settings!$B$13+Z16*Settings!$B$14</f>
        <v>88.9</v>
      </c>
    </row>
    <row r="17" spans="1:47" x14ac:dyDescent="0.25">
      <c r="A17" s="15" t="s">
        <v>107</v>
      </c>
      <c r="B17" s="16" t="s">
        <v>322</v>
      </c>
      <c r="C17" s="17">
        <v>3</v>
      </c>
      <c r="D17" s="17" t="s">
        <v>118</v>
      </c>
      <c r="E17" s="18" t="s">
        <v>99</v>
      </c>
      <c r="F17" s="19"/>
      <c r="G17" s="19"/>
      <c r="H17" s="19">
        <v>27</v>
      </c>
      <c r="I17" s="19">
        <v>92</v>
      </c>
      <c r="J17" s="19"/>
      <c r="K17" s="19"/>
      <c r="L17" s="19">
        <v>4</v>
      </c>
      <c r="M17" s="19">
        <v>21</v>
      </c>
      <c r="N17" s="19" t="s">
        <v>293</v>
      </c>
      <c r="O17" s="19">
        <v>4</v>
      </c>
      <c r="P17" s="20">
        <v>3.41</v>
      </c>
      <c r="Q17" s="20">
        <v>7</v>
      </c>
      <c r="R17" s="21">
        <v>0.75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32</v>
      </c>
      <c r="AB17" s="22">
        <v>115</v>
      </c>
      <c r="AC17" s="22">
        <v>1</v>
      </c>
      <c r="AD17" s="22">
        <v>6</v>
      </c>
      <c r="AE17" s="22">
        <v>5</v>
      </c>
      <c r="AF17" s="22">
        <v>38</v>
      </c>
      <c r="AG17" s="22">
        <v>0</v>
      </c>
      <c r="AH17" s="23" t="s">
        <v>101</v>
      </c>
      <c r="AI17" s="24">
        <f t="shared" si="0"/>
        <v>3.59375</v>
      </c>
      <c r="AJ17" s="24">
        <f t="shared" si="1"/>
        <v>7.6</v>
      </c>
      <c r="AK17" s="25">
        <f t="shared" si="2"/>
        <v>0.83333333333333337</v>
      </c>
      <c r="AL17" s="24" t="str">
        <f t="shared" si="3"/>
        <v/>
      </c>
      <c r="AM17" s="25" t="str">
        <f t="shared" si="4"/>
        <v/>
      </c>
      <c r="AN17" s="25">
        <f t="shared" si="5"/>
        <v>7.2992700729926988E-2</v>
      </c>
      <c r="AO17" s="25">
        <f t="shared" si="6"/>
        <v>9.8846787479406912E-3</v>
      </c>
      <c r="AP17" s="25">
        <f t="shared" si="7"/>
        <v>0</v>
      </c>
      <c r="AQ17" s="26">
        <f t="shared" si="8"/>
        <v>1.8823529411764706</v>
      </c>
      <c r="AR17" s="26">
        <f t="shared" si="9"/>
        <v>0.35294117647058826</v>
      </c>
      <c r="AS17" s="27">
        <f t="shared" si="10"/>
        <v>2</v>
      </c>
      <c r="AT17" s="27">
        <f t="shared" si="11"/>
        <v>5</v>
      </c>
      <c r="AU17" s="28">
        <f>AF17*Settings!$B$7+AG17*Settings!$B$8+AE17*Settings!$B$9+AB17*Settings!$B$10+AC17*Settings!$B$11+X17*Settings!$B$12+Y17*Settings!$B$13+Z17*Settings!$B$14</f>
        <v>23.8</v>
      </c>
    </row>
    <row r="18" spans="1:47" x14ac:dyDescent="0.25">
      <c r="A18" s="15" t="s">
        <v>107</v>
      </c>
      <c r="B18" s="16" t="s">
        <v>323</v>
      </c>
      <c r="C18" s="17">
        <v>4</v>
      </c>
      <c r="D18" s="17" t="s">
        <v>118</v>
      </c>
      <c r="E18" s="18" t="s">
        <v>99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0"/>
      <c r="Q18" s="20"/>
      <c r="R18" s="21"/>
      <c r="S18" s="21"/>
      <c r="T18" s="20"/>
      <c r="U18" s="22">
        <v>17</v>
      </c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33"/>
      <c r="AI18" s="24" t="str">
        <f t="shared" si="0"/>
        <v/>
      </c>
      <c r="AJ18" s="24" t="str">
        <f t="shared" si="1"/>
        <v/>
      </c>
      <c r="AK18" s="25" t="str">
        <f t="shared" si="2"/>
        <v/>
      </c>
      <c r="AL18" s="24" t="str">
        <f t="shared" si="3"/>
        <v/>
      </c>
      <c r="AM18" s="25" t="str">
        <f t="shared" si="4"/>
        <v/>
      </c>
      <c r="AN18" s="25">
        <f t="shared" si="5"/>
        <v>0</v>
      </c>
      <c r="AO18" s="25">
        <f t="shared" si="6"/>
        <v>0</v>
      </c>
      <c r="AP18" s="25">
        <f t="shared" si="7"/>
        <v>0</v>
      </c>
      <c r="AQ18" s="26">
        <f t="shared" si="8"/>
        <v>0</v>
      </c>
      <c r="AR18" s="26">
        <f t="shared" si="9"/>
        <v>0</v>
      </c>
      <c r="AS18" s="27">
        <f t="shared" si="10"/>
        <v>0</v>
      </c>
      <c r="AT18" s="27">
        <f t="shared" si="11"/>
        <v>0</v>
      </c>
      <c r="AU18" s="28">
        <f>AF18*Settings!$B$7+AG18*Settings!$B$8+AE18*Settings!$B$9+AB18*Settings!$B$10+AC18*Settings!$B$11+X18*Settings!$B$12+Y18*Settings!$B$13+Z18*Settings!$B$14</f>
        <v>0</v>
      </c>
    </row>
    <row r="19" spans="1:47" x14ac:dyDescent="0.25">
      <c r="A19" s="15" t="s">
        <v>107</v>
      </c>
      <c r="B19" s="16" t="s">
        <v>324</v>
      </c>
      <c r="C19" s="17">
        <v>5</v>
      </c>
      <c r="D19" s="17" t="s">
        <v>118</v>
      </c>
      <c r="E19" s="18" t="s">
        <v>99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1"/>
      <c r="S19" s="21"/>
      <c r="T19" s="20"/>
      <c r="U19" s="22">
        <v>17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33"/>
      <c r="AI19" s="24" t="str">
        <f t="shared" si="0"/>
        <v/>
      </c>
      <c r="AJ19" s="24" t="str">
        <f t="shared" si="1"/>
        <v/>
      </c>
      <c r="AK19" s="25" t="str">
        <f t="shared" si="2"/>
        <v/>
      </c>
      <c r="AL19" s="24" t="str">
        <f t="shared" si="3"/>
        <v/>
      </c>
      <c r="AM19" s="25" t="str">
        <f t="shared" si="4"/>
        <v/>
      </c>
      <c r="AN19" s="25">
        <f t="shared" si="5"/>
        <v>0</v>
      </c>
      <c r="AO19" s="25">
        <f t="shared" si="6"/>
        <v>0</v>
      </c>
      <c r="AP19" s="25">
        <f t="shared" si="7"/>
        <v>0</v>
      </c>
      <c r="AQ19" s="26">
        <f t="shared" si="8"/>
        <v>0</v>
      </c>
      <c r="AR19" s="26">
        <f t="shared" si="9"/>
        <v>0</v>
      </c>
      <c r="AS19" s="27">
        <f t="shared" si="10"/>
        <v>0</v>
      </c>
      <c r="AT19" s="27">
        <f t="shared" si="11"/>
        <v>0</v>
      </c>
      <c r="AU19" s="28">
        <f>AF19*Settings!$B$7+AG19*Settings!$B$8+AE19*Settings!$B$9+AB19*Settings!$B$10+AC19*Settings!$B$11+X19*Settings!$B$12+Y19*Settings!$B$13+Z19*Settings!$B$14</f>
        <v>0</v>
      </c>
    </row>
    <row r="20" spans="1:47" x14ac:dyDescent="0.25">
      <c r="A20" s="15" t="s">
        <v>107</v>
      </c>
      <c r="B20" s="16" t="s">
        <v>325</v>
      </c>
      <c r="C20" s="17">
        <v>6</v>
      </c>
      <c r="D20" s="17" t="s">
        <v>326</v>
      </c>
      <c r="E20" s="18" t="s">
        <v>99</v>
      </c>
      <c r="F20" s="19">
        <v>7</v>
      </c>
      <c r="G20" s="19">
        <v>7</v>
      </c>
      <c r="H20" s="19"/>
      <c r="I20" s="19"/>
      <c r="J20" s="19">
        <v>3</v>
      </c>
      <c r="K20" s="19">
        <v>10</v>
      </c>
      <c r="L20" s="19"/>
      <c r="M20" s="19"/>
      <c r="N20" s="19"/>
      <c r="O20" s="19"/>
      <c r="P20" s="20">
        <v>1.21</v>
      </c>
      <c r="Q20" s="20">
        <v>5.62</v>
      </c>
      <c r="R20" s="21">
        <v>1</v>
      </c>
      <c r="S20" s="21"/>
      <c r="T20" s="20"/>
      <c r="U20" s="22">
        <v>17</v>
      </c>
      <c r="V20" s="22"/>
      <c r="W20" s="22"/>
      <c r="X20" s="22"/>
      <c r="Y20" s="22"/>
      <c r="Z20" s="22"/>
      <c r="AA20" s="22">
        <v>5</v>
      </c>
      <c r="AB20" s="22">
        <v>9</v>
      </c>
      <c r="AC20" s="22">
        <v>0</v>
      </c>
      <c r="AD20" s="22">
        <v>4</v>
      </c>
      <c r="AE20" s="22">
        <v>4</v>
      </c>
      <c r="AF20" s="22">
        <v>22</v>
      </c>
      <c r="AG20" s="22">
        <v>0</v>
      </c>
      <c r="AH20" s="23" t="s">
        <v>101</v>
      </c>
      <c r="AI20" s="24">
        <f t="shared" si="0"/>
        <v>1.8</v>
      </c>
      <c r="AJ20" s="24">
        <f t="shared" si="1"/>
        <v>5.5</v>
      </c>
      <c r="AK20" s="25">
        <f t="shared" si="2"/>
        <v>1</v>
      </c>
      <c r="AL20" s="24" t="str">
        <f t="shared" si="3"/>
        <v/>
      </c>
      <c r="AM20" s="25" t="str">
        <f t="shared" si="4"/>
        <v/>
      </c>
      <c r="AN20" s="25">
        <f t="shared" si="5"/>
        <v>1.1405109489051093E-2</v>
      </c>
      <c r="AO20" s="25">
        <f t="shared" si="6"/>
        <v>6.5897858319604614E-3</v>
      </c>
      <c r="AP20" s="25">
        <f t="shared" si="7"/>
        <v>0</v>
      </c>
      <c r="AQ20" s="26">
        <f t="shared" si="8"/>
        <v>0.29411764705882354</v>
      </c>
      <c r="AR20" s="26">
        <f t="shared" si="9"/>
        <v>0.23529411764705882</v>
      </c>
      <c r="AS20" s="27">
        <f t="shared" si="10"/>
        <v>4</v>
      </c>
      <c r="AT20" s="27">
        <f t="shared" si="11"/>
        <v>5</v>
      </c>
      <c r="AU20" s="28">
        <f>AF20*Settings!$B$7+AG20*Settings!$B$8+AE20*Settings!$B$9+AB20*Settings!$B$10+AC20*Settings!$B$11+X20*Settings!$B$12+Y20*Settings!$B$13+Z20*Settings!$B$14</f>
        <v>5.1000000000000005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327</v>
      </c>
      <c r="C22" s="17">
        <v>1</v>
      </c>
      <c r="D22" s="17" t="s">
        <v>158</v>
      </c>
      <c r="E22" s="18" t="s">
        <v>99</v>
      </c>
      <c r="F22" s="19"/>
      <c r="G22" s="19"/>
      <c r="H22" s="19">
        <v>1</v>
      </c>
      <c r="I22" s="19">
        <v>5</v>
      </c>
      <c r="J22" s="19">
        <v>87</v>
      </c>
      <c r="K22" s="19">
        <v>145</v>
      </c>
      <c r="L22" s="19">
        <v>106</v>
      </c>
      <c r="M22" s="19">
        <v>602</v>
      </c>
      <c r="N22" s="19" t="s">
        <v>293</v>
      </c>
      <c r="O22" s="19">
        <v>17</v>
      </c>
      <c r="P22" s="20">
        <v>5</v>
      </c>
      <c r="Q22" s="20">
        <v>13.35</v>
      </c>
      <c r="R22" s="21">
        <v>0.57399999999999995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2</v>
      </c>
      <c r="AC22" s="22">
        <v>0</v>
      </c>
      <c r="AD22" s="22">
        <v>88</v>
      </c>
      <c r="AE22" s="22">
        <v>47</v>
      </c>
      <c r="AF22" s="22">
        <v>635</v>
      </c>
      <c r="AG22" s="22">
        <v>3</v>
      </c>
      <c r="AH22" s="23" t="s">
        <v>101</v>
      </c>
      <c r="AI22" s="24" t="str">
        <f t="shared" si="0"/>
        <v/>
      </c>
      <c r="AJ22" s="24">
        <f t="shared" si="1"/>
        <v>13.51063829787234</v>
      </c>
      <c r="AK22" s="25">
        <f t="shared" si="2"/>
        <v>0.53409090909090906</v>
      </c>
      <c r="AL22" s="24" t="str">
        <f t="shared" si="3"/>
        <v/>
      </c>
      <c r="AM22" s="25" t="str">
        <f t="shared" si="4"/>
        <v/>
      </c>
      <c r="AN22" s="25">
        <f t="shared" si="5"/>
        <v>0</v>
      </c>
      <c r="AO22" s="25">
        <f t="shared" si="6"/>
        <v>0.14497528830313014</v>
      </c>
      <c r="AP22" s="25">
        <f t="shared" si="7"/>
        <v>0</v>
      </c>
      <c r="AQ22" s="26">
        <f t="shared" si="8"/>
        <v>0</v>
      </c>
      <c r="AR22" s="26">
        <f t="shared" si="9"/>
        <v>5.1764705882352944</v>
      </c>
      <c r="AS22" s="27">
        <f t="shared" si="10"/>
        <v>-18</v>
      </c>
      <c r="AT22" s="27">
        <f t="shared" si="11"/>
        <v>-1</v>
      </c>
      <c r="AU22" s="28">
        <f>AF22*Settings!$B$7+AG22*Settings!$B$8+AE22*Settings!$B$9+AB22*Settings!$B$10+AC22*Settings!$B$11+X22*Settings!$B$12+Y22*Settings!$B$13+Z22*Settings!$B$14</f>
        <v>105.2</v>
      </c>
    </row>
    <row r="23" spans="1:47" x14ac:dyDescent="0.25">
      <c r="A23" s="15" t="s">
        <v>121</v>
      </c>
      <c r="B23" s="16" t="s">
        <v>328</v>
      </c>
      <c r="C23" s="17">
        <v>2</v>
      </c>
      <c r="D23" s="17" t="s">
        <v>109</v>
      </c>
      <c r="E23" s="32" t="s">
        <v>115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  <c r="Q23" s="20"/>
      <c r="R23" s="21"/>
      <c r="S23" s="21"/>
      <c r="T23" s="20"/>
      <c r="U23" s="22">
        <v>17</v>
      </c>
      <c r="V23" s="22"/>
      <c r="W23" s="22"/>
      <c r="X23" s="22"/>
      <c r="Y23" s="22"/>
      <c r="Z23" s="22"/>
      <c r="AA23" s="22">
        <v>4</v>
      </c>
      <c r="AB23" s="22">
        <v>28</v>
      </c>
      <c r="AC23" s="22">
        <v>0</v>
      </c>
      <c r="AD23" s="22">
        <v>95</v>
      </c>
      <c r="AE23" s="22">
        <v>57</v>
      </c>
      <c r="AF23" s="22">
        <v>729</v>
      </c>
      <c r="AG23" s="22">
        <v>4</v>
      </c>
      <c r="AH23" s="23" t="s">
        <v>101</v>
      </c>
      <c r="AI23" s="24">
        <f t="shared" si="0"/>
        <v>7</v>
      </c>
      <c r="AJ23" s="24">
        <f t="shared" si="1"/>
        <v>12.789473684210526</v>
      </c>
      <c r="AK23" s="25">
        <f t="shared" si="2"/>
        <v>0.6</v>
      </c>
      <c r="AL23" s="24" t="str">
        <f t="shared" si="3"/>
        <v/>
      </c>
      <c r="AM23" s="25" t="str">
        <f t="shared" si="4"/>
        <v/>
      </c>
      <c r="AN23" s="25">
        <f t="shared" si="5"/>
        <v>9.1240875912408734E-3</v>
      </c>
      <c r="AO23" s="25">
        <f t="shared" si="6"/>
        <v>0.15650741350906094</v>
      </c>
      <c r="AP23" s="25">
        <f t="shared" si="7"/>
        <v>0</v>
      </c>
      <c r="AQ23" s="26">
        <f t="shared" si="8"/>
        <v>0.23529411764705882</v>
      </c>
      <c r="AR23" s="26">
        <f t="shared" si="9"/>
        <v>5.5882352941176467</v>
      </c>
      <c r="AS23" s="27">
        <f t="shared" si="10"/>
        <v>95</v>
      </c>
      <c r="AT23" s="27">
        <f t="shared" si="11"/>
        <v>4</v>
      </c>
      <c r="AU23" s="28">
        <f>AF23*Settings!$B$7+AG23*Settings!$B$8+AE23*Settings!$B$9+AB23*Settings!$B$10+AC23*Settings!$B$11+X23*Settings!$B$12+Y23*Settings!$B$13+Z23*Settings!$B$14</f>
        <v>128.20000000000002</v>
      </c>
    </row>
    <row r="24" spans="1:47" x14ac:dyDescent="0.25">
      <c r="A24" s="15" t="s">
        <v>121</v>
      </c>
      <c r="B24" s="16" t="s">
        <v>329</v>
      </c>
      <c r="C24" s="17">
        <v>3</v>
      </c>
      <c r="D24" s="17" t="s">
        <v>128</v>
      </c>
      <c r="E24" s="18" t="s">
        <v>99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20"/>
      <c r="R24" s="21"/>
      <c r="S24" s="21"/>
      <c r="T24" s="20"/>
      <c r="U24" s="22">
        <v>17</v>
      </c>
      <c r="V24" s="22"/>
      <c r="W24" s="22"/>
      <c r="X24" s="22"/>
      <c r="Y24" s="22"/>
      <c r="Z24" s="22"/>
      <c r="AA24" s="22">
        <v>1</v>
      </c>
      <c r="AB24" s="22">
        <v>3</v>
      </c>
      <c r="AC24" s="22">
        <v>0</v>
      </c>
      <c r="AD24" s="22">
        <v>83</v>
      </c>
      <c r="AE24" s="22">
        <v>49</v>
      </c>
      <c r="AF24" s="22">
        <v>636</v>
      </c>
      <c r="AG24" s="22">
        <v>3</v>
      </c>
      <c r="AH24" s="23" t="s">
        <v>101</v>
      </c>
      <c r="AI24" s="24">
        <f t="shared" si="0"/>
        <v>3</v>
      </c>
      <c r="AJ24" s="24">
        <f t="shared" si="1"/>
        <v>12.979591836734693</v>
      </c>
      <c r="AK24" s="25">
        <f t="shared" si="2"/>
        <v>0.59036144578313254</v>
      </c>
      <c r="AL24" s="24" t="str">
        <f t="shared" si="3"/>
        <v/>
      </c>
      <c r="AM24" s="25" t="str">
        <f t="shared" si="4"/>
        <v/>
      </c>
      <c r="AN24" s="25">
        <f t="shared" si="5"/>
        <v>2.2810218978102184E-3</v>
      </c>
      <c r="AO24" s="25">
        <f t="shared" si="6"/>
        <v>0.13673805601317957</v>
      </c>
      <c r="AP24" s="25">
        <f t="shared" si="7"/>
        <v>0</v>
      </c>
      <c r="AQ24" s="26">
        <f t="shared" si="8"/>
        <v>5.8823529411764705E-2</v>
      </c>
      <c r="AR24" s="26">
        <f t="shared" si="9"/>
        <v>4.882352941176471</v>
      </c>
      <c r="AS24" s="27">
        <f t="shared" si="10"/>
        <v>83</v>
      </c>
      <c r="AT24" s="27">
        <f t="shared" si="11"/>
        <v>1</v>
      </c>
      <c r="AU24" s="28">
        <f>AF24*Settings!$B$7+AG24*Settings!$B$8+AE24*Settings!$B$9+AB24*Settings!$B$10+AC24*Settings!$B$11+X24*Settings!$B$12+Y24*Settings!$B$13+Z24*Settings!$B$14</f>
        <v>106.39999999999999</v>
      </c>
    </row>
    <row r="25" spans="1:47" x14ac:dyDescent="0.25">
      <c r="A25" s="15" t="s">
        <v>121</v>
      </c>
      <c r="B25" s="16" t="s">
        <v>330</v>
      </c>
      <c r="C25" s="17">
        <v>4</v>
      </c>
      <c r="D25" s="17" t="s">
        <v>111</v>
      </c>
      <c r="E25" s="18" t="s">
        <v>99</v>
      </c>
      <c r="F25" s="19">
        <v>1</v>
      </c>
      <c r="G25" s="19">
        <v>1</v>
      </c>
      <c r="H25" s="19"/>
      <c r="I25" s="19"/>
      <c r="J25" s="19">
        <v>44</v>
      </c>
      <c r="K25" s="19">
        <v>49</v>
      </c>
      <c r="L25" s="19">
        <v>39</v>
      </c>
      <c r="M25" s="19">
        <v>270</v>
      </c>
      <c r="N25" s="19" t="s">
        <v>293</v>
      </c>
      <c r="O25" s="19">
        <v>13</v>
      </c>
      <c r="P25" s="20">
        <v>1.5</v>
      </c>
      <c r="Q25" s="20">
        <v>11.73</v>
      </c>
      <c r="R25" s="21">
        <v>0.53800000000000003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21</v>
      </c>
      <c r="AE25" s="22">
        <v>12</v>
      </c>
      <c r="AF25" s="22">
        <v>157</v>
      </c>
      <c r="AG25" s="22">
        <v>1</v>
      </c>
      <c r="AH25" s="23" t="s">
        <v>101</v>
      </c>
      <c r="AI25" s="24" t="str">
        <f t="shared" si="0"/>
        <v/>
      </c>
      <c r="AJ25" s="24">
        <f t="shared" si="1"/>
        <v>13.083333333333334</v>
      </c>
      <c r="AK25" s="25">
        <f t="shared" si="2"/>
        <v>0.5714285714285714</v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3.459637561779242E-2</v>
      </c>
      <c r="AP25" s="25">
        <f t="shared" si="7"/>
        <v>0</v>
      </c>
      <c r="AQ25" s="26">
        <f t="shared" si="8"/>
        <v>0</v>
      </c>
      <c r="AR25" s="26">
        <f t="shared" si="9"/>
        <v>1.2352941176470589</v>
      </c>
      <c r="AS25" s="27">
        <f t="shared" si="10"/>
        <v>-18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27.700000000000003</v>
      </c>
    </row>
    <row r="26" spans="1:47" x14ac:dyDescent="0.25">
      <c r="A26" s="15" t="s">
        <v>121</v>
      </c>
      <c r="B26" s="16" t="s">
        <v>331</v>
      </c>
      <c r="C26" s="17">
        <v>5</v>
      </c>
      <c r="D26" s="17" t="s">
        <v>128</v>
      </c>
      <c r="E26" s="18" t="s">
        <v>99</v>
      </c>
      <c r="F26" s="19"/>
      <c r="G26" s="19"/>
      <c r="H26" s="19">
        <v>5</v>
      </c>
      <c r="I26" s="19">
        <v>29</v>
      </c>
      <c r="J26" s="19"/>
      <c r="K26" s="19"/>
      <c r="L26" s="19">
        <v>44</v>
      </c>
      <c r="M26" s="19">
        <v>338</v>
      </c>
      <c r="N26" s="19" t="s">
        <v>293</v>
      </c>
      <c r="O26" s="19">
        <v>16</v>
      </c>
      <c r="P26" s="20">
        <v>5.8</v>
      </c>
      <c r="Q26" s="20">
        <v>18.78</v>
      </c>
      <c r="R26" s="21">
        <v>0.40899999999999997</v>
      </c>
      <c r="S26" s="21"/>
      <c r="T26" s="20"/>
      <c r="U26" s="22">
        <v>17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3</v>
      </c>
      <c r="AB26" s="22">
        <v>17</v>
      </c>
      <c r="AC26" s="22">
        <v>0</v>
      </c>
      <c r="AD26" s="22">
        <v>24</v>
      </c>
      <c r="AE26" s="22">
        <v>13</v>
      </c>
      <c r="AF26" s="22">
        <v>184</v>
      </c>
      <c r="AG26" s="22">
        <v>1</v>
      </c>
      <c r="AH26" s="23" t="s">
        <v>101</v>
      </c>
      <c r="AI26" s="24">
        <f t="shared" si="0"/>
        <v>5.666666666666667</v>
      </c>
      <c r="AJ26" s="24">
        <f t="shared" si="1"/>
        <v>14.153846153846153</v>
      </c>
      <c r="AK26" s="25">
        <f t="shared" si="2"/>
        <v>0.54166666666666663</v>
      </c>
      <c r="AL26" s="24" t="str">
        <f t="shared" si="3"/>
        <v/>
      </c>
      <c r="AM26" s="25" t="str">
        <f t="shared" si="4"/>
        <v/>
      </c>
      <c r="AN26" s="25">
        <f t="shared" si="5"/>
        <v>6.8430656934306555E-3</v>
      </c>
      <c r="AO26" s="25">
        <f t="shared" si="6"/>
        <v>3.9538714991762765E-2</v>
      </c>
      <c r="AP26" s="25">
        <f t="shared" si="7"/>
        <v>0</v>
      </c>
      <c r="AQ26" s="26">
        <f t="shared" si="8"/>
        <v>0.17647058823529413</v>
      </c>
      <c r="AR26" s="26">
        <f t="shared" si="9"/>
        <v>1.411764705882353</v>
      </c>
      <c r="AS26" s="27">
        <f t="shared" si="10"/>
        <v>-20</v>
      </c>
      <c r="AT26" s="27">
        <f t="shared" si="11"/>
        <v>-2</v>
      </c>
      <c r="AU26" s="28">
        <f>AF26*Settings!$B$7+AG26*Settings!$B$8+AE26*Settings!$B$9+AB26*Settings!$B$10+AC26*Settings!$B$11+X26*Settings!$B$12+Y26*Settings!$B$13+Z26*Settings!$B$14</f>
        <v>32.6</v>
      </c>
    </row>
    <row r="27" spans="1:47" x14ac:dyDescent="0.25">
      <c r="A27" s="15" t="s">
        <v>121</v>
      </c>
      <c r="B27" s="16" t="s">
        <v>332</v>
      </c>
      <c r="C27" s="17">
        <v>6</v>
      </c>
      <c r="D27" s="17" t="s">
        <v>118</v>
      </c>
      <c r="E27" s="18" t="s">
        <v>99</v>
      </c>
      <c r="F27" s="19"/>
      <c r="G27" s="19">
        <v>2</v>
      </c>
      <c r="H27" s="19">
        <v>13</v>
      </c>
      <c r="I27" s="19">
        <v>127</v>
      </c>
      <c r="J27" s="19"/>
      <c r="K27" s="19">
        <v>6</v>
      </c>
      <c r="L27" s="19">
        <v>14</v>
      </c>
      <c r="M27" s="19">
        <v>79</v>
      </c>
      <c r="N27" s="19" t="s">
        <v>293</v>
      </c>
      <c r="O27" s="19">
        <v>13</v>
      </c>
      <c r="P27" s="20">
        <v>10.199999999999999</v>
      </c>
      <c r="Q27" s="20">
        <v>6.79</v>
      </c>
      <c r="R27" s="21">
        <v>0.7</v>
      </c>
      <c r="S27" s="21"/>
      <c r="T27" s="20"/>
      <c r="U27" s="22">
        <v>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8</v>
      </c>
      <c r="AB27" s="22">
        <v>57</v>
      </c>
      <c r="AC27" s="22">
        <v>0</v>
      </c>
      <c r="AD27" s="22">
        <v>3</v>
      </c>
      <c r="AE27" s="22">
        <v>2</v>
      </c>
      <c r="AF27" s="22">
        <v>22</v>
      </c>
      <c r="AG27" s="22">
        <v>0</v>
      </c>
      <c r="AH27" s="23" t="s">
        <v>101</v>
      </c>
      <c r="AI27" s="24">
        <f t="shared" si="0"/>
        <v>7.125</v>
      </c>
      <c r="AJ27" s="24">
        <f t="shared" si="1"/>
        <v>11</v>
      </c>
      <c r="AK27" s="25">
        <f t="shared" si="2"/>
        <v>0.66666666666666663</v>
      </c>
      <c r="AL27" s="24" t="str">
        <f t="shared" si="3"/>
        <v/>
      </c>
      <c r="AM27" s="25" t="str">
        <f t="shared" si="4"/>
        <v/>
      </c>
      <c r="AN27" s="25">
        <f t="shared" si="5"/>
        <v>1.8248175182481747E-2</v>
      </c>
      <c r="AO27" s="25">
        <f t="shared" si="6"/>
        <v>4.9423393739703456E-3</v>
      </c>
      <c r="AP27" s="25">
        <f t="shared" si="7"/>
        <v>0</v>
      </c>
      <c r="AQ27" s="26">
        <f t="shared" si="8"/>
        <v>0.47058823529411764</v>
      </c>
      <c r="AR27" s="26">
        <f t="shared" si="9"/>
        <v>0.17647058823529413</v>
      </c>
      <c r="AS27" s="27">
        <f t="shared" si="10"/>
        <v>-11</v>
      </c>
      <c r="AT27" s="27">
        <f t="shared" si="11"/>
        <v>-5</v>
      </c>
      <c r="AU27" s="28">
        <f>AF27*Settings!$B$7+AG27*Settings!$B$8+AE27*Settings!$B$9+AB27*Settings!$B$10+AC27*Settings!$B$11+X27*Settings!$B$12+Y27*Settings!$B$13+Z27*Settings!$B$14</f>
        <v>8.9</v>
      </c>
    </row>
    <row r="28" spans="1:47" x14ac:dyDescent="0.25">
      <c r="A28" s="15" t="s">
        <v>121</v>
      </c>
      <c r="B28" s="16" t="s">
        <v>333</v>
      </c>
      <c r="C28" s="17">
        <v>7</v>
      </c>
      <c r="D28" s="17" t="s">
        <v>158</v>
      </c>
      <c r="E28" s="18" t="s">
        <v>99</v>
      </c>
      <c r="F28" s="19"/>
      <c r="G28" s="19"/>
      <c r="H28" s="19"/>
      <c r="I28" s="19"/>
      <c r="J28" s="19">
        <v>2</v>
      </c>
      <c r="K28" s="19">
        <v>12</v>
      </c>
      <c r="L28" s="19">
        <v>8</v>
      </c>
      <c r="M28" s="19">
        <v>45</v>
      </c>
      <c r="N28" s="19" t="s">
        <v>155</v>
      </c>
      <c r="O28" s="19">
        <v>14</v>
      </c>
      <c r="P28" s="20"/>
      <c r="Q28" s="20">
        <v>15.56</v>
      </c>
      <c r="R28" s="21">
        <v>0.72699999999999998</v>
      </c>
      <c r="S28" s="21"/>
      <c r="T28" s="20"/>
      <c r="U28" s="22">
        <v>17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2</v>
      </c>
      <c r="AE28" s="22">
        <v>1</v>
      </c>
      <c r="AF28" s="22">
        <v>10</v>
      </c>
      <c r="AG28" s="22">
        <v>0</v>
      </c>
      <c r="AH28" s="23" t="s">
        <v>101</v>
      </c>
      <c r="AI28" s="24" t="str">
        <f t="shared" si="0"/>
        <v/>
      </c>
      <c r="AJ28" s="24">
        <f t="shared" si="1"/>
        <v>10</v>
      </c>
      <c r="AK28" s="25">
        <f t="shared" si="2"/>
        <v>0.5</v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3.2948929159802307E-3</v>
      </c>
      <c r="AP28" s="25">
        <f t="shared" si="7"/>
        <v>0</v>
      </c>
      <c r="AQ28" s="26">
        <f t="shared" si="8"/>
        <v>0</v>
      </c>
      <c r="AR28" s="26">
        <f t="shared" si="9"/>
        <v>0.11764705882352941</v>
      </c>
      <c r="AS28" s="27">
        <f t="shared" si="10"/>
        <v>-6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1.5</v>
      </c>
    </row>
    <row r="29" spans="1:47" x14ac:dyDescent="0.25">
      <c r="A29" s="15" t="s">
        <v>121</v>
      </c>
      <c r="B29" s="16" t="s">
        <v>334</v>
      </c>
      <c r="C29" s="17">
        <v>8</v>
      </c>
      <c r="D29" s="17" t="s">
        <v>105</v>
      </c>
      <c r="E29" s="18" t="s">
        <v>99</v>
      </c>
      <c r="F29" s="19"/>
      <c r="G29" s="19"/>
      <c r="H29" s="19"/>
      <c r="I29" s="19"/>
      <c r="J29" s="19"/>
      <c r="K29" s="19">
        <v>7</v>
      </c>
      <c r="L29" s="19">
        <v>15</v>
      </c>
      <c r="M29" s="19">
        <v>107</v>
      </c>
      <c r="N29" s="19" t="s">
        <v>293</v>
      </c>
      <c r="O29" s="19">
        <v>9</v>
      </c>
      <c r="P29" s="20"/>
      <c r="Q29" s="20">
        <v>9.92</v>
      </c>
      <c r="R29" s="21">
        <v>0.59099999999999997</v>
      </c>
      <c r="S29" s="21"/>
      <c r="T29" s="20"/>
      <c r="U29" s="22">
        <v>17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2</v>
      </c>
      <c r="AG29" s="22">
        <v>0</v>
      </c>
      <c r="AH29" s="23" t="s">
        <v>101</v>
      </c>
      <c r="AI29" s="24" t="str">
        <f t="shared" si="0"/>
        <v/>
      </c>
      <c r="AJ29" s="24" t="str">
        <f t="shared" si="1"/>
        <v/>
      </c>
      <c r="AK29" s="25" t="str">
        <f t="shared" si="2"/>
        <v/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0</v>
      </c>
      <c r="AP29" s="25">
        <f t="shared" si="7"/>
        <v>0</v>
      </c>
      <c r="AQ29" s="26">
        <f t="shared" si="8"/>
        <v>0</v>
      </c>
      <c r="AR29" s="26">
        <f t="shared" si="9"/>
        <v>0</v>
      </c>
      <c r="AS29" s="27">
        <f t="shared" si="10"/>
        <v>-15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0.2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335</v>
      </c>
      <c r="C31" s="17">
        <v>1</v>
      </c>
      <c r="D31" s="17" t="s">
        <v>128</v>
      </c>
      <c r="E31" s="18" t="s">
        <v>99</v>
      </c>
      <c r="F31" s="19"/>
      <c r="G31" s="19"/>
      <c r="H31" s="19">
        <v>7</v>
      </c>
      <c r="I31" s="19">
        <v>13</v>
      </c>
      <c r="J31" s="19"/>
      <c r="K31" s="19"/>
      <c r="L31" s="19">
        <v>107</v>
      </c>
      <c r="M31" s="19">
        <v>731</v>
      </c>
      <c r="N31" s="19" t="s">
        <v>293</v>
      </c>
      <c r="O31" s="19">
        <v>16</v>
      </c>
      <c r="P31" s="20">
        <v>1.86</v>
      </c>
      <c r="Q31" s="20">
        <v>10.15</v>
      </c>
      <c r="R31" s="21">
        <v>0.67300000000000004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7</v>
      </c>
      <c r="AB31" s="22">
        <v>19</v>
      </c>
      <c r="AC31" s="22">
        <v>0</v>
      </c>
      <c r="AD31" s="22">
        <v>108</v>
      </c>
      <c r="AE31" s="22">
        <v>72</v>
      </c>
      <c r="AF31" s="22">
        <v>754</v>
      </c>
      <c r="AG31" s="22">
        <v>5</v>
      </c>
      <c r="AH31" s="23" t="s">
        <v>101</v>
      </c>
      <c r="AI31" s="24">
        <f t="shared" si="0"/>
        <v>2.7142857142857144</v>
      </c>
      <c r="AJ31" s="24">
        <f t="shared" si="1"/>
        <v>10.472222222222221</v>
      </c>
      <c r="AK31" s="25">
        <f t="shared" si="2"/>
        <v>0.66666666666666663</v>
      </c>
      <c r="AL31" s="24" t="str">
        <f t="shared" si="3"/>
        <v/>
      </c>
      <c r="AM31" s="25" t="str">
        <f t="shared" si="4"/>
        <v/>
      </c>
      <c r="AN31" s="25">
        <f t="shared" si="5"/>
        <v>1.5967153284671531E-2</v>
      </c>
      <c r="AO31" s="25">
        <f t="shared" si="6"/>
        <v>0.17792421746293247</v>
      </c>
      <c r="AP31" s="25">
        <f t="shared" si="7"/>
        <v>0</v>
      </c>
      <c r="AQ31" s="26">
        <f t="shared" si="8"/>
        <v>0.41176470588235292</v>
      </c>
      <c r="AR31" s="26">
        <f t="shared" si="9"/>
        <v>6.3529411764705879</v>
      </c>
      <c r="AS31" s="27">
        <f t="shared" si="10"/>
        <v>1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143.30000000000001</v>
      </c>
    </row>
    <row r="32" spans="1:47" x14ac:dyDescent="0.25">
      <c r="A32" s="15" t="s">
        <v>135</v>
      </c>
      <c r="B32" s="16" t="s">
        <v>336</v>
      </c>
      <c r="C32" s="17">
        <v>2</v>
      </c>
      <c r="D32" s="17" t="s">
        <v>118</v>
      </c>
      <c r="E32" s="18" t="s">
        <v>99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20"/>
      <c r="R32" s="21"/>
      <c r="S32" s="21"/>
      <c r="T32" s="20"/>
      <c r="U32" s="22">
        <v>17</v>
      </c>
      <c r="V32" s="22"/>
      <c r="W32" s="22"/>
      <c r="X32" s="22"/>
      <c r="Y32" s="22"/>
      <c r="Z32" s="22"/>
      <c r="AA32" s="22">
        <v>0</v>
      </c>
      <c r="AB32" s="22">
        <v>0</v>
      </c>
      <c r="AC32" s="22">
        <v>0</v>
      </c>
      <c r="AD32" s="22">
        <v>13</v>
      </c>
      <c r="AE32" s="22">
        <v>8</v>
      </c>
      <c r="AF32" s="22">
        <v>79</v>
      </c>
      <c r="AG32" s="22">
        <v>1</v>
      </c>
      <c r="AH32" s="23" t="s">
        <v>101</v>
      </c>
      <c r="AI32" s="24" t="str">
        <f t="shared" si="0"/>
        <v/>
      </c>
      <c r="AJ32" s="24">
        <f t="shared" si="1"/>
        <v>9.875</v>
      </c>
      <c r="AK32" s="25">
        <f t="shared" si="2"/>
        <v>0.61538461538461542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2.1416803953871501E-2</v>
      </c>
      <c r="AP32" s="25">
        <f t="shared" si="7"/>
        <v>0</v>
      </c>
      <c r="AQ32" s="26">
        <f t="shared" si="8"/>
        <v>0</v>
      </c>
      <c r="AR32" s="26">
        <f t="shared" si="9"/>
        <v>0.76470588235294112</v>
      </c>
      <c r="AS32" s="27">
        <f t="shared" si="10"/>
        <v>13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17.899999999999999</v>
      </c>
    </row>
    <row r="33" spans="1:47" x14ac:dyDescent="0.25">
      <c r="A33" s="15" t="s">
        <v>135</v>
      </c>
      <c r="B33" s="16" t="s">
        <v>337</v>
      </c>
      <c r="C33" s="17">
        <v>3</v>
      </c>
      <c r="D33" s="17" t="s">
        <v>111</v>
      </c>
      <c r="E33" s="18" t="s">
        <v>99</v>
      </c>
      <c r="F33" s="19"/>
      <c r="G33" s="19"/>
      <c r="H33" s="19"/>
      <c r="I33" s="19"/>
      <c r="J33" s="19"/>
      <c r="K33" s="19">
        <v>9</v>
      </c>
      <c r="L33" s="19">
        <v>6</v>
      </c>
      <c r="M33" s="19">
        <v>4</v>
      </c>
      <c r="N33" s="19" t="s">
        <v>293</v>
      </c>
      <c r="O33" s="19">
        <v>17</v>
      </c>
      <c r="P33" s="20"/>
      <c r="Q33" s="20">
        <v>6.88</v>
      </c>
      <c r="R33" s="21">
        <v>0.53300000000000003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5</v>
      </c>
      <c r="AE33" s="22">
        <v>3</v>
      </c>
      <c r="AF33" s="22">
        <v>23</v>
      </c>
      <c r="AG33" s="22">
        <v>0</v>
      </c>
      <c r="AH33" s="23" t="s">
        <v>101</v>
      </c>
      <c r="AI33" s="24" t="str">
        <f t="shared" si="0"/>
        <v/>
      </c>
      <c r="AJ33" s="24">
        <f t="shared" si="1"/>
        <v>7.666666666666667</v>
      </c>
      <c r="AK33" s="25">
        <f t="shared" si="2"/>
        <v>0.6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8.2372322899505763E-3</v>
      </c>
      <c r="AP33" s="25">
        <f t="shared" si="7"/>
        <v>0</v>
      </c>
      <c r="AQ33" s="26">
        <f t="shared" si="8"/>
        <v>0</v>
      </c>
      <c r="AR33" s="26">
        <f t="shared" si="9"/>
        <v>0.29411764705882354</v>
      </c>
      <c r="AS33" s="27">
        <f t="shared" si="10"/>
        <v>-1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3.8000000000000003</v>
      </c>
    </row>
    <row r="34" spans="1:47" x14ac:dyDescent="0.25">
      <c r="A34" s="15" t="s">
        <v>135</v>
      </c>
      <c r="B34" s="16" t="s">
        <v>338</v>
      </c>
      <c r="C34" s="17">
        <v>4</v>
      </c>
      <c r="D34" s="17" t="s">
        <v>130</v>
      </c>
      <c r="E34" s="18" t="s">
        <v>99</v>
      </c>
      <c r="F34" s="19"/>
      <c r="G34" s="19"/>
      <c r="H34" s="19"/>
      <c r="I34" s="19"/>
      <c r="J34" s="19">
        <v>8</v>
      </c>
      <c r="K34" s="19">
        <v>3</v>
      </c>
      <c r="L34" s="19">
        <v>11</v>
      </c>
      <c r="M34" s="19">
        <v>46</v>
      </c>
      <c r="N34" s="19" t="s">
        <v>230</v>
      </c>
      <c r="O34" s="19">
        <v>15</v>
      </c>
      <c r="P34" s="20"/>
      <c r="Q34" s="20">
        <v>7.23</v>
      </c>
      <c r="R34" s="21">
        <v>0.59099999999999997</v>
      </c>
      <c r="S34" s="21"/>
      <c r="T34" s="20"/>
      <c r="U34" s="22">
        <v>17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7</v>
      </c>
      <c r="AE34" s="22">
        <v>4</v>
      </c>
      <c r="AF34" s="22">
        <v>35</v>
      </c>
      <c r="AG34" s="22">
        <v>0</v>
      </c>
      <c r="AH34" s="23" t="s">
        <v>101</v>
      </c>
      <c r="AI34" s="24" t="str">
        <f t="shared" si="0"/>
        <v/>
      </c>
      <c r="AJ34" s="24">
        <f t="shared" si="1"/>
        <v>8.75</v>
      </c>
      <c r="AK34" s="25">
        <f t="shared" si="2"/>
        <v>0.5714285714285714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1.1532125205930808E-2</v>
      </c>
      <c r="AP34" s="25">
        <f t="shared" si="7"/>
        <v>0</v>
      </c>
      <c r="AQ34" s="26">
        <f t="shared" si="8"/>
        <v>0</v>
      </c>
      <c r="AR34" s="26">
        <f t="shared" si="9"/>
        <v>0.41176470588235292</v>
      </c>
      <c r="AS34" s="27">
        <f t="shared" si="10"/>
        <v>-4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5.5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559</v>
      </c>
      <c r="W37" s="34">
        <f t="shared" si="12"/>
        <v>337</v>
      </c>
      <c r="X37" s="34">
        <f t="shared" si="12"/>
        <v>3668</v>
      </c>
      <c r="Y37" s="34">
        <f t="shared" si="12"/>
        <v>20</v>
      </c>
      <c r="Z37" s="34">
        <f t="shared" si="12"/>
        <v>17</v>
      </c>
      <c r="AA37" s="34">
        <f t="shared" si="12"/>
        <v>482</v>
      </c>
      <c r="AB37" s="34">
        <f t="shared" si="12"/>
        <v>1921</v>
      </c>
      <c r="AC37" s="34">
        <f t="shared" si="12"/>
        <v>12</v>
      </c>
      <c r="AD37" s="34">
        <f t="shared" si="12"/>
        <v>537</v>
      </c>
      <c r="AE37" s="34">
        <f t="shared" si="12"/>
        <v>339</v>
      </c>
      <c r="AF37" s="34">
        <f t="shared" si="12"/>
        <v>3789</v>
      </c>
      <c r="AG37" s="34">
        <f t="shared" si="12"/>
        <v>21</v>
      </c>
    </row>
    <row r="38" spans="1:47" x14ac:dyDescent="0.25">
      <c r="A38" s="5" t="s">
        <v>142</v>
      </c>
      <c r="V38" s="35">
        <f>$F$5</f>
        <v>636</v>
      </c>
      <c r="X38" s="35">
        <f>$I$5</f>
        <v>3649</v>
      </c>
      <c r="Y38" s="35">
        <f>$J$5</f>
        <v>21</v>
      </c>
      <c r="Z38" s="35">
        <f>$K$5</f>
        <v>17</v>
      </c>
      <c r="AA38" s="35">
        <f>$H$5</f>
        <v>438.40000000000009</v>
      </c>
      <c r="AB38" s="35">
        <f>$L$5</f>
        <v>1790</v>
      </c>
      <c r="AC38" s="35">
        <f>$M$5</f>
        <v>12</v>
      </c>
      <c r="AD38" s="35">
        <f>$G$5</f>
        <v>607</v>
      </c>
      <c r="AF38" s="35">
        <f>$I$5</f>
        <v>3649</v>
      </c>
      <c r="AG38" s="35">
        <f>$J$5</f>
        <v>21</v>
      </c>
    </row>
    <row r="39" spans="1:47" x14ac:dyDescent="0.25">
      <c r="A39" s="5" t="s">
        <v>143</v>
      </c>
      <c r="V39" s="36">
        <f>$F$5-V37</f>
        <v>77</v>
      </c>
      <c r="X39" s="36">
        <f>$I$5-X37</f>
        <v>-19</v>
      </c>
      <c r="Y39" s="36">
        <f>$J$5-Y37</f>
        <v>1</v>
      </c>
      <c r="Z39" s="36">
        <f>$K$5-Z37</f>
        <v>0</v>
      </c>
      <c r="AA39" s="36">
        <f>$H$5-AA37</f>
        <v>-43.599999999999909</v>
      </c>
      <c r="AB39" s="36">
        <f>$L$5-AB37</f>
        <v>-131</v>
      </c>
      <c r="AC39" s="36">
        <f>$M$5-AC37</f>
        <v>0</v>
      </c>
      <c r="AD39" s="36">
        <f>$G$5-AD37</f>
        <v>70</v>
      </c>
      <c r="AF39" s="36">
        <f>$I$5-AF37</f>
        <v>-140</v>
      </c>
      <c r="AG39" s="36">
        <f>$J$5-AG37</f>
        <v>0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749" priority="1" stopIfTrue="1">
      <formula>V37&gt;$F$5</formula>
    </cfRule>
    <cfRule type="expression" dxfId="748" priority="2">
      <formula>AND($F$5&gt;0,V37&lt;$F$5*0.97)</formula>
    </cfRule>
    <cfRule type="expression" dxfId="747" priority="3">
      <formula>AND($F$5&gt;0,V37&gt;=$F$5*0.97,V37&lt;=$F$5)</formula>
    </cfRule>
  </conditionalFormatting>
  <conditionalFormatting sqref="X37">
    <cfRule type="expression" dxfId="746" priority="4" stopIfTrue="1">
      <formula>X37&gt;$I$5</formula>
    </cfRule>
    <cfRule type="expression" dxfId="745" priority="5">
      <formula>AND($I$5&gt;0,X37&lt;$I$5*0.97)</formula>
    </cfRule>
    <cfRule type="expression" dxfId="744" priority="6">
      <formula>AND($I$5&gt;0,X37&gt;=$I$5*0.97,X37&lt;=$I$5)</formula>
    </cfRule>
  </conditionalFormatting>
  <conditionalFormatting sqref="Y37">
    <cfRule type="expression" dxfId="743" priority="7" stopIfTrue="1">
      <formula>Y37&gt;$J$5</formula>
    </cfRule>
    <cfRule type="expression" dxfId="742" priority="8">
      <formula>AND($J$5&gt;0,Y37&lt;$J$5*0.97)</formula>
    </cfRule>
    <cfRule type="expression" dxfId="741" priority="9">
      <formula>AND($J$5&gt;0,Y37&gt;=$J$5*0.97,Y37&lt;=$J$5)</formula>
    </cfRule>
  </conditionalFormatting>
  <conditionalFormatting sqref="Z37">
    <cfRule type="expression" dxfId="740" priority="10" stopIfTrue="1">
      <formula>Z37&gt;$K$5</formula>
    </cfRule>
    <cfRule type="expression" dxfId="739" priority="11">
      <formula>AND($K$5&gt;0,Z37&lt;$K$5*0.97)</formula>
    </cfRule>
    <cfRule type="expression" dxfId="738" priority="12">
      <formula>AND($K$5&gt;0,Z37&gt;=$K$5*0.97,Z37&lt;=$K$5)</formula>
    </cfRule>
  </conditionalFormatting>
  <conditionalFormatting sqref="AA37">
    <cfRule type="expression" dxfId="737" priority="13" stopIfTrue="1">
      <formula>AA37&gt;$H$5</formula>
    </cfRule>
    <cfRule type="expression" dxfId="736" priority="14">
      <formula>AND($H$5&gt;0,AA37&lt;$H$5*0.97)</formula>
    </cfRule>
    <cfRule type="expression" dxfId="735" priority="15">
      <formula>AND($H$5&gt;0,AA37&gt;=$H$5*0.97,AA37&lt;=$H$5)</formula>
    </cfRule>
  </conditionalFormatting>
  <conditionalFormatting sqref="AB37">
    <cfRule type="expression" dxfId="734" priority="16" stopIfTrue="1">
      <formula>AB37&gt;$L$5</formula>
    </cfRule>
    <cfRule type="expression" dxfId="733" priority="17">
      <formula>AND($L$5&gt;0,AB37&lt;$L$5*0.97)</formula>
    </cfRule>
    <cfRule type="expression" dxfId="732" priority="18">
      <formula>AND($L$5&gt;0,AB37&gt;=$L$5*0.97,AB37&lt;=$L$5)</formula>
    </cfRule>
  </conditionalFormatting>
  <conditionalFormatting sqref="AC37">
    <cfRule type="expression" dxfId="731" priority="19" stopIfTrue="1">
      <formula>AC37&gt;$M$5</formula>
    </cfRule>
    <cfRule type="expression" dxfId="730" priority="20">
      <formula>AND($M$5&gt;0,AC37&lt;$M$5*0.97)</formula>
    </cfRule>
    <cfRule type="expression" dxfId="729" priority="21">
      <formula>AND($M$5&gt;0,AC37&gt;=$M$5*0.97,AC37&lt;=$M$5)</formula>
    </cfRule>
  </conditionalFormatting>
  <conditionalFormatting sqref="AD37">
    <cfRule type="expression" dxfId="728" priority="22" stopIfTrue="1">
      <formula>AD37&gt;$G$5</formula>
    </cfRule>
    <cfRule type="expression" dxfId="727" priority="23">
      <formula>AND($G$5&gt;0,AD37&lt;$G$5*0.97)</formula>
    </cfRule>
    <cfRule type="expression" dxfId="726" priority="24">
      <formula>AND($G$5&gt;0,AD37&gt;=$G$5*0.97,AD37&lt;=$G$5)</formula>
    </cfRule>
  </conditionalFormatting>
  <conditionalFormatting sqref="AF37">
    <cfRule type="expression" dxfId="725" priority="25" stopIfTrue="1">
      <formula>AF37&gt;$I$5</formula>
    </cfRule>
    <cfRule type="expression" dxfId="724" priority="26">
      <formula>AND($I$5&gt;0,AF37&lt;$I$5*0.97)</formula>
    </cfRule>
    <cfRule type="expression" dxfId="723" priority="27">
      <formula>AND($I$5&gt;0,AF37&gt;=$I$5*0.97,AF37&lt;=$I$5)</formula>
    </cfRule>
  </conditionalFormatting>
  <conditionalFormatting sqref="AG37">
    <cfRule type="expression" dxfId="722" priority="28" stopIfTrue="1">
      <formula>AG37&gt;$J$5</formula>
    </cfRule>
    <cfRule type="expression" dxfId="721" priority="29">
      <formula>AND($J$5&gt;0,AG37&lt;$J$5*0.97)</formula>
    </cfRule>
    <cfRule type="expression" dxfId="720" priority="30">
      <formula>AND($J$5&gt;0,AG37&gt;=$J$5*0.97,AG37&lt;=$J$5)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339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64.2</v>
      </c>
      <c r="D5" s="10">
        <f>C5*B5</f>
        <v>1091.4000000000001</v>
      </c>
      <c r="E5" s="11">
        <v>0.58450000000000002</v>
      </c>
      <c r="F5" s="10">
        <f>ROUND(D5*E5,0)</f>
        <v>638</v>
      </c>
      <c r="G5" s="10">
        <f>ROUND(F5*Settings!$B$4,0)</f>
        <v>609</v>
      </c>
      <c r="H5" s="10">
        <f>D5-F5</f>
        <v>453.40000000000009</v>
      </c>
      <c r="I5" s="8">
        <v>4320</v>
      </c>
      <c r="J5" s="9">
        <v>28</v>
      </c>
      <c r="K5" s="9">
        <v>12</v>
      </c>
      <c r="L5" s="8">
        <v>1957</v>
      </c>
      <c r="M5" s="9">
        <v>14</v>
      </c>
    </row>
    <row r="7" spans="1:47" x14ac:dyDescent="0.25">
      <c r="A7" s="5" t="s">
        <v>54</v>
      </c>
      <c r="B7" s="12" t="s">
        <v>340</v>
      </c>
    </row>
    <row r="8" spans="1:47" x14ac:dyDescent="0.25">
      <c r="A8" s="5" t="s">
        <v>56</v>
      </c>
      <c r="B8" s="13" t="s">
        <v>237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341</v>
      </c>
      <c r="C11" s="17">
        <v>1</v>
      </c>
      <c r="D11" s="17" t="s">
        <v>98</v>
      </c>
      <c r="E11" s="18" t="s">
        <v>99</v>
      </c>
      <c r="F11" s="19">
        <v>43</v>
      </c>
      <c r="G11" s="19">
        <v>11</v>
      </c>
      <c r="H11" s="19">
        <v>37</v>
      </c>
      <c r="I11" s="19">
        <v>177</v>
      </c>
      <c r="J11" s="19"/>
      <c r="K11" s="19"/>
      <c r="L11" s="19"/>
      <c r="M11" s="19"/>
      <c r="N11" s="19" t="s">
        <v>342</v>
      </c>
      <c r="O11" s="19">
        <v>17</v>
      </c>
      <c r="P11" s="20">
        <v>5.2</v>
      </c>
      <c r="Q11" s="20"/>
      <c r="R11" s="21"/>
      <c r="S11" s="21">
        <v>0.67700000000000005</v>
      </c>
      <c r="T11" s="20">
        <v>7.48</v>
      </c>
      <c r="U11" s="22">
        <v>17</v>
      </c>
      <c r="V11" s="22">
        <v>575</v>
      </c>
      <c r="W11" s="22">
        <v>382</v>
      </c>
      <c r="X11" s="22">
        <v>4271</v>
      </c>
      <c r="Y11" s="22">
        <v>30</v>
      </c>
      <c r="Z11" s="22">
        <v>11</v>
      </c>
      <c r="AA11" s="22">
        <v>47</v>
      </c>
      <c r="AB11" s="22">
        <v>171</v>
      </c>
      <c r="AC11" s="22">
        <v>2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3.6382978723404253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7.4278260869565216</v>
      </c>
      <c r="AM11" s="25">
        <f t="shared" ref="AM11:AM35" si="4">IFERROR(W11/V11,"")</f>
        <v>0.66434782608695653</v>
      </c>
      <c r="AN11" s="25">
        <f t="shared" ref="AN11:AN35" si="5">IFERROR(AA11/$H$5,"")</f>
        <v>0.10366122629025142</v>
      </c>
      <c r="AO11" s="25">
        <f t="shared" ref="AO11:AO35" si="6">IFERROR(AD11/$G$5,"")</f>
        <v>0</v>
      </c>
      <c r="AP11" s="25">
        <f t="shared" ref="AP11:AP35" si="7">IFERROR(V11/$F$5,"")</f>
        <v>0.90125391849529779</v>
      </c>
      <c r="AQ11" s="26">
        <f t="shared" ref="AQ11:AQ35" si="8">IFERROR(AA11/U11,"")</f>
        <v>2.7647058823529411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10</v>
      </c>
      <c r="AU11" s="28">
        <f>AF11*Settings!$B$7+AG11*Settings!$B$8+AE11*Settings!$B$9+AB11*Settings!$B$10+AC11*Settings!$B$11+X11*Settings!$B$12+Y11*Settings!$B$13+Z11*Settings!$B$14</f>
        <v>297.94</v>
      </c>
    </row>
    <row r="12" spans="1:47" x14ac:dyDescent="0.25">
      <c r="A12" s="15" t="s">
        <v>96</v>
      </c>
      <c r="B12" s="16" t="s">
        <v>343</v>
      </c>
      <c r="C12" s="17">
        <v>2</v>
      </c>
      <c r="D12" s="17" t="s">
        <v>111</v>
      </c>
      <c r="E12" s="18" t="s">
        <v>99</v>
      </c>
      <c r="F12" s="19"/>
      <c r="G12" s="19">
        <v>7</v>
      </c>
      <c r="H12" s="19">
        <v>5</v>
      </c>
      <c r="I12" s="19">
        <v>50</v>
      </c>
      <c r="J12" s="19"/>
      <c r="K12" s="19"/>
      <c r="L12" s="19"/>
      <c r="M12" s="19"/>
      <c r="N12" s="19" t="s">
        <v>342</v>
      </c>
      <c r="O12" s="19">
        <v>4</v>
      </c>
      <c r="P12" s="20">
        <v>5.5</v>
      </c>
      <c r="Q12" s="20"/>
      <c r="R12" s="21"/>
      <c r="S12" s="21">
        <v>0.69799999999999995</v>
      </c>
      <c r="T12" s="20">
        <v>8</v>
      </c>
      <c r="U12" s="22">
        <v>17</v>
      </c>
      <c r="V12" s="22">
        <v>26</v>
      </c>
      <c r="W12" s="22">
        <v>16</v>
      </c>
      <c r="X12" s="22">
        <v>190</v>
      </c>
      <c r="Y12" s="22">
        <v>1</v>
      </c>
      <c r="Z12" s="22">
        <v>1</v>
      </c>
      <c r="AA12" s="22">
        <v>3</v>
      </c>
      <c r="AB12" s="22">
        <v>17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5.666666666666667</v>
      </c>
      <c r="AJ12" s="24" t="str">
        <f t="shared" si="1"/>
        <v/>
      </c>
      <c r="AK12" s="25" t="str">
        <f t="shared" si="2"/>
        <v/>
      </c>
      <c r="AL12" s="24">
        <f t="shared" si="3"/>
        <v>7.3076923076923075</v>
      </c>
      <c r="AM12" s="25">
        <f t="shared" si="4"/>
        <v>0.61538461538461542</v>
      </c>
      <c r="AN12" s="25">
        <f t="shared" si="5"/>
        <v>6.6166740185266857E-3</v>
      </c>
      <c r="AO12" s="25">
        <f t="shared" si="6"/>
        <v>0</v>
      </c>
      <c r="AP12" s="25">
        <f t="shared" si="7"/>
        <v>4.0752351097178681E-2</v>
      </c>
      <c r="AQ12" s="26">
        <f t="shared" si="8"/>
        <v>0.17647058823529413</v>
      </c>
      <c r="AR12" s="26">
        <f t="shared" si="9"/>
        <v>0</v>
      </c>
      <c r="AS12" s="27">
        <f t="shared" si="10"/>
        <v>0</v>
      </c>
      <c r="AT12" s="27">
        <f t="shared" si="11"/>
        <v>-2</v>
      </c>
      <c r="AU12" s="28">
        <f>AF12*Settings!$B$7+AG12*Settings!$B$8+AE12*Settings!$B$9+AB12*Settings!$B$10+AC12*Settings!$B$11+X12*Settings!$B$12+Y12*Settings!$B$13+Z12*Settings!$B$14</f>
        <v>11.3</v>
      </c>
    </row>
    <row r="13" spans="1:47" x14ac:dyDescent="0.25">
      <c r="A13" s="15" t="s">
        <v>96</v>
      </c>
      <c r="B13" s="16" t="s">
        <v>344</v>
      </c>
      <c r="C13" s="17">
        <v>3</v>
      </c>
      <c r="D13" s="17" t="s">
        <v>105</v>
      </c>
      <c r="E13" s="18" t="s">
        <v>99</v>
      </c>
      <c r="F13" s="19">
        <v>44</v>
      </c>
      <c r="G13" s="19">
        <v>1</v>
      </c>
      <c r="H13" s="19"/>
      <c r="I13" s="19"/>
      <c r="J13" s="19">
        <v>1</v>
      </c>
      <c r="K13" s="19"/>
      <c r="L13" s="19"/>
      <c r="M13" s="19"/>
      <c r="N13" s="19"/>
      <c r="O13" s="19"/>
      <c r="P13" s="20">
        <v>5.89</v>
      </c>
      <c r="Q13" s="20">
        <v>4</v>
      </c>
      <c r="R13" s="21">
        <v>1</v>
      </c>
      <c r="S13" s="21">
        <v>0.628</v>
      </c>
      <c r="T13" s="20">
        <v>6.34</v>
      </c>
      <c r="U13" s="22">
        <v>17</v>
      </c>
      <c r="V13" s="22">
        <v>33</v>
      </c>
      <c r="W13" s="22">
        <v>19</v>
      </c>
      <c r="X13" s="22">
        <v>182</v>
      </c>
      <c r="Y13" s="22">
        <v>1</v>
      </c>
      <c r="Z13" s="22">
        <v>1</v>
      </c>
      <c r="AA13" s="22">
        <v>1</v>
      </c>
      <c r="AB13" s="22">
        <v>6</v>
      </c>
      <c r="AC13" s="22">
        <v>0</v>
      </c>
      <c r="AD13" s="22"/>
      <c r="AE13" s="22"/>
      <c r="AF13" s="22"/>
      <c r="AG13" s="22"/>
      <c r="AH13" s="23" t="s">
        <v>101</v>
      </c>
      <c r="AI13" s="24">
        <f t="shared" si="0"/>
        <v>6</v>
      </c>
      <c r="AJ13" s="24" t="str">
        <f t="shared" si="1"/>
        <v/>
      </c>
      <c r="AK13" s="25" t="str">
        <f t="shared" si="2"/>
        <v/>
      </c>
      <c r="AL13" s="24">
        <f t="shared" si="3"/>
        <v>5.5151515151515156</v>
      </c>
      <c r="AM13" s="25">
        <f t="shared" si="4"/>
        <v>0.5757575757575758</v>
      </c>
      <c r="AN13" s="25">
        <f t="shared" si="5"/>
        <v>2.2055580061755621E-3</v>
      </c>
      <c r="AO13" s="25">
        <f t="shared" si="6"/>
        <v>0</v>
      </c>
      <c r="AP13" s="25">
        <f t="shared" si="7"/>
        <v>5.1724137931034482E-2</v>
      </c>
      <c r="AQ13" s="26">
        <f t="shared" si="8"/>
        <v>5.8823529411764705E-2</v>
      </c>
      <c r="AR13" s="26">
        <f t="shared" si="9"/>
        <v>0</v>
      </c>
      <c r="AS13" s="27">
        <f t="shared" si="10"/>
        <v>0</v>
      </c>
      <c r="AT13" s="27">
        <f t="shared" si="11"/>
        <v>1</v>
      </c>
      <c r="AU13" s="28">
        <f>AF13*Settings!$B$7+AG13*Settings!$B$8+AE13*Settings!$B$9+AB13*Settings!$B$10+AC13*Settings!$B$11+X13*Settings!$B$12+Y13*Settings!$B$13+Z13*Settings!$B$14</f>
        <v>9.8800000000000008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345</v>
      </c>
      <c r="C15" s="17">
        <v>1</v>
      </c>
      <c r="D15" s="17" t="s">
        <v>111</v>
      </c>
      <c r="E15" s="18" t="s">
        <v>99</v>
      </c>
      <c r="F15" s="19">
        <v>217</v>
      </c>
      <c r="G15" s="19">
        <v>139</v>
      </c>
      <c r="H15" s="19">
        <v>252</v>
      </c>
      <c r="I15" s="19">
        <v>1201</v>
      </c>
      <c r="J15" s="19">
        <v>58</v>
      </c>
      <c r="K15" s="19">
        <v>70</v>
      </c>
      <c r="L15" s="19">
        <v>51</v>
      </c>
      <c r="M15" s="19">
        <v>137</v>
      </c>
      <c r="N15" s="19" t="s">
        <v>342</v>
      </c>
      <c r="O15" s="19">
        <v>16</v>
      </c>
      <c r="P15" s="20">
        <v>4.09</v>
      </c>
      <c r="Q15" s="20">
        <v>5.31</v>
      </c>
      <c r="R15" s="21">
        <v>0.749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242</v>
      </c>
      <c r="AB15" s="22">
        <v>1110</v>
      </c>
      <c r="AC15" s="22">
        <v>10</v>
      </c>
      <c r="AD15" s="22">
        <v>45</v>
      </c>
      <c r="AE15" s="22">
        <v>33</v>
      </c>
      <c r="AF15" s="22">
        <v>185</v>
      </c>
      <c r="AG15" s="22">
        <v>1</v>
      </c>
      <c r="AH15" s="23" t="s">
        <v>101</v>
      </c>
      <c r="AI15" s="24">
        <f t="shared" si="0"/>
        <v>4.5867768595041323</v>
      </c>
      <c r="AJ15" s="24">
        <f t="shared" si="1"/>
        <v>5.6060606060606064</v>
      </c>
      <c r="AK15" s="25">
        <f t="shared" si="2"/>
        <v>0.73333333333333328</v>
      </c>
      <c r="AL15" s="24" t="str">
        <f t="shared" si="3"/>
        <v/>
      </c>
      <c r="AM15" s="25" t="str">
        <f t="shared" si="4"/>
        <v/>
      </c>
      <c r="AN15" s="25">
        <f t="shared" si="5"/>
        <v>0.53374503749448599</v>
      </c>
      <c r="AO15" s="25">
        <f t="shared" si="6"/>
        <v>7.3891625615763554E-2</v>
      </c>
      <c r="AP15" s="25">
        <f t="shared" si="7"/>
        <v>0</v>
      </c>
      <c r="AQ15" s="26">
        <f t="shared" si="8"/>
        <v>14.235294117647058</v>
      </c>
      <c r="AR15" s="26">
        <f t="shared" si="9"/>
        <v>2.6470588235294117</v>
      </c>
      <c r="AS15" s="27">
        <f t="shared" si="10"/>
        <v>-6</v>
      </c>
      <c r="AT15" s="27">
        <f t="shared" si="11"/>
        <v>-10</v>
      </c>
      <c r="AU15" s="28">
        <f>AF15*Settings!$B$7+AG15*Settings!$B$8+AE15*Settings!$B$9+AB15*Settings!$B$10+AC15*Settings!$B$11+X15*Settings!$B$12+Y15*Settings!$B$13+Z15*Settings!$B$14</f>
        <v>212</v>
      </c>
    </row>
    <row r="16" spans="1:47" x14ac:dyDescent="0.25">
      <c r="A16" s="15" t="s">
        <v>107</v>
      </c>
      <c r="B16" s="16" t="s">
        <v>346</v>
      </c>
      <c r="C16" s="17">
        <v>2</v>
      </c>
      <c r="D16" s="17" t="s">
        <v>158</v>
      </c>
      <c r="E16" s="18" t="s">
        <v>99</v>
      </c>
      <c r="F16" s="19"/>
      <c r="G16" s="19"/>
      <c r="H16" s="19">
        <v>52</v>
      </c>
      <c r="I16" s="19">
        <v>250</v>
      </c>
      <c r="J16" s="19"/>
      <c r="K16" s="19"/>
      <c r="L16" s="19">
        <v>5</v>
      </c>
      <c r="M16" s="19">
        <v>16</v>
      </c>
      <c r="N16" s="19" t="s">
        <v>342</v>
      </c>
      <c r="O16" s="19">
        <v>10</v>
      </c>
      <c r="P16" s="20">
        <v>4.8099999999999996</v>
      </c>
      <c r="Q16" s="20">
        <v>8</v>
      </c>
      <c r="R16" s="21">
        <v>0.4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49</v>
      </c>
      <c r="AB16" s="22">
        <v>223</v>
      </c>
      <c r="AC16" s="22">
        <v>2</v>
      </c>
      <c r="AD16" s="22">
        <v>8</v>
      </c>
      <c r="AE16" s="22">
        <v>5</v>
      </c>
      <c r="AF16" s="22">
        <v>38</v>
      </c>
      <c r="AG16" s="22">
        <v>0</v>
      </c>
      <c r="AH16" s="23" t="s">
        <v>101</v>
      </c>
      <c r="AI16" s="24">
        <f t="shared" si="0"/>
        <v>4.5510204081632653</v>
      </c>
      <c r="AJ16" s="24">
        <f t="shared" si="1"/>
        <v>7.6</v>
      </c>
      <c r="AK16" s="25">
        <f t="shared" si="2"/>
        <v>0.625</v>
      </c>
      <c r="AL16" s="24" t="str">
        <f t="shared" si="3"/>
        <v/>
      </c>
      <c r="AM16" s="25" t="str">
        <f t="shared" si="4"/>
        <v/>
      </c>
      <c r="AN16" s="25">
        <f t="shared" si="5"/>
        <v>0.10807234230260254</v>
      </c>
      <c r="AO16" s="25">
        <f t="shared" si="6"/>
        <v>1.3136288998357963E-2</v>
      </c>
      <c r="AP16" s="25">
        <f t="shared" si="7"/>
        <v>0</v>
      </c>
      <c r="AQ16" s="26">
        <f t="shared" si="8"/>
        <v>2.8823529411764706</v>
      </c>
      <c r="AR16" s="26">
        <f t="shared" si="9"/>
        <v>0.47058823529411764</v>
      </c>
      <c r="AS16" s="27">
        <f t="shared" si="10"/>
        <v>3</v>
      </c>
      <c r="AT16" s="27">
        <f t="shared" si="11"/>
        <v>-3</v>
      </c>
      <c r="AU16" s="28">
        <f>AF16*Settings!$B$7+AG16*Settings!$B$8+AE16*Settings!$B$9+AB16*Settings!$B$10+AC16*Settings!$B$11+X16*Settings!$B$12+Y16*Settings!$B$13+Z16*Settings!$B$14</f>
        <v>40.6</v>
      </c>
    </row>
    <row r="17" spans="1:47" x14ac:dyDescent="0.25">
      <c r="A17" s="15" t="s">
        <v>107</v>
      </c>
      <c r="B17" s="16" t="s">
        <v>347</v>
      </c>
      <c r="C17" s="17">
        <v>3</v>
      </c>
      <c r="D17" s="17" t="s">
        <v>128</v>
      </c>
      <c r="E17" s="18" t="s">
        <v>99</v>
      </c>
      <c r="F17" s="19"/>
      <c r="G17" s="19"/>
      <c r="H17" s="19">
        <v>38</v>
      </c>
      <c r="I17" s="19">
        <v>129</v>
      </c>
      <c r="J17" s="19"/>
      <c r="K17" s="19"/>
      <c r="L17" s="19">
        <v>1</v>
      </c>
      <c r="M17" s="19">
        <v>5</v>
      </c>
      <c r="N17" s="19" t="s">
        <v>342</v>
      </c>
      <c r="O17" s="19">
        <v>5</v>
      </c>
      <c r="P17" s="20">
        <v>3.39</v>
      </c>
      <c r="Q17" s="20">
        <v>5</v>
      </c>
      <c r="R17" s="21">
        <v>1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67</v>
      </c>
      <c r="AB17" s="22">
        <v>269</v>
      </c>
      <c r="AC17" s="22">
        <v>2</v>
      </c>
      <c r="AD17" s="22">
        <v>11</v>
      </c>
      <c r="AE17" s="22">
        <v>10</v>
      </c>
      <c r="AF17" s="22">
        <v>71</v>
      </c>
      <c r="AG17" s="22">
        <v>0</v>
      </c>
      <c r="AH17" s="23" t="s">
        <v>101</v>
      </c>
      <c r="AI17" s="24">
        <f t="shared" si="0"/>
        <v>4.0149253731343286</v>
      </c>
      <c r="AJ17" s="24">
        <f t="shared" si="1"/>
        <v>7.1</v>
      </c>
      <c r="AK17" s="25">
        <f t="shared" si="2"/>
        <v>0.90909090909090906</v>
      </c>
      <c r="AL17" s="24" t="str">
        <f t="shared" si="3"/>
        <v/>
      </c>
      <c r="AM17" s="25" t="str">
        <f t="shared" si="4"/>
        <v/>
      </c>
      <c r="AN17" s="25">
        <f t="shared" si="5"/>
        <v>0.14777238641376264</v>
      </c>
      <c r="AO17" s="25">
        <f t="shared" si="6"/>
        <v>1.8062397372742199E-2</v>
      </c>
      <c r="AP17" s="25">
        <f t="shared" si="7"/>
        <v>0</v>
      </c>
      <c r="AQ17" s="26">
        <f t="shared" si="8"/>
        <v>3.9411764705882355</v>
      </c>
      <c r="AR17" s="26">
        <f t="shared" si="9"/>
        <v>0.6470588235294118</v>
      </c>
      <c r="AS17" s="27">
        <f t="shared" si="10"/>
        <v>10</v>
      </c>
      <c r="AT17" s="27">
        <f t="shared" si="11"/>
        <v>29</v>
      </c>
      <c r="AU17" s="28">
        <f>AF17*Settings!$B$7+AG17*Settings!$B$8+AE17*Settings!$B$9+AB17*Settings!$B$10+AC17*Settings!$B$11+X17*Settings!$B$12+Y17*Settings!$B$13+Z17*Settings!$B$14</f>
        <v>51</v>
      </c>
    </row>
    <row r="18" spans="1:47" x14ac:dyDescent="0.25">
      <c r="A18" s="15" t="s">
        <v>107</v>
      </c>
      <c r="B18" s="16" t="s">
        <v>348</v>
      </c>
      <c r="C18" s="17">
        <v>4</v>
      </c>
      <c r="D18" s="17" t="s">
        <v>103</v>
      </c>
      <c r="E18" s="18" t="s">
        <v>99</v>
      </c>
      <c r="F18" s="19"/>
      <c r="G18" s="19"/>
      <c r="H18" s="19">
        <v>5</v>
      </c>
      <c r="I18" s="19">
        <v>18</v>
      </c>
      <c r="J18" s="19"/>
      <c r="K18" s="19"/>
      <c r="L18" s="19">
        <v>2</v>
      </c>
      <c r="M18" s="19">
        <v>11</v>
      </c>
      <c r="N18" s="19" t="s">
        <v>342</v>
      </c>
      <c r="O18" s="19">
        <v>1</v>
      </c>
      <c r="P18" s="20">
        <v>3.6</v>
      </c>
      <c r="Q18" s="20">
        <v>5.5</v>
      </c>
      <c r="R18" s="21">
        <v>1</v>
      </c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24</v>
      </c>
      <c r="AB18" s="22">
        <v>113</v>
      </c>
      <c r="AC18" s="22">
        <v>1</v>
      </c>
      <c r="AD18" s="22">
        <v>3</v>
      </c>
      <c r="AE18" s="22">
        <v>5</v>
      </c>
      <c r="AF18" s="22">
        <v>38</v>
      </c>
      <c r="AG18" s="22">
        <v>0</v>
      </c>
      <c r="AH18" s="23" t="s">
        <v>101</v>
      </c>
      <c r="AI18" s="24">
        <f t="shared" si="0"/>
        <v>4.708333333333333</v>
      </c>
      <c r="AJ18" s="24">
        <f t="shared" si="1"/>
        <v>7.6</v>
      </c>
      <c r="AK18" s="25">
        <f t="shared" si="2"/>
        <v>1.6666666666666667</v>
      </c>
      <c r="AL18" s="24" t="str">
        <f t="shared" si="3"/>
        <v/>
      </c>
      <c r="AM18" s="25" t="str">
        <f t="shared" si="4"/>
        <v/>
      </c>
      <c r="AN18" s="25">
        <f t="shared" si="5"/>
        <v>5.2933392148213486E-2</v>
      </c>
      <c r="AO18" s="25">
        <f t="shared" si="6"/>
        <v>4.9261083743842365E-3</v>
      </c>
      <c r="AP18" s="25">
        <f t="shared" si="7"/>
        <v>0</v>
      </c>
      <c r="AQ18" s="26">
        <f t="shared" si="8"/>
        <v>1.411764705882353</v>
      </c>
      <c r="AR18" s="26">
        <f t="shared" si="9"/>
        <v>0.17647058823529413</v>
      </c>
      <c r="AS18" s="27">
        <f t="shared" si="10"/>
        <v>1</v>
      </c>
      <c r="AT18" s="27">
        <f t="shared" si="11"/>
        <v>19</v>
      </c>
      <c r="AU18" s="28">
        <f>AF18*Settings!$B$7+AG18*Settings!$B$8+AE18*Settings!$B$9+AB18*Settings!$B$10+AC18*Settings!$B$11+X18*Settings!$B$12+Y18*Settings!$B$13+Z18*Settings!$B$14</f>
        <v>23.6</v>
      </c>
    </row>
    <row r="19" spans="1:47" x14ac:dyDescent="0.25">
      <c r="A19" s="15" t="s">
        <v>107</v>
      </c>
      <c r="B19" s="16" t="s">
        <v>349</v>
      </c>
      <c r="C19" s="17">
        <v>5</v>
      </c>
      <c r="D19" s="17" t="s">
        <v>103</v>
      </c>
      <c r="E19" s="18" t="s">
        <v>99</v>
      </c>
      <c r="F19" s="19">
        <v>22</v>
      </c>
      <c r="G19" s="19"/>
      <c r="H19" s="19"/>
      <c r="I19" s="19"/>
      <c r="J19" s="19">
        <v>11</v>
      </c>
      <c r="K19" s="19"/>
      <c r="L19" s="19"/>
      <c r="M19" s="19"/>
      <c r="N19" s="19"/>
      <c r="O19" s="19"/>
      <c r="P19" s="20">
        <v>3.18</v>
      </c>
      <c r="Q19" s="20">
        <v>6.14</v>
      </c>
      <c r="R19" s="21">
        <v>0.63600000000000001</v>
      </c>
      <c r="S19" s="21"/>
      <c r="T19" s="20"/>
      <c r="U19" s="22">
        <v>17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33"/>
      <c r="AI19" s="24" t="str">
        <f t="shared" si="0"/>
        <v/>
      </c>
      <c r="AJ19" s="24" t="str">
        <f t="shared" si="1"/>
        <v/>
      </c>
      <c r="AK19" s="25" t="str">
        <f t="shared" si="2"/>
        <v/>
      </c>
      <c r="AL19" s="24" t="str">
        <f t="shared" si="3"/>
        <v/>
      </c>
      <c r="AM19" s="25" t="str">
        <f t="shared" si="4"/>
        <v/>
      </c>
      <c r="AN19" s="25">
        <f t="shared" si="5"/>
        <v>0</v>
      </c>
      <c r="AO19" s="25">
        <f t="shared" si="6"/>
        <v>0</v>
      </c>
      <c r="AP19" s="25">
        <f t="shared" si="7"/>
        <v>0</v>
      </c>
      <c r="AQ19" s="26">
        <f t="shared" si="8"/>
        <v>0</v>
      </c>
      <c r="AR19" s="26">
        <f t="shared" si="9"/>
        <v>0</v>
      </c>
      <c r="AS19" s="27">
        <f t="shared" si="10"/>
        <v>0</v>
      </c>
      <c r="AT19" s="27">
        <f t="shared" si="11"/>
        <v>0</v>
      </c>
      <c r="AU19" s="28">
        <f>AF19*Settings!$B$7+AG19*Settings!$B$8+AE19*Settings!$B$9+AB19*Settings!$B$10+AC19*Settings!$B$11+X19*Settings!$B$12+Y19*Settings!$B$13+Z19*Settings!$B$14</f>
        <v>0</v>
      </c>
    </row>
    <row r="20" spans="1:47" x14ac:dyDescent="0.25">
      <c r="A20" s="15" t="s">
        <v>107</v>
      </c>
      <c r="B20" s="16" t="s">
        <v>350</v>
      </c>
      <c r="C20" s="17">
        <v>6</v>
      </c>
      <c r="D20" s="17" t="s">
        <v>105</v>
      </c>
      <c r="E20" s="18" t="s">
        <v>99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1"/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351</v>
      </c>
      <c r="C22" s="17">
        <v>1</v>
      </c>
      <c r="D22" s="17" t="s">
        <v>158</v>
      </c>
      <c r="E22" s="18" t="s">
        <v>99</v>
      </c>
      <c r="F22" s="19">
        <v>14</v>
      </c>
      <c r="G22" s="19">
        <v>14</v>
      </c>
      <c r="H22" s="19">
        <v>1</v>
      </c>
      <c r="I22" s="19">
        <v>2</v>
      </c>
      <c r="J22" s="19">
        <v>181</v>
      </c>
      <c r="K22" s="19">
        <v>152</v>
      </c>
      <c r="L22" s="19">
        <v>117</v>
      </c>
      <c r="M22" s="19">
        <v>1077</v>
      </c>
      <c r="N22" s="19" t="s">
        <v>342</v>
      </c>
      <c r="O22" s="19">
        <v>14</v>
      </c>
      <c r="P22" s="20">
        <v>6.38</v>
      </c>
      <c r="Q22" s="20">
        <v>12.93</v>
      </c>
      <c r="R22" s="21">
        <v>0.69099999999999995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3</v>
      </c>
      <c r="AB22" s="22">
        <v>17</v>
      </c>
      <c r="AC22" s="22">
        <v>0</v>
      </c>
      <c r="AD22" s="22">
        <v>151</v>
      </c>
      <c r="AE22" s="22">
        <v>98</v>
      </c>
      <c r="AF22" s="22">
        <v>1309</v>
      </c>
      <c r="AG22" s="22">
        <v>7</v>
      </c>
      <c r="AH22" s="23" t="s">
        <v>101</v>
      </c>
      <c r="AI22" s="24">
        <f t="shared" si="0"/>
        <v>5.666666666666667</v>
      </c>
      <c r="AJ22" s="24">
        <f t="shared" si="1"/>
        <v>13.357142857142858</v>
      </c>
      <c r="AK22" s="25">
        <f t="shared" si="2"/>
        <v>0.64900662251655628</v>
      </c>
      <c r="AL22" s="24" t="str">
        <f t="shared" si="3"/>
        <v/>
      </c>
      <c r="AM22" s="25" t="str">
        <f t="shared" si="4"/>
        <v/>
      </c>
      <c r="AN22" s="25">
        <f t="shared" si="5"/>
        <v>6.6166740185266857E-3</v>
      </c>
      <c r="AO22" s="25">
        <f t="shared" si="6"/>
        <v>0.24794745484400657</v>
      </c>
      <c r="AP22" s="25">
        <f t="shared" si="7"/>
        <v>0</v>
      </c>
      <c r="AQ22" s="26">
        <f t="shared" si="8"/>
        <v>0.17647058823529413</v>
      </c>
      <c r="AR22" s="26">
        <f t="shared" si="9"/>
        <v>8.882352941176471</v>
      </c>
      <c r="AS22" s="27">
        <f t="shared" si="10"/>
        <v>34</v>
      </c>
      <c r="AT22" s="27">
        <f t="shared" si="11"/>
        <v>2</v>
      </c>
      <c r="AU22" s="28">
        <f>AF22*Settings!$B$7+AG22*Settings!$B$8+AE22*Settings!$B$9+AB22*Settings!$B$10+AC22*Settings!$B$11+X22*Settings!$B$12+Y22*Settings!$B$13+Z22*Settings!$B$14</f>
        <v>223.6</v>
      </c>
    </row>
    <row r="23" spans="1:47" x14ac:dyDescent="0.25">
      <c r="A23" s="15" t="s">
        <v>121</v>
      </c>
      <c r="B23" s="16" t="s">
        <v>352</v>
      </c>
      <c r="C23" s="17">
        <v>2</v>
      </c>
      <c r="D23" s="17" t="s">
        <v>105</v>
      </c>
      <c r="E23" s="18" t="s">
        <v>99</v>
      </c>
      <c r="F23" s="19">
        <v>3</v>
      </c>
      <c r="G23" s="19">
        <v>2</v>
      </c>
      <c r="H23" s="19"/>
      <c r="I23" s="19"/>
      <c r="J23" s="19">
        <v>106</v>
      </c>
      <c r="K23" s="19">
        <v>103</v>
      </c>
      <c r="L23" s="19">
        <v>137</v>
      </c>
      <c r="M23" s="19">
        <v>1429</v>
      </c>
      <c r="N23" s="19" t="s">
        <v>342</v>
      </c>
      <c r="O23" s="19">
        <v>17</v>
      </c>
      <c r="P23" s="20">
        <v>2.4</v>
      </c>
      <c r="Q23" s="20">
        <v>16.13</v>
      </c>
      <c r="R23" s="21">
        <v>0.621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1</v>
      </c>
      <c r="AC23" s="22">
        <v>0</v>
      </c>
      <c r="AD23" s="22">
        <v>128</v>
      </c>
      <c r="AE23" s="22">
        <v>82</v>
      </c>
      <c r="AF23" s="22">
        <v>1205</v>
      </c>
      <c r="AG23" s="22">
        <v>8</v>
      </c>
      <c r="AH23" s="23" t="s">
        <v>101</v>
      </c>
      <c r="AI23" s="24" t="str">
        <f t="shared" si="0"/>
        <v/>
      </c>
      <c r="AJ23" s="24">
        <f t="shared" si="1"/>
        <v>14.695121951219512</v>
      </c>
      <c r="AK23" s="25">
        <f t="shared" si="2"/>
        <v>0.640625</v>
      </c>
      <c r="AL23" s="24" t="str">
        <f t="shared" si="3"/>
        <v/>
      </c>
      <c r="AM23" s="25" t="str">
        <f t="shared" si="4"/>
        <v/>
      </c>
      <c r="AN23" s="25">
        <f t="shared" si="5"/>
        <v>0</v>
      </c>
      <c r="AO23" s="25">
        <f t="shared" si="6"/>
        <v>0.21018062397372742</v>
      </c>
      <c r="AP23" s="25">
        <f t="shared" si="7"/>
        <v>0</v>
      </c>
      <c r="AQ23" s="26">
        <f t="shared" si="8"/>
        <v>0</v>
      </c>
      <c r="AR23" s="26">
        <f t="shared" si="9"/>
        <v>7.5294117647058822</v>
      </c>
      <c r="AS23" s="27">
        <f t="shared" si="10"/>
        <v>-9</v>
      </c>
      <c r="AT23" s="27">
        <f t="shared" si="11"/>
        <v>0</v>
      </c>
      <c r="AU23" s="28">
        <f>AF23*Settings!$B$7+AG23*Settings!$B$8+AE23*Settings!$B$9+AB23*Settings!$B$10+AC23*Settings!$B$11+X23*Settings!$B$12+Y23*Settings!$B$13+Z23*Settings!$B$14</f>
        <v>209.6</v>
      </c>
    </row>
    <row r="24" spans="1:47" x14ac:dyDescent="0.25">
      <c r="A24" s="15" t="s">
        <v>121</v>
      </c>
      <c r="B24" s="16" t="s">
        <v>353</v>
      </c>
      <c r="C24" s="17">
        <v>3</v>
      </c>
      <c r="D24" s="17" t="s">
        <v>111</v>
      </c>
      <c r="E24" s="18" t="s">
        <v>99</v>
      </c>
      <c r="F24" s="19"/>
      <c r="G24" s="19"/>
      <c r="H24" s="19">
        <v>4</v>
      </c>
      <c r="I24" s="19">
        <v>25</v>
      </c>
      <c r="J24" s="19"/>
      <c r="K24" s="19">
        <v>14</v>
      </c>
      <c r="L24" s="19">
        <v>56</v>
      </c>
      <c r="M24" s="19">
        <v>475</v>
      </c>
      <c r="N24" s="19" t="s">
        <v>342</v>
      </c>
      <c r="O24" s="19">
        <v>16</v>
      </c>
      <c r="P24" s="20">
        <v>6.25</v>
      </c>
      <c r="Q24" s="20">
        <v>11.54</v>
      </c>
      <c r="R24" s="21">
        <v>0.71399999999999997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2</v>
      </c>
      <c r="AB24" s="22">
        <v>10</v>
      </c>
      <c r="AC24" s="22">
        <v>0</v>
      </c>
      <c r="AD24" s="22">
        <v>58</v>
      </c>
      <c r="AE24" s="22">
        <v>41</v>
      </c>
      <c r="AF24" s="22">
        <v>470</v>
      </c>
      <c r="AG24" s="22">
        <v>3</v>
      </c>
      <c r="AH24" s="23" t="s">
        <v>101</v>
      </c>
      <c r="AI24" s="24">
        <f t="shared" si="0"/>
        <v>5</v>
      </c>
      <c r="AJ24" s="24">
        <f t="shared" si="1"/>
        <v>11.463414634146341</v>
      </c>
      <c r="AK24" s="25">
        <f t="shared" si="2"/>
        <v>0.7068965517241379</v>
      </c>
      <c r="AL24" s="24" t="str">
        <f t="shared" si="3"/>
        <v/>
      </c>
      <c r="AM24" s="25" t="str">
        <f t="shared" si="4"/>
        <v/>
      </c>
      <c r="AN24" s="25">
        <f t="shared" si="5"/>
        <v>4.4111160123511241E-3</v>
      </c>
      <c r="AO24" s="25">
        <f t="shared" si="6"/>
        <v>9.5238095238095233E-2</v>
      </c>
      <c r="AP24" s="25">
        <f t="shared" si="7"/>
        <v>0</v>
      </c>
      <c r="AQ24" s="26">
        <f t="shared" si="8"/>
        <v>0.11764705882352941</v>
      </c>
      <c r="AR24" s="26">
        <f t="shared" si="9"/>
        <v>3.4117647058823528</v>
      </c>
      <c r="AS24" s="27">
        <f t="shared" si="10"/>
        <v>2</v>
      </c>
      <c r="AT24" s="27">
        <f t="shared" si="11"/>
        <v>-2</v>
      </c>
      <c r="AU24" s="28">
        <f>AF24*Settings!$B$7+AG24*Settings!$B$8+AE24*Settings!$B$9+AB24*Settings!$B$10+AC24*Settings!$B$11+X24*Settings!$B$12+Y24*Settings!$B$13+Z24*Settings!$B$14</f>
        <v>86.5</v>
      </c>
    </row>
    <row r="25" spans="1:47" x14ac:dyDescent="0.25">
      <c r="A25" s="15" t="s">
        <v>121</v>
      </c>
      <c r="B25" s="16" t="s">
        <v>354</v>
      </c>
      <c r="C25" s="17">
        <v>4</v>
      </c>
      <c r="D25" s="17" t="s">
        <v>200</v>
      </c>
      <c r="E25" s="18" t="s">
        <v>99</v>
      </c>
      <c r="F25" s="19">
        <v>11</v>
      </c>
      <c r="G25" s="19">
        <v>16</v>
      </c>
      <c r="H25" s="19">
        <v>17</v>
      </c>
      <c r="I25" s="19">
        <v>89</v>
      </c>
      <c r="J25" s="19">
        <v>18</v>
      </c>
      <c r="K25" s="19">
        <v>52</v>
      </c>
      <c r="L25" s="19">
        <v>38</v>
      </c>
      <c r="M25" s="19">
        <v>396</v>
      </c>
      <c r="N25" s="19" t="s">
        <v>342</v>
      </c>
      <c r="O25" s="19">
        <v>15</v>
      </c>
      <c r="P25" s="20">
        <v>6.61</v>
      </c>
      <c r="Q25" s="20">
        <v>13.67</v>
      </c>
      <c r="R25" s="21">
        <v>0.63900000000000001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15</v>
      </c>
      <c r="AB25" s="22">
        <v>92</v>
      </c>
      <c r="AC25" s="22">
        <v>0</v>
      </c>
      <c r="AD25" s="22">
        <v>29</v>
      </c>
      <c r="AE25" s="22">
        <v>21</v>
      </c>
      <c r="AF25" s="22">
        <v>274</v>
      </c>
      <c r="AG25" s="22">
        <v>2</v>
      </c>
      <c r="AH25" s="23" t="s">
        <v>101</v>
      </c>
      <c r="AI25" s="24">
        <f t="shared" si="0"/>
        <v>6.1333333333333337</v>
      </c>
      <c r="AJ25" s="24">
        <f t="shared" si="1"/>
        <v>13.047619047619047</v>
      </c>
      <c r="AK25" s="25">
        <f t="shared" si="2"/>
        <v>0.72413793103448276</v>
      </c>
      <c r="AL25" s="24" t="str">
        <f t="shared" si="3"/>
        <v/>
      </c>
      <c r="AM25" s="25" t="str">
        <f t="shared" si="4"/>
        <v/>
      </c>
      <c r="AN25" s="25">
        <f t="shared" si="5"/>
        <v>3.308337009263343E-2</v>
      </c>
      <c r="AO25" s="25">
        <f t="shared" si="6"/>
        <v>4.7619047619047616E-2</v>
      </c>
      <c r="AP25" s="25">
        <f t="shared" si="7"/>
        <v>0</v>
      </c>
      <c r="AQ25" s="26">
        <f t="shared" si="8"/>
        <v>0.88235294117647056</v>
      </c>
      <c r="AR25" s="26">
        <f t="shared" si="9"/>
        <v>1.7058823529411764</v>
      </c>
      <c r="AS25" s="27">
        <f t="shared" si="10"/>
        <v>-9</v>
      </c>
      <c r="AT25" s="27">
        <f t="shared" si="11"/>
        <v>-2</v>
      </c>
      <c r="AU25" s="28">
        <f>AF25*Settings!$B$7+AG25*Settings!$B$8+AE25*Settings!$B$9+AB25*Settings!$B$10+AC25*Settings!$B$11+X25*Settings!$B$12+Y25*Settings!$B$13+Z25*Settings!$B$14</f>
        <v>59.100000000000009</v>
      </c>
    </row>
    <row r="26" spans="1:47" x14ac:dyDescent="0.25">
      <c r="A26" s="15" t="s">
        <v>121</v>
      </c>
      <c r="B26" s="16" t="s">
        <v>355</v>
      </c>
      <c r="C26" s="17">
        <v>5</v>
      </c>
      <c r="D26" s="17" t="s">
        <v>114</v>
      </c>
      <c r="E26" s="18" t="s">
        <v>99</v>
      </c>
      <c r="F26" s="19"/>
      <c r="G26" s="19">
        <v>1</v>
      </c>
      <c r="H26" s="19"/>
      <c r="I26" s="19"/>
      <c r="J26" s="19">
        <v>42</v>
      </c>
      <c r="K26" s="19">
        <v>35</v>
      </c>
      <c r="L26" s="19">
        <v>8</v>
      </c>
      <c r="M26" s="19">
        <v>40</v>
      </c>
      <c r="N26" s="19" t="s">
        <v>125</v>
      </c>
      <c r="O26" s="19">
        <v>5</v>
      </c>
      <c r="P26" s="20">
        <v>4</v>
      </c>
      <c r="Q26" s="20">
        <v>17.62</v>
      </c>
      <c r="R26" s="21">
        <v>0.49399999999999999</v>
      </c>
      <c r="S26" s="21"/>
      <c r="T26" s="20"/>
      <c r="U26" s="22">
        <v>17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1</v>
      </c>
      <c r="AC26" s="22">
        <v>0</v>
      </c>
      <c r="AD26" s="22">
        <v>10</v>
      </c>
      <c r="AE26" s="22">
        <v>7</v>
      </c>
      <c r="AF26" s="22">
        <v>107</v>
      </c>
      <c r="AG26" s="22">
        <v>1</v>
      </c>
      <c r="AH26" s="23" t="s">
        <v>101</v>
      </c>
      <c r="AI26" s="24" t="str">
        <f t="shared" si="0"/>
        <v/>
      </c>
      <c r="AJ26" s="24">
        <f t="shared" si="1"/>
        <v>15.285714285714286</v>
      </c>
      <c r="AK26" s="25">
        <f t="shared" si="2"/>
        <v>0.7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1.6420361247947456E-2</v>
      </c>
      <c r="AP26" s="25">
        <f t="shared" si="7"/>
        <v>0</v>
      </c>
      <c r="AQ26" s="26">
        <f t="shared" si="8"/>
        <v>0</v>
      </c>
      <c r="AR26" s="26">
        <f t="shared" si="9"/>
        <v>0.58823529411764708</v>
      </c>
      <c r="AS26" s="27">
        <f t="shared" si="10"/>
        <v>2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20.300000000000004</v>
      </c>
    </row>
    <row r="27" spans="1:47" x14ac:dyDescent="0.25">
      <c r="A27" s="15" t="s">
        <v>121</v>
      </c>
      <c r="B27" s="16" t="s">
        <v>356</v>
      </c>
      <c r="C27" s="17">
        <v>6</v>
      </c>
      <c r="D27" s="17" t="s">
        <v>105</v>
      </c>
      <c r="E27" s="18" t="s">
        <v>99</v>
      </c>
      <c r="F27" s="19"/>
      <c r="G27" s="19"/>
      <c r="H27" s="19"/>
      <c r="I27" s="19"/>
      <c r="J27" s="19">
        <v>85</v>
      </c>
      <c r="K27" s="19">
        <v>16</v>
      </c>
      <c r="L27" s="19">
        <v>5</v>
      </c>
      <c r="M27" s="19">
        <v>25</v>
      </c>
      <c r="N27" s="19" t="s">
        <v>342</v>
      </c>
      <c r="O27" s="19">
        <v>6</v>
      </c>
      <c r="P27" s="20"/>
      <c r="Q27" s="20">
        <v>9.98</v>
      </c>
      <c r="R27" s="21">
        <v>0.46200000000000002</v>
      </c>
      <c r="S27" s="21"/>
      <c r="T27" s="20"/>
      <c r="U27" s="22">
        <v>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6</v>
      </c>
      <c r="AE27" s="22">
        <v>6</v>
      </c>
      <c r="AF27" s="22">
        <v>71</v>
      </c>
      <c r="AG27" s="22">
        <v>0</v>
      </c>
      <c r="AH27" s="23" t="s">
        <v>101</v>
      </c>
      <c r="AI27" s="24" t="str">
        <f t="shared" si="0"/>
        <v/>
      </c>
      <c r="AJ27" s="24">
        <f t="shared" si="1"/>
        <v>11.833333333333334</v>
      </c>
      <c r="AK27" s="25">
        <f t="shared" si="2"/>
        <v>1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9.852216748768473E-3</v>
      </c>
      <c r="AP27" s="25">
        <f t="shared" si="7"/>
        <v>0</v>
      </c>
      <c r="AQ27" s="26">
        <f t="shared" si="8"/>
        <v>0</v>
      </c>
      <c r="AR27" s="26">
        <f t="shared" si="9"/>
        <v>0.35294117647058826</v>
      </c>
      <c r="AS27" s="27">
        <f t="shared" si="10"/>
        <v>1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10.100000000000001</v>
      </c>
    </row>
    <row r="28" spans="1:47" x14ac:dyDescent="0.25">
      <c r="A28" s="15" t="s">
        <v>121</v>
      </c>
      <c r="B28" s="16" t="s">
        <v>357</v>
      </c>
      <c r="C28" s="17">
        <v>7</v>
      </c>
      <c r="D28" s="17" t="s">
        <v>158</v>
      </c>
      <c r="E28" s="18" t="s">
        <v>99</v>
      </c>
      <c r="F28" s="19"/>
      <c r="G28" s="19"/>
      <c r="H28" s="19"/>
      <c r="I28" s="19"/>
      <c r="J28" s="19">
        <v>3</v>
      </c>
      <c r="K28" s="19">
        <v>41</v>
      </c>
      <c r="L28" s="19">
        <v>18</v>
      </c>
      <c r="M28" s="19">
        <v>197</v>
      </c>
      <c r="N28" s="19" t="s">
        <v>358</v>
      </c>
      <c r="O28" s="19">
        <v>12</v>
      </c>
      <c r="P28" s="20"/>
      <c r="Q28" s="20">
        <v>12.4</v>
      </c>
      <c r="R28" s="21">
        <v>0.64500000000000002</v>
      </c>
      <c r="S28" s="21"/>
      <c r="T28" s="20"/>
      <c r="U28" s="22">
        <v>17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4</v>
      </c>
      <c r="AE28" s="22">
        <v>3</v>
      </c>
      <c r="AF28" s="22">
        <v>35</v>
      </c>
      <c r="AG28" s="22">
        <v>0</v>
      </c>
      <c r="AH28" s="23" t="s">
        <v>101</v>
      </c>
      <c r="AI28" s="24" t="str">
        <f t="shared" si="0"/>
        <v/>
      </c>
      <c r="AJ28" s="24">
        <f t="shared" si="1"/>
        <v>11.666666666666666</v>
      </c>
      <c r="AK28" s="25">
        <f t="shared" si="2"/>
        <v>0.75</v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6.5681444991789817E-3</v>
      </c>
      <c r="AP28" s="25">
        <f t="shared" si="7"/>
        <v>0</v>
      </c>
      <c r="AQ28" s="26">
        <f t="shared" si="8"/>
        <v>0</v>
      </c>
      <c r="AR28" s="26">
        <f t="shared" si="9"/>
        <v>0.23529411764705882</v>
      </c>
      <c r="AS28" s="27">
        <f t="shared" si="10"/>
        <v>-14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5</v>
      </c>
    </row>
    <row r="29" spans="1:47" x14ac:dyDescent="0.25">
      <c r="A29" s="15" t="s">
        <v>121</v>
      </c>
      <c r="B29" s="16" t="s">
        <v>359</v>
      </c>
      <c r="C29" s="17">
        <v>8</v>
      </c>
      <c r="D29" s="17" t="s">
        <v>130</v>
      </c>
      <c r="E29" s="18" t="s">
        <v>99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1"/>
      <c r="S29" s="21"/>
      <c r="T29" s="20"/>
      <c r="U29" s="22">
        <v>17</v>
      </c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33"/>
      <c r="AI29" s="24" t="str">
        <f t="shared" si="0"/>
        <v/>
      </c>
      <c r="AJ29" s="24" t="str">
        <f t="shared" si="1"/>
        <v/>
      </c>
      <c r="AK29" s="25" t="str">
        <f t="shared" si="2"/>
        <v/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0</v>
      </c>
      <c r="AP29" s="25">
        <f t="shared" si="7"/>
        <v>0</v>
      </c>
      <c r="AQ29" s="26">
        <f t="shared" si="8"/>
        <v>0</v>
      </c>
      <c r="AR29" s="26">
        <f t="shared" si="9"/>
        <v>0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0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360</v>
      </c>
      <c r="C31" s="17">
        <v>1</v>
      </c>
      <c r="D31" s="17" t="s">
        <v>158</v>
      </c>
      <c r="E31" s="18" t="s">
        <v>99</v>
      </c>
      <c r="F31" s="19"/>
      <c r="G31" s="19"/>
      <c r="H31" s="19">
        <v>1</v>
      </c>
      <c r="I31" s="19">
        <v>1</v>
      </c>
      <c r="J31" s="19">
        <v>102</v>
      </c>
      <c r="K31" s="19">
        <v>86</v>
      </c>
      <c r="L31" s="19">
        <v>102</v>
      </c>
      <c r="M31" s="19">
        <v>600</v>
      </c>
      <c r="N31" s="19" t="s">
        <v>342</v>
      </c>
      <c r="O31" s="19">
        <v>17</v>
      </c>
      <c r="P31" s="20">
        <v>1</v>
      </c>
      <c r="Q31" s="20">
        <v>8.75</v>
      </c>
      <c r="R31" s="21">
        <v>0.73099999999999998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92</v>
      </c>
      <c r="AE31" s="22">
        <v>70</v>
      </c>
      <c r="AF31" s="22">
        <v>574</v>
      </c>
      <c r="AG31" s="22">
        <v>6</v>
      </c>
      <c r="AH31" s="23" t="s">
        <v>101</v>
      </c>
      <c r="AI31" s="24" t="str">
        <f t="shared" si="0"/>
        <v/>
      </c>
      <c r="AJ31" s="24">
        <f t="shared" si="1"/>
        <v>8.1999999999999993</v>
      </c>
      <c r="AK31" s="25">
        <f t="shared" si="2"/>
        <v>0.76086956521739135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0.15106732348111659</v>
      </c>
      <c r="AP31" s="25">
        <f t="shared" si="7"/>
        <v>0</v>
      </c>
      <c r="AQ31" s="26">
        <f t="shared" si="8"/>
        <v>0</v>
      </c>
      <c r="AR31" s="26">
        <f t="shared" si="9"/>
        <v>5.4117647058823533</v>
      </c>
      <c r="AS31" s="27">
        <f t="shared" si="10"/>
        <v>-10</v>
      </c>
      <c r="AT31" s="27">
        <f t="shared" si="11"/>
        <v>-1</v>
      </c>
      <c r="AU31" s="28">
        <f>AF31*Settings!$B$7+AG31*Settings!$B$8+AE31*Settings!$B$9+AB31*Settings!$B$10+AC31*Settings!$B$11+X31*Settings!$B$12+Y31*Settings!$B$13+Z31*Settings!$B$14</f>
        <v>128.4</v>
      </c>
    </row>
    <row r="32" spans="1:47" x14ac:dyDescent="0.25">
      <c r="A32" s="15" t="s">
        <v>135</v>
      </c>
      <c r="B32" s="16" t="s">
        <v>361</v>
      </c>
      <c r="C32" s="17">
        <v>2</v>
      </c>
      <c r="D32" s="17" t="s">
        <v>118</v>
      </c>
      <c r="E32" s="18" t="s">
        <v>99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20"/>
      <c r="R32" s="21"/>
      <c r="S32" s="21"/>
      <c r="T32" s="20"/>
      <c r="U32" s="22">
        <v>17</v>
      </c>
      <c r="V32" s="22"/>
      <c r="W32" s="22"/>
      <c r="X32" s="22"/>
      <c r="Y32" s="22"/>
      <c r="Z32" s="22"/>
      <c r="AA32" s="22">
        <v>0</v>
      </c>
      <c r="AB32" s="22">
        <v>0</v>
      </c>
      <c r="AC32" s="22">
        <v>0</v>
      </c>
      <c r="AD32" s="22">
        <v>15</v>
      </c>
      <c r="AE32" s="22">
        <v>12</v>
      </c>
      <c r="AF32" s="22">
        <v>119</v>
      </c>
      <c r="AG32" s="22">
        <v>1</v>
      </c>
      <c r="AH32" s="23" t="s">
        <v>101</v>
      </c>
      <c r="AI32" s="24" t="str">
        <f t="shared" si="0"/>
        <v/>
      </c>
      <c r="AJ32" s="24">
        <f t="shared" si="1"/>
        <v>9.9166666666666661</v>
      </c>
      <c r="AK32" s="25">
        <f t="shared" si="2"/>
        <v>0.8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2.4630541871921183E-2</v>
      </c>
      <c r="AP32" s="25">
        <f t="shared" si="7"/>
        <v>0</v>
      </c>
      <c r="AQ32" s="26">
        <f t="shared" si="8"/>
        <v>0</v>
      </c>
      <c r="AR32" s="26">
        <f t="shared" si="9"/>
        <v>0.88235294117647056</v>
      </c>
      <c r="AS32" s="27">
        <f t="shared" si="10"/>
        <v>15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23.9</v>
      </c>
    </row>
    <row r="33" spans="1:47" x14ac:dyDescent="0.25">
      <c r="A33" s="15" t="s">
        <v>135</v>
      </c>
      <c r="B33" s="16" t="s">
        <v>362</v>
      </c>
      <c r="C33" s="17">
        <v>3</v>
      </c>
      <c r="D33" s="17" t="s">
        <v>158</v>
      </c>
      <c r="E33" s="18" t="s">
        <v>99</v>
      </c>
      <c r="F33" s="19"/>
      <c r="G33" s="19"/>
      <c r="H33" s="19"/>
      <c r="I33" s="19"/>
      <c r="J33" s="19">
        <v>15</v>
      </c>
      <c r="K33" s="19">
        <v>36</v>
      </c>
      <c r="L33" s="19">
        <v>23</v>
      </c>
      <c r="M33" s="19">
        <v>132</v>
      </c>
      <c r="N33" s="19" t="s">
        <v>342</v>
      </c>
      <c r="O33" s="19">
        <v>17</v>
      </c>
      <c r="P33" s="20"/>
      <c r="Q33" s="20">
        <v>8.94</v>
      </c>
      <c r="R33" s="21">
        <v>0.66200000000000003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21</v>
      </c>
      <c r="AE33" s="22">
        <v>14</v>
      </c>
      <c r="AF33" s="22">
        <v>126</v>
      </c>
      <c r="AG33" s="22">
        <v>1</v>
      </c>
      <c r="AH33" s="23" t="s">
        <v>101</v>
      </c>
      <c r="AI33" s="24" t="str">
        <f t="shared" si="0"/>
        <v/>
      </c>
      <c r="AJ33" s="24">
        <f t="shared" si="1"/>
        <v>9</v>
      </c>
      <c r="AK33" s="25">
        <f t="shared" si="2"/>
        <v>0.66666666666666663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3.4482758620689655E-2</v>
      </c>
      <c r="AP33" s="25">
        <f t="shared" si="7"/>
        <v>0</v>
      </c>
      <c r="AQ33" s="26">
        <f t="shared" si="8"/>
        <v>0</v>
      </c>
      <c r="AR33" s="26">
        <f t="shared" si="9"/>
        <v>1.2352941176470589</v>
      </c>
      <c r="AS33" s="27">
        <f t="shared" si="10"/>
        <v>-2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25.6</v>
      </c>
    </row>
    <row r="34" spans="1:47" x14ac:dyDescent="0.25">
      <c r="A34" s="15" t="s">
        <v>135</v>
      </c>
      <c r="B34" s="16" t="s">
        <v>363</v>
      </c>
      <c r="C34" s="17">
        <v>4</v>
      </c>
      <c r="D34" s="17" t="s">
        <v>111</v>
      </c>
      <c r="E34" s="18" t="s">
        <v>99</v>
      </c>
      <c r="F34" s="19"/>
      <c r="G34" s="19"/>
      <c r="H34" s="19"/>
      <c r="I34" s="19"/>
      <c r="J34" s="19"/>
      <c r="K34" s="19">
        <v>14</v>
      </c>
      <c r="L34" s="19">
        <v>13</v>
      </c>
      <c r="M34" s="19">
        <v>90</v>
      </c>
      <c r="N34" s="19" t="s">
        <v>342</v>
      </c>
      <c r="O34" s="19">
        <v>17</v>
      </c>
      <c r="P34" s="20"/>
      <c r="Q34" s="20">
        <v>9.89</v>
      </c>
      <c r="R34" s="21">
        <v>0.66700000000000004</v>
      </c>
      <c r="S34" s="21"/>
      <c r="T34" s="20"/>
      <c r="U34" s="22">
        <v>17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12</v>
      </c>
      <c r="AE34" s="22">
        <v>9</v>
      </c>
      <c r="AF34" s="22">
        <v>87</v>
      </c>
      <c r="AG34" s="22">
        <v>1</v>
      </c>
      <c r="AH34" s="23" t="s">
        <v>101</v>
      </c>
      <c r="AI34" s="24" t="str">
        <f t="shared" si="0"/>
        <v/>
      </c>
      <c r="AJ34" s="24">
        <f t="shared" si="1"/>
        <v>9.6666666666666661</v>
      </c>
      <c r="AK34" s="25">
        <f t="shared" si="2"/>
        <v>0.75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1.9704433497536946E-2</v>
      </c>
      <c r="AP34" s="25">
        <f t="shared" si="7"/>
        <v>0</v>
      </c>
      <c r="AQ34" s="26">
        <f t="shared" si="8"/>
        <v>0</v>
      </c>
      <c r="AR34" s="26">
        <f t="shared" si="9"/>
        <v>0.70588235294117652</v>
      </c>
      <c r="AS34" s="27">
        <f t="shared" si="10"/>
        <v>-1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19.200000000000003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634</v>
      </c>
      <c r="W37" s="34">
        <f t="shared" si="12"/>
        <v>417</v>
      </c>
      <c r="X37" s="34">
        <f t="shared" si="12"/>
        <v>4643</v>
      </c>
      <c r="Y37" s="34">
        <f t="shared" si="12"/>
        <v>32</v>
      </c>
      <c r="Z37" s="34">
        <f t="shared" si="12"/>
        <v>13</v>
      </c>
      <c r="AA37" s="34">
        <f t="shared" si="12"/>
        <v>453</v>
      </c>
      <c r="AB37" s="34">
        <f t="shared" si="12"/>
        <v>2030</v>
      </c>
      <c r="AC37" s="34">
        <f t="shared" si="12"/>
        <v>17</v>
      </c>
      <c r="AD37" s="34">
        <f t="shared" si="12"/>
        <v>593</v>
      </c>
      <c r="AE37" s="34">
        <f t="shared" si="12"/>
        <v>416</v>
      </c>
      <c r="AF37" s="34">
        <f t="shared" si="12"/>
        <v>4709</v>
      </c>
      <c r="AG37" s="34">
        <f t="shared" si="12"/>
        <v>31</v>
      </c>
    </row>
    <row r="38" spans="1:47" x14ac:dyDescent="0.25">
      <c r="A38" s="5" t="s">
        <v>142</v>
      </c>
      <c r="V38" s="35">
        <f>$F$5</f>
        <v>638</v>
      </c>
      <c r="X38" s="35">
        <f>$I$5</f>
        <v>4320</v>
      </c>
      <c r="Y38" s="35">
        <f>$J$5</f>
        <v>28</v>
      </c>
      <c r="Z38" s="35">
        <f>$K$5</f>
        <v>12</v>
      </c>
      <c r="AA38" s="35">
        <f>$H$5</f>
        <v>453.40000000000009</v>
      </c>
      <c r="AB38" s="35">
        <f>$L$5</f>
        <v>1957</v>
      </c>
      <c r="AC38" s="35">
        <f>$M$5</f>
        <v>14</v>
      </c>
      <c r="AD38" s="35">
        <f>$G$5</f>
        <v>609</v>
      </c>
      <c r="AF38" s="35">
        <f>$I$5</f>
        <v>4320</v>
      </c>
      <c r="AG38" s="35">
        <f>$J$5</f>
        <v>28</v>
      </c>
    </row>
    <row r="39" spans="1:47" x14ac:dyDescent="0.25">
      <c r="A39" s="5" t="s">
        <v>143</v>
      </c>
      <c r="V39" s="36">
        <f>$F$5-V37</f>
        <v>4</v>
      </c>
      <c r="X39" s="36">
        <f>$I$5-X37</f>
        <v>-323</v>
      </c>
      <c r="Y39" s="36">
        <f>$J$5-Y37</f>
        <v>-4</v>
      </c>
      <c r="Z39" s="36">
        <f>$K$5-Z37</f>
        <v>-1</v>
      </c>
      <c r="AA39" s="36">
        <f>$H$5-AA37</f>
        <v>0.40000000000009095</v>
      </c>
      <c r="AB39" s="36">
        <f>$L$5-AB37</f>
        <v>-73</v>
      </c>
      <c r="AC39" s="36">
        <f>$M$5-AC37</f>
        <v>-3</v>
      </c>
      <c r="AD39" s="36">
        <f>$G$5-AD37</f>
        <v>16</v>
      </c>
      <c r="AF39" s="36">
        <f>$I$5-AF37</f>
        <v>-389</v>
      </c>
      <c r="AG39" s="36">
        <f>$J$5-AG37</f>
        <v>-3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719" priority="1" stopIfTrue="1">
      <formula>V37&gt;$F$5</formula>
    </cfRule>
    <cfRule type="expression" dxfId="718" priority="2">
      <formula>AND($F$5&gt;0,V37&lt;$F$5*0.97)</formula>
    </cfRule>
    <cfRule type="expression" dxfId="717" priority="3">
      <formula>AND($F$5&gt;0,V37&gt;=$F$5*0.97,V37&lt;=$F$5)</formula>
    </cfRule>
  </conditionalFormatting>
  <conditionalFormatting sqref="X37">
    <cfRule type="expression" dxfId="716" priority="4" stopIfTrue="1">
      <formula>X37&gt;$I$5</formula>
    </cfRule>
    <cfRule type="expression" dxfId="715" priority="5">
      <formula>AND($I$5&gt;0,X37&lt;$I$5*0.97)</formula>
    </cfRule>
    <cfRule type="expression" dxfId="714" priority="6">
      <formula>AND($I$5&gt;0,X37&gt;=$I$5*0.97,X37&lt;=$I$5)</formula>
    </cfRule>
  </conditionalFormatting>
  <conditionalFormatting sqref="Y37">
    <cfRule type="expression" dxfId="713" priority="7" stopIfTrue="1">
      <formula>Y37&gt;$J$5</formula>
    </cfRule>
    <cfRule type="expression" dxfId="712" priority="8">
      <formula>AND($J$5&gt;0,Y37&lt;$J$5*0.97)</formula>
    </cfRule>
    <cfRule type="expression" dxfId="711" priority="9">
      <formula>AND($J$5&gt;0,Y37&gt;=$J$5*0.97,Y37&lt;=$J$5)</formula>
    </cfRule>
  </conditionalFormatting>
  <conditionalFormatting sqref="Z37">
    <cfRule type="expression" dxfId="710" priority="10" stopIfTrue="1">
      <formula>Z37&gt;$K$5</formula>
    </cfRule>
    <cfRule type="expression" dxfId="709" priority="11">
      <formula>AND($K$5&gt;0,Z37&lt;$K$5*0.97)</formula>
    </cfRule>
    <cfRule type="expression" dxfId="708" priority="12">
      <formula>AND($K$5&gt;0,Z37&gt;=$K$5*0.97,Z37&lt;=$K$5)</formula>
    </cfRule>
  </conditionalFormatting>
  <conditionalFormatting sqref="AA37">
    <cfRule type="expression" dxfId="707" priority="13" stopIfTrue="1">
      <formula>AA37&gt;$H$5</formula>
    </cfRule>
    <cfRule type="expression" dxfId="706" priority="14">
      <formula>AND($H$5&gt;0,AA37&lt;$H$5*0.97)</formula>
    </cfRule>
    <cfRule type="expression" dxfId="705" priority="15">
      <formula>AND($H$5&gt;0,AA37&gt;=$H$5*0.97,AA37&lt;=$H$5)</formula>
    </cfRule>
  </conditionalFormatting>
  <conditionalFormatting sqref="AB37">
    <cfRule type="expression" dxfId="704" priority="16" stopIfTrue="1">
      <formula>AB37&gt;$L$5</formula>
    </cfRule>
    <cfRule type="expression" dxfId="703" priority="17">
      <formula>AND($L$5&gt;0,AB37&lt;$L$5*0.97)</formula>
    </cfRule>
    <cfRule type="expression" dxfId="702" priority="18">
      <formula>AND($L$5&gt;0,AB37&gt;=$L$5*0.97,AB37&lt;=$L$5)</formula>
    </cfRule>
  </conditionalFormatting>
  <conditionalFormatting sqref="AC37">
    <cfRule type="expression" dxfId="701" priority="19" stopIfTrue="1">
      <formula>AC37&gt;$M$5</formula>
    </cfRule>
    <cfRule type="expression" dxfId="700" priority="20">
      <formula>AND($M$5&gt;0,AC37&lt;$M$5*0.97)</formula>
    </cfRule>
    <cfRule type="expression" dxfId="699" priority="21">
      <formula>AND($M$5&gt;0,AC37&gt;=$M$5*0.97,AC37&lt;=$M$5)</formula>
    </cfRule>
  </conditionalFormatting>
  <conditionalFormatting sqref="AD37">
    <cfRule type="expression" dxfId="698" priority="22" stopIfTrue="1">
      <formula>AD37&gt;$G$5</formula>
    </cfRule>
    <cfRule type="expression" dxfId="697" priority="23">
      <formula>AND($G$5&gt;0,AD37&lt;$G$5*0.97)</formula>
    </cfRule>
    <cfRule type="expression" dxfId="696" priority="24">
      <formula>AND($G$5&gt;0,AD37&gt;=$G$5*0.97,AD37&lt;=$G$5)</formula>
    </cfRule>
  </conditionalFormatting>
  <conditionalFormatting sqref="AF37">
    <cfRule type="expression" dxfId="695" priority="25" stopIfTrue="1">
      <formula>AF37&gt;$I$5</formula>
    </cfRule>
    <cfRule type="expression" dxfId="694" priority="26">
      <formula>AND($I$5&gt;0,AF37&lt;$I$5*0.97)</formula>
    </cfRule>
    <cfRule type="expression" dxfId="693" priority="27">
      <formula>AND($I$5&gt;0,AF37&gt;=$I$5*0.97,AF37&lt;=$I$5)</formula>
    </cfRule>
  </conditionalFormatting>
  <conditionalFormatting sqref="AG37">
    <cfRule type="expression" dxfId="692" priority="28" stopIfTrue="1">
      <formula>AG37&gt;$J$5</formula>
    </cfRule>
    <cfRule type="expression" dxfId="691" priority="29">
      <formula>AND($J$5&gt;0,AG37&lt;$J$5*0.97)</formula>
    </cfRule>
    <cfRule type="expression" dxfId="690" priority="30">
      <formula>AND($J$5&gt;0,AG37&gt;=$J$5*0.97,AG37&lt;=$J$5)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364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62.4</v>
      </c>
      <c r="D5" s="10">
        <f>C5*B5</f>
        <v>1060.8</v>
      </c>
      <c r="E5" s="11">
        <v>0.5696</v>
      </c>
      <c r="F5" s="10">
        <f>ROUND(D5*E5,0)</f>
        <v>604</v>
      </c>
      <c r="G5" s="10">
        <f>ROUND(F5*Settings!$B$4,0)</f>
        <v>576</v>
      </c>
      <c r="H5" s="10">
        <f>D5-F5</f>
        <v>456.79999999999995</v>
      </c>
      <c r="I5" s="8">
        <v>3848</v>
      </c>
      <c r="J5" s="9">
        <v>27</v>
      </c>
      <c r="K5" s="9">
        <v>11</v>
      </c>
      <c r="L5" s="8">
        <v>1954</v>
      </c>
      <c r="M5" s="9">
        <v>15</v>
      </c>
    </row>
    <row r="7" spans="1:47" x14ac:dyDescent="0.25">
      <c r="A7" s="5" t="s">
        <v>54</v>
      </c>
      <c r="B7" s="12" t="s">
        <v>365</v>
      </c>
    </row>
    <row r="8" spans="1:47" x14ac:dyDescent="0.25">
      <c r="A8" s="5" t="s">
        <v>56</v>
      </c>
      <c r="B8" s="13" t="s">
        <v>366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367</v>
      </c>
      <c r="C11" s="17">
        <v>1</v>
      </c>
      <c r="D11" s="17" t="s">
        <v>111</v>
      </c>
      <c r="E11" s="18" t="s">
        <v>99</v>
      </c>
      <c r="F11" s="19"/>
      <c r="G11" s="19">
        <v>78</v>
      </c>
      <c r="H11" s="19">
        <v>66</v>
      </c>
      <c r="I11" s="19">
        <v>356</v>
      </c>
      <c r="J11" s="19"/>
      <c r="K11" s="19">
        <v>1</v>
      </c>
      <c r="L11" s="19">
        <v>1</v>
      </c>
      <c r="M11" s="19"/>
      <c r="N11" s="19" t="s">
        <v>228</v>
      </c>
      <c r="O11" s="19">
        <v>17</v>
      </c>
      <c r="P11" s="20">
        <v>5.46</v>
      </c>
      <c r="Q11" s="20">
        <v>2</v>
      </c>
      <c r="R11" s="21">
        <v>0.5</v>
      </c>
      <c r="S11" s="21">
        <v>0.64800000000000002</v>
      </c>
      <c r="T11" s="20">
        <v>6.54</v>
      </c>
      <c r="U11" s="22">
        <v>17</v>
      </c>
      <c r="V11" s="22">
        <v>556</v>
      </c>
      <c r="W11" s="22">
        <v>359</v>
      </c>
      <c r="X11" s="22">
        <v>3742</v>
      </c>
      <c r="Y11" s="22">
        <v>26</v>
      </c>
      <c r="Z11" s="22">
        <v>11</v>
      </c>
      <c r="AA11" s="22">
        <v>77</v>
      </c>
      <c r="AB11" s="22">
        <v>334</v>
      </c>
      <c r="AC11" s="22">
        <v>4</v>
      </c>
      <c r="AD11" s="22">
        <v>1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4.337662337662338</v>
      </c>
      <c r="AJ11" s="24" t="str">
        <f t="shared" ref="AJ11:AJ35" si="1">IFERROR(AF11/AE11,"")</f>
        <v/>
      </c>
      <c r="AK11" s="25">
        <f t="shared" ref="AK11:AK35" si="2">IFERROR(AE11/AD11,"")</f>
        <v>0</v>
      </c>
      <c r="AL11" s="24">
        <f t="shared" ref="AL11:AL35" si="3">IFERROR(X11/V11,"")</f>
        <v>6.7302158273381298</v>
      </c>
      <c r="AM11" s="25">
        <f t="shared" ref="AM11:AM35" si="4">IFERROR(W11/V11,"")</f>
        <v>0.64568345323741005</v>
      </c>
      <c r="AN11" s="25">
        <f t="shared" ref="AN11:AN35" si="5">IFERROR(AA11/$H$5,"")</f>
        <v>0.16856392294220668</v>
      </c>
      <c r="AO11" s="25">
        <f t="shared" ref="AO11:AO35" si="6">IFERROR(AD11/$G$5,"")</f>
        <v>1.736111111111111E-3</v>
      </c>
      <c r="AP11" s="25">
        <f t="shared" ref="AP11:AP35" si="7">IFERROR(V11/$F$5,"")</f>
        <v>0.92052980132450335</v>
      </c>
      <c r="AQ11" s="26">
        <f t="shared" ref="AQ11:AQ35" si="8">IFERROR(AA11/U11,"")</f>
        <v>4.5294117647058822</v>
      </c>
      <c r="AR11" s="26">
        <f t="shared" ref="AR11:AR35" si="9">IFERROR(AD11/U11,"")</f>
        <v>5.8823529411764705E-2</v>
      </c>
      <c r="AS11" s="27">
        <f t="shared" ref="AS11:AS35" si="10">IFERROR(AD11-L11,"")</f>
        <v>0</v>
      </c>
      <c r="AT11" s="27">
        <f t="shared" ref="AT11:AT35" si="11">IFERROR(AA11-H11,"")</f>
        <v>11</v>
      </c>
      <c r="AU11" s="28">
        <f>AF11*Settings!$B$7+AG11*Settings!$B$8+AE11*Settings!$B$9+AB11*Settings!$B$10+AC11*Settings!$B$11+X11*Settings!$B$12+Y11*Settings!$B$13+Z11*Settings!$B$14</f>
        <v>289.08000000000004</v>
      </c>
    </row>
    <row r="12" spans="1:47" x14ac:dyDescent="0.25">
      <c r="A12" s="15" t="s">
        <v>96</v>
      </c>
      <c r="B12" s="16" t="s">
        <v>368</v>
      </c>
      <c r="C12" s="17">
        <v>2</v>
      </c>
      <c r="D12" s="17" t="s">
        <v>168</v>
      </c>
      <c r="E12" s="18" t="s">
        <v>99</v>
      </c>
      <c r="F12" s="19">
        <v>6</v>
      </c>
      <c r="G12" s="19">
        <v>1</v>
      </c>
      <c r="H12" s="19"/>
      <c r="I12" s="19"/>
      <c r="J12" s="19"/>
      <c r="K12" s="19"/>
      <c r="L12" s="19"/>
      <c r="M12" s="19"/>
      <c r="N12" s="19"/>
      <c r="O12" s="19"/>
      <c r="P12" s="20">
        <v>1.86</v>
      </c>
      <c r="Q12" s="20"/>
      <c r="R12" s="21"/>
      <c r="S12" s="21">
        <v>0.60599999999999998</v>
      </c>
      <c r="T12" s="20">
        <v>7.52</v>
      </c>
      <c r="U12" s="22">
        <v>17</v>
      </c>
      <c r="V12" s="22">
        <v>29</v>
      </c>
      <c r="W12" s="22">
        <v>18</v>
      </c>
      <c r="X12" s="22">
        <v>198</v>
      </c>
      <c r="Y12" s="22">
        <v>1</v>
      </c>
      <c r="Z12" s="22">
        <v>1</v>
      </c>
      <c r="AA12" s="22">
        <v>3</v>
      </c>
      <c r="AB12" s="22">
        <v>9</v>
      </c>
      <c r="AC12" s="22">
        <v>0</v>
      </c>
      <c r="AD12" s="22"/>
      <c r="AE12" s="22"/>
      <c r="AF12" s="22"/>
      <c r="AG12" s="22"/>
      <c r="AH12" s="23" t="s">
        <v>101</v>
      </c>
      <c r="AI12" s="24">
        <f t="shared" si="0"/>
        <v>3</v>
      </c>
      <c r="AJ12" s="24" t="str">
        <f t="shared" si="1"/>
        <v/>
      </c>
      <c r="AK12" s="25" t="str">
        <f t="shared" si="2"/>
        <v/>
      </c>
      <c r="AL12" s="24">
        <f t="shared" si="3"/>
        <v>6.8275862068965516</v>
      </c>
      <c r="AM12" s="25">
        <f t="shared" si="4"/>
        <v>0.62068965517241381</v>
      </c>
      <c r="AN12" s="25">
        <f t="shared" si="5"/>
        <v>6.5674255691768836E-3</v>
      </c>
      <c r="AO12" s="25">
        <f t="shared" si="6"/>
        <v>0</v>
      </c>
      <c r="AP12" s="25">
        <f t="shared" si="7"/>
        <v>4.8013245033112585E-2</v>
      </c>
      <c r="AQ12" s="26">
        <f t="shared" si="8"/>
        <v>0.17647058823529413</v>
      </c>
      <c r="AR12" s="26">
        <f t="shared" si="9"/>
        <v>0</v>
      </c>
      <c r="AS12" s="27">
        <f t="shared" si="10"/>
        <v>0</v>
      </c>
      <c r="AT12" s="27">
        <f t="shared" si="11"/>
        <v>3</v>
      </c>
      <c r="AU12" s="28">
        <f>AF12*Settings!$B$7+AG12*Settings!$B$8+AE12*Settings!$B$9+AB12*Settings!$B$10+AC12*Settings!$B$11+X12*Settings!$B$12+Y12*Settings!$B$13+Z12*Settings!$B$14</f>
        <v>10.82</v>
      </c>
    </row>
    <row r="13" spans="1:47" x14ac:dyDescent="0.25">
      <c r="A13" s="15" t="s">
        <v>96</v>
      </c>
      <c r="B13" s="16" t="s">
        <v>369</v>
      </c>
      <c r="C13" s="17">
        <v>3</v>
      </c>
      <c r="D13" s="17" t="s">
        <v>158</v>
      </c>
      <c r="E13" s="18" t="s">
        <v>99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1"/>
      <c r="S13" s="21"/>
      <c r="T13" s="20"/>
      <c r="U13" s="22">
        <v>17</v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33"/>
      <c r="AI13" s="24" t="str">
        <f t="shared" si="0"/>
        <v/>
      </c>
      <c r="AJ13" s="24" t="str">
        <f t="shared" si="1"/>
        <v/>
      </c>
      <c r="AK13" s="25" t="str">
        <f t="shared" si="2"/>
        <v/>
      </c>
      <c r="AL13" s="24" t="str">
        <f t="shared" si="3"/>
        <v/>
      </c>
      <c r="AM13" s="25" t="str">
        <f t="shared" si="4"/>
        <v/>
      </c>
      <c r="AN13" s="25">
        <f t="shared" si="5"/>
        <v>0</v>
      </c>
      <c r="AO13" s="25">
        <f t="shared" si="6"/>
        <v>0</v>
      </c>
      <c r="AP13" s="25">
        <f t="shared" si="7"/>
        <v>0</v>
      </c>
      <c r="AQ13" s="26">
        <f t="shared" si="8"/>
        <v>0</v>
      </c>
      <c r="AR13" s="26">
        <f t="shared" si="9"/>
        <v>0</v>
      </c>
      <c r="AS13" s="27">
        <f t="shared" si="10"/>
        <v>0</v>
      </c>
      <c r="AT13" s="27">
        <f t="shared" si="11"/>
        <v>0</v>
      </c>
      <c r="AU13" s="28">
        <f>AF13*Settings!$B$7+AG13*Settings!$B$8+AE13*Settings!$B$9+AB13*Settings!$B$10+AC13*Settings!$B$11+X13*Settings!$B$12+Y13*Settings!$B$13+Z13*Settings!$B$14</f>
        <v>0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370</v>
      </c>
      <c r="C15" s="17">
        <v>1</v>
      </c>
      <c r="D15" s="17" t="s">
        <v>158</v>
      </c>
      <c r="E15" s="18" t="s">
        <v>99</v>
      </c>
      <c r="F15" s="19">
        <v>8</v>
      </c>
      <c r="G15" s="19">
        <v>195</v>
      </c>
      <c r="H15" s="19">
        <v>153</v>
      </c>
      <c r="I15" s="19">
        <v>772</v>
      </c>
      <c r="J15" s="19">
        <v>3</v>
      </c>
      <c r="K15" s="19">
        <v>38</v>
      </c>
      <c r="L15" s="19">
        <v>14</v>
      </c>
      <c r="M15" s="19">
        <v>37</v>
      </c>
      <c r="N15" s="19" t="s">
        <v>228</v>
      </c>
      <c r="O15" s="19">
        <v>10</v>
      </c>
      <c r="P15" s="20">
        <v>4.7699999999999996</v>
      </c>
      <c r="Q15" s="20">
        <v>4.5599999999999996</v>
      </c>
      <c r="R15" s="21">
        <v>0.81799999999999995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195</v>
      </c>
      <c r="AB15" s="22">
        <v>918</v>
      </c>
      <c r="AC15" s="22">
        <v>6</v>
      </c>
      <c r="AD15" s="22">
        <v>24</v>
      </c>
      <c r="AE15" s="22">
        <v>17</v>
      </c>
      <c r="AF15" s="22">
        <v>93</v>
      </c>
      <c r="AG15" s="22">
        <v>1</v>
      </c>
      <c r="AH15" s="23" t="s">
        <v>101</v>
      </c>
      <c r="AI15" s="24">
        <f t="shared" si="0"/>
        <v>4.7076923076923078</v>
      </c>
      <c r="AJ15" s="24">
        <f t="shared" si="1"/>
        <v>5.4705882352941178</v>
      </c>
      <c r="AK15" s="25">
        <f t="shared" si="2"/>
        <v>0.70833333333333337</v>
      </c>
      <c r="AL15" s="24" t="str">
        <f t="shared" si="3"/>
        <v/>
      </c>
      <c r="AM15" s="25" t="str">
        <f t="shared" si="4"/>
        <v/>
      </c>
      <c r="AN15" s="25">
        <f t="shared" si="5"/>
        <v>0.42688266199649744</v>
      </c>
      <c r="AO15" s="25">
        <f t="shared" si="6"/>
        <v>4.1666666666666664E-2</v>
      </c>
      <c r="AP15" s="25">
        <f t="shared" si="7"/>
        <v>0</v>
      </c>
      <c r="AQ15" s="26">
        <f t="shared" si="8"/>
        <v>11.470588235294118</v>
      </c>
      <c r="AR15" s="26">
        <f t="shared" si="9"/>
        <v>1.411764705882353</v>
      </c>
      <c r="AS15" s="27">
        <f t="shared" si="10"/>
        <v>10</v>
      </c>
      <c r="AT15" s="27">
        <f t="shared" si="11"/>
        <v>42</v>
      </c>
      <c r="AU15" s="28">
        <f>AF15*Settings!$B$7+AG15*Settings!$B$8+AE15*Settings!$B$9+AB15*Settings!$B$10+AC15*Settings!$B$11+X15*Settings!$B$12+Y15*Settings!$B$13+Z15*Settings!$B$14</f>
        <v>151.60000000000002</v>
      </c>
    </row>
    <row r="16" spans="1:47" x14ac:dyDescent="0.25">
      <c r="A16" s="15" t="s">
        <v>107</v>
      </c>
      <c r="B16" s="16" t="s">
        <v>371</v>
      </c>
      <c r="C16" s="17">
        <v>2</v>
      </c>
      <c r="D16" s="17" t="s">
        <v>105</v>
      </c>
      <c r="E16" s="18" t="s">
        <v>99</v>
      </c>
      <c r="F16" s="19"/>
      <c r="G16" s="19"/>
      <c r="H16" s="19">
        <v>146</v>
      </c>
      <c r="I16" s="19">
        <v>540</v>
      </c>
      <c r="J16" s="19"/>
      <c r="K16" s="19"/>
      <c r="L16" s="19">
        <v>58</v>
      </c>
      <c r="M16" s="19">
        <v>356</v>
      </c>
      <c r="N16" s="19" t="s">
        <v>228</v>
      </c>
      <c r="O16" s="19">
        <v>17</v>
      </c>
      <c r="P16" s="20">
        <v>3.7</v>
      </c>
      <c r="Q16" s="20">
        <v>7.57</v>
      </c>
      <c r="R16" s="21">
        <v>0.81</v>
      </c>
      <c r="S16" s="21"/>
      <c r="T16" s="20"/>
      <c r="U16" s="22">
        <v>17</v>
      </c>
      <c r="V16" s="22">
        <v>1</v>
      </c>
      <c r="W16" s="22">
        <v>0</v>
      </c>
      <c r="X16" s="22">
        <v>0</v>
      </c>
      <c r="Y16" s="22">
        <v>0</v>
      </c>
      <c r="Z16" s="22">
        <v>0</v>
      </c>
      <c r="AA16" s="22">
        <v>121</v>
      </c>
      <c r="AB16" s="22">
        <v>473</v>
      </c>
      <c r="AC16" s="22">
        <v>4</v>
      </c>
      <c r="AD16" s="22">
        <v>56</v>
      </c>
      <c r="AE16" s="22">
        <v>43</v>
      </c>
      <c r="AF16" s="22">
        <v>318</v>
      </c>
      <c r="AG16" s="22">
        <v>3</v>
      </c>
      <c r="AH16" s="23" t="s">
        <v>101</v>
      </c>
      <c r="AI16" s="24">
        <f t="shared" si="0"/>
        <v>3.9090909090909092</v>
      </c>
      <c r="AJ16" s="24">
        <f t="shared" si="1"/>
        <v>7.3953488372093021</v>
      </c>
      <c r="AK16" s="25">
        <f t="shared" si="2"/>
        <v>0.7678571428571429</v>
      </c>
      <c r="AL16" s="24">
        <f t="shared" si="3"/>
        <v>0</v>
      </c>
      <c r="AM16" s="25">
        <f t="shared" si="4"/>
        <v>0</v>
      </c>
      <c r="AN16" s="25">
        <f t="shared" si="5"/>
        <v>0.26488616462346765</v>
      </c>
      <c r="AO16" s="25">
        <f t="shared" si="6"/>
        <v>9.7222222222222224E-2</v>
      </c>
      <c r="AP16" s="25">
        <f t="shared" si="7"/>
        <v>1.6556291390728477E-3</v>
      </c>
      <c r="AQ16" s="26">
        <f t="shared" si="8"/>
        <v>7.117647058823529</v>
      </c>
      <c r="AR16" s="26">
        <f t="shared" si="9"/>
        <v>3.2941176470588234</v>
      </c>
      <c r="AS16" s="27">
        <f t="shared" si="10"/>
        <v>-2</v>
      </c>
      <c r="AT16" s="27">
        <f t="shared" si="11"/>
        <v>-25</v>
      </c>
      <c r="AU16" s="28">
        <f>AF16*Settings!$B$7+AG16*Settings!$B$8+AE16*Settings!$B$9+AB16*Settings!$B$10+AC16*Settings!$B$11+X16*Settings!$B$12+Y16*Settings!$B$13+Z16*Settings!$B$14</f>
        <v>142.6</v>
      </c>
    </row>
    <row r="17" spans="1:47" x14ac:dyDescent="0.25">
      <c r="A17" s="15" t="s">
        <v>107</v>
      </c>
      <c r="B17" s="16" t="s">
        <v>372</v>
      </c>
      <c r="C17" s="17">
        <v>3</v>
      </c>
      <c r="D17" s="17" t="s">
        <v>128</v>
      </c>
      <c r="E17" s="18" t="s">
        <v>99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20"/>
      <c r="R17" s="21"/>
      <c r="S17" s="21"/>
      <c r="T17" s="20"/>
      <c r="U17" s="22">
        <v>17</v>
      </c>
      <c r="V17" s="22"/>
      <c r="W17" s="22"/>
      <c r="X17" s="22"/>
      <c r="Y17" s="22"/>
      <c r="Z17" s="22"/>
      <c r="AA17" s="22">
        <v>53</v>
      </c>
      <c r="AB17" s="22">
        <v>230</v>
      </c>
      <c r="AC17" s="22">
        <v>2</v>
      </c>
      <c r="AD17" s="22">
        <v>16</v>
      </c>
      <c r="AE17" s="22">
        <v>12</v>
      </c>
      <c r="AF17" s="22">
        <v>91</v>
      </c>
      <c r="AG17" s="22">
        <v>1</v>
      </c>
      <c r="AH17" s="23" t="s">
        <v>101</v>
      </c>
      <c r="AI17" s="24">
        <f t="shared" si="0"/>
        <v>4.3396226415094343</v>
      </c>
      <c r="AJ17" s="24">
        <f t="shared" si="1"/>
        <v>7.583333333333333</v>
      </c>
      <c r="AK17" s="25">
        <f t="shared" si="2"/>
        <v>0.75</v>
      </c>
      <c r="AL17" s="24" t="str">
        <f t="shared" si="3"/>
        <v/>
      </c>
      <c r="AM17" s="25" t="str">
        <f t="shared" si="4"/>
        <v/>
      </c>
      <c r="AN17" s="25">
        <f t="shared" si="5"/>
        <v>0.1160245183887916</v>
      </c>
      <c r="AO17" s="25">
        <f t="shared" si="6"/>
        <v>2.7777777777777776E-2</v>
      </c>
      <c r="AP17" s="25">
        <f t="shared" si="7"/>
        <v>0</v>
      </c>
      <c r="AQ17" s="26">
        <f t="shared" si="8"/>
        <v>3.1176470588235294</v>
      </c>
      <c r="AR17" s="26">
        <f t="shared" si="9"/>
        <v>0.94117647058823528</v>
      </c>
      <c r="AS17" s="27">
        <f t="shared" si="10"/>
        <v>16</v>
      </c>
      <c r="AT17" s="27">
        <f t="shared" si="11"/>
        <v>53</v>
      </c>
      <c r="AU17" s="28">
        <f>AF17*Settings!$B$7+AG17*Settings!$B$8+AE17*Settings!$B$9+AB17*Settings!$B$10+AC17*Settings!$B$11+X17*Settings!$B$12+Y17*Settings!$B$13+Z17*Settings!$B$14</f>
        <v>56.1</v>
      </c>
    </row>
    <row r="18" spans="1:47" x14ac:dyDescent="0.25">
      <c r="A18" s="15" t="s">
        <v>107</v>
      </c>
      <c r="B18" s="16" t="s">
        <v>373</v>
      </c>
      <c r="C18" s="17">
        <v>4</v>
      </c>
      <c r="D18" s="17" t="s">
        <v>111</v>
      </c>
      <c r="E18" s="18" t="s">
        <v>99</v>
      </c>
      <c r="F18" s="19"/>
      <c r="G18" s="19">
        <v>11</v>
      </c>
      <c r="H18" s="19">
        <v>8</v>
      </c>
      <c r="I18" s="19">
        <v>23</v>
      </c>
      <c r="J18" s="19"/>
      <c r="K18" s="19">
        <v>3</v>
      </c>
      <c r="L18" s="19">
        <v>31</v>
      </c>
      <c r="M18" s="19">
        <v>141</v>
      </c>
      <c r="N18" s="19" t="s">
        <v>228</v>
      </c>
      <c r="O18" s="19">
        <v>16</v>
      </c>
      <c r="P18" s="20">
        <v>5.74</v>
      </c>
      <c r="Q18" s="20">
        <v>6.32</v>
      </c>
      <c r="R18" s="21">
        <v>0.64700000000000002</v>
      </c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3</v>
      </c>
      <c r="AB18" s="22">
        <v>25</v>
      </c>
      <c r="AC18" s="22">
        <v>0</v>
      </c>
      <c r="AD18" s="22">
        <v>9</v>
      </c>
      <c r="AE18" s="22">
        <v>6</v>
      </c>
      <c r="AF18" s="22">
        <v>47</v>
      </c>
      <c r="AG18" s="22">
        <v>0</v>
      </c>
      <c r="AH18" s="23" t="s">
        <v>101</v>
      </c>
      <c r="AI18" s="24">
        <f t="shared" si="0"/>
        <v>8.3333333333333339</v>
      </c>
      <c r="AJ18" s="24">
        <f t="shared" si="1"/>
        <v>7.833333333333333</v>
      </c>
      <c r="AK18" s="25">
        <f t="shared" si="2"/>
        <v>0.66666666666666663</v>
      </c>
      <c r="AL18" s="24" t="str">
        <f t="shared" si="3"/>
        <v/>
      </c>
      <c r="AM18" s="25" t="str">
        <f t="shared" si="4"/>
        <v/>
      </c>
      <c r="AN18" s="25">
        <f t="shared" si="5"/>
        <v>6.5674255691768836E-3</v>
      </c>
      <c r="AO18" s="25">
        <f t="shared" si="6"/>
        <v>1.5625E-2</v>
      </c>
      <c r="AP18" s="25">
        <f t="shared" si="7"/>
        <v>0</v>
      </c>
      <c r="AQ18" s="26">
        <f t="shared" si="8"/>
        <v>0.17647058823529413</v>
      </c>
      <c r="AR18" s="26">
        <f t="shared" si="9"/>
        <v>0.52941176470588236</v>
      </c>
      <c r="AS18" s="27">
        <f t="shared" si="10"/>
        <v>-22</v>
      </c>
      <c r="AT18" s="27">
        <f t="shared" si="11"/>
        <v>-5</v>
      </c>
      <c r="AU18" s="28">
        <f>AF18*Settings!$B$7+AG18*Settings!$B$8+AE18*Settings!$B$9+AB18*Settings!$B$10+AC18*Settings!$B$11+X18*Settings!$B$12+Y18*Settings!$B$13+Z18*Settings!$B$14</f>
        <v>10.199999999999999</v>
      </c>
    </row>
    <row r="19" spans="1:47" x14ac:dyDescent="0.25">
      <c r="A19" s="15" t="s">
        <v>107</v>
      </c>
      <c r="B19" s="16" t="s">
        <v>374</v>
      </c>
      <c r="C19" s="17">
        <v>5</v>
      </c>
      <c r="D19" s="17" t="s">
        <v>105</v>
      </c>
      <c r="E19" s="18" t="s">
        <v>99</v>
      </c>
      <c r="F19" s="19">
        <v>76</v>
      </c>
      <c r="G19" s="19">
        <v>113</v>
      </c>
      <c r="H19" s="19">
        <v>37</v>
      </c>
      <c r="I19" s="19">
        <v>187</v>
      </c>
      <c r="J19" s="19">
        <v>36</v>
      </c>
      <c r="K19" s="19">
        <v>27</v>
      </c>
      <c r="L19" s="19">
        <v>6</v>
      </c>
      <c r="M19" s="19">
        <v>27</v>
      </c>
      <c r="N19" s="19" t="s">
        <v>228</v>
      </c>
      <c r="O19" s="19">
        <v>8</v>
      </c>
      <c r="P19" s="20">
        <v>4.84</v>
      </c>
      <c r="Q19" s="20">
        <v>4.46</v>
      </c>
      <c r="R19" s="21">
        <v>0.85499999999999998</v>
      </c>
      <c r="S19" s="21"/>
      <c r="T19" s="20"/>
      <c r="U19" s="22">
        <v>17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13</v>
      </c>
      <c r="AB19" s="22">
        <v>61</v>
      </c>
      <c r="AC19" s="22">
        <v>0</v>
      </c>
      <c r="AD19" s="22">
        <v>7</v>
      </c>
      <c r="AE19" s="22">
        <v>5</v>
      </c>
      <c r="AF19" s="22">
        <v>35</v>
      </c>
      <c r="AG19" s="22">
        <v>0</v>
      </c>
      <c r="AH19" s="23" t="s">
        <v>101</v>
      </c>
      <c r="AI19" s="24">
        <f t="shared" si="0"/>
        <v>4.6923076923076925</v>
      </c>
      <c r="AJ19" s="24">
        <f t="shared" si="1"/>
        <v>7</v>
      </c>
      <c r="AK19" s="25">
        <f t="shared" si="2"/>
        <v>0.7142857142857143</v>
      </c>
      <c r="AL19" s="24" t="str">
        <f t="shared" si="3"/>
        <v/>
      </c>
      <c r="AM19" s="25" t="str">
        <f t="shared" si="4"/>
        <v/>
      </c>
      <c r="AN19" s="25">
        <f t="shared" si="5"/>
        <v>2.8458844133099827E-2</v>
      </c>
      <c r="AO19" s="25">
        <f t="shared" si="6"/>
        <v>1.2152777777777778E-2</v>
      </c>
      <c r="AP19" s="25">
        <f t="shared" si="7"/>
        <v>0</v>
      </c>
      <c r="AQ19" s="26">
        <f t="shared" si="8"/>
        <v>0.76470588235294112</v>
      </c>
      <c r="AR19" s="26">
        <f t="shared" si="9"/>
        <v>0.41176470588235292</v>
      </c>
      <c r="AS19" s="27">
        <f t="shared" si="10"/>
        <v>1</v>
      </c>
      <c r="AT19" s="27">
        <f t="shared" si="11"/>
        <v>-24</v>
      </c>
      <c r="AU19" s="28">
        <f>AF19*Settings!$B$7+AG19*Settings!$B$8+AE19*Settings!$B$9+AB19*Settings!$B$10+AC19*Settings!$B$11+X19*Settings!$B$12+Y19*Settings!$B$13+Z19*Settings!$B$14</f>
        <v>12.100000000000001</v>
      </c>
    </row>
    <row r="20" spans="1:47" x14ac:dyDescent="0.25">
      <c r="A20" s="15" t="s">
        <v>107</v>
      </c>
      <c r="B20" s="16" t="s">
        <v>375</v>
      </c>
      <c r="C20" s="17">
        <v>6</v>
      </c>
      <c r="D20" s="17" t="s">
        <v>111</v>
      </c>
      <c r="E20" s="18" t="s">
        <v>99</v>
      </c>
      <c r="F20" s="19"/>
      <c r="G20" s="19">
        <v>1</v>
      </c>
      <c r="H20" s="19"/>
      <c r="I20" s="19"/>
      <c r="J20" s="19"/>
      <c r="K20" s="19">
        <v>1</v>
      </c>
      <c r="L20" s="19"/>
      <c r="M20" s="19"/>
      <c r="N20" s="19"/>
      <c r="O20" s="19"/>
      <c r="P20" s="20">
        <v>3</v>
      </c>
      <c r="Q20" s="20">
        <v>6</v>
      </c>
      <c r="R20" s="21">
        <v>1</v>
      </c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376</v>
      </c>
      <c r="C22" s="17">
        <v>1</v>
      </c>
      <c r="D22" s="17" t="s">
        <v>200</v>
      </c>
      <c r="E22" s="18" t="s">
        <v>99</v>
      </c>
      <c r="F22" s="19"/>
      <c r="G22" s="19"/>
      <c r="H22" s="19"/>
      <c r="I22" s="19"/>
      <c r="J22" s="19">
        <v>90</v>
      </c>
      <c r="K22" s="19">
        <v>135</v>
      </c>
      <c r="L22" s="19">
        <v>124</v>
      </c>
      <c r="M22" s="19">
        <v>1017</v>
      </c>
      <c r="N22" s="19" t="s">
        <v>228</v>
      </c>
      <c r="O22" s="19">
        <v>17</v>
      </c>
      <c r="P22" s="20"/>
      <c r="Q22" s="20">
        <v>13.41</v>
      </c>
      <c r="R22" s="21">
        <v>0.61299999999999999</v>
      </c>
      <c r="S22" s="21">
        <v>1</v>
      </c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108</v>
      </c>
      <c r="AE22" s="22">
        <v>64</v>
      </c>
      <c r="AF22" s="22">
        <v>835</v>
      </c>
      <c r="AG22" s="22">
        <v>7</v>
      </c>
      <c r="AH22" s="23" t="s">
        <v>101</v>
      </c>
      <c r="AI22" s="24" t="str">
        <f t="shared" si="0"/>
        <v/>
      </c>
      <c r="AJ22" s="24">
        <f t="shared" si="1"/>
        <v>13.046875</v>
      </c>
      <c r="AK22" s="25">
        <f t="shared" si="2"/>
        <v>0.59259259259259256</v>
      </c>
      <c r="AL22" s="24" t="str">
        <f t="shared" si="3"/>
        <v/>
      </c>
      <c r="AM22" s="25" t="str">
        <f t="shared" si="4"/>
        <v/>
      </c>
      <c r="AN22" s="25">
        <f t="shared" si="5"/>
        <v>0</v>
      </c>
      <c r="AO22" s="25">
        <f t="shared" si="6"/>
        <v>0.1875</v>
      </c>
      <c r="AP22" s="25">
        <f t="shared" si="7"/>
        <v>0</v>
      </c>
      <c r="AQ22" s="26">
        <f t="shared" si="8"/>
        <v>0</v>
      </c>
      <c r="AR22" s="26">
        <f t="shared" si="9"/>
        <v>6.3529411764705879</v>
      </c>
      <c r="AS22" s="27">
        <f t="shared" si="10"/>
        <v>-16</v>
      </c>
      <c r="AT22" s="27">
        <f t="shared" si="11"/>
        <v>0</v>
      </c>
      <c r="AU22" s="28">
        <f>AF22*Settings!$B$7+AG22*Settings!$B$8+AE22*Settings!$B$9+AB22*Settings!$B$10+AC22*Settings!$B$11+X22*Settings!$B$12+Y22*Settings!$B$13+Z22*Settings!$B$14</f>
        <v>157.5</v>
      </c>
    </row>
    <row r="23" spans="1:47" x14ac:dyDescent="0.25">
      <c r="A23" s="15" t="s">
        <v>121</v>
      </c>
      <c r="B23" s="16" t="s">
        <v>377</v>
      </c>
      <c r="C23" s="17">
        <v>2</v>
      </c>
      <c r="D23" s="17" t="s">
        <v>158</v>
      </c>
      <c r="E23" s="32" t="s">
        <v>115</v>
      </c>
      <c r="F23" s="19">
        <v>3</v>
      </c>
      <c r="G23" s="19">
        <v>4</v>
      </c>
      <c r="H23" s="19">
        <v>2</v>
      </c>
      <c r="I23" s="19">
        <v>28</v>
      </c>
      <c r="J23" s="19">
        <v>104</v>
      </c>
      <c r="K23" s="19">
        <v>83</v>
      </c>
      <c r="L23" s="19">
        <v>100</v>
      </c>
      <c r="M23" s="19">
        <v>910</v>
      </c>
      <c r="N23" s="19" t="s">
        <v>150</v>
      </c>
      <c r="O23" s="19">
        <v>16</v>
      </c>
      <c r="P23" s="20">
        <v>5.78</v>
      </c>
      <c r="Q23" s="20">
        <v>13.75</v>
      </c>
      <c r="R23" s="21">
        <v>0.67600000000000005</v>
      </c>
      <c r="S23" s="21">
        <v>1</v>
      </c>
      <c r="T23" s="20"/>
      <c r="U23" s="22">
        <v>17</v>
      </c>
      <c r="V23" s="22">
        <v>1</v>
      </c>
      <c r="W23" s="22">
        <v>1</v>
      </c>
      <c r="X23" s="22">
        <v>8</v>
      </c>
      <c r="Y23" s="22">
        <v>0</v>
      </c>
      <c r="Z23" s="22">
        <v>0</v>
      </c>
      <c r="AA23" s="22">
        <v>2</v>
      </c>
      <c r="AB23" s="22">
        <v>17</v>
      </c>
      <c r="AC23" s="22">
        <v>0</v>
      </c>
      <c r="AD23" s="22">
        <v>118</v>
      </c>
      <c r="AE23" s="22">
        <v>78</v>
      </c>
      <c r="AF23" s="22">
        <v>1014</v>
      </c>
      <c r="AG23" s="22">
        <v>6</v>
      </c>
      <c r="AH23" s="23" t="s">
        <v>101</v>
      </c>
      <c r="AI23" s="24">
        <f t="shared" si="0"/>
        <v>8.5</v>
      </c>
      <c r="AJ23" s="24">
        <f t="shared" si="1"/>
        <v>13</v>
      </c>
      <c r="AK23" s="25">
        <f t="shared" si="2"/>
        <v>0.66101694915254239</v>
      </c>
      <c r="AL23" s="24">
        <f t="shared" si="3"/>
        <v>8</v>
      </c>
      <c r="AM23" s="25">
        <f t="shared" si="4"/>
        <v>1</v>
      </c>
      <c r="AN23" s="25">
        <f t="shared" si="5"/>
        <v>4.3782837127845885E-3</v>
      </c>
      <c r="AO23" s="25">
        <f t="shared" si="6"/>
        <v>0.2048611111111111</v>
      </c>
      <c r="AP23" s="25">
        <f t="shared" si="7"/>
        <v>1.6556291390728477E-3</v>
      </c>
      <c r="AQ23" s="26">
        <f t="shared" si="8"/>
        <v>0.11764705882352941</v>
      </c>
      <c r="AR23" s="26">
        <f t="shared" si="9"/>
        <v>6.9411764705882355</v>
      </c>
      <c r="AS23" s="27">
        <f t="shared" si="10"/>
        <v>18</v>
      </c>
      <c r="AT23" s="27">
        <f t="shared" si="11"/>
        <v>0</v>
      </c>
      <c r="AU23" s="28">
        <f>AF23*Settings!$B$7+AG23*Settings!$B$8+AE23*Settings!$B$9+AB23*Settings!$B$10+AC23*Settings!$B$11+X23*Settings!$B$12+Y23*Settings!$B$13+Z23*Settings!$B$14</f>
        <v>178.42</v>
      </c>
    </row>
    <row r="24" spans="1:47" x14ac:dyDescent="0.25">
      <c r="A24" s="15" t="s">
        <v>121</v>
      </c>
      <c r="B24" s="16" t="s">
        <v>378</v>
      </c>
      <c r="C24" s="17">
        <v>3</v>
      </c>
      <c r="D24" s="17" t="s">
        <v>103</v>
      </c>
      <c r="E24" s="18" t="s">
        <v>99</v>
      </c>
      <c r="F24" s="19"/>
      <c r="G24" s="19">
        <v>2</v>
      </c>
      <c r="H24" s="19">
        <v>5</v>
      </c>
      <c r="I24" s="19">
        <v>12</v>
      </c>
      <c r="J24" s="19"/>
      <c r="K24" s="19">
        <v>53</v>
      </c>
      <c r="L24" s="19">
        <v>104</v>
      </c>
      <c r="M24" s="19">
        <v>709</v>
      </c>
      <c r="N24" s="19" t="s">
        <v>228</v>
      </c>
      <c r="O24" s="19">
        <v>17</v>
      </c>
      <c r="P24" s="20">
        <v>2.86</v>
      </c>
      <c r="Q24" s="20">
        <v>10.45</v>
      </c>
      <c r="R24" s="21">
        <v>0.59199999999999997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2</v>
      </c>
      <c r="AB24" s="22">
        <v>8</v>
      </c>
      <c r="AC24" s="22">
        <v>0</v>
      </c>
      <c r="AD24" s="22">
        <v>47</v>
      </c>
      <c r="AE24" s="22">
        <v>29</v>
      </c>
      <c r="AF24" s="22">
        <v>326</v>
      </c>
      <c r="AG24" s="22">
        <v>3</v>
      </c>
      <c r="AH24" s="23" t="s">
        <v>101</v>
      </c>
      <c r="AI24" s="24">
        <f t="shared" si="0"/>
        <v>4</v>
      </c>
      <c r="AJ24" s="24">
        <f t="shared" si="1"/>
        <v>11.241379310344827</v>
      </c>
      <c r="AK24" s="25">
        <f t="shared" si="2"/>
        <v>0.61702127659574468</v>
      </c>
      <c r="AL24" s="24" t="str">
        <f t="shared" si="3"/>
        <v/>
      </c>
      <c r="AM24" s="25" t="str">
        <f t="shared" si="4"/>
        <v/>
      </c>
      <c r="AN24" s="25">
        <f t="shared" si="5"/>
        <v>4.3782837127845885E-3</v>
      </c>
      <c r="AO24" s="25">
        <f t="shared" si="6"/>
        <v>8.1597222222222224E-2</v>
      </c>
      <c r="AP24" s="25">
        <f t="shared" si="7"/>
        <v>0</v>
      </c>
      <c r="AQ24" s="26">
        <f t="shared" si="8"/>
        <v>0.11764705882352941</v>
      </c>
      <c r="AR24" s="26">
        <f t="shared" si="9"/>
        <v>2.7647058823529411</v>
      </c>
      <c r="AS24" s="27">
        <f t="shared" si="10"/>
        <v>-57</v>
      </c>
      <c r="AT24" s="27">
        <f t="shared" si="11"/>
        <v>-3</v>
      </c>
      <c r="AU24" s="28">
        <f>AF24*Settings!$B$7+AG24*Settings!$B$8+AE24*Settings!$B$9+AB24*Settings!$B$10+AC24*Settings!$B$11+X24*Settings!$B$12+Y24*Settings!$B$13+Z24*Settings!$B$14</f>
        <v>65.899999999999991</v>
      </c>
    </row>
    <row r="25" spans="1:47" x14ac:dyDescent="0.25">
      <c r="A25" s="15" t="s">
        <v>121</v>
      </c>
      <c r="B25" s="16" t="s">
        <v>379</v>
      </c>
      <c r="C25" s="17">
        <v>4</v>
      </c>
      <c r="D25" s="17" t="s">
        <v>103</v>
      </c>
      <c r="E25" s="18" t="s">
        <v>99</v>
      </c>
      <c r="F25" s="19"/>
      <c r="G25" s="19"/>
      <c r="H25" s="19"/>
      <c r="I25" s="19"/>
      <c r="J25" s="19"/>
      <c r="K25" s="19"/>
      <c r="L25" s="19">
        <v>49</v>
      </c>
      <c r="M25" s="19">
        <v>378</v>
      </c>
      <c r="N25" s="19" t="s">
        <v>228</v>
      </c>
      <c r="O25" s="19">
        <v>15</v>
      </c>
      <c r="P25" s="20"/>
      <c r="Q25" s="20">
        <v>12.19</v>
      </c>
      <c r="R25" s="21">
        <v>0.63300000000000001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1</v>
      </c>
      <c r="AC25" s="22">
        <v>0</v>
      </c>
      <c r="AD25" s="22">
        <v>52</v>
      </c>
      <c r="AE25" s="22">
        <v>35</v>
      </c>
      <c r="AF25" s="22">
        <v>412</v>
      </c>
      <c r="AG25" s="22">
        <v>2</v>
      </c>
      <c r="AH25" s="23" t="s">
        <v>101</v>
      </c>
      <c r="AI25" s="24" t="str">
        <f t="shared" si="0"/>
        <v/>
      </c>
      <c r="AJ25" s="24">
        <f t="shared" si="1"/>
        <v>11.771428571428572</v>
      </c>
      <c r="AK25" s="25">
        <f t="shared" si="2"/>
        <v>0.67307692307692313</v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9.0277777777777776E-2</v>
      </c>
      <c r="AP25" s="25">
        <f t="shared" si="7"/>
        <v>0</v>
      </c>
      <c r="AQ25" s="26">
        <f t="shared" si="8"/>
        <v>0</v>
      </c>
      <c r="AR25" s="26">
        <f t="shared" si="9"/>
        <v>3.0588235294117645</v>
      </c>
      <c r="AS25" s="27">
        <f t="shared" si="10"/>
        <v>3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70.8</v>
      </c>
    </row>
    <row r="26" spans="1:47" x14ac:dyDescent="0.25">
      <c r="A26" s="15" t="s">
        <v>121</v>
      </c>
      <c r="B26" s="16" t="s">
        <v>380</v>
      </c>
      <c r="C26" s="17">
        <v>5</v>
      </c>
      <c r="D26" s="17" t="s">
        <v>118</v>
      </c>
      <c r="E26" s="18" t="s">
        <v>99</v>
      </c>
      <c r="F26" s="19">
        <v>9</v>
      </c>
      <c r="G26" s="19">
        <v>13</v>
      </c>
      <c r="H26" s="19">
        <v>12</v>
      </c>
      <c r="I26" s="19">
        <v>78</v>
      </c>
      <c r="J26" s="19">
        <v>33</v>
      </c>
      <c r="K26" s="19">
        <v>52</v>
      </c>
      <c r="L26" s="19">
        <v>51</v>
      </c>
      <c r="M26" s="19">
        <v>322</v>
      </c>
      <c r="N26" s="19" t="s">
        <v>228</v>
      </c>
      <c r="O26" s="19">
        <v>15</v>
      </c>
      <c r="P26" s="20">
        <v>4.41</v>
      </c>
      <c r="Q26" s="20">
        <v>12.27</v>
      </c>
      <c r="R26" s="21">
        <v>0.72099999999999997</v>
      </c>
      <c r="S26" s="21"/>
      <c r="T26" s="20"/>
      <c r="U26" s="22">
        <v>17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8</v>
      </c>
      <c r="AB26" s="22">
        <v>49</v>
      </c>
      <c r="AC26" s="22">
        <v>0</v>
      </c>
      <c r="AD26" s="22">
        <v>34</v>
      </c>
      <c r="AE26" s="22">
        <v>25</v>
      </c>
      <c r="AF26" s="22">
        <v>265</v>
      </c>
      <c r="AG26" s="22">
        <v>2</v>
      </c>
      <c r="AH26" s="23" t="s">
        <v>101</v>
      </c>
      <c r="AI26" s="24">
        <f t="shared" si="0"/>
        <v>6.125</v>
      </c>
      <c r="AJ26" s="24">
        <f t="shared" si="1"/>
        <v>10.6</v>
      </c>
      <c r="AK26" s="25">
        <f t="shared" si="2"/>
        <v>0.73529411764705888</v>
      </c>
      <c r="AL26" s="24" t="str">
        <f t="shared" si="3"/>
        <v/>
      </c>
      <c r="AM26" s="25" t="str">
        <f t="shared" si="4"/>
        <v/>
      </c>
      <c r="AN26" s="25">
        <f t="shared" si="5"/>
        <v>1.7513134851138354E-2</v>
      </c>
      <c r="AO26" s="25">
        <f t="shared" si="6"/>
        <v>5.9027777777777776E-2</v>
      </c>
      <c r="AP26" s="25">
        <f t="shared" si="7"/>
        <v>0</v>
      </c>
      <c r="AQ26" s="26">
        <f t="shared" si="8"/>
        <v>0.47058823529411764</v>
      </c>
      <c r="AR26" s="26">
        <f t="shared" si="9"/>
        <v>2</v>
      </c>
      <c r="AS26" s="27">
        <f t="shared" si="10"/>
        <v>-17</v>
      </c>
      <c r="AT26" s="27">
        <f t="shared" si="11"/>
        <v>-4</v>
      </c>
      <c r="AU26" s="28">
        <f>AF26*Settings!$B$7+AG26*Settings!$B$8+AE26*Settings!$B$9+AB26*Settings!$B$10+AC26*Settings!$B$11+X26*Settings!$B$12+Y26*Settings!$B$13+Z26*Settings!$B$14</f>
        <v>55.9</v>
      </c>
    </row>
    <row r="27" spans="1:47" x14ac:dyDescent="0.25">
      <c r="A27" s="15" t="s">
        <v>121</v>
      </c>
      <c r="B27" s="16" t="s">
        <v>381</v>
      </c>
      <c r="C27" s="17">
        <v>6</v>
      </c>
      <c r="D27" s="17" t="s">
        <v>130</v>
      </c>
      <c r="E27" s="18" t="s">
        <v>99</v>
      </c>
      <c r="F27" s="19"/>
      <c r="G27" s="19"/>
      <c r="H27" s="19"/>
      <c r="I27" s="19"/>
      <c r="J27" s="19">
        <v>19</v>
      </c>
      <c r="K27" s="19">
        <v>45</v>
      </c>
      <c r="L27" s="19">
        <v>10</v>
      </c>
      <c r="M27" s="19">
        <v>55</v>
      </c>
      <c r="N27" s="19" t="s">
        <v>382</v>
      </c>
      <c r="O27" s="19">
        <v>3</v>
      </c>
      <c r="P27" s="20"/>
      <c r="Q27" s="20">
        <v>10.62</v>
      </c>
      <c r="R27" s="21">
        <v>0.64900000000000002</v>
      </c>
      <c r="S27" s="21"/>
      <c r="T27" s="20"/>
      <c r="U27" s="22">
        <v>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8</v>
      </c>
      <c r="AE27" s="22">
        <v>6</v>
      </c>
      <c r="AF27" s="22">
        <v>71</v>
      </c>
      <c r="AG27" s="22">
        <v>1</v>
      </c>
      <c r="AH27" s="23" t="s">
        <v>101</v>
      </c>
      <c r="AI27" s="24" t="str">
        <f t="shared" si="0"/>
        <v/>
      </c>
      <c r="AJ27" s="24">
        <f t="shared" si="1"/>
        <v>11.833333333333334</v>
      </c>
      <c r="AK27" s="25">
        <f t="shared" si="2"/>
        <v>0.75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1.3888888888888888E-2</v>
      </c>
      <c r="AP27" s="25">
        <f t="shared" si="7"/>
        <v>0</v>
      </c>
      <c r="AQ27" s="26">
        <f t="shared" si="8"/>
        <v>0</v>
      </c>
      <c r="AR27" s="26">
        <f t="shared" si="9"/>
        <v>0.47058823529411764</v>
      </c>
      <c r="AS27" s="27">
        <f t="shared" si="10"/>
        <v>-2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16.100000000000001</v>
      </c>
    </row>
    <row r="28" spans="1:47" x14ac:dyDescent="0.25">
      <c r="A28" s="15" t="s">
        <v>121</v>
      </c>
      <c r="B28" s="16" t="s">
        <v>383</v>
      </c>
      <c r="C28" s="17">
        <v>7</v>
      </c>
      <c r="D28" s="17" t="s">
        <v>103</v>
      </c>
      <c r="E28" s="18" t="s">
        <v>99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20"/>
      <c r="R28" s="21"/>
      <c r="S28" s="21"/>
      <c r="T28" s="20"/>
      <c r="U28" s="22">
        <v>17</v>
      </c>
      <c r="V28" s="22"/>
      <c r="W28" s="22"/>
      <c r="X28" s="22"/>
      <c r="Y28" s="22"/>
      <c r="Z28" s="22"/>
      <c r="AA28" s="22">
        <v>0</v>
      </c>
      <c r="AB28" s="22">
        <v>0</v>
      </c>
      <c r="AC28" s="22">
        <v>0</v>
      </c>
      <c r="AD28" s="22">
        <v>4</v>
      </c>
      <c r="AE28" s="22">
        <v>3</v>
      </c>
      <c r="AF28" s="22">
        <v>36</v>
      </c>
      <c r="AG28" s="22">
        <v>0</v>
      </c>
      <c r="AH28" s="23" t="s">
        <v>101</v>
      </c>
      <c r="AI28" s="24" t="str">
        <f t="shared" si="0"/>
        <v/>
      </c>
      <c r="AJ28" s="24">
        <f t="shared" si="1"/>
        <v>12</v>
      </c>
      <c r="AK28" s="25">
        <f t="shared" si="2"/>
        <v>0.75</v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6.9444444444444441E-3</v>
      </c>
      <c r="AP28" s="25">
        <f t="shared" si="7"/>
        <v>0</v>
      </c>
      <c r="AQ28" s="26">
        <f t="shared" si="8"/>
        <v>0</v>
      </c>
      <c r="AR28" s="26">
        <f t="shared" si="9"/>
        <v>0.23529411764705882</v>
      </c>
      <c r="AS28" s="27">
        <f t="shared" si="10"/>
        <v>4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5.0999999999999996</v>
      </c>
    </row>
    <row r="29" spans="1:47" x14ac:dyDescent="0.25">
      <c r="A29" s="15" t="s">
        <v>121</v>
      </c>
      <c r="B29" s="16" t="s">
        <v>384</v>
      </c>
      <c r="C29" s="17">
        <v>8</v>
      </c>
      <c r="D29" s="17" t="s">
        <v>130</v>
      </c>
      <c r="E29" s="18" t="s">
        <v>99</v>
      </c>
      <c r="F29" s="19"/>
      <c r="G29" s="19"/>
      <c r="H29" s="19"/>
      <c r="I29" s="19"/>
      <c r="J29" s="19"/>
      <c r="K29" s="19"/>
      <c r="L29" s="19">
        <v>4</v>
      </c>
      <c r="M29" s="19">
        <v>50</v>
      </c>
      <c r="N29" s="19" t="s">
        <v>228</v>
      </c>
      <c r="O29" s="19">
        <v>4</v>
      </c>
      <c r="P29" s="20"/>
      <c r="Q29" s="20">
        <v>12.5</v>
      </c>
      <c r="R29" s="21">
        <v>1</v>
      </c>
      <c r="S29" s="21"/>
      <c r="T29" s="20"/>
      <c r="U29" s="22">
        <v>17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4</v>
      </c>
      <c r="AE29" s="22">
        <v>4</v>
      </c>
      <c r="AF29" s="22">
        <v>50</v>
      </c>
      <c r="AG29" s="22">
        <v>1</v>
      </c>
      <c r="AH29" s="23" t="s">
        <v>101</v>
      </c>
      <c r="AI29" s="24" t="str">
        <f t="shared" si="0"/>
        <v/>
      </c>
      <c r="AJ29" s="24">
        <f t="shared" si="1"/>
        <v>12.5</v>
      </c>
      <c r="AK29" s="25">
        <f t="shared" si="2"/>
        <v>1</v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6.9444444444444441E-3</v>
      </c>
      <c r="AP29" s="25">
        <f t="shared" si="7"/>
        <v>0</v>
      </c>
      <c r="AQ29" s="26">
        <f t="shared" si="8"/>
        <v>0</v>
      </c>
      <c r="AR29" s="26">
        <f t="shared" si="9"/>
        <v>0.23529411764705882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13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385</v>
      </c>
      <c r="C31" s="17">
        <v>1</v>
      </c>
      <c r="D31" s="17" t="s">
        <v>114</v>
      </c>
      <c r="E31" s="18" t="s">
        <v>99</v>
      </c>
      <c r="F31" s="19"/>
      <c r="G31" s="19"/>
      <c r="H31" s="19">
        <v>1</v>
      </c>
      <c r="I31" s="19">
        <v>7</v>
      </c>
      <c r="J31" s="19">
        <v>143</v>
      </c>
      <c r="K31" s="19">
        <v>64</v>
      </c>
      <c r="L31" s="19">
        <v>76</v>
      </c>
      <c r="M31" s="19">
        <v>461</v>
      </c>
      <c r="N31" s="19" t="s">
        <v>228</v>
      </c>
      <c r="O31" s="19">
        <v>16</v>
      </c>
      <c r="P31" s="20">
        <v>7</v>
      </c>
      <c r="Q31" s="20">
        <v>8.48</v>
      </c>
      <c r="R31" s="21">
        <v>0.746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1</v>
      </c>
      <c r="AC31" s="22">
        <v>0</v>
      </c>
      <c r="AD31" s="22">
        <v>65</v>
      </c>
      <c r="AE31" s="22">
        <v>45</v>
      </c>
      <c r="AF31" s="22">
        <v>408</v>
      </c>
      <c r="AG31" s="22">
        <v>2</v>
      </c>
      <c r="AH31" s="23" t="s">
        <v>101</v>
      </c>
      <c r="AI31" s="24" t="str">
        <f t="shared" si="0"/>
        <v/>
      </c>
      <c r="AJ31" s="24">
        <f t="shared" si="1"/>
        <v>9.0666666666666664</v>
      </c>
      <c r="AK31" s="25">
        <f t="shared" si="2"/>
        <v>0.69230769230769229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0.11284722222222222</v>
      </c>
      <c r="AP31" s="25">
        <f t="shared" si="7"/>
        <v>0</v>
      </c>
      <c r="AQ31" s="26">
        <f t="shared" si="8"/>
        <v>0</v>
      </c>
      <c r="AR31" s="26">
        <f t="shared" si="9"/>
        <v>3.8235294117647061</v>
      </c>
      <c r="AS31" s="27">
        <f t="shared" si="10"/>
        <v>-11</v>
      </c>
      <c r="AT31" s="27">
        <f t="shared" si="11"/>
        <v>-1</v>
      </c>
      <c r="AU31" s="28">
        <f>AF31*Settings!$B$7+AG31*Settings!$B$8+AE31*Settings!$B$9+AB31*Settings!$B$10+AC31*Settings!$B$11+X31*Settings!$B$12+Y31*Settings!$B$13+Z31*Settings!$B$14</f>
        <v>75.400000000000006</v>
      </c>
    </row>
    <row r="32" spans="1:47" x14ac:dyDescent="0.25">
      <c r="A32" s="15" t="s">
        <v>135</v>
      </c>
      <c r="B32" s="16" t="s">
        <v>386</v>
      </c>
      <c r="C32" s="17">
        <v>2</v>
      </c>
      <c r="D32" s="17" t="s">
        <v>168</v>
      </c>
      <c r="E32" s="18" t="s">
        <v>99</v>
      </c>
      <c r="F32" s="19"/>
      <c r="G32" s="19"/>
      <c r="H32" s="19"/>
      <c r="I32" s="19"/>
      <c r="J32" s="19">
        <v>35</v>
      </c>
      <c r="K32" s="19">
        <v>22</v>
      </c>
      <c r="L32" s="19">
        <v>23</v>
      </c>
      <c r="M32" s="19">
        <v>195</v>
      </c>
      <c r="N32" s="19" t="s">
        <v>228</v>
      </c>
      <c r="O32" s="19">
        <v>17</v>
      </c>
      <c r="P32" s="20"/>
      <c r="Q32" s="20">
        <v>10.67</v>
      </c>
      <c r="R32" s="21">
        <v>0.68799999999999994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24</v>
      </c>
      <c r="AE32" s="22">
        <v>17</v>
      </c>
      <c r="AF32" s="22">
        <v>166</v>
      </c>
      <c r="AG32" s="22">
        <v>1</v>
      </c>
      <c r="AH32" s="23" t="s">
        <v>101</v>
      </c>
      <c r="AI32" s="24" t="str">
        <f t="shared" si="0"/>
        <v/>
      </c>
      <c r="AJ32" s="24">
        <f t="shared" si="1"/>
        <v>9.764705882352942</v>
      </c>
      <c r="AK32" s="25">
        <f t="shared" si="2"/>
        <v>0.70833333333333337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4.1666666666666664E-2</v>
      </c>
      <c r="AP32" s="25">
        <f t="shared" si="7"/>
        <v>0</v>
      </c>
      <c r="AQ32" s="26">
        <f t="shared" si="8"/>
        <v>0</v>
      </c>
      <c r="AR32" s="26">
        <f t="shared" si="9"/>
        <v>1.411764705882353</v>
      </c>
      <c r="AS32" s="27">
        <f t="shared" si="10"/>
        <v>1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31.1</v>
      </c>
    </row>
    <row r="33" spans="1:47" x14ac:dyDescent="0.25">
      <c r="A33" s="15" t="s">
        <v>135</v>
      </c>
      <c r="B33" s="16" t="s">
        <v>387</v>
      </c>
      <c r="C33" s="17">
        <v>3</v>
      </c>
      <c r="D33" s="17" t="s">
        <v>158</v>
      </c>
      <c r="E33" s="18" t="s">
        <v>99</v>
      </c>
      <c r="F33" s="19"/>
      <c r="G33" s="19"/>
      <c r="H33" s="19"/>
      <c r="I33" s="19"/>
      <c r="J33" s="19">
        <v>5</v>
      </c>
      <c r="K33" s="19">
        <v>15</v>
      </c>
      <c r="L33" s="19">
        <v>11</v>
      </c>
      <c r="M33" s="19">
        <v>48</v>
      </c>
      <c r="N33" s="19" t="s">
        <v>228</v>
      </c>
      <c r="O33" s="19">
        <v>9</v>
      </c>
      <c r="P33" s="20"/>
      <c r="Q33" s="20">
        <v>7.71</v>
      </c>
      <c r="R33" s="21">
        <v>0.77400000000000002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14</v>
      </c>
      <c r="AE33" s="22">
        <v>10</v>
      </c>
      <c r="AF33" s="22">
        <v>72</v>
      </c>
      <c r="AG33" s="22">
        <v>1</v>
      </c>
      <c r="AH33" s="23" t="s">
        <v>101</v>
      </c>
      <c r="AI33" s="24" t="str">
        <f t="shared" si="0"/>
        <v/>
      </c>
      <c r="AJ33" s="24">
        <f t="shared" si="1"/>
        <v>7.2</v>
      </c>
      <c r="AK33" s="25">
        <f t="shared" si="2"/>
        <v>0.7142857142857143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2.4305555555555556E-2</v>
      </c>
      <c r="AP33" s="25">
        <f t="shared" si="7"/>
        <v>0</v>
      </c>
      <c r="AQ33" s="26">
        <f t="shared" si="8"/>
        <v>0</v>
      </c>
      <c r="AR33" s="26">
        <f t="shared" si="9"/>
        <v>0.82352941176470584</v>
      </c>
      <c r="AS33" s="27">
        <f t="shared" si="10"/>
        <v>3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18.2</v>
      </c>
    </row>
    <row r="34" spans="1:47" x14ac:dyDescent="0.25">
      <c r="A34" s="15" t="s">
        <v>135</v>
      </c>
      <c r="B34" s="16" t="s">
        <v>388</v>
      </c>
      <c r="C34" s="17">
        <v>4</v>
      </c>
      <c r="D34" s="17" t="s">
        <v>105</v>
      </c>
      <c r="E34" s="18" t="s">
        <v>99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1"/>
      <c r="S34" s="21"/>
      <c r="T34" s="20"/>
      <c r="U34" s="22">
        <v>17</v>
      </c>
      <c r="V34" s="22"/>
      <c r="W34" s="22"/>
      <c r="X34" s="22"/>
      <c r="Y34" s="22"/>
      <c r="Z34" s="22"/>
      <c r="AA34" s="22">
        <v>0</v>
      </c>
      <c r="AB34" s="22">
        <v>0</v>
      </c>
      <c r="AC34" s="22">
        <v>0</v>
      </c>
      <c r="AD34" s="22">
        <v>7</v>
      </c>
      <c r="AE34" s="22">
        <v>6</v>
      </c>
      <c r="AF34" s="22">
        <v>56</v>
      </c>
      <c r="AG34" s="22">
        <v>0</v>
      </c>
      <c r="AH34" s="23" t="s">
        <v>101</v>
      </c>
      <c r="AI34" s="24" t="str">
        <f t="shared" si="0"/>
        <v/>
      </c>
      <c r="AJ34" s="24">
        <f t="shared" si="1"/>
        <v>9.3333333333333339</v>
      </c>
      <c r="AK34" s="25">
        <f t="shared" si="2"/>
        <v>0.8571428571428571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1.2152777777777778E-2</v>
      </c>
      <c r="AP34" s="25">
        <f t="shared" si="7"/>
        <v>0</v>
      </c>
      <c r="AQ34" s="26">
        <f t="shared" si="8"/>
        <v>0</v>
      </c>
      <c r="AR34" s="26">
        <f t="shared" si="9"/>
        <v>0.41176470588235292</v>
      </c>
      <c r="AS34" s="27">
        <f t="shared" si="10"/>
        <v>7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8.6000000000000014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587</v>
      </c>
      <c r="W37" s="34">
        <f t="shared" si="12"/>
        <v>378</v>
      </c>
      <c r="X37" s="34">
        <f t="shared" si="12"/>
        <v>3948</v>
      </c>
      <c r="Y37" s="34">
        <f t="shared" si="12"/>
        <v>27</v>
      </c>
      <c r="Z37" s="34">
        <f t="shared" si="12"/>
        <v>12</v>
      </c>
      <c r="AA37" s="34">
        <f t="shared" si="12"/>
        <v>477</v>
      </c>
      <c r="AB37" s="34">
        <f t="shared" si="12"/>
        <v>2126</v>
      </c>
      <c r="AC37" s="34">
        <f t="shared" si="12"/>
        <v>16</v>
      </c>
      <c r="AD37" s="34">
        <f t="shared" si="12"/>
        <v>598</v>
      </c>
      <c r="AE37" s="34">
        <f t="shared" si="12"/>
        <v>405</v>
      </c>
      <c r="AF37" s="34">
        <f t="shared" si="12"/>
        <v>4295</v>
      </c>
      <c r="AG37" s="34">
        <f t="shared" si="12"/>
        <v>31</v>
      </c>
    </row>
    <row r="38" spans="1:47" x14ac:dyDescent="0.25">
      <c r="A38" s="5" t="s">
        <v>142</v>
      </c>
      <c r="V38" s="35">
        <f>$F$5</f>
        <v>604</v>
      </c>
      <c r="X38" s="35">
        <f>$I$5</f>
        <v>3848</v>
      </c>
      <c r="Y38" s="35">
        <f>$J$5</f>
        <v>27</v>
      </c>
      <c r="Z38" s="35">
        <f>$K$5</f>
        <v>11</v>
      </c>
      <c r="AA38" s="35">
        <f>$H$5</f>
        <v>456.79999999999995</v>
      </c>
      <c r="AB38" s="35">
        <f>$L$5</f>
        <v>1954</v>
      </c>
      <c r="AC38" s="35">
        <f>$M$5</f>
        <v>15</v>
      </c>
      <c r="AD38" s="35">
        <f>$G$5</f>
        <v>576</v>
      </c>
      <c r="AF38" s="35">
        <f>$I$5</f>
        <v>3848</v>
      </c>
      <c r="AG38" s="35">
        <f>$J$5</f>
        <v>27</v>
      </c>
    </row>
    <row r="39" spans="1:47" x14ac:dyDescent="0.25">
      <c r="A39" s="5" t="s">
        <v>143</v>
      </c>
      <c r="V39" s="36">
        <f>$F$5-V37</f>
        <v>17</v>
      </c>
      <c r="X39" s="36">
        <f>$I$5-X37</f>
        <v>-100</v>
      </c>
      <c r="Y39" s="36">
        <f>$J$5-Y37</f>
        <v>0</v>
      </c>
      <c r="Z39" s="36">
        <f>$K$5-Z37</f>
        <v>-1</v>
      </c>
      <c r="AA39" s="36">
        <f>$H$5-AA37</f>
        <v>-20.200000000000045</v>
      </c>
      <c r="AB39" s="36">
        <f>$L$5-AB37</f>
        <v>-172</v>
      </c>
      <c r="AC39" s="36">
        <f>$M$5-AC37</f>
        <v>-1</v>
      </c>
      <c r="AD39" s="36">
        <f>$G$5-AD37</f>
        <v>-22</v>
      </c>
      <c r="AF39" s="36">
        <f>$I$5-AF37</f>
        <v>-447</v>
      </c>
      <c r="AG39" s="36">
        <f>$J$5-AG37</f>
        <v>-4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689" priority="1" stopIfTrue="1">
      <formula>V37&gt;$F$5</formula>
    </cfRule>
    <cfRule type="expression" dxfId="688" priority="2">
      <formula>AND($F$5&gt;0,V37&lt;$F$5*0.97)</formula>
    </cfRule>
    <cfRule type="expression" dxfId="687" priority="3">
      <formula>AND($F$5&gt;0,V37&gt;=$F$5*0.97,V37&lt;=$F$5)</formula>
    </cfRule>
  </conditionalFormatting>
  <conditionalFormatting sqref="X37">
    <cfRule type="expression" dxfId="686" priority="4" stopIfTrue="1">
      <formula>X37&gt;$I$5</formula>
    </cfRule>
    <cfRule type="expression" dxfId="685" priority="5">
      <formula>AND($I$5&gt;0,X37&lt;$I$5*0.97)</formula>
    </cfRule>
    <cfRule type="expression" dxfId="684" priority="6">
      <formula>AND($I$5&gt;0,X37&gt;=$I$5*0.97,X37&lt;=$I$5)</formula>
    </cfRule>
  </conditionalFormatting>
  <conditionalFormatting sqref="Y37">
    <cfRule type="expression" dxfId="683" priority="7" stopIfTrue="1">
      <formula>Y37&gt;$J$5</formula>
    </cfRule>
    <cfRule type="expression" dxfId="682" priority="8">
      <formula>AND($J$5&gt;0,Y37&lt;$J$5*0.97)</formula>
    </cfRule>
    <cfRule type="expression" dxfId="681" priority="9">
      <formula>AND($J$5&gt;0,Y37&gt;=$J$5*0.97,Y37&lt;=$J$5)</formula>
    </cfRule>
  </conditionalFormatting>
  <conditionalFormatting sqref="Z37">
    <cfRule type="expression" dxfId="680" priority="10" stopIfTrue="1">
      <formula>Z37&gt;$K$5</formula>
    </cfRule>
    <cfRule type="expression" dxfId="679" priority="11">
      <formula>AND($K$5&gt;0,Z37&lt;$K$5*0.97)</formula>
    </cfRule>
    <cfRule type="expression" dxfId="678" priority="12">
      <formula>AND($K$5&gt;0,Z37&gt;=$K$5*0.97,Z37&lt;=$K$5)</formula>
    </cfRule>
  </conditionalFormatting>
  <conditionalFormatting sqref="AA37">
    <cfRule type="expression" dxfId="677" priority="13" stopIfTrue="1">
      <formula>AA37&gt;$H$5</formula>
    </cfRule>
    <cfRule type="expression" dxfId="676" priority="14">
      <formula>AND($H$5&gt;0,AA37&lt;$H$5*0.97)</formula>
    </cfRule>
    <cfRule type="expression" dxfId="675" priority="15">
      <formula>AND($H$5&gt;0,AA37&gt;=$H$5*0.97,AA37&lt;=$H$5)</formula>
    </cfRule>
  </conditionalFormatting>
  <conditionalFormatting sqref="AB37">
    <cfRule type="expression" dxfId="674" priority="16" stopIfTrue="1">
      <formula>AB37&gt;$L$5</formula>
    </cfRule>
    <cfRule type="expression" dxfId="673" priority="17">
      <formula>AND($L$5&gt;0,AB37&lt;$L$5*0.97)</formula>
    </cfRule>
    <cfRule type="expression" dxfId="672" priority="18">
      <formula>AND($L$5&gt;0,AB37&gt;=$L$5*0.97,AB37&lt;=$L$5)</formula>
    </cfRule>
  </conditionalFormatting>
  <conditionalFormatting sqref="AC37">
    <cfRule type="expression" dxfId="671" priority="19" stopIfTrue="1">
      <formula>AC37&gt;$M$5</formula>
    </cfRule>
    <cfRule type="expression" dxfId="670" priority="20">
      <formula>AND($M$5&gt;0,AC37&lt;$M$5*0.97)</formula>
    </cfRule>
    <cfRule type="expression" dxfId="669" priority="21">
      <formula>AND($M$5&gt;0,AC37&gt;=$M$5*0.97,AC37&lt;=$M$5)</formula>
    </cfRule>
  </conditionalFormatting>
  <conditionalFormatting sqref="AD37">
    <cfRule type="expression" dxfId="668" priority="22" stopIfTrue="1">
      <formula>AD37&gt;$G$5</formula>
    </cfRule>
    <cfRule type="expression" dxfId="667" priority="23">
      <formula>AND($G$5&gt;0,AD37&lt;$G$5*0.97)</formula>
    </cfRule>
    <cfRule type="expression" dxfId="666" priority="24">
      <formula>AND($G$5&gt;0,AD37&gt;=$G$5*0.97,AD37&lt;=$G$5)</formula>
    </cfRule>
  </conditionalFormatting>
  <conditionalFormatting sqref="AF37">
    <cfRule type="expression" dxfId="665" priority="25" stopIfTrue="1">
      <formula>AF37&gt;$I$5</formula>
    </cfRule>
    <cfRule type="expression" dxfId="664" priority="26">
      <formula>AND($I$5&gt;0,AF37&lt;$I$5*0.97)</formula>
    </cfRule>
    <cfRule type="expression" dxfId="663" priority="27">
      <formula>AND($I$5&gt;0,AF37&gt;=$I$5*0.97,AF37&lt;=$I$5)</formula>
    </cfRule>
  </conditionalFormatting>
  <conditionalFormatting sqref="AG37">
    <cfRule type="expression" dxfId="662" priority="28" stopIfTrue="1">
      <formula>AG37&gt;$J$5</formula>
    </cfRule>
    <cfRule type="expression" dxfId="661" priority="29">
      <formula>AND($J$5&gt;0,AG37&lt;$J$5*0.97)</formula>
    </cfRule>
    <cfRule type="expression" dxfId="660" priority="30">
      <formula>AND($J$5&gt;0,AG37&gt;=$J$5*0.97,AG37&lt;=$J$5)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389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63.4</v>
      </c>
      <c r="D5" s="10">
        <f>C5*B5</f>
        <v>1077.8</v>
      </c>
      <c r="E5" s="11">
        <v>0.56220000000000003</v>
      </c>
      <c r="F5" s="10">
        <f>ROUND(D5*E5,0)</f>
        <v>606</v>
      </c>
      <c r="G5" s="10">
        <f>ROUND(F5*Settings!$B$4,0)</f>
        <v>578</v>
      </c>
      <c r="H5" s="10">
        <f>D5-F5</f>
        <v>471.79999999999995</v>
      </c>
      <c r="I5" s="8">
        <v>4400</v>
      </c>
      <c r="J5" s="9">
        <v>32</v>
      </c>
      <c r="K5" s="9">
        <v>11</v>
      </c>
      <c r="L5" s="8">
        <v>2139</v>
      </c>
      <c r="M5" s="9">
        <v>21</v>
      </c>
    </row>
    <row r="7" spans="1:47" x14ac:dyDescent="0.25">
      <c r="A7" s="5" t="s">
        <v>54</v>
      </c>
      <c r="B7" s="12" t="s">
        <v>390</v>
      </c>
    </row>
    <row r="8" spans="1:47" x14ac:dyDescent="0.25">
      <c r="A8" s="5" t="s">
        <v>56</v>
      </c>
      <c r="B8" s="13" t="s">
        <v>391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392</v>
      </c>
      <c r="C11" s="17">
        <v>1</v>
      </c>
      <c r="D11" s="17" t="s">
        <v>114</v>
      </c>
      <c r="E11" s="18" t="s">
        <v>99</v>
      </c>
      <c r="F11" s="19">
        <v>13</v>
      </c>
      <c r="G11" s="19">
        <v>19</v>
      </c>
      <c r="H11" s="19">
        <v>11</v>
      </c>
      <c r="I11" s="19">
        <v>45</v>
      </c>
      <c r="J11" s="19"/>
      <c r="K11" s="19">
        <v>1</v>
      </c>
      <c r="L11" s="19"/>
      <c r="M11" s="19"/>
      <c r="N11" s="19" t="s">
        <v>213</v>
      </c>
      <c r="O11" s="19">
        <v>17</v>
      </c>
      <c r="P11" s="20">
        <v>2.84</v>
      </c>
      <c r="Q11" s="20">
        <v>7</v>
      </c>
      <c r="R11" s="21">
        <v>1</v>
      </c>
      <c r="S11" s="21">
        <v>0.69099999999999995</v>
      </c>
      <c r="T11" s="20">
        <v>8</v>
      </c>
      <c r="U11" s="22">
        <v>17</v>
      </c>
      <c r="V11" s="22">
        <v>545</v>
      </c>
      <c r="W11" s="22">
        <v>373</v>
      </c>
      <c r="X11" s="22">
        <v>4288</v>
      </c>
      <c r="Y11" s="22">
        <v>30</v>
      </c>
      <c r="Z11" s="22">
        <v>10</v>
      </c>
      <c r="AA11" s="22">
        <v>23</v>
      </c>
      <c r="AB11" s="22">
        <v>51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2.2173913043478262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7.8678899082568812</v>
      </c>
      <c r="AM11" s="25">
        <f t="shared" ref="AM11:AM35" si="4">IFERROR(W11/V11,"")</f>
        <v>0.68440366972477062</v>
      </c>
      <c r="AN11" s="25">
        <f t="shared" ref="AN11:AN35" si="5">IFERROR(AA11/$H$5,"")</f>
        <v>4.8749470114455282E-2</v>
      </c>
      <c r="AO11" s="25">
        <f t="shared" ref="AO11:AO35" si="6">IFERROR(AD11/$G$5,"")</f>
        <v>0</v>
      </c>
      <c r="AP11" s="25">
        <f t="shared" ref="AP11:AP35" si="7">IFERROR(V11/$F$5,"")</f>
        <v>0.89933993399339929</v>
      </c>
      <c r="AQ11" s="26">
        <f t="shared" ref="AQ11:AQ35" si="8">IFERROR(AA11/U11,"")</f>
        <v>1.3529411764705883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12</v>
      </c>
      <c r="AU11" s="28">
        <f>AF11*Settings!$B$7+AG11*Settings!$B$8+AE11*Settings!$B$9+AB11*Settings!$B$10+AC11*Settings!$B$11+X11*Settings!$B$12+Y11*Settings!$B$13+Z11*Settings!$B$14</f>
        <v>276.62</v>
      </c>
    </row>
    <row r="12" spans="1:47" x14ac:dyDescent="0.25">
      <c r="A12" s="15" t="s">
        <v>96</v>
      </c>
      <c r="B12" s="16" t="s">
        <v>393</v>
      </c>
      <c r="C12" s="17">
        <v>2</v>
      </c>
      <c r="D12" s="17" t="s">
        <v>98</v>
      </c>
      <c r="E12" s="18" t="s">
        <v>99</v>
      </c>
      <c r="F12" s="19"/>
      <c r="G12" s="19"/>
      <c r="H12" s="19">
        <v>1</v>
      </c>
      <c r="I12" s="19">
        <v>4</v>
      </c>
      <c r="J12" s="19"/>
      <c r="K12" s="19"/>
      <c r="L12" s="19"/>
      <c r="M12" s="19"/>
      <c r="N12" s="19" t="s">
        <v>394</v>
      </c>
      <c r="O12" s="19">
        <v>4</v>
      </c>
      <c r="P12" s="20">
        <v>4</v>
      </c>
      <c r="Q12" s="20"/>
      <c r="R12" s="21"/>
      <c r="S12" s="21">
        <v>0.53300000000000003</v>
      </c>
      <c r="T12" s="20"/>
      <c r="U12" s="22">
        <v>17</v>
      </c>
      <c r="V12" s="22">
        <v>24</v>
      </c>
      <c r="W12" s="22">
        <v>15</v>
      </c>
      <c r="X12" s="22">
        <v>178</v>
      </c>
      <c r="Y12" s="22">
        <v>1</v>
      </c>
      <c r="Z12" s="22">
        <v>1</v>
      </c>
      <c r="AA12" s="22">
        <v>2</v>
      </c>
      <c r="AB12" s="22">
        <v>6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3</v>
      </c>
      <c r="AJ12" s="24" t="str">
        <f t="shared" si="1"/>
        <v/>
      </c>
      <c r="AK12" s="25" t="str">
        <f t="shared" si="2"/>
        <v/>
      </c>
      <c r="AL12" s="24">
        <f t="shared" si="3"/>
        <v>7.416666666666667</v>
      </c>
      <c r="AM12" s="25">
        <f t="shared" si="4"/>
        <v>0.625</v>
      </c>
      <c r="AN12" s="25">
        <f t="shared" si="5"/>
        <v>4.2390843577787204E-3</v>
      </c>
      <c r="AO12" s="25">
        <f t="shared" si="6"/>
        <v>0</v>
      </c>
      <c r="AP12" s="25">
        <f t="shared" si="7"/>
        <v>3.9603960396039604E-2</v>
      </c>
      <c r="AQ12" s="26">
        <f t="shared" si="8"/>
        <v>0.11764705882352941</v>
      </c>
      <c r="AR12" s="26">
        <f t="shared" si="9"/>
        <v>0</v>
      </c>
      <c r="AS12" s="27">
        <f t="shared" si="10"/>
        <v>0</v>
      </c>
      <c r="AT12" s="27">
        <f t="shared" si="11"/>
        <v>1</v>
      </c>
      <c r="AU12" s="28">
        <f>AF12*Settings!$B$7+AG12*Settings!$B$8+AE12*Settings!$B$9+AB12*Settings!$B$10+AC12*Settings!$B$11+X12*Settings!$B$12+Y12*Settings!$B$13+Z12*Settings!$B$14</f>
        <v>9.7200000000000006</v>
      </c>
    </row>
    <row r="13" spans="1:47" x14ac:dyDescent="0.25">
      <c r="A13" s="15" t="s">
        <v>96</v>
      </c>
      <c r="B13" s="16" t="s">
        <v>395</v>
      </c>
      <c r="C13" s="17">
        <v>3</v>
      </c>
      <c r="D13" s="17" t="s">
        <v>103</v>
      </c>
      <c r="E13" s="18" t="s">
        <v>99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1"/>
      <c r="S13" s="21"/>
      <c r="T13" s="20"/>
      <c r="U13" s="22">
        <v>17</v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33"/>
      <c r="AI13" s="24" t="str">
        <f t="shared" si="0"/>
        <v/>
      </c>
      <c r="AJ13" s="24" t="str">
        <f t="shared" si="1"/>
        <v/>
      </c>
      <c r="AK13" s="25" t="str">
        <f t="shared" si="2"/>
        <v/>
      </c>
      <c r="AL13" s="24" t="str">
        <f t="shared" si="3"/>
        <v/>
      </c>
      <c r="AM13" s="25" t="str">
        <f t="shared" si="4"/>
        <v/>
      </c>
      <c r="AN13" s="25">
        <f t="shared" si="5"/>
        <v>0</v>
      </c>
      <c r="AO13" s="25">
        <f t="shared" si="6"/>
        <v>0</v>
      </c>
      <c r="AP13" s="25">
        <f t="shared" si="7"/>
        <v>0</v>
      </c>
      <c r="AQ13" s="26">
        <f t="shared" si="8"/>
        <v>0</v>
      </c>
      <c r="AR13" s="26">
        <f t="shared" si="9"/>
        <v>0</v>
      </c>
      <c r="AS13" s="27">
        <f t="shared" si="10"/>
        <v>0</v>
      </c>
      <c r="AT13" s="27">
        <f t="shared" si="11"/>
        <v>0</v>
      </c>
      <c r="AU13" s="28">
        <f>AF13*Settings!$B$7+AG13*Settings!$B$8+AE13*Settings!$B$9+AB13*Settings!$B$10+AC13*Settings!$B$11+X13*Settings!$B$12+Y13*Settings!$B$13+Z13*Settings!$B$14</f>
        <v>0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396</v>
      </c>
      <c r="C15" s="17">
        <v>1</v>
      </c>
      <c r="D15" s="17" t="s">
        <v>118</v>
      </c>
      <c r="E15" s="32" t="s">
        <v>115</v>
      </c>
      <c r="F15" s="19">
        <v>182</v>
      </c>
      <c r="G15" s="19">
        <v>250</v>
      </c>
      <c r="H15" s="19">
        <v>243</v>
      </c>
      <c r="I15" s="19">
        <v>1223</v>
      </c>
      <c r="J15" s="19">
        <v>71</v>
      </c>
      <c r="K15" s="19">
        <v>63</v>
      </c>
      <c r="L15" s="19">
        <v>94</v>
      </c>
      <c r="M15" s="19">
        <v>616</v>
      </c>
      <c r="N15" s="19" t="s">
        <v>213</v>
      </c>
      <c r="O15" s="19">
        <v>17</v>
      </c>
      <c r="P15" s="20">
        <v>5.3</v>
      </c>
      <c r="Q15" s="20">
        <v>8.01</v>
      </c>
      <c r="R15" s="21">
        <v>0.79400000000000004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259</v>
      </c>
      <c r="AB15" s="22">
        <v>1295</v>
      </c>
      <c r="AC15" s="22">
        <v>13</v>
      </c>
      <c r="AD15" s="22">
        <v>84</v>
      </c>
      <c r="AE15" s="22">
        <v>68</v>
      </c>
      <c r="AF15" s="22">
        <v>554</v>
      </c>
      <c r="AG15" s="22">
        <v>4</v>
      </c>
      <c r="AH15" s="23" t="s">
        <v>101</v>
      </c>
      <c r="AI15" s="24">
        <f t="shared" si="0"/>
        <v>5</v>
      </c>
      <c r="AJ15" s="24">
        <f t="shared" si="1"/>
        <v>8.1470588235294112</v>
      </c>
      <c r="AK15" s="25">
        <f t="shared" si="2"/>
        <v>0.80952380952380953</v>
      </c>
      <c r="AL15" s="24" t="str">
        <f t="shared" si="3"/>
        <v/>
      </c>
      <c r="AM15" s="25" t="str">
        <f t="shared" si="4"/>
        <v/>
      </c>
      <c r="AN15" s="25">
        <f t="shared" si="5"/>
        <v>0.54896142433234429</v>
      </c>
      <c r="AO15" s="25">
        <f t="shared" si="6"/>
        <v>0.1453287197231834</v>
      </c>
      <c r="AP15" s="25">
        <f t="shared" si="7"/>
        <v>0</v>
      </c>
      <c r="AQ15" s="26">
        <f t="shared" si="8"/>
        <v>15.235294117647058</v>
      </c>
      <c r="AR15" s="26">
        <f t="shared" si="9"/>
        <v>4.9411764705882355</v>
      </c>
      <c r="AS15" s="27">
        <f t="shared" si="10"/>
        <v>-10</v>
      </c>
      <c r="AT15" s="27">
        <f t="shared" si="11"/>
        <v>16</v>
      </c>
      <c r="AU15" s="28">
        <f>AF15*Settings!$B$7+AG15*Settings!$B$8+AE15*Settings!$B$9+AB15*Settings!$B$10+AC15*Settings!$B$11+X15*Settings!$B$12+Y15*Settings!$B$13+Z15*Settings!$B$14</f>
        <v>320.89999999999998</v>
      </c>
    </row>
    <row r="16" spans="1:47" x14ac:dyDescent="0.25">
      <c r="A16" s="15" t="s">
        <v>107</v>
      </c>
      <c r="B16" s="16" t="s">
        <v>397</v>
      </c>
      <c r="C16" s="17">
        <v>2</v>
      </c>
      <c r="D16" s="17" t="s">
        <v>158</v>
      </c>
      <c r="E16" s="18" t="s">
        <v>99</v>
      </c>
      <c r="F16" s="19">
        <v>205</v>
      </c>
      <c r="G16" s="19">
        <v>83</v>
      </c>
      <c r="H16" s="19">
        <v>118</v>
      </c>
      <c r="I16" s="19">
        <v>462</v>
      </c>
      <c r="J16" s="19">
        <v>49</v>
      </c>
      <c r="K16" s="19">
        <v>16</v>
      </c>
      <c r="L16" s="19">
        <v>26</v>
      </c>
      <c r="M16" s="19">
        <v>101</v>
      </c>
      <c r="N16" s="19" t="s">
        <v>210</v>
      </c>
      <c r="O16" s="19">
        <v>13</v>
      </c>
      <c r="P16" s="20">
        <v>4.2</v>
      </c>
      <c r="Q16" s="20">
        <v>5.65</v>
      </c>
      <c r="R16" s="21">
        <v>0.82399999999999995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130</v>
      </c>
      <c r="AB16" s="22">
        <v>540</v>
      </c>
      <c r="AC16" s="22">
        <v>4</v>
      </c>
      <c r="AD16" s="22">
        <v>22</v>
      </c>
      <c r="AE16" s="22">
        <v>16</v>
      </c>
      <c r="AF16" s="22">
        <v>107</v>
      </c>
      <c r="AG16" s="22">
        <v>1</v>
      </c>
      <c r="AH16" s="23" t="s">
        <v>101</v>
      </c>
      <c r="AI16" s="24">
        <f t="shared" si="0"/>
        <v>4.1538461538461542</v>
      </c>
      <c r="AJ16" s="24">
        <f t="shared" si="1"/>
        <v>6.6875</v>
      </c>
      <c r="AK16" s="25">
        <f t="shared" si="2"/>
        <v>0.72727272727272729</v>
      </c>
      <c r="AL16" s="24" t="str">
        <f t="shared" si="3"/>
        <v/>
      </c>
      <c r="AM16" s="25" t="str">
        <f t="shared" si="4"/>
        <v/>
      </c>
      <c r="AN16" s="25">
        <f t="shared" si="5"/>
        <v>0.27554048325561681</v>
      </c>
      <c r="AO16" s="25">
        <f t="shared" si="6"/>
        <v>3.8062283737024222E-2</v>
      </c>
      <c r="AP16" s="25">
        <f t="shared" si="7"/>
        <v>0</v>
      </c>
      <c r="AQ16" s="26">
        <f t="shared" si="8"/>
        <v>7.6470588235294121</v>
      </c>
      <c r="AR16" s="26">
        <f t="shared" si="9"/>
        <v>1.2941176470588236</v>
      </c>
      <c r="AS16" s="27">
        <f t="shared" si="10"/>
        <v>-4</v>
      </c>
      <c r="AT16" s="27">
        <f t="shared" si="11"/>
        <v>12</v>
      </c>
      <c r="AU16" s="28">
        <f>AF16*Settings!$B$7+AG16*Settings!$B$8+AE16*Settings!$B$9+AB16*Settings!$B$10+AC16*Settings!$B$11+X16*Settings!$B$12+Y16*Settings!$B$13+Z16*Settings!$B$14</f>
        <v>102.7</v>
      </c>
    </row>
    <row r="17" spans="1:47" x14ac:dyDescent="0.25">
      <c r="A17" s="15" t="s">
        <v>107</v>
      </c>
      <c r="B17" s="16" t="s">
        <v>398</v>
      </c>
      <c r="C17" s="17">
        <v>3</v>
      </c>
      <c r="D17" s="17" t="s">
        <v>105</v>
      </c>
      <c r="E17" s="32" t="s">
        <v>115</v>
      </c>
      <c r="F17" s="19"/>
      <c r="G17" s="19">
        <v>6</v>
      </c>
      <c r="H17" s="19">
        <v>1</v>
      </c>
      <c r="I17" s="19">
        <v>4</v>
      </c>
      <c r="J17" s="19"/>
      <c r="K17" s="19">
        <v>3</v>
      </c>
      <c r="L17" s="19"/>
      <c r="M17" s="19"/>
      <c r="N17" s="19" t="s">
        <v>213</v>
      </c>
      <c r="O17" s="19">
        <v>11</v>
      </c>
      <c r="P17" s="20">
        <v>2.57</v>
      </c>
      <c r="Q17" s="20">
        <v>12.33</v>
      </c>
      <c r="R17" s="21">
        <v>1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9</v>
      </c>
      <c r="AB17" s="22">
        <v>36</v>
      </c>
      <c r="AC17" s="22">
        <v>0</v>
      </c>
      <c r="AD17" s="22">
        <v>4</v>
      </c>
      <c r="AE17" s="22">
        <v>3</v>
      </c>
      <c r="AF17" s="22">
        <v>21</v>
      </c>
      <c r="AG17" s="22">
        <v>0</v>
      </c>
      <c r="AH17" s="23" t="s">
        <v>101</v>
      </c>
      <c r="AI17" s="24">
        <f t="shared" si="0"/>
        <v>4</v>
      </c>
      <c r="AJ17" s="24">
        <f t="shared" si="1"/>
        <v>7</v>
      </c>
      <c r="AK17" s="25">
        <f t="shared" si="2"/>
        <v>0.75</v>
      </c>
      <c r="AL17" s="24" t="str">
        <f t="shared" si="3"/>
        <v/>
      </c>
      <c r="AM17" s="25" t="str">
        <f t="shared" si="4"/>
        <v/>
      </c>
      <c r="AN17" s="25">
        <f t="shared" si="5"/>
        <v>1.9075879610004242E-2</v>
      </c>
      <c r="AO17" s="25">
        <f t="shared" si="6"/>
        <v>6.920415224913495E-3</v>
      </c>
      <c r="AP17" s="25">
        <f t="shared" si="7"/>
        <v>0</v>
      </c>
      <c r="AQ17" s="26">
        <f t="shared" si="8"/>
        <v>0.52941176470588236</v>
      </c>
      <c r="AR17" s="26">
        <f t="shared" si="9"/>
        <v>0.23529411764705882</v>
      </c>
      <c r="AS17" s="27">
        <f t="shared" si="10"/>
        <v>4</v>
      </c>
      <c r="AT17" s="27">
        <f t="shared" si="11"/>
        <v>8</v>
      </c>
      <c r="AU17" s="28">
        <f>AF17*Settings!$B$7+AG17*Settings!$B$8+AE17*Settings!$B$9+AB17*Settings!$B$10+AC17*Settings!$B$11+X17*Settings!$B$12+Y17*Settings!$B$13+Z17*Settings!$B$14</f>
        <v>7.2</v>
      </c>
    </row>
    <row r="18" spans="1:47" x14ac:dyDescent="0.25">
      <c r="A18" s="15" t="s">
        <v>107</v>
      </c>
      <c r="B18" s="16" t="s">
        <v>399</v>
      </c>
      <c r="C18" s="17">
        <v>4</v>
      </c>
      <c r="D18" s="17" t="s">
        <v>105</v>
      </c>
      <c r="E18" s="18" t="s">
        <v>99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0"/>
      <c r="Q18" s="20"/>
      <c r="R18" s="21"/>
      <c r="S18" s="21"/>
      <c r="T18" s="20"/>
      <c r="U18" s="22">
        <v>17</v>
      </c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33"/>
      <c r="AI18" s="24" t="str">
        <f t="shared" si="0"/>
        <v/>
      </c>
      <c r="AJ18" s="24" t="str">
        <f t="shared" si="1"/>
        <v/>
      </c>
      <c r="AK18" s="25" t="str">
        <f t="shared" si="2"/>
        <v/>
      </c>
      <c r="AL18" s="24" t="str">
        <f t="shared" si="3"/>
        <v/>
      </c>
      <c r="AM18" s="25" t="str">
        <f t="shared" si="4"/>
        <v/>
      </c>
      <c r="AN18" s="25">
        <f t="shared" si="5"/>
        <v>0</v>
      </c>
      <c r="AO18" s="25">
        <f t="shared" si="6"/>
        <v>0</v>
      </c>
      <c r="AP18" s="25">
        <f t="shared" si="7"/>
        <v>0</v>
      </c>
      <c r="AQ18" s="26">
        <f t="shared" si="8"/>
        <v>0</v>
      </c>
      <c r="AR18" s="26">
        <f t="shared" si="9"/>
        <v>0</v>
      </c>
      <c r="AS18" s="27">
        <f t="shared" si="10"/>
        <v>0</v>
      </c>
      <c r="AT18" s="27">
        <f t="shared" si="11"/>
        <v>0</v>
      </c>
      <c r="AU18" s="28">
        <f>AF18*Settings!$B$7+AG18*Settings!$B$8+AE18*Settings!$B$9+AB18*Settings!$B$10+AC18*Settings!$B$11+X18*Settings!$B$12+Y18*Settings!$B$13+Z18*Settings!$B$14</f>
        <v>0</v>
      </c>
    </row>
    <row r="19" spans="1:47" x14ac:dyDescent="0.25">
      <c r="A19" s="15" t="s">
        <v>107</v>
      </c>
      <c r="B19" s="16" t="s">
        <v>400</v>
      </c>
      <c r="C19" s="17">
        <v>5</v>
      </c>
      <c r="D19" s="17" t="s">
        <v>105</v>
      </c>
      <c r="E19" s="18" t="s">
        <v>99</v>
      </c>
      <c r="F19" s="19"/>
      <c r="G19" s="19"/>
      <c r="H19" s="19">
        <v>2</v>
      </c>
      <c r="I19" s="19">
        <v>11</v>
      </c>
      <c r="J19" s="19"/>
      <c r="K19" s="19"/>
      <c r="L19" s="19"/>
      <c r="M19" s="19"/>
      <c r="N19" s="19" t="s">
        <v>213</v>
      </c>
      <c r="O19" s="19">
        <v>16</v>
      </c>
      <c r="P19" s="20">
        <v>5.5</v>
      </c>
      <c r="Q19" s="20"/>
      <c r="R19" s="21"/>
      <c r="S19" s="21"/>
      <c r="T19" s="20"/>
      <c r="U19" s="22">
        <v>17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6</v>
      </c>
      <c r="AB19" s="22">
        <v>34</v>
      </c>
      <c r="AC19" s="22">
        <v>0</v>
      </c>
      <c r="AD19" s="22">
        <v>0</v>
      </c>
      <c r="AE19" s="22">
        <v>1</v>
      </c>
      <c r="AF19" s="22">
        <v>6</v>
      </c>
      <c r="AG19" s="22">
        <v>0</v>
      </c>
      <c r="AH19" s="23" t="s">
        <v>101</v>
      </c>
      <c r="AI19" s="24">
        <f t="shared" si="0"/>
        <v>5.666666666666667</v>
      </c>
      <c r="AJ19" s="24">
        <f t="shared" si="1"/>
        <v>6</v>
      </c>
      <c r="AK19" s="25" t="str">
        <f t="shared" si="2"/>
        <v/>
      </c>
      <c r="AL19" s="24" t="str">
        <f t="shared" si="3"/>
        <v/>
      </c>
      <c r="AM19" s="25" t="str">
        <f t="shared" si="4"/>
        <v/>
      </c>
      <c r="AN19" s="25">
        <f t="shared" si="5"/>
        <v>1.2717253073336161E-2</v>
      </c>
      <c r="AO19" s="25">
        <f t="shared" si="6"/>
        <v>0</v>
      </c>
      <c r="AP19" s="25">
        <f t="shared" si="7"/>
        <v>0</v>
      </c>
      <c r="AQ19" s="26">
        <f t="shared" si="8"/>
        <v>0.35294117647058826</v>
      </c>
      <c r="AR19" s="26">
        <f t="shared" si="9"/>
        <v>0</v>
      </c>
      <c r="AS19" s="27">
        <f t="shared" si="10"/>
        <v>0</v>
      </c>
      <c r="AT19" s="27">
        <f t="shared" si="11"/>
        <v>4</v>
      </c>
      <c r="AU19" s="28">
        <f>AF19*Settings!$B$7+AG19*Settings!$B$8+AE19*Settings!$B$9+AB19*Settings!$B$10+AC19*Settings!$B$11+X19*Settings!$B$12+Y19*Settings!$B$13+Z19*Settings!$B$14</f>
        <v>4.5</v>
      </c>
    </row>
    <row r="20" spans="1:47" x14ac:dyDescent="0.25">
      <c r="A20" s="15" t="s">
        <v>107</v>
      </c>
      <c r="B20" s="16" t="s">
        <v>401</v>
      </c>
      <c r="C20" s="17">
        <v>6</v>
      </c>
      <c r="D20" s="17" t="s">
        <v>130</v>
      </c>
      <c r="E20" s="18" t="s">
        <v>99</v>
      </c>
      <c r="F20" s="19">
        <v>14</v>
      </c>
      <c r="G20" s="19">
        <v>15</v>
      </c>
      <c r="H20" s="19"/>
      <c r="I20" s="19"/>
      <c r="J20" s="19">
        <v>7</v>
      </c>
      <c r="K20" s="19"/>
      <c r="L20" s="19"/>
      <c r="M20" s="19"/>
      <c r="N20" s="19"/>
      <c r="O20" s="19"/>
      <c r="P20" s="20">
        <v>4.34</v>
      </c>
      <c r="Q20" s="20">
        <v>7.5</v>
      </c>
      <c r="R20" s="21">
        <v>0.85699999999999998</v>
      </c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402</v>
      </c>
      <c r="C22" s="17">
        <v>1</v>
      </c>
      <c r="D22" s="17" t="s">
        <v>111</v>
      </c>
      <c r="E22" s="18" t="s">
        <v>99</v>
      </c>
      <c r="F22" s="19">
        <v>4</v>
      </c>
      <c r="G22" s="19">
        <v>2</v>
      </c>
      <c r="H22" s="19">
        <v>3</v>
      </c>
      <c r="I22" s="19">
        <v>9</v>
      </c>
      <c r="J22" s="19">
        <v>164</v>
      </c>
      <c r="K22" s="19">
        <v>141</v>
      </c>
      <c r="L22" s="19">
        <v>172</v>
      </c>
      <c r="M22" s="19">
        <v>1401</v>
      </c>
      <c r="N22" s="19" t="s">
        <v>213</v>
      </c>
      <c r="O22" s="19">
        <v>17</v>
      </c>
      <c r="P22" s="20">
        <v>4.33</v>
      </c>
      <c r="Q22" s="20">
        <v>11.91</v>
      </c>
      <c r="R22" s="21">
        <v>0.73599999999999999</v>
      </c>
      <c r="S22" s="21">
        <v>1</v>
      </c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3</v>
      </c>
      <c r="AB22" s="22">
        <v>13</v>
      </c>
      <c r="AC22" s="22">
        <v>0</v>
      </c>
      <c r="AD22" s="22">
        <v>157</v>
      </c>
      <c r="AE22" s="22">
        <v>113</v>
      </c>
      <c r="AF22" s="22">
        <v>1341</v>
      </c>
      <c r="AG22" s="22">
        <v>10</v>
      </c>
      <c r="AH22" s="23" t="s">
        <v>101</v>
      </c>
      <c r="AI22" s="24">
        <f t="shared" si="0"/>
        <v>4.333333333333333</v>
      </c>
      <c r="AJ22" s="24">
        <f t="shared" si="1"/>
        <v>11.867256637168142</v>
      </c>
      <c r="AK22" s="25">
        <f t="shared" si="2"/>
        <v>0.71974522292993626</v>
      </c>
      <c r="AL22" s="24" t="str">
        <f t="shared" si="3"/>
        <v/>
      </c>
      <c r="AM22" s="25" t="str">
        <f t="shared" si="4"/>
        <v/>
      </c>
      <c r="AN22" s="25">
        <f t="shared" si="5"/>
        <v>6.3586265366680807E-3</v>
      </c>
      <c r="AO22" s="25">
        <f t="shared" si="6"/>
        <v>0.27162629757785467</v>
      </c>
      <c r="AP22" s="25">
        <f t="shared" si="7"/>
        <v>0</v>
      </c>
      <c r="AQ22" s="26">
        <f t="shared" si="8"/>
        <v>0.17647058823529413</v>
      </c>
      <c r="AR22" s="26">
        <f t="shared" si="9"/>
        <v>9.235294117647058</v>
      </c>
      <c r="AS22" s="27">
        <f t="shared" si="10"/>
        <v>-15</v>
      </c>
      <c r="AT22" s="27">
        <f t="shared" si="11"/>
        <v>0</v>
      </c>
      <c r="AU22" s="28">
        <f>AF22*Settings!$B$7+AG22*Settings!$B$8+AE22*Settings!$B$9+AB22*Settings!$B$10+AC22*Settings!$B$11+X22*Settings!$B$12+Y22*Settings!$B$13+Z22*Settings!$B$14</f>
        <v>251.9</v>
      </c>
    </row>
    <row r="23" spans="1:47" x14ac:dyDescent="0.25">
      <c r="A23" s="15" t="s">
        <v>121</v>
      </c>
      <c r="B23" s="16" t="s">
        <v>403</v>
      </c>
      <c r="C23" s="17">
        <v>2</v>
      </c>
      <c r="D23" s="17" t="s">
        <v>105</v>
      </c>
      <c r="E23" s="18" t="s">
        <v>99</v>
      </c>
      <c r="F23" s="19">
        <v>3</v>
      </c>
      <c r="G23" s="19">
        <v>11</v>
      </c>
      <c r="H23" s="19">
        <v>6</v>
      </c>
      <c r="I23" s="19">
        <v>12</v>
      </c>
      <c r="J23" s="19">
        <v>42</v>
      </c>
      <c r="K23" s="19">
        <v>91</v>
      </c>
      <c r="L23" s="19">
        <v>102</v>
      </c>
      <c r="M23" s="19">
        <v>1117</v>
      </c>
      <c r="N23" s="19" t="s">
        <v>213</v>
      </c>
      <c r="O23" s="19">
        <v>17</v>
      </c>
      <c r="P23" s="20">
        <v>5.0999999999999996</v>
      </c>
      <c r="Q23" s="20">
        <v>16.82</v>
      </c>
      <c r="R23" s="21">
        <v>0.626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6</v>
      </c>
      <c r="AB23" s="22">
        <v>38</v>
      </c>
      <c r="AC23" s="22">
        <v>0</v>
      </c>
      <c r="AD23" s="22">
        <v>97</v>
      </c>
      <c r="AE23" s="22">
        <v>62</v>
      </c>
      <c r="AF23" s="22">
        <v>1010</v>
      </c>
      <c r="AG23" s="22">
        <v>6</v>
      </c>
      <c r="AH23" s="23" t="s">
        <v>101</v>
      </c>
      <c r="AI23" s="24">
        <f t="shared" si="0"/>
        <v>6.333333333333333</v>
      </c>
      <c r="AJ23" s="24">
        <f t="shared" si="1"/>
        <v>16.29032258064516</v>
      </c>
      <c r="AK23" s="25">
        <f t="shared" si="2"/>
        <v>0.63917525773195871</v>
      </c>
      <c r="AL23" s="24" t="str">
        <f t="shared" si="3"/>
        <v/>
      </c>
      <c r="AM23" s="25" t="str">
        <f t="shared" si="4"/>
        <v/>
      </c>
      <c r="AN23" s="25">
        <f t="shared" si="5"/>
        <v>1.2717253073336161E-2</v>
      </c>
      <c r="AO23" s="25">
        <f t="shared" si="6"/>
        <v>0.16782006920415224</v>
      </c>
      <c r="AP23" s="25">
        <f t="shared" si="7"/>
        <v>0</v>
      </c>
      <c r="AQ23" s="26">
        <f t="shared" si="8"/>
        <v>0.35294117647058826</v>
      </c>
      <c r="AR23" s="26">
        <f t="shared" si="9"/>
        <v>5.7058823529411766</v>
      </c>
      <c r="AS23" s="27">
        <f t="shared" si="10"/>
        <v>-5</v>
      </c>
      <c r="AT23" s="27">
        <f t="shared" si="11"/>
        <v>0</v>
      </c>
      <c r="AU23" s="28">
        <f>AF23*Settings!$B$7+AG23*Settings!$B$8+AE23*Settings!$B$9+AB23*Settings!$B$10+AC23*Settings!$B$11+X23*Settings!$B$12+Y23*Settings!$B$13+Z23*Settings!$B$14</f>
        <v>171.8</v>
      </c>
    </row>
    <row r="24" spans="1:47" x14ac:dyDescent="0.25">
      <c r="A24" s="15" t="s">
        <v>121</v>
      </c>
      <c r="B24" s="16" t="s">
        <v>404</v>
      </c>
      <c r="C24" s="17">
        <v>3</v>
      </c>
      <c r="D24" s="17" t="s">
        <v>118</v>
      </c>
      <c r="E24" s="18" t="s">
        <v>99</v>
      </c>
      <c r="F24" s="19"/>
      <c r="G24" s="19"/>
      <c r="H24" s="19"/>
      <c r="I24" s="19"/>
      <c r="J24" s="19"/>
      <c r="K24" s="19"/>
      <c r="L24" s="19">
        <v>27</v>
      </c>
      <c r="M24" s="19">
        <v>239</v>
      </c>
      <c r="N24" s="19" t="s">
        <v>213</v>
      </c>
      <c r="O24" s="19">
        <v>17</v>
      </c>
      <c r="P24" s="20"/>
      <c r="Q24" s="20">
        <v>14.94</v>
      </c>
      <c r="R24" s="21">
        <v>0.59299999999999997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1</v>
      </c>
      <c r="AC24" s="22">
        <v>0</v>
      </c>
      <c r="AD24" s="22">
        <v>47</v>
      </c>
      <c r="AE24" s="22">
        <v>30</v>
      </c>
      <c r="AF24" s="22">
        <v>414</v>
      </c>
      <c r="AG24" s="22">
        <v>4</v>
      </c>
      <c r="AH24" s="23" t="s">
        <v>101</v>
      </c>
      <c r="AI24" s="24" t="str">
        <f t="shared" si="0"/>
        <v/>
      </c>
      <c r="AJ24" s="24">
        <f t="shared" si="1"/>
        <v>13.8</v>
      </c>
      <c r="AK24" s="25">
        <f t="shared" si="2"/>
        <v>0.63829787234042556</v>
      </c>
      <c r="AL24" s="24" t="str">
        <f t="shared" si="3"/>
        <v/>
      </c>
      <c r="AM24" s="25" t="str">
        <f t="shared" si="4"/>
        <v/>
      </c>
      <c r="AN24" s="25">
        <f t="shared" si="5"/>
        <v>0</v>
      </c>
      <c r="AO24" s="25">
        <f t="shared" si="6"/>
        <v>8.1314878892733561E-2</v>
      </c>
      <c r="AP24" s="25">
        <f t="shared" si="7"/>
        <v>0</v>
      </c>
      <c r="AQ24" s="26">
        <f t="shared" si="8"/>
        <v>0</v>
      </c>
      <c r="AR24" s="26">
        <f t="shared" si="9"/>
        <v>2.7647058823529411</v>
      </c>
      <c r="AS24" s="27">
        <f t="shared" si="10"/>
        <v>20</v>
      </c>
      <c r="AT24" s="27">
        <f t="shared" si="11"/>
        <v>0</v>
      </c>
      <c r="AU24" s="28">
        <f>AF24*Settings!$B$7+AG24*Settings!$B$8+AE24*Settings!$B$9+AB24*Settings!$B$10+AC24*Settings!$B$11+X24*Settings!$B$12+Y24*Settings!$B$13+Z24*Settings!$B$14</f>
        <v>80.5</v>
      </c>
    </row>
    <row r="25" spans="1:47" x14ac:dyDescent="0.25">
      <c r="A25" s="15" t="s">
        <v>121</v>
      </c>
      <c r="B25" s="16" t="s">
        <v>405</v>
      </c>
      <c r="C25" s="17">
        <v>4</v>
      </c>
      <c r="D25" s="17" t="s">
        <v>103</v>
      </c>
      <c r="E25" s="18" t="s">
        <v>99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20"/>
      <c r="R25" s="21"/>
      <c r="S25" s="21"/>
      <c r="T25" s="20"/>
      <c r="U25" s="22">
        <v>17</v>
      </c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33"/>
      <c r="AI25" s="24" t="str">
        <f t="shared" si="0"/>
        <v/>
      </c>
      <c r="AJ25" s="24" t="str">
        <f t="shared" si="1"/>
        <v/>
      </c>
      <c r="AK25" s="25" t="str">
        <f t="shared" si="2"/>
        <v/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0</v>
      </c>
      <c r="AP25" s="25">
        <f t="shared" si="7"/>
        <v>0</v>
      </c>
      <c r="AQ25" s="26">
        <f t="shared" si="8"/>
        <v>0</v>
      </c>
      <c r="AR25" s="26">
        <f t="shared" si="9"/>
        <v>0</v>
      </c>
      <c r="AS25" s="27">
        <f t="shared" si="10"/>
        <v>0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0</v>
      </c>
    </row>
    <row r="26" spans="1:47" x14ac:dyDescent="0.25">
      <c r="A26" s="15" t="s">
        <v>121</v>
      </c>
      <c r="B26" s="16" t="s">
        <v>406</v>
      </c>
      <c r="C26" s="17">
        <v>5</v>
      </c>
      <c r="D26" s="17" t="s">
        <v>130</v>
      </c>
      <c r="E26" s="18" t="s">
        <v>99</v>
      </c>
      <c r="F26" s="19">
        <v>1</v>
      </c>
      <c r="G26" s="19">
        <v>5</v>
      </c>
      <c r="H26" s="19">
        <v>7</v>
      </c>
      <c r="I26" s="19">
        <v>15</v>
      </c>
      <c r="J26" s="19">
        <v>41</v>
      </c>
      <c r="K26" s="19">
        <v>50</v>
      </c>
      <c r="L26" s="19">
        <v>33</v>
      </c>
      <c r="M26" s="19">
        <v>206</v>
      </c>
      <c r="N26" s="19" t="s">
        <v>100</v>
      </c>
      <c r="O26" s="19">
        <v>12</v>
      </c>
      <c r="P26" s="20">
        <v>3.92</v>
      </c>
      <c r="Q26" s="20">
        <v>9.1999999999999993</v>
      </c>
      <c r="R26" s="21">
        <v>0.72599999999999998</v>
      </c>
      <c r="S26" s="21"/>
      <c r="T26" s="20"/>
      <c r="U26" s="22">
        <v>17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5</v>
      </c>
      <c r="AB26" s="22">
        <v>20</v>
      </c>
      <c r="AC26" s="22">
        <v>0</v>
      </c>
      <c r="AD26" s="22">
        <v>15</v>
      </c>
      <c r="AE26" s="22">
        <v>16</v>
      </c>
      <c r="AF26" s="22">
        <v>141</v>
      </c>
      <c r="AG26" s="22">
        <v>1</v>
      </c>
      <c r="AH26" s="23" t="s">
        <v>101</v>
      </c>
      <c r="AI26" s="24">
        <f t="shared" si="0"/>
        <v>4</v>
      </c>
      <c r="AJ26" s="24">
        <f t="shared" si="1"/>
        <v>8.8125</v>
      </c>
      <c r="AK26" s="25">
        <f t="shared" si="2"/>
        <v>1.0666666666666667</v>
      </c>
      <c r="AL26" s="24" t="str">
        <f t="shared" si="3"/>
        <v/>
      </c>
      <c r="AM26" s="25" t="str">
        <f t="shared" si="4"/>
        <v/>
      </c>
      <c r="AN26" s="25">
        <f t="shared" si="5"/>
        <v>1.0597710894446801E-2</v>
      </c>
      <c r="AO26" s="25">
        <f t="shared" si="6"/>
        <v>2.5951557093425604E-2</v>
      </c>
      <c r="AP26" s="25">
        <f t="shared" si="7"/>
        <v>0</v>
      </c>
      <c r="AQ26" s="26">
        <f t="shared" si="8"/>
        <v>0.29411764705882354</v>
      </c>
      <c r="AR26" s="26">
        <f t="shared" si="9"/>
        <v>0.88235294117647056</v>
      </c>
      <c r="AS26" s="27">
        <f t="shared" si="10"/>
        <v>-18</v>
      </c>
      <c r="AT26" s="27">
        <f t="shared" si="11"/>
        <v>-2</v>
      </c>
      <c r="AU26" s="28">
        <f>AF26*Settings!$B$7+AG26*Settings!$B$8+AE26*Settings!$B$9+AB26*Settings!$B$10+AC26*Settings!$B$11+X26*Settings!$B$12+Y26*Settings!$B$13+Z26*Settings!$B$14</f>
        <v>30.1</v>
      </c>
    </row>
    <row r="27" spans="1:47" x14ac:dyDescent="0.25">
      <c r="A27" s="15" t="s">
        <v>121</v>
      </c>
      <c r="B27" s="16" t="s">
        <v>407</v>
      </c>
      <c r="C27" s="17">
        <v>6</v>
      </c>
      <c r="D27" s="17" t="s">
        <v>200</v>
      </c>
      <c r="E27" s="18" t="s">
        <v>99</v>
      </c>
      <c r="F27" s="19"/>
      <c r="G27" s="19"/>
      <c r="H27" s="19"/>
      <c r="I27" s="19"/>
      <c r="J27" s="19"/>
      <c r="K27" s="19">
        <v>1</v>
      </c>
      <c r="L27" s="19">
        <v>4</v>
      </c>
      <c r="M27" s="19">
        <v>36</v>
      </c>
      <c r="N27" s="19" t="s">
        <v>213</v>
      </c>
      <c r="O27" s="19">
        <v>6</v>
      </c>
      <c r="P27" s="20"/>
      <c r="Q27" s="20">
        <v>9</v>
      </c>
      <c r="R27" s="21">
        <v>0.8</v>
      </c>
      <c r="S27" s="21"/>
      <c r="T27" s="20"/>
      <c r="U27" s="22">
        <v>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1</v>
      </c>
      <c r="AE27" s="22">
        <v>5</v>
      </c>
      <c r="AF27" s="22">
        <v>30</v>
      </c>
      <c r="AG27" s="22">
        <v>0</v>
      </c>
      <c r="AH27" s="23" t="s">
        <v>101</v>
      </c>
      <c r="AI27" s="24" t="str">
        <f t="shared" si="0"/>
        <v/>
      </c>
      <c r="AJ27" s="24">
        <f t="shared" si="1"/>
        <v>6</v>
      </c>
      <c r="AK27" s="25">
        <f t="shared" si="2"/>
        <v>5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1.7301038062283738E-3</v>
      </c>
      <c r="AP27" s="25">
        <f t="shared" si="7"/>
        <v>0</v>
      </c>
      <c r="AQ27" s="26">
        <f t="shared" si="8"/>
        <v>0</v>
      </c>
      <c r="AR27" s="26">
        <f t="shared" si="9"/>
        <v>5.8823529411764705E-2</v>
      </c>
      <c r="AS27" s="27">
        <f t="shared" si="10"/>
        <v>-3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5.5</v>
      </c>
    </row>
    <row r="28" spans="1:47" x14ac:dyDescent="0.25">
      <c r="A28" s="15" t="s">
        <v>121</v>
      </c>
      <c r="B28" s="16" t="s">
        <v>408</v>
      </c>
      <c r="C28" s="17">
        <v>7</v>
      </c>
      <c r="D28" s="17" t="s">
        <v>168</v>
      </c>
      <c r="E28" s="18" t="s">
        <v>99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20"/>
      <c r="R28" s="21"/>
      <c r="S28" s="21"/>
      <c r="T28" s="20"/>
      <c r="U28" s="22">
        <v>17</v>
      </c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33"/>
      <c r="AI28" s="24" t="str">
        <f t="shared" si="0"/>
        <v/>
      </c>
      <c r="AJ28" s="24" t="str">
        <f t="shared" si="1"/>
        <v/>
      </c>
      <c r="AK28" s="25" t="str">
        <f t="shared" si="2"/>
        <v/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0</v>
      </c>
      <c r="AP28" s="25">
        <f t="shared" si="7"/>
        <v>0</v>
      </c>
      <c r="AQ28" s="26">
        <f t="shared" si="8"/>
        <v>0</v>
      </c>
      <c r="AR28" s="26">
        <f t="shared" si="9"/>
        <v>0</v>
      </c>
      <c r="AS28" s="27">
        <f t="shared" si="10"/>
        <v>0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0</v>
      </c>
    </row>
    <row r="29" spans="1:47" x14ac:dyDescent="0.25">
      <c r="A29" s="15" t="s">
        <v>121</v>
      </c>
      <c r="B29" s="16" t="s">
        <v>409</v>
      </c>
      <c r="C29" s="17">
        <v>8</v>
      </c>
      <c r="D29" s="17" t="s">
        <v>200</v>
      </c>
      <c r="E29" s="18" t="s">
        <v>99</v>
      </c>
      <c r="F29" s="19"/>
      <c r="G29" s="19"/>
      <c r="H29" s="19"/>
      <c r="I29" s="19"/>
      <c r="J29" s="19">
        <v>38</v>
      </c>
      <c r="K29" s="19">
        <v>27</v>
      </c>
      <c r="L29" s="19">
        <v>9</v>
      </c>
      <c r="M29" s="19">
        <v>44</v>
      </c>
      <c r="N29" s="19" t="s">
        <v>150</v>
      </c>
      <c r="O29" s="19">
        <v>10</v>
      </c>
      <c r="P29" s="20"/>
      <c r="Q29" s="20">
        <v>11.72</v>
      </c>
      <c r="R29" s="21">
        <v>0.63500000000000001</v>
      </c>
      <c r="S29" s="21">
        <v>1</v>
      </c>
      <c r="T29" s="20"/>
      <c r="U29" s="22">
        <v>17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2</v>
      </c>
      <c r="AE29" s="22">
        <v>1</v>
      </c>
      <c r="AF29" s="22">
        <v>11</v>
      </c>
      <c r="AG29" s="22">
        <v>0</v>
      </c>
      <c r="AH29" s="23" t="s">
        <v>101</v>
      </c>
      <c r="AI29" s="24" t="str">
        <f t="shared" si="0"/>
        <v/>
      </c>
      <c r="AJ29" s="24">
        <f t="shared" si="1"/>
        <v>11</v>
      </c>
      <c r="AK29" s="25">
        <f t="shared" si="2"/>
        <v>0.5</v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3.4602076124567475E-3</v>
      </c>
      <c r="AP29" s="25">
        <f t="shared" si="7"/>
        <v>0</v>
      </c>
      <c r="AQ29" s="26">
        <f t="shared" si="8"/>
        <v>0</v>
      </c>
      <c r="AR29" s="26">
        <f t="shared" si="9"/>
        <v>0.11764705882352941</v>
      </c>
      <c r="AS29" s="27">
        <f t="shared" si="10"/>
        <v>-7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1.6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410</v>
      </c>
      <c r="C31" s="17">
        <v>1</v>
      </c>
      <c r="D31" s="17" t="s">
        <v>105</v>
      </c>
      <c r="E31" s="18" t="s">
        <v>99</v>
      </c>
      <c r="F31" s="19">
        <v>1</v>
      </c>
      <c r="G31" s="19"/>
      <c r="H31" s="19"/>
      <c r="I31" s="19"/>
      <c r="J31" s="19">
        <v>120</v>
      </c>
      <c r="K31" s="19">
        <v>83</v>
      </c>
      <c r="L31" s="19">
        <v>49</v>
      </c>
      <c r="M31" s="19">
        <v>489</v>
      </c>
      <c r="N31" s="19" t="s">
        <v>213</v>
      </c>
      <c r="O31" s="19">
        <v>9</v>
      </c>
      <c r="P31" s="20">
        <v>4</v>
      </c>
      <c r="Q31" s="20">
        <v>11.31</v>
      </c>
      <c r="R31" s="21">
        <v>0.73799999999999999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93</v>
      </c>
      <c r="AE31" s="22">
        <v>71</v>
      </c>
      <c r="AF31" s="22">
        <v>801</v>
      </c>
      <c r="AG31" s="22">
        <v>5</v>
      </c>
      <c r="AH31" s="23" t="s">
        <v>101</v>
      </c>
      <c r="AI31" s="24" t="str">
        <f t="shared" si="0"/>
        <v/>
      </c>
      <c r="AJ31" s="24">
        <f t="shared" si="1"/>
        <v>11.28169014084507</v>
      </c>
      <c r="AK31" s="25">
        <f t="shared" si="2"/>
        <v>0.76344086021505375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0.16089965397923875</v>
      </c>
      <c r="AP31" s="25">
        <f t="shared" si="7"/>
        <v>0</v>
      </c>
      <c r="AQ31" s="26">
        <f t="shared" si="8"/>
        <v>0</v>
      </c>
      <c r="AR31" s="26">
        <f t="shared" si="9"/>
        <v>5.4705882352941178</v>
      </c>
      <c r="AS31" s="27">
        <f t="shared" si="10"/>
        <v>44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145.60000000000002</v>
      </c>
    </row>
    <row r="32" spans="1:47" x14ac:dyDescent="0.25">
      <c r="A32" s="15" t="s">
        <v>135</v>
      </c>
      <c r="B32" s="16" t="s">
        <v>411</v>
      </c>
      <c r="C32" s="17">
        <v>2</v>
      </c>
      <c r="D32" s="17" t="s">
        <v>158</v>
      </c>
      <c r="E32" s="18" t="s">
        <v>99</v>
      </c>
      <c r="F32" s="19"/>
      <c r="G32" s="19"/>
      <c r="H32" s="19"/>
      <c r="I32" s="19"/>
      <c r="J32" s="19">
        <v>14</v>
      </c>
      <c r="K32" s="19">
        <v>16</v>
      </c>
      <c r="L32" s="19">
        <v>22</v>
      </c>
      <c r="M32" s="19">
        <v>108</v>
      </c>
      <c r="N32" s="19" t="s">
        <v>213</v>
      </c>
      <c r="O32" s="19">
        <v>11</v>
      </c>
      <c r="P32" s="20"/>
      <c r="Q32" s="20">
        <v>7.47</v>
      </c>
      <c r="R32" s="21">
        <v>0.76900000000000002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24</v>
      </c>
      <c r="AE32" s="22">
        <v>17</v>
      </c>
      <c r="AF32" s="22">
        <v>150</v>
      </c>
      <c r="AG32" s="22">
        <v>2</v>
      </c>
      <c r="AH32" s="23" t="s">
        <v>101</v>
      </c>
      <c r="AI32" s="24" t="str">
        <f t="shared" si="0"/>
        <v/>
      </c>
      <c r="AJ32" s="24">
        <f t="shared" si="1"/>
        <v>8.8235294117647065</v>
      </c>
      <c r="AK32" s="25">
        <f t="shared" si="2"/>
        <v>0.70833333333333337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4.1522491349480967E-2</v>
      </c>
      <c r="AP32" s="25">
        <f t="shared" si="7"/>
        <v>0</v>
      </c>
      <c r="AQ32" s="26">
        <f t="shared" si="8"/>
        <v>0</v>
      </c>
      <c r="AR32" s="26">
        <f t="shared" si="9"/>
        <v>1.411764705882353</v>
      </c>
      <c r="AS32" s="27">
        <f t="shared" si="10"/>
        <v>2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35.5</v>
      </c>
    </row>
    <row r="33" spans="1:47" x14ac:dyDescent="0.25">
      <c r="A33" s="15" t="s">
        <v>135</v>
      </c>
      <c r="B33" s="16" t="s">
        <v>412</v>
      </c>
      <c r="C33" s="17">
        <v>3</v>
      </c>
      <c r="D33" s="17" t="s">
        <v>114</v>
      </c>
      <c r="E33" s="32" t="s">
        <v>226</v>
      </c>
      <c r="F33" s="19">
        <v>1</v>
      </c>
      <c r="G33" s="19">
        <v>1</v>
      </c>
      <c r="H33" s="19">
        <v>1</v>
      </c>
      <c r="I33" s="19">
        <v>2</v>
      </c>
      <c r="J33" s="19">
        <v>87</v>
      </c>
      <c r="K33" s="19">
        <v>72</v>
      </c>
      <c r="L33" s="19">
        <v>10</v>
      </c>
      <c r="M33" s="19">
        <v>101</v>
      </c>
      <c r="N33" s="19" t="s">
        <v>413</v>
      </c>
      <c r="O33" s="19">
        <v>13</v>
      </c>
      <c r="P33" s="20">
        <v>0.67</v>
      </c>
      <c r="Q33" s="20">
        <v>9.84</v>
      </c>
      <c r="R33" s="21">
        <v>0.70399999999999996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6</v>
      </c>
      <c r="AE33" s="22">
        <v>6</v>
      </c>
      <c r="AF33" s="22">
        <v>62</v>
      </c>
      <c r="AG33" s="22">
        <v>0</v>
      </c>
      <c r="AH33" s="23" t="s">
        <v>101</v>
      </c>
      <c r="AI33" s="24" t="str">
        <f t="shared" si="0"/>
        <v/>
      </c>
      <c r="AJ33" s="24">
        <f t="shared" si="1"/>
        <v>10.333333333333334</v>
      </c>
      <c r="AK33" s="25">
        <f t="shared" si="2"/>
        <v>1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1.0380622837370242E-2</v>
      </c>
      <c r="AP33" s="25">
        <f t="shared" si="7"/>
        <v>0</v>
      </c>
      <c r="AQ33" s="26">
        <f t="shared" si="8"/>
        <v>0</v>
      </c>
      <c r="AR33" s="26">
        <f t="shared" si="9"/>
        <v>0.35294117647058826</v>
      </c>
      <c r="AS33" s="27">
        <f t="shared" si="10"/>
        <v>-4</v>
      </c>
      <c r="AT33" s="27">
        <f t="shared" si="11"/>
        <v>-1</v>
      </c>
      <c r="AU33" s="28">
        <f>AF33*Settings!$B$7+AG33*Settings!$B$8+AE33*Settings!$B$9+AB33*Settings!$B$10+AC33*Settings!$B$11+X33*Settings!$B$12+Y33*Settings!$B$13+Z33*Settings!$B$14</f>
        <v>9.1999999999999993</v>
      </c>
    </row>
    <row r="34" spans="1:47" x14ac:dyDescent="0.25">
      <c r="A34" s="15" t="s">
        <v>135</v>
      </c>
      <c r="B34" s="16" t="s">
        <v>414</v>
      </c>
      <c r="C34" s="17">
        <v>4</v>
      </c>
      <c r="D34" s="17" t="s">
        <v>158</v>
      </c>
      <c r="E34" s="18" t="s">
        <v>99</v>
      </c>
      <c r="F34" s="19"/>
      <c r="G34" s="19"/>
      <c r="H34" s="19"/>
      <c r="I34" s="19"/>
      <c r="J34" s="19">
        <v>1</v>
      </c>
      <c r="K34" s="19"/>
      <c r="L34" s="19"/>
      <c r="M34" s="19"/>
      <c r="N34" s="19"/>
      <c r="O34" s="19"/>
      <c r="P34" s="20"/>
      <c r="Q34" s="20">
        <v>22</v>
      </c>
      <c r="R34" s="21">
        <v>1</v>
      </c>
      <c r="S34" s="21"/>
      <c r="T34" s="20"/>
      <c r="U34" s="22">
        <v>17</v>
      </c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33"/>
      <c r="AI34" s="24" t="str">
        <f t="shared" si="0"/>
        <v/>
      </c>
      <c r="AJ34" s="24" t="str">
        <f t="shared" si="1"/>
        <v/>
      </c>
      <c r="AK34" s="25" t="str">
        <f t="shared" si="2"/>
        <v/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0</v>
      </c>
      <c r="AP34" s="25">
        <f t="shared" si="7"/>
        <v>0</v>
      </c>
      <c r="AQ34" s="26">
        <f t="shared" si="8"/>
        <v>0</v>
      </c>
      <c r="AR34" s="26">
        <f t="shared" si="9"/>
        <v>0</v>
      </c>
      <c r="AS34" s="27">
        <f t="shared" si="10"/>
        <v>0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0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569</v>
      </c>
      <c r="W37" s="34">
        <f t="shared" si="12"/>
        <v>388</v>
      </c>
      <c r="X37" s="34">
        <f t="shared" si="12"/>
        <v>4466</v>
      </c>
      <c r="Y37" s="34">
        <f t="shared" si="12"/>
        <v>31</v>
      </c>
      <c r="Z37" s="34">
        <f t="shared" si="12"/>
        <v>11</v>
      </c>
      <c r="AA37" s="34">
        <f t="shared" si="12"/>
        <v>443</v>
      </c>
      <c r="AB37" s="34">
        <f t="shared" si="12"/>
        <v>2034</v>
      </c>
      <c r="AC37" s="34">
        <f t="shared" si="12"/>
        <v>17</v>
      </c>
      <c r="AD37" s="34">
        <f t="shared" si="12"/>
        <v>552</v>
      </c>
      <c r="AE37" s="34">
        <f t="shared" si="12"/>
        <v>409</v>
      </c>
      <c r="AF37" s="34">
        <f t="shared" si="12"/>
        <v>4648</v>
      </c>
      <c r="AG37" s="34">
        <f t="shared" si="12"/>
        <v>33</v>
      </c>
    </row>
    <row r="38" spans="1:47" x14ac:dyDescent="0.25">
      <c r="A38" s="5" t="s">
        <v>142</v>
      </c>
      <c r="V38" s="35">
        <f>$F$5</f>
        <v>606</v>
      </c>
      <c r="X38" s="35">
        <f>$I$5</f>
        <v>4400</v>
      </c>
      <c r="Y38" s="35">
        <f>$J$5</f>
        <v>32</v>
      </c>
      <c r="Z38" s="35">
        <f>$K$5</f>
        <v>11</v>
      </c>
      <c r="AA38" s="35">
        <f>$H$5</f>
        <v>471.79999999999995</v>
      </c>
      <c r="AB38" s="35">
        <f>$L$5</f>
        <v>2139</v>
      </c>
      <c r="AC38" s="35">
        <f>$M$5</f>
        <v>21</v>
      </c>
      <c r="AD38" s="35">
        <f>$G$5</f>
        <v>578</v>
      </c>
      <c r="AF38" s="35">
        <f>$I$5</f>
        <v>4400</v>
      </c>
      <c r="AG38" s="35">
        <f>$J$5</f>
        <v>32</v>
      </c>
    </row>
    <row r="39" spans="1:47" x14ac:dyDescent="0.25">
      <c r="A39" s="5" t="s">
        <v>143</v>
      </c>
      <c r="V39" s="36">
        <f>$F$5-V37</f>
        <v>37</v>
      </c>
      <c r="X39" s="36">
        <f>$I$5-X37</f>
        <v>-66</v>
      </c>
      <c r="Y39" s="36">
        <f>$J$5-Y37</f>
        <v>1</v>
      </c>
      <c r="Z39" s="36">
        <f>$K$5-Z37</f>
        <v>0</v>
      </c>
      <c r="AA39" s="36">
        <f>$H$5-AA37</f>
        <v>28.799999999999955</v>
      </c>
      <c r="AB39" s="36">
        <f>$L$5-AB37</f>
        <v>105</v>
      </c>
      <c r="AC39" s="36">
        <f>$M$5-AC37</f>
        <v>4</v>
      </c>
      <c r="AD39" s="36">
        <f>$G$5-AD37</f>
        <v>26</v>
      </c>
      <c r="AF39" s="36">
        <f>$I$5-AF37</f>
        <v>-248</v>
      </c>
      <c r="AG39" s="36">
        <f>$J$5-AG37</f>
        <v>-1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659" priority="1" stopIfTrue="1">
      <formula>V37&gt;$F$5</formula>
    </cfRule>
    <cfRule type="expression" dxfId="658" priority="2">
      <formula>AND($F$5&gt;0,V37&lt;$F$5*0.97)</formula>
    </cfRule>
    <cfRule type="expression" dxfId="657" priority="3">
      <formula>AND($F$5&gt;0,V37&gt;=$F$5*0.97,V37&lt;=$F$5)</formula>
    </cfRule>
  </conditionalFormatting>
  <conditionalFormatting sqref="X37">
    <cfRule type="expression" dxfId="656" priority="4" stopIfTrue="1">
      <formula>X37&gt;$I$5</formula>
    </cfRule>
    <cfRule type="expression" dxfId="655" priority="5">
      <formula>AND($I$5&gt;0,X37&lt;$I$5*0.97)</formula>
    </cfRule>
    <cfRule type="expression" dxfId="654" priority="6">
      <formula>AND($I$5&gt;0,X37&gt;=$I$5*0.97,X37&lt;=$I$5)</formula>
    </cfRule>
  </conditionalFormatting>
  <conditionalFormatting sqref="Y37">
    <cfRule type="expression" dxfId="653" priority="7" stopIfTrue="1">
      <formula>Y37&gt;$J$5</formula>
    </cfRule>
    <cfRule type="expression" dxfId="652" priority="8">
      <formula>AND($J$5&gt;0,Y37&lt;$J$5*0.97)</formula>
    </cfRule>
    <cfRule type="expression" dxfId="651" priority="9">
      <formula>AND($J$5&gt;0,Y37&gt;=$J$5*0.97,Y37&lt;=$J$5)</formula>
    </cfRule>
  </conditionalFormatting>
  <conditionalFormatting sqref="Z37">
    <cfRule type="expression" dxfId="650" priority="10" stopIfTrue="1">
      <formula>Z37&gt;$K$5</formula>
    </cfRule>
    <cfRule type="expression" dxfId="649" priority="11">
      <formula>AND($K$5&gt;0,Z37&lt;$K$5*0.97)</formula>
    </cfRule>
    <cfRule type="expression" dxfId="648" priority="12">
      <formula>AND($K$5&gt;0,Z37&gt;=$K$5*0.97,Z37&lt;=$K$5)</formula>
    </cfRule>
  </conditionalFormatting>
  <conditionalFormatting sqref="AA37">
    <cfRule type="expression" dxfId="647" priority="13" stopIfTrue="1">
      <formula>AA37&gt;$H$5</formula>
    </cfRule>
    <cfRule type="expression" dxfId="646" priority="14">
      <formula>AND($H$5&gt;0,AA37&lt;$H$5*0.97)</formula>
    </cfRule>
    <cfRule type="expression" dxfId="645" priority="15">
      <formula>AND($H$5&gt;0,AA37&gt;=$H$5*0.97,AA37&lt;=$H$5)</formula>
    </cfRule>
  </conditionalFormatting>
  <conditionalFormatting sqref="AB37">
    <cfRule type="expression" dxfId="644" priority="16" stopIfTrue="1">
      <formula>AB37&gt;$L$5</formula>
    </cfRule>
    <cfRule type="expression" dxfId="643" priority="17">
      <formula>AND($L$5&gt;0,AB37&lt;$L$5*0.97)</formula>
    </cfRule>
    <cfRule type="expression" dxfId="642" priority="18">
      <formula>AND($L$5&gt;0,AB37&gt;=$L$5*0.97,AB37&lt;=$L$5)</formula>
    </cfRule>
  </conditionalFormatting>
  <conditionalFormatting sqref="AC37">
    <cfRule type="expression" dxfId="641" priority="19" stopIfTrue="1">
      <formula>AC37&gt;$M$5</formula>
    </cfRule>
    <cfRule type="expression" dxfId="640" priority="20">
      <formula>AND($M$5&gt;0,AC37&lt;$M$5*0.97)</formula>
    </cfRule>
    <cfRule type="expression" dxfId="639" priority="21">
      <formula>AND($M$5&gt;0,AC37&gt;=$M$5*0.97,AC37&lt;=$M$5)</formula>
    </cfRule>
  </conditionalFormatting>
  <conditionalFormatting sqref="AD37">
    <cfRule type="expression" dxfId="638" priority="22" stopIfTrue="1">
      <formula>AD37&gt;$G$5</formula>
    </cfRule>
    <cfRule type="expression" dxfId="637" priority="23">
      <formula>AND($G$5&gt;0,AD37&lt;$G$5*0.97)</formula>
    </cfRule>
    <cfRule type="expression" dxfId="636" priority="24">
      <formula>AND($G$5&gt;0,AD37&gt;=$G$5*0.97,AD37&lt;=$G$5)</formula>
    </cfRule>
  </conditionalFormatting>
  <conditionalFormatting sqref="AF37">
    <cfRule type="expression" dxfId="635" priority="25" stopIfTrue="1">
      <formula>AF37&gt;$I$5</formula>
    </cfRule>
    <cfRule type="expression" dxfId="634" priority="26">
      <formula>AND($I$5&gt;0,AF37&lt;$I$5*0.97)</formula>
    </cfRule>
    <cfRule type="expression" dxfId="633" priority="27">
      <formula>AND($I$5&gt;0,AF37&gt;=$I$5*0.97,AF37&lt;=$I$5)</formula>
    </cfRule>
  </conditionalFormatting>
  <conditionalFormatting sqref="AG37">
    <cfRule type="expression" dxfId="632" priority="28" stopIfTrue="1">
      <formula>AG37&gt;$J$5</formula>
    </cfRule>
    <cfRule type="expression" dxfId="631" priority="29">
      <formula>AND($J$5&gt;0,AG37&lt;$J$5*0.97)</formula>
    </cfRule>
    <cfRule type="expression" dxfId="630" priority="30">
      <formula>AND($J$5&gt;0,AG37&gt;=$J$5*0.97,AG37&lt;=$J$5)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415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60.9</v>
      </c>
      <c r="D5" s="10">
        <f>C5*B5</f>
        <v>1035.3</v>
      </c>
      <c r="E5" s="11">
        <v>0.53259999999999996</v>
      </c>
      <c r="F5" s="10">
        <f>ROUND(D5*E5,0)</f>
        <v>551</v>
      </c>
      <c r="G5" s="10">
        <f>ROUND(F5*Settings!$B$4,0)</f>
        <v>526</v>
      </c>
      <c r="H5" s="10">
        <f>D5-F5</f>
        <v>484.29999999999995</v>
      </c>
      <c r="I5" s="8">
        <v>3962</v>
      </c>
      <c r="J5" s="9">
        <v>27</v>
      </c>
      <c r="K5" s="9">
        <v>10</v>
      </c>
      <c r="L5" s="8">
        <v>2103</v>
      </c>
      <c r="M5" s="9">
        <v>17</v>
      </c>
    </row>
    <row r="7" spans="1:47" x14ac:dyDescent="0.25">
      <c r="A7" s="5" t="s">
        <v>54</v>
      </c>
      <c r="B7" s="12" t="s">
        <v>416</v>
      </c>
    </row>
    <row r="8" spans="1:47" x14ac:dyDescent="0.25">
      <c r="A8" s="5" t="s">
        <v>56</v>
      </c>
      <c r="B8" s="13" t="s">
        <v>237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417</v>
      </c>
      <c r="C11" s="17">
        <v>1</v>
      </c>
      <c r="D11" s="17" t="s">
        <v>158</v>
      </c>
      <c r="E11" s="18" t="s">
        <v>99</v>
      </c>
      <c r="F11" s="19">
        <v>38</v>
      </c>
      <c r="G11" s="19">
        <v>18</v>
      </c>
      <c r="H11" s="19">
        <v>34</v>
      </c>
      <c r="I11" s="19">
        <v>199</v>
      </c>
      <c r="J11" s="19"/>
      <c r="K11" s="19"/>
      <c r="L11" s="19"/>
      <c r="M11" s="19"/>
      <c r="N11" s="19" t="s">
        <v>418</v>
      </c>
      <c r="O11" s="19">
        <v>15</v>
      </c>
      <c r="P11" s="20">
        <v>5.88</v>
      </c>
      <c r="Q11" s="20"/>
      <c r="R11" s="21"/>
      <c r="S11" s="21">
        <v>0.64500000000000002</v>
      </c>
      <c r="T11" s="20">
        <v>7.57</v>
      </c>
      <c r="U11" s="22">
        <v>17</v>
      </c>
      <c r="V11" s="22">
        <v>505</v>
      </c>
      <c r="W11" s="22">
        <v>329</v>
      </c>
      <c r="X11" s="22">
        <v>3854</v>
      </c>
      <c r="Y11" s="22">
        <v>26</v>
      </c>
      <c r="Z11" s="22">
        <v>10</v>
      </c>
      <c r="AA11" s="22">
        <v>47</v>
      </c>
      <c r="AB11" s="22">
        <v>196</v>
      </c>
      <c r="AC11" s="22">
        <v>1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4.1702127659574471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7.6316831683168314</v>
      </c>
      <c r="AM11" s="25">
        <f t="shared" ref="AM11:AM35" si="4">IFERROR(W11/V11,"")</f>
        <v>0.65148514851485151</v>
      </c>
      <c r="AN11" s="25">
        <f t="shared" ref="AN11:AN35" si="5">IFERROR(AA11/$H$5,"")</f>
        <v>9.7047284740863105E-2</v>
      </c>
      <c r="AO11" s="25">
        <f t="shared" ref="AO11:AO35" si="6">IFERROR(AD11/$G$5,"")</f>
        <v>0</v>
      </c>
      <c r="AP11" s="25">
        <f t="shared" ref="AP11:AP35" si="7">IFERROR(V11/$F$5,"")</f>
        <v>0.91651542649727769</v>
      </c>
      <c r="AQ11" s="26">
        <f t="shared" ref="AQ11:AQ35" si="8">IFERROR(AA11/U11,"")</f>
        <v>2.7647058823529411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13</v>
      </c>
      <c r="AU11" s="28">
        <f>AF11*Settings!$B$7+AG11*Settings!$B$8+AE11*Settings!$B$9+AB11*Settings!$B$10+AC11*Settings!$B$11+X11*Settings!$B$12+Y11*Settings!$B$13+Z11*Settings!$B$14</f>
        <v>263.76</v>
      </c>
    </row>
    <row r="12" spans="1:47" x14ac:dyDescent="0.25">
      <c r="A12" s="15" t="s">
        <v>96</v>
      </c>
      <c r="B12" s="16" t="s">
        <v>419</v>
      </c>
      <c r="C12" s="17">
        <v>2</v>
      </c>
      <c r="D12" s="17" t="s">
        <v>420</v>
      </c>
      <c r="E12" s="18" t="s">
        <v>99</v>
      </c>
      <c r="F12" s="19">
        <v>35</v>
      </c>
      <c r="G12" s="19">
        <v>3</v>
      </c>
      <c r="H12" s="19">
        <v>25</v>
      </c>
      <c r="I12" s="19">
        <v>143</v>
      </c>
      <c r="J12" s="19"/>
      <c r="K12" s="19"/>
      <c r="L12" s="19"/>
      <c r="M12" s="19"/>
      <c r="N12" s="19" t="s">
        <v>358</v>
      </c>
      <c r="O12" s="19">
        <v>6</v>
      </c>
      <c r="P12" s="20">
        <v>5.6</v>
      </c>
      <c r="Q12" s="20"/>
      <c r="R12" s="21"/>
      <c r="S12" s="21">
        <v>0.63400000000000001</v>
      </c>
      <c r="T12" s="20">
        <v>6.66</v>
      </c>
      <c r="U12" s="22">
        <v>17</v>
      </c>
      <c r="V12" s="22">
        <v>35</v>
      </c>
      <c r="W12" s="22">
        <v>21</v>
      </c>
      <c r="X12" s="22">
        <v>229</v>
      </c>
      <c r="Y12" s="22">
        <v>2</v>
      </c>
      <c r="Z12" s="22">
        <v>1</v>
      </c>
      <c r="AA12" s="22">
        <v>3</v>
      </c>
      <c r="AB12" s="22">
        <v>15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5</v>
      </c>
      <c r="AJ12" s="24" t="str">
        <f t="shared" si="1"/>
        <v/>
      </c>
      <c r="AK12" s="25" t="str">
        <f t="shared" si="2"/>
        <v/>
      </c>
      <c r="AL12" s="24">
        <f t="shared" si="3"/>
        <v>6.5428571428571427</v>
      </c>
      <c r="AM12" s="25">
        <f t="shared" si="4"/>
        <v>0.6</v>
      </c>
      <c r="AN12" s="25">
        <f t="shared" si="5"/>
        <v>6.1945075366508368E-3</v>
      </c>
      <c r="AO12" s="25">
        <f t="shared" si="6"/>
        <v>0</v>
      </c>
      <c r="AP12" s="25">
        <f t="shared" si="7"/>
        <v>6.3520871143375679E-2</v>
      </c>
      <c r="AQ12" s="26">
        <f t="shared" si="8"/>
        <v>0.17647058823529413</v>
      </c>
      <c r="AR12" s="26">
        <f t="shared" si="9"/>
        <v>0</v>
      </c>
      <c r="AS12" s="27">
        <f t="shared" si="10"/>
        <v>0</v>
      </c>
      <c r="AT12" s="27">
        <f t="shared" si="11"/>
        <v>-22</v>
      </c>
      <c r="AU12" s="28">
        <f>AF12*Settings!$B$7+AG12*Settings!$B$8+AE12*Settings!$B$9+AB12*Settings!$B$10+AC12*Settings!$B$11+X12*Settings!$B$12+Y12*Settings!$B$13+Z12*Settings!$B$14</f>
        <v>16.66</v>
      </c>
    </row>
    <row r="13" spans="1:47" x14ac:dyDescent="0.25">
      <c r="A13" s="15" t="s">
        <v>96</v>
      </c>
      <c r="B13" s="16" t="s">
        <v>421</v>
      </c>
      <c r="C13" s="17">
        <v>3</v>
      </c>
      <c r="D13" s="17" t="s">
        <v>103</v>
      </c>
      <c r="E13" s="18" t="s">
        <v>99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1"/>
      <c r="S13" s="21"/>
      <c r="T13" s="20"/>
      <c r="U13" s="22">
        <v>17</v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33"/>
      <c r="AI13" s="24" t="str">
        <f t="shared" si="0"/>
        <v/>
      </c>
      <c r="AJ13" s="24" t="str">
        <f t="shared" si="1"/>
        <v/>
      </c>
      <c r="AK13" s="25" t="str">
        <f t="shared" si="2"/>
        <v/>
      </c>
      <c r="AL13" s="24" t="str">
        <f t="shared" si="3"/>
        <v/>
      </c>
      <c r="AM13" s="25" t="str">
        <f t="shared" si="4"/>
        <v/>
      </c>
      <c r="AN13" s="25">
        <f t="shared" si="5"/>
        <v>0</v>
      </c>
      <c r="AO13" s="25">
        <f t="shared" si="6"/>
        <v>0</v>
      </c>
      <c r="AP13" s="25">
        <f t="shared" si="7"/>
        <v>0</v>
      </c>
      <c r="AQ13" s="26">
        <f t="shared" si="8"/>
        <v>0</v>
      </c>
      <c r="AR13" s="26">
        <f t="shared" si="9"/>
        <v>0</v>
      </c>
      <c r="AS13" s="27">
        <f t="shared" si="10"/>
        <v>0</v>
      </c>
      <c r="AT13" s="27">
        <f t="shared" si="11"/>
        <v>0</v>
      </c>
      <c r="AU13" s="28">
        <f>AF13*Settings!$B$7+AG13*Settings!$B$8+AE13*Settings!$B$9+AB13*Settings!$B$10+AC13*Settings!$B$11+X13*Settings!$B$12+Y13*Settings!$B$13+Z13*Settings!$B$14</f>
        <v>0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422</v>
      </c>
      <c r="C15" s="17">
        <v>1</v>
      </c>
      <c r="D15" s="17" t="s">
        <v>130</v>
      </c>
      <c r="E15" s="18" t="s">
        <v>99</v>
      </c>
      <c r="F15" s="19">
        <v>233</v>
      </c>
      <c r="G15" s="19">
        <v>301</v>
      </c>
      <c r="H15" s="19">
        <v>234</v>
      </c>
      <c r="I15" s="19">
        <v>929</v>
      </c>
      <c r="J15" s="19">
        <v>54</v>
      </c>
      <c r="K15" s="19">
        <v>43</v>
      </c>
      <c r="L15" s="19">
        <v>44</v>
      </c>
      <c r="M15" s="19">
        <v>282</v>
      </c>
      <c r="N15" s="19" t="s">
        <v>418</v>
      </c>
      <c r="O15" s="19">
        <v>15</v>
      </c>
      <c r="P15" s="20">
        <v>3.99</v>
      </c>
      <c r="Q15" s="20">
        <v>8.44</v>
      </c>
      <c r="R15" s="21">
        <v>0.77300000000000002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257</v>
      </c>
      <c r="AB15" s="22">
        <v>1051</v>
      </c>
      <c r="AC15" s="22">
        <v>11</v>
      </c>
      <c r="AD15" s="22">
        <v>44</v>
      </c>
      <c r="AE15" s="22">
        <v>35</v>
      </c>
      <c r="AF15" s="22">
        <v>274</v>
      </c>
      <c r="AG15" s="22">
        <v>1</v>
      </c>
      <c r="AH15" s="23" t="s">
        <v>101</v>
      </c>
      <c r="AI15" s="24">
        <f t="shared" si="0"/>
        <v>4.0894941634241242</v>
      </c>
      <c r="AJ15" s="24">
        <f t="shared" si="1"/>
        <v>7.8285714285714283</v>
      </c>
      <c r="AK15" s="25">
        <f t="shared" si="2"/>
        <v>0.79545454545454541</v>
      </c>
      <c r="AL15" s="24" t="str">
        <f t="shared" si="3"/>
        <v/>
      </c>
      <c r="AM15" s="25" t="str">
        <f t="shared" si="4"/>
        <v/>
      </c>
      <c r="AN15" s="25">
        <f t="shared" si="5"/>
        <v>0.53066281230642165</v>
      </c>
      <c r="AO15" s="25">
        <f t="shared" si="6"/>
        <v>8.3650190114068435E-2</v>
      </c>
      <c r="AP15" s="25">
        <f t="shared" si="7"/>
        <v>0</v>
      </c>
      <c r="AQ15" s="26">
        <f t="shared" si="8"/>
        <v>15.117647058823529</v>
      </c>
      <c r="AR15" s="26">
        <f t="shared" si="9"/>
        <v>2.5882352941176472</v>
      </c>
      <c r="AS15" s="27">
        <f t="shared" si="10"/>
        <v>0</v>
      </c>
      <c r="AT15" s="27">
        <f t="shared" si="11"/>
        <v>23</v>
      </c>
      <c r="AU15" s="28">
        <f>AF15*Settings!$B$7+AG15*Settings!$B$8+AE15*Settings!$B$9+AB15*Settings!$B$10+AC15*Settings!$B$11+X15*Settings!$B$12+Y15*Settings!$B$13+Z15*Settings!$B$14</f>
        <v>222</v>
      </c>
    </row>
    <row r="16" spans="1:47" x14ac:dyDescent="0.25">
      <c r="A16" s="15" t="s">
        <v>107</v>
      </c>
      <c r="B16" s="16" t="s">
        <v>423</v>
      </c>
      <c r="C16" s="17">
        <v>2</v>
      </c>
      <c r="D16" s="17" t="s">
        <v>111</v>
      </c>
      <c r="E16" s="32" t="s">
        <v>226</v>
      </c>
      <c r="F16" s="19">
        <v>19</v>
      </c>
      <c r="G16" s="19">
        <v>36</v>
      </c>
      <c r="H16" s="19">
        <v>27</v>
      </c>
      <c r="I16" s="19">
        <v>106</v>
      </c>
      <c r="J16" s="19"/>
      <c r="K16" s="19">
        <v>13</v>
      </c>
      <c r="L16" s="19">
        <v>17</v>
      </c>
      <c r="M16" s="19">
        <v>91</v>
      </c>
      <c r="N16" s="19" t="s">
        <v>418</v>
      </c>
      <c r="O16" s="19">
        <v>17</v>
      </c>
      <c r="P16" s="20">
        <v>4.82</v>
      </c>
      <c r="Q16" s="20">
        <v>6.67</v>
      </c>
      <c r="R16" s="21">
        <v>0.8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42</v>
      </c>
      <c r="AB16" s="22">
        <v>180</v>
      </c>
      <c r="AC16" s="22">
        <v>1</v>
      </c>
      <c r="AD16" s="22">
        <v>18</v>
      </c>
      <c r="AE16" s="22">
        <v>14</v>
      </c>
      <c r="AF16" s="22">
        <v>92</v>
      </c>
      <c r="AG16" s="22">
        <v>0</v>
      </c>
      <c r="AH16" s="23" t="s">
        <v>101</v>
      </c>
      <c r="AI16" s="24">
        <f t="shared" si="0"/>
        <v>4.2857142857142856</v>
      </c>
      <c r="AJ16" s="24">
        <f t="shared" si="1"/>
        <v>6.5714285714285712</v>
      </c>
      <c r="AK16" s="25">
        <f t="shared" si="2"/>
        <v>0.77777777777777779</v>
      </c>
      <c r="AL16" s="24" t="str">
        <f t="shared" si="3"/>
        <v/>
      </c>
      <c r="AM16" s="25" t="str">
        <f t="shared" si="4"/>
        <v/>
      </c>
      <c r="AN16" s="25">
        <f t="shared" si="5"/>
        <v>8.6723105513111715E-2</v>
      </c>
      <c r="AO16" s="25">
        <f t="shared" si="6"/>
        <v>3.4220532319391636E-2</v>
      </c>
      <c r="AP16" s="25">
        <f t="shared" si="7"/>
        <v>0</v>
      </c>
      <c r="AQ16" s="26">
        <f t="shared" si="8"/>
        <v>2.4705882352941178</v>
      </c>
      <c r="AR16" s="26">
        <f t="shared" si="9"/>
        <v>1.0588235294117647</v>
      </c>
      <c r="AS16" s="27">
        <f t="shared" si="10"/>
        <v>1</v>
      </c>
      <c r="AT16" s="27">
        <f t="shared" si="11"/>
        <v>15</v>
      </c>
      <c r="AU16" s="28">
        <f>AF16*Settings!$B$7+AG16*Settings!$B$8+AE16*Settings!$B$9+AB16*Settings!$B$10+AC16*Settings!$B$11+X16*Settings!$B$12+Y16*Settings!$B$13+Z16*Settings!$B$14</f>
        <v>40.200000000000003</v>
      </c>
    </row>
    <row r="17" spans="1:47" x14ac:dyDescent="0.25">
      <c r="A17" s="15" t="s">
        <v>107</v>
      </c>
      <c r="B17" s="16" t="s">
        <v>424</v>
      </c>
      <c r="C17" s="17">
        <v>3</v>
      </c>
      <c r="D17" s="17" t="s">
        <v>105</v>
      </c>
      <c r="E17" s="18" t="s">
        <v>99</v>
      </c>
      <c r="F17" s="19"/>
      <c r="G17" s="19">
        <v>6</v>
      </c>
      <c r="H17" s="19"/>
      <c r="I17" s="19"/>
      <c r="J17" s="19"/>
      <c r="K17" s="19">
        <v>1</v>
      </c>
      <c r="L17" s="19"/>
      <c r="M17" s="19"/>
      <c r="N17" s="19"/>
      <c r="O17" s="19"/>
      <c r="P17" s="20">
        <v>2.5</v>
      </c>
      <c r="Q17" s="20">
        <v>3</v>
      </c>
      <c r="R17" s="21">
        <v>1</v>
      </c>
      <c r="S17" s="21"/>
      <c r="T17" s="20"/>
      <c r="U17" s="22">
        <v>17</v>
      </c>
      <c r="V17" s="22"/>
      <c r="W17" s="22"/>
      <c r="X17" s="22"/>
      <c r="Y17" s="22"/>
      <c r="Z17" s="22"/>
      <c r="AA17" s="22">
        <v>76</v>
      </c>
      <c r="AB17" s="22">
        <v>323</v>
      </c>
      <c r="AC17" s="22">
        <v>2</v>
      </c>
      <c r="AD17" s="22">
        <v>14</v>
      </c>
      <c r="AE17" s="22">
        <v>12</v>
      </c>
      <c r="AF17" s="22">
        <v>84</v>
      </c>
      <c r="AG17" s="22">
        <v>0</v>
      </c>
      <c r="AH17" s="23" t="s">
        <v>101</v>
      </c>
      <c r="AI17" s="24">
        <f t="shared" si="0"/>
        <v>4.25</v>
      </c>
      <c r="AJ17" s="24">
        <f t="shared" si="1"/>
        <v>7</v>
      </c>
      <c r="AK17" s="25">
        <f t="shared" si="2"/>
        <v>0.8571428571428571</v>
      </c>
      <c r="AL17" s="24" t="str">
        <f t="shared" si="3"/>
        <v/>
      </c>
      <c r="AM17" s="25" t="str">
        <f t="shared" si="4"/>
        <v/>
      </c>
      <c r="AN17" s="25">
        <f t="shared" si="5"/>
        <v>0.15692752426182119</v>
      </c>
      <c r="AO17" s="25">
        <f t="shared" si="6"/>
        <v>2.6615969581749048E-2</v>
      </c>
      <c r="AP17" s="25">
        <f t="shared" si="7"/>
        <v>0</v>
      </c>
      <c r="AQ17" s="26">
        <f t="shared" si="8"/>
        <v>4.4705882352941178</v>
      </c>
      <c r="AR17" s="26">
        <f t="shared" si="9"/>
        <v>0.82352941176470584</v>
      </c>
      <c r="AS17" s="27">
        <f t="shared" si="10"/>
        <v>14</v>
      </c>
      <c r="AT17" s="27">
        <f t="shared" si="11"/>
        <v>76</v>
      </c>
      <c r="AU17" s="28">
        <f>AF17*Settings!$B$7+AG17*Settings!$B$8+AE17*Settings!$B$9+AB17*Settings!$B$10+AC17*Settings!$B$11+X17*Settings!$B$12+Y17*Settings!$B$13+Z17*Settings!$B$14</f>
        <v>58.7</v>
      </c>
    </row>
    <row r="18" spans="1:47" x14ac:dyDescent="0.25">
      <c r="A18" s="15" t="s">
        <v>107</v>
      </c>
      <c r="B18" s="16" t="s">
        <v>425</v>
      </c>
      <c r="C18" s="17">
        <v>4</v>
      </c>
      <c r="D18" s="17" t="s">
        <v>158</v>
      </c>
      <c r="E18" s="18" t="s">
        <v>99</v>
      </c>
      <c r="F18" s="19">
        <v>63</v>
      </c>
      <c r="G18" s="19">
        <v>26</v>
      </c>
      <c r="H18" s="19"/>
      <c r="I18" s="19"/>
      <c r="J18" s="19">
        <v>8</v>
      </c>
      <c r="K18" s="19">
        <v>22</v>
      </c>
      <c r="L18" s="19"/>
      <c r="M18" s="19"/>
      <c r="N18" s="19"/>
      <c r="O18" s="19"/>
      <c r="P18" s="20">
        <v>4.4800000000000004</v>
      </c>
      <c r="Q18" s="20">
        <v>7.95</v>
      </c>
      <c r="R18" s="21">
        <v>0.63300000000000001</v>
      </c>
      <c r="S18" s="21"/>
      <c r="T18" s="20"/>
      <c r="U18" s="22">
        <v>17</v>
      </c>
      <c r="V18" s="22"/>
      <c r="W18" s="22"/>
      <c r="X18" s="22"/>
      <c r="Y18" s="22"/>
      <c r="Z18" s="22"/>
      <c r="AA18" s="22">
        <v>19</v>
      </c>
      <c r="AB18" s="22">
        <v>73</v>
      </c>
      <c r="AC18" s="22">
        <v>0</v>
      </c>
      <c r="AD18" s="22">
        <v>2</v>
      </c>
      <c r="AE18" s="22">
        <v>2</v>
      </c>
      <c r="AF18" s="22">
        <v>12</v>
      </c>
      <c r="AG18" s="22">
        <v>0</v>
      </c>
      <c r="AH18" s="23" t="s">
        <v>101</v>
      </c>
      <c r="AI18" s="24">
        <f t="shared" si="0"/>
        <v>3.8421052631578947</v>
      </c>
      <c r="AJ18" s="24">
        <f t="shared" si="1"/>
        <v>6</v>
      </c>
      <c r="AK18" s="25">
        <f t="shared" si="2"/>
        <v>1</v>
      </c>
      <c r="AL18" s="24" t="str">
        <f t="shared" si="3"/>
        <v/>
      </c>
      <c r="AM18" s="25" t="str">
        <f t="shared" si="4"/>
        <v/>
      </c>
      <c r="AN18" s="25">
        <f t="shared" si="5"/>
        <v>3.9231881065455297E-2</v>
      </c>
      <c r="AO18" s="25">
        <f t="shared" si="6"/>
        <v>3.8022813688212928E-3</v>
      </c>
      <c r="AP18" s="25">
        <f t="shared" si="7"/>
        <v>0</v>
      </c>
      <c r="AQ18" s="26">
        <f t="shared" si="8"/>
        <v>1.1176470588235294</v>
      </c>
      <c r="AR18" s="26">
        <f t="shared" si="9"/>
        <v>0.11764705882352941</v>
      </c>
      <c r="AS18" s="27">
        <f t="shared" si="10"/>
        <v>2</v>
      </c>
      <c r="AT18" s="27">
        <f t="shared" si="11"/>
        <v>19</v>
      </c>
      <c r="AU18" s="28">
        <f>AF18*Settings!$B$7+AG18*Settings!$B$8+AE18*Settings!$B$9+AB18*Settings!$B$10+AC18*Settings!$B$11+X18*Settings!$B$12+Y18*Settings!$B$13+Z18*Settings!$B$14</f>
        <v>9.5</v>
      </c>
    </row>
    <row r="19" spans="1:47" x14ac:dyDescent="0.25">
      <c r="A19" s="15" t="s">
        <v>107</v>
      </c>
      <c r="B19" s="16" t="s">
        <v>426</v>
      </c>
      <c r="C19" s="17">
        <v>5</v>
      </c>
      <c r="D19" s="17" t="s">
        <v>128</v>
      </c>
      <c r="E19" s="18" t="s">
        <v>99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1"/>
      <c r="S19" s="21"/>
      <c r="T19" s="20"/>
      <c r="U19" s="22">
        <v>17</v>
      </c>
      <c r="V19" s="22"/>
      <c r="W19" s="22"/>
      <c r="X19" s="22"/>
      <c r="Y19" s="22"/>
      <c r="Z19" s="22"/>
      <c r="AA19" s="22">
        <v>5</v>
      </c>
      <c r="AB19" s="22">
        <v>20</v>
      </c>
      <c r="AC19" s="22">
        <v>0</v>
      </c>
      <c r="AD19" s="22">
        <v>4</v>
      </c>
      <c r="AE19" s="22">
        <v>4</v>
      </c>
      <c r="AF19" s="22">
        <v>28</v>
      </c>
      <c r="AG19" s="22">
        <v>0</v>
      </c>
      <c r="AH19" s="23" t="s">
        <v>101</v>
      </c>
      <c r="AI19" s="24">
        <f t="shared" si="0"/>
        <v>4</v>
      </c>
      <c r="AJ19" s="24">
        <f t="shared" si="1"/>
        <v>7</v>
      </c>
      <c r="AK19" s="25">
        <f t="shared" si="2"/>
        <v>1</v>
      </c>
      <c r="AL19" s="24" t="str">
        <f t="shared" si="3"/>
        <v/>
      </c>
      <c r="AM19" s="25" t="str">
        <f t="shared" si="4"/>
        <v/>
      </c>
      <c r="AN19" s="25">
        <f t="shared" si="5"/>
        <v>1.0324179227751395E-2</v>
      </c>
      <c r="AO19" s="25">
        <f t="shared" si="6"/>
        <v>7.6045627376425855E-3</v>
      </c>
      <c r="AP19" s="25">
        <f t="shared" si="7"/>
        <v>0</v>
      </c>
      <c r="AQ19" s="26">
        <f t="shared" si="8"/>
        <v>0.29411764705882354</v>
      </c>
      <c r="AR19" s="26">
        <f t="shared" si="9"/>
        <v>0.23529411764705882</v>
      </c>
      <c r="AS19" s="27">
        <f t="shared" si="10"/>
        <v>4</v>
      </c>
      <c r="AT19" s="27">
        <f t="shared" si="11"/>
        <v>5</v>
      </c>
      <c r="AU19" s="28">
        <f>AF19*Settings!$B$7+AG19*Settings!$B$8+AE19*Settings!$B$9+AB19*Settings!$B$10+AC19*Settings!$B$11+X19*Settings!$B$12+Y19*Settings!$B$13+Z19*Settings!$B$14</f>
        <v>6.8000000000000007</v>
      </c>
    </row>
    <row r="20" spans="1:47" x14ac:dyDescent="0.25">
      <c r="A20" s="15" t="s">
        <v>107</v>
      </c>
      <c r="B20" s="16" t="s">
        <v>427</v>
      </c>
      <c r="C20" s="17">
        <v>6</v>
      </c>
      <c r="D20" s="17"/>
      <c r="E20" s="18" t="s">
        <v>99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1"/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428</v>
      </c>
      <c r="C22" s="17">
        <v>1</v>
      </c>
      <c r="D22" s="17" t="s">
        <v>158</v>
      </c>
      <c r="E22" s="18" t="s">
        <v>99</v>
      </c>
      <c r="F22" s="19">
        <v>4</v>
      </c>
      <c r="G22" s="19">
        <v>4</v>
      </c>
      <c r="H22" s="19">
        <v>1</v>
      </c>
      <c r="I22" s="19">
        <v>3</v>
      </c>
      <c r="J22" s="19">
        <v>53</v>
      </c>
      <c r="K22" s="19">
        <v>53</v>
      </c>
      <c r="L22" s="19">
        <v>55</v>
      </c>
      <c r="M22" s="19">
        <v>611</v>
      </c>
      <c r="N22" s="19" t="s">
        <v>418</v>
      </c>
      <c r="O22" s="19">
        <v>10</v>
      </c>
      <c r="P22" s="20">
        <v>4.1100000000000003</v>
      </c>
      <c r="Q22" s="20">
        <v>17.97</v>
      </c>
      <c r="R22" s="21">
        <v>0.57099999999999995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3</v>
      </c>
      <c r="AB22" s="22">
        <v>13</v>
      </c>
      <c r="AC22" s="22">
        <v>0</v>
      </c>
      <c r="AD22" s="22">
        <v>97</v>
      </c>
      <c r="AE22" s="22">
        <v>58</v>
      </c>
      <c r="AF22" s="22">
        <v>952</v>
      </c>
      <c r="AG22" s="22">
        <v>8</v>
      </c>
      <c r="AH22" s="23" t="s">
        <v>101</v>
      </c>
      <c r="AI22" s="24">
        <f t="shared" si="0"/>
        <v>4.333333333333333</v>
      </c>
      <c r="AJ22" s="24">
        <f t="shared" si="1"/>
        <v>16.413793103448278</v>
      </c>
      <c r="AK22" s="25">
        <f t="shared" si="2"/>
        <v>0.59793814432989689</v>
      </c>
      <c r="AL22" s="24" t="str">
        <f t="shared" si="3"/>
        <v/>
      </c>
      <c r="AM22" s="25" t="str">
        <f t="shared" si="4"/>
        <v/>
      </c>
      <c r="AN22" s="25">
        <f t="shared" si="5"/>
        <v>6.1945075366508368E-3</v>
      </c>
      <c r="AO22" s="25">
        <f t="shared" si="6"/>
        <v>0.18441064638783269</v>
      </c>
      <c r="AP22" s="25">
        <f t="shared" si="7"/>
        <v>0</v>
      </c>
      <c r="AQ22" s="26">
        <f t="shared" si="8"/>
        <v>0.17647058823529413</v>
      </c>
      <c r="AR22" s="26">
        <f t="shared" si="9"/>
        <v>5.7058823529411766</v>
      </c>
      <c r="AS22" s="27">
        <f t="shared" si="10"/>
        <v>42</v>
      </c>
      <c r="AT22" s="27">
        <f t="shared" si="11"/>
        <v>2</v>
      </c>
      <c r="AU22" s="28">
        <f>AF22*Settings!$B$7+AG22*Settings!$B$8+AE22*Settings!$B$9+AB22*Settings!$B$10+AC22*Settings!$B$11+X22*Settings!$B$12+Y22*Settings!$B$13+Z22*Settings!$B$14</f>
        <v>173.5</v>
      </c>
    </row>
    <row r="23" spans="1:47" x14ac:dyDescent="0.25">
      <c r="A23" s="15" t="s">
        <v>121</v>
      </c>
      <c r="B23" s="16" t="s">
        <v>429</v>
      </c>
      <c r="C23" s="17">
        <v>2</v>
      </c>
      <c r="D23" s="17" t="s">
        <v>111</v>
      </c>
      <c r="E23" s="18" t="s">
        <v>99</v>
      </c>
      <c r="F23" s="19">
        <v>11</v>
      </c>
      <c r="G23" s="19">
        <v>20</v>
      </c>
      <c r="H23" s="19">
        <v>3</v>
      </c>
      <c r="I23" s="19">
        <v>28</v>
      </c>
      <c r="J23" s="19">
        <v>94</v>
      </c>
      <c r="K23" s="19">
        <v>75</v>
      </c>
      <c r="L23" s="19">
        <v>22</v>
      </c>
      <c r="M23" s="19">
        <v>207</v>
      </c>
      <c r="N23" s="19" t="s">
        <v>418</v>
      </c>
      <c r="O23" s="19">
        <v>7</v>
      </c>
      <c r="P23" s="20">
        <v>9.1199999999999992</v>
      </c>
      <c r="Q23" s="20">
        <v>13.46</v>
      </c>
      <c r="R23" s="21">
        <v>0.72299999999999998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11</v>
      </c>
      <c r="AB23" s="22">
        <v>79</v>
      </c>
      <c r="AC23" s="22">
        <v>0</v>
      </c>
      <c r="AD23" s="22">
        <v>84</v>
      </c>
      <c r="AE23" s="22">
        <v>61</v>
      </c>
      <c r="AF23" s="22">
        <v>745</v>
      </c>
      <c r="AG23" s="22">
        <v>5</v>
      </c>
      <c r="AH23" s="23" t="s">
        <v>101</v>
      </c>
      <c r="AI23" s="24">
        <f t="shared" si="0"/>
        <v>7.1818181818181817</v>
      </c>
      <c r="AJ23" s="24">
        <f t="shared" si="1"/>
        <v>12.21311475409836</v>
      </c>
      <c r="AK23" s="25">
        <f t="shared" si="2"/>
        <v>0.72619047619047616</v>
      </c>
      <c r="AL23" s="24" t="str">
        <f t="shared" si="3"/>
        <v/>
      </c>
      <c r="AM23" s="25" t="str">
        <f t="shared" si="4"/>
        <v/>
      </c>
      <c r="AN23" s="25">
        <f t="shared" si="5"/>
        <v>2.2713194301053067E-2</v>
      </c>
      <c r="AO23" s="25">
        <f t="shared" si="6"/>
        <v>0.1596958174904943</v>
      </c>
      <c r="AP23" s="25">
        <f t="shared" si="7"/>
        <v>0</v>
      </c>
      <c r="AQ23" s="26">
        <f t="shared" si="8"/>
        <v>0.6470588235294118</v>
      </c>
      <c r="AR23" s="26">
        <f t="shared" si="9"/>
        <v>4.9411764705882355</v>
      </c>
      <c r="AS23" s="27">
        <f t="shared" si="10"/>
        <v>62</v>
      </c>
      <c r="AT23" s="27">
        <f t="shared" si="11"/>
        <v>8</v>
      </c>
      <c r="AU23" s="28">
        <f>AF23*Settings!$B$7+AG23*Settings!$B$8+AE23*Settings!$B$9+AB23*Settings!$B$10+AC23*Settings!$B$11+X23*Settings!$B$12+Y23*Settings!$B$13+Z23*Settings!$B$14</f>
        <v>142.9</v>
      </c>
    </row>
    <row r="24" spans="1:47" x14ac:dyDescent="0.25">
      <c r="A24" s="15" t="s">
        <v>121</v>
      </c>
      <c r="B24" s="16" t="s">
        <v>430</v>
      </c>
      <c r="C24" s="17">
        <v>3</v>
      </c>
      <c r="D24" s="17" t="s">
        <v>103</v>
      </c>
      <c r="E24" s="18" t="s">
        <v>99</v>
      </c>
      <c r="F24" s="19"/>
      <c r="G24" s="19"/>
      <c r="H24" s="19">
        <v>10</v>
      </c>
      <c r="I24" s="19">
        <v>49</v>
      </c>
      <c r="J24" s="19"/>
      <c r="K24" s="19"/>
      <c r="L24" s="19">
        <v>44</v>
      </c>
      <c r="M24" s="19">
        <v>361</v>
      </c>
      <c r="N24" s="19" t="s">
        <v>418</v>
      </c>
      <c r="O24" s="19">
        <v>14</v>
      </c>
      <c r="P24" s="20">
        <v>4.9000000000000004</v>
      </c>
      <c r="Q24" s="20">
        <v>12.45</v>
      </c>
      <c r="R24" s="21">
        <v>0.65900000000000003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8</v>
      </c>
      <c r="AB24" s="22">
        <v>40</v>
      </c>
      <c r="AC24" s="22">
        <v>0</v>
      </c>
      <c r="AD24" s="22">
        <v>85</v>
      </c>
      <c r="AE24" s="22">
        <v>55</v>
      </c>
      <c r="AF24" s="22">
        <v>717</v>
      </c>
      <c r="AG24" s="22">
        <v>4</v>
      </c>
      <c r="AH24" s="23" t="s">
        <v>101</v>
      </c>
      <c r="AI24" s="24">
        <f t="shared" si="0"/>
        <v>5</v>
      </c>
      <c r="AJ24" s="24">
        <f t="shared" si="1"/>
        <v>13.036363636363637</v>
      </c>
      <c r="AK24" s="25">
        <f t="shared" si="2"/>
        <v>0.6470588235294118</v>
      </c>
      <c r="AL24" s="24" t="str">
        <f t="shared" si="3"/>
        <v/>
      </c>
      <c r="AM24" s="25" t="str">
        <f t="shared" si="4"/>
        <v/>
      </c>
      <c r="AN24" s="25">
        <f t="shared" si="5"/>
        <v>1.651868676440223E-2</v>
      </c>
      <c r="AO24" s="25">
        <f t="shared" si="6"/>
        <v>0.16159695817490494</v>
      </c>
      <c r="AP24" s="25">
        <f t="shared" si="7"/>
        <v>0</v>
      </c>
      <c r="AQ24" s="26">
        <f t="shared" si="8"/>
        <v>0.47058823529411764</v>
      </c>
      <c r="AR24" s="26">
        <f t="shared" si="9"/>
        <v>5</v>
      </c>
      <c r="AS24" s="27">
        <f t="shared" si="10"/>
        <v>41</v>
      </c>
      <c r="AT24" s="27">
        <f t="shared" si="11"/>
        <v>-2</v>
      </c>
      <c r="AU24" s="28">
        <f>AF24*Settings!$B$7+AG24*Settings!$B$8+AE24*Settings!$B$9+AB24*Settings!$B$10+AC24*Settings!$B$11+X24*Settings!$B$12+Y24*Settings!$B$13+Z24*Settings!$B$14</f>
        <v>127.2</v>
      </c>
    </row>
    <row r="25" spans="1:47" x14ac:dyDescent="0.25">
      <c r="A25" s="15" t="s">
        <v>121</v>
      </c>
      <c r="B25" s="16" t="s">
        <v>431</v>
      </c>
      <c r="C25" s="17">
        <v>4</v>
      </c>
      <c r="D25" s="17" t="s">
        <v>118</v>
      </c>
      <c r="E25" s="18" t="s">
        <v>99</v>
      </c>
      <c r="F25" s="19"/>
      <c r="G25" s="19"/>
      <c r="H25" s="19">
        <v>11</v>
      </c>
      <c r="I25" s="19">
        <v>37</v>
      </c>
      <c r="J25" s="19"/>
      <c r="K25" s="19"/>
      <c r="L25" s="19">
        <v>10</v>
      </c>
      <c r="M25" s="19">
        <v>78</v>
      </c>
      <c r="N25" s="19" t="s">
        <v>418</v>
      </c>
      <c r="O25" s="19">
        <v>12</v>
      </c>
      <c r="P25" s="20">
        <v>3.36</v>
      </c>
      <c r="Q25" s="20">
        <v>7.8</v>
      </c>
      <c r="R25" s="21">
        <v>1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10</v>
      </c>
      <c r="AB25" s="22">
        <v>44</v>
      </c>
      <c r="AC25" s="22">
        <v>0</v>
      </c>
      <c r="AD25" s="22">
        <v>27</v>
      </c>
      <c r="AE25" s="22">
        <v>18</v>
      </c>
      <c r="AF25" s="22">
        <v>176</v>
      </c>
      <c r="AG25" s="22">
        <v>1</v>
      </c>
      <c r="AH25" s="23" t="s">
        <v>101</v>
      </c>
      <c r="AI25" s="24">
        <f t="shared" si="0"/>
        <v>4.4000000000000004</v>
      </c>
      <c r="AJ25" s="24">
        <f t="shared" si="1"/>
        <v>9.7777777777777786</v>
      </c>
      <c r="AK25" s="25">
        <f t="shared" si="2"/>
        <v>0.66666666666666663</v>
      </c>
      <c r="AL25" s="24" t="str">
        <f t="shared" si="3"/>
        <v/>
      </c>
      <c r="AM25" s="25" t="str">
        <f t="shared" si="4"/>
        <v/>
      </c>
      <c r="AN25" s="25">
        <f t="shared" si="5"/>
        <v>2.064835845550279E-2</v>
      </c>
      <c r="AO25" s="25">
        <f t="shared" si="6"/>
        <v>5.1330798479087454E-2</v>
      </c>
      <c r="AP25" s="25">
        <f t="shared" si="7"/>
        <v>0</v>
      </c>
      <c r="AQ25" s="26">
        <f t="shared" si="8"/>
        <v>0.58823529411764708</v>
      </c>
      <c r="AR25" s="26">
        <f t="shared" si="9"/>
        <v>1.588235294117647</v>
      </c>
      <c r="AS25" s="27">
        <f t="shared" si="10"/>
        <v>17</v>
      </c>
      <c r="AT25" s="27">
        <f t="shared" si="11"/>
        <v>-1</v>
      </c>
      <c r="AU25" s="28">
        <f>AF25*Settings!$B$7+AG25*Settings!$B$8+AE25*Settings!$B$9+AB25*Settings!$B$10+AC25*Settings!$B$11+X25*Settings!$B$12+Y25*Settings!$B$13+Z25*Settings!$B$14</f>
        <v>37</v>
      </c>
    </row>
    <row r="26" spans="1:47" x14ac:dyDescent="0.25">
      <c r="A26" s="15" t="s">
        <v>121</v>
      </c>
      <c r="B26" s="16" t="s">
        <v>432</v>
      </c>
      <c r="C26" s="17">
        <v>5</v>
      </c>
      <c r="D26" s="17" t="s">
        <v>158</v>
      </c>
      <c r="E26" s="18" t="s">
        <v>99</v>
      </c>
      <c r="F26" s="19">
        <v>3</v>
      </c>
      <c r="G26" s="19">
        <v>8</v>
      </c>
      <c r="H26" s="19">
        <v>5</v>
      </c>
      <c r="I26" s="19">
        <v>35</v>
      </c>
      <c r="J26" s="19">
        <v>24</v>
      </c>
      <c r="K26" s="19">
        <v>17</v>
      </c>
      <c r="L26" s="19">
        <v>13</v>
      </c>
      <c r="M26" s="19">
        <v>107</v>
      </c>
      <c r="N26" s="19" t="s">
        <v>418</v>
      </c>
      <c r="O26" s="19">
        <v>16</v>
      </c>
      <c r="P26" s="20">
        <v>6.88</v>
      </c>
      <c r="Q26" s="20">
        <v>14.86</v>
      </c>
      <c r="R26" s="21">
        <v>0.51900000000000002</v>
      </c>
      <c r="S26" s="21"/>
      <c r="T26" s="20"/>
      <c r="U26" s="22">
        <v>17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2</v>
      </c>
      <c r="AB26" s="22">
        <v>14</v>
      </c>
      <c r="AC26" s="22">
        <v>0</v>
      </c>
      <c r="AD26" s="22">
        <v>9</v>
      </c>
      <c r="AE26" s="22">
        <v>5</v>
      </c>
      <c r="AF26" s="22">
        <v>56</v>
      </c>
      <c r="AG26" s="22">
        <v>0</v>
      </c>
      <c r="AH26" s="23" t="s">
        <v>101</v>
      </c>
      <c r="AI26" s="24">
        <f t="shared" si="0"/>
        <v>7</v>
      </c>
      <c r="AJ26" s="24">
        <f t="shared" si="1"/>
        <v>11.2</v>
      </c>
      <c r="AK26" s="25">
        <f t="shared" si="2"/>
        <v>0.55555555555555558</v>
      </c>
      <c r="AL26" s="24" t="str">
        <f t="shared" si="3"/>
        <v/>
      </c>
      <c r="AM26" s="25" t="str">
        <f t="shared" si="4"/>
        <v/>
      </c>
      <c r="AN26" s="25">
        <f t="shared" si="5"/>
        <v>4.1296716911005575E-3</v>
      </c>
      <c r="AO26" s="25">
        <f t="shared" si="6"/>
        <v>1.7110266159695818E-2</v>
      </c>
      <c r="AP26" s="25">
        <f t="shared" si="7"/>
        <v>0</v>
      </c>
      <c r="AQ26" s="26">
        <f t="shared" si="8"/>
        <v>0.11764705882352941</v>
      </c>
      <c r="AR26" s="26">
        <f t="shared" si="9"/>
        <v>0.52941176470588236</v>
      </c>
      <c r="AS26" s="27">
        <f t="shared" si="10"/>
        <v>-4</v>
      </c>
      <c r="AT26" s="27">
        <f t="shared" si="11"/>
        <v>-3</v>
      </c>
      <c r="AU26" s="28">
        <f>AF26*Settings!$B$7+AG26*Settings!$B$8+AE26*Settings!$B$9+AB26*Settings!$B$10+AC26*Settings!$B$11+X26*Settings!$B$12+Y26*Settings!$B$13+Z26*Settings!$B$14</f>
        <v>9.5000000000000018</v>
      </c>
    </row>
    <row r="27" spans="1:47" x14ac:dyDescent="0.25">
      <c r="A27" s="15" t="s">
        <v>121</v>
      </c>
      <c r="B27" s="16" t="s">
        <v>433</v>
      </c>
      <c r="C27" s="17">
        <v>6</v>
      </c>
      <c r="D27" s="17" t="s">
        <v>105</v>
      </c>
      <c r="E27" s="18" t="s">
        <v>99</v>
      </c>
      <c r="F27" s="19">
        <v>3</v>
      </c>
      <c r="G27" s="19"/>
      <c r="H27" s="19">
        <v>2</v>
      </c>
      <c r="I27" s="19">
        <v>11</v>
      </c>
      <c r="J27" s="19">
        <v>38</v>
      </c>
      <c r="K27" s="19">
        <v>3</v>
      </c>
      <c r="L27" s="19">
        <v>7</v>
      </c>
      <c r="M27" s="19">
        <v>87</v>
      </c>
      <c r="N27" s="19" t="s">
        <v>125</v>
      </c>
      <c r="O27" s="19">
        <v>17</v>
      </c>
      <c r="P27" s="20">
        <v>6.8</v>
      </c>
      <c r="Q27" s="20">
        <v>12.73</v>
      </c>
      <c r="R27" s="21">
        <v>0.54200000000000004</v>
      </c>
      <c r="S27" s="21"/>
      <c r="T27" s="20"/>
      <c r="U27" s="22">
        <v>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1</v>
      </c>
      <c r="AC27" s="22">
        <v>0</v>
      </c>
      <c r="AD27" s="22">
        <v>1</v>
      </c>
      <c r="AE27" s="22">
        <v>1</v>
      </c>
      <c r="AF27" s="22">
        <v>10</v>
      </c>
      <c r="AG27" s="22">
        <v>0</v>
      </c>
      <c r="AH27" s="23" t="s">
        <v>101</v>
      </c>
      <c r="AI27" s="24" t="str">
        <f t="shared" si="0"/>
        <v/>
      </c>
      <c r="AJ27" s="24">
        <f t="shared" si="1"/>
        <v>10</v>
      </c>
      <c r="AK27" s="25">
        <f t="shared" si="2"/>
        <v>1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1.9011406844106464E-3</v>
      </c>
      <c r="AP27" s="25">
        <f t="shared" si="7"/>
        <v>0</v>
      </c>
      <c r="AQ27" s="26">
        <f t="shared" si="8"/>
        <v>0</v>
      </c>
      <c r="AR27" s="26">
        <f t="shared" si="9"/>
        <v>5.8823529411764705E-2</v>
      </c>
      <c r="AS27" s="27">
        <f t="shared" si="10"/>
        <v>-6</v>
      </c>
      <c r="AT27" s="27">
        <f t="shared" si="11"/>
        <v>-2</v>
      </c>
      <c r="AU27" s="28">
        <f>AF27*Settings!$B$7+AG27*Settings!$B$8+AE27*Settings!$B$9+AB27*Settings!$B$10+AC27*Settings!$B$11+X27*Settings!$B$12+Y27*Settings!$B$13+Z27*Settings!$B$14</f>
        <v>1.6</v>
      </c>
    </row>
    <row r="28" spans="1:47" x14ac:dyDescent="0.25">
      <c r="A28" s="15" t="s">
        <v>121</v>
      </c>
      <c r="B28" s="16" t="s">
        <v>434</v>
      </c>
      <c r="C28" s="17">
        <v>7</v>
      </c>
      <c r="D28" s="17" t="s">
        <v>105</v>
      </c>
      <c r="E28" s="18" t="s">
        <v>99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20"/>
      <c r="R28" s="21"/>
      <c r="S28" s="21"/>
      <c r="T28" s="20"/>
      <c r="U28" s="22">
        <v>17</v>
      </c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33"/>
      <c r="AI28" s="24" t="str">
        <f t="shared" si="0"/>
        <v/>
      </c>
      <c r="AJ28" s="24" t="str">
        <f t="shared" si="1"/>
        <v/>
      </c>
      <c r="AK28" s="25" t="str">
        <f t="shared" si="2"/>
        <v/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0</v>
      </c>
      <c r="AP28" s="25">
        <f t="shared" si="7"/>
        <v>0</v>
      </c>
      <c r="AQ28" s="26">
        <f t="shared" si="8"/>
        <v>0</v>
      </c>
      <c r="AR28" s="26">
        <f t="shared" si="9"/>
        <v>0</v>
      </c>
      <c r="AS28" s="27">
        <f t="shared" si="10"/>
        <v>0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0</v>
      </c>
    </row>
    <row r="29" spans="1:47" x14ac:dyDescent="0.25">
      <c r="A29" s="15" t="s">
        <v>121</v>
      </c>
      <c r="B29" s="16" t="s">
        <v>435</v>
      </c>
      <c r="C29" s="17">
        <v>8</v>
      </c>
      <c r="D29" s="17" t="s">
        <v>103</v>
      </c>
      <c r="E29" s="18" t="s">
        <v>99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1"/>
      <c r="S29" s="21"/>
      <c r="T29" s="20"/>
      <c r="U29" s="22">
        <v>17</v>
      </c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33"/>
      <c r="AI29" s="24" t="str">
        <f t="shared" si="0"/>
        <v/>
      </c>
      <c r="AJ29" s="24" t="str">
        <f t="shared" si="1"/>
        <v/>
      </c>
      <c r="AK29" s="25" t="str">
        <f t="shared" si="2"/>
        <v/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0</v>
      </c>
      <c r="AP29" s="25">
        <f t="shared" si="7"/>
        <v>0</v>
      </c>
      <c r="AQ29" s="26">
        <f t="shared" si="8"/>
        <v>0</v>
      </c>
      <c r="AR29" s="26">
        <f t="shared" si="9"/>
        <v>0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0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436</v>
      </c>
      <c r="C31" s="17">
        <v>1</v>
      </c>
      <c r="D31" s="17" t="s">
        <v>105</v>
      </c>
      <c r="E31" s="32" t="s">
        <v>115</v>
      </c>
      <c r="F31" s="19"/>
      <c r="G31" s="19">
        <v>3</v>
      </c>
      <c r="H31" s="19">
        <v>1</v>
      </c>
      <c r="I31" s="19">
        <v>3</v>
      </c>
      <c r="J31" s="19">
        <v>40</v>
      </c>
      <c r="K31" s="19">
        <v>70</v>
      </c>
      <c r="L31" s="19">
        <v>44</v>
      </c>
      <c r="M31" s="19">
        <v>489</v>
      </c>
      <c r="N31" s="19" t="s">
        <v>418</v>
      </c>
      <c r="O31" s="19">
        <v>8</v>
      </c>
      <c r="P31" s="20">
        <v>2.25</v>
      </c>
      <c r="Q31" s="20">
        <v>13.73</v>
      </c>
      <c r="R31" s="21">
        <v>0.73399999999999999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1</v>
      </c>
      <c r="AB31" s="22">
        <v>3</v>
      </c>
      <c r="AC31" s="22">
        <v>0</v>
      </c>
      <c r="AD31" s="22">
        <v>86</v>
      </c>
      <c r="AE31" s="22">
        <v>63</v>
      </c>
      <c r="AF31" s="22">
        <v>796</v>
      </c>
      <c r="AG31" s="22">
        <v>7</v>
      </c>
      <c r="AH31" s="23" t="s">
        <v>101</v>
      </c>
      <c r="AI31" s="24">
        <f t="shared" si="0"/>
        <v>3</v>
      </c>
      <c r="AJ31" s="24">
        <f t="shared" si="1"/>
        <v>12.634920634920634</v>
      </c>
      <c r="AK31" s="25">
        <f t="shared" si="2"/>
        <v>0.73255813953488369</v>
      </c>
      <c r="AL31" s="24" t="str">
        <f t="shared" si="3"/>
        <v/>
      </c>
      <c r="AM31" s="25" t="str">
        <f t="shared" si="4"/>
        <v/>
      </c>
      <c r="AN31" s="25">
        <f t="shared" si="5"/>
        <v>2.0648358455502788E-3</v>
      </c>
      <c r="AO31" s="25">
        <f t="shared" si="6"/>
        <v>0.1634980988593156</v>
      </c>
      <c r="AP31" s="25">
        <f t="shared" si="7"/>
        <v>0</v>
      </c>
      <c r="AQ31" s="26">
        <f t="shared" si="8"/>
        <v>5.8823529411764705E-2</v>
      </c>
      <c r="AR31" s="26">
        <f t="shared" si="9"/>
        <v>5.0588235294117645</v>
      </c>
      <c r="AS31" s="27">
        <f t="shared" si="10"/>
        <v>42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153.40000000000003</v>
      </c>
    </row>
    <row r="32" spans="1:47" x14ac:dyDescent="0.25">
      <c r="A32" s="15" t="s">
        <v>135</v>
      </c>
      <c r="B32" s="16" t="s">
        <v>437</v>
      </c>
      <c r="C32" s="17">
        <v>2</v>
      </c>
      <c r="D32" s="17" t="s">
        <v>105</v>
      </c>
      <c r="E32" s="32" t="s">
        <v>226</v>
      </c>
      <c r="F32" s="19"/>
      <c r="G32" s="19"/>
      <c r="H32" s="19"/>
      <c r="I32" s="19"/>
      <c r="J32" s="19">
        <v>46</v>
      </c>
      <c r="K32" s="19">
        <v>10</v>
      </c>
      <c r="L32" s="19">
        <v>31</v>
      </c>
      <c r="M32" s="19">
        <v>252</v>
      </c>
      <c r="N32" s="19" t="s">
        <v>418</v>
      </c>
      <c r="O32" s="19">
        <v>17</v>
      </c>
      <c r="P32" s="20"/>
      <c r="Q32" s="20">
        <v>9.98</v>
      </c>
      <c r="R32" s="21">
        <v>0.747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25</v>
      </c>
      <c r="AE32" s="22">
        <v>19</v>
      </c>
      <c r="AF32" s="22">
        <v>185</v>
      </c>
      <c r="AG32" s="22">
        <v>1</v>
      </c>
      <c r="AH32" s="23" t="s">
        <v>101</v>
      </c>
      <c r="AI32" s="24" t="str">
        <f t="shared" si="0"/>
        <v/>
      </c>
      <c r="AJ32" s="24">
        <f t="shared" si="1"/>
        <v>9.7368421052631575</v>
      </c>
      <c r="AK32" s="25">
        <f t="shared" si="2"/>
        <v>0.76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4.7528517110266157E-2</v>
      </c>
      <c r="AP32" s="25">
        <f t="shared" si="7"/>
        <v>0</v>
      </c>
      <c r="AQ32" s="26">
        <f t="shared" si="8"/>
        <v>0</v>
      </c>
      <c r="AR32" s="26">
        <f t="shared" si="9"/>
        <v>1.4705882352941178</v>
      </c>
      <c r="AS32" s="27">
        <f t="shared" si="10"/>
        <v>-6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34</v>
      </c>
    </row>
    <row r="33" spans="1:47" x14ac:dyDescent="0.25">
      <c r="A33" s="15" t="s">
        <v>135</v>
      </c>
      <c r="B33" s="16" t="s">
        <v>438</v>
      </c>
      <c r="C33" s="17">
        <v>3</v>
      </c>
      <c r="D33" s="17" t="s">
        <v>118</v>
      </c>
      <c r="E33" s="18" t="s">
        <v>99</v>
      </c>
      <c r="F33" s="19"/>
      <c r="G33" s="19"/>
      <c r="H33" s="19"/>
      <c r="I33" s="19"/>
      <c r="J33" s="19"/>
      <c r="K33" s="19"/>
      <c r="L33" s="19">
        <v>2</v>
      </c>
      <c r="M33" s="19">
        <v>3</v>
      </c>
      <c r="N33" s="19" t="s">
        <v>418</v>
      </c>
      <c r="O33" s="19">
        <v>2</v>
      </c>
      <c r="P33" s="20"/>
      <c r="Q33" s="20">
        <v>3</v>
      </c>
      <c r="R33" s="21">
        <v>0.5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2</v>
      </c>
      <c r="AE33" s="22">
        <v>1</v>
      </c>
      <c r="AF33" s="22">
        <v>3</v>
      </c>
      <c r="AG33" s="22">
        <v>0</v>
      </c>
      <c r="AH33" s="23" t="s">
        <v>101</v>
      </c>
      <c r="AI33" s="24" t="str">
        <f t="shared" si="0"/>
        <v/>
      </c>
      <c r="AJ33" s="24">
        <f t="shared" si="1"/>
        <v>3</v>
      </c>
      <c r="AK33" s="25">
        <f t="shared" si="2"/>
        <v>0.5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3.8022813688212928E-3</v>
      </c>
      <c r="AP33" s="25">
        <f t="shared" si="7"/>
        <v>0</v>
      </c>
      <c r="AQ33" s="26">
        <f t="shared" si="8"/>
        <v>0</v>
      </c>
      <c r="AR33" s="26">
        <f t="shared" si="9"/>
        <v>0.11764705882352941</v>
      </c>
      <c r="AS33" s="27">
        <f t="shared" si="10"/>
        <v>0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0.8</v>
      </c>
    </row>
    <row r="34" spans="1:47" x14ac:dyDescent="0.25">
      <c r="A34" s="15" t="s">
        <v>135</v>
      </c>
      <c r="B34" s="16" t="s">
        <v>439</v>
      </c>
      <c r="C34" s="17">
        <v>4</v>
      </c>
      <c r="D34" s="17" t="s">
        <v>111</v>
      </c>
      <c r="E34" s="18" t="s">
        <v>99</v>
      </c>
      <c r="F34" s="19"/>
      <c r="G34" s="19"/>
      <c r="H34" s="19"/>
      <c r="I34" s="19"/>
      <c r="J34" s="19">
        <v>15</v>
      </c>
      <c r="K34" s="19">
        <v>37</v>
      </c>
      <c r="L34" s="19">
        <v>6</v>
      </c>
      <c r="M34" s="19">
        <v>36</v>
      </c>
      <c r="N34" s="19" t="s">
        <v>418</v>
      </c>
      <c r="O34" s="19">
        <v>8</v>
      </c>
      <c r="P34" s="20"/>
      <c r="Q34" s="20">
        <v>9</v>
      </c>
      <c r="R34" s="21">
        <v>0.72399999999999998</v>
      </c>
      <c r="S34" s="21"/>
      <c r="T34" s="20"/>
      <c r="U34" s="22">
        <v>17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7</v>
      </c>
      <c r="AE34" s="22">
        <v>6</v>
      </c>
      <c r="AF34" s="22">
        <v>56</v>
      </c>
      <c r="AG34" s="22">
        <v>1</v>
      </c>
      <c r="AH34" s="23" t="s">
        <v>101</v>
      </c>
      <c r="AI34" s="24" t="str">
        <f t="shared" si="0"/>
        <v/>
      </c>
      <c r="AJ34" s="24">
        <f t="shared" si="1"/>
        <v>9.3333333333333339</v>
      </c>
      <c r="AK34" s="25">
        <f t="shared" si="2"/>
        <v>0.8571428571428571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1.3307984790874524E-2</v>
      </c>
      <c r="AP34" s="25">
        <f t="shared" si="7"/>
        <v>0</v>
      </c>
      <c r="AQ34" s="26">
        <f t="shared" si="8"/>
        <v>0</v>
      </c>
      <c r="AR34" s="26">
        <f t="shared" si="9"/>
        <v>0.41176470588235292</v>
      </c>
      <c r="AS34" s="27">
        <f t="shared" si="10"/>
        <v>1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14.600000000000001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540</v>
      </c>
      <c r="W37" s="34">
        <f t="shared" si="12"/>
        <v>350</v>
      </c>
      <c r="X37" s="34">
        <f t="shared" si="12"/>
        <v>4083</v>
      </c>
      <c r="Y37" s="34">
        <f t="shared" si="12"/>
        <v>28</v>
      </c>
      <c r="Z37" s="34">
        <f t="shared" si="12"/>
        <v>11</v>
      </c>
      <c r="AA37" s="34">
        <f t="shared" si="12"/>
        <v>484</v>
      </c>
      <c r="AB37" s="34">
        <f t="shared" si="12"/>
        <v>2052</v>
      </c>
      <c r="AC37" s="34">
        <f t="shared" si="12"/>
        <v>15</v>
      </c>
      <c r="AD37" s="34">
        <f t="shared" si="12"/>
        <v>505</v>
      </c>
      <c r="AE37" s="34">
        <f t="shared" si="12"/>
        <v>354</v>
      </c>
      <c r="AF37" s="34">
        <f t="shared" si="12"/>
        <v>4186</v>
      </c>
      <c r="AG37" s="34">
        <f t="shared" si="12"/>
        <v>28</v>
      </c>
    </row>
    <row r="38" spans="1:47" x14ac:dyDescent="0.25">
      <c r="A38" s="5" t="s">
        <v>142</v>
      </c>
      <c r="V38" s="35">
        <f>$F$5</f>
        <v>551</v>
      </c>
      <c r="X38" s="35">
        <f>$I$5</f>
        <v>3962</v>
      </c>
      <c r="Y38" s="35">
        <f>$J$5</f>
        <v>27</v>
      </c>
      <c r="Z38" s="35">
        <f>$K$5</f>
        <v>10</v>
      </c>
      <c r="AA38" s="35">
        <f>$H$5</f>
        <v>484.29999999999995</v>
      </c>
      <c r="AB38" s="35">
        <f>$L$5</f>
        <v>2103</v>
      </c>
      <c r="AC38" s="35">
        <f>$M$5</f>
        <v>17</v>
      </c>
      <c r="AD38" s="35">
        <f>$G$5</f>
        <v>526</v>
      </c>
      <c r="AF38" s="35">
        <f>$I$5</f>
        <v>3962</v>
      </c>
      <c r="AG38" s="35">
        <f>$J$5</f>
        <v>27</v>
      </c>
    </row>
    <row r="39" spans="1:47" x14ac:dyDescent="0.25">
      <c r="A39" s="5" t="s">
        <v>143</v>
      </c>
      <c r="V39" s="36">
        <f>$F$5-V37</f>
        <v>11</v>
      </c>
      <c r="X39" s="36">
        <f>$I$5-X37</f>
        <v>-121</v>
      </c>
      <c r="Y39" s="36">
        <f>$J$5-Y37</f>
        <v>-1</v>
      </c>
      <c r="Z39" s="36">
        <f>$K$5-Z37</f>
        <v>-1</v>
      </c>
      <c r="AA39" s="36">
        <f>$H$5-AA37</f>
        <v>0.29999999999995453</v>
      </c>
      <c r="AB39" s="36">
        <f>$L$5-AB37</f>
        <v>51</v>
      </c>
      <c r="AC39" s="36">
        <f>$M$5-AC37</f>
        <v>2</v>
      </c>
      <c r="AD39" s="36">
        <f>$G$5-AD37</f>
        <v>21</v>
      </c>
      <c r="AF39" s="36">
        <f>$I$5-AF37</f>
        <v>-224</v>
      </c>
      <c r="AG39" s="36">
        <f>$J$5-AG37</f>
        <v>-1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629" priority="1" stopIfTrue="1">
      <formula>V37&gt;$F$5</formula>
    </cfRule>
    <cfRule type="expression" dxfId="628" priority="2">
      <formula>AND($F$5&gt;0,V37&lt;$F$5*0.97)</formula>
    </cfRule>
    <cfRule type="expression" dxfId="627" priority="3">
      <formula>AND($F$5&gt;0,V37&gt;=$F$5*0.97,V37&lt;=$F$5)</formula>
    </cfRule>
  </conditionalFormatting>
  <conditionalFormatting sqref="X37">
    <cfRule type="expression" dxfId="626" priority="4" stopIfTrue="1">
      <formula>X37&gt;$I$5</formula>
    </cfRule>
    <cfRule type="expression" dxfId="625" priority="5">
      <formula>AND($I$5&gt;0,X37&lt;$I$5*0.97)</formula>
    </cfRule>
    <cfRule type="expression" dxfId="624" priority="6">
      <formula>AND($I$5&gt;0,X37&gt;=$I$5*0.97,X37&lt;=$I$5)</formula>
    </cfRule>
  </conditionalFormatting>
  <conditionalFormatting sqref="Y37">
    <cfRule type="expression" dxfId="623" priority="7" stopIfTrue="1">
      <formula>Y37&gt;$J$5</formula>
    </cfRule>
    <cfRule type="expression" dxfId="622" priority="8">
      <formula>AND($J$5&gt;0,Y37&lt;$J$5*0.97)</formula>
    </cfRule>
    <cfRule type="expression" dxfId="621" priority="9">
      <formula>AND($J$5&gt;0,Y37&gt;=$J$5*0.97,Y37&lt;=$J$5)</formula>
    </cfRule>
  </conditionalFormatting>
  <conditionalFormatting sqref="Z37">
    <cfRule type="expression" dxfId="620" priority="10" stopIfTrue="1">
      <formula>Z37&gt;$K$5</formula>
    </cfRule>
    <cfRule type="expression" dxfId="619" priority="11">
      <formula>AND($K$5&gt;0,Z37&lt;$K$5*0.97)</formula>
    </cfRule>
    <cfRule type="expression" dxfId="618" priority="12">
      <formula>AND($K$5&gt;0,Z37&gt;=$K$5*0.97,Z37&lt;=$K$5)</formula>
    </cfRule>
  </conditionalFormatting>
  <conditionalFormatting sqref="AA37">
    <cfRule type="expression" dxfId="617" priority="13" stopIfTrue="1">
      <formula>AA37&gt;$H$5</formula>
    </cfRule>
    <cfRule type="expression" dxfId="616" priority="14">
      <formula>AND($H$5&gt;0,AA37&lt;$H$5*0.97)</formula>
    </cfRule>
    <cfRule type="expression" dxfId="615" priority="15">
      <formula>AND($H$5&gt;0,AA37&gt;=$H$5*0.97,AA37&lt;=$H$5)</formula>
    </cfRule>
  </conditionalFormatting>
  <conditionalFormatting sqref="AB37">
    <cfRule type="expression" dxfId="614" priority="16" stopIfTrue="1">
      <formula>AB37&gt;$L$5</formula>
    </cfRule>
    <cfRule type="expression" dxfId="613" priority="17">
      <formula>AND($L$5&gt;0,AB37&lt;$L$5*0.97)</formula>
    </cfRule>
    <cfRule type="expression" dxfId="612" priority="18">
      <formula>AND($L$5&gt;0,AB37&gt;=$L$5*0.97,AB37&lt;=$L$5)</formula>
    </cfRule>
  </conditionalFormatting>
  <conditionalFormatting sqref="AC37">
    <cfRule type="expression" dxfId="611" priority="19" stopIfTrue="1">
      <formula>AC37&gt;$M$5</formula>
    </cfRule>
    <cfRule type="expression" dxfId="610" priority="20">
      <formula>AND($M$5&gt;0,AC37&lt;$M$5*0.97)</formula>
    </cfRule>
    <cfRule type="expression" dxfId="609" priority="21">
      <formula>AND($M$5&gt;0,AC37&gt;=$M$5*0.97,AC37&lt;=$M$5)</formula>
    </cfRule>
  </conditionalFormatting>
  <conditionalFormatting sqref="AD37">
    <cfRule type="expression" dxfId="608" priority="22" stopIfTrue="1">
      <formula>AD37&gt;$G$5</formula>
    </cfRule>
    <cfRule type="expression" dxfId="607" priority="23">
      <formula>AND($G$5&gt;0,AD37&lt;$G$5*0.97)</formula>
    </cfRule>
    <cfRule type="expression" dxfId="606" priority="24">
      <formula>AND($G$5&gt;0,AD37&gt;=$G$5*0.97,AD37&lt;=$G$5)</formula>
    </cfRule>
  </conditionalFormatting>
  <conditionalFormatting sqref="AF37">
    <cfRule type="expression" dxfId="605" priority="25" stopIfTrue="1">
      <formula>AF37&gt;$I$5</formula>
    </cfRule>
    <cfRule type="expression" dxfId="604" priority="26">
      <formula>AND($I$5&gt;0,AF37&lt;$I$5*0.97)</formula>
    </cfRule>
    <cfRule type="expression" dxfId="603" priority="27">
      <formula>AND($I$5&gt;0,AF37&gt;=$I$5*0.97,AF37&lt;=$I$5)</formula>
    </cfRule>
  </conditionalFormatting>
  <conditionalFormatting sqref="AG37">
    <cfRule type="expression" dxfId="602" priority="28" stopIfTrue="1">
      <formula>AG37&gt;$J$5</formula>
    </cfRule>
    <cfRule type="expression" dxfId="601" priority="29">
      <formula>AND($J$5&gt;0,AG37&lt;$J$5*0.97)</formula>
    </cfRule>
    <cfRule type="expression" dxfId="600" priority="30">
      <formula>AND($J$5&gt;0,AG37&gt;=$J$5*0.97,AG37&lt;=$J$5)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440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62.8</v>
      </c>
      <c r="D5" s="10">
        <f>C5*B5</f>
        <v>1067.5999999999999</v>
      </c>
      <c r="E5" s="11">
        <v>0.57340000000000002</v>
      </c>
      <c r="F5" s="10">
        <f>ROUND(D5*E5,0)</f>
        <v>612</v>
      </c>
      <c r="G5" s="10">
        <f>ROUND(F5*Settings!$B$4,0)</f>
        <v>584</v>
      </c>
      <c r="H5" s="10">
        <f>D5-F5</f>
        <v>455.59999999999991</v>
      </c>
      <c r="I5" s="8">
        <v>4022</v>
      </c>
      <c r="J5" s="9">
        <v>24</v>
      </c>
      <c r="K5" s="9">
        <v>11</v>
      </c>
      <c r="L5" s="8">
        <v>1875</v>
      </c>
      <c r="M5" s="9">
        <v>13</v>
      </c>
    </row>
    <row r="7" spans="1:47" x14ac:dyDescent="0.25">
      <c r="A7" s="5" t="s">
        <v>54</v>
      </c>
      <c r="B7" s="12" t="s">
        <v>441</v>
      </c>
    </row>
    <row r="8" spans="1:47" x14ac:dyDescent="0.25">
      <c r="A8" s="5" t="s">
        <v>56</v>
      </c>
      <c r="B8" s="13" t="s">
        <v>237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442</v>
      </c>
      <c r="C11" s="17">
        <v>1</v>
      </c>
      <c r="D11" s="17" t="s">
        <v>118</v>
      </c>
      <c r="E11" s="18" t="s">
        <v>99</v>
      </c>
      <c r="F11" s="19">
        <v>35</v>
      </c>
      <c r="G11" s="19">
        <v>40</v>
      </c>
      <c r="H11" s="19">
        <v>38</v>
      </c>
      <c r="I11" s="19">
        <v>209</v>
      </c>
      <c r="J11" s="19">
        <v>1</v>
      </c>
      <c r="K11" s="19">
        <v>1</v>
      </c>
      <c r="L11" s="19"/>
      <c r="M11" s="19"/>
      <c r="N11" s="19" t="s">
        <v>443</v>
      </c>
      <c r="O11" s="19">
        <v>14</v>
      </c>
      <c r="P11" s="20">
        <v>5.39</v>
      </c>
      <c r="Q11" s="20"/>
      <c r="R11" s="21">
        <v>0.5</v>
      </c>
      <c r="S11" s="21">
        <v>0.63800000000000001</v>
      </c>
      <c r="T11" s="20">
        <v>7.48</v>
      </c>
      <c r="U11" s="22">
        <v>17</v>
      </c>
      <c r="V11" s="22">
        <v>537</v>
      </c>
      <c r="W11" s="22">
        <v>341</v>
      </c>
      <c r="X11" s="22">
        <v>3807</v>
      </c>
      <c r="Y11" s="22">
        <v>23</v>
      </c>
      <c r="Z11" s="22">
        <v>11</v>
      </c>
      <c r="AA11" s="22">
        <v>54</v>
      </c>
      <c r="AB11" s="22">
        <v>232</v>
      </c>
      <c r="AC11" s="22">
        <v>1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4.2962962962962967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7.0893854748603351</v>
      </c>
      <c r="AM11" s="25">
        <f t="shared" ref="AM11:AM35" si="4">IFERROR(W11/V11,"")</f>
        <v>0.63500931098696467</v>
      </c>
      <c r="AN11" s="25">
        <f t="shared" ref="AN11:AN35" si="5">IFERROR(AA11/$H$5,"")</f>
        <v>0.11852502194907816</v>
      </c>
      <c r="AO11" s="25">
        <f t="shared" ref="AO11:AO35" si="6">IFERROR(AD11/$G$5,"")</f>
        <v>0</v>
      </c>
      <c r="AP11" s="25">
        <f t="shared" ref="AP11:AP35" si="7">IFERROR(V11/$F$5,"")</f>
        <v>0.87745098039215685</v>
      </c>
      <c r="AQ11" s="26">
        <f t="shared" ref="AQ11:AQ35" si="8">IFERROR(AA11/U11,"")</f>
        <v>3.1764705882352939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16</v>
      </c>
      <c r="AU11" s="28">
        <f>AF11*Settings!$B$7+AG11*Settings!$B$8+AE11*Settings!$B$9+AB11*Settings!$B$10+AC11*Settings!$B$11+X11*Settings!$B$12+Y11*Settings!$B$13+Z11*Settings!$B$14</f>
        <v>251.48000000000002</v>
      </c>
    </row>
    <row r="12" spans="1:47" x14ac:dyDescent="0.25">
      <c r="A12" s="15" t="s">
        <v>96</v>
      </c>
      <c r="B12" s="16" t="s">
        <v>444</v>
      </c>
      <c r="C12" s="17">
        <v>2</v>
      </c>
      <c r="D12" s="17" t="s">
        <v>158</v>
      </c>
      <c r="E12" s="18" t="s">
        <v>99</v>
      </c>
      <c r="F12" s="19">
        <v>2</v>
      </c>
      <c r="G12" s="19">
        <v>2</v>
      </c>
      <c r="H12" s="19">
        <v>10</v>
      </c>
      <c r="I12" s="19">
        <v>60</v>
      </c>
      <c r="J12" s="19"/>
      <c r="K12" s="19"/>
      <c r="L12" s="19"/>
      <c r="M12" s="19"/>
      <c r="N12" s="19" t="s">
        <v>443</v>
      </c>
      <c r="O12" s="19">
        <v>6</v>
      </c>
      <c r="P12" s="20">
        <v>5.71</v>
      </c>
      <c r="Q12" s="20"/>
      <c r="R12" s="21"/>
      <c r="S12" s="21">
        <v>0.55100000000000005</v>
      </c>
      <c r="T12" s="20">
        <v>5.56</v>
      </c>
      <c r="U12" s="22">
        <v>17</v>
      </c>
      <c r="V12" s="22">
        <v>36</v>
      </c>
      <c r="W12" s="22">
        <v>22</v>
      </c>
      <c r="X12" s="22">
        <v>232</v>
      </c>
      <c r="Y12" s="22">
        <v>2</v>
      </c>
      <c r="Z12" s="22">
        <v>1</v>
      </c>
      <c r="AA12" s="22">
        <v>3</v>
      </c>
      <c r="AB12" s="22">
        <v>11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3.6666666666666665</v>
      </c>
      <c r="AJ12" s="24" t="str">
        <f t="shared" si="1"/>
        <v/>
      </c>
      <c r="AK12" s="25" t="str">
        <f t="shared" si="2"/>
        <v/>
      </c>
      <c r="AL12" s="24">
        <f t="shared" si="3"/>
        <v>6.4444444444444446</v>
      </c>
      <c r="AM12" s="25">
        <f t="shared" si="4"/>
        <v>0.61111111111111116</v>
      </c>
      <c r="AN12" s="25">
        <f t="shared" si="5"/>
        <v>6.5847234416154532E-3</v>
      </c>
      <c r="AO12" s="25">
        <f t="shared" si="6"/>
        <v>0</v>
      </c>
      <c r="AP12" s="25">
        <f t="shared" si="7"/>
        <v>5.8823529411764705E-2</v>
      </c>
      <c r="AQ12" s="26">
        <f t="shared" si="8"/>
        <v>0.17647058823529413</v>
      </c>
      <c r="AR12" s="26">
        <f t="shared" si="9"/>
        <v>0</v>
      </c>
      <c r="AS12" s="27">
        <f t="shared" si="10"/>
        <v>0</v>
      </c>
      <c r="AT12" s="27">
        <f t="shared" si="11"/>
        <v>-7</v>
      </c>
      <c r="AU12" s="28">
        <f>AF12*Settings!$B$7+AG12*Settings!$B$8+AE12*Settings!$B$9+AB12*Settings!$B$10+AC12*Settings!$B$11+X12*Settings!$B$12+Y12*Settings!$B$13+Z12*Settings!$B$14</f>
        <v>16.38</v>
      </c>
    </row>
    <row r="13" spans="1:47" x14ac:dyDescent="0.25">
      <c r="A13" s="15" t="s">
        <v>96</v>
      </c>
      <c r="B13" s="16" t="s">
        <v>445</v>
      </c>
      <c r="C13" s="17">
        <v>3</v>
      </c>
      <c r="D13" s="17" t="s">
        <v>105</v>
      </c>
      <c r="E13" s="18" t="s">
        <v>99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1"/>
      <c r="S13" s="21"/>
      <c r="T13" s="20"/>
      <c r="U13" s="22">
        <v>17</v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33"/>
      <c r="AI13" s="24" t="str">
        <f t="shared" si="0"/>
        <v/>
      </c>
      <c r="AJ13" s="24" t="str">
        <f t="shared" si="1"/>
        <v/>
      </c>
      <c r="AK13" s="25" t="str">
        <f t="shared" si="2"/>
        <v/>
      </c>
      <c r="AL13" s="24" t="str">
        <f t="shared" si="3"/>
        <v/>
      </c>
      <c r="AM13" s="25" t="str">
        <f t="shared" si="4"/>
        <v/>
      </c>
      <c r="AN13" s="25">
        <f t="shared" si="5"/>
        <v>0</v>
      </c>
      <c r="AO13" s="25">
        <f t="shared" si="6"/>
        <v>0</v>
      </c>
      <c r="AP13" s="25">
        <f t="shared" si="7"/>
        <v>0</v>
      </c>
      <c r="AQ13" s="26">
        <f t="shared" si="8"/>
        <v>0</v>
      </c>
      <c r="AR13" s="26">
        <f t="shared" si="9"/>
        <v>0</v>
      </c>
      <c r="AS13" s="27">
        <f t="shared" si="10"/>
        <v>0</v>
      </c>
      <c r="AT13" s="27">
        <f t="shared" si="11"/>
        <v>0</v>
      </c>
      <c r="AU13" s="28">
        <f>AF13*Settings!$B$7+AG13*Settings!$B$8+AE13*Settings!$B$9+AB13*Settings!$B$10+AC13*Settings!$B$11+X13*Settings!$B$12+Y13*Settings!$B$13+Z13*Settings!$B$14</f>
        <v>0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446</v>
      </c>
      <c r="C15" s="17">
        <v>1</v>
      </c>
      <c r="D15" s="17" t="s">
        <v>168</v>
      </c>
      <c r="E15" s="18" t="s">
        <v>99</v>
      </c>
      <c r="F15" s="19">
        <v>219</v>
      </c>
      <c r="G15" s="19">
        <v>185</v>
      </c>
      <c r="H15" s="19">
        <v>158</v>
      </c>
      <c r="I15" s="19">
        <v>716</v>
      </c>
      <c r="J15" s="19">
        <v>24</v>
      </c>
      <c r="K15" s="19">
        <v>38</v>
      </c>
      <c r="L15" s="19">
        <v>29</v>
      </c>
      <c r="M15" s="19">
        <v>192</v>
      </c>
      <c r="N15" s="19" t="s">
        <v>213</v>
      </c>
      <c r="O15" s="19">
        <v>17</v>
      </c>
      <c r="P15" s="20">
        <v>4.46</v>
      </c>
      <c r="Q15" s="20">
        <v>8.5500000000000007</v>
      </c>
      <c r="R15" s="21">
        <v>0.83499999999999996</v>
      </c>
      <c r="S15" s="21">
        <v>0.66700000000000004</v>
      </c>
      <c r="T15" s="20"/>
      <c r="U15" s="22">
        <v>17</v>
      </c>
      <c r="V15" s="22">
        <v>2</v>
      </c>
      <c r="W15" s="22">
        <v>1</v>
      </c>
      <c r="X15" s="22">
        <v>3</v>
      </c>
      <c r="Y15" s="22">
        <v>1</v>
      </c>
      <c r="Z15" s="22">
        <v>0</v>
      </c>
      <c r="AA15" s="22">
        <v>221</v>
      </c>
      <c r="AB15" s="22">
        <v>928</v>
      </c>
      <c r="AC15" s="22">
        <v>8</v>
      </c>
      <c r="AD15" s="22">
        <v>36</v>
      </c>
      <c r="AE15" s="22">
        <v>31</v>
      </c>
      <c r="AF15" s="22">
        <v>229</v>
      </c>
      <c r="AG15" s="22">
        <v>1</v>
      </c>
      <c r="AH15" s="23" t="s">
        <v>101</v>
      </c>
      <c r="AI15" s="24">
        <f t="shared" si="0"/>
        <v>4.1990950226244346</v>
      </c>
      <c r="AJ15" s="24">
        <f t="shared" si="1"/>
        <v>7.387096774193548</v>
      </c>
      <c r="AK15" s="25">
        <f t="shared" si="2"/>
        <v>0.86111111111111116</v>
      </c>
      <c r="AL15" s="24">
        <f t="shared" si="3"/>
        <v>1.5</v>
      </c>
      <c r="AM15" s="25">
        <f t="shared" si="4"/>
        <v>0.5</v>
      </c>
      <c r="AN15" s="25">
        <f t="shared" si="5"/>
        <v>0.48507462686567177</v>
      </c>
      <c r="AO15" s="25">
        <f t="shared" si="6"/>
        <v>6.1643835616438353E-2</v>
      </c>
      <c r="AP15" s="25">
        <f t="shared" si="7"/>
        <v>3.2679738562091504E-3</v>
      </c>
      <c r="AQ15" s="26">
        <f t="shared" si="8"/>
        <v>13</v>
      </c>
      <c r="AR15" s="26">
        <f t="shared" si="9"/>
        <v>2.1176470588235294</v>
      </c>
      <c r="AS15" s="27">
        <f t="shared" si="10"/>
        <v>7</v>
      </c>
      <c r="AT15" s="27">
        <f t="shared" si="11"/>
        <v>63</v>
      </c>
      <c r="AU15" s="28">
        <f>AF15*Settings!$B$7+AG15*Settings!$B$8+AE15*Settings!$B$9+AB15*Settings!$B$10+AC15*Settings!$B$11+X15*Settings!$B$12+Y15*Settings!$B$13+Z15*Settings!$B$14</f>
        <v>189.32000000000002</v>
      </c>
    </row>
    <row r="16" spans="1:47" x14ac:dyDescent="0.25">
      <c r="A16" s="15" t="s">
        <v>107</v>
      </c>
      <c r="B16" s="16" t="s">
        <v>447</v>
      </c>
      <c r="C16" s="17">
        <v>2</v>
      </c>
      <c r="D16" s="17" t="s">
        <v>105</v>
      </c>
      <c r="E16" s="18" t="s">
        <v>99</v>
      </c>
      <c r="F16" s="19"/>
      <c r="G16" s="19"/>
      <c r="H16" s="19">
        <v>196</v>
      </c>
      <c r="I16" s="19">
        <v>703</v>
      </c>
      <c r="J16" s="19"/>
      <c r="K16" s="19"/>
      <c r="L16" s="19">
        <v>36</v>
      </c>
      <c r="M16" s="19">
        <v>208</v>
      </c>
      <c r="N16" s="19" t="s">
        <v>443</v>
      </c>
      <c r="O16" s="19">
        <v>16</v>
      </c>
      <c r="P16" s="20">
        <v>3.59</v>
      </c>
      <c r="Q16" s="20">
        <v>8.67</v>
      </c>
      <c r="R16" s="21">
        <v>0.66700000000000004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137</v>
      </c>
      <c r="AB16" s="22">
        <v>520</v>
      </c>
      <c r="AC16" s="22">
        <v>3</v>
      </c>
      <c r="AD16" s="22">
        <v>30</v>
      </c>
      <c r="AE16" s="22">
        <v>23</v>
      </c>
      <c r="AF16" s="22">
        <v>185</v>
      </c>
      <c r="AG16" s="22">
        <v>1</v>
      </c>
      <c r="AH16" s="23" t="s">
        <v>101</v>
      </c>
      <c r="AI16" s="24">
        <f t="shared" si="0"/>
        <v>3.7956204379562042</v>
      </c>
      <c r="AJ16" s="24">
        <f t="shared" si="1"/>
        <v>8.0434782608695645</v>
      </c>
      <c r="AK16" s="25">
        <f t="shared" si="2"/>
        <v>0.76666666666666672</v>
      </c>
      <c r="AL16" s="24" t="str">
        <f t="shared" si="3"/>
        <v/>
      </c>
      <c r="AM16" s="25" t="str">
        <f t="shared" si="4"/>
        <v/>
      </c>
      <c r="AN16" s="25">
        <f t="shared" si="5"/>
        <v>0.30070237050043902</v>
      </c>
      <c r="AO16" s="25">
        <f t="shared" si="6"/>
        <v>5.1369863013698627E-2</v>
      </c>
      <c r="AP16" s="25">
        <f t="shared" si="7"/>
        <v>0</v>
      </c>
      <c r="AQ16" s="26">
        <f t="shared" si="8"/>
        <v>8.0588235294117645</v>
      </c>
      <c r="AR16" s="26">
        <f t="shared" si="9"/>
        <v>1.7647058823529411</v>
      </c>
      <c r="AS16" s="27">
        <f t="shared" si="10"/>
        <v>-6</v>
      </c>
      <c r="AT16" s="27">
        <f t="shared" si="11"/>
        <v>-59</v>
      </c>
      <c r="AU16" s="28">
        <f>AF16*Settings!$B$7+AG16*Settings!$B$8+AE16*Settings!$B$9+AB16*Settings!$B$10+AC16*Settings!$B$11+X16*Settings!$B$12+Y16*Settings!$B$13+Z16*Settings!$B$14</f>
        <v>106</v>
      </c>
    </row>
    <row r="17" spans="1:47" x14ac:dyDescent="0.25">
      <c r="A17" s="15" t="s">
        <v>107</v>
      </c>
      <c r="B17" s="16" t="s">
        <v>448</v>
      </c>
      <c r="C17" s="17">
        <v>3</v>
      </c>
      <c r="D17" s="17" t="s">
        <v>111</v>
      </c>
      <c r="E17" s="18" t="s">
        <v>99</v>
      </c>
      <c r="F17" s="19"/>
      <c r="G17" s="19"/>
      <c r="H17" s="19">
        <v>43</v>
      </c>
      <c r="I17" s="19">
        <v>193</v>
      </c>
      <c r="J17" s="19"/>
      <c r="K17" s="19"/>
      <c r="L17" s="19">
        <v>7</v>
      </c>
      <c r="M17" s="19">
        <v>34</v>
      </c>
      <c r="N17" s="19" t="s">
        <v>443</v>
      </c>
      <c r="O17" s="19">
        <v>4</v>
      </c>
      <c r="P17" s="20">
        <v>4.49</v>
      </c>
      <c r="Q17" s="20">
        <v>4.8600000000000003</v>
      </c>
      <c r="R17" s="21">
        <v>1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37</v>
      </c>
      <c r="AB17" s="22">
        <v>148</v>
      </c>
      <c r="AC17" s="22">
        <v>1</v>
      </c>
      <c r="AD17" s="22">
        <v>9</v>
      </c>
      <c r="AE17" s="22">
        <v>7</v>
      </c>
      <c r="AF17" s="22">
        <v>48</v>
      </c>
      <c r="AG17" s="22">
        <v>0</v>
      </c>
      <c r="AH17" s="23" t="s">
        <v>101</v>
      </c>
      <c r="AI17" s="24">
        <f t="shared" si="0"/>
        <v>4</v>
      </c>
      <c r="AJ17" s="24">
        <f t="shared" si="1"/>
        <v>6.8571428571428568</v>
      </c>
      <c r="AK17" s="25">
        <f t="shared" si="2"/>
        <v>0.77777777777777779</v>
      </c>
      <c r="AL17" s="24" t="str">
        <f t="shared" si="3"/>
        <v/>
      </c>
      <c r="AM17" s="25" t="str">
        <f t="shared" si="4"/>
        <v/>
      </c>
      <c r="AN17" s="25">
        <f t="shared" si="5"/>
        <v>8.1211589113257265E-2</v>
      </c>
      <c r="AO17" s="25">
        <f t="shared" si="6"/>
        <v>1.5410958904109588E-2</v>
      </c>
      <c r="AP17" s="25">
        <f t="shared" si="7"/>
        <v>0</v>
      </c>
      <c r="AQ17" s="26">
        <f t="shared" si="8"/>
        <v>2.1764705882352939</v>
      </c>
      <c r="AR17" s="26">
        <f t="shared" si="9"/>
        <v>0.52941176470588236</v>
      </c>
      <c r="AS17" s="27">
        <f t="shared" si="10"/>
        <v>2</v>
      </c>
      <c r="AT17" s="27">
        <f t="shared" si="11"/>
        <v>-6</v>
      </c>
      <c r="AU17" s="28">
        <f>AF17*Settings!$B$7+AG17*Settings!$B$8+AE17*Settings!$B$9+AB17*Settings!$B$10+AC17*Settings!$B$11+X17*Settings!$B$12+Y17*Settings!$B$13+Z17*Settings!$B$14</f>
        <v>29.1</v>
      </c>
    </row>
    <row r="18" spans="1:47" x14ac:dyDescent="0.25">
      <c r="A18" s="15" t="s">
        <v>107</v>
      </c>
      <c r="B18" s="16" t="s">
        <v>449</v>
      </c>
      <c r="C18" s="17">
        <v>4</v>
      </c>
      <c r="D18" s="17" t="s">
        <v>111</v>
      </c>
      <c r="E18" s="32" t="s">
        <v>115</v>
      </c>
      <c r="F18" s="19"/>
      <c r="G18" s="19">
        <v>1</v>
      </c>
      <c r="H18" s="19">
        <v>17</v>
      </c>
      <c r="I18" s="19">
        <v>78</v>
      </c>
      <c r="J18" s="19"/>
      <c r="K18" s="19"/>
      <c r="L18" s="19"/>
      <c r="M18" s="19"/>
      <c r="N18" s="19" t="s">
        <v>443</v>
      </c>
      <c r="O18" s="19">
        <v>15</v>
      </c>
      <c r="P18" s="20">
        <v>4.4400000000000004</v>
      </c>
      <c r="Q18" s="20"/>
      <c r="R18" s="21"/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5</v>
      </c>
      <c r="AB18" s="22">
        <v>19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3" t="s">
        <v>101</v>
      </c>
      <c r="AI18" s="24">
        <f t="shared" si="0"/>
        <v>3.8</v>
      </c>
      <c r="AJ18" s="24" t="str">
        <f t="shared" si="1"/>
        <v/>
      </c>
      <c r="AK18" s="25" t="str">
        <f t="shared" si="2"/>
        <v/>
      </c>
      <c r="AL18" s="24" t="str">
        <f t="shared" si="3"/>
        <v/>
      </c>
      <c r="AM18" s="25" t="str">
        <f t="shared" si="4"/>
        <v/>
      </c>
      <c r="AN18" s="25">
        <f t="shared" si="5"/>
        <v>1.097453906935909E-2</v>
      </c>
      <c r="AO18" s="25">
        <f t="shared" si="6"/>
        <v>0</v>
      </c>
      <c r="AP18" s="25">
        <f t="shared" si="7"/>
        <v>0</v>
      </c>
      <c r="AQ18" s="26">
        <f t="shared" si="8"/>
        <v>0.29411764705882354</v>
      </c>
      <c r="AR18" s="26">
        <f t="shared" si="9"/>
        <v>0</v>
      </c>
      <c r="AS18" s="27">
        <f t="shared" si="10"/>
        <v>0</v>
      </c>
      <c r="AT18" s="27">
        <f t="shared" si="11"/>
        <v>-12</v>
      </c>
      <c r="AU18" s="28">
        <f>AF18*Settings!$B$7+AG18*Settings!$B$8+AE18*Settings!$B$9+AB18*Settings!$B$10+AC18*Settings!$B$11+X18*Settings!$B$12+Y18*Settings!$B$13+Z18*Settings!$B$14</f>
        <v>1.9000000000000001</v>
      </c>
    </row>
    <row r="19" spans="1:47" x14ac:dyDescent="0.25">
      <c r="A19" s="15" t="s">
        <v>107</v>
      </c>
      <c r="B19" s="16" t="s">
        <v>450</v>
      </c>
      <c r="C19" s="17">
        <v>5</v>
      </c>
      <c r="D19" s="17" t="s">
        <v>118</v>
      </c>
      <c r="E19" s="18" t="s">
        <v>99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1"/>
      <c r="S19" s="21"/>
      <c r="T19" s="20"/>
      <c r="U19" s="22">
        <v>17</v>
      </c>
      <c r="V19" s="22"/>
      <c r="W19" s="22"/>
      <c r="X19" s="22"/>
      <c r="Y19" s="22"/>
      <c r="Z19" s="22"/>
      <c r="AA19" s="22">
        <v>1</v>
      </c>
      <c r="AB19" s="22">
        <v>19</v>
      </c>
      <c r="AC19" s="22">
        <v>0</v>
      </c>
      <c r="AD19" s="22">
        <v>1</v>
      </c>
      <c r="AE19" s="22">
        <v>2</v>
      </c>
      <c r="AF19" s="22">
        <v>13</v>
      </c>
      <c r="AG19" s="22">
        <v>0</v>
      </c>
      <c r="AH19" s="23" t="s">
        <v>101</v>
      </c>
      <c r="AI19" s="24">
        <f t="shared" si="0"/>
        <v>19</v>
      </c>
      <c r="AJ19" s="24">
        <f t="shared" si="1"/>
        <v>6.5</v>
      </c>
      <c r="AK19" s="25">
        <f t="shared" si="2"/>
        <v>2</v>
      </c>
      <c r="AL19" s="24" t="str">
        <f t="shared" si="3"/>
        <v/>
      </c>
      <c r="AM19" s="25" t="str">
        <f t="shared" si="4"/>
        <v/>
      </c>
      <c r="AN19" s="25">
        <f t="shared" si="5"/>
        <v>2.1949078138718179E-3</v>
      </c>
      <c r="AO19" s="25">
        <f t="shared" si="6"/>
        <v>1.7123287671232876E-3</v>
      </c>
      <c r="AP19" s="25">
        <f t="shared" si="7"/>
        <v>0</v>
      </c>
      <c r="AQ19" s="26">
        <f t="shared" si="8"/>
        <v>5.8823529411764705E-2</v>
      </c>
      <c r="AR19" s="26">
        <f t="shared" si="9"/>
        <v>5.8823529411764705E-2</v>
      </c>
      <c r="AS19" s="27">
        <f t="shared" si="10"/>
        <v>1</v>
      </c>
      <c r="AT19" s="27">
        <f t="shared" si="11"/>
        <v>1</v>
      </c>
      <c r="AU19" s="28">
        <f>AF19*Settings!$B$7+AG19*Settings!$B$8+AE19*Settings!$B$9+AB19*Settings!$B$10+AC19*Settings!$B$11+X19*Settings!$B$12+Y19*Settings!$B$13+Z19*Settings!$B$14</f>
        <v>4.2</v>
      </c>
    </row>
    <row r="20" spans="1:47" x14ac:dyDescent="0.25">
      <c r="A20" s="15" t="s">
        <v>107</v>
      </c>
      <c r="B20" s="16" t="s">
        <v>451</v>
      </c>
      <c r="C20" s="17">
        <v>6</v>
      </c>
      <c r="D20" s="17"/>
      <c r="E20" s="18" t="s">
        <v>99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1"/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452</v>
      </c>
      <c r="C22" s="17">
        <v>1</v>
      </c>
      <c r="D22" s="17" t="s">
        <v>158</v>
      </c>
      <c r="E22" s="18" t="s">
        <v>99</v>
      </c>
      <c r="F22" s="19">
        <v>1</v>
      </c>
      <c r="G22" s="19"/>
      <c r="H22" s="19">
        <v>2</v>
      </c>
      <c r="I22" s="19">
        <v>15</v>
      </c>
      <c r="J22" s="19">
        <v>109</v>
      </c>
      <c r="K22" s="19">
        <v>99</v>
      </c>
      <c r="L22" s="19">
        <v>120</v>
      </c>
      <c r="M22" s="19">
        <v>1117</v>
      </c>
      <c r="N22" s="19" t="s">
        <v>443</v>
      </c>
      <c r="O22" s="19">
        <v>15</v>
      </c>
      <c r="P22" s="20">
        <v>7.33</v>
      </c>
      <c r="Q22" s="20">
        <v>15.62</v>
      </c>
      <c r="R22" s="21">
        <v>0.66800000000000004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2</v>
      </c>
      <c r="AB22" s="22">
        <v>10</v>
      </c>
      <c r="AC22" s="22">
        <v>0</v>
      </c>
      <c r="AD22" s="22">
        <v>132</v>
      </c>
      <c r="AE22" s="22">
        <v>82</v>
      </c>
      <c r="AF22" s="22">
        <v>1212</v>
      </c>
      <c r="AG22" s="22">
        <v>7</v>
      </c>
      <c r="AH22" s="23" t="s">
        <v>101</v>
      </c>
      <c r="AI22" s="24">
        <f t="shared" si="0"/>
        <v>5</v>
      </c>
      <c r="AJ22" s="24">
        <f t="shared" si="1"/>
        <v>14.780487804878049</v>
      </c>
      <c r="AK22" s="25">
        <f t="shared" si="2"/>
        <v>0.62121212121212122</v>
      </c>
      <c r="AL22" s="24" t="str">
        <f t="shared" si="3"/>
        <v/>
      </c>
      <c r="AM22" s="25" t="str">
        <f t="shared" si="4"/>
        <v/>
      </c>
      <c r="AN22" s="25">
        <f t="shared" si="5"/>
        <v>4.3898156277436358E-3</v>
      </c>
      <c r="AO22" s="25">
        <f t="shared" si="6"/>
        <v>0.22602739726027396</v>
      </c>
      <c r="AP22" s="25">
        <f t="shared" si="7"/>
        <v>0</v>
      </c>
      <c r="AQ22" s="26">
        <f t="shared" si="8"/>
        <v>0.11764705882352941</v>
      </c>
      <c r="AR22" s="26">
        <f t="shared" si="9"/>
        <v>7.7647058823529411</v>
      </c>
      <c r="AS22" s="27">
        <f t="shared" si="10"/>
        <v>12</v>
      </c>
      <c r="AT22" s="27">
        <f t="shared" si="11"/>
        <v>0</v>
      </c>
      <c r="AU22" s="28">
        <f>AF22*Settings!$B$7+AG22*Settings!$B$8+AE22*Settings!$B$9+AB22*Settings!$B$10+AC22*Settings!$B$11+X22*Settings!$B$12+Y22*Settings!$B$13+Z22*Settings!$B$14</f>
        <v>205.2</v>
      </c>
    </row>
    <row r="23" spans="1:47" x14ac:dyDescent="0.25">
      <c r="A23" s="15" t="s">
        <v>121</v>
      </c>
      <c r="B23" s="16" t="s">
        <v>453</v>
      </c>
      <c r="C23" s="17">
        <v>2</v>
      </c>
      <c r="D23" s="17" t="s">
        <v>103</v>
      </c>
      <c r="E23" s="18" t="s">
        <v>99</v>
      </c>
      <c r="F23" s="19"/>
      <c r="G23" s="19"/>
      <c r="H23" s="19"/>
      <c r="I23" s="19"/>
      <c r="J23" s="19"/>
      <c r="K23" s="19"/>
      <c r="L23" s="19">
        <v>68</v>
      </c>
      <c r="M23" s="19">
        <v>525</v>
      </c>
      <c r="N23" s="19" t="s">
        <v>443</v>
      </c>
      <c r="O23" s="19">
        <v>17</v>
      </c>
      <c r="P23" s="20"/>
      <c r="Q23" s="20">
        <v>12.8</v>
      </c>
      <c r="R23" s="21">
        <v>0.60299999999999998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2</v>
      </c>
      <c r="AC23" s="22">
        <v>0</v>
      </c>
      <c r="AD23" s="22">
        <v>88</v>
      </c>
      <c r="AE23" s="22">
        <v>54</v>
      </c>
      <c r="AF23" s="22">
        <v>683</v>
      </c>
      <c r="AG23" s="22">
        <v>5</v>
      </c>
      <c r="AH23" s="23" t="s">
        <v>101</v>
      </c>
      <c r="AI23" s="24" t="str">
        <f t="shared" si="0"/>
        <v/>
      </c>
      <c r="AJ23" s="24">
        <f t="shared" si="1"/>
        <v>12.648148148148149</v>
      </c>
      <c r="AK23" s="25">
        <f t="shared" si="2"/>
        <v>0.61363636363636365</v>
      </c>
      <c r="AL23" s="24" t="str">
        <f t="shared" si="3"/>
        <v/>
      </c>
      <c r="AM23" s="25" t="str">
        <f t="shared" si="4"/>
        <v/>
      </c>
      <c r="AN23" s="25">
        <f t="shared" si="5"/>
        <v>0</v>
      </c>
      <c r="AO23" s="25">
        <f t="shared" si="6"/>
        <v>0.15068493150684931</v>
      </c>
      <c r="AP23" s="25">
        <f t="shared" si="7"/>
        <v>0</v>
      </c>
      <c r="AQ23" s="26">
        <f t="shared" si="8"/>
        <v>0</v>
      </c>
      <c r="AR23" s="26">
        <f t="shared" si="9"/>
        <v>5.1764705882352944</v>
      </c>
      <c r="AS23" s="27">
        <f t="shared" si="10"/>
        <v>20</v>
      </c>
      <c r="AT23" s="27">
        <f t="shared" si="11"/>
        <v>0</v>
      </c>
      <c r="AU23" s="28">
        <f>AF23*Settings!$B$7+AG23*Settings!$B$8+AE23*Settings!$B$9+AB23*Settings!$B$10+AC23*Settings!$B$11+X23*Settings!$B$12+Y23*Settings!$B$13+Z23*Settings!$B$14</f>
        <v>125.5</v>
      </c>
    </row>
    <row r="24" spans="1:47" x14ac:dyDescent="0.25">
      <c r="A24" s="15" t="s">
        <v>121</v>
      </c>
      <c r="B24" s="16" t="s">
        <v>454</v>
      </c>
      <c r="C24" s="17">
        <v>3</v>
      </c>
      <c r="D24" s="17" t="s">
        <v>111</v>
      </c>
      <c r="E24" s="32" t="s">
        <v>115</v>
      </c>
      <c r="F24" s="19">
        <v>11</v>
      </c>
      <c r="G24" s="19">
        <v>9</v>
      </c>
      <c r="H24" s="19"/>
      <c r="I24" s="19"/>
      <c r="J24" s="19">
        <v>75</v>
      </c>
      <c r="K24" s="19">
        <v>81</v>
      </c>
      <c r="L24" s="19"/>
      <c r="M24" s="19"/>
      <c r="N24" s="19"/>
      <c r="O24" s="19"/>
      <c r="P24" s="20">
        <v>4.7</v>
      </c>
      <c r="Q24" s="20">
        <v>14.04</v>
      </c>
      <c r="R24" s="21">
        <v>0.628</v>
      </c>
      <c r="S24" s="21"/>
      <c r="T24" s="20"/>
      <c r="U24" s="22">
        <v>17</v>
      </c>
      <c r="V24" s="22"/>
      <c r="W24" s="22"/>
      <c r="X24" s="22"/>
      <c r="Y24" s="22"/>
      <c r="Z24" s="22"/>
      <c r="AA24" s="22">
        <v>5</v>
      </c>
      <c r="AB24" s="22">
        <v>21</v>
      </c>
      <c r="AC24" s="22">
        <v>0</v>
      </c>
      <c r="AD24" s="22">
        <v>64</v>
      </c>
      <c r="AE24" s="22">
        <v>36</v>
      </c>
      <c r="AF24" s="22">
        <v>457</v>
      </c>
      <c r="AG24" s="22">
        <v>3</v>
      </c>
      <c r="AH24" s="23" t="s">
        <v>101</v>
      </c>
      <c r="AI24" s="24">
        <f t="shared" si="0"/>
        <v>4.2</v>
      </c>
      <c r="AJ24" s="24">
        <f t="shared" si="1"/>
        <v>12.694444444444445</v>
      </c>
      <c r="AK24" s="25">
        <f t="shared" si="2"/>
        <v>0.5625</v>
      </c>
      <c r="AL24" s="24" t="str">
        <f t="shared" si="3"/>
        <v/>
      </c>
      <c r="AM24" s="25" t="str">
        <f t="shared" si="4"/>
        <v/>
      </c>
      <c r="AN24" s="25">
        <f t="shared" si="5"/>
        <v>1.097453906935909E-2</v>
      </c>
      <c r="AO24" s="25">
        <f t="shared" si="6"/>
        <v>0.1095890410958904</v>
      </c>
      <c r="AP24" s="25">
        <f t="shared" si="7"/>
        <v>0</v>
      </c>
      <c r="AQ24" s="26">
        <f t="shared" si="8"/>
        <v>0.29411764705882354</v>
      </c>
      <c r="AR24" s="26">
        <f t="shared" si="9"/>
        <v>3.7647058823529411</v>
      </c>
      <c r="AS24" s="27">
        <f t="shared" si="10"/>
        <v>64</v>
      </c>
      <c r="AT24" s="27">
        <f t="shared" si="11"/>
        <v>5</v>
      </c>
      <c r="AU24" s="28">
        <f>AF24*Settings!$B$7+AG24*Settings!$B$8+AE24*Settings!$B$9+AB24*Settings!$B$10+AC24*Settings!$B$11+X24*Settings!$B$12+Y24*Settings!$B$13+Z24*Settings!$B$14</f>
        <v>83.8</v>
      </c>
    </row>
    <row r="25" spans="1:47" x14ac:dyDescent="0.25">
      <c r="A25" s="15" t="s">
        <v>121</v>
      </c>
      <c r="B25" s="16" t="s">
        <v>455</v>
      </c>
      <c r="C25" s="17">
        <v>4</v>
      </c>
      <c r="D25" s="17" t="s">
        <v>103</v>
      </c>
      <c r="E25" s="32" t="s">
        <v>226</v>
      </c>
      <c r="F25" s="19"/>
      <c r="G25" s="19"/>
      <c r="H25" s="19">
        <v>6</v>
      </c>
      <c r="I25" s="19">
        <v>12</v>
      </c>
      <c r="J25" s="19"/>
      <c r="K25" s="19"/>
      <c r="L25" s="19">
        <v>35</v>
      </c>
      <c r="M25" s="19">
        <v>292</v>
      </c>
      <c r="N25" s="19" t="s">
        <v>443</v>
      </c>
      <c r="O25" s="19">
        <v>17</v>
      </c>
      <c r="P25" s="20">
        <v>2</v>
      </c>
      <c r="Q25" s="20">
        <v>11.23</v>
      </c>
      <c r="R25" s="21">
        <v>0.74299999999999999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3</v>
      </c>
      <c r="AB25" s="22">
        <v>19</v>
      </c>
      <c r="AC25" s="22">
        <v>0</v>
      </c>
      <c r="AD25" s="22">
        <v>41</v>
      </c>
      <c r="AE25" s="22">
        <v>33</v>
      </c>
      <c r="AF25" s="22">
        <v>375</v>
      </c>
      <c r="AG25" s="22">
        <v>2</v>
      </c>
      <c r="AH25" s="23" t="s">
        <v>101</v>
      </c>
      <c r="AI25" s="24">
        <f t="shared" si="0"/>
        <v>6.333333333333333</v>
      </c>
      <c r="AJ25" s="24">
        <f t="shared" si="1"/>
        <v>11.363636363636363</v>
      </c>
      <c r="AK25" s="25">
        <f t="shared" si="2"/>
        <v>0.80487804878048785</v>
      </c>
      <c r="AL25" s="24" t="str">
        <f t="shared" si="3"/>
        <v/>
      </c>
      <c r="AM25" s="25" t="str">
        <f t="shared" si="4"/>
        <v/>
      </c>
      <c r="AN25" s="25">
        <f t="shared" si="5"/>
        <v>6.5847234416154532E-3</v>
      </c>
      <c r="AO25" s="25">
        <f t="shared" si="6"/>
        <v>7.0205479452054798E-2</v>
      </c>
      <c r="AP25" s="25">
        <f t="shared" si="7"/>
        <v>0</v>
      </c>
      <c r="AQ25" s="26">
        <f t="shared" si="8"/>
        <v>0.17647058823529413</v>
      </c>
      <c r="AR25" s="26">
        <f t="shared" si="9"/>
        <v>2.4117647058823528</v>
      </c>
      <c r="AS25" s="27">
        <f t="shared" si="10"/>
        <v>6</v>
      </c>
      <c r="AT25" s="27">
        <f t="shared" si="11"/>
        <v>-3</v>
      </c>
      <c r="AU25" s="28">
        <f>AF25*Settings!$B$7+AG25*Settings!$B$8+AE25*Settings!$B$9+AB25*Settings!$B$10+AC25*Settings!$B$11+X25*Settings!$B$12+Y25*Settings!$B$13+Z25*Settings!$B$14</f>
        <v>67.900000000000006</v>
      </c>
    </row>
    <row r="26" spans="1:47" x14ac:dyDescent="0.25">
      <c r="A26" s="15" t="s">
        <v>121</v>
      </c>
      <c r="B26" s="16" t="s">
        <v>456</v>
      </c>
      <c r="C26" s="17">
        <v>5</v>
      </c>
      <c r="D26" s="17" t="s">
        <v>111</v>
      </c>
      <c r="E26" s="18" t="s">
        <v>99</v>
      </c>
      <c r="F26" s="19">
        <v>5</v>
      </c>
      <c r="G26" s="19"/>
      <c r="H26" s="19">
        <v>3</v>
      </c>
      <c r="I26" s="19">
        <v>22</v>
      </c>
      <c r="J26" s="19">
        <v>19</v>
      </c>
      <c r="K26" s="19">
        <v>26</v>
      </c>
      <c r="L26" s="19">
        <v>57</v>
      </c>
      <c r="M26" s="19">
        <v>428</v>
      </c>
      <c r="N26" s="19" t="s">
        <v>443</v>
      </c>
      <c r="O26" s="19">
        <v>17</v>
      </c>
      <c r="P26" s="20">
        <v>8.8800000000000008</v>
      </c>
      <c r="Q26" s="20">
        <v>11.55</v>
      </c>
      <c r="R26" s="21">
        <v>0.53900000000000003</v>
      </c>
      <c r="S26" s="21"/>
      <c r="T26" s="20"/>
      <c r="U26" s="22">
        <v>17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1</v>
      </c>
      <c r="AB26" s="22">
        <v>7</v>
      </c>
      <c r="AC26" s="22">
        <v>0</v>
      </c>
      <c r="AD26" s="22">
        <v>21</v>
      </c>
      <c r="AE26" s="22">
        <v>13</v>
      </c>
      <c r="AF26" s="22">
        <v>153</v>
      </c>
      <c r="AG26" s="22">
        <v>1</v>
      </c>
      <c r="AH26" s="23" t="s">
        <v>101</v>
      </c>
      <c r="AI26" s="24">
        <f t="shared" si="0"/>
        <v>7</v>
      </c>
      <c r="AJ26" s="24">
        <f t="shared" si="1"/>
        <v>11.76923076923077</v>
      </c>
      <c r="AK26" s="25">
        <f t="shared" si="2"/>
        <v>0.61904761904761907</v>
      </c>
      <c r="AL26" s="24" t="str">
        <f t="shared" si="3"/>
        <v/>
      </c>
      <c r="AM26" s="25" t="str">
        <f t="shared" si="4"/>
        <v/>
      </c>
      <c r="AN26" s="25">
        <f t="shared" si="5"/>
        <v>2.1949078138718179E-3</v>
      </c>
      <c r="AO26" s="25">
        <f t="shared" si="6"/>
        <v>3.5958904109589039E-2</v>
      </c>
      <c r="AP26" s="25">
        <f t="shared" si="7"/>
        <v>0</v>
      </c>
      <c r="AQ26" s="26">
        <f t="shared" si="8"/>
        <v>5.8823529411764705E-2</v>
      </c>
      <c r="AR26" s="26">
        <f t="shared" si="9"/>
        <v>1.2352941176470589</v>
      </c>
      <c r="AS26" s="27">
        <f t="shared" si="10"/>
        <v>-36</v>
      </c>
      <c r="AT26" s="27">
        <f t="shared" si="11"/>
        <v>-2</v>
      </c>
      <c r="AU26" s="28">
        <f>AF26*Settings!$B$7+AG26*Settings!$B$8+AE26*Settings!$B$9+AB26*Settings!$B$10+AC26*Settings!$B$11+X26*Settings!$B$12+Y26*Settings!$B$13+Z26*Settings!$B$14</f>
        <v>28.5</v>
      </c>
    </row>
    <row r="27" spans="1:47" x14ac:dyDescent="0.25">
      <c r="A27" s="15" t="s">
        <v>121</v>
      </c>
      <c r="B27" s="16" t="s">
        <v>457</v>
      </c>
      <c r="C27" s="17">
        <v>6</v>
      </c>
      <c r="D27" s="17" t="s">
        <v>200</v>
      </c>
      <c r="E27" s="18" t="s">
        <v>99</v>
      </c>
      <c r="F27" s="19"/>
      <c r="G27" s="19"/>
      <c r="H27" s="19"/>
      <c r="I27" s="19"/>
      <c r="J27" s="19">
        <v>53</v>
      </c>
      <c r="K27" s="19">
        <v>32</v>
      </c>
      <c r="L27" s="19">
        <v>4</v>
      </c>
      <c r="M27" s="19">
        <v>30</v>
      </c>
      <c r="N27" s="19" t="s">
        <v>443</v>
      </c>
      <c r="O27" s="19">
        <v>3</v>
      </c>
      <c r="P27" s="20"/>
      <c r="Q27" s="20">
        <v>14.98</v>
      </c>
      <c r="R27" s="21">
        <v>0.58399999999999996</v>
      </c>
      <c r="S27" s="21"/>
      <c r="T27" s="20"/>
      <c r="U27" s="22">
        <v>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5</v>
      </c>
      <c r="AE27" s="22">
        <v>4</v>
      </c>
      <c r="AF27" s="22">
        <v>46</v>
      </c>
      <c r="AG27" s="22">
        <v>0</v>
      </c>
      <c r="AH27" s="23" t="s">
        <v>101</v>
      </c>
      <c r="AI27" s="24" t="str">
        <f t="shared" si="0"/>
        <v/>
      </c>
      <c r="AJ27" s="24">
        <f t="shared" si="1"/>
        <v>11.5</v>
      </c>
      <c r="AK27" s="25">
        <f t="shared" si="2"/>
        <v>0.8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8.5616438356164379E-3</v>
      </c>
      <c r="AP27" s="25">
        <f t="shared" si="7"/>
        <v>0</v>
      </c>
      <c r="AQ27" s="26">
        <f t="shared" si="8"/>
        <v>0</v>
      </c>
      <c r="AR27" s="26">
        <f t="shared" si="9"/>
        <v>0.29411764705882354</v>
      </c>
      <c r="AS27" s="27">
        <f t="shared" si="10"/>
        <v>1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6.6000000000000005</v>
      </c>
    </row>
    <row r="28" spans="1:47" x14ac:dyDescent="0.25">
      <c r="A28" s="15" t="s">
        <v>121</v>
      </c>
      <c r="B28" s="16" t="s">
        <v>458</v>
      </c>
      <c r="C28" s="17">
        <v>7</v>
      </c>
      <c r="D28" s="17" t="s">
        <v>105</v>
      </c>
      <c r="E28" s="18" t="s">
        <v>99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20"/>
      <c r="R28" s="21"/>
      <c r="S28" s="21"/>
      <c r="T28" s="20"/>
      <c r="U28" s="22">
        <v>17</v>
      </c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33"/>
      <c r="AI28" s="24" t="str">
        <f t="shared" si="0"/>
        <v/>
      </c>
      <c r="AJ28" s="24" t="str">
        <f t="shared" si="1"/>
        <v/>
      </c>
      <c r="AK28" s="25" t="str">
        <f t="shared" si="2"/>
        <v/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0</v>
      </c>
      <c r="AP28" s="25">
        <f t="shared" si="7"/>
        <v>0</v>
      </c>
      <c r="AQ28" s="26">
        <f t="shared" si="8"/>
        <v>0</v>
      </c>
      <c r="AR28" s="26">
        <f t="shared" si="9"/>
        <v>0</v>
      </c>
      <c r="AS28" s="27">
        <f t="shared" si="10"/>
        <v>0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0</v>
      </c>
    </row>
    <row r="29" spans="1:47" x14ac:dyDescent="0.25">
      <c r="A29" s="15" t="s">
        <v>121</v>
      </c>
      <c r="B29" s="16" t="s">
        <v>459</v>
      </c>
      <c r="C29" s="17">
        <v>8</v>
      </c>
      <c r="D29" s="17" t="s">
        <v>158</v>
      </c>
      <c r="E29" s="18" t="s">
        <v>99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1"/>
      <c r="S29" s="21"/>
      <c r="T29" s="20"/>
      <c r="U29" s="22">
        <v>17</v>
      </c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33"/>
      <c r="AI29" s="24" t="str">
        <f t="shared" si="0"/>
        <v/>
      </c>
      <c r="AJ29" s="24" t="str">
        <f t="shared" si="1"/>
        <v/>
      </c>
      <c r="AK29" s="25" t="str">
        <f t="shared" si="2"/>
        <v/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0</v>
      </c>
      <c r="AP29" s="25">
        <f t="shared" si="7"/>
        <v>0</v>
      </c>
      <c r="AQ29" s="26">
        <f t="shared" si="8"/>
        <v>0</v>
      </c>
      <c r="AR29" s="26">
        <f t="shared" si="9"/>
        <v>0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0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460</v>
      </c>
      <c r="C31" s="17">
        <v>1</v>
      </c>
      <c r="D31" s="17" t="s">
        <v>200</v>
      </c>
      <c r="E31" s="18" t="s">
        <v>99</v>
      </c>
      <c r="F31" s="19"/>
      <c r="G31" s="19"/>
      <c r="H31" s="19"/>
      <c r="I31" s="19"/>
      <c r="J31" s="19">
        <v>88</v>
      </c>
      <c r="K31" s="19">
        <v>85</v>
      </c>
      <c r="L31" s="19">
        <v>106</v>
      </c>
      <c r="M31" s="19">
        <v>777</v>
      </c>
      <c r="N31" s="19" t="s">
        <v>443</v>
      </c>
      <c r="O31" s="19">
        <v>17</v>
      </c>
      <c r="P31" s="20"/>
      <c r="Q31" s="20">
        <v>10.02</v>
      </c>
      <c r="R31" s="21">
        <v>0.69499999999999995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84</v>
      </c>
      <c r="AE31" s="22">
        <v>61</v>
      </c>
      <c r="AF31" s="22">
        <v>587</v>
      </c>
      <c r="AG31" s="22">
        <v>3</v>
      </c>
      <c r="AH31" s="23" t="s">
        <v>101</v>
      </c>
      <c r="AI31" s="24" t="str">
        <f t="shared" si="0"/>
        <v/>
      </c>
      <c r="AJ31" s="24">
        <f t="shared" si="1"/>
        <v>9.6229508196721305</v>
      </c>
      <c r="AK31" s="25">
        <f t="shared" si="2"/>
        <v>0.72619047619047616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0.14383561643835616</v>
      </c>
      <c r="AP31" s="25">
        <f t="shared" si="7"/>
        <v>0</v>
      </c>
      <c r="AQ31" s="26">
        <f t="shared" si="8"/>
        <v>0</v>
      </c>
      <c r="AR31" s="26">
        <f t="shared" si="9"/>
        <v>4.9411764705882355</v>
      </c>
      <c r="AS31" s="27">
        <f t="shared" si="10"/>
        <v>-22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107.2</v>
      </c>
    </row>
    <row r="32" spans="1:47" x14ac:dyDescent="0.25">
      <c r="A32" s="15" t="s">
        <v>135</v>
      </c>
      <c r="B32" s="16" t="s">
        <v>461</v>
      </c>
      <c r="C32" s="17">
        <v>2</v>
      </c>
      <c r="D32" s="17" t="s">
        <v>103</v>
      </c>
      <c r="E32" s="18" t="s">
        <v>99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20"/>
      <c r="R32" s="21"/>
      <c r="S32" s="21"/>
      <c r="T32" s="20"/>
      <c r="U32" s="22">
        <v>17</v>
      </c>
      <c r="V32" s="22"/>
      <c r="W32" s="22"/>
      <c r="X32" s="22"/>
      <c r="Y32" s="22"/>
      <c r="Z32" s="22"/>
      <c r="AA32" s="22">
        <v>0</v>
      </c>
      <c r="AB32" s="22">
        <v>0</v>
      </c>
      <c r="AC32" s="22">
        <v>0</v>
      </c>
      <c r="AD32" s="22">
        <v>21</v>
      </c>
      <c r="AE32" s="22">
        <v>15</v>
      </c>
      <c r="AF32" s="22">
        <v>149</v>
      </c>
      <c r="AG32" s="22">
        <v>1</v>
      </c>
      <c r="AH32" s="23" t="s">
        <v>101</v>
      </c>
      <c r="AI32" s="24" t="str">
        <f t="shared" si="0"/>
        <v/>
      </c>
      <c r="AJ32" s="24">
        <f t="shared" si="1"/>
        <v>9.9333333333333336</v>
      </c>
      <c r="AK32" s="25">
        <f t="shared" si="2"/>
        <v>0.7142857142857143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3.5958904109589039E-2</v>
      </c>
      <c r="AP32" s="25">
        <f t="shared" si="7"/>
        <v>0</v>
      </c>
      <c r="AQ32" s="26">
        <f t="shared" si="8"/>
        <v>0</v>
      </c>
      <c r="AR32" s="26">
        <f t="shared" si="9"/>
        <v>1.2352941176470589</v>
      </c>
      <c r="AS32" s="27">
        <f t="shared" si="10"/>
        <v>21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28.4</v>
      </c>
    </row>
    <row r="33" spans="1:47" x14ac:dyDescent="0.25">
      <c r="A33" s="15" t="s">
        <v>135</v>
      </c>
      <c r="B33" s="16" t="s">
        <v>462</v>
      </c>
      <c r="C33" s="17">
        <v>3</v>
      </c>
      <c r="D33" s="17" t="s">
        <v>111</v>
      </c>
      <c r="E33" s="18" t="s">
        <v>99</v>
      </c>
      <c r="F33" s="19"/>
      <c r="G33" s="19"/>
      <c r="H33" s="19">
        <v>4</v>
      </c>
      <c r="I33" s="19">
        <v>3</v>
      </c>
      <c r="J33" s="19"/>
      <c r="K33" s="19">
        <v>22</v>
      </c>
      <c r="L33" s="19">
        <v>16</v>
      </c>
      <c r="M33" s="19">
        <v>76</v>
      </c>
      <c r="N33" s="19" t="s">
        <v>443</v>
      </c>
      <c r="O33" s="19">
        <v>9</v>
      </c>
      <c r="P33" s="20">
        <v>0.75</v>
      </c>
      <c r="Q33" s="20">
        <v>7.74</v>
      </c>
      <c r="R33" s="21">
        <v>0.71099999999999997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2</v>
      </c>
      <c r="AB33" s="22">
        <v>6</v>
      </c>
      <c r="AC33" s="22">
        <v>0</v>
      </c>
      <c r="AD33" s="22">
        <v>21</v>
      </c>
      <c r="AE33" s="22">
        <v>15</v>
      </c>
      <c r="AF33" s="22">
        <v>125</v>
      </c>
      <c r="AG33" s="22">
        <v>1</v>
      </c>
      <c r="AH33" s="23" t="s">
        <v>101</v>
      </c>
      <c r="AI33" s="24">
        <f t="shared" si="0"/>
        <v>3</v>
      </c>
      <c r="AJ33" s="24">
        <f t="shared" si="1"/>
        <v>8.3333333333333339</v>
      </c>
      <c r="AK33" s="25">
        <f t="shared" si="2"/>
        <v>0.7142857142857143</v>
      </c>
      <c r="AL33" s="24" t="str">
        <f t="shared" si="3"/>
        <v/>
      </c>
      <c r="AM33" s="25" t="str">
        <f t="shared" si="4"/>
        <v/>
      </c>
      <c r="AN33" s="25">
        <f t="shared" si="5"/>
        <v>4.3898156277436358E-3</v>
      </c>
      <c r="AO33" s="25">
        <f t="shared" si="6"/>
        <v>3.5958904109589039E-2</v>
      </c>
      <c r="AP33" s="25">
        <f t="shared" si="7"/>
        <v>0</v>
      </c>
      <c r="AQ33" s="26">
        <f t="shared" si="8"/>
        <v>0.11764705882352941</v>
      </c>
      <c r="AR33" s="26">
        <f t="shared" si="9"/>
        <v>1.2352941176470589</v>
      </c>
      <c r="AS33" s="27">
        <f t="shared" si="10"/>
        <v>5</v>
      </c>
      <c r="AT33" s="27">
        <f t="shared" si="11"/>
        <v>-2</v>
      </c>
      <c r="AU33" s="28">
        <f>AF33*Settings!$B$7+AG33*Settings!$B$8+AE33*Settings!$B$9+AB33*Settings!$B$10+AC33*Settings!$B$11+X33*Settings!$B$12+Y33*Settings!$B$13+Z33*Settings!$B$14</f>
        <v>26.6</v>
      </c>
    </row>
    <row r="34" spans="1:47" x14ac:dyDescent="0.25">
      <c r="A34" s="15" t="s">
        <v>135</v>
      </c>
      <c r="B34" s="16" t="s">
        <v>463</v>
      </c>
      <c r="C34" s="17">
        <v>4</v>
      </c>
      <c r="D34" s="17" t="s">
        <v>168</v>
      </c>
      <c r="E34" s="18" t="s">
        <v>99</v>
      </c>
      <c r="F34" s="19"/>
      <c r="G34" s="19"/>
      <c r="H34" s="19"/>
      <c r="I34" s="19"/>
      <c r="J34" s="19">
        <v>25</v>
      </c>
      <c r="K34" s="19">
        <v>43</v>
      </c>
      <c r="L34" s="19">
        <v>10</v>
      </c>
      <c r="M34" s="19">
        <v>59</v>
      </c>
      <c r="N34" s="19" t="s">
        <v>230</v>
      </c>
      <c r="O34" s="19">
        <v>11</v>
      </c>
      <c r="P34" s="20"/>
      <c r="Q34" s="20">
        <v>11.08</v>
      </c>
      <c r="R34" s="21">
        <v>0.76900000000000002</v>
      </c>
      <c r="S34" s="21"/>
      <c r="T34" s="20"/>
      <c r="U34" s="22">
        <v>17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11</v>
      </c>
      <c r="AE34" s="22">
        <v>9</v>
      </c>
      <c r="AF34" s="22">
        <v>93</v>
      </c>
      <c r="AG34" s="22">
        <v>1</v>
      </c>
      <c r="AH34" s="23" t="s">
        <v>101</v>
      </c>
      <c r="AI34" s="24" t="str">
        <f t="shared" si="0"/>
        <v/>
      </c>
      <c r="AJ34" s="24">
        <f t="shared" si="1"/>
        <v>10.333333333333334</v>
      </c>
      <c r="AK34" s="25">
        <f t="shared" si="2"/>
        <v>0.81818181818181823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1.8835616438356163E-2</v>
      </c>
      <c r="AP34" s="25">
        <f t="shared" si="7"/>
        <v>0</v>
      </c>
      <c r="AQ34" s="26">
        <f t="shared" si="8"/>
        <v>0</v>
      </c>
      <c r="AR34" s="26">
        <f t="shared" si="9"/>
        <v>0.6470588235294118</v>
      </c>
      <c r="AS34" s="27">
        <f t="shared" si="10"/>
        <v>1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19.8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575</v>
      </c>
      <c r="W37" s="34">
        <f t="shared" si="12"/>
        <v>364</v>
      </c>
      <c r="X37" s="34">
        <f t="shared" si="12"/>
        <v>4042</v>
      </c>
      <c r="Y37" s="34">
        <f t="shared" si="12"/>
        <v>26</v>
      </c>
      <c r="Z37" s="34">
        <f t="shared" si="12"/>
        <v>12</v>
      </c>
      <c r="AA37" s="34">
        <f t="shared" si="12"/>
        <v>471</v>
      </c>
      <c r="AB37" s="34">
        <f t="shared" si="12"/>
        <v>1942</v>
      </c>
      <c r="AC37" s="34">
        <f t="shared" si="12"/>
        <v>13</v>
      </c>
      <c r="AD37" s="34">
        <f t="shared" si="12"/>
        <v>564</v>
      </c>
      <c r="AE37" s="34">
        <f t="shared" si="12"/>
        <v>385</v>
      </c>
      <c r="AF37" s="34">
        <f t="shared" si="12"/>
        <v>4355</v>
      </c>
      <c r="AG37" s="34">
        <f t="shared" si="12"/>
        <v>26</v>
      </c>
    </row>
    <row r="38" spans="1:47" x14ac:dyDescent="0.25">
      <c r="A38" s="5" t="s">
        <v>142</v>
      </c>
      <c r="V38" s="35">
        <f>$F$5</f>
        <v>612</v>
      </c>
      <c r="X38" s="35">
        <f>$I$5</f>
        <v>4022</v>
      </c>
      <c r="Y38" s="35">
        <f>$J$5</f>
        <v>24</v>
      </c>
      <c r="Z38" s="35">
        <f>$K$5</f>
        <v>11</v>
      </c>
      <c r="AA38" s="35">
        <f>$H$5</f>
        <v>455.59999999999991</v>
      </c>
      <c r="AB38" s="35">
        <f>$L$5</f>
        <v>1875</v>
      </c>
      <c r="AC38" s="35">
        <f>$M$5</f>
        <v>13</v>
      </c>
      <c r="AD38" s="35">
        <f>$G$5</f>
        <v>584</v>
      </c>
      <c r="AF38" s="35">
        <f>$I$5</f>
        <v>4022</v>
      </c>
      <c r="AG38" s="35">
        <f>$J$5</f>
        <v>24</v>
      </c>
    </row>
    <row r="39" spans="1:47" x14ac:dyDescent="0.25">
      <c r="A39" s="5" t="s">
        <v>143</v>
      </c>
      <c r="V39" s="36">
        <f>$F$5-V37</f>
        <v>37</v>
      </c>
      <c r="X39" s="36">
        <f>$I$5-X37</f>
        <v>-20</v>
      </c>
      <c r="Y39" s="36">
        <f>$J$5-Y37</f>
        <v>-2</v>
      </c>
      <c r="Z39" s="36">
        <f>$K$5-Z37</f>
        <v>-1</v>
      </c>
      <c r="AA39" s="36">
        <f>$H$5-AA37</f>
        <v>-15.400000000000091</v>
      </c>
      <c r="AB39" s="36">
        <f>$L$5-AB37</f>
        <v>-67</v>
      </c>
      <c r="AC39" s="36">
        <f>$M$5-AC37</f>
        <v>0</v>
      </c>
      <c r="AD39" s="36">
        <f>$G$5-AD37</f>
        <v>20</v>
      </c>
      <c r="AF39" s="36">
        <f>$I$5-AF37</f>
        <v>-333</v>
      </c>
      <c r="AG39" s="36">
        <f>$J$5-AG37</f>
        <v>-2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599" priority="1" stopIfTrue="1">
      <formula>V37&gt;$F$5</formula>
    </cfRule>
    <cfRule type="expression" dxfId="598" priority="2">
      <formula>AND($F$5&gt;0,V37&lt;$F$5*0.97)</formula>
    </cfRule>
    <cfRule type="expression" dxfId="597" priority="3">
      <formula>AND($F$5&gt;0,V37&gt;=$F$5*0.97,V37&lt;=$F$5)</formula>
    </cfRule>
  </conditionalFormatting>
  <conditionalFormatting sqref="X37">
    <cfRule type="expression" dxfId="596" priority="4" stopIfTrue="1">
      <formula>X37&gt;$I$5</formula>
    </cfRule>
    <cfRule type="expression" dxfId="595" priority="5">
      <formula>AND($I$5&gt;0,X37&lt;$I$5*0.97)</formula>
    </cfRule>
    <cfRule type="expression" dxfId="594" priority="6">
      <formula>AND($I$5&gt;0,X37&gt;=$I$5*0.97,X37&lt;=$I$5)</formula>
    </cfRule>
  </conditionalFormatting>
  <conditionalFormatting sqref="Y37">
    <cfRule type="expression" dxfId="593" priority="7" stopIfTrue="1">
      <formula>Y37&gt;$J$5</formula>
    </cfRule>
    <cfRule type="expression" dxfId="592" priority="8">
      <formula>AND($J$5&gt;0,Y37&lt;$J$5*0.97)</formula>
    </cfRule>
    <cfRule type="expression" dxfId="591" priority="9">
      <formula>AND($J$5&gt;0,Y37&gt;=$J$5*0.97,Y37&lt;=$J$5)</formula>
    </cfRule>
  </conditionalFormatting>
  <conditionalFormatting sqref="Z37">
    <cfRule type="expression" dxfId="590" priority="10" stopIfTrue="1">
      <formula>Z37&gt;$K$5</formula>
    </cfRule>
    <cfRule type="expression" dxfId="589" priority="11">
      <formula>AND($K$5&gt;0,Z37&lt;$K$5*0.97)</formula>
    </cfRule>
    <cfRule type="expression" dxfId="588" priority="12">
      <formula>AND($K$5&gt;0,Z37&gt;=$K$5*0.97,Z37&lt;=$K$5)</formula>
    </cfRule>
  </conditionalFormatting>
  <conditionalFormatting sqref="AA37">
    <cfRule type="expression" dxfId="587" priority="13" stopIfTrue="1">
      <formula>AA37&gt;$H$5</formula>
    </cfRule>
    <cfRule type="expression" dxfId="586" priority="14">
      <formula>AND($H$5&gt;0,AA37&lt;$H$5*0.97)</formula>
    </cfRule>
    <cfRule type="expression" dxfId="585" priority="15">
      <formula>AND($H$5&gt;0,AA37&gt;=$H$5*0.97,AA37&lt;=$H$5)</formula>
    </cfRule>
  </conditionalFormatting>
  <conditionalFormatting sqref="AB37">
    <cfRule type="expression" dxfId="584" priority="16" stopIfTrue="1">
      <formula>AB37&gt;$L$5</formula>
    </cfRule>
    <cfRule type="expression" dxfId="583" priority="17">
      <formula>AND($L$5&gt;0,AB37&lt;$L$5*0.97)</formula>
    </cfRule>
    <cfRule type="expression" dxfId="582" priority="18">
      <formula>AND($L$5&gt;0,AB37&gt;=$L$5*0.97,AB37&lt;=$L$5)</formula>
    </cfRule>
  </conditionalFormatting>
  <conditionalFormatting sqref="AC37">
    <cfRule type="expression" dxfId="581" priority="19" stopIfTrue="1">
      <formula>AC37&gt;$M$5</formula>
    </cfRule>
    <cfRule type="expression" dxfId="580" priority="20">
      <formula>AND($M$5&gt;0,AC37&lt;$M$5*0.97)</formula>
    </cfRule>
    <cfRule type="expression" dxfId="579" priority="21">
      <formula>AND($M$5&gt;0,AC37&gt;=$M$5*0.97,AC37&lt;=$M$5)</formula>
    </cfRule>
  </conditionalFormatting>
  <conditionalFormatting sqref="AD37">
    <cfRule type="expression" dxfId="578" priority="22" stopIfTrue="1">
      <formula>AD37&gt;$G$5</formula>
    </cfRule>
    <cfRule type="expression" dxfId="577" priority="23">
      <formula>AND($G$5&gt;0,AD37&lt;$G$5*0.97)</formula>
    </cfRule>
    <cfRule type="expression" dxfId="576" priority="24">
      <formula>AND($G$5&gt;0,AD37&gt;=$G$5*0.97,AD37&lt;=$G$5)</formula>
    </cfRule>
  </conditionalFormatting>
  <conditionalFormatting sqref="AF37">
    <cfRule type="expression" dxfId="575" priority="25" stopIfTrue="1">
      <formula>AF37&gt;$I$5</formula>
    </cfRule>
    <cfRule type="expression" dxfId="574" priority="26">
      <formula>AND($I$5&gt;0,AF37&lt;$I$5*0.97)</formula>
    </cfRule>
    <cfRule type="expression" dxfId="573" priority="27">
      <formula>AND($I$5&gt;0,AF37&gt;=$I$5*0.97,AF37&lt;=$I$5)</formula>
    </cfRule>
  </conditionalFormatting>
  <conditionalFormatting sqref="AG37">
    <cfRule type="expression" dxfId="572" priority="28" stopIfTrue="1">
      <formula>AG37&gt;$J$5</formula>
    </cfRule>
    <cfRule type="expression" dxfId="571" priority="29">
      <formula>AND($J$5&gt;0,AG37&lt;$J$5*0.97)</formula>
    </cfRule>
    <cfRule type="expression" dxfId="570" priority="30">
      <formula>AND($J$5&gt;0,AG37&gt;=$J$5*0.97,AG37&lt;=$J$5)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464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61.5</v>
      </c>
      <c r="D5" s="10">
        <f>C5*B5</f>
        <v>1045.5</v>
      </c>
      <c r="E5" s="11">
        <v>0.55620000000000003</v>
      </c>
      <c r="F5" s="10">
        <f>ROUND(D5*E5,0)</f>
        <v>582</v>
      </c>
      <c r="G5" s="10">
        <f>ROUND(F5*Settings!$B$4,0)</f>
        <v>555</v>
      </c>
      <c r="H5" s="10">
        <f>D5-F5</f>
        <v>463.5</v>
      </c>
      <c r="I5" s="8">
        <v>3909</v>
      </c>
      <c r="J5" s="9">
        <v>23</v>
      </c>
      <c r="K5" s="9">
        <v>14</v>
      </c>
      <c r="L5" s="8">
        <v>2073</v>
      </c>
      <c r="M5" s="9">
        <v>20</v>
      </c>
    </row>
    <row r="7" spans="1:47" x14ac:dyDescent="0.25">
      <c r="A7" s="5" t="s">
        <v>54</v>
      </c>
      <c r="B7" s="12" t="s">
        <v>465</v>
      </c>
    </row>
    <row r="8" spans="1:47" x14ac:dyDescent="0.25">
      <c r="A8" s="5" t="s">
        <v>56</v>
      </c>
      <c r="B8" s="13" t="s">
        <v>237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466</v>
      </c>
      <c r="C11" s="17">
        <v>1</v>
      </c>
      <c r="D11" s="17" t="s">
        <v>168</v>
      </c>
      <c r="E11" s="18" t="s">
        <v>99</v>
      </c>
      <c r="F11" s="19">
        <v>40</v>
      </c>
      <c r="G11" s="19">
        <v>59</v>
      </c>
      <c r="H11" s="19">
        <v>38</v>
      </c>
      <c r="I11" s="19">
        <v>164</v>
      </c>
      <c r="J11" s="19"/>
      <c r="K11" s="19"/>
      <c r="L11" s="19"/>
      <c r="M11" s="19"/>
      <c r="N11" s="19" t="s">
        <v>160</v>
      </c>
      <c r="O11" s="19">
        <v>13</v>
      </c>
      <c r="P11" s="20">
        <v>4.6399999999999997</v>
      </c>
      <c r="Q11" s="20"/>
      <c r="R11" s="21"/>
      <c r="S11" s="21">
        <v>0.66100000000000003</v>
      </c>
      <c r="T11" s="20">
        <v>6.87</v>
      </c>
      <c r="U11" s="22">
        <v>17</v>
      </c>
      <c r="V11" s="22">
        <v>503</v>
      </c>
      <c r="W11" s="22">
        <v>332</v>
      </c>
      <c r="X11" s="22">
        <v>3678</v>
      </c>
      <c r="Y11" s="22">
        <v>22</v>
      </c>
      <c r="Z11" s="22">
        <v>11</v>
      </c>
      <c r="AA11" s="22">
        <v>58</v>
      </c>
      <c r="AB11" s="22">
        <v>223</v>
      </c>
      <c r="AC11" s="22">
        <v>3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3.8448275862068964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7.3121272365805172</v>
      </c>
      <c r="AM11" s="25">
        <f t="shared" ref="AM11:AM35" si="4">IFERROR(W11/V11,"")</f>
        <v>0.66003976143141152</v>
      </c>
      <c r="AN11" s="25">
        <f t="shared" ref="AN11:AN35" si="5">IFERROR(AA11/$H$5,"")</f>
        <v>0.12513484358144553</v>
      </c>
      <c r="AO11" s="25">
        <f t="shared" ref="AO11:AO35" si="6">IFERROR(AD11/$G$5,"")</f>
        <v>0</v>
      </c>
      <c r="AP11" s="25">
        <f t="shared" ref="AP11:AP35" si="7">IFERROR(V11/$F$5,"")</f>
        <v>0.86426116838487976</v>
      </c>
      <c r="AQ11" s="26">
        <f t="shared" ref="AQ11:AQ35" si="8">IFERROR(AA11/U11,"")</f>
        <v>3.4117647058823528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20</v>
      </c>
      <c r="AU11" s="28">
        <f>AF11*Settings!$B$7+AG11*Settings!$B$8+AE11*Settings!$B$9+AB11*Settings!$B$10+AC11*Settings!$B$11+X11*Settings!$B$12+Y11*Settings!$B$13+Z11*Settings!$B$14</f>
        <v>253.42000000000002</v>
      </c>
    </row>
    <row r="12" spans="1:47" x14ac:dyDescent="0.25">
      <c r="A12" s="15" t="s">
        <v>96</v>
      </c>
      <c r="B12" s="16" t="s">
        <v>467</v>
      </c>
      <c r="C12" s="17">
        <v>2</v>
      </c>
      <c r="D12" s="17" t="s">
        <v>103</v>
      </c>
      <c r="E12" s="18" t="s">
        <v>99</v>
      </c>
      <c r="F12" s="19"/>
      <c r="G12" s="19"/>
      <c r="H12" s="19">
        <v>5</v>
      </c>
      <c r="I12" s="19">
        <v>27</v>
      </c>
      <c r="J12" s="19"/>
      <c r="K12" s="19"/>
      <c r="L12" s="19"/>
      <c r="M12" s="19" t="s">
        <v>212</v>
      </c>
      <c r="N12" s="19" t="s">
        <v>160</v>
      </c>
      <c r="O12" s="19">
        <v>5</v>
      </c>
      <c r="P12" s="20">
        <v>5.4</v>
      </c>
      <c r="Q12" s="20"/>
      <c r="R12" s="21"/>
      <c r="S12" s="21">
        <v>0.58199999999999996</v>
      </c>
      <c r="T12" s="20">
        <v>6.19</v>
      </c>
      <c r="U12" s="22">
        <v>17</v>
      </c>
      <c r="V12" s="22">
        <v>29</v>
      </c>
      <c r="W12" s="22">
        <v>18</v>
      </c>
      <c r="X12" s="22">
        <v>192</v>
      </c>
      <c r="Y12" s="22">
        <v>1</v>
      </c>
      <c r="Z12" s="22">
        <v>1</v>
      </c>
      <c r="AA12" s="22">
        <v>3</v>
      </c>
      <c r="AB12" s="22">
        <v>14</v>
      </c>
      <c r="AC12" s="22">
        <v>0</v>
      </c>
      <c r="AD12" s="22">
        <v>0</v>
      </c>
      <c r="AE12" s="22">
        <v>0</v>
      </c>
      <c r="AF12" s="22">
        <v>-3</v>
      </c>
      <c r="AG12" s="22">
        <v>0</v>
      </c>
      <c r="AH12" s="23" t="s">
        <v>101</v>
      </c>
      <c r="AI12" s="24">
        <f t="shared" si="0"/>
        <v>4.666666666666667</v>
      </c>
      <c r="AJ12" s="24" t="str">
        <f t="shared" si="1"/>
        <v/>
      </c>
      <c r="AK12" s="25" t="str">
        <f t="shared" si="2"/>
        <v/>
      </c>
      <c r="AL12" s="24">
        <f t="shared" si="3"/>
        <v>6.6206896551724137</v>
      </c>
      <c r="AM12" s="25">
        <f t="shared" si="4"/>
        <v>0.62068965517241381</v>
      </c>
      <c r="AN12" s="25">
        <f t="shared" si="5"/>
        <v>6.4724919093851136E-3</v>
      </c>
      <c r="AO12" s="25">
        <f t="shared" si="6"/>
        <v>0</v>
      </c>
      <c r="AP12" s="25">
        <f t="shared" si="7"/>
        <v>4.9828178694158079E-2</v>
      </c>
      <c r="AQ12" s="26">
        <f t="shared" si="8"/>
        <v>0.17647058823529413</v>
      </c>
      <c r="AR12" s="26">
        <f t="shared" si="9"/>
        <v>0</v>
      </c>
      <c r="AS12" s="27">
        <f t="shared" si="10"/>
        <v>0</v>
      </c>
      <c r="AT12" s="27">
        <f t="shared" si="11"/>
        <v>-2</v>
      </c>
      <c r="AU12" s="28">
        <f>AF12*Settings!$B$7+AG12*Settings!$B$8+AE12*Settings!$B$9+AB12*Settings!$B$10+AC12*Settings!$B$11+X12*Settings!$B$12+Y12*Settings!$B$13+Z12*Settings!$B$14</f>
        <v>10.78</v>
      </c>
    </row>
    <row r="13" spans="1:47" x14ac:dyDescent="0.25">
      <c r="A13" s="15" t="s">
        <v>96</v>
      </c>
      <c r="B13" s="16" t="s">
        <v>468</v>
      </c>
      <c r="C13" s="17">
        <v>3</v>
      </c>
      <c r="D13" s="17" t="s">
        <v>118</v>
      </c>
      <c r="E13" s="18" t="s">
        <v>99</v>
      </c>
      <c r="F13" s="19">
        <v>24</v>
      </c>
      <c r="G13" s="19">
        <v>79</v>
      </c>
      <c r="H13" s="19">
        <v>1</v>
      </c>
      <c r="I13" s="19" t="s">
        <v>469</v>
      </c>
      <c r="J13" s="19"/>
      <c r="K13" s="19">
        <v>1</v>
      </c>
      <c r="L13" s="19">
        <v>1</v>
      </c>
      <c r="M13" s="19">
        <v>9</v>
      </c>
      <c r="N13" s="19" t="s">
        <v>160</v>
      </c>
      <c r="O13" s="19">
        <v>2</v>
      </c>
      <c r="P13" s="20">
        <v>6.1</v>
      </c>
      <c r="Q13" s="20">
        <v>4</v>
      </c>
      <c r="R13" s="21">
        <v>1</v>
      </c>
      <c r="S13" s="21">
        <v>0.50600000000000001</v>
      </c>
      <c r="T13" s="20">
        <v>6.86</v>
      </c>
      <c r="U13" s="22">
        <v>17</v>
      </c>
      <c r="V13" s="22">
        <v>35</v>
      </c>
      <c r="W13" s="22">
        <v>20</v>
      </c>
      <c r="X13" s="22">
        <v>215</v>
      </c>
      <c r="Y13" s="22">
        <v>2</v>
      </c>
      <c r="Z13" s="22">
        <v>1</v>
      </c>
      <c r="AA13" s="22">
        <v>10</v>
      </c>
      <c r="AB13" s="22">
        <v>40</v>
      </c>
      <c r="AC13" s="22">
        <v>0</v>
      </c>
      <c r="AD13" s="22">
        <v>1</v>
      </c>
      <c r="AE13" s="22">
        <v>1</v>
      </c>
      <c r="AF13" s="22">
        <v>9</v>
      </c>
      <c r="AG13" s="22">
        <v>0</v>
      </c>
      <c r="AH13" s="23" t="s">
        <v>101</v>
      </c>
      <c r="AI13" s="24">
        <f t="shared" si="0"/>
        <v>4</v>
      </c>
      <c r="AJ13" s="24">
        <f t="shared" si="1"/>
        <v>9</v>
      </c>
      <c r="AK13" s="25">
        <f t="shared" si="2"/>
        <v>1</v>
      </c>
      <c r="AL13" s="24">
        <f t="shared" si="3"/>
        <v>6.1428571428571432</v>
      </c>
      <c r="AM13" s="25">
        <f t="shared" si="4"/>
        <v>0.5714285714285714</v>
      </c>
      <c r="AN13" s="25">
        <f t="shared" si="5"/>
        <v>2.1574973031283712E-2</v>
      </c>
      <c r="AO13" s="25">
        <f t="shared" si="6"/>
        <v>1.8018018018018018E-3</v>
      </c>
      <c r="AP13" s="25">
        <f t="shared" si="7"/>
        <v>6.0137457044673541E-2</v>
      </c>
      <c r="AQ13" s="26">
        <f t="shared" si="8"/>
        <v>0.58823529411764708</v>
      </c>
      <c r="AR13" s="26">
        <f t="shared" si="9"/>
        <v>5.8823529411764705E-2</v>
      </c>
      <c r="AS13" s="27">
        <f t="shared" si="10"/>
        <v>0</v>
      </c>
      <c r="AT13" s="27">
        <f t="shared" si="11"/>
        <v>9</v>
      </c>
      <c r="AU13" s="28">
        <f>AF13*Settings!$B$7+AG13*Settings!$B$8+AE13*Settings!$B$9+AB13*Settings!$B$10+AC13*Settings!$B$11+X13*Settings!$B$12+Y13*Settings!$B$13+Z13*Settings!$B$14</f>
        <v>20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470</v>
      </c>
      <c r="C15" s="17">
        <v>1</v>
      </c>
      <c r="D15" s="17" t="s">
        <v>158</v>
      </c>
      <c r="E15" s="18" t="s">
        <v>99</v>
      </c>
      <c r="F15" s="19">
        <v>169</v>
      </c>
      <c r="G15" s="19">
        <v>303</v>
      </c>
      <c r="H15" s="19">
        <v>323</v>
      </c>
      <c r="I15" s="19">
        <v>1585</v>
      </c>
      <c r="J15" s="19">
        <v>23</v>
      </c>
      <c r="K15" s="19">
        <v>31</v>
      </c>
      <c r="L15" s="19">
        <v>55</v>
      </c>
      <c r="M15" s="19">
        <v>378</v>
      </c>
      <c r="N15" s="19" t="s">
        <v>160</v>
      </c>
      <c r="O15" s="19">
        <v>17</v>
      </c>
      <c r="P15" s="20">
        <v>4.7300000000000004</v>
      </c>
      <c r="Q15" s="20">
        <v>8.0399999999999991</v>
      </c>
      <c r="R15" s="21">
        <v>0.76100000000000001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308</v>
      </c>
      <c r="AB15" s="22">
        <v>1442</v>
      </c>
      <c r="AC15" s="22">
        <v>13</v>
      </c>
      <c r="AD15" s="22">
        <v>55</v>
      </c>
      <c r="AE15" s="22">
        <v>43</v>
      </c>
      <c r="AF15" s="22">
        <v>328</v>
      </c>
      <c r="AG15" s="22">
        <v>1</v>
      </c>
      <c r="AH15" s="23" t="s">
        <v>101</v>
      </c>
      <c r="AI15" s="24">
        <f t="shared" si="0"/>
        <v>4.6818181818181817</v>
      </c>
      <c r="AJ15" s="24">
        <f t="shared" si="1"/>
        <v>7.6279069767441863</v>
      </c>
      <c r="AK15" s="25">
        <f t="shared" si="2"/>
        <v>0.78181818181818186</v>
      </c>
      <c r="AL15" s="24" t="str">
        <f t="shared" si="3"/>
        <v/>
      </c>
      <c r="AM15" s="25" t="str">
        <f t="shared" si="4"/>
        <v/>
      </c>
      <c r="AN15" s="25">
        <f t="shared" si="5"/>
        <v>0.66450916936353832</v>
      </c>
      <c r="AO15" s="25">
        <f t="shared" si="6"/>
        <v>9.90990990990991E-2</v>
      </c>
      <c r="AP15" s="25">
        <f t="shared" si="7"/>
        <v>0</v>
      </c>
      <c r="AQ15" s="26">
        <f t="shared" si="8"/>
        <v>18.117647058823529</v>
      </c>
      <c r="AR15" s="26">
        <f t="shared" si="9"/>
        <v>3.2352941176470589</v>
      </c>
      <c r="AS15" s="27">
        <f t="shared" si="10"/>
        <v>0</v>
      </c>
      <c r="AT15" s="27">
        <f t="shared" si="11"/>
        <v>-15</v>
      </c>
      <c r="AU15" s="28">
        <f>AF15*Settings!$B$7+AG15*Settings!$B$8+AE15*Settings!$B$9+AB15*Settings!$B$10+AC15*Settings!$B$11+X15*Settings!$B$12+Y15*Settings!$B$13+Z15*Settings!$B$14</f>
        <v>282.5</v>
      </c>
    </row>
    <row r="16" spans="1:47" x14ac:dyDescent="0.25">
      <c r="A16" s="15" t="s">
        <v>107</v>
      </c>
      <c r="B16" s="16" t="s">
        <v>471</v>
      </c>
      <c r="C16" s="17">
        <v>2</v>
      </c>
      <c r="D16" s="17" t="s">
        <v>128</v>
      </c>
      <c r="E16" s="18" t="s">
        <v>99</v>
      </c>
      <c r="F16" s="19"/>
      <c r="G16" s="19"/>
      <c r="H16" s="19">
        <v>26</v>
      </c>
      <c r="I16" s="19">
        <v>96</v>
      </c>
      <c r="J16" s="19"/>
      <c r="K16" s="19"/>
      <c r="L16" s="19">
        <v>2</v>
      </c>
      <c r="M16" s="19"/>
      <c r="N16" s="19" t="s">
        <v>160</v>
      </c>
      <c r="O16" s="19">
        <v>9</v>
      </c>
      <c r="P16" s="20">
        <v>3.69</v>
      </c>
      <c r="Q16" s="20"/>
      <c r="R16" s="21"/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47</v>
      </c>
      <c r="AB16" s="22">
        <v>183</v>
      </c>
      <c r="AC16" s="22">
        <v>1</v>
      </c>
      <c r="AD16" s="22">
        <v>10</v>
      </c>
      <c r="AE16" s="22">
        <v>9</v>
      </c>
      <c r="AF16" s="22">
        <v>61</v>
      </c>
      <c r="AG16" s="22">
        <v>0</v>
      </c>
      <c r="AH16" s="23" t="s">
        <v>101</v>
      </c>
      <c r="AI16" s="24">
        <f t="shared" si="0"/>
        <v>3.8936170212765959</v>
      </c>
      <c r="AJ16" s="24">
        <f t="shared" si="1"/>
        <v>6.7777777777777777</v>
      </c>
      <c r="AK16" s="25">
        <f t="shared" si="2"/>
        <v>0.9</v>
      </c>
      <c r="AL16" s="24" t="str">
        <f t="shared" si="3"/>
        <v/>
      </c>
      <c r="AM16" s="25" t="str">
        <f t="shared" si="4"/>
        <v/>
      </c>
      <c r="AN16" s="25">
        <f t="shared" si="5"/>
        <v>0.10140237324703344</v>
      </c>
      <c r="AO16" s="25">
        <f t="shared" si="6"/>
        <v>1.8018018018018018E-2</v>
      </c>
      <c r="AP16" s="25">
        <f t="shared" si="7"/>
        <v>0</v>
      </c>
      <c r="AQ16" s="26">
        <f t="shared" si="8"/>
        <v>2.7647058823529411</v>
      </c>
      <c r="AR16" s="26">
        <f t="shared" si="9"/>
        <v>0.58823529411764708</v>
      </c>
      <c r="AS16" s="27">
        <f t="shared" si="10"/>
        <v>8</v>
      </c>
      <c r="AT16" s="27">
        <f t="shared" si="11"/>
        <v>21</v>
      </c>
      <c r="AU16" s="28">
        <f>AF16*Settings!$B$7+AG16*Settings!$B$8+AE16*Settings!$B$9+AB16*Settings!$B$10+AC16*Settings!$B$11+X16*Settings!$B$12+Y16*Settings!$B$13+Z16*Settings!$B$14</f>
        <v>34.900000000000006</v>
      </c>
    </row>
    <row r="17" spans="1:47" x14ac:dyDescent="0.25">
      <c r="A17" s="15" t="s">
        <v>107</v>
      </c>
      <c r="B17" s="16" t="s">
        <v>472</v>
      </c>
      <c r="C17" s="17">
        <v>3</v>
      </c>
      <c r="D17" s="17" t="s">
        <v>118</v>
      </c>
      <c r="E17" s="18" t="s">
        <v>99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20"/>
      <c r="R17" s="21"/>
      <c r="S17" s="21"/>
      <c r="T17" s="20"/>
      <c r="U17" s="22">
        <v>17</v>
      </c>
      <c r="V17" s="22"/>
      <c r="W17" s="22"/>
      <c r="X17" s="22"/>
      <c r="Y17" s="22"/>
      <c r="Z17" s="22"/>
      <c r="AA17" s="22">
        <v>29</v>
      </c>
      <c r="AB17" s="22">
        <v>124</v>
      </c>
      <c r="AC17" s="22">
        <v>1</v>
      </c>
      <c r="AD17" s="22">
        <v>6</v>
      </c>
      <c r="AE17" s="22">
        <v>5</v>
      </c>
      <c r="AF17" s="22">
        <v>38</v>
      </c>
      <c r="AG17" s="22">
        <v>0</v>
      </c>
      <c r="AH17" s="23" t="s">
        <v>101</v>
      </c>
      <c r="AI17" s="24">
        <f t="shared" si="0"/>
        <v>4.2758620689655169</v>
      </c>
      <c r="AJ17" s="24">
        <f t="shared" si="1"/>
        <v>7.6</v>
      </c>
      <c r="AK17" s="25">
        <f t="shared" si="2"/>
        <v>0.83333333333333337</v>
      </c>
      <c r="AL17" s="24" t="str">
        <f t="shared" si="3"/>
        <v/>
      </c>
      <c r="AM17" s="25" t="str">
        <f t="shared" si="4"/>
        <v/>
      </c>
      <c r="AN17" s="25">
        <f t="shared" si="5"/>
        <v>6.2567421790722763E-2</v>
      </c>
      <c r="AO17" s="25">
        <f t="shared" si="6"/>
        <v>1.0810810810810811E-2</v>
      </c>
      <c r="AP17" s="25">
        <f t="shared" si="7"/>
        <v>0</v>
      </c>
      <c r="AQ17" s="26">
        <f t="shared" si="8"/>
        <v>1.7058823529411764</v>
      </c>
      <c r="AR17" s="26">
        <f t="shared" si="9"/>
        <v>0.35294117647058826</v>
      </c>
      <c r="AS17" s="27">
        <f t="shared" si="10"/>
        <v>6</v>
      </c>
      <c r="AT17" s="27">
        <f t="shared" si="11"/>
        <v>29</v>
      </c>
      <c r="AU17" s="28">
        <f>AF17*Settings!$B$7+AG17*Settings!$B$8+AE17*Settings!$B$9+AB17*Settings!$B$10+AC17*Settings!$B$11+X17*Settings!$B$12+Y17*Settings!$B$13+Z17*Settings!$B$14</f>
        <v>24.700000000000003</v>
      </c>
    </row>
    <row r="18" spans="1:47" x14ac:dyDescent="0.25">
      <c r="A18" s="15" t="s">
        <v>107</v>
      </c>
      <c r="B18" s="16" t="s">
        <v>473</v>
      </c>
      <c r="C18" s="17">
        <v>4</v>
      </c>
      <c r="D18" s="17" t="s">
        <v>105</v>
      </c>
      <c r="E18" s="18" t="s">
        <v>99</v>
      </c>
      <c r="F18" s="19"/>
      <c r="G18" s="19"/>
      <c r="H18" s="19">
        <v>1</v>
      </c>
      <c r="I18" s="19"/>
      <c r="J18" s="19"/>
      <c r="K18" s="19"/>
      <c r="L18" s="19"/>
      <c r="M18" s="19"/>
      <c r="N18" s="19" t="s">
        <v>160</v>
      </c>
      <c r="O18" s="19">
        <v>1</v>
      </c>
      <c r="P18" s="20"/>
      <c r="Q18" s="20"/>
      <c r="R18" s="21"/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1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3" t="s">
        <v>101</v>
      </c>
      <c r="AI18" s="24">
        <f t="shared" si="0"/>
        <v>0</v>
      </c>
      <c r="AJ18" s="24" t="str">
        <f t="shared" si="1"/>
        <v/>
      </c>
      <c r="AK18" s="25" t="str">
        <f t="shared" si="2"/>
        <v/>
      </c>
      <c r="AL18" s="24" t="str">
        <f t="shared" si="3"/>
        <v/>
      </c>
      <c r="AM18" s="25" t="str">
        <f t="shared" si="4"/>
        <v/>
      </c>
      <c r="AN18" s="25">
        <f t="shared" si="5"/>
        <v>2.1574973031283709E-3</v>
      </c>
      <c r="AO18" s="25">
        <f t="shared" si="6"/>
        <v>0</v>
      </c>
      <c r="AP18" s="25">
        <f t="shared" si="7"/>
        <v>0</v>
      </c>
      <c r="AQ18" s="26">
        <f t="shared" si="8"/>
        <v>5.8823529411764705E-2</v>
      </c>
      <c r="AR18" s="26">
        <f t="shared" si="9"/>
        <v>0</v>
      </c>
      <c r="AS18" s="27">
        <f t="shared" si="10"/>
        <v>0</v>
      </c>
      <c r="AT18" s="27">
        <f t="shared" si="11"/>
        <v>0</v>
      </c>
      <c r="AU18" s="28">
        <f>AF18*Settings!$B$7+AG18*Settings!$B$8+AE18*Settings!$B$9+AB18*Settings!$B$10+AC18*Settings!$B$11+X18*Settings!$B$12+Y18*Settings!$B$13+Z18*Settings!$B$14</f>
        <v>0</v>
      </c>
    </row>
    <row r="19" spans="1:47" x14ac:dyDescent="0.25">
      <c r="A19" s="15" t="s">
        <v>107</v>
      </c>
      <c r="B19" s="16" t="s">
        <v>474</v>
      </c>
      <c r="C19" s="17">
        <v>5</v>
      </c>
      <c r="D19" s="17"/>
      <c r="E19" s="18" t="s">
        <v>99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1"/>
      <c r="S19" s="21"/>
      <c r="T19" s="20"/>
      <c r="U19" s="22">
        <v>17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33"/>
      <c r="AI19" s="24" t="str">
        <f t="shared" si="0"/>
        <v/>
      </c>
      <c r="AJ19" s="24" t="str">
        <f t="shared" si="1"/>
        <v/>
      </c>
      <c r="AK19" s="25" t="str">
        <f t="shared" si="2"/>
        <v/>
      </c>
      <c r="AL19" s="24" t="str">
        <f t="shared" si="3"/>
        <v/>
      </c>
      <c r="AM19" s="25" t="str">
        <f t="shared" si="4"/>
        <v/>
      </c>
      <c r="AN19" s="25">
        <f t="shared" si="5"/>
        <v>0</v>
      </c>
      <c r="AO19" s="25">
        <f t="shared" si="6"/>
        <v>0</v>
      </c>
      <c r="AP19" s="25">
        <f t="shared" si="7"/>
        <v>0</v>
      </c>
      <c r="AQ19" s="26">
        <f t="shared" si="8"/>
        <v>0</v>
      </c>
      <c r="AR19" s="26">
        <f t="shared" si="9"/>
        <v>0</v>
      </c>
      <c r="AS19" s="27">
        <f t="shared" si="10"/>
        <v>0</v>
      </c>
      <c r="AT19" s="27">
        <f t="shared" si="11"/>
        <v>0</v>
      </c>
      <c r="AU19" s="28">
        <f>AF19*Settings!$B$7+AG19*Settings!$B$8+AE19*Settings!$B$9+AB19*Settings!$B$10+AC19*Settings!$B$11+X19*Settings!$B$12+Y19*Settings!$B$13+Z19*Settings!$B$14</f>
        <v>0</v>
      </c>
    </row>
    <row r="20" spans="1:47" x14ac:dyDescent="0.25">
      <c r="A20" s="15" t="s">
        <v>107</v>
      </c>
      <c r="B20" s="16" t="s">
        <v>475</v>
      </c>
      <c r="C20" s="17">
        <v>6</v>
      </c>
      <c r="D20" s="17" t="s">
        <v>118</v>
      </c>
      <c r="E20" s="18" t="s">
        <v>99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1"/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476</v>
      </c>
      <c r="C22" s="17">
        <v>1</v>
      </c>
      <c r="D22" s="17" t="s">
        <v>111</v>
      </c>
      <c r="E22" s="32" t="s">
        <v>226</v>
      </c>
      <c r="F22" s="19"/>
      <c r="G22" s="19"/>
      <c r="H22" s="19"/>
      <c r="I22" s="19"/>
      <c r="J22" s="19">
        <v>65</v>
      </c>
      <c r="K22" s="19">
        <v>69</v>
      </c>
      <c r="L22" s="19">
        <v>84</v>
      </c>
      <c r="M22" s="19">
        <v>1003</v>
      </c>
      <c r="N22" s="19" t="s">
        <v>160</v>
      </c>
      <c r="O22" s="19">
        <v>15</v>
      </c>
      <c r="P22" s="20"/>
      <c r="Q22" s="20">
        <v>20.18</v>
      </c>
      <c r="R22" s="21">
        <v>0.53200000000000003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1</v>
      </c>
      <c r="AC22" s="22">
        <v>0</v>
      </c>
      <c r="AD22" s="22">
        <v>101</v>
      </c>
      <c r="AE22" s="22">
        <v>57</v>
      </c>
      <c r="AF22" s="22">
        <v>942</v>
      </c>
      <c r="AG22" s="22">
        <v>6</v>
      </c>
      <c r="AH22" s="23" t="s">
        <v>101</v>
      </c>
      <c r="AI22" s="24" t="str">
        <f t="shared" si="0"/>
        <v/>
      </c>
      <c r="AJ22" s="24">
        <f t="shared" si="1"/>
        <v>16.526315789473685</v>
      </c>
      <c r="AK22" s="25">
        <f t="shared" si="2"/>
        <v>0.5643564356435643</v>
      </c>
      <c r="AL22" s="24" t="str">
        <f t="shared" si="3"/>
        <v/>
      </c>
      <c r="AM22" s="25" t="str">
        <f t="shared" si="4"/>
        <v/>
      </c>
      <c r="AN22" s="25">
        <f t="shared" si="5"/>
        <v>0</v>
      </c>
      <c r="AO22" s="25">
        <f t="shared" si="6"/>
        <v>0.18198198198198198</v>
      </c>
      <c r="AP22" s="25">
        <f t="shared" si="7"/>
        <v>0</v>
      </c>
      <c r="AQ22" s="26">
        <f t="shared" si="8"/>
        <v>0</v>
      </c>
      <c r="AR22" s="26">
        <f t="shared" si="9"/>
        <v>5.9411764705882355</v>
      </c>
      <c r="AS22" s="27">
        <f t="shared" si="10"/>
        <v>17</v>
      </c>
      <c r="AT22" s="27">
        <f t="shared" si="11"/>
        <v>0</v>
      </c>
      <c r="AU22" s="28">
        <f>AF22*Settings!$B$7+AG22*Settings!$B$8+AE22*Settings!$B$9+AB22*Settings!$B$10+AC22*Settings!$B$11+X22*Settings!$B$12+Y22*Settings!$B$13+Z22*Settings!$B$14</f>
        <v>158.79999999999998</v>
      </c>
    </row>
    <row r="23" spans="1:47" x14ac:dyDescent="0.25">
      <c r="A23" s="15" t="s">
        <v>121</v>
      </c>
      <c r="B23" s="16" t="s">
        <v>477</v>
      </c>
      <c r="C23" s="17">
        <v>2</v>
      </c>
      <c r="D23" s="17" t="s">
        <v>118</v>
      </c>
      <c r="E23" s="18" t="s">
        <v>99</v>
      </c>
      <c r="F23" s="19"/>
      <c r="G23" s="19">
        <v>1</v>
      </c>
      <c r="H23" s="19">
        <v>2</v>
      </c>
      <c r="I23" s="19" t="s">
        <v>283</v>
      </c>
      <c r="J23" s="19">
        <v>98</v>
      </c>
      <c r="K23" s="19">
        <v>107</v>
      </c>
      <c r="L23" s="19">
        <v>88</v>
      </c>
      <c r="M23" s="19">
        <v>566</v>
      </c>
      <c r="N23" s="19" t="s">
        <v>160</v>
      </c>
      <c r="O23" s="19">
        <v>16</v>
      </c>
      <c r="P23" s="20">
        <v>3.33</v>
      </c>
      <c r="Q23" s="20">
        <v>10.81</v>
      </c>
      <c r="R23" s="21">
        <v>0.67600000000000005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2</v>
      </c>
      <c r="AB23" s="22">
        <v>7</v>
      </c>
      <c r="AC23" s="22">
        <v>0</v>
      </c>
      <c r="AD23" s="22">
        <v>110</v>
      </c>
      <c r="AE23" s="22">
        <v>76</v>
      </c>
      <c r="AF23" s="22">
        <v>777</v>
      </c>
      <c r="AG23" s="22">
        <v>4</v>
      </c>
      <c r="AH23" s="23" t="s">
        <v>101</v>
      </c>
      <c r="AI23" s="24">
        <f t="shared" si="0"/>
        <v>3.5</v>
      </c>
      <c r="AJ23" s="24">
        <f t="shared" si="1"/>
        <v>10.223684210526315</v>
      </c>
      <c r="AK23" s="25">
        <f t="shared" si="2"/>
        <v>0.69090909090909092</v>
      </c>
      <c r="AL23" s="24" t="str">
        <f t="shared" si="3"/>
        <v/>
      </c>
      <c r="AM23" s="25" t="str">
        <f t="shared" si="4"/>
        <v/>
      </c>
      <c r="AN23" s="25">
        <f t="shared" si="5"/>
        <v>4.3149946062567418E-3</v>
      </c>
      <c r="AO23" s="25">
        <f t="shared" si="6"/>
        <v>0.1981981981981982</v>
      </c>
      <c r="AP23" s="25">
        <f t="shared" si="7"/>
        <v>0</v>
      </c>
      <c r="AQ23" s="26">
        <f t="shared" si="8"/>
        <v>0.11764705882352941</v>
      </c>
      <c r="AR23" s="26">
        <f t="shared" si="9"/>
        <v>6.4705882352941178</v>
      </c>
      <c r="AS23" s="27">
        <f t="shared" si="10"/>
        <v>22</v>
      </c>
      <c r="AT23" s="27">
        <f t="shared" si="11"/>
        <v>0</v>
      </c>
      <c r="AU23" s="28">
        <f>AF23*Settings!$B$7+AG23*Settings!$B$8+AE23*Settings!$B$9+AB23*Settings!$B$10+AC23*Settings!$B$11+X23*Settings!$B$12+Y23*Settings!$B$13+Z23*Settings!$B$14</f>
        <v>140.39999999999998</v>
      </c>
    </row>
    <row r="24" spans="1:47" x14ac:dyDescent="0.25">
      <c r="A24" s="15" t="s">
        <v>121</v>
      </c>
      <c r="B24" s="16" t="s">
        <v>478</v>
      </c>
      <c r="C24" s="17">
        <v>3</v>
      </c>
      <c r="D24" s="17" t="s">
        <v>168</v>
      </c>
      <c r="E24" s="18" t="s">
        <v>99</v>
      </c>
      <c r="F24" s="19"/>
      <c r="G24" s="19"/>
      <c r="H24" s="19"/>
      <c r="I24" s="19"/>
      <c r="J24" s="19">
        <v>45</v>
      </c>
      <c r="K24" s="19">
        <v>60</v>
      </c>
      <c r="L24" s="19">
        <v>20</v>
      </c>
      <c r="M24" s="19">
        <v>89</v>
      </c>
      <c r="N24" s="19" t="s">
        <v>150</v>
      </c>
      <c r="O24" s="19">
        <v>15</v>
      </c>
      <c r="P24" s="20"/>
      <c r="Q24" s="20">
        <v>13.46</v>
      </c>
      <c r="R24" s="21">
        <v>0.56799999999999995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27</v>
      </c>
      <c r="AE24" s="22">
        <v>17</v>
      </c>
      <c r="AF24" s="22">
        <v>204</v>
      </c>
      <c r="AG24" s="22">
        <v>1</v>
      </c>
      <c r="AH24" s="23" t="s">
        <v>101</v>
      </c>
      <c r="AI24" s="24" t="str">
        <f t="shared" si="0"/>
        <v/>
      </c>
      <c r="AJ24" s="24">
        <f t="shared" si="1"/>
        <v>12</v>
      </c>
      <c r="AK24" s="25">
        <f t="shared" si="2"/>
        <v>0.62962962962962965</v>
      </c>
      <c r="AL24" s="24" t="str">
        <f t="shared" si="3"/>
        <v/>
      </c>
      <c r="AM24" s="25" t="str">
        <f t="shared" si="4"/>
        <v/>
      </c>
      <c r="AN24" s="25">
        <f t="shared" si="5"/>
        <v>0</v>
      </c>
      <c r="AO24" s="25">
        <f t="shared" si="6"/>
        <v>4.8648648648648651E-2</v>
      </c>
      <c r="AP24" s="25">
        <f t="shared" si="7"/>
        <v>0</v>
      </c>
      <c r="AQ24" s="26">
        <f t="shared" si="8"/>
        <v>0</v>
      </c>
      <c r="AR24" s="26">
        <f t="shared" si="9"/>
        <v>1.588235294117647</v>
      </c>
      <c r="AS24" s="27">
        <f t="shared" si="10"/>
        <v>7</v>
      </c>
      <c r="AT24" s="27">
        <f t="shared" si="11"/>
        <v>0</v>
      </c>
      <c r="AU24" s="28">
        <f>AF24*Settings!$B$7+AG24*Settings!$B$8+AE24*Settings!$B$9+AB24*Settings!$B$10+AC24*Settings!$B$11+X24*Settings!$B$12+Y24*Settings!$B$13+Z24*Settings!$B$14</f>
        <v>34.900000000000006</v>
      </c>
    </row>
    <row r="25" spans="1:47" x14ac:dyDescent="0.25">
      <c r="A25" s="15" t="s">
        <v>121</v>
      </c>
      <c r="B25" s="16" t="s">
        <v>479</v>
      </c>
      <c r="C25" s="17">
        <v>4</v>
      </c>
      <c r="D25" s="17" t="s">
        <v>168</v>
      </c>
      <c r="E25" s="18" t="s">
        <v>99</v>
      </c>
      <c r="F25" s="19"/>
      <c r="G25" s="19">
        <v>5</v>
      </c>
      <c r="H25" s="19">
        <v>3</v>
      </c>
      <c r="I25" s="19">
        <v>44</v>
      </c>
      <c r="J25" s="19"/>
      <c r="K25" s="19">
        <v>8</v>
      </c>
      <c r="L25" s="19">
        <v>10</v>
      </c>
      <c r="M25" s="19">
        <v>106</v>
      </c>
      <c r="N25" s="19" t="s">
        <v>160</v>
      </c>
      <c r="O25" s="19">
        <v>12</v>
      </c>
      <c r="P25" s="20">
        <v>11.12</v>
      </c>
      <c r="Q25" s="20">
        <v>24.71</v>
      </c>
      <c r="R25" s="21">
        <v>0.38900000000000001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4</v>
      </c>
      <c r="AB25" s="22">
        <v>27</v>
      </c>
      <c r="AC25" s="22">
        <v>0</v>
      </c>
      <c r="AD25" s="22">
        <v>33</v>
      </c>
      <c r="AE25" s="22">
        <v>21</v>
      </c>
      <c r="AF25" s="22">
        <v>299</v>
      </c>
      <c r="AG25" s="22">
        <v>1</v>
      </c>
      <c r="AH25" s="23" t="s">
        <v>101</v>
      </c>
      <c r="AI25" s="24">
        <f t="shared" si="0"/>
        <v>6.75</v>
      </c>
      <c r="AJ25" s="24">
        <f t="shared" si="1"/>
        <v>14.238095238095237</v>
      </c>
      <c r="AK25" s="25">
        <f t="shared" si="2"/>
        <v>0.63636363636363635</v>
      </c>
      <c r="AL25" s="24" t="str">
        <f t="shared" si="3"/>
        <v/>
      </c>
      <c r="AM25" s="25" t="str">
        <f t="shared" si="4"/>
        <v/>
      </c>
      <c r="AN25" s="25">
        <f t="shared" si="5"/>
        <v>8.6299892125134836E-3</v>
      </c>
      <c r="AO25" s="25">
        <f t="shared" si="6"/>
        <v>5.9459459459459463E-2</v>
      </c>
      <c r="AP25" s="25">
        <f t="shared" si="7"/>
        <v>0</v>
      </c>
      <c r="AQ25" s="26">
        <f t="shared" si="8"/>
        <v>0.23529411764705882</v>
      </c>
      <c r="AR25" s="26">
        <f t="shared" si="9"/>
        <v>1.9411764705882353</v>
      </c>
      <c r="AS25" s="27">
        <f t="shared" si="10"/>
        <v>23</v>
      </c>
      <c r="AT25" s="27">
        <f t="shared" si="11"/>
        <v>1</v>
      </c>
      <c r="AU25" s="28">
        <f>AF25*Settings!$B$7+AG25*Settings!$B$8+AE25*Settings!$B$9+AB25*Settings!$B$10+AC25*Settings!$B$11+X25*Settings!$B$12+Y25*Settings!$B$13+Z25*Settings!$B$14</f>
        <v>49.100000000000009</v>
      </c>
    </row>
    <row r="26" spans="1:47" x14ac:dyDescent="0.25">
      <c r="A26" s="15" t="s">
        <v>121</v>
      </c>
      <c r="B26" s="16" t="s">
        <v>480</v>
      </c>
      <c r="C26" s="17">
        <v>5</v>
      </c>
      <c r="D26" s="17" t="s">
        <v>103</v>
      </c>
      <c r="E26" s="18" t="s">
        <v>99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  <c r="R26" s="21"/>
      <c r="S26" s="21"/>
      <c r="T26" s="20"/>
      <c r="U26" s="22">
        <v>17</v>
      </c>
      <c r="V26" s="22"/>
      <c r="W26" s="22"/>
      <c r="X26" s="22"/>
      <c r="Y26" s="22"/>
      <c r="Z26" s="22"/>
      <c r="AA26" s="22">
        <v>0</v>
      </c>
      <c r="AB26" s="22">
        <v>1</v>
      </c>
      <c r="AC26" s="22">
        <v>0</v>
      </c>
      <c r="AD26" s="22">
        <v>13</v>
      </c>
      <c r="AE26" s="22">
        <v>11</v>
      </c>
      <c r="AF26" s="22">
        <v>120</v>
      </c>
      <c r="AG26" s="22">
        <v>1</v>
      </c>
      <c r="AH26" s="23" t="s">
        <v>101</v>
      </c>
      <c r="AI26" s="24" t="str">
        <f t="shared" si="0"/>
        <v/>
      </c>
      <c r="AJ26" s="24">
        <f t="shared" si="1"/>
        <v>10.909090909090908</v>
      </c>
      <c r="AK26" s="25">
        <f t="shared" si="2"/>
        <v>0.84615384615384615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2.3423423423423424E-2</v>
      </c>
      <c r="AP26" s="25">
        <f t="shared" si="7"/>
        <v>0</v>
      </c>
      <c r="AQ26" s="26">
        <f t="shared" si="8"/>
        <v>0</v>
      </c>
      <c r="AR26" s="26">
        <f t="shared" si="9"/>
        <v>0.76470588235294112</v>
      </c>
      <c r="AS26" s="27">
        <f t="shared" si="10"/>
        <v>13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23.6</v>
      </c>
    </row>
    <row r="27" spans="1:47" x14ac:dyDescent="0.25">
      <c r="A27" s="15" t="s">
        <v>121</v>
      </c>
      <c r="B27" s="16" t="s">
        <v>481</v>
      </c>
      <c r="C27" s="17">
        <v>6</v>
      </c>
      <c r="D27" s="17" t="s">
        <v>105</v>
      </c>
      <c r="E27" s="18" t="s">
        <v>99</v>
      </c>
      <c r="F27" s="19"/>
      <c r="G27" s="19"/>
      <c r="H27" s="19"/>
      <c r="I27" s="19"/>
      <c r="J27" s="19"/>
      <c r="K27" s="19">
        <v>1</v>
      </c>
      <c r="L27" s="19">
        <v>2</v>
      </c>
      <c r="M27" s="19">
        <v>6</v>
      </c>
      <c r="N27" s="19" t="s">
        <v>160</v>
      </c>
      <c r="O27" s="19">
        <v>11</v>
      </c>
      <c r="P27" s="20"/>
      <c r="Q27" s="20">
        <v>9.67</v>
      </c>
      <c r="R27" s="21">
        <v>1</v>
      </c>
      <c r="S27" s="21"/>
      <c r="T27" s="20"/>
      <c r="U27" s="22">
        <v>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1</v>
      </c>
      <c r="AC27" s="22">
        <v>0</v>
      </c>
      <c r="AD27" s="22">
        <v>6</v>
      </c>
      <c r="AE27" s="22">
        <v>4</v>
      </c>
      <c r="AF27" s="22">
        <v>47</v>
      </c>
      <c r="AG27" s="22">
        <v>0</v>
      </c>
      <c r="AH27" s="23" t="s">
        <v>101</v>
      </c>
      <c r="AI27" s="24" t="str">
        <f t="shared" si="0"/>
        <v/>
      </c>
      <c r="AJ27" s="24">
        <f t="shared" si="1"/>
        <v>11.75</v>
      </c>
      <c r="AK27" s="25">
        <f t="shared" si="2"/>
        <v>0.66666666666666663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1.0810810810810811E-2</v>
      </c>
      <c r="AP27" s="25">
        <f t="shared" si="7"/>
        <v>0</v>
      </c>
      <c r="AQ27" s="26">
        <f t="shared" si="8"/>
        <v>0</v>
      </c>
      <c r="AR27" s="26">
        <f t="shared" si="9"/>
        <v>0.35294117647058826</v>
      </c>
      <c r="AS27" s="27">
        <f t="shared" si="10"/>
        <v>4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6.8</v>
      </c>
    </row>
    <row r="28" spans="1:47" x14ac:dyDescent="0.25">
      <c r="A28" s="15" t="s">
        <v>121</v>
      </c>
      <c r="B28" s="16" t="s">
        <v>482</v>
      </c>
      <c r="C28" s="17">
        <v>7</v>
      </c>
      <c r="D28" s="17" t="s">
        <v>114</v>
      </c>
      <c r="E28" s="18" t="s">
        <v>99</v>
      </c>
      <c r="F28" s="19"/>
      <c r="G28" s="19"/>
      <c r="H28" s="19"/>
      <c r="I28" s="19"/>
      <c r="J28" s="19">
        <v>3</v>
      </c>
      <c r="K28" s="19"/>
      <c r="L28" s="19"/>
      <c r="M28" s="19"/>
      <c r="N28" s="19"/>
      <c r="O28" s="19"/>
      <c r="P28" s="20"/>
      <c r="Q28" s="20">
        <v>16</v>
      </c>
      <c r="R28" s="21">
        <v>0.33300000000000002</v>
      </c>
      <c r="S28" s="21"/>
      <c r="T28" s="20"/>
      <c r="U28" s="22">
        <v>17</v>
      </c>
      <c r="V28" s="22"/>
      <c r="W28" s="22"/>
      <c r="X28" s="22"/>
      <c r="Y28" s="22"/>
      <c r="Z28" s="22"/>
      <c r="AA28" s="22">
        <v>0</v>
      </c>
      <c r="AB28" s="22">
        <v>0</v>
      </c>
      <c r="AC28" s="22">
        <v>0</v>
      </c>
      <c r="AD28" s="22">
        <v>3</v>
      </c>
      <c r="AE28" s="22">
        <v>2</v>
      </c>
      <c r="AF28" s="22">
        <v>25</v>
      </c>
      <c r="AG28" s="22">
        <v>0</v>
      </c>
      <c r="AH28" s="23" t="s">
        <v>101</v>
      </c>
      <c r="AI28" s="24" t="str">
        <f t="shared" si="0"/>
        <v/>
      </c>
      <c r="AJ28" s="24">
        <f t="shared" si="1"/>
        <v>12.5</v>
      </c>
      <c r="AK28" s="25">
        <f t="shared" si="2"/>
        <v>0.66666666666666663</v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5.4054054054054057E-3</v>
      </c>
      <c r="AP28" s="25">
        <f t="shared" si="7"/>
        <v>0</v>
      </c>
      <c r="AQ28" s="26">
        <f t="shared" si="8"/>
        <v>0</v>
      </c>
      <c r="AR28" s="26">
        <f t="shared" si="9"/>
        <v>0.17647058823529413</v>
      </c>
      <c r="AS28" s="27">
        <f t="shared" si="10"/>
        <v>3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3.5</v>
      </c>
    </row>
    <row r="29" spans="1:47" x14ac:dyDescent="0.25">
      <c r="A29" s="15" t="s">
        <v>121</v>
      </c>
      <c r="B29" s="16" t="s">
        <v>483</v>
      </c>
      <c r="C29" s="17">
        <v>8</v>
      </c>
      <c r="D29" s="17" t="s">
        <v>105</v>
      </c>
      <c r="E29" s="18" t="s">
        <v>99</v>
      </c>
      <c r="F29" s="19"/>
      <c r="G29" s="19"/>
      <c r="H29" s="19"/>
      <c r="I29" s="19"/>
      <c r="J29" s="19"/>
      <c r="K29" s="19"/>
      <c r="L29" s="19">
        <v>1</v>
      </c>
      <c r="M29" s="19"/>
      <c r="N29" s="19" t="s">
        <v>160</v>
      </c>
      <c r="O29" s="19">
        <v>2</v>
      </c>
      <c r="P29" s="20"/>
      <c r="Q29" s="20"/>
      <c r="R29" s="21"/>
      <c r="S29" s="21"/>
      <c r="T29" s="20"/>
      <c r="U29" s="22">
        <v>17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1</v>
      </c>
      <c r="AE29" s="22">
        <v>0</v>
      </c>
      <c r="AF29" s="22">
        <v>0</v>
      </c>
      <c r="AG29" s="22">
        <v>0</v>
      </c>
      <c r="AH29" s="23" t="s">
        <v>101</v>
      </c>
      <c r="AI29" s="24" t="str">
        <f t="shared" si="0"/>
        <v/>
      </c>
      <c r="AJ29" s="24" t="str">
        <f t="shared" si="1"/>
        <v/>
      </c>
      <c r="AK29" s="25">
        <f t="shared" si="2"/>
        <v>0</v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1.8018018018018018E-3</v>
      </c>
      <c r="AP29" s="25">
        <f t="shared" si="7"/>
        <v>0</v>
      </c>
      <c r="AQ29" s="26">
        <f t="shared" si="8"/>
        <v>0</v>
      </c>
      <c r="AR29" s="26">
        <f t="shared" si="9"/>
        <v>5.8823529411764705E-2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0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484</v>
      </c>
      <c r="C31" s="17">
        <v>1</v>
      </c>
      <c r="D31" s="17" t="s">
        <v>118</v>
      </c>
      <c r="E31" s="18" t="s">
        <v>99</v>
      </c>
      <c r="F31" s="19"/>
      <c r="G31" s="19"/>
      <c r="H31" s="19">
        <v>6</v>
      </c>
      <c r="I31" s="19">
        <v>8</v>
      </c>
      <c r="J31" s="19"/>
      <c r="K31" s="19"/>
      <c r="L31" s="19">
        <v>112</v>
      </c>
      <c r="M31" s="19">
        <v>817</v>
      </c>
      <c r="N31" s="19" t="s">
        <v>160</v>
      </c>
      <c r="O31" s="19">
        <v>17</v>
      </c>
      <c r="P31" s="20">
        <v>1.33</v>
      </c>
      <c r="Q31" s="20">
        <v>10.75</v>
      </c>
      <c r="R31" s="21">
        <v>0.67900000000000005</v>
      </c>
      <c r="S31" s="21"/>
      <c r="T31" s="20"/>
      <c r="U31" s="22">
        <v>17</v>
      </c>
      <c r="V31" s="22">
        <v>1</v>
      </c>
      <c r="W31" s="22">
        <v>0</v>
      </c>
      <c r="X31" s="22">
        <v>0</v>
      </c>
      <c r="Y31" s="22">
        <v>0</v>
      </c>
      <c r="Z31" s="22">
        <v>0</v>
      </c>
      <c r="AA31" s="22">
        <v>6</v>
      </c>
      <c r="AB31" s="22">
        <v>16</v>
      </c>
      <c r="AC31" s="22">
        <v>0</v>
      </c>
      <c r="AD31" s="22">
        <v>112</v>
      </c>
      <c r="AE31" s="22">
        <v>81</v>
      </c>
      <c r="AF31" s="22">
        <v>862</v>
      </c>
      <c r="AG31" s="22">
        <v>5</v>
      </c>
      <c r="AH31" s="23" t="s">
        <v>101</v>
      </c>
      <c r="AI31" s="24">
        <f t="shared" si="0"/>
        <v>2.6666666666666665</v>
      </c>
      <c r="AJ31" s="24">
        <f t="shared" si="1"/>
        <v>10.641975308641975</v>
      </c>
      <c r="AK31" s="25">
        <f t="shared" si="2"/>
        <v>0.7232142857142857</v>
      </c>
      <c r="AL31" s="24">
        <f t="shared" si="3"/>
        <v>0</v>
      </c>
      <c r="AM31" s="25">
        <f t="shared" si="4"/>
        <v>0</v>
      </c>
      <c r="AN31" s="25">
        <f t="shared" si="5"/>
        <v>1.2944983818770227E-2</v>
      </c>
      <c r="AO31" s="25">
        <f t="shared" si="6"/>
        <v>0.20180180180180179</v>
      </c>
      <c r="AP31" s="25">
        <f t="shared" si="7"/>
        <v>1.718213058419244E-3</v>
      </c>
      <c r="AQ31" s="26">
        <f t="shared" si="8"/>
        <v>0.35294117647058826</v>
      </c>
      <c r="AR31" s="26">
        <f t="shared" si="9"/>
        <v>6.5882352941176467</v>
      </c>
      <c r="AS31" s="27">
        <f t="shared" si="10"/>
        <v>0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158.29999999999998</v>
      </c>
    </row>
    <row r="32" spans="1:47" x14ac:dyDescent="0.25">
      <c r="A32" s="15" t="s">
        <v>135</v>
      </c>
      <c r="B32" s="16" t="s">
        <v>485</v>
      </c>
      <c r="C32" s="17">
        <v>2</v>
      </c>
      <c r="D32" s="17" t="s">
        <v>158</v>
      </c>
      <c r="E32" s="18" t="s">
        <v>99</v>
      </c>
      <c r="F32" s="19"/>
      <c r="G32" s="19"/>
      <c r="H32" s="19"/>
      <c r="I32" s="19"/>
      <c r="J32" s="19">
        <v>26</v>
      </c>
      <c r="K32" s="19">
        <v>8</v>
      </c>
      <c r="L32" s="19">
        <v>1</v>
      </c>
      <c r="M32" s="19">
        <v>16</v>
      </c>
      <c r="N32" s="19" t="s">
        <v>160</v>
      </c>
      <c r="O32" s="19">
        <v>2</v>
      </c>
      <c r="P32" s="20"/>
      <c r="Q32" s="20">
        <v>10.96</v>
      </c>
      <c r="R32" s="21">
        <v>0.65700000000000003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7</v>
      </c>
      <c r="AE32" s="22">
        <v>7</v>
      </c>
      <c r="AF32" s="22">
        <v>75</v>
      </c>
      <c r="AG32" s="22">
        <v>0</v>
      </c>
      <c r="AH32" s="23" t="s">
        <v>101</v>
      </c>
      <c r="AI32" s="24" t="str">
        <f t="shared" si="0"/>
        <v/>
      </c>
      <c r="AJ32" s="24">
        <f t="shared" si="1"/>
        <v>10.714285714285714</v>
      </c>
      <c r="AK32" s="25">
        <f t="shared" si="2"/>
        <v>1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1.2612612612612612E-2</v>
      </c>
      <c r="AP32" s="25">
        <f t="shared" si="7"/>
        <v>0</v>
      </c>
      <c r="AQ32" s="26">
        <f t="shared" si="8"/>
        <v>0</v>
      </c>
      <c r="AR32" s="26">
        <f t="shared" si="9"/>
        <v>0.41176470588235292</v>
      </c>
      <c r="AS32" s="27">
        <f t="shared" si="10"/>
        <v>6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11</v>
      </c>
    </row>
    <row r="33" spans="1:47" x14ac:dyDescent="0.25">
      <c r="A33" s="15" t="s">
        <v>135</v>
      </c>
      <c r="B33" s="16" t="s">
        <v>486</v>
      </c>
      <c r="C33" s="17">
        <v>3</v>
      </c>
      <c r="D33" s="17" t="s">
        <v>153</v>
      </c>
      <c r="E33" s="18" t="s">
        <v>99</v>
      </c>
      <c r="F33" s="19"/>
      <c r="G33" s="19"/>
      <c r="H33" s="19"/>
      <c r="I33" s="19"/>
      <c r="J33" s="19">
        <v>22</v>
      </c>
      <c r="K33" s="19">
        <v>22</v>
      </c>
      <c r="L33" s="19">
        <v>20</v>
      </c>
      <c r="M33" s="19">
        <v>117</v>
      </c>
      <c r="N33" s="19" t="s">
        <v>160</v>
      </c>
      <c r="O33" s="19">
        <v>17</v>
      </c>
      <c r="P33" s="20"/>
      <c r="Q33" s="20">
        <v>11.18</v>
      </c>
      <c r="R33" s="21">
        <v>0.59399999999999997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16</v>
      </c>
      <c r="AE33" s="22">
        <v>11</v>
      </c>
      <c r="AF33" s="22">
        <v>107</v>
      </c>
      <c r="AG33" s="22">
        <v>1</v>
      </c>
      <c r="AH33" s="23" t="s">
        <v>101</v>
      </c>
      <c r="AI33" s="24" t="str">
        <f t="shared" si="0"/>
        <v/>
      </c>
      <c r="AJ33" s="24">
        <f t="shared" si="1"/>
        <v>9.7272727272727266</v>
      </c>
      <c r="AK33" s="25">
        <f t="shared" si="2"/>
        <v>0.6875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2.8828828828828829E-2</v>
      </c>
      <c r="AP33" s="25">
        <f t="shared" si="7"/>
        <v>0</v>
      </c>
      <c r="AQ33" s="26">
        <f t="shared" si="8"/>
        <v>0</v>
      </c>
      <c r="AR33" s="26">
        <f t="shared" si="9"/>
        <v>0.94117647058823528</v>
      </c>
      <c r="AS33" s="27">
        <f t="shared" si="10"/>
        <v>-4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22.200000000000003</v>
      </c>
    </row>
    <row r="34" spans="1:47" x14ac:dyDescent="0.25">
      <c r="A34" s="15" t="s">
        <v>135</v>
      </c>
      <c r="B34" s="16" t="s">
        <v>487</v>
      </c>
      <c r="C34" s="17">
        <v>4</v>
      </c>
      <c r="D34" s="17" t="s">
        <v>130</v>
      </c>
      <c r="E34" s="18" t="s">
        <v>99</v>
      </c>
      <c r="F34" s="19"/>
      <c r="G34" s="19"/>
      <c r="H34" s="19"/>
      <c r="I34" s="19"/>
      <c r="J34" s="19">
        <v>21</v>
      </c>
      <c r="K34" s="19">
        <v>14</v>
      </c>
      <c r="L34" s="19">
        <v>6</v>
      </c>
      <c r="M34" s="19">
        <v>27</v>
      </c>
      <c r="N34" s="19" t="s">
        <v>160</v>
      </c>
      <c r="O34" s="19">
        <v>15</v>
      </c>
      <c r="P34" s="20"/>
      <c r="Q34" s="20">
        <v>12.86</v>
      </c>
      <c r="R34" s="21">
        <v>0.53700000000000003</v>
      </c>
      <c r="S34" s="21"/>
      <c r="T34" s="20"/>
      <c r="U34" s="22">
        <v>17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8</v>
      </c>
      <c r="AE34" s="22">
        <v>6</v>
      </c>
      <c r="AF34" s="22">
        <v>55</v>
      </c>
      <c r="AG34" s="22">
        <v>0</v>
      </c>
      <c r="AH34" s="23" t="s">
        <v>101</v>
      </c>
      <c r="AI34" s="24" t="str">
        <f t="shared" si="0"/>
        <v/>
      </c>
      <c r="AJ34" s="24">
        <f t="shared" si="1"/>
        <v>9.1666666666666661</v>
      </c>
      <c r="AK34" s="25">
        <f t="shared" si="2"/>
        <v>0.75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1.4414414414414415E-2</v>
      </c>
      <c r="AP34" s="25">
        <f t="shared" si="7"/>
        <v>0</v>
      </c>
      <c r="AQ34" s="26">
        <f t="shared" si="8"/>
        <v>0</v>
      </c>
      <c r="AR34" s="26">
        <f t="shared" si="9"/>
        <v>0.47058823529411764</v>
      </c>
      <c r="AS34" s="27">
        <f t="shared" si="10"/>
        <v>2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8.5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568</v>
      </c>
      <c r="W37" s="34">
        <f t="shared" si="12"/>
        <v>370</v>
      </c>
      <c r="X37" s="34">
        <f t="shared" si="12"/>
        <v>4085</v>
      </c>
      <c r="Y37" s="34">
        <f t="shared" si="12"/>
        <v>25</v>
      </c>
      <c r="Z37" s="34">
        <f t="shared" si="12"/>
        <v>13</v>
      </c>
      <c r="AA37" s="34">
        <f t="shared" si="12"/>
        <v>468</v>
      </c>
      <c r="AB37" s="34">
        <f t="shared" si="12"/>
        <v>2079</v>
      </c>
      <c r="AC37" s="34">
        <f t="shared" si="12"/>
        <v>18</v>
      </c>
      <c r="AD37" s="34">
        <f t="shared" si="12"/>
        <v>509</v>
      </c>
      <c r="AE37" s="34">
        <f t="shared" si="12"/>
        <v>351</v>
      </c>
      <c r="AF37" s="34">
        <f t="shared" si="12"/>
        <v>3946</v>
      </c>
      <c r="AG37" s="34">
        <f t="shared" si="12"/>
        <v>20</v>
      </c>
    </row>
    <row r="38" spans="1:47" x14ac:dyDescent="0.25">
      <c r="A38" s="5" t="s">
        <v>142</v>
      </c>
      <c r="V38" s="35">
        <f>$F$5</f>
        <v>582</v>
      </c>
      <c r="X38" s="35">
        <f>$I$5</f>
        <v>3909</v>
      </c>
      <c r="Y38" s="35">
        <f>$J$5</f>
        <v>23</v>
      </c>
      <c r="Z38" s="35">
        <f>$K$5</f>
        <v>14</v>
      </c>
      <c r="AA38" s="35">
        <f>$H$5</f>
        <v>463.5</v>
      </c>
      <c r="AB38" s="35">
        <f>$L$5</f>
        <v>2073</v>
      </c>
      <c r="AC38" s="35">
        <f>$M$5</f>
        <v>20</v>
      </c>
      <c r="AD38" s="35">
        <f>$G$5</f>
        <v>555</v>
      </c>
      <c r="AF38" s="35">
        <f>$I$5</f>
        <v>3909</v>
      </c>
      <c r="AG38" s="35">
        <f>$J$5</f>
        <v>23</v>
      </c>
    </row>
    <row r="39" spans="1:47" x14ac:dyDescent="0.25">
      <c r="A39" s="5" t="s">
        <v>143</v>
      </c>
      <c r="V39" s="36">
        <f>$F$5-V37</f>
        <v>14</v>
      </c>
      <c r="X39" s="36">
        <f>$I$5-X37</f>
        <v>-176</v>
      </c>
      <c r="Y39" s="36">
        <f>$J$5-Y37</f>
        <v>-2</v>
      </c>
      <c r="Z39" s="36">
        <f>$K$5-Z37</f>
        <v>1</v>
      </c>
      <c r="AA39" s="36">
        <f>$H$5-AA37</f>
        <v>-4.5</v>
      </c>
      <c r="AB39" s="36">
        <f>$L$5-AB37</f>
        <v>-6</v>
      </c>
      <c r="AC39" s="36">
        <f>$M$5-AC37</f>
        <v>2</v>
      </c>
      <c r="AD39" s="36">
        <f>$G$5-AD37</f>
        <v>46</v>
      </c>
      <c r="AF39" s="36">
        <f>$I$5-AF37</f>
        <v>-37</v>
      </c>
      <c r="AG39" s="36">
        <f>$J$5-AG37</f>
        <v>3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569" priority="1" stopIfTrue="1">
      <formula>V37&gt;$F$5</formula>
    </cfRule>
    <cfRule type="expression" dxfId="568" priority="2">
      <formula>AND($F$5&gt;0,V37&lt;$F$5*0.97)</formula>
    </cfRule>
    <cfRule type="expression" dxfId="567" priority="3">
      <formula>AND($F$5&gt;0,V37&gt;=$F$5*0.97,V37&lt;=$F$5)</formula>
    </cfRule>
  </conditionalFormatting>
  <conditionalFormatting sqref="X37">
    <cfRule type="expression" dxfId="566" priority="4" stopIfTrue="1">
      <formula>X37&gt;$I$5</formula>
    </cfRule>
    <cfRule type="expression" dxfId="565" priority="5">
      <formula>AND($I$5&gt;0,X37&lt;$I$5*0.97)</formula>
    </cfRule>
    <cfRule type="expression" dxfId="564" priority="6">
      <formula>AND($I$5&gt;0,X37&gt;=$I$5*0.97,X37&lt;=$I$5)</formula>
    </cfRule>
  </conditionalFormatting>
  <conditionalFormatting sqref="Y37">
    <cfRule type="expression" dxfId="563" priority="7" stopIfTrue="1">
      <formula>Y37&gt;$J$5</formula>
    </cfRule>
    <cfRule type="expression" dxfId="562" priority="8">
      <formula>AND($J$5&gt;0,Y37&lt;$J$5*0.97)</formula>
    </cfRule>
    <cfRule type="expression" dxfId="561" priority="9">
      <formula>AND($J$5&gt;0,Y37&gt;=$J$5*0.97,Y37&lt;=$J$5)</formula>
    </cfRule>
  </conditionalFormatting>
  <conditionalFormatting sqref="Z37">
    <cfRule type="expression" dxfId="560" priority="10" stopIfTrue="1">
      <formula>Z37&gt;$K$5</formula>
    </cfRule>
    <cfRule type="expression" dxfId="559" priority="11">
      <formula>AND($K$5&gt;0,Z37&lt;$K$5*0.97)</formula>
    </cfRule>
    <cfRule type="expression" dxfId="558" priority="12">
      <formula>AND($K$5&gt;0,Z37&gt;=$K$5*0.97,Z37&lt;=$K$5)</formula>
    </cfRule>
  </conditionalFormatting>
  <conditionalFormatting sqref="AA37">
    <cfRule type="expression" dxfId="557" priority="13" stopIfTrue="1">
      <formula>AA37&gt;$H$5</formula>
    </cfRule>
    <cfRule type="expression" dxfId="556" priority="14">
      <formula>AND($H$5&gt;0,AA37&lt;$H$5*0.97)</formula>
    </cfRule>
    <cfRule type="expression" dxfId="555" priority="15">
      <formula>AND($H$5&gt;0,AA37&gt;=$H$5*0.97,AA37&lt;=$H$5)</formula>
    </cfRule>
  </conditionalFormatting>
  <conditionalFormatting sqref="AB37">
    <cfRule type="expression" dxfId="554" priority="16" stopIfTrue="1">
      <formula>AB37&gt;$L$5</formula>
    </cfRule>
    <cfRule type="expression" dxfId="553" priority="17">
      <formula>AND($L$5&gt;0,AB37&lt;$L$5*0.97)</formula>
    </cfRule>
    <cfRule type="expression" dxfId="552" priority="18">
      <formula>AND($L$5&gt;0,AB37&gt;=$L$5*0.97,AB37&lt;=$L$5)</formula>
    </cfRule>
  </conditionalFormatting>
  <conditionalFormatting sqref="AC37">
    <cfRule type="expression" dxfId="551" priority="19" stopIfTrue="1">
      <formula>AC37&gt;$M$5</formula>
    </cfRule>
    <cfRule type="expression" dxfId="550" priority="20">
      <formula>AND($M$5&gt;0,AC37&lt;$M$5*0.97)</formula>
    </cfRule>
    <cfRule type="expression" dxfId="549" priority="21">
      <formula>AND($M$5&gt;0,AC37&gt;=$M$5*0.97,AC37&lt;=$M$5)</formula>
    </cfRule>
  </conditionalFormatting>
  <conditionalFormatting sqref="AD37">
    <cfRule type="expression" dxfId="548" priority="22" stopIfTrue="1">
      <formula>AD37&gt;$G$5</formula>
    </cfRule>
    <cfRule type="expression" dxfId="547" priority="23">
      <formula>AND($G$5&gt;0,AD37&lt;$G$5*0.97)</formula>
    </cfRule>
    <cfRule type="expression" dxfId="546" priority="24">
      <formula>AND($G$5&gt;0,AD37&gt;=$G$5*0.97,AD37&lt;=$G$5)</formula>
    </cfRule>
  </conditionalFormatting>
  <conditionalFormatting sqref="AF37">
    <cfRule type="expression" dxfId="545" priority="25" stopIfTrue="1">
      <formula>AF37&gt;$I$5</formula>
    </cfRule>
    <cfRule type="expression" dxfId="544" priority="26">
      <formula>AND($I$5&gt;0,AF37&lt;$I$5*0.97)</formula>
    </cfRule>
    <cfRule type="expression" dxfId="543" priority="27">
      <formula>AND($I$5&gt;0,AF37&gt;=$I$5*0.97,AF37&lt;=$I$5)</formula>
    </cfRule>
  </conditionalFormatting>
  <conditionalFormatting sqref="AG37">
    <cfRule type="expression" dxfId="542" priority="28" stopIfTrue="1">
      <formula>AG37&gt;$J$5</formula>
    </cfRule>
    <cfRule type="expression" dxfId="541" priority="29">
      <formula>AND($J$5&gt;0,AG37&lt;$J$5*0.97)</formula>
    </cfRule>
    <cfRule type="expression" dxfId="540" priority="30">
      <formula>AND($J$5&gt;0,AG37&gt;=$J$5*0.97,AG37&lt;=$J$5)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488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62.4</v>
      </c>
      <c r="D5" s="10">
        <f>C5*B5</f>
        <v>1060.8</v>
      </c>
      <c r="E5" s="11">
        <v>0.56850000000000001</v>
      </c>
      <c r="F5" s="10">
        <f>ROUND(D5*E5,0)</f>
        <v>603</v>
      </c>
      <c r="G5" s="10">
        <f>ROUND(F5*Settings!$B$4,0)</f>
        <v>575</v>
      </c>
      <c r="H5" s="10">
        <f>D5-F5</f>
        <v>457.79999999999995</v>
      </c>
      <c r="I5" s="8">
        <v>3973</v>
      </c>
      <c r="J5" s="9">
        <v>25</v>
      </c>
      <c r="K5" s="9">
        <v>13</v>
      </c>
      <c r="L5" s="8">
        <v>1875</v>
      </c>
      <c r="M5" s="9">
        <v>17</v>
      </c>
    </row>
    <row r="7" spans="1:47" x14ac:dyDescent="0.25">
      <c r="A7" s="5" t="s">
        <v>54</v>
      </c>
      <c r="B7" s="12" t="s">
        <v>489</v>
      </c>
    </row>
    <row r="8" spans="1:47" x14ac:dyDescent="0.25">
      <c r="A8" s="5" t="s">
        <v>56</v>
      </c>
      <c r="B8" s="13" t="s">
        <v>237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490</v>
      </c>
      <c r="C11" s="17">
        <v>1</v>
      </c>
      <c r="D11" s="17" t="s">
        <v>111</v>
      </c>
      <c r="E11" s="18" t="s">
        <v>99</v>
      </c>
      <c r="F11" s="19">
        <v>59</v>
      </c>
      <c r="G11" s="19">
        <v>23</v>
      </c>
      <c r="H11" s="19">
        <v>74</v>
      </c>
      <c r="I11" s="19">
        <v>359</v>
      </c>
      <c r="J11" s="19"/>
      <c r="K11" s="19"/>
      <c r="L11" s="19"/>
      <c r="M11" s="19"/>
      <c r="N11" s="19" t="s">
        <v>491</v>
      </c>
      <c r="O11" s="19">
        <v>17</v>
      </c>
      <c r="P11" s="20">
        <v>5.24</v>
      </c>
      <c r="Q11" s="20"/>
      <c r="R11" s="21"/>
      <c r="S11" s="21">
        <v>0.627</v>
      </c>
      <c r="T11" s="20">
        <v>7.15</v>
      </c>
      <c r="U11" s="22">
        <v>17</v>
      </c>
      <c r="V11" s="22">
        <v>539</v>
      </c>
      <c r="W11" s="22">
        <v>332</v>
      </c>
      <c r="X11" s="22">
        <v>3850</v>
      </c>
      <c r="Y11" s="22">
        <v>26</v>
      </c>
      <c r="Z11" s="22">
        <v>12</v>
      </c>
      <c r="AA11" s="22">
        <v>71</v>
      </c>
      <c r="AB11" s="22">
        <v>322</v>
      </c>
      <c r="AC11" s="22">
        <v>5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4.535211267605634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7.1428571428571432</v>
      </c>
      <c r="AM11" s="25">
        <f t="shared" ref="AM11:AM35" si="4">IFERROR(W11/V11,"")</f>
        <v>0.61595547309833021</v>
      </c>
      <c r="AN11" s="25">
        <f t="shared" ref="AN11:AN35" si="5">IFERROR(AA11/$H$5,"")</f>
        <v>0.15508955875928354</v>
      </c>
      <c r="AO11" s="25">
        <f t="shared" ref="AO11:AO35" si="6">IFERROR(AD11/$G$5,"")</f>
        <v>0</v>
      </c>
      <c r="AP11" s="25">
        <f t="shared" ref="AP11:AP35" si="7">IFERROR(V11/$F$5,"")</f>
        <v>0.89386401326699838</v>
      </c>
      <c r="AQ11" s="26">
        <f t="shared" ref="AQ11:AQ35" si="8">IFERROR(AA11/U11,"")</f>
        <v>4.1764705882352944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-3</v>
      </c>
      <c r="AU11" s="28">
        <f>AF11*Settings!$B$7+AG11*Settings!$B$8+AE11*Settings!$B$9+AB11*Settings!$B$10+AC11*Settings!$B$11+X11*Settings!$B$12+Y11*Settings!$B$13+Z11*Settings!$B$14</f>
        <v>296.2</v>
      </c>
    </row>
    <row r="12" spans="1:47" x14ac:dyDescent="0.25">
      <c r="A12" s="15" t="s">
        <v>96</v>
      </c>
      <c r="B12" s="16" t="s">
        <v>492</v>
      </c>
      <c r="C12" s="17">
        <v>2</v>
      </c>
      <c r="D12" s="17" t="s">
        <v>114</v>
      </c>
      <c r="E12" s="18" t="s">
        <v>99</v>
      </c>
      <c r="F12" s="19">
        <v>10</v>
      </c>
      <c r="G12" s="19"/>
      <c r="H12" s="19"/>
      <c r="I12" s="19" t="s">
        <v>493</v>
      </c>
      <c r="J12" s="19"/>
      <c r="K12" s="19"/>
      <c r="L12" s="19"/>
      <c r="M12" s="19"/>
      <c r="N12" s="19" t="s">
        <v>491</v>
      </c>
      <c r="O12" s="19">
        <v>5</v>
      </c>
      <c r="P12" s="20">
        <v>1.5</v>
      </c>
      <c r="Q12" s="20"/>
      <c r="R12" s="21"/>
      <c r="S12" s="21">
        <v>0.68600000000000005</v>
      </c>
      <c r="T12" s="20">
        <v>8.91</v>
      </c>
      <c r="U12" s="22">
        <v>17</v>
      </c>
      <c r="V12" s="22">
        <v>27</v>
      </c>
      <c r="W12" s="22">
        <v>19</v>
      </c>
      <c r="X12" s="22">
        <v>196</v>
      </c>
      <c r="Y12" s="22">
        <v>1</v>
      </c>
      <c r="Z12" s="22">
        <v>1</v>
      </c>
      <c r="AA12" s="22">
        <v>3</v>
      </c>
      <c r="AB12" s="22">
        <v>6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2</v>
      </c>
      <c r="AJ12" s="24" t="str">
        <f t="shared" si="1"/>
        <v/>
      </c>
      <c r="AK12" s="25" t="str">
        <f t="shared" si="2"/>
        <v/>
      </c>
      <c r="AL12" s="24">
        <f t="shared" si="3"/>
        <v>7.2592592592592595</v>
      </c>
      <c r="AM12" s="25">
        <f t="shared" si="4"/>
        <v>0.70370370370370372</v>
      </c>
      <c r="AN12" s="25">
        <f t="shared" si="5"/>
        <v>6.5530799475753609E-3</v>
      </c>
      <c r="AO12" s="25">
        <f t="shared" si="6"/>
        <v>0</v>
      </c>
      <c r="AP12" s="25">
        <f t="shared" si="7"/>
        <v>4.4776119402985072E-2</v>
      </c>
      <c r="AQ12" s="26">
        <f t="shared" si="8"/>
        <v>0.17647058823529413</v>
      </c>
      <c r="AR12" s="26">
        <f t="shared" si="9"/>
        <v>0</v>
      </c>
      <c r="AS12" s="27">
        <f t="shared" si="10"/>
        <v>0</v>
      </c>
      <c r="AT12" s="27">
        <f t="shared" si="11"/>
        <v>3</v>
      </c>
      <c r="AU12" s="28">
        <f>AF12*Settings!$B$7+AG12*Settings!$B$8+AE12*Settings!$B$9+AB12*Settings!$B$10+AC12*Settings!$B$11+X12*Settings!$B$12+Y12*Settings!$B$13+Z12*Settings!$B$14</f>
        <v>10.44</v>
      </c>
    </row>
    <row r="13" spans="1:47" x14ac:dyDescent="0.25">
      <c r="A13" s="15" t="s">
        <v>96</v>
      </c>
      <c r="B13" s="16" t="s">
        <v>494</v>
      </c>
      <c r="C13" s="17">
        <v>3</v>
      </c>
      <c r="D13" s="17" t="s">
        <v>111</v>
      </c>
      <c r="E13" s="18" t="s">
        <v>99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1"/>
      <c r="S13" s="21"/>
      <c r="T13" s="20"/>
      <c r="U13" s="22">
        <v>17</v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33"/>
      <c r="AI13" s="24" t="str">
        <f t="shared" si="0"/>
        <v/>
      </c>
      <c r="AJ13" s="24" t="str">
        <f t="shared" si="1"/>
        <v/>
      </c>
      <c r="AK13" s="25" t="str">
        <f t="shared" si="2"/>
        <v/>
      </c>
      <c r="AL13" s="24" t="str">
        <f t="shared" si="3"/>
        <v/>
      </c>
      <c r="AM13" s="25" t="str">
        <f t="shared" si="4"/>
        <v/>
      </c>
      <c r="AN13" s="25">
        <f t="shared" si="5"/>
        <v>0</v>
      </c>
      <c r="AO13" s="25">
        <f t="shared" si="6"/>
        <v>0</v>
      </c>
      <c r="AP13" s="25">
        <f t="shared" si="7"/>
        <v>0</v>
      </c>
      <c r="AQ13" s="26">
        <f t="shared" si="8"/>
        <v>0</v>
      </c>
      <c r="AR13" s="26">
        <f t="shared" si="9"/>
        <v>0</v>
      </c>
      <c r="AS13" s="27">
        <f t="shared" si="10"/>
        <v>0</v>
      </c>
      <c r="AT13" s="27">
        <f t="shared" si="11"/>
        <v>0</v>
      </c>
      <c r="AU13" s="28">
        <f>AF13*Settings!$B$7+AG13*Settings!$B$8+AE13*Settings!$B$9+AB13*Settings!$B$10+AC13*Settings!$B$11+X13*Settings!$B$12+Y13*Settings!$B$13+Z13*Settings!$B$14</f>
        <v>0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495</v>
      </c>
      <c r="C15" s="17">
        <v>1</v>
      </c>
      <c r="D15" s="17" t="s">
        <v>103</v>
      </c>
      <c r="E15" s="18" t="s">
        <v>99</v>
      </c>
      <c r="F15" s="19"/>
      <c r="G15" s="19"/>
      <c r="H15" s="19">
        <v>83</v>
      </c>
      <c r="I15" s="19">
        <v>307</v>
      </c>
      <c r="J15" s="19"/>
      <c r="K15" s="19"/>
      <c r="L15" s="19">
        <v>14</v>
      </c>
      <c r="M15" s="19">
        <v>79</v>
      </c>
      <c r="N15" s="19" t="s">
        <v>491</v>
      </c>
      <c r="O15" s="19">
        <v>15</v>
      </c>
      <c r="P15" s="20">
        <v>3.7</v>
      </c>
      <c r="Q15" s="20">
        <v>7.9</v>
      </c>
      <c r="R15" s="21">
        <v>0.71399999999999997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218</v>
      </c>
      <c r="AB15" s="22">
        <v>892</v>
      </c>
      <c r="AC15" s="22">
        <v>7</v>
      </c>
      <c r="AD15" s="22">
        <v>38</v>
      </c>
      <c r="AE15" s="22">
        <v>30</v>
      </c>
      <c r="AF15" s="22">
        <v>229</v>
      </c>
      <c r="AG15" s="22">
        <v>2</v>
      </c>
      <c r="AH15" s="23" t="s">
        <v>101</v>
      </c>
      <c r="AI15" s="24">
        <f t="shared" si="0"/>
        <v>4.0917431192660549</v>
      </c>
      <c r="AJ15" s="24">
        <f t="shared" si="1"/>
        <v>7.6333333333333337</v>
      </c>
      <c r="AK15" s="25">
        <f t="shared" si="2"/>
        <v>0.78947368421052633</v>
      </c>
      <c r="AL15" s="24" t="str">
        <f t="shared" si="3"/>
        <v/>
      </c>
      <c r="AM15" s="25" t="str">
        <f t="shared" si="4"/>
        <v/>
      </c>
      <c r="AN15" s="25">
        <f t="shared" si="5"/>
        <v>0.47619047619047622</v>
      </c>
      <c r="AO15" s="25">
        <f t="shared" si="6"/>
        <v>6.6086956521739126E-2</v>
      </c>
      <c r="AP15" s="25">
        <f t="shared" si="7"/>
        <v>0</v>
      </c>
      <c r="AQ15" s="26">
        <f t="shared" si="8"/>
        <v>12.823529411764707</v>
      </c>
      <c r="AR15" s="26">
        <f t="shared" si="9"/>
        <v>2.2352941176470589</v>
      </c>
      <c r="AS15" s="27">
        <f t="shared" si="10"/>
        <v>24</v>
      </c>
      <c r="AT15" s="27">
        <f t="shared" si="11"/>
        <v>135</v>
      </c>
      <c r="AU15" s="28">
        <f>AF15*Settings!$B$7+AG15*Settings!$B$8+AE15*Settings!$B$9+AB15*Settings!$B$10+AC15*Settings!$B$11+X15*Settings!$B$12+Y15*Settings!$B$13+Z15*Settings!$B$14</f>
        <v>181.10000000000002</v>
      </c>
    </row>
    <row r="16" spans="1:47" x14ac:dyDescent="0.25">
      <c r="A16" s="15" t="s">
        <v>107</v>
      </c>
      <c r="B16" s="16" t="s">
        <v>496</v>
      </c>
      <c r="C16" s="17">
        <v>2</v>
      </c>
      <c r="D16" s="17" t="s">
        <v>111</v>
      </c>
      <c r="E16" s="18" t="s">
        <v>99</v>
      </c>
      <c r="F16" s="19">
        <v>51</v>
      </c>
      <c r="G16" s="19">
        <v>35</v>
      </c>
      <c r="H16" s="19">
        <v>112</v>
      </c>
      <c r="I16" s="19">
        <v>500</v>
      </c>
      <c r="J16" s="19">
        <v>2</v>
      </c>
      <c r="K16" s="19">
        <v>1</v>
      </c>
      <c r="L16" s="19">
        <v>4</v>
      </c>
      <c r="M16" s="19">
        <v>30</v>
      </c>
      <c r="N16" s="19" t="s">
        <v>197</v>
      </c>
      <c r="O16" s="19">
        <v>13</v>
      </c>
      <c r="P16" s="20">
        <v>4.6500000000000004</v>
      </c>
      <c r="Q16" s="20">
        <v>9</v>
      </c>
      <c r="R16" s="21">
        <v>0.85699999999999998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145</v>
      </c>
      <c r="AB16" s="22">
        <v>622</v>
      </c>
      <c r="AC16" s="22">
        <v>5</v>
      </c>
      <c r="AD16" s="22">
        <v>9</v>
      </c>
      <c r="AE16" s="22">
        <v>7</v>
      </c>
      <c r="AF16" s="22">
        <v>53</v>
      </c>
      <c r="AG16" s="22">
        <v>0</v>
      </c>
      <c r="AH16" s="23" t="s">
        <v>101</v>
      </c>
      <c r="AI16" s="24">
        <f t="shared" si="0"/>
        <v>4.2896551724137932</v>
      </c>
      <c r="AJ16" s="24">
        <f t="shared" si="1"/>
        <v>7.5714285714285712</v>
      </c>
      <c r="AK16" s="25">
        <f t="shared" si="2"/>
        <v>0.77777777777777779</v>
      </c>
      <c r="AL16" s="24" t="str">
        <f t="shared" si="3"/>
        <v/>
      </c>
      <c r="AM16" s="25" t="str">
        <f t="shared" si="4"/>
        <v/>
      </c>
      <c r="AN16" s="25">
        <f t="shared" si="5"/>
        <v>0.31673219746614245</v>
      </c>
      <c r="AO16" s="25">
        <f t="shared" si="6"/>
        <v>1.5652173913043479E-2</v>
      </c>
      <c r="AP16" s="25">
        <f t="shared" si="7"/>
        <v>0</v>
      </c>
      <c r="AQ16" s="26">
        <f t="shared" si="8"/>
        <v>8.5294117647058822</v>
      </c>
      <c r="AR16" s="26">
        <f t="shared" si="9"/>
        <v>0.52941176470588236</v>
      </c>
      <c r="AS16" s="27">
        <f t="shared" si="10"/>
        <v>5</v>
      </c>
      <c r="AT16" s="27">
        <f t="shared" si="11"/>
        <v>33</v>
      </c>
      <c r="AU16" s="28">
        <f>AF16*Settings!$B$7+AG16*Settings!$B$8+AE16*Settings!$B$9+AB16*Settings!$B$10+AC16*Settings!$B$11+X16*Settings!$B$12+Y16*Settings!$B$13+Z16*Settings!$B$14</f>
        <v>101</v>
      </c>
    </row>
    <row r="17" spans="1:47" x14ac:dyDescent="0.25">
      <c r="A17" s="15" t="s">
        <v>107</v>
      </c>
      <c r="B17" s="16" t="s">
        <v>497</v>
      </c>
      <c r="C17" s="17">
        <v>3</v>
      </c>
      <c r="D17" s="17" t="s">
        <v>118</v>
      </c>
      <c r="E17" s="18" t="s">
        <v>99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20"/>
      <c r="R17" s="21"/>
      <c r="S17" s="21"/>
      <c r="T17" s="20"/>
      <c r="U17" s="22">
        <v>17</v>
      </c>
      <c r="V17" s="22"/>
      <c r="W17" s="22"/>
      <c r="X17" s="22"/>
      <c r="Y17" s="22"/>
      <c r="Z17" s="22"/>
      <c r="AA17" s="22">
        <v>27</v>
      </c>
      <c r="AB17" s="22">
        <v>100</v>
      </c>
      <c r="AC17" s="22">
        <v>1</v>
      </c>
      <c r="AD17" s="22">
        <v>5</v>
      </c>
      <c r="AE17" s="22">
        <v>5</v>
      </c>
      <c r="AF17" s="22">
        <v>35</v>
      </c>
      <c r="AG17" s="22">
        <v>0</v>
      </c>
      <c r="AH17" s="23" t="s">
        <v>101</v>
      </c>
      <c r="AI17" s="24">
        <f t="shared" si="0"/>
        <v>3.7037037037037037</v>
      </c>
      <c r="AJ17" s="24">
        <f t="shared" si="1"/>
        <v>7</v>
      </c>
      <c r="AK17" s="25">
        <f t="shared" si="2"/>
        <v>1</v>
      </c>
      <c r="AL17" s="24" t="str">
        <f t="shared" si="3"/>
        <v/>
      </c>
      <c r="AM17" s="25" t="str">
        <f t="shared" si="4"/>
        <v/>
      </c>
      <c r="AN17" s="25">
        <f t="shared" si="5"/>
        <v>5.8977719528178249E-2</v>
      </c>
      <c r="AO17" s="25">
        <f t="shared" si="6"/>
        <v>8.6956521739130436E-3</v>
      </c>
      <c r="AP17" s="25">
        <f t="shared" si="7"/>
        <v>0</v>
      </c>
      <c r="AQ17" s="26">
        <f t="shared" si="8"/>
        <v>1.588235294117647</v>
      </c>
      <c r="AR17" s="26">
        <f t="shared" si="9"/>
        <v>0.29411764705882354</v>
      </c>
      <c r="AS17" s="27">
        <f t="shared" si="10"/>
        <v>5</v>
      </c>
      <c r="AT17" s="27">
        <f t="shared" si="11"/>
        <v>27</v>
      </c>
      <c r="AU17" s="28">
        <f>AF17*Settings!$B$7+AG17*Settings!$B$8+AE17*Settings!$B$9+AB17*Settings!$B$10+AC17*Settings!$B$11+X17*Settings!$B$12+Y17*Settings!$B$13+Z17*Settings!$B$14</f>
        <v>22</v>
      </c>
    </row>
    <row r="18" spans="1:47" x14ac:dyDescent="0.25">
      <c r="A18" s="15" t="s">
        <v>107</v>
      </c>
      <c r="B18" s="16" t="s">
        <v>498</v>
      </c>
      <c r="C18" s="17">
        <v>4</v>
      </c>
      <c r="D18" s="17" t="s">
        <v>128</v>
      </c>
      <c r="E18" s="18" t="s">
        <v>99</v>
      </c>
      <c r="F18" s="19"/>
      <c r="G18" s="19"/>
      <c r="H18" s="19">
        <v>23</v>
      </c>
      <c r="I18" s="19">
        <v>94</v>
      </c>
      <c r="J18" s="19"/>
      <c r="K18" s="19"/>
      <c r="L18" s="19">
        <v>11</v>
      </c>
      <c r="M18" s="19">
        <v>54</v>
      </c>
      <c r="N18" s="19" t="s">
        <v>491</v>
      </c>
      <c r="O18" s="19">
        <v>17</v>
      </c>
      <c r="P18" s="20">
        <v>4.09</v>
      </c>
      <c r="Q18" s="20">
        <v>5.4</v>
      </c>
      <c r="R18" s="21">
        <v>0.90900000000000003</v>
      </c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24</v>
      </c>
      <c r="AB18" s="22">
        <v>107</v>
      </c>
      <c r="AC18" s="22">
        <v>0</v>
      </c>
      <c r="AD18" s="22">
        <v>19</v>
      </c>
      <c r="AE18" s="22">
        <v>16</v>
      </c>
      <c r="AF18" s="22">
        <v>106</v>
      </c>
      <c r="AG18" s="22">
        <v>1</v>
      </c>
      <c r="AH18" s="23" t="s">
        <v>101</v>
      </c>
      <c r="AI18" s="24">
        <f t="shared" si="0"/>
        <v>4.458333333333333</v>
      </c>
      <c r="AJ18" s="24">
        <f t="shared" si="1"/>
        <v>6.625</v>
      </c>
      <c r="AK18" s="25">
        <f t="shared" si="2"/>
        <v>0.84210526315789469</v>
      </c>
      <c r="AL18" s="24" t="str">
        <f t="shared" si="3"/>
        <v/>
      </c>
      <c r="AM18" s="25" t="str">
        <f t="shared" si="4"/>
        <v/>
      </c>
      <c r="AN18" s="25">
        <f t="shared" si="5"/>
        <v>5.2424639580602887E-2</v>
      </c>
      <c r="AO18" s="25">
        <f t="shared" si="6"/>
        <v>3.3043478260869563E-2</v>
      </c>
      <c r="AP18" s="25">
        <f t="shared" si="7"/>
        <v>0</v>
      </c>
      <c r="AQ18" s="26">
        <f t="shared" si="8"/>
        <v>1.411764705882353</v>
      </c>
      <c r="AR18" s="26">
        <f t="shared" si="9"/>
        <v>1.1176470588235294</v>
      </c>
      <c r="AS18" s="27">
        <f t="shared" si="10"/>
        <v>8</v>
      </c>
      <c r="AT18" s="27">
        <f t="shared" si="11"/>
        <v>1</v>
      </c>
      <c r="AU18" s="28">
        <f>AF18*Settings!$B$7+AG18*Settings!$B$8+AE18*Settings!$B$9+AB18*Settings!$B$10+AC18*Settings!$B$11+X18*Settings!$B$12+Y18*Settings!$B$13+Z18*Settings!$B$14</f>
        <v>35.300000000000004</v>
      </c>
    </row>
    <row r="19" spans="1:47" x14ac:dyDescent="0.25">
      <c r="A19" s="15" t="s">
        <v>107</v>
      </c>
      <c r="B19" s="16" t="s">
        <v>499</v>
      </c>
      <c r="C19" s="17">
        <v>5</v>
      </c>
      <c r="D19" s="17" t="s">
        <v>98</v>
      </c>
      <c r="E19" s="18" t="s">
        <v>99</v>
      </c>
      <c r="F19" s="19">
        <v>15</v>
      </c>
      <c r="G19" s="19">
        <v>66</v>
      </c>
      <c r="H19" s="19">
        <v>14</v>
      </c>
      <c r="I19" s="19">
        <v>60</v>
      </c>
      <c r="J19" s="19">
        <v>24</v>
      </c>
      <c r="K19" s="19">
        <v>47</v>
      </c>
      <c r="L19" s="19">
        <v>17</v>
      </c>
      <c r="M19" s="19">
        <v>99</v>
      </c>
      <c r="N19" s="19" t="s">
        <v>160</v>
      </c>
      <c r="O19" s="19">
        <v>13</v>
      </c>
      <c r="P19" s="20">
        <v>4.84</v>
      </c>
      <c r="Q19" s="20">
        <v>6.55</v>
      </c>
      <c r="R19" s="21">
        <v>0.85199999999999998</v>
      </c>
      <c r="S19" s="21"/>
      <c r="T19" s="20"/>
      <c r="U19" s="22">
        <v>17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9</v>
      </c>
      <c r="AB19" s="22">
        <v>39</v>
      </c>
      <c r="AC19" s="22">
        <v>0</v>
      </c>
      <c r="AD19" s="22">
        <v>5</v>
      </c>
      <c r="AE19" s="22">
        <v>4</v>
      </c>
      <c r="AF19" s="22">
        <v>31</v>
      </c>
      <c r="AG19" s="22">
        <v>0</v>
      </c>
      <c r="AH19" s="23" t="s">
        <v>101</v>
      </c>
      <c r="AI19" s="24">
        <f t="shared" si="0"/>
        <v>4.333333333333333</v>
      </c>
      <c r="AJ19" s="24">
        <f t="shared" si="1"/>
        <v>7.75</v>
      </c>
      <c r="AK19" s="25">
        <f t="shared" si="2"/>
        <v>0.8</v>
      </c>
      <c r="AL19" s="24" t="str">
        <f t="shared" si="3"/>
        <v/>
      </c>
      <c r="AM19" s="25" t="str">
        <f t="shared" si="4"/>
        <v/>
      </c>
      <c r="AN19" s="25">
        <f t="shared" si="5"/>
        <v>1.9659239842726082E-2</v>
      </c>
      <c r="AO19" s="25">
        <f t="shared" si="6"/>
        <v>8.6956521739130436E-3</v>
      </c>
      <c r="AP19" s="25">
        <f t="shared" si="7"/>
        <v>0</v>
      </c>
      <c r="AQ19" s="26">
        <f t="shared" si="8"/>
        <v>0.52941176470588236</v>
      </c>
      <c r="AR19" s="26">
        <f t="shared" si="9"/>
        <v>0.29411764705882354</v>
      </c>
      <c r="AS19" s="27">
        <f t="shared" si="10"/>
        <v>-12</v>
      </c>
      <c r="AT19" s="27">
        <f t="shared" si="11"/>
        <v>-5</v>
      </c>
      <c r="AU19" s="28">
        <f>AF19*Settings!$B$7+AG19*Settings!$B$8+AE19*Settings!$B$9+AB19*Settings!$B$10+AC19*Settings!$B$11+X19*Settings!$B$12+Y19*Settings!$B$13+Z19*Settings!$B$14</f>
        <v>9</v>
      </c>
    </row>
    <row r="20" spans="1:47" x14ac:dyDescent="0.25">
      <c r="A20" s="15" t="s">
        <v>107</v>
      </c>
      <c r="B20" s="16" t="s">
        <v>500</v>
      </c>
      <c r="C20" s="17">
        <v>6</v>
      </c>
      <c r="D20" s="17" t="s">
        <v>158</v>
      </c>
      <c r="E20" s="18" t="s">
        <v>99</v>
      </c>
      <c r="F20" s="19">
        <v>10</v>
      </c>
      <c r="G20" s="19">
        <v>9</v>
      </c>
      <c r="H20" s="19">
        <v>2</v>
      </c>
      <c r="I20" s="19">
        <v>21</v>
      </c>
      <c r="J20" s="19">
        <v>9</v>
      </c>
      <c r="K20" s="19">
        <v>3</v>
      </c>
      <c r="L20" s="19">
        <v>1</v>
      </c>
      <c r="M20" s="19"/>
      <c r="N20" s="19" t="s">
        <v>491</v>
      </c>
      <c r="O20" s="19">
        <v>3</v>
      </c>
      <c r="P20" s="20">
        <v>5.05</v>
      </c>
      <c r="Q20" s="20">
        <v>4.1100000000000003</v>
      </c>
      <c r="R20" s="21">
        <v>0.69199999999999995</v>
      </c>
      <c r="S20" s="21"/>
      <c r="T20" s="20"/>
      <c r="U20" s="22">
        <v>17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2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3" t="s">
        <v>101</v>
      </c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-1</v>
      </c>
      <c r="AT20" s="27">
        <f t="shared" si="11"/>
        <v>-2</v>
      </c>
      <c r="AU20" s="28">
        <f>AF20*Settings!$B$7+AG20*Settings!$B$8+AE20*Settings!$B$9+AB20*Settings!$B$10+AC20*Settings!$B$11+X20*Settings!$B$12+Y20*Settings!$B$13+Z20*Settings!$B$14</f>
        <v>0.2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501</v>
      </c>
      <c r="C22" s="17">
        <v>1</v>
      </c>
      <c r="D22" s="17" t="s">
        <v>103</v>
      </c>
      <c r="E22" s="18" t="s">
        <v>99</v>
      </c>
      <c r="F22" s="19"/>
      <c r="G22" s="19">
        <v>6</v>
      </c>
      <c r="H22" s="19">
        <v>3</v>
      </c>
      <c r="I22" s="19">
        <v>21</v>
      </c>
      <c r="J22" s="19"/>
      <c r="K22" s="19">
        <v>133</v>
      </c>
      <c r="L22" s="19">
        <v>91</v>
      </c>
      <c r="M22" s="19">
        <v>707</v>
      </c>
      <c r="N22" s="19" t="s">
        <v>491</v>
      </c>
      <c r="O22" s="19">
        <v>14</v>
      </c>
      <c r="P22" s="20">
        <v>7.67</v>
      </c>
      <c r="Q22" s="20">
        <v>14.73</v>
      </c>
      <c r="R22" s="21">
        <v>0.60299999999999998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4</v>
      </c>
      <c r="AB22" s="22">
        <v>19</v>
      </c>
      <c r="AC22" s="22">
        <v>0</v>
      </c>
      <c r="AD22" s="22">
        <v>102</v>
      </c>
      <c r="AE22" s="22">
        <v>58</v>
      </c>
      <c r="AF22" s="22">
        <v>858</v>
      </c>
      <c r="AG22" s="22">
        <v>6</v>
      </c>
      <c r="AH22" s="23" t="s">
        <v>101</v>
      </c>
      <c r="AI22" s="24">
        <f t="shared" si="0"/>
        <v>4.75</v>
      </c>
      <c r="AJ22" s="24">
        <f t="shared" si="1"/>
        <v>14.793103448275861</v>
      </c>
      <c r="AK22" s="25">
        <f t="shared" si="2"/>
        <v>0.56862745098039214</v>
      </c>
      <c r="AL22" s="24" t="str">
        <f t="shared" si="3"/>
        <v/>
      </c>
      <c r="AM22" s="25" t="str">
        <f t="shared" si="4"/>
        <v/>
      </c>
      <c r="AN22" s="25">
        <f t="shared" si="5"/>
        <v>8.7374399301004806E-3</v>
      </c>
      <c r="AO22" s="25">
        <f t="shared" si="6"/>
        <v>0.17739130434782607</v>
      </c>
      <c r="AP22" s="25">
        <f t="shared" si="7"/>
        <v>0</v>
      </c>
      <c r="AQ22" s="26">
        <f t="shared" si="8"/>
        <v>0.23529411764705882</v>
      </c>
      <c r="AR22" s="26">
        <f t="shared" si="9"/>
        <v>6</v>
      </c>
      <c r="AS22" s="27">
        <f t="shared" si="10"/>
        <v>11</v>
      </c>
      <c r="AT22" s="27">
        <f t="shared" si="11"/>
        <v>1</v>
      </c>
      <c r="AU22" s="28">
        <f>AF22*Settings!$B$7+AG22*Settings!$B$8+AE22*Settings!$B$9+AB22*Settings!$B$10+AC22*Settings!$B$11+X22*Settings!$B$12+Y22*Settings!$B$13+Z22*Settings!$B$14</f>
        <v>152.70000000000002</v>
      </c>
    </row>
    <row r="23" spans="1:47" x14ac:dyDescent="0.25">
      <c r="A23" s="15" t="s">
        <v>121</v>
      </c>
      <c r="B23" s="16" t="s">
        <v>502</v>
      </c>
      <c r="C23" s="17">
        <v>2</v>
      </c>
      <c r="D23" s="17" t="s">
        <v>118</v>
      </c>
      <c r="E23" s="18" t="s">
        <v>99</v>
      </c>
      <c r="F23" s="19"/>
      <c r="G23" s="19"/>
      <c r="H23" s="19">
        <v>7</v>
      </c>
      <c r="I23" s="19"/>
      <c r="J23" s="19">
        <v>21</v>
      </c>
      <c r="K23" s="19">
        <v>51</v>
      </c>
      <c r="L23" s="19">
        <v>95</v>
      </c>
      <c r="M23" s="19">
        <v>847</v>
      </c>
      <c r="N23" s="19" t="s">
        <v>491</v>
      </c>
      <c r="O23" s="19">
        <v>16</v>
      </c>
      <c r="P23" s="20"/>
      <c r="Q23" s="20">
        <v>12.92</v>
      </c>
      <c r="R23" s="21">
        <v>0.63500000000000001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5</v>
      </c>
      <c r="AB23" s="22">
        <v>21</v>
      </c>
      <c r="AC23" s="22">
        <v>0</v>
      </c>
      <c r="AD23" s="22">
        <v>107</v>
      </c>
      <c r="AE23" s="22">
        <v>66</v>
      </c>
      <c r="AF23" s="22">
        <v>877</v>
      </c>
      <c r="AG23" s="22">
        <v>6</v>
      </c>
      <c r="AH23" s="23" t="s">
        <v>101</v>
      </c>
      <c r="AI23" s="24">
        <f t="shared" si="0"/>
        <v>4.2</v>
      </c>
      <c r="AJ23" s="24">
        <f t="shared" si="1"/>
        <v>13.287878787878787</v>
      </c>
      <c r="AK23" s="25">
        <f t="shared" si="2"/>
        <v>0.61682242990654201</v>
      </c>
      <c r="AL23" s="24" t="str">
        <f t="shared" si="3"/>
        <v/>
      </c>
      <c r="AM23" s="25" t="str">
        <f t="shared" si="4"/>
        <v/>
      </c>
      <c r="AN23" s="25">
        <f t="shared" si="5"/>
        <v>1.0921799912625601E-2</v>
      </c>
      <c r="AO23" s="25">
        <f t="shared" si="6"/>
        <v>0.18608695652173912</v>
      </c>
      <c r="AP23" s="25">
        <f t="shared" si="7"/>
        <v>0</v>
      </c>
      <c r="AQ23" s="26">
        <f t="shared" si="8"/>
        <v>0.29411764705882354</v>
      </c>
      <c r="AR23" s="26">
        <f t="shared" si="9"/>
        <v>6.2941176470588234</v>
      </c>
      <c r="AS23" s="27">
        <f t="shared" si="10"/>
        <v>12</v>
      </c>
      <c r="AT23" s="27">
        <f t="shared" si="11"/>
        <v>-2</v>
      </c>
      <c r="AU23" s="28">
        <f>AF23*Settings!$B$7+AG23*Settings!$B$8+AE23*Settings!$B$9+AB23*Settings!$B$10+AC23*Settings!$B$11+X23*Settings!$B$12+Y23*Settings!$B$13+Z23*Settings!$B$14</f>
        <v>158.79999999999998</v>
      </c>
    </row>
    <row r="24" spans="1:47" x14ac:dyDescent="0.25">
      <c r="A24" s="15" t="s">
        <v>121</v>
      </c>
      <c r="B24" s="16" t="s">
        <v>503</v>
      </c>
      <c r="C24" s="17">
        <v>3</v>
      </c>
      <c r="D24" s="17" t="s">
        <v>118</v>
      </c>
      <c r="E24" s="18" t="s">
        <v>99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20"/>
      <c r="R24" s="21"/>
      <c r="S24" s="21"/>
      <c r="T24" s="20"/>
      <c r="U24" s="22">
        <v>17</v>
      </c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33"/>
      <c r="AI24" s="24" t="str">
        <f t="shared" si="0"/>
        <v/>
      </c>
      <c r="AJ24" s="24" t="str">
        <f t="shared" si="1"/>
        <v/>
      </c>
      <c r="AK24" s="25" t="str">
        <f t="shared" si="2"/>
        <v/>
      </c>
      <c r="AL24" s="24" t="str">
        <f t="shared" si="3"/>
        <v/>
      </c>
      <c r="AM24" s="25" t="str">
        <f t="shared" si="4"/>
        <v/>
      </c>
      <c r="AN24" s="25">
        <f t="shared" si="5"/>
        <v>0</v>
      </c>
      <c r="AO24" s="25">
        <f t="shared" si="6"/>
        <v>0</v>
      </c>
      <c r="AP24" s="25">
        <f t="shared" si="7"/>
        <v>0</v>
      </c>
      <c r="AQ24" s="26">
        <f t="shared" si="8"/>
        <v>0</v>
      </c>
      <c r="AR24" s="26">
        <f t="shared" si="9"/>
        <v>0</v>
      </c>
      <c r="AS24" s="27">
        <f t="shared" si="10"/>
        <v>0</v>
      </c>
      <c r="AT24" s="27">
        <f t="shared" si="11"/>
        <v>0</v>
      </c>
      <c r="AU24" s="28">
        <f>AF24*Settings!$B$7+AG24*Settings!$B$8+AE24*Settings!$B$9+AB24*Settings!$B$10+AC24*Settings!$B$11+X24*Settings!$B$12+Y24*Settings!$B$13+Z24*Settings!$B$14</f>
        <v>0</v>
      </c>
    </row>
    <row r="25" spans="1:47" x14ac:dyDescent="0.25">
      <c r="A25" s="15" t="s">
        <v>121</v>
      </c>
      <c r="B25" s="16" t="s">
        <v>504</v>
      </c>
      <c r="C25" s="17">
        <v>4</v>
      </c>
      <c r="D25" s="17" t="s">
        <v>168</v>
      </c>
      <c r="E25" s="18" t="s">
        <v>99</v>
      </c>
      <c r="F25" s="19">
        <v>4</v>
      </c>
      <c r="G25" s="19">
        <v>2</v>
      </c>
      <c r="H25" s="19"/>
      <c r="I25" s="19"/>
      <c r="J25" s="19">
        <v>106</v>
      </c>
      <c r="K25" s="19">
        <v>129</v>
      </c>
      <c r="L25" s="19">
        <v>49</v>
      </c>
      <c r="M25" s="19">
        <v>352</v>
      </c>
      <c r="N25" s="19" t="s">
        <v>241</v>
      </c>
      <c r="O25" s="19">
        <v>7</v>
      </c>
      <c r="P25" s="20">
        <v>7.83</v>
      </c>
      <c r="Q25" s="20">
        <v>11.45</v>
      </c>
      <c r="R25" s="21">
        <v>0.67300000000000004</v>
      </c>
      <c r="S25" s="21">
        <v>0.66700000000000004</v>
      </c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5</v>
      </c>
      <c r="AB25" s="22">
        <v>19</v>
      </c>
      <c r="AC25" s="22">
        <v>0</v>
      </c>
      <c r="AD25" s="22">
        <v>100</v>
      </c>
      <c r="AE25" s="22">
        <v>66</v>
      </c>
      <c r="AF25" s="22">
        <v>751</v>
      </c>
      <c r="AG25" s="22">
        <v>5</v>
      </c>
      <c r="AH25" s="23" t="s">
        <v>101</v>
      </c>
      <c r="AI25" s="24">
        <f t="shared" si="0"/>
        <v>3.8</v>
      </c>
      <c r="AJ25" s="24">
        <f t="shared" si="1"/>
        <v>11.378787878787879</v>
      </c>
      <c r="AK25" s="25">
        <f t="shared" si="2"/>
        <v>0.66</v>
      </c>
      <c r="AL25" s="24" t="str">
        <f t="shared" si="3"/>
        <v/>
      </c>
      <c r="AM25" s="25" t="str">
        <f t="shared" si="4"/>
        <v/>
      </c>
      <c r="AN25" s="25">
        <f t="shared" si="5"/>
        <v>1.0921799912625601E-2</v>
      </c>
      <c r="AO25" s="25">
        <f t="shared" si="6"/>
        <v>0.17391304347826086</v>
      </c>
      <c r="AP25" s="25">
        <f t="shared" si="7"/>
        <v>0</v>
      </c>
      <c r="AQ25" s="26">
        <f t="shared" si="8"/>
        <v>0.29411764705882354</v>
      </c>
      <c r="AR25" s="26">
        <f t="shared" si="9"/>
        <v>5.882352941176471</v>
      </c>
      <c r="AS25" s="27">
        <f t="shared" si="10"/>
        <v>51</v>
      </c>
      <c r="AT25" s="27">
        <f t="shared" si="11"/>
        <v>5</v>
      </c>
      <c r="AU25" s="28">
        <f>AF25*Settings!$B$7+AG25*Settings!$B$8+AE25*Settings!$B$9+AB25*Settings!$B$10+AC25*Settings!$B$11+X25*Settings!$B$12+Y25*Settings!$B$13+Z25*Settings!$B$14</f>
        <v>140.00000000000003</v>
      </c>
    </row>
    <row r="26" spans="1:47" x14ac:dyDescent="0.25">
      <c r="A26" s="15" t="s">
        <v>121</v>
      </c>
      <c r="B26" s="16" t="s">
        <v>505</v>
      </c>
      <c r="C26" s="17">
        <v>5</v>
      </c>
      <c r="D26" s="17" t="s">
        <v>103</v>
      </c>
      <c r="E26" s="18" t="s">
        <v>99</v>
      </c>
      <c r="F26" s="19"/>
      <c r="G26" s="19"/>
      <c r="H26" s="19">
        <v>1</v>
      </c>
      <c r="I26" s="19"/>
      <c r="J26" s="19"/>
      <c r="K26" s="19"/>
      <c r="L26" s="19">
        <v>45</v>
      </c>
      <c r="M26" s="19">
        <v>298</v>
      </c>
      <c r="N26" s="19" t="s">
        <v>491</v>
      </c>
      <c r="O26" s="19">
        <v>7</v>
      </c>
      <c r="P26" s="20"/>
      <c r="Q26" s="20">
        <v>10.64</v>
      </c>
      <c r="R26" s="21">
        <v>0.622</v>
      </c>
      <c r="S26" s="21"/>
      <c r="T26" s="20"/>
      <c r="U26" s="22">
        <v>17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1</v>
      </c>
      <c r="AB26" s="22">
        <v>6</v>
      </c>
      <c r="AC26" s="22">
        <v>0</v>
      </c>
      <c r="AD26" s="22">
        <v>62</v>
      </c>
      <c r="AE26" s="22">
        <v>38</v>
      </c>
      <c r="AF26" s="22">
        <v>432</v>
      </c>
      <c r="AG26" s="22">
        <v>3</v>
      </c>
      <c r="AH26" s="23" t="s">
        <v>101</v>
      </c>
      <c r="AI26" s="24">
        <f t="shared" si="0"/>
        <v>6</v>
      </c>
      <c r="AJ26" s="24">
        <f t="shared" si="1"/>
        <v>11.368421052631579</v>
      </c>
      <c r="AK26" s="25">
        <f t="shared" si="2"/>
        <v>0.61290322580645162</v>
      </c>
      <c r="AL26" s="24" t="str">
        <f t="shared" si="3"/>
        <v/>
      </c>
      <c r="AM26" s="25" t="str">
        <f t="shared" si="4"/>
        <v/>
      </c>
      <c r="AN26" s="25">
        <f t="shared" si="5"/>
        <v>2.1843599825251202E-3</v>
      </c>
      <c r="AO26" s="25">
        <f t="shared" si="6"/>
        <v>0.10782608695652174</v>
      </c>
      <c r="AP26" s="25">
        <f t="shared" si="7"/>
        <v>0</v>
      </c>
      <c r="AQ26" s="26">
        <f t="shared" si="8"/>
        <v>5.8823529411764705E-2</v>
      </c>
      <c r="AR26" s="26">
        <f t="shared" si="9"/>
        <v>3.6470588235294117</v>
      </c>
      <c r="AS26" s="27">
        <f t="shared" si="10"/>
        <v>17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80.8</v>
      </c>
    </row>
    <row r="27" spans="1:47" x14ac:dyDescent="0.25">
      <c r="A27" s="15" t="s">
        <v>121</v>
      </c>
      <c r="B27" s="16" t="s">
        <v>506</v>
      </c>
      <c r="C27" s="17">
        <v>6</v>
      </c>
      <c r="D27" s="17" t="s">
        <v>118</v>
      </c>
      <c r="E27" s="18" t="s">
        <v>99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20"/>
      <c r="R27" s="21"/>
      <c r="S27" s="21"/>
      <c r="T27" s="20"/>
      <c r="U27" s="22">
        <v>17</v>
      </c>
      <c r="V27" s="22"/>
      <c r="W27" s="22"/>
      <c r="X27" s="22"/>
      <c r="Y27" s="22"/>
      <c r="Z27" s="22"/>
      <c r="AA27" s="22">
        <v>0</v>
      </c>
      <c r="AB27" s="22">
        <v>0</v>
      </c>
      <c r="AC27" s="22">
        <v>0</v>
      </c>
      <c r="AD27" s="22">
        <v>4</v>
      </c>
      <c r="AE27" s="22">
        <v>3</v>
      </c>
      <c r="AF27" s="22">
        <v>36</v>
      </c>
      <c r="AG27" s="22">
        <v>0</v>
      </c>
      <c r="AH27" s="23" t="s">
        <v>101</v>
      </c>
      <c r="AI27" s="24" t="str">
        <f t="shared" si="0"/>
        <v/>
      </c>
      <c r="AJ27" s="24">
        <f t="shared" si="1"/>
        <v>12</v>
      </c>
      <c r="AK27" s="25">
        <f t="shared" si="2"/>
        <v>0.75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6.956521739130435E-3</v>
      </c>
      <c r="AP27" s="25">
        <f t="shared" si="7"/>
        <v>0</v>
      </c>
      <c r="AQ27" s="26">
        <f t="shared" si="8"/>
        <v>0</v>
      </c>
      <c r="AR27" s="26">
        <f t="shared" si="9"/>
        <v>0.23529411764705882</v>
      </c>
      <c r="AS27" s="27">
        <f t="shared" si="10"/>
        <v>4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5.0999999999999996</v>
      </c>
    </row>
    <row r="28" spans="1:47" x14ac:dyDescent="0.25">
      <c r="A28" s="15" t="s">
        <v>121</v>
      </c>
      <c r="B28" s="16" t="s">
        <v>507</v>
      </c>
      <c r="C28" s="17">
        <v>7</v>
      </c>
      <c r="D28" s="17" t="s">
        <v>128</v>
      </c>
      <c r="E28" s="18" t="s">
        <v>99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20"/>
      <c r="R28" s="21"/>
      <c r="S28" s="21"/>
      <c r="T28" s="20"/>
      <c r="U28" s="22">
        <v>17</v>
      </c>
      <c r="V28" s="22"/>
      <c r="W28" s="22"/>
      <c r="X28" s="22"/>
      <c r="Y28" s="22"/>
      <c r="Z28" s="22"/>
      <c r="AA28" s="22">
        <v>0</v>
      </c>
      <c r="AB28" s="22">
        <v>0</v>
      </c>
      <c r="AC28" s="22">
        <v>0</v>
      </c>
      <c r="AD28" s="22">
        <v>0</v>
      </c>
      <c r="AE28" s="22">
        <v>2</v>
      </c>
      <c r="AF28" s="22">
        <v>23</v>
      </c>
      <c r="AG28" s="22">
        <v>0</v>
      </c>
      <c r="AH28" s="23" t="s">
        <v>101</v>
      </c>
      <c r="AI28" s="24" t="str">
        <f t="shared" si="0"/>
        <v/>
      </c>
      <c r="AJ28" s="24">
        <f t="shared" si="1"/>
        <v>11.5</v>
      </c>
      <c r="AK28" s="25" t="str">
        <f t="shared" si="2"/>
        <v/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0</v>
      </c>
      <c r="AP28" s="25">
        <f t="shared" si="7"/>
        <v>0</v>
      </c>
      <c r="AQ28" s="26">
        <f t="shared" si="8"/>
        <v>0</v>
      </c>
      <c r="AR28" s="26">
        <f t="shared" si="9"/>
        <v>0</v>
      </c>
      <c r="AS28" s="27">
        <f t="shared" si="10"/>
        <v>0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3.3000000000000003</v>
      </c>
    </row>
    <row r="29" spans="1:47" x14ac:dyDescent="0.25">
      <c r="A29" s="15" t="s">
        <v>121</v>
      </c>
      <c r="B29" s="16" t="s">
        <v>508</v>
      </c>
      <c r="C29" s="17">
        <v>8</v>
      </c>
      <c r="D29" s="17" t="s">
        <v>130</v>
      </c>
      <c r="E29" s="18" t="s">
        <v>99</v>
      </c>
      <c r="F29" s="19"/>
      <c r="G29" s="19"/>
      <c r="H29" s="19"/>
      <c r="I29" s="19"/>
      <c r="J29" s="19">
        <v>7</v>
      </c>
      <c r="K29" s="19">
        <v>3</v>
      </c>
      <c r="L29" s="19">
        <v>10</v>
      </c>
      <c r="M29" s="19">
        <v>46</v>
      </c>
      <c r="N29" s="19" t="s">
        <v>491</v>
      </c>
      <c r="O29" s="19">
        <v>6</v>
      </c>
      <c r="P29" s="20"/>
      <c r="Q29" s="20">
        <v>12.78</v>
      </c>
      <c r="R29" s="21">
        <v>0.45</v>
      </c>
      <c r="S29" s="21"/>
      <c r="T29" s="20"/>
      <c r="U29" s="22">
        <v>17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10</v>
      </c>
      <c r="AE29" s="22">
        <v>3</v>
      </c>
      <c r="AF29" s="22">
        <v>46</v>
      </c>
      <c r="AG29" s="22">
        <v>0</v>
      </c>
      <c r="AH29" s="23" t="s">
        <v>101</v>
      </c>
      <c r="AI29" s="24" t="str">
        <f t="shared" si="0"/>
        <v/>
      </c>
      <c r="AJ29" s="24">
        <f t="shared" si="1"/>
        <v>15.333333333333334</v>
      </c>
      <c r="AK29" s="25">
        <f t="shared" si="2"/>
        <v>0.3</v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1.7391304347826087E-2</v>
      </c>
      <c r="AP29" s="25">
        <f t="shared" si="7"/>
        <v>0</v>
      </c>
      <c r="AQ29" s="26">
        <f t="shared" si="8"/>
        <v>0</v>
      </c>
      <c r="AR29" s="26">
        <f t="shared" si="9"/>
        <v>0.58823529411764708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6.1000000000000005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509</v>
      </c>
      <c r="C31" s="17">
        <v>1</v>
      </c>
      <c r="D31" s="17" t="s">
        <v>105</v>
      </c>
      <c r="E31" s="18" t="s">
        <v>99</v>
      </c>
      <c r="F31" s="19"/>
      <c r="G31" s="19"/>
      <c r="H31" s="19"/>
      <c r="I31" s="19"/>
      <c r="J31" s="19">
        <v>9</v>
      </c>
      <c r="K31" s="19">
        <v>53</v>
      </c>
      <c r="L31" s="19">
        <v>60</v>
      </c>
      <c r="M31" s="19">
        <v>540</v>
      </c>
      <c r="N31" s="19" t="s">
        <v>491</v>
      </c>
      <c r="O31" s="19">
        <v>12</v>
      </c>
      <c r="P31" s="20"/>
      <c r="Q31" s="20">
        <v>10.84</v>
      </c>
      <c r="R31" s="21">
        <v>0.746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84</v>
      </c>
      <c r="AE31" s="22">
        <v>59</v>
      </c>
      <c r="AF31" s="22">
        <v>631</v>
      </c>
      <c r="AG31" s="22">
        <v>4</v>
      </c>
      <c r="AH31" s="23" t="s">
        <v>101</v>
      </c>
      <c r="AI31" s="24" t="str">
        <f t="shared" si="0"/>
        <v/>
      </c>
      <c r="AJ31" s="24">
        <f t="shared" si="1"/>
        <v>10.694915254237289</v>
      </c>
      <c r="AK31" s="25">
        <f t="shared" si="2"/>
        <v>0.70238095238095233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0.14608695652173914</v>
      </c>
      <c r="AP31" s="25">
        <f t="shared" si="7"/>
        <v>0</v>
      </c>
      <c r="AQ31" s="26">
        <f t="shared" si="8"/>
        <v>0</v>
      </c>
      <c r="AR31" s="26">
        <f t="shared" si="9"/>
        <v>4.9411764705882355</v>
      </c>
      <c r="AS31" s="27">
        <f t="shared" si="10"/>
        <v>24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116.6</v>
      </c>
    </row>
    <row r="32" spans="1:47" x14ac:dyDescent="0.25">
      <c r="A32" s="15" t="s">
        <v>135</v>
      </c>
      <c r="B32" s="16" t="s">
        <v>510</v>
      </c>
      <c r="C32" s="17">
        <v>2</v>
      </c>
      <c r="D32" s="17" t="s">
        <v>118</v>
      </c>
      <c r="E32" s="18" t="s">
        <v>99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20"/>
      <c r="R32" s="21"/>
      <c r="S32" s="21"/>
      <c r="T32" s="20"/>
      <c r="U32" s="22">
        <v>17</v>
      </c>
      <c r="V32" s="22"/>
      <c r="W32" s="22"/>
      <c r="X32" s="22"/>
      <c r="Y32" s="22"/>
      <c r="Z32" s="22"/>
      <c r="AA32" s="22">
        <v>0</v>
      </c>
      <c r="AB32" s="22">
        <v>0</v>
      </c>
      <c r="AC32" s="22">
        <v>0</v>
      </c>
      <c r="AD32" s="22">
        <v>19</v>
      </c>
      <c r="AE32" s="22">
        <v>13</v>
      </c>
      <c r="AF32" s="22">
        <v>135</v>
      </c>
      <c r="AG32" s="22">
        <v>1</v>
      </c>
      <c r="AH32" s="23" t="s">
        <v>101</v>
      </c>
      <c r="AI32" s="24" t="str">
        <f t="shared" si="0"/>
        <v/>
      </c>
      <c r="AJ32" s="24">
        <f t="shared" si="1"/>
        <v>10.384615384615385</v>
      </c>
      <c r="AK32" s="25">
        <f t="shared" si="2"/>
        <v>0.68421052631578949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3.3043478260869563E-2</v>
      </c>
      <c r="AP32" s="25">
        <f t="shared" si="7"/>
        <v>0</v>
      </c>
      <c r="AQ32" s="26">
        <f t="shared" si="8"/>
        <v>0</v>
      </c>
      <c r="AR32" s="26">
        <f t="shared" si="9"/>
        <v>1.1176470588235294</v>
      </c>
      <c r="AS32" s="27">
        <f t="shared" si="10"/>
        <v>19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26</v>
      </c>
    </row>
    <row r="33" spans="1:47" x14ac:dyDescent="0.25">
      <c r="A33" s="15" t="s">
        <v>135</v>
      </c>
      <c r="B33" s="16" t="s">
        <v>511</v>
      </c>
      <c r="C33" s="17">
        <v>3</v>
      </c>
      <c r="D33" s="17" t="s">
        <v>158</v>
      </c>
      <c r="E33" s="18" t="s">
        <v>99</v>
      </c>
      <c r="F33" s="19"/>
      <c r="G33" s="19"/>
      <c r="H33" s="19"/>
      <c r="I33" s="19"/>
      <c r="J33" s="19"/>
      <c r="K33" s="19">
        <v>9</v>
      </c>
      <c r="L33" s="19">
        <v>17</v>
      </c>
      <c r="M33" s="19">
        <v>85</v>
      </c>
      <c r="N33" s="19" t="s">
        <v>491</v>
      </c>
      <c r="O33" s="19">
        <v>9</v>
      </c>
      <c r="P33" s="20"/>
      <c r="Q33" s="20">
        <v>7.63</v>
      </c>
      <c r="R33" s="21">
        <v>0.73099999999999998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8</v>
      </c>
      <c r="AE33" s="22">
        <v>5</v>
      </c>
      <c r="AF33" s="22">
        <v>45</v>
      </c>
      <c r="AG33" s="22">
        <v>1</v>
      </c>
      <c r="AH33" s="23" t="s">
        <v>101</v>
      </c>
      <c r="AI33" s="24" t="str">
        <f t="shared" si="0"/>
        <v/>
      </c>
      <c r="AJ33" s="24">
        <f t="shared" si="1"/>
        <v>9</v>
      </c>
      <c r="AK33" s="25">
        <f t="shared" si="2"/>
        <v>0.625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1.391304347826087E-2</v>
      </c>
      <c r="AP33" s="25">
        <f t="shared" si="7"/>
        <v>0</v>
      </c>
      <c r="AQ33" s="26">
        <f t="shared" si="8"/>
        <v>0</v>
      </c>
      <c r="AR33" s="26">
        <f t="shared" si="9"/>
        <v>0.47058823529411764</v>
      </c>
      <c r="AS33" s="27">
        <f t="shared" si="10"/>
        <v>-9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13</v>
      </c>
    </row>
    <row r="34" spans="1:47" x14ac:dyDescent="0.25">
      <c r="A34" s="15" t="s">
        <v>135</v>
      </c>
      <c r="B34" s="16" t="s">
        <v>512</v>
      </c>
      <c r="C34" s="17">
        <v>4</v>
      </c>
      <c r="D34" s="17" t="s">
        <v>128</v>
      </c>
      <c r="E34" s="18" t="s">
        <v>99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1"/>
      <c r="S34" s="21"/>
      <c r="T34" s="20"/>
      <c r="U34" s="22">
        <v>17</v>
      </c>
      <c r="V34" s="22"/>
      <c r="W34" s="22"/>
      <c r="X34" s="22"/>
      <c r="Y34" s="22"/>
      <c r="Z34" s="22"/>
      <c r="AA34" s="22">
        <v>0</v>
      </c>
      <c r="AB34" s="22">
        <v>0</v>
      </c>
      <c r="AC34" s="22">
        <v>0</v>
      </c>
      <c r="AD34" s="22">
        <v>13</v>
      </c>
      <c r="AE34" s="22">
        <v>10</v>
      </c>
      <c r="AF34" s="22">
        <v>101</v>
      </c>
      <c r="AG34" s="22">
        <v>1</v>
      </c>
      <c r="AH34" s="23" t="s">
        <v>101</v>
      </c>
      <c r="AI34" s="24" t="str">
        <f t="shared" si="0"/>
        <v/>
      </c>
      <c r="AJ34" s="24">
        <f t="shared" si="1"/>
        <v>10.1</v>
      </c>
      <c r="AK34" s="25">
        <f t="shared" si="2"/>
        <v>0.76923076923076927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2.2608695652173914E-2</v>
      </c>
      <c r="AP34" s="25">
        <f t="shared" si="7"/>
        <v>0</v>
      </c>
      <c r="AQ34" s="26">
        <f t="shared" si="8"/>
        <v>0</v>
      </c>
      <c r="AR34" s="26">
        <f t="shared" si="9"/>
        <v>0.76470588235294112</v>
      </c>
      <c r="AS34" s="27">
        <f t="shared" si="10"/>
        <v>13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21.1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566</v>
      </c>
      <c r="W37" s="34">
        <f t="shared" si="12"/>
        <v>351</v>
      </c>
      <c r="X37" s="34">
        <f t="shared" si="12"/>
        <v>4046</v>
      </c>
      <c r="Y37" s="34">
        <f t="shared" si="12"/>
        <v>27</v>
      </c>
      <c r="Z37" s="34">
        <f t="shared" si="12"/>
        <v>13</v>
      </c>
      <c r="AA37" s="34">
        <f t="shared" si="12"/>
        <v>512</v>
      </c>
      <c r="AB37" s="34">
        <f t="shared" si="12"/>
        <v>2155</v>
      </c>
      <c r="AC37" s="34">
        <f t="shared" si="12"/>
        <v>18</v>
      </c>
      <c r="AD37" s="34">
        <f t="shared" si="12"/>
        <v>585</v>
      </c>
      <c r="AE37" s="34">
        <f t="shared" si="12"/>
        <v>385</v>
      </c>
      <c r="AF37" s="34">
        <f t="shared" si="12"/>
        <v>4389</v>
      </c>
      <c r="AG37" s="34">
        <f t="shared" si="12"/>
        <v>30</v>
      </c>
    </row>
    <row r="38" spans="1:47" x14ac:dyDescent="0.25">
      <c r="A38" s="5" t="s">
        <v>142</v>
      </c>
      <c r="V38" s="35">
        <f>$F$5</f>
        <v>603</v>
      </c>
      <c r="X38" s="35">
        <f>$I$5</f>
        <v>3973</v>
      </c>
      <c r="Y38" s="35">
        <f>$J$5</f>
        <v>25</v>
      </c>
      <c r="Z38" s="35">
        <f>$K$5</f>
        <v>13</v>
      </c>
      <c r="AA38" s="35">
        <f>$H$5</f>
        <v>457.79999999999995</v>
      </c>
      <c r="AB38" s="35">
        <f>$L$5</f>
        <v>1875</v>
      </c>
      <c r="AC38" s="35">
        <f>$M$5</f>
        <v>17</v>
      </c>
      <c r="AD38" s="35">
        <f>$G$5</f>
        <v>575</v>
      </c>
      <c r="AF38" s="35">
        <f>$I$5</f>
        <v>3973</v>
      </c>
      <c r="AG38" s="35">
        <f>$J$5</f>
        <v>25</v>
      </c>
    </row>
    <row r="39" spans="1:47" x14ac:dyDescent="0.25">
      <c r="A39" s="5" t="s">
        <v>143</v>
      </c>
      <c r="V39" s="36">
        <f>$F$5-V37</f>
        <v>37</v>
      </c>
      <c r="X39" s="36">
        <f>$I$5-X37</f>
        <v>-73</v>
      </c>
      <c r="Y39" s="36">
        <f>$J$5-Y37</f>
        <v>-2</v>
      </c>
      <c r="Z39" s="36">
        <f>$K$5-Z37</f>
        <v>0</v>
      </c>
      <c r="AA39" s="36">
        <f>$H$5-AA37</f>
        <v>-54.200000000000045</v>
      </c>
      <c r="AB39" s="36">
        <f>$L$5-AB37</f>
        <v>-280</v>
      </c>
      <c r="AC39" s="36">
        <f>$M$5-AC37</f>
        <v>-1</v>
      </c>
      <c r="AD39" s="36">
        <f>$G$5-AD37</f>
        <v>-10</v>
      </c>
      <c r="AF39" s="36">
        <f>$I$5-AF37</f>
        <v>-416</v>
      </c>
      <c r="AG39" s="36">
        <f>$J$5-AG37</f>
        <v>-5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539" priority="1" stopIfTrue="1">
      <formula>V37&gt;$F$5</formula>
    </cfRule>
    <cfRule type="expression" dxfId="538" priority="2">
      <formula>AND($F$5&gt;0,V37&lt;$F$5*0.97)</formula>
    </cfRule>
    <cfRule type="expression" dxfId="537" priority="3">
      <formula>AND($F$5&gt;0,V37&gt;=$F$5*0.97,V37&lt;=$F$5)</formula>
    </cfRule>
  </conditionalFormatting>
  <conditionalFormatting sqref="X37">
    <cfRule type="expression" dxfId="536" priority="4" stopIfTrue="1">
      <formula>X37&gt;$I$5</formula>
    </cfRule>
    <cfRule type="expression" dxfId="535" priority="5">
      <formula>AND($I$5&gt;0,X37&lt;$I$5*0.97)</formula>
    </cfRule>
    <cfRule type="expression" dxfId="534" priority="6">
      <formula>AND($I$5&gt;0,X37&gt;=$I$5*0.97,X37&lt;=$I$5)</formula>
    </cfRule>
  </conditionalFormatting>
  <conditionalFormatting sqref="Y37">
    <cfRule type="expression" dxfId="533" priority="7" stopIfTrue="1">
      <formula>Y37&gt;$J$5</formula>
    </cfRule>
    <cfRule type="expression" dxfId="532" priority="8">
      <formula>AND($J$5&gt;0,Y37&lt;$J$5*0.97)</formula>
    </cfRule>
    <cfRule type="expression" dxfId="531" priority="9">
      <formula>AND($J$5&gt;0,Y37&gt;=$J$5*0.97,Y37&lt;=$J$5)</formula>
    </cfRule>
  </conditionalFormatting>
  <conditionalFormatting sqref="Z37">
    <cfRule type="expression" dxfId="530" priority="10" stopIfTrue="1">
      <formula>Z37&gt;$K$5</formula>
    </cfRule>
    <cfRule type="expression" dxfId="529" priority="11">
      <formula>AND($K$5&gt;0,Z37&lt;$K$5*0.97)</formula>
    </cfRule>
    <cfRule type="expression" dxfId="528" priority="12">
      <formula>AND($K$5&gt;0,Z37&gt;=$K$5*0.97,Z37&lt;=$K$5)</formula>
    </cfRule>
  </conditionalFormatting>
  <conditionalFormatting sqref="AA37">
    <cfRule type="expression" dxfId="527" priority="13" stopIfTrue="1">
      <formula>AA37&gt;$H$5</formula>
    </cfRule>
    <cfRule type="expression" dxfId="526" priority="14">
      <formula>AND($H$5&gt;0,AA37&lt;$H$5*0.97)</formula>
    </cfRule>
    <cfRule type="expression" dxfId="525" priority="15">
      <formula>AND($H$5&gt;0,AA37&gt;=$H$5*0.97,AA37&lt;=$H$5)</formula>
    </cfRule>
  </conditionalFormatting>
  <conditionalFormatting sqref="AB37">
    <cfRule type="expression" dxfId="524" priority="16" stopIfTrue="1">
      <formula>AB37&gt;$L$5</formula>
    </cfRule>
    <cfRule type="expression" dxfId="523" priority="17">
      <formula>AND($L$5&gt;0,AB37&lt;$L$5*0.97)</formula>
    </cfRule>
    <cfRule type="expression" dxfId="522" priority="18">
      <formula>AND($L$5&gt;0,AB37&gt;=$L$5*0.97,AB37&lt;=$L$5)</formula>
    </cfRule>
  </conditionalFormatting>
  <conditionalFormatting sqref="AC37">
    <cfRule type="expression" dxfId="521" priority="19" stopIfTrue="1">
      <formula>AC37&gt;$M$5</formula>
    </cfRule>
    <cfRule type="expression" dxfId="520" priority="20">
      <formula>AND($M$5&gt;0,AC37&lt;$M$5*0.97)</formula>
    </cfRule>
    <cfRule type="expression" dxfId="519" priority="21">
      <formula>AND($M$5&gt;0,AC37&gt;=$M$5*0.97,AC37&lt;=$M$5)</formula>
    </cfRule>
  </conditionalFormatting>
  <conditionalFormatting sqref="AD37">
    <cfRule type="expression" dxfId="518" priority="22" stopIfTrue="1">
      <formula>AD37&gt;$G$5</formula>
    </cfRule>
    <cfRule type="expression" dxfId="517" priority="23">
      <formula>AND($G$5&gt;0,AD37&lt;$G$5*0.97)</formula>
    </cfRule>
    <cfRule type="expression" dxfId="516" priority="24">
      <formula>AND($G$5&gt;0,AD37&gt;=$G$5*0.97,AD37&lt;=$G$5)</formula>
    </cfRule>
  </conditionalFormatting>
  <conditionalFormatting sqref="AF37">
    <cfRule type="expression" dxfId="515" priority="25" stopIfTrue="1">
      <formula>AF37&gt;$I$5</formula>
    </cfRule>
    <cfRule type="expression" dxfId="514" priority="26">
      <formula>AND($I$5&gt;0,AF37&lt;$I$5*0.97)</formula>
    </cfRule>
    <cfRule type="expression" dxfId="513" priority="27">
      <formula>AND($I$5&gt;0,AF37&gt;=$I$5*0.97,AF37&lt;=$I$5)</formula>
    </cfRule>
  </conditionalFormatting>
  <conditionalFormatting sqref="AG37">
    <cfRule type="expression" dxfId="512" priority="28" stopIfTrue="1">
      <formula>AG37&gt;$J$5</formula>
    </cfRule>
    <cfRule type="expression" dxfId="511" priority="29">
      <formula>AND($J$5&gt;0,AG37&lt;$J$5*0.97)</formula>
    </cfRule>
    <cfRule type="expression" dxfId="510" priority="30">
      <formula>AND($J$5&gt;0,AG37&gt;=$J$5*0.97,AG37&lt;=$J$5)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513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62.7</v>
      </c>
      <c r="D5" s="10">
        <f>C5*B5</f>
        <v>1065.9000000000001</v>
      </c>
      <c r="E5" s="11">
        <v>0.58730000000000004</v>
      </c>
      <c r="F5" s="10">
        <f>ROUND(D5*E5,0)</f>
        <v>626</v>
      </c>
      <c r="G5" s="10">
        <f>ROUND(F5*Settings!$B$4,0)</f>
        <v>597</v>
      </c>
      <c r="H5" s="10">
        <f>D5-F5</f>
        <v>439.90000000000009</v>
      </c>
      <c r="I5" s="8">
        <v>4013</v>
      </c>
      <c r="J5" s="9">
        <v>25</v>
      </c>
      <c r="K5" s="9">
        <v>13</v>
      </c>
      <c r="L5" s="8">
        <v>1852</v>
      </c>
      <c r="M5" s="9">
        <v>14</v>
      </c>
    </row>
    <row r="7" spans="1:47" x14ac:dyDescent="0.25">
      <c r="A7" s="5" t="s">
        <v>54</v>
      </c>
      <c r="B7" s="12" t="s">
        <v>514</v>
      </c>
    </row>
    <row r="8" spans="1:47" x14ac:dyDescent="0.25">
      <c r="A8" s="5" t="s">
        <v>56</v>
      </c>
      <c r="B8" s="13" t="s">
        <v>515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516</v>
      </c>
      <c r="C11" s="17">
        <v>1</v>
      </c>
      <c r="D11" s="17" t="s">
        <v>200</v>
      </c>
      <c r="E11" s="32" t="s">
        <v>115</v>
      </c>
      <c r="F11" s="19">
        <v>54</v>
      </c>
      <c r="G11" s="19">
        <v>38</v>
      </c>
      <c r="H11" s="19">
        <v>56</v>
      </c>
      <c r="I11" s="19">
        <v>422</v>
      </c>
      <c r="J11" s="19"/>
      <c r="K11" s="19">
        <v>1</v>
      </c>
      <c r="L11" s="19">
        <v>1</v>
      </c>
      <c r="M11" s="19" t="s">
        <v>517</v>
      </c>
      <c r="N11" s="19" t="s">
        <v>210</v>
      </c>
      <c r="O11" s="19">
        <v>14</v>
      </c>
      <c r="P11" s="20">
        <v>7.55</v>
      </c>
      <c r="Q11" s="20">
        <v>-4</v>
      </c>
      <c r="R11" s="21">
        <v>1</v>
      </c>
      <c r="S11" s="21">
        <v>0.66</v>
      </c>
      <c r="T11" s="20">
        <v>6.96</v>
      </c>
      <c r="U11" s="22">
        <v>17</v>
      </c>
      <c r="V11" s="22">
        <v>556</v>
      </c>
      <c r="W11" s="22">
        <v>359</v>
      </c>
      <c r="X11" s="22">
        <v>3883</v>
      </c>
      <c r="Y11" s="22">
        <v>27</v>
      </c>
      <c r="Z11" s="22">
        <v>12</v>
      </c>
      <c r="AA11" s="22">
        <v>58</v>
      </c>
      <c r="AB11" s="22">
        <v>322</v>
      </c>
      <c r="AC11" s="22">
        <v>3</v>
      </c>
      <c r="AD11" s="22">
        <v>1</v>
      </c>
      <c r="AE11" s="22">
        <v>1</v>
      </c>
      <c r="AF11" s="22">
        <v>-10</v>
      </c>
      <c r="AG11" s="22">
        <v>0</v>
      </c>
      <c r="AH11" s="23" t="s">
        <v>101</v>
      </c>
      <c r="AI11" s="24">
        <f t="shared" ref="AI11:AI35" si="0">IFERROR(AB11/AA11,"")</f>
        <v>5.5517241379310347</v>
      </c>
      <c r="AJ11" s="24">
        <f t="shared" ref="AJ11:AJ35" si="1">IFERROR(AF11/AE11,"")</f>
        <v>-10</v>
      </c>
      <c r="AK11" s="25">
        <f t="shared" ref="AK11:AK35" si="2">IFERROR(AE11/AD11,"")</f>
        <v>1</v>
      </c>
      <c r="AL11" s="24">
        <f t="shared" ref="AL11:AL35" si="3">IFERROR(X11/V11,"")</f>
        <v>6.9838129496402876</v>
      </c>
      <c r="AM11" s="25">
        <f t="shared" ref="AM11:AM35" si="4">IFERROR(W11/V11,"")</f>
        <v>0.64568345323741005</v>
      </c>
      <c r="AN11" s="25">
        <f t="shared" ref="AN11:AN35" si="5">IFERROR(AA11/$H$5,"")</f>
        <v>0.13184814730620592</v>
      </c>
      <c r="AO11" s="25">
        <f t="shared" ref="AO11:AO35" si="6">IFERROR(AD11/$G$5,"")</f>
        <v>1.6750418760469012E-3</v>
      </c>
      <c r="AP11" s="25">
        <f t="shared" ref="AP11:AP35" si="7">IFERROR(V11/$F$5,"")</f>
        <v>0.88817891373801916</v>
      </c>
      <c r="AQ11" s="26">
        <f t="shared" ref="AQ11:AQ35" si="8">IFERROR(AA11/U11,"")</f>
        <v>3.4117647058823528</v>
      </c>
      <c r="AR11" s="26">
        <f t="shared" ref="AR11:AR35" si="9">IFERROR(AD11/U11,"")</f>
        <v>5.8823529411764705E-2</v>
      </c>
      <c r="AS11" s="27">
        <f t="shared" ref="AS11:AS35" si="10">IFERROR(AD11-L11,"")</f>
        <v>0</v>
      </c>
      <c r="AT11" s="27">
        <f t="shared" ref="AT11:AT35" si="11">IFERROR(AA11-H11,"")</f>
        <v>2</v>
      </c>
      <c r="AU11" s="28">
        <f>AF11*Settings!$B$7+AG11*Settings!$B$8+AE11*Settings!$B$9+AB11*Settings!$B$10+AC11*Settings!$B$11+X11*Settings!$B$12+Y11*Settings!$B$13+Z11*Settings!$B$14</f>
        <v>289.02</v>
      </c>
    </row>
    <row r="12" spans="1:47" x14ac:dyDescent="0.25">
      <c r="A12" s="15" t="s">
        <v>96</v>
      </c>
      <c r="B12" s="16" t="s">
        <v>518</v>
      </c>
      <c r="C12" s="17">
        <v>2</v>
      </c>
      <c r="D12" s="17" t="s">
        <v>158</v>
      </c>
      <c r="E12" s="18" t="s">
        <v>99</v>
      </c>
      <c r="F12" s="19">
        <v>117</v>
      </c>
      <c r="G12" s="19">
        <v>58</v>
      </c>
      <c r="H12" s="19">
        <v>67</v>
      </c>
      <c r="I12" s="19">
        <v>383</v>
      </c>
      <c r="J12" s="19"/>
      <c r="K12" s="19"/>
      <c r="L12" s="19">
        <v>1</v>
      </c>
      <c r="M12" s="19"/>
      <c r="N12" s="19" t="s">
        <v>358</v>
      </c>
      <c r="O12" s="19">
        <v>9</v>
      </c>
      <c r="P12" s="20">
        <v>5.49</v>
      </c>
      <c r="Q12" s="20"/>
      <c r="R12" s="21"/>
      <c r="S12" s="21">
        <v>0.627</v>
      </c>
      <c r="T12" s="20">
        <v>6.7</v>
      </c>
      <c r="U12" s="22">
        <v>17</v>
      </c>
      <c r="V12" s="22">
        <v>34</v>
      </c>
      <c r="W12" s="22">
        <v>22</v>
      </c>
      <c r="X12" s="22">
        <v>230</v>
      </c>
      <c r="Y12" s="22">
        <v>1</v>
      </c>
      <c r="Z12" s="22">
        <v>1</v>
      </c>
      <c r="AA12" s="22">
        <v>8</v>
      </c>
      <c r="AB12" s="22">
        <v>39</v>
      </c>
      <c r="AC12" s="22">
        <v>0</v>
      </c>
      <c r="AD12" s="22">
        <v>1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4.875</v>
      </c>
      <c r="AJ12" s="24" t="str">
        <f t="shared" si="1"/>
        <v/>
      </c>
      <c r="AK12" s="25">
        <f t="shared" si="2"/>
        <v>0</v>
      </c>
      <c r="AL12" s="24">
        <f t="shared" si="3"/>
        <v>6.7647058823529411</v>
      </c>
      <c r="AM12" s="25">
        <f t="shared" si="4"/>
        <v>0.6470588235294118</v>
      </c>
      <c r="AN12" s="25">
        <f t="shared" si="5"/>
        <v>1.8185951352580127E-2</v>
      </c>
      <c r="AO12" s="25">
        <f t="shared" si="6"/>
        <v>1.6750418760469012E-3</v>
      </c>
      <c r="AP12" s="25">
        <f t="shared" si="7"/>
        <v>5.4313099041533544E-2</v>
      </c>
      <c r="AQ12" s="26">
        <f t="shared" si="8"/>
        <v>0.47058823529411764</v>
      </c>
      <c r="AR12" s="26">
        <f t="shared" si="9"/>
        <v>5.8823529411764705E-2</v>
      </c>
      <c r="AS12" s="27">
        <f t="shared" si="10"/>
        <v>0</v>
      </c>
      <c r="AT12" s="27">
        <f t="shared" si="11"/>
        <v>-59</v>
      </c>
      <c r="AU12" s="28">
        <f>AF12*Settings!$B$7+AG12*Settings!$B$8+AE12*Settings!$B$9+AB12*Settings!$B$10+AC12*Settings!$B$11+X12*Settings!$B$12+Y12*Settings!$B$13+Z12*Settings!$B$14</f>
        <v>15.100000000000001</v>
      </c>
    </row>
    <row r="13" spans="1:47" x14ac:dyDescent="0.25">
      <c r="A13" s="15" t="s">
        <v>96</v>
      </c>
      <c r="B13" s="16" t="s">
        <v>519</v>
      </c>
      <c r="C13" s="17">
        <v>3</v>
      </c>
      <c r="D13" s="17" t="s">
        <v>130</v>
      </c>
      <c r="E13" s="18" t="s">
        <v>99</v>
      </c>
      <c r="F13" s="19"/>
      <c r="G13" s="19">
        <v>1</v>
      </c>
      <c r="H13" s="19">
        <v>5</v>
      </c>
      <c r="I13" s="19">
        <v>18</v>
      </c>
      <c r="J13" s="19"/>
      <c r="K13" s="19"/>
      <c r="L13" s="19"/>
      <c r="M13" s="19"/>
      <c r="N13" s="19" t="s">
        <v>210</v>
      </c>
      <c r="O13" s="19">
        <v>3</v>
      </c>
      <c r="P13" s="20">
        <v>3.83</v>
      </c>
      <c r="Q13" s="20"/>
      <c r="R13" s="21"/>
      <c r="S13" s="21">
        <v>0.63600000000000001</v>
      </c>
      <c r="T13" s="20">
        <v>4.2699999999999996</v>
      </c>
      <c r="U13" s="22">
        <v>17</v>
      </c>
      <c r="V13" s="22">
        <v>23</v>
      </c>
      <c r="W13" s="22">
        <v>14</v>
      </c>
      <c r="X13" s="22">
        <v>99</v>
      </c>
      <c r="Y13" s="22">
        <v>1</v>
      </c>
      <c r="Z13" s="22">
        <v>0</v>
      </c>
      <c r="AA13" s="22">
        <v>3</v>
      </c>
      <c r="AB13" s="22">
        <v>12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3" t="s">
        <v>101</v>
      </c>
      <c r="AI13" s="24">
        <f t="shared" si="0"/>
        <v>4</v>
      </c>
      <c r="AJ13" s="24" t="str">
        <f t="shared" si="1"/>
        <v/>
      </c>
      <c r="AK13" s="25" t="str">
        <f t="shared" si="2"/>
        <v/>
      </c>
      <c r="AL13" s="24">
        <f t="shared" si="3"/>
        <v>4.3043478260869561</v>
      </c>
      <c r="AM13" s="25">
        <f t="shared" si="4"/>
        <v>0.60869565217391308</v>
      </c>
      <c r="AN13" s="25">
        <f t="shared" si="5"/>
        <v>6.8197317572175481E-3</v>
      </c>
      <c r="AO13" s="25">
        <f t="shared" si="6"/>
        <v>0</v>
      </c>
      <c r="AP13" s="25">
        <f t="shared" si="7"/>
        <v>3.6741214057507986E-2</v>
      </c>
      <c r="AQ13" s="26">
        <f t="shared" si="8"/>
        <v>0.17647058823529413</v>
      </c>
      <c r="AR13" s="26">
        <f t="shared" si="9"/>
        <v>0</v>
      </c>
      <c r="AS13" s="27">
        <f t="shared" si="10"/>
        <v>0</v>
      </c>
      <c r="AT13" s="27">
        <f t="shared" si="11"/>
        <v>-2</v>
      </c>
      <c r="AU13" s="28">
        <f>AF13*Settings!$B$7+AG13*Settings!$B$8+AE13*Settings!$B$9+AB13*Settings!$B$10+AC13*Settings!$B$11+X13*Settings!$B$12+Y13*Settings!$B$13+Z13*Settings!$B$14</f>
        <v>9.16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520</v>
      </c>
      <c r="C15" s="17">
        <v>1</v>
      </c>
      <c r="D15" s="17" t="s">
        <v>105</v>
      </c>
      <c r="E15" s="18" t="s">
        <v>99</v>
      </c>
      <c r="F15" s="19">
        <v>219</v>
      </c>
      <c r="G15" s="19">
        <v>153</v>
      </c>
      <c r="H15" s="19">
        <v>221</v>
      </c>
      <c r="I15" s="19">
        <v>1027</v>
      </c>
      <c r="J15" s="19">
        <v>37</v>
      </c>
      <c r="K15" s="19">
        <v>53</v>
      </c>
      <c r="L15" s="19">
        <v>36</v>
      </c>
      <c r="M15" s="19">
        <v>282</v>
      </c>
      <c r="N15" s="19" t="s">
        <v>521</v>
      </c>
      <c r="O15" s="19">
        <v>17</v>
      </c>
      <c r="P15" s="20">
        <v>4.22</v>
      </c>
      <c r="Q15" s="20">
        <v>7.92</v>
      </c>
      <c r="R15" s="21">
        <v>0.84099999999999997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253</v>
      </c>
      <c r="AB15" s="22">
        <v>1116</v>
      </c>
      <c r="AC15" s="22">
        <v>9</v>
      </c>
      <c r="AD15" s="22">
        <v>56</v>
      </c>
      <c r="AE15" s="22">
        <v>45</v>
      </c>
      <c r="AF15" s="22">
        <v>354</v>
      </c>
      <c r="AG15" s="22">
        <v>2</v>
      </c>
      <c r="AH15" s="23" t="s">
        <v>101</v>
      </c>
      <c r="AI15" s="24">
        <f t="shared" si="0"/>
        <v>4.4110671936758896</v>
      </c>
      <c r="AJ15" s="24">
        <f t="shared" si="1"/>
        <v>7.8666666666666663</v>
      </c>
      <c r="AK15" s="25">
        <f t="shared" si="2"/>
        <v>0.8035714285714286</v>
      </c>
      <c r="AL15" s="24" t="str">
        <f t="shared" si="3"/>
        <v/>
      </c>
      <c r="AM15" s="25" t="str">
        <f t="shared" si="4"/>
        <v/>
      </c>
      <c r="AN15" s="25">
        <f t="shared" si="5"/>
        <v>0.57513071152534656</v>
      </c>
      <c r="AO15" s="25">
        <f t="shared" si="6"/>
        <v>9.380234505862646E-2</v>
      </c>
      <c r="AP15" s="25">
        <f t="shared" si="7"/>
        <v>0</v>
      </c>
      <c r="AQ15" s="26">
        <f t="shared" si="8"/>
        <v>14.882352941176471</v>
      </c>
      <c r="AR15" s="26">
        <f t="shared" si="9"/>
        <v>3.2941176470588234</v>
      </c>
      <c r="AS15" s="27">
        <f t="shared" si="10"/>
        <v>20</v>
      </c>
      <c r="AT15" s="27">
        <f t="shared" si="11"/>
        <v>32</v>
      </c>
      <c r="AU15" s="28">
        <f>AF15*Settings!$B$7+AG15*Settings!$B$8+AE15*Settings!$B$9+AB15*Settings!$B$10+AC15*Settings!$B$11+X15*Settings!$B$12+Y15*Settings!$B$13+Z15*Settings!$B$14</f>
        <v>235.5</v>
      </c>
    </row>
    <row r="16" spans="1:47" x14ac:dyDescent="0.25">
      <c r="A16" s="15" t="s">
        <v>107</v>
      </c>
      <c r="B16" s="16" t="s">
        <v>522</v>
      </c>
      <c r="C16" s="17">
        <v>2</v>
      </c>
      <c r="D16" s="17" t="s">
        <v>158</v>
      </c>
      <c r="E16" s="18" t="s">
        <v>99</v>
      </c>
      <c r="F16" s="19">
        <v>58</v>
      </c>
      <c r="G16" s="19">
        <v>24</v>
      </c>
      <c r="H16" s="19">
        <v>44</v>
      </c>
      <c r="I16" s="19">
        <v>312</v>
      </c>
      <c r="J16" s="19">
        <v>30</v>
      </c>
      <c r="K16" s="19">
        <v>20</v>
      </c>
      <c r="L16" s="19">
        <v>20</v>
      </c>
      <c r="M16" s="19">
        <v>101</v>
      </c>
      <c r="N16" s="19" t="s">
        <v>100</v>
      </c>
      <c r="O16" s="19">
        <v>13</v>
      </c>
      <c r="P16" s="20">
        <v>6.5</v>
      </c>
      <c r="Q16" s="20">
        <v>6.48</v>
      </c>
      <c r="R16" s="21">
        <v>0.71399999999999997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47</v>
      </c>
      <c r="AB16" s="22">
        <v>232</v>
      </c>
      <c r="AC16" s="22">
        <v>1</v>
      </c>
      <c r="AD16" s="22">
        <v>17</v>
      </c>
      <c r="AE16" s="22">
        <v>13</v>
      </c>
      <c r="AF16" s="22">
        <v>95</v>
      </c>
      <c r="AG16" s="22">
        <v>0</v>
      </c>
      <c r="AH16" s="23" t="s">
        <v>101</v>
      </c>
      <c r="AI16" s="24">
        <f t="shared" si="0"/>
        <v>4.9361702127659575</v>
      </c>
      <c r="AJ16" s="24">
        <f t="shared" si="1"/>
        <v>7.3076923076923075</v>
      </c>
      <c r="AK16" s="25">
        <f t="shared" si="2"/>
        <v>0.76470588235294112</v>
      </c>
      <c r="AL16" s="24" t="str">
        <f t="shared" si="3"/>
        <v/>
      </c>
      <c r="AM16" s="25" t="str">
        <f t="shared" si="4"/>
        <v/>
      </c>
      <c r="AN16" s="25">
        <f t="shared" si="5"/>
        <v>0.10684246419640825</v>
      </c>
      <c r="AO16" s="25">
        <f t="shared" si="6"/>
        <v>2.8475711892797319E-2</v>
      </c>
      <c r="AP16" s="25">
        <f t="shared" si="7"/>
        <v>0</v>
      </c>
      <c r="AQ16" s="26">
        <f t="shared" si="8"/>
        <v>2.7647058823529411</v>
      </c>
      <c r="AR16" s="26">
        <f t="shared" si="9"/>
        <v>1</v>
      </c>
      <c r="AS16" s="27">
        <f t="shared" si="10"/>
        <v>-3</v>
      </c>
      <c r="AT16" s="27">
        <f t="shared" si="11"/>
        <v>3</v>
      </c>
      <c r="AU16" s="28">
        <f>AF16*Settings!$B$7+AG16*Settings!$B$8+AE16*Settings!$B$9+AB16*Settings!$B$10+AC16*Settings!$B$11+X16*Settings!$B$12+Y16*Settings!$B$13+Z16*Settings!$B$14</f>
        <v>45.2</v>
      </c>
    </row>
    <row r="17" spans="1:47" x14ac:dyDescent="0.25">
      <c r="A17" s="15" t="s">
        <v>107</v>
      </c>
      <c r="B17" s="16" t="s">
        <v>523</v>
      </c>
      <c r="C17" s="17">
        <v>3</v>
      </c>
      <c r="D17" s="17" t="s">
        <v>128</v>
      </c>
      <c r="E17" s="18" t="s">
        <v>99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20"/>
      <c r="R17" s="21"/>
      <c r="S17" s="21"/>
      <c r="T17" s="20"/>
      <c r="U17" s="22">
        <v>17</v>
      </c>
      <c r="V17" s="22"/>
      <c r="W17" s="22"/>
      <c r="X17" s="22"/>
      <c r="Y17" s="22"/>
      <c r="Z17" s="22"/>
      <c r="AA17" s="22">
        <v>42</v>
      </c>
      <c r="AB17" s="22">
        <v>178</v>
      </c>
      <c r="AC17" s="22">
        <v>1</v>
      </c>
      <c r="AD17" s="22">
        <v>12</v>
      </c>
      <c r="AE17" s="22">
        <v>10</v>
      </c>
      <c r="AF17" s="22">
        <v>77</v>
      </c>
      <c r="AG17" s="22">
        <v>0</v>
      </c>
      <c r="AH17" s="23" t="s">
        <v>101</v>
      </c>
      <c r="AI17" s="24">
        <f t="shared" si="0"/>
        <v>4.2380952380952381</v>
      </c>
      <c r="AJ17" s="24">
        <f t="shared" si="1"/>
        <v>7.7</v>
      </c>
      <c r="AK17" s="25">
        <f t="shared" si="2"/>
        <v>0.83333333333333337</v>
      </c>
      <c r="AL17" s="24" t="str">
        <f t="shared" si="3"/>
        <v/>
      </c>
      <c r="AM17" s="25" t="str">
        <f t="shared" si="4"/>
        <v/>
      </c>
      <c r="AN17" s="25">
        <f t="shared" si="5"/>
        <v>9.5476244601045673E-2</v>
      </c>
      <c r="AO17" s="25">
        <f t="shared" si="6"/>
        <v>2.0100502512562814E-2</v>
      </c>
      <c r="AP17" s="25">
        <f t="shared" si="7"/>
        <v>0</v>
      </c>
      <c r="AQ17" s="26">
        <f t="shared" si="8"/>
        <v>2.4705882352941178</v>
      </c>
      <c r="AR17" s="26">
        <f t="shared" si="9"/>
        <v>0.70588235294117652</v>
      </c>
      <c r="AS17" s="27">
        <f t="shared" si="10"/>
        <v>12</v>
      </c>
      <c r="AT17" s="27">
        <f t="shared" si="11"/>
        <v>42</v>
      </c>
      <c r="AU17" s="28">
        <f>AF17*Settings!$B$7+AG17*Settings!$B$8+AE17*Settings!$B$9+AB17*Settings!$B$10+AC17*Settings!$B$11+X17*Settings!$B$12+Y17*Settings!$B$13+Z17*Settings!$B$14</f>
        <v>36.5</v>
      </c>
    </row>
    <row r="18" spans="1:47" x14ac:dyDescent="0.25">
      <c r="A18" s="15" t="s">
        <v>107</v>
      </c>
      <c r="B18" s="16" t="s">
        <v>524</v>
      </c>
      <c r="C18" s="17">
        <v>4</v>
      </c>
      <c r="D18" s="17" t="s">
        <v>103</v>
      </c>
      <c r="E18" s="18" t="s">
        <v>99</v>
      </c>
      <c r="F18" s="19"/>
      <c r="G18" s="19"/>
      <c r="H18" s="19">
        <v>44</v>
      </c>
      <c r="I18" s="19">
        <v>151</v>
      </c>
      <c r="J18" s="19"/>
      <c r="K18" s="19"/>
      <c r="L18" s="19">
        <v>35</v>
      </c>
      <c r="M18" s="19">
        <v>172</v>
      </c>
      <c r="N18" s="19" t="s">
        <v>210</v>
      </c>
      <c r="O18" s="19">
        <v>17</v>
      </c>
      <c r="P18" s="20">
        <v>3.43</v>
      </c>
      <c r="Q18" s="20">
        <v>6.88</v>
      </c>
      <c r="R18" s="21">
        <v>0.71399999999999997</v>
      </c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25</v>
      </c>
      <c r="AB18" s="22">
        <v>103</v>
      </c>
      <c r="AC18" s="22">
        <v>1</v>
      </c>
      <c r="AD18" s="22">
        <v>17</v>
      </c>
      <c r="AE18" s="22">
        <v>16</v>
      </c>
      <c r="AF18" s="22">
        <v>113</v>
      </c>
      <c r="AG18" s="22">
        <v>1</v>
      </c>
      <c r="AH18" s="23" t="s">
        <v>101</v>
      </c>
      <c r="AI18" s="24">
        <f t="shared" si="0"/>
        <v>4.12</v>
      </c>
      <c r="AJ18" s="24">
        <f t="shared" si="1"/>
        <v>7.0625</v>
      </c>
      <c r="AK18" s="25">
        <f t="shared" si="2"/>
        <v>0.94117647058823528</v>
      </c>
      <c r="AL18" s="24" t="str">
        <f t="shared" si="3"/>
        <v/>
      </c>
      <c r="AM18" s="25" t="str">
        <f t="shared" si="4"/>
        <v/>
      </c>
      <c r="AN18" s="25">
        <f t="shared" si="5"/>
        <v>5.6831097976812898E-2</v>
      </c>
      <c r="AO18" s="25">
        <f t="shared" si="6"/>
        <v>2.8475711892797319E-2</v>
      </c>
      <c r="AP18" s="25">
        <f t="shared" si="7"/>
        <v>0</v>
      </c>
      <c r="AQ18" s="26">
        <f t="shared" si="8"/>
        <v>1.4705882352941178</v>
      </c>
      <c r="AR18" s="26">
        <f t="shared" si="9"/>
        <v>1</v>
      </c>
      <c r="AS18" s="27">
        <f t="shared" si="10"/>
        <v>-18</v>
      </c>
      <c r="AT18" s="27">
        <f t="shared" si="11"/>
        <v>-19</v>
      </c>
      <c r="AU18" s="28">
        <f>AF18*Settings!$B$7+AG18*Settings!$B$8+AE18*Settings!$B$9+AB18*Settings!$B$10+AC18*Settings!$B$11+X18*Settings!$B$12+Y18*Settings!$B$13+Z18*Settings!$B$14</f>
        <v>41.6</v>
      </c>
    </row>
    <row r="19" spans="1:47" x14ac:dyDescent="0.25">
      <c r="A19" s="15" t="s">
        <v>107</v>
      </c>
      <c r="B19" s="16" t="s">
        <v>525</v>
      </c>
      <c r="C19" s="17">
        <v>5</v>
      </c>
      <c r="D19" s="17" t="s">
        <v>103</v>
      </c>
      <c r="E19" s="18" t="s">
        <v>99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1"/>
      <c r="S19" s="21"/>
      <c r="T19" s="20"/>
      <c r="U19" s="22">
        <v>17</v>
      </c>
      <c r="V19" s="22"/>
      <c r="W19" s="22"/>
      <c r="X19" s="22"/>
      <c r="Y19" s="22"/>
      <c r="Z19" s="22"/>
      <c r="AA19" s="22">
        <v>8</v>
      </c>
      <c r="AB19" s="22">
        <v>43</v>
      </c>
      <c r="AC19" s="22">
        <v>0</v>
      </c>
      <c r="AD19" s="22">
        <v>4</v>
      </c>
      <c r="AE19" s="22">
        <v>4</v>
      </c>
      <c r="AF19" s="22">
        <v>28</v>
      </c>
      <c r="AG19" s="22">
        <v>0</v>
      </c>
      <c r="AH19" s="23" t="s">
        <v>101</v>
      </c>
      <c r="AI19" s="24">
        <f t="shared" si="0"/>
        <v>5.375</v>
      </c>
      <c r="AJ19" s="24">
        <f t="shared" si="1"/>
        <v>7</v>
      </c>
      <c r="AK19" s="25">
        <f t="shared" si="2"/>
        <v>1</v>
      </c>
      <c r="AL19" s="24" t="str">
        <f t="shared" si="3"/>
        <v/>
      </c>
      <c r="AM19" s="25" t="str">
        <f t="shared" si="4"/>
        <v/>
      </c>
      <c r="AN19" s="25">
        <f t="shared" si="5"/>
        <v>1.8185951352580127E-2</v>
      </c>
      <c r="AO19" s="25">
        <f t="shared" si="6"/>
        <v>6.7001675041876048E-3</v>
      </c>
      <c r="AP19" s="25">
        <f t="shared" si="7"/>
        <v>0</v>
      </c>
      <c r="AQ19" s="26">
        <f t="shared" si="8"/>
        <v>0.47058823529411764</v>
      </c>
      <c r="AR19" s="26">
        <f t="shared" si="9"/>
        <v>0.23529411764705882</v>
      </c>
      <c r="AS19" s="27">
        <f t="shared" si="10"/>
        <v>4</v>
      </c>
      <c r="AT19" s="27">
        <f t="shared" si="11"/>
        <v>8</v>
      </c>
      <c r="AU19" s="28">
        <f>AF19*Settings!$B$7+AG19*Settings!$B$8+AE19*Settings!$B$9+AB19*Settings!$B$10+AC19*Settings!$B$11+X19*Settings!$B$12+Y19*Settings!$B$13+Z19*Settings!$B$14</f>
        <v>9.1000000000000014</v>
      </c>
    </row>
    <row r="20" spans="1:47" x14ac:dyDescent="0.25">
      <c r="A20" s="15" t="s">
        <v>107</v>
      </c>
      <c r="B20" s="16" t="s">
        <v>526</v>
      </c>
      <c r="C20" s="17">
        <v>6</v>
      </c>
      <c r="D20" s="17" t="s">
        <v>118</v>
      </c>
      <c r="E20" s="18" t="s">
        <v>99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1"/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527</v>
      </c>
      <c r="C22" s="17">
        <v>1</v>
      </c>
      <c r="D22" s="17" t="s">
        <v>111</v>
      </c>
      <c r="E22" s="18" t="s">
        <v>99</v>
      </c>
      <c r="F22" s="19">
        <v>1</v>
      </c>
      <c r="G22" s="19">
        <v>1</v>
      </c>
      <c r="H22" s="19">
        <v>5</v>
      </c>
      <c r="I22" s="19">
        <v>20</v>
      </c>
      <c r="J22" s="19">
        <v>102</v>
      </c>
      <c r="K22" s="19">
        <v>29</v>
      </c>
      <c r="L22" s="19">
        <v>78</v>
      </c>
      <c r="M22" s="19">
        <v>571</v>
      </c>
      <c r="N22" s="19" t="s">
        <v>210</v>
      </c>
      <c r="O22" s="19">
        <v>8</v>
      </c>
      <c r="P22" s="20">
        <v>2.57</v>
      </c>
      <c r="Q22" s="20">
        <v>11.52</v>
      </c>
      <c r="R22" s="21">
        <v>0.746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8</v>
      </c>
      <c r="AB22" s="22">
        <v>34</v>
      </c>
      <c r="AC22" s="22">
        <v>1</v>
      </c>
      <c r="AD22" s="22">
        <v>132</v>
      </c>
      <c r="AE22" s="22">
        <v>92</v>
      </c>
      <c r="AF22" s="22">
        <v>1023</v>
      </c>
      <c r="AG22" s="22">
        <v>9</v>
      </c>
      <c r="AH22" s="23" t="s">
        <v>101</v>
      </c>
      <c r="AI22" s="24">
        <f t="shared" si="0"/>
        <v>4.25</v>
      </c>
      <c r="AJ22" s="24">
        <f t="shared" si="1"/>
        <v>11.119565217391305</v>
      </c>
      <c r="AK22" s="25">
        <f t="shared" si="2"/>
        <v>0.69696969696969702</v>
      </c>
      <c r="AL22" s="24" t="str">
        <f t="shared" si="3"/>
        <v/>
      </c>
      <c r="AM22" s="25" t="str">
        <f t="shared" si="4"/>
        <v/>
      </c>
      <c r="AN22" s="25">
        <f t="shared" si="5"/>
        <v>1.8185951352580127E-2</v>
      </c>
      <c r="AO22" s="25">
        <f t="shared" si="6"/>
        <v>0.22110552763819097</v>
      </c>
      <c r="AP22" s="25">
        <f t="shared" si="7"/>
        <v>0</v>
      </c>
      <c r="AQ22" s="26">
        <f t="shared" si="8"/>
        <v>0.47058823529411764</v>
      </c>
      <c r="AR22" s="26">
        <f t="shared" si="9"/>
        <v>7.7647058823529411</v>
      </c>
      <c r="AS22" s="27">
        <f t="shared" si="10"/>
        <v>54</v>
      </c>
      <c r="AT22" s="27">
        <f t="shared" si="11"/>
        <v>3</v>
      </c>
      <c r="AU22" s="28">
        <f>AF22*Settings!$B$7+AG22*Settings!$B$8+AE22*Settings!$B$9+AB22*Settings!$B$10+AC22*Settings!$B$11+X22*Settings!$B$12+Y22*Settings!$B$13+Z22*Settings!$B$14</f>
        <v>211.70000000000002</v>
      </c>
    </row>
    <row r="23" spans="1:47" x14ac:dyDescent="0.25">
      <c r="A23" s="15" t="s">
        <v>121</v>
      </c>
      <c r="B23" s="16" t="s">
        <v>528</v>
      </c>
      <c r="C23" s="17">
        <v>2</v>
      </c>
      <c r="D23" s="17" t="s">
        <v>103</v>
      </c>
      <c r="E23" s="32" t="s">
        <v>115</v>
      </c>
      <c r="F23" s="19"/>
      <c r="G23" s="19">
        <v>20</v>
      </c>
      <c r="H23" s="19">
        <v>11</v>
      </c>
      <c r="I23" s="19">
        <v>87</v>
      </c>
      <c r="J23" s="19"/>
      <c r="K23" s="19">
        <v>98</v>
      </c>
      <c r="L23" s="19">
        <v>73</v>
      </c>
      <c r="M23" s="19">
        <v>532</v>
      </c>
      <c r="N23" s="19" t="s">
        <v>210</v>
      </c>
      <c r="O23" s="19">
        <v>14</v>
      </c>
      <c r="P23" s="20">
        <v>6.16</v>
      </c>
      <c r="Q23" s="20">
        <v>11.58</v>
      </c>
      <c r="R23" s="21">
        <v>0.59099999999999997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14</v>
      </c>
      <c r="AB23" s="22">
        <v>90</v>
      </c>
      <c r="AC23" s="22">
        <v>1</v>
      </c>
      <c r="AD23" s="22">
        <v>89</v>
      </c>
      <c r="AE23" s="22">
        <v>54</v>
      </c>
      <c r="AF23" s="22">
        <v>694</v>
      </c>
      <c r="AG23" s="22">
        <v>4</v>
      </c>
      <c r="AH23" s="23" t="s">
        <v>101</v>
      </c>
      <c r="AI23" s="24">
        <f t="shared" si="0"/>
        <v>6.4285714285714288</v>
      </c>
      <c r="AJ23" s="24">
        <f t="shared" si="1"/>
        <v>12.851851851851851</v>
      </c>
      <c r="AK23" s="25">
        <f t="shared" si="2"/>
        <v>0.6067415730337079</v>
      </c>
      <c r="AL23" s="24" t="str">
        <f t="shared" si="3"/>
        <v/>
      </c>
      <c r="AM23" s="25" t="str">
        <f t="shared" si="4"/>
        <v/>
      </c>
      <c r="AN23" s="25">
        <f t="shared" si="5"/>
        <v>3.1825414867015227E-2</v>
      </c>
      <c r="AO23" s="25">
        <f t="shared" si="6"/>
        <v>0.1490787269681742</v>
      </c>
      <c r="AP23" s="25">
        <f t="shared" si="7"/>
        <v>0</v>
      </c>
      <c r="AQ23" s="26">
        <f t="shared" si="8"/>
        <v>0.82352941176470584</v>
      </c>
      <c r="AR23" s="26">
        <f t="shared" si="9"/>
        <v>5.2352941176470589</v>
      </c>
      <c r="AS23" s="27">
        <f t="shared" si="10"/>
        <v>16</v>
      </c>
      <c r="AT23" s="27">
        <f t="shared" si="11"/>
        <v>3</v>
      </c>
      <c r="AU23" s="28">
        <f>AF23*Settings!$B$7+AG23*Settings!$B$8+AE23*Settings!$B$9+AB23*Settings!$B$10+AC23*Settings!$B$11+X23*Settings!$B$12+Y23*Settings!$B$13+Z23*Settings!$B$14</f>
        <v>135.4</v>
      </c>
    </row>
    <row r="24" spans="1:47" x14ac:dyDescent="0.25">
      <c r="A24" s="15" t="s">
        <v>121</v>
      </c>
      <c r="B24" s="16" t="s">
        <v>529</v>
      </c>
      <c r="C24" s="17">
        <v>3</v>
      </c>
      <c r="D24" s="17" t="s">
        <v>105</v>
      </c>
      <c r="E24" s="18" t="s">
        <v>99</v>
      </c>
      <c r="F24" s="19">
        <v>3</v>
      </c>
      <c r="G24" s="19"/>
      <c r="H24" s="19"/>
      <c r="I24" s="19"/>
      <c r="J24" s="19">
        <v>23</v>
      </c>
      <c r="K24" s="19">
        <v>8</v>
      </c>
      <c r="L24" s="19">
        <v>37</v>
      </c>
      <c r="M24" s="19">
        <v>438</v>
      </c>
      <c r="N24" s="19" t="s">
        <v>210</v>
      </c>
      <c r="O24" s="19">
        <v>14</v>
      </c>
      <c r="P24" s="20">
        <v>17</v>
      </c>
      <c r="Q24" s="20">
        <v>16</v>
      </c>
      <c r="R24" s="21">
        <v>0.52900000000000003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46</v>
      </c>
      <c r="AE24" s="22">
        <v>26</v>
      </c>
      <c r="AF24" s="22">
        <v>442</v>
      </c>
      <c r="AG24" s="22">
        <v>3</v>
      </c>
      <c r="AH24" s="23" t="s">
        <v>101</v>
      </c>
      <c r="AI24" s="24" t="str">
        <f t="shared" si="0"/>
        <v/>
      </c>
      <c r="AJ24" s="24">
        <f t="shared" si="1"/>
        <v>17</v>
      </c>
      <c r="AK24" s="25">
        <f t="shared" si="2"/>
        <v>0.56521739130434778</v>
      </c>
      <c r="AL24" s="24" t="str">
        <f t="shared" si="3"/>
        <v/>
      </c>
      <c r="AM24" s="25" t="str">
        <f t="shared" si="4"/>
        <v/>
      </c>
      <c r="AN24" s="25">
        <f t="shared" si="5"/>
        <v>0</v>
      </c>
      <c r="AO24" s="25">
        <f t="shared" si="6"/>
        <v>7.705192629815745E-2</v>
      </c>
      <c r="AP24" s="25">
        <f t="shared" si="7"/>
        <v>0</v>
      </c>
      <c r="AQ24" s="26">
        <f t="shared" si="8"/>
        <v>0</v>
      </c>
      <c r="AR24" s="26">
        <f t="shared" si="9"/>
        <v>2.7058823529411766</v>
      </c>
      <c r="AS24" s="27">
        <f t="shared" si="10"/>
        <v>9</v>
      </c>
      <c r="AT24" s="27">
        <f t="shared" si="11"/>
        <v>0</v>
      </c>
      <c r="AU24" s="28">
        <f>AF24*Settings!$B$7+AG24*Settings!$B$8+AE24*Settings!$B$9+AB24*Settings!$B$10+AC24*Settings!$B$11+X24*Settings!$B$12+Y24*Settings!$B$13+Z24*Settings!$B$14</f>
        <v>75.2</v>
      </c>
    </row>
    <row r="25" spans="1:47" x14ac:dyDescent="0.25">
      <c r="A25" s="15" t="s">
        <v>121</v>
      </c>
      <c r="B25" s="16" t="s">
        <v>530</v>
      </c>
      <c r="C25" s="17">
        <v>4</v>
      </c>
      <c r="D25" s="17" t="s">
        <v>103</v>
      </c>
      <c r="E25" s="18" t="s">
        <v>99</v>
      </c>
      <c r="F25" s="19"/>
      <c r="G25" s="19"/>
      <c r="H25" s="19"/>
      <c r="I25" s="19"/>
      <c r="J25" s="19"/>
      <c r="K25" s="19"/>
      <c r="L25" s="19">
        <v>3</v>
      </c>
      <c r="M25" s="19">
        <v>4</v>
      </c>
      <c r="N25" s="19" t="s">
        <v>210</v>
      </c>
      <c r="O25" s="19">
        <v>7</v>
      </c>
      <c r="P25" s="20"/>
      <c r="Q25" s="20">
        <v>2</v>
      </c>
      <c r="R25" s="21">
        <v>0.66700000000000004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2</v>
      </c>
      <c r="AC25" s="22">
        <v>0</v>
      </c>
      <c r="AD25" s="22">
        <v>19</v>
      </c>
      <c r="AE25" s="22">
        <v>15</v>
      </c>
      <c r="AF25" s="22">
        <v>160</v>
      </c>
      <c r="AG25" s="22">
        <v>1</v>
      </c>
      <c r="AH25" s="23" t="s">
        <v>101</v>
      </c>
      <c r="AI25" s="24" t="str">
        <f t="shared" si="0"/>
        <v/>
      </c>
      <c r="AJ25" s="24">
        <f t="shared" si="1"/>
        <v>10.666666666666666</v>
      </c>
      <c r="AK25" s="25">
        <f t="shared" si="2"/>
        <v>0.78947368421052633</v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3.1825795644891124E-2</v>
      </c>
      <c r="AP25" s="25">
        <f t="shared" si="7"/>
        <v>0</v>
      </c>
      <c r="AQ25" s="26">
        <f t="shared" si="8"/>
        <v>0</v>
      </c>
      <c r="AR25" s="26">
        <f t="shared" si="9"/>
        <v>1.1176470588235294</v>
      </c>
      <c r="AS25" s="27">
        <f t="shared" si="10"/>
        <v>16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29.7</v>
      </c>
    </row>
    <row r="26" spans="1:47" x14ac:dyDescent="0.25">
      <c r="A26" s="15" t="s">
        <v>121</v>
      </c>
      <c r="B26" s="16" t="s">
        <v>531</v>
      </c>
      <c r="C26" s="17">
        <v>5</v>
      </c>
      <c r="D26" s="17" t="s">
        <v>103</v>
      </c>
      <c r="E26" s="32" t="s">
        <v>115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  <c r="R26" s="21"/>
      <c r="S26" s="21"/>
      <c r="T26" s="20"/>
      <c r="U26" s="22">
        <v>17</v>
      </c>
      <c r="V26" s="22"/>
      <c r="W26" s="22"/>
      <c r="X26" s="22"/>
      <c r="Y26" s="22"/>
      <c r="Z26" s="22"/>
      <c r="AA26" s="22">
        <v>0</v>
      </c>
      <c r="AB26" s="22">
        <v>2</v>
      </c>
      <c r="AC26" s="22">
        <v>0</v>
      </c>
      <c r="AD26" s="22">
        <v>31</v>
      </c>
      <c r="AE26" s="22">
        <v>17</v>
      </c>
      <c r="AF26" s="22">
        <v>205</v>
      </c>
      <c r="AG26" s="22">
        <v>1</v>
      </c>
      <c r="AH26" s="23" t="s">
        <v>101</v>
      </c>
      <c r="AI26" s="24" t="str">
        <f t="shared" si="0"/>
        <v/>
      </c>
      <c r="AJ26" s="24">
        <f t="shared" si="1"/>
        <v>12.058823529411764</v>
      </c>
      <c r="AK26" s="25">
        <f t="shared" si="2"/>
        <v>0.54838709677419351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5.1926298157453935E-2</v>
      </c>
      <c r="AP26" s="25">
        <f t="shared" si="7"/>
        <v>0</v>
      </c>
      <c r="AQ26" s="26">
        <f t="shared" si="8"/>
        <v>0</v>
      </c>
      <c r="AR26" s="26">
        <f t="shared" si="9"/>
        <v>1.8235294117647058</v>
      </c>
      <c r="AS26" s="27">
        <f t="shared" si="10"/>
        <v>31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35.200000000000003</v>
      </c>
    </row>
    <row r="27" spans="1:47" x14ac:dyDescent="0.25">
      <c r="A27" s="15" t="s">
        <v>121</v>
      </c>
      <c r="B27" s="16" t="s">
        <v>532</v>
      </c>
      <c r="C27" s="17">
        <v>6</v>
      </c>
      <c r="D27" s="17" t="s">
        <v>111</v>
      </c>
      <c r="E27" s="18" t="s">
        <v>99</v>
      </c>
      <c r="F27" s="19"/>
      <c r="G27" s="19"/>
      <c r="H27" s="19">
        <v>1</v>
      </c>
      <c r="I27" s="19">
        <v>11</v>
      </c>
      <c r="J27" s="19"/>
      <c r="K27" s="19">
        <v>6</v>
      </c>
      <c r="L27" s="19">
        <v>1</v>
      </c>
      <c r="M27" s="19">
        <v>21</v>
      </c>
      <c r="N27" s="19" t="s">
        <v>210</v>
      </c>
      <c r="O27" s="19">
        <v>14</v>
      </c>
      <c r="P27" s="20">
        <v>11</v>
      </c>
      <c r="Q27" s="20">
        <v>23</v>
      </c>
      <c r="R27" s="21">
        <v>0.42899999999999999</v>
      </c>
      <c r="S27" s="21"/>
      <c r="T27" s="20"/>
      <c r="U27" s="22">
        <v>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1</v>
      </c>
      <c r="AC27" s="22">
        <v>0</v>
      </c>
      <c r="AD27" s="22">
        <v>2</v>
      </c>
      <c r="AE27" s="22">
        <v>2</v>
      </c>
      <c r="AF27" s="22">
        <v>17</v>
      </c>
      <c r="AG27" s="22">
        <v>0</v>
      </c>
      <c r="AH27" s="23" t="s">
        <v>101</v>
      </c>
      <c r="AI27" s="24" t="str">
        <f t="shared" si="0"/>
        <v/>
      </c>
      <c r="AJ27" s="24">
        <f t="shared" si="1"/>
        <v>8.5</v>
      </c>
      <c r="AK27" s="25">
        <f t="shared" si="2"/>
        <v>1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3.3500837520938024E-3</v>
      </c>
      <c r="AP27" s="25">
        <f t="shared" si="7"/>
        <v>0</v>
      </c>
      <c r="AQ27" s="26">
        <f t="shared" si="8"/>
        <v>0</v>
      </c>
      <c r="AR27" s="26">
        <f t="shared" si="9"/>
        <v>0.11764705882352941</v>
      </c>
      <c r="AS27" s="27">
        <f t="shared" si="10"/>
        <v>1</v>
      </c>
      <c r="AT27" s="27">
        <f t="shared" si="11"/>
        <v>-1</v>
      </c>
      <c r="AU27" s="28">
        <f>AF27*Settings!$B$7+AG27*Settings!$B$8+AE27*Settings!$B$9+AB27*Settings!$B$10+AC27*Settings!$B$11+X27*Settings!$B$12+Y27*Settings!$B$13+Z27*Settings!$B$14</f>
        <v>2.8000000000000003</v>
      </c>
    </row>
    <row r="28" spans="1:47" x14ac:dyDescent="0.25">
      <c r="A28" s="15" t="s">
        <v>121</v>
      </c>
      <c r="B28" s="16" t="s">
        <v>533</v>
      </c>
      <c r="C28" s="17">
        <v>7</v>
      </c>
      <c r="D28" s="17" t="s">
        <v>158</v>
      </c>
      <c r="E28" s="18" t="s">
        <v>99</v>
      </c>
      <c r="F28" s="19"/>
      <c r="G28" s="19"/>
      <c r="H28" s="19"/>
      <c r="I28" s="19"/>
      <c r="J28" s="19">
        <v>8</v>
      </c>
      <c r="K28" s="19"/>
      <c r="L28" s="19">
        <v>1</v>
      </c>
      <c r="M28" s="19"/>
      <c r="N28" s="19" t="s">
        <v>210</v>
      </c>
      <c r="O28" s="19">
        <v>6</v>
      </c>
      <c r="P28" s="20"/>
      <c r="Q28" s="20">
        <v>11.2</v>
      </c>
      <c r="R28" s="21">
        <v>0.55600000000000005</v>
      </c>
      <c r="S28" s="21"/>
      <c r="T28" s="20"/>
      <c r="U28" s="22">
        <v>17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1</v>
      </c>
      <c r="AE28" s="22">
        <v>0</v>
      </c>
      <c r="AF28" s="22">
        <v>0</v>
      </c>
      <c r="AG28" s="22">
        <v>0</v>
      </c>
      <c r="AH28" s="23" t="s">
        <v>101</v>
      </c>
      <c r="AI28" s="24" t="str">
        <f t="shared" si="0"/>
        <v/>
      </c>
      <c r="AJ28" s="24" t="str">
        <f t="shared" si="1"/>
        <v/>
      </c>
      <c r="AK28" s="25">
        <f t="shared" si="2"/>
        <v>0</v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1.6750418760469012E-3</v>
      </c>
      <c r="AP28" s="25">
        <f t="shared" si="7"/>
        <v>0</v>
      </c>
      <c r="AQ28" s="26">
        <f t="shared" si="8"/>
        <v>0</v>
      </c>
      <c r="AR28" s="26">
        <f t="shared" si="9"/>
        <v>5.8823529411764705E-2</v>
      </c>
      <c r="AS28" s="27">
        <f t="shared" si="10"/>
        <v>0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0</v>
      </c>
    </row>
    <row r="29" spans="1:47" x14ac:dyDescent="0.25">
      <c r="A29" s="15" t="s">
        <v>121</v>
      </c>
      <c r="B29" s="16" t="s">
        <v>534</v>
      </c>
      <c r="C29" s="17">
        <v>8</v>
      </c>
      <c r="D29" s="17" t="s">
        <v>118</v>
      </c>
      <c r="E29" s="18" t="s">
        <v>99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1"/>
      <c r="S29" s="21"/>
      <c r="T29" s="20"/>
      <c r="U29" s="22">
        <v>17</v>
      </c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33"/>
      <c r="AI29" s="24" t="str">
        <f t="shared" si="0"/>
        <v/>
      </c>
      <c r="AJ29" s="24" t="str">
        <f t="shared" si="1"/>
        <v/>
      </c>
      <c r="AK29" s="25" t="str">
        <f t="shared" si="2"/>
        <v/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0</v>
      </c>
      <c r="AP29" s="25">
        <f t="shared" si="7"/>
        <v>0</v>
      </c>
      <c r="AQ29" s="26">
        <f t="shared" si="8"/>
        <v>0</v>
      </c>
      <c r="AR29" s="26">
        <f t="shared" si="9"/>
        <v>0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0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535</v>
      </c>
      <c r="C31" s="17">
        <v>1</v>
      </c>
      <c r="D31" s="17" t="s">
        <v>536</v>
      </c>
      <c r="E31" s="18" t="s">
        <v>99</v>
      </c>
      <c r="F31" s="19"/>
      <c r="G31" s="19">
        <v>1</v>
      </c>
      <c r="H31" s="19">
        <v>1</v>
      </c>
      <c r="I31" s="19">
        <v>1</v>
      </c>
      <c r="J31" s="19">
        <v>121</v>
      </c>
      <c r="K31" s="19">
        <v>133</v>
      </c>
      <c r="L31" s="19">
        <v>108</v>
      </c>
      <c r="M31" s="19">
        <v>851</v>
      </c>
      <c r="N31" s="19" t="s">
        <v>210</v>
      </c>
      <c r="O31" s="19">
        <v>17</v>
      </c>
      <c r="P31" s="20">
        <v>1</v>
      </c>
      <c r="Q31" s="20">
        <v>9.99</v>
      </c>
      <c r="R31" s="21">
        <v>0.73499999999999999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101</v>
      </c>
      <c r="AE31" s="22">
        <v>71</v>
      </c>
      <c r="AF31" s="22">
        <v>740</v>
      </c>
      <c r="AG31" s="22">
        <v>5</v>
      </c>
      <c r="AH31" s="23" t="s">
        <v>101</v>
      </c>
      <c r="AI31" s="24" t="str">
        <f t="shared" si="0"/>
        <v/>
      </c>
      <c r="AJ31" s="24">
        <f t="shared" si="1"/>
        <v>10.422535211267606</v>
      </c>
      <c r="AK31" s="25">
        <f t="shared" si="2"/>
        <v>0.70297029702970293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0.16917922948073702</v>
      </c>
      <c r="AP31" s="25">
        <f t="shared" si="7"/>
        <v>0</v>
      </c>
      <c r="AQ31" s="26">
        <f t="shared" si="8"/>
        <v>0</v>
      </c>
      <c r="AR31" s="26">
        <f t="shared" si="9"/>
        <v>5.9411764705882355</v>
      </c>
      <c r="AS31" s="27">
        <f t="shared" si="10"/>
        <v>-7</v>
      </c>
      <c r="AT31" s="27">
        <f t="shared" si="11"/>
        <v>-1</v>
      </c>
      <c r="AU31" s="28">
        <f>AF31*Settings!$B$7+AG31*Settings!$B$8+AE31*Settings!$B$9+AB31*Settings!$B$10+AC31*Settings!$B$11+X31*Settings!$B$12+Y31*Settings!$B$13+Z31*Settings!$B$14</f>
        <v>139.5</v>
      </c>
    </row>
    <row r="32" spans="1:47" x14ac:dyDescent="0.25">
      <c r="A32" s="15" t="s">
        <v>135</v>
      </c>
      <c r="B32" s="16" t="s">
        <v>537</v>
      </c>
      <c r="C32" s="17">
        <v>2</v>
      </c>
      <c r="D32" s="17" t="s">
        <v>158</v>
      </c>
      <c r="E32" s="18" t="s">
        <v>99</v>
      </c>
      <c r="F32" s="19">
        <v>1</v>
      </c>
      <c r="G32" s="19">
        <v>1</v>
      </c>
      <c r="H32" s="19"/>
      <c r="I32" s="19"/>
      <c r="J32" s="19">
        <v>41</v>
      </c>
      <c r="K32" s="19">
        <v>49</v>
      </c>
      <c r="L32" s="19">
        <v>37</v>
      </c>
      <c r="M32" s="19">
        <v>178</v>
      </c>
      <c r="N32" s="19" t="s">
        <v>210</v>
      </c>
      <c r="O32" s="19">
        <v>16</v>
      </c>
      <c r="P32" s="20">
        <v>-1.5</v>
      </c>
      <c r="Q32" s="20">
        <v>10.34</v>
      </c>
      <c r="R32" s="21">
        <v>0.70099999999999996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33</v>
      </c>
      <c r="AE32" s="22">
        <v>23</v>
      </c>
      <c r="AF32" s="22">
        <v>227</v>
      </c>
      <c r="AG32" s="22">
        <v>2</v>
      </c>
      <c r="AH32" s="23" t="s">
        <v>101</v>
      </c>
      <c r="AI32" s="24" t="str">
        <f t="shared" si="0"/>
        <v/>
      </c>
      <c r="AJ32" s="24">
        <f t="shared" si="1"/>
        <v>9.8695652173913047</v>
      </c>
      <c r="AK32" s="25">
        <f t="shared" si="2"/>
        <v>0.69696969696969702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5.5276381909547742E-2</v>
      </c>
      <c r="AP32" s="25">
        <f t="shared" si="7"/>
        <v>0</v>
      </c>
      <c r="AQ32" s="26">
        <f t="shared" si="8"/>
        <v>0</v>
      </c>
      <c r="AR32" s="26">
        <f t="shared" si="9"/>
        <v>1.9411764705882353</v>
      </c>
      <c r="AS32" s="27">
        <f t="shared" si="10"/>
        <v>-4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46.2</v>
      </c>
    </row>
    <row r="33" spans="1:47" x14ac:dyDescent="0.25">
      <c r="A33" s="15" t="s">
        <v>135</v>
      </c>
      <c r="B33" s="16" t="s">
        <v>538</v>
      </c>
      <c r="C33" s="17">
        <v>3</v>
      </c>
      <c r="D33" s="17" t="s">
        <v>105</v>
      </c>
      <c r="E33" s="18" t="s">
        <v>99</v>
      </c>
      <c r="F33" s="19"/>
      <c r="G33" s="19"/>
      <c r="H33" s="19"/>
      <c r="I33" s="19"/>
      <c r="J33" s="19"/>
      <c r="K33" s="19">
        <v>1</v>
      </c>
      <c r="L33" s="19">
        <v>1</v>
      </c>
      <c r="M33" s="19">
        <v>4</v>
      </c>
      <c r="N33" s="19" t="s">
        <v>210</v>
      </c>
      <c r="O33" s="19">
        <v>5</v>
      </c>
      <c r="P33" s="20"/>
      <c r="Q33" s="20">
        <v>5.5</v>
      </c>
      <c r="R33" s="21">
        <v>1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6</v>
      </c>
      <c r="AE33" s="22">
        <v>6</v>
      </c>
      <c r="AF33" s="22">
        <v>50</v>
      </c>
      <c r="AG33" s="22">
        <v>0</v>
      </c>
      <c r="AH33" s="23" t="s">
        <v>101</v>
      </c>
      <c r="AI33" s="24" t="str">
        <f t="shared" si="0"/>
        <v/>
      </c>
      <c r="AJ33" s="24">
        <f t="shared" si="1"/>
        <v>8.3333333333333339</v>
      </c>
      <c r="AK33" s="25">
        <f t="shared" si="2"/>
        <v>1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1.0050251256281407E-2</v>
      </c>
      <c r="AP33" s="25">
        <f t="shared" si="7"/>
        <v>0</v>
      </c>
      <c r="AQ33" s="26">
        <f t="shared" si="8"/>
        <v>0</v>
      </c>
      <c r="AR33" s="26">
        <f t="shared" si="9"/>
        <v>0.35294117647058826</v>
      </c>
      <c r="AS33" s="27">
        <f t="shared" si="10"/>
        <v>5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8</v>
      </c>
    </row>
    <row r="34" spans="1:47" x14ac:dyDescent="0.25">
      <c r="A34" s="15" t="s">
        <v>135</v>
      </c>
      <c r="B34" s="16" t="s">
        <v>539</v>
      </c>
      <c r="C34" s="17">
        <v>4</v>
      </c>
      <c r="D34" s="17" t="s">
        <v>111</v>
      </c>
      <c r="E34" s="18" t="s">
        <v>99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1"/>
      <c r="S34" s="21"/>
      <c r="T34" s="20"/>
      <c r="U34" s="22">
        <v>17</v>
      </c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33"/>
      <c r="AI34" s="24" t="str">
        <f t="shared" si="0"/>
        <v/>
      </c>
      <c r="AJ34" s="24" t="str">
        <f t="shared" si="1"/>
        <v/>
      </c>
      <c r="AK34" s="25" t="str">
        <f t="shared" si="2"/>
        <v/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0</v>
      </c>
      <c r="AP34" s="25">
        <f t="shared" si="7"/>
        <v>0</v>
      </c>
      <c r="AQ34" s="26">
        <f t="shared" si="8"/>
        <v>0</v>
      </c>
      <c r="AR34" s="26">
        <f t="shared" si="9"/>
        <v>0</v>
      </c>
      <c r="AS34" s="27">
        <f t="shared" si="10"/>
        <v>0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0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613</v>
      </c>
      <c r="W37" s="34">
        <f t="shared" si="12"/>
        <v>395</v>
      </c>
      <c r="X37" s="34">
        <f t="shared" si="12"/>
        <v>4212</v>
      </c>
      <c r="Y37" s="34">
        <f t="shared" si="12"/>
        <v>29</v>
      </c>
      <c r="Z37" s="34">
        <f t="shared" si="12"/>
        <v>13</v>
      </c>
      <c r="AA37" s="34">
        <f t="shared" si="12"/>
        <v>466</v>
      </c>
      <c r="AB37" s="34">
        <f t="shared" si="12"/>
        <v>2174</v>
      </c>
      <c r="AC37" s="34">
        <f t="shared" si="12"/>
        <v>17</v>
      </c>
      <c r="AD37" s="34">
        <f t="shared" si="12"/>
        <v>568</v>
      </c>
      <c r="AE37" s="34">
        <f t="shared" si="12"/>
        <v>395</v>
      </c>
      <c r="AF37" s="34">
        <f t="shared" si="12"/>
        <v>4215</v>
      </c>
      <c r="AG37" s="34">
        <f t="shared" si="12"/>
        <v>28</v>
      </c>
    </row>
    <row r="38" spans="1:47" x14ac:dyDescent="0.25">
      <c r="A38" s="5" t="s">
        <v>142</v>
      </c>
      <c r="V38" s="35">
        <f>$F$5</f>
        <v>626</v>
      </c>
      <c r="X38" s="35">
        <f>$I$5</f>
        <v>4013</v>
      </c>
      <c r="Y38" s="35">
        <f>$J$5</f>
        <v>25</v>
      </c>
      <c r="Z38" s="35">
        <f>$K$5</f>
        <v>13</v>
      </c>
      <c r="AA38" s="35">
        <f>$H$5</f>
        <v>439.90000000000009</v>
      </c>
      <c r="AB38" s="35">
        <f>$L$5</f>
        <v>1852</v>
      </c>
      <c r="AC38" s="35">
        <f>$M$5</f>
        <v>14</v>
      </c>
      <c r="AD38" s="35">
        <f>$G$5</f>
        <v>597</v>
      </c>
      <c r="AF38" s="35">
        <f>$I$5</f>
        <v>4013</v>
      </c>
      <c r="AG38" s="35">
        <f>$J$5</f>
        <v>25</v>
      </c>
    </row>
    <row r="39" spans="1:47" x14ac:dyDescent="0.25">
      <c r="A39" s="5" t="s">
        <v>143</v>
      </c>
      <c r="V39" s="36">
        <f>$F$5-V37</f>
        <v>13</v>
      </c>
      <c r="X39" s="36">
        <f>$I$5-X37</f>
        <v>-199</v>
      </c>
      <c r="Y39" s="36">
        <f>$J$5-Y37</f>
        <v>-4</v>
      </c>
      <c r="Z39" s="36">
        <f>$K$5-Z37</f>
        <v>0</v>
      </c>
      <c r="AA39" s="36">
        <f>$H$5-AA37</f>
        <v>-26.099999999999909</v>
      </c>
      <c r="AB39" s="36">
        <f>$L$5-AB37</f>
        <v>-322</v>
      </c>
      <c r="AC39" s="36">
        <f>$M$5-AC37</f>
        <v>-3</v>
      </c>
      <c r="AD39" s="36">
        <f>$G$5-AD37</f>
        <v>29</v>
      </c>
      <c r="AF39" s="36">
        <f>$I$5-AF37</f>
        <v>-202</v>
      </c>
      <c r="AG39" s="36">
        <f>$J$5-AG37</f>
        <v>-3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509" priority="1" stopIfTrue="1">
      <formula>V37&gt;$F$5</formula>
    </cfRule>
    <cfRule type="expression" dxfId="508" priority="2">
      <formula>AND($F$5&gt;0,V37&lt;$F$5*0.97)</formula>
    </cfRule>
    <cfRule type="expression" dxfId="507" priority="3">
      <formula>AND($F$5&gt;0,V37&gt;=$F$5*0.97,V37&lt;=$F$5)</formula>
    </cfRule>
  </conditionalFormatting>
  <conditionalFormatting sqref="X37">
    <cfRule type="expression" dxfId="506" priority="4" stopIfTrue="1">
      <formula>X37&gt;$I$5</formula>
    </cfRule>
    <cfRule type="expression" dxfId="505" priority="5">
      <formula>AND($I$5&gt;0,X37&lt;$I$5*0.97)</formula>
    </cfRule>
    <cfRule type="expression" dxfId="504" priority="6">
      <formula>AND($I$5&gt;0,X37&gt;=$I$5*0.97,X37&lt;=$I$5)</formula>
    </cfRule>
  </conditionalFormatting>
  <conditionalFormatting sqref="Y37">
    <cfRule type="expression" dxfId="503" priority="7" stopIfTrue="1">
      <formula>Y37&gt;$J$5</formula>
    </cfRule>
    <cfRule type="expression" dxfId="502" priority="8">
      <formula>AND($J$5&gt;0,Y37&lt;$J$5*0.97)</formula>
    </cfRule>
    <cfRule type="expression" dxfId="501" priority="9">
      <formula>AND($J$5&gt;0,Y37&gt;=$J$5*0.97,Y37&lt;=$J$5)</formula>
    </cfRule>
  </conditionalFormatting>
  <conditionalFormatting sqref="Z37">
    <cfRule type="expression" dxfId="500" priority="10" stopIfTrue="1">
      <formula>Z37&gt;$K$5</formula>
    </cfRule>
    <cfRule type="expression" dxfId="499" priority="11">
      <formula>AND($K$5&gt;0,Z37&lt;$K$5*0.97)</formula>
    </cfRule>
    <cfRule type="expression" dxfId="498" priority="12">
      <formula>AND($K$5&gt;0,Z37&gt;=$K$5*0.97,Z37&lt;=$K$5)</formula>
    </cfRule>
  </conditionalFormatting>
  <conditionalFormatting sqref="AA37">
    <cfRule type="expression" dxfId="497" priority="13" stopIfTrue="1">
      <formula>AA37&gt;$H$5</formula>
    </cfRule>
    <cfRule type="expression" dxfId="496" priority="14">
      <formula>AND($H$5&gt;0,AA37&lt;$H$5*0.97)</formula>
    </cfRule>
    <cfRule type="expression" dxfId="495" priority="15">
      <formula>AND($H$5&gt;0,AA37&gt;=$H$5*0.97,AA37&lt;=$H$5)</formula>
    </cfRule>
  </conditionalFormatting>
  <conditionalFormatting sqref="AB37">
    <cfRule type="expression" dxfId="494" priority="16" stopIfTrue="1">
      <formula>AB37&gt;$L$5</formula>
    </cfRule>
    <cfRule type="expression" dxfId="493" priority="17">
      <formula>AND($L$5&gt;0,AB37&lt;$L$5*0.97)</formula>
    </cfRule>
    <cfRule type="expression" dxfId="492" priority="18">
      <formula>AND($L$5&gt;0,AB37&gt;=$L$5*0.97,AB37&lt;=$L$5)</formula>
    </cfRule>
  </conditionalFormatting>
  <conditionalFormatting sqref="AC37">
    <cfRule type="expression" dxfId="491" priority="19" stopIfTrue="1">
      <formula>AC37&gt;$M$5</formula>
    </cfRule>
    <cfRule type="expression" dxfId="490" priority="20">
      <formula>AND($M$5&gt;0,AC37&lt;$M$5*0.97)</formula>
    </cfRule>
    <cfRule type="expression" dxfId="489" priority="21">
      <formula>AND($M$5&gt;0,AC37&gt;=$M$5*0.97,AC37&lt;=$M$5)</formula>
    </cfRule>
  </conditionalFormatting>
  <conditionalFormatting sqref="AD37">
    <cfRule type="expression" dxfId="488" priority="22" stopIfTrue="1">
      <formula>AD37&gt;$G$5</formula>
    </cfRule>
    <cfRule type="expression" dxfId="487" priority="23">
      <formula>AND($G$5&gt;0,AD37&lt;$G$5*0.97)</formula>
    </cfRule>
    <cfRule type="expression" dxfId="486" priority="24">
      <formula>AND($G$5&gt;0,AD37&gt;=$G$5*0.97,AD37&lt;=$G$5)</formula>
    </cfRule>
  </conditionalFormatting>
  <conditionalFormatting sqref="AF37">
    <cfRule type="expression" dxfId="485" priority="25" stopIfTrue="1">
      <formula>AF37&gt;$I$5</formula>
    </cfRule>
    <cfRule type="expression" dxfId="484" priority="26">
      <formula>AND($I$5&gt;0,AF37&lt;$I$5*0.97)</formula>
    </cfRule>
    <cfRule type="expression" dxfId="483" priority="27">
      <formula>AND($I$5&gt;0,AF37&gt;=$I$5*0.97,AF37&lt;=$I$5)</formula>
    </cfRule>
  </conditionalFormatting>
  <conditionalFormatting sqref="AG37">
    <cfRule type="expression" dxfId="482" priority="28" stopIfTrue="1">
      <formula>AG37&gt;$J$5</formula>
    </cfRule>
    <cfRule type="expression" dxfId="481" priority="29">
      <formula>AND($J$5&gt;0,AG37&lt;$J$5*0.97)</formula>
    </cfRule>
    <cfRule type="expression" dxfId="480" priority="30">
      <formula>AND($J$5&gt;0,AG37&gt;=$J$5*0.97,AG37&lt;=$J$5)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540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62.7</v>
      </c>
      <c r="D5" s="10">
        <f>C5*B5</f>
        <v>1065.9000000000001</v>
      </c>
      <c r="E5" s="11">
        <v>0.5706</v>
      </c>
      <c r="F5" s="10">
        <f>ROUND(D5*E5,0)</f>
        <v>608</v>
      </c>
      <c r="G5" s="10">
        <f>ROUND(F5*Settings!$B$4,0)</f>
        <v>580</v>
      </c>
      <c r="H5" s="10">
        <f>D5-F5</f>
        <v>457.90000000000009</v>
      </c>
      <c r="I5" s="8">
        <v>3981</v>
      </c>
      <c r="J5" s="9">
        <v>25</v>
      </c>
      <c r="K5" s="9">
        <v>10</v>
      </c>
      <c r="L5" s="8">
        <v>1941</v>
      </c>
      <c r="M5" s="9">
        <v>13</v>
      </c>
    </row>
    <row r="7" spans="1:47" x14ac:dyDescent="0.25">
      <c r="A7" s="5" t="s">
        <v>54</v>
      </c>
      <c r="B7" s="12" t="s">
        <v>541</v>
      </c>
    </row>
    <row r="8" spans="1:47" x14ac:dyDescent="0.25">
      <c r="A8" s="5" t="s">
        <v>56</v>
      </c>
      <c r="B8" s="13" t="s">
        <v>542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543</v>
      </c>
      <c r="C11" s="17">
        <v>1</v>
      </c>
      <c r="D11" s="17" t="s">
        <v>130</v>
      </c>
      <c r="E11" s="18" t="s">
        <v>99</v>
      </c>
      <c r="F11" s="19">
        <v>42</v>
      </c>
      <c r="G11" s="19">
        <v>48</v>
      </c>
      <c r="H11" s="19">
        <v>73</v>
      </c>
      <c r="I11" s="19">
        <v>498</v>
      </c>
      <c r="J11" s="19">
        <v>1</v>
      </c>
      <c r="K11" s="19"/>
      <c r="L11" s="19"/>
      <c r="M11" s="19"/>
      <c r="N11" s="19" t="s">
        <v>413</v>
      </c>
      <c r="O11" s="19">
        <v>16</v>
      </c>
      <c r="P11" s="20">
        <v>6.33</v>
      </c>
      <c r="Q11" s="20">
        <v>10</v>
      </c>
      <c r="R11" s="21">
        <v>1</v>
      </c>
      <c r="S11" s="21">
        <v>0.65800000000000003</v>
      </c>
      <c r="T11" s="20">
        <v>7.29</v>
      </c>
      <c r="U11" s="22">
        <v>17</v>
      </c>
      <c r="V11" s="22">
        <v>525</v>
      </c>
      <c r="W11" s="22">
        <v>348</v>
      </c>
      <c r="X11" s="22">
        <v>3893</v>
      </c>
      <c r="Y11" s="22">
        <v>26</v>
      </c>
      <c r="Z11" s="22">
        <v>11</v>
      </c>
      <c r="AA11" s="22">
        <v>75</v>
      </c>
      <c r="AB11" s="22">
        <v>407</v>
      </c>
      <c r="AC11" s="22">
        <v>2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5.4266666666666667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7.4152380952380952</v>
      </c>
      <c r="AM11" s="25">
        <f t="shared" ref="AM11:AM35" si="4">IFERROR(W11/V11,"")</f>
        <v>0.66285714285714281</v>
      </c>
      <c r="AN11" s="25">
        <f t="shared" ref="AN11:AN35" si="5">IFERROR(AA11/$H$5,"")</f>
        <v>0.1637912207905656</v>
      </c>
      <c r="AO11" s="25">
        <f t="shared" ref="AO11:AO35" si="6">IFERROR(AD11/$G$5,"")</f>
        <v>0</v>
      </c>
      <c r="AP11" s="25">
        <f t="shared" ref="AP11:AP35" si="7">IFERROR(V11/$F$5,"")</f>
        <v>0.86348684210526316</v>
      </c>
      <c r="AQ11" s="26">
        <f t="shared" ref="AQ11:AQ35" si="8">IFERROR(AA11/U11,"")</f>
        <v>4.4117647058823533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2</v>
      </c>
      <c r="AU11" s="28">
        <f>AF11*Settings!$B$7+AG11*Settings!$B$8+AE11*Settings!$B$9+AB11*Settings!$B$10+AC11*Settings!$B$11+X11*Settings!$B$12+Y11*Settings!$B$13+Z11*Settings!$B$14</f>
        <v>290.42</v>
      </c>
    </row>
    <row r="12" spans="1:47" x14ac:dyDescent="0.25">
      <c r="A12" s="15" t="s">
        <v>96</v>
      </c>
      <c r="B12" s="16" t="s">
        <v>544</v>
      </c>
      <c r="C12" s="17">
        <v>2</v>
      </c>
      <c r="D12" s="17" t="s">
        <v>111</v>
      </c>
      <c r="E12" s="18" t="s">
        <v>99</v>
      </c>
      <c r="F12" s="19"/>
      <c r="G12" s="19">
        <v>11</v>
      </c>
      <c r="H12" s="19">
        <v>15</v>
      </c>
      <c r="I12" s="19">
        <v>85</v>
      </c>
      <c r="J12" s="19"/>
      <c r="K12" s="19"/>
      <c r="L12" s="19"/>
      <c r="M12" s="19"/>
      <c r="N12" s="19" t="s">
        <v>413</v>
      </c>
      <c r="O12" s="19">
        <v>4</v>
      </c>
      <c r="P12" s="20">
        <v>4.8499999999999996</v>
      </c>
      <c r="Q12" s="20"/>
      <c r="R12" s="21"/>
      <c r="S12" s="21">
        <v>0.53100000000000003</v>
      </c>
      <c r="T12" s="20">
        <v>5.0199999999999996</v>
      </c>
      <c r="U12" s="22">
        <v>17</v>
      </c>
      <c r="V12" s="22">
        <v>29</v>
      </c>
      <c r="W12" s="22">
        <v>17</v>
      </c>
      <c r="X12" s="22">
        <v>190</v>
      </c>
      <c r="Y12" s="22">
        <v>1</v>
      </c>
      <c r="Z12" s="22">
        <v>1</v>
      </c>
      <c r="AA12" s="22">
        <v>5</v>
      </c>
      <c r="AB12" s="22">
        <v>25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5</v>
      </c>
      <c r="AJ12" s="24" t="str">
        <f t="shared" si="1"/>
        <v/>
      </c>
      <c r="AK12" s="25" t="str">
        <f t="shared" si="2"/>
        <v/>
      </c>
      <c r="AL12" s="24">
        <f t="shared" si="3"/>
        <v>6.5517241379310347</v>
      </c>
      <c r="AM12" s="25">
        <f t="shared" si="4"/>
        <v>0.58620689655172409</v>
      </c>
      <c r="AN12" s="25">
        <f t="shared" si="5"/>
        <v>1.0919414719371039E-2</v>
      </c>
      <c r="AO12" s="25">
        <f t="shared" si="6"/>
        <v>0</v>
      </c>
      <c r="AP12" s="25">
        <f t="shared" si="7"/>
        <v>4.7697368421052634E-2</v>
      </c>
      <c r="AQ12" s="26">
        <f t="shared" si="8"/>
        <v>0.29411764705882354</v>
      </c>
      <c r="AR12" s="26">
        <f t="shared" si="9"/>
        <v>0</v>
      </c>
      <c r="AS12" s="27">
        <f t="shared" si="10"/>
        <v>0</v>
      </c>
      <c r="AT12" s="27">
        <f t="shared" si="11"/>
        <v>-10</v>
      </c>
      <c r="AU12" s="28">
        <f>AF12*Settings!$B$7+AG12*Settings!$B$8+AE12*Settings!$B$9+AB12*Settings!$B$10+AC12*Settings!$B$11+X12*Settings!$B$12+Y12*Settings!$B$13+Z12*Settings!$B$14</f>
        <v>12.100000000000001</v>
      </c>
    </row>
    <row r="13" spans="1:47" x14ac:dyDescent="0.25">
      <c r="A13" s="15" t="s">
        <v>96</v>
      </c>
      <c r="B13" s="16" t="s">
        <v>545</v>
      </c>
      <c r="C13" s="17">
        <v>3</v>
      </c>
      <c r="D13" s="17" t="s">
        <v>105</v>
      </c>
      <c r="E13" s="18" t="s">
        <v>99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1"/>
      <c r="S13" s="21"/>
      <c r="T13" s="20"/>
      <c r="U13" s="22">
        <v>17</v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33"/>
      <c r="AI13" s="24" t="str">
        <f t="shared" si="0"/>
        <v/>
      </c>
      <c r="AJ13" s="24" t="str">
        <f t="shared" si="1"/>
        <v/>
      </c>
      <c r="AK13" s="25" t="str">
        <f t="shared" si="2"/>
        <v/>
      </c>
      <c r="AL13" s="24" t="str">
        <f t="shared" si="3"/>
        <v/>
      </c>
      <c r="AM13" s="25" t="str">
        <f t="shared" si="4"/>
        <v/>
      </c>
      <c r="AN13" s="25">
        <f t="shared" si="5"/>
        <v>0</v>
      </c>
      <c r="AO13" s="25">
        <f t="shared" si="6"/>
        <v>0</v>
      </c>
      <c r="AP13" s="25">
        <f t="shared" si="7"/>
        <v>0</v>
      </c>
      <c r="AQ13" s="26">
        <f t="shared" si="8"/>
        <v>0</v>
      </c>
      <c r="AR13" s="26">
        <f t="shared" si="9"/>
        <v>0</v>
      </c>
      <c r="AS13" s="27">
        <f t="shared" si="10"/>
        <v>0</v>
      </c>
      <c r="AT13" s="27">
        <f t="shared" si="11"/>
        <v>0</v>
      </c>
      <c r="AU13" s="28">
        <f>AF13*Settings!$B$7+AG13*Settings!$B$8+AE13*Settings!$B$9+AB13*Settings!$B$10+AC13*Settings!$B$11+X13*Settings!$B$12+Y13*Settings!$B$13+Z13*Settings!$B$14</f>
        <v>0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546</v>
      </c>
      <c r="C15" s="17">
        <v>1</v>
      </c>
      <c r="D15" s="17" t="s">
        <v>103</v>
      </c>
      <c r="E15" s="18" t="s">
        <v>99</v>
      </c>
      <c r="F15" s="19"/>
      <c r="G15" s="19"/>
      <c r="H15" s="19">
        <v>124</v>
      </c>
      <c r="I15" s="19">
        <v>545</v>
      </c>
      <c r="J15" s="19"/>
      <c r="K15" s="19"/>
      <c r="L15" s="19">
        <v>35</v>
      </c>
      <c r="M15" s="19">
        <v>192</v>
      </c>
      <c r="N15" s="19" t="s">
        <v>413</v>
      </c>
      <c r="O15" s="19">
        <v>9</v>
      </c>
      <c r="P15" s="20">
        <v>4.4000000000000004</v>
      </c>
      <c r="Q15" s="20">
        <v>6</v>
      </c>
      <c r="R15" s="21">
        <v>0.91400000000000003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238</v>
      </c>
      <c r="AB15" s="22">
        <v>1041</v>
      </c>
      <c r="AC15" s="22">
        <v>9</v>
      </c>
      <c r="AD15" s="22">
        <v>60</v>
      </c>
      <c r="AE15" s="22">
        <v>50</v>
      </c>
      <c r="AF15" s="22">
        <v>340</v>
      </c>
      <c r="AG15" s="22">
        <v>2</v>
      </c>
      <c r="AH15" s="23" t="s">
        <v>101</v>
      </c>
      <c r="AI15" s="24">
        <f t="shared" si="0"/>
        <v>4.3739495798319323</v>
      </c>
      <c r="AJ15" s="24">
        <f t="shared" si="1"/>
        <v>6.8</v>
      </c>
      <c r="AK15" s="25">
        <f t="shared" si="2"/>
        <v>0.83333333333333337</v>
      </c>
      <c r="AL15" s="24" t="str">
        <f t="shared" si="3"/>
        <v/>
      </c>
      <c r="AM15" s="25" t="str">
        <f t="shared" si="4"/>
        <v/>
      </c>
      <c r="AN15" s="25">
        <f t="shared" si="5"/>
        <v>0.51976414064206145</v>
      </c>
      <c r="AO15" s="25">
        <f t="shared" si="6"/>
        <v>0.10344827586206896</v>
      </c>
      <c r="AP15" s="25">
        <f t="shared" si="7"/>
        <v>0</v>
      </c>
      <c r="AQ15" s="26">
        <f t="shared" si="8"/>
        <v>14</v>
      </c>
      <c r="AR15" s="26">
        <f t="shared" si="9"/>
        <v>3.5294117647058822</v>
      </c>
      <c r="AS15" s="27">
        <f t="shared" si="10"/>
        <v>25</v>
      </c>
      <c r="AT15" s="27">
        <f t="shared" si="11"/>
        <v>114</v>
      </c>
      <c r="AU15" s="28">
        <f>AF15*Settings!$B$7+AG15*Settings!$B$8+AE15*Settings!$B$9+AB15*Settings!$B$10+AC15*Settings!$B$11+X15*Settings!$B$12+Y15*Settings!$B$13+Z15*Settings!$B$14</f>
        <v>229.10000000000002</v>
      </c>
    </row>
    <row r="16" spans="1:47" x14ac:dyDescent="0.25">
      <c r="A16" s="15" t="s">
        <v>107</v>
      </c>
      <c r="B16" s="16" t="s">
        <v>547</v>
      </c>
      <c r="C16" s="17">
        <v>2</v>
      </c>
      <c r="D16" s="17" t="s">
        <v>118</v>
      </c>
      <c r="E16" s="18" t="s">
        <v>99</v>
      </c>
      <c r="F16" s="19">
        <v>47</v>
      </c>
      <c r="G16" s="19">
        <v>15</v>
      </c>
      <c r="H16" s="19">
        <v>59</v>
      </c>
      <c r="I16" s="19">
        <v>341</v>
      </c>
      <c r="J16" s="19">
        <v>11</v>
      </c>
      <c r="K16" s="19">
        <v>1</v>
      </c>
      <c r="L16" s="19">
        <v>12</v>
      </c>
      <c r="M16" s="19">
        <v>63</v>
      </c>
      <c r="N16" s="19" t="s">
        <v>155</v>
      </c>
      <c r="O16" s="19">
        <v>13</v>
      </c>
      <c r="P16" s="20">
        <v>6.34</v>
      </c>
      <c r="Q16" s="20">
        <v>9.68</v>
      </c>
      <c r="R16" s="21">
        <v>0.79200000000000004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79</v>
      </c>
      <c r="AB16" s="22">
        <v>382</v>
      </c>
      <c r="AC16" s="22">
        <v>2</v>
      </c>
      <c r="AD16" s="22">
        <v>23</v>
      </c>
      <c r="AE16" s="22">
        <v>18</v>
      </c>
      <c r="AF16" s="22">
        <v>131</v>
      </c>
      <c r="AG16" s="22">
        <v>1</v>
      </c>
      <c r="AH16" s="23" t="s">
        <v>101</v>
      </c>
      <c r="AI16" s="24">
        <f t="shared" si="0"/>
        <v>4.8354430379746836</v>
      </c>
      <c r="AJ16" s="24">
        <f t="shared" si="1"/>
        <v>7.2777777777777777</v>
      </c>
      <c r="AK16" s="25">
        <f t="shared" si="2"/>
        <v>0.78260869565217395</v>
      </c>
      <c r="AL16" s="24" t="str">
        <f t="shared" si="3"/>
        <v/>
      </c>
      <c r="AM16" s="25" t="str">
        <f t="shared" si="4"/>
        <v/>
      </c>
      <c r="AN16" s="25">
        <f t="shared" si="5"/>
        <v>0.17252675256606242</v>
      </c>
      <c r="AO16" s="25">
        <f t="shared" si="6"/>
        <v>3.9655172413793106E-2</v>
      </c>
      <c r="AP16" s="25">
        <f t="shared" si="7"/>
        <v>0</v>
      </c>
      <c r="AQ16" s="26">
        <f t="shared" si="8"/>
        <v>4.6470588235294121</v>
      </c>
      <c r="AR16" s="26">
        <f t="shared" si="9"/>
        <v>1.3529411764705883</v>
      </c>
      <c r="AS16" s="27">
        <f t="shared" si="10"/>
        <v>11</v>
      </c>
      <c r="AT16" s="27">
        <f t="shared" si="11"/>
        <v>20</v>
      </c>
      <c r="AU16" s="28">
        <f>AF16*Settings!$B$7+AG16*Settings!$B$8+AE16*Settings!$B$9+AB16*Settings!$B$10+AC16*Settings!$B$11+X16*Settings!$B$12+Y16*Settings!$B$13+Z16*Settings!$B$14</f>
        <v>78.300000000000011</v>
      </c>
    </row>
    <row r="17" spans="1:47" x14ac:dyDescent="0.25">
      <c r="A17" s="15" t="s">
        <v>107</v>
      </c>
      <c r="B17" s="16" t="s">
        <v>548</v>
      </c>
      <c r="C17" s="17">
        <v>3</v>
      </c>
      <c r="D17" s="17" t="s">
        <v>118</v>
      </c>
      <c r="E17" s="18" t="s">
        <v>99</v>
      </c>
      <c r="F17" s="19"/>
      <c r="G17" s="19">
        <v>43</v>
      </c>
      <c r="H17" s="19">
        <v>155</v>
      </c>
      <c r="I17" s="19">
        <v>643</v>
      </c>
      <c r="J17" s="19"/>
      <c r="K17" s="19">
        <v>9</v>
      </c>
      <c r="L17" s="19">
        <v>22</v>
      </c>
      <c r="M17" s="19">
        <v>136</v>
      </c>
      <c r="N17" s="19" t="s">
        <v>413</v>
      </c>
      <c r="O17" s="19">
        <v>13</v>
      </c>
      <c r="P17" s="20">
        <v>4.03</v>
      </c>
      <c r="Q17" s="20">
        <v>9.43</v>
      </c>
      <c r="R17" s="21">
        <v>0.67700000000000005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61</v>
      </c>
      <c r="AB17" s="22">
        <v>245</v>
      </c>
      <c r="AC17" s="22">
        <v>2</v>
      </c>
      <c r="AD17" s="22">
        <v>14</v>
      </c>
      <c r="AE17" s="22">
        <v>12</v>
      </c>
      <c r="AF17" s="22">
        <v>104</v>
      </c>
      <c r="AG17" s="22">
        <v>1</v>
      </c>
      <c r="AH17" s="23" t="s">
        <v>101</v>
      </c>
      <c r="AI17" s="24">
        <f t="shared" si="0"/>
        <v>4.0163934426229506</v>
      </c>
      <c r="AJ17" s="24">
        <f t="shared" si="1"/>
        <v>8.6666666666666661</v>
      </c>
      <c r="AK17" s="25">
        <f t="shared" si="2"/>
        <v>0.8571428571428571</v>
      </c>
      <c r="AL17" s="24" t="str">
        <f t="shared" si="3"/>
        <v/>
      </c>
      <c r="AM17" s="25" t="str">
        <f t="shared" si="4"/>
        <v/>
      </c>
      <c r="AN17" s="25">
        <f t="shared" si="5"/>
        <v>0.13321685957632667</v>
      </c>
      <c r="AO17" s="25">
        <f t="shared" si="6"/>
        <v>2.4137931034482758E-2</v>
      </c>
      <c r="AP17" s="25">
        <f t="shared" si="7"/>
        <v>0</v>
      </c>
      <c r="AQ17" s="26">
        <f t="shared" si="8"/>
        <v>3.5882352941176472</v>
      </c>
      <c r="AR17" s="26">
        <f t="shared" si="9"/>
        <v>0.82352941176470584</v>
      </c>
      <c r="AS17" s="27">
        <f t="shared" si="10"/>
        <v>-8</v>
      </c>
      <c r="AT17" s="27">
        <f t="shared" si="11"/>
        <v>-94</v>
      </c>
      <c r="AU17" s="28">
        <f>AF17*Settings!$B$7+AG17*Settings!$B$8+AE17*Settings!$B$9+AB17*Settings!$B$10+AC17*Settings!$B$11+X17*Settings!$B$12+Y17*Settings!$B$13+Z17*Settings!$B$14</f>
        <v>58.9</v>
      </c>
    </row>
    <row r="18" spans="1:47" x14ac:dyDescent="0.25">
      <c r="A18" s="15" t="s">
        <v>107</v>
      </c>
      <c r="B18" s="16" t="s">
        <v>549</v>
      </c>
      <c r="C18" s="17">
        <v>4</v>
      </c>
      <c r="D18" s="17" t="s">
        <v>111</v>
      </c>
      <c r="E18" s="18" t="s">
        <v>99</v>
      </c>
      <c r="F18" s="19"/>
      <c r="G18" s="19"/>
      <c r="H18" s="19">
        <v>41</v>
      </c>
      <c r="I18" s="19">
        <v>159</v>
      </c>
      <c r="J18" s="19"/>
      <c r="K18" s="19"/>
      <c r="L18" s="19">
        <v>4</v>
      </c>
      <c r="M18" s="19">
        <v>8</v>
      </c>
      <c r="N18" s="19" t="s">
        <v>413</v>
      </c>
      <c r="O18" s="19">
        <v>6</v>
      </c>
      <c r="P18" s="20">
        <v>3.88</v>
      </c>
      <c r="Q18" s="20">
        <v>2.67</v>
      </c>
      <c r="R18" s="21">
        <v>0.75</v>
      </c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15</v>
      </c>
      <c r="AB18" s="22">
        <v>50</v>
      </c>
      <c r="AC18" s="22">
        <v>0</v>
      </c>
      <c r="AD18" s="22">
        <v>2</v>
      </c>
      <c r="AE18" s="22">
        <v>2</v>
      </c>
      <c r="AF18" s="22">
        <v>14</v>
      </c>
      <c r="AG18" s="22">
        <v>0</v>
      </c>
      <c r="AH18" s="23" t="s">
        <v>101</v>
      </c>
      <c r="AI18" s="24">
        <f t="shared" si="0"/>
        <v>3.3333333333333335</v>
      </c>
      <c r="AJ18" s="24">
        <f t="shared" si="1"/>
        <v>7</v>
      </c>
      <c r="AK18" s="25">
        <f t="shared" si="2"/>
        <v>1</v>
      </c>
      <c r="AL18" s="24" t="str">
        <f t="shared" si="3"/>
        <v/>
      </c>
      <c r="AM18" s="25" t="str">
        <f t="shared" si="4"/>
        <v/>
      </c>
      <c r="AN18" s="25">
        <f t="shared" si="5"/>
        <v>3.2758244158113119E-2</v>
      </c>
      <c r="AO18" s="25">
        <f t="shared" si="6"/>
        <v>3.4482758620689655E-3</v>
      </c>
      <c r="AP18" s="25">
        <f t="shared" si="7"/>
        <v>0</v>
      </c>
      <c r="AQ18" s="26">
        <f t="shared" si="8"/>
        <v>0.88235294117647056</v>
      </c>
      <c r="AR18" s="26">
        <f t="shared" si="9"/>
        <v>0.11764705882352941</v>
      </c>
      <c r="AS18" s="27">
        <f t="shared" si="10"/>
        <v>-2</v>
      </c>
      <c r="AT18" s="27">
        <f t="shared" si="11"/>
        <v>-26</v>
      </c>
      <c r="AU18" s="28">
        <f>AF18*Settings!$B$7+AG18*Settings!$B$8+AE18*Settings!$B$9+AB18*Settings!$B$10+AC18*Settings!$B$11+X18*Settings!$B$12+Y18*Settings!$B$13+Z18*Settings!$B$14</f>
        <v>7.4</v>
      </c>
    </row>
    <row r="19" spans="1:47" x14ac:dyDescent="0.25">
      <c r="A19" s="15" t="s">
        <v>107</v>
      </c>
      <c r="B19" s="16" t="s">
        <v>550</v>
      </c>
      <c r="C19" s="17">
        <v>5</v>
      </c>
      <c r="D19" s="17" t="s">
        <v>103</v>
      </c>
      <c r="E19" s="18" t="s">
        <v>99</v>
      </c>
      <c r="F19" s="19"/>
      <c r="G19" s="19"/>
      <c r="H19" s="19">
        <v>2</v>
      </c>
      <c r="I19" s="19">
        <v>8</v>
      </c>
      <c r="J19" s="19"/>
      <c r="K19" s="19"/>
      <c r="L19" s="19">
        <v>1</v>
      </c>
      <c r="M19" s="19"/>
      <c r="N19" s="19" t="s">
        <v>413</v>
      </c>
      <c r="O19" s="19">
        <v>2</v>
      </c>
      <c r="P19" s="20">
        <v>4</v>
      </c>
      <c r="Q19" s="20"/>
      <c r="R19" s="21"/>
      <c r="S19" s="21"/>
      <c r="T19" s="20"/>
      <c r="U19" s="22">
        <v>17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2</v>
      </c>
      <c r="AB19" s="22">
        <v>8</v>
      </c>
      <c r="AC19" s="22">
        <v>0</v>
      </c>
      <c r="AD19" s="22">
        <v>1</v>
      </c>
      <c r="AE19" s="22">
        <v>0</v>
      </c>
      <c r="AF19" s="22">
        <v>0</v>
      </c>
      <c r="AG19" s="22">
        <v>0</v>
      </c>
      <c r="AH19" s="23" t="s">
        <v>101</v>
      </c>
      <c r="AI19" s="24">
        <f t="shared" si="0"/>
        <v>4</v>
      </c>
      <c r="AJ19" s="24" t="str">
        <f t="shared" si="1"/>
        <v/>
      </c>
      <c r="AK19" s="25">
        <f t="shared" si="2"/>
        <v>0</v>
      </c>
      <c r="AL19" s="24" t="str">
        <f t="shared" si="3"/>
        <v/>
      </c>
      <c r="AM19" s="25" t="str">
        <f t="shared" si="4"/>
        <v/>
      </c>
      <c r="AN19" s="25">
        <f t="shared" si="5"/>
        <v>4.3677658877484156E-3</v>
      </c>
      <c r="AO19" s="25">
        <f t="shared" si="6"/>
        <v>1.7241379310344827E-3</v>
      </c>
      <c r="AP19" s="25">
        <f t="shared" si="7"/>
        <v>0</v>
      </c>
      <c r="AQ19" s="26">
        <f t="shared" si="8"/>
        <v>0.11764705882352941</v>
      </c>
      <c r="AR19" s="26">
        <f t="shared" si="9"/>
        <v>5.8823529411764705E-2</v>
      </c>
      <c r="AS19" s="27">
        <f t="shared" si="10"/>
        <v>0</v>
      </c>
      <c r="AT19" s="27">
        <f t="shared" si="11"/>
        <v>0</v>
      </c>
      <c r="AU19" s="28">
        <f>AF19*Settings!$B$7+AG19*Settings!$B$8+AE19*Settings!$B$9+AB19*Settings!$B$10+AC19*Settings!$B$11+X19*Settings!$B$12+Y19*Settings!$B$13+Z19*Settings!$B$14</f>
        <v>0.8</v>
      </c>
    </row>
    <row r="20" spans="1:47" x14ac:dyDescent="0.25">
      <c r="A20" s="15" t="s">
        <v>107</v>
      </c>
      <c r="B20" s="16" t="s">
        <v>551</v>
      </c>
      <c r="C20" s="17">
        <v>6</v>
      </c>
      <c r="D20" s="17" t="s">
        <v>200</v>
      </c>
      <c r="E20" s="18" t="s">
        <v>99</v>
      </c>
      <c r="F20" s="19">
        <v>2</v>
      </c>
      <c r="G20" s="19">
        <v>10</v>
      </c>
      <c r="H20" s="19">
        <v>2</v>
      </c>
      <c r="I20" s="19">
        <v>9</v>
      </c>
      <c r="J20" s="19">
        <v>16</v>
      </c>
      <c r="K20" s="19">
        <v>12</v>
      </c>
      <c r="L20" s="19">
        <v>11</v>
      </c>
      <c r="M20" s="19">
        <v>52</v>
      </c>
      <c r="N20" s="19" t="s">
        <v>150</v>
      </c>
      <c r="O20" s="19">
        <v>17</v>
      </c>
      <c r="P20" s="20">
        <v>1.86</v>
      </c>
      <c r="Q20" s="20">
        <v>8.34</v>
      </c>
      <c r="R20" s="21">
        <v>0.82099999999999995</v>
      </c>
      <c r="S20" s="21"/>
      <c r="T20" s="20"/>
      <c r="U20" s="22">
        <v>17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2</v>
      </c>
      <c r="AB20" s="22">
        <v>6</v>
      </c>
      <c r="AC20" s="22">
        <v>0</v>
      </c>
      <c r="AD20" s="22">
        <v>7</v>
      </c>
      <c r="AE20" s="22">
        <v>6</v>
      </c>
      <c r="AF20" s="22">
        <v>41</v>
      </c>
      <c r="AG20" s="22">
        <v>0</v>
      </c>
      <c r="AH20" s="23" t="s">
        <v>101</v>
      </c>
      <c r="AI20" s="24">
        <f t="shared" si="0"/>
        <v>3</v>
      </c>
      <c r="AJ20" s="24">
        <f t="shared" si="1"/>
        <v>6.833333333333333</v>
      </c>
      <c r="AK20" s="25">
        <f t="shared" si="2"/>
        <v>0.8571428571428571</v>
      </c>
      <c r="AL20" s="24" t="str">
        <f t="shared" si="3"/>
        <v/>
      </c>
      <c r="AM20" s="25" t="str">
        <f t="shared" si="4"/>
        <v/>
      </c>
      <c r="AN20" s="25">
        <f t="shared" si="5"/>
        <v>4.3677658877484156E-3</v>
      </c>
      <c r="AO20" s="25">
        <f t="shared" si="6"/>
        <v>1.2068965517241379E-2</v>
      </c>
      <c r="AP20" s="25">
        <f t="shared" si="7"/>
        <v>0</v>
      </c>
      <c r="AQ20" s="26">
        <f t="shared" si="8"/>
        <v>0.11764705882352941</v>
      </c>
      <c r="AR20" s="26">
        <f t="shared" si="9"/>
        <v>0.41176470588235292</v>
      </c>
      <c r="AS20" s="27">
        <f t="shared" si="10"/>
        <v>-4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7.7000000000000011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552</v>
      </c>
      <c r="C22" s="17">
        <v>1</v>
      </c>
      <c r="D22" s="17" t="s">
        <v>118</v>
      </c>
      <c r="E22" s="18" t="s">
        <v>99</v>
      </c>
      <c r="F22" s="19"/>
      <c r="G22" s="19"/>
      <c r="H22" s="19"/>
      <c r="I22" s="19"/>
      <c r="J22" s="19"/>
      <c r="K22" s="19">
        <v>112</v>
      </c>
      <c r="L22" s="19">
        <v>106</v>
      </c>
      <c r="M22" s="19">
        <v>789</v>
      </c>
      <c r="N22" s="19" t="s">
        <v>413</v>
      </c>
      <c r="O22" s="19">
        <v>16</v>
      </c>
      <c r="P22" s="20"/>
      <c r="Q22" s="20">
        <v>13.09</v>
      </c>
      <c r="R22" s="21">
        <v>0.67900000000000005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1</v>
      </c>
      <c r="AB22" s="22">
        <v>3</v>
      </c>
      <c r="AC22" s="22">
        <v>0</v>
      </c>
      <c r="AD22" s="22">
        <v>120</v>
      </c>
      <c r="AE22" s="22">
        <v>78</v>
      </c>
      <c r="AF22" s="22">
        <v>1011</v>
      </c>
      <c r="AG22" s="22">
        <v>7</v>
      </c>
      <c r="AH22" s="23" t="s">
        <v>101</v>
      </c>
      <c r="AI22" s="24">
        <f t="shared" si="0"/>
        <v>3</v>
      </c>
      <c r="AJ22" s="24">
        <f t="shared" si="1"/>
        <v>12.961538461538462</v>
      </c>
      <c r="AK22" s="25">
        <f t="shared" si="2"/>
        <v>0.65</v>
      </c>
      <c r="AL22" s="24" t="str">
        <f t="shared" si="3"/>
        <v/>
      </c>
      <c r="AM22" s="25" t="str">
        <f t="shared" si="4"/>
        <v/>
      </c>
      <c r="AN22" s="25">
        <f t="shared" si="5"/>
        <v>2.1838829438742078E-3</v>
      </c>
      <c r="AO22" s="25">
        <f t="shared" si="6"/>
        <v>0.20689655172413793</v>
      </c>
      <c r="AP22" s="25">
        <f t="shared" si="7"/>
        <v>0</v>
      </c>
      <c r="AQ22" s="26">
        <f t="shared" si="8"/>
        <v>5.8823529411764705E-2</v>
      </c>
      <c r="AR22" s="26">
        <f t="shared" si="9"/>
        <v>7.0588235294117645</v>
      </c>
      <c r="AS22" s="27">
        <f t="shared" si="10"/>
        <v>14</v>
      </c>
      <c r="AT22" s="27">
        <f t="shared" si="11"/>
        <v>1</v>
      </c>
      <c r="AU22" s="28">
        <f>AF22*Settings!$B$7+AG22*Settings!$B$8+AE22*Settings!$B$9+AB22*Settings!$B$10+AC22*Settings!$B$11+X22*Settings!$B$12+Y22*Settings!$B$13+Z22*Settings!$B$14</f>
        <v>182.40000000000003</v>
      </c>
    </row>
    <row r="23" spans="1:47" x14ac:dyDescent="0.25">
      <c r="A23" s="15" t="s">
        <v>121</v>
      </c>
      <c r="B23" s="16" t="s">
        <v>553</v>
      </c>
      <c r="C23" s="17">
        <v>2</v>
      </c>
      <c r="D23" s="17" t="s">
        <v>118</v>
      </c>
      <c r="E23" s="18" t="s">
        <v>99</v>
      </c>
      <c r="F23" s="19">
        <v>3</v>
      </c>
      <c r="G23" s="19">
        <v>3</v>
      </c>
      <c r="H23" s="19">
        <v>2</v>
      </c>
      <c r="I23" s="19">
        <v>7</v>
      </c>
      <c r="J23" s="19">
        <v>67</v>
      </c>
      <c r="K23" s="19">
        <v>91</v>
      </c>
      <c r="L23" s="19">
        <v>84</v>
      </c>
      <c r="M23" s="19">
        <v>735</v>
      </c>
      <c r="N23" s="19" t="s">
        <v>413</v>
      </c>
      <c r="O23" s="19">
        <v>14</v>
      </c>
      <c r="P23" s="20">
        <v>2.75</v>
      </c>
      <c r="Q23" s="20">
        <v>13.03</v>
      </c>
      <c r="R23" s="21">
        <v>0.59499999999999997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2</v>
      </c>
      <c r="AB23" s="22">
        <v>10</v>
      </c>
      <c r="AC23" s="22">
        <v>0</v>
      </c>
      <c r="AD23" s="22">
        <v>91</v>
      </c>
      <c r="AE23" s="22">
        <v>54</v>
      </c>
      <c r="AF23" s="22">
        <v>746</v>
      </c>
      <c r="AG23" s="22">
        <v>7</v>
      </c>
      <c r="AH23" s="23" t="s">
        <v>101</v>
      </c>
      <c r="AI23" s="24">
        <f t="shared" si="0"/>
        <v>5</v>
      </c>
      <c r="AJ23" s="24">
        <f t="shared" si="1"/>
        <v>13.814814814814815</v>
      </c>
      <c r="AK23" s="25">
        <f t="shared" si="2"/>
        <v>0.59340659340659341</v>
      </c>
      <c r="AL23" s="24" t="str">
        <f t="shared" si="3"/>
        <v/>
      </c>
      <c r="AM23" s="25" t="str">
        <f t="shared" si="4"/>
        <v/>
      </c>
      <c r="AN23" s="25">
        <f t="shared" si="5"/>
        <v>4.3677658877484156E-3</v>
      </c>
      <c r="AO23" s="25">
        <f t="shared" si="6"/>
        <v>0.15689655172413794</v>
      </c>
      <c r="AP23" s="25">
        <f t="shared" si="7"/>
        <v>0</v>
      </c>
      <c r="AQ23" s="26">
        <f t="shared" si="8"/>
        <v>0.11764705882352941</v>
      </c>
      <c r="AR23" s="26">
        <f t="shared" si="9"/>
        <v>5.3529411764705879</v>
      </c>
      <c r="AS23" s="27">
        <f t="shared" si="10"/>
        <v>7</v>
      </c>
      <c r="AT23" s="27">
        <f t="shared" si="11"/>
        <v>0</v>
      </c>
      <c r="AU23" s="28">
        <f>AF23*Settings!$B$7+AG23*Settings!$B$8+AE23*Settings!$B$9+AB23*Settings!$B$10+AC23*Settings!$B$11+X23*Settings!$B$12+Y23*Settings!$B$13+Z23*Settings!$B$14</f>
        <v>144.60000000000002</v>
      </c>
    </row>
    <row r="24" spans="1:47" x14ac:dyDescent="0.25">
      <c r="A24" s="15" t="s">
        <v>121</v>
      </c>
      <c r="B24" s="16" t="s">
        <v>554</v>
      </c>
      <c r="C24" s="17">
        <v>3</v>
      </c>
      <c r="D24" s="17" t="s">
        <v>118</v>
      </c>
      <c r="E24" s="18" t="s">
        <v>99</v>
      </c>
      <c r="F24" s="19"/>
      <c r="G24" s="19"/>
      <c r="H24" s="19">
        <v>2</v>
      </c>
      <c r="I24" s="19">
        <v>10</v>
      </c>
      <c r="J24" s="19"/>
      <c r="K24" s="19"/>
      <c r="L24" s="19">
        <v>43</v>
      </c>
      <c r="M24" s="19">
        <v>324</v>
      </c>
      <c r="N24" s="19" t="s">
        <v>413</v>
      </c>
      <c r="O24" s="19">
        <v>17</v>
      </c>
      <c r="P24" s="20">
        <v>5</v>
      </c>
      <c r="Q24" s="20">
        <v>10.8</v>
      </c>
      <c r="R24" s="21">
        <v>0.69799999999999995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1</v>
      </c>
      <c r="AC24" s="22">
        <v>0</v>
      </c>
      <c r="AD24" s="22">
        <v>58</v>
      </c>
      <c r="AE24" s="22">
        <v>37</v>
      </c>
      <c r="AF24" s="22">
        <v>444</v>
      </c>
      <c r="AG24" s="22">
        <v>3</v>
      </c>
      <c r="AH24" s="23" t="s">
        <v>101</v>
      </c>
      <c r="AI24" s="24" t="str">
        <f t="shared" si="0"/>
        <v/>
      </c>
      <c r="AJ24" s="24">
        <f t="shared" si="1"/>
        <v>12</v>
      </c>
      <c r="AK24" s="25">
        <f t="shared" si="2"/>
        <v>0.63793103448275867</v>
      </c>
      <c r="AL24" s="24" t="str">
        <f t="shared" si="3"/>
        <v/>
      </c>
      <c r="AM24" s="25" t="str">
        <f t="shared" si="4"/>
        <v/>
      </c>
      <c r="AN24" s="25">
        <f t="shared" si="5"/>
        <v>0</v>
      </c>
      <c r="AO24" s="25">
        <f t="shared" si="6"/>
        <v>0.1</v>
      </c>
      <c r="AP24" s="25">
        <f t="shared" si="7"/>
        <v>0</v>
      </c>
      <c r="AQ24" s="26">
        <f t="shared" si="8"/>
        <v>0</v>
      </c>
      <c r="AR24" s="26">
        <f t="shared" si="9"/>
        <v>3.4117647058823528</v>
      </c>
      <c r="AS24" s="27">
        <f t="shared" si="10"/>
        <v>15</v>
      </c>
      <c r="AT24" s="27">
        <f t="shared" si="11"/>
        <v>-2</v>
      </c>
      <c r="AU24" s="28">
        <f>AF24*Settings!$B$7+AG24*Settings!$B$8+AE24*Settings!$B$9+AB24*Settings!$B$10+AC24*Settings!$B$11+X24*Settings!$B$12+Y24*Settings!$B$13+Z24*Settings!$B$14</f>
        <v>81</v>
      </c>
    </row>
    <row r="25" spans="1:47" x14ac:dyDescent="0.25">
      <c r="A25" s="15" t="s">
        <v>121</v>
      </c>
      <c r="B25" s="16" t="s">
        <v>555</v>
      </c>
      <c r="C25" s="17">
        <v>4</v>
      </c>
      <c r="D25" s="17" t="s">
        <v>103</v>
      </c>
      <c r="E25" s="18" t="s">
        <v>99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20"/>
      <c r="R25" s="21"/>
      <c r="S25" s="21"/>
      <c r="T25" s="20"/>
      <c r="U25" s="22">
        <v>17</v>
      </c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33"/>
      <c r="AI25" s="24" t="str">
        <f t="shared" si="0"/>
        <v/>
      </c>
      <c r="AJ25" s="24" t="str">
        <f t="shared" si="1"/>
        <v/>
      </c>
      <c r="AK25" s="25" t="str">
        <f t="shared" si="2"/>
        <v/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0</v>
      </c>
      <c r="AP25" s="25">
        <f t="shared" si="7"/>
        <v>0</v>
      </c>
      <c r="AQ25" s="26">
        <f t="shared" si="8"/>
        <v>0</v>
      </c>
      <c r="AR25" s="26">
        <f t="shared" si="9"/>
        <v>0</v>
      </c>
      <c r="AS25" s="27">
        <f t="shared" si="10"/>
        <v>0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0</v>
      </c>
    </row>
    <row r="26" spans="1:47" x14ac:dyDescent="0.25">
      <c r="A26" s="15" t="s">
        <v>121</v>
      </c>
      <c r="B26" s="16" t="s">
        <v>556</v>
      </c>
      <c r="C26" s="17">
        <v>5</v>
      </c>
      <c r="D26" s="17" t="s">
        <v>103</v>
      </c>
      <c r="E26" s="18" t="s">
        <v>99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  <c r="R26" s="21"/>
      <c r="S26" s="21"/>
      <c r="T26" s="20"/>
      <c r="U26" s="22">
        <v>17</v>
      </c>
      <c r="V26" s="22"/>
      <c r="W26" s="22"/>
      <c r="X26" s="22"/>
      <c r="Y26" s="22"/>
      <c r="Z26" s="22"/>
      <c r="AA26" s="22">
        <v>1</v>
      </c>
      <c r="AB26" s="22">
        <v>8</v>
      </c>
      <c r="AC26" s="22">
        <v>0</v>
      </c>
      <c r="AD26" s="22">
        <v>25</v>
      </c>
      <c r="AE26" s="22">
        <v>16</v>
      </c>
      <c r="AF26" s="22">
        <v>203</v>
      </c>
      <c r="AG26" s="22">
        <v>1</v>
      </c>
      <c r="AH26" s="23" t="s">
        <v>101</v>
      </c>
      <c r="AI26" s="24">
        <f t="shared" si="0"/>
        <v>8</v>
      </c>
      <c r="AJ26" s="24">
        <f t="shared" si="1"/>
        <v>12.6875</v>
      </c>
      <c r="AK26" s="25">
        <f t="shared" si="2"/>
        <v>0.64</v>
      </c>
      <c r="AL26" s="24" t="str">
        <f t="shared" si="3"/>
        <v/>
      </c>
      <c r="AM26" s="25" t="str">
        <f t="shared" si="4"/>
        <v/>
      </c>
      <c r="AN26" s="25">
        <f t="shared" si="5"/>
        <v>2.1838829438742078E-3</v>
      </c>
      <c r="AO26" s="25">
        <f t="shared" si="6"/>
        <v>4.3103448275862072E-2</v>
      </c>
      <c r="AP26" s="25">
        <f t="shared" si="7"/>
        <v>0</v>
      </c>
      <c r="AQ26" s="26">
        <f t="shared" si="8"/>
        <v>5.8823529411764705E-2</v>
      </c>
      <c r="AR26" s="26">
        <f t="shared" si="9"/>
        <v>1.4705882352941178</v>
      </c>
      <c r="AS26" s="27">
        <f t="shared" si="10"/>
        <v>25</v>
      </c>
      <c r="AT26" s="27">
        <f t="shared" si="11"/>
        <v>1</v>
      </c>
      <c r="AU26" s="28">
        <f>AF26*Settings!$B$7+AG26*Settings!$B$8+AE26*Settings!$B$9+AB26*Settings!$B$10+AC26*Settings!$B$11+X26*Settings!$B$12+Y26*Settings!$B$13+Z26*Settings!$B$14</f>
        <v>35.099999999999994</v>
      </c>
    </row>
    <row r="27" spans="1:47" x14ac:dyDescent="0.25">
      <c r="A27" s="15" t="s">
        <v>121</v>
      </c>
      <c r="B27" s="16" t="s">
        <v>557</v>
      </c>
      <c r="C27" s="17">
        <v>6</v>
      </c>
      <c r="D27" s="17" t="s">
        <v>118</v>
      </c>
      <c r="E27" s="18" t="s">
        <v>99</v>
      </c>
      <c r="F27" s="19"/>
      <c r="G27" s="19"/>
      <c r="H27" s="19"/>
      <c r="I27" s="19"/>
      <c r="J27" s="19"/>
      <c r="K27" s="19"/>
      <c r="L27" s="19">
        <v>12</v>
      </c>
      <c r="M27" s="19">
        <v>51</v>
      </c>
      <c r="N27" s="19" t="s">
        <v>413</v>
      </c>
      <c r="O27" s="19">
        <v>10</v>
      </c>
      <c r="P27" s="20"/>
      <c r="Q27" s="20">
        <v>10.199999999999999</v>
      </c>
      <c r="R27" s="21">
        <v>0.41699999999999998</v>
      </c>
      <c r="S27" s="21"/>
      <c r="T27" s="20"/>
      <c r="U27" s="22">
        <v>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1</v>
      </c>
      <c r="AC27" s="22">
        <v>0</v>
      </c>
      <c r="AD27" s="22">
        <v>13</v>
      </c>
      <c r="AE27" s="22">
        <v>8</v>
      </c>
      <c r="AF27" s="22">
        <v>96</v>
      </c>
      <c r="AG27" s="22">
        <v>1</v>
      </c>
      <c r="AH27" s="23" t="s">
        <v>101</v>
      </c>
      <c r="AI27" s="24" t="str">
        <f t="shared" si="0"/>
        <v/>
      </c>
      <c r="AJ27" s="24">
        <f t="shared" si="1"/>
        <v>12</v>
      </c>
      <c r="AK27" s="25">
        <f t="shared" si="2"/>
        <v>0.61538461538461542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2.2413793103448276E-2</v>
      </c>
      <c r="AP27" s="25">
        <f t="shared" si="7"/>
        <v>0</v>
      </c>
      <c r="AQ27" s="26">
        <f t="shared" si="8"/>
        <v>0</v>
      </c>
      <c r="AR27" s="26">
        <f t="shared" si="9"/>
        <v>0.76470588235294112</v>
      </c>
      <c r="AS27" s="27">
        <f t="shared" si="10"/>
        <v>1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19.700000000000003</v>
      </c>
    </row>
    <row r="28" spans="1:47" x14ac:dyDescent="0.25">
      <c r="A28" s="15" t="s">
        <v>121</v>
      </c>
      <c r="B28" s="16" t="s">
        <v>558</v>
      </c>
      <c r="C28" s="17">
        <v>7</v>
      </c>
      <c r="D28" s="17" t="s">
        <v>105</v>
      </c>
      <c r="E28" s="18" t="s">
        <v>99</v>
      </c>
      <c r="F28" s="19">
        <v>14</v>
      </c>
      <c r="G28" s="19">
        <v>12</v>
      </c>
      <c r="H28" s="19">
        <v>2</v>
      </c>
      <c r="I28" s="19">
        <v>5</v>
      </c>
      <c r="J28" s="19">
        <v>17</v>
      </c>
      <c r="K28" s="19">
        <v>17</v>
      </c>
      <c r="L28" s="19">
        <v>3</v>
      </c>
      <c r="M28" s="19">
        <v>10</v>
      </c>
      <c r="N28" s="19" t="s">
        <v>413</v>
      </c>
      <c r="O28" s="19">
        <v>11</v>
      </c>
      <c r="P28" s="20">
        <v>5.18</v>
      </c>
      <c r="Q28" s="20">
        <v>6.27</v>
      </c>
      <c r="R28" s="21">
        <v>0.81100000000000005</v>
      </c>
      <c r="S28" s="21"/>
      <c r="T28" s="20"/>
      <c r="U28" s="22">
        <v>17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2</v>
      </c>
      <c r="AB28" s="22">
        <v>11</v>
      </c>
      <c r="AC28" s="22">
        <v>0</v>
      </c>
      <c r="AD28" s="22">
        <v>3</v>
      </c>
      <c r="AE28" s="22">
        <v>5</v>
      </c>
      <c r="AF28" s="22">
        <v>43</v>
      </c>
      <c r="AG28" s="22">
        <v>0</v>
      </c>
      <c r="AH28" s="23" t="s">
        <v>101</v>
      </c>
      <c r="AI28" s="24">
        <f t="shared" si="0"/>
        <v>5.5</v>
      </c>
      <c r="AJ28" s="24">
        <f t="shared" si="1"/>
        <v>8.6</v>
      </c>
      <c r="AK28" s="25">
        <f t="shared" si="2"/>
        <v>1.6666666666666667</v>
      </c>
      <c r="AL28" s="24" t="str">
        <f t="shared" si="3"/>
        <v/>
      </c>
      <c r="AM28" s="25" t="str">
        <f t="shared" si="4"/>
        <v/>
      </c>
      <c r="AN28" s="25">
        <f t="shared" si="5"/>
        <v>4.3677658877484156E-3</v>
      </c>
      <c r="AO28" s="25">
        <f t="shared" si="6"/>
        <v>5.1724137931034482E-3</v>
      </c>
      <c r="AP28" s="25">
        <f t="shared" si="7"/>
        <v>0</v>
      </c>
      <c r="AQ28" s="26">
        <f t="shared" si="8"/>
        <v>0.11764705882352941</v>
      </c>
      <c r="AR28" s="26">
        <f t="shared" si="9"/>
        <v>0.17647058823529413</v>
      </c>
      <c r="AS28" s="27">
        <f t="shared" si="10"/>
        <v>0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7.9</v>
      </c>
    </row>
    <row r="29" spans="1:47" x14ac:dyDescent="0.25">
      <c r="A29" s="15" t="s">
        <v>121</v>
      </c>
      <c r="B29" s="16" t="s">
        <v>559</v>
      </c>
      <c r="C29" s="17">
        <v>8</v>
      </c>
      <c r="D29" s="17" t="s">
        <v>118</v>
      </c>
      <c r="E29" s="18" t="s">
        <v>99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1"/>
      <c r="S29" s="21"/>
      <c r="T29" s="20"/>
      <c r="U29" s="22">
        <v>17</v>
      </c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33"/>
      <c r="AI29" s="24" t="str">
        <f t="shared" si="0"/>
        <v/>
      </c>
      <c r="AJ29" s="24" t="str">
        <f t="shared" si="1"/>
        <v/>
      </c>
      <c r="AK29" s="25" t="str">
        <f t="shared" si="2"/>
        <v/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0</v>
      </c>
      <c r="AP29" s="25">
        <f t="shared" si="7"/>
        <v>0</v>
      </c>
      <c r="AQ29" s="26">
        <f t="shared" si="8"/>
        <v>0</v>
      </c>
      <c r="AR29" s="26">
        <f t="shared" si="9"/>
        <v>0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0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560</v>
      </c>
      <c r="C31" s="17">
        <v>1</v>
      </c>
      <c r="D31" s="17" t="s">
        <v>103</v>
      </c>
      <c r="E31" s="18" t="s">
        <v>99</v>
      </c>
      <c r="F31" s="19"/>
      <c r="G31" s="19"/>
      <c r="H31" s="19"/>
      <c r="I31" s="19"/>
      <c r="J31" s="19"/>
      <c r="K31" s="19"/>
      <c r="L31" s="19">
        <v>69</v>
      </c>
      <c r="M31" s="19">
        <v>664</v>
      </c>
      <c r="N31" s="19" t="s">
        <v>413</v>
      </c>
      <c r="O31" s="19">
        <v>15</v>
      </c>
      <c r="P31" s="20"/>
      <c r="Q31" s="20">
        <v>13.55</v>
      </c>
      <c r="R31" s="21">
        <v>0.71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65</v>
      </c>
      <c r="AE31" s="22">
        <v>47</v>
      </c>
      <c r="AF31" s="22">
        <v>586</v>
      </c>
      <c r="AG31" s="22">
        <v>4</v>
      </c>
      <c r="AH31" s="23" t="s">
        <v>101</v>
      </c>
      <c r="AI31" s="24" t="str">
        <f t="shared" si="0"/>
        <v/>
      </c>
      <c r="AJ31" s="24">
        <f t="shared" si="1"/>
        <v>12.468085106382979</v>
      </c>
      <c r="AK31" s="25">
        <f t="shared" si="2"/>
        <v>0.72307692307692306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0.11206896551724138</v>
      </c>
      <c r="AP31" s="25">
        <f t="shared" si="7"/>
        <v>0</v>
      </c>
      <c r="AQ31" s="26">
        <f t="shared" si="8"/>
        <v>0</v>
      </c>
      <c r="AR31" s="26">
        <f t="shared" si="9"/>
        <v>3.8235294117647061</v>
      </c>
      <c r="AS31" s="27">
        <f t="shared" si="10"/>
        <v>-4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106.1</v>
      </c>
    </row>
    <row r="32" spans="1:47" x14ac:dyDescent="0.25">
      <c r="A32" s="15" t="s">
        <v>135</v>
      </c>
      <c r="B32" s="16" t="s">
        <v>561</v>
      </c>
      <c r="C32" s="17">
        <v>2</v>
      </c>
      <c r="D32" s="17" t="s">
        <v>200</v>
      </c>
      <c r="E32" s="18" t="s">
        <v>99</v>
      </c>
      <c r="F32" s="19"/>
      <c r="G32" s="19"/>
      <c r="H32" s="19"/>
      <c r="I32" s="19"/>
      <c r="J32" s="19">
        <v>123</v>
      </c>
      <c r="K32" s="19">
        <v>97</v>
      </c>
      <c r="L32" s="19">
        <v>48</v>
      </c>
      <c r="M32" s="19">
        <v>293</v>
      </c>
      <c r="N32" s="19" t="s">
        <v>293</v>
      </c>
      <c r="O32" s="19">
        <v>12</v>
      </c>
      <c r="P32" s="20"/>
      <c r="Q32" s="20">
        <v>9.44</v>
      </c>
      <c r="R32" s="21">
        <v>0.66400000000000003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45</v>
      </c>
      <c r="AE32" s="22">
        <v>32</v>
      </c>
      <c r="AF32" s="22">
        <v>325</v>
      </c>
      <c r="AG32" s="22">
        <v>3</v>
      </c>
      <c r="AH32" s="23" t="s">
        <v>101</v>
      </c>
      <c r="AI32" s="24" t="str">
        <f t="shared" si="0"/>
        <v/>
      </c>
      <c r="AJ32" s="24">
        <f t="shared" si="1"/>
        <v>10.15625</v>
      </c>
      <c r="AK32" s="25">
        <f t="shared" si="2"/>
        <v>0.71111111111111114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7.7586206896551727E-2</v>
      </c>
      <c r="AP32" s="25">
        <f t="shared" si="7"/>
        <v>0</v>
      </c>
      <c r="AQ32" s="26">
        <f t="shared" si="8"/>
        <v>0</v>
      </c>
      <c r="AR32" s="26">
        <f t="shared" si="9"/>
        <v>2.6470588235294117</v>
      </c>
      <c r="AS32" s="27">
        <f t="shared" si="10"/>
        <v>-3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66.5</v>
      </c>
    </row>
    <row r="33" spans="1:47" x14ac:dyDescent="0.25">
      <c r="A33" s="15" t="s">
        <v>135</v>
      </c>
      <c r="B33" s="16" t="s">
        <v>562</v>
      </c>
      <c r="C33" s="17">
        <v>3</v>
      </c>
      <c r="D33" s="17" t="s">
        <v>158</v>
      </c>
      <c r="E33" s="18" t="s">
        <v>99</v>
      </c>
      <c r="F33" s="19"/>
      <c r="G33" s="19">
        <v>1</v>
      </c>
      <c r="H33" s="19"/>
      <c r="I33" s="19"/>
      <c r="J33" s="19">
        <v>9</v>
      </c>
      <c r="K33" s="19">
        <v>11</v>
      </c>
      <c r="L33" s="19">
        <v>15</v>
      </c>
      <c r="M33" s="19">
        <v>142</v>
      </c>
      <c r="N33" s="19" t="s">
        <v>155</v>
      </c>
      <c r="O33" s="19">
        <v>17</v>
      </c>
      <c r="P33" s="20">
        <v>2</v>
      </c>
      <c r="Q33" s="20">
        <v>13.85</v>
      </c>
      <c r="R33" s="21">
        <v>0.74299999999999999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1</v>
      </c>
      <c r="AC33" s="22">
        <v>0</v>
      </c>
      <c r="AD33" s="22">
        <v>29</v>
      </c>
      <c r="AE33" s="22">
        <v>21</v>
      </c>
      <c r="AF33" s="22">
        <v>239</v>
      </c>
      <c r="AG33" s="22">
        <v>2</v>
      </c>
      <c r="AH33" s="23" t="s">
        <v>101</v>
      </c>
      <c r="AI33" s="24" t="str">
        <f t="shared" si="0"/>
        <v/>
      </c>
      <c r="AJ33" s="24">
        <f t="shared" si="1"/>
        <v>11.380952380952381</v>
      </c>
      <c r="AK33" s="25">
        <f t="shared" si="2"/>
        <v>0.72413793103448276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0.05</v>
      </c>
      <c r="AP33" s="25">
        <f t="shared" si="7"/>
        <v>0</v>
      </c>
      <c r="AQ33" s="26">
        <f t="shared" si="8"/>
        <v>0</v>
      </c>
      <c r="AR33" s="26">
        <f t="shared" si="9"/>
        <v>1.7058823529411764</v>
      </c>
      <c r="AS33" s="27">
        <f t="shared" si="10"/>
        <v>14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46.500000000000007</v>
      </c>
    </row>
    <row r="34" spans="1:47" x14ac:dyDescent="0.25">
      <c r="A34" s="15" t="s">
        <v>135</v>
      </c>
      <c r="B34" s="16" t="s">
        <v>563</v>
      </c>
      <c r="C34" s="17">
        <v>4</v>
      </c>
      <c r="D34" s="17" t="s">
        <v>103</v>
      </c>
      <c r="E34" s="18" t="s">
        <v>99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1"/>
      <c r="S34" s="21"/>
      <c r="T34" s="20"/>
      <c r="U34" s="22">
        <v>17</v>
      </c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33"/>
      <c r="AI34" s="24" t="str">
        <f t="shared" si="0"/>
        <v/>
      </c>
      <c r="AJ34" s="24" t="str">
        <f t="shared" si="1"/>
        <v/>
      </c>
      <c r="AK34" s="25" t="str">
        <f t="shared" si="2"/>
        <v/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0</v>
      </c>
      <c r="AP34" s="25">
        <f t="shared" si="7"/>
        <v>0</v>
      </c>
      <c r="AQ34" s="26">
        <f t="shared" si="8"/>
        <v>0</v>
      </c>
      <c r="AR34" s="26">
        <f t="shared" si="9"/>
        <v>0</v>
      </c>
      <c r="AS34" s="27">
        <f t="shared" si="10"/>
        <v>0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0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554</v>
      </c>
      <c r="W37" s="34">
        <f t="shared" si="12"/>
        <v>365</v>
      </c>
      <c r="X37" s="34">
        <f t="shared" si="12"/>
        <v>4083</v>
      </c>
      <c r="Y37" s="34">
        <f t="shared" si="12"/>
        <v>27</v>
      </c>
      <c r="Z37" s="34">
        <f t="shared" si="12"/>
        <v>12</v>
      </c>
      <c r="AA37" s="34">
        <f t="shared" si="12"/>
        <v>483</v>
      </c>
      <c r="AB37" s="34">
        <f t="shared" si="12"/>
        <v>2199</v>
      </c>
      <c r="AC37" s="34">
        <f t="shared" si="12"/>
        <v>15</v>
      </c>
      <c r="AD37" s="34">
        <f t="shared" si="12"/>
        <v>556</v>
      </c>
      <c r="AE37" s="34">
        <f t="shared" si="12"/>
        <v>386</v>
      </c>
      <c r="AF37" s="34">
        <f t="shared" si="12"/>
        <v>4323</v>
      </c>
      <c r="AG37" s="34">
        <f t="shared" si="12"/>
        <v>32</v>
      </c>
    </row>
    <row r="38" spans="1:47" x14ac:dyDescent="0.25">
      <c r="A38" s="5" t="s">
        <v>142</v>
      </c>
      <c r="V38" s="35">
        <f>$F$5</f>
        <v>608</v>
      </c>
      <c r="X38" s="35">
        <f>$I$5</f>
        <v>3981</v>
      </c>
      <c r="Y38" s="35">
        <f>$J$5</f>
        <v>25</v>
      </c>
      <c r="Z38" s="35">
        <f>$K$5</f>
        <v>10</v>
      </c>
      <c r="AA38" s="35">
        <f>$H$5</f>
        <v>457.90000000000009</v>
      </c>
      <c r="AB38" s="35">
        <f>$L$5</f>
        <v>1941</v>
      </c>
      <c r="AC38" s="35">
        <f>$M$5</f>
        <v>13</v>
      </c>
      <c r="AD38" s="35">
        <f>$G$5</f>
        <v>580</v>
      </c>
      <c r="AF38" s="35">
        <f>$I$5</f>
        <v>3981</v>
      </c>
      <c r="AG38" s="35">
        <f>$J$5</f>
        <v>25</v>
      </c>
    </row>
    <row r="39" spans="1:47" x14ac:dyDescent="0.25">
      <c r="A39" s="5" t="s">
        <v>143</v>
      </c>
      <c r="V39" s="36">
        <f>$F$5-V37</f>
        <v>54</v>
      </c>
      <c r="X39" s="36">
        <f>$I$5-X37</f>
        <v>-102</v>
      </c>
      <c r="Y39" s="36">
        <f>$J$5-Y37</f>
        <v>-2</v>
      </c>
      <c r="Z39" s="36">
        <f>$K$5-Z37</f>
        <v>-2</v>
      </c>
      <c r="AA39" s="36">
        <f>$H$5-AA37</f>
        <v>-25.099999999999909</v>
      </c>
      <c r="AB39" s="36">
        <f>$L$5-AB37</f>
        <v>-258</v>
      </c>
      <c r="AC39" s="36">
        <f>$M$5-AC37</f>
        <v>-2</v>
      </c>
      <c r="AD39" s="36">
        <f>$G$5-AD37</f>
        <v>24</v>
      </c>
      <c r="AF39" s="36">
        <f>$I$5-AF37</f>
        <v>-342</v>
      </c>
      <c r="AG39" s="36">
        <f>$J$5-AG37</f>
        <v>-7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479" priority="1" stopIfTrue="1">
      <formula>V37&gt;$F$5</formula>
    </cfRule>
    <cfRule type="expression" dxfId="478" priority="2">
      <formula>AND($F$5&gt;0,V37&lt;$F$5*0.97)</formula>
    </cfRule>
    <cfRule type="expression" dxfId="477" priority="3">
      <formula>AND($F$5&gt;0,V37&gt;=$F$5*0.97,V37&lt;=$F$5)</formula>
    </cfRule>
  </conditionalFormatting>
  <conditionalFormatting sqref="X37">
    <cfRule type="expression" dxfId="476" priority="4" stopIfTrue="1">
      <formula>X37&gt;$I$5</formula>
    </cfRule>
    <cfRule type="expression" dxfId="475" priority="5">
      <formula>AND($I$5&gt;0,X37&lt;$I$5*0.97)</formula>
    </cfRule>
    <cfRule type="expression" dxfId="474" priority="6">
      <formula>AND($I$5&gt;0,X37&gt;=$I$5*0.97,X37&lt;=$I$5)</formula>
    </cfRule>
  </conditionalFormatting>
  <conditionalFormatting sqref="Y37">
    <cfRule type="expression" dxfId="473" priority="7" stopIfTrue="1">
      <formula>Y37&gt;$J$5</formula>
    </cfRule>
    <cfRule type="expression" dxfId="472" priority="8">
      <formula>AND($J$5&gt;0,Y37&lt;$J$5*0.97)</formula>
    </cfRule>
    <cfRule type="expression" dxfId="471" priority="9">
      <formula>AND($J$5&gt;0,Y37&gt;=$J$5*0.97,Y37&lt;=$J$5)</formula>
    </cfRule>
  </conditionalFormatting>
  <conditionalFormatting sqref="Z37">
    <cfRule type="expression" dxfId="470" priority="10" stopIfTrue="1">
      <formula>Z37&gt;$K$5</formula>
    </cfRule>
    <cfRule type="expression" dxfId="469" priority="11">
      <formula>AND($K$5&gt;0,Z37&lt;$K$5*0.97)</formula>
    </cfRule>
    <cfRule type="expression" dxfId="468" priority="12">
      <formula>AND($K$5&gt;0,Z37&gt;=$K$5*0.97,Z37&lt;=$K$5)</formula>
    </cfRule>
  </conditionalFormatting>
  <conditionalFormatting sqref="AA37">
    <cfRule type="expression" dxfId="467" priority="13" stopIfTrue="1">
      <formula>AA37&gt;$H$5</formula>
    </cfRule>
    <cfRule type="expression" dxfId="466" priority="14">
      <formula>AND($H$5&gt;0,AA37&lt;$H$5*0.97)</formula>
    </cfRule>
    <cfRule type="expression" dxfId="465" priority="15">
      <formula>AND($H$5&gt;0,AA37&gt;=$H$5*0.97,AA37&lt;=$H$5)</formula>
    </cfRule>
  </conditionalFormatting>
  <conditionalFormatting sqref="AB37">
    <cfRule type="expression" dxfId="464" priority="16" stopIfTrue="1">
      <formula>AB37&gt;$L$5</formula>
    </cfRule>
    <cfRule type="expression" dxfId="463" priority="17">
      <formula>AND($L$5&gt;0,AB37&lt;$L$5*0.97)</formula>
    </cfRule>
    <cfRule type="expression" dxfId="462" priority="18">
      <formula>AND($L$5&gt;0,AB37&gt;=$L$5*0.97,AB37&lt;=$L$5)</formula>
    </cfRule>
  </conditionalFormatting>
  <conditionalFormatting sqref="AC37">
    <cfRule type="expression" dxfId="461" priority="19" stopIfTrue="1">
      <formula>AC37&gt;$M$5</formula>
    </cfRule>
    <cfRule type="expression" dxfId="460" priority="20">
      <formula>AND($M$5&gt;0,AC37&lt;$M$5*0.97)</formula>
    </cfRule>
    <cfRule type="expression" dxfId="459" priority="21">
      <formula>AND($M$5&gt;0,AC37&gt;=$M$5*0.97,AC37&lt;=$M$5)</formula>
    </cfRule>
  </conditionalFormatting>
  <conditionalFormatting sqref="AD37">
    <cfRule type="expression" dxfId="458" priority="22" stopIfTrue="1">
      <formula>AD37&gt;$G$5</formula>
    </cfRule>
    <cfRule type="expression" dxfId="457" priority="23">
      <formula>AND($G$5&gt;0,AD37&lt;$G$5*0.97)</formula>
    </cfRule>
    <cfRule type="expression" dxfId="456" priority="24">
      <formula>AND($G$5&gt;0,AD37&gt;=$G$5*0.97,AD37&lt;=$G$5)</formula>
    </cfRule>
  </conditionalFormatting>
  <conditionalFormatting sqref="AF37">
    <cfRule type="expression" dxfId="455" priority="25" stopIfTrue="1">
      <formula>AF37&gt;$I$5</formula>
    </cfRule>
    <cfRule type="expression" dxfId="454" priority="26">
      <formula>AND($I$5&gt;0,AF37&lt;$I$5*0.97)</formula>
    </cfRule>
    <cfRule type="expression" dxfId="453" priority="27">
      <formula>AND($I$5&gt;0,AF37&gt;=$I$5*0.97,AF37&lt;=$I$5)</formula>
    </cfRule>
  </conditionalFormatting>
  <conditionalFormatting sqref="AG37">
    <cfRule type="expression" dxfId="452" priority="28" stopIfTrue="1">
      <formula>AG37&gt;$J$5</formula>
    </cfRule>
    <cfRule type="expression" dxfId="451" priority="29">
      <formula>AND($J$5&gt;0,AG37&lt;$J$5*0.97)</formula>
    </cfRule>
    <cfRule type="expression" dxfId="450" priority="30">
      <formula>AND($J$5&gt;0,AG37&gt;=$J$5*0.97,AG37&lt;=$J$5)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564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62.7</v>
      </c>
      <c r="D5" s="10">
        <f>C5*B5</f>
        <v>1065.9000000000001</v>
      </c>
      <c r="E5" s="11">
        <v>0.56789999999999996</v>
      </c>
      <c r="F5" s="10">
        <f>ROUND(D5*E5,0)</f>
        <v>605</v>
      </c>
      <c r="G5" s="10">
        <f>ROUND(F5*Settings!$B$4,0)</f>
        <v>577</v>
      </c>
      <c r="H5" s="10">
        <f>D5-F5</f>
        <v>460.90000000000009</v>
      </c>
      <c r="I5" s="8">
        <v>4271</v>
      </c>
      <c r="J5" s="9">
        <v>31</v>
      </c>
      <c r="K5" s="9">
        <v>11</v>
      </c>
      <c r="L5" s="8">
        <v>1999</v>
      </c>
      <c r="M5" s="9">
        <v>16</v>
      </c>
    </row>
    <row r="7" spans="1:47" x14ac:dyDescent="0.25">
      <c r="A7" s="5" t="s">
        <v>54</v>
      </c>
      <c r="B7" s="12" t="s">
        <v>565</v>
      </c>
    </row>
    <row r="8" spans="1:47" x14ac:dyDescent="0.25">
      <c r="A8" s="5" t="s">
        <v>56</v>
      </c>
      <c r="B8" s="13" t="s">
        <v>566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567</v>
      </c>
      <c r="C11" s="17">
        <v>1</v>
      </c>
      <c r="D11" s="17" t="s">
        <v>267</v>
      </c>
      <c r="E11" s="18" t="s">
        <v>99</v>
      </c>
      <c r="F11" s="19">
        <v>16</v>
      </c>
      <c r="G11" s="19">
        <v>15</v>
      </c>
      <c r="H11" s="19">
        <v>12</v>
      </c>
      <c r="I11" s="19">
        <v>1</v>
      </c>
      <c r="J11" s="19"/>
      <c r="K11" s="19"/>
      <c r="L11" s="19"/>
      <c r="M11" s="19"/>
      <c r="N11" s="19" t="s">
        <v>568</v>
      </c>
      <c r="O11" s="19">
        <v>17</v>
      </c>
      <c r="P11" s="20">
        <v>2.4900000000000002</v>
      </c>
      <c r="Q11" s="20"/>
      <c r="R11" s="21"/>
      <c r="S11" s="21">
        <v>0.64500000000000002</v>
      </c>
      <c r="T11" s="20">
        <v>7.6</v>
      </c>
      <c r="U11" s="22">
        <v>17</v>
      </c>
      <c r="V11" s="22">
        <v>546</v>
      </c>
      <c r="W11" s="22">
        <v>353</v>
      </c>
      <c r="X11" s="22">
        <v>4149</v>
      </c>
      <c r="Y11" s="22">
        <v>32</v>
      </c>
      <c r="Z11" s="22">
        <v>10</v>
      </c>
      <c r="AA11" s="22">
        <v>22</v>
      </c>
      <c r="AB11" s="22">
        <v>31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1.4090909090909092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7.5989010989010985</v>
      </c>
      <c r="AM11" s="25">
        <f t="shared" ref="AM11:AM35" si="4">IFERROR(W11/V11,"")</f>
        <v>0.64652014652014655</v>
      </c>
      <c r="AN11" s="25">
        <f t="shared" ref="AN11:AN35" si="5">IFERROR(AA11/$H$5,"")</f>
        <v>4.7732696897374693E-2</v>
      </c>
      <c r="AO11" s="25">
        <f t="shared" ref="AO11:AO35" si="6">IFERROR(AD11/$G$5,"")</f>
        <v>0</v>
      </c>
      <c r="AP11" s="25">
        <f t="shared" ref="AP11:AP35" si="7">IFERROR(V11/$F$5,"")</f>
        <v>0.90247933884297515</v>
      </c>
      <c r="AQ11" s="26">
        <f t="shared" ref="AQ11:AQ35" si="8">IFERROR(AA11/U11,"")</f>
        <v>1.2941176470588236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10</v>
      </c>
      <c r="AU11" s="28">
        <f>AF11*Settings!$B$7+AG11*Settings!$B$8+AE11*Settings!$B$9+AB11*Settings!$B$10+AC11*Settings!$B$11+X11*Settings!$B$12+Y11*Settings!$B$13+Z11*Settings!$B$14</f>
        <v>277.06</v>
      </c>
    </row>
    <row r="12" spans="1:47" x14ac:dyDescent="0.25">
      <c r="A12" s="15" t="s">
        <v>96</v>
      </c>
      <c r="B12" s="16" t="s">
        <v>569</v>
      </c>
      <c r="C12" s="17">
        <v>2</v>
      </c>
      <c r="D12" s="17" t="s">
        <v>103</v>
      </c>
      <c r="E12" s="18" t="s">
        <v>99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/>
      <c r="Q12" s="20"/>
      <c r="R12" s="21"/>
      <c r="S12" s="21"/>
      <c r="T12" s="20"/>
      <c r="U12" s="22">
        <v>17</v>
      </c>
      <c r="V12" s="22">
        <v>42</v>
      </c>
      <c r="W12" s="22">
        <v>25</v>
      </c>
      <c r="X12" s="22">
        <v>285</v>
      </c>
      <c r="Y12" s="22">
        <v>2</v>
      </c>
      <c r="Z12" s="22">
        <v>1</v>
      </c>
      <c r="AA12" s="22">
        <v>3</v>
      </c>
      <c r="AB12" s="22">
        <v>13</v>
      </c>
      <c r="AC12" s="22">
        <v>0</v>
      </c>
      <c r="AD12" s="22"/>
      <c r="AE12" s="22"/>
      <c r="AF12" s="22"/>
      <c r="AG12" s="22"/>
      <c r="AH12" s="23" t="s">
        <v>101</v>
      </c>
      <c r="AI12" s="24">
        <f t="shared" si="0"/>
        <v>4.333333333333333</v>
      </c>
      <c r="AJ12" s="24" t="str">
        <f t="shared" si="1"/>
        <v/>
      </c>
      <c r="AK12" s="25" t="str">
        <f t="shared" si="2"/>
        <v/>
      </c>
      <c r="AL12" s="24">
        <f t="shared" si="3"/>
        <v>6.7857142857142856</v>
      </c>
      <c r="AM12" s="25">
        <f t="shared" si="4"/>
        <v>0.59523809523809523</v>
      </c>
      <c r="AN12" s="25">
        <f t="shared" si="5"/>
        <v>6.5090041223692758E-3</v>
      </c>
      <c r="AO12" s="25">
        <f t="shared" si="6"/>
        <v>0</v>
      </c>
      <c r="AP12" s="25">
        <f t="shared" si="7"/>
        <v>6.9421487603305784E-2</v>
      </c>
      <c r="AQ12" s="26">
        <f t="shared" si="8"/>
        <v>0.17647058823529413</v>
      </c>
      <c r="AR12" s="26">
        <f t="shared" si="9"/>
        <v>0</v>
      </c>
      <c r="AS12" s="27">
        <f t="shared" si="10"/>
        <v>0</v>
      </c>
      <c r="AT12" s="27">
        <f t="shared" si="11"/>
        <v>3</v>
      </c>
      <c r="AU12" s="28">
        <f>AF12*Settings!$B$7+AG12*Settings!$B$8+AE12*Settings!$B$9+AB12*Settings!$B$10+AC12*Settings!$B$11+X12*Settings!$B$12+Y12*Settings!$B$13+Z12*Settings!$B$14</f>
        <v>18.700000000000003</v>
      </c>
    </row>
    <row r="13" spans="1:47" x14ac:dyDescent="0.25">
      <c r="A13" s="15" t="s">
        <v>96</v>
      </c>
      <c r="B13" s="16" t="s">
        <v>570</v>
      </c>
      <c r="C13" s="17">
        <v>3</v>
      </c>
      <c r="D13" s="17" t="s">
        <v>130</v>
      </c>
      <c r="E13" s="18" t="s">
        <v>99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1"/>
      <c r="S13" s="21"/>
      <c r="T13" s="20"/>
      <c r="U13" s="22">
        <v>17</v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33"/>
      <c r="AI13" s="24" t="str">
        <f t="shared" si="0"/>
        <v/>
      </c>
      <c r="AJ13" s="24" t="str">
        <f t="shared" si="1"/>
        <v/>
      </c>
      <c r="AK13" s="25" t="str">
        <f t="shared" si="2"/>
        <v/>
      </c>
      <c r="AL13" s="24" t="str">
        <f t="shared" si="3"/>
        <v/>
      </c>
      <c r="AM13" s="25" t="str">
        <f t="shared" si="4"/>
        <v/>
      </c>
      <c r="AN13" s="25">
        <f t="shared" si="5"/>
        <v>0</v>
      </c>
      <c r="AO13" s="25">
        <f t="shared" si="6"/>
        <v>0</v>
      </c>
      <c r="AP13" s="25">
        <f t="shared" si="7"/>
        <v>0</v>
      </c>
      <c r="AQ13" s="26">
        <f t="shared" si="8"/>
        <v>0</v>
      </c>
      <c r="AR13" s="26">
        <f t="shared" si="9"/>
        <v>0</v>
      </c>
      <c r="AS13" s="27">
        <f t="shared" si="10"/>
        <v>0</v>
      </c>
      <c r="AT13" s="27">
        <f t="shared" si="11"/>
        <v>0</v>
      </c>
      <c r="AU13" s="28">
        <f>AF13*Settings!$B$7+AG13*Settings!$B$8+AE13*Settings!$B$9+AB13*Settings!$B$10+AC13*Settings!$B$11+X13*Settings!$B$12+Y13*Settings!$B$13+Z13*Settings!$B$14</f>
        <v>0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571</v>
      </c>
      <c r="C15" s="17">
        <v>1</v>
      </c>
      <c r="D15" s="17" t="s">
        <v>105</v>
      </c>
      <c r="E15" s="18" t="s">
        <v>99</v>
      </c>
      <c r="F15" s="19">
        <v>228</v>
      </c>
      <c r="G15" s="19">
        <v>316</v>
      </c>
      <c r="H15" s="19">
        <v>259</v>
      </c>
      <c r="I15" s="19">
        <v>1252</v>
      </c>
      <c r="J15" s="19">
        <v>48</v>
      </c>
      <c r="K15" s="19">
        <v>40</v>
      </c>
      <c r="L15" s="19">
        <v>50</v>
      </c>
      <c r="M15" s="19">
        <v>281</v>
      </c>
      <c r="N15" s="19" t="s">
        <v>568</v>
      </c>
      <c r="O15" s="19">
        <v>17</v>
      </c>
      <c r="P15" s="20">
        <v>4.5999999999999996</v>
      </c>
      <c r="Q15" s="20">
        <v>6.56</v>
      </c>
      <c r="R15" s="21">
        <v>0.73899999999999999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234</v>
      </c>
      <c r="AB15" s="22">
        <v>1075</v>
      </c>
      <c r="AC15" s="22">
        <v>10</v>
      </c>
      <c r="AD15" s="22">
        <v>42</v>
      </c>
      <c r="AE15" s="22">
        <v>32</v>
      </c>
      <c r="AF15" s="22">
        <v>225</v>
      </c>
      <c r="AG15" s="22">
        <v>2</v>
      </c>
      <c r="AH15" s="23" t="s">
        <v>101</v>
      </c>
      <c r="AI15" s="24">
        <f t="shared" si="0"/>
        <v>4.5940170940170937</v>
      </c>
      <c r="AJ15" s="24">
        <f t="shared" si="1"/>
        <v>7.03125</v>
      </c>
      <c r="AK15" s="25">
        <f t="shared" si="2"/>
        <v>0.76190476190476186</v>
      </c>
      <c r="AL15" s="24" t="str">
        <f t="shared" si="3"/>
        <v/>
      </c>
      <c r="AM15" s="25" t="str">
        <f t="shared" si="4"/>
        <v/>
      </c>
      <c r="AN15" s="25">
        <f t="shared" si="5"/>
        <v>0.50770232154480355</v>
      </c>
      <c r="AO15" s="25">
        <f t="shared" si="6"/>
        <v>7.2790294627383012E-2</v>
      </c>
      <c r="AP15" s="25">
        <f t="shared" si="7"/>
        <v>0</v>
      </c>
      <c r="AQ15" s="26">
        <f t="shared" si="8"/>
        <v>13.764705882352942</v>
      </c>
      <c r="AR15" s="26">
        <f t="shared" si="9"/>
        <v>2.4705882352941178</v>
      </c>
      <c r="AS15" s="27">
        <f t="shared" si="10"/>
        <v>-8</v>
      </c>
      <c r="AT15" s="27">
        <f t="shared" si="11"/>
        <v>-25</v>
      </c>
      <c r="AU15" s="28">
        <f>AF15*Settings!$B$7+AG15*Settings!$B$8+AE15*Settings!$B$9+AB15*Settings!$B$10+AC15*Settings!$B$11+X15*Settings!$B$12+Y15*Settings!$B$13+Z15*Settings!$B$14</f>
        <v>218</v>
      </c>
    </row>
    <row r="16" spans="1:47" x14ac:dyDescent="0.25">
      <c r="A16" s="15" t="s">
        <v>107</v>
      </c>
      <c r="B16" s="16" t="s">
        <v>572</v>
      </c>
      <c r="C16" s="17">
        <v>2</v>
      </c>
      <c r="D16" s="17" t="s">
        <v>105</v>
      </c>
      <c r="E16" s="18" t="s">
        <v>99</v>
      </c>
      <c r="F16" s="19"/>
      <c r="G16" s="19">
        <v>58</v>
      </c>
      <c r="H16" s="19">
        <v>145</v>
      </c>
      <c r="I16" s="19">
        <v>746</v>
      </c>
      <c r="J16" s="19"/>
      <c r="K16" s="19">
        <v>8</v>
      </c>
      <c r="L16" s="19">
        <v>14</v>
      </c>
      <c r="M16" s="19">
        <v>36</v>
      </c>
      <c r="N16" s="19" t="s">
        <v>568</v>
      </c>
      <c r="O16" s="19">
        <v>17</v>
      </c>
      <c r="P16" s="20">
        <v>4.6900000000000004</v>
      </c>
      <c r="Q16" s="20">
        <v>6.27</v>
      </c>
      <c r="R16" s="21">
        <v>0.68200000000000005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166</v>
      </c>
      <c r="AB16" s="22">
        <v>781</v>
      </c>
      <c r="AC16" s="22">
        <v>7</v>
      </c>
      <c r="AD16" s="22">
        <v>19</v>
      </c>
      <c r="AE16" s="22">
        <v>13</v>
      </c>
      <c r="AF16" s="22">
        <v>86</v>
      </c>
      <c r="AG16" s="22">
        <v>0</v>
      </c>
      <c r="AH16" s="23" t="s">
        <v>101</v>
      </c>
      <c r="AI16" s="24">
        <f t="shared" si="0"/>
        <v>4.7048192771084336</v>
      </c>
      <c r="AJ16" s="24">
        <f t="shared" si="1"/>
        <v>6.615384615384615</v>
      </c>
      <c r="AK16" s="25">
        <f t="shared" si="2"/>
        <v>0.68421052631578949</v>
      </c>
      <c r="AL16" s="24" t="str">
        <f t="shared" si="3"/>
        <v/>
      </c>
      <c r="AM16" s="25" t="str">
        <f t="shared" si="4"/>
        <v/>
      </c>
      <c r="AN16" s="25">
        <f t="shared" si="5"/>
        <v>0.36016489477109997</v>
      </c>
      <c r="AO16" s="25">
        <f t="shared" si="6"/>
        <v>3.292894280762565E-2</v>
      </c>
      <c r="AP16" s="25">
        <f t="shared" si="7"/>
        <v>0</v>
      </c>
      <c r="AQ16" s="26">
        <f t="shared" si="8"/>
        <v>9.764705882352942</v>
      </c>
      <c r="AR16" s="26">
        <f t="shared" si="9"/>
        <v>1.1176470588235294</v>
      </c>
      <c r="AS16" s="27">
        <f t="shared" si="10"/>
        <v>5</v>
      </c>
      <c r="AT16" s="27">
        <f t="shared" si="11"/>
        <v>21</v>
      </c>
      <c r="AU16" s="28">
        <f>AF16*Settings!$B$7+AG16*Settings!$B$8+AE16*Settings!$B$9+AB16*Settings!$B$10+AC16*Settings!$B$11+X16*Settings!$B$12+Y16*Settings!$B$13+Z16*Settings!$B$14</f>
        <v>135.19999999999999</v>
      </c>
    </row>
    <row r="17" spans="1:47" x14ac:dyDescent="0.25">
      <c r="A17" s="15" t="s">
        <v>107</v>
      </c>
      <c r="B17" s="16" t="s">
        <v>573</v>
      </c>
      <c r="C17" s="17">
        <v>3</v>
      </c>
      <c r="D17" s="17" t="s">
        <v>103</v>
      </c>
      <c r="E17" s="18" t="s">
        <v>99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20"/>
      <c r="R17" s="21"/>
      <c r="S17" s="21"/>
      <c r="T17" s="20"/>
      <c r="U17" s="22">
        <v>17</v>
      </c>
      <c r="V17" s="22"/>
      <c r="W17" s="22"/>
      <c r="X17" s="22"/>
      <c r="Y17" s="22"/>
      <c r="Z17" s="22"/>
      <c r="AA17" s="22">
        <v>15</v>
      </c>
      <c r="AB17" s="22">
        <v>76</v>
      </c>
      <c r="AC17" s="22">
        <v>0</v>
      </c>
      <c r="AD17" s="22">
        <v>3</v>
      </c>
      <c r="AE17" s="22">
        <v>3</v>
      </c>
      <c r="AF17" s="22">
        <v>20</v>
      </c>
      <c r="AG17" s="22">
        <v>0</v>
      </c>
      <c r="AH17" s="23" t="s">
        <v>101</v>
      </c>
      <c r="AI17" s="24">
        <f t="shared" si="0"/>
        <v>5.0666666666666664</v>
      </c>
      <c r="AJ17" s="24">
        <f t="shared" si="1"/>
        <v>6.666666666666667</v>
      </c>
      <c r="AK17" s="25">
        <f t="shared" si="2"/>
        <v>1</v>
      </c>
      <c r="AL17" s="24" t="str">
        <f t="shared" si="3"/>
        <v/>
      </c>
      <c r="AM17" s="25" t="str">
        <f t="shared" si="4"/>
        <v/>
      </c>
      <c r="AN17" s="25">
        <f t="shared" si="5"/>
        <v>3.254502061184638E-2</v>
      </c>
      <c r="AO17" s="25">
        <f t="shared" si="6"/>
        <v>5.1993067590987872E-3</v>
      </c>
      <c r="AP17" s="25">
        <f t="shared" si="7"/>
        <v>0</v>
      </c>
      <c r="AQ17" s="26">
        <f t="shared" si="8"/>
        <v>0.88235294117647056</v>
      </c>
      <c r="AR17" s="26">
        <f t="shared" si="9"/>
        <v>0.17647058823529413</v>
      </c>
      <c r="AS17" s="27">
        <f t="shared" si="10"/>
        <v>3</v>
      </c>
      <c r="AT17" s="27">
        <f t="shared" si="11"/>
        <v>15</v>
      </c>
      <c r="AU17" s="28">
        <f>AF17*Settings!$B$7+AG17*Settings!$B$8+AE17*Settings!$B$9+AB17*Settings!$B$10+AC17*Settings!$B$11+X17*Settings!$B$12+Y17*Settings!$B$13+Z17*Settings!$B$14</f>
        <v>11.100000000000001</v>
      </c>
    </row>
    <row r="18" spans="1:47" x14ac:dyDescent="0.25">
      <c r="A18" s="15" t="s">
        <v>107</v>
      </c>
      <c r="B18" s="16" t="s">
        <v>574</v>
      </c>
      <c r="C18" s="17">
        <v>4</v>
      </c>
      <c r="D18" s="17" t="s">
        <v>158</v>
      </c>
      <c r="E18" s="18" t="s">
        <v>99</v>
      </c>
      <c r="F18" s="19">
        <v>32</v>
      </c>
      <c r="G18" s="19">
        <v>22</v>
      </c>
      <c r="H18" s="19">
        <v>9</v>
      </c>
      <c r="I18" s="19">
        <v>46</v>
      </c>
      <c r="J18" s="19">
        <v>5</v>
      </c>
      <c r="K18" s="19">
        <v>6</v>
      </c>
      <c r="L18" s="19"/>
      <c r="M18" s="19"/>
      <c r="N18" s="19" t="s">
        <v>568</v>
      </c>
      <c r="O18" s="19">
        <v>11</v>
      </c>
      <c r="P18" s="20">
        <v>4.3499999999999996</v>
      </c>
      <c r="Q18" s="20">
        <v>5.6</v>
      </c>
      <c r="R18" s="21">
        <v>0.90900000000000003</v>
      </c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27</v>
      </c>
      <c r="AB18" s="22">
        <v>124</v>
      </c>
      <c r="AC18" s="22">
        <v>0</v>
      </c>
      <c r="AD18" s="22">
        <v>3</v>
      </c>
      <c r="AE18" s="22">
        <v>2</v>
      </c>
      <c r="AF18" s="22">
        <v>16</v>
      </c>
      <c r="AG18" s="22">
        <v>0</v>
      </c>
      <c r="AH18" s="23" t="s">
        <v>101</v>
      </c>
      <c r="AI18" s="24">
        <f t="shared" si="0"/>
        <v>4.5925925925925926</v>
      </c>
      <c r="AJ18" s="24">
        <f t="shared" si="1"/>
        <v>8</v>
      </c>
      <c r="AK18" s="25">
        <f t="shared" si="2"/>
        <v>0.66666666666666663</v>
      </c>
      <c r="AL18" s="24" t="str">
        <f t="shared" si="3"/>
        <v/>
      </c>
      <c r="AM18" s="25" t="str">
        <f t="shared" si="4"/>
        <v/>
      </c>
      <c r="AN18" s="25">
        <f t="shared" si="5"/>
        <v>5.8581037101323487E-2</v>
      </c>
      <c r="AO18" s="25">
        <f t="shared" si="6"/>
        <v>5.1993067590987872E-3</v>
      </c>
      <c r="AP18" s="25">
        <f t="shared" si="7"/>
        <v>0</v>
      </c>
      <c r="AQ18" s="26">
        <f t="shared" si="8"/>
        <v>1.588235294117647</v>
      </c>
      <c r="AR18" s="26">
        <f t="shared" si="9"/>
        <v>0.17647058823529413</v>
      </c>
      <c r="AS18" s="27">
        <f t="shared" si="10"/>
        <v>3</v>
      </c>
      <c r="AT18" s="27">
        <f t="shared" si="11"/>
        <v>18</v>
      </c>
      <c r="AU18" s="28">
        <f>AF18*Settings!$B$7+AG18*Settings!$B$8+AE18*Settings!$B$9+AB18*Settings!$B$10+AC18*Settings!$B$11+X18*Settings!$B$12+Y18*Settings!$B$13+Z18*Settings!$B$14</f>
        <v>15</v>
      </c>
    </row>
    <row r="19" spans="1:47" x14ac:dyDescent="0.25">
      <c r="A19" s="15" t="s">
        <v>107</v>
      </c>
      <c r="B19" s="16" t="s">
        <v>575</v>
      </c>
      <c r="C19" s="17">
        <v>5</v>
      </c>
      <c r="D19" s="17" t="s">
        <v>105</v>
      </c>
      <c r="E19" s="18" t="s">
        <v>99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1"/>
      <c r="S19" s="21"/>
      <c r="T19" s="20"/>
      <c r="U19" s="22">
        <v>17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33"/>
      <c r="AI19" s="24" t="str">
        <f t="shared" si="0"/>
        <v/>
      </c>
      <c r="AJ19" s="24" t="str">
        <f t="shared" si="1"/>
        <v/>
      </c>
      <c r="AK19" s="25" t="str">
        <f t="shared" si="2"/>
        <v/>
      </c>
      <c r="AL19" s="24" t="str">
        <f t="shared" si="3"/>
        <v/>
      </c>
      <c r="AM19" s="25" t="str">
        <f t="shared" si="4"/>
        <v/>
      </c>
      <c r="AN19" s="25">
        <f t="shared" si="5"/>
        <v>0</v>
      </c>
      <c r="AO19" s="25">
        <f t="shared" si="6"/>
        <v>0</v>
      </c>
      <c r="AP19" s="25">
        <f t="shared" si="7"/>
        <v>0</v>
      </c>
      <c r="AQ19" s="26">
        <f t="shared" si="8"/>
        <v>0</v>
      </c>
      <c r="AR19" s="26">
        <f t="shared" si="9"/>
        <v>0</v>
      </c>
      <c r="AS19" s="27">
        <f t="shared" si="10"/>
        <v>0</v>
      </c>
      <c r="AT19" s="27">
        <f t="shared" si="11"/>
        <v>0</v>
      </c>
      <c r="AU19" s="28">
        <f>AF19*Settings!$B$7+AG19*Settings!$B$8+AE19*Settings!$B$9+AB19*Settings!$B$10+AC19*Settings!$B$11+X19*Settings!$B$12+Y19*Settings!$B$13+Z19*Settings!$B$14</f>
        <v>0</v>
      </c>
    </row>
    <row r="20" spans="1:47" x14ac:dyDescent="0.25">
      <c r="A20" s="15" t="s">
        <v>107</v>
      </c>
      <c r="B20" s="16" t="s">
        <v>576</v>
      </c>
      <c r="C20" s="17">
        <v>6</v>
      </c>
      <c r="D20" s="17" t="s">
        <v>128</v>
      </c>
      <c r="E20" s="18" t="s">
        <v>99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1"/>
      <c r="S20" s="21"/>
      <c r="T20" s="20"/>
      <c r="U20" s="22">
        <v>17</v>
      </c>
      <c r="V20" s="22"/>
      <c r="W20" s="22"/>
      <c r="X20" s="22"/>
      <c r="Y20" s="22"/>
      <c r="Z20" s="22"/>
      <c r="AA20" s="22">
        <v>11</v>
      </c>
      <c r="AB20" s="22">
        <v>46</v>
      </c>
      <c r="AC20" s="22">
        <v>0</v>
      </c>
      <c r="AD20" s="22">
        <v>3</v>
      </c>
      <c r="AE20" s="22">
        <v>2</v>
      </c>
      <c r="AF20" s="22">
        <v>18</v>
      </c>
      <c r="AG20" s="22">
        <v>0</v>
      </c>
      <c r="AH20" s="23" t="s">
        <v>101</v>
      </c>
      <c r="AI20" s="24">
        <f t="shared" si="0"/>
        <v>4.1818181818181817</v>
      </c>
      <c r="AJ20" s="24">
        <f t="shared" si="1"/>
        <v>9</v>
      </c>
      <c r="AK20" s="25">
        <f t="shared" si="2"/>
        <v>0.66666666666666663</v>
      </c>
      <c r="AL20" s="24" t="str">
        <f t="shared" si="3"/>
        <v/>
      </c>
      <c r="AM20" s="25" t="str">
        <f t="shared" si="4"/>
        <v/>
      </c>
      <c r="AN20" s="25">
        <f t="shared" si="5"/>
        <v>2.3866348448687347E-2</v>
      </c>
      <c r="AO20" s="25">
        <f t="shared" si="6"/>
        <v>5.1993067590987872E-3</v>
      </c>
      <c r="AP20" s="25">
        <f t="shared" si="7"/>
        <v>0</v>
      </c>
      <c r="AQ20" s="26">
        <f t="shared" si="8"/>
        <v>0.6470588235294118</v>
      </c>
      <c r="AR20" s="26">
        <f t="shared" si="9"/>
        <v>0.17647058823529413</v>
      </c>
      <c r="AS20" s="27">
        <f t="shared" si="10"/>
        <v>3</v>
      </c>
      <c r="AT20" s="27">
        <f t="shared" si="11"/>
        <v>11</v>
      </c>
      <c r="AU20" s="28">
        <f>AF20*Settings!$B$7+AG20*Settings!$B$8+AE20*Settings!$B$9+AB20*Settings!$B$10+AC20*Settings!$B$11+X20*Settings!$B$12+Y20*Settings!$B$13+Z20*Settings!$B$14</f>
        <v>7.4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577</v>
      </c>
      <c r="C22" s="17">
        <v>1</v>
      </c>
      <c r="D22" s="17" t="s">
        <v>105</v>
      </c>
      <c r="E22" s="18" t="s">
        <v>99</v>
      </c>
      <c r="F22" s="19">
        <v>12</v>
      </c>
      <c r="G22" s="19">
        <v>11</v>
      </c>
      <c r="H22" s="19">
        <v>10</v>
      </c>
      <c r="I22" s="19">
        <v>105</v>
      </c>
      <c r="J22" s="19">
        <v>160</v>
      </c>
      <c r="K22" s="19">
        <v>106</v>
      </c>
      <c r="L22" s="19">
        <v>166</v>
      </c>
      <c r="M22" s="19">
        <v>1715</v>
      </c>
      <c r="N22" s="19" t="s">
        <v>568</v>
      </c>
      <c r="O22" s="19">
        <v>16</v>
      </c>
      <c r="P22" s="20">
        <v>7.27</v>
      </c>
      <c r="Q22" s="20">
        <v>13.39</v>
      </c>
      <c r="R22" s="21">
        <v>0.72499999999999998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13</v>
      </c>
      <c r="AB22" s="22">
        <v>88</v>
      </c>
      <c r="AC22" s="22">
        <v>1</v>
      </c>
      <c r="AD22" s="22">
        <v>165</v>
      </c>
      <c r="AE22" s="22">
        <v>119</v>
      </c>
      <c r="AF22" s="22">
        <v>1544</v>
      </c>
      <c r="AG22" s="22">
        <v>9</v>
      </c>
      <c r="AH22" s="23" t="s">
        <v>101</v>
      </c>
      <c r="AI22" s="24">
        <f t="shared" si="0"/>
        <v>6.7692307692307692</v>
      </c>
      <c r="AJ22" s="24">
        <f t="shared" si="1"/>
        <v>12.974789915966387</v>
      </c>
      <c r="AK22" s="25">
        <f t="shared" si="2"/>
        <v>0.72121212121212119</v>
      </c>
      <c r="AL22" s="24" t="str">
        <f t="shared" si="3"/>
        <v/>
      </c>
      <c r="AM22" s="25" t="str">
        <f t="shared" si="4"/>
        <v/>
      </c>
      <c r="AN22" s="25">
        <f t="shared" si="5"/>
        <v>2.8205684530266863E-2</v>
      </c>
      <c r="AO22" s="25">
        <f t="shared" si="6"/>
        <v>0.28596187175043325</v>
      </c>
      <c r="AP22" s="25">
        <f t="shared" si="7"/>
        <v>0</v>
      </c>
      <c r="AQ22" s="26">
        <f t="shared" si="8"/>
        <v>0.76470588235294112</v>
      </c>
      <c r="AR22" s="26">
        <f t="shared" si="9"/>
        <v>9.7058823529411757</v>
      </c>
      <c r="AS22" s="27">
        <f t="shared" si="10"/>
        <v>-1</v>
      </c>
      <c r="AT22" s="27">
        <f t="shared" si="11"/>
        <v>3</v>
      </c>
      <c r="AU22" s="28">
        <f>AF22*Settings!$B$7+AG22*Settings!$B$8+AE22*Settings!$B$9+AB22*Settings!$B$10+AC22*Settings!$B$11+X22*Settings!$B$12+Y22*Settings!$B$13+Z22*Settings!$B$14</f>
        <v>282.7</v>
      </c>
    </row>
    <row r="23" spans="1:47" x14ac:dyDescent="0.25">
      <c r="A23" s="15" t="s">
        <v>121</v>
      </c>
      <c r="B23" s="16" t="s">
        <v>578</v>
      </c>
      <c r="C23" s="17">
        <v>2</v>
      </c>
      <c r="D23" s="17" t="s">
        <v>98</v>
      </c>
      <c r="E23" s="18" t="s">
        <v>99</v>
      </c>
      <c r="F23" s="19"/>
      <c r="G23" s="19"/>
      <c r="H23" s="19"/>
      <c r="I23" s="19"/>
      <c r="J23" s="19">
        <v>175</v>
      </c>
      <c r="K23" s="19">
        <v>114</v>
      </c>
      <c r="L23" s="19">
        <v>114</v>
      </c>
      <c r="M23" s="19">
        <v>789</v>
      </c>
      <c r="N23" s="19" t="s">
        <v>568</v>
      </c>
      <c r="O23" s="19">
        <v>14</v>
      </c>
      <c r="P23" s="20"/>
      <c r="Q23" s="20">
        <v>12.12</v>
      </c>
      <c r="R23" s="21">
        <v>0.57099999999999995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119</v>
      </c>
      <c r="AE23" s="22">
        <v>66</v>
      </c>
      <c r="AF23" s="22">
        <v>874</v>
      </c>
      <c r="AG23" s="22">
        <v>10</v>
      </c>
      <c r="AH23" s="23" t="s">
        <v>101</v>
      </c>
      <c r="AI23" s="24" t="str">
        <f t="shared" si="0"/>
        <v/>
      </c>
      <c r="AJ23" s="24">
        <f t="shared" si="1"/>
        <v>13.242424242424242</v>
      </c>
      <c r="AK23" s="25">
        <f t="shared" si="2"/>
        <v>0.55462184873949583</v>
      </c>
      <c r="AL23" s="24" t="str">
        <f t="shared" si="3"/>
        <v/>
      </c>
      <c r="AM23" s="25" t="str">
        <f t="shared" si="4"/>
        <v/>
      </c>
      <c r="AN23" s="25">
        <f t="shared" si="5"/>
        <v>0</v>
      </c>
      <c r="AO23" s="25">
        <f t="shared" si="6"/>
        <v>0.20623916811091855</v>
      </c>
      <c r="AP23" s="25">
        <f t="shared" si="7"/>
        <v>0</v>
      </c>
      <c r="AQ23" s="26">
        <f t="shared" si="8"/>
        <v>0</v>
      </c>
      <c r="AR23" s="26">
        <f t="shared" si="9"/>
        <v>7</v>
      </c>
      <c r="AS23" s="27">
        <f t="shared" si="10"/>
        <v>5</v>
      </c>
      <c r="AT23" s="27">
        <f t="shared" si="11"/>
        <v>0</v>
      </c>
      <c r="AU23" s="28">
        <f>AF23*Settings!$B$7+AG23*Settings!$B$8+AE23*Settings!$B$9+AB23*Settings!$B$10+AC23*Settings!$B$11+X23*Settings!$B$12+Y23*Settings!$B$13+Z23*Settings!$B$14</f>
        <v>180.4</v>
      </c>
    </row>
    <row r="24" spans="1:47" x14ac:dyDescent="0.25">
      <c r="A24" s="15" t="s">
        <v>121</v>
      </c>
      <c r="B24" s="16" t="s">
        <v>579</v>
      </c>
      <c r="C24" s="17">
        <v>3</v>
      </c>
      <c r="D24" s="17" t="s">
        <v>105</v>
      </c>
      <c r="E24" s="18" t="s">
        <v>99</v>
      </c>
      <c r="F24" s="19"/>
      <c r="G24" s="19">
        <v>2</v>
      </c>
      <c r="H24" s="19">
        <v>3</v>
      </c>
      <c r="I24" s="19">
        <v>12</v>
      </c>
      <c r="J24" s="19"/>
      <c r="K24" s="19">
        <v>28</v>
      </c>
      <c r="L24" s="19">
        <v>25</v>
      </c>
      <c r="M24" s="19">
        <v>171</v>
      </c>
      <c r="N24" s="19" t="s">
        <v>568</v>
      </c>
      <c r="O24" s="19">
        <v>17</v>
      </c>
      <c r="P24" s="20">
        <v>4.8</v>
      </c>
      <c r="Q24" s="20">
        <v>11.6</v>
      </c>
      <c r="R24" s="21">
        <v>0.755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1</v>
      </c>
      <c r="AB24" s="22">
        <v>5</v>
      </c>
      <c r="AC24" s="22">
        <v>0</v>
      </c>
      <c r="AD24" s="22">
        <v>20</v>
      </c>
      <c r="AE24" s="22">
        <v>17</v>
      </c>
      <c r="AF24" s="22">
        <v>187</v>
      </c>
      <c r="AG24" s="22">
        <v>1</v>
      </c>
      <c r="AH24" s="23" t="s">
        <v>101</v>
      </c>
      <c r="AI24" s="24">
        <f t="shared" si="0"/>
        <v>5</v>
      </c>
      <c r="AJ24" s="24">
        <f t="shared" si="1"/>
        <v>11</v>
      </c>
      <c r="AK24" s="25">
        <f t="shared" si="2"/>
        <v>0.85</v>
      </c>
      <c r="AL24" s="24" t="str">
        <f t="shared" si="3"/>
        <v/>
      </c>
      <c r="AM24" s="25" t="str">
        <f t="shared" si="4"/>
        <v/>
      </c>
      <c r="AN24" s="25">
        <f t="shared" si="5"/>
        <v>2.1696680407897588E-3</v>
      </c>
      <c r="AO24" s="25">
        <f t="shared" si="6"/>
        <v>3.4662045060658578E-2</v>
      </c>
      <c r="AP24" s="25">
        <f t="shared" si="7"/>
        <v>0</v>
      </c>
      <c r="AQ24" s="26">
        <f t="shared" si="8"/>
        <v>5.8823529411764705E-2</v>
      </c>
      <c r="AR24" s="26">
        <f t="shared" si="9"/>
        <v>1.1764705882352942</v>
      </c>
      <c r="AS24" s="27">
        <f t="shared" si="10"/>
        <v>-5</v>
      </c>
      <c r="AT24" s="27">
        <f t="shared" si="11"/>
        <v>-2</v>
      </c>
      <c r="AU24" s="28">
        <f>AF24*Settings!$B$7+AG24*Settings!$B$8+AE24*Settings!$B$9+AB24*Settings!$B$10+AC24*Settings!$B$11+X24*Settings!$B$12+Y24*Settings!$B$13+Z24*Settings!$B$14</f>
        <v>33.700000000000003</v>
      </c>
    </row>
    <row r="25" spans="1:47" x14ac:dyDescent="0.25">
      <c r="A25" s="15" t="s">
        <v>121</v>
      </c>
      <c r="B25" s="16" t="s">
        <v>580</v>
      </c>
      <c r="C25" s="17">
        <v>4</v>
      </c>
      <c r="D25" s="17" t="s">
        <v>103</v>
      </c>
      <c r="E25" s="18" t="s">
        <v>99</v>
      </c>
      <c r="F25" s="19"/>
      <c r="G25" s="19"/>
      <c r="H25" s="19"/>
      <c r="I25" s="19"/>
      <c r="J25" s="19"/>
      <c r="K25" s="19"/>
      <c r="L25" s="19">
        <v>23</v>
      </c>
      <c r="M25" s="19">
        <v>92</v>
      </c>
      <c r="N25" s="19" t="s">
        <v>568</v>
      </c>
      <c r="O25" s="19">
        <v>17</v>
      </c>
      <c r="P25" s="20"/>
      <c r="Q25" s="20">
        <v>9.1999999999999993</v>
      </c>
      <c r="R25" s="21">
        <v>0.435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20</v>
      </c>
      <c r="AE25" s="22">
        <v>12</v>
      </c>
      <c r="AF25" s="22">
        <v>140</v>
      </c>
      <c r="AG25" s="22">
        <v>1</v>
      </c>
      <c r="AH25" s="23" t="s">
        <v>101</v>
      </c>
      <c r="AI25" s="24" t="str">
        <f t="shared" si="0"/>
        <v/>
      </c>
      <c r="AJ25" s="24">
        <f t="shared" si="1"/>
        <v>11.666666666666666</v>
      </c>
      <c r="AK25" s="25">
        <f t="shared" si="2"/>
        <v>0.6</v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3.4662045060658578E-2</v>
      </c>
      <c r="AP25" s="25">
        <f t="shared" si="7"/>
        <v>0</v>
      </c>
      <c r="AQ25" s="26">
        <f t="shared" si="8"/>
        <v>0</v>
      </c>
      <c r="AR25" s="26">
        <f t="shared" si="9"/>
        <v>1.1764705882352942</v>
      </c>
      <c r="AS25" s="27">
        <f t="shared" si="10"/>
        <v>-3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26</v>
      </c>
    </row>
    <row r="26" spans="1:47" x14ac:dyDescent="0.25">
      <c r="A26" s="15" t="s">
        <v>121</v>
      </c>
      <c r="B26" s="16" t="s">
        <v>581</v>
      </c>
      <c r="C26" s="17">
        <v>5</v>
      </c>
      <c r="D26" s="17" t="s">
        <v>130</v>
      </c>
      <c r="E26" s="18" t="s">
        <v>99</v>
      </c>
      <c r="F26" s="19"/>
      <c r="G26" s="19">
        <v>4</v>
      </c>
      <c r="H26" s="19"/>
      <c r="I26" s="19"/>
      <c r="J26" s="19"/>
      <c r="K26" s="19">
        <v>2</v>
      </c>
      <c r="L26" s="19">
        <v>24</v>
      </c>
      <c r="M26" s="19">
        <v>303</v>
      </c>
      <c r="N26" s="19" t="s">
        <v>568</v>
      </c>
      <c r="O26" s="19">
        <v>16</v>
      </c>
      <c r="P26" s="20">
        <v>9</v>
      </c>
      <c r="Q26" s="20">
        <v>15.45</v>
      </c>
      <c r="R26" s="21">
        <v>0.76900000000000002</v>
      </c>
      <c r="S26" s="21"/>
      <c r="T26" s="20"/>
      <c r="U26" s="22">
        <v>17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2</v>
      </c>
      <c r="AC26" s="22">
        <v>0</v>
      </c>
      <c r="AD26" s="22">
        <v>11</v>
      </c>
      <c r="AE26" s="22">
        <v>6</v>
      </c>
      <c r="AF26" s="22">
        <v>90</v>
      </c>
      <c r="AG26" s="22">
        <v>0</v>
      </c>
      <c r="AH26" s="23" t="s">
        <v>101</v>
      </c>
      <c r="AI26" s="24" t="str">
        <f t="shared" si="0"/>
        <v/>
      </c>
      <c r="AJ26" s="24">
        <f t="shared" si="1"/>
        <v>15</v>
      </c>
      <c r="AK26" s="25">
        <f t="shared" si="2"/>
        <v>0.54545454545454541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1.9064124783362217E-2</v>
      </c>
      <c r="AP26" s="25">
        <f t="shared" si="7"/>
        <v>0</v>
      </c>
      <c r="AQ26" s="26">
        <f t="shared" si="8"/>
        <v>0</v>
      </c>
      <c r="AR26" s="26">
        <f t="shared" si="9"/>
        <v>0.6470588235294118</v>
      </c>
      <c r="AS26" s="27">
        <f t="shared" si="10"/>
        <v>-13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12.2</v>
      </c>
    </row>
    <row r="27" spans="1:47" x14ac:dyDescent="0.25">
      <c r="A27" s="15" t="s">
        <v>121</v>
      </c>
      <c r="B27" s="16" t="s">
        <v>582</v>
      </c>
      <c r="C27" s="17">
        <v>6</v>
      </c>
      <c r="D27" s="17" t="s">
        <v>118</v>
      </c>
      <c r="E27" s="18" t="s">
        <v>99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20"/>
      <c r="R27" s="21"/>
      <c r="S27" s="21"/>
      <c r="T27" s="20"/>
      <c r="U27" s="22">
        <v>17</v>
      </c>
      <c r="V27" s="22"/>
      <c r="W27" s="22"/>
      <c r="X27" s="22"/>
      <c r="Y27" s="22"/>
      <c r="Z27" s="22"/>
      <c r="AA27" s="22">
        <v>0</v>
      </c>
      <c r="AB27" s="22">
        <v>1</v>
      </c>
      <c r="AC27" s="22">
        <v>0</v>
      </c>
      <c r="AD27" s="22">
        <v>14</v>
      </c>
      <c r="AE27" s="22">
        <v>8</v>
      </c>
      <c r="AF27" s="22">
        <v>100</v>
      </c>
      <c r="AG27" s="22">
        <v>1</v>
      </c>
      <c r="AH27" s="23" t="s">
        <v>101</v>
      </c>
      <c r="AI27" s="24" t="str">
        <f t="shared" si="0"/>
        <v/>
      </c>
      <c r="AJ27" s="24">
        <f t="shared" si="1"/>
        <v>12.5</v>
      </c>
      <c r="AK27" s="25">
        <f t="shared" si="2"/>
        <v>0.5714285714285714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2.4263431542461005E-2</v>
      </c>
      <c r="AP27" s="25">
        <f t="shared" si="7"/>
        <v>0</v>
      </c>
      <c r="AQ27" s="26">
        <f t="shared" si="8"/>
        <v>0</v>
      </c>
      <c r="AR27" s="26">
        <f t="shared" si="9"/>
        <v>0.82352941176470584</v>
      </c>
      <c r="AS27" s="27">
        <f t="shared" si="10"/>
        <v>14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20.100000000000001</v>
      </c>
    </row>
    <row r="28" spans="1:47" x14ac:dyDescent="0.25">
      <c r="A28" s="15" t="s">
        <v>121</v>
      </c>
      <c r="B28" s="16" t="s">
        <v>583</v>
      </c>
      <c r="C28" s="17">
        <v>7</v>
      </c>
      <c r="D28" s="17" t="s">
        <v>118</v>
      </c>
      <c r="E28" s="18" t="s">
        <v>99</v>
      </c>
      <c r="F28" s="19">
        <v>7</v>
      </c>
      <c r="G28" s="19"/>
      <c r="H28" s="19"/>
      <c r="I28" s="19"/>
      <c r="J28" s="19">
        <v>32</v>
      </c>
      <c r="K28" s="19">
        <v>1</v>
      </c>
      <c r="L28" s="19"/>
      <c r="M28" s="19"/>
      <c r="N28" s="19"/>
      <c r="O28" s="19"/>
      <c r="P28" s="20">
        <v>5.86</v>
      </c>
      <c r="Q28" s="20">
        <v>9.61</v>
      </c>
      <c r="R28" s="21">
        <v>0.54500000000000004</v>
      </c>
      <c r="S28" s="21"/>
      <c r="T28" s="20"/>
      <c r="U28" s="22">
        <v>17</v>
      </c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33"/>
      <c r="AI28" s="24" t="str">
        <f t="shared" si="0"/>
        <v/>
      </c>
      <c r="AJ28" s="24" t="str">
        <f t="shared" si="1"/>
        <v/>
      </c>
      <c r="AK28" s="25" t="str">
        <f t="shared" si="2"/>
        <v/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0</v>
      </c>
      <c r="AP28" s="25">
        <f t="shared" si="7"/>
        <v>0</v>
      </c>
      <c r="AQ28" s="26">
        <f t="shared" si="8"/>
        <v>0</v>
      </c>
      <c r="AR28" s="26">
        <f t="shared" si="9"/>
        <v>0</v>
      </c>
      <c r="AS28" s="27">
        <f t="shared" si="10"/>
        <v>0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0</v>
      </c>
    </row>
    <row r="29" spans="1:47" x14ac:dyDescent="0.25">
      <c r="A29" s="15" t="s">
        <v>121</v>
      </c>
      <c r="B29" s="16" t="s">
        <v>584</v>
      </c>
      <c r="C29" s="17">
        <v>8</v>
      </c>
      <c r="D29" s="17" t="s">
        <v>103</v>
      </c>
      <c r="E29" s="18" t="s">
        <v>99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1"/>
      <c r="S29" s="21"/>
      <c r="T29" s="20"/>
      <c r="U29" s="22">
        <v>17</v>
      </c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33"/>
      <c r="AI29" s="24" t="str">
        <f t="shared" si="0"/>
        <v/>
      </c>
      <c r="AJ29" s="24" t="str">
        <f t="shared" si="1"/>
        <v/>
      </c>
      <c r="AK29" s="25" t="str">
        <f t="shared" si="2"/>
        <v/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0</v>
      </c>
      <c r="AP29" s="25">
        <f t="shared" si="7"/>
        <v>0</v>
      </c>
      <c r="AQ29" s="26">
        <f t="shared" si="8"/>
        <v>0</v>
      </c>
      <c r="AR29" s="26">
        <f t="shared" si="9"/>
        <v>0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0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585</v>
      </c>
      <c r="C31" s="17">
        <v>1</v>
      </c>
      <c r="D31" s="17" t="s">
        <v>103</v>
      </c>
      <c r="E31" s="18" t="s">
        <v>99</v>
      </c>
      <c r="F31" s="19"/>
      <c r="G31" s="19"/>
      <c r="H31" s="19">
        <v>1</v>
      </c>
      <c r="I31" s="19"/>
      <c r="J31" s="19"/>
      <c r="K31" s="19"/>
      <c r="L31" s="19">
        <v>25</v>
      </c>
      <c r="M31" s="19">
        <v>231</v>
      </c>
      <c r="N31" s="19" t="s">
        <v>568</v>
      </c>
      <c r="O31" s="19">
        <v>14</v>
      </c>
      <c r="P31" s="20"/>
      <c r="Q31" s="20">
        <v>21</v>
      </c>
      <c r="R31" s="21">
        <v>0.44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1</v>
      </c>
      <c r="AC31" s="22">
        <v>0</v>
      </c>
      <c r="AD31" s="22">
        <v>56</v>
      </c>
      <c r="AE31" s="22">
        <v>35</v>
      </c>
      <c r="AF31" s="22">
        <v>459</v>
      </c>
      <c r="AG31" s="22">
        <v>4</v>
      </c>
      <c r="AH31" s="23" t="s">
        <v>101</v>
      </c>
      <c r="AI31" s="24" t="str">
        <f t="shared" si="0"/>
        <v/>
      </c>
      <c r="AJ31" s="24">
        <f t="shared" si="1"/>
        <v>13.114285714285714</v>
      </c>
      <c r="AK31" s="25">
        <f t="shared" si="2"/>
        <v>0.625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9.7053726169844021E-2</v>
      </c>
      <c r="AP31" s="25">
        <f t="shared" si="7"/>
        <v>0</v>
      </c>
      <c r="AQ31" s="26">
        <f t="shared" si="8"/>
        <v>0</v>
      </c>
      <c r="AR31" s="26">
        <f t="shared" si="9"/>
        <v>3.2941176470588234</v>
      </c>
      <c r="AS31" s="27">
        <f t="shared" si="10"/>
        <v>31</v>
      </c>
      <c r="AT31" s="27">
        <f t="shared" si="11"/>
        <v>-1</v>
      </c>
      <c r="AU31" s="28">
        <f>AF31*Settings!$B$7+AG31*Settings!$B$8+AE31*Settings!$B$9+AB31*Settings!$B$10+AC31*Settings!$B$11+X31*Settings!$B$12+Y31*Settings!$B$13+Z31*Settings!$B$14</f>
        <v>87.5</v>
      </c>
    </row>
    <row r="32" spans="1:47" x14ac:dyDescent="0.25">
      <c r="A32" s="15" t="s">
        <v>135</v>
      </c>
      <c r="B32" s="16" t="s">
        <v>586</v>
      </c>
      <c r="C32" s="17">
        <v>2</v>
      </c>
      <c r="D32" s="17" t="s">
        <v>158</v>
      </c>
      <c r="E32" s="18" t="s">
        <v>99</v>
      </c>
      <c r="F32" s="19"/>
      <c r="G32" s="19"/>
      <c r="H32" s="19"/>
      <c r="I32" s="19"/>
      <c r="J32" s="19">
        <v>34</v>
      </c>
      <c r="K32" s="19">
        <v>49</v>
      </c>
      <c r="L32" s="19">
        <v>56</v>
      </c>
      <c r="M32" s="19">
        <v>408</v>
      </c>
      <c r="N32" s="19" t="s">
        <v>568</v>
      </c>
      <c r="O32" s="19">
        <v>15</v>
      </c>
      <c r="P32" s="20"/>
      <c r="Q32" s="20">
        <v>9.68</v>
      </c>
      <c r="R32" s="21">
        <v>0.70499999999999996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45</v>
      </c>
      <c r="AE32" s="22">
        <v>34</v>
      </c>
      <c r="AF32" s="22">
        <v>341</v>
      </c>
      <c r="AG32" s="22">
        <v>4</v>
      </c>
      <c r="AH32" s="23" t="s">
        <v>101</v>
      </c>
      <c r="AI32" s="24" t="str">
        <f t="shared" si="0"/>
        <v/>
      </c>
      <c r="AJ32" s="24">
        <f t="shared" si="1"/>
        <v>10.029411764705882</v>
      </c>
      <c r="AK32" s="25">
        <f t="shared" si="2"/>
        <v>0.75555555555555554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7.7989601386481797E-2</v>
      </c>
      <c r="AP32" s="25">
        <f t="shared" si="7"/>
        <v>0</v>
      </c>
      <c r="AQ32" s="26">
        <f t="shared" si="8"/>
        <v>0</v>
      </c>
      <c r="AR32" s="26">
        <f t="shared" si="9"/>
        <v>2.6470588235294117</v>
      </c>
      <c r="AS32" s="27">
        <f t="shared" si="10"/>
        <v>-11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75.099999999999994</v>
      </c>
    </row>
    <row r="33" spans="1:47" x14ac:dyDescent="0.25">
      <c r="A33" s="15" t="s">
        <v>135</v>
      </c>
      <c r="B33" s="16" t="s">
        <v>587</v>
      </c>
      <c r="C33" s="17">
        <v>3</v>
      </c>
      <c r="D33" s="17" t="s">
        <v>98</v>
      </c>
      <c r="E33" s="18" t="s">
        <v>99</v>
      </c>
      <c r="F33" s="19"/>
      <c r="G33" s="19"/>
      <c r="H33" s="19"/>
      <c r="I33" s="19"/>
      <c r="J33" s="19">
        <v>70</v>
      </c>
      <c r="K33" s="19">
        <v>12</v>
      </c>
      <c r="L33" s="19">
        <v>36</v>
      </c>
      <c r="M33" s="19">
        <v>281</v>
      </c>
      <c r="N33" s="19" t="s">
        <v>568</v>
      </c>
      <c r="O33" s="19">
        <v>10</v>
      </c>
      <c r="P33" s="20"/>
      <c r="Q33" s="20">
        <v>10.53</v>
      </c>
      <c r="R33" s="21">
        <v>0.67800000000000005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33</v>
      </c>
      <c r="AE33" s="22">
        <v>23</v>
      </c>
      <c r="AF33" s="22">
        <v>264</v>
      </c>
      <c r="AG33" s="22">
        <v>2</v>
      </c>
      <c r="AH33" s="23" t="s">
        <v>101</v>
      </c>
      <c r="AI33" s="24" t="str">
        <f t="shared" si="0"/>
        <v/>
      </c>
      <c r="AJ33" s="24">
        <f t="shared" si="1"/>
        <v>11.478260869565217</v>
      </c>
      <c r="AK33" s="25">
        <f t="shared" si="2"/>
        <v>0.69696969696969702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5.7192374350086658E-2</v>
      </c>
      <c r="AP33" s="25">
        <f t="shared" si="7"/>
        <v>0</v>
      </c>
      <c r="AQ33" s="26">
        <f t="shared" si="8"/>
        <v>0</v>
      </c>
      <c r="AR33" s="26">
        <f t="shared" si="9"/>
        <v>1.9411764705882353</v>
      </c>
      <c r="AS33" s="27">
        <f t="shared" si="10"/>
        <v>-3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49.900000000000006</v>
      </c>
    </row>
    <row r="34" spans="1:47" x14ac:dyDescent="0.25">
      <c r="A34" s="15" t="s">
        <v>135</v>
      </c>
      <c r="B34" s="16" t="s">
        <v>588</v>
      </c>
      <c r="C34" s="17">
        <v>4</v>
      </c>
      <c r="D34" s="17" t="s">
        <v>105</v>
      </c>
      <c r="E34" s="32" t="s">
        <v>115</v>
      </c>
      <c r="F34" s="19"/>
      <c r="G34" s="19"/>
      <c r="H34" s="19"/>
      <c r="I34" s="19"/>
      <c r="J34" s="19">
        <v>11</v>
      </c>
      <c r="K34" s="19">
        <v>13</v>
      </c>
      <c r="L34" s="19">
        <v>33</v>
      </c>
      <c r="M34" s="19">
        <v>208</v>
      </c>
      <c r="N34" s="19" t="s">
        <v>568</v>
      </c>
      <c r="O34" s="19">
        <v>17</v>
      </c>
      <c r="P34" s="20"/>
      <c r="Q34" s="20">
        <v>8.5500000000000007</v>
      </c>
      <c r="R34" s="21">
        <v>0.70199999999999996</v>
      </c>
      <c r="S34" s="21"/>
      <c r="T34" s="20"/>
      <c r="U34" s="22">
        <v>17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19</v>
      </c>
      <c r="AE34" s="22">
        <v>12</v>
      </c>
      <c r="AF34" s="22">
        <v>120</v>
      </c>
      <c r="AG34" s="22">
        <v>1</v>
      </c>
      <c r="AH34" s="23" t="s">
        <v>101</v>
      </c>
      <c r="AI34" s="24" t="str">
        <f t="shared" si="0"/>
        <v/>
      </c>
      <c r="AJ34" s="24">
        <f t="shared" si="1"/>
        <v>10</v>
      </c>
      <c r="AK34" s="25">
        <f t="shared" si="2"/>
        <v>0.63157894736842102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3.292894280762565E-2</v>
      </c>
      <c r="AP34" s="25">
        <f t="shared" si="7"/>
        <v>0</v>
      </c>
      <c r="AQ34" s="26">
        <f t="shared" si="8"/>
        <v>0</v>
      </c>
      <c r="AR34" s="26">
        <f t="shared" si="9"/>
        <v>1.1176470588235294</v>
      </c>
      <c r="AS34" s="27">
        <f t="shared" si="10"/>
        <v>-14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24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588</v>
      </c>
      <c r="W37" s="34">
        <f t="shared" si="12"/>
        <v>378</v>
      </c>
      <c r="X37" s="34">
        <f t="shared" si="12"/>
        <v>4434</v>
      </c>
      <c r="Y37" s="34">
        <f t="shared" si="12"/>
        <v>34</v>
      </c>
      <c r="Z37" s="34">
        <f t="shared" si="12"/>
        <v>11</v>
      </c>
      <c r="AA37" s="34">
        <f t="shared" si="12"/>
        <v>492</v>
      </c>
      <c r="AB37" s="34">
        <f t="shared" si="12"/>
        <v>2243</v>
      </c>
      <c r="AC37" s="34">
        <f t="shared" si="12"/>
        <v>18</v>
      </c>
      <c r="AD37" s="34">
        <f t="shared" si="12"/>
        <v>572</v>
      </c>
      <c r="AE37" s="34">
        <f t="shared" si="12"/>
        <v>384</v>
      </c>
      <c r="AF37" s="34">
        <f t="shared" si="12"/>
        <v>4484</v>
      </c>
      <c r="AG37" s="34">
        <f t="shared" si="12"/>
        <v>35</v>
      </c>
    </row>
    <row r="38" spans="1:47" x14ac:dyDescent="0.25">
      <c r="A38" s="5" t="s">
        <v>142</v>
      </c>
      <c r="V38" s="35">
        <f>$F$5</f>
        <v>605</v>
      </c>
      <c r="X38" s="35">
        <f>$I$5</f>
        <v>4271</v>
      </c>
      <c r="Y38" s="35">
        <f>$J$5</f>
        <v>31</v>
      </c>
      <c r="Z38" s="35">
        <f>$K$5</f>
        <v>11</v>
      </c>
      <c r="AA38" s="35">
        <f>$H$5</f>
        <v>460.90000000000009</v>
      </c>
      <c r="AB38" s="35">
        <f>$L$5</f>
        <v>1999</v>
      </c>
      <c r="AC38" s="35">
        <f>$M$5</f>
        <v>16</v>
      </c>
      <c r="AD38" s="35">
        <f>$G$5</f>
        <v>577</v>
      </c>
      <c r="AF38" s="35">
        <f>$I$5</f>
        <v>4271</v>
      </c>
      <c r="AG38" s="35">
        <f>$J$5</f>
        <v>31</v>
      </c>
    </row>
    <row r="39" spans="1:47" x14ac:dyDescent="0.25">
      <c r="A39" s="5" t="s">
        <v>143</v>
      </c>
      <c r="V39" s="36">
        <f>$F$5-V37</f>
        <v>17</v>
      </c>
      <c r="X39" s="36">
        <f>$I$5-X37</f>
        <v>-163</v>
      </c>
      <c r="Y39" s="36">
        <f>$J$5-Y37</f>
        <v>-3</v>
      </c>
      <c r="Z39" s="36">
        <f>$K$5-Z37</f>
        <v>0</v>
      </c>
      <c r="AA39" s="36">
        <f>$H$5-AA37</f>
        <v>-31.099999999999909</v>
      </c>
      <c r="AB39" s="36">
        <f>$L$5-AB37</f>
        <v>-244</v>
      </c>
      <c r="AC39" s="36">
        <f>$M$5-AC37</f>
        <v>-2</v>
      </c>
      <c r="AD39" s="36">
        <f>$G$5-AD37</f>
        <v>5</v>
      </c>
      <c r="AF39" s="36">
        <f>$I$5-AF37</f>
        <v>-213</v>
      </c>
      <c r="AG39" s="36">
        <f>$J$5-AG37</f>
        <v>-4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449" priority="1" stopIfTrue="1">
      <formula>V37&gt;$F$5</formula>
    </cfRule>
    <cfRule type="expression" dxfId="448" priority="2">
      <formula>AND($F$5&gt;0,V37&lt;$F$5*0.97)</formula>
    </cfRule>
    <cfRule type="expression" dxfId="447" priority="3">
      <formula>AND($F$5&gt;0,V37&gt;=$F$5*0.97,V37&lt;=$F$5)</formula>
    </cfRule>
  </conditionalFormatting>
  <conditionalFormatting sqref="X37">
    <cfRule type="expression" dxfId="446" priority="4" stopIfTrue="1">
      <formula>X37&gt;$I$5</formula>
    </cfRule>
    <cfRule type="expression" dxfId="445" priority="5">
      <formula>AND($I$5&gt;0,X37&lt;$I$5*0.97)</formula>
    </cfRule>
    <cfRule type="expression" dxfId="444" priority="6">
      <formula>AND($I$5&gt;0,X37&gt;=$I$5*0.97,X37&lt;=$I$5)</formula>
    </cfRule>
  </conditionalFormatting>
  <conditionalFormatting sqref="Y37">
    <cfRule type="expression" dxfId="443" priority="7" stopIfTrue="1">
      <formula>Y37&gt;$J$5</formula>
    </cfRule>
    <cfRule type="expression" dxfId="442" priority="8">
      <formula>AND($J$5&gt;0,Y37&lt;$J$5*0.97)</formula>
    </cfRule>
    <cfRule type="expression" dxfId="441" priority="9">
      <formula>AND($J$5&gt;0,Y37&gt;=$J$5*0.97,Y37&lt;=$J$5)</formula>
    </cfRule>
  </conditionalFormatting>
  <conditionalFormatting sqref="Z37">
    <cfRule type="expression" dxfId="440" priority="10" stopIfTrue="1">
      <formula>Z37&gt;$K$5</formula>
    </cfRule>
    <cfRule type="expression" dxfId="439" priority="11">
      <formula>AND($K$5&gt;0,Z37&lt;$K$5*0.97)</formula>
    </cfRule>
    <cfRule type="expression" dxfId="438" priority="12">
      <formula>AND($K$5&gt;0,Z37&gt;=$K$5*0.97,Z37&lt;=$K$5)</formula>
    </cfRule>
  </conditionalFormatting>
  <conditionalFormatting sqref="AA37">
    <cfRule type="expression" dxfId="437" priority="13" stopIfTrue="1">
      <formula>AA37&gt;$H$5</formula>
    </cfRule>
    <cfRule type="expression" dxfId="436" priority="14">
      <formula>AND($H$5&gt;0,AA37&lt;$H$5*0.97)</formula>
    </cfRule>
    <cfRule type="expression" dxfId="435" priority="15">
      <formula>AND($H$5&gt;0,AA37&gt;=$H$5*0.97,AA37&lt;=$H$5)</formula>
    </cfRule>
  </conditionalFormatting>
  <conditionalFormatting sqref="AB37">
    <cfRule type="expression" dxfId="434" priority="16" stopIfTrue="1">
      <formula>AB37&gt;$L$5</formula>
    </cfRule>
    <cfRule type="expression" dxfId="433" priority="17">
      <formula>AND($L$5&gt;0,AB37&lt;$L$5*0.97)</formula>
    </cfRule>
    <cfRule type="expression" dxfId="432" priority="18">
      <formula>AND($L$5&gt;0,AB37&gt;=$L$5*0.97,AB37&lt;=$L$5)</formula>
    </cfRule>
  </conditionalFormatting>
  <conditionalFormatting sqref="AC37">
    <cfRule type="expression" dxfId="431" priority="19" stopIfTrue="1">
      <formula>AC37&gt;$M$5</formula>
    </cfRule>
    <cfRule type="expression" dxfId="430" priority="20">
      <formula>AND($M$5&gt;0,AC37&lt;$M$5*0.97)</formula>
    </cfRule>
    <cfRule type="expression" dxfId="429" priority="21">
      <formula>AND($M$5&gt;0,AC37&gt;=$M$5*0.97,AC37&lt;=$M$5)</formula>
    </cfRule>
  </conditionalFormatting>
  <conditionalFormatting sqref="AD37">
    <cfRule type="expression" dxfId="428" priority="22" stopIfTrue="1">
      <formula>AD37&gt;$G$5</formula>
    </cfRule>
    <cfRule type="expression" dxfId="427" priority="23">
      <formula>AND($G$5&gt;0,AD37&lt;$G$5*0.97)</formula>
    </cfRule>
    <cfRule type="expression" dxfId="426" priority="24">
      <formula>AND($G$5&gt;0,AD37&gt;=$G$5*0.97,AD37&lt;=$G$5)</formula>
    </cfRule>
  </conditionalFormatting>
  <conditionalFormatting sqref="AF37">
    <cfRule type="expression" dxfId="425" priority="25" stopIfTrue="1">
      <formula>AF37&gt;$I$5</formula>
    </cfRule>
    <cfRule type="expression" dxfId="424" priority="26">
      <formula>AND($I$5&gt;0,AF37&lt;$I$5*0.97)</formula>
    </cfRule>
    <cfRule type="expression" dxfId="423" priority="27">
      <formula>AND($I$5&gt;0,AF37&gt;=$I$5*0.97,AF37&lt;=$I$5)</formula>
    </cfRule>
  </conditionalFormatting>
  <conditionalFormatting sqref="AG37">
    <cfRule type="expression" dxfId="422" priority="28" stopIfTrue="1">
      <formula>AG37&gt;$J$5</formula>
    </cfRule>
    <cfRule type="expression" dxfId="421" priority="29">
      <formula>AND($J$5&gt;0,AG37&lt;$J$5*0.97)</formula>
    </cfRule>
    <cfRule type="expression" dxfId="420" priority="30">
      <formula>AND($J$5&gt;0,AG37&gt;=$J$5*0.97,AG37&lt;=$J$5)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589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59.9</v>
      </c>
      <c r="D5" s="10">
        <f>C5*B5</f>
        <v>1018.3</v>
      </c>
      <c r="E5" s="11">
        <v>0.60150000000000003</v>
      </c>
      <c r="F5" s="10">
        <f>ROUND(D5*E5,0)</f>
        <v>613</v>
      </c>
      <c r="G5" s="10">
        <f>ROUND(F5*Settings!$B$4,0)</f>
        <v>585</v>
      </c>
      <c r="H5" s="10">
        <f>D5-F5</f>
        <v>405.29999999999995</v>
      </c>
      <c r="I5" s="8">
        <v>3731</v>
      </c>
      <c r="J5" s="9">
        <v>22</v>
      </c>
      <c r="K5" s="9">
        <v>16</v>
      </c>
      <c r="L5" s="8">
        <v>1557</v>
      </c>
      <c r="M5" s="9">
        <v>10</v>
      </c>
    </row>
    <row r="7" spans="1:47" x14ac:dyDescent="0.25">
      <c r="A7" s="5" t="s">
        <v>54</v>
      </c>
      <c r="B7" s="12" t="s">
        <v>590</v>
      </c>
    </row>
    <row r="8" spans="1:47" x14ac:dyDescent="0.25">
      <c r="A8" s="5" t="s">
        <v>56</v>
      </c>
      <c r="B8" s="13" t="s">
        <v>591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592</v>
      </c>
      <c r="C11" s="17">
        <v>1</v>
      </c>
      <c r="D11" s="17" t="s">
        <v>128</v>
      </c>
      <c r="E11" s="18" t="s">
        <v>99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0"/>
      <c r="Q11" s="20"/>
      <c r="R11" s="21"/>
      <c r="S11" s="21"/>
      <c r="T11" s="20"/>
      <c r="U11" s="22">
        <v>17</v>
      </c>
      <c r="V11" s="22">
        <v>430</v>
      </c>
      <c r="W11" s="22">
        <v>271</v>
      </c>
      <c r="X11" s="22">
        <v>2891</v>
      </c>
      <c r="Y11" s="22">
        <v>16</v>
      </c>
      <c r="Z11" s="22">
        <v>11</v>
      </c>
      <c r="AA11" s="22">
        <v>50</v>
      </c>
      <c r="AB11" s="22">
        <v>216</v>
      </c>
      <c r="AC11" s="22">
        <v>2</v>
      </c>
      <c r="AD11" s="22"/>
      <c r="AE11" s="22"/>
      <c r="AF11" s="22"/>
      <c r="AG11" s="22"/>
      <c r="AH11" s="23" t="s">
        <v>101</v>
      </c>
      <c r="AI11" s="24">
        <f t="shared" ref="AI11:AI35" si="0">IFERROR(AB11/AA11,"")</f>
        <v>4.32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6.7232558139534886</v>
      </c>
      <c r="AM11" s="25">
        <f t="shared" ref="AM11:AM35" si="4">IFERROR(W11/V11,"")</f>
        <v>0.63023255813953494</v>
      </c>
      <c r="AN11" s="25">
        <f t="shared" ref="AN11:AN35" si="5">IFERROR(AA11/$H$5,"")</f>
        <v>0.12336540833950162</v>
      </c>
      <c r="AO11" s="25">
        <f t="shared" ref="AO11:AO35" si="6">IFERROR(AD11/$G$5,"")</f>
        <v>0</v>
      </c>
      <c r="AP11" s="25">
        <f t="shared" ref="AP11:AP35" si="7">IFERROR(V11/$F$5,"")</f>
        <v>0.70146818923327892</v>
      </c>
      <c r="AQ11" s="26">
        <f t="shared" ref="AQ11:AQ35" si="8">IFERROR(AA11/U11,"")</f>
        <v>2.9411764705882355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50</v>
      </c>
      <c r="AU11" s="28">
        <f>AF11*Settings!$B$7+AG11*Settings!$B$8+AE11*Settings!$B$9+AB11*Settings!$B$10+AC11*Settings!$B$11+X11*Settings!$B$12+Y11*Settings!$B$13+Z11*Settings!$B$14</f>
        <v>191.24</v>
      </c>
    </row>
    <row r="12" spans="1:47" x14ac:dyDescent="0.25">
      <c r="A12" s="15" t="s">
        <v>96</v>
      </c>
      <c r="B12" s="16" t="s">
        <v>593</v>
      </c>
      <c r="C12" s="17">
        <v>2</v>
      </c>
      <c r="D12" s="17" t="s">
        <v>420</v>
      </c>
      <c r="E12" s="18" t="s">
        <v>99</v>
      </c>
      <c r="F12" s="19">
        <v>12</v>
      </c>
      <c r="G12" s="19">
        <v>12</v>
      </c>
      <c r="H12" s="19">
        <v>8</v>
      </c>
      <c r="I12" s="19">
        <v>7</v>
      </c>
      <c r="J12" s="19"/>
      <c r="K12" s="19"/>
      <c r="L12" s="19"/>
      <c r="M12" s="19"/>
      <c r="N12" s="19" t="s">
        <v>112</v>
      </c>
      <c r="O12" s="19">
        <v>10</v>
      </c>
      <c r="P12" s="20">
        <v>1</v>
      </c>
      <c r="Q12" s="20"/>
      <c r="R12" s="21"/>
      <c r="S12" s="21">
        <v>0.66300000000000003</v>
      </c>
      <c r="T12" s="20">
        <v>7.32</v>
      </c>
      <c r="U12" s="22">
        <v>17</v>
      </c>
      <c r="V12" s="22">
        <v>128</v>
      </c>
      <c r="W12" s="22">
        <v>82</v>
      </c>
      <c r="X12" s="22">
        <v>855</v>
      </c>
      <c r="Y12" s="22">
        <v>5</v>
      </c>
      <c r="Z12" s="22">
        <v>3</v>
      </c>
      <c r="AA12" s="22">
        <v>5</v>
      </c>
      <c r="AB12" s="22">
        <v>8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1.6</v>
      </c>
      <c r="AJ12" s="24" t="str">
        <f t="shared" si="1"/>
        <v/>
      </c>
      <c r="AK12" s="25" t="str">
        <f t="shared" si="2"/>
        <v/>
      </c>
      <c r="AL12" s="24">
        <f t="shared" si="3"/>
        <v>6.6796875</v>
      </c>
      <c r="AM12" s="25">
        <f t="shared" si="4"/>
        <v>0.640625</v>
      </c>
      <c r="AN12" s="25">
        <f t="shared" si="5"/>
        <v>1.2336540833950162E-2</v>
      </c>
      <c r="AO12" s="25">
        <f t="shared" si="6"/>
        <v>0</v>
      </c>
      <c r="AP12" s="25">
        <f t="shared" si="7"/>
        <v>0.20880913539967375</v>
      </c>
      <c r="AQ12" s="26">
        <f t="shared" si="8"/>
        <v>0.29411764705882354</v>
      </c>
      <c r="AR12" s="26">
        <f t="shared" si="9"/>
        <v>0</v>
      </c>
      <c r="AS12" s="27">
        <f t="shared" si="10"/>
        <v>0</v>
      </c>
      <c r="AT12" s="27">
        <f t="shared" si="11"/>
        <v>-3</v>
      </c>
      <c r="AU12" s="28">
        <f>AF12*Settings!$B$7+AG12*Settings!$B$8+AE12*Settings!$B$9+AB12*Settings!$B$10+AC12*Settings!$B$11+X12*Settings!$B$12+Y12*Settings!$B$13+Z12*Settings!$B$14</f>
        <v>49</v>
      </c>
    </row>
    <row r="13" spans="1:47" x14ac:dyDescent="0.25">
      <c r="A13" s="15" t="s">
        <v>96</v>
      </c>
      <c r="B13" s="16" t="s">
        <v>594</v>
      </c>
      <c r="C13" s="17">
        <v>3</v>
      </c>
      <c r="D13" s="17" t="s">
        <v>158</v>
      </c>
      <c r="E13" s="18" t="s">
        <v>99</v>
      </c>
      <c r="F13" s="19">
        <v>11</v>
      </c>
      <c r="G13" s="19">
        <v>14</v>
      </c>
      <c r="H13" s="19">
        <v>1</v>
      </c>
      <c r="I13" s="19">
        <v>7</v>
      </c>
      <c r="J13" s="19"/>
      <c r="K13" s="19"/>
      <c r="L13" s="19"/>
      <c r="M13" s="19"/>
      <c r="N13" s="19" t="s">
        <v>241</v>
      </c>
      <c r="O13" s="19">
        <v>1</v>
      </c>
      <c r="P13" s="20">
        <v>1.85</v>
      </c>
      <c r="Q13" s="20"/>
      <c r="R13" s="21"/>
      <c r="S13" s="21">
        <v>0.62</v>
      </c>
      <c r="T13" s="20">
        <v>6.47</v>
      </c>
      <c r="U13" s="22">
        <v>17</v>
      </c>
      <c r="V13" s="22">
        <v>3</v>
      </c>
      <c r="W13" s="22">
        <v>2</v>
      </c>
      <c r="X13" s="22">
        <v>45</v>
      </c>
      <c r="Y13" s="22">
        <v>0</v>
      </c>
      <c r="Z13" s="22">
        <v>0</v>
      </c>
      <c r="AA13" s="22">
        <v>1</v>
      </c>
      <c r="AB13" s="22">
        <v>2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3" t="s">
        <v>101</v>
      </c>
      <c r="AI13" s="24">
        <f t="shared" si="0"/>
        <v>2</v>
      </c>
      <c r="AJ13" s="24" t="str">
        <f t="shared" si="1"/>
        <v/>
      </c>
      <c r="AK13" s="25" t="str">
        <f t="shared" si="2"/>
        <v/>
      </c>
      <c r="AL13" s="24">
        <f t="shared" si="3"/>
        <v>15</v>
      </c>
      <c r="AM13" s="25">
        <f t="shared" si="4"/>
        <v>0.66666666666666663</v>
      </c>
      <c r="AN13" s="25">
        <f t="shared" si="5"/>
        <v>2.4673081667900324E-3</v>
      </c>
      <c r="AO13" s="25">
        <f t="shared" si="6"/>
        <v>0</v>
      </c>
      <c r="AP13" s="25">
        <f t="shared" si="7"/>
        <v>4.8939641109298528E-3</v>
      </c>
      <c r="AQ13" s="26">
        <f t="shared" si="8"/>
        <v>5.8823529411764705E-2</v>
      </c>
      <c r="AR13" s="26">
        <f t="shared" si="9"/>
        <v>0</v>
      </c>
      <c r="AS13" s="27">
        <f t="shared" si="10"/>
        <v>0</v>
      </c>
      <c r="AT13" s="27">
        <f t="shared" si="11"/>
        <v>0</v>
      </c>
      <c r="AU13" s="28">
        <f>AF13*Settings!$B$7+AG13*Settings!$B$8+AE13*Settings!$B$9+AB13*Settings!$B$10+AC13*Settings!$B$11+X13*Settings!$B$12+Y13*Settings!$B$13+Z13*Settings!$B$14</f>
        <v>2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595</v>
      </c>
      <c r="C15" s="17">
        <v>1</v>
      </c>
      <c r="D15" s="17" t="s">
        <v>128</v>
      </c>
      <c r="E15" s="18" t="s">
        <v>99</v>
      </c>
      <c r="F15" s="19"/>
      <c r="G15" s="19"/>
      <c r="H15" s="19">
        <v>266</v>
      </c>
      <c r="I15" s="19">
        <v>975</v>
      </c>
      <c r="J15" s="19"/>
      <c r="K15" s="19"/>
      <c r="L15" s="19">
        <v>73</v>
      </c>
      <c r="M15" s="19">
        <v>346</v>
      </c>
      <c r="N15" s="19" t="s">
        <v>241</v>
      </c>
      <c r="O15" s="19">
        <v>17</v>
      </c>
      <c r="P15" s="20">
        <v>3.67</v>
      </c>
      <c r="Q15" s="20">
        <v>6.29</v>
      </c>
      <c r="R15" s="21">
        <v>0.753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279</v>
      </c>
      <c r="AB15" s="22">
        <v>1115</v>
      </c>
      <c r="AC15" s="22">
        <v>8</v>
      </c>
      <c r="AD15" s="22">
        <v>75</v>
      </c>
      <c r="AE15" s="22">
        <v>56</v>
      </c>
      <c r="AF15" s="22">
        <v>397</v>
      </c>
      <c r="AG15" s="22">
        <v>3</v>
      </c>
      <c r="AH15" s="23" t="s">
        <v>101</v>
      </c>
      <c r="AI15" s="24">
        <f t="shared" si="0"/>
        <v>3.9964157706093189</v>
      </c>
      <c r="AJ15" s="24">
        <f t="shared" si="1"/>
        <v>7.0892857142857144</v>
      </c>
      <c r="AK15" s="25">
        <f t="shared" si="2"/>
        <v>0.7466666666666667</v>
      </c>
      <c r="AL15" s="24" t="str">
        <f t="shared" si="3"/>
        <v/>
      </c>
      <c r="AM15" s="25" t="str">
        <f t="shared" si="4"/>
        <v/>
      </c>
      <c r="AN15" s="25">
        <f t="shared" si="5"/>
        <v>0.68837897853441898</v>
      </c>
      <c r="AO15" s="25">
        <f t="shared" si="6"/>
        <v>0.12820512820512819</v>
      </c>
      <c r="AP15" s="25">
        <f t="shared" si="7"/>
        <v>0</v>
      </c>
      <c r="AQ15" s="26">
        <f t="shared" si="8"/>
        <v>16.411764705882351</v>
      </c>
      <c r="AR15" s="26">
        <f t="shared" si="9"/>
        <v>4.4117647058823533</v>
      </c>
      <c r="AS15" s="27">
        <f t="shared" si="10"/>
        <v>2</v>
      </c>
      <c r="AT15" s="27">
        <f t="shared" si="11"/>
        <v>13</v>
      </c>
      <c r="AU15" s="28">
        <f>AF15*Settings!$B$7+AG15*Settings!$B$8+AE15*Settings!$B$9+AB15*Settings!$B$10+AC15*Settings!$B$11+X15*Settings!$B$12+Y15*Settings!$B$13+Z15*Settings!$B$14</f>
        <v>245.2</v>
      </c>
    </row>
    <row r="16" spans="1:47" x14ac:dyDescent="0.25">
      <c r="A16" s="15" t="s">
        <v>107</v>
      </c>
      <c r="B16" s="16" t="s">
        <v>596</v>
      </c>
      <c r="C16" s="17">
        <v>2</v>
      </c>
      <c r="D16" s="17" t="s">
        <v>103</v>
      </c>
      <c r="E16" s="18" t="s">
        <v>99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0"/>
      <c r="Q16" s="20"/>
      <c r="R16" s="21"/>
      <c r="S16" s="21"/>
      <c r="T16" s="20"/>
      <c r="U16" s="22">
        <v>17</v>
      </c>
      <c r="V16" s="22"/>
      <c r="W16" s="22"/>
      <c r="X16" s="22"/>
      <c r="Y16" s="22"/>
      <c r="Z16" s="22"/>
      <c r="AA16" s="22">
        <v>86</v>
      </c>
      <c r="AB16" s="22">
        <v>338</v>
      </c>
      <c r="AC16" s="22">
        <v>2</v>
      </c>
      <c r="AD16" s="22">
        <v>18</v>
      </c>
      <c r="AE16" s="22">
        <v>12</v>
      </c>
      <c r="AF16" s="22">
        <v>92</v>
      </c>
      <c r="AG16" s="22">
        <v>0</v>
      </c>
      <c r="AH16" s="23" t="s">
        <v>101</v>
      </c>
      <c r="AI16" s="24">
        <f t="shared" si="0"/>
        <v>3.9302325581395348</v>
      </c>
      <c r="AJ16" s="24">
        <f t="shared" si="1"/>
        <v>7.666666666666667</v>
      </c>
      <c r="AK16" s="25">
        <f t="shared" si="2"/>
        <v>0.66666666666666663</v>
      </c>
      <c r="AL16" s="24" t="str">
        <f t="shared" si="3"/>
        <v/>
      </c>
      <c r="AM16" s="25" t="str">
        <f t="shared" si="4"/>
        <v/>
      </c>
      <c r="AN16" s="25">
        <f t="shared" si="5"/>
        <v>0.21218850234394279</v>
      </c>
      <c r="AO16" s="25">
        <f t="shared" si="6"/>
        <v>3.0769230769230771E-2</v>
      </c>
      <c r="AP16" s="25">
        <f t="shared" si="7"/>
        <v>0</v>
      </c>
      <c r="AQ16" s="26">
        <f t="shared" si="8"/>
        <v>5.0588235294117645</v>
      </c>
      <c r="AR16" s="26">
        <f t="shared" si="9"/>
        <v>1.0588235294117647</v>
      </c>
      <c r="AS16" s="27">
        <f t="shared" si="10"/>
        <v>18</v>
      </c>
      <c r="AT16" s="27">
        <f t="shared" si="11"/>
        <v>86</v>
      </c>
      <c r="AU16" s="28">
        <f>AF16*Settings!$B$7+AG16*Settings!$B$8+AE16*Settings!$B$9+AB16*Settings!$B$10+AC16*Settings!$B$11+X16*Settings!$B$12+Y16*Settings!$B$13+Z16*Settings!$B$14</f>
        <v>61.000000000000007</v>
      </c>
    </row>
    <row r="17" spans="1:47" x14ac:dyDescent="0.25">
      <c r="A17" s="15" t="s">
        <v>107</v>
      </c>
      <c r="B17" s="16" t="s">
        <v>597</v>
      </c>
      <c r="C17" s="17">
        <v>3</v>
      </c>
      <c r="D17" s="17" t="s">
        <v>111</v>
      </c>
      <c r="E17" s="18" t="s">
        <v>99</v>
      </c>
      <c r="F17" s="19"/>
      <c r="G17" s="19">
        <v>1</v>
      </c>
      <c r="H17" s="19">
        <v>7</v>
      </c>
      <c r="I17" s="19">
        <v>9</v>
      </c>
      <c r="J17" s="19"/>
      <c r="K17" s="19"/>
      <c r="L17" s="19">
        <v>4</v>
      </c>
      <c r="M17" s="19">
        <v>18</v>
      </c>
      <c r="N17" s="19" t="s">
        <v>241</v>
      </c>
      <c r="O17" s="19">
        <v>17</v>
      </c>
      <c r="P17" s="20">
        <v>1.1200000000000001</v>
      </c>
      <c r="Q17" s="20">
        <v>6</v>
      </c>
      <c r="R17" s="21">
        <v>0.75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6</v>
      </c>
      <c r="AB17" s="22">
        <v>19</v>
      </c>
      <c r="AC17" s="22">
        <v>0</v>
      </c>
      <c r="AD17" s="22">
        <v>2</v>
      </c>
      <c r="AE17" s="22">
        <v>2</v>
      </c>
      <c r="AF17" s="22">
        <v>11</v>
      </c>
      <c r="AG17" s="22">
        <v>0</v>
      </c>
      <c r="AH17" s="23" t="s">
        <v>101</v>
      </c>
      <c r="AI17" s="24">
        <f t="shared" si="0"/>
        <v>3.1666666666666665</v>
      </c>
      <c r="AJ17" s="24">
        <f t="shared" si="1"/>
        <v>5.5</v>
      </c>
      <c r="AK17" s="25">
        <f t="shared" si="2"/>
        <v>1</v>
      </c>
      <c r="AL17" s="24" t="str">
        <f t="shared" si="3"/>
        <v/>
      </c>
      <c r="AM17" s="25" t="str">
        <f t="shared" si="4"/>
        <v/>
      </c>
      <c r="AN17" s="25">
        <f t="shared" si="5"/>
        <v>1.4803849000740193E-2</v>
      </c>
      <c r="AO17" s="25">
        <f t="shared" si="6"/>
        <v>3.4188034188034188E-3</v>
      </c>
      <c r="AP17" s="25">
        <f t="shared" si="7"/>
        <v>0</v>
      </c>
      <c r="AQ17" s="26">
        <f t="shared" si="8"/>
        <v>0.35294117647058826</v>
      </c>
      <c r="AR17" s="26">
        <f t="shared" si="9"/>
        <v>0.11764705882352941</v>
      </c>
      <c r="AS17" s="27">
        <f t="shared" si="10"/>
        <v>-2</v>
      </c>
      <c r="AT17" s="27">
        <f t="shared" si="11"/>
        <v>-1</v>
      </c>
      <c r="AU17" s="28">
        <f>AF17*Settings!$B$7+AG17*Settings!$B$8+AE17*Settings!$B$9+AB17*Settings!$B$10+AC17*Settings!$B$11+X17*Settings!$B$12+Y17*Settings!$B$13+Z17*Settings!$B$14</f>
        <v>4</v>
      </c>
    </row>
    <row r="18" spans="1:47" x14ac:dyDescent="0.25">
      <c r="A18" s="15" t="s">
        <v>107</v>
      </c>
      <c r="B18" s="16" t="s">
        <v>598</v>
      </c>
      <c r="C18" s="17">
        <v>4</v>
      </c>
      <c r="D18" s="17" t="s">
        <v>103</v>
      </c>
      <c r="E18" s="18" t="s">
        <v>99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0"/>
      <c r="Q18" s="20"/>
      <c r="R18" s="21"/>
      <c r="S18" s="21"/>
      <c r="T18" s="20"/>
      <c r="U18" s="22">
        <v>17</v>
      </c>
      <c r="V18" s="22"/>
      <c r="W18" s="22"/>
      <c r="X18" s="22"/>
      <c r="Y18" s="22"/>
      <c r="Z18" s="22"/>
      <c r="AA18" s="22">
        <v>1</v>
      </c>
      <c r="AB18" s="22">
        <v>26</v>
      </c>
      <c r="AC18" s="22">
        <v>0</v>
      </c>
      <c r="AD18" s="22">
        <v>2</v>
      </c>
      <c r="AE18" s="22">
        <v>3</v>
      </c>
      <c r="AF18" s="22">
        <v>24</v>
      </c>
      <c r="AG18" s="22">
        <v>0</v>
      </c>
      <c r="AH18" s="23" t="s">
        <v>101</v>
      </c>
      <c r="AI18" s="24">
        <f t="shared" si="0"/>
        <v>26</v>
      </c>
      <c r="AJ18" s="24">
        <f t="shared" si="1"/>
        <v>8</v>
      </c>
      <c r="AK18" s="25">
        <f t="shared" si="2"/>
        <v>1.5</v>
      </c>
      <c r="AL18" s="24" t="str">
        <f t="shared" si="3"/>
        <v/>
      </c>
      <c r="AM18" s="25" t="str">
        <f t="shared" si="4"/>
        <v/>
      </c>
      <c r="AN18" s="25">
        <f t="shared" si="5"/>
        <v>2.4673081667900324E-3</v>
      </c>
      <c r="AO18" s="25">
        <f t="shared" si="6"/>
        <v>3.4188034188034188E-3</v>
      </c>
      <c r="AP18" s="25">
        <f t="shared" si="7"/>
        <v>0</v>
      </c>
      <c r="AQ18" s="26">
        <f t="shared" si="8"/>
        <v>5.8823529411764705E-2</v>
      </c>
      <c r="AR18" s="26">
        <f t="shared" si="9"/>
        <v>0.11764705882352941</v>
      </c>
      <c r="AS18" s="27">
        <f t="shared" si="10"/>
        <v>2</v>
      </c>
      <c r="AT18" s="27">
        <f t="shared" si="11"/>
        <v>1</v>
      </c>
      <c r="AU18" s="28">
        <f>AF18*Settings!$B$7+AG18*Settings!$B$8+AE18*Settings!$B$9+AB18*Settings!$B$10+AC18*Settings!$B$11+X18*Settings!$B$12+Y18*Settings!$B$13+Z18*Settings!$B$14</f>
        <v>6.5</v>
      </c>
    </row>
    <row r="19" spans="1:47" x14ac:dyDescent="0.25">
      <c r="A19" s="15" t="s">
        <v>107</v>
      </c>
      <c r="B19" s="16" t="s">
        <v>599</v>
      </c>
      <c r="C19" s="17">
        <v>5</v>
      </c>
      <c r="D19" s="17" t="s">
        <v>130</v>
      </c>
      <c r="E19" s="18" t="s">
        <v>99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1"/>
      <c r="S19" s="21"/>
      <c r="T19" s="20"/>
      <c r="U19" s="22">
        <v>17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33"/>
      <c r="AI19" s="24" t="str">
        <f t="shared" si="0"/>
        <v/>
      </c>
      <c r="AJ19" s="24" t="str">
        <f t="shared" si="1"/>
        <v/>
      </c>
      <c r="AK19" s="25" t="str">
        <f t="shared" si="2"/>
        <v/>
      </c>
      <c r="AL19" s="24" t="str">
        <f t="shared" si="3"/>
        <v/>
      </c>
      <c r="AM19" s="25" t="str">
        <f t="shared" si="4"/>
        <v/>
      </c>
      <c r="AN19" s="25">
        <f t="shared" si="5"/>
        <v>0</v>
      </c>
      <c r="AO19" s="25">
        <f t="shared" si="6"/>
        <v>0</v>
      </c>
      <c r="AP19" s="25">
        <f t="shared" si="7"/>
        <v>0</v>
      </c>
      <c r="AQ19" s="26">
        <f t="shared" si="8"/>
        <v>0</v>
      </c>
      <c r="AR19" s="26">
        <f t="shared" si="9"/>
        <v>0</v>
      </c>
      <c r="AS19" s="27">
        <f t="shared" si="10"/>
        <v>0</v>
      </c>
      <c r="AT19" s="27">
        <f t="shared" si="11"/>
        <v>0</v>
      </c>
      <c r="AU19" s="28">
        <f>AF19*Settings!$B$7+AG19*Settings!$B$8+AE19*Settings!$B$9+AB19*Settings!$B$10+AC19*Settings!$B$11+X19*Settings!$B$12+Y19*Settings!$B$13+Z19*Settings!$B$14</f>
        <v>0</v>
      </c>
    </row>
    <row r="20" spans="1:47" x14ac:dyDescent="0.25">
      <c r="A20" s="15" t="s">
        <v>107</v>
      </c>
      <c r="B20" s="37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16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 t="str">
        <f t="shared" si="8"/>
        <v/>
      </c>
      <c r="AR20" s="26" t="str">
        <f t="shared" si="9"/>
        <v/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600</v>
      </c>
      <c r="C22" s="17">
        <v>1</v>
      </c>
      <c r="D22" s="17" t="s">
        <v>105</v>
      </c>
      <c r="E22" s="18" t="s">
        <v>99</v>
      </c>
      <c r="F22" s="19">
        <v>10</v>
      </c>
      <c r="G22" s="19">
        <v>9</v>
      </c>
      <c r="H22" s="19">
        <v>11</v>
      </c>
      <c r="I22" s="19">
        <v>51</v>
      </c>
      <c r="J22" s="19">
        <v>34</v>
      </c>
      <c r="K22" s="19">
        <v>81</v>
      </c>
      <c r="L22" s="19">
        <v>92</v>
      </c>
      <c r="M22" s="19">
        <v>696</v>
      </c>
      <c r="N22" s="19" t="s">
        <v>241</v>
      </c>
      <c r="O22" s="19">
        <v>17</v>
      </c>
      <c r="P22" s="20">
        <v>5.73</v>
      </c>
      <c r="Q22" s="20">
        <v>12.73</v>
      </c>
      <c r="R22" s="21">
        <v>0.59399999999999997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10</v>
      </c>
      <c r="AB22" s="22">
        <v>51</v>
      </c>
      <c r="AC22" s="22">
        <v>0</v>
      </c>
      <c r="AD22" s="22">
        <v>76</v>
      </c>
      <c r="AE22" s="22">
        <v>45</v>
      </c>
      <c r="AF22" s="22">
        <v>591</v>
      </c>
      <c r="AG22" s="22">
        <v>3</v>
      </c>
      <c r="AH22" s="23" t="s">
        <v>101</v>
      </c>
      <c r="AI22" s="24">
        <f t="shared" si="0"/>
        <v>5.0999999999999996</v>
      </c>
      <c r="AJ22" s="24">
        <f t="shared" si="1"/>
        <v>13.133333333333333</v>
      </c>
      <c r="AK22" s="25">
        <f t="shared" si="2"/>
        <v>0.59210526315789469</v>
      </c>
      <c r="AL22" s="24" t="str">
        <f t="shared" si="3"/>
        <v/>
      </c>
      <c r="AM22" s="25" t="str">
        <f t="shared" si="4"/>
        <v/>
      </c>
      <c r="AN22" s="25">
        <f t="shared" si="5"/>
        <v>2.4673081667900325E-2</v>
      </c>
      <c r="AO22" s="25">
        <f t="shared" si="6"/>
        <v>0.12991452991452992</v>
      </c>
      <c r="AP22" s="25">
        <f t="shared" si="7"/>
        <v>0</v>
      </c>
      <c r="AQ22" s="26">
        <f t="shared" si="8"/>
        <v>0.58823529411764708</v>
      </c>
      <c r="AR22" s="26">
        <f t="shared" si="9"/>
        <v>4.4705882352941178</v>
      </c>
      <c r="AS22" s="27">
        <f t="shared" si="10"/>
        <v>-16</v>
      </c>
      <c r="AT22" s="27">
        <f t="shared" si="11"/>
        <v>-1</v>
      </c>
      <c r="AU22" s="28">
        <f>AF22*Settings!$B$7+AG22*Settings!$B$8+AE22*Settings!$B$9+AB22*Settings!$B$10+AC22*Settings!$B$11+X22*Settings!$B$12+Y22*Settings!$B$13+Z22*Settings!$B$14</f>
        <v>104.69999999999999</v>
      </c>
    </row>
    <row r="23" spans="1:47" x14ac:dyDescent="0.25">
      <c r="A23" s="15" t="s">
        <v>121</v>
      </c>
      <c r="B23" s="16" t="s">
        <v>601</v>
      </c>
      <c r="C23" s="17">
        <v>2</v>
      </c>
      <c r="D23" s="17" t="s">
        <v>158</v>
      </c>
      <c r="E23" s="18" t="s">
        <v>99</v>
      </c>
      <c r="F23" s="19"/>
      <c r="G23" s="19">
        <v>3</v>
      </c>
      <c r="H23" s="19">
        <v>2</v>
      </c>
      <c r="I23" s="19">
        <v>13</v>
      </c>
      <c r="J23" s="19">
        <v>6</v>
      </c>
      <c r="K23" s="19">
        <v>42</v>
      </c>
      <c r="L23" s="19">
        <v>53</v>
      </c>
      <c r="M23" s="19">
        <v>444</v>
      </c>
      <c r="N23" s="19" t="s">
        <v>602</v>
      </c>
      <c r="O23" s="19">
        <v>17</v>
      </c>
      <c r="P23" s="20">
        <v>1.8</v>
      </c>
      <c r="Q23" s="20">
        <v>14.78</v>
      </c>
      <c r="R23" s="21">
        <v>0.59399999999999997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2</v>
      </c>
      <c r="AB23" s="22">
        <v>6</v>
      </c>
      <c r="AC23" s="22">
        <v>0</v>
      </c>
      <c r="AD23" s="22">
        <v>74</v>
      </c>
      <c r="AE23" s="22">
        <v>44</v>
      </c>
      <c r="AF23" s="22">
        <v>579</v>
      </c>
      <c r="AG23" s="22">
        <v>4</v>
      </c>
      <c r="AH23" s="23" t="s">
        <v>101</v>
      </c>
      <c r="AI23" s="24">
        <f t="shared" si="0"/>
        <v>3</v>
      </c>
      <c r="AJ23" s="24">
        <f t="shared" si="1"/>
        <v>13.159090909090908</v>
      </c>
      <c r="AK23" s="25">
        <f t="shared" si="2"/>
        <v>0.59459459459459463</v>
      </c>
      <c r="AL23" s="24" t="str">
        <f t="shared" si="3"/>
        <v/>
      </c>
      <c r="AM23" s="25" t="str">
        <f t="shared" si="4"/>
        <v/>
      </c>
      <c r="AN23" s="25">
        <f t="shared" si="5"/>
        <v>4.9346163335800648E-3</v>
      </c>
      <c r="AO23" s="25">
        <f t="shared" si="6"/>
        <v>0.12649572649572649</v>
      </c>
      <c r="AP23" s="25">
        <f t="shared" si="7"/>
        <v>0</v>
      </c>
      <c r="AQ23" s="26">
        <f t="shared" si="8"/>
        <v>0.11764705882352941</v>
      </c>
      <c r="AR23" s="26">
        <f t="shared" si="9"/>
        <v>4.3529411764705879</v>
      </c>
      <c r="AS23" s="27">
        <f t="shared" si="10"/>
        <v>21</v>
      </c>
      <c r="AT23" s="27">
        <f t="shared" si="11"/>
        <v>0</v>
      </c>
      <c r="AU23" s="28">
        <f>AF23*Settings!$B$7+AG23*Settings!$B$8+AE23*Settings!$B$9+AB23*Settings!$B$10+AC23*Settings!$B$11+X23*Settings!$B$12+Y23*Settings!$B$13+Z23*Settings!$B$14</f>
        <v>104.5</v>
      </c>
    </row>
    <row r="24" spans="1:47" x14ac:dyDescent="0.25">
      <c r="A24" s="15" t="s">
        <v>121</v>
      </c>
      <c r="B24" s="16" t="s">
        <v>603</v>
      </c>
      <c r="C24" s="17">
        <v>3</v>
      </c>
      <c r="D24" s="17" t="s">
        <v>103</v>
      </c>
      <c r="E24" s="18" t="s">
        <v>99</v>
      </c>
      <c r="F24" s="19"/>
      <c r="G24" s="19"/>
      <c r="H24" s="19"/>
      <c r="I24" s="19"/>
      <c r="J24" s="19"/>
      <c r="K24" s="19"/>
      <c r="L24" s="19">
        <v>29</v>
      </c>
      <c r="M24" s="19">
        <v>224</v>
      </c>
      <c r="N24" s="19" t="s">
        <v>241</v>
      </c>
      <c r="O24" s="19">
        <v>16</v>
      </c>
      <c r="P24" s="20"/>
      <c r="Q24" s="20">
        <v>11.2</v>
      </c>
      <c r="R24" s="21">
        <v>0.69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1</v>
      </c>
      <c r="AC24" s="22">
        <v>0</v>
      </c>
      <c r="AD24" s="22">
        <v>47</v>
      </c>
      <c r="AE24" s="22">
        <v>31</v>
      </c>
      <c r="AF24" s="22">
        <v>364</v>
      </c>
      <c r="AG24" s="22">
        <v>2</v>
      </c>
      <c r="AH24" s="23" t="s">
        <v>101</v>
      </c>
      <c r="AI24" s="24" t="str">
        <f t="shared" si="0"/>
        <v/>
      </c>
      <c r="AJ24" s="24">
        <f t="shared" si="1"/>
        <v>11.741935483870968</v>
      </c>
      <c r="AK24" s="25">
        <f t="shared" si="2"/>
        <v>0.65957446808510634</v>
      </c>
      <c r="AL24" s="24" t="str">
        <f t="shared" si="3"/>
        <v/>
      </c>
      <c r="AM24" s="25" t="str">
        <f t="shared" si="4"/>
        <v/>
      </c>
      <c r="AN24" s="25">
        <f t="shared" si="5"/>
        <v>0</v>
      </c>
      <c r="AO24" s="25">
        <f t="shared" si="6"/>
        <v>8.0341880341880348E-2</v>
      </c>
      <c r="AP24" s="25">
        <f t="shared" si="7"/>
        <v>0</v>
      </c>
      <c r="AQ24" s="26">
        <f t="shared" si="8"/>
        <v>0</v>
      </c>
      <c r="AR24" s="26">
        <f t="shared" si="9"/>
        <v>2.7647058823529411</v>
      </c>
      <c r="AS24" s="27">
        <f t="shared" si="10"/>
        <v>18</v>
      </c>
      <c r="AT24" s="27">
        <f t="shared" si="11"/>
        <v>0</v>
      </c>
      <c r="AU24" s="28">
        <f>AF24*Settings!$B$7+AG24*Settings!$B$8+AE24*Settings!$B$9+AB24*Settings!$B$10+AC24*Settings!$B$11+X24*Settings!$B$12+Y24*Settings!$B$13+Z24*Settings!$B$14</f>
        <v>64</v>
      </c>
    </row>
    <row r="25" spans="1:47" x14ac:dyDescent="0.25">
      <c r="A25" s="15" t="s">
        <v>121</v>
      </c>
      <c r="B25" s="16" t="s">
        <v>604</v>
      </c>
      <c r="C25" s="17">
        <v>4</v>
      </c>
      <c r="D25" s="17" t="s">
        <v>103</v>
      </c>
      <c r="E25" s="18" t="s">
        <v>99</v>
      </c>
      <c r="F25" s="19"/>
      <c r="G25" s="19"/>
      <c r="H25" s="19"/>
      <c r="I25" s="19"/>
      <c r="J25" s="19"/>
      <c r="K25" s="19"/>
      <c r="L25" s="19">
        <v>30</v>
      </c>
      <c r="M25" s="19">
        <v>135</v>
      </c>
      <c r="N25" s="19" t="s">
        <v>241</v>
      </c>
      <c r="O25" s="19">
        <v>15</v>
      </c>
      <c r="P25" s="20"/>
      <c r="Q25" s="20">
        <v>13.5</v>
      </c>
      <c r="R25" s="21">
        <v>0.33300000000000002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22</v>
      </c>
      <c r="AE25" s="22">
        <v>12</v>
      </c>
      <c r="AF25" s="22">
        <v>171</v>
      </c>
      <c r="AG25" s="22">
        <v>1</v>
      </c>
      <c r="AH25" s="23" t="s">
        <v>101</v>
      </c>
      <c r="AI25" s="24" t="str">
        <f t="shared" si="0"/>
        <v/>
      </c>
      <c r="AJ25" s="24">
        <f t="shared" si="1"/>
        <v>14.25</v>
      </c>
      <c r="AK25" s="25">
        <f t="shared" si="2"/>
        <v>0.54545454545454541</v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3.7606837606837605E-2</v>
      </c>
      <c r="AP25" s="25">
        <f t="shared" si="7"/>
        <v>0</v>
      </c>
      <c r="AQ25" s="26">
        <f t="shared" si="8"/>
        <v>0</v>
      </c>
      <c r="AR25" s="26">
        <f t="shared" si="9"/>
        <v>1.2941176470588236</v>
      </c>
      <c r="AS25" s="27">
        <f t="shared" si="10"/>
        <v>-8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29.1</v>
      </c>
    </row>
    <row r="26" spans="1:47" x14ac:dyDescent="0.25">
      <c r="A26" s="15" t="s">
        <v>121</v>
      </c>
      <c r="B26" s="16" t="s">
        <v>605</v>
      </c>
      <c r="C26" s="17">
        <v>5</v>
      </c>
      <c r="D26" s="17" t="s">
        <v>103</v>
      </c>
      <c r="E26" s="18" t="s">
        <v>99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  <c r="R26" s="21"/>
      <c r="S26" s="21"/>
      <c r="T26" s="20"/>
      <c r="U26" s="22">
        <v>17</v>
      </c>
      <c r="V26" s="22"/>
      <c r="W26" s="22"/>
      <c r="X26" s="22"/>
      <c r="Y26" s="22"/>
      <c r="Z26" s="22"/>
      <c r="AA26" s="22">
        <v>0</v>
      </c>
      <c r="AB26" s="22">
        <v>0</v>
      </c>
      <c r="AC26" s="22">
        <v>0</v>
      </c>
      <c r="AD26" s="22">
        <v>17</v>
      </c>
      <c r="AE26" s="22">
        <v>12</v>
      </c>
      <c r="AF26" s="22">
        <v>156</v>
      </c>
      <c r="AG26" s="22">
        <v>1</v>
      </c>
      <c r="AH26" s="23" t="s">
        <v>101</v>
      </c>
      <c r="AI26" s="24" t="str">
        <f t="shared" si="0"/>
        <v/>
      </c>
      <c r="AJ26" s="24">
        <f t="shared" si="1"/>
        <v>13</v>
      </c>
      <c r="AK26" s="25">
        <f t="shared" si="2"/>
        <v>0.70588235294117652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2.9059829059829061E-2</v>
      </c>
      <c r="AP26" s="25">
        <f t="shared" si="7"/>
        <v>0</v>
      </c>
      <c r="AQ26" s="26">
        <f t="shared" si="8"/>
        <v>0</v>
      </c>
      <c r="AR26" s="26">
        <f t="shared" si="9"/>
        <v>1</v>
      </c>
      <c r="AS26" s="27">
        <f t="shared" si="10"/>
        <v>17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27.6</v>
      </c>
    </row>
    <row r="27" spans="1:47" x14ac:dyDescent="0.25">
      <c r="A27" s="15" t="s">
        <v>121</v>
      </c>
      <c r="B27" s="16" t="s">
        <v>606</v>
      </c>
      <c r="C27" s="17">
        <v>6</v>
      </c>
      <c r="D27" s="17" t="s">
        <v>105</v>
      </c>
      <c r="E27" s="18" t="s">
        <v>99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20"/>
      <c r="R27" s="21"/>
      <c r="S27" s="21"/>
      <c r="T27" s="20"/>
      <c r="U27" s="22">
        <v>17</v>
      </c>
      <c r="V27" s="22"/>
      <c r="W27" s="22"/>
      <c r="X27" s="22"/>
      <c r="Y27" s="22"/>
      <c r="Z27" s="22"/>
      <c r="AA27" s="22">
        <v>0</v>
      </c>
      <c r="AB27" s="22">
        <v>0</v>
      </c>
      <c r="AC27" s="22">
        <v>0</v>
      </c>
      <c r="AD27" s="22">
        <v>4</v>
      </c>
      <c r="AE27" s="22">
        <v>3</v>
      </c>
      <c r="AF27" s="22">
        <v>36</v>
      </c>
      <c r="AG27" s="22">
        <v>0</v>
      </c>
      <c r="AH27" s="23" t="s">
        <v>101</v>
      </c>
      <c r="AI27" s="24" t="str">
        <f t="shared" si="0"/>
        <v/>
      </c>
      <c r="AJ27" s="24">
        <f t="shared" si="1"/>
        <v>12</v>
      </c>
      <c r="AK27" s="25">
        <f t="shared" si="2"/>
        <v>0.75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6.8376068376068376E-3</v>
      </c>
      <c r="AP27" s="25">
        <f t="shared" si="7"/>
        <v>0</v>
      </c>
      <c r="AQ27" s="26">
        <f t="shared" si="8"/>
        <v>0</v>
      </c>
      <c r="AR27" s="26">
        <f t="shared" si="9"/>
        <v>0.23529411764705882</v>
      </c>
      <c r="AS27" s="27">
        <f t="shared" si="10"/>
        <v>4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5.0999999999999996</v>
      </c>
    </row>
    <row r="28" spans="1:47" x14ac:dyDescent="0.25">
      <c r="A28" s="15" t="s">
        <v>121</v>
      </c>
      <c r="B28" s="16" t="s">
        <v>607</v>
      </c>
      <c r="C28" s="17">
        <v>7</v>
      </c>
      <c r="D28" s="17" t="s">
        <v>98</v>
      </c>
      <c r="E28" s="18" t="s">
        <v>99</v>
      </c>
      <c r="F28" s="19"/>
      <c r="G28" s="19"/>
      <c r="H28" s="19"/>
      <c r="I28" s="19"/>
      <c r="J28" s="19">
        <v>3</v>
      </c>
      <c r="K28" s="19"/>
      <c r="L28" s="19"/>
      <c r="M28" s="19"/>
      <c r="N28" s="19"/>
      <c r="O28" s="19"/>
      <c r="P28" s="20"/>
      <c r="Q28" s="20"/>
      <c r="R28" s="21"/>
      <c r="S28" s="21"/>
      <c r="T28" s="20"/>
      <c r="U28" s="22">
        <v>17</v>
      </c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33"/>
      <c r="AI28" s="24" t="str">
        <f t="shared" si="0"/>
        <v/>
      </c>
      <c r="AJ28" s="24" t="str">
        <f t="shared" si="1"/>
        <v/>
      </c>
      <c r="AK28" s="25" t="str">
        <f t="shared" si="2"/>
        <v/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0</v>
      </c>
      <c r="AP28" s="25">
        <f t="shared" si="7"/>
        <v>0</v>
      </c>
      <c r="AQ28" s="26">
        <f t="shared" si="8"/>
        <v>0</v>
      </c>
      <c r="AR28" s="26">
        <f t="shared" si="9"/>
        <v>0</v>
      </c>
      <c r="AS28" s="27">
        <f t="shared" si="10"/>
        <v>0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0</v>
      </c>
    </row>
    <row r="29" spans="1:47" x14ac:dyDescent="0.25">
      <c r="A29" s="15" t="s">
        <v>121</v>
      </c>
      <c r="B29" s="16" t="s">
        <v>608</v>
      </c>
      <c r="C29" s="17">
        <v>8</v>
      </c>
      <c r="D29" s="17" t="s">
        <v>158</v>
      </c>
      <c r="E29" s="18" t="s">
        <v>99</v>
      </c>
      <c r="F29" s="19"/>
      <c r="G29" s="19"/>
      <c r="H29" s="19"/>
      <c r="I29" s="19"/>
      <c r="J29" s="19"/>
      <c r="K29" s="19">
        <v>1</v>
      </c>
      <c r="L29" s="19">
        <v>3</v>
      </c>
      <c r="M29" s="19">
        <v>48</v>
      </c>
      <c r="N29" s="19" t="s">
        <v>521</v>
      </c>
      <c r="O29" s="19">
        <v>9</v>
      </c>
      <c r="P29" s="20"/>
      <c r="Q29" s="20">
        <v>24</v>
      </c>
      <c r="R29" s="21">
        <v>0.5</v>
      </c>
      <c r="S29" s="21"/>
      <c r="T29" s="20"/>
      <c r="U29" s="22">
        <v>17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3</v>
      </c>
      <c r="AE29" s="22">
        <v>1</v>
      </c>
      <c r="AF29" s="22">
        <v>14</v>
      </c>
      <c r="AG29" s="22">
        <v>0</v>
      </c>
      <c r="AH29" s="23" t="s">
        <v>101</v>
      </c>
      <c r="AI29" s="24" t="str">
        <f t="shared" si="0"/>
        <v/>
      </c>
      <c r="AJ29" s="24">
        <f t="shared" si="1"/>
        <v>14</v>
      </c>
      <c r="AK29" s="25">
        <f t="shared" si="2"/>
        <v>0.33333333333333331</v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5.1282051282051282E-3</v>
      </c>
      <c r="AP29" s="25">
        <f t="shared" si="7"/>
        <v>0</v>
      </c>
      <c r="AQ29" s="26">
        <f t="shared" si="8"/>
        <v>0</v>
      </c>
      <c r="AR29" s="26">
        <f t="shared" si="9"/>
        <v>0.17647058823529413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1.9000000000000001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609</v>
      </c>
      <c r="C31" s="17">
        <v>1</v>
      </c>
      <c r="D31" s="17" t="s">
        <v>103</v>
      </c>
      <c r="E31" s="18" t="s">
        <v>99</v>
      </c>
      <c r="F31" s="19"/>
      <c r="G31" s="19">
        <v>5</v>
      </c>
      <c r="H31" s="19">
        <v>2</v>
      </c>
      <c r="I31" s="19">
        <v>2</v>
      </c>
      <c r="J31" s="19"/>
      <c r="K31" s="19">
        <v>153</v>
      </c>
      <c r="L31" s="19">
        <v>86</v>
      </c>
      <c r="M31" s="19">
        <v>680</v>
      </c>
      <c r="N31" s="19" t="s">
        <v>241</v>
      </c>
      <c r="O31" s="19">
        <v>12</v>
      </c>
      <c r="P31" s="20">
        <v>2.14</v>
      </c>
      <c r="Q31" s="20">
        <v>10.65</v>
      </c>
      <c r="R31" s="21">
        <v>0.73599999999999999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3</v>
      </c>
      <c r="AB31" s="22">
        <v>11</v>
      </c>
      <c r="AC31" s="22">
        <v>0</v>
      </c>
      <c r="AD31" s="22">
        <v>129</v>
      </c>
      <c r="AE31" s="22">
        <v>93</v>
      </c>
      <c r="AF31" s="22">
        <v>1005</v>
      </c>
      <c r="AG31" s="22">
        <v>7</v>
      </c>
      <c r="AH31" s="23" t="s">
        <v>101</v>
      </c>
      <c r="AI31" s="24">
        <f t="shared" si="0"/>
        <v>3.6666666666666665</v>
      </c>
      <c r="AJ31" s="24">
        <f t="shared" si="1"/>
        <v>10.806451612903226</v>
      </c>
      <c r="AK31" s="25">
        <f t="shared" si="2"/>
        <v>0.72093023255813948</v>
      </c>
      <c r="AL31" s="24" t="str">
        <f t="shared" si="3"/>
        <v/>
      </c>
      <c r="AM31" s="25" t="str">
        <f t="shared" si="4"/>
        <v/>
      </c>
      <c r="AN31" s="25">
        <f t="shared" si="5"/>
        <v>7.4019245003700967E-3</v>
      </c>
      <c r="AO31" s="25">
        <f t="shared" si="6"/>
        <v>0.22051282051282051</v>
      </c>
      <c r="AP31" s="25">
        <f t="shared" si="7"/>
        <v>0</v>
      </c>
      <c r="AQ31" s="26">
        <f t="shared" si="8"/>
        <v>0.17647058823529413</v>
      </c>
      <c r="AR31" s="26">
        <f t="shared" si="9"/>
        <v>7.5882352941176467</v>
      </c>
      <c r="AS31" s="27">
        <f t="shared" si="10"/>
        <v>43</v>
      </c>
      <c r="AT31" s="27">
        <f t="shared" si="11"/>
        <v>1</v>
      </c>
      <c r="AU31" s="28">
        <f>AF31*Settings!$B$7+AG31*Settings!$B$8+AE31*Settings!$B$9+AB31*Settings!$B$10+AC31*Settings!$B$11+X31*Settings!$B$12+Y31*Settings!$B$13+Z31*Settings!$B$14</f>
        <v>190.1</v>
      </c>
    </row>
    <row r="32" spans="1:47" x14ac:dyDescent="0.25">
      <c r="A32" s="15" t="s">
        <v>135</v>
      </c>
      <c r="B32" s="16" t="s">
        <v>610</v>
      </c>
      <c r="C32" s="17">
        <v>2</v>
      </c>
      <c r="D32" s="17" t="s">
        <v>105</v>
      </c>
      <c r="E32" s="32" t="s">
        <v>115</v>
      </c>
      <c r="F32" s="19"/>
      <c r="G32" s="19"/>
      <c r="H32" s="19"/>
      <c r="I32" s="19"/>
      <c r="J32" s="19">
        <v>40</v>
      </c>
      <c r="K32" s="19">
        <v>32</v>
      </c>
      <c r="L32" s="19">
        <v>50</v>
      </c>
      <c r="M32" s="19">
        <v>328</v>
      </c>
      <c r="N32" s="19" t="s">
        <v>241</v>
      </c>
      <c r="O32" s="19">
        <v>13</v>
      </c>
      <c r="P32" s="20"/>
      <c r="Q32" s="20">
        <v>9.49</v>
      </c>
      <c r="R32" s="21">
        <v>0.68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53</v>
      </c>
      <c r="AE32" s="22">
        <v>37</v>
      </c>
      <c r="AF32" s="22">
        <v>354</v>
      </c>
      <c r="AG32" s="22">
        <v>2</v>
      </c>
      <c r="AH32" s="23" t="s">
        <v>101</v>
      </c>
      <c r="AI32" s="24" t="str">
        <f t="shared" si="0"/>
        <v/>
      </c>
      <c r="AJ32" s="24">
        <f t="shared" si="1"/>
        <v>9.5675675675675684</v>
      </c>
      <c r="AK32" s="25">
        <f t="shared" si="2"/>
        <v>0.69811320754716977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9.0598290598290596E-2</v>
      </c>
      <c r="AP32" s="25">
        <f t="shared" si="7"/>
        <v>0</v>
      </c>
      <c r="AQ32" s="26">
        <f t="shared" si="8"/>
        <v>0</v>
      </c>
      <c r="AR32" s="26">
        <f t="shared" si="9"/>
        <v>3.1176470588235294</v>
      </c>
      <c r="AS32" s="27">
        <f t="shared" si="10"/>
        <v>3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65.900000000000006</v>
      </c>
    </row>
    <row r="33" spans="1:47" x14ac:dyDescent="0.25">
      <c r="A33" s="15" t="s">
        <v>135</v>
      </c>
      <c r="B33" s="16" t="s">
        <v>611</v>
      </c>
      <c r="C33" s="17">
        <v>3</v>
      </c>
      <c r="D33" s="17" t="s">
        <v>158</v>
      </c>
      <c r="E33" s="18" t="s">
        <v>99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0"/>
      <c r="Q33" s="20"/>
      <c r="R33" s="21"/>
      <c r="S33" s="21"/>
      <c r="T33" s="20"/>
      <c r="U33" s="22">
        <v>17</v>
      </c>
      <c r="V33" s="22"/>
      <c r="W33" s="22"/>
      <c r="X33" s="22"/>
      <c r="Y33" s="22"/>
      <c r="Z33" s="22"/>
      <c r="AA33" s="22">
        <v>0</v>
      </c>
      <c r="AB33" s="22">
        <v>0</v>
      </c>
      <c r="AC33" s="22">
        <v>0</v>
      </c>
      <c r="AD33" s="22">
        <v>11</v>
      </c>
      <c r="AE33" s="22">
        <v>8</v>
      </c>
      <c r="AF33" s="22">
        <v>85</v>
      </c>
      <c r="AG33" s="22">
        <v>1</v>
      </c>
      <c r="AH33" s="23" t="s">
        <v>101</v>
      </c>
      <c r="AI33" s="24" t="str">
        <f t="shared" si="0"/>
        <v/>
      </c>
      <c r="AJ33" s="24">
        <f t="shared" si="1"/>
        <v>10.625</v>
      </c>
      <c r="AK33" s="25">
        <f t="shared" si="2"/>
        <v>0.72727272727272729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1.8803418803418803E-2</v>
      </c>
      <c r="AP33" s="25">
        <f t="shared" si="7"/>
        <v>0</v>
      </c>
      <c r="AQ33" s="26">
        <f t="shared" si="8"/>
        <v>0</v>
      </c>
      <c r="AR33" s="26">
        <f t="shared" si="9"/>
        <v>0.6470588235294118</v>
      </c>
      <c r="AS33" s="27">
        <f t="shared" si="10"/>
        <v>11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18.5</v>
      </c>
    </row>
    <row r="34" spans="1:47" x14ac:dyDescent="0.25">
      <c r="A34" s="15" t="s">
        <v>135</v>
      </c>
      <c r="B34" s="16" t="s">
        <v>612</v>
      </c>
      <c r="C34" s="17">
        <v>4</v>
      </c>
      <c r="D34" s="17" t="s">
        <v>158</v>
      </c>
      <c r="E34" s="18" t="s">
        <v>99</v>
      </c>
      <c r="F34" s="19">
        <v>1</v>
      </c>
      <c r="G34" s="19"/>
      <c r="H34" s="19">
        <v>15</v>
      </c>
      <c r="I34" s="19">
        <v>43</v>
      </c>
      <c r="J34" s="19">
        <v>34</v>
      </c>
      <c r="K34" s="19">
        <v>8</v>
      </c>
      <c r="L34" s="19">
        <v>4</v>
      </c>
      <c r="M34" s="19">
        <v>21</v>
      </c>
      <c r="N34" s="19" t="s">
        <v>613</v>
      </c>
      <c r="O34" s="19">
        <v>17</v>
      </c>
      <c r="P34" s="20">
        <v>2.69</v>
      </c>
      <c r="Q34" s="20">
        <v>7.12</v>
      </c>
      <c r="R34" s="21">
        <v>0.69599999999999995</v>
      </c>
      <c r="S34" s="21"/>
      <c r="T34" s="20"/>
      <c r="U34" s="22">
        <v>17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15</v>
      </c>
      <c r="AB34" s="22">
        <v>43</v>
      </c>
      <c r="AC34" s="22">
        <v>2</v>
      </c>
      <c r="AD34" s="22">
        <v>19</v>
      </c>
      <c r="AE34" s="22">
        <v>14</v>
      </c>
      <c r="AF34" s="22">
        <v>103</v>
      </c>
      <c r="AG34" s="22">
        <v>2</v>
      </c>
      <c r="AH34" s="23" t="s">
        <v>101</v>
      </c>
      <c r="AI34" s="24">
        <f t="shared" si="0"/>
        <v>2.8666666666666667</v>
      </c>
      <c r="AJ34" s="24">
        <f t="shared" si="1"/>
        <v>7.3571428571428568</v>
      </c>
      <c r="AK34" s="25">
        <f t="shared" si="2"/>
        <v>0.73684210526315785</v>
      </c>
      <c r="AL34" s="24" t="str">
        <f t="shared" si="3"/>
        <v/>
      </c>
      <c r="AM34" s="25" t="str">
        <f t="shared" si="4"/>
        <v/>
      </c>
      <c r="AN34" s="25">
        <f t="shared" si="5"/>
        <v>3.7009622501850484E-2</v>
      </c>
      <c r="AO34" s="25">
        <f t="shared" si="6"/>
        <v>3.2478632478632481E-2</v>
      </c>
      <c r="AP34" s="25">
        <f t="shared" si="7"/>
        <v>0</v>
      </c>
      <c r="AQ34" s="26">
        <f t="shared" si="8"/>
        <v>0.88235294117647056</v>
      </c>
      <c r="AR34" s="26">
        <f t="shared" si="9"/>
        <v>1.1176470588235294</v>
      </c>
      <c r="AS34" s="27">
        <f t="shared" si="10"/>
        <v>15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45.6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408</v>
      </c>
      <c r="V37" s="34">
        <f t="shared" si="12"/>
        <v>561</v>
      </c>
      <c r="W37" s="34">
        <f t="shared" si="12"/>
        <v>355</v>
      </c>
      <c r="X37" s="34">
        <f t="shared" si="12"/>
        <v>3791</v>
      </c>
      <c r="Y37" s="34">
        <f t="shared" si="12"/>
        <v>21</v>
      </c>
      <c r="Z37" s="34">
        <f t="shared" si="12"/>
        <v>14</v>
      </c>
      <c r="AA37" s="34">
        <f t="shared" si="12"/>
        <v>458</v>
      </c>
      <c r="AB37" s="34">
        <f t="shared" si="12"/>
        <v>1836</v>
      </c>
      <c r="AC37" s="34">
        <f t="shared" si="12"/>
        <v>14</v>
      </c>
      <c r="AD37" s="34">
        <f t="shared" si="12"/>
        <v>552</v>
      </c>
      <c r="AE37" s="34">
        <f t="shared" si="12"/>
        <v>373</v>
      </c>
      <c r="AF37" s="34">
        <f t="shared" si="12"/>
        <v>3982</v>
      </c>
      <c r="AG37" s="34">
        <f t="shared" si="12"/>
        <v>26</v>
      </c>
    </row>
    <row r="38" spans="1:47" x14ac:dyDescent="0.25">
      <c r="A38" s="5" t="s">
        <v>142</v>
      </c>
      <c r="V38" s="35">
        <f>$F$5</f>
        <v>613</v>
      </c>
      <c r="X38" s="35">
        <f>$I$5</f>
        <v>3731</v>
      </c>
      <c r="Y38" s="35">
        <f>$J$5</f>
        <v>22</v>
      </c>
      <c r="Z38" s="35">
        <f>$K$5</f>
        <v>16</v>
      </c>
      <c r="AA38" s="35">
        <f>$H$5</f>
        <v>405.29999999999995</v>
      </c>
      <c r="AB38" s="35">
        <f>$L$5</f>
        <v>1557</v>
      </c>
      <c r="AC38" s="35">
        <f>$M$5</f>
        <v>10</v>
      </c>
      <c r="AD38" s="35">
        <f>$G$5</f>
        <v>585</v>
      </c>
      <c r="AF38" s="35">
        <f>$I$5</f>
        <v>3731</v>
      </c>
      <c r="AG38" s="35">
        <f>$J$5</f>
        <v>22</v>
      </c>
    </row>
    <row r="39" spans="1:47" x14ac:dyDescent="0.25">
      <c r="A39" s="5" t="s">
        <v>143</v>
      </c>
      <c r="V39" s="36">
        <f>$F$5-V37</f>
        <v>52</v>
      </c>
      <c r="X39" s="36">
        <f>$I$5-X37</f>
        <v>-60</v>
      </c>
      <c r="Y39" s="36">
        <f>$J$5-Y37</f>
        <v>1</v>
      </c>
      <c r="Z39" s="36">
        <f>$K$5-Z37</f>
        <v>2</v>
      </c>
      <c r="AA39" s="36">
        <f>$H$5-AA37</f>
        <v>-52.700000000000045</v>
      </c>
      <c r="AB39" s="36">
        <f>$L$5-AB37</f>
        <v>-279</v>
      </c>
      <c r="AC39" s="36">
        <f>$M$5-AC37</f>
        <v>-4</v>
      </c>
      <c r="AD39" s="36">
        <f>$G$5-AD37</f>
        <v>33</v>
      </c>
      <c r="AF39" s="36">
        <f>$I$5-AF37</f>
        <v>-251</v>
      </c>
      <c r="AG39" s="36">
        <f>$J$5-AG37</f>
        <v>-4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419" priority="1" stopIfTrue="1">
      <formula>V37&gt;$F$5</formula>
    </cfRule>
    <cfRule type="expression" dxfId="418" priority="2">
      <formula>AND($F$5&gt;0,V37&lt;$F$5*0.97)</formula>
    </cfRule>
    <cfRule type="expression" dxfId="417" priority="3">
      <formula>AND($F$5&gt;0,V37&gt;=$F$5*0.97,V37&lt;=$F$5)</formula>
    </cfRule>
  </conditionalFormatting>
  <conditionalFormatting sqref="X37">
    <cfRule type="expression" dxfId="416" priority="4" stopIfTrue="1">
      <formula>X37&gt;$I$5</formula>
    </cfRule>
    <cfRule type="expression" dxfId="415" priority="5">
      <formula>AND($I$5&gt;0,X37&lt;$I$5*0.97)</formula>
    </cfRule>
    <cfRule type="expression" dxfId="414" priority="6">
      <formula>AND($I$5&gt;0,X37&gt;=$I$5*0.97,X37&lt;=$I$5)</formula>
    </cfRule>
  </conditionalFormatting>
  <conditionalFormatting sqref="Y37">
    <cfRule type="expression" dxfId="413" priority="7" stopIfTrue="1">
      <formula>Y37&gt;$J$5</formula>
    </cfRule>
    <cfRule type="expression" dxfId="412" priority="8">
      <formula>AND($J$5&gt;0,Y37&lt;$J$5*0.97)</formula>
    </cfRule>
    <cfRule type="expression" dxfId="411" priority="9">
      <formula>AND($J$5&gt;0,Y37&gt;=$J$5*0.97,Y37&lt;=$J$5)</formula>
    </cfRule>
  </conditionalFormatting>
  <conditionalFormatting sqref="Z37">
    <cfRule type="expression" dxfId="410" priority="10" stopIfTrue="1">
      <formula>Z37&gt;$K$5</formula>
    </cfRule>
    <cfRule type="expression" dxfId="409" priority="11">
      <formula>AND($K$5&gt;0,Z37&lt;$K$5*0.97)</formula>
    </cfRule>
    <cfRule type="expression" dxfId="408" priority="12">
      <formula>AND($K$5&gt;0,Z37&gt;=$K$5*0.97,Z37&lt;=$K$5)</formula>
    </cfRule>
  </conditionalFormatting>
  <conditionalFormatting sqref="AA37">
    <cfRule type="expression" dxfId="407" priority="13" stopIfTrue="1">
      <formula>AA37&gt;$H$5</formula>
    </cfRule>
    <cfRule type="expression" dxfId="406" priority="14">
      <formula>AND($H$5&gt;0,AA37&lt;$H$5*0.97)</formula>
    </cfRule>
    <cfRule type="expression" dxfId="405" priority="15">
      <formula>AND($H$5&gt;0,AA37&gt;=$H$5*0.97,AA37&lt;=$H$5)</formula>
    </cfRule>
  </conditionalFormatting>
  <conditionalFormatting sqref="AB37">
    <cfRule type="expression" dxfId="404" priority="16" stopIfTrue="1">
      <formula>AB37&gt;$L$5</formula>
    </cfRule>
    <cfRule type="expression" dxfId="403" priority="17">
      <formula>AND($L$5&gt;0,AB37&lt;$L$5*0.97)</formula>
    </cfRule>
    <cfRule type="expression" dxfId="402" priority="18">
      <formula>AND($L$5&gt;0,AB37&gt;=$L$5*0.97,AB37&lt;=$L$5)</formula>
    </cfRule>
  </conditionalFormatting>
  <conditionalFormatting sqref="AC37">
    <cfRule type="expression" dxfId="401" priority="19" stopIfTrue="1">
      <formula>AC37&gt;$M$5</formula>
    </cfRule>
    <cfRule type="expression" dxfId="400" priority="20">
      <formula>AND($M$5&gt;0,AC37&lt;$M$5*0.97)</formula>
    </cfRule>
    <cfRule type="expression" dxfId="399" priority="21">
      <formula>AND($M$5&gt;0,AC37&gt;=$M$5*0.97,AC37&lt;=$M$5)</formula>
    </cfRule>
  </conditionalFormatting>
  <conditionalFormatting sqref="AD37">
    <cfRule type="expression" dxfId="398" priority="22" stopIfTrue="1">
      <formula>AD37&gt;$G$5</formula>
    </cfRule>
    <cfRule type="expression" dxfId="397" priority="23">
      <formula>AND($G$5&gt;0,AD37&lt;$G$5*0.97)</formula>
    </cfRule>
    <cfRule type="expression" dxfId="396" priority="24">
      <formula>AND($G$5&gt;0,AD37&gt;=$G$5*0.97,AD37&lt;=$G$5)</formula>
    </cfRule>
  </conditionalFormatting>
  <conditionalFormatting sqref="AF37">
    <cfRule type="expression" dxfId="395" priority="25" stopIfTrue="1">
      <formula>AF37&gt;$I$5</formula>
    </cfRule>
    <cfRule type="expression" dxfId="394" priority="26">
      <formula>AND($I$5&gt;0,AF37&lt;$I$5*0.97)</formula>
    </cfRule>
    <cfRule type="expression" dxfId="393" priority="27">
      <formula>AND($I$5&gt;0,AF37&gt;=$I$5*0.97,AF37&lt;=$I$5)</formula>
    </cfRule>
  </conditionalFormatting>
  <conditionalFormatting sqref="AG37">
    <cfRule type="expression" dxfId="392" priority="28" stopIfTrue="1">
      <formula>AG37&gt;$J$5</formula>
    </cfRule>
    <cfRule type="expression" dxfId="391" priority="29">
      <formula>AND($J$5&gt;0,AG37&lt;$J$5*0.97)</formula>
    </cfRule>
    <cfRule type="expression" dxfId="390" priority="30">
      <formula>AND($J$5&gt;0,AG37&gt;=$J$5*0.97,AG37&lt;=$J$5)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614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60.4</v>
      </c>
      <c r="D5" s="10">
        <f>C5*B5</f>
        <v>1026.8</v>
      </c>
      <c r="E5" s="11">
        <v>0.56269999999999998</v>
      </c>
      <c r="F5" s="10">
        <f>ROUND(D5*E5,0)</f>
        <v>578</v>
      </c>
      <c r="G5" s="10">
        <f>ROUND(F5*Settings!$B$4,0)</f>
        <v>551</v>
      </c>
      <c r="H5" s="10">
        <f>D5-F5</f>
        <v>448.79999999999995</v>
      </c>
      <c r="I5" s="8">
        <v>3846</v>
      </c>
      <c r="J5" s="9">
        <v>25</v>
      </c>
      <c r="K5" s="9">
        <v>14</v>
      </c>
      <c r="L5" s="8">
        <v>2019</v>
      </c>
      <c r="M5" s="9">
        <v>16</v>
      </c>
    </row>
    <row r="7" spans="1:47" x14ac:dyDescent="0.25">
      <c r="A7" s="5" t="s">
        <v>54</v>
      </c>
      <c r="B7" s="12" t="s">
        <v>615</v>
      </c>
    </row>
    <row r="8" spans="1:47" x14ac:dyDescent="0.25">
      <c r="A8" s="5" t="s">
        <v>56</v>
      </c>
      <c r="B8" s="13" t="s">
        <v>616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617</v>
      </c>
      <c r="C11" s="17">
        <v>1</v>
      </c>
      <c r="D11" s="17" t="s">
        <v>158</v>
      </c>
      <c r="E11" s="18" t="s">
        <v>99</v>
      </c>
      <c r="F11" s="19">
        <v>5</v>
      </c>
      <c r="G11" s="19">
        <v>16</v>
      </c>
      <c r="H11" s="19">
        <v>18</v>
      </c>
      <c r="I11" s="19">
        <v>123</v>
      </c>
      <c r="J11" s="19"/>
      <c r="K11" s="19"/>
      <c r="L11" s="19"/>
      <c r="M11" s="19"/>
      <c r="N11" s="19" t="s">
        <v>418</v>
      </c>
      <c r="O11" s="19">
        <v>4</v>
      </c>
      <c r="P11" s="20">
        <v>7.23</v>
      </c>
      <c r="Q11" s="20"/>
      <c r="R11" s="21"/>
      <c r="S11" s="21">
        <v>0.78700000000000003</v>
      </c>
      <c r="T11" s="20">
        <v>11.13</v>
      </c>
      <c r="U11" s="22">
        <v>17</v>
      </c>
      <c r="V11" s="22">
        <v>466</v>
      </c>
      <c r="W11" s="22">
        <v>301</v>
      </c>
      <c r="X11" s="22">
        <v>3206</v>
      </c>
      <c r="Y11" s="22">
        <v>17</v>
      </c>
      <c r="Z11" s="22">
        <v>11</v>
      </c>
      <c r="AA11" s="22">
        <v>110</v>
      </c>
      <c r="AB11" s="22">
        <v>591</v>
      </c>
      <c r="AC11" s="22">
        <v>4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5.372727272727273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6.8798283261802577</v>
      </c>
      <c r="AM11" s="25">
        <f t="shared" ref="AM11:AM35" si="4">IFERROR(W11/V11,"")</f>
        <v>0.64592274678111583</v>
      </c>
      <c r="AN11" s="25">
        <f t="shared" ref="AN11:AN35" si="5">IFERROR(AA11/$H$5,"")</f>
        <v>0.24509803921568629</v>
      </c>
      <c r="AO11" s="25">
        <f t="shared" ref="AO11:AO35" si="6">IFERROR(AD11/$G$5,"")</f>
        <v>0</v>
      </c>
      <c r="AP11" s="25">
        <f t="shared" ref="AP11:AP35" si="7">IFERROR(V11/$F$5,"")</f>
        <v>0.80622837370242217</v>
      </c>
      <c r="AQ11" s="26">
        <f t="shared" ref="AQ11:AQ35" si="8">IFERROR(AA11/U11,"")</f>
        <v>6.4705882352941178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92</v>
      </c>
      <c r="AU11" s="28">
        <f>AF11*Settings!$B$7+AG11*Settings!$B$8+AE11*Settings!$B$9+AB11*Settings!$B$10+AC11*Settings!$B$11+X11*Settings!$B$12+Y11*Settings!$B$13+Z11*Settings!$B$14</f>
        <v>257.34000000000003</v>
      </c>
    </row>
    <row r="12" spans="1:47" x14ac:dyDescent="0.25">
      <c r="A12" s="15" t="s">
        <v>96</v>
      </c>
      <c r="B12" s="16" t="s">
        <v>618</v>
      </c>
      <c r="C12" s="17">
        <v>2</v>
      </c>
      <c r="D12" s="17" t="s">
        <v>103</v>
      </c>
      <c r="E12" s="18" t="s">
        <v>99</v>
      </c>
      <c r="F12" s="19"/>
      <c r="G12" s="19"/>
      <c r="H12" s="19">
        <v>6</v>
      </c>
      <c r="I12" s="19">
        <v>19</v>
      </c>
      <c r="J12" s="19"/>
      <c r="K12" s="19"/>
      <c r="L12" s="19">
        <v>1</v>
      </c>
      <c r="M12" s="19" t="s">
        <v>619</v>
      </c>
      <c r="N12" s="19" t="s">
        <v>150</v>
      </c>
      <c r="O12" s="19">
        <v>4</v>
      </c>
      <c r="P12" s="20">
        <v>3.17</v>
      </c>
      <c r="Q12" s="20">
        <v>-6</v>
      </c>
      <c r="R12" s="21">
        <v>1</v>
      </c>
      <c r="S12" s="21">
        <v>0.66300000000000003</v>
      </c>
      <c r="T12" s="20">
        <v>7.49</v>
      </c>
      <c r="U12" s="22">
        <v>17</v>
      </c>
      <c r="V12" s="22">
        <v>34</v>
      </c>
      <c r="W12" s="22">
        <v>21</v>
      </c>
      <c r="X12" s="22">
        <v>215</v>
      </c>
      <c r="Y12" s="22">
        <v>1</v>
      </c>
      <c r="Z12" s="22">
        <v>1</v>
      </c>
      <c r="AA12" s="22">
        <v>3</v>
      </c>
      <c r="AB12" s="22">
        <v>11</v>
      </c>
      <c r="AC12" s="22">
        <v>0</v>
      </c>
      <c r="AD12" s="22">
        <v>1</v>
      </c>
      <c r="AE12" s="22">
        <v>1</v>
      </c>
      <c r="AF12" s="22">
        <v>-6</v>
      </c>
      <c r="AG12" s="22">
        <v>0</v>
      </c>
      <c r="AH12" s="23" t="s">
        <v>101</v>
      </c>
      <c r="AI12" s="24">
        <f t="shared" si="0"/>
        <v>3.6666666666666665</v>
      </c>
      <c r="AJ12" s="24">
        <f t="shared" si="1"/>
        <v>-6</v>
      </c>
      <c r="AK12" s="25">
        <f t="shared" si="2"/>
        <v>1</v>
      </c>
      <c r="AL12" s="24">
        <f t="shared" si="3"/>
        <v>6.3235294117647056</v>
      </c>
      <c r="AM12" s="25">
        <f t="shared" si="4"/>
        <v>0.61764705882352944</v>
      </c>
      <c r="AN12" s="25">
        <f t="shared" si="5"/>
        <v>6.6844919786096264E-3</v>
      </c>
      <c r="AO12" s="25">
        <f t="shared" si="6"/>
        <v>1.8148820326678765E-3</v>
      </c>
      <c r="AP12" s="25">
        <f t="shared" si="7"/>
        <v>5.8823529411764705E-2</v>
      </c>
      <c r="AQ12" s="26">
        <f t="shared" si="8"/>
        <v>0.17647058823529413</v>
      </c>
      <c r="AR12" s="26">
        <f t="shared" si="9"/>
        <v>5.8823529411764705E-2</v>
      </c>
      <c r="AS12" s="27">
        <f t="shared" si="10"/>
        <v>0</v>
      </c>
      <c r="AT12" s="27">
        <f t="shared" si="11"/>
        <v>-3</v>
      </c>
      <c r="AU12" s="28">
        <f>AF12*Settings!$B$7+AG12*Settings!$B$8+AE12*Settings!$B$9+AB12*Settings!$B$10+AC12*Settings!$B$11+X12*Settings!$B$12+Y12*Settings!$B$13+Z12*Settings!$B$14</f>
        <v>11.6</v>
      </c>
    </row>
    <row r="13" spans="1:47" x14ac:dyDescent="0.25">
      <c r="A13" s="15" t="s">
        <v>96</v>
      </c>
      <c r="B13" s="16" t="s">
        <v>620</v>
      </c>
      <c r="C13" s="17">
        <v>3</v>
      </c>
      <c r="D13" s="17" t="s">
        <v>105</v>
      </c>
      <c r="E13" s="18" t="s">
        <v>99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1"/>
      <c r="S13" s="21"/>
      <c r="T13" s="20"/>
      <c r="U13" s="22">
        <v>17</v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33"/>
      <c r="AI13" s="24" t="str">
        <f t="shared" si="0"/>
        <v/>
      </c>
      <c r="AJ13" s="24" t="str">
        <f t="shared" si="1"/>
        <v/>
      </c>
      <c r="AK13" s="25" t="str">
        <f t="shared" si="2"/>
        <v/>
      </c>
      <c r="AL13" s="24" t="str">
        <f t="shared" si="3"/>
        <v/>
      </c>
      <c r="AM13" s="25" t="str">
        <f t="shared" si="4"/>
        <v/>
      </c>
      <c r="AN13" s="25">
        <f t="shared" si="5"/>
        <v>0</v>
      </c>
      <c r="AO13" s="25">
        <f t="shared" si="6"/>
        <v>0</v>
      </c>
      <c r="AP13" s="25">
        <f t="shared" si="7"/>
        <v>0</v>
      </c>
      <c r="AQ13" s="26">
        <f t="shared" si="8"/>
        <v>0</v>
      </c>
      <c r="AR13" s="26">
        <f t="shared" si="9"/>
        <v>0</v>
      </c>
      <c r="AS13" s="27">
        <f t="shared" si="10"/>
        <v>0</v>
      </c>
      <c r="AT13" s="27">
        <f t="shared" si="11"/>
        <v>0</v>
      </c>
      <c r="AU13" s="28">
        <f>AF13*Settings!$B$7+AG13*Settings!$B$8+AE13*Settings!$B$9+AB13*Settings!$B$10+AC13*Settings!$B$11+X13*Settings!$B$12+Y13*Settings!$B$13+Z13*Settings!$B$14</f>
        <v>0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621</v>
      </c>
      <c r="C15" s="17">
        <v>1</v>
      </c>
      <c r="D15" s="17" t="s">
        <v>118</v>
      </c>
      <c r="E15" s="18" t="s">
        <v>99</v>
      </c>
      <c r="F15" s="19">
        <v>103</v>
      </c>
      <c r="G15" s="19">
        <v>203</v>
      </c>
      <c r="H15" s="19">
        <v>238</v>
      </c>
      <c r="I15" s="19">
        <v>1350</v>
      </c>
      <c r="J15" s="19">
        <v>37</v>
      </c>
      <c r="K15" s="19">
        <v>87</v>
      </c>
      <c r="L15" s="19">
        <v>85</v>
      </c>
      <c r="M15" s="19">
        <v>488</v>
      </c>
      <c r="N15" s="19" t="s">
        <v>150</v>
      </c>
      <c r="O15" s="19">
        <v>16</v>
      </c>
      <c r="P15" s="20">
        <v>5.62</v>
      </c>
      <c r="Q15" s="20">
        <v>7.42</v>
      </c>
      <c r="R15" s="21">
        <v>0.82299999999999995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231</v>
      </c>
      <c r="AB15" s="22">
        <v>1135</v>
      </c>
      <c r="AC15" s="22">
        <v>6</v>
      </c>
      <c r="AD15" s="22">
        <v>80</v>
      </c>
      <c r="AE15" s="22">
        <v>62</v>
      </c>
      <c r="AF15" s="22">
        <v>457</v>
      </c>
      <c r="AG15" s="22">
        <v>3</v>
      </c>
      <c r="AH15" s="23" t="s">
        <v>101</v>
      </c>
      <c r="AI15" s="24">
        <f t="shared" si="0"/>
        <v>4.9134199134199132</v>
      </c>
      <c r="AJ15" s="24">
        <f t="shared" si="1"/>
        <v>7.370967741935484</v>
      </c>
      <c r="AK15" s="25">
        <f t="shared" si="2"/>
        <v>0.77500000000000002</v>
      </c>
      <c r="AL15" s="24" t="str">
        <f t="shared" si="3"/>
        <v/>
      </c>
      <c r="AM15" s="25" t="str">
        <f t="shared" si="4"/>
        <v/>
      </c>
      <c r="AN15" s="25">
        <f t="shared" si="5"/>
        <v>0.51470588235294124</v>
      </c>
      <c r="AO15" s="25">
        <f t="shared" si="6"/>
        <v>0.14519056261343014</v>
      </c>
      <c r="AP15" s="25">
        <f t="shared" si="7"/>
        <v>0</v>
      </c>
      <c r="AQ15" s="26">
        <f t="shared" si="8"/>
        <v>13.588235294117647</v>
      </c>
      <c r="AR15" s="26">
        <f t="shared" si="9"/>
        <v>4.7058823529411766</v>
      </c>
      <c r="AS15" s="27">
        <f t="shared" si="10"/>
        <v>-5</v>
      </c>
      <c r="AT15" s="27">
        <f t="shared" si="11"/>
        <v>-7</v>
      </c>
      <c r="AU15" s="28">
        <f>AF15*Settings!$B$7+AG15*Settings!$B$8+AE15*Settings!$B$9+AB15*Settings!$B$10+AC15*Settings!$B$11+X15*Settings!$B$12+Y15*Settings!$B$13+Z15*Settings!$B$14</f>
        <v>244.2</v>
      </c>
    </row>
    <row r="16" spans="1:47" x14ac:dyDescent="0.25">
      <c r="A16" s="15" t="s">
        <v>107</v>
      </c>
      <c r="B16" s="16" t="s">
        <v>622</v>
      </c>
      <c r="C16" s="17">
        <v>2</v>
      </c>
      <c r="D16" s="17" t="s">
        <v>103</v>
      </c>
      <c r="E16" s="18" t="s">
        <v>99</v>
      </c>
      <c r="F16" s="19"/>
      <c r="G16" s="19">
        <v>68</v>
      </c>
      <c r="H16" s="19">
        <v>70</v>
      </c>
      <c r="I16" s="19">
        <v>288</v>
      </c>
      <c r="J16" s="19"/>
      <c r="K16" s="19">
        <v>6</v>
      </c>
      <c r="L16" s="19">
        <v>9</v>
      </c>
      <c r="M16" s="19">
        <v>44</v>
      </c>
      <c r="N16" s="19" t="s">
        <v>150</v>
      </c>
      <c r="O16" s="19">
        <v>10</v>
      </c>
      <c r="P16" s="20">
        <v>3.89</v>
      </c>
      <c r="Q16" s="20">
        <v>6.5</v>
      </c>
      <c r="R16" s="21">
        <v>0.53300000000000003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72</v>
      </c>
      <c r="AB16" s="22">
        <v>285</v>
      </c>
      <c r="AC16" s="22">
        <v>2</v>
      </c>
      <c r="AD16" s="22">
        <v>11</v>
      </c>
      <c r="AE16" s="22">
        <v>7</v>
      </c>
      <c r="AF16" s="22">
        <v>57</v>
      </c>
      <c r="AG16" s="22">
        <v>0</v>
      </c>
      <c r="AH16" s="23" t="s">
        <v>101</v>
      </c>
      <c r="AI16" s="24">
        <f t="shared" si="0"/>
        <v>3.9583333333333335</v>
      </c>
      <c r="AJ16" s="24">
        <f t="shared" si="1"/>
        <v>8.1428571428571423</v>
      </c>
      <c r="AK16" s="25">
        <f t="shared" si="2"/>
        <v>0.63636363636363635</v>
      </c>
      <c r="AL16" s="24" t="str">
        <f t="shared" si="3"/>
        <v/>
      </c>
      <c r="AM16" s="25" t="str">
        <f t="shared" si="4"/>
        <v/>
      </c>
      <c r="AN16" s="25">
        <f t="shared" si="5"/>
        <v>0.16042780748663102</v>
      </c>
      <c r="AO16" s="25">
        <f t="shared" si="6"/>
        <v>1.9963702359346643E-2</v>
      </c>
      <c r="AP16" s="25">
        <f t="shared" si="7"/>
        <v>0</v>
      </c>
      <c r="AQ16" s="26">
        <f t="shared" si="8"/>
        <v>4.2352941176470589</v>
      </c>
      <c r="AR16" s="26">
        <f t="shared" si="9"/>
        <v>0.6470588235294118</v>
      </c>
      <c r="AS16" s="27">
        <f t="shared" si="10"/>
        <v>2</v>
      </c>
      <c r="AT16" s="27">
        <f t="shared" si="11"/>
        <v>2</v>
      </c>
      <c r="AU16" s="28">
        <f>AF16*Settings!$B$7+AG16*Settings!$B$8+AE16*Settings!$B$9+AB16*Settings!$B$10+AC16*Settings!$B$11+X16*Settings!$B$12+Y16*Settings!$B$13+Z16*Settings!$B$14</f>
        <v>49.7</v>
      </c>
    </row>
    <row r="17" spans="1:47" x14ac:dyDescent="0.25">
      <c r="A17" s="15" t="s">
        <v>107</v>
      </c>
      <c r="B17" s="16" t="s">
        <v>623</v>
      </c>
      <c r="C17" s="17">
        <v>3</v>
      </c>
      <c r="D17" s="17" t="s">
        <v>128</v>
      </c>
      <c r="E17" s="18" t="s">
        <v>99</v>
      </c>
      <c r="F17" s="19"/>
      <c r="G17" s="19"/>
      <c r="H17" s="19">
        <v>70</v>
      </c>
      <c r="I17" s="19">
        <v>199</v>
      </c>
      <c r="J17" s="19"/>
      <c r="K17" s="19"/>
      <c r="L17" s="19">
        <v>9</v>
      </c>
      <c r="M17" s="19">
        <v>32</v>
      </c>
      <c r="N17" s="19" t="s">
        <v>150</v>
      </c>
      <c r="O17" s="19">
        <v>17</v>
      </c>
      <c r="P17" s="20">
        <v>2.84</v>
      </c>
      <c r="Q17" s="20">
        <v>4.57</v>
      </c>
      <c r="R17" s="21">
        <v>0.77800000000000002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49</v>
      </c>
      <c r="AB17" s="22">
        <v>186</v>
      </c>
      <c r="AC17" s="22">
        <v>1</v>
      </c>
      <c r="AD17" s="22">
        <v>7</v>
      </c>
      <c r="AE17" s="22">
        <v>6</v>
      </c>
      <c r="AF17" s="22">
        <v>37</v>
      </c>
      <c r="AG17" s="22">
        <v>0</v>
      </c>
      <c r="AH17" s="23" t="s">
        <v>101</v>
      </c>
      <c r="AI17" s="24">
        <f t="shared" si="0"/>
        <v>3.795918367346939</v>
      </c>
      <c r="AJ17" s="24">
        <f t="shared" si="1"/>
        <v>6.166666666666667</v>
      </c>
      <c r="AK17" s="25">
        <f t="shared" si="2"/>
        <v>0.8571428571428571</v>
      </c>
      <c r="AL17" s="24" t="str">
        <f t="shared" si="3"/>
        <v/>
      </c>
      <c r="AM17" s="25" t="str">
        <f t="shared" si="4"/>
        <v/>
      </c>
      <c r="AN17" s="25">
        <f t="shared" si="5"/>
        <v>0.1091800356506239</v>
      </c>
      <c r="AO17" s="25">
        <f t="shared" si="6"/>
        <v>1.2704174228675136E-2</v>
      </c>
      <c r="AP17" s="25">
        <f t="shared" si="7"/>
        <v>0</v>
      </c>
      <c r="AQ17" s="26">
        <f t="shared" si="8"/>
        <v>2.8823529411764706</v>
      </c>
      <c r="AR17" s="26">
        <f t="shared" si="9"/>
        <v>0.41176470588235292</v>
      </c>
      <c r="AS17" s="27">
        <f t="shared" si="10"/>
        <v>-2</v>
      </c>
      <c r="AT17" s="27">
        <f t="shared" si="11"/>
        <v>-21</v>
      </c>
      <c r="AU17" s="28">
        <f>AF17*Settings!$B$7+AG17*Settings!$B$8+AE17*Settings!$B$9+AB17*Settings!$B$10+AC17*Settings!$B$11+X17*Settings!$B$12+Y17*Settings!$B$13+Z17*Settings!$B$14</f>
        <v>31.3</v>
      </c>
    </row>
    <row r="18" spans="1:47" x14ac:dyDescent="0.25">
      <c r="A18" s="15" t="s">
        <v>107</v>
      </c>
      <c r="B18" s="16" t="s">
        <v>624</v>
      </c>
      <c r="C18" s="17">
        <v>4</v>
      </c>
      <c r="D18" s="17" t="s">
        <v>158</v>
      </c>
      <c r="E18" s="18" t="s">
        <v>99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0"/>
      <c r="Q18" s="20"/>
      <c r="R18" s="21"/>
      <c r="S18" s="21"/>
      <c r="T18" s="20"/>
      <c r="U18" s="22">
        <v>17</v>
      </c>
      <c r="V18" s="22"/>
      <c r="W18" s="22"/>
      <c r="X18" s="22"/>
      <c r="Y18" s="22"/>
      <c r="Z18" s="22"/>
      <c r="AA18" s="22">
        <v>21</v>
      </c>
      <c r="AB18" s="22">
        <v>87</v>
      </c>
      <c r="AC18" s="22">
        <v>1</v>
      </c>
      <c r="AD18" s="22">
        <v>2</v>
      </c>
      <c r="AE18" s="22">
        <v>1</v>
      </c>
      <c r="AF18" s="22">
        <v>13</v>
      </c>
      <c r="AG18" s="22">
        <v>0</v>
      </c>
      <c r="AH18" s="23" t="s">
        <v>101</v>
      </c>
      <c r="AI18" s="24">
        <f t="shared" si="0"/>
        <v>4.1428571428571432</v>
      </c>
      <c r="AJ18" s="24">
        <f t="shared" si="1"/>
        <v>13</v>
      </c>
      <c r="AK18" s="25">
        <f t="shared" si="2"/>
        <v>0.5</v>
      </c>
      <c r="AL18" s="24" t="str">
        <f t="shared" si="3"/>
        <v/>
      </c>
      <c r="AM18" s="25" t="str">
        <f t="shared" si="4"/>
        <v/>
      </c>
      <c r="AN18" s="25">
        <f t="shared" si="5"/>
        <v>4.6791443850267386E-2</v>
      </c>
      <c r="AO18" s="25">
        <f t="shared" si="6"/>
        <v>3.629764065335753E-3</v>
      </c>
      <c r="AP18" s="25">
        <f t="shared" si="7"/>
        <v>0</v>
      </c>
      <c r="AQ18" s="26">
        <f t="shared" si="8"/>
        <v>1.2352941176470589</v>
      </c>
      <c r="AR18" s="26">
        <f t="shared" si="9"/>
        <v>0.11764705882352941</v>
      </c>
      <c r="AS18" s="27">
        <f t="shared" si="10"/>
        <v>2</v>
      </c>
      <c r="AT18" s="27">
        <f t="shared" si="11"/>
        <v>21</v>
      </c>
      <c r="AU18" s="28">
        <f>AF18*Settings!$B$7+AG18*Settings!$B$8+AE18*Settings!$B$9+AB18*Settings!$B$10+AC18*Settings!$B$11+X18*Settings!$B$12+Y18*Settings!$B$13+Z18*Settings!$B$14</f>
        <v>16.5</v>
      </c>
    </row>
    <row r="19" spans="1:47" x14ac:dyDescent="0.25">
      <c r="A19" s="15" t="s">
        <v>107</v>
      </c>
      <c r="B19" s="16" t="s">
        <v>625</v>
      </c>
      <c r="C19" s="17">
        <v>5</v>
      </c>
      <c r="D19" s="17" t="s">
        <v>103</v>
      </c>
      <c r="E19" s="18" t="s">
        <v>99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1"/>
      <c r="S19" s="21"/>
      <c r="T19" s="20"/>
      <c r="U19" s="22">
        <v>17</v>
      </c>
      <c r="V19" s="22"/>
      <c r="W19" s="22"/>
      <c r="X19" s="22"/>
      <c r="Y19" s="22"/>
      <c r="Z19" s="22"/>
      <c r="AA19" s="22">
        <v>18</v>
      </c>
      <c r="AB19" s="22">
        <v>72</v>
      </c>
      <c r="AC19" s="22">
        <v>0</v>
      </c>
      <c r="AD19" s="22">
        <v>1</v>
      </c>
      <c r="AE19" s="22">
        <v>1</v>
      </c>
      <c r="AF19" s="22">
        <v>10</v>
      </c>
      <c r="AG19" s="22">
        <v>0</v>
      </c>
      <c r="AH19" s="23" t="s">
        <v>101</v>
      </c>
      <c r="AI19" s="24">
        <f t="shared" si="0"/>
        <v>4</v>
      </c>
      <c r="AJ19" s="24">
        <f t="shared" si="1"/>
        <v>10</v>
      </c>
      <c r="AK19" s="25">
        <f t="shared" si="2"/>
        <v>1</v>
      </c>
      <c r="AL19" s="24" t="str">
        <f t="shared" si="3"/>
        <v/>
      </c>
      <c r="AM19" s="25" t="str">
        <f t="shared" si="4"/>
        <v/>
      </c>
      <c r="AN19" s="25">
        <f t="shared" si="5"/>
        <v>4.0106951871657755E-2</v>
      </c>
      <c r="AO19" s="25">
        <f t="shared" si="6"/>
        <v>1.8148820326678765E-3</v>
      </c>
      <c r="AP19" s="25">
        <f t="shared" si="7"/>
        <v>0</v>
      </c>
      <c r="AQ19" s="26">
        <f t="shared" si="8"/>
        <v>1.0588235294117647</v>
      </c>
      <c r="AR19" s="26">
        <f t="shared" si="9"/>
        <v>5.8823529411764705E-2</v>
      </c>
      <c r="AS19" s="27">
        <f t="shared" si="10"/>
        <v>1</v>
      </c>
      <c r="AT19" s="27">
        <f t="shared" si="11"/>
        <v>18</v>
      </c>
      <c r="AU19" s="28">
        <f>AF19*Settings!$B$7+AG19*Settings!$B$8+AE19*Settings!$B$9+AB19*Settings!$B$10+AC19*Settings!$B$11+X19*Settings!$B$12+Y19*Settings!$B$13+Z19*Settings!$B$14</f>
        <v>8.6999999999999993</v>
      </c>
    </row>
    <row r="20" spans="1:47" x14ac:dyDescent="0.25">
      <c r="A20" s="15" t="s">
        <v>107</v>
      </c>
      <c r="B20" s="16" t="s">
        <v>626</v>
      </c>
      <c r="C20" s="17">
        <v>6</v>
      </c>
      <c r="D20" s="17" t="s">
        <v>128</v>
      </c>
      <c r="E20" s="18" t="s">
        <v>99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1"/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627</v>
      </c>
      <c r="C22" s="17">
        <v>1</v>
      </c>
      <c r="D22" s="17" t="s">
        <v>105</v>
      </c>
      <c r="E22" s="18" t="s">
        <v>99</v>
      </c>
      <c r="F22" s="19"/>
      <c r="G22" s="19"/>
      <c r="H22" s="19"/>
      <c r="I22" s="19"/>
      <c r="J22" s="19"/>
      <c r="K22" s="19"/>
      <c r="L22" s="19">
        <v>10</v>
      </c>
      <c r="M22" s="19">
        <v>139</v>
      </c>
      <c r="N22" s="19" t="s">
        <v>150</v>
      </c>
      <c r="O22" s="19">
        <v>3</v>
      </c>
      <c r="P22" s="20"/>
      <c r="Q22" s="20">
        <v>23.17</v>
      </c>
      <c r="R22" s="21">
        <v>0.6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1</v>
      </c>
      <c r="AB22" s="22">
        <v>2</v>
      </c>
      <c r="AC22" s="22">
        <v>0</v>
      </c>
      <c r="AD22" s="22">
        <v>31</v>
      </c>
      <c r="AE22" s="22">
        <v>18</v>
      </c>
      <c r="AF22" s="22">
        <v>251</v>
      </c>
      <c r="AG22" s="22">
        <v>2</v>
      </c>
      <c r="AH22" s="23" t="s">
        <v>101</v>
      </c>
      <c r="AI22" s="24">
        <f t="shared" si="0"/>
        <v>2</v>
      </c>
      <c r="AJ22" s="24">
        <f t="shared" si="1"/>
        <v>13.944444444444445</v>
      </c>
      <c r="AK22" s="25">
        <f t="shared" si="2"/>
        <v>0.58064516129032262</v>
      </c>
      <c r="AL22" s="24" t="str">
        <f t="shared" si="3"/>
        <v/>
      </c>
      <c r="AM22" s="25" t="str">
        <f t="shared" si="4"/>
        <v/>
      </c>
      <c r="AN22" s="25">
        <f t="shared" si="5"/>
        <v>2.2281639928698753E-3</v>
      </c>
      <c r="AO22" s="25">
        <f t="shared" si="6"/>
        <v>5.6261343012704176E-2</v>
      </c>
      <c r="AP22" s="25">
        <f t="shared" si="7"/>
        <v>0</v>
      </c>
      <c r="AQ22" s="26">
        <f t="shared" si="8"/>
        <v>5.8823529411764705E-2</v>
      </c>
      <c r="AR22" s="26">
        <f t="shared" si="9"/>
        <v>1.8235294117647058</v>
      </c>
      <c r="AS22" s="27">
        <f t="shared" si="10"/>
        <v>21</v>
      </c>
      <c r="AT22" s="27">
        <f t="shared" si="11"/>
        <v>1</v>
      </c>
      <c r="AU22" s="28">
        <f>AF22*Settings!$B$7+AG22*Settings!$B$8+AE22*Settings!$B$9+AB22*Settings!$B$10+AC22*Settings!$B$11+X22*Settings!$B$12+Y22*Settings!$B$13+Z22*Settings!$B$14</f>
        <v>46.300000000000004</v>
      </c>
    </row>
    <row r="23" spans="1:47" x14ac:dyDescent="0.25">
      <c r="A23" s="15" t="s">
        <v>121</v>
      </c>
      <c r="B23" s="16" t="s">
        <v>628</v>
      </c>
      <c r="C23" s="17">
        <v>2</v>
      </c>
      <c r="D23" s="17" t="s">
        <v>105</v>
      </c>
      <c r="E23" s="18" t="s">
        <v>99</v>
      </c>
      <c r="F23" s="19"/>
      <c r="G23" s="19">
        <v>5</v>
      </c>
      <c r="H23" s="19">
        <v>17</v>
      </c>
      <c r="I23" s="19">
        <v>110</v>
      </c>
      <c r="J23" s="19"/>
      <c r="K23" s="19">
        <v>36</v>
      </c>
      <c r="L23" s="19">
        <v>65</v>
      </c>
      <c r="M23" s="19">
        <v>317</v>
      </c>
      <c r="N23" s="19" t="s">
        <v>150</v>
      </c>
      <c r="O23" s="19">
        <v>17</v>
      </c>
      <c r="P23" s="20">
        <v>6.14</v>
      </c>
      <c r="Q23" s="20">
        <v>7.5</v>
      </c>
      <c r="R23" s="21">
        <v>0.71299999999999997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11</v>
      </c>
      <c r="AB23" s="22">
        <v>63</v>
      </c>
      <c r="AC23" s="22">
        <v>0</v>
      </c>
      <c r="AD23" s="22">
        <v>63</v>
      </c>
      <c r="AE23" s="22">
        <v>44</v>
      </c>
      <c r="AF23" s="22">
        <v>407</v>
      </c>
      <c r="AG23" s="22">
        <v>2</v>
      </c>
      <c r="AH23" s="23" t="s">
        <v>101</v>
      </c>
      <c r="AI23" s="24">
        <f t="shared" si="0"/>
        <v>5.7272727272727275</v>
      </c>
      <c r="AJ23" s="24">
        <f t="shared" si="1"/>
        <v>9.25</v>
      </c>
      <c r="AK23" s="25">
        <f t="shared" si="2"/>
        <v>0.69841269841269837</v>
      </c>
      <c r="AL23" s="24" t="str">
        <f t="shared" si="3"/>
        <v/>
      </c>
      <c r="AM23" s="25" t="str">
        <f t="shared" si="4"/>
        <v/>
      </c>
      <c r="AN23" s="25">
        <f t="shared" si="5"/>
        <v>2.4509803921568631E-2</v>
      </c>
      <c r="AO23" s="25">
        <f t="shared" si="6"/>
        <v>0.11433756805807622</v>
      </c>
      <c r="AP23" s="25">
        <f t="shared" si="7"/>
        <v>0</v>
      </c>
      <c r="AQ23" s="26">
        <f t="shared" si="8"/>
        <v>0.6470588235294118</v>
      </c>
      <c r="AR23" s="26">
        <f t="shared" si="9"/>
        <v>3.7058823529411766</v>
      </c>
      <c r="AS23" s="27">
        <f t="shared" si="10"/>
        <v>-2</v>
      </c>
      <c r="AT23" s="27">
        <f t="shared" si="11"/>
        <v>-6</v>
      </c>
      <c r="AU23" s="28">
        <f>AF23*Settings!$B$7+AG23*Settings!$B$8+AE23*Settings!$B$9+AB23*Settings!$B$10+AC23*Settings!$B$11+X23*Settings!$B$12+Y23*Settings!$B$13+Z23*Settings!$B$14</f>
        <v>81</v>
      </c>
    </row>
    <row r="24" spans="1:47" x14ac:dyDescent="0.25">
      <c r="A24" s="15" t="s">
        <v>121</v>
      </c>
      <c r="B24" s="16" t="s">
        <v>629</v>
      </c>
      <c r="C24" s="17">
        <v>3</v>
      </c>
      <c r="D24" s="17" t="s">
        <v>128</v>
      </c>
      <c r="E24" s="18" t="s">
        <v>99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20"/>
      <c r="R24" s="21"/>
      <c r="S24" s="21"/>
      <c r="T24" s="20"/>
      <c r="U24" s="22">
        <v>17</v>
      </c>
      <c r="V24" s="22"/>
      <c r="W24" s="22"/>
      <c r="X24" s="22"/>
      <c r="Y24" s="22"/>
      <c r="Z24" s="22"/>
      <c r="AA24" s="22">
        <v>1</v>
      </c>
      <c r="AB24" s="22">
        <v>2</v>
      </c>
      <c r="AC24" s="22">
        <v>0</v>
      </c>
      <c r="AD24" s="22">
        <v>44</v>
      </c>
      <c r="AE24" s="22">
        <v>29</v>
      </c>
      <c r="AF24" s="22">
        <v>373</v>
      </c>
      <c r="AG24" s="22">
        <v>2</v>
      </c>
      <c r="AH24" s="23" t="s">
        <v>101</v>
      </c>
      <c r="AI24" s="24">
        <f t="shared" si="0"/>
        <v>2</v>
      </c>
      <c r="AJ24" s="24">
        <f t="shared" si="1"/>
        <v>12.862068965517242</v>
      </c>
      <c r="AK24" s="25">
        <f t="shared" si="2"/>
        <v>0.65909090909090906</v>
      </c>
      <c r="AL24" s="24" t="str">
        <f t="shared" si="3"/>
        <v/>
      </c>
      <c r="AM24" s="25" t="str">
        <f t="shared" si="4"/>
        <v/>
      </c>
      <c r="AN24" s="25">
        <f t="shared" si="5"/>
        <v>2.2281639928698753E-3</v>
      </c>
      <c r="AO24" s="25">
        <f t="shared" si="6"/>
        <v>7.985480943738657E-2</v>
      </c>
      <c r="AP24" s="25">
        <f t="shared" si="7"/>
        <v>0</v>
      </c>
      <c r="AQ24" s="26">
        <f t="shared" si="8"/>
        <v>5.8823529411764705E-2</v>
      </c>
      <c r="AR24" s="26">
        <f t="shared" si="9"/>
        <v>2.5882352941176472</v>
      </c>
      <c r="AS24" s="27">
        <f t="shared" si="10"/>
        <v>44</v>
      </c>
      <c r="AT24" s="27">
        <f t="shared" si="11"/>
        <v>1</v>
      </c>
      <c r="AU24" s="28">
        <f>AF24*Settings!$B$7+AG24*Settings!$B$8+AE24*Settings!$B$9+AB24*Settings!$B$10+AC24*Settings!$B$11+X24*Settings!$B$12+Y24*Settings!$B$13+Z24*Settings!$B$14</f>
        <v>64</v>
      </c>
    </row>
    <row r="25" spans="1:47" x14ac:dyDescent="0.25">
      <c r="A25" s="15" t="s">
        <v>121</v>
      </c>
      <c r="B25" s="16" t="s">
        <v>630</v>
      </c>
      <c r="C25" s="17">
        <v>4</v>
      </c>
      <c r="D25" s="17" t="s">
        <v>158</v>
      </c>
      <c r="E25" s="18" t="s">
        <v>99</v>
      </c>
      <c r="F25" s="19"/>
      <c r="G25" s="19"/>
      <c r="H25" s="19"/>
      <c r="I25" s="19"/>
      <c r="J25" s="19">
        <v>36</v>
      </c>
      <c r="K25" s="19">
        <v>79</v>
      </c>
      <c r="L25" s="19">
        <v>34</v>
      </c>
      <c r="M25" s="19">
        <v>203</v>
      </c>
      <c r="N25" s="19" t="s">
        <v>342</v>
      </c>
      <c r="O25" s="19">
        <v>13</v>
      </c>
      <c r="P25" s="20"/>
      <c r="Q25" s="20">
        <v>12.15</v>
      </c>
      <c r="R25" s="21">
        <v>0.59699999999999998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1</v>
      </c>
      <c r="AC25" s="22">
        <v>0</v>
      </c>
      <c r="AD25" s="22">
        <v>44</v>
      </c>
      <c r="AE25" s="22">
        <v>28</v>
      </c>
      <c r="AF25" s="22">
        <v>331</v>
      </c>
      <c r="AG25" s="22">
        <v>2</v>
      </c>
      <c r="AH25" s="23" t="s">
        <v>101</v>
      </c>
      <c r="AI25" s="24" t="str">
        <f t="shared" si="0"/>
        <v/>
      </c>
      <c r="AJ25" s="24">
        <f t="shared" si="1"/>
        <v>11.821428571428571</v>
      </c>
      <c r="AK25" s="25">
        <f t="shared" si="2"/>
        <v>0.63636363636363635</v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7.985480943738657E-2</v>
      </c>
      <c r="AP25" s="25">
        <f t="shared" si="7"/>
        <v>0</v>
      </c>
      <c r="AQ25" s="26">
        <f t="shared" si="8"/>
        <v>0</v>
      </c>
      <c r="AR25" s="26">
        <f t="shared" si="9"/>
        <v>2.5882352941176472</v>
      </c>
      <c r="AS25" s="27">
        <f t="shared" si="10"/>
        <v>10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59.2</v>
      </c>
    </row>
    <row r="26" spans="1:47" x14ac:dyDescent="0.25">
      <c r="A26" s="15" t="s">
        <v>121</v>
      </c>
      <c r="B26" s="16" t="s">
        <v>631</v>
      </c>
      <c r="C26" s="17">
        <v>5</v>
      </c>
      <c r="D26" s="17" t="s">
        <v>158</v>
      </c>
      <c r="E26" s="18" t="s">
        <v>99</v>
      </c>
      <c r="F26" s="19">
        <v>1</v>
      </c>
      <c r="G26" s="19">
        <v>3</v>
      </c>
      <c r="H26" s="19"/>
      <c r="I26" s="19"/>
      <c r="J26" s="19">
        <v>23</v>
      </c>
      <c r="K26" s="19">
        <v>12</v>
      </c>
      <c r="L26" s="19"/>
      <c r="M26" s="19"/>
      <c r="N26" s="19"/>
      <c r="O26" s="19"/>
      <c r="P26" s="20">
        <v>3.5</v>
      </c>
      <c r="Q26" s="20">
        <v>17</v>
      </c>
      <c r="R26" s="21">
        <v>0.4</v>
      </c>
      <c r="S26" s="21"/>
      <c r="T26" s="20"/>
      <c r="U26" s="22">
        <v>17</v>
      </c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33"/>
      <c r="AI26" s="24" t="str">
        <f t="shared" si="0"/>
        <v/>
      </c>
      <c r="AJ26" s="24" t="str">
        <f t="shared" si="1"/>
        <v/>
      </c>
      <c r="AK26" s="25" t="str">
        <f t="shared" si="2"/>
        <v/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0</v>
      </c>
      <c r="AP26" s="25">
        <f t="shared" si="7"/>
        <v>0</v>
      </c>
      <c r="AQ26" s="26">
        <f t="shared" si="8"/>
        <v>0</v>
      </c>
      <c r="AR26" s="26">
        <f t="shared" si="9"/>
        <v>0</v>
      </c>
      <c r="AS26" s="27">
        <f t="shared" si="10"/>
        <v>0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0</v>
      </c>
    </row>
    <row r="27" spans="1:47" x14ac:dyDescent="0.25">
      <c r="A27" s="15" t="s">
        <v>121</v>
      </c>
      <c r="B27" s="16" t="s">
        <v>632</v>
      </c>
      <c r="C27" s="17">
        <v>6</v>
      </c>
      <c r="D27" s="17" t="s">
        <v>128</v>
      </c>
      <c r="E27" s="32" t="s">
        <v>226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20"/>
      <c r="R27" s="21"/>
      <c r="S27" s="21"/>
      <c r="T27" s="20"/>
      <c r="U27" s="22">
        <v>17</v>
      </c>
      <c r="V27" s="22"/>
      <c r="W27" s="22"/>
      <c r="X27" s="22"/>
      <c r="Y27" s="22"/>
      <c r="Z27" s="22"/>
      <c r="AA27" s="22">
        <v>0</v>
      </c>
      <c r="AB27" s="22">
        <v>0</v>
      </c>
      <c r="AC27" s="22">
        <v>0</v>
      </c>
      <c r="AD27" s="22">
        <v>37</v>
      </c>
      <c r="AE27" s="22">
        <v>24</v>
      </c>
      <c r="AF27" s="22">
        <v>311</v>
      </c>
      <c r="AG27" s="22">
        <v>2</v>
      </c>
      <c r="AH27" s="23" t="s">
        <v>101</v>
      </c>
      <c r="AI27" s="24" t="str">
        <f t="shared" si="0"/>
        <v/>
      </c>
      <c r="AJ27" s="24">
        <f t="shared" si="1"/>
        <v>12.958333333333334</v>
      </c>
      <c r="AK27" s="25">
        <f t="shared" si="2"/>
        <v>0.64864864864864868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6.7150635208711437E-2</v>
      </c>
      <c r="AP27" s="25">
        <f t="shared" si="7"/>
        <v>0</v>
      </c>
      <c r="AQ27" s="26">
        <f t="shared" si="8"/>
        <v>0</v>
      </c>
      <c r="AR27" s="26">
        <f t="shared" si="9"/>
        <v>2.1764705882352939</v>
      </c>
      <c r="AS27" s="27">
        <f t="shared" si="10"/>
        <v>37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55.1</v>
      </c>
    </row>
    <row r="28" spans="1:47" x14ac:dyDescent="0.25">
      <c r="A28" s="15" t="s">
        <v>121</v>
      </c>
      <c r="B28" s="16" t="s">
        <v>633</v>
      </c>
      <c r="C28" s="17">
        <v>7</v>
      </c>
      <c r="D28" s="17" t="s">
        <v>111</v>
      </c>
      <c r="E28" s="18" t="s">
        <v>99</v>
      </c>
      <c r="F28" s="19">
        <v>5</v>
      </c>
      <c r="G28" s="19">
        <v>2</v>
      </c>
      <c r="H28" s="19"/>
      <c r="I28" s="19"/>
      <c r="J28" s="19">
        <v>67</v>
      </c>
      <c r="K28" s="19">
        <v>62</v>
      </c>
      <c r="L28" s="19">
        <v>15</v>
      </c>
      <c r="M28" s="19">
        <v>192</v>
      </c>
      <c r="N28" s="19" t="s">
        <v>568</v>
      </c>
      <c r="O28" s="19">
        <v>10</v>
      </c>
      <c r="P28" s="20">
        <v>5.43</v>
      </c>
      <c r="Q28" s="20">
        <v>14.22</v>
      </c>
      <c r="R28" s="21">
        <v>0.60399999999999998</v>
      </c>
      <c r="S28" s="21"/>
      <c r="T28" s="20"/>
      <c r="U28" s="22">
        <v>17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1</v>
      </c>
      <c r="AB28" s="22">
        <v>10</v>
      </c>
      <c r="AC28" s="22">
        <v>0</v>
      </c>
      <c r="AD28" s="22">
        <v>32</v>
      </c>
      <c r="AE28" s="22">
        <v>19</v>
      </c>
      <c r="AF28" s="22">
        <v>267</v>
      </c>
      <c r="AG28" s="22">
        <v>1</v>
      </c>
      <c r="AH28" s="23" t="s">
        <v>101</v>
      </c>
      <c r="AI28" s="24">
        <f t="shared" si="0"/>
        <v>10</v>
      </c>
      <c r="AJ28" s="24">
        <f t="shared" si="1"/>
        <v>14.052631578947368</v>
      </c>
      <c r="AK28" s="25">
        <f t="shared" si="2"/>
        <v>0.59375</v>
      </c>
      <c r="AL28" s="24" t="str">
        <f t="shared" si="3"/>
        <v/>
      </c>
      <c r="AM28" s="25" t="str">
        <f t="shared" si="4"/>
        <v/>
      </c>
      <c r="AN28" s="25">
        <f t="shared" si="5"/>
        <v>2.2281639928698753E-3</v>
      </c>
      <c r="AO28" s="25">
        <f t="shared" si="6"/>
        <v>5.8076225045372049E-2</v>
      </c>
      <c r="AP28" s="25">
        <f t="shared" si="7"/>
        <v>0</v>
      </c>
      <c r="AQ28" s="26">
        <f t="shared" si="8"/>
        <v>5.8823529411764705E-2</v>
      </c>
      <c r="AR28" s="26">
        <f t="shared" si="9"/>
        <v>1.8823529411764706</v>
      </c>
      <c r="AS28" s="27">
        <f t="shared" si="10"/>
        <v>17</v>
      </c>
      <c r="AT28" s="27">
        <f t="shared" si="11"/>
        <v>1</v>
      </c>
      <c r="AU28" s="28">
        <f>AF28*Settings!$B$7+AG28*Settings!$B$8+AE28*Settings!$B$9+AB28*Settings!$B$10+AC28*Settings!$B$11+X28*Settings!$B$12+Y28*Settings!$B$13+Z28*Settings!$B$14</f>
        <v>43.2</v>
      </c>
    </row>
    <row r="29" spans="1:47" x14ac:dyDescent="0.25">
      <c r="A29" s="15" t="s">
        <v>121</v>
      </c>
      <c r="B29" s="16" t="s">
        <v>634</v>
      </c>
      <c r="C29" s="17">
        <v>8</v>
      </c>
      <c r="D29" s="17" t="s">
        <v>128</v>
      </c>
      <c r="E29" s="18" t="s">
        <v>99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1"/>
      <c r="S29" s="21"/>
      <c r="T29" s="20"/>
      <c r="U29" s="22">
        <v>17</v>
      </c>
      <c r="V29" s="22"/>
      <c r="W29" s="22"/>
      <c r="X29" s="22"/>
      <c r="Y29" s="22"/>
      <c r="Z29" s="22"/>
      <c r="AA29" s="22">
        <v>0</v>
      </c>
      <c r="AB29" s="22">
        <v>0</v>
      </c>
      <c r="AC29" s="22">
        <v>0</v>
      </c>
      <c r="AD29" s="22">
        <v>33</v>
      </c>
      <c r="AE29" s="22">
        <v>18</v>
      </c>
      <c r="AF29" s="22">
        <v>212</v>
      </c>
      <c r="AG29" s="22">
        <v>1</v>
      </c>
      <c r="AH29" s="23" t="s">
        <v>101</v>
      </c>
      <c r="AI29" s="24" t="str">
        <f t="shared" si="0"/>
        <v/>
      </c>
      <c r="AJ29" s="24">
        <f t="shared" si="1"/>
        <v>11.777777777777779</v>
      </c>
      <c r="AK29" s="25">
        <f t="shared" si="2"/>
        <v>0.54545454545454541</v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5.9891107078039928E-2</v>
      </c>
      <c r="AP29" s="25">
        <f t="shared" si="7"/>
        <v>0</v>
      </c>
      <c r="AQ29" s="26">
        <f t="shared" si="8"/>
        <v>0</v>
      </c>
      <c r="AR29" s="26">
        <f t="shared" si="9"/>
        <v>1.9411764705882353</v>
      </c>
      <c r="AS29" s="27">
        <f t="shared" si="10"/>
        <v>33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36.200000000000003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635</v>
      </c>
      <c r="C31" s="17">
        <v>1</v>
      </c>
      <c r="D31" s="17" t="s">
        <v>111</v>
      </c>
      <c r="E31" s="32" t="s">
        <v>115</v>
      </c>
      <c r="F31" s="19"/>
      <c r="G31" s="19"/>
      <c r="H31" s="19">
        <v>1</v>
      </c>
      <c r="I31" s="19" t="s">
        <v>636</v>
      </c>
      <c r="J31" s="19">
        <v>4</v>
      </c>
      <c r="K31" s="19">
        <v>12</v>
      </c>
      <c r="L31" s="19">
        <v>33</v>
      </c>
      <c r="M31" s="19">
        <v>335</v>
      </c>
      <c r="N31" s="19" t="s">
        <v>150</v>
      </c>
      <c r="O31" s="19">
        <v>10</v>
      </c>
      <c r="P31" s="20">
        <v>-7</v>
      </c>
      <c r="Q31" s="20">
        <v>11.41</v>
      </c>
      <c r="R31" s="21">
        <v>0.69399999999999995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-1</v>
      </c>
      <c r="AC31" s="22">
        <v>0</v>
      </c>
      <c r="AD31" s="22">
        <v>74</v>
      </c>
      <c r="AE31" s="22">
        <v>52</v>
      </c>
      <c r="AF31" s="22">
        <v>575</v>
      </c>
      <c r="AG31" s="22">
        <v>3</v>
      </c>
      <c r="AH31" s="23" t="s">
        <v>101</v>
      </c>
      <c r="AI31" s="24" t="str">
        <f t="shared" si="0"/>
        <v/>
      </c>
      <c r="AJ31" s="24">
        <f t="shared" si="1"/>
        <v>11.057692307692308</v>
      </c>
      <c r="AK31" s="25">
        <f t="shared" si="2"/>
        <v>0.70270270270270274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0.13430127041742287</v>
      </c>
      <c r="AP31" s="25">
        <f t="shared" si="7"/>
        <v>0</v>
      </c>
      <c r="AQ31" s="26">
        <f t="shared" si="8"/>
        <v>0</v>
      </c>
      <c r="AR31" s="26">
        <f t="shared" si="9"/>
        <v>4.3529411764705879</v>
      </c>
      <c r="AS31" s="27">
        <f t="shared" si="10"/>
        <v>41</v>
      </c>
      <c r="AT31" s="27">
        <f t="shared" si="11"/>
        <v>-1</v>
      </c>
      <c r="AU31" s="28">
        <f>AF31*Settings!$B$7+AG31*Settings!$B$8+AE31*Settings!$B$9+AB31*Settings!$B$10+AC31*Settings!$B$11+X31*Settings!$B$12+Y31*Settings!$B$13+Z31*Settings!$B$14</f>
        <v>101.4</v>
      </c>
    </row>
    <row r="32" spans="1:47" x14ac:dyDescent="0.25">
      <c r="A32" s="15" t="s">
        <v>135</v>
      </c>
      <c r="B32" s="16" t="s">
        <v>637</v>
      </c>
      <c r="C32" s="17">
        <v>2</v>
      </c>
      <c r="D32" s="17" t="s">
        <v>103</v>
      </c>
      <c r="E32" s="18" t="s">
        <v>99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20"/>
      <c r="R32" s="21"/>
      <c r="S32" s="21"/>
      <c r="T32" s="20"/>
      <c r="U32" s="22">
        <v>17</v>
      </c>
      <c r="V32" s="22"/>
      <c r="W32" s="22"/>
      <c r="X32" s="22"/>
      <c r="Y32" s="22"/>
      <c r="Z32" s="22"/>
      <c r="AA32" s="22">
        <v>0</v>
      </c>
      <c r="AB32" s="22">
        <v>0</v>
      </c>
      <c r="AC32" s="22">
        <v>0</v>
      </c>
      <c r="AD32" s="22">
        <v>31</v>
      </c>
      <c r="AE32" s="22">
        <v>19</v>
      </c>
      <c r="AF32" s="22">
        <v>182</v>
      </c>
      <c r="AG32" s="22">
        <v>1</v>
      </c>
      <c r="AH32" s="23" t="s">
        <v>101</v>
      </c>
      <c r="AI32" s="24" t="str">
        <f t="shared" si="0"/>
        <v/>
      </c>
      <c r="AJ32" s="24">
        <f t="shared" si="1"/>
        <v>9.5789473684210531</v>
      </c>
      <c r="AK32" s="25">
        <f t="shared" si="2"/>
        <v>0.61290322580645162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5.6261343012704176E-2</v>
      </c>
      <c r="AP32" s="25">
        <f t="shared" si="7"/>
        <v>0</v>
      </c>
      <c r="AQ32" s="26">
        <f t="shared" si="8"/>
        <v>0</v>
      </c>
      <c r="AR32" s="26">
        <f t="shared" si="9"/>
        <v>1.8235294117647058</v>
      </c>
      <c r="AS32" s="27">
        <f t="shared" si="10"/>
        <v>31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33.700000000000003</v>
      </c>
    </row>
    <row r="33" spans="1:47" x14ac:dyDescent="0.25">
      <c r="A33" s="15" t="s">
        <v>135</v>
      </c>
      <c r="B33" s="16" t="s">
        <v>638</v>
      </c>
      <c r="C33" s="17">
        <v>3</v>
      </c>
      <c r="D33" s="17" t="s">
        <v>111</v>
      </c>
      <c r="E33" s="18" t="s">
        <v>99</v>
      </c>
      <c r="F33" s="19"/>
      <c r="G33" s="19"/>
      <c r="H33" s="19"/>
      <c r="I33" s="19"/>
      <c r="J33" s="19">
        <v>6</v>
      </c>
      <c r="K33" s="19">
        <v>5</v>
      </c>
      <c r="L33" s="19">
        <v>6</v>
      </c>
      <c r="M33" s="19">
        <v>30</v>
      </c>
      <c r="N33" s="19" t="s">
        <v>602</v>
      </c>
      <c r="O33" s="19">
        <v>8</v>
      </c>
      <c r="P33" s="20"/>
      <c r="Q33" s="20">
        <v>8.4499999999999993</v>
      </c>
      <c r="R33" s="21">
        <v>0.64700000000000002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19</v>
      </c>
      <c r="AE33" s="22">
        <v>11</v>
      </c>
      <c r="AF33" s="22">
        <v>100</v>
      </c>
      <c r="AG33" s="22">
        <v>1</v>
      </c>
      <c r="AH33" s="23" t="s">
        <v>101</v>
      </c>
      <c r="AI33" s="24" t="str">
        <f t="shared" si="0"/>
        <v/>
      </c>
      <c r="AJ33" s="24">
        <f t="shared" si="1"/>
        <v>9.0909090909090917</v>
      </c>
      <c r="AK33" s="25">
        <f t="shared" si="2"/>
        <v>0.57894736842105265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3.4482758620689655E-2</v>
      </c>
      <c r="AP33" s="25">
        <f t="shared" si="7"/>
        <v>0</v>
      </c>
      <c r="AQ33" s="26">
        <f t="shared" si="8"/>
        <v>0</v>
      </c>
      <c r="AR33" s="26">
        <f t="shared" si="9"/>
        <v>1.1176470588235294</v>
      </c>
      <c r="AS33" s="27">
        <f t="shared" si="10"/>
        <v>13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21.5</v>
      </c>
    </row>
    <row r="34" spans="1:47" x14ac:dyDescent="0.25">
      <c r="A34" s="15" t="s">
        <v>135</v>
      </c>
      <c r="B34" s="16" t="s">
        <v>639</v>
      </c>
      <c r="C34" s="17">
        <v>4</v>
      </c>
      <c r="D34" s="17" t="s">
        <v>103</v>
      </c>
      <c r="E34" s="18" t="s">
        <v>99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1"/>
      <c r="S34" s="21"/>
      <c r="T34" s="20"/>
      <c r="U34" s="22">
        <v>17</v>
      </c>
      <c r="V34" s="22"/>
      <c r="W34" s="22"/>
      <c r="X34" s="22"/>
      <c r="Y34" s="22"/>
      <c r="Z34" s="22"/>
      <c r="AA34" s="22">
        <v>0</v>
      </c>
      <c r="AB34" s="22">
        <v>0</v>
      </c>
      <c r="AC34" s="22">
        <v>0</v>
      </c>
      <c r="AD34" s="22">
        <v>8</v>
      </c>
      <c r="AE34" s="22">
        <v>6</v>
      </c>
      <c r="AF34" s="22">
        <v>63</v>
      </c>
      <c r="AG34" s="22">
        <v>0</v>
      </c>
      <c r="AH34" s="23" t="s">
        <v>101</v>
      </c>
      <c r="AI34" s="24" t="str">
        <f t="shared" si="0"/>
        <v/>
      </c>
      <c r="AJ34" s="24">
        <f t="shared" si="1"/>
        <v>10.5</v>
      </c>
      <c r="AK34" s="25">
        <f t="shared" si="2"/>
        <v>0.75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1.4519056261343012E-2</v>
      </c>
      <c r="AP34" s="25">
        <f t="shared" si="7"/>
        <v>0</v>
      </c>
      <c r="AQ34" s="26">
        <f t="shared" si="8"/>
        <v>0</v>
      </c>
      <c r="AR34" s="26">
        <f t="shared" si="9"/>
        <v>0.47058823529411764</v>
      </c>
      <c r="AS34" s="27">
        <f t="shared" si="10"/>
        <v>8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9.3000000000000007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500</v>
      </c>
      <c r="W37" s="34">
        <f t="shared" si="12"/>
        <v>322</v>
      </c>
      <c r="X37" s="34">
        <f t="shared" si="12"/>
        <v>3421</v>
      </c>
      <c r="Y37" s="34">
        <f t="shared" si="12"/>
        <v>18</v>
      </c>
      <c r="Z37" s="34">
        <f t="shared" si="12"/>
        <v>12</v>
      </c>
      <c r="AA37" s="34">
        <f t="shared" si="12"/>
        <v>518</v>
      </c>
      <c r="AB37" s="34">
        <f t="shared" si="12"/>
        <v>2444</v>
      </c>
      <c r="AC37" s="34">
        <f t="shared" si="12"/>
        <v>14</v>
      </c>
      <c r="AD37" s="34">
        <f t="shared" si="12"/>
        <v>518</v>
      </c>
      <c r="AE37" s="34">
        <f t="shared" si="12"/>
        <v>346</v>
      </c>
      <c r="AF37" s="34">
        <f t="shared" si="12"/>
        <v>3640</v>
      </c>
      <c r="AG37" s="34">
        <f t="shared" si="12"/>
        <v>20</v>
      </c>
    </row>
    <row r="38" spans="1:47" x14ac:dyDescent="0.25">
      <c r="A38" s="5" t="s">
        <v>142</v>
      </c>
      <c r="V38" s="35">
        <f>$F$5</f>
        <v>578</v>
      </c>
      <c r="X38" s="35">
        <f>$I$5</f>
        <v>3846</v>
      </c>
      <c r="Y38" s="35">
        <f>$J$5</f>
        <v>25</v>
      </c>
      <c r="Z38" s="35">
        <f>$K$5</f>
        <v>14</v>
      </c>
      <c r="AA38" s="35">
        <f>$H$5</f>
        <v>448.79999999999995</v>
      </c>
      <c r="AB38" s="35">
        <f>$L$5</f>
        <v>2019</v>
      </c>
      <c r="AC38" s="35">
        <f>$M$5</f>
        <v>16</v>
      </c>
      <c r="AD38" s="35">
        <f>$G$5</f>
        <v>551</v>
      </c>
      <c r="AF38" s="35">
        <f>$I$5</f>
        <v>3846</v>
      </c>
      <c r="AG38" s="35">
        <f>$J$5</f>
        <v>25</v>
      </c>
    </row>
    <row r="39" spans="1:47" x14ac:dyDescent="0.25">
      <c r="A39" s="5" t="s">
        <v>143</v>
      </c>
      <c r="V39" s="36">
        <f>$F$5-V37</f>
        <v>78</v>
      </c>
      <c r="X39" s="36">
        <f>$I$5-X37</f>
        <v>425</v>
      </c>
      <c r="Y39" s="36">
        <f>$J$5-Y37</f>
        <v>7</v>
      </c>
      <c r="Z39" s="36">
        <f>$K$5-Z37</f>
        <v>2</v>
      </c>
      <c r="AA39" s="36">
        <f>$H$5-AA37</f>
        <v>-69.200000000000045</v>
      </c>
      <c r="AB39" s="36">
        <f>$L$5-AB37</f>
        <v>-425</v>
      </c>
      <c r="AC39" s="36">
        <f>$M$5-AC37</f>
        <v>2</v>
      </c>
      <c r="AD39" s="36">
        <f>$G$5-AD37</f>
        <v>33</v>
      </c>
      <c r="AF39" s="36">
        <f>$I$5-AF37</f>
        <v>206</v>
      </c>
      <c r="AG39" s="36">
        <f>$J$5-AG37</f>
        <v>5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389" priority="1" stopIfTrue="1">
      <formula>V37&gt;$F$5</formula>
    </cfRule>
    <cfRule type="expression" dxfId="388" priority="2">
      <formula>AND($F$5&gt;0,V37&lt;$F$5*0.97)</formula>
    </cfRule>
    <cfRule type="expression" dxfId="387" priority="3">
      <formula>AND($F$5&gt;0,V37&gt;=$F$5*0.97,V37&lt;=$F$5)</formula>
    </cfRule>
  </conditionalFormatting>
  <conditionalFormatting sqref="X37">
    <cfRule type="expression" dxfId="386" priority="4" stopIfTrue="1">
      <formula>X37&gt;$I$5</formula>
    </cfRule>
    <cfRule type="expression" dxfId="385" priority="5">
      <formula>AND($I$5&gt;0,X37&lt;$I$5*0.97)</formula>
    </cfRule>
    <cfRule type="expression" dxfId="384" priority="6">
      <formula>AND($I$5&gt;0,X37&gt;=$I$5*0.97,X37&lt;=$I$5)</formula>
    </cfRule>
  </conditionalFormatting>
  <conditionalFormatting sqref="Y37">
    <cfRule type="expression" dxfId="383" priority="7" stopIfTrue="1">
      <formula>Y37&gt;$J$5</formula>
    </cfRule>
    <cfRule type="expression" dxfId="382" priority="8">
      <formula>AND($J$5&gt;0,Y37&lt;$J$5*0.97)</formula>
    </cfRule>
    <cfRule type="expression" dxfId="381" priority="9">
      <formula>AND($J$5&gt;0,Y37&gt;=$J$5*0.97,Y37&lt;=$J$5)</formula>
    </cfRule>
  </conditionalFormatting>
  <conditionalFormatting sqref="Z37">
    <cfRule type="expression" dxfId="380" priority="10" stopIfTrue="1">
      <formula>Z37&gt;$K$5</formula>
    </cfRule>
    <cfRule type="expression" dxfId="379" priority="11">
      <formula>AND($K$5&gt;0,Z37&lt;$K$5*0.97)</formula>
    </cfRule>
    <cfRule type="expression" dxfId="378" priority="12">
      <formula>AND($K$5&gt;0,Z37&gt;=$K$5*0.97,Z37&lt;=$K$5)</formula>
    </cfRule>
  </conditionalFormatting>
  <conditionalFormatting sqref="AA37">
    <cfRule type="expression" dxfId="377" priority="13" stopIfTrue="1">
      <formula>AA37&gt;$H$5</formula>
    </cfRule>
    <cfRule type="expression" dxfId="376" priority="14">
      <formula>AND($H$5&gt;0,AA37&lt;$H$5*0.97)</formula>
    </cfRule>
    <cfRule type="expression" dxfId="375" priority="15">
      <formula>AND($H$5&gt;0,AA37&gt;=$H$5*0.97,AA37&lt;=$H$5)</formula>
    </cfRule>
  </conditionalFormatting>
  <conditionalFormatting sqref="AB37">
    <cfRule type="expression" dxfId="374" priority="16" stopIfTrue="1">
      <formula>AB37&gt;$L$5</formula>
    </cfRule>
    <cfRule type="expression" dxfId="373" priority="17">
      <formula>AND($L$5&gt;0,AB37&lt;$L$5*0.97)</formula>
    </cfRule>
    <cfRule type="expression" dxfId="372" priority="18">
      <formula>AND($L$5&gt;0,AB37&gt;=$L$5*0.97,AB37&lt;=$L$5)</formula>
    </cfRule>
  </conditionalFormatting>
  <conditionalFormatting sqref="AC37">
    <cfRule type="expression" dxfId="371" priority="19" stopIfTrue="1">
      <formula>AC37&gt;$M$5</formula>
    </cfRule>
    <cfRule type="expression" dxfId="370" priority="20">
      <formula>AND($M$5&gt;0,AC37&lt;$M$5*0.97)</formula>
    </cfRule>
    <cfRule type="expression" dxfId="369" priority="21">
      <formula>AND($M$5&gt;0,AC37&gt;=$M$5*0.97,AC37&lt;=$M$5)</formula>
    </cfRule>
  </conditionalFormatting>
  <conditionalFormatting sqref="AD37">
    <cfRule type="expression" dxfId="368" priority="22" stopIfTrue="1">
      <formula>AD37&gt;$G$5</formula>
    </cfRule>
    <cfRule type="expression" dxfId="367" priority="23">
      <formula>AND($G$5&gt;0,AD37&lt;$G$5*0.97)</formula>
    </cfRule>
    <cfRule type="expression" dxfId="366" priority="24">
      <formula>AND($G$5&gt;0,AD37&gt;=$G$5*0.97,AD37&lt;=$G$5)</formula>
    </cfRule>
  </conditionalFormatting>
  <conditionalFormatting sqref="AF37">
    <cfRule type="expression" dxfId="365" priority="25" stopIfTrue="1">
      <formula>AF37&gt;$I$5</formula>
    </cfRule>
    <cfRule type="expression" dxfId="364" priority="26">
      <formula>AND($I$5&gt;0,AF37&lt;$I$5*0.97)</formula>
    </cfRule>
    <cfRule type="expression" dxfId="363" priority="27">
      <formula>AND($I$5&gt;0,AF37&gt;=$I$5*0.97,AF37&lt;=$I$5)</formula>
    </cfRule>
  </conditionalFormatting>
  <conditionalFormatting sqref="AG37">
    <cfRule type="expression" dxfId="362" priority="28" stopIfTrue="1">
      <formula>AG37&gt;$J$5</formula>
    </cfRule>
    <cfRule type="expression" dxfId="361" priority="29">
      <formula>AND($J$5&gt;0,AG37&lt;$J$5*0.97)</formula>
    </cfRule>
    <cfRule type="expression" dxfId="360" priority="30">
      <formula>AND($J$5&gt;0,AG37&gt;=$J$5*0.97,AG37&lt;=$J$5)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640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60.3</v>
      </c>
      <c r="D5" s="10">
        <f>C5*B5</f>
        <v>1025.0999999999999</v>
      </c>
      <c r="E5" s="11">
        <v>0.57689999999999997</v>
      </c>
      <c r="F5" s="10">
        <f>ROUND(D5*E5,0)</f>
        <v>591</v>
      </c>
      <c r="G5" s="10">
        <f>ROUND(F5*Settings!$B$4,0)</f>
        <v>564</v>
      </c>
      <c r="H5" s="10">
        <f>D5-F5</f>
        <v>434.09999999999991</v>
      </c>
      <c r="I5" s="8">
        <v>3870</v>
      </c>
      <c r="J5" s="9">
        <v>25</v>
      </c>
      <c r="K5" s="9">
        <v>16</v>
      </c>
      <c r="L5" s="8">
        <v>1855</v>
      </c>
      <c r="M5" s="9">
        <v>13</v>
      </c>
    </row>
    <row r="7" spans="1:47" x14ac:dyDescent="0.25">
      <c r="A7" s="5" t="s">
        <v>54</v>
      </c>
      <c r="B7" s="12" t="s">
        <v>641</v>
      </c>
    </row>
    <row r="8" spans="1:47" x14ac:dyDescent="0.25">
      <c r="A8" s="5" t="s">
        <v>56</v>
      </c>
      <c r="B8" s="13" t="s">
        <v>237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642</v>
      </c>
      <c r="C11" s="17">
        <v>1</v>
      </c>
      <c r="D11" s="17" t="s">
        <v>130</v>
      </c>
      <c r="E11" s="18" t="s">
        <v>99</v>
      </c>
      <c r="F11" s="19">
        <v>40</v>
      </c>
      <c r="G11" s="19">
        <v>71</v>
      </c>
      <c r="H11" s="19">
        <v>28</v>
      </c>
      <c r="I11" s="19">
        <v>173</v>
      </c>
      <c r="J11" s="19"/>
      <c r="K11" s="19"/>
      <c r="L11" s="19"/>
      <c r="M11" s="19"/>
      <c r="N11" s="19" t="s">
        <v>100</v>
      </c>
      <c r="O11" s="19">
        <v>5</v>
      </c>
      <c r="P11" s="20">
        <v>7.12</v>
      </c>
      <c r="Q11" s="20"/>
      <c r="R11" s="21"/>
      <c r="S11" s="21">
        <v>0.67800000000000005</v>
      </c>
      <c r="T11" s="20">
        <v>6.82</v>
      </c>
      <c r="U11" s="22">
        <v>17</v>
      </c>
      <c r="V11" s="22">
        <v>506</v>
      </c>
      <c r="W11" s="22">
        <v>339</v>
      </c>
      <c r="X11" s="22">
        <v>3560</v>
      </c>
      <c r="Y11" s="22">
        <v>23</v>
      </c>
      <c r="Z11" s="22">
        <v>12</v>
      </c>
      <c r="AA11" s="22">
        <v>79</v>
      </c>
      <c r="AB11" s="22">
        <v>476</v>
      </c>
      <c r="AC11" s="22">
        <v>4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6.0253164556962027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7.0355731225296445</v>
      </c>
      <c r="AM11" s="25">
        <f t="shared" ref="AM11:AM35" si="4">IFERROR(W11/V11,"")</f>
        <v>0.66996047430830041</v>
      </c>
      <c r="AN11" s="25">
        <f t="shared" ref="AN11:AN35" si="5">IFERROR(AA11/$H$5,"")</f>
        <v>0.18198571757659529</v>
      </c>
      <c r="AO11" s="25">
        <f t="shared" ref="AO11:AO35" si="6">IFERROR(AD11/$G$5,"")</f>
        <v>0</v>
      </c>
      <c r="AP11" s="25">
        <f t="shared" ref="AP11:AP35" si="7">IFERROR(V11/$F$5,"")</f>
        <v>0.85617597292724201</v>
      </c>
      <c r="AQ11" s="26">
        <f t="shared" ref="AQ11:AQ35" si="8">IFERROR(AA11/U11,"")</f>
        <v>4.6470588235294121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51</v>
      </c>
      <c r="AU11" s="28">
        <f>AF11*Settings!$B$7+AG11*Settings!$B$8+AE11*Settings!$B$9+AB11*Settings!$B$10+AC11*Settings!$B$11+X11*Settings!$B$12+Y11*Settings!$B$13+Z11*Settings!$B$14</f>
        <v>282</v>
      </c>
    </row>
    <row r="12" spans="1:47" x14ac:dyDescent="0.25">
      <c r="A12" s="15" t="s">
        <v>96</v>
      </c>
      <c r="B12" s="16" t="s">
        <v>643</v>
      </c>
      <c r="C12" s="17">
        <v>2</v>
      </c>
      <c r="D12" s="17" t="s">
        <v>103</v>
      </c>
      <c r="E12" s="18" t="s">
        <v>99</v>
      </c>
      <c r="F12" s="19"/>
      <c r="G12" s="19"/>
      <c r="H12" s="19">
        <v>28</v>
      </c>
      <c r="I12" s="19">
        <v>181</v>
      </c>
      <c r="J12" s="19"/>
      <c r="K12" s="19"/>
      <c r="L12" s="19"/>
      <c r="M12" s="19"/>
      <c r="N12" s="19" t="s">
        <v>602</v>
      </c>
      <c r="O12" s="19">
        <v>10</v>
      </c>
      <c r="P12" s="20">
        <v>6.46</v>
      </c>
      <c r="Q12" s="20"/>
      <c r="R12" s="21"/>
      <c r="S12" s="21">
        <v>0.57599999999999996</v>
      </c>
      <c r="T12" s="20">
        <v>6.72</v>
      </c>
      <c r="U12" s="22">
        <v>17</v>
      </c>
      <c r="V12" s="22">
        <v>53</v>
      </c>
      <c r="W12" s="22">
        <v>33</v>
      </c>
      <c r="X12" s="22">
        <v>364</v>
      </c>
      <c r="Y12" s="22">
        <v>2</v>
      </c>
      <c r="Z12" s="22">
        <v>1</v>
      </c>
      <c r="AA12" s="22">
        <v>7</v>
      </c>
      <c r="AB12" s="22">
        <v>30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4.2857142857142856</v>
      </c>
      <c r="AJ12" s="24" t="str">
        <f t="shared" si="1"/>
        <v/>
      </c>
      <c r="AK12" s="25" t="str">
        <f t="shared" si="2"/>
        <v/>
      </c>
      <c r="AL12" s="24">
        <f t="shared" si="3"/>
        <v>6.867924528301887</v>
      </c>
      <c r="AM12" s="25">
        <f t="shared" si="4"/>
        <v>0.62264150943396224</v>
      </c>
      <c r="AN12" s="25">
        <f t="shared" si="5"/>
        <v>1.6125316747293252E-2</v>
      </c>
      <c r="AO12" s="25">
        <f t="shared" si="6"/>
        <v>0</v>
      </c>
      <c r="AP12" s="25">
        <f t="shared" si="7"/>
        <v>8.9678510998307953E-2</v>
      </c>
      <c r="AQ12" s="26">
        <f t="shared" si="8"/>
        <v>0.41176470588235292</v>
      </c>
      <c r="AR12" s="26">
        <f t="shared" si="9"/>
        <v>0</v>
      </c>
      <c r="AS12" s="27">
        <f t="shared" si="10"/>
        <v>0</v>
      </c>
      <c r="AT12" s="27">
        <f t="shared" si="11"/>
        <v>-21</v>
      </c>
      <c r="AU12" s="28">
        <f>AF12*Settings!$B$7+AG12*Settings!$B$8+AE12*Settings!$B$9+AB12*Settings!$B$10+AC12*Settings!$B$11+X12*Settings!$B$12+Y12*Settings!$B$13+Z12*Settings!$B$14</f>
        <v>23.560000000000002</v>
      </c>
    </row>
    <row r="13" spans="1:47" x14ac:dyDescent="0.25">
      <c r="A13" s="15" t="s">
        <v>96</v>
      </c>
      <c r="B13" s="16" t="s">
        <v>644</v>
      </c>
      <c r="C13" s="17">
        <v>3</v>
      </c>
      <c r="D13" s="17" t="s">
        <v>98</v>
      </c>
      <c r="E13" s="18" t="s">
        <v>99</v>
      </c>
      <c r="F13" s="19">
        <v>16</v>
      </c>
      <c r="G13" s="19">
        <v>1</v>
      </c>
      <c r="H13" s="19">
        <v>11</v>
      </c>
      <c r="I13" s="19">
        <v>57</v>
      </c>
      <c r="J13" s="19"/>
      <c r="K13" s="19"/>
      <c r="L13" s="19"/>
      <c r="M13" s="19"/>
      <c r="N13" s="19" t="s">
        <v>602</v>
      </c>
      <c r="O13" s="19">
        <v>5</v>
      </c>
      <c r="P13" s="20">
        <v>4.04</v>
      </c>
      <c r="Q13" s="20"/>
      <c r="R13" s="21"/>
      <c r="S13" s="21">
        <v>0.65600000000000003</v>
      </c>
      <c r="T13" s="20">
        <v>7.06</v>
      </c>
      <c r="U13" s="22">
        <v>17</v>
      </c>
      <c r="V13" s="22">
        <v>26</v>
      </c>
      <c r="W13" s="22">
        <v>16</v>
      </c>
      <c r="X13" s="22">
        <v>166</v>
      </c>
      <c r="Y13" s="22">
        <v>1</v>
      </c>
      <c r="Z13" s="22">
        <v>1</v>
      </c>
      <c r="AA13" s="22">
        <v>2</v>
      </c>
      <c r="AB13" s="22">
        <v>8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3" t="s">
        <v>101</v>
      </c>
      <c r="AI13" s="24">
        <f t="shared" si="0"/>
        <v>4</v>
      </c>
      <c r="AJ13" s="24" t="str">
        <f t="shared" si="1"/>
        <v/>
      </c>
      <c r="AK13" s="25" t="str">
        <f t="shared" si="2"/>
        <v/>
      </c>
      <c r="AL13" s="24">
        <f t="shared" si="3"/>
        <v>6.384615384615385</v>
      </c>
      <c r="AM13" s="25">
        <f t="shared" si="4"/>
        <v>0.61538461538461542</v>
      </c>
      <c r="AN13" s="25">
        <f t="shared" si="5"/>
        <v>4.6072333563695013E-3</v>
      </c>
      <c r="AO13" s="25">
        <f t="shared" si="6"/>
        <v>0</v>
      </c>
      <c r="AP13" s="25">
        <f t="shared" si="7"/>
        <v>4.3993231810490696E-2</v>
      </c>
      <c r="AQ13" s="26">
        <f t="shared" si="8"/>
        <v>0.11764705882352941</v>
      </c>
      <c r="AR13" s="26">
        <f t="shared" si="9"/>
        <v>0</v>
      </c>
      <c r="AS13" s="27">
        <f t="shared" si="10"/>
        <v>0</v>
      </c>
      <c r="AT13" s="27">
        <f t="shared" si="11"/>
        <v>-9</v>
      </c>
      <c r="AU13" s="28">
        <f>AF13*Settings!$B$7+AG13*Settings!$B$8+AE13*Settings!$B$9+AB13*Settings!$B$10+AC13*Settings!$B$11+X13*Settings!$B$12+Y13*Settings!$B$13+Z13*Settings!$B$14</f>
        <v>9.4400000000000013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645</v>
      </c>
      <c r="C15" s="17">
        <v>1</v>
      </c>
      <c r="D15" s="17" t="s">
        <v>114</v>
      </c>
      <c r="E15" s="18" t="s">
        <v>99</v>
      </c>
      <c r="F15" s="19">
        <v>142</v>
      </c>
      <c r="G15" s="19">
        <v>255</v>
      </c>
      <c r="H15" s="19">
        <v>132</v>
      </c>
      <c r="I15" s="19">
        <v>548</v>
      </c>
      <c r="J15" s="19">
        <v>43</v>
      </c>
      <c r="K15" s="19">
        <v>62</v>
      </c>
      <c r="L15" s="19">
        <v>41</v>
      </c>
      <c r="M15" s="19">
        <v>199</v>
      </c>
      <c r="N15" s="19" t="s">
        <v>602</v>
      </c>
      <c r="O15" s="19">
        <v>12</v>
      </c>
      <c r="P15" s="20">
        <v>4.43</v>
      </c>
      <c r="Q15" s="20">
        <v>7.71</v>
      </c>
      <c r="R15" s="21">
        <v>0.747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145</v>
      </c>
      <c r="AB15" s="22">
        <v>604</v>
      </c>
      <c r="AC15" s="22">
        <v>3</v>
      </c>
      <c r="AD15" s="22">
        <v>50</v>
      </c>
      <c r="AE15" s="22">
        <v>38</v>
      </c>
      <c r="AF15" s="22">
        <v>273</v>
      </c>
      <c r="AG15" s="22">
        <v>1</v>
      </c>
      <c r="AH15" s="23" t="s">
        <v>101</v>
      </c>
      <c r="AI15" s="24">
        <f t="shared" si="0"/>
        <v>4.1655172413793107</v>
      </c>
      <c r="AJ15" s="24">
        <f t="shared" si="1"/>
        <v>7.1842105263157894</v>
      </c>
      <c r="AK15" s="25">
        <f t="shared" si="2"/>
        <v>0.76</v>
      </c>
      <c r="AL15" s="24" t="str">
        <f t="shared" si="3"/>
        <v/>
      </c>
      <c r="AM15" s="25" t="str">
        <f t="shared" si="4"/>
        <v/>
      </c>
      <c r="AN15" s="25">
        <f t="shared" si="5"/>
        <v>0.33402441833678881</v>
      </c>
      <c r="AO15" s="25">
        <f t="shared" si="6"/>
        <v>8.8652482269503549E-2</v>
      </c>
      <c r="AP15" s="25">
        <f t="shared" si="7"/>
        <v>0</v>
      </c>
      <c r="AQ15" s="26">
        <f t="shared" si="8"/>
        <v>8.5294117647058822</v>
      </c>
      <c r="AR15" s="26">
        <f t="shared" si="9"/>
        <v>2.9411764705882355</v>
      </c>
      <c r="AS15" s="27">
        <f t="shared" si="10"/>
        <v>9</v>
      </c>
      <c r="AT15" s="27">
        <f t="shared" si="11"/>
        <v>13</v>
      </c>
      <c r="AU15" s="28">
        <f>AF15*Settings!$B$7+AG15*Settings!$B$8+AE15*Settings!$B$9+AB15*Settings!$B$10+AC15*Settings!$B$11+X15*Settings!$B$12+Y15*Settings!$B$13+Z15*Settings!$B$14</f>
        <v>130.69999999999999</v>
      </c>
    </row>
    <row r="16" spans="1:47" x14ac:dyDescent="0.25">
      <c r="A16" s="15" t="s">
        <v>107</v>
      </c>
      <c r="B16" s="16" t="s">
        <v>646</v>
      </c>
      <c r="C16" s="17">
        <v>2</v>
      </c>
      <c r="D16" s="17" t="s">
        <v>158</v>
      </c>
      <c r="E16" s="18" t="s">
        <v>99</v>
      </c>
      <c r="F16" s="19">
        <v>40</v>
      </c>
      <c r="G16" s="19">
        <v>153</v>
      </c>
      <c r="H16" s="19">
        <v>159</v>
      </c>
      <c r="I16" s="19">
        <v>758</v>
      </c>
      <c r="J16" s="19">
        <v>4</v>
      </c>
      <c r="K16" s="19">
        <v>14</v>
      </c>
      <c r="L16" s="19">
        <v>16</v>
      </c>
      <c r="M16" s="19">
        <v>51</v>
      </c>
      <c r="N16" s="19" t="s">
        <v>602</v>
      </c>
      <c r="O16" s="19">
        <v>16</v>
      </c>
      <c r="P16" s="20">
        <v>4.9800000000000004</v>
      </c>
      <c r="Q16" s="20">
        <v>6.18</v>
      </c>
      <c r="R16" s="21">
        <v>0.82399999999999995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171</v>
      </c>
      <c r="AB16" s="22">
        <v>798</v>
      </c>
      <c r="AC16" s="22">
        <v>6</v>
      </c>
      <c r="AD16" s="22">
        <v>19</v>
      </c>
      <c r="AE16" s="22">
        <v>15</v>
      </c>
      <c r="AF16" s="22">
        <v>84</v>
      </c>
      <c r="AG16" s="22">
        <v>0</v>
      </c>
      <c r="AH16" s="23" t="s">
        <v>101</v>
      </c>
      <c r="AI16" s="24">
        <f t="shared" si="0"/>
        <v>4.666666666666667</v>
      </c>
      <c r="AJ16" s="24">
        <f t="shared" si="1"/>
        <v>5.6</v>
      </c>
      <c r="AK16" s="25">
        <f t="shared" si="2"/>
        <v>0.78947368421052633</v>
      </c>
      <c r="AL16" s="24" t="str">
        <f t="shared" si="3"/>
        <v/>
      </c>
      <c r="AM16" s="25" t="str">
        <f t="shared" si="4"/>
        <v/>
      </c>
      <c r="AN16" s="25">
        <f t="shared" si="5"/>
        <v>0.39391845196959235</v>
      </c>
      <c r="AO16" s="25">
        <f t="shared" si="6"/>
        <v>3.3687943262411348E-2</v>
      </c>
      <c r="AP16" s="25">
        <f t="shared" si="7"/>
        <v>0</v>
      </c>
      <c r="AQ16" s="26">
        <f t="shared" si="8"/>
        <v>10.058823529411764</v>
      </c>
      <c r="AR16" s="26">
        <f t="shared" si="9"/>
        <v>1.1176470588235294</v>
      </c>
      <c r="AS16" s="27">
        <f t="shared" si="10"/>
        <v>3</v>
      </c>
      <c r="AT16" s="27">
        <f t="shared" si="11"/>
        <v>12</v>
      </c>
      <c r="AU16" s="28">
        <f>AF16*Settings!$B$7+AG16*Settings!$B$8+AE16*Settings!$B$9+AB16*Settings!$B$10+AC16*Settings!$B$11+X16*Settings!$B$12+Y16*Settings!$B$13+Z16*Settings!$B$14</f>
        <v>131.70000000000002</v>
      </c>
    </row>
    <row r="17" spans="1:47" x14ac:dyDescent="0.25">
      <c r="A17" s="15" t="s">
        <v>107</v>
      </c>
      <c r="B17" s="16" t="s">
        <v>647</v>
      </c>
      <c r="C17" s="17">
        <v>3</v>
      </c>
      <c r="D17" s="17" t="s">
        <v>128</v>
      </c>
      <c r="E17" s="18" t="s">
        <v>99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20"/>
      <c r="R17" s="21"/>
      <c r="S17" s="21"/>
      <c r="T17" s="20"/>
      <c r="U17" s="22">
        <v>17</v>
      </c>
      <c r="V17" s="22"/>
      <c r="W17" s="22"/>
      <c r="X17" s="22"/>
      <c r="Y17" s="22"/>
      <c r="Z17" s="22"/>
      <c r="AA17" s="22">
        <v>30</v>
      </c>
      <c r="AB17" s="22">
        <v>137</v>
      </c>
      <c r="AC17" s="22">
        <v>1</v>
      </c>
      <c r="AD17" s="22">
        <v>10</v>
      </c>
      <c r="AE17" s="22">
        <v>7</v>
      </c>
      <c r="AF17" s="22">
        <v>49</v>
      </c>
      <c r="AG17" s="22">
        <v>0</v>
      </c>
      <c r="AH17" s="23" t="s">
        <v>101</v>
      </c>
      <c r="AI17" s="24">
        <f t="shared" si="0"/>
        <v>4.5666666666666664</v>
      </c>
      <c r="AJ17" s="24">
        <f t="shared" si="1"/>
        <v>7</v>
      </c>
      <c r="AK17" s="25">
        <f t="shared" si="2"/>
        <v>0.7</v>
      </c>
      <c r="AL17" s="24" t="str">
        <f t="shared" si="3"/>
        <v/>
      </c>
      <c r="AM17" s="25" t="str">
        <f t="shared" si="4"/>
        <v/>
      </c>
      <c r="AN17" s="25">
        <f t="shared" si="5"/>
        <v>6.9108500345542515E-2</v>
      </c>
      <c r="AO17" s="25">
        <f t="shared" si="6"/>
        <v>1.7730496453900711E-2</v>
      </c>
      <c r="AP17" s="25">
        <f t="shared" si="7"/>
        <v>0</v>
      </c>
      <c r="AQ17" s="26">
        <f t="shared" si="8"/>
        <v>1.7647058823529411</v>
      </c>
      <c r="AR17" s="26">
        <f t="shared" si="9"/>
        <v>0.58823529411764708</v>
      </c>
      <c r="AS17" s="27">
        <f t="shared" si="10"/>
        <v>10</v>
      </c>
      <c r="AT17" s="27">
        <f t="shared" si="11"/>
        <v>30</v>
      </c>
      <c r="AU17" s="28">
        <f>AF17*Settings!$B$7+AG17*Settings!$B$8+AE17*Settings!$B$9+AB17*Settings!$B$10+AC17*Settings!$B$11+X17*Settings!$B$12+Y17*Settings!$B$13+Z17*Settings!$B$14</f>
        <v>28.1</v>
      </c>
    </row>
    <row r="18" spans="1:47" x14ac:dyDescent="0.25">
      <c r="A18" s="15" t="s">
        <v>107</v>
      </c>
      <c r="B18" s="16" t="s">
        <v>648</v>
      </c>
      <c r="C18" s="17">
        <v>4</v>
      </c>
      <c r="D18" s="17" t="s">
        <v>158</v>
      </c>
      <c r="E18" s="18" t="s">
        <v>99</v>
      </c>
      <c r="F18" s="19"/>
      <c r="G18" s="19"/>
      <c r="H18" s="19">
        <v>32</v>
      </c>
      <c r="I18" s="19">
        <v>114</v>
      </c>
      <c r="J18" s="19"/>
      <c r="K18" s="19"/>
      <c r="L18" s="19">
        <v>16</v>
      </c>
      <c r="M18" s="19">
        <v>98</v>
      </c>
      <c r="N18" s="19" t="s">
        <v>602</v>
      </c>
      <c r="O18" s="19">
        <v>16</v>
      </c>
      <c r="P18" s="20">
        <v>3.56</v>
      </c>
      <c r="Q18" s="20">
        <v>7</v>
      </c>
      <c r="R18" s="21">
        <v>0.875</v>
      </c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21</v>
      </c>
      <c r="AB18" s="22">
        <v>74</v>
      </c>
      <c r="AC18" s="22">
        <v>0</v>
      </c>
      <c r="AD18" s="22">
        <v>5</v>
      </c>
      <c r="AE18" s="22">
        <v>5</v>
      </c>
      <c r="AF18" s="22">
        <v>40</v>
      </c>
      <c r="AG18" s="22">
        <v>0</v>
      </c>
      <c r="AH18" s="23" t="s">
        <v>101</v>
      </c>
      <c r="AI18" s="24">
        <f t="shared" si="0"/>
        <v>3.5238095238095237</v>
      </c>
      <c r="AJ18" s="24">
        <f t="shared" si="1"/>
        <v>8</v>
      </c>
      <c r="AK18" s="25">
        <f t="shared" si="2"/>
        <v>1</v>
      </c>
      <c r="AL18" s="24" t="str">
        <f t="shared" si="3"/>
        <v/>
      </c>
      <c r="AM18" s="25" t="str">
        <f t="shared" si="4"/>
        <v/>
      </c>
      <c r="AN18" s="25">
        <f t="shared" si="5"/>
        <v>4.837595024187976E-2</v>
      </c>
      <c r="AO18" s="25">
        <f t="shared" si="6"/>
        <v>8.8652482269503553E-3</v>
      </c>
      <c r="AP18" s="25">
        <f t="shared" si="7"/>
        <v>0</v>
      </c>
      <c r="AQ18" s="26">
        <f t="shared" si="8"/>
        <v>1.2352941176470589</v>
      </c>
      <c r="AR18" s="26">
        <f t="shared" si="9"/>
        <v>0.29411764705882354</v>
      </c>
      <c r="AS18" s="27">
        <f t="shared" si="10"/>
        <v>-11</v>
      </c>
      <c r="AT18" s="27">
        <f t="shared" si="11"/>
        <v>-11</v>
      </c>
      <c r="AU18" s="28">
        <f>AF18*Settings!$B$7+AG18*Settings!$B$8+AE18*Settings!$B$9+AB18*Settings!$B$10+AC18*Settings!$B$11+X18*Settings!$B$12+Y18*Settings!$B$13+Z18*Settings!$B$14</f>
        <v>13.9</v>
      </c>
    </row>
    <row r="19" spans="1:47" x14ac:dyDescent="0.25">
      <c r="A19" s="15" t="s">
        <v>107</v>
      </c>
      <c r="B19" s="16" t="s">
        <v>649</v>
      </c>
      <c r="C19" s="17">
        <v>5</v>
      </c>
      <c r="D19" s="17" t="s">
        <v>158</v>
      </c>
      <c r="E19" s="18" t="s">
        <v>99</v>
      </c>
      <c r="F19" s="19"/>
      <c r="G19" s="19">
        <v>20</v>
      </c>
      <c r="H19" s="19"/>
      <c r="I19" s="19"/>
      <c r="J19" s="19">
        <v>2</v>
      </c>
      <c r="K19" s="19">
        <v>18</v>
      </c>
      <c r="L19" s="19"/>
      <c r="M19" s="19"/>
      <c r="N19" s="19"/>
      <c r="O19" s="19"/>
      <c r="P19" s="20">
        <v>3.5</v>
      </c>
      <c r="Q19" s="20">
        <v>5.92</v>
      </c>
      <c r="R19" s="21">
        <v>0.6</v>
      </c>
      <c r="S19" s="21"/>
      <c r="T19" s="20"/>
      <c r="U19" s="22">
        <v>17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33"/>
      <c r="AI19" s="24" t="str">
        <f t="shared" si="0"/>
        <v/>
      </c>
      <c r="AJ19" s="24" t="str">
        <f t="shared" si="1"/>
        <v/>
      </c>
      <c r="AK19" s="25" t="str">
        <f t="shared" si="2"/>
        <v/>
      </c>
      <c r="AL19" s="24" t="str">
        <f t="shared" si="3"/>
        <v/>
      </c>
      <c r="AM19" s="25" t="str">
        <f t="shared" si="4"/>
        <v/>
      </c>
      <c r="AN19" s="25">
        <f t="shared" si="5"/>
        <v>0</v>
      </c>
      <c r="AO19" s="25">
        <f t="shared" si="6"/>
        <v>0</v>
      </c>
      <c r="AP19" s="25">
        <f t="shared" si="7"/>
        <v>0</v>
      </c>
      <c r="AQ19" s="26">
        <f t="shared" si="8"/>
        <v>0</v>
      </c>
      <c r="AR19" s="26">
        <f t="shared" si="9"/>
        <v>0</v>
      </c>
      <c r="AS19" s="27">
        <f t="shared" si="10"/>
        <v>0</v>
      </c>
      <c r="AT19" s="27">
        <f t="shared" si="11"/>
        <v>0</v>
      </c>
      <c r="AU19" s="28">
        <f>AF19*Settings!$B$7+AG19*Settings!$B$8+AE19*Settings!$B$9+AB19*Settings!$B$10+AC19*Settings!$B$11+X19*Settings!$B$12+Y19*Settings!$B$13+Z19*Settings!$B$14</f>
        <v>0</v>
      </c>
    </row>
    <row r="20" spans="1:47" x14ac:dyDescent="0.25">
      <c r="A20" s="15" t="s">
        <v>107</v>
      </c>
      <c r="B20" s="37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16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 t="str">
        <f t="shared" si="8"/>
        <v/>
      </c>
      <c r="AR20" s="26" t="str">
        <f t="shared" si="9"/>
        <v/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650</v>
      </c>
      <c r="C22" s="17">
        <v>1</v>
      </c>
      <c r="D22" s="17" t="s">
        <v>158</v>
      </c>
      <c r="E22" s="18" t="s">
        <v>99</v>
      </c>
      <c r="F22" s="19">
        <v>1</v>
      </c>
      <c r="G22" s="19">
        <v>1</v>
      </c>
      <c r="H22" s="19">
        <v>2</v>
      </c>
      <c r="I22" s="19">
        <v>7</v>
      </c>
      <c r="J22" s="19">
        <v>100</v>
      </c>
      <c r="K22" s="19">
        <v>154</v>
      </c>
      <c r="L22" s="19">
        <v>141</v>
      </c>
      <c r="M22" s="19">
        <v>1048</v>
      </c>
      <c r="N22" s="19" t="s">
        <v>602</v>
      </c>
      <c r="O22" s="19">
        <v>17</v>
      </c>
      <c r="P22" s="20">
        <v>-0.5</v>
      </c>
      <c r="Q22" s="20">
        <v>14.33</v>
      </c>
      <c r="R22" s="21">
        <v>0.64600000000000002</v>
      </c>
      <c r="S22" s="21">
        <v>0.5</v>
      </c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2</v>
      </c>
      <c r="AB22" s="22">
        <v>8</v>
      </c>
      <c r="AC22" s="22">
        <v>0</v>
      </c>
      <c r="AD22" s="22">
        <v>154</v>
      </c>
      <c r="AE22" s="22">
        <v>98</v>
      </c>
      <c r="AF22" s="22">
        <v>1298</v>
      </c>
      <c r="AG22" s="22">
        <v>7</v>
      </c>
      <c r="AH22" s="23" t="s">
        <v>101</v>
      </c>
      <c r="AI22" s="24">
        <f t="shared" si="0"/>
        <v>4</v>
      </c>
      <c r="AJ22" s="24">
        <f t="shared" si="1"/>
        <v>13.244897959183673</v>
      </c>
      <c r="AK22" s="25">
        <f t="shared" si="2"/>
        <v>0.63636363636363635</v>
      </c>
      <c r="AL22" s="24" t="str">
        <f t="shared" si="3"/>
        <v/>
      </c>
      <c r="AM22" s="25" t="str">
        <f t="shared" si="4"/>
        <v/>
      </c>
      <c r="AN22" s="25">
        <f t="shared" si="5"/>
        <v>4.6072333563695013E-3</v>
      </c>
      <c r="AO22" s="25">
        <f t="shared" si="6"/>
        <v>0.27304964539007093</v>
      </c>
      <c r="AP22" s="25">
        <f t="shared" si="7"/>
        <v>0</v>
      </c>
      <c r="AQ22" s="26">
        <f t="shared" si="8"/>
        <v>0.11764705882352941</v>
      </c>
      <c r="AR22" s="26">
        <f t="shared" si="9"/>
        <v>9.0588235294117645</v>
      </c>
      <c r="AS22" s="27">
        <f t="shared" si="10"/>
        <v>13</v>
      </c>
      <c r="AT22" s="27">
        <f t="shared" si="11"/>
        <v>0</v>
      </c>
      <c r="AU22" s="28">
        <f>AF22*Settings!$B$7+AG22*Settings!$B$8+AE22*Settings!$B$9+AB22*Settings!$B$10+AC22*Settings!$B$11+X22*Settings!$B$12+Y22*Settings!$B$13+Z22*Settings!$B$14</f>
        <v>221.60000000000002</v>
      </c>
    </row>
    <row r="23" spans="1:47" x14ac:dyDescent="0.25">
      <c r="A23" s="15" t="s">
        <v>121</v>
      </c>
      <c r="B23" s="16" t="s">
        <v>651</v>
      </c>
      <c r="C23" s="17">
        <v>2</v>
      </c>
      <c r="D23" s="17" t="s">
        <v>118</v>
      </c>
      <c r="E23" s="32" t="s">
        <v>115</v>
      </c>
      <c r="F23" s="19">
        <v>1</v>
      </c>
      <c r="G23" s="19">
        <v>3</v>
      </c>
      <c r="H23" s="19">
        <v>2</v>
      </c>
      <c r="I23" s="19">
        <v>81</v>
      </c>
      <c r="J23" s="19">
        <v>108</v>
      </c>
      <c r="K23" s="19">
        <v>99</v>
      </c>
      <c r="L23" s="19">
        <v>79</v>
      </c>
      <c r="M23" s="19">
        <v>610</v>
      </c>
      <c r="N23" s="19" t="s">
        <v>602</v>
      </c>
      <c r="O23" s="19">
        <v>14</v>
      </c>
      <c r="P23" s="20">
        <v>17.170000000000002</v>
      </c>
      <c r="Q23" s="20">
        <v>13.69</v>
      </c>
      <c r="R23" s="21">
        <v>0.61199999999999999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3</v>
      </c>
      <c r="AB23" s="22">
        <v>28</v>
      </c>
      <c r="AC23" s="22">
        <v>0</v>
      </c>
      <c r="AD23" s="22">
        <v>92</v>
      </c>
      <c r="AE23" s="22">
        <v>57</v>
      </c>
      <c r="AF23" s="22">
        <v>761</v>
      </c>
      <c r="AG23" s="22">
        <v>5</v>
      </c>
      <c r="AH23" s="23" t="s">
        <v>101</v>
      </c>
      <c r="AI23" s="24">
        <f t="shared" si="0"/>
        <v>9.3333333333333339</v>
      </c>
      <c r="AJ23" s="24">
        <f t="shared" si="1"/>
        <v>13.350877192982455</v>
      </c>
      <c r="AK23" s="25">
        <f t="shared" si="2"/>
        <v>0.61956521739130432</v>
      </c>
      <c r="AL23" s="24" t="str">
        <f t="shared" si="3"/>
        <v/>
      </c>
      <c r="AM23" s="25" t="str">
        <f t="shared" si="4"/>
        <v/>
      </c>
      <c r="AN23" s="25">
        <f t="shared" si="5"/>
        <v>6.9108500345542515E-3</v>
      </c>
      <c r="AO23" s="25">
        <f t="shared" si="6"/>
        <v>0.16312056737588654</v>
      </c>
      <c r="AP23" s="25">
        <f t="shared" si="7"/>
        <v>0</v>
      </c>
      <c r="AQ23" s="26">
        <f t="shared" si="8"/>
        <v>0.17647058823529413</v>
      </c>
      <c r="AR23" s="26">
        <f t="shared" si="9"/>
        <v>5.4117647058823533</v>
      </c>
      <c r="AS23" s="27">
        <f t="shared" si="10"/>
        <v>13</v>
      </c>
      <c r="AT23" s="27">
        <f t="shared" si="11"/>
        <v>1</v>
      </c>
      <c r="AU23" s="28">
        <f>AF23*Settings!$B$7+AG23*Settings!$B$8+AE23*Settings!$B$9+AB23*Settings!$B$10+AC23*Settings!$B$11+X23*Settings!$B$12+Y23*Settings!$B$13+Z23*Settings!$B$14</f>
        <v>137.40000000000003</v>
      </c>
    </row>
    <row r="24" spans="1:47" x14ac:dyDescent="0.25">
      <c r="A24" s="15" t="s">
        <v>121</v>
      </c>
      <c r="B24" s="16" t="s">
        <v>652</v>
      </c>
      <c r="C24" s="17">
        <v>3</v>
      </c>
      <c r="D24" s="17" t="s">
        <v>168</v>
      </c>
      <c r="E24" s="18" t="s">
        <v>99</v>
      </c>
      <c r="F24" s="19"/>
      <c r="G24" s="19"/>
      <c r="H24" s="19"/>
      <c r="I24" s="19"/>
      <c r="J24" s="19">
        <v>33</v>
      </c>
      <c r="K24" s="19">
        <v>113</v>
      </c>
      <c r="L24" s="19">
        <v>90</v>
      </c>
      <c r="M24" s="19">
        <v>643</v>
      </c>
      <c r="N24" s="19" t="s">
        <v>125</v>
      </c>
      <c r="O24" s="19">
        <v>15</v>
      </c>
      <c r="P24" s="20"/>
      <c r="Q24" s="20">
        <v>12.47</v>
      </c>
      <c r="R24" s="21">
        <v>0.64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73</v>
      </c>
      <c r="AE24" s="22">
        <v>47</v>
      </c>
      <c r="AF24" s="22">
        <v>546</v>
      </c>
      <c r="AG24" s="22">
        <v>4</v>
      </c>
      <c r="AH24" s="23" t="s">
        <v>101</v>
      </c>
      <c r="AI24" s="24" t="str">
        <f t="shared" si="0"/>
        <v/>
      </c>
      <c r="AJ24" s="24">
        <f t="shared" si="1"/>
        <v>11.617021276595745</v>
      </c>
      <c r="AK24" s="25">
        <f t="shared" si="2"/>
        <v>0.64383561643835618</v>
      </c>
      <c r="AL24" s="24" t="str">
        <f t="shared" si="3"/>
        <v/>
      </c>
      <c r="AM24" s="25" t="str">
        <f t="shared" si="4"/>
        <v/>
      </c>
      <c r="AN24" s="25">
        <f t="shared" si="5"/>
        <v>0</v>
      </c>
      <c r="AO24" s="25">
        <f t="shared" si="6"/>
        <v>0.12943262411347517</v>
      </c>
      <c r="AP24" s="25">
        <f t="shared" si="7"/>
        <v>0</v>
      </c>
      <c r="AQ24" s="26">
        <f t="shared" si="8"/>
        <v>0</v>
      </c>
      <c r="AR24" s="26">
        <f t="shared" si="9"/>
        <v>4.2941176470588234</v>
      </c>
      <c r="AS24" s="27">
        <f t="shared" si="10"/>
        <v>-17</v>
      </c>
      <c r="AT24" s="27">
        <f t="shared" si="11"/>
        <v>0</v>
      </c>
      <c r="AU24" s="28">
        <f>AF24*Settings!$B$7+AG24*Settings!$B$8+AE24*Settings!$B$9+AB24*Settings!$B$10+AC24*Settings!$B$11+X24*Settings!$B$12+Y24*Settings!$B$13+Z24*Settings!$B$14</f>
        <v>102.1</v>
      </c>
    </row>
    <row r="25" spans="1:47" x14ac:dyDescent="0.25">
      <c r="A25" s="15" t="s">
        <v>121</v>
      </c>
      <c r="B25" s="16" t="s">
        <v>653</v>
      </c>
      <c r="C25" s="17">
        <v>4</v>
      </c>
      <c r="D25" s="17" t="s">
        <v>103</v>
      </c>
      <c r="E25" s="18" t="s">
        <v>99</v>
      </c>
      <c r="F25" s="19"/>
      <c r="G25" s="19"/>
      <c r="H25" s="19"/>
      <c r="I25" s="19"/>
      <c r="J25" s="19"/>
      <c r="K25" s="19"/>
      <c r="L25" s="19">
        <v>3</v>
      </c>
      <c r="M25" s="19">
        <v>25</v>
      </c>
      <c r="N25" s="19" t="s">
        <v>602</v>
      </c>
      <c r="O25" s="19">
        <v>17</v>
      </c>
      <c r="P25" s="20"/>
      <c r="Q25" s="20">
        <v>8.33</v>
      </c>
      <c r="R25" s="21">
        <v>1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13</v>
      </c>
      <c r="AE25" s="22">
        <v>10</v>
      </c>
      <c r="AF25" s="22">
        <v>104</v>
      </c>
      <c r="AG25" s="22">
        <v>0</v>
      </c>
      <c r="AH25" s="23" t="s">
        <v>101</v>
      </c>
      <c r="AI25" s="24" t="str">
        <f t="shared" si="0"/>
        <v/>
      </c>
      <c r="AJ25" s="24">
        <f t="shared" si="1"/>
        <v>10.4</v>
      </c>
      <c r="AK25" s="25">
        <f t="shared" si="2"/>
        <v>0.76923076923076927</v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2.3049645390070921E-2</v>
      </c>
      <c r="AP25" s="25">
        <f t="shared" si="7"/>
        <v>0</v>
      </c>
      <c r="AQ25" s="26">
        <f t="shared" si="8"/>
        <v>0</v>
      </c>
      <c r="AR25" s="26">
        <f t="shared" si="9"/>
        <v>0.76470588235294112</v>
      </c>
      <c r="AS25" s="27">
        <f t="shared" si="10"/>
        <v>10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15.4</v>
      </c>
    </row>
    <row r="26" spans="1:47" x14ac:dyDescent="0.25">
      <c r="A26" s="15" t="s">
        <v>121</v>
      </c>
      <c r="B26" s="16" t="s">
        <v>654</v>
      </c>
      <c r="C26" s="17">
        <v>5</v>
      </c>
      <c r="D26" s="17" t="s">
        <v>111</v>
      </c>
      <c r="E26" s="18" t="s">
        <v>99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  <c r="R26" s="21"/>
      <c r="S26" s="21"/>
      <c r="T26" s="20"/>
      <c r="U26" s="22">
        <v>17</v>
      </c>
      <c r="V26" s="22"/>
      <c r="W26" s="22"/>
      <c r="X26" s="22"/>
      <c r="Y26" s="22"/>
      <c r="Z26" s="22"/>
      <c r="AA26" s="22">
        <v>0</v>
      </c>
      <c r="AB26" s="22">
        <v>0</v>
      </c>
      <c r="AC26" s="22">
        <v>0</v>
      </c>
      <c r="AD26" s="22">
        <v>0</v>
      </c>
      <c r="AE26" s="22">
        <v>3</v>
      </c>
      <c r="AF26" s="22">
        <v>24</v>
      </c>
      <c r="AG26" s="22">
        <v>0</v>
      </c>
      <c r="AH26" s="23" t="s">
        <v>101</v>
      </c>
      <c r="AI26" s="24" t="str">
        <f t="shared" si="0"/>
        <v/>
      </c>
      <c r="AJ26" s="24">
        <f t="shared" si="1"/>
        <v>8</v>
      </c>
      <c r="AK26" s="25" t="str">
        <f t="shared" si="2"/>
        <v/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0</v>
      </c>
      <c r="AP26" s="25">
        <f t="shared" si="7"/>
        <v>0</v>
      </c>
      <c r="AQ26" s="26">
        <f t="shared" si="8"/>
        <v>0</v>
      </c>
      <c r="AR26" s="26">
        <f t="shared" si="9"/>
        <v>0</v>
      </c>
      <c r="AS26" s="27">
        <f t="shared" si="10"/>
        <v>0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3.9000000000000004</v>
      </c>
    </row>
    <row r="27" spans="1:47" x14ac:dyDescent="0.25">
      <c r="A27" s="15" t="s">
        <v>121</v>
      </c>
      <c r="B27" s="16" t="s">
        <v>655</v>
      </c>
      <c r="C27" s="17">
        <v>6</v>
      </c>
      <c r="D27" s="17" t="s">
        <v>118</v>
      </c>
      <c r="E27" s="18" t="s">
        <v>99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20"/>
      <c r="R27" s="21"/>
      <c r="S27" s="21"/>
      <c r="T27" s="20"/>
      <c r="U27" s="22">
        <v>17</v>
      </c>
      <c r="V27" s="22"/>
      <c r="W27" s="22"/>
      <c r="X27" s="22"/>
      <c r="Y27" s="22"/>
      <c r="Z27" s="22"/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5</v>
      </c>
      <c r="AG27" s="22">
        <v>0</v>
      </c>
      <c r="AH27" s="23" t="s">
        <v>101</v>
      </c>
      <c r="AI27" s="24" t="str">
        <f t="shared" si="0"/>
        <v/>
      </c>
      <c r="AJ27" s="24" t="str">
        <f t="shared" si="1"/>
        <v/>
      </c>
      <c r="AK27" s="25" t="str">
        <f t="shared" si="2"/>
        <v/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0</v>
      </c>
      <c r="AP27" s="25">
        <f t="shared" si="7"/>
        <v>0</v>
      </c>
      <c r="AQ27" s="26">
        <f t="shared" si="8"/>
        <v>0</v>
      </c>
      <c r="AR27" s="26">
        <f t="shared" si="9"/>
        <v>0</v>
      </c>
      <c r="AS27" s="27">
        <f t="shared" si="10"/>
        <v>0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0.5</v>
      </c>
    </row>
    <row r="28" spans="1:47" x14ac:dyDescent="0.25">
      <c r="A28" s="15" t="s">
        <v>121</v>
      </c>
      <c r="B28" s="16" t="s">
        <v>656</v>
      </c>
      <c r="C28" s="17">
        <v>7</v>
      </c>
      <c r="D28" s="17" t="s">
        <v>128</v>
      </c>
      <c r="E28" s="18" t="s">
        <v>99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20"/>
      <c r="R28" s="21"/>
      <c r="S28" s="21"/>
      <c r="T28" s="20"/>
      <c r="U28" s="22">
        <v>17</v>
      </c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33"/>
      <c r="AI28" s="24" t="str">
        <f t="shared" si="0"/>
        <v/>
      </c>
      <c r="AJ28" s="24" t="str">
        <f t="shared" si="1"/>
        <v/>
      </c>
      <c r="AK28" s="25" t="str">
        <f t="shared" si="2"/>
        <v/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0</v>
      </c>
      <c r="AP28" s="25">
        <f t="shared" si="7"/>
        <v>0</v>
      </c>
      <c r="AQ28" s="26">
        <f t="shared" si="8"/>
        <v>0</v>
      </c>
      <c r="AR28" s="26">
        <f t="shared" si="9"/>
        <v>0</v>
      </c>
      <c r="AS28" s="27">
        <f t="shared" si="10"/>
        <v>0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0</v>
      </c>
    </row>
    <row r="29" spans="1:47" x14ac:dyDescent="0.25">
      <c r="A29" s="15" t="s">
        <v>121</v>
      </c>
      <c r="B29" s="16" t="s">
        <v>657</v>
      </c>
      <c r="C29" s="17">
        <v>8</v>
      </c>
      <c r="D29" s="17" t="s">
        <v>118</v>
      </c>
      <c r="E29" s="18" t="s">
        <v>99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1"/>
      <c r="S29" s="21"/>
      <c r="T29" s="20"/>
      <c r="U29" s="22">
        <v>17</v>
      </c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33"/>
      <c r="AI29" s="24" t="str">
        <f t="shared" si="0"/>
        <v/>
      </c>
      <c r="AJ29" s="24" t="str">
        <f t="shared" si="1"/>
        <v/>
      </c>
      <c r="AK29" s="25" t="str">
        <f t="shared" si="2"/>
        <v/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0</v>
      </c>
      <c r="AP29" s="25">
        <f t="shared" si="7"/>
        <v>0</v>
      </c>
      <c r="AQ29" s="26">
        <f t="shared" si="8"/>
        <v>0</v>
      </c>
      <c r="AR29" s="26">
        <f t="shared" si="9"/>
        <v>0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0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658</v>
      </c>
      <c r="C31" s="17">
        <v>1</v>
      </c>
      <c r="D31" s="17" t="s">
        <v>168</v>
      </c>
      <c r="E31" s="18" t="s">
        <v>99</v>
      </c>
      <c r="F31" s="19"/>
      <c r="G31" s="19"/>
      <c r="H31" s="19">
        <v>1</v>
      </c>
      <c r="I31" s="19"/>
      <c r="J31" s="19">
        <v>127</v>
      </c>
      <c r="K31" s="19">
        <v>62</v>
      </c>
      <c r="L31" s="19">
        <v>66</v>
      </c>
      <c r="M31" s="19">
        <v>438</v>
      </c>
      <c r="N31" s="19" t="s">
        <v>602</v>
      </c>
      <c r="O31" s="19">
        <v>15</v>
      </c>
      <c r="P31" s="20"/>
      <c r="Q31" s="20">
        <v>9.91</v>
      </c>
      <c r="R31" s="21">
        <v>0.73299999999999998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83</v>
      </c>
      <c r="AE31" s="22">
        <v>62</v>
      </c>
      <c r="AF31" s="22">
        <v>559</v>
      </c>
      <c r="AG31" s="22">
        <v>3</v>
      </c>
      <c r="AH31" s="23" t="s">
        <v>101</v>
      </c>
      <c r="AI31" s="24" t="str">
        <f t="shared" si="0"/>
        <v/>
      </c>
      <c r="AJ31" s="24">
        <f t="shared" si="1"/>
        <v>9.0161290322580641</v>
      </c>
      <c r="AK31" s="25">
        <f t="shared" si="2"/>
        <v>0.74698795180722888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0.14716312056737588</v>
      </c>
      <c r="AP31" s="25">
        <f t="shared" si="7"/>
        <v>0</v>
      </c>
      <c r="AQ31" s="26">
        <f t="shared" si="8"/>
        <v>0</v>
      </c>
      <c r="AR31" s="26">
        <f t="shared" si="9"/>
        <v>4.882352941176471</v>
      </c>
      <c r="AS31" s="27">
        <f t="shared" si="10"/>
        <v>17</v>
      </c>
      <c r="AT31" s="27">
        <f t="shared" si="11"/>
        <v>-1</v>
      </c>
      <c r="AU31" s="28">
        <f>AF31*Settings!$B$7+AG31*Settings!$B$8+AE31*Settings!$B$9+AB31*Settings!$B$10+AC31*Settings!$B$11+X31*Settings!$B$12+Y31*Settings!$B$13+Z31*Settings!$B$14</f>
        <v>104.9</v>
      </c>
    </row>
    <row r="32" spans="1:47" x14ac:dyDescent="0.25">
      <c r="A32" s="15" t="s">
        <v>135</v>
      </c>
      <c r="B32" s="16" t="s">
        <v>659</v>
      </c>
      <c r="C32" s="17">
        <v>2</v>
      </c>
      <c r="D32" s="17" t="s">
        <v>168</v>
      </c>
      <c r="E32" s="18" t="s">
        <v>99</v>
      </c>
      <c r="F32" s="19"/>
      <c r="G32" s="19"/>
      <c r="H32" s="19"/>
      <c r="I32" s="19"/>
      <c r="J32" s="19">
        <v>28</v>
      </c>
      <c r="K32" s="19">
        <v>28</v>
      </c>
      <c r="L32" s="19">
        <v>19</v>
      </c>
      <c r="M32" s="19">
        <v>160</v>
      </c>
      <c r="N32" s="19" t="s">
        <v>602</v>
      </c>
      <c r="O32" s="19">
        <v>15</v>
      </c>
      <c r="P32" s="20"/>
      <c r="Q32" s="20">
        <v>10.69</v>
      </c>
      <c r="R32" s="21">
        <v>0.78700000000000003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23</v>
      </c>
      <c r="AE32" s="22">
        <v>17</v>
      </c>
      <c r="AF32" s="22">
        <v>174</v>
      </c>
      <c r="AG32" s="22">
        <v>2</v>
      </c>
      <c r="AH32" s="23" t="s">
        <v>101</v>
      </c>
      <c r="AI32" s="24" t="str">
        <f t="shared" si="0"/>
        <v/>
      </c>
      <c r="AJ32" s="24">
        <f t="shared" si="1"/>
        <v>10.235294117647058</v>
      </c>
      <c r="AK32" s="25">
        <f t="shared" si="2"/>
        <v>0.73913043478260865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4.0780141843971635E-2</v>
      </c>
      <c r="AP32" s="25">
        <f t="shared" si="7"/>
        <v>0</v>
      </c>
      <c r="AQ32" s="26">
        <f t="shared" si="8"/>
        <v>0</v>
      </c>
      <c r="AR32" s="26">
        <f t="shared" si="9"/>
        <v>1.3529411764705883</v>
      </c>
      <c r="AS32" s="27">
        <f t="shared" si="10"/>
        <v>4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37.900000000000006</v>
      </c>
    </row>
    <row r="33" spans="1:47" x14ac:dyDescent="0.25">
      <c r="A33" s="15" t="s">
        <v>135</v>
      </c>
      <c r="B33" s="16" t="s">
        <v>660</v>
      </c>
      <c r="C33" s="17">
        <v>3</v>
      </c>
      <c r="D33" s="17" t="s">
        <v>118</v>
      </c>
      <c r="E33" s="18" t="s">
        <v>99</v>
      </c>
      <c r="F33" s="19"/>
      <c r="G33" s="19"/>
      <c r="H33" s="19"/>
      <c r="I33" s="19"/>
      <c r="J33" s="19"/>
      <c r="K33" s="19"/>
      <c r="L33" s="19">
        <v>3</v>
      </c>
      <c r="M33" s="19">
        <v>14</v>
      </c>
      <c r="N33" s="19" t="s">
        <v>602</v>
      </c>
      <c r="O33" s="19">
        <v>12</v>
      </c>
      <c r="P33" s="20"/>
      <c r="Q33" s="20">
        <v>7</v>
      </c>
      <c r="R33" s="21">
        <v>0.66700000000000004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4</v>
      </c>
      <c r="AE33" s="22">
        <v>4</v>
      </c>
      <c r="AF33" s="22">
        <v>30</v>
      </c>
      <c r="AG33" s="22">
        <v>0</v>
      </c>
      <c r="AH33" s="23" t="s">
        <v>101</v>
      </c>
      <c r="AI33" s="24" t="str">
        <f t="shared" si="0"/>
        <v/>
      </c>
      <c r="AJ33" s="24">
        <f t="shared" si="1"/>
        <v>7.5</v>
      </c>
      <c r="AK33" s="25">
        <f t="shared" si="2"/>
        <v>1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7.0921985815602835E-3</v>
      </c>
      <c r="AP33" s="25">
        <f t="shared" si="7"/>
        <v>0</v>
      </c>
      <c r="AQ33" s="26">
        <f t="shared" si="8"/>
        <v>0</v>
      </c>
      <c r="AR33" s="26">
        <f t="shared" si="9"/>
        <v>0.23529411764705882</v>
      </c>
      <c r="AS33" s="27">
        <f t="shared" si="10"/>
        <v>1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5</v>
      </c>
    </row>
    <row r="34" spans="1:47" x14ac:dyDescent="0.25">
      <c r="A34" s="15" t="s">
        <v>135</v>
      </c>
      <c r="B34" s="16" t="s">
        <v>661</v>
      </c>
      <c r="C34" s="17">
        <v>4</v>
      </c>
      <c r="D34" s="17" t="s">
        <v>103</v>
      </c>
      <c r="E34" s="18" t="s">
        <v>99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1"/>
      <c r="S34" s="21"/>
      <c r="T34" s="20"/>
      <c r="U34" s="22">
        <v>17</v>
      </c>
      <c r="V34" s="22"/>
      <c r="W34" s="22"/>
      <c r="X34" s="22"/>
      <c r="Y34" s="22"/>
      <c r="Z34" s="22"/>
      <c r="AA34" s="22">
        <v>2</v>
      </c>
      <c r="AB34" s="22">
        <v>6</v>
      </c>
      <c r="AC34" s="22">
        <v>0</v>
      </c>
      <c r="AD34" s="22">
        <v>4</v>
      </c>
      <c r="AE34" s="22">
        <v>3</v>
      </c>
      <c r="AF34" s="22">
        <v>22</v>
      </c>
      <c r="AG34" s="22">
        <v>0</v>
      </c>
      <c r="AH34" s="23" t="s">
        <v>101</v>
      </c>
      <c r="AI34" s="24">
        <f t="shared" si="0"/>
        <v>3</v>
      </c>
      <c r="AJ34" s="24">
        <f t="shared" si="1"/>
        <v>7.333333333333333</v>
      </c>
      <c r="AK34" s="25">
        <f t="shared" si="2"/>
        <v>0.75</v>
      </c>
      <c r="AL34" s="24" t="str">
        <f t="shared" si="3"/>
        <v/>
      </c>
      <c r="AM34" s="25" t="str">
        <f t="shared" si="4"/>
        <v/>
      </c>
      <c r="AN34" s="25">
        <f t="shared" si="5"/>
        <v>4.6072333563695013E-3</v>
      </c>
      <c r="AO34" s="25">
        <f t="shared" si="6"/>
        <v>7.0921985815602835E-3</v>
      </c>
      <c r="AP34" s="25">
        <f t="shared" si="7"/>
        <v>0</v>
      </c>
      <c r="AQ34" s="26">
        <f t="shared" si="8"/>
        <v>0.11764705882352941</v>
      </c>
      <c r="AR34" s="26">
        <f t="shared" si="9"/>
        <v>0.23529411764705882</v>
      </c>
      <c r="AS34" s="27">
        <f t="shared" si="10"/>
        <v>4</v>
      </c>
      <c r="AT34" s="27">
        <f t="shared" si="11"/>
        <v>2</v>
      </c>
      <c r="AU34" s="28">
        <f>AF34*Settings!$B$7+AG34*Settings!$B$8+AE34*Settings!$B$9+AB34*Settings!$B$10+AC34*Settings!$B$11+X34*Settings!$B$12+Y34*Settings!$B$13+Z34*Settings!$B$14</f>
        <v>4.3000000000000007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408</v>
      </c>
      <c r="V37" s="34">
        <f t="shared" si="12"/>
        <v>585</v>
      </c>
      <c r="W37" s="34">
        <f t="shared" si="12"/>
        <v>388</v>
      </c>
      <c r="X37" s="34">
        <f t="shared" si="12"/>
        <v>4090</v>
      </c>
      <c r="Y37" s="34">
        <f t="shared" si="12"/>
        <v>26</v>
      </c>
      <c r="Z37" s="34">
        <f t="shared" si="12"/>
        <v>14</v>
      </c>
      <c r="AA37" s="34">
        <f t="shared" si="12"/>
        <v>462</v>
      </c>
      <c r="AB37" s="34">
        <f t="shared" si="12"/>
        <v>2169</v>
      </c>
      <c r="AC37" s="34">
        <f t="shared" si="12"/>
        <v>14</v>
      </c>
      <c r="AD37" s="34">
        <f t="shared" si="12"/>
        <v>530</v>
      </c>
      <c r="AE37" s="34">
        <f t="shared" si="12"/>
        <v>366</v>
      </c>
      <c r="AF37" s="34">
        <f t="shared" si="12"/>
        <v>3969</v>
      </c>
      <c r="AG37" s="34">
        <f t="shared" si="12"/>
        <v>22</v>
      </c>
    </row>
    <row r="38" spans="1:47" x14ac:dyDescent="0.25">
      <c r="A38" s="5" t="s">
        <v>142</v>
      </c>
      <c r="V38" s="35">
        <f>$F$5</f>
        <v>591</v>
      </c>
      <c r="X38" s="35">
        <f>$I$5</f>
        <v>3870</v>
      </c>
      <c r="Y38" s="35">
        <f>$J$5</f>
        <v>25</v>
      </c>
      <c r="Z38" s="35">
        <f>$K$5</f>
        <v>16</v>
      </c>
      <c r="AA38" s="35">
        <f>$H$5</f>
        <v>434.09999999999991</v>
      </c>
      <c r="AB38" s="35">
        <f>$L$5</f>
        <v>1855</v>
      </c>
      <c r="AC38" s="35">
        <f>$M$5</f>
        <v>13</v>
      </c>
      <c r="AD38" s="35">
        <f>$G$5</f>
        <v>564</v>
      </c>
      <c r="AF38" s="35">
        <f>$I$5</f>
        <v>3870</v>
      </c>
      <c r="AG38" s="35">
        <f>$J$5</f>
        <v>25</v>
      </c>
    </row>
    <row r="39" spans="1:47" x14ac:dyDescent="0.25">
      <c r="A39" s="5" t="s">
        <v>143</v>
      </c>
      <c r="V39" s="36">
        <f>$F$5-V37</f>
        <v>6</v>
      </c>
      <c r="X39" s="36">
        <f>$I$5-X37</f>
        <v>-220</v>
      </c>
      <c r="Y39" s="36">
        <f>$J$5-Y37</f>
        <v>-1</v>
      </c>
      <c r="Z39" s="36">
        <f>$K$5-Z37</f>
        <v>2</v>
      </c>
      <c r="AA39" s="36">
        <f>$H$5-AA37</f>
        <v>-27.900000000000091</v>
      </c>
      <c r="AB39" s="36">
        <f>$L$5-AB37</f>
        <v>-314</v>
      </c>
      <c r="AC39" s="36">
        <f>$M$5-AC37</f>
        <v>-1</v>
      </c>
      <c r="AD39" s="36">
        <f>$G$5-AD37</f>
        <v>34</v>
      </c>
      <c r="AF39" s="36">
        <f>$I$5-AF37</f>
        <v>-99</v>
      </c>
      <c r="AG39" s="36">
        <f>$J$5-AG37</f>
        <v>3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359" priority="1" stopIfTrue="1">
      <formula>V37&gt;$F$5</formula>
    </cfRule>
    <cfRule type="expression" dxfId="358" priority="2">
      <formula>AND($F$5&gt;0,V37&lt;$F$5*0.97)</formula>
    </cfRule>
    <cfRule type="expression" dxfId="357" priority="3">
      <formula>AND($F$5&gt;0,V37&gt;=$F$5*0.97,V37&lt;=$F$5)</formula>
    </cfRule>
  </conditionalFormatting>
  <conditionalFormatting sqref="X37">
    <cfRule type="expression" dxfId="356" priority="4" stopIfTrue="1">
      <formula>X37&gt;$I$5</formula>
    </cfRule>
    <cfRule type="expression" dxfId="355" priority="5">
      <formula>AND($I$5&gt;0,X37&lt;$I$5*0.97)</formula>
    </cfRule>
    <cfRule type="expression" dxfId="354" priority="6">
      <formula>AND($I$5&gt;0,X37&gt;=$I$5*0.97,X37&lt;=$I$5)</formula>
    </cfRule>
  </conditionalFormatting>
  <conditionalFormatting sqref="Y37">
    <cfRule type="expression" dxfId="353" priority="7" stopIfTrue="1">
      <formula>Y37&gt;$J$5</formula>
    </cfRule>
    <cfRule type="expression" dxfId="352" priority="8">
      <formula>AND($J$5&gt;0,Y37&lt;$J$5*0.97)</formula>
    </cfRule>
    <cfRule type="expression" dxfId="351" priority="9">
      <formula>AND($J$5&gt;0,Y37&gt;=$J$5*0.97,Y37&lt;=$J$5)</formula>
    </cfRule>
  </conditionalFormatting>
  <conditionalFormatting sqref="Z37">
    <cfRule type="expression" dxfId="350" priority="10" stopIfTrue="1">
      <formula>Z37&gt;$K$5</formula>
    </cfRule>
    <cfRule type="expression" dxfId="349" priority="11">
      <formula>AND($K$5&gt;0,Z37&lt;$K$5*0.97)</formula>
    </cfRule>
    <cfRule type="expression" dxfId="348" priority="12">
      <formula>AND($K$5&gt;0,Z37&gt;=$K$5*0.97,Z37&lt;=$K$5)</formula>
    </cfRule>
  </conditionalFormatting>
  <conditionalFormatting sqref="AA37">
    <cfRule type="expression" dxfId="347" priority="13" stopIfTrue="1">
      <formula>AA37&gt;$H$5</formula>
    </cfRule>
    <cfRule type="expression" dxfId="346" priority="14">
      <formula>AND($H$5&gt;0,AA37&lt;$H$5*0.97)</formula>
    </cfRule>
    <cfRule type="expression" dxfId="345" priority="15">
      <formula>AND($H$5&gt;0,AA37&gt;=$H$5*0.97,AA37&lt;=$H$5)</formula>
    </cfRule>
  </conditionalFormatting>
  <conditionalFormatting sqref="AB37">
    <cfRule type="expression" dxfId="344" priority="16" stopIfTrue="1">
      <formula>AB37&gt;$L$5</formula>
    </cfRule>
    <cfRule type="expression" dxfId="343" priority="17">
      <formula>AND($L$5&gt;0,AB37&lt;$L$5*0.97)</formula>
    </cfRule>
    <cfRule type="expression" dxfId="342" priority="18">
      <formula>AND($L$5&gt;0,AB37&gt;=$L$5*0.97,AB37&lt;=$L$5)</formula>
    </cfRule>
  </conditionalFormatting>
  <conditionalFormatting sqref="AC37">
    <cfRule type="expression" dxfId="341" priority="19" stopIfTrue="1">
      <formula>AC37&gt;$M$5</formula>
    </cfRule>
    <cfRule type="expression" dxfId="340" priority="20">
      <formula>AND($M$5&gt;0,AC37&lt;$M$5*0.97)</formula>
    </cfRule>
    <cfRule type="expression" dxfId="339" priority="21">
      <formula>AND($M$5&gt;0,AC37&gt;=$M$5*0.97,AC37&lt;=$M$5)</formula>
    </cfRule>
  </conditionalFormatting>
  <conditionalFormatting sqref="AD37">
    <cfRule type="expression" dxfId="338" priority="22" stopIfTrue="1">
      <formula>AD37&gt;$G$5</formula>
    </cfRule>
    <cfRule type="expression" dxfId="337" priority="23">
      <formula>AND($G$5&gt;0,AD37&lt;$G$5*0.97)</formula>
    </cfRule>
    <cfRule type="expression" dxfId="336" priority="24">
      <formula>AND($G$5&gt;0,AD37&gt;=$G$5*0.97,AD37&lt;=$G$5)</formula>
    </cfRule>
  </conditionalFormatting>
  <conditionalFormatting sqref="AF37">
    <cfRule type="expression" dxfId="335" priority="25" stopIfTrue="1">
      <formula>AF37&gt;$I$5</formula>
    </cfRule>
    <cfRule type="expression" dxfId="334" priority="26">
      <formula>AND($I$5&gt;0,AF37&lt;$I$5*0.97)</formula>
    </cfRule>
    <cfRule type="expression" dxfId="333" priority="27">
      <formula>AND($I$5&gt;0,AF37&gt;=$I$5*0.97,AF37&lt;=$I$5)</formula>
    </cfRule>
  </conditionalFormatting>
  <conditionalFormatting sqref="AG37">
    <cfRule type="expression" dxfId="332" priority="28" stopIfTrue="1">
      <formula>AG37&gt;$J$5</formula>
    </cfRule>
    <cfRule type="expression" dxfId="331" priority="29">
      <formula>AND($J$5&gt;0,AG37&lt;$J$5*0.97)</formula>
    </cfRule>
    <cfRule type="expression" dxfId="330" priority="30">
      <formula>AND($J$5&gt;0,AG37&gt;=$J$5*0.97,AG37&lt;=$J$5)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662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61.2</v>
      </c>
      <c r="D5" s="10">
        <f>C5*B5</f>
        <v>1040.4000000000001</v>
      </c>
      <c r="E5" s="11">
        <v>0.55579999999999996</v>
      </c>
      <c r="F5" s="10">
        <f>ROUND(D5*E5,0)</f>
        <v>578</v>
      </c>
      <c r="G5" s="10">
        <f>ROUND(F5*Settings!$B$4,0)</f>
        <v>551</v>
      </c>
      <c r="H5" s="10">
        <f>D5-F5</f>
        <v>462.40000000000009</v>
      </c>
      <c r="I5" s="8">
        <v>3942</v>
      </c>
      <c r="J5" s="9">
        <v>25</v>
      </c>
      <c r="K5" s="9">
        <v>12</v>
      </c>
      <c r="L5" s="8">
        <v>2001</v>
      </c>
      <c r="M5" s="9">
        <v>16</v>
      </c>
    </row>
    <row r="7" spans="1:47" x14ac:dyDescent="0.25">
      <c r="A7" s="5" t="s">
        <v>54</v>
      </c>
      <c r="B7" s="12" t="s">
        <v>663</v>
      </c>
    </row>
    <row r="8" spans="1:47" x14ac:dyDescent="0.25">
      <c r="A8" s="5" t="s">
        <v>56</v>
      </c>
      <c r="B8" s="13" t="s">
        <v>237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664</v>
      </c>
      <c r="C11" s="17">
        <v>1</v>
      </c>
      <c r="D11" s="17" t="s">
        <v>103</v>
      </c>
      <c r="E11" s="18" t="s">
        <v>99</v>
      </c>
      <c r="F11" s="19"/>
      <c r="G11" s="19">
        <v>52</v>
      </c>
      <c r="H11" s="19">
        <v>82</v>
      </c>
      <c r="I11" s="19">
        <v>450</v>
      </c>
      <c r="J11" s="19"/>
      <c r="K11" s="19"/>
      <c r="L11" s="19">
        <v>1</v>
      </c>
      <c r="M11" s="19">
        <v>2</v>
      </c>
      <c r="N11" s="19" t="s">
        <v>175</v>
      </c>
      <c r="O11" s="19">
        <v>17</v>
      </c>
      <c r="P11" s="20">
        <v>6.5</v>
      </c>
      <c r="Q11" s="20">
        <v>2</v>
      </c>
      <c r="R11" s="21">
        <v>1</v>
      </c>
      <c r="S11" s="21">
        <v>0.69799999999999995</v>
      </c>
      <c r="T11" s="20">
        <v>8.0399999999999991</v>
      </c>
      <c r="U11" s="22">
        <v>17</v>
      </c>
      <c r="V11" s="22">
        <v>498</v>
      </c>
      <c r="W11" s="22">
        <v>343</v>
      </c>
      <c r="X11" s="22">
        <v>3984</v>
      </c>
      <c r="Y11" s="22">
        <v>27</v>
      </c>
      <c r="Z11" s="22">
        <v>10</v>
      </c>
      <c r="AA11" s="22">
        <v>95</v>
      </c>
      <c r="AB11" s="22">
        <v>466</v>
      </c>
      <c r="AC11" s="22">
        <v>4</v>
      </c>
      <c r="AD11" s="22">
        <v>1</v>
      </c>
      <c r="AE11" s="22">
        <v>1</v>
      </c>
      <c r="AF11" s="22">
        <v>2</v>
      </c>
      <c r="AG11" s="22">
        <v>0</v>
      </c>
      <c r="AH11" s="23" t="s">
        <v>101</v>
      </c>
      <c r="AI11" s="24">
        <f t="shared" ref="AI11:AI35" si="0">IFERROR(AB11/AA11,"")</f>
        <v>4.905263157894737</v>
      </c>
      <c r="AJ11" s="24">
        <f t="shared" ref="AJ11:AJ35" si="1">IFERROR(AF11/AE11,"")</f>
        <v>2</v>
      </c>
      <c r="AK11" s="25">
        <f t="shared" ref="AK11:AK35" si="2">IFERROR(AE11/AD11,"")</f>
        <v>1</v>
      </c>
      <c r="AL11" s="24">
        <f t="shared" ref="AL11:AL35" si="3">IFERROR(X11/V11,"")</f>
        <v>8</v>
      </c>
      <c r="AM11" s="25">
        <f t="shared" ref="AM11:AM35" si="4">IFERROR(W11/V11,"")</f>
        <v>0.6887550200803213</v>
      </c>
      <c r="AN11" s="25">
        <f t="shared" ref="AN11:AN35" si="5">IFERROR(AA11/$H$5,"")</f>
        <v>0.20544982698961933</v>
      </c>
      <c r="AO11" s="25">
        <f t="shared" ref="AO11:AO35" si="6">IFERROR(AD11/$G$5,"")</f>
        <v>1.8148820326678765E-3</v>
      </c>
      <c r="AP11" s="25">
        <f t="shared" ref="AP11:AP35" si="7">IFERROR(V11/$F$5,"")</f>
        <v>0.86159169550173009</v>
      </c>
      <c r="AQ11" s="26">
        <f t="shared" ref="AQ11:AQ35" si="8">IFERROR(AA11/U11,"")</f>
        <v>5.5882352941176467</v>
      </c>
      <c r="AR11" s="26">
        <f t="shared" ref="AR11:AR35" si="9">IFERROR(AD11/U11,"")</f>
        <v>5.8823529411764705E-2</v>
      </c>
      <c r="AS11" s="27">
        <f t="shared" ref="AS11:AS35" si="10">IFERROR(AD11-L11,"")</f>
        <v>0</v>
      </c>
      <c r="AT11" s="27">
        <f t="shared" ref="AT11:AT35" si="11">IFERROR(AA11-H11,"")</f>
        <v>13</v>
      </c>
      <c r="AU11" s="28">
        <f>AF11*Settings!$B$7+AG11*Settings!$B$8+AE11*Settings!$B$9+AB11*Settings!$B$10+AC11*Settings!$B$11+X11*Settings!$B$12+Y11*Settings!$B$13+Z11*Settings!$B$14</f>
        <v>318.66000000000003</v>
      </c>
    </row>
    <row r="12" spans="1:47" x14ac:dyDescent="0.25">
      <c r="A12" s="15" t="s">
        <v>96</v>
      </c>
      <c r="B12" s="16" t="s">
        <v>665</v>
      </c>
      <c r="C12" s="17">
        <v>2</v>
      </c>
      <c r="D12" s="17" t="s">
        <v>158</v>
      </c>
      <c r="E12" s="18" t="s">
        <v>99</v>
      </c>
      <c r="F12" s="19">
        <v>33</v>
      </c>
      <c r="G12" s="19">
        <v>7</v>
      </c>
      <c r="H12" s="19"/>
      <c r="I12" s="19"/>
      <c r="J12" s="19"/>
      <c r="K12" s="19"/>
      <c r="L12" s="19"/>
      <c r="M12" s="19"/>
      <c r="N12" s="19"/>
      <c r="O12" s="19"/>
      <c r="P12" s="20">
        <v>5.67</v>
      </c>
      <c r="Q12" s="20"/>
      <c r="R12" s="21"/>
      <c r="S12" s="21">
        <v>0.65300000000000002</v>
      </c>
      <c r="T12" s="20">
        <v>6.12</v>
      </c>
      <c r="U12" s="22">
        <v>17</v>
      </c>
      <c r="V12" s="22">
        <v>29</v>
      </c>
      <c r="W12" s="22">
        <v>18</v>
      </c>
      <c r="X12" s="22">
        <v>215</v>
      </c>
      <c r="Y12" s="22">
        <v>1</v>
      </c>
      <c r="Z12" s="22">
        <v>1</v>
      </c>
      <c r="AA12" s="22">
        <v>3</v>
      </c>
      <c r="AB12" s="22">
        <v>11</v>
      </c>
      <c r="AC12" s="22">
        <v>0</v>
      </c>
      <c r="AD12" s="22"/>
      <c r="AE12" s="22"/>
      <c r="AF12" s="22"/>
      <c r="AG12" s="22"/>
      <c r="AH12" s="23" t="s">
        <v>101</v>
      </c>
      <c r="AI12" s="24">
        <f t="shared" si="0"/>
        <v>3.6666666666666665</v>
      </c>
      <c r="AJ12" s="24" t="str">
        <f t="shared" si="1"/>
        <v/>
      </c>
      <c r="AK12" s="25" t="str">
        <f t="shared" si="2"/>
        <v/>
      </c>
      <c r="AL12" s="24">
        <f t="shared" si="3"/>
        <v>7.4137931034482758</v>
      </c>
      <c r="AM12" s="25">
        <f t="shared" si="4"/>
        <v>0.62068965517241381</v>
      </c>
      <c r="AN12" s="25">
        <f t="shared" si="5"/>
        <v>6.4878892733564002E-3</v>
      </c>
      <c r="AO12" s="25">
        <f t="shared" si="6"/>
        <v>0</v>
      </c>
      <c r="AP12" s="25">
        <f t="shared" si="7"/>
        <v>5.0173010380622836E-2</v>
      </c>
      <c r="AQ12" s="26">
        <f t="shared" si="8"/>
        <v>0.17647058823529413</v>
      </c>
      <c r="AR12" s="26">
        <f t="shared" si="9"/>
        <v>0</v>
      </c>
      <c r="AS12" s="27">
        <f t="shared" si="10"/>
        <v>0</v>
      </c>
      <c r="AT12" s="27">
        <f t="shared" si="11"/>
        <v>3</v>
      </c>
      <c r="AU12" s="28">
        <f>AF12*Settings!$B$7+AG12*Settings!$B$8+AE12*Settings!$B$9+AB12*Settings!$B$10+AC12*Settings!$B$11+X12*Settings!$B$12+Y12*Settings!$B$13+Z12*Settings!$B$14</f>
        <v>11.7</v>
      </c>
    </row>
    <row r="13" spans="1:47" x14ac:dyDescent="0.25">
      <c r="A13" s="15" t="s">
        <v>96</v>
      </c>
      <c r="B13" s="16" t="s">
        <v>666</v>
      </c>
      <c r="C13" s="17">
        <v>3</v>
      </c>
      <c r="D13" s="17" t="s">
        <v>118</v>
      </c>
      <c r="E13" s="18" t="s">
        <v>99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1"/>
      <c r="S13" s="21"/>
      <c r="T13" s="20"/>
      <c r="U13" s="22">
        <v>17</v>
      </c>
      <c r="V13" s="22">
        <v>12</v>
      </c>
      <c r="W13" s="22">
        <v>8</v>
      </c>
      <c r="X13" s="22">
        <v>88</v>
      </c>
      <c r="Y13" s="22">
        <v>1</v>
      </c>
      <c r="Z13" s="22">
        <v>0</v>
      </c>
      <c r="AA13" s="22">
        <v>1</v>
      </c>
      <c r="AB13" s="22">
        <v>6</v>
      </c>
      <c r="AC13" s="22">
        <v>0</v>
      </c>
      <c r="AD13" s="22"/>
      <c r="AE13" s="22"/>
      <c r="AF13" s="22"/>
      <c r="AG13" s="22"/>
      <c r="AH13" s="23" t="s">
        <v>101</v>
      </c>
      <c r="AI13" s="24">
        <f t="shared" si="0"/>
        <v>6</v>
      </c>
      <c r="AJ13" s="24" t="str">
        <f t="shared" si="1"/>
        <v/>
      </c>
      <c r="AK13" s="25" t="str">
        <f t="shared" si="2"/>
        <v/>
      </c>
      <c r="AL13" s="24">
        <f t="shared" si="3"/>
        <v>7.333333333333333</v>
      </c>
      <c r="AM13" s="25">
        <f t="shared" si="4"/>
        <v>0.66666666666666663</v>
      </c>
      <c r="AN13" s="25">
        <f t="shared" si="5"/>
        <v>2.1626297577854669E-3</v>
      </c>
      <c r="AO13" s="25">
        <f t="shared" si="6"/>
        <v>0</v>
      </c>
      <c r="AP13" s="25">
        <f t="shared" si="7"/>
        <v>2.0761245674740483E-2</v>
      </c>
      <c r="AQ13" s="26">
        <f t="shared" si="8"/>
        <v>5.8823529411764705E-2</v>
      </c>
      <c r="AR13" s="26">
        <f t="shared" si="9"/>
        <v>0</v>
      </c>
      <c r="AS13" s="27">
        <f t="shared" si="10"/>
        <v>0</v>
      </c>
      <c r="AT13" s="27">
        <f t="shared" si="11"/>
        <v>1</v>
      </c>
      <c r="AU13" s="28">
        <f>AF13*Settings!$B$7+AG13*Settings!$B$8+AE13*Settings!$B$9+AB13*Settings!$B$10+AC13*Settings!$B$11+X13*Settings!$B$12+Y13*Settings!$B$13+Z13*Settings!$B$14</f>
        <v>8.120000000000001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667</v>
      </c>
      <c r="C15" s="17">
        <v>1</v>
      </c>
      <c r="D15" s="17" t="s">
        <v>103</v>
      </c>
      <c r="E15" s="18" t="s">
        <v>99</v>
      </c>
      <c r="F15" s="19"/>
      <c r="G15" s="19"/>
      <c r="H15" s="19">
        <v>180</v>
      </c>
      <c r="I15" s="19">
        <v>911</v>
      </c>
      <c r="J15" s="19"/>
      <c r="K15" s="19"/>
      <c r="L15" s="19">
        <v>42</v>
      </c>
      <c r="M15" s="19">
        <v>221</v>
      </c>
      <c r="N15" s="19" t="s">
        <v>175</v>
      </c>
      <c r="O15" s="19">
        <v>17</v>
      </c>
      <c r="P15" s="20">
        <v>5.0599999999999996</v>
      </c>
      <c r="Q15" s="20">
        <v>6.31</v>
      </c>
      <c r="R15" s="21">
        <v>0.83299999999999996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181</v>
      </c>
      <c r="AB15" s="22">
        <v>845</v>
      </c>
      <c r="AC15" s="22">
        <v>7</v>
      </c>
      <c r="AD15" s="22">
        <v>45</v>
      </c>
      <c r="AE15" s="22">
        <v>37</v>
      </c>
      <c r="AF15" s="22">
        <v>255</v>
      </c>
      <c r="AG15" s="22">
        <v>1</v>
      </c>
      <c r="AH15" s="23" t="s">
        <v>101</v>
      </c>
      <c r="AI15" s="24">
        <f t="shared" si="0"/>
        <v>4.6685082872928181</v>
      </c>
      <c r="AJ15" s="24">
        <f t="shared" si="1"/>
        <v>6.8918918918918921</v>
      </c>
      <c r="AK15" s="25">
        <f t="shared" si="2"/>
        <v>0.82222222222222219</v>
      </c>
      <c r="AL15" s="24" t="str">
        <f t="shared" si="3"/>
        <v/>
      </c>
      <c r="AM15" s="25" t="str">
        <f t="shared" si="4"/>
        <v/>
      </c>
      <c r="AN15" s="25">
        <f t="shared" si="5"/>
        <v>0.39143598615916947</v>
      </c>
      <c r="AO15" s="25">
        <f t="shared" si="6"/>
        <v>8.1669691470054442E-2</v>
      </c>
      <c r="AP15" s="25">
        <f t="shared" si="7"/>
        <v>0</v>
      </c>
      <c r="AQ15" s="26">
        <f t="shared" si="8"/>
        <v>10.647058823529411</v>
      </c>
      <c r="AR15" s="26">
        <f t="shared" si="9"/>
        <v>2.6470588235294117</v>
      </c>
      <c r="AS15" s="27">
        <f t="shared" si="10"/>
        <v>3</v>
      </c>
      <c r="AT15" s="27">
        <f t="shared" si="11"/>
        <v>1</v>
      </c>
      <c r="AU15" s="28">
        <f>AF15*Settings!$B$7+AG15*Settings!$B$8+AE15*Settings!$B$9+AB15*Settings!$B$10+AC15*Settings!$B$11+X15*Settings!$B$12+Y15*Settings!$B$13+Z15*Settings!$B$14</f>
        <v>176.5</v>
      </c>
    </row>
    <row r="16" spans="1:47" x14ac:dyDescent="0.25">
      <c r="A16" s="15" t="s">
        <v>107</v>
      </c>
      <c r="B16" s="16" t="s">
        <v>668</v>
      </c>
      <c r="C16" s="17">
        <v>2</v>
      </c>
      <c r="D16" s="17" t="s">
        <v>130</v>
      </c>
      <c r="E16" s="18" t="s">
        <v>99</v>
      </c>
      <c r="F16" s="19">
        <v>156</v>
      </c>
      <c r="G16" s="19">
        <v>207</v>
      </c>
      <c r="H16" s="19">
        <v>130</v>
      </c>
      <c r="I16" s="19">
        <v>603</v>
      </c>
      <c r="J16" s="19">
        <v>51</v>
      </c>
      <c r="K16" s="19">
        <v>41</v>
      </c>
      <c r="L16" s="19">
        <v>37</v>
      </c>
      <c r="M16" s="19">
        <v>345</v>
      </c>
      <c r="N16" s="19" t="s">
        <v>175</v>
      </c>
      <c r="O16" s="19">
        <v>14</v>
      </c>
      <c r="P16" s="20">
        <v>4.0999999999999996</v>
      </c>
      <c r="Q16" s="20">
        <v>7.29</v>
      </c>
      <c r="R16" s="21">
        <v>0.79800000000000004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162</v>
      </c>
      <c r="AB16" s="22">
        <v>719</v>
      </c>
      <c r="AC16" s="22">
        <v>7</v>
      </c>
      <c r="AD16" s="22">
        <v>42</v>
      </c>
      <c r="AE16" s="22">
        <v>35</v>
      </c>
      <c r="AF16" s="22">
        <v>296</v>
      </c>
      <c r="AG16" s="22">
        <v>2</v>
      </c>
      <c r="AH16" s="23" t="s">
        <v>101</v>
      </c>
      <c r="AI16" s="24">
        <f t="shared" si="0"/>
        <v>4.4382716049382713</v>
      </c>
      <c r="AJ16" s="24">
        <f t="shared" si="1"/>
        <v>8.4571428571428573</v>
      </c>
      <c r="AK16" s="25">
        <f t="shared" si="2"/>
        <v>0.83333333333333337</v>
      </c>
      <c r="AL16" s="24" t="str">
        <f t="shared" si="3"/>
        <v/>
      </c>
      <c r="AM16" s="25" t="str">
        <f t="shared" si="4"/>
        <v/>
      </c>
      <c r="AN16" s="25">
        <f t="shared" si="5"/>
        <v>0.3503460207612456</v>
      </c>
      <c r="AO16" s="25">
        <f t="shared" si="6"/>
        <v>7.6225045372050812E-2</v>
      </c>
      <c r="AP16" s="25">
        <f t="shared" si="7"/>
        <v>0</v>
      </c>
      <c r="AQ16" s="26">
        <f t="shared" si="8"/>
        <v>9.5294117647058822</v>
      </c>
      <c r="AR16" s="26">
        <f t="shared" si="9"/>
        <v>2.4705882352941178</v>
      </c>
      <c r="AS16" s="27">
        <f t="shared" si="10"/>
        <v>5</v>
      </c>
      <c r="AT16" s="27">
        <f t="shared" si="11"/>
        <v>32</v>
      </c>
      <c r="AU16" s="28">
        <f>AF16*Settings!$B$7+AG16*Settings!$B$8+AE16*Settings!$B$9+AB16*Settings!$B$10+AC16*Settings!$B$11+X16*Settings!$B$12+Y16*Settings!$B$13+Z16*Settings!$B$14</f>
        <v>173</v>
      </c>
    </row>
    <row r="17" spans="1:47" x14ac:dyDescent="0.25">
      <c r="A17" s="15" t="s">
        <v>107</v>
      </c>
      <c r="B17" s="16" t="s">
        <v>669</v>
      </c>
      <c r="C17" s="17">
        <v>3</v>
      </c>
      <c r="D17" s="17" t="s">
        <v>105</v>
      </c>
      <c r="E17" s="18" t="s">
        <v>99</v>
      </c>
      <c r="F17" s="19"/>
      <c r="G17" s="19">
        <v>13</v>
      </c>
      <c r="H17" s="19">
        <v>23</v>
      </c>
      <c r="I17" s="19">
        <v>73</v>
      </c>
      <c r="J17" s="19"/>
      <c r="K17" s="19">
        <v>1</v>
      </c>
      <c r="L17" s="19">
        <v>1</v>
      </c>
      <c r="M17" s="19">
        <v>9</v>
      </c>
      <c r="N17" s="19" t="s">
        <v>175</v>
      </c>
      <c r="O17" s="19">
        <v>7</v>
      </c>
      <c r="P17" s="20">
        <v>2.94</v>
      </c>
      <c r="Q17" s="20">
        <v>9</v>
      </c>
      <c r="R17" s="21">
        <v>0.5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28</v>
      </c>
      <c r="AB17" s="22">
        <v>87</v>
      </c>
      <c r="AC17" s="22">
        <v>1</v>
      </c>
      <c r="AD17" s="22">
        <v>3</v>
      </c>
      <c r="AE17" s="22">
        <v>4</v>
      </c>
      <c r="AF17" s="22">
        <v>23</v>
      </c>
      <c r="AG17" s="22">
        <v>0</v>
      </c>
      <c r="AH17" s="23" t="s">
        <v>101</v>
      </c>
      <c r="AI17" s="24">
        <f t="shared" si="0"/>
        <v>3.1071428571428572</v>
      </c>
      <c r="AJ17" s="24">
        <f t="shared" si="1"/>
        <v>5.75</v>
      </c>
      <c r="AK17" s="25">
        <f t="shared" si="2"/>
        <v>1.3333333333333333</v>
      </c>
      <c r="AL17" s="24" t="str">
        <f t="shared" si="3"/>
        <v/>
      </c>
      <c r="AM17" s="25" t="str">
        <f t="shared" si="4"/>
        <v/>
      </c>
      <c r="AN17" s="25">
        <f t="shared" si="5"/>
        <v>6.0553633217993071E-2</v>
      </c>
      <c r="AO17" s="25">
        <f t="shared" si="6"/>
        <v>5.4446460980036296E-3</v>
      </c>
      <c r="AP17" s="25">
        <f t="shared" si="7"/>
        <v>0</v>
      </c>
      <c r="AQ17" s="26">
        <f t="shared" si="8"/>
        <v>1.6470588235294117</v>
      </c>
      <c r="AR17" s="26">
        <f t="shared" si="9"/>
        <v>0.17647058823529413</v>
      </c>
      <c r="AS17" s="27">
        <f t="shared" si="10"/>
        <v>2</v>
      </c>
      <c r="AT17" s="27">
        <f t="shared" si="11"/>
        <v>5</v>
      </c>
      <c r="AU17" s="28">
        <f>AF17*Settings!$B$7+AG17*Settings!$B$8+AE17*Settings!$B$9+AB17*Settings!$B$10+AC17*Settings!$B$11+X17*Settings!$B$12+Y17*Settings!$B$13+Z17*Settings!$B$14</f>
        <v>19</v>
      </c>
    </row>
    <row r="18" spans="1:47" x14ac:dyDescent="0.25">
      <c r="A18" s="15" t="s">
        <v>107</v>
      </c>
      <c r="B18" s="16" t="s">
        <v>670</v>
      </c>
      <c r="C18" s="17">
        <v>4</v>
      </c>
      <c r="D18" s="17"/>
      <c r="E18" s="18" t="s">
        <v>99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0"/>
      <c r="Q18" s="20"/>
      <c r="R18" s="21"/>
      <c r="S18" s="21"/>
      <c r="T18" s="20"/>
      <c r="U18" s="22">
        <v>17</v>
      </c>
      <c r="V18" s="22"/>
      <c r="W18" s="22"/>
      <c r="X18" s="22"/>
      <c r="Y18" s="22"/>
      <c r="Z18" s="22"/>
      <c r="AA18" s="22">
        <v>22</v>
      </c>
      <c r="AB18" s="22">
        <v>92</v>
      </c>
      <c r="AC18" s="22">
        <v>1</v>
      </c>
      <c r="AD18" s="22">
        <v>3</v>
      </c>
      <c r="AE18" s="22">
        <v>2</v>
      </c>
      <c r="AF18" s="22">
        <v>19</v>
      </c>
      <c r="AG18" s="22">
        <v>0</v>
      </c>
      <c r="AH18" s="23" t="s">
        <v>101</v>
      </c>
      <c r="AI18" s="24">
        <f t="shared" si="0"/>
        <v>4.1818181818181817</v>
      </c>
      <c r="AJ18" s="24">
        <f t="shared" si="1"/>
        <v>9.5</v>
      </c>
      <c r="AK18" s="25">
        <f t="shared" si="2"/>
        <v>0.66666666666666663</v>
      </c>
      <c r="AL18" s="24" t="str">
        <f t="shared" si="3"/>
        <v/>
      </c>
      <c r="AM18" s="25" t="str">
        <f t="shared" si="4"/>
        <v/>
      </c>
      <c r="AN18" s="25">
        <f t="shared" si="5"/>
        <v>4.757785467128027E-2</v>
      </c>
      <c r="AO18" s="25">
        <f t="shared" si="6"/>
        <v>5.4446460980036296E-3</v>
      </c>
      <c r="AP18" s="25">
        <f t="shared" si="7"/>
        <v>0</v>
      </c>
      <c r="AQ18" s="26">
        <f t="shared" si="8"/>
        <v>1.2941176470588236</v>
      </c>
      <c r="AR18" s="26">
        <f t="shared" si="9"/>
        <v>0.17647058823529413</v>
      </c>
      <c r="AS18" s="27">
        <f t="shared" si="10"/>
        <v>3</v>
      </c>
      <c r="AT18" s="27">
        <f t="shared" si="11"/>
        <v>22</v>
      </c>
      <c r="AU18" s="28">
        <f>AF18*Settings!$B$7+AG18*Settings!$B$8+AE18*Settings!$B$9+AB18*Settings!$B$10+AC18*Settings!$B$11+X18*Settings!$B$12+Y18*Settings!$B$13+Z18*Settings!$B$14</f>
        <v>18.100000000000001</v>
      </c>
    </row>
    <row r="19" spans="1:47" x14ac:dyDescent="0.25">
      <c r="A19" s="15" t="s">
        <v>107</v>
      </c>
      <c r="B19" s="16" t="s">
        <v>671</v>
      </c>
      <c r="C19" s="17">
        <v>5</v>
      </c>
      <c r="D19" s="17" t="s">
        <v>118</v>
      </c>
      <c r="E19" s="18" t="s">
        <v>99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1"/>
      <c r="S19" s="21"/>
      <c r="T19" s="20"/>
      <c r="U19" s="22">
        <v>17</v>
      </c>
      <c r="V19" s="22"/>
      <c r="W19" s="22"/>
      <c r="X19" s="22"/>
      <c r="Y19" s="22"/>
      <c r="Z19" s="22"/>
      <c r="AA19" s="22">
        <v>13</v>
      </c>
      <c r="AB19" s="22">
        <v>57</v>
      </c>
      <c r="AC19" s="22">
        <v>0</v>
      </c>
      <c r="AD19" s="22">
        <v>0</v>
      </c>
      <c r="AE19" s="22">
        <v>2</v>
      </c>
      <c r="AF19" s="22">
        <v>12</v>
      </c>
      <c r="AG19" s="22">
        <v>0</v>
      </c>
      <c r="AH19" s="23" t="s">
        <v>101</v>
      </c>
      <c r="AI19" s="24">
        <f t="shared" si="0"/>
        <v>4.384615384615385</v>
      </c>
      <c r="AJ19" s="24">
        <f t="shared" si="1"/>
        <v>6</v>
      </c>
      <c r="AK19" s="25" t="str">
        <f t="shared" si="2"/>
        <v/>
      </c>
      <c r="AL19" s="24" t="str">
        <f t="shared" si="3"/>
        <v/>
      </c>
      <c r="AM19" s="25" t="str">
        <f t="shared" si="4"/>
        <v/>
      </c>
      <c r="AN19" s="25">
        <f t="shared" si="5"/>
        <v>2.8114186851211066E-2</v>
      </c>
      <c r="AO19" s="25">
        <f t="shared" si="6"/>
        <v>0</v>
      </c>
      <c r="AP19" s="25">
        <f t="shared" si="7"/>
        <v>0</v>
      </c>
      <c r="AQ19" s="26">
        <f t="shared" si="8"/>
        <v>0.76470588235294112</v>
      </c>
      <c r="AR19" s="26">
        <f t="shared" si="9"/>
        <v>0</v>
      </c>
      <c r="AS19" s="27">
        <f t="shared" si="10"/>
        <v>0</v>
      </c>
      <c r="AT19" s="27">
        <f t="shared" si="11"/>
        <v>13</v>
      </c>
      <c r="AU19" s="28">
        <f>AF19*Settings!$B$7+AG19*Settings!$B$8+AE19*Settings!$B$9+AB19*Settings!$B$10+AC19*Settings!$B$11+X19*Settings!$B$12+Y19*Settings!$B$13+Z19*Settings!$B$14</f>
        <v>7.9</v>
      </c>
    </row>
    <row r="20" spans="1:47" x14ac:dyDescent="0.25">
      <c r="A20" s="15" t="s">
        <v>107</v>
      </c>
      <c r="B20" s="16" t="s">
        <v>672</v>
      </c>
      <c r="C20" s="17">
        <v>6</v>
      </c>
      <c r="D20" s="17"/>
      <c r="E20" s="18" t="s">
        <v>99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1"/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673</v>
      </c>
      <c r="C22" s="17">
        <v>1</v>
      </c>
      <c r="D22" s="17" t="s">
        <v>168</v>
      </c>
      <c r="E22" s="18" t="s">
        <v>99</v>
      </c>
      <c r="F22" s="19"/>
      <c r="G22" s="19"/>
      <c r="H22" s="19"/>
      <c r="I22" s="19"/>
      <c r="J22" s="19">
        <v>158</v>
      </c>
      <c r="K22" s="19">
        <v>97</v>
      </c>
      <c r="L22" s="19">
        <v>121</v>
      </c>
      <c r="M22" s="19">
        <v>1003</v>
      </c>
      <c r="N22" s="19" t="s">
        <v>166</v>
      </c>
      <c r="O22" s="19">
        <v>15</v>
      </c>
      <c r="P22" s="20"/>
      <c r="Q22" s="20">
        <v>14.1</v>
      </c>
      <c r="R22" s="21">
        <v>0.66800000000000004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1</v>
      </c>
      <c r="AC22" s="22">
        <v>0</v>
      </c>
      <c r="AD22" s="22">
        <v>131</v>
      </c>
      <c r="AE22" s="22">
        <v>87</v>
      </c>
      <c r="AF22" s="22">
        <v>1200</v>
      </c>
      <c r="AG22" s="22">
        <v>8</v>
      </c>
      <c r="AH22" s="23" t="s">
        <v>101</v>
      </c>
      <c r="AI22" s="24" t="str">
        <f t="shared" si="0"/>
        <v/>
      </c>
      <c r="AJ22" s="24">
        <f t="shared" si="1"/>
        <v>13.793103448275861</v>
      </c>
      <c r="AK22" s="25">
        <f t="shared" si="2"/>
        <v>0.66412213740458015</v>
      </c>
      <c r="AL22" s="24" t="str">
        <f t="shared" si="3"/>
        <v/>
      </c>
      <c r="AM22" s="25" t="str">
        <f t="shared" si="4"/>
        <v/>
      </c>
      <c r="AN22" s="25">
        <f t="shared" si="5"/>
        <v>0</v>
      </c>
      <c r="AO22" s="25">
        <f t="shared" si="6"/>
        <v>0.23774954627949182</v>
      </c>
      <c r="AP22" s="25">
        <f t="shared" si="7"/>
        <v>0</v>
      </c>
      <c r="AQ22" s="26">
        <f t="shared" si="8"/>
        <v>0</v>
      </c>
      <c r="AR22" s="26">
        <f t="shared" si="9"/>
        <v>7.7058823529411766</v>
      </c>
      <c r="AS22" s="27">
        <f t="shared" si="10"/>
        <v>10</v>
      </c>
      <c r="AT22" s="27">
        <f t="shared" si="11"/>
        <v>0</v>
      </c>
      <c r="AU22" s="28">
        <f>AF22*Settings!$B$7+AG22*Settings!$B$8+AE22*Settings!$B$9+AB22*Settings!$B$10+AC22*Settings!$B$11+X22*Settings!$B$12+Y22*Settings!$B$13+Z22*Settings!$B$14</f>
        <v>211.6</v>
      </c>
    </row>
    <row r="23" spans="1:47" x14ac:dyDescent="0.25">
      <c r="A23" s="15" t="s">
        <v>121</v>
      </c>
      <c r="B23" s="16" t="s">
        <v>674</v>
      </c>
      <c r="C23" s="17">
        <v>2</v>
      </c>
      <c r="D23" s="17" t="s">
        <v>111</v>
      </c>
      <c r="E23" s="18" t="s">
        <v>99</v>
      </c>
      <c r="F23" s="19"/>
      <c r="G23" s="19"/>
      <c r="H23" s="19"/>
      <c r="I23" s="19"/>
      <c r="J23" s="19">
        <v>96</v>
      </c>
      <c r="K23" s="19">
        <v>72</v>
      </c>
      <c r="L23" s="19">
        <v>85</v>
      </c>
      <c r="M23" s="19">
        <v>724</v>
      </c>
      <c r="N23" s="19" t="s">
        <v>418</v>
      </c>
      <c r="O23" s="19">
        <v>16</v>
      </c>
      <c r="P23" s="20"/>
      <c r="Q23" s="20">
        <v>12.49</v>
      </c>
      <c r="R23" s="21">
        <v>0.63200000000000001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82</v>
      </c>
      <c r="AE23" s="22">
        <v>55</v>
      </c>
      <c r="AF23" s="22">
        <v>714</v>
      </c>
      <c r="AG23" s="22">
        <v>5</v>
      </c>
      <c r="AH23" s="23" t="s">
        <v>101</v>
      </c>
      <c r="AI23" s="24" t="str">
        <f t="shared" si="0"/>
        <v/>
      </c>
      <c r="AJ23" s="24">
        <f t="shared" si="1"/>
        <v>12.981818181818182</v>
      </c>
      <c r="AK23" s="25">
        <f t="shared" si="2"/>
        <v>0.67073170731707321</v>
      </c>
      <c r="AL23" s="24" t="str">
        <f t="shared" si="3"/>
        <v/>
      </c>
      <c r="AM23" s="25" t="str">
        <f t="shared" si="4"/>
        <v/>
      </c>
      <c r="AN23" s="25">
        <f t="shared" si="5"/>
        <v>0</v>
      </c>
      <c r="AO23" s="25">
        <f t="shared" si="6"/>
        <v>0.14882032667876588</v>
      </c>
      <c r="AP23" s="25">
        <f t="shared" si="7"/>
        <v>0</v>
      </c>
      <c r="AQ23" s="26">
        <f t="shared" si="8"/>
        <v>0</v>
      </c>
      <c r="AR23" s="26">
        <f t="shared" si="9"/>
        <v>4.8235294117647056</v>
      </c>
      <c r="AS23" s="27">
        <f t="shared" si="10"/>
        <v>-3</v>
      </c>
      <c r="AT23" s="27">
        <f t="shared" si="11"/>
        <v>0</v>
      </c>
      <c r="AU23" s="28">
        <f>AF23*Settings!$B$7+AG23*Settings!$B$8+AE23*Settings!$B$9+AB23*Settings!$B$10+AC23*Settings!$B$11+X23*Settings!$B$12+Y23*Settings!$B$13+Z23*Settings!$B$14</f>
        <v>128.9</v>
      </c>
    </row>
    <row r="24" spans="1:47" x14ac:dyDescent="0.25">
      <c r="A24" s="15" t="s">
        <v>121</v>
      </c>
      <c r="B24" s="16" t="s">
        <v>675</v>
      </c>
      <c r="C24" s="17">
        <v>3</v>
      </c>
      <c r="D24" s="17" t="s">
        <v>118</v>
      </c>
      <c r="E24" s="18" t="s">
        <v>99</v>
      </c>
      <c r="F24" s="19"/>
      <c r="G24" s="19"/>
      <c r="H24" s="19"/>
      <c r="I24" s="19"/>
      <c r="J24" s="19">
        <v>7</v>
      </c>
      <c r="K24" s="19">
        <v>68</v>
      </c>
      <c r="L24" s="19">
        <v>46</v>
      </c>
      <c r="M24" s="19">
        <v>551</v>
      </c>
      <c r="N24" s="19" t="s">
        <v>175</v>
      </c>
      <c r="O24" s="19">
        <v>14</v>
      </c>
      <c r="P24" s="20"/>
      <c r="Q24" s="20">
        <v>14.86</v>
      </c>
      <c r="R24" s="21">
        <v>0.64500000000000002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46</v>
      </c>
      <c r="AE24" s="22">
        <v>29</v>
      </c>
      <c r="AF24" s="22">
        <v>435</v>
      </c>
      <c r="AG24" s="22">
        <v>4</v>
      </c>
      <c r="AH24" s="23" t="s">
        <v>101</v>
      </c>
      <c r="AI24" s="24" t="str">
        <f t="shared" si="0"/>
        <v/>
      </c>
      <c r="AJ24" s="24">
        <f t="shared" si="1"/>
        <v>15</v>
      </c>
      <c r="AK24" s="25">
        <f t="shared" si="2"/>
        <v>0.63043478260869568</v>
      </c>
      <c r="AL24" s="24" t="str">
        <f t="shared" si="3"/>
        <v/>
      </c>
      <c r="AM24" s="25" t="str">
        <f t="shared" si="4"/>
        <v/>
      </c>
      <c r="AN24" s="25">
        <f t="shared" si="5"/>
        <v>0</v>
      </c>
      <c r="AO24" s="25">
        <f t="shared" si="6"/>
        <v>8.3484573502722328E-2</v>
      </c>
      <c r="AP24" s="25">
        <f t="shared" si="7"/>
        <v>0</v>
      </c>
      <c r="AQ24" s="26">
        <f t="shared" si="8"/>
        <v>0</v>
      </c>
      <c r="AR24" s="26">
        <f t="shared" si="9"/>
        <v>2.7058823529411766</v>
      </c>
      <c r="AS24" s="27">
        <f t="shared" si="10"/>
        <v>0</v>
      </c>
      <c r="AT24" s="27">
        <f t="shared" si="11"/>
        <v>0</v>
      </c>
      <c r="AU24" s="28">
        <f>AF24*Settings!$B$7+AG24*Settings!$B$8+AE24*Settings!$B$9+AB24*Settings!$B$10+AC24*Settings!$B$11+X24*Settings!$B$12+Y24*Settings!$B$13+Z24*Settings!$B$14</f>
        <v>82</v>
      </c>
    </row>
    <row r="25" spans="1:47" x14ac:dyDescent="0.25">
      <c r="A25" s="15" t="s">
        <v>121</v>
      </c>
      <c r="B25" s="16" t="s">
        <v>676</v>
      </c>
      <c r="C25" s="17">
        <v>4</v>
      </c>
      <c r="D25" s="17" t="s">
        <v>105</v>
      </c>
      <c r="E25" s="18" t="s">
        <v>99</v>
      </c>
      <c r="F25" s="19">
        <v>8</v>
      </c>
      <c r="G25" s="19">
        <v>3</v>
      </c>
      <c r="H25" s="19">
        <v>7</v>
      </c>
      <c r="I25" s="19">
        <v>21</v>
      </c>
      <c r="J25" s="19">
        <v>79</v>
      </c>
      <c r="K25" s="19">
        <v>87</v>
      </c>
      <c r="L25" s="19">
        <v>46</v>
      </c>
      <c r="M25" s="19">
        <v>447</v>
      </c>
      <c r="N25" s="19" t="s">
        <v>175</v>
      </c>
      <c r="O25" s="19">
        <v>17</v>
      </c>
      <c r="P25" s="20">
        <v>4.33</v>
      </c>
      <c r="Q25" s="20">
        <v>11.16</v>
      </c>
      <c r="R25" s="21">
        <v>0.68899999999999995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4</v>
      </c>
      <c r="AB25" s="22">
        <v>19</v>
      </c>
      <c r="AC25" s="22">
        <v>0</v>
      </c>
      <c r="AD25" s="22">
        <v>27</v>
      </c>
      <c r="AE25" s="22">
        <v>18</v>
      </c>
      <c r="AF25" s="22">
        <v>217</v>
      </c>
      <c r="AG25" s="22">
        <v>1</v>
      </c>
      <c r="AH25" s="23" t="s">
        <v>101</v>
      </c>
      <c r="AI25" s="24">
        <f t="shared" si="0"/>
        <v>4.75</v>
      </c>
      <c r="AJ25" s="24">
        <f t="shared" si="1"/>
        <v>12.055555555555555</v>
      </c>
      <c r="AK25" s="25">
        <f t="shared" si="2"/>
        <v>0.66666666666666663</v>
      </c>
      <c r="AL25" s="24" t="str">
        <f t="shared" si="3"/>
        <v/>
      </c>
      <c r="AM25" s="25" t="str">
        <f t="shared" si="4"/>
        <v/>
      </c>
      <c r="AN25" s="25">
        <f t="shared" si="5"/>
        <v>8.6505190311418675E-3</v>
      </c>
      <c r="AO25" s="25">
        <f t="shared" si="6"/>
        <v>4.9001814882032667E-2</v>
      </c>
      <c r="AP25" s="25">
        <f t="shared" si="7"/>
        <v>0</v>
      </c>
      <c r="AQ25" s="26">
        <f t="shared" si="8"/>
        <v>0.23529411764705882</v>
      </c>
      <c r="AR25" s="26">
        <f t="shared" si="9"/>
        <v>1.588235294117647</v>
      </c>
      <c r="AS25" s="27">
        <f t="shared" si="10"/>
        <v>-19</v>
      </c>
      <c r="AT25" s="27">
        <f t="shared" si="11"/>
        <v>-3</v>
      </c>
      <c r="AU25" s="28">
        <f>AF25*Settings!$B$7+AG25*Settings!$B$8+AE25*Settings!$B$9+AB25*Settings!$B$10+AC25*Settings!$B$11+X25*Settings!$B$12+Y25*Settings!$B$13+Z25*Settings!$B$14</f>
        <v>38.6</v>
      </c>
    </row>
    <row r="26" spans="1:47" x14ac:dyDescent="0.25">
      <c r="A26" s="15" t="s">
        <v>121</v>
      </c>
      <c r="B26" s="16" t="s">
        <v>677</v>
      </c>
      <c r="C26" s="17">
        <v>5</v>
      </c>
      <c r="D26" s="17" t="s">
        <v>153</v>
      </c>
      <c r="E26" s="18" t="s">
        <v>99</v>
      </c>
      <c r="F26" s="19"/>
      <c r="G26" s="19"/>
      <c r="H26" s="19">
        <v>1</v>
      </c>
      <c r="I26" s="19">
        <v>4</v>
      </c>
      <c r="J26" s="19">
        <v>30</v>
      </c>
      <c r="K26" s="19">
        <v>50</v>
      </c>
      <c r="L26" s="19">
        <v>65</v>
      </c>
      <c r="M26" s="19">
        <v>550</v>
      </c>
      <c r="N26" s="19" t="s">
        <v>175</v>
      </c>
      <c r="O26" s="19">
        <v>15</v>
      </c>
      <c r="P26" s="20">
        <v>4</v>
      </c>
      <c r="Q26" s="20">
        <v>12.41</v>
      </c>
      <c r="R26" s="21">
        <v>0.65500000000000003</v>
      </c>
      <c r="S26" s="21"/>
      <c r="T26" s="20"/>
      <c r="U26" s="22">
        <v>17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1</v>
      </c>
      <c r="AC26" s="22">
        <v>0</v>
      </c>
      <c r="AD26" s="22">
        <v>22</v>
      </c>
      <c r="AE26" s="22">
        <v>17</v>
      </c>
      <c r="AF26" s="22">
        <v>206</v>
      </c>
      <c r="AG26" s="22">
        <v>1</v>
      </c>
      <c r="AH26" s="23" t="s">
        <v>101</v>
      </c>
      <c r="AI26" s="24" t="str">
        <f t="shared" si="0"/>
        <v/>
      </c>
      <c r="AJ26" s="24">
        <f t="shared" si="1"/>
        <v>12.117647058823529</v>
      </c>
      <c r="AK26" s="25">
        <f t="shared" si="2"/>
        <v>0.77272727272727271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3.9927404718693285E-2</v>
      </c>
      <c r="AP26" s="25">
        <f t="shared" si="7"/>
        <v>0</v>
      </c>
      <c r="AQ26" s="26">
        <f t="shared" si="8"/>
        <v>0</v>
      </c>
      <c r="AR26" s="26">
        <f t="shared" si="9"/>
        <v>1.2941176470588236</v>
      </c>
      <c r="AS26" s="27">
        <f t="shared" si="10"/>
        <v>-43</v>
      </c>
      <c r="AT26" s="27">
        <f t="shared" si="11"/>
        <v>-1</v>
      </c>
      <c r="AU26" s="28">
        <f>AF26*Settings!$B$7+AG26*Settings!$B$8+AE26*Settings!$B$9+AB26*Settings!$B$10+AC26*Settings!$B$11+X26*Settings!$B$12+Y26*Settings!$B$13+Z26*Settings!$B$14</f>
        <v>35.200000000000003</v>
      </c>
    </row>
    <row r="27" spans="1:47" x14ac:dyDescent="0.25">
      <c r="A27" s="15" t="s">
        <v>121</v>
      </c>
      <c r="B27" s="16" t="s">
        <v>678</v>
      </c>
      <c r="C27" s="17">
        <v>6</v>
      </c>
      <c r="D27" s="17"/>
      <c r="E27" s="18" t="s">
        <v>99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20"/>
      <c r="R27" s="21"/>
      <c r="S27" s="21"/>
      <c r="T27" s="20"/>
      <c r="U27" s="22">
        <v>17</v>
      </c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33"/>
      <c r="AI27" s="24" t="str">
        <f t="shared" si="0"/>
        <v/>
      </c>
      <c r="AJ27" s="24" t="str">
        <f t="shared" si="1"/>
        <v/>
      </c>
      <c r="AK27" s="25" t="str">
        <f t="shared" si="2"/>
        <v/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0</v>
      </c>
      <c r="AP27" s="25">
        <f t="shared" si="7"/>
        <v>0</v>
      </c>
      <c r="AQ27" s="26">
        <f t="shared" si="8"/>
        <v>0</v>
      </c>
      <c r="AR27" s="26">
        <f t="shared" si="9"/>
        <v>0</v>
      </c>
      <c r="AS27" s="27">
        <f t="shared" si="10"/>
        <v>0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0</v>
      </c>
    </row>
    <row r="28" spans="1:47" x14ac:dyDescent="0.25">
      <c r="A28" s="15" t="s">
        <v>121</v>
      </c>
      <c r="B28" s="16" t="s">
        <v>679</v>
      </c>
      <c r="C28" s="17">
        <v>7</v>
      </c>
      <c r="D28" s="17" t="s">
        <v>103</v>
      </c>
      <c r="E28" s="18" t="s">
        <v>99</v>
      </c>
      <c r="F28" s="19"/>
      <c r="G28" s="19"/>
      <c r="H28" s="19">
        <v>2</v>
      </c>
      <c r="I28" s="19">
        <v>3</v>
      </c>
      <c r="J28" s="19"/>
      <c r="K28" s="19"/>
      <c r="L28" s="19">
        <v>21</v>
      </c>
      <c r="M28" s="19">
        <v>209</v>
      </c>
      <c r="N28" s="19" t="s">
        <v>175</v>
      </c>
      <c r="O28" s="19">
        <v>17</v>
      </c>
      <c r="P28" s="20">
        <v>1.5</v>
      </c>
      <c r="Q28" s="20">
        <v>20.9</v>
      </c>
      <c r="R28" s="21">
        <v>0.47599999999999998</v>
      </c>
      <c r="S28" s="21"/>
      <c r="T28" s="20"/>
      <c r="U28" s="22">
        <v>17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2</v>
      </c>
      <c r="AB28" s="22">
        <v>8</v>
      </c>
      <c r="AC28" s="22">
        <v>0</v>
      </c>
      <c r="AD28" s="22">
        <v>16</v>
      </c>
      <c r="AE28" s="22">
        <v>11</v>
      </c>
      <c r="AF28" s="22">
        <v>157</v>
      </c>
      <c r="AG28" s="22">
        <v>1</v>
      </c>
      <c r="AH28" s="23" t="s">
        <v>101</v>
      </c>
      <c r="AI28" s="24">
        <f t="shared" si="0"/>
        <v>4</v>
      </c>
      <c r="AJ28" s="24">
        <f t="shared" si="1"/>
        <v>14.272727272727273</v>
      </c>
      <c r="AK28" s="25">
        <f t="shared" si="2"/>
        <v>0.6875</v>
      </c>
      <c r="AL28" s="24" t="str">
        <f t="shared" si="3"/>
        <v/>
      </c>
      <c r="AM28" s="25" t="str">
        <f t="shared" si="4"/>
        <v/>
      </c>
      <c r="AN28" s="25">
        <f t="shared" si="5"/>
        <v>4.3252595155709337E-3</v>
      </c>
      <c r="AO28" s="25">
        <f t="shared" si="6"/>
        <v>2.9038112522686024E-2</v>
      </c>
      <c r="AP28" s="25">
        <f t="shared" si="7"/>
        <v>0</v>
      </c>
      <c r="AQ28" s="26">
        <f t="shared" si="8"/>
        <v>0.11764705882352941</v>
      </c>
      <c r="AR28" s="26">
        <f t="shared" si="9"/>
        <v>0.94117647058823528</v>
      </c>
      <c r="AS28" s="27">
        <f t="shared" si="10"/>
        <v>-5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28.000000000000004</v>
      </c>
    </row>
    <row r="29" spans="1:47" x14ac:dyDescent="0.25">
      <c r="A29" s="15" t="s">
        <v>121</v>
      </c>
      <c r="B29" s="16" t="s">
        <v>680</v>
      </c>
      <c r="C29" s="17">
        <v>8</v>
      </c>
      <c r="D29" s="17" t="s">
        <v>118</v>
      </c>
      <c r="E29" s="18" t="s">
        <v>99</v>
      </c>
      <c r="F29" s="19"/>
      <c r="G29" s="19"/>
      <c r="H29" s="19"/>
      <c r="I29" s="19"/>
      <c r="J29" s="19"/>
      <c r="K29" s="19"/>
      <c r="L29" s="19">
        <v>3</v>
      </c>
      <c r="M29" s="19">
        <v>75</v>
      </c>
      <c r="N29" s="19" t="s">
        <v>175</v>
      </c>
      <c r="O29" s="19">
        <v>8</v>
      </c>
      <c r="P29" s="20"/>
      <c r="Q29" s="20">
        <v>25</v>
      </c>
      <c r="R29" s="21">
        <v>1</v>
      </c>
      <c r="S29" s="21"/>
      <c r="T29" s="20"/>
      <c r="U29" s="22">
        <v>17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1</v>
      </c>
      <c r="AC29" s="22">
        <v>0</v>
      </c>
      <c r="AD29" s="22">
        <v>9</v>
      </c>
      <c r="AE29" s="22">
        <v>5</v>
      </c>
      <c r="AF29" s="22">
        <v>55</v>
      </c>
      <c r="AG29" s="22">
        <v>0</v>
      </c>
      <c r="AH29" s="23" t="s">
        <v>101</v>
      </c>
      <c r="AI29" s="24" t="str">
        <f t="shared" si="0"/>
        <v/>
      </c>
      <c r="AJ29" s="24">
        <f t="shared" si="1"/>
        <v>11</v>
      </c>
      <c r="AK29" s="25">
        <f t="shared" si="2"/>
        <v>0.55555555555555558</v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1.6333938294010888E-2</v>
      </c>
      <c r="AP29" s="25">
        <f t="shared" si="7"/>
        <v>0</v>
      </c>
      <c r="AQ29" s="26">
        <f t="shared" si="8"/>
        <v>0</v>
      </c>
      <c r="AR29" s="26">
        <f t="shared" si="9"/>
        <v>0.52941176470588236</v>
      </c>
      <c r="AS29" s="27">
        <f t="shared" si="10"/>
        <v>6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8.1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681</v>
      </c>
      <c r="C31" s="17">
        <v>1</v>
      </c>
      <c r="D31" s="17" t="s">
        <v>114</v>
      </c>
      <c r="E31" s="18" t="s">
        <v>99</v>
      </c>
      <c r="F31" s="19"/>
      <c r="G31" s="19"/>
      <c r="H31" s="19"/>
      <c r="I31" s="19"/>
      <c r="J31" s="19">
        <v>61</v>
      </c>
      <c r="K31" s="19">
        <v>97</v>
      </c>
      <c r="L31" s="19">
        <v>87</v>
      </c>
      <c r="M31" s="19">
        <v>768</v>
      </c>
      <c r="N31" s="19" t="s">
        <v>175</v>
      </c>
      <c r="O31" s="19">
        <v>17</v>
      </c>
      <c r="P31" s="20"/>
      <c r="Q31" s="20">
        <v>11.08</v>
      </c>
      <c r="R31" s="21">
        <v>0.68600000000000005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79</v>
      </c>
      <c r="AE31" s="22">
        <v>54</v>
      </c>
      <c r="AF31" s="22">
        <v>623</v>
      </c>
      <c r="AG31" s="22">
        <v>5</v>
      </c>
      <c r="AH31" s="23" t="s">
        <v>101</v>
      </c>
      <c r="AI31" s="24" t="str">
        <f t="shared" si="0"/>
        <v/>
      </c>
      <c r="AJ31" s="24">
        <f t="shared" si="1"/>
        <v>11.537037037037036</v>
      </c>
      <c r="AK31" s="25">
        <f t="shared" si="2"/>
        <v>0.68354430379746833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0.14337568058076225</v>
      </c>
      <c r="AP31" s="25">
        <f t="shared" si="7"/>
        <v>0</v>
      </c>
      <c r="AQ31" s="26">
        <f t="shared" si="8"/>
        <v>0</v>
      </c>
      <c r="AR31" s="26">
        <f t="shared" si="9"/>
        <v>4.6470588235294121</v>
      </c>
      <c r="AS31" s="27">
        <f t="shared" si="10"/>
        <v>-8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119.30000000000001</v>
      </c>
    </row>
    <row r="32" spans="1:47" x14ac:dyDescent="0.25">
      <c r="A32" s="15" t="s">
        <v>135</v>
      </c>
      <c r="B32" s="16" t="s">
        <v>682</v>
      </c>
      <c r="C32" s="17">
        <v>2</v>
      </c>
      <c r="D32" s="17" t="s">
        <v>128</v>
      </c>
      <c r="E32" s="18" t="s">
        <v>99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20"/>
      <c r="R32" s="21"/>
      <c r="S32" s="21"/>
      <c r="T32" s="20"/>
      <c r="U32" s="22">
        <v>17</v>
      </c>
      <c r="V32" s="22"/>
      <c r="W32" s="22"/>
      <c r="X32" s="22"/>
      <c r="Y32" s="22"/>
      <c r="Z32" s="22"/>
      <c r="AA32" s="22">
        <v>0</v>
      </c>
      <c r="AB32" s="22">
        <v>0</v>
      </c>
      <c r="AC32" s="22">
        <v>0</v>
      </c>
      <c r="AD32" s="22">
        <v>26</v>
      </c>
      <c r="AE32" s="22">
        <v>18</v>
      </c>
      <c r="AF32" s="22">
        <v>184</v>
      </c>
      <c r="AG32" s="22">
        <v>1</v>
      </c>
      <c r="AH32" s="23" t="s">
        <v>101</v>
      </c>
      <c r="AI32" s="24" t="str">
        <f t="shared" si="0"/>
        <v/>
      </c>
      <c r="AJ32" s="24">
        <f t="shared" si="1"/>
        <v>10.222222222222221</v>
      </c>
      <c r="AK32" s="25">
        <f t="shared" si="2"/>
        <v>0.69230769230769229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4.7186932849364795E-2</v>
      </c>
      <c r="AP32" s="25">
        <f t="shared" si="7"/>
        <v>0</v>
      </c>
      <c r="AQ32" s="26">
        <f t="shared" si="8"/>
        <v>0</v>
      </c>
      <c r="AR32" s="26">
        <f t="shared" si="9"/>
        <v>1.5294117647058822</v>
      </c>
      <c r="AS32" s="27">
        <f t="shared" si="10"/>
        <v>26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33.400000000000006</v>
      </c>
    </row>
    <row r="33" spans="1:47" x14ac:dyDescent="0.25">
      <c r="A33" s="15" t="s">
        <v>135</v>
      </c>
      <c r="B33" s="16" t="s">
        <v>683</v>
      </c>
      <c r="C33" s="17">
        <v>3</v>
      </c>
      <c r="D33" s="17" t="s">
        <v>118</v>
      </c>
      <c r="E33" s="18" t="s">
        <v>99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0"/>
      <c r="Q33" s="20"/>
      <c r="R33" s="21"/>
      <c r="S33" s="21"/>
      <c r="T33" s="20"/>
      <c r="U33" s="22">
        <v>17</v>
      </c>
      <c r="V33" s="22"/>
      <c r="W33" s="22"/>
      <c r="X33" s="22"/>
      <c r="Y33" s="22"/>
      <c r="Z33" s="22"/>
      <c r="AA33" s="22">
        <v>0</v>
      </c>
      <c r="AB33" s="22">
        <v>0</v>
      </c>
      <c r="AC33" s="22">
        <v>0</v>
      </c>
      <c r="AD33" s="22">
        <v>5</v>
      </c>
      <c r="AE33" s="22">
        <v>4</v>
      </c>
      <c r="AF33" s="22">
        <v>34</v>
      </c>
      <c r="AG33" s="22">
        <v>0</v>
      </c>
      <c r="AH33" s="23" t="s">
        <v>101</v>
      </c>
      <c r="AI33" s="24" t="str">
        <f t="shared" si="0"/>
        <v/>
      </c>
      <c r="AJ33" s="24">
        <f t="shared" si="1"/>
        <v>8.5</v>
      </c>
      <c r="AK33" s="25">
        <f t="shared" si="2"/>
        <v>0.8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9.0744101633393835E-3</v>
      </c>
      <c r="AP33" s="25">
        <f t="shared" si="7"/>
        <v>0</v>
      </c>
      <c r="AQ33" s="26">
        <f t="shared" si="8"/>
        <v>0</v>
      </c>
      <c r="AR33" s="26">
        <f t="shared" si="9"/>
        <v>0.29411764705882354</v>
      </c>
      <c r="AS33" s="27">
        <f t="shared" si="10"/>
        <v>5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5.4</v>
      </c>
    </row>
    <row r="34" spans="1:47" x14ac:dyDescent="0.25">
      <c r="A34" s="15" t="s">
        <v>135</v>
      </c>
      <c r="B34" s="16" t="s">
        <v>684</v>
      </c>
      <c r="C34" s="17">
        <v>4</v>
      </c>
      <c r="D34" s="17" t="s">
        <v>103</v>
      </c>
      <c r="E34" s="18" t="s">
        <v>99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1"/>
      <c r="S34" s="21"/>
      <c r="T34" s="20"/>
      <c r="U34" s="22">
        <v>17</v>
      </c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33"/>
      <c r="AI34" s="24" t="str">
        <f t="shared" si="0"/>
        <v/>
      </c>
      <c r="AJ34" s="24" t="str">
        <f t="shared" si="1"/>
        <v/>
      </c>
      <c r="AK34" s="25" t="str">
        <f t="shared" si="2"/>
        <v/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0</v>
      </c>
      <c r="AP34" s="25">
        <f t="shared" si="7"/>
        <v>0</v>
      </c>
      <c r="AQ34" s="26">
        <f t="shared" si="8"/>
        <v>0</v>
      </c>
      <c r="AR34" s="26">
        <f t="shared" si="9"/>
        <v>0</v>
      </c>
      <c r="AS34" s="27">
        <f t="shared" si="10"/>
        <v>0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0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539</v>
      </c>
      <c r="W37" s="34">
        <f t="shared" si="12"/>
        <v>369</v>
      </c>
      <c r="X37" s="34">
        <f t="shared" si="12"/>
        <v>4287</v>
      </c>
      <c r="Y37" s="34">
        <f t="shared" si="12"/>
        <v>29</v>
      </c>
      <c r="Z37" s="34">
        <f t="shared" si="12"/>
        <v>11</v>
      </c>
      <c r="AA37" s="34">
        <f t="shared" si="12"/>
        <v>511</v>
      </c>
      <c r="AB37" s="34">
        <f t="shared" si="12"/>
        <v>2313</v>
      </c>
      <c r="AC37" s="34">
        <f t="shared" si="12"/>
        <v>20</v>
      </c>
      <c r="AD37" s="34">
        <f t="shared" si="12"/>
        <v>537</v>
      </c>
      <c r="AE37" s="34">
        <f t="shared" si="12"/>
        <v>379</v>
      </c>
      <c r="AF37" s="34">
        <f t="shared" si="12"/>
        <v>4432</v>
      </c>
      <c r="AG37" s="34">
        <f t="shared" si="12"/>
        <v>29</v>
      </c>
    </row>
    <row r="38" spans="1:47" x14ac:dyDescent="0.25">
      <c r="A38" s="5" t="s">
        <v>142</v>
      </c>
      <c r="V38" s="35">
        <f>$F$5</f>
        <v>578</v>
      </c>
      <c r="X38" s="35">
        <f>$I$5</f>
        <v>3942</v>
      </c>
      <c r="Y38" s="35">
        <f>$J$5</f>
        <v>25</v>
      </c>
      <c r="Z38" s="35">
        <f>$K$5</f>
        <v>12</v>
      </c>
      <c r="AA38" s="35">
        <f>$H$5</f>
        <v>462.40000000000009</v>
      </c>
      <c r="AB38" s="35">
        <f>$L$5</f>
        <v>2001</v>
      </c>
      <c r="AC38" s="35">
        <f>$M$5</f>
        <v>16</v>
      </c>
      <c r="AD38" s="35">
        <f>$G$5</f>
        <v>551</v>
      </c>
      <c r="AF38" s="35">
        <f>$I$5</f>
        <v>3942</v>
      </c>
      <c r="AG38" s="35">
        <f>$J$5</f>
        <v>25</v>
      </c>
    </row>
    <row r="39" spans="1:47" x14ac:dyDescent="0.25">
      <c r="A39" s="5" t="s">
        <v>143</v>
      </c>
      <c r="V39" s="36">
        <f>$F$5-V37</f>
        <v>39</v>
      </c>
      <c r="X39" s="36">
        <f>$I$5-X37</f>
        <v>-345</v>
      </c>
      <c r="Y39" s="36">
        <f>$J$5-Y37</f>
        <v>-4</v>
      </c>
      <c r="Z39" s="36">
        <f>$K$5-Z37</f>
        <v>1</v>
      </c>
      <c r="AA39" s="36">
        <f>$H$5-AA37</f>
        <v>-48.599999999999909</v>
      </c>
      <c r="AB39" s="36">
        <f>$L$5-AB37</f>
        <v>-312</v>
      </c>
      <c r="AC39" s="36">
        <f>$M$5-AC37</f>
        <v>-4</v>
      </c>
      <c r="AD39" s="36">
        <f>$G$5-AD37</f>
        <v>14</v>
      </c>
      <c r="AF39" s="36">
        <f>$I$5-AF37</f>
        <v>-490</v>
      </c>
      <c r="AG39" s="36">
        <f>$J$5-AG37</f>
        <v>-4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329" priority="1" stopIfTrue="1">
      <formula>V37&gt;$F$5</formula>
    </cfRule>
    <cfRule type="expression" dxfId="328" priority="2">
      <formula>AND($F$5&gt;0,V37&lt;$F$5*0.97)</formula>
    </cfRule>
    <cfRule type="expression" dxfId="327" priority="3">
      <formula>AND($F$5&gt;0,V37&gt;=$F$5*0.97,V37&lt;=$F$5)</formula>
    </cfRule>
  </conditionalFormatting>
  <conditionalFormatting sqref="X37">
    <cfRule type="expression" dxfId="326" priority="4" stopIfTrue="1">
      <formula>X37&gt;$I$5</formula>
    </cfRule>
    <cfRule type="expression" dxfId="325" priority="5">
      <formula>AND($I$5&gt;0,X37&lt;$I$5*0.97)</formula>
    </cfRule>
    <cfRule type="expression" dxfId="324" priority="6">
      <formula>AND($I$5&gt;0,X37&gt;=$I$5*0.97,X37&lt;=$I$5)</formula>
    </cfRule>
  </conditionalFormatting>
  <conditionalFormatting sqref="Y37">
    <cfRule type="expression" dxfId="323" priority="7" stopIfTrue="1">
      <formula>Y37&gt;$J$5</formula>
    </cfRule>
    <cfRule type="expression" dxfId="322" priority="8">
      <formula>AND($J$5&gt;0,Y37&lt;$J$5*0.97)</formula>
    </cfRule>
    <cfRule type="expression" dxfId="321" priority="9">
      <formula>AND($J$5&gt;0,Y37&gt;=$J$5*0.97,Y37&lt;=$J$5)</formula>
    </cfRule>
  </conditionalFormatting>
  <conditionalFormatting sqref="Z37">
    <cfRule type="expression" dxfId="320" priority="10" stopIfTrue="1">
      <formula>Z37&gt;$K$5</formula>
    </cfRule>
    <cfRule type="expression" dxfId="319" priority="11">
      <formula>AND($K$5&gt;0,Z37&lt;$K$5*0.97)</formula>
    </cfRule>
    <cfRule type="expression" dxfId="318" priority="12">
      <formula>AND($K$5&gt;0,Z37&gt;=$K$5*0.97,Z37&lt;=$K$5)</formula>
    </cfRule>
  </conditionalFormatting>
  <conditionalFormatting sqref="AA37">
    <cfRule type="expression" dxfId="317" priority="13" stopIfTrue="1">
      <formula>AA37&gt;$H$5</formula>
    </cfRule>
    <cfRule type="expression" dxfId="316" priority="14">
      <formula>AND($H$5&gt;0,AA37&lt;$H$5*0.97)</formula>
    </cfRule>
    <cfRule type="expression" dxfId="315" priority="15">
      <formula>AND($H$5&gt;0,AA37&gt;=$H$5*0.97,AA37&lt;=$H$5)</formula>
    </cfRule>
  </conditionalFormatting>
  <conditionalFormatting sqref="AB37">
    <cfRule type="expression" dxfId="314" priority="16" stopIfTrue="1">
      <formula>AB37&gt;$L$5</formula>
    </cfRule>
    <cfRule type="expression" dxfId="313" priority="17">
      <formula>AND($L$5&gt;0,AB37&lt;$L$5*0.97)</formula>
    </cfRule>
    <cfRule type="expression" dxfId="312" priority="18">
      <formula>AND($L$5&gt;0,AB37&gt;=$L$5*0.97,AB37&lt;=$L$5)</formula>
    </cfRule>
  </conditionalFormatting>
  <conditionalFormatting sqref="AC37">
    <cfRule type="expression" dxfId="311" priority="19" stopIfTrue="1">
      <formula>AC37&gt;$M$5</formula>
    </cfRule>
    <cfRule type="expression" dxfId="310" priority="20">
      <formula>AND($M$5&gt;0,AC37&lt;$M$5*0.97)</formula>
    </cfRule>
    <cfRule type="expression" dxfId="309" priority="21">
      <formula>AND($M$5&gt;0,AC37&gt;=$M$5*0.97,AC37&lt;=$M$5)</formula>
    </cfRule>
  </conditionalFormatting>
  <conditionalFormatting sqref="AD37">
    <cfRule type="expression" dxfId="308" priority="22" stopIfTrue="1">
      <formula>AD37&gt;$G$5</formula>
    </cfRule>
    <cfRule type="expression" dxfId="307" priority="23">
      <formula>AND($G$5&gt;0,AD37&lt;$G$5*0.97)</formula>
    </cfRule>
    <cfRule type="expression" dxfId="306" priority="24">
      <formula>AND($G$5&gt;0,AD37&gt;=$G$5*0.97,AD37&lt;=$G$5)</formula>
    </cfRule>
  </conditionalFormatting>
  <conditionalFormatting sqref="AF37">
    <cfRule type="expression" dxfId="305" priority="25" stopIfTrue="1">
      <formula>AF37&gt;$I$5</formula>
    </cfRule>
    <cfRule type="expression" dxfId="304" priority="26">
      <formula>AND($I$5&gt;0,AF37&lt;$I$5*0.97)</formula>
    </cfRule>
    <cfRule type="expression" dxfId="303" priority="27">
      <formula>AND($I$5&gt;0,AF37&gt;=$I$5*0.97,AF37&lt;=$I$5)</formula>
    </cfRule>
  </conditionalFormatting>
  <conditionalFormatting sqref="AG37">
    <cfRule type="expression" dxfId="302" priority="28" stopIfTrue="1">
      <formula>AG37&gt;$J$5</formula>
    </cfRule>
    <cfRule type="expression" dxfId="301" priority="29">
      <formula>AND($J$5&gt;0,AG37&lt;$J$5*0.97)</formula>
    </cfRule>
    <cfRule type="expression" dxfId="300" priority="30">
      <formula>AND($J$5&gt;0,AG37&gt;=$J$5*0.97,AG37&lt;=$J$5)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685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62.6</v>
      </c>
      <c r="D5" s="10">
        <f>C5*B5</f>
        <v>1064.2</v>
      </c>
      <c r="E5" s="11">
        <v>0.57779999999999998</v>
      </c>
      <c r="F5" s="10">
        <f>ROUND(D5*E5,0)</f>
        <v>615</v>
      </c>
      <c r="G5" s="10">
        <f>ROUND(F5*Settings!$B$4,0)</f>
        <v>587</v>
      </c>
      <c r="H5" s="10">
        <f>D5-F5</f>
        <v>449.20000000000005</v>
      </c>
      <c r="I5" s="8">
        <v>3953</v>
      </c>
      <c r="J5" s="9">
        <v>23</v>
      </c>
      <c r="K5" s="9">
        <v>12</v>
      </c>
      <c r="L5" s="8">
        <v>1811</v>
      </c>
      <c r="M5" s="9">
        <v>13</v>
      </c>
    </row>
    <row r="7" spans="1:47" x14ac:dyDescent="0.25">
      <c r="A7" s="5" t="s">
        <v>54</v>
      </c>
      <c r="B7" s="12" t="s">
        <v>686</v>
      </c>
    </row>
    <row r="8" spans="1:47" x14ac:dyDescent="0.25">
      <c r="A8" s="5" t="s">
        <v>56</v>
      </c>
      <c r="B8" s="13" t="s">
        <v>237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687</v>
      </c>
      <c r="C11" s="17">
        <v>1</v>
      </c>
      <c r="D11" s="17" t="s">
        <v>111</v>
      </c>
      <c r="E11" s="18" t="s">
        <v>99</v>
      </c>
      <c r="F11" s="19"/>
      <c r="G11" s="19"/>
      <c r="H11" s="19">
        <v>38</v>
      </c>
      <c r="I11" s="19">
        <v>186</v>
      </c>
      <c r="J11" s="19"/>
      <c r="K11" s="19"/>
      <c r="L11" s="19"/>
      <c r="M11" s="19"/>
      <c r="N11" s="19" t="s">
        <v>230</v>
      </c>
      <c r="O11" s="19">
        <v>11</v>
      </c>
      <c r="P11" s="20">
        <v>4.8899999999999997</v>
      </c>
      <c r="Q11" s="20"/>
      <c r="R11" s="21"/>
      <c r="S11" s="21">
        <v>0.67600000000000005</v>
      </c>
      <c r="T11" s="20">
        <v>7.29</v>
      </c>
      <c r="U11" s="22">
        <v>17</v>
      </c>
      <c r="V11" s="22">
        <v>538</v>
      </c>
      <c r="W11" s="22">
        <v>355</v>
      </c>
      <c r="X11" s="22">
        <v>3854</v>
      </c>
      <c r="Y11" s="22">
        <v>22</v>
      </c>
      <c r="Z11" s="22">
        <v>11</v>
      </c>
      <c r="AA11" s="22">
        <v>75</v>
      </c>
      <c r="AB11" s="22">
        <v>310</v>
      </c>
      <c r="AC11" s="22">
        <v>4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4.1333333333333337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7.1635687732342008</v>
      </c>
      <c r="AM11" s="25">
        <f t="shared" ref="AM11:AM35" si="4">IFERROR(W11/V11,"")</f>
        <v>0.6598513011152416</v>
      </c>
      <c r="AN11" s="25">
        <f t="shared" ref="AN11:AN35" si="5">IFERROR(AA11/$H$5,"")</f>
        <v>0.16696349065004451</v>
      </c>
      <c r="AO11" s="25">
        <f t="shared" ref="AO11:AO35" si="6">IFERROR(AD11/$G$5,"")</f>
        <v>0</v>
      </c>
      <c r="AP11" s="25">
        <f t="shared" ref="AP11:AP35" si="7">IFERROR(V11/$F$5,"")</f>
        <v>0.87479674796747964</v>
      </c>
      <c r="AQ11" s="26">
        <f t="shared" ref="AQ11:AQ35" si="8">IFERROR(AA11/U11,"")</f>
        <v>4.4117647058823533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37</v>
      </c>
      <c r="AU11" s="28">
        <f>AF11*Settings!$B$7+AG11*Settings!$B$8+AE11*Settings!$B$9+AB11*Settings!$B$10+AC11*Settings!$B$11+X11*Settings!$B$12+Y11*Settings!$B$13+Z11*Settings!$B$14</f>
        <v>275.15999999999997</v>
      </c>
    </row>
    <row r="12" spans="1:47" x14ac:dyDescent="0.25">
      <c r="A12" s="15" t="s">
        <v>96</v>
      </c>
      <c r="B12" s="16" t="s">
        <v>688</v>
      </c>
      <c r="C12" s="17">
        <v>2</v>
      </c>
      <c r="D12" s="17" t="s">
        <v>105</v>
      </c>
      <c r="E12" s="18" t="s">
        <v>99</v>
      </c>
      <c r="F12" s="19"/>
      <c r="G12" s="19">
        <v>17</v>
      </c>
      <c r="H12" s="19">
        <v>30</v>
      </c>
      <c r="I12" s="19">
        <v>167</v>
      </c>
      <c r="J12" s="19"/>
      <c r="K12" s="19"/>
      <c r="L12" s="19">
        <v>2</v>
      </c>
      <c r="M12" s="19"/>
      <c r="N12" s="19" t="s">
        <v>230</v>
      </c>
      <c r="O12" s="19">
        <v>9</v>
      </c>
      <c r="P12" s="20">
        <v>6.66</v>
      </c>
      <c r="Q12" s="20"/>
      <c r="R12" s="21">
        <v>0.5</v>
      </c>
      <c r="S12" s="21">
        <v>0.627</v>
      </c>
      <c r="T12" s="20">
        <v>5.99</v>
      </c>
      <c r="U12" s="22">
        <v>17</v>
      </c>
      <c r="V12" s="22">
        <v>33</v>
      </c>
      <c r="W12" s="22">
        <v>22</v>
      </c>
      <c r="X12" s="22">
        <v>219</v>
      </c>
      <c r="Y12" s="22">
        <v>1</v>
      </c>
      <c r="Z12" s="22">
        <v>1</v>
      </c>
      <c r="AA12" s="22">
        <v>3</v>
      </c>
      <c r="AB12" s="22">
        <v>17</v>
      </c>
      <c r="AC12" s="22">
        <v>0</v>
      </c>
      <c r="AD12" s="22">
        <v>2</v>
      </c>
      <c r="AE12" s="22">
        <v>1</v>
      </c>
      <c r="AF12" s="22">
        <v>0</v>
      </c>
      <c r="AG12" s="22">
        <v>0</v>
      </c>
      <c r="AH12" s="23" t="s">
        <v>101</v>
      </c>
      <c r="AI12" s="24">
        <f t="shared" si="0"/>
        <v>5.666666666666667</v>
      </c>
      <c r="AJ12" s="24">
        <f t="shared" si="1"/>
        <v>0</v>
      </c>
      <c r="AK12" s="25">
        <f t="shared" si="2"/>
        <v>0.5</v>
      </c>
      <c r="AL12" s="24">
        <f t="shared" si="3"/>
        <v>6.6363636363636367</v>
      </c>
      <c r="AM12" s="25">
        <f t="shared" si="4"/>
        <v>0.66666666666666663</v>
      </c>
      <c r="AN12" s="25">
        <f t="shared" si="5"/>
        <v>6.6785396260017806E-3</v>
      </c>
      <c r="AO12" s="25">
        <f t="shared" si="6"/>
        <v>3.4071550255536627E-3</v>
      </c>
      <c r="AP12" s="25">
        <f t="shared" si="7"/>
        <v>5.3658536585365853E-2</v>
      </c>
      <c r="AQ12" s="26">
        <f t="shared" si="8"/>
        <v>0.17647058823529413</v>
      </c>
      <c r="AR12" s="26">
        <f t="shared" si="9"/>
        <v>0.11764705882352941</v>
      </c>
      <c r="AS12" s="27">
        <f t="shared" si="10"/>
        <v>0</v>
      </c>
      <c r="AT12" s="27">
        <f t="shared" si="11"/>
        <v>-27</v>
      </c>
      <c r="AU12" s="28">
        <f>AF12*Settings!$B$7+AG12*Settings!$B$8+AE12*Settings!$B$9+AB12*Settings!$B$10+AC12*Settings!$B$11+X12*Settings!$B$12+Y12*Settings!$B$13+Z12*Settings!$B$14</f>
        <v>12.96</v>
      </c>
    </row>
    <row r="13" spans="1:47" x14ac:dyDescent="0.25">
      <c r="A13" s="15" t="s">
        <v>96</v>
      </c>
      <c r="B13" s="16" t="s">
        <v>689</v>
      </c>
      <c r="C13" s="17">
        <v>3</v>
      </c>
      <c r="D13" s="17" t="s">
        <v>158</v>
      </c>
      <c r="E13" s="18" t="s">
        <v>99</v>
      </c>
      <c r="F13" s="19">
        <v>31</v>
      </c>
      <c r="G13" s="19"/>
      <c r="H13" s="19">
        <v>1</v>
      </c>
      <c r="I13" s="19">
        <v>1</v>
      </c>
      <c r="J13" s="19"/>
      <c r="K13" s="19"/>
      <c r="L13" s="19"/>
      <c r="M13" s="19"/>
      <c r="N13" s="19" t="s">
        <v>150</v>
      </c>
      <c r="O13" s="19">
        <v>4</v>
      </c>
      <c r="P13" s="20">
        <v>6.62</v>
      </c>
      <c r="Q13" s="20"/>
      <c r="R13" s="21"/>
      <c r="S13" s="21">
        <v>0.59899999999999998</v>
      </c>
      <c r="T13" s="20">
        <v>6.08</v>
      </c>
      <c r="U13" s="22">
        <v>17</v>
      </c>
      <c r="V13" s="22">
        <v>1</v>
      </c>
      <c r="W13" s="22">
        <v>1</v>
      </c>
      <c r="X13" s="22">
        <v>22</v>
      </c>
      <c r="Y13" s="22">
        <v>0</v>
      </c>
      <c r="Z13" s="22">
        <v>0</v>
      </c>
      <c r="AA13" s="22">
        <v>0</v>
      </c>
      <c r="AB13" s="22">
        <v>1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3" t="s">
        <v>101</v>
      </c>
      <c r="AI13" s="24" t="str">
        <f t="shared" si="0"/>
        <v/>
      </c>
      <c r="AJ13" s="24" t="str">
        <f t="shared" si="1"/>
        <v/>
      </c>
      <c r="AK13" s="25" t="str">
        <f t="shared" si="2"/>
        <v/>
      </c>
      <c r="AL13" s="24">
        <f t="shared" si="3"/>
        <v>22</v>
      </c>
      <c r="AM13" s="25">
        <f t="shared" si="4"/>
        <v>1</v>
      </c>
      <c r="AN13" s="25">
        <f t="shared" si="5"/>
        <v>0</v>
      </c>
      <c r="AO13" s="25">
        <f t="shared" si="6"/>
        <v>0</v>
      </c>
      <c r="AP13" s="25">
        <f t="shared" si="7"/>
        <v>1.6260162601626016E-3</v>
      </c>
      <c r="AQ13" s="26">
        <f t="shared" si="8"/>
        <v>0</v>
      </c>
      <c r="AR13" s="26">
        <f t="shared" si="9"/>
        <v>0</v>
      </c>
      <c r="AS13" s="27">
        <f t="shared" si="10"/>
        <v>0</v>
      </c>
      <c r="AT13" s="27">
        <f t="shared" si="11"/>
        <v>-1</v>
      </c>
      <c r="AU13" s="28">
        <f>AF13*Settings!$B$7+AG13*Settings!$B$8+AE13*Settings!$B$9+AB13*Settings!$B$10+AC13*Settings!$B$11+X13*Settings!$B$12+Y13*Settings!$B$13+Z13*Settings!$B$14</f>
        <v>0.98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690</v>
      </c>
      <c r="C15" s="17">
        <v>1</v>
      </c>
      <c r="D15" s="17" t="s">
        <v>158</v>
      </c>
      <c r="E15" s="18" t="s">
        <v>99</v>
      </c>
      <c r="F15" s="19">
        <v>267</v>
      </c>
      <c r="G15" s="19">
        <v>150</v>
      </c>
      <c r="H15" s="19">
        <v>260</v>
      </c>
      <c r="I15" s="19">
        <v>1107</v>
      </c>
      <c r="J15" s="19">
        <v>73</v>
      </c>
      <c r="K15" s="19">
        <v>52</v>
      </c>
      <c r="L15" s="19">
        <v>52</v>
      </c>
      <c r="M15" s="19">
        <v>292</v>
      </c>
      <c r="N15" s="19" t="s">
        <v>491</v>
      </c>
      <c r="O15" s="19">
        <v>17</v>
      </c>
      <c r="P15" s="20">
        <v>3.95</v>
      </c>
      <c r="Q15" s="20">
        <v>7.68</v>
      </c>
      <c r="R15" s="21">
        <v>0.751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239</v>
      </c>
      <c r="AB15" s="22">
        <v>999</v>
      </c>
      <c r="AC15" s="22">
        <v>6</v>
      </c>
      <c r="AD15" s="22">
        <v>54</v>
      </c>
      <c r="AE15" s="22">
        <v>40</v>
      </c>
      <c r="AF15" s="22">
        <v>311</v>
      </c>
      <c r="AG15" s="22">
        <v>2</v>
      </c>
      <c r="AH15" s="23" t="s">
        <v>101</v>
      </c>
      <c r="AI15" s="24">
        <f t="shared" si="0"/>
        <v>4.1799163179916317</v>
      </c>
      <c r="AJ15" s="24">
        <f t="shared" si="1"/>
        <v>7.7750000000000004</v>
      </c>
      <c r="AK15" s="25">
        <f t="shared" si="2"/>
        <v>0.7407407407407407</v>
      </c>
      <c r="AL15" s="24" t="str">
        <f t="shared" si="3"/>
        <v/>
      </c>
      <c r="AM15" s="25" t="str">
        <f t="shared" si="4"/>
        <v/>
      </c>
      <c r="AN15" s="25">
        <f t="shared" si="5"/>
        <v>0.53205699020480846</v>
      </c>
      <c r="AO15" s="25">
        <f t="shared" si="6"/>
        <v>9.1993185689948895E-2</v>
      </c>
      <c r="AP15" s="25">
        <f t="shared" si="7"/>
        <v>0</v>
      </c>
      <c r="AQ15" s="26">
        <f t="shared" si="8"/>
        <v>14.058823529411764</v>
      </c>
      <c r="AR15" s="26">
        <f t="shared" si="9"/>
        <v>3.1764705882352939</v>
      </c>
      <c r="AS15" s="27">
        <f t="shared" si="10"/>
        <v>2</v>
      </c>
      <c r="AT15" s="27">
        <f t="shared" si="11"/>
        <v>-21</v>
      </c>
      <c r="AU15" s="28">
        <f>AF15*Settings!$B$7+AG15*Settings!$B$8+AE15*Settings!$B$9+AB15*Settings!$B$10+AC15*Settings!$B$11+X15*Settings!$B$12+Y15*Settings!$B$13+Z15*Settings!$B$14</f>
        <v>199</v>
      </c>
    </row>
    <row r="16" spans="1:47" x14ac:dyDescent="0.25">
      <c r="A16" s="15" t="s">
        <v>107</v>
      </c>
      <c r="B16" s="16" t="s">
        <v>691</v>
      </c>
      <c r="C16" s="17">
        <v>2</v>
      </c>
      <c r="D16" s="17" t="s">
        <v>114</v>
      </c>
      <c r="E16" s="18" t="s">
        <v>99</v>
      </c>
      <c r="F16" s="19">
        <v>180</v>
      </c>
      <c r="G16" s="19">
        <v>228</v>
      </c>
      <c r="H16" s="19">
        <v>131</v>
      </c>
      <c r="I16" s="19">
        <v>471</v>
      </c>
      <c r="J16" s="19">
        <v>86</v>
      </c>
      <c r="K16" s="19">
        <v>89</v>
      </c>
      <c r="L16" s="19">
        <v>39</v>
      </c>
      <c r="M16" s="19">
        <v>186</v>
      </c>
      <c r="N16" s="19" t="s">
        <v>230</v>
      </c>
      <c r="O16" s="19">
        <v>11</v>
      </c>
      <c r="P16" s="20">
        <v>3.92</v>
      </c>
      <c r="Q16" s="20">
        <v>6.79</v>
      </c>
      <c r="R16" s="21">
        <v>0.82199999999999995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111</v>
      </c>
      <c r="AB16" s="22">
        <v>401</v>
      </c>
      <c r="AC16" s="22">
        <v>2</v>
      </c>
      <c r="AD16" s="22">
        <v>38</v>
      </c>
      <c r="AE16" s="22">
        <v>30</v>
      </c>
      <c r="AF16" s="22">
        <v>208</v>
      </c>
      <c r="AG16" s="22">
        <v>1</v>
      </c>
      <c r="AH16" s="23" t="s">
        <v>101</v>
      </c>
      <c r="AI16" s="24">
        <f t="shared" si="0"/>
        <v>3.6126126126126126</v>
      </c>
      <c r="AJ16" s="24">
        <f t="shared" si="1"/>
        <v>6.9333333333333336</v>
      </c>
      <c r="AK16" s="25">
        <f t="shared" si="2"/>
        <v>0.78947368421052633</v>
      </c>
      <c r="AL16" s="24" t="str">
        <f t="shared" si="3"/>
        <v/>
      </c>
      <c r="AM16" s="25" t="str">
        <f t="shared" si="4"/>
        <v/>
      </c>
      <c r="AN16" s="25">
        <f t="shared" si="5"/>
        <v>0.24710596616206587</v>
      </c>
      <c r="AO16" s="25">
        <f t="shared" si="6"/>
        <v>6.4735945485519586E-2</v>
      </c>
      <c r="AP16" s="25">
        <f t="shared" si="7"/>
        <v>0</v>
      </c>
      <c r="AQ16" s="26">
        <f t="shared" si="8"/>
        <v>6.5294117647058822</v>
      </c>
      <c r="AR16" s="26">
        <f t="shared" si="9"/>
        <v>2.2352941176470589</v>
      </c>
      <c r="AS16" s="27">
        <f t="shared" si="10"/>
        <v>-1</v>
      </c>
      <c r="AT16" s="27">
        <f t="shared" si="11"/>
        <v>-20</v>
      </c>
      <c r="AU16" s="28">
        <f>AF16*Settings!$B$7+AG16*Settings!$B$8+AE16*Settings!$B$9+AB16*Settings!$B$10+AC16*Settings!$B$11+X16*Settings!$B$12+Y16*Settings!$B$13+Z16*Settings!$B$14</f>
        <v>93.9</v>
      </c>
    </row>
    <row r="17" spans="1:47" x14ac:dyDescent="0.25">
      <c r="A17" s="15" t="s">
        <v>107</v>
      </c>
      <c r="B17" s="16" t="s">
        <v>692</v>
      </c>
      <c r="C17" s="17">
        <v>3</v>
      </c>
      <c r="D17" s="17" t="s">
        <v>118</v>
      </c>
      <c r="E17" s="18" t="s">
        <v>99</v>
      </c>
      <c r="F17" s="19">
        <v>41</v>
      </c>
      <c r="G17" s="19">
        <v>39</v>
      </c>
      <c r="H17" s="19">
        <v>47</v>
      </c>
      <c r="I17" s="19">
        <v>193</v>
      </c>
      <c r="J17" s="19">
        <v>11</v>
      </c>
      <c r="K17" s="19">
        <v>8</v>
      </c>
      <c r="L17" s="19">
        <v>5</v>
      </c>
      <c r="M17" s="19">
        <v>30</v>
      </c>
      <c r="N17" s="19" t="s">
        <v>230</v>
      </c>
      <c r="O17" s="19">
        <v>7</v>
      </c>
      <c r="P17" s="20">
        <v>3.91</v>
      </c>
      <c r="Q17" s="20">
        <v>9</v>
      </c>
      <c r="R17" s="21">
        <v>0.83299999999999996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27</v>
      </c>
      <c r="AB17" s="22">
        <v>122</v>
      </c>
      <c r="AC17" s="22">
        <v>1</v>
      </c>
      <c r="AD17" s="22">
        <v>3</v>
      </c>
      <c r="AE17" s="22">
        <v>3</v>
      </c>
      <c r="AF17" s="22">
        <v>26</v>
      </c>
      <c r="AG17" s="22">
        <v>0</v>
      </c>
      <c r="AH17" s="23" t="s">
        <v>101</v>
      </c>
      <c r="AI17" s="24">
        <f t="shared" si="0"/>
        <v>4.5185185185185182</v>
      </c>
      <c r="AJ17" s="24">
        <f t="shared" si="1"/>
        <v>8.6666666666666661</v>
      </c>
      <c r="AK17" s="25">
        <f t="shared" si="2"/>
        <v>1</v>
      </c>
      <c r="AL17" s="24" t="str">
        <f t="shared" si="3"/>
        <v/>
      </c>
      <c r="AM17" s="25" t="str">
        <f t="shared" si="4"/>
        <v/>
      </c>
      <c r="AN17" s="25">
        <f t="shared" si="5"/>
        <v>6.010685663401602E-2</v>
      </c>
      <c r="AO17" s="25">
        <f t="shared" si="6"/>
        <v>5.1107325383304937E-3</v>
      </c>
      <c r="AP17" s="25">
        <f t="shared" si="7"/>
        <v>0</v>
      </c>
      <c r="AQ17" s="26">
        <f t="shared" si="8"/>
        <v>1.588235294117647</v>
      </c>
      <c r="AR17" s="26">
        <f t="shared" si="9"/>
        <v>0.17647058823529413</v>
      </c>
      <c r="AS17" s="27">
        <f t="shared" si="10"/>
        <v>-2</v>
      </c>
      <c r="AT17" s="27">
        <f t="shared" si="11"/>
        <v>-20</v>
      </c>
      <c r="AU17" s="28">
        <f>AF17*Settings!$B$7+AG17*Settings!$B$8+AE17*Settings!$B$9+AB17*Settings!$B$10+AC17*Settings!$B$11+X17*Settings!$B$12+Y17*Settings!$B$13+Z17*Settings!$B$14</f>
        <v>22.3</v>
      </c>
    </row>
    <row r="18" spans="1:47" x14ac:dyDescent="0.25">
      <c r="A18" s="15" t="s">
        <v>107</v>
      </c>
      <c r="B18" s="16" t="s">
        <v>693</v>
      </c>
      <c r="C18" s="17">
        <v>4</v>
      </c>
      <c r="D18" s="17" t="s">
        <v>130</v>
      </c>
      <c r="E18" s="18" t="s">
        <v>99</v>
      </c>
      <c r="F18" s="19">
        <v>102</v>
      </c>
      <c r="G18" s="19">
        <v>56</v>
      </c>
      <c r="H18" s="19">
        <v>17</v>
      </c>
      <c r="I18" s="19">
        <v>47</v>
      </c>
      <c r="J18" s="19">
        <v>25</v>
      </c>
      <c r="K18" s="19">
        <v>6</v>
      </c>
      <c r="L18" s="19">
        <v>4</v>
      </c>
      <c r="M18" s="19">
        <v>11</v>
      </c>
      <c r="N18" s="19" t="s">
        <v>602</v>
      </c>
      <c r="O18" s="19">
        <v>3</v>
      </c>
      <c r="P18" s="20">
        <v>3.94</v>
      </c>
      <c r="Q18" s="20">
        <v>7.07</v>
      </c>
      <c r="R18" s="21">
        <v>0.85699999999999998</v>
      </c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28</v>
      </c>
      <c r="AB18" s="22">
        <v>97</v>
      </c>
      <c r="AC18" s="22">
        <v>1</v>
      </c>
      <c r="AD18" s="22">
        <v>10</v>
      </c>
      <c r="AE18" s="22">
        <v>9</v>
      </c>
      <c r="AF18" s="22">
        <v>51</v>
      </c>
      <c r="AG18" s="22">
        <v>0</v>
      </c>
      <c r="AH18" s="23" t="s">
        <v>101</v>
      </c>
      <c r="AI18" s="24">
        <f t="shared" si="0"/>
        <v>3.4642857142857144</v>
      </c>
      <c r="AJ18" s="24">
        <f t="shared" si="1"/>
        <v>5.666666666666667</v>
      </c>
      <c r="AK18" s="25">
        <f t="shared" si="2"/>
        <v>0.9</v>
      </c>
      <c r="AL18" s="24" t="str">
        <f t="shared" si="3"/>
        <v/>
      </c>
      <c r="AM18" s="25" t="str">
        <f t="shared" si="4"/>
        <v/>
      </c>
      <c r="AN18" s="25">
        <f t="shared" si="5"/>
        <v>6.2333036509349952E-2</v>
      </c>
      <c r="AO18" s="25">
        <f t="shared" si="6"/>
        <v>1.7035775127768313E-2</v>
      </c>
      <c r="AP18" s="25">
        <f t="shared" si="7"/>
        <v>0</v>
      </c>
      <c r="AQ18" s="26">
        <f t="shared" si="8"/>
        <v>1.6470588235294117</v>
      </c>
      <c r="AR18" s="26">
        <f t="shared" si="9"/>
        <v>0.58823529411764708</v>
      </c>
      <c r="AS18" s="27">
        <f t="shared" si="10"/>
        <v>6</v>
      </c>
      <c r="AT18" s="27">
        <f t="shared" si="11"/>
        <v>11</v>
      </c>
      <c r="AU18" s="28">
        <f>AF18*Settings!$B$7+AG18*Settings!$B$8+AE18*Settings!$B$9+AB18*Settings!$B$10+AC18*Settings!$B$11+X18*Settings!$B$12+Y18*Settings!$B$13+Z18*Settings!$B$14</f>
        <v>25.300000000000004</v>
      </c>
    </row>
    <row r="19" spans="1:47" x14ac:dyDescent="0.25">
      <c r="A19" s="15" t="s">
        <v>107</v>
      </c>
      <c r="B19" s="16" t="s">
        <v>694</v>
      </c>
      <c r="C19" s="17">
        <v>5</v>
      </c>
      <c r="D19" s="17" t="s">
        <v>128</v>
      </c>
      <c r="E19" s="18" t="s">
        <v>99</v>
      </c>
      <c r="F19" s="19"/>
      <c r="G19" s="19">
        <v>76</v>
      </c>
      <c r="H19" s="19">
        <v>46</v>
      </c>
      <c r="I19" s="19">
        <v>198</v>
      </c>
      <c r="J19" s="19"/>
      <c r="K19" s="19">
        <v>5</v>
      </c>
      <c r="L19" s="19">
        <v>13</v>
      </c>
      <c r="M19" s="19">
        <v>103</v>
      </c>
      <c r="N19" s="19" t="s">
        <v>230</v>
      </c>
      <c r="O19" s="19">
        <v>7</v>
      </c>
      <c r="P19" s="20">
        <v>4.16</v>
      </c>
      <c r="Q19" s="20">
        <v>7.65</v>
      </c>
      <c r="R19" s="21">
        <v>0.94399999999999995</v>
      </c>
      <c r="S19" s="21"/>
      <c r="T19" s="20"/>
      <c r="U19" s="22">
        <v>17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19</v>
      </c>
      <c r="AB19" s="22">
        <v>91</v>
      </c>
      <c r="AC19" s="22">
        <v>1</v>
      </c>
      <c r="AD19" s="22">
        <v>5</v>
      </c>
      <c r="AE19" s="22">
        <v>5</v>
      </c>
      <c r="AF19" s="22">
        <v>36</v>
      </c>
      <c r="AG19" s="22">
        <v>0</v>
      </c>
      <c r="AH19" s="23" t="s">
        <v>101</v>
      </c>
      <c r="AI19" s="24">
        <f t="shared" si="0"/>
        <v>4.7894736842105265</v>
      </c>
      <c r="AJ19" s="24">
        <f t="shared" si="1"/>
        <v>7.2</v>
      </c>
      <c r="AK19" s="25">
        <f t="shared" si="2"/>
        <v>1</v>
      </c>
      <c r="AL19" s="24" t="str">
        <f t="shared" si="3"/>
        <v/>
      </c>
      <c r="AM19" s="25" t="str">
        <f t="shared" si="4"/>
        <v/>
      </c>
      <c r="AN19" s="25">
        <f t="shared" si="5"/>
        <v>4.2297417631344605E-2</v>
      </c>
      <c r="AO19" s="25">
        <f t="shared" si="6"/>
        <v>8.5178875638841564E-3</v>
      </c>
      <c r="AP19" s="25">
        <f t="shared" si="7"/>
        <v>0</v>
      </c>
      <c r="AQ19" s="26">
        <f t="shared" si="8"/>
        <v>1.1176470588235294</v>
      </c>
      <c r="AR19" s="26">
        <f t="shared" si="9"/>
        <v>0.29411764705882354</v>
      </c>
      <c r="AS19" s="27">
        <f t="shared" si="10"/>
        <v>-8</v>
      </c>
      <c r="AT19" s="27">
        <f t="shared" si="11"/>
        <v>-27</v>
      </c>
      <c r="AU19" s="28">
        <f>AF19*Settings!$B$7+AG19*Settings!$B$8+AE19*Settings!$B$9+AB19*Settings!$B$10+AC19*Settings!$B$11+X19*Settings!$B$12+Y19*Settings!$B$13+Z19*Settings!$B$14</f>
        <v>21.2</v>
      </c>
    </row>
    <row r="20" spans="1:47" x14ac:dyDescent="0.25">
      <c r="A20" s="15" t="s">
        <v>107</v>
      </c>
      <c r="B20" s="16" t="s">
        <v>695</v>
      </c>
      <c r="C20" s="17">
        <v>6</v>
      </c>
      <c r="D20" s="17" t="s">
        <v>128</v>
      </c>
      <c r="E20" s="18" t="s">
        <v>99</v>
      </c>
      <c r="F20" s="19"/>
      <c r="G20" s="19"/>
      <c r="H20" s="19">
        <v>57</v>
      </c>
      <c r="I20" s="19">
        <v>206</v>
      </c>
      <c r="J20" s="19"/>
      <c r="K20" s="19"/>
      <c r="L20" s="19">
        <v>19</v>
      </c>
      <c r="M20" s="19">
        <v>104</v>
      </c>
      <c r="N20" s="19" t="s">
        <v>230</v>
      </c>
      <c r="O20" s="19">
        <v>10</v>
      </c>
      <c r="P20" s="20">
        <v>3.61</v>
      </c>
      <c r="Q20" s="20">
        <v>6.12</v>
      </c>
      <c r="R20" s="21">
        <v>0.89500000000000002</v>
      </c>
      <c r="S20" s="21"/>
      <c r="T20" s="20"/>
      <c r="U20" s="22">
        <v>17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19</v>
      </c>
      <c r="AB20" s="22">
        <v>84</v>
      </c>
      <c r="AC20" s="22">
        <v>1</v>
      </c>
      <c r="AD20" s="22">
        <v>5</v>
      </c>
      <c r="AE20" s="22">
        <v>5</v>
      </c>
      <c r="AF20" s="22">
        <v>36</v>
      </c>
      <c r="AG20" s="22">
        <v>0</v>
      </c>
      <c r="AH20" s="23" t="s">
        <v>101</v>
      </c>
      <c r="AI20" s="24">
        <f t="shared" si="0"/>
        <v>4.4210526315789478</v>
      </c>
      <c r="AJ20" s="24">
        <f t="shared" si="1"/>
        <v>7.2</v>
      </c>
      <c r="AK20" s="25">
        <f t="shared" si="2"/>
        <v>1</v>
      </c>
      <c r="AL20" s="24" t="str">
        <f t="shared" si="3"/>
        <v/>
      </c>
      <c r="AM20" s="25" t="str">
        <f t="shared" si="4"/>
        <v/>
      </c>
      <c r="AN20" s="25">
        <f t="shared" si="5"/>
        <v>4.2297417631344605E-2</v>
      </c>
      <c r="AO20" s="25">
        <f t="shared" si="6"/>
        <v>8.5178875638841564E-3</v>
      </c>
      <c r="AP20" s="25">
        <f t="shared" si="7"/>
        <v>0</v>
      </c>
      <c r="AQ20" s="26">
        <f t="shared" si="8"/>
        <v>1.1176470588235294</v>
      </c>
      <c r="AR20" s="26">
        <f t="shared" si="9"/>
        <v>0.29411764705882354</v>
      </c>
      <c r="AS20" s="27">
        <f t="shared" si="10"/>
        <v>-14</v>
      </c>
      <c r="AT20" s="27">
        <f t="shared" si="11"/>
        <v>-38</v>
      </c>
      <c r="AU20" s="28">
        <f>AF20*Settings!$B$7+AG20*Settings!$B$8+AE20*Settings!$B$9+AB20*Settings!$B$10+AC20*Settings!$B$11+X20*Settings!$B$12+Y20*Settings!$B$13+Z20*Settings!$B$14</f>
        <v>20.5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696</v>
      </c>
      <c r="C22" s="17">
        <v>1</v>
      </c>
      <c r="D22" s="17" t="s">
        <v>111</v>
      </c>
      <c r="E22" s="18" t="s">
        <v>99</v>
      </c>
      <c r="F22" s="19"/>
      <c r="G22" s="19">
        <v>1</v>
      </c>
      <c r="H22" s="19">
        <v>1</v>
      </c>
      <c r="I22" s="19" t="s">
        <v>212</v>
      </c>
      <c r="J22" s="19">
        <v>138</v>
      </c>
      <c r="K22" s="19">
        <v>44</v>
      </c>
      <c r="L22" s="19">
        <v>156</v>
      </c>
      <c r="M22" s="19">
        <v>1163</v>
      </c>
      <c r="N22" s="19" t="s">
        <v>230</v>
      </c>
      <c r="O22" s="19">
        <v>16</v>
      </c>
      <c r="P22" s="20">
        <v>2</v>
      </c>
      <c r="Q22" s="20">
        <v>12.26</v>
      </c>
      <c r="R22" s="21">
        <v>0.64800000000000002</v>
      </c>
      <c r="S22" s="21"/>
      <c r="T22" s="20"/>
      <c r="U22" s="22">
        <v>17</v>
      </c>
      <c r="V22" s="22">
        <v>1</v>
      </c>
      <c r="W22" s="22">
        <v>0</v>
      </c>
      <c r="X22" s="22">
        <v>0</v>
      </c>
      <c r="Y22" s="22">
        <v>0</v>
      </c>
      <c r="Z22" s="22">
        <v>1</v>
      </c>
      <c r="AA22" s="22">
        <v>0</v>
      </c>
      <c r="AB22" s="22">
        <v>1</v>
      </c>
      <c r="AC22" s="22">
        <v>0</v>
      </c>
      <c r="AD22" s="22">
        <v>139</v>
      </c>
      <c r="AE22" s="22">
        <v>88</v>
      </c>
      <c r="AF22" s="22">
        <v>1116</v>
      </c>
      <c r="AG22" s="22">
        <v>7</v>
      </c>
      <c r="AH22" s="23" t="s">
        <v>101</v>
      </c>
      <c r="AI22" s="24" t="str">
        <f t="shared" si="0"/>
        <v/>
      </c>
      <c r="AJ22" s="24">
        <f t="shared" si="1"/>
        <v>12.681818181818182</v>
      </c>
      <c r="AK22" s="25">
        <f t="shared" si="2"/>
        <v>0.63309352517985606</v>
      </c>
      <c r="AL22" s="24">
        <f t="shared" si="3"/>
        <v>0</v>
      </c>
      <c r="AM22" s="25">
        <f t="shared" si="4"/>
        <v>0</v>
      </c>
      <c r="AN22" s="25">
        <f t="shared" si="5"/>
        <v>0</v>
      </c>
      <c r="AO22" s="25">
        <f t="shared" si="6"/>
        <v>0.23679727427597955</v>
      </c>
      <c r="AP22" s="25">
        <f t="shared" si="7"/>
        <v>1.6260162601626016E-3</v>
      </c>
      <c r="AQ22" s="26">
        <f t="shared" si="8"/>
        <v>0</v>
      </c>
      <c r="AR22" s="26">
        <f t="shared" si="9"/>
        <v>8.1764705882352935</v>
      </c>
      <c r="AS22" s="27">
        <f t="shared" si="10"/>
        <v>-17</v>
      </c>
      <c r="AT22" s="27">
        <f t="shared" si="11"/>
        <v>-1</v>
      </c>
      <c r="AU22" s="28">
        <f>AF22*Settings!$B$7+AG22*Settings!$B$8+AE22*Settings!$B$9+AB22*Settings!$B$10+AC22*Settings!$B$11+X22*Settings!$B$12+Y22*Settings!$B$13+Z22*Settings!$B$14</f>
        <v>195.70000000000002</v>
      </c>
    </row>
    <row r="23" spans="1:47" x14ac:dyDescent="0.25">
      <c r="A23" s="15" t="s">
        <v>121</v>
      </c>
      <c r="B23" s="16" t="s">
        <v>697</v>
      </c>
      <c r="C23" s="17">
        <v>2</v>
      </c>
      <c r="D23" s="17" t="s">
        <v>109</v>
      </c>
      <c r="E23" s="18" t="s">
        <v>99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  <c r="Q23" s="20"/>
      <c r="R23" s="21"/>
      <c r="S23" s="21"/>
      <c r="T23" s="20"/>
      <c r="U23" s="22">
        <v>17</v>
      </c>
      <c r="V23" s="22"/>
      <c r="W23" s="22"/>
      <c r="X23" s="22"/>
      <c r="Y23" s="22"/>
      <c r="Z23" s="22"/>
      <c r="AA23" s="22">
        <v>1</v>
      </c>
      <c r="AB23" s="22">
        <v>3</v>
      </c>
      <c r="AC23" s="22">
        <v>0</v>
      </c>
      <c r="AD23" s="22">
        <v>105</v>
      </c>
      <c r="AE23" s="22">
        <v>65</v>
      </c>
      <c r="AF23" s="22">
        <v>856</v>
      </c>
      <c r="AG23" s="22">
        <v>5</v>
      </c>
      <c r="AH23" s="23" t="s">
        <v>101</v>
      </c>
      <c r="AI23" s="24">
        <f t="shared" si="0"/>
        <v>3</v>
      </c>
      <c r="AJ23" s="24">
        <f t="shared" si="1"/>
        <v>13.169230769230769</v>
      </c>
      <c r="AK23" s="25">
        <f t="shared" si="2"/>
        <v>0.61904761904761907</v>
      </c>
      <c r="AL23" s="24" t="str">
        <f t="shared" si="3"/>
        <v/>
      </c>
      <c r="AM23" s="25" t="str">
        <f t="shared" si="4"/>
        <v/>
      </c>
      <c r="AN23" s="25">
        <f t="shared" si="5"/>
        <v>2.2261798753339269E-3</v>
      </c>
      <c r="AO23" s="25">
        <f t="shared" si="6"/>
        <v>0.17887563884156729</v>
      </c>
      <c r="AP23" s="25">
        <f t="shared" si="7"/>
        <v>0</v>
      </c>
      <c r="AQ23" s="26">
        <f t="shared" si="8"/>
        <v>5.8823529411764705E-2</v>
      </c>
      <c r="AR23" s="26">
        <f t="shared" si="9"/>
        <v>6.1764705882352944</v>
      </c>
      <c r="AS23" s="27">
        <f t="shared" si="10"/>
        <v>105</v>
      </c>
      <c r="AT23" s="27">
        <f t="shared" si="11"/>
        <v>1</v>
      </c>
      <c r="AU23" s="28">
        <f>AF23*Settings!$B$7+AG23*Settings!$B$8+AE23*Settings!$B$9+AB23*Settings!$B$10+AC23*Settings!$B$11+X23*Settings!$B$12+Y23*Settings!$B$13+Z23*Settings!$B$14</f>
        <v>148.40000000000003</v>
      </c>
    </row>
    <row r="24" spans="1:47" x14ac:dyDescent="0.25">
      <c r="A24" s="15" t="s">
        <v>121</v>
      </c>
      <c r="B24" s="16" t="s">
        <v>698</v>
      </c>
      <c r="C24" s="17">
        <v>3</v>
      </c>
      <c r="D24" s="17" t="s">
        <v>105</v>
      </c>
      <c r="E24" s="18" t="s">
        <v>99</v>
      </c>
      <c r="F24" s="19"/>
      <c r="G24" s="19"/>
      <c r="H24" s="19"/>
      <c r="I24" s="19"/>
      <c r="J24" s="19"/>
      <c r="K24" s="19">
        <v>15</v>
      </c>
      <c r="L24" s="19"/>
      <c r="M24" s="19"/>
      <c r="N24" s="19"/>
      <c r="O24" s="19"/>
      <c r="P24" s="20"/>
      <c r="Q24" s="20">
        <v>13.11</v>
      </c>
      <c r="R24" s="21">
        <v>0.6</v>
      </c>
      <c r="S24" s="21"/>
      <c r="T24" s="20"/>
      <c r="U24" s="22">
        <v>17</v>
      </c>
      <c r="V24" s="22"/>
      <c r="W24" s="22"/>
      <c r="X24" s="22"/>
      <c r="Y24" s="22"/>
      <c r="Z24" s="22"/>
      <c r="AA24" s="22">
        <v>1</v>
      </c>
      <c r="AB24" s="22">
        <v>2</v>
      </c>
      <c r="AC24" s="22">
        <v>0</v>
      </c>
      <c r="AD24" s="22">
        <v>30</v>
      </c>
      <c r="AE24" s="22">
        <v>16</v>
      </c>
      <c r="AF24" s="22">
        <v>223</v>
      </c>
      <c r="AG24" s="22">
        <v>1</v>
      </c>
      <c r="AH24" s="23" t="s">
        <v>101</v>
      </c>
      <c r="AI24" s="24">
        <f t="shared" si="0"/>
        <v>2</v>
      </c>
      <c r="AJ24" s="24">
        <f t="shared" si="1"/>
        <v>13.9375</v>
      </c>
      <c r="AK24" s="25">
        <f t="shared" si="2"/>
        <v>0.53333333333333333</v>
      </c>
      <c r="AL24" s="24" t="str">
        <f t="shared" si="3"/>
        <v/>
      </c>
      <c r="AM24" s="25" t="str">
        <f t="shared" si="4"/>
        <v/>
      </c>
      <c r="AN24" s="25">
        <f t="shared" si="5"/>
        <v>2.2261798753339269E-3</v>
      </c>
      <c r="AO24" s="25">
        <f t="shared" si="6"/>
        <v>5.1107325383304938E-2</v>
      </c>
      <c r="AP24" s="25">
        <f t="shared" si="7"/>
        <v>0</v>
      </c>
      <c r="AQ24" s="26">
        <f t="shared" si="8"/>
        <v>5.8823529411764705E-2</v>
      </c>
      <c r="AR24" s="26">
        <f t="shared" si="9"/>
        <v>1.7647058823529411</v>
      </c>
      <c r="AS24" s="27">
        <f t="shared" si="10"/>
        <v>30</v>
      </c>
      <c r="AT24" s="27">
        <f t="shared" si="11"/>
        <v>1</v>
      </c>
      <c r="AU24" s="28">
        <f>AF24*Settings!$B$7+AG24*Settings!$B$8+AE24*Settings!$B$9+AB24*Settings!$B$10+AC24*Settings!$B$11+X24*Settings!$B$12+Y24*Settings!$B$13+Z24*Settings!$B$14</f>
        <v>36.5</v>
      </c>
    </row>
    <row r="25" spans="1:47" x14ac:dyDescent="0.25">
      <c r="A25" s="15" t="s">
        <v>121</v>
      </c>
      <c r="B25" s="16" t="s">
        <v>699</v>
      </c>
      <c r="C25" s="17">
        <v>4</v>
      </c>
      <c r="D25" s="17" t="s">
        <v>130</v>
      </c>
      <c r="E25" s="18" t="s">
        <v>99</v>
      </c>
      <c r="F25" s="19"/>
      <c r="G25" s="19"/>
      <c r="H25" s="19"/>
      <c r="I25" s="19"/>
      <c r="J25" s="19"/>
      <c r="K25" s="19">
        <v>55</v>
      </c>
      <c r="L25" s="19">
        <v>39</v>
      </c>
      <c r="M25" s="19">
        <v>293</v>
      </c>
      <c r="N25" s="19" t="s">
        <v>230</v>
      </c>
      <c r="O25" s="19">
        <v>13</v>
      </c>
      <c r="P25" s="20"/>
      <c r="Q25" s="20">
        <v>11.64</v>
      </c>
      <c r="R25" s="21">
        <v>0.70199999999999996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49</v>
      </c>
      <c r="AE25" s="22">
        <v>33</v>
      </c>
      <c r="AF25" s="22">
        <v>390</v>
      </c>
      <c r="AG25" s="22">
        <v>2</v>
      </c>
      <c r="AH25" s="23" t="s">
        <v>101</v>
      </c>
      <c r="AI25" s="24" t="str">
        <f t="shared" si="0"/>
        <v/>
      </c>
      <c r="AJ25" s="24">
        <f t="shared" si="1"/>
        <v>11.818181818181818</v>
      </c>
      <c r="AK25" s="25">
        <f t="shared" si="2"/>
        <v>0.67346938775510201</v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8.3475298126064731E-2</v>
      </c>
      <c r="AP25" s="25">
        <f t="shared" si="7"/>
        <v>0</v>
      </c>
      <c r="AQ25" s="26">
        <f t="shared" si="8"/>
        <v>0</v>
      </c>
      <c r="AR25" s="26">
        <f t="shared" si="9"/>
        <v>2.8823529411764706</v>
      </c>
      <c r="AS25" s="27">
        <f t="shared" si="10"/>
        <v>10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67.5</v>
      </c>
    </row>
    <row r="26" spans="1:47" x14ac:dyDescent="0.25">
      <c r="A26" s="15" t="s">
        <v>121</v>
      </c>
      <c r="B26" s="16" t="s">
        <v>700</v>
      </c>
      <c r="C26" s="17">
        <v>5</v>
      </c>
      <c r="D26" s="17" t="s">
        <v>103</v>
      </c>
      <c r="E26" s="18" t="s">
        <v>99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  <c r="R26" s="21"/>
      <c r="S26" s="21"/>
      <c r="T26" s="20"/>
      <c r="U26" s="22">
        <v>17</v>
      </c>
      <c r="V26" s="22"/>
      <c r="W26" s="22"/>
      <c r="X26" s="22"/>
      <c r="Y26" s="22"/>
      <c r="Z26" s="22"/>
      <c r="AA26" s="22">
        <v>0</v>
      </c>
      <c r="AB26" s="22">
        <v>0</v>
      </c>
      <c r="AC26" s="22">
        <v>0</v>
      </c>
      <c r="AD26" s="22">
        <v>24</v>
      </c>
      <c r="AE26" s="22">
        <v>15</v>
      </c>
      <c r="AF26" s="22">
        <v>182</v>
      </c>
      <c r="AG26" s="22">
        <v>1</v>
      </c>
      <c r="AH26" s="23" t="s">
        <v>101</v>
      </c>
      <c r="AI26" s="24" t="str">
        <f t="shared" si="0"/>
        <v/>
      </c>
      <c r="AJ26" s="24">
        <f t="shared" si="1"/>
        <v>12.133333333333333</v>
      </c>
      <c r="AK26" s="25">
        <f t="shared" si="2"/>
        <v>0.625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4.0885860306643949E-2</v>
      </c>
      <c r="AP26" s="25">
        <f t="shared" si="7"/>
        <v>0</v>
      </c>
      <c r="AQ26" s="26">
        <f t="shared" si="8"/>
        <v>0</v>
      </c>
      <c r="AR26" s="26">
        <f t="shared" si="9"/>
        <v>1.411764705882353</v>
      </c>
      <c r="AS26" s="27">
        <f t="shared" si="10"/>
        <v>24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31.7</v>
      </c>
    </row>
    <row r="27" spans="1:47" x14ac:dyDescent="0.25">
      <c r="A27" s="15" t="s">
        <v>121</v>
      </c>
      <c r="B27" s="16" t="s">
        <v>701</v>
      </c>
      <c r="C27" s="17">
        <v>6</v>
      </c>
      <c r="D27" s="17" t="s">
        <v>111</v>
      </c>
      <c r="E27" s="18" t="s">
        <v>99</v>
      </c>
      <c r="F27" s="19"/>
      <c r="G27" s="19">
        <v>1</v>
      </c>
      <c r="H27" s="19"/>
      <c r="I27" s="19"/>
      <c r="J27" s="19"/>
      <c r="K27" s="19">
        <v>22</v>
      </c>
      <c r="L27" s="19">
        <v>23</v>
      </c>
      <c r="M27" s="19">
        <v>140</v>
      </c>
      <c r="N27" s="19" t="s">
        <v>230</v>
      </c>
      <c r="O27" s="19">
        <v>8</v>
      </c>
      <c r="P27" s="20">
        <v>9</v>
      </c>
      <c r="Q27" s="20">
        <v>12.12</v>
      </c>
      <c r="R27" s="21">
        <v>0.53300000000000003</v>
      </c>
      <c r="S27" s="21"/>
      <c r="T27" s="20"/>
      <c r="U27" s="22">
        <v>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1</v>
      </c>
      <c r="AC27" s="22">
        <v>0</v>
      </c>
      <c r="AD27" s="22">
        <v>13</v>
      </c>
      <c r="AE27" s="22">
        <v>7</v>
      </c>
      <c r="AF27" s="22">
        <v>75</v>
      </c>
      <c r="AG27" s="22">
        <v>0</v>
      </c>
      <c r="AH27" s="23" t="s">
        <v>101</v>
      </c>
      <c r="AI27" s="24" t="str">
        <f t="shared" si="0"/>
        <v/>
      </c>
      <c r="AJ27" s="24">
        <f t="shared" si="1"/>
        <v>10.714285714285714</v>
      </c>
      <c r="AK27" s="25">
        <f t="shared" si="2"/>
        <v>0.53846153846153844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2.2146507666098807E-2</v>
      </c>
      <c r="AP27" s="25">
        <f t="shared" si="7"/>
        <v>0</v>
      </c>
      <c r="AQ27" s="26">
        <f t="shared" si="8"/>
        <v>0</v>
      </c>
      <c r="AR27" s="26">
        <f t="shared" si="9"/>
        <v>0.76470588235294112</v>
      </c>
      <c r="AS27" s="27">
        <f t="shared" si="10"/>
        <v>-10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11.1</v>
      </c>
    </row>
    <row r="28" spans="1:47" x14ac:dyDescent="0.25">
      <c r="A28" s="15" t="s">
        <v>121</v>
      </c>
      <c r="B28" s="16" t="s">
        <v>702</v>
      </c>
      <c r="C28" s="17">
        <v>7</v>
      </c>
      <c r="D28" s="17" t="s">
        <v>105</v>
      </c>
      <c r="E28" s="32" t="s">
        <v>226</v>
      </c>
      <c r="F28" s="19"/>
      <c r="G28" s="19"/>
      <c r="H28" s="19">
        <v>4</v>
      </c>
      <c r="I28" s="19">
        <v>18</v>
      </c>
      <c r="J28" s="19"/>
      <c r="K28" s="19">
        <v>26</v>
      </c>
      <c r="L28" s="19">
        <v>17</v>
      </c>
      <c r="M28" s="19">
        <v>76</v>
      </c>
      <c r="N28" s="19" t="s">
        <v>230</v>
      </c>
      <c r="O28" s="19">
        <v>14</v>
      </c>
      <c r="P28" s="20">
        <v>4.5</v>
      </c>
      <c r="Q28" s="20">
        <v>7</v>
      </c>
      <c r="R28" s="21">
        <v>0.58099999999999996</v>
      </c>
      <c r="S28" s="21"/>
      <c r="T28" s="20"/>
      <c r="U28" s="22">
        <v>17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5</v>
      </c>
      <c r="AE28" s="22">
        <v>4</v>
      </c>
      <c r="AF28" s="22">
        <v>34</v>
      </c>
      <c r="AG28" s="22">
        <v>0</v>
      </c>
      <c r="AH28" s="23" t="s">
        <v>101</v>
      </c>
      <c r="AI28" s="24" t="str">
        <f t="shared" si="0"/>
        <v/>
      </c>
      <c r="AJ28" s="24">
        <f t="shared" si="1"/>
        <v>8.5</v>
      </c>
      <c r="AK28" s="25">
        <f t="shared" si="2"/>
        <v>0.8</v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8.5178875638841564E-3</v>
      </c>
      <c r="AP28" s="25">
        <f t="shared" si="7"/>
        <v>0</v>
      </c>
      <c r="AQ28" s="26">
        <f t="shared" si="8"/>
        <v>0</v>
      </c>
      <c r="AR28" s="26">
        <f t="shared" si="9"/>
        <v>0.29411764705882354</v>
      </c>
      <c r="AS28" s="27">
        <f t="shared" si="10"/>
        <v>-12</v>
      </c>
      <c r="AT28" s="27">
        <f t="shared" si="11"/>
        <v>-4</v>
      </c>
      <c r="AU28" s="28">
        <f>AF28*Settings!$B$7+AG28*Settings!$B$8+AE28*Settings!$B$9+AB28*Settings!$B$10+AC28*Settings!$B$11+X28*Settings!$B$12+Y28*Settings!$B$13+Z28*Settings!$B$14</f>
        <v>5.4</v>
      </c>
    </row>
    <row r="29" spans="1:47" x14ac:dyDescent="0.25">
      <c r="A29" s="15" t="s">
        <v>121</v>
      </c>
      <c r="B29" s="16" t="s">
        <v>703</v>
      </c>
      <c r="C29" s="17">
        <v>8</v>
      </c>
      <c r="D29" s="17" t="s">
        <v>128</v>
      </c>
      <c r="E29" s="18" t="s">
        <v>99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1"/>
      <c r="S29" s="21"/>
      <c r="T29" s="20"/>
      <c r="U29" s="22">
        <v>17</v>
      </c>
      <c r="V29" s="22"/>
      <c r="W29" s="22"/>
      <c r="X29" s="22"/>
      <c r="Y29" s="22"/>
      <c r="Z29" s="22"/>
      <c r="AA29" s="22">
        <v>0</v>
      </c>
      <c r="AB29" s="22">
        <v>0</v>
      </c>
      <c r="AC29" s="22">
        <v>0</v>
      </c>
      <c r="AD29" s="22">
        <v>6</v>
      </c>
      <c r="AE29" s="22">
        <v>6</v>
      </c>
      <c r="AF29" s="22">
        <v>70</v>
      </c>
      <c r="AG29" s="22">
        <v>0</v>
      </c>
      <c r="AH29" s="23" t="s">
        <v>101</v>
      </c>
      <c r="AI29" s="24" t="str">
        <f t="shared" si="0"/>
        <v/>
      </c>
      <c r="AJ29" s="24">
        <f t="shared" si="1"/>
        <v>11.666666666666666</v>
      </c>
      <c r="AK29" s="25">
        <f t="shared" si="2"/>
        <v>1</v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1.0221465076660987E-2</v>
      </c>
      <c r="AP29" s="25">
        <f t="shared" si="7"/>
        <v>0</v>
      </c>
      <c r="AQ29" s="26">
        <f t="shared" si="8"/>
        <v>0</v>
      </c>
      <c r="AR29" s="26">
        <f t="shared" si="9"/>
        <v>0.35294117647058826</v>
      </c>
      <c r="AS29" s="27">
        <f t="shared" si="10"/>
        <v>6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10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704</v>
      </c>
      <c r="C31" s="17">
        <v>1</v>
      </c>
      <c r="D31" s="17" t="s">
        <v>168</v>
      </c>
      <c r="E31" s="18" t="s">
        <v>99</v>
      </c>
      <c r="F31" s="19"/>
      <c r="G31" s="19"/>
      <c r="H31" s="19"/>
      <c r="I31" s="19"/>
      <c r="J31" s="19">
        <v>59</v>
      </c>
      <c r="K31" s="19">
        <v>66</v>
      </c>
      <c r="L31" s="19">
        <v>102</v>
      </c>
      <c r="M31" s="19">
        <v>889</v>
      </c>
      <c r="N31" s="19" t="s">
        <v>230</v>
      </c>
      <c r="O31" s="19">
        <v>17</v>
      </c>
      <c r="P31" s="20"/>
      <c r="Q31" s="20">
        <v>11.01</v>
      </c>
      <c r="R31" s="21">
        <v>0.72199999999999998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85</v>
      </c>
      <c r="AE31" s="22">
        <v>61</v>
      </c>
      <c r="AF31" s="22">
        <v>676</v>
      </c>
      <c r="AG31" s="22">
        <v>3</v>
      </c>
      <c r="AH31" s="23" t="s">
        <v>101</v>
      </c>
      <c r="AI31" s="24" t="str">
        <f t="shared" si="0"/>
        <v/>
      </c>
      <c r="AJ31" s="24">
        <f t="shared" si="1"/>
        <v>11.081967213114755</v>
      </c>
      <c r="AK31" s="25">
        <f t="shared" si="2"/>
        <v>0.71764705882352942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0.14480408858603067</v>
      </c>
      <c r="AP31" s="25">
        <f t="shared" si="7"/>
        <v>0</v>
      </c>
      <c r="AQ31" s="26">
        <f t="shared" si="8"/>
        <v>0</v>
      </c>
      <c r="AR31" s="26">
        <f t="shared" si="9"/>
        <v>5</v>
      </c>
      <c r="AS31" s="27">
        <f t="shared" si="10"/>
        <v>-17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116.10000000000001</v>
      </c>
    </row>
    <row r="32" spans="1:47" x14ac:dyDescent="0.25">
      <c r="A32" s="15" t="s">
        <v>135</v>
      </c>
      <c r="B32" s="16" t="s">
        <v>705</v>
      </c>
      <c r="C32" s="17">
        <v>2</v>
      </c>
      <c r="D32" s="17" t="s">
        <v>130</v>
      </c>
      <c r="E32" s="18" t="s">
        <v>99</v>
      </c>
      <c r="F32" s="19"/>
      <c r="G32" s="19"/>
      <c r="H32" s="19"/>
      <c r="I32" s="19"/>
      <c r="J32" s="19">
        <v>43</v>
      </c>
      <c r="K32" s="19">
        <v>64</v>
      </c>
      <c r="L32" s="19">
        <v>41</v>
      </c>
      <c r="M32" s="19">
        <v>288</v>
      </c>
      <c r="N32" s="19" t="s">
        <v>290</v>
      </c>
      <c r="O32" s="19">
        <v>15</v>
      </c>
      <c r="P32" s="20"/>
      <c r="Q32" s="20">
        <v>10.54</v>
      </c>
      <c r="R32" s="21">
        <v>0.77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3</v>
      </c>
      <c r="AC32" s="22">
        <v>0</v>
      </c>
      <c r="AD32" s="22">
        <v>31</v>
      </c>
      <c r="AE32" s="22">
        <v>25</v>
      </c>
      <c r="AF32" s="22">
        <v>233</v>
      </c>
      <c r="AG32" s="22">
        <v>1</v>
      </c>
      <c r="AH32" s="23" t="s">
        <v>101</v>
      </c>
      <c r="AI32" s="24" t="str">
        <f t="shared" si="0"/>
        <v/>
      </c>
      <c r="AJ32" s="24">
        <f t="shared" si="1"/>
        <v>9.32</v>
      </c>
      <c r="AK32" s="25">
        <f t="shared" si="2"/>
        <v>0.80645161290322576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5.2810902896081771E-2</v>
      </c>
      <c r="AP32" s="25">
        <f t="shared" si="7"/>
        <v>0</v>
      </c>
      <c r="AQ32" s="26">
        <f t="shared" si="8"/>
        <v>0</v>
      </c>
      <c r="AR32" s="26">
        <f t="shared" si="9"/>
        <v>1.8235294117647058</v>
      </c>
      <c r="AS32" s="27">
        <f t="shared" si="10"/>
        <v>-10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42.099999999999994</v>
      </c>
    </row>
    <row r="33" spans="1:47" x14ac:dyDescent="0.25">
      <c r="A33" s="15" t="s">
        <v>135</v>
      </c>
      <c r="B33" s="16" t="s">
        <v>706</v>
      </c>
      <c r="C33" s="17">
        <v>3</v>
      </c>
      <c r="D33" s="17" t="s">
        <v>111</v>
      </c>
      <c r="E33" s="18" t="s">
        <v>99</v>
      </c>
      <c r="F33" s="19"/>
      <c r="G33" s="19"/>
      <c r="H33" s="19"/>
      <c r="I33" s="19"/>
      <c r="J33" s="19"/>
      <c r="K33" s="19"/>
      <c r="L33" s="19">
        <v>1</v>
      </c>
      <c r="M33" s="19">
        <v>14</v>
      </c>
      <c r="N33" s="19" t="s">
        <v>230</v>
      </c>
      <c r="O33" s="19">
        <v>2</v>
      </c>
      <c r="P33" s="20"/>
      <c r="Q33" s="20">
        <v>14</v>
      </c>
      <c r="R33" s="21">
        <v>1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6</v>
      </c>
      <c r="AC33" s="22">
        <v>0</v>
      </c>
      <c r="AD33" s="22">
        <v>9</v>
      </c>
      <c r="AE33" s="22">
        <v>7</v>
      </c>
      <c r="AF33" s="22">
        <v>65</v>
      </c>
      <c r="AG33" s="22">
        <v>1</v>
      </c>
      <c r="AH33" s="23" t="s">
        <v>101</v>
      </c>
      <c r="AI33" s="24" t="str">
        <f t="shared" si="0"/>
        <v/>
      </c>
      <c r="AJ33" s="24">
        <f t="shared" si="1"/>
        <v>9.2857142857142865</v>
      </c>
      <c r="AK33" s="25">
        <f t="shared" si="2"/>
        <v>0.77777777777777779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1.5332197614991482E-2</v>
      </c>
      <c r="AP33" s="25">
        <f t="shared" si="7"/>
        <v>0</v>
      </c>
      <c r="AQ33" s="26">
        <f t="shared" si="8"/>
        <v>0</v>
      </c>
      <c r="AR33" s="26">
        <f t="shared" si="9"/>
        <v>0.52941176470588236</v>
      </c>
      <c r="AS33" s="27">
        <f t="shared" si="10"/>
        <v>8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16.600000000000001</v>
      </c>
    </row>
    <row r="34" spans="1:47" x14ac:dyDescent="0.25">
      <c r="A34" s="15" t="s">
        <v>135</v>
      </c>
      <c r="B34" s="16" t="s">
        <v>707</v>
      </c>
      <c r="C34" s="17">
        <v>4</v>
      </c>
      <c r="D34" s="17" t="s">
        <v>103</v>
      </c>
      <c r="E34" s="18" t="s">
        <v>99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1"/>
      <c r="S34" s="21"/>
      <c r="T34" s="20"/>
      <c r="U34" s="22">
        <v>17</v>
      </c>
      <c r="V34" s="22"/>
      <c r="W34" s="22"/>
      <c r="X34" s="22"/>
      <c r="Y34" s="22"/>
      <c r="Z34" s="22"/>
      <c r="AA34" s="22">
        <v>0</v>
      </c>
      <c r="AB34" s="22">
        <v>0</v>
      </c>
      <c r="AC34" s="22">
        <v>0</v>
      </c>
      <c r="AD34" s="22">
        <v>17</v>
      </c>
      <c r="AE34" s="22">
        <v>14</v>
      </c>
      <c r="AF34" s="22">
        <v>135</v>
      </c>
      <c r="AG34" s="22">
        <v>1</v>
      </c>
      <c r="AH34" s="23" t="s">
        <v>101</v>
      </c>
      <c r="AI34" s="24" t="str">
        <f t="shared" si="0"/>
        <v/>
      </c>
      <c r="AJ34" s="24">
        <f t="shared" si="1"/>
        <v>9.6428571428571423</v>
      </c>
      <c r="AK34" s="25">
        <f t="shared" si="2"/>
        <v>0.82352941176470584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2.8960817717206135E-2</v>
      </c>
      <c r="AP34" s="25">
        <f t="shared" si="7"/>
        <v>0</v>
      </c>
      <c r="AQ34" s="26">
        <f t="shared" si="8"/>
        <v>0</v>
      </c>
      <c r="AR34" s="26">
        <f t="shared" si="9"/>
        <v>1</v>
      </c>
      <c r="AS34" s="27">
        <f t="shared" si="10"/>
        <v>17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26.5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573</v>
      </c>
      <c r="W37" s="34">
        <f t="shared" si="12"/>
        <v>378</v>
      </c>
      <c r="X37" s="34">
        <f t="shared" si="12"/>
        <v>4095</v>
      </c>
      <c r="Y37" s="34">
        <f t="shared" si="12"/>
        <v>23</v>
      </c>
      <c r="Z37" s="34">
        <f t="shared" si="12"/>
        <v>13</v>
      </c>
      <c r="AA37" s="34">
        <f t="shared" si="12"/>
        <v>523</v>
      </c>
      <c r="AB37" s="34">
        <f t="shared" si="12"/>
        <v>2138</v>
      </c>
      <c r="AC37" s="34">
        <f t="shared" si="12"/>
        <v>16</v>
      </c>
      <c r="AD37" s="34">
        <f t="shared" si="12"/>
        <v>630</v>
      </c>
      <c r="AE37" s="34">
        <f t="shared" si="12"/>
        <v>434</v>
      </c>
      <c r="AF37" s="34">
        <f t="shared" si="12"/>
        <v>4723</v>
      </c>
      <c r="AG37" s="34">
        <f t="shared" si="12"/>
        <v>25</v>
      </c>
    </row>
    <row r="38" spans="1:47" x14ac:dyDescent="0.25">
      <c r="A38" s="5" t="s">
        <v>142</v>
      </c>
      <c r="V38" s="35">
        <f>$F$5</f>
        <v>615</v>
      </c>
      <c r="X38" s="35">
        <f>$I$5</f>
        <v>3953</v>
      </c>
      <c r="Y38" s="35">
        <f>$J$5</f>
        <v>23</v>
      </c>
      <c r="Z38" s="35">
        <f>$K$5</f>
        <v>12</v>
      </c>
      <c r="AA38" s="35">
        <f>$H$5</f>
        <v>449.20000000000005</v>
      </c>
      <c r="AB38" s="35">
        <f>$L$5</f>
        <v>1811</v>
      </c>
      <c r="AC38" s="35">
        <f>$M$5</f>
        <v>13</v>
      </c>
      <c r="AD38" s="35">
        <f>$G$5</f>
        <v>587</v>
      </c>
      <c r="AF38" s="35">
        <f>$I$5</f>
        <v>3953</v>
      </c>
      <c r="AG38" s="35">
        <f>$J$5</f>
        <v>23</v>
      </c>
    </row>
    <row r="39" spans="1:47" x14ac:dyDescent="0.25">
      <c r="A39" s="5" t="s">
        <v>143</v>
      </c>
      <c r="V39" s="36">
        <f>$F$5-V37</f>
        <v>42</v>
      </c>
      <c r="X39" s="36">
        <f>$I$5-X37</f>
        <v>-142</v>
      </c>
      <c r="Y39" s="36">
        <f>$J$5-Y37</f>
        <v>0</v>
      </c>
      <c r="Z39" s="36">
        <f>$K$5-Z37</f>
        <v>-1</v>
      </c>
      <c r="AA39" s="36">
        <f>$H$5-AA37</f>
        <v>-73.799999999999955</v>
      </c>
      <c r="AB39" s="36">
        <f>$L$5-AB37</f>
        <v>-327</v>
      </c>
      <c r="AC39" s="36">
        <f>$M$5-AC37</f>
        <v>-3</v>
      </c>
      <c r="AD39" s="36">
        <f>$G$5-AD37</f>
        <v>-43</v>
      </c>
      <c r="AF39" s="36">
        <f>$I$5-AF37</f>
        <v>-770</v>
      </c>
      <c r="AG39" s="36">
        <f>$J$5-AG37</f>
        <v>-2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299" priority="1" stopIfTrue="1">
      <formula>V37&gt;$F$5</formula>
    </cfRule>
    <cfRule type="expression" dxfId="298" priority="2">
      <formula>AND($F$5&gt;0,V37&lt;$F$5*0.97)</formula>
    </cfRule>
    <cfRule type="expression" dxfId="297" priority="3">
      <formula>AND($F$5&gt;0,V37&gt;=$F$5*0.97,V37&lt;=$F$5)</formula>
    </cfRule>
  </conditionalFormatting>
  <conditionalFormatting sqref="X37">
    <cfRule type="expression" dxfId="296" priority="4" stopIfTrue="1">
      <formula>X37&gt;$I$5</formula>
    </cfRule>
    <cfRule type="expression" dxfId="295" priority="5">
      <formula>AND($I$5&gt;0,X37&lt;$I$5*0.97)</formula>
    </cfRule>
    <cfRule type="expression" dxfId="294" priority="6">
      <formula>AND($I$5&gt;0,X37&gt;=$I$5*0.97,X37&lt;=$I$5)</formula>
    </cfRule>
  </conditionalFormatting>
  <conditionalFormatting sqref="Y37">
    <cfRule type="expression" dxfId="293" priority="7" stopIfTrue="1">
      <formula>Y37&gt;$J$5</formula>
    </cfRule>
    <cfRule type="expression" dxfId="292" priority="8">
      <formula>AND($J$5&gt;0,Y37&lt;$J$5*0.97)</formula>
    </cfRule>
    <cfRule type="expression" dxfId="291" priority="9">
      <formula>AND($J$5&gt;0,Y37&gt;=$J$5*0.97,Y37&lt;=$J$5)</formula>
    </cfRule>
  </conditionalFormatting>
  <conditionalFormatting sqref="Z37">
    <cfRule type="expression" dxfId="290" priority="10" stopIfTrue="1">
      <formula>Z37&gt;$K$5</formula>
    </cfRule>
    <cfRule type="expression" dxfId="289" priority="11">
      <formula>AND($K$5&gt;0,Z37&lt;$K$5*0.97)</formula>
    </cfRule>
    <cfRule type="expression" dxfId="288" priority="12">
      <formula>AND($K$5&gt;0,Z37&gt;=$K$5*0.97,Z37&lt;=$K$5)</formula>
    </cfRule>
  </conditionalFormatting>
  <conditionalFormatting sqref="AA37">
    <cfRule type="expression" dxfId="287" priority="13" stopIfTrue="1">
      <formula>AA37&gt;$H$5</formula>
    </cfRule>
    <cfRule type="expression" dxfId="286" priority="14">
      <formula>AND($H$5&gt;0,AA37&lt;$H$5*0.97)</formula>
    </cfRule>
    <cfRule type="expression" dxfId="285" priority="15">
      <formula>AND($H$5&gt;0,AA37&gt;=$H$5*0.97,AA37&lt;=$H$5)</formula>
    </cfRule>
  </conditionalFormatting>
  <conditionalFormatting sqref="AB37">
    <cfRule type="expression" dxfId="284" priority="16" stopIfTrue="1">
      <formula>AB37&gt;$L$5</formula>
    </cfRule>
    <cfRule type="expression" dxfId="283" priority="17">
      <formula>AND($L$5&gt;0,AB37&lt;$L$5*0.97)</formula>
    </cfRule>
    <cfRule type="expression" dxfId="282" priority="18">
      <formula>AND($L$5&gt;0,AB37&gt;=$L$5*0.97,AB37&lt;=$L$5)</formula>
    </cfRule>
  </conditionalFormatting>
  <conditionalFormatting sqref="AC37">
    <cfRule type="expression" dxfId="281" priority="19" stopIfTrue="1">
      <formula>AC37&gt;$M$5</formula>
    </cfRule>
    <cfRule type="expression" dxfId="280" priority="20">
      <formula>AND($M$5&gt;0,AC37&lt;$M$5*0.97)</formula>
    </cfRule>
    <cfRule type="expression" dxfId="279" priority="21">
      <formula>AND($M$5&gt;0,AC37&gt;=$M$5*0.97,AC37&lt;=$M$5)</formula>
    </cfRule>
  </conditionalFormatting>
  <conditionalFormatting sqref="AD37">
    <cfRule type="expression" dxfId="278" priority="22" stopIfTrue="1">
      <formula>AD37&gt;$G$5</formula>
    </cfRule>
    <cfRule type="expression" dxfId="277" priority="23">
      <formula>AND($G$5&gt;0,AD37&lt;$G$5*0.97)</formula>
    </cfRule>
    <cfRule type="expression" dxfId="276" priority="24">
      <formula>AND($G$5&gt;0,AD37&gt;=$G$5*0.97,AD37&lt;=$G$5)</formula>
    </cfRule>
  </conditionalFormatting>
  <conditionalFormatting sqref="AF37">
    <cfRule type="expression" dxfId="275" priority="25" stopIfTrue="1">
      <formula>AF37&gt;$I$5</formula>
    </cfRule>
    <cfRule type="expression" dxfId="274" priority="26">
      <formula>AND($I$5&gt;0,AF37&lt;$I$5*0.97)</formula>
    </cfRule>
    <cfRule type="expression" dxfId="273" priority="27">
      <formula>AND($I$5&gt;0,AF37&gt;=$I$5*0.97,AF37&lt;=$I$5)</formula>
    </cfRule>
  </conditionalFormatting>
  <conditionalFormatting sqref="AG37">
    <cfRule type="expression" dxfId="272" priority="28" stopIfTrue="1">
      <formula>AG37&gt;$J$5</formula>
    </cfRule>
    <cfRule type="expression" dxfId="271" priority="29">
      <formula>AND($J$5&gt;0,AG37&lt;$J$5*0.97)</formula>
    </cfRule>
    <cfRule type="expression" dxfId="270" priority="30">
      <formula>AND($J$5&gt;0,AG37&gt;=$J$5*0.97,AG37&lt;=$J$5)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708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62.6</v>
      </c>
      <c r="D5" s="10">
        <f>C5*B5</f>
        <v>1064.2</v>
      </c>
      <c r="E5" s="11">
        <v>0.56089999999999995</v>
      </c>
      <c r="F5" s="10">
        <f>ROUND(D5*E5,0)</f>
        <v>597</v>
      </c>
      <c r="G5" s="10">
        <f>ROUND(F5*Settings!$B$4,0)</f>
        <v>570</v>
      </c>
      <c r="H5" s="10">
        <f>D5-F5</f>
        <v>467.20000000000005</v>
      </c>
      <c r="I5" s="8">
        <v>3682</v>
      </c>
      <c r="J5" s="9">
        <v>20</v>
      </c>
      <c r="K5" s="9">
        <v>12</v>
      </c>
      <c r="L5" s="8">
        <v>1995</v>
      </c>
      <c r="M5" s="9">
        <v>16</v>
      </c>
    </row>
    <row r="7" spans="1:47" x14ac:dyDescent="0.25">
      <c r="A7" s="5" t="s">
        <v>54</v>
      </c>
      <c r="B7" s="12" t="s">
        <v>709</v>
      </c>
    </row>
    <row r="8" spans="1:47" x14ac:dyDescent="0.25">
      <c r="A8" s="5" t="s">
        <v>56</v>
      </c>
      <c r="B8" s="13" t="s">
        <v>710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711</v>
      </c>
      <c r="C11" s="17">
        <v>1</v>
      </c>
      <c r="D11" s="17" t="s">
        <v>103</v>
      </c>
      <c r="E11" s="18" t="s">
        <v>99</v>
      </c>
      <c r="F11" s="19"/>
      <c r="G11" s="19"/>
      <c r="H11" s="19">
        <v>79</v>
      </c>
      <c r="I11" s="19">
        <v>487</v>
      </c>
      <c r="J11" s="19"/>
      <c r="K11" s="19"/>
      <c r="L11" s="19"/>
      <c r="M11" s="19"/>
      <c r="N11" s="19" t="s">
        <v>382</v>
      </c>
      <c r="O11" s="19">
        <v>14</v>
      </c>
      <c r="P11" s="20">
        <v>6.16</v>
      </c>
      <c r="Q11" s="20"/>
      <c r="R11" s="21"/>
      <c r="S11" s="21">
        <v>0.63700000000000001</v>
      </c>
      <c r="T11" s="20">
        <v>6.7</v>
      </c>
      <c r="U11" s="22">
        <v>17</v>
      </c>
      <c r="V11" s="22">
        <v>488</v>
      </c>
      <c r="W11" s="22">
        <v>311</v>
      </c>
      <c r="X11" s="22">
        <v>3421</v>
      </c>
      <c r="Y11" s="22">
        <v>22</v>
      </c>
      <c r="Z11" s="22">
        <v>10</v>
      </c>
      <c r="AA11" s="22">
        <v>97</v>
      </c>
      <c r="AB11" s="22">
        <v>531</v>
      </c>
      <c r="AC11" s="22">
        <v>6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5.4742268041237114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7.0102459016393439</v>
      </c>
      <c r="AM11" s="25">
        <f t="shared" ref="AM11:AM35" si="4">IFERROR(W11/V11,"")</f>
        <v>0.63729508196721307</v>
      </c>
      <c r="AN11" s="25">
        <f t="shared" ref="AN11:AN35" si="5">IFERROR(AA11/$H$5,"")</f>
        <v>0.20761986301369861</v>
      </c>
      <c r="AO11" s="25">
        <f t="shared" ref="AO11:AO35" si="6">IFERROR(AD11/$G$5,"")</f>
        <v>0</v>
      </c>
      <c r="AP11" s="25">
        <f t="shared" ref="AP11:AP35" si="7">IFERROR(V11/$F$5,"")</f>
        <v>0.81742043551088772</v>
      </c>
      <c r="AQ11" s="26">
        <f t="shared" ref="AQ11:AQ35" si="8">IFERROR(AA11/U11,"")</f>
        <v>5.7058823529411766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18</v>
      </c>
      <c r="AU11" s="28">
        <f>AF11*Settings!$B$7+AG11*Settings!$B$8+AE11*Settings!$B$9+AB11*Settings!$B$10+AC11*Settings!$B$11+X11*Settings!$B$12+Y11*Settings!$B$13+Z11*Settings!$B$14</f>
        <v>293.94</v>
      </c>
    </row>
    <row r="12" spans="1:47" x14ac:dyDescent="0.25">
      <c r="A12" s="15" t="s">
        <v>96</v>
      </c>
      <c r="B12" s="16" t="s">
        <v>712</v>
      </c>
      <c r="C12" s="17">
        <v>2</v>
      </c>
      <c r="D12" s="17" t="s">
        <v>153</v>
      </c>
      <c r="E12" s="18" t="s">
        <v>99</v>
      </c>
      <c r="F12" s="19"/>
      <c r="G12" s="19">
        <v>24</v>
      </c>
      <c r="H12" s="19">
        <v>5</v>
      </c>
      <c r="I12" s="19">
        <v>23</v>
      </c>
      <c r="J12" s="19"/>
      <c r="K12" s="19"/>
      <c r="L12" s="19">
        <v>1</v>
      </c>
      <c r="M12" s="19">
        <v>33</v>
      </c>
      <c r="N12" s="19" t="s">
        <v>382</v>
      </c>
      <c r="O12" s="19">
        <v>3</v>
      </c>
      <c r="P12" s="20">
        <v>3.45</v>
      </c>
      <c r="Q12" s="20">
        <v>33</v>
      </c>
      <c r="R12" s="21">
        <v>1</v>
      </c>
      <c r="S12" s="21">
        <v>0.59399999999999997</v>
      </c>
      <c r="T12" s="20">
        <v>7.22</v>
      </c>
      <c r="U12" s="22">
        <v>17</v>
      </c>
      <c r="V12" s="22">
        <v>32</v>
      </c>
      <c r="W12" s="22">
        <v>19</v>
      </c>
      <c r="X12" s="22">
        <v>241</v>
      </c>
      <c r="Y12" s="22">
        <v>2</v>
      </c>
      <c r="Z12" s="22">
        <v>1</v>
      </c>
      <c r="AA12" s="22">
        <v>3</v>
      </c>
      <c r="AB12" s="22">
        <v>10</v>
      </c>
      <c r="AC12" s="22">
        <v>0</v>
      </c>
      <c r="AD12" s="22">
        <v>1</v>
      </c>
      <c r="AE12" s="22">
        <v>1</v>
      </c>
      <c r="AF12" s="22">
        <v>33</v>
      </c>
      <c r="AG12" s="22">
        <v>1</v>
      </c>
      <c r="AH12" s="23" t="s">
        <v>101</v>
      </c>
      <c r="AI12" s="24">
        <f t="shared" si="0"/>
        <v>3.3333333333333335</v>
      </c>
      <c r="AJ12" s="24">
        <f t="shared" si="1"/>
        <v>33</v>
      </c>
      <c r="AK12" s="25">
        <f t="shared" si="2"/>
        <v>1</v>
      </c>
      <c r="AL12" s="24">
        <f t="shared" si="3"/>
        <v>7.53125</v>
      </c>
      <c r="AM12" s="25">
        <f t="shared" si="4"/>
        <v>0.59375</v>
      </c>
      <c r="AN12" s="25">
        <f t="shared" si="5"/>
        <v>6.4212328767123284E-3</v>
      </c>
      <c r="AO12" s="25">
        <f t="shared" si="6"/>
        <v>1.7543859649122807E-3</v>
      </c>
      <c r="AP12" s="25">
        <f t="shared" si="7"/>
        <v>5.3601340033500838E-2</v>
      </c>
      <c r="AQ12" s="26">
        <f t="shared" si="8"/>
        <v>0.17647058823529413</v>
      </c>
      <c r="AR12" s="26">
        <f t="shared" si="9"/>
        <v>5.8823529411764705E-2</v>
      </c>
      <c r="AS12" s="27">
        <f t="shared" si="10"/>
        <v>0</v>
      </c>
      <c r="AT12" s="27">
        <f t="shared" si="11"/>
        <v>-2</v>
      </c>
      <c r="AU12" s="28">
        <f>AF12*Settings!$B$7+AG12*Settings!$B$8+AE12*Settings!$B$9+AB12*Settings!$B$10+AC12*Settings!$B$11+X12*Settings!$B$12+Y12*Settings!$B$13+Z12*Settings!$B$14</f>
        <v>26.44</v>
      </c>
    </row>
    <row r="13" spans="1:47" x14ac:dyDescent="0.25">
      <c r="A13" s="15" t="s">
        <v>96</v>
      </c>
      <c r="B13" s="16" t="s">
        <v>713</v>
      </c>
      <c r="C13" s="17">
        <v>3</v>
      </c>
      <c r="D13" s="17" t="s">
        <v>98</v>
      </c>
      <c r="E13" s="18" t="s">
        <v>99</v>
      </c>
      <c r="F13" s="19"/>
      <c r="G13" s="19">
        <v>1</v>
      </c>
      <c r="H13" s="19"/>
      <c r="I13" s="19"/>
      <c r="J13" s="19"/>
      <c r="K13" s="19"/>
      <c r="L13" s="19"/>
      <c r="M13" s="19"/>
      <c r="N13" s="19" t="s">
        <v>714</v>
      </c>
      <c r="O13" s="19">
        <v>1</v>
      </c>
      <c r="P13" s="20">
        <v>4</v>
      </c>
      <c r="Q13" s="20"/>
      <c r="R13" s="21"/>
      <c r="S13" s="21">
        <v>0.56699999999999995</v>
      </c>
      <c r="T13" s="20">
        <v>4.5199999999999996</v>
      </c>
      <c r="U13" s="22">
        <v>17</v>
      </c>
      <c r="V13" s="22">
        <v>30</v>
      </c>
      <c r="W13" s="22">
        <v>17</v>
      </c>
      <c r="X13" s="22">
        <v>72</v>
      </c>
      <c r="Y13" s="22">
        <v>0</v>
      </c>
      <c r="Z13" s="22">
        <v>1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3" t="s">
        <v>101</v>
      </c>
      <c r="AI13" s="24" t="str">
        <f t="shared" si="0"/>
        <v/>
      </c>
      <c r="AJ13" s="24" t="str">
        <f t="shared" si="1"/>
        <v/>
      </c>
      <c r="AK13" s="25" t="str">
        <f t="shared" si="2"/>
        <v/>
      </c>
      <c r="AL13" s="24">
        <f t="shared" si="3"/>
        <v>2.4</v>
      </c>
      <c r="AM13" s="25">
        <f t="shared" si="4"/>
        <v>0.56666666666666665</v>
      </c>
      <c r="AN13" s="25">
        <f t="shared" si="5"/>
        <v>0</v>
      </c>
      <c r="AO13" s="25">
        <f t="shared" si="6"/>
        <v>0</v>
      </c>
      <c r="AP13" s="25">
        <f t="shared" si="7"/>
        <v>5.0251256281407038E-2</v>
      </c>
      <c r="AQ13" s="26">
        <f t="shared" si="8"/>
        <v>0</v>
      </c>
      <c r="AR13" s="26">
        <f t="shared" si="9"/>
        <v>0</v>
      </c>
      <c r="AS13" s="27">
        <f t="shared" si="10"/>
        <v>0</v>
      </c>
      <c r="AT13" s="27">
        <f t="shared" si="11"/>
        <v>0</v>
      </c>
      <c r="AU13" s="28">
        <f>AF13*Settings!$B$7+AG13*Settings!$B$8+AE13*Settings!$B$9+AB13*Settings!$B$10+AC13*Settings!$B$11+X13*Settings!$B$12+Y13*Settings!$B$13+Z13*Settings!$B$14</f>
        <v>0.87999999999999989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715</v>
      </c>
      <c r="C15" s="17">
        <v>1</v>
      </c>
      <c r="D15" s="17" t="s">
        <v>118</v>
      </c>
      <c r="E15" s="18" t="s">
        <v>99</v>
      </c>
      <c r="F15" s="19"/>
      <c r="G15" s="19"/>
      <c r="H15" s="19">
        <v>101</v>
      </c>
      <c r="I15" s="19">
        <v>410</v>
      </c>
      <c r="J15" s="19"/>
      <c r="K15" s="19"/>
      <c r="L15" s="19">
        <v>32</v>
      </c>
      <c r="M15" s="19">
        <v>207</v>
      </c>
      <c r="N15" s="19" t="s">
        <v>382</v>
      </c>
      <c r="O15" s="19">
        <v>8</v>
      </c>
      <c r="P15" s="20">
        <v>4.0599999999999996</v>
      </c>
      <c r="Q15" s="20">
        <v>8.6199999999999992</v>
      </c>
      <c r="R15" s="21">
        <v>0.75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229</v>
      </c>
      <c r="AB15" s="22">
        <v>944</v>
      </c>
      <c r="AC15" s="22">
        <v>8</v>
      </c>
      <c r="AD15" s="22">
        <v>56</v>
      </c>
      <c r="AE15" s="22">
        <v>44</v>
      </c>
      <c r="AF15" s="22">
        <v>343</v>
      </c>
      <c r="AG15" s="22">
        <v>2</v>
      </c>
      <c r="AH15" s="23" t="s">
        <v>101</v>
      </c>
      <c r="AI15" s="24">
        <f t="shared" si="0"/>
        <v>4.1222707423580784</v>
      </c>
      <c r="AJ15" s="24">
        <f t="shared" si="1"/>
        <v>7.7954545454545459</v>
      </c>
      <c r="AK15" s="25">
        <f t="shared" si="2"/>
        <v>0.7857142857142857</v>
      </c>
      <c r="AL15" s="24" t="str">
        <f t="shared" si="3"/>
        <v/>
      </c>
      <c r="AM15" s="25" t="str">
        <f t="shared" si="4"/>
        <v/>
      </c>
      <c r="AN15" s="25">
        <f t="shared" si="5"/>
        <v>0.49015410958904104</v>
      </c>
      <c r="AO15" s="25">
        <f t="shared" si="6"/>
        <v>9.8245614035087719E-2</v>
      </c>
      <c r="AP15" s="25">
        <f t="shared" si="7"/>
        <v>0</v>
      </c>
      <c r="AQ15" s="26">
        <f t="shared" si="8"/>
        <v>13.470588235294118</v>
      </c>
      <c r="AR15" s="26">
        <f t="shared" si="9"/>
        <v>3.2941176470588234</v>
      </c>
      <c r="AS15" s="27">
        <f t="shared" si="10"/>
        <v>24</v>
      </c>
      <c r="AT15" s="27">
        <f t="shared" si="11"/>
        <v>128</v>
      </c>
      <c r="AU15" s="28">
        <f>AF15*Settings!$B$7+AG15*Settings!$B$8+AE15*Settings!$B$9+AB15*Settings!$B$10+AC15*Settings!$B$11+X15*Settings!$B$12+Y15*Settings!$B$13+Z15*Settings!$B$14</f>
        <v>210.70000000000002</v>
      </c>
    </row>
    <row r="16" spans="1:47" x14ac:dyDescent="0.25">
      <c r="A16" s="15" t="s">
        <v>107</v>
      </c>
      <c r="B16" s="16" t="s">
        <v>716</v>
      </c>
      <c r="C16" s="17">
        <v>2</v>
      </c>
      <c r="D16" s="17" t="s">
        <v>111</v>
      </c>
      <c r="E16" s="18" t="s">
        <v>99</v>
      </c>
      <c r="F16" s="19"/>
      <c r="G16" s="19">
        <v>192</v>
      </c>
      <c r="H16" s="19">
        <v>176</v>
      </c>
      <c r="I16" s="19">
        <v>740</v>
      </c>
      <c r="J16" s="19"/>
      <c r="K16" s="19">
        <v>53</v>
      </c>
      <c r="L16" s="19">
        <v>48</v>
      </c>
      <c r="M16" s="19">
        <v>288</v>
      </c>
      <c r="N16" s="19" t="s">
        <v>382</v>
      </c>
      <c r="O16" s="19">
        <v>15</v>
      </c>
      <c r="P16" s="20">
        <v>4.29</v>
      </c>
      <c r="Q16" s="20">
        <v>7.73</v>
      </c>
      <c r="R16" s="21">
        <v>0.73299999999999998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126</v>
      </c>
      <c r="AB16" s="22">
        <v>528</v>
      </c>
      <c r="AC16" s="22">
        <v>2</v>
      </c>
      <c r="AD16" s="22">
        <v>30</v>
      </c>
      <c r="AE16" s="22">
        <v>23</v>
      </c>
      <c r="AF16" s="22">
        <v>173</v>
      </c>
      <c r="AG16" s="22">
        <v>1</v>
      </c>
      <c r="AH16" s="23" t="s">
        <v>101</v>
      </c>
      <c r="AI16" s="24">
        <f t="shared" si="0"/>
        <v>4.1904761904761907</v>
      </c>
      <c r="AJ16" s="24">
        <f t="shared" si="1"/>
        <v>7.5217391304347823</v>
      </c>
      <c r="AK16" s="25">
        <f t="shared" si="2"/>
        <v>0.76666666666666672</v>
      </c>
      <c r="AL16" s="24" t="str">
        <f t="shared" si="3"/>
        <v/>
      </c>
      <c r="AM16" s="25" t="str">
        <f t="shared" si="4"/>
        <v/>
      </c>
      <c r="AN16" s="25">
        <f t="shared" si="5"/>
        <v>0.2696917808219178</v>
      </c>
      <c r="AO16" s="25">
        <f t="shared" si="6"/>
        <v>5.2631578947368418E-2</v>
      </c>
      <c r="AP16" s="25">
        <f t="shared" si="7"/>
        <v>0</v>
      </c>
      <c r="AQ16" s="26">
        <f t="shared" si="8"/>
        <v>7.4117647058823533</v>
      </c>
      <c r="AR16" s="26">
        <f t="shared" si="9"/>
        <v>1.7647058823529411</v>
      </c>
      <c r="AS16" s="27">
        <f t="shared" si="10"/>
        <v>-18</v>
      </c>
      <c r="AT16" s="27">
        <f t="shared" si="11"/>
        <v>-50</v>
      </c>
      <c r="AU16" s="28">
        <f>AF16*Settings!$B$7+AG16*Settings!$B$8+AE16*Settings!$B$9+AB16*Settings!$B$10+AC16*Settings!$B$11+X16*Settings!$B$12+Y16*Settings!$B$13+Z16*Settings!$B$14</f>
        <v>99.6</v>
      </c>
    </row>
    <row r="17" spans="1:47" x14ac:dyDescent="0.25">
      <c r="A17" s="15" t="s">
        <v>107</v>
      </c>
      <c r="B17" s="16" t="s">
        <v>717</v>
      </c>
      <c r="C17" s="17">
        <v>3</v>
      </c>
      <c r="D17" s="17" t="s">
        <v>130</v>
      </c>
      <c r="E17" s="18" t="s">
        <v>99</v>
      </c>
      <c r="F17" s="19">
        <v>216</v>
      </c>
      <c r="G17" s="19">
        <v>113</v>
      </c>
      <c r="H17" s="19">
        <v>119</v>
      </c>
      <c r="I17" s="19">
        <v>437</v>
      </c>
      <c r="J17" s="19">
        <v>38</v>
      </c>
      <c r="K17" s="19">
        <v>24</v>
      </c>
      <c r="L17" s="19">
        <v>19</v>
      </c>
      <c r="M17" s="19">
        <v>151</v>
      </c>
      <c r="N17" s="19" t="s">
        <v>382</v>
      </c>
      <c r="O17" s="19">
        <v>17</v>
      </c>
      <c r="P17" s="20">
        <v>3.96</v>
      </c>
      <c r="Q17" s="20">
        <v>6.71</v>
      </c>
      <c r="R17" s="21">
        <v>0.85199999999999998</v>
      </c>
      <c r="S17" s="21">
        <v>1</v>
      </c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38</v>
      </c>
      <c r="AB17" s="22">
        <v>154</v>
      </c>
      <c r="AC17" s="22">
        <v>1</v>
      </c>
      <c r="AD17" s="22">
        <v>5</v>
      </c>
      <c r="AE17" s="22">
        <v>5</v>
      </c>
      <c r="AF17" s="22">
        <v>35</v>
      </c>
      <c r="AG17" s="22">
        <v>0</v>
      </c>
      <c r="AH17" s="23" t="s">
        <v>101</v>
      </c>
      <c r="AI17" s="24">
        <f t="shared" si="0"/>
        <v>4.0526315789473681</v>
      </c>
      <c r="AJ17" s="24">
        <f t="shared" si="1"/>
        <v>7</v>
      </c>
      <c r="AK17" s="25">
        <f t="shared" si="2"/>
        <v>1</v>
      </c>
      <c r="AL17" s="24" t="str">
        <f t="shared" si="3"/>
        <v/>
      </c>
      <c r="AM17" s="25" t="str">
        <f t="shared" si="4"/>
        <v/>
      </c>
      <c r="AN17" s="25">
        <f t="shared" si="5"/>
        <v>8.1335616438356156E-2</v>
      </c>
      <c r="AO17" s="25">
        <f t="shared" si="6"/>
        <v>8.771929824561403E-3</v>
      </c>
      <c r="AP17" s="25">
        <f t="shared" si="7"/>
        <v>0</v>
      </c>
      <c r="AQ17" s="26">
        <f t="shared" si="8"/>
        <v>2.2352941176470589</v>
      </c>
      <c r="AR17" s="26">
        <f t="shared" si="9"/>
        <v>0.29411764705882354</v>
      </c>
      <c r="AS17" s="27">
        <f t="shared" si="10"/>
        <v>-14</v>
      </c>
      <c r="AT17" s="27">
        <f t="shared" si="11"/>
        <v>-81</v>
      </c>
      <c r="AU17" s="28">
        <f>AF17*Settings!$B$7+AG17*Settings!$B$8+AE17*Settings!$B$9+AB17*Settings!$B$10+AC17*Settings!$B$11+X17*Settings!$B$12+Y17*Settings!$B$13+Z17*Settings!$B$14</f>
        <v>27.4</v>
      </c>
    </row>
    <row r="18" spans="1:47" x14ac:dyDescent="0.25">
      <c r="A18" s="15" t="s">
        <v>107</v>
      </c>
      <c r="B18" s="16" t="s">
        <v>718</v>
      </c>
      <c r="C18" s="17">
        <v>4</v>
      </c>
      <c r="D18" s="17" t="s">
        <v>111</v>
      </c>
      <c r="E18" s="18" t="s">
        <v>99</v>
      </c>
      <c r="F18" s="19">
        <v>17</v>
      </c>
      <c r="G18" s="19">
        <v>14</v>
      </c>
      <c r="H18" s="19"/>
      <c r="I18" s="19"/>
      <c r="J18" s="19">
        <v>7</v>
      </c>
      <c r="K18" s="19">
        <v>11</v>
      </c>
      <c r="L18" s="19"/>
      <c r="M18" s="19"/>
      <c r="N18" s="19"/>
      <c r="O18" s="19"/>
      <c r="P18" s="20">
        <v>2.5499999999999998</v>
      </c>
      <c r="Q18" s="20">
        <v>6.5</v>
      </c>
      <c r="R18" s="21">
        <v>0.88900000000000001</v>
      </c>
      <c r="S18" s="21"/>
      <c r="T18" s="20"/>
      <c r="U18" s="22">
        <v>17</v>
      </c>
      <c r="V18" s="22"/>
      <c r="W18" s="22"/>
      <c r="X18" s="22"/>
      <c r="Y18" s="22"/>
      <c r="Z18" s="22"/>
      <c r="AA18" s="22">
        <v>0</v>
      </c>
      <c r="AB18" s="22">
        <v>2</v>
      </c>
      <c r="AC18" s="22">
        <v>0</v>
      </c>
      <c r="AD18" s="22">
        <v>1</v>
      </c>
      <c r="AE18" s="22">
        <v>1</v>
      </c>
      <c r="AF18" s="22">
        <v>2</v>
      </c>
      <c r="AG18" s="22">
        <v>0</v>
      </c>
      <c r="AH18" s="23" t="s">
        <v>101</v>
      </c>
      <c r="AI18" s="24" t="str">
        <f t="shared" si="0"/>
        <v/>
      </c>
      <c r="AJ18" s="24">
        <f t="shared" si="1"/>
        <v>2</v>
      </c>
      <c r="AK18" s="25">
        <f t="shared" si="2"/>
        <v>1</v>
      </c>
      <c r="AL18" s="24" t="str">
        <f t="shared" si="3"/>
        <v/>
      </c>
      <c r="AM18" s="25" t="str">
        <f t="shared" si="4"/>
        <v/>
      </c>
      <c r="AN18" s="25">
        <f t="shared" si="5"/>
        <v>0</v>
      </c>
      <c r="AO18" s="25">
        <f t="shared" si="6"/>
        <v>1.7543859649122807E-3</v>
      </c>
      <c r="AP18" s="25">
        <f t="shared" si="7"/>
        <v>0</v>
      </c>
      <c r="AQ18" s="26">
        <f t="shared" si="8"/>
        <v>0</v>
      </c>
      <c r="AR18" s="26">
        <f t="shared" si="9"/>
        <v>5.8823529411764705E-2</v>
      </c>
      <c r="AS18" s="27">
        <f t="shared" si="10"/>
        <v>1</v>
      </c>
      <c r="AT18" s="27">
        <f t="shared" si="11"/>
        <v>0</v>
      </c>
      <c r="AU18" s="28">
        <f>AF18*Settings!$B$7+AG18*Settings!$B$8+AE18*Settings!$B$9+AB18*Settings!$B$10+AC18*Settings!$B$11+X18*Settings!$B$12+Y18*Settings!$B$13+Z18*Settings!$B$14</f>
        <v>0.89999999999999991</v>
      </c>
    </row>
    <row r="19" spans="1:47" x14ac:dyDescent="0.25">
      <c r="A19" s="15" t="s">
        <v>107</v>
      </c>
      <c r="B19" s="16" t="s">
        <v>719</v>
      </c>
      <c r="C19" s="17">
        <v>5</v>
      </c>
      <c r="D19" s="17" t="s">
        <v>158</v>
      </c>
      <c r="E19" s="18" t="s">
        <v>99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1"/>
      <c r="S19" s="21"/>
      <c r="T19" s="20"/>
      <c r="U19" s="22">
        <v>17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33"/>
      <c r="AI19" s="24" t="str">
        <f t="shared" si="0"/>
        <v/>
      </c>
      <c r="AJ19" s="24" t="str">
        <f t="shared" si="1"/>
        <v/>
      </c>
      <c r="AK19" s="25" t="str">
        <f t="shared" si="2"/>
        <v/>
      </c>
      <c r="AL19" s="24" t="str">
        <f t="shared" si="3"/>
        <v/>
      </c>
      <c r="AM19" s="25" t="str">
        <f t="shared" si="4"/>
        <v/>
      </c>
      <c r="AN19" s="25">
        <f t="shared" si="5"/>
        <v>0</v>
      </c>
      <c r="AO19" s="25">
        <f t="shared" si="6"/>
        <v>0</v>
      </c>
      <c r="AP19" s="25">
        <f t="shared" si="7"/>
        <v>0</v>
      </c>
      <c r="AQ19" s="26">
        <f t="shared" si="8"/>
        <v>0</v>
      </c>
      <c r="AR19" s="26">
        <f t="shared" si="9"/>
        <v>0</v>
      </c>
      <c r="AS19" s="27">
        <f t="shared" si="10"/>
        <v>0</v>
      </c>
      <c r="AT19" s="27">
        <f t="shared" si="11"/>
        <v>0</v>
      </c>
      <c r="AU19" s="28">
        <f>AF19*Settings!$B$7+AG19*Settings!$B$8+AE19*Settings!$B$9+AB19*Settings!$B$10+AC19*Settings!$B$11+X19*Settings!$B$12+Y19*Settings!$B$13+Z19*Settings!$B$14</f>
        <v>0</v>
      </c>
    </row>
    <row r="20" spans="1:47" x14ac:dyDescent="0.25">
      <c r="A20" s="15" t="s">
        <v>107</v>
      </c>
      <c r="B20" s="16" t="s">
        <v>720</v>
      </c>
      <c r="C20" s="17">
        <v>6</v>
      </c>
      <c r="D20" s="17" t="s">
        <v>103</v>
      </c>
      <c r="E20" s="18" t="s">
        <v>99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1"/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721</v>
      </c>
      <c r="C22" s="17">
        <v>1</v>
      </c>
      <c r="D22" s="17" t="s">
        <v>103</v>
      </c>
      <c r="E22" s="32" t="s">
        <v>115</v>
      </c>
      <c r="F22" s="19"/>
      <c r="G22" s="19">
        <v>5</v>
      </c>
      <c r="H22" s="19"/>
      <c r="I22" s="19"/>
      <c r="J22" s="19"/>
      <c r="K22" s="19">
        <v>170</v>
      </c>
      <c r="L22" s="19">
        <v>35</v>
      </c>
      <c r="M22" s="19">
        <v>271</v>
      </c>
      <c r="N22" s="19" t="s">
        <v>382</v>
      </c>
      <c r="O22" s="19">
        <v>4</v>
      </c>
      <c r="P22" s="20">
        <v>0.4</v>
      </c>
      <c r="Q22" s="20">
        <v>11.61</v>
      </c>
      <c r="R22" s="21">
        <v>0.62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3</v>
      </c>
      <c r="AB22" s="22">
        <v>11</v>
      </c>
      <c r="AC22" s="22">
        <v>0</v>
      </c>
      <c r="AD22" s="22">
        <v>135</v>
      </c>
      <c r="AE22" s="22">
        <v>83</v>
      </c>
      <c r="AF22" s="22">
        <v>1060</v>
      </c>
      <c r="AG22" s="22">
        <v>8</v>
      </c>
      <c r="AH22" s="23" t="s">
        <v>101</v>
      </c>
      <c r="AI22" s="24">
        <f t="shared" si="0"/>
        <v>3.6666666666666665</v>
      </c>
      <c r="AJ22" s="24">
        <f t="shared" si="1"/>
        <v>12.771084337349398</v>
      </c>
      <c r="AK22" s="25">
        <f t="shared" si="2"/>
        <v>0.61481481481481481</v>
      </c>
      <c r="AL22" s="24" t="str">
        <f t="shared" si="3"/>
        <v/>
      </c>
      <c r="AM22" s="25" t="str">
        <f t="shared" si="4"/>
        <v/>
      </c>
      <c r="AN22" s="25">
        <f t="shared" si="5"/>
        <v>6.4212328767123284E-3</v>
      </c>
      <c r="AO22" s="25">
        <f t="shared" si="6"/>
        <v>0.23684210526315788</v>
      </c>
      <c r="AP22" s="25">
        <f t="shared" si="7"/>
        <v>0</v>
      </c>
      <c r="AQ22" s="26">
        <f t="shared" si="8"/>
        <v>0.17647058823529413</v>
      </c>
      <c r="AR22" s="26">
        <f t="shared" si="9"/>
        <v>7.9411764705882355</v>
      </c>
      <c r="AS22" s="27">
        <f t="shared" si="10"/>
        <v>100</v>
      </c>
      <c r="AT22" s="27">
        <f t="shared" si="11"/>
        <v>3</v>
      </c>
      <c r="AU22" s="28">
        <f>AF22*Settings!$B$7+AG22*Settings!$B$8+AE22*Settings!$B$9+AB22*Settings!$B$10+AC22*Settings!$B$11+X22*Settings!$B$12+Y22*Settings!$B$13+Z22*Settings!$B$14</f>
        <v>196.6</v>
      </c>
    </row>
    <row r="23" spans="1:47" x14ac:dyDescent="0.25">
      <c r="A23" s="15" t="s">
        <v>121</v>
      </c>
      <c r="B23" s="16" t="s">
        <v>722</v>
      </c>
      <c r="C23" s="17">
        <v>2</v>
      </c>
      <c r="D23" s="17" t="s">
        <v>130</v>
      </c>
      <c r="E23" s="18" t="s">
        <v>99</v>
      </c>
      <c r="F23" s="19">
        <v>2</v>
      </c>
      <c r="G23" s="19"/>
      <c r="H23" s="19"/>
      <c r="I23" s="19"/>
      <c r="J23" s="19">
        <v>61</v>
      </c>
      <c r="K23" s="19">
        <v>106</v>
      </c>
      <c r="L23" s="19">
        <v>72</v>
      </c>
      <c r="M23" s="19">
        <v>443</v>
      </c>
      <c r="N23" s="19" t="s">
        <v>112</v>
      </c>
      <c r="O23" s="19">
        <v>15</v>
      </c>
      <c r="P23" s="20">
        <v>2.5</v>
      </c>
      <c r="Q23" s="20">
        <v>14.56</v>
      </c>
      <c r="R23" s="21">
        <v>0.53100000000000003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1</v>
      </c>
      <c r="AB23" s="22">
        <v>4</v>
      </c>
      <c r="AC23" s="22">
        <v>0</v>
      </c>
      <c r="AD23" s="22">
        <v>57</v>
      </c>
      <c r="AE23" s="22">
        <v>30</v>
      </c>
      <c r="AF23" s="22">
        <v>413</v>
      </c>
      <c r="AG23" s="22">
        <v>2</v>
      </c>
      <c r="AH23" s="23" t="s">
        <v>101</v>
      </c>
      <c r="AI23" s="24">
        <f t="shared" si="0"/>
        <v>4</v>
      </c>
      <c r="AJ23" s="24">
        <f t="shared" si="1"/>
        <v>13.766666666666667</v>
      </c>
      <c r="AK23" s="25">
        <f t="shared" si="2"/>
        <v>0.52631578947368418</v>
      </c>
      <c r="AL23" s="24" t="str">
        <f t="shared" si="3"/>
        <v/>
      </c>
      <c r="AM23" s="25" t="str">
        <f t="shared" si="4"/>
        <v/>
      </c>
      <c r="AN23" s="25">
        <f t="shared" si="5"/>
        <v>2.1404109589041095E-3</v>
      </c>
      <c r="AO23" s="25">
        <f t="shared" si="6"/>
        <v>0.1</v>
      </c>
      <c r="AP23" s="25">
        <f t="shared" si="7"/>
        <v>0</v>
      </c>
      <c r="AQ23" s="26">
        <f t="shared" si="8"/>
        <v>5.8823529411764705E-2</v>
      </c>
      <c r="AR23" s="26">
        <f t="shared" si="9"/>
        <v>3.3529411764705883</v>
      </c>
      <c r="AS23" s="27">
        <f t="shared" si="10"/>
        <v>-15</v>
      </c>
      <c r="AT23" s="27">
        <f t="shared" si="11"/>
        <v>1</v>
      </c>
      <c r="AU23" s="28">
        <f>AF23*Settings!$B$7+AG23*Settings!$B$8+AE23*Settings!$B$9+AB23*Settings!$B$10+AC23*Settings!$B$11+X23*Settings!$B$12+Y23*Settings!$B$13+Z23*Settings!$B$14</f>
        <v>68.700000000000017</v>
      </c>
    </row>
    <row r="24" spans="1:47" x14ac:dyDescent="0.25">
      <c r="A24" s="15" t="s">
        <v>121</v>
      </c>
      <c r="B24" s="16" t="s">
        <v>723</v>
      </c>
      <c r="C24" s="17">
        <v>3</v>
      </c>
      <c r="D24" s="17" t="s">
        <v>168</v>
      </c>
      <c r="E24" s="18" t="s">
        <v>99</v>
      </c>
      <c r="F24" s="19"/>
      <c r="G24" s="19">
        <v>2</v>
      </c>
      <c r="H24" s="19"/>
      <c r="I24" s="19"/>
      <c r="J24" s="19">
        <v>79</v>
      </c>
      <c r="K24" s="19">
        <v>71</v>
      </c>
      <c r="L24" s="19">
        <v>63</v>
      </c>
      <c r="M24" s="19">
        <v>538</v>
      </c>
      <c r="N24" s="19" t="s">
        <v>382</v>
      </c>
      <c r="O24" s="19">
        <v>14</v>
      </c>
      <c r="P24" s="20">
        <v>8.5</v>
      </c>
      <c r="Q24" s="20">
        <v>14.93</v>
      </c>
      <c r="R24" s="21">
        <v>0.59199999999999997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1</v>
      </c>
      <c r="AB24" s="22">
        <v>4</v>
      </c>
      <c r="AC24" s="22">
        <v>0</v>
      </c>
      <c r="AD24" s="22">
        <v>48</v>
      </c>
      <c r="AE24" s="22">
        <v>29</v>
      </c>
      <c r="AF24" s="22">
        <v>421</v>
      </c>
      <c r="AG24" s="22">
        <v>2</v>
      </c>
      <c r="AH24" s="23" t="s">
        <v>101</v>
      </c>
      <c r="AI24" s="24">
        <f t="shared" si="0"/>
        <v>4</v>
      </c>
      <c r="AJ24" s="24">
        <f t="shared" si="1"/>
        <v>14.517241379310345</v>
      </c>
      <c r="AK24" s="25">
        <f t="shared" si="2"/>
        <v>0.60416666666666663</v>
      </c>
      <c r="AL24" s="24" t="str">
        <f t="shared" si="3"/>
        <v/>
      </c>
      <c r="AM24" s="25" t="str">
        <f t="shared" si="4"/>
        <v/>
      </c>
      <c r="AN24" s="25">
        <f t="shared" si="5"/>
        <v>2.1404109589041095E-3</v>
      </c>
      <c r="AO24" s="25">
        <f t="shared" si="6"/>
        <v>8.4210526315789472E-2</v>
      </c>
      <c r="AP24" s="25">
        <f t="shared" si="7"/>
        <v>0</v>
      </c>
      <c r="AQ24" s="26">
        <f t="shared" si="8"/>
        <v>5.8823529411764705E-2</v>
      </c>
      <c r="AR24" s="26">
        <f t="shared" si="9"/>
        <v>2.8235294117647061</v>
      </c>
      <c r="AS24" s="27">
        <f t="shared" si="10"/>
        <v>-15</v>
      </c>
      <c r="AT24" s="27">
        <f t="shared" si="11"/>
        <v>1</v>
      </c>
      <c r="AU24" s="28">
        <f>AF24*Settings!$B$7+AG24*Settings!$B$8+AE24*Settings!$B$9+AB24*Settings!$B$10+AC24*Settings!$B$11+X24*Settings!$B$12+Y24*Settings!$B$13+Z24*Settings!$B$14</f>
        <v>69</v>
      </c>
    </row>
    <row r="25" spans="1:47" x14ac:dyDescent="0.25">
      <c r="A25" s="15" t="s">
        <v>121</v>
      </c>
      <c r="B25" s="16" t="s">
        <v>724</v>
      </c>
      <c r="C25" s="17">
        <v>4</v>
      </c>
      <c r="D25" s="17" t="s">
        <v>158</v>
      </c>
      <c r="E25" s="18" t="s">
        <v>99</v>
      </c>
      <c r="F25" s="19">
        <v>11</v>
      </c>
      <c r="G25" s="19"/>
      <c r="H25" s="19"/>
      <c r="I25" s="19"/>
      <c r="J25" s="19">
        <v>30</v>
      </c>
      <c r="K25" s="19">
        <v>58</v>
      </c>
      <c r="L25" s="19">
        <v>55</v>
      </c>
      <c r="M25" s="19">
        <v>372</v>
      </c>
      <c r="N25" s="19" t="s">
        <v>613</v>
      </c>
      <c r="O25" s="19">
        <v>14</v>
      </c>
      <c r="P25" s="20">
        <v>5.18</v>
      </c>
      <c r="Q25" s="20">
        <v>13.1</v>
      </c>
      <c r="R25" s="21">
        <v>0.58699999999999997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1</v>
      </c>
      <c r="AB25" s="22">
        <v>5</v>
      </c>
      <c r="AC25" s="22">
        <v>0</v>
      </c>
      <c r="AD25" s="22">
        <v>28</v>
      </c>
      <c r="AE25" s="22">
        <v>16</v>
      </c>
      <c r="AF25" s="22">
        <v>206</v>
      </c>
      <c r="AG25" s="22">
        <v>1</v>
      </c>
      <c r="AH25" s="23" t="s">
        <v>101</v>
      </c>
      <c r="AI25" s="24">
        <f t="shared" si="0"/>
        <v>5</v>
      </c>
      <c r="AJ25" s="24">
        <f t="shared" si="1"/>
        <v>12.875</v>
      </c>
      <c r="AK25" s="25">
        <f t="shared" si="2"/>
        <v>0.5714285714285714</v>
      </c>
      <c r="AL25" s="24" t="str">
        <f t="shared" si="3"/>
        <v/>
      </c>
      <c r="AM25" s="25" t="str">
        <f t="shared" si="4"/>
        <v/>
      </c>
      <c r="AN25" s="25">
        <f t="shared" si="5"/>
        <v>2.1404109589041095E-3</v>
      </c>
      <c r="AO25" s="25">
        <f t="shared" si="6"/>
        <v>4.912280701754386E-2</v>
      </c>
      <c r="AP25" s="25">
        <f t="shared" si="7"/>
        <v>0</v>
      </c>
      <c r="AQ25" s="26">
        <f t="shared" si="8"/>
        <v>5.8823529411764705E-2</v>
      </c>
      <c r="AR25" s="26">
        <f t="shared" si="9"/>
        <v>1.6470588235294117</v>
      </c>
      <c r="AS25" s="27">
        <f t="shared" si="10"/>
        <v>-27</v>
      </c>
      <c r="AT25" s="27">
        <f t="shared" si="11"/>
        <v>1</v>
      </c>
      <c r="AU25" s="28">
        <f>AF25*Settings!$B$7+AG25*Settings!$B$8+AE25*Settings!$B$9+AB25*Settings!$B$10+AC25*Settings!$B$11+X25*Settings!$B$12+Y25*Settings!$B$13+Z25*Settings!$B$14</f>
        <v>35.1</v>
      </c>
    </row>
    <row r="26" spans="1:47" x14ac:dyDescent="0.25">
      <c r="A26" s="15" t="s">
        <v>121</v>
      </c>
      <c r="B26" s="16" t="s">
        <v>725</v>
      </c>
      <c r="C26" s="17">
        <v>5</v>
      </c>
      <c r="D26" s="17" t="s">
        <v>98</v>
      </c>
      <c r="E26" s="18" t="s">
        <v>99</v>
      </c>
      <c r="F26" s="19"/>
      <c r="G26" s="19"/>
      <c r="H26" s="19"/>
      <c r="I26" s="19"/>
      <c r="J26" s="19">
        <v>64</v>
      </c>
      <c r="K26" s="19">
        <v>18</v>
      </c>
      <c r="L26" s="19"/>
      <c r="M26" s="19"/>
      <c r="N26" s="19"/>
      <c r="O26" s="19"/>
      <c r="P26" s="20"/>
      <c r="Q26" s="20">
        <v>14.09</v>
      </c>
      <c r="R26" s="21">
        <v>0.53700000000000003</v>
      </c>
      <c r="S26" s="21"/>
      <c r="T26" s="20"/>
      <c r="U26" s="22">
        <v>17</v>
      </c>
      <c r="V26" s="22"/>
      <c r="W26" s="22"/>
      <c r="X26" s="22"/>
      <c r="Y26" s="22"/>
      <c r="Z26" s="22"/>
      <c r="AA26" s="22">
        <v>0</v>
      </c>
      <c r="AB26" s="22">
        <v>0</v>
      </c>
      <c r="AC26" s="22">
        <v>0</v>
      </c>
      <c r="AD26" s="22">
        <v>13</v>
      </c>
      <c r="AE26" s="22">
        <v>9</v>
      </c>
      <c r="AF26" s="22">
        <v>110</v>
      </c>
      <c r="AG26" s="22">
        <v>1</v>
      </c>
      <c r="AH26" s="23" t="s">
        <v>101</v>
      </c>
      <c r="AI26" s="24" t="str">
        <f t="shared" si="0"/>
        <v/>
      </c>
      <c r="AJ26" s="24">
        <f t="shared" si="1"/>
        <v>12.222222222222221</v>
      </c>
      <c r="AK26" s="25">
        <f t="shared" si="2"/>
        <v>0.69230769230769229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2.2807017543859651E-2</v>
      </c>
      <c r="AP26" s="25">
        <f t="shared" si="7"/>
        <v>0</v>
      </c>
      <c r="AQ26" s="26">
        <f t="shared" si="8"/>
        <v>0</v>
      </c>
      <c r="AR26" s="26">
        <f t="shared" si="9"/>
        <v>0.76470588235294112</v>
      </c>
      <c r="AS26" s="27">
        <f t="shared" si="10"/>
        <v>13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21.5</v>
      </c>
    </row>
    <row r="27" spans="1:47" x14ac:dyDescent="0.25">
      <c r="A27" s="15" t="s">
        <v>121</v>
      </c>
      <c r="B27" s="16" t="s">
        <v>726</v>
      </c>
      <c r="C27" s="17">
        <v>6</v>
      </c>
      <c r="D27" s="17" t="s">
        <v>128</v>
      </c>
      <c r="E27" s="18" t="s">
        <v>99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20"/>
      <c r="R27" s="21"/>
      <c r="S27" s="21"/>
      <c r="T27" s="20"/>
      <c r="U27" s="22">
        <v>17</v>
      </c>
      <c r="V27" s="22"/>
      <c r="W27" s="22"/>
      <c r="X27" s="22"/>
      <c r="Y27" s="22"/>
      <c r="Z27" s="22"/>
      <c r="AA27" s="22">
        <v>0</v>
      </c>
      <c r="AB27" s="22">
        <v>1</v>
      </c>
      <c r="AC27" s="22">
        <v>0</v>
      </c>
      <c r="AD27" s="22">
        <v>33</v>
      </c>
      <c r="AE27" s="22">
        <v>20</v>
      </c>
      <c r="AF27" s="22">
        <v>248</v>
      </c>
      <c r="AG27" s="22">
        <v>1</v>
      </c>
      <c r="AH27" s="23" t="s">
        <v>101</v>
      </c>
      <c r="AI27" s="24" t="str">
        <f t="shared" si="0"/>
        <v/>
      </c>
      <c r="AJ27" s="24">
        <f t="shared" si="1"/>
        <v>12.4</v>
      </c>
      <c r="AK27" s="25">
        <f t="shared" si="2"/>
        <v>0.60606060606060608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5.7894736842105263E-2</v>
      </c>
      <c r="AP27" s="25">
        <f t="shared" si="7"/>
        <v>0</v>
      </c>
      <c r="AQ27" s="26">
        <f t="shared" si="8"/>
        <v>0</v>
      </c>
      <c r="AR27" s="26">
        <f t="shared" si="9"/>
        <v>1.9411764705882353</v>
      </c>
      <c r="AS27" s="27">
        <f t="shared" si="10"/>
        <v>33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40.9</v>
      </c>
    </row>
    <row r="28" spans="1:47" x14ac:dyDescent="0.25">
      <c r="A28" s="15" t="s">
        <v>121</v>
      </c>
      <c r="B28" s="16" t="s">
        <v>727</v>
      </c>
      <c r="C28" s="17">
        <v>7</v>
      </c>
      <c r="D28" s="17" t="s">
        <v>158</v>
      </c>
      <c r="E28" s="18" t="s">
        <v>99</v>
      </c>
      <c r="F28" s="19"/>
      <c r="G28" s="19"/>
      <c r="H28" s="19"/>
      <c r="I28" s="19"/>
      <c r="J28" s="19">
        <v>33</v>
      </c>
      <c r="K28" s="19">
        <v>2</v>
      </c>
      <c r="L28" s="19">
        <v>19</v>
      </c>
      <c r="M28" s="19">
        <v>115</v>
      </c>
      <c r="N28" s="19" t="s">
        <v>382</v>
      </c>
      <c r="O28" s="19">
        <v>7</v>
      </c>
      <c r="P28" s="20"/>
      <c r="Q28" s="20">
        <v>10.82</v>
      </c>
      <c r="R28" s="21">
        <v>0.61099999999999999</v>
      </c>
      <c r="S28" s="21"/>
      <c r="T28" s="20"/>
      <c r="U28" s="22">
        <v>17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6</v>
      </c>
      <c r="AE28" s="22">
        <v>4</v>
      </c>
      <c r="AF28" s="22">
        <v>53</v>
      </c>
      <c r="AG28" s="22">
        <v>0</v>
      </c>
      <c r="AH28" s="23" t="s">
        <v>101</v>
      </c>
      <c r="AI28" s="24" t="str">
        <f t="shared" si="0"/>
        <v/>
      </c>
      <c r="AJ28" s="24">
        <f t="shared" si="1"/>
        <v>13.25</v>
      </c>
      <c r="AK28" s="25">
        <f t="shared" si="2"/>
        <v>0.66666666666666663</v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1.0526315789473684E-2</v>
      </c>
      <c r="AP28" s="25">
        <f t="shared" si="7"/>
        <v>0</v>
      </c>
      <c r="AQ28" s="26">
        <f t="shared" si="8"/>
        <v>0</v>
      </c>
      <c r="AR28" s="26">
        <f t="shared" si="9"/>
        <v>0.35294117647058826</v>
      </c>
      <c r="AS28" s="27">
        <f t="shared" si="10"/>
        <v>-13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7.3000000000000007</v>
      </c>
    </row>
    <row r="29" spans="1:47" x14ac:dyDescent="0.25">
      <c r="A29" s="15" t="s">
        <v>121</v>
      </c>
      <c r="B29" s="16" t="s">
        <v>728</v>
      </c>
      <c r="C29" s="17">
        <v>8</v>
      </c>
      <c r="D29" s="17" t="s">
        <v>168</v>
      </c>
      <c r="E29" s="32" t="s">
        <v>115</v>
      </c>
      <c r="F29" s="19"/>
      <c r="G29" s="19"/>
      <c r="H29" s="19"/>
      <c r="I29" s="19"/>
      <c r="J29" s="19">
        <v>47</v>
      </c>
      <c r="K29" s="19">
        <v>26</v>
      </c>
      <c r="L29" s="19">
        <v>45</v>
      </c>
      <c r="M29" s="19">
        <v>345</v>
      </c>
      <c r="N29" s="19" t="s">
        <v>210</v>
      </c>
      <c r="O29" s="19">
        <v>17</v>
      </c>
      <c r="P29" s="20"/>
      <c r="Q29" s="20">
        <v>10.45</v>
      </c>
      <c r="R29" s="21">
        <v>0.67800000000000005</v>
      </c>
      <c r="S29" s="21"/>
      <c r="T29" s="20"/>
      <c r="U29" s="22">
        <v>17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1</v>
      </c>
      <c r="AC29" s="22">
        <v>0</v>
      </c>
      <c r="AD29" s="22">
        <v>7</v>
      </c>
      <c r="AE29" s="22">
        <v>7</v>
      </c>
      <c r="AF29" s="22">
        <v>73</v>
      </c>
      <c r="AG29" s="22">
        <v>0</v>
      </c>
      <c r="AH29" s="23" t="s">
        <v>101</v>
      </c>
      <c r="AI29" s="24" t="str">
        <f t="shared" si="0"/>
        <v/>
      </c>
      <c r="AJ29" s="24">
        <f t="shared" si="1"/>
        <v>10.428571428571429</v>
      </c>
      <c r="AK29" s="25">
        <f t="shared" si="2"/>
        <v>1</v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1.2280701754385965E-2</v>
      </c>
      <c r="AP29" s="25">
        <f t="shared" si="7"/>
        <v>0</v>
      </c>
      <c r="AQ29" s="26">
        <f t="shared" si="8"/>
        <v>0</v>
      </c>
      <c r="AR29" s="26">
        <f t="shared" si="9"/>
        <v>0.41176470588235292</v>
      </c>
      <c r="AS29" s="27">
        <f t="shared" si="10"/>
        <v>-38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10.9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729</v>
      </c>
      <c r="C31" s="17">
        <v>1</v>
      </c>
      <c r="D31" s="17" t="s">
        <v>111</v>
      </c>
      <c r="E31" s="18" t="s">
        <v>99</v>
      </c>
      <c r="F31" s="19"/>
      <c r="G31" s="19"/>
      <c r="H31" s="19"/>
      <c r="I31" s="19"/>
      <c r="J31" s="19">
        <v>40</v>
      </c>
      <c r="K31" s="19">
        <v>58</v>
      </c>
      <c r="L31" s="19">
        <v>36</v>
      </c>
      <c r="M31" s="19">
        <v>307</v>
      </c>
      <c r="N31" s="19" t="s">
        <v>155</v>
      </c>
      <c r="O31" s="19">
        <v>14</v>
      </c>
      <c r="P31" s="20"/>
      <c r="Q31" s="20">
        <v>12.07</v>
      </c>
      <c r="R31" s="21">
        <v>0.73899999999999999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84</v>
      </c>
      <c r="AE31" s="22">
        <v>61</v>
      </c>
      <c r="AF31" s="22">
        <v>683</v>
      </c>
      <c r="AG31" s="22">
        <v>5</v>
      </c>
      <c r="AH31" s="23" t="s">
        <v>101</v>
      </c>
      <c r="AI31" s="24" t="str">
        <f t="shared" si="0"/>
        <v/>
      </c>
      <c r="AJ31" s="24">
        <f t="shared" si="1"/>
        <v>11.196721311475409</v>
      </c>
      <c r="AK31" s="25">
        <f t="shared" si="2"/>
        <v>0.72619047619047616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0.14736842105263157</v>
      </c>
      <c r="AP31" s="25">
        <f t="shared" si="7"/>
        <v>0</v>
      </c>
      <c r="AQ31" s="26">
        <f t="shared" si="8"/>
        <v>0</v>
      </c>
      <c r="AR31" s="26">
        <f t="shared" si="9"/>
        <v>4.9411764705882355</v>
      </c>
      <c r="AS31" s="27">
        <f t="shared" si="10"/>
        <v>48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128.80000000000001</v>
      </c>
    </row>
    <row r="32" spans="1:47" x14ac:dyDescent="0.25">
      <c r="A32" s="15" t="s">
        <v>135</v>
      </c>
      <c r="B32" s="16" t="s">
        <v>730</v>
      </c>
      <c r="C32" s="17">
        <v>2</v>
      </c>
      <c r="D32" s="17" t="s">
        <v>105</v>
      </c>
      <c r="E32" s="18" t="s">
        <v>99</v>
      </c>
      <c r="F32" s="19"/>
      <c r="G32" s="19"/>
      <c r="H32" s="19"/>
      <c r="I32" s="19"/>
      <c r="J32" s="19"/>
      <c r="K32" s="19">
        <v>43</v>
      </c>
      <c r="L32" s="19">
        <v>74</v>
      </c>
      <c r="M32" s="19">
        <v>528</v>
      </c>
      <c r="N32" s="19" t="s">
        <v>382</v>
      </c>
      <c r="O32" s="19">
        <v>15</v>
      </c>
      <c r="P32" s="20"/>
      <c r="Q32" s="20">
        <v>11.61</v>
      </c>
      <c r="R32" s="21">
        <v>0.63200000000000001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44</v>
      </c>
      <c r="AE32" s="22">
        <v>26</v>
      </c>
      <c r="AF32" s="22">
        <v>293</v>
      </c>
      <c r="AG32" s="22">
        <v>2</v>
      </c>
      <c r="AH32" s="23" t="s">
        <v>101</v>
      </c>
      <c r="AI32" s="24" t="str">
        <f t="shared" si="0"/>
        <v/>
      </c>
      <c r="AJ32" s="24">
        <f t="shared" si="1"/>
        <v>11.26923076923077</v>
      </c>
      <c r="AK32" s="25">
        <f t="shared" si="2"/>
        <v>0.59090909090909094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7.7192982456140355E-2</v>
      </c>
      <c r="AP32" s="25">
        <f t="shared" si="7"/>
        <v>0</v>
      </c>
      <c r="AQ32" s="26">
        <f t="shared" si="8"/>
        <v>0</v>
      </c>
      <c r="AR32" s="26">
        <f t="shared" si="9"/>
        <v>2.5882352941176472</v>
      </c>
      <c r="AS32" s="27">
        <f t="shared" si="10"/>
        <v>-30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54.3</v>
      </c>
    </row>
    <row r="33" spans="1:47" x14ac:dyDescent="0.25">
      <c r="A33" s="15" t="s">
        <v>135</v>
      </c>
      <c r="B33" s="16" t="s">
        <v>731</v>
      </c>
      <c r="C33" s="17">
        <v>3</v>
      </c>
      <c r="D33" s="17" t="s">
        <v>130</v>
      </c>
      <c r="E33" s="18" t="s">
        <v>99</v>
      </c>
      <c r="F33" s="19"/>
      <c r="G33" s="19"/>
      <c r="H33" s="19"/>
      <c r="I33" s="19"/>
      <c r="J33" s="19"/>
      <c r="K33" s="19">
        <v>4</v>
      </c>
      <c r="L33" s="19">
        <v>15</v>
      </c>
      <c r="M33" s="19">
        <v>91</v>
      </c>
      <c r="N33" s="19" t="s">
        <v>150</v>
      </c>
      <c r="O33" s="19">
        <v>9</v>
      </c>
      <c r="P33" s="20"/>
      <c r="Q33" s="20">
        <v>8.92</v>
      </c>
      <c r="R33" s="21">
        <v>0.63200000000000001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11</v>
      </c>
      <c r="AE33" s="22">
        <v>7</v>
      </c>
      <c r="AF33" s="22">
        <v>75</v>
      </c>
      <c r="AG33" s="22">
        <v>1</v>
      </c>
      <c r="AH33" s="23" t="s">
        <v>101</v>
      </c>
      <c r="AI33" s="24" t="str">
        <f t="shared" si="0"/>
        <v/>
      </c>
      <c r="AJ33" s="24">
        <f t="shared" si="1"/>
        <v>10.714285714285714</v>
      </c>
      <c r="AK33" s="25">
        <f t="shared" si="2"/>
        <v>0.63636363636363635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1.9298245614035089E-2</v>
      </c>
      <c r="AP33" s="25">
        <f t="shared" si="7"/>
        <v>0</v>
      </c>
      <c r="AQ33" s="26">
        <f t="shared" si="8"/>
        <v>0</v>
      </c>
      <c r="AR33" s="26">
        <f t="shared" si="9"/>
        <v>0.6470588235294118</v>
      </c>
      <c r="AS33" s="27">
        <f t="shared" si="10"/>
        <v>-4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17</v>
      </c>
    </row>
    <row r="34" spans="1:47" x14ac:dyDescent="0.25">
      <c r="A34" s="15" t="s">
        <v>135</v>
      </c>
      <c r="B34" s="16" t="s">
        <v>732</v>
      </c>
      <c r="C34" s="17">
        <v>4</v>
      </c>
      <c r="D34" s="17" t="s">
        <v>103</v>
      </c>
      <c r="E34" s="18" t="s">
        <v>99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1"/>
      <c r="S34" s="21"/>
      <c r="T34" s="20"/>
      <c r="U34" s="22">
        <v>17</v>
      </c>
      <c r="V34" s="22"/>
      <c r="W34" s="22"/>
      <c r="X34" s="22"/>
      <c r="Y34" s="22"/>
      <c r="Z34" s="22"/>
      <c r="AA34" s="22">
        <v>0</v>
      </c>
      <c r="AB34" s="22">
        <v>0</v>
      </c>
      <c r="AC34" s="22">
        <v>0</v>
      </c>
      <c r="AD34" s="22">
        <v>8</v>
      </c>
      <c r="AE34" s="22">
        <v>8</v>
      </c>
      <c r="AF34" s="22">
        <v>77</v>
      </c>
      <c r="AG34" s="22">
        <v>1</v>
      </c>
      <c r="AH34" s="23" t="s">
        <v>101</v>
      </c>
      <c r="AI34" s="24" t="str">
        <f t="shared" si="0"/>
        <v/>
      </c>
      <c r="AJ34" s="24">
        <f t="shared" si="1"/>
        <v>9.625</v>
      </c>
      <c r="AK34" s="25">
        <f t="shared" si="2"/>
        <v>1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1.4035087719298246E-2</v>
      </c>
      <c r="AP34" s="25">
        <f t="shared" si="7"/>
        <v>0</v>
      </c>
      <c r="AQ34" s="26">
        <f t="shared" si="8"/>
        <v>0</v>
      </c>
      <c r="AR34" s="26">
        <f t="shared" si="9"/>
        <v>0.47058823529411764</v>
      </c>
      <c r="AS34" s="27">
        <f t="shared" si="10"/>
        <v>8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17.7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550</v>
      </c>
      <c r="W37" s="34">
        <f t="shared" si="12"/>
        <v>347</v>
      </c>
      <c r="X37" s="34">
        <f t="shared" si="12"/>
        <v>3734</v>
      </c>
      <c r="Y37" s="34">
        <f t="shared" si="12"/>
        <v>24</v>
      </c>
      <c r="Z37" s="34">
        <f t="shared" si="12"/>
        <v>12</v>
      </c>
      <c r="AA37" s="34">
        <f t="shared" si="12"/>
        <v>499</v>
      </c>
      <c r="AB37" s="34">
        <f t="shared" si="12"/>
        <v>2195</v>
      </c>
      <c r="AC37" s="34">
        <f t="shared" si="12"/>
        <v>17</v>
      </c>
      <c r="AD37" s="34">
        <f t="shared" si="12"/>
        <v>567</v>
      </c>
      <c r="AE37" s="34">
        <f t="shared" si="12"/>
        <v>374</v>
      </c>
      <c r="AF37" s="34">
        <f t="shared" si="12"/>
        <v>4298</v>
      </c>
      <c r="AG37" s="34">
        <f t="shared" si="12"/>
        <v>28</v>
      </c>
    </row>
    <row r="38" spans="1:47" x14ac:dyDescent="0.25">
      <c r="A38" s="5" t="s">
        <v>142</v>
      </c>
      <c r="V38" s="35">
        <f>$F$5</f>
        <v>597</v>
      </c>
      <c r="X38" s="35">
        <f>$I$5</f>
        <v>3682</v>
      </c>
      <c r="Y38" s="35">
        <f>$J$5</f>
        <v>20</v>
      </c>
      <c r="Z38" s="35">
        <f>$K$5</f>
        <v>12</v>
      </c>
      <c r="AA38" s="35">
        <f>$H$5</f>
        <v>467.20000000000005</v>
      </c>
      <c r="AB38" s="35">
        <f>$L$5</f>
        <v>1995</v>
      </c>
      <c r="AC38" s="35">
        <f>$M$5</f>
        <v>16</v>
      </c>
      <c r="AD38" s="35">
        <f>$G$5</f>
        <v>570</v>
      </c>
      <c r="AF38" s="35">
        <f>$I$5</f>
        <v>3682</v>
      </c>
      <c r="AG38" s="35">
        <f>$J$5</f>
        <v>20</v>
      </c>
    </row>
    <row r="39" spans="1:47" x14ac:dyDescent="0.25">
      <c r="A39" s="5" t="s">
        <v>143</v>
      </c>
      <c r="V39" s="36">
        <f>$F$5-V37</f>
        <v>47</v>
      </c>
      <c r="X39" s="36">
        <f>$I$5-X37</f>
        <v>-52</v>
      </c>
      <c r="Y39" s="36">
        <f>$J$5-Y37</f>
        <v>-4</v>
      </c>
      <c r="Z39" s="36">
        <f>$K$5-Z37</f>
        <v>0</v>
      </c>
      <c r="AA39" s="36">
        <f>$H$5-AA37</f>
        <v>-31.799999999999955</v>
      </c>
      <c r="AB39" s="36">
        <f>$L$5-AB37</f>
        <v>-200</v>
      </c>
      <c r="AC39" s="36">
        <f>$M$5-AC37</f>
        <v>-1</v>
      </c>
      <c r="AD39" s="36">
        <f>$G$5-AD37</f>
        <v>3</v>
      </c>
      <c r="AF39" s="36">
        <f>$I$5-AF37</f>
        <v>-616</v>
      </c>
      <c r="AG39" s="36">
        <f>$J$5-AG37</f>
        <v>-8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269" priority="1" stopIfTrue="1">
      <formula>V37&gt;$F$5</formula>
    </cfRule>
    <cfRule type="expression" dxfId="268" priority="2">
      <formula>AND($F$5&gt;0,V37&lt;$F$5*0.97)</formula>
    </cfRule>
    <cfRule type="expression" dxfId="267" priority="3">
      <formula>AND($F$5&gt;0,V37&gt;=$F$5*0.97,V37&lt;=$F$5)</formula>
    </cfRule>
  </conditionalFormatting>
  <conditionalFormatting sqref="X37">
    <cfRule type="expression" dxfId="266" priority="4" stopIfTrue="1">
      <formula>X37&gt;$I$5</formula>
    </cfRule>
    <cfRule type="expression" dxfId="265" priority="5">
      <formula>AND($I$5&gt;0,X37&lt;$I$5*0.97)</formula>
    </cfRule>
    <cfRule type="expression" dxfId="264" priority="6">
      <formula>AND($I$5&gt;0,X37&gt;=$I$5*0.97,X37&lt;=$I$5)</formula>
    </cfRule>
  </conditionalFormatting>
  <conditionalFormatting sqref="Y37">
    <cfRule type="expression" dxfId="263" priority="7" stopIfTrue="1">
      <formula>Y37&gt;$J$5</formula>
    </cfRule>
    <cfRule type="expression" dxfId="262" priority="8">
      <formula>AND($J$5&gt;0,Y37&lt;$J$5*0.97)</formula>
    </cfRule>
    <cfRule type="expression" dxfId="261" priority="9">
      <formula>AND($J$5&gt;0,Y37&gt;=$J$5*0.97,Y37&lt;=$J$5)</formula>
    </cfRule>
  </conditionalFormatting>
  <conditionalFormatting sqref="Z37">
    <cfRule type="expression" dxfId="260" priority="10" stopIfTrue="1">
      <formula>Z37&gt;$K$5</formula>
    </cfRule>
    <cfRule type="expression" dxfId="259" priority="11">
      <formula>AND($K$5&gt;0,Z37&lt;$K$5*0.97)</formula>
    </cfRule>
    <cfRule type="expression" dxfId="258" priority="12">
      <formula>AND($K$5&gt;0,Z37&gt;=$K$5*0.97,Z37&lt;=$K$5)</formula>
    </cfRule>
  </conditionalFormatting>
  <conditionalFormatting sqref="AA37">
    <cfRule type="expression" dxfId="257" priority="13" stopIfTrue="1">
      <formula>AA37&gt;$H$5</formula>
    </cfRule>
    <cfRule type="expression" dxfId="256" priority="14">
      <formula>AND($H$5&gt;0,AA37&lt;$H$5*0.97)</formula>
    </cfRule>
    <cfRule type="expression" dxfId="255" priority="15">
      <formula>AND($H$5&gt;0,AA37&gt;=$H$5*0.97,AA37&lt;=$H$5)</formula>
    </cfRule>
  </conditionalFormatting>
  <conditionalFormatting sqref="AB37">
    <cfRule type="expression" dxfId="254" priority="16" stopIfTrue="1">
      <formula>AB37&gt;$L$5</formula>
    </cfRule>
    <cfRule type="expression" dxfId="253" priority="17">
      <formula>AND($L$5&gt;0,AB37&lt;$L$5*0.97)</formula>
    </cfRule>
    <cfRule type="expression" dxfId="252" priority="18">
      <formula>AND($L$5&gt;0,AB37&gt;=$L$5*0.97,AB37&lt;=$L$5)</formula>
    </cfRule>
  </conditionalFormatting>
  <conditionalFormatting sqref="AC37">
    <cfRule type="expression" dxfId="251" priority="19" stopIfTrue="1">
      <formula>AC37&gt;$M$5</formula>
    </cfRule>
    <cfRule type="expression" dxfId="250" priority="20">
      <formula>AND($M$5&gt;0,AC37&lt;$M$5*0.97)</formula>
    </cfRule>
    <cfRule type="expression" dxfId="249" priority="21">
      <formula>AND($M$5&gt;0,AC37&gt;=$M$5*0.97,AC37&lt;=$M$5)</formula>
    </cfRule>
  </conditionalFormatting>
  <conditionalFormatting sqref="AD37">
    <cfRule type="expression" dxfId="248" priority="22" stopIfTrue="1">
      <formula>AD37&gt;$G$5</formula>
    </cfRule>
    <cfRule type="expression" dxfId="247" priority="23">
      <formula>AND($G$5&gt;0,AD37&lt;$G$5*0.97)</formula>
    </cfRule>
    <cfRule type="expression" dxfId="246" priority="24">
      <formula>AND($G$5&gt;0,AD37&gt;=$G$5*0.97,AD37&lt;=$G$5)</formula>
    </cfRule>
  </conditionalFormatting>
  <conditionalFormatting sqref="AF37">
    <cfRule type="expression" dxfId="245" priority="25" stopIfTrue="1">
      <formula>AF37&gt;$I$5</formula>
    </cfRule>
    <cfRule type="expression" dxfId="244" priority="26">
      <formula>AND($I$5&gt;0,AF37&lt;$I$5*0.97)</formula>
    </cfRule>
    <cfRule type="expression" dxfId="243" priority="27">
      <formula>AND($I$5&gt;0,AF37&gt;=$I$5*0.97,AF37&lt;=$I$5)</formula>
    </cfRule>
  </conditionalFormatting>
  <conditionalFormatting sqref="AG37">
    <cfRule type="expression" dxfId="242" priority="28" stopIfTrue="1">
      <formula>AG37&gt;$J$5</formula>
    </cfRule>
    <cfRule type="expression" dxfId="241" priority="29">
      <formula>AND($J$5&gt;0,AG37&lt;$J$5*0.97)</formula>
    </cfRule>
    <cfRule type="expression" dxfId="240" priority="30">
      <formula>AND($J$5&gt;0,AG37&gt;=$J$5*0.97,AG37&lt;=$J$5)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733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60.7</v>
      </c>
      <c r="D5" s="10">
        <f>C5*B5</f>
        <v>1031.9000000000001</v>
      </c>
      <c r="E5" s="11">
        <v>0.5847</v>
      </c>
      <c r="F5" s="10">
        <f>ROUND(D5*E5,0)</f>
        <v>603</v>
      </c>
      <c r="G5" s="10">
        <f>ROUND(F5*Settings!$B$4,0)</f>
        <v>575</v>
      </c>
      <c r="H5" s="10">
        <f>D5-F5</f>
        <v>428.90000000000009</v>
      </c>
      <c r="I5" s="8">
        <v>3457</v>
      </c>
      <c r="J5" s="9">
        <v>21</v>
      </c>
      <c r="K5" s="9">
        <v>13</v>
      </c>
      <c r="L5" s="8">
        <v>1886</v>
      </c>
      <c r="M5" s="9">
        <v>11</v>
      </c>
    </row>
    <row r="7" spans="1:47" x14ac:dyDescent="0.25">
      <c r="A7" s="5" t="s">
        <v>54</v>
      </c>
      <c r="B7" s="12" t="s">
        <v>734</v>
      </c>
    </row>
    <row r="8" spans="1:47" x14ac:dyDescent="0.25">
      <c r="A8" s="5" t="s">
        <v>56</v>
      </c>
      <c r="B8" s="13" t="s">
        <v>735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736</v>
      </c>
      <c r="C11" s="17">
        <v>1</v>
      </c>
      <c r="D11" s="17" t="s">
        <v>737</v>
      </c>
      <c r="E11" s="18" t="s">
        <v>99</v>
      </c>
      <c r="F11" s="19">
        <v>28</v>
      </c>
      <c r="G11" s="19">
        <v>40</v>
      </c>
      <c r="H11" s="19">
        <v>35</v>
      </c>
      <c r="I11" s="19">
        <v>109</v>
      </c>
      <c r="J11" s="19">
        <v>1</v>
      </c>
      <c r="K11" s="19"/>
      <c r="L11" s="19"/>
      <c r="M11" s="19"/>
      <c r="N11" s="19" t="s">
        <v>241</v>
      </c>
      <c r="O11" s="19">
        <v>15</v>
      </c>
      <c r="P11" s="20">
        <v>5.2</v>
      </c>
      <c r="Q11" s="20">
        <v>-2</v>
      </c>
      <c r="R11" s="21">
        <v>1</v>
      </c>
      <c r="S11" s="21">
        <v>0.67700000000000005</v>
      </c>
      <c r="T11" s="20">
        <v>7.19</v>
      </c>
      <c r="U11" s="22">
        <v>17</v>
      </c>
      <c r="V11" s="22">
        <v>491</v>
      </c>
      <c r="W11" s="22">
        <v>326</v>
      </c>
      <c r="X11" s="22">
        <v>3308</v>
      </c>
      <c r="Y11" s="22">
        <v>20</v>
      </c>
      <c r="Z11" s="22">
        <v>14</v>
      </c>
      <c r="AA11" s="22">
        <v>51</v>
      </c>
      <c r="AB11" s="22">
        <v>178</v>
      </c>
      <c r="AC11" s="22">
        <v>1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3.4901960784313726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6.7372708757637474</v>
      </c>
      <c r="AM11" s="25">
        <f t="shared" ref="AM11:AM35" si="4">IFERROR(W11/V11,"")</f>
        <v>0.66395112016293278</v>
      </c>
      <c r="AN11" s="25">
        <f t="shared" ref="AN11:AN35" si="5">IFERROR(AA11/$H$5,"")</f>
        <v>0.11890883655863835</v>
      </c>
      <c r="AO11" s="25">
        <f t="shared" ref="AO11:AO35" si="6">IFERROR(AD11/$G$5,"")</f>
        <v>0</v>
      </c>
      <c r="AP11" s="25">
        <f t="shared" ref="AP11:AP35" si="7">IFERROR(V11/$F$5,"")</f>
        <v>0.81426202321724706</v>
      </c>
      <c r="AQ11" s="26">
        <f t="shared" ref="AQ11:AQ35" si="8">IFERROR(AA11/U11,"")</f>
        <v>3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16</v>
      </c>
      <c r="AU11" s="28">
        <f>AF11*Settings!$B$7+AG11*Settings!$B$8+AE11*Settings!$B$9+AB11*Settings!$B$10+AC11*Settings!$B$11+X11*Settings!$B$12+Y11*Settings!$B$13+Z11*Settings!$B$14</f>
        <v>208.12</v>
      </c>
    </row>
    <row r="12" spans="1:47" x14ac:dyDescent="0.25">
      <c r="A12" s="15" t="s">
        <v>96</v>
      </c>
      <c r="B12" s="16" t="s">
        <v>738</v>
      </c>
      <c r="C12" s="17">
        <v>2</v>
      </c>
      <c r="D12" s="17" t="s">
        <v>128</v>
      </c>
      <c r="E12" s="18" t="s">
        <v>99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/>
      <c r="Q12" s="20"/>
      <c r="R12" s="21"/>
      <c r="S12" s="21"/>
      <c r="T12" s="20"/>
      <c r="U12" s="22">
        <v>17</v>
      </c>
      <c r="V12" s="22">
        <v>49</v>
      </c>
      <c r="W12" s="22">
        <v>29</v>
      </c>
      <c r="X12" s="22">
        <v>310</v>
      </c>
      <c r="Y12" s="22">
        <v>2</v>
      </c>
      <c r="Z12" s="22">
        <v>1</v>
      </c>
      <c r="AA12" s="22">
        <v>3</v>
      </c>
      <c r="AB12" s="22">
        <v>14</v>
      </c>
      <c r="AC12" s="22">
        <v>0</v>
      </c>
      <c r="AD12" s="22"/>
      <c r="AE12" s="22"/>
      <c r="AF12" s="22"/>
      <c r="AG12" s="22"/>
      <c r="AH12" s="23" t="s">
        <v>101</v>
      </c>
      <c r="AI12" s="24">
        <f t="shared" si="0"/>
        <v>4.666666666666667</v>
      </c>
      <c r="AJ12" s="24" t="str">
        <f t="shared" si="1"/>
        <v/>
      </c>
      <c r="AK12" s="25" t="str">
        <f t="shared" si="2"/>
        <v/>
      </c>
      <c r="AL12" s="24">
        <f t="shared" si="3"/>
        <v>6.3265306122448983</v>
      </c>
      <c r="AM12" s="25">
        <f t="shared" si="4"/>
        <v>0.59183673469387754</v>
      </c>
      <c r="AN12" s="25">
        <f t="shared" si="5"/>
        <v>6.9946374446257856E-3</v>
      </c>
      <c r="AO12" s="25">
        <f t="shared" si="6"/>
        <v>0</v>
      </c>
      <c r="AP12" s="25">
        <f t="shared" si="7"/>
        <v>8.12603648424544E-2</v>
      </c>
      <c r="AQ12" s="26">
        <f t="shared" si="8"/>
        <v>0.17647058823529413</v>
      </c>
      <c r="AR12" s="26">
        <f t="shared" si="9"/>
        <v>0</v>
      </c>
      <c r="AS12" s="27">
        <f t="shared" si="10"/>
        <v>0</v>
      </c>
      <c r="AT12" s="27">
        <f t="shared" si="11"/>
        <v>3</v>
      </c>
      <c r="AU12" s="28">
        <f>AF12*Settings!$B$7+AG12*Settings!$B$8+AE12*Settings!$B$9+AB12*Settings!$B$10+AC12*Settings!$B$11+X12*Settings!$B$12+Y12*Settings!$B$13+Z12*Settings!$B$14</f>
        <v>19.8</v>
      </c>
    </row>
    <row r="13" spans="1:47" x14ac:dyDescent="0.25">
      <c r="A13" s="15" t="s">
        <v>96</v>
      </c>
      <c r="B13" s="16" t="s">
        <v>739</v>
      </c>
      <c r="C13" s="17">
        <v>3</v>
      </c>
      <c r="D13" s="17" t="s">
        <v>118</v>
      </c>
      <c r="E13" s="18" t="s">
        <v>99</v>
      </c>
      <c r="F13" s="19"/>
      <c r="G13" s="19"/>
      <c r="H13" s="19">
        <v>13</v>
      </c>
      <c r="I13" s="19">
        <v>49</v>
      </c>
      <c r="J13" s="19"/>
      <c r="K13" s="19"/>
      <c r="L13" s="19"/>
      <c r="M13" s="19"/>
      <c r="N13" s="19" t="s">
        <v>358</v>
      </c>
      <c r="O13" s="19">
        <v>5</v>
      </c>
      <c r="P13" s="20">
        <v>3.77</v>
      </c>
      <c r="Q13" s="20"/>
      <c r="R13" s="21"/>
      <c r="S13" s="21">
        <v>0.57499999999999996</v>
      </c>
      <c r="T13" s="20">
        <v>4.83</v>
      </c>
      <c r="U13" s="22">
        <v>17</v>
      </c>
      <c r="V13" s="22">
        <v>9</v>
      </c>
      <c r="W13" s="22">
        <v>6</v>
      </c>
      <c r="X13" s="22">
        <v>57</v>
      </c>
      <c r="Y13" s="22">
        <v>0</v>
      </c>
      <c r="Z13" s="22">
        <v>0</v>
      </c>
      <c r="AA13" s="22">
        <v>2</v>
      </c>
      <c r="AB13" s="22">
        <v>7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3" t="s">
        <v>101</v>
      </c>
      <c r="AI13" s="24">
        <f t="shared" si="0"/>
        <v>3.5</v>
      </c>
      <c r="AJ13" s="24" t="str">
        <f t="shared" si="1"/>
        <v/>
      </c>
      <c r="AK13" s="25" t="str">
        <f t="shared" si="2"/>
        <v/>
      </c>
      <c r="AL13" s="24">
        <f t="shared" si="3"/>
        <v>6.333333333333333</v>
      </c>
      <c r="AM13" s="25">
        <f t="shared" si="4"/>
        <v>0.66666666666666663</v>
      </c>
      <c r="AN13" s="25">
        <f t="shared" si="5"/>
        <v>4.6630916297505237E-3</v>
      </c>
      <c r="AO13" s="25">
        <f t="shared" si="6"/>
        <v>0</v>
      </c>
      <c r="AP13" s="25">
        <f t="shared" si="7"/>
        <v>1.4925373134328358E-2</v>
      </c>
      <c r="AQ13" s="26">
        <f t="shared" si="8"/>
        <v>0.11764705882352941</v>
      </c>
      <c r="AR13" s="26">
        <f t="shared" si="9"/>
        <v>0</v>
      </c>
      <c r="AS13" s="27">
        <f t="shared" si="10"/>
        <v>0</v>
      </c>
      <c r="AT13" s="27">
        <f t="shared" si="11"/>
        <v>-11</v>
      </c>
      <c r="AU13" s="28">
        <f>AF13*Settings!$B$7+AG13*Settings!$B$8+AE13*Settings!$B$9+AB13*Settings!$B$10+AC13*Settings!$B$11+X13*Settings!$B$12+Y13*Settings!$B$13+Z13*Settings!$B$14</f>
        <v>2.9800000000000004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740</v>
      </c>
      <c r="C15" s="17">
        <v>1</v>
      </c>
      <c r="D15" s="17" t="s">
        <v>105</v>
      </c>
      <c r="E15" s="18" t="s">
        <v>99</v>
      </c>
      <c r="F15" s="19">
        <v>223</v>
      </c>
      <c r="G15" s="19">
        <v>209</v>
      </c>
      <c r="H15" s="19">
        <v>243</v>
      </c>
      <c r="I15" s="19">
        <v>1065</v>
      </c>
      <c r="J15" s="19">
        <v>95</v>
      </c>
      <c r="K15" s="19">
        <v>76</v>
      </c>
      <c r="L15" s="19">
        <v>48</v>
      </c>
      <c r="M15" s="19">
        <v>350</v>
      </c>
      <c r="N15" s="19" t="s">
        <v>358</v>
      </c>
      <c r="O15" s="19">
        <v>16</v>
      </c>
      <c r="P15" s="20">
        <v>4.3499999999999996</v>
      </c>
      <c r="Q15" s="20">
        <v>8.43</v>
      </c>
      <c r="R15" s="21">
        <v>0.77200000000000002</v>
      </c>
      <c r="S15" s="21">
        <v>1</v>
      </c>
      <c r="T15" s="20"/>
      <c r="U15" s="22">
        <v>17</v>
      </c>
      <c r="V15" s="22">
        <v>1</v>
      </c>
      <c r="W15" s="22">
        <v>1</v>
      </c>
      <c r="X15" s="22">
        <v>4</v>
      </c>
      <c r="Y15" s="22">
        <v>1</v>
      </c>
      <c r="Z15" s="22">
        <v>0</v>
      </c>
      <c r="AA15" s="22">
        <v>241</v>
      </c>
      <c r="AB15" s="22">
        <v>1068</v>
      </c>
      <c r="AC15" s="22">
        <v>6</v>
      </c>
      <c r="AD15" s="22">
        <v>56</v>
      </c>
      <c r="AE15" s="22">
        <v>46</v>
      </c>
      <c r="AF15" s="22">
        <v>396</v>
      </c>
      <c r="AG15" s="22">
        <v>2</v>
      </c>
      <c r="AH15" s="23" t="s">
        <v>101</v>
      </c>
      <c r="AI15" s="24">
        <f t="shared" si="0"/>
        <v>4.4315352697095438</v>
      </c>
      <c r="AJ15" s="24">
        <f t="shared" si="1"/>
        <v>8.6086956521739122</v>
      </c>
      <c r="AK15" s="25">
        <f t="shared" si="2"/>
        <v>0.8214285714285714</v>
      </c>
      <c r="AL15" s="24">
        <f t="shared" si="3"/>
        <v>4</v>
      </c>
      <c r="AM15" s="25">
        <f t="shared" si="4"/>
        <v>1</v>
      </c>
      <c r="AN15" s="25">
        <f t="shared" si="5"/>
        <v>0.56190254138493811</v>
      </c>
      <c r="AO15" s="25">
        <f t="shared" si="6"/>
        <v>9.7391304347826085E-2</v>
      </c>
      <c r="AP15" s="25">
        <f t="shared" si="7"/>
        <v>1.658374792703151E-3</v>
      </c>
      <c r="AQ15" s="26">
        <f t="shared" si="8"/>
        <v>14.176470588235293</v>
      </c>
      <c r="AR15" s="26">
        <f t="shared" si="9"/>
        <v>3.2941176470588234</v>
      </c>
      <c r="AS15" s="27">
        <f t="shared" si="10"/>
        <v>8</v>
      </c>
      <c r="AT15" s="27">
        <f t="shared" si="11"/>
        <v>-2</v>
      </c>
      <c r="AU15" s="28">
        <f>AF15*Settings!$B$7+AG15*Settings!$B$8+AE15*Settings!$B$9+AB15*Settings!$B$10+AC15*Settings!$B$11+X15*Settings!$B$12+Y15*Settings!$B$13+Z15*Settings!$B$14</f>
        <v>221.56</v>
      </c>
    </row>
    <row r="16" spans="1:47" x14ac:dyDescent="0.25">
      <c r="A16" s="15" t="s">
        <v>107</v>
      </c>
      <c r="B16" s="16" t="s">
        <v>741</v>
      </c>
      <c r="C16" s="17">
        <v>2</v>
      </c>
      <c r="D16" s="17" t="s">
        <v>128</v>
      </c>
      <c r="E16" s="18" t="s">
        <v>99</v>
      </c>
      <c r="F16" s="19"/>
      <c r="G16" s="19">
        <v>92</v>
      </c>
      <c r="H16" s="19">
        <v>18</v>
      </c>
      <c r="I16" s="19">
        <v>76</v>
      </c>
      <c r="J16" s="19"/>
      <c r="K16" s="19">
        <v>27</v>
      </c>
      <c r="L16" s="19">
        <v>3</v>
      </c>
      <c r="M16" s="19">
        <v>17</v>
      </c>
      <c r="N16" s="19" t="s">
        <v>358</v>
      </c>
      <c r="O16" s="19">
        <v>4</v>
      </c>
      <c r="P16" s="20">
        <v>3.73</v>
      </c>
      <c r="Q16" s="20">
        <v>7.86</v>
      </c>
      <c r="R16" s="21">
        <v>0.7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82</v>
      </c>
      <c r="AB16" s="22">
        <v>335</v>
      </c>
      <c r="AC16" s="22">
        <v>3</v>
      </c>
      <c r="AD16" s="22">
        <v>15</v>
      </c>
      <c r="AE16" s="22">
        <v>11</v>
      </c>
      <c r="AF16" s="22">
        <v>81</v>
      </c>
      <c r="AG16" s="22">
        <v>0</v>
      </c>
      <c r="AH16" s="23" t="s">
        <v>101</v>
      </c>
      <c r="AI16" s="24">
        <f t="shared" si="0"/>
        <v>4.0853658536585362</v>
      </c>
      <c r="AJ16" s="24">
        <f t="shared" si="1"/>
        <v>7.3636363636363633</v>
      </c>
      <c r="AK16" s="25">
        <f t="shared" si="2"/>
        <v>0.73333333333333328</v>
      </c>
      <c r="AL16" s="24" t="str">
        <f t="shared" si="3"/>
        <v/>
      </c>
      <c r="AM16" s="25" t="str">
        <f t="shared" si="4"/>
        <v/>
      </c>
      <c r="AN16" s="25">
        <f t="shared" si="5"/>
        <v>0.19118675681977146</v>
      </c>
      <c r="AO16" s="25">
        <f t="shared" si="6"/>
        <v>2.6086956521739129E-2</v>
      </c>
      <c r="AP16" s="25">
        <f t="shared" si="7"/>
        <v>0</v>
      </c>
      <c r="AQ16" s="26">
        <f t="shared" si="8"/>
        <v>4.8235294117647056</v>
      </c>
      <c r="AR16" s="26">
        <f t="shared" si="9"/>
        <v>0.88235294117647056</v>
      </c>
      <c r="AS16" s="27">
        <f t="shared" si="10"/>
        <v>12</v>
      </c>
      <c r="AT16" s="27">
        <f t="shared" si="11"/>
        <v>64</v>
      </c>
      <c r="AU16" s="28">
        <f>AF16*Settings!$B$7+AG16*Settings!$B$8+AE16*Settings!$B$9+AB16*Settings!$B$10+AC16*Settings!$B$11+X16*Settings!$B$12+Y16*Settings!$B$13+Z16*Settings!$B$14</f>
        <v>65.099999999999994</v>
      </c>
    </row>
    <row r="17" spans="1:47" x14ac:dyDescent="0.25">
      <c r="A17" s="15" t="s">
        <v>107</v>
      </c>
      <c r="B17" s="16" t="s">
        <v>742</v>
      </c>
      <c r="C17" s="17">
        <v>3</v>
      </c>
      <c r="D17" s="17" t="s">
        <v>118</v>
      </c>
      <c r="E17" s="18" t="s">
        <v>99</v>
      </c>
      <c r="F17" s="19"/>
      <c r="G17" s="19">
        <v>30</v>
      </c>
      <c r="H17" s="19">
        <v>43</v>
      </c>
      <c r="I17" s="19">
        <v>236</v>
      </c>
      <c r="J17" s="19"/>
      <c r="K17" s="19">
        <v>12</v>
      </c>
      <c r="L17" s="19">
        <v>28</v>
      </c>
      <c r="M17" s="19">
        <v>186</v>
      </c>
      <c r="N17" s="19" t="s">
        <v>358</v>
      </c>
      <c r="O17" s="19">
        <v>16</v>
      </c>
      <c r="P17" s="20">
        <v>5.62</v>
      </c>
      <c r="Q17" s="20">
        <v>8.6999999999999993</v>
      </c>
      <c r="R17" s="21">
        <v>0.75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43</v>
      </c>
      <c r="AB17" s="22">
        <v>206</v>
      </c>
      <c r="AC17" s="22">
        <v>1</v>
      </c>
      <c r="AD17" s="22">
        <v>17</v>
      </c>
      <c r="AE17" s="22">
        <v>15</v>
      </c>
      <c r="AF17" s="22">
        <v>120</v>
      </c>
      <c r="AG17" s="22">
        <v>0</v>
      </c>
      <c r="AH17" s="23" t="s">
        <v>101</v>
      </c>
      <c r="AI17" s="24">
        <f t="shared" si="0"/>
        <v>4.7906976744186043</v>
      </c>
      <c r="AJ17" s="24">
        <f t="shared" si="1"/>
        <v>8</v>
      </c>
      <c r="AK17" s="25">
        <f t="shared" si="2"/>
        <v>0.88235294117647056</v>
      </c>
      <c r="AL17" s="24" t="str">
        <f t="shared" si="3"/>
        <v/>
      </c>
      <c r="AM17" s="25" t="str">
        <f t="shared" si="4"/>
        <v/>
      </c>
      <c r="AN17" s="25">
        <f t="shared" si="5"/>
        <v>0.10025647003963625</v>
      </c>
      <c r="AO17" s="25">
        <f t="shared" si="6"/>
        <v>2.9565217391304348E-2</v>
      </c>
      <c r="AP17" s="25">
        <f t="shared" si="7"/>
        <v>0</v>
      </c>
      <c r="AQ17" s="26">
        <f t="shared" si="8"/>
        <v>2.5294117647058822</v>
      </c>
      <c r="AR17" s="26">
        <f t="shared" si="9"/>
        <v>1</v>
      </c>
      <c r="AS17" s="27">
        <f t="shared" si="10"/>
        <v>-11</v>
      </c>
      <c r="AT17" s="27">
        <f t="shared" si="11"/>
        <v>0</v>
      </c>
      <c r="AU17" s="28">
        <f>AF17*Settings!$B$7+AG17*Settings!$B$8+AE17*Settings!$B$9+AB17*Settings!$B$10+AC17*Settings!$B$11+X17*Settings!$B$12+Y17*Settings!$B$13+Z17*Settings!$B$14</f>
        <v>46.1</v>
      </c>
    </row>
    <row r="18" spans="1:47" x14ac:dyDescent="0.25">
      <c r="A18" s="15" t="s">
        <v>107</v>
      </c>
      <c r="B18" s="16" t="s">
        <v>743</v>
      </c>
      <c r="C18" s="17">
        <v>4</v>
      </c>
      <c r="D18" s="17" t="s">
        <v>200</v>
      </c>
      <c r="E18" s="18" t="s">
        <v>99</v>
      </c>
      <c r="F18" s="19">
        <v>5</v>
      </c>
      <c r="G18" s="19"/>
      <c r="H18" s="19">
        <v>1</v>
      </c>
      <c r="I18" s="19">
        <v>5</v>
      </c>
      <c r="J18" s="19">
        <v>13</v>
      </c>
      <c r="K18" s="19">
        <v>1</v>
      </c>
      <c r="L18" s="19">
        <v>9</v>
      </c>
      <c r="M18" s="19">
        <v>45</v>
      </c>
      <c r="N18" s="19" t="s">
        <v>358</v>
      </c>
      <c r="O18" s="19">
        <v>17</v>
      </c>
      <c r="P18" s="20">
        <v>1.33</v>
      </c>
      <c r="Q18" s="20">
        <v>5.88</v>
      </c>
      <c r="R18" s="21">
        <v>0.73899999999999999</v>
      </c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3</v>
      </c>
      <c r="AC18" s="22">
        <v>0</v>
      </c>
      <c r="AD18" s="22">
        <v>5</v>
      </c>
      <c r="AE18" s="22">
        <v>4</v>
      </c>
      <c r="AF18" s="22">
        <v>25</v>
      </c>
      <c r="AG18" s="22">
        <v>1</v>
      </c>
      <c r="AH18" s="23" t="s">
        <v>101</v>
      </c>
      <c r="AI18" s="24" t="str">
        <f t="shared" si="0"/>
        <v/>
      </c>
      <c r="AJ18" s="24">
        <f t="shared" si="1"/>
        <v>6.25</v>
      </c>
      <c r="AK18" s="25">
        <f t="shared" si="2"/>
        <v>0.8</v>
      </c>
      <c r="AL18" s="24" t="str">
        <f t="shared" si="3"/>
        <v/>
      </c>
      <c r="AM18" s="25" t="str">
        <f t="shared" si="4"/>
        <v/>
      </c>
      <c r="AN18" s="25">
        <f t="shared" si="5"/>
        <v>0</v>
      </c>
      <c r="AO18" s="25">
        <f t="shared" si="6"/>
        <v>8.6956521739130436E-3</v>
      </c>
      <c r="AP18" s="25">
        <f t="shared" si="7"/>
        <v>0</v>
      </c>
      <c r="AQ18" s="26">
        <f t="shared" si="8"/>
        <v>0</v>
      </c>
      <c r="AR18" s="26">
        <f t="shared" si="9"/>
        <v>0.29411764705882354</v>
      </c>
      <c r="AS18" s="27">
        <f t="shared" si="10"/>
        <v>-4</v>
      </c>
      <c r="AT18" s="27">
        <f t="shared" si="11"/>
        <v>-1</v>
      </c>
      <c r="AU18" s="28">
        <f>AF18*Settings!$B$7+AG18*Settings!$B$8+AE18*Settings!$B$9+AB18*Settings!$B$10+AC18*Settings!$B$11+X18*Settings!$B$12+Y18*Settings!$B$13+Z18*Settings!$B$14</f>
        <v>10.8</v>
      </c>
    </row>
    <row r="19" spans="1:47" x14ac:dyDescent="0.25">
      <c r="A19" s="15" t="s">
        <v>107</v>
      </c>
      <c r="B19" s="16" t="s">
        <v>744</v>
      </c>
      <c r="C19" s="17">
        <v>5</v>
      </c>
      <c r="D19" s="17" t="s">
        <v>130</v>
      </c>
      <c r="E19" s="18" t="s">
        <v>99</v>
      </c>
      <c r="F19" s="19">
        <v>5</v>
      </c>
      <c r="G19" s="19"/>
      <c r="H19" s="19">
        <v>13</v>
      </c>
      <c r="I19" s="19">
        <v>49</v>
      </c>
      <c r="J19" s="19"/>
      <c r="K19" s="19"/>
      <c r="L19" s="19">
        <v>1</v>
      </c>
      <c r="M19" s="19"/>
      <c r="N19" s="19" t="s">
        <v>358</v>
      </c>
      <c r="O19" s="19">
        <v>12</v>
      </c>
      <c r="P19" s="20">
        <v>3.44</v>
      </c>
      <c r="Q19" s="20"/>
      <c r="R19" s="21"/>
      <c r="S19" s="21"/>
      <c r="T19" s="20"/>
      <c r="U19" s="22">
        <v>17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4</v>
      </c>
      <c r="AB19" s="22">
        <v>13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3" t="s">
        <v>101</v>
      </c>
      <c r="AI19" s="24">
        <f t="shared" si="0"/>
        <v>3.25</v>
      </c>
      <c r="AJ19" s="24" t="str">
        <f t="shared" si="1"/>
        <v/>
      </c>
      <c r="AK19" s="25" t="str">
        <f t="shared" si="2"/>
        <v/>
      </c>
      <c r="AL19" s="24" t="str">
        <f t="shared" si="3"/>
        <v/>
      </c>
      <c r="AM19" s="25" t="str">
        <f t="shared" si="4"/>
        <v/>
      </c>
      <c r="AN19" s="25">
        <f t="shared" si="5"/>
        <v>9.3261832595010474E-3</v>
      </c>
      <c r="AO19" s="25">
        <f t="shared" si="6"/>
        <v>0</v>
      </c>
      <c r="AP19" s="25">
        <f t="shared" si="7"/>
        <v>0</v>
      </c>
      <c r="AQ19" s="26">
        <f t="shared" si="8"/>
        <v>0.23529411764705882</v>
      </c>
      <c r="AR19" s="26">
        <f t="shared" si="9"/>
        <v>0</v>
      </c>
      <c r="AS19" s="27">
        <f t="shared" si="10"/>
        <v>-1</v>
      </c>
      <c r="AT19" s="27">
        <f t="shared" si="11"/>
        <v>-9</v>
      </c>
      <c r="AU19" s="28">
        <f>AF19*Settings!$B$7+AG19*Settings!$B$8+AE19*Settings!$B$9+AB19*Settings!$B$10+AC19*Settings!$B$11+X19*Settings!$B$12+Y19*Settings!$B$13+Z19*Settings!$B$14</f>
        <v>1.3</v>
      </c>
    </row>
    <row r="20" spans="1:47" x14ac:dyDescent="0.25">
      <c r="A20" s="15" t="s">
        <v>107</v>
      </c>
      <c r="B20" s="16" t="s">
        <v>745</v>
      </c>
      <c r="C20" s="17">
        <v>6</v>
      </c>
      <c r="D20" s="17"/>
      <c r="E20" s="18" t="s">
        <v>99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1"/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746</v>
      </c>
      <c r="C22" s="17">
        <v>1</v>
      </c>
      <c r="D22" s="17" t="s">
        <v>111</v>
      </c>
      <c r="E22" s="18" t="s">
        <v>99</v>
      </c>
      <c r="F22" s="19">
        <v>4</v>
      </c>
      <c r="G22" s="19">
        <v>2</v>
      </c>
      <c r="H22" s="19"/>
      <c r="I22" s="19"/>
      <c r="J22" s="19">
        <v>168</v>
      </c>
      <c r="K22" s="19">
        <v>154</v>
      </c>
      <c r="L22" s="19">
        <v>59</v>
      </c>
      <c r="M22" s="19">
        <v>395</v>
      </c>
      <c r="N22" s="19" t="s">
        <v>358</v>
      </c>
      <c r="O22" s="19">
        <v>7</v>
      </c>
      <c r="P22" s="20">
        <v>0.83</v>
      </c>
      <c r="Q22" s="20">
        <v>10.95</v>
      </c>
      <c r="R22" s="21">
        <v>0.60899999999999999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1</v>
      </c>
      <c r="AB22" s="22">
        <v>5</v>
      </c>
      <c r="AC22" s="22">
        <v>0</v>
      </c>
      <c r="AD22" s="22">
        <v>137</v>
      </c>
      <c r="AE22" s="22">
        <v>90</v>
      </c>
      <c r="AF22" s="22">
        <v>1033</v>
      </c>
      <c r="AG22" s="22">
        <v>6</v>
      </c>
      <c r="AH22" s="23" t="s">
        <v>101</v>
      </c>
      <c r="AI22" s="24">
        <f t="shared" si="0"/>
        <v>5</v>
      </c>
      <c r="AJ22" s="24">
        <f t="shared" si="1"/>
        <v>11.477777777777778</v>
      </c>
      <c r="AK22" s="25">
        <f t="shared" si="2"/>
        <v>0.65693430656934304</v>
      </c>
      <c r="AL22" s="24" t="str">
        <f t="shared" si="3"/>
        <v/>
      </c>
      <c r="AM22" s="25" t="str">
        <f t="shared" si="4"/>
        <v/>
      </c>
      <c r="AN22" s="25">
        <f t="shared" si="5"/>
        <v>2.3315458148752619E-3</v>
      </c>
      <c r="AO22" s="25">
        <f t="shared" si="6"/>
        <v>0.23826086956521739</v>
      </c>
      <c r="AP22" s="25">
        <f t="shared" si="7"/>
        <v>0</v>
      </c>
      <c r="AQ22" s="26">
        <f t="shared" si="8"/>
        <v>5.8823529411764705E-2</v>
      </c>
      <c r="AR22" s="26">
        <f t="shared" si="9"/>
        <v>8.0588235294117645</v>
      </c>
      <c r="AS22" s="27">
        <f t="shared" si="10"/>
        <v>78</v>
      </c>
      <c r="AT22" s="27">
        <f t="shared" si="11"/>
        <v>1</v>
      </c>
      <c r="AU22" s="28">
        <f>AF22*Settings!$B$7+AG22*Settings!$B$8+AE22*Settings!$B$9+AB22*Settings!$B$10+AC22*Settings!$B$11+X22*Settings!$B$12+Y22*Settings!$B$13+Z22*Settings!$B$14</f>
        <v>184.8</v>
      </c>
    </row>
    <row r="23" spans="1:47" x14ac:dyDescent="0.25">
      <c r="A23" s="15" t="s">
        <v>121</v>
      </c>
      <c r="B23" s="16" t="s">
        <v>747</v>
      </c>
      <c r="C23" s="17">
        <v>2</v>
      </c>
      <c r="D23" s="17" t="s">
        <v>103</v>
      </c>
      <c r="E23" s="18" t="s">
        <v>99</v>
      </c>
      <c r="F23" s="19"/>
      <c r="G23" s="19">
        <v>4</v>
      </c>
      <c r="H23" s="19">
        <v>1</v>
      </c>
      <c r="I23" s="19" t="s">
        <v>154</v>
      </c>
      <c r="J23" s="19"/>
      <c r="K23" s="19">
        <v>55</v>
      </c>
      <c r="L23" s="19">
        <v>58</v>
      </c>
      <c r="M23" s="19">
        <v>301</v>
      </c>
      <c r="N23" s="19" t="s">
        <v>358</v>
      </c>
      <c r="O23" s="19">
        <v>8</v>
      </c>
      <c r="P23" s="20">
        <v>0.4</v>
      </c>
      <c r="Q23" s="20">
        <v>13.04</v>
      </c>
      <c r="R23" s="21">
        <v>0.41599999999999998</v>
      </c>
      <c r="S23" s="21">
        <v>1</v>
      </c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1</v>
      </c>
      <c r="AB23" s="22">
        <v>7</v>
      </c>
      <c r="AC23" s="22">
        <v>0</v>
      </c>
      <c r="AD23" s="22">
        <v>69</v>
      </c>
      <c r="AE23" s="22">
        <v>41</v>
      </c>
      <c r="AF23" s="22">
        <v>550</v>
      </c>
      <c r="AG23" s="22">
        <v>3</v>
      </c>
      <c r="AH23" s="23" t="s">
        <v>101</v>
      </c>
      <c r="AI23" s="24">
        <f t="shared" si="0"/>
        <v>7</v>
      </c>
      <c r="AJ23" s="24">
        <f t="shared" si="1"/>
        <v>13.414634146341463</v>
      </c>
      <c r="AK23" s="25">
        <f t="shared" si="2"/>
        <v>0.59420289855072461</v>
      </c>
      <c r="AL23" s="24" t="str">
        <f t="shared" si="3"/>
        <v/>
      </c>
      <c r="AM23" s="25" t="str">
        <f t="shared" si="4"/>
        <v/>
      </c>
      <c r="AN23" s="25">
        <f t="shared" si="5"/>
        <v>2.3315458148752619E-3</v>
      </c>
      <c r="AO23" s="25">
        <f t="shared" si="6"/>
        <v>0.12</v>
      </c>
      <c r="AP23" s="25">
        <f t="shared" si="7"/>
        <v>0</v>
      </c>
      <c r="AQ23" s="26">
        <f t="shared" si="8"/>
        <v>5.8823529411764705E-2</v>
      </c>
      <c r="AR23" s="26">
        <f t="shared" si="9"/>
        <v>4.0588235294117645</v>
      </c>
      <c r="AS23" s="27">
        <f t="shared" si="10"/>
        <v>11</v>
      </c>
      <c r="AT23" s="27">
        <f t="shared" si="11"/>
        <v>0</v>
      </c>
      <c r="AU23" s="28">
        <f>AF23*Settings!$B$7+AG23*Settings!$B$8+AE23*Settings!$B$9+AB23*Settings!$B$10+AC23*Settings!$B$11+X23*Settings!$B$12+Y23*Settings!$B$13+Z23*Settings!$B$14</f>
        <v>94.2</v>
      </c>
    </row>
    <row r="24" spans="1:47" x14ac:dyDescent="0.25">
      <c r="A24" s="15" t="s">
        <v>121</v>
      </c>
      <c r="B24" s="16" t="s">
        <v>748</v>
      </c>
      <c r="C24" s="17">
        <v>3</v>
      </c>
      <c r="D24" s="17" t="s">
        <v>128</v>
      </c>
      <c r="E24" s="18" t="s">
        <v>99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20"/>
      <c r="R24" s="21"/>
      <c r="S24" s="21"/>
      <c r="T24" s="20"/>
      <c r="U24" s="22">
        <v>17</v>
      </c>
      <c r="V24" s="22"/>
      <c r="W24" s="22"/>
      <c r="X24" s="22"/>
      <c r="Y24" s="22"/>
      <c r="Z24" s="22"/>
      <c r="AA24" s="22">
        <v>2</v>
      </c>
      <c r="AB24" s="22">
        <v>11</v>
      </c>
      <c r="AC24" s="22">
        <v>0</v>
      </c>
      <c r="AD24" s="22">
        <v>73</v>
      </c>
      <c r="AE24" s="22">
        <v>46</v>
      </c>
      <c r="AF24" s="22">
        <v>555</v>
      </c>
      <c r="AG24" s="22">
        <v>3</v>
      </c>
      <c r="AH24" s="23" t="s">
        <v>101</v>
      </c>
      <c r="AI24" s="24">
        <f t="shared" si="0"/>
        <v>5.5</v>
      </c>
      <c r="AJ24" s="24">
        <f t="shared" si="1"/>
        <v>12.065217391304348</v>
      </c>
      <c r="AK24" s="25">
        <f t="shared" si="2"/>
        <v>0.63013698630136983</v>
      </c>
      <c r="AL24" s="24" t="str">
        <f t="shared" si="3"/>
        <v/>
      </c>
      <c r="AM24" s="25" t="str">
        <f t="shared" si="4"/>
        <v/>
      </c>
      <c r="AN24" s="25">
        <f t="shared" si="5"/>
        <v>4.6630916297505237E-3</v>
      </c>
      <c r="AO24" s="25">
        <f t="shared" si="6"/>
        <v>0.12695652173913044</v>
      </c>
      <c r="AP24" s="25">
        <f t="shared" si="7"/>
        <v>0</v>
      </c>
      <c r="AQ24" s="26">
        <f t="shared" si="8"/>
        <v>0.11764705882352941</v>
      </c>
      <c r="AR24" s="26">
        <f t="shared" si="9"/>
        <v>4.2941176470588234</v>
      </c>
      <c r="AS24" s="27">
        <f t="shared" si="10"/>
        <v>73</v>
      </c>
      <c r="AT24" s="27">
        <f t="shared" si="11"/>
        <v>2</v>
      </c>
      <c r="AU24" s="28">
        <f>AF24*Settings!$B$7+AG24*Settings!$B$8+AE24*Settings!$B$9+AB24*Settings!$B$10+AC24*Settings!$B$11+X24*Settings!$B$12+Y24*Settings!$B$13+Z24*Settings!$B$14</f>
        <v>97.6</v>
      </c>
    </row>
    <row r="25" spans="1:47" x14ac:dyDescent="0.25">
      <c r="A25" s="15" t="s">
        <v>121</v>
      </c>
      <c r="B25" s="16" t="s">
        <v>749</v>
      </c>
      <c r="C25" s="17">
        <v>4</v>
      </c>
      <c r="D25" s="17" t="s">
        <v>153</v>
      </c>
      <c r="E25" s="18" t="s">
        <v>99</v>
      </c>
      <c r="F25" s="19"/>
      <c r="G25" s="19"/>
      <c r="H25" s="19"/>
      <c r="I25" s="19"/>
      <c r="J25" s="19"/>
      <c r="K25" s="19">
        <v>44</v>
      </c>
      <c r="L25" s="19">
        <v>24</v>
      </c>
      <c r="M25" s="19">
        <v>187</v>
      </c>
      <c r="N25" s="19" t="s">
        <v>491</v>
      </c>
      <c r="O25" s="19">
        <v>16</v>
      </c>
      <c r="P25" s="20"/>
      <c r="Q25" s="20">
        <v>12.1</v>
      </c>
      <c r="R25" s="21">
        <v>0.70599999999999996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1</v>
      </c>
      <c r="AC25" s="22">
        <v>0</v>
      </c>
      <c r="AD25" s="22">
        <v>10</v>
      </c>
      <c r="AE25" s="22">
        <v>10</v>
      </c>
      <c r="AF25" s="22">
        <v>117</v>
      </c>
      <c r="AG25" s="22">
        <v>1</v>
      </c>
      <c r="AH25" s="23" t="s">
        <v>101</v>
      </c>
      <c r="AI25" s="24" t="str">
        <f t="shared" si="0"/>
        <v/>
      </c>
      <c r="AJ25" s="24">
        <f t="shared" si="1"/>
        <v>11.7</v>
      </c>
      <c r="AK25" s="25">
        <f t="shared" si="2"/>
        <v>1</v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1.7391304347826087E-2</v>
      </c>
      <c r="AP25" s="25">
        <f t="shared" si="7"/>
        <v>0</v>
      </c>
      <c r="AQ25" s="26">
        <f t="shared" si="8"/>
        <v>0</v>
      </c>
      <c r="AR25" s="26">
        <f t="shared" si="9"/>
        <v>0.58823529411764708</v>
      </c>
      <c r="AS25" s="27">
        <f t="shared" si="10"/>
        <v>-14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22.800000000000004</v>
      </c>
    </row>
    <row r="26" spans="1:47" x14ac:dyDescent="0.25">
      <c r="A26" s="15" t="s">
        <v>121</v>
      </c>
      <c r="B26" s="16" t="s">
        <v>750</v>
      </c>
      <c r="C26" s="17">
        <v>5</v>
      </c>
      <c r="D26" s="17" t="s">
        <v>105</v>
      </c>
      <c r="E26" s="18" t="s">
        <v>99</v>
      </c>
      <c r="F26" s="19"/>
      <c r="G26" s="19"/>
      <c r="H26" s="19">
        <v>3</v>
      </c>
      <c r="I26" s="19">
        <v>34</v>
      </c>
      <c r="J26" s="19"/>
      <c r="K26" s="19">
        <v>3</v>
      </c>
      <c r="L26" s="19">
        <v>36</v>
      </c>
      <c r="M26" s="19">
        <v>193</v>
      </c>
      <c r="N26" s="19" t="s">
        <v>358</v>
      </c>
      <c r="O26" s="19">
        <v>15</v>
      </c>
      <c r="P26" s="20">
        <v>11.33</v>
      </c>
      <c r="Q26" s="20">
        <v>7.11</v>
      </c>
      <c r="R26" s="21">
        <v>0.71799999999999997</v>
      </c>
      <c r="S26" s="21"/>
      <c r="T26" s="20"/>
      <c r="U26" s="22">
        <v>17</v>
      </c>
      <c r="V26" s="22">
        <v>1</v>
      </c>
      <c r="W26" s="22">
        <v>0</v>
      </c>
      <c r="X26" s="22">
        <v>0</v>
      </c>
      <c r="Y26" s="22">
        <v>0</v>
      </c>
      <c r="Z26" s="22">
        <v>0</v>
      </c>
      <c r="AA26" s="22">
        <v>2</v>
      </c>
      <c r="AB26" s="22">
        <v>14</v>
      </c>
      <c r="AC26" s="22">
        <v>0</v>
      </c>
      <c r="AD26" s="22">
        <v>13</v>
      </c>
      <c r="AE26" s="22">
        <v>10</v>
      </c>
      <c r="AF26" s="22">
        <v>83</v>
      </c>
      <c r="AG26" s="22">
        <v>0</v>
      </c>
      <c r="AH26" s="23" t="s">
        <v>101</v>
      </c>
      <c r="AI26" s="24">
        <f t="shared" si="0"/>
        <v>7</v>
      </c>
      <c r="AJ26" s="24">
        <f t="shared" si="1"/>
        <v>8.3000000000000007</v>
      </c>
      <c r="AK26" s="25">
        <f t="shared" si="2"/>
        <v>0.76923076923076927</v>
      </c>
      <c r="AL26" s="24">
        <f t="shared" si="3"/>
        <v>0</v>
      </c>
      <c r="AM26" s="25">
        <f t="shared" si="4"/>
        <v>0</v>
      </c>
      <c r="AN26" s="25">
        <f t="shared" si="5"/>
        <v>4.6630916297505237E-3</v>
      </c>
      <c r="AO26" s="25">
        <f t="shared" si="6"/>
        <v>2.2608695652173914E-2</v>
      </c>
      <c r="AP26" s="25">
        <f t="shared" si="7"/>
        <v>1.658374792703151E-3</v>
      </c>
      <c r="AQ26" s="26">
        <f t="shared" si="8"/>
        <v>0.11764705882352941</v>
      </c>
      <c r="AR26" s="26">
        <f t="shared" si="9"/>
        <v>0.76470588235294112</v>
      </c>
      <c r="AS26" s="27">
        <f t="shared" si="10"/>
        <v>-23</v>
      </c>
      <c r="AT26" s="27">
        <f t="shared" si="11"/>
        <v>-1</v>
      </c>
      <c r="AU26" s="28">
        <f>AF26*Settings!$B$7+AG26*Settings!$B$8+AE26*Settings!$B$9+AB26*Settings!$B$10+AC26*Settings!$B$11+X26*Settings!$B$12+Y26*Settings!$B$13+Z26*Settings!$B$14</f>
        <v>14.700000000000001</v>
      </c>
    </row>
    <row r="27" spans="1:47" x14ac:dyDescent="0.25">
      <c r="A27" s="15" t="s">
        <v>121</v>
      </c>
      <c r="B27" s="16" t="s">
        <v>751</v>
      </c>
      <c r="C27" s="17">
        <v>6</v>
      </c>
      <c r="D27" s="17" t="s">
        <v>118</v>
      </c>
      <c r="E27" s="18" t="s">
        <v>99</v>
      </c>
      <c r="F27" s="19"/>
      <c r="G27" s="19"/>
      <c r="H27" s="19">
        <v>4</v>
      </c>
      <c r="I27" s="19">
        <v>13</v>
      </c>
      <c r="J27" s="19"/>
      <c r="K27" s="19"/>
      <c r="L27" s="19">
        <v>16</v>
      </c>
      <c r="M27" s="19">
        <v>52</v>
      </c>
      <c r="N27" s="19" t="s">
        <v>358</v>
      </c>
      <c r="O27" s="19">
        <v>16</v>
      </c>
      <c r="P27" s="20">
        <v>3.25</v>
      </c>
      <c r="Q27" s="20">
        <v>7.43</v>
      </c>
      <c r="R27" s="21">
        <v>0.438</v>
      </c>
      <c r="S27" s="21"/>
      <c r="T27" s="20"/>
      <c r="U27" s="22">
        <v>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3</v>
      </c>
      <c r="AB27" s="22">
        <v>12</v>
      </c>
      <c r="AC27" s="22">
        <v>0</v>
      </c>
      <c r="AD27" s="22">
        <v>5</v>
      </c>
      <c r="AE27" s="22">
        <v>3</v>
      </c>
      <c r="AF27" s="22">
        <v>39</v>
      </c>
      <c r="AG27" s="22">
        <v>0</v>
      </c>
      <c r="AH27" s="23" t="s">
        <v>101</v>
      </c>
      <c r="AI27" s="24">
        <f t="shared" si="0"/>
        <v>4</v>
      </c>
      <c r="AJ27" s="24">
        <f t="shared" si="1"/>
        <v>13</v>
      </c>
      <c r="AK27" s="25">
        <f t="shared" si="2"/>
        <v>0.6</v>
      </c>
      <c r="AL27" s="24" t="str">
        <f t="shared" si="3"/>
        <v/>
      </c>
      <c r="AM27" s="25" t="str">
        <f t="shared" si="4"/>
        <v/>
      </c>
      <c r="AN27" s="25">
        <f t="shared" si="5"/>
        <v>6.9946374446257856E-3</v>
      </c>
      <c r="AO27" s="25">
        <f t="shared" si="6"/>
        <v>8.6956521739130436E-3</v>
      </c>
      <c r="AP27" s="25">
        <f t="shared" si="7"/>
        <v>0</v>
      </c>
      <c r="AQ27" s="26">
        <f t="shared" si="8"/>
        <v>0.17647058823529413</v>
      </c>
      <c r="AR27" s="26">
        <f t="shared" si="9"/>
        <v>0.29411764705882354</v>
      </c>
      <c r="AS27" s="27">
        <f t="shared" si="10"/>
        <v>-11</v>
      </c>
      <c r="AT27" s="27">
        <f t="shared" si="11"/>
        <v>-1</v>
      </c>
      <c r="AU27" s="28">
        <f>AF27*Settings!$B$7+AG27*Settings!$B$8+AE27*Settings!$B$9+AB27*Settings!$B$10+AC27*Settings!$B$11+X27*Settings!$B$12+Y27*Settings!$B$13+Z27*Settings!$B$14</f>
        <v>6.6000000000000005</v>
      </c>
    </row>
    <row r="28" spans="1:47" x14ac:dyDescent="0.25">
      <c r="A28" s="15" t="s">
        <v>121</v>
      </c>
      <c r="B28" s="16" t="s">
        <v>752</v>
      </c>
      <c r="C28" s="17">
        <v>7</v>
      </c>
      <c r="D28" s="17" t="s">
        <v>103</v>
      </c>
      <c r="E28" s="18" t="s">
        <v>99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20"/>
      <c r="R28" s="21"/>
      <c r="S28" s="21"/>
      <c r="T28" s="20"/>
      <c r="U28" s="22">
        <v>17</v>
      </c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33"/>
      <c r="AI28" s="24" t="str">
        <f t="shared" si="0"/>
        <v/>
      </c>
      <c r="AJ28" s="24" t="str">
        <f t="shared" si="1"/>
        <v/>
      </c>
      <c r="AK28" s="25" t="str">
        <f t="shared" si="2"/>
        <v/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0</v>
      </c>
      <c r="AP28" s="25">
        <f t="shared" si="7"/>
        <v>0</v>
      </c>
      <c r="AQ28" s="26">
        <f t="shared" si="8"/>
        <v>0</v>
      </c>
      <c r="AR28" s="26">
        <f t="shared" si="9"/>
        <v>0</v>
      </c>
      <c r="AS28" s="27">
        <f t="shared" si="10"/>
        <v>0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0</v>
      </c>
    </row>
    <row r="29" spans="1:47" x14ac:dyDescent="0.25">
      <c r="A29" s="15" t="s">
        <v>121</v>
      </c>
      <c r="B29" s="16" t="s">
        <v>753</v>
      </c>
      <c r="C29" s="17">
        <v>8</v>
      </c>
      <c r="D29" s="17" t="s">
        <v>118</v>
      </c>
      <c r="E29" s="18" t="s">
        <v>99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1"/>
      <c r="S29" s="21"/>
      <c r="T29" s="20"/>
      <c r="U29" s="22">
        <v>17</v>
      </c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33"/>
      <c r="AI29" s="24" t="str">
        <f t="shared" si="0"/>
        <v/>
      </c>
      <c r="AJ29" s="24" t="str">
        <f t="shared" si="1"/>
        <v/>
      </c>
      <c r="AK29" s="25" t="str">
        <f t="shared" si="2"/>
        <v/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0</v>
      </c>
      <c r="AP29" s="25">
        <f t="shared" si="7"/>
        <v>0</v>
      </c>
      <c r="AQ29" s="26">
        <f t="shared" si="8"/>
        <v>0</v>
      </c>
      <c r="AR29" s="26">
        <f t="shared" si="9"/>
        <v>0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0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754</v>
      </c>
      <c r="C31" s="17">
        <v>1</v>
      </c>
      <c r="D31" s="17" t="s">
        <v>109</v>
      </c>
      <c r="E31" s="32" t="s">
        <v>115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0"/>
      <c r="Q31" s="20"/>
      <c r="R31" s="21"/>
      <c r="S31" s="21"/>
      <c r="T31" s="20"/>
      <c r="U31" s="22">
        <v>17</v>
      </c>
      <c r="V31" s="22"/>
      <c r="W31" s="22"/>
      <c r="X31" s="22"/>
      <c r="Y31" s="22"/>
      <c r="Z31" s="22"/>
      <c r="AA31" s="22">
        <v>1</v>
      </c>
      <c r="AB31" s="22">
        <v>3</v>
      </c>
      <c r="AC31" s="22">
        <v>0</v>
      </c>
      <c r="AD31" s="22">
        <v>77</v>
      </c>
      <c r="AE31" s="22">
        <v>55</v>
      </c>
      <c r="AF31" s="22">
        <v>565</v>
      </c>
      <c r="AG31" s="22">
        <v>4</v>
      </c>
      <c r="AH31" s="23" t="s">
        <v>101</v>
      </c>
      <c r="AI31" s="24">
        <f t="shared" si="0"/>
        <v>3</v>
      </c>
      <c r="AJ31" s="24">
        <f t="shared" si="1"/>
        <v>10.272727272727273</v>
      </c>
      <c r="AK31" s="25">
        <f t="shared" si="2"/>
        <v>0.7142857142857143</v>
      </c>
      <c r="AL31" s="24" t="str">
        <f t="shared" si="3"/>
        <v/>
      </c>
      <c r="AM31" s="25" t="str">
        <f t="shared" si="4"/>
        <v/>
      </c>
      <c r="AN31" s="25">
        <f t="shared" si="5"/>
        <v>2.3315458148752619E-3</v>
      </c>
      <c r="AO31" s="25">
        <f t="shared" si="6"/>
        <v>0.13391304347826086</v>
      </c>
      <c r="AP31" s="25">
        <f t="shared" si="7"/>
        <v>0</v>
      </c>
      <c r="AQ31" s="26">
        <f t="shared" si="8"/>
        <v>5.8823529411764705E-2</v>
      </c>
      <c r="AR31" s="26">
        <f t="shared" si="9"/>
        <v>4.5294117647058822</v>
      </c>
      <c r="AS31" s="27">
        <f t="shared" si="10"/>
        <v>77</v>
      </c>
      <c r="AT31" s="27">
        <f t="shared" si="11"/>
        <v>1</v>
      </c>
      <c r="AU31" s="28">
        <f>AF31*Settings!$B$7+AG31*Settings!$B$8+AE31*Settings!$B$9+AB31*Settings!$B$10+AC31*Settings!$B$11+X31*Settings!$B$12+Y31*Settings!$B$13+Z31*Settings!$B$14</f>
        <v>108.3</v>
      </c>
    </row>
    <row r="32" spans="1:47" x14ac:dyDescent="0.25">
      <c r="A32" s="15" t="s">
        <v>135</v>
      </c>
      <c r="B32" s="16" t="s">
        <v>755</v>
      </c>
      <c r="C32" s="17">
        <v>2</v>
      </c>
      <c r="D32" s="17" t="s">
        <v>128</v>
      </c>
      <c r="E32" s="18" t="s">
        <v>99</v>
      </c>
      <c r="F32" s="19"/>
      <c r="G32" s="19"/>
      <c r="H32" s="19"/>
      <c r="I32" s="19"/>
      <c r="J32" s="19"/>
      <c r="K32" s="19"/>
      <c r="L32" s="19">
        <v>65</v>
      </c>
      <c r="M32" s="19">
        <v>369</v>
      </c>
      <c r="N32" s="19" t="s">
        <v>358</v>
      </c>
      <c r="O32" s="19">
        <v>13</v>
      </c>
      <c r="P32" s="20"/>
      <c r="Q32" s="20">
        <v>8.39</v>
      </c>
      <c r="R32" s="21">
        <v>0.67700000000000005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52</v>
      </c>
      <c r="AE32" s="22">
        <v>38</v>
      </c>
      <c r="AF32" s="22">
        <v>330</v>
      </c>
      <c r="AG32" s="22">
        <v>2</v>
      </c>
      <c r="AH32" s="23" t="s">
        <v>101</v>
      </c>
      <c r="AI32" s="24" t="str">
        <f t="shared" si="0"/>
        <v/>
      </c>
      <c r="AJ32" s="24">
        <f t="shared" si="1"/>
        <v>8.6842105263157894</v>
      </c>
      <c r="AK32" s="25">
        <f t="shared" si="2"/>
        <v>0.73076923076923073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9.0434782608695655E-2</v>
      </c>
      <c r="AP32" s="25">
        <f t="shared" si="7"/>
        <v>0</v>
      </c>
      <c r="AQ32" s="26">
        <f t="shared" si="8"/>
        <v>0</v>
      </c>
      <c r="AR32" s="26">
        <f t="shared" si="9"/>
        <v>3.0588235294117645</v>
      </c>
      <c r="AS32" s="27">
        <f t="shared" si="10"/>
        <v>-13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64</v>
      </c>
    </row>
    <row r="33" spans="1:47" x14ac:dyDescent="0.25">
      <c r="A33" s="15" t="s">
        <v>135</v>
      </c>
      <c r="B33" s="16" t="s">
        <v>756</v>
      </c>
      <c r="C33" s="17">
        <v>3</v>
      </c>
      <c r="D33" s="17" t="s">
        <v>105</v>
      </c>
      <c r="E33" s="18" t="s">
        <v>99</v>
      </c>
      <c r="F33" s="19"/>
      <c r="G33" s="19"/>
      <c r="H33" s="19"/>
      <c r="I33" s="19"/>
      <c r="J33" s="19">
        <v>22</v>
      </c>
      <c r="K33" s="19">
        <v>28</v>
      </c>
      <c r="L33" s="19">
        <v>29</v>
      </c>
      <c r="M33" s="19">
        <v>179</v>
      </c>
      <c r="N33" s="19" t="s">
        <v>358</v>
      </c>
      <c r="O33" s="19">
        <v>17</v>
      </c>
      <c r="P33" s="20"/>
      <c r="Q33" s="20">
        <v>7.63</v>
      </c>
      <c r="R33" s="21">
        <v>0.72199999999999998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18</v>
      </c>
      <c r="AE33" s="22">
        <v>11</v>
      </c>
      <c r="AF33" s="22">
        <v>89</v>
      </c>
      <c r="AG33" s="22">
        <v>1</v>
      </c>
      <c r="AH33" s="23" t="s">
        <v>101</v>
      </c>
      <c r="AI33" s="24" t="str">
        <f t="shared" si="0"/>
        <v/>
      </c>
      <c r="AJ33" s="24">
        <f t="shared" si="1"/>
        <v>8.0909090909090917</v>
      </c>
      <c r="AK33" s="25">
        <f t="shared" si="2"/>
        <v>0.61111111111111116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3.1304347826086959E-2</v>
      </c>
      <c r="AP33" s="25">
        <f t="shared" si="7"/>
        <v>0</v>
      </c>
      <c r="AQ33" s="26">
        <f t="shared" si="8"/>
        <v>0</v>
      </c>
      <c r="AR33" s="26">
        <f t="shared" si="9"/>
        <v>1.0588235294117647</v>
      </c>
      <c r="AS33" s="27">
        <f t="shared" si="10"/>
        <v>-11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20.399999999999999</v>
      </c>
    </row>
    <row r="34" spans="1:47" x14ac:dyDescent="0.25">
      <c r="A34" s="15" t="s">
        <v>135</v>
      </c>
      <c r="B34" s="16" t="s">
        <v>757</v>
      </c>
      <c r="C34" s="17">
        <v>4</v>
      </c>
      <c r="D34" s="17" t="s">
        <v>158</v>
      </c>
      <c r="E34" s="18" t="s">
        <v>99</v>
      </c>
      <c r="F34" s="19"/>
      <c r="G34" s="19"/>
      <c r="H34" s="19"/>
      <c r="I34" s="19"/>
      <c r="J34" s="19"/>
      <c r="K34" s="19"/>
      <c r="L34" s="19">
        <v>3</v>
      </c>
      <c r="M34" s="19">
        <v>4</v>
      </c>
      <c r="N34" s="19" t="s">
        <v>358</v>
      </c>
      <c r="O34" s="19">
        <v>4</v>
      </c>
      <c r="P34" s="20"/>
      <c r="Q34" s="20">
        <v>4</v>
      </c>
      <c r="R34" s="21">
        <v>0.33300000000000002</v>
      </c>
      <c r="S34" s="21"/>
      <c r="T34" s="20"/>
      <c r="U34" s="22">
        <v>17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2</v>
      </c>
      <c r="AG34" s="22">
        <v>0</v>
      </c>
      <c r="AH34" s="23" t="s">
        <v>101</v>
      </c>
      <c r="AI34" s="24" t="str">
        <f t="shared" si="0"/>
        <v/>
      </c>
      <c r="AJ34" s="24" t="str">
        <f t="shared" si="1"/>
        <v/>
      </c>
      <c r="AK34" s="25" t="str">
        <f t="shared" si="2"/>
        <v/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0</v>
      </c>
      <c r="AP34" s="25">
        <f t="shared" si="7"/>
        <v>0</v>
      </c>
      <c r="AQ34" s="26">
        <f t="shared" si="8"/>
        <v>0</v>
      </c>
      <c r="AR34" s="26">
        <f t="shared" si="9"/>
        <v>0</v>
      </c>
      <c r="AS34" s="27">
        <f t="shared" si="10"/>
        <v>-3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0.2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551</v>
      </c>
      <c r="W37" s="34">
        <f t="shared" si="12"/>
        <v>362</v>
      </c>
      <c r="X37" s="34">
        <f t="shared" si="12"/>
        <v>3679</v>
      </c>
      <c r="Y37" s="34">
        <f t="shared" si="12"/>
        <v>23</v>
      </c>
      <c r="Z37" s="34">
        <f t="shared" si="12"/>
        <v>15</v>
      </c>
      <c r="AA37" s="34">
        <f t="shared" si="12"/>
        <v>436</v>
      </c>
      <c r="AB37" s="34">
        <f t="shared" si="12"/>
        <v>1877</v>
      </c>
      <c r="AC37" s="34">
        <f t="shared" si="12"/>
        <v>11</v>
      </c>
      <c r="AD37" s="34">
        <f t="shared" si="12"/>
        <v>547</v>
      </c>
      <c r="AE37" s="34">
        <f t="shared" si="12"/>
        <v>380</v>
      </c>
      <c r="AF37" s="34">
        <f t="shared" si="12"/>
        <v>3985</v>
      </c>
      <c r="AG37" s="34">
        <f t="shared" si="12"/>
        <v>23</v>
      </c>
    </row>
    <row r="38" spans="1:47" x14ac:dyDescent="0.25">
      <c r="A38" s="5" t="s">
        <v>142</v>
      </c>
      <c r="V38" s="35">
        <f>$F$5</f>
        <v>603</v>
      </c>
      <c r="X38" s="35">
        <f>$I$5</f>
        <v>3457</v>
      </c>
      <c r="Y38" s="35">
        <f>$J$5</f>
        <v>21</v>
      </c>
      <c r="Z38" s="35">
        <f>$K$5</f>
        <v>13</v>
      </c>
      <c r="AA38" s="35">
        <f>$H$5</f>
        <v>428.90000000000009</v>
      </c>
      <c r="AB38" s="35">
        <f>$L$5</f>
        <v>1886</v>
      </c>
      <c r="AC38" s="35">
        <f>$M$5</f>
        <v>11</v>
      </c>
      <c r="AD38" s="35">
        <f>$G$5</f>
        <v>575</v>
      </c>
      <c r="AF38" s="35">
        <f>$I$5</f>
        <v>3457</v>
      </c>
      <c r="AG38" s="35">
        <f>$J$5</f>
        <v>21</v>
      </c>
    </row>
    <row r="39" spans="1:47" x14ac:dyDescent="0.25">
      <c r="A39" s="5" t="s">
        <v>143</v>
      </c>
      <c r="V39" s="36">
        <f>$F$5-V37</f>
        <v>52</v>
      </c>
      <c r="X39" s="36">
        <f>$I$5-X37</f>
        <v>-222</v>
      </c>
      <c r="Y39" s="36">
        <f>$J$5-Y37</f>
        <v>-2</v>
      </c>
      <c r="Z39" s="36">
        <f>$K$5-Z37</f>
        <v>-2</v>
      </c>
      <c r="AA39" s="36">
        <f>$H$5-AA37</f>
        <v>-7.0999999999999091</v>
      </c>
      <c r="AB39" s="36">
        <f>$L$5-AB37</f>
        <v>9</v>
      </c>
      <c r="AC39" s="36">
        <f>$M$5-AC37</f>
        <v>0</v>
      </c>
      <c r="AD39" s="36">
        <f>$G$5-AD37</f>
        <v>28</v>
      </c>
      <c r="AF39" s="36">
        <f>$I$5-AF37</f>
        <v>-528</v>
      </c>
      <c r="AG39" s="36">
        <f>$J$5-AG37</f>
        <v>-2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239" priority="1" stopIfTrue="1">
      <formula>V37&gt;$F$5</formula>
    </cfRule>
    <cfRule type="expression" dxfId="238" priority="2">
      <formula>AND($F$5&gt;0,V37&lt;$F$5*0.97)</formula>
    </cfRule>
    <cfRule type="expression" dxfId="237" priority="3">
      <formula>AND($F$5&gt;0,V37&gt;=$F$5*0.97,V37&lt;=$F$5)</formula>
    </cfRule>
  </conditionalFormatting>
  <conditionalFormatting sqref="X37">
    <cfRule type="expression" dxfId="236" priority="4" stopIfTrue="1">
      <formula>X37&gt;$I$5</formula>
    </cfRule>
    <cfRule type="expression" dxfId="235" priority="5">
      <formula>AND($I$5&gt;0,X37&lt;$I$5*0.97)</formula>
    </cfRule>
    <cfRule type="expression" dxfId="234" priority="6">
      <formula>AND($I$5&gt;0,X37&gt;=$I$5*0.97,X37&lt;=$I$5)</formula>
    </cfRule>
  </conditionalFormatting>
  <conditionalFormatting sqref="Y37">
    <cfRule type="expression" dxfId="233" priority="7" stopIfTrue="1">
      <formula>Y37&gt;$J$5</formula>
    </cfRule>
    <cfRule type="expression" dxfId="232" priority="8">
      <formula>AND($J$5&gt;0,Y37&lt;$J$5*0.97)</formula>
    </cfRule>
    <cfRule type="expression" dxfId="231" priority="9">
      <formula>AND($J$5&gt;0,Y37&gt;=$J$5*0.97,Y37&lt;=$J$5)</formula>
    </cfRule>
  </conditionalFormatting>
  <conditionalFormatting sqref="Z37">
    <cfRule type="expression" dxfId="230" priority="10" stopIfTrue="1">
      <formula>Z37&gt;$K$5</formula>
    </cfRule>
    <cfRule type="expression" dxfId="229" priority="11">
      <formula>AND($K$5&gt;0,Z37&lt;$K$5*0.97)</formula>
    </cfRule>
    <cfRule type="expression" dxfId="228" priority="12">
      <formula>AND($K$5&gt;0,Z37&gt;=$K$5*0.97,Z37&lt;=$K$5)</formula>
    </cfRule>
  </conditionalFormatting>
  <conditionalFormatting sqref="AA37">
    <cfRule type="expression" dxfId="227" priority="13" stopIfTrue="1">
      <formula>AA37&gt;$H$5</formula>
    </cfRule>
    <cfRule type="expression" dxfId="226" priority="14">
      <formula>AND($H$5&gt;0,AA37&lt;$H$5*0.97)</formula>
    </cfRule>
    <cfRule type="expression" dxfId="225" priority="15">
      <formula>AND($H$5&gt;0,AA37&gt;=$H$5*0.97,AA37&lt;=$H$5)</formula>
    </cfRule>
  </conditionalFormatting>
  <conditionalFormatting sqref="AB37">
    <cfRule type="expression" dxfId="224" priority="16" stopIfTrue="1">
      <formula>AB37&gt;$L$5</formula>
    </cfRule>
    <cfRule type="expression" dxfId="223" priority="17">
      <formula>AND($L$5&gt;0,AB37&lt;$L$5*0.97)</formula>
    </cfRule>
    <cfRule type="expression" dxfId="222" priority="18">
      <formula>AND($L$5&gt;0,AB37&gt;=$L$5*0.97,AB37&lt;=$L$5)</formula>
    </cfRule>
  </conditionalFormatting>
  <conditionalFormatting sqref="AC37">
    <cfRule type="expression" dxfId="221" priority="19" stopIfTrue="1">
      <formula>AC37&gt;$M$5</formula>
    </cfRule>
    <cfRule type="expression" dxfId="220" priority="20">
      <formula>AND($M$5&gt;0,AC37&lt;$M$5*0.97)</formula>
    </cfRule>
    <cfRule type="expression" dxfId="219" priority="21">
      <formula>AND($M$5&gt;0,AC37&gt;=$M$5*0.97,AC37&lt;=$M$5)</formula>
    </cfRule>
  </conditionalFormatting>
  <conditionalFormatting sqref="AD37">
    <cfRule type="expression" dxfId="218" priority="22" stopIfTrue="1">
      <formula>AD37&gt;$G$5</formula>
    </cfRule>
    <cfRule type="expression" dxfId="217" priority="23">
      <formula>AND($G$5&gt;0,AD37&lt;$G$5*0.97)</formula>
    </cfRule>
    <cfRule type="expression" dxfId="216" priority="24">
      <formula>AND($G$5&gt;0,AD37&gt;=$G$5*0.97,AD37&lt;=$G$5)</formula>
    </cfRule>
  </conditionalFormatting>
  <conditionalFormatting sqref="AF37">
    <cfRule type="expression" dxfId="215" priority="25" stopIfTrue="1">
      <formula>AF37&gt;$I$5</formula>
    </cfRule>
    <cfRule type="expression" dxfId="214" priority="26">
      <formula>AND($I$5&gt;0,AF37&lt;$I$5*0.97)</formula>
    </cfRule>
    <cfRule type="expression" dxfId="213" priority="27">
      <formula>AND($I$5&gt;0,AF37&gt;=$I$5*0.97,AF37&lt;=$I$5)</formula>
    </cfRule>
  </conditionalFormatting>
  <conditionalFormatting sqref="AG37">
    <cfRule type="expression" dxfId="212" priority="28" stopIfTrue="1">
      <formula>AG37&gt;$J$5</formula>
    </cfRule>
    <cfRule type="expression" dxfId="211" priority="29">
      <formula>AND($J$5&gt;0,AG37&lt;$J$5*0.97)</formula>
    </cfRule>
    <cfRule type="expression" dxfId="210" priority="30">
      <formula>AND($J$5&gt;0,AG37&gt;=$J$5*0.97,AG37&lt;=$J$5)</formula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758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62.2</v>
      </c>
      <c r="D5" s="10">
        <f>C5*B5</f>
        <v>1057.4000000000001</v>
      </c>
      <c r="E5" s="11">
        <v>0.52239999999999998</v>
      </c>
      <c r="F5" s="10">
        <f>ROUND(D5*E5,0)</f>
        <v>552</v>
      </c>
      <c r="G5" s="10">
        <f>ROUND(F5*Settings!$B$4,0)</f>
        <v>527</v>
      </c>
      <c r="H5" s="10">
        <f>D5-F5</f>
        <v>505.40000000000009</v>
      </c>
      <c r="I5" s="8">
        <v>3717</v>
      </c>
      <c r="J5" s="9">
        <v>25</v>
      </c>
      <c r="K5" s="9">
        <v>10</v>
      </c>
      <c r="L5" s="8">
        <v>2216</v>
      </c>
      <c r="M5" s="9">
        <v>19</v>
      </c>
    </row>
    <row r="7" spans="1:47" x14ac:dyDescent="0.25">
      <c r="A7" s="5" t="s">
        <v>54</v>
      </c>
      <c r="B7" s="12" t="s">
        <v>759</v>
      </c>
    </row>
    <row r="8" spans="1:47" x14ac:dyDescent="0.25">
      <c r="A8" s="5" t="s">
        <v>56</v>
      </c>
      <c r="B8" s="13" t="s">
        <v>760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761</v>
      </c>
      <c r="C11" s="17">
        <v>1</v>
      </c>
      <c r="D11" s="17" t="s">
        <v>158</v>
      </c>
      <c r="E11" s="18" t="s">
        <v>99</v>
      </c>
      <c r="F11" s="19">
        <v>147</v>
      </c>
      <c r="G11" s="19">
        <v>129</v>
      </c>
      <c r="H11" s="19">
        <v>94</v>
      </c>
      <c r="I11" s="19">
        <v>421</v>
      </c>
      <c r="J11" s="19"/>
      <c r="K11" s="19"/>
      <c r="L11" s="19"/>
      <c r="M11" s="19"/>
      <c r="N11" s="19" t="s">
        <v>166</v>
      </c>
      <c r="O11" s="19">
        <v>16</v>
      </c>
      <c r="P11" s="20">
        <v>4.4800000000000004</v>
      </c>
      <c r="Q11" s="20"/>
      <c r="R11" s="21"/>
      <c r="S11" s="21">
        <v>0.66100000000000003</v>
      </c>
      <c r="T11" s="20">
        <v>7.38</v>
      </c>
      <c r="U11" s="22">
        <v>17</v>
      </c>
      <c r="V11" s="22">
        <v>475</v>
      </c>
      <c r="W11" s="22">
        <v>310</v>
      </c>
      <c r="X11" s="22">
        <v>3450</v>
      </c>
      <c r="Y11" s="22">
        <v>23</v>
      </c>
      <c r="Z11" s="22">
        <v>8</v>
      </c>
      <c r="AA11" s="22">
        <v>110</v>
      </c>
      <c r="AB11" s="22">
        <v>459</v>
      </c>
      <c r="AC11" s="22">
        <v>8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4.1727272727272728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7.2631578947368425</v>
      </c>
      <c r="AM11" s="25">
        <f t="shared" ref="AM11:AM35" si="4">IFERROR(W11/V11,"")</f>
        <v>0.65263157894736845</v>
      </c>
      <c r="AN11" s="25">
        <f t="shared" ref="AN11:AN35" si="5">IFERROR(AA11/$H$5,"")</f>
        <v>0.21764938662445585</v>
      </c>
      <c r="AO11" s="25">
        <f t="shared" ref="AO11:AO35" si="6">IFERROR(AD11/$G$5,"")</f>
        <v>0</v>
      </c>
      <c r="AP11" s="25">
        <f t="shared" ref="AP11:AP35" si="7">IFERROR(V11/$F$5,"")</f>
        <v>0.86050724637681164</v>
      </c>
      <c r="AQ11" s="26">
        <f t="shared" ref="AQ11:AQ35" si="8">IFERROR(AA11/U11,"")</f>
        <v>6.4705882352941178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16</v>
      </c>
      <c r="AU11" s="28">
        <f>AF11*Settings!$B$7+AG11*Settings!$B$8+AE11*Settings!$B$9+AB11*Settings!$B$10+AC11*Settings!$B$11+X11*Settings!$B$12+Y11*Settings!$B$13+Z11*Settings!$B$14</f>
        <v>307.89999999999998</v>
      </c>
    </row>
    <row r="12" spans="1:47" x14ac:dyDescent="0.25">
      <c r="A12" s="15" t="s">
        <v>96</v>
      </c>
      <c r="B12" s="16" t="s">
        <v>762</v>
      </c>
      <c r="C12" s="17">
        <v>2</v>
      </c>
      <c r="D12" s="17" t="s">
        <v>111</v>
      </c>
      <c r="E12" s="18" t="s">
        <v>99</v>
      </c>
      <c r="F12" s="19"/>
      <c r="G12" s="19">
        <v>2</v>
      </c>
      <c r="H12" s="19">
        <v>3</v>
      </c>
      <c r="I12" s="19">
        <v>8</v>
      </c>
      <c r="J12" s="19"/>
      <c r="K12" s="19"/>
      <c r="L12" s="19"/>
      <c r="M12" s="19"/>
      <c r="N12" s="19" t="s">
        <v>166</v>
      </c>
      <c r="O12" s="19">
        <v>4</v>
      </c>
      <c r="P12" s="20">
        <v>1.4</v>
      </c>
      <c r="Q12" s="20"/>
      <c r="R12" s="21"/>
      <c r="S12" s="21">
        <v>0.61399999999999999</v>
      </c>
      <c r="T12" s="20">
        <v>6.78</v>
      </c>
      <c r="U12" s="22">
        <v>17</v>
      </c>
      <c r="V12" s="22">
        <v>21</v>
      </c>
      <c r="W12" s="22">
        <v>13</v>
      </c>
      <c r="X12" s="22">
        <v>159</v>
      </c>
      <c r="Y12" s="22">
        <v>1</v>
      </c>
      <c r="Z12" s="22">
        <v>0</v>
      </c>
      <c r="AA12" s="22">
        <v>2</v>
      </c>
      <c r="AB12" s="22">
        <v>8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4</v>
      </c>
      <c r="AJ12" s="24" t="str">
        <f t="shared" si="1"/>
        <v/>
      </c>
      <c r="AK12" s="25" t="str">
        <f t="shared" si="2"/>
        <v/>
      </c>
      <c r="AL12" s="24">
        <f t="shared" si="3"/>
        <v>7.5714285714285712</v>
      </c>
      <c r="AM12" s="25">
        <f t="shared" si="4"/>
        <v>0.61904761904761907</v>
      </c>
      <c r="AN12" s="25">
        <f t="shared" si="5"/>
        <v>3.957261574990106E-3</v>
      </c>
      <c r="AO12" s="25">
        <f t="shared" si="6"/>
        <v>0</v>
      </c>
      <c r="AP12" s="25">
        <f t="shared" si="7"/>
        <v>3.8043478260869568E-2</v>
      </c>
      <c r="AQ12" s="26">
        <f t="shared" si="8"/>
        <v>0.11764705882352941</v>
      </c>
      <c r="AR12" s="26">
        <f t="shared" si="9"/>
        <v>0</v>
      </c>
      <c r="AS12" s="27">
        <f t="shared" si="10"/>
        <v>0</v>
      </c>
      <c r="AT12" s="27">
        <f t="shared" si="11"/>
        <v>-1</v>
      </c>
      <c r="AU12" s="28">
        <f>AF12*Settings!$B$7+AG12*Settings!$B$8+AE12*Settings!$B$9+AB12*Settings!$B$10+AC12*Settings!$B$11+X12*Settings!$B$12+Y12*Settings!$B$13+Z12*Settings!$B$14</f>
        <v>11.16</v>
      </c>
    </row>
    <row r="13" spans="1:47" x14ac:dyDescent="0.25">
      <c r="A13" s="15" t="s">
        <v>96</v>
      </c>
      <c r="B13" s="16" t="s">
        <v>763</v>
      </c>
      <c r="C13" s="17">
        <v>3</v>
      </c>
      <c r="D13" s="17" t="s">
        <v>267</v>
      </c>
      <c r="E13" s="18" t="s">
        <v>99</v>
      </c>
      <c r="F13" s="19">
        <v>3</v>
      </c>
      <c r="G13" s="19">
        <v>7</v>
      </c>
      <c r="H13" s="19">
        <v>2</v>
      </c>
      <c r="I13" s="19" t="s">
        <v>283</v>
      </c>
      <c r="J13" s="19"/>
      <c r="K13" s="19"/>
      <c r="L13" s="19"/>
      <c r="M13" s="19"/>
      <c r="N13" s="19" t="s">
        <v>239</v>
      </c>
      <c r="O13" s="19">
        <v>4</v>
      </c>
      <c r="P13" s="20">
        <v>3.67</v>
      </c>
      <c r="Q13" s="20"/>
      <c r="R13" s="21"/>
      <c r="S13" s="21">
        <v>0.64700000000000002</v>
      </c>
      <c r="T13" s="20">
        <v>6.44</v>
      </c>
      <c r="U13" s="22">
        <v>17</v>
      </c>
      <c r="V13" s="22">
        <v>24</v>
      </c>
      <c r="W13" s="22">
        <v>16</v>
      </c>
      <c r="X13" s="22">
        <v>174</v>
      </c>
      <c r="Y13" s="22">
        <v>1</v>
      </c>
      <c r="Z13" s="22">
        <v>0</v>
      </c>
      <c r="AA13" s="22">
        <v>3</v>
      </c>
      <c r="AB13" s="22">
        <v>8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3" t="s">
        <v>101</v>
      </c>
      <c r="AI13" s="24">
        <f t="shared" si="0"/>
        <v>2.6666666666666665</v>
      </c>
      <c r="AJ13" s="24" t="str">
        <f t="shared" si="1"/>
        <v/>
      </c>
      <c r="AK13" s="25" t="str">
        <f t="shared" si="2"/>
        <v/>
      </c>
      <c r="AL13" s="24">
        <f t="shared" si="3"/>
        <v>7.25</v>
      </c>
      <c r="AM13" s="25">
        <f t="shared" si="4"/>
        <v>0.66666666666666663</v>
      </c>
      <c r="AN13" s="25">
        <f t="shared" si="5"/>
        <v>5.935892362485159E-3</v>
      </c>
      <c r="AO13" s="25">
        <f t="shared" si="6"/>
        <v>0</v>
      </c>
      <c r="AP13" s="25">
        <f t="shared" si="7"/>
        <v>4.3478260869565216E-2</v>
      </c>
      <c r="AQ13" s="26">
        <f t="shared" si="8"/>
        <v>0.17647058823529413</v>
      </c>
      <c r="AR13" s="26">
        <f t="shared" si="9"/>
        <v>0</v>
      </c>
      <c r="AS13" s="27">
        <f t="shared" si="10"/>
        <v>0</v>
      </c>
      <c r="AT13" s="27">
        <f t="shared" si="11"/>
        <v>1</v>
      </c>
      <c r="AU13" s="28">
        <f>AF13*Settings!$B$7+AG13*Settings!$B$8+AE13*Settings!$B$9+AB13*Settings!$B$10+AC13*Settings!$B$11+X13*Settings!$B$12+Y13*Settings!$B$13+Z13*Settings!$B$14</f>
        <v>11.76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764</v>
      </c>
      <c r="C15" s="17">
        <v>1</v>
      </c>
      <c r="D15" s="17" t="s">
        <v>168</v>
      </c>
      <c r="E15" s="18" t="s">
        <v>99</v>
      </c>
      <c r="F15" s="19">
        <v>247</v>
      </c>
      <c r="G15" s="19">
        <v>345</v>
      </c>
      <c r="H15" s="19">
        <v>280</v>
      </c>
      <c r="I15" s="19">
        <v>1140</v>
      </c>
      <c r="J15" s="19">
        <v>60</v>
      </c>
      <c r="K15" s="19">
        <v>43</v>
      </c>
      <c r="L15" s="19">
        <v>50</v>
      </c>
      <c r="M15" s="19">
        <v>273</v>
      </c>
      <c r="N15" s="19" t="s">
        <v>166</v>
      </c>
      <c r="O15" s="19">
        <v>16</v>
      </c>
      <c r="P15" s="20">
        <v>4.71</v>
      </c>
      <c r="Q15" s="20">
        <v>7.49</v>
      </c>
      <c r="R15" s="21">
        <v>0.72499999999999998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287</v>
      </c>
      <c r="AB15" s="22">
        <v>1256</v>
      </c>
      <c r="AC15" s="22">
        <v>8</v>
      </c>
      <c r="AD15" s="22">
        <v>53</v>
      </c>
      <c r="AE15" s="22">
        <v>39</v>
      </c>
      <c r="AF15" s="22">
        <v>302</v>
      </c>
      <c r="AG15" s="22">
        <v>2</v>
      </c>
      <c r="AH15" s="23" t="s">
        <v>101</v>
      </c>
      <c r="AI15" s="24">
        <f t="shared" si="0"/>
        <v>4.3763066202090588</v>
      </c>
      <c r="AJ15" s="24">
        <f t="shared" si="1"/>
        <v>7.7435897435897436</v>
      </c>
      <c r="AK15" s="25">
        <f t="shared" si="2"/>
        <v>0.73584905660377353</v>
      </c>
      <c r="AL15" s="24" t="str">
        <f t="shared" si="3"/>
        <v/>
      </c>
      <c r="AM15" s="25" t="str">
        <f t="shared" si="4"/>
        <v/>
      </c>
      <c r="AN15" s="25">
        <f t="shared" si="5"/>
        <v>0.56786703601108024</v>
      </c>
      <c r="AO15" s="25">
        <f t="shared" si="6"/>
        <v>0.10056925996204934</v>
      </c>
      <c r="AP15" s="25">
        <f t="shared" si="7"/>
        <v>0</v>
      </c>
      <c r="AQ15" s="26">
        <f t="shared" si="8"/>
        <v>16.882352941176471</v>
      </c>
      <c r="AR15" s="26">
        <f t="shared" si="9"/>
        <v>3.1176470588235294</v>
      </c>
      <c r="AS15" s="27">
        <f t="shared" si="10"/>
        <v>3</v>
      </c>
      <c r="AT15" s="27">
        <f t="shared" si="11"/>
        <v>7</v>
      </c>
      <c r="AU15" s="28">
        <f>AF15*Settings!$B$7+AG15*Settings!$B$8+AE15*Settings!$B$9+AB15*Settings!$B$10+AC15*Settings!$B$11+X15*Settings!$B$12+Y15*Settings!$B$13+Z15*Settings!$B$14</f>
        <v>235.3</v>
      </c>
    </row>
    <row r="16" spans="1:47" x14ac:dyDescent="0.25">
      <c r="A16" s="15" t="s">
        <v>107</v>
      </c>
      <c r="B16" s="16" t="s">
        <v>765</v>
      </c>
      <c r="C16" s="17">
        <v>2</v>
      </c>
      <c r="D16" s="17" t="s">
        <v>103</v>
      </c>
      <c r="E16" s="18" t="s">
        <v>99</v>
      </c>
      <c r="F16" s="19">
        <v>50</v>
      </c>
      <c r="G16" s="19">
        <v>168</v>
      </c>
      <c r="H16" s="19">
        <v>58</v>
      </c>
      <c r="I16" s="19">
        <v>344</v>
      </c>
      <c r="J16" s="19">
        <v>4</v>
      </c>
      <c r="K16" s="19">
        <v>12</v>
      </c>
      <c r="L16" s="19">
        <v>4</v>
      </c>
      <c r="M16" s="19">
        <v>32</v>
      </c>
      <c r="N16" s="19" t="s">
        <v>166</v>
      </c>
      <c r="O16" s="19">
        <v>16</v>
      </c>
      <c r="P16" s="20">
        <v>4.5</v>
      </c>
      <c r="Q16" s="20">
        <v>8.36</v>
      </c>
      <c r="R16" s="21">
        <v>0.55000000000000004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94</v>
      </c>
      <c r="AB16" s="22">
        <v>431</v>
      </c>
      <c r="AC16" s="22">
        <v>3</v>
      </c>
      <c r="AD16" s="22">
        <v>7</v>
      </c>
      <c r="AE16" s="22">
        <v>5</v>
      </c>
      <c r="AF16" s="22">
        <v>38</v>
      </c>
      <c r="AG16" s="22">
        <v>0</v>
      </c>
      <c r="AH16" s="23" t="s">
        <v>101</v>
      </c>
      <c r="AI16" s="24">
        <f t="shared" si="0"/>
        <v>4.5851063829787231</v>
      </c>
      <c r="AJ16" s="24">
        <f t="shared" si="1"/>
        <v>7.6</v>
      </c>
      <c r="AK16" s="25">
        <f t="shared" si="2"/>
        <v>0.7142857142857143</v>
      </c>
      <c r="AL16" s="24" t="str">
        <f t="shared" si="3"/>
        <v/>
      </c>
      <c r="AM16" s="25" t="str">
        <f t="shared" si="4"/>
        <v/>
      </c>
      <c r="AN16" s="25">
        <f t="shared" si="5"/>
        <v>0.18599129402453499</v>
      </c>
      <c r="AO16" s="25">
        <f t="shared" si="6"/>
        <v>1.3282732447817837E-2</v>
      </c>
      <c r="AP16" s="25">
        <f t="shared" si="7"/>
        <v>0</v>
      </c>
      <c r="AQ16" s="26">
        <f t="shared" si="8"/>
        <v>5.5294117647058822</v>
      </c>
      <c r="AR16" s="26">
        <f t="shared" si="9"/>
        <v>0.41176470588235292</v>
      </c>
      <c r="AS16" s="27">
        <f t="shared" si="10"/>
        <v>3</v>
      </c>
      <c r="AT16" s="27">
        <f t="shared" si="11"/>
        <v>36</v>
      </c>
      <c r="AU16" s="28">
        <f>AF16*Settings!$B$7+AG16*Settings!$B$8+AE16*Settings!$B$9+AB16*Settings!$B$10+AC16*Settings!$B$11+X16*Settings!$B$12+Y16*Settings!$B$13+Z16*Settings!$B$14</f>
        <v>67.400000000000006</v>
      </c>
    </row>
    <row r="17" spans="1:47" x14ac:dyDescent="0.25">
      <c r="A17" s="15" t="s">
        <v>107</v>
      </c>
      <c r="B17" s="16" t="s">
        <v>766</v>
      </c>
      <c r="C17" s="17">
        <v>3</v>
      </c>
      <c r="D17" s="17" t="s">
        <v>130</v>
      </c>
      <c r="E17" s="18" t="s">
        <v>99</v>
      </c>
      <c r="F17" s="19">
        <v>75</v>
      </c>
      <c r="G17" s="19"/>
      <c r="H17" s="19"/>
      <c r="I17" s="19"/>
      <c r="J17" s="19">
        <v>8</v>
      </c>
      <c r="K17" s="19"/>
      <c r="L17" s="19">
        <v>1</v>
      </c>
      <c r="M17" s="19"/>
      <c r="N17" s="19" t="s">
        <v>210</v>
      </c>
      <c r="O17" s="19">
        <v>1</v>
      </c>
      <c r="P17" s="20">
        <v>3.75</v>
      </c>
      <c r="Q17" s="20">
        <v>2.33</v>
      </c>
      <c r="R17" s="21">
        <v>0.66700000000000004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7</v>
      </c>
      <c r="AB17" s="22">
        <v>30</v>
      </c>
      <c r="AC17" s="22">
        <v>0</v>
      </c>
      <c r="AD17" s="22">
        <v>2</v>
      </c>
      <c r="AE17" s="22">
        <v>1</v>
      </c>
      <c r="AF17" s="22">
        <v>7</v>
      </c>
      <c r="AG17" s="22">
        <v>0</v>
      </c>
      <c r="AH17" s="23" t="s">
        <v>101</v>
      </c>
      <c r="AI17" s="24">
        <f t="shared" si="0"/>
        <v>4.2857142857142856</v>
      </c>
      <c r="AJ17" s="24">
        <f t="shared" si="1"/>
        <v>7</v>
      </c>
      <c r="AK17" s="25">
        <f t="shared" si="2"/>
        <v>0.5</v>
      </c>
      <c r="AL17" s="24" t="str">
        <f t="shared" si="3"/>
        <v/>
      </c>
      <c r="AM17" s="25" t="str">
        <f t="shared" si="4"/>
        <v/>
      </c>
      <c r="AN17" s="25">
        <f t="shared" si="5"/>
        <v>1.3850415512465372E-2</v>
      </c>
      <c r="AO17" s="25">
        <f t="shared" si="6"/>
        <v>3.7950664136622392E-3</v>
      </c>
      <c r="AP17" s="25">
        <f t="shared" si="7"/>
        <v>0</v>
      </c>
      <c r="AQ17" s="26">
        <f t="shared" si="8"/>
        <v>0.41176470588235292</v>
      </c>
      <c r="AR17" s="26">
        <f t="shared" si="9"/>
        <v>0.11764705882352941</v>
      </c>
      <c r="AS17" s="27">
        <f t="shared" si="10"/>
        <v>1</v>
      </c>
      <c r="AT17" s="27">
        <f t="shared" si="11"/>
        <v>7</v>
      </c>
      <c r="AU17" s="28">
        <f>AF17*Settings!$B$7+AG17*Settings!$B$8+AE17*Settings!$B$9+AB17*Settings!$B$10+AC17*Settings!$B$11+X17*Settings!$B$12+Y17*Settings!$B$13+Z17*Settings!$B$14</f>
        <v>4.2</v>
      </c>
    </row>
    <row r="18" spans="1:47" x14ac:dyDescent="0.25">
      <c r="A18" s="15" t="s">
        <v>107</v>
      </c>
      <c r="B18" s="16" t="s">
        <v>767</v>
      </c>
      <c r="C18" s="17">
        <v>4</v>
      </c>
      <c r="D18" s="17" t="s">
        <v>111</v>
      </c>
      <c r="E18" s="18" t="s">
        <v>99</v>
      </c>
      <c r="F18" s="19">
        <v>145</v>
      </c>
      <c r="G18" s="19">
        <v>40</v>
      </c>
      <c r="H18" s="19">
        <v>4</v>
      </c>
      <c r="I18" s="19">
        <v>10</v>
      </c>
      <c r="J18" s="19">
        <v>17</v>
      </c>
      <c r="K18" s="19">
        <v>4</v>
      </c>
      <c r="L18" s="19"/>
      <c r="M18" s="19"/>
      <c r="N18" s="19" t="s">
        <v>210</v>
      </c>
      <c r="O18" s="19">
        <v>1</v>
      </c>
      <c r="P18" s="20">
        <v>3.8</v>
      </c>
      <c r="Q18" s="20">
        <v>6.87</v>
      </c>
      <c r="R18" s="21">
        <v>0.71399999999999997</v>
      </c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17</v>
      </c>
      <c r="AB18" s="22">
        <v>67</v>
      </c>
      <c r="AC18" s="22">
        <v>0</v>
      </c>
      <c r="AD18" s="22">
        <v>2</v>
      </c>
      <c r="AE18" s="22">
        <v>1</v>
      </c>
      <c r="AF18" s="22">
        <v>6</v>
      </c>
      <c r="AG18" s="22">
        <v>0</v>
      </c>
      <c r="AH18" s="23" t="s">
        <v>101</v>
      </c>
      <c r="AI18" s="24">
        <f t="shared" si="0"/>
        <v>3.9411764705882355</v>
      </c>
      <c r="AJ18" s="24">
        <f t="shared" si="1"/>
        <v>6</v>
      </c>
      <c r="AK18" s="25">
        <f t="shared" si="2"/>
        <v>0.5</v>
      </c>
      <c r="AL18" s="24" t="str">
        <f t="shared" si="3"/>
        <v/>
      </c>
      <c r="AM18" s="25" t="str">
        <f t="shared" si="4"/>
        <v/>
      </c>
      <c r="AN18" s="25">
        <f t="shared" si="5"/>
        <v>3.3636723387415905E-2</v>
      </c>
      <c r="AO18" s="25">
        <f t="shared" si="6"/>
        <v>3.7950664136622392E-3</v>
      </c>
      <c r="AP18" s="25">
        <f t="shared" si="7"/>
        <v>0</v>
      </c>
      <c r="AQ18" s="26">
        <f t="shared" si="8"/>
        <v>1</v>
      </c>
      <c r="AR18" s="26">
        <f t="shared" si="9"/>
        <v>0.11764705882352941</v>
      </c>
      <c r="AS18" s="27">
        <f t="shared" si="10"/>
        <v>2</v>
      </c>
      <c r="AT18" s="27">
        <f t="shared" si="11"/>
        <v>13</v>
      </c>
      <c r="AU18" s="28">
        <f>AF18*Settings!$B$7+AG18*Settings!$B$8+AE18*Settings!$B$9+AB18*Settings!$B$10+AC18*Settings!$B$11+X18*Settings!$B$12+Y18*Settings!$B$13+Z18*Settings!$B$14</f>
        <v>7.8000000000000007</v>
      </c>
    </row>
    <row r="19" spans="1:47" x14ac:dyDescent="0.25">
      <c r="A19" s="15" t="s">
        <v>107</v>
      </c>
      <c r="B19" s="16" t="s">
        <v>768</v>
      </c>
      <c r="C19" s="17">
        <v>5</v>
      </c>
      <c r="D19" s="17" t="s">
        <v>103</v>
      </c>
      <c r="E19" s="18" t="s">
        <v>99</v>
      </c>
      <c r="F19" s="19"/>
      <c r="G19" s="19">
        <v>30</v>
      </c>
      <c r="H19" s="19">
        <v>14</v>
      </c>
      <c r="I19" s="19">
        <v>49</v>
      </c>
      <c r="J19" s="19"/>
      <c r="K19" s="19">
        <v>4</v>
      </c>
      <c r="L19" s="19">
        <v>12</v>
      </c>
      <c r="M19" s="19">
        <v>56</v>
      </c>
      <c r="N19" s="19" t="s">
        <v>166</v>
      </c>
      <c r="O19" s="19">
        <v>15</v>
      </c>
      <c r="P19" s="20">
        <v>2.98</v>
      </c>
      <c r="Q19" s="20">
        <v>7</v>
      </c>
      <c r="R19" s="21">
        <v>0.81200000000000006</v>
      </c>
      <c r="S19" s="21"/>
      <c r="T19" s="20"/>
      <c r="U19" s="22">
        <v>17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19</v>
      </c>
      <c r="AB19" s="22">
        <v>78</v>
      </c>
      <c r="AC19" s="22">
        <v>0</v>
      </c>
      <c r="AD19" s="22">
        <v>11</v>
      </c>
      <c r="AE19" s="22">
        <v>9</v>
      </c>
      <c r="AF19" s="22">
        <v>62</v>
      </c>
      <c r="AG19" s="22">
        <v>0</v>
      </c>
      <c r="AH19" s="23" t="s">
        <v>101</v>
      </c>
      <c r="AI19" s="24">
        <f t="shared" si="0"/>
        <v>4.1052631578947372</v>
      </c>
      <c r="AJ19" s="24">
        <f t="shared" si="1"/>
        <v>6.8888888888888893</v>
      </c>
      <c r="AK19" s="25">
        <f t="shared" si="2"/>
        <v>0.81818181818181823</v>
      </c>
      <c r="AL19" s="24" t="str">
        <f t="shared" si="3"/>
        <v/>
      </c>
      <c r="AM19" s="25" t="str">
        <f t="shared" si="4"/>
        <v/>
      </c>
      <c r="AN19" s="25">
        <f t="shared" si="5"/>
        <v>3.7593984962406006E-2</v>
      </c>
      <c r="AO19" s="25">
        <f t="shared" si="6"/>
        <v>2.0872865275142316E-2</v>
      </c>
      <c r="AP19" s="25">
        <f t="shared" si="7"/>
        <v>0</v>
      </c>
      <c r="AQ19" s="26">
        <f t="shared" si="8"/>
        <v>1.1176470588235294</v>
      </c>
      <c r="AR19" s="26">
        <f t="shared" si="9"/>
        <v>0.6470588235294118</v>
      </c>
      <c r="AS19" s="27">
        <f t="shared" si="10"/>
        <v>-1</v>
      </c>
      <c r="AT19" s="27">
        <f t="shared" si="11"/>
        <v>5</v>
      </c>
      <c r="AU19" s="28">
        <f>AF19*Settings!$B$7+AG19*Settings!$B$8+AE19*Settings!$B$9+AB19*Settings!$B$10+AC19*Settings!$B$11+X19*Settings!$B$12+Y19*Settings!$B$13+Z19*Settings!$B$14</f>
        <v>18.5</v>
      </c>
    </row>
    <row r="20" spans="1:47" x14ac:dyDescent="0.25">
      <c r="A20" s="15" t="s">
        <v>107</v>
      </c>
      <c r="B20" s="16" t="s">
        <v>769</v>
      </c>
      <c r="C20" s="17">
        <v>6</v>
      </c>
      <c r="D20" s="17" t="s">
        <v>103</v>
      </c>
      <c r="E20" s="18" t="s">
        <v>99</v>
      </c>
      <c r="F20" s="19"/>
      <c r="G20" s="19">
        <v>56</v>
      </c>
      <c r="H20" s="19"/>
      <c r="I20" s="19"/>
      <c r="J20" s="19"/>
      <c r="K20" s="19">
        <v>11</v>
      </c>
      <c r="L20" s="19"/>
      <c r="M20" s="19"/>
      <c r="N20" s="19"/>
      <c r="O20" s="19"/>
      <c r="P20" s="20">
        <v>3.27</v>
      </c>
      <c r="Q20" s="20">
        <v>3.71</v>
      </c>
      <c r="R20" s="21">
        <v>0.63600000000000001</v>
      </c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770</v>
      </c>
      <c r="C22" s="17">
        <v>1</v>
      </c>
      <c r="D22" s="17" t="s">
        <v>158</v>
      </c>
      <c r="E22" s="32" t="s">
        <v>115</v>
      </c>
      <c r="F22" s="19"/>
      <c r="G22" s="19">
        <v>1</v>
      </c>
      <c r="H22" s="19"/>
      <c r="I22" s="19"/>
      <c r="J22" s="19">
        <v>112</v>
      </c>
      <c r="K22" s="19">
        <v>89</v>
      </c>
      <c r="L22" s="19">
        <v>113</v>
      </c>
      <c r="M22" s="19">
        <v>1008</v>
      </c>
      <c r="N22" s="19" t="s">
        <v>166</v>
      </c>
      <c r="O22" s="19">
        <v>17</v>
      </c>
      <c r="P22" s="20">
        <v>1</v>
      </c>
      <c r="Q22" s="20">
        <v>12.86</v>
      </c>
      <c r="R22" s="21">
        <v>0.72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1</v>
      </c>
      <c r="AB22" s="22">
        <v>2</v>
      </c>
      <c r="AC22" s="22">
        <v>0</v>
      </c>
      <c r="AD22" s="22">
        <v>126</v>
      </c>
      <c r="AE22" s="22">
        <v>86</v>
      </c>
      <c r="AF22" s="22">
        <v>1111</v>
      </c>
      <c r="AG22" s="22">
        <v>6</v>
      </c>
      <c r="AH22" s="23" t="s">
        <v>101</v>
      </c>
      <c r="AI22" s="24">
        <f t="shared" si="0"/>
        <v>2</v>
      </c>
      <c r="AJ22" s="24">
        <f t="shared" si="1"/>
        <v>12.918604651162791</v>
      </c>
      <c r="AK22" s="25">
        <f t="shared" si="2"/>
        <v>0.68253968253968256</v>
      </c>
      <c r="AL22" s="24" t="str">
        <f t="shared" si="3"/>
        <v/>
      </c>
      <c r="AM22" s="25" t="str">
        <f t="shared" si="4"/>
        <v/>
      </c>
      <c r="AN22" s="25">
        <f t="shared" si="5"/>
        <v>1.978630787495053E-3</v>
      </c>
      <c r="AO22" s="25">
        <f t="shared" si="6"/>
        <v>0.23908918406072105</v>
      </c>
      <c r="AP22" s="25">
        <f t="shared" si="7"/>
        <v>0</v>
      </c>
      <c r="AQ22" s="26">
        <f t="shared" si="8"/>
        <v>5.8823529411764705E-2</v>
      </c>
      <c r="AR22" s="26">
        <f t="shared" si="9"/>
        <v>7.4117647058823533</v>
      </c>
      <c r="AS22" s="27">
        <f t="shared" si="10"/>
        <v>13</v>
      </c>
      <c r="AT22" s="27">
        <f t="shared" si="11"/>
        <v>1</v>
      </c>
      <c r="AU22" s="28">
        <f>AF22*Settings!$B$7+AG22*Settings!$B$8+AE22*Settings!$B$9+AB22*Settings!$B$10+AC22*Settings!$B$11+X22*Settings!$B$12+Y22*Settings!$B$13+Z22*Settings!$B$14</f>
        <v>190.3</v>
      </c>
    </row>
    <row r="23" spans="1:47" x14ac:dyDescent="0.25">
      <c r="A23" s="15" t="s">
        <v>121</v>
      </c>
      <c r="B23" s="16" t="s">
        <v>771</v>
      </c>
      <c r="C23" s="17">
        <v>2</v>
      </c>
      <c r="D23" s="17" t="s">
        <v>128</v>
      </c>
      <c r="E23" s="32" t="s">
        <v>115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  <c r="Q23" s="20"/>
      <c r="R23" s="21"/>
      <c r="S23" s="21"/>
      <c r="T23" s="20"/>
      <c r="U23" s="22">
        <v>17</v>
      </c>
      <c r="V23" s="22"/>
      <c r="W23" s="22"/>
      <c r="X23" s="22"/>
      <c r="Y23" s="22"/>
      <c r="Z23" s="22"/>
      <c r="AA23" s="22">
        <v>2</v>
      </c>
      <c r="AB23" s="22">
        <v>9</v>
      </c>
      <c r="AC23" s="22">
        <v>0</v>
      </c>
      <c r="AD23" s="22">
        <v>93</v>
      </c>
      <c r="AE23" s="22">
        <v>58</v>
      </c>
      <c r="AF23" s="22">
        <v>768</v>
      </c>
      <c r="AG23" s="22">
        <v>5</v>
      </c>
      <c r="AH23" s="23" t="s">
        <v>101</v>
      </c>
      <c r="AI23" s="24">
        <f t="shared" si="0"/>
        <v>4.5</v>
      </c>
      <c r="AJ23" s="24">
        <f t="shared" si="1"/>
        <v>13.241379310344827</v>
      </c>
      <c r="AK23" s="25">
        <f t="shared" si="2"/>
        <v>0.62365591397849462</v>
      </c>
      <c r="AL23" s="24" t="str">
        <f t="shared" si="3"/>
        <v/>
      </c>
      <c r="AM23" s="25" t="str">
        <f t="shared" si="4"/>
        <v/>
      </c>
      <c r="AN23" s="25">
        <f t="shared" si="5"/>
        <v>3.957261574990106E-3</v>
      </c>
      <c r="AO23" s="25">
        <f t="shared" si="6"/>
        <v>0.17647058823529413</v>
      </c>
      <c r="AP23" s="25">
        <f t="shared" si="7"/>
        <v>0</v>
      </c>
      <c r="AQ23" s="26">
        <f t="shared" si="8"/>
        <v>0.11764705882352941</v>
      </c>
      <c r="AR23" s="26">
        <f t="shared" si="9"/>
        <v>5.4705882352941178</v>
      </c>
      <c r="AS23" s="27">
        <f t="shared" si="10"/>
        <v>93</v>
      </c>
      <c r="AT23" s="27">
        <f t="shared" si="11"/>
        <v>2</v>
      </c>
      <c r="AU23" s="28">
        <f>AF23*Settings!$B$7+AG23*Settings!$B$8+AE23*Settings!$B$9+AB23*Settings!$B$10+AC23*Settings!$B$11+X23*Settings!$B$12+Y23*Settings!$B$13+Z23*Settings!$B$14</f>
        <v>136.70000000000002</v>
      </c>
    </row>
    <row r="24" spans="1:47" x14ac:dyDescent="0.25">
      <c r="A24" s="15" t="s">
        <v>121</v>
      </c>
      <c r="B24" s="16" t="s">
        <v>772</v>
      </c>
      <c r="C24" s="17">
        <v>3</v>
      </c>
      <c r="D24" s="17" t="s">
        <v>168</v>
      </c>
      <c r="E24" s="18" t="s">
        <v>99</v>
      </c>
      <c r="F24" s="19">
        <v>2</v>
      </c>
      <c r="G24" s="19"/>
      <c r="H24" s="19"/>
      <c r="I24" s="19"/>
      <c r="J24" s="19">
        <v>101</v>
      </c>
      <c r="K24" s="19">
        <v>15</v>
      </c>
      <c r="L24" s="19">
        <v>74</v>
      </c>
      <c r="M24" s="19">
        <v>587</v>
      </c>
      <c r="N24" s="19" t="s">
        <v>210</v>
      </c>
      <c r="O24" s="19">
        <v>16</v>
      </c>
      <c r="P24" s="20">
        <v>11.5</v>
      </c>
      <c r="Q24" s="20">
        <v>11.49</v>
      </c>
      <c r="R24" s="21">
        <v>0.57399999999999995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69</v>
      </c>
      <c r="AE24" s="22">
        <v>36</v>
      </c>
      <c r="AF24" s="22">
        <v>434</v>
      </c>
      <c r="AG24" s="22">
        <v>4</v>
      </c>
      <c r="AH24" s="23" t="s">
        <v>101</v>
      </c>
      <c r="AI24" s="24" t="str">
        <f t="shared" si="0"/>
        <v/>
      </c>
      <c r="AJ24" s="24">
        <f t="shared" si="1"/>
        <v>12.055555555555555</v>
      </c>
      <c r="AK24" s="25">
        <f t="shared" si="2"/>
        <v>0.52173913043478259</v>
      </c>
      <c r="AL24" s="24" t="str">
        <f t="shared" si="3"/>
        <v/>
      </c>
      <c r="AM24" s="25" t="str">
        <f t="shared" si="4"/>
        <v/>
      </c>
      <c r="AN24" s="25">
        <f t="shared" si="5"/>
        <v>0</v>
      </c>
      <c r="AO24" s="25">
        <f t="shared" si="6"/>
        <v>0.13092979127134724</v>
      </c>
      <c r="AP24" s="25">
        <f t="shared" si="7"/>
        <v>0</v>
      </c>
      <c r="AQ24" s="26">
        <f t="shared" si="8"/>
        <v>0</v>
      </c>
      <c r="AR24" s="26">
        <f t="shared" si="9"/>
        <v>4.0588235294117645</v>
      </c>
      <c r="AS24" s="27">
        <f t="shared" si="10"/>
        <v>-5</v>
      </c>
      <c r="AT24" s="27">
        <f t="shared" si="11"/>
        <v>0</v>
      </c>
      <c r="AU24" s="28">
        <f>AF24*Settings!$B$7+AG24*Settings!$B$8+AE24*Settings!$B$9+AB24*Settings!$B$10+AC24*Settings!$B$11+X24*Settings!$B$12+Y24*Settings!$B$13+Z24*Settings!$B$14</f>
        <v>85.4</v>
      </c>
    </row>
    <row r="25" spans="1:47" x14ac:dyDescent="0.25">
      <c r="A25" s="15" t="s">
        <v>121</v>
      </c>
      <c r="B25" s="16" t="s">
        <v>773</v>
      </c>
      <c r="C25" s="17">
        <v>4</v>
      </c>
      <c r="D25" s="17" t="s">
        <v>105</v>
      </c>
      <c r="E25" s="18" t="s">
        <v>99</v>
      </c>
      <c r="F25" s="19">
        <v>1</v>
      </c>
      <c r="G25" s="19"/>
      <c r="H25" s="19">
        <v>1</v>
      </c>
      <c r="I25" s="19">
        <v>6</v>
      </c>
      <c r="J25" s="19">
        <v>58</v>
      </c>
      <c r="K25" s="19">
        <v>76</v>
      </c>
      <c r="L25" s="19">
        <v>46</v>
      </c>
      <c r="M25" s="19">
        <v>332</v>
      </c>
      <c r="N25" s="19" t="s">
        <v>418</v>
      </c>
      <c r="O25" s="19">
        <v>14</v>
      </c>
      <c r="P25" s="20">
        <v>3.5</v>
      </c>
      <c r="Q25" s="20">
        <v>12.3</v>
      </c>
      <c r="R25" s="21">
        <v>0.6</v>
      </c>
      <c r="S25" s="21">
        <v>1</v>
      </c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2</v>
      </c>
      <c r="AC25" s="22">
        <v>0</v>
      </c>
      <c r="AD25" s="22">
        <v>51</v>
      </c>
      <c r="AE25" s="22">
        <v>30</v>
      </c>
      <c r="AF25" s="22">
        <v>355</v>
      </c>
      <c r="AG25" s="22">
        <v>2</v>
      </c>
      <c r="AH25" s="23" t="s">
        <v>101</v>
      </c>
      <c r="AI25" s="24" t="str">
        <f t="shared" si="0"/>
        <v/>
      </c>
      <c r="AJ25" s="24">
        <f t="shared" si="1"/>
        <v>11.833333333333334</v>
      </c>
      <c r="AK25" s="25">
        <f t="shared" si="2"/>
        <v>0.58823529411764708</v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9.6774193548387094E-2</v>
      </c>
      <c r="AP25" s="25">
        <f t="shared" si="7"/>
        <v>0</v>
      </c>
      <c r="AQ25" s="26">
        <f t="shared" si="8"/>
        <v>0</v>
      </c>
      <c r="AR25" s="26">
        <f t="shared" si="9"/>
        <v>3</v>
      </c>
      <c r="AS25" s="27">
        <f t="shared" si="10"/>
        <v>5</v>
      </c>
      <c r="AT25" s="27">
        <f t="shared" si="11"/>
        <v>-1</v>
      </c>
      <c r="AU25" s="28">
        <f>AF25*Settings!$B$7+AG25*Settings!$B$8+AE25*Settings!$B$9+AB25*Settings!$B$10+AC25*Settings!$B$11+X25*Settings!$B$12+Y25*Settings!$B$13+Z25*Settings!$B$14</f>
        <v>62.7</v>
      </c>
    </row>
    <row r="26" spans="1:47" x14ac:dyDescent="0.25">
      <c r="A26" s="15" t="s">
        <v>121</v>
      </c>
      <c r="B26" s="16" t="s">
        <v>774</v>
      </c>
      <c r="C26" s="17">
        <v>5</v>
      </c>
      <c r="D26" s="17" t="s">
        <v>111</v>
      </c>
      <c r="E26" s="18" t="s">
        <v>99</v>
      </c>
      <c r="F26" s="19">
        <v>9</v>
      </c>
      <c r="G26" s="19">
        <v>1</v>
      </c>
      <c r="H26" s="19">
        <v>6</v>
      </c>
      <c r="I26" s="19">
        <v>24</v>
      </c>
      <c r="J26" s="19">
        <v>104</v>
      </c>
      <c r="K26" s="19">
        <v>102</v>
      </c>
      <c r="L26" s="19">
        <v>17</v>
      </c>
      <c r="M26" s="19">
        <v>112</v>
      </c>
      <c r="N26" s="19" t="s">
        <v>208</v>
      </c>
      <c r="O26" s="19">
        <v>9</v>
      </c>
      <c r="P26" s="20">
        <v>2.25</v>
      </c>
      <c r="Q26" s="20">
        <v>10</v>
      </c>
      <c r="R26" s="21">
        <v>0.57799999999999996</v>
      </c>
      <c r="S26" s="21"/>
      <c r="T26" s="20"/>
      <c r="U26" s="22">
        <v>17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4</v>
      </c>
      <c r="AC26" s="22">
        <v>0</v>
      </c>
      <c r="AD26" s="22">
        <v>3</v>
      </c>
      <c r="AE26" s="22">
        <v>3</v>
      </c>
      <c r="AF26" s="22">
        <v>34</v>
      </c>
      <c r="AG26" s="22">
        <v>0</v>
      </c>
      <c r="AH26" s="23" t="s">
        <v>101</v>
      </c>
      <c r="AI26" s="24" t="str">
        <f t="shared" si="0"/>
        <v/>
      </c>
      <c r="AJ26" s="24">
        <f t="shared" si="1"/>
        <v>11.333333333333334</v>
      </c>
      <c r="AK26" s="25">
        <f t="shared" si="2"/>
        <v>1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5.6925996204933585E-3</v>
      </c>
      <c r="AP26" s="25">
        <f t="shared" si="7"/>
        <v>0</v>
      </c>
      <c r="AQ26" s="26">
        <f t="shared" si="8"/>
        <v>0</v>
      </c>
      <c r="AR26" s="26">
        <f t="shared" si="9"/>
        <v>0.17647058823529413</v>
      </c>
      <c r="AS26" s="27">
        <f t="shared" si="10"/>
        <v>-14</v>
      </c>
      <c r="AT26" s="27">
        <f t="shared" si="11"/>
        <v>-6</v>
      </c>
      <c r="AU26" s="28">
        <f>AF26*Settings!$B$7+AG26*Settings!$B$8+AE26*Settings!$B$9+AB26*Settings!$B$10+AC26*Settings!$B$11+X26*Settings!$B$12+Y26*Settings!$B$13+Z26*Settings!$B$14</f>
        <v>5.3000000000000007</v>
      </c>
    </row>
    <row r="27" spans="1:47" x14ac:dyDescent="0.25">
      <c r="A27" s="15" t="s">
        <v>121</v>
      </c>
      <c r="B27" s="16" t="s">
        <v>775</v>
      </c>
      <c r="C27" s="17">
        <v>6</v>
      </c>
      <c r="D27" s="17" t="s">
        <v>130</v>
      </c>
      <c r="E27" s="18" t="s">
        <v>99</v>
      </c>
      <c r="F27" s="19"/>
      <c r="G27" s="19"/>
      <c r="H27" s="19"/>
      <c r="I27" s="19"/>
      <c r="J27" s="19">
        <v>21</v>
      </c>
      <c r="K27" s="19"/>
      <c r="L27" s="19"/>
      <c r="M27" s="19"/>
      <c r="N27" s="19"/>
      <c r="O27" s="19"/>
      <c r="P27" s="20"/>
      <c r="Q27" s="20">
        <v>9.4700000000000006</v>
      </c>
      <c r="R27" s="21">
        <v>0.71399999999999997</v>
      </c>
      <c r="S27" s="21"/>
      <c r="T27" s="20"/>
      <c r="U27" s="22">
        <v>17</v>
      </c>
      <c r="V27" s="22"/>
      <c r="W27" s="22"/>
      <c r="X27" s="22"/>
      <c r="Y27" s="22"/>
      <c r="Z27" s="22"/>
      <c r="AA27" s="22">
        <v>0</v>
      </c>
      <c r="AB27" s="22">
        <v>0</v>
      </c>
      <c r="AC27" s="22">
        <v>0</v>
      </c>
      <c r="AD27" s="22">
        <v>0</v>
      </c>
      <c r="AE27" s="22">
        <v>3</v>
      </c>
      <c r="AF27" s="22">
        <v>40</v>
      </c>
      <c r="AG27" s="22">
        <v>0</v>
      </c>
      <c r="AH27" s="23" t="s">
        <v>101</v>
      </c>
      <c r="AI27" s="24" t="str">
        <f t="shared" si="0"/>
        <v/>
      </c>
      <c r="AJ27" s="24">
        <f t="shared" si="1"/>
        <v>13.333333333333334</v>
      </c>
      <c r="AK27" s="25" t="str">
        <f t="shared" si="2"/>
        <v/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0</v>
      </c>
      <c r="AP27" s="25">
        <f t="shared" si="7"/>
        <v>0</v>
      </c>
      <c r="AQ27" s="26">
        <f t="shared" si="8"/>
        <v>0</v>
      </c>
      <c r="AR27" s="26">
        <f t="shared" si="9"/>
        <v>0</v>
      </c>
      <c r="AS27" s="27">
        <f t="shared" si="10"/>
        <v>0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5.5</v>
      </c>
    </row>
    <row r="28" spans="1:47" x14ac:dyDescent="0.25">
      <c r="A28" s="15" t="s">
        <v>121</v>
      </c>
      <c r="B28" s="16" t="s">
        <v>776</v>
      </c>
      <c r="C28" s="17">
        <v>7</v>
      </c>
      <c r="D28" s="17" t="s">
        <v>118</v>
      </c>
      <c r="E28" s="18" t="s">
        <v>99</v>
      </c>
      <c r="F28" s="19"/>
      <c r="G28" s="19"/>
      <c r="H28" s="19"/>
      <c r="I28" s="19"/>
      <c r="J28" s="19"/>
      <c r="K28" s="19"/>
      <c r="L28" s="19">
        <v>11</v>
      </c>
      <c r="M28" s="19">
        <v>92</v>
      </c>
      <c r="N28" s="19" t="s">
        <v>166</v>
      </c>
      <c r="O28" s="19">
        <v>13</v>
      </c>
      <c r="P28" s="20"/>
      <c r="Q28" s="20">
        <v>10.220000000000001</v>
      </c>
      <c r="R28" s="21">
        <v>0.81799999999999995</v>
      </c>
      <c r="S28" s="21"/>
      <c r="T28" s="20"/>
      <c r="U28" s="22">
        <v>17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6</v>
      </c>
      <c r="AE28" s="22">
        <v>7</v>
      </c>
      <c r="AF28" s="22">
        <v>79</v>
      </c>
      <c r="AG28" s="22">
        <v>0</v>
      </c>
      <c r="AH28" s="23" t="s">
        <v>101</v>
      </c>
      <c r="AI28" s="24" t="str">
        <f t="shared" si="0"/>
        <v/>
      </c>
      <c r="AJ28" s="24">
        <f t="shared" si="1"/>
        <v>11.285714285714286</v>
      </c>
      <c r="AK28" s="25">
        <f t="shared" si="2"/>
        <v>1.1666666666666667</v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1.1385199240986717E-2</v>
      </c>
      <c r="AP28" s="25">
        <f t="shared" si="7"/>
        <v>0</v>
      </c>
      <c r="AQ28" s="26">
        <f t="shared" si="8"/>
        <v>0</v>
      </c>
      <c r="AR28" s="26">
        <f t="shared" si="9"/>
        <v>0.35294117647058826</v>
      </c>
      <c r="AS28" s="27">
        <f t="shared" si="10"/>
        <v>-5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11.4</v>
      </c>
    </row>
    <row r="29" spans="1:47" x14ac:dyDescent="0.25">
      <c r="A29" s="15" t="s">
        <v>121</v>
      </c>
      <c r="B29" s="16" t="s">
        <v>777</v>
      </c>
      <c r="C29" s="17">
        <v>8</v>
      </c>
      <c r="D29" s="17" t="s">
        <v>168</v>
      </c>
      <c r="E29" s="32" t="s">
        <v>115</v>
      </c>
      <c r="F29" s="19"/>
      <c r="G29" s="19"/>
      <c r="H29" s="19"/>
      <c r="I29" s="19"/>
      <c r="J29" s="19">
        <v>6</v>
      </c>
      <c r="K29" s="19">
        <v>8</v>
      </c>
      <c r="L29" s="19">
        <v>4</v>
      </c>
      <c r="M29" s="19">
        <v>20</v>
      </c>
      <c r="N29" s="19" t="s">
        <v>166</v>
      </c>
      <c r="O29" s="19">
        <v>6</v>
      </c>
      <c r="P29" s="20"/>
      <c r="Q29" s="20">
        <v>7.38</v>
      </c>
      <c r="R29" s="21">
        <v>0.72199999999999998</v>
      </c>
      <c r="S29" s="21"/>
      <c r="T29" s="20"/>
      <c r="U29" s="22">
        <v>17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1</v>
      </c>
      <c r="AG29" s="22">
        <v>0</v>
      </c>
      <c r="AH29" s="23" t="s">
        <v>101</v>
      </c>
      <c r="AI29" s="24" t="str">
        <f t="shared" si="0"/>
        <v/>
      </c>
      <c r="AJ29" s="24" t="str">
        <f t="shared" si="1"/>
        <v/>
      </c>
      <c r="AK29" s="25" t="str">
        <f t="shared" si="2"/>
        <v/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0</v>
      </c>
      <c r="AP29" s="25">
        <f t="shared" si="7"/>
        <v>0</v>
      </c>
      <c r="AQ29" s="26">
        <f t="shared" si="8"/>
        <v>0</v>
      </c>
      <c r="AR29" s="26">
        <f t="shared" si="9"/>
        <v>0</v>
      </c>
      <c r="AS29" s="27">
        <f t="shared" si="10"/>
        <v>-4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0.1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778</v>
      </c>
      <c r="C31" s="17">
        <v>1</v>
      </c>
      <c r="D31" s="17" t="s">
        <v>114</v>
      </c>
      <c r="E31" s="18" t="s">
        <v>99</v>
      </c>
      <c r="F31" s="19">
        <v>1</v>
      </c>
      <c r="G31" s="19"/>
      <c r="H31" s="19"/>
      <c r="I31" s="19"/>
      <c r="J31" s="19">
        <v>83</v>
      </c>
      <c r="K31" s="19">
        <v>52</v>
      </c>
      <c r="L31" s="19">
        <v>82</v>
      </c>
      <c r="M31" s="19">
        <v>591</v>
      </c>
      <c r="N31" s="19" t="s">
        <v>166</v>
      </c>
      <c r="O31" s="19">
        <v>15</v>
      </c>
      <c r="P31" s="20">
        <v>1</v>
      </c>
      <c r="Q31" s="20">
        <v>10.43</v>
      </c>
      <c r="R31" s="21">
        <v>0.74199999999999999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86</v>
      </c>
      <c r="AE31" s="22">
        <v>63</v>
      </c>
      <c r="AF31" s="22">
        <v>645</v>
      </c>
      <c r="AG31" s="22">
        <v>6</v>
      </c>
      <c r="AH31" s="23" t="s">
        <v>101</v>
      </c>
      <c r="AI31" s="24" t="str">
        <f t="shared" si="0"/>
        <v/>
      </c>
      <c r="AJ31" s="24">
        <f t="shared" si="1"/>
        <v>10.238095238095237</v>
      </c>
      <c r="AK31" s="25">
        <f t="shared" si="2"/>
        <v>0.73255813953488369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0.16318785578747627</v>
      </c>
      <c r="AP31" s="25">
        <f t="shared" si="7"/>
        <v>0</v>
      </c>
      <c r="AQ31" s="26">
        <f t="shared" si="8"/>
        <v>0</v>
      </c>
      <c r="AR31" s="26">
        <f t="shared" si="9"/>
        <v>5.0588235294117645</v>
      </c>
      <c r="AS31" s="27">
        <f t="shared" si="10"/>
        <v>4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132</v>
      </c>
    </row>
    <row r="32" spans="1:47" x14ac:dyDescent="0.25">
      <c r="A32" s="15" t="s">
        <v>135</v>
      </c>
      <c r="B32" s="16" t="s">
        <v>779</v>
      </c>
      <c r="C32" s="17">
        <v>2</v>
      </c>
      <c r="D32" s="17" t="s">
        <v>103</v>
      </c>
      <c r="E32" s="18" t="s">
        <v>99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20"/>
      <c r="R32" s="21"/>
      <c r="S32" s="21"/>
      <c r="T32" s="20"/>
      <c r="U32" s="22">
        <v>17</v>
      </c>
      <c r="V32" s="22"/>
      <c r="W32" s="22"/>
      <c r="X32" s="22"/>
      <c r="Y32" s="22"/>
      <c r="Z32" s="22"/>
      <c r="AA32" s="22">
        <v>2</v>
      </c>
      <c r="AB32" s="22">
        <v>7</v>
      </c>
      <c r="AC32" s="22">
        <v>0</v>
      </c>
      <c r="AD32" s="22">
        <v>36</v>
      </c>
      <c r="AE32" s="22">
        <v>26</v>
      </c>
      <c r="AF32" s="22">
        <v>269</v>
      </c>
      <c r="AG32" s="22">
        <v>2</v>
      </c>
      <c r="AH32" s="23" t="s">
        <v>101</v>
      </c>
      <c r="AI32" s="24">
        <f t="shared" si="0"/>
        <v>3.5</v>
      </c>
      <c r="AJ32" s="24">
        <f t="shared" si="1"/>
        <v>10.346153846153847</v>
      </c>
      <c r="AK32" s="25">
        <f t="shared" si="2"/>
        <v>0.72222222222222221</v>
      </c>
      <c r="AL32" s="24" t="str">
        <f t="shared" si="3"/>
        <v/>
      </c>
      <c r="AM32" s="25" t="str">
        <f t="shared" si="4"/>
        <v/>
      </c>
      <c r="AN32" s="25">
        <f t="shared" si="5"/>
        <v>3.957261574990106E-3</v>
      </c>
      <c r="AO32" s="25">
        <f t="shared" si="6"/>
        <v>6.8311195445920306E-2</v>
      </c>
      <c r="AP32" s="25">
        <f t="shared" si="7"/>
        <v>0</v>
      </c>
      <c r="AQ32" s="26">
        <f t="shared" si="8"/>
        <v>0.11764705882352941</v>
      </c>
      <c r="AR32" s="26">
        <f t="shared" si="9"/>
        <v>2.1176470588235294</v>
      </c>
      <c r="AS32" s="27">
        <f t="shared" si="10"/>
        <v>36</v>
      </c>
      <c r="AT32" s="27">
        <f t="shared" si="11"/>
        <v>2</v>
      </c>
      <c r="AU32" s="28">
        <f>AF32*Settings!$B$7+AG32*Settings!$B$8+AE32*Settings!$B$9+AB32*Settings!$B$10+AC32*Settings!$B$11+X32*Settings!$B$12+Y32*Settings!$B$13+Z32*Settings!$B$14</f>
        <v>52.600000000000009</v>
      </c>
    </row>
    <row r="33" spans="1:47" x14ac:dyDescent="0.25">
      <c r="A33" s="15" t="s">
        <v>135</v>
      </c>
      <c r="B33" s="16" t="s">
        <v>780</v>
      </c>
      <c r="C33" s="17">
        <v>3</v>
      </c>
      <c r="D33" s="17" t="s">
        <v>158</v>
      </c>
      <c r="E33" s="18" t="s">
        <v>99</v>
      </c>
      <c r="F33" s="19"/>
      <c r="G33" s="19"/>
      <c r="H33" s="19"/>
      <c r="I33" s="19"/>
      <c r="J33" s="19">
        <v>4</v>
      </c>
      <c r="K33" s="19">
        <v>30</v>
      </c>
      <c r="L33" s="19">
        <v>13</v>
      </c>
      <c r="M33" s="19">
        <v>76</v>
      </c>
      <c r="N33" s="19" t="s">
        <v>166</v>
      </c>
      <c r="O33" s="19">
        <v>15</v>
      </c>
      <c r="P33" s="20"/>
      <c r="Q33" s="20">
        <v>11.16</v>
      </c>
      <c r="R33" s="21">
        <v>0.78700000000000003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15</v>
      </c>
      <c r="AE33" s="22">
        <v>9</v>
      </c>
      <c r="AF33" s="22">
        <v>90</v>
      </c>
      <c r="AG33" s="22">
        <v>1</v>
      </c>
      <c r="AH33" s="23" t="s">
        <v>101</v>
      </c>
      <c r="AI33" s="24" t="str">
        <f t="shared" si="0"/>
        <v/>
      </c>
      <c r="AJ33" s="24">
        <f t="shared" si="1"/>
        <v>10</v>
      </c>
      <c r="AK33" s="25">
        <f t="shared" si="2"/>
        <v>0.6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2.8462998102466792E-2</v>
      </c>
      <c r="AP33" s="25">
        <f t="shared" si="7"/>
        <v>0</v>
      </c>
      <c r="AQ33" s="26">
        <f t="shared" si="8"/>
        <v>0</v>
      </c>
      <c r="AR33" s="26">
        <f t="shared" si="9"/>
        <v>0.88235294117647056</v>
      </c>
      <c r="AS33" s="27">
        <f t="shared" si="10"/>
        <v>2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19.5</v>
      </c>
    </row>
    <row r="34" spans="1:47" x14ac:dyDescent="0.25">
      <c r="A34" s="15" t="s">
        <v>135</v>
      </c>
      <c r="B34" s="16" t="s">
        <v>781</v>
      </c>
      <c r="C34" s="17">
        <v>4</v>
      </c>
      <c r="D34" s="17" t="s">
        <v>114</v>
      </c>
      <c r="E34" s="18" t="s">
        <v>99</v>
      </c>
      <c r="F34" s="19"/>
      <c r="G34" s="19"/>
      <c r="H34" s="19"/>
      <c r="I34" s="19"/>
      <c r="J34" s="19">
        <v>23</v>
      </c>
      <c r="K34" s="19">
        <v>27</v>
      </c>
      <c r="L34" s="19">
        <v>19</v>
      </c>
      <c r="M34" s="19">
        <v>111</v>
      </c>
      <c r="N34" s="19" t="s">
        <v>491</v>
      </c>
      <c r="O34" s="19">
        <v>16</v>
      </c>
      <c r="P34" s="20"/>
      <c r="Q34" s="20">
        <v>9.44</v>
      </c>
      <c r="R34" s="21">
        <v>0.65200000000000002</v>
      </c>
      <c r="S34" s="21"/>
      <c r="T34" s="20"/>
      <c r="U34" s="22">
        <v>17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3</v>
      </c>
      <c r="AE34" s="22">
        <v>3</v>
      </c>
      <c r="AF34" s="22">
        <v>32</v>
      </c>
      <c r="AG34" s="22">
        <v>0</v>
      </c>
      <c r="AH34" s="23" t="s">
        <v>101</v>
      </c>
      <c r="AI34" s="24" t="str">
        <f t="shared" si="0"/>
        <v/>
      </c>
      <c r="AJ34" s="24">
        <f t="shared" si="1"/>
        <v>10.666666666666666</v>
      </c>
      <c r="AK34" s="25">
        <f t="shared" si="2"/>
        <v>1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5.6925996204933585E-3</v>
      </c>
      <c r="AP34" s="25">
        <f t="shared" si="7"/>
        <v>0</v>
      </c>
      <c r="AQ34" s="26">
        <f t="shared" si="8"/>
        <v>0</v>
      </c>
      <c r="AR34" s="26">
        <f t="shared" si="9"/>
        <v>0.17647058823529413</v>
      </c>
      <c r="AS34" s="27">
        <f t="shared" si="10"/>
        <v>-16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4.7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520</v>
      </c>
      <c r="W37" s="34">
        <f t="shared" si="12"/>
        <v>339</v>
      </c>
      <c r="X37" s="34">
        <f t="shared" si="12"/>
        <v>3783</v>
      </c>
      <c r="Y37" s="34">
        <f t="shared" si="12"/>
        <v>25</v>
      </c>
      <c r="Z37" s="34">
        <f t="shared" si="12"/>
        <v>8</v>
      </c>
      <c r="AA37" s="34">
        <f t="shared" si="12"/>
        <v>544</v>
      </c>
      <c r="AB37" s="34">
        <f t="shared" si="12"/>
        <v>2361</v>
      </c>
      <c r="AC37" s="34">
        <f t="shared" si="12"/>
        <v>19</v>
      </c>
      <c r="AD37" s="34">
        <f t="shared" si="12"/>
        <v>563</v>
      </c>
      <c r="AE37" s="34">
        <f t="shared" si="12"/>
        <v>379</v>
      </c>
      <c r="AF37" s="34">
        <f t="shared" si="12"/>
        <v>4273</v>
      </c>
      <c r="AG37" s="34">
        <f t="shared" si="12"/>
        <v>28</v>
      </c>
    </row>
    <row r="38" spans="1:47" x14ac:dyDescent="0.25">
      <c r="A38" s="5" t="s">
        <v>142</v>
      </c>
      <c r="V38" s="35">
        <f>$F$5</f>
        <v>552</v>
      </c>
      <c r="X38" s="35">
        <f>$I$5</f>
        <v>3717</v>
      </c>
      <c r="Y38" s="35">
        <f>$J$5</f>
        <v>25</v>
      </c>
      <c r="Z38" s="35">
        <f>$K$5</f>
        <v>10</v>
      </c>
      <c r="AA38" s="35">
        <f>$H$5</f>
        <v>505.40000000000009</v>
      </c>
      <c r="AB38" s="35">
        <f>$L$5</f>
        <v>2216</v>
      </c>
      <c r="AC38" s="35">
        <f>$M$5</f>
        <v>19</v>
      </c>
      <c r="AD38" s="35">
        <f>$G$5</f>
        <v>527</v>
      </c>
      <c r="AF38" s="35">
        <f>$I$5</f>
        <v>3717</v>
      </c>
      <c r="AG38" s="35">
        <f>$J$5</f>
        <v>25</v>
      </c>
    </row>
    <row r="39" spans="1:47" x14ac:dyDescent="0.25">
      <c r="A39" s="5" t="s">
        <v>143</v>
      </c>
      <c r="V39" s="36">
        <f>$F$5-V37</f>
        <v>32</v>
      </c>
      <c r="X39" s="36">
        <f>$I$5-X37</f>
        <v>-66</v>
      </c>
      <c r="Y39" s="36">
        <f>$J$5-Y37</f>
        <v>0</v>
      </c>
      <c r="Z39" s="36">
        <f>$K$5-Z37</f>
        <v>2</v>
      </c>
      <c r="AA39" s="36">
        <f>$H$5-AA37</f>
        <v>-38.599999999999909</v>
      </c>
      <c r="AB39" s="36">
        <f>$L$5-AB37</f>
        <v>-145</v>
      </c>
      <c r="AC39" s="36">
        <f>$M$5-AC37</f>
        <v>0</v>
      </c>
      <c r="AD39" s="36">
        <f>$G$5-AD37</f>
        <v>-36</v>
      </c>
      <c r="AF39" s="36">
        <f>$I$5-AF37</f>
        <v>-556</v>
      </c>
      <c r="AG39" s="36">
        <f>$J$5-AG37</f>
        <v>-3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209" priority="1" stopIfTrue="1">
      <formula>V37&gt;$F$5</formula>
    </cfRule>
    <cfRule type="expression" dxfId="208" priority="2">
      <formula>AND($F$5&gt;0,V37&lt;$F$5*0.97)</formula>
    </cfRule>
    <cfRule type="expression" dxfId="207" priority="3">
      <formula>AND($F$5&gt;0,V37&gt;=$F$5*0.97,V37&lt;=$F$5)</formula>
    </cfRule>
  </conditionalFormatting>
  <conditionalFormatting sqref="X37">
    <cfRule type="expression" dxfId="206" priority="4" stopIfTrue="1">
      <formula>X37&gt;$I$5</formula>
    </cfRule>
    <cfRule type="expression" dxfId="205" priority="5">
      <formula>AND($I$5&gt;0,X37&lt;$I$5*0.97)</formula>
    </cfRule>
    <cfRule type="expression" dxfId="204" priority="6">
      <formula>AND($I$5&gt;0,X37&gt;=$I$5*0.97,X37&lt;=$I$5)</formula>
    </cfRule>
  </conditionalFormatting>
  <conditionalFormatting sqref="Y37">
    <cfRule type="expression" dxfId="203" priority="7" stopIfTrue="1">
      <formula>Y37&gt;$J$5</formula>
    </cfRule>
    <cfRule type="expression" dxfId="202" priority="8">
      <formula>AND($J$5&gt;0,Y37&lt;$J$5*0.97)</formula>
    </cfRule>
    <cfRule type="expression" dxfId="201" priority="9">
      <formula>AND($J$5&gt;0,Y37&gt;=$J$5*0.97,Y37&lt;=$J$5)</formula>
    </cfRule>
  </conditionalFormatting>
  <conditionalFormatting sqref="Z37">
    <cfRule type="expression" dxfId="200" priority="10" stopIfTrue="1">
      <formula>Z37&gt;$K$5</formula>
    </cfRule>
    <cfRule type="expression" dxfId="199" priority="11">
      <formula>AND($K$5&gt;0,Z37&lt;$K$5*0.97)</formula>
    </cfRule>
    <cfRule type="expression" dxfId="198" priority="12">
      <formula>AND($K$5&gt;0,Z37&gt;=$K$5*0.97,Z37&lt;=$K$5)</formula>
    </cfRule>
  </conditionalFormatting>
  <conditionalFormatting sqref="AA37">
    <cfRule type="expression" dxfId="197" priority="13" stopIfTrue="1">
      <formula>AA37&gt;$H$5</formula>
    </cfRule>
    <cfRule type="expression" dxfId="196" priority="14">
      <formula>AND($H$5&gt;0,AA37&lt;$H$5*0.97)</formula>
    </cfRule>
    <cfRule type="expression" dxfId="195" priority="15">
      <formula>AND($H$5&gt;0,AA37&gt;=$H$5*0.97,AA37&lt;=$H$5)</formula>
    </cfRule>
  </conditionalFormatting>
  <conditionalFormatting sqref="AB37">
    <cfRule type="expression" dxfId="194" priority="16" stopIfTrue="1">
      <formula>AB37&gt;$L$5</formula>
    </cfRule>
    <cfRule type="expression" dxfId="193" priority="17">
      <formula>AND($L$5&gt;0,AB37&lt;$L$5*0.97)</formula>
    </cfRule>
    <cfRule type="expression" dxfId="192" priority="18">
      <formula>AND($L$5&gt;0,AB37&gt;=$L$5*0.97,AB37&lt;=$L$5)</formula>
    </cfRule>
  </conditionalFormatting>
  <conditionalFormatting sqref="AC37">
    <cfRule type="expression" dxfId="191" priority="19" stopIfTrue="1">
      <formula>AC37&gt;$M$5</formula>
    </cfRule>
    <cfRule type="expression" dxfId="190" priority="20">
      <formula>AND($M$5&gt;0,AC37&lt;$M$5*0.97)</formula>
    </cfRule>
    <cfRule type="expression" dxfId="189" priority="21">
      <formula>AND($M$5&gt;0,AC37&gt;=$M$5*0.97,AC37&lt;=$M$5)</formula>
    </cfRule>
  </conditionalFormatting>
  <conditionalFormatting sqref="AD37">
    <cfRule type="expression" dxfId="188" priority="22" stopIfTrue="1">
      <formula>AD37&gt;$G$5</formula>
    </cfRule>
    <cfRule type="expression" dxfId="187" priority="23">
      <formula>AND($G$5&gt;0,AD37&lt;$G$5*0.97)</formula>
    </cfRule>
    <cfRule type="expression" dxfId="186" priority="24">
      <formula>AND($G$5&gt;0,AD37&gt;=$G$5*0.97,AD37&lt;=$G$5)</formula>
    </cfRule>
  </conditionalFormatting>
  <conditionalFormatting sqref="AF37">
    <cfRule type="expression" dxfId="185" priority="25" stopIfTrue="1">
      <formula>AF37&gt;$I$5</formula>
    </cfRule>
    <cfRule type="expression" dxfId="184" priority="26">
      <formula>AND($I$5&gt;0,AF37&lt;$I$5*0.97)</formula>
    </cfRule>
    <cfRule type="expression" dxfId="183" priority="27">
      <formula>AND($I$5&gt;0,AF37&gt;=$I$5*0.97,AF37&lt;=$I$5)</formula>
    </cfRule>
  </conditionalFormatting>
  <conditionalFormatting sqref="AG37">
    <cfRule type="expression" dxfId="182" priority="28" stopIfTrue="1">
      <formula>AG37&gt;$J$5</formula>
    </cfRule>
    <cfRule type="expression" dxfId="181" priority="29">
      <formula>AND($J$5&gt;0,AG37&lt;$J$5*0.97)</formula>
    </cfRule>
    <cfRule type="expression" dxfId="180" priority="30">
      <formula>AND($J$5&gt;0,AG37&gt;=$J$5*0.97,AG37&lt;=$J$5)</formula>
    </cfRule>
  </conditionalFormatting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782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60.9</v>
      </c>
      <c r="D5" s="10">
        <f>C5*B5</f>
        <v>1035.3</v>
      </c>
      <c r="E5" s="11">
        <v>0.55559999999999998</v>
      </c>
      <c r="F5" s="10">
        <f>ROUND(D5*E5,0)</f>
        <v>575</v>
      </c>
      <c r="G5" s="10">
        <f>ROUND(F5*Settings!$B$4,0)</f>
        <v>549</v>
      </c>
      <c r="H5" s="10">
        <f>D5-F5</f>
        <v>460.29999999999995</v>
      </c>
      <c r="I5" s="8">
        <v>3698</v>
      </c>
      <c r="J5" s="9">
        <v>23</v>
      </c>
      <c r="K5" s="9">
        <v>10</v>
      </c>
      <c r="L5" s="8">
        <v>1952</v>
      </c>
      <c r="M5" s="9">
        <v>16</v>
      </c>
    </row>
    <row r="7" spans="1:47" x14ac:dyDescent="0.25">
      <c r="A7" s="5" t="s">
        <v>54</v>
      </c>
      <c r="B7" s="12" t="s">
        <v>783</v>
      </c>
    </row>
    <row r="8" spans="1:47" x14ac:dyDescent="0.25">
      <c r="A8" s="5" t="s">
        <v>56</v>
      </c>
      <c r="B8" s="13" t="s">
        <v>784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785</v>
      </c>
      <c r="C11" s="17">
        <v>1</v>
      </c>
      <c r="D11" s="17" t="s">
        <v>786</v>
      </c>
      <c r="E11" s="18" t="s">
        <v>99</v>
      </c>
      <c r="F11" s="19"/>
      <c r="G11" s="19">
        <v>17</v>
      </c>
      <c r="H11" s="19">
        <v>13</v>
      </c>
      <c r="I11" s="19">
        <v>61</v>
      </c>
      <c r="J11" s="19"/>
      <c r="K11" s="19"/>
      <c r="L11" s="19">
        <v>1</v>
      </c>
      <c r="M11" s="19" t="s">
        <v>787</v>
      </c>
      <c r="N11" s="19" t="s">
        <v>613</v>
      </c>
      <c r="O11" s="19">
        <v>16</v>
      </c>
      <c r="P11" s="20">
        <v>5.6</v>
      </c>
      <c r="Q11" s="20">
        <v>-9</v>
      </c>
      <c r="R11" s="21">
        <v>1</v>
      </c>
      <c r="S11" s="21">
        <v>0.64200000000000002</v>
      </c>
      <c r="T11" s="20">
        <v>6.67</v>
      </c>
      <c r="U11" s="22">
        <v>17</v>
      </c>
      <c r="V11" s="22">
        <v>528</v>
      </c>
      <c r="W11" s="22">
        <v>340</v>
      </c>
      <c r="X11" s="22">
        <v>3484</v>
      </c>
      <c r="Y11" s="22">
        <v>23</v>
      </c>
      <c r="Z11" s="22">
        <v>9</v>
      </c>
      <c r="AA11" s="22">
        <v>23</v>
      </c>
      <c r="AB11" s="22">
        <v>72</v>
      </c>
      <c r="AC11" s="22">
        <v>1</v>
      </c>
      <c r="AD11" s="22">
        <v>1</v>
      </c>
      <c r="AE11" s="22">
        <v>1</v>
      </c>
      <c r="AF11" s="22">
        <v>-9</v>
      </c>
      <c r="AG11" s="22">
        <v>0</v>
      </c>
      <c r="AH11" s="23" t="s">
        <v>101</v>
      </c>
      <c r="AI11" s="24">
        <f t="shared" ref="AI11:AI35" si="0">IFERROR(AB11/AA11,"")</f>
        <v>3.1304347826086958</v>
      </c>
      <c r="AJ11" s="24">
        <f t="shared" ref="AJ11:AJ35" si="1">IFERROR(AF11/AE11,"")</f>
        <v>-9</v>
      </c>
      <c r="AK11" s="25">
        <f t="shared" ref="AK11:AK35" si="2">IFERROR(AE11/AD11,"")</f>
        <v>1</v>
      </c>
      <c r="AL11" s="24">
        <f t="shared" ref="AL11:AL35" si="3">IFERROR(X11/V11,"")</f>
        <v>6.5984848484848486</v>
      </c>
      <c r="AM11" s="25">
        <f t="shared" ref="AM11:AM35" si="4">IFERROR(W11/V11,"")</f>
        <v>0.64393939393939392</v>
      </c>
      <c r="AN11" s="25">
        <f t="shared" ref="AN11:AN35" si="5">IFERROR(AA11/$H$5,"")</f>
        <v>4.9967412557028031E-2</v>
      </c>
      <c r="AO11" s="25">
        <f t="shared" ref="AO11:AO35" si="6">IFERROR(AD11/$G$5,"")</f>
        <v>1.8214936247723133E-3</v>
      </c>
      <c r="AP11" s="25">
        <f t="shared" ref="AP11:AP35" si="7">IFERROR(V11/$F$5,"")</f>
        <v>0.91826086956521735</v>
      </c>
      <c r="AQ11" s="26">
        <f t="shared" ref="AQ11:AQ35" si="8">IFERROR(AA11/U11,"")</f>
        <v>1.3529411764705883</v>
      </c>
      <c r="AR11" s="26">
        <f t="shared" ref="AR11:AR35" si="9">IFERROR(AD11/U11,"")</f>
        <v>5.8823529411764705E-2</v>
      </c>
      <c r="AS11" s="27">
        <f t="shared" ref="AS11:AS35" si="10">IFERROR(AD11-L11,"")</f>
        <v>0</v>
      </c>
      <c r="AT11" s="27">
        <f t="shared" ref="AT11:AT35" si="11">IFERROR(AA11-H11,"")</f>
        <v>10</v>
      </c>
      <c r="AU11" s="28">
        <f>AF11*Settings!$B$7+AG11*Settings!$B$8+AE11*Settings!$B$9+AB11*Settings!$B$10+AC11*Settings!$B$11+X11*Settings!$B$12+Y11*Settings!$B$13+Z11*Settings!$B$14</f>
        <v>226.16000000000003</v>
      </c>
    </row>
    <row r="12" spans="1:47" x14ac:dyDescent="0.25">
      <c r="A12" s="15" t="s">
        <v>96</v>
      </c>
      <c r="B12" s="16" t="s">
        <v>788</v>
      </c>
      <c r="C12" s="17">
        <v>2</v>
      </c>
      <c r="D12" s="17" t="s">
        <v>114</v>
      </c>
      <c r="E12" s="18" t="s">
        <v>99</v>
      </c>
      <c r="F12" s="19">
        <v>8</v>
      </c>
      <c r="G12" s="19">
        <v>24</v>
      </c>
      <c r="H12" s="19">
        <v>3</v>
      </c>
      <c r="I12" s="19">
        <v>6</v>
      </c>
      <c r="J12" s="19"/>
      <c r="K12" s="19"/>
      <c r="L12" s="19"/>
      <c r="M12" s="19"/>
      <c r="N12" s="19" t="s">
        <v>613</v>
      </c>
      <c r="O12" s="19">
        <v>5</v>
      </c>
      <c r="P12" s="20">
        <v>3.43</v>
      </c>
      <c r="Q12" s="20"/>
      <c r="R12" s="21"/>
      <c r="S12" s="21">
        <v>0.67500000000000004</v>
      </c>
      <c r="T12" s="20">
        <v>7.23</v>
      </c>
      <c r="U12" s="22">
        <v>17</v>
      </c>
      <c r="V12" s="22">
        <v>28</v>
      </c>
      <c r="W12" s="22">
        <v>19</v>
      </c>
      <c r="X12" s="22">
        <v>185</v>
      </c>
      <c r="Y12" s="22">
        <v>1</v>
      </c>
      <c r="Z12" s="22">
        <v>1</v>
      </c>
      <c r="AA12" s="22">
        <v>3</v>
      </c>
      <c r="AB12" s="22">
        <v>9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3</v>
      </c>
      <c r="AJ12" s="24" t="str">
        <f t="shared" si="1"/>
        <v/>
      </c>
      <c r="AK12" s="25" t="str">
        <f t="shared" si="2"/>
        <v/>
      </c>
      <c r="AL12" s="24">
        <f t="shared" si="3"/>
        <v>6.6071428571428568</v>
      </c>
      <c r="AM12" s="25">
        <f t="shared" si="4"/>
        <v>0.6785714285714286</v>
      </c>
      <c r="AN12" s="25">
        <f t="shared" si="5"/>
        <v>6.5174885943949604E-3</v>
      </c>
      <c r="AO12" s="25">
        <f t="shared" si="6"/>
        <v>0</v>
      </c>
      <c r="AP12" s="25">
        <f t="shared" si="7"/>
        <v>4.8695652173913043E-2</v>
      </c>
      <c r="AQ12" s="26">
        <f t="shared" si="8"/>
        <v>0.17647058823529413</v>
      </c>
      <c r="AR12" s="26">
        <f t="shared" si="9"/>
        <v>0</v>
      </c>
      <c r="AS12" s="27">
        <f t="shared" si="10"/>
        <v>0</v>
      </c>
      <c r="AT12" s="27">
        <f t="shared" si="11"/>
        <v>0</v>
      </c>
      <c r="AU12" s="28">
        <f>AF12*Settings!$B$7+AG12*Settings!$B$8+AE12*Settings!$B$9+AB12*Settings!$B$10+AC12*Settings!$B$11+X12*Settings!$B$12+Y12*Settings!$B$13+Z12*Settings!$B$14</f>
        <v>10.3</v>
      </c>
    </row>
    <row r="13" spans="1:47" x14ac:dyDescent="0.25">
      <c r="A13" s="15" t="s">
        <v>96</v>
      </c>
      <c r="B13" s="16" t="s">
        <v>789</v>
      </c>
      <c r="C13" s="17">
        <v>3</v>
      </c>
      <c r="D13" s="17" t="s">
        <v>128</v>
      </c>
      <c r="E13" s="18" t="s">
        <v>99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1"/>
      <c r="S13" s="21"/>
      <c r="T13" s="20"/>
      <c r="U13" s="22">
        <v>17</v>
      </c>
      <c r="V13" s="22">
        <v>24</v>
      </c>
      <c r="W13" s="22">
        <v>15</v>
      </c>
      <c r="X13" s="22">
        <v>201</v>
      </c>
      <c r="Y13" s="22">
        <v>1</v>
      </c>
      <c r="Z13" s="22">
        <v>1</v>
      </c>
      <c r="AA13" s="22">
        <v>3</v>
      </c>
      <c r="AB13" s="22">
        <v>11</v>
      </c>
      <c r="AC13" s="22">
        <v>0</v>
      </c>
      <c r="AD13" s="22"/>
      <c r="AE13" s="22"/>
      <c r="AF13" s="22"/>
      <c r="AG13" s="22"/>
      <c r="AH13" s="23" t="s">
        <v>101</v>
      </c>
      <c r="AI13" s="24">
        <f t="shared" si="0"/>
        <v>3.6666666666666665</v>
      </c>
      <c r="AJ13" s="24" t="str">
        <f t="shared" si="1"/>
        <v/>
      </c>
      <c r="AK13" s="25" t="str">
        <f t="shared" si="2"/>
        <v/>
      </c>
      <c r="AL13" s="24">
        <f t="shared" si="3"/>
        <v>8.375</v>
      </c>
      <c r="AM13" s="25">
        <f t="shared" si="4"/>
        <v>0.625</v>
      </c>
      <c r="AN13" s="25">
        <f t="shared" si="5"/>
        <v>6.5174885943949604E-3</v>
      </c>
      <c r="AO13" s="25">
        <f t="shared" si="6"/>
        <v>0</v>
      </c>
      <c r="AP13" s="25">
        <f t="shared" si="7"/>
        <v>4.1739130434782612E-2</v>
      </c>
      <c r="AQ13" s="26">
        <f t="shared" si="8"/>
        <v>0.17647058823529413</v>
      </c>
      <c r="AR13" s="26">
        <f t="shared" si="9"/>
        <v>0</v>
      </c>
      <c r="AS13" s="27">
        <f t="shared" si="10"/>
        <v>0</v>
      </c>
      <c r="AT13" s="27">
        <f t="shared" si="11"/>
        <v>3</v>
      </c>
      <c r="AU13" s="28">
        <f>AF13*Settings!$B$7+AG13*Settings!$B$8+AE13*Settings!$B$9+AB13*Settings!$B$10+AC13*Settings!$B$11+X13*Settings!$B$12+Y13*Settings!$B$13+Z13*Settings!$B$14</f>
        <v>11.14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790</v>
      </c>
      <c r="C15" s="17">
        <v>1</v>
      </c>
      <c r="D15" s="17" t="s">
        <v>130</v>
      </c>
      <c r="E15" s="18" t="s">
        <v>99</v>
      </c>
      <c r="F15" s="19">
        <v>89</v>
      </c>
      <c r="G15" s="19">
        <v>235</v>
      </c>
      <c r="H15" s="19">
        <v>236</v>
      </c>
      <c r="I15" s="19">
        <v>1076</v>
      </c>
      <c r="J15" s="19">
        <v>22</v>
      </c>
      <c r="K15" s="19">
        <v>49</v>
      </c>
      <c r="L15" s="19">
        <v>50</v>
      </c>
      <c r="M15" s="19">
        <v>297</v>
      </c>
      <c r="N15" s="19" t="s">
        <v>239</v>
      </c>
      <c r="O15" s="19">
        <v>17</v>
      </c>
      <c r="P15" s="20">
        <v>4.49</v>
      </c>
      <c r="Q15" s="20">
        <v>7.26</v>
      </c>
      <c r="R15" s="21">
        <v>0.78500000000000003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190</v>
      </c>
      <c r="AB15" s="22">
        <v>828</v>
      </c>
      <c r="AC15" s="22">
        <v>6</v>
      </c>
      <c r="AD15" s="22">
        <v>42</v>
      </c>
      <c r="AE15" s="22">
        <v>32</v>
      </c>
      <c r="AF15" s="22">
        <v>232</v>
      </c>
      <c r="AG15" s="22">
        <v>1</v>
      </c>
      <c r="AH15" s="23" t="s">
        <v>101</v>
      </c>
      <c r="AI15" s="24">
        <f t="shared" si="0"/>
        <v>4.3578947368421055</v>
      </c>
      <c r="AJ15" s="24">
        <f t="shared" si="1"/>
        <v>7.25</v>
      </c>
      <c r="AK15" s="25">
        <f t="shared" si="2"/>
        <v>0.76190476190476186</v>
      </c>
      <c r="AL15" s="24" t="str">
        <f t="shared" si="3"/>
        <v/>
      </c>
      <c r="AM15" s="25" t="str">
        <f t="shared" si="4"/>
        <v/>
      </c>
      <c r="AN15" s="25">
        <f t="shared" si="5"/>
        <v>0.41277427764501418</v>
      </c>
      <c r="AO15" s="25">
        <f t="shared" si="6"/>
        <v>7.650273224043716E-2</v>
      </c>
      <c r="AP15" s="25">
        <f t="shared" si="7"/>
        <v>0</v>
      </c>
      <c r="AQ15" s="26">
        <f t="shared" si="8"/>
        <v>11.176470588235293</v>
      </c>
      <c r="AR15" s="26">
        <f t="shared" si="9"/>
        <v>2.4705882352941178</v>
      </c>
      <c r="AS15" s="27">
        <f t="shared" si="10"/>
        <v>-8</v>
      </c>
      <c r="AT15" s="27">
        <f t="shared" si="11"/>
        <v>-46</v>
      </c>
      <c r="AU15" s="28">
        <f>AF15*Settings!$B$7+AG15*Settings!$B$8+AE15*Settings!$B$9+AB15*Settings!$B$10+AC15*Settings!$B$11+X15*Settings!$B$12+Y15*Settings!$B$13+Z15*Settings!$B$14</f>
        <v>164</v>
      </c>
    </row>
    <row r="16" spans="1:47" x14ac:dyDescent="0.25">
      <c r="A16" s="15" t="s">
        <v>107</v>
      </c>
      <c r="B16" s="16" t="s">
        <v>791</v>
      </c>
      <c r="C16" s="17">
        <v>2</v>
      </c>
      <c r="D16" s="17" t="s">
        <v>158</v>
      </c>
      <c r="E16" s="18" t="s">
        <v>99</v>
      </c>
      <c r="F16" s="19">
        <v>149</v>
      </c>
      <c r="G16" s="19">
        <v>120</v>
      </c>
      <c r="H16" s="19">
        <v>211</v>
      </c>
      <c r="I16" s="19">
        <v>958</v>
      </c>
      <c r="J16" s="19">
        <v>74</v>
      </c>
      <c r="K16" s="19">
        <v>47</v>
      </c>
      <c r="L16" s="19">
        <v>45</v>
      </c>
      <c r="M16" s="19">
        <v>333</v>
      </c>
      <c r="N16" s="19" t="s">
        <v>613</v>
      </c>
      <c r="O16" s="19">
        <v>16</v>
      </c>
      <c r="P16" s="20">
        <v>4.6900000000000004</v>
      </c>
      <c r="Q16" s="20">
        <v>7.29</v>
      </c>
      <c r="R16" s="21">
        <v>0.83699999999999997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178</v>
      </c>
      <c r="AB16" s="22">
        <v>786</v>
      </c>
      <c r="AC16" s="22">
        <v>5</v>
      </c>
      <c r="AD16" s="22">
        <v>52</v>
      </c>
      <c r="AE16" s="22">
        <v>44</v>
      </c>
      <c r="AF16" s="22">
        <v>334</v>
      </c>
      <c r="AG16" s="22">
        <v>2</v>
      </c>
      <c r="AH16" s="23" t="s">
        <v>101</v>
      </c>
      <c r="AI16" s="24">
        <f t="shared" si="0"/>
        <v>4.415730337078652</v>
      </c>
      <c r="AJ16" s="24">
        <f t="shared" si="1"/>
        <v>7.5909090909090908</v>
      </c>
      <c r="AK16" s="25">
        <f t="shared" si="2"/>
        <v>0.84615384615384615</v>
      </c>
      <c r="AL16" s="24" t="str">
        <f t="shared" si="3"/>
        <v/>
      </c>
      <c r="AM16" s="25" t="str">
        <f t="shared" si="4"/>
        <v/>
      </c>
      <c r="AN16" s="25">
        <f t="shared" si="5"/>
        <v>0.38670432326743431</v>
      </c>
      <c r="AO16" s="25">
        <f t="shared" si="6"/>
        <v>9.4717668488160295E-2</v>
      </c>
      <c r="AP16" s="25">
        <f t="shared" si="7"/>
        <v>0</v>
      </c>
      <c r="AQ16" s="26">
        <f t="shared" si="8"/>
        <v>10.470588235294118</v>
      </c>
      <c r="AR16" s="26">
        <f t="shared" si="9"/>
        <v>3.0588235294117645</v>
      </c>
      <c r="AS16" s="27">
        <f t="shared" si="10"/>
        <v>7</v>
      </c>
      <c r="AT16" s="27">
        <f t="shared" si="11"/>
        <v>-33</v>
      </c>
      <c r="AU16" s="28">
        <f>AF16*Settings!$B$7+AG16*Settings!$B$8+AE16*Settings!$B$9+AB16*Settings!$B$10+AC16*Settings!$B$11+X16*Settings!$B$12+Y16*Settings!$B$13+Z16*Settings!$B$14</f>
        <v>176</v>
      </c>
    </row>
    <row r="17" spans="1:47" x14ac:dyDescent="0.25">
      <c r="A17" s="15" t="s">
        <v>107</v>
      </c>
      <c r="B17" s="16" t="s">
        <v>792</v>
      </c>
      <c r="C17" s="17">
        <v>3</v>
      </c>
      <c r="D17" s="17" t="s">
        <v>103</v>
      </c>
      <c r="E17" s="18" t="s">
        <v>99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20"/>
      <c r="R17" s="21"/>
      <c r="S17" s="21"/>
      <c r="T17" s="20"/>
      <c r="U17" s="22">
        <v>17</v>
      </c>
      <c r="V17" s="22"/>
      <c r="W17" s="22"/>
      <c r="X17" s="22"/>
      <c r="Y17" s="22"/>
      <c r="Z17" s="22"/>
      <c r="AA17" s="22">
        <v>19</v>
      </c>
      <c r="AB17" s="22">
        <v>79</v>
      </c>
      <c r="AC17" s="22">
        <v>0</v>
      </c>
      <c r="AD17" s="22">
        <v>5</v>
      </c>
      <c r="AE17" s="22">
        <v>5</v>
      </c>
      <c r="AF17" s="22">
        <v>47</v>
      </c>
      <c r="AG17" s="22">
        <v>0</v>
      </c>
      <c r="AH17" s="23" t="s">
        <v>101</v>
      </c>
      <c r="AI17" s="24">
        <f t="shared" si="0"/>
        <v>4.1578947368421053</v>
      </c>
      <c r="AJ17" s="24">
        <f t="shared" si="1"/>
        <v>9.4</v>
      </c>
      <c r="AK17" s="25">
        <f t="shared" si="2"/>
        <v>1</v>
      </c>
      <c r="AL17" s="24" t="str">
        <f t="shared" si="3"/>
        <v/>
      </c>
      <c r="AM17" s="25" t="str">
        <f t="shared" si="4"/>
        <v/>
      </c>
      <c r="AN17" s="25">
        <f t="shared" si="5"/>
        <v>4.1277427764501419E-2</v>
      </c>
      <c r="AO17" s="25">
        <f t="shared" si="6"/>
        <v>9.1074681238615673E-3</v>
      </c>
      <c r="AP17" s="25">
        <f t="shared" si="7"/>
        <v>0</v>
      </c>
      <c r="AQ17" s="26">
        <f t="shared" si="8"/>
        <v>1.1176470588235294</v>
      </c>
      <c r="AR17" s="26">
        <f t="shared" si="9"/>
        <v>0.29411764705882354</v>
      </c>
      <c r="AS17" s="27">
        <f t="shared" si="10"/>
        <v>5</v>
      </c>
      <c r="AT17" s="27">
        <f t="shared" si="11"/>
        <v>19</v>
      </c>
      <c r="AU17" s="28">
        <f>AF17*Settings!$B$7+AG17*Settings!$B$8+AE17*Settings!$B$9+AB17*Settings!$B$10+AC17*Settings!$B$11+X17*Settings!$B$12+Y17*Settings!$B$13+Z17*Settings!$B$14</f>
        <v>15.100000000000001</v>
      </c>
    </row>
    <row r="18" spans="1:47" x14ac:dyDescent="0.25">
      <c r="A18" s="15" t="s">
        <v>107</v>
      </c>
      <c r="B18" s="16" t="s">
        <v>793</v>
      </c>
      <c r="C18" s="17">
        <v>4</v>
      </c>
      <c r="D18" s="17" t="s">
        <v>128</v>
      </c>
      <c r="E18" s="18" t="s">
        <v>99</v>
      </c>
      <c r="F18" s="19"/>
      <c r="G18" s="19"/>
      <c r="H18" s="19">
        <v>28</v>
      </c>
      <c r="I18" s="19">
        <v>69</v>
      </c>
      <c r="J18" s="19"/>
      <c r="K18" s="19"/>
      <c r="L18" s="19">
        <v>2</v>
      </c>
      <c r="M18" s="19">
        <v>9</v>
      </c>
      <c r="N18" s="19" t="s">
        <v>613</v>
      </c>
      <c r="O18" s="19">
        <v>10</v>
      </c>
      <c r="P18" s="20">
        <v>2.46</v>
      </c>
      <c r="Q18" s="20">
        <v>9</v>
      </c>
      <c r="R18" s="21">
        <v>0.5</v>
      </c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28</v>
      </c>
      <c r="AB18" s="22">
        <v>113</v>
      </c>
      <c r="AC18" s="22">
        <v>1</v>
      </c>
      <c r="AD18" s="22">
        <v>4</v>
      </c>
      <c r="AE18" s="22">
        <v>3</v>
      </c>
      <c r="AF18" s="22">
        <v>21</v>
      </c>
      <c r="AG18" s="22">
        <v>0</v>
      </c>
      <c r="AH18" s="23" t="s">
        <v>101</v>
      </c>
      <c r="AI18" s="24">
        <f t="shared" si="0"/>
        <v>4.0357142857142856</v>
      </c>
      <c r="AJ18" s="24">
        <f t="shared" si="1"/>
        <v>7</v>
      </c>
      <c r="AK18" s="25">
        <f t="shared" si="2"/>
        <v>0.75</v>
      </c>
      <c r="AL18" s="24" t="str">
        <f t="shared" si="3"/>
        <v/>
      </c>
      <c r="AM18" s="25" t="str">
        <f t="shared" si="4"/>
        <v/>
      </c>
      <c r="AN18" s="25">
        <f t="shared" si="5"/>
        <v>6.0829893547686295E-2</v>
      </c>
      <c r="AO18" s="25">
        <f t="shared" si="6"/>
        <v>7.2859744990892532E-3</v>
      </c>
      <c r="AP18" s="25">
        <f t="shared" si="7"/>
        <v>0</v>
      </c>
      <c r="AQ18" s="26">
        <f t="shared" si="8"/>
        <v>1.6470588235294117</v>
      </c>
      <c r="AR18" s="26">
        <f t="shared" si="9"/>
        <v>0.23529411764705882</v>
      </c>
      <c r="AS18" s="27">
        <f t="shared" si="10"/>
        <v>2</v>
      </c>
      <c r="AT18" s="27">
        <f t="shared" si="11"/>
        <v>0</v>
      </c>
      <c r="AU18" s="28">
        <f>AF18*Settings!$B$7+AG18*Settings!$B$8+AE18*Settings!$B$9+AB18*Settings!$B$10+AC18*Settings!$B$11+X18*Settings!$B$12+Y18*Settings!$B$13+Z18*Settings!$B$14</f>
        <v>20.9</v>
      </c>
    </row>
    <row r="19" spans="1:47" x14ac:dyDescent="0.25">
      <c r="A19" s="15" t="s">
        <v>107</v>
      </c>
      <c r="B19" s="16" t="s">
        <v>794</v>
      </c>
      <c r="C19" s="17">
        <v>5</v>
      </c>
      <c r="D19" s="17" t="s">
        <v>118</v>
      </c>
      <c r="E19" s="18" t="s">
        <v>99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1"/>
      <c r="S19" s="21"/>
      <c r="T19" s="20"/>
      <c r="U19" s="22">
        <v>17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33"/>
      <c r="AI19" s="24" t="str">
        <f t="shared" si="0"/>
        <v/>
      </c>
      <c r="AJ19" s="24" t="str">
        <f t="shared" si="1"/>
        <v/>
      </c>
      <c r="AK19" s="25" t="str">
        <f t="shared" si="2"/>
        <v/>
      </c>
      <c r="AL19" s="24" t="str">
        <f t="shared" si="3"/>
        <v/>
      </c>
      <c r="AM19" s="25" t="str">
        <f t="shared" si="4"/>
        <v/>
      </c>
      <c r="AN19" s="25">
        <f t="shared" si="5"/>
        <v>0</v>
      </c>
      <c r="AO19" s="25">
        <f t="shared" si="6"/>
        <v>0</v>
      </c>
      <c r="AP19" s="25">
        <f t="shared" si="7"/>
        <v>0</v>
      </c>
      <c r="AQ19" s="26">
        <f t="shared" si="8"/>
        <v>0</v>
      </c>
      <c r="AR19" s="26">
        <f t="shared" si="9"/>
        <v>0</v>
      </c>
      <c r="AS19" s="27">
        <f t="shared" si="10"/>
        <v>0</v>
      </c>
      <c r="AT19" s="27">
        <f t="shared" si="11"/>
        <v>0</v>
      </c>
      <c r="AU19" s="28">
        <f>AF19*Settings!$B$7+AG19*Settings!$B$8+AE19*Settings!$B$9+AB19*Settings!$B$10+AC19*Settings!$B$11+X19*Settings!$B$12+Y19*Settings!$B$13+Z19*Settings!$B$14</f>
        <v>0</v>
      </c>
    </row>
    <row r="20" spans="1:47" x14ac:dyDescent="0.25">
      <c r="A20" s="15" t="s">
        <v>107</v>
      </c>
      <c r="B20" s="16" t="s">
        <v>795</v>
      </c>
      <c r="C20" s="17">
        <v>6</v>
      </c>
      <c r="D20" s="17" t="s">
        <v>158</v>
      </c>
      <c r="E20" s="18" t="s">
        <v>99</v>
      </c>
      <c r="F20" s="19"/>
      <c r="G20" s="19">
        <v>6</v>
      </c>
      <c r="H20" s="19">
        <v>1</v>
      </c>
      <c r="I20" s="19" t="s">
        <v>283</v>
      </c>
      <c r="J20" s="19">
        <v>1</v>
      </c>
      <c r="K20" s="19">
        <v>3</v>
      </c>
      <c r="L20" s="19"/>
      <c r="M20" s="19"/>
      <c r="N20" s="19" t="s">
        <v>132</v>
      </c>
      <c r="O20" s="19">
        <v>10</v>
      </c>
      <c r="P20" s="20">
        <v>3</v>
      </c>
      <c r="Q20" s="20">
        <v>3.67</v>
      </c>
      <c r="R20" s="21">
        <v>0.75</v>
      </c>
      <c r="S20" s="21"/>
      <c r="T20" s="20"/>
      <c r="U20" s="22">
        <v>17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1</v>
      </c>
      <c r="AB20" s="22">
        <v>-2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3" t="s">
        <v>101</v>
      </c>
      <c r="AI20" s="24">
        <f t="shared" si="0"/>
        <v>-2</v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2.1724961981316533E-3</v>
      </c>
      <c r="AO20" s="25">
        <f t="shared" si="6"/>
        <v>0</v>
      </c>
      <c r="AP20" s="25">
        <f t="shared" si="7"/>
        <v>0</v>
      </c>
      <c r="AQ20" s="26">
        <f t="shared" si="8"/>
        <v>5.8823529411764705E-2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-0.2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796</v>
      </c>
      <c r="C22" s="17">
        <v>1</v>
      </c>
      <c r="D22" s="17" t="s">
        <v>130</v>
      </c>
      <c r="E22" s="18" t="s">
        <v>99</v>
      </c>
      <c r="F22" s="19"/>
      <c r="G22" s="19"/>
      <c r="H22" s="19">
        <v>2</v>
      </c>
      <c r="I22" s="19">
        <v>12</v>
      </c>
      <c r="J22" s="19">
        <v>119</v>
      </c>
      <c r="K22" s="19">
        <v>108</v>
      </c>
      <c r="L22" s="19">
        <v>99</v>
      </c>
      <c r="M22" s="19">
        <v>850</v>
      </c>
      <c r="N22" s="19" t="s">
        <v>613</v>
      </c>
      <c r="O22" s="19">
        <v>15</v>
      </c>
      <c r="P22" s="20">
        <v>6</v>
      </c>
      <c r="Q22" s="20">
        <v>15.48</v>
      </c>
      <c r="R22" s="21">
        <v>0.58599999999999997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1</v>
      </c>
      <c r="AB22" s="22">
        <v>6</v>
      </c>
      <c r="AC22" s="22">
        <v>0</v>
      </c>
      <c r="AD22" s="22">
        <v>107</v>
      </c>
      <c r="AE22" s="22">
        <v>62</v>
      </c>
      <c r="AF22" s="22">
        <v>891</v>
      </c>
      <c r="AG22" s="22">
        <v>6</v>
      </c>
      <c r="AH22" s="23" t="s">
        <v>101</v>
      </c>
      <c r="AI22" s="24">
        <f t="shared" si="0"/>
        <v>6</v>
      </c>
      <c r="AJ22" s="24">
        <f t="shared" si="1"/>
        <v>14.370967741935484</v>
      </c>
      <c r="AK22" s="25">
        <f t="shared" si="2"/>
        <v>0.57943925233644855</v>
      </c>
      <c r="AL22" s="24" t="str">
        <f t="shared" si="3"/>
        <v/>
      </c>
      <c r="AM22" s="25" t="str">
        <f t="shared" si="4"/>
        <v/>
      </c>
      <c r="AN22" s="25">
        <f t="shared" si="5"/>
        <v>2.1724961981316533E-3</v>
      </c>
      <c r="AO22" s="25">
        <f t="shared" si="6"/>
        <v>0.19489981785063754</v>
      </c>
      <c r="AP22" s="25">
        <f t="shared" si="7"/>
        <v>0</v>
      </c>
      <c r="AQ22" s="26">
        <f t="shared" si="8"/>
        <v>5.8823529411764705E-2</v>
      </c>
      <c r="AR22" s="26">
        <f t="shared" si="9"/>
        <v>6.2941176470588234</v>
      </c>
      <c r="AS22" s="27">
        <f t="shared" si="10"/>
        <v>8</v>
      </c>
      <c r="AT22" s="27">
        <f t="shared" si="11"/>
        <v>-1</v>
      </c>
      <c r="AU22" s="28">
        <f>AF22*Settings!$B$7+AG22*Settings!$B$8+AE22*Settings!$B$9+AB22*Settings!$B$10+AC22*Settings!$B$11+X22*Settings!$B$12+Y22*Settings!$B$13+Z22*Settings!$B$14</f>
        <v>156.70000000000002</v>
      </c>
    </row>
    <row r="23" spans="1:47" x14ac:dyDescent="0.25">
      <c r="A23" s="15" t="s">
        <v>121</v>
      </c>
      <c r="B23" s="16" t="s">
        <v>797</v>
      </c>
      <c r="C23" s="17">
        <v>2</v>
      </c>
      <c r="D23" s="17" t="s">
        <v>130</v>
      </c>
      <c r="E23" s="18" t="s">
        <v>99</v>
      </c>
      <c r="F23" s="19"/>
      <c r="G23" s="19"/>
      <c r="H23" s="19"/>
      <c r="I23" s="19"/>
      <c r="J23" s="19">
        <v>156</v>
      </c>
      <c r="K23" s="19">
        <v>111</v>
      </c>
      <c r="L23" s="19">
        <v>111</v>
      </c>
      <c r="M23" s="19">
        <v>784</v>
      </c>
      <c r="N23" s="19" t="s">
        <v>160</v>
      </c>
      <c r="O23" s="19">
        <v>17</v>
      </c>
      <c r="P23" s="20"/>
      <c r="Q23" s="20">
        <v>10.64</v>
      </c>
      <c r="R23" s="21">
        <v>0.68300000000000005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114</v>
      </c>
      <c r="AE23" s="22">
        <v>77</v>
      </c>
      <c r="AF23" s="22">
        <v>771</v>
      </c>
      <c r="AG23" s="22">
        <v>5</v>
      </c>
      <c r="AH23" s="23" t="s">
        <v>101</v>
      </c>
      <c r="AI23" s="24" t="str">
        <f t="shared" si="0"/>
        <v/>
      </c>
      <c r="AJ23" s="24">
        <f t="shared" si="1"/>
        <v>10.012987012987013</v>
      </c>
      <c r="AK23" s="25">
        <f t="shared" si="2"/>
        <v>0.67543859649122806</v>
      </c>
      <c r="AL23" s="24" t="str">
        <f t="shared" si="3"/>
        <v/>
      </c>
      <c r="AM23" s="25" t="str">
        <f t="shared" si="4"/>
        <v/>
      </c>
      <c r="AN23" s="25">
        <f t="shared" si="5"/>
        <v>0</v>
      </c>
      <c r="AO23" s="25">
        <f t="shared" si="6"/>
        <v>0.20765027322404372</v>
      </c>
      <c r="AP23" s="25">
        <f t="shared" si="7"/>
        <v>0</v>
      </c>
      <c r="AQ23" s="26">
        <f t="shared" si="8"/>
        <v>0</v>
      </c>
      <c r="AR23" s="26">
        <f t="shared" si="9"/>
        <v>6.7058823529411766</v>
      </c>
      <c r="AS23" s="27">
        <f t="shared" si="10"/>
        <v>3</v>
      </c>
      <c r="AT23" s="27">
        <f t="shared" si="11"/>
        <v>0</v>
      </c>
      <c r="AU23" s="28">
        <f>AF23*Settings!$B$7+AG23*Settings!$B$8+AE23*Settings!$B$9+AB23*Settings!$B$10+AC23*Settings!$B$11+X23*Settings!$B$12+Y23*Settings!$B$13+Z23*Settings!$B$14</f>
        <v>145.60000000000002</v>
      </c>
    </row>
    <row r="24" spans="1:47" x14ac:dyDescent="0.25">
      <c r="A24" s="15" t="s">
        <v>121</v>
      </c>
      <c r="B24" s="16" t="s">
        <v>798</v>
      </c>
      <c r="C24" s="17">
        <v>3</v>
      </c>
      <c r="D24" s="17" t="s">
        <v>128</v>
      </c>
      <c r="E24" s="18" t="s">
        <v>99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20"/>
      <c r="R24" s="21"/>
      <c r="S24" s="21"/>
      <c r="T24" s="20"/>
      <c r="U24" s="22">
        <v>17</v>
      </c>
      <c r="V24" s="22"/>
      <c r="W24" s="22"/>
      <c r="X24" s="22"/>
      <c r="Y24" s="22"/>
      <c r="Z24" s="22"/>
      <c r="AA24" s="22">
        <v>2</v>
      </c>
      <c r="AB24" s="22">
        <v>6</v>
      </c>
      <c r="AC24" s="22">
        <v>0</v>
      </c>
      <c r="AD24" s="22">
        <v>65</v>
      </c>
      <c r="AE24" s="22">
        <v>42</v>
      </c>
      <c r="AF24" s="22">
        <v>490</v>
      </c>
      <c r="AG24" s="22">
        <v>3</v>
      </c>
      <c r="AH24" s="23" t="s">
        <v>101</v>
      </c>
      <c r="AI24" s="24">
        <f t="shared" si="0"/>
        <v>3</v>
      </c>
      <c r="AJ24" s="24">
        <f t="shared" si="1"/>
        <v>11.666666666666666</v>
      </c>
      <c r="AK24" s="25">
        <f t="shared" si="2"/>
        <v>0.64615384615384619</v>
      </c>
      <c r="AL24" s="24" t="str">
        <f t="shared" si="3"/>
        <v/>
      </c>
      <c r="AM24" s="25" t="str">
        <f t="shared" si="4"/>
        <v/>
      </c>
      <c r="AN24" s="25">
        <f t="shared" si="5"/>
        <v>4.3449923962633067E-3</v>
      </c>
      <c r="AO24" s="25">
        <f t="shared" si="6"/>
        <v>0.11839708561020036</v>
      </c>
      <c r="AP24" s="25">
        <f t="shared" si="7"/>
        <v>0</v>
      </c>
      <c r="AQ24" s="26">
        <f t="shared" si="8"/>
        <v>0.11764705882352941</v>
      </c>
      <c r="AR24" s="26">
        <f t="shared" si="9"/>
        <v>3.8235294117647061</v>
      </c>
      <c r="AS24" s="27">
        <f t="shared" si="10"/>
        <v>65</v>
      </c>
      <c r="AT24" s="27">
        <f t="shared" si="11"/>
        <v>2</v>
      </c>
      <c r="AU24" s="28">
        <f>AF24*Settings!$B$7+AG24*Settings!$B$8+AE24*Settings!$B$9+AB24*Settings!$B$10+AC24*Settings!$B$11+X24*Settings!$B$12+Y24*Settings!$B$13+Z24*Settings!$B$14</f>
        <v>88.6</v>
      </c>
    </row>
    <row r="25" spans="1:47" x14ac:dyDescent="0.25">
      <c r="A25" s="15" t="s">
        <v>121</v>
      </c>
      <c r="B25" s="16" t="s">
        <v>799</v>
      </c>
      <c r="C25" s="17">
        <v>4</v>
      </c>
      <c r="D25" s="17" t="s">
        <v>105</v>
      </c>
      <c r="E25" s="18" t="s">
        <v>99</v>
      </c>
      <c r="F25" s="19"/>
      <c r="G25" s="19"/>
      <c r="H25" s="19"/>
      <c r="I25" s="19"/>
      <c r="J25" s="19"/>
      <c r="K25" s="19"/>
      <c r="L25" s="19">
        <v>21</v>
      </c>
      <c r="M25" s="19">
        <v>166</v>
      </c>
      <c r="N25" s="19" t="s">
        <v>613</v>
      </c>
      <c r="O25" s="19">
        <v>13</v>
      </c>
      <c r="P25" s="20"/>
      <c r="Q25" s="20">
        <v>13.83</v>
      </c>
      <c r="R25" s="21">
        <v>0.57099999999999995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20</v>
      </c>
      <c r="AE25" s="22">
        <v>14</v>
      </c>
      <c r="AF25" s="22">
        <v>176</v>
      </c>
      <c r="AG25" s="22">
        <v>1</v>
      </c>
      <c r="AH25" s="23" t="s">
        <v>101</v>
      </c>
      <c r="AI25" s="24" t="str">
        <f t="shared" si="0"/>
        <v/>
      </c>
      <c r="AJ25" s="24">
        <f t="shared" si="1"/>
        <v>12.571428571428571</v>
      </c>
      <c r="AK25" s="25">
        <f t="shared" si="2"/>
        <v>0.7</v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3.6429872495446269E-2</v>
      </c>
      <c r="AP25" s="25">
        <f t="shared" si="7"/>
        <v>0</v>
      </c>
      <c r="AQ25" s="26">
        <f t="shared" si="8"/>
        <v>0</v>
      </c>
      <c r="AR25" s="26">
        <f t="shared" si="9"/>
        <v>1.1764705882352942</v>
      </c>
      <c r="AS25" s="27">
        <f t="shared" si="10"/>
        <v>-1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30.6</v>
      </c>
    </row>
    <row r="26" spans="1:47" x14ac:dyDescent="0.25">
      <c r="A26" s="15" t="s">
        <v>121</v>
      </c>
      <c r="B26" s="16" t="s">
        <v>800</v>
      </c>
      <c r="C26" s="17">
        <v>5</v>
      </c>
      <c r="D26" s="17" t="s">
        <v>168</v>
      </c>
      <c r="E26" s="18" t="s">
        <v>99</v>
      </c>
      <c r="F26" s="19">
        <v>2</v>
      </c>
      <c r="G26" s="19"/>
      <c r="H26" s="19"/>
      <c r="I26" s="19"/>
      <c r="J26" s="19">
        <v>12</v>
      </c>
      <c r="K26" s="19">
        <v>5</v>
      </c>
      <c r="L26" s="19">
        <v>6</v>
      </c>
      <c r="M26" s="19">
        <v>69</v>
      </c>
      <c r="N26" s="19" t="s">
        <v>613</v>
      </c>
      <c r="O26" s="19">
        <v>17</v>
      </c>
      <c r="P26" s="20">
        <v>4.5</v>
      </c>
      <c r="Q26" s="20">
        <v>12</v>
      </c>
      <c r="R26" s="21">
        <v>0.73899999999999999</v>
      </c>
      <c r="S26" s="21"/>
      <c r="T26" s="20"/>
      <c r="U26" s="22">
        <v>17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1</v>
      </c>
      <c r="AC26" s="22">
        <v>0</v>
      </c>
      <c r="AD26" s="22">
        <v>7</v>
      </c>
      <c r="AE26" s="22">
        <v>6</v>
      </c>
      <c r="AF26" s="22">
        <v>59</v>
      </c>
      <c r="AG26" s="22">
        <v>0</v>
      </c>
      <c r="AH26" s="23" t="s">
        <v>101</v>
      </c>
      <c r="AI26" s="24" t="str">
        <f t="shared" si="0"/>
        <v/>
      </c>
      <c r="AJ26" s="24">
        <f t="shared" si="1"/>
        <v>9.8333333333333339</v>
      </c>
      <c r="AK26" s="25">
        <f t="shared" si="2"/>
        <v>0.8571428571428571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1.2750455373406194E-2</v>
      </c>
      <c r="AP26" s="25">
        <f t="shared" si="7"/>
        <v>0</v>
      </c>
      <c r="AQ26" s="26">
        <f t="shared" si="8"/>
        <v>0</v>
      </c>
      <c r="AR26" s="26">
        <f t="shared" si="9"/>
        <v>0.41176470588235292</v>
      </c>
      <c r="AS26" s="27">
        <f t="shared" si="10"/>
        <v>1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9</v>
      </c>
    </row>
    <row r="27" spans="1:47" x14ac:dyDescent="0.25">
      <c r="A27" s="15" t="s">
        <v>121</v>
      </c>
      <c r="B27" s="16" t="s">
        <v>801</v>
      </c>
      <c r="C27" s="17">
        <v>6</v>
      </c>
      <c r="D27" s="17" t="s">
        <v>118</v>
      </c>
      <c r="E27" s="18" t="s">
        <v>99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20"/>
      <c r="R27" s="21"/>
      <c r="S27" s="21"/>
      <c r="T27" s="20"/>
      <c r="U27" s="22">
        <v>17</v>
      </c>
      <c r="V27" s="22"/>
      <c r="W27" s="22"/>
      <c r="X27" s="22"/>
      <c r="Y27" s="22"/>
      <c r="Z27" s="22"/>
      <c r="AA27" s="22">
        <v>2</v>
      </c>
      <c r="AB27" s="22">
        <v>12</v>
      </c>
      <c r="AC27" s="22">
        <v>0</v>
      </c>
      <c r="AD27" s="22">
        <v>3</v>
      </c>
      <c r="AE27" s="22">
        <v>3</v>
      </c>
      <c r="AF27" s="22">
        <v>32</v>
      </c>
      <c r="AG27" s="22">
        <v>0</v>
      </c>
      <c r="AH27" s="23" t="s">
        <v>101</v>
      </c>
      <c r="AI27" s="24">
        <f t="shared" si="0"/>
        <v>6</v>
      </c>
      <c r="AJ27" s="24">
        <f t="shared" si="1"/>
        <v>10.666666666666666</v>
      </c>
      <c r="AK27" s="25">
        <f t="shared" si="2"/>
        <v>1</v>
      </c>
      <c r="AL27" s="24" t="str">
        <f t="shared" si="3"/>
        <v/>
      </c>
      <c r="AM27" s="25" t="str">
        <f t="shared" si="4"/>
        <v/>
      </c>
      <c r="AN27" s="25">
        <f t="shared" si="5"/>
        <v>4.3449923962633067E-3</v>
      </c>
      <c r="AO27" s="25">
        <f t="shared" si="6"/>
        <v>5.4644808743169399E-3</v>
      </c>
      <c r="AP27" s="25">
        <f t="shared" si="7"/>
        <v>0</v>
      </c>
      <c r="AQ27" s="26">
        <f t="shared" si="8"/>
        <v>0.11764705882352941</v>
      </c>
      <c r="AR27" s="26">
        <f t="shared" si="9"/>
        <v>0.17647058823529413</v>
      </c>
      <c r="AS27" s="27">
        <f t="shared" si="10"/>
        <v>3</v>
      </c>
      <c r="AT27" s="27">
        <f t="shared" si="11"/>
        <v>2</v>
      </c>
      <c r="AU27" s="28">
        <f>AF27*Settings!$B$7+AG27*Settings!$B$8+AE27*Settings!$B$9+AB27*Settings!$B$10+AC27*Settings!$B$11+X27*Settings!$B$12+Y27*Settings!$B$13+Z27*Settings!$B$14</f>
        <v>5.9</v>
      </c>
    </row>
    <row r="28" spans="1:47" x14ac:dyDescent="0.25">
      <c r="A28" s="15" t="s">
        <v>121</v>
      </c>
      <c r="B28" s="16" t="s">
        <v>802</v>
      </c>
      <c r="C28" s="17">
        <v>7</v>
      </c>
      <c r="D28" s="17" t="s">
        <v>111</v>
      </c>
      <c r="E28" s="18" t="s">
        <v>99</v>
      </c>
      <c r="F28" s="19"/>
      <c r="G28" s="19"/>
      <c r="H28" s="19"/>
      <c r="I28" s="19"/>
      <c r="J28" s="19">
        <v>18</v>
      </c>
      <c r="K28" s="19"/>
      <c r="L28" s="19"/>
      <c r="M28" s="19"/>
      <c r="N28" s="19"/>
      <c r="O28" s="19"/>
      <c r="P28" s="20"/>
      <c r="Q28" s="20">
        <v>20.5</v>
      </c>
      <c r="R28" s="21">
        <v>0.66700000000000004</v>
      </c>
      <c r="S28" s="21"/>
      <c r="T28" s="20"/>
      <c r="U28" s="22">
        <v>17</v>
      </c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33"/>
      <c r="AI28" s="24" t="str">
        <f t="shared" si="0"/>
        <v/>
      </c>
      <c r="AJ28" s="24" t="str">
        <f t="shared" si="1"/>
        <v/>
      </c>
      <c r="AK28" s="25" t="str">
        <f t="shared" si="2"/>
        <v/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0</v>
      </c>
      <c r="AP28" s="25">
        <f t="shared" si="7"/>
        <v>0</v>
      </c>
      <c r="AQ28" s="26">
        <f t="shared" si="8"/>
        <v>0</v>
      </c>
      <c r="AR28" s="26">
        <f t="shared" si="9"/>
        <v>0</v>
      </c>
      <c r="AS28" s="27">
        <f t="shared" si="10"/>
        <v>0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0</v>
      </c>
    </row>
    <row r="29" spans="1:47" x14ac:dyDescent="0.25">
      <c r="A29" s="15" t="s">
        <v>121</v>
      </c>
      <c r="B29" s="16" t="s">
        <v>803</v>
      </c>
      <c r="C29" s="17">
        <v>8</v>
      </c>
      <c r="D29" s="17" t="s">
        <v>158</v>
      </c>
      <c r="E29" s="18" t="s">
        <v>99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1"/>
      <c r="S29" s="21"/>
      <c r="T29" s="20"/>
      <c r="U29" s="22">
        <v>17</v>
      </c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33"/>
      <c r="AI29" s="24" t="str">
        <f t="shared" si="0"/>
        <v/>
      </c>
      <c r="AJ29" s="24" t="str">
        <f t="shared" si="1"/>
        <v/>
      </c>
      <c r="AK29" s="25" t="str">
        <f t="shared" si="2"/>
        <v/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0</v>
      </c>
      <c r="AP29" s="25">
        <f t="shared" si="7"/>
        <v>0</v>
      </c>
      <c r="AQ29" s="26">
        <f t="shared" si="8"/>
        <v>0</v>
      </c>
      <c r="AR29" s="26">
        <f t="shared" si="9"/>
        <v>0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0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804</v>
      </c>
      <c r="C31" s="17">
        <v>1</v>
      </c>
      <c r="D31" s="17" t="s">
        <v>158</v>
      </c>
      <c r="E31" s="18" t="s">
        <v>99</v>
      </c>
      <c r="F31" s="19"/>
      <c r="G31" s="19"/>
      <c r="H31" s="19"/>
      <c r="I31" s="19"/>
      <c r="J31" s="19">
        <v>47</v>
      </c>
      <c r="K31" s="19">
        <v>78</v>
      </c>
      <c r="L31" s="19">
        <v>54</v>
      </c>
      <c r="M31" s="19">
        <v>486</v>
      </c>
      <c r="N31" s="19" t="s">
        <v>613</v>
      </c>
      <c r="O31" s="19">
        <v>17</v>
      </c>
      <c r="P31" s="20"/>
      <c r="Q31" s="20">
        <v>10.49</v>
      </c>
      <c r="R31" s="21">
        <v>0.77100000000000002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69</v>
      </c>
      <c r="AE31" s="22">
        <v>50</v>
      </c>
      <c r="AF31" s="22">
        <v>520</v>
      </c>
      <c r="AG31" s="22">
        <v>4</v>
      </c>
      <c r="AH31" s="23" t="s">
        <v>101</v>
      </c>
      <c r="AI31" s="24" t="str">
        <f t="shared" si="0"/>
        <v/>
      </c>
      <c r="AJ31" s="24">
        <f t="shared" si="1"/>
        <v>10.4</v>
      </c>
      <c r="AK31" s="25">
        <f t="shared" si="2"/>
        <v>0.72463768115942029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0.12568306010928962</v>
      </c>
      <c r="AP31" s="25">
        <f t="shared" si="7"/>
        <v>0</v>
      </c>
      <c r="AQ31" s="26">
        <f t="shared" si="8"/>
        <v>0</v>
      </c>
      <c r="AR31" s="26">
        <f t="shared" si="9"/>
        <v>4.0588235294117645</v>
      </c>
      <c r="AS31" s="27">
        <f t="shared" si="10"/>
        <v>15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101</v>
      </c>
    </row>
    <row r="32" spans="1:47" x14ac:dyDescent="0.25">
      <c r="A32" s="15" t="s">
        <v>135</v>
      </c>
      <c r="B32" s="16" t="s">
        <v>805</v>
      </c>
      <c r="C32" s="17">
        <v>2</v>
      </c>
      <c r="D32" s="17" t="s">
        <v>118</v>
      </c>
      <c r="E32" s="18" t="s">
        <v>99</v>
      </c>
      <c r="F32" s="19"/>
      <c r="G32" s="19"/>
      <c r="H32" s="19"/>
      <c r="I32" s="19"/>
      <c r="J32" s="19">
        <v>10</v>
      </c>
      <c r="K32" s="19">
        <v>25</v>
      </c>
      <c r="L32" s="19">
        <v>43</v>
      </c>
      <c r="M32" s="19">
        <v>364</v>
      </c>
      <c r="N32" s="19" t="s">
        <v>613</v>
      </c>
      <c r="O32" s="19">
        <v>16</v>
      </c>
      <c r="P32" s="20"/>
      <c r="Q32" s="20">
        <v>10.96</v>
      </c>
      <c r="R32" s="21">
        <v>0.73099999999999998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44</v>
      </c>
      <c r="AE32" s="22">
        <v>33</v>
      </c>
      <c r="AF32" s="22">
        <v>350</v>
      </c>
      <c r="AG32" s="22">
        <v>2</v>
      </c>
      <c r="AH32" s="23" t="s">
        <v>101</v>
      </c>
      <c r="AI32" s="24" t="str">
        <f t="shared" si="0"/>
        <v/>
      </c>
      <c r="AJ32" s="24">
        <f t="shared" si="1"/>
        <v>10.606060606060606</v>
      </c>
      <c r="AK32" s="25">
        <f t="shared" si="2"/>
        <v>0.75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8.0145719489981782E-2</v>
      </c>
      <c r="AP32" s="25">
        <f t="shared" si="7"/>
        <v>0</v>
      </c>
      <c r="AQ32" s="26">
        <f t="shared" si="8"/>
        <v>0</v>
      </c>
      <c r="AR32" s="26">
        <f t="shared" si="9"/>
        <v>2.5882352941176472</v>
      </c>
      <c r="AS32" s="27">
        <f t="shared" si="10"/>
        <v>1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63.5</v>
      </c>
    </row>
    <row r="33" spans="1:47" x14ac:dyDescent="0.25">
      <c r="A33" s="15" t="s">
        <v>135</v>
      </c>
      <c r="B33" s="16" t="s">
        <v>806</v>
      </c>
      <c r="C33" s="17">
        <v>3</v>
      </c>
      <c r="D33" s="17" t="s">
        <v>105</v>
      </c>
      <c r="E33" s="18" t="s">
        <v>99</v>
      </c>
      <c r="F33" s="19"/>
      <c r="G33" s="19"/>
      <c r="H33" s="19"/>
      <c r="I33" s="19"/>
      <c r="J33" s="19"/>
      <c r="K33" s="19">
        <v>3</v>
      </c>
      <c r="L33" s="19"/>
      <c r="M33" s="19"/>
      <c r="N33" s="19"/>
      <c r="O33" s="19"/>
      <c r="P33" s="20"/>
      <c r="Q33" s="20">
        <v>10</v>
      </c>
      <c r="R33" s="21">
        <v>0.66700000000000004</v>
      </c>
      <c r="S33" s="21"/>
      <c r="T33" s="20"/>
      <c r="U33" s="22">
        <v>17</v>
      </c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33"/>
      <c r="AI33" s="24" t="str">
        <f t="shared" si="0"/>
        <v/>
      </c>
      <c r="AJ33" s="24" t="str">
        <f t="shared" si="1"/>
        <v/>
      </c>
      <c r="AK33" s="25" t="str">
        <f t="shared" si="2"/>
        <v/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0</v>
      </c>
      <c r="AP33" s="25">
        <f t="shared" si="7"/>
        <v>0</v>
      </c>
      <c r="AQ33" s="26">
        <f t="shared" si="8"/>
        <v>0</v>
      </c>
      <c r="AR33" s="26">
        <f t="shared" si="9"/>
        <v>0</v>
      </c>
      <c r="AS33" s="27">
        <f t="shared" si="10"/>
        <v>0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0</v>
      </c>
    </row>
    <row r="34" spans="1:47" x14ac:dyDescent="0.25">
      <c r="A34" s="15" t="s">
        <v>135</v>
      </c>
      <c r="B34" s="16" t="s">
        <v>807</v>
      </c>
      <c r="C34" s="17">
        <v>4</v>
      </c>
      <c r="D34" s="17" t="s">
        <v>153</v>
      </c>
      <c r="E34" s="18" t="s">
        <v>99</v>
      </c>
      <c r="F34" s="19"/>
      <c r="G34" s="19"/>
      <c r="H34" s="19"/>
      <c r="I34" s="19"/>
      <c r="J34" s="19">
        <v>17</v>
      </c>
      <c r="K34" s="19"/>
      <c r="L34" s="19">
        <v>1</v>
      </c>
      <c r="M34" s="19">
        <v>1</v>
      </c>
      <c r="N34" s="19" t="s">
        <v>210</v>
      </c>
      <c r="O34" s="19">
        <v>17</v>
      </c>
      <c r="P34" s="20"/>
      <c r="Q34" s="20">
        <v>9.42</v>
      </c>
      <c r="R34" s="21">
        <v>0.66700000000000004</v>
      </c>
      <c r="S34" s="21"/>
      <c r="T34" s="20"/>
      <c r="U34" s="22">
        <v>17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4</v>
      </c>
      <c r="AC34" s="22">
        <v>0</v>
      </c>
      <c r="AD34" s="22">
        <v>1</v>
      </c>
      <c r="AE34" s="22">
        <v>1</v>
      </c>
      <c r="AF34" s="22">
        <v>8</v>
      </c>
      <c r="AG34" s="22">
        <v>0</v>
      </c>
      <c r="AH34" s="23" t="s">
        <v>101</v>
      </c>
      <c r="AI34" s="24" t="str">
        <f t="shared" si="0"/>
        <v/>
      </c>
      <c r="AJ34" s="24">
        <f t="shared" si="1"/>
        <v>8</v>
      </c>
      <c r="AK34" s="25">
        <f t="shared" si="2"/>
        <v>1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1.8214936247723133E-3</v>
      </c>
      <c r="AP34" s="25">
        <f t="shared" si="7"/>
        <v>0</v>
      </c>
      <c r="AQ34" s="26">
        <f t="shared" si="8"/>
        <v>0</v>
      </c>
      <c r="AR34" s="26">
        <f t="shared" si="9"/>
        <v>5.8823529411764705E-2</v>
      </c>
      <c r="AS34" s="27">
        <f t="shared" si="10"/>
        <v>0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1.7000000000000002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580</v>
      </c>
      <c r="W37" s="34">
        <f t="shared" si="12"/>
        <v>374</v>
      </c>
      <c r="X37" s="34">
        <f t="shared" si="12"/>
        <v>3870</v>
      </c>
      <c r="Y37" s="34">
        <f t="shared" si="12"/>
        <v>25</v>
      </c>
      <c r="Z37" s="34">
        <f t="shared" si="12"/>
        <v>11</v>
      </c>
      <c r="AA37" s="34">
        <f t="shared" si="12"/>
        <v>450</v>
      </c>
      <c r="AB37" s="34">
        <f t="shared" si="12"/>
        <v>1925</v>
      </c>
      <c r="AC37" s="34">
        <f t="shared" si="12"/>
        <v>13</v>
      </c>
      <c r="AD37" s="34">
        <f t="shared" si="12"/>
        <v>534</v>
      </c>
      <c r="AE37" s="34">
        <f t="shared" si="12"/>
        <v>373</v>
      </c>
      <c r="AF37" s="34">
        <f t="shared" si="12"/>
        <v>3922</v>
      </c>
      <c r="AG37" s="34">
        <f t="shared" si="12"/>
        <v>24</v>
      </c>
    </row>
    <row r="38" spans="1:47" x14ac:dyDescent="0.25">
      <c r="A38" s="5" t="s">
        <v>142</v>
      </c>
      <c r="V38" s="35">
        <f>$F$5</f>
        <v>575</v>
      </c>
      <c r="X38" s="35">
        <f>$I$5</f>
        <v>3698</v>
      </c>
      <c r="Y38" s="35">
        <f>$J$5</f>
        <v>23</v>
      </c>
      <c r="Z38" s="35">
        <f>$K$5</f>
        <v>10</v>
      </c>
      <c r="AA38" s="35">
        <f>$H$5</f>
        <v>460.29999999999995</v>
      </c>
      <c r="AB38" s="35">
        <f>$L$5</f>
        <v>1952</v>
      </c>
      <c r="AC38" s="35">
        <f>$M$5</f>
        <v>16</v>
      </c>
      <c r="AD38" s="35">
        <f>$G$5</f>
        <v>549</v>
      </c>
      <c r="AF38" s="35">
        <f>$I$5</f>
        <v>3698</v>
      </c>
      <c r="AG38" s="35">
        <f>$J$5</f>
        <v>23</v>
      </c>
    </row>
    <row r="39" spans="1:47" x14ac:dyDescent="0.25">
      <c r="A39" s="5" t="s">
        <v>143</v>
      </c>
      <c r="V39" s="36">
        <f>$F$5-V37</f>
        <v>-5</v>
      </c>
      <c r="X39" s="36">
        <f>$I$5-X37</f>
        <v>-172</v>
      </c>
      <c r="Y39" s="36">
        <f>$J$5-Y37</f>
        <v>-2</v>
      </c>
      <c r="Z39" s="36">
        <f>$K$5-Z37</f>
        <v>-1</v>
      </c>
      <c r="AA39" s="36">
        <f>$H$5-AA37</f>
        <v>10.299999999999955</v>
      </c>
      <c r="AB39" s="36">
        <f>$L$5-AB37</f>
        <v>27</v>
      </c>
      <c r="AC39" s="36">
        <f>$M$5-AC37</f>
        <v>3</v>
      </c>
      <c r="AD39" s="36">
        <f>$G$5-AD37</f>
        <v>15</v>
      </c>
      <c r="AF39" s="36">
        <f>$I$5-AF37</f>
        <v>-224</v>
      </c>
      <c r="AG39" s="36">
        <f>$J$5-AG37</f>
        <v>-1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179" priority="1" stopIfTrue="1">
      <formula>V37&gt;$F$5</formula>
    </cfRule>
    <cfRule type="expression" dxfId="178" priority="2">
      <formula>AND($F$5&gt;0,V37&lt;$F$5*0.97)</formula>
    </cfRule>
    <cfRule type="expression" dxfId="177" priority="3">
      <formula>AND($F$5&gt;0,V37&gt;=$F$5*0.97,V37&lt;=$F$5)</formula>
    </cfRule>
  </conditionalFormatting>
  <conditionalFormatting sqref="X37">
    <cfRule type="expression" dxfId="176" priority="4" stopIfTrue="1">
      <formula>X37&gt;$I$5</formula>
    </cfRule>
    <cfRule type="expression" dxfId="175" priority="5">
      <formula>AND($I$5&gt;0,X37&lt;$I$5*0.97)</formula>
    </cfRule>
    <cfRule type="expression" dxfId="174" priority="6">
      <formula>AND($I$5&gt;0,X37&gt;=$I$5*0.97,X37&lt;=$I$5)</formula>
    </cfRule>
  </conditionalFormatting>
  <conditionalFormatting sqref="Y37">
    <cfRule type="expression" dxfId="173" priority="7" stopIfTrue="1">
      <formula>Y37&gt;$J$5</formula>
    </cfRule>
    <cfRule type="expression" dxfId="172" priority="8">
      <formula>AND($J$5&gt;0,Y37&lt;$J$5*0.97)</formula>
    </cfRule>
    <cfRule type="expression" dxfId="171" priority="9">
      <formula>AND($J$5&gt;0,Y37&gt;=$J$5*0.97,Y37&lt;=$J$5)</formula>
    </cfRule>
  </conditionalFormatting>
  <conditionalFormatting sqref="Z37">
    <cfRule type="expression" dxfId="170" priority="10" stopIfTrue="1">
      <formula>Z37&gt;$K$5</formula>
    </cfRule>
    <cfRule type="expression" dxfId="169" priority="11">
      <formula>AND($K$5&gt;0,Z37&lt;$K$5*0.97)</formula>
    </cfRule>
    <cfRule type="expression" dxfId="168" priority="12">
      <formula>AND($K$5&gt;0,Z37&gt;=$K$5*0.97,Z37&lt;=$K$5)</formula>
    </cfRule>
  </conditionalFormatting>
  <conditionalFormatting sqref="AA37">
    <cfRule type="expression" dxfId="167" priority="13" stopIfTrue="1">
      <formula>AA37&gt;$H$5</formula>
    </cfRule>
    <cfRule type="expression" dxfId="166" priority="14">
      <formula>AND($H$5&gt;0,AA37&lt;$H$5*0.97)</formula>
    </cfRule>
    <cfRule type="expression" dxfId="165" priority="15">
      <formula>AND($H$5&gt;0,AA37&gt;=$H$5*0.97,AA37&lt;=$H$5)</formula>
    </cfRule>
  </conditionalFormatting>
  <conditionalFormatting sqref="AB37">
    <cfRule type="expression" dxfId="164" priority="16" stopIfTrue="1">
      <formula>AB37&gt;$L$5</formula>
    </cfRule>
    <cfRule type="expression" dxfId="163" priority="17">
      <formula>AND($L$5&gt;0,AB37&lt;$L$5*0.97)</formula>
    </cfRule>
    <cfRule type="expression" dxfId="162" priority="18">
      <formula>AND($L$5&gt;0,AB37&gt;=$L$5*0.97,AB37&lt;=$L$5)</formula>
    </cfRule>
  </conditionalFormatting>
  <conditionalFormatting sqref="AC37">
    <cfRule type="expression" dxfId="161" priority="19" stopIfTrue="1">
      <formula>AC37&gt;$M$5</formula>
    </cfRule>
    <cfRule type="expression" dxfId="160" priority="20">
      <formula>AND($M$5&gt;0,AC37&lt;$M$5*0.97)</formula>
    </cfRule>
    <cfRule type="expression" dxfId="159" priority="21">
      <formula>AND($M$5&gt;0,AC37&gt;=$M$5*0.97,AC37&lt;=$M$5)</formula>
    </cfRule>
  </conditionalFormatting>
  <conditionalFormatting sqref="AD37">
    <cfRule type="expression" dxfId="158" priority="22" stopIfTrue="1">
      <formula>AD37&gt;$G$5</formula>
    </cfRule>
    <cfRule type="expression" dxfId="157" priority="23">
      <formula>AND($G$5&gt;0,AD37&lt;$G$5*0.97)</formula>
    </cfRule>
    <cfRule type="expression" dxfId="156" priority="24">
      <formula>AND($G$5&gt;0,AD37&gt;=$G$5*0.97,AD37&lt;=$G$5)</formula>
    </cfRule>
  </conditionalFormatting>
  <conditionalFormatting sqref="AF37">
    <cfRule type="expression" dxfId="155" priority="25" stopIfTrue="1">
      <formula>AF37&gt;$I$5</formula>
    </cfRule>
    <cfRule type="expression" dxfId="154" priority="26">
      <formula>AND($I$5&gt;0,AF37&lt;$I$5*0.97)</formula>
    </cfRule>
    <cfRule type="expression" dxfId="153" priority="27">
      <formula>AND($I$5&gt;0,AF37&gt;=$I$5*0.97,AF37&lt;=$I$5)</formula>
    </cfRule>
  </conditionalFormatting>
  <conditionalFormatting sqref="AG37">
    <cfRule type="expression" dxfId="152" priority="28" stopIfTrue="1">
      <formula>AG37&gt;$J$5</formula>
    </cfRule>
    <cfRule type="expression" dxfId="151" priority="29">
      <formula>AND($J$5&gt;0,AG37&lt;$J$5*0.97)</formula>
    </cfRule>
    <cfRule type="expression" dxfId="150" priority="30">
      <formula>AND($J$5&gt;0,AG37&gt;=$J$5*0.97,AG37&lt;=$J$5)</formula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808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60.6</v>
      </c>
      <c r="D5" s="10">
        <f>C5*B5</f>
        <v>1030.2</v>
      </c>
      <c r="E5" s="11">
        <v>0.56299999999999994</v>
      </c>
      <c r="F5" s="10">
        <f>ROUND(D5*E5,0)</f>
        <v>580</v>
      </c>
      <c r="G5" s="10">
        <f>ROUND(F5*Settings!$B$4,0)</f>
        <v>553</v>
      </c>
      <c r="H5" s="10">
        <f>D5-F5</f>
        <v>450.20000000000005</v>
      </c>
      <c r="I5" s="8">
        <v>4143</v>
      </c>
      <c r="J5" s="9">
        <v>24</v>
      </c>
      <c r="K5" s="9">
        <v>14</v>
      </c>
      <c r="L5" s="8">
        <v>1900</v>
      </c>
      <c r="M5" s="9">
        <v>16</v>
      </c>
    </row>
    <row r="7" spans="1:47" x14ac:dyDescent="0.25">
      <c r="A7" s="5" t="s">
        <v>54</v>
      </c>
      <c r="B7" s="12" t="s">
        <v>809</v>
      </c>
    </row>
    <row r="8" spans="1:47" x14ac:dyDescent="0.25">
      <c r="A8" s="5" t="s">
        <v>56</v>
      </c>
      <c r="B8" s="13" t="s">
        <v>810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811</v>
      </c>
      <c r="C11" s="17">
        <v>1</v>
      </c>
      <c r="D11" s="17" t="s">
        <v>168</v>
      </c>
      <c r="E11" s="18" t="s">
        <v>99</v>
      </c>
      <c r="F11" s="19">
        <v>8</v>
      </c>
      <c r="G11" s="19">
        <v>45</v>
      </c>
      <c r="H11" s="19">
        <v>22</v>
      </c>
      <c r="I11" s="19">
        <v>95</v>
      </c>
      <c r="J11" s="19"/>
      <c r="K11" s="19"/>
      <c r="L11" s="19"/>
      <c r="M11" s="19"/>
      <c r="N11" s="19" t="s">
        <v>521</v>
      </c>
      <c r="O11" s="19">
        <v>17</v>
      </c>
      <c r="P11" s="20">
        <v>4.29</v>
      </c>
      <c r="Q11" s="20"/>
      <c r="R11" s="21"/>
      <c r="S11" s="21">
        <v>0.66700000000000004</v>
      </c>
      <c r="T11" s="20">
        <v>8.11</v>
      </c>
      <c r="U11" s="22">
        <v>17</v>
      </c>
      <c r="V11" s="22">
        <v>490</v>
      </c>
      <c r="W11" s="22">
        <v>326</v>
      </c>
      <c r="X11" s="22">
        <v>3907</v>
      </c>
      <c r="Y11" s="22">
        <v>26</v>
      </c>
      <c r="Z11" s="22">
        <v>12</v>
      </c>
      <c r="AA11" s="22">
        <v>40</v>
      </c>
      <c r="AB11" s="22">
        <v>127</v>
      </c>
      <c r="AC11" s="22">
        <v>1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3.1749999999999998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7.9734693877551024</v>
      </c>
      <c r="AM11" s="25">
        <f t="shared" ref="AM11:AM35" si="4">IFERROR(W11/V11,"")</f>
        <v>0.66530612244897958</v>
      </c>
      <c r="AN11" s="25">
        <f t="shared" ref="AN11:AN35" si="5">IFERROR(AA11/$H$5,"")</f>
        <v>8.8849400266548195E-2</v>
      </c>
      <c r="AO11" s="25">
        <f t="shared" ref="AO11:AO35" si="6">IFERROR(AD11/$G$5,"")</f>
        <v>0</v>
      </c>
      <c r="AP11" s="25">
        <f t="shared" ref="AP11:AP35" si="7">IFERROR(V11/$F$5,"")</f>
        <v>0.84482758620689657</v>
      </c>
      <c r="AQ11" s="26">
        <f t="shared" ref="AQ11:AQ35" si="8">IFERROR(AA11/U11,"")</f>
        <v>2.3529411764705883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18</v>
      </c>
      <c r="AU11" s="28">
        <f>AF11*Settings!$B$7+AG11*Settings!$B$8+AE11*Settings!$B$9+AB11*Settings!$B$10+AC11*Settings!$B$11+X11*Settings!$B$12+Y11*Settings!$B$13+Z11*Settings!$B$14</f>
        <v>254.98000000000002</v>
      </c>
    </row>
    <row r="12" spans="1:47" x14ac:dyDescent="0.25">
      <c r="A12" s="15" t="s">
        <v>96</v>
      </c>
      <c r="B12" s="16" t="s">
        <v>812</v>
      </c>
      <c r="C12" s="17">
        <v>2</v>
      </c>
      <c r="D12" s="17" t="s">
        <v>168</v>
      </c>
      <c r="E12" s="18" t="s">
        <v>99</v>
      </c>
      <c r="F12" s="19">
        <v>4</v>
      </c>
      <c r="G12" s="19">
        <v>14</v>
      </c>
      <c r="H12" s="19">
        <v>2</v>
      </c>
      <c r="I12" s="19" t="s">
        <v>813</v>
      </c>
      <c r="J12" s="19"/>
      <c r="K12" s="19"/>
      <c r="L12" s="19"/>
      <c r="M12" s="19"/>
      <c r="N12" s="19" t="s">
        <v>521</v>
      </c>
      <c r="O12" s="19">
        <v>5</v>
      </c>
      <c r="P12" s="20">
        <v>7.1</v>
      </c>
      <c r="Q12" s="20"/>
      <c r="R12" s="21"/>
      <c r="S12" s="21">
        <v>0.60399999999999998</v>
      </c>
      <c r="T12" s="20">
        <v>6.27</v>
      </c>
      <c r="U12" s="22">
        <v>17</v>
      </c>
      <c r="V12" s="22">
        <v>26</v>
      </c>
      <c r="W12" s="22">
        <v>16</v>
      </c>
      <c r="X12" s="22">
        <v>164</v>
      </c>
      <c r="Y12" s="22">
        <v>1</v>
      </c>
      <c r="Z12" s="22">
        <v>1</v>
      </c>
      <c r="AA12" s="22">
        <v>2</v>
      </c>
      <c r="AB12" s="22">
        <v>8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4</v>
      </c>
      <c r="AJ12" s="24" t="str">
        <f t="shared" si="1"/>
        <v/>
      </c>
      <c r="AK12" s="25" t="str">
        <f t="shared" si="2"/>
        <v/>
      </c>
      <c r="AL12" s="24">
        <f t="shared" si="3"/>
        <v>6.3076923076923075</v>
      </c>
      <c r="AM12" s="25">
        <f t="shared" si="4"/>
        <v>0.61538461538461542</v>
      </c>
      <c r="AN12" s="25">
        <f t="shared" si="5"/>
        <v>4.4424700133274099E-3</v>
      </c>
      <c r="AO12" s="25">
        <f t="shared" si="6"/>
        <v>0</v>
      </c>
      <c r="AP12" s="25">
        <f t="shared" si="7"/>
        <v>4.4827586206896551E-2</v>
      </c>
      <c r="AQ12" s="26">
        <f t="shared" si="8"/>
        <v>0.11764705882352941</v>
      </c>
      <c r="AR12" s="26">
        <f t="shared" si="9"/>
        <v>0</v>
      </c>
      <c r="AS12" s="27">
        <f t="shared" si="10"/>
        <v>0</v>
      </c>
      <c r="AT12" s="27">
        <f t="shared" si="11"/>
        <v>0</v>
      </c>
      <c r="AU12" s="28">
        <f>AF12*Settings!$B$7+AG12*Settings!$B$8+AE12*Settings!$B$9+AB12*Settings!$B$10+AC12*Settings!$B$11+X12*Settings!$B$12+Y12*Settings!$B$13+Z12*Settings!$B$14</f>
        <v>9.36</v>
      </c>
    </row>
    <row r="13" spans="1:47" x14ac:dyDescent="0.25">
      <c r="A13" s="15" t="s">
        <v>96</v>
      </c>
      <c r="B13" s="16" t="s">
        <v>814</v>
      </c>
      <c r="C13" s="17">
        <v>3</v>
      </c>
      <c r="D13" s="17" t="s">
        <v>103</v>
      </c>
      <c r="E13" s="18" t="s">
        <v>99</v>
      </c>
      <c r="F13" s="19"/>
      <c r="G13" s="19"/>
      <c r="H13" s="19">
        <v>3</v>
      </c>
      <c r="I13" s="19">
        <v>4</v>
      </c>
      <c r="J13" s="19"/>
      <c r="K13" s="19"/>
      <c r="L13" s="19"/>
      <c r="M13" s="19"/>
      <c r="N13" s="19" t="s">
        <v>521</v>
      </c>
      <c r="O13" s="19">
        <v>3</v>
      </c>
      <c r="P13" s="20">
        <v>1.33</v>
      </c>
      <c r="Q13" s="20"/>
      <c r="R13" s="21"/>
      <c r="S13" s="21"/>
      <c r="T13" s="20"/>
      <c r="U13" s="22">
        <v>17</v>
      </c>
      <c r="V13" s="22">
        <v>14</v>
      </c>
      <c r="W13" s="22">
        <v>8</v>
      </c>
      <c r="X13" s="22">
        <v>100</v>
      </c>
      <c r="Y13" s="22">
        <v>1</v>
      </c>
      <c r="Z13" s="22">
        <v>0</v>
      </c>
      <c r="AA13" s="22">
        <v>5</v>
      </c>
      <c r="AB13" s="22">
        <v>22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3" t="s">
        <v>101</v>
      </c>
      <c r="AI13" s="24">
        <f t="shared" si="0"/>
        <v>4.4000000000000004</v>
      </c>
      <c r="AJ13" s="24" t="str">
        <f t="shared" si="1"/>
        <v/>
      </c>
      <c r="AK13" s="25" t="str">
        <f t="shared" si="2"/>
        <v/>
      </c>
      <c r="AL13" s="24">
        <f t="shared" si="3"/>
        <v>7.1428571428571432</v>
      </c>
      <c r="AM13" s="25">
        <f t="shared" si="4"/>
        <v>0.5714285714285714</v>
      </c>
      <c r="AN13" s="25">
        <f t="shared" si="5"/>
        <v>1.1106175033318524E-2</v>
      </c>
      <c r="AO13" s="25">
        <f t="shared" si="6"/>
        <v>0</v>
      </c>
      <c r="AP13" s="25">
        <f t="shared" si="7"/>
        <v>2.4137931034482758E-2</v>
      </c>
      <c r="AQ13" s="26">
        <f t="shared" si="8"/>
        <v>0.29411764705882354</v>
      </c>
      <c r="AR13" s="26">
        <f t="shared" si="9"/>
        <v>0</v>
      </c>
      <c r="AS13" s="27">
        <f t="shared" si="10"/>
        <v>0</v>
      </c>
      <c r="AT13" s="27">
        <f t="shared" si="11"/>
        <v>2</v>
      </c>
      <c r="AU13" s="28">
        <f>AF13*Settings!$B$7+AG13*Settings!$B$8+AE13*Settings!$B$9+AB13*Settings!$B$10+AC13*Settings!$B$11+X13*Settings!$B$12+Y13*Settings!$B$13+Z13*Settings!$B$14</f>
        <v>10.199999999999999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815</v>
      </c>
      <c r="C15" s="17">
        <v>1</v>
      </c>
      <c r="D15" s="17" t="s">
        <v>128</v>
      </c>
      <c r="E15" s="18" t="s">
        <v>99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0"/>
      <c r="Q15" s="20"/>
      <c r="R15" s="21"/>
      <c r="S15" s="21"/>
      <c r="T15" s="20"/>
      <c r="U15" s="22">
        <v>17</v>
      </c>
      <c r="V15" s="22"/>
      <c r="W15" s="22"/>
      <c r="X15" s="22"/>
      <c r="Y15" s="22"/>
      <c r="Z15" s="22"/>
      <c r="AA15" s="22">
        <v>209</v>
      </c>
      <c r="AB15" s="22">
        <v>885</v>
      </c>
      <c r="AC15" s="22">
        <v>7</v>
      </c>
      <c r="AD15" s="22">
        <v>28</v>
      </c>
      <c r="AE15" s="22">
        <v>24</v>
      </c>
      <c r="AF15" s="22">
        <v>194</v>
      </c>
      <c r="AG15" s="22">
        <v>1</v>
      </c>
      <c r="AH15" s="23" t="s">
        <v>101</v>
      </c>
      <c r="AI15" s="24">
        <f t="shared" si="0"/>
        <v>4.2344497607655498</v>
      </c>
      <c r="AJ15" s="24">
        <f t="shared" si="1"/>
        <v>8.0833333333333339</v>
      </c>
      <c r="AK15" s="25">
        <f t="shared" si="2"/>
        <v>0.8571428571428571</v>
      </c>
      <c r="AL15" s="24" t="str">
        <f t="shared" si="3"/>
        <v/>
      </c>
      <c r="AM15" s="25" t="str">
        <f t="shared" si="4"/>
        <v/>
      </c>
      <c r="AN15" s="25">
        <f t="shared" si="5"/>
        <v>0.46423811639271428</v>
      </c>
      <c r="AO15" s="25">
        <f t="shared" si="6"/>
        <v>5.0632911392405063E-2</v>
      </c>
      <c r="AP15" s="25">
        <f t="shared" si="7"/>
        <v>0</v>
      </c>
      <c r="AQ15" s="26">
        <f t="shared" si="8"/>
        <v>12.294117647058824</v>
      </c>
      <c r="AR15" s="26">
        <f t="shared" si="9"/>
        <v>1.6470588235294117</v>
      </c>
      <c r="AS15" s="27">
        <f t="shared" si="10"/>
        <v>28</v>
      </c>
      <c r="AT15" s="27">
        <f t="shared" si="11"/>
        <v>209</v>
      </c>
      <c r="AU15" s="28">
        <f>AF15*Settings!$B$7+AG15*Settings!$B$8+AE15*Settings!$B$9+AB15*Settings!$B$10+AC15*Settings!$B$11+X15*Settings!$B$12+Y15*Settings!$B$13+Z15*Settings!$B$14</f>
        <v>167.9</v>
      </c>
    </row>
    <row r="16" spans="1:47" x14ac:dyDescent="0.25">
      <c r="A16" s="15" t="s">
        <v>107</v>
      </c>
      <c r="B16" s="16" t="s">
        <v>816</v>
      </c>
      <c r="C16" s="17">
        <v>2</v>
      </c>
      <c r="D16" s="17" t="s">
        <v>105</v>
      </c>
      <c r="E16" s="32" t="s">
        <v>226</v>
      </c>
      <c r="F16" s="19">
        <v>108</v>
      </c>
      <c r="G16" s="19">
        <v>135</v>
      </c>
      <c r="H16" s="19">
        <v>184</v>
      </c>
      <c r="I16" s="19">
        <v>730</v>
      </c>
      <c r="J16" s="19">
        <v>40</v>
      </c>
      <c r="K16" s="19">
        <v>52</v>
      </c>
      <c r="L16" s="19">
        <v>24</v>
      </c>
      <c r="M16" s="19">
        <v>144</v>
      </c>
      <c r="N16" s="19" t="s">
        <v>521</v>
      </c>
      <c r="O16" s="19">
        <v>16</v>
      </c>
      <c r="P16" s="20">
        <v>4.12</v>
      </c>
      <c r="Q16" s="20">
        <v>7.29</v>
      </c>
      <c r="R16" s="21">
        <v>0.81899999999999995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119</v>
      </c>
      <c r="AB16" s="22">
        <v>478</v>
      </c>
      <c r="AC16" s="22">
        <v>5</v>
      </c>
      <c r="AD16" s="22">
        <v>23</v>
      </c>
      <c r="AE16" s="22">
        <v>18</v>
      </c>
      <c r="AF16" s="22">
        <v>129</v>
      </c>
      <c r="AG16" s="22">
        <v>0</v>
      </c>
      <c r="AH16" s="23" t="s">
        <v>101</v>
      </c>
      <c r="AI16" s="24">
        <f t="shared" si="0"/>
        <v>4.0168067226890756</v>
      </c>
      <c r="AJ16" s="24">
        <f t="shared" si="1"/>
        <v>7.166666666666667</v>
      </c>
      <c r="AK16" s="25">
        <f t="shared" si="2"/>
        <v>0.78260869565217395</v>
      </c>
      <c r="AL16" s="24" t="str">
        <f t="shared" si="3"/>
        <v/>
      </c>
      <c r="AM16" s="25" t="str">
        <f t="shared" si="4"/>
        <v/>
      </c>
      <c r="AN16" s="25">
        <f t="shared" si="5"/>
        <v>0.26432696579298087</v>
      </c>
      <c r="AO16" s="25">
        <f t="shared" si="6"/>
        <v>4.1591320072332731E-2</v>
      </c>
      <c r="AP16" s="25">
        <f t="shared" si="7"/>
        <v>0</v>
      </c>
      <c r="AQ16" s="26">
        <f t="shared" si="8"/>
        <v>7</v>
      </c>
      <c r="AR16" s="26">
        <f t="shared" si="9"/>
        <v>1.3529411764705883</v>
      </c>
      <c r="AS16" s="27">
        <f t="shared" si="10"/>
        <v>-1</v>
      </c>
      <c r="AT16" s="27">
        <f t="shared" si="11"/>
        <v>-65</v>
      </c>
      <c r="AU16" s="28">
        <f>AF16*Settings!$B$7+AG16*Settings!$B$8+AE16*Settings!$B$9+AB16*Settings!$B$10+AC16*Settings!$B$11+X16*Settings!$B$12+Y16*Settings!$B$13+Z16*Settings!$B$14</f>
        <v>99.7</v>
      </c>
    </row>
    <row r="17" spans="1:47" x14ac:dyDescent="0.25">
      <c r="A17" s="15" t="s">
        <v>107</v>
      </c>
      <c r="B17" s="16" t="s">
        <v>817</v>
      </c>
      <c r="C17" s="17">
        <v>3</v>
      </c>
      <c r="D17" s="17" t="s">
        <v>158</v>
      </c>
      <c r="E17" s="18" t="s">
        <v>99</v>
      </c>
      <c r="F17" s="19">
        <v>14</v>
      </c>
      <c r="G17" s="19">
        <v>103</v>
      </c>
      <c r="H17" s="19">
        <v>125</v>
      </c>
      <c r="I17" s="19">
        <v>496</v>
      </c>
      <c r="J17" s="19">
        <v>5</v>
      </c>
      <c r="K17" s="19">
        <v>14</v>
      </c>
      <c r="L17" s="19">
        <v>17</v>
      </c>
      <c r="M17" s="19">
        <v>99</v>
      </c>
      <c r="N17" s="19" t="s">
        <v>418</v>
      </c>
      <c r="O17" s="19">
        <v>17</v>
      </c>
      <c r="P17" s="20">
        <v>4.4800000000000004</v>
      </c>
      <c r="Q17" s="20">
        <v>5.67</v>
      </c>
      <c r="R17" s="21">
        <v>0.83299999999999996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54</v>
      </c>
      <c r="AB17" s="22">
        <v>230</v>
      </c>
      <c r="AC17" s="22">
        <v>2</v>
      </c>
      <c r="AD17" s="22">
        <v>10</v>
      </c>
      <c r="AE17" s="22">
        <v>8</v>
      </c>
      <c r="AF17" s="22">
        <v>59</v>
      </c>
      <c r="AG17" s="22">
        <v>0</v>
      </c>
      <c r="AH17" s="23" t="s">
        <v>101</v>
      </c>
      <c r="AI17" s="24">
        <f t="shared" si="0"/>
        <v>4.2592592592592595</v>
      </c>
      <c r="AJ17" s="24">
        <f t="shared" si="1"/>
        <v>7.375</v>
      </c>
      <c r="AK17" s="25">
        <f t="shared" si="2"/>
        <v>0.8</v>
      </c>
      <c r="AL17" s="24" t="str">
        <f t="shared" si="3"/>
        <v/>
      </c>
      <c r="AM17" s="25" t="str">
        <f t="shared" si="4"/>
        <v/>
      </c>
      <c r="AN17" s="25">
        <f t="shared" si="5"/>
        <v>0.11994669035984006</v>
      </c>
      <c r="AO17" s="25">
        <f t="shared" si="6"/>
        <v>1.8083182640144666E-2</v>
      </c>
      <c r="AP17" s="25">
        <f t="shared" si="7"/>
        <v>0</v>
      </c>
      <c r="AQ17" s="26">
        <f t="shared" si="8"/>
        <v>3.1764705882352939</v>
      </c>
      <c r="AR17" s="26">
        <f t="shared" si="9"/>
        <v>0.58823529411764708</v>
      </c>
      <c r="AS17" s="27">
        <f t="shared" si="10"/>
        <v>-7</v>
      </c>
      <c r="AT17" s="27">
        <f t="shared" si="11"/>
        <v>-71</v>
      </c>
      <c r="AU17" s="28">
        <f>AF17*Settings!$B$7+AG17*Settings!$B$8+AE17*Settings!$B$9+AB17*Settings!$B$10+AC17*Settings!$B$11+X17*Settings!$B$12+Y17*Settings!$B$13+Z17*Settings!$B$14</f>
        <v>44.9</v>
      </c>
    </row>
    <row r="18" spans="1:47" x14ac:dyDescent="0.25">
      <c r="A18" s="15" t="s">
        <v>107</v>
      </c>
      <c r="B18" s="16" t="s">
        <v>818</v>
      </c>
      <c r="C18" s="17">
        <v>4</v>
      </c>
      <c r="D18" s="17" t="s">
        <v>111</v>
      </c>
      <c r="E18" s="18" t="s">
        <v>99</v>
      </c>
      <c r="F18" s="19"/>
      <c r="G18" s="19">
        <v>3</v>
      </c>
      <c r="H18" s="19">
        <v>22</v>
      </c>
      <c r="I18" s="19">
        <v>73</v>
      </c>
      <c r="J18" s="19"/>
      <c r="K18" s="19">
        <v>1</v>
      </c>
      <c r="L18" s="19">
        <v>2</v>
      </c>
      <c r="M18" s="19">
        <v>15</v>
      </c>
      <c r="N18" s="19" t="s">
        <v>521</v>
      </c>
      <c r="O18" s="19">
        <v>11</v>
      </c>
      <c r="P18" s="20">
        <v>3.32</v>
      </c>
      <c r="Q18" s="20">
        <v>4.67</v>
      </c>
      <c r="R18" s="21">
        <v>1</v>
      </c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48</v>
      </c>
      <c r="AB18" s="22">
        <v>203</v>
      </c>
      <c r="AC18" s="22">
        <v>2</v>
      </c>
      <c r="AD18" s="22">
        <v>11</v>
      </c>
      <c r="AE18" s="22">
        <v>9</v>
      </c>
      <c r="AF18" s="22">
        <v>66</v>
      </c>
      <c r="AG18" s="22">
        <v>0</v>
      </c>
      <c r="AH18" s="23" t="s">
        <v>101</v>
      </c>
      <c r="AI18" s="24">
        <f t="shared" si="0"/>
        <v>4.229166666666667</v>
      </c>
      <c r="AJ18" s="24">
        <f t="shared" si="1"/>
        <v>7.333333333333333</v>
      </c>
      <c r="AK18" s="25">
        <f t="shared" si="2"/>
        <v>0.81818181818181823</v>
      </c>
      <c r="AL18" s="24" t="str">
        <f t="shared" si="3"/>
        <v/>
      </c>
      <c r="AM18" s="25" t="str">
        <f t="shared" si="4"/>
        <v/>
      </c>
      <c r="AN18" s="25">
        <f t="shared" si="5"/>
        <v>0.10661928031985783</v>
      </c>
      <c r="AO18" s="25">
        <f t="shared" si="6"/>
        <v>1.9891500904159132E-2</v>
      </c>
      <c r="AP18" s="25">
        <f t="shared" si="7"/>
        <v>0</v>
      </c>
      <c r="AQ18" s="26">
        <f t="shared" si="8"/>
        <v>2.8235294117647061</v>
      </c>
      <c r="AR18" s="26">
        <f t="shared" si="9"/>
        <v>0.6470588235294118</v>
      </c>
      <c r="AS18" s="27">
        <f t="shared" si="10"/>
        <v>9</v>
      </c>
      <c r="AT18" s="27">
        <f t="shared" si="11"/>
        <v>26</v>
      </c>
      <c r="AU18" s="28">
        <f>AF18*Settings!$B$7+AG18*Settings!$B$8+AE18*Settings!$B$9+AB18*Settings!$B$10+AC18*Settings!$B$11+X18*Settings!$B$12+Y18*Settings!$B$13+Z18*Settings!$B$14</f>
        <v>43.400000000000006</v>
      </c>
    </row>
    <row r="19" spans="1:47" x14ac:dyDescent="0.25">
      <c r="A19" s="15" t="s">
        <v>107</v>
      </c>
      <c r="B19" s="16" t="s">
        <v>819</v>
      </c>
      <c r="C19" s="17">
        <v>5</v>
      </c>
      <c r="D19" s="17" t="s">
        <v>105</v>
      </c>
      <c r="E19" s="18" t="s">
        <v>99</v>
      </c>
      <c r="F19" s="19"/>
      <c r="G19" s="19"/>
      <c r="H19" s="19">
        <v>5</v>
      </c>
      <c r="I19" s="19">
        <v>20</v>
      </c>
      <c r="J19" s="19"/>
      <c r="K19" s="19"/>
      <c r="L19" s="19"/>
      <c r="M19" s="19"/>
      <c r="N19" s="19" t="s">
        <v>521</v>
      </c>
      <c r="O19" s="19">
        <v>1</v>
      </c>
      <c r="P19" s="20">
        <v>4</v>
      </c>
      <c r="Q19" s="20"/>
      <c r="R19" s="21"/>
      <c r="S19" s="21"/>
      <c r="T19" s="20"/>
      <c r="U19" s="22">
        <v>17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2</v>
      </c>
      <c r="AB19" s="22">
        <v>8</v>
      </c>
      <c r="AC19" s="22">
        <v>0</v>
      </c>
      <c r="AD19" s="22">
        <v>3</v>
      </c>
      <c r="AE19" s="22">
        <v>2</v>
      </c>
      <c r="AF19" s="22">
        <v>15</v>
      </c>
      <c r="AG19" s="22">
        <v>0</v>
      </c>
      <c r="AH19" s="23" t="s">
        <v>101</v>
      </c>
      <c r="AI19" s="24">
        <f t="shared" si="0"/>
        <v>4</v>
      </c>
      <c r="AJ19" s="24">
        <f t="shared" si="1"/>
        <v>7.5</v>
      </c>
      <c r="AK19" s="25">
        <f t="shared" si="2"/>
        <v>0.66666666666666663</v>
      </c>
      <c r="AL19" s="24" t="str">
        <f t="shared" si="3"/>
        <v/>
      </c>
      <c r="AM19" s="25" t="str">
        <f t="shared" si="4"/>
        <v/>
      </c>
      <c r="AN19" s="25">
        <f t="shared" si="5"/>
        <v>4.4424700133274099E-3</v>
      </c>
      <c r="AO19" s="25">
        <f t="shared" si="6"/>
        <v>5.4249547920433997E-3</v>
      </c>
      <c r="AP19" s="25">
        <f t="shared" si="7"/>
        <v>0</v>
      </c>
      <c r="AQ19" s="26">
        <f t="shared" si="8"/>
        <v>0.11764705882352941</v>
      </c>
      <c r="AR19" s="26">
        <f t="shared" si="9"/>
        <v>0.17647058823529413</v>
      </c>
      <c r="AS19" s="27">
        <f t="shared" si="10"/>
        <v>3</v>
      </c>
      <c r="AT19" s="27">
        <f t="shared" si="11"/>
        <v>-3</v>
      </c>
      <c r="AU19" s="28">
        <f>AF19*Settings!$B$7+AG19*Settings!$B$8+AE19*Settings!$B$9+AB19*Settings!$B$10+AC19*Settings!$B$11+X19*Settings!$B$12+Y19*Settings!$B$13+Z19*Settings!$B$14</f>
        <v>3.3</v>
      </c>
    </row>
    <row r="20" spans="1:47" x14ac:dyDescent="0.25">
      <c r="A20" s="15" t="s">
        <v>107</v>
      </c>
      <c r="B20" s="16" t="s">
        <v>820</v>
      </c>
      <c r="C20" s="17">
        <v>6</v>
      </c>
      <c r="D20" s="17" t="s">
        <v>103</v>
      </c>
      <c r="E20" s="32" t="s">
        <v>115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1"/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821</v>
      </c>
      <c r="C22" s="17">
        <v>1</v>
      </c>
      <c r="D22" s="17" t="s">
        <v>118</v>
      </c>
      <c r="E22" s="18" t="s">
        <v>99</v>
      </c>
      <c r="F22" s="19"/>
      <c r="G22" s="19">
        <v>5</v>
      </c>
      <c r="H22" s="19">
        <v>7</v>
      </c>
      <c r="I22" s="19">
        <v>36</v>
      </c>
      <c r="J22" s="19">
        <v>93</v>
      </c>
      <c r="K22" s="19">
        <v>137</v>
      </c>
      <c r="L22" s="19">
        <v>163</v>
      </c>
      <c r="M22" s="19">
        <v>1793</v>
      </c>
      <c r="N22" s="19" t="s">
        <v>521</v>
      </c>
      <c r="O22" s="19">
        <v>17</v>
      </c>
      <c r="P22" s="20">
        <v>5.17</v>
      </c>
      <c r="Q22" s="20">
        <v>12.59</v>
      </c>
      <c r="R22" s="21">
        <v>0.71799999999999997</v>
      </c>
      <c r="S22" s="21">
        <v>1</v>
      </c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6</v>
      </c>
      <c r="AB22" s="22">
        <v>31</v>
      </c>
      <c r="AC22" s="22">
        <v>0</v>
      </c>
      <c r="AD22" s="22">
        <v>156</v>
      </c>
      <c r="AE22" s="22">
        <v>108</v>
      </c>
      <c r="AF22" s="22">
        <v>1505</v>
      </c>
      <c r="AG22" s="22">
        <v>9</v>
      </c>
      <c r="AH22" s="23" t="s">
        <v>101</v>
      </c>
      <c r="AI22" s="24">
        <f t="shared" si="0"/>
        <v>5.166666666666667</v>
      </c>
      <c r="AJ22" s="24">
        <f t="shared" si="1"/>
        <v>13.935185185185185</v>
      </c>
      <c r="AK22" s="25">
        <f t="shared" si="2"/>
        <v>0.69230769230769229</v>
      </c>
      <c r="AL22" s="24" t="str">
        <f t="shared" si="3"/>
        <v/>
      </c>
      <c r="AM22" s="25" t="str">
        <f t="shared" si="4"/>
        <v/>
      </c>
      <c r="AN22" s="25">
        <f t="shared" si="5"/>
        <v>1.3327410039982229E-2</v>
      </c>
      <c r="AO22" s="25">
        <f t="shared" si="6"/>
        <v>0.28209764918625679</v>
      </c>
      <c r="AP22" s="25">
        <f t="shared" si="7"/>
        <v>0</v>
      </c>
      <c r="AQ22" s="26">
        <f t="shared" si="8"/>
        <v>0.35294117647058826</v>
      </c>
      <c r="AR22" s="26">
        <f t="shared" si="9"/>
        <v>9.1764705882352935</v>
      </c>
      <c r="AS22" s="27">
        <f t="shared" si="10"/>
        <v>-7</v>
      </c>
      <c r="AT22" s="27">
        <f t="shared" si="11"/>
        <v>-1</v>
      </c>
      <c r="AU22" s="28">
        <f>AF22*Settings!$B$7+AG22*Settings!$B$8+AE22*Settings!$B$9+AB22*Settings!$B$10+AC22*Settings!$B$11+X22*Settings!$B$12+Y22*Settings!$B$13+Z22*Settings!$B$14</f>
        <v>261.60000000000002</v>
      </c>
    </row>
    <row r="23" spans="1:47" x14ac:dyDescent="0.25">
      <c r="A23" s="15" t="s">
        <v>121</v>
      </c>
      <c r="B23" s="16" t="s">
        <v>822</v>
      </c>
      <c r="C23" s="17">
        <v>2</v>
      </c>
      <c r="D23" s="17" t="s">
        <v>158</v>
      </c>
      <c r="E23" s="18" t="s">
        <v>99</v>
      </c>
      <c r="F23" s="19">
        <v>7</v>
      </c>
      <c r="G23" s="19">
        <v>6</v>
      </c>
      <c r="H23" s="19">
        <v>7</v>
      </c>
      <c r="I23" s="19">
        <v>64</v>
      </c>
      <c r="J23" s="19">
        <v>75</v>
      </c>
      <c r="K23" s="19">
        <v>41</v>
      </c>
      <c r="L23" s="19">
        <v>26</v>
      </c>
      <c r="M23" s="19">
        <v>188</v>
      </c>
      <c r="N23" s="19" t="s">
        <v>521</v>
      </c>
      <c r="O23" s="19">
        <v>9</v>
      </c>
      <c r="P23" s="20">
        <v>6.5</v>
      </c>
      <c r="Q23" s="20">
        <v>15.51</v>
      </c>
      <c r="R23" s="21">
        <v>0.56999999999999995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11</v>
      </c>
      <c r="AB23" s="22">
        <v>74</v>
      </c>
      <c r="AC23" s="22">
        <v>0</v>
      </c>
      <c r="AD23" s="22">
        <v>75</v>
      </c>
      <c r="AE23" s="22">
        <v>46</v>
      </c>
      <c r="AF23" s="22">
        <v>657</v>
      </c>
      <c r="AG23" s="22">
        <v>4</v>
      </c>
      <c r="AH23" s="23" t="s">
        <v>101</v>
      </c>
      <c r="AI23" s="24">
        <f t="shared" si="0"/>
        <v>6.7272727272727275</v>
      </c>
      <c r="AJ23" s="24">
        <f t="shared" si="1"/>
        <v>14.282608695652174</v>
      </c>
      <c r="AK23" s="25">
        <f t="shared" si="2"/>
        <v>0.61333333333333329</v>
      </c>
      <c r="AL23" s="24" t="str">
        <f t="shared" si="3"/>
        <v/>
      </c>
      <c r="AM23" s="25" t="str">
        <f t="shared" si="4"/>
        <v/>
      </c>
      <c r="AN23" s="25">
        <f t="shared" si="5"/>
        <v>2.4433585073300752E-2</v>
      </c>
      <c r="AO23" s="25">
        <f t="shared" si="6"/>
        <v>0.13562386980108498</v>
      </c>
      <c r="AP23" s="25">
        <f t="shared" si="7"/>
        <v>0</v>
      </c>
      <c r="AQ23" s="26">
        <f t="shared" si="8"/>
        <v>0.6470588235294118</v>
      </c>
      <c r="AR23" s="26">
        <f t="shared" si="9"/>
        <v>4.4117647058823533</v>
      </c>
      <c r="AS23" s="27">
        <f t="shared" si="10"/>
        <v>49</v>
      </c>
      <c r="AT23" s="27">
        <f t="shared" si="11"/>
        <v>4</v>
      </c>
      <c r="AU23" s="28">
        <f>AF23*Settings!$B$7+AG23*Settings!$B$8+AE23*Settings!$B$9+AB23*Settings!$B$10+AC23*Settings!$B$11+X23*Settings!$B$12+Y23*Settings!$B$13+Z23*Settings!$B$14</f>
        <v>120.10000000000001</v>
      </c>
    </row>
    <row r="24" spans="1:47" x14ac:dyDescent="0.25">
      <c r="A24" s="15" t="s">
        <v>121</v>
      </c>
      <c r="B24" s="16" t="s">
        <v>823</v>
      </c>
      <c r="C24" s="17">
        <v>3</v>
      </c>
      <c r="D24" s="17" t="s">
        <v>98</v>
      </c>
      <c r="E24" s="18" t="s">
        <v>99</v>
      </c>
      <c r="F24" s="19">
        <v>1</v>
      </c>
      <c r="G24" s="19">
        <v>2</v>
      </c>
      <c r="H24" s="19"/>
      <c r="I24" s="19"/>
      <c r="J24" s="19">
        <v>95</v>
      </c>
      <c r="K24" s="19">
        <v>100</v>
      </c>
      <c r="L24" s="19">
        <v>70</v>
      </c>
      <c r="M24" s="19">
        <v>593</v>
      </c>
      <c r="N24" s="19" t="s">
        <v>521</v>
      </c>
      <c r="O24" s="19">
        <v>16</v>
      </c>
      <c r="P24" s="20">
        <v>2.33</v>
      </c>
      <c r="Q24" s="20">
        <v>11.79</v>
      </c>
      <c r="R24" s="21">
        <v>0.65300000000000002</v>
      </c>
      <c r="S24" s="21"/>
      <c r="T24" s="20"/>
      <c r="U24" s="22">
        <v>17</v>
      </c>
      <c r="V24" s="22">
        <v>1</v>
      </c>
      <c r="W24" s="22">
        <v>0</v>
      </c>
      <c r="X24" s="22">
        <v>0</v>
      </c>
      <c r="Y24" s="22">
        <v>0</v>
      </c>
      <c r="Z24" s="22">
        <v>1</v>
      </c>
      <c r="AA24" s="22">
        <v>0</v>
      </c>
      <c r="AB24" s="22">
        <v>1</v>
      </c>
      <c r="AC24" s="22">
        <v>0</v>
      </c>
      <c r="AD24" s="22">
        <v>60</v>
      </c>
      <c r="AE24" s="22">
        <v>40</v>
      </c>
      <c r="AF24" s="22">
        <v>483</v>
      </c>
      <c r="AG24" s="22">
        <v>3</v>
      </c>
      <c r="AH24" s="23" t="s">
        <v>101</v>
      </c>
      <c r="AI24" s="24" t="str">
        <f t="shared" si="0"/>
        <v/>
      </c>
      <c r="AJ24" s="24">
        <f t="shared" si="1"/>
        <v>12.074999999999999</v>
      </c>
      <c r="AK24" s="25">
        <f t="shared" si="2"/>
        <v>0.66666666666666663</v>
      </c>
      <c r="AL24" s="24">
        <f t="shared" si="3"/>
        <v>0</v>
      </c>
      <c r="AM24" s="25">
        <f t="shared" si="4"/>
        <v>0</v>
      </c>
      <c r="AN24" s="25">
        <f t="shared" si="5"/>
        <v>0</v>
      </c>
      <c r="AO24" s="25">
        <f t="shared" si="6"/>
        <v>0.10849909584086799</v>
      </c>
      <c r="AP24" s="25">
        <f t="shared" si="7"/>
        <v>1.7241379310344827E-3</v>
      </c>
      <c r="AQ24" s="26">
        <f t="shared" si="8"/>
        <v>0</v>
      </c>
      <c r="AR24" s="26">
        <f t="shared" si="9"/>
        <v>3.5294117647058822</v>
      </c>
      <c r="AS24" s="27">
        <f t="shared" si="10"/>
        <v>-10</v>
      </c>
      <c r="AT24" s="27">
        <f t="shared" si="11"/>
        <v>0</v>
      </c>
      <c r="AU24" s="28">
        <f>AF24*Settings!$B$7+AG24*Settings!$B$8+AE24*Settings!$B$9+AB24*Settings!$B$10+AC24*Settings!$B$11+X24*Settings!$B$12+Y24*Settings!$B$13+Z24*Settings!$B$14</f>
        <v>84.4</v>
      </c>
    </row>
    <row r="25" spans="1:47" x14ac:dyDescent="0.25">
      <c r="A25" s="15" t="s">
        <v>121</v>
      </c>
      <c r="B25" s="16" t="s">
        <v>824</v>
      </c>
      <c r="C25" s="17">
        <v>4</v>
      </c>
      <c r="D25" s="17" t="s">
        <v>103</v>
      </c>
      <c r="E25" s="18" t="s">
        <v>99</v>
      </c>
      <c r="F25" s="19"/>
      <c r="G25" s="19"/>
      <c r="H25" s="19"/>
      <c r="I25" s="19"/>
      <c r="J25" s="19"/>
      <c r="K25" s="19"/>
      <c r="L25" s="19">
        <v>22</v>
      </c>
      <c r="M25" s="19">
        <v>161</v>
      </c>
      <c r="N25" s="19" t="s">
        <v>521</v>
      </c>
      <c r="O25" s="19">
        <v>8</v>
      </c>
      <c r="P25" s="20"/>
      <c r="Q25" s="20">
        <v>12.38</v>
      </c>
      <c r="R25" s="21">
        <v>0.59099999999999997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2</v>
      </c>
      <c r="AC25" s="22">
        <v>0</v>
      </c>
      <c r="AD25" s="22">
        <v>42</v>
      </c>
      <c r="AE25" s="22">
        <v>24</v>
      </c>
      <c r="AF25" s="22">
        <v>320</v>
      </c>
      <c r="AG25" s="22">
        <v>3</v>
      </c>
      <c r="AH25" s="23" t="s">
        <v>101</v>
      </c>
      <c r="AI25" s="24" t="str">
        <f t="shared" si="0"/>
        <v/>
      </c>
      <c r="AJ25" s="24">
        <f t="shared" si="1"/>
        <v>13.333333333333334</v>
      </c>
      <c r="AK25" s="25">
        <f t="shared" si="2"/>
        <v>0.5714285714285714</v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7.5949367088607597E-2</v>
      </c>
      <c r="AP25" s="25">
        <f t="shared" si="7"/>
        <v>0</v>
      </c>
      <c r="AQ25" s="26">
        <f t="shared" si="8"/>
        <v>0</v>
      </c>
      <c r="AR25" s="26">
        <f t="shared" si="9"/>
        <v>2.4705882352941178</v>
      </c>
      <c r="AS25" s="27">
        <f t="shared" si="10"/>
        <v>20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62.2</v>
      </c>
    </row>
    <row r="26" spans="1:47" x14ac:dyDescent="0.25">
      <c r="A26" s="15" t="s">
        <v>121</v>
      </c>
      <c r="B26" s="16" t="s">
        <v>825</v>
      </c>
      <c r="C26" s="17">
        <v>5</v>
      </c>
      <c r="D26" s="17" t="s">
        <v>158</v>
      </c>
      <c r="E26" s="18" t="s">
        <v>99</v>
      </c>
      <c r="F26" s="19"/>
      <c r="G26" s="19"/>
      <c r="H26" s="19"/>
      <c r="I26" s="19"/>
      <c r="J26" s="19"/>
      <c r="K26" s="19">
        <v>3</v>
      </c>
      <c r="L26" s="19">
        <v>4</v>
      </c>
      <c r="M26" s="19">
        <v>90</v>
      </c>
      <c r="N26" s="19" t="s">
        <v>521</v>
      </c>
      <c r="O26" s="19">
        <v>10</v>
      </c>
      <c r="P26" s="20"/>
      <c r="Q26" s="20">
        <v>26.8</v>
      </c>
      <c r="R26" s="21">
        <v>0.71399999999999997</v>
      </c>
      <c r="S26" s="21"/>
      <c r="T26" s="20"/>
      <c r="U26" s="22">
        <v>17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3</v>
      </c>
      <c r="AE26" s="22">
        <v>2</v>
      </c>
      <c r="AF26" s="22">
        <v>30</v>
      </c>
      <c r="AG26" s="22">
        <v>0</v>
      </c>
      <c r="AH26" s="23" t="s">
        <v>101</v>
      </c>
      <c r="AI26" s="24" t="str">
        <f t="shared" si="0"/>
        <v/>
      </c>
      <c r="AJ26" s="24">
        <f t="shared" si="1"/>
        <v>15</v>
      </c>
      <c r="AK26" s="25">
        <f t="shared" si="2"/>
        <v>0.66666666666666663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5.4249547920433997E-3</v>
      </c>
      <c r="AP26" s="25">
        <f t="shared" si="7"/>
        <v>0</v>
      </c>
      <c r="AQ26" s="26">
        <f t="shared" si="8"/>
        <v>0</v>
      </c>
      <c r="AR26" s="26">
        <f t="shared" si="9"/>
        <v>0.17647058823529413</v>
      </c>
      <c r="AS26" s="27">
        <f t="shared" si="10"/>
        <v>-1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4</v>
      </c>
    </row>
    <row r="27" spans="1:47" x14ac:dyDescent="0.25">
      <c r="A27" s="15" t="s">
        <v>121</v>
      </c>
      <c r="B27" s="16" t="s">
        <v>826</v>
      </c>
      <c r="C27" s="17">
        <v>6</v>
      </c>
      <c r="D27" s="17" t="s">
        <v>130</v>
      </c>
      <c r="E27" s="32" t="s">
        <v>115</v>
      </c>
      <c r="F27" s="19">
        <v>1</v>
      </c>
      <c r="G27" s="19"/>
      <c r="H27" s="19"/>
      <c r="I27" s="19"/>
      <c r="J27" s="19">
        <v>25</v>
      </c>
      <c r="K27" s="19">
        <v>17</v>
      </c>
      <c r="L27" s="19">
        <v>2</v>
      </c>
      <c r="M27" s="19">
        <v>20</v>
      </c>
      <c r="N27" s="19" t="s">
        <v>521</v>
      </c>
      <c r="O27" s="19">
        <v>11</v>
      </c>
      <c r="P27" s="20">
        <v>3</v>
      </c>
      <c r="Q27" s="20">
        <v>9.5</v>
      </c>
      <c r="R27" s="21">
        <v>0.77300000000000002</v>
      </c>
      <c r="S27" s="21"/>
      <c r="T27" s="20"/>
      <c r="U27" s="22">
        <v>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3</v>
      </c>
      <c r="AE27" s="22">
        <v>3</v>
      </c>
      <c r="AF27" s="22">
        <v>32</v>
      </c>
      <c r="AG27" s="22">
        <v>0</v>
      </c>
      <c r="AH27" s="23" t="s">
        <v>101</v>
      </c>
      <c r="AI27" s="24" t="str">
        <f t="shared" si="0"/>
        <v/>
      </c>
      <c r="AJ27" s="24">
        <f t="shared" si="1"/>
        <v>10.666666666666666</v>
      </c>
      <c r="AK27" s="25">
        <f t="shared" si="2"/>
        <v>1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5.4249547920433997E-3</v>
      </c>
      <c r="AP27" s="25">
        <f t="shared" si="7"/>
        <v>0</v>
      </c>
      <c r="AQ27" s="26">
        <f t="shared" si="8"/>
        <v>0</v>
      </c>
      <c r="AR27" s="26">
        <f t="shared" si="9"/>
        <v>0.17647058823529413</v>
      </c>
      <c r="AS27" s="27">
        <f t="shared" si="10"/>
        <v>1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4.7</v>
      </c>
    </row>
    <row r="28" spans="1:47" x14ac:dyDescent="0.25">
      <c r="A28" s="15" t="s">
        <v>121</v>
      </c>
      <c r="B28" s="16" t="s">
        <v>827</v>
      </c>
      <c r="C28" s="17">
        <v>7</v>
      </c>
      <c r="D28" s="17" t="s">
        <v>168</v>
      </c>
      <c r="E28" s="18" t="s">
        <v>99</v>
      </c>
      <c r="F28" s="19">
        <v>8</v>
      </c>
      <c r="G28" s="19">
        <v>2</v>
      </c>
      <c r="H28" s="19">
        <v>4</v>
      </c>
      <c r="I28" s="19">
        <v>32</v>
      </c>
      <c r="J28" s="19">
        <v>7</v>
      </c>
      <c r="K28" s="19">
        <v>1</v>
      </c>
      <c r="L28" s="19"/>
      <c r="M28" s="19"/>
      <c r="N28" s="19" t="s">
        <v>521</v>
      </c>
      <c r="O28" s="19">
        <v>3</v>
      </c>
      <c r="P28" s="20">
        <v>6.71</v>
      </c>
      <c r="Q28" s="20">
        <v>5.6</v>
      </c>
      <c r="R28" s="21">
        <v>0.625</v>
      </c>
      <c r="S28" s="21"/>
      <c r="T28" s="20"/>
      <c r="U28" s="22">
        <v>17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4</v>
      </c>
      <c r="AB28" s="22">
        <v>32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3" t="s">
        <v>101</v>
      </c>
      <c r="AI28" s="24">
        <f t="shared" si="0"/>
        <v>8</v>
      </c>
      <c r="AJ28" s="24" t="str">
        <f t="shared" si="1"/>
        <v/>
      </c>
      <c r="AK28" s="25" t="str">
        <f t="shared" si="2"/>
        <v/>
      </c>
      <c r="AL28" s="24" t="str">
        <f t="shared" si="3"/>
        <v/>
      </c>
      <c r="AM28" s="25" t="str">
        <f t="shared" si="4"/>
        <v/>
      </c>
      <c r="AN28" s="25">
        <f t="shared" si="5"/>
        <v>8.8849400266548199E-3</v>
      </c>
      <c r="AO28" s="25">
        <f t="shared" si="6"/>
        <v>0</v>
      </c>
      <c r="AP28" s="25">
        <f t="shared" si="7"/>
        <v>0</v>
      </c>
      <c r="AQ28" s="26">
        <f t="shared" si="8"/>
        <v>0.23529411764705882</v>
      </c>
      <c r="AR28" s="26">
        <f t="shared" si="9"/>
        <v>0</v>
      </c>
      <c r="AS28" s="27">
        <f t="shared" si="10"/>
        <v>0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3.2</v>
      </c>
    </row>
    <row r="29" spans="1:47" x14ac:dyDescent="0.25">
      <c r="A29" s="15" t="s">
        <v>121</v>
      </c>
      <c r="B29" s="16" t="s">
        <v>828</v>
      </c>
      <c r="C29" s="17">
        <v>8</v>
      </c>
      <c r="D29" s="17" t="s">
        <v>118</v>
      </c>
      <c r="E29" s="18" t="s">
        <v>99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1"/>
      <c r="S29" s="21"/>
      <c r="T29" s="20"/>
      <c r="U29" s="22">
        <v>17</v>
      </c>
      <c r="V29" s="22"/>
      <c r="W29" s="22"/>
      <c r="X29" s="22"/>
      <c r="Y29" s="22"/>
      <c r="Z29" s="22"/>
      <c r="AA29" s="22">
        <v>0</v>
      </c>
      <c r="AB29" s="22">
        <v>0</v>
      </c>
      <c r="AC29" s="22">
        <v>0</v>
      </c>
      <c r="AD29" s="22">
        <v>3</v>
      </c>
      <c r="AE29" s="22">
        <v>2</v>
      </c>
      <c r="AF29" s="22">
        <v>22</v>
      </c>
      <c r="AG29" s="22">
        <v>0</v>
      </c>
      <c r="AH29" s="23" t="s">
        <v>101</v>
      </c>
      <c r="AI29" s="24" t="str">
        <f t="shared" si="0"/>
        <v/>
      </c>
      <c r="AJ29" s="24">
        <f t="shared" si="1"/>
        <v>11</v>
      </c>
      <c r="AK29" s="25">
        <f t="shared" si="2"/>
        <v>0.66666666666666663</v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5.4249547920433997E-3</v>
      </c>
      <c r="AP29" s="25">
        <f t="shared" si="7"/>
        <v>0</v>
      </c>
      <c r="AQ29" s="26">
        <f t="shared" si="8"/>
        <v>0</v>
      </c>
      <c r="AR29" s="26">
        <f t="shared" si="9"/>
        <v>0.17647058823529413</v>
      </c>
      <c r="AS29" s="27">
        <f t="shared" si="10"/>
        <v>3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3.2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829</v>
      </c>
      <c r="C31" s="17">
        <v>1</v>
      </c>
      <c r="D31" s="17" t="s">
        <v>118</v>
      </c>
      <c r="E31" s="18" t="s">
        <v>99</v>
      </c>
      <c r="F31" s="19"/>
      <c r="G31" s="19"/>
      <c r="H31" s="19">
        <v>10</v>
      </c>
      <c r="I31" s="19">
        <v>14</v>
      </c>
      <c r="J31" s="19"/>
      <c r="K31" s="19">
        <v>38</v>
      </c>
      <c r="L31" s="19">
        <v>68</v>
      </c>
      <c r="M31" s="19">
        <v>519</v>
      </c>
      <c r="N31" s="19" t="s">
        <v>521</v>
      </c>
      <c r="O31" s="19">
        <v>17</v>
      </c>
      <c r="P31" s="20">
        <v>1.4</v>
      </c>
      <c r="Q31" s="20">
        <v>9.32</v>
      </c>
      <c r="R31" s="21">
        <v>0.77400000000000002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8</v>
      </c>
      <c r="AB31" s="22">
        <v>14</v>
      </c>
      <c r="AC31" s="22">
        <v>0</v>
      </c>
      <c r="AD31" s="22">
        <v>63</v>
      </c>
      <c r="AE31" s="22">
        <v>48</v>
      </c>
      <c r="AF31" s="22">
        <v>460</v>
      </c>
      <c r="AG31" s="22">
        <v>5</v>
      </c>
      <c r="AH31" s="23" t="s">
        <v>101</v>
      </c>
      <c r="AI31" s="24">
        <f t="shared" si="0"/>
        <v>1.75</v>
      </c>
      <c r="AJ31" s="24">
        <f t="shared" si="1"/>
        <v>9.5833333333333339</v>
      </c>
      <c r="AK31" s="25">
        <f t="shared" si="2"/>
        <v>0.76190476190476186</v>
      </c>
      <c r="AL31" s="24" t="str">
        <f t="shared" si="3"/>
        <v/>
      </c>
      <c r="AM31" s="25" t="str">
        <f t="shared" si="4"/>
        <v/>
      </c>
      <c r="AN31" s="25">
        <f t="shared" si="5"/>
        <v>1.776988005330964E-2</v>
      </c>
      <c r="AO31" s="25">
        <f t="shared" si="6"/>
        <v>0.11392405063291139</v>
      </c>
      <c r="AP31" s="25">
        <f t="shared" si="7"/>
        <v>0</v>
      </c>
      <c r="AQ31" s="26">
        <f t="shared" si="8"/>
        <v>0.47058823529411764</v>
      </c>
      <c r="AR31" s="26">
        <f t="shared" si="9"/>
        <v>3.7058823529411766</v>
      </c>
      <c r="AS31" s="27">
        <f t="shared" si="10"/>
        <v>-5</v>
      </c>
      <c r="AT31" s="27">
        <f t="shared" si="11"/>
        <v>-2</v>
      </c>
      <c r="AU31" s="28">
        <f>AF31*Settings!$B$7+AG31*Settings!$B$8+AE31*Settings!$B$9+AB31*Settings!$B$10+AC31*Settings!$B$11+X31*Settings!$B$12+Y31*Settings!$B$13+Z31*Settings!$B$14</f>
        <v>101.4</v>
      </c>
    </row>
    <row r="32" spans="1:47" x14ac:dyDescent="0.25">
      <c r="A32" s="15" t="s">
        <v>135</v>
      </c>
      <c r="B32" s="16" t="s">
        <v>830</v>
      </c>
      <c r="C32" s="17">
        <v>2</v>
      </c>
      <c r="D32" s="17" t="s">
        <v>103</v>
      </c>
      <c r="E32" s="18" t="s">
        <v>99</v>
      </c>
      <c r="F32" s="19"/>
      <c r="G32" s="19"/>
      <c r="H32" s="19"/>
      <c r="I32" s="19"/>
      <c r="J32" s="19"/>
      <c r="K32" s="19"/>
      <c r="L32" s="19">
        <v>26</v>
      </c>
      <c r="M32" s="19">
        <v>179</v>
      </c>
      <c r="N32" s="19" t="s">
        <v>521</v>
      </c>
      <c r="O32" s="19">
        <v>13</v>
      </c>
      <c r="P32" s="20"/>
      <c r="Q32" s="20">
        <v>11.93</v>
      </c>
      <c r="R32" s="21">
        <v>0.57699999999999996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36</v>
      </c>
      <c r="AE32" s="22">
        <v>24</v>
      </c>
      <c r="AF32" s="22">
        <v>270</v>
      </c>
      <c r="AG32" s="22">
        <v>2</v>
      </c>
      <c r="AH32" s="23" t="s">
        <v>101</v>
      </c>
      <c r="AI32" s="24" t="str">
        <f t="shared" si="0"/>
        <v/>
      </c>
      <c r="AJ32" s="24">
        <f t="shared" si="1"/>
        <v>11.25</v>
      </c>
      <c r="AK32" s="25">
        <f t="shared" si="2"/>
        <v>0.66666666666666663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6.50994575045208E-2</v>
      </c>
      <c r="AP32" s="25">
        <f t="shared" si="7"/>
        <v>0</v>
      </c>
      <c r="AQ32" s="26">
        <f t="shared" si="8"/>
        <v>0</v>
      </c>
      <c r="AR32" s="26">
        <f t="shared" si="9"/>
        <v>2.1176470588235294</v>
      </c>
      <c r="AS32" s="27">
        <f t="shared" si="10"/>
        <v>10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51</v>
      </c>
    </row>
    <row r="33" spans="1:47" x14ac:dyDescent="0.25">
      <c r="A33" s="15" t="s">
        <v>135</v>
      </c>
      <c r="B33" s="16" t="s">
        <v>831</v>
      </c>
      <c r="C33" s="17">
        <v>3</v>
      </c>
      <c r="D33" s="17" t="s">
        <v>98</v>
      </c>
      <c r="E33" s="18" t="s">
        <v>99</v>
      </c>
      <c r="F33" s="19"/>
      <c r="G33" s="19"/>
      <c r="H33" s="19"/>
      <c r="I33" s="19"/>
      <c r="J33" s="19">
        <v>1</v>
      </c>
      <c r="K33" s="19">
        <v>20</v>
      </c>
      <c r="L33" s="19"/>
      <c r="M33" s="19"/>
      <c r="N33" s="19"/>
      <c r="O33" s="19"/>
      <c r="P33" s="20"/>
      <c r="Q33" s="20">
        <v>7.67</v>
      </c>
      <c r="R33" s="21">
        <v>0.85699999999999998</v>
      </c>
      <c r="S33" s="21"/>
      <c r="T33" s="20"/>
      <c r="U33" s="22">
        <v>17</v>
      </c>
      <c r="V33" s="22"/>
      <c r="W33" s="22"/>
      <c r="X33" s="22"/>
      <c r="Y33" s="22"/>
      <c r="Z33" s="22"/>
      <c r="AA33" s="22">
        <v>0</v>
      </c>
      <c r="AB33" s="22">
        <v>0</v>
      </c>
      <c r="AC33" s="22">
        <v>0</v>
      </c>
      <c r="AD33" s="22">
        <v>6</v>
      </c>
      <c r="AE33" s="22">
        <v>6</v>
      </c>
      <c r="AF33" s="22">
        <v>53</v>
      </c>
      <c r="AG33" s="22">
        <v>1</v>
      </c>
      <c r="AH33" s="23" t="s">
        <v>101</v>
      </c>
      <c r="AI33" s="24" t="str">
        <f t="shared" si="0"/>
        <v/>
      </c>
      <c r="AJ33" s="24">
        <f t="shared" si="1"/>
        <v>8.8333333333333339</v>
      </c>
      <c r="AK33" s="25">
        <f t="shared" si="2"/>
        <v>1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1.0849909584086799E-2</v>
      </c>
      <c r="AP33" s="25">
        <f t="shared" si="7"/>
        <v>0</v>
      </c>
      <c r="AQ33" s="26">
        <f t="shared" si="8"/>
        <v>0</v>
      </c>
      <c r="AR33" s="26">
        <f t="shared" si="9"/>
        <v>0.35294117647058826</v>
      </c>
      <c r="AS33" s="27">
        <f t="shared" si="10"/>
        <v>6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14.3</v>
      </c>
    </row>
    <row r="34" spans="1:47" x14ac:dyDescent="0.25">
      <c r="A34" s="15" t="s">
        <v>135</v>
      </c>
      <c r="B34" s="16" t="s">
        <v>832</v>
      </c>
      <c r="C34" s="17">
        <v>4</v>
      </c>
      <c r="D34" s="17" t="s">
        <v>153</v>
      </c>
      <c r="E34" s="18" t="s">
        <v>99</v>
      </c>
      <c r="F34" s="19"/>
      <c r="G34" s="19"/>
      <c r="H34" s="19"/>
      <c r="I34" s="19"/>
      <c r="J34" s="19">
        <v>3</v>
      </c>
      <c r="K34" s="19">
        <v>14</v>
      </c>
      <c r="L34" s="19">
        <v>7</v>
      </c>
      <c r="M34" s="19">
        <v>31</v>
      </c>
      <c r="N34" s="19" t="s">
        <v>521</v>
      </c>
      <c r="O34" s="19">
        <v>11</v>
      </c>
      <c r="P34" s="20"/>
      <c r="Q34" s="20">
        <v>7.78</v>
      </c>
      <c r="R34" s="21">
        <v>0.75</v>
      </c>
      <c r="S34" s="21"/>
      <c r="T34" s="20"/>
      <c r="U34" s="22">
        <v>17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6</v>
      </c>
      <c r="AE34" s="22">
        <v>5</v>
      </c>
      <c r="AF34" s="22">
        <v>43</v>
      </c>
      <c r="AG34" s="22">
        <v>0</v>
      </c>
      <c r="AH34" s="23" t="s">
        <v>101</v>
      </c>
      <c r="AI34" s="24" t="str">
        <f t="shared" si="0"/>
        <v/>
      </c>
      <c r="AJ34" s="24">
        <f t="shared" si="1"/>
        <v>8.6</v>
      </c>
      <c r="AK34" s="25">
        <f t="shared" si="2"/>
        <v>0.83333333333333337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1.0849909584086799E-2</v>
      </c>
      <c r="AP34" s="25">
        <f t="shared" si="7"/>
        <v>0</v>
      </c>
      <c r="AQ34" s="26">
        <f t="shared" si="8"/>
        <v>0</v>
      </c>
      <c r="AR34" s="26">
        <f t="shared" si="9"/>
        <v>0.35294117647058826</v>
      </c>
      <c r="AS34" s="27">
        <f t="shared" si="10"/>
        <v>-1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6.8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531</v>
      </c>
      <c r="W37" s="34">
        <f t="shared" si="12"/>
        <v>350</v>
      </c>
      <c r="X37" s="34">
        <f t="shared" si="12"/>
        <v>4171</v>
      </c>
      <c r="Y37" s="34">
        <f t="shared" si="12"/>
        <v>28</v>
      </c>
      <c r="Z37" s="34">
        <f t="shared" si="12"/>
        <v>14</v>
      </c>
      <c r="AA37" s="34">
        <f t="shared" si="12"/>
        <v>508</v>
      </c>
      <c r="AB37" s="34">
        <f t="shared" si="12"/>
        <v>2115</v>
      </c>
      <c r="AC37" s="34">
        <f t="shared" si="12"/>
        <v>17</v>
      </c>
      <c r="AD37" s="34">
        <f t="shared" si="12"/>
        <v>528</v>
      </c>
      <c r="AE37" s="34">
        <f t="shared" si="12"/>
        <v>369</v>
      </c>
      <c r="AF37" s="34">
        <f t="shared" si="12"/>
        <v>4338</v>
      </c>
      <c r="AG37" s="34">
        <f t="shared" si="12"/>
        <v>28</v>
      </c>
    </row>
    <row r="38" spans="1:47" x14ac:dyDescent="0.25">
      <c r="A38" s="5" t="s">
        <v>142</v>
      </c>
      <c r="V38" s="35">
        <f>$F$5</f>
        <v>580</v>
      </c>
      <c r="X38" s="35">
        <f>$I$5</f>
        <v>4143</v>
      </c>
      <c r="Y38" s="35">
        <f>$J$5</f>
        <v>24</v>
      </c>
      <c r="Z38" s="35">
        <f>$K$5</f>
        <v>14</v>
      </c>
      <c r="AA38" s="35">
        <f>$H$5</f>
        <v>450.20000000000005</v>
      </c>
      <c r="AB38" s="35">
        <f>$L$5</f>
        <v>1900</v>
      </c>
      <c r="AC38" s="35">
        <f>$M$5</f>
        <v>16</v>
      </c>
      <c r="AD38" s="35">
        <f>$G$5</f>
        <v>553</v>
      </c>
      <c r="AF38" s="35">
        <f>$I$5</f>
        <v>4143</v>
      </c>
      <c r="AG38" s="35">
        <f>$J$5</f>
        <v>24</v>
      </c>
    </row>
    <row r="39" spans="1:47" x14ac:dyDescent="0.25">
      <c r="A39" s="5" t="s">
        <v>143</v>
      </c>
      <c r="V39" s="36">
        <f>$F$5-V37</f>
        <v>49</v>
      </c>
      <c r="X39" s="36">
        <f>$I$5-X37</f>
        <v>-28</v>
      </c>
      <c r="Y39" s="36">
        <f>$J$5-Y37</f>
        <v>-4</v>
      </c>
      <c r="Z39" s="36">
        <f>$K$5-Z37</f>
        <v>0</v>
      </c>
      <c r="AA39" s="36">
        <f>$H$5-AA37</f>
        <v>-57.799999999999955</v>
      </c>
      <c r="AB39" s="36">
        <f>$L$5-AB37</f>
        <v>-215</v>
      </c>
      <c r="AC39" s="36">
        <f>$M$5-AC37</f>
        <v>-1</v>
      </c>
      <c r="AD39" s="36">
        <f>$G$5-AD37</f>
        <v>25</v>
      </c>
      <c r="AF39" s="36">
        <f>$I$5-AF37</f>
        <v>-195</v>
      </c>
      <c r="AG39" s="36">
        <f>$J$5-AG37</f>
        <v>-4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149" priority="1" stopIfTrue="1">
      <formula>V37&gt;$F$5</formula>
    </cfRule>
    <cfRule type="expression" dxfId="148" priority="2">
      <formula>AND($F$5&gt;0,V37&lt;$F$5*0.97)</formula>
    </cfRule>
    <cfRule type="expression" dxfId="147" priority="3">
      <formula>AND($F$5&gt;0,V37&gt;=$F$5*0.97,V37&lt;=$F$5)</formula>
    </cfRule>
  </conditionalFormatting>
  <conditionalFormatting sqref="X37">
    <cfRule type="expression" dxfId="146" priority="4" stopIfTrue="1">
      <formula>X37&gt;$I$5</formula>
    </cfRule>
    <cfRule type="expression" dxfId="145" priority="5">
      <formula>AND($I$5&gt;0,X37&lt;$I$5*0.97)</formula>
    </cfRule>
    <cfRule type="expression" dxfId="144" priority="6">
      <formula>AND($I$5&gt;0,X37&gt;=$I$5*0.97,X37&lt;=$I$5)</formula>
    </cfRule>
  </conditionalFormatting>
  <conditionalFormatting sqref="Y37">
    <cfRule type="expression" dxfId="143" priority="7" stopIfTrue="1">
      <formula>Y37&gt;$J$5</formula>
    </cfRule>
    <cfRule type="expression" dxfId="142" priority="8">
      <formula>AND($J$5&gt;0,Y37&lt;$J$5*0.97)</formula>
    </cfRule>
    <cfRule type="expression" dxfId="141" priority="9">
      <formula>AND($J$5&gt;0,Y37&gt;=$J$5*0.97,Y37&lt;=$J$5)</formula>
    </cfRule>
  </conditionalFormatting>
  <conditionalFormatting sqref="Z37">
    <cfRule type="expression" dxfId="140" priority="10" stopIfTrue="1">
      <formula>Z37&gt;$K$5</formula>
    </cfRule>
    <cfRule type="expression" dxfId="139" priority="11">
      <formula>AND($K$5&gt;0,Z37&lt;$K$5*0.97)</formula>
    </cfRule>
    <cfRule type="expression" dxfId="138" priority="12">
      <formula>AND($K$5&gt;0,Z37&gt;=$K$5*0.97,Z37&lt;=$K$5)</formula>
    </cfRule>
  </conditionalFormatting>
  <conditionalFormatting sqref="AA37">
    <cfRule type="expression" dxfId="137" priority="13" stopIfTrue="1">
      <formula>AA37&gt;$H$5</formula>
    </cfRule>
    <cfRule type="expression" dxfId="136" priority="14">
      <formula>AND($H$5&gt;0,AA37&lt;$H$5*0.97)</formula>
    </cfRule>
    <cfRule type="expression" dxfId="135" priority="15">
      <formula>AND($H$5&gt;0,AA37&gt;=$H$5*0.97,AA37&lt;=$H$5)</formula>
    </cfRule>
  </conditionalFormatting>
  <conditionalFormatting sqref="AB37">
    <cfRule type="expression" dxfId="134" priority="16" stopIfTrue="1">
      <formula>AB37&gt;$L$5</formula>
    </cfRule>
    <cfRule type="expression" dxfId="133" priority="17">
      <formula>AND($L$5&gt;0,AB37&lt;$L$5*0.97)</formula>
    </cfRule>
    <cfRule type="expression" dxfId="132" priority="18">
      <formula>AND($L$5&gt;0,AB37&gt;=$L$5*0.97,AB37&lt;=$L$5)</formula>
    </cfRule>
  </conditionalFormatting>
  <conditionalFormatting sqref="AC37">
    <cfRule type="expression" dxfId="131" priority="19" stopIfTrue="1">
      <formula>AC37&gt;$M$5</formula>
    </cfRule>
    <cfRule type="expression" dxfId="130" priority="20">
      <formula>AND($M$5&gt;0,AC37&lt;$M$5*0.97)</formula>
    </cfRule>
    <cfRule type="expression" dxfId="129" priority="21">
      <formula>AND($M$5&gt;0,AC37&gt;=$M$5*0.97,AC37&lt;=$M$5)</formula>
    </cfRule>
  </conditionalFormatting>
  <conditionalFormatting sqref="AD37">
    <cfRule type="expression" dxfId="128" priority="22" stopIfTrue="1">
      <formula>AD37&gt;$G$5</formula>
    </cfRule>
    <cfRule type="expression" dxfId="127" priority="23">
      <formula>AND($G$5&gt;0,AD37&lt;$G$5*0.97)</formula>
    </cfRule>
    <cfRule type="expression" dxfId="126" priority="24">
      <formula>AND($G$5&gt;0,AD37&gt;=$G$5*0.97,AD37&lt;=$G$5)</formula>
    </cfRule>
  </conditionalFormatting>
  <conditionalFormatting sqref="AF37">
    <cfRule type="expression" dxfId="125" priority="25" stopIfTrue="1">
      <formula>AF37&gt;$I$5</formula>
    </cfRule>
    <cfRule type="expression" dxfId="124" priority="26">
      <formula>AND($I$5&gt;0,AF37&lt;$I$5*0.97)</formula>
    </cfRule>
    <cfRule type="expression" dxfId="123" priority="27">
      <formula>AND($I$5&gt;0,AF37&gt;=$I$5*0.97,AF37&lt;=$I$5)</formula>
    </cfRule>
  </conditionalFormatting>
  <conditionalFormatting sqref="AG37">
    <cfRule type="expression" dxfId="122" priority="28" stopIfTrue="1">
      <formula>AG37&gt;$J$5</formula>
    </cfRule>
    <cfRule type="expression" dxfId="121" priority="29">
      <formula>AND($J$5&gt;0,AG37&lt;$J$5*0.97)</formula>
    </cfRule>
    <cfRule type="expression" dxfId="120" priority="30">
      <formula>AND($J$5&gt;0,AG37&gt;=$J$5*0.97,AG37&lt;=$J$5)</formula>
    </cfRule>
  </conditionalFormatting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833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61.9</v>
      </c>
      <c r="D5" s="10">
        <f>C5*B5</f>
        <v>1052.3</v>
      </c>
      <c r="E5" s="11">
        <v>0.55220000000000002</v>
      </c>
      <c r="F5" s="10">
        <f>ROUND(D5*E5,0)</f>
        <v>581</v>
      </c>
      <c r="G5" s="10">
        <f>ROUND(F5*Settings!$B$4,0)</f>
        <v>554</v>
      </c>
      <c r="H5" s="10">
        <f>D5-F5</f>
        <v>471.29999999999995</v>
      </c>
      <c r="I5" s="8">
        <v>4273</v>
      </c>
      <c r="J5" s="9">
        <v>28</v>
      </c>
      <c r="K5" s="9">
        <v>14</v>
      </c>
      <c r="L5" s="8">
        <v>2022</v>
      </c>
      <c r="M5" s="9">
        <v>17</v>
      </c>
    </row>
    <row r="7" spans="1:47" x14ac:dyDescent="0.25">
      <c r="A7" s="5" t="s">
        <v>54</v>
      </c>
      <c r="B7" s="12" t="s">
        <v>834</v>
      </c>
    </row>
    <row r="8" spans="1:47" x14ac:dyDescent="0.25">
      <c r="A8" s="5" t="s">
        <v>56</v>
      </c>
      <c r="B8" s="13" t="s">
        <v>237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835</v>
      </c>
      <c r="C11" s="17">
        <v>1</v>
      </c>
      <c r="D11" s="17" t="s">
        <v>111</v>
      </c>
      <c r="E11" s="18" t="s">
        <v>99</v>
      </c>
      <c r="F11" s="19">
        <v>28</v>
      </c>
      <c r="G11" s="19">
        <v>61</v>
      </c>
      <c r="H11" s="19">
        <v>29</v>
      </c>
      <c r="I11" s="19">
        <v>147</v>
      </c>
      <c r="J11" s="19"/>
      <c r="K11" s="19"/>
      <c r="L11" s="19"/>
      <c r="M11" s="19"/>
      <c r="N11" s="19" t="s">
        <v>125</v>
      </c>
      <c r="O11" s="19">
        <v>9</v>
      </c>
      <c r="P11" s="20">
        <v>5.2</v>
      </c>
      <c r="Q11" s="20"/>
      <c r="R11" s="21"/>
      <c r="S11" s="21">
        <v>0.68</v>
      </c>
      <c r="T11" s="20">
        <v>8.7200000000000006</v>
      </c>
      <c r="U11" s="22">
        <v>17</v>
      </c>
      <c r="V11" s="22">
        <v>524</v>
      </c>
      <c r="W11" s="22">
        <v>354</v>
      </c>
      <c r="X11" s="22">
        <v>4062</v>
      </c>
      <c r="Y11" s="22">
        <v>28</v>
      </c>
      <c r="Z11" s="22">
        <v>14</v>
      </c>
      <c r="AA11" s="22">
        <v>63</v>
      </c>
      <c r="AB11" s="22">
        <v>272</v>
      </c>
      <c r="AC11" s="22">
        <v>3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4.3174603174603172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7.7519083969465647</v>
      </c>
      <c r="AM11" s="25">
        <f t="shared" ref="AM11:AM35" si="4">IFERROR(W11/V11,"")</f>
        <v>0.67557251908396942</v>
      </c>
      <c r="AN11" s="25">
        <f t="shared" ref="AN11:AN35" si="5">IFERROR(AA11/$H$5,"")</f>
        <v>0.13367281985996182</v>
      </c>
      <c r="AO11" s="25">
        <f t="shared" ref="AO11:AO35" si="6">IFERROR(AD11/$G$5,"")</f>
        <v>0</v>
      </c>
      <c r="AP11" s="25">
        <f t="shared" ref="AP11:AP35" si="7">IFERROR(V11/$F$5,"")</f>
        <v>0.90189328743545616</v>
      </c>
      <c r="AQ11" s="26">
        <f t="shared" ref="AQ11:AQ35" si="8">IFERROR(AA11/U11,"")</f>
        <v>3.7058823529411766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34</v>
      </c>
      <c r="AU11" s="28">
        <f>AF11*Settings!$B$7+AG11*Settings!$B$8+AE11*Settings!$B$9+AB11*Settings!$B$10+AC11*Settings!$B$11+X11*Settings!$B$12+Y11*Settings!$B$13+Z11*Settings!$B$14</f>
        <v>291.68</v>
      </c>
    </row>
    <row r="12" spans="1:47" x14ac:dyDescent="0.25">
      <c r="A12" s="15" t="s">
        <v>96</v>
      </c>
      <c r="B12" s="16" t="s">
        <v>836</v>
      </c>
      <c r="C12" s="17">
        <v>2</v>
      </c>
      <c r="D12" s="17" t="s">
        <v>158</v>
      </c>
      <c r="E12" s="18" t="s">
        <v>99</v>
      </c>
      <c r="F12" s="19">
        <v>22</v>
      </c>
      <c r="G12" s="19">
        <v>24</v>
      </c>
      <c r="H12" s="19">
        <v>22</v>
      </c>
      <c r="I12" s="19">
        <v>60</v>
      </c>
      <c r="J12" s="19"/>
      <c r="K12" s="19"/>
      <c r="L12" s="19"/>
      <c r="M12" s="19"/>
      <c r="N12" s="19" t="s">
        <v>125</v>
      </c>
      <c r="O12" s="19">
        <v>11</v>
      </c>
      <c r="P12" s="20">
        <v>3.65</v>
      </c>
      <c r="Q12" s="20"/>
      <c r="R12" s="21"/>
      <c r="S12" s="21">
        <v>0.66500000000000004</v>
      </c>
      <c r="T12" s="20">
        <v>6.63</v>
      </c>
      <c r="U12" s="22">
        <v>17</v>
      </c>
      <c r="V12" s="22">
        <v>36</v>
      </c>
      <c r="W12" s="22">
        <v>24</v>
      </c>
      <c r="X12" s="22">
        <v>278</v>
      </c>
      <c r="Y12" s="22">
        <v>2</v>
      </c>
      <c r="Z12" s="22">
        <v>1</v>
      </c>
      <c r="AA12" s="22">
        <v>3</v>
      </c>
      <c r="AB12" s="22">
        <v>9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3</v>
      </c>
      <c r="AJ12" s="24" t="str">
        <f t="shared" si="1"/>
        <v/>
      </c>
      <c r="AK12" s="25" t="str">
        <f t="shared" si="2"/>
        <v/>
      </c>
      <c r="AL12" s="24">
        <f t="shared" si="3"/>
        <v>7.7222222222222223</v>
      </c>
      <c r="AM12" s="25">
        <f t="shared" si="4"/>
        <v>0.66666666666666663</v>
      </c>
      <c r="AN12" s="25">
        <f t="shared" si="5"/>
        <v>6.3653723742838966E-3</v>
      </c>
      <c r="AO12" s="25">
        <f t="shared" si="6"/>
        <v>0</v>
      </c>
      <c r="AP12" s="25">
        <f t="shared" si="7"/>
        <v>6.1962134251290879E-2</v>
      </c>
      <c r="AQ12" s="26">
        <f t="shared" si="8"/>
        <v>0.17647058823529413</v>
      </c>
      <c r="AR12" s="26">
        <f t="shared" si="9"/>
        <v>0</v>
      </c>
      <c r="AS12" s="27">
        <f t="shared" si="10"/>
        <v>0</v>
      </c>
      <c r="AT12" s="27">
        <f t="shared" si="11"/>
        <v>-19</v>
      </c>
      <c r="AU12" s="28">
        <f>AF12*Settings!$B$7+AG12*Settings!$B$8+AE12*Settings!$B$9+AB12*Settings!$B$10+AC12*Settings!$B$11+X12*Settings!$B$12+Y12*Settings!$B$13+Z12*Settings!$B$14</f>
        <v>18.020000000000003</v>
      </c>
    </row>
    <row r="13" spans="1:47" x14ac:dyDescent="0.25">
      <c r="A13" s="15" t="s">
        <v>96</v>
      </c>
      <c r="B13" s="16" t="s">
        <v>837</v>
      </c>
      <c r="C13" s="17">
        <v>3</v>
      </c>
      <c r="D13" s="17" t="s">
        <v>111</v>
      </c>
      <c r="E13" s="18" t="s">
        <v>99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1"/>
      <c r="S13" s="21"/>
      <c r="T13" s="20"/>
      <c r="U13" s="22">
        <v>17</v>
      </c>
      <c r="V13" s="22">
        <v>16</v>
      </c>
      <c r="W13" s="22">
        <v>11</v>
      </c>
      <c r="X13" s="22">
        <v>77</v>
      </c>
      <c r="Y13" s="22">
        <v>1</v>
      </c>
      <c r="Z13" s="22">
        <v>0</v>
      </c>
      <c r="AA13" s="22">
        <v>2</v>
      </c>
      <c r="AB13" s="22">
        <v>5</v>
      </c>
      <c r="AC13" s="22">
        <v>0</v>
      </c>
      <c r="AD13" s="22"/>
      <c r="AE13" s="22"/>
      <c r="AF13" s="22"/>
      <c r="AG13" s="22"/>
      <c r="AH13" s="23" t="s">
        <v>101</v>
      </c>
      <c r="AI13" s="24">
        <f t="shared" si="0"/>
        <v>2.5</v>
      </c>
      <c r="AJ13" s="24" t="str">
        <f t="shared" si="1"/>
        <v/>
      </c>
      <c r="AK13" s="25" t="str">
        <f t="shared" si="2"/>
        <v/>
      </c>
      <c r="AL13" s="24">
        <f t="shared" si="3"/>
        <v>4.8125</v>
      </c>
      <c r="AM13" s="25">
        <f t="shared" si="4"/>
        <v>0.6875</v>
      </c>
      <c r="AN13" s="25">
        <f t="shared" si="5"/>
        <v>4.2435815828559308E-3</v>
      </c>
      <c r="AO13" s="25">
        <f t="shared" si="6"/>
        <v>0</v>
      </c>
      <c r="AP13" s="25">
        <f t="shared" si="7"/>
        <v>2.7538726333907058E-2</v>
      </c>
      <c r="AQ13" s="26">
        <f t="shared" si="8"/>
        <v>0.11764705882352941</v>
      </c>
      <c r="AR13" s="26">
        <f t="shared" si="9"/>
        <v>0</v>
      </c>
      <c r="AS13" s="27">
        <f t="shared" si="10"/>
        <v>0</v>
      </c>
      <c r="AT13" s="27">
        <f t="shared" si="11"/>
        <v>2</v>
      </c>
      <c r="AU13" s="28">
        <f>AF13*Settings!$B$7+AG13*Settings!$B$8+AE13*Settings!$B$9+AB13*Settings!$B$10+AC13*Settings!$B$11+X13*Settings!$B$12+Y13*Settings!$B$13+Z13*Settings!$B$14</f>
        <v>7.58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838</v>
      </c>
      <c r="C15" s="17">
        <v>1</v>
      </c>
      <c r="D15" s="17" t="s">
        <v>200</v>
      </c>
      <c r="E15" s="18" t="s">
        <v>99</v>
      </c>
      <c r="F15" s="19">
        <v>272</v>
      </c>
      <c r="G15" s="19">
        <v>50</v>
      </c>
      <c r="H15" s="19">
        <v>311</v>
      </c>
      <c r="I15" s="19">
        <v>1202</v>
      </c>
      <c r="J15" s="19">
        <v>83</v>
      </c>
      <c r="K15" s="19">
        <v>19</v>
      </c>
      <c r="L15" s="19">
        <v>129</v>
      </c>
      <c r="M15" s="19">
        <v>924</v>
      </c>
      <c r="N15" s="19" t="s">
        <v>125</v>
      </c>
      <c r="O15" s="19">
        <v>17</v>
      </c>
      <c r="P15" s="20">
        <v>4.5199999999999996</v>
      </c>
      <c r="Q15" s="20">
        <v>8.8800000000000008</v>
      </c>
      <c r="R15" s="21">
        <v>0.79700000000000004</v>
      </c>
      <c r="S15" s="21"/>
      <c r="T15" s="20"/>
      <c r="U15" s="22">
        <v>17</v>
      </c>
      <c r="V15" s="22">
        <v>1</v>
      </c>
      <c r="W15" s="22">
        <v>0</v>
      </c>
      <c r="X15" s="22">
        <v>0</v>
      </c>
      <c r="Y15" s="22">
        <v>0</v>
      </c>
      <c r="Z15" s="22">
        <v>0</v>
      </c>
      <c r="AA15" s="22">
        <v>258</v>
      </c>
      <c r="AB15" s="22">
        <v>1042</v>
      </c>
      <c r="AC15" s="22">
        <v>9</v>
      </c>
      <c r="AD15" s="22">
        <v>94</v>
      </c>
      <c r="AE15" s="22">
        <v>75</v>
      </c>
      <c r="AF15" s="22">
        <v>668</v>
      </c>
      <c r="AG15" s="22">
        <v>5</v>
      </c>
      <c r="AH15" s="23" t="s">
        <v>101</v>
      </c>
      <c r="AI15" s="24">
        <f t="shared" si="0"/>
        <v>4.0387596899224807</v>
      </c>
      <c r="AJ15" s="24">
        <f t="shared" si="1"/>
        <v>8.9066666666666663</v>
      </c>
      <c r="AK15" s="25">
        <f t="shared" si="2"/>
        <v>0.7978723404255319</v>
      </c>
      <c r="AL15" s="24">
        <f t="shared" si="3"/>
        <v>0</v>
      </c>
      <c r="AM15" s="25">
        <f t="shared" si="4"/>
        <v>0</v>
      </c>
      <c r="AN15" s="25">
        <f t="shared" si="5"/>
        <v>0.54742202418841512</v>
      </c>
      <c r="AO15" s="25">
        <f t="shared" si="6"/>
        <v>0.16967509025270758</v>
      </c>
      <c r="AP15" s="25">
        <f t="shared" si="7"/>
        <v>1.7211703958691911E-3</v>
      </c>
      <c r="AQ15" s="26">
        <f t="shared" si="8"/>
        <v>15.176470588235293</v>
      </c>
      <c r="AR15" s="26">
        <f t="shared" si="9"/>
        <v>5.5294117647058822</v>
      </c>
      <c r="AS15" s="27">
        <f t="shared" si="10"/>
        <v>-35</v>
      </c>
      <c r="AT15" s="27">
        <f t="shared" si="11"/>
        <v>-53</v>
      </c>
      <c r="AU15" s="28">
        <f>AF15*Settings!$B$7+AG15*Settings!$B$8+AE15*Settings!$B$9+AB15*Settings!$B$10+AC15*Settings!$B$11+X15*Settings!$B$12+Y15*Settings!$B$13+Z15*Settings!$B$14</f>
        <v>292.5</v>
      </c>
    </row>
    <row r="16" spans="1:47" x14ac:dyDescent="0.25">
      <c r="A16" s="15" t="s">
        <v>107</v>
      </c>
      <c r="B16" s="16" t="s">
        <v>839</v>
      </c>
      <c r="C16" s="17">
        <v>2</v>
      </c>
      <c r="D16" s="17" t="s">
        <v>128</v>
      </c>
      <c r="E16" s="32" t="s">
        <v>115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0"/>
      <c r="Q16" s="20"/>
      <c r="R16" s="21"/>
      <c r="S16" s="21"/>
      <c r="T16" s="20"/>
      <c r="U16" s="22">
        <v>17</v>
      </c>
      <c r="V16" s="22"/>
      <c r="W16" s="22"/>
      <c r="X16" s="22"/>
      <c r="Y16" s="22"/>
      <c r="Z16" s="22"/>
      <c r="AA16" s="22">
        <v>68</v>
      </c>
      <c r="AB16" s="22">
        <v>270</v>
      </c>
      <c r="AC16" s="22">
        <v>2</v>
      </c>
      <c r="AD16" s="22">
        <v>14</v>
      </c>
      <c r="AE16" s="22">
        <v>10</v>
      </c>
      <c r="AF16" s="22">
        <v>82</v>
      </c>
      <c r="AG16" s="22">
        <v>0</v>
      </c>
      <c r="AH16" s="23" t="s">
        <v>101</v>
      </c>
      <c r="AI16" s="24">
        <f t="shared" si="0"/>
        <v>3.9705882352941178</v>
      </c>
      <c r="AJ16" s="24">
        <f t="shared" si="1"/>
        <v>8.1999999999999993</v>
      </c>
      <c r="AK16" s="25">
        <f t="shared" si="2"/>
        <v>0.7142857142857143</v>
      </c>
      <c r="AL16" s="24" t="str">
        <f t="shared" si="3"/>
        <v/>
      </c>
      <c r="AM16" s="25" t="str">
        <f t="shared" si="4"/>
        <v/>
      </c>
      <c r="AN16" s="25">
        <f t="shared" si="5"/>
        <v>0.14428177381710164</v>
      </c>
      <c r="AO16" s="25">
        <f t="shared" si="6"/>
        <v>2.5270758122743681E-2</v>
      </c>
      <c r="AP16" s="25">
        <f t="shared" si="7"/>
        <v>0</v>
      </c>
      <c r="AQ16" s="26">
        <f t="shared" si="8"/>
        <v>4</v>
      </c>
      <c r="AR16" s="26">
        <f t="shared" si="9"/>
        <v>0.82352941176470584</v>
      </c>
      <c r="AS16" s="27">
        <f t="shared" si="10"/>
        <v>14</v>
      </c>
      <c r="AT16" s="27">
        <f t="shared" si="11"/>
        <v>68</v>
      </c>
      <c r="AU16" s="28">
        <f>AF16*Settings!$B$7+AG16*Settings!$B$8+AE16*Settings!$B$9+AB16*Settings!$B$10+AC16*Settings!$B$11+X16*Settings!$B$12+Y16*Settings!$B$13+Z16*Settings!$B$14</f>
        <v>52.2</v>
      </c>
    </row>
    <row r="17" spans="1:47" x14ac:dyDescent="0.25">
      <c r="A17" s="15" t="s">
        <v>107</v>
      </c>
      <c r="B17" s="16" t="s">
        <v>840</v>
      </c>
      <c r="C17" s="17">
        <v>3</v>
      </c>
      <c r="D17" s="17" t="s">
        <v>118</v>
      </c>
      <c r="E17" s="32" t="s">
        <v>115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20"/>
      <c r="R17" s="21"/>
      <c r="S17" s="21"/>
      <c r="T17" s="20"/>
      <c r="U17" s="22">
        <v>17</v>
      </c>
      <c r="V17" s="22"/>
      <c r="W17" s="22"/>
      <c r="X17" s="22"/>
      <c r="Y17" s="22"/>
      <c r="Z17" s="22"/>
      <c r="AA17" s="22">
        <v>65</v>
      </c>
      <c r="AB17" s="22">
        <v>259</v>
      </c>
      <c r="AC17" s="22">
        <v>2</v>
      </c>
      <c r="AD17" s="22">
        <v>10</v>
      </c>
      <c r="AE17" s="22">
        <v>7</v>
      </c>
      <c r="AF17" s="22">
        <v>58</v>
      </c>
      <c r="AG17" s="22">
        <v>0</v>
      </c>
      <c r="AH17" s="23" t="s">
        <v>101</v>
      </c>
      <c r="AI17" s="24">
        <f t="shared" si="0"/>
        <v>3.9846153846153847</v>
      </c>
      <c r="AJ17" s="24">
        <f t="shared" si="1"/>
        <v>8.2857142857142865</v>
      </c>
      <c r="AK17" s="25">
        <f t="shared" si="2"/>
        <v>0.7</v>
      </c>
      <c r="AL17" s="24" t="str">
        <f t="shared" si="3"/>
        <v/>
      </c>
      <c r="AM17" s="25" t="str">
        <f t="shared" si="4"/>
        <v/>
      </c>
      <c r="AN17" s="25">
        <f t="shared" si="5"/>
        <v>0.13791640144281775</v>
      </c>
      <c r="AO17" s="25">
        <f t="shared" si="6"/>
        <v>1.8050541516245487E-2</v>
      </c>
      <c r="AP17" s="25">
        <f t="shared" si="7"/>
        <v>0</v>
      </c>
      <c r="AQ17" s="26">
        <f t="shared" si="8"/>
        <v>3.8235294117647061</v>
      </c>
      <c r="AR17" s="26">
        <f t="shared" si="9"/>
        <v>0.58823529411764708</v>
      </c>
      <c r="AS17" s="27">
        <f t="shared" si="10"/>
        <v>10</v>
      </c>
      <c r="AT17" s="27">
        <f t="shared" si="11"/>
        <v>65</v>
      </c>
      <c r="AU17" s="28">
        <f>AF17*Settings!$B$7+AG17*Settings!$B$8+AE17*Settings!$B$9+AB17*Settings!$B$10+AC17*Settings!$B$11+X17*Settings!$B$12+Y17*Settings!$B$13+Z17*Settings!$B$14</f>
        <v>47.2</v>
      </c>
    </row>
    <row r="18" spans="1:47" x14ac:dyDescent="0.25">
      <c r="A18" s="15" t="s">
        <v>107</v>
      </c>
      <c r="B18" s="16" t="s">
        <v>841</v>
      </c>
      <c r="C18" s="17">
        <v>4</v>
      </c>
      <c r="D18" s="17" t="s">
        <v>111</v>
      </c>
      <c r="E18" s="32" t="s">
        <v>226</v>
      </c>
      <c r="F18" s="19"/>
      <c r="G18" s="19">
        <v>84</v>
      </c>
      <c r="H18" s="19"/>
      <c r="I18" s="19"/>
      <c r="J18" s="19"/>
      <c r="K18" s="19">
        <v>16</v>
      </c>
      <c r="L18" s="19"/>
      <c r="M18" s="19"/>
      <c r="N18" s="19"/>
      <c r="O18" s="19"/>
      <c r="P18" s="20">
        <v>5</v>
      </c>
      <c r="Q18" s="20">
        <v>10.130000000000001</v>
      </c>
      <c r="R18" s="21">
        <v>0.93799999999999994</v>
      </c>
      <c r="S18" s="21"/>
      <c r="T18" s="20"/>
      <c r="U18" s="22">
        <v>17</v>
      </c>
      <c r="V18" s="22"/>
      <c r="W18" s="22"/>
      <c r="X18" s="22"/>
      <c r="Y18" s="22"/>
      <c r="Z18" s="22"/>
      <c r="AA18" s="22">
        <v>21</v>
      </c>
      <c r="AB18" s="22">
        <v>90</v>
      </c>
      <c r="AC18" s="22">
        <v>1</v>
      </c>
      <c r="AD18" s="22">
        <v>3</v>
      </c>
      <c r="AE18" s="22">
        <v>3</v>
      </c>
      <c r="AF18" s="22">
        <v>27</v>
      </c>
      <c r="AG18" s="22">
        <v>0</v>
      </c>
      <c r="AH18" s="23" t="s">
        <v>101</v>
      </c>
      <c r="AI18" s="24">
        <f t="shared" si="0"/>
        <v>4.2857142857142856</v>
      </c>
      <c r="AJ18" s="24">
        <f t="shared" si="1"/>
        <v>9</v>
      </c>
      <c r="AK18" s="25">
        <f t="shared" si="2"/>
        <v>1</v>
      </c>
      <c r="AL18" s="24" t="str">
        <f t="shared" si="3"/>
        <v/>
      </c>
      <c r="AM18" s="25" t="str">
        <f t="shared" si="4"/>
        <v/>
      </c>
      <c r="AN18" s="25">
        <f t="shared" si="5"/>
        <v>4.4557606619987276E-2</v>
      </c>
      <c r="AO18" s="25">
        <f t="shared" si="6"/>
        <v>5.415162454873646E-3</v>
      </c>
      <c r="AP18" s="25">
        <f t="shared" si="7"/>
        <v>0</v>
      </c>
      <c r="AQ18" s="26">
        <f t="shared" si="8"/>
        <v>1.2352941176470589</v>
      </c>
      <c r="AR18" s="26">
        <f t="shared" si="9"/>
        <v>0.17647058823529413</v>
      </c>
      <c r="AS18" s="27">
        <f t="shared" si="10"/>
        <v>3</v>
      </c>
      <c r="AT18" s="27">
        <f t="shared" si="11"/>
        <v>21</v>
      </c>
      <c r="AU18" s="28">
        <f>AF18*Settings!$B$7+AG18*Settings!$B$8+AE18*Settings!$B$9+AB18*Settings!$B$10+AC18*Settings!$B$11+X18*Settings!$B$12+Y18*Settings!$B$13+Z18*Settings!$B$14</f>
        <v>19.2</v>
      </c>
    </row>
    <row r="19" spans="1:47" x14ac:dyDescent="0.25">
      <c r="A19" s="15" t="s">
        <v>107</v>
      </c>
      <c r="B19" s="16" t="s">
        <v>842</v>
      </c>
      <c r="C19" s="17">
        <v>5</v>
      </c>
      <c r="D19" s="17" t="s">
        <v>130</v>
      </c>
      <c r="E19" s="18" t="s">
        <v>99</v>
      </c>
      <c r="F19" s="19">
        <v>32</v>
      </c>
      <c r="G19" s="19">
        <v>39</v>
      </c>
      <c r="H19" s="19"/>
      <c r="I19" s="19"/>
      <c r="J19" s="19">
        <v>17</v>
      </c>
      <c r="K19" s="19">
        <v>11</v>
      </c>
      <c r="L19" s="19"/>
      <c r="M19" s="19"/>
      <c r="N19" s="19"/>
      <c r="O19" s="19"/>
      <c r="P19" s="20">
        <v>4.5599999999999996</v>
      </c>
      <c r="Q19" s="20">
        <v>5.29</v>
      </c>
      <c r="R19" s="21">
        <v>0.5</v>
      </c>
      <c r="S19" s="21"/>
      <c r="T19" s="20"/>
      <c r="U19" s="22">
        <v>17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33"/>
      <c r="AI19" s="24" t="str">
        <f t="shared" si="0"/>
        <v/>
      </c>
      <c r="AJ19" s="24" t="str">
        <f t="shared" si="1"/>
        <v/>
      </c>
      <c r="AK19" s="25" t="str">
        <f t="shared" si="2"/>
        <v/>
      </c>
      <c r="AL19" s="24" t="str">
        <f t="shared" si="3"/>
        <v/>
      </c>
      <c r="AM19" s="25" t="str">
        <f t="shared" si="4"/>
        <v/>
      </c>
      <c r="AN19" s="25">
        <f t="shared" si="5"/>
        <v>0</v>
      </c>
      <c r="AO19" s="25">
        <f t="shared" si="6"/>
        <v>0</v>
      </c>
      <c r="AP19" s="25">
        <f t="shared" si="7"/>
        <v>0</v>
      </c>
      <c r="AQ19" s="26">
        <f t="shared" si="8"/>
        <v>0</v>
      </c>
      <c r="AR19" s="26">
        <f t="shared" si="9"/>
        <v>0</v>
      </c>
      <c r="AS19" s="27">
        <f t="shared" si="10"/>
        <v>0</v>
      </c>
      <c r="AT19" s="27">
        <f t="shared" si="11"/>
        <v>0</v>
      </c>
      <c r="AU19" s="28">
        <f>AF19*Settings!$B$7+AG19*Settings!$B$8+AE19*Settings!$B$9+AB19*Settings!$B$10+AC19*Settings!$B$11+X19*Settings!$B$12+Y19*Settings!$B$13+Z19*Settings!$B$14</f>
        <v>0</v>
      </c>
    </row>
    <row r="20" spans="1:47" x14ac:dyDescent="0.25">
      <c r="A20" s="15" t="s">
        <v>107</v>
      </c>
      <c r="B20" s="16" t="s">
        <v>843</v>
      </c>
      <c r="C20" s="17">
        <v>6</v>
      </c>
      <c r="D20" s="17" t="s">
        <v>130</v>
      </c>
      <c r="E20" s="18" t="s">
        <v>99</v>
      </c>
      <c r="F20" s="19">
        <v>132</v>
      </c>
      <c r="G20" s="19">
        <v>28</v>
      </c>
      <c r="H20" s="19">
        <v>16</v>
      </c>
      <c r="I20" s="19">
        <v>52</v>
      </c>
      <c r="J20" s="19">
        <v>31</v>
      </c>
      <c r="K20" s="19">
        <v>9</v>
      </c>
      <c r="L20" s="19">
        <v>4</v>
      </c>
      <c r="M20" s="19">
        <v>4</v>
      </c>
      <c r="N20" s="19" t="s">
        <v>358</v>
      </c>
      <c r="O20" s="19">
        <v>7</v>
      </c>
      <c r="P20" s="20">
        <v>4.41</v>
      </c>
      <c r="Q20" s="20">
        <v>5.48</v>
      </c>
      <c r="R20" s="21">
        <v>0.65900000000000003</v>
      </c>
      <c r="S20" s="21"/>
      <c r="T20" s="20"/>
      <c r="U20" s="22">
        <v>17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16</v>
      </c>
      <c r="AB20" s="22">
        <v>52</v>
      </c>
      <c r="AC20" s="22">
        <v>0</v>
      </c>
      <c r="AD20" s="22">
        <v>4</v>
      </c>
      <c r="AE20" s="22">
        <v>1</v>
      </c>
      <c r="AF20" s="22">
        <v>4</v>
      </c>
      <c r="AG20" s="22">
        <v>0</v>
      </c>
      <c r="AH20" s="23" t="s">
        <v>101</v>
      </c>
      <c r="AI20" s="24">
        <f t="shared" si="0"/>
        <v>3.25</v>
      </c>
      <c r="AJ20" s="24">
        <f t="shared" si="1"/>
        <v>4</v>
      </c>
      <c r="AK20" s="25">
        <f t="shared" si="2"/>
        <v>0.25</v>
      </c>
      <c r="AL20" s="24" t="str">
        <f t="shared" si="3"/>
        <v/>
      </c>
      <c r="AM20" s="25" t="str">
        <f t="shared" si="4"/>
        <v/>
      </c>
      <c r="AN20" s="25">
        <f t="shared" si="5"/>
        <v>3.3948652662847446E-2</v>
      </c>
      <c r="AO20" s="25">
        <f t="shared" si="6"/>
        <v>7.2202166064981952E-3</v>
      </c>
      <c r="AP20" s="25">
        <f t="shared" si="7"/>
        <v>0</v>
      </c>
      <c r="AQ20" s="26">
        <f t="shared" si="8"/>
        <v>0.94117647058823528</v>
      </c>
      <c r="AR20" s="26">
        <f t="shared" si="9"/>
        <v>0.23529411764705882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6.1000000000000005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844</v>
      </c>
      <c r="C22" s="17">
        <v>1</v>
      </c>
      <c r="D22" s="17" t="s">
        <v>153</v>
      </c>
      <c r="E22" s="32" t="s">
        <v>115</v>
      </c>
      <c r="F22" s="19"/>
      <c r="G22" s="19"/>
      <c r="H22" s="19"/>
      <c r="I22" s="19"/>
      <c r="J22" s="19">
        <v>136</v>
      </c>
      <c r="K22" s="19">
        <v>110</v>
      </c>
      <c r="L22" s="19">
        <v>62</v>
      </c>
      <c r="M22" s="19">
        <v>368</v>
      </c>
      <c r="N22" s="19" t="s">
        <v>394</v>
      </c>
      <c r="O22" s="19">
        <v>8</v>
      </c>
      <c r="P22" s="20"/>
      <c r="Q22" s="20">
        <v>14.36</v>
      </c>
      <c r="R22" s="21">
        <v>0.59399999999999997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115</v>
      </c>
      <c r="AE22" s="22">
        <v>66</v>
      </c>
      <c r="AF22" s="22">
        <v>929</v>
      </c>
      <c r="AG22" s="22">
        <v>7</v>
      </c>
      <c r="AH22" s="23" t="s">
        <v>101</v>
      </c>
      <c r="AI22" s="24" t="str">
        <f t="shared" si="0"/>
        <v/>
      </c>
      <c r="AJ22" s="24">
        <f t="shared" si="1"/>
        <v>14.075757575757576</v>
      </c>
      <c r="AK22" s="25">
        <f t="shared" si="2"/>
        <v>0.57391304347826089</v>
      </c>
      <c r="AL22" s="24" t="str">
        <f t="shared" si="3"/>
        <v/>
      </c>
      <c r="AM22" s="25" t="str">
        <f t="shared" si="4"/>
        <v/>
      </c>
      <c r="AN22" s="25">
        <f t="shared" si="5"/>
        <v>0</v>
      </c>
      <c r="AO22" s="25">
        <f t="shared" si="6"/>
        <v>0.20758122743682311</v>
      </c>
      <c r="AP22" s="25">
        <f t="shared" si="7"/>
        <v>0</v>
      </c>
      <c r="AQ22" s="26">
        <f t="shared" si="8"/>
        <v>0</v>
      </c>
      <c r="AR22" s="26">
        <f t="shared" si="9"/>
        <v>6.7647058823529411</v>
      </c>
      <c r="AS22" s="27">
        <f t="shared" si="10"/>
        <v>53</v>
      </c>
      <c r="AT22" s="27">
        <f t="shared" si="11"/>
        <v>0</v>
      </c>
      <c r="AU22" s="28">
        <f>AF22*Settings!$B$7+AG22*Settings!$B$8+AE22*Settings!$B$9+AB22*Settings!$B$10+AC22*Settings!$B$11+X22*Settings!$B$12+Y22*Settings!$B$13+Z22*Settings!$B$14</f>
        <v>167.9</v>
      </c>
    </row>
    <row r="23" spans="1:47" x14ac:dyDescent="0.25">
      <c r="A23" s="15" t="s">
        <v>121</v>
      </c>
      <c r="B23" s="16" t="s">
        <v>845</v>
      </c>
      <c r="C23" s="17">
        <v>2</v>
      </c>
      <c r="D23" s="17" t="s">
        <v>200</v>
      </c>
      <c r="E23" s="18" t="s">
        <v>99</v>
      </c>
      <c r="F23" s="19">
        <v>37</v>
      </c>
      <c r="G23" s="19">
        <v>42</v>
      </c>
      <c r="H23" s="19">
        <v>17</v>
      </c>
      <c r="I23" s="19">
        <v>75</v>
      </c>
      <c r="J23" s="19">
        <v>89</v>
      </c>
      <c r="K23" s="19">
        <v>81</v>
      </c>
      <c r="L23" s="19">
        <v>99</v>
      </c>
      <c r="M23" s="19">
        <v>727</v>
      </c>
      <c r="N23" s="19" t="s">
        <v>197</v>
      </c>
      <c r="O23" s="19">
        <v>16</v>
      </c>
      <c r="P23" s="20">
        <v>4.54</v>
      </c>
      <c r="Q23" s="20">
        <v>12.51</v>
      </c>
      <c r="R23" s="21">
        <v>0.68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20</v>
      </c>
      <c r="AB23" s="22">
        <v>86</v>
      </c>
      <c r="AC23" s="22">
        <v>1</v>
      </c>
      <c r="AD23" s="22">
        <v>79</v>
      </c>
      <c r="AE23" s="22">
        <v>52</v>
      </c>
      <c r="AF23" s="22">
        <v>621</v>
      </c>
      <c r="AG23" s="22">
        <v>4</v>
      </c>
      <c r="AH23" s="23" t="s">
        <v>101</v>
      </c>
      <c r="AI23" s="24">
        <f t="shared" si="0"/>
        <v>4.3</v>
      </c>
      <c r="AJ23" s="24">
        <f t="shared" si="1"/>
        <v>11.942307692307692</v>
      </c>
      <c r="AK23" s="25">
        <f t="shared" si="2"/>
        <v>0.65822784810126578</v>
      </c>
      <c r="AL23" s="24" t="str">
        <f t="shared" si="3"/>
        <v/>
      </c>
      <c r="AM23" s="25" t="str">
        <f t="shared" si="4"/>
        <v/>
      </c>
      <c r="AN23" s="25">
        <f t="shared" si="5"/>
        <v>4.2435815828559306E-2</v>
      </c>
      <c r="AO23" s="25">
        <f t="shared" si="6"/>
        <v>0.14259927797833935</v>
      </c>
      <c r="AP23" s="25">
        <f t="shared" si="7"/>
        <v>0</v>
      </c>
      <c r="AQ23" s="26">
        <f t="shared" si="8"/>
        <v>1.1764705882352942</v>
      </c>
      <c r="AR23" s="26">
        <f t="shared" si="9"/>
        <v>4.6470588235294121</v>
      </c>
      <c r="AS23" s="27">
        <f t="shared" si="10"/>
        <v>-20</v>
      </c>
      <c r="AT23" s="27">
        <f t="shared" si="11"/>
        <v>3</v>
      </c>
      <c r="AU23" s="28">
        <f>AF23*Settings!$B$7+AG23*Settings!$B$8+AE23*Settings!$B$9+AB23*Settings!$B$10+AC23*Settings!$B$11+X23*Settings!$B$12+Y23*Settings!$B$13+Z23*Settings!$B$14</f>
        <v>126.69999999999999</v>
      </c>
    </row>
    <row r="24" spans="1:47" x14ac:dyDescent="0.25">
      <c r="A24" s="15" t="s">
        <v>121</v>
      </c>
      <c r="B24" s="16" t="s">
        <v>846</v>
      </c>
      <c r="C24" s="17">
        <v>3</v>
      </c>
      <c r="D24" s="17" t="s">
        <v>103</v>
      </c>
      <c r="E24" s="32" t="s">
        <v>115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20"/>
      <c r="R24" s="21"/>
      <c r="S24" s="21"/>
      <c r="T24" s="20"/>
      <c r="U24" s="22">
        <v>17</v>
      </c>
      <c r="V24" s="22"/>
      <c r="W24" s="22"/>
      <c r="X24" s="22"/>
      <c r="Y24" s="22"/>
      <c r="Z24" s="22"/>
      <c r="AA24" s="22">
        <v>1</v>
      </c>
      <c r="AB24" s="22">
        <v>4</v>
      </c>
      <c r="AC24" s="22">
        <v>0</v>
      </c>
      <c r="AD24" s="22">
        <v>67</v>
      </c>
      <c r="AE24" s="22">
        <v>41</v>
      </c>
      <c r="AF24" s="22">
        <v>559</v>
      </c>
      <c r="AG24" s="22">
        <v>3</v>
      </c>
      <c r="AH24" s="23" t="s">
        <v>101</v>
      </c>
      <c r="AI24" s="24">
        <f t="shared" si="0"/>
        <v>4</v>
      </c>
      <c r="AJ24" s="24">
        <f t="shared" si="1"/>
        <v>13.634146341463415</v>
      </c>
      <c r="AK24" s="25">
        <f t="shared" si="2"/>
        <v>0.61194029850746268</v>
      </c>
      <c r="AL24" s="24" t="str">
        <f t="shared" si="3"/>
        <v/>
      </c>
      <c r="AM24" s="25" t="str">
        <f t="shared" si="4"/>
        <v/>
      </c>
      <c r="AN24" s="25">
        <f t="shared" si="5"/>
        <v>2.1217907914279654E-3</v>
      </c>
      <c r="AO24" s="25">
        <f t="shared" si="6"/>
        <v>0.12093862815884476</v>
      </c>
      <c r="AP24" s="25">
        <f t="shared" si="7"/>
        <v>0</v>
      </c>
      <c r="AQ24" s="26">
        <f t="shared" si="8"/>
        <v>5.8823529411764705E-2</v>
      </c>
      <c r="AR24" s="26">
        <f t="shared" si="9"/>
        <v>3.9411764705882355</v>
      </c>
      <c r="AS24" s="27">
        <f t="shared" si="10"/>
        <v>67</v>
      </c>
      <c r="AT24" s="27">
        <f t="shared" si="11"/>
        <v>1</v>
      </c>
      <c r="AU24" s="28">
        <f>AF24*Settings!$B$7+AG24*Settings!$B$8+AE24*Settings!$B$9+AB24*Settings!$B$10+AC24*Settings!$B$11+X24*Settings!$B$12+Y24*Settings!$B$13+Z24*Settings!$B$14</f>
        <v>94.800000000000011</v>
      </c>
    </row>
    <row r="25" spans="1:47" x14ac:dyDescent="0.25">
      <c r="A25" s="15" t="s">
        <v>121</v>
      </c>
      <c r="B25" s="16" t="s">
        <v>847</v>
      </c>
      <c r="C25" s="17">
        <v>4</v>
      </c>
      <c r="D25" s="17" t="s">
        <v>168</v>
      </c>
      <c r="E25" s="32" t="s">
        <v>115</v>
      </c>
      <c r="F25" s="19">
        <v>1</v>
      </c>
      <c r="G25" s="19"/>
      <c r="H25" s="19"/>
      <c r="I25" s="19"/>
      <c r="J25" s="19">
        <v>85</v>
      </c>
      <c r="K25" s="19">
        <v>47</v>
      </c>
      <c r="L25" s="19">
        <v>52</v>
      </c>
      <c r="M25" s="19">
        <v>239</v>
      </c>
      <c r="N25" s="19" t="s">
        <v>443</v>
      </c>
      <c r="O25" s="19">
        <v>13</v>
      </c>
      <c r="P25" s="20">
        <v>6</v>
      </c>
      <c r="Q25" s="20">
        <v>12.54</v>
      </c>
      <c r="R25" s="21">
        <v>0.60899999999999999</v>
      </c>
      <c r="S25" s="21">
        <v>0.5</v>
      </c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1</v>
      </c>
      <c r="AC25" s="22">
        <v>0</v>
      </c>
      <c r="AD25" s="22">
        <v>44</v>
      </c>
      <c r="AE25" s="22">
        <v>27</v>
      </c>
      <c r="AF25" s="22">
        <v>329</v>
      </c>
      <c r="AG25" s="22">
        <v>2</v>
      </c>
      <c r="AH25" s="23" t="s">
        <v>101</v>
      </c>
      <c r="AI25" s="24" t="str">
        <f t="shared" si="0"/>
        <v/>
      </c>
      <c r="AJ25" s="24">
        <f t="shared" si="1"/>
        <v>12.185185185185185</v>
      </c>
      <c r="AK25" s="25">
        <f t="shared" si="2"/>
        <v>0.61363636363636365</v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7.9422382671480149E-2</v>
      </c>
      <c r="AP25" s="25">
        <f t="shared" si="7"/>
        <v>0</v>
      </c>
      <c r="AQ25" s="26">
        <f t="shared" si="8"/>
        <v>0</v>
      </c>
      <c r="AR25" s="26">
        <f t="shared" si="9"/>
        <v>2.5882352941176472</v>
      </c>
      <c r="AS25" s="27">
        <f t="shared" si="10"/>
        <v>-8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58.5</v>
      </c>
    </row>
    <row r="26" spans="1:47" x14ac:dyDescent="0.25">
      <c r="A26" s="15" t="s">
        <v>121</v>
      </c>
      <c r="B26" s="16" t="s">
        <v>848</v>
      </c>
      <c r="C26" s="17">
        <v>5</v>
      </c>
      <c r="D26" s="17" t="s">
        <v>114</v>
      </c>
      <c r="E26" s="18" t="s">
        <v>99</v>
      </c>
      <c r="F26" s="19">
        <v>1</v>
      </c>
      <c r="G26" s="19"/>
      <c r="H26" s="19">
        <v>1</v>
      </c>
      <c r="I26" s="19">
        <v>6</v>
      </c>
      <c r="J26" s="19">
        <v>39</v>
      </c>
      <c r="K26" s="19">
        <v>64</v>
      </c>
      <c r="L26" s="19">
        <v>35</v>
      </c>
      <c r="M26" s="19">
        <v>276</v>
      </c>
      <c r="N26" s="19" t="s">
        <v>125</v>
      </c>
      <c r="O26" s="19">
        <v>14</v>
      </c>
      <c r="P26" s="20">
        <v>14.5</v>
      </c>
      <c r="Q26" s="20">
        <v>14.58</v>
      </c>
      <c r="R26" s="21">
        <v>0.57199999999999995</v>
      </c>
      <c r="S26" s="21"/>
      <c r="T26" s="20"/>
      <c r="U26" s="22">
        <v>17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2</v>
      </c>
      <c r="AC26" s="22">
        <v>0</v>
      </c>
      <c r="AD26" s="22">
        <v>21</v>
      </c>
      <c r="AE26" s="22">
        <v>13</v>
      </c>
      <c r="AF26" s="22">
        <v>179</v>
      </c>
      <c r="AG26" s="22">
        <v>1</v>
      </c>
      <c r="AH26" s="23" t="s">
        <v>101</v>
      </c>
      <c r="AI26" s="24" t="str">
        <f t="shared" si="0"/>
        <v/>
      </c>
      <c r="AJ26" s="24">
        <f t="shared" si="1"/>
        <v>13.76923076923077</v>
      </c>
      <c r="AK26" s="25">
        <f t="shared" si="2"/>
        <v>0.61904761904761907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3.7906137184115521E-2</v>
      </c>
      <c r="AP26" s="25">
        <f t="shared" si="7"/>
        <v>0</v>
      </c>
      <c r="AQ26" s="26">
        <f t="shared" si="8"/>
        <v>0</v>
      </c>
      <c r="AR26" s="26">
        <f t="shared" si="9"/>
        <v>1.2352941176470589</v>
      </c>
      <c r="AS26" s="27">
        <f t="shared" si="10"/>
        <v>-14</v>
      </c>
      <c r="AT26" s="27">
        <f t="shared" si="11"/>
        <v>-1</v>
      </c>
      <c r="AU26" s="28">
        <f>AF26*Settings!$B$7+AG26*Settings!$B$8+AE26*Settings!$B$9+AB26*Settings!$B$10+AC26*Settings!$B$11+X26*Settings!$B$12+Y26*Settings!$B$13+Z26*Settings!$B$14</f>
        <v>30.6</v>
      </c>
    </row>
    <row r="27" spans="1:47" x14ac:dyDescent="0.25">
      <c r="A27" s="15" t="s">
        <v>121</v>
      </c>
      <c r="B27" s="16" t="s">
        <v>849</v>
      </c>
      <c r="C27" s="17">
        <v>6</v>
      </c>
      <c r="D27" s="17" t="s">
        <v>114</v>
      </c>
      <c r="E27" s="18" t="s">
        <v>99</v>
      </c>
      <c r="F27" s="19">
        <v>1</v>
      </c>
      <c r="G27" s="19"/>
      <c r="H27" s="19"/>
      <c r="I27" s="19"/>
      <c r="J27" s="19">
        <v>23</v>
      </c>
      <c r="K27" s="19">
        <v>12</v>
      </c>
      <c r="L27" s="19">
        <v>10</v>
      </c>
      <c r="M27" s="19">
        <v>31</v>
      </c>
      <c r="N27" s="19" t="s">
        <v>112</v>
      </c>
      <c r="O27" s="19">
        <v>12</v>
      </c>
      <c r="P27" s="20"/>
      <c r="Q27" s="20">
        <v>16.420000000000002</v>
      </c>
      <c r="R27" s="21">
        <v>0.53300000000000003</v>
      </c>
      <c r="S27" s="21"/>
      <c r="T27" s="20"/>
      <c r="U27" s="22">
        <v>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10</v>
      </c>
      <c r="AE27" s="22">
        <v>3</v>
      </c>
      <c r="AF27" s="22">
        <v>31</v>
      </c>
      <c r="AG27" s="22">
        <v>0</v>
      </c>
      <c r="AH27" s="23" t="s">
        <v>101</v>
      </c>
      <c r="AI27" s="24" t="str">
        <f t="shared" si="0"/>
        <v/>
      </c>
      <c r="AJ27" s="24">
        <f t="shared" si="1"/>
        <v>10.333333333333334</v>
      </c>
      <c r="AK27" s="25">
        <f t="shared" si="2"/>
        <v>0.3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1.8050541516245487E-2</v>
      </c>
      <c r="AP27" s="25">
        <f t="shared" si="7"/>
        <v>0</v>
      </c>
      <c r="AQ27" s="26">
        <f t="shared" si="8"/>
        <v>0</v>
      </c>
      <c r="AR27" s="26">
        <f t="shared" si="9"/>
        <v>0.58823529411764708</v>
      </c>
      <c r="AS27" s="27">
        <f t="shared" si="10"/>
        <v>0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4.5999999999999996</v>
      </c>
    </row>
    <row r="28" spans="1:47" x14ac:dyDescent="0.25">
      <c r="A28" s="15" t="s">
        <v>121</v>
      </c>
      <c r="B28" s="16" t="s">
        <v>850</v>
      </c>
      <c r="C28" s="17">
        <v>7</v>
      </c>
      <c r="D28" s="17" t="s">
        <v>158</v>
      </c>
      <c r="E28" s="18" t="s">
        <v>99</v>
      </c>
      <c r="F28" s="19"/>
      <c r="G28" s="19"/>
      <c r="H28" s="19"/>
      <c r="I28" s="19"/>
      <c r="J28" s="19">
        <v>2</v>
      </c>
      <c r="K28" s="19"/>
      <c r="L28" s="19"/>
      <c r="M28" s="19"/>
      <c r="N28" s="19"/>
      <c r="O28" s="19"/>
      <c r="P28" s="20"/>
      <c r="Q28" s="20">
        <v>3</v>
      </c>
      <c r="R28" s="21">
        <v>0.5</v>
      </c>
      <c r="S28" s="21"/>
      <c r="T28" s="20"/>
      <c r="U28" s="22">
        <v>17</v>
      </c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33"/>
      <c r="AI28" s="24" t="str">
        <f t="shared" si="0"/>
        <v/>
      </c>
      <c r="AJ28" s="24" t="str">
        <f t="shared" si="1"/>
        <v/>
      </c>
      <c r="AK28" s="25" t="str">
        <f t="shared" si="2"/>
        <v/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0</v>
      </c>
      <c r="AP28" s="25">
        <f t="shared" si="7"/>
        <v>0</v>
      </c>
      <c r="AQ28" s="26">
        <f t="shared" si="8"/>
        <v>0</v>
      </c>
      <c r="AR28" s="26">
        <f t="shared" si="9"/>
        <v>0</v>
      </c>
      <c r="AS28" s="27">
        <f t="shared" si="10"/>
        <v>0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0</v>
      </c>
    </row>
    <row r="29" spans="1:47" x14ac:dyDescent="0.25">
      <c r="A29" s="15" t="s">
        <v>121</v>
      </c>
      <c r="B29" s="16" t="s">
        <v>851</v>
      </c>
      <c r="C29" s="17">
        <v>8</v>
      </c>
      <c r="D29" s="17" t="s">
        <v>200</v>
      </c>
      <c r="E29" s="18" t="s">
        <v>99</v>
      </c>
      <c r="F29" s="19"/>
      <c r="G29" s="19"/>
      <c r="H29" s="19"/>
      <c r="I29" s="19"/>
      <c r="J29" s="19"/>
      <c r="K29" s="19"/>
      <c r="L29" s="19">
        <v>1</v>
      </c>
      <c r="M29" s="19"/>
      <c r="N29" s="19" t="s">
        <v>125</v>
      </c>
      <c r="O29" s="19">
        <v>3</v>
      </c>
      <c r="P29" s="20"/>
      <c r="Q29" s="20"/>
      <c r="R29" s="21"/>
      <c r="S29" s="21"/>
      <c r="T29" s="20"/>
      <c r="U29" s="22">
        <v>17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1</v>
      </c>
      <c r="AE29" s="22">
        <v>0</v>
      </c>
      <c r="AF29" s="22">
        <v>0</v>
      </c>
      <c r="AG29" s="22">
        <v>0</v>
      </c>
      <c r="AH29" s="23" t="s">
        <v>101</v>
      </c>
      <c r="AI29" s="24" t="str">
        <f t="shared" si="0"/>
        <v/>
      </c>
      <c r="AJ29" s="24" t="str">
        <f t="shared" si="1"/>
        <v/>
      </c>
      <c r="AK29" s="25">
        <f t="shared" si="2"/>
        <v>0</v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1.8050541516245488E-3</v>
      </c>
      <c r="AP29" s="25">
        <f t="shared" si="7"/>
        <v>0</v>
      </c>
      <c r="AQ29" s="26">
        <f t="shared" si="8"/>
        <v>0</v>
      </c>
      <c r="AR29" s="26">
        <f t="shared" si="9"/>
        <v>5.8823529411764705E-2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0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852</v>
      </c>
      <c r="C31" s="17">
        <v>1</v>
      </c>
      <c r="D31" s="17" t="s">
        <v>153</v>
      </c>
      <c r="E31" s="32" t="s">
        <v>226</v>
      </c>
      <c r="F31" s="19">
        <v>1</v>
      </c>
      <c r="G31" s="19"/>
      <c r="H31" s="19">
        <v>1</v>
      </c>
      <c r="I31" s="19" t="s">
        <v>212</v>
      </c>
      <c r="J31" s="19">
        <v>90</v>
      </c>
      <c r="K31" s="19">
        <v>94</v>
      </c>
      <c r="L31" s="19">
        <v>69</v>
      </c>
      <c r="M31" s="19">
        <v>628</v>
      </c>
      <c r="N31" s="19" t="s">
        <v>125</v>
      </c>
      <c r="O31" s="19">
        <v>11</v>
      </c>
      <c r="P31" s="20">
        <v>-0.5</v>
      </c>
      <c r="Q31" s="20">
        <v>13.77</v>
      </c>
      <c r="R31" s="21">
        <v>0.79100000000000004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82</v>
      </c>
      <c r="AE31" s="22">
        <v>63</v>
      </c>
      <c r="AF31" s="22">
        <v>735</v>
      </c>
      <c r="AG31" s="22">
        <v>6</v>
      </c>
      <c r="AH31" s="23" t="s">
        <v>101</v>
      </c>
      <c r="AI31" s="24" t="str">
        <f t="shared" si="0"/>
        <v/>
      </c>
      <c r="AJ31" s="24">
        <f t="shared" si="1"/>
        <v>11.666666666666666</v>
      </c>
      <c r="AK31" s="25">
        <f t="shared" si="2"/>
        <v>0.76829268292682928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0.14801444043321299</v>
      </c>
      <c r="AP31" s="25">
        <f t="shared" si="7"/>
        <v>0</v>
      </c>
      <c r="AQ31" s="26">
        <f t="shared" si="8"/>
        <v>0</v>
      </c>
      <c r="AR31" s="26">
        <f t="shared" si="9"/>
        <v>4.8235294117647056</v>
      </c>
      <c r="AS31" s="27">
        <f t="shared" si="10"/>
        <v>13</v>
      </c>
      <c r="AT31" s="27">
        <f t="shared" si="11"/>
        <v>-1</v>
      </c>
      <c r="AU31" s="28">
        <f>AF31*Settings!$B$7+AG31*Settings!$B$8+AE31*Settings!$B$9+AB31*Settings!$B$10+AC31*Settings!$B$11+X31*Settings!$B$12+Y31*Settings!$B$13+Z31*Settings!$B$14</f>
        <v>141</v>
      </c>
    </row>
    <row r="32" spans="1:47" x14ac:dyDescent="0.25">
      <c r="A32" s="15" t="s">
        <v>135</v>
      </c>
      <c r="B32" s="16" t="s">
        <v>853</v>
      </c>
      <c r="C32" s="17">
        <v>2</v>
      </c>
      <c r="D32" s="17" t="s">
        <v>158</v>
      </c>
      <c r="E32" s="18" t="s">
        <v>99</v>
      </c>
      <c r="F32" s="19"/>
      <c r="G32" s="19"/>
      <c r="H32" s="19"/>
      <c r="I32" s="19"/>
      <c r="J32" s="19"/>
      <c r="K32" s="19"/>
      <c r="L32" s="19">
        <v>46</v>
      </c>
      <c r="M32" s="19">
        <v>293</v>
      </c>
      <c r="N32" s="19" t="s">
        <v>125</v>
      </c>
      <c r="O32" s="19">
        <v>17</v>
      </c>
      <c r="P32" s="20"/>
      <c r="Q32" s="20">
        <v>8.6199999999999992</v>
      </c>
      <c r="R32" s="21">
        <v>0.73899999999999999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30</v>
      </c>
      <c r="AE32" s="22">
        <v>21</v>
      </c>
      <c r="AF32" s="22">
        <v>206</v>
      </c>
      <c r="AG32" s="22">
        <v>2</v>
      </c>
      <c r="AH32" s="23" t="s">
        <v>101</v>
      </c>
      <c r="AI32" s="24" t="str">
        <f t="shared" si="0"/>
        <v/>
      </c>
      <c r="AJ32" s="24">
        <f t="shared" si="1"/>
        <v>9.8095238095238102</v>
      </c>
      <c r="AK32" s="25">
        <f t="shared" si="2"/>
        <v>0.7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5.4151624548736461E-2</v>
      </c>
      <c r="AP32" s="25">
        <f t="shared" si="7"/>
        <v>0</v>
      </c>
      <c r="AQ32" s="26">
        <f t="shared" si="8"/>
        <v>0</v>
      </c>
      <c r="AR32" s="26">
        <f t="shared" si="9"/>
        <v>1.7647058823529411</v>
      </c>
      <c r="AS32" s="27">
        <f t="shared" si="10"/>
        <v>-16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43.1</v>
      </c>
    </row>
    <row r="33" spans="1:47" x14ac:dyDescent="0.25">
      <c r="A33" s="15" t="s">
        <v>135</v>
      </c>
      <c r="B33" s="16" t="s">
        <v>854</v>
      </c>
      <c r="C33" s="17">
        <v>3</v>
      </c>
      <c r="D33" s="17" t="s">
        <v>105</v>
      </c>
      <c r="E33" s="18" t="s">
        <v>99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0"/>
      <c r="Q33" s="20"/>
      <c r="R33" s="21"/>
      <c r="S33" s="21"/>
      <c r="T33" s="20"/>
      <c r="U33" s="22">
        <v>17</v>
      </c>
      <c r="V33" s="22"/>
      <c r="W33" s="22"/>
      <c r="X33" s="22"/>
      <c r="Y33" s="22"/>
      <c r="Z33" s="22"/>
      <c r="AA33" s="22">
        <v>0</v>
      </c>
      <c r="AB33" s="22">
        <v>0</v>
      </c>
      <c r="AC33" s="22">
        <v>0</v>
      </c>
      <c r="AD33" s="22">
        <v>5</v>
      </c>
      <c r="AE33" s="22">
        <v>4</v>
      </c>
      <c r="AF33" s="22">
        <v>39</v>
      </c>
      <c r="AG33" s="22">
        <v>0</v>
      </c>
      <c r="AH33" s="23" t="s">
        <v>101</v>
      </c>
      <c r="AI33" s="24" t="str">
        <f t="shared" si="0"/>
        <v/>
      </c>
      <c r="AJ33" s="24">
        <f t="shared" si="1"/>
        <v>9.75</v>
      </c>
      <c r="AK33" s="25">
        <f t="shared" si="2"/>
        <v>0.8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9.0252707581227436E-3</v>
      </c>
      <c r="AP33" s="25">
        <f t="shared" si="7"/>
        <v>0</v>
      </c>
      <c r="AQ33" s="26">
        <f t="shared" si="8"/>
        <v>0</v>
      </c>
      <c r="AR33" s="26">
        <f t="shared" si="9"/>
        <v>0.29411764705882354</v>
      </c>
      <c r="AS33" s="27">
        <f t="shared" si="10"/>
        <v>5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5.9</v>
      </c>
    </row>
    <row r="34" spans="1:47" x14ac:dyDescent="0.25">
      <c r="A34" s="15" t="s">
        <v>135</v>
      </c>
      <c r="B34" s="16" t="s">
        <v>855</v>
      </c>
      <c r="C34" s="17">
        <v>4</v>
      </c>
      <c r="D34" s="17" t="s">
        <v>130</v>
      </c>
      <c r="E34" s="18" t="s">
        <v>99</v>
      </c>
      <c r="F34" s="19"/>
      <c r="G34" s="19"/>
      <c r="H34" s="19"/>
      <c r="I34" s="19"/>
      <c r="J34" s="19">
        <v>15</v>
      </c>
      <c r="K34" s="19">
        <v>17</v>
      </c>
      <c r="L34" s="19">
        <v>14</v>
      </c>
      <c r="M34" s="19">
        <v>85</v>
      </c>
      <c r="N34" s="19" t="s">
        <v>125</v>
      </c>
      <c r="O34" s="19">
        <v>17</v>
      </c>
      <c r="P34" s="20"/>
      <c r="Q34" s="20">
        <v>8.5299999999999994</v>
      </c>
      <c r="R34" s="21">
        <v>0.78300000000000003</v>
      </c>
      <c r="S34" s="21"/>
      <c r="T34" s="20"/>
      <c r="U34" s="22">
        <v>17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8</v>
      </c>
      <c r="AE34" s="22">
        <v>7</v>
      </c>
      <c r="AF34" s="22">
        <v>60</v>
      </c>
      <c r="AG34" s="22">
        <v>0</v>
      </c>
      <c r="AH34" s="23" t="s">
        <v>101</v>
      </c>
      <c r="AI34" s="24" t="str">
        <f t="shared" si="0"/>
        <v/>
      </c>
      <c r="AJ34" s="24">
        <f t="shared" si="1"/>
        <v>8.5714285714285712</v>
      </c>
      <c r="AK34" s="25">
        <f t="shared" si="2"/>
        <v>0.875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1.444043321299639E-2</v>
      </c>
      <c r="AP34" s="25">
        <f t="shared" si="7"/>
        <v>0</v>
      </c>
      <c r="AQ34" s="26">
        <f t="shared" si="8"/>
        <v>0</v>
      </c>
      <c r="AR34" s="26">
        <f t="shared" si="9"/>
        <v>0.47058823529411764</v>
      </c>
      <c r="AS34" s="27">
        <f t="shared" si="10"/>
        <v>-6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9.5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577</v>
      </c>
      <c r="W37" s="34">
        <f t="shared" si="12"/>
        <v>389</v>
      </c>
      <c r="X37" s="34">
        <f t="shared" si="12"/>
        <v>4417</v>
      </c>
      <c r="Y37" s="34">
        <f t="shared" si="12"/>
        <v>31</v>
      </c>
      <c r="Z37" s="34">
        <f t="shared" si="12"/>
        <v>15</v>
      </c>
      <c r="AA37" s="34">
        <f t="shared" si="12"/>
        <v>517</v>
      </c>
      <c r="AB37" s="34">
        <f t="shared" si="12"/>
        <v>2092</v>
      </c>
      <c r="AC37" s="34">
        <f t="shared" si="12"/>
        <v>18</v>
      </c>
      <c r="AD37" s="34">
        <f t="shared" si="12"/>
        <v>587</v>
      </c>
      <c r="AE37" s="34">
        <f t="shared" si="12"/>
        <v>393</v>
      </c>
      <c r="AF37" s="34">
        <f t="shared" si="12"/>
        <v>4527</v>
      </c>
      <c r="AG37" s="34">
        <f t="shared" si="12"/>
        <v>30</v>
      </c>
    </row>
    <row r="38" spans="1:47" x14ac:dyDescent="0.25">
      <c r="A38" s="5" t="s">
        <v>142</v>
      </c>
      <c r="V38" s="35">
        <f>$F$5</f>
        <v>581</v>
      </c>
      <c r="X38" s="35">
        <f>$I$5</f>
        <v>4273</v>
      </c>
      <c r="Y38" s="35">
        <f>$J$5</f>
        <v>28</v>
      </c>
      <c r="Z38" s="35">
        <f>$K$5</f>
        <v>14</v>
      </c>
      <c r="AA38" s="35">
        <f>$H$5</f>
        <v>471.29999999999995</v>
      </c>
      <c r="AB38" s="35">
        <f>$L$5</f>
        <v>2022</v>
      </c>
      <c r="AC38" s="35">
        <f>$M$5</f>
        <v>17</v>
      </c>
      <c r="AD38" s="35">
        <f>$G$5</f>
        <v>554</v>
      </c>
      <c r="AF38" s="35">
        <f>$I$5</f>
        <v>4273</v>
      </c>
      <c r="AG38" s="35">
        <f>$J$5</f>
        <v>28</v>
      </c>
    </row>
    <row r="39" spans="1:47" x14ac:dyDescent="0.25">
      <c r="A39" s="5" t="s">
        <v>143</v>
      </c>
      <c r="V39" s="36">
        <f>$F$5-V37</f>
        <v>4</v>
      </c>
      <c r="X39" s="36">
        <f>$I$5-X37</f>
        <v>-144</v>
      </c>
      <c r="Y39" s="36">
        <f>$J$5-Y37</f>
        <v>-3</v>
      </c>
      <c r="Z39" s="36">
        <f>$K$5-Z37</f>
        <v>-1</v>
      </c>
      <c r="AA39" s="36">
        <f>$H$5-AA37</f>
        <v>-45.700000000000045</v>
      </c>
      <c r="AB39" s="36">
        <f>$L$5-AB37</f>
        <v>-70</v>
      </c>
      <c r="AC39" s="36">
        <f>$M$5-AC37</f>
        <v>-1</v>
      </c>
      <c r="AD39" s="36">
        <f>$G$5-AD37</f>
        <v>-33</v>
      </c>
      <c r="AF39" s="36">
        <f>$I$5-AF37</f>
        <v>-254</v>
      </c>
      <c r="AG39" s="36">
        <f>$J$5-AG37</f>
        <v>-2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119" priority="1" stopIfTrue="1">
      <formula>V37&gt;$F$5</formula>
    </cfRule>
    <cfRule type="expression" dxfId="118" priority="2">
      <formula>AND($F$5&gt;0,V37&lt;$F$5*0.97)</formula>
    </cfRule>
    <cfRule type="expression" dxfId="117" priority="3">
      <formula>AND($F$5&gt;0,V37&gt;=$F$5*0.97,V37&lt;=$F$5)</formula>
    </cfRule>
  </conditionalFormatting>
  <conditionalFormatting sqref="X37">
    <cfRule type="expression" dxfId="116" priority="4" stopIfTrue="1">
      <formula>X37&gt;$I$5</formula>
    </cfRule>
    <cfRule type="expression" dxfId="115" priority="5">
      <formula>AND($I$5&gt;0,X37&lt;$I$5*0.97)</formula>
    </cfRule>
    <cfRule type="expression" dxfId="114" priority="6">
      <formula>AND($I$5&gt;0,X37&gt;=$I$5*0.97,X37&lt;=$I$5)</formula>
    </cfRule>
  </conditionalFormatting>
  <conditionalFormatting sqref="Y37">
    <cfRule type="expression" dxfId="113" priority="7" stopIfTrue="1">
      <formula>Y37&gt;$J$5</formula>
    </cfRule>
    <cfRule type="expression" dxfId="112" priority="8">
      <formula>AND($J$5&gt;0,Y37&lt;$J$5*0.97)</formula>
    </cfRule>
    <cfRule type="expression" dxfId="111" priority="9">
      <formula>AND($J$5&gt;0,Y37&gt;=$J$5*0.97,Y37&lt;=$J$5)</formula>
    </cfRule>
  </conditionalFormatting>
  <conditionalFormatting sqref="Z37">
    <cfRule type="expression" dxfId="110" priority="10" stopIfTrue="1">
      <formula>Z37&gt;$K$5</formula>
    </cfRule>
    <cfRule type="expression" dxfId="109" priority="11">
      <formula>AND($K$5&gt;0,Z37&lt;$K$5*0.97)</formula>
    </cfRule>
    <cfRule type="expression" dxfId="108" priority="12">
      <formula>AND($K$5&gt;0,Z37&gt;=$K$5*0.97,Z37&lt;=$K$5)</formula>
    </cfRule>
  </conditionalFormatting>
  <conditionalFormatting sqref="AA37">
    <cfRule type="expression" dxfId="107" priority="13" stopIfTrue="1">
      <formula>AA37&gt;$H$5</formula>
    </cfRule>
    <cfRule type="expression" dxfId="106" priority="14">
      <formula>AND($H$5&gt;0,AA37&lt;$H$5*0.97)</formula>
    </cfRule>
    <cfRule type="expression" dxfId="105" priority="15">
      <formula>AND($H$5&gt;0,AA37&gt;=$H$5*0.97,AA37&lt;=$H$5)</formula>
    </cfRule>
  </conditionalFormatting>
  <conditionalFormatting sqref="AB37">
    <cfRule type="expression" dxfId="104" priority="16" stopIfTrue="1">
      <formula>AB37&gt;$L$5</formula>
    </cfRule>
    <cfRule type="expression" dxfId="103" priority="17">
      <formula>AND($L$5&gt;0,AB37&lt;$L$5*0.97)</formula>
    </cfRule>
    <cfRule type="expression" dxfId="102" priority="18">
      <formula>AND($L$5&gt;0,AB37&gt;=$L$5*0.97,AB37&lt;=$L$5)</formula>
    </cfRule>
  </conditionalFormatting>
  <conditionalFormatting sqref="AC37">
    <cfRule type="expression" dxfId="101" priority="19" stopIfTrue="1">
      <formula>AC37&gt;$M$5</formula>
    </cfRule>
    <cfRule type="expression" dxfId="100" priority="20">
      <formula>AND($M$5&gt;0,AC37&lt;$M$5*0.97)</formula>
    </cfRule>
    <cfRule type="expression" dxfId="99" priority="21">
      <formula>AND($M$5&gt;0,AC37&gt;=$M$5*0.97,AC37&lt;=$M$5)</formula>
    </cfRule>
  </conditionalFormatting>
  <conditionalFormatting sqref="AD37">
    <cfRule type="expression" dxfId="98" priority="22" stopIfTrue="1">
      <formula>AD37&gt;$G$5</formula>
    </cfRule>
    <cfRule type="expression" dxfId="97" priority="23">
      <formula>AND($G$5&gt;0,AD37&lt;$G$5*0.97)</formula>
    </cfRule>
    <cfRule type="expression" dxfId="96" priority="24">
      <formula>AND($G$5&gt;0,AD37&gt;=$G$5*0.97,AD37&lt;=$G$5)</formula>
    </cfRule>
  </conditionalFormatting>
  <conditionalFormatting sqref="AF37">
    <cfRule type="expression" dxfId="95" priority="25" stopIfTrue="1">
      <formula>AF37&gt;$I$5</formula>
    </cfRule>
    <cfRule type="expression" dxfId="94" priority="26">
      <formula>AND($I$5&gt;0,AF37&lt;$I$5*0.97)</formula>
    </cfRule>
    <cfRule type="expression" dxfId="93" priority="27">
      <formula>AND($I$5&gt;0,AF37&gt;=$I$5*0.97,AF37&lt;=$I$5)</formula>
    </cfRule>
  </conditionalFormatting>
  <conditionalFormatting sqref="AG37">
    <cfRule type="expression" dxfId="92" priority="28" stopIfTrue="1">
      <formula>AG37&gt;$J$5</formula>
    </cfRule>
    <cfRule type="expression" dxfId="91" priority="29">
      <formula>AND($J$5&gt;0,AG37&lt;$J$5*0.97)</formula>
    </cfRule>
    <cfRule type="expression" dxfId="90" priority="30">
      <formula>AND($J$5&gt;0,AG37&gt;=$J$5*0.97,AG37&lt;=$J$5)</formula>
    </cfRule>
  </conditionalFormatting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856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62.6</v>
      </c>
      <c r="D5" s="10">
        <f>C5*B5</f>
        <v>1064.2</v>
      </c>
      <c r="E5" s="11">
        <v>0.5635</v>
      </c>
      <c r="F5" s="10">
        <f>ROUND(D5*E5,0)</f>
        <v>600</v>
      </c>
      <c r="G5" s="10">
        <f>ROUND(F5*Settings!$B$4,0)</f>
        <v>572</v>
      </c>
      <c r="H5" s="10">
        <f>D5-F5</f>
        <v>464.20000000000005</v>
      </c>
      <c r="I5" s="8">
        <v>3994</v>
      </c>
      <c r="J5" s="9">
        <v>29</v>
      </c>
      <c r="K5" s="9">
        <v>12</v>
      </c>
      <c r="L5" s="8">
        <v>2010</v>
      </c>
      <c r="M5" s="9">
        <v>14</v>
      </c>
    </row>
    <row r="7" spans="1:47" x14ac:dyDescent="0.25">
      <c r="A7" s="5" t="s">
        <v>54</v>
      </c>
      <c r="B7" s="12" t="s">
        <v>857</v>
      </c>
    </row>
    <row r="8" spans="1:47" x14ac:dyDescent="0.25">
      <c r="A8" s="5" t="s">
        <v>56</v>
      </c>
      <c r="B8" s="13" t="s">
        <v>858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859</v>
      </c>
      <c r="C11" s="17">
        <v>1</v>
      </c>
      <c r="D11" s="17" t="s">
        <v>114</v>
      </c>
      <c r="E11" s="18" t="s">
        <v>99</v>
      </c>
      <c r="F11" s="19">
        <v>41</v>
      </c>
      <c r="G11" s="19">
        <v>53</v>
      </c>
      <c r="H11" s="19">
        <v>47</v>
      </c>
      <c r="I11" s="19">
        <v>382</v>
      </c>
      <c r="J11" s="19"/>
      <c r="K11" s="19"/>
      <c r="L11" s="19"/>
      <c r="M11" s="19"/>
      <c r="N11" s="19" t="s">
        <v>394</v>
      </c>
      <c r="O11" s="19">
        <v>17</v>
      </c>
      <c r="P11" s="20">
        <v>6.55</v>
      </c>
      <c r="Q11" s="20"/>
      <c r="R11" s="21"/>
      <c r="S11" s="21">
        <v>0.66300000000000003</v>
      </c>
      <c r="T11" s="20">
        <v>7.29</v>
      </c>
      <c r="U11" s="22">
        <v>17</v>
      </c>
      <c r="V11" s="22">
        <v>527</v>
      </c>
      <c r="W11" s="22">
        <v>342</v>
      </c>
      <c r="X11" s="22">
        <v>3784</v>
      </c>
      <c r="Y11" s="22">
        <v>25</v>
      </c>
      <c r="Z11" s="22">
        <v>12</v>
      </c>
      <c r="AA11" s="22">
        <v>56</v>
      </c>
      <c r="AB11" s="22">
        <v>334</v>
      </c>
      <c r="AC11" s="22">
        <v>1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5.9642857142857144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7.1802656546489567</v>
      </c>
      <c r="AM11" s="25">
        <f t="shared" ref="AM11:AM35" si="4">IFERROR(W11/V11,"")</f>
        <v>0.64895635673624286</v>
      </c>
      <c r="AN11" s="25">
        <f t="shared" ref="AN11:AN35" si="5">IFERROR(AA11/$H$5,"")</f>
        <v>0.12063765618267987</v>
      </c>
      <c r="AO11" s="25">
        <f t="shared" ref="AO11:AO35" si="6">IFERROR(AD11/$G$5,"")</f>
        <v>0</v>
      </c>
      <c r="AP11" s="25">
        <f t="shared" ref="AP11:AP35" si="7">IFERROR(V11/$F$5,"")</f>
        <v>0.8783333333333333</v>
      </c>
      <c r="AQ11" s="26">
        <f t="shared" ref="AQ11:AQ35" si="8">IFERROR(AA11/U11,"")</f>
        <v>3.2941176470588234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9</v>
      </c>
      <c r="AU11" s="28">
        <f>AF11*Settings!$B$7+AG11*Settings!$B$8+AE11*Settings!$B$9+AB11*Settings!$B$10+AC11*Settings!$B$11+X11*Settings!$B$12+Y11*Settings!$B$13+Z11*Settings!$B$14</f>
        <v>266.76</v>
      </c>
    </row>
    <row r="12" spans="1:47" x14ac:dyDescent="0.25">
      <c r="A12" s="15" t="s">
        <v>96</v>
      </c>
      <c r="B12" s="16" t="s">
        <v>860</v>
      </c>
      <c r="C12" s="17">
        <v>2</v>
      </c>
      <c r="D12" s="17" t="s">
        <v>200</v>
      </c>
      <c r="E12" s="18" t="s">
        <v>99</v>
      </c>
      <c r="F12" s="19">
        <v>23</v>
      </c>
      <c r="G12" s="19"/>
      <c r="H12" s="19">
        <v>8</v>
      </c>
      <c r="I12" s="19">
        <v>39</v>
      </c>
      <c r="J12" s="19">
        <v>1</v>
      </c>
      <c r="K12" s="19"/>
      <c r="L12" s="19"/>
      <c r="M12" s="19"/>
      <c r="N12" s="19" t="s">
        <v>290</v>
      </c>
      <c r="O12" s="19">
        <v>5</v>
      </c>
      <c r="P12" s="20">
        <v>5.35</v>
      </c>
      <c r="Q12" s="20">
        <v>-7</v>
      </c>
      <c r="R12" s="21">
        <v>1</v>
      </c>
      <c r="S12" s="21">
        <v>0.68500000000000005</v>
      </c>
      <c r="T12" s="20">
        <v>7.36</v>
      </c>
      <c r="U12" s="22">
        <v>17</v>
      </c>
      <c r="V12" s="22">
        <v>27</v>
      </c>
      <c r="W12" s="22">
        <v>17</v>
      </c>
      <c r="X12" s="22">
        <v>190</v>
      </c>
      <c r="Y12" s="22">
        <v>1</v>
      </c>
      <c r="Z12" s="22">
        <v>1</v>
      </c>
      <c r="AA12" s="22">
        <v>2</v>
      </c>
      <c r="AB12" s="22">
        <v>10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5</v>
      </c>
      <c r="AJ12" s="24" t="str">
        <f t="shared" si="1"/>
        <v/>
      </c>
      <c r="AK12" s="25" t="str">
        <f t="shared" si="2"/>
        <v/>
      </c>
      <c r="AL12" s="24">
        <f t="shared" si="3"/>
        <v>7.0370370370370372</v>
      </c>
      <c r="AM12" s="25">
        <f t="shared" si="4"/>
        <v>0.62962962962962965</v>
      </c>
      <c r="AN12" s="25">
        <f t="shared" si="5"/>
        <v>4.3084877208099956E-3</v>
      </c>
      <c r="AO12" s="25">
        <f t="shared" si="6"/>
        <v>0</v>
      </c>
      <c r="AP12" s="25">
        <f t="shared" si="7"/>
        <v>4.4999999999999998E-2</v>
      </c>
      <c r="AQ12" s="26">
        <f t="shared" si="8"/>
        <v>0.11764705882352941</v>
      </c>
      <c r="AR12" s="26">
        <f t="shared" si="9"/>
        <v>0</v>
      </c>
      <c r="AS12" s="27">
        <f t="shared" si="10"/>
        <v>0</v>
      </c>
      <c r="AT12" s="27">
        <f t="shared" si="11"/>
        <v>-6</v>
      </c>
      <c r="AU12" s="28">
        <f>AF12*Settings!$B$7+AG12*Settings!$B$8+AE12*Settings!$B$9+AB12*Settings!$B$10+AC12*Settings!$B$11+X12*Settings!$B$12+Y12*Settings!$B$13+Z12*Settings!$B$14</f>
        <v>10.600000000000001</v>
      </c>
    </row>
    <row r="13" spans="1:47" x14ac:dyDescent="0.25">
      <c r="A13" s="15" t="s">
        <v>96</v>
      </c>
      <c r="B13" s="16" t="s">
        <v>861</v>
      </c>
      <c r="C13" s="17">
        <v>3</v>
      </c>
      <c r="D13" s="17" t="s">
        <v>105</v>
      </c>
      <c r="E13" s="18" t="s">
        <v>99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1"/>
      <c r="S13" s="21"/>
      <c r="T13" s="20"/>
      <c r="U13" s="22">
        <v>17</v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33"/>
      <c r="AI13" s="24" t="str">
        <f t="shared" si="0"/>
        <v/>
      </c>
      <c r="AJ13" s="24" t="str">
        <f t="shared" si="1"/>
        <v/>
      </c>
      <c r="AK13" s="25" t="str">
        <f t="shared" si="2"/>
        <v/>
      </c>
      <c r="AL13" s="24" t="str">
        <f t="shared" si="3"/>
        <v/>
      </c>
      <c r="AM13" s="25" t="str">
        <f t="shared" si="4"/>
        <v/>
      </c>
      <c r="AN13" s="25">
        <f t="shared" si="5"/>
        <v>0</v>
      </c>
      <c r="AO13" s="25">
        <f t="shared" si="6"/>
        <v>0</v>
      </c>
      <c r="AP13" s="25">
        <f t="shared" si="7"/>
        <v>0</v>
      </c>
      <c r="AQ13" s="26">
        <f t="shared" si="8"/>
        <v>0</v>
      </c>
      <c r="AR13" s="26">
        <f t="shared" si="9"/>
        <v>0</v>
      </c>
      <c r="AS13" s="27">
        <f t="shared" si="10"/>
        <v>0</v>
      </c>
      <c r="AT13" s="27">
        <f t="shared" si="11"/>
        <v>0</v>
      </c>
      <c r="AU13" s="28">
        <f>AF13*Settings!$B$7+AG13*Settings!$B$8+AE13*Settings!$B$9+AB13*Settings!$B$10+AC13*Settings!$B$11+X13*Settings!$B$12+Y13*Settings!$B$13+Z13*Settings!$B$14</f>
        <v>0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862</v>
      </c>
      <c r="C15" s="17">
        <v>1</v>
      </c>
      <c r="D15" s="17" t="s">
        <v>103</v>
      </c>
      <c r="E15" s="18" t="s">
        <v>99</v>
      </c>
      <c r="F15" s="19"/>
      <c r="G15" s="19">
        <v>207</v>
      </c>
      <c r="H15" s="19">
        <v>173</v>
      </c>
      <c r="I15" s="19">
        <v>588</v>
      </c>
      <c r="J15" s="19"/>
      <c r="K15" s="19">
        <v>52</v>
      </c>
      <c r="L15" s="19">
        <v>35</v>
      </c>
      <c r="M15" s="19">
        <v>277</v>
      </c>
      <c r="N15" s="19" t="s">
        <v>394</v>
      </c>
      <c r="O15" s="19">
        <v>10</v>
      </c>
      <c r="P15" s="20">
        <v>4.5</v>
      </c>
      <c r="Q15" s="20">
        <v>8.69</v>
      </c>
      <c r="R15" s="21">
        <v>0.88500000000000001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238</v>
      </c>
      <c r="AB15" s="22">
        <v>949</v>
      </c>
      <c r="AC15" s="22">
        <v>6</v>
      </c>
      <c r="AD15" s="22">
        <v>46</v>
      </c>
      <c r="AE15" s="22">
        <v>39</v>
      </c>
      <c r="AF15" s="22">
        <v>319</v>
      </c>
      <c r="AG15" s="22">
        <v>2</v>
      </c>
      <c r="AH15" s="23" t="s">
        <v>101</v>
      </c>
      <c r="AI15" s="24">
        <f t="shared" si="0"/>
        <v>3.9873949579831933</v>
      </c>
      <c r="AJ15" s="24">
        <f t="shared" si="1"/>
        <v>8.1794871794871788</v>
      </c>
      <c r="AK15" s="25">
        <f t="shared" si="2"/>
        <v>0.84782608695652173</v>
      </c>
      <c r="AL15" s="24" t="str">
        <f t="shared" si="3"/>
        <v/>
      </c>
      <c r="AM15" s="25" t="str">
        <f t="shared" si="4"/>
        <v/>
      </c>
      <c r="AN15" s="25">
        <f t="shared" si="5"/>
        <v>0.51271003877638943</v>
      </c>
      <c r="AO15" s="25">
        <f t="shared" si="6"/>
        <v>8.0419580419580416E-2</v>
      </c>
      <c r="AP15" s="25">
        <f t="shared" si="7"/>
        <v>0</v>
      </c>
      <c r="AQ15" s="26">
        <f t="shared" si="8"/>
        <v>14</v>
      </c>
      <c r="AR15" s="26">
        <f t="shared" si="9"/>
        <v>2.7058823529411766</v>
      </c>
      <c r="AS15" s="27">
        <f t="shared" si="10"/>
        <v>11</v>
      </c>
      <c r="AT15" s="27">
        <f t="shared" si="11"/>
        <v>65</v>
      </c>
      <c r="AU15" s="28">
        <f>AF15*Settings!$B$7+AG15*Settings!$B$8+AE15*Settings!$B$9+AB15*Settings!$B$10+AC15*Settings!$B$11+X15*Settings!$B$12+Y15*Settings!$B$13+Z15*Settings!$B$14</f>
        <v>194.3</v>
      </c>
    </row>
    <row r="16" spans="1:47" x14ac:dyDescent="0.25">
      <c r="A16" s="15" t="s">
        <v>107</v>
      </c>
      <c r="B16" s="16" t="s">
        <v>863</v>
      </c>
      <c r="C16" s="17">
        <v>2</v>
      </c>
      <c r="D16" s="17" t="s">
        <v>158</v>
      </c>
      <c r="E16" s="18" t="s">
        <v>99</v>
      </c>
      <c r="F16" s="19">
        <v>84</v>
      </c>
      <c r="G16" s="19">
        <v>75</v>
      </c>
      <c r="H16" s="19">
        <v>114</v>
      </c>
      <c r="I16" s="19">
        <v>537</v>
      </c>
      <c r="J16" s="19">
        <v>37</v>
      </c>
      <c r="K16" s="19">
        <v>22</v>
      </c>
      <c r="L16" s="19">
        <v>85</v>
      </c>
      <c r="M16" s="19">
        <v>486</v>
      </c>
      <c r="N16" s="19" t="s">
        <v>613</v>
      </c>
      <c r="O16" s="19">
        <v>17</v>
      </c>
      <c r="P16" s="20">
        <v>4.3600000000000003</v>
      </c>
      <c r="Q16" s="20">
        <v>6.6</v>
      </c>
      <c r="R16" s="21">
        <v>0.82599999999999996</v>
      </c>
      <c r="S16" s="21">
        <v>1</v>
      </c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114</v>
      </c>
      <c r="AB16" s="22">
        <v>503</v>
      </c>
      <c r="AC16" s="22">
        <v>4</v>
      </c>
      <c r="AD16" s="22">
        <v>63</v>
      </c>
      <c r="AE16" s="22">
        <v>49</v>
      </c>
      <c r="AF16" s="22">
        <v>346</v>
      </c>
      <c r="AG16" s="22">
        <v>2</v>
      </c>
      <c r="AH16" s="23" t="s">
        <v>101</v>
      </c>
      <c r="AI16" s="24">
        <f t="shared" si="0"/>
        <v>4.4122807017543861</v>
      </c>
      <c r="AJ16" s="24">
        <f t="shared" si="1"/>
        <v>7.0612244897959187</v>
      </c>
      <c r="AK16" s="25">
        <f t="shared" si="2"/>
        <v>0.77777777777777779</v>
      </c>
      <c r="AL16" s="24" t="str">
        <f t="shared" si="3"/>
        <v/>
      </c>
      <c r="AM16" s="25" t="str">
        <f t="shared" si="4"/>
        <v/>
      </c>
      <c r="AN16" s="25">
        <f t="shared" si="5"/>
        <v>0.24558380008616973</v>
      </c>
      <c r="AO16" s="25">
        <f t="shared" si="6"/>
        <v>0.11013986013986014</v>
      </c>
      <c r="AP16" s="25">
        <f t="shared" si="7"/>
        <v>0</v>
      </c>
      <c r="AQ16" s="26">
        <f t="shared" si="8"/>
        <v>6.7058823529411766</v>
      </c>
      <c r="AR16" s="26">
        <f t="shared" si="9"/>
        <v>3.7058823529411766</v>
      </c>
      <c r="AS16" s="27">
        <f t="shared" si="10"/>
        <v>-22</v>
      </c>
      <c r="AT16" s="27">
        <f t="shared" si="11"/>
        <v>0</v>
      </c>
      <c r="AU16" s="28">
        <f>AF16*Settings!$B$7+AG16*Settings!$B$8+AE16*Settings!$B$9+AB16*Settings!$B$10+AC16*Settings!$B$11+X16*Settings!$B$12+Y16*Settings!$B$13+Z16*Settings!$B$14</f>
        <v>145.4</v>
      </c>
    </row>
    <row r="17" spans="1:47" x14ac:dyDescent="0.25">
      <c r="A17" s="15" t="s">
        <v>107</v>
      </c>
      <c r="B17" s="16" t="s">
        <v>864</v>
      </c>
      <c r="C17" s="17">
        <v>3</v>
      </c>
      <c r="D17" s="17" t="s">
        <v>118</v>
      </c>
      <c r="E17" s="18" t="s">
        <v>99</v>
      </c>
      <c r="F17" s="19">
        <v>15</v>
      </c>
      <c r="G17" s="19">
        <v>50</v>
      </c>
      <c r="H17" s="19">
        <v>86</v>
      </c>
      <c r="I17" s="19">
        <v>320</v>
      </c>
      <c r="J17" s="19">
        <v>2</v>
      </c>
      <c r="K17" s="19">
        <v>12</v>
      </c>
      <c r="L17" s="19">
        <v>11</v>
      </c>
      <c r="M17" s="19">
        <v>34</v>
      </c>
      <c r="N17" s="19" t="s">
        <v>394</v>
      </c>
      <c r="O17" s="19">
        <v>17</v>
      </c>
      <c r="P17" s="20">
        <v>4.3099999999999996</v>
      </c>
      <c r="Q17" s="20">
        <v>8</v>
      </c>
      <c r="R17" s="21">
        <v>0.76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57</v>
      </c>
      <c r="AB17" s="22">
        <v>240</v>
      </c>
      <c r="AC17" s="22">
        <v>3</v>
      </c>
      <c r="AD17" s="22">
        <v>5</v>
      </c>
      <c r="AE17" s="22">
        <v>6</v>
      </c>
      <c r="AF17" s="22">
        <v>45</v>
      </c>
      <c r="AG17" s="22">
        <v>0</v>
      </c>
      <c r="AH17" s="23" t="s">
        <v>101</v>
      </c>
      <c r="AI17" s="24">
        <f t="shared" si="0"/>
        <v>4.2105263157894735</v>
      </c>
      <c r="AJ17" s="24">
        <f t="shared" si="1"/>
        <v>7.5</v>
      </c>
      <c r="AK17" s="25">
        <f t="shared" si="2"/>
        <v>1.2</v>
      </c>
      <c r="AL17" s="24" t="str">
        <f t="shared" si="3"/>
        <v/>
      </c>
      <c r="AM17" s="25" t="str">
        <f t="shared" si="4"/>
        <v/>
      </c>
      <c r="AN17" s="25">
        <f t="shared" si="5"/>
        <v>0.12279190004308486</v>
      </c>
      <c r="AO17" s="25">
        <f t="shared" si="6"/>
        <v>8.7412587412587419E-3</v>
      </c>
      <c r="AP17" s="25">
        <f t="shared" si="7"/>
        <v>0</v>
      </c>
      <c r="AQ17" s="26">
        <f t="shared" si="8"/>
        <v>3.3529411764705883</v>
      </c>
      <c r="AR17" s="26">
        <f t="shared" si="9"/>
        <v>0.29411764705882354</v>
      </c>
      <c r="AS17" s="27">
        <f t="shared" si="10"/>
        <v>-6</v>
      </c>
      <c r="AT17" s="27">
        <f t="shared" si="11"/>
        <v>-29</v>
      </c>
      <c r="AU17" s="28">
        <f>AF17*Settings!$B$7+AG17*Settings!$B$8+AE17*Settings!$B$9+AB17*Settings!$B$10+AC17*Settings!$B$11+X17*Settings!$B$12+Y17*Settings!$B$13+Z17*Settings!$B$14</f>
        <v>49.5</v>
      </c>
    </row>
    <row r="18" spans="1:47" x14ac:dyDescent="0.25">
      <c r="A18" s="15" t="s">
        <v>107</v>
      </c>
      <c r="B18" s="16" t="s">
        <v>865</v>
      </c>
      <c r="C18" s="17">
        <v>4</v>
      </c>
      <c r="D18" s="17" t="s">
        <v>105</v>
      </c>
      <c r="E18" s="18" t="s">
        <v>99</v>
      </c>
      <c r="F18" s="19"/>
      <c r="G18" s="19"/>
      <c r="H18" s="19">
        <v>4</v>
      </c>
      <c r="I18" s="19">
        <v>11</v>
      </c>
      <c r="J18" s="19"/>
      <c r="K18" s="19"/>
      <c r="L18" s="19"/>
      <c r="M18" s="19"/>
      <c r="N18" s="19" t="s">
        <v>394</v>
      </c>
      <c r="O18" s="19">
        <v>3</v>
      </c>
      <c r="P18" s="20">
        <v>2.75</v>
      </c>
      <c r="Q18" s="20"/>
      <c r="R18" s="21"/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2</v>
      </c>
      <c r="AB18" s="22">
        <v>5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3" t="s">
        <v>101</v>
      </c>
      <c r="AI18" s="24">
        <f t="shared" si="0"/>
        <v>2.5</v>
      </c>
      <c r="AJ18" s="24" t="str">
        <f t="shared" si="1"/>
        <v/>
      </c>
      <c r="AK18" s="25" t="str">
        <f t="shared" si="2"/>
        <v/>
      </c>
      <c r="AL18" s="24" t="str">
        <f t="shared" si="3"/>
        <v/>
      </c>
      <c r="AM18" s="25" t="str">
        <f t="shared" si="4"/>
        <v/>
      </c>
      <c r="AN18" s="25">
        <f t="shared" si="5"/>
        <v>4.3084877208099956E-3</v>
      </c>
      <c r="AO18" s="25">
        <f t="shared" si="6"/>
        <v>0</v>
      </c>
      <c r="AP18" s="25">
        <f t="shared" si="7"/>
        <v>0</v>
      </c>
      <c r="AQ18" s="26">
        <f t="shared" si="8"/>
        <v>0.11764705882352941</v>
      </c>
      <c r="AR18" s="26">
        <f t="shared" si="9"/>
        <v>0</v>
      </c>
      <c r="AS18" s="27">
        <f t="shared" si="10"/>
        <v>0</v>
      </c>
      <c r="AT18" s="27">
        <f t="shared" si="11"/>
        <v>-2</v>
      </c>
      <c r="AU18" s="28">
        <f>AF18*Settings!$B$7+AG18*Settings!$B$8+AE18*Settings!$B$9+AB18*Settings!$B$10+AC18*Settings!$B$11+X18*Settings!$B$12+Y18*Settings!$B$13+Z18*Settings!$B$14</f>
        <v>0.5</v>
      </c>
    </row>
    <row r="19" spans="1:47" x14ac:dyDescent="0.25">
      <c r="A19" s="15" t="s">
        <v>107</v>
      </c>
      <c r="B19" s="16" t="s">
        <v>866</v>
      </c>
      <c r="C19" s="17">
        <v>5</v>
      </c>
      <c r="D19" s="17"/>
      <c r="E19" s="18" t="s">
        <v>99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1"/>
      <c r="S19" s="21"/>
      <c r="T19" s="20"/>
      <c r="U19" s="22">
        <v>17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33"/>
      <c r="AI19" s="24" t="str">
        <f t="shared" si="0"/>
        <v/>
      </c>
      <c r="AJ19" s="24" t="str">
        <f t="shared" si="1"/>
        <v/>
      </c>
      <c r="AK19" s="25" t="str">
        <f t="shared" si="2"/>
        <v/>
      </c>
      <c r="AL19" s="24" t="str">
        <f t="shared" si="3"/>
        <v/>
      </c>
      <c r="AM19" s="25" t="str">
        <f t="shared" si="4"/>
        <v/>
      </c>
      <c r="AN19" s="25">
        <f t="shared" si="5"/>
        <v>0</v>
      </c>
      <c r="AO19" s="25">
        <f t="shared" si="6"/>
        <v>0</v>
      </c>
      <c r="AP19" s="25">
        <f t="shared" si="7"/>
        <v>0</v>
      </c>
      <c r="AQ19" s="26">
        <f t="shared" si="8"/>
        <v>0</v>
      </c>
      <c r="AR19" s="26">
        <f t="shared" si="9"/>
        <v>0</v>
      </c>
      <c r="AS19" s="27">
        <f t="shared" si="10"/>
        <v>0</v>
      </c>
      <c r="AT19" s="27">
        <f t="shared" si="11"/>
        <v>0</v>
      </c>
      <c r="AU19" s="28">
        <f>AF19*Settings!$B$7+AG19*Settings!$B$8+AE19*Settings!$B$9+AB19*Settings!$B$10+AC19*Settings!$B$11+X19*Settings!$B$12+Y19*Settings!$B$13+Z19*Settings!$B$14</f>
        <v>0</v>
      </c>
    </row>
    <row r="20" spans="1:47" x14ac:dyDescent="0.25">
      <c r="A20" s="15" t="s">
        <v>107</v>
      </c>
      <c r="B20" s="16" t="s">
        <v>867</v>
      </c>
      <c r="C20" s="17">
        <v>6</v>
      </c>
      <c r="D20" s="17" t="s">
        <v>168</v>
      </c>
      <c r="E20" s="18" t="s">
        <v>99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1"/>
      <c r="S20" s="21"/>
      <c r="T20" s="20"/>
      <c r="U20" s="22">
        <v>17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33"/>
      <c r="AI20" s="24" t="str">
        <f t="shared" si="0"/>
        <v/>
      </c>
      <c r="AJ20" s="24" t="str">
        <f t="shared" si="1"/>
        <v/>
      </c>
      <c r="AK20" s="25" t="str">
        <f t="shared" si="2"/>
        <v/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0</v>
      </c>
      <c r="AP20" s="25">
        <f t="shared" si="7"/>
        <v>0</v>
      </c>
      <c r="AQ20" s="26">
        <f t="shared" si="8"/>
        <v>0</v>
      </c>
      <c r="AR20" s="26">
        <f t="shared" si="9"/>
        <v>0</v>
      </c>
      <c r="AS20" s="27">
        <f t="shared" si="10"/>
        <v>0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0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868</v>
      </c>
      <c r="C22" s="17">
        <v>1</v>
      </c>
      <c r="D22" s="17" t="s">
        <v>103</v>
      </c>
      <c r="E22" s="18" t="s">
        <v>99</v>
      </c>
      <c r="F22" s="19"/>
      <c r="G22" s="19"/>
      <c r="H22" s="19">
        <v>2</v>
      </c>
      <c r="I22" s="19">
        <v>9</v>
      </c>
      <c r="J22" s="19"/>
      <c r="K22" s="19"/>
      <c r="L22" s="19">
        <v>127</v>
      </c>
      <c r="M22" s="19">
        <v>938</v>
      </c>
      <c r="N22" s="19" t="s">
        <v>394</v>
      </c>
      <c r="O22" s="19">
        <v>17</v>
      </c>
      <c r="P22" s="20">
        <v>4.5</v>
      </c>
      <c r="Q22" s="20">
        <v>14.89</v>
      </c>
      <c r="R22" s="21">
        <v>0.496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2</v>
      </c>
      <c r="AB22" s="22">
        <v>7</v>
      </c>
      <c r="AC22" s="22">
        <v>0</v>
      </c>
      <c r="AD22" s="22">
        <v>132</v>
      </c>
      <c r="AE22" s="22">
        <v>72</v>
      </c>
      <c r="AF22" s="22">
        <v>1049</v>
      </c>
      <c r="AG22" s="22">
        <v>7</v>
      </c>
      <c r="AH22" s="23" t="s">
        <v>101</v>
      </c>
      <c r="AI22" s="24">
        <f t="shared" si="0"/>
        <v>3.5</v>
      </c>
      <c r="AJ22" s="24">
        <f t="shared" si="1"/>
        <v>14.569444444444445</v>
      </c>
      <c r="AK22" s="25">
        <f t="shared" si="2"/>
        <v>0.54545454545454541</v>
      </c>
      <c r="AL22" s="24" t="str">
        <f t="shared" si="3"/>
        <v/>
      </c>
      <c r="AM22" s="25" t="str">
        <f t="shared" si="4"/>
        <v/>
      </c>
      <c r="AN22" s="25">
        <f t="shared" si="5"/>
        <v>4.3084877208099956E-3</v>
      </c>
      <c r="AO22" s="25">
        <f t="shared" si="6"/>
        <v>0.23076923076923078</v>
      </c>
      <c r="AP22" s="25">
        <f t="shared" si="7"/>
        <v>0</v>
      </c>
      <c r="AQ22" s="26">
        <f t="shared" si="8"/>
        <v>0.11764705882352941</v>
      </c>
      <c r="AR22" s="26">
        <f t="shared" si="9"/>
        <v>7.7647058823529411</v>
      </c>
      <c r="AS22" s="27">
        <f t="shared" si="10"/>
        <v>5</v>
      </c>
      <c r="AT22" s="27">
        <f t="shared" si="11"/>
        <v>0</v>
      </c>
      <c r="AU22" s="28">
        <f>AF22*Settings!$B$7+AG22*Settings!$B$8+AE22*Settings!$B$9+AB22*Settings!$B$10+AC22*Settings!$B$11+X22*Settings!$B$12+Y22*Settings!$B$13+Z22*Settings!$B$14</f>
        <v>183.6</v>
      </c>
    </row>
    <row r="23" spans="1:47" x14ac:dyDescent="0.25">
      <c r="A23" s="15" t="s">
        <v>121</v>
      </c>
      <c r="B23" s="16" t="s">
        <v>869</v>
      </c>
      <c r="C23" s="17">
        <v>2</v>
      </c>
      <c r="D23" s="17" t="s">
        <v>200</v>
      </c>
      <c r="E23" s="18" t="s">
        <v>99</v>
      </c>
      <c r="F23" s="19">
        <v>4</v>
      </c>
      <c r="G23" s="19">
        <v>1</v>
      </c>
      <c r="H23" s="19"/>
      <c r="I23" s="19"/>
      <c r="J23" s="19">
        <v>130</v>
      </c>
      <c r="K23" s="19">
        <v>62</v>
      </c>
      <c r="L23" s="19">
        <v>51</v>
      </c>
      <c r="M23" s="19">
        <v>360</v>
      </c>
      <c r="N23" s="19" t="s">
        <v>394</v>
      </c>
      <c r="O23" s="19">
        <v>9</v>
      </c>
      <c r="P23" s="20">
        <v>8</v>
      </c>
      <c r="Q23" s="20">
        <v>11.81</v>
      </c>
      <c r="R23" s="21">
        <v>0.68300000000000005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2</v>
      </c>
      <c r="AC23" s="22">
        <v>0</v>
      </c>
      <c r="AD23" s="22">
        <v>101</v>
      </c>
      <c r="AE23" s="22">
        <v>70</v>
      </c>
      <c r="AF23" s="22">
        <v>796</v>
      </c>
      <c r="AG23" s="22">
        <v>5</v>
      </c>
      <c r="AH23" s="23" t="s">
        <v>101</v>
      </c>
      <c r="AI23" s="24" t="str">
        <f t="shared" si="0"/>
        <v/>
      </c>
      <c r="AJ23" s="24">
        <f t="shared" si="1"/>
        <v>11.371428571428572</v>
      </c>
      <c r="AK23" s="25">
        <f t="shared" si="2"/>
        <v>0.69306930693069302</v>
      </c>
      <c r="AL23" s="24" t="str">
        <f t="shared" si="3"/>
        <v/>
      </c>
      <c r="AM23" s="25" t="str">
        <f t="shared" si="4"/>
        <v/>
      </c>
      <c r="AN23" s="25">
        <f t="shared" si="5"/>
        <v>0</v>
      </c>
      <c r="AO23" s="25">
        <f t="shared" si="6"/>
        <v>0.17657342657342656</v>
      </c>
      <c r="AP23" s="25">
        <f t="shared" si="7"/>
        <v>0</v>
      </c>
      <c r="AQ23" s="26">
        <f t="shared" si="8"/>
        <v>0</v>
      </c>
      <c r="AR23" s="26">
        <f t="shared" si="9"/>
        <v>5.9411764705882355</v>
      </c>
      <c r="AS23" s="27">
        <f t="shared" si="10"/>
        <v>50</v>
      </c>
      <c r="AT23" s="27">
        <f t="shared" si="11"/>
        <v>0</v>
      </c>
      <c r="AU23" s="28">
        <f>AF23*Settings!$B$7+AG23*Settings!$B$8+AE23*Settings!$B$9+AB23*Settings!$B$10+AC23*Settings!$B$11+X23*Settings!$B$12+Y23*Settings!$B$13+Z23*Settings!$B$14</f>
        <v>144.80000000000001</v>
      </c>
    </row>
    <row r="24" spans="1:47" x14ac:dyDescent="0.25">
      <c r="A24" s="15" t="s">
        <v>121</v>
      </c>
      <c r="B24" s="16" t="s">
        <v>870</v>
      </c>
      <c r="C24" s="17">
        <v>3</v>
      </c>
      <c r="D24" s="17" t="s">
        <v>118</v>
      </c>
      <c r="E24" s="32" t="s">
        <v>115</v>
      </c>
      <c r="F24" s="19"/>
      <c r="G24" s="19">
        <v>4</v>
      </c>
      <c r="H24" s="19">
        <v>1</v>
      </c>
      <c r="I24" s="19">
        <v>1</v>
      </c>
      <c r="J24" s="19"/>
      <c r="K24" s="19">
        <v>58</v>
      </c>
      <c r="L24" s="19">
        <v>15</v>
      </c>
      <c r="M24" s="19">
        <v>178</v>
      </c>
      <c r="N24" s="19" t="s">
        <v>394</v>
      </c>
      <c r="O24" s="19">
        <v>4</v>
      </c>
      <c r="P24" s="20">
        <v>8.8000000000000007</v>
      </c>
      <c r="Q24" s="20">
        <v>13.04</v>
      </c>
      <c r="R24" s="21">
        <v>0.67100000000000004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4</v>
      </c>
      <c r="AB24" s="22">
        <v>19</v>
      </c>
      <c r="AC24" s="22">
        <v>0</v>
      </c>
      <c r="AD24" s="22">
        <v>65</v>
      </c>
      <c r="AE24" s="22">
        <v>43</v>
      </c>
      <c r="AF24" s="22">
        <v>569</v>
      </c>
      <c r="AG24" s="22">
        <v>4</v>
      </c>
      <c r="AH24" s="23" t="s">
        <v>101</v>
      </c>
      <c r="AI24" s="24">
        <f t="shared" si="0"/>
        <v>4.75</v>
      </c>
      <c r="AJ24" s="24">
        <f t="shared" si="1"/>
        <v>13.232558139534884</v>
      </c>
      <c r="AK24" s="25">
        <f t="shared" si="2"/>
        <v>0.66153846153846152</v>
      </c>
      <c r="AL24" s="24" t="str">
        <f t="shared" si="3"/>
        <v/>
      </c>
      <c r="AM24" s="25" t="str">
        <f t="shared" si="4"/>
        <v/>
      </c>
      <c r="AN24" s="25">
        <f t="shared" si="5"/>
        <v>8.6169754416199913E-3</v>
      </c>
      <c r="AO24" s="25">
        <f t="shared" si="6"/>
        <v>0.11363636363636363</v>
      </c>
      <c r="AP24" s="25">
        <f t="shared" si="7"/>
        <v>0</v>
      </c>
      <c r="AQ24" s="26">
        <f t="shared" si="8"/>
        <v>0.23529411764705882</v>
      </c>
      <c r="AR24" s="26">
        <f t="shared" si="9"/>
        <v>3.8235294117647061</v>
      </c>
      <c r="AS24" s="27">
        <f t="shared" si="10"/>
        <v>50</v>
      </c>
      <c r="AT24" s="27">
        <f t="shared" si="11"/>
        <v>3</v>
      </c>
      <c r="AU24" s="28">
        <f>AF24*Settings!$B$7+AG24*Settings!$B$8+AE24*Settings!$B$9+AB24*Settings!$B$10+AC24*Settings!$B$11+X24*Settings!$B$12+Y24*Settings!$B$13+Z24*Settings!$B$14</f>
        <v>104.30000000000001</v>
      </c>
    </row>
    <row r="25" spans="1:47" x14ac:dyDescent="0.25">
      <c r="A25" s="15" t="s">
        <v>121</v>
      </c>
      <c r="B25" s="16" t="s">
        <v>871</v>
      </c>
      <c r="C25" s="17">
        <v>4</v>
      </c>
      <c r="D25" s="17" t="s">
        <v>128</v>
      </c>
      <c r="E25" s="18" t="s">
        <v>99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20"/>
      <c r="R25" s="21"/>
      <c r="S25" s="21"/>
      <c r="T25" s="20"/>
      <c r="U25" s="22">
        <v>17</v>
      </c>
      <c r="V25" s="22"/>
      <c r="W25" s="22"/>
      <c r="X25" s="22"/>
      <c r="Y25" s="22"/>
      <c r="Z25" s="22"/>
      <c r="AA25" s="22">
        <v>1</v>
      </c>
      <c r="AB25" s="22">
        <v>3</v>
      </c>
      <c r="AC25" s="22">
        <v>0</v>
      </c>
      <c r="AD25" s="22">
        <v>43</v>
      </c>
      <c r="AE25" s="22">
        <v>24</v>
      </c>
      <c r="AF25" s="22">
        <v>313</v>
      </c>
      <c r="AG25" s="22">
        <v>2</v>
      </c>
      <c r="AH25" s="23" t="s">
        <v>101</v>
      </c>
      <c r="AI25" s="24">
        <f t="shared" si="0"/>
        <v>3</v>
      </c>
      <c r="AJ25" s="24">
        <f t="shared" si="1"/>
        <v>13.041666666666666</v>
      </c>
      <c r="AK25" s="25">
        <f t="shared" si="2"/>
        <v>0.55813953488372092</v>
      </c>
      <c r="AL25" s="24" t="str">
        <f t="shared" si="3"/>
        <v/>
      </c>
      <c r="AM25" s="25" t="str">
        <f t="shared" si="4"/>
        <v/>
      </c>
      <c r="AN25" s="25">
        <f t="shared" si="5"/>
        <v>2.1542438604049978E-3</v>
      </c>
      <c r="AO25" s="25">
        <f t="shared" si="6"/>
        <v>7.5174825174825169E-2</v>
      </c>
      <c r="AP25" s="25">
        <f t="shared" si="7"/>
        <v>0</v>
      </c>
      <c r="AQ25" s="26">
        <f t="shared" si="8"/>
        <v>5.8823529411764705E-2</v>
      </c>
      <c r="AR25" s="26">
        <f t="shared" si="9"/>
        <v>2.5294117647058822</v>
      </c>
      <c r="AS25" s="27">
        <f t="shared" si="10"/>
        <v>43</v>
      </c>
      <c r="AT25" s="27">
        <f t="shared" si="11"/>
        <v>1</v>
      </c>
      <c r="AU25" s="28">
        <f>AF25*Settings!$B$7+AG25*Settings!$B$8+AE25*Settings!$B$9+AB25*Settings!$B$10+AC25*Settings!$B$11+X25*Settings!$B$12+Y25*Settings!$B$13+Z25*Settings!$B$14</f>
        <v>55.599999999999994</v>
      </c>
    </row>
    <row r="26" spans="1:47" x14ac:dyDescent="0.25">
      <c r="A26" s="15" t="s">
        <v>121</v>
      </c>
      <c r="B26" s="16" t="s">
        <v>872</v>
      </c>
      <c r="C26" s="17">
        <v>5</v>
      </c>
      <c r="D26" s="17" t="s">
        <v>103</v>
      </c>
      <c r="E26" s="18" t="s">
        <v>99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  <c r="R26" s="21"/>
      <c r="S26" s="21"/>
      <c r="T26" s="20"/>
      <c r="U26" s="22">
        <v>17</v>
      </c>
      <c r="V26" s="22"/>
      <c r="W26" s="22"/>
      <c r="X26" s="22"/>
      <c r="Y26" s="22"/>
      <c r="Z26" s="22"/>
      <c r="AA26" s="22">
        <v>0</v>
      </c>
      <c r="AB26" s="22">
        <v>0</v>
      </c>
      <c r="AC26" s="22">
        <v>0</v>
      </c>
      <c r="AD26" s="22">
        <v>15</v>
      </c>
      <c r="AE26" s="22">
        <v>9</v>
      </c>
      <c r="AF26" s="22">
        <v>105</v>
      </c>
      <c r="AG26" s="22">
        <v>1</v>
      </c>
      <c r="AH26" s="23" t="s">
        <v>101</v>
      </c>
      <c r="AI26" s="24" t="str">
        <f t="shared" si="0"/>
        <v/>
      </c>
      <c r="AJ26" s="24">
        <f t="shared" si="1"/>
        <v>11.666666666666666</v>
      </c>
      <c r="AK26" s="25">
        <f t="shared" si="2"/>
        <v>0.6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2.6223776223776224E-2</v>
      </c>
      <c r="AP26" s="25">
        <f t="shared" si="7"/>
        <v>0</v>
      </c>
      <c r="AQ26" s="26">
        <f t="shared" si="8"/>
        <v>0</v>
      </c>
      <c r="AR26" s="26">
        <f t="shared" si="9"/>
        <v>0.88235294117647056</v>
      </c>
      <c r="AS26" s="27">
        <f t="shared" si="10"/>
        <v>15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21</v>
      </c>
    </row>
    <row r="27" spans="1:47" x14ac:dyDescent="0.25">
      <c r="A27" s="15" t="s">
        <v>121</v>
      </c>
      <c r="B27" s="16" t="s">
        <v>873</v>
      </c>
      <c r="C27" s="17">
        <v>6</v>
      </c>
      <c r="D27" s="17" t="s">
        <v>200</v>
      </c>
      <c r="E27" s="18" t="s">
        <v>99</v>
      </c>
      <c r="F27" s="19"/>
      <c r="G27" s="19"/>
      <c r="H27" s="19"/>
      <c r="I27" s="19"/>
      <c r="J27" s="19"/>
      <c r="K27" s="19"/>
      <c r="L27" s="19">
        <v>36</v>
      </c>
      <c r="M27" s="19">
        <v>191</v>
      </c>
      <c r="N27" s="19" t="s">
        <v>112</v>
      </c>
      <c r="O27" s="19">
        <v>17</v>
      </c>
      <c r="P27" s="20"/>
      <c r="Q27" s="20">
        <v>10.61</v>
      </c>
      <c r="R27" s="21">
        <v>0.5</v>
      </c>
      <c r="S27" s="21"/>
      <c r="T27" s="20"/>
      <c r="U27" s="22">
        <v>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2</v>
      </c>
      <c r="AC27" s="22">
        <v>0</v>
      </c>
      <c r="AD27" s="22">
        <v>13</v>
      </c>
      <c r="AE27" s="22">
        <v>7</v>
      </c>
      <c r="AF27" s="22">
        <v>81</v>
      </c>
      <c r="AG27" s="22">
        <v>1</v>
      </c>
      <c r="AH27" s="23" t="s">
        <v>101</v>
      </c>
      <c r="AI27" s="24" t="str">
        <f t="shared" si="0"/>
        <v/>
      </c>
      <c r="AJ27" s="24">
        <f t="shared" si="1"/>
        <v>11.571428571428571</v>
      </c>
      <c r="AK27" s="25">
        <f t="shared" si="2"/>
        <v>0.53846153846153844</v>
      </c>
      <c r="AL27" s="24" t="str">
        <f t="shared" si="3"/>
        <v/>
      </c>
      <c r="AM27" s="25" t="str">
        <f t="shared" si="4"/>
        <v/>
      </c>
      <c r="AN27" s="25">
        <f t="shared" si="5"/>
        <v>0</v>
      </c>
      <c r="AO27" s="25">
        <f t="shared" si="6"/>
        <v>2.2727272727272728E-2</v>
      </c>
      <c r="AP27" s="25">
        <f t="shared" si="7"/>
        <v>0</v>
      </c>
      <c r="AQ27" s="26">
        <f t="shared" si="8"/>
        <v>0</v>
      </c>
      <c r="AR27" s="26">
        <f t="shared" si="9"/>
        <v>0.76470588235294112</v>
      </c>
      <c r="AS27" s="27">
        <f t="shared" si="10"/>
        <v>-23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17.8</v>
      </c>
    </row>
    <row r="28" spans="1:47" x14ac:dyDescent="0.25">
      <c r="A28" s="15" t="s">
        <v>121</v>
      </c>
      <c r="B28" s="16" t="s">
        <v>874</v>
      </c>
      <c r="C28" s="17">
        <v>7</v>
      </c>
      <c r="D28" s="17" t="s">
        <v>158</v>
      </c>
      <c r="E28" s="18" t="s">
        <v>99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20"/>
      <c r="R28" s="21"/>
      <c r="S28" s="21"/>
      <c r="T28" s="20"/>
      <c r="U28" s="22">
        <v>17</v>
      </c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33"/>
      <c r="AI28" s="24" t="str">
        <f t="shared" si="0"/>
        <v/>
      </c>
      <c r="AJ28" s="24" t="str">
        <f t="shared" si="1"/>
        <v/>
      </c>
      <c r="AK28" s="25" t="str">
        <f t="shared" si="2"/>
        <v/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0</v>
      </c>
      <c r="AP28" s="25">
        <f t="shared" si="7"/>
        <v>0</v>
      </c>
      <c r="AQ28" s="26">
        <f t="shared" si="8"/>
        <v>0</v>
      </c>
      <c r="AR28" s="26">
        <f t="shared" si="9"/>
        <v>0</v>
      </c>
      <c r="AS28" s="27">
        <f t="shared" si="10"/>
        <v>0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0</v>
      </c>
    </row>
    <row r="29" spans="1:47" x14ac:dyDescent="0.25">
      <c r="A29" s="15" t="s">
        <v>121</v>
      </c>
      <c r="B29" s="16" t="s">
        <v>875</v>
      </c>
      <c r="C29" s="17">
        <v>8</v>
      </c>
      <c r="D29" s="17" t="s">
        <v>118</v>
      </c>
      <c r="E29" s="32" t="s">
        <v>115</v>
      </c>
      <c r="F29" s="19"/>
      <c r="G29" s="19"/>
      <c r="H29" s="19">
        <v>7</v>
      </c>
      <c r="I29" s="19">
        <v>22</v>
      </c>
      <c r="J29" s="19"/>
      <c r="K29" s="19"/>
      <c r="L29" s="19">
        <v>44</v>
      </c>
      <c r="M29" s="19">
        <v>322</v>
      </c>
      <c r="N29" s="19" t="s">
        <v>394</v>
      </c>
      <c r="O29" s="19">
        <v>16</v>
      </c>
      <c r="P29" s="20">
        <v>3.14</v>
      </c>
      <c r="Q29" s="20">
        <v>11.5</v>
      </c>
      <c r="R29" s="21">
        <v>0.63600000000000001</v>
      </c>
      <c r="S29" s="21"/>
      <c r="T29" s="20"/>
      <c r="U29" s="22">
        <v>17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4</v>
      </c>
      <c r="AB29" s="22">
        <v>15</v>
      </c>
      <c r="AC29" s="22">
        <v>0</v>
      </c>
      <c r="AD29" s="22">
        <v>18</v>
      </c>
      <c r="AE29" s="22">
        <v>14</v>
      </c>
      <c r="AF29" s="22">
        <v>156</v>
      </c>
      <c r="AG29" s="22">
        <v>1</v>
      </c>
      <c r="AH29" s="23" t="s">
        <v>101</v>
      </c>
      <c r="AI29" s="24">
        <f t="shared" si="0"/>
        <v>3.75</v>
      </c>
      <c r="AJ29" s="24">
        <f t="shared" si="1"/>
        <v>11.142857142857142</v>
      </c>
      <c r="AK29" s="25">
        <f t="shared" si="2"/>
        <v>0.77777777777777779</v>
      </c>
      <c r="AL29" s="24" t="str">
        <f t="shared" si="3"/>
        <v/>
      </c>
      <c r="AM29" s="25" t="str">
        <f t="shared" si="4"/>
        <v/>
      </c>
      <c r="AN29" s="25">
        <f t="shared" si="5"/>
        <v>8.6169754416199913E-3</v>
      </c>
      <c r="AO29" s="25">
        <f t="shared" si="6"/>
        <v>3.1468531468531472E-2</v>
      </c>
      <c r="AP29" s="25">
        <f t="shared" si="7"/>
        <v>0</v>
      </c>
      <c r="AQ29" s="26">
        <f t="shared" si="8"/>
        <v>0.23529411764705882</v>
      </c>
      <c r="AR29" s="26">
        <f t="shared" si="9"/>
        <v>1.0588235294117647</v>
      </c>
      <c r="AS29" s="27">
        <f t="shared" si="10"/>
        <v>-26</v>
      </c>
      <c r="AT29" s="27">
        <f t="shared" si="11"/>
        <v>-3</v>
      </c>
      <c r="AU29" s="28">
        <f>AF29*Settings!$B$7+AG29*Settings!$B$8+AE29*Settings!$B$9+AB29*Settings!$B$10+AC29*Settings!$B$11+X29*Settings!$B$12+Y29*Settings!$B$13+Z29*Settings!$B$14</f>
        <v>30.1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876</v>
      </c>
      <c r="C31" s="17">
        <v>1</v>
      </c>
      <c r="D31" s="17" t="s">
        <v>158</v>
      </c>
      <c r="E31" s="18" t="s">
        <v>99</v>
      </c>
      <c r="F31" s="19"/>
      <c r="G31" s="19">
        <v>1</v>
      </c>
      <c r="H31" s="19"/>
      <c r="I31" s="19"/>
      <c r="J31" s="19">
        <v>67</v>
      </c>
      <c r="K31" s="19">
        <v>87</v>
      </c>
      <c r="L31" s="19">
        <v>81</v>
      </c>
      <c r="M31" s="19">
        <v>572</v>
      </c>
      <c r="N31" s="19" t="s">
        <v>394</v>
      </c>
      <c r="O31" s="19">
        <v>16</v>
      </c>
      <c r="P31" s="20">
        <v>-4</v>
      </c>
      <c r="Q31" s="20">
        <v>9.86</v>
      </c>
      <c r="R31" s="21">
        <v>0.70199999999999996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75</v>
      </c>
      <c r="AE31" s="22">
        <v>54</v>
      </c>
      <c r="AF31" s="22">
        <v>538</v>
      </c>
      <c r="AG31" s="22">
        <v>3</v>
      </c>
      <c r="AH31" s="23" t="s">
        <v>101</v>
      </c>
      <c r="AI31" s="24" t="str">
        <f t="shared" si="0"/>
        <v/>
      </c>
      <c r="AJ31" s="24">
        <f t="shared" si="1"/>
        <v>9.9629629629629637</v>
      </c>
      <c r="AK31" s="25">
        <f t="shared" si="2"/>
        <v>0.72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0.13111888111888112</v>
      </c>
      <c r="AP31" s="25">
        <f t="shared" si="7"/>
        <v>0</v>
      </c>
      <c r="AQ31" s="26">
        <f t="shared" si="8"/>
        <v>0</v>
      </c>
      <c r="AR31" s="26">
        <f t="shared" si="9"/>
        <v>4.4117647058823533</v>
      </c>
      <c r="AS31" s="27">
        <f t="shared" si="10"/>
        <v>-6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98.800000000000011</v>
      </c>
    </row>
    <row r="32" spans="1:47" x14ac:dyDescent="0.25">
      <c r="A32" s="15" t="s">
        <v>135</v>
      </c>
      <c r="B32" s="16" t="s">
        <v>877</v>
      </c>
      <c r="C32" s="17">
        <v>2</v>
      </c>
      <c r="D32" s="17" t="s">
        <v>103</v>
      </c>
      <c r="E32" s="18" t="s">
        <v>99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20"/>
      <c r="R32" s="21"/>
      <c r="S32" s="21"/>
      <c r="T32" s="20"/>
      <c r="U32" s="22">
        <v>17</v>
      </c>
      <c r="V32" s="22"/>
      <c r="W32" s="22"/>
      <c r="X32" s="22"/>
      <c r="Y32" s="22"/>
      <c r="Z32" s="22"/>
      <c r="AA32" s="22">
        <v>0</v>
      </c>
      <c r="AB32" s="22">
        <v>0</v>
      </c>
      <c r="AC32" s="22">
        <v>0</v>
      </c>
      <c r="AD32" s="22">
        <v>6</v>
      </c>
      <c r="AE32" s="22">
        <v>5</v>
      </c>
      <c r="AF32" s="22">
        <v>52</v>
      </c>
      <c r="AG32" s="22">
        <v>0</v>
      </c>
      <c r="AH32" s="23" t="s">
        <v>101</v>
      </c>
      <c r="AI32" s="24" t="str">
        <f t="shared" si="0"/>
        <v/>
      </c>
      <c r="AJ32" s="24">
        <f t="shared" si="1"/>
        <v>10.4</v>
      </c>
      <c r="AK32" s="25">
        <f t="shared" si="2"/>
        <v>0.83333333333333337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1.048951048951049E-2</v>
      </c>
      <c r="AP32" s="25">
        <f t="shared" si="7"/>
        <v>0</v>
      </c>
      <c r="AQ32" s="26">
        <f t="shared" si="8"/>
        <v>0</v>
      </c>
      <c r="AR32" s="26">
        <f t="shared" si="9"/>
        <v>0.35294117647058826</v>
      </c>
      <c r="AS32" s="27">
        <f t="shared" si="10"/>
        <v>6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7.7</v>
      </c>
    </row>
    <row r="33" spans="1:47" x14ac:dyDescent="0.25">
      <c r="A33" s="15" t="s">
        <v>135</v>
      </c>
      <c r="B33" s="16" t="s">
        <v>878</v>
      </c>
      <c r="C33" s="17">
        <v>3</v>
      </c>
      <c r="D33" s="17" t="s">
        <v>111</v>
      </c>
      <c r="E33" s="18" t="s">
        <v>99</v>
      </c>
      <c r="F33" s="19"/>
      <c r="G33" s="19"/>
      <c r="H33" s="19"/>
      <c r="I33" s="19"/>
      <c r="J33" s="19"/>
      <c r="K33" s="19">
        <v>6</v>
      </c>
      <c r="L33" s="19">
        <v>1</v>
      </c>
      <c r="M33" s="19">
        <v>6</v>
      </c>
      <c r="N33" s="19" t="s">
        <v>394</v>
      </c>
      <c r="O33" s="19">
        <v>13</v>
      </c>
      <c r="P33" s="20"/>
      <c r="Q33" s="20">
        <v>15.67</v>
      </c>
      <c r="R33" s="21">
        <v>0.85699999999999998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6</v>
      </c>
      <c r="AE33" s="22">
        <v>5</v>
      </c>
      <c r="AF33" s="22">
        <v>52</v>
      </c>
      <c r="AG33" s="22">
        <v>1</v>
      </c>
      <c r="AH33" s="23" t="s">
        <v>101</v>
      </c>
      <c r="AI33" s="24" t="str">
        <f t="shared" si="0"/>
        <v/>
      </c>
      <c r="AJ33" s="24">
        <f t="shared" si="1"/>
        <v>10.4</v>
      </c>
      <c r="AK33" s="25">
        <f t="shared" si="2"/>
        <v>0.83333333333333337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1.048951048951049E-2</v>
      </c>
      <c r="AP33" s="25">
        <f t="shared" si="7"/>
        <v>0</v>
      </c>
      <c r="AQ33" s="26">
        <f t="shared" si="8"/>
        <v>0</v>
      </c>
      <c r="AR33" s="26">
        <f t="shared" si="9"/>
        <v>0.35294117647058826</v>
      </c>
      <c r="AS33" s="27">
        <f t="shared" si="10"/>
        <v>5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13.7</v>
      </c>
    </row>
    <row r="34" spans="1:47" x14ac:dyDescent="0.25">
      <c r="A34" s="15" t="s">
        <v>135</v>
      </c>
      <c r="B34" s="16" t="s">
        <v>879</v>
      </c>
      <c r="C34" s="17">
        <v>4</v>
      </c>
      <c r="D34" s="17" t="s">
        <v>111</v>
      </c>
      <c r="E34" s="18" t="s">
        <v>99</v>
      </c>
      <c r="F34" s="19"/>
      <c r="G34" s="19"/>
      <c r="H34" s="19"/>
      <c r="I34" s="19"/>
      <c r="J34" s="19">
        <v>7</v>
      </c>
      <c r="K34" s="19">
        <v>14</v>
      </c>
      <c r="L34" s="19">
        <v>4</v>
      </c>
      <c r="M34" s="19">
        <v>11</v>
      </c>
      <c r="N34" s="19" t="s">
        <v>394</v>
      </c>
      <c r="O34" s="19">
        <v>17</v>
      </c>
      <c r="P34" s="20"/>
      <c r="Q34" s="20">
        <v>10.82</v>
      </c>
      <c r="R34" s="21">
        <v>0.68</v>
      </c>
      <c r="S34" s="21"/>
      <c r="T34" s="20"/>
      <c r="U34" s="22">
        <v>17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9</v>
      </c>
      <c r="AE34" s="22">
        <v>6</v>
      </c>
      <c r="AF34" s="22">
        <v>62</v>
      </c>
      <c r="AG34" s="22">
        <v>1</v>
      </c>
      <c r="AH34" s="23" t="s">
        <v>101</v>
      </c>
      <c r="AI34" s="24" t="str">
        <f t="shared" si="0"/>
        <v/>
      </c>
      <c r="AJ34" s="24">
        <f t="shared" si="1"/>
        <v>10.333333333333334</v>
      </c>
      <c r="AK34" s="25">
        <f t="shared" si="2"/>
        <v>0.66666666666666663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1.5734265734265736E-2</v>
      </c>
      <c r="AP34" s="25">
        <f t="shared" si="7"/>
        <v>0</v>
      </c>
      <c r="AQ34" s="26">
        <f t="shared" si="8"/>
        <v>0</v>
      </c>
      <c r="AR34" s="26">
        <f t="shared" si="9"/>
        <v>0.52941176470588236</v>
      </c>
      <c r="AS34" s="27">
        <f t="shared" si="10"/>
        <v>5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15.2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554</v>
      </c>
      <c r="W37" s="34">
        <f t="shared" si="12"/>
        <v>359</v>
      </c>
      <c r="X37" s="34">
        <f t="shared" si="12"/>
        <v>3974</v>
      </c>
      <c r="Y37" s="34">
        <f t="shared" si="12"/>
        <v>26</v>
      </c>
      <c r="Z37" s="34">
        <f t="shared" si="12"/>
        <v>13</v>
      </c>
      <c r="AA37" s="34">
        <f t="shared" si="12"/>
        <v>480</v>
      </c>
      <c r="AB37" s="34">
        <f t="shared" si="12"/>
        <v>2089</v>
      </c>
      <c r="AC37" s="34">
        <f t="shared" si="12"/>
        <v>14</v>
      </c>
      <c r="AD37" s="34">
        <f t="shared" si="12"/>
        <v>597</v>
      </c>
      <c r="AE37" s="34">
        <f t="shared" si="12"/>
        <v>403</v>
      </c>
      <c r="AF37" s="34">
        <f t="shared" si="12"/>
        <v>4483</v>
      </c>
      <c r="AG37" s="34">
        <f t="shared" si="12"/>
        <v>30</v>
      </c>
    </row>
    <row r="38" spans="1:47" x14ac:dyDescent="0.25">
      <c r="A38" s="5" t="s">
        <v>142</v>
      </c>
      <c r="V38" s="35">
        <f>$F$5</f>
        <v>600</v>
      </c>
      <c r="X38" s="35">
        <f>$I$5</f>
        <v>3994</v>
      </c>
      <c r="Y38" s="35">
        <f>$J$5</f>
        <v>29</v>
      </c>
      <c r="Z38" s="35">
        <f>$K$5</f>
        <v>12</v>
      </c>
      <c r="AA38" s="35">
        <f>$H$5</f>
        <v>464.20000000000005</v>
      </c>
      <c r="AB38" s="35">
        <f>$L$5</f>
        <v>2010</v>
      </c>
      <c r="AC38" s="35">
        <f>$M$5</f>
        <v>14</v>
      </c>
      <c r="AD38" s="35">
        <f>$G$5</f>
        <v>572</v>
      </c>
      <c r="AF38" s="35">
        <f>$I$5</f>
        <v>3994</v>
      </c>
      <c r="AG38" s="35">
        <f>$J$5</f>
        <v>29</v>
      </c>
    </row>
    <row r="39" spans="1:47" x14ac:dyDescent="0.25">
      <c r="A39" s="5" t="s">
        <v>143</v>
      </c>
      <c r="V39" s="36">
        <f>$F$5-V37</f>
        <v>46</v>
      </c>
      <c r="X39" s="36">
        <f>$I$5-X37</f>
        <v>20</v>
      </c>
      <c r="Y39" s="36">
        <f>$J$5-Y37</f>
        <v>3</v>
      </c>
      <c r="Z39" s="36">
        <f>$K$5-Z37</f>
        <v>-1</v>
      </c>
      <c r="AA39" s="36">
        <f>$H$5-AA37</f>
        <v>-15.799999999999955</v>
      </c>
      <c r="AB39" s="36">
        <f>$L$5-AB37</f>
        <v>-79</v>
      </c>
      <c r="AC39" s="36">
        <f>$M$5-AC37</f>
        <v>0</v>
      </c>
      <c r="AD39" s="36">
        <f>$G$5-AD37</f>
        <v>-25</v>
      </c>
      <c r="AF39" s="36">
        <f>$I$5-AF37</f>
        <v>-489</v>
      </c>
      <c r="AG39" s="36">
        <f>$J$5-AG37</f>
        <v>-1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89" priority="1" stopIfTrue="1">
      <formula>V37&gt;$F$5</formula>
    </cfRule>
    <cfRule type="expression" dxfId="88" priority="2">
      <formula>AND($F$5&gt;0,V37&lt;$F$5*0.97)</formula>
    </cfRule>
    <cfRule type="expression" dxfId="87" priority="3">
      <formula>AND($F$5&gt;0,V37&gt;=$F$5*0.97,V37&lt;=$F$5)</formula>
    </cfRule>
  </conditionalFormatting>
  <conditionalFormatting sqref="X37">
    <cfRule type="expression" dxfId="86" priority="4" stopIfTrue="1">
      <formula>X37&gt;$I$5</formula>
    </cfRule>
    <cfRule type="expression" dxfId="85" priority="5">
      <formula>AND($I$5&gt;0,X37&lt;$I$5*0.97)</formula>
    </cfRule>
    <cfRule type="expression" dxfId="84" priority="6">
      <formula>AND($I$5&gt;0,X37&gt;=$I$5*0.97,X37&lt;=$I$5)</formula>
    </cfRule>
  </conditionalFormatting>
  <conditionalFormatting sqref="Y37">
    <cfRule type="expression" dxfId="83" priority="7" stopIfTrue="1">
      <formula>Y37&gt;$J$5</formula>
    </cfRule>
    <cfRule type="expression" dxfId="82" priority="8">
      <formula>AND($J$5&gt;0,Y37&lt;$J$5*0.97)</formula>
    </cfRule>
    <cfRule type="expression" dxfId="81" priority="9">
      <formula>AND($J$5&gt;0,Y37&gt;=$J$5*0.97,Y37&lt;=$J$5)</formula>
    </cfRule>
  </conditionalFormatting>
  <conditionalFormatting sqref="Z37">
    <cfRule type="expression" dxfId="80" priority="10" stopIfTrue="1">
      <formula>Z37&gt;$K$5</formula>
    </cfRule>
    <cfRule type="expression" dxfId="79" priority="11">
      <formula>AND($K$5&gt;0,Z37&lt;$K$5*0.97)</formula>
    </cfRule>
    <cfRule type="expression" dxfId="78" priority="12">
      <formula>AND($K$5&gt;0,Z37&gt;=$K$5*0.97,Z37&lt;=$K$5)</formula>
    </cfRule>
  </conditionalFormatting>
  <conditionalFormatting sqref="AA37">
    <cfRule type="expression" dxfId="77" priority="13" stopIfTrue="1">
      <formula>AA37&gt;$H$5</formula>
    </cfRule>
    <cfRule type="expression" dxfId="76" priority="14">
      <formula>AND($H$5&gt;0,AA37&lt;$H$5*0.97)</formula>
    </cfRule>
    <cfRule type="expression" dxfId="75" priority="15">
      <formula>AND($H$5&gt;0,AA37&gt;=$H$5*0.97,AA37&lt;=$H$5)</formula>
    </cfRule>
  </conditionalFormatting>
  <conditionalFormatting sqref="AB37">
    <cfRule type="expression" dxfId="74" priority="16" stopIfTrue="1">
      <formula>AB37&gt;$L$5</formula>
    </cfRule>
    <cfRule type="expression" dxfId="73" priority="17">
      <formula>AND($L$5&gt;0,AB37&lt;$L$5*0.97)</formula>
    </cfRule>
    <cfRule type="expression" dxfId="72" priority="18">
      <formula>AND($L$5&gt;0,AB37&gt;=$L$5*0.97,AB37&lt;=$L$5)</formula>
    </cfRule>
  </conditionalFormatting>
  <conditionalFormatting sqref="AC37">
    <cfRule type="expression" dxfId="71" priority="19" stopIfTrue="1">
      <formula>AC37&gt;$M$5</formula>
    </cfRule>
    <cfRule type="expression" dxfId="70" priority="20">
      <formula>AND($M$5&gt;0,AC37&lt;$M$5*0.97)</formula>
    </cfRule>
    <cfRule type="expression" dxfId="69" priority="21">
      <formula>AND($M$5&gt;0,AC37&gt;=$M$5*0.97,AC37&lt;=$M$5)</formula>
    </cfRule>
  </conditionalFormatting>
  <conditionalFormatting sqref="AD37">
    <cfRule type="expression" dxfId="68" priority="22" stopIfTrue="1">
      <formula>AD37&gt;$G$5</formula>
    </cfRule>
    <cfRule type="expression" dxfId="67" priority="23">
      <formula>AND($G$5&gt;0,AD37&lt;$G$5*0.97)</formula>
    </cfRule>
    <cfRule type="expression" dxfId="66" priority="24">
      <formula>AND($G$5&gt;0,AD37&gt;=$G$5*0.97,AD37&lt;=$G$5)</formula>
    </cfRule>
  </conditionalFormatting>
  <conditionalFormatting sqref="AF37">
    <cfRule type="expression" dxfId="65" priority="25" stopIfTrue="1">
      <formula>AF37&gt;$I$5</formula>
    </cfRule>
    <cfRule type="expression" dxfId="64" priority="26">
      <formula>AND($I$5&gt;0,AF37&lt;$I$5*0.97)</formula>
    </cfRule>
    <cfRule type="expression" dxfId="63" priority="27">
      <formula>AND($I$5&gt;0,AF37&gt;=$I$5*0.97,AF37&lt;=$I$5)</formula>
    </cfRule>
  </conditionalFormatting>
  <conditionalFormatting sqref="AG37">
    <cfRule type="expression" dxfId="62" priority="28" stopIfTrue="1">
      <formula>AG37&gt;$J$5</formula>
    </cfRule>
    <cfRule type="expression" dxfId="61" priority="29">
      <formula>AND($J$5&gt;0,AG37&lt;$J$5*0.97)</formula>
    </cfRule>
    <cfRule type="expression" dxfId="60" priority="30">
      <formula>AND($J$5&gt;0,AG37&gt;=$J$5*0.97,AG37&lt;=$J$5)</formula>
    </cfRule>
  </conditionalFormatting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880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60.4</v>
      </c>
      <c r="D5" s="10">
        <f>C5*B5</f>
        <v>1026.8</v>
      </c>
      <c r="E5" s="11">
        <v>0.58440000000000003</v>
      </c>
      <c r="F5" s="10">
        <f>ROUND(D5*E5,0)</f>
        <v>600</v>
      </c>
      <c r="G5" s="10">
        <f>ROUND(F5*Settings!$B$4,0)</f>
        <v>572</v>
      </c>
      <c r="H5" s="10">
        <f>D5-F5</f>
        <v>426.79999999999995</v>
      </c>
      <c r="I5" s="8">
        <v>3586</v>
      </c>
      <c r="J5" s="9">
        <v>20</v>
      </c>
      <c r="K5" s="9">
        <v>13</v>
      </c>
      <c r="L5" s="8">
        <v>1803</v>
      </c>
      <c r="M5" s="9">
        <v>12</v>
      </c>
    </row>
    <row r="7" spans="1:47" x14ac:dyDescent="0.25">
      <c r="A7" s="5" t="s">
        <v>54</v>
      </c>
      <c r="B7" s="12" t="s">
        <v>881</v>
      </c>
    </row>
    <row r="8" spans="1:47" x14ac:dyDescent="0.25">
      <c r="A8" s="5" t="s">
        <v>56</v>
      </c>
      <c r="B8" s="13" t="s">
        <v>882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883</v>
      </c>
      <c r="C11" s="17">
        <v>1</v>
      </c>
      <c r="D11" s="17" t="s">
        <v>118</v>
      </c>
      <c r="E11" s="18" t="s">
        <v>99</v>
      </c>
      <c r="F11" s="19"/>
      <c r="G11" s="19"/>
      <c r="H11" s="19">
        <v>33</v>
      </c>
      <c r="I11" s="19">
        <v>159</v>
      </c>
      <c r="J11" s="19"/>
      <c r="K11" s="19"/>
      <c r="L11" s="19"/>
      <c r="M11" s="19"/>
      <c r="N11" s="19" t="s">
        <v>714</v>
      </c>
      <c r="O11" s="19">
        <v>17</v>
      </c>
      <c r="P11" s="20">
        <v>4.82</v>
      </c>
      <c r="Q11" s="20"/>
      <c r="R11" s="21"/>
      <c r="S11" s="21">
        <v>0.59799999999999998</v>
      </c>
      <c r="T11" s="20">
        <v>5.87</v>
      </c>
      <c r="U11" s="22">
        <v>17</v>
      </c>
      <c r="V11" s="22">
        <v>553</v>
      </c>
      <c r="W11" s="22">
        <v>339</v>
      </c>
      <c r="X11" s="22">
        <v>3528</v>
      </c>
      <c r="Y11" s="22">
        <v>20</v>
      </c>
      <c r="Z11" s="22">
        <v>11</v>
      </c>
      <c r="AA11" s="22">
        <v>45</v>
      </c>
      <c r="AB11" s="22">
        <v>191</v>
      </c>
      <c r="AC11" s="22">
        <v>2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4.2444444444444445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6.3797468354430382</v>
      </c>
      <c r="AM11" s="25">
        <f t="shared" ref="AM11:AM35" si="4">IFERROR(W11/V11,"")</f>
        <v>0.61301989150090419</v>
      </c>
      <c r="AN11" s="25">
        <f t="shared" ref="AN11:AN35" si="5">IFERROR(AA11/$H$5,"")</f>
        <v>0.10543580131208999</v>
      </c>
      <c r="AO11" s="25">
        <f t="shared" ref="AO11:AO35" si="6">IFERROR(AD11/$G$5,"")</f>
        <v>0</v>
      </c>
      <c r="AP11" s="25">
        <f t="shared" ref="AP11:AP35" si="7">IFERROR(V11/$F$5,"")</f>
        <v>0.92166666666666663</v>
      </c>
      <c r="AQ11" s="26">
        <f t="shared" ref="AQ11:AQ35" si="8">IFERROR(AA11/U11,"")</f>
        <v>2.6470588235294117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12</v>
      </c>
      <c r="AU11" s="28">
        <f>AF11*Settings!$B$7+AG11*Settings!$B$8+AE11*Settings!$B$9+AB11*Settings!$B$10+AC11*Settings!$B$11+X11*Settings!$B$12+Y11*Settings!$B$13+Z11*Settings!$B$14</f>
        <v>230.22</v>
      </c>
    </row>
    <row r="12" spans="1:47" x14ac:dyDescent="0.25">
      <c r="A12" s="15" t="s">
        <v>96</v>
      </c>
      <c r="B12" s="16" t="s">
        <v>884</v>
      </c>
      <c r="C12" s="17">
        <v>2</v>
      </c>
      <c r="D12" s="17" t="s">
        <v>158</v>
      </c>
      <c r="E12" s="18" t="s">
        <v>99</v>
      </c>
      <c r="F12" s="19">
        <v>15</v>
      </c>
      <c r="G12" s="19">
        <v>43</v>
      </c>
      <c r="H12" s="19"/>
      <c r="I12" s="19"/>
      <c r="J12" s="19"/>
      <c r="K12" s="19"/>
      <c r="L12" s="19"/>
      <c r="M12" s="19"/>
      <c r="N12" s="19"/>
      <c r="O12" s="19"/>
      <c r="P12" s="20">
        <v>4.1399999999999997</v>
      </c>
      <c r="Q12" s="20"/>
      <c r="R12" s="21"/>
      <c r="S12" s="21">
        <v>0.61</v>
      </c>
      <c r="T12" s="20">
        <v>7.01</v>
      </c>
      <c r="U12" s="22">
        <v>17</v>
      </c>
      <c r="V12" s="22">
        <v>24</v>
      </c>
      <c r="W12" s="22">
        <v>15</v>
      </c>
      <c r="X12" s="22">
        <v>142</v>
      </c>
      <c r="Y12" s="22">
        <v>1</v>
      </c>
      <c r="Z12" s="22">
        <v>0</v>
      </c>
      <c r="AA12" s="22">
        <v>3</v>
      </c>
      <c r="AB12" s="22">
        <v>14</v>
      </c>
      <c r="AC12" s="22">
        <v>0</v>
      </c>
      <c r="AD12" s="22"/>
      <c r="AE12" s="22"/>
      <c r="AF12" s="22"/>
      <c r="AG12" s="22"/>
      <c r="AH12" s="23" t="s">
        <v>101</v>
      </c>
      <c r="AI12" s="24">
        <f t="shared" si="0"/>
        <v>4.666666666666667</v>
      </c>
      <c r="AJ12" s="24" t="str">
        <f t="shared" si="1"/>
        <v/>
      </c>
      <c r="AK12" s="25" t="str">
        <f t="shared" si="2"/>
        <v/>
      </c>
      <c r="AL12" s="24">
        <f t="shared" si="3"/>
        <v>5.916666666666667</v>
      </c>
      <c r="AM12" s="25">
        <f t="shared" si="4"/>
        <v>0.625</v>
      </c>
      <c r="AN12" s="25">
        <f t="shared" si="5"/>
        <v>7.0290534208059989E-3</v>
      </c>
      <c r="AO12" s="25">
        <f t="shared" si="6"/>
        <v>0</v>
      </c>
      <c r="AP12" s="25">
        <f t="shared" si="7"/>
        <v>0.04</v>
      </c>
      <c r="AQ12" s="26">
        <f t="shared" si="8"/>
        <v>0.17647058823529413</v>
      </c>
      <c r="AR12" s="26">
        <f t="shared" si="9"/>
        <v>0</v>
      </c>
      <c r="AS12" s="27">
        <f t="shared" si="10"/>
        <v>0</v>
      </c>
      <c r="AT12" s="27">
        <f t="shared" si="11"/>
        <v>3</v>
      </c>
      <c r="AU12" s="28">
        <f>AF12*Settings!$B$7+AG12*Settings!$B$8+AE12*Settings!$B$9+AB12*Settings!$B$10+AC12*Settings!$B$11+X12*Settings!$B$12+Y12*Settings!$B$13+Z12*Settings!$B$14</f>
        <v>11.08</v>
      </c>
    </row>
    <row r="13" spans="1:47" x14ac:dyDescent="0.25">
      <c r="A13" s="15" t="s">
        <v>96</v>
      </c>
      <c r="B13" s="16" t="s">
        <v>885</v>
      </c>
      <c r="C13" s="17">
        <v>3</v>
      </c>
      <c r="D13" s="17" t="s">
        <v>114</v>
      </c>
      <c r="E13" s="18" t="s">
        <v>99</v>
      </c>
      <c r="F13" s="19">
        <v>14</v>
      </c>
      <c r="G13" s="19">
        <v>5</v>
      </c>
      <c r="H13" s="19">
        <v>2</v>
      </c>
      <c r="I13" s="19">
        <v>6</v>
      </c>
      <c r="J13" s="19"/>
      <c r="K13" s="19"/>
      <c r="L13" s="19"/>
      <c r="M13" s="19"/>
      <c r="N13" s="19" t="s">
        <v>208</v>
      </c>
      <c r="O13" s="19">
        <v>4</v>
      </c>
      <c r="P13" s="20">
        <v>2.9</v>
      </c>
      <c r="Q13" s="20"/>
      <c r="R13" s="21"/>
      <c r="S13" s="21">
        <v>0.66100000000000003</v>
      </c>
      <c r="T13" s="20">
        <v>6.69</v>
      </c>
      <c r="U13" s="22">
        <v>17</v>
      </c>
      <c r="V13" s="22">
        <v>35</v>
      </c>
      <c r="W13" s="22">
        <v>25</v>
      </c>
      <c r="X13" s="22">
        <v>313</v>
      </c>
      <c r="Y13" s="22">
        <v>4</v>
      </c>
      <c r="Z13" s="22">
        <v>0</v>
      </c>
      <c r="AA13" s="22">
        <v>2</v>
      </c>
      <c r="AB13" s="22">
        <v>6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3" t="s">
        <v>101</v>
      </c>
      <c r="AI13" s="24">
        <f t="shared" si="0"/>
        <v>3</v>
      </c>
      <c r="AJ13" s="24" t="str">
        <f t="shared" si="1"/>
        <v/>
      </c>
      <c r="AK13" s="25" t="str">
        <f t="shared" si="2"/>
        <v/>
      </c>
      <c r="AL13" s="24">
        <f t="shared" si="3"/>
        <v>8.9428571428571431</v>
      </c>
      <c r="AM13" s="25">
        <f t="shared" si="4"/>
        <v>0.7142857142857143</v>
      </c>
      <c r="AN13" s="25">
        <f t="shared" si="5"/>
        <v>4.686035613870666E-3</v>
      </c>
      <c r="AO13" s="25">
        <f t="shared" si="6"/>
        <v>0</v>
      </c>
      <c r="AP13" s="25">
        <f t="shared" si="7"/>
        <v>5.8333333333333334E-2</v>
      </c>
      <c r="AQ13" s="26">
        <f t="shared" si="8"/>
        <v>0.11764705882352941</v>
      </c>
      <c r="AR13" s="26">
        <f t="shared" si="9"/>
        <v>0</v>
      </c>
      <c r="AS13" s="27">
        <f t="shared" si="10"/>
        <v>0</v>
      </c>
      <c r="AT13" s="27">
        <f t="shared" si="11"/>
        <v>0</v>
      </c>
      <c r="AU13" s="28">
        <f>AF13*Settings!$B$7+AG13*Settings!$B$8+AE13*Settings!$B$9+AB13*Settings!$B$10+AC13*Settings!$B$11+X13*Settings!$B$12+Y13*Settings!$B$13+Z13*Settings!$B$14</f>
        <v>29.119999999999997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886</v>
      </c>
      <c r="C15" s="17">
        <v>1</v>
      </c>
      <c r="D15" s="17" t="s">
        <v>168</v>
      </c>
      <c r="E15" s="18" t="s">
        <v>99</v>
      </c>
      <c r="F15" s="19">
        <v>252</v>
      </c>
      <c r="G15" s="19">
        <v>260</v>
      </c>
      <c r="H15" s="19">
        <v>242</v>
      </c>
      <c r="I15" s="19">
        <v>1082</v>
      </c>
      <c r="J15" s="19">
        <v>67</v>
      </c>
      <c r="K15" s="19">
        <v>57</v>
      </c>
      <c r="L15" s="19">
        <v>41</v>
      </c>
      <c r="M15" s="19">
        <v>206</v>
      </c>
      <c r="N15" s="19" t="s">
        <v>714</v>
      </c>
      <c r="O15" s="19">
        <v>17</v>
      </c>
      <c r="P15" s="20">
        <v>4.2</v>
      </c>
      <c r="Q15" s="20">
        <v>5.85</v>
      </c>
      <c r="R15" s="21">
        <v>0.78200000000000003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228</v>
      </c>
      <c r="AB15" s="22">
        <v>984</v>
      </c>
      <c r="AC15" s="22">
        <v>6</v>
      </c>
      <c r="AD15" s="22">
        <v>39</v>
      </c>
      <c r="AE15" s="22">
        <v>29</v>
      </c>
      <c r="AF15" s="22">
        <v>190</v>
      </c>
      <c r="AG15" s="22">
        <v>1</v>
      </c>
      <c r="AH15" s="23" t="s">
        <v>101</v>
      </c>
      <c r="AI15" s="24">
        <f t="shared" si="0"/>
        <v>4.3157894736842106</v>
      </c>
      <c r="AJ15" s="24">
        <f t="shared" si="1"/>
        <v>6.5517241379310347</v>
      </c>
      <c r="AK15" s="25">
        <f t="shared" si="2"/>
        <v>0.74358974358974361</v>
      </c>
      <c r="AL15" s="24" t="str">
        <f t="shared" si="3"/>
        <v/>
      </c>
      <c r="AM15" s="25" t="str">
        <f t="shared" si="4"/>
        <v/>
      </c>
      <c r="AN15" s="25">
        <f t="shared" si="5"/>
        <v>0.53420805998125587</v>
      </c>
      <c r="AO15" s="25">
        <f t="shared" si="6"/>
        <v>6.8181818181818177E-2</v>
      </c>
      <c r="AP15" s="25">
        <f t="shared" si="7"/>
        <v>0</v>
      </c>
      <c r="AQ15" s="26">
        <f t="shared" si="8"/>
        <v>13.411764705882353</v>
      </c>
      <c r="AR15" s="26">
        <f t="shared" si="9"/>
        <v>2.2941176470588234</v>
      </c>
      <c r="AS15" s="27">
        <f t="shared" si="10"/>
        <v>-2</v>
      </c>
      <c r="AT15" s="27">
        <f t="shared" si="11"/>
        <v>-14</v>
      </c>
      <c r="AU15" s="28">
        <f>AF15*Settings!$B$7+AG15*Settings!$B$8+AE15*Settings!$B$9+AB15*Settings!$B$10+AC15*Settings!$B$11+X15*Settings!$B$12+Y15*Settings!$B$13+Z15*Settings!$B$14</f>
        <v>173.9</v>
      </c>
    </row>
    <row r="16" spans="1:47" x14ac:dyDescent="0.25">
      <c r="A16" s="15" t="s">
        <v>107</v>
      </c>
      <c r="B16" s="16" t="s">
        <v>887</v>
      </c>
      <c r="C16" s="17">
        <v>2</v>
      </c>
      <c r="D16" s="17" t="s">
        <v>105</v>
      </c>
      <c r="E16" s="18" t="s">
        <v>99</v>
      </c>
      <c r="F16" s="19">
        <v>100</v>
      </c>
      <c r="G16" s="19">
        <v>84</v>
      </c>
      <c r="H16" s="19">
        <v>72</v>
      </c>
      <c r="I16" s="19">
        <v>283</v>
      </c>
      <c r="J16" s="19">
        <v>70</v>
      </c>
      <c r="K16" s="19">
        <v>35</v>
      </c>
      <c r="L16" s="19">
        <v>50</v>
      </c>
      <c r="M16" s="19">
        <v>264</v>
      </c>
      <c r="N16" s="19" t="s">
        <v>714</v>
      </c>
      <c r="O16" s="19">
        <v>13</v>
      </c>
      <c r="P16" s="20">
        <v>4.09</v>
      </c>
      <c r="Q16" s="20">
        <v>6.87</v>
      </c>
      <c r="R16" s="21">
        <v>0.81899999999999995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95</v>
      </c>
      <c r="AB16" s="22">
        <v>385</v>
      </c>
      <c r="AC16" s="22">
        <v>3</v>
      </c>
      <c r="AD16" s="22">
        <v>50</v>
      </c>
      <c r="AE16" s="22">
        <v>40</v>
      </c>
      <c r="AF16" s="22">
        <v>273</v>
      </c>
      <c r="AG16" s="22">
        <v>1</v>
      </c>
      <c r="AH16" s="23" t="s">
        <v>101</v>
      </c>
      <c r="AI16" s="24">
        <f t="shared" si="0"/>
        <v>4.0526315789473681</v>
      </c>
      <c r="AJ16" s="24">
        <f t="shared" si="1"/>
        <v>6.8250000000000002</v>
      </c>
      <c r="AK16" s="25">
        <f t="shared" si="2"/>
        <v>0.8</v>
      </c>
      <c r="AL16" s="24" t="str">
        <f t="shared" si="3"/>
        <v/>
      </c>
      <c r="AM16" s="25" t="str">
        <f t="shared" si="4"/>
        <v/>
      </c>
      <c r="AN16" s="25">
        <f t="shared" si="5"/>
        <v>0.22258669165885664</v>
      </c>
      <c r="AO16" s="25">
        <f t="shared" si="6"/>
        <v>8.7412587412587409E-2</v>
      </c>
      <c r="AP16" s="25">
        <f t="shared" si="7"/>
        <v>0</v>
      </c>
      <c r="AQ16" s="26">
        <f t="shared" si="8"/>
        <v>5.5882352941176467</v>
      </c>
      <c r="AR16" s="26">
        <f t="shared" si="9"/>
        <v>2.9411764705882355</v>
      </c>
      <c r="AS16" s="27">
        <f t="shared" si="10"/>
        <v>0</v>
      </c>
      <c r="AT16" s="27">
        <f t="shared" si="11"/>
        <v>23</v>
      </c>
      <c r="AU16" s="28">
        <f>AF16*Settings!$B$7+AG16*Settings!$B$8+AE16*Settings!$B$9+AB16*Settings!$B$10+AC16*Settings!$B$11+X16*Settings!$B$12+Y16*Settings!$B$13+Z16*Settings!$B$14</f>
        <v>109.8</v>
      </c>
    </row>
    <row r="17" spans="1:47" x14ac:dyDescent="0.25">
      <c r="A17" s="15" t="s">
        <v>107</v>
      </c>
      <c r="B17" s="16" t="s">
        <v>888</v>
      </c>
      <c r="C17" s="17">
        <v>3</v>
      </c>
      <c r="D17" s="17" t="s">
        <v>128</v>
      </c>
      <c r="E17" s="18" t="s">
        <v>99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20"/>
      <c r="R17" s="21"/>
      <c r="S17" s="21"/>
      <c r="T17" s="20"/>
      <c r="U17" s="22">
        <v>17</v>
      </c>
      <c r="V17" s="22"/>
      <c r="W17" s="22"/>
      <c r="X17" s="22"/>
      <c r="Y17" s="22"/>
      <c r="Z17" s="22"/>
      <c r="AA17" s="22">
        <v>34</v>
      </c>
      <c r="AB17" s="22">
        <v>156</v>
      </c>
      <c r="AC17" s="22">
        <v>1</v>
      </c>
      <c r="AD17" s="22">
        <v>10</v>
      </c>
      <c r="AE17" s="22">
        <v>8</v>
      </c>
      <c r="AF17" s="22">
        <v>57</v>
      </c>
      <c r="AG17" s="22">
        <v>0</v>
      </c>
      <c r="AH17" s="23" t="s">
        <v>101</v>
      </c>
      <c r="AI17" s="24">
        <f t="shared" si="0"/>
        <v>4.5882352941176467</v>
      </c>
      <c r="AJ17" s="24">
        <f t="shared" si="1"/>
        <v>7.125</v>
      </c>
      <c r="AK17" s="25">
        <f t="shared" si="2"/>
        <v>0.8</v>
      </c>
      <c r="AL17" s="24" t="str">
        <f t="shared" si="3"/>
        <v/>
      </c>
      <c r="AM17" s="25" t="str">
        <f t="shared" si="4"/>
        <v/>
      </c>
      <c r="AN17" s="25">
        <f t="shared" si="5"/>
        <v>7.9662605435801323E-2</v>
      </c>
      <c r="AO17" s="25">
        <f t="shared" si="6"/>
        <v>1.7482517482517484E-2</v>
      </c>
      <c r="AP17" s="25">
        <f t="shared" si="7"/>
        <v>0</v>
      </c>
      <c r="AQ17" s="26">
        <f t="shared" si="8"/>
        <v>2</v>
      </c>
      <c r="AR17" s="26">
        <f t="shared" si="9"/>
        <v>0.58823529411764708</v>
      </c>
      <c r="AS17" s="27">
        <f t="shared" si="10"/>
        <v>10</v>
      </c>
      <c r="AT17" s="27">
        <f t="shared" si="11"/>
        <v>34</v>
      </c>
      <c r="AU17" s="28">
        <f>AF17*Settings!$B$7+AG17*Settings!$B$8+AE17*Settings!$B$9+AB17*Settings!$B$10+AC17*Settings!$B$11+X17*Settings!$B$12+Y17*Settings!$B$13+Z17*Settings!$B$14</f>
        <v>31.3</v>
      </c>
    </row>
    <row r="18" spans="1:47" x14ac:dyDescent="0.25">
      <c r="A18" s="15" t="s">
        <v>107</v>
      </c>
      <c r="B18" s="16" t="s">
        <v>889</v>
      </c>
      <c r="C18" s="17">
        <v>4</v>
      </c>
      <c r="D18" s="17" t="s">
        <v>158</v>
      </c>
      <c r="E18" s="18" t="s">
        <v>99</v>
      </c>
      <c r="F18" s="19">
        <v>8</v>
      </c>
      <c r="G18" s="19">
        <v>35</v>
      </c>
      <c r="H18" s="19">
        <v>92</v>
      </c>
      <c r="I18" s="19">
        <v>333</v>
      </c>
      <c r="J18" s="19">
        <v>20</v>
      </c>
      <c r="K18" s="19">
        <v>11</v>
      </c>
      <c r="L18" s="19">
        <v>45</v>
      </c>
      <c r="M18" s="19">
        <v>267</v>
      </c>
      <c r="N18" s="19" t="s">
        <v>100</v>
      </c>
      <c r="O18" s="19">
        <v>13</v>
      </c>
      <c r="P18" s="20">
        <v>3.72</v>
      </c>
      <c r="Q18" s="20">
        <v>6.64</v>
      </c>
      <c r="R18" s="21">
        <v>0.77600000000000002</v>
      </c>
      <c r="S18" s="21"/>
      <c r="T18" s="20"/>
      <c r="U18" s="22">
        <v>17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14</v>
      </c>
      <c r="AB18" s="22">
        <v>64</v>
      </c>
      <c r="AC18" s="22">
        <v>0</v>
      </c>
      <c r="AD18" s="22">
        <v>8</v>
      </c>
      <c r="AE18" s="22">
        <v>6</v>
      </c>
      <c r="AF18" s="22">
        <v>44</v>
      </c>
      <c r="AG18" s="22">
        <v>0</v>
      </c>
      <c r="AH18" s="23" t="s">
        <v>101</v>
      </c>
      <c r="AI18" s="24">
        <f t="shared" si="0"/>
        <v>4.5714285714285712</v>
      </c>
      <c r="AJ18" s="24">
        <f t="shared" si="1"/>
        <v>7.333333333333333</v>
      </c>
      <c r="AK18" s="25">
        <f t="shared" si="2"/>
        <v>0.75</v>
      </c>
      <c r="AL18" s="24" t="str">
        <f t="shared" si="3"/>
        <v/>
      </c>
      <c r="AM18" s="25" t="str">
        <f t="shared" si="4"/>
        <v/>
      </c>
      <c r="AN18" s="25">
        <f t="shared" si="5"/>
        <v>3.280224929709466E-2</v>
      </c>
      <c r="AO18" s="25">
        <f t="shared" si="6"/>
        <v>1.3986013986013986E-2</v>
      </c>
      <c r="AP18" s="25">
        <f t="shared" si="7"/>
        <v>0</v>
      </c>
      <c r="AQ18" s="26">
        <f t="shared" si="8"/>
        <v>0.82352941176470584</v>
      </c>
      <c r="AR18" s="26">
        <f t="shared" si="9"/>
        <v>0.47058823529411764</v>
      </c>
      <c r="AS18" s="27">
        <f t="shared" si="10"/>
        <v>-37</v>
      </c>
      <c r="AT18" s="27">
        <f t="shared" si="11"/>
        <v>-78</v>
      </c>
      <c r="AU18" s="28">
        <f>AF18*Settings!$B$7+AG18*Settings!$B$8+AE18*Settings!$B$9+AB18*Settings!$B$10+AC18*Settings!$B$11+X18*Settings!$B$12+Y18*Settings!$B$13+Z18*Settings!$B$14</f>
        <v>13.8</v>
      </c>
    </row>
    <row r="19" spans="1:47" x14ac:dyDescent="0.25">
      <c r="A19" s="15" t="s">
        <v>107</v>
      </c>
      <c r="B19" s="16" t="s">
        <v>890</v>
      </c>
      <c r="C19" s="17">
        <v>5</v>
      </c>
      <c r="D19" s="17" t="s">
        <v>103</v>
      </c>
      <c r="E19" s="18" t="s">
        <v>99</v>
      </c>
      <c r="F19" s="19"/>
      <c r="G19" s="19"/>
      <c r="H19" s="19">
        <v>3</v>
      </c>
      <c r="I19" s="19">
        <v>7</v>
      </c>
      <c r="J19" s="19"/>
      <c r="K19" s="19"/>
      <c r="L19" s="19"/>
      <c r="M19" s="19"/>
      <c r="N19" s="19" t="s">
        <v>714</v>
      </c>
      <c r="O19" s="19">
        <v>9</v>
      </c>
      <c r="P19" s="20">
        <v>2.33</v>
      </c>
      <c r="Q19" s="20"/>
      <c r="R19" s="21"/>
      <c r="S19" s="21"/>
      <c r="T19" s="20"/>
      <c r="U19" s="22">
        <v>17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5</v>
      </c>
      <c r="AB19" s="22">
        <v>34</v>
      </c>
      <c r="AC19" s="22">
        <v>0</v>
      </c>
      <c r="AD19" s="22">
        <v>1</v>
      </c>
      <c r="AE19" s="22">
        <v>2</v>
      </c>
      <c r="AF19" s="22">
        <v>12</v>
      </c>
      <c r="AG19" s="22">
        <v>0</v>
      </c>
      <c r="AH19" s="23" t="s">
        <v>101</v>
      </c>
      <c r="AI19" s="24">
        <f t="shared" si="0"/>
        <v>6.8</v>
      </c>
      <c r="AJ19" s="24">
        <f t="shared" si="1"/>
        <v>6</v>
      </c>
      <c r="AK19" s="25">
        <f t="shared" si="2"/>
        <v>2</v>
      </c>
      <c r="AL19" s="24" t="str">
        <f t="shared" si="3"/>
        <v/>
      </c>
      <c r="AM19" s="25" t="str">
        <f t="shared" si="4"/>
        <v/>
      </c>
      <c r="AN19" s="25">
        <f t="shared" si="5"/>
        <v>1.1715089034676664E-2</v>
      </c>
      <c r="AO19" s="25">
        <f t="shared" si="6"/>
        <v>1.7482517482517483E-3</v>
      </c>
      <c r="AP19" s="25">
        <f t="shared" si="7"/>
        <v>0</v>
      </c>
      <c r="AQ19" s="26">
        <f t="shared" si="8"/>
        <v>0.29411764705882354</v>
      </c>
      <c r="AR19" s="26">
        <f t="shared" si="9"/>
        <v>5.8823529411764705E-2</v>
      </c>
      <c r="AS19" s="27">
        <f t="shared" si="10"/>
        <v>1</v>
      </c>
      <c r="AT19" s="27">
        <f t="shared" si="11"/>
        <v>2</v>
      </c>
      <c r="AU19" s="28">
        <f>AF19*Settings!$B$7+AG19*Settings!$B$8+AE19*Settings!$B$9+AB19*Settings!$B$10+AC19*Settings!$B$11+X19*Settings!$B$12+Y19*Settings!$B$13+Z19*Settings!$B$14</f>
        <v>5.6000000000000005</v>
      </c>
    </row>
    <row r="20" spans="1:47" x14ac:dyDescent="0.25">
      <c r="A20" s="15" t="s">
        <v>107</v>
      </c>
      <c r="B20" s="16" t="s">
        <v>891</v>
      </c>
      <c r="C20" s="17">
        <v>6</v>
      </c>
      <c r="D20" s="17" t="s">
        <v>105</v>
      </c>
      <c r="E20" s="18" t="s">
        <v>99</v>
      </c>
      <c r="F20" s="19"/>
      <c r="G20" s="19">
        <v>22</v>
      </c>
      <c r="H20" s="19">
        <v>11</v>
      </c>
      <c r="I20" s="19">
        <v>40</v>
      </c>
      <c r="J20" s="19"/>
      <c r="K20" s="19">
        <v>3</v>
      </c>
      <c r="L20" s="19">
        <v>2</v>
      </c>
      <c r="M20" s="19"/>
      <c r="N20" s="19" t="s">
        <v>714</v>
      </c>
      <c r="O20" s="19">
        <v>17</v>
      </c>
      <c r="P20" s="20">
        <v>4.3</v>
      </c>
      <c r="Q20" s="20">
        <v>5.5</v>
      </c>
      <c r="R20" s="21">
        <v>0.4</v>
      </c>
      <c r="S20" s="21"/>
      <c r="T20" s="20"/>
      <c r="U20" s="22">
        <v>17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6</v>
      </c>
      <c r="AB20" s="22">
        <v>23</v>
      </c>
      <c r="AC20" s="22">
        <v>0</v>
      </c>
      <c r="AD20" s="22">
        <v>2</v>
      </c>
      <c r="AE20" s="22">
        <v>1</v>
      </c>
      <c r="AF20" s="22">
        <v>4</v>
      </c>
      <c r="AG20" s="22">
        <v>0</v>
      </c>
      <c r="AH20" s="23" t="s">
        <v>101</v>
      </c>
      <c r="AI20" s="24">
        <f t="shared" si="0"/>
        <v>3.8333333333333335</v>
      </c>
      <c r="AJ20" s="24">
        <f t="shared" si="1"/>
        <v>4</v>
      </c>
      <c r="AK20" s="25">
        <f t="shared" si="2"/>
        <v>0.5</v>
      </c>
      <c r="AL20" s="24" t="str">
        <f t="shared" si="3"/>
        <v/>
      </c>
      <c r="AM20" s="25" t="str">
        <f t="shared" si="4"/>
        <v/>
      </c>
      <c r="AN20" s="25">
        <f t="shared" si="5"/>
        <v>1.4058106841611998E-2</v>
      </c>
      <c r="AO20" s="25">
        <f t="shared" si="6"/>
        <v>3.4965034965034965E-3</v>
      </c>
      <c r="AP20" s="25">
        <f t="shared" si="7"/>
        <v>0</v>
      </c>
      <c r="AQ20" s="26">
        <f t="shared" si="8"/>
        <v>0.35294117647058826</v>
      </c>
      <c r="AR20" s="26">
        <f t="shared" si="9"/>
        <v>0.11764705882352941</v>
      </c>
      <c r="AS20" s="27">
        <f t="shared" si="10"/>
        <v>0</v>
      </c>
      <c r="AT20" s="27">
        <f t="shared" si="11"/>
        <v>-5</v>
      </c>
      <c r="AU20" s="28">
        <f>AF20*Settings!$B$7+AG20*Settings!$B$8+AE20*Settings!$B$9+AB20*Settings!$B$10+AC20*Settings!$B$11+X20*Settings!$B$12+Y20*Settings!$B$13+Z20*Settings!$B$14</f>
        <v>3.2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892</v>
      </c>
      <c r="C22" s="17">
        <v>1</v>
      </c>
      <c r="D22" s="17" t="s">
        <v>109</v>
      </c>
      <c r="E22" s="18" t="s">
        <v>99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/>
      <c r="Q22" s="20"/>
      <c r="R22" s="21"/>
      <c r="S22" s="21"/>
      <c r="T22" s="20"/>
      <c r="U22" s="22">
        <v>17</v>
      </c>
      <c r="V22" s="22"/>
      <c r="W22" s="22"/>
      <c r="X22" s="22"/>
      <c r="Y22" s="22"/>
      <c r="Z22" s="22"/>
      <c r="AA22" s="22">
        <v>1</v>
      </c>
      <c r="AB22" s="22">
        <v>2</v>
      </c>
      <c r="AC22" s="22">
        <v>0</v>
      </c>
      <c r="AD22" s="22">
        <v>112</v>
      </c>
      <c r="AE22" s="22">
        <v>67</v>
      </c>
      <c r="AF22" s="22">
        <v>885</v>
      </c>
      <c r="AG22" s="22">
        <v>5</v>
      </c>
      <c r="AH22" s="23" t="s">
        <v>101</v>
      </c>
      <c r="AI22" s="24">
        <f t="shared" si="0"/>
        <v>2</v>
      </c>
      <c r="AJ22" s="24">
        <f t="shared" si="1"/>
        <v>13.208955223880597</v>
      </c>
      <c r="AK22" s="25">
        <f t="shared" si="2"/>
        <v>0.5982142857142857</v>
      </c>
      <c r="AL22" s="24" t="str">
        <f t="shared" si="3"/>
        <v/>
      </c>
      <c r="AM22" s="25" t="str">
        <f t="shared" si="4"/>
        <v/>
      </c>
      <c r="AN22" s="25">
        <f t="shared" si="5"/>
        <v>2.343017806935333E-3</v>
      </c>
      <c r="AO22" s="25">
        <f t="shared" si="6"/>
        <v>0.19580419580419581</v>
      </c>
      <c r="AP22" s="25">
        <f t="shared" si="7"/>
        <v>0</v>
      </c>
      <c r="AQ22" s="26">
        <f t="shared" si="8"/>
        <v>5.8823529411764705E-2</v>
      </c>
      <c r="AR22" s="26">
        <f t="shared" si="9"/>
        <v>6.5882352941176467</v>
      </c>
      <c r="AS22" s="27">
        <f t="shared" si="10"/>
        <v>112</v>
      </c>
      <c r="AT22" s="27">
        <f t="shared" si="11"/>
        <v>1</v>
      </c>
      <c r="AU22" s="28">
        <f>AF22*Settings!$B$7+AG22*Settings!$B$8+AE22*Settings!$B$9+AB22*Settings!$B$10+AC22*Settings!$B$11+X22*Settings!$B$12+Y22*Settings!$B$13+Z22*Settings!$B$14</f>
        <v>152.19999999999999</v>
      </c>
    </row>
    <row r="23" spans="1:47" x14ac:dyDescent="0.25">
      <c r="A23" s="15" t="s">
        <v>121</v>
      </c>
      <c r="B23" s="16" t="s">
        <v>893</v>
      </c>
      <c r="C23" s="17">
        <v>2</v>
      </c>
      <c r="D23" s="17" t="s">
        <v>105</v>
      </c>
      <c r="E23" s="18" t="s">
        <v>99</v>
      </c>
      <c r="F23" s="19">
        <v>9</v>
      </c>
      <c r="G23" s="19">
        <v>3</v>
      </c>
      <c r="H23" s="19">
        <v>3</v>
      </c>
      <c r="I23" s="19">
        <v>5</v>
      </c>
      <c r="J23" s="19">
        <v>78</v>
      </c>
      <c r="K23" s="19">
        <v>140</v>
      </c>
      <c r="L23" s="19">
        <v>140</v>
      </c>
      <c r="M23" s="19">
        <v>1014</v>
      </c>
      <c r="N23" s="19" t="s">
        <v>382</v>
      </c>
      <c r="O23" s="19">
        <v>16</v>
      </c>
      <c r="P23" s="20">
        <v>7.33</v>
      </c>
      <c r="Q23" s="20">
        <v>9.1300000000000008</v>
      </c>
      <c r="R23" s="21">
        <v>0.68400000000000005</v>
      </c>
      <c r="S23" s="21"/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3</v>
      </c>
      <c r="AB23" s="22">
        <v>16</v>
      </c>
      <c r="AC23" s="22">
        <v>0</v>
      </c>
      <c r="AD23" s="22">
        <v>114</v>
      </c>
      <c r="AE23" s="22">
        <v>76</v>
      </c>
      <c r="AF23" s="22">
        <v>762</v>
      </c>
      <c r="AG23" s="22">
        <v>3</v>
      </c>
      <c r="AH23" s="23" t="s">
        <v>101</v>
      </c>
      <c r="AI23" s="24">
        <f t="shared" si="0"/>
        <v>5.333333333333333</v>
      </c>
      <c r="AJ23" s="24">
        <f t="shared" si="1"/>
        <v>10.026315789473685</v>
      </c>
      <c r="AK23" s="25">
        <f t="shared" si="2"/>
        <v>0.66666666666666663</v>
      </c>
      <c r="AL23" s="24" t="str">
        <f t="shared" si="3"/>
        <v/>
      </c>
      <c r="AM23" s="25" t="str">
        <f t="shared" si="4"/>
        <v/>
      </c>
      <c r="AN23" s="25">
        <f t="shared" si="5"/>
        <v>7.0290534208059989E-3</v>
      </c>
      <c r="AO23" s="25">
        <f t="shared" si="6"/>
        <v>0.1993006993006993</v>
      </c>
      <c r="AP23" s="25">
        <f t="shared" si="7"/>
        <v>0</v>
      </c>
      <c r="AQ23" s="26">
        <f t="shared" si="8"/>
        <v>0.17647058823529413</v>
      </c>
      <c r="AR23" s="26">
        <f t="shared" si="9"/>
        <v>6.7058823529411766</v>
      </c>
      <c r="AS23" s="27">
        <f t="shared" si="10"/>
        <v>-26</v>
      </c>
      <c r="AT23" s="27">
        <f t="shared" si="11"/>
        <v>0</v>
      </c>
      <c r="AU23" s="28">
        <f>AF23*Settings!$B$7+AG23*Settings!$B$8+AE23*Settings!$B$9+AB23*Settings!$B$10+AC23*Settings!$B$11+X23*Settings!$B$12+Y23*Settings!$B$13+Z23*Settings!$B$14</f>
        <v>133.79999999999998</v>
      </c>
    </row>
    <row r="24" spans="1:47" x14ac:dyDescent="0.25">
      <c r="A24" s="15" t="s">
        <v>121</v>
      </c>
      <c r="B24" s="16" t="s">
        <v>894</v>
      </c>
      <c r="C24" s="17">
        <v>3</v>
      </c>
      <c r="D24" s="17" t="s">
        <v>114</v>
      </c>
      <c r="E24" s="18" t="s">
        <v>99</v>
      </c>
      <c r="F24" s="19">
        <v>9</v>
      </c>
      <c r="G24" s="19">
        <v>8</v>
      </c>
      <c r="H24" s="19"/>
      <c r="I24" s="19"/>
      <c r="J24" s="19">
        <v>136</v>
      </c>
      <c r="K24" s="19">
        <v>120</v>
      </c>
      <c r="L24" s="19">
        <v>36</v>
      </c>
      <c r="M24" s="19">
        <v>303</v>
      </c>
      <c r="N24" s="19" t="s">
        <v>714</v>
      </c>
      <c r="O24" s="19">
        <v>7</v>
      </c>
      <c r="P24" s="20">
        <v>4.59</v>
      </c>
      <c r="Q24" s="20">
        <v>14.88</v>
      </c>
      <c r="R24" s="21">
        <v>0.53800000000000003</v>
      </c>
      <c r="S24" s="21"/>
      <c r="T24" s="20"/>
      <c r="U24" s="22">
        <v>17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3</v>
      </c>
      <c r="AB24" s="22">
        <v>12</v>
      </c>
      <c r="AC24" s="22">
        <v>0</v>
      </c>
      <c r="AD24" s="22">
        <v>74</v>
      </c>
      <c r="AE24" s="22">
        <v>38</v>
      </c>
      <c r="AF24" s="22">
        <v>590</v>
      </c>
      <c r="AG24" s="22">
        <v>3</v>
      </c>
      <c r="AH24" s="23" t="s">
        <v>101</v>
      </c>
      <c r="AI24" s="24">
        <f t="shared" si="0"/>
        <v>4</v>
      </c>
      <c r="AJ24" s="24">
        <f t="shared" si="1"/>
        <v>15.526315789473685</v>
      </c>
      <c r="AK24" s="25">
        <f t="shared" si="2"/>
        <v>0.51351351351351349</v>
      </c>
      <c r="AL24" s="24" t="str">
        <f t="shared" si="3"/>
        <v/>
      </c>
      <c r="AM24" s="25" t="str">
        <f t="shared" si="4"/>
        <v/>
      </c>
      <c r="AN24" s="25">
        <f t="shared" si="5"/>
        <v>7.0290534208059989E-3</v>
      </c>
      <c r="AO24" s="25">
        <f t="shared" si="6"/>
        <v>0.12937062937062938</v>
      </c>
      <c r="AP24" s="25">
        <f t="shared" si="7"/>
        <v>0</v>
      </c>
      <c r="AQ24" s="26">
        <f t="shared" si="8"/>
        <v>0.17647058823529413</v>
      </c>
      <c r="AR24" s="26">
        <f t="shared" si="9"/>
        <v>4.3529411764705879</v>
      </c>
      <c r="AS24" s="27">
        <f t="shared" si="10"/>
        <v>38</v>
      </c>
      <c r="AT24" s="27">
        <f t="shared" si="11"/>
        <v>3</v>
      </c>
      <c r="AU24" s="28">
        <f>AF24*Settings!$B$7+AG24*Settings!$B$8+AE24*Settings!$B$9+AB24*Settings!$B$10+AC24*Settings!$B$11+X24*Settings!$B$12+Y24*Settings!$B$13+Z24*Settings!$B$14</f>
        <v>97.2</v>
      </c>
    </row>
    <row r="25" spans="1:47" x14ac:dyDescent="0.25">
      <c r="A25" s="15" t="s">
        <v>121</v>
      </c>
      <c r="B25" s="16" t="s">
        <v>895</v>
      </c>
      <c r="C25" s="17">
        <v>4</v>
      </c>
      <c r="D25" s="17" t="s">
        <v>103</v>
      </c>
      <c r="E25" s="18" t="s">
        <v>99</v>
      </c>
      <c r="F25" s="19"/>
      <c r="G25" s="19"/>
      <c r="H25" s="19"/>
      <c r="I25" s="19"/>
      <c r="J25" s="19"/>
      <c r="K25" s="19"/>
      <c r="L25" s="19">
        <v>89</v>
      </c>
      <c r="M25" s="19">
        <v>515</v>
      </c>
      <c r="N25" s="19" t="s">
        <v>714</v>
      </c>
      <c r="O25" s="19">
        <v>16</v>
      </c>
      <c r="P25" s="20"/>
      <c r="Q25" s="20">
        <v>12.56</v>
      </c>
      <c r="R25" s="21">
        <v>0.46100000000000002</v>
      </c>
      <c r="S25" s="21"/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42</v>
      </c>
      <c r="AE25" s="22">
        <v>21</v>
      </c>
      <c r="AF25" s="22">
        <v>279</v>
      </c>
      <c r="AG25" s="22">
        <v>2</v>
      </c>
      <c r="AH25" s="23" t="s">
        <v>101</v>
      </c>
      <c r="AI25" s="24" t="str">
        <f t="shared" si="0"/>
        <v/>
      </c>
      <c r="AJ25" s="24">
        <f t="shared" si="1"/>
        <v>13.285714285714286</v>
      </c>
      <c r="AK25" s="25">
        <f t="shared" si="2"/>
        <v>0.5</v>
      </c>
      <c r="AL25" s="24" t="str">
        <f t="shared" si="3"/>
        <v/>
      </c>
      <c r="AM25" s="25" t="str">
        <f t="shared" si="4"/>
        <v/>
      </c>
      <c r="AN25" s="25">
        <f t="shared" si="5"/>
        <v>0</v>
      </c>
      <c r="AO25" s="25">
        <f t="shared" si="6"/>
        <v>7.3426573426573424E-2</v>
      </c>
      <c r="AP25" s="25">
        <f t="shared" si="7"/>
        <v>0</v>
      </c>
      <c r="AQ25" s="26">
        <f t="shared" si="8"/>
        <v>0</v>
      </c>
      <c r="AR25" s="26">
        <f t="shared" si="9"/>
        <v>2.4705882352941178</v>
      </c>
      <c r="AS25" s="27">
        <f t="shared" si="10"/>
        <v>-47</v>
      </c>
      <c r="AT25" s="27">
        <f t="shared" si="11"/>
        <v>0</v>
      </c>
      <c r="AU25" s="28">
        <f>AF25*Settings!$B$7+AG25*Settings!$B$8+AE25*Settings!$B$9+AB25*Settings!$B$10+AC25*Settings!$B$11+X25*Settings!$B$12+Y25*Settings!$B$13+Z25*Settings!$B$14</f>
        <v>50.400000000000006</v>
      </c>
    </row>
    <row r="26" spans="1:47" x14ac:dyDescent="0.25">
      <c r="A26" s="15" t="s">
        <v>121</v>
      </c>
      <c r="B26" s="16" t="s">
        <v>896</v>
      </c>
      <c r="C26" s="17">
        <v>5</v>
      </c>
      <c r="D26" s="17" t="s">
        <v>118</v>
      </c>
      <c r="E26" s="18" t="s">
        <v>99</v>
      </c>
      <c r="F26" s="19"/>
      <c r="G26" s="19"/>
      <c r="H26" s="19">
        <v>11</v>
      </c>
      <c r="I26" s="19">
        <v>18</v>
      </c>
      <c r="J26" s="19"/>
      <c r="K26" s="19"/>
      <c r="L26" s="19">
        <v>74</v>
      </c>
      <c r="M26" s="19">
        <v>423</v>
      </c>
      <c r="N26" s="19" t="s">
        <v>714</v>
      </c>
      <c r="O26" s="19">
        <v>17</v>
      </c>
      <c r="P26" s="20">
        <v>1.64</v>
      </c>
      <c r="Q26" s="20">
        <v>8.81</v>
      </c>
      <c r="R26" s="21">
        <v>0.64900000000000002</v>
      </c>
      <c r="S26" s="21"/>
      <c r="T26" s="20"/>
      <c r="U26" s="22">
        <v>17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8</v>
      </c>
      <c r="AB26" s="22">
        <v>27</v>
      </c>
      <c r="AC26" s="22">
        <v>0</v>
      </c>
      <c r="AD26" s="22">
        <v>37</v>
      </c>
      <c r="AE26" s="22">
        <v>22</v>
      </c>
      <c r="AF26" s="22">
        <v>219</v>
      </c>
      <c r="AG26" s="22">
        <v>2</v>
      </c>
      <c r="AH26" s="23" t="s">
        <v>101</v>
      </c>
      <c r="AI26" s="24">
        <f t="shared" si="0"/>
        <v>3.375</v>
      </c>
      <c r="AJ26" s="24">
        <f t="shared" si="1"/>
        <v>9.954545454545455</v>
      </c>
      <c r="AK26" s="25">
        <f t="shared" si="2"/>
        <v>0.59459459459459463</v>
      </c>
      <c r="AL26" s="24" t="str">
        <f t="shared" si="3"/>
        <v/>
      </c>
      <c r="AM26" s="25" t="str">
        <f t="shared" si="4"/>
        <v/>
      </c>
      <c r="AN26" s="25">
        <f t="shared" si="5"/>
        <v>1.8744142455482664E-2</v>
      </c>
      <c r="AO26" s="25">
        <f t="shared" si="6"/>
        <v>6.4685314685314688E-2</v>
      </c>
      <c r="AP26" s="25">
        <f t="shared" si="7"/>
        <v>0</v>
      </c>
      <c r="AQ26" s="26">
        <f t="shared" si="8"/>
        <v>0.47058823529411764</v>
      </c>
      <c r="AR26" s="26">
        <f t="shared" si="9"/>
        <v>2.1764705882352939</v>
      </c>
      <c r="AS26" s="27">
        <f t="shared" si="10"/>
        <v>-37</v>
      </c>
      <c r="AT26" s="27">
        <f t="shared" si="11"/>
        <v>-3</v>
      </c>
      <c r="AU26" s="28">
        <f>AF26*Settings!$B$7+AG26*Settings!$B$8+AE26*Settings!$B$9+AB26*Settings!$B$10+AC26*Settings!$B$11+X26*Settings!$B$12+Y26*Settings!$B$13+Z26*Settings!$B$14</f>
        <v>47.600000000000009</v>
      </c>
    </row>
    <row r="27" spans="1:47" x14ac:dyDescent="0.25">
      <c r="A27" s="15" t="s">
        <v>121</v>
      </c>
      <c r="B27" s="16" t="s">
        <v>897</v>
      </c>
      <c r="C27" s="17">
        <v>6</v>
      </c>
      <c r="D27" s="17" t="s">
        <v>118</v>
      </c>
      <c r="E27" s="18" t="s">
        <v>99</v>
      </c>
      <c r="F27" s="19"/>
      <c r="G27" s="19"/>
      <c r="H27" s="19"/>
      <c r="I27" s="19"/>
      <c r="J27" s="19"/>
      <c r="K27" s="19"/>
      <c r="L27" s="19">
        <v>7</v>
      </c>
      <c r="M27" s="19">
        <v>41</v>
      </c>
      <c r="N27" s="19" t="s">
        <v>714</v>
      </c>
      <c r="O27" s="19">
        <v>2</v>
      </c>
      <c r="P27" s="20"/>
      <c r="Q27" s="20">
        <v>13.67</v>
      </c>
      <c r="R27" s="21">
        <v>0.42899999999999999</v>
      </c>
      <c r="S27" s="21"/>
      <c r="T27" s="20"/>
      <c r="U27" s="22">
        <v>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1</v>
      </c>
      <c r="AB27" s="22">
        <v>4</v>
      </c>
      <c r="AC27" s="22">
        <v>0</v>
      </c>
      <c r="AD27" s="22">
        <v>3</v>
      </c>
      <c r="AE27" s="22">
        <v>4</v>
      </c>
      <c r="AF27" s="22">
        <v>45</v>
      </c>
      <c r="AG27" s="22">
        <v>0</v>
      </c>
      <c r="AH27" s="23" t="s">
        <v>101</v>
      </c>
      <c r="AI27" s="24">
        <f t="shared" si="0"/>
        <v>4</v>
      </c>
      <c r="AJ27" s="24">
        <f t="shared" si="1"/>
        <v>11.25</v>
      </c>
      <c r="AK27" s="25">
        <f t="shared" si="2"/>
        <v>1.3333333333333333</v>
      </c>
      <c r="AL27" s="24" t="str">
        <f t="shared" si="3"/>
        <v/>
      </c>
      <c r="AM27" s="25" t="str">
        <f t="shared" si="4"/>
        <v/>
      </c>
      <c r="AN27" s="25">
        <f t="shared" si="5"/>
        <v>2.343017806935333E-3</v>
      </c>
      <c r="AO27" s="25">
        <f t="shared" si="6"/>
        <v>5.244755244755245E-3</v>
      </c>
      <c r="AP27" s="25">
        <f t="shared" si="7"/>
        <v>0</v>
      </c>
      <c r="AQ27" s="26">
        <f t="shared" si="8"/>
        <v>5.8823529411764705E-2</v>
      </c>
      <c r="AR27" s="26">
        <f t="shared" si="9"/>
        <v>0.17647058823529413</v>
      </c>
      <c r="AS27" s="27">
        <f t="shared" si="10"/>
        <v>-4</v>
      </c>
      <c r="AT27" s="27">
        <f t="shared" si="11"/>
        <v>1</v>
      </c>
      <c r="AU27" s="28">
        <f>AF27*Settings!$B$7+AG27*Settings!$B$8+AE27*Settings!$B$9+AB27*Settings!$B$10+AC27*Settings!$B$11+X27*Settings!$B$12+Y27*Settings!$B$13+Z27*Settings!$B$14</f>
        <v>6.9</v>
      </c>
    </row>
    <row r="28" spans="1:47" x14ac:dyDescent="0.25">
      <c r="A28" s="15" t="s">
        <v>121</v>
      </c>
      <c r="B28" s="16" t="s">
        <v>898</v>
      </c>
      <c r="C28" s="17">
        <v>7</v>
      </c>
      <c r="D28" s="17" t="s">
        <v>111</v>
      </c>
      <c r="E28" s="18" t="s">
        <v>99</v>
      </c>
      <c r="F28" s="19"/>
      <c r="G28" s="19"/>
      <c r="H28" s="19"/>
      <c r="I28" s="19"/>
      <c r="J28" s="19"/>
      <c r="K28" s="19">
        <v>9</v>
      </c>
      <c r="L28" s="19">
        <v>1</v>
      </c>
      <c r="M28" s="19">
        <v>8</v>
      </c>
      <c r="N28" s="19" t="s">
        <v>714</v>
      </c>
      <c r="O28" s="19">
        <v>3</v>
      </c>
      <c r="P28" s="20"/>
      <c r="Q28" s="20">
        <v>14.71</v>
      </c>
      <c r="R28" s="21">
        <v>0.7</v>
      </c>
      <c r="S28" s="21"/>
      <c r="T28" s="20"/>
      <c r="U28" s="22">
        <v>17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1</v>
      </c>
      <c r="AE28" s="22">
        <v>1</v>
      </c>
      <c r="AF28" s="22">
        <v>11</v>
      </c>
      <c r="AG28" s="22">
        <v>0</v>
      </c>
      <c r="AH28" s="23" t="s">
        <v>101</v>
      </c>
      <c r="AI28" s="24" t="str">
        <f t="shared" si="0"/>
        <v/>
      </c>
      <c r="AJ28" s="24">
        <f t="shared" si="1"/>
        <v>11</v>
      </c>
      <c r="AK28" s="25">
        <f t="shared" si="2"/>
        <v>1</v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1.7482517482517483E-3</v>
      </c>
      <c r="AP28" s="25">
        <f t="shared" si="7"/>
        <v>0</v>
      </c>
      <c r="AQ28" s="26">
        <f t="shared" si="8"/>
        <v>0</v>
      </c>
      <c r="AR28" s="26">
        <f t="shared" si="9"/>
        <v>5.8823529411764705E-2</v>
      </c>
      <c r="AS28" s="27">
        <f t="shared" si="10"/>
        <v>0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1.6</v>
      </c>
    </row>
    <row r="29" spans="1:47" x14ac:dyDescent="0.25">
      <c r="A29" s="15" t="s">
        <v>121</v>
      </c>
      <c r="B29" s="16" t="s">
        <v>899</v>
      </c>
      <c r="C29" s="17">
        <v>8</v>
      </c>
      <c r="D29" s="17" t="s">
        <v>168</v>
      </c>
      <c r="E29" s="18" t="s">
        <v>99</v>
      </c>
      <c r="F29" s="19"/>
      <c r="G29" s="19"/>
      <c r="H29" s="19"/>
      <c r="I29" s="19"/>
      <c r="J29" s="19">
        <v>75</v>
      </c>
      <c r="K29" s="19">
        <v>18</v>
      </c>
      <c r="L29" s="19"/>
      <c r="M29" s="19"/>
      <c r="N29" s="19"/>
      <c r="O29" s="19"/>
      <c r="P29" s="20"/>
      <c r="Q29" s="20">
        <v>10.85</v>
      </c>
      <c r="R29" s="21">
        <v>0.59099999999999997</v>
      </c>
      <c r="S29" s="21"/>
      <c r="T29" s="20"/>
      <c r="U29" s="22">
        <v>17</v>
      </c>
      <c r="V29" s="22"/>
      <c r="W29" s="22"/>
      <c r="X29" s="22"/>
      <c r="Y29" s="22"/>
      <c r="Z29" s="22"/>
      <c r="AA29" s="22">
        <v>0</v>
      </c>
      <c r="AB29" s="22">
        <v>0</v>
      </c>
      <c r="AC29" s="22">
        <v>0</v>
      </c>
      <c r="AD29" s="22">
        <v>0</v>
      </c>
      <c r="AE29" s="22">
        <v>5</v>
      </c>
      <c r="AF29" s="22">
        <v>52</v>
      </c>
      <c r="AG29" s="22">
        <v>0</v>
      </c>
      <c r="AH29" s="23" t="s">
        <v>101</v>
      </c>
      <c r="AI29" s="24" t="str">
        <f t="shared" si="0"/>
        <v/>
      </c>
      <c r="AJ29" s="24">
        <f t="shared" si="1"/>
        <v>10.4</v>
      </c>
      <c r="AK29" s="25" t="str">
        <f t="shared" si="2"/>
        <v/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0</v>
      </c>
      <c r="AP29" s="25">
        <f t="shared" si="7"/>
        <v>0</v>
      </c>
      <c r="AQ29" s="26">
        <f t="shared" si="8"/>
        <v>0</v>
      </c>
      <c r="AR29" s="26">
        <f t="shared" si="9"/>
        <v>0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7.7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900</v>
      </c>
      <c r="C31" s="17">
        <v>1</v>
      </c>
      <c r="D31" s="17" t="s">
        <v>103</v>
      </c>
      <c r="E31" s="18" t="s">
        <v>99</v>
      </c>
      <c r="F31" s="19"/>
      <c r="G31" s="19"/>
      <c r="H31" s="19"/>
      <c r="I31" s="19"/>
      <c r="J31" s="19"/>
      <c r="K31" s="19"/>
      <c r="L31" s="19">
        <v>55</v>
      </c>
      <c r="M31" s="19">
        <v>357</v>
      </c>
      <c r="N31" s="19" t="s">
        <v>714</v>
      </c>
      <c r="O31" s="19">
        <v>16</v>
      </c>
      <c r="P31" s="20"/>
      <c r="Q31" s="20">
        <v>8.11</v>
      </c>
      <c r="R31" s="21">
        <v>0.8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70</v>
      </c>
      <c r="AE31" s="22">
        <v>52</v>
      </c>
      <c r="AF31" s="22">
        <v>461</v>
      </c>
      <c r="AG31" s="22">
        <v>3</v>
      </c>
      <c r="AH31" s="23" t="s">
        <v>101</v>
      </c>
      <c r="AI31" s="24" t="str">
        <f t="shared" si="0"/>
        <v/>
      </c>
      <c r="AJ31" s="24">
        <f t="shared" si="1"/>
        <v>8.865384615384615</v>
      </c>
      <c r="AK31" s="25">
        <f t="shared" si="2"/>
        <v>0.74285714285714288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0.12237762237762238</v>
      </c>
      <c r="AP31" s="25">
        <f t="shared" si="7"/>
        <v>0</v>
      </c>
      <c r="AQ31" s="26">
        <f t="shared" si="8"/>
        <v>0</v>
      </c>
      <c r="AR31" s="26">
        <f t="shared" si="9"/>
        <v>4.117647058823529</v>
      </c>
      <c r="AS31" s="27">
        <f t="shared" si="10"/>
        <v>15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90.1</v>
      </c>
    </row>
    <row r="32" spans="1:47" x14ac:dyDescent="0.25">
      <c r="A32" s="15" t="s">
        <v>135</v>
      </c>
      <c r="B32" s="16" t="s">
        <v>901</v>
      </c>
      <c r="C32" s="17">
        <v>2</v>
      </c>
      <c r="D32" s="17" t="s">
        <v>105</v>
      </c>
      <c r="E32" s="18" t="s">
        <v>99</v>
      </c>
      <c r="F32" s="19"/>
      <c r="G32" s="19"/>
      <c r="H32" s="19"/>
      <c r="I32" s="19"/>
      <c r="J32" s="19">
        <v>28</v>
      </c>
      <c r="K32" s="19">
        <v>17</v>
      </c>
      <c r="L32" s="19">
        <v>26</v>
      </c>
      <c r="M32" s="19">
        <v>286</v>
      </c>
      <c r="N32" s="19" t="s">
        <v>382</v>
      </c>
      <c r="O32" s="19">
        <v>16</v>
      </c>
      <c r="P32" s="20"/>
      <c r="Q32" s="20">
        <v>11.48</v>
      </c>
      <c r="R32" s="21">
        <v>0.81699999999999995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24</v>
      </c>
      <c r="AE32" s="22">
        <v>17</v>
      </c>
      <c r="AF32" s="22">
        <v>189</v>
      </c>
      <c r="AG32" s="22">
        <v>1</v>
      </c>
      <c r="AH32" s="23" t="s">
        <v>101</v>
      </c>
      <c r="AI32" s="24" t="str">
        <f t="shared" si="0"/>
        <v/>
      </c>
      <c r="AJ32" s="24">
        <f t="shared" si="1"/>
        <v>11.117647058823529</v>
      </c>
      <c r="AK32" s="25">
        <f t="shared" si="2"/>
        <v>0.70833333333333337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4.195804195804196E-2</v>
      </c>
      <c r="AP32" s="25">
        <f t="shared" si="7"/>
        <v>0</v>
      </c>
      <c r="AQ32" s="26">
        <f t="shared" si="8"/>
        <v>0</v>
      </c>
      <c r="AR32" s="26">
        <f t="shared" si="9"/>
        <v>1.411764705882353</v>
      </c>
      <c r="AS32" s="27">
        <f t="shared" si="10"/>
        <v>-2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33.400000000000006</v>
      </c>
    </row>
    <row r="33" spans="1:47" x14ac:dyDescent="0.25">
      <c r="A33" s="15" t="s">
        <v>135</v>
      </c>
      <c r="B33" s="16" t="s">
        <v>902</v>
      </c>
      <c r="C33" s="17">
        <v>3</v>
      </c>
      <c r="D33" s="17" t="s">
        <v>128</v>
      </c>
      <c r="E33" s="18" t="s">
        <v>99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0"/>
      <c r="Q33" s="20"/>
      <c r="R33" s="21"/>
      <c r="S33" s="21"/>
      <c r="T33" s="20"/>
      <c r="U33" s="22">
        <v>17</v>
      </c>
      <c r="V33" s="22"/>
      <c r="W33" s="22"/>
      <c r="X33" s="22"/>
      <c r="Y33" s="22"/>
      <c r="Z33" s="22"/>
      <c r="AA33" s="22">
        <v>0</v>
      </c>
      <c r="AB33" s="22">
        <v>0</v>
      </c>
      <c r="AC33" s="22">
        <v>0</v>
      </c>
      <c r="AD33" s="22">
        <v>15</v>
      </c>
      <c r="AE33" s="22">
        <v>9</v>
      </c>
      <c r="AF33" s="22">
        <v>86</v>
      </c>
      <c r="AG33" s="22">
        <v>1</v>
      </c>
      <c r="AH33" s="23" t="s">
        <v>101</v>
      </c>
      <c r="AI33" s="24" t="str">
        <f t="shared" si="0"/>
        <v/>
      </c>
      <c r="AJ33" s="24">
        <f t="shared" si="1"/>
        <v>9.5555555555555554</v>
      </c>
      <c r="AK33" s="25">
        <f t="shared" si="2"/>
        <v>0.6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2.6223776223776224E-2</v>
      </c>
      <c r="AP33" s="25">
        <f t="shared" si="7"/>
        <v>0</v>
      </c>
      <c r="AQ33" s="26">
        <f t="shared" si="8"/>
        <v>0</v>
      </c>
      <c r="AR33" s="26">
        <f t="shared" si="9"/>
        <v>0.88235294117647056</v>
      </c>
      <c r="AS33" s="27">
        <f t="shared" si="10"/>
        <v>15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19.100000000000001</v>
      </c>
    </row>
    <row r="34" spans="1:47" x14ac:dyDescent="0.25">
      <c r="A34" s="15" t="s">
        <v>135</v>
      </c>
      <c r="B34" s="16" t="s">
        <v>903</v>
      </c>
      <c r="C34" s="17">
        <v>4</v>
      </c>
      <c r="D34" s="17" t="s">
        <v>130</v>
      </c>
      <c r="E34" s="18" t="s">
        <v>99</v>
      </c>
      <c r="F34" s="19">
        <v>1</v>
      </c>
      <c r="G34" s="19"/>
      <c r="H34" s="19"/>
      <c r="I34" s="19"/>
      <c r="J34" s="19">
        <v>50</v>
      </c>
      <c r="K34" s="19">
        <v>31</v>
      </c>
      <c r="L34" s="19">
        <v>9</v>
      </c>
      <c r="M34" s="19">
        <v>40</v>
      </c>
      <c r="N34" s="19" t="s">
        <v>166</v>
      </c>
      <c r="O34" s="19">
        <v>17</v>
      </c>
      <c r="P34" s="20">
        <v>2</v>
      </c>
      <c r="Q34" s="20">
        <v>11.57</v>
      </c>
      <c r="R34" s="21">
        <v>0.56699999999999995</v>
      </c>
      <c r="S34" s="21"/>
      <c r="T34" s="20"/>
      <c r="U34" s="22">
        <v>17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6</v>
      </c>
      <c r="AE34" s="22">
        <v>4</v>
      </c>
      <c r="AF34" s="22">
        <v>35</v>
      </c>
      <c r="AG34" s="22">
        <v>0</v>
      </c>
      <c r="AH34" s="23" t="s">
        <v>101</v>
      </c>
      <c r="AI34" s="24" t="str">
        <f t="shared" si="0"/>
        <v/>
      </c>
      <c r="AJ34" s="24">
        <f t="shared" si="1"/>
        <v>8.75</v>
      </c>
      <c r="AK34" s="25">
        <f t="shared" si="2"/>
        <v>0.66666666666666663</v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1.048951048951049E-2</v>
      </c>
      <c r="AP34" s="25">
        <f t="shared" si="7"/>
        <v>0</v>
      </c>
      <c r="AQ34" s="26">
        <f t="shared" si="8"/>
        <v>0</v>
      </c>
      <c r="AR34" s="26">
        <f t="shared" si="9"/>
        <v>0.35294117647058826</v>
      </c>
      <c r="AS34" s="27">
        <f t="shared" si="10"/>
        <v>-3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5.5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612</v>
      </c>
      <c r="W37" s="34">
        <f t="shared" si="12"/>
        <v>379</v>
      </c>
      <c r="X37" s="34">
        <f t="shared" si="12"/>
        <v>3983</v>
      </c>
      <c r="Y37" s="34">
        <f t="shared" si="12"/>
        <v>25</v>
      </c>
      <c r="Z37" s="34">
        <f t="shared" si="12"/>
        <v>11</v>
      </c>
      <c r="AA37" s="34">
        <f t="shared" si="12"/>
        <v>448</v>
      </c>
      <c r="AB37" s="34">
        <f t="shared" si="12"/>
        <v>1918</v>
      </c>
      <c r="AC37" s="34">
        <f t="shared" si="12"/>
        <v>12</v>
      </c>
      <c r="AD37" s="34">
        <f t="shared" si="12"/>
        <v>608</v>
      </c>
      <c r="AE37" s="34">
        <f t="shared" si="12"/>
        <v>402</v>
      </c>
      <c r="AF37" s="34">
        <f t="shared" si="12"/>
        <v>4194</v>
      </c>
      <c r="AG37" s="34">
        <f t="shared" si="12"/>
        <v>22</v>
      </c>
    </row>
    <row r="38" spans="1:47" x14ac:dyDescent="0.25">
      <c r="A38" s="5" t="s">
        <v>142</v>
      </c>
      <c r="V38" s="35">
        <f>$F$5</f>
        <v>600</v>
      </c>
      <c r="X38" s="35">
        <f>$I$5</f>
        <v>3586</v>
      </c>
      <c r="Y38" s="35">
        <f>$J$5</f>
        <v>20</v>
      </c>
      <c r="Z38" s="35">
        <f>$K$5</f>
        <v>13</v>
      </c>
      <c r="AA38" s="35">
        <f>$H$5</f>
        <v>426.79999999999995</v>
      </c>
      <c r="AB38" s="35">
        <f>$L$5</f>
        <v>1803</v>
      </c>
      <c r="AC38" s="35">
        <f>$M$5</f>
        <v>12</v>
      </c>
      <c r="AD38" s="35">
        <f>$G$5</f>
        <v>572</v>
      </c>
      <c r="AF38" s="35">
        <f>$I$5</f>
        <v>3586</v>
      </c>
      <c r="AG38" s="35">
        <f>$J$5</f>
        <v>20</v>
      </c>
    </row>
    <row r="39" spans="1:47" x14ac:dyDescent="0.25">
      <c r="A39" s="5" t="s">
        <v>143</v>
      </c>
      <c r="V39" s="36">
        <f>$F$5-V37</f>
        <v>-12</v>
      </c>
      <c r="X39" s="36">
        <f>$I$5-X37</f>
        <v>-397</v>
      </c>
      <c r="Y39" s="36">
        <f>$J$5-Y37</f>
        <v>-5</v>
      </c>
      <c r="Z39" s="36">
        <f>$K$5-Z37</f>
        <v>2</v>
      </c>
      <c r="AA39" s="36">
        <f>$H$5-AA37</f>
        <v>-21.200000000000045</v>
      </c>
      <c r="AB39" s="36">
        <f>$L$5-AB37</f>
        <v>-115</v>
      </c>
      <c r="AC39" s="36">
        <f>$M$5-AC37</f>
        <v>0</v>
      </c>
      <c r="AD39" s="36">
        <f>$G$5-AD37</f>
        <v>-36</v>
      </c>
      <c r="AF39" s="36">
        <f>$I$5-AF37</f>
        <v>-608</v>
      </c>
      <c r="AG39" s="36">
        <f>$J$5-AG37</f>
        <v>-2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59" priority="1" stopIfTrue="1">
      <formula>V37&gt;$F$5</formula>
    </cfRule>
    <cfRule type="expression" dxfId="58" priority="2">
      <formula>AND($F$5&gt;0,V37&lt;$F$5*0.97)</formula>
    </cfRule>
    <cfRule type="expression" dxfId="57" priority="3">
      <formula>AND($F$5&gt;0,V37&gt;=$F$5*0.97,V37&lt;=$F$5)</formula>
    </cfRule>
  </conditionalFormatting>
  <conditionalFormatting sqref="X37">
    <cfRule type="expression" dxfId="56" priority="4" stopIfTrue="1">
      <formula>X37&gt;$I$5</formula>
    </cfRule>
    <cfRule type="expression" dxfId="55" priority="5">
      <formula>AND($I$5&gt;0,X37&lt;$I$5*0.97)</formula>
    </cfRule>
    <cfRule type="expression" dxfId="54" priority="6">
      <formula>AND($I$5&gt;0,X37&gt;=$I$5*0.97,X37&lt;=$I$5)</formula>
    </cfRule>
  </conditionalFormatting>
  <conditionalFormatting sqref="Y37">
    <cfRule type="expression" dxfId="53" priority="7" stopIfTrue="1">
      <formula>Y37&gt;$J$5</formula>
    </cfRule>
    <cfRule type="expression" dxfId="52" priority="8">
      <formula>AND($J$5&gt;0,Y37&lt;$J$5*0.97)</formula>
    </cfRule>
    <cfRule type="expression" dxfId="51" priority="9">
      <formula>AND($J$5&gt;0,Y37&gt;=$J$5*0.97,Y37&lt;=$J$5)</formula>
    </cfRule>
  </conditionalFormatting>
  <conditionalFormatting sqref="Z37">
    <cfRule type="expression" dxfId="50" priority="10" stopIfTrue="1">
      <formula>Z37&gt;$K$5</formula>
    </cfRule>
    <cfRule type="expression" dxfId="49" priority="11">
      <formula>AND($K$5&gt;0,Z37&lt;$K$5*0.97)</formula>
    </cfRule>
    <cfRule type="expression" dxfId="48" priority="12">
      <formula>AND($K$5&gt;0,Z37&gt;=$K$5*0.97,Z37&lt;=$K$5)</formula>
    </cfRule>
  </conditionalFormatting>
  <conditionalFormatting sqref="AA37">
    <cfRule type="expression" dxfId="47" priority="13" stopIfTrue="1">
      <formula>AA37&gt;$H$5</formula>
    </cfRule>
    <cfRule type="expression" dxfId="46" priority="14">
      <formula>AND($H$5&gt;0,AA37&lt;$H$5*0.97)</formula>
    </cfRule>
    <cfRule type="expression" dxfId="45" priority="15">
      <formula>AND($H$5&gt;0,AA37&gt;=$H$5*0.97,AA37&lt;=$H$5)</formula>
    </cfRule>
  </conditionalFormatting>
  <conditionalFormatting sqref="AB37">
    <cfRule type="expression" dxfId="44" priority="16" stopIfTrue="1">
      <formula>AB37&gt;$L$5</formula>
    </cfRule>
    <cfRule type="expression" dxfId="43" priority="17">
      <formula>AND($L$5&gt;0,AB37&lt;$L$5*0.97)</formula>
    </cfRule>
    <cfRule type="expression" dxfId="42" priority="18">
      <formula>AND($L$5&gt;0,AB37&gt;=$L$5*0.97,AB37&lt;=$L$5)</formula>
    </cfRule>
  </conditionalFormatting>
  <conditionalFormatting sqref="AC37">
    <cfRule type="expression" dxfId="41" priority="19" stopIfTrue="1">
      <formula>AC37&gt;$M$5</formula>
    </cfRule>
    <cfRule type="expression" dxfId="40" priority="20">
      <formula>AND($M$5&gt;0,AC37&lt;$M$5*0.97)</formula>
    </cfRule>
    <cfRule type="expression" dxfId="39" priority="21">
      <formula>AND($M$5&gt;0,AC37&gt;=$M$5*0.97,AC37&lt;=$M$5)</formula>
    </cfRule>
  </conditionalFormatting>
  <conditionalFormatting sqref="AD37">
    <cfRule type="expression" dxfId="38" priority="22" stopIfTrue="1">
      <formula>AD37&gt;$G$5</formula>
    </cfRule>
    <cfRule type="expression" dxfId="37" priority="23">
      <formula>AND($G$5&gt;0,AD37&lt;$G$5*0.97)</formula>
    </cfRule>
    <cfRule type="expression" dxfId="36" priority="24">
      <formula>AND($G$5&gt;0,AD37&gt;=$G$5*0.97,AD37&lt;=$G$5)</formula>
    </cfRule>
  </conditionalFormatting>
  <conditionalFormatting sqref="AF37">
    <cfRule type="expression" dxfId="35" priority="25" stopIfTrue="1">
      <formula>AF37&gt;$I$5</formula>
    </cfRule>
    <cfRule type="expression" dxfId="34" priority="26">
      <formula>AND($I$5&gt;0,AF37&lt;$I$5*0.97)</formula>
    </cfRule>
    <cfRule type="expression" dxfId="33" priority="27">
      <formula>AND($I$5&gt;0,AF37&gt;=$I$5*0.97,AF37&lt;=$I$5)</formula>
    </cfRule>
  </conditionalFormatting>
  <conditionalFormatting sqref="AG37">
    <cfRule type="expression" dxfId="32" priority="28" stopIfTrue="1">
      <formula>AG37&gt;$J$5</formula>
    </cfRule>
    <cfRule type="expression" dxfId="31" priority="29">
      <formula>AND($J$5&gt;0,AG37&lt;$J$5*0.97)</formula>
    </cfRule>
    <cfRule type="expression" dxfId="30" priority="30">
      <formula>AND($J$5&gt;0,AG37&gt;=$J$5*0.97,AG37&lt;=$J$5)</formula>
    </cfRule>
  </conditionalFormatting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U40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3" customWidth="1"/>
    <col min="3" max="4" width="4" customWidth="1"/>
    <col min="5" max="5" width="10" customWidth="1"/>
    <col min="6" max="8" width="6" customWidth="1"/>
    <col min="9" max="9" width="7" customWidth="1"/>
    <col min="10" max="12" width="6" customWidth="1"/>
    <col min="13" max="13" width="7" customWidth="1"/>
    <col min="14" max="14" width="5" customWidth="1"/>
    <col min="15" max="15" width="4" customWidth="1"/>
    <col min="16" max="17" width="6" customWidth="1"/>
    <col min="18" max="18" width="7" customWidth="1"/>
    <col min="19" max="19" width="8" customWidth="1"/>
    <col min="20" max="21" width="6" customWidth="1"/>
    <col min="22" max="22" width="8" customWidth="1"/>
    <col min="23" max="23" width="6" customWidth="1"/>
    <col min="24" max="24" width="8" customWidth="1"/>
    <col min="25" max="25" width="7" customWidth="1"/>
    <col min="26" max="26" width="5" customWidth="1"/>
    <col min="27" max="28" width="8" customWidth="1"/>
    <col min="29" max="29" width="7" customWidth="1"/>
    <col min="30" max="30" width="8" customWidth="1"/>
    <col min="31" max="31" width="6" customWidth="1"/>
    <col min="32" max="32" width="8" customWidth="1"/>
    <col min="33" max="33" width="7" customWidth="1"/>
    <col min="34" max="36" width="6" customWidth="1"/>
    <col min="37" max="37" width="7" customWidth="1"/>
    <col min="38" max="38" width="6" customWidth="1"/>
    <col min="39" max="42" width="7" customWidth="1"/>
    <col min="43" max="46" width="6" customWidth="1"/>
    <col min="47" max="47" width="9" customWidth="1"/>
  </cols>
  <sheetData>
    <row r="1" spans="1:47" ht="19.5" x14ac:dyDescent="0.3">
      <c r="A1" s="4" t="s">
        <v>904</v>
      </c>
    </row>
    <row r="3" spans="1:47" x14ac:dyDescent="0.25">
      <c r="A3" s="5" t="s">
        <v>40</v>
      </c>
      <c r="D3" s="6" t="s">
        <v>41</v>
      </c>
    </row>
    <row r="4" spans="1:47" x14ac:dyDescent="0.25"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</row>
    <row r="5" spans="1:47" x14ac:dyDescent="0.25">
      <c r="B5" s="8">
        <v>17</v>
      </c>
      <c r="C5" s="9">
        <v>61.4</v>
      </c>
      <c r="D5" s="10">
        <f>C5*B5</f>
        <v>1043.8</v>
      </c>
      <c r="E5" s="11">
        <v>0.55069999999999997</v>
      </c>
      <c r="F5" s="10">
        <f>ROUND(D5*E5,0)</f>
        <v>575</v>
      </c>
      <c r="G5" s="10">
        <f>ROUND(F5*Settings!$B$4,0)</f>
        <v>549</v>
      </c>
      <c r="H5" s="10">
        <f>D5-F5</f>
        <v>468.79999999999995</v>
      </c>
      <c r="I5" s="8">
        <v>3761</v>
      </c>
      <c r="J5" s="9">
        <v>24</v>
      </c>
      <c r="K5" s="9">
        <v>13</v>
      </c>
      <c r="L5" s="8">
        <v>2161</v>
      </c>
      <c r="M5" s="9">
        <v>18</v>
      </c>
    </row>
    <row r="7" spans="1:47" x14ac:dyDescent="0.25">
      <c r="A7" s="5" t="s">
        <v>54</v>
      </c>
      <c r="B7" s="12" t="s">
        <v>905</v>
      </c>
    </row>
    <row r="8" spans="1:47" x14ac:dyDescent="0.25">
      <c r="A8" s="5" t="s">
        <v>56</v>
      </c>
      <c r="B8" s="13" t="s">
        <v>906</v>
      </c>
    </row>
    <row r="10" spans="1:47" ht="23.25" x14ac:dyDescent="0.25">
      <c r="A10" s="14" t="s">
        <v>58</v>
      </c>
      <c r="B10" s="14" t="s">
        <v>59</v>
      </c>
      <c r="C10" s="14" t="s">
        <v>60</v>
      </c>
      <c r="D10" s="14" t="s">
        <v>61</v>
      </c>
      <c r="E10" s="14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  <c r="M10" s="14" t="s">
        <v>70</v>
      </c>
      <c r="N10" s="14" t="s">
        <v>71</v>
      </c>
      <c r="O10" s="14" t="s">
        <v>72</v>
      </c>
      <c r="P10" s="14" t="s">
        <v>73</v>
      </c>
      <c r="Q10" s="14" t="s">
        <v>74</v>
      </c>
      <c r="R10" s="14" t="s">
        <v>75</v>
      </c>
      <c r="S10" s="14" t="s">
        <v>76</v>
      </c>
      <c r="T10" s="14" t="s">
        <v>77</v>
      </c>
      <c r="U10" s="14" t="s">
        <v>42</v>
      </c>
      <c r="V10" s="14" t="s">
        <v>46</v>
      </c>
      <c r="W10" s="14" t="s">
        <v>78</v>
      </c>
      <c r="X10" s="14" t="s">
        <v>49</v>
      </c>
      <c r="Y10" s="14" t="s">
        <v>50</v>
      </c>
      <c r="Z10" s="14" t="s">
        <v>51</v>
      </c>
      <c r="AA10" s="14" t="s">
        <v>48</v>
      </c>
      <c r="AB10" s="14" t="s">
        <v>52</v>
      </c>
      <c r="AC10" s="14" t="s">
        <v>53</v>
      </c>
      <c r="AD10" s="14" t="s">
        <v>47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14" t="s">
        <v>90</v>
      </c>
      <c r="AQ10" s="14" t="s">
        <v>91</v>
      </c>
      <c r="AR10" s="14" t="s">
        <v>92</v>
      </c>
      <c r="AS10" s="14" t="s">
        <v>93</v>
      </c>
      <c r="AT10" s="14" t="s">
        <v>94</v>
      </c>
      <c r="AU10" s="14" t="s">
        <v>95</v>
      </c>
    </row>
    <row r="11" spans="1:47" x14ac:dyDescent="0.25">
      <c r="A11" s="15" t="s">
        <v>96</v>
      </c>
      <c r="B11" s="16" t="s">
        <v>907</v>
      </c>
      <c r="C11" s="17">
        <v>1</v>
      </c>
      <c r="D11" s="17" t="s">
        <v>105</v>
      </c>
      <c r="E11" s="18" t="s">
        <v>99</v>
      </c>
      <c r="F11" s="19"/>
      <c r="G11" s="19">
        <v>137</v>
      </c>
      <c r="H11" s="19">
        <v>53</v>
      </c>
      <c r="I11" s="19">
        <v>278</v>
      </c>
      <c r="J11" s="19"/>
      <c r="K11" s="19"/>
      <c r="L11" s="19"/>
      <c r="M11" s="19"/>
      <c r="N11" s="19" t="s">
        <v>197</v>
      </c>
      <c r="O11" s="19">
        <v>7</v>
      </c>
      <c r="P11" s="20">
        <v>6.15</v>
      </c>
      <c r="Q11" s="20"/>
      <c r="R11" s="21"/>
      <c r="S11" s="21">
        <v>0.66600000000000004</v>
      </c>
      <c r="T11" s="20">
        <v>7.23</v>
      </c>
      <c r="U11" s="22">
        <v>17</v>
      </c>
      <c r="V11" s="22">
        <v>488</v>
      </c>
      <c r="W11" s="22">
        <v>320</v>
      </c>
      <c r="X11" s="22">
        <v>3586</v>
      </c>
      <c r="Y11" s="22">
        <v>23</v>
      </c>
      <c r="Z11" s="22">
        <v>10</v>
      </c>
      <c r="AA11" s="22">
        <v>126</v>
      </c>
      <c r="AB11" s="22">
        <v>682</v>
      </c>
      <c r="AC11" s="22">
        <v>5</v>
      </c>
      <c r="AD11" s="22">
        <v>0</v>
      </c>
      <c r="AE11" s="22">
        <v>0</v>
      </c>
      <c r="AF11" s="22">
        <v>0</v>
      </c>
      <c r="AG11" s="22">
        <v>0</v>
      </c>
      <c r="AH11" s="23" t="s">
        <v>101</v>
      </c>
      <c r="AI11" s="24">
        <f t="shared" ref="AI11:AI35" si="0">IFERROR(AB11/AA11,"")</f>
        <v>5.412698412698413</v>
      </c>
      <c r="AJ11" s="24" t="str">
        <f t="shared" ref="AJ11:AJ35" si="1">IFERROR(AF11/AE11,"")</f>
        <v/>
      </c>
      <c r="AK11" s="25" t="str">
        <f t="shared" ref="AK11:AK35" si="2">IFERROR(AE11/AD11,"")</f>
        <v/>
      </c>
      <c r="AL11" s="24">
        <f t="shared" ref="AL11:AL35" si="3">IFERROR(X11/V11,"")</f>
        <v>7.3483606557377046</v>
      </c>
      <c r="AM11" s="25">
        <f t="shared" ref="AM11:AM35" si="4">IFERROR(W11/V11,"")</f>
        <v>0.65573770491803274</v>
      </c>
      <c r="AN11" s="25">
        <f t="shared" ref="AN11:AN35" si="5">IFERROR(AA11/$H$5,"")</f>
        <v>0.26877133105802048</v>
      </c>
      <c r="AO11" s="25">
        <f t="shared" ref="AO11:AO35" si="6">IFERROR(AD11/$G$5,"")</f>
        <v>0</v>
      </c>
      <c r="AP11" s="25">
        <f t="shared" ref="AP11:AP35" si="7">IFERROR(V11/$F$5,"")</f>
        <v>0.84869565217391307</v>
      </c>
      <c r="AQ11" s="26">
        <f t="shared" ref="AQ11:AQ35" si="8">IFERROR(AA11/U11,"")</f>
        <v>7.4117647058823533</v>
      </c>
      <c r="AR11" s="26">
        <f t="shared" ref="AR11:AR35" si="9">IFERROR(AD11/U11,"")</f>
        <v>0</v>
      </c>
      <c r="AS11" s="27">
        <f t="shared" ref="AS11:AS35" si="10">IFERROR(AD11-L11,"")</f>
        <v>0</v>
      </c>
      <c r="AT11" s="27">
        <f t="shared" ref="AT11:AT35" si="11">IFERROR(AA11-H11,"")</f>
        <v>73</v>
      </c>
      <c r="AU11" s="28">
        <f>AF11*Settings!$B$7+AG11*Settings!$B$8+AE11*Settings!$B$9+AB11*Settings!$B$10+AC11*Settings!$B$11+X11*Settings!$B$12+Y11*Settings!$B$13+Z11*Settings!$B$14</f>
        <v>313.64</v>
      </c>
    </row>
    <row r="12" spans="1:47" x14ac:dyDescent="0.25">
      <c r="A12" s="15" t="s">
        <v>96</v>
      </c>
      <c r="B12" s="16" t="s">
        <v>908</v>
      </c>
      <c r="C12" s="17">
        <v>2</v>
      </c>
      <c r="D12" s="17" t="s">
        <v>153</v>
      </c>
      <c r="E12" s="18" t="s">
        <v>99</v>
      </c>
      <c r="F12" s="19">
        <v>8</v>
      </c>
      <c r="G12" s="19">
        <v>16</v>
      </c>
      <c r="H12" s="19">
        <v>44</v>
      </c>
      <c r="I12" s="19">
        <v>297</v>
      </c>
      <c r="J12" s="19"/>
      <c r="K12" s="19"/>
      <c r="L12" s="19"/>
      <c r="M12" s="19"/>
      <c r="N12" s="19" t="s">
        <v>197</v>
      </c>
      <c r="O12" s="19">
        <v>11</v>
      </c>
      <c r="P12" s="20">
        <v>6.49</v>
      </c>
      <c r="Q12" s="20"/>
      <c r="R12" s="21"/>
      <c r="S12" s="21">
        <v>0.63900000000000001</v>
      </c>
      <c r="T12" s="20">
        <v>7.56</v>
      </c>
      <c r="U12" s="22">
        <v>17</v>
      </c>
      <c r="V12" s="22">
        <v>34</v>
      </c>
      <c r="W12" s="22">
        <v>21</v>
      </c>
      <c r="X12" s="22">
        <v>252</v>
      </c>
      <c r="Y12" s="22">
        <v>2</v>
      </c>
      <c r="Z12" s="22">
        <v>1</v>
      </c>
      <c r="AA12" s="22">
        <v>5</v>
      </c>
      <c r="AB12" s="22">
        <v>27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3" t="s">
        <v>101</v>
      </c>
      <c r="AI12" s="24">
        <f t="shared" si="0"/>
        <v>5.4</v>
      </c>
      <c r="AJ12" s="24" t="str">
        <f t="shared" si="1"/>
        <v/>
      </c>
      <c r="AK12" s="25" t="str">
        <f t="shared" si="2"/>
        <v/>
      </c>
      <c r="AL12" s="24">
        <f t="shared" si="3"/>
        <v>7.4117647058823533</v>
      </c>
      <c r="AM12" s="25">
        <f t="shared" si="4"/>
        <v>0.61764705882352944</v>
      </c>
      <c r="AN12" s="25">
        <f t="shared" si="5"/>
        <v>1.0665529010238909E-2</v>
      </c>
      <c r="AO12" s="25">
        <f t="shared" si="6"/>
        <v>0</v>
      </c>
      <c r="AP12" s="25">
        <f t="shared" si="7"/>
        <v>5.9130434782608696E-2</v>
      </c>
      <c r="AQ12" s="26">
        <f t="shared" si="8"/>
        <v>0.29411764705882354</v>
      </c>
      <c r="AR12" s="26">
        <f t="shared" si="9"/>
        <v>0</v>
      </c>
      <c r="AS12" s="27">
        <f t="shared" si="10"/>
        <v>0</v>
      </c>
      <c r="AT12" s="27">
        <f t="shared" si="11"/>
        <v>-39</v>
      </c>
      <c r="AU12" s="28">
        <f>AF12*Settings!$B$7+AG12*Settings!$B$8+AE12*Settings!$B$9+AB12*Settings!$B$10+AC12*Settings!$B$11+X12*Settings!$B$12+Y12*Settings!$B$13+Z12*Settings!$B$14</f>
        <v>18.78</v>
      </c>
    </row>
    <row r="13" spans="1:47" x14ac:dyDescent="0.25">
      <c r="A13" s="15" t="s">
        <v>96</v>
      </c>
      <c r="B13" s="16" t="s">
        <v>909</v>
      </c>
      <c r="C13" s="17">
        <v>3</v>
      </c>
      <c r="D13" s="17" t="s">
        <v>158</v>
      </c>
      <c r="E13" s="18" t="s">
        <v>99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1"/>
      <c r="S13" s="21"/>
      <c r="T13" s="20"/>
      <c r="U13" s="22">
        <v>17</v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33"/>
      <c r="AI13" s="24" t="str">
        <f t="shared" si="0"/>
        <v/>
      </c>
      <c r="AJ13" s="24" t="str">
        <f t="shared" si="1"/>
        <v/>
      </c>
      <c r="AK13" s="25" t="str">
        <f t="shared" si="2"/>
        <v/>
      </c>
      <c r="AL13" s="24" t="str">
        <f t="shared" si="3"/>
        <v/>
      </c>
      <c r="AM13" s="25" t="str">
        <f t="shared" si="4"/>
        <v/>
      </c>
      <c r="AN13" s="25">
        <f t="shared" si="5"/>
        <v>0</v>
      </c>
      <c r="AO13" s="25">
        <f t="shared" si="6"/>
        <v>0</v>
      </c>
      <c r="AP13" s="25">
        <f t="shared" si="7"/>
        <v>0</v>
      </c>
      <c r="AQ13" s="26">
        <f t="shared" si="8"/>
        <v>0</v>
      </c>
      <c r="AR13" s="26">
        <f t="shared" si="9"/>
        <v>0</v>
      </c>
      <c r="AS13" s="27">
        <f t="shared" si="10"/>
        <v>0</v>
      </c>
      <c r="AT13" s="27">
        <f t="shared" si="11"/>
        <v>0</v>
      </c>
      <c r="AU13" s="28">
        <f>AF13*Settings!$B$7+AG13*Settings!$B$8+AE13*Settings!$B$9+AB13*Settings!$B$10+AC13*Settings!$B$11+X13*Settings!$B$12+Y13*Settings!$B$13+Z13*Settings!$B$14</f>
        <v>0</v>
      </c>
    </row>
    <row r="14" spans="1:47" x14ac:dyDescent="0.25">
      <c r="A14" s="29" t="s">
        <v>96</v>
      </c>
      <c r="B14" s="30" t="s">
        <v>106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2">
        <v>17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31"/>
      <c r="AI14" s="24" t="str">
        <f t="shared" si="0"/>
        <v/>
      </c>
      <c r="AJ14" s="24" t="str">
        <f t="shared" si="1"/>
        <v/>
      </c>
      <c r="AK14" s="25" t="str">
        <f t="shared" si="2"/>
        <v/>
      </c>
      <c r="AL14" s="24" t="str">
        <f t="shared" si="3"/>
        <v/>
      </c>
      <c r="AM14" s="25" t="str">
        <f t="shared" si="4"/>
        <v/>
      </c>
      <c r="AN14" s="25">
        <f t="shared" si="5"/>
        <v>0</v>
      </c>
      <c r="AO14" s="25">
        <f t="shared" si="6"/>
        <v>0</v>
      </c>
      <c r="AP14" s="25">
        <f t="shared" si="7"/>
        <v>0</v>
      </c>
      <c r="AQ14" s="26">
        <f t="shared" si="8"/>
        <v>0</v>
      </c>
      <c r="AR14" s="26">
        <f t="shared" si="9"/>
        <v>0</v>
      </c>
      <c r="AS14" s="27">
        <f t="shared" si="10"/>
        <v>0</v>
      </c>
      <c r="AT14" s="27">
        <f t="shared" si="11"/>
        <v>0</v>
      </c>
      <c r="AU14" s="28">
        <f>AF14*Settings!$B$7+AG14*Settings!$B$8+AE14*Settings!$B$9+AB14*Settings!$B$10+AC14*Settings!$B$11+X14*Settings!$B$12+Y14*Settings!$B$13+Z14*Settings!$B$14</f>
        <v>0</v>
      </c>
    </row>
    <row r="15" spans="1:47" x14ac:dyDescent="0.25">
      <c r="A15" s="15" t="s">
        <v>107</v>
      </c>
      <c r="B15" s="16" t="s">
        <v>910</v>
      </c>
      <c r="C15" s="17">
        <v>1</v>
      </c>
      <c r="D15" s="17" t="s">
        <v>105</v>
      </c>
      <c r="E15" s="18" t="s">
        <v>99</v>
      </c>
      <c r="F15" s="19"/>
      <c r="G15" s="19"/>
      <c r="H15" s="19">
        <v>175</v>
      </c>
      <c r="I15" s="19">
        <v>805</v>
      </c>
      <c r="J15" s="19"/>
      <c r="K15" s="19"/>
      <c r="L15" s="19">
        <v>13</v>
      </c>
      <c r="M15" s="19">
        <v>68</v>
      </c>
      <c r="N15" s="19" t="s">
        <v>197</v>
      </c>
      <c r="O15" s="19">
        <v>17</v>
      </c>
      <c r="P15" s="20">
        <v>4.5999999999999996</v>
      </c>
      <c r="Q15" s="20">
        <v>7.56</v>
      </c>
      <c r="R15" s="21">
        <v>0.69199999999999995</v>
      </c>
      <c r="S15" s="21"/>
      <c r="T15" s="20"/>
      <c r="U15" s="22">
        <v>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171</v>
      </c>
      <c r="AB15" s="22">
        <v>775</v>
      </c>
      <c r="AC15" s="22">
        <v>7</v>
      </c>
      <c r="AD15" s="22">
        <v>17</v>
      </c>
      <c r="AE15" s="22">
        <v>14</v>
      </c>
      <c r="AF15" s="22">
        <v>105</v>
      </c>
      <c r="AG15" s="22">
        <v>0</v>
      </c>
      <c r="AH15" s="23" t="s">
        <v>101</v>
      </c>
      <c r="AI15" s="24">
        <f t="shared" si="0"/>
        <v>4.5321637426900585</v>
      </c>
      <c r="AJ15" s="24">
        <f t="shared" si="1"/>
        <v>7.5</v>
      </c>
      <c r="AK15" s="25">
        <f t="shared" si="2"/>
        <v>0.82352941176470584</v>
      </c>
      <c r="AL15" s="24" t="str">
        <f t="shared" si="3"/>
        <v/>
      </c>
      <c r="AM15" s="25" t="str">
        <f t="shared" si="4"/>
        <v/>
      </c>
      <c r="AN15" s="25">
        <f t="shared" si="5"/>
        <v>0.36476109215017066</v>
      </c>
      <c r="AO15" s="25">
        <f t="shared" si="6"/>
        <v>3.0965391621129327E-2</v>
      </c>
      <c r="AP15" s="25">
        <f t="shared" si="7"/>
        <v>0</v>
      </c>
      <c r="AQ15" s="26">
        <f t="shared" si="8"/>
        <v>10.058823529411764</v>
      </c>
      <c r="AR15" s="26">
        <f t="shared" si="9"/>
        <v>1</v>
      </c>
      <c r="AS15" s="27">
        <f t="shared" si="10"/>
        <v>4</v>
      </c>
      <c r="AT15" s="27">
        <f t="shared" si="11"/>
        <v>-4</v>
      </c>
      <c r="AU15" s="28">
        <f>AF15*Settings!$B$7+AG15*Settings!$B$8+AE15*Settings!$B$9+AB15*Settings!$B$10+AC15*Settings!$B$11+X15*Settings!$B$12+Y15*Settings!$B$13+Z15*Settings!$B$14</f>
        <v>137</v>
      </c>
    </row>
    <row r="16" spans="1:47" x14ac:dyDescent="0.25">
      <c r="A16" s="15" t="s">
        <v>107</v>
      </c>
      <c r="B16" s="16" t="s">
        <v>911</v>
      </c>
      <c r="C16" s="17">
        <v>2</v>
      </c>
      <c r="D16" s="17" t="s">
        <v>158</v>
      </c>
      <c r="E16" s="18" t="s">
        <v>99</v>
      </c>
      <c r="F16" s="19">
        <v>272</v>
      </c>
      <c r="G16" s="19">
        <v>144</v>
      </c>
      <c r="H16" s="19">
        <v>132</v>
      </c>
      <c r="I16" s="19">
        <v>572</v>
      </c>
      <c r="J16" s="19">
        <v>70</v>
      </c>
      <c r="K16" s="19">
        <v>57</v>
      </c>
      <c r="L16" s="19">
        <v>45</v>
      </c>
      <c r="M16" s="19">
        <v>218</v>
      </c>
      <c r="N16" s="19" t="s">
        <v>394</v>
      </c>
      <c r="O16" s="19">
        <v>17</v>
      </c>
      <c r="P16" s="20">
        <v>3.97</v>
      </c>
      <c r="Q16" s="20">
        <v>7.48</v>
      </c>
      <c r="R16" s="21">
        <v>0.90100000000000002</v>
      </c>
      <c r="S16" s="21"/>
      <c r="T16" s="20"/>
      <c r="U16" s="22">
        <v>17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123</v>
      </c>
      <c r="AB16" s="22">
        <v>526</v>
      </c>
      <c r="AC16" s="22">
        <v>4</v>
      </c>
      <c r="AD16" s="22">
        <v>41</v>
      </c>
      <c r="AE16" s="22">
        <v>36</v>
      </c>
      <c r="AF16" s="22">
        <v>250</v>
      </c>
      <c r="AG16" s="22">
        <v>2</v>
      </c>
      <c r="AH16" s="23" t="s">
        <v>101</v>
      </c>
      <c r="AI16" s="24">
        <f t="shared" si="0"/>
        <v>4.2764227642276422</v>
      </c>
      <c r="AJ16" s="24">
        <f t="shared" si="1"/>
        <v>6.9444444444444446</v>
      </c>
      <c r="AK16" s="25">
        <f t="shared" si="2"/>
        <v>0.87804878048780488</v>
      </c>
      <c r="AL16" s="24" t="str">
        <f t="shared" si="3"/>
        <v/>
      </c>
      <c r="AM16" s="25" t="str">
        <f t="shared" si="4"/>
        <v/>
      </c>
      <c r="AN16" s="25">
        <f t="shared" si="5"/>
        <v>0.26237201365187718</v>
      </c>
      <c r="AO16" s="25">
        <f t="shared" si="6"/>
        <v>7.4681238615664849E-2</v>
      </c>
      <c r="AP16" s="25">
        <f t="shared" si="7"/>
        <v>0</v>
      </c>
      <c r="AQ16" s="26">
        <f t="shared" si="8"/>
        <v>7.2352941176470589</v>
      </c>
      <c r="AR16" s="26">
        <f t="shared" si="9"/>
        <v>2.4117647058823528</v>
      </c>
      <c r="AS16" s="27">
        <f t="shared" si="10"/>
        <v>-4</v>
      </c>
      <c r="AT16" s="27">
        <f t="shared" si="11"/>
        <v>-9</v>
      </c>
      <c r="AU16" s="28">
        <f>AF16*Settings!$B$7+AG16*Settings!$B$8+AE16*Settings!$B$9+AB16*Settings!$B$10+AC16*Settings!$B$11+X16*Settings!$B$12+Y16*Settings!$B$13+Z16*Settings!$B$14</f>
        <v>131.6</v>
      </c>
    </row>
    <row r="17" spans="1:47" x14ac:dyDescent="0.25">
      <c r="A17" s="15" t="s">
        <v>107</v>
      </c>
      <c r="B17" s="16" t="s">
        <v>912</v>
      </c>
      <c r="C17" s="17">
        <v>3</v>
      </c>
      <c r="D17" s="17" t="s">
        <v>200</v>
      </c>
      <c r="E17" s="18" t="s">
        <v>99</v>
      </c>
      <c r="F17" s="19"/>
      <c r="G17" s="19">
        <v>55</v>
      </c>
      <c r="H17" s="19">
        <v>44</v>
      </c>
      <c r="I17" s="19">
        <v>221</v>
      </c>
      <c r="J17" s="19"/>
      <c r="K17" s="19">
        <v>12</v>
      </c>
      <c r="L17" s="19">
        <v>31</v>
      </c>
      <c r="M17" s="19">
        <v>196</v>
      </c>
      <c r="N17" s="19" t="s">
        <v>197</v>
      </c>
      <c r="O17" s="19">
        <v>17</v>
      </c>
      <c r="P17" s="20">
        <v>4.87</v>
      </c>
      <c r="Q17" s="20">
        <v>6.56</v>
      </c>
      <c r="R17" s="21">
        <v>0.79100000000000004</v>
      </c>
      <c r="S17" s="21"/>
      <c r="T17" s="20"/>
      <c r="U17" s="22">
        <v>17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19</v>
      </c>
      <c r="AB17" s="22">
        <v>108</v>
      </c>
      <c r="AC17" s="22">
        <v>1</v>
      </c>
      <c r="AD17" s="22">
        <v>9</v>
      </c>
      <c r="AE17" s="22">
        <v>10</v>
      </c>
      <c r="AF17" s="22">
        <v>71</v>
      </c>
      <c r="AG17" s="22">
        <v>0</v>
      </c>
      <c r="AH17" s="23" t="s">
        <v>101</v>
      </c>
      <c r="AI17" s="24">
        <f t="shared" si="0"/>
        <v>5.6842105263157894</v>
      </c>
      <c r="AJ17" s="24">
        <f t="shared" si="1"/>
        <v>7.1</v>
      </c>
      <c r="AK17" s="25">
        <f t="shared" si="2"/>
        <v>1.1111111111111112</v>
      </c>
      <c r="AL17" s="24" t="str">
        <f t="shared" si="3"/>
        <v/>
      </c>
      <c r="AM17" s="25" t="str">
        <f t="shared" si="4"/>
        <v/>
      </c>
      <c r="AN17" s="25">
        <f t="shared" si="5"/>
        <v>4.0529010238907856E-2</v>
      </c>
      <c r="AO17" s="25">
        <f t="shared" si="6"/>
        <v>1.6393442622950821E-2</v>
      </c>
      <c r="AP17" s="25">
        <f t="shared" si="7"/>
        <v>0</v>
      </c>
      <c r="AQ17" s="26">
        <f t="shared" si="8"/>
        <v>1.1176470588235294</v>
      </c>
      <c r="AR17" s="26">
        <f t="shared" si="9"/>
        <v>0.52941176470588236</v>
      </c>
      <c r="AS17" s="27">
        <f t="shared" si="10"/>
        <v>-22</v>
      </c>
      <c r="AT17" s="27">
        <f t="shared" si="11"/>
        <v>-25</v>
      </c>
      <c r="AU17" s="28">
        <f>AF17*Settings!$B$7+AG17*Settings!$B$8+AE17*Settings!$B$9+AB17*Settings!$B$10+AC17*Settings!$B$11+X17*Settings!$B$12+Y17*Settings!$B$13+Z17*Settings!$B$14</f>
        <v>28.900000000000002</v>
      </c>
    </row>
    <row r="18" spans="1:47" x14ac:dyDescent="0.25">
      <c r="A18" s="15" t="s">
        <v>107</v>
      </c>
      <c r="B18" s="16" t="s">
        <v>913</v>
      </c>
      <c r="C18" s="17">
        <v>4</v>
      </c>
      <c r="D18" s="17" t="s">
        <v>103</v>
      </c>
      <c r="E18" s="18" t="s">
        <v>99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0"/>
      <c r="Q18" s="20"/>
      <c r="R18" s="21"/>
      <c r="S18" s="21"/>
      <c r="T18" s="20"/>
      <c r="U18" s="22">
        <v>17</v>
      </c>
      <c r="V18" s="22"/>
      <c r="W18" s="22"/>
      <c r="X18" s="22"/>
      <c r="Y18" s="22"/>
      <c r="Z18" s="22"/>
      <c r="AA18" s="22">
        <v>43</v>
      </c>
      <c r="AB18" s="22">
        <v>199</v>
      </c>
      <c r="AC18" s="22">
        <v>1</v>
      </c>
      <c r="AD18" s="22">
        <v>7</v>
      </c>
      <c r="AE18" s="22">
        <v>5</v>
      </c>
      <c r="AF18" s="22">
        <v>42</v>
      </c>
      <c r="AG18" s="22">
        <v>0</v>
      </c>
      <c r="AH18" s="23" t="s">
        <v>101</v>
      </c>
      <c r="AI18" s="24">
        <f t="shared" si="0"/>
        <v>4.6279069767441863</v>
      </c>
      <c r="AJ18" s="24">
        <f t="shared" si="1"/>
        <v>8.4</v>
      </c>
      <c r="AK18" s="25">
        <f t="shared" si="2"/>
        <v>0.7142857142857143</v>
      </c>
      <c r="AL18" s="24" t="str">
        <f t="shared" si="3"/>
        <v/>
      </c>
      <c r="AM18" s="25" t="str">
        <f t="shared" si="4"/>
        <v/>
      </c>
      <c r="AN18" s="25">
        <f t="shared" si="5"/>
        <v>9.1723549488054612E-2</v>
      </c>
      <c r="AO18" s="25">
        <f t="shared" si="6"/>
        <v>1.2750455373406194E-2</v>
      </c>
      <c r="AP18" s="25">
        <f t="shared" si="7"/>
        <v>0</v>
      </c>
      <c r="AQ18" s="26">
        <f t="shared" si="8"/>
        <v>2.5294117647058822</v>
      </c>
      <c r="AR18" s="26">
        <f t="shared" si="9"/>
        <v>0.41176470588235292</v>
      </c>
      <c r="AS18" s="27">
        <f t="shared" si="10"/>
        <v>7</v>
      </c>
      <c r="AT18" s="27">
        <f t="shared" si="11"/>
        <v>43</v>
      </c>
      <c r="AU18" s="28">
        <f>AF18*Settings!$B$7+AG18*Settings!$B$8+AE18*Settings!$B$9+AB18*Settings!$B$10+AC18*Settings!$B$11+X18*Settings!$B$12+Y18*Settings!$B$13+Z18*Settings!$B$14</f>
        <v>32.6</v>
      </c>
    </row>
    <row r="19" spans="1:47" x14ac:dyDescent="0.25">
      <c r="A19" s="15" t="s">
        <v>107</v>
      </c>
      <c r="B19" s="16" t="s">
        <v>914</v>
      </c>
      <c r="C19" s="17">
        <v>5</v>
      </c>
      <c r="D19" s="17" t="s">
        <v>111</v>
      </c>
      <c r="E19" s="18" t="s">
        <v>99</v>
      </c>
      <c r="F19" s="19">
        <v>204</v>
      </c>
      <c r="G19" s="19">
        <v>104</v>
      </c>
      <c r="H19" s="19">
        <v>24</v>
      </c>
      <c r="I19" s="19">
        <v>73</v>
      </c>
      <c r="J19" s="19">
        <v>63</v>
      </c>
      <c r="K19" s="19">
        <v>43</v>
      </c>
      <c r="L19" s="19">
        <v>32</v>
      </c>
      <c r="M19" s="19">
        <v>103</v>
      </c>
      <c r="N19" s="19" t="s">
        <v>293</v>
      </c>
      <c r="O19" s="19">
        <v>13</v>
      </c>
      <c r="P19" s="20">
        <v>4.37</v>
      </c>
      <c r="Q19" s="20">
        <v>6.05</v>
      </c>
      <c r="R19" s="21">
        <v>0.77500000000000002</v>
      </c>
      <c r="S19" s="21"/>
      <c r="T19" s="20"/>
      <c r="U19" s="22">
        <v>17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27</v>
      </c>
      <c r="AB19" s="22">
        <v>117</v>
      </c>
      <c r="AC19" s="22">
        <v>1</v>
      </c>
      <c r="AD19" s="22">
        <v>6</v>
      </c>
      <c r="AE19" s="22">
        <v>6</v>
      </c>
      <c r="AF19" s="22">
        <v>35</v>
      </c>
      <c r="AG19" s="22">
        <v>0</v>
      </c>
      <c r="AH19" s="23" t="s">
        <v>101</v>
      </c>
      <c r="AI19" s="24">
        <f t="shared" si="0"/>
        <v>4.333333333333333</v>
      </c>
      <c r="AJ19" s="24">
        <f t="shared" si="1"/>
        <v>5.833333333333333</v>
      </c>
      <c r="AK19" s="25">
        <f t="shared" si="2"/>
        <v>1</v>
      </c>
      <c r="AL19" s="24" t="str">
        <f t="shared" si="3"/>
        <v/>
      </c>
      <c r="AM19" s="25" t="str">
        <f t="shared" si="4"/>
        <v/>
      </c>
      <c r="AN19" s="25">
        <f t="shared" si="5"/>
        <v>5.7593856655290106E-2</v>
      </c>
      <c r="AO19" s="25">
        <f t="shared" si="6"/>
        <v>1.092896174863388E-2</v>
      </c>
      <c r="AP19" s="25">
        <f t="shared" si="7"/>
        <v>0</v>
      </c>
      <c r="AQ19" s="26">
        <f t="shared" si="8"/>
        <v>1.588235294117647</v>
      </c>
      <c r="AR19" s="26">
        <f t="shared" si="9"/>
        <v>0.35294117647058826</v>
      </c>
      <c r="AS19" s="27">
        <f t="shared" si="10"/>
        <v>-26</v>
      </c>
      <c r="AT19" s="27">
        <f t="shared" si="11"/>
        <v>3</v>
      </c>
      <c r="AU19" s="28">
        <f>AF19*Settings!$B$7+AG19*Settings!$B$8+AE19*Settings!$B$9+AB19*Settings!$B$10+AC19*Settings!$B$11+X19*Settings!$B$12+Y19*Settings!$B$13+Z19*Settings!$B$14</f>
        <v>24.200000000000003</v>
      </c>
    </row>
    <row r="20" spans="1:47" x14ac:dyDescent="0.25">
      <c r="A20" s="15" t="s">
        <v>107</v>
      </c>
      <c r="B20" s="16" t="s">
        <v>915</v>
      </c>
      <c r="C20" s="17">
        <v>6</v>
      </c>
      <c r="D20" s="17" t="s">
        <v>118</v>
      </c>
      <c r="E20" s="18" t="s">
        <v>99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1"/>
      <c r="S20" s="21"/>
      <c r="T20" s="20"/>
      <c r="U20" s="22">
        <v>17</v>
      </c>
      <c r="V20" s="22"/>
      <c r="W20" s="22"/>
      <c r="X20" s="22"/>
      <c r="Y20" s="22"/>
      <c r="Z20" s="22"/>
      <c r="AA20" s="22">
        <v>0</v>
      </c>
      <c r="AB20" s="22">
        <v>28</v>
      </c>
      <c r="AC20" s="22">
        <v>1</v>
      </c>
      <c r="AD20" s="22">
        <v>2</v>
      </c>
      <c r="AE20" s="22">
        <v>3</v>
      </c>
      <c r="AF20" s="22">
        <v>31</v>
      </c>
      <c r="AG20" s="22">
        <v>0</v>
      </c>
      <c r="AH20" s="23" t="s">
        <v>101</v>
      </c>
      <c r="AI20" s="24" t="str">
        <f t="shared" si="0"/>
        <v/>
      </c>
      <c r="AJ20" s="24">
        <f t="shared" si="1"/>
        <v>10.333333333333334</v>
      </c>
      <c r="AK20" s="25">
        <f t="shared" si="2"/>
        <v>1.5</v>
      </c>
      <c r="AL20" s="24" t="str">
        <f t="shared" si="3"/>
        <v/>
      </c>
      <c r="AM20" s="25" t="str">
        <f t="shared" si="4"/>
        <v/>
      </c>
      <c r="AN20" s="25">
        <f t="shared" si="5"/>
        <v>0</v>
      </c>
      <c r="AO20" s="25">
        <f t="shared" si="6"/>
        <v>3.6429872495446266E-3</v>
      </c>
      <c r="AP20" s="25">
        <f t="shared" si="7"/>
        <v>0</v>
      </c>
      <c r="AQ20" s="26">
        <f t="shared" si="8"/>
        <v>0</v>
      </c>
      <c r="AR20" s="26">
        <f t="shared" si="9"/>
        <v>0.11764705882352941</v>
      </c>
      <c r="AS20" s="27">
        <f t="shared" si="10"/>
        <v>2</v>
      </c>
      <c r="AT20" s="27">
        <f t="shared" si="11"/>
        <v>0</v>
      </c>
      <c r="AU20" s="28">
        <f>AF20*Settings!$B$7+AG20*Settings!$B$8+AE20*Settings!$B$9+AB20*Settings!$B$10+AC20*Settings!$B$11+X20*Settings!$B$12+Y20*Settings!$B$13+Z20*Settings!$B$14</f>
        <v>13.4</v>
      </c>
    </row>
    <row r="21" spans="1:47" x14ac:dyDescent="0.25">
      <c r="A21" s="29" t="s">
        <v>107</v>
      </c>
      <c r="B21" s="30" t="s">
        <v>120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22">
        <v>17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1"/>
      <c r="AI21" s="24" t="str">
        <f t="shared" si="0"/>
        <v/>
      </c>
      <c r="AJ21" s="24" t="str">
        <f t="shared" si="1"/>
        <v/>
      </c>
      <c r="AK21" s="25" t="str">
        <f t="shared" si="2"/>
        <v/>
      </c>
      <c r="AL21" s="24" t="str">
        <f t="shared" si="3"/>
        <v/>
      </c>
      <c r="AM21" s="25" t="str">
        <f t="shared" si="4"/>
        <v/>
      </c>
      <c r="AN21" s="25">
        <f t="shared" si="5"/>
        <v>0</v>
      </c>
      <c r="AO21" s="25">
        <f t="shared" si="6"/>
        <v>0</v>
      </c>
      <c r="AP21" s="25">
        <f t="shared" si="7"/>
        <v>0</v>
      </c>
      <c r="AQ21" s="26">
        <f t="shared" si="8"/>
        <v>0</v>
      </c>
      <c r="AR21" s="26">
        <f t="shared" si="9"/>
        <v>0</v>
      </c>
      <c r="AS21" s="27">
        <f t="shared" si="10"/>
        <v>0</v>
      </c>
      <c r="AT21" s="27">
        <f t="shared" si="11"/>
        <v>0</v>
      </c>
      <c r="AU21" s="28">
        <f>AF21*Settings!$B$7+AG21*Settings!$B$8+AE21*Settings!$B$9+AB21*Settings!$B$10+AC21*Settings!$B$11+X21*Settings!$B$12+Y21*Settings!$B$13+Z21*Settings!$B$14</f>
        <v>0</v>
      </c>
    </row>
    <row r="22" spans="1:47" x14ac:dyDescent="0.25">
      <c r="A22" s="15" t="s">
        <v>121</v>
      </c>
      <c r="B22" s="16" t="s">
        <v>916</v>
      </c>
      <c r="C22" s="17">
        <v>1</v>
      </c>
      <c r="D22" s="17" t="s">
        <v>200</v>
      </c>
      <c r="E22" s="18" t="s">
        <v>99</v>
      </c>
      <c r="F22" s="19"/>
      <c r="G22" s="19">
        <v>2</v>
      </c>
      <c r="H22" s="19"/>
      <c r="I22" s="19"/>
      <c r="J22" s="19">
        <v>132</v>
      </c>
      <c r="K22" s="19">
        <v>117</v>
      </c>
      <c r="L22" s="19">
        <v>60</v>
      </c>
      <c r="M22" s="19">
        <v>582</v>
      </c>
      <c r="N22" s="19" t="s">
        <v>197</v>
      </c>
      <c r="O22" s="19">
        <v>10</v>
      </c>
      <c r="P22" s="20">
        <v>1</v>
      </c>
      <c r="Q22" s="20">
        <v>13.47</v>
      </c>
      <c r="R22" s="21">
        <v>0.64400000000000002</v>
      </c>
      <c r="S22" s="21"/>
      <c r="T22" s="20"/>
      <c r="U22" s="22">
        <v>17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1</v>
      </c>
      <c r="AC22" s="22">
        <v>0</v>
      </c>
      <c r="AD22" s="22">
        <v>110</v>
      </c>
      <c r="AE22" s="22">
        <v>71</v>
      </c>
      <c r="AF22" s="22">
        <v>982</v>
      </c>
      <c r="AG22" s="22">
        <v>7</v>
      </c>
      <c r="AH22" s="23" t="s">
        <v>101</v>
      </c>
      <c r="AI22" s="24" t="str">
        <f t="shared" si="0"/>
        <v/>
      </c>
      <c r="AJ22" s="24">
        <f t="shared" si="1"/>
        <v>13.830985915492958</v>
      </c>
      <c r="AK22" s="25">
        <f t="shared" si="2"/>
        <v>0.6454545454545455</v>
      </c>
      <c r="AL22" s="24" t="str">
        <f t="shared" si="3"/>
        <v/>
      </c>
      <c r="AM22" s="25" t="str">
        <f t="shared" si="4"/>
        <v/>
      </c>
      <c r="AN22" s="25">
        <f t="shared" si="5"/>
        <v>0</v>
      </c>
      <c r="AO22" s="25">
        <f t="shared" si="6"/>
        <v>0.20036429872495445</v>
      </c>
      <c r="AP22" s="25">
        <f t="shared" si="7"/>
        <v>0</v>
      </c>
      <c r="AQ22" s="26">
        <f t="shared" si="8"/>
        <v>0</v>
      </c>
      <c r="AR22" s="26">
        <f t="shared" si="9"/>
        <v>6.4705882352941178</v>
      </c>
      <c r="AS22" s="27">
        <f t="shared" si="10"/>
        <v>50</v>
      </c>
      <c r="AT22" s="27">
        <f t="shared" si="11"/>
        <v>0</v>
      </c>
      <c r="AU22" s="28">
        <f>AF22*Settings!$B$7+AG22*Settings!$B$8+AE22*Settings!$B$9+AB22*Settings!$B$10+AC22*Settings!$B$11+X22*Settings!$B$12+Y22*Settings!$B$13+Z22*Settings!$B$14</f>
        <v>175.79999999999998</v>
      </c>
    </row>
    <row r="23" spans="1:47" x14ac:dyDescent="0.25">
      <c r="A23" s="15" t="s">
        <v>121</v>
      </c>
      <c r="B23" s="16" t="s">
        <v>917</v>
      </c>
      <c r="C23" s="17">
        <v>2</v>
      </c>
      <c r="D23" s="17" t="s">
        <v>153</v>
      </c>
      <c r="E23" s="18" t="s">
        <v>99</v>
      </c>
      <c r="F23" s="19">
        <v>1</v>
      </c>
      <c r="G23" s="19">
        <v>3</v>
      </c>
      <c r="H23" s="19"/>
      <c r="I23" s="19"/>
      <c r="J23" s="19">
        <v>160</v>
      </c>
      <c r="K23" s="19">
        <v>64</v>
      </c>
      <c r="L23" s="19">
        <v>102</v>
      </c>
      <c r="M23" s="19">
        <v>1013</v>
      </c>
      <c r="N23" s="19" t="s">
        <v>175</v>
      </c>
      <c r="O23" s="19">
        <v>17</v>
      </c>
      <c r="P23" s="20">
        <v>3.25</v>
      </c>
      <c r="Q23" s="20">
        <v>11.26</v>
      </c>
      <c r="R23" s="21">
        <v>0.73299999999999998</v>
      </c>
      <c r="S23" s="21">
        <v>1</v>
      </c>
      <c r="T23" s="20"/>
      <c r="U23" s="22">
        <v>17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1</v>
      </c>
      <c r="AC23" s="22">
        <v>0</v>
      </c>
      <c r="AD23" s="22">
        <v>96</v>
      </c>
      <c r="AE23" s="22">
        <v>69</v>
      </c>
      <c r="AF23" s="22">
        <v>774</v>
      </c>
      <c r="AG23" s="22">
        <v>4</v>
      </c>
      <c r="AH23" s="23" t="s">
        <v>101</v>
      </c>
      <c r="AI23" s="24" t="str">
        <f t="shared" si="0"/>
        <v/>
      </c>
      <c r="AJ23" s="24">
        <f t="shared" si="1"/>
        <v>11.217391304347826</v>
      </c>
      <c r="AK23" s="25">
        <f t="shared" si="2"/>
        <v>0.71875</v>
      </c>
      <c r="AL23" s="24" t="str">
        <f t="shared" si="3"/>
        <v/>
      </c>
      <c r="AM23" s="25" t="str">
        <f t="shared" si="4"/>
        <v/>
      </c>
      <c r="AN23" s="25">
        <f t="shared" si="5"/>
        <v>0</v>
      </c>
      <c r="AO23" s="25">
        <f t="shared" si="6"/>
        <v>0.17486338797814208</v>
      </c>
      <c r="AP23" s="25">
        <f t="shared" si="7"/>
        <v>0</v>
      </c>
      <c r="AQ23" s="26">
        <f t="shared" si="8"/>
        <v>0</v>
      </c>
      <c r="AR23" s="26">
        <f t="shared" si="9"/>
        <v>5.6470588235294121</v>
      </c>
      <c r="AS23" s="27">
        <f t="shared" si="10"/>
        <v>-6</v>
      </c>
      <c r="AT23" s="27">
        <f t="shared" si="11"/>
        <v>0</v>
      </c>
      <c r="AU23" s="28">
        <f>AF23*Settings!$B$7+AG23*Settings!$B$8+AE23*Settings!$B$9+AB23*Settings!$B$10+AC23*Settings!$B$11+X23*Settings!$B$12+Y23*Settings!$B$13+Z23*Settings!$B$14</f>
        <v>136</v>
      </c>
    </row>
    <row r="24" spans="1:47" x14ac:dyDescent="0.25">
      <c r="A24" s="15" t="s">
        <v>121</v>
      </c>
      <c r="B24" s="16" t="s">
        <v>918</v>
      </c>
      <c r="C24" s="17">
        <v>3</v>
      </c>
      <c r="D24" s="17" t="s">
        <v>128</v>
      </c>
      <c r="E24" s="18" t="s">
        <v>99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20"/>
      <c r="R24" s="21"/>
      <c r="S24" s="21"/>
      <c r="T24" s="20"/>
      <c r="U24" s="22">
        <v>17</v>
      </c>
      <c r="V24" s="22"/>
      <c r="W24" s="22"/>
      <c r="X24" s="22"/>
      <c r="Y24" s="22"/>
      <c r="Z24" s="22"/>
      <c r="AA24" s="22">
        <v>2</v>
      </c>
      <c r="AB24" s="22">
        <v>8</v>
      </c>
      <c r="AC24" s="22">
        <v>0</v>
      </c>
      <c r="AD24" s="22">
        <v>51</v>
      </c>
      <c r="AE24" s="22">
        <v>31</v>
      </c>
      <c r="AF24" s="22">
        <v>397</v>
      </c>
      <c r="AG24" s="22">
        <v>3</v>
      </c>
      <c r="AH24" s="23" t="s">
        <v>101</v>
      </c>
      <c r="AI24" s="24">
        <f t="shared" si="0"/>
        <v>4</v>
      </c>
      <c r="AJ24" s="24">
        <f t="shared" si="1"/>
        <v>12.806451612903226</v>
      </c>
      <c r="AK24" s="25">
        <f t="shared" si="2"/>
        <v>0.60784313725490191</v>
      </c>
      <c r="AL24" s="24" t="str">
        <f t="shared" si="3"/>
        <v/>
      </c>
      <c r="AM24" s="25" t="str">
        <f t="shared" si="4"/>
        <v/>
      </c>
      <c r="AN24" s="25">
        <f t="shared" si="5"/>
        <v>4.2662116040955633E-3</v>
      </c>
      <c r="AO24" s="25">
        <f t="shared" si="6"/>
        <v>9.2896174863387984E-2</v>
      </c>
      <c r="AP24" s="25">
        <f t="shared" si="7"/>
        <v>0</v>
      </c>
      <c r="AQ24" s="26">
        <f t="shared" si="8"/>
        <v>0.11764705882352941</v>
      </c>
      <c r="AR24" s="26">
        <f t="shared" si="9"/>
        <v>3</v>
      </c>
      <c r="AS24" s="27">
        <f t="shared" si="10"/>
        <v>51</v>
      </c>
      <c r="AT24" s="27">
        <f t="shared" si="11"/>
        <v>2</v>
      </c>
      <c r="AU24" s="28">
        <f>AF24*Settings!$B$7+AG24*Settings!$B$8+AE24*Settings!$B$9+AB24*Settings!$B$10+AC24*Settings!$B$11+X24*Settings!$B$12+Y24*Settings!$B$13+Z24*Settings!$B$14</f>
        <v>74</v>
      </c>
    </row>
    <row r="25" spans="1:47" x14ac:dyDescent="0.25">
      <c r="A25" s="15" t="s">
        <v>121</v>
      </c>
      <c r="B25" s="16" t="s">
        <v>919</v>
      </c>
      <c r="C25" s="17">
        <v>4</v>
      </c>
      <c r="D25" s="17" t="s">
        <v>111</v>
      </c>
      <c r="E25" s="18" t="s">
        <v>99</v>
      </c>
      <c r="F25" s="19">
        <v>1</v>
      </c>
      <c r="G25" s="19">
        <v>3</v>
      </c>
      <c r="H25" s="19">
        <v>6</v>
      </c>
      <c r="I25" s="19">
        <v>30</v>
      </c>
      <c r="J25" s="19">
        <v>23</v>
      </c>
      <c r="K25" s="19">
        <v>40</v>
      </c>
      <c r="L25" s="19">
        <v>37</v>
      </c>
      <c r="M25" s="19">
        <v>227</v>
      </c>
      <c r="N25" s="19" t="s">
        <v>491</v>
      </c>
      <c r="O25" s="19">
        <v>14</v>
      </c>
      <c r="P25" s="20">
        <v>5.6</v>
      </c>
      <c r="Q25" s="20">
        <v>11.34</v>
      </c>
      <c r="R25" s="21">
        <v>0.62</v>
      </c>
      <c r="S25" s="21">
        <v>0.5</v>
      </c>
      <c r="T25" s="20"/>
      <c r="U25" s="22">
        <v>17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1</v>
      </c>
      <c r="AB25" s="22">
        <v>7</v>
      </c>
      <c r="AC25" s="22">
        <v>0</v>
      </c>
      <c r="AD25" s="22">
        <v>17</v>
      </c>
      <c r="AE25" s="22">
        <v>12</v>
      </c>
      <c r="AF25" s="22">
        <v>154</v>
      </c>
      <c r="AG25" s="22">
        <v>1</v>
      </c>
      <c r="AH25" s="23" t="s">
        <v>101</v>
      </c>
      <c r="AI25" s="24">
        <f t="shared" si="0"/>
        <v>7</v>
      </c>
      <c r="AJ25" s="24">
        <f t="shared" si="1"/>
        <v>12.833333333333334</v>
      </c>
      <c r="AK25" s="25">
        <f t="shared" si="2"/>
        <v>0.70588235294117652</v>
      </c>
      <c r="AL25" s="24" t="str">
        <f t="shared" si="3"/>
        <v/>
      </c>
      <c r="AM25" s="25" t="str">
        <f t="shared" si="4"/>
        <v/>
      </c>
      <c r="AN25" s="25">
        <f t="shared" si="5"/>
        <v>2.1331058020477816E-3</v>
      </c>
      <c r="AO25" s="25">
        <f t="shared" si="6"/>
        <v>3.0965391621129327E-2</v>
      </c>
      <c r="AP25" s="25">
        <f t="shared" si="7"/>
        <v>0</v>
      </c>
      <c r="AQ25" s="26">
        <f t="shared" si="8"/>
        <v>5.8823529411764705E-2</v>
      </c>
      <c r="AR25" s="26">
        <f t="shared" si="9"/>
        <v>1</v>
      </c>
      <c r="AS25" s="27">
        <f t="shared" si="10"/>
        <v>-20</v>
      </c>
      <c r="AT25" s="27">
        <f t="shared" si="11"/>
        <v>-5</v>
      </c>
      <c r="AU25" s="28">
        <f>AF25*Settings!$B$7+AG25*Settings!$B$8+AE25*Settings!$B$9+AB25*Settings!$B$10+AC25*Settings!$B$11+X25*Settings!$B$12+Y25*Settings!$B$13+Z25*Settings!$B$14</f>
        <v>28.099999999999998</v>
      </c>
    </row>
    <row r="26" spans="1:47" x14ac:dyDescent="0.25">
      <c r="A26" s="15" t="s">
        <v>121</v>
      </c>
      <c r="B26" s="16" t="s">
        <v>920</v>
      </c>
      <c r="C26" s="17">
        <v>5</v>
      </c>
      <c r="D26" s="17" t="s">
        <v>200</v>
      </c>
      <c r="E26" s="18" t="s">
        <v>99</v>
      </c>
      <c r="F26" s="19">
        <v>1</v>
      </c>
      <c r="G26" s="19"/>
      <c r="H26" s="19"/>
      <c r="I26" s="19"/>
      <c r="J26" s="19">
        <v>15</v>
      </c>
      <c r="K26" s="19">
        <v>40</v>
      </c>
      <c r="L26" s="19">
        <v>52</v>
      </c>
      <c r="M26" s="19">
        <v>350</v>
      </c>
      <c r="N26" s="19" t="s">
        <v>714</v>
      </c>
      <c r="O26" s="19">
        <v>16</v>
      </c>
      <c r="P26" s="20">
        <v>4</v>
      </c>
      <c r="Q26" s="20">
        <v>12.03</v>
      </c>
      <c r="R26" s="21">
        <v>0.56999999999999995</v>
      </c>
      <c r="S26" s="21"/>
      <c r="T26" s="20"/>
      <c r="U26" s="22">
        <v>17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7</v>
      </c>
      <c r="AE26" s="22">
        <v>6</v>
      </c>
      <c r="AF26" s="22">
        <v>76</v>
      </c>
      <c r="AG26" s="22">
        <v>0</v>
      </c>
      <c r="AH26" s="23" t="s">
        <v>101</v>
      </c>
      <c r="AI26" s="24" t="str">
        <f t="shared" si="0"/>
        <v/>
      </c>
      <c r="AJ26" s="24">
        <f t="shared" si="1"/>
        <v>12.666666666666666</v>
      </c>
      <c r="AK26" s="25">
        <f t="shared" si="2"/>
        <v>0.8571428571428571</v>
      </c>
      <c r="AL26" s="24" t="str">
        <f t="shared" si="3"/>
        <v/>
      </c>
      <c r="AM26" s="25" t="str">
        <f t="shared" si="4"/>
        <v/>
      </c>
      <c r="AN26" s="25">
        <f t="shared" si="5"/>
        <v>0</v>
      </c>
      <c r="AO26" s="25">
        <f t="shared" si="6"/>
        <v>1.2750455373406194E-2</v>
      </c>
      <c r="AP26" s="25">
        <f t="shared" si="7"/>
        <v>0</v>
      </c>
      <c r="AQ26" s="26">
        <f t="shared" si="8"/>
        <v>0</v>
      </c>
      <c r="AR26" s="26">
        <f t="shared" si="9"/>
        <v>0.41176470588235292</v>
      </c>
      <c r="AS26" s="27">
        <f t="shared" si="10"/>
        <v>-45</v>
      </c>
      <c r="AT26" s="27">
        <f t="shared" si="11"/>
        <v>0</v>
      </c>
      <c r="AU26" s="28">
        <f>AF26*Settings!$B$7+AG26*Settings!$B$8+AE26*Settings!$B$9+AB26*Settings!$B$10+AC26*Settings!$B$11+X26*Settings!$B$12+Y26*Settings!$B$13+Z26*Settings!$B$14</f>
        <v>10.600000000000001</v>
      </c>
    </row>
    <row r="27" spans="1:47" x14ac:dyDescent="0.25">
      <c r="A27" s="15" t="s">
        <v>121</v>
      </c>
      <c r="B27" s="16" t="s">
        <v>921</v>
      </c>
      <c r="C27" s="17">
        <v>6</v>
      </c>
      <c r="D27" s="17" t="s">
        <v>118</v>
      </c>
      <c r="E27" s="18" t="s">
        <v>99</v>
      </c>
      <c r="F27" s="19"/>
      <c r="G27" s="19"/>
      <c r="H27" s="19">
        <v>1</v>
      </c>
      <c r="I27" s="19">
        <v>7</v>
      </c>
      <c r="J27" s="19"/>
      <c r="K27" s="19"/>
      <c r="L27" s="19">
        <v>32</v>
      </c>
      <c r="M27" s="19">
        <v>225</v>
      </c>
      <c r="N27" s="19" t="s">
        <v>197</v>
      </c>
      <c r="O27" s="19">
        <v>15</v>
      </c>
      <c r="P27" s="20">
        <v>7</v>
      </c>
      <c r="Q27" s="20">
        <v>14.06</v>
      </c>
      <c r="R27" s="21">
        <v>0.5</v>
      </c>
      <c r="S27" s="21"/>
      <c r="T27" s="20"/>
      <c r="U27" s="22">
        <v>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1</v>
      </c>
      <c r="AB27" s="22">
        <v>6</v>
      </c>
      <c r="AC27" s="22">
        <v>0</v>
      </c>
      <c r="AD27" s="22">
        <v>17</v>
      </c>
      <c r="AE27" s="22">
        <v>11</v>
      </c>
      <c r="AF27" s="22">
        <v>144</v>
      </c>
      <c r="AG27" s="22">
        <v>1</v>
      </c>
      <c r="AH27" s="23" t="s">
        <v>101</v>
      </c>
      <c r="AI27" s="24">
        <f t="shared" si="0"/>
        <v>6</v>
      </c>
      <c r="AJ27" s="24">
        <f t="shared" si="1"/>
        <v>13.090909090909092</v>
      </c>
      <c r="AK27" s="25">
        <f t="shared" si="2"/>
        <v>0.6470588235294118</v>
      </c>
      <c r="AL27" s="24" t="str">
        <f t="shared" si="3"/>
        <v/>
      </c>
      <c r="AM27" s="25" t="str">
        <f t="shared" si="4"/>
        <v/>
      </c>
      <c r="AN27" s="25">
        <f t="shared" si="5"/>
        <v>2.1331058020477816E-3</v>
      </c>
      <c r="AO27" s="25">
        <f t="shared" si="6"/>
        <v>3.0965391621129327E-2</v>
      </c>
      <c r="AP27" s="25">
        <f t="shared" si="7"/>
        <v>0</v>
      </c>
      <c r="AQ27" s="26">
        <f t="shared" si="8"/>
        <v>5.8823529411764705E-2</v>
      </c>
      <c r="AR27" s="26">
        <f t="shared" si="9"/>
        <v>1</v>
      </c>
      <c r="AS27" s="27">
        <f t="shared" si="10"/>
        <v>-15</v>
      </c>
      <c r="AT27" s="27">
        <f t="shared" si="11"/>
        <v>0</v>
      </c>
      <c r="AU27" s="28">
        <f>AF27*Settings!$B$7+AG27*Settings!$B$8+AE27*Settings!$B$9+AB27*Settings!$B$10+AC27*Settings!$B$11+X27*Settings!$B$12+Y27*Settings!$B$13+Z27*Settings!$B$14</f>
        <v>26.5</v>
      </c>
    </row>
    <row r="28" spans="1:47" x14ac:dyDescent="0.25">
      <c r="A28" s="15" t="s">
        <v>121</v>
      </c>
      <c r="B28" s="16" t="s">
        <v>922</v>
      </c>
      <c r="C28" s="17">
        <v>7</v>
      </c>
      <c r="D28" s="17" t="s">
        <v>105</v>
      </c>
      <c r="E28" s="18" t="s">
        <v>99</v>
      </c>
      <c r="F28" s="19"/>
      <c r="G28" s="19"/>
      <c r="H28" s="19"/>
      <c r="I28" s="19"/>
      <c r="J28" s="19"/>
      <c r="K28" s="19">
        <v>24</v>
      </c>
      <c r="L28" s="19">
        <v>15</v>
      </c>
      <c r="M28" s="19">
        <v>203</v>
      </c>
      <c r="N28" s="19" t="s">
        <v>197</v>
      </c>
      <c r="O28" s="19">
        <v>9</v>
      </c>
      <c r="P28" s="20"/>
      <c r="Q28" s="20">
        <v>12.79</v>
      </c>
      <c r="R28" s="21">
        <v>0.74399999999999999</v>
      </c>
      <c r="S28" s="21"/>
      <c r="T28" s="20"/>
      <c r="U28" s="22">
        <v>17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14</v>
      </c>
      <c r="AE28" s="22">
        <v>12</v>
      </c>
      <c r="AF28" s="22">
        <v>161</v>
      </c>
      <c r="AG28" s="22">
        <v>1</v>
      </c>
      <c r="AH28" s="23" t="s">
        <v>101</v>
      </c>
      <c r="AI28" s="24" t="str">
        <f t="shared" si="0"/>
        <v/>
      </c>
      <c r="AJ28" s="24">
        <f t="shared" si="1"/>
        <v>13.416666666666666</v>
      </c>
      <c r="AK28" s="25">
        <f t="shared" si="2"/>
        <v>0.8571428571428571</v>
      </c>
      <c r="AL28" s="24" t="str">
        <f t="shared" si="3"/>
        <v/>
      </c>
      <c r="AM28" s="25" t="str">
        <f t="shared" si="4"/>
        <v/>
      </c>
      <c r="AN28" s="25">
        <f t="shared" si="5"/>
        <v>0</v>
      </c>
      <c r="AO28" s="25">
        <f t="shared" si="6"/>
        <v>2.5500910746812388E-2</v>
      </c>
      <c r="AP28" s="25">
        <f t="shared" si="7"/>
        <v>0</v>
      </c>
      <c r="AQ28" s="26">
        <f t="shared" si="8"/>
        <v>0</v>
      </c>
      <c r="AR28" s="26">
        <f t="shared" si="9"/>
        <v>0.82352941176470584</v>
      </c>
      <c r="AS28" s="27">
        <f t="shared" si="10"/>
        <v>-1</v>
      </c>
      <c r="AT28" s="27">
        <f t="shared" si="11"/>
        <v>0</v>
      </c>
      <c r="AU28" s="28">
        <f>AF28*Settings!$B$7+AG28*Settings!$B$8+AE28*Settings!$B$9+AB28*Settings!$B$10+AC28*Settings!$B$11+X28*Settings!$B$12+Y28*Settings!$B$13+Z28*Settings!$B$14</f>
        <v>28.1</v>
      </c>
    </row>
    <row r="29" spans="1:47" x14ac:dyDescent="0.25">
      <c r="A29" s="15" t="s">
        <v>121</v>
      </c>
      <c r="B29" s="16" t="s">
        <v>923</v>
      </c>
      <c r="C29" s="17">
        <v>8</v>
      </c>
      <c r="D29" s="17" t="s">
        <v>111</v>
      </c>
      <c r="E29" s="18" t="s">
        <v>99</v>
      </c>
      <c r="F29" s="19">
        <v>5</v>
      </c>
      <c r="G29" s="19">
        <v>2</v>
      </c>
      <c r="H29" s="19"/>
      <c r="I29" s="19"/>
      <c r="J29" s="19">
        <v>30</v>
      </c>
      <c r="K29" s="19">
        <v>8</v>
      </c>
      <c r="L29" s="19">
        <v>22</v>
      </c>
      <c r="M29" s="19">
        <v>130</v>
      </c>
      <c r="N29" s="19" t="s">
        <v>197</v>
      </c>
      <c r="O29" s="19">
        <v>8</v>
      </c>
      <c r="P29" s="20">
        <v>2.71</v>
      </c>
      <c r="Q29" s="20">
        <v>12.83</v>
      </c>
      <c r="R29" s="21">
        <v>0.5</v>
      </c>
      <c r="S29" s="21"/>
      <c r="T29" s="20"/>
      <c r="U29" s="22">
        <v>17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2</v>
      </c>
      <c r="AC29" s="22">
        <v>0</v>
      </c>
      <c r="AD29" s="22">
        <v>22</v>
      </c>
      <c r="AE29" s="22">
        <v>14</v>
      </c>
      <c r="AF29" s="22">
        <v>192</v>
      </c>
      <c r="AG29" s="22">
        <v>1</v>
      </c>
      <c r="AH29" s="23" t="s">
        <v>101</v>
      </c>
      <c r="AI29" s="24" t="str">
        <f t="shared" si="0"/>
        <v/>
      </c>
      <c r="AJ29" s="24">
        <f t="shared" si="1"/>
        <v>13.714285714285714</v>
      </c>
      <c r="AK29" s="25">
        <f t="shared" si="2"/>
        <v>0.63636363636363635</v>
      </c>
      <c r="AL29" s="24" t="str">
        <f t="shared" si="3"/>
        <v/>
      </c>
      <c r="AM29" s="25" t="str">
        <f t="shared" si="4"/>
        <v/>
      </c>
      <c r="AN29" s="25">
        <f t="shared" si="5"/>
        <v>0</v>
      </c>
      <c r="AO29" s="25">
        <f t="shared" si="6"/>
        <v>4.0072859744990891E-2</v>
      </c>
      <c r="AP29" s="25">
        <f t="shared" si="7"/>
        <v>0</v>
      </c>
      <c r="AQ29" s="26">
        <f t="shared" si="8"/>
        <v>0</v>
      </c>
      <c r="AR29" s="26">
        <f t="shared" si="9"/>
        <v>1.2941176470588236</v>
      </c>
      <c r="AS29" s="27">
        <f t="shared" si="10"/>
        <v>0</v>
      </c>
      <c r="AT29" s="27">
        <f t="shared" si="11"/>
        <v>0</v>
      </c>
      <c r="AU29" s="28">
        <f>AF29*Settings!$B$7+AG29*Settings!$B$8+AE29*Settings!$B$9+AB29*Settings!$B$10+AC29*Settings!$B$11+X29*Settings!$B$12+Y29*Settings!$B$13+Z29*Settings!$B$14</f>
        <v>32.400000000000006</v>
      </c>
    </row>
    <row r="30" spans="1:47" x14ac:dyDescent="0.25">
      <c r="A30" s="29" t="s">
        <v>121</v>
      </c>
      <c r="B30" s="30" t="s">
        <v>134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2">
        <v>17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31"/>
      <c r="AI30" s="24" t="str">
        <f t="shared" si="0"/>
        <v/>
      </c>
      <c r="AJ30" s="24" t="str">
        <f t="shared" si="1"/>
        <v/>
      </c>
      <c r="AK30" s="25" t="str">
        <f t="shared" si="2"/>
        <v/>
      </c>
      <c r="AL30" s="24" t="str">
        <f t="shared" si="3"/>
        <v/>
      </c>
      <c r="AM30" s="25" t="str">
        <f t="shared" si="4"/>
        <v/>
      </c>
      <c r="AN30" s="25">
        <f t="shared" si="5"/>
        <v>0</v>
      </c>
      <c r="AO30" s="25">
        <f t="shared" si="6"/>
        <v>0</v>
      </c>
      <c r="AP30" s="25">
        <f t="shared" si="7"/>
        <v>0</v>
      </c>
      <c r="AQ30" s="26">
        <f t="shared" si="8"/>
        <v>0</v>
      </c>
      <c r="AR30" s="26">
        <f t="shared" si="9"/>
        <v>0</v>
      </c>
      <c r="AS30" s="27">
        <f t="shared" si="10"/>
        <v>0</v>
      </c>
      <c r="AT30" s="27">
        <f t="shared" si="11"/>
        <v>0</v>
      </c>
      <c r="AU30" s="28">
        <f>AF30*Settings!$B$7+AG30*Settings!$B$8+AE30*Settings!$B$9+AB30*Settings!$B$10+AC30*Settings!$B$11+X30*Settings!$B$12+Y30*Settings!$B$13+Z30*Settings!$B$14</f>
        <v>0</v>
      </c>
    </row>
    <row r="31" spans="1:47" x14ac:dyDescent="0.25">
      <c r="A31" s="15" t="s">
        <v>135</v>
      </c>
      <c r="B31" s="16" t="s">
        <v>924</v>
      </c>
      <c r="C31" s="17">
        <v>1</v>
      </c>
      <c r="D31" s="17" t="s">
        <v>111</v>
      </c>
      <c r="E31" s="18" t="s">
        <v>99</v>
      </c>
      <c r="F31" s="19">
        <v>2</v>
      </c>
      <c r="G31" s="19">
        <v>1</v>
      </c>
      <c r="H31" s="19"/>
      <c r="I31" s="19"/>
      <c r="J31" s="19">
        <v>77</v>
      </c>
      <c r="K31" s="19">
        <v>70</v>
      </c>
      <c r="L31" s="19">
        <v>79</v>
      </c>
      <c r="M31" s="19">
        <v>560</v>
      </c>
      <c r="N31" s="19" t="s">
        <v>714</v>
      </c>
      <c r="O31" s="19">
        <v>17</v>
      </c>
      <c r="P31" s="20">
        <v>7.67</v>
      </c>
      <c r="Q31" s="20">
        <v>9.67</v>
      </c>
      <c r="R31" s="21">
        <v>0.71699999999999997</v>
      </c>
      <c r="S31" s="21"/>
      <c r="T31" s="20"/>
      <c r="U31" s="22">
        <v>17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77</v>
      </c>
      <c r="AE31" s="22">
        <v>56</v>
      </c>
      <c r="AF31" s="22">
        <v>593</v>
      </c>
      <c r="AG31" s="22">
        <v>3</v>
      </c>
      <c r="AH31" s="23" t="s">
        <v>101</v>
      </c>
      <c r="AI31" s="24" t="str">
        <f t="shared" si="0"/>
        <v/>
      </c>
      <c r="AJ31" s="24">
        <f t="shared" si="1"/>
        <v>10.589285714285714</v>
      </c>
      <c r="AK31" s="25">
        <f t="shared" si="2"/>
        <v>0.72727272727272729</v>
      </c>
      <c r="AL31" s="24" t="str">
        <f t="shared" si="3"/>
        <v/>
      </c>
      <c r="AM31" s="25" t="str">
        <f t="shared" si="4"/>
        <v/>
      </c>
      <c r="AN31" s="25">
        <f t="shared" si="5"/>
        <v>0</v>
      </c>
      <c r="AO31" s="25">
        <f t="shared" si="6"/>
        <v>0.14025500910746813</v>
      </c>
      <c r="AP31" s="25">
        <f t="shared" si="7"/>
        <v>0</v>
      </c>
      <c r="AQ31" s="26">
        <f t="shared" si="8"/>
        <v>0</v>
      </c>
      <c r="AR31" s="26">
        <f t="shared" si="9"/>
        <v>4.5294117647058822</v>
      </c>
      <c r="AS31" s="27">
        <f t="shared" si="10"/>
        <v>-2</v>
      </c>
      <c r="AT31" s="27">
        <f t="shared" si="11"/>
        <v>0</v>
      </c>
      <c r="AU31" s="28">
        <f>AF31*Settings!$B$7+AG31*Settings!$B$8+AE31*Settings!$B$9+AB31*Settings!$B$10+AC31*Settings!$B$11+X31*Settings!$B$12+Y31*Settings!$B$13+Z31*Settings!$B$14</f>
        <v>105.30000000000001</v>
      </c>
    </row>
    <row r="32" spans="1:47" x14ac:dyDescent="0.25">
      <c r="A32" s="15" t="s">
        <v>135</v>
      </c>
      <c r="B32" s="16" t="s">
        <v>925</v>
      </c>
      <c r="C32" s="17">
        <v>2</v>
      </c>
      <c r="D32" s="17" t="s">
        <v>130</v>
      </c>
      <c r="E32" s="32" t="s">
        <v>115</v>
      </c>
      <c r="F32" s="19"/>
      <c r="G32" s="19"/>
      <c r="H32" s="19"/>
      <c r="I32" s="19"/>
      <c r="J32" s="19">
        <v>28</v>
      </c>
      <c r="K32" s="19">
        <v>13</v>
      </c>
      <c r="L32" s="19">
        <v>16</v>
      </c>
      <c r="M32" s="19">
        <v>103</v>
      </c>
      <c r="N32" s="19" t="s">
        <v>197</v>
      </c>
      <c r="O32" s="19">
        <v>15</v>
      </c>
      <c r="P32" s="20"/>
      <c r="Q32" s="20">
        <v>8.89</v>
      </c>
      <c r="R32" s="21">
        <v>0.66700000000000004</v>
      </c>
      <c r="S32" s="21"/>
      <c r="T32" s="20"/>
      <c r="U32" s="22">
        <v>17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21</v>
      </c>
      <c r="AE32" s="22">
        <v>12</v>
      </c>
      <c r="AF32" s="22">
        <v>120</v>
      </c>
      <c r="AG32" s="22">
        <v>1</v>
      </c>
      <c r="AH32" s="23" t="s">
        <v>101</v>
      </c>
      <c r="AI32" s="24" t="str">
        <f t="shared" si="0"/>
        <v/>
      </c>
      <c r="AJ32" s="24">
        <f t="shared" si="1"/>
        <v>10</v>
      </c>
      <c r="AK32" s="25">
        <f t="shared" si="2"/>
        <v>0.5714285714285714</v>
      </c>
      <c r="AL32" s="24" t="str">
        <f t="shared" si="3"/>
        <v/>
      </c>
      <c r="AM32" s="25" t="str">
        <f t="shared" si="4"/>
        <v/>
      </c>
      <c r="AN32" s="25">
        <f t="shared" si="5"/>
        <v>0</v>
      </c>
      <c r="AO32" s="25">
        <f t="shared" si="6"/>
        <v>3.825136612021858E-2</v>
      </c>
      <c r="AP32" s="25">
        <f t="shared" si="7"/>
        <v>0</v>
      </c>
      <c r="AQ32" s="26">
        <f t="shared" si="8"/>
        <v>0</v>
      </c>
      <c r="AR32" s="26">
        <f t="shared" si="9"/>
        <v>1.2352941176470589</v>
      </c>
      <c r="AS32" s="27">
        <f t="shared" si="10"/>
        <v>5</v>
      </c>
      <c r="AT32" s="27">
        <f t="shared" si="11"/>
        <v>0</v>
      </c>
      <c r="AU32" s="28">
        <f>AF32*Settings!$B$7+AG32*Settings!$B$8+AE32*Settings!$B$9+AB32*Settings!$B$10+AC32*Settings!$B$11+X32*Settings!$B$12+Y32*Settings!$B$13+Z32*Settings!$B$14</f>
        <v>24</v>
      </c>
    </row>
    <row r="33" spans="1:47" x14ac:dyDescent="0.25">
      <c r="A33" s="15" t="s">
        <v>135</v>
      </c>
      <c r="B33" s="16" t="s">
        <v>926</v>
      </c>
      <c r="C33" s="17">
        <v>3</v>
      </c>
      <c r="D33" s="17" t="s">
        <v>118</v>
      </c>
      <c r="E33" s="18" t="s">
        <v>99</v>
      </c>
      <c r="F33" s="19"/>
      <c r="G33" s="19"/>
      <c r="H33" s="19"/>
      <c r="I33" s="19"/>
      <c r="J33" s="19"/>
      <c r="K33" s="19">
        <v>5</v>
      </c>
      <c r="L33" s="19">
        <v>13</v>
      </c>
      <c r="M33" s="19">
        <v>114</v>
      </c>
      <c r="N33" s="19" t="s">
        <v>197</v>
      </c>
      <c r="O33" s="19">
        <v>16</v>
      </c>
      <c r="P33" s="20"/>
      <c r="Q33" s="20">
        <v>8.8800000000000008</v>
      </c>
      <c r="R33" s="21">
        <v>0.88900000000000001</v>
      </c>
      <c r="S33" s="21"/>
      <c r="T33" s="20"/>
      <c r="U33" s="22">
        <v>17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1</v>
      </c>
      <c r="AC33" s="22">
        <v>0</v>
      </c>
      <c r="AD33" s="22">
        <v>17</v>
      </c>
      <c r="AE33" s="22">
        <v>14</v>
      </c>
      <c r="AF33" s="22">
        <v>137</v>
      </c>
      <c r="AG33" s="22">
        <v>1</v>
      </c>
      <c r="AH33" s="23" t="s">
        <v>101</v>
      </c>
      <c r="AI33" s="24" t="str">
        <f t="shared" si="0"/>
        <v/>
      </c>
      <c r="AJ33" s="24">
        <f t="shared" si="1"/>
        <v>9.7857142857142865</v>
      </c>
      <c r="AK33" s="25">
        <f t="shared" si="2"/>
        <v>0.82352941176470584</v>
      </c>
      <c r="AL33" s="24" t="str">
        <f t="shared" si="3"/>
        <v/>
      </c>
      <c r="AM33" s="25" t="str">
        <f t="shared" si="4"/>
        <v/>
      </c>
      <c r="AN33" s="25">
        <f t="shared" si="5"/>
        <v>0</v>
      </c>
      <c r="AO33" s="25">
        <f t="shared" si="6"/>
        <v>3.0965391621129327E-2</v>
      </c>
      <c r="AP33" s="25">
        <f t="shared" si="7"/>
        <v>0</v>
      </c>
      <c r="AQ33" s="26">
        <f t="shared" si="8"/>
        <v>0</v>
      </c>
      <c r="AR33" s="26">
        <f t="shared" si="9"/>
        <v>1</v>
      </c>
      <c r="AS33" s="27">
        <f t="shared" si="10"/>
        <v>4</v>
      </c>
      <c r="AT33" s="27">
        <f t="shared" si="11"/>
        <v>0</v>
      </c>
      <c r="AU33" s="28">
        <f>AF33*Settings!$B$7+AG33*Settings!$B$8+AE33*Settings!$B$9+AB33*Settings!$B$10+AC33*Settings!$B$11+X33*Settings!$B$12+Y33*Settings!$B$13+Z33*Settings!$B$14</f>
        <v>26.800000000000004</v>
      </c>
    </row>
    <row r="34" spans="1:47" x14ac:dyDescent="0.25">
      <c r="A34" s="15" t="s">
        <v>135</v>
      </c>
      <c r="B34" s="16" t="s">
        <v>927</v>
      </c>
      <c r="C34" s="17">
        <v>4</v>
      </c>
      <c r="D34" s="17" t="s">
        <v>130</v>
      </c>
      <c r="E34" s="18" t="s">
        <v>99</v>
      </c>
      <c r="F34" s="19"/>
      <c r="G34" s="19"/>
      <c r="H34" s="19"/>
      <c r="I34" s="19"/>
      <c r="J34" s="19">
        <v>5</v>
      </c>
      <c r="K34" s="19"/>
      <c r="L34" s="19"/>
      <c r="M34" s="19"/>
      <c r="N34" s="19"/>
      <c r="O34" s="19"/>
      <c r="P34" s="20"/>
      <c r="Q34" s="20">
        <v>9</v>
      </c>
      <c r="R34" s="21">
        <v>0.8</v>
      </c>
      <c r="S34" s="21"/>
      <c r="T34" s="20"/>
      <c r="U34" s="22">
        <v>17</v>
      </c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33"/>
      <c r="AI34" s="24" t="str">
        <f t="shared" si="0"/>
        <v/>
      </c>
      <c r="AJ34" s="24" t="str">
        <f t="shared" si="1"/>
        <v/>
      </c>
      <c r="AK34" s="25" t="str">
        <f t="shared" si="2"/>
        <v/>
      </c>
      <c r="AL34" s="24" t="str">
        <f t="shared" si="3"/>
        <v/>
      </c>
      <c r="AM34" s="25" t="str">
        <f t="shared" si="4"/>
        <v/>
      </c>
      <c r="AN34" s="25">
        <f t="shared" si="5"/>
        <v>0</v>
      </c>
      <c r="AO34" s="25">
        <f t="shared" si="6"/>
        <v>0</v>
      </c>
      <c r="AP34" s="25">
        <f t="shared" si="7"/>
        <v>0</v>
      </c>
      <c r="AQ34" s="26">
        <f t="shared" si="8"/>
        <v>0</v>
      </c>
      <c r="AR34" s="26">
        <f t="shared" si="9"/>
        <v>0</v>
      </c>
      <c r="AS34" s="27">
        <f t="shared" si="10"/>
        <v>0</v>
      </c>
      <c r="AT34" s="27">
        <f t="shared" si="11"/>
        <v>0</v>
      </c>
      <c r="AU34" s="28">
        <f>AF34*Settings!$B$7+AG34*Settings!$B$8+AE34*Settings!$B$9+AB34*Settings!$B$10+AC34*Settings!$B$11+X34*Settings!$B$12+Y34*Settings!$B$13+Z34*Settings!$B$14</f>
        <v>0</v>
      </c>
    </row>
    <row r="35" spans="1:47" x14ac:dyDescent="0.25">
      <c r="A35" s="29" t="s">
        <v>135</v>
      </c>
      <c r="B35" s="30" t="s">
        <v>140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2">
        <v>17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31"/>
      <c r="AI35" s="24" t="str">
        <f t="shared" si="0"/>
        <v/>
      </c>
      <c r="AJ35" s="24" t="str">
        <f t="shared" si="1"/>
        <v/>
      </c>
      <c r="AK35" s="25" t="str">
        <f t="shared" si="2"/>
        <v/>
      </c>
      <c r="AL35" s="24" t="str">
        <f t="shared" si="3"/>
        <v/>
      </c>
      <c r="AM35" s="25" t="str">
        <f t="shared" si="4"/>
        <v/>
      </c>
      <c r="AN35" s="25">
        <f t="shared" si="5"/>
        <v>0</v>
      </c>
      <c r="AO35" s="25">
        <f t="shared" si="6"/>
        <v>0</v>
      </c>
      <c r="AP35" s="25">
        <f t="shared" si="7"/>
        <v>0</v>
      </c>
      <c r="AQ35" s="26">
        <f t="shared" si="8"/>
        <v>0</v>
      </c>
      <c r="AR35" s="26">
        <f t="shared" si="9"/>
        <v>0</v>
      </c>
      <c r="AS35" s="27">
        <f t="shared" si="10"/>
        <v>0</v>
      </c>
      <c r="AT35" s="27">
        <f t="shared" si="11"/>
        <v>0</v>
      </c>
      <c r="AU35" s="28">
        <f>AF35*Settings!$B$7+AG35*Settings!$B$8+AE35*Settings!$B$9+AB35*Settings!$B$10+AC35*Settings!$B$11+X35*Settings!$B$12+Y35*Settings!$B$13+Z35*Settings!$B$14</f>
        <v>0</v>
      </c>
    </row>
    <row r="37" spans="1:47" x14ac:dyDescent="0.25">
      <c r="A37" s="5" t="s">
        <v>141</v>
      </c>
      <c r="U37" s="34">
        <f t="shared" ref="U37:AG37" si="12">SUM(U11:U35)</f>
        <v>425</v>
      </c>
      <c r="V37" s="34">
        <f t="shared" si="12"/>
        <v>522</v>
      </c>
      <c r="W37" s="34">
        <f t="shared" si="12"/>
        <v>341</v>
      </c>
      <c r="X37" s="34">
        <f t="shared" si="12"/>
        <v>3838</v>
      </c>
      <c r="Y37" s="34">
        <f t="shared" si="12"/>
        <v>25</v>
      </c>
      <c r="Z37" s="34">
        <f t="shared" si="12"/>
        <v>11</v>
      </c>
      <c r="AA37" s="34">
        <f t="shared" si="12"/>
        <v>518</v>
      </c>
      <c r="AB37" s="34">
        <f t="shared" si="12"/>
        <v>2488</v>
      </c>
      <c r="AC37" s="34">
        <f t="shared" si="12"/>
        <v>20</v>
      </c>
      <c r="AD37" s="34">
        <f t="shared" si="12"/>
        <v>531</v>
      </c>
      <c r="AE37" s="34">
        <f t="shared" si="12"/>
        <v>382</v>
      </c>
      <c r="AF37" s="34">
        <f t="shared" si="12"/>
        <v>4264</v>
      </c>
      <c r="AG37" s="34">
        <f t="shared" si="12"/>
        <v>25</v>
      </c>
    </row>
    <row r="38" spans="1:47" x14ac:dyDescent="0.25">
      <c r="A38" s="5" t="s">
        <v>142</v>
      </c>
      <c r="V38" s="35">
        <f>$F$5</f>
        <v>575</v>
      </c>
      <c r="X38" s="35">
        <f>$I$5</f>
        <v>3761</v>
      </c>
      <c r="Y38" s="35">
        <f>$J$5</f>
        <v>24</v>
      </c>
      <c r="Z38" s="35">
        <f>$K$5</f>
        <v>13</v>
      </c>
      <c r="AA38" s="35">
        <f>$H$5</f>
        <v>468.79999999999995</v>
      </c>
      <c r="AB38" s="35">
        <f>$L$5</f>
        <v>2161</v>
      </c>
      <c r="AC38" s="35">
        <f>$M$5</f>
        <v>18</v>
      </c>
      <c r="AD38" s="35">
        <f>$G$5</f>
        <v>549</v>
      </c>
      <c r="AF38" s="35">
        <f>$I$5</f>
        <v>3761</v>
      </c>
      <c r="AG38" s="35">
        <f>$J$5</f>
        <v>24</v>
      </c>
    </row>
    <row r="39" spans="1:47" x14ac:dyDescent="0.25">
      <c r="A39" s="5" t="s">
        <v>143</v>
      </c>
      <c r="V39" s="36">
        <f>$F$5-V37</f>
        <v>53</v>
      </c>
      <c r="X39" s="36">
        <f>$I$5-X37</f>
        <v>-77</v>
      </c>
      <c r="Y39" s="36">
        <f>$J$5-Y37</f>
        <v>-1</v>
      </c>
      <c r="Z39" s="36">
        <f>$K$5-Z37</f>
        <v>2</v>
      </c>
      <c r="AA39" s="36">
        <f>$H$5-AA37</f>
        <v>-49.200000000000045</v>
      </c>
      <c r="AB39" s="36">
        <f>$L$5-AB37</f>
        <v>-327</v>
      </c>
      <c r="AC39" s="36">
        <f>$M$5-AC37</f>
        <v>-2</v>
      </c>
      <c r="AD39" s="36">
        <f>$G$5-AD37</f>
        <v>18</v>
      </c>
      <c r="AF39" s="36">
        <f>$I$5-AF37</f>
        <v>-503</v>
      </c>
      <c r="AG39" s="36">
        <f>$J$5-AG37</f>
        <v>-1</v>
      </c>
    </row>
    <row r="40" spans="1:47" x14ac:dyDescent="0.25">
      <c r="B40" s="6" t="s">
        <v>144</v>
      </c>
      <c r="AF40" s="6" t="s">
        <v>145</v>
      </c>
    </row>
  </sheetData>
  <conditionalFormatting sqref="V37">
    <cfRule type="expression" dxfId="29" priority="1" stopIfTrue="1">
      <formula>V37&gt;$F$5</formula>
    </cfRule>
    <cfRule type="expression" dxfId="28" priority="2">
      <formula>AND($F$5&gt;0,V37&lt;$F$5*0.97)</formula>
    </cfRule>
    <cfRule type="expression" dxfId="27" priority="3">
      <formula>AND($F$5&gt;0,V37&gt;=$F$5*0.97,V37&lt;=$F$5)</formula>
    </cfRule>
  </conditionalFormatting>
  <conditionalFormatting sqref="X37">
    <cfRule type="expression" dxfId="26" priority="4" stopIfTrue="1">
      <formula>X37&gt;$I$5</formula>
    </cfRule>
    <cfRule type="expression" dxfId="25" priority="5">
      <formula>AND($I$5&gt;0,X37&lt;$I$5*0.97)</formula>
    </cfRule>
    <cfRule type="expression" dxfId="24" priority="6">
      <formula>AND($I$5&gt;0,X37&gt;=$I$5*0.97,X37&lt;=$I$5)</formula>
    </cfRule>
  </conditionalFormatting>
  <conditionalFormatting sqref="Y37">
    <cfRule type="expression" dxfId="23" priority="7" stopIfTrue="1">
      <formula>Y37&gt;$J$5</formula>
    </cfRule>
    <cfRule type="expression" dxfId="22" priority="8">
      <formula>AND($J$5&gt;0,Y37&lt;$J$5*0.97)</formula>
    </cfRule>
    <cfRule type="expression" dxfId="21" priority="9">
      <formula>AND($J$5&gt;0,Y37&gt;=$J$5*0.97,Y37&lt;=$J$5)</formula>
    </cfRule>
  </conditionalFormatting>
  <conditionalFormatting sqref="Z37">
    <cfRule type="expression" dxfId="20" priority="10" stopIfTrue="1">
      <formula>Z37&gt;$K$5</formula>
    </cfRule>
    <cfRule type="expression" dxfId="19" priority="11">
      <formula>AND($K$5&gt;0,Z37&lt;$K$5*0.97)</formula>
    </cfRule>
    <cfRule type="expression" dxfId="18" priority="12">
      <formula>AND($K$5&gt;0,Z37&gt;=$K$5*0.97,Z37&lt;=$K$5)</formula>
    </cfRule>
  </conditionalFormatting>
  <conditionalFormatting sqref="AA37">
    <cfRule type="expression" dxfId="17" priority="13" stopIfTrue="1">
      <formula>AA37&gt;$H$5</formula>
    </cfRule>
    <cfRule type="expression" dxfId="16" priority="14">
      <formula>AND($H$5&gt;0,AA37&lt;$H$5*0.97)</formula>
    </cfRule>
    <cfRule type="expression" dxfId="15" priority="15">
      <formula>AND($H$5&gt;0,AA37&gt;=$H$5*0.97,AA37&lt;=$H$5)</formula>
    </cfRule>
  </conditionalFormatting>
  <conditionalFormatting sqref="AB37">
    <cfRule type="expression" dxfId="14" priority="16" stopIfTrue="1">
      <formula>AB37&gt;$L$5</formula>
    </cfRule>
    <cfRule type="expression" dxfId="13" priority="17">
      <formula>AND($L$5&gt;0,AB37&lt;$L$5*0.97)</formula>
    </cfRule>
    <cfRule type="expression" dxfId="12" priority="18">
      <formula>AND($L$5&gt;0,AB37&gt;=$L$5*0.97,AB37&lt;=$L$5)</formula>
    </cfRule>
  </conditionalFormatting>
  <conditionalFormatting sqref="AC37">
    <cfRule type="expression" dxfId="11" priority="19" stopIfTrue="1">
      <formula>AC37&gt;$M$5</formula>
    </cfRule>
    <cfRule type="expression" dxfId="10" priority="20">
      <formula>AND($M$5&gt;0,AC37&lt;$M$5*0.97)</formula>
    </cfRule>
    <cfRule type="expression" dxfId="9" priority="21">
      <formula>AND($M$5&gt;0,AC37&gt;=$M$5*0.97,AC37&lt;=$M$5)</formula>
    </cfRule>
  </conditionalFormatting>
  <conditionalFormatting sqref="AD37">
    <cfRule type="expression" dxfId="8" priority="22" stopIfTrue="1">
      <formula>AD37&gt;$G$5</formula>
    </cfRule>
    <cfRule type="expression" dxfId="7" priority="23">
      <formula>AND($G$5&gt;0,AD37&lt;$G$5*0.97)</formula>
    </cfRule>
    <cfRule type="expression" dxfId="6" priority="24">
      <formula>AND($G$5&gt;0,AD37&gt;=$G$5*0.97,AD37&lt;=$G$5)</formula>
    </cfRule>
  </conditionalFormatting>
  <conditionalFormatting sqref="AF37">
    <cfRule type="expression" dxfId="5" priority="25" stopIfTrue="1">
      <formula>AF37&gt;$I$5</formula>
    </cfRule>
    <cfRule type="expression" dxfId="4" priority="26">
      <formula>AND($I$5&gt;0,AF37&lt;$I$5*0.97)</formula>
    </cfRule>
    <cfRule type="expression" dxfId="3" priority="27">
      <formula>AND($I$5&gt;0,AF37&gt;=$I$5*0.97,AF37&lt;=$I$5)</formula>
    </cfRule>
  </conditionalFormatting>
  <conditionalFormatting sqref="AG37">
    <cfRule type="expression" dxfId="2" priority="28" stopIfTrue="1">
      <formula>AG37&gt;$J$5</formula>
    </cfRule>
    <cfRule type="expression" dxfId="1" priority="29">
      <formula>AND($J$5&gt;0,AG37&lt;$J$5*0.97)</formula>
    </cfRule>
    <cfRule type="expression" dxfId="0" priority="30">
      <formula>AND($J$5&gt;0,AG37&gt;=$J$5*0.97,AG37&lt;=$J$5)</formula>
    </cfRule>
  </conditionalFormatting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4"/>
  <sheetViews>
    <sheetView showGridLines="0" workbookViewId="0"/>
  </sheetViews>
  <sheetFormatPr defaultRowHeight="15" x14ac:dyDescent="0.25"/>
  <cols>
    <col min="1" max="1" width="26" customWidth="1"/>
    <col min="2" max="2" width="12" customWidth="1"/>
    <col min="3" max="3" width="58" customWidth="1"/>
  </cols>
  <sheetData>
    <row r="1" spans="1:3" ht="18.75" x14ac:dyDescent="0.3">
      <c r="A1" s="38" t="s">
        <v>928</v>
      </c>
    </row>
    <row r="3" spans="1:3" x14ac:dyDescent="0.25">
      <c r="A3" s="5" t="s">
        <v>929</v>
      </c>
      <c r="B3" s="39">
        <v>17</v>
      </c>
      <c r="C3" s="6"/>
    </row>
    <row r="4" spans="1:3" x14ac:dyDescent="0.25">
      <c r="A4" s="5" t="s">
        <v>930</v>
      </c>
      <c r="B4" s="40">
        <v>0.95399999999999996</v>
      </c>
      <c r="C4" s="6" t="s">
        <v>931</v>
      </c>
    </row>
    <row r="6" spans="1:3" x14ac:dyDescent="0.25">
      <c r="A6" s="5" t="s">
        <v>932</v>
      </c>
      <c r="C6" s="6" t="s">
        <v>933</v>
      </c>
    </row>
    <row r="7" spans="1:3" x14ac:dyDescent="0.25">
      <c r="A7" s="5" t="s">
        <v>934</v>
      </c>
      <c r="B7" s="40">
        <v>0.1</v>
      </c>
      <c r="C7" s="6"/>
    </row>
    <row r="8" spans="1:3" x14ac:dyDescent="0.25">
      <c r="A8" s="5" t="s">
        <v>935</v>
      </c>
      <c r="B8" s="39">
        <v>6</v>
      </c>
      <c r="C8" s="6"/>
    </row>
    <row r="9" spans="1:3" x14ac:dyDescent="0.25">
      <c r="A9" s="5" t="s">
        <v>936</v>
      </c>
      <c r="B9" s="40">
        <v>0.5</v>
      </c>
      <c r="C9" s="6" t="s">
        <v>937</v>
      </c>
    </row>
    <row r="10" spans="1:3" x14ac:dyDescent="0.25">
      <c r="A10" s="5" t="s">
        <v>938</v>
      </c>
      <c r="B10" s="40">
        <v>0.1</v>
      </c>
      <c r="C10" s="6"/>
    </row>
    <row r="11" spans="1:3" x14ac:dyDescent="0.25">
      <c r="A11" s="5" t="s">
        <v>939</v>
      </c>
      <c r="B11" s="39">
        <v>6</v>
      </c>
      <c r="C11" s="6"/>
    </row>
    <row r="12" spans="1:3" x14ac:dyDescent="0.25">
      <c r="A12" s="5" t="s">
        <v>940</v>
      </c>
      <c r="B12" s="40">
        <v>0.04</v>
      </c>
      <c r="C12" s="6"/>
    </row>
    <row r="13" spans="1:3" x14ac:dyDescent="0.25">
      <c r="A13" s="5" t="s">
        <v>941</v>
      </c>
      <c r="B13" s="39">
        <v>4</v>
      </c>
      <c r="C13" s="6"/>
    </row>
    <row r="14" spans="1:3" x14ac:dyDescent="0.25">
      <c r="A14" s="5" t="s">
        <v>942</v>
      </c>
      <c r="B14" s="39">
        <v>-2</v>
      </c>
      <c r="C14" s="6" t="s">
        <v>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Start Here</vt:lpstr>
      <vt:lpstr>ARI</vt:lpstr>
      <vt:lpstr>ATL</vt:lpstr>
      <vt:lpstr>BAL</vt:lpstr>
      <vt:lpstr>BUF</vt:lpstr>
      <vt:lpstr>CAR</vt:lpstr>
      <vt:lpstr>CHI</vt:lpstr>
      <vt:lpstr>CIN</vt:lpstr>
      <vt:lpstr>CLE</vt:lpstr>
      <vt:lpstr>DAL</vt:lpstr>
      <vt:lpstr>DEN</vt:lpstr>
      <vt:lpstr>DET</vt:lpstr>
      <vt:lpstr>GB</vt:lpstr>
      <vt:lpstr>HOU</vt:lpstr>
      <vt:lpstr>IND</vt:lpstr>
      <vt:lpstr>JAC</vt:lpstr>
      <vt:lpstr>KC</vt:lpstr>
      <vt:lpstr>LAC</vt:lpstr>
      <vt:lpstr>LAR</vt:lpstr>
      <vt:lpstr>LV</vt:lpstr>
      <vt:lpstr>MIA</vt:lpstr>
      <vt:lpstr>MIN</vt:lpstr>
      <vt:lpstr>NE</vt:lpstr>
      <vt:lpstr>NO</vt:lpstr>
      <vt:lpstr>NYG</vt:lpstr>
      <vt:lpstr>NYJ</vt:lpstr>
      <vt:lpstr>PHI</vt:lpstr>
      <vt:lpstr>PIT</vt:lpstr>
      <vt:lpstr>SEA</vt:lpstr>
      <vt:lpstr>SF</vt:lpstr>
      <vt:lpstr>TB</vt:lpstr>
      <vt:lpstr>TEN</vt:lpstr>
      <vt:lpstr>WAS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Bond</cp:lastModifiedBy>
  <dcterms:created xsi:type="dcterms:W3CDTF">2026-08-19T20:27:59Z</dcterms:created>
  <dcterms:modified xsi:type="dcterms:W3CDTF">2026-08-19T20:35:53Z</dcterms:modified>
</cp:coreProperties>
</file>