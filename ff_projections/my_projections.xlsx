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RI" sheetId="2" state="visible" r:id="rId2"/>
    <sheet xmlns:r="http://schemas.openxmlformats.org/officeDocument/2006/relationships" name="ATL" sheetId="3" state="visible" r:id="rId3"/>
    <sheet xmlns:r="http://schemas.openxmlformats.org/officeDocument/2006/relationships" name="BAL" sheetId="4" state="visible" r:id="rId4"/>
    <sheet xmlns:r="http://schemas.openxmlformats.org/officeDocument/2006/relationships" name="BUF" sheetId="5" state="visible" r:id="rId5"/>
    <sheet xmlns:r="http://schemas.openxmlformats.org/officeDocument/2006/relationships" name="CAR" sheetId="6" state="visible" r:id="rId6"/>
    <sheet xmlns:r="http://schemas.openxmlformats.org/officeDocument/2006/relationships" name="CHI" sheetId="7" state="visible" r:id="rId7"/>
    <sheet xmlns:r="http://schemas.openxmlformats.org/officeDocument/2006/relationships" name="CIN" sheetId="8" state="visible" r:id="rId8"/>
    <sheet xmlns:r="http://schemas.openxmlformats.org/officeDocument/2006/relationships" name="CLE" sheetId="9" state="visible" r:id="rId9"/>
    <sheet xmlns:r="http://schemas.openxmlformats.org/officeDocument/2006/relationships" name="DAL" sheetId="10" state="visible" r:id="rId10"/>
    <sheet xmlns:r="http://schemas.openxmlformats.org/officeDocument/2006/relationships" name="DEN" sheetId="11" state="visible" r:id="rId11"/>
    <sheet xmlns:r="http://schemas.openxmlformats.org/officeDocument/2006/relationships" name="DET" sheetId="12" state="visible" r:id="rId12"/>
    <sheet xmlns:r="http://schemas.openxmlformats.org/officeDocument/2006/relationships" name="GB" sheetId="13" state="visible" r:id="rId13"/>
    <sheet xmlns:r="http://schemas.openxmlformats.org/officeDocument/2006/relationships" name="HOU" sheetId="14" state="visible" r:id="rId14"/>
    <sheet xmlns:r="http://schemas.openxmlformats.org/officeDocument/2006/relationships" name="IND" sheetId="15" state="visible" r:id="rId15"/>
    <sheet xmlns:r="http://schemas.openxmlformats.org/officeDocument/2006/relationships" name="JAC" sheetId="16" state="visible" r:id="rId16"/>
    <sheet xmlns:r="http://schemas.openxmlformats.org/officeDocument/2006/relationships" name="KC" sheetId="17" state="visible" r:id="rId17"/>
    <sheet xmlns:r="http://schemas.openxmlformats.org/officeDocument/2006/relationships" name="LAC" sheetId="18" state="visible" r:id="rId18"/>
    <sheet xmlns:r="http://schemas.openxmlformats.org/officeDocument/2006/relationships" name="LAR" sheetId="19" state="visible" r:id="rId19"/>
    <sheet xmlns:r="http://schemas.openxmlformats.org/officeDocument/2006/relationships" name="LV" sheetId="20" state="visible" r:id="rId20"/>
    <sheet xmlns:r="http://schemas.openxmlformats.org/officeDocument/2006/relationships" name="MIA" sheetId="21" state="visible" r:id="rId21"/>
    <sheet xmlns:r="http://schemas.openxmlformats.org/officeDocument/2006/relationships" name="MIN" sheetId="22" state="visible" r:id="rId22"/>
    <sheet xmlns:r="http://schemas.openxmlformats.org/officeDocument/2006/relationships" name="NE" sheetId="23" state="visible" r:id="rId23"/>
    <sheet xmlns:r="http://schemas.openxmlformats.org/officeDocument/2006/relationships" name="NO" sheetId="24" state="visible" r:id="rId24"/>
    <sheet xmlns:r="http://schemas.openxmlformats.org/officeDocument/2006/relationships" name="NYG" sheetId="25" state="visible" r:id="rId25"/>
    <sheet xmlns:r="http://schemas.openxmlformats.org/officeDocument/2006/relationships" name="NYJ" sheetId="26" state="visible" r:id="rId26"/>
    <sheet xmlns:r="http://schemas.openxmlformats.org/officeDocument/2006/relationships" name="PHI" sheetId="27" state="visible" r:id="rId27"/>
    <sheet xmlns:r="http://schemas.openxmlformats.org/officeDocument/2006/relationships" name="PIT" sheetId="28" state="visible" r:id="rId28"/>
    <sheet xmlns:r="http://schemas.openxmlformats.org/officeDocument/2006/relationships" name="SEA" sheetId="29" state="visible" r:id="rId29"/>
    <sheet xmlns:r="http://schemas.openxmlformats.org/officeDocument/2006/relationships" name="SF" sheetId="30" state="visible" r:id="rId30"/>
    <sheet xmlns:r="http://schemas.openxmlformats.org/officeDocument/2006/relationships" name="TB" sheetId="31" state="visible" r:id="rId31"/>
    <sheet xmlns:r="http://schemas.openxmlformats.org/officeDocument/2006/relationships" name="TEN" sheetId="32" state="visible" r:id="rId32"/>
    <sheet xmlns:r="http://schemas.openxmlformats.org/officeDocument/2006/relationships" name="WAS" sheetId="33" state="visible" r:id="rId33"/>
    <sheet xmlns:r="http://schemas.openxmlformats.org/officeDocument/2006/relationships" name="QB" sheetId="34" state="visible" r:id="rId34"/>
    <sheet xmlns:r="http://schemas.openxmlformats.org/officeDocument/2006/relationships" name="RB" sheetId="35" state="visible" r:id="rId35"/>
    <sheet xmlns:r="http://schemas.openxmlformats.org/officeDocument/2006/relationships" name="WR" sheetId="36" state="visible" r:id="rId36"/>
    <sheet xmlns:r="http://schemas.openxmlformats.org/officeDocument/2006/relationships" name="TE" sheetId="37" state="visible" r:id="rId37"/>
    <sheet xmlns:r="http://schemas.openxmlformats.org/officeDocument/2006/relationships" name="Vacated" sheetId="38" state="visible" r:id="rId38"/>
    <sheet xmlns:r="http://schemas.openxmlformats.org/officeDocument/2006/relationships" name="Settings" sheetId="39" state="visible" r:id="rId39"/>
  </sheets>
  <definedNames>
    <definedName name="_xlnm._FilterDatabase" localSheetId="33" hidden="1">'QB'!$A$2:$J$130</definedName>
    <definedName name="_xlnm._FilterDatabase" localSheetId="34" hidden="1">'RB'!$A$2:$K$226</definedName>
    <definedName name="_xlnm._FilterDatabase" localSheetId="35" hidden="1">'WR'!$A$2:$K$290</definedName>
    <definedName name="_xlnm._FilterDatabase" localSheetId="36" hidden="1">'TE'!$A$2:$K$162</definedName>
    <definedName name="_xlnm._FilterDatabase" localSheetId="37" hidden="1">'Vacated'!$A$2:$H$139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6">
    <font>
      <name val="Calibri"/>
      <family val="2"/>
      <color theme="1"/>
      <sz val="11"/>
      <scheme val="minor"/>
    </font>
    <font>
      <b val="1"/>
      <color rgb="002F4F6F"/>
      <sz val="18"/>
    </font>
    <font>
      <b val="1"/>
      <color rgb="002F4F6F"/>
      <sz val="12"/>
    </font>
    <font>
      <sz val="10"/>
    </font>
    <font>
      <i val="1"/>
      <color rgb="00666666"/>
      <sz val="9"/>
    </font>
    <font>
      <i val="1"/>
      <color rgb="00B22222"/>
      <sz val="9"/>
    </font>
    <font>
      <b val="1"/>
      <color rgb="002F4F6F"/>
      <sz val="15"/>
    </font>
    <font>
      <b val="1"/>
    </font>
    <font>
      <color rgb="00666666"/>
      <sz val="9"/>
    </font>
    <font>
      <b val="1"/>
      <color rgb="00FFFFFF"/>
      <sz val="9"/>
    </font>
    <font>
      <b val="1"/>
      <color rgb="00FFFFFF"/>
      <sz val="8"/>
    </font>
    <font>
      <color rgb="007A6A55"/>
      <sz val="9"/>
    </font>
    <font>
      <b val="1"/>
      <color rgb="00A0522D"/>
    </font>
    <font>
      <color rgb="00A0522D"/>
      <sz val="9"/>
    </font>
    <font>
      <b val="1"/>
      <color rgb="001F6FB5"/>
    </font>
    <font>
      <color rgb="001F6FB5"/>
      <sz val="9"/>
    </font>
    <font>
      <b val="1"/>
      <color rgb="00B22222"/>
      <sz val="9"/>
    </font>
    <font>
      <b val="1"/>
      <sz val="9"/>
    </font>
    <font>
      <color rgb="00666666"/>
      <sz val="8"/>
    </font>
    <font>
      <i val="1"/>
      <color rgb="001F6FB5"/>
      <sz val="8"/>
    </font>
    <font>
      <color rgb="00888888"/>
      <sz val="9"/>
    </font>
    <font>
      <i val="1"/>
      <color rgb="00888888"/>
      <sz val="9"/>
    </font>
    <font>
      <color rgb="00B22222"/>
      <sz val="8"/>
    </font>
    <font>
      <color rgb="00999999"/>
      <sz val="9"/>
    </font>
    <font>
      <b val="1"/>
      <color rgb="002F4F6F"/>
      <sz val="13"/>
    </font>
    <font>
      <b val="1"/>
      <color rgb="002F4F6F"/>
      <sz val="14"/>
    </font>
  </fonts>
  <fills count="8">
    <fill>
      <patternFill/>
    </fill>
    <fill>
      <patternFill patternType="gray125"/>
    </fill>
    <fill>
      <patternFill patternType="solid">
        <fgColor rgb="008EA9C1"/>
      </patternFill>
    </fill>
    <fill>
      <patternFill patternType="solid">
        <fgColor rgb="00DCE9F7"/>
      </patternFill>
    </fill>
    <fill>
      <patternFill patternType="solid">
        <fgColor rgb="00F2F2F2"/>
      </patternFill>
    </fill>
    <fill>
      <patternFill patternType="solid">
        <fgColor rgb="00FFF6E5"/>
      </patternFill>
    </fill>
    <fill>
      <patternFill patternType="solid">
        <fgColor rgb="002F4F6F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1" fontId="11" fillId="5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/>
    </xf>
    <xf numFmtId="165" fontId="11" fillId="5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9" fillId="6" borderId="1" applyAlignment="1" pivotButton="0" quotePrefix="0" xfId="0">
      <alignment horizontal="center" wrapText="1"/>
    </xf>
    <xf numFmtId="0" fontId="17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8" fillId="0" borderId="1" pivotButton="0" quotePrefix="0" xfId="0"/>
    <xf numFmtId="165" fontId="11" fillId="5" borderId="1" pivotButton="0" quotePrefix="0" xfId="0"/>
    <xf numFmtId="1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1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164" fontId="7" fillId="4" borderId="1" pivotButton="0" quotePrefix="0" xfId="0"/>
    <xf numFmtId="0" fontId="19" fillId="0" borderId="1" pivotButton="0" quotePrefix="0" xfId="0"/>
    <xf numFmtId="0" fontId="20" fillId="7" borderId="1" pivotButton="0" quotePrefix="0" xfId="0"/>
    <xf numFmtId="0" fontId="21" fillId="7" borderId="1" pivotButton="0" quotePrefix="0" xfId="0"/>
    <xf numFmtId="0" fontId="0" fillId="7" borderId="1" pivotButton="0" quotePrefix="0" xfId="0"/>
    <xf numFmtId="164" fontId="0" fillId="3" borderId="1" pivotButton="0" quotePrefix="0" xfId="0"/>
    <xf numFmtId="0" fontId="22" fillId="0" borderId="1" pivotButton="0" quotePrefix="0" xfId="0"/>
    <xf numFmtId="165" fontId="7" fillId="0" borderId="1" pivotButton="0" quotePrefix="0" xfId="0"/>
    <xf numFmtId="1" fontId="7" fillId="4" borderId="1" pivotButton="0" quotePrefix="0" xfId="0"/>
    <xf numFmtId="0" fontId="0" fillId="3" borderId="1" pivotButton="0" quotePrefix="0" xfId="0"/>
    <xf numFmtId="0" fontId="23" fillId="0" borderId="0" pivotButton="0" quotePrefix="0" xfId="0"/>
    <xf numFmtId="0" fontId="24" fillId="0" borderId="0" pivotButton="0" quotePrefix="0" xfId="0"/>
    <xf numFmtId="0" fontId="9" fillId="6" borderId="1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0" fontId="9" fillId="6" borderId="1" pivotButton="0" quotePrefix="0" xfId="0"/>
    <xf numFmtId="165" fontId="0" fillId="0" borderId="0" pivotButton="0" quotePrefix="0" xfId="0"/>
    <xf numFmtId="0" fontId="25" fillId="0" borderId="0" pivotButton="0" quotePrefix="0" xfId="0"/>
    <xf numFmtId="1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/>
    <row r="2">
      <c r="B2" s="1" t="inlineStr">
        <is>
          <t>2026 PROJECTIONS - START HERE</t>
        </is>
      </c>
    </row>
    <row r="3"/>
    <row r="4">
      <c r="B4" s="2" t="inlineStr">
        <is>
          <t>How this works</t>
        </is>
      </c>
    </row>
    <row r="5">
      <c r="B5" s="3" t="inlineStr">
        <is>
          <t>Team totals are already projected for you from 10 years of NFL data.</t>
        </is>
      </c>
    </row>
    <row r="6">
      <c r="B6" s="3" t="inlineStr">
        <is>
          <t>Your job is one thing: decide what SHARE of each team's volume every</t>
        </is>
      </c>
    </row>
    <row r="7">
      <c r="B7" s="3" t="inlineStr">
        <is>
          <t>player gets. Excel does the rest and updates as you type.</t>
        </is>
      </c>
    </row>
    <row r="8"/>
    <row r="9">
      <c r="B9" s="2" t="inlineStr">
        <is>
          <t>Where to work</t>
        </is>
      </c>
    </row>
    <row r="10">
      <c r="B10" s="3" t="inlineStr">
        <is>
          <t>The 32 team tabs (ARI ... WAS). One offense per screen:</t>
        </is>
      </c>
    </row>
    <row r="11">
      <c r="B11" s="3" t="inlineStr">
        <is>
          <t xml:space="preserve">   top    - team control totals (editable, already filled in)</t>
        </is>
      </c>
    </row>
    <row r="12">
      <c r="B12" s="3" t="inlineStr">
        <is>
          <t xml:space="preserve">   then   - LAST 3 YEARS: plays, pass rate, yards, TDs for context</t>
        </is>
      </c>
    </row>
    <row r="13">
      <c r="B13" s="3" t="inlineStr">
        <is>
          <t xml:space="preserve">   then   - OUT / IN / STAFF: who left, who arrived, coaching notes</t>
        </is>
      </c>
    </row>
    <row r="14">
      <c r="B14" s="3" t="inlineStr">
        <is>
          <t xml:space="preserve">   middle - players, with 3 years of usage beside each input</t>
        </is>
      </c>
    </row>
    <row r="15">
      <c r="B15" s="3" t="inlineStr">
        <is>
          <t xml:space="preserve">   footer - SHARE TOTALS, which must read 100%</t>
        </is>
      </c>
    </row>
    <row r="16"/>
    <row r="17">
      <c r="B17" s="2" t="inlineStr">
        <is>
          <t>Colours</t>
        </is>
      </c>
    </row>
    <row r="18">
      <c r="B18" s="3" t="inlineStr">
        <is>
          <t xml:space="preserve">   BLUE  cells are yours to type in</t>
        </is>
      </c>
    </row>
    <row r="19">
      <c r="B19" s="3" t="inlineStr">
        <is>
          <t xml:space="preserve">   GREY  cells are formulas - don't type in them</t>
        </is>
      </c>
    </row>
    <row r="20">
      <c r="B20" s="3" t="inlineStr">
        <is>
          <t xml:space="preserve">   CREAM cells are historical fact - what actually happened</t>
        </is>
      </c>
    </row>
    <row r="21"/>
    <row r="22">
      <c r="B22" s="2" t="inlineStr">
        <is>
          <t>You do NOT enter yards per catch or yards per carry</t>
        </is>
      </c>
    </row>
    <row r="23">
      <c r="B23" s="3" t="inlineStr">
        <is>
          <t>Those are OUTPUTS now. Team yardage is a control total, so yards</t>
        </is>
      </c>
    </row>
    <row r="24">
      <c r="B24" s="3" t="inlineStr">
        <is>
          <t>are split by share exactly like targets and carries are - the</t>
        </is>
      </c>
    </row>
    <row r="25">
      <c r="B25" s="3" t="inlineStr">
        <is>
          <t>column always adds up to the team total no matter what you type.</t>
        </is>
      </c>
    </row>
    <row r="26">
      <c r="B26" s="3" t="inlineStr"/>
    </row>
    <row r="27">
      <c r="B27" s="3" t="inlineStr">
        <is>
          <t>What you can tune is 'Rec Eff x' / 'Rush Eff x': yards per</t>
        </is>
      </c>
    </row>
    <row r="28">
      <c r="B28" s="3" t="inlineStr">
        <is>
          <t>opportunity RELATIVE to the team average. 1.00 = he gains yards in</t>
        </is>
      </c>
    </row>
    <row r="29">
      <c r="B29" s="3" t="inlineStr">
        <is>
          <t>proportion to his targets. 1.30 = a deep threat earning 30% more</t>
        </is>
      </c>
    </row>
    <row r="30">
      <c r="B30" s="3" t="inlineStr">
        <is>
          <t>per target than his teammates. 0.75 = a checkdown back.</t>
        </is>
      </c>
    </row>
    <row r="31">
      <c r="B31" s="3" t="inlineStr"/>
    </row>
    <row r="32">
      <c r="B32" s="3" t="inlineStr">
        <is>
          <t>Yds/Rec and Yds/Car then fall out as computed columns - USE THEM AS</t>
        </is>
      </c>
    </row>
    <row r="33">
      <c r="B33" s="3" t="inlineStr">
        <is>
          <t>A CHECK. If a WR1 shows 7 yards a catch, your shares add to well</t>
        </is>
      </c>
    </row>
    <row r="34">
      <c r="B34" s="3" t="inlineStr">
        <is>
          <t>over 100% and everyone is being squeezed. Balance the team and the</t>
        </is>
      </c>
    </row>
    <row r="35">
      <c r="B35" s="3" t="inlineStr">
        <is>
          <t>number comes right.</t>
        </is>
      </c>
    </row>
    <row r="36"/>
    <row r="37">
      <c r="B37" s="2" t="inlineStr">
        <is>
          <t>The footer is the whole trick</t>
        </is>
      </c>
    </row>
    <row r="38">
      <c r="B38" s="3" t="inlineStr">
        <is>
          <t>If a team's target shares sum to 100%, player targets add up to the</t>
        </is>
      </c>
    </row>
    <row r="39">
      <c r="B39" s="3" t="inlineStr">
        <is>
          <t>team total automatically. Nothing to reconcile afterwards. Green means</t>
        </is>
      </c>
    </row>
    <row r="40">
      <c r="B40" s="3" t="inlineStr">
        <is>
          <t>balanced, red means you still have volume to allocate.</t>
        </is>
      </c>
    </row>
    <row r="41"/>
    <row r="42">
      <c r="B42" s="2" t="inlineStr">
        <is>
          <t>Teams open both OVER and UNDER 100% - both are correct</t>
        </is>
      </c>
    </row>
    <row r="43">
      <c r="B43" s="3" t="inlineStr">
        <is>
          <t>UNDER: about 24% of targets and 21% of carries changed hands this</t>
        </is>
      </c>
    </row>
    <row r="44">
      <c r="B44" s="3" t="inlineStr">
        <is>
          <t>offseason. Share is team-relative and NEVER follows a player to his</t>
        </is>
      </c>
    </row>
    <row r="45">
      <c r="B45" s="3" t="inlineStr">
        <is>
          <t>new team, so every departure leaves a hole. The VACATED block on</t>
        </is>
      </c>
    </row>
    <row r="46">
      <c r="B46" s="3" t="inlineStr">
        <is>
          <t>each tab names who left and what they took.</t>
        </is>
      </c>
    </row>
    <row r="47">
      <c r="B47" s="3" t="inlineStr"/>
    </row>
    <row r="48">
      <c r="B48" s="3" t="inlineStr">
        <is>
          <t>OVER: shares are per-game rates - what a player commanded in games</t>
        </is>
      </c>
    </row>
    <row r="49">
      <c r="B49" s="3" t="inlineStr">
        <is>
          <t>he actually played. Three backs who each carried 40% of the load</t>
        </is>
      </c>
    </row>
    <row r="50">
      <c r="B50" s="3" t="inlineStr">
        <is>
          <t>while healthy sum to 120%, and only you can decide the real split.</t>
        </is>
      </c>
    </row>
    <row r="51"/>
    <row r="52">
      <c r="B52" s="2" t="inlineStr">
        <is>
          <t>Games matters - it is not decoration</t>
        </is>
      </c>
    </row>
    <row r="53">
      <c r="B53" s="3" t="inlineStr">
        <is>
          <t>Because shares are per-game rates, injury history is NOT baked into</t>
        </is>
      </c>
    </row>
    <row r="54">
      <c r="B54" s="3" t="inlineStr">
        <is>
          <t>them. Garrett Wilson commanded 30% of the Jets' targets in 2025, not</t>
        </is>
      </c>
    </row>
    <row r="55">
      <c r="B55" s="3" t="inlineStr">
        <is>
          <t>the 12% his season total implies - he only played 7 games.</t>
        </is>
      </c>
    </row>
    <row r="56">
      <c r="B56" s="3" t="inlineStr">
        <is>
          <t>So: set Tgt% to what he commands when healthy, and use Games to say</t>
        </is>
      </c>
    </row>
    <row r="57">
      <c r="B57" s="3" t="inlineStr">
        <is>
          <t>how much of the season you expect. Availability is applied once.</t>
        </is>
      </c>
    </row>
    <row r="58">
      <c r="B58" s="3" t="inlineStr">
        <is>
          <t>A player you expect to miss time gets fewer games, not a lower share.</t>
        </is>
      </c>
    </row>
    <row r="59"/>
    <row r="60">
      <c r="B60" s="2" t="inlineStr">
        <is>
          <t>Touchdowns</t>
        </is>
      </c>
    </row>
    <row r="61">
      <c r="B61" s="3" t="inlineStr">
        <is>
          <t>You don't enter TDs. They come from your usage share x the team's TD</t>
        </is>
      </c>
    </row>
    <row r="62">
      <c r="B62" s="3" t="inlineStr">
        <is>
          <t>total, adjusted by 'RZ Tgt x' / 'RZ Rush x' - how much that player</t>
        </is>
      </c>
    </row>
    <row r="63">
      <c r="B63" s="3" t="inlineStr">
        <is>
          <t>over- or under-indexes near the goal line, from his own 3-year record.</t>
        </is>
      </c>
    </row>
    <row r="64">
      <c r="B64" s="3" t="inlineStr">
        <is>
          <t>1.00 = scores in line with his volume. 1.50 = red-zone weapon (most</t>
        </is>
      </c>
    </row>
    <row r="65">
      <c r="B65" s="3" t="inlineStr">
        <is>
          <t>TEs, goal-line backs). 0.30 = volume-only (slot WRs, receiving backs).</t>
        </is>
      </c>
    </row>
    <row r="66">
      <c r="B66" s="3" t="inlineStr">
        <is>
          <t>One usage number drives both yards and touchdowns.</t>
        </is>
      </c>
    </row>
    <row r="67"/>
    <row r="68">
      <c r="B68" s="2" t="inlineStr">
        <is>
          <t>When you're done</t>
        </is>
      </c>
    </row>
    <row r="69">
      <c r="B69" s="3" t="inlineStr">
        <is>
          <t>The QB / RB / WR / TE tabs pull every player together across all 32</t>
        </is>
      </c>
    </row>
    <row r="70">
      <c r="B70" s="3" t="inlineStr">
        <is>
          <t>teams, live. Sort by Half PPR for a ranking.</t>
        </is>
      </c>
    </row>
    <row r="71"/>
    <row r="72">
      <c r="B72" s="4" t="inlineStr">
        <is>
          <t>Usage inputs were seeded from a recency-weighted 3-year average (players who changed teams were left blank).</t>
        </is>
      </c>
    </row>
    <row r="73">
      <c r="B73" s="4" t="inlineStr">
        <is>
          <t>EVERY player is seeded - returning players from their own record, rookies and new arrivals from the league median for their role (shown as 'role avg' in the Status column). Nothing is left blank, so a number you haven't touched is never mistaken for a zero.</t>
        </is>
      </c>
    </row>
    <row r="74">
      <c r="B74" s="5" t="inlineStr">
        <is>
          <t>Rebuild any time with build_workbook.py - it backs up the old file first, but your edits are NOT carried over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ARI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62.2</v>
      </c>
      <c r="D5" s="12">
        <f>C5*B5</f>
        <v/>
      </c>
      <c r="E5" s="13" t="n">
        <v>0.595</v>
      </c>
      <c r="F5" s="10" t="n">
        <v>585</v>
      </c>
      <c r="G5" s="12">
        <f>ROUND(F5*Settings!$B$4,0)</f>
        <v/>
      </c>
      <c r="H5" s="10" t="n">
        <v>428</v>
      </c>
      <c r="I5" s="10" t="n">
        <v>3992</v>
      </c>
      <c r="J5" s="11" t="n">
        <v>25</v>
      </c>
      <c r="K5" s="11" t="n">
        <v>12</v>
      </c>
      <c r="L5" s="10" t="n">
        <v>1978</v>
      </c>
      <c r="M5" s="11" t="n">
        <v>14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1068</v>
      </c>
      <c r="D8" s="16" t="n">
        <v>62.8235</v>
      </c>
      <c r="E8" s="17" t="n">
        <v>0.5590000000000001</v>
      </c>
      <c r="F8" s="15" t="n">
        <v>555</v>
      </c>
      <c r="G8" s="15" t="n">
        <v>471</v>
      </c>
      <c r="H8" s="15" t="n">
        <v>3430</v>
      </c>
      <c r="I8" s="15" t="n">
        <v>2365</v>
      </c>
      <c r="J8" s="15" t="n">
        <v>18</v>
      </c>
      <c r="K8" s="15" t="n">
        <v>17</v>
      </c>
      <c r="L8" s="16" t="n">
        <v>6.1802</v>
      </c>
      <c r="M8" s="16" t="n">
        <v>5.0212</v>
      </c>
    </row>
    <row r="9">
      <c r="B9" s="15" t="n">
        <v>2024</v>
      </c>
      <c r="C9" s="15" t="n">
        <v>1036</v>
      </c>
      <c r="D9" s="16" t="n">
        <v>60.9412</v>
      </c>
      <c r="E9" s="17" t="n">
        <v>0.5531</v>
      </c>
      <c r="F9" s="15" t="n">
        <v>543</v>
      </c>
      <c r="G9" s="15" t="n">
        <v>463</v>
      </c>
      <c r="H9" s="15" t="n">
        <v>3859</v>
      </c>
      <c r="I9" s="15" t="n">
        <v>2451</v>
      </c>
      <c r="J9" s="15" t="n">
        <v>21</v>
      </c>
      <c r="K9" s="15" t="n">
        <v>18</v>
      </c>
      <c r="L9" s="16" t="n">
        <v>7.1068</v>
      </c>
      <c r="M9" s="16" t="n">
        <v>5.2937</v>
      </c>
    </row>
    <row r="10">
      <c r="B10" s="15" t="n">
        <v>2025</v>
      </c>
      <c r="C10" s="15" t="n">
        <v>1074</v>
      </c>
      <c r="D10" s="16" t="n">
        <v>63.1765</v>
      </c>
      <c r="E10" s="17" t="n">
        <v>0.6592</v>
      </c>
      <c r="F10" s="15" t="n">
        <v>649</v>
      </c>
      <c r="G10" s="15" t="n">
        <v>366</v>
      </c>
      <c r="H10" s="15" t="n">
        <v>4354</v>
      </c>
      <c r="I10" s="15" t="n">
        <v>1583</v>
      </c>
      <c r="J10" s="15" t="n">
        <v>29</v>
      </c>
      <c r="K10" s="15" t="n">
        <v>9</v>
      </c>
      <c r="L10" s="16" t="n">
        <v>6.7088</v>
      </c>
      <c r="M10" s="16" t="n">
        <v>4.3251</v>
      </c>
    </row>
    <row r="11"/>
    <row r="12">
      <c r="A12" s="18" t="inlineStr">
        <is>
          <t>OUT</t>
        </is>
      </c>
      <c r="B12" s="19" t="inlineStr">
        <is>
          <t>24% of targets and 70% of carries left. Share is team-relative - it does NOT follow the player.</t>
        </is>
      </c>
      <c r="H12" s="8" t="inlineStr">
        <is>
          <t>Michael Carter (7t/25r -&gt; TEN), Bam Knight (5t/23r -&gt; NOT ON ANY ROSTER), Emari Demercado (3t/12r -&gt; KC), Kyler Murray (0t/8r -&gt; MIN), Greg Dortch (5t/2r -&gt; DET)</t>
        </is>
      </c>
    </row>
    <row r="13">
      <c r="A13" s="20" t="inlineStr">
        <is>
          <t>IN</t>
        </is>
      </c>
      <c r="B13" s="21" t="inlineStr">
        <is>
          <t>5 new: Tyler Allgeier (RB, from ATL - had 3% there), Kendrick Bourne (WR, from SF - had 10% there), Evan Hull (RB, from NO - had 0% there), Devin Duvernay (WR, from CHI - had 1% there), Gardner Minshew (QB, from KC)</t>
        </is>
      </c>
    </row>
    <row r="14">
      <c r="A14" s="7" t="inlineStr">
        <is>
          <t>STAFF</t>
        </is>
      </c>
      <c r="B14" s="22" t="inlineStr">
        <is>
          <t>NEW HC Mike LaFleur + OC Nathaniel Hackett. Pass rate projected to DROP 69.4% -&gt; 58%. Biggest scheme change in the league - revisit Pass Rate above.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Jacoby Brissett</t>
        </is>
      </c>
      <c r="C17" s="26" t="n">
        <v>1</v>
      </c>
      <c r="D17" s="26" t="inlineStr">
        <is>
          <t>33</t>
        </is>
      </c>
      <c r="E17" s="27" t="inlineStr">
        <is>
          <t>ACT</t>
        </is>
      </c>
      <c r="F17" s="28" t="n"/>
      <c r="G17" s="28" t="n"/>
      <c r="H17" s="28" t="n"/>
      <c r="I17" s="28" t="n">
        <v>0.0992</v>
      </c>
      <c r="J17" s="29" t="n">
        <v>17</v>
      </c>
      <c r="K17" s="30" t="n">
        <v>0.92</v>
      </c>
      <c r="L17" s="30" t="n">
        <v>0.0007</v>
      </c>
      <c r="M17" s="30" t="n">
        <v>0.0727</v>
      </c>
      <c r="N17" s="30" t="n"/>
      <c r="O17" s="31" t="n">
        <v>1</v>
      </c>
      <c r="P17" s="31" t="n">
        <v>1.06</v>
      </c>
      <c r="Q17" s="31" t="n">
        <v>1</v>
      </c>
      <c r="R17" s="31" t="n">
        <v>0.99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Carson Beck</t>
        </is>
      </c>
      <c r="C18" s="26" t="n">
        <v>2</v>
      </c>
      <c r="D18" s="26" t="inlineStr">
        <is>
          <t>23</t>
        </is>
      </c>
      <c r="E18" s="36" t="inlineStr">
        <is>
          <t>role avg (rookie)</t>
        </is>
      </c>
      <c r="F18" s="28" t="n"/>
      <c r="G18" s="28" t="n"/>
      <c r="H18" s="28" t="n"/>
      <c r="I18" s="28" t="n"/>
      <c r="J18" s="29" t="n">
        <v>17</v>
      </c>
      <c r="K18" s="30" t="n">
        <v>0.068</v>
      </c>
      <c r="L18" s="30" t="n">
        <v>0.0018</v>
      </c>
      <c r="M18" s="30" t="n">
        <v>0.0221</v>
      </c>
      <c r="N18" s="30" t="n"/>
      <c r="O18" s="31" t="n">
        <v>1</v>
      </c>
      <c r="P18" s="31" t="n">
        <v>1</v>
      </c>
      <c r="Q18" s="31" t="n">
        <v>1</v>
      </c>
      <c r="R18" s="31" t="n">
        <v>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Kedon Slovis</t>
        </is>
      </c>
      <c r="C19" s="26" t="n">
        <v>3</v>
      </c>
      <c r="D19" s="26" t="inlineStr">
        <is>
          <t>25</t>
        </is>
      </c>
      <c r="E19" s="27" t="inlineStr">
        <is>
          <t>ACT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0.0007</v>
      </c>
      <c r="M19" s="30" t="n">
        <v>0.0034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Jeremiyah Love</t>
        </is>
      </c>
      <c r="C21" s="26" t="n">
        <v>1</v>
      </c>
      <c r="D21" s="26" t="inlineStr">
        <is>
          <t>21</t>
        </is>
      </c>
      <c r="E21" s="36" t="inlineStr">
        <is>
          <t>role avg (rookie)</t>
        </is>
      </c>
      <c r="F21" s="28" t="n"/>
      <c r="G21" s="28" t="n"/>
      <c r="H21" s="28" t="n"/>
      <c r="I21" s="28" t="n"/>
      <c r="J21" s="29" t="n">
        <v>17</v>
      </c>
      <c r="K21" s="30" t="n"/>
      <c r="L21" s="30" t="n">
        <v>0.0827</v>
      </c>
      <c r="M21" s="30" t="n">
        <v>0.3829</v>
      </c>
      <c r="N21" s="30" t="n">
        <v>0.75</v>
      </c>
      <c r="O21" s="31" t="n">
        <v>1</v>
      </c>
      <c r="P21" s="31" t="n">
        <v>1</v>
      </c>
      <c r="Q21" s="31" t="n">
        <v>1</v>
      </c>
      <c r="R21" s="31" t="n">
        <v>1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Tyler Allgeier</t>
        </is>
      </c>
      <c r="C22" s="26" t="n">
        <v>2</v>
      </c>
      <c r="D22" s="26" t="inlineStr">
        <is>
          <t>26</t>
        </is>
      </c>
      <c r="E22" s="36" t="inlineStr">
        <is>
          <t>role avg (from ATL)</t>
        </is>
      </c>
      <c r="F22" s="28" t="n">
        <v>0.0453</v>
      </c>
      <c r="G22" s="28" t="n">
        <v>0.0241</v>
      </c>
      <c r="H22" s="28" t="n">
        <v>0.0308</v>
      </c>
      <c r="I22" s="28" t="n">
        <v>0.3082</v>
      </c>
      <c r="J22" s="29" t="n">
        <v>17</v>
      </c>
      <c r="K22" s="30" t="n"/>
      <c r="L22" s="30" t="n">
        <v>0.0432</v>
      </c>
      <c r="M22" s="30" t="n">
        <v>0.1598</v>
      </c>
      <c r="N22" s="30" t="n">
        <v>0.894</v>
      </c>
      <c r="O22" s="31" t="n">
        <v>0.96</v>
      </c>
      <c r="P22" s="31" t="n">
        <v>0.89</v>
      </c>
      <c r="Q22" s="31" t="n">
        <v>0.93</v>
      </c>
      <c r="R22" s="31" t="n">
        <v>1.85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James Conner</t>
        </is>
      </c>
      <c r="C23" s="26" t="n">
        <v>3</v>
      </c>
      <c r="D23" s="26" t="inlineStr">
        <is>
          <t>31</t>
        </is>
      </c>
      <c r="E23" s="41" t="inlineStr">
        <is>
          <t>QUESTIONABLE</t>
        </is>
      </c>
      <c r="F23" s="28" t="n">
        <v>0.0611</v>
      </c>
      <c r="G23" s="28" t="n">
        <v>0.1052</v>
      </c>
      <c r="H23" s="28" t="n">
        <v>0.0146</v>
      </c>
      <c r="I23" s="28" t="n">
        <v>0.0882</v>
      </c>
      <c r="J23" s="29" t="n">
        <v>17</v>
      </c>
      <c r="K23" s="30" t="n"/>
      <c r="L23" s="30" t="n">
        <v>0.0505</v>
      </c>
      <c r="M23" s="30" t="n">
        <v>0.1784</v>
      </c>
      <c r="N23" s="30" t="n">
        <v>0.8497</v>
      </c>
      <c r="O23" s="31" t="n">
        <v>0.92</v>
      </c>
      <c r="P23" s="31" t="n">
        <v>0.88</v>
      </c>
      <c r="Q23" s="31" t="n">
        <v>1.11</v>
      </c>
      <c r="R23" s="31" t="n">
        <v>2.13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Zonovan Knight</t>
        </is>
      </c>
      <c r="C24" s="26" t="n">
        <v>4</v>
      </c>
      <c r="D24" s="26" t="inlineStr">
        <is>
          <t>25</t>
        </is>
      </c>
      <c r="E24" s="27" t="inlineStr">
        <is>
          <t>ACT</t>
        </is>
      </c>
      <c r="F24" s="28" t="n">
        <v>0.0017</v>
      </c>
      <c r="G24" s="28" t="n"/>
      <c r="H24" s="28" t="n">
        <v>0.0502</v>
      </c>
      <c r="I24" s="28" t="n">
        <v>0.2259</v>
      </c>
      <c r="J24" s="29" t="n">
        <v>17</v>
      </c>
      <c r="K24" s="30" t="n"/>
      <c r="L24" s="30" t="n">
        <v>0.0305</v>
      </c>
      <c r="M24" s="30" t="n">
        <v>0.0558</v>
      </c>
      <c r="N24" s="30" t="n">
        <v>0.7278</v>
      </c>
      <c r="O24" s="31" t="n">
        <v>0.85</v>
      </c>
      <c r="P24" s="31" t="n">
        <v>0.8100000000000001</v>
      </c>
      <c r="Q24" s="31" t="n">
        <v>1.39</v>
      </c>
      <c r="R24" s="31" t="n">
        <v>2.5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Trey Benson</t>
        </is>
      </c>
      <c r="C25" s="26" t="n">
        <v>5</v>
      </c>
      <c r="D25" s="26" t="inlineStr">
        <is>
          <t>24</t>
        </is>
      </c>
      <c r="E25" s="27" t="inlineStr">
        <is>
          <t>ACT</t>
        </is>
      </c>
      <c r="F25" s="28" t="n"/>
      <c r="G25" s="28" t="n">
        <v>0.0115</v>
      </c>
      <c r="H25" s="28" t="n">
        <v>0.0259</v>
      </c>
      <c r="I25" s="28" t="n">
        <v>0.0799</v>
      </c>
      <c r="J25" s="29" t="n">
        <v>17</v>
      </c>
      <c r="K25" s="30" t="n"/>
      <c r="L25" s="30" t="n">
        <v>0.012</v>
      </c>
      <c r="M25" s="30" t="n">
        <v>0.0702</v>
      </c>
      <c r="N25" s="30" t="n">
        <v>0.9364</v>
      </c>
      <c r="O25" s="31" t="n">
        <v>1.02</v>
      </c>
      <c r="P25" s="31" t="n">
        <v>1</v>
      </c>
      <c r="Q25" s="31" t="n">
        <v>1.12</v>
      </c>
      <c r="R25" s="31" t="n">
        <v>0.89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Corey Kiner</t>
        </is>
      </c>
      <c r="C26" s="26" t="n">
        <v>6</v>
      </c>
      <c r="D26" s="26" t="inlineStr">
        <is>
          <t>24</t>
        </is>
      </c>
      <c r="E26" s="27" t="inlineStr">
        <is>
          <t>ACT</t>
        </is>
      </c>
      <c r="F26" s="28" t="n"/>
      <c r="G26" s="28" t="n"/>
      <c r="H26" s="28" t="n">
        <v>0.0049</v>
      </c>
      <c r="I26" s="28" t="n">
        <v>0.0331</v>
      </c>
      <c r="J26" s="29" t="n">
        <v>17</v>
      </c>
      <c r="K26" s="30" t="n"/>
      <c r="L26" s="30" t="n">
        <v>0.0043</v>
      </c>
      <c r="M26" s="30" t="n">
        <v>0.0209</v>
      </c>
      <c r="N26" s="30" t="n">
        <v>0.6667</v>
      </c>
      <c r="O26" s="31" t="n">
        <v>0.96</v>
      </c>
      <c r="P26" s="31" t="n">
        <v>1.04</v>
      </c>
      <c r="Q26" s="31" t="n">
        <v>1.14</v>
      </c>
      <c r="R26" s="31" t="n">
        <v>1.14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Marvin Harrison</t>
        </is>
      </c>
      <c r="C28" s="26" t="n">
        <v>1</v>
      </c>
      <c r="D28" s="26" t="inlineStr">
        <is>
          <t>23</t>
        </is>
      </c>
      <c r="E28" s="27" t="inlineStr">
        <is>
          <t>ACT</t>
        </is>
      </c>
      <c r="F28" s="28" t="n"/>
      <c r="G28" s="28" t="n">
        <v>0.2218</v>
      </c>
      <c r="H28" s="28" t="n">
        <v>0.1183</v>
      </c>
      <c r="I28" s="28" t="n"/>
      <c r="J28" s="29" t="n">
        <v>17</v>
      </c>
      <c r="K28" s="30" t="n"/>
      <c r="L28" s="30" t="n">
        <v>0.1736</v>
      </c>
      <c r="M28" s="30" t="n">
        <v>0.008</v>
      </c>
      <c r="N28" s="30" t="n">
        <v>0.5492</v>
      </c>
      <c r="O28" s="31" t="n">
        <v>1.09</v>
      </c>
      <c r="P28" s="31" t="n">
        <v>1</v>
      </c>
      <c r="Q28" s="31" t="n">
        <v>0.89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Michael Wilson</t>
        </is>
      </c>
      <c r="C29" s="26" t="n">
        <v>2</v>
      </c>
      <c r="D29" s="26" t="inlineStr">
        <is>
          <t>26</t>
        </is>
      </c>
      <c r="E29" s="27" t="inlineStr">
        <is>
          <t>ACT</t>
        </is>
      </c>
      <c r="F29" s="28" t="n">
        <v>0.1074</v>
      </c>
      <c r="G29" s="28" t="n">
        <v>0.1358</v>
      </c>
      <c r="H29" s="28" t="n">
        <v>0.2042</v>
      </c>
      <c r="I29" s="28" t="n"/>
      <c r="J29" s="29" t="n">
        <v>17</v>
      </c>
      <c r="K29" s="30" t="n"/>
      <c r="L29" s="30" t="n">
        <v>0.1441</v>
      </c>
      <c r="M29" s="30" t="n">
        <v>0.0029</v>
      </c>
      <c r="N29" s="30" t="n">
        <v>0.6379</v>
      </c>
      <c r="O29" s="31" t="n">
        <v>1.14</v>
      </c>
      <c r="P29" s="31" t="n">
        <v>1.01</v>
      </c>
      <c r="Q29" s="31" t="n">
        <v>0.9399999999999999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Kendrick Bourne</t>
        </is>
      </c>
      <c r="C30" s="26" t="n">
        <v>3</v>
      </c>
      <c r="D30" s="26" t="inlineStr">
        <is>
          <t>31</t>
        </is>
      </c>
      <c r="E30" s="36" t="inlineStr">
        <is>
          <t>role avg (from SF)</t>
        </is>
      </c>
      <c r="F30" s="28" t="n">
        <v>0.1017</v>
      </c>
      <c r="G30" s="28" t="n">
        <v>0.076</v>
      </c>
      <c r="H30" s="28" t="n">
        <v>0.0964</v>
      </c>
      <c r="I30" s="28" t="n"/>
      <c r="J30" s="29" t="n">
        <v>17</v>
      </c>
      <c r="K30" s="30" t="n"/>
      <c r="L30" s="30" t="n">
        <v>0.0839</v>
      </c>
      <c r="M30" s="30" t="n">
        <v>0.0025</v>
      </c>
      <c r="N30" s="30" t="n">
        <v>0.7056</v>
      </c>
      <c r="O30" s="31" t="n">
        <v>1.19</v>
      </c>
      <c r="P30" s="31" t="n">
        <v>1.01</v>
      </c>
      <c r="Q30" s="31" t="n">
        <v>0.88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Xavier Weaver</t>
        </is>
      </c>
      <c r="C31" s="26" t="n">
        <v>4</v>
      </c>
      <c r="D31" s="26" t="inlineStr">
        <is>
          <t>25</t>
        </is>
      </c>
      <c r="E31" s="27" t="inlineStr">
        <is>
          <t>ACT</t>
        </is>
      </c>
      <c r="F31" s="28" t="n"/>
      <c r="G31" s="28" t="n">
        <v>0.0038</v>
      </c>
      <c r="H31" s="28" t="n">
        <v>0.0211</v>
      </c>
      <c r="I31" s="28" t="n"/>
      <c r="J31" s="29" t="n">
        <v>17</v>
      </c>
      <c r="K31" s="30" t="n"/>
      <c r="L31" s="30" t="n">
        <v>0.0278</v>
      </c>
      <c r="M31" s="30" t="n">
        <v>0.0008</v>
      </c>
      <c r="N31" s="30" t="n">
        <v>0.5385</v>
      </c>
      <c r="O31" s="31" t="n">
        <v>0.9</v>
      </c>
      <c r="P31" s="31" t="n">
        <v>1</v>
      </c>
      <c r="Q31" s="31" t="n">
        <v>1.01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Reggie Virgil</t>
        </is>
      </c>
      <c r="C32" s="26" t="n">
        <v>5</v>
      </c>
      <c r="D32" s="26" t="inlineStr">
        <is>
          <t>22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0.0192</v>
      </c>
      <c r="M32" s="30" t="n">
        <v>0.0019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Simi Fehoko</t>
        </is>
      </c>
      <c r="C33" s="26" t="n">
        <v>6</v>
      </c>
      <c r="D33" s="26" t="inlineStr">
        <is>
          <t>28</t>
        </is>
      </c>
      <c r="E33" s="27" t="inlineStr">
        <is>
          <t>ACT</t>
        </is>
      </c>
      <c r="F33" s="28" t="n">
        <v>0.0033</v>
      </c>
      <c r="G33" s="28" t="n">
        <v>0.0326</v>
      </c>
      <c r="H33" s="28" t="n"/>
      <c r="I33" s="28" t="n"/>
      <c r="J33" s="29" t="n">
        <v>17</v>
      </c>
      <c r="K33" s="30" t="n"/>
      <c r="L33" s="30" t="n">
        <v>0.0169</v>
      </c>
      <c r="M33" s="30" t="n">
        <v>0.0007</v>
      </c>
      <c r="N33" s="30" t="n">
        <v>0.4167</v>
      </c>
      <c r="O33" s="31" t="n">
        <v>0.92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Devin Duvernay</t>
        </is>
      </c>
      <c r="C34" s="26" t="n">
        <v>7</v>
      </c>
      <c r="D34" s="26" t="inlineStr">
        <is>
          <t>28</t>
        </is>
      </c>
      <c r="E34" s="36" t="inlineStr">
        <is>
          <t>role avg (from CHI)</t>
        </is>
      </c>
      <c r="F34" s="28" t="n">
        <v>0.0189</v>
      </c>
      <c r="G34" s="28" t="n">
        <v>0.0307</v>
      </c>
      <c r="H34" s="28" t="n">
        <v>0.0094</v>
      </c>
      <c r="I34" s="28" t="n"/>
      <c r="J34" s="29" t="n">
        <v>17</v>
      </c>
      <c r="K34" s="30" t="n"/>
      <c r="L34" s="30" t="n">
        <v>0.0061</v>
      </c>
      <c r="M34" s="30" t="n">
        <v>0.0019</v>
      </c>
      <c r="N34" s="30" t="n">
        <v>0.4825</v>
      </c>
      <c r="O34" s="31" t="n">
        <v>0.89</v>
      </c>
      <c r="P34" s="31" t="n">
        <v>0.9</v>
      </c>
      <c r="Q34" s="31" t="n">
        <v>1.28</v>
      </c>
      <c r="R34" s="31" t="n">
        <v>1.5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Ihmir Smith-Marsette</t>
        </is>
      </c>
      <c r="C35" s="26" t="n">
        <v>8</v>
      </c>
      <c r="D35" s="26" t="inlineStr">
        <is>
          <t>26</t>
        </is>
      </c>
      <c r="E35" s="27" t="inlineStr">
        <is>
          <t>ACT</t>
        </is>
      </c>
      <c r="F35" s="28" t="n">
        <v>0.0187</v>
      </c>
      <c r="G35" s="28" t="n"/>
      <c r="H35" s="28" t="n"/>
      <c r="I35" s="28" t="n"/>
      <c r="J35" s="29" t="n">
        <v>17</v>
      </c>
      <c r="K35" s="30" t="n"/>
      <c r="L35" s="30" t="n">
        <v>0.0117</v>
      </c>
      <c r="M35" s="30" t="n">
        <v>0.0098</v>
      </c>
      <c r="N35" s="30" t="n">
        <v>0.8</v>
      </c>
      <c r="O35" s="31" t="n">
        <v>0.95</v>
      </c>
      <c r="P35" s="31" t="n">
        <v>1.37</v>
      </c>
      <c r="Q35" s="31" t="n">
        <v>1</v>
      </c>
      <c r="R35" s="31" t="n">
        <v>1.05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Trey McBride</t>
        </is>
      </c>
      <c r="C37" s="26" t="n">
        <v>1</v>
      </c>
      <c r="D37" s="26" t="inlineStr">
        <is>
          <t>26</t>
        </is>
      </c>
      <c r="E37" s="27" t="inlineStr">
        <is>
          <t>ACT</t>
        </is>
      </c>
      <c r="F37" s="28" t="n">
        <v>0.1963</v>
      </c>
      <c r="G37" s="28" t="n">
        <v>0.2811</v>
      </c>
      <c r="H37" s="28" t="n">
        <v>0.2739</v>
      </c>
      <c r="I37" s="28" t="n"/>
      <c r="J37" s="29" t="n">
        <v>17</v>
      </c>
      <c r="K37" s="30" t="n"/>
      <c r="L37" s="30" t="n">
        <v>0.2208</v>
      </c>
      <c r="M37" s="30" t="n">
        <v>0.0019</v>
      </c>
      <c r="N37" s="30" t="n">
        <v>0.7521</v>
      </c>
      <c r="O37" s="31" t="n">
        <v>1.07</v>
      </c>
      <c r="P37" s="31" t="n">
        <v>0.97</v>
      </c>
      <c r="Q37" s="31" t="n">
        <v>1.21</v>
      </c>
      <c r="R37" s="31" t="n">
        <v>1.57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Elijah Higgins</t>
        </is>
      </c>
      <c r="C38" s="26" t="n">
        <v>2</v>
      </c>
      <c r="D38" s="26" t="inlineStr">
        <is>
          <t>25</t>
        </is>
      </c>
      <c r="E38" s="27" t="inlineStr">
        <is>
          <t>ACT</t>
        </is>
      </c>
      <c r="F38" s="28" t="n">
        <v>0.0352</v>
      </c>
      <c r="G38" s="28" t="n">
        <v>0.0459</v>
      </c>
      <c r="H38" s="28" t="n">
        <v>0.06</v>
      </c>
      <c r="I38" s="28" t="n"/>
      <c r="J38" s="29" t="n">
        <v>17</v>
      </c>
      <c r="K38" s="30" t="n"/>
      <c r="L38" s="30" t="n">
        <v>0.0497</v>
      </c>
      <c r="M38" s="30" t="n">
        <v>0.0008</v>
      </c>
      <c r="N38" s="30" t="n">
        <v>0.8078</v>
      </c>
      <c r="O38" s="31" t="n">
        <v>1.07</v>
      </c>
      <c r="P38" s="31" t="n">
        <v>1</v>
      </c>
      <c r="Q38" s="31" t="n">
        <v>0.9399999999999999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Teagan Quitoriano</t>
        </is>
      </c>
      <c r="C39" s="26" t="n">
        <v>3</v>
      </c>
      <c r="D39" s="26" t="inlineStr">
        <is>
          <t>26</t>
        </is>
      </c>
      <c r="E39" s="27" t="inlineStr">
        <is>
          <t>ACT</t>
        </is>
      </c>
      <c r="F39" s="28" t="n">
        <v>0.0053</v>
      </c>
      <c r="G39" s="28" t="n"/>
      <c r="H39" s="28" t="n"/>
      <c r="I39" s="28" t="n"/>
      <c r="J39" s="29" t="n">
        <v>17</v>
      </c>
      <c r="K39" s="30" t="n"/>
      <c r="L39" s="30" t="n">
        <v>0.009900000000000001</v>
      </c>
      <c r="M39" s="30" t="n">
        <v>0.0008</v>
      </c>
      <c r="N39" s="30" t="n">
        <v>0.6667</v>
      </c>
      <c r="O39" s="31" t="n">
        <v>1.05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Rivaldo Fairweather</t>
        </is>
      </c>
      <c r="C40" s="26" t="n">
        <v>4</v>
      </c>
      <c r="D40" s="26" t="inlineStr">
        <is>
          <t>24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0.009900000000000001</v>
      </c>
      <c r="M40" s="30" t="n">
        <v>0.0019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ATL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62.5</v>
      </c>
      <c r="D5" s="12">
        <f>C5*B5</f>
        <v/>
      </c>
      <c r="E5" s="13" t="n">
        <v>0.5475</v>
      </c>
      <c r="F5" s="10" t="n">
        <v>548</v>
      </c>
      <c r="G5" s="12">
        <f>ROUND(F5*Settings!$B$4,0)</f>
        <v/>
      </c>
      <c r="H5" s="10" t="n">
        <v>481</v>
      </c>
      <c r="I5" s="10" t="n">
        <v>3893</v>
      </c>
      <c r="J5" s="11" t="n">
        <v>21</v>
      </c>
      <c r="K5" s="11" t="n">
        <v>13</v>
      </c>
      <c r="L5" s="10" t="n">
        <v>2108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1092</v>
      </c>
      <c r="D8" s="16" t="n">
        <v>64.2353</v>
      </c>
      <c r="E8" s="17" t="n">
        <v>0.522</v>
      </c>
      <c r="F8" s="15" t="n">
        <v>530</v>
      </c>
      <c r="G8" s="15" t="n">
        <v>522</v>
      </c>
      <c r="H8" s="15" t="n">
        <v>3775</v>
      </c>
      <c r="I8" s="15" t="n">
        <v>2159</v>
      </c>
      <c r="J8" s="15" t="n">
        <v>17</v>
      </c>
      <c r="K8" s="15" t="n">
        <v>14</v>
      </c>
      <c r="L8" s="16" t="n">
        <v>7.1226</v>
      </c>
      <c r="M8" s="16" t="n">
        <v>4.136</v>
      </c>
    </row>
    <row r="9">
      <c r="B9" s="15" t="n">
        <v>2024</v>
      </c>
      <c r="C9" s="15" t="n">
        <v>1086</v>
      </c>
      <c r="D9" s="16" t="n">
        <v>63.8824</v>
      </c>
      <c r="E9" s="17" t="n">
        <v>0.5442</v>
      </c>
      <c r="F9" s="15" t="n">
        <v>559</v>
      </c>
      <c r="G9" s="15" t="n">
        <v>495</v>
      </c>
      <c r="H9" s="15" t="n">
        <v>4283</v>
      </c>
      <c r="I9" s="15" t="n">
        <v>2219</v>
      </c>
      <c r="J9" s="15" t="n">
        <v>21</v>
      </c>
      <c r="K9" s="15" t="n">
        <v>18</v>
      </c>
      <c r="L9" s="16" t="n">
        <v>7.6619</v>
      </c>
      <c r="M9" s="16" t="n">
        <v>4.4828</v>
      </c>
    </row>
    <row r="10">
      <c r="B10" s="15" t="n">
        <v>2025</v>
      </c>
      <c r="C10" s="15" t="n">
        <v>1048</v>
      </c>
      <c r="D10" s="16" t="n">
        <v>61.6471</v>
      </c>
      <c r="E10" s="17" t="n">
        <v>0.5448</v>
      </c>
      <c r="F10" s="15" t="n">
        <v>545</v>
      </c>
      <c r="G10" s="15" t="n">
        <v>477</v>
      </c>
      <c r="H10" s="15" t="n">
        <v>3703</v>
      </c>
      <c r="I10" s="15" t="n">
        <v>2138</v>
      </c>
      <c r="J10" s="15" t="n">
        <v>19</v>
      </c>
      <c r="K10" s="15" t="n">
        <v>17</v>
      </c>
      <c r="L10" s="16" t="n">
        <v>6.7945</v>
      </c>
      <c r="M10" s="16" t="n">
        <v>4.4822</v>
      </c>
    </row>
    <row r="11"/>
    <row r="12">
      <c r="A12" s="18" t="inlineStr">
        <is>
          <t>OUT</t>
        </is>
      </c>
      <c r="B12" s="19" t="inlineStr">
        <is>
          <t>29% of targets and 33% of carries left. Share is team-relative - it does NOT follow the player.</t>
        </is>
      </c>
      <c r="H12" s="8" t="inlineStr">
        <is>
          <t>Tyler Allgeier (3t/31r -&gt; ARI), Darnell Mooney (14t/0r -&gt; NYG), David Sills V (7t/0r -&gt; TB), Casey Washington (3t/0r -&gt; CAR), KhaDarel Hodge (2t/0r -&gt; SF)</t>
        </is>
      </c>
    </row>
    <row r="13">
      <c r="A13" s="20" t="inlineStr">
        <is>
          <t>IN</t>
        </is>
      </c>
      <c r="B13" s="21" t="inlineStr">
        <is>
          <t>8 new: Brian Robinson (RB, from SF - had 2% there), Olamide Zaccheaus (WR, from CHI - had 12% there), Jahan Dotson (WR, from PHI - had 8% there), Austin Hooper (TE, from NE - had 5% there), Tua Tagovailoa (QB, from MIA)</t>
        </is>
      </c>
    </row>
    <row r="14">
      <c r="A14" s="7" t="inlineStr">
        <is>
          <t>STAFF</t>
        </is>
      </c>
      <c r="B14" s="22" t="inlineStr">
        <is>
          <t>NEW HC Kevin Stefanski + OC Tommy Rees. Zone-heavy run game; little pass-rate change expected. Emphasis on Robinson touches.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Tua Tagovailoa</t>
        </is>
      </c>
      <c r="C17" s="26" t="n">
        <v>1</v>
      </c>
      <c r="D17" s="26" t="inlineStr">
        <is>
          <t>28</t>
        </is>
      </c>
      <c r="E17" s="36" t="inlineStr">
        <is>
          <t>role avg (from MIA)</t>
        </is>
      </c>
      <c r="F17" s="28" t="n"/>
      <c r="G17" s="28" t="n"/>
      <c r="H17" s="28" t="n"/>
      <c r="I17" s="28" t="n">
        <v>0.0377</v>
      </c>
      <c r="J17" s="29" t="n">
        <v>17</v>
      </c>
      <c r="K17" s="30" t="n">
        <v>0.92</v>
      </c>
      <c r="L17" s="30" t="n">
        <v>0.0018</v>
      </c>
      <c r="M17" s="30" t="n">
        <v>0.06510000000000001</v>
      </c>
      <c r="N17" s="30" t="n"/>
      <c r="O17" s="31" t="n">
        <v>1</v>
      </c>
      <c r="P17" s="31" t="n">
        <v>0.86</v>
      </c>
      <c r="Q17" s="31" t="n">
        <v>1</v>
      </c>
      <c r="R17" s="31" t="n">
        <v>0.9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Michael Penix</t>
        </is>
      </c>
      <c r="C18" s="26" t="n">
        <v>2</v>
      </c>
      <c r="D18" s="26" t="inlineStr">
        <is>
          <t>26</t>
        </is>
      </c>
      <c r="E18" s="41" t="inlineStr">
        <is>
          <t>QUESTIONABLE</t>
        </is>
      </c>
      <c r="F18" s="28" t="n"/>
      <c r="G18" s="28" t="n"/>
      <c r="H18" s="28" t="n"/>
      <c r="I18" s="28" t="n">
        <v>0.0302</v>
      </c>
      <c r="J18" s="29" t="n">
        <v>17</v>
      </c>
      <c r="K18" s="30" t="n">
        <v>0.068</v>
      </c>
      <c r="L18" s="30" t="n">
        <v>0.0008</v>
      </c>
      <c r="M18" s="30" t="n">
        <v>0.0198</v>
      </c>
      <c r="N18" s="30" t="n"/>
      <c r="O18" s="31" t="n">
        <v>1</v>
      </c>
      <c r="P18" s="31" t="n">
        <v>0.97</v>
      </c>
      <c r="Q18" s="31" t="n">
        <v>1</v>
      </c>
      <c r="R18" s="31" t="n">
        <v>1.23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Cooper Rush</t>
        </is>
      </c>
      <c r="C19" s="26" t="n">
        <v>3</v>
      </c>
      <c r="D19" s="26" t="inlineStr">
        <is>
          <t>32</t>
        </is>
      </c>
      <c r="E19" s="36" t="inlineStr">
        <is>
          <t>role avg (from BAL)</t>
        </is>
      </c>
      <c r="F19" s="28" t="n"/>
      <c r="G19" s="28" t="n"/>
      <c r="H19" s="28" t="n"/>
      <c r="I19" s="28" t="n">
        <v>0.002</v>
      </c>
      <c r="J19" s="29" t="n">
        <v>17</v>
      </c>
      <c r="K19" s="30" t="n">
        <v>0.012</v>
      </c>
      <c r="L19" s="30" t="n">
        <v>0.0018</v>
      </c>
      <c r="M19" s="30" t="n">
        <v>0.0057</v>
      </c>
      <c r="N19" s="30" t="n"/>
      <c r="O19" s="31" t="n">
        <v>1</v>
      </c>
      <c r="P19" s="31" t="n">
        <v>1</v>
      </c>
      <c r="Q19" s="31" t="n">
        <v>1</v>
      </c>
      <c r="R19" s="31" t="n">
        <v>2.5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Bijan Robinson</t>
        </is>
      </c>
      <c r="C21" s="26" t="n">
        <v>1</v>
      </c>
      <c r="D21" s="26" t="inlineStr">
        <is>
          <t>24</t>
        </is>
      </c>
      <c r="E21" s="27" t="inlineStr">
        <is>
          <t>ACT</t>
        </is>
      </c>
      <c r="F21" s="28" t="n">
        <v>0.1693</v>
      </c>
      <c r="G21" s="28" t="n">
        <v>0.1336</v>
      </c>
      <c r="H21" s="28" t="n">
        <v>0.1985</v>
      </c>
      <c r="I21" s="28" t="n">
        <v>0.6185</v>
      </c>
      <c r="J21" s="29" t="n">
        <v>17</v>
      </c>
      <c r="K21" s="30" t="n"/>
      <c r="L21" s="30" t="n">
        <v>0.1525</v>
      </c>
      <c r="M21" s="30" t="n">
        <v>0.5358000000000001</v>
      </c>
      <c r="N21" s="30" t="n">
        <v>0.7725</v>
      </c>
      <c r="O21" s="31" t="n">
        <v>0.95</v>
      </c>
      <c r="P21" s="31" t="n">
        <v>1.08</v>
      </c>
      <c r="Q21" s="31" t="n">
        <v>1.09</v>
      </c>
      <c r="R21" s="31" t="n">
        <v>0.91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Brian Robinson</t>
        </is>
      </c>
      <c r="C22" s="26" t="n">
        <v>2</v>
      </c>
      <c r="D22" s="26" t="inlineStr">
        <is>
          <t>27</t>
        </is>
      </c>
      <c r="E22" s="36" t="inlineStr">
        <is>
          <t>role avg (from SF)</t>
        </is>
      </c>
      <c r="F22" s="28" t="n">
        <v>0.07149999999999999</v>
      </c>
      <c r="G22" s="28" t="n">
        <v>0.0496</v>
      </c>
      <c r="H22" s="28" t="n">
        <v>0.0218</v>
      </c>
      <c r="I22" s="28" t="n">
        <v>0.1991</v>
      </c>
      <c r="J22" s="29" t="n">
        <v>17</v>
      </c>
      <c r="K22" s="30" t="n"/>
      <c r="L22" s="30" t="n">
        <v>0.0378</v>
      </c>
      <c r="M22" s="30" t="n">
        <v>0.2558</v>
      </c>
      <c r="N22" s="30" t="n">
        <v>0.7349</v>
      </c>
      <c r="O22" s="31" t="n">
        <v>0.79</v>
      </c>
      <c r="P22" s="31" t="n">
        <v>1</v>
      </c>
      <c r="Q22" s="31" t="n">
        <v>1.16</v>
      </c>
      <c r="R22" s="31" t="n">
        <v>0.91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Tyler Goodson</t>
        </is>
      </c>
      <c r="C23" s="26" t="n">
        <v>3</v>
      </c>
      <c r="D23" s="26" t="inlineStr">
        <is>
          <t>25</t>
        </is>
      </c>
      <c r="E23" s="36" t="inlineStr">
        <is>
          <t>role avg (from IND)</t>
        </is>
      </c>
      <c r="F23" s="28" t="n">
        <v>0.0165</v>
      </c>
      <c r="G23" s="28" t="n">
        <v>0.0305</v>
      </c>
      <c r="H23" s="28" t="n">
        <v>0.0057</v>
      </c>
      <c r="I23" s="28" t="n">
        <v>0.0209</v>
      </c>
      <c r="J23" s="29" t="n">
        <v>17</v>
      </c>
      <c r="K23" s="30" t="n"/>
      <c r="L23" s="30" t="n">
        <v>0.0203</v>
      </c>
      <c r="M23" s="30" t="n">
        <v>0.0568</v>
      </c>
      <c r="N23" s="30" t="n">
        <v>0.6945</v>
      </c>
      <c r="O23" s="31" t="n">
        <v>0.83</v>
      </c>
      <c r="P23" s="31" t="n">
        <v>0.93</v>
      </c>
      <c r="Q23" s="31" t="n">
        <v>1.05</v>
      </c>
      <c r="R23" s="31" t="n">
        <v>0.98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Nathan Carter</t>
        </is>
      </c>
      <c r="C24" s="26" t="n">
        <v>4</v>
      </c>
      <c r="D24" s="26" t="inlineStr">
        <is>
          <t>24</t>
        </is>
      </c>
      <c r="E24" s="27" t="inlineStr">
        <is>
          <t>ACT</t>
        </is>
      </c>
      <c r="F24" s="28" t="n"/>
      <c r="G24" s="28" t="n"/>
      <c r="H24" s="28" t="n"/>
      <c r="I24" s="28" t="n">
        <v>0.0194</v>
      </c>
      <c r="J24" s="29" t="n">
        <v>17</v>
      </c>
      <c r="K24" s="30" t="n"/>
      <c r="L24" s="30" t="n">
        <v>0.0026</v>
      </c>
      <c r="M24" s="30" t="n">
        <v>0.0203</v>
      </c>
      <c r="N24" s="30" t="n"/>
      <c r="O24" s="31" t="n">
        <v>1</v>
      </c>
      <c r="P24" s="31" t="n">
        <v>1.14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Cash Jones</t>
        </is>
      </c>
      <c r="C25" s="26" t="n">
        <v>5</v>
      </c>
      <c r="D25" s="26" t="inlineStr">
        <is>
          <t>24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0.0046</v>
      </c>
      <c r="M25" s="30" t="n">
        <v>0.0112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44" t="inlineStr"/>
      <c r="C26" s="25" t="n"/>
      <c r="D26" s="25" t="n"/>
      <c r="E26" s="25" t="n"/>
      <c r="F26" s="25" t="n"/>
      <c r="G26" s="25" t="n"/>
      <c r="H26" s="25" t="n"/>
      <c r="I26" s="25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Drake London</t>
        </is>
      </c>
      <c r="C28" s="26" t="n">
        <v>1</v>
      </c>
      <c r="D28" s="26" t="inlineStr">
        <is>
          <t>25</t>
        </is>
      </c>
      <c r="E28" s="27" t="inlineStr">
        <is>
          <t>ACT</t>
        </is>
      </c>
      <c r="F28" s="28" t="n">
        <v>0.2165</v>
      </c>
      <c r="G28" s="28" t="n">
        <v>0.2931</v>
      </c>
      <c r="H28" s="28" t="n">
        <v>0.2158</v>
      </c>
      <c r="I28" s="28" t="n"/>
      <c r="J28" s="29" t="n">
        <v>17</v>
      </c>
      <c r="K28" s="30" t="n"/>
      <c r="L28" s="30" t="n">
        <v>0.2331</v>
      </c>
      <c r="M28" s="30" t="n">
        <v>0.0061</v>
      </c>
      <c r="N28" s="30" t="n">
        <v>0.6208</v>
      </c>
      <c r="O28" s="31" t="n">
        <v>1.08</v>
      </c>
      <c r="P28" s="31" t="n">
        <v>1</v>
      </c>
      <c r="Q28" s="31" t="n">
        <v>1.21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Zachariah Branch</t>
        </is>
      </c>
      <c r="C29" s="26" t="n">
        <v>2</v>
      </c>
      <c r="D29" s="26" t="inlineStr">
        <is>
          <t>22</t>
        </is>
      </c>
      <c r="E29" s="36" t="inlineStr">
        <is>
          <t>role avg (rookie)</t>
        </is>
      </c>
      <c r="F29" s="28" t="n"/>
      <c r="G29" s="28" t="n"/>
      <c r="H29" s="28" t="n"/>
      <c r="I29" s="28" t="n"/>
      <c r="J29" s="29" t="n">
        <v>17</v>
      </c>
      <c r="K29" s="30" t="n"/>
      <c r="L29" s="30" t="n">
        <v>0.1337</v>
      </c>
      <c r="M29" s="30" t="n">
        <v>0.0043</v>
      </c>
      <c r="N29" s="30" t="n">
        <v>0.65</v>
      </c>
      <c r="O29" s="31" t="n">
        <v>1</v>
      </c>
      <c r="P29" s="31" t="n">
        <v>1</v>
      </c>
      <c r="Q29" s="31" t="n">
        <v>1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Jahan Dotson</t>
        </is>
      </c>
      <c r="C30" s="26" t="n">
        <v>3</v>
      </c>
      <c r="D30" s="26" t="inlineStr">
        <is>
          <t>26</t>
        </is>
      </c>
      <c r="E30" s="36" t="inlineStr">
        <is>
          <t>role avg (from PHI)</t>
        </is>
      </c>
      <c r="F30" s="28" t="n">
        <v>0.1381</v>
      </c>
      <c r="G30" s="28" t="n">
        <v>0.0789</v>
      </c>
      <c r="H30" s="28" t="n">
        <v>0.0776</v>
      </c>
      <c r="I30" s="28" t="n"/>
      <c r="J30" s="29" t="n">
        <v>17</v>
      </c>
      <c r="K30" s="30" t="n"/>
      <c r="L30" s="30" t="n">
        <v>0.09039999999999999</v>
      </c>
      <c r="M30" s="30" t="n">
        <v>0.0037</v>
      </c>
      <c r="N30" s="30" t="n">
        <v>0.5407999999999999</v>
      </c>
      <c r="O30" s="31" t="n">
        <v>0.93</v>
      </c>
      <c r="P30" s="31" t="n">
        <v>1.07</v>
      </c>
      <c r="Q30" s="31" t="n">
        <v>0.91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Olamide Zaccheaus</t>
        </is>
      </c>
      <c r="C31" s="26" t="n">
        <v>4</v>
      </c>
      <c r="D31" s="26" t="inlineStr">
        <is>
          <t>29</t>
        </is>
      </c>
      <c r="E31" s="36" t="inlineStr">
        <is>
          <t>role avg (from CHI)</t>
        </is>
      </c>
      <c r="F31" s="28" t="n">
        <v>0.0381</v>
      </c>
      <c r="G31" s="28" t="n">
        <v>0.127</v>
      </c>
      <c r="H31" s="28" t="n">
        <v>0.1222</v>
      </c>
      <c r="I31" s="28" t="n">
        <v>0.0081</v>
      </c>
      <c r="J31" s="29" t="n">
        <v>17</v>
      </c>
      <c r="K31" s="30" t="n"/>
      <c r="L31" s="30" t="n">
        <v>0.0368</v>
      </c>
      <c r="M31" s="30" t="n">
        <v>0.0023</v>
      </c>
      <c r="N31" s="30" t="n">
        <v>0.6113</v>
      </c>
      <c r="O31" s="31" t="n">
        <v>0.88</v>
      </c>
      <c r="P31" s="31" t="n">
        <v>1.05</v>
      </c>
      <c r="Q31" s="31" t="n">
        <v>2.37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Dylan Drummond</t>
        </is>
      </c>
      <c r="C32" s="26" t="n">
        <v>5</v>
      </c>
      <c r="D32" s="26" t="inlineStr">
        <is>
          <t>26</t>
        </is>
      </c>
      <c r="E32" s="27" t="inlineStr">
        <is>
          <t>ACT</t>
        </is>
      </c>
      <c r="F32" s="28" t="n"/>
      <c r="G32" s="28" t="n"/>
      <c r="H32" s="28" t="n">
        <v>0.0212</v>
      </c>
      <c r="I32" s="28" t="n"/>
      <c r="J32" s="29" t="n">
        <v>17</v>
      </c>
      <c r="K32" s="30" t="n"/>
      <c r="L32" s="30" t="n">
        <v>0.0188</v>
      </c>
      <c r="M32" s="30" t="n">
        <v>0.0009</v>
      </c>
      <c r="N32" s="30" t="n">
        <v>0.6364</v>
      </c>
      <c r="O32" s="31" t="n">
        <v>0.83</v>
      </c>
      <c r="P32" s="31" t="n">
        <v>1</v>
      </c>
      <c r="Q32" s="31" t="n">
        <v>1.49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Chris Blair</t>
        </is>
      </c>
      <c r="C33" s="26" t="n">
        <v>6</v>
      </c>
      <c r="D33" s="26" t="inlineStr">
        <is>
          <t>28</t>
        </is>
      </c>
      <c r="E33" s="27" t="inlineStr">
        <is>
          <t>ACT</t>
        </is>
      </c>
      <c r="F33" s="28" t="n"/>
      <c r="G33" s="28" t="n">
        <v>0.0037</v>
      </c>
      <c r="H33" s="28" t="n"/>
      <c r="I33" s="28" t="n"/>
      <c r="J33" s="29" t="n">
        <v>17</v>
      </c>
      <c r="K33" s="30" t="n"/>
      <c r="L33" s="30" t="n">
        <v>0.0068</v>
      </c>
      <c r="M33" s="30" t="n">
        <v>0.0008</v>
      </c>
      <c r="N33" s="30" t="n">
        <v>0.5</v>
      </c>
      <c r="O33" s="31" t="n">
        <v>1.01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Antwane Wells</t>
        </is>
      </c>
      <c r="C34" s="26" t="n">
        <v>7</v>
      </c>
      <c r="D34" s="26" t="inlineStr">
        <is>
          <t>25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0.006</v>
      </c>
      <c r="M34" s="30" t="n">
        <v>0.0022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Vinny Anthony</t>
        </is>
      </c>
      <c r="C35" s="26" t="n">
        <v>8</v>
      </c>
      <c r="D35" s="26" t="inlineStr"/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0.0049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Kyle Pitts</t>
        </is>
      </c>
      <c r="C37" s="26" t="n">
        <v>1</v>
      </c>
      <c r="D37" s="26" t="inlineStr">
        <is>
          <t>25</t>
        </is>
      </c>
      <c r="E37" s="27" t="inlineStr">
        <is>
          <t>ACT</t>
        </is>
      </c>
      <c r="F37" s="28" t="n">
        <v>0.1772</v>
      </c>
      <c r="G37" s="28" t="n">
        <v>0.1373</v>
      </c>
      <c r="H37" s="28" t="n">
        <v>0.2274</v>
      </c>
      <c r="I37" s="28" t="n"/>
      <c r="J37" s="29" t="n">
        <v>17</v>
      </c>
      <c r="K37" s="30" t="n"/>
      <c r="L37" s="30" t="n">
        <v>0.1751</v>
      </c>
      <c r="M37" s="30" t="n">
        <v>0.0022</v>
      </c>
      <c r="N37" s="30" t="n">
        <v>0.6812</v>
      </c>
      <c r="O37" s="31" t="n">
        <v>1.05</v>
      </c>
      <c r="P37" s="31" t="n">
        <v>1</v>
      </c>
      <c r="Q37" s="31" t="n">
        <v>1.02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Austin Hooper</t>
        </is>
      </c>
      <c r="C38" s="26" t="n">
        <v>2</v>
      </c>
      <c r="D38" s="26" t="inlineStr">
        <is>
          <t>31</t>
        </is>
      </c>
      <c r="E38" s="36" t="inlineStr">
        <is>
          <t>role avg (from NE)</t>
        </is>
      </c>
      <c r="F38" s="28" t="n">
        <v>0.0584</v>
      </c>
      <c r="G38" s="28" t="n">
        <v>0.118</v>
      </c>
      <c r="H38" s="28" t="n">
        <v>0.0539</v>
      </c>
      <c r="I38" s="28" t="n"/>
      <c r="J38" s="29" t="n">
        <v>17</v>
      </c>
      <c r="K38" s="30" t="n"/>
      <c r="L38" s="30" t="n">
        <v>0.052</v>
      </c>
      <c r="M38" s="30" t="n">
        <v>0.002</v>
      </c>
      <c r="N38" s="30" t="n">
        <v>0.7935</v>
      </c>
      <c r="O38" s="31" t="n">
        <v>1.08</v>
      </c>
      <c r="P38" s="31" t="n">
        <v>1</v>
      </c>
      <c r="Q38" s="31" t="n">
        <v>1.29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Charlie Woerner</t>
        </is>
      </c>
      <c r="C39" s="26" t="n">
        <v>3</v>
      </c>
      <c r="D39" s="26" t="inlineStr">
        <is>
          <t>28</t>
        </is>
      </c>
      <c r="E39" s="27" t="inlineStr">
        <is>
          <t>ACT</t>
        </is>
      </c>
      <c r="F39" s="28" t="n">
        <v>0.0064</v>
      </c>
      <c r="G39" s="28" t="n">
        <v>0.0223</v>
      </c>
      <c r="H39" s="28" t="n">
        <v>0.0173</v>
      </c>
      <c r="I39" s="28" t="n"/>
      <c r="J39" s="29" t="n">
        <v>17</v>
      </c>
      <c r="K39" s="30" t="n"/>
      <c r="L39" s="30" t="n">
        <v>0.0157</v>
      </c>
      <c r="M39" s="30" t="n">
        <v>0.0009</v>
      </c>
      <c r="N39" s="30" t="n">
        <v>0.8237</v>
      </c>
      <c r="O39" s="31" t="n">
        <v>0.92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Joshua Simon</t>
        </is>
      </c>
      <c r="C40" s="26" t="n">
        <v>4</v>
      </c>
      <c r="D40" s="26" t="inlineStr">
        <is>
          <t>25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0.0044</v>
      </c>
      <c r="M40" s="30" t="n">
        <v>0.0022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BAL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60.7</v>
      </c>
      <c r="D5" s="12">
        <f>C5*B5</f>
        <v/>
      </c>
      <c r="E5" s="13" t="n">
        <v>0.5063</v>
      </c>
      <c r="F5" s="10" t="n">
        <v>483</v>
      </c>
      <c r="G5" s="12">
        <f>ROUND(F5*Settings!$B$4,0)</f>
        <v/>
      </c>
      <c r="H5" s="10" t="n">
        <v>509</v>
      </c>
      <c r="I5" s="10" t="n">
        <v>3763</v>
      </c>
      <c r="J5" s="11" t="n">
        <v>28</v>
      </c>
      <c r="K5" s="11" t="n">
        <v>10</v>
      </c>
      <c r="L5" s="10" t="n">
        <v>2551</v>
      </c>
      <c r="M5" s="11" t="n">
        <v>20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1076</v>
      </c>
      <c r="D8" s="16" t="n">
        <v>63.2941</v>
      </c>
      <c r="E8" s="17" t="n">
        <v>0.4972</v>
      </c>
      <c r="F8" s="15" t="n">
        <v>494</v>
      </c>
      <c r="G8" s="15" t="n">
        <v>541</v>
      </c>
      <c r="H8" s="15" t="n">
        <v>3881</v>
      </c>
      <c r="I8" s="15" t="n">
        <v>2661</v>
      </c>
      <c r="J8" s="15" t="n">
        <v>27</v>
      </c>
      <c r="K8" s="15" t="n">
        <v>26</v>
      </c>
      <c r="L8" s="16" t="n">
        <v>7.8563</v>
      </c>
      <c r="M8" s="16" t="n">
        <v>4.9187</v>
      </c>
    </row>
    <row r="9">
      <c r="B9" s="15" t="n">
        <v>2024</v>
      </c>
      <c r="C9" s="15" t="n">
        <v>1055</v>
      </c>
      <c r="D9" s="16" t="n">
        <v>62.0588</v>
      </c>
      <c r="E9" s="17" t="n">
        <v>0.4749</v>
      </c>
      <c r="F9" s="15" t="n">
        <v>477</v>
      </c>
      <c r="G9" s="15" t="n">
        <v>554</v>
      </c>
      <c r="H9" s="15" t="n">
        <v>4189</v>
      </c>
      <c r="I9" s="15" t="n">
        <v>3189</v>
      </c>
      <c r="J9" s="15" t="n">
        <v>41</v>
      </c>
      <c r="K9" s="15" t="n">
        <v>21</v>
      </c>
      <c r="L9" s="16" t="n">
        <v>8.782</v>
      </c>
      <c r="M9" s="16" t="n">
        <v>5.7563</v>
      </c>
    </row>
    <row r="10">
      <c r="B10" s="15" t="n">
        <v>2025</v>
      </c>
      <c r="C10" s="15" t="n">
        <v>974</v>
      </c>
      <c r="D10" s="16" t="n">
        <v>57.2941</v>
      </c>
      <c r="E10" s="17" t="n">
        <v>0.4795</v>
      </c>
      <c r="F10" s="15" t="n">
        <v>422</v>
      </c>
      <c r="G10" s="15" t="n">
        <v>507</v>
      </c>
      <c r="H10" s="15" t="n">
        <v>3278</v>
      </c>
      <c r="I10" s="15" t="n">
        <v>2662</v>
      </c>
      <c r="J10" s="15" t="n">
        <v>23</v>
      </c>
      <c r="K10" s="15" t="n">
        <v>23</v>
      </c>
      <c r="L10" s="16" t="n">
        <v>7.7678</v>
      </c>
      <c r="M10" s="16" t="n">
        <v>5.2505</v>
      </c>
    </row>
    <row r="11"/>
    <row r="12">
      <c r="A12" s="18" t="inlineStr">
        <is>
          <t>OUT</t>
        </is>
      </c>
      <c r="B12" s="19" t="inlineStr">
        <is>
          <t>27% of targets and 12% of carries left. Share is team-relative - it does NOT follow the player.</t>
        </is>
      </c>
      <c r="H12" s="8" t="inlineStr">
        <is>
          <t>Keaton Mitchell (3t/12r -&gt; LAC), DeAndre Hopkins (10t/0r -&gt; NOT ON ANY ROSTER), Isaiah Likely (9t/0r -&gt; NYG), Charlie Kolar (4t/0r -&gt; LAC), Tylan Wallace (2t/0r -&gt; CLE)</t>
        </is>
      </c>
    </row>
    <row r="13">
      <c r="A13" s="20" t="inlineStr">
        <is>
          <t>IN</t>
        </is>
      </c>
      <c r="B13" s="21" t="inlineStr">
        <is>
          <t>2 new: Chris Moore (WR, from WAS - had 5% there), Durham Smythe (TE, from CHI - had 1% there)</t>
        </is>
      </c>
    </row>
    <row r="14">
      <c r="A14" s="7" t="inlineStr">
        <is>
          <t>STAFF</t>
        </is>
      </c>
      <c r="B14" s="22" t="inlineStr">
        <is>
          <t>NEW HC Jesse Minter + OC Declan Doyle. More explosive plays expected - Doyle brings creativity and detail.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Lamar Jackson</t>
        </is>
      </c>
      <c r="C17" s="26" t="n">
        <v>1</v>
      </c>
      <c r="D17" s="26" t="inlineStr">
        <is>
          <t>29</t>
        </is>
      </c>
      <c r="E17" s="27" t="inlineStr">
        <is>
          <t>ACT</t>
        </is>
      </c>
      <c r="F17" s="28" t="n"/>
      <c r="G17" s="28" t="n"/>
      <c r="H17" s="28" t="n"/>
      <c r="I17" s="28" t="n">
        <v>0.1184</v>
      </c>
      <c r="J17" s="29" t="n">
        <v>17</v>
      </c>
      <c r="K17" s="30" t="n">
        <v>0.92</v>
      </c>
      <c r="L17" s="30" t="n">
        <v>0.0008</v>
      </c>
      <c r="M17" s="30" t="n">
        <v>0.1607</v>
      </c>
      <c r="N17" s="30" t="n"/>
      <c r="O17" s="31" t="n">
        <v>1</v>
      </c>
      <c r="P17" s="31" t="n">
        <v>1.13</v>
      </c>
      <c r="Q17" s="31" t="n">
        <v>1</v>
      </c>
      <c r="R17" s="31" t="n">
        <v>1.05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Tyler Huntley</t>
        </is>
      </c>
      <c r="C18" s="26" t="n">
        <v>2</v>
      </c>
      <c r="D18" s="26" t="inlineStr">
        <is>
          <t>28</t>
        </is>
      </c>
      <c r="E18" s="27" t="inlineStr">
        <is>
          <t>ACT</t>
        </is>
      </c>
      <c r="F18" s="28" t="n"/>
      <c r="G18" s="28" t="n"/>
      <c r="H18" s="28" t="n"/>
      <c r="I18" s="28" t="n">
        <v>0.0388</v>
      </c>
      <c r="J18" s="29" t="n">
        <v>17</v>
      </c>
      <c r="K18" s="30" t="n">
        <v>0.068</v>
      </c>
      <c r="L18" s="30" t="n">
        <v>0.0008</v>
      </c>
      <c r="M18" s="30" t="n">
        <v>0.0298</v>
      </c>
      <c r="N18" s="30" t="n"/>
      <c r="O18" s="31" t="n">
        <v>1</v>
      </c>
      <c r="P18" s="31" t="n">
        <v>1.16</v>
      </c>
      <c r="Q18" s="31" t="n">
        <v>1</v>
      </c>
      <c r="R18" s="31" t="n">
        <v>1.29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Skylar Thompson</t>
        </is>
      </c>
      <c r="C19" s="26" t="n">
        <v>3</v>
      </c>
      <c r="D19" s="26" t="inlineStr">
        <is>
          <t>29</t>
        </is>
      </c>
      <c r="E19" s="27" t="inlineStr">
        <is>
          <t>ACT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0.0008</v>
      </c>
      <c r="M19" s="30" t="n">
        <v>0.0035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Derrick Henry</t>
        </is>
      </c>
      <c r="C21" s="26" t="n">
        <v>1</v>
      </c>
      <c r="D21" s="26" t="inlineStr">
        <is>
          <t>32</t>
        </is>
      </c>
      <c r="E21" s="27" t="inlineStr">
        <is>
          <t>ACT</t>
        </is>
      </c>
      <c r="F21" s="28" t="n">
        <v>0.07530000000000001</v>
      </c>
      <c r="G21" s="28" t="n">
        <v>0.0481</v>
      </c>
      <c r="H21" s="28" t="n">
        <v>0.0516</v>
      </c>
      <c r="I21" s="28" t="n">
        <v>0.6264999999999999</v>
      </c>
      <c r="J21" s="29" t="n">
        <v>17</v>
      </c>
      <c r="K21" s="30" t="n"/>
      <c r="L21" s="30" t="n">
        <v>0.0694</v>
      </c>
      <c r="M21" s="30" t="n">
        <v>0.5414</v>
      </c>
      <c r="N21" s="30" t="n">
        <v>0.7718</v>
      </c>
      <c r="O21" s="31" t="n">
        <v>0.9399999999999999</v>
      </c>
      <c r="P21" s="31" t="n">
        <v>0.97</v>
      </c>
      <c r="Q21" s="31" t="n">
        <v>0.93</v>
      </c>
      <c r="R21" s="31" t="n">
        <v>1.09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Justice Hill</t>
        </is>
      </c>
      <c r="C22" s="26" t="n">
        <v>2</v>
      </c>
      <c r="D22" s="26" t="inlineStr">
        <is>
          <t>28</t>
        </is>
      </c>
      <c r="E22" s="27" t="inlineStr">
        <is>
          <t>ACT</t>
        </is>
      </c>
      <c r="F22" s="28" t="n">
        <v>0.0819</v>
      </c>
      <c r="G22" s="28" t="n">
        <v>0.1116</v>
      </c>
      <c r="H22" s="28" t="n">
        <v>0.0663</v>
      </c>
      <c r="I22" s="28" t="n">
        <v>0.0367</v>
      </c>
      <c r="J22" s="29" t="n">
        <v>17</v>
      </c>
      <c r="K22" s="30" t="n"/>
      <c r="L22" s="30" t="n">
        <v>0.06859999999999999</v>
      </c>
      <c r="M22" s="30" t="n">
        <v>0.128</v>
      </c>
      <c r="N22" s="30" t="n">
        <v>0.7789</v>
      </c>
      <c r="O22" s="31" t="n">
        <v>0.84</v>
      </c>
      <c r="P22" s="31" t="n">
        <v>0.93</v>
      </c>
      <c r="Q22" s="31" t="n">
        <v>0.95</v>
      </c>
      <c r="R22" s="31" t="n">
        <v>0.79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Adam Randall</t>
        </is>
      </c>
      <c r="C23" s="26" t="n">
        <v>3</v>
      </c>
      <c r="D23" s="26" t="inlineStr">
        <is>
          <t>22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0.0196</v>
      </c>
      <c r="M23" s="30" t="n">
        <v>0.0568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Rasheen Ali</t>
        </is>
      </c>
      <c r="C24" s="26" t="n">
        <v>4</v>
      </c>
      <c r="D24" s="26" t="inlineStr">
        <is>
          <t>25</t>
        </is>
      </c>
      <c r="E24" s="27" t="inlineStr">
        <is>
          <t>ACT</t>
        </is>
      </c>
      <c r="F24" s="28" t="n"/>
      <c r="G24" s="28" t="n">
        <v>0.0044</v>
      </c>
      <c r="H24" s="28" t="n">
        <v>0.027</v>
      </c>
      <c r="I24" s="28" t="n">
        <v>0.0143</v>
      </c>
      <c r="J24" s="29" t="n">
        <v>17</v>
      </c>
      <c r="K24" s="30" t="n"/>
      <c r="L24" s="30" t="n">
        <v>0.0181</v>
      </c>
      <c r="M24" s="30" t="n">
        <v>0.0177</v>
      </c>
      <c r="N24" s="30" t="n">
        <v>0.8182</v>
      </c>
      <c r="O24" s="31" t="n">
        <v>0.93</v>
      </c>
      <c r="P24" s="31" t="n">
        <v>0.89</v>
      </c>
      <c r="Q24" s="31" t="n">
        <v>1.01</v>
      </c>
      <c r="R24" s="31" t="n">
        <v>0.97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Dontae McMillan</t>
        </is>
      </c>
      <c r="C25" s="26" t="n">
        <v>5</v>
      </c>
      <c r="D25" s="26" t="inlineStr">
        <is>
          <t>24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0.0046</v>
      </c>
      <c r="M25" s="30" t="n">
        <v>0.0094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Elijah Tau-Tolliver</t>
        </is>
      </c>
      <c r="C26" s="26" t="n">
        <v>6</v>
      </c>
      <c r="D26" s="26" t="inlineStr">
        <is>
          <t>23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0.0049</v>
      </c>
      <c r="M26" s="30" t="n">
        <v>0.0042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Zay Flowers</t>
        </is>
      </c>
      <c r="C28" s="26" t="n">
        <v>1</v>
      </c>
      <c r="D28" s="26" t="inlineStr">
        <is>
          <t>25</t>
        </is>
      </c>
      <c r="E28" s="27" t="inlineStr">
        <is>
          <t>ACT</t>
        </is>
      </c>
      <c r="F28" s="28" t="n">
        <v>0.2269</v>
      </c>
      <c r="G28" s="28" t="n">
        <v>0.2538</v>
      </c>
      <c r="H28" s="28" t="n">
        <v>0.2899</v>
      </c>
      <c r="I28" s="28" t="n">
        <v>0.0204</v>
      </c>
      <c r="J28" s="29" t="n">
        <v>17</v>
      </c>
      <c r="K28" s="30" t="n"/>
      <c r="L28" s="30" t="n">
        <v>0.2548</v>
      </c>
      <c r="M28" s="30" t="n">
        <v>0.0166</v>
      </c>
      <c r="N28" s="30" t="n">
        <v>0.6982</v>
      </c>
      <c r="O28" s="31" t="n">
        <v>1.11</v>
      </c>
      <c r="P28" s="31" t="n">
        <v>1.05</v>
      </c>
      <c r="Q28" s="31" t="n">
        <v>0.82</v>
      </c>
      <c r="R28" s="31" t="n">
        <v>0.98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Rashod Bateman</t>
        </is>
      </c>
      <c r="C29" s="26" t="n">
        <v>2</v>
      </c>
      <c r="D29" s="26" t="inlineStr">
        <is>
          <t>26</t>
        </is>
      </c>
      <c r="E29" s="27" t="inlineStr">
        <is>
          <t>ACT</t>
        </is>
      </c>
      <c r="F29" s="28" t="n">
        <v>0.1176</v>
      </c>
      <c r="G29" s="28" t="n">
        <v>0.1575</v>
      </c>
      <c r="H29" s="28" t="n">
        <v>0.0934</v>
      </c>
      <c r="I29" s="28" t="n"/>
      <c r="J29" s="29" t="n">
        <v>17</v>
      </c>
      <c r="K29" s="30" t="n"/>
      <c r="L29" s="30" t="n">
        <v>0.1261</v>
      </c>
      <c r="M29" s="30" t="n">
        <v>0.0037</v>
      </c>
      <c r="N29" s="30" t="n">
        <v>0.5585</v>
      </c>
      <c r="O29" s="31" t="n">
        <v>0.92</v>
      </c>
      <c r="P29" s="31" t="n">
        <v>1.12</v>
      </c>
      <c r="Q29" s="31" t="n">
        <v>0.98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Ja'Kobi Lane</t>
        </is>
      </c>
      <c r="C30" s="26" t="n">
        <v>3</v>
      </c>
      <c r="D30" s="26" t="inlineStr">
        <is>
          <t>22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0.0919</v>
      </c>
      <c r="M30" s="30" t="n">
        <v>0.0027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Elijah Sarratt</t>
        </is>
      </c>
      <c r="C31" s="26" t="n">
        <v>4</v>
      </c>
      <c r="D31" s="26" t="inlineStr">
        <is>
          <t>23</t>
        </is>
      </c>
      <c r="E31" s="36" t="inlineStr">
        <is>
          <t>role avg (rookie)</t>
        </is>
      </c>
      <c r="F31" s="28" t="n"/>
      <c r="G31" s="28" t="n"/>
      <c r="H31" s="28" t="n"/>
      <c r="I31" s="28" t="n"/>
      <c r="J31" s="29" t="n">
        <v>17</v>
      </c>
      <c r="K31" s="30" t="n"/>
      <c r="L31" s="30" t="n">
        <v>0.0475</v>
      </c>
      <c r="M31" s="30" t="n">
        <v>0.0022</v>
      </c>
      <c r="N31" s="30" t="n">
        <v>0.65</v>
      </c>
      <c r="O31" s="31" t="n">
        <v>1</v>
      </c>
      <c r="P31" s="31" t="n">
        <v>1</v>
      </c>
      <c r="Q31" s="31" t="n">
        <v>1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Devontez Walker</t>
        </is>
      </c>
      <c r="C32" s="26" t="n">
        <v>5</v>
      </c>
      <c r="D32" s="26" t="inlineStr">
        <is>
          <t>25</t>
        </is>
      </c>
      <c r="E32" s="27" t="inlineStr">
        <is>
          <t>ACT</t>
        </is>
      </c>
      <c r="F32" s="28" t="n"/>
      <c r="G32" s="28" t="n">
        <v>0.0066</v>
      </c>
      <c r="H32" s="28" t="n">
        <v>0.0197</v>
      </c>
      <c r="I32" s="28" t="n"/>
      <c r="J32" s="29" t="n">
        <v>17</v>
      </c>
      <c r="K32" s="30" t="n"/>
      <c r="L32" s="30" t="n">
        <v>0.0169</v>
      </c>
      <c r="M32" s="30" t="n">
        <v>0.0008</v>
      </c>
      <c r="N32" s="30" t="n">
        <v>0.6207</v>
      </c>
      <c r="O32" s="31" t="n">
        <v>1.17</v>
      </c>
      <c r="P32" s="31" t="n">
        <v>1</v>
      </c>
      <c r="Q32" s="31" t="n">
        <v>1.01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Cornelius Johnson</t>
        </is>
      </c>
      <c r="C33" s="26" t="n">
        <v>6</v>
      </c>
      <c r="D33" s="26" t="inlineStr">
        <is>
          <t>25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0.0083</v>
      </c>
      <c r="M33" s="30" t="n">
        <v>0.002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Chris Moore</t>
        </is>
      </c>
      <c r="C34" s="26" t="n">
        <v>7</v>
      </c>
      <c r="D34" s="26" t="inlineStr">
        <is>
          <t>33</t>
        </is>
      </c>
      <c r="E34" s="36" t="inlineStr">
        <is>
          <t>role avg (from WAS)</t>
        </is>
      </c>
      <c r="F34" s="28" t="n">
        <v>0.0732</v>
      </c>
      <c r="G34" s="28" t="n"/>
      <c r="H34" s="28" t="n">
        <v>0.0532</v>
      </c>
      <c r="I34" s="28" t="n">
        <v>0.0021</v>
      </c>
      <c r="J34" s="29" t="n">
        <v>17</v>
      </c>
      <c r="K34" s="30" t="n"/>
      <c r="L34" s="30" t="n">
        <v>0.0054</v>
      </c>
      <c r="M34" s="30" t="n">
        <v>0.0021</v>
      </c>
      <c r="N34" s="30" t="n">
        <v>0.5274</v>
      </c>
      <c r="O34" s="31" t="n">
        <v>1.19</v>
      </c>
      <c r="P34" s="31" t="n">
        <v>1.11</v>
      </c>
      <c r="Q34" s="31" t="n">
        <v>2.05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LaJohntay Wester</t>
        </is>
      </c>
      <c r="C35" s="26" t="n">
        <v>8</v>
      </c>
      <c r="D35" s="26" t="inlineStr">
        <is>
          <t>24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0.005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Mark Andrews</t>
        </is>
      </c>
      <c r="C37" s="26" t="n">
        <v>1</v>
      </c>
      <c r="D37" s="26" t="inlineStr">
        <is>
          <t>30</t>
        </is>
      </c>
      <c r="E37" s="27" t="inlineStr">
        <is>
          <t>ACT</t>
        </is>
      </c>
      <c r="F37" s="28" t="n">
        <v>0.1282</v>
      </c>
      <c r="G37" s="28" t="n">
        <v>0.151</v>
      </c>
      <c r="H37" s="28" t="n">
        <v>0.172</v>
      </c>
      <c r="I37" s="28" t="n">
        <v>0.0204</v>
      </c>
      <c r="J37" s="29" t="n">
        <v>17</v>
      </c>
      <c r="K37" s="30" t="n"/>
      <c r="L37" s="30" t="n">
        <v>0.1543</v>
      </c>
      <c r="M37" s="30" t="n">
        <v>0.01</v>
      </c>
      <c r="N37" s="30" t="n">
        <v>0.7288</v>
      </c>
      <c r="O37" s="31" t="n">
        <v>0.92</v>
      </c>
      <c r="P37" s="31" t="n">
        <v>0.91</v>
      </c>
      <c r="Q37" s="31" t="n">
        <v>1.41</v>
      </c>
      <c r="R37" s="31" t="n">
        <v>1.2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Matt Hibner</t>
        </is>
      </c>
      <c r="C38" s="26" t="n">
        <v>2</v>
      </c>
      <c r="D38" s="26" t="inlineStr">
        <is>
          <t>24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0.0732</v>
      </c>
      <c r="M38" s="30" t="n">
        <v>0.002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Durham Smythe</t>
        </is>
      </c>
      <c r="C39" s="26" t="n">
        <v>3</v>
      </c>
      <c r="D39" s="26" t="inlineStr">
        <is>
          <t>30</t>
        </is>
      </c>
      <c r="E39" s="36" t="inlineStr">
        <is>
          <t>role avg (from CHI)</t>
        </is>
      </c>
      <c r="F39" s="28" t="n">
        <v>0.07829999999999999</v>
      </c>
      <c r="G39" s="28" t="n">
        <v>0.0299</v>
      </c>
      <c r="H39" s="28" t="n">
        <v>0.0113</v>
      </c>
      <c r="I39" s="28" t="n"/>
      <c r="J39" s="29" t="n">
        <v>17</v>
      </c>
      <c r="K39" s="30" t="n"/>
      <c r="L39" s="30" t="n">
        <v>0.0223</v>
      </c>
      <c r="M39" s="30" t="n">
        <v>0.0021</v>
      </c>
      <c r="N39" s="30" t="n">
        <v>0.6531</v>
      </c>
      <c r="O39" s="31" t="n">
        <v>0.82</v>
      </c>
      <c r="P39" s="31" t="n">
        <v>1</v>
      </c>
      <c r="Q39" s="31" t="n">
        <v>1.3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Josh Cuevas</t>
        </is>
      </c>
      <c r="C40" s="26" t="n">
        <v>4</v>
      </c>
      <c r="D40" s="26" t="inlineStr">
        <is>
          <t>22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0.0069</v>
      </c>
      <c r="M40" s="30" t="n">
        <v>0.0021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BUF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62.6</v>
      </c>
      <c r="D5" s="12">
        <f>C5*B5</f>
        <v/>
      </c>
      <c r="E5" s="13" t="n">
        <v>0.5275</v>
      </c>
      <c r="F5" s="10" t="n">
        <v>529</v>
      </c>
      <c r="G5" s="12">
        <f>ROUND(F5*Settings!$B$4,0)</f>
        <v/>
      </c>
      <c r="H5" s="10" t="n">
        <v>503</v>
      </c>
      <c r="I5" s="10" t="n">
        <v>4003</v>
      </c>
      <c r="J5" s="11" t="n">
        <v>28</v>
      </c>
      <c r="K5" s="11" t="n">
        <v>11</v>
      </c>
      <c r="L5" s="10" t="n">
        <v>2305</v>
      </c>
      <c r="M5" s="11" t="n">
        <v>24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1115</v>
      </c>
      <c r="D8" s="16" t="n">
        <v>65.5882</v>
      </c>
      <c r="E8" s="17" t="n">
        <v>0.5407999999999999</v>
      </c>
      <c r="F8" s="15" t="n">
        <v>579</v>
      </c>
      <c r="G8" s="15" t="n">
        <v>512</v>
      </c>
      <c r="H8" s="15" t="n">
        <v>4306</v>
      </c>
      <c r="I8" s="15" t="n">
        <v>2212</v>
      </c>
      <c r="J8" s="15" t="n">
        <v>29</v>
      </c>
      <c r="K8" s="15" t="n">
        <v>22</v>
      </c>
      <c r="L8" s="16" t="n">
        <v>7.437</v>
      </c>
      <c r="M8" s="16" t="n">
        <v>4.3203</v>
      </c>
    </row>
    <row r="9">
      <c r="B9" s="15" t="n">
        <v>2024</v>
      </c>
      <c r="C9" s="15" t="n">
        <v>1025</v>
      </c>
      <c r="D9" s="16" t="n">
        <v>60.2941</v>
      </c>
      <c r="E9" s="17" t="n">
        <v>0.521</v>
      </c>
      <c r="F9" s="15" t="n">
        <v>520</v>
      </c>
      <c r="G9" s="15" t="n">
        <v>491</v>
      </c>
      <c r="H9" s="15" t="n">
        <v>3938</v>
      </c>
      <c r="I9" s="15" t="n">
        <v>2230</v>
      </c>
      <c r="J9" s="15" t="n">
        <v>30</v>
      </c>
      <c r="K9" s="15" t="n">
        <v>32</v>
      </c>
      <c r="L9" s="16" t="n">
        <v>7.5731</v>
      </c>
      <c r="M9" s="16" t="n">
        <v>4.5418</v>
      </c>
    </row>
    <row r="10">
      <c r="B10" s="15" t="n">
        <v>2025</v>
      </c>
      <c r="C10" s="15" t="n">
        <v>1082</v>
      </c>
      <c r="D10" s="16" t="n">
        <v>63.6471</v>
      </c>
      <c r="E10" s="17" t="n">
        <v>0.4945</v>
      </c>
      <c r="F10" s="15" t="n">
        <v>495</v>
      </c>
      <c r="G10" s="15" t="n">
        <v>547</v>
      </c>
      <c r="H10" s="15" t="n">
        <v>3981</v>
      </c>
      <c r="I10" s="15" t="n">
        <v>2714</v>
      </c>
      <c r="J10" s="15" t="n">
        <v>29</v>
      </c>
      <c r="K10" s="15" t="n">
        <v>30</v>
      </c>
      <c r="L10" s="16" t="n">
        <v>8.042400000000001</v>
      </c>
      <c r="M10" s="16" t="n">
        <v>4.9616</v>
      </c>
    </row>
    <row r="11"/>
    <row r="12">
      <c r="A12" s="18" t="inlineStr">
        <is>
          <t>OUT</t>
        </is>
      </c>
      <c r="B12" s="19" t="inlineStr">
        <is>
          <t>9% of targets and 1% of carries left. Share is team-relative - it does NOT follow the player.</t>
        </is>
      </c>
      <c r="H12" s="8" t="inlineStr">
        <is>
          <t>Gabe Davis (4t/0r -&gt; NOT ON ANY ROSTER), Elijah Moore (4t/1r -&gt; PHI), Curtis Samuel (2t/0r -&gt; NOT ON ANY ROSTER)</t>
        </is>
      </c>
    </row>
    <row r="13">
      <c r="A13" s="20" t="inlineStr">
        <is>
          <t>IN</t>
        </is>
      </c>
      <c r="B13" s="21" t="inlineStr">
        <is>
          <t>7 new: DJ Moore (WR, from CHI - had 16% there), Dante Pettis (WR, from NO - had 2% there), Shane Zylstra (TE, from DET - had 1% there), Trent Sherfield (WR, from DEN - had 1% there), Shane Buechele (QB, from KC)</t>
        </is>
      </c>
    </row>
    <row r="14">
      <c r="A14" s="7" t="inlineStr">
        <is>
          <t>STAFF</t>
        </is>
      </c>
      <c r="B14" s="22" t="inlineStr">
        <is>
          <t>NEW HC Joe Brady (promoted from OC) + OC Pete Carmichael Jr. Brady keeps play-calling. Run-lean; controlled pace continues.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Josh Allen</t>
        </is>
      </c>
      <c r="C17" s="26" t="n">
        <v>1</v>
      </c>
      <c r="D17" s="26" t="inlineStr">
        <is>
          <t>30</t>
        </is>
      </c>
      <c r="E17" s="27" t="inlineStr">
        <is>
          <t>ACT</t>
        </is>
      </c>
      <c r="F17" s="28" t="n"/>
      <c r="G17" s="28" t="n"/>
      <c r="H17" s="28" t="n"/>
      <c r="I17" s="28" t="n">
        <v>0.1785</v>
      </c>
      <c r="J17" s="29" t="n">
        <v>17</v>
      </c>
      <c r="K17" s="30" t="n">
        <v>0.9433</v>
      </c>
      <c r="L17" s="30" t="n">
        <v>0.0007</v>
      </c>
      <c r="M17" s="30" t="n">
        <v>0.1647</v>
      </c>
      <c r="N17" s="30" t="n"/>
      <c r="O17" s="31" t="n">
        <v>1</v>
      </c>
      <c r="P17" s="31" t="n">
        <v>1.15</v>
      </c>
      <c r="Q17" s="31" t="n">
        <v>1</v>
      </c>
      <c r="R17" s="31" t="n">
        <v>1.55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Shane Buechele</t>
        </is>
      </c>
      <c r="C18" s="26" t="n">
        <v>2</v>
      </c>
      <c r="D18" s="26" t="inlineStr">
        <is>
          <t>28</t>
        </is>
      </c>
      <c r="E18" s="36" t="inlineStr">
        <is>
          <t>role avg (from KC)</t>
        </is>
      </c>
      <c r="F18" s="28" t="n"/>
      <c r="G18" s="28" t="n"/>
      <c r="H18" s="28" t="n"/>
      <c r="I18" s="28" t="n">
        <v>0.0024</v>
      </c>
      <c r="J18" s="29" t="n">
        <v>17</v>
      </c>
      <c r="K18" s="30" t="n">
        <v>0.0482</v>
      </c>
      <c r="L18" s="30" t="n">
        <v>0.0017</v>
      </c>
      <c r="M18" s="30" t="n">
        <v>0.0118</v>
      </c>
      <c r="N18" s="30" t="n"/>
      <c r="O18" s="31" t="n">
        <v>1</v>
      </c>
      <c r="P18" s="31" t="n">
        <v>1</v>
      </c>
      <c r="Q18" s="31" t="n">
        <v>1</v>
      </c>
      <c r="R18" s="31" t="n">
        <v>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Kyle Allen</t>
        </is>
      </c>
      <c r="C19" s="26" t="n">
        <v>3</v>
      </c>
      <c r="D19" s="26" t="inlineStr">
        <is>
          <t>30</t>
        </is>
      </c>
      <c r="E19" s="36" t="inlineStr">
        <is>
          <t>role avg (from DET)</t>
        </is>
      </c>
      <c r="F19" s="28" t="n"/>
      <c r="G19" s="28" t="n"/>
      <c r="H19" s="28" t="n"/>
      <c r="I19" s="28" t="n"/>
      <c r="J19" s="29" t="n">
        <v>17</v>
      </c>
      <c r="K19" s="30" t="n">
        <v>0.008500000000000001</v>
      </c>
      <c r="L19" s="30" t="n">
        <v>0.0017</v>
      </c>
      <c r="M19" s="30" t="n">
        <v>0.009599999999999999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James Cook</t>
        </is>
      </c>
      <c r="C21" s="26" t="n">
        <v>1</v>
      </c>
      <c r="D21" s="26" t="inlineStr">
        <is>
          <t>26</t>
        </is>
      </c>
      <c r="E21" s="27" t="inlineStr">
        <is>
          <t>ACT</t>
        </is>
      </c>
      <c r="F21" s="28" t="n">
        <v>0.09909999999999999</v>
      </c>
      <c r="G21" s="28" t="n">
        <v>0.07679999999999999</v>
      </c>
      <c r="H21" s="28" t="n">
        <v>0.0835</v>
      </c>
      <c r="I21" s="28" t="n">
        <v>0.5931</v>
      </c>
      <c r="J21" s="29" t="n">
        <v>17</v>
      </c>
      <c r="K21" s="30" t="n"/>
      <c r="L21" s="30" t="n">
        <v>0.0793</v>
      </c>
      <c r="M21" s="30" t="n">
        <v>0.4978</v>
      </c>
      <c r="N21" s="30" t="n">
        <v>0.8278</v>
      </c>
      <c r="O21" s="31" t="n">
        <v>0.93</v>
      </c>
      <c r="P21" s="31" t="n">
        <v>1.02</v>
      </c>
      <c r="Q21" s="31" t="n">
        <v>0.89</v>
      </c>
      <c r="R21" s="31" t="n">
        <v>0.85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Ty Johnson</t>
        </is>
      </c>
      <c r="C22" s="26" t="n">
        <v>2</v>
      </c>
      <c r="D22" s="26" t="inlineStr">
        <is>
          <t>28</t>
        </is>
      </c>
      <c r="E22" s="27" t="inlineStr">
        <is>
          <t>ACT</t>
        </is>
      </c>
      <c r="F22" s="28" t="n">
        <v>0.0128</v>
      </c>
      <c r="G22" s="28" t="n">
        <v>0.0505</v>
      </c>
      <c r="H22" s="28" t="n">
        <v>0.0689</v>
      </c>
      <c r="I22" s="28" t="n">
        <v>0.096</v>
      </c>
      <c r="J22" s="29" t="n">
        <v>17</v>
      </c>
      <c r="K22" s="30" t="n"/>
      <c r="L22" s="30" t="n">
        <v>0.048</v>
      </c>
      <c r="M22" s="30" t="n">
        <v>0.148</v>
      </c>
      <c r="N22" s="30" t="n">
        <v>0.7599</v>
      </c>
      <c r="O22" s="31" t="n">
        <v>1.08</v>
      </c>
      <c r="P22" s="31" t="n">
        <v>0.93</v>
      </c>
      <c r="Q22" s="31" t="n">
        <v>1.12</v>
      </c>
      <c r="R22" s="31" t="n">
        <v>0.86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Frank Gore</t>
        </is>
      </c>
      <c r="C23" s="26" t="n">
        <v>3</v>
      </c>
      <c r="D23" s="26" t="inlineStr">
        <is>
          <t>24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0.0201</v>
      </c>
      <c r="M23" s="30" t="n">
        <v>0.0732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Ray Davis</t>
        </is>
      </c>
      <c r="C24" s="26" t="n">
        <v>4</v>
      </c>
      <c r="D24" s="26" t="inlineStr">
        <is>
          <t>26</t>
        </is>
      </c>
      <c r="E24" s="27" t="inlineStr">
        <is>
          <t>ACT</t>
        </is>
      </c>
      <c r="F24" s="28" t="n"/>
      <c r="G24" s="28" t="n">
        <v>0.0384</v>
      </c>
      <c r="H24" s="28" t="n">
        <v>0.0271</v>
      </c>
      <c r="I24" s="28" t="n">
        <v>0.1113</v>
      </c>
      <c r="J24" s="29" t="n">
        <v>17</v>
      </c>
      <c r="K24" s="30" t="n"/>
      <c r="L24" s="30" t="n">
        <v>0.0192</v>
      </c>
      <c r="M24" s="30" t="n">
        <v>0.0412</v>
      </c>
      <c r="N24" s="30" t="n">
        <v>0.8163</v>
      </c>
      <c r="O24" s="31" t="n">
        <v>0.98</v>
      </c>
      <c r="P24" s="31" t="n">
        <v>0.9</v>
      </c>
      <c r="Q24" s="31" t="n">
        <v>1.4</v>
      </c>
      <c r="R24" s="31" t="n">
        <v>1.78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Ian Wheeler</t>
        </is>
      </c>
      <c r="C25" s="26" t="n">
        <v>5</v>
      </c>
      <c r="D25" s="26" t="inlineStr">
        <is>
          <t>24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0.003</v>
      </c>
      <c r="M25" s="30" t="n">
        <v>0.0174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Jackson Acker</t>
        </is>
      </c>
      <c r="C26" s="26" t="n">
        <v>6</v>
      </c>
      <c r="D26" s="26" t="inlineStr">
        <is>
          <t>23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0.0032</v>
      </c>
      <c r="M26" s="30" t="n">
        <v>0.0043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DJ Moore</t>
        </is>
      </c>
      <c r="C28" s="26" t="n">
        <v>1</v>
      </c>
      <c r="D28" s="26" t="inlineStr">
        <is>
          <t>29</t>
        </is>
      </c>
      <c r="E28" s="36" t="inlineStr">
        <is>
          <t>role avg (from CHI)</t>
        </is>
      </c>
      <c r="F28" s="28" t="n">
        <v>0.2851</v>
      </c>
      <c r="G28" s="28" t="n">
        <v>0.2657</v>
      </c>
      <c r="H28" s="28" t="n">
        <v>0.1598</v>
      </c>
      <c r="I28" s="28" t="n">
        <v>0.0304</v>
      </c>
      <c r="J28" s="29" t="n">
        <v>17</v>
      </c>
      <c r="K28" s="30" t="n"/>
      <c r="L28" s="30" t="n">
        <v>0.2068</v>
      </c>
      <c r="M28" s="30" t="n">
        <v>0.0132</v>
      </c>
      <c r="N28" s="30" t="n">
        <v>0.6453</v>
      </c>
      <c r="O28" s="31" t="n">
        <v>1.1</v>
      </c>
      <c r="P28" s="31" t="n">
        <v>1.06</v>
      </c>
      <c r="Q28" s="31" t="n">
        <v>0.96</v>
      </c>
      <c r="R28" s="31" t="n">
        <v>1.06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Khalil Shakir</t>
        </is>
      </c>
      <c r="C29" s="26" t="n">
        <v>2</v>
      </c>
      <c r="D29" s="26" t="inlineStr">
        <is>
          <t>26</t>
        </is>
      </c>
      <c r="E29" s="27" t="inlineStr">
        <is>
          <t>ACT</t>
        </is>
      </c>
      <c r="F29" s="28" t="n">
        <v>0.08260000000000001</v>
      </c>
      <c r="G29" s="28" t="n">
        <v>0.202</v>
      </c>
      <c r="H29" s="28" t="n">
        <v>0.1983</v>
      </c>
      <c r="I29" s="28" t="n">
        <v>0.0019</v>
      </c>
      <c r="J29" s="29" t="n">
        <v>17</v>
      </c>
      <c r="K29" s="30" t="n"/>
      <c r="L29" s="30" t="n">
        <v>0.1443</v>
      </c>
      <c r="M29" s="30" t="n">
        <v>0.0034</v>
      </c>
      <c r="N29" s="30" t="n">
        <v>0.7817</v>
      </c>
      <c r="O29" s="31" t="n">
        <v>1.09</v>
      </c>
      <c r="P29" s="31" t="n">
        <v>1</v>
      </c>
      <c r="Q29" s="31" t="n">
        <v>0.95</v>
      </c>
      <c r="R29" s="31" t="n">
        <v>1.18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Joshua Palmer</t>
        </is>
      </c>
      <c r="C30" s="26" t="n">
        <v>3</v>
      </c>
      <c r="D30" s="26" t="inlineStr">
        <is>
          <t>26</t>
        </is>
      </c>
      <c r="E30" s="27" t="inlineStr">
        <is>
          <t>ACT</t>
        </is>
      </c>
      <c r="F30" s="28" t="n">
        <v>0.0993</v>
      </c>
      <c r="G30" s="28" t="n">
        <v>0.1324</v>
      </c>
      <c r="H30" s="28" t="n">
        <v>0.0772</v>
      </c>
      <c r="I30" s="28" t="n"/>
      <c r="J30" s="29" t="n">
        <v>17</v>
      </c>
      <c r="K30" s="30" t="n"/>
      <c r="L30" s="30" t="n">
        <v>0.08749999999999999</v>
      </c>
      <c r="M30" s="30" t="n">
        <v>0.0025</v>
      </c>
      <c r="N30" s="30" t="n">
        <v>0.6011</v>
      </c>
      <c r="O30" s="31" t="n">
        <v>1.07</v>
      </c>
      <c r="P30" s="31" t="n">
        <v>1.03</v>
      </c>
      <c r="Q30" s="31" t="n">
        <v>1.05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Keon Coleman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>
        <v>0.1152</v>
      </c>
      <c r="H31" s="28" t="n">
        <v>0.1232</v>
      </c>
      <c r="I31" s="28" t="n"/>
      <c r="J31" s="29" t="n">
        <v>17</v>
      </c>
      <c r="K31" s="30" t="n"/>
      <c r="L31" s="30" t="n">
        <v>0.0852</v>
      </c>
      <c r="M31" s="30" t="n">
        <v>0.002</v>
      </c>
      <c r="N31" s="30" t="n">
        <v>0.5933</v>
      </c>
      <c r="O31" s="31" t="n">
        <v>0.98</v>
      </c>
      <c r="P31" s="31" t="n">
        <v>1.04</v>
      </c>
      <c r="Q31" s="31" t="n">
        <v>1.24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Skyler Bell</t>
        </is>
      </c>
      <c r="C32" s="26" t="n">
        <v>5</v>
      </c>
      <c r="D32" s="26" t="inlineStr">
        <is>
          <t>24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0.0224</v>
      </c>
      <c r="M32" s="30" t="n">
        <v>0.0022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Tyrell Shavers</t>
        </is>
      </c>
      <c r="C33" s="26" t="n">
        <v>6</v>
      </c>
      <c r="D33" s="26" t="inlineStr">
        <is>
          <t>26</t>
        </is>
      </c>
      <c r="E33" s="41" t="inlineStr">
        <is>
          <t>PUP</t>
        </is>
      </c>
      <c r="F33" s="28" t="n"/>
      <c r="G33" s="28" t="n">
        <v>0.002</v>
      </c>
      <c r="H33" s="28" t="n">
        <v>0.048</v>
      </c>
      <c r="I33" s="28" t="n"/>
      <c r="J33" s="29" t="n">
        <v>17</v>
      </c>
      <c r="K33" s="30" t="n"/>
      <c r="L33" s="30" t="n">
        <v>0.0325</v>
      </c>
      <c r="M33" s="30" t="n">
        <v>0.0008</v>
      </c>
      <c r="N33" s="30" t="n">
        <v>0.6855</v>
      </c>
      <c r="O33" s="31" t="n">
        <v>1.5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Trent Sherfield</t>
        </is>
      </c>
      <c r="C34" s="26" t="n">
        <v>7</v>
      </c>
      <c r="D34" s="26" t="inlineStr">
        <is>
          <t>30</t>
        </is>
      </c>
      <c r="E34" s="36" t="inlineStr">
        <is>
          <t>role avg (from DEN)</t>
        </is>
      </c>
      <c r="F34" s="28" t="n">
        <v>0.0404</v>
      </c>
      <c r="G34" s="28" t="n">
        <v>0.0174</v>
      </c>
      <c r="H34" s="28" t="n">
        <v>0.0068</v>
      </c>
      <c r="I34" s="28" t="n"/>
      <c r="J34" s="29" t="n">
        <v>17</v>
      </c>
      <c r="K34" s="30" t="n"/>
      <c r="L34" s="30" t="n">
        <v>0.0115</v>
      </c>
      <c r="M34" s="30" t="n">
        <v>0.0022</v>
      </c>
      <c r="N34" s="30" t="n">
        <v>0.7395</v>
      </c>
      <c r="O34" s="31" t="n">
        <v>0.9399999999999999</v>
      </c>
      <c r="P34" s="31" t="n">
        <v>1</v>
      </c>
      <c r="Q34" s="31" t="n">
        <v>1.05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Dante Pettis</t>
        </is>
      </c>
      <c r="C35" s="26" t="n">
        <v>8</v>
      </c>
      <c r="D35" s="26" t="inlineStr">
        <is>
          <t>30</t>
        </is>
      </c>
      <c r="E35" s="36" t="inlineStr">
        <is>
          <t>role avg (from NO)</t>
        </is>
      </c>
      <c r="F35" s="28" t="n"/>
      <c r="G35" s="28" t="n">
        <v>0.0542</v>
      </c>
      <c r="H35" s="28" t="n">
        <v>0.0195</v>
      </c>
      <c r="I35" s="28" t="n"/>
      <c r="J35" s="29" t="n">
        <v>17</v>
      </c>
      <c r="K35" s="30" t="n"/>
      <c r="L35" s="30" t="n">
        <v>0.0033</v>
      </c>
      <c r="M35" s="30" t="n">
        <v>0.002</v>
      </c>
      <c r="N35" s="30" t="n">
        <v>0.6721</v>
      </c>
      <c r="O35" s="31" t="n">
        <v>1.11</v>
      </c>
      <c r="P35" s="31" t="n">
        <v>1</v>
      </c>
      <c r="Q35" s="31" t="n">
        <v>2.5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Dalton Kincaid</t>
        </is>
      </c>
      <c r="C37" s="26" t="n">
        <v>1</v>
      </c>
      <c r="D37" s="26" t="inlineStr">
        <is>
          <t>26</t>
        </is>
      </c>
      <c r="E37" s="27" t="inlineStr">
        <is>
          <t>ACT</t>
        </is>
      </c>
      <c r="F37" s="28" t="n">
        <v>0.167</v>
      </c>
      <c r="G37" s="28" t="n">
        <v>0.1515</v>
      </c>
      <c r="H37" s="28" t="n">
        <v>0.1023</v>
      </c>
      <c r="I37" s="28" t="n"/>
      <c r="J37" s="29" t="n">
        <v>17</v>
      </c>
      <c r="K37" s="30" t="n"/>
      <c r="L37" s="30" t="n">
        <v>0.1245</v>
      </c>
      <c r="M37" s="30" t="n">
        <v>0.001</v>
      </c>
      <c r="N37" s="30" t="n">
        <v>0.7352</v>
      </c>
      <c r="O37" s="31" t="n">
        <v>1.07</v>
      </c>
      <c r="P37" s="31" t="n">
        <v>1</v>
      </c>
      <c r="Q37" s="31" t="n">
        <v>0.97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Dawson Knox</t>
        </is>
      </c>
      <c r="C38" s="26" t="n">
        <v>2</v>
      </c>
      <c r="D38" s="26" t="inlineStr">
        <is>
          <t>29</t>
        </is>
      </c>
      <c r="E38" s="27" t="inlineStr">
        <is>
          <t>ACT</t>
        </is>
      </c>
      <c r="F38" s="28" t="n">
        <v>0.06610000000000001</v>
      </c>
      <c r="G38" s="28" t="n">
        <v>0.0667</v>
      </c>
      <c r="H38" s="28" t="n">
        <v>0.1023</v>
      </c>
      <c r="I38" s="28" t="n"/>
      <c r="J38" s="29" t="n">
        <v>17</v>
      </c>
      <c r="K38" s="30" t="n"/>
      <c r="L38" s="30" t="n">
        <v>0.06950000000000001</v>
      </c>
      <c r="M38" s="30" t="n">
        <v>0.0009</v>
      </c>
      <c r="N38" s="30" t="n">
        <v>0.695</v>
      </c>
      <c r="O38" s="31" t="n">
        <v>1.01</v>
      </c>
      <c r="P38" s="31" t="n">
        <v>1</v>
      </c>
      <c r="Q38" s="31" t="n">
        <v>1.43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Jackson Hawes</t>
        </is>
      </c>
      <c r="C39" s="26" t="n">
        <v>3</v>
      </c>
      <c r="D39" s="26" t="inlineStr">
        <is>
          <t>25</t>
        </is>
      </c>
      <c r="E39" s="27" t="inlineStr">
        <is>
          <t>ACT</t>
        </is>
      </c>
      <c r="F39" s="28" t="n"/>
      <c r="G39" s="28" t="n"/>
      <c r="H39" s="28" t="n">
        <v>0.0397</v>
      </c>
      <c r="I39" s="28" t="n"/>
      <c r="J39" s="29" t="n">
        <v>17</v>
      </c>
      <c r="K39" s="30" t="n"/>
      <c r="L39" s="30" t="n">
        <v>0.0286</v>
      </c>
      <c r="M39" s="30" t="n">
        <v>0.0009</v>
      </c>
      <c r="N39" s="30" t="n">
        <v>0.8421</v>
      </c>
      <c r="O39" s="31" t="n">
        <v>1.09</v>
      </c>
      <c r="P39" s="31" t="n">
        <v>1</v>
      </c>
      <c r="Q39" s="31" t="n">
        <v>1.12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Keleki Latu</t>
        </is>
      </c>
      <c r="C40" s="26" t="n">
        <v>4</v>
      </c>
      <c r="D40" s="26" t="inlineStr">
        <is>
          <t>23</t>
        </is>
      </c>
      <c r="E40" s="27" t="inlineStr">
        <is>
          <t>ACT</t>
        </is>
      </c>
      <c r="F40" s="28" t="n"/>
      <c r="G40" s="28" t="n"/>
      <c r="H40" s="28" t="n">
        <v>0.008399999999999999</v>
      </c>
      <c r="I40" s="28" t="n"/>
      <c r="J40" s="29" t="n">
        <v>17</v>
      </c>
      <c r="K40" s="30" t="n"/>
      <c r="L40" s="30" t="n">
        <v>0.007</v>
      </c>
      <c r="M40" s="30" t="n">
        <v>0.0009</v>
      </c>
      <c r="N40" s="30" t="n">
        <v>1</v>
      </c>
      <c r="O40" s="31" t="n">
        <v>1.01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CAR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60.8</v>
      </c>
      <c r="D5" s="12">
        <f>C5*B5</f>
        <v/>
      </c>
      <c r="E5" s="13" t="n">
        <v>0.5665</v>
      </c>
      <c r="F5" s="10" t="n">
        <v>545</v>
      </c>
      <c r="G5" s="12">
        <f>ROUND(F5*Settings!$B$4,0)</f>
        <v/>
      </c>
      <c r="H5" s="10" t="n">
        <v>448</v>
      </c>
      <c r="I5" s="10" t="n">
        <v>3513</v>
      </c>
      <c r="J5" s="11" t="n">
        <v>23</v>
      </c>
      <c r="K5" s="11" t="n">
        <v>12</v>
      </c>
      <c r="L5" s="10" t="n">
        <v>1936</v>
      </c>
      <c r="M5" s="11" t="n">
        <v>13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1096</v>
      </c>
      <c r="D8" s="16" t="n">
        <v>64.4706</v>
      </c>
      <c r="E8" s="17" t="n">
        <v>0.594</v>
      </c>
      <c r="F8" s="15" t="n">
        <v>586</v>
      </c>
      <c r="G8" s="15" t="n">
        <v>445</v>
      </c>
      <c r="H8" s="15" t="n">
        <v>3245</v>
      </c>
      <c r="I8" s="15" t="n">
        <v>1769</v>
      </c>
      <c r="J8" s="15" t="n">
        <v>13</v>
      </c>
      <c r="K8" s="15" t="n">
        <v>7</v>
      </c>
      <c r="L8" s="16" t="n">
        <v>5.5375</v>
      </c>
      <c r="M8" s="16" t="n">
        <v>3.9753</v>
      </c>
    </row>
    <row r="9">
      <c r="B9" s="15" t="n">
        <v>2024</v>
      </c>
      <c r="C9" s="15" t="n">
        <v>993</v>
      </c>
      <c r="D9" s="16" t="n">
        <v>58.4118</v>
      </c>
      <c r="E9" s="17" t="n">
        <v>0.5871</v>
      </c>
      <c r="F9" s="15" t="n">
        <v>547</v>
      </c>
      <c r="G9" s="15" t="n">
        <v>410</v>
      </c>
      <c r="H9" s="15" t="n">
        <v>3411</v>
      </c>
      <c r="I9" s="15" t="n">
        <v>1878</v>
      </c>
      <c r="J9" s="15" t="n">
        <v>22</v>
      </c>
      <c r="K9" s="15" t="n">
        <v>18</v>
      </c>
      <c r="L9" s="16" t="n">
        <v>6.2358</v>
      </c>
      <c r="M9" s="16" t="n">
        <v>4.5805</v>
      </c>
    </row>
    <row r="10">
      <c r="B10" s="15" t="n">
        <v>2025</v>
      </c>
      <c r="C10" s="15" t="n">
        <v>1011</v>
      </c>
      <c r="D10" s="16" t="n">
        <v>59.4706</v>
      </c>
      <c r="E10" s="17" t="n">
        <v>0.544</v>
      </c>
      <c r="F10" s="15" t="n">
        <v>515</v>
      </c>
      <c r="G10" s="15" t="n">
        <v>461</v>
      </c>
      <c r="H10" s="15" t="n">
        <v>3304</v>
      </c>
      <c r="I10" s="15" t="n">
        <v>1977</v>
      </c>
      <c r="J10" s="15" t="n">
        <v>24</v>
      </c>
      <c r="K10" s="15" t="n">
        <v>9</v>
      </c>
      <c r="L10" s="16" t="n">
        <v>6.4155</v>
      </c>
      <c r="M10" s="16" t="n">
        <v>4.2885</v>
      </c>
    </row>
    <row r="11"/>
    <row r="12">
      <c r="A12" s="18" t="inlineStr">
        <is>
          <t>OUT</t>
        </is>
      </c>
      <c r="B12" s="19" t="inlineStr">
        <is>
          <t>16% of targets and 53% of carries left. Share is team-relative - it does NOT follow the player.</t>
        </is>
      </c>
      <c r="H12" s="8" t="inlineStr">
        <is>
          <t>Rico Dowdle (10t/53r -&gt; PIT), Hunter Renfrow (5t/0r -&gt; NOT ON ANY ROSTER)</t>
        </is>
      </c>
    </row>
    <row r="13">
      <c r="A13" s="20" t="inlineStr">
        <is>
          <t>IN</t>
        </is>
      </c>
      <c r="B13" s="21" t="inlineStr">
        <is>
          <t>5 new: Casey Washington (WR, from ATL - had 3% there), AJ Dillon (RB, from PHI - had 1% there), Kenny Pickett (QB, from LV), John Metchie (WR, from PHI - had 1% there), Feleipe Franks (TE, from ATL)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Bryce Young</t>
        </is>
      </c>
      <c r="C17" s="26" t="n">
        <v>1</v>
      </c>
      <c r="D17" s="26" t="inlineStr">
        <is>
          <t>25</t>
        </is>
      </c>
      <c r="E17" s="27" t="inlineStr">
        <is>
          <t>ACT</t>
        </is>
      </c>
      <c r="F17" s="28" t="n"/>
      <c r="G17" s="28" t="n"/>
      <c r="H17" s="28" t="n"/>
      <c r="I17" s="28" t="n">
        <v>0.08799999999999999</v>
      </c>
      <c r="J17" s="29" t="n">
        <v>17</v>
      </c>
      <c r="K17" s="30" t="n">
        <v>0.92</v>
      </c>
      <c r="L17" s="30" t="n">
        <v>0.0008</v>
      </c>
      <c r="M17" s="30" t="n">
        <v>0.102</v>
      </c>
      <c r="N17" s="30" t="n"/>
      <c r="O17" s="31" t="n">
        <v>1</v>
      </c>
      <c r="P17" s="31" t="n">
        <v>1.26</v>
      </c>
      <c r="Q17" s="31" t="n">
        <v>1</v>
      </c>
      <c r="R17" s="31" t="n">
        <v>1.41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Kenny Pickett</t>
        </is>
      </c>
      <c r="C18" s="26" t="n">
        <v>2</v>
      </c>
      <c r="D18" s="26" t="inlineStr">
        <is>
          <t>28</t>
        </is>
      </c>
      <c r="E18" s="36" t="inlineStr">
        <is>
          <t>role avg (from LV)</t>
        </is>
      </c>
      <c r="F18" s="28" t="n"/>
      <c r="G18" s="28" t="n"/>
      <c r="H18" s="28" t="n"/>
      <c r="I18" s="28" t="n">
        <v>0.0138</v>
      </c>
      <c r="J18" s="29" t="n">
        <v>17</v>
      </c>
      <c r="K18" s="30" t="n">
        <v>0.068</v>
      </c>
      <c r="L18" s="30" t="n">
        <v>0.0018</v>
      </c>
      <c r="M18" s="30" t="n">
        <v>0.0156</v>
      </c>
      <c r="N18" s="30" t="n"/>
      <c r="O18" s="31" t="n">
        <v>1</v>
      </c>
      <c r="P18" s="31" t="n">
        <v>0.93</v>
      </c>
      <c r="Q18" s="31" t="n">
        <v>1</v>
      </c>
      <c r="R18" s="31" t="n">
        <v>1.58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Haynes King</t>
        </is>
      </c>
      <c r="C19" s="26" t="n">
        <v>3</v>
      </c>
      <c r="D19" s="26" t="inlineStr">
        <is>
          <t>25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0.0018</v>
      </c>
      <c r="M19" s="30" t="n">
        <v>0.0116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Chuba Hubbard</t>
        </is>
      </c>
      <c r="C21" s="26" t="n">
        <v>1</v>
      </c>
      <c r="D21" s="26" t="inlineStr">
        <is>
          <t>27</t>
        </is>
      </c>
      <c r="E21" s="27" t="inlineStr">
        <is>
          <t>ACT</t>
        </is>
      </c>
      <c r="F21" s="28" t="n">
        <v>0.0824</v>
      </c>
      <c r="G21" s="28" t="n">
        <v>0.1042</v>
      </c>
      <c r="H21" s="28" t="n">
        <v>0.0813</v>
      </c>
      <c r="I21" s="28" t="n">
        <v>0.3025</v>
      </c>
      <c r="J21" s="29" t="n">
        <v>17</v>
      </c>
      <c r="K21" s="30" t="n"/>
      <c r="L21" s="30" t="n">
        <v>0.08790000000000001</v>
      </c>
      <c r="M21" s="30" t="n">
        <v>0.5810999999999999</v>
      </c>
      <c r="N21" s="30" t="n">
        <v>0.803</v>
      </c>
      <c r="O21" s="31" t="n">
        <v>0.82</v>
      </c>
      <c r="P21" s="31" t="n">
        <v>0.93</v>
      </c>
      <c r="Q21" s="31" t="n">
        <v>1.01</v>
      </c>
      <c r="R21" s="31" t="n">
        <v>0.91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Jonathon Brooks</t>
        </is>
      </c>
      <c r="C22" s="26" t="n">
        <v>2</v>
      </c>
      <c r="D22" s="26" t="inlineStr">
        <is>
          <t>23</t>
        </is>
      </c>
      <c r="E22" s="27" t="inlineStr">
        <is>
          <t>ACT</t>
        </is>
      </c>
      <c r="F22" s="28" t="n"/>
      <c r="G22" s="28" t="n">
        <v>0.0058</v>
      </c>
      <c r="H22" s="28" t="n"/>
      <c r="I22" s="28" t="n"/>
      <c r="J22" s="29" t="n">
        <v>17</v>
      </c>
      <c r="K22" s="30" t="n"/>
      <c r="L22" s="30" t="n">
        <v>0.0256</v>
      </c>
      <c r="M22" s="30" t="n">
        <v>0.1224</v>
      </c>
      <c r="N22" s="30" t="n">
        <v>1</v>
      </c>
      <c r="O22" s="31" t="n">
        <v>1.02</v>
      </c>
      <c r="P22" s="31" t="n">
        <v>0.85</v>
      </c>
      <c r="Q22" s="31" t="n">
        <v>1.01</v>
      </c>
      <c r="R22" s="31" t="n">
        <v>0.86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AJ Dillon</t>
        </is>
      </c>
      <c r="C23" s="26" t="n">
        <v>3</v>
      </c>
      <c r="D23" s="26" t="inlineStr">
        <is>
          <t>28</t>
        </is>
      </c>
      <c r="E23" s="36" t="inlineStr">
        <is>
          <t>role avg (from PHI)</t>
        </is>
      </c>
      <c r="F23" s="28" t="n">
        <v>0.0499</v>
      </c>
      <c r="G23" s="28" t="n"/>
      <c r="H23" s="28" t="n">
        <v>0.0065</v>
      </c>
      <c r="I23" s="28" t="n">
        <v>0.026</v>
      </c>
      <c r="J23" s="29" t="n">
        <v>17</v>
      </c>
      <c r="K23" s="30" t="n"/>
      <c r="L23" s="30" t="n">
        <v>0.0127</v>
      </c>
      <c r="M23" s="30" t="n">
        <v>0.06320000000000001</v>
      </c>
      <c r="N23" s="30" t="n">
        <v>0.9011</v>
      </c>
      <c r="O23" s="31" t="n">
        <v>1</v>
      </c>
      <c r="P23" s="31" t="n">
        <v>0.98</v>
      </c>
      <c r="Q23" s="31" t="n">
        <v>1.01</v>
      </c>
      <c r="R23" s="31" t="n">
        <v>2.5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Trevor Etienne</t>
        </is>
      </c>
      <c r="C24" s="26" t="n">
        <v>4</v>
      </c>
      <c r="D24" s="26" t="inlineStr">
        <is>
          <t>22</t>
        </is>
      </c>
      <c r="E24" s="27" t="inlineStr">
        <is>
          <t>ACT</t>
        </is>
      </c>
      <c r="F24" s="28" t="n"/>
      <c r="G24" s="28" t="n"/>
      <c r="H24" s="28" t="n">
        <v>0.0063</v>
      </c>
      <c r="I24" s="28" t="n">
        <v>0.0451</v>
      </c>
      <c r="J24" s="29" t="n">
        <v>17</v>
      </c>
      <c r="K24" s="30" t="n"/>
      <c r="L24" s="30" t="n">
        <v>0.0062</v>
      </c>
      <c r="M24" s="30" t="n">
        <v>0.0395</v>
      </c>
      <c r="N24" s="30" t="n">
        <v>1</v>
      </c>
      <c r="O24" s="31" t="n">
        <v>0.95</v>
      </c>
      <c r="P24" s="31" t="n">
        <v>1.03</v>
      </c>
      <c r="Q24" s="31" t="n">
        <v>1</v>
      </c>
      <c r="R24" s="31" t="n">
        <v>1.29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Anthony Tyus</t>
        </is>
      </c>
      <c r="C25" s="26" t="n">
        <v>5</v>
      </c>
      <c r="D25" s="26" t="inlineStr">
        <is>
          <t>23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0.0045</v>
      </c>
      <c r="M25" s="30" t="n">
        <v>0.0197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Miles Davis</t>
        </is>
      </c>
      <c r="C26" s="26" t="n">
        <v>6</v>
      </c>
      <c r="D26" s="26" t="inlineStr">
        <is>
          <t>26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0.0034</v>
      </c>
      <c r="M26" s="30" t="n">
        <v>0.0052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Tetairoa McMillan</t>
        </is>
      </c>
      <c r="C28" s="26" t="n">
        <v>1</v>
      </c>
      <c r="D28" s="26" t="inlineStr">
        <is>
          <t>23</t>
        </is>
      </c>
      <c r="E28" s="27" t="inlineStr">
        <is>
          <t>ACT</t>
        </is>
      </c>
      <c r="F28" s="28" t="n"/>
      <c r="G28" s="28" t="n"/>
      <c r="H28" s="28" t="n">
        <v>0.2542</v>
      </c>
      <c r="I28" s="28" t="n"/>
      <c r="J28" s="29" t="n">
        <v>17</v>
      </c>
      <c r="K28" s="30" t="n"/>
      <c r="L28" s="30" t="n">
        <v>0.2323</v>
      </c>
      <c r="M28" s="30" t="n">
        <v>0.008699999999999999</v>
      </c>
      <c r="N28" s="30" t="n">
        <v>0.5738</v>
      </c>
      <c r="O28" s="31" t="n">
        <v>1.18</v>
      </c>
      <c r="P28" s="31" t="n">
        <v>1</v>
      </c>
      <c r="Q28" s="31" t="n">
        <v>0.95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John Metchie</t>
        </is>
      </c>
      <c r="C29" s="26" t="n">
        <v>2</v>
      </c>
      <c r="D29" s="26" t="inlineStr">
        <is>
          <t>26</t>
        </is>
      </c>
      <c r="E29" s="36" t="inlineStr">
        <is>
          <t>role avg (from PHI)</t>
        </is>
      </c>
      <c r="F29" s="28" t="n">
        <v>0.053</v>
      </c>
      <c r="G29" s="28" t="n">
        <v>0.06759999999999999</v>
      </c>
      <c r="H29" s="28" t="n">
        <v>0.0086</v>
      </c>
      <c r="I29" s="28" t="n"/>
      <c r="J29" s="29" t="n">
        <v>17</v>
      </c>
      <c r="K29" s="30" t="n"/>
      <c r="L29" s="30" t="n">
        <v>0.1345</v>
      </c>
      <c r="M29" s="30" t="n">
        <v>0.0089</v>
      </c>
      <c r="N29" s="30" t="n">
        <v>0.7298</v>
      </c>
      <c r="O29" s="31" t="n">
        <v>0.86</v>
      </c>
      <c r="P29" s="31" t="n">
        <v>1</v>
      </c>
      <c r="Q29" s="31" t="n">
        <v>0.83</v>
      </c>
      <c r="R29" s="31" t="n">
        <v>1.08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Jalen Coker</t>
        </is>
      </c>
      <c r="C30" s="26" t="n">
        <v>3</v>
      </c>
      <c r="D30" s="26" t="inlineStr">
        <is>
          <t>24</t>
        </is>
      </c>
      <c r="E30" s="27" t="inlineStr">
        <is>
          <t>ACT</t>
        </is>
      </c>
      <c r="F30" s="28" t="n"/>
      <c r="G30" s="28" t="n">
        <v>0.0888</v>
      </c>
      <c r="H30" s="28" t="n">
        <v>0.0896</v>
      </c>
      <c r="I30" s="28" t="n"/>
      <c r="J30" s="29" t="n">
        <v>17</v>
      </c>
      <c r="K30" s="30" t="n"/>
      <c r="L30" s="30" t="n">
        <v>0.09</v>
      </c>
      <c r="M30" s="30" t="n">
        <v>0.0014</v>
      </c>
      <c r="N30" s="30" t="n">
        <v>0.7405</v>
      </c>
      <c r="O30" s="31" t="n">
        <v>1.29</v>
      </c>
      <c r="P30" s="31" t="n">
        <v>1</v>
      </c>
      <c r="Q30" s="31" t="n">
        <v>0.89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Xavier Legette</t>
        </is>
      </c>
      <c r="C31" s="26" t="n">
        <v>4</v>
      </c>
      <c r="D31" s="26" t="inlineStr">
        <is>
          <t>25</t>
        </is>
      </c>
      <c r="E31" s="41" t="inlineStr">
        <is>
          <t>QUESTIONABLE</t>
        </is>
      </c>
      <c r="F31" s="28" t="n"/>
      <c r="G31" s="28" t="n">
        <v>0.1622</v>
      </c>
      <c r="H31" s="28" t="n">
        <v>0.1333</v>
      </c>
      <c r="I31" s="28" t="n">
        <v>0.0023</v>
      </c>
      <c r="J31" s="29" t="n">
        <v>17</v>
      </c>
      <c r="K31" s="30" t="n"/>
      <c r="L31" s="30" t="n">
        <v>0.1056</v>
      </c>
      <c r="M31" s="30" t="n">
        <v>0.0036</v>
      </c>
      <c r="N31" s="30" t="n">
        <v>0.5611</v>
      </c>
      <c r="O31" s="31" t="n">
        <v>0.89</v>
      </c>
      <c r="P31" s="31" t="n">
        <v>0.98</v>
      </c>
      <c r="Q31" s="31" t="n">
        <v>1.29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David Moore</t>
        </is>
      </c>
      <c r="C32" s="26" t="n">
        <v>5</v>
      </c>
      <c r="D32" s="26" t="inlineStr">
        <is>
          <t>31</t>
        </is>
      </c>
      <c r="E32" s="27" t="inlineStr">
        <is>
          <t>ACT</t>
        </is>
      </c>
      <c r="F32" s="28" t="n">
        <v>0.0127</v>
      </c>
      <c r="G32" s="28" t="n">
        <v>0.11</v>
      </c>
      <c r="H32" s="28" t="n">
        <v>0.0021</v>
      </c>
      <c r="I32" s="28" t="n">
        <v>0.0023</v>
      </c>
      <c r="J32" s="29" t="n">
        <v>17</v>
      </c>
      <c r="K32" s="30" t="n"/>
      <c r="L32" s="30" t="n">
        <v>0.048</v>
      </c>
      <c r="M32" s="30" t="n">
        <v>0.0027</v>
      </c>
      <c r="N32" s="30" t="n">
        <v>0.6898</v>
      </c>
      <c r="O32" s="31" t="n">
        <v>1.02</v>
      </c>
      <c r="P32" s="31" t="n">
        <v>1.08</v>
      </c>
      <c r="Q32" s="31" t="n">
        <v>2.19</v>
      </c>
      <c r="R32" s="31" t="n">
        <v>1.63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Jimmy Horn</t>
        </is>
      </c>
      <c r="C33" s="26" t="n">
        <v>6</v>
      </c>
      <c r="D33" s="26" t="inlineStr">
        <is>
          <t>23</t>
        </is>
      </c>
      <c r="E33" s="27" t="inlineStr">
        <is>
          <t>ACT</t>
        </is>
      </c>
      <c r="F33" s="28" t="n"/>
      <c r="G33" s="28" t="n"/>
      <c r="H33" s="28" t="n">
        <v>0.0312</v>
      </c>
      <c r="I33" s="28" t="n">
        <v>0.0181</v>
      </c>
      <c r="J33" s="29" t="n">
        <v>17</v>
      </c>
      <c r="K33" s="30" t="n"/>
      <c r="L33" s="30" t="n">
        <v>0.024</v>
      </c>
      <c r="M33" s="30" t="n">
        <v>0.0052</v>
      </c>
      <c r="N33" s="30" t="n">
        <v>0.7333</v>
      </c>
      <c r="O33" s="31" t="n">
        <v>1.02</v>
      </c>
      <c r="P33" s="31" t="n">
        <v>1.27</v>
      </c>
      <c r="Q33" s="31" t="n">
        <v>1.21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Brycen Tremayne</t>
        </is>
      </c>
      <c r="C34" s="26" t="n">
        <v>7</v>
      </c>
      <c r="D34" s="26" t="inlineStr">
        <is>
          <t>26</t>
        </is>
      </c>
      <c r="E34" s="27" t="inlineStr">
        <is>
          <t>ACT</t>
        </is>
      </c>
      <c r="F34" s="28" t="n"/>
      <c r="G34" s="28" t="n">
        <v>0.002</v>
      </c>
      <c r="H34" s="28" t="n">
        <v>0.0375</v>
      </c>
      <c r="I34" s="28" t="n"/>
      <c r="J34" s="29" t="n">
        <v>17</v>
      </c>
      <c r="K34" s="30" t="n"/>
      <c r="L34" s="30" t="n">
        <v>0.0221</v>
      </c>
      <c r="M34" s="30" t="n">
        <v>0.001</v>
      </c>
      <c r="N34" s="30" t="n">
        <v>0.7933</v>
      </c>
      <c r="O34" s="31" t="n">
        <v>1.08</v>
      </c>
      <c r="P34" s="31" t="n">
        <v>1</v>
      </c>
      <c r="Q34" s="31" t="n">
        <v>0.96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Casey Washington</t>
        </is>
      </c>
      <c r="C35" s="26" t="n">
        <v>8</v>
      </c>
      <c r="D35" s="26" t="inlineStr">
        <is>
          <t>25</t>
        </is>
      </c>
      <c r="E35" s="36" t="inlineStr">
        <is>
          <t>role avg (from ATL)</t>
        </is>
      </c>
      <c r="F35" s="28" t="n"/>
      <c r="G35" s="28" t="n">
        <v>0.0037</v>
      </c>
      <c r="H35" s="28" t="n">
        <v>0.027</v>
      </c>
      <c r="I35" s="28" t="n"/>
      <c r="J35" s="29" t="n">
        <v>17</v>
      </c>
      <c r="K35" s="30" t="n"/>
      <c r="L35" s="30" t="n">
        <v>0.0048</v>
      </c>
      <c r="M35" s="30" t="n">
        <v>0.0024</v>
      </c>
      <c r="N35" s="30" t="n">
        <v>0.4576</v>
      </c>
      <c r="O35" s="31" t="n">
        <v>0.97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Ja'Tavion Sanders</t>
        </is>
      </c>
      <c r="C37" s="26" t="n">
        <v>1</v>
      </c>
      <c r="D37" s="26" t="inlineStr">
        <is>
          <t>23</t>
        </is>
      </c>
      <c r="E37" s="41" t="inlineStr">
        <is>
          <t>QUESTIONABLE</t>
        </is>
      </c>
      <c r="F37" s="28" t="n"/>
      <c r="G37" s="28" t="n">
        <v>0.083</v>
      </c>
      <c r="H37" s="28" t="n">
        <v>0.0708</v>
      </c>
      <c r="I37" s="28" t="n"/>
      <c r="J37" s="29" t="n">
        <v>17</v>
      </c>
      <c r="K37" s="30" t="n"/>
      <c r="L37" s="30" t="n">
        <v>0.0861</v>
      </c>
      <c r="M37" s="30" t="n">
        <v>0.0012</v>
      </c>
      <c r="N37" s="30" t="n">
        <v>0.8166</v>
      </c>
      <c r="O37" s="31" t="n">
        <v>0.99</v>
      </c>
      <c r="P37" s="31" t="n">
        <v>1</v>
      </c>
      <c r="Q37" s="31" t="n">
        <v>1.09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Tommy Tremble</t>
        </is>
      </c>
      <c r="C38" s="26" t="n">
        <v>2</v>
      </c>
      <c r="D38" s="26" t="inlineStr">
        <is>
          <t>26</t>
        </is>
      </c>
      <c r="E38" s="27" t="inlineStr">
        <is>
          <t>ACT</t>
        </is>
      </c>
      <c r="F38" s="28" t="n">
        <v>0.0599</v>
      </c>
      <c r="G38" s="28" t="n">
        <v>0.0618</v>
      </c>
      <c r="H38" s="28" t="n">
        <v>0.0771</v>
      </c>
      <c r="I38" s="28" t="n"/>
      <c r="J38" s="29" t="n">
        <v>17</v>
      </c>
      <c r="K38" s="30" t="n"/>
      <c r="L38" s="30" t="n">
        <v>0.0616</v>
      </c>
      <c r="M38" s="30" t="n">
        <v>0.001</v>
      </c>
      <c r="N38" s="30" t="n">
        <v>0.7248</v>
      </c>
      <c r="O38" s="31" t="n">
        <v>1.01</v>
      </c>
      <c r="P38" s="31" t="n">
        <v>1</v>
      </c>
      <c r="Q38" s="31" t="n">
        <v>1.06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Mitchell Evans</t>
        </is>
      </c>
      <c r="C39" s="26" t="n">
        <v>3</v>
      </c>
      <c r="D39" s="26" t="inlineStr">
        <is>
          <t>23</t>
        </is>
      </c>
      <c r="E39" s="27" t="inlineStr">
        <is>
          <t>ACT</t>
        </is>
      </c>
      <c r="F39" s="28" t="n"/>
      <c r="G39" s="28" t="n"/>
      <c r="H39" s="28" t="n">
        <v>0.0521</v>
      </c>
      <c r="I39" s="28" t="n">
        <v>0.0023</v>
      </c>
      <c r="J39" s="29" t="n">
        <v>17</v>
      </c>
      <c r="K39" s="30" t="n"/>
      <c r="L39" s="30" t="n">
        <v>0.0404</v>
      </c>
      <c r="M39" s="30" t="n">
        <v>0.0027</v>
      </c>
      <c r="N39" s="30" t="n">
        <v>0.76</v>
      </c>
      <c r="O39" s="31" t="n">
        <v>1</v>
      </c>
      <c r="P39" s="31" t="n">
        <v>0.96</v>
      </c>
      <c r="Q39" s="31" t="n">
        <v>1.14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James Mitchell</t>
        </is>
      </c>
      <c r="C40" s="26" t="n">
        <v>4</v>
      </c>
      <c r="D40" s="26" t="inlineStr">
        <is>
          <t>26</t>
        </is>
      </c>
      <c r="E40" s="27" t="inlineStr">
        <is>
          <t>ACT</t>
        </is>
      </c>
      <c r="F40" s="28" t="n">
        <v>0.0035</v>
      </c>
      <c r="G40" s="28" t="n"/>
      <c r="H40" s="28" t="n">
        <v>0.0063</v>
      </c>
      <c r="I40" s="28" t="n"/>
      <c r="J40" s="29" t="n">
        <v>17</v>
      </c>
      <c r="K40" s="30" t="n"/>
      <c r="L40" s="30" t="n">
        <v>0.0058</v>
      </c>
      <c r="M40" s="30" t="n">
        <v>0.001</v>
      </c>
      <c r="N40" s="30" t="n">
        <v>1</v>
      </c>
      <c r="O40" s="31" t="n">
        <v>1.06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CHI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63.3</v>
      </c>
      <c r="D5" s="12">
        <f>C5*B5</f>
        <v/>
      </c>
      <c r="E5" s="13" t="n">
        <v>0.5562</v>
      </c>
      <c r="F5" s="10" t="n">
        <v>556</v>
      </c>
      <c r="G5" s="12">
        <f>ROUND(F5*Settings!$B$4,0)</f>
        <v/>
      </c>
      <c r="H5" s="10" t="n">
        <v>477</v>
      </c>
      <c r="I5" s="10" t="n">
        <v>3787</v>
      </c>
      <c r="J5" s="11" t="n">
        <v>24</v>
      </c>
      <c r="K5" s="11" t="n">
        <v>10</v>
      </c>
      <c r="L5" s="10" t="n">
        <v>2132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1097</v>
      </c>
      <c r="D8" s="16" t="n">
        <v>64.5294</v>
      </c>
      <c r="E8" s="17" t="n">
        <v>0.5132</v>
      </c>
      <c r="F8" s="15" t="n">
        <v>513</v>
      </c>
      <c r="G8" s="15" t="n">
        <v>534</v>
      </c>
      <c r="H8" s="15" t="n">
        <v>3421</v>
      </c>
      <c r="I8" s="15" t="n">
        <v>2399</v>
      </c>
      <c r="J8" s="15" t="n">
        <v>19</v>
      </c>
      <c r="K8" s="15" t="n">
        <v>16</v>
      </c>
      <c r="L8" s="16" t="n">
        <v>6.6686</v>
      </c>
      <c r="M8" s="16" t="n">
        <v>4.4925</v>
      </c>
    </row>
    <row r="9">
      <c r="B9" s="15" t="n">
        <v>2024</v>
      </c>
      <c r="C9" s="15" t="n">
        <v>1065</v>
      </c>
      <c r="D9" s="16" t="n">
        <v>62.6471</v>
      </c>
      <c r="E9" s="17" t="n">
        <v>0.5953000000000001</v>
      </c>
      <c r="F9" s="15" t="n">
        <v>566</v>
      </c>
      <c r="G9" s="15" t="n">
        <v>431</v>
      </c>
      <c r="H9" s="15" t="n">
        <v>3552</v>
      </c>
      <c r="I9" s="15" t="n">
        <v>1734</v>
      </c>
      <c r="J9" s="15" t="n">
        <v>20</v>
      </c>
      <c r="K9" s="15" t="n">
        <v>13</v>
      </c>
      <c r="L9" s="16" t="n">
        <v>6.2756</v>
      </c>
      <c r="M9" s="16" t="n">
        <v>4.0232</v>
      </c>
    </row>
    <row r="10">
      <c r="B10" s="15" t="n">
        <v>2025</v>
      </c>
      <c r="C10" s="15" t="n">
        <v>1103</v>
      </c>
      <c r="D10" s="16" t="n">
        <v>64.8824</v>
      </c>
      <c r="E10" s="17" t="n">
        <v>0.5422</v>
      </c>
      <c r="F10" s="15" t="n">
        <v>574</v>
      </c>
      <c r="G10" s="15" t="n">
        <v>505</v>
      </c>
      <c r="H10" s="15" t="n">
        <v>3991</v>
      </c>
      <c r="I10" s="15" t="n">
        <v>2451</v>
      </c>
      <c r="J10" s="15" t="n">
        <v>28</v>
      </c>
      <c r="K10" s="15" t="n">
        <v>19</v>
      </c>
      <c r="L10" s="16" t="n">
        <v>6.953</v>
      </c>
      <c r="M10" s="16" t="n">
        <v>4.8535</v>
      </c>
    </row>
    <row r="11"/>
    <row r="12">
      <c r="A12" s="18" t="inlineStr">
        <is>
          <t>OUT</t>
        </is>
      </c>
      <c r="B12" s="19" t="inlineStr">
        <is>
          <t>29% of targets and 4% of carries left. Share is team-relative - it does NOT follow the player.</t>
        </is>
      </c>
      <c r="H12" s="8" t="inlineStr">
        <is>
          <t>DJ Moore (16t/3r -&gt; BUF), Olamide Zaccheaus (12t/1r -&gt; ATL), Durham Smythe (1t/0r -&gt; BAL)</t>
        </is>
      </c>
    </row>
    <row r="13">
      <c r="A13" s="20" t="inlineStr">
        <is>
          <t>IN</t>
        </is>
      </c>
      <c r="B13" s="21" t="inlineStr">
        <is>
          <t>2 new: Kalif Raymond (WR, from DET - had 5% there), Scotty Miller (WR, from PIT - had 3% there)</t>
        </is>
      </c>
    </row>
    <row r="14">
      <c r="A14" s="7" t="inlineStr">
        <is>
          <t>STAFF</t>
        </is>
      </c>
      <c r="B14" s="22" t="inlineStr">
        <is>
          <t>HC unchanged. OC Press Taylor under Ben Johnson. Continuity maintained; no significant regression expected.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Caleb Williams</t>
        </is>
      </c>
      <c r="C17" s="26" t="n">
        <v>1</v>
      </c>
      <c r="D17" s="26" t="inlineStr">
        <is>
          <t>24</t>
        </is>
      </c>
      <c r="E17" s="27" t="inlineStr">
        <is>
          <t>ACT</t>
        </is>
      </c>
      <c r="F17" s="28" t="n"/>
      <c r="G17" s="28" t="n"/>
      <c r="H17" s="28" t="n">
        <v>0.0038</v>
      </c>
      <c r="I17" s="28" t="n">
        <v>0.1336</v>
      </c>
      <c r="J17" s="29" t="n">
        <v>17</v>
      </c>
      <c r="K17" s="30" t="n">
        <v>0.97</v>
      </c>
      <c r="L17" s="30" t="n">
        <v>0.0035</v>
      </c>
      <c r="M17" s="30" t="n">
        <v>0.1275</v>
      </c>
      <c r="N17" s="30" t="n"/>
      <c r="O17" s="31" t="n">
        <v>1.04</v>
      </c>
      <c r="P17" s="31" t="n">
        <v>1.26</v>
      </c>
      <c r="Q17" s="31" t="n">
        <v>1.38</v>
      </c>
      <c r="R17" s="31" t="n">
        <v>1.23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Tyson Bagent</t>
        </is>
      </c>
      <c r="C18" s="26" t="n">
        <v>2</v>
      </c>
      <c r="D18" s="26" t="inlineStr">
        <is>
          <t>26</t>
        </is>
      </c>
      <c r="E18" s="27" t="inlineStr">
        <is>
          <t>ACT</t>
        </is>
      </c>
      <c r="F18" s="28" t="n"/>
      <c r="G18" s="28" t="n"/>
      <c r="H18" s="28" t="n"/>
      <c r="I18" s="28" t="n">
        <v>0.004</v>
      </c>
      <c r="J18" s="29" t="n">
        <v>17</v>
      </c>
      <c r="K18" s="30" t="n">
        <v>0.0255</v>
      </c>
      <c r="L18" s="30" t="n">
        <v>0.0008</v>
      </c>
      <c r="M18" s="30" t="n">
        <v>0.0163</v>
      </c>
      <c r="N18" s="30" t="n"/>
      <c r="O18" s="31" t="n">
        <v>1</v>
      </c>
      <c r="P18" s="31" t="n">
        <v>0.97</v>
      </c>
      <c r="Q18" s="31" t="n">
        <v>1</v>
      </c>
      <c r="R18" s="31" t="n">
        <v>1.62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Case Keenum</t>
        </is>
      </c>
      <c r="C19" s="26" t="n">
        <v>3</v>
      </c>
      <c r="D19" s="26" t="inlineStr">
        <is>
          <t>38</t>
        </is>
      </c>
      <c r="E19" s="27" t="inlineStr">
        <is>
          <t>ACT</t>
        </is>
      </c>
      <c r="F19" s="28" t="n"/>
      <c r="G19" s="28" t="n"/>
      <c r="H19" s="28" t="n"/>
      <c r="I19" s="28" t="n"/>
      <c r="J19" s="29" t="n">
        <v>17</v>
      </c>
      <c r="K19" s="30" t="n">
        <v>0.0045</v>
      </c>
      <c r="L19" s="30" t="n">
        <v>0.0008</v>
      </c>
      <c r="M19" s="30" t="n">
        <v>0.0059</v>
      </c>
      <c r="N19" s="30" t="n"/>
      <c r="O19" s="31" t="n">
        <v>1</v>
      </c>
      <c r="P19" s="31" t="n">
        <v>0.92</v>
      </c>
      <c r="Q19" s="31" t="n">
        <v>1</v>
      </c>
      <c r="R19" s="31" t="n">
        <v>1.1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D'Andre Swift</t>
        </is>
      </c>
      <c r="C21" s="26" t="n">
        <v>1</v>
      </c>
      <c r="D21" s="26" t="inlineStr">
        <is>
          <t>27</t>
        </is>
      </c>
      <c r="E21" s="27" t="inlineStr">
        <is>
          <t>ACT</t>
        </is>
      </c>
      <c r="F21" s="28" t="n">
        <v>0.09329999999999999</v>
      </c>
      <c r="G21" s="28" t="n">
        <v>0.0987</v>
      </c>
      <c r="H21" s="28" t="n">
        <v>0.0902</v>
      </c>
      <c r="I21" s="28" t="n">
        <v>0.4514</v>
      </c>
      <c r="J21" s="29" t="n">
        <v>17</v>
      </c>
      <c r="K21" s="30" t="n"/>
      <c r="L21" s="30" t="n">
        <v>0.0975</v>
      </c>
      <c r="M21" s="30" t="n">
        <v>0.4326</v>
      </c>
      <c r="N21" s="30" t="n">
        <v>0.7566000000000001</v>
      </c>
      <c r="O21" s="31" t="n">
        <v>0.9</v>
      </c>
      <c r="P21" s="31" t="n">
        <v>0.97</v>
      </c>
      <c r="Q21" s="31" t="n">
        <v>0.88</v>
      </c>
      <c r="R21" s="31" t="n">
        <v>0.91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Kyle Monangai</t>
        </is>
      </c>
      <c r="C22" s="26" t="n">
        <v>2</v>
      </c>
      <c r="D22" s="26" t="inlineStr">
        <is>
          <t>24</t>
        </is>
      </c>
      <c r="E22" s="27" t="inlineStr">
        <is>
          <t>ACT</t>
        </is>
      </c>
      <c r="F22" s="28" t="n"/>
      <c r="G22" s="28" t="n"/>
      <c r="H22" s="28" t="n">
        <v>0.0564</v>
      </c>
      <c r="I22" s="28" t="n">
        <v>0.3421</v>
      </c>
      <c r="J22" s="29" t="n">
        <v>17</v>
      </c>
      <c r="K22" s="30" t="n"/>
      <c r="L22" s="30" t="n">
        <v>0.0555</v>
      </c>
      <c r="M22" s="30" t="n">
        <v>0.2606</v>
      </c>
      <c r="N22" s="30" t="n">
        <v>0.6</v>
      </c>
      <c r="O22" s="31" t="n">
        <v>0.84</v>
      </c>
      <c r="P22" s="31" t="n">
        <v>0.9399999999999999</v>
      </c>
      <c r="Q22" s="31" t="n">
        <v>0.96</v>
      </c>
      <c r="R22" s="31" t="n">
        <v>1.14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Roschon Johnson</t>
        </is>
      </c>
      <c r="C23" s="26" t="n">
        <v>3</v>
      </c>
      <c r="D23" s="26" t="inlineStr">
        <is>
          <t>25</t>
        </is>
      </c>
      <c r="E23" s="27" t="inlineStr">
        <is>
          <t>ACT</t>
        </is>
      </c>
      <c r="F23" s="28" t="n">
        <v>0.0839</v>
      </c>
      <c r="G23" s="28" t="n">
        <v>0.038</v>
      </c>
      <c r="H23" s="28" t="n"/>
      <c r="I23" s="28" t="n">
        <v>0.004</v>
      </c>
      <c r="J23" s="29" t="n">
        <v>17</v>
      </c>
      <c r="K23" s="30" t="n"/>
      <c r="L23" s="30" t="n">
        <v>0.0422</v>
      </c>
      <c r="M23" s="30" t="n">
        <v>0.0684</v>
      </c>
      <c r="N23" s="30" t="n">
        <v>0.8208</v>
      </c>
      <c r="O23" s="31" t="n">
        <v>0.86</v>
      </c>
      <c r="P23" s="31" t="n">
        <v>1.06</v>
      </c>
      <c r="Q23" s="31" t="n">
        <v>1.04</v>
      </c>
      <c r="R23" s="31" t="n">
        <v>1.97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Brittain Brown</t>
        </is>
      </c>
      <c r="C24" s="26" t="n">
        <v>4</v>
      </c>
      <c r="D24" s="26" t="inlineStr">
        <is>
          <t>28</t>
        </is>
      </c>
      <c r="E24" s="27" t="inlineStr">
        <is>
          <t>ACT</t>
        </is>
      </c>
      <c r="F24" s="28" t="n"/>
      <c r="G24" s="28" t="n"/>
      <c r="H24" s="28" t="n">
        <v>0.0019</v>
      </c>
      <c r="I24" s="28" t="n">
        <v>0.0101</v>
      </c>
      <c r="J24" s="29" t="n">
        <v>17</v>
      </c>
      <c r="K24" s="30" t="n"/>
      <c r="L24" s="30" t="n">
        <v>0.0054</v>
      </c>
      <c r="M24" s="30" t="n">
        <v>0.012</v>
      </c>
      <c r="N24" s="30" t="n"/>
      <c r="O24" s="31" t="n">
        <v>1</v>
      </c>
      <c r="P24" s="31" t="n">
        <v>1.1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Salvon Ahmed</t>
        </is>
      </c>
      <c r="C25" s="26" t="n">
        <v>5</v>
      </c>
      <c r="D25" s="26" t="inlineStr">
        <is>
          <t>27</t>
        </is>
      </c>
      <c r="E25" s="27" t="inlineStr">
        <is>
          <t>ACT</t>
        </is>
      </c>
      <c r="F25" s="28" t="n">
        <v>0.0419</v>
      </c>
      <c r="G25" s="28" t="n"/>
      <c r="H25" s="28" t="n"/>
      <c r="I25" s="28" t="n"/>
      <c r="J25" s="29" t="n">
        <v>17</v>
      </c>
      <c r="K25" s="30" t="n"/>
      <c r="L25" s="30" t="n">
        <v>0.0276</v>
      </c>
      <c r="M25" s="30" t="n">
        <v>0.0291</v>
      </c>
      <c r="N25" s="30" t="n">
        <v>0.6957</v>
      </c>
      <c r="O25" s="31" t="n">
        <v>0.7</v>
      </c>
      <c r="P25" s="31" t="n">
        <v>0.75</v>
      </c>
      <c r="Q25" s="31" t="n">
        <v>1.7</v>
      </c>
      <c r="R25" s="31" t="n">
        <v>1.26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Coleman Bennett</t>
        </is>
      </c>
      <c r="C26" s="26" t="n">
        <v>6</v>
      </c>
      <c r="D26" s="26" t="inlineStr"/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0.0036</v>
      </c>
      <c r="M26" s="30" t="n">
        <v>0.004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Rome Odunze</t>
        </is>
      </c>
      <c r="C28" s="26" t="n">
        <v>1</v>
      </c>
      <c r="D28" s="26" t="inlineStr">
        <is>
          <t>24</t>
        </is>
      </c>
      <c r="E28" s="27" t="inlineStr">
        <is>
          <t>ACT</t>
        </is>
      </c>
      <c r="F28" s="28" t="n"/>
      <c r="G28" s="28" t="n">
        <v>0.1917</v>
      </c>
      <c r="H28" s="28" t="n">
        <v>0.1692</v>
      </c>
      <c r="I28" s="28" t="n"/>
      <c r="J28" s="29" t="n">
        <v>17</v>
      </c>
      <c r="K28" s="30" t="n"/>
      <c r="L28" s="30" t="n">
        <v>0.2088</v>
      </c>
      <c r="M28" s="30" t="n">
        <v>0.0116</v>
      </c>
      <c r="N28" s="30" t="n">
        <v>0.5099</v>
      </c>
      <c r="O28" s="31" t="n">
        <v>1.02</v>
      </c>
      <c r="P28" s="31" t="n">
        <v>1.03</v>
      </c>
      <c r="Q28" s="31" t="n">
        <v>1.03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Luther Burden</t>
        </is>
      </c>
      <c r="C29" s="26" t="n">
        <v>2</v>
      </c>
      <c r="D29" s="26" t="inlineStr">
        <is>
          <t>22</t>
        </is>
      </c>
      <c r="E29" s="27" t="inlineStr">
        <is>
          <t>ACT</t>
        </is>
      </c>
      <c r="F29" s="28" t="n"/>
      <c r="G29" s="28" t="n"/>
      <c r="H29" s="28" t="n">
        <v>0.1128</v>
      </c>
      <c r="I29" s="28" t="n">
        <v>0.0121</v>
      </c>
      <c r="J29" s="29" t="n">
        <v>17</v>
      </c>
      <c r="K29" s="30" t="n"/>
      <c r="L29" s="30" t="n">
        <v>0.1361</v>
      </c>
      <c r="M29" s="30" t="n">
        <v>0.009599999999999999</v>
      </c>
      <c r="N29" s="30" t="n">
        <v>0.7833</v>
      </c>
      <c r="O29" s="31" t="n">
        <v>1.34</v>
      </c>
      <c r="P29" s="31" t="n">
        <v>1.05</v>
      </c>
      <c r="Q29" s="31" t="n">
        <v>0.82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Jahdae Walker</t>
        </is>
      </c>
      <c r="C30" s="26" t="n">
        <v>3</v>
      </c>
      <c r="D30" s="26" t="inlineStr">
        <is>
          <t>24</t>
        </is>
      </c>
      <c r="E30" s="27" t="inlineStr">
        <is>
          <t>ACT</t>
        </is>
      </c>
      <c r="F30" s="28" t="n"/>
      <c r="G30" s="28" t="n"/>
      <c r="H30" s="28" t="n">
        <v>0.0188</v>
      </c>
      <c r="I30" s="28" t="n"/>
      <c r="J30" s="29" t="n">
        <v>17</v>
      </c>
      <c r="K30" s="30" t="n"/>
      <c r="L30" s="30" t="n">
        <v>0.0576</v>
      </c>
      <c r="M30" s="30" t="n">
        <v>0.0019</v>
      </c>
      <c r="N30" s="30" t="n">
        <v>0.6</v>
      </c>
      <c r="O30" s="31" t="n">
        <v>1.05</v>
      </c>
      <c r="P30" s="31" t="n">
        <v>1</v>
      </c>
      <c r="Q30" s="31" t="n">
        <v>0.91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Kalif Raymond</t>
        </is>
      </c>
      <c r="C31" s="26" t="n">
        <v>4</v>
      </c>
      <c r="D31" s="26" t="inlineStr">
        <is>
          <t>31</t>
        </is>
      </c>
      <c r="E31" s="36" t="inlineStr">
        <is>
          <t>role avg (from DET)</t>
        </is>
      </c>
      <c r="F31" s="28" t="n">
        <v>0.0767</v>
      </c>
      <c r="G31" s="28" t="n">
        <v>0.0421</v>
      </c>
      <c r="H31" s="28" t="n">
        <v>0.0545</v>
      </c>
      <c r="I31" s="28" t="n">
        <v>0.0046</v>
      </c>
      <c r="J31" s="29" t="n">
        <v>17</v>
      </c>
      <c r="K31" s="30" t="n"/>
      <c r="L31" s="30" t="n">
        <v>0.052</v>
      </c>
      <c r="M31" s="30" t="n">
        <v>0.0027</v>
      </c>
      <c r="N31" s="30" t="n">
        <v>0.7922</v>
      </c>
      <c r="O31" s="31" t="n">
        <v>1.12</v>
      </c>
      <c r="P31" s="31" t="n">
        <v>1.15</v>
      </c>
      <c r="Q31" s="31" t="n">
        <v>0.91</v>
      </c>
      <c r="R31" s="31" t="n">
        <v>1.23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Maurice Alexander</t>
        </is>
      </c>
      <c r="C32" s="26" t="n">
        <v>5</v>
      </c>
      <c r="D32" s="26" t="inlineStr">
        <is>
          <t>29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0.0183</v>
      </c>
      <c r="M32" s="30" t="n">
        <v>0.0019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Zavion Thomas</t>
        </is>
      </c>
      <c r="C33" s="26" t="n">
        <v>6</v>
      </c>
      <c r="D33" s="26" t="inlineStr">
        <is>
          <t>22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0.0092</v>
      </c>
      <c r="M33" s="30" t="n">
        <v>0.0019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JP Richardson</t>
        </is>
      </c>
      <c r="C34" s="26" t="n">
        <v>7</v>
      </c>
      <c r="D34" s="26" t="inlineStr">
        <is>
          <t>24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0.0045</v>
      </c>
      <c r="M34" s="30" t="n">
        <v>0.002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Qadir Ismail</t>
        </is>
      </c>
      <c r="C35" s="26" t="n">
        <v>8</v>
      </c>
      <c r="D35" s="26" t="inlineStr">
        <is>
          <t>26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0.0052</v>
      </c>
      <c r="M35" s="30" t="n">
        <v>0.0019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Colston Loveland</t>
        </is>
      </c>
      <c r="C37" s="26" t="n">
        <v>1</v>
      </c>
      <c r="D37" s="26" t="inlineStr">
        <is>
          <t>22</t>
        </is>
      </c>
      <c r="E37" s="27" t="inlineStr">
        <is>
          <t>ACT</t>
        </is>
      </c>
      <c r="F37" s="28" t="n"/>
      <c r="G37" s="28" t="n"/>
      <c r="H37" s="28" t="n">
        <v>0.1541</v>
      </c>
      <c r="I37" s="28" t="n">
        <v>0.002</v>
      </c>
      <c r="J37" s="29" t="n">
        <v>17</v>
      </c>
      <c r="K37" s="30" t="n"/>
      <c r="L37" s="30" t="n">
        <v>0.158</v>
      </c>
      <c r="M37" s="30" t="n">
        <v>0.0022</v>
      </c>
      <c r="N37" s="30" t="n">
        <v>0.7073</v>
      </c>
      <c r="O37" s="31" t="n">
        <v>1.13</v>
      </c>
      <c r="P37" s="31" t="n">
        <v>1</v>
      </c>
      <c r="Q37" s="31" t="n">
        <v>1.24</v>
      </c>
      <c r="R37" s="31" t="n">
        <v>1.35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Cole Kmet</t>
        </is>
      </c>
      <c r="C38" s="26" t="n">
        <v>2</v>
      </c>
      <c r="D38" s="26" t="inlineStr">
        <is>
          <t>27</t>
        </is>
      </c>
      <c r="E38" s="27" t="inlineStr">
        <is>
          <t>ACT</t>
        </is>
      </c>
      <c r="F38" s="28" t="n">
        <v>0.1887</v>
      </c>
      <c r="G38" s="28" t="n">
        <v>0.1044</v>
      </c>
      <c r="H38" s="28" t="n">
        <v>0.0902</v>
      </c>
      <c r="I38" s="28" t="n"/>
      <c r="J38" s="29" t="n">
        <v>17</v>
      </c>
      <c r="K38" s="30" t="n"/>
      <c r="L38" s="30" t="n">
        <v>0.0921</v>
      </c>
      <c r="M38" s="30" t="n">
        <v>0.0039</v>
      </c>
      <c r="N38" s="30" t="n">
        <v>0.7343</v>
      </c>
      <c r="O38" s="31" t="n">
        <v>1.07</v>
      </c>
      <c r="P38" s="31" t="n">
        <v>0.89</v>
      </c>
      <c r="Q38" s="31" t="n">
        <v>1.27</v>
      </c>
      <c r="R38" s="31" t="n">
        <v>1.22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Stephen Carlson</t>
        </is>
      </c>
      <c r="C39" s="26" t="n">
        <v>3</v>
      </c>
      <c r="D39" s="26" t="inlineStr">
        <is>
          <t>29</t>
        </is>
      </c>
      <c r="E39" s="36" t="inlineStr">
        <is>
          <t>role avg (rookie)</t>
        </is>
      </c>
      <c r="F39" s="28" t="n"/>
      <c r="G39" s="28" t="n"/>
      <c r="H39" s="28" t="n"/>
      <c r="I39" s="28" t="n"/>
      <c r="J39" s="29" t="n">
        <v>17</v>
      </c>
      <c r="K39" s="30" t="n"/>
      <c r="L39" s="30" t="n">
        <v>0.014</v>
      </c>
      <c r="M39" s="30" t="n">
        <v>0.002</v>
      </c>
      <c r="N39" s="30" t="n">
        <v>0.65</v>
      </c>
      <c r="O39" s="31" t="n">
        <v>1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Sam Roush</t>
        </is>
      </c>
      <c r="C40" s="26" t="n">
        <v>4</v>
      </c>
      <c r="D40" s="26" t="inlineStr">
        <is>
          <t>22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0.0072</v>
      </c>
      <c r="M40" s="30" t="n">
        <v>0.002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CIN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62.3</v>
      </c>
      <c r="D5" s="12">
        <f>C5*B5</f>
        <v/>
      </c>
      <c r="E5" s="13" t="n">
        <v>0.6189</v>
      </c>
      <c r="F5" s="10" t="n">
        <v>613</v>
      </c>
      <c r="G5" s="12">
        <f>ROUND(F5*Settings!$B$4,0)</f>
        <v/>
      </c>
      <c r="H5" s="10" t="n">
        <v>403</v>
      </c>
      <c r="I5" s="10" t="n">
        <v>4287</v>
      </c>
      <c r="J5" s="11" t="n">
        <v>33</v>
      </c>
      <c r="K5" s="11" t="n">
        <v>14</v>
      </c>
      <c r="L5" s="10" t="n">
        <v>1691</v>
      </c>
      <c r="M5" s="11" t="n">
        <v>13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1048</v>
      </c>
      <c r="D8" s="16" t="n">
        <v>61.6471</v>
      </c>
      <c r="E8" s="17" t="n">
        <v>0.6345</v>
      </c>
      <c r="F8" s="15" t="n">
        <v>615</v>
      </c>
      <c r="G8" s="15" t="n">
        <v>383</v>
      </c>
      <c r="H8" s="15" t="n">
        <v>4257</v>
      </c>
      <c r="I8" s="15" t="n">
        <v>1527</v>
      </c>
      <c r="J8" s="15" t="n">
        <v>27</v>
      </c>
      <c r="K8" s="15" t="n">
        <v>12</v>
      </c>
      <c r="L8" s="16" t="n">
        <v>6.922</v>
      </c>
      <c r="M8" s="16" t="n">
        <v>3.9869</v>
      </c>
    </row>
    <row r="9">
      <c r="B9" s="15" t="n">
        <v>2024</v>
      </c>
      <c r="C9" s="15" t="n">
        <v>1080</v>
      </c>
      <c r="D9" s="16" t="n">
        <v>63.5294</v>
      </c>
      <c r="E9" s="17" t="n">
        <v>0.6481</v>
      </c>
      <c r="F9" s="15" t="n">
        <v>652</v>
      </c>
      <c r="G9" s="15" t="n">
        <v>380</v>
      </c>
      <c r="H9" s="15" t="n">
        <v>4918</v>
      </c>
      <c r="I9" s="15" t="n">
        <v>1574</v>
      </c>
      <c r="J9" s="15" t="n">
        <v>43</v>
      </c>
      <c r="K9" s="15" t="n">
        <v>11</v>
      </c>
      <c r="L9" s="16" t="n">
        <v>7.5429</v>
      </c>
      <c r="M9" s="16" t="n">
        <v>4.1421</v>
      </c>
    </row>
    <row r="10">
      <c r="B10" s="15" t="n">
        <v>2025</v>
      </c>
      <c r="C10" s="15" t="n">
        <v>1057</v>
      </c>
      <c r="D10" s="16" t="n">
        <v>62.1765</v>
      </c>
      <c r="E10" s="17" t="n">
        <v>0.6395</v>
      </c>
      <c r="F10" s="15" t="n">
        <v>640</v>
      </c>
      <c r="G10" s="15" t="n">
        <v>381</v>
      </c>
      <c r="H10" s="15" t="n">
        <v>4244</v>
      </c>
      <c r="I10" s="15" t="n">
        <v>1591</v>
      </c>
      <c r="J10" s="15" t="n">
        <v>36</v>
      </c>
      <c r="K10" s="15" t="n">
        <v>11</v>
      </c>
      <c r="L10" s="16" t="n">
        <v>6.6312</v>
      </c>
      <c r="M10" s="16" t="n">
        <v>4.1759</v>
      </c>
    </row>
    <row r="11"/>
    <row r="12">
      <c r="A12" s="18" t="inlineStr">
        <is>
          <t>OUT</t>
        </is>
      </c>
      <c r="B12" s="19" t="inlineStr">
        <is>
          <t>7% of targets and 2% of carries left. Share is team-relative - it does NOT follow the player.</t>
        </is>
      </c>
      <c r="H12" s="8" t="inlineStr">
        <is>
          <t>Noah Fant (7t/0r -&gt; NO), Jake Browning (0t/2r -&gt; TB)</t>
        </is>
      </c>
    </row>
    <row r="13">
      <c r="A13" s="20" t="inlineStr">
        <is>
          <t>IN</t>
        </is>
      </c>
      <c r="B13" s="21" t="inlineStr">
        <is>
          <t>2 new: Josh Johnson (QB, from WAS), Joe Flacco (QB, from CLE)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Joe Burrow</t>
        </is>
      </c>
      <c r="C17" s="26" t="n">
        <v>1</v>
      </c>
      <c r="D17" s="26" t="inlineStr">
        <is>
          <t>29</t>
        </is>
      </c>
      <c r="E17" s="27" t="inlineStr">
        <is>
          <t>ACT</t>
        </is>
      </c>
      <c r="F17" s="28" t="n"/>
      <c r="G17" s="28" t="n"/>
      <c r="H17" s="28" t="n"/>
      <c r="I17" s="28" t="n">
        <v>0.035</v>
      </c>
      <c r="J17" s="29" t="n">
        <v>17</v>
      </c>
      <c r="K17" s="30" t="n">
        <v>0.92</v>
      </c>
      <c r="L17" s="30" t="n">
        <v>0.0007</v>
      </c>
      <c r="M17" s="30" t="n">
        <v>0.0696</v>
      </c>
      <c r="N17" s="30" t="n"/>
      <c r="O17" s="31" t="n">
        <v>1</v>
      </c>
      <c r="P17" s="31" t="n">
        <v>1.08</v>
      </c>
      <c r="Q17" s="31" t="n">
        <v>1</v>
      </c>
      <c r="R17" s="31" t="n">
        <v>0.95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Joe Flacco</t>
        </is>
      </c>
      <c r="C18" s="26" t="n">
        <v>2</v>
      </c>
      <c r="D18" s="26" t="inlineStr">
        <is>
          <t>41</t>
        </is>
      </c>
      <c r="E18" s="36" t="inlineStr">
        <is>
          <t>role avg (from CLE)</t>
        </is>
      </c>
      <c r="F18" s="28" t="n"/>
      <c r="G18" s="28" t="n"/>
      <c r="H18" s="28" t="n"/>
      <c r="I18" s="28" t="n">
        <v>0.012</v>
      </c>
      <c r="J18" s="29" t="n">
        <v>17</v>
      </c>
      <c r="K18" s="30" t="n">
        <v>0.068</v>
      </c>
      <c r="L18" s="30" t="n">
        <v>0.0019</v>
      </c>
      <c r="M18" s="30" t="n">
        <v>0.0284</v>
      </c>
      <c r="N18" s="30" t="n"/>
      <c r="O18" s="31" t="n">
        <v>1</v>
      </c>
      <c r="P18" s="31" t="n">
        <v>0.93</v>
      </c>
      <c r="Q18" s="31" t="n">
        <v>1</v>
      </c>
      <c r="R18" s="31" t="n">
        <v>1.05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Josh Johnson</t>
        </is>
      </c>
      <c r="C19" s="26" t="n">
        <v>3</v>
      </c>
      <c r="D19" s="26" t="inlineStr">
        <is>
          <t>40</t>
        </is>
      </c>
      <c r="E19" s="36" t="inlineStr">
        <is>
          <t>role avg (from WAS)</t>
        </is>
      </c>
      <c r="F19" s="28" t="n"/>
      <c r="G19" s="28" t="n"/>
      <c r="H19" s="28" t="n"/>
      <c r="I19" s="28" t="n">
        <v>0.0233</v>
      </c>
      <c r="J19" s="29" t="n">
        <v>17</v>
      </c>
      <c r="K19" s="30" t="n">
        <v>0.012</v>
      </c>
      <c r="L19" s="30" t="n">
        <v>0.0019</v>
      </c>
      <c r="M19" s="30" t="n">
        <v>0.0105</v>
      </c>
      <c r="N19" s="30" t="n"/>
      <c r="O19" s="31" t="n">
        <v>1</v>
      </c>
      <c r="P19" s="31" t="n">
        <v>0.9</v>
      </c>
      <c r="Q19" s="31" t="n">
        <v>1</v>
      </c>
      <c r="R19" s="31" t="n">
        <v>1.13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Chase Brown</t>
        </is>
      </c>
      <c r="C21" s="26" t="n">
        <v>1</v>
      </c>
      <c r="D21" s="26" t="inlineStr">
        <is>
          <t>26</t>
        </is>
      </c>
      <c r="E21" s="27" t="inlineStr">
        <is>
          <t>ACT</t>
        </is>
      </c>
      <c r="F21" s="28" t="n">
        <v>0.0253</v>
      </c>
      <c r="G21" s="28" t="n">
        <v>0.1035</v>
      </c>
      <c r="H21" s="28" t="n">
        <v>0.1447</v>
      </c>
      <c r="I21" s="28" t="n">
        <v>0.6253</v>
      </c>
      <c r="J21" s="29" t="n">
        <v>17</v>
      </c>
      <c r="K21" s="30" t="n"/>
      <c r="L21" s="30" t="n">
        <v>0.1129</v>
      </c>
      <c r="M21" s="30" t="n">
        <v>0.5864</v>
      </c>
      <c r="N21" s="30" t="n">
        <v>0.8212</v>
      </c>
      <c r="O21" s="31" t="n">
        <v>0.86</v>
      </c>
      <c r="P21" s="31" t="n">
        <v>1.01</v>
      </c>
      <c r="Q21" s="31" t="n">
        <v>1</v>
      </c>
      <c r="R21" s="31" t="n">
        <v>0.93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Samaje Perine</t>
        </is>
      </c>
      <c r="C22" s="26" t="n">
        <v>2</v>
      </c>
      <c r="D22" s="26" t="inlineStr">
        <is>
          <t>30</t>
        </is>
      </c>
      <c r="E22" s="27" t="inlineStr">
        <is>
          <t>ACT</t>
        </is>
      </c>
      <c r="F22" s="28" t="n">
        <v>0.1174</v>
      </c>
      <c r="G22" s="28" t="n">
        <v>0.0612</v>
      </c>
      <c r="H22" s="28" t="n">
        <v>0.0345</v>
      </c>
      <c r="I22" s="28" t="n">
        <v>0.2264</v>
      </c>
      <c r="J22" s="29" t="n">
        <v>17</v>
      </c>
      <c r="K22" s="30" t="n"/>
      <c r="L22" s="30" t="n">
        <v>0.0527</v>
      </c>
      <c r="M22" s="30" t="n">
        <v>0.1763</v>
      </c>
      <c r="N22" s="30" t="n">
        <v>0.8242</v>
      </c>
      <c r="O22" s="31" t="n">
        <v>0.95</v>
      </c>
      <c r="P22" s="31" t="n">
        <v>1.06</v>
      </c>
      <c r="Q22" s="31" t="n">
        <v>0.9</v>
      </c>
      <c r="R22" s="31" t="n">
        <v>0.99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Tahj Brooks</t>
        </is>
      </c>
      <c r="C23" s="26" t="n">
        <v>3</v>
      </c>
      <c r="D23" s="26" t="inlineStr">
        <is>
          <t>24</t>
        </is>
      </c>
      <c r="E23" s="27" t="inlineStr">
        <is>
          <t>ACT</t>
        </is>
      </c>
      <c r="F23" s="28" t="n"/>
      <c r="G23" s="28" t="n"/>
      <c r="H23" s="28" t="n">
        <v>0.0033</v>
      </c>
      <c r="I23" s="28" t="n">
        <v>0.0431</v>
      </c>
      <c r="J23" s="29" t="n">
        <v>17</v>
      </c>
      <c r="K23" s="30" t="n"/>
      <c r="L23" s="30" t="n">
        <v>0.007900000000000001</v>
      </c>
      <c r="M23" s="30" t="n">
        <v>0.0532</v>
      </c>
      <c r="N23" s="30" t="n">
        <v>0.5</v>
      </c>
      <c r="O23" s="31" t="n">
        <v>0.97</v>
      </c>
      <c r="P23" s="31" t="n">
        <v>0.85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Jamal Haynes</t>
        </is>
      </c>
      <c r="C24" s="26" t="n">
        <v>4</v>
      </c>
      <c r="D24" s="26" t="inlineStr">
        <is>
          <t>23</t>
        </is>
      </c>
      <c r="E24" s="36" t="inlineStr">
        <is>
          <t>role avg (rookie)</t>
        </is>
      </c>
      <c r="F24" s="28" t="n"/>
      <c r="G24" s="28" t="n"/>
      <c r="H24" s="28" t="n"/>
      <c r="I24" s="28" t="n"/>
      <c r="J24" s="29" t="n">
        <v>17</v>
      </c>
      <c r="K24" s="30" t="n"/>
      <c r="L24" s="30" t="n">
        <v>0.0048</v>
      </c>
      <c r="M24" s="30" t="n">
        <v>0.0146</v>
      </c>
      <c r="N24" s="30" t="n">
        <v>0.75</v>
      </c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Kendall Milton</t>
        </is>
      </c>
      <c r="C25" s="26" t="n">
        <v>5</v>
      </c>
      <c r="D25" s="26" t="inlineStr">
        <is>
          <t>24</t>
        </is>
      </c>
      <c r="E25" s="27" t="inlineStr">
        <is>
          <t>ACT</t>
        </is>
      </c>
      <c r="F25" s="28" t="n"/>
      <c r="G25" s="28" t="n"/>
      <c r="H25" s="28" t="n"/>
      <c r="I25" s="28" t="n">
        <v>0.0054</v>
      </c>
      <c r="J25" s="29" t="n">
        <v>17</v>
      </c>
      <c r="K25" s="30" t="n"/>
      <c r="L25" s="30" t="n">
        <v>0.0019</v>
      </c>
      <c r="M25" s="30" t="n">
        <v>0.0097</v>
      </c>
      <c r="N25" s="30" t="n"/>
      <c r="O25" s="31" t="n">
        <v>1</v>
      </c>
      <c r="P25" s="31" t="n">
        <v>0.93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Gary Brightwell</t>
        </is>
      </c>
      <c r="C26" s="26" t="n">
        <v>6</v>
      </c>
      <c r="D26" s="26" t="inlineStr">
        <is>
          <t>28</t>
        </is>
      </c>
      <c r="E26" s="27" t="inlineStr">
        <is>
          <t>ACT</t>
        </is>
      </c>
      <c r="F26" s="28" t="n">
        <v>0.0144</v>
      </c>
      <c r="G26" s="28" t="n"/>
      <c r="H26" s="28" t="n"/>
      <c r="I26" s="28" t="n"/>
      <c r="J26" s="29" t="n">
        <v>17</v>
      </c>
      <c r="K26" s="30" t="n"/>
      <c r="L26" s="30" t="n">
        <v>0.0102</v>
      </c>
      <c r="M26" s="30" t="n">
        <v>0.0146</v>
      </c>
      <c r="N26" s="30" t="n">
        <v>0.7143</v>
      </c>
      <c r="O26" s="31" t="n">
        <v>0.99</v>
      </c>
      <c r="P26" s="31" t="n">
        <v>0.85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Ja'Marr Chase</t>
        </is>
      </c>
      <c r="C28" s="26" t="n">
        <v>1</v>
      </c>
      <c r="D28" s="26" t="inlineStr">
        <is>
          <t>26</t>
        </is>
      </c>
      <c r="E28" s="27" t="inlineStr">
        <is>
          <t>ACT</t>
        </is>
      </c>
      <c r="F28" s="28" t="n">
        <v>0.2449</v>
      </c>
      <c r="G28" s="28" t="n">
        <v>0.2787</v>
      </c>
      <c r="H28" s="28" t="n">
        <v>0.3043</v>
      </c>
      <c r="I28" s="28" t="n">
        <v>0.0081</v>
      </c>
      <c r="J28" s="29" t="n">
        <v>17</v>
      </c>
      <c r="K28" s="30" t="n"/>
      <c r="L28" s="30" t="n">
        <v>0.2742</v>
      </c>
      <c r="M28" s="30" t="n">
        <v>0.0105</v>
      </c>
      <c r="N28" s="30" t="n">
        <v>0.6941000000000001</v>
      </c>
      <c r="O28" s="31" t="n">
        <v>1.14</v>
      </c>
      <c r="P28" s="31" t="n">
        <v>1.03</v>
      </c>
      <c r="Q28" s="31" t="n">
        <v>1.03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Tee Higgins</t>
        </is>
      </c>
      <c r="C29" s="26" t="n">
        <v>2</v>
      </c>
      <c r="D29" s="26" t="inlineStr">
        <is>
          <t>27</t>
        </is>
      </c>
      <c r="E29" s="27" t="inlineStr">
        <is>
          <t>ACT</t>
        </is>
      </c>
      <c r="F29" s="28" t="n">
        <v>0.1284</v>
      </c>
      <c r="G29" s="28" t="n">
        <v>0.1736</v>
      </c>
      <c r="H29" s="28" t="n">
        <v>0.1612</v>
      </c>
      <c r="I29" s="28" t="n"/>
      <c r="J29" s="29" t="n">
        <v>17</v>
      </c>
      <c r="K29" s="30" t="n"/>
      <c r="L29" s="30" t="n">
        <v>0.1592</v>
      </c>
      <c r="M29" s="30" t="n">
        <v>0.0028</v>
      </c>
      <c r="N29" s="30" t="n">
        <v>0.6113</v>
      </c>
      <c r="O29" s="31" t="n">
        <v>1.15</v>
      </c>
      <c r="P29" s="31" t="n">
        <v>1</v>
      </c>
      <c r="Q29" s="31" t="n">
        <v>1.09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Andrei Iosivas</t>
        </is>
      </c>
      <c r="C30" s="26" t="n">
        <v>3</v>
      </c>
      <c r="D30" s="26" t="inlineStr">
        <is>
          <t>26</t>
        </is>
      </c>
      <c r="E30" s="27" t="inlineStr">
        <is>
          <t>ACT</t>
        </is>
      </c>
      <c r="F30" s="28" t="n">
        <v>0.0422</v>
      </c>
      <c r="G30" s="28" t="n">
        <v>0.09710000000000001</v>
      </c>
      <c r="H30" s="28" t="n">
        <v>0.0954</v>
      </c>
      <c r="I30" s="28" t="n">
        <v>0.0081</v>
      </c>
      <c r="J30" s="29" t="n">
        <v>17</v>
      </c>
      <c r="K30" s="30" t="n"/>
      <c r="L30" s="30" t="n">
        <v>0.0927</v>
      </c>
      <c r="M30" s="30" t="n">
        <v>0.0055</v>
      </c>
      <c r="N30" s="30" t="n">
        <v>0.5813</v>
      </c>
      <c r="O30" s="31" t="n">
        <v>0.98</v>
      </c>
      <c r="P30" s="31" t="n">
        <v>1.01</v>
      </c>
      <c r="Q30" s="31" t="n">
        <v>0.97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Mitch Tinsley</t>
        </is>
      </c>
      <c r="C31" s="26" t="n">
        <v>4</v>
      </c>
      <c r="D31" s="26" t="inlineStr">
        <is>
          <t>26</t>
        </is>
      </c>
      <c r="E31" s="27" t="inlineStr">
        <is>
          <t>ACT</t>
        </is>
      </c>
      <c r="F31" s="28" t="n"/>
      <c r="G31" s="28" t="n"/>
      <c r="H31" s="28" t="n">
        <v>0.0395</v>
      </c>
      <c r="I31" s="28" t="n"/>
      <c r="J31" s="29" t="n">
        <v>17</v>
      </c>
      <c r="K31" s="30" t="n"/>
      <c r="L31" s="30" t="n">
        <v>0.0417</v>
      </c>
      <c r="M31" s="30" t="n">
        <v>0.0009</v>
      </c>
      <c r="N31" s="30" t="n">
        <v>0.3333</v>
      </c>
      <c r="O31" s="31" t="n">
        <v>0.83</v>
      </c>
      <c r="P31" s="31" t="n">
        <v>1</v>
      </c>
      <c r="Q31" s="31" t="n">
        <v>1.23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Colbie Young</t>
        </is>
      </c>
      <c r="C32" s="26" t="n">
        <v>5</v>
      </c>
      <c r="D32" s="26" t="inlineStr">
        <is>
          <t>24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0.022</v>
      </c>
      <c r="M32" s="30" t="n">
        <v>0.0024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Noah Thomas</t>
        </is>
      </c>
      <c r="C33" s="26" t="n">
        <v>6</v>
      </c>
      <c r="D33" s="26" t="inlineStr">
        <is>
          <t>22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0.0094</v>
      </c>
      <c r="M33" s="30" t="n">
        <v>0.0022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Kendric Pryor</t>
        </is>
      </c>
      <c r="C34" s="26" t="n">
        <v>7</v>
      </c>
      <c r="D34" s="26" t="inlineStr">
        <is>
          <t>28</t>
        </is>
      </c>
      <c r="E34" s="27" t="inlineStr">
        <is>
          <t>ACT</t>
        </is>
      </c>
      <c r="F34" s="28" t="n"/>
      <c r="G34" s="28" t="n">
        <v>0.0016</v>
      </c>
      <c r="H34" s="28" t="n"/>
      <c r="I34" s="28" t="n"/>
      <c r="J34" s="29" t="n">
        <v>17</v>
      </c>
      <c r="K34" s="30" t="n"/>
      <c r="L34" s="30" t="n">
        <v>0.0026</v>
      </c>
      <c r="M34" s="30" t="n">
        <v>0.0009</v>
      </c>
      <c r="N34" s="30" t="n">
        <v>1</v>
      </c>
      <c r="O34" s="31" t="n">
        <v>1.01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Charlie Jones</t>
        </is>
      </c>
      <c r="C35" s="26" t="n">
        <v>8</v>
      </c>
      <c r="D35" s="26" t="inlineStr">
        <is>
          <t>27</t>
        </is>
      </c>
      <c r="E35" s="27" t="inlineStr">
        <is>
          <t>ACT</t>
        </is>
      </c>
      <c r="F35" s="28" t="n">
        <v>0.0152</v>
      </c>
      <c r="G35" s="28" t="n">
        <v>0.0016</v>
      </c>
      <c r="H35" s="28" t="n">
        <v>0.0016</v>
      </c>
      <c r="I35" s="28" t="n"/>
      <c r="J35" s="29" t="n">
        <v>17</v>
      </c>
      <c r="K35" s="30" t="n"/>
      <c r="L35" s="30" t="n">
        <v>0.0039</v>
      </c>
      <c r="M35" s="30" t="n">
        <v>0.0043</v>
      </c>
      <c r="N35" s="30" t="n">
        <v>0.8937</v>
      </c>
      <c r="O35" s="31" t="n">
        <v>0.98</v>
      </c>
      <c r="P35" s="31" t="n">
        <v>1.05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Mike Gesicki</t>
        </is>
      </c>
      <c r="C37" s="26" t="n">
        <v>1</v>
      </c>
      <c r="D37" s="26" t="inlineStr">
        <is>
          <t>30</t>
        </is>
      </c>
      <c r="E37" s="27" t="inlineStr">
        <is>
          <t>ACT</t>
        </is>
      </c>
      <c r="F37" s="28" t="n">
        <v>0.0832</v>
      </c>
      <c r="G37" s="28" t="n">
        <v>0.1322</v>
      </c>
      <c r="H37" s="28" t="n">
        <v>0.06909999999999999</v>
      </c>
      <c r="I37" s="28" t="n"/>
      <c r="J37" s="29" t="n">
        <v>17</v>
      </c>
      <c r="K37" s="30" t="n"/>
      <c r="L37" s="30" t="n">
        <v>0.1062</v>
      </c>
      <c r="M37" s="30" t="n">
        <v>0.0012</v>
      </c>
      <c r="N37" s="30" t="n">
        <v>0.7012</v>
      </c>
      <c r="O37" s="31" t="n">
        <v>1</v>
      </c>
      <c r="P37" s="31" t="n">
        <v>1</v>
      </c>
      <c r="Q37" s="31" t="n">
        <v>1.01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Erick All</t>
        </is>
      </c>
      <c r="C38" s="26" t="n">
        <v>2</v>
      </c>
      <c r="D38" s="26" t="inlineStr">
        <is>
          <t>25</t>
        </is>
      </c>
      <c r="E38" s="27" t="inlineStr">
        <is>
          <t>ACT</t>
        </is>
      </c>
      <c r="F38" s="28" t="n"/>
      <c r="G38" s="28" t="n">
        <v>0.035</v>
      </c>
      <c r="H38" s="28" t="n"/>
      <c r="I38" s="28" t="n"/>
      <c r="J38" s="29" t="n">
        <v>17</v>
      </c>
      <c r="K38" s="30" t="n"/>
      <c r="L38" s="30" t="n">
        <v>0.041</v>
      </c>
      <c r="M38" s="30" t="n">
        <v>0.001</v>
      </c>
      <c r="N38" s="30" t="n">
        <v>0.9091</v>
      </c>
      <c r="O38" s="31" t="n">
        <v>0.96</v>
      </c>
      <c r="P38" s="31" t="n">
        <v>1</v>
      </c>
      <c r="Q38" s="31" t="n">
        <v>0.91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Drew Sample</t>
        </is>
      </c>
      <c r="C39" s="26" t="n">
        <v>3</v>
      </c>
      <c r="D39" s="26" t="inlineStr">
        <is>
          <t>30</t>
        </is>
      </c>
      <c r="E39" s="27" t="inlineStr">
        <is>
          <t>ACT</t>
        </is>
      </c>
      <c r="F39" s="28" t="n">
        <v>0.0456</v>
      </c>
      <c r="G39" s="28" t="n">
        <v>0.035</v>
      </c>
      <c r="H39" s="28" t="n">
        <v>0.0329</v>
      </c>
      <c r="I39" s="28" t="n">
        <v>0.0027</v>
      </c>
      <c r="J39" s="29" t="n">
        <v>17</v>
      </c>
      <c r="K39" s="30" t="n"/>
      <c r="L39" s="30" t="n">
        <v>0.0336</v>
      </c>
      <c r="M39" s="30" t="n">
        <v>0.0025</v>
      </c>
      <c r="N39" s="30" t="n">
        <v>0.8107</v>
      </c>
      <c r="O39" s="31" t="n">
        <v>0.86</v>
      </c>
      <c r="P39" s="31" t="n">
        <v>0.96</v>
      </c>
      <c r="Q39" s="31" t="n">
        <v>0.93</v>
      </c>
      <c r="R39" s="31" t="n">
        <v>1.55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Jack Endries</t>
        </is>
      </c>
      <c r="C40" s="26" t="n">
        <v>4</v>
      </c>
      <c r="D40" s="26" t="inlineStr">
        <is>
          <t>22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0.0184</v>
      </c>
      <c r="M40" s="30" t="n">
        <v>0.0024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CLE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63.2</v>
      </c>
      <c r="D5" s="12">
        <f>C5*B5</f>
        <v/>
      </c>
      <c r="E5" s="13" t="n">
        <v>0.5923</v>
      </c>
      <c r="F5" s="10" t="n">
        <v>586</v>
      </c>
      <c r="G5" s="12">
        <f>ROUND(F5*Settings!$B$4,0)</f>
        <v/>
      </c>
      <c r="H5" s="10" t="n">
        <v>438</v>
      </c>
      <c r="I5" s="10" t="n">
        <v>3649</v>
      </c>
      <c r="J5" s="11" t="n">
        <v>21</v>
      </c>
      <c r="K5" s="11" t="n">
        <v>17</v>
      </c>
      <c r="L5" s="10" t="n">
        <v>1790</v>
      </c>
      <c r="M5" s="11" t="n">
        <v>12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1187</v>
      </c>
      <c r="D8" s="16" t="n">
        <v>69.8235</v>
      </c>
      <c r="E8" s="17" t="n">
        <v>0.5636</v>
      </c>
      <c r="F8" s="15" t="n">
        <v>624</v>
      </c>
      <c r="G8" s="15" t="n">
        <v>518</v>
      </c>
      <c r="H8" s="15" t="n">
        <v>4011</v>
      </c>
      <c r="I8" s="15" t="n">
        <v>2017</v>
      </c>
      <c r="J8" s="15" t="n">
        <v>24</v>
      </c>
      <c r="K8" s="15" t="n">
        <v>15</v>
      </c>
      <c r="L8" s="16" t="n">
        <v>6.4279</v>
      </c>
      <c r="M8" s="16" t="n">
        <v>3.8938</v>
      </c>
    </row>
    <row r="9">
      <c r="B9" s="15" t="n">
        <v>2024</v>
      </c>
      <c r="C9" s="15" t="n">
        <v>1118</v>
      </c>
      <c r="D9" s="16" t="n">
        <v>65.7647</v>
      </c>
      <c r="E9" s="17" t="n">
        <v>0.6503</v>
      </c>
      <c r="F9" s="15" t="n">
        <v>661</v>
      </c>
      <c r="G9" s="15" t="n">
        <v>391</v>
      </c>
      <c r="H9" s="15" t="n">
        <v>3879</v>
      </c>
      <c r="I9" s="15" t="n">
        <v>1608</v>
      </c>
      <c r="J9" s="15" t="n">
        <v>19</v>
      </c>
      <c r="K9" s="15" t="n">
        <v>8</v>
      </c>
      <c r="L9" s="16" t="n">
        <v>5.8684</v>
      </c>
      <c r="M9" s="16" t="n">
        <v>4.1125</v>
      </c>
    </row>
    <row r="10">
      <c r="B10" s="15" t="n">
        <v>2025</v>
      </c>
      <c r="C10" s="15" t="n">
        <v>1030</v>
      </c>
      <c r="D10" s="16" t="n">
        <v>60.5882</v>
      </c>
      <c r="E10" s="17" t="n">
        <v>0.5913</v>
      </c>
      <c r="F10" s="15" t="n">
        <v>558</v>
      </c>
      <c r="G10" s="15" t="n">
        <v>421</v>
      </c>
      <c r="H10" s="15" t="n">
        <v>3152</v>
      </c>
      <c r="I10" s="15" t="n">
        <v>1649</v>
      </c>
      <c r="J10" s="15" t="n">
        <v>16</v>
      </c>
      <c r="K10" s="15" t="n">
        <v>10</v>
      </c>
      <c r="L10" s="16" t="n">
        <v>5.6487</v>
      </c>
      <c r="M10" s="16" t="n">
        <v>3.9169</v>
      </c>
    </row>
    <row r="11"/>
    <row r="12">
      <c r="A12" s="18" t="inlineStr">
        <is>
          <t>OUT</t>
        </is>
      </c>
      <c r="B12" s="19" t="inlineStr">
        <is>
          <t>15% of targets and 7% of carries left. Share is team-relative - it does NOT follow the player.</t>
        </is>
      </c>
      <c r="H12" s="8" t="inlineStr">
        <is>
          <t>David Njoku (9t/0r -&gt; LAC), Jerome Ford (6t/6r -&gt; WAS), Joe Flacco (0t/1r -&gt; CIN)</t>
        </is>
      </c>
    </row>
    <row r="13">
      <c r="A13" s="20" t="inlineStr">
        <is>
          <t>IN</t>
        </is>
      </c>
      <c r="B13" s="21" t="inlineStr">
        <is>
          <t>3 new: Tylan Wallace (WR, from BAL - had 2% there), Jack Stoll (TE, from NO - had 2% there), Brenden Bates (TE, from HOU - had 0% there)</t>
        </is>
      </c>
    </row>
    <row r="14">
      <c r="A14" s="7" t="inlineStr">
        <is>
          <t>STAFF</t>
        </is>
      </c>
      <c r="B14" s="22" t="inlineStr">
        <is>
          <t>NEW HC Todd Monken + OC Travis Switzer. Shift toward MORE RUN given QB uncertainty - lower pass rate.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Deshaun Watson</t>
        </is>
      </c>
      <c r="C17" s="26" t="n">
        <v>1</v>
      </c>
      <c r="D17" s="26" t="inlineStr">
        <is>
          <t>30</t>
        </is>
      </c>
      <c r="E17" s="27" t="inlineStr">
        <is>
          <t>ACT</t>
        </is>
      </c>
      <c r="F17" s="28" t="n"/>
      <c r="G17" s="28" t="n"/>
      <c r="H17" s="28" t="n"/>
      <c r="I17" s="28" t="n"/>
      <c r="J17" s="29" t="n">
        <v>17</v>
      </c>
      <c r="K17" s="30" t="n">
        <v>0.92</v>
      </c>
      <c r="L17" s="30" t="n">
        <v>0.0008</v>
      </c>
      <c r="M17" s="30" t="n">
        <v>0.0683</v>
      </c>
      <c r="N17" s="30" t="n"/>
      <c r="O17" s="31" t="n">
        <v>1</v>
      </c>
      <c r="P17" s="31" t="n">
        <v>1.16</v>
      </c>
      <c r="Q17" s="31" t="n">
        <v>1</v>
      </c>
      <c r="R17" s="31" t="n">
        <v>1.06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Shedeur Sanders</t>
        </is>
      </c>
      <c r="C18" s="26" t="n">
        <v>2</v>
      </c>
      <c r="D18" s="26" t="inlineStr">
        <is>
          <t>24</t>
        </is>
      </c>
      <c r="E18" s="27" t="inlineStr">
        <is>
          <t>ACT</t>
        </is>
      </c>
      <c r="F18" s="28" t="n"/>
      <c r="G18" s="28" t="n"/>
      <c r="H18" s="28" t="n"/>
      <c r="I18" s="28" t="n">
        <v>0.0456</v>
      </c>
      <c r="J18" s="29" t="n">
        <v>17</v>
      </c>
      <c r="K18" s="30" t="n">
        <v>0.068</v>
      </c>
      <c r="L18" s="30" t="n">
        <v>0.0008</v>
      </c>
      <c r="M18" s="30" t="n">
        <v>0.0343</v>
      </c>
      <c r="N18" s="30" t="n"/>
      <c r="O18" s="31" t="n">
        <v>1</v>
      </c>
      <c r="P18" s="31" t="n">
        <v>1.5</v>
      </c>
      <c r="Q18" s="31" t="n">
        <v>1</v>
      </c>
      <c r="R18" s="31" t="n">
        <v>0.95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Taylen Green</t>
        </is>
      </c>
      <c r="C19" s="26" t="n">
        <v>3</v>
      </c>
      <c r="D19" s="26" t="inlineStr">
        <is>
          <t>23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0.0018</v>
      </c>
      <c r="M19" s="30" t="n">
        <v>0.0182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Quinshon Judkins</t>
        </is>
      </c>
      <c r="C21" s="26" t="n">
        <v>1</v>
      </c>
      <c r="D21" s="26" t="inlineStr">
        <is>
          <t>22</t>
        </is>
      </c>
      <c r="E21" s="27" t="inlineStr">
        <is>
          <t>ACT</t>
        </is>
      </c>
      <c r="F21" s="28" t="n"/>
      <c r="G21" s="28" t="n"/>
      <c r="H21" s="28" t="n">
        <v>0.06900000000000001</v>
      </c>
      <c r="I21" s="28" t="n">
        <v>0.5516</v>
      </c>
      <c r="J21" s="29" t="n">
        <v>17</v>
      </c>
      <c r="K21" s="30" t="n"/>
      <c r="L21" s="30" t="n">
        <v>0.0732</v>
      </c>
      <c r="M21" s="30" t="n">
        <v>0.5027</v>
      </c>
      <c r="N21" s="30" t="n">
        <v>0.7222</v>
      </c>
      <c r="O21" s="31" t="n">
        <v>0.86</v>
      </c>
      <c r="P21" s="31" t="n">
        <v>0.92</v>
      </c>
      <c r="Q21" s="31" t="n">
        <v>1</v>
      </c>
      <c r="R21" s="31" t="n">
        <v>1.06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Dylan Sampson</t>
        </is>
      </c>
      <c r="C22" s="26" t="n">
        <v>2</v>
      </c>
      <c r="D22" s="26" t="inlineStr">
        <is>
          <t>21</t>
        </is>
      </c>
      <c r="E22" s="27" t="inlineStr">
        <is>
          <t>ACT</t>
        </is>
      </c>
      <c r="F22" s="28" t="n"/>
      <c r="G22" s="28" t="n"/>
      <c r="H22" s="28" t="n">
        <v>0.0766</v>
      </c>
      <c r="I22" s="28" t="n">
        <v>0.1559</v>
      </c>
      <c r="J22" s="29" t="n">
        <v>17</v>
      </c>
      <c r="K22" s="30" t="n"/>
      <c r="L22" s="30" t="n">
        <v>0.0606</v>
      </c>
      <c r="M22" s="30" t="n">
        <v>0.179</v>
      </c>
      <c r="N22" s="30" t="n">
        <v>0.825</v>
      </c>
      <c r="O22" s="31" t="n">
        <v>1.08</v>
      </c>
      <c r="P22" s="31" t="n">
        <v>0.76</v>
      </c>
      <c r="Q22" s="31" t="n">
        <v>1.2</v>
      </c>
      <c r="R22" s="31" t="n">
        <v>0.82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Raheim Sanders</t>
        </is>
      </c>
      <c r="C23" s="26" t="n">
        <v>3</v>
      </c>
      <c r="D23" s="26" t="inlineStr">
        <is>
          <t>24</t>
        </is>
      </c>
      <c r="E23" s="27" t="inlineStr">
        <is>
          <t>ACT</t>
        </is>
      </c>
      <c r="F23" s="28" t="n"/>
      <c r="G23" s="28" t="n"/>
      <c r="H23" s="28" t="n">
        <v>0.0077</v>
      </c>
      <c r="I23" s="28" t="n">
        <v>0.06469999999999999</v>
      </c>
      <c r="J23" s="29" t="n">
        <v>17</v>
      </c>
      <c r="K23" s="30" t="n"/>
      <c r="L23" s="30" t="n">
        <v>0.0136</v>
      </c>
      <c r="M23" s="30" t="n">
        <v>0.07630000000000001</v>
      </c>
      <c r="N23" s="30" t="n">
        <v>0.75</v>
      </c>
      <c r="O23" s="31" t="n">
        <v>0.98</v>
      </c>
      <c r="P23" s="31" t="n">
        <v>0.92</v>
      </c>
      <c r="Q23" s="31" t="n">
        <v>1</v>
      </c>
      <c r="R23" s="31" t="n">
        <v>1.28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Ahmani Marshall</t>
        </is>
      </c>
      <c r="C24" s="26" t="n">
        <v>4</v>
      </c>
      <c r="D24" s="26" t="inlineStr">
        <is>
          <t>24</t>
        </is>
      </c>
      <c r="E24" s="36" t="inlineStr">
        <is>
          <t>role avg (rookie)</t>
        </is>
      </c>
      <c r="F24" s="28" t="n"/>
      <c r="G24" s="28" t="n"/>
      <c r="H24" s="28" t="n"/>
      <c r="I24" s="28" t="n"/>
      <c r="J24" s="29" t="n">
        <v>17</v>
      </c>
      <c r="K24" s="30" t="n"/>
      <c r="L24" s="30" t="n">
        <v>0.0078</v>
      </c>
      <c r="M24" s="30" t="n">
        <v>0.0404</v>
      </c>
      <c r="N24" s="30" t="n">
        <v>0.75</v>
      </c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Davon Booth</t>
        </is>
      </c>
      <c r="C25" s="26" t="n">
        <v>5</v>
      </c>
      <c r="D25" s="26" t="inlineStr">
        <is>
          <t>24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0.0044</v>
      </c>
      <c r="M25" s="30" t="n">
        <v>0.012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Michael Burton</t>
        </is>
      </c>
      <c r="C26" s="26" t="n">
        <v>6</v>
      </c>
      <c r="D26" s="26" t="inlineStr">
        <is>
          <t>34</t>
        </is>
      </c>
      <c r="E26" s="27" t="inlineStr">
        <is>
          <t>ACT</t>
        </is>
      </c>
      <c r="F26" s="28" t="n">
        <v>0.0063</v>
      </c>
      <c r="G26" s="28" t="n">
        <v>0.0182</v>
      </c>
      <c r="H26" s="28" t="n"/>
      <c r="I26" s="28" t="n"/>
      <c r="J26" s="29" t="n">
        <v>17</v>
      </c>
      <c r="K26" s="30" t="n"/>
      <c r="L26" s="30" t="n">
        <v>0.008999999999999999</v>
      </c>
      <c r="M26" s="30" t="n">
        <v>0.0111</v>
      </c>
      <c r="N26" s="30" t="n">
        <v>1</v>
      </c>
      <c r="O26" s="31" t="n">
        <v>0.92</v>
      </c>
      <c r="P26" s="31" t="n">
        <v>0.8100000000000001</v>
      </c>
      <c r="Q26" s="31" t="n">
        <v>1.26</v>
      </c>
      <c r="R26" s="31" t="n">
        <v>2.28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Jerry Jeudy</t>
        </is>
      </c>
      <c r="C28" s="26" t="n">
        <v>1</v>
      </c>
      <c r="D28" s="26" t="inlineStr">
        <is>
          <t>27</t>
        </is>
      </c>
      <c r="E28" s="27" t="inlineStr">
        <is>
          <t>ACT</t>
        </is>
      </c>
      <c r="F28" s="28" t="n">
        <v>0.1824</v>
      </c>
      <c r="G28" s="28" t="n">
        <v>0.2287</v>
      </c>
      <c r="H28" s="28" t="n">
        <v>0.2031</v>
      </c>
      <c r="I28" s="28" t="n">
        <v>0.0024</v>
      </c>
      <c r="J28" s="29" t="n">
        <v>17</v>
      </c>
      <c r="K28" s="30" t="n"/>
      <c r="L28" s="30" t="n">
        <v>0.2006</v>
      </c>
      <c r="M28" s="30" t="n">
        <v>0.015</v>
      </c>
      <c r="N28" s="30" t="n">
        <v>0.5453</v>
      </c>
      <c r="O28" s="31" t="n">
        <v>1.1</v>
      </c>
      <c r="P28" s="31" t="n">
        <v>1.01</v>
      </c>
      <c r="Q28" s="31" t="n">
        <v>0.9399999999999999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KC Concepcion</t>
        </is>
      </c>
      <c r="C29" s="26" t="n">
        <v>2</v>
      </c>
      <c r="D29" s="26" t="inlineStr">
        <is>
          <t>21</t>
        </is>
      </c>
      <c r="E29" s="36" t="inlineStr">
        <is>
          <t>role avg (rookie)</t>
        </is>
      </c>
      <c r="F29" s="28" t="n"/>
      <c r="G29" s="28" t="n"/>
      <c r="H29" s="28" t="n"/>
      <c r="I29" s="28" t="n"/>
      <c r="J29" s="29" t="n">
        <v>17</v>
      </c>
      <c r="K29" s="30" t="n"/>
      <c r="L29" s="30" t="n">
        <v>0.1339</v>
      </c>
      <c r="M29" s="30" t="n">
        <v>0.0071</v>
      </c>
      <c r="N29" s="30" t="n">
        <v>0.65</v>
      </c>
      <c r="O29" s="31" t="n">
        <v>1</v>
      </c>
      <c r="P29" s="31" t="n">
        <v>1</v>
      </c>
      <c r="Q29" s="31" t="n">
        <v>1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Denzel Boston</t>
        </is>
      </c>
      <c r="C30" s="26" t="n">
        <v>3</v>
      </c>
      <c r="D30" s="26" t="inlineStr">
        <is>
          <t>22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0.0809</v>
      </c>
      <c r="M30" s="30" t="n">
        <v>0.003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Cedric Tillman</t>
        </is>
      </c>
      <c r="C31" s="26" t="n">
        <v>4</v>
      </c>
      <c r="D31" s="26" t="inlineStr">
        <is>
          <t>26</t>
        </is>
      </c>
      <c r="E31" s="27" t="inlineStr">
        <is>
          <t>ACT</t>
        </is>
      </c>
      <c r="F31" s="28" t="n">
        <v>0.0737</v>
      </c>
      <c r="G31" s="28" t="n">
        <v>0.07729999999999999</v>
      </c>
      <c r="H31" s="28" t="n">
        <v>0.0747</v>
      </c>
      <c r="I31" s="28" t="n"/>
      <c r="J31" s="29" t="n">
        <v>17</v>
      </c>
      <c r="K31" s="30" t="n"/>
      <c r="L31" s="30" t="n">
        <v>0.061</v>
      </c>
      <c r="M31" s="30" t="n">
        <v>0.0023</v>
      </c>
      <c r="N31" s="30" t="n">
        <v>0.5387999999999999</v>
      </c>
      <c r="O31" s="31" t="n">
        <v>1.04</v>
      </c>
      <c r="P31" s="31" t="n">
        <v>0.96</v>
      </c>
      <c r="Q31" s="31" t="n">
        <v>1.14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Isaiah Bond</t>
        </is>
      </c>
      <c r="C32" s="26" t="n">
        <v>5</v>
      </c>
      <c r="D32" s="26" t="inlineStr">
        <is>
          <t>22</t>
        </is>
      </c>
      <c r="E32" s="27" t="inlineStr">
        <is>
          <t>ACT</t>
        </is>
      </c>
      <c r="F32" s="28" t="n"/>
      <c r="G32" s="28" t="n"/>
      <c r="H32" s="28" t="n">
        <v>0.0843</v>
      </c>
      <c r="I32" s="28" t="n">
        <v>0.012</v>
      </c>
      <c r="J32" s="29" t="n">
        <v>17</v>
      </c>
      <c r="K32" s="30" t="n"/>
      <c r="L32" s="30" t="n">
        <v>0.057</v>
      </c>
      <c r="M32" s="30" t="n">
        <v>0.0036</v>
      </c>
      <c r="N32" s="30" t="n">
        <v>0.4091</v>
      </c>
      <c r="O32" s="31" t="n">
        <v>1.19</v>
      </c>
      <c r="P32" s="31" t="n">
        <v>1.09</v>
      </c>
      <c r="Q32" s="31" t="n">
        <v>1.1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Malachi Corley</t>
        </is>
      </c>
      <c r="C33" s="26" t="n">
        <v>6</v>
      </c>
      <c r="D33" s="26" t="inlineStr">
        <is>
          <t>24</t>
        </is>
      </c>
      <c r="E33" s="27" t="inlineStr">
        <is>
          <t>ACT</t>
        </is>
      </c>
      <c r="F33" s="28" t="n"/>
      <c r="G33" s="28" t="n">
        <v>0.0102</v>
      </c>
      <c r="H33" s="28" t="n">
        <v>0.0268</v>
      </c>
      <c r="I33" s="28" t="n">
        <v>0.0312</v>
      </c>
      <c r="J33" s="29" t="n">
        <v>17</v>
      </c>
      <c r="K33" s="30" t="n"/>
      <c r="L33" s="30" t="n">
        <v>0.0177</v>
      </c>
      <c r="M33" s="30" t="n">
        <v>0.0053</v>
      </c>
      <c r="N33" s="30" t="n">
        <v>0.7019</v>
      </c>
      <c r="O33" s="31" t="n">
        <v>0.92</v>
      </c>
      <c r="P33" s="31" t="n">
        <v>1.5</v>
      </c>
      <c r="Q33" s="31" t="n">
        <v>1.01</v>
      </c>
      <c r="R33" s="31" t="n">
        <v>1.61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Tylan Wallace</t>
        </is>
      </c>
      <c r="C34" s="26" t="n">
        <v>7</v>
      </c>
      <c r="D34" s="26" t="inlineStr">
        <is>
          <t>27</t>
        </is>
      </c>
      <c r="E34" s="36" t="inlineStr">
        <is>
          <t>role avg (from BAL)</t>
        </is>
      </c>
      <c r="F34" s="28" t="n">
        <v>0.0042</v>
      </c>
      <c r="G34" s="28" t="n">
        <v>0.0263</v>
      </c>
      <c r="H34" s="28" t="n">
        <v>0.0197</v>
      </c>
      <c r="I34" s="28" t="n"/>
      <c r="J34" s="29" t="n">
        <v>17</v>
      </c>
      <c r="K34" s="30" t="n"/>
      <c r="L34" s="30" t="n">
        <v>0.0054</v>
      </c>
      <c r="M34" s="30" t="n">
        <v>0.0023</v>
      </c>
      <c r="N34" s="30" t="n">
        <v>0.6486</v>
      </c>
      <c r="O34" s="31" t="n">
        <v>1.02</v>
      </c>
      <c r="P34" s="31" t="n">
        <v>1</v>
      </c>
      <c r="Q34" s="31" t="n">
        <v>2.15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Jamari Thrash</t>
        </is>
      </c>
      <c r="C35" s="26" t="n">
        <v>8</v>
      </c>
      <c r="D35" s="26" t="inlineStr">
        <is>
          <t>25</t>
        </is>
      </c>
      <c r="E35" s="27" t="inlineStr">
        <is>
          <t>ACT</t>
        </is>
      </c>
      <c r="F35" s="28" t="n"/>
      <c r="G35" s="28" t="n">
        <v>0.011</v>
      </c>
      <c r="H35" s="28" t="n">
        <v>0.0287</v>
      </c>
      <c r="I35" s="28" t="n"/>
      <c r="J35" s="29" t="n">
        <v>17</v>
      </c>
      <c r="K35" s="30" t="n"/>
      <c r="L35" s="30" t="n">
        <v>0.0144</v>
      </c>
      <c r="M35" s="30" t="n">
        <v>0.0008</v>
      </c>
      <c r="N35" s="30" t="n">
        <v>0.5774</v>
      </c>
      <c r="O35" s="31" t="n">
        <v>0.97</v>
      </c>
      <c r="P35" s="31" t="n">
        <v>1</v>
      </c>
      <c r="Q35" s="31" t="n">
        <v>1.03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Harold Fannin</t>
        </is>
      </c>
      <c r="C37" s="26" t="n">
        <v>1</v>
      </c>
      <c r="D37" s="26" t="inlineStr">
        <is>
          <t>22</t>
        </is>
      </c>
      <c r="E37" s="27" t="inlineStr">
        <is>
          <t>ACT</t>
        </is>
      </c>
      <c r="F37" s="28" t="n"/>
      <c r="G37" s="28" t="n"/>
      <c r="H37" s="28" t="n">
        <v>0.205</v>
      </c>
      <c r="I37" s="28" t="n">
        <v>0.0168</v>
      </c>
      <c r="J37" s="29" t="n">
        <v>17</v>
      </c>
      <c r="K37" s="30" t="n"/>
      <c r="L37" s="30" t="n">
        <v>0.1798</v>
      </c>
      <c r="M37" s="30" t="n">
        <v>0.013</v>
      </c>
      <c r="N37" s="30" t="n">
        <v>0.6729000000000001</v>
      </c>
      <c r="O37" s="31" t="n">
        <v>1.11</v>
      </c>
      <c r="P37" s="31" t="n">
        <v>0.86</v>
      </c>
      <c r="Q37" s="31" t="n">
        <v>1.02</v>
      </c>
      <c r="R37" s="31" t="n">
        <v>1.34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Joe Royer</t>
        </is>
      </c>
      <c r="C38" s="26" t="n">
        <v>2</v>
      </c>
      <c r="D38" s="26" t="inlineStr">
        <is>
          <t>24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0.0575</v>
      </c>
      <c r="M38" s="30" t="n">
        <v>0.0023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Blake Whiteheart</t>
        </is>
      </c>
      <c r="C39" s="26" t="n">
        <v>3</v>
      </c>
      <c r="D39" s="26" t="inlineStr">
        <is>
          <t>26</t>
        </is>
      </c>
      <c r="E39" s="27" t="inlineStr">
        <is>
          <t>ACT</t>
        </is>
      </c>
      <c r="F39" s="28" t="n"/>
      <c r="G39" s="28" t="n">
        <v>0.0142</v>
      </c>
      <c r="H39" s="28" t="n">
        <v>0.0115</v>
      </c>
      <c r="I39" s="28" t="n"/>
      <c r="J39" s="29" t="n">
        <v>17</v>
      </c>
      <c r="K39" s="30" t="n"/>
      <c r="L39" s="30" t="n">
        <v>0.0141</v>
      </c>
      <c r="M39" s="30" t="n">
        <v>0.0009</v>
      </c>
      <c r="N39" s="30" t="n">
        <v>0.4266</v>
      </c>
      <c r="O39" s="31" t="n">
        <v>0.83</v>
      </c>
      <c r="P39" s="31" t="n">
        <v>1</v>
      </c>
      <c r="Q39" s="31" t="n">
        <v>1.27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Jack Stoll</t>
        </is>
      </c>
      <c r="C40" s="26" t="n">
        <v>4</v>
      </c>
      <c r="D40" s="26" t="inlineStr">
        <is>
          <t>28</t>
        </is>
      </c>
      <c r="E40" s="36" t="inlineStr">
        <is>
          <t>role avg (from NO)</t>
        </is>
      </c>
      <c r="F40" s="28" t="n">
        <v>0.0152</v>
      </c>
      <c r="G40" s="28" t="n">
        <v>0.0072</v>
      </c>
      <c r="H40" s="28" t="n">
        <v>0.0195</v>
      </c>
      <c r="I40" s="28" t="n"/>
      <c r="J40" s="29" t="n">
        <v>17</v>
      </c>
      <c r="K40" s="30" t="n"/>
      <c r="L40" s="30" t="n">
        <v>0.006</v>
      </c>
      <c r="M40" s="30" t="n">
        <v>0.0023</v>
      </c>
      <c r="N40" s="30" t="n">
        <v>0.5858</v>
      </c>
      <c r="O40" s="31" t="n">
        <v>0.86</v>
      </c>
      <c r="P40" s="31" t="n">
        <v>1</v>
      </c>
      <c r="Q40" s="31" t="n">
        <v>1.5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DAL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64.2</v>
      </c>
      <c r="D5" s="12">
        <f>C5*B5</f>
        <v/>
      </c>
      <c r="E5" s="13" t="n">
        <v>0.5845</v>
      </c>
      <c r="F5" s="10" t="n">
        <v>601</v>
      </c>
      <c r="G5" s="12">
        <f>ROUND(F5*Settings!$B$4,0)</f>
        <v/>
      </c>
      <c r="H5" s="10" t="n">
        <v>453</v>
      </c>
      <c r="I5" s="10" t="n">
        <v>4320</v>
      </c>
      <c r="J5" s="11" t="n">
        <v>28</v>
      </c>
      <c r="K5" s="11" t="n">
        <v>12</v>
      </c>
      <c r="L5" s="10" t="n">
        <v>1957</v>
      </c>
      <c r="M5" s="11" t="n">
        <v>14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1122</v>
      </c>
      <c r="D8" s="16" t="n">
        <v>66</v>
      </c>
      <c r="E8" s="17" t="n">
        <v>0.5829</v>
      </c>
      <c r="F8" s="15" t="n">
        <v>614</v>
      </c>
      <c r="G8" s="15" t="n">
        <v>468</v>
      </c>
      <c r="H8" s="15" t="n">
        <v>4660</v>
      </c>
      <c r="I8" s="15" t="n">
        <v>1920</v>
      </c>
      <c r="J8" s="15" t="n">
        <v>36</v>
      </c>
      <c r="K8" s="15" t="n">
        <v>14</v>
      </c>
      <c r="L8" s="16" t="n">
        <v>7.5896</v>
      </c>
      <c r="M8" s="16" t="n">
        <v>4.1026</v>
      </c>
    </row>
    <row r="9">
      <c r="B9" s="15" t="n">
        <v>2024</v>
      </c>
      <c r="C9" s="15" t="n">
        <v>1104</v>
      </c>
      <c r="D9" s="16" t="n">
        <v>64.94119999999999</v>
      </c>
      <c r="E9" s="17" t="n">
        <v>0.6114000000000001</v>
      </c>
      <c r="F9" s="15" t="n">
        <v>637</v>
      </c>
      <c r="G9" s="15" t="n">
        <v>429</v>
      </c>
      <c r="H9" s="15" t="n">
        <v>4092</v>
      </c>
      <c r="I9" s="15" t="n">
        <v>1705</v>
      </c>
      <c r="J9" s="15" t="n">
        <v>23</v>
      </c>
      <c r="K9" s="15" t="n">
        <v>6</v>
      </c>
      <c r="L9" s="16" t="n">
        <v>6.4239</v>
      </c>
      <c r="M9" s="16" t="n">
        <v>3.9744</v>
      </c>
    </row>
    <row r="10">
      <c r="B10" s="15" t="n">
        <v>2025</v>
      </c>
      <c r="C10" s="15" t="n">
        <v>1120</v>
      </c>
      <c r="D10" s="16" t="n">
        <v>65.8824</v>
      </c>
      <c r="E10" s="17" t="n">
        <v>0.5848</v>
      </c>
      <c r="F10" s="15" t="n">
        <v>624</v>
      </c>
      <c r="G10" s="15" t="n">
        <v>465</v>
      </c>
      <c r="H10" s="15" t="n">
        <v>4735</v>
      </c>
      <c r="I10" s="15" t="n">
        <v>2136</v>
      </c>
      <c r="J10" s="15" t="n">
        <v>31</v>
      </c>
      <c r="K10" s="15" t="n">
        <v>18</v>
      </c>
      <c r="L10" s="16" t="n">
        <v>7.5881</v>
      </c>
      <c r="M10" s="16" t="n">
        <v>4.5935</v>
      </c>
    </row>
    <row r="11"/>
    <row r="12">
      <c r="A12" s="18" t="inlineStr">
        <is>
          <t>OUT</t>
        </is>
      </c>
      <c r="B12" s="19" t="inlineStr">
        <is>
          <t>7% of targets and 4% of carries left. Share is team-relative - it does NOT follow the player.</t>
        </is>
      </c>
      <c r="H12" s="8" t="inlineStr">
        <is>
          <t>Jalen Tolbert (6t/0r -&gt; MIA), Miles Sanders (1t/4r -&gt; NOT ON ANY ROSTER)</t>
        </is>
      </c>
    </row>
    <row r="13">
      <c r="A13" s="20" t="inlineStr">
        <is>
          <t>IN</t>
        </is>
      </c>
      <c r="B13" s="21" t="inlineStr">
        <is>
          <t>2 new: Tyler Johnson (WR, from NYJ - had 4% there), Marquez Valdes-Scantling (WR, from SF - had 1% there)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Dak Prescott</t>
        </is>
      </c>
      <c r="C17" s="26" t="n">
        <v>1</v>
      </c>
      <c r="D17" s="26" t="inlineStr">
        <is>
          <t>33</t>
        </is>
      </c>
      <c r="E17" s="27" t="inlineStr">
        <is>
          <t>ACT</t>
        </is>
      </c>
      <c r="F17" s="28" t="n"/>
      <c r="G17" s="28" t="n"/>
      <c r="H17" s="28" t="n"/>
      <c r="I17" s="28" t="n">
        <v>0.0824</v>
      </c>
      <c r="J17" s="29" t="n">
        <v>17</v>
      </c>
      <c r="K17" s="30" t="n">
        <v>0.92</v>
      </c>
      <c r="L17" s="30" t="n">
        <v>0.0007</v>
      </c>
      <c r="M17" s="30" t="n">
        <v>0.07729999999999999</v>
      </c>
      <c r="N17" s="30" t="n"/>
      <c r="O17" s="31" t="n">
        <v>1</v>
      </c>
      <c r="P17" s="31" t="n">
        <v>1.07</v>
      </c>
      <c r="Q17" s="31" t="n">
        <v>1</v>
      </c>
      <c r="R17" s="31" t="n">
        <v>1.29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Joe Milton</t>
        </is>
      </c>
      <c r="C18" s="26" t="n">
        <v>2</v>
      </c>
      <c r="D18" s="26" t="inlineStr">
        <is>
          <t>26</t>
        </is>
      </c>
      <c r="E18" s="27" t="inlineStr">
        <is>
          <t>ACT</t>
        </is>
      </c>
      <c r="F18" s="28" t="n"/>
      <c r="G18" s="28" t="n"/>
      <c r="H18" s="28" t="n"/>
      <c r="I18" s="28" t="n">
        <v>0.0111</v>
      </c>
      <c r="J18" s="29" t="n">
        <v>17</v>
      </c>
      <c r="K18" s="30" t="n">
        <v>0.068</v>
      </c>
      <c r="L18" s="30" t="n">
        <v>0.0007</v>
      </c>
      <c r="M18" s="30" t="n">
        <v>0.013</v>
      </c>
      <c r="N18" s="30" t="n"/>
      <c r="O18" s="31" t="n">
        <v>1</v>
      </c>
      <c r="P18" s="31" t="n">
        <v>1.19</v>
      </c>
      <c r="Q18" s="31" t="n">
        <v>1</v>
      </c>
      <c r="R18" s="31" t="n">
        <v>1.03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Sam Howell</t>
        </is>
      </c>
      <c r="C19" s="26" t="n">
        <v>3</v>
      </c>
      <c r="D19" s="26" t="inlineStr">
        <is>
          <t>25</t>
        </is>
      </c>
      <c r="E19" s="27" t="inlineStr">
        <is>
          <t>ACT</t>
        </is>
      </c>
      <c r="F19" s="28" t="n">
        <v>0.0017</v>
      </c>
      <c r="G19" s="28" t="n"/>
      <c r="H19" s="28" t="n"/>
      <c r="I19" s="28" t="n"/>
      <c r="J19" s="29" t="n">
        <v>17</v>
      </c>
      <c r="K19" s="30" t="n">
        <v>0.012</v>
      </c>
      <c r="L19" s="30" t="n">
        <v>0.0017</v>
      </c>
      <c r="M19" s="30" t="n">
        <v>0.06950000000000001</v>
      </c>
      <c r="N19" s="30" t="n"/>
      <c r="O19" s="31" t="n">
        <v>0.98</v>
      </c>
      <c r="P19" s="31" t="n">
        <v>1.13</v>
      </c>
      <c r="Q19" s="31" t="n">
        <v>1.85</v>
      </c>
      <c r="R19" s="31" t="n">
        <v>1.67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Javonte Williams</t>
        </is>
      </c>
      <c r="C21" s="26" t="n">
        <v>1</v>
      </c>
      <c r="D21" s="26" t="inlineStr">
        <is>
          <t>26</t>
        </is>
      </c>
      <c r="E21" s="27" t="inlineStr">
        <is>
          <t>ACT</t>
        </is>
      </c>
      <c r="F21" s="28" t="n">
        <v>0.1216</v>
      </c>
      <c r="G21" s="28" t="n">
        <v>0.1275</v>
      </c>
      <c r="H21" s="28" t="n">
        <v>0.08400000000000001</v>
      </c>
      <c r="I21" s="28" t="n">
        <v>0.5612</v>
      </c>
      <c r="J21" s="29" t="n">
        <v>17</v>
      </c>
      <c r="K21" s="30" t="n"/>
      <c r="L21" s="30" t="n">
        <v>0.094</v>
      </c>
      <c r="M21" s="30" t="n">
        <v>0.488</v>
      </c>
      <c r="N21" s="30" t="n">
        <v>0.7282999999999999</v>
      </c>
      <c r="O21" s="31" t="n">
        <v>0.62</v>
      </c>
      <c r="P21" s="31" t="n">
        <v>0.9399999999999999</v>
      </c>
      <c r="Q21" s="31" t="n">
        <v>0.9399999999999999</v>
      </c>
      <c r="R21" s="31" t="n">
        <v>1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Malik Davis</t>
        </is>
      </c>
      <c r="C22" s="26" t="n">
        <v>2</v>
      </c>
      <c r="D22" s="26" t="inlineStr">
        <is>
          <t>27</t>
        </is>
      </c>
      <c r="E22" s="27" t="inlineStr">
        <is>
          <t>ACT</t>
        </is>
      </c>
      <c r="F22" s="28" t="n"/>
      <c r="G22" s="28" t="n"/>
      <c r="H22" s="28" t="n">
        <v>0.008200000000000001</v>
      </c>
      <c r="I22" s="28" t="n">
        <v>0.1158</v>
      </c>
      <c r="J22" s="29" t="n">
        <v>17</v>
      </c>
      <c r="K22" s="30" t="n"/>
      <c r="L22" s="30" t="n">
        <v>0.0183</v>
      </c>
      <c r="M22" s="30" t="n">
        <v>0.1434</v>
      </c>
      <c r="N22" s="30" t="n">
        <v>0.4</v>
      </c>
      <c r="O22" s="31" t="n">
        <v>0.88</v>
      </c>
      <c r="P22" s="31" t="n">
        <v>1.01</v>
      </c>
      <c r="Q22" s="31" t="n">
        <v>1</v>
      </c>
      <c r="R22" s="31" t="n">
        <v>0.82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Jaydon Blue</t>
        </is>
      </c>
      <c r="C23" s="26" t="n">
        <v>3</v>
      </c>
      <c r="D23" s="26" t="inlineStr">
        <is>
          <t>22</t>
        </is>
      </c>
      <c r="E23" s="27" t="inlineStr">
        <is>
          <t>ACT</t>
        </is>
      </c>
      <c r="F23" s="28" t="n"/>
      <c r="G23" s="28" t="n"/>
      <c r="H23" s="28" t="n">
        <v>0.0016</v>
      </c>
      <c r="I23" s="28" t="n">
        <v>0.08459999999999999</v>
      </c>
      <c r="J23" s="29" t="n">
        <v>17</v>
      </c>
      <c r="K23" s="30" t="n"/>
      <c r="L23" s="30" t="n">
        <v>0.0074</v>
      </c>
      <c r="M23" s="30" t="n">
        <v>0.0755</v>
      </c>
      <c r="N23" s="30" t="n">
        <v>1</v>
      </c>
      <c r="O23" s="31" t="n">
        <v>0.98</v>
      </c>
      <c r="P23" s="31" t="n">
        <v>0.8100000000000001</v>
      </c>
      <c r="Q23" s="31" t="n">
        <v>1</v>
      </c>
      <c r="R23" s="31" t="n">
        <v>1.02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Phil Mafah</t>
        </is>
      </c>
      <c r="C24" s="26" t="n">
        <v>4</v>
      </c>
      <c r="D24" s="26" t="inlineStr">
        <is>
          <t>23</t>
        </is>
      </c>
      <c r="E24" s="27" t="inlineStr">
        <is>
          <t>ACT</t>
        </is>
      </c>
      <c r="F24" s="28" t="n"/>
      <c r="G24" s="28" t="n"/>
      <c r="H24" s="28" t="n">
        <v>0.0033</v>
      </c>
      <c r="I24" s="28" t="n">
        <v>0.0111</v>
      </c>
      <c r="J24" s="29" t="n">
        <v>17</v>
      </c>
      <c r="K24" s="30" t="n"/>
      <c r="L24" s="30" t="n">
        <v>0.0047</v>
      </c>
      <c r="M24" s="30" t="n">
        <v>0.0229</v>
      </c>
      <c r="N24" s="30" t="n">
        <v>1</v>
      </c>
      <c r="O24" s="31" t="n">
        <v>0.97</v>
      </c>
      <c r="P24" s="31" t="n">
        <v>0.95</v>
      </c>
      <c r="Q24" s="31" t="n">
        <v>1</v>
      </c>
      <c r="R24" s="31" t="n">
        <v>0.9399999999999999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Israel Abanikanda</t>
        </is>
      </c>
      <c r="C25" s="26" t="n">
        <v>5</v>
      </c>
      <c r="D25" s="26" t="inlineStr">
        <is>
          <t>23</t>
        </is>
      </c>
      <c r="E25" s="27" t="inlineStr">
        <is>
          <t>ACT</t>
        </is>
      </c>
      <c r="F25" s="28" t="n">
        <v>0.0195</v>
      </c>
      <c r="G25" s="28" t="n"/>
      <c r="H25" s="28" t="n"/>
      <c r="I25" s="28" t="n"/>
      <c r="J25" s="29" t="n">
        <v>17</v>
      </c>
      <c r="K25" s="30" t="n"/>
      <c r="L25" s="30" t="n">
        <v>0.0122</v>
      </c>
      <c r="M25" s="30" t="n">
        <v>0.0415</v>
      </c>
      <c r="N25" s="30" t="n">
        <v>0.6364</v>
      </c>
      <c r="O25" s="31" t="n">
        <v>0.88</v>
      </c>
      <c r="P25" s="31" t="n">
        <v>0.86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Dominic Richardson</t>
        </is>
      </c>
      <c r="C26" s="26" t="n">
        <v>6</v>
      </c>
      <c r="D26" s="26" t="inlineStr">
        <is>
          <t>25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0.0024</v>
      </c>
      <c r="M26" s="30" t="n">
        <v>0.0077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CeeDee Lamb</t>
        </is>
      </c>
      <c r="C28" s="26" t="n">
        <v>1</v>
      </c>
      <c r="D28" s="26" t="inlineStr">
        <is>
          <t>27</t>
        </is>
      </c>
      <c r="E28" s="27" t="inlineStr">
        <is>
          <t>ACT</t>
        </is>
      </c>
      <c r="F28" s="28" t="n">
        <v>0.2992</v>
      </c>
      <c r="G28" s="28" t="n">
        <v>0.2444</v>
      </c>
      <c r="H28" s="28" t="n">
        <v>0.1928</v>
      </c>
      <c r="I28" s="28" t="n">
        <v>0.0022</v>
      </c>
      <c r="J28" s="29" t="n">
        <v>17</v>
      </c>
      <c r="K28" s="30" t="n"/>
      <c r="L28" s="30" t="n">
        <v>0.2203</v>
      </c>
      <c r="M28" s="30" t="n">
        <v>0.0249</v>
      </c>
      <c r="N28" s="30" t="n">
        <v>0.672</v>
      </c>
      <c r="O28" s="31" t="n">
        <v>1.18</v>
      </c>
      <c r="P28" s="31" t="n">
        <v>1</v>
      </c>
      <c r="Q28" s="31" t="n">
        <v>0.97</v>
      </c>
      <c r="R28" s="31" t="n">
        <v>0.98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George Pickens</t>
        </is>
      </c>
      <c r="C29" s="26" t="n">
        <v>2</v>
      </c>
      <c r="D29" s="26" t="inlineStr">
        <is>
          <t>25</t>
        </is>
      </c>
      <c r="E29" s="27" t="inlineStr">
        <is>
          <t>ACT</t>
        </is>
      </c>
      <c r="F29" s="28" t="n">
        <v>0.219</v>
      </c>
      <c r="G29" s="28" t="n">
        <v>0.2239</v>
      </c>
      <c r="H29" s="28" t="n">
        <v>0.2257</v>
      </c>
      <c r="I29" s="28" t="n"/>
      <c r="J29" s="29" t="n">
        <v>17</v>
      </c>
      <c r="K29" s="30" t="n"/>
      <c r="L29" s="30" t="n">
        <v>0.1805</v>
      </c>
      <c r="M29" s="30" t="n">
        <v>0.008800000000000001</v>
      </c>
      <c r="N29" s="30" t="n">
        <v>0.6333</v>
      </c>
      <c r="O29" s="31" t="n">
        <v>1.27</v>
      </c>
      <c r="P29" s="31" t="n">
        <v>0.92</v>
      </c>
      <c r="Q29" s="31" t="n">
        <v>1.12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Ryan Flournoy</t>
        </is>
      </c>
      <c r="C30" s="26" t="n">
        <v>3</v>
      </c>
      <c r="D30" s="26" t="inlineStr">
        <is>
          <t>26</t>
        </is>
      </c>
      <c r="E30" s="27" t="inlineStr">
        <is>
          <t>ACT</t>
        </is>
      </c>
      <c r="F30" s="28" t="n"/>
      <c r="G30" s="28" t="n">
        <v>0.0225</v>
      </c>
      <c r="H30" s="28" t="n">
        <v>0.09229999999999999</v>
      </c>
      <c r="I30" s="28" t="n">
        <v>0.0089</v>
      </c>
      <c r="J30" s="29" t="n">
        <v>17</v>
      </c>
      <c r="K30" s="30" t="n"/>
      <c r="L30" s="30" t="n">
        <v>0.07480000000000001</v>
      </c>
      <c r="M30" s="30" t="n">
        <v>0.0066</v>
      </c>
      <c r="N30" s="30" t="n">
        <v>0.7143</v>
      </c>
      <c r="O30" s="31" t="n">
        <v>1.06</v>
      </c>
      <c r="P30" s="31" t="n">
        <v>1.05</v>
      </c>
      <c r="Q30" s="31" t="n">
        <v>0.95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KaVontae Turpin</t>
        </is>
      </c>
      <c r="C31" s="26" t="n">
        <v>4</v>
      </c>
      <c r="D31" s="26" t="inlineStr">
        <is>
          <t>30</t>
        </is>
      </c>
      <c r="E31" s="27" t="inlineStr">
        <is>
          <t>ACT</t>
        </is>
      </c>
      <c r="F31" s="28" t="n">
        <v>0.0298</v>
      </c>
      <c r="G31" s="28" t="n">
        <v>0.08359999999999999</v>
      </c>
      <c r="H31" s="28" t="n">
        <v>0.0626</v>
      </c>
      <c r="I31" s="28" t="n">
        <v>0.0379</v>
      </c>
      <c r="J31" s="29" t="n">
        <v>17</v>
      </c>
      <c r="K31" s="30" t="n"/>
      <c r="L31" s="30" t="n">
        <v>0.0571</v>
      </c>
      <c r="M31" s="30" t="n">
        <v>0.0072</v>
      </c>
      <c r="N31" s="30" t="n">
        <v>0.6522</v>
      </c>
      <c r="O31" s="31" t="n">
        <v>1.14</v>
      </c>
      <c r="P31" s="31" t="n">
        <v>1.2</v>
      </c>
      <c r="Q31" s="31" t="n">
        <v>1.07</v>
      </c>
      <c r="R31" s="31" t="n">
        <v>1.24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Marquez Valdes-Scantling</t>
        </is>
      </c>
      <c r="C32" s="26" t="n">
        <v>5</v>
      </c>
      <c r="D32" s="26" t="inlineStr">
        <is>
          <t>31</t>
        </is>
      </c>
      <c r="E32" s="36" t="inlineStr">
        <is>
          <t>role avg (from SF)</t>
        </is>
      </c>
      <c r="F32" s="28" t="n">
        <v>0.0701</v>
      </c>
      <c r="G32" s="28" t="n">
        <v>0.0677</v>
      </c>
      <c r="H32" s="28" t="n">
        <v>0.0145</v>
      </c>
      <c r="I32" s="28" t="n"/>
      <c r="J32" s="29" t="n">
        <v>17</v>
      </c>
      <c r="K32" s="30" t="n"/>
      <c r="L32" s="30" t="n">
        <v>0.0318</v>
      </c>
      <c r="M32" s="30" t="n">
        <v>0.0023</v>
      </c>
      <c r="N32" s="30" t="n">
        <v>0.4958</v>
      </c>
      <c r="O32" s="31" t="n">
        <v>1.03</v>
      </c>
      <c r="P32" s="31" t="n">
        <v>0.99</v>
      </c>
      <c r="Q32" s="31" t="n">
        <v>1.05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Jonathan Mingo</t>
        </is>
      </c>
      <c r="C33" s="26" t="n">
        <v>6</v>
      </c>
      <c r="D33" s="26" t="inlineStr">
        <is>
          <t>25</t>
        </is>
      </c>
      <c r="E33" s="27" t="inlineStr">
        <is>
          <t>ACT</t>
        </is>
      </c>
      <c r="F33" s="28" t="n">
        <v>0.1592</v>
      </c>
      <c r="G33" s="28" t="n">
        <v>0.0257</v>
      </c>
      <c r="H33" s="28" t="n">
        <v>0.008200000000000001</v>
      </c>
      <c r="I33" s="28" t="n"/>
      <c r="J33" s="29" t="n">
        <v>17</v>
      </c>
      <c r="K33" s="30" t="n"/>
      <c r="L33" s="30" t="n">
        <v>0.0427</v>
      </c>
      <c r="M33" s="30" t="n">
        <v>0.0008</v>
      </c>
      <c r="N33" s="30" t="n">
        <v>0.3414</v>
      </c>
      <c r="O33" s="31" t="n">
        <v>0.77</v>
      </c>
      <c r="P33" s="31" t="n">
        <v>1</v>
      </c>
      <c r="Q33" s="31" t="n">
        <v>1.03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Tyler Johnson</t>
        </is>
      </c>
      <c r="C34" s="26" t="n">
        <v>7</v>
      </c>
      <c r="D34" s="26" t="inlineStr">
        <is>
          <t>27</t>
        </is>
      </c>
      <c r="E34" s="36" t="inlineStr">
        <is>
          <t>role avg (from NYJ)</t>
        </is>
      </c>
      <c r="F34" s="28" t="n">
        <v>0.0054</v>
      </c>
      <c r="G34" s="28" t="n">
        <v>0.07580000000000001</v>
      </c>
      <c r="H34" s="28" t="n">
        <v>0.0381</v>
      </c>
      <c r="I34" s="28" t="n"/>
      <c r="J34" s="29" t="n">
        <v>17</v>
      </c>
      <c r="K34" s="30" t="n"/>
      <c r="L34" s="30" t="n">
        <v>0.0135</v>
      </c>
      <c r="M34" s="30" t="n">
        <v>0.0023</v>
      </c>
      <c r="N34" s="30" t="n">
        <v>0.653</v>
      </c>
      <c r="O34" s="31" t="n">
        <v>1.25</v>
      </c>
      <c r="P34" s="31" t="n">
        <v>1</v>
      </c>
      <c r="Q34" s="31" t="n">
        <v>2.39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Denzel Mims</t>
        </is>
      </c>
      <c r="C35" s="26" t="n">
        <v>8</v>
      </c>
      <c r="D35" s="26" t="inlineStr">
        <is>
          <t>28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0.0047</v>
      </c>
      <c r="M35" s="30" t="n">
        <v>0.0021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Jake Ferguson</t>
        </is>
      </c>
      <c r="C37" s="26" t="n">
        <v>1</v>
      </c>
      <c r="D37" s="26" t="inlineStr">
        <is>
          <t>27</t>
        </is>
      </c>
      <c r="E37" s="27" t="inlineStr">
        <is>
          <t>ACT</t>
        </is>
      </c>
      <c r="F37" s="28" t="n">
        <v>0.1686</v>
      </c>
      <c r="G37" s="28" t="n">
        <v>0.1383</v>
      </c>
      <c r="H37" s="28" t="n">
        <v>0.168</v>
      </c>
      <c r="I37" s="28" t="n">
        <v>0.0022</v>
      </c>
      <c r="J37" s="29" t="n">
        <v>17</v>
      </c>
      <c r="K37" s="30" t="n"/>
      <c r="L37" s="30" t="n">
        <v>0.1472</v>
      </c>
      <c r="M37" s="30" t="n">
        <v>0.0023</v>
      </c>
      <c r="N37" s="30" t="n">
        <v>0.7504</v>
      </c>
      <c r="O37" s="31" t="n">
        <v>0.86</v>
      </c>
      <c r="P37" s="31" t="n">
        <v>0.96</v>
      </c>
      <c r="Q37" s="31" t="n">
        <v>1.13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Michael Trigg</t>
        </is>
      </c>
      <c r="C38" s="26" t="n">
        <v>2</v>
      </c>
      <c r="D38" s="26" t="inlineStr">
        <is>
          <t>24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0.041</v>
      </c>
      <c r="M38" s="30" t="n">
        <v>0.0023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Luke Schoonmaker</t>
        </is>
      </c>
      <c r="C39" s="26" t="n">
        <v>3</v>
      </c>
      <c r="D39" s="26" t="inlineStr">
        <is>
          <t>27</t>
        </is>
      </c>
      <c r="E39" s="27" t="inlineStr">
        <is>
          <t>ACT</t>
        </is>
      </c>
      <c r="F39" s="28" t="n">
        <v>0.0248</v>
      </c>
      <c r="G39" s="28" t="n">
        <v>0.0579</v>
      </c>
      <c r="H39" s="28" t="n">
        <v>0.0379</v>
      </c>
      <c r="I39" s="28" t="n"/>
      <c r="J39" s="29" t="n">
        <v>17</v>
      </c>
      <c r="K39" s="30" t="n"/>
      <c r="L39" s="30" t="n">
        <v>0.0301</v>
      </c>
      <c r="M39" s="30" t="n">
        <v>0.0009</v>
      </c>
      <c r="N39" s="30" t="n">
        <v>0.636</v>
      </c>
      <c r="O39" s="31" t="n">
        <v>0.88</v>
      </c>
      <c r="P39" s="31" t="n">
        <v>1</v>
      </c>
      <c r="Q39" s="31" t="n">
        <v>0.95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Brevyn Spann-Ford</t>
        </is>
      </c>
      <c r="C40" s="26" t="n">
        <v>4</v>
      </c>
      <c r="D40" s="26" t="inlineStr">
        <is>
          <t>26</t>
        </is>
      </c>
      <c r="E40" s="27" t="inlineStr">
        <is>
          <t>ACT</t>
        </is>
      </c>
      <c r="F40" s="28" t="n"/>
      <c r="G40" s="28" t="n">
        <v>0.0225</v>
      </c>
      <c r="H40" s="28" t="n">
        <v>0.0214</v>
      </c>
      <c r="I40" s="28" t="n"/>
      <c r="J40" s="29" t="n">
        <v>17</v>
      </c>
      <c r="K40" s="30" t="n"/>
      <c r="L40" s="30" t="n">
        <v>0.0141</v>
      </c>
      <c r="M40" s="30" t="n">
        <v>0.0009</v>
      </c>
      <c r="N40" s="30" t="n">
        <v>0.6738</v>
      </c>
      <c r="O40" s="31" t="n">
        <v>0.96</v>
      </c>
      <c r="P40" s="31" t="n">
        <v>1</v>
      </c>
      <c r="Q40" s="31" t="n">
        <v>1.13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DEN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62.4</v>
      </c>
      <c r="D5" s="12">
        <f>C5*B5</f>
        <v/>
      </c>
      <c r="E5" s="13" t="n">
        <v>0.5696</v>
      </c>
      <c r="F5" s="10" t="n">
        <v>571</v>
      </c>
      <c r="G5" s="12">
        <f>ROUND(F5*Settings!$B$4,0)</f>
        <v/>
      </c>
      <c r="H5" s="10" t="n">
        <v>456</v>
      </c>
      <c r="I5" s="10" t="n">
        <v>3848</v>
      </c>
      <c r="J5" s="11" t="n">
        <v>27</v>
      </c>
      <c r="K5" s="11" t="n">
        <v>11</v>
      </c>
      <c r="L5" s="10" t="n">
        <v>1954</v>
      </c>
      <c r="M5" s="11" t="n">
        <v>15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1016</v>
      </c>
      <c r="D8" s="16" t="n">
        <v>59.7647</v>
      </c>
      <c r="E8" s="17" t="n">
        <v>0.5561</v>
      </c>
      <c r="F8" s="15" t="n">
        <v>513</v>
      </c>
      <c r="G8" s="15" t="n">
        <v>451</v>
      </c>
      <c r="H8" s="15" t="n">
        <v>3566</v>
      </c>
      <c r="I8" s="15" t="n">
        <v>1810</v>
      </c>
      <c r="J8" s="15" t="n">
        <v>28</v>
      </c>
      <c r="K8" s="15" t="n">
        <v>8</v>
      </c>
      <c r="L8" s="16" t="n">
        <v>6.9513</v>
      </c>
      <c r="M8" s="16" t="n">
        <v>4.0133</v>
      </c>
    </row>
    <row r="9">
      <c r="B9" s="15" t="n">
        <v>2024</v>
      </c>
      <c r="C9" s="15" t="n">
        <v>1055</v>
      </c>
      <c r="D9" s="16" t="n">
        <v>62.0588</v>
      </c>
      <c r="E9" s="17" t="n">
        <v>0.5629999999999999</v>
      </c>
      <c r="F9" s="15" t="n">
        <v>570</v>
      </c>
      <c r="G9" s="15" t="n">
        <v>461</v>
      </c>
      <c r="H9" s="15" t="n">
        <v>3808</v>
      </c>
      <c r="I9" s="15" t="n">
        <v>1908</v>
      </c>
      <c r="J9" s="15" t="n">
        <v>30</v>
      </c>
      <c r="K9" s="15" t="n">
        <v>12</v>
      </c>
      <c r="L9" s="16" t="n">
        <v>6.6807</v>
      </c>
      <c r="M9" s="16" t="n">
        <v>4.1388</v>
      </c>
    </row>
    <row r="10">
      <c r="B10" s="15" t="n">
        <v>2025</v>
      </c>
      <c r="C10" s="15" t="n">
        <v>1092</v>
      </c>
      <c r="D10" s="16" t="n">
        <v>64.2353</v>
      </c>
      <c r="E10" s="17" t="n">
        <v>0.5824</v>
      </c>
      <c r="F10" s="15" t="n">
        <v>613</v>
      </c>
      <c r="G10" s="15" t="n">
        <v>456</v>
      </c>
      <c r="H10" s="15" t="n">
        <v>3931</v>
      </c>
      <c r="I10" s="15" t="n">
        <v>2018</v>
      </c>
      <c r="J10" s="15" t="n">
        <v>25</v>
      </c>
      <c r="K10" s="15" t="n">
        <v>18</v>
      </c>
      <c r="L10" s="16" t="n">
        <v>6.4127</v>
      </c>
      <c r="M10" s="16" t="n">
        <v>4.4254</v>
      </c>
    </row>
    <row r="11"/>
    <row r="12">
      <c r="A12" s="18" t="inlineStr">
        <is>
          <t>OUT</t>
        </is>
      </c>
      <c r="B12" s="19" t="inlineStr">
        <is>
          <t>0% of targets and 0% of carries left. Share is team-relative - it does NOT follow the player.</t>
        </is>
      </c>
    </row>
    <row r="13">
      <c r="A13" s="20" t="inlineStr">
        <is>
          <t>IN</t>
        </is>
      </c>
      <c r="B13" s="21" t="inlineStr">
        <is>
          <t>2 new: Jaylen Waddle (WR, from MIA - had 22% there), Lil'Jordan Humphrey (WR, from NYG - had 2% there)</t>
        </is>
      </c>
    </row>
    <row r="14">
      <c r="A14" s="7" t="inlineStr">
        <is>
          <t>STAFF</t>
        </is>
      </c>
      <c r="B14" s="22" t="inlineStr">
        <is>
          <t>HC unchanged. OC Davis Webb under Sean Payton. Same offense with little tweaks; emphasis on the quick passing game.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Bo Nix</t>
        </is>
      </c>
      <c r="C17" s="26" t="n">
        <v>1</v>
      </c>
      <c r="D17" s="26" t="inlineStr">
        <is>
          <t>26</t>
        </is>
      </c>
      <c r="E17" s="27" t="inlineStr">
        <is>
          <t>ACT</t>
        </is>
      </c>
      <c r="F17" s="28" t="n"/>
      <c r="G17" s="28" t="n">
        <v>0.0018</v>
      </c>
      <c r="H17" s="28" t="n">
        <v>0.0017</v>
      </c>
      <c r="I17" s="28" t="n">
        <v>0.1507</v>
      </c>
      <c r="J17" s="29" t="n">
        <v>17</v>
      </c>
      <c r="K17" s="30" t="n">
        <v>0.97</v>
      </c>
      <c r="L17" s="30" t="n">
        <v>0.0016</v>
      </c>
      <c r="M17" s="30" t="n">
        <v>0.1361</v>
      </c>
      <c r="N17" s="30" t="n"/>
      <c r="O17" s="31" t="n">
        <v>0.97</v>
      </c>
      <c r="P17" s="31" t="n">
        <v>1.17</v>
      </c>
      <c r="Q17" s="31" t="n">
        <v>1.74</v>
      </c>
      <c r="R17" s="31" t="n">
        <v>1.37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Jarrett Stidham</t>
        </is>
      </c>
      <c r="C18" s="26" t="n">
        <v>2</v>
      </c>
      <c r="D18" s="26" t="inlineStr">
        <is>
          <t>29</t>
        </is>
      </c>
      <c r="E18" s="27" t="inlineStr">
        <is>
          <t>ACT</t>
        </is>
      </c>
      <c r="F18" s="28" t="n"/>
      <c r="G18" s="28" t="n"/>
      <c r="H18" s="28" t="n"/>
      <c r="I18" s="28" t="n"/>
      <c r="J18" s="29" t="n">
        <v>17</v>
      </c>
      <c r="K18" s="30" t="n">
        <v>0.0255</v>
      </c>
      <c r="L18" s="30" t="n">
        <v>0.0007</v>
      </c>
      <c r="M18" s="30" t="n">
        <v>0.0086</v>
      </c>
      <c r="N18" s="30" t="n"/>
      <c r="O18" s="31" t="n">
        <v>1</v>
      </c>
      <c r="P18" s="31" t="n">
        <v>0.98</v>
      </c>
      <c r="Q18" s="31" t="n">
        <v>1</v>
      </c>
      <c r="R18" s="31" t="n">
        <v>1.05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Sam Ehlinger</t>
        </is>
      </c>
      <c r="C19" s="26" t="n">
        <v>3</v>
      </c>
      <c r="D19" s="26" t="inlineStr">
        <is>
          <t>27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0.0045</v>
      </c>
      <c r="L19" s="30" t="n">
        <v>0.0017</v>
      </c>
      <c r="M19" s="30" t="n">
        <v>0.009299999999999999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J.K. Dobbins</t>
        </is>
      </c>
      <c r="C21" s="26" t="n">
        <v>1</v>
      </c>
      <c r="D21" s="26" t="inlineStr">
        <is>
          <t>27</t>
        </is>
      </c>
      <c r="E21" s="27" t="inlineStr">
        <is>
          <t>ACT</t>
        </is>
      </c>
      <c r="F21" s="28" t="n">
        <v>0.0063</v>
      </c>
      <c r="G21" s="28" t="n">
        <v>0.0774</v>
      </c>
      <c r="H21" s="28" t="n">
        <v>0.024</v>
      </c>
      <c r="I21" s="28" t="n">
        <v>0.3493</v>
      </c>
      <c r="J21" s="29" t="n">
        <v>17</v>
      </c>
      <c r="K21" s="30" t="n"/>
      <c r="L21" s="30" t="n">
        <v>0.063</v>
      </c>
      <c r="M21" s="30" t="n">
        <v>0.3804</v>
      </c>
      <c r="N21" s="30" t="n">
        <v>0.8073</v>
      </c>
      <c r="O21" s="31" t="n">
        <v>0.7</v>
      </c>
      <c r="P21" s="31" t="n">
        <v>1.07</v>
      </c>
      <c r="Q21" s="31" t="n">
        <v>1.14</v>
      </c>
      <c r="R21" s="31" t="n">
        <v>0.82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RJ Harvey</t>
        </is>
      </c>
      <c r="C22" s="26" t="n">
        <v>2</v>
      </c>
      <c r="D22" s="26" t="inlineStr">
        <is>
          <t>25</t>
        </is>
      </c>
      <c r="E22" s="27" t="inlineStr">
        <is>
          <t>ACT</t>
        </is>
      </c>
      <c r="F22" s="28" t="n"/>
      <c r="G22" s="28" t="n"/>
      <c r="H22" s="28" t="n">
        <v>0.0993</v>
      </c>
      <c r="I22" s="28" t="n">
        <v>0.3333</v>
      </c>
      <c r="J22" s="29" t="n">
        <v>17</v>
      </c>
      <c r="K22" s="30" t="n"/>
      <c r="L22" s="30" t="n">
        <v>0.0743</v>
      </c>
      <c r="M22" s="30" t="n">
        <v>0.275</v>
      </c>
      <c r="N22" s="30" t="n">
        <v>0.8103</v>
      </c>
      <c r="O22" s="31" t="n">
        <v>0.93</v>
      </c>
      <c r="P22" s="31" t="n">
        <v>0.83</v>
      </c>
      <c r="Q22" s="31" t="n">
        <v>1.31</v>
      </c>
      <c r="R22" s="31" t="n">
        <v>1.17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Jonah Coleman</t>
        </is>
      </c>
      <c r="C23" s="26" t="n">
        <v>3</v>
      </c>
      <c r="D23" s="26" t="inlineStr">
        <is>
          <t>22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0.0257</v>
      </c>
      <c r="M23" s="30" t="n">
        <v>0.092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Tyler Badie</t>
        </is>
      </c>
      <c r="C24" s="26" t="n">
        <v>4</v>
      </c>
      <c r="D24" s="26" t="inlineStr">
        <is>
          <t>26</t>
        </is>
      </c>
      <c r="E24" s="27" t="inlineStr">
        <is>
          <t>ACT</t>
        </is>
      </c>
      <c r="F24" s="28" t="n"/>
      <c r="G24" s="28" t="n">
        <v>0.0055</v>
      </c>
      <c r="H24" s="28" t="n">
        <v>0.0531</v>
      </c>
      <c r="I24" s="28" t="n">
        <v>0.0183</v>
      </c>
      <c r="J24" s="29" t="n">
        <v>17</v>
      </c>
      <c r="K24" s="30" t="n"/>
      <c r="L24" s="30" t="n">
        <v>0.029</v>
      </c>
      <c r="M24" s="30" t="n">
        <v>0.0193</v>
      </c>
      <c r="N24" s="30" t="n">
        <v>0.652</v>
      </c>
      <c r="O24" s="31" t="n">
        <v>0.77</v>
      </c>
      <c r="P24" s="31" t="n">
        <v>0.93</v>
      </c>
      <c r="Q24" s="31" t="n">
        <v>1.03</v>
      </c>
      <c r="R24" s="31" t="n">
        <v>1.07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Jaleel McLaughlin</t>
        </is>
      </c>
      <c r="C25" s="26" t="n">
        <v>5</v>
      </c>
      <c r="D25" s="26" t="inlineStr">
        <is>
          <t>25</t>
        </is>
      </c>
      <c r="E25" s="27" t="inlineStr">
        <is>
          <t>ACT</t>
        </is>
      </c>
      <c r="F25" s="28" t="n">
        <v>0.0755</v>
      </c>
      <c r="G25" s="28" t="n">
        <v>0.0492</v>
      </c>
      <c r="H25" s="28" t="n">
        <v>0.0103</v>
      </c>
      <c r="I25" s="28" t="n">
        <v>0.08450000000000001</v>
      </c>
      <c r="J25" s="29" t="n">
        <v>17</v>
      </c>
      <c r="K25" s="30" t="n"/>
      <c r="L25" s="30" t="n">
        <v>0.0257</v>
      </c>
      <c r="M25" s="30" t="n">
        <v>0.0377</v>
      </c>
      <c r="N25" s="30" t="n">
        <v>0.8083</v>
      </c>
      <c r="O25" s="31" t="n">
        <v>0.76</v>
      </c>
      <c r="P25" s="31" t="n">
        <v>1.1</v>
      </c>
      <c r="Q25" s="31" t="n">
        <v>1.33</v>
      </c>
      <c r="R25" s="31" t="n">
        <v>2.2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Cody Schrader</t>
        </is>
      </c>
      <c r="C26" s="26" t="n">
        <v>6</v>
      </c>
      <c r="D26" s="26" t="inlineStr">
        <is>
          <t>26</t>
        </is>
      </c>
      <c r="E26" s="27" t="inlineStr">
        <is>
          <t>ACT</t>
        </is>
      </c>
      <c r="F26" s="28" t="n"/>
      <c r="G26" s="28" t="n">
        <v>0.0018</v>
      </c>
      <c r="H26" s="28" t="n"/>
      <c r="I26" s="28" t="n"/>
      <c r="J26" s="29" t="n">
        <v>17</v>
      </c>
      <c r="K26" s="30" t="n"/>
      <c r="L26" s="30" t="n">
        <v>0.0022</v>
      </c>
      <c r="M26" s="30" t="n">
        <v>0.0038</v>
      </c>
      <c r="N26" s="30" t="n">
        <v>1</v>
      </c>
      <c r="O26" s="31" t="n">
        <v>0.99</v>
      </c>
      <c r="P26" s="31" t="n">
        <v>0.99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Courtland Sutton</t>
        </is>
      </c>
      <c r="C28" s="26" t="n">
        <v>1</v>
      </c>
      <c r="D28" s="26" t="inlineStr">
        <is>
          <t>30</t>
        </is>
      </c>
      <c r="E28" s="27" t="inlineStr">
        <is>
          <t>ACT</t>
        </is>
      </c>
      <c r="F28" s="28" t="n">
        <v>0.1887</v>
      </c>
      <c r="G28" s="28" t="n">
        <v>0.2459</v>
      </c>
      <c r="H28" s="28" t="n">
        <v>0.2123</v>
      </c>
      <c r="I28" s="28" t="n"/>
      <c r="J28" s="29" t="n">
        <v>17</v>
      </c>
      <c r="K28" s="30" t="n"/>
      <c r="L28" s="30" t="n">
        <v>0.1956</v>
      </c>
      <c r="M28" s="30" t="n">
        <v>0.008</v>
      </c>
      <c r="N28" s="30" t="n">
        <v>0.6089</v>
      </c>
      <c r="O28" s="31" t="n">
        <v>1.16</v>
      </c>
      <c r="P28" s="31" t="n">
        <v>1</v>
      </c>
      <c r="Q28" s="31" t="n">
        <v>1.12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Jaylen Waddle</t>
        </is>
      </c>
      <c r="C29" s="26" t="n">
        <v>2</v>
      </c>
      <c r="D29" s="26" t="inlineStr">
        <is>
          <t>27</t>
        </is>
      </c>
      <c r="E29" s="36" t="inlineStr">
        <is>
          <t>role avg (from MIA)</t>
        </is>
      </c>
      <c r="F29" s="28" t="n">
        <v>0.1894</v>
      </c>
      <c r="G29" s="28" t="n">
        <v>0.1461</v>
      </c>
      <c r="H29" s="28" t="n">
        <v>0.2165</v>
      </c>
      <c r="I29" s="28" t="n">
        <v>0.0047</v>
      </c>
      <c r="J29" s="29" t="n">
        <v>17</v>
      </c>
      <c r="K29" s="30" t="n"/>
      <c r="L29" s="30" t="n">
        <v>0.1327</v>
      </c>
      <c r="M29" s="30" t="n">
        <v>0.007</v>
      </c>
      <c r="N29" s="30" t="n">
        <v>0.6669</v>
      </c>
      <c r="O29" s="31" t="n">
        <v>1.2</v>
      </c>
      <c r="P29" s="31" t="n">
        <v>1.11</v>
      </c>
      <c r="Q29" s="31" t="n">
        <v>1.02</v>
      </c>
      <c r="R29" s="31" t="n">
        <v>1.1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Troy Franklin</t>
        </is>
      </c>
      <c r="C30" s="26" t="n">
        <v>3</v>
      </c>
      <c r="D30" s="26" t="inlineStr">
        <is>
          <t>23</t>
        </is>
      </c>
      <c r="E30" s="27" t="inlineStr">
        <is>
          <t>ACT</t>
        </is>
      </c>
      <c r="F30" s="28" t="n"/>
      <c r="G30" s="28" t="n">
        <v>0.0965</v>
      </c>
      <c r="H30" s="28" t="n">
        <v>0.1781</v>
      </c>
      <c r="I30" s="28" t="n">
        <v>0.0114</v>
      </c>
      <c r="J30" s="29" t="n">
        <v>17</v>
      </c>
      <c r="K30" s="30" t="n"/>
      <c r="L30" s="30" t="n">
        <v>0.1115</v>
      </c>
      <c r="M30" s="30" t="n">
        <v>0.0054</v>
      </c>
      <c r="N30" s="30" t="n">
        <v>0.5901</v>
      </c>
      <c r="O30" s="31" t="n">
        <v>0.92</v>
      </c>
      <c r="P30" s="31" t="n">
        <v>0.95</v>
      </c>
      <c r="Q30" s="31" t="n">
        <v>1.26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Pat Bryant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/>
      <c r="H31" s="28" t="n">
        <v>0.0839</v>
      </c>
      <c r="I31" s="28" t="n"/>
      <c r="J31" s="29" t="n">
        <v>17</v>
      </c>
      <c r="K31" s="30" t="n"/>
      <c r="L31" s="30" t="n">
        <v>0.06809999999999999</v>
      </c>
      <c r="M31" s="30" t="n">
        <v>0.0008</v>
      </c>
      <c r="N31" s="30" t="n">
        <v>0.6327</v>
      </c>
      <c r="O31" s="31" t="n">
        <v>1.1</v>
      </c>
      <c r="P31" s="31" t="n">
        <v>1</v>
      </c>
      <c r="Q31" s="31" t="n">
        <v>1.09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Marvin Mims</t>
        </is>
      </c>
      <c r="C32" s="26" t="n">
        <v>5</v>
      </c>
      <c r="D32" s="26" t="inlineStr">
        <is>
          <t>24</t>
        </is>
      </c>
      <c r="E32" s="27" t="inlineStr">
        <is>
          <t>ACT</t>
        </is>
      </c>
      <c r="F32" s="28" t="n">
        <v>0.0692</v>
      </c>
      <c r="G32" s="28" t="n">
        <v>0.09470000000000001</v>
      </c>
      <c r="H32" s="28" t="n">
        <v>0.0873</v>
      </c>
      <c r="I32" s="28" t="n">
        <v>0.0274</v>
      </c>
      <c r="J32" s="29" t="n">
        <v>17</v>
      </c>
      <c r="K32" s="30" t="n"/>
      <c r="L32" s="30" t="n">
        <v>0.058</v>
      </c>
      <c r="M32" s="30" t="n">
        <v>0.0055</v>
      </c>
      <c r="N32" s="30" t="n">
        <v>0.7215</v>
      </c>
      <c r="O32" s="31" t="n">
        <v>1.14</v>
      </c>
      <c r="P32" s="31" t="n">
        <v>1.03</v>
      </c>
      <c r="Q32" s="31" t="n">
        <v>0.9</v>
      </c>
      <c r="R32" s="31" t="n">
        <v>1.52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Lil'Jordan Humphrey</t>
        </is>
      </c>
      <c r="C33" s="26" t="n">
        <v>6</v>
      </c>
      <c r="D33" s="26" t="inlineStr">
        <is>
          <t>28</t>
        </is>
      </c>
      <c r="E33" s="36" t="inlineStr">
        <is>
          <t>role avg (from NYG)</t>
        </is>
      </c>
      <c r="F33" s="28" t="n">
        <v>0.0398</v>
      </c>
      <c r="G33" s="28" t="n">
        <v>0.082</v>
      </c>
      <c r="H33" s="28" t="n">
        <v>0.0199</v>
      </c>
      <c r="I33" s="28" t="n"/>
      <c r="J33" s="29" t="n">
        <v>17</v>
      </c>
      <c r="K33" s="30" t="n"/>
      <c r="L33" s="30" t="n">
        <v>0.008500000000000001</v>
      </c>
      <c r="M33" s="30" t="n">
        <v>0.002</v>
      </c>
      <c r="N33" s="30" t="n">
        <v>0.644</v>
      </c>
      <c r="O33" s="31" t="n">
        <v>0.99</v>
      </c>
      <c r="P33" s="31" t="n">
        <v>1</v>
      </c>
      <c r="Q33" s="31" t="n">
        <v>2.5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Dane Key</t>
        </is>
      </c>
      <c r="C34" s="26" t="n">
        <v>7</v>
      </c>
      <c r="D34" s="26" t="inlineStr">
        <is>
          <t>23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0.0059</v>
      </c>
      <c r="M34" s="30" t="n">
        <v>0.0021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Michael Bandy</t>
        </is>
      </c>
      <c r="C35" s="26" t="n">
        <v>8</v>
      </c>
      <c r="D35" s="26" t="inlineStr">
        <is>
          <t>28</t>
        </is>
      </c>
      <c r="E35" s="27" t="inlineStr">
        <is>
          <t>ACT</t>
        </is>
      </c>
      <c r="F35" s="28" t="n"/>
      <c r="G35" s="28" t="n"/>
      <c r="H35" s="28" t="n">
        <v>0.0068</v>
      </c>
      <c r="I35" s="28" t="n"/>
      <c r="J35" s="29" t="n">
        <v>17</v>
      </c>
      <c r="K35" s="30" t="n"/>
      <c r="L35" s="30" t="n">
        <v>0.0055</v>
      </c>
      <c r="M35" s="30" t="n">
        <v>0.0007</v>
      </c>
      <c r="N35" s="30" t="n">
        <v>1</v>
      </c>
      <c r="O35" s="31" t="n">
        <v>1.14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Evan Engram</t>
        </is>
      </c>
      <c r="C37" s="26" t="n">
        <v>1</v>
      </c>
      <c r="D37" s="26" t="inlineStr">
        <is>
          <t>31</t>
        </is>
      </c>
      <c r="E37" s="27" t="inlineStr">
        <is>
          <t>ACT</t>
        </is>
      </c>
      <c r="F37" s="28" t="n">
        <v>0.2356</v>
      </c>
      <c r="G37" s="28" t="n">
        <v>0.1226</v>
      </c>
      <c r="H37" s="28" t="n">
        <v>0.1301</v>
      </c>
      <c r="I37" s="28" t="n">
        <v>0.0023</v>
      </c>
      <c r="J37" s="29" t="n">
        <v>17</v>
      </c>
      <c r="K37" s="30" t="n"/>
      <c r="L37" s="30" t="n">
        <v>0.1237</v>
      </c>
      <c r="M37" s="30" t="n">
        <v>0.0022</v>
      </c>
      <c r="N37" s="30" t="n">
        <v>0.7060999999999999</v>
      </c>
      <c r="O37" s="31" t="n">
        <v>0.91</v>
      </c>
      <c r="P37" s="31" t="n">
        <v>1.02</v>
      </c>
      <c r="Q37" s="31" t="n">
        <v>0.92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Adam Trautman</t>
        </is>
      </c>
      <c r="C38" s="26" t="n">
        <v>2</v>
      </c>
      <c r="D38" s="26" t="inlineStr">
        <is>
          <t>29</t>
        </is>
      </c>
      <c r="E38" s="27" t="inlineStr">
        <is>
          <t>ACT</t>
        </is>
      </c>
      <c r="F38" s="28" t="n">
        <v>0.07340000000000001</v>
      </c>
      <c r="G38" s="28" t="n">
        <v>0.0401</v>
      </c>
      <c r="H38" s="28" t="n">
        <v>0.0394</v>
      </c>
      <c r="I38" s="28" t="n"/>
      <c r="J38" s="29" t="n">
        <v>17</v>
      </c>
      <c r="K38" s="30" t="n"/>
      <c r="L38" s="30" t="n">
        <v>0.0399</v>
      </c>
      <c r="M38" s="30" t="n">
        <v>0.0008</v>
      </c>
      <c r="N38" s="30" t="n">
        <v>0.7378</v>
      </c>
      <c r="O38" s="31" t="n">
        <v>1.09</v>
      </c>
      <c r="P38" s="31" t="n">
        <v>1</v>
      </c>
      <c r="Q38" s="31" t="n">
        <v>1.16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Nate Adkins</t>
        </is>
      </c>
      <c r="C39" s="26" t="n">
        <v>3</v>
      </c>
      <c r="D39" s="26" t="inlineStr">
        <is>
          <t>27</t>
        </is>
      </c>
      <c r="E39" s="27" t="inlineStr">
        <is>
          <t>ACT</t>
        </is>
      </c>
      <c r="F39" s="28" t="n">
        <v>0.0105</v>
      </c>
      <c r="G39" s="28" t="n">
        <v>0.0273</v>
      </c>
      <c r="H39" s="28" t="n">
        <v>0.0188</v>
      </c>
      <c r="I39" s="28" t="n"/>
      <c r="J39" s="29" t="n">
        <v>17</v>
      </c>
      <c r="K39" s="30" t="n"/>
      <c r="L39" s="30" t="n">
        <v>0.018</v>
      </c>
      <c r="M39" s="30" t="n">
        <v>0.0008</v>
      </c>
      <c r="N39" s="30" t="n">
        <v>0.7599</v>
      </c>
      <c r="O39" s="31" t="n">
        <v>0.9399999999999999</v>
      </c>
      <c r="P39" s="31" t="n">
        <v>1</v>
      </c>
      <c r="Q39" s="31" t="n">
        <v>1.33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Dallen Bentley</t>
        </is>
      </c>
      <c r="C40" s="26" t="n">
        <v>4</v>
      </c>
      <c r="D40" s="26" t="inlineStr">
        <is>
          <t>25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0.008699999999999999</v>
      </c>
      <c r="M40" s="30" t="n">
        <v>0.0021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DET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63.4</v>
      </c>
      <c r="D5" s="12">
        <f>C5*B5</f>
        <v/>
      </c>
      <c r="E5" s="13" t="n">
        <v>0.5622</v>
      </c>
      <c r="F5" s="10" t="n">
        <v>569</v>
      </c>
      <c r="G5" s="12">
        <f>ROUND(F5*Settings!$B$4,0)</f>
        <v/>
      </c>
      <c r="H5" s="10" t="n">
        <v>472</v>
      </c>
      <c r="I5" s="10" t="n">
        <v>4400</v>
      </c>
      <c r="J5" s="11" t="n">
        <v>32</v>
      </c>
      <c r="K5" s="11" t="n">
        <v>11</v>
      </c>
      <c r="L5" s="10" t="n">
        <v>2139</v>
      </c>
      <c r="M5" s="11" t="n">
        <v>21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1137</v>
      </c>
      <c r="D8" s="16" t="n">
        <v>66.8824</v>
      </c>
      <c r="E8" s="17" t="n">
        <v>0.5602</v>
      </c>
      <c r="F8" s="15" t="n">
        <v>606</v>
      </c>
      <c r="G8" s="15" t="n">
        <v>500</v>
      </c>
      <c r="H8" s="15" t="n">
        <v>4606</v>
      </c>
      <c r="I8" s="15" t="n">
        <v>2311</v>
      </c>
      <c r="J8" s="15" t="n">
        <v>30</v>
      </c>
      <c r="K8" s="15" t="n">
        <v>27</v>
      </c>
      <c r="L8" s="16" t="n">
        <v>7.6007</v>
      </c>
      <c r="M8" s="16" t="n">
        <v>4.622</v>
      </c>
    </row>
    <row r="9">
      <c r="B9" s="15" t="n">
        <v>2024</v>
      </c>
      <c r="C9" s="15" t="n">
        <v>1118</v>
      </c>
      <c r="D9" s="16" t="n">
        <v>65.7647</v>
      </c>
      <c r="E9" s="17" t="n">
        <v>0.5224</v>
      </c>
      <c r="F9" s="15" t="n">
        <v>551</v>
      </c>
      <c r="G9" s="15" t="n">
        <v>534</v>
      </c>
      <c r="H9" s="15" t="n">
        <v>4718</v>
      </c>
      <c r="I9" s="15" t="n">
        <v>2488</v>
      </c>
      <c r="J9" s="15" t="n">
        <v>39</v>
      </c>
      <c r="K9" s="15" t="n">
        <v>29</v>
      </c>
      <c r="L9" s="16" t="n">
        <v>8.5626</v>
      </c>
      <c r="M9" s="16" t="n">
        <v>4.6592</v>
      </c>
    </row>
    <row r="10">
      <c r="B10" s="15" t="n">
        <v>2025</v>
      </c>
      <c r="C10" s="15" t="n">
        <v>1063</v>
      </c>
      <c r="D10" s="16" t="n">
        <v>62.5294</v>
      </c>
      <c r="E10" s="17" t="n">
        <v>0.5842000000000001</v>
      </c>
      <c r="F10" s="15" t="n">
        <v>582</v>
      </c>
      <c r="G10" s="15" t="n">
        <v>442</v>
      </c>
      <c r="H10" s="15" t="n">
        <v>4567</v>
      </c>
      <c r="I10" s="15" t="n">
        <v>2041</v>
      </c>
      <c r="J10" s="15" t="n">
        <v>35</v>
      </c>
      <c r="K10" s="15" t="n">
        <v>21</v>
      </c>
      <c r="L10" s="16" t="n">
        <v>7.8471</v>
      </c>
      <c r="M10" s="16" t="n">
        <v>4.6176</v>
      </c>
    </row>
    <row r="11"/>
    <row r="12">
      <c r="A12" s="18" t="inlineStr">
        <is>
          <t>OUT</t>
        </is>
      </c>
      <c r="B12" s="19" t="inlineStr">
        <is>
          <t>13% of targets and 37% of carries left. Share is team-relative - it does NOT follow the player.</t>
        </is>
      </c>
      <c r="H12" s="8" t="inlineStr">
        <is>
          <t>David Montgomery (5t/37r -&gt; HOU), Kalif Raymond (5t/0r -&gt; CHI), Anthony Firkser (2t/0r -&gt; NOT ON ANY ROSTER)</t>
        </is>
      </c>
    </row>
    <row r="13">
      <c r="A13" s="20" t="inlineStr">
        <is>
          <t>IN</t>
        </is>
      </c>
      <c r="B13" s="21" t="inlineStr">
        <is>
          <t>6 new: Isiah Pacheco (RB, from KC - had 5% there), Greg Dortch (WR, from ARI - had 5% there), Cedrick Wilson (WR, from MIA - had 2% there), Tyler Conklin (TE, from LAC - had 2% there), Tay Martin (WR, from WAS - had 0% there)</t>
        </is>
      </c>
    </row>
    <row r="14">
      <c r="A14" s="7" t="inlineStr">
        <is>
          <t>STAFF</t>
        </is>
      </c>
      <c r="B14" s="22" t="inlineStr">
        <is>
          <t>HC unchanged. OC Drew Petzing under Dan Campbell. Won't completely depart from the prior system.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Jared Goff</t>
        </is>
      </c>
      <c r="C17" s="26" t="n">
        <v>1</v>
      </c>
      <c r="D17" s="26" t="inlineStr">
        <is>
          <t>31</t>
        </is>
      </c>
      <c r="E17" s="27" t="inlineStr">
        <is>
          <t>ACT</t>
        </is>
      </c>
      <c r="F17" s="28" t="n"/>
      <c r="G17" s="28" t="n">
        <v>0.0019</v>
      </c>
      <c r="H17" s="28" t="n"/>
      <c r="I17" s="28" t="n">
        <v>0.0255</v>
      </c>
      <c r="J17" s="29" t="n">
        <v>17</v>
      </c>
      <c r="K17" s="30" t="n">
        <v>0.97</v>
      </c>
      <c r="L17" s="30" t="n">
        <v>0.0019</v>
      </c>
      <c r="M17" s="30" t="n">
        <v>0.0414</v>
      </c>
      <c r="N17" s="30" t="n"/>
      <c r="O17" s="31" t="n">
        <v>0.99</v>
      </c>
      <c r="P17" s="31" t="n">
        <v>0.87</v>
      </c>
      <c r="Q17" s="31" t="n">
        <v>1.54</v>
      </c>
      <c r="R17" s="31" t="n">
        <v>1.19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Teddy Bridgewater</t>
        </is>
      </c>
      <c r="C18" s="26" t="n">
        <v>2</v>
      </c>
      <c r="D18" s="26" t="inlineStr">
        <is>
          <t>33</t>
        </is>
      </c>
      <c r="E18" s="36" t="inlineStr">
        <is>
          <t>role avg (from TB)</t>
        </is>
      </c>
      <c r="F18" s="28" t="n"/>
      <c r="G18" s="28" t="n"/>
      <c r="H18" s="28" t="n"/>
      <c r="I18" s="28" t="n">
        <v>0.0022</v>
      </c>
      <c r="J18" s="29" t="n">
        <v>17</v>
      </c>
      <c r="K18" s="30" t="n">
        <v>0.0255</v>
      </c>
      <c r="L18" s="30" t="n">
        <v>0.0019</v>
      </c>
      <c r="M18" s="30" t="n">
        <v>0.0107</v>
      </c>
      <c r="N18" s="30" t="n"/>
      <c r="O18" s="31" t="n">
        <v>1</v>
      </c>
      <c r="P18" s="31" t="n">
        <v>1</v>
      </c>
      <c r="Q18" s="31" t="n">
        <v>1</v>
      </c>
      <c r="R18" s="31" t="n">
        <v>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Luke Altmyer</t>
        </is>
      </c>
      <c r="C19" s="26" t="n">
        <v>3</v>
      </c>
      <c r="D19" s="26" t="inlineStr">
        <is>
          <t>23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0.0045</v>
      </c>
      <c r="L19" s="30" t="n">
        <v>0.0019</v>
      </c>
      <c r="M19" s="30" t="n">
        <v>0.01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Jahmyr Gibbs</t>
        </is>
      </c>
      <c r="C21" s="26" t="n">
        <v>1</v>
      </c>
      <c r="D21" s="26" t="inlineStr">
        <is>
          <t>24</t>
        </is>
      </c>
      <c r="E21" s="41" t="inlineStr">
        <is>
          <t>QUESTIONABLE</t>
        </is>
      </c>
      <c r="F21" s="28" t="n">
        <v>0.1237</v>
      </c>
      <c r="G21" s="28" t="n">
        <v>0.1207</v>
      </c>
      <c r="H21" s="28" t="n">
        <v>0.1709</v>
      </c>
      <c r="I21" s="28" t="n">
        <v>0.5638</v>
      </c>
      <c r="J21" s="29" t="n">
        <v>17</v>
      </c>
      <c r="K21" s="30" t="n"/>
      <c r="L21" s="30" t="n">
        <v>0.1344</v>
      </c>
      <c r="M21" s="30" t="n">
        <v>0.5061</v>
      </c>
      <c r="N21" s="30" t="n">
        <v>0.8054</v>
      </c>
      <c r="O21" s="31" t="n">
        <v>0.83</v>
      </c>
      <c r="P21" s="31" t="n">
        <v>1.09</v>
      </c>
      <c r="Q21" s="31" t="n">
        <v>0.99</v>
      </c>
      <c r="R21" s="31" t="n">
        <v>0.98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Isiah Pacheco</t>
        </is>
      </c>
      <c r="C22" s="26" t="n">
        <v>2</v>
      </c>
      <c r="D22" s="26" t="inlineStr">
        <is>
          <t>27</t>
        </is>
      </c>
      <c r="E22" s="36" t="inlineStr">
        <is>
          <t>role avg (from KC)</t>
        </is>
      </c>
      <c r="F22" s="28" t="n">
        <v>0.0818</v>
      </c>
      <c r="G22" s="28" t="n">
        <v>0.028</v>
      </c>
      <c r="H22" s="28" t="n">
        <v>0.0474</v>
      </c>
      <c r="I22" s="28" t="n">
        <v>0.283</v>
      </c>
      <c r="J22" s="29" t="n">
        <v>17</v>
      </c>
      <c r="K22" s="30" t="n"/>
      <c r="L22" s="30" t="n">
        <v>0.0497</v>
      </c>
      <c r="M22" s="30" t="n">
        <v>0.2936</v>
      </c>
      <c r="N22" s="30" t="n">
        <v>0.7754</v>
      </c>
      <c r="O22" s="31" t="n">
        <v>0.76</v>
      </c>
      <c r="P22" s="31" t="n">
        <v>0.9399999999999999</v>
      </c>
      <c r="Q22" s="31" t="n">
        <v>0.95</v>
      </c>
      <c r="R22" s="31" t="n">
        <v>0.97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Sione Vaki</t>
        </is>
      </c>
      <c r="C23" s="26" t="n">
        <v>3</v>
      </c>
      <c r="D23" s="26" t="inlineStr">
        <is>
          <t>25</t>
        </is>
      </c>
      <c r="E23" s="41" t="inlineStr">
        <is>
          <t>QUESTIONABLE</t>
        </is>
      </c>
      <c r="F23" s="28" t="n"/>
      <c r="G23" s="28" t="n">
        <v>0.0057</v>
      </c>
      <c r="H23" s="28" t="n"/>
      <c r="I23" s="28" t="n">
        <v>0.0023</v>
      </c>
      <c r="J23" s="29" t="n">
        <v>17</v>
      </c>
      <c r="K23" s="30" t="n"/>
      <c r="L23" s="30" t="n">
        <v>0.008800000000000001</v>
      </c>
      <c r="M23" s="30" t="n">
        <v>0.0524</v>
      </c>
      <c r="N23" s="30" t="n">
        <v>1</v>
      </c>
      <c r="O23" s="31" t="n">
        <v>1.05</v>
      </c>
      <c r="P23" s="31" t="n">
        <v>0.95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Jabari Small</t>
        </is>
      </c>
      <c r="C24" s="26" t="n">
        <v>4</v>
      </c>
      <c r="D24" s="26" t="inlineStr">
        <is>
          <t>25</t>
        </is>
      </c>
      <c r="E24" s="36" t="inlineStr">
        <is>
          <t>role avg (rookie)</t>
        </is>
      </c>
      <c r="F24" s="28" t="n"/>
      <c r="G24" s="28" t="n"/>
      <c r="H24" s="28" t="n"/>
      <c r="I24" s="28" t="n"/>
      <c r="J24" s="29" t="n">
        <v>17</v>
      </c>
      <c r="K24" s="30" t="n"/>
      <c r="L24" s="30" t="n">
        <v>0.0057</v>
      </c>
      <c r="M24" s="30" t="n">
        <v>0.015</v>
      </c>
      <c r="N24" s="30" t="n">
        <v>0.75</v>
      </c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Jacob Saylors</t>
        </is>
      </c>
      <c r="C25" s="26" t="n">
        <v>5</v>
      </c>
      <c r="D25" s="26" t="inlineStr">
        <is>
          <t>25</t>
        </is>
      </c>
      <c r="E25" s="27" t="inlineStr">
        <is>
          <t>ACT</t>
        </is>
      </c>
      <c r="F25" s="28" t="n"/>
      <c r="G25" s="28" t="n"/>
      <c r="H25" s="28" t="n"/>
      <c r="I25" s="28" t="n">
        <v>0.0046</v>
      </c>
      <c r="J25" s="29" t="n">
        <v>17</v>
      </c>
      <c r="K25" s="30" t="n"/>
      <c r="L25" s="30" t="n">
        <v>0.0013</v>
      </c>
      <c r="M25" s="30" t="n">
        <v>0.0075</v>
      </c>
      <c r="N25" s="30" t="n"/>
      <c r="O25" s="31" t="n">
        <v>1</v>
      </c>
      <c r="P25" s="31" t="n">
        <v>1.01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Raheem Blackshear</t>
        </is>
      </c>
      <c r="C26" s="26" t="n">
        <v>6</v>
      </c>
      <c r="D26" s="26" t="inlineStr">
        <is>
          <t>28</t>
        </is>
      </c>
      <c r="E26" s="27" t="inlineStr">
        <is>
          <t>ACT</t>
        </is>
      </c>
      <c r="F26" s="28" t="n">
        <v>0.0131</v>
      </c>
      <c r="G26" s="28" t="n"/>
      <c r="H26" s="28" t="n"/>
      <c r="I26" s="28" t="n"/>
      <c r="J26" s="29" t="n">
        <v>17</v>
      </c>
      <c r="K26" s="30" t="n"/>
      <c r="L26" s="30" t="n">
        <v>0.0092</v>
      </c>
      <c r="M26" s="30" t="n">
        <v>0.0226</v>
      </c>
      <c r="N26" s="30" t="n">
        <v>0.8571</v>
      </c>
      <c r="O26" s="31" t="n">
        <v>1.01</v>
      </c>
      <c r="P26" s="31" t="n">
        <v>1.01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Amon-Ra St. Brown</t>
        </is>
      </c>
      <c r="C28" s="26" t="n">
        <v>1</v>
      </c>
      <c r="D28" s="26" t="inlineStr">
        <is>
          <t>26</t>
        </is>
      </c>
      <c r="E28" s="27" t="inlineStr">
        <is>
          <t>ACT</t>
        </is>
      </c>
      <c r="F28" s="28" t="n">
        <v>0.2857</v>
      </c>
      <c r="G28" s="28" t="n">
        <v>0.2701</v>
      </c>
      <c r="H28" s="28" t="n">
        <v>0.3127</v>
      </c>
      <c r="I28" s="28" t="n">
        <v>0.007</v>
      </c>
      <c r="J28" s="29" t="n">
        <v>17</v>
      </c>
      <c r="K28" s="30" t="n"/>
      <c r="L28" s="30" t="n">
        <v>0.278</v>
      </c>
      <c r="M28" s="30" t="n">
        <v>0.0129</v>
      </c>
      <c r="N28" s="30" t="n">
        <v>0.73</v>
      </c>
      <c r="O28" s="31" t="n">
        <v>1.01</v>
      </c>
      <c r="P28" s="31" t="n">
        <v>0.97</v>
      </c>
      <c r="Q28" s="31" t="n">
        <v>1.29</v>
      </c>
      <c r="R28" s="31" t="n">
        <v>0.98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Jameson Williams</t>
        </is>
      </c>
      <c r="C29" s="26" t="n">
        <v>2</v>
      </c>
      <c r="D29" s="26" t="inlineStr">
        <is>
          <t>25</t>
        </is>
      </c>
      <c r="E29" s="27" t="inlineStr">
        <is>
          <t>ACT</t>
        </is>
      </c>
      <c r="F29" s="28" t="n">
        <v>0.0732</v>
      </c>
      <c r="G29" s="28" t="n">
        <v>0.1743</v>
      </c>
      <c r="H29" s="28" t="n">
        <v>0.1855</v>
      </c>
      <c r="I29" s="28" t="n">
        <v>0.0139</v>
      </c>
      <c r="J29" s="29" t="n">
        <v>17</v>
      </c>
      <c r="K29" s="30" t="n"/>
      <c r="L29" s="30" t="n">
        <v>0.1579</v>
      </c>
      <c r="M29" s="30" t="n">
        <v>0.0098</v>
      </c>
      <c r="N29" s="30" t="n">
        <v>0.627</v>
      </c>
      <c r="O29" s="31" t="n">
        <v>1.2</v>
      </c>
      <c r="P29" s="31" t="n">
        <v>0.97</v>
      </c>
      <c r="Q29" s="31" t="n">
        <v>0.79</v>
      </c>
      <c r="R29" s="31" t="n">
        <v>1.01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Isaac TeSlaa</t>
        </is>
      </c>
      <c r="C30" s="26" t="n">
        <v>3</v>
      </c>
      <c r="D30" s="26" t="inlineStr">
        <is>
          <t>24</t>
        </is>
      </c>
      <c r="E30" s="27" t="inlineStr">
        <is>
          <t>ACT</t>
        </is>
      </c>
      <c r="F30" s="28" t="n"/>
      <c r="G30" s="28" t="n"/>
      <c r="H30" s="28" t="n">
        <v>0.0491</v>
      </c>
      <c r="I30" s="28" t="n"/>
      <c r="J30" s="29" t="n">
        <v>17</v>
      </c>
      <c r="K30" s="30" t="n"/>
      <c r="L30" s="30" t="n">
        <v>0.0622</v>
      </c>
      <c r="M30" s="30" t="n">
        <v>0.0018</v>
      </c>
      <c r="N30" s="30" t="n">
        <v>0.5926</v>
      </c>
      <c r="O30" s="31" t="n">
        <v>1.04</v>
      </c>
      <c r="P30" s="31" t="n">
        <v>1</v>
      </c>
      <c r="Q30" s="31" t="n">
        <v>1.53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Jackson Meeks</t>
        </is>
      </c>
      <c r="C31" s="26" t="n">
        <v>4</v>
      </c>
      <c r="D31" s="26" t="inlineStr">
        <is>
          <t>23</t>
        </is>
      </c>
      <c r="E31" s="36" t="inlineStr">
        <is>
          <t>role avg (rookie)</t>
        </is>
      </c>
      <c r="F31" s="28" t="n"/>
      <c r="G31" s="28" t="n"/>
      <c r="H31" s="28" t="n"/>
      <c r="I31" s="28" t="n"/>
      <c r="J31" s="29" t="n">
        <v>17</v>
      </c>
      <c r="K31" s="30" t="n"/>
      <c r="L31" s="30" t="n">
        <v>0.0515</v>
      </c>
      <c r="M31" s="30" t="n">
        <v>0.0023</v>
      </c>
      <c r="N31" s="30" t="n">
        <v>0.65</v>
      </c>
      <c r="O31" s="31" t="n">
        <v>1</v>
      </c>
      <c r="P31" s="31" t="n">
        <v>1</v>
      </c>
      <c r="Q31" s="31" t="n">
        <v>1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Greg Dortch</t>
        </is>
      </c>
      <c r="C32" s="26" t="n">
        <v>5</v>
      </c>
      <c r="D32" s="26" t="inlineStr">
        <is>
          <t>28</t>
        </is>
      </c>
      <c r="E32" s="36" t="inlineStr">
        <is>
          <t>role avg (from ARI)</t>
        </is>
      </c>
      <c r="F32" s="28" t="n">
        <v>0.0759</v>
      </c>
      <c r="G32" s="28" t="n">
        <v>0.0956</v>
      </c>
      <c r="H32" s="28" t="n">
        <v>0.0535</v>
      </c>
      <c r="I32" s="28" t="n">
        <v>0.0193</v>
      </c>
      <c r="J32" s="29" t="n">
        <v>17</v>
      </c>
      <c r="K32" s="30" t="n"/>
      <c r="L32" s="30" t="n">
        <v>0.0179</v>
      </c>
      <c r="M32" s="30" t="n">
        <v>0.0023</v>
      </c>
      <c r="N32" s="30" t="n">
        <v>0.7635999999999999</v>
      </c>
      <c r="O32" s="31" t="n">
        <v>0.96</v>
      </c>
      <c r="P32" s="31" t="n">
        <v>0.97</v>
      </c>
      <c r="Q32" s="31" t="n">
        <v>2.5</v>
      </c>
      <c r="R32" s="31" t="n">
        <v>2.5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Tom Kennedy</t>
        </is>
      </c>
      <c r="C33" s="26" t="n">
        <v>6</v>
      </c>
      <c r="D33" s="26" t="inlineStr">
        <is>
          <t>30</t>
        </is>
      </c>
      <c r="E33" s="27" t="inlineStr">
        <is>
          <t>ACT</t>
        </is>
      </c>
      <c r="F33" s="28" t="n"/>
      <c r="G33" s="28" t="n">
        <v>0.0019</v>
      </c>
      <c r="H33" s="28" t="n">
        <v>0.0073</v>
      </c>
      <c r="I33" s="28" t="n"/>
      <c r="J33" s="29" t="n">
        <v>17</v>
      </c>
      <c r="K33" s="30" t="n"/>
      <c r="L33" s="30" t="n">
        <v>0.0077</v>
      </c>
      <c r="M33" s="30" t="n">
        <v>0.0008</v>
      </c>
      <c r="N33" s="30" t="n">
        <v>1</v>
      </c>
      <c r="O33" s="31" t="n">
        <v>1.01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Lucky Jackson</t>
        </is>
      </c>
      <c r="C34" s="26" t="n">
        <v>7</v>
      </c>
      <c r="D34" s="26" t="inlineStr">
        <is>
          <t>29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0.0046</v>
      </c>
      <c r="M34" s="30" t="n">
        <v>0.0023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Cedrick Wilson</t>
        </is>
      </c>
      <c r="C35" s="26" t="n">
        <v>8</v>
      </c>
      <c r="D35" s="26" t="inlineStr">
        <is>
          <t>30</t>
        </is>
      </c>
      <c r="E35" s="36" t="inlineStr">
        <is>
          <t>role avg (from MIA)</t>
        </is>
      </c>
      <c r="F35" s="28" t="n">
        <v>0.0692</v>
      </c>
      <c r="G35" s="28" t="n">
        <v>0.0522</v>
      </c>
      <c r="H35" s="28" t="n">
        <v>0.0195</v>
      </c>
      <c r="I35" s="28" t="n"/>
      <c r="J35" s="29" t="n">
        <v>17</v>
      </c>
      <c r="K35" s="30" t="n"/>
      <c r="L35" s="30" t="n">
        <v>0.005</v>
      </c>
      <c r="M35" s="30" t="n">
        <v>0.0021</v>
      </c>
      <c r="N35" s="30" t="n">
        <v>0.6278</v>
      </c>
      <c r="O35" s="31" t="n">
        <v>0.9399999999999999</v>
      </c>
      <c r="P35" s="31" t="n">
        <v>1</v>
      </c>
      <c r="Q35" s="31" t="n">
        <v>2.5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Sam LaPorta</t>
        </is>
      </c>
      <c r="C37" s="26" t="n">
        <v>1</v>
      </c>
      <c r="D37" s="26" t="inlineStr">
        <is>
          <t>25</t>
        </is>
      </c>
      <c r="E37" s="27" t="inlineStr">
        <is>
          <t>ACT</t>
        </is>
      </c>
      <c r="F37" s="28" t="n">
        <v>0.2091</v>
      </c>
      <c r="G37" s="28" t="n">
        <v>0.159</v>
      </c>
      <c r="H37" s="28" t="n">
        <v>0.0891</v>
      </c>
      <c r="I37" s="28" t="n"/>
      <c r="J37" s="29" t="n">
        <v>17</v>
      </c>
      <c r="K37" s="30" t="n"/>
      <c r="L37" s="30" t="n">
        <v>0.1478</v>
      </c>
      <c r="M37" s="30" t="n">
        <v>0.0022</v>
      </c>
      <c r="N37" s="30" t="n">
        <v>0.7543</v>
      </c>
      <c r="O37" s="31" t="n">
        <v>1.03</v>
      </c>
      <c r="P37" s="31" t="n">
        <v>0.99</v>
      </c>
      <c r="Q37" s="31" t="n">
        <v>1.01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Brock Wright</t>
        </is>
      </c>
      <c r="C38" s="26" t="n">
        <v>2</v>
      </c>
      <c r="D38" s="26" t="inlineStr">
        <is>
          <t>27</t>
        </is>
      </c>
      <c r="E38" s="27" t="inlineStr">
        <is>
          <t>ACT</t>
        </is>
      </c>
      <c r="F38" s="28" t="n">
        <v>0.0244</v>
      </c>
      <c r="G38" s="28" t="n">
        <v>0.0307</v>
      </c>
      <c r="H38" s="28" t="n">
        <v>0.04</v>
      </c>
      <c r="I38" s="28" t="n"/>
      <c r="J38" s="29" t="n">
        <v>17</v>
      </c>
      <c r="K38" s="30" t="n"/>
      <c r="L38" s="30" t="n">
        <v>0.0356</v>
      </c>
      <c r="M38" s="30" t="n">
        <v>0.0009</v>
      </c>
      <c r="N38" s="30" t="n">
        <v>0.7645</v>
      </c>
      <c r="O38" s="31" t="n">
        <v>0.85</v>
      </c>
      <c r="P38" s="31" t="n">
        <v>1</v>
      </c>
      <c r="Q38" s="31" t="n">
        <v>0.99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Tyler Conklin</t>
        </is>
      </c>
      <c r="C39" s="26" t="n">
        <v>3</v>
      </c>
      <c r="D39" s="26" t="inlineStr">
        <is>
          <t>31</t>
        </is>
      </c>
      <c r="E39" s="36" t="inlineStr">
        <is>
          <t>role avg (from LAC)</t>
        </is>
      </c>
      <c r="F39" s="28" t="n">
        <v>0.1545</v>
      </c>
      <c r="G39" s="28" t="n">
        <v>0.1222</v>
      </c>
      <c r="H39" s="28" t="n">
        <v>0.0184</v>
      </c>
      <c r="I39" s="28" t="n">
        <v>0.0022</v>
      </c>
      <c r="J39" s="29" t="n">
        <v>17</v>
      </c>
      <c r="K39" s="30" t="n"/>
      <c r="L39" s="30" t="n">
        <v>0.013</v>
      </c>
      <c r="M39" s="30" t="n">
        <v>0.0023</v>
      </c>
      <c r="N39" s="30" t="n">
        <v>0.703</v>
      </c>
      <c r="O39" s="31" t="n">
        <v>1.13</v>
      </c>
      <c r="P39" s="31" t="n">
        <v>0.97</v>
      </c>
      <c r="Q39" s="31" t="n">
        <v>2.5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Nick Muse</t>
        </is>
      </c>
      <c r="C40" s="26" t="n">
        <v>4</v>
      </c>
      <c r="D40" s="26" t="inlineStr">
        <is>
          <t>27</t>
        </is>
      </c>
      <c r="E40" s="27" t="inlineStr">
        <is>
          <t>ACT</t>
        </is>
      </c>
      <c r="F40" s="28" t="n">
        <v>0.0017</v>
      </c>
      <c r="G40" s="28" t="n"/>
      <c r="H40" s="28" t="n"/>
      <c r="I40" s="28" t="n"/>
      <c r="J40" s="29" t="n">
        <v>17</v>
      </c>
      <c r="K40" s="30" t="n"/>
      <c r="L40" s="30" t="n">
        <v>0.0042</v>
      </c>
      <c r="M40" s="30" t="n">
        <v>0.0009</v>
      </c>
      <c r="N40" s="30" t="n">
        <v>1</v>
      </c>
      <c r="O40" s="31" t="n">
        <v>1.09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GB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60.9</v>
      </c>
      <c r="D5" s="12">
        <f>C5*B5</f>
        <v/>
      </c>
      <c r="E5" s="13" t="n">
        <v>0.5326</v>
      </c>
      <c r="F5" s="10" t="n">
        <v>520</v>
      </c>
      <c r="G5" s="12">
        <f>ROUND(F5*Settings!$B$4,0)</f>
        <v/>
      </c>
      <c r="H5" s="10" t="n">
        <v>484</v>
      </c>
      <c r="I5" s="10" t="n">
        <v>3962</v>
      </c>
      <c r="J5" s="11" t="n">
        <v>27</v>
      </c>
      <c r="K5" s="11" t="n">
        <v>10</v>
      </c>
      <c r="L5" s="10" t="n">
        <v>2103</v>
      </c>
      <c r="M5" s="11" t="n">
        <v>17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1052</v>
      </c>
      <c r="D8" s="16" t="n">
        <v>61.8824</v>
      </c>
      <c r="E8" s="17" t="n">
        <v>0.5808</v>
      </c>
      <c r="F8" s="15" t="n">
        <v>581</v>
      </c>
      <c r="G8" s="15" t="n">
        <v>441</v>
      </c>
      <c r="H8" s="15" t="n">
        <v>4210</v>
      </c>
      <c r="I8" s="15" t="n">
        <v>1905</v>
      </c>
      <c r="J8" s="15" t="n">
        <v>32</v>
      </c>
      <c r="K8" s="15" t="n">
        <v>10</v>
      </c>
      <c r="L8" s="16" t="n">
        <v>7.2461</v>
      </c>
      <c r="M8" s="16" t="n">
        <v>4.3197</v>
      </c>
    </row>
    <row r="9">
      <c r="B9" s="15" t="n">
        <v>2024</v>
      </c>
      <c r="C9" s="15" t="n">
        <v>1027</v>
      </c>
      <c r="D9" s="16" t="n">
        <v>60.4118</v>
      </c>
      <c r="E9" s="17" t="n">
        <v>0.4878</v>
      </c>
      <c r="F9" s="15" t="n">
        <v>479</v>
      </c>
      <c r="G9" s="15" t="n">
        <v>526</v>
      </c>
      <c r="H9" s="15" t="n">
        <v>3939</v>
      </c>
      <c r="I9" s="15" t="n">
        <v>2496</v>
      </c>
      <c r="J9" s="15" t="n">
        <v>28</v>
      </c>
      <c r="K9" s="15" t="n">
        <v>23</v>
      </c>
      <c r="L9" s="16" t="n">
        <v>8.2234</v>
      </c>
      <c r="M9" s="16" t="n">
        <v>4.7452</v>
      </c>
    </row>
    <row r="10">
      <c r="B10" s="15" t="n">
        <v>2025</v>
      </c>
      <c r="C10" s="15" t="n">
        <v>1010</v>
      </c>
      <c r="D10" s="16" t="n">
        <v>59.4118</v>
      </c>
      <c r="E10" s="17" t="n">
        <v>0.5129</v>
      </c>
      <c r="F10" s="15" t="n">
        <v>489</v>
      </c>
      <c r="G10" s="15" t="n">
        <v>492</v>
      </c>
      <c r="H10" s="15" t="n">
        <v>3845</v>
      </c>
      <c r="I10" s="15" t="n">
        <v>2037</v>
      </c>
      <c r="J10" s="15" t="n">
        <v>26</v>
      </c>
      <c r="K10" s="15" t="n">
        <v>18</v>
      </c>
      <c r="L10" s="16" t="n">
        <v>7.863</v>
      </c>
      <c r="M10" s="16" t="n">
        <v>4.1402</v>
      </c>
    </row>
    <row r="11"/>
    <row r="12">
      <c r="A12" s="18" t="inlineStr">
        <is>
          <t>OUT</t>
        </is>
      </c>
      <c r="B12" s="19" t="inlineStr">
        <is>
          <t>37% of targets and 30% of carries left. Share is team-relative - it does NOT follow the player.</t>
        </is>
      </c>
      <c r="H12" s="8" t="inlineStr">
        <is>
          <t>Emanuel Wilson (4t/26r -&gt; SEA), Romeo Doubs (18t/0r -&gt; NE), Dontayvion Wicks (10t/0r -&gt; PHI), Malik Willis (0t/4r -&gt; MIA), John FitzPatrick (3t/0r -&gt; NOT ON ANY ROSTER)</t>
        </is>
      </c>
    </row>
    <row r="13">
      <c r="A13" s="20" t="inlineStr">
        <is>
          <t>IN</t>
        </is>
      </c>
      <c r="B13" s="21" t="inlineStr">
        <is>
          <t>2 new: Tyrod Taylor (QB, from NYJ), Skyy Moore (WR, from SF - had 1% there)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Jordan Love</t>
        </is>
      </c>
      <c r="C17" s="26" t="n">
        <v>1</v>
      </c>
      <c r="D17" s="26" t="inlineStr">
        <is>
          <t>27</t>
        </is>
      </c>
      <c r="E17" s="27" t="inlineStr">
        <is>
          <t>ACT</t>
        </is>
      </c>
      <c r="F17" s="28" t="n"/>
      <c r="G17" s="28" t="n"/>
      <c r="H17" s="28" t="n"/>
      <c r="I17" s="28" t="n">
        <v>0.0717</v>
      </c>
      <c r="J17" s="29" t="n">
        <v>17</v>
      </c>
      <c r="K17" s="30" t="n">
        <v>0.92</v>
      </c>
      <c r="L17" s="30" t="n">
        <v>0.0009</v>
      </c>
      <c r="M17" s="30" t="n">
        <v>0.07149999999999999</v>
      </c>
      <c r="N17" s="30" t="n"/>
      <c r="O17" s="31" t="n">
        <v>1</v>
      </c>
      <c r="P17" s="31" t="n">
        <v>1.16</v>
      </c>
      <c r="Q17" s="31" t="n">
        <v>1</v>
      </c>
      <c r="R17" s="31" t="n">
        <v>1.14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Tyrod Taylor</t>
        </is>
      </c>
      <c r="C18" s="26" t="n">
        <v>2</v>
      </c>
      <c r="D18" s="26" t="inlineStr">
        <is>
          <t>37</t>
        </is>
      </c>
      <c r="E18" s="36" t="inlineStr">
        <is>
          <t>role avg (from NYJ)</t>
        </is>
      </c>
      <c r="F18" s="28" t="n"/>
      <c r="G18" s="28" t="n"/>
      <c r="H18" s="28" t="n"/>
      <c r="I18" s="28" t="n">
        <v>0.0556</v>
      </c>
      <c r="J18" s="29" t="n">
        <v>17</v>
      </c>
      <c r="K18" s="30" t="n">
        <v>0.068</v>
      </c>
      <c r="L18" s="30" t="n">
        <v>0.0021</v>
      </c>
      <c r="M18" s="30" t="n">
        <v>0.0211</v>
      </c>
      <c r="N18" s="30" t="n"/>
      <c r="O18" s="31" t="n">
        <v>1</v>
      </c>
      <c r="P18" s="31" t="n">
        <v>1.14</v>
      </c>
      <c r="Q18" s="31" t="n">
        <v>1</v>
      </c>
      <c r="R18" s="31" t="n">
        <v>1.37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Kyle McCord</t>
        </is>
      </c>
      <c r="C19" s="26" t="n">
        <v>3</v>
      </c>
      <c r="D19" s="26" t="inlineStr">
        <is>
          <t>23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0.0021</v>
      </c>
      <c r="M19" s="30" t="n">
        <v>0.0094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Josh Jacobs</t>
        </is>
      </c>
      <c r="C21" s="26" t="n">
        <v>1</v>
      </c>
      <c r="D21" s="26" t="inlineStr">
        <is>
          <t>28</t>
        </is>
      </c>
      <c r="E21" s="27" t="inlineStr">
        <is>
          <t>ACT</t>
        </is>
      </c>
      <c r="F21" s="28" t="n">
        <v>0.1017</v>
      </c>
      <c r="G21" s="28" t="n">
        <v>0.0927</v>
      </c>
      <c r="H21" s="28" t="n">
        <v>0.09569999999999999</v>
      </c>
      <c r="I21" s="28" t="n">
        <v>0.4937</v>
      </c>
      <c r="J21" s="29" t="n">
        <v>17</v>
      </c>
      <c r="K21" s="30" t="n"/>
      <c r="L21" s="30" t="n">
        <v>0.1054</v>
      </c>
      <c r="M21" s="30" t="n">
        <v>0.5379</v>
      </c>
      <c r="N21" s="30" t="n">
        <v>0.8018</v>
      </c>
      <c r="O21" s="31" t="n">
        <v>0.88</v>
      </c>
      <c r="P21" s="31" t="n">
        <v>0.92</v>
      </c>
      <c r="Q21" s="31" t="n">
        <v>0.93</v>
      </c>
      <c r="R21" s="31" t="n">
        <v>1.05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Chris Brooks</t>
        </is>
      </c>
      <c r="C22" s="26" t="n">
        <v>2</v>
      </c>
      <c r="D22" s="26" t="inlineStr">
        <is>
          <t>26</t>
        </is>
      </c>
      <c r="E22" s="41" t="inlineStr">
        <is>
          <t>PUP</t>
        </is>
      </c>
      <c r="F22" s="28" t="n"/>
      <c r="G22" s="28" t="n">
        <v>0.028</v>
      </c>
      <c r="H22" s="28" t="n">
        <v>0.037</v>
      </c>
      <c r="I22" s="28" t="n">
        <v>0.057</v>
      </c>
      <c r="J22" s="29" t="n">
        <v>17</v>
      </c>
      <c r="K22" s="30" t="n"/>
      <c r="L22" s="30" t="n">
        <v>0.0413</v>
      </c>
      <c r="M22" s="30" t="n">
        <v>0.1766</v>
      </c>
      <c r="N22" s="30" t="n">
        <v>0.7929</v>
      </c>
      <c r="O22" s="31" t="n">
        <v>0.84</v>
      </c>
      <c r="P22" s="31" t="n">
        <v>0.98</v>
      </c>
      <c r="Q22" s="31" t="n">
        <v>0.99</v>
      </c>
      <c r="R22" s="31" t="n">
        <v>0.74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MarShawn Lloyd</t>
        </is>
      </c>
      <c r="C23" s="26" t="n">
        <v>3</v>
      </c>
      <c r="D23" s="26" t="inlineStr">
        <is>
          <t>25</t>
        </is>
      </c>
      <c r="E23" s="27" t="inlineStr">
        <is>
          <t>ACT</t>
        </is>
      </c>
      <c r="F23" s="28" t="n"/>
      <c r="G23" s="28" t="n">
        <v>0.0022</v>
      </c>
      <c r="H23" s="28" t="n"/>
      <c r="I23" s="28" t="n"/>
      <c r="J23" s="29" t="n">
        <v>17</v>
      </c>
      <c r="K23" s="30" t="n"/>
      <c r="L23" s="30" t="n">
        <v>0.0126</v>
      </c>
      <c r="M23" s="30" t="n">
        <v>0.0356</v>
      </c>
      <c r="N23" s="30" t="n">
        <v>1</v>
      </c>
      <c r="O23" s="31" t="n">
        <v>0.97</v>
      </c>
      <c r="P23" s="31" t="n">
        <v>0.89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Pierre Strong</t>
        </is>
      </c>
      <c r="C24" s="26" t="n">
        <v>4</v>
      </c>
      <c r="D24" s="26" t="inlineStr">
        <is>
          <t>27</t>
        </is>
      </c>
      <c r="E24" s="27" t="inlineStr">
        <is>
          <t>ACT</t>
        </is>
      </c>
      <c r="F24" s="28" t="n">
        <v>0.0134</v>
      </c>
      <c r="G24" s="28" t="n">
        <v>0.0347</v>
      </c>
      <c r="H24" s="28" t="n"/>
      <c r="I24" s="28" t="n"/>
      <c r="J24" s="29" t="n">
        <v>17</v>
      </c>
      <c r="K24" s="30" t="n"/>
      <c r="L24" s="30" t="n">
        <v>0.0198</v>
      </c>
      <c r="M24" s="30" t="n">
        <v>0.0663</v>
      </c>
      <c r="N24" s="30" t="n">
        <v>0.6313</v>
      </c>
      <c r="O24" s="31" t="n">
        <v>0.92</v>
      </c>
      <c r="P24" s="31" t="n">
        <v>1.05</v>
      </c>
      <c r="Q24" s="31" t="n">
        <v>1</v>
      </c>
      <c r="R24" s="31" t="n">
        <v>1.07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Damien Martinez</t>
        </is>
      </c>
      <c r="C25" s="26" t="n">
        <v>5</v>
      </c>
      <c r="D25" s="26" t="inlineStr">
        <is>
          <t>22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0.0037</v>
      </c>
      <c r="M25" s="30" t="n">
        <v>0.0072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Jaden Nixon</t>
        </is>
      </c>
      <c r="C26" s="26" t="n">
        <v>6</v>
      </c>
      <c r="D26" s="26" t="inlineStr"/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0.0039</v>
      </c>
      <c r="M26" s="30" t="n">
        <v>0.0035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Christian Watson</t>
        </is>
      </c>
      <c r="C28" s="26" t="n">
        <v>1</v>
      </c>
      <c r="D28" s="26" t="inlineStr">
        <is>
          <t>27</t>
        </is>
      </c>
      <c r="E28" s="27" t="inlineStr">
        <is>
          <t>ACT</t>
        </is>
      </c>
      <c r="F28" s="28" t="n">
        <v>0.0945</v>
      </c>
      <c r="G28" s="28" t="n">
        <v>0.1142</v>
      </c>
      <c r="H28" s="28" t="n">
        <v>0.1196</v>
      </c>
      <c r="I28" s="28" t="n">
        <v>0.0021</v>
      </c>
      <c r="J28" s="29" t="n">
        <v>17</v>
      </c>
      <c r="K28" s="30" t="n"/>
      <c r="L28" s="30" t="n">
        <v>0.1647</v>
      </c>
      <c r="M28" s="30" t="n">
        <v>0.0212</v>
      </c>
      <c r="N28" s="30" t="n">
        <v>0.5836</v>
      </c>
      <c r="O28" s="31" t="n">
        <v>1.22</v>
      </c>
      <c r="P28" s="31" t="n">
        <v>0.99</v>
      </c>
      <c r="Q28" s="31" t="n">
        <v>0.87</v>
      </c>
      <c r="R28" s="31" t="n">
        <v>0.95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Jayden Reed</t>
        </is>
      </c>
      <c r="C29" s="26" t="n">
        <v>2</v>
      </c>
      <c r="D29" s="26" t="inlineStr">
        <is>
          <t>26</t>
        </is>
      </c>
      <c r="E29" s="27" t="inlineStr">
        <is>
          <t>ACT</t>
        </is>
      </c>
      <c r="F29" s="28" t="n">
        <v>0.1676</v>
      </c>
      <c r="G29" s="28" t="n">
        <v>0.1616</v>
      </c>
      <c r="H29" s="28" t="n">
        <v>0.0478</v>
      </c>
      <c r="I29" s="28" t="n">
        <v>0.0063</v>
      </c>
      <c r="J29" s="29" t="n">
        <v>17</v>
      </c>
      <c r="K29" s="30" t="n"/>
      <c r="L29" s="30" t="n">
        <v>0.152</v>
      </c>
      <c r="M29" s="30" t="n">
        <v>0.0138</v>
      </c>
      <c r="N29" s="30" t="n">
        <v>0.7578</v>
      </c>
      <c r="O29" s="31" t="n">
        <v>1.17</v>
      </c>
      <c r="P29" s="31" t="n">
        <v>1.4</v>
      </c>
      <c r="Q29" s="31" t="n">
        <v>0.92</v>
      </c>
      <c r="R29" s="31" t="n">
        <v>1.26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Matthew Golden</t>
        </is>
      </c>
      <c r="C30" s="26" t="n">
        <v>3</v>
      </c>
      <c r="D30" s="26" t="inlineStr">
        <is>
          <t>23</t>
        </is>
      </c>
      <c r="E30" s="27" t="inlineStr">
        <is>
          <t>ACT</t>
        </is>
      </c>
      <c r="F30" s="28" t="n"/>
      <c r="G30" s="28" t="n"/>
      <c r="H30" s="28" t="n">
        <v>0.09569999999999999</v>
      </c>
      <c r="I30" s="28" t="n">
        <v>0.0211</v>
      </c>
      <c r="J30" s="29" t="n">
        <v>17</v>
      </c>
      <c r="K30" s="30" t="n"/>
      <c r="L30" s="30" t="n">
        <v>0.1116</v>
      </c>
      <c r="M30" s="30" t="n">
        <v>0.0121</v>
      </c>
      <c r="N30" s="30" t="n">
        <v>0.6591</v>
      </c>
      <c r="O30" s="31" t="n">
        <v>0.99</v>
      </c>
      <c r="P30" s="31" t="n">
        <v>1.05</v>
      </c>
      <c r="Q30" s="31" t="n">
        <v>0.86</v>
      </c>
      <c r="R30" s="31" t="n">
        <v>1.18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Savion Williams</t>
        </is>
      </c>
      <c r="C31" s="26" t="n">
        <v>4</v>
      </c>
      <c r="D31" s="26" t="inlineStr">
        <is>
          <t>24</t>
        </is>
      </c>
      <c r="E31" s="27" t="inlineStr">
        <is>
          <t>ACT</t>
        </is>
      </c>
      <c r="F31" s="28" t="n"/>
      <c r="G31" s="28" t="n"/>
      <c r="H31" s="28" t="n">
        <v>0.0217</v>
      </c>
      <c r="I31" s="28" t="n">
        <v>0.0232</v>
      </c>
      <c r="J31" s="29" t="n">
        <v>17</v>
      </c>
      <c r="K31" s="30" t="n"/>
      <c r="L31" s="30" t="n">
        <v>0.0481</v>
      </c>
      <c r="M31" s="30" t="n">
        <v>0.0065</v>
      </c>
      <c r="N31" s="30" t="n">
        <v>1</v>
      </c>
      <c r="O31" s="31" t="n">
        <v>0.98</v>
      </c>
      <c r="P31" s="31" t="n">
        <v>0.92</v>
      </c>
      <c r="Q31" s="31" t="n">
        <v>1.14</v>
      </c>
      <c r="R31" s="31" t="n">
        <v>1.09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Bo Melton</t>
        </is>
      </c>
      <c r="C32" s="26" t="n">
        <v>5</v>
      </c>
      <c r="D32" s="26" t="inlineStr">
        <is>
          <t>27</t>
        </is>
      </c>
      <c r="E32" s="27" t="inlineStr">
        <is>
          <t>ACT</t>
        </is>
      </c>
      <c r="F32" s="28" t="n">
        <v>0.0428</v>
      </c>
      <c r="G32" s="28" t="n">
        <v>0.0366</v>
      </c>
      <c r="H32" s="28" t="n">
        <v>0.0283</v>
      </c>
      <c r="I32" s="28" t="n">
        <v>0.0105</v>
      </c>
      <c r="J32" s="29" t="n">
        <v>17</v>
      </c>
      <c r="K32" s="30" t="n"/>
      <c r="L32" s="30" t="n">
        <v>0.0362</v>
      </c>
      <c r="M32" s="30" t="n">
        <v>0.0039</v>
      </c>
      <c r="N32" s="30" t="n">
        <v>0.3921</v>
      </c>
      <c r="O32" s="31" t="n">
        <v>0.9399999999999999</v>
      </c>
      <c r="P32" s="31" t="n">
        <v>1.12</v>
      </c>
      <c r="Q32" s="31" t="n">
        <v>0.93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Skyy Moore</t>
        </is>
      </c>
      <c r="C33" s="26" t="n">
        <v>6</v>
      </c>
      <c r="D33" s="26" t="inlineStr">
        <is>
          <t>25</t>
        </is>
      </c>
      <c r="E33" s="36" t="inlineStr">
        <is>
          <t>role avg (from SF)</t>
        </is>
      </c>
      <c r="F33" s="28" t="n">
        <v>0.0634</v>
      </c>
      <c r="G33" s="28" t="n">
        <v>0.0052</v>
      </c>
      <c r="H33" s="28" t="n">
        <v>0.0127</v>
      </c>
      <c r="I33" s="28" t="n">
        <v>0.0043</v>
      </c>
      <c r="J33" s="29" t="n">
        <v>17</v>
      </c>
      <c r="K33" s="30" t="n"/>
      <c r="L33" s="30" t="n">
        <v>0.0253</v>
      </c>
      <c r="M33" s="30" t="n">
        <v>0.0022</v>
      </c>
      <c r="N33" s="30" t="n">
        <v>0.6742</v>
      </c>
      <c r="O33" s="31" t="n">
        <v>1.16</v>
      </c>
      <c r="P33" s="31" t="n">
        <v>1.05</v>
      </c>
      <c r="Q33" s="31" t="n">
        <v>2.17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Isaiah Neyor</t>
        </is>
      </c>
      <c r="C34" s="26" t="n">
        <v>7</v>
      </c>
      <c r="D34" s="26" t="inlineStr">
        <is>
          <t>25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0.0187</v>
      </c>
      <c r="M34" s="30" t="n">
        <v>0.0024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Kaden Prather</t>
        </is>
      </c>
      <c r="C35" s="26" t="n">
        <v>8</v>
      </c>
      <c r="D35" s="26" t="inlineStr">
        <is>
          <t>23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0.0113</v>
      </c>
      <c r="M35" s="30" t="n">
        <v>0.0022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Tucker Kraft</t>
        </is>
      </c>
      <c r="C37" s="26" t="n">
        <v>1</v>
      </c>
      <c r="D37" s="26" t="inlineStr">
        <is>
          <t>25</t>
        </is>
      </c>
      <c r="E37" s="41" t="inlineStr">
        <is>
          <t>QUESTIONABLE</t>
        </is>
      </c>
      <c r="F37" s="28" t="n">
        <v>0.0713</v>
      </c>
      <c r="G37" s="28" t="n">
        <v>0.1509</v>
      </c>
      <c r="H37" s="28" t="n">
        <v>0.09569999999999999</v>
      </c>
      <c r="I37" s="28" t="n">
        <v>0.0021</v>
      </c>
      <c r="J37" s="29" t="n">
        <v>17</v>
      </c>
      <c r="K37" s="30" t="n"/>
      <c r="L37" s="30" t="n">
        <v>0.1321</v>
      </c>
      <c r="M37" s="30" t="n">
        <v>0.0039</v>
      </c>
      <c r="N37" s="30" t="n">
        <v>0.735</v>
      </c>
      <c r="O37" s="31" t="n">
        <v>1.17</v>
      </c>
      <c r="P37" s="31" t="n">
        <v>0.96</v>
      </c>
      <c r="Q37" s="31" t="n">
        <v>1.24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Luke Musgrave</t>
        </is>
      </c>
      <c r="C38" s="26" t="n">
        <v>2</v>
      </c>
      <c r="D38" s="26" t="inlineStr">
        <is>
          <t>25</t>
        </is>
      </c>
      <c r="E38" s="41" t="inlineStr">
        <is>
          <t>PUP</t>
        </is>
      </c>
      <c r="F38" s="28" t="n">
        <v>0.082</v>
      </c>
      <c r="G38" s="28" t="n">
        <v>0.0216</v>
      </c>
      <c r="H38" s="28" t="n">
        <v>0.0674</v>
      </c>
      <c r="I38" s="28" t="n"/>
      <c r="J38" s="29" t="n">
        <v>17</v>
      </c>
      <c r="K38" s="30" t="n"/>
      <c r="L38" s="30" t="n">
        <v>0.06419999999999999</v>
      </c>
      <c r="M38" s="30" t="n">
        <v>0.0009</v>
      </c>
      <c r="N38" s="30" t="n">
        <v>0.756</v>
      </c>
      <c r="O38" s="31" t="n">
        <v>0.9399999999999999</v>
      </c>
      <c r="P38" s="31" t="n">
        <v>1</v>
      </c>
      <c r="Q38" s="31" t="n">
        <v>0.89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Drake Dabney</t>
        </is>
      </c>
      <c r="C39" s="26" t="n">
        <v>3</v>
      </c>
      <c r="D39" s="26" t="inlineStr">
        <is>
          <t>24</t>
        </is>
      </c>
      <c r="E39" s="27" t="inlineStr">
        <is>
          <t>ACT</t>
        </is>
      </c>
      <c r="F39" s="28" t="n"/>
      <c r="G39" s="28" t="n"/>
      <c r="H39" s="28" t="n">
        <v>0.0043</v>
      </c>
      <c r="I39" s="28" t="n"/>
      <c r="J39" s="29" t="n">
        <v>17</v>
      </c>
      <c r="K39" s="30" t="n"/>
      <c r="L39" s="30" t="n">
        <v>0.0113</v>
      </c>
      <c r="M39" s="30" t="n">
        <v>0.0009</v>
      </c>
      <c r="N39" s="30" t="n">
        <v>0.5</v>
      </c>
      <c r="O39" s="31" t="n">
        <v>0.93</v>
      </c>
      <c r="P39" s="31" t="n">
        <v>1</v>
      </c>
      <c r="Q39" s="31" t="n">
        <v>1.06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Josh Whyle</t>
        </is>
      </c>
      <c r="C40" s="26" t="n">
        <v>4</v>
      </c>
      <c r="D40" s="26" t="inlineStr">
        <is>
          <t>26</t>
        </is>
      </c>
      <c r="E40" s="27" t="inlineStr">
        <is>
          <t>ACT</t>
        </is>
      </c>
      <c r="F40" s="28" t="n">
        <v>0.0314</v>
      </c>
      <c r="G40" s="28" t="n">
        <v>0.073</v>
      </c>
      <c r="H40" s="28" t="n">
        <v>0.013</v>
      </c>
      <c r="I40" s="28" t="n"/>
      <c r="J40" s="29" t="n">
        <v>17</v>
      </c>
      <c r="K40" s="30" t="n"/>
      <c r="L40" s="30" t="n">
        <v>0.0327</v>
      </c>
      <c r="M40" s="30" t="n">
        <v>0.0009</v>
      </c>
      <c r="N40" s="30" t="n">
        <v>0.7533</v>
      </c>
      <c r="O40" s="31" t="n">
        <v>0.92</v>
      </c>
      <c r="P40" s="31" t="n">
        <v>1</v>
      </c>
      <c r="Q40" s="31" t="n">
        <v>1.35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HOU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62.8</v>
      </c>
      <c r="D5" s="12">
        <f>C5*B5</f>
        <v/>
      </c>
      <c r="E5" s="13" t="n">
        <v>0.5734</v>
      </c>
      <c r="F5" s="10" t="n">
        <v>571</v>
      </c>
      <c r="G5" s="12">
        <f>ROUND(F5*Settings!$B$4,0)</f>
        <v/>
      </c>
      <c r="H5" s="10" t="n">
        <v>456</v>
      </c>
      <c r="I5" s="10" t="n">
        <v>4022</v>
      </c>
      <c r="J5" s="11" t="n">
        <v>24</v>
      </c>
      <c r="K5" s="11" t="n">
        <v>11</v>
      </c>
      <c r="L5" s="10" t="n">
        <v>1875</v>
      </c>
      <c r="M5" s="11" t="n">
        <v>13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1083</v>
      </c>
      <c r="D8" s="16" t="n">
        <v>63.7059</v>
      </c>
      <c r="E8" s="17" t="n">
        <v>0.59</v>
      </c>
      <c r="F8" s="15" t="n">
        <v>592</v>
      </c>
      <c r="G8" s="15" t="n">
        <v>444</v>
      </c>
      <c r="H8" s="15" t="n">
        <v>4578</v>
      </c>
      <c r="I8" s="15" t="n">
        <v>1647</v>
      </c>
      <c r="J8" s="15" t="n">
        <v>27</v>
      </c>
      <c r="K8" s="15" t="n">
        <v>10</v>
      </c>
      <c r="L8" s="16" t="n">
        <v>7.7331</v>
      </c>
      <c r="M8" s="16" t="n">
        <v>3.7095</v>
      </c>
    </row>
    <row r="9">
      <c r="B9" s="15" t="n">
        <v>2024</v>
      </c>
      <c r="C9" s="15" t="n">
        <v>1058</v>
      </c>
      <c r="D9" s="16" t="n">
        <v>62.2353</v>
      </c>
      <c r="E9" s="17" t="n">
        <v>0.5898</v>
      </c>
      <c r="F9" s="15" t="n">
        <v>570</v>
      </c>
      <c r="G9" s="15" t="n">
        <v>434</v>
      </c>
      <c r="H9" s="15" t="n">
        <v>3952</v>
      </c>
      <c r="I9" s="15" t="n">
        <v>1909</v>
      </c>
      <c r="J9" s="15" t="n">
        <v>20</v>
      </c>
      <c r="K9" s="15" t="n">
        <v>15</v>
      </c>
      <c r="L9" s="16" t="n">
        <v>6.9333</v>
      </c>
      <c r="M9" s="16" t="n">
        <v>4.3986</v>
      </c>
    </row>
    <row r="10">
      <c r="B10" s="15" t="n">
        <v>2025</v>
      </c>
      <c r="C10" s="15" t="n">
        <v>1088</v>
      </c>
      <c r="D10" s="16" t="n">
        <v>64</v>
      </c>
      <c r="E10" s="17" t="n">
        <v>0.5634</v>
      </c>
      <c r="F10" s="15" t="n">
        <v>582</v>
      </c>
      <c r="G10" s="15" t="n">
        <v>475</v>
      </c>
      <c r="H10" s="15" t="n">
        <v>3956</v>
      </c>
      <c r="I10" s="15" t="n">
        <v>1852</v>
      </c>
      <c r="J10" s="15" t="n">
        <v>24</v>
      </c>
      <c r="K10" s="15" t="n">
        <v>9</v>
      </c>
      <c r="L10" s="16" t="n">
        <v>6.7973</v>
      </c>
      <c r="M10" s="16" t="n">
        <v>3.8989</v>
      </c>
    </row>
    <row r="11"/>
    <row r="12">
      <c r="A12" s="18" t="inlineStr">
        <is>
          <t>OUT</t>
        </is>
      </c>
      <c r="B12" s="19" t="inlineStr">
        <is>
          <t>18% of targets and 29% of carries left. Share is team-relative - it does NOT follow the player.</t>
        </is>
      </c>
      <c r="H12" s="8" t="inlineStr">
        <is>
          <t>Nick Chubb (4t/26r -&gt; NOT ON ANY ROSTER), Christian Kirk (9t/0r -&gt; SF), Dare Ogunbowale (2t/2r -&gt; NOT ON ANY ROSTER), Braxton Berrios (1t/0r -&gt; NYG), Harrison Bryant (1t/0r -&gt; NOT ON ANY ROSTER)</t>
        </is>
      </c>
    </row>
    <row r="13">
      <c r="A13" s="20" t="inlineStr">
        <is>
          <t>IN</t>
        </is>
      </c>
      <c r="B13" s="21" t="inlineStr">
        <is>
          <t>2 new: David Montgomery (RB, from DET - had 5% there), Foster Moreau (TE, from NO - had 2% there)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C.J. Stroud</t>
        </is>
      </c>
      <c r="C17" s="26" t="n">
        <v>1</v>
      </c>
      <c r="D17" s="26" t="inlineStr">
        <is>
          <t>24</t>
        </is>
      </c>
      <c r="E17" s="27" t="inlineStr">
        <is>
          <t>ACT</t>
        </is>
      </c>
      <c r="F17" s="28" t="n">
        <v>0.0018</v>
      </c>
      <c r="G17" s="28" t="n">
        <v>0.0018</v>
      </c>
      <c r="H17" s="28" t="n"/>
      <c r="I17" s="28" t="n">
        <v>0.0823</v>
      </c>
      <c r="J17" s="29" t="n">
        <v>17</v>
      </c>
      <c r="K17" s="30" t="n">
        <v>0.92</v>
      </c>
      <c r="L17" s="30" t="n">
        <v>0.0017</v>
      </c>
      <c r="M17" s="30" t="n">
        <v>0.07920000000000001</v>
      </c>
      <c r="N17" s="30" t="n"/>
      <c r="O17" s="31" t="n">
        <v>1</v>
      </c>
      <c r="P17" s="31" t="n">
        <v>1.21</v>
      </c>
      <c r="Q17" s="31" t="n">
        <v>1.85</v>
      </c>
      <c r="R17" s="31" t="n">
        <v>1.09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Davis Mills</t>
        </is>
      </c>
      <c r="C18" s="26" t="n">
        <v>2</v>
      </c>
      <c r="D18" s="26" t="inlineStr">
        <is>
          <t>27</t>
        </is>
      </c>
      <c r="E18" s="27" t="inlineStr">
        <is>
          <t>ACT</t>
        </is>
      </c>
      <c r="F18" s="28" t="n"/>
      <c r="G18" s="28" t="n"/>
      <c r="H18" s="28" t="n"/>
      <c r="I18" s="28" t="n">
        <v>0.0216</v>
      </c>
      <c r="J18" s="29" t="n">
        <v>17</v>
      </c>
      <c r="K18" s="30" t="n">
        <v>0.068</v>
      </c>
      <c r="L18" s="30" t="n">
        <v>0.0008</v>
      </c>
      <c r="M18" s="30" t="n">
        <v>0.0128</v>
      </c>
      <c r="N18" s="30" t="n"/>
      <c r="O18" s="31" t="n">
        <v>1</v>
      </c>
      <c r="P18" s="31" t="n">
        <v>1.09</v>
      </c>
      <c r="Q18" s="31" t="n">
        <v>1</v>
      </c>
      <c r="R18" s="31" t="n">
        <v>1.17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Graham Mertz</t>
        </is>
      </c>
      <c r="C19" s="26" t="n">
        <v>3</v>
      </c>
      <c r="D19" s="26" t="inlineStr">
        <is>
          <t>25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0.0018</v>
      </c>
      <c r="M19" s="30" t="n">
        <v>0.0067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David Montgomery</t>
        </is>
      </c>
      <c r="C21" s="26" t="n">
        <v>1</v>
      </c>
      <c r="D21" s="26" t="inlineStr">
        <is>
          <t>29</t>
        </is>
      </c>
      <c r="E21" s="36" t="inlineStr">
        <is>
          <t>role avg (from DET)</t>
        </is>
      </c>
      <c r="F21" s="28" t="n">
        <v>0.0418</v>
      </c>
      <c r="G21" s="28" t="n">
        <v>0.0728</v>
      </c>
      <c r="H21" s="28" t="n">
        <v>0.0527</v>
      </c>
      <c r="I21" s="28" t="n">
        <v>0.3666</v>
      </c>
      <c r="J21" s="29" t="n">
        <v>17</v>
      </c>
      <c r="K21" s="30" t="n"/>
      <c r="L21" s="30" t="n">
        <v>0.0815</v>
      </c>
      <c r="M21" s="30" t="n">
        <v>0.4591</v>
      </c>
      <c r="N21" s="30" t="n">
        <v>0.831</v>
      </c>
      <c r="O21" s="31" t="n">
        <v>0.89</v>
      </c>
      <c r="P21" s="31" t="n">
        <v>0.9399999999999999</v>
      </c>
      <c r="Q21" s="31" t="n">
        <v>0.85</v>
      </c>
      <c r="R21" s="31" t="n">
        <v>0.84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Woody Marks</t>
        </is>
      </c>
      <c r="C22" s="26" t="n">
        <v>2</v>
      </c>
      <c r="D22" s="26" t="inlineStr">
        <is>
          <t>25</t>
        </is>
      </c>
      <c r="E22" s="27" t="inlineStr">
        <is>
          <t>ACT</t>
        </is>
      </c>
      <c r="F22" s="28" t="n"/>
      <c r="G22" s="28" t="n"/>
      <c r="H22" s="28" t="n">
        <v>0.06510000000000001</v>
      </c>
      <c r="I22" s="28" t="n">
        <v>0.4242</v>
      </c>
      <c r="J22" s="29" t="n">
        <v>17</v>
      </c>
      <c r="K22" s="30" t="n"/>
      <c r="L22" s="30" t="n">
        <v>0.0526</v>
      </c>
      <c r="M22" s="30" t="n">
        <v>0.2743</v>
      </c>
      <c r="N22" s="30" t="n">
        <v>0.6667</v>
      </c>
      <c r="O22" s="31" t="n">
        <v>0.88</v>
      </c>
      <c r="P22" s="31" t="n">
        <v>0.9</v>
      </c>
      <c r="Q22" s="31" t="n">
        <v>1.56</v>
      </c>
      <c r="R22" s="31" t="n">
        <v>1.37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Jawhar Jordan</t>
        </is>
      </c>
      <c r="C23" s="26" t="n">
        <v>3</v>
      </c>
      <c r="D23" s="26" t="inlineStr">
        <is>
          <t>26</t>
        </is>
      </c>
      <c r="E23" s="27" t="inlineStr">
        <is>
          <t>ACT</t>
        </is>
      </c>
      <c r="F23" s="28" t="n"/>
      <c r="G23" s="28" t="n"/>
      <c r="H23" s="28" t="n">
        <v>0.0127</v>
      </c>
      <c r="I23" s="28" t="n">
        <v>0.0931</v>
      </c>
      <c r="J23" s="29" t="n">
        <v>17</v>
      </c>
      <c r="K23" s="30" t="n"/>
      <c r="L23" s="30" t="n">
        <v>0.014</v>
      </c>
      <c r="M23" s="30" t="n">
        <v>0.0752</v>
      </c>
      <c r="N23" s="30" t="n">
        <v>1</v>
      </c>
      <c r="O23" s="31" t="n">
        <v>0.92</v>
      </c>
      <c r="P23" s="31" t="n">
        <v>1.08</v>
      </c>
      <c r="Q23" s="31" t="n">
        <v>1</v>
      </c>
      <c r="R23" s="31" t="n">
        <v>0.9399999999999999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British Brooks</t>
        </is>
      </c>
      <c r="C24" s="26" t="n">
        <v>4</v>
      </c>
      <c r="D24" s="26" t="inlineStr">
        <is>
          <t>26</t>
        </is>
      </c>
      <c r="E24" s="41" t="inlineStr">
        <is>
          <t>QUESTIONABLE</t>
        </is>
      </c>
      <c r="F24" s="28" t="n"/>
      <c r="G24" s="28" t="n"/>
      <c r="H24" s="28" t="n"/>
      <c r="I24" s="28" t="n">
        <v>0.0368</v>
      </c>
      <c r="J24" s="29" t="n">
        <v>17</v>
      </c>
      <c r="K24" s="30" t="n"/>
      <c r="L24" s="30" t="n">
        <v>0.0036</v>
      </c>
      <c r="M24" s="30" t="n">
        <v>0.0255</v>
      </c>
      <c r="N24" s="30" t="n"/>
      <c r="O24" s="31" t="n">
        <v>1</v>
      </c>
      <c r="P24" s="31" t="n">
        <v>1.01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Noah Whittington</t>
        </is>
      </c>
      <c r="C25" s="26" t="n">
        <v>5</v>
      </c>
      <c r="D25" s="26" t="inlineStr">
        <is>
          <t>24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0.0056</v>
      </c>
      <c r="M25" s="30" t="n">
        <v>0.0111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Joshua Pitsenberger</t>
        </is>
      </c>
      <c r="C26" s="26" t="n">
        <v>6</v>
      </c>
      <c r="D26" s="26" t="inlineStr"/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0.0033</v>
      </c>
      <c r="M26" s="30" t="n">
        <v>0.0041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Nico Collins</t>
        </is>
      </c>
      <c r="C28" s="26" t="n">
        <v>1</v>
      </c>
      <c r="D28" s="26" t="inlineStr">
        <is>
          <t>27</t>
        </is>
      </c>
      <c r="E28" s="27" t="inlineStr">
        <is>
          <t>ACT</t>
        </is>
      </c>
      <c r="F28" s="28" t="n">
        <v>0.1926</v>
      </c>
      <c r="G28" s="28" t="n">
        <v>0.181</v>
      </c>
      <c r="H28" s="28" t="n">
        <v>0.217</v>
      </c>
      <c r="I28" s="28" t="n">
        <v>0.0043</v>
      </c>
      <c r="J28" s="29" t="n">
        <v>17</v>
      </c>
      <c r="K28" s="30" t="n"/>
      <c r="L28" s="30" t="n">
        <v>0.1945</v>
      </c>
      <c r="M28" s="30" t="n">
        <v>0.0148</v>
      </c>
      <c r="N28" s="30" t="n">
        <v>0.6462</v>
      </c>
      <c r="O28" s="31" t="n">
        <v>1.31</v>
      </c>
      <c r="P28" s="31" t="n">
        <v>1.07</v>
      </c>
      <c r="Q28" s="31" t="n">
        <v>1.06</v>
      </c>
      <c r="R28" s="31" t="n">
        <v>0.98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Jayden Higgins</t>
        </is>
      </c>
      <c r="C29" s="26" t="n">
        <v>2</v>
      </c>
      <c r="D29" s="26" t="inlineStr">
        <is>
          <t>23</t>
        </is>
      </c>
      <c r="E29" s="27" t="inlineStr">
        <is>
          <t>ACT</t>
        </is>
      </c>
      <c r="F29" s="28" t="n"/>
      <c r="G29" s="28" t="n"/>
      <c r="H29" s="28" t="n">
        <v>0.123</v>
      </c>
      <c r="I29" s="28" t="n"/>
      <c r="J29" s="29" t="n">
        <v>17</v>
      </c>
      <c r="K29" s="30" t="n"/>
      <c r="L29" s="30" t="n">
        <v>0.1222</v>
      </c>
      <c r="M29" s="30" t="n">
        <v>0.0028</v>
      </c>
      <c r="N29" s="30" t="n">
        <v>0.6029</v>
      </c>
      <c r="O29" s="31" t="n">
        <v>1.06</v>
      </c>
      <c r="P29" s="31" t="n">
        <v>1</v>
      </c>
      <c r="Q29" s="31" t="n">
        <v>0.9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Tank Dell</t>
        </is>
      </c>
      <c r="C30" s="26" t="n">
        <v>3</v>
      </c>
      <c r="D30" s="26" t="inlineStr">
        <is>
          <t>26</t>
        </is>
      </c>
      <c r="E30" s="41" t="inlineStr">
        <is>
          <t>QUESTIONABLE</t>
        </is>
      </c>
      <c r="F30" s="28" t="n">
        <v>0.1325</v>
      </c>
      <c r="G30" s="28" t="n">
        <v>0.1481</v>
      </c>
      <c r="H30" s="28" t="n"/>
      <c r="I30" s="28" t="n"/>
      <c r="J30" s="29" t="n">
        <v>17</v>
      </c>
      <c r="K30" s="30" t="n"/>
      <c r="L30" s="30" t="n">
        <v>0.1208</v>
      </c>
      <c r="M30" s="30" t="n">
        <v>0.0136</v>
      </c>
      <c r="N30" s="30" t="n">
        <v>0.6286</v>
      </c>
      <c r="O30" s="31" t="n">
        <v>1.12</v>
      </c>
      <c r="P30" s="31" t="n">
        <v>1.04</v>
      </c>
      <c r="Q30" s="31" t="n">
        <v>0.98</v>
      </c>
      <c r="R30" s="31" t="n">
        <v>1.02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Jaylin Noel</t>
        </is>
      </c>
      <c r="C31" s="26" t="n">
        <v>4</v>
      </c>
      <c r="D31" s="26" t="inlineStr">
        <is>
          <t>23</t>
        </is>
      </c>
      <c r="E31" s="41" t="inlineStr">
        <is>
          <t>PUP</t>
        </is>
      </c>
      <c r="F31" s="28" t="n"/>
      <c r="G31" s="28" t="n"/>
      <c r="H31" s="28" t="n">
        <v>0.0633</v>
      </c>
      <c r="I31" s="28" t="n">
        <v>0.013</v>
      </c>
      <c r="J31" s="29" t="n">
        <v>17</v>
      </c>
      <c r="K31" s="30" t="n"/>
      <c r="L31" s="30" t="n">
        <v>0.0614</v>
      </c>
      <c r="M31" s="30" t="n">
        <v>0.0036</v>
      </c>
      <c r="N31" s="30" t="n">
        <v>0.7429</v>
      </c>
      <c r="O31" s="31" t="n">
        <v>1.11</v>
      </c>
      <c r="P31" s="31" t="n">
        <v>0.88</v>
      </c>
      <c r="Q31" s="31" t="n">
        <v>1.05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Xavier Hutchinson</t>
        </is>
      </c>
      <c r="C32" s="26" t="n">
        <v>5</v>
      </c>
      <c r="D32" s="26" t="inlineStr">
        <is>
          <t>26</t>
        </is>
      </c>
      <c r="E32" s="27" t="inlineStr">
        <is>
          <t>ACT</t>
        </is>
      </c>
      <c r="F32" s="28" t="n">
        <v>0.0336</v>
      </c>
      <c r="G32" s="28" t="n">
        <v>0.0475</v>
      </c>
      <c r="H32" s="28" t="n">
        <v>0.1031</v>
      </c>
      <c r="I32" s="28" t="n">
        <v>0.0065</v>
      </c>
      <c r="J32" s="29" t="n">
        <v>17</v>
      </c>
      <c r="K32" s="30" t="n"/>
      <c r="L32" s="30" t="n">
        <v>0.0568</v>
      </c>
      <c r="M32" s="30" t="n">
        <v>0.0028</v>
      </c>
      <c r="N32" s="30" t="n">
        <v>0.5322</v>
      </c>
      <c r="O32" s="31" t="n">
        <v>0.89</v>
      </c>
      <c r="P32" s="31" t="n">
        <v>1.16</v>
      </c>
      <c r="Q32" s="31" t="n">
        <v>0.98</v>
      </c>
      <c r="R32" s="31" t="n">
        <v>1.62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Justin Watson</t>
        </is>
      </c>
      <c r="C33" s="26" t="n">
        <v>6</v>
      </c>
      <c r="D33" s="26" t="inlineStr">
        <is>
          <t>30</t>
        </is>
      </c>
      <c r="E33" s="27" t="inlineStr">
        <is>
          <t>ACT</t>
        </is>
      </c>
      <c r="F33" s="28" t="n">
        <v>0.0885</v>
      </c>
      <c r="G33" s="28" t="n">
        <v>0.0559</v>
      </c>
      <c r="H33" s="28" t="n">
        <v>0.0072</v>
      </c>
      <c r="I33" s="28" t="n"/>
      <c r="J33" s="29" t="n">
        <v>17</v>
      </c>
      <c r="K33" s="30" t="n"/>
      <c r="L33" s="30" t="n">
        <v>0.0418</v>
      </c>
      <c r="M33" s="30" t="n">
        <v>0.0008</v>
      </c>
      <c r="N33" s="30" t="n">
        <v>0.6389</v>
      </c>
      <c r="O33" s="31" t="n">
        <v>1.13</v>
      </c>
      <c r="P33" s="31" t="n">
        <v>1</v>
      </c>
      <c r="Q33" s="31" t="n">
        <v>0.97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Josh Kelly</t>
        </is>
      </c>
      <c r="C34" s="26" t="n">
        <v>7</v>
      </c>
      <c r="D34" s="26" t="inlineStr">
        <is>
          <t>25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0.0062</v>
      </c>
      <c r="M34" s="30" t="n">
        <v>0.0021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Montrell Washington</t>
        </is>
      </c>
      <c r="C35" s="26" t="n">
        <v>8</v>
      </c>
      <c r="D35" s="26" t="inlineStr">
        <is>
          <t>27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0.0041</v>
      </c>
      <c r="M35" s="30" t="n">
        <v>0.0019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Dalton Schultz</t>
        </is>
      </c>
      <c r="C37" s="26" t="n">
        <v>1</v>
      </c>
      <c r="D37" s="26" t="inlineStr">
        <is>
          <t>30</t>
        </is>
      </c>
      <c r="E37" s="27" t="inlineStr">
        <is>
          <t>ACT</t>
        </is>
      </c>
      <c r="F37" s="28" t="n">
        <v>0.1555</v>
      </c>
      <c r="G37" s="28" t="n">
        <v>0.1554</v>
      </c>
      <c r="H37" s="28" t="n">
        <v>0.1917</v>
      </c>
      <c r="I37" s="28" t="n"/>
      <c r="J37" s="29" t="n">
        <v>17</v>
      </c>
      <c r="K37" s="30" t="n"/>
      <c r="L37" s="30" t="n">
        <v>0.1582</v>
      </c>
      <c r="M37" s="30" t="n">
        <v>0.0021</v>
      </c>
      <c r="N37" s="30" t="n">
        <v>0.7088</v>
      </c>
      <c r="O37" s="31" t="n">
        <v>0.96</v>
      </c>
      <c r="P37" s="31" t="n">
        <v>1</v>
      </c>
      <c r="Q37" s="31" t="n">
        <v>0.9399999999999999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Marlin Klein</t>
        </is>
      </c>
      <c r="C38" s="26" t="n">
        <v>2</v>
      </c>
      <c r="D38" s="26" t="inlineStr">
        <is>
          <t>23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0.0392</v>
      </c>
      <c r="M38" s="30" t="n">
        <v>0.0021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Cade Stover</t>
        </is>
      </c>
      <c r="C39" s="26" t="n">
        <v>3</v>
      </c>
      <c r="D39" s="26" t="inlineStr">
        <is>
          <t>26</t>
        </is>
      </c>
      <c r="E39" s="27" t="inlineStr">
        <is>
          <t>ACT</t>
        </is>
      </c>
      <c r="F39" s="28" t="n"/>
      <c r="G39" s="28" t="n">
        <v>0.0402</v>
      </c>
      <c r="H39" s="28" t="n">
        <v>0.0289</v>
      </c>
      <c r="I39" s="28" t="n">
        <v>0.008699999999999999</v>
      </c>
      <c r="J39" s="29" t="n">
        <v>17</v>
      </c>
      <c r="K39" s="30" t="n"/>
      <c r="L39" s="30" t="n">
        <v>0.0245</v>
      </c>
      <c r="M39" s="30" t="n">
        <v>0.0031</v>
      </c>
      <c r="N39" s="30" t="n">
        <v>0.7159</v>
      </c>
      <c r="O39" s="31" t="n">
        <v>0.88</v>
      </c>
      <c r="P39" s="31" t="n">
        <v>0.86</v>
      </c>
      <c r="Q39" s="31" t="n">
        <v>1.21</v>
      </c>
      <c r="R39" s="31" t="n">
        <v>2.5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Foster Moreau</t>
        </is>
      </c>
      <c r="C40" s="26" t="n">
        <v>4</v>
      </c>
      <c r="D40" s="26" t="inlineStr">
        <is>
          <t>29</t>
        </is>
      </c>
      <c r="E40" s="36" t="inlineStr">
        <is>
          <t>role avg (from NO)</t>
        </is>
      </c>
      <c r="F40" s="28" t="n">
        <v>0.0432</v>
      </c>
      <c r="G40" s="28" t="n">
        <v>0.0832</v>
      </c>
      <c r="H40" s="28" t="n">
        <v>0.0177</v>
      </c>
      <c r="I40" s="28" t="n"/>
      <c r="J40" s="29" t="n">
        <v>17</v>
      </c>
      <c r="K40" s="30" t="n"/>
      <c r="L40" s="30" t="n">
        <v>0.0054</v>
      </c>
      <c r="M40" s="30" t="n">
        <v>0.0021</v>
      </c>
      <c r="N40" s="30" t="n">
        <v>0.7475000000000001</v>
      </c>
      <c r="O40" s="31" t="n">
        <v>1.04</v>
      </c>
      <c r="P40" s="31" t="n">
        <v>1</v>
      </c>
      <c r="Q40" s="31" t="n">
        <v>2.5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IND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61.5</v>
      </c>
      <c r="D5" s="12">
        <f>C5*B5</f>
        <v/>
      </c>
      <c r="E5" s="13" t="n">
        <v>0.5562</v>
      </c>
      <c r="F5" s="10" t="n">
        <v>546</v>
      </c>
      <c r="G5" s="12">
        <f>ROUND(F5*Settings!$B$4,0)</f>
        <v/>
      </c>
      <c r="H5" s="10" t="n">
        <v>464</v>
      </c>
      <c r="I5" s="10" t="n">
        <v>3909</v>
      </c>
      <c r="J5" s="11" t="n">
        <v>23</v>
      </c>
      <c r="K5" s="11" t="n">
        <v>14</v>
      </c>
      <c r="L5" s="10" t="n">
        <v>2073</v>
      </c>
      <c r="M5" s="11" t="n">
        <v>20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1094</v>
      </c>
      <c r="D8" s="16" t="n">
        <v>64.35290000000001</v>
      </c>
      <c r="E8" s="17" t="n">
        <v>0.5622</v>
      </c>
      <c r="F8" s="15" t="n">
        <v>574</v>
      </c>
      <c r="G8" s="15" t="n">
        <v>479</v>
      </c>
      <c r="H8" s="15" t="n">
        <v>3882</v>
      </c>
      <c r="I8" s="15" t="n">
        <v>2059</v>
      </c>
      <c r="J8" s="15" t="n">
        <v>18</v>
      </c>
      <c r="K8" s="15" t="n">
        <v>19</v>
      </c>
      <c r="L8" s="16" t="n">
        <v>6.7631</v>
      </c>
      <c r="M8" s="16" t="n">
        <v>4.2985</v>
      </c>
    </row>
    <row r="9">
      <c r="B9" s="15" t="n">
        <v>2024</v>
      </c>
      <c r="C9" s="15" t="n">
        <v>1041</v>
      </c>
      <c r="D9" s="16" t="n">
        <v>61.2353</v>
      </c>
      <c r="E9" s="17" t="n">
        <v>0.5235</v>
      </c>
      <c r="F9" s="15" t="n">
        <v>513</v>
      </c>
      <c r="G9" s="15" t="n">
        <v>496</v>
      </c>
      <c r="H9" s="15" t="n">
        <v>3599</v>
      </c>
      <c r="I9" s="15" t="n">
        <v>2331</v>
      </c>
      <c r="J9" s="15" t="n">
        <v>20</v>
      </c>
      <c r="K9" s="15" t="n">
        <v>20</v>
      </c>
      <c r="L9" s="16" t="n">
        <v>7.0156</v>
      </c>
      <c r="M9" s="16" t="n">
        <v>4.6996</v>
      </c>
    </row>
    <row r="10">
      <c r="B10" s="15" t="n">
        <v>2025</v>
      </c>
      <c r="C10" s="15" t="n">
        <v>1018</v>
      </c>
      <c r="D10" s="16" t="n">
        <v>59.8824</v>
      </c>
      <c r="E10" s="17" t="n">
        <v>0.5658</v>
      </c>
      <c r="F10" s="15" t="n">
        <v>547</v>
      </c>
      <c r="G10" s="15" t="n">
        <v>442</v>
      </c>
      <c r="H10" s="15" t="n">
        <v>4085</v>
      </c>
      <c r="I10" s="15" t="n">
        <v>2007</v>
      </c>
      <c r="J10" s="15" t="n">
        <v>25</v>
      </c>
      <c r="K10" s="15" t="n">
        <v>27</v>
      </c>
      <c r="L10" s="16" t="n">
        <v>7.468</v>
      </c>
      <c r="M10" s="16" t="n">
        <v>4.5407</v>
      </c>
    </row>
    <row r="11"/>
    <row r="12">
      <c r="A12" s="18" t="inlineStr">
        <is>
          <t>OUT</t>
        </is>
      </c>
      <c r="B12" s="19" t="inlineStr">
        <is>
          <t>25% of targets and 5% of carries left. Share is team-relative - it does NOT follow the player.</t>
        </is>
      </c>
      <c r="H12" s="8" t="inlineStr">
        <is>
          <t>Michael Pittman Jr. (21t/0r -&gt; PIT), Ameer Abdullah (3t/3r -&gt; JAC), Tyler Goodson (1t/2r -&gt; ATL)</t>
        </is>
      </c>
    </row>
    <row r="13">
      <c r="A13" s="20" t="inlineStr">
        <is>
          <t>IN</t>
        </is>
      </c>
      <c r="B13" s="21" t="inlineStr">
        <is>
          <t>1 new: Nick Westbrook-Ikhine (WR, from MIA - had 4% there)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Daniel Jones</t>
        </is>
      </c>
      <c r="C17" s="26" t="n">
        <v>1</v>
      </c>
      <c r="D17" s="26" t="inlineStr">
        <is>
          <t>29</t>
        </is>
      </c>
      <c r="E17" s="27" t="inlineStr">
        <is>
          <t>ACT</t>
        </is>
      </c>
      <c r="F17" s="28" t="n"/>
      <c r="G17" s="28" t="n"/>
      <c r="H17" s="28" t="n"/>
      <c r="I17" s="28" t="n">
        <v>0.08840000000000001</v>
      </c>
      <c r="J17" s="29" t="n">
        <v>17</v>
      </c>
      <c r="K17" s="30" t="n">
        <v>0.92</v>
      </c>
      <c r="L17" s="30" t="n">
        <v>0.0009</v>
      </c>
      <c r="M17" s="30" t="n">
        <v>0.09619999999999999</v>
      </c>
      <c r="N17" s="30" t="n"/>
      <c r="O17" s="31" t="n">
        <v>1</v>
      </c>
      <c r="P17" s="31" t="n">
        <v>0.99</v>
      </c>
      <c r="Q17" s="31" t="n">
        <v>1</v>
      </c>
      <c r="R17" s="31" t="n">
        <v>1.43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Riley Leonard</t>
        </is>
      </c>
      <c r="C18" s="26" t="n">
        <v>2</v>
      </c>
      <c r="D18" s="26" t="inlineStr">
        <is>
          <t>23</t>
        </is>
      </c>
      <c r="E18" s="27" t="inlineStr">
        <is>
          <t>ACT</t>
        </is>
      </c>
      <c r="F18" s="28" t="n"/>
      <c r="G18" s="28" t="n"/>
      <c r="H18" s="28" t="n"/>
      <c r="I18" s="28" t="n">
        <v>0.0116</v>
      </c>
      <c r="J18" s="29" t="n">
        <v>17</v>
      </c>
      <c r="K18" s="30" t="n">
        <v>0.068</v>
      </c>
      <c r="L18" s="30" t="n">
        <v>0.0009</v>
      </c>
      <c r="M18" s="30" t="n">
        <v>0.0147</v>
      </c>
      <c r="N18" s="30" t="n"/>
      <c r="O18" s="31" t="n">
        <v>1</v>
      </c>
      <c r="P18" s="31" t="n">
        <v>1.03</v>
      </c>
      <c r="Q18" s="31" t="n">
        <v>1</v>
      </c>
      <c r="R18" s="31" t="n">
        <v>1.06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Anthony Richardson</t>
        </is>
      </c>
      <c r="C19" s="26" t="n">
        <v>3</v>
      </c>
      <c r="D19" s="26" t="inlineStr">
        <is>
          <t>24</t>
        </is>
      </c>
      <c r="E19" s="27" t="inlineStr">
        <is>
          <t>ACT</t>
        </is>
      </c>
      <c r="F19" s="28" t="n"/>
      <c r="G19" s="28" t="n">
        <v>0.002</v>
      </c>
      <c r="H19" s="28" t="n">
        <v>0.0019</v>
      </c>
      <c r="I19" s="28" t="n">
        <v>0.0023</v>
      </c>
      <c r="J19" s="29" t="n">
        <v>17</v>
      </c>
      <c r="K19" s="30" t="n">
        <v>0.012</v>
      </c>
      <c r="L19" s="30" t="n">
        <v>0.0021</v>
      </c>
      <c r="M19" s="30" t="n">
        <v>0.0678</v>
      </c>
      <c r="N19" s="30" t="n"/>
      <c r="O19" s="31" t="n">
        <v>0.96</v>
      </c>
      <c r="P19" s="31" t="n">
        <v>1.01</v>
      </c>
      <c r="Q19" s="31" t="n">
        <v>1</v>
      </c>
      <c r="R19" s="31" t="n">
        <v>1.97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Jonathan Taylor</t>
        </is>
      </c>
      <c r="C21" s="26" t="n">
        <v>1</v>
      </c>
      <c r="D21" s="26" t="inlineStr">
        <is>
          <t>27</t>
        </is>
      </c>
      <c r="E21" s="27" t="inlineStr">
        <is>
          <t>ACT</t>
        </is>
      </c>
      <c r="F21" s="28" t="n">
        <v>0.0421</v>
      </c>
      <c r="G21" s="28" t="n">
        <v>0.063</v>
      </c>
      <c r="H21" s="28" t="n">
        <v>0.1038</v>
      </c>
      <c r="I21" s="28" t="n">
        <v>0.7512</v>
      </c>
      <c r="J21" s="29" t="n">
        <v>17</v>
      </c>
      <c r="K21" s="30" t="n"/>
      <c r="L21" s="30" t="n">
        <v>0.0912</v>
      </c>
      <c r="M21" s="30" t="n">
        <v>0.5905</v>
      </c>
      <c r="N21" s="30" t="n">
        <v>0.7619</v>
      </c>
      <c r="O21" s="31" t="n">
        <v>0.87</v>
      </c>
      <c r="P21" s="31" t="n">
        <v>1.02</v>
      </c>
      <c r="Q21" s="31" t="n">
        <v>0.9</v>
      </c>
      <c r="R21" s="31" t="n">
        <v>0.99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DJ Giddens</t>
        </is>
      </c>
      <c r="C22" s="26" t="n">
        <v>2</v>
      </c>
      <c r="D22" s="26" t="inlineStr">
        <is>
          <t>22</t>
        </is>
      </c>
      <c r="E22" s="27" t="inlineStr">
        <is>
          <t>ACT</t>
        </is>
      </c>
      <c r="F22" s="28" t="n"/>
      <c r="G22" s="28" t="n"/>
      <c r="H22" s="28" t="n">
        <v>0.0038</v>
      </c>
      <c r="I22" s="28" t="n">
        <v>0.0605</v>
      </c>
      <c r="J22" s="29" t="n">
        <v>17</v>
      </c>
      <c r="K22" s="30" t="n"/>
      <c r="L22" s="30" t="n">
        <v>0.02</v>
      </c>
      <c r="M22" s="30" t="n">
        <v>0.1109</v>
      </c>
      <c r="N22" s="30" t="n"/>
      <c r="O22" s="31" t="n">
        <v>1</v>
      </c>
      <c r="P22" s="31" t="n">
        <v>0.88</v>
      </c>
      <c r="Q22" s="31" t="n">
        <v>0.97</v>
      </c>
      <c r="R22" s="31" t="n">
        <v>0.78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Seth McGowan</t>
        </is>
      </c>
      <c r="C23" s="26" t="n">
        <v>3</v>
      </c>
      <c r="D23" s="26" t="inlineStr">
        <is>
          <t>24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0.0192</v>
      </c>
      <c r="M23" s="30" t="n">
        <v>0.0618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Ulysses Bentley</t>
        </is>
      </c>
      <c r="C24" s="26" t="n">
        <v>4</v>
      </c>
      <c r="D24" s="26" t="inlineStr">
        <is>
          <t>25</t>
        </is>
      </c>
      <c r="E24" s="27" t="inlineStr">
        <is>
          <t>ACT</t>
        </is>
      </c>
      <c r="F24" s="28" t="n"/>
      <c r="G24" s="28" t="n"/>
      <c r="H24" s="28" t="n"/>
      <c r="I24" s="28" t="n">
        <v>0.0023</v>
      </c>
      <c r="J24" s="29" t="n">
        <v>17</v>
      </c>
      <c r="K24" s="30" t="n"/>
      <c r="L24" s="30" t="n">
        <v>0.0032</v>
      </c>
      <c r="M24" s="30" t="n">
        <v>0.0148</v>
      </c>
      <c r="N24" s="30" t="n"/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Anderson Castle</t>
        </is>
      </c>
      <c r="C25" s="26" t="n">
        <v>5</v>
      </c>
      <c r="D25" s="26" t="inlineStr"/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0.0035</v>
      </c>
      <c r="M25" s="30" t="n">
        <v>0.0072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Roydell Williams</t>
        </is>
      </c>
      <c r="C26" s="26" t="n">
        <v>6</v>
      </c>
      <c r="D26" s="26" t="inlineStr">
        <is>
          <t>24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0.0029</v>
      </c>
      <c r="M26" s="30" t="n">
        <v>0.0032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Alec Pierce</t>
        </is>
      </c>
      <c r="C28" s="26" t="n">
        <v>1</v>
      </c>
      <c r="D28" s="26" t="inlineStr">
        <is>
          <t>26</t>
        </is>
      </c>
      <c r="E28" s="41" t="inlineStr">
        <is>
          <t>PUP</t>
        </is>
      </c>
      <c r="F28" s="28" t="n">
        <v>0.119</v>
      </c>
      <c r="G28" s="28" t="n">
        <v>0.1402</v>
      </c>
      <c r="H28" s="28" t="n">
        <v>0.1585</v>
      </c>
      <c r="I28" s="28" t="n"/>
      <c r="J28" s="29" t="n">
        <v>17</v>
      </c>
      <c r="K28" s="30" t="n"/>
      <c r="L28" s="30" t="n">
        <v>0.1924</v>
      </c>
      <c r="M28" s="30" t="n">
        <v>0.0049</v>
      </c>
      <c r="N28" s="30" t="n">
        <v>0.5377999999999999</v>
      </c>
      <c r="O28" s="31" t="n">
        <v>1.38</v>
      </c>
      <c r="P28" s="31" t="n">
        <v>1</v>
      </c>
      <c r="Q28" s="31" t="n">
        <v>0.82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Josh Downs</t>
        </is>
      </c>
      <c r="C29" s="26" t="n">
        <v>2</v>
      </c>
      <c r="D29" s="26" t="inlineStr">
        <is>
          <t>24</t>
        </is>
      </c>
      <c r="E29" s="27" t="inlineStr">
        <is>
          <t>ACT</t>
        </is>
      </c>
      <c r="F29" s="28" t="n">
        <v>0.1795</v>
      </c>
      <c r="G29" s="28" t="n">
        <v>0.2175</v>
      </c>
      <c r="H29" s="28" t="n">
        <v>0.166</v>
      </c>
      <c r="I29" s="28" t="n">
        <v>0.0047</v>
      </c>
      <c r="J29" s="29" t="n">
        <v>17</v>
      </c>
      <c r="K29" s="30" t="n"/>
      <c r="L29" s="30" t="n">
        <v>0.1883</v>
      </c>
      <c r="M29" s="30" t="n">
        <v>0.0048</v>
      </c>
      <c r="N29" s="30" t="n">
        <v>0.6704</v>
      </c>
      <c r="O29" s="31" t="n">
        <v>0.95</v>
      </c>
      <c r="P29" s="31" t="n">
        <v>0.98</v>
      </c>
      <c r="Q29" s="31" t="n">
        <v>1.07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Nick Westbrook-Ikhine</t>
        </is>
      </c>
      <c r="C30" s="26" t="n">
        <v>3</v>
      </c>
      <c r="D30" s="26" t="inlineStr">
        <is>
          <t>29</t>
        </is>
      </c>
      <c r="E30" s="36" t="inlineStr">
        <is>
          <t>role avg (from MIA)</t>
        </is>
      </c>
      <c r="F30" s="28" t="n">
        <v>0.0941</v>
      </c>
      <c r="G30" s="28" t="n">
        <v>0.1183</v>
      </c>
      <c r="H30" s="28" t="n">
        <v>0.0433</v>
      </c>
      <c r="I30" s="28" t="n"/>
      <c r="J30" s="29" t="n">
        <v>17</v>
      </c>
      <c r="K30" s="30" t="n"/>
      <c r="L30" s="30" t="n">
        <v>0.1247</v>
      </c>
      <c r="M30" s="30" t="n">
        <v>0.0029</v>
      </c>
      <c r="N30" s="30" t="n">
        <v>0.5576</v>
      </c>
      <c r="O30" s="31" t="n">
        <v>0.93</v>
      </c>
      <c r="P30" s="31" t="n">
        <v>1</v>
      </c>
      <c r="Q30" s="31" t="n">
        <v>0.96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Ashton Dulin</t>
        </is>
      </c>
      <c r="C31" s="26" t="n">
        <v>4</v>
      </c>
      <c r="D31" s="26" t="inlineStr">
        <is>
          <t>29</t>
        </is>
      </c>
      <c r="E31" s="27" t="inlineStr">
        <is>
          <t>ACT</t>
        </is>
      </c>
      <c r="F31" s="28" t="n"/>
      <c r="G31" s="28" t="n">
        <v>0.0163</v>
      </c>
      <c r="H31" s="28" t="n">
        <v>0.0189</v>
      </c>
      <c r="I31" s="28" t="n">
        <v>0.007</v>
      </c>
      <c r="J31" s="29" t="n">
        <v>17</v>
      </c>
      <c r="K31" s="30" t="n"/>
      <c r="L31" s="30" t="n">
        <v>0.033</v>
      </c>
      <c r="M31" s="30" t="n">
        <v>0.0032</v>
      </c>
      <c r="N31" s="30" t="n">
        <v>0.3929</v>
      </c>
      <c r="O31" s="31" t="n">
        <v>1.09</v>
      </c>
      <c r="P31" s="31" t="n">
        <v>1.26</v>
      </c>
      <c r="Q31" s="31" t="n">
        <v>0.95</v>
      </c>
      <c r="R31" s="31" t="n">
        <v>1.61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Deion Burks</t>
        </is>
      </c>
      <c r="C32" s="26" t="n">
        <v>5</v>
      </c>
      <c r="D32" s="26" t="inlineStr">
        <is>
          <t>23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0.0187</v>
      </c>
      <c r="M32" s="30" t="n">
        <v>0.0022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Anthony Gould</t>
        </is>
      </c>
      <c r="C33" s="26" t="n">
        <v>6</v>
      </c>
      <c r="D33" s="26" t="inlineStr">
        <is>
          <t>25</t>
        </is>
      </c>
      <c r="E33" s="27" t="inlineStr">
        <is>
          <t>ACT</t>
        </is>
      </c>
      <c r="F33" s="28" t="n"/>
      <c r="G33" s="28" t="n">
        <v>0.002</v>
      </c>
      <c r="H33" s="28" t="n">
        <v>0.0038</v>
      </c>
      <c r="I33" s="28" t="n"/>
      <c r="J33" s="29" t="n">
        <v>17</v>
      </c>
      <c r="K33" s="30" t="n"/>
      <c r="L33" s="30" t="n">
        <v>0.0052</v>
      </c>
      <c r="M33" s="30" t="n">
        <v>0.0008</v>
      </c>
      <c r="N33" s="30" t="n">
        <v>1</v>
      </c>
      <c r="O33" s="31" t="n">
        <v>1.02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Laquon Treadwell</t>
        </is>
      </c>
      <c r="C34" s="26" t="n">
        <v>7</v>
      </c>
      <c r="D34" s="26" t="inlineStr">
        <is>
          <t>31</t>
        </is>
      </c>
      <c r="E34" s="27" t="inlineStr">
        <is>
          <t>ACT</t>
        </is>
      </c>
      <c r="F34" s="28" t="n">
        <v>0.0063</v>
      </c>
      <c r="G34" s="28" t="n"/>
      <c r="H34" s="28" t="n"/>
      <c r="I34" s="28" t="n"/>
      <c r="J34" s="29" t="n">
        <v>17</v>
      </c>
      <c r="K34" s="30" t="n"/>
      <c r="L34" s="30" t="n">
        <v>0.0059</v>
      </c>
      <c r="M34" s="30" t="n">
        <v>0.0009</v>
      </c>
      <c r="N34" s="30" t="n">
        <v>0.3333</v>
      </c>
      <c r="O34" s="31" t="n">
        <v>0.95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Coleman Owen</t>
        </is>
      </c>
      <c r="C35" s="26" t="n">
        <v>8</v>
      </c>
      <c r="D35" s="26" t="inlineStr">
        <is>
          <t>25</t>
        </is>
      </c>
      <c r="E35" s="27" t="inlineStr">
        <is>
          <t>ACT</t>
        </is>
      </c>
      <c r="F35" s="28" t="n"/>
      <c r="G35" s="28" t="n"/>
      <c r="H35" s="28" t="n">
        <v>0.0019</v>
      </c>
      <c r="I35" s="28" t="n"/>
      <c r="J35" s="29" t="n">
        <v>17</v>
      </c>
      <c r="K35" s="30" t="n"/>
      <c r="L35" s="30" t="n">
        <v>0.0033</v>
      </c>
      <c r="M35" s="30" t="n">
        <v>0.0008</v>
      </c>
      <c r="N35" s="30" t="n"/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Tyler Warren</t>
        </is>
      </c>
      <c r="C37" s="26" t="n">
        <v>1</v>
      </c>
      <c r="D37" s="26" t="inlineStr">
        <is>
          <t>24</t>
        </is>
      </c>
      <c r="E37" s="27" t="inlineStr">
        <is>
          <t>ACT</t>
        </is>
      </c>
      <c r="F37" s="28" t="n"/>
      <c r="G37" s="28" t="n"/>
      <c r="H37" s="28" t="n">
        <v>0.2113</v>
      </c>
      <c r="I37" s="28" t="n">
        <v>0.014</v>
      </c>
      <c r="J37" s="29" t="n">
        <v>17</v>
      </c>
      <c r="K37" s="30" t="n"/>
      <c r="L37" s="30" t="n">
        <v>0.1936</v>
      </c>
      <c r="M37" s="30" t="n">
        <v>0.0101</v>
      </c>
      <c r="N37" s="30" t="n">
        <v>0.6786</v>
      </c>
      <c r="O37" s="31" t="n">
        <v>0.95</v>
      </c>
      <c r="P37" s="31" t="n">
        <v>0.83</v>
      </c>
      <c r="Q37" s="31" t="n">
        <v>1.37</v>
      </c>
      <c r="R37" s="31" t="n">
        <v>1.92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Will Mallory</t>
        </is>
      </c>
      <c r="C38" s="26" t="n">
        <v>2</v>
      </c>
      <c r="D38" s="26" t="inlineStr">
        <is>
          <t>27</t>
        </is>
      </c>
      <c r="E38" s="27" t="inlineStr">
        <is>
          <t>ACT</t>
        </is>
      </c>
      <c r="F38" s="28" t="n">
        <v>0.0476</v>
      </c>
      <c r="G38" s="28" t="n">
        <v>0.0163</v>
      </c>
      <c r="H38" s="28" t="n">
        <v>0.0019</v>
      </c>
      <c r="I38" s="28" t="n"/>
      <c r="J38" s="29" t="n">
        <v>17</v>
      </c>
      <c r="K38" s="30" t="n"/>
      <c r="L38" s="30" t="n">
        <v>0.0361</v>
      </c>
      <c r="M38" s="30" t="n">
        <v>0.0009</v>
      </c>
      <c r="N38" s="30" t="n">
        <v>0.6502</v>
      </c>
      <c r="O38" s="31" t="n">
        <v>0.99</v>
      </c>
      <c r="P38" s="31" t="n">
        <v>1</v>
      </c>
      <c r="Q38" s="31" t="n">
        <v>0.9399999999999999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Mo Alie-Cox</t>
        </is>
      </c>
      <c r="C39" s="26" t="n">
        <v>3</v>
      </c>
      <c r="D39" s="26" t="inlineStr">
        <is>
          <t>32</t>
        </is>
      </c>
      <c r="E39" s="27" t="inlineStr">
        <is>
          <t>ACT</t>
        </is>
      </c>
      <c r="F39" s="28" t="n">
        <v>0.0403</v>
      </c>
      <c r="G39" s="28" t="n">
        <v>0.0447</v>
      </c>
      <c r="H39" s="28" t="n">
        <v>0.0377</v>
      </c>
      <c r="I39" s="28" t="n"/>
      <c r="J39" s="29" t="n">
        <v>17</v>
      </c>
      <c r="K39" s="30" t="n"/>
      <c r="L39" s="30" t="n">
        <v>0.0355</v>
      </c>
      <c r="M39" s="30" t="n">
        <v>0.0009</v>
      </c>
      <c r="N39" s="30" t="n">
        <v>0.6068</v>
      </c>
      <c r="O39" s="31" t="n">
        <v>0.93</v>
      </c>
      <c r="P39" s="31" t="n">
        <v>1</v>
      </c>
      <c r="Q39" s="31" t="n">
        <v>1.52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Drew Ogletree</t>
        </is>
      </c>
      <c r="C40" s="26" t="n">
        <v>4</v>
      </c>
      <c r="D40" s="26" t="inlineStr">
        <is>
          <t>28</t>
        </is>
      </c>
      <c r="E40" s="27" t="inlineStr">
        <is>
          <t>ACT</t>
        </is>
      </c>
      <c r="F40" s="28" t="n">
        <v>0.0385</v>
      </c>
      <c r="G40" s="28" t="n">
        <v>0.0285</v>
      </c>
      <c r="H40" s="28" t="n">
        <v>0.0113</v>
      </c>
      <c r="I40" s="28" t="n"/>
      <c r="J40" s="29" t="n">
        <v>17</v>
      </c>
      <c r="K40" s="30" t="n"/>
      <c r="L40" s="30" t="n">
        <v>0.0194</v>
      </c>
      <c r="M40" s="30" t="n">
        <v>0.0009</v>
      </c>
      <c r="N40" s="30" t="n">
        <v>0.6205000000000001</v>
      </c>
      <c r="O40" s="31" t="n">
        <v>0.93</v>
      </c>
      <c r="P40" s="31" t="n">
        <v>1</v>
      </c>
      <c r="Q40" s="31" t="n">
        <v>1.25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JAC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62.4</v>
      </c>
      <c r="D5" s="12">
        <f>C5*B5</f>
        <v/>
      </c>
      <c r="E5" s="13" t="n">
        <v>0.5685</v>
      </c>
      <c r="F5" s="10" t="n">
        <v>564</v>
      </c>
      <c r="G5" s="12">
        <f>ROUND(F5*Settings!$B$4,0)</f>
        <v/>
      </c>
      <c r="H5" s="10" t="n">
        <v>458</v>
      </c>
      <c r="I5" s="10" t="n">
        <v>3973</v>
      </c>
      <c r="J5" s="11" t="n">
        <v>25</v>
      </c>
      <c r="K5" s="11" t="n">
        <v>13</v>
      </c>
      <c r="L5" s="10" t="n">
        <v>1875</v>
      </c>
      <c r="M5" s="11" t="n">
        <v>17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1114</v>
      </c>
      <c r="D8" s="16" t="n">
        <v>65.5294</v>
      </c>
      <c r="E8" s="17" t="n">
        <v>0.5934</v>
      </c>
      <c r="F8" s="15" t="n">
        <v>620</v>
      </c>
      <c r="G8" s="15" t="n">
        <v>453</v>
      </c>
      <c r="H8" s="15" t="n">
        <v>4377</v>
      </c>
      <c r="I8" s="15" t="n">
        <v>1646</v>
      </c>
      <c r="J8" s="15" t="n">
        <v>22</v>
      </c>
      <c r="K8" s="15" t="n">
        <v>17</v>
      </c>
      <c r="L8" s="16" t="n">
        <v>7.0597</v>
      </c>
      <c r="M8" s="16" t="n">
        <v>3.6336</v>
      </c>
    </row>
    <row r="9">
      <c r="B9" s="15" t="n">
        <v>2024</v>
      </c>
      <c r="C9" s="15" t="n">
        <v>992</v>
      </c>
      <c r="D9" s="16" t="n">
        <v>58.3529</v>
      </c>
      <c r="E9" s="17" t="n">
        <v>0.5827</v>
      </c>
      <c r="F9" s="15" t="n">
        <v>546</v>
      </c>
      <c r="G9" s="15" t="n">
        <v>414</v>
      </c>
      <c r="H9" s="15" t="n">
        <v>3717</v>
      </c>
      <c r="I9" s="15" t="n">
        <v>1729</v>
      </c>
      <c r="J9" s="15" t="n">
        <v>19</v>
      </c>
      <c r="K9" s="15" t="n">
        <v>13</v>
      </c>
      <c r="L9" s="16" t="n">
        <v>6.8077</v>
      </c>
      <c r="M9" s="16" t="n">
        <v>4.1763</v>
      </c>
    </row>
    <row r="10">
      <c r="B10" s="15" t="n">
        <v>2025</v>
      </c>
      <c r="C10" s="15" t="n">
        <v>1093</v>
      </c>
      <c r="D10" s="16" t="n">
        <v>64.2941</v>
      </c>
      <c r="E10" s="17" t="n">
        <v>0.5526</v>
      </c>
      <c r="F10" s="15" t="n">
        <v>563</v>
      </c>
      <c r="G10" s="15" t="n">
        <v>489</v>
      </c>
      <c r="H10" s="15" t="n">
        <v>4026</v>
      </c>
      <c r="I10" s="15" t="n">
        <v>1956</v>
      </c>
      <c r="J10" s="15" t="n">
        <v>29</v>
      </c>
      <c r="K10" s="15" t="n">
        <v>22</v>
      </c>
      <c r="L10" s="16" t="n">
        <v>7.151</v>
      </c>
      <c r="M10" s="16" t="n">
        <v>4</v>
      </c>
    </row>
    <row r="11"/>
    <row r="12">
      <c r="A12" s="18" t="inlineStr">
        <is>
          <t>OUT</t>
        </is>
      </c>
      <c r="B12" s="19" t="inlineStr">
        <is>
          <t>24% of targets and 57% of carries left. Share is team-relative - it does NOT follow the player.</t>
        </is>
      </c>
      <c r="H12" s="8" t="inlineStr">
        <is>
          <t>Travis Etienne Jr. (10t/55r -&gt; NO), Dyami Brown (7t/1r -&gt; WAS), Tim Patrick (4t/0r -&gt; NYJ), Johnny Mundt (3t/0r -&gt; PHI)</t>
        </is>
      </c>
    </row>
    <row r="13">
      <c r="A13" s="20" t="inlineStr">
        <is>
          <t>IN</t>
        </is>
      </c>
      <c r="B13" s="21" t="inlineStr">
        <is>
          <t>3 new: Chris Rodriguez (RB, from WAS - had 1% there), Jakobi Meyers (WR, from LV - had 10% there), Ameer Abdullah (RB, from IND - had 3% there)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Trevor Lawrence</t>
        </is>
      </c>
      <c r="C17" s="26" t="n">
        <v>1</v>
      </c>
      <c r="D17" s="26" t="inlineStr">
        <is>
          <t>26</t>
        </is>
      </c>
      <c r="E17" s="27" t="inlineStr">
        <is>
          <t>ACT</t>
        </is>
      </c>
      <c r="F17" s="28" t="n"/>
      <c r="G17" s="28" t="n"/>
      <c r="H17" s="28" t="n"/>
      <c r="I17" s="28" t="n">
        <v>0.1578</v>
      </c>
      <c r="J17" s="29" t="n">
        <v>17</v>
      </c>
      <c r="K17" s="30" t="n">
        <v>0.92</v>
      </c>
      <c r="L17" s="30" t="n">
        <v>0.0009</v>
      </c>
      <c r="M17" s="30" t="n">
        <v>0.1301</v>
      </c>
      <c r="N17" s="30" t="n"/>
      <c r="O17" s="31" t="n">
        <v>1</v>
      </c>
      <c r="P17" s="31" t="n">
        <v>1.19</v>
      </c>
      <c r="Q17" s="31" t="n">
        <v>1</v>
      </c>
      <c r="R17" s="31" t="n">
        <v>1.32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Nick Mullens</t>
        </is>
      </c>
      <c r="C18" s="26" t="n">
        <v>2</v>
      </c>
      <c r="D18" s="26" t="inlineStr">
        <is>
          <t>31</t>
        </is>
      </c>
      <c r="E18" s="27" t="inlineStr">
        <is>
          <t>ACT</t>
        </is>
      </c>
      <c r="F18" s="28" t="n"/>
      <c r="G18" s="28" t="n"/>
      <c r="H18" s="28" t="n"/>
      <c r="I18" s="28" t="n"/>
      <c r="J18" s="29" t="n">
        <v>17</v>
      </c>
      <c r="K18" s="30" t="n">
        <v>0.068</v>
      </c>
      <c r="L18" s="30" t="n">
        <v>0.0009</v>
      </c>
      <c r="M18" s="30" t="n">
        <v>0.0275</v>
      </c>
      <c r="N18" s="30" t="n"/>
      <c r="O18" s="31" t="n">
        <v>1</v>
      </c>
      <c r="P18" s="31" t="n">
        <v>0.87</v>
      </c>
      <c r="Q18" s="31" t="n">
        <v>1</v>
      </c>
      <c r="R18" s="31" t="n">
        <v>1.11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Carter Bradley</t>
        </is>
      </c>
      <c r="C19" s="26" t="n">
        <v>3</v>
      </c>
      <c r="D19" s="26" t="inlineStr">
        <is>
          <t>26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0.0021</v>
      </c>
      <c r="M19" s="30" t="n">
        <v>0.0108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Bhayshul Tuten</t>
        </is>
      </c>
      <c r="C21" s="26" t="n">
        <v>1</v>
      </c>
      <c r="D21" s="26" t="inlineStr">
        <is>
          <t>23</t>
        </is>
      </c>
      <c r="E21" s="27" t="inlineStr">
        <is>
          <t>ACT</t>
        </is>
      </c>
      <c r="F21" s="28" t="n"/>
      <c r="G21" s="28" t="n"/>
      <c r="H21" s="28" t="n">
        <v>0.0256</v>
      </c>
      <c r="I21" s="28" t="n">
        <v>0.177</v>
      </c>
      <c r="J21" s="29" t="n">
        <v>17</v>
      </c>
      <c r="K21" s="30" t="n"/>
      <c r="L21" s="30" t="n">
        <v>0.0611</v>
      </c>
      <c r="M21" s="30" t="n">
        <v>0.4172</v>
      </c>
      <c r="N21" s="30" t="n">
        <v>0.7143</v>
      </c>
      <c r="O21" s="31" t="n">
        <v>0.9</v>
      </c>
      <c r="P21" s="31" t="n">
        <v>0.91</v>
      </c>
      <c r="Q21" s="31" t="n">
        <v>0.89</v>
      </c>
      <c r="R21" s="31" t="n">
        <v>0.67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Chris Rodriguez</t>
        </is>
      </c>
      <c r="C22" s="26" t="n">
        <v>2</v>
      </c>
      <c r="D22" s="26" t="inlineStr">
        <is>
          <t>26</t>
        </is>
      </c>
      <c r="E22" s="36" t="inlineStr">
        <is>
          <t>role avg (from WAS)</t>
        </is>
      </c>
      <c r="F22" s="28" t="n">
        <v>0.0033</v>
      </c>
      <c r="G22" s="28" t="n">
        <v>0.002</v>
      </c>
      <c r="H22" s="28" t="n">
        <v>0.009299999999999999</v>
      </c>
      <c r="I22" s="28" t="n">
        <v>0.2373</v>
      </c>
      <c r="J22" s="29" t="n">
        <v>17</v>
      </c>
      <c r="K22" s="30" t="n"/>
      <c r="L22" s="30" t="n">
        <v>0.0393</v>
      </c>
      <c r="M22" s="30" t="n">
        <v>0.236</v>
      </c>
      <c r="N22" s="30" t="n">
        <v>0.8623</v>
      </c>
      <c r="O22" s="31" t="n">
        <v>1.01</v>
      </c>
      <c r="P22" s="31" t="n">
        <v>0.97</v>
      </c>
      <c r="Q22" s="31" t="n">
        <v>0.96</v>
      </c>
      <c r="R22" s="31" t="n">
        <v>1.11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J'Mari Taylor</t>
        </is>
      </c>
      <c r="C23" s="26" t="n">
        <v>3</v>
      </c>
      <c r="D23" s="26" t="inlineStr">
        <is>
          <t>24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0.0191</v>
      </c>
      <c r="M23" s="30" t="n">
        <v>0.07820000000000001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LeQuint Allen</t>
        </is>
      </c>
      <c r="C24" s="26" t="n">
        <v>4</v>
      </c>
      <c r="D24" s="26" t="inlineStr">
        <is>
          <t>22</t>
        </is>
      </c>
      <c r="E24" s="27" t="inlineStr">
        <is>
          <t>ACT</t>
        </is>
      </c>
      <c r="F24" s="28" t="n"/>
      <c r="G24" s="28" t="n"/>
      <c r="H24" s="28" t="n">
        <v>0.0201</v>
      </c>
      <c r="I24" s="28" t="n">
        <v>0.049</v>
      </c>
      <c r="J24" s="29" t="n">
        <v>17</v>
      </c>
      <c r="K24" s="30" t="n"/>
      <c r="L24" s="30" t="n">
        <v>0.0155</v>
      </c>
      <c r="M24" s="30" t="n">
        <v>0.029</v>
      </c>
      <c r="N24" s="30" t="n">
        <v>0.9091</v>
      </c>
      <c r="O24" s="31" t="n">
        <v>0.88</v>
      </c>
      <c r="P24" s="31" t="n">
        <v>0.99</v>
      </c>
      <c r="Q24" s="31" t="n">
        <v>0.99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Ameer Abdullah</t>
        </is>
      </c>
      <c r="C25" s="26" t="n">
        <v>5</v>
      </c>
      <c r="D25" s="26" t="inlineStr">
        <is>
          <t>33</t>
        </is>
      </c>
      <c r="E25" s="36" t="inlineStr">
        <is>
          <t>role avg (from IND)</t>
        </is>
      </c>
      <c r="F25" s="28" t="n">
        <v>0.0452</v>
      </c>
      <c r="G25" s="28" t="n">
        <v>0.0794</v>
      </c>
      <c r="H25" s="28" t="n">
        <v>0.0321</v>
      </c>
      <c r="I25" s="28" t="n">
        <v>0.0326</v>
      </c>
      <c r="J25" s="29" t="n">
        <v>17</v>
      </c>
      <c r="K25" s="30" t="n"/>
      <c r="L25" s="30" t="n">
        <v>0.0052</v>
      </c>
      <c r="M25" s="30" t="n">
        <v>0.0126</v>
      </c>
      <c r="N25" s="30" t="n">
        <v>0.8772</v>
      </c>
      <c r="O25" s="31" t="n">
        <v>0.87</v>
      </c>
      <c r="P25" s="31" t="n">
        <v>1.11</v>
      </c>
      <c r="Q25" s="31" t="n">
        <v>2.5</v>
      </c>
      <c r="R25" s="31" t="n">
        <v>2.5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DeeJay Dallas</t>
        </is>
      </c>
      <c r="C26" s="26" t="n">
        <v>6</v>
      </c>
      <c r="D26" s="26" t="inlineStr">
        <is>
          <t>27</t>
        </is>
      </c>
      <c r="E26" s="27" t="inlineStr">
        <is>
          <t>ACT</t>
        </is>
      </c>
      <c r="F26" s="28" t="n">
        <v>0.0165</v>
      </c>
      <c r="G26" s="28" t="n">
        <v>0.0057</v>
      </c>
      <c r="H26" s="28" t="n">
        <v>0.0018</v>
      </c>
      <c r="I26" s="28" t="n">
        <v>0.0043</v>
      </c>
      <c r="J26" s="29" t="n">
        <v>17</v>
      </c>
      <c r="K26" s="30" t="n"/>
      <c r="L26" s="30" t="n">
        <v>0.0074</v>
      </c>
      <c r="M26" s="30" t="n">
        <v>0.0075</v>
      </c>
      <c r="N26" s="30" t="n">
        <v>0.8667</v>
      </c>
      <c r="O26" s="31" t="n">
        <v>0.9</v>
      </c>
      <c r="P26" s="31" t="n">
        <v>1.05</v>
      </c>
      <c r="Q26" s="31" t="n">
        <v>1.16</v>
      </c>
      <c r="R26" s="31" t="n">
        <v>1.11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Brian Thomas</t>
        </is>
      </c>
      <c r="C28" s="26" t="n">
        <v>1</v>
      </c>
      <c r="D28" s="26" t="inlineStr">
        <is>
          <t>23</t>
        </is>
      </c>
      <c r="E28" s="27" t="inlineStr">
        <is>
          <t>ACT</t>
        </is>
      </c>
      <c r="F28" s="28" t="n"/>
      <c r="G28" s="28" t="n">
        <v>0.2548</v>
      </c>
      <c r="H28" s="28" t="n">
        <v>0.1664</v>
      </c>
      <c r="I28" s="28" t="n">
        <v>0.0064</v>
      </c>
      <c r="J28" s="29" t="n">
        <v>17</v>
      </c>
      <c r="K28" s="30" t="n"/>
      <c r="L28" s="30" t="n">
        <v>0.2311</v>
      </c>
      <c r="M28" s="30" t="n">
        <v>0.0171</v>
      </c>
      <c r="N28" s="30" t="n">
        <v>0.5809</v>
      </c>
      <c r="O28" s="31" t="n">
        <v>1.15</v>
      </c>
      <c r="P28" s="31" t="n">
        <v>1.13</v>
      </c>
      <c r="Q28" s="31" t="n">
        <v>0.86</v>
      </c>
      <c r="R28" s="31" t="n">
        <v>0.95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Parker Washington</t>
        </is>
      </c>
      <c r="C29" s="26" t="n">
        <v>2</v>
      </c>
      <c r="D29" s="26" t="inlineStr">
        <is>
          <t>24</t>
        </is>
      </c>
      <c r="E29" s="27" t="inlineStr">
        <is>
          <t>ACT</t>
        </is>
      </c>
      <c r="F29" s="28" t="n">
        <v>0.0346</v>
      </c>
      <c r="G29" s="28" t="n">
        <v>0.0977</v>
      </c>
      <c r="H29" s="28" t="n">
        <v>0.1737</v>
      </c>
      <c r="I29" s="28" t="n">
        <v>0.0149</v>
      </c>
      <c r="J29" s="29" t="n">
        <v>17</v>
      </c>
      <c r="K29" s="30" t="n"/>
      <c r="L29" s="30" t="n">
        <v>0.1473</v>
      </c>
      <c r="M29" s="30" t="n">
        <v>0.012</v>
      </c>
      <c r="N29" s="30" t="n">
        <v>0.6346000000000001</v>
      </c>
      <c r="O29" s="31" t="n">
        <v>1.1</v>
      </c>
      <c r="P29" s="31" t="n">
        <v>1</v>
      </c>
      <c r="Q29" s="31" t="n">
        <v>0.96</v>
      </c>
      <c r="R29" s="31" t="n">
        <v>0.98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Chandler Brayboy</t>
        </is>
      </c>
      <c r="C30" s="26" t="n">
        <v>3</v>
      </c>
      <c r="D30" s="26" t="inlineStr">
        <is>
          <t>24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0.09950000000000001</v>
      </c>
      <c r="M30" s="30" t="n">
        <v>0.0044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Jakobi Meyers</t>
        </is>
      </c>
      <c r="C31" s="26" t="n">
        <v>4</v>
      </c>
      <c r="D31" s="26" t="inlineStr">
        <is>
          <t>29</t>
        </is>
      </c>
      <c r="E31" s="36" t="inlineStr">
        <is>
          <t>role avg (from LV)</t>
        </is>
      </c>
      <c r="F31" s="28" t="n">
        <v>0.1996</v>
      </c>
      <c r="G31" s="28" t="n">
        <v>0.2179</v>
      </c>
      <c r="H31" s="28" t="n">
        <v>0.0992</v>
      </c>
      <c r="I31" s="28" t="n"/>
      <c r="J31" s="29" t="n">
        <v>17</v>
      </c>
      <c r="K31" s="30" t="n"/>
      <c r="L31" s="30" t="n">
        <v>0.0558</v>
      </c>
      <c r="M31" s="30" t="n">
        <v>0.0026</v>
      </c>
      <c r="N31" s="30" t="n">
        <v>0.6728</v>
      </c>
      <c r="O31" s="31" t="n">
        <v>1.09</v>
      </c>
      <c r="P31" s="31" t="n">
        <v>1.18</v>
      </c>
      <c r="Q31" s="31" t="n">
        <v>2.5</v>
      </c>
      <c r="R31" s="31" t="n">
        <v>2.5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Travis Hunter</t>
        </is>
      </c>
      <c r="C32" s="26" t="n">
        <v>5</v>
      </c>
      <c r="D32" s="26" t="inlineStr">
        <is>
          <t>23</t>
        </is>
      </c>
      <c r="E32" s="27" t="inlineStr">
        <is>
          <t>ACT</t>
        </is>
      </c>
      <c r="F32" s="28" t="n"/>
      <c r="G32" s="28" t="n"/>
      <c r="H32" s="28" t="n">
        <v>0.0823</v>
      </c>
      <c r="I32" s="28" t="n">
        <v>0.0021</v>
      </c>
      <c r="J32" s="29" t="n">
        <v>17</v>
      </c>
      <c r="K32" s="30" t="n"/>
      <c r="L32" s="30" t="n">
        <v>0.0654</v>
      </c>
      <c r="M32" s="30" t="n">
        <v>0.0024</v>
      </c>
      <c r="N32" s="30" t="n">
        <v>0.6222</v>
      </c>
      <c r="O32" s="31" t="n">
        <v>0.93</v>
      </c>
      <c r="P32" s="31" t="n">
        <v>1</v>
      </c>
      <c r="Q32" s="31" t="n">
        <v>1.03</v>
      </c>
      <c r="R32" s="31" t="n">
        <v>1.35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Trebor Pena</t>
        </is>
      </c>
      <c r="C33" s="26" t="n">
        <v>6</v>
      </c>
      <c r="D33" s="26" t="inlineStr">
        <is>
          <t>24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0.0144</v>
      </c>
      <c r="M33" s="30" t="n">
        <v>0.0023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CJ Williams</t>
        </is>
      </c>
      <c r="C34" s="26" t="n">
        <v>7</v>
      </c>
      <c r="D34" s="26" t="inlineStr">
        <is>
          <t>22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0.008</v>
      </c>
      <c r="M34" s="30" t="n">
        <v>0.0025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Austin Trammell</t>
        </is>
      </c>
      <c r="C35" s="26" t="n">
        <v>8</v>
      </c>
      <c r="D35" s="26" t="inlineStr">
        <is>
          <t>28</t>
        </is>
      </c>
      <c r="E35" s="27" t="inlineStr">
        <is>
          <t>ACT</t>
        </is>
      </c>
      <c r="F35" s="28" t="n">
        <v>0.0126</v>
      </c>
      <c r="G35" s="28" t="n">
        <v>0.0057</v>
      </c>
      <c r="H35" s="28" t="n">
        <v>0.0183</v>
      </c>
      <c r="I35" s="28" t="n"/>
      <c r="J35" s="29" t="n">
        <v>17</v>
      </c>
      <c r="K35" s="30" t="n"/>
      <c r="L35" s="30" t="n">
        <v>0.0122</v>
      </c>
      <c r="M35" s="30" t="n">
        <v>0.0009</v>
      </c>
      <c r="N35" s="30" t="n">
        <v>0.4505</v>
      </c>
      <c r="O35" s="31" t="n">
        <v>0.9</v>
      </c>
      <c r="P35" s="31" t="n">
        <v>1</v>
      </c>
      <c r="Q35" s="31" t="n">
        <v>1.02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Brenton Strange</t>
        </is>
      </c>
      <c r="C37" s="26" t="n">
        <v>1</v>
      </c>
      <c r="D37" s="26" t="inlineStr">
        <is>
          <t>25</t>
        </is>
      </c>
      <c r="E37" s="27" t="inlineStr">
        <is>
          <t>ACT</t>
        </is>
      </c>
      <c r="F37" s="28" t="n">
        <v>0.0148</v>
      </c>
      <c r="G37" s="28" t="n">
        <v>0.1015</v>
      </c>
      <c r="H37" s="28" t="n">
        <v>0.1097</v>
      </c>
      <c r="I37" s="28" t="n"/>
      <c r="J37" s="29" t="n">
        <v>17</v>
      </c>
      <c r="K37" s="30" t="n"/>
      <c r="L37" s="30" t="n">
        <v>0.1245</v>
      </c>
      <c r="M37" s="30" t="n">
        <v>0.0011</v>
      </c>
      <c r="N37" s="30" t="n">
        <v>0.7198</v>
      </c>
      <c r="O37" s="31" t="n">
        <v>1.02</v>
      </c>
      <c r="P37" s="31" t="n">
        <v>1</v>
      </c>
      <c r="Q37" s="31" t="n">
        <v>0.9399999999999999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Nate Boerkircher</t>
        </is>
      </c>
      <c r="C38" s="26" t="n">
        <v>2</v>
      </c>
      <c r="D38" s="26" t="inlineStr">
        <is>
          <t>24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0.0555</v>
      </c>
      <c r="M38" s="30" t="n">
        <v>0.0025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Hunter Long</t>
        </is>
      </c>
      <c r="C39" s="26" t="n">
        <v>3</v>
      </c>
      <c r="D39" s="26" t="inlineStr">
        <is>
          <t>27</t>
        </is>
      </c>
      <c r="E39" s="27" t="inlineStr">
        <is>
          <t>ACT</t>
        </is>
      </c>
      <c r="F39" s="28" t="n"/>
      <c r="G39" s="28" t="n">
        <v>0.0166</v>
      </c>
      <c r="H39" s="28" t="n">
        <v>0.0311</v>
      </c>
      <c r="I39" s="28" t="n"/>
      <c r="J39" s="29" t="n">
        <v>17</v>
      </c>
      <c r="K39" s="30" t="n"/>
      <c r="L39" s="30" t="n">
        <v>0.0251</v>
      </c>
      <c r="M39" s="30" t="n">
        <v>0.001</v>
      </c>
      <c r="N39" s="30" t="n">
        <v>0.7441</v>
      </c>
      <c r="O39" s="31" t="n">
        <v>0.92</v>
      </c>
      <c r="P39" s="31" t="n">
        <v>1</v>
      </c>
      <c r="Q39" s="31" t="n">
        <v>1.41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Tanner Koziol</t>
        </is>
      </c>
      <c r="C40" s="26" t="n">
        <v>4</v>
      </c>
      <c r="D40" s="26" t="inlineStr">
        <is>
          <t>22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0.009900000000000001</v>
      </c>
      <c r="M40" s="30" t="n">
        <v>0.0025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KC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62.7</v>
      </c>
      <c r="D5" s="12">
        <f>C5*B5</f>
        <v/>
      </c>
      <c r="E5" s="13" t="n">
        <v>0.5873</v>
      </c>
      <c r="F5" s="10" t="n">
        <v>584</v>
      </c>
      <c r="G5" s="12">
        <f>ROUND(F5*Settings!$B$4,0)</f>
        <v/>
      </c>
      <c r="H5" s="10" t="n">
        <v>440</v>
      </c>
      <c r="I5" s="10" t="n">
        <v>4013</v>
      </c>
      <c r="J5" s="11" t="n">
        <v>25</v>
      </c>
      <c r="K5" s="11" t="n">
        <v>13</v>
      </c>
      <c r="L5" s="10" t="n">
        <v>1852</v>
      </c>
      <c r="M5" s="11" t="n">
        <v>14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1080</v>
      </c>
      <c r="D8" s="16" t="n">
        <v>63.5294</v>
      </c>
      <c r="E8" s="17" t="n">
        <v>0.6139</v>
      </c>
      <c r="F8" s="15" t="n">
        <v>635</v>
      </c>
      <c r="G8" s="15" t="n">
        <v>417</v>
      </c>
      <c r="H8" s="15" t="n">
        <v>4383</v>
      </c>
      <c r="I8" s="15" t="n">
        <v>1784</v>
      </c>
      <c r="J8" s="15" t="n">
        <v>28</v>
      </c>
      <c r="K8" s="15" t="n">
        <v>9</v>
      </c>
      <c r="L8" s="16" t="n">
        <v>6.9024</v>
      </c>
      <c r="M8" s="16" t="n">
        <v>4.2782</v>
      </c>
    </row>
    <row r="9">
      <c r="B9" s="15" t="n">
        <v>2024</v>
      </c>
      <c r="C9" s="15" t="n">
        <v>1091</v>
      </c>
      <c r="D9" s="16" t="n">
        <v>64.1765</v>
      </c>
      <c r="E9" s="17" t="n">
        <v>0.5875</v>
      </c>
      <c r="F9" s="15" t="n">
        <v>600</v>
      </c>
      <c r="G9" s="15" t="n">
        <v>450</v>
      </c>
      <c r="H9" s="15" t="n">
        <v>4046</v>
      </c>
      <c r="I9" s="15" t="n">
        <v>1790</v>
      </c>
      <c r="J9" s="15" t="n">
        <v>26</v>
      </c>
      <c r="K9" s="15" t="n">
        <v>15</v>
      </c>
      <c r="L9" s="16" t="n">
        <v>6.7433</v>
      </c>
      <c r="M9" s="16" t="n">
        <v>3.9778</v>
      </c>
    </row>
    <row r="10">
      <c r="B10" s="15" t="n">
        <v>2025</v>
      </c>
      <c r="C10" s="15" t="n">
        <v>1061</v>
      </c>
      <c r="D10" s="16" t="n">
        <v>62.4118</v>
      </c>
      <c r="E10" s="17" t="n">
        <v>0.5947</v>
      </c>
      <c r="F10" s="15" t="n">
        <v>584</v>
      </c>
      <c r="G10" s="15" t="n">
        <v>430</v>
      </c>
      <c r="H10" s="15" t="n">
        <v>3947</v>
      </c>
      <c r="I10" s="15" t="n">
        <v>1812</v>
      </c>
      <c r="J10" s="15" t="n">
        <v>23</v>
      </c>
      <c r="K10" s="15" t="n">
        <v>15</v>
      </c>
      <c r="L10" s="16" t="n">
        <v>6.7586</v>
      </c>
      <c r="M10" s="16" t="n">
        <v>4.214</v>
      </c>
    </row>
    <row r="11"/>
    <row r="12">
      <c r="A12" s="18" t="inlineStr">
        <is>
          <t>OUT</t>
        </is>
      </c>
      <c r="B12" s="19" t="inlineStr">
        <is>
          <t>31% of targets and 69% of carries left. Share is team-relative - it does NOT follow the player.</t>
        </is>
      </c>
      <c r="H12" s="8" t="inlineStr">
        <is>
          <t>Kareem Hunt (5t/39r -&gt; NOT ON ANY ROSTER), Isiah Pacheco (5t/28r -&gt; DET), Hollywood Brown (13t/0r -&gt; NOT ON ANY ROSTER), JuJu Smith-Schuster (8t/0r -&gt; NYG), Clyde Edwards-Helaire (0t/2r -&gt; NOT ON ANY ROSTER)</t>
        </is>
      </c>
    </row>
    <row r="13">
      <c r="A13" s="20" t="inlineStr">
        <is>
          <t>IN</t>
        </is>
      </c>
      <c r="B13" s="21" t="inlineStr">
        <is>
          <t>3 new: Kenneth Walker (RB, from SEA - had 8% there), Justin Fields (QB, from NYJ - had 0% there), Emari Demercado (RB, from ARI - had 3% there)</t>
        </is>
      </c>
    </row>
    <row r="14">
      <c r="A14" s="7" t="inlineStr">
        <is>
          <t>STAFF</t>
        </is>
      </c>
      <c r="B14" s="22" t="inlineStr">
        <is>
          <t>HC unchanged. OC Eric Bieniemy under Andy Reid. Focus on developing an explosive run game.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Patrick Mahomes</t>
        </is>
      </c>
      <c r="C17" s="26" t="n">
        <v>1</v>
      </c>
      <c r="D17" s="26" t="inlineStr">
        <is>
          <t>30</t>
        </is>
      </c>
      <c r="E17" s="41" t="inlineStr">
        <is>
          <t>QUESTIONABLE</t>
        </is>
      </c>
      <c r="F17" s="28" t="n"/>
      <c r="G17" s="28" t="n">
        <v>0.0017</v>
      </c>
      <c r="H17" s="28" t="n">
        <v>0.0018</v>
      </c>
      <c r="I17" s="28" t="n">
        <v>0.1343</v>
      </c>
      <c r="J17" s="29" t="n">
        <v>17</v>
      </c>
      <c r="K17" s="30" t="n">
        <v>0.92</v>
      </c>
      <c r="L17" s="30" t="n">
        <v>0.0019</v>
      </c>
      <c r="M17" s="30" t="n">
        <v>0.1084</v>
      </c>
      <c r="N17" s="30" t="n"/>
      <c r="O17" s="31" t="n">
        <v>1</v>
      </c>
      <c r="P17" s="31" t="n">
        <v>1.5</v>
      </c>
      <c r="Q17" s="31" t="n">
        <v>1</v>
      </c>
      <c r="R17" s="31" t="n">
        <v>1.2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Justin Fields</t>
        </is>
      </c>
      <c r="C18" s="26" t="n">
        <v>2</v>
      </c>
      <c r="D18" s="26" t="inlineStr">
        <is>
          <t>27</t>
        </is>
      </c>
      <c r="E18" s="36" t="inlineStr">
        <is>
          <t>role avg (from NYJ)</t>
        </is>
      </c>
      <c r="F18" s="28" t="n"/>
      <c r="G18" s="28" t="n"/>
      <c r="H18" s="28" t="n">
        <v>0.0021</v>
      </c>
      <c r="I18" s="28" t="n">
        <v>0.1489</v>
      </c>
      <c r="J18" s="29" t="n">
        <v>17</v>
      </c>
      <c r="K18" s="30" t="n">
        <v>0.068</v>
      </c>
      <c r="L18" s="30" t="n">
        <v>0.002</v>
      </c>
      <c r="M18" s="30" t="n">
        <v>0.0122</v>
      </c>
      <c r="N18" s="30" t="n"/>
      <c r="O18" s="31" t="n">
        <v>1</v>
      </c>
      <c r="P18" s="31" t="n">
        <v>1.17</v>
      </c>
      <c r="Q18" s="31" t="n">
        <v>2.13</v>
      </c>
      <c r="R18" s="31" t="n">
        <v>2.5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Chris Oladokun</t>
        </is>
      </c>
      <c r="C19" s="26" t="n">
        <v>3</v>
      </c>
      <c r="D19" s="26" t="inlineStr">
        <is>
          <t>28</t>
        </is>
      </c>
      <c r="E19" s="27" t="inlineStr">
        <is>
          <t>ACT</t>
        </is>
      </c>
      <c r="F19" s="28" t="n"/>
      <c r="G19" s="28" t="n"/>
      <c r="H19" s="28" t="n"/>
      <c r="I19" s="28" t="n">
        <v>0.012</v>
      </c>
      <c r="J19" s="29" t="n">
        <v>17</v>
      </c>
      <c r="K19" s="30" t="n">
        <v>0.012</v>
      </c>
      <c r="L19" s="30" t="n">
        <v>0.0009</v>
      </c>
      <c r="M19" s="30" t="n">
        <v>0.0074</v>
      </c>
      <c r="N19" s="30" t="n"/>
      <c r="O19" s="31" t="n">
        <v>1</v>
      </c>
      <c r="P19" s="31" t="n">
        <v>0.98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Kenneth Walker</t>
        </is>
      </c>
      <c r="C21" s="26" t="n">
        <v>1</v>
      </c>
      <c r="D21" s="26" t="inlineStr">
        <is>
          <t>25</t>
        </is>
      </c>
      <c r="E21" s="36" t="inlineStr">
        <is>
          <t>role avg (from SEA)</t>
        </is>
      </c>
      <c r="F21" s="28" t="n">
        <v>0.06759999999999999</v>
      </c>
      <c r="G21" s="28" t="n">
        <v>0.0931</v>
      </c>
      <c r="H21" s="28" t="n">
        <v>0.0791</v>
      </c>
      <c r="I21" s="28" t="n">
        <v>0.451</v>
      </c>
      <c r="J21" s="29" t="n">
        <v>17</v>
      </c>
      <c r="K21" s="30" t="n"/>
      <c r="L21" s="30" t="n">
        <v>0.08840000000000001</v>
      </c>
      <c r="M21" s="30" t="n">
        <v>0.4581</v>
      </c>
      <c r="N21" s="30" t="n">
        <v>0.847</v>
      </c>
      <c r="O21" s="31" t="n">
        <v>0.9</v>
      </c>
      <c r="P21" s="31" t="n">
        <v>1.01</v>
      </c>
      <c r="Q21" s="31" t="n">
        <v>0.95</v>
      </c>
      <c r="R21" s="31" t="n">
        <v>0.84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Emari Demercado</t>
        </is>
      </c>
      <c r="C22" s="26" t="n">
        <v>2</v>
      </c>
      <c r="D22" s="26" t="inlineStr">
        <is>
          <t>27</t>
        </is>
      </c>
      <c r="E22" s="36" t="inlineStr">
        <is>
          <t>role avg (from ARI)</t>
        </is>
      </c>
      <c r="F22" s="28" t="n">
        <v>0.0556</v>
      </c>
      <c r="G22" s="28" t="n">
        <v>0.0382</v>
      </c>
      <c r="H22" s="28" t="n">
        <v>0.0324</v>
      </c>
      <c r="I22" s="28" t="n">
        <v>0.1212</v>
      </c>
      <c r="J22" s="29" t="n">
        <v>17</v>
      </c>
      <c r="K22" s="30" t="n"/>
      <c r="L22" s="30" t="n">
        <v>0.0515</v>
      </c>
      <c r="M22" s="30" t="n">
        <v>0.207</v>
      </c>
      <c r="N22" s="30" t="n">
        <v>0.7049</v>
      </c>
      <c r="O22" s="31" t="n">
        <v>0.84</v>
      </c>
      <c r="P22" s="31" t="n">
        <v>1.34</v>
      </c>
      <c r="Q22" s="31" t="n">
        <v>0.9399999999999999</v>
      </c>
      <c r="R22" s="31" t="n">
        <v>0.8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Emmett Johnson</t>
        </is>
      </c>
      <c r="C23" s="26" t="n">
        <v>3</v>
      </c>
      <c r="D23" s="26" t="inlineStr">
        <is>
          <t>22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0.0293</v>
      </c>
      <c r="M23" s="30" t="n">
        <v>0.0801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Brashard Smith</t>
        </is>
      </c>
      <c r="C24" s="26" t="n">
        <v>4</v>
      </c>
      <c r="D24" s="26" t="inlineStr">
        <is>
          <t>23</t>
        </is>
      </c>
      <c r="E24" s="27" t="inlineStr">
        <is>
          <t>ACT</t>
        </is>
      </c>
      <c r="F24" s="28" t="n"/>
      <c r="G24" s="28" t="n"/>
      <c r="H24" s="28" t="n">
        <v>0.0638</v>
      </c>
      <c r="I24" s="28" t="n">
        <v>0.1055</v>
      </c>
      <c r="J24" s="29" t="n">
        <v>17</v>
      </c>
      <c r="K24" s="30" t="n"/>
      <c r="L24" s="30" t="n">
        <v>0.0447</v>
      </c>
      <c r="M24" s="30" t="n">
        <v>0.0562</v>
      </c>
      <c r="N24" s="30" t="n">
        <v>0.7143</v>
      </c>
      <c r="O24" s="31" t="n">
        <v>0.8</v>
      </c>
      <c r="P24" s="31" t="n">
        <v>0.85</v>
      </c>
      <c r="Q24" s="31" t="n">
        <v>1.49</v>
      </c>
      <c r="R24" s="31" t="n">
        <v>1.56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Jaydn Ott</t>
        </is>
      </c>
      <c r="C25" s="26" t="n">
        <v>5</v>
      </c>
      <c r="D25" s="26" t="inlineStr">
        <is>
          <t>23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0.0035</v>
      </c>
      <c r="M25" s="30" t="n">
        <v>0.0101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EJ Smith</t>
        </is>
      </c>
      <c r="C26" s="26" t="n">
        <v>6</v>
      </c>
      <c r="D26" s="26" t="inlineStr">
        <is>
          <t>24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0.0037</v>
      </c>
      <c r="M26" s="30" t="n">
        <v>0.0043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Rashee Rice</t>
        </is>
      </c>
      <c r="C28" s="26" t="n">
        <v>1</v>
      </c>
      <c r="D28" s="26" t="inlineStr">
        <is>
          <t>26</t>
        </is>
      </c>
      <c r="E28" s="27" t="inlineStr">
        <is>
          <t>ACT</t>
        </is>
      </c>
      <c r="F28" s="28" t="n">
        <v>0.1703</v>
      </c>
      <c r="G28" s="28" t="n">
        <v>0.0507</v>
      </c>
      <c r="H28" s="28" t="n">
        <v>0.1421</v>
      </c>
      <c r="I28" s="28" t="n">
        <v>0.012</v>
      </c>
      <c r="J28" s="29" t="n">
        <v>17</v>
      </c>
      <c r="K28" s="30" t="n"/>
      <c r="L28" s="30" t="n">
        <v>0.1718</v>
      </c>
      <c r="M28" s="30" t="n">
        <v>0.0176</v>
      </c>
      <c r="N28" s="30" t="n">
        <v>0.7368</v>
      </c>
      <c r="O28" s="31" t="n">
        <v>1.13</v>
      </c>
      <c r="P28" s="31" t="n">
        <v>0.9</v>
      </c>
      <c r="Q28" s="31" t="n">
        <v>1.28</v>
      </c>
      <c r="R28" s="31" t="n">
        <v>1.25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Xavier Worthy</t>
        </is>
      </c>
      <c r="C29" s="26" t="n">
        <v>2</v>
      </c>
      <c r="D29" s="26" t="inlineStr">
        <is>
          <t>23</t>
        </is>
      </c>
      <c r="E29" s="41" t="inlineStr">
        <is>
          <t>QUESTIONABLE</t>
        </is>
      </c>
      <c r="F29" s="28" t="n"/>
      <c r="G29" s="28" t="n">
        <v>0.1713</v>
      </c>
      <c r="H29" s="28" t="n">
        <v>0.133</v>
      </c>
      <c r="I29" s="28" t="n">
        <v>0.0264</v>
      </c>
      <c r="J29" s="29" t="n">
        <v>17</v>
      </c>
      <c r="K29" s="30" t="n"/>
      <c r="L29" s="30" t="n">
        <v>0.1459</v>
      </c>
      <c r="M29" s="30" t="n">
        <v>0.0178</v>
      </c>
      <c r="N29" s="30" t="n">
        <v>0.5866</v>
      </c>
      <c r="O29" s="31" t="n">
        <v>0.98</v>
      </c>
      <c r="P29" s="31" t="n">
        <v>1.25</v>
      </c>
      <c r="Q29" s="31" t="n">
        <v>0.96</v>
      </c>
      <c r="R29" s="31" t="n">
        <v>2.23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Tyquan Thornton</t>
        </is>
      </c>
      <c r="C30" s="26" t="n">
        <v>3</v>
      </c>
      <c r="D30" s="26" t="inlineStr">
        <is>
          <t>25</t>
        </is>
      </c>
      <c r="E30" s="27" t="inlineStr">
        <is>
          <t>ACT</t>
        </is>
      </c>
      <c r="F30" s="28" t="n">
        <v>0.0425</v>
      </c>
      <c r="G30" s="28" t="n">
        <v>0.016</v>
      </c>
      <c r="H30" s="28" t="n">
        <v>0.0674</v>
      </c>
      <c r="I30" s="28" t="n"/>
      <c r="J30" s="29" t="n">
        <v>17</v>
      </c>
      <c r="K30" s="30" t="n"/>
      <c r="L30" s="30" t="n">
        <v>0.0728</v>
      </c>
      <c r="M30" s="30" t="n">
        <v>0.0053</v>
      </c>
      <c r="N30" s="30" t="n">
        <v>0.52</v>
      </c>
      <c r="O30" s="31" t="n">
        <v>1.21</v>
      </c>
      <c r="P30" s="31" t="n">
        <v>1.43</v>
      </c>
      <c r="Q30" s="31" t="n">
        <v>0.93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Jalen Royals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/>
      <c r="H31" s="28" t="n">
        <v>0.0055</v>
      </c>
      <c r="I31" s="28" t="n"/>
      <c r="J31" s="29" t="n">
        <v>17</v>
      </c>
      <c r="K31" s="30" t="n"/>
      <c r="L31" s="30" t="n">
        <v>0.0275</v>
      </c>
      <c r="M31" s="30" t="n">
        <v>0.0009</v>
      </c>
      <c r="N31" s="30" t="n">
        <v>0.6667</v>
      </c>
      <c r="O31" s="31" t="n">
        <v>0.89</v>
      </c>
      <c r="P31" s="31" t="n">
        <v>1</v>
      </c>
      <c r="Q31" s="31" t="n">
        <v>1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Cyrus Allen</t>
        </is>
      </c>
      <c r="C32" s="26" t="n">
        <v>5</v>
      </c>
      <c r="D32" s="26" t="inlineStr">
        <is>
          <t>23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0.0404</v>
      </c>
      <c r="M32" s="30" t="n">
        <v>0.0022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Nikko Remigio</t>
        </is>
      </c>
      <c r="C33" s="26" t="n">
        <v>6</v>
      </c>
      <c r="D33" s="26" t="inlineStr">
        <is>
          <t>26</t>
        </is>
      </c>
      <c r="E33" s="27" t="inlineStr">
        <is>
          <t>ACT</t>
        </is>
      </c>
      <c r="F33" s="28" t="n"/>
      <c r="G33" s="28" t="n">
        <v>0.0105</v>
      </c>
      <c r="H33" s="28" t="n">
        <v>0.0018</v>
      </c>
      <c r="I33" s="28" t="n">
        <v>0.0024</v>
      </c>
      <c r="J33" s="29" t="n">
        <v>17</v>
      </c>
      <c r="K33" s="30" t="n"/>
      <c r="L33" s="30" t="n">
        <v>0.0086</v>
      </c>
      <c r="M33" s="30" t="n">
        <v>0.0021</v>
      </c>
      <c r="N33" s="30" t="n">
        <v>0.8824</v>
      </c>
      <c r="O33" s="31" t="n">
        <v>1.14</v>
      </c>
      <c r="P33" s="31" t="n">
        <v>1.07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Jason Brownlee</t>
        </is>
      </c>
      <c r="C34" s="26" t="n">
        <v>7</v>
      </c>
      <c r="D34" s="26" t="inlineStr">
        <is>
          <t>27</t>
        </is>
      </c>
      <c r="E34" s="27" t="inlineStr">
        <is>
          <t>ACT</t>
        </is>
      </c>
      <c r="F34" s="28" t="n">
        <v>0.0142</v>
      </c>
      <c r="G34" s="28" t="n"/>
      <c r="H34" s="28" t="n">
        <v>0.0018</v>
      </c>
      <c r="I34" s="28" t="n"/>
      <c r="J34" s="29" t="n">
        <v>17</v>
      </c>
      <c r="K34" s="30" t="n"/>
      <c r="L34" s="30" t="n">
        <v>0.0073</v>
      </c>
      <c r="M34" s="30" t="n">
        <v>0.0009</v>
      </c>
      <c r="N34" s="30" t="n">
        <v>0.625</v>
      </c>
      <c r="O34" s="31" t="n">
        <v>1.02</v>
      </c>
      <c r="P34" s="31" t="n">
        <v>1</v>
      </c>
      <c r="Q34" s="31" t="n">
        <v>1.34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Jimmy Holiday</t>
        </is>
      </c>
      <c r="C35" s="26" t="n">
        <v>8</v>
      </c>
      <c r="D35" s="26" t="inlineStr">
        <is>
          <t>24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0.0046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Travis Kelce</t>
        </is>
      </c>
      <c r="C37" s="26" t="n">
        <v>1</v>
      </c>
      <c r="D37" s="26" t="inlineStr">
        <is>
          <t>36</t>
        </is>
      </c>
      <c r="E37" s="27" t="inlineStr">
        <is>
          <t>ACT</t>
        </is>
      </c>
      <c r="F37" s="28" t="n">
        <v>0.202</v>
      </c>
      <c r="G37" s="28" t="n">
        <v>0.2325</v>
      </c>
      <c r="H37" s="28" t="n">
        <v>0.1967</v>
      </c>
      <c r="I37" s="28" t="n">
        <v>0.0024</v>
      </c>
      <c r="J37" s="29" t="n">
        <v>17</v>
      </c>
      <c r="K37" s="30" t="n"/>
      <c r="L37" s="30" t="n">
        <v>0.2097</v>
      </c>
      <c r="M37" s="30" t="n">
        <v>0.0023</v>
      </c>
      <c r="N37" s="30" t="n">
        <v>0.7232</v>
      </c>
      <c r="O37" s="31" t="n">
        <v>1.03</v>
      </c>
      <c r="P37" s="31" t="n">
        <v>0.96</v>
      </c>
      <c r="Q37" s="31" t="n">
        <v>1.02</v>
      </c>
      <c r="R37" s="31" t="n">
        <v>1.44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Noah Gray</t>
        </is>
      </c>
      <c r="C38" s="26" t="n">
        <v>2</v>
      </c>
      <c r="D38" s="26" t="inlineStr">
        <is>
          <t>27</t>
        </is>
      </c>
      <c r="E38" s="27" t="inlineStr">
        <is>
          <t>ACT</t>
        </is>
      </c>
      <c r="F38" s="28" t="n">
        <v>0.0684</v>
      </c>
      <c r="G38" s="28" t="n">
        <v>0.0857</v>
      </c>
      <c r="H38" s="28" t="n">
        <v>0.0674</v>
      </c>
      <c r="I38" s="28" t="n"/>
      <c r="J38" s="29" t="n">
        <v>17</v>
      </c>
      <c r="K38" s="30" t="n"/>
      <c r="L38" s="30" t="n">
        <v>0.0728</v>
      </c>
      <c r="M38" s="30" t="n">
        <v>0.0023</v>
      </c>
      <c r="N38" s="30" t="n">
        <v>0.6682</v>
      </c>
      <c r="O38" s="31" t="n">
        <v>0.95</v>
      </c>
      <c r="P38" s="31" t="n">
        <v>1</v>
      </c>
      <c r="Q38" s="31" t="n">
        <v>0.87</v>
      </c>
      <c r="R38" s="31" t="n">
        <v>1.53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Jared Wiley</t>
        </is>
      </c>
      <c r="C39" s="26" t="n">
        <v>3</v>
      </c>
      <c r="D39" s="26" t="inlineStr">
        <is>
          <t>25</t>
        </is>
      </c>
      <c r="E39" s="27" t="inlineStr">
        <is>
          <t>ACT</t>
        </is>
      </c>
      <c r="F39" s="28" t="n"/>
      <c r="G39" s="28" t="n">
        <v>0.0017</v>
      </c>
      <c r="H39" s="28" t="n">
        <v>0.0018</v>
      </c>
      <c r="I39" s="28" t="n"/>
      <c r="J39" s="29" t="n">
        <v>17</v>
      </c>
      <c r="K39" s="30" t="n"/>
      <c r="L39" s="30" t="n">
        <v>0.0069</v>
      </c>
      <c r="M39" s="30" t="n">
        <v>0.0009</v>
      </c>
      <c r="N39" s="30" t="n">
        <v>1</v>
      </c>
      <c r="O39" s="31" t="n">
        <v>0.99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Mason Pline</t>
        </is>
      </c>
      <c r="C40" s="26" t="n">
        <v>4</v>
      </c>
      <c r="D40" s="26" t="inlineStr">
        <is>
          <t>26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0.0055</v>
      </c>
      <c r="M40" s="30" t="n">
        <v>0.0022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LAC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62.7</v>
      </c>
      <c r="D5" s="12">
        <f>C5*B5</f>
        <v/>
      </c>
      <c r="E5" s="13" t="n">
        <v>0.5706</v>
      </c>
      <c r="F5" s="10" t="n">
        <v>559</v>
      </c>
      <c r="G5" s="12">
        <f>ROUND(F5*Settings!$B$4,0)</f>
        <v/>
      </c>
      <c r="H5" s="10" t="n">
        <v>458</v>
      </c>
      <c r="I5" s="10" t="n">
        <v>3981</v>
      </c>
      <c r="J5" s="11" t="n">
        <v>25</v>
      </c>
      <c r="K5" s="11" t="n">
        <v>10</v>
      </c>
      <c r="L5" s="10" t="n">
        <v>1941</v>
      </c>
      <c r="M5" s="11" t="n">
        <v>13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1106</v>
      </c>
      <c r="D8" s="16" t="n">
        <v>65.05880000000001</v>
      </c>
      <c r="E8" s="17" t="n">
        <v>0.6103</v>
      </c>
      <c r="F8" s="15" t="n">
        <v>632</v>
      </c>
      <c r="G8" s="15" t="n">
        <v>431</v>
      </c>
      <c r="H8" s="15" t="n">
        <v>4312</v>
      </c>
      <c r="I8" s="15" t="n">
        <v>1642</v>
      </c>
      <c r="J8" s="15" t="n">
        <v>24</v>
      </c>
      <c r="K8" s="15" t="n">
        <v>11</v>
      </c>
      <c r="L8" s="16" t="n">
        <v>6.8228</v>
      </c>
      <c r="M8" s="16" t="n">
        <v>3.8097</v>
      </c>
    </row>
    <row r="9">
      <c r="B9" s="15" t="n">
        <v>2024</v>
      </c>
      <c r="C9" s="15" t="n">
        <v>1017</v>
      </c>
      <c r="D9" s="16" t="n">
        <v>59.8235</v>
      </c>
      <c r="E9" s="17" t="n">
        <v>0.5447</v>
      </c>
      <c r="F9" s="15" t="n">
        <v>510</v>
      </c>
      <c r="G9" s="15" t="n">
        <v>463</v>
      </c>
      <c r="H9" s="15" t="n">
        <v>3901</v>
      </c>
      <c r="I9" s="15" t="n">
        <v>1882</v>
      </c>
      <c r="J9" s="15" t="n">
        <v>23</v>
      </c>
      <c r="K9" s="15" t="n">
        <v>17</v>
      </c>
      <c r="L9" s="16" t="n">
        <v>7.649</v>
      </c>
      <c r="M9" s="16" t="n">
        <v>4.0648</v>
      </c>
    </row>
    <row r="10">
      <c r="B10" s="15" t="n">
        <v>2025</v>
      </c>
      <c r="C10" s="15" t="n">
        <v>1095</v>
      </c>
      <c r="D10" s="16" t="n">
        <v>64.4118</v>
      </c>
      <c r="E10" s="17" t="n">
        <v>0.5744</v>
      </c>
      <c r="F10" s="15" t="n">
        <v>569</v>
      </c>
      <c r="G10" s="15" t="n">
        <v>466</v>
      </c>
      <c r="H10" s="15" t="n">
        <v>3953</v>
      </c>
      <c r="I10" s="15" t="n">
        <v>2067</v>
      </c>
      <c r="J10" s="15" t="n">
        <v>26</v>
      </c>
      <c r="K10" s="15" t="n">
        <v>10</v>
      </c>
      <c r="L10" s="16" t="n">
        <v>6.9473</v>
      </c>
      <c r="M10" s="16" t="n">
        <v>4.4356</v>
      </c>
    </row>
    <row r="11"/>
    <row r="12">
      <c r="A12" s="18" t="inlineStr">
        <is>
          <t>OUT</t>
        </is>
      </c>
      <c r="B12" s="19" t="inlineStr">
        <is>
          <t>28% of targets and 7% of carries left. Share is team-relative - it does NOT follow the player.</t>
        </is>
      </c>
      <c r="H12" s="8" t="inlineStr">
        <is>
          <t>Keenan Allen (22t/0r -&gt; NOT ON ANY ROSTER), Hassan Haskins (1t/4r -&gt; NOT ON ANY ROSTER), Najee Harris (1t/3r -&gt; NOT ON ANY ROSTER), Will Dissly (3t/0r -&gt; NOT ON ANY ROSTER), Tyler Conklin (2t/0r -&gt; DET)</t>
        </is>
      </c>
    </row>
    <row r="13">
      <c r="A13" s="20" t="inlineStr">
        <is>
          <t>IN</t>
        </is>
      </c>
      <c r="B13" s="21" t="inlineStr">
        <is>
          <t>4 new: Keaton Mitchell (RB, from BAL - had 3% there), David Njoku (TE, from CLE - had 9% there), Charlie Kolar (TE, from BAL - had 4% there), Alec Ingold (FB, from MIA - had 2% there)</t>
        </is>
      </c>
    </row>
    <row r="14">
      <c r="A14" s="7" t="inlineStr">
        <is>
          <t>STAFF</t>
        </is>
      </c>
      <c r="B14" s="22" t="inlineStr">
        <is>
          <t>HC unchanged. OC Mike McDaniel. Earlier ball release; more catch-and-run opportunities.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Justin Herbert</t>
        </is>
      </c>
      <c r="C17" s="26" t="n">
        <v>1</v>
      </c>
      <c r="D17" s="26" t="inlineStr">
        <is>
          <t>28</t>
        </is>
      </c>
      <c r="E17" s="27" t="inlineStr">
        <is>
          <t>ACT</t>
        </is>
      </c>
      <c r="F17" s="28" t="n">
        <v>0.0016</v>
      </c>
      <c r="G17" s="28" t="n"/>
      <c r="H17" s="28" t="n"/>
      <c r="I17" s="28" t="n">
        <v>0.1608</v>
      </c>
      <c r="J17" s="29" t="n">
        <v>17</v>
      </c>
      <c r="K17" s="30" t="n">
        <v>0.92</v>
      </c>
      <c r="L17" s="30" t="n">
        <v>0.0018</v>
      </c>
      <c r="M17" s="30" t="n">
        <v>0.1214</v>
      </c>
      <c r="N17" s="30" t="n"/>
      <c r="O17" s="31" t="n">
        <v>1.02</v>
      </c>
      <c r="P17" s="31" t="n">
        <v>1.36</v>
      </c>
      <c r="Q17" s="31" t="n">
        <v>1</v>
      </c>
      <c r="R17" s="31" t="n">
        <v>1.08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Trey Lance</t>
        </is>
      </c>
      <c r="C18" s="26" t="n">
        <v>2</v>
      </c>
      <c r="D18" s="26" t="inlineStr">
        <is>
          <t>26</t>
        </is>
      </c>
      <c r="E18" s="27" t="inlineStr">
        <is>
          <t>ACT</t>
        </is>
      </c>
      <c r="F18" s="28" t="n"/>
      <c r="G18" s="28" t="n"/>
      <c r="H18" s="28" t="n"/>
      <c r="I18" s="28" t="n">
        <v>0.033</v>
      </c>
      <c r="J18" s="29" t="n">
        <v>17</v>
      </c>
      <c r="K18" s="30" t="n">
        <v>0.068</v>
      </c>
      <c r="L18" s="30" t="n">
        <v>0.0008</v>
      </c>
      <c r="M18" s="30" t="n">
        <v>0.0283</v>
      </c>
      <c r="N18" s="30" t="n"/>
      <c r="O18" s="31" t="n">
        <v>1</v>
      </c>
      <c r="P18" s="31" t="n">
        <v>1.05</v>
      </c>
      <c r="Q18" s="31" t="n">
        <v>1</v>
      </c>
      <c r="R18" s="31" t="n">
        <v>1.06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DJ Uiagalelei</t>
        </is>
      </c>
      <c r="C19" s="26" t="n">
        <v>3</v>
      </c>
      <c r="D19" s="26" t="inlineStr">
        <is>
          <t>25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0.002</v>
      </c>
      <c r="M19" s="30" t="n">
        <v>0.009900000000000001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Omarion Hampton</t>
        </is>
      </c>
      <c r="C21" s="26" t="n">
        <v>1</v>
      </c>
      <c r="D21" s="26" t="inlineStr">
        <is>
          <t>23</t>
        </is>
      </c>
      <c r="E21" s="27" t="inlineStr">
        <is>
          <t>ACT</t>
        </is>
      </c>
      <c r="F21" s="28" t="n"/>
      <c r="G21" s="28" t="n"/>
      <c r="H21" s="28" t="n">
        <v>0.0643</v>
      </c>
      <c r="I21" s="28" t="n">
        <v>0.2731</v>
      </c>
      <c r="J21" s="29" t="n">
        <v>17</v>
      </c>
      <c r="K21" s="30" t="n"/>
      <c r="L21" s="30" t="n">
        <v>0.079</v>
      </c>
      <c r="M21" s="30" t="n">
        <v>0.381</v>
      </c>
      <c r="N21" s="30" t="n">
        <v>0.9143</v>
      </c>
      <c r="O21" s="31" t="n">
        <v>0.84</v>
      </c>
      <c r="P21" s="31" t="n">
        <v>0.97</v>
      </c>
      <c r="Q21" s="31" t="n">
        <v>0.87</v>
      </c>
      <c r="R21" s="31" t="n">
        <v>0.87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Keaton Mitchell</t>
        </is>
      </c>
      <c r="C22" s="26" t="n">
        <v>2</v>
      </c>
      <c r="D22" s="26" t="inlineStr">
        <is>
          <t>24</t>
        </is>
      </c>
      <c r="E22" s="36" t="inlineStr">
        <is>
          <t>role avg (from BAL)</t>
        </is>
      </c>
      <c r="F22" s="28" t="n">
        <v>0.0231</v>
      </c>
      <c r="G22" s="28" t="n">
        <v>0.0022</v>
      </c>
      <c r="H22" s="28" t="n">
        <v>0.0295</v>
      </c>
      <c r="I22" s="28" t="n">
        <v>0.1204</v>
      </c>
      <c r="J22" s="29" t="n">
        <v>17</v>
      </c>
      <c r="K22" s="30" t="n"/>
      <c r="L22" s="30" t="n">
        <v>0.0369</v>
      </c>
      <c r="M22" s="30" t="n">
        <v>0.2323</v>
      </c>
      <c r="N22" s="30" t="n">
        <v>0.8004</v>
      </c>
      <c r="O22" s="31" t="n">
        <v>1.03</v>
      </c>
      <c r="P22" s="31" t="n">
        <v>1.04</v>
      </c>
      <c r="Q22" s="31" t="n">
        <v>0.9399999999999999</v>
      </c>
      <c r="R22" s="31" t="n">
        <v>0.68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Kimani Vidal</t>
        </is>
      </c>
      <c r="C23" s="26" t="n">
        <v>3</v>
      </c>
      <c r="D23" s="26" t="inlineStr">
        <is>
          <t>24</t>
        </is>
      </c>
      <c r="E23" s="27" t="inlineStr">
        <is>
          <t>ACT</t>
        </is>
      </c>
      <c r="F23" s="28" t="n"/>
      <c r="G23" s="28" t="n">
        <v>0.0183</v>
      </c>
      <c r="H23" s="28" t="n">
        <v>0.0404</v>
      </c>
      <c r="I23" s="28" t="n">
        <v>0.3414</v>
      </c>
      <c r="J23" s="29" t="n">
        <v>17</v>
      </c>
      <c r="K23" s="30" t="n"/>
      <c r="L23" s="30" t="n">
        <v>0.0268</v>
      </c>
      <c r="M23" s="30" t="n">
        <v>0.1096</v>
      </c>
      <c r="N23" s="30" t="n">
        <v>0.673</v>
      </c>
      <c r="O23" s="31" t="n">
        <v>0.93</v>
      </c>
      <c r="P23" s="31" t="n">
        <v>0.91</v>
      </c>
      <c r="Q23" s="31" t="n">
        <v>1.93</v>
      </c>
      <c r="R23" s="31" t="n">
        <v>1.97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Jaret Patterson</t>
        </is>
      </c>
      <c r="C24" s="26" t="n">
        <v>4</v>
      </c>
      <c r="D24" s="26" t="inlineStr">
        <is>
          <t>26</t>
        </is>
      </c>
      <c r="E24" s="27" t="inlineStr">
        <is>
          <t>ACT</t>
        </is>
      </c>
      <c r="F24" s="28" t="n"/>
      <c r="G24" s="28" t="n"/>
      <c r="H24" s="28" t="n">
        <v>0.0074</v>
      </c>
      <c r="I24" s="28" t="n">
        <v>0.09030000000000001</v>
      </c>
      <c r="J24" s="29" t="n">
        <v>17</v>
      </c>
      <c r="K24" s="30" t="n"/>
      <c r="L24" s="30" t="n">
        <v>0.0078</v>
      </c>
      <c r="M24" s="30" t="n">
        <v>0.0536</v>
      </c>
      <c r="N24" s="30" t="n">
        <v>0.75</v>
      </c>
      <c r="O24" s="31" t="n">
        <v>0.88</v>
      </c>
      <c r="P24" s="31" t="n">
        <v>0.9</v>
      </c>
      <c r="Q24" s="31" t="n">
        <v>1</v>
      </c>
      <c r="R24" s="31" t="n">
        <v>1.26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Amar Johnson</t>
        </is>
      </c>
      <c r="C25" s="26" t="n">
        <v>5</v>
      </c>
      <c r="D25" s="26" t="inlineStr">
        <is>
          <t>23</t>
        </is>
      </c>
      <c r="E25" s="27" t="inlineStr">
        <is>
          <t>ACT</t>
        </is>
      </c>
      <c r="F25" s="28" t="n"/>
      <c r="G25" s="28" t="n"/>
      <c r="H25" s="28" t="n">
        <v>0.0018</v>
      </c>
      <c r="I25" s="28" t="n">
        <v>0.0044</v>
      </c>
      <c r="J25" s="29" t="n">
        <v>17</v>
      </c>
      <c r="K25" s="30" t="n"/>
      <c r="L25" s="30" t="n">
        <v>0.0036</v>
      </c>
      <c r="M25" s="30" t="n">
        <v>0.0193</v>
      </c>
      <c r="N25" s="30" t="n"/>
      <c r="O25" s="31" t="n">
        <v>1</v>
      </c>
      <c r="P25" s="31" t="n">
        <v>0.99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Alec Ingold</t>
        </is>
      </c>
      <c r="C26" s="26" t="n">
        <v>6</v>
      </c>
      <c r="D26" s="26" t="inlineStr">
        <is>
          <t>30</t>
        </is>
      </c>
      <c r="E26" s="36" t="inlineStr">
        <is>
          <t>role avg (from MIA)</t>
        </is>
      </c>
      <c r="F26" s="28" t="n">
        <v>0.0291</v>
      </c>
      <c r="G26" s="28" t="n">
        <v>0.0211</v>
      </c>
      <c r="H26" s="28" t="n">
        <v>0.0238</v>
      </c>
      <c r="I26" s="28" t="n">
        <v>0.0047</v>
      </c>
      <c r="J26" s="29" t="n">
        <v>17</v>
      </c>
      <c r="K26" s="30" t="n"/>
      <c r="L26" s="30" t="n">
        <v>0.0047</v>
      </c>
      <c r="M26" s="30" t="n">
        <v>0.0055</v>
      </c>
      <c r="N26" s="30" t="n">
        <v>0.7969000000000001</v>
      </c>
      <c r="O26" s="31" t="n">
        <v>0.9399999999999999</v>
      </c>
      <c r="P26" s="31" t="n">
        <v>0.96</v>
      </c>
      <c r="Q26" s="31" t="n">
        <v>1.51</v>
      </c>
      <c r="R26" s="31" t="n">
        <v>1.37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Ladd McConkey</t>
        </is>
      </c>
      <c r="C28" s="26" t="n">
        <v>1</v>
      </c>
      <c r="D28" s="26" t="inlineStr">
        <is>
          <t>24</t>
        </is>
      </c>
      <c r="E28" s="27" t="inlineStr">
        <is>
          <t>ACT</t>
        </is>
      </c>
      <c r="F28" s="28" t="n"/>
      <c r="G28" s="28" t="n">
        <v>0.2281</v>
      </c>
      <c r="H28" s="28" t="n">
        <v>0.1949</v>
      </c>
      <c r="I28" s="28" t="n"/>
      <c r="J28" s="29" t="n">
        <v>17</v>
      </c>
      <c r="K28" s="30" t="n"/>
      <c r="L28" s="30" t="n">
        <v>0.2261</v>
      </c>
      <c r="M28" s="30" t="n">
        <v>0.0077</v>
      </c>
      <c r="N28" s="30" t="n">
        <v>0.6637</v>
      </c>
      <c r="O28" s="31" t="n">
        <v>1.1</v>
      </c>
      <c r="P28" s="31" t="n">
        <v>1</v>
      </c>
      <c r="Q28" s="31" t="n">
        <v>0.92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Quentin Johnston</t>
        </is>
      </c>
      <c r="C29" s="26" t="n">
        <v>2</v>
      </c>
      <c r="D29" s="26" t="inlineStr">
        <is>
          <t>24</t>
        </is>
      </c>
      <c r="E29" s="27" t="inlineStr">
        <is>
          <t>ACT</t>
        </is>
      </c>
      <c r="F29" s="28" t="n">
        <v>0.1091</v>
      </c>
      <c r="G29" s="28" t="n">
        <v>0.1853</v>
      </c>
      <c r="H29" s="28" t="n">
        <v>0.1544</v>
      </c>
      <c r="I29" s="28" t="n">
        <v>0.0044</v>
      </c>
      <c r="J29" s="29" t="n">
        <v>17</v>
      </c>
      <c r="K29" s="30" t="n"/>
      <c r="L29" s="30" t="n">
        <v>0.1606</v>
      </c>
      <c r="M29" s="30" t="n">
        <v>0.0061</v>
      </c>
      <c r="N29" s="30" t="n">
        <v>0.5972</v>
      </c>
      <c r="O29" s="31" t="n">
        <v>1.06</v>
      </c>
      <c r="P29" s="31" t="n">
        <v>0.96</v>
      </c>
      <c r="Q29" s="31" t="n">
        <v>1.13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Tre' Harris</t>
        </is>
      </c>
      <c r="C30" s="26" t="n">
        <v>3</v>
      </c>
      <c r="D30" s="26" t="inlineStr">
        <is>
          <t>24</t>
        </is>
      </c>
      <c r="E30" s="27" t="inlineStr">
        <is>
          <t>ACT</t>
        </is>
      </c>
      <c r="F30" s="28" t="n"/>
      <c r="G30" s="28" t="n"/>
      <c r="H30" s="28" t="n">
        <v>0.079</v>
      </c>
      <c r="I30" s="28" t="n">
        <v>0.0044</v>
      </c>
      <c r="J30" s="29" t="n">
        <v>17</v>
      </c>
      <c r="K30" s="30" t="n"/>
      <c r="L30" s="30" t="n">
        <v>0.0963</v>
      </c>
      <c r="M30" s="30" t="n">
        <v>0.0046</v>
      </c>
      <c r="N30" s="30" t="n">
        <v>0.6977</v>
      </c>
      <c r="O30" s="31" t="n">
        <v>1.02</v>
      </c>
      <c r="P30" s="31" t="n">
        <v>1.01</v>
      </c>
      <c r="Q30" s="31" t="n">
        <v>0.86</v>
      </c>
      <c r="R30" s="31" t="n">
        <v>1.24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Jerand Bradley</t>
        </is>
      </c>
      <c r="C31" s="26" t="n">
        <v>4</v>
      </c>
      <c r="D31" s="26" t="inlineStr">
        <is>
          <t>23</t>
        </is>
      </c>
      <c r="E31" s="36" t="inlineStr">
        <is>
          <t>role avg (rookie)</t>
        </is>
      </c>
      <c r="F31" s="28" t="n"/>
      <c r="G31" s="28" t="n"/>
      <c r="H31" s="28" t="n"/>
      <c r="I31" s="28" t="n"/>
      <c r="J31" s="29" t="n">
        <v>17</v>
      </c>
      <c r="K31" s="30" t="n"/>
      <c r="L31" s="30" t="n">
        <v>0.0536</v>
      </c>
      <c r="M31" s="30" t="n">
        <v>0.0024</v>
      </c>
      <c r="N31" s="30" t="n">
        <v>0.65</v>
      </c>
      <c r="O31" s="31" t="n">
        <v>1</v>
      </c>
      <c r="P31" s="31" t="n">
        <v>1</v>
      </c>
      <c r="Q31" s="31" t="n">
        <v>1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Brenen Thompson</t>
        </is>
      </c>
      <c r="C32" s="26" t="n">
        <v>5</v>
      </c>
      <c r="D32" s="26" t="inlineStr">
        <is>
          <t>23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0.0292</v>
      </c>
      <c r="M32" s="30" t="n">
        <v>0.0023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KeAndre Lambert-Smith</t>
        </is>
      </c>
      <c r="C33" s="26" t="n">
        <v>6</v>
      </c>
      <c r="D33" s="26" t="inlineStr">
        <is>
          <t>24</t>
        </is>
      </c>
      <c r="E33" s="27" t="inlineStr">
        <is>
          <t>ACT</t>
        </is>
      </c>
      <c r="F33" s="28" t="n"/>
      <c r="G33" s="28" t="n"/>
      <c r="H33" s="28" t="n">
        <v>0.0221</v>
      </c>
      <c r="I33" s="28" t="n"/>
      <c r="J33" s="29" t="n">
        <v>17</v>
      </c>
      <c r="K33" s="30" t="n"/>
      <c r="L33" s="30" t="n">
        <v>0.021</v>
      </c>
      <c r="M33" s="30" t="n">
        <v>0.0008</v>
      </c>
      <c r="N33" s="30" t="n">
        <v>0.4167</v>
      </c>
      <c r="O33" s="31" t="n">
        <v>0.84</v>
      </c>
      <c r="P33" s="31" t="n">
        <v>1</v>
      </c>
      <c r="Q33" s="31" t="n">
        <v>0.96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Derius Davis</t>
        </is>
      </c>
      <c r="C34" s="26" t="n">
        <v>7</v>
      </c>
      <c r="D34" s="26" t="inlineStr">
        <is>
          <t>25</t>
        </is>
      </c>
      <c r="E34" s="27" t="inlineStr">
        <is>
          <t>ACT</t>
        </is>
      </c>
      <c r="F34" s="28" t="n">
        <v>0.0277</v>
      </c>
      <c r="G34" s="28" t="n">
        <v>0.0346</v>
      </c>
      <c r="H34" s="28" t="n">
        <v>0.0055</v>
      </c>
      <c r="I34" s="28" t="n">
        <v>0.0044</v>
      </c>
      <c r="J34" s="29" t="n">
        <v>17</v>
      </c>
      <c r="K34" s="30" t="n"/>
      <c r="L34" s="30" t="n">
        <v>0.0196</v>
      </c>
      <c r="M34" s="30" t="n">
        <v>0.0048</v>
      </c>
      <c r="N34" s="30" t="n">
        <v>0.7543</v>
      </c>
      <c r="O34" s="31" t="n">
        <v>0.86</v>
      </c>
      <c r="P34" s="31" t="n">
        <v>0.99</v>
      </c>
      <c r="Q34" s="31" t="n">
        <v>1.09</v>
      </c>
      <c r="R34" s="31" t="n">
        <v>1.21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Dalevon Campbell</t>
        </is>
      </c>
      <c r="C35" s="26" t="n">
        <v>8</v>
      </c>
      <c r="D35" s="26" t="inlineStr">
        <is>
          <t>24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0.0137</v>
      </c>
      <c r="M35" s="30" t="n">
        <v>0.0021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Oronde Gadsden</t>
        </is>
      </c>
      <c r="C37" s="26" t="n">
        <v>1</v>
      </c>
      <c r="D37" s="26" t="inlineStr">
        <is>
          <t>23</t>
        </is>
      </c>
      <c r="E37" s="27" t="inlineStr">
        <is>
          <t>ACT</t>
        </is>
      </c>
      <c r="F37" s="28" t="n"/>
      <c r="G37" s="28" t="n"/>
      <c r="H37" s="28" t="n">
        <v>0.1268</v>
      </c>
      <c r="I37" s="28" t="n"/>
      <c r="J37" s="29" t="n">
        <v>17</v>
      </c>
      <c r="K37" s="30" t="n"/>
      <c r="L37" s="30" t="n">
        <v>0.1366</v>
      </c>
      <c r="M37" s="30" t="n">
        <v>0.0015</v>
      </c>
      <c r="N37" s="30" t="n">
        <v>0.7101</v>
      </c>
      <c r="O37" s="31" t="n">
        <v>1.25</v>
      </c>
      <c r="P37" s="31" t="n">
        <v>1</v>
      </c>
      <c r="Q37" s="31" t="n">
        <v>1.29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David Njoku</t>
        </is>
      </c>
      <c r="C38" s="26" t="n">
        <v>2</v>
      </c>
      <c r="D38" s="26" t="inlineStr">
        <is>
          <t>30</t>
        </is>
      </c>
      <c r="E38" s="36" t="inlineStr">
        <is>
          <t>role avg (from CLE)</t>
        </is>
      </c>
      <c r="F38" s="28" t="n">
        <v>0.206</v>
      </c>
      <c r="G38" s="28" t="n">
        <v>0.153</v>
      </c>
      <c r="H38" s="28" t="n">
        <v>0.092</v>
      </c>
      <c r="I38" s="28" t="n"/>
      <c r="J38" s="29" t="n">
        <v>17</v>
      </c>
      <c r="K38" s="30" t="n"/>
      <c r="L38" s="30" t="n">
        <v>0.0485</v>
      </c>
      <c r="M38" s="30" t="n">
        <v>0.0023</v>
      </c>
      <c r="N38" s="30" t="n">
        <v>0.6728</v>
      </c>
      <c r="O38" s="31" t="n">
        <v>0.99</v>
      </c>
      <c r="P38" s="31" t="n">
        <v>1</v>
      </c>
      <c r="Q38" s="31" t="n">
        <v>2.5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Charlie Kolar</t>
        </is>
      </c>
      <c r="C39" s="26" t="n">
        <v>3</v>
      </c>
      <c r="D39" s="26" t="inlineStr">
        <is>
          <t>27</t>
        </is>
      </c>
      <c r="E39" s="36" t="inlineStr">
        <is>
          <t>role avg (from BAL)</t>
        </is>
      </c>
      <c r="F39" s="28" t="n">
        <v>0.0189</v>
      </c>
      <c r="G39" s="28" t="n">
        <v>0.0241</v>
      </c>
      <c r="H39" s="28" t="n">
        <v>0.0369</v>
      </c>
      <c r="I39" s="28" t="n"/>
      <c r="J39" s="29" t="n">
        <v>17</v>
      </c>
      <c r="K39" s="30" t="n"/>
      <c r="L39" s="30" t="n">
        <v>0.0235</v>
      </c>
      <c r="M39" s="30" t="n">
        <v>0.0023</v>
      </c>
      <c r="N39" s="30" t="n">
        <v>0.7267</v>
      </c>
      <c r="O39" s="31" t="n">
        <v>1.08</v>
      </c>
      <c r="P39" s="31" t="n">
        <v>0.97</v>
      </c>
      <c r="Q39" s="31" t="n">
        <v>1.2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Evan Svoboda</t>
        </is>
      </c>
      <c r="C40" s="26" t="n">
        <v>4</v>
      </c>
      <c r="D40" s="26" t="inlineStr">
        <is>
          <t>23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0.0081</v>
      </c>
      <c r="M40" s="30" t="n">
        <v>0.0023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LAR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62.7</v>
      </c>
      <c r="D5" s="12">
        <f>C5*B5</f>
        <v/>
      </c>
      <c r="E5" s="13" t="n">
        <v>0.5679</v>
      </c>
      <c r="F5" s="10" t="n">
        <v>573</v>
      </c>
      <c r="G5" s="12">
        <f>ROUND(F5*Settings!$B$4,0)</f>
        <v/>
      </c>
      <c r="H5" s="10" t="n">
        <v>460</v>
      </c>
      <c r="I5" s="10" t="n">
        <v>4271</v>
      </c>
      <c r="J5" s="11" t="n">
        <v>31</v>
      </c>
      <c r="K5" s="11" t="n">
        <v>11</v>
      </c>
      <c r="L5" s="10" t="n">
        <v>1999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1094</v>
      </c>
      <c r="D8" s="16" t="n">
        <v>64.35290000000001</v>
      </c>
      <c r="E8" s="17" t="n">
        <v>0.5639999999999999</v>
      </c>
      <c r="F8" s="15" t="n">
        <v>583</v>
      </c>
      <c r="G8" s="15" t="n">
        <v>477</v>
      </c>
      <c r="H8" s="15" t="n">
        <v>4300</v>
      </c>
      <c r="I8" s="15" t="n">
        <v>2045</v>
      </c>
      <c r="J8" s="15" t="n">
        <v>26</v>
      </c>
      <c r="K8" s="15" t="n">
        <v>18</v>
      </c>
      <c r="L8" s="16" t="n">
        <v>7.3756</v>
      </c>
      <c r="M8" s="16" t="n">
        <v>4.2872</v>
      </c>
    </row>
    <row r="9">
      <c r="B9" s="15" t="n">
        <v>2024</v>
      </c>
      <c r="C9" s="15" t="n">
        <v>1040</v>
      </c>
      <c r="D9" s="16" t="n">
        <v>61.1765</v>
      </c>
      <c r="E9" s="17" t="n">
        <v>0.5673</v>
      </c>
      <c r="F9" s="15" t="n">
        <v>559</v>
      </c>
      <c r="G9" s="15" t="n">
        <v>450</v>
      </c>
      <c r="H9" s="15" t="n">
        <v>4096</v>
      </c>
      <c r="I9" s="15" t="n">
        <v>1765</v>
      </c>
      <c r="J9" s="15" t="n">
        <v>22</v>
      </c>
      <c r="K9" s="15" t="n">
        <v>15</v>
      </c>
      <c r="L9" s="16" t="n">
        <v>7.3274</v>
      </c>
      <c r="M9" s="16" t="n">
        <v>3.9222</v>
      </c>
    </row>
    <row r="10">
      <c r="B10" s="15" t="n">
        <v>2025</v>
      </c>
      <c r="C10" s="15" t="n">
        <v>1086</v>
      </c>
      <c r="D10" s="16" t="n">
        <v>63.8824</v>
      </c>
      <c r="E10" s="17" t="n">
        <v>0.5718</v>
      </c>
      <c r="F10" s="15" t="n">
        <v>598</v>
      </c>
      <c r="G10" s="15" t="n">
        <v>465</v>
      </c>
      <c r="H10" s="15" t="n">
        <v>4707</v>
      </c>
      <c r="I10" s="15" t="n">
        <v>2152</v>
      </c>
      <c r="J10" s="15" t="n">
        <v>46</v>
      </c>
      <c r="K10" s="15" t="n">
        <v>17</v>
      </c>
      <c r="L10" s="16" t="n">
        <v>7.8712</v>
      </c>
      <c r="M10" s="16" t="n">
        <v>4.628</v>
      </c>
    </row>
    <row r="11"/>
    <row r="12">
      <c r="A12" s="18" t="inlineStr">
        <is>
          <t>OUT</t>
        </is>
      </c>
      <c r="B12" s="19" t="inlineStr">
        <is>
          <t>3% of targets and 0% of carries left. Share is team-relative - it does NOT follow the player.</t>
        </is>
      </c>
      <c r="H12" s="8" t="inlineStr">
        <is>
          <t>Tutu Atwell (3t/0r -&gt; MIA)</t>
        </is>
      </c>
    </row>
    <row r="13">
      <c r="A13" s="20" t="inlineStr">
        <is>
          <t>IN</t>
        </is>
      </c>
      <c r="B13" s="8" t="inlineStr">
        <is>
          <t>no incoming players with prior usage</t>
        </is>
      </c>
    </row>
    <row r="14">
      <c r="A14" s="7" t="inlineStr">
        <is>
          <t>STAFF</t>
        </is>
      </c>
      <c r="B14" s="22" t="inlineStr">
        <is>
          <t>HC unchanged. OC Nate Scheelhaase under Sean McVay. McVay retains play-calling; smooth transition expected.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Matthew Stafford</t>
        </is>
      </c>
      <c r="C17" s="26" t="n">
        <v>1</v>
      </c>
      <c r="D17" s="26" t="inlineStr">
        <is>
          <t>38</t>
        </is>
      </c>
      <c r="E17" s="27" t="inlineStr">
        <is>
          <t>ACT</t>
        </is>
      </c>
      <c r="F17" s="28" t="n"/>
      <c r="G17" s="28" t="n"/>
      <c r="H17" s="28" t="n"/>
      <c r="I17" s="28" t="n">
        <v>0.0273</v>
      </c>
      <c r="J17" s="29" t="n">
        <v>17</v>
      </c>
      <c r="K17" s="30" t="n">
        <v>0.9574</v>
      </c>
      <c r="L17" s="30" t="n">
        <v>0.0008</v>
      </c>
      <c r="M17" s="30" t="n">
        <v>0.0397</v>
      </c>
      <c r="N17" s="30" t="n"/>
      <c r="O17" s="31" t="n">
        <v>1</v>
      </c>
      <c r="P17" s="31" t="n">
        <v>0.75</v>
      </c>
      <c r="Q17" s="31" t="n">
        <v>1</v>
      </c>
      <c r="R17" s="31" t="n">
        <v>1.26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Ty Simpson</t>
        </is>
      </c>
      <c r="C18" s="26" t="n">
        <v>2</v>
      </c>
      <c r="D18" s="26" t="inlineStr">
        <is>
          <t>23</t>
        </is>
      </c>
      <c r="E18" s="36" t="inlineStr">
        <is>
          <t>role avg (rookie)</t>
        </is>
      </c>
      <c r="F18" s="28" t="n"/>
      <c r="G18" s="28" t="n"/>
      <c r="H18" s="28" t="n"/>
      <c r="I18" s="28" t="n"/>
      <c r="J18" s="29" t="n">
        <v>17</v>
      </c>
      <c r="K18" s="30" t="n">
        <v>0.0362</v>
      </c>
      <c r="L18" s="30" t="n">
        <v>0.0018</v>
      </c>
      <c r="M18" s="30" t="n">
        <v>0.0172</v>
      </c>
      <c r="N18" s="30" t="n"/>
      <c r="O18" s="31" t="n">
        <v>1</v>
      </c>
      <c r="P18" s="31" t="n">
        <v>1</v>
      </c>
      <c r="Q18" s="31" t="n">
        <v>1</v>
      </c>
      <c r="R18" s="31" t="n">
        <v>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Stetson Bennett</t>
        </is>
      </c>
      <c r="C19" s="26" t="n">
        <v>3</v>
      </c>
      <c r="D19" s="26" t="inlineStr">
        <is>
          <t>28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0.0064</v>
      </c>
      <c r="L19" s="30" t="n">
        <v>0.0018</v>
      </c>
      <c r="M19" s="30" t="n">
        <v>0.0077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Kyren Williams</t>
        </is>
      </c>
      <c r="C21" s="26" t="n">
        <v>1</v>
      </c>
      <c r="D21" s="26" t="inlineStr">
        <is>
          <t>25</t>
        </is>
      </c>
      <c r="E21" s="27" t="inlineStr">
        <is>
          <t>ACT</t>
        </is>
      </c>
      <c r="F21" s="28" t="n">
        <v>0.08649999999999999</v>
      </c>
      <c r="G21" s="28" t="n">
        <v>0.07389999999999999</v>
      </c>
      <c r="H21" s="28" t="n">
        <v>0.0861</v>
      </c>
      <c r="I21" s="28" t="n">
        <v>0.59</v>
      </c>
      <c r="J21" s="29" t="n">
        <v>17</v>
      </c>
      <c r="K21" s="30" t="n"/>
      <c r="L21" s="30" t="n">
        <v>0.0824</v>
      </c>
      <c r="M21" s="30" t="n">
        <v>0.5506</v>
      </c>
      <c r="N21" s="30" t="n">
        <v>0.7516</v>
      </c>
      <c r="O21" s="31" t="n">
        <v>0.75</v>
      </c>
      <c r="P21" s="31" t="n">
        <v>1.02</v>
      </c>
      <c r="Q21" s="31" t="n">
        <v>1.12</v>
      </c>
      <c r="R21" s="31" t="n">
        <v>1.07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Blake Corum</t>
        </is>
      </c>
      <c r="C22" s="26" t="n">
        <v>2</v>
      </c>
      <c r="D22" s="26" t="inlineStr">
        <is>
          <t>25</t>
        </is>
      </c>
      <c r="E22" s="27" t="inlineStr">
        <is>
          <t>ACT</t>
        </is>
      </c>
      <c r="F22" s="28" t="n"/>
      <c r="G22" s="28" t="n">
        <v>0.0148</v>
      </c>
      <c r="H22" s="28" t="n">
        <v>0.0241</v>
      </c>
      <c r="I22" s="28" t="n">
        <v>0.3303</v>
      </c>
      <c r="J22" s="29" t="n">
        <v>17</v>
      </c>
      <c r="K22" s="30" t="n"/>
      <c r="L22" s="30" t="n">
        <v>0.0246</v>
      </c>
      <c r="M22" s="30" t="n">
        <v>0.2231</v>
      </c>
      <c r="N22" s="30" t="n">
        <v>0.6853</v>
      </c>
      <c r="O22" s="31" t="n">
        <v>0.84</v>
      </c>
      <c r="P22" s="31" t="n">
        <v>0.99</v>
      </c>
      <c r="Q22" s="31" t="n">
        <v>0.93</v>
      </c>
      <c r="R22" s="31" t="n">
        <v>0.95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Jarquez Hunter</t>
        </is>
      </c>
      <c r="C23" s="26" t="n">
        <v>3</v>
      </c>
      <c r="D23" s="26" t="inlineStr">
        <is>
          <t>23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0.0136</v>
      </c>
      <c r="M23" s="30" t="n">
        <v>0.0594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Ronnie Rivers</t>
        </is>
      </c>
      <c r="C24" s="26" t="n">
        <v>4</v>
      </c>
      <c r="D24" s="26" t="inlineStr">
        <is>
          <t>27</t>
        </is>
      </c>
      <c r="E24" s="27" t="inlineStr">
        <is>
          <t>ACT</t>
        </is>
      </c>
      <c r="F24" s="28" t="n">
        <v>0.008999999999999999</v>
      </c>
      <c r="G24" s="28" t="n">
        <v>0.0111</v>
      </c>
      <c r="H24" s="28" t="n"/>
      <c r="I24" s="28" t="n">
        <v>0.0205</v>
      </c>
      <c r="J24" s="29" t="n">
        <v>17</v>
      </c>
      <c r="K24" s="30" t="n"/>
      <c r="L24" s="30" t="n">
        <v>0.0081</v>
      </c>
      <c r="M24" s="30" t="n">
        <v>0.0308</v>
      </c>
      <c r="N24" s="30" t="n">
        <v>0.8768</v>
      </c>
      <c r="O24" s="31" t="n">
        <v>0.93</v>
      </c>
      <c r="P24" s="31" t="n">
        <v>1.02</v>
      </c>
      <c r="Q24" s="31" t="n">
        <v>1</v>
      </c>
      <c r="R24" s="31" t="n">
        <v>1.01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Jordan Waters</t>
        </is>
      </c>
      <c r="C25" s="26" t="n">
        <v>5</v>
      </c>
      <c r="D25" s="26" t="inlineStr">
        <is>
          <t>25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0.0045</v>
      </c>
      <c r="M25" s="30" t="n">
        <v>0.0144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Dean Connors</t>
        </is>
      </c>
      <c r="C26" s="26" t="n">
        <v>6</v>
      </c>
      <c r="D26" s="26" t="inlineStr">
        <is>
          <t>22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0.0034</v>
      </c>
      <c r="M26" s="30" t="n">
        <v>0.0042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Puka Nacua</t>
        </is>
      </c>
      <c r="C28" s="26" t="n">
        <v>1</v>
      </c>
      <c r="D28" s="26" t="inlineStr">
        <is>
          <t>25</t>
        </is>
      </c>
      <c r="E28" s="27" t="inlineStr">
        <is>
          <t>ACT</t>
        </is>
      </c>
      <c r="F28" s="28" t="n">
        <v>0.2883</v>
      </c>
      <c r="G28" s="28" t="n">
        <v>0.1959</v>
      </c>
      <c r="H28" s="28" t="n">
        <v>0.2857</v>
      </c>
      <c r="I28" s="28" t="n">
        <v>0.0228</v>
      </c>
      <c r="J28" s="29" t="n">
        <v>17</v>
      </c>
      <c r="K28" s="30" t="n"/>
      <c r="L28" s="30" t="n">
        <v>0.2472</v>
      </c>
      <c r="M28" s="30" t="n">
        <v>0.0213</v>
      </c>
      <c r="N28" s="30" t="n">
        <v>0.742</v>
      </c>
      <c r="O28" s="31" t="n">
        <v>1.22</v>
      </c>
      <c r="P28" s="31" t="n">
        <v>1.28</v>
      </c>
      <c r="Q28" s="31" t="n">
        <v>0.78</v>
      </c>
      <c r="R28" s="31" t="n">
        <v>1.02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Davante Adams</t>
        </is>
      </c>
      <c r="C29" s="26" t="n">
        <v>2</v>
      </c>
      <c r="D29" s="26" t="inlineStr">
        <is>
          <t>33</t>
        </is>
      </c>
      <c r="E29" s="27" t="inlineStr">
        <is>
          <t>ACT</t>
        </is>
      </c>
      <c r="F29" s="28" t="n">
        <v>0.3296</v>
      </c>
      <c r="G29" s="28" t="n">
        <v>0.1935</v>
      </c>
      <c r="H29" s="28" t="n">
        <v>0.1962</v>
      </c>
      <c r="I29" s="28" t="n"/>
      <c r="J29" s="29" t="n">
        <v>17</v>
      </c>
      <c r="K29" s="30" t="n"/>
      <c r="L29" s="30" t="n">
        <v>0.1957</v>
      </c>
      <c r="M29" s="30" t="n">
        <v>0.003</v>
      </c>
      <c r="N29" s="30" t="n">
        <v>0.5566</v>
      </c>
      <c r="O29" s="31" t="n">
        <v>0.9399999999999999</v>
      </c>
      <c r="P29" s="31" t="n">
        <v>1</v>
      </c>
      <c r="Q29" s="31" t="n">
        <v>1.43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Jordan Whittington</t>
        </is>
      </c>
      <c r="C30" s="26" t="n">
        <v>3</v>
      </c>
      <c r="D30" s="26" t="inlineStr">
        <is>
          <t>25</t>
        </is>
      </c>
      <c r="E30" s="27" t="inlineStr">
        <is>
          <t>ACT</t>
        </is>
      </c>
      <c r="F30" s="28" t="n"/>
      <c r="G30" s="28" t="n">
        <v>0.0518</v>
      </c>
      <c r="H30" s="28" t="n">
        <v>0.043</v>
      </c>
      <c r="I30" s="28" t="n">
        <v>0.0068</v>
      </c>
      <c r="J30" s="29" t="n">
        <v>17</v>
      </c>
      <c r="K30" s="30" t="n"/>
      <c r="L30" s="30" t="n">
        <v>0.0629</v>
      </c>
      <c r="M30" s="30" t="n">
        <v>0.0046</v>
      </c>
      <c r="N30" s="30" t="n">
        <v>0.7427</v>
      </c>
      <c r="O30" s="31" t="n">
        <v>1.02</v>
      </c>
      <c r="P30" s="31" t="n">
        <v>1</v>
      </c>
      <c r="Q30" s="31" t="n">
        <v>0.89</v>
      </c>
      <c r="R30" s="31" t="n">
        <v>1.15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Konata Mumpfield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/>
      <c r="H31" s="28" t="n">
        <v>0.0396</v>
      </c>
      <c r="I31" s="28" t="n"/>
      <c r="J31" s="29" t="n">
        <v>17</v>
      </c>
      <c r="K31" s="30" t="n"/>
      <c r="L31" s="30" t="n">
        <v>0.0469</v>
      </c>
      <c r="M31" s="30" t="n">
        <v>0.001</v>
      </c>
      <c r="N31" s="30" t="n">
        <v>0.4348</v>
      </c>
      <c r="O31" s="31" t="n">
        <v>0.73</v>
      </c>
      <c r="P31" s="31" t="n">
        <v>1</v>
      </c>
      <c r="Q31" s="31" t="n">
        <v>0.93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Xavier Smith</t>
        </is>
      </c>
      <c r="C32" s="26" t="n">
        <v>5</v>
      </c>
      <c r="D32" s="26" t="inlineStr">
        <is>
          <t>28</t>
        </is>
      </c>
      <c r="E32" s="27" t="inlineStr">
        <is>
          <t>ACT</t>
        </is>
      </c>
      <c r="F32" s="28" t="n"/>
      <c r="G32" s="28" t="n">
        <v>0.0037</v>
      </c>
      <c r="H32" s="28" t="n">
        <v>0.0413</v>
      </c>
      <c r="I32" s="28" t="n"/>
      <c r="J32" s="29" t="n">
        <v>17</v>
      </c>
      <c r="K32" s="30" t="n"/>
      <c r="L32" s="30" t="n">
        <v>0.0298</v>
      </c>
      <c r="M32" s="30" t="n">
        <v>0.0062</v>
      </c>
      <c r="N32" s="30" t="n">
        <v>0.84</v>
      </c>
      <c r="O32" s="31" t="n">
        <v>1.06</v>
      </c>
      <c r="P32" s="31" t="n">
        <v>1.2</v>
      </c>
      <c r="Q32" s="31" t="n">
        <v>0.98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CJ Daniels</t>
        </is>
      </c>
      <c r="C33" s="26" t="n">
        <v>6</v>
      </c>
      <c r="D33" s="26" t="inlineStr">
        <is>
          <t>24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0.022</v>
      </c>
      <c r="M33" s="30" t="n">
        <v>0.002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Tyler Scott</t>
        </is>
      </c>
      <c r="C34" s="26" t="n">
        <v>7</v>
      </c>
      <c r="D34" s="26" t="inlineStr">
        <is>
          <t>24</t>
        </is>
      </c>
      <c r="E34" s="27" t="inlineStr">
        <is>
          <t>ACT</t>
        </is>
      </c>
      <c r="F34" s="28" t="n">
        <v>0.06710000000000001</v>
      </c>
      <c r="G34" s="28" t="n">
        <v>0.0019</v>
      </c>
      <c r="H34" s="28" t="n"/>
      <c r="I34" s="28" t="n"/>
      <c r="J34" s="29" t="n">
        <v>17</v>
      </c>
      <c r="K34" s="30" t="n"/>
      <c r="L34" s="30" t="n">
        <v>0.0231</v>
      </c>
      <c r="M34" s="30" t="n">
        <v>0.0083</v>
      </c>
      <c r="N34" s="30" t="n">
        <v>0.7621</v>
      </c>
      <c r="O34" s="31" t="n">
        <v>0.88</v>
      </c>
      <c r="P34" s="31" t="n">
        <v>1.07</v>
      </c>
      <c r="Q34" s="31" t="n">
        <v>2.05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Mario Williams</t>
        </is>
      </c>
      <c r="C35" s="26" t="n">
        <v>8</v>
      </c>
      <c r="D35" s="26" t="inlineStr">
        <is>
          <t>23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0.005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Terrance Ferguson</t>
        </is>
      </c>
      <c r="C37" s="26" t="n">
        <v>1</v>
      </c>
      <c r="D37" s="26" t="inlineStr">
        <is>
          <t>23</t>
        </is>
      </c>
      <c r="E37" s="27" t="inlineStr">
        <is>
          <t>ACT</t>
        </is>
      </c>
      <c r="F37" s="28" t="n"/>
      <c r="G37" s="28" t="n"/>
      <c r="H37" s="28" t="n">
        <v>0.043</v>
      </c>
      <c r="I37" s="28" t="n">
        <v>0.0023</v>
      </c>
      <c r="J37" s="29" t="n">
        <v>17</v>
      </c>
      <c r="K37" s="30" t="n"/>
      <c r="L37" s="30" t="n">
        <v>0.0737</v>
      </c>
      <c r="M37" s="30" t="n">
        <v>0.0022</v>
      </c>
      <c r="N37" s="30" t="n">
        <v>0.44</v>
      </c>
      <c r="O37" s="31" t="n">
        <v>1.08</v>
      </c>
      <c r="P37" s="31" t="n">
        <v>1</v>
      </c>
      <c r="Q37" s="31" t="n">
        <v>0.83</v>
      </c>
      <c r="R37" s="31" t="n">
        <v>1.42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Colby Parkinson</t>
        </is>
      </c>
      <c r="C38" s="26" t="n">
        <v>2</v>
      </c>
      <c r="D38" s="26" t="inlineStr">
        <is>
          <t>27</t>
        </is>
      </c>
      <c r="E38" s="27" t="inlineStr">
        <is>
          <t>ACT</t>
        </is>
      </c>
      <c r="F38" s="28" t="n">
        <v>0.0622</v>
      </c>
      <c r="G38" s="28" t="n">
        <v>0.0906</v>
      </c>
      <c r="H38" s="28" t="n">
        <v>0.0964</v>
      </c>
      <c r="I38" s="28" t="n"/>
      <c r="J38" s="29" t="n">
        <v>17</v>
      </c>
      <c r="K38" s="30" t="n"/>
      <c r="L38" s="30" t="n">
        <v>0.0665</v>
      </c>
      <c r="M38" s="30" t="n">
        <v>0.0008</v>
      </c>
      <c r="N38" s="30" t="n">
        <v>0.7113</v>
      </c>
      <c r="O38" s="31" t="n">
        <v>0.91</v>
      </c>
      <c r="P38" s="31" t="n">
        <v>1</v>
      </c>
      <c r="Q38" s="31" t="n">
        <v>1.8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Tyler Higbee</t>
        </is>
      </c>
      <c r="C39" s="26" t="n">
        <v>3</v>
      </c>
      <c r="D39" s="26" t="inlineStr">
        <is>
          <t>33</t>
        </is>
      </c>
      <c r="E39" s="27" t="inlineStr">
        <is>
          <t>ACT</t>
        </is>
      </c>
      <c r="F39" s="28" t="n">
        <v>0.1261</v>
      </c>
      <c r="G39" s="28" t="n">
        <v>0.0222</v>
      </c>
      <c r="H39" s="28" t="n">
        <v>0.062</v>
      </c>
      <c r="I39" s="28" t="n"/>
      <c r="J39" s="29" t="n">
        <v>17</v>
      </c>
      <c r="K39" s="30" t="n"/>
      <c r="L39" s="30" t="n">
        <v>0.0555</v>
      </c>
      <c r="M39" s="30" t="n">
        <v>0.0008</v>
      </c>
      <c r="N39" s="30" t="n">
        <v>0.6839</v>
      </c>
      <c r="O39" s="31" t="n">
        <v>0.95</v>
      </c>
      <c r="P39" s="31" t="n">
        <v>1</v>
      </c>
      <c r="Q39" s="31" t="n">
        <v>1.13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Davis Allen</t>
        </is>
      </c>
      <c r="C40" s="26" t="n">
        <v>4</v>
      </c>
      <c r="D40" s="26" t="inlineStr">
        <is>
          <t>25</t>
        </is>
      </c>
      <c r="E40" s="41" t="inlineStr">
        <is>
          <t>QUESTIONABLE</t>
        </is>
      </c>
      <c r="F40" s="28" t="n">
        <v>0.0198</v>
      </c>
      <c r="G40" s="28" t="n">
        <v>0.024</v>
      </c>
      <c r="H40" s="28" t="n">
        <v>0.0568</v>
      </c>
      <c r="I40" s="28" t="n"/>
      <c r="J40" s="29" t="n">
        <v>17</v>
      </c>
      <c r="K40" s="30" t="n"/>
      <c r="L40" s="30" t="n">
        <v>0.0306</v>
      </c>
      <c r="M40" s="30" t="n">
        <v>0.0008</v>
      </c>
      <c r="N40" s="30" t="n">
        <v>0.6866</v>
      </c>
      <c r="O40" s="31" t="n">
        <v>0.86</v>
      </c>
      <c r="P40" s="31" t="n">
        <v>1</v>
      </c>
      <c r="Q40" s="31" t="n">
        <v>1.36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LV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59.9</v>
      </c>
      <c r="D5" s="12">
        <f>C5*B5</f>
        <v/>
      </c>
      <c r="E5" s="13" t="n">
        <v>0.6015</v>
      </c>
      <c r="F5" s="10" t="n">
        <v>561</v>
      </c>
      <c r="G5" s="12">
        <f>ROUND(F5*Settings!$B$4,0)</f>
        <v/>
      </c>
      <c r="H5" s="10" t="n">
        <v>405</v>
      </c>
      <c r="I5" s="10" t="n">
        <v>3731</v>
      </c>
      <c r="J5" s="11" t="n">
        <v>22</v>
      </c>
      <c r="K5" s="11" t="n">
        <v>16</v>
      </c>
      <c r="L5" s="10" t="n">
        <v>1557</v>
      </c>
      <c r="M5" s="11" t="n">
        <v>10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1010</v>
      </c>
      <c r="D8" s="16" t="n">
        <v>59.4118</v>
      </c>
      <c r="E8" s="17" t="n">
        <v>0.5911</v>
      </c>
      <c r="F8" s="15" t="n">
        <v>557</v>
      </c>
      <c r="G8" s="15" t="n">
        <v>413</v>
      </c>
      <c r="H8" s="15" t="n">
        <v>3666</v>
      </c>
      <c r="I8" s="15" t="n">
        <v>1542</v>
      </c>
      <c r="J8" s="15" t="n">
        <v>20</v>
      </c>
      <c r="K8" s="15" t="n">
        <v>11</v>
      </c>
      <c r="L8" s="16" t="n">
        <v>6.5817</v>
      </c>
      <c r="M8" s="16" t="n">
        <v>3.7337</v>
      </c>
    </row>
    <row r="9">
      <c r="B9" s="15" t="n">
        <v>2024</v>
      </c>
      <c r="C9" s="15" t="n">
        <v>1065</v>
      </c>
      <c r="D9" s="16" t="n">
        <v>62.6471</v>
      </c>
      <c r="E9" s="17" t="n">
        <v>0.6432</v>
      </c>
      <c r="F9" s="15" t="n">
        <v>635</v>
      </c>
      <c r="G9" s="15" t="n">
        <v>380</v>
      </c>
      <c r="H9" s="15" t="n">
        <v>4117</v>
      </c>
      <c r="I9" s="15" t="n">
        <v>1357</v>
      </c>
      <c r="J9" s="15" t="n">
        <v>19</v>
      </c>
      <c r="K9" s="15" t="n">
        <v>10</v>
      </c>
      <c r="L9" s="16" t="n">
        <v>6.4835</v>
      </c>
      <c r="M9" s="16" t="n">
        <v>3.5711</v>
      </c>
    </row>
    <row r="10">
      <c r="B10" s="15" t="n">
        <v>2025</v>
      </c>
      <c r="C10" s="15" t="n">
        <v>948</v>
      </c>
      <c r="D10" s="16" t="n">
        <v>55.7647</v>
      </c>
      <c r="E10" s="17" t="n">
        <v>0.6108</v>
      </c>
      <c r="F10" s="15" t="n">
        <v>515</v>
      </c>
      <c r="G10" s="15" t="n">
        <v>369</v>
      </c>
      <c r="H10" s="15" t="n">
        <v>3315</v>
      </c>
      <c r="I10" s="15" t="n">
        <v>1317</v>
      </c>
      <c r="J10" s="15" t="n">
        <v>20</v>
      </c>
      <c r="K10" s="15" t="n">
        <v>5</v>
      </c>
      <c r="L10" s="16" t="n">
        <v>6.4369</v>
      </c>
      <c r="M10" s="16" t="n">
        <v>3.5691</v>
      </c>
    </row>
    <row r="11"/>
    <row r="12">
      <c r="A12" s="18" t="inlineStr">
        <is>
          <t>OUT</t>
        </is>
      </c>
      <c r="B12" s="19" t="inlineStr">
        <is>
          <t>14% of targets and 20% of carries left. Share is team-relative - it does NOT follow the player.</t>
        </is>
      </c>
      <c r="H12" s="8" t="inlineStr">
        <is>
          <t>Jakobi Meyers (10t/0r -&gt; JAC), Geno Smith (0t/10r -&gt; NYJ), Raheem Mostert (2t/6r -&gt; NOT ON ANY ROSTER), Zamir White (1t/3r -&gt; NOT ON ANY ROSTER), Kenny Pickett (0t/1r -&gt; CAR)</t>
        </is>
      </c>
    </row>
    <row r="13">
      <c r="A13" s="20" t="inlineStr">
        <is>
          <t>IN</t>
        </is>
      </c>
      <c r="B13" s="21" t="inlineStr">
        <is>
          <t>5 new: Jalen Nailor (WR, from MIN - had 11% there), Connor Heyward (TE, from PIT - had 1% there), Kirk Cousins (QB, from ATL), Dareke Young (WR, from SEA - had 1% there), Deven Thompkins (WR, from ATL - had 1% there)</t>
        </is>
      </c>
    </row>
    <row r="14">
      <c r="A14" s="7" t="inlineStr">
        <is>
          <t>STAFF</t>
        </is>
      </c>
      <c r="B14" s="22" t="inlineStr">
        <is>
          <t>NEW HC Klint Kubiak + OC Andrew Janocko. Balanced offense with established run-game emphasis.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Fernando Mendoza</t>
        </is>
      </c>
      <c r="C17" s="26" t="n">
        <v>1</v>
      </c>
      <c r="D17" s="26" t="inlineStr">
        <is>
          <t>22</t>
        </is>
      </c>
      <c r="E17" s="36" t="inlineStr">
        <is>
          <t>role avg (rookie)</t>
        </is>
      </c>
      <c r="F17" s="28" t="n"/>
      <c r="G17" s="28" t="n"/>
      <c r="H17" s="28" t="n"/>
      <c r="I17" s="28" t="n"/>
      <c r="J17" s="29" t="n">
        <v>17</v>
      </c>
      <c r="K17" s="30" t="n">
        <v>0.92</v>
      </c>
      <c r="L17" s="30" t="n">
        <v>0.0019</v>
      </c>
      <c r="M17" s="30" t="n">
        <v>0.0654</v>
      </c>
      <c r="N17" s="30" t="n"/>
      <c r="O17" s="31" t="n">
        <v>1</v>
      </c>
      <c r="P17" s="31" t="n">
        <v>1</v>
      </c>
      <c r="Q17" s="31" t="n">
        <v>1</v>
      </c>
      <c r="R17" s="31" t="n">
        <v>1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Kirk Cousins</t>
        </is>
      </c>
      <c r="C18" s="26" t="n">
        <v>2</v>
      </c>
      <c r="D18" s="26" t="inlineStr">
        <is>
          <t>37</t>
        </is>
      </c>
      <c r="E18" s="36" t="inlineStr">
        <is>
          <t>role avg (from ATL)</t>
        </is>
      </c>
      <c r="F18" s="28" t="n"/>
      <c r="G18" s="28" t="n"/>
      <c r="H18" s="28" t="n"/>
      <c r="I18" s="28" t="n">
        <v>0.0172</v>
      </c>
      <c r="J18" s="29" t="n">
        <v>17</v>
      </c>
      <c r="K18" s="30" t="n">
        <v>0.068</v>
      </c>
      <c r="L18" s="30" t="n">
        <v>0.0019</v>
      </c>
      <c r="M18" s="30" t="n">
        <v>0.0196</v>
      </c>
      <c r="N18" s="30" t="n"/>
      <c r="O18" s="31" t="n">
        <v>1</v>
      </c>
      <c r="P18" s="31" t="n">
        <v>0.75</v>
      </c>
      <c r="Q18" s="31" t="n">
        <v>1</v>
      </c>
      <c r="R18" s="31" t="n">
        <v>1.1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Aidan O'Connell</t>
        </is>
      </c>
      <c r="C19" s="26" t="n">
        <v>3</v>
      </c>
      <c r="D19" s="26" t="inlineStr">
        <is>
          <t>27</t>
        </is>
      </c>
      <c r="E19" s="27" t="inlineStr">
        <is>
          <t>ACT</t>
        </is>
      </c>
      <c r="F19" s="28" t="n"/>
      <c r="G19" s="28" t="n"/>
      <c r="H19" s="28" t="n"/>
      <c r="I19" s="28" t="n">
        <v>0.0028</v>
      </c>
      <c r="J19" s="29" t="n">
        <v>17</v>
      </c>
      <c r="K19" s="30" t="n">
        <v>0.012</v>
      </c>
      <c r="L19" s="30" t="n">
        <v>0.0008</v>
      </c>
      <c r="M19" s="30" t="n">
        <v>0.0205</v>
      </c>
      <c r="N19" s="30" t="n"/>
      <c r="O19" s="31" t="n">
        <v>1</v>
      </c>
      <c r="P19" s="31" t="n">
        <v>0.84</v>
      </c>
      <c r="Q19" s="31" t="n">
        <v>1</v>
      </c>
      <c r="R19" s="31" t="n">
        <v>1.53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Ashton Jeanty</t>
        </is>
      </c>
      <c r="C21" s="26" t="n">
        <v>1</v>
      </c>
      <c r="D21" s="26" t="inlineStr">
        <is>
          <t>22</t>
        </is>
      </c>
      <c r="E21" s="27" t="inlineStr">
        <is>
          <t>ACT</t>
        </is>
      </c>
      <c r="F21" s="28" t="n"/>
      <c r="G21" s="28" t="n"/>
      <c r="H21" s="28" t="n">
        <v>0.1478</v>
      </c>
      <c r="I21" s="28" t="n">
        <v>0.7328</v>
      </c>
      <c r="J21" s="29" t="n">
        <v>17</v>
      </c>
      <c r="K21" s="30" t="n"/>
      <c r="L21" s="30" t="n">
        <v>0.1329</v>
      </c>
      <c r="M21" s="30" t="n">
        <v>0.5825</v>
      </c>
      <c r="N21" s="30" t="n">
        <v>0.7534</v>
      </c>
      <c r="O21" s="31" t="n">
        <v>0.77</v>
      </c>
      <c r="P21" s="31" t="n">
        <v>1.01</v>
      </c>
      <c r="Q21" s="31" t="n">
        <v>1.19</v>
      </c>
      <c r="R21" s="31" t="n">
        <v>1.13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Mike Washington</t>
        </is>
      </c>
      <c r="C22" s="26" t="n">
        <v>2</v>
      </c>
      <c r="D22" s="26" t="inlineStr">
        <is>
          <t>23</t>
        </is>
      </c>
      <c r="E22" s="36" t="inlineStr">
        <is>
          <t>role avg (rookie)</t>
        </is>
      </c>
      <c r="F22" s="28" t="n"/>
      <c r="G22" s="28" t="n"/>
      <c r="H22" s="28" t="n"/>
      <c r="I22" s="28" t="n"/>
      <c r="J22" s="29" t="n">
        <v>17</v>
      </c>
      <c r="K22" s="30" t="n"/>
      <c r="L22" s="30" t="n">
        <v>0.0479</v>
      </c>
      <c r="M22" s="30" t="n">
        <v>0.1716</v>
      </c>
      <c r="N22" s="30" t="n">
        <v>0.75</v>
      </c>
      <c r="O22" s="31" t="n">
        <v>1</v>
      </c>
      <c r="P22" s="31" t="n">
        <v>1</v>
      </c>
      <c r="Q22" s="31" t="n">
        <v>1</v>
      </c>
      <c r="R22" s="31" t="n">
        <v>1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Dylan Laube</t>
        </is>
      </c>
      <c r="C23" s="26" t="n">
        <v>3</v>
      </c>
      <c r="D23" s="26" t="inlineStr">
        <is>
          <t>26</t>
        </is>
      </c>
      <c r="E23" s="27" t="inlineStr">
        <is>
          <t>ACT</t>
        </is>
      </c>
      <c r="F23" s="28" t="n"/>
      <c r="G23" s="28" t="n"/>
      <c r="H23" s="28" t="n">
        <v>0.0081</v>
      </c>
      <c r="I23" s="28" t="n">
        <v>0.0193</v>
      </c>
      <c r="J23" s="29" t="n">
        <v>17</v>
      </c>
      <c r="K23" s="30" t="n"/>
      <c r="L23" s="30" t="n">
        <v>0.0129</v>
      </c>
      <c r="M23" s="30" t="n">
        <v>0.0475</v>
      </c>
      <c r="N23" s="30" t="n">
        <v>0.75</v>
      </c>
      <c r="O23" s="31" t="n">
        <v>0.9399999999999999</v>
      </c>
      <c r="P23" s="31" t="n">
        <v>0.86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Roman Hemby</t>
        </is>
      </c>
      <c r="C24" s="26" t="n">
        <v>4</v>
      </c>
      <c r="D24" s="26" t="inlineStr">
        <is>
          <t>23</t>
        </is>
      </c>
      <c r="E24" s="36" t="inlineStr">
        <is>
          <t>role avg (rookie)</t>
        </is>
      </c>
      <c r="F24" s="28" t="n"/>
      <c r="G24" s="28" t="n"/>
      <c r="H24" s="28" t="n"/>
      <c r="I24" s="28" t="n"/>
      <c r="J24" s="29" t="n">
        <v>17</v>
      </c>
      <c r="K24" s="30" t="n"/>
      <c r="L24" s="30" t="n">
        <v>0.008</v>
      </c>
      <c r="M24" s="30" t="n">
        <v>0.0301</v>
      </c>
      <c r="N24" s="30" t="n">
        <v>0.75</v>
      </c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Jalen Richard</t>
        </is>
      </c>
      <c r="C25" s="26" t="n">
        <v>5</v>
      </c>
      <c r="D25" s="26" t="inlineStr">
        <is>
          <t>28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0.0042</v>
      </c>
      <c r="M25" s="30" t="n">
        <v>0.0113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44" t="inlineStr"/>
      <c r="C26" s="25" t="n"/>
      <c r="D26" s="25" t="n"/>
      <c r="E26" s="25" t="n"/>
      <c r="F26" s="25" t="n"/>
      <c r="G26" s="25" t="n"/>
      <c r="H26" s="25" t="n"/>
      <c r="I26" s="25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Tre Tucker</t>
        </is>
      </c>
      <c r="C28" s="26" t="n">
        <v>1</v>
      </c>
      <c r="D28" s="26" t="inlineStr">
        <is>
          <t>25</t>
        </is>
      </c>
      <c r="E28" s="27" t="inlineStr">
        <is>
          <t>ACT</t>
        </is>
      </c>
      <c r="F28" s="28" t="n">
        <v>0.064</v>
      </c>
      <c r="G28" s="28" t="n">
        <v>0.1368</v>
      </c>
      <c r="H28" s="28" t="n">
        <v>0.1862</v>
      </c>
      <c r="I28" s="28" t="n">
        <v>0.0303</v>
      </c>
      <c r="J28" s="29" t="n">
        <v>17</v>
      </c>
      <c r="K28" s="30" t="n"/>
      <c r="L28" s="30" t="n">
        <v>0.1867</v>
      </c>
      <c r="M28" s="30" t="n">
        <v>0.0226</v>
      </c>
      <c r="N28" s="30" t="n">
        <v>0.5961</v>
      </c>
      <c r="O28" s="31" t="n">
        <v>1.1</v>
      </c>
      <c r="P28" s="31" t="n">
        <v>1.15</v>
      </c>
      <c r="Q28" s="31" t="n">
        <v>0.83</v>
      </c>
      <c r="R28" s="31" t="n">
        <v>1.1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Jalen Nailor</t>
        </is>
      </c>
      <c r="C29" s="26" t="n">
        <v>2</v>
      </c>
      <c r="D29" s="26" t="inlineStr">
        <is>
          <t>27</t>
        </is>
      </c>
      <c r="E29" s="36" t="inlineStr">
        <is>
          <t>role avg (from MIN)</t>
        </is>
      </c>
      <c r="F29" s="28" t="n">
        <v>0.009900000000000001</v>
      </c>
      <c r="G29" s="28" t="n">
        <v>0.08119999999999999</v>
      </c>
      <c r="H29" s="28" t="n">
        <v>0.1132</v>
      </c>
      <c r="I29" s="28" t="n">
        <v>0.0051</v>
      </c>
      <c r="J29" s="29" t="n">
        <v>17</v>
      </c>
      <c r="K29" s="30" t="n"/>
      <c r="L29" s="30" t="n">
        <v>0.1474</v>
      </c>
      <c r="M29" s="30" t="n">
        <v>0.0071</v>
      </c>
      <c r="N29" s="30" t="n">
        <v>0.5845</v>
      </c>
      <c r="O29" s="31" t="n">
        <v>1.11</v>
      </c>
      <c r="P29" s="31" t="n">
        <v>0.97</v>
      </c>
      <c r="Q29" s="31" t="n">
        <v>0.9399999999999999</v>
      </c>
      <c r="R29" s="31" t="n">
        <v>1.56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Jack Bech</t>
        </is>
      </c>
      <c r="C30" s="26" t="n">
        <v>3</v>
      </c>
      <c r="D30" s="26" t="inlineStr">
        <is>
          <t>23</t>
        </is>
      </c>
      <c r="E30" s="27" t="inlineStr">
        <is>
          <t>ACT</t>
        </is>
      </c>
      <c r="F30" s="28" t="n"/>
      <c r="G30" s="28" t="n"/>
      <c r="H30" s="28" t="n">
        <v>0.0587</v>
      </c>
      <c r="I30" s="28" t="n"/>
      <c r="J30" s="29" t="n">
        <v>17</v>
      </c>
      <c r="K30" s="30" t="n"/>
      <c r="L30" s="30" t="n">
        <v>0.0673</v>
      </c>
      <c r="M30" s="30" t="n">
        <v>0.0019</v>
      </c>
      <c r="N30" s="30" t="n">
        <v>0.6897</v>
      </c>
      <c r="O30" s="31" t="n">
        <v>1.09</v>
      </c>
      <c r="P30" s="31" t="n">
        <v>1</v>
      </c>
      <c r="Q30" s="31" t="n">
        <v>1.02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Dont'e Thornton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/>
      <c r="H31" s="28" t="n">
        <v>0.0607</v>
      </c>
      <c r="I31" s="28" t="n"/>
      <c r="J31" s="29" t="n">
        <v>17</v>
      </c>
      <c r="K31" s="30" t="n"/>
      <c r="L31" s="30" t="n">
        <v>0.0562</v>
      </c>
      <c r="M31" s="30" t="n">
        <v>0.0014</v>
      </c>
      <c r="N31" s="30" t="n">
        <v>0.3333</v>
      </c>
      <c r="O31" s="31" t="n">
        <v>0.8</v>
      </c>
      <c r="P31" s="31" t="n">
        <v>1</v>
      </c>
      <c r="Q31" s="31" t="n">
        <v>0.93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Malik Benson</t>
        </is>
      </c>
      <c r="C32" s="26" t="n">
        <v>5</v>
      </c>
      <c r="D32" s="26" t="inlineStr">
        <is>
          <t>23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0.0168</v>
      </c>
      <c r="M32" s="30" t="n">
        <v>0.0021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Chase Roberts</t>
        </is>
      </c>
      <c r="C33" s="26" t="n">
        <v>6</v>
      </c>
      <c r="D33" s="26" t="inlineStr">
        <is>
          <t>25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0.0092</v>
      </c>
      <c r="M33" s="30" t="n">
        <v>0.0019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Phillip Dorsett</t>
        </is>
      </c>
      <c r="C34" s="26" t="n">
        <v>7</v>
      </c>
      <c r="D34" s="26" t="inlineStr">
        <is>
          <t>33</t>
        </is>
      </c>
      <c r="E34" s="27" t="inlineStr">
        <is>
          <t>ACT</t>
        </is>
      </c>
      <c r="F34" s="28" t="n">
        <v>0.0063</v>
      </c>
      <c r="G34" s="28" t="n"/>
      <c r="H34" s="28" t="n"/>
      <c r="I34" s="28" t="n"/>
      <c r="J34" s="29" t="n">
        <v>17</v>
      </c>
      <c r="K34" s="30" t="n"/>
      <c r="L34" s="30" t="n">
        <v>0.0062</v>
      </c>
      <c r="M34" s="30" t="n">
        <v>0.0008</v>
      </c>
      <c r="N34" s="30" t="n"/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Dareke Young</t>
        </is>
      </c>
      <c r="C35" s="26" t="n">
        <v>8</v>
      </c>
      <c r="D35" s="26" t="inlineStr">
        <is>
          <t>27</t>
        </is>
      </c>
      <c r="E35" s="36" t="inlineStr">
        <is>
          <t>role avg (from SEA)</t>
        </is>
      </c>
      <c r="F35" s="28" t="n"/>
      <c r="G35" s="28" t="n">
        <v>0.0018</v>
      </c>
      <c r="H35" s="28" t="n">
        <v>0.0066</v>
      </c>
      <c r="I35" s="28" t="n"/>
      <c r="J35" s="29" t="n">
        <v>17</v>
      </c>
      <c r="K35" s="30" t="n"/>
      <c r="L35" s="30" t="n">
        <v>0.0051</v>
      </c>
      <c r="M35" s="30" t="n">
        <v>0.0019</v>
      </c>
      <c r="N35" s="30" t="n">
        <v>0.6667</v>
      </c>
      <c r="O35" s="31" t="n">
        <v>1.07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Brock Bowers</t>
        </is>
      </c>
      <c r="C37" s="26" t="n">
        <v>1</v>
      </c>
      <c r="D37" s="26" t="inlineStr">
        <is>
          <t>23</t>
        </is>
      </c>
      <c r="E37" s="27" t="inlineStr">
        <is>
          <t>ACT</t>
        </is>
      </c>
      <c r="F37" s="28" t="n"/>
      <c r="G37" s="28" t="n">
        <v>0.2584</v>
      </c>
      <c r="H37" s="28" t="n">
        <v>0.1741</v>
      </c>
      <c r="I37" s="28" t="n">
        <v>0.0055</v>
      </c>
      <c r="J37" s="29" t="n">
        <v>17</v>
      </c>
      <c r="K37" s="30" t="n"/>
      <c r="L37" s="30" t="n">
        <v>0.1954</v>
      </c>
      <c r="M37" s="30" t="n">
        <v>0.0071</v>
      </c>
      <c r="N37" s="30" t="n">
        <v>0.7386</v>
      </c>
      <c r="O37" s="31" t="n">
        <v>1.13</v>
      </c>
      <c r="P37" s="31" t="n">
        <v>0.92</v>
      </c>
      <c r="Q37" s="31" t="n">
        <v>1.26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Michael Mayer</t>
        </is>
      </c>
      <c r="C38" s="26" t="n">
        <v>2</v>
      </c>
      <c r="D38" s="26" t="inlineStr">
        <is>
          <t>25</t>
        </is>
      </c>
      <c r="E38" s="41" t="inlineStr">
        <is>
          <t>QUESTIONABLE</t>
        </is>
      </c>
      <c r="F38" s="28" t="n">
        <v>0.07530000000000001</v>
      </c>
      <c r="G38" s="28" t="n">
        <v>0.0541</v>
      </c>
      <c r="H38" s="28" t="n">
        <v>0.1012</v>
      </c>
      <c r="I38" s="28" t="n"/>
      <c r="J38" s="29" t="n">
        <v>17</v>
      </c>
      <c r="K38" s="30" t="n"/>
      <c r="L38" s="30" t="n">
        <v>0.0752</v>
      </c>
      <c r="M38" s="30" t="n">
        <v>0.0008</v>
      </c>
      <c r="N38" s="30" t="n">
        <v>0.6830000000000001</v>
      </c>
      <c r="O38" s="31" t="n">
        <v>0.95</v>
      </c>
      <c r="P38" s="31" t="n">
        <v>1</v>
      </c>
      <c r="Q38" s="31" t="n">
        <v>1.18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Zack Kuntz</t>
        </is>
      </c>
      <c r="C39" s="26" t="n">
        <v>3</v>
      </c>
      <c r="D39" s="26" t="inlineStr">
        <is>
          <t>27</t>
        </is>
      </c>
      <c r="E39" s="36" t="inlineStr">
        <is>
          <t>role avg (rookie)</t>
        </is>
      </c>
      <c r="F39" s="28" t="n"/>
      <c r="G39" s="28" t="n"/>
      <c r="H39" s="28" t="n"/>
      <c r="I39" s="28" t="n"/>
      <c r="J39" s="29" t="n">
        <v>17</v>
      </c>
      <c r="K39" s="30" t="n"/>
      <c r="L39" s="30" t="n">
        <v>0.0177</v>
      </c>
      <c r="M39" s="30" t="n">
        <v>0.0021</v>
      </c>
      <c r="N39" s="30" t="n">
        <v>0.65</v>
      </c>
      <c r="O39" s="31" t="n">
        <v>1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Connor Heyward</t>
        </is>
      </c>
      <c r="C40" s="26" t="n">
        <v>4</v>
      </c>
      <c r="D40" s="26" t="inlineStr">
        <is>
          <t>27</t>
        </is>
      </c>
      <c r="E40" s="36" t="inlineStr">
        <is>
          <t>role avg (from PIT)</t>
        </is>
      </c>
      <c r="F40" s="28" t="n">
        <v>0.0702</v>
      </c>
      <c r="G40" s="28" t="n">
        <v>0.0174</v>
      </c>
      <c r="H40" s="28" t="n">
        <v>0.0077</v>
      </c>
      <c r="I40" s="28" t="n">
        <v>0.038</v>
      </c>
      <c r="J40" s="29" t="n">
        <v>17</v>
      </c>
      <c r="K40" s="30" t="n"/>
      <c r="L40" s="30" t="n">
        <v>0.0062</v>
      </c>
      <c r="M40" s="30" t="n">
        <v>0.0021</v>
      </c>
      <c r="N40" s="30" t="n">
        <v>0.7353</v>
      </c>
      <c r="O40" s="31" t="n">
        <v>0.9</v>
      </c>
      <c r="P40" s="31" t="n">
        <v>0.87</v>
      </c>
      <c r="Q40" s="31" t="n">
        <v>1.85</v>
      </c>
      <c r="R40" s="31" t="n">
        <v>2.5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MIA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60.4</v>
      </c>
      <c r="D5" s="12">
        <f>C5*B5</f>
        <v/>
      </c>
      <c r="E5" s="13" t="n">
        <v>0.5627</v>
      </c>
      <c r="F5" s="10" t="n">
        <v>538</v>
      </c>
      <c r="G5" s="12">
        <f>ROUND(F5*Settings!$B$4,0)</f>
        <v/>
      </c>
      <c r="H5" s="10" t="n">
        <v>449</v>
      </c>
      <c r="I5" s="10" t="n">
        <v>3846</v>
      </c>
      <c r="J5" s="11" t="n">
        <v>25</v>
      </c>
      <c r="K5" s="11" t="n">
        <v>14</v>
      </c>
      <c r="L5" s="10" t="n">
        <v>2019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1053</v>
      </c>
      <c r="D8" s="16" t="n">
        <v>61.9412</v>
      </c>
      <c r="E8" s="17" t="n">
        <v>0.5669999999999999</v>
      </c>
      <c r="F8" s="15" t="n">
        <v>566</v>
      </c>
      <c r="G8" s="15" t="n">
        <v>456</v>
      </c>
      <c r="H8" s="15" t="n">
        <v>4698</v>
      </c>
      <c r="I8" s="15" t="n">
        <v>2308</v>
      </c>
      <c r="J8" s="15" t="n">
        <v>30</v>
      </c>
      <c r="K8" s="15" t="n">
        <v>27</v>
      </c>
      <c r="L8" s="16" t="n">
        <v>8.3004</v>
      </c>
      <c r="M8" s="16" t="n">
        <v>5.0614</v>
      </c>
    </row>
    <row r="9">
      <c r="B9" s="15" t="n">
        <v>2024</v>
      </c>
      <c r="C9" s="15" t="n">
        <v>1082</v>
      </c>
      <c r="D9" s="16" t="n">
        <v>63.6471</v>
      </c>
      <c r="E9" s="17" t="n">
        <v>0.586</v>
      </c>
      <c r="F9" s="15" t="n">
        <v>591</v>
      </c>
      <c r="G9" s="15" t="n">
        <v>448</v>
      </c>
      <c r="H9" s="15" t="n">
        <v>4036</v>
      </c>
      <c r="I9" s="15" t="n">
        <v>1795</v>
      </c>
      <c r="J9" s="15" t="n">
        <v>22</v>
      </c>
      <c r="K9" s="15" t="n">
        <v>12</v>
      </c>
      <c r="L9" s="16" t="n">
        <v>6.8291</v>
      </c>
      <c r="M9" s="16" t="n">
        <v>4.0067</v>
      </c>
    </row>
    <row r="10">
      <c r="B10" s="15" t="n">
        <v>2025</v>
      </c>
      <c r="C10" s="15" t="n">
        <v>949</v>
      </c>
      <c r="D10" s="16" t="n">
        <v>55.8235</v>
      </c>
      <c r="E10" s="17" t="n">
        <v>0.5448</v>
      </c>
      <c r="F10" s="15" t="n">
        <v>479</v>
      </c>
      <c r="G10" s="15" t="n">
        <v>432</v>
      </c>
      <c r="H10" s="15" t="n">
        <v>3322</v>
      </c>
      <c r="I10" s="15" t="n">
        <v>2044</v>
      </c>
      <c r="J10" s="15" t="n">
        <v>23</v>
      </c>
      <c r="K10" s="15" t="n">
        <v>14</v>
      </c>
      <c r="L10" s="16" t="n">
        <v>6.9353</v>
      </c>
      <c r="M10" s="16" t="n">
        <v>4.7315</v>
      </c>
    </row>
    <row r="11"/>
    <row r="12">
      <c r="A12" s="18" t="inlineStr">
        <is>
          <t>OUT</t>
        </is>
      </c>
      <c r="B12" s="19" t="inlineStr">
        <is>
          <t>53% of targets and 5% of carries left. Share is team-relative - it does NOT follow the player.</t>
        </is>
      </c>
      <c r="H12" s="8" t="inlineStr">
        <is>
          <t>Jaylen Waddle (22t/0r -&gt; DEN), Darren Waller (7t/0r -&gt; NOT ON ANY ROSTER), Tyreek Hill (6t/0r -&gt; NOT ON ANY ROSTER), Julian Hill (4t/0r -&gt; NOT ON ANY ROSTER), Nick Westbrook-Ikhine (4t/0r -&gt; IND)</t>
        </is>
      </c>
    </row>
    <row r="13">
      <c r="A13" s="20" t="inlineStr">
        <is>
          <t>IN</t>
        </is>
      </c>
      <c r="B13" s="21" t="inlineStr">
        <is>
          <t>4 new: Jalen Tolbert (WR, from DAL - had 6% there), Malik Willis (QB, from GB), Tutu Atwell (WR, from LAR - had 3% there), Ben Sims (TE, from MIN - had 1% there)</t>
        </is>
      </c>
    </row>
    <row r="14">
      <c r="A14" s="7" t="inlineStr">
        <is>
          <t>STAFF</t>
        </is>
      </c>
      <c r="B14" s="22" t="inlineStr">
        <is>
          <t>NEW HC Jeff Hafley + OC Bobby Slowik. Defensive HC; run-game focus and balance despite the QB transition. Pace may slow.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Malik Willis</t>
        </is>
      </c>
      <c r="C17" s="26" t="n">
        <v>1</v>
      </c>
      <c r="D17" s="26" t="inlineStr">
        <is>
          <t>27</t>
        </is>
      </c>
      <c r="E17" s="36" t="inlineStr">
        <is>
          <t>role avg (from GB)</t>
        </is>
      </c>
      <c r="F17" s="28" t="n"/>
      <c r="G17" s="28" t="n"/>
      <c r="H17" s="28" t="n"/>
      <c r="I17" s="28" t="n">
        <v>0.038</v>
      </c>
      <c r="J17" s="29" t="n">
        <v>17</v>
      </c>
      <c r="K17" s="30" t="n">
        <v>0.92</v>
      </c>
      <c r="L17" s="30" t="n">
        <v>0.0025</v>
      </c>
      <c r="M17" s="30" t="n">
        <v>0.0699</v>
      </c>
      <c r="N17" s="30" t="n"/>
      <c r="O17" s="31" t="n">
        <v>1</v>
      </c>
      <c r="P17" s="31" t="n">
        <v>1.26</v>
      </c>
      <c r="Q17" s="31" t="n">
        <v>1</v>
      </c>
      <c r="R17" s="31" t="n">
        <v>0.89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Quinn Ewers</t>
        </is>
      </c>
      <c r="C18" s="26" t="n">
        <v>2</v>
      </c>
      <c r="D18" s="26" t="inlineStr">
        <is>
          <t>23</t>
        </is>
      </c>
      <c r="E18" s="27" t="inlineStr">
        <is>
          <t>ACT</t>
        </is>
      </c>
      <c r="F18" s="28" t="n"/>
      <c r="G18" s="28" t="n"/>
      <c r="H18" s="28" t="n">
        <v>0.0022</v>
      </c>
      <c r="I18" s="28" t="n">
        <v>0.0142</v>
      </c>
      <c r="J18" s="29" t="n">
        <v>17</v>
      </c>
      <c r="K18" s="30" t="n">
        <v>0.068</v>
      </c>
      <c r="L18" s="30" t="n">
        <v>0.0026</v>
      </c>
      <c r="M18" s="30" t="n">
        <v>0.0149</v>
      </c>
      <c r="N18" s="30" t="n"/>
      <c r="O18" s="31" t="n">
        <v>1</v>
      </c>
      <c r="P18" s="31" t="n">
        <v>0.92</v>
      </c>
      <c r="Q18" s="31" t="n">
        <v>1.77</v>
      </c>
      <c r="R18" s="31" t="n">
        <v>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Cam Miller</t>
        </is>
      </c>
      <c r="C19" s="26" t="n">
        <v>3</v>
      </c>
      <c r="D19" s="26" t="inlineStr">
        <is>
          <t>25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0.0023</v>
      </c>
      <c r="M19" s="30" t="n">
        <v>0.0062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De'Von Achane</t>
        </is>
      </c>
      <c r="C21" s="26" t="n">
        <v>1</v>
      </c>
      <c r="D21" s="26" t="inlineStr">
        <is>
          <t>24</t>
        </is>
      </c>
      <c r="E21" s="27" t="inlineStr">
        <is>
          <t>ACT</t>
        </is>
      </c>
      <c r="F21" s="28" t="n">
        <v>0.0674</v>
      </c>
      <c r="G21" s="28" t="n">
        <v>0.1532</v>
      </c>
      <c r="H21" s="28" t="n">
        <v>0.184</v>
      </c>
      <c r="I21" s="28" t="n">
        <v>0.5613</v>
      </c>
      <c r="J21" s="29" t="n">
        <v>17</v>
      </c>
      <c r="K21" s="30" t="n"/>
      <c r="L21" s="30" t="n">
        <v>0.1726</v>
      </c>
      <c r="M21" s="30" t="n">
        <v>0.4932</v>
      </c>
      <c r="N21" s="30" t="n">
        <v>0.8159</v>
      </c>
      <c r="O21" s="31" t="n">
        <v>0.86</v>
      </c>
      <c r="P21" s="31" t="n">
        <v>1.18</v>
      </c>
      <c r="Q21" s="31" t="n">
        <v>1.03</v>
      </c>
      <c r="R21" s="31" t="n">
        <v>0.93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Jaylen Wright</t>
        </is>
      </c>
      <c r="C22" s="26" t="n">
        <v>2</v>
      </c>
      <c r="D22" s="26" t="inlineStr">
        <is>
          <t>23</t>
        </is>
      </c>
      <c r="E22" s="27" t="inlineStr">
        <is>
          <t>ACT</t>
        </is>
      </c>
      <c r="F22" s="28" t="n"/>
      <c r="G22" s="28" t="n">
        <v>0.0106</v>
      </c>
      <c r="H22" s="28" t="n">
        <v>0.0195</v>
      </c>
      <c r="I22" s="28" t="n">
        <v>0.1651</v>
      </c>
      <c r="J22" s="29" t="n">
        <v>17</v>
      </c>
      <c r="K22" s="30" t="n"/>
      <c r="L22" s="30" t="n">
        <v>0.0322</v>
      </c>
      <c r="M22" s="30" t="n">
        <v>0.1804</v>
      </c>
      <c r="N22" s="30" t="n">
        <v>0.5292</v>
      </c>
      <c r="O22" s="31" t="n">
        <v>0.85</v>
      </c>
      <c r="P22" s="31" t="n">
        <v>0.9</v>
      </c>
      <c r="Q22" s="31" t="n">
        <v>0.9399999999999999</v>
      </c>
      <c r="R22" s="31" t="n">
        <v>0.86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Ollie Gordon</t>
        </is>
      </c>
      <c r="C23" s="26" t="n">
        <v>3</v>
      </c>
      <c r="D23" s="26" t="inlineStr">
        <is>
          <t>22</t>
        </is>
      </c>
      <c r="E23" s="27" t="inlineStr">
        <is>
          <t>ACT</t>
        </is>
      </c>
      <c r="F23" s="28" t="n"/>
      <c r="G23" s="28" t="n"/>
      <c r="H23" s="28" t="n">
        <v>0.0195</v>
      </c>
      <c r="I23" s="28" t="n">
        <v>0.1651</v>
      </c>
      <c r="J23" s="29" t="n">
        <v>17</v>
      </c>
      <c r="K23" s="30" t="n"/>
      <c r="L23" s="30" t="n">
        <v>0.0255</v>
      </c>
      <c r="M23" s="30" t="n">
        <v>0.1285</v>
      </c>
      <c r="N23" s="30" t="n">
        <v>0.7778</v>
      </c>
      <c r="O23" s="31" t="n">
        <v>0.84</v>
      </c>
      <c r="P23" s="31" t="n">
        <v>0.68</v>
      </c>
      <c r="Q23" s="31" t="n">
        <v>0.98</v>
      </c>
      <c r="R23" s="31" t="n">
        <v>1.79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Carlos Washington</t>
        </is>
      </c>
      <c r="C24" s="26" t="n">
        <v>4</v>
      </c>
      <c r="D24" s="26" t="inlineStr">
        <is>
          <t>27</t>
        </is>
      </c>
      <c r="E24" s="36" t="inlineStr">
        <is>
          <t>role avg (rookie)</t>
        </is>
      </c>
      <c r="F24" s="28" t="n"/>
      <c r="G24" s="28" t="n"/>
      <c r="H24" s="28" t="n"/>
      <c r="I24" s="28" t="n"/>
      <c r="J24" s="29" t="n">
        <v>17</v>
      </c>
      <c r="K24" s="30" t="n"/>
      <c r="L24" s="30" t="n">
        <v>0.0172</v>
      </c>
      <c r="M24" s="30" t="n">
        <v>0.0266</v>
      </c>
      <c r="N24" s="30" t="n">
        <v>0.75</v>
      </c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Donovan Edwards</t>
        </is>
      </c>
      <c r="C25" s="26" t="n">
        <v>5</v>
      </c>
      <c r="D25" s="26" t="inlineStr">
        <is>
          <t>23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0.0135</v>
      </c>
      <c r="M25" s="30" t="n">
        <v>0.0225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Anthony Hankerson</t>
        </is>
      </c>
      <c r="C26" s="26" t="n">
        <v>6</v>
      </c>
      <c r="D26" s="26" t="inlineStr">
        <is>
          <t>22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0.0043</v>
      </c>
      <c r="M26" s="30" t="n">
        <v>0.0045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Theo Wease</t>
        </is>
      </c>
      <c r="C28" s="26" t="n">
        <v>1</v>
      </c>
      <c r="D28" s="26" t="inlineStr">
        <is>
          <t>25</t>
        </is>
      </c>
      <c r="E28" s="27" t="inlineStr">
        <is>
          <t>ACT</t>
        </is>
      </c>
      <c r="F28" s="28" t="n"/>
      <c r="G28" s="28" t="n"/>
      <c r="H28" s="28" t="n">
        <v>0.0216</v>
      </c>
      <c r="I28" s="28" t="n"/>
      <c r="J28" s="29" t="n">
        <v>17</v>
      </c>
      <c r="K28" s="30" t="n"/>
      <c r="L28" s="30" t="n">
        <v>0.1322</v>
      </c>
      <c r="M28" s="30" t="n">
        <v>0.008399999999999999</v>
      </c>
      <c r="N28" s="30" t="n">
        <v>0.6</v>
      </c>
      <c r="O28" s="31" t="n">
        <v>1.31</v>
      </c>
      <c r="P28" s="31" t="n">
        <v>1</v>
      </c>
      <c r="Q28" s="31" t="n">
        <v>0.91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Malik Washington</t>
        </is>
      </c>
      <c r="C29" s="26" t="n">
        <v>2</v>
      </c>
      <c r="D29" s="26" t="inlineStr">
        <is>
          <t>25</t>
        </is>
      </c>
      <c r="E29" s="27" t="inlineStr">
        <is>
          <t>ACT</t>
        </is>
      </c>
      <c r="F29" s="28" t="n"/>
      <c r="G29" s="28" t="n">
        <v>0.0634</v>
      </c>
      <c r="H29" s="28" t="n">
        <v>0.1407</v>
      </c>
      <c r="I29" s="28" t="n">
        <v>0.0401</v>
      </c>
      <c r="J29" s="29" t="n">
        <v>17</v>
      </c>
      <c r="K29" s="30" t="n"/>
      <c r="L29" s="30" t="n">
        <v>0.1591</v>
      </c>
      <c r="M29" s="30" t="n">
        <v>0.0167</v>
      </c>
      <c r="N29" s="30" t="n">
        <v>0.7125</v>
      </c>
      <c r="O29" s="31" t="n">
        <v>0.8100000000000001</v>
      </c>
      <c r="P29" s="31" t="n">
        <v>1.12</v>
      </c>
      <c r="Q29" s="31" t="n">
        <v>1</v>
      </c>
      <c r="R29" s="31" t="n">
        <v>1.25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Caleb Douglas</t>
        </is>
      </c>
      <c r="C30" s="26" t="n">
        <v>3</v>
      </c>
      <c r="D30" s="26" t="inlineStr">
        <is>
          <t>22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0.0977</v>
      </c>
      <c r="M30" s="30" t="n">
        <v>0.0059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Jalen Tolbert</t>
        </is>
      </c>
      <c r="C31" s="26" t="n">
        <v>4</v>
      </c>
      <c r="D31" s="26" t="inlineStr">
        <is>
          <t>27</t>
        </is>
      </c>
      <c r="E31" s="36" t="inlineStr">
        <is>
          <t>role avg (from DAL)</t>
        </is>
      </c>
      <c r="F31" s="28" t="n">
        <v>0.0595</v>
      </c>
      <c r="G31" s="28" t="n">
        <v>0.127</v>
      </c>
      <c r="H31" s="28" t="n">
        <v>0.056</v>
      </c>
      <c r="I31" s="28" t="n"/>
      <c r="J31" s="29" t="n">
        <v>17</v>
      </c>
      <c r="K31" s="30" t="n"/>
      <c r="L31" s="30" t="n">
        <v>0.0576</v>
      </c>
      <c r="M31" s="30" t="n">
        <v>0.0023</v>
      </c>
      <c r="N31" s="30" t="n">
        <v>0.5788</v>
      </c>
      <c r="O31" s="31" t="n">
        <v>0.96</v>
      </c>
      <c r="P31" s="31" t="n">
        <v>1</v>
      </c>
      <c r="Q31" s="31" t="n">
        <v>1.5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Jalen Reagor</t>
        </is>
      </c>
      <c r="C32" s="26" t="n">
        <v>5</v>
      </c>
      <c r="D32" s="26" t="inlineStr">
        <is>
          <t>27</t>
        </is>
      </c>
      <c r="E32" s="27" t="inlineStr">
        <is>
          <t>ACT</t>
        </is>
      </c>
      <c r="F32" s="28" t="n">
        <v>0.0425</v>
      </c>
      <c r="G32" s="28" t="n">
        <v>0.0244</v>
      </c>
      <c r="H32" s="28" t="n"/>
      <c r="I32" s="28" t="n"/>
      <c r="J32" s="29" t="n">
        <v>17</v>
      </c>
      <c r="K32" s="30" t="n"/>
      <c r="L32" s="30" t="n">
        <v>0.035</v>
      </c>
      <c r="M32" s="30" t="n">
        <v>0.0037</v>
      </c>
      <c r="N32" s="30" t="n">
        <v>0.4499</v>
      </c>
      <c r="O32" s="31" t="n">
        <v>1</v>
      </c>
      <c r="P32" s="31" t="n">
        <v>1.09</v>
      </c>
      <c r="Q32" s="31" t="n">
        <v>1</v>
      </c>
      <c r="R32" s="31" t="n">
        <v>1.3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Chris Bell</t>
        </is>
      </c>
      <c r="C33" s="26" t="n">
        <v>6</v>
      </c>
      <c r="D33" s="26" t="inlineStr">
        <is>
          <t>22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0.0157</v>
      </c>
      <c r="M33" s="30" t="n">
        <v>0.0021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Tutu Atwell</t>
        </is>
      </c>
      <c r="C34" s="26" t="n">
        <v>7</v>
      </c>
      <c r="D34" s="26" t="inlineStr">
        <is>
          <t>26</t>
        </is>
      </c>
      <c r="E34" s="36" t="inlineStr">
        <is>
          <t>role avg (from LAR)</t>
        </is>
      </c>
      <c r="F34" s="28" t="n">
        <v>0.1207</v>
      </c>
      <c r="G34" s="28" t="n">
        <v>0.1146</v>
      </c>
      <c r="H34" s="28" t="n">
        <v>0.0258</v>
      </c>
      <c r="I34" s="28" t="n"/>
      <c r="J34" s="29" t="n">
        <v>17</v>
      </c>
      <c r="K34" s="30" t="n"/>
      <c r="L34" s="30" t="n">
        <v>0.0108</v>
      </c>
      <c r="M34" s="30" t="n">
        <v>0.0023</v>
      </c>
      <c r="N34" s="30" t="n">
        <v>0.5502</v>
      </c>
      <c r="O34" s="31" t="n">
        <v>1.19</v>
      </c>
      <c r="P34" s="31" t="n">
        <v>1.01</v>
      </c>
      <c r="Q34" s="31" t="n">
        <v>2.5</v>
      </c>
      <c r="R34" s="31" t="n">
        <v>1.45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Kevin Coleman</t>
        </is>
      </c>
      <c r="C35" s="26" t="n">
        <v>8</v>
      </c>
      <c r="D35" s="26" t="inlineStr">
        <is>
          <t>22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0.0071</v>
      </c>
      <c r="M35" s="30" t="n">
        <v>0.0021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Greg Dulcich</t>
        </is>
      </c>
      <c r="C37" s="26" t="n">
        <v>1</v>
      </c>
      <c r="D37" s="26" t="inlineStr">
        <is>
          <t>26</t>
        </is>
      </c>
      <c r="E37" s="41" t="inlineStr">
        <is>
          <t>QUESTIONABLE</t>
        </is>
      </c>
      <c r="F37" s="28" t="n">
        <v>0.008399999999999999</v>
      </c>
      <c r="G37" s="28" t="n">
        <v>0.0219</v>
      </c>
      <c r="H37" s="28" t="n">
        <v>0.07140000000000001</v>
      </c>
      <c r="I37" s="28" t="n">
        <v>0.0024</v>
      </c>
      <c r="J37" s="29" t="n">
        <v>17</v>
      </c>
      <c r="K37" s="30" t="n"/>
      <c r="L37" s="30" t="n">
        <v>0.108</v>
      </c>
      <c r="M37" s="30" t="n">
        <v>0.0027</v>
      </c>
      <c r="N37" s="30" t="n">
        <v>0.7181</v>
      </c>
      <c r="O37" s="31" t="n">
        <v>1.1</v>
      </c>
      <c r="P37" s="31" t="n">
        <v>1</v>
      </c>
      <c r="Q37" s="31" t="n">
        <v>0.93</v>
      </c>
      <c r="R37" s="31" t="n">
        <v>1.51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Will Kacmarek</t>
        </is>
      </c>
      <c r="C38" s="26" t="n">
        <v>2</v>
      </c>
      <c r="D38" s="26" t="inlineStr">
        <is>
          <t>23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0.054</v>
      </c>
      <c r="M38" s="30" t="n">
        <v>0.0023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Ben Sims</t>
        </is>
      </c>
      <c r="C39" s="26" t="n">
        <v>3</v>
      </c>
      <c r="D39" s="26" t="inlineStr">
        <is>
          <t>26</t>
        </is>
      </c>
      <c r="E39" s="36" t="inlineStr">
        <is>
          <t>role avg (from MIN)</t>
        </is>
      </c>
      <c r="F39" s="28" t="n">
        <v>0.0107</v>
      </c>
      <c r="G39" s="28" t="n">
        <v>0.0108</v>
      </c>
      <c r="H39" s="28" t="n">
        <v>0.0128</v>
      </c>
      <c r="I39" s="28" t="n"/>
      <c r="J39" s="29" t="n">
        <v>17</v>
      </c>
      <c r="K39" s="30" t="n"/>
      <c r="L39" s="30" t="n">
        <v>0.0338</v>
      </c>
      <c r="M39" s="30" t="n">
        <v>0.0023</v>
      </c>
      <c r="N39" s="30" t="n">
        <v>0.6677</v>
      </c>
      <c r="O39" s="31" t="n">
        <v>0.95</v>
      </c>
      <c r="P39" s="31" t="n">
        <v>1</v>
      </c>
      <c r="Q39" s="31" t="n">
        <v>0.96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Seydou Traore</t>
        </is>
      </c>
      <c r="C40" s="26" t="n">
        <v>4</v>
      </c>
      <c r="D40" s="26" t="inlineStr">
        <is>
          <t>23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0.0163</v>
      </c>
      <c r="M40" s="30" t="n">
        <v>0.0023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MIN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60.3</v>
      </c>
      <c r="D5" s="12">
        <f>C5*B5</f>
        <v/>
      </c>
      <c r="E5" s="13" t="n">
        <v>0.5769</v>
      </c>
      <c r="F5" s="10" t="n">
        <v>540</v>
      </c>
      <c r="G5" s="12">
        <f>ROUND(F5*Settings!$B$4,0)</f>
        <v/>
      </c>
      <c r="H5" s="10" t="n">
        <v>434</v>
      </c>
      <c r="I5" s="10" t="n">
        <v>3870</v>
      </c>
      <c r="J5" s="11" t="n">
        <v>25</v>
      </c>
      <c r="K5" s="11" t="n">
        <v>16</v>
      </c>
      <c r="L5" s="10" t="n">
        <v>1855</v>
      </c>
      <c r="M5" s="11" t="n">
        <v>13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1071</v>
      </c>
      <c r="D8" s="16" t="n">
        <v>63</v>
      </c>
      <c r="E8" s="17" t="n">
        <v>0.6331</v>
      </c>
      <c r="F8" s="15" t="n">
        <v>631</v>
      </c>
      <c r="G8" s="15" t="n">
        <v>393</v>
      </c>
      <c r="H8" s="15" t="n">
        <v>4700</v>
      </c>
      <c r="I8" s="15" t="n">
        <v>1553</v>
      </c>
      <c r="J8" s="15" t="n">
        <v>30</v>
      </c>
      <c r="K8" s="15" t="n">
        <v>7</v>
      </c>
      <c r="L8" s="16" t="n">
        <v>7.4485</v>
      </c>
      <c r="M8" s="16" t="n">
        <v>3.9517</v>
      </c>
    </row>
    <row r="9">
      <c r="B9" s="15" t="n">
        <v>2024</v>
      </c>
      <c r="C9" s="15" t="n">
        <v>1054</v>
      </c>
      <c r="D9" s="16" t="n">
        <v>62</v>
      </c>
      <c r="E9" s="17" t="n">
        <v>0.5664</v>
      </c>
      <c r="F9" s="15" t="n">
        <v>548</v>
      </c>
      <c r="G9" s="15" t="n">
        <v>457</v>
      </c>
      <c r="H9" s="15" t="n">
        <v>4379</v>
      </c>
      <c r="I9" s="15" t="n">
        <v>1855</v>
      </c>
      <c r="J9" s="15" t="n">
        <v>35</v>
      </c>
      <c r="K9" s="15" t="n">
        <v>9</v>
      </c>
      <c r="L9" s="16" t="n">
        <v>7.9909</v>
      </c>
      <c r="M9" s="16" t="n">
        <v>4.0591</v>
      </c>
    </row>
    <row r="10">
      <c r="B10" s="15" t="n">
        <v>2025</v>
      </c>
      <c r="C10" s="15" t="n">
        <v>954</v>
      </c>
      <c r="D10" s="16" t="n">
        <v>56.1176</v>
      </c>
      <c r="E10" s="17" t="n">
        <v>0.5702</v>
      </c>
      <c r="F10" s="15" t="n">
        <v>484</v>
      </c>
      <c r="G10" s="15" t="n">
        <v>410</v>
      </c>
      <c r="H10" s="15" t="n">
        <v>3208</v>
      </c>
      <c r="I10" s="15" t="n">
        <v>1841</v>
      </c>
      <c r="J10" s="15" t="n">
        <v>18</v>
      </c>
      <c r="K10" s="15" t="n">
        <v>15</v>
      </c>
      <c r="L10" s="16" t="n">
        <v>6.6281</v>
      </c>
      <c r="M10" s="16" t="n">
        <v>4.4902</v>
      </c>
    </row>
    <row r="11"/>
    <row r="12">
      <c r="A12" s="18" t="inlineStr">
        <is>
          <t>OUT</t>
        </is>
      </c>
      <c r="B12" s="19" t="inlineStr">
        <is>
          <t>14% of targets and 6% of carries left. Share is team-relative - it does NOT follow the player.</t>
        </is>
      </c>
      <c r="H12" s="8" t="inlineStr">
        <is>
          <t>Jalen Nailor (11t/1r -&gt; LV), Ty Chandler (1t/4r -&gt; NO), Ben Sims (1t/0r -&gt; MIA), Cam Akers (0t/1r -&gt; NOT ON ANY ROSTER)</t>
        </is>
      </c>
    </row>
    <row r="13">
      <c r="A13" s="20" t="inlineStr">
        <is>
          <t>IN</t>
        </is>
      </c>
      <c r="B13" s="21" t="inlineStr">
        <is>
          <t>2 new: Jauan Jennings (WR, from SF - had 16% there), Kyler Murray (QB, from ARI)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Kyler Murray</t>
        </is>
      </c>
      <c r="C17" s="26" t="n">
        <v>1</v>
      </c>
      <c r="D17" s="26" t="inlineStr">
        <is>
          <t>28</t>
        </is>
      </c>
      <c r="E17" s="36" t="inlineStr">
        <is>
          <t>role avg (from ARI)</t>
        </is>
      </c>
      <c r="F17" s="28" t="n"/>
      <c r="G17" s="28" t="n"/>
      <c r="H17" s="28" t="n"/>
      <c r="I17" s="28" t="n">
        <v>0.0771</v>
      </c>
      <c r="J17" s="29" t="n">
        <v>17</v>
      </c>
      <c r="K17" s="30" t="n">
        <v>0.92</v>
      </c>
      <c r="L17" s="30" t="n">
        <v>0.0019</v>
      </c>
      <c r="M17" s="30" t="n">
        <v>0.08019999999999999</v>
      </c>
      <c r="N17" s="30" t="n"/>
      <c r="O17" s="31" t="n">
        <v>1</v>
      </c>
      <c r="P17" s="31" t="n">
        <v>1.31</v>
      </c>
      <c r="Q17" s="31" t="n">
        <v>1</v>
      </c>
      <c r="R17" s="31" t="n">
        <v>1.36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J.J. McCarthy</t>
        </is>
      </c>
      <c r="C18" s="26" t="n">
        <v>2</v>
      </c>
      <c r="D18" s="26" t="inlineStr">
        <is>
          <t>23</t>
        </is>
      </c>
      <c r="E18" s="27" t="inlineStr">
        <is>
          <t>ACT</t>
        </is>
      </c>
      <c r="F18" s="28" t="n"/>
      <c r="G18" s="28" t="n"/>
      <c r="H18" s="28" t="n"/>
      <c r="I18" s="28" t="n">
        <v>0.0707</v>
      </c>
      <c r="J18" s="29" t="n">
        <v>17</v>
      </c>
      <c r="K18" s="30" t="n">
        <v>0.068</v>
      </c>
      <c r="L18" s="30" t="n">
        <v>0.0008</v>
      </c>
      <c r="M18" s="30" t="n">
        <v>0.0385</v>
      </c>
      <c r="N18" s="30" t="n"/>
      <c r="O18" s="31" t="n">
        <v>1</v>
      </c>
      <c r="P18" s="31" t="n">
        <v>1.23</v>
      </c>
      <c r="Q18" s="31" t="n">
        <v>1</v>
      </c>
      <c r="R18" s="31" t="n">
        <v>1.7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Carson Wentz</t>
        </is>
      </c>
      <c r="C19" s="26" t="n">
        <v>3</v>
      </c>
      <c r="D19" s="26" t="inlineStr">
        <is>
          <t>33</t>
        </is>
      </c>
      <c r="E19" s="27" t="inlineStr">
        <is>
          <t>ACT</t>
        </is>
      </c>
      <c r="F19" s="28" t="n"/>
      <c r="G19" s="28" t="n"/>
      <c r="H19" s="28" t="n"/>
      <c r="I19" s="28" t="n">
        <v>0.0278</v>
      </c>
      <c r="J19" s="29" t="n">
        <v>17</v>
      </c>
      <c r="K19" s="30" t="n">
        <v>0.012</v>
      </c>
      <c r="L19" s="30" t="n">
        <v>0.0008</v>
      </c>
      <c r="M19" s="30" t="n">
        <v>0.0153</v>
      </c>
      <c r="N19" s="30" t="n"/>
      <c r="O19" s="31" t="n">
        <v>1</v>
      </c>
      <c r="P19" s="31" t="n">
        <v>1.02</v>
      </c>
      <c r="Q19" s="31" t="n">
        <v>1</v>
      </c>
      <c r="R19" s="31" t="n">
        <v>1.22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Aaron Jones</t>
        </is>
      </c>
      <c r="C21" s="26" t="n">
        <v>1</v>
      </c>
      <c r="D21" s="26" t="inlineStr">
        <is>
          <t>31</t>
        </is>
      </c>
      <c r="E21" s="27" t="inlineStr">
        <is>
          <t>ACT</t>
        </is>
      </c>
      <c r="F21" s="28" t="n">
        <v>0.0766</v>
      </c>
      <c r="G21" s="28" t="n">
        <v>0.1199</v>
      </c>
      <c r="H21" s="28" t="n">
        <v>0.0876</v>
      </c>
      <c r="I21" s="28" t="n">
        <v>0.3333</v>
      </c>
      <c r="J21" s="29" t="n">
        <v>17</v>
      </c>
      <c r="K21" s="30" t="n"/>
      <c r="L21" s="30" t="n">
        <v>0.0959</v>
      </c>
      <c r="M21" s="30" t="n">
        <v>0.4384</v>
      </c>
      <c r="N21" s="30" t="n">
        <v>0.7389</v>
      </c>
      <c r="O21" s="31" t="n">
        <v>0.8100000000000001</v>
      </c>
      <c r="P21" s="31" t="n">
        <v>0.97</v>
      </c>
      <c r="Q21" s="31" t="n">
        <v>1.16</v>
      </c>
      <c r="R21" s="31" t="n">
        <v>0.92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Jordan Mason</t>
        </is>
      </c>
      <c r="C22" s="26" t="n">
        <v>2</v>
      </c>
      <c r="D22" s="26" t="inlineStr">
        <is>
          <t>27</t>
        </is>
      </c>
      <c r="E22" s="27" t="inlineStr">
        <is>
          <t>ACT</t>
        </is>
      </c>
      <c r="F22" s="28" t="n">
        <v>0.008500000000000001</v>
      </c>
      <c r="G22" s="28" t="n">
        <v>0.0273</v>
      </c>
      <c r="H22" s="28" t="n">
        <v>0.0342</v>
      </c>
      <c r="I22" s="28" t="n">
        <v>0.4015</v>
      </c>
      <c r="J22" s="29" t="n">
        <v>17</v>
      </c>
      <c r="K22" s="30" t="n"/>
      <c r="L22" s="30" t="n">
        <v>0.031</v>
      </c>
      <c r="M22" s="30" t="n">
        <v>0.2459</v>
      </c>
      <c r="N22" s="30" t="n">
        <v>0.8252</v>
      </c>
      <c r="O22" s="31" t="n">
        <v>0.85</v>
      </c>
      <c r="P22" s="31" t="n">
        <v>1.03</v>
      </c>
      <c r="Q22" s="31" t="n">
        <v>0.9399999999999999</v>
      </c>
      <c r="R22" s="31" t="n">
        <v>1.22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Demond Claiborne</t>
        </is>
      </c>
      <c r="C23" s="26" t="n">
        <v>3</v>
      </c>
      <c r="D23" s="26" t="inlineStr">
        <is>
          <t>22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0.0198</v>
      </c>
      <c r="M23" s="30" t="n">
        <v>0.081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Zavier Scott</t>
        </is>
      </c>
      <c r="C24" s="26" t="n">
        <v>4</v>
      </c>
      <c r="D24" s="26" t="inlineStr">
        <is>
          <t>27</t>
        </is>
      </c>
      <c r="E24" s="27" t="inlineStr">
        <is>
          <t>ACT</t>
        </is>
      </c>
      <c r="F24" s="28" t="n"/>
      <c r="G24" s="28" t="n"/>
      <c r="H24" s="28" t="n">
        <v>0.0342</v>
      </c>
      <c r="I24" s="28" t="n">
        <v>0.0808</v>
      </c>
      <c r="J24" s="29" t="n">
        <v>17</v>
      </c>
      <c r="K24" s="30" t="n"/>
      <c r="L24" s="30" t="n">
        <v>0.0241</v>
      </c>
      <c r="M24" s="30" t="n">
        <v>0.0411</v>
      </c>
      <c r="N24" s="30" t="n">
        <v>0.875</v>
      </c>
      <c r="O24" s="31" t="n">
        <v>0.95</v>
      </c>
      <c r="P24" s="31" t="n">
        <v>0.86</v>
      </c>
      <c r="Q24" s="31" t="n">
        <v>1.2</v>
      </c>
      <c r="R24" s="31" t="n">
        <v>1.06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Jordan Mims</t>
        </is>
      </c>
      <c r="C25" s="26" t="n">
        <v>5</v>
      </c>
      <c r="D25" s="26" t="inlineStr">
        <is>
          <t>27</t>
        </is>
      </c>
      <c r="E25" s="27" t="inlineStr">
        <is>
          <t>ACT</t>
        </is>
      </c>
      <c r="F25" s="28" t="n">
        <v>0.0035</v>
      </c>
      <c r="G25" s="28" t="n">
        <v>0.0348</v>
      </c>
      <c r="H25" s="28" t="n"/>
      <c r="I25" s="28" t="n"/>
      <c r="J25" s="29" t="n">
        <v>17</v>
      </c>
      <c r="K25" s="30" t="n"/>
      <c r="L25" s="30" t="n">
        <v>0.0202</v>
      </c>
      <c r="M25" s="30" t="n">
        <v>0.0291</v>
      </c>
      <c r="N25" s="30" t="n">
        <v>0.6667</v>
      </c>
      <c r="O25" s="31" t="n">
        <v>0.8</v>
      </c>
      <c r="P25" s="31" t="n">
        <v>0.89</v>
      </c>
      <c r="Q25" s="31" t="n">
        <v>1.02</v>
      </c>
      <c r="R25" s="31" t="n">
        <v>0.95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44" t="inlineStr"/>
      <c r="C26" s="25" t="n"/>
      <c r="D26" s="25" t="n"/>
      <c r="E26" s="25" t="n"/>
      <c r="F26" s="25" t="n"/>
      <c r="G26" s="25" t="n"/>
      <c r="H26" s="25" t="n"/>
      <c r="I26" s="25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Justin Jefferson</t>
        </is>
      </c>
      <c r="C28" s="26" t="n">
        <v>1</v>
      </c>
      <c r="D28" s="26" t="inlineStr">
        <is>
          <t>27</t>
        </is>
      </c>
      <c r="E28" s="27" t="inlineStr">
        <is>
          <t>ACT</t>
        </is>
      </c>
      <c r="F28" s="28" t="n">
        <v>0.165</v>
      </c>
      <c r="G28" s="28" t="n">
        <v>0.2979</v>
      </c>
      <c r="H28" s="28" t="n">
        <v>0.3013</v>
      </c>
      <c r="I28" s="28" t="n">
        <v>0.0051</v>
      </c>
      <c r="J28" s="29" t="n">
        <v>17</v>
      </c>
      <c r="K28" s="30" t="n"/>
      <c r="L28" s="30" t="n">
        <v>0.2634</v>
      </c>
      <c r="M28" s="30" t="n">
        <v>0.0069</v>
      </c>
      <c r="N28" s="30" t="n">
        <v>0.6304</v>
      </c>
      <c r="O28" s="31" t="n">
        <v>1.13</v>
      </c>
      <c r="P28" s="31" t="n">
        <v>0.95</v>
      </c>
      <c r="Q28" s="31" t="n">
        <v>0.9399999999999999</v>
      </c>
      <c r="R28" s="31" t="n">
        <v>1.18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Jordan Addison</t>
        </is>
      </c>
      <c r="C29" s="26" t="n">
        <v>2</v>
      </c>
      <c r="D29" s="26" t="inlineStr">
        <is>
          <t>24</t>
        </is>
      </c>
      <c r="E29" s="41" t="inlineStr">
        <is>
          <t>QUESTIONABLE</t>
        </is>
      </c>
      <c r="F29" s="28" t="n">
        <v>0.1782</v>
      </c>
      <c r="G29" s="28" t="n">
        <v>0.1915</v>
      </c>
      <c r="H29" s="28" t="n">
        <v>0.1688</v>
      </c>
      <c r="I29" s="28" t="n">
        <v>0.0051</v>
      </c>
      <c r="J29" s="29" t="n">
        <v>17</v>
      </c>
      <c r="K29" s="30" t="n"/>
      <c r="L29" s="30" t="n">
        <v>0.1685</v>
      </c>
      <c r="M29" s="30" t="n">
        <v>0.0052</v>
      </c>
      <c r="N29" s="30" t="n">
        <v>0.5899</v>
      </c>
      <c r="O29" s="31" t="n">
        <v>1.08</v>
      </c>
      <c r="P29" s="31" t="n">
        <v>1.34</v>
      </c>
      <c r="Q29" s="31" t="n">
        <v>1.07</v>
      </c>
      <c r="R29" s="31" t="n">
        <v>1.22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Jauan Jennings</t>
        </is>
      </c>
      <c r="C30" s="26" t="n">
        <v>3</v>
      </c>
      <c r="D30" s="26" t="inlineStr">
        <is>
          <t>29</t>
        </is>
      </c>
      <c r="E30" s="36" t="inlineStr">
        <is>
          <t>role avg (from SF)</t>
        </is>
      </c>
      <c r="F30" s="28" t="n">
        <v>0.0701</v>
      </c>
      <c r="G30" s="28" t="n">
        <v>0.2203</v>
      </c>
      <c r="H30" s="28" t="n">
        <v>0.1636</v>
      </c>
      <c r="I30" s="28" t="n"/>
      <c r="J30" s="29" t="n">
        <v>17</v>
      </c>
      <c r="K30" s="30" t="n"/>
      <c r="L30" s="30" t="n">
        <v>0.0988</v>
      </c>
      <c r="M30" s="30" t="n">
        <v>0.0034</v>
      </c>
      <c r="N30" s="30" t="n">
        <v>0.6264999999999999</v>
      </c>
      <c r="O30" s="31" t="n">
        <v>0.9399999999999999</v>
      </c>
      <c r="P30" s="31" t="n">
        <v>1</v>
      </c>
      <c r="Q30" s="31" t="n">
        <v>1.54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Tai Felton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/>
      <c r="H31" s="28" t="n">
        <v>0.0064</v>
      </c>
      <c r="I31" s="28" t="n"/>
      <c r="J31" s="29" t="n">
        <v>17</v>
      </c>
      <c r="K31" s="30" t="n"/>
      <c r="L31" s="30" t="n">
        <v>0.0199</v>
      </c>
      <c r="M31" s="30" t="n">
        <v>0.0008</v>
      </c>
      <c r="N31" s="30" t="n">
        <v>1</v>
      </c>
      <c r="O31" s="31" t="n">
        <v>1.03</v>
      </c>
      <c r="P31" s="31" t="n">
        <v>1</v>
      </c>
      <c r="Q31" s="31" t="n">
        <v>1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Jeshaun Jones</t>
        </is>
      </c>
      <c r="C32" s="26" t="n">
        <v>5</v>
      </c>
      <c r="D32" s="26" t="inlineStr">
        <is>
          <t>26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0.0183</v>
      </c>
      <c r="M32" s="30" t="n">
        <v>0.0021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Myles Price</t>
        </is>
      </c>
      <c r="C33" s="26" t="n">
        <v>6</v>
      </c>
      <c r="D33" s="26" t="inlineStr">
        <is>
          <t>24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0.0094</v>
      </c>
      <c r="M33" s="30" t="n">
        <v>0.002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Dillon Bell</t>
        </is>
      </c>
      <c r="C34" s="26" t="n">
        <v>7</v>
      </c>
      <c r="D34" s="26" t="inlineStr">
        <is>
          <t>22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0.0065</v>
      </c>
      <c r="M34" s="30" t="n">
        <v>0.0021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Dontae Fleming</t>
        </is>
      </c>
      <c r="C35" s="26" t="n">
        <v>8</v>
      </c>
      <c r="D35" s="26" t="inlineStr">
        <is>
          <t>24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0.0049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T.J. Hockenson</t>
        </is>
      </c>
      <c r="C37" s="26" t="n">
        <v>1</v>
      </c>
      <c r="D37" s="26" t="inlineStr">
        <is>
          <t>29</t>
        </is>
      </c>
      <c r="E37" s="27" t="inlineStr">
        <is>
          <t>ACT</t>
        </is>
      </c>
      <c r="F37" s="28" t="n">
        <v>0.2096</v>
      </c>
      <c r="G37" s="28" t="n">
        <v>0.1199</v>
      </c>
      <c r="H37" s="28" t="n">
        <v>0.141</v>
      </c>
      <c r="I37" s="28" t="n">
        <v>0.0025</v>
      </c>
      <c r="J37" s="29" t="n">
        <v>17</v>
      </c>
      <c r="K37" s="30" t="n"/>
      <c r="L37" s="30" t="n">
        <v>0.1502</v>
      </c>
      <c r="M37" s="30" t="n">
        <v>0.0023</v>
      </c>
      <c r="N37" s="30" t="n">
        <v>0.7425</v>
      </c>
      <c r="O37" s="31" t="n">
        <v>0.96</v>
      </c>
      <c r="P37" s="31" t="n">
        <v>1</v>
      </c>
      <c r="Q37" s="31" t="n">
        <v>0.9399999999999999</v>
      </c>
      <c r="R37" s="31" t="n">
        <v>1.7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Josh Oliver</t>
        </is>
      </c>
      <c r="C38" s="26" t="n">
        <v>2</v>
      </c>
      <c r="D38" s="26" t="inlineStr">
        <is>
          <t>29</t>
        </is>
      </c>
      <c r="E38" s="27" t="inlineStr">
        <is>
          <t>ACT</t>
        </is>
      </c>
      <c r="F38" s="28" t="n">
        <v>0.0462</v>
      </c>
      <c r="G38" s="28" t="n">
        <v>0.0542</v>
      </c>
      <c r="H38" s="28" t="n">
        <v>0.0406</v>
      </c>
      <c r="I38" s="28" t="n"/>
      <c r="J38" s="29" t="n">
        <v>17</v>
      </c>
      <c r="K38" s="30" t="n"/>
      <c r="L38" s="30" t="n">
        <v>0.0459</v>
      </c>
      <c r="M38" s="30" t="n">
        <v>0.0008</v>
      </c>
      <c r="N38" s="30" t="n">
        <v>0.7875</v>
      </c>
      <c r="O38" s="31" t="n">
        <v>1.07</v>
      </c>
      <c r="P38" s="31" t="n">
        <v>1</v>
      </c>
      <c r="Q38" s="31" t="n">
        <v>1.15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Ben Yurosek</t>
        </is>
      </c>
      <c r="C39" s="26" t="n">
        <v>3</v>
      </c>
      <c r="D39" s="26" t="inlineStr">
        <is>
          <t>24</t>
        </is>
      </c>
      <c r="E39" s="27" t="inlineStr">
        <is>
          <t>ACT</t>
        </is>
      </c>
      <c r="F39" s="28" t="n"/>
      <c r="G39" s="28" t="n"/>
      <c r="H39" s="28" t="n">
        <v>0.0064</v>
      </c>
      <c r="I39" s="28" t="n"/>
      <c r="J39" s="29" t="n">
        <v>17</v>
      </c>
      <c r="K39" s="30" t="n"/>
      <c r="L39" s="30" t="n">
        <v>0.0142</v>
      </c>
      <c r="M39" s="30" t="n">
        <v>0.0008</v>
      </c>
      <c r="N39" s="30" t="n">
        <v>0.6667</v>
      </c>
      <c r="O39" s="31" t="n">
        <v>0.96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Max Bredeson</t>
        </is>
      </c>
      <c r="C40" s="26" t="n">
        <v>4</v>
      </c>
      <c r="D40" s="26" t="inlineStr">
        <is>
          <t>23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0.0054</v>
      </c>
      <c r="M40" s="30" t="n">
        <v>0.0021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NE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61.2</v>
      </c>
      <c r="D5" s="12">
        <f>C5*B5</f>
        <v/>
      </c>
      <c r="E5" s="13" t="n">
        <v>0.5558</v>
      </c>
      <c r="F5" s="10" t="n">
        <v>532</v>
      </c>
      <c r="G5" s="12">
        <f>ROUND(F5*Settings!$B$4,0)</f>
        <v/>
      </c>
      <c r="H5" s="10" t="n">
        <v>462</v>
      </c>
      <c r="I5" s="10" t="n">
        <v>3942</v>
      </c>
      <c r="J5" s="11" t="n">
        <v>25</v>
      </c>
      <c r="K5" s="11" t="n">
        <v>12</v>
      </c>
      <c r="L5" s="10" t="n">
        <v>2001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1020</v>
      </c>
      <c r="D8" s="16" t="n">
        <v>60</v>
      </c>
      <c r="E8" s="17" t="n">
        <v>0.5931</v>
      </c>
      <c r="F8" s="15" t="n">
        <v>557</v>
      </c>
      <c r="G8" s="15" t="n">
        <v>415</v>
      </c>
      <c r="H8" s="15" t="n">
        <v>3392</v>
      </c>
      <c r="I8" s="15" t="n">
        <v>1627</v>
      </c>
      <c r="J8" s="15" t="n">
        <v>16</v>
      </c>
      <c r="K8" s="15" t="n">
        <v>9</v>
      </c>
      <c r="L8" s="16" t="n">
        <v>6.0898</v>
      </c>
      <c r="M8" s="16" t="n">
        <v>3.9205</v>
      </c>
    </row>
    <row r="9">
      <c r="B9" s="15" t="n">
        <v>2024</v>
      </c>
      <c r="C9" s="15" t="n">
        <v>1027</v>
      </c>
      <c r="D9" s="16" t="n">
        <v>60.4118</v>
      </c>
      <c r="E9" s="17" t="n">
        <v>0.5657</v>
      </c>
      <c r="F9" s="15" t="n">
        <v>529</v>
      </c>
      <c r="G9" s="15" t="n">
        <v>446</v>
      </c>
      <c r="H9" s="15" t="n">
        <v>3343</v>
      </c>
      <c r="I9" s="15" t="n">
        <v>1969</v>
      </c>
      <c r="J9" s="15" t="n">
        <v>18</v>
      </c>
      <c r="K9" s="15" t="n">
        <v>11</v>
      </c>
      <c r="L9" s="16" t="n">
        <v>6.3195</v>
      </c>
      <c r="M9" s="16" t="n">
        <v>4.4148</v>
      </c>
    </row>
    <row r="10">
      <c r="B10" s="15" t="n">
        <v>2025</v>
      </c>
      <c r="C10" s="15" t="n">
        <v>1044</v>
      </c>
      <c r="D10" s="16" t="n">
        <v>61.4118</v>
      </c>
      <c r="E10" s="17" t="n">
        <v>0.5268</v>
      </c>
      <c r="F10" s="15" t="n">
        <v>502</v>
      </c>
      <c r="G10" s="15" t="n">
        <v>494</v>
      </c>
      <c r="H10" s="15" t="n">
        <v>4459</v>
      </c>
      <c r="I10" s="15" t="n">
        <v>2191</v>
      </c>
      <c r="J10" s="15" t="n">
        <v>31</v>
      </c>
      <c r="K10" s="15" t="n">
        <v>22</v>
      </c>
      <c r="L10" s="16" t="n">
        <v>8.8825</v>
      </c>
      <c r="M10" s="16" t="n">
        <v>4.4352</v>
      </c>
    </row>
    <row r="11"/>
    <row r="12">
      <c r="A12" s="18" t="inlineStr">
        <is>
          <t>OUT</t>
        </is>
      </c>
      <c r="B12" s="19" t="inlineStr">
        <is>
          <t>27% of targets and 8% of carries left. Share is team-relative - it does NOT follow the player.</t>
        </is>
      </c>
      <c r="H12" s="8" t="inlineStr">
        <is>
          <t>Stefon Diggs (21t/0r -&gt; WAS), Austin Hooper (5t/0r -&gt; ATL), Antonio Gibson (1t/5r -&gt; NOT ON ANY ROSTER), D'Ernest Johnson (0t/3r -&gt; NOT ON ANY ROSTER)</t>
        </is>
      </c>
    </row>
    <row r="13">
      <c r="A13" s="20" t="inlineStr">
        <is>
          <t>IN</t>
        </is>
      </c>
      <c r="B13" s="21" t="inlineStr">
        <is>
          <t>3 new: A.J. Brown (WR, from PHI - had 26% there), Romeo Doubs (WR, from GB - had 18% there), Reggie Gilliam (RB, from BUF - had 0% there)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Drake Maye</t>
        </is>
      </c>
      <c r="C17" s="26" t="n">
        <v>1</v>
      </c>
      <c r="D17" s="26" t="inlineStr">
        <is>
          <t>23</t>
        </is>
      </c>
      <c r="E17" s="27" t="inlineStr">
        <is>
          <t>ACT</t>
        </is>
      </c>
      <c r="F17" s="28" t="n"/>
      <c r="G17" s="28" t="n"/>
      <c r="H17" s="28" t="n">
        <v>0.0021</v>
      </c>
      <c r="I17" s="28" t="n">
        <v>0.1767</v>
      </c>
      <c r="J17" s="29" t="n">
        <v>17</v>
      </c>
      <c r="K17" s="30" t="n">
        <v>0.92</v>
      </c>
      <c r="L17" s="30" t="n">
        <v>0.0019</v>
      </c>
      <c r="M17" s="30" t="n">
        <v>0.1256</v>
      </c>
      <c r="N17" s="30" t="n"/>
      <c r="O17" s="31" t="n">
        <v>0.96</v>
      </c>
      <c r="P17" s="31" t="n">
        <v>1.28</v>
      </c>
      <c r="Q17" s="31" t="n">
        <v>1</v>
      </c>
      <c r="R17" s="31" t="n">
        <v>1.16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Tommy DeVito</t>
        </is>
      </c>
      <c r="C18" s="26" t="n">
        <v>2</v>
      </c>
      <c r="D18" s="26" t="inlineStr">
        <is>
          <t>27</t>
        </is>
      </c>
      <c r="E18" s="27" t="inlineStr">
        <is>
          <t>ACT</t>
        </is>
      </c>
      <c r="F18" s="28" t="n"/>
      <c r="G18" s="28" t="n"/>
      <c r="H18" s="28" t="n"/>
      <c r="I18" s="28" t="n"/>
      <c r="J18" s="29" t="n">
        <v>17</v>
      </c>
      <c r="K18" s="30" t="n">
        <v>0.068</v>
      </c>
      <c r="L18" s="30" t="n">
        <v>0.0007</v>
      </c>
      <c r="M18" s="30" t="n">
        <v>0.0377</v>
      </c>
      <c r="N18" s="30" t="n"/>
      <c r="O18" s="31" t="n">
        <v>1</v>
      </c>
      <c r="P18" s="31" t="n">
        <v>1.16</v>
      </c>
      <c r="Q18" s="31" t="n">
        <v>1</v>
      </c>
      <c r="R18" s="31" t="n">
        <v>0.98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Behren Morton</t>
        </is>
      </c>
      <c r="C19" s="26" t="n">
        <v>3</v>
      </c>
      <c r="D19" s="26" t="inlineStr">
        <is>
          <t>24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0.0017</v>
      </c>
      <c r="M19" s="30" t="n">
        <v>0.012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TreVeyon Henderson</t>
        </is>
      </c>
      <c r="C21" s="26" t="n">
        <v>1</v>
      </c>
      <c r="D21" s="26" t="inlineStr">
        <is>
          <t>23</t>
        </is>
      </c>
      <c r="E21" s="27" t="inlineStr">
        <is>
          <t>ACT</t>
        </is>
      </c>
      <c r="F21" s="28" t="n"/>
      <c r="G21" s="28" t="n"/>
      <c r="H21" s="28" t="n">
        <v>0.0871</v>
      </c>
      <c r="I21" s="28" t="n">
        <v>0.3879</v>
      </c>
      <c r="J21" s="29" t="n">
        <v>17</v>
      </c>
      <c r="K21" s="30" t="n"/>
      <c r="L21" s="30" t="n">
        <v>0.0815</v>
      </c>
      <c r="M21" s="30" t="n">
        <v>0.3881</v>
      </c>
      <c r="N21" s="30" t="n">
        <v>0.8333</v>
      </c>
      <c r="O21" s="31" t="n">
        <v>0.71</v>
      </c>
      <c r="P21" s="31" t="n">
        <v>1.06</v>
      </c>
      <c r="Q21" s="31" t="n">
        <v>0.89</v>
      </c>
      <c r="R21" s="31" t="n">
        <v>0.93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Rhamondre Stevenson</t>
        </is>
      </c>
      <c r="C22" s="26" t="n">
        <v>2</v>
      </c>
      <c r="D22" s="26" t="inlineStr">
        <is>
          <t>28</t>
        </is>
      </c>
      <c r="E22" s="27" t="inlineStr">
        <is>
          <t>ACT</t>
        </is>
      </c>
      <c r="F22" s="28" t="n">
        <v>0.09429999999999999</v>
      </c>
      <c r="G22" s="28" t="n">
        <v>0.082</v>
      </c>
      <c r="H22" s="28" t="n">
        <v>0.07679999999999999</v>
      </c>
      <c r="I22" s="28" t="n">
        <v>0.2802</v>
      </c>
      <c r="J22" s="29" t="n">
        <v>17</v>
      </c>
      <c r="K22" s="30" t="n"/>
      <c r="L22" s="30" t="n">
        <v>0.0654</v>
      </c>
      <c r="M22" s="30" t="n">
        <v>0.2967</v>
      </c>
      <c r="N22" s="30" t="n">
        <v>0.8248</v>
      </c>
      <c r="O22" s="31" t="n">
        <v>0.89</v>
      </c>
      <c r="P22" s="31" t="n">
        <v>0.95</v>
      </c>
      <c r="Q22" s="31" t="n">
        <v>1.23</v>
      </c>
      <c r="R22" s="31" t="n">
        <v>1.23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Terrell Jennings</t>
        </is>
      </c>
      <c r="C23" s="26" t="n">
        <v>3</v>
      </c>
      <c r="D23" s="26" t="inlineStr">
        <is>
          <t>25</t>
        </is>
      </c>
      <c r="E23" s="27" t="inlineStr">
        <is>
          <t>ACT</t>
        </is>
      </c>
      <c r="F23" s="28" t="n"/>
      <c r="G23" s="28" t="n">
        <v>0.002</v>
      </c>
      <c r="H23" s="28" t="n">
        <v>0.0021</v>
      </c>
      <c r="I23" s="28" t="n">
        <v>0.0496</v>
      </c>
      <c r="J23" s="29" t="n">
        <v>17</v>
      </c>
      <c r="K23" s="30" t="n"/>
      <c r="L23" s="30" t="n">
        <v>0.0065</v>
      </c>
      <c r="M23" s="30" t="n">
        <v>0.0494</v>
      </c>
      <c r="N23" s="30" t="n">
        <v>1</v>
      </c>
      <c r="O23" s="31" t="n">
        <v>1</v>
      </c>
      <c r="P23" s="31" t="n">
        <v>0.82</v>
      </c>
      <c r="Q23" s="31" t="n">
        <v>1</v>
      </c>
      <c r="R23" s="31" t="n">
        <v>0.92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Jam Miller</t>
        </is>
      </c>
      <c r="C24" s="26" t="n">
        <v>4</v>
      </c>
      <c r="D24" s="26" t="inlineStr"/>
      <c r="E24" s="36" t="inlineStr">
        <is>
          <t>role avg (rookie)</t>
        </is>
      </c>
      <c r="F24" s="28" t="n"/>
      <c r="G24" s="28" t="n"/>
      <c r="H24" s="28" t="n"/>
      <c r="I24" s="28" t="n"/>
      <c r="J24" s="29" t="n">
        <v>17</v>
      </c>
      <c r="K24" s="30" t="n"/>
      <c r="L24" s="30" t="n">
        <v>0.0048</v>
      </c>
      <c r="M24" s="30" t="n">
        <v>0.0286</v>
      </c>
      <c r="N24" s="30" t="n">
        <v>0.75</v>
      </c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Lan Larison</t>
        </is>
      </c>
      <c r="C25" s="26" t="n">
        <v>5</v>
      </c>
      <c r="D25" s="26" t="inlineStr">
        <is>
          <t>24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0.003</v>
      </c>
      <c r="M25" s="30" t="n">
        <v>0.0183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Myles Montgomery</t>
        </is>
      </c>
      <c r="C26" s="26" t="n">
        <v>6</v>
      </c>
      <c r="D26" s="26" t="inlineStr"/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0.0031</v>
      </c>
      <c r="M26" s="30" t="n">
        <v>0.0042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A.J. Brown</t>
        </is>
      </c>
      <c r="C28" s="26" t="n">
        <v>1</v>
      </c>
      <c r="D28" s="26" t="inlineStr">
        <is>
          <t>29</t>
        </is>
      </c>
      <c r="E28" s="36" t="inlineStr">
        <is>
          <t>role avg (from PHI)</t>
        </is>
      </c>
      <c r="F28" s="28" t="n">
        <v>0.301</v>
      </c>
      <c r="G28" s="28" t="n">
        <v>0.2321</v>
      </c>
      <c r="H28" s="28" t="n">
        <v>0.2608</v>
      </c>
      <c r="I28" s="28" t="n"/>
      <c r="J28" s="29" t="n">
        <v>17</v>
      </c>
      <c r="K28" s="30" t="n"/>
      <c r="L28" s="30" t="n">
        <v>0.1802</v>
      </c>
      <c r="M28" s="30" t="n">
        <v>0.0144</v>
      </c>
      <c r="N28" s="30" t="n">
        <v>0.6627999999999999</v>
      </c>
      <c r="O28" s="31" t="n">
        <v>1.15</v>
      </c>
      <c r="P28" s="31" t="n">
        <v>1</v>
      </c>
      <c r="Q28" s="31" t="n">
        <v>1.08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Romeo Doubs</t>
        </is>
      </c>
      <c r="C29" s="26" t="n">
        <v>2</v>
      </c>
      <c r="D29" s="26" t="inlineStr">
        <is>
          <t>26</t>
        </is>
      </c>
      <c r="E29" s="36" t="inlineStr">
        <is>
          <t>role avg (from GB)</t>
        </is>
      </c>
      <c r="F29" s="28" t="n">
        <v>0.1711</v>
      </c>
      <c r="G29" s="28" t="n">
        <v>0.1552</v>
      </c>
      <c r="H29" s="28" t="n">
        <v>0.1848</v>
      </c>
      <c r="I29" s="28" t="n"/>
      <c r="J29" s="29" t="n">
        <v>17</v>
      </c>
      <c r="K29" s="30" t="n"/>
      <c r="L29" s="30" t="n">
        <v>0.1199</v>
      </c>
      <c r="M29" s="30" t="n">
        <v>0.0053</v>
      </c>
      <c r="N29" s="30" t="n">
        <v>0.6378</v>
      </c>
      <c r="O29" s="31" t="n">
        <v>0.99</v>
      </c>
      <c r="P29" s="31" t="n">
        <v>1</v>
      </c>
      <c r="Q29" s="31" t="n">
        <v>1.39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Kayshon Boutte</t>
        </is>
      </c>
      <c r="C30" s="26" t="n">
        <v>3</v>
      </c>
      <c r="D30" s="26" t="inlineStr">
        <is>
          <t>24</t>
        </is>
      </c>
      <c r="E30" s="27" t="inlineStr">
        <is>
          <t>ACT</t>
        </is>
      </c>
      <c r="F30" s="28" t="n">
        <v>0.0129</v>
      </c>
      <c r="G30" s="28" t="n">
        <v>0.136</v>
      </c>
      <c r="H30" s="28" t="n">
        <v>0.0954</v>
      </c>
      <c r="I30" s="28" t="n"/>
      <c r="J30" s="29" t="n">
        <v>17</v>
      </c>
      <c r="K30" s="30" t="n"/>
      <c r="L30" s="30" t="n">
        <v>0.0887</v>
      </c>
      <c r="M30" s="30" t="n">
        <v>0.0015</v>
      </c>
      <c r="N30" s="30" t="n">
        <v>0.6522</v>
      </c>
      <c r="O30" s="31" t="n">
        <v>1.16</v>
      </c>
      <c r="P30" s="31" t="n">
        <v>1</v>
      </c>
      <c r="Q30" s="31" t="n">
        <v>0.87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DeMario Douglas</t>
        </is>
      </c>
      <c r="C31" s="26" t="n">
        <v>4</v>
      </c>
      <c r="D31" s="26" t="inlineStr">
        <is>
          <t>25</t>
        </is>
      </c>
      <c r="E31" s="27" t="inlineStr">
        <is>
          <t>ACT</t>
        </is>
      </c>
      <c r="F31" s="28" t="n">
        <v>0.146</v>
      </c>
      <c r="G31" s="28" t="n">
        <v>0.174</v>
      </c>
      <c r="H31" s="28" t="n">
        <v>0.0954</v>
      </c>
      <c r="I31" s="28" t="n">
        <v>0.0151</v>
      </c>
      <c r="J31" s="29" t="n">
        <v>17</v>
      </c>
      <c r="K31" s="30" t="n"/>
      <c r="L31" s="30" t="n">
        <v>0.0927</v>
      </c>
      <c r="M31" s="30" t="n">
        <v>0.0037</v>
      </c>
      <c r="N31" s="30" t="n">
        <v>0.6911</v>
      </c>
      <c r="O31" s="31" t="n">
        <v>1.05</v>
      </c>
      <c r="P31" s="31" t="n">
        <v>0.98</v>
      </c>
      <c r="Q31" s="31" t="n">
        <v>1</v>
      </c>
      <c r="R31" s="31" t="n">
        <v>1.2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Mack Hollins</t>
        </is>
      </c>
      <c r="C32" s="26" t="n">
        <v>5</v>
      </c>
      <c r="D32" s="26" t="inlineStr">
        <is>
          <t>32</t>
        </is>
      </c>
      <c r="E32" s="27" t="inlineStr">
        <is>
          <t>ACT</t>
        </is>
      </c>
      <c r="F32" s="28" t="n">
        <v>0.0591</v>
      </c>
      <c r="G32" s="28" t="n">
        <v>0.101</v>
      </c>
      <c r="H32" s="28" t="n">
        <v>0.1349</v>
      </c>
      <c r="I32" s="28" t="n">
        <v>0.0022</v>
      </c>
      <c r="J32" s="29" t="n">
        <v>17</v>
      </c>
      <c r="K32" s="30" t="n"/>
      <c r="L32" s="30" t="n">
        <v>0.0709</v>
      </c>
      <c r="M32" s="30" t="n">
        <v>0.0021</v>
      </c>
      <c r="N32" s="30" t="n">
        <v>0.6598000000000001</v>
      </c>
      <c r="O32" s="31" t="n">
        <v>0.97</v>
      </c>
      <c r="P32" s="31" t="n">
        <v>0.99</v>
      </c>
      <c r="Q32" s="31" t="n">
        <v>1.03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Mitch Van Vooren</t>
        </is>
      </c>
      <c r="C33" s="26" t="n">
        <v>6</v>
      </c>
      <c r="D33" s="26" t="inlineStr"/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0.0152</v>
      </c>
      <c r="M33" s="30" t="n">
        <v>0.0019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Kyle Williams</t>
        </is>
      </c>
      <c r="C34" s="26" t="n">
        <v>7</v>
      </c>
      <c r="D34" s="26" t="inlineStr">
        <is>
          <t>23</t>
        </is>
      </c>
      <c r="E34" s="27" t="inlineStr">
        <is>
          <t>ACT</t>
        </is>
      </c>
      <c r="F34" s="28" t="n"/>
      <c r="G34" s="28" t="n"/>
      <c r="H34" s="28" t="n">
        <v>0.0436</v>
      </c>
      <c r="I34" s="28" t="n">
        <v>0.0043</v>
      </c>
      <c r="J34" s="29" t="n">
        <v>17</v>
      </c>
      <c r="K34" s="30" t="n"/>
      <c r="L34" s="30" t="n">
        <v>0.0273</v>
      </c>
      <c r="M34" s="30" t="n">
        <v>0.0024</v>
      </c>
      <c r="N34" s="30" t="n">
        <v>0.4762</v>
      </c>
      <c r="O34" s="31" t="n">
        <v>1.04</v>
      </c>
      <c r="P34" s="31" t="n">
        <v>0.9399999999999999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Efton Chism</t>
        </is>
      </c>
      <c r="C35" s="26" t="n">
        <v>8</v>
      </c>
      <c r="D35" s="26" t="inlineStr">
        <is>
          <t>24</t>
        </is>
      </c>
      <c r="E35" s="27" t="inlineStr">
        <is>
          <t>ACT</t>
        </is>
      </c>
      <c r="F35" s="28" t="n"/>
      <c r="G35" s="28" t="n"/>
      <c r="H35" s="28" t="n">
        <v>0.0062</v>
      </c>
      <c r="I35" s="28" t="n"/>
      <c r="J35" s="29" t="n">
        <v>17</v>
      </c>
      <c r="K35" s="30" t="n"/>
      <c r="L35" s="30" t="n">
        <v>0.0065</v>
      </c>
      <c r="M35" s="30" t="n">
        <v>0.0007</v>
      </c>
      <c r="N35" s="30" t="n">
        <v>1</v>
      </c>
      <c r="O35" s="31" t="n">
        <v>1.22</v>
      </c>
      <c r="P35" s="31" t="n">
        <v>1</v>
      </c>
      <c r="Q35" s="31" t="n">
        <v>1.12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Hunter Henry</t>
        </is>
      </c>
      <c r="C37" s="26" t="n">
        <v>1</v>
      </c>
      <c r="D37" s="26" t="inlineStr">
        <is>
          <t>31</t>
        </is>
      </c>
      <c r="E37" s="27" t="inlineStr">
        <is>
          <t>ACT</t>
        </is>
      </c>
      <c r="F37" s="28" t="n">
        <v>0.1128</v>
      </c>
      <c r="G37" s="28" t="n">
        <v>0.194</v>
      </c>
      <c r="H37" s="28" t="n">
        <v>0.1805</v>
      </c>
      <c r="I37" s="28" t="n"/>
      <c r="J37" s="29" t="n">
        <v>17</v>
      </c>
      <c r="K37" s="30" t="n"/>
      <c r="L37" s="30" t="n">
        <v>0.1485</v>
      </c>
      <c r="M37" s="30" t="n">
        <v>0.0009</v>
      </c>
      <c r="N37" s="30" t="n">
        <v>0.6867</v>
      </c>
      <c r="O37" s="31" t="n">
        <v>1</v>
      </c>
      <c r="P37" s="31" t="n">
        <v>1</v>
      </c>
      <c r="Q37" s="31" t="n">
        <v>1.53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Eli Raridon</t>
        </is>
      </c>
      <c r="C38" s="26" t="n">
        <v>2</v>
      </c>
      <c r="D38" s="26" t="inlineStr">
        <is>
          <t>22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0.0594</v>
      </c>
      <c r="M38" s="30" t="n">
        <v>0.0021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CJ Dippre</t>
        </is>
      </c>
      <c r="C39" s="26" t="n">
        <v>3</v>
      </c>
      <c r="D39" s="26" t="inlineStr">
        <is>
          <t>24</t>
        </is>
      </c>
      <c r="E39" s="36" t="inlineStr">
        <is>
          <t>role avg (rookie)</t>
        </is>
      </c>
      <c r="F39" s="28" t="n"/>
      <c r="G39" s="28" t="n"/>
      <c r="H39" s="28" t="n"/>
      <c r="I39" s="28" t="n"/>
      <c r="J39" s="29" t="n">
        <v>17</v>
      </c>
      <c r="K39" s="30" t="n"/>
      <c r="L39" s="30" t="n">
        <v>0.0158</v>
      </c>
      <c r="M39" s="30" t="n">
        <v>0.0021</v>
      </c>
      <c r="N39" s="30" t="n">
        <v>0.65</v>
      </c>
      <c r="O39" s="31" t="n">
        <v>1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Tanner Arkin</t>
        </is>
      </c>
      <c r="C40" s="26" t="n">
        <v>4</v>
      </c>
      <c r="D40" s="26" t="inlineStr">
        <is>
          <t>23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0.0062</v>
      </c>
      <c r="M40" s="30" t="n">
        <v>0.0021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NO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62.6</v>
      </c>
      <c r="D5" s="12">
        <f>C5*B5</f>
        <v/>
      </c>
      <c r="E5" s="13" t="n">
        <v>0.5778</v>
      </c>
      <c r="F5" s="10" t="n">
        <v>573</v>
      </c>
      <c r="G5" s="12">
        <f>ROUND(F5*Settings!$B$4,0)</f>
        <v/>
      </c>
      <c r="H5" s="10" t="n">
        <v>449</v>
      </c>
      <c r="I5" s="10" t="n">
        <v>3953</v>
      </c>
      <c r="J5" s="11" t="n">
        <v>23</v>
      </c>
      <c r="K5" s="11" t="n">
        <v>12</v>
      </c>
      <c r="L5" s="10" t="n">
        <v>1811</v>
      </c>
      <c r="M5" s="11" t="n">
        <v>13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1121</v>
      </c>
      <c r="D8" s="16" t="n">
        <v>65.94119999999999</v>
      </c>
      <c r="E8" s="17" t="n">
        <v>0.5718</v>
      </c>
      <c r="F8" s="15" t="n">
        <v>606</v>
      </c>
      <c r="G8" s="15" t="n">
        <v>480</v>
      </c>
      <c r="H8" s="15" t="n">
        <v>4225</v>
      </c>
      <c r="I8" s="15" t="n">
        <v>1742</v>
      </c>
      <c r="J8" s="15" t="n">
        <v>28</v>
      </c>
      <c r="K8" s="15" t="n">
        <v>13</v>
      </c>
      <c r="L8" s="16" t="n">
        <v>6.9719</v>
      </c>
      <c r="M8" s="16" t="n">
        <v>3.6292</v>
      </c>
    </row>
    <row r="9">
      <c r="B9" s="15" t="n">
        <v>2024</v>
      </c>
      <c r="C9" s="15" t="n">
        <v>1032</v>
      </c>
      <c r="D9" s="16" t="n">
        <v>60.7059</v>
      </c>
      <c r="E9" s="17" t="n">
        <v>0.5698</v>
      </c>
      <c r="F9" s="15" t="n">
        <v>551</v>
      </c>
      <c r="G9" s="15" t="n">
        <v>444</v>
      </c>
      <c r="H9" s="15" t="n">
        <v>3730</v>
      </c>
      <c r="I9" s="15" t="n">
        <v>1954</v>
      </c>
      <c r="J9" s="15" t="n">
        <v>21</v>
      </c>
      <c r="K9" s="15" t="n">
        <v>15</v>
      </c>
      <c r="L9" s="16" t="n">
        <v>6.7695</v>
      </c>
      <c r="M9" s="16" t="n">
        <v>4.4009</v>
      </c>
    </row>
    <row r="10">
      <c r="B10" s="15" t="n">
        <v>2025</v>
      </c>
      <c r="C10" s="15" t="n">
        <v>1075</v>
      </c>
      <c r="D10" s="16" t="n">
        <v>63.2353</v>
      </c>
      <c r="E10" s="17" t="n">
        <v>0.5953000000000001</v>
      </c>
      <c r="F10" s="15" t="n">
        <v>591</v>
      </c>
      <c r="G10" s="15" t="n">
        <v>435</v>
      </c>
      <c r="H10" s="15" t="n">
        <v>4027</v>
      </c>
      <c r="I10" s="15" t="n">
        <v>1603</v>
      </c>
      <c r="J10" s="15" t="n">
        <v>19</v>
      </c>
      <c r="K10" s="15" t="n">
        <v>9</v>
      </c>
      <c r="L10" s="16" t="n">
        <v>6.8139</v>
      </c>
      <c r="M10" s="16" t="n">
        <v>3.6851</v>
      </c>
    </row>
    <row r="11"/>
    <row r="12">
      <c r="A12" s="18" t="inlineStr">
        <is>
          <t>OUT</t>
        </is>
      </c>
      <c r="B12" s="19" t="inlineStr">
        <is>
          <t>13% of targets and 17% of carries left. Share is team-relative - it does NOT follow the player.</t>
        </is>
      </c>
      <c r="H12" s="8" t="inlineStr">
        <is>
          <t>Taysom Hill (3t/12r -&gt; NOT ON ANY ROSTER), Evan Hull (0t/4r -&gt; ARI), Brandin Cooks (4t/0r -&gt; NOT ON ANY ROSTER), Jack Stoll (2t/0r -&gt; CLE), Dante Pettis (2t/0r -&gt; BUF)</t>
        </is>
      </c>
    </row>
    <row r="13">
      <c r="A13" s="20" t="inlineStr">
        <is>
          <t>IN</t>
        </is>
      </c>
      <c r="B13" s="21" t="inlineStr">
        <is>
          <t>4 new: Travis Etienne (RB, from JAC - had 10% there), Noah Fant (TE, from CIN - had 7% there), Ty Chandler (RB, from MIN - had 1% there), Zach Wilson (QB, from MIA)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Tyler Shough</t>
        </is>
      </c>
      <c r="C17" s="26" t="n">
        <v>1</v>
      </c>
      <c r="D17" s="26" t="inlineStr">
        <is>
          <t>26</t>
        </is>
      </c>
      <c r="E17" s="27" t="inlineStr">
        <is>
          <t>ACT</t>
        </is>
      </c>
      <c r="F17" s="28" t="n"/>
      <c r="G17" s="28" t="n"/>
      <c r="H17" s="28" t="n"/>
      <c r="I17" s="28" t="n">
        <v>0.089</v>
      </c>
      <c r="J17" s="29" t="n">
        <v>17</v>
      </c>
      <c r="K17" s="30" t="n">
        <v>0.92</v>
      </c>
      <c r="L17" s="30" t="n">
        <v>0.001</v>
      </c>
      <c r="M17" s="30" t="n">
        <v>0.0708</v>
      </c>
      <c r="N17" s="30" t="n"/>
      <c r="O17" s="31" t="n">
        <v>1</v>
      </c>
      <c r="P17" s="31" t="n">
        <v>1.2</v>
      </c>
      <c r="Q17" s="31" t="n">
        <v>1</v>
      </c>
      <c r="R17" s="31" t="n">
        <v>2.02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Spencer Rattler</t>
        </is>
      </c>
      <c r="C18" s="26" t="n">
        <v>2</v>
      </c>
      <c r="D18" s="26" t="inlineStr">
        <is>
          <t>25</t>
        </is>
      </c>
      <c r="E18" s="27" t="inlineStr">
        <is>
          <t>ACT</t>
        </is>
      </c>
      <c r="F18" s="28" t="n"/>
      <c r="G18" s="28" t="n"/>
      <c r="H18" s="28" t="n">
        <v>0.0035</v>
      </c>
      <c r="I18" s="28" t="n">
        <v>0.0703</v>
      </c>
      <c r="J18" s="29" t="n">
        <v>17</v>
      </c>
      <c r="K18" s="30" t="n">
        <v>0.068</v>
      </c>
      <c r="L18" s="30" t="n">
        <v>0.0028</v>
      </c>
      <c r="M18" s="30" t="n">
        <v>0.0434</v>
      </c>
      <c r="N18" s="30" t="n"/>
      <c r="O18" s="31" t="n">
        <v>1</v>
      </c>
      <c r="P18" s="31" t="n">
        <v>1.35</v>
      </c>
      <c r="Q18" s="31" t="n">
        <v>1.78</v>
      </c>
      <c r="R18" s="31" t="n">
        <v>1.11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Zach Wilson</t>
        </is>
      </c>
      <c r="C19" s="26" t="n">
        <v>3</v>
      </c>
      <c r="D19" s="26" t="inlineStr">
        <is>
          <t>27</t>
        </is>
      </c>
      <c r="E19" s="36" t="inlineStr">
        <is>
          <t>role avg (from MIA)</t>
        </is>
      </c>
      <c r="F19" s="28" t="n"/>
      <c r="G19" s="28" t="n"/>
      <c r="H19" s="28" t="n"/>
      <c r="I19" s="28" t="n">
        <v>0.0024</v>
      </c>
      <c r="J19" s="29" t="n">
        <v>17</v>
      </c>
      <c r="K19" s="30" t="n">
        <v>0.012</v>
      </c>
      <c r="L19" s="30" t="n">
        <v>0.0018</v>
      </c>
      <c r="M19" s="30" t="n">
        <v>0.009299999999999999</v>
      </c>
      <c r="N19" s="30" t="n"/>
      <c r="O19" s="31" t="n">
        <v>1</v>
      </c>
      <c r="P19" s="31" t="n">
        <v>0.98</v>
      </c>
      <c r="Q19" s="31" t="n">
        <v>1</v>
      </c>
      <c r="R19" s="31" t="n">
        <v>1.81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Travis Etienne</t>
        </is>
      </c>
      <c r="C21" s="26" t="n">
        <v>1</v>
      </c>
      <c r="D21" s="26" t="inlineStr">
        <is>
          <t>27</t>
        </is>
      </c>
      <c r="E21" s="36" t="inlineStr">
        <is>
          <t>role avg (from JAC)</t>
        </is>
      </c>
      <c r="F21" s="28" t="n">
        <v>0.1203</v>
      </c>
      <c r="G21" s="28" t="n">
        <v>0.09959999999999999</v>
      </c>
      <c r="H21" s="28" t="n">
        <v>0.0951</v>
      </c>
      <c r="I21" s="28" t="n">
        <v>0.5544</v>
      </c>
      <c r="J21" s="29" t="n">
        <v>17</v>
      </c>
      <c r="K21" s="30" t="n"/>
      <c r="L21" s="30" t="n">
        <v>0.1076</v>
      </c>
      <c r="M21" s="30" t="n">
        <v>0.3951</v>
      </c>
      <c r="N21" s="30" t="n">
        <v>0.7292999999999999</v>
      </c>
      <c r="O21" s="31" t="n">
        <v>0.83</v>
      </c>
      <c r="P21" s="31" t="n">
        <v>0.98</v>
      </c>
      <c r="Q21" s="31" t="n">
        <v>0.91</v>
      </c>
      <c r="R21" s="31" t="n">
        <v>0.99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Alvin Kamara</t>
        </is>
      </c>
      <c r="C22" s="26" t="n">
        <v>2</v>
      </c>
      <c r="D22" s="26" t="inlineStr">
        <is>
          <t>31</t>
        </is>
      </c>
      <c r="E22" s="27" t="inlineStr">
        <is>
          <t>ACT</t>
        </is>
      </c>
      <c r="F22" s="28" t="n">
        <v>0.1485</v>
      </c>
      <c r="G22" s="28" t="n">
        <v>0.1721</v>
      </c>
      <c r="H22" s="28" t="n">
        <v>0.06900000000000001</v>
      </c>
      <c r="I22" s="28" t="n">
        <v>0.3068</v>
      </c>
      <c r="J22" s="29" t="n">
        <v>17</v>
      </c>
      <c r="K22" s="30" t="n"/>
      <c r="L22" s="30" t="n">
        <v>0.0838</v>
      </c>
      <c r="M22" s="30" t="n">
        <v>0.2324</v>
      </c>
      <c r="N22" s="30" t="n">
        <v>0.8236</v>
      </c>
      <c r="O22" s="31" t="n">
        <v>0.8</v>
      </c>
      <c r="P22" s="31" t="n">
        <v>0.96</v>
      </c>
      <c r="Q22" s="31" t="n">
        <v>1.16</v>
      </c>
      <c r="R22" s="31" t="n">
        <v>1.26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Kendre Miller</t>
        </is>
      </c>
      <c r="C23" s="26" t="n">
        <v>3</v>
      </c>
      <c r="D23" s="26" t="inlineStr">
        <is>
          <t>24</t>
        </is>
      </c>
      <c r="E23" s="27" t="inlineStr">
        <is>
          <t>ACT</t>
        </is>
      </c>
      <c r="F23" s="28" t="n">
        <v>0.019</v>
      </c>
      <c r="G23" s="28" t="n">
        <v>0.0155</v>
      </c>
      <c r="H23" s="28" t="n">
        <v>0.008800000000000001</v>
      </c>
      <c r="I23" s="28" t="n">
        <v>0.1101</v>
      </c>
      <c r="J23" s="29" t="n">
        <v>17</v>
      </c>
      <c r="K23" s="30" t="n"/>
      <c r="L23" s="30" t="n">
        <v>0.0148</v>
      </c>
      <c r="M23" s="30" t="n">
        <v>0.081</v>
      </c>
      <c r="N23" s="30" t="n">
        <v>0.8811</v>
      </c>
      <c r="O23" s="31" t="n">
        <v>0.98</v>
      </c>
      <c r="P23" s="31" t="n">
        <v>1</v>
      </c>
      <c r="Q23" s="31" t="n">
        <v>1</v>
      </c>
      <c r="R23" s="31" t="n">
        <v>0.89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Ty Chandler</t>
        </is>
      </c>
      <c r="C24" s="26" t="n">
        <v>4</v>
      </c>
      <c r="D24" s="26" t="inlineStr">
        <is>
          <t>28</t>
        </is>
      </c>
      <c r="E24" s="36" t="inlineStr">
        <is>
          <t>role avg (from MIN)</t>
        </is>
      </c>
      <c r="F24" s="28" t="n">
        <v>0.0413</v>
      </c>
      <c r="G24" s="28" t="n">
        <v>0.0116</v>
      </c>
      <c r="H24" s="28" t="n">
        <v>0.008500000000000001</v>
      </c>
      <c r="I24" s="28" t="n">
        <v>0.0429</v>
      </c>
      <c r="J24" s="29" t="n">
        <v>17</v>
      </c>
      <c r="K24" s="30" t="n"/>
      <c r="L24" s="30" t="n">
        <v>0.0091</v>
      </c>
      <c r="M24" s="30" t="n">
        <v>0.0385</v>
      </c>
      <c r="N24" s="30" t="n">
        <v>0.9081</v>
      </c>
      <c r="O24" s="31" t="n">
        <v>0.91</v>
      </c>
      <c r="P24" s="31" t="n">
        <v>0.89</v>
      </c>
      <c r="Q24" s="31" t="n">
        <v>1.26</v>
      </c>
      <c r="R24" s="31" t="n">
        <v>1.53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Audric Estime</t>
        </is>
      </c>
      <c r="C25" s="26" t="n">
        <v>5</v>
      </c>
      <c r="D25" s="26" t="inlineStr">
        <is>
          <t>22</t>
        </is>
      </c>
      <c r="E25" s="27" t="inlineStr">
        <is>
          <t>ACT</t>
        </is>
      </c>
      <c r="F25" s="28" t="n"/>
      <c r="G25" s="28" t="n">
        <v>0.0091</v>
      </c>
      <c r="H25" s="28" t="n">
        <v>0.023</v>
      </c>
      <c r="I25" s="28" t="n">
        <v>0.1077</v>
      </c>
      <c r="J25" s="29" t="n">
        <v>17</v>
      </c>
      <c r="K25" s="30" t="n"/>
      <c r="L25" s="30" t="n">
        <v>0.0109</v>
      </c>
      <c r="M25" s="30" t="n">
        <v>0.0566</v>
      </c>
      <c r="N25" s="30" t="n">
        <v>0.9636</v>
      </c>
      <c r="O25" s="31" t="n">
        <v>0.98</v>
      </c>
      <c r="P25" s="31" t="n">
        <v>1.03</v>
      </c>
      <c r="Q25" s="31" t="n">
        <v>1</v>
      </c>
      <c r="R25" s="31" t="n">
        <v>1.41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Devin Neal</t>
        </is>
      </c>
      <c r="C26" s="26" t="n">
        <v>6</v>
      </c>
      <c r="D26" s="26" t="inlineStr">
        <is>
          <t>22</t>
        </is>
      </c>
      <c r="E26" s="27" t="inlineStr">
        <is>
          <t>ACT</t>
        </is>
      </c>
      <c r="F26" s="28" t="n"/>
      <c r="G26" s="28" t="n"/>
      <c r="H26" s="28" t="n">
        <v>0.0336</v>
      </c>
      <c r="I26" s="28" t="n">
        <v>0.1335</v>
      </c>
      <c r="J26" s="29" t="n">
        <v>17</v>
      </c>
      <c r="K26" s="30" t="n"/>
      <c r="L26" s="30" t="n">
        <v>0.0209</v>
      </c>
      <c r="M26" s="30" t="n">
        <v>0.0207</v>
      </c>
      <c r="N26" s="30" t="n">
        <v>0.8947000000000001</v>
      </c>
      <c r="O26" s="31" t="n">
        <v>0.89</v>
      </c>
      <c r="P26" s="31" t="n">
        <v>0.97</v>
      </c>
      <c r="Q26" s="31" t="n">
        <v>1.01</v>
      </c>
      <c r="R26" s="31" t="n">
        <v>1.96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Chris Olave</t>
        </is>
      </c>
      <c r="C28" s="26" t="n">
        <v>1</v>
      </c>
      <c r="D28" s="26" t="inlineStr">
        <is>
          <t>26</t>
        </is>
      </c>
      <c r="E28" s="27" t="inlineStr">
        <is>
          <t>ACT</t>
        </is>
      </c>
      <c r="F28" s="28" t="n">
        <v>0.2383</v>
      </c>
      <c r="G28" s="28" t="n">
        <v>0.0851</v>
      </c>
      <c r="H28" s="28" t="n">
        <v>0.2761</v>
      </c>
      <c r="I28" s="28" t="n">
        <v>0.0023</v>
      </c>
      <c r="J28" s="29" t="n">
        <v>17</v>
      </c>
      <c r="K28" s="30" t="n"/>
      <c r="L28" s="30" t="n">
        <v>0.2137</v>
      </c>
      <c r="M28" s="30" t="n">
        <v>0.008800000000000001</v>
      </c>
      <c r="N28" s="30" t="n">
        <v>0.6538</v>
      </c>
      <c r="O28" s="31" t="n">
        <v>1.09</v>
      </c>
      <c r="P28" s="31" t="n">
        <v>1</v>
      </c>
      <c r="Q28" s="31" t="n">
        <v>1.04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Jordyn Tyson</t>
        </is>
      </c>
      <c r="C29" s="26" t="n">
        <v>2</v>
      </c>
      <c r="D29" s="26" t="inlineStr">
        <is>
          <t>21</t>
        </is>
      </c>
      <c r="E29" s="36" t="inlineStr">
        <is>
          <t>role avg (rookie)</t>
        </is>
      </c>
      <c r="F29" s="28" t="n"/>
      <c r="G29" s="28" t="n"/>
      <c r="H29" s="28" t="n"/>
      <c r="I29" s="28" t="n"/>
      <c r="J29" s="29" t="n">
        <v>17</v>
      </c>
      <c r="K29" s="30" t="n"/>
      <c r="L29" s="30" t="n">
        <v>0.112</v>
      </c>
      <c r="M29" s="30" t="n">
        <v>0.0053</v>
      </c>
      <c r="N29" s="30" t="n">
        <v>0.65</v>
      </c>
      <c r="O29" s="31" t="n">
        <v>1</v>
      </c>
      <c r="P29" s="31" t="n">
        <v>1</v>
      </c>
      <c r="Q29" s="31" t="n">
        <v>1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Bub Means</t>
        </is>
      </c>
      <c r="C30" s="26" t="n">
        <v>3</v>
      </c>
      <c r="D30" s="26" t="inlineStr">
        <is>
          <t>25</t>
        </is>
      </c>
      <c r="E30" s="27" t="inlineStr">
        <is>
          <t>ACT</t>
        </is>
      </c>
      <c r="F30" s="28" t="n"/>
      <c r="G30" s="28" t="n">
        <v>0.029</v>
      </c>
      <c r="H30" s="28" t="n"/>
      <c r="I30" s="28" t="n"/>
      <c r="J30" s="29" t="n">
        <v>17</v>
      </c>
      <c r="K30" s="30" t="n"/>
      <c r="L30" s="30" t="n">
        <v>0.0484</v>
      </c>
      <c r="M30" s="30" t="n">
        <v>0.001</v>
      </c>
      <c r="N30" s="30" t="n">
        <v>0.6</v>
      </c>
      <c r="O30" s="31" t="n">
        <v>1.04</v>
      </c>
      <c r="P30" s="31" t="n">
        <v>1</v>
      </c>
      <c r="Q30" s="31" t="n">
        <v>0.9399999999999999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Devaughn Vele</t>
        </is>
      </c>
      <c r="C31" s="26" t="n">
        <v>4</v>
      </c>
      <c r="D31" s="26" t="inlineStr">
        <is>
          <t>28</t>
        </is>
      </c>
      <c r="E31" s="27" t="inlineStr">
        <is>
          <t>ACT</t>
        </is>
      </c>
      <c r="F31" s="28" t="n"/>
      <c r="G31" s="28" t="n">
        <v>0.1002</v>
      </c>
      <c r="H31" s="28" t="n">
        <v>0.06900000000000001</v>
      </c>
      <c r="I31" s="28" t="n"/>
      <c r="J31" s="29" t="n">
        <v>17</v>
      </c>
      <c r="K31" s="30" t="n"/>
      <c r="L31" s="30" t="n">
        <v>0.06320000000000001</v>
      </c>
      <c r="M31" s="30" t="n">
        <v>0.0008</v>
      </c>
      <c r="N31" s="30" t="n">
        <v>0.6802</v>
      </c>
      <c r="O31" s="31" t="n">
        <v>1.09</v>
      </c>
      <c r="P31" s="31" t="n">
        <v>1</v>
      </c>
      <c r="Q31" s="31" t="n">
        <v>1.18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Bryce Lance</t>
        </is>
      </c>
      <c r="C32" s="26" t="n">
        <v>5</v>
      </c>
      <c r="D32" s="26" t="inlineStr">
        <is>
          <t>23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0.0285</v>
      </c>
      <c r="M32" s="30" t="n">
        <v>0.002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Kevin Austin</t>
        </is>
      </c>
      <c r="C33" s="26" t="n">
        <v>6</v>
      </c>
      <c r="D33" s="26" t="inlineStr">
        <is>
          <t>26</t>
        </is>
      </c>
      <c r="E33" s="27" t="inlineStr">
        <is>
          <t>ACT</t>
        </is>
      </c>
      <c r="F33" s="28" t="n"/>
      <c r="G33" s="28" t="n">
        <v>0.0426</v>
      </c>
      <c r="H33" s="28" t="n">
        <v>0.0407</v>
      </c>
      <c r="I33" s="28" t="n"/>
      <c r="J33" s="29" t="n">
        <v>17</v>
      </c>
      <c r="K33" s="30" t="n"/>
      <c r="L33" s="30" t="n">
        <v>0.0313</v>
      </c>
      <c r="M33" s="30" t="n">
        <v>0.0019</v>
      </c>
      <c r="N33" s="30" t="n">
        <v>0.5407999999999999</v>
      </c>
      <c r="O33" s="31" t="n">
        <v>0.9399999999999999</v>
      </c>
      <c r="P33" s="31" t="n">
        <v>1.05</v>
      </c>
      <c r="Q33" s="31" t="n">
        <v>1.08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Mason Tipton</t>
        </is>
      </c>
      <c r="C34" s="26" t="n">
        <v>7</v>
      </c>
      <c r="D34" s="26" t="inlineStr">
        <is>
          <t>25</t>
        </is>
      </c>
      <c r="E34" s="41" t="inlineStr">
        <is>
          <t>PUP</t>
        </is>
      </c>
      <c r="F34" s="28" t="n"/>
      <c r="G34" s="28" t="n">
        <v>0.0503</v>
      </c>
      <c r="H34" s="28" t="n">
        <v>0.0301</v>
      </c>
      <c r="I34" s="28" t="n">
        <v>0.0094</v>
      </c>
      <c r="J34" s="29" t="n">
        <v>17</v>
      </c>
      <c r="K34" s="30" t="n"/>
      <c r="L34" s="30" t="n">
        <v>0.0268</v>
      </c>
      <c r="M34" s="30" t="n">
        <v>0.0029</v>
      </c>
      <c r="N34" s="30" t="n">
        <v>0.6123</v>
      </c>
      <c r="O34" s="31" t="n">
        <v>0.8</v>
      </c>
      <c r="P34" s="31" t="n">
        <v>1.03</v>
      </c>
      <c r="Q34" s="31" t="n">
        <v>0.98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Barion Brown</t>
        </is>
      </c>
      <c r="C35" s="26" t="n">
        <v>8</v>
      </c>
      <c r="D35" s="26" t="inlineStr">
        <is>
          <t>22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0.0105</v>
      </c>
      <c r="M35" s="30" t="n">
        <v>0.0018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Juwan Johnson</t>
        </is>
      </c>
      <c r="C37" s="26" t="n">
        <v>1</v>
      </c>
      <c r="D37" s="26" t="inlineStr">
        <is>
          <t>29</t>
        </is>
      </c>
      <c r="E37" s="27" t="inlineStr">
        <is>
          <t>ACT</t>
        </is>
      </c>
      <c r="F37" s="28" t="n">
        <v>0.1019</v>
      </c>
      <c r="G37" s="28" t="n">
        <v>0.1277</v>
      </c>
      <c r="H37" s="28" t="n">
        <v>0.1805</v>
      </c>
      <c r="I37" s="28" t="n"/>
      <c r="J37" s="29" t="n">
        <v>17</v>
      </c>
      <c r="K37" s="30" t="n"/>
      <c r="L37" s="30" t="n">
        <v>0.1402</v>
      </c>
      <c r="M37" s="30" t="n">
        <v>0.0229</v>
      </c>
      <c r="N37" s="30" t="n">
        <v>0.7352</v>
      </c>
      <c r="O37" s="31" t="n">
        <v>1.11</v>
      </c>
      <c r="P37" s="31" t="n">
        <v>1</v>
      </c>
      <c r="Q37" s="31" t="n">
        <v>1.05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Noah Fant</t>
        </is>
      </c>
      <c r="C38" s="26" t="n">
        <v>2</v>
      </c>
      <c r="D38" s="26" t="inlineStr">
        <is>
          <t>28</t>
        </is>
      </c>
      <c r="E38" s="36" t="inlineStr">
        <is>
          <t>role avg (from CIN)</t>
        </is>
      </c>
      <c r="F38" s="28" t="n">
        <v>0.0786</v>
      </c>
      <c r="G38" s="28" t="n">
        <v>0.1125</v>
      </c>
      <c r="H38" s="28" t="n">
        <v>0.0674</v>
      </c>
      <c r="I38" s="28" t="n"/>
      <c r="J38" s="29" t="n">
        <v>17</v>
      </c>
      <c r="K38" s="30" t="n"/>
      <c r="L38" s="30" t="n">
        <v>0.0512</v>
      </c>
      <c r="M38" s="30" t="n">
        <v>0.002</v>
      </c>
      <c r="N38" s="30" t="n">
        <v>0.7881</v>
      </c>
      <c r="O38" s="31" t="n">
        <v>1.05</v>
      </c>
      <c r="P38" s="31" t="n">
        <v>1</v>
      </c>
      <c r="Q38" s="31" t="n">
        <v>1.03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Zaire Mitchell-Paden</t>
        </is>
      </c>
      <c r="C39" s="26" t="n">
        <v>3</v>
      </c>
      <c r="D39" s="26" t="inlineStr">
        <is>
          <t>26</t>
        </is>
      </c>
      <c r="E39" s="27" t="inlineStr">
        <is>
          <t>ACT</t>
        </is>
      </c>
      <c r="F39" s="28" t="n"/>
      <c r="G39" s="28" t="n"/>
      <c r="H39" s="28" t="n">
        <v>0.0018</v>
      </c>
      <c r="I39" s="28" t="n"/>
      <c r="J39" s="29" t="n">
        <v>17</v>
      </c>
      <c r="K39" s="30" t="n"/>
      <c r="L39" s="30" t="n">
        <v>0.0122</v>
      </c>
      <c r="M39" s="30" t="n">
        <v>0.0008</v>
      </c>
      <c r="N39" s="30" t="n">
        <v>1</v>
      </c>
      <c r="O39" s="31" t="n">
        <v>1.05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Oscar Delp</t>
        </is>
      </c>
      <c r="C40" s="26" t="n">
        <v>4</v>
      </c>
      <c r="D40" s="26" t="inlineStr">
        <is>
          <t>23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0.0092</v>
      </c>
      <c r="M40" s="30" t="n">
        <v>0.002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NYG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62.6</v>
      </c>
      <c r="D5" s="12">
        <f>C5*B5</f>
        <v/>
      </c>
      <c r="E5" s="13" t="n">
        <v>0.5609</v>
      </c>
      <c r="F5" s="10" t="n">
        <v>546</v>
      </c>
      <c r="G5" s="12">
        <f>ROUND(F5*Settings!$B$4,0)</f>
        <v/>
      </c>
      <c r="H5" s="10" t="n">
        <v>468</v>
      </c>
      <c r="I5" s="10" t="n">
        <v>3682</v>
      </c>
      <c r="J5" s="11" t="n">
        <v>20</v>
      </c>
      <c r="K5" s="11" t="n">
        <v>12</v>
      </c>
      <c r="L5" s="10" t="n">
        <v>1995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1057</v>
      </c>
      <c r="D8" s="16" t="n">
        <v>62.1765</v>
      </c>
      <c r="E8" s="17" t="n">
        <v>0.5705</v>
      </c>
      <c r="F8" s="15" t="n">
        <v>518</v>
      </c>
      <c r="G8" s="15" t="n">
        <v>454</v>
      </c>
      <c r="H8" s="15" t="n">
        <v>3351</v>
      </c>
      <c r="I8" s="15" t="n">
        <v>1874</v>
      </c>
      <c r="J8" s="15" t="n">
        <v>15</v>
      </c>
      <c r="K8" s="15" t="n">
        <v>10</v>
      </c>
      <c r="L8" s="16" t="n">
        <v>6.4691</v>
      </c>
      <c r="M8" s="16" t="n">
        <v>4.1278</v>
      </c>
    </row>
    <row r="9">
      <c r="B9" s="15" t="n">
        <v>2024</v>
      </c>
      <c r="C9" s="15" t="n">
        <v>1063</v>
      </c>
      <c r="D9" s="16" t="n">
        <v>62.5294</v>
      </c>
      <c r="E9" s="17" t="n">
        <v>0.6011</v>
      </c>
      <c r="F9" s="15" t="n">
        <v>591</v>
      </c>
      <c r="G9" s="15" t="n">
        <v>424</v>
      </c>
      <c r="H9" s="15" t="n">
        <v>3521</v>
      </c>
      <c r="I9" s="15" t="n">
        <v>1783</v>
      </c>
      <c r="J9" s="15" t="n">
        <v>15</v>
      </c>
      <c r="K9" s="15" t="n">
        <v>13</v>
      </c>
      <c r="L9" s="16" t="n">
        <v>5.9577</v>
      </c>
      <c r="M9" s="16" t="n">
        <v>4.2052</v>
      </c>
    </row>
    <row r="10">
      <c r="B10" s="15" t="n">
        <v>2025</v>
      </c>
      <c r="C10" s="15" t="n">
        <v>1085</v>
      </c>
      <c r="D10" s="16" t="n">
        <v>63.8235</v>
      </c>
      <c r="E10" s="17" t="n">
        <v>0.529</v>
      </c>
      <c r="F10" s="15" t="n">
        <v>526</v>
      </c>
      <c r="G10" s="15" t="n">
        <v>511</v>
      </c>
      <c r="H10" s="15" t="n">
        <v>3703</v>
      </c>
      <c r="I10" s="15" t="n">
        <v>2195</v>
      </c>
      <c r="J10" s="15" t="n">
        <v>21</v>
      </c>
      <c r="K10" s="15" t="n">
        <v>22</v>
      </c>
      <c r="L10" s="16" t="n">
        <v>7.0399</v>
      </c>
      <c r="M10" s="16" t="n">
        <v>4.2955</v>
      </c>
    </row>
    <row r="11"/>
    <row r="12">
      <c r="A12" s="18" t="inlineStr">
        <is>
          <t>OUT</t>
        </is>
      </c>
      <c r="B12" s="19" t="inlineStr">
        <is>
          <t>38% of targets and 4% of carries left. Share is team-relative - it does NOT follow the player.</t>
        </is>
      </c>
      <c r="H12" s="8" t="inlineStr">
        <is>
          <t>Wan'Dale Robinson (28t/1r -&gt; TEN), Daniel Bellinger (5t/0r -&gt; TEN), Russell Wilson (0t/4r -&gt; NOT ON ANY ROSTER), Gunner Olszewski (3t/0r -&gt; NOT ON ANY ROSTER), Lil'Jordan Humphrey (2t/0r -&gt; DEN)</t>
        </is>
      </c>
    </row>
    <row r="13">
      <c r="A13" s="20" t="inlineStr">
        <is>
          <t>IN</t>
        </is>
      </c>
      <c r="B13" s="21" t="inlineStr">
        <is>
          <t>10 new: Darnell Mooney (WR, from ATL - had 14% there), Calvin Austin (WR, from PIT - had 11% there), Isaiah Likely (TE, from BAL - had 9% there), JuJu Smith-Schuster (WR, from KC - had 8% there), Tanner Conner (TE, from MIA - had 3% there)</t>
        </is>
      </c>
    </row>
    <row r="14">
      <c r="A14" s="7" t="inlineStr">
        <is>
          <t>STAFF</t>
        </is>
      </c>
      <c r="B14" s="22" t="inlineStr">
        <is>
          <t>NEW HC John Harbaugh + OC Matt Nagy. More run emphasis expected; Nagy's historical results underwhelming.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Jaxson Dart</t>
        </is>
      </c>
      <c r="C17" s="26" t="n">
        <v>1</v>
      </c>
      <c r="D17" s="26" t="inlineStr">
        <is>
          <t>23</t>
        </is>
      </c>
      <c r="E17" s="27" t="inlineStr">
        <is>
          <t>ACT</t>
        </is>
      </c>
      <c r="F17" s="28" t="n"/>
      <c r="G17" s="28" t="n"/>
      <c r="H17" s="28" t="n"/>
      <c r="I17" s="28" t="n">
        <v>0.1574</v>
      </c>
      <c r="J17" s="29" t="n">
        <v>17</v>
      </c>
      <c r="K17" s="30" t="n">
        <v>0.92</v>
      </c>
      <c r="L17" s="30" t="n">
        <v>0.0007</v>
      </c>
      <c r="M17" s="30" t="n">
        <v>0.1189</v>
      </c>
      <c r="N17" s="30" t="n"/>
      <c r="O17" s="31" t="n">
        <v>1</v>
      </c>
      <c r="P17" s="31" t="n">
        <v>1.33</v>
      </c>
      <c r="Q17" s="31" t="n">
        <v>1</v>
      </c>
      <c r="R17" s="31" t="n">
        <v>1.42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Jameis Winston</t>
        </is>
      </c>
      <c r="C18" s="26" t="n">
        <v>2</v>
      </c>
      <c r="D18" s="26" t="inlineStr">
        <is>
          <t>32</t>
        </is>
      </c>
      <c r="E18" s="27" t="inlineStr">
        <is>
          <t>ACT</t>
        </is>
      </c>
      <c r="F18" s="28" t="n"/>
      <c r="G18" s="28" t="n"/>
      <c r="H18" s="28" t="n">
        <v>0.002</v>
      </c>
      <c r="I18" s="28" t="n">
        <v>0.01</v>
      </c>
      <c r="J18" s="29" t="n">
        <v>17</v>
      </c>
      <c r="K18" s="30" t="n">
        <v>0.068</v>
      </c>
      <c r="L18" s="30" t="n">
        <v>0.0017</v>
      </c>
      <c r="M18" s="30" t="n">
        <v>0.0331</v>
      </c>
      <c r="N18" s="30" t="n"/>
      <c r="O18" s="31" t="n">
        <v>1.17</v>
      </c>
      <c r="P18" s="31" t="n">
        <v>0.95</v>
      </c>
      <c r="Q18" s="31" t="n">
        <v>1</v>
      </c>
      <c r="R18" s="31" t="n">
        <v>1.04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Brandon Allen</t>
        </is>
      </c>
      <c r="C19" s="26" t="n">
        <v>3</v>
      </c>
      <c r="D19" s="26" t="inlineStr">
        <is>
          <t>33</t>
        </is>
      </c>
      <c r="E19" s="36" t="inlineStr">
        <is>
          <t>role avg (from TEN)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0.0016</v>
      </c>
      <c r="M19" s="30" t="n">
        <v>0.0187</v>
      </c>
      <c r="N19" s="30" t="n"/>
      <c r="O19" s="31" t="n">
        <v>1</v>
      </c>
      <c r="P19" s="31" t="n">
        <v>0.99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Cam Skattebo</t>
        </is>
      </c>
      <c r="C21" s="26" t="n">
        <v>1</v>
      </c>
      <c r="D21" s="26" t="inlineStr">
        <is>
          <t>24</t>
        </is>
      </c>
      <c r="E21" s="27" t="inlineStr">
        <is>
          <t>ACT</t>
        </is>
      </c>
      <c r="F21" s="28" t="n"/>
      <c r="G21" s="28" t="n"/>
      <c r="H21" s="28" t="n">
        <v>0.0636</v>
      </c>
      <c r="I21" s="28" t="n">
        <v>0.2012</v>
      </c>
      <c r="J21" s="29" t="n">
        <v>17</v>
      </c>
      <c r="K21" s="30" t="n"/>
      <c r="L21" s="30" t="n">
        <v>0.0677</v>
      </c>
      <c r="M21" s="30" t="n">
        <v>0.3745</v>
      </c>
      <c r="N21" s="30" t="n">
        <v>0.75</v>
      </c>
      <c r="O21" s="31" t="n">
        <v>0.93</v>
      </c>
      <c r="P21" s="31" t="n">
        <v>0.9399999999999999</v>
      </c>
      <c r="Q21" s="31" t="n">
        <v>0.95</v>
      </c>
      <c r="R21" s="31" t="n">
        <v>0.67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Tyrone Tracy</t>
        </is>
      </c>
      <c r="C22" s="26" t="n">
        <v>2</v>
      </c>
      <c r="D22" s="26" t="inlineStr">
        <is>
          <t>26</t>
        </is>
      </c>
      <c r="E22" s="27" t="inlineStr">
        <is>
          <t>ACT</t>
        </is>
      </c>
      <c r="F22" s="28" t="n"/>
      <c r="G22" s="28" t="n">
        <v>0.09569999999999999</v>
      </c>
      <c r="H22" s="28" t="n">
        <v>0.0954</v>
      </c>
      <c r="I22" s="28" t="n">
        <v>0.3506</v>
      </c>
      <c r="J22" s="29" t="n">
        <v>17</v>
      </c>
      <c r="K22" s="30" t="n"/>
      <c r="L22" s="30" t="n">
        <v>0.06569999999999999</v>
      </c>
      <c r="M22" s="30" t="n">
        <v>0.2444</v>
      </c>
      <c r="N22" s="30" t="n">
        <v>0.7366</v>
      </c>
      <c r="O22" s="31" t="n">
        <v>0.88</v>
      </c>
      <c r="P22" s="31" t="n">
        <v>0.98</v>
      </c>
      <c r="Q22" s="31" t="n">
        <v>1.04</v>
      </c>
      <c r="R22" s="31" t="n">
        <v>0.99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Devin Singletary</t>
        </is>
      </c>
      <c r="C23" s="26" t="n">
        <v>3</v>
      </c>
      <c r="D23" s="26" t="inlineStr">
        <is>
          <t>28</t>
        </is>
      </c>
      <c r="E23" s="27" t="inlineStr">
        <is>
          <t>ACT</t>
        </is>
      </c>
      <c r="F23" s="28" t="n">
        <v>0.06710000000000001</v>
      </c>
      <c r="G23" s="28" t="n">
        <v>0.0433</v>
      </c>
      <c r="H23" s="28" t="n">
        <v>0.0378</v>
      </c>
      <c r="I23" s="28" t="n">
        <v>0.2371</v>
      </c>
      <c r="J23" s="29" t="n">
        <v>17</v>
      </c>
      <c r="K23" s="30" t="n"/>
      <c r="L23" s="30" t="n">
        <v>0.0308</v>
      </c>
      <c r="M23" s="30" t="n">
        <v>0.1413</v>
      </c>
      <c r="N23" s="30" t="n">
        <v>0.8948</v>
      </c>
      <c r="O23" s="31" t="n">
        <v>0.95</v>
      </c>
      <c r="P23" s="31" t="n">
        <v>0.92</v>
      </c>
      <c r="Q23" s="31" t="n">
        <v>1.03</v>
      </c>
      <c r="R23" s="31" t="n">
        <v>1.42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Eric Gray</t>
        </is>
      </c>
      <c r="C24" s="26" t="n">
        <v>4</v>
      </c>
      <c r="D24" s="26" t="inlineStr">
        <is>
          <t>26</t>
        </is>
      </c>
      <c r="E24" s="27" t="inlineStr">
        <is>
          <t>ACT</t>
        </is>
      </c>
      <c r="F24" s="28" t="n">
        <v>0.0144</v>
      </c>
      <c r="G24" s="28" t="n">
        <v>0.0199</v>
      </c>
      <c r="H24" s="28" t="n"/>
      <c r="I24" s="28" t="n"/>
      <c r="J24" s="29" t="n">
        <v>17</v>
      </c>
      <c r="K24" s="30" t="n"/>
      <c r="L24" s="30" t="n">
        <v>0.0131</v>
      </c>
      <c r="M24" s="30" t="n">
        <v>0.0255</v>
      </c>
      <c r="N24" s="30" t="n">
        <v>0.8915999999999999</v>
      </c>
      <c r="O24" s="31" t="n">
        <v>0.98</v>
      </c>
      <c r="P24" s="31" t="n">
        <v>0.8100000000000001</v>
      </c>
      <c r="Q24" s="31" t="n">
        <v>1.4</v>
      </c>
      <c r="R24" s="31" t="n">
        <v>1.45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Dante Miller</t>
        </is>
      </c>
      <c r="C25" s="26" t="n">
        <v>5</v>
      </c>
      <c r="D25" s="26" t="inlineStr">
        <is>
          <t>27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0.0047</v>
      </c>
      <c r="M25" s="30" t="n">
        <v>0.0059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Damon Bankston</t>
        </is>
      </c>
      <c r="C26" s="26" t="n">
        <v>6</v>
      </c>
      <c r="D26" s="26" t="inlineStr">
        <is>
          <t>23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</v>
      </c>
      <c r="M26" s="30" t="n">
        <v>0.0029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Malik Nabers</t>
        </is>
      </c>
      <c r="C28" s="26" t="n">
        <v>1</v>
      </c>
      <c r="D28" s="26" t="inlineStr">
        <is>
          <t>23</t>
        </is>
      </c>
      <c r="E28" s="41" t="inlineStr">
        <is>
          <t>QUESTIONABLE</t>
        </is>
      </c>
      <c r="F28" s="28" t="n"/>
      <c r="G28" s="28" t="n">
        <v>0.3069</v>
      </c>
      <c r="H28" s="28" t="n">
        <v>0.0696</v>
      </c>
      <c r="I28" s="28" t="n"/>
      <c r="J28" s="29" t="n">
        <v>17</v>
      </c>
      <c r="K28" s="30" t="n"/>
      <c r="L28" s="30" t="n">
        <v>0.2029</v>
      </c>
      <c r="M28" s="30" t="n">
        <v>0.0114</v>
      </c>
      <c r="N28" s="30" t="n">
        <v>0.6021</v>
      </c>
      <c r="O28" s="31" t="n">
        <v>1.08</v>
      </c>
      <c r="P28" s="31" t="n">
        <v>0.82</v>
      </c>
      <c r="Q28" s="31" t="n">
        <v>0.96</v>
      </c>
      <c r="R28" s="31" t="n">
        <v>1.04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Darnell Mooney</t>
        </is>
      </c>
      <c r="C29" s="26" t="n">
        <v>2</v>
      </c>
      <c r="D29" s="26" t="inlineStr">
        <is>
          <t>28</t>
        </is>
      </c>
      <c r="E29" s="36" t="inlineStr">
        <is>
          <t>role avg (from ATL)</t>
        </is>
      </c>
      <c r="F29" s="28" t="n">
        <v>0.1279</v>
      </c>
      <c r="G29" s="28" t="n">
        <v>0.1967</v>
      </c>
      <c r="H29" s="28" t="n">
        <v>0.1387</v>
      </c>
      <c r="I29" s="28" t="n"/>
      <c r="J29" s="29" t="n">
        <v>17</v>
      </c>
      <c r="K29" s="30" t="n"/>
      <c r="L29" s="30" t="n">
        <v>0.1393</v>
      </c>
      <c r="M29" s="30" t="n">
        <v>0.0051</v>
      </c>
      <c r="N29" s="30" t="n">
        <v>0.5069</v>
      </c>
      <c r="O29" s="31" t="n">
        <v>0.98</v>
      </c>
      <c r="P29" s="31" t="n">
        <v>0.96</v>
      </c>
      <c r="Q29" s="31" t="n">
        <v>0.88</v>
      </c>
      <c r="R29" s="31" t="n">
        <v>1.14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Darius Slayton</t>
        </is>
      </c>
      <c r="C30" s="26" t="n">
        <v>3</v>
      </c>
      <c r="D30" s="26" t="inlineStr">
        <is>
          <t>29</t>
        </is>
      </c>
      <c r="E30" s="27" t="inlineStr">
        <is>
          <t>ACT</t>
        </is>
      </c>
      <c r="F30" s="28" t="n">
        <v>0.1629</v>
      </c>
      <c r="G30" s="28" t="n">
        <v>0.1282</v>
      </c>
      <c r="H30" s="28" t="n">
        <v>0.1252</v>
      </c>
      <c r="I30" s="28" t="n"/>
      <c r="J30" s="29" t="n">
        <v>17</v>
      </c>
      <c r="K30" s="30" t="n"/>
      <c r="L30" s="30" t="n">
        <v>0.102</v>
      </c>
      <c r="M30" s="30" t="n">
        <v>0.004</v>
      </c>
      <c r="N30" s="30" t="n">
        <v>0.5855</v>
      </c>
      <c r="O30" s="31" t="n">
        <v>1.2</v>
      </c>
      <c r="P30" s="31" t="n">
        <v>1.09</v>
      </c>
      <c r="Q30" s="31" t="n">
        <v>0.97</v>
      </c>
      <c r="R30" s="31" t="n">
        <v>2.32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Calvin Austin</t>
        </is>
      </c>
      <c r="C31" s="26" t="n">
        <v>4</v>
      </c>
      <c r="D31" s="26" t="inlineStr">
        <is>
          <t>27</t>
        </is>
      </c>
      <c r="E31" s="36" t="inlineStr">
        <is>
          <t>role avg (from PIT)</t>
        </is>
      </c>
      <c r="F31" s="28" t="n">
        <v>0.062</v>
      </c>
      <c r="G31" s="28" t="n">
        <v>0.1261</v>
      </c>
      <c r="H31" s="28" t="n">
        <v>0.1054</v>
      </c>
      <c r="I31" s="28" t="n"/>
      <c r="J31" s="29" t="n">
        <v>17</v>
      </c>
      <c r="K31" s="30" t="n"/>
      <c r="L31" s="30" t="n">
        <v>0.0412</v>
      </c>
      <c r="M31" s="30" t="n">
        <v>0.0021</v>
      </c>
      <c r="N31" s="30" t="n">
        <v>0.5831</v>
      </c>
      <c r="O31" s="31" t="n">
        <v>1.02</v>
      </c>
      <c r="P31" s="31" t="n">
        <v>1.07</v>
      </c>
      <c r="Q31" s="31" t="n">
        <v>1.09</v>
      </c>
      <c r="R31" s="31" t="n">
        <v>1.54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Odell Beckham</t>
        </is>
      </c>
      <c r="C32" s="26" t="n">
        <v>5</v>
      </c>
      <c r="D32" s="26" t="inlineStr">
        <is>
          <t>33</t>
        </is>
      </c>
      <c r="E32" s="27" t="inlineStr">
        <is>
          <t>ACT</t>
        </is>
      </c>
      <c r="F32" s="28" t="n">
        <v>0.1345</v>
      </c>
      <c r="G32" s="28" t="n">
        <v>0.0317</v>
      </c>
      <c r="H32" s="28" t="n"/>
      <c r="I32" s="28" t="n"/>
      <c r="J32" s="29" t="n">
        <v>17</v>
      </c>
      <c r="K32" s="30" t="n"/>
      <c r="L32" s="30" t="n">
        <v>0.0525</v>
      </c>
      <c r="M32" s="30" t="n">
        <v>0.0008</v>
      </c>
      <c r="N32" s="30" t="n">
        <v>0.5239</v>
      </c>
      <c r="O32" s="31" t="n">
        <v>0.84</v>
      </c>
      <c r="P32" s="31" t="n">
        <v>1</v>
      </c>
      <c r="Q32" s="31" t="n">
        <v>1.4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Malachi Fields</t>
        </is>
      </c>
      <c r="C33" s="26" t="n">
        <v>6</v>
      </c>
      <c r="D33" s="26" t="inlineStr">
        <is>
          <t>22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0.0207</v>
      </c>
      <c r="M33" s="30" t="n">
        <v>0.0018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Isaiah Hodgins</t>
        </is>
      </c>
      <c r="C34" s="26" t="n">
        <v>7</v>
      </c>
      <c r="D34" s="26" t="inlineStr">
        <is>
          <t>27</t>
        </is>
      </c>
      <c r="E34" s="27" t="inlineStr">
        <is>
          <t>ACT</t>
        </is>
      </c>
      <c r="F34" s="28" t="n">
        <v>0.068</v>
      </c>
      <c r="G34" s="28" t="n">
        <v>0.0036</v>
      </c>
      <c r="H34" s="28" t="n">
        <v>0.0378</v>
      </c>
      <c r="I34" s="28" t="n"/>
      <c r="J34" s="29" t="n">
        <v>17</v>
      </c>
      <c r="K34" s="30" t="n"/>
      <c r="L34" s="30" t="n">
        <v>0.0289</v>
      </c>
      <c r="M34" s="30" t="n">
        <v>0.0008</v>
      </c>
      <c r="N34" s="30" t="n">
        <v>0.6289</v>
      </c>
      <c r="O34" s="31" t="n">
        <v>0.96</v>
      </c>
      <c r="P34" s="31" t="n">
        <v>1</v>
      </c>
      <c r="Q34" s="31" t="n">
        <v>1.8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JuJu Smith-Schuster</t>
        </is>
      </c>
      <c r="C35" s="26" t="n">
        <v>8</v>
      </c>
      <c r="D35" s="26" t="inlineStr">
        <is>
          <t>29</t>
        </is>
      </c>
      <c r="E35" s="36" t="inlineStr">
        <is>
          <t>role avg (from KC)</t>
        </is>
      </c>
      <c r="F35" s="28" t="n">
        <v>0.08690000000000001</v>
      </c>
      <c r="G35" s="28" t="n">
        <v>0.0455</v>
      </c>
      <c r="H35" s="28" t="n">
        <v>0.082</v>
      </c>
      <c r="I35" s="28" t="n"/>
      <c r="J35" s="29" t="n">
        <v>17</v>
      </c>
      <c r="K35" s="30" t="n"/>
      <c r="L35" s="30" t="n">
        <v>0.0073</v>
      </c>
      <c r="M35" s="30" t="n">
        <v>0.0018</v>
      </c>
      <c r="N35" s="30" t="n">
        <v>0.7046</v>
      </c>
      <c r="O35" s="31" t="n">
        <v>1.06</v>
      </c>
      <c r="P35" s="31" t="n">
        <v>1</v>
      </c>
      <c r="Q35" s="31" t="n">
        <v>2.5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Isaiah Likely</t>
        </is>
      </c>
      <c r="C37" s="26" t="n">
        <v>1</v>
      </c>
      <c r="D37" s="26" t="inlineStr">
        <is>
          <t>26</t>
        </is>
      </c>
      <c r="E37" s="36" t="inlineStr">
        <is>
          <t>role avg (from BAL)</t>
        </is>
      </c>
      <c r="F37" s="28" t="n">
        <v>0.08400000000000001</v>
      </c>
      <c r="G37" s="28" t="n">
        <v>0.1269</v>
      </c>
      <c r="H37" s="28" t="n">
        <v>0.0885</v>
      </c>
      <c r="I37" s="28" t="n"/>
      <c r="J37" s="29" t="n">
        <v>17</v>
      </c>
      <c r="K37" s="30" t="n"/>
      <c r="L37" s="30" t="n">
        <v>0.1181</v>
      </c>
      <c r="M37" s="30" t="n">
        <v>0.0022</v>
      </c>
      <c r="N37" s="30" t="n">
        <v>0.7418</v>
      </c>
      <c r="O37" s="31" t="n">
        <v>1.04</v>
      </c>
      <c r="P37" s="31" t="n">
        <v>1</v>
      </c>
      <c r="Q37" s="31" t="n">
        <v>1.03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Theo Johnson</t>
        </is>
      </c>
      <c r="C38" s="26" t="n">
        <v>2</v>
      </c>
      <c r="D38" s="26" t="inlineStr">
        <is>
          <t>25</t>
        </is>
      </c>
      <c r="E38" s="27" t="inlineStr">
        <is>
          <t>ACT</t>
        </is>
      </c>
      <c r="F38" s="28" t="n"/>
      <c r="G38" s="28" t="n">
        <v>0.0776</v>
      </c>
      <c r="H38" s="28" t="n">
        <v>0.1471</v>
      </c>
      <c r="I38" s="28" t="n"/>
      <c r="J38" s="29" t="n">
        <v>17</v>
      </c>
      <c r="K38" s="30" t="n"/>
      <c r="L38" s="30" t="n">
        <v>0.0808</v>
      </c>
      <c r="M38" s="30" t="n">
        <v>0.0008</v>
      </c>
      <c r="N38" s="30" t="n">
        <v>0.6296</v>
      </c>
      <c r="O38" s="31" t="n">
        <v>1.04</v>
      </c>
      <c r="P38" s="31" t="n">
        <v>1</v>
      </c>
      <c r="Q38" s="31" t="n">
        <v>1.34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Tanner Conner</t>
        </is>
      </c>
      <c r="C39" s="26" t="n">
        <v>3</v>
      </c>
      <c r="D39" s="26" t="inlineStr">
        <is>
          <t>28</t>
        </is>
      </c>
      <c r="E39" s="36" t="inlineStr">
        <is>
          <t>role avg (from MIA)</t>
        </is>
      </c>
      <c r="F39" s="28" t="n"/>
      <c r="G39" s="28" t="n">
        <v>0.007</v>
      </c>
      <c r="H39" s="28" t="n">
        <v>0.0325</v>
      </c>
      <c r="I39" s="28" t="n"/>
      <c r="J39" s="29" t="n">
        <v>17</v>
      </c>
      <c r="K39" s="30" t="n"/>
      <c r="L39" s="30" t="n">
        <v>0.011</v>
      </c>
      <c r="M39" s="30" t="n">
        <v>0.002</v>
      </c>
      <c r="N39" s="30" t="n">
        <v>0.6522</v>
      </c>
      <c r="O39" s="31" t="n">
        <v>0.91</v>
      </c>
      <c r="P39" s="31" t="n">
        <v>1</v>
      </c>
      <c r="Q39" s="31" t="n">
        <v>1.42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Thomas Fidone</t>
        </is>
      </c>
      <c r="C40" s="26" t="n">
        <v>4</v>
      </c>
      <c r="D40" s="26" t="inlineStr">
        <is>
          <t>23</t>
        </is>
      </c>
      <c r="E40" s="36" t="inlineStr">
        <is>
          <t>role avg (rookie)</t>
        </is>
      </c>
      <c r="F40" s="28" t="n"/>
      <c r="G40" s="28" t="n"/>
      <c r="H40" s="28" t="n"/>
      <c r="I40" s="28" t="n"/>
      <c r="J40" s="29" t="n">
        <v>17</v>
      </c>
      <c r="K40" s="30" t="n"/>
      <c r="L40" s="30" t="n">
        <v>0.006</v>
      </c>
      <c r="M40" s="30" t="n">
        <v>0.002</v>
      </c>
      <c r="N40" s="30" t="n">
        <v>0.65</v>
      </c>
      <c r="O40" s="31" t="n">
        <v>1</v>
      </c>
      <c r="P40" s="31" t="n">
        <v>1</v>
      </c>
      <c r="Q40" s="31" t="n">
        <v>1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NYJ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60.7</v>
      </c>
      <c r="D5" s="12">
        <f>C5*B5</f>
        <v/>
      </c>
      <c r="E5" s="13" t="n">
        <v>0.5847</v>
      </c>
      <c r="F5" s="10" t="n">
        <v>552</v>
      </c>
      <c r="G5" s="12">
        <f>ROUND(F5*Settings!$B$4,0)</f>
        <v/>
      </c>
      <c r="H5" s="10" t="n">
        <v>428</v>
      </c>
      <c r="I5" s="10" t="n">
        <v>3457</v>
      </c>
      <c r="J5" s="11" t="n">
        <v>21</v>
      </c>
      <c r="K5" s="11" t="n">
        <v>13</v>
      </c>
      <c r="L5" s="10" t="n">
        <v>1886</v>
      </c>
      <c r="M5" s="11" t="n">
        <v>11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1053</v>
      </c>
      <c r="D8" s="16" t="n">
        <v>61.9412</v>
      </c>
      <c r="E8" s="17" t="n">
        <v>0.6315</v>
      </c>
      <c r="F8" s="15" t="n">
        <v>601</v>
      </c>
      <c r="G8" s="15" t="n">
        <v>388</v>
      </c>
      <c r="H8" s="15" t="n">
        <v>3373</v>
      </c>
      <c r="I8" s="15" t="n">
        <v>1647</v>
      </c>
      <c r="J8" s="15" t="n">
        <v>11</v>
      </c>
      <c r="K8" s="15" t="n">
        <v>7</v>
      </c>
      <c r="L8" s="16" t="n">
        <v>5.6123</v>
      </c>
      <c r="M8" s="16" t="n">
        <v>4.2448</v>
      </c>
    </row>
    <row r="9">
      <c r="B9" s="15" t="n">
        <v>2024</v>
      </c>
      <c r="C9" s="15" t="n">
        <v>1010</v>
      </c>
      <c r="D9" s="16" t="n">
        <v>59.4118</v>
      </c>
      <c r="E9" s="17" t="n">
        <v>0.6405999999999999</v>
      </c>
      <c r="F9" s="15" t="n">
        <v>607</v>
      </c>
      <c r="G9" s="15" t="n">
        <v>363</v>
      </c>
      <c r="H9" s="15" t="n">
        <v>4016</v>
      </c>
      <c r="I9" s="15" t="n">
        <v>1561</v>
      </c>
      <c r="J9" s="15" t="n">
        <v>31</v>
      </c>
      <c r="K9" s="15" t="n">
        <v>8</v>
      </c>
      <c r="L9" s="16" t="n">
        <v>6.6161</v>
      </c>
      <c r="M9" s="16" t="n">
        <v>4.3003</v>
      </c>
    </row>
    <row r="10">
      <c r="B10" s="15" t="n">
        <v>2025</v>
      </c>
      <c r="C10" s="15" t="n">
        <v>1010</v>
      </c>
      <c r="D10" s="16" t="n">
        <v>59.4118</v>
      </c>
      <c r="E10" s="17" t="n">
        <v>0.5485</v>
      </c>
      <c r="F10" s="15" t="n">
        <v>494</v>
      </c>
      <c r="G10" s="15" t="n">
        <v>456</v>
      </c>
      <c r="H10" s="15" t="n">
        <v>2784</v>
      </c>
      <c r="I10" s="15" t="n">
        <v>2096</v>
      </c>
      <c r="J10" s="15" t="n">
        <v>15</v>
      </c>
      <c r="K10" s="15" t="n">
        <v>11</v>
      </c>
      <c r="L10" s="16" t="n">
        <v>5.6356</v>
      </c>
      <c r="M10" s="16" t="n">
        <v>4.5965</v>
      </c>
    </row>
    <row r="11"/>
    <row r="12">
      <c r="A12" s="18" t="inlineStr">
        <is>
          <t>OUT</t>
        </is>
      </c>
      <c r="B12" s="19" t="inlineStr">
        <is>
          <t>15% of targets and 24% of carries left. Share is team-relative - it does NOT follow the player.</t>
        </is>
      </c>
      <c r="H12" s="8" t="inlineStr">
        <is>
          <t>Justin Fields (0t/15r -&gt; KC), Tyrod Taylor (0t/6r -&gt; GB), Josh Reynolds (4t/0r -&gt; NOT ON ANY ROSTER), Allen Lazard (4t/0r -&gt; NOT ON ANY ROSTER), Tyler Johnson (4t/0r -&gt; DAL)</t>
        </is>
      </c>
    </row>
    <row r="13">
      <c r="A13" s="20" t="inlineStr">
        <is>
          <t>IN</t>
        </is>
      </c>
      <c r="B13" s="21" t="inlineStr">
        <is>
          <t>2 new: Geno Smith (QB, from LV), Tim Patrick (WR, from JAC - had 4% there)</t>
        </is>
      </c>
    </row>
    <row r="14">
      <c r="A14" s="7" t="inlineStr">
        <is>
          <t>STAFF</t>
        </is>
      </c>
      <c r="B14" s="22" t="inlineStr">
        <is>
          <t>HC unchanged. OC Frank Reich. Offense starts with the run game.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Geno Smith</t>
        </is>
      </c>
      <c r="C17" s="26" t="n">
        <v>1</v>
      </c>
      <c r="D17" s="26" t="inlineStr">
        <is>
          <t>35</t>
        </is>
      </c>
      <c r="E17" s="36" t="inlineStr">
        <is>
          <t>role avg (from LV)</t>
        </is>
      </c>
      <c r="F17" s="28" t="n">
        <v>0.0018</v>
      </c>
      <c r="G17" s="28" t="n"/>
      <c r="H17" s="28" t="n"/>
      <c r="I17" s="28" t="n">
        <v>0.0964</v>
      </c>
      <c r="J17" s="29" t="n">
        <v>17</v>
      </c>
      <c r="K17" s="30" t="n">
        <v>0.92</v>
      </c>
      <c r="L17" s="30" t="n">
        <v>0.0018</v>
      </c>
      <c r="M17" s="30" t="n">
        <v>0.0867</v>
      </c>
      <c r="N17" s="30" t="n"/>
      <c r="O17" s="31" t="n">
        <v>1</v>
      </c>
      <c r="P17" s="31" t="n">
        <v>1.11</v>
      </c>
      <c r="Q17" s="31" t="n">
        <v>1</v>
      </c>
      <c r="R17" s="31" t="n">
        <v>1.26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Cade Klubnik</t>
        </is>
      </c>
      <c r="C18" s="26" t="n">
        <v>2</v>
      </c>
      <c r="D18" s="26" t="inlineStr">
        <is>
          <t>22</t>
        </is>
      </c>
      <c r="E18" s="36" t="inlineStr">
        <is>
          <t>role avg (rookie)</t>
        </is>
      </c>
      <c r="F18" s="28" t="n"/>
      <c r="G18" s="28" t="n"/>
      <c r="H18" s="28" t="n"/>
      <c r="I18" s="28" t="n"/>
      <c r="J18" s="29" t="n">
        <v>17</v>
      </c>
      <c r="K18" s="30" t="n">
        <v>0.068</v>
      </c>
      <c r="L18" s="30" t="n">
        <v>0.0017</v>
      </c>
      <c r="M18" s="30" t="n">
        <v>0.0231</v>
      </c>
      <c r="N18" s="30" t="n"/>
      <c r="O18" s="31" t="n">
        <v>1</v>
      </c>
      <c r="P18" s="31" t="n">
        <v>1</v>
      </c>
      <c r="Q18" s="31" t="n">
        <v>1</v>
      </c>
      <c r="R18" s="31" t="n">
        <v>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Brady Cook</t>
        </is>
      </c>
      <c r="C19" s="26" t="n">
        <v>3</v>
      </c>
      <c r="D19" s="26" t="inlineStr">
        <is>
          <t>24</t>
        </is>
      </c>
      <c r="E19" s="27" t="inlineStr">
        <is>
          <t>ACT</t>
        </is>
      </c>
      <c r="F19" s="28" t="n"/>
      <c r="G19" s="28" t="n"/>
      <c r="H19" s="28" t="n"/>
      <c r="I19" s="28" t="n">
        <v>0.0289</v>
      </c>
      <c r="J19" s="29" t="n">
        <v>17</v>
      </c>
      <c r="K19" s="30" t="n">
        <v>0.012</v>
      </c>
      <c r="L19" s="30" t="n">
        <v>0.0007</v>
      </c>
      <c r="M19" s="30" t="n">
        <v>0.0223</v>
      </c>
      <c r="N19" s="30" t="n"/>
      <c r="O19" s="31" t="n">
        <v>1</v>
      </c>
      <c r="P19" s="31" t="n">
        <v>0.93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Breece Hall</t>
        </is>
      </c>
      <c r="C21" s="26" t="n">
        <v>1</v>
      </c>
      <c r="D21" s="26" t="inlineStr">
        <is>
          <t>25</t>
        </is>
      </c>
      <c r="E21" s="27" t="inlineStr">
        <is>
          <t>ACT</t>
        </is>
      </c>
      <c r="F21" s="28" t="n">
        <v>0.1687</v>
      </c>
      <c r="G21" s="28" t="n">
        <v>0.129</v>
      </c>
      <c r="H21" s="28" t="n">
        <v>0.1017</v>
      </c>
      <c r="I21" s="28" t="n">
        <v>0.54</v>
      </c>
      <c r="J21" s="29" t="n">
        <v>17</v>
      </c>
      <c r="K21" s="30" t="n"/>
      <c r="L21" s="30" t="n">
        <v>0.1105</v>
      </c>
      <c r="M21" s="30" t="n">
        <v>0.5273</v>
      </c>
      <c r="N21" s="30" t="n">
        <v>0.7605</v>
      </c>
      <c r="O21" s="31" t="n">
        <v>1.08</v>
      </c>
      <c r="P21" s="31" t="n">
        <v>0.97</v>
      </c>
      <c r="Q21" s="31" t="n">
        <v>1.05</v>
      </c>
      <c r="R21" s="31" t="n">
        <v>0.9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Braelon Allen</t>
        </is>
      </c>
      <c r="C22" s="26" t="n">
        <v>2</v>
      </c>
      <c r="D22" s="26" t="inlineStr">
        <is>
          <t>22</t>
        </is>
      </c>
      <c r="E22" s="27" t="inlineStr">
        <is>
          <t>ACT</t>
        </is>
      </c>
      <c r="F22" s="28" t="n"/>
      <c r="G22" s="28" t="n">
        <v>0.0458</v>
      </c>
      <c r="H22" s="28" t="n">
        <v>0.0064</v>
      </c>
      <c r="I22" s="28" t="n">
        <v>0.04</v>
      </c>
      <c r="J22" s="29" t="n">
        <v>17</v>
      </c>
      <c r="K22" s="30" t="n"/>
      <c r="L22" s="30" t="n">
        <v>0.0359</v>
      </c>
      <c r="M22" s="30" t="n">
        <v>0.1877</v>
      </c>
      <c r="N22" s="30" t="n">
        <v>0.6933</v>
      </c>
      <c r="O22" s="31" t="n">
        <v>0.92</v>
      </c>
      <c r="P22" s="31" t="n">
        <v>0.89</v>
      </c>
      <c r="Q22" s="31" t="n">
        <v>0.93</v>
      </c>
      <c r="R22" s="31" t="n">
        <v>1.09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Isaiah Davis</t>
        </is>
      </c>
      <c r="C23" s="26" t="n">
        <v>3</v>
      </c>
      <c r="D23" s="26" t="inlineStr">
        <is>
          <t>24</t>
        </is>
      </c>
      <c r="E23" s="27" t="inlineStr">
        <is>
          <t>ACT</t>
        </is>
      </c>
      <c r="F23" s="28" t="n"/>
      <c r="G23" s="28" t="n">
        <v>0.0204</v>
      </c>
      <c r="H23" s="28" t="n">
        <v>0.0593</v>
      </c>
      <c r="I23" s="28" t="n">
        <v>0.0956</v>
      </c>
      <c r="J23" s="29" t="n">
        <v>17</v>
      </c>
      <c r="K23" s="30" t="n"/>
      <c r="L23" s="30" t="n">
        <v>0.0323</v>
      </c>
      <c r="M23" s="30" t="n">
        <v>0.07199999999999999</v>
      </c>
      <c r="N23" s="30" t="n">
        <v>0.75</v>
      </c>
      <c r="O23" s="31" t="n">
        <v>1.02</v>
      </c>
      <c r="P23" s="31" t="n">
        <v>1.16</v>
      </c>
      <c r="Q23" s="31" t="n">
        <v>0.96</v>
      </c>
      <c r="R23" s="31" t="n">
        <v>1.02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Andrew Beck</t>
        </is>
      </c>
      <c r="C24" s="26" t="n">
        <v>4</v>
      </c>
      <c r="D24" s="26" t="inlineStr">
        <is>
          <t>30</t>
        </is>
      </c>
      <c r="E24" s="27" t="inlineStr">
        <is>
          <t>ACT</t>
        </is>
      </c>
      <c r="F24" s="28" t="n">
        <v>0.023</v>
      </c>
      <c r="G24" s="28" t="n">
        <v>0.0018</v>
      </c>
      <c r="H24" s="28" t="n">
        <v>0.0191</v>
      </c>
      <c r="I24" s="28" t="n">
        <v>0.0022</v>
      </c>
      <c r="J24" s="29" t="n">
        <v>17</v>
      </c>
      <c r="K24" s="30" t="n"/>
      <c r="L24" s="30" t="n">
        <v>0.0148</v>
      </c>
      <c r="M24" s="30" t="n">
        <v>0.021</v>
      </c>
      <c r="N24" s="30" t="n">
        <v>0.7135</v>
      </c>
      <c r="O24" s="31" t="n">
        <v>0.92</v>
      </c>
      <c r="P24" s="31" t="n">
        <v>0.98</v>
      </c>
      <c r="Q24" s="31" t="n">
        <v>1.46</v>
      </c>
      <c r="R24" s="31" t="n">
        <v>1.01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Kene Nwangwu</t>
        </is>
      </c>
      <c r="C25" s="26" t="n">
        <v>5</v>
      </c>
      <c r="D25" s="26" t="inlineStr">
        <is>
          <t>28</t>
        </is>
      </c>
      <c r="E25" s="27" t="inlineStr">
        <is>
          <t>ACT</t>
        </is>
      </c>
      <c r="F25" s="28" t="n"/>
      <c r="G25" s="28" t="n"/>
      <c r="H25" s="28" t="n">
        <v>0.0021</v>
      </c>
      <c r="I25" s="28" t="n">
        <v>0.0289</v>
      </c>
      <c r="J25" s="29" t="n">
        <v>17</v>
      </c>
      <c r="K25" s="30" t="n"/>
      <c r="L25" s="30" t="n">
        <v>0.0031</v>
      </c>
      <c r="M25" s="30" t="n">
        <v>0.02</v>
      </c>
      <c r="N25" s="30" t="n"/>
      <c r="O25" s="31" t="n">
        <v>1</v>
      </c>
      <c r="P25" s="31" t="n">
        <v>0.92</v>
      </c>
      <c r="Q25" s="31" t="n">
        <v>1</v>
      </c>
      <c r="R25" s="31" t="n">
        <v>1.47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Sam Scott</t>
        </is>
      </c>
      <c r="C26" s="26" t="n">
        <v>6</v>
      </c>
      <c r="D26" s="26" t="inlineStr"/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0.0026</v>
      </c>
      <c r="M26" s="30" t="n">
        <v>0.0033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Garrett Wilson</t>
        </is>
      </c>
      <c r="C28" s="26" t="n">
        <v>1</v>
      </c>
      <c r="D28" s="26" t="inlineStr">
        <is>
          <t>26</t>
        </is>
      </c>
      <c r="E28" s="27" t="inlineStr">
        <is>
          <t>ACT</t>
        </is>
      </c>
      <c r="F28" s="28" t="n">
        <v>0.2984</v>
      </c>
      <c r="G28" s="28" t="n">
        <v>0.2615</v>
      </c>
      <c r="H28" s="28" t="n">
        <v>0.125</v>
      </c>
      <c r="I28" s="28" t="n"/>
      <c r="J28" s="29" t="n">
        <v>17</v>
      </c>
      <c r="K28" s="30" t="n"/>
      <c r="L28" s="30" t="n">
        <v>0.211</v>
      </c>
      <c r="M28" s="30" t="n">
        <v>0.0098</v>
      </c>
      <c r="N28" s="30" t="n">
        <v>0.6169</v>
      </c>
      <c r="O28" s="31" t="n">
        <v>1.06</v>
      </c>
      <c r="P28" s="31" t="n">
        <v>0.95</v>
      </c>
      <c r="Q28" s="31" t="n">
        <v>0.98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Adonai Mitchell</t>
        </is>
      </c>
      <c r="C29" s="26" t="n">
        <v>2</v>
      </c>
      <c r="D29" s="26" t="inlineStr">
        <is>
          <t>23</t>
        </is>
      </c>
      <c r="E29" s="27" t="inlineStr">
        <is>
          <t>ACT</t>
        </is>
      </c>
      <c r="F29" s="28" t="n"/>
      <c r="G29" s="28" t="n">
        <v>0.1118</v>
      </c>
      <c r="H29" s="28" t="n">
        <v>0.1229</v>
      </c>
      <c r="I29" s="28" t="n">
        <v>0.0022</v>
      </c>
      <c r="J29" s="29" t="n">
        <v>17</v>
      </c>
      <c r="K29" s="30" t="n"/>
      <c r="L29" s="30" t="n">
        <v>0.1153</v>
      </c>
      <c r="M29" s="30" t="n">
        <v>0.0063</v>
      </c>
      <c r="N29" s="30" t="n">
        <v>0.4163</v>
      </c>
      <c r="O29" s="31" t="n">
        <v>0.87</v>
      </c>
      <c r="P29" s="31" t="n">
        <v>1</v>
      </c>
      <c r="Q29" s="31" t="n">
        <v>0.97</v>
      </c>
      <c r="R29" s="31" t="n">
        <v>1.41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Omar Cooper</t>
        </is>
      </c>
      <c r="C30" s="26" t="n">
        <v>3</v>
      </c>
      <c r="D30" s="26" t="inlineStr">
        <is>
          <t>22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0.0806</v>
      </c>
      <c r="M30" s="30" t="n">
        <v>0.0031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Tim Patrick</t>
        </is>
      </c>
      <c r="C31" s="26" t="n">
        <v>4</v>
      </c>
      <c r="D31" s="26" t="inlineStr">
        <is>
          <t>32</t>
        </is>
      </c>
      <c r="E31" s="36" t="inlineStr">
        <is>
          <t>role avg (from JAC)</t>
        </is>
      </c>
      <c r="F31" s="28" t="n"/>
      <c r="G31" s="28" t="n">
        <v>0.0843</v>
      </c>
      <c r="H31" s="28" t="n">
        <v>0.0439</v>
      </c>
      <c r="I31" s="28" t="n"/>
      <c r="J31" s="29" t="n">
        <v>17</v>
      </c>
      <c r="K31" s="30" t="n"/>
      <c r="L31" s="30" t="n">
        <v>0.0364</v>
      </c>
      <c r="M31" s="30" t="n">
        <v>0.0023</v>
      </c>
      <c r="N31" s="30" t="n">
        <v>0.6719000000000001</v>
      </c>
      <c r="O31" s="31" t="n">
        <v>1.02</v>
      </c>
      <c r="P31" s="31" t="n">
        <v>1</v>
      </c>
      <c r="Q31" s="31" t="n">
        <v>1.87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Isaiah Williams</t>
        </is>
      </c>
      <c r="C32" s="26" t="n">
        <v>5</v>
      </c>
      <c r="D32" s="26" t="inlineStr">
        <is>
          <t>25</t>
        </is>
      </c>
      <c r="E32" s="27" t="inlineStr">
        <is>
          <t>ACT</t>
        </is>
      </c>
      <c r="F32" s="28" t="n"/>
      <c r="G32" s="28" t="n">
        <v>0.0057</v>
      </c>
      <c r="H32" s="28" t="n">
        <v>0.07630000000000001</v>
      </c>
      <c r="I32" s="28" t="n">
        <v>0.0067</v>
      </c>
      <c r="J32" s="29" t="n">
        <v>17</v>
      </c>
      <c r="K32" s="30" t="n"/>
      <c r="L32" s="30" t="n">
        <v>0.0472</v>
      </c>
      <c r="M32" s="30" t="n">
        <v>0.0028</v>
      </c>
      <c r="N32" s="30" t="n">
        <v>0.7181</v>
      </c>
      <c r="O32" s="31" t="n">
        <v>0.91</v>
      </c>
      <c r="P32" s="31" t="n">
        <v>1.19</v>
      </c>
      <c r="Q32" s="31" t="n">
        <v>0.9399999999999999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Arian Smith</t>
        </is>
      </c>
      <c r="C33" s="26" t="n">
        <v>6</v>
      </c>
      <c r="D33" s="26" t="inlineStr">
        <is>
          <t>24</t>
        </is>
      </c>
      <c r="E33" s="27" t="inlineStr">
        <is>
          <t>ACT</t>
        </is>
      </c>
      <c r="F33" s="28" t="n"/>
      <c r="G33" s="28" t="n"/>
      <c r="H33" s="28" t="n">
        <v>0.0339</v>
      </c>
      <c r="I33" s="28" t="n">
        <v>0.0089</v>
      </c>
      <c r="J33" s="29" t="n">
        <v>17</v>
      </c>
      <c r="K33" s="30" t="n"/>
      <c r="L33" s="30" t="n">
        <v>0.0239</v>
      </c>
      <c r="M33" s="30" t="n">
        <v>0.003</v>
      </c>
      <c r="N33" s="30" t="n">
        <v>0.4375</v>
      </c>
      <c r="O33" s="31" t="n">
        <v>0.8</v>
      </c>
      <c r="P33" s="31" t="n">
        <v>0.95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Jamaal Pritchett</t>
        </is>
      </c>
      <c r="C34" s="26" t="n">
        <v>7</v>
      </c>
      <c r="D34" s="26" t="inlineStr">
        <is>
          <t>23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0.012</v>
      </c>
      <c r="M34" s="30" t="n">
        <v>0.0022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Caullin Lacy</t>
        </is>
      </c>
      <c r="C35" s="26" t="n">
        <v>8</v>
      </c>
      <c r="D35" s="26" t="inlineStr">
        <is>
          <t>24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0.0032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Kenyon Sadiq</t>
        </is>
      </c>
      <c r="C37" s="26" t="n">
        <v>1</v>
      </c>
      <c r="D37" s="26" t="inlineStr">
        <is>
          <t>21</t>
        </is>
      </c>
      <c r="E37" s="36" t="inlineStr">
        <is>
          <t>role avg (rookie)</t>
        </is>
      </c>
      <c r="F37" s="28" t="n"/>
      <c r="G37" s="28" t="n"/>
      <c r="H37" s="28" t="n"/>
      <c r="I37" s="28" t="n"/>
      <c r="J37" s="29" t="n">
        <v>17</v>
      </c>
      <c r="K37" s="30" t="n"/>
      <c r="L37" s="30" t="n">
        <v>0.1314</v>
      </c>
      <c r="M37" s="30" t="n">
        <v>0.0026</v>
      </c>
      <c r="N37" s="30" t="n">
        <v>0.65</v>
      </c>
      <c r="O37" s="31" t="n">
        <v>1</v>
      </c>
      <c r="P37" s="31" t="n">
        <v>1</v>
      </c>
      <c r="Q37" s="31" t="n">
        <v>1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Mason Taylor</t>
        </is>
      </c>
      <c r="C38" s="26" t="n">
        <v>2</v>
      </c>
      <c r="D38" s="26" t="inlineStr">
        <is>
          <t>22</t>
        </is>
      </c>
      <c r="E38" s="27" t="inlineStr">
        <is>
          <t>ACT</t>
        </is>
      </c>
      <c r="F38" s="28" t="n"/>
      <c r="G38" s="28" t="n"/>
      <c r="H38" s="28" t="n">
        <v>0.1377</v>
      </c>
      <c r="I38" s="28" t="n"/>
      <c r="J38" s="29" t="n">
        <v>17</v>
      </c>
      <c r="K38" s="30" t="n"/>
      <c r="L38" s="30" t="n">
        <v>0.0936</v>
      </c>
      <c r="M38" s="30" t="n">
        <v>0.0009</v>
      </c>
      <c r="N38" s="30" t="n">
        <v>0.6768999999999999</v>
      </c>
      <c r="O38" s="31" t="n">
        <v>0.97</v>
      </c>
      <c r="P38" s="31" t="n">
        <v>1</v>
      </c>
      <c r="Q38" s="31" t="n">
        <v>1.22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Jeremy Ruckert</t>
        </is>
      </c>
      <c r="C39" s="26" t="n">
        <v>3</v>
      </c>
      <c r="D39" s="26" t="inlineStr">
        <is>
          <t>25</t>
        </is>
      </c>
      <c r="E39" s="27" t="inlineStr">
        <is>
          <t>ACT</t>
        </is>
      </c>
      <c r="F39" s="28" t="n">
        <v>0.0391</v>
      </c>
      <c r="G39" s="28" t="n">
        <v>0.0475</v>
      </c>
      <c r="H39" s="28" t="n">
        <v>0.0614</v>
      </c>
      <c r="I39" s="28" t="n"/>
      <c r="J39" s="29" t="n">
        <v>17</v>
      </c>
      <c r="K39" s="30" t="n"/>
      <c r="L39" s="30" t="n">
        <v>0.0359</v>
      </c>
      <c r="M39" s="30" t="n">
        <v>0.0009</v>
      </c>
      <c r="N39" s="30" t="n">
        <v>0.735</v>
      </c>
      <c r="O39" s="31" t="n">
        <v>0.95</v>
      </c>
      <c r="P39" s="31" t="n">
        <v>1</v>
      </c>
      <c r="Q39" s="31" t="n">
        <v>1.1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Jelani Woods</t>
        </is>
      </c>
      <c r="C40" s="26" t="n">
        <v>4</v>
      </c>
      <c r="D40" s="26" t="inlineStr">
        <is>
          <t>27</t>
        </is>
      </c>
      <c r="E40" s="27" t="inlineStr">
        <is>
          <t>ACT</t>
        </is>
      </c>
      <c r="F40" s="28" t="n"/>
      <c r="G40" s="28" t="n"/>
      <c r="H40" s="28" t="n">
        <v>0.0064</v>
      </c>
      <c r="I40" s="28" t="n"/>
      <c r="J40" s="29" t="n">
        <v>17</v>
      </c>
      <c r="K40" s="30" t="n"/>
      <c r="L40" s="30" t="n">
        <v>0.0061</v>
      </c>
      <c r="M40" s="30" t="n">
        <v>0.0009</v>
      </c>
      <c r="N40" s="30" t="n">
        <v>0.3333</v>
      </c>
      <c r="O40" s="31" t="n">
        <v>0.9</v>
      </c>
      <c r="P40" s="31" t="n">
        <v>1</v>
      </c>
      <c r="Q40" s="31" t="n">
        <v>1.25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PHI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62.2</v>
      </c>
      <c r="D5" s="12">
        <f>C5*B5</f>
        <v/>
      </c>
      <c r="E5" s="13" t="n">
        <v>0.5224</v>
      </c>
      <c r="F5" s="10" t="n">
        <v>513</v>
      </c>
      <c r="G5" s="12">
        <f>ROUND(F5*Settings!$B$4,0)</f>
        <v/>
      </c>
      <c r="H5" s="10" t="n">
        <v>505</v>
      </c>
      <c r="I5" s="10" t="n">
        <v>3717</v>
      </c>
      <c r="J5" s="11" t="n">
        <v>25</v>
      </c>
      <c r="K5" s="11" t="n">
        <v>10</v>
      </c>
      <c r="L5" s="10" t="n">
        <v>2216</v>
      </c>
      <c r="M5" s="11" t="n">
        <v>19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1112</v>
      </c>
      <c r="D8" s="16" t="n">
        <v>65.4118</v>
      </c>
      <c r="E8" s="17" t="n">
        <v>0.5414</v>
      </c>
      <c r="F8" s="15" t="n">
        <v>563</v>
      </c>
      <c r="G8" s="15" t="n">
        <v>510</v>
      </c>
      <c r="H8" s="15" t="n">
        <v>4067</v>
      </c>
      <c r="I8" s="15" t="n">
        <v>2190</v>
      </c>
      <c r="J8" s="15" t="n">
        <v>24</v>
      </c>
      <c r="K8" s="15" t="n">
        <v>22</v>
      </c>
      <c r="L8" s="16" t="n">
        <v>7.2238</v>
      </c>
      <c r="M8" s="16" t="n">
        <v>4.2941</v>
      </c>
    </row>
    <row r="9">
      <c r="B9" s="15" t="n">
        <v>2024</v>
      </c>
      <c r="C9" s="15" t="n">
        <v>1114</v>
      </c>
      <c r="D9" s="16" t="n">
        <v>65.5294</v>
      </c>
      <c r="E9" s="17" t="n">
        <v>0.4425</v>
      </c>
      <c r="F9" s="15" t="n">
        <v>448</v>
      </c>
      <c r="G9" s="15" t="n">
        <v>621</v>
      </c>
      <c r="H9" s="15" t="n">
        <v>3517</v>
      </c>
      <c r="I9" s="15" t="n">
        <v>3048</v>
      </c>
      <c r="J9" s="15" t="n">
        <v>24</v>
      </c>
      <c r="K9" s="15" t="n">
        <v>29</v>
      </c>
      <c r="L9" s="16" t="n">
        <v>7.8504</v>
      </c>
      <c r="M9" s="16" t="n">
        <v>4.9082</v>
      </c>
    </row>
    <row r="10">
      <c r="B10" s="15" t="n">
        <v>2025</v>
      </c>
      <c r="C10" s="15" t="n">
        <v>1010</v>
      </c>
      <c r="D10" s="16" t="n">
        <v>59.4118</v>
      </c>
      <c r="E10" s="17" t="n">
        <v>0.5266999999999999</v>
      </c>
      <c r="F10" s="15" t="n">
        <v>497</v>
      </c>
      <c r="G10" s="15" t="n">
        <v>478</v>
      </c>
      <c r="H10" s="15" t="n">
        <v>3498</v>
      </c>
      <c r="I10" s="15" t="n">
        <v>1988</v>
      </c>
      <c r="J10" s="15" t="n">
        <v>26</v>
      </c>
      <c r="K10" s="15" t="n">
        <v>17</v>
      </c>
      <c r="L10" s="16" t="n">
        <v>7.0382</v>
      </c>
      <c r="M10" s="16" t="n">
        <v>4.159</v>
      </c>
    </row>
    <row r="11"/>
    <row r="12">
      <c r="A12" s="18" t="inlineStr">
        <is>
          <t>OUT</t>
        </is>
      </c>
      <c r="B12" s="19" t="inlineStr">
        <is>
          <t>36% of targets and 3% of carries left. Share is team-relative - it does NOT follow the player.</t>
        </is>
      </c>
      <c r="H12" s="8" t="inlineStr">
        <is>
          <t>A.J. Brown (26t/0r -&gt; NE), Jahan Dotson (8t/0r -&gt; ATL), AJ Dillon (1t/3r -&gt; CAR), Kylen Granson (2t/0r -&gt; TEN)</t>
        </is>
      </c>
    </row>
    <row r="13">
      <c r="A13" s="20" t="inlineStr">
        <is>
          <t>IN</t>
        </is>
      </c>
      <c r="B13" s="21" t="inlineStr">
        <is>
          <t>9 new: Marquise Brown (WR, from KC - had 13% there), Dontayvion Wicks (WR, from GB - had 10% there), Elijah Moore (WR, from BUF - had 4% there), Johnny Mundt (TE, from JAC - had 3% there), Stone Smartt (TE, from NYJ - had 2% there)</t>
        </is>
      </c>
    </row>
    <row r="14">
      <c r="A14" s="7" t="inlineStr">
        <is>
          <t>STAFF</t>
        </is>
      </c>
      <c r="B14" s="22" t="inlineStr">
        <is>
          <t>HC unchanged. OC Sean Mannion under Nick Sirianni. Shift toward under-center looks; wide-zone running scheme.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Jalen Hurts</t>
        </is>
      </c>
      <c r="C17" s="26" t="n">
        <v>1</v>
      </c>
      <c r="D17" s="26" t="inlineStr">
        <is>
          <t>27</t>
        </is>
      </c>
      <c r="E17" s="27" t="inlineStr">
        <is>
          <t>ACT</t>
        </is>
      </c>
      <c r="F17" s="28" t="n"/>
      <c r="G17" s="28" t="n"/>
      <c r="H17" s="28" t="n"/>
      <c r="I17" s="28" t="n">
        <v>0.2035</v>
      </c>
      <c r="J17" s="29" t="n">
        <v>17</v>
      </c>
      <c r="K17" s="30" t="n">
        <v>0.92</v>
      </c>
      <c r="L17" s="30" t="n">
        <v>0.0008</v>
      </c>
      <c r="M17" s="30" t="n">
        <v>0.1712</v>
      </c>
      <c r="N17" s="30" t="n"/>
      <c r="O17" s="31" t="n">
        <v>1</v>
      </c>
      <c r="P17" s="31" t="n">
        <v>0.99</v>
      </c>
      <c r="Q17" s="31" t="n">
        <v>1</v>
      </c>
      <c r="R17" s="31" t="n">
        <v>1.62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Tanner McKee</t>
        </is>
      </c>
      <c r="C18" s="26" t="n">
        <v>2</v>
      </c>
      <c r="D18" s="26" t="inlineStr">
        <is>
          <t>26</t>
        </is>
      </c>
      <c r="E18" s="27" t="inlineStr">
        <is>
          <t>ACT</t>
        </is>
      </c>
      <c r="F18" s="28" t="n"/>
      <c r="G18" s="28" t="n"/>
      <c r="H18" s="28" t="n"/>
      <c r="I18" s="28" t="n">
        <v>0.0065</v>
      </c>
      <c r="J18" s="29" t="n">
        <v>17</v>
      </c>
      <c r="K18" s="30" t="n">
        <v>0.068</v>
      </c>
      <c r="L18" s="30" t="n">
        <v>0.0008</v>
      </c>
      <c r="M18" s="30" t="n">
        <v>0.007900000000000001</v>
      </c>
      <c r="N18" s="30" t="n"/>
      <c r="O18" s="31" t="n">
        <v>1</v>
      </c>
      <c r="P18" s="31" t="n">
        <v>0.93</v>
      </c>
      <c r="Q18" s="31" t="n">
        <v>1</v>
      </c>
      <c r="R18" s="31" t="n">
        <v>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Andy Dalton</t>
        </is>
      </c>
      <c r="C19" s="26" t="n">
        <v>3</v>
      </c>
      <c r="D19" s="26" t="inlineStr">
        <is>
          <t>38</t>
        </is>
      </c>
      <c r="E19" s="36" t="inlineStr">
        <is>
          <t>role avg (from CAR)</t>
        </is>
      </c>
      <c r="F19" s="28" t="n"/>
      <c r="G19" s="28" t="n"/>
      <c r="H19" s="28" t="n"/>
      <c r="I19" s="28" t="n">
        <v>0.0045</v>
      </c>
      <c r="J19" s="29" t="n">
        <v>17</v>
      </c>
      <c r="K19" s="30" t="n">
        <v>0.012</v>
      </c>
      <c r="L19" s="30" t="n">
        <v>0.0018</v>
      </c>
      <c r="M19" s="30" t="n">
        <v>0.0057</v>
      </c>
      <c r="N19" s="30" t="n"/>
      <c r="O19" s="31" t="n">
        <v>1</v>
      </c>
      <c r="P19" s="31" t="n">
        <v>0.91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Saquon Barkley</t>
        </is>
      </c>
      <c r="C21" s="26" t="n">
        <v>1</v>
      </c>
      <c r="D21" s="26" t="inlineStr">
        <is>
          <t>29</t>
        </is>
      </c>
      <c r="E21" s="27" t="inlineStr">
        <is>
          <t>ACT</t>
        </is>
      </c>
      <c r="F21" s="28" t="n">
        <v>0.1237</v>
      </c>
      <c r="G21" s="28" t="n">
        <v>0.1029</v>
      </c>
      <c r="H21" s="28" t="n">
        <v>0.1078</v>
      </c>
      <c r="I21" s="28" t="n">
        <v>0.6061</v>
      </c>
      <c r="J21" s="29" t="n">
        <v>17</v>
      </c>
      <c r="K21" s="30" t="n"/>
      <c r="L21" s="30" t="n">
        <v>0.1017</v>
      </c>
      <c r="M21" s="30" t="n">
        <v>0.4789</v>
      </c>
      <c r="N21" s="30" t="n">
        <v>0.7383</v>
      </c>
      <c r="O21" s="31" t="n">
        <v>0.8100000000000001</v>
      </c>
      <c r="P21" s="31" t="n">
        <v>1</v>
      </c>
      <c r="Q21" s="31" t="n">
        <v>1.13</v>
      </c>
      <c r="R21" s="31" t="n">
        <v>0.87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Tank Bigsby</t>
        </is>
      </c>
      <c r="C22" s="26" t="n">
        <v>2</v>
      </c>
      <c r="D22" s="26" t="inlineStr">
        <is>
          <t>23</t>
        </is>
      </c>
      <c r="E22" s="27" t="inlineStr">
        <is>
          <t>ACT</t>
        </is>
      </c>
      <c r="F22" s="28" t="n">
        <v>0.0066</v>
      </c>
      <c r="G22" s="28" t="n">
        <v>0.023</v>
      </c>
      <c r="H22" s="28" t="n">
        <v>0.0086</v>
      </c>
      <c r="I22" s="28" t="n">
        <v>0.1255</v>
      </c>
      <c r="J22" s="29" t="n">
        <v>17</v>
      </c>
      <c r="K22" s="30" t="n"/>
      <c r="L22" s="30" t="n">
        <v>0.0255</v>
      </c>
      <c r="M22" s="30" t="n">
        <v>0.1671</v>
      </c>
      <c r="N22" s="30" t="n">
        <v>0.5957</v>
      </c>
      <c r="O22" s="31" t="n">
        <v>0.9399999999999999</v>
      </c>
      <c r="P22" s="31" t="n">
        <v>1.12</v>
      </c>
      <c r="Q22" s="31" t="n">
        <v>0.97</v>
      </c>
      <c r="R22" s="31" t="n">
        <v>1.23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Elijah Mitchell</t>
        </is>
      </c>
      <c r="C23" s="26" t="n">
        <v>3</v>
      </c>
      <c r="D23" s="26" t="inlineStr">
        <is>
          <t>28</t>
        </is>
      </c>
      <c r="E23" s="36" t="inlineStr">
        <is>
          <t>role avg (from KC)</t>
        </is>
      </c>
      <c r="F23" s="28" t="n">
        <v>0.017</v>
      </c>
      <c r="G23" s="28" t="n"/>
      <c r="H23" s="28" t="n">
        <v>0.0018</v>
      </c>
      <c r="I23" s="28" t="n"/>
      <c r="J23" s="29" t="n">
        <v>17</v>
      </c>
      <c r="K23" s="30" t="n"/>
      <c r="L23" s="30" t="n">
        <v>0.0136</v>
      </c>
      <c r="M23" s="30" t="n">
        <v>0.0474</v>
      </c>
      <c r="N23" s="30" t="n">
        <v>0.75</v>
      </c>
      <c r="O23" s="31" t="n">
        <v>0.79</v>
      </c>
      <c r="P23" s="31" t="n">
        <v>0.8</v>
      </c>
      <c r="Q23" s="31" t="n">
        <v>1</v>
      </c>
      <c r="R23" s="31" t="n">
        <v>2.23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Dameon Pierce</t>
        </is>
      </c>
      <c r="C24" s="26" t="n">
        <v>4</v>
      </c>
      <c r="D24" s="26" t="inlineStr">
        <is>
          <t>26</t>
        </is>
      </c>
      <c r="E24" s="36" t="inlineStr">
        <is>
          <t>role avg (from KC)</t>
        </is>
      </c>
      <c r="F24" s="28" t="n">
        <v>0.03</v>
      </c>
      <c r="G24" s="28" t="n">
        <v>0.0073</v>
      </c>
      <c r="H24" s="28" t="n"/>
      <c r="I24" s="28" t="n">
        <v>0.009599999999999999</v>
      </c>
      <c r="J24" s="29" t="n">
        <v>17</v>
      </c>
      <c r="K24" s="30" t="n"/>
      <c r="L24" s="30" t="n">
        <v>0.0054</v>
      </c>
      <c r="M24" s="30" t="n">
        <v>0.017</v>
      </c>
      <c r="N24" s="30" t="n">
        <v>0.6215000000000001</v>
      </c>
      <c r="O24" s="31" t="n">
        <v>0.79</v>
      </c>
      <c r="P24" s="31" t="n">
        <v>1.14</v>
      </c>
      <c r="Q24" s="31" t="n">
        <v>1.19</v>
      </c>
      <c r="R24" s="31" t="n">
        <v>2.5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Will Shipley</t>
        </is>
      </c>
      <c r="C25" s="26" t="n">
        <v>5</v>
      </c>
      <c r="D25" s="26" t="inlineStr">
        <is>
          <t>23</t>
        </is>
      </c>
      <c r="E25" s="27" t="inlineStr">
        <is>
          <t>ACT</t>
        </is>
      </c>
      <c r="F25" s="28" t="n"/>
      <c r="G25" s="28" t="n">
        <v>0.009599999999999999</v>
      </c>
      <c r="H25" s="28" t="n">
        <v>0.0259</v>
      </c>
      <c r="I25" s="28" t="n">
        <v>0.0303</v>
      </c>
      <c r="J25" s="29" t="n">
        <v>17</v>
      </c>
      <c r="K25" s="30" t="n"/>
      <c r="L25" s="30" t="n">
        <v>0.0132</v>
      </c>
      <c r="M25" s="30" t="n">
        <v>0.0135</v>
      </c>
      <c r="N25" s="30" t="n">
        <v>0.8476</v>
      </c>
      <c r="O25" s="31" t="n">
        <v>0.93</v>
      </c>
      <c r="P25" s="31" t="n">
        <v>0.85</v>
      </c>
      <c r="Q25" s="31" t="n">
        <v>1.04</v>
      </c>
      <c r="R25" s="31" t="n">
        <v>1.12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Carson Steele</t>
        </is>
      </c>
      <c r="C26" s="26" t="n">
        <v>6</v>
      </c>
      <c r="D26" s="26" t="inlineStr">
        <is>
          <t>23</t>
        </is>
      </c>
      <c r="E26" s="27" t="inlineStr">
        <is>
          <t>ACT</t>
        </is>
      </c>
      <c r="F26" s="28" t="n"/>
      <c r="G26" s="28" t="n">
        <v>0.0192</v>
      </c>
      <c r="H26" s="28" t="n"/>
      <c r="I26" s="28" t="n"/>
      <c r="J26" s="29" t="n">
        <v>17</v>
      </c>
      <c r="K26" s="30" t="n"/>
      <c r="L26" s="30" t="n">
        <v>0.0125</v>
      </c>
      <c r="M26" s="30" t="n">
        <v>0.0683</v>
      </c>
      <c r="N26" s="30" t="n">
        <v>0.6364</v>
      </c>
      <c r="O26" s="31" t="n">
        <v>0.76</v>
      </c>
      <c r="P26" s="31" t="n">
        <v>0.84</v>
      </c>
      <c r="Q26" s="31" t="n">
        <v>0.98</v>
      </c>
      <c r="R26" s="31" t="n">
        <v>1.28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DeVonta Smith</t>
        </is>
      </c>
      <c r="C28" s="26" t="n">
        <v>1</v>
      </c>
      <c r="D28" s="26" t="inlineStr">
        <is>
          <t>27</t>
        </is>
      </c>
      <c r="E28" s="41" t="inlineStr">
        <is>
          <t>QUESTIONABLE</t>
        </is>
      </c>
      <c r="F28" s="28" t="n">
        <v>0.2133</v>
      </c>
      <c r="G28" s="28" t="n">
        <v>0.2129</v>
      </c>
      <c r="H28" s="28" t="n">
        <v>0.2435</v>
      </c>
      <c r="I28" s="28" t="n"/>
      <c r="J28" s="29" t="n">
        <v>17</v>
      </c>
      <c r="K28" s="30" t="n"/>
      <c r="L28" s="30" t="n">
        <v>0.2282</v>
      </c>
      <c r="M28" s="30" t="n">
        <v>0.0044</v>
      </c>
      <c r="N28" s="30" t="n">
        <v>0.7106</v>
      </c>
      <c r="O28" s="31" t="n">
        <v>1.15</v>
      </c>
      <c r="P28" s="31" t="n">
        <v>0.96</v>
      </c>
      <c r="Q28" s="31" t="n">
        <v>0.86</v>
      </c>
      <c r="R28" s="31" t="n">
        <v>1.05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Makai Lemon</t>
        </is>
      </c>
      <c r="C29" s="26" t="n">
        <v>2</v>
      </c>
      <c r="D29" s="26" t="inlineStr">
        <is>
          <t>22</t>
        </is>
      </c>
      <c r="E29" s="36" t="inlineStr">
        <is>
          <t>role avg (rookie)</t>
        </is>
      </c>
      <c r="F29" s="28" t="n"/>
      <c r="G29" s="28" t="n"/>
      <c r="H29" s="28" t="n"/>
      <c r="I29" s="28" t="n"/>
      <c r="J29" s="29" t="n">
        <v>17</v>
      </c>
      <c r="K29" s="30" t="n"/>
      <c r="L29" s="30" t="n">
        <v>0.1774</v>
      </c>
      <c r="M29" s="30" t="n">
        <v>0.0037</v>
      </c>
      <c r="N29" s="30" t="n">
        <v>0.65</v>
      </c>
      <c r="O29" s="31" t="n">
        <v>1</v>
      </c>
      <c r="P29" s="31" t="n">
        <v>1</v>
      </c>
      <c r="Q29" s="31" t="n">
        <v>1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Marquise Brown</t>
        </is>
      </c>
      <c r="C30" s="26" t="n">
        <v>3</v>
      </c>
      <c r="D30" s="26" t="inlineStr">
        <is>
          <t>29</t>
        </is>
      </c>
      <c r="E30" s="36" t="inlineStr">
        <is>
          <t>role avg (from KC)</t>
        </is>
      </c>
      <c r="F30" s="28" t="n">
        <v>0.187</v>
      </c>
      <c r="G30" s="28" t="n">
        <v>0.0262</v>
      </c>
      <c r="H30" s="28" t="n">
        <v>0.1348</v>
      </c>
      <c r="I30" s="28" t="n"/>
      <c r="J30" s="29" t="n">
        <v>17</v>
      </c>
      <c r="K30" s="30" t="n"/>
      <c r="L30" s="30" t="n">
        <v>0.0772</v>
      </c>
      <c r="M30" s="30" t="n">
        <v>0.0024</v>
      </c>
      <c r="N30" s="30" t="n">
        <v>0.6203</v>
      </c>
      <c r="O30" s="31" t="n">
        <v>1.03</v>
      </c>
      <c r="P30" s="31" t="n">
        <v>1.11</v>
      </c>
      <c r="Q30" s="31" t="n">
        <v>1.35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Dontayvion Wicks</t>
        </is>
      </c>
      <c r="C31" s="26" t="n">
        <v>4</v>
      </c>
      <c r="D31" s="26" t="inlineStr">
        <is>
          <t>25</t>
        </is>
      </c>
      <c r="E31" s="36" t="inlineStr">
        <is>
          <t>role avg (from GB)</t>
        </is>
      </c>
      <c r="F31" s="28" t="n">
        <v>0.1034</v>
      </c>
      <c r="G31" s="28" t="n">
        <v>0.1638</v>
      </c>
      <c r="H31" s="28" t="n">
        <v>0.1</v>
      </c>
      <c r="I31" s="28" t="n">
        <v>0.0021</v>
      </c>
      <c r="J31" s="29" t="n">
        <v>17</v>
      </c>
      <c r="K31" s="30" t="n"/>
      <c r="L31" s="30" t="n">
        <v>0.0393</v>
      </c>
      <c r="M31" s="30" t="n">
        <v>0.002</v>
      </c>
      <c r="N31" s="30" t="n">
        <v>0.6092</v>
      </c>
      <c r="O31" s="31" t="n">
        <v>0.91</v>
      </c>
      <c r="P31" s="31" t="n">
        <v>1</v>
      </c>
      <c r="Q31" s="31" t="n">
        <v>1.9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Elijah Moore</t>
        </is>
      </c>
      <c r="C32" s="26" t="n">
        <v>5</v>
      </c>
      <c r="D32" s="26" t="inlineStr">
        <is>
          <t>26</t>
        </is>
      </c>
      <c r="E32" s="36" t="inlineStr">
        <is>
          <t>role avg (from BUF)</t>
        </is>
      </c>
      <c r="F32" s="28" t="n">
        <v>0.1742</v>
      </c>
      <c r="G32" s="28" t="n">
        <v>0.1609</v>
      </c>
      <c r="H32" s="28" t="n">
        <v>0.0355</v>
      </c>
      <c r="I32" s="28" t="n">
        <v>0.0115</v>
      </c>
      <c r="J32" s="29" t="n">
        <v>17</v>
      </c>
      <c r="K32" s="30" t="n"/>
      <c r="L32" s="30" t="n">
        <v>0.0221</v>
      </c>
      <c r="M32" s="30" t="n">
        <v>0.002</v>
      </c>
      <c r="N32" s="30" t="n">
        <v>0.5662</v>
      </c>
      <c r="O32" s="31" t="n">
        <v>0.88</v>
      </c>
      <c r="P32" s="31" t="n">
        <v>0.89</v>
      </c>
      <c r="Q32" s="31" t="n">
        <v>2.5</v>
      </c>
      <c r="R32" s="31" t="n">
        <v>1.45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Quez Watkins</t>
        </is>
      </c>
      <c r="C33" s="26" t="n">
        <v>6</v>
      </c>
      <c r="D33" s="26" t="inlineStr">
        <is>
          <t>28</t>
        </is>
      </c>
      <c r="E33" s="27" t="inlineStr">
        <is>
          <t>ACT</t>
        </is>
      </c>
      <c r="F33" s="28" t="n">
        <v>0.04</v>
      </c>
      <c r="G33" s="28" t="n"/>
      <c r="H33" s="28" t="n"/>
      <c r="I33" s="28" t="n"/>
      <c r="J33" s="29" t="n">
        <v>17</v>
      </c>
      <c r="K33" s="30" t="n"/>
      <c r="L33" s="30" t="n">
        <v>0.0282</v>
      </c>
      <c r="M33" s="30" t="n">
        <v>0.0007</v>
      </c>
      <c r="N33" s="30" t="n">
        <v>0.7143</v>
      </c>
      <c r="O33" s="31" t="n">
        <v>0.9399999999999999</v>
      </c>
      <c r="P33" s="31" t="n">
        <v>1</v>
      </c>
      <c r="Q33" s="31" t="n">
        <v>1.3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Darius Cooper</t>
        </is>
      </c>
      <c r="C34" s="26" t="n">
        <v>7</v>
      </c>
      <c r="D34" s="26" t="inlineStr">
        <is>
          <t>24</t>
        </is>
      </c>
      <c r="E34" s="27" t="inlineStr">
        <is>
          <t>ACT</t>
        </is>
      </c>
      <c r="F34" s="28" t="n"/>
      <c r="G34" s="28" t="n"/>
      <c r="H34" s="28" t="n">
        <v>0.0237</v>
      </c>
      <c r="I34" s="28" t="n"/>
      <c r="J34" s="29" t="n">
        <v>17</v>
      </c>
      <c r="K34" s="30" t="n"/>
      <c r="L34" s="30" t="n">
        <v>0.0173</v>
      </c>
      <c r="M34" s="30" t="n">
        <v>0.0008</v>
      </c>
      <c r="N34" s="30" t="n">
        <v>0.8182</v>
      </c>
      <c r="O34" s="31" t="n">
        <v>1.04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Britain Covey</t>
        </is>
      </c>
      <c r="C35" s="26" t="n">
        <v>8</v>
      </c>
      <c r="D35" s="26" t="inlineStr">
        <is>
          <t>29</t>
        </is>
      </c>
      <c r="E35" s="41" t="inlineStr">
        <is>
          <t>QUESTIONABLE</t>
        </is>
      </c>
      <c r="F35" s="28" t="n">
        <v>0.0114</v>
      </c>
      <c r="G35" s="28" t="n">
        <v>0.0191</v>
      </c>
      <c r="H35" s="28" t="n">
        <v>0.0086</v>
      </c>
      <c r="I35" s="28" t="n"/>
      <c r="J35" s="29" t="n">
        <v>17</v>
      </c>
      <c r="K35" s="30" t="n"/>
      <c r="L35" s="30" t="n">
        <v>0.008699999999999999</v>
      </c>
      <c r="M35" s="30" t="n">
        <v>0.0007</v>
      </c>
      <c r="N35" s="30" t="n">
        <v>0.6423</v>
      </c>
      <c r="O35" s="31" t="n">
        <v>0.9399999999999999</v>
      </c>
      <c r="P35" s="31" t="n">
        <v>1</v>
      </c>
      <c r="Q35" s="31" t="n">
        <v>1.26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Dallas Goedert</t>
        </is>
      </c>
      <c r="C37" s="26" t="n">
        <v>1</v>
      </c>
      <c r="D37" s="26" t="inlineStr">
        <is>
          <t>31</t>
        </is>
      </c>
      <c r="E37" s="27" t="inlineStr">
        <is>
          <t>ACT</t>
        </is>
      </c>
      <c r="F37" s="28" t="n">
        <v>0.1581</v>
      </c>
      <c r="G37" s="28" t="n">
        <v>0.1244</v>
      </c>
      <c r="H37" s="28" t="n">
        <v>0.1767</v>
      </c>
      <c r="I37" s="28" t="n"/>
      <c r="J37" s="29" t="n">
        <v>17</v>
      </c>
      <c r="K37" s="30" t="n"/>
      <c r="L37" s="30" t="n">
        <v>0.1518</v>
      </c>
      <c r="M37" s="30" t="n">
        <v>0.0018</v>
      </c>
      <c r="N37" s="30" t="n">
        <v>0.7445000000000001</v>
      </c>
      <c r="O37" s="31" t="n">
        <v>0.99</v>
      </c>
      <c r="P37" s="31" t="n">
        <v>0.96</v>
      </c>
      <c r="Q37" s="31" t="n">
        <v>1.31</v>
      </c>
      <c r="R37" s="31" t="n">
        <v>1.4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Eli Stowers</t>
        </is>
      </c>
      <c r="C38" s="26" t="n">
        <v>2</v>
      </c>
      <c r="D38" s="26" t="inlineStr">
        <is>
          <t>23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0.0416</v>
      </c>
      <c r="M38" s="30" t="n">
        <v>0.002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Grant Calcaterra</t>
        </is>
      </c>
      <c r="C39" s="26" t="n">
        <v>3</v>
      </c>
      <c r="D39" s="26" t="inlineStr">
        <is>
          <t>27</t>
        </is>
      </c>
      <c r="E39" s="27" t="inlineStr">
        <is>
          <t>ACT</t>
        </is>
      </c>
      <c r="F39" s="28" t="n">
        <v>0.0076</v>
      </c>
      <c r="G39" s="28" t="n">
        <v>0.0718</v>
      </c>
      <c r="H39" s="28" t="n">
        <v>0.028</v>
      </c>
      <c r="I39" s="28" t="n"/>
      <c r="J39" s="29" t="n">
        <v>17</v>
      </c>
      <c r="K39" s="30" t="n"/>
      <c r="L39" s="30" t="n">
        <v>0.0281</v>
      </c>
      <c r="M39" s="30" t="n">
        <v>0.0008</v>
      </c>
      <c r="N39" s="30" t="n">
        <v>0.7867</v>
      </c>
      <c r="O39" s="31" t="n">
        <v>1</v>
      </c>
      <c r="P39" s="31" t="n">
        <v>1</v>
      </c>
      <c r="Q39" s="31" t="n">
        <v>1.1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Johnny Mundt</t>
        </is>
      </c>
      <c r="C40" s="26" t="n">
        <v>4</v>
      </c>
      <c r="D40" s="26" t="inlineStr">
        <is>
          <t>31</t>
        </is>
      </c>
      <c r="E40" s="36" t="inlineStr">
        <is>
          <t>role avg (from JAC)</t>
        </is>
      </c>
      <c r="F40" s="28" t="n">
        <v>0.038</v>
      </c>
      <c r="G40" s="28" t="n">
        <v>0.0522</v>
      </c>
      <c r="H40" s="28" t="n">
        <v>0.0347</v>
      </c>
      <c r="I40" s="28" t="n"/>
      <c r="J40" s="29" t="n">
        <v>17</v>
      </c>
      <c r="K40" s="30" t="n"/>
      <c r="L40" s="30" t="n">
        <v>0.0049</v>
      </c>
      <c r="M40" s="30" t="n">
        <v>0.002</v>
      </c>
      <c r="N40" s="30" t="n">
        <v>0.5995</v>
      </c>
      <c r="O40" s="31" t="n">
        <v>0.88</v>
      </c>
      <c r="P40" s="31" t="n">
        <v>1</v>
      </c>
      <c r="Q40" s="31" t="n">
        <v>2.5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PIT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60.9</v>
      </c>
      <c r="D5" s="12">
        <f>C5*B5</f>
        <v/>
      </c>
      <c r="E5" s="13" t="n">
        <v>0.5556</v>
      </c>
      <c r="F5" s="10" t="n">
        <v>536</v>
      </c>
      <c r="G5" s="12">
        <f>ROUND(F5*Settings!$B$4,0)</f>
        <v/>
      </c>
      <c r="H5" s="10" t="n">
        <v>460</v>
      </c>
      <c r="I5" s="10" t="n">
        <v>3698</v>
      </c>
      <c r="J5" s="11" t="n">
        <v>23</v>
      </c>
      <c r="K5" s="11" t="n">
        <v>10</v>
      </c>
      <c r="L5" s="10" t="n">
        <v>1952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1029</v>
      </c>
      <c r="D8" s="16" t="n">
        <v>60.5294</v>
      </c>
      <c r="E8" s="17" t="n">
        <v>0.5266999999999999</v>
      </c>
      <c r="F8" s="15" t="n">
        <v>506</v>
      </c>
      <c r="G8" s="15" t="n">
        <v>487</v>
      </c>
      <c r="H8" s="15" t="n">
        <v>3421</v>
      </c>
      <c r="I8" s="15" t="n">
        <v>2010</v>
      </c>
      <c r="J8" s="15" t="n">
        <v>13</v>
      </c>
      <c r="K8" s="15" t="n">
        <v>16</v>
      </c>
      <c r="L8" s="16" t="n">
        <v>6.7609</v>
      </c>
      <c r="M8" s="16" t="n">
        <v>4.1273</v>
      </c>
    </row>
    <row r="9">
      <c r="B9" s="15" t="n">
        <v>2024</v>
      </c>
      <c r="C9" s="15" t="n">
        <v>1081</v>
      </c>
      <c r="D9" s="16" t="n">
        <v>63.5882</v>
      </c>
      <c r="E9" s="17" t="n">
        <v>0.5069</v>
      </c>
      <c r="F9" s="15" t="n">
        <v>499</v>
      </c>
      <c r="G9" s="15" t="n">
        <v>533</v>
      </c>
      <c r="H9" s="15" t="n">
        <v>3607</v>
      </c>
      <c r="I9" s="15" t="n">
        <v>2166</v>
      </c>
      <c r="J9" s="15" t="n">
        <v>21</v>
      </c>
      <c r="K9" s="15" t="n">
        <v>14</v>
      </c>
      <c r="L9" s="16" t="n">
        <v>7.2285</v>
      </c>
      <c r="M9" s="16" t="n">
        <v>4.0638</v>
      </c>
    </row>
    <row r="10">
      <c r="B10" s="15" t="n">
        <v>2025</v>
      </c>
      <c r="C10" s="15" t="n">
        <v>988</v>
      </c>
      <c r="D10" s="16" t="n">
        <v>58.1176</v>
      </c>
      <c r="E10" s="17" t="n">
        <v>0.5881</v>
      </c>
      <c r="F10" s="15" t="n">
        <v>550</v>
      </c>
      <c r="G10" s="15" t="n">
        <v>407</v>
      </c>
      <c r="H10" s="15" t="n">
        <v>3632</v>
      </c>
      <c r="I10" s="15" t="n">
        <v>1756</v>
      </c>
      <c r="J10" s="15" t="n">
        <v>26</v>
      </c>
      <c r="K10" s="15" t="n">
        <v>16</v>
      </c>
      <c r="L10" s="16" t="n">
        <v>6.6036</v>
      </c>
      <c r="M10" s="16" t="n">
        <v>4.3145</v>
      </c>
    </row>
    <row r="11"/>
    <row r="12">
      <c r="A12" s="18" t="inlineStr">
        <is>
          <t>OUT</t>
        </is>
      </c>
      <c r="B12" s="19" t="inlineStr">
        <is>
          <t>44% of targets and 35% of carries left. Share is team-relative - it does NOT follow the player.</t>
        </is>
      </c>
      <c r="H12" s="8" t="inlineStr">
        <is>
          <t>Kenneth Gainwell (16t/29r -&gt; NOT ON ANY ROSTER), Calvin Austin III (11t/0r -&gt; NYG), Jonnu Smith (10t/2r -&gt; NOT ON ANY ROSTER), Connor Heyward (1t/4r -&gt; LV), Adam Thielen (3t/0r -&gt; NOT ON ANY ROSTER)</t>
        </is>
      </c>
    </row>
    <row r="13">
      <c r="A13" s="20" t="inlineStr">
        <is>
          <t>IN</t>
        </is>
      </c>
      <c r="B13" s="21" t="inlineStr">
        <is>
          <t>5 new: Rico Dowdle (RB, from CAR - had 10% there), Michael Pittman (WR, from IND - had 21% there), Jakobie Keeney-James (WR, from GB - had 0% there), Travis Homer (RB, from CHI), Robert Tonyan (TE, from KC - had 0% there)</t>
        </is>
      </c>
    </row>
    <row r="14">
      <c r="A14" s="7" t="inlineStr">
        <is>
          <t>STAFF</t>
        </is>
      </c>
      <c r="B14" s="22" t="inlineStr">
        <is>
          <t>NEW HC Mike McCarthy + OC Brian Angelichio. West Coast principles; moderate pass rates.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Aaron Rodgers</t>
        </is>
      </c>
      <c r="C17" s="26" t="n">
        <v>1</v>
      </c>
      <c r="D17" s="26" t="inlineStr">
        <is>
          <t>42</t>
        </is>
      </c>
      <c r="E17" s="27" t="inlineStr">
        <is>
          <t>ACT</t>
        </is>
      </c>
      <c r="F17" s="28" t="n"/>
      <c r="G17" s="28" t="n"/>
      <c r="H17" s="28" t="n">
        <v>0.0019</v>
      </c>
      <c r="I17" s="28" t="n">
        <v>0.0329</v>
      </c>
      <c r="J17" s="29" t="n">
        <v>17</v>
      </c>
      <c r="K17" s="30" t="n">
        <v>0.92</v>
      </c>
      <c r="L17" s="30" t="n">
        <v>0.0019</v>
      </c>
      <c r="M17" s="30" t="n">
        <v>0.0504</v>
      </c>
      <c r="N17" s="30" t="n"/>
      <c r="O17" s="31" t="n">
        <v>1</v>
      </c>
      <c r="P17" s="31" t="n">
        <v>1.09</v>
      </c>
      <c r="Q17" s="31" t="n">
        <v>1</v>
      </c>
      <c r="R17" s="31" t="n">
        <v>0.96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Mason Rudolph</t>
        </is>
      </c>
      <c r="C18" s="26" t="n">
        <v>2</v>
      </c>
      <c r="D18" s="26" t="inlineStr">
        <is>
          <t>31</t>
        </is>
      </c>
      <c r="E18" s="27" t="inlineStr">
        <is>
          <t>ACT</t>
        </is>
      </c>
      <c r="F18" s="28" t="n"/>
      <c r="G18" s="28" t="n"/>
      <c r="H18" s="28" t="n"/>
      <c r="I18" s="28" t="n">
        <v>0.0076</v>
      </c>
      <c r="J18" s="29" t="n">
        <v>17</v>
      </c>
      <c r="K18" s="30" t="n">
        <v>0.068</v>
      </c>
      <c r="L18" s="30" t="n">
        <v>0.0008</v>
      </c>
      <c r="M18" s="30" t="n">
        <v>0.0255</v>
      </c>
      <c r="N18" s="30" t="n"/>
      <c r="O18" s="31" t="n">
        <v>1</v>
      </c>
      <c r="P18" s="31" t="n">
        <v>0.88</v>
      </c>
      <c r="Q18" s="31" t="n">
        <v>1</v>
      </c>
      <c r="R18" s="31" t="n">
        <v>1.11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Drew Allar</t>
        </is>
      </c>
      <c r="C19" s="26" t="n">
        <v>3</v>
      </c>
      <c r="D19" s="26" t="inlineStr">
        <is>
          <t>22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0.0019</v>
      </c>
      <c r="M19" s="30" t="n">
        <v>0.0127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Rico Dowdle</t>
        </is>
      </c>
      <c r="C21" s="26" t="n">
        <v>1</v>
      </c>
      <c r="D21" s="26" t="inlineStr">
        <is>
          <t>28</t>
        </is>
      </c>
      <c r="E21" s="36" t="inlineStr">
        <is>
          <t>role avg (from CAR)</t>
        </is>
      </c>
      <c r="F21" s="28" t="n">
        <v>0.0364</v>
      </c>
      <c r="G21" s="28" t="n">
        <v>0.0788</v>
      </c>
      <c r="H21" s="28" t="n">
        <v>0.1042</v>
      </c>
      <c r="I21" s="28" t="n">
        <v>0.5327</v>
      </c>
      <c r="J21" s="29" t="n">
        <v>17</v>
      </c>
      <c r="K21" s="30" t="n"/>
      <c r="L21" s="30" t="n">
        <v>0.1202</v>
      </c>
      <c r="M21" s="30" t="n">
        <v>0.4824</v>
      </c>
      <c r="N21" s="30" t="n">
        <v>0.7832</v>
      </c>
      <c r="O21" s="31" t="n">
        <v>0.89</v>
      </c>
      <c r="P21" s="31" t="n">
        <v>1.03</v>
      </c>
      <c r="Q21" s="31" t="n">
        <v>0.83</v>
      </c>
      <c r="R21" s="31" t="n">
        <v>0.83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Jaylen Warren</t>
        </is>
      </c>
      <c r="C22" s="26" t="n">
        <v>2</v>
      </c>
      <c r="D22" s="26" t="inlineStr">
        <is>
          <t>27</t>
        </is>
      </c>
      <c r="E22" s="27" t="inlineStr">
        <is>
          <t>ACT</t>
        </is>
      </c>
      <c r="F22" s="28" t="n">
        <v>0.1529</v>
      </c>
      <c r="G22" s="28" t="n">
        <v>0.1022</v>
      </c>
      <c r="H22" s="28" t="n">
        <v>0.0862</v>
      </c>
      <c r="I22" s="28" t="n">
        <v>0.5342</v>
      </c>
      <c r="J22" s="29" t="n">
        <v>17</v>
      </c>
      <c r="K22" s="30" t="n"/>
      <c r="L22" s="30" t="n">
        <v>0.09089999999999999</v>
      </c>
      <c r="M22" s="30" t="n">
        <v>0.2867</v>
      </c>
      <c r="N22" s="30" t="n">
        <v>0.8522999999999999</v>
      </c>
      <c r="O22" s="31" t="n">
        <v>0.9399999999999999</v>
      </c>
      <c r="P22" s="31" t="n">
        <v>1.06</v>
      </c>
      <c r="Q22" s="31" t="n">
        <v>1</v>
      </c>
      <c r="R22" s="31" t="n">
        <v>1.14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Eli Heidenreich</t>
        </is>
      </c>
      <c r="C23" s="26" t="n">
        <v>3</v>
      </c>
      <c r="D23" s="26" t="inlineStr">
        <is>
          <t>23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0.0276</v>
      </c>
      <c r="M23" s="30" t="n">
        <v>0.0541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Kaleb Johnson</t>
        </is>
      </c>
      <c r="C24" s="26" t="n">
        <v>4</v>
      </c>
      <c r="D24" s="26" t="inlineStr">
        <is>
          <t>22</t>
        </is>
      </c>
      <c r="E24" s="27" t="inlineStr">
        <is>
          <t>ACT</t>
        </is>
      </c>
      <c r="F24" s="28" t="n"/>
      <c r="G24" s="28" t="n"/>
      <c r="H24" s="28" t="n">
        <v>0.0038</v>
      </c>
      <c r="I24" s="28" t="n">
        <v>0.0709</v>
      </c>
      <c r="J24" s="29" t="n">
        <v>17</v>
      </c>
      <c r="K24" s="30" t="n"/>
      <c r="L24" s="30" t="n">
        <v>0.0056</v>
      </c>
      <c r="M24" s="30" t="n">
        <v>0.0388</v>
      </c>
      <c r="N24" s="30" t="n">
        <v>0.5</v>
      </c>
      <c r="O24" s="31" t="n">
        <v>0.97</v>
      </c>
      <c r="P24" s="31" t="n">
        <v>0.74</v>
      </c>
      <c r="Q24" s="31" t="n">
        <v>1</v>
      </c>
      <c r="R24" s="31" t="n">
        <v>1.08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Lew Nichols</t>
        </is>
      </c>
      <c r="C25" s="26" t="n">
        <v>5</v>
      </c>
      <c r="D25" s="26" t="inlineStr">
        <is>
          <t>24</t>
        </is>
      </c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0.0048</v>
      </c>
      <c r="M25" s="30" t="n">
        <v>0.009900000000000001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Travis Homer</t>
        </is>
      </c>
      <c r="C26" s="26" t="n">
        <v>6</v>
      </c>
      <c r="D26" s="26" t="inlineStr">
        <is>
          <t>27</t>
        </is>
      </c>
      <c r="E26" s="36" t="inlineStr">
        <is>
          <t>role avg (from CHI)</t>
        </is>
      </c>
      <c r="F26" s="28" t="n">
        <v>0.0021</v>
      </c>
      <c r="G26" s="28" t="n">
        <v>0.0057</v>
      </c>
      <c r="H26" s="28" t="n"/>
      <c r="I26" s="28" t="n">
        <v>0.002</v>
      </c>
      <c r="J26" s="29" t="n">
        <v>17</v>
      </c>
      <c r="K26" s="30" t="n"/>
      <c r="L26" s="30" t="n">
        <v>0.0036</v>
      </c>
      <c r="M26" s="30" t="n">
        <v>0.0042</v>
      </c>
      <c r="N26" s="30" t="n">
        <v>1</v>
      </c>
      <c r="O26" s="31" t="n">
        <v>0.96</v>
      </c>
      <c r="P26" s="31" t="n">
        <v>0.89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DK Metcalf</t>
        </is>
      </c>
      <c r="C28" s="26" t="n">
        <v>1</v>
      </c>
      <c r="D28" s="26" t="inlineStr">
        <is>
          <t>28</t>
        </is>
      </c>
      <c r="E28" s="27" t="inlineStr">
        <is>
          <t>ACT</t>
        </is>
      </c>
      <c r="F28" s="28" t="n">
        <v>0.2176</v>
      </c>
      <c r="G28" s="28" t="n">
        <v>0.1898</v>
      </c>
      <c r="H28" s="28" t="n">
        <v>0.1897</v>
      </c>
      <c r="I28" s="28" t="n">
        <v>0.0051</v>
      </c>
      <c r="J28" s="29" t="n">
        <v>17</v>
      </c>
      <c r="K28" s="30" t="n"/>
      <c r="L28" s="30" t="n">
        <v>0.2075</v>
      </c>
      <c r="M28" s="30" t="n">
        <v>0.0081</v>
      </c>
      <c r="N28" s="30" t="n">
        <v>0.5917</v>
      </c>
      <c r="O28" s="31" t="n">
        <v>1.19</v>
      </c>
      <c r="P28" s="31" t="n">
        <v>1.03</v>
      </c>
      <c r="Q28" s="31" t="n">
        <v>0.99</v>
      </c>
      <c r="R28" s="31" t="n">
        <v>1.05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Michael Pittman</t>
        </is>
      </c>
      <c r="C29" s="26" t="n">
        <v>2</v>
      </c>
      <c r="D29" s="26" t="inlineStr">
        <is>
          <t>28</t>
        </is>
      </c>
      <c r="E29" s="36" t="inlineStr">
        <is>
          <t>role avg (from IND)</t>
        </is>
      </c>
      <c r="F29" s="28" t="n">
        <v>0.2857</v>
      </c>
      <c r="G29" s="28" t="n">
        <v>0.2256</v>
      </c>
      <c r="H29" s="28" t="n">
        <v>0.2094</v>
      </c>
      <c r="I29" s="28" t="n"/>
      <c r="J29" s="29" t="n">
        <v>17</v>
      </c>
      <c r="K29" s="30" t="n"/>
      <c r="L29" s="30" t="n">
        <v>0.1423</v>
      </c>
      <c r="M29" s="30" t="n">
        <v>0.0063</v>
      </c>
      <c r="N29" s="30" t="n">
        <v>0.6876</v>
      </c>
      <c r="O29" s="31" t="n">
        <v>0.97</v>
      </c>
      <c r="P29" s="31" t="n">
        <v>1</v>
      </c>
      <c r="Q29" s="31" t="n">
        <v>1.28</v>
      </c>
      <c r="R29" s="31" t="n">
        <v>1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Germie Bernard</t>
        </is>
      </c>
      <c r="C30" s="26" t="n">
        <v>3</v>
      </c>
      <c r="D30" s="26" t="inlineStr">
        <is>
          <t>22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0.0863</v>
      </c>
      <c r="M30" s="30" t="n">
        <v>0.0036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Roman Wilson</t>
        </is>
      </c>
      <c r="C31" s="26" t="n">
        <v>4</v>
      </c>
      <c r="D31" s="26" t="inlineStr">
        <is>
          <t>25</t>
        </is>
      </c>
      <c r="E31" s="27" t="inlineStr">
        <is>
          <t>ACT</t>
        </is>
      </c>
      <c r="F31" s="28" t="n"/>
      <c r="G31" s="28" t="n"/>
      <c r="H31" s="28" t="n">
        <v>0.0402</v>
      </c>
      <c r="I31" s="28" t="n"/>
      <c r="J31" s="29" t="n">
        <v>17</v>
      </c>
      <c r="K31" s="30" t="n"/>
      <c r="L31" s="30" t="n">
        <v>0.0427</v>
      </c>
      <c r="M31" s="30" t="n">
        <v>0.0008</v>
      </c>
      <c r="N31" s="30" t="n">
        <v>0.5714</v>
      </c>
      <c r="O31" s="31" t="n">
        <v>1.07</v>
      </c>
      <c r="P31" s="31" t="n">
        <v>1</v>
      </c>
      <c r="Q31" s="31" t="n">
        <v>0.93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Ben Skowronek</t>
        </is>
      </c>
      <c r="C32" s="26" t="n">
        <v>5</v>
      </c>
      <c r="D32" s="26" t="inlineStr">
        <is>
          <t>29</t>
        </is>
      </c>
      <c r="E32" s="27" t="inlineStr">
        <is>
          <t>ACT</t>
        </is>
      </c>
      <c r="F32" s="28" t="n">
        <v>0.0216</v>
      </c>
      <c r="G32" s="28" t="n">
        <v>0.0109</v>
      </c>
      <c r="H32" s="28" t="n">
        <v>0.0115</v>
      </c>
      <c r="I32" s="28" t="n"/>
      <c r="J32" s="29" t="n">
        <v>17</v>
      </c>
      <c r="K32" s="30" t="n"/>
      <c r="L32" s="30" t="n">
        <v>0.0167</v>
      </c>
      <c r="M32" s="30" t="n">
        <v>0.0032</v>
      </c>
      <c r="N32" s="30" t="n">
        <v>0.7338</v>
      </c>
      <c r="O32" s="31" t="n">
        <v>1.12</v>
      </c>
      <c r="P32" s="31" t="n">
        <v>1</v>
      </c>
      <c r="Q32" s="31" t="n">
        <v>0.98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Kaden Wetjen</t>
        </is>
      </c>
      <c r="C33" s="26" t="n">
        <v>6</v>
      </c>
      <c r="D33" s="26" t="inlineStr">
        <is>
          <t>24</t>
        </is>
      </c>
      <c r="E33" s="36" t="inlineStr">
        <is>
          <t>role avg (rookie)</t>
        </is>
      </c>
      <c r="F33" s="28" t="n"/>
      <c r="G33" s="28" t="n"/>
      <c r="H33" s="28" t="n"/>
      <c r="I33" s="28" t="n"/>
      <c r="J33" s="29" t="n">
        <v>17</v>
      </c>
      <c r="K33" s="30" t="n"/>
      <c r="L33" s="30" t="n">
        <v>0.0105</v>
      </c>
      <c r="M33" s="30" t="n">
        <v>0.002</v>
      </c>
      <c r="N33" s="30" t="n">
        <v>0.65</v>
      </c>
      <c r="O33" s="31" t="n">
        <v>1</v>
      </c>
      <c r="P33" s="31" t="n">
        <v>1</v>
      </c>
      <c r="Q33" s="31" t="n">
        <v>1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A.T. Perry</t>
        </is>
      </c>
      <c r="C34" s="26" t="n">
        <v>7</v>
      </c>
      <c r="D34" s="26" t="inlineStr">
        <is>
          <t>26</t>
        </is>
      </c>
      <c r="E34" s="27" t="inlineStr">
        <is>
          <t>ACT</t>
        </is>
      </c>
      <c r="F34" s="28" t="n">
        <v>0.0311</v>
      </c>
      <c r="G34" s="28" t="n"/>
      <c r="H34" s="28" t="n"/>
      <c r="I34" s="28" t="n"/>
      <c r="J34" s="29" t="n">
        <v>17</v>
      </c>
      <c r="K34" s="30" t="n"/>
      <c r="L34" s="30" t="n">
        <v>0.0207</v>
      </c>
      <c r="M34" s="30" t="n">
        <v>0.0008</v>
      </c>
      <c r="N34" s="30" t="n">
        <v>0.6667</v>
      </c>
      <c r="O34" s="31" t="n">
        <v>1.41</v>
      </c>
      <c r="P34" s="31" t="n">
        <v>1</v>
      </c>
      <c r="Q34" s="31" t="n">
        <v>1.67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Brandon Smith</t>
        </is>
      </c>
      <c r="C35" s="26" t="n">
        <v>8</v>
      </c>
      <c r="D35" s="26" t="inlineStr">
        <is>
          <t>27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0.0051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Pat Freiermuth</t>
        </is>
      </c>
      <c r="C37" s="26" t="n">
        <v>1</v>
      </c>
      <c r="D37" s="26" t="inlineStr">
        <is>
          <t>27</t>
        </is>
      </c>
      <c r="E37" s="27" t="inlineStr">
        <is>
          <t>ACT</t>
        </is>
      </c>
      <c r="F37" s="28" t="n">
        <v>0.09710000000000001</v>
      </c>
      <c r="G37" s="28" t="n">
        <v>0.1696</v>
      </c>
      <c r="H37" s="28" t="n">
        <v>0.1034</v>
      </c>
      <c r="I37" s="28" t="n"/>
      <c r="J37" s="29" t="n">
        <v>17</v>
      </c>
      <c r="K37" s="30" t="n"/>
      <c r="L37" s="30" t="n">
        <v>0.1304</v>
      </c>
      <c r="M37" s="30" t="n">
        <v>0.0048</v>
      </c>
      <c r="N37" s="30" t="n">
        <v>0.7711</v>
      </c>
      <c r="O37" s="31" t="n">
        <v>1.12</v>
      </c>
      <c r="P37" s="31" t="n">
        <v>1</v>
      </c>
      <c r="Q37" s="31" t="n">
        <v>1.11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Darnell Washington</t>
        </is>
      </c>
      <c r="C38" s="26" t="n">
        <v>2</v>
      </c>
      <c r="D38" s="26" t="inlineStr">
        <is>
          <t>24</t>
        </is>
      </c>
      <c r="E38" s="27" t="inlineStr">
        <is>
          <t>ACT</t>
        </is>
      </c>
      <c r="F38" s="28" t="n">
        <v>0.0207</v>
      </c>
      <c r="G38" s="28" t="n">
        <v>0.0543</v>
      </c>
      <c r="H38" s="28" t="n">
        <v>0.0824</v>
      </c>
      <c r="I38" s="28" t="n"/>
      <c r="J38" s="29" t="n">
        <v>17</v>
      </c>
      <c r="K38" s="30" t="n"/>
      <c r="L38" s="30" t="n">
        <v>0.0589</v>
      </c>
      <c r="M38" s="30" t="n">
        <v>0.0008</v>
      </c>
      <c r="N38" s="30" t="n">
        <v>0.7287</v>
      </c>
      <c r="O38" s="31" t="n">
        <v>1.05</v>
      </c>
      <c r="P38" s="31" t="n">
        <v>1</v>
      </c>
      <c r="Q38" s="31" t="n">
        <v>1.07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Jaheim Bell</t>
        </is>
      </c>
      <c r="C39" s="26" t="n">
        <v>3</v>
      </c>
      <c r="D39" s="26" t="inlineStr">
        <is>
          <t>25</t>
        </is>
      </c>
      <c r="E39" s="27" t="inlineStr">
        <is>
          <t>ACT</t>
        </is>
      </c>
      <c r="F39" s="28" t="n"/>
      <c r="G39" s="28" t="n">
        <v>0.006</v>
      </c>
      <c r="H39" s="28" t="n"/>
      <c r="I39" s="28" t="n"/>
      <c r="J39" s="29" t="n">
        <v>17</v>
      </c>
      <c r="K39" s="30" t="n"/>
      <c r="L39" s="30" t="n">
        <v>0.0147</v>
      </c>
      <c r="M39" s="30" t="n">
        <v>0.0008</v>
      </c>
      <c r="N39" s="30" t="n">
        <v>0.6667</v>
      </c>
      <c r="O39" s="31" t="n">
        <v>1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Robert Tonyan</t>
        </is>
      </c>
      <c r="C40" s="26" t="n">
        <v>4</v>
      </c>
      <c r="D40" s="26" t="inlineStr">
        <is>
          <t>32</t>
        </is>
      </c>
      <c r="E40" s="36" t="inlineStr">
        <is>
          <t>role avg (from KC)</t>
        </is>
      </c>
      <c r="F40" s="28" t="n">
        <v>0.0356</v>
      </c>
      <c r="G40" s="28" t="n"/>
      <c r="H40" s="28" t="n">
        <v>0.0018</v>
      </c>
      <c r="I40" s="28" t="n"/>
      <c r="J40" s="29" t="n">
        <v>17</v>
      </c>
      <c r="K40" s="30" t="n"/>
      <c r="L40" s="30" t="n">
        <v>0.007</v>
      </c>
      <c r="M40" s="30" t="n">
        <v>0.0021</v>
      </c>
      <c r="N40" s="30" t="n">
        <v>0.8992</v>
      </c>
      <c r="O40" s="31" t="n">
        <v>0.86</v>
      </c>
      <c r="P40" s="31" t="n">
        <v>1</v>
      </c>
      <c r="Q40" s="31" t="n">
        <v>1.83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SEA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60.6</v>
      </c>
      <c r="D5" s="12">
        <f>C5*B5</f>
        <v/>
      </c>
      <c r="E5" s="13" t="n">
        <v>0.5629999999999999</v>
      </c>
      <c r="F5" s="10" t="n">
        <v>542</v>
      </c>
      <c r="G5" s="12">
        <f>ROUND(F5*Settings!$B$4,0)</f>
        <v/>
      </c>
      <c r="H5" s="10" t="n">
        <v>450</v>
      </c>
      <c r="I5" s="10" t="n">
        <v>4143</v>
      </c>
      <c r="J5" s="11" t="n">
        <v>24</v>
      </c>
      <c r="K5" s="11" t="n">
        <v>14</v>
      </c>
      <c r="L5" s="10" t="n">
        <v>1900</v>
      </c>
      <c r="M5" s="11" t="n">
        <v>16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995</v>
      </c>
      <c r="D8" s="16" t="n">
        <v>58.5294</v>
      </c>
      <c r="E8" s="17" t="n">
        <v>0.6161</v>
      </c>
      <c r="F8" s="15" t="n">
        <v>575</v>
      </c>
      <c r="G8" s="15" t="n">
        <v>382</v>
      </c>
      <c r="H8" s="15" t="n">
        <v>4167</v>
      </c>
      <c r="I8" s="15" t="n">
        <v>1580</v>
      </c>
      <c r="J8" s="15" t="n">
        <v>23</v>
      </c>
      <c r="K8" s="15" t="n">
        <v>11</v>
      </c>
      <c r="L8" s="16" t="n">
        <v>7.247</v>
      </c>
      <c r="M8" s="16" t="n">
        <v>4.1361</v>
      </c>
    </row>
    <row r="9">
      <c r="B9" s="15" t="n">
        <v>2024</v>
      </c>
      <c r="C9" s="15" t="n">
        <v>1030</v>
      </c>
      <c r="D9" s="16" t="n">
        <v>60.5882</v>
      </c>
      <c r="E9" s="17" t="n">
        <v>0.6282</v>
      </c>
      <c r="F9" s="15" t="n">
        <v>593</v>
      </c>
      <c r="G9" s="15" t="n">
        <v>383</v>
      </c>
      <c r="H9" s="15" t="n">
        <v>4379</v>
      </c>
      <c r="I9" s="15" t="n">
        <v>1627</v>
      </c>
      <c r="J9" s="15" t="n">
        <v>21</v>
      </c>
      <c r="K9" s="15" t="n">
        <v>17</v>
      </c>
      <c r="L9" s="16" t="n">
        <v>7.3845</v>
      </c>
      <c r="M9" s="16" t="n">
        <v>4.248</v>
      </c>
    </row>
    <row r="10">
      <c r="B10" s="15" t="n">
        <v>2025</v>
      </c>
      <c r="C10" s="15" t="n">
        <v>1015</v>
      </c>
      <c r="D10" s="16" t="n">
        <v>59.7059</v>
      </c>
      <c r="E10" s="17" t="n">
        <v>0.5004999999999999</v>
      </c>
      <c r="F10" s="15" t="n">
        <v>481</v>
      </c>
      <c r="G10" s="15" t="n">
        <v>507</v>
      </c>
      <c r="H10" s="15" t="n">
        <v>4063</v>
      </c>
      <c r="I10" s="15" t="n">
        <v>2096</v>
      </c>
      <c r="J10" s="15" t="n">
        <v>25</v>
      </c>
      <c r="K10" s="15" t="n">
        <v>19</v>
      </c>
      <c r="L10" s="16" t="n">
        <v>8.446999999999999</v>
      </c>
      <c r="M10" s="16" t="n">
        <v>4.1341</v>
      </c>
    </row>
    <row r="11"/>
    <row r="12">
      <c r="A12" s="18" t="inlineStr">
        <is>
          <t>OUT</t>
        </is>
      </c>
      <c r="B12" s="19" t="inlineStr">
        <is>
          <t>8% of targets and 45% of carries left. Share is team-relative - it does NOT follow the player.</t>
        </is>
      </c>
      <c r="H12" s="8" t="inlineStr">
        <is>
          <t>Kenneth Walker III (8t/45r -&gt; KC)</t>
        </is>
      </c>
    </row>
    <row r="13">
      <c r="A13" s="20" t="inlineStr">
        <is>
          <t>IN</t>
        </is>
      </c>
      <c r="B13" s="21" t="inlineStr">
        <is>
          <t>1 new: Emanuel Wilson (RB, from GB - had 4% there)</t>
        </is>
      </c>
    </row>
    <row r="14">
      <c r="A14" s="7" t="inlineStr">
        <is>
          <t>STAFF</t>
        </is>
      </c>
      <c r="B14" s="22" t="inlineStr">
        <is>
          <t>HC unchanged. OC Brian Fleury. Lot of the same stuff as his predecessor; similar personnel deployment.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Sam Darnold</t>
        </is>
      </c>
      <c r="C17" s="26" t="n">
        <v>1</v>
      </c>
      <c r="D17" s="26" t="inlineStr">
        <is>
          <t>29</t>
        </is>
      </c>
      <c r="E17" s="27" t="inlineStr">
        <is>
          <t>ACT</t>
        </is>
      </c>
      <c r="F17" s="28" t="n"/>
      <c r="G17" s="28" t="n"/>
      <c r="H17" s="28" t="n"/>
      <c r="I17" s="28" t="n">
        <v>0.0449</v>
      </c>
      <c r="J17" s="29" t="n">
        <v>17</v>
      </c>
      <c r="K17" s="30" t="n">
        <v>0.92</v>
      </c>
      <c r="L17" s="30" t="n">
        <v>0.0007</v>
      </c>
      <c r="M17" s="30" t="n">
        <v>0.065</v>
      </c>
      <c r="N17" s="30" t="n"/>
      <c r="O17" s="31" t="n">
        <v>1</v>
      </c>
      <c r="P17" s="31" t="n">
        <v>0.97</v>
      </c>
      <c r="Q17" s="31" t="n">
        <v>1</v>
      </c>
      <c r="R17" s="31" t="n">
        <v>1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Drew Lock</t>
        </is>
      </c>
      <c r="C18" s="26" t="n">
        <v>2</v>
      </c>
      <c r="D18" s="26" t="inlineStr">
        <is>
          <t>29</t>
        </is>
      </c>
      <c r="E18" s="27" t="inlineStr">
        <is>
          <t>ACT</t>
        </is>
      </c>
      <c r="F18" s="28" t="n"/>
      <c r="G18" s="28" t="n"/>
      <c r="H18" s="28" t="n"/>
      <c r="I18" s="28" t="n">
        <v>0.0041</v>
      </c>
      <c r="J18" s="29" t="n">
        <v>17</v>
      </c>
      <c r="K18" s="30" t="n">
        <v>0.068</v>
      </c>
      <c r="L18" s="30" t="n">
        <v>0.0008</v>
      </c>
      <c r="M18" s="30" t="n">
        <v>0.0133</v>
      </c>
      <c r="N18" s="30" t="n"/>
      <c r="O18" s="31" t="n">
        <v>1</v>
      </c>
      <c r="P18" s="31" t="n">
        <v>0.9399999999999999</v>
      </c>
      <c r="Q18" s="31" t="n">
        <v>1</v>
      </c>
      <c r="R18" s="31" t="n">
        <v>1.3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Jalen Milroe</t>
        </is>
      </c>
      <c r="C19" s="26" t="n">
        <v>3</v>
      </c>
      <c r="D19" s="26" t="inlineStr">
        <is>
          <t>23</t>
        </is>
      </c>
      <c r="E19" s="27" t="inlineStr">
        <is>
          <t>ACT</t>
        </is>
      </c>
      <c r="F19" s="28" t="n"/>
      <c r="G19" s="28" t="n"/>
      <c r="H19" s="28" t="n"/>
      <c r="I19" s="28" t="n">
        <v>0.0061</v>
      </c>
      <c r="J19" s="29" t="n">
        <v>17</v>
      </c>
      <c r="K19" s="30" t="n">
        <v>0.012</v>
      </c>
      <c r="L19" s="30" t="n">
        <v>0.0008</v>
      </c>
      <c r="M19" s="30" t="n">
        <v>0.0063</v>
      </c>
      <c r="N19" s="30" t="n"/>
      <c r="O19" s="31" t="n">
        <v>1</v>
      </c>
      <c r="P19" s="31" t="n">
        <v>0.91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Jadarian Price</t>
        </is>
      </c>
      <c r="C21" s="26" t="n">
        <v>1</v>
      </c>
      <c r="D21" s="26" t="inlineStr">
        <is>
          <t>22</t>
        </is>
      </c>
      <c r="E21" s="36" t="inlineStr">
        <is>
          <t>role avg (rookie)</t>
        </is>
      </c>
      <c r="F21" s="28" t="n"/>
      <c r="G21" s="28" t="n"/>
      <c r="H21" s="28" t="n"/>
      <c r="I21" s="28" t="n"/>
      <c r="J21" s="29" t="n">
        <v>17</v>
      </c>
      <c r="K21" s="30" t="n"/>
      <c r="L21" s="30" t="n">
        <v>0.0877</v>
      </c>
      <c r="M21" s="30" t="n">
        <v>0.463</v>
      </c>
      <c r="N21" s="30" t="n">
        <v>0.75</v>
      </c>
      <c r="O21" s="31" t="n">
        <v>1</v>
      </c>
      <c r="P21" s="31" t="n">
        <v>1</v>
      </c>
      <c r="Q21" s="31" t="n">
        <v>1</v>
      </c>
      <c r="R21" s="31" t="n">
        <v>1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Zach Charbonnet</t>
        </is>
      </c>
      <c r="C22" s="26" t="n">
        <v>2</v>
      </c>
      <c r="D22" s="26" t="inlineStr">
        <is>
          <t>25</t>
        </is>
      </c>
      <c r="E22" s="41" t="inlineStr">
        <is>
          <t>PUP</t>
        </is>
      </c>
      <c r="F22" s="28" t="n">
        <v>0.0731</v>
      </c>
      <c r="G22" s="28" t="n">
        <v>0.0914</v>
      </c>
      <c r="H22" s="28" t="n">
        <v>0.0527</v>
      </c>
      <c r="I22" s="28" t="n">
        <v>0.3755</v>
      </c>
      <c r="J22" s="29" t="n">
        <v>17</v>
      </c>
      <c r="K22" s="30" t="n"/>
      <c r="L22" s="30" t="n">
        <v>0.0631</v>
      </c>
      <c r="M22" s="30" t="n">
        <v>0.305</v>
      </c>
      <c r="N22" s="30" t="n">
        <v>0.8237</v>
      </c>
      <c r="O22" s="31" t="n">
        <v>0.83</v>
      </c>
      <c r="P22" s="31" t="n">
        <v>0.96</v>
      </c>
      <c r="Q22" s="31" t="n">
        <v>0.9</v>
      </c>
      <c r="R22" s="31" t="n">
        <v>1.31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Emanuel Wilson</t>
        </is>
      </c>
      <c r="C23" s="26" t="n">
        <v>3</v>
      </c>
      <c r="D23" s="26" t="inlineStr">
        <is>
          <t>27</t>
        </is>
      </c>
      <c r="E23" s="36" t="inlineStr">
        <is>
          <t>role avg (from GB)</t>
        </is>
      </c>
      <c r="F23" s="28" t="n">
        <v>0.0089</v>
      </c>
      <c r="G23" s="28" t="n">
        <v>0.0302</v>
      </c>
      <c r="H23" s="28" t="n">
        <v>0.037</v>
      </c>
      <c r="I23" s="28" t="n">
        <v>0.2637</v>
      </c>
      <c r="J23" s="29" t="n">
        <v>17</v>
      </c>
      <c r="K23" s="30" t="n"/>
      <c r="L23" s="30" t="n">
        <v>0.0135</v>
      </c>
      <c r="M23" s="30" t="n">
        <v>0.0576</v>
      </c>
      <c r="N23" s="30" t="n">
        <v>0.8418</v>
      </c>
      <c r="O23" s="31" t="n">
        <v>0.82</v>
      </c>
      <c r="P23" s="31" t="n">
        <v>0.99</v>
      </c>
      <c r="Q23" s="31" t="n">
        <v>1.23</v>
      </c>
      <c r="R23" s="31" t="n">
        <v>2.5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George Holani</t>
        </is>
      </c>
      <c r="C24" s="26" t="n">
        <v>4</v>
      </c>
      <c r="D24" s="26" t="inlineStr">
        <is>
          <t>26</t>
        </is>
      </c>
      <c r="E24" s="27" t="inlineStr">
        <is>
          <t>ACT</t>
        </is>
      </c>
      <c r="F24" s="28" t="n"/>
      <c r="G24" s="28" t="n">
        <v>0.0018</v>
      </c>
      <c r="H24" s="28" t="n">
        <v>0.0044</v>
      </c>
      <c r="I24" s="28" t="n">
        <v>0.0449</v>
      </c>
      <c r="J24" s="29" t="n">
        <v>17</v>
      </c>
      <c r="K24" s="30" t="n"/>
      <c r="L24" s="30" t="n">
        <v>0.0041</v>
      </c>
      <c r="M24" s="30" t="n">
        <v>0.0223</v>
      </c>
      <c r="N24" s="30" t="n">
        <v>1</v>
      </c>
      <c r="O24" s="31" t="n">
        <v>0.97</v>
      </c>
      <c r="P24" s="31" t="n">
        <v>0.89</v>
      </c>
      <c r="Q24" s="31" t="n">
        <v>1</v>
      </c>
      <c r="R24" s="31" t="n">
        <v>1.26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Jacardia Wright</t>
        </is>
      </c>
      <c r="C25" s="26" t="n">
        <v>5</v>
      </c>
      <c r="D25" s="26" t="inlineStr">
        <is>
          <t>25</t>
        </is>
      </c>
      <c r="E25" s="27" t="inlineStr">
        <is>
          <t>ACT</t>
        </is>
      </c>
      <c r="F25" s="28" t="n"/>
      <c r="G25" s="28" t="n"/>
      <c r="H25" s="28" t="n"/>
      <c r="I25" s="28" t="n">
        <v>0.0102</v>
      </c>
      <c r="J25" s="29" t="n">
        <v>17</v>
      </c>
      <c r="K25" s="30" t="n"/>
      <c r="L25" s="30" t="n">
        <v>0.0019</v>
      </c>
      <c r="M25" s="30" t="n">
        <v>0.008800000000000001</v>
      </c>
      <c r="N25" s="30" t="n"/>
      <c r="O25" s="31" t="n">
        <v>1</v>
      </c>
      <c r="P25" s="31" t="n">
        <v>0.99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Robbie Ouzts</t>
        </is>
      </c>
      <c r="C26" s="26" t="n">
        <v>6</v>
      </c>
      <c r="D26" s="26" t="inlineStr">
        <is>
          <t>23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0.0034</v>
      </c>
      <c r="M26" s="30" t="n">
        <v>0.0042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Jaxon Smith-Njigba</t>
        </is>
      </c>
      <c r="C28" s="26" t="n">
        <v>1</v>
      </c>
      <c r="D28" s="26" t="inlineStr">
        <is>
          <t>24</t>
        </is>
      </c>
      <c r="E28" s="27" t="inlineStr">
        <is>
          <t>ACT</t>
        </is>
      </c>
      <c r="F28" s="28" t="n">
        <v>0.17</v>
      </c>
      <c r="G28" s="28" t="n">
        <v>0.2408</v>
      </c>
      <c r="H28" s="28" t="n">
        <v>0.3582</v>
      </c>
      <c r="I28" s="28" t="n">
        <v>0.0143</v>
      </c>
      <c r="J28" s="29" t="n">
        <v>17</v>
      </c>
      <c r="K28" s="30" t="n"/>
      <c r="L28" s="30" t="n">
        <v>0.2659</v>
      </c>
      <c r="M28" s="30" t="n">
        <v>0.0132</v>
      </c>
      <c r="N28" s="30" t="n">
        <v>0.7195</v>
      </c>
      <c r="O28" s="31" t="n">
        <v>1.1</v>
      </c>
      <c r="P28" s="31" t="n">
        <v>1.05</v>
      </c>
      <c r="Q28" s="31" t="n">
        <v>0.93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Rashid Shaheed</t>
        </is>
      </c>
      <c r="C29" s="26" t="n">
        <v>2</v>
      </c>
      <c r="D29" s="26" t="inlineStr">
        <is>
          <t>27</t>
        </is>
      </c>
      <c r="E29" s="27" t="inlineStr">
        <is>
          <t>ACT</t>
        </is>
      </c>
      <c r="F29" s="28" t="n">
        <v>0.1295</v>
      </c>
      <c r="G29" s="28" t="n">
        <v>0.0793</v>
      </c>
      <c r="H29" s="28" t="n">
        <v>0.0571</v>
      </c>
      <c r="I29" s="28" t="n">
        <v>0.0143</v>
      </c>
      <c r="J29" s="29" t="n">
        <v>17</v>
      </c>
      <c r="K29" s="30" t="n"/>
      <c r="L29" s="30" t="n">
        <v>0.1148</v>
      </c>
      <c r="M29" s="30" t="n">
        <v>0.0091</v>
      </c>
      <c r="N29" s="30" t="n">
        <v>0.5714</v>
      </c>
      <c r="O29" s="31" t="n">
        <v>1.03</v>
      </c>
      <c r="P29" s="31" t="n">
        <v>1.18</v>
      </c>
      <c r="Q29" s="31" t="n">
        <v>0.85</v>
      </c>
      <c r="R29" s="31" t="n">
        <v>2.09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Cooper Kupp</t>
        </is>
      </c>
      <c r="C30" s="26" t="n">
        <v>3</v>
      </c>
      <c r="D30" s="26" t="inlineStr">
        <is>
          <t>33</t>
        </is>
      </c>
      <c r="E30" s="27" t="inlineStr">
        <is>
          <t>ACT</t>
        </is>
      </c>
      <c r="F30" s="28" t="n">
        <v>0.1712</v>
      </c>
      <c r="G30" s="28" t="n">
        <v>0.1848</v>
      </c>
      <c r="H30" s="28" t="n">
        <v>0.1538</v>
      </c>
      <c r="I30" s="28" t="n"/>
      <c r="J30" s="29" t="n">
        <v>17</v>
      </c>
      <c r="K30" s="30" t="n"/>
      <c r="L30" s="30" t="n">
        <v>0.1389</v>
      </c>
      <c r="M30" s="30" t="n">
        <v>0.0043</v>
      </c>
      <c r="N30" s="30" t="n">
        <v>0.6624</v>
      </c>
      <c r="O30" s="31" t="n">
        <v>0.96</v>
      </c>
      <c r="P30" s="31" t="n">
        <v>0.96</v>
      </c>
      <c r="Q30" s="31" t="n">
        <v>1.2</v>
      </c>
      <c r="R30" s="31" t="n">
        <v>1.17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Tory Horton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/>
      <c r="H31" s="28" t="n">
        <v>0.0484</v>
      </c>
      <c r="I31" s="28" t="n"/>
      <c r="J31" s="29" t="n">
        <v>17</v>
      </c>
      <c r="K31" s="30" t="n"/>
      <c r="L31" s="30" t="n">
        <v>0.0461</v>
      </c>
      <c r="M31" s="30" t="n">
        <v>0.0008</v>
      </c>
      <c r="N31" s="30" t="n">
        <v>0.5909</v>
      </c>
      <c r="O31" s="31" t="n">
        <v>0.91</v>
      </c>
      <c r="P31" s="31" t="n">
        <v>1</v>
      </c>
      <c r="Q31" s="31" t="n">
        <v>1.12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Cody White</t>
        </is>
      </c>
      <c r="C32" s="26" t="n">
        <v>5</v>
      </c>
      <c r="D32" s="26" t="inlineStr">
        <is>
          <t>27</t>
        </is>
      </c>
      <c r="E32" s="27" t="inlineStr">
        <is>
          <t>ACT</t>
        </is>
      </c>
      <c r="F32" s="28" t="n"/>
      <c r="G32" s="28" t="n">
        <v>0.0053</v>
      </c>
      <c r="H32" s="28" t="n">
        <v>0.008800000000000001</v>
      </c>
      <c r="I32" s="28" t="n"/>
      <c r="J32" s="29" t="n">
        <v>17</v>
      </c>
      <c r="K32" s="30" t="n"/>
      <c r="L32" s="30" t="n">
        <v>0.0106</v>
      </c>
      <c r="M32" s="30" t="n">
        <v>0.0008</v>
      </c>
      <c r="N32" s="30" t="n">
        <v>0.7339</v>
      </c>
      <c r="O32" s="31" t="n">
        <v>1.22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Jake Bobo</t>
        </is>
      </c>
      <c r="C33" s="26" t="n">
        <v>6</v>
      </c>
      <c r="D33" s="26" t="inlineStr">
        <is>
          <t>28</t>
        </is>
      </c>
      <c r="E33" s="41" t="inlineStr">
        <is>
          <t>QUESTIONABLE</t>
        </is>
      </c>
      <c r="F33" s="28" t="n">
        <v>0.0457</v>
      </c>
      <c r="G33" s="28" t="n">
        <v>0.0299</v>
      </c>
      <c r="H33" s="28" t="n">
        <v>0.0044</v>
      </c>
      <c r="I33" s="28" t="n"/>
      <c r="J33" s="29" t="n">
        <v>17</v>
      </c>
      <c r="K33" s="30" t="n"/>
      <c r="L33" s="30" t="n">
        <v>0.0173</v>
      </c>
      <c r="M33" s="30" t="n">
        <v>0.0023</v>
      </c>
      <c r="N33" s="30" t="n">
        <v>0.856</v>
      </c>
      <c r="O33" s="31" t="n">
        <v>0.99</v>
      </c>
      <c r="P33" s="31" t="n">
        <v>0.99</v>
      </c>
      <c r="Q33" s="31" t="n">
        <v>1.44</v>
      </c>
      <c r="R33" s="31" t="n">
        <v>1.53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Velus Jones</t>
        </is>
      </c>
      <c r="C34" s="26" t="n">
        <v>7</v>
      </c>
      <c r="D34" s="26" t="inlineStr">
        <is>
          <t>29</t>
        </is>
      </c>
      <c r="E34" s="27" t="inlineStr">
        <is>
          <t>ACT</t>
        </is>
      </c>
      <c r="F34" s="28" t="n">
        <v>0.0147</v>
      </c>
      <c r="G34" s="28" t="n">
        <v>0.0019</v>
      </c>
      <c r="H34" s="28" t="n"/>
      <c r="I34" s="28" t="n">
        <v>0.008200000000000001</v>
      </c>
      <c r="J34" s="29" t="n">
        <v>17</v>
      </c>
      <c r="K34" s="30" t="n"/>
      <c r="L34" s="30" t="n">
        <v>0.0098</v>
      </c>
      <c r="M34" s="30" t="n">
        <v>0.0036</v>
      </c>
      <c r="N34" s="30" t="n">
        <v>0.6129</v>
      </c>
      <c r="O34" s="31" t="n">
        <v>0.87</v>
      </c>
      <c r="P34" s="31" t="n">
        <v>1.13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Ricky White</t>
        </is>
      </c>
      <c r="C35" s="26" t="n">
        <v>8</v>
      </c>
      <c r="D35" s="26" t="inlineStr">
        <is>
          <t>24</t>
        </is>
      </c>
      <c r="E35" s="36" t="inlineStr">
        <is>
          <t>role avg (rookie)</t>
        </is>
      </c>
      <c r="F35" s="28" t="n"/>
      <c r="G35" s="28" t="n"/>
      <c r="H35" s="28" t="n"/>
      <c r="I35" s="28" t="n"/>
      <c r="J35" s="29" t="n">
        <v>17</v>
      </c>
      <c r="K35" s="30" t="n"/>
      <c r="L35" s="30" t="n">
        <v>0.0049</v>
      </c>
      <c r="M35" s="30" t="n">
        <v>0.002</v>
      </c>
      <c r="N35" s="30" t="n">
        <v>0.65</v>
      </c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AJ Barner</t>
        </is>
      </c>
      <c r="C37" s="26" t="n">
        <v>1</v>
      </c>
      <c r="D37" s="26" t="inlineStr">
        <is>
          <t>24</t>
        </is>
      </c>
      <c r="E37" s="27" t="inlineStr">
        <is>
          <t>ACT</t>
        </is>
      </c>
      <c r="F37" s="28" t="n"/>
      <c r="G37" s="28" t="n">
        <v>0.0668</v>
      </c>
      <c r="H37" s="28" t="n">
        <v>0.1495</v>
      </c>
      <c r="I37" s="28" t="n">
        <v>0.0204</v>
      </c>
      <c r="J37" s="29" t="n">
        <v>17</v>
      </c>
      <c r="K37" s="30" t="n"/>
      <c r="L37" s="30" t="n">
        <v>0.1211</v>
      </c>
      <c r="M37" s="30" t="n">
        <v>0.0157</v>
      </c>
      <c r="N37" s="30" t="n">
        <v>0.774</v>
      </c>
      <c r="O37" s="31" t="n">
        <v>0.89</v>
      </c>
      <c r="P37" s="31" t="n">
        <v>0.78</v>
      </c>
      <c r="Q37" s="31" t="n">
        <v>1.21</v>
      </c>
      <c r="R37" s="31" t="n">
        <v>1.25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Elijah Arroyo</t>
        </is>
      </c>
      <c r="C38" s="26" t="n">
        <v>2</v>
      </c>
      <c r="D38" s="26" t="inlineStr">
        <is>
          <t>23</t>
        </is>
      </c>
      <c r="E38" s="27" t="inlineStr">
        <is>
          <t>ACT</t>
        </is>
      </c>
      <c r="F38" s="28" t="n"/>
      <c r="G38" s="28" t="n"/>
      <c r="H38" s="28" t="n">
        <v>0.0571</v>
      </c>
      <c r="I38" s="28" t="n"/>
      <c r="J38" s="29" t="n">
        <v>17</v>
      </c>
      <c r="K38" s="30" t="n"/>
      <c r="L38" s="30" t="n">
        <v>0.0552</v>
      </c>
      <c r="M38" s="30" t="n">
        <v>0.0008</v>
      </c>
      <c r="N38" s="30" t="n">
        <v>0.5769</v>
      </c>
      <c r="O38" s="31" t="n">
        <v>0.87</v>
      </c>
      <c r="P38" s="31" t="n">
        <v>1</v>
      </c>
      <c r="Q38" s="31" t="n">
        <v>1.17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Nick Vannett</t>
        </is>
      </c>
      <c r="C39" s="26" t="n">
        <v>3</v>
      </c>
      <c r="D39" s="26" t="inlineStr">
        <is>
          <t>33</t>
        </is>
      </c>
      <c r="E39" s="27" t="inlineStr">
        <is>
          <t>ACT</t>
        </is>
      </c>
      <c r="F39" s="28" t="n">
        <v>0.0016</v>
      </c>
      <c r="G39" s="28" t="n">
        <v>0.0394</v>
      </c>
      <c r="H39" s="28" t="n"/>
      <c r="I39" s="28" t="n"/>
      <c r="J39" s="29" t="n">
        <v>17</v>
      </c>
      <c r="K39" s="30" t="n"/>
      <c r="L39" s="30" t="n">
        <v>0.0265</v>
      </c>
      <c r="M39" s="30" t="n">
        <v>0.0008</v>
      </c>
      <c r="N39" s="30" t="n">
        <v>0.8858</v>
      </c>
      <c r="O39" s="31" t="n">
        <v>0.92</v>
      </c>
      <c r="P39" s="31" t="n">
        <v>1</v>
      </c>
      <c r="Q39" s="31" t="n">
        <v>2.2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Eric Saubert</t>
        </is>
      </c>
      <c r="C40" s="26" t="n">
        <v>4</v>
      </c>
      <c r="D40" s="26" t="inlineStr">
        <is>
          <t>32</t>
        </is>
      </c>
      <c r="E40" s="27" t="inlineStr">
        <is>
          <t>ACT</t>
        </is>
      </c>
      <c r="F40" s="28" t="n">
        <v>0.0053</v>
      </c>
      <c r="G40" s="28" t="n">
        <v>0.0273</v>
      </c>
      <c r="H40" s="28" t="n">
        <v>0.0154</v>
      </c>
      <c r="I40" s="28" t="n"/>
      <c r="J40" s="29" t="n">
        <v>17</v>
      </c>
      <c r="K40" s="30" t="n"/>
      <c r="L40" s="30" t="n">
        <v>0.0129</v>
      </c>
      <c r="M40" s="30" t="n">
        <v>0.0008</v>
      </c>
      <c r="N40" s="30" t="n">
        <v>0.7218</v>
      </c>
      <c r="O40" s="31" t="n">
        <v>0.88</v>
      </c>
      <c r="P40" s="31" t="n">
        <v>1</v>
      </c>
      <c r="Q40" s="31" t="n">
        <v>1.65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SF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61.9</v>
      </c>
      <c r="D5" s="12">
        <f>C5*B5</f>
        <v/>
      </c>
      <c r="E5" s="13" t="n">
        <v>0.5522</v>
      </c>
      <c r="F5" s="10" t="n">
        <v>547</v>
      </c>
      <c r="G5" s="12">
        <f>ROUND(F5*Settings!$B$4,0)</f>
        <v/>
      </c>
      <c r="H5" s="10" t="n">
        <v>472</v>
      </c>
      <c r="I5" s="10" t="n">
        <v>4273</v>
      </c>
      <c r="J5" s="11" t="n">
        <v>28</v>
      </c>
      <c r="K5" s="11" t="n">
        <v>14</v>
      </c>
      <c r="L5" s="10" t="n">
        <v>2022</v>
      </c>
      <c r="M5" s="11" t="n">
        <v>17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1024</v>
      </c>
      <c r="D8" s="16" t="n">
        <v>60.2353</v>
      </c>
      <c r="E8" s="17" t="n">
        <v>0.5127</v>
      </c>
      <c r="F8" s="15" t="n">
        <v>491</v>
      </c>
      <c r="G8" s="15" t="n">
        <v>499</v>
      </c>
      <c r="H8" s="15" t="n">
        <v>4577</v>
      </c>
      <c r="I8" s="15" t="n">
        <v>2389</v>
      </c>
      <c r="J8" s="15" t="n">
        <v>33</v>
      </c>
      <c r="K8" s="15" t="n">
        <v>27</v>
      </c>
      <c r="L8" s="16" t="n">
        <v>9.3218</v>
      </c>
      <c r="M8" s="16" t="n">
        <v>4.7876</v>
      </c>
    </row>
    <row r="9">
      <c r="B9" s="15" t="n">
        <v>2024</v>
      </c>
      <c r="C9" s="15" t="n">
        <v>1026</v>
      </c>
      <c r="D9" s="16" t="n">
        <v>60.3529</v>
      </c>
      <c r="E9" s="17" t="n">
        <v>0.5546</v>
      </c>
      <c r="F9" s="15" t="n">
        <v>533</v>
      </c>
      <c r="G9" s="15" t="n">
        <v>457</v>
      </c>
      <c r="H9" s="15" t="n">
        <v>4424</v>
      </c>
      <c r="I9" s="15" t="n">
        <v>2163</v>
      </c>
      <c r="J9" s="15" t="n">
        <v>23</v>
      </c>
      <c r="K9" s="15" t="n">
        <v>17</v>
      </c>
      <c r="L9" s="16" t="n">
        <v>8.3002</v>
      </c>
      <c r="M9" s="16" t="n">
        <v>4.733</v>
      </c>
    </row>
    <row r="10">
      <c r="B10" s="15" t="n">
        <v>2025</v>
      </c>
      <c r="C10" s="15" t="n">
        <v>1082</v>
      </c>
      <c r="D10" s="16" t="n">
        <v>63.6471</v>
      </c>
      <c r="E10" s="17" t="n">
        <v>0.5555</v>
      </c>
      <c r="F10" s="15" t="n">
        <v>574</v>
      </c>
      <c r="G10" s="15" t="n">
        <v>481</v>
      </c>
      <c r="H10" s="15" t="n">
        <v>4318</v>
      </c>
      <c r="I10" s="15" t="n">
        <v>1817</v>
      </c>
      <c r="J10" s="15" t="n">
        <v>33</v>
      </c>
      <c r="K10" s="15" t="n">
        <v>15</v>
      </c>
      <c r="L10" s="16" t="n">
        <v>7.5226</v>
      </c>
      <c r="M10" s="16" t="n">
        <v>3.7775</v>
      </c>
    </row>
    <row r="11"/>
    <row r="12">
      <c r="A12" s="18" t="inlineStr">
        <is>
          <t>OUT</t>
        </is>
      </c>
      <c r="B12" s="19" t="inlineStr">
        <is>
          <t>41% of targets and 21% of carries left. Share is team-relative - it does NOT follow the player.</t>
        </is>
      </c>
      <c r="H12" s="8" t="inlineStr">
        <is>
          <t>Brian Robinson (2t/20r -&gt; ATL), Jauan Jennings (16t/0r -&gt; MIN), Kendrick Bourne (10t/0r -&gt; ARI), Ricky Pearsall (10t/0r -&gt; NOT ON ANY ROSTER), Marquez Valdes-Scantling (1t/0r -&gt; DAL)</t>
        </is>
      </c>
    </row>
    <row r="13">
      <c r="A13" s="20" t="inlineStr">
        <is>
          <t>IN</t>
        </is>
      </c>
      <c r="B13" s="21" t="inlineStr">
        <is>
          <t>6 new: Deebo Samuel (WR, from WAS - had 23% there), Mike Evans (WR, from TB - had 11% there), Christian Kirk (WR, from HOU - had 9% there), Khalil Herbert (RB, from NYJ - had 1% there), KhaDarel Hodge (WR, from ATL - had 2% there)</t>
        </is>
      </c>
    </row>
    <row r="14">
      <c r="A14" s="7" t="inlineStr">
        <is>
          <t>STAFF</t>
        </is>
      </c>
      <c r="B14" s="45" t="inlineStr">
        <is>
          <t>no coaching change recorded - add one in manual/coaching_changes.csv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Brock Purdy</t>
        </is>
      </c>
      <c r="C17" s="26" t="n">
        <v>1</v>
      </c>
      <c r="D17" s="26" t="inlineStr">
        <is>
          <t>26</t>
        </is>
      </c>
      <c r="E17" s="27" t="inlineStr">
        <is>
          <t>ACT</t>
        </is>
      </c>
      <c r="F17" s="28" t="n"/>
      <c r="G17" s="28" t="n"/>
      <c r="H17" s="28" t="n"/>
      <c r="I17" s="28" t="n">
        <v>0.06279999999999999</v>
      </c>
      <c r="J17" s="29" t="n">
        <v>17</v>
      </c>
      <c r="K17" s="30" t="n">
        <v>0.92</v>
      </c>
      <c r="L17" s="30" t="n">
        <v>0.0007</v>
      </c>
      <c r="M17" s="30" t="n">
        <v>0.0726</v>
      </c>
      <c r="N17" s="30" t="n"/>
      <c r="O17" s="31" t="n">
        <v>1</v>
      </c>
      <c r="P17" s="31" t="n">
        <v>1.1</v>
      </c>
      <c r="Q17" s="31" t="n">
        <v>1</v>
      </c>
      <c r="R17" s="31" t="n">
        <v>1.08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Mac Jones</t>
        </is>
      </c>
      <c r="C18" s="26" t="n">
        <v>2</v>
      </c>
      <c r="D18" s="26" t="inlineStr">
        <is>
          <t>27</t>
        </is>
      </c>
      <c r="E18" s="27" t="inlineStr">
        <is>
          <t>ACT</t>
        </is>
      </c>
      <c r="F18" s="28" t="n"/>
      <c r="G18" s="28" t="n"/>
      <c r="H18" s="28" t="n"/>
      <c r="I18" s="28" t="n">
        <v>0.0476</v>
      </c>
      <c r="J18" s="29" t="n">
        <v>17</v>
      </c>
      <c r="K18" s="30" t="n">
        <v>0.068</v>
      </c>
      <c r="L18" s="30" t="n">
        <v>0.0007</v>
      </c>
      <c r="M18" s="30" t="n">
        <v>0.0331</v>
      </c>
      <c r="N18" s="30" t="n"/>
      <c r="O18" s="31" t="n">
        <v>1</v>
      </c>
      <c r="P18" s="31" t="n">
        <v>0.91</v>
      </c>
      <c r="Q18" s="31" t="n">
        <v>1</v>
      </c>
      <c r="R18" s="31" t="n">
        <v>0.95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Adrian Martinez</t>
        </is>
      </c>
      <c r="C19" s="26" t="n">
        <v>3</v>
      </c>
      <c r="D19" s="26" t="inlineStr">
        <is>
          <t>26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0.0017</v>
      </c>
      <c r="M19" s="30" t="n">
        <v>0.005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Christian McCaffrey</t>
        </is>
      </c>
      <c r="C21" s="26" t="n">
        <v>1</v>
      </c>
      <c r="D21" s="26" t="inlineStr">
        <is>
          <t>30</t>
        </is>
      </c>
      <c r="E21" s="27" t="inlineStr">
        <is>
          <t>ACT</t>
        </is>
      </c>
      <c r="F21" s="28" t="n">
        <v>0.1762</v>
      </c>
      <c r="G21" s="28" t="n">
        <v>0.037</v>
      </c>
      <c r="H21" s="28" t="n">
        <v>0.2345</v>
      </c>
      <c r="I21" s="28" t="n">
        <v>0.6732</v>
      </c>
      <c r="J21" s="29" t="n">
        <v>17</v>
      </c>
      <c r="K21" s="30" t="n"/>
      <c r="L21" s="30" t="n">
        <v>0.152</v>
      </c>
      <c r="M21" s="30" t="n">
        <v>0.4646</v>
      </c>
      <c r="N21" s="30" t="n">
        <v>0.7947</v>
      </c>
      <c r="O21" s="31" t="n">
        <v>0.88</v>
      </c>
      <c r="P21" s="31" t="n">
        <v>0.99</v>
      </c>
      <c r="Q21" s="31" t="n">
        <v>1.37</v>
      </c>
      <c r="R21" s="31" t="n">
        <v>1.16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Jordan James</t>
        </is>
      </c>
      <c r="C22" s="26" t="n">
        <v>2</v>
      </c>
      <c r="D22" s="26" t="inlineStr">
        <is>
          <t>22</t>
        </is>
      </c>
      <c r="E22" s="36" t="inlineStr">
        <is>
          <t>role avg (rookie)</t>
        </is>
      </c>
      <c r="F22" s="28" t="n"/>
      <c r="G22" s="28" t="n"/>
      <c r="H22" s="28" t="n"/>
      <c r="I22" s="28" t="n"/>
      <c r="J22" s="29" t="n">
        <v>17</v>
      </c>
      <c r="K22" s="30" t="n"/>
      <c r="L22" s="30" t="n">
        <v>0.0379</v>
      </c>
      <c r="M22" s="30" t="n">
        <v>0.1642</v>
      </c>
      <c r="N22" s="30" t="n">
        <v>0.75</v>
      </c>
      <c r="O22" s="31" t="n">
        <v>1</v>
      </c>
      <c r="P22" s="31" t="n">
        <v>1</v>
      </c>
      <c r="Q22" s="31" t="n">
        <v>1</v>
      </c>
      <c r="R22" s="31" t="n">
        <v>1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Kaelon Black</t>
        </is>
      </c>
      <c r="C23" s="26" t="n">
        <v>3</v>
      </c>
      <c r="D23" s="26" t="inlineStr">
        <is>
          <t>24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0.0184</v>
      </c>
      <c r="M23" s="30" t="n">
        <v>0.0567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Isaac Guerendo</t>
        </is>
      </c>
      <c r="C24" s="26" t="n">
        <v>4</v>
      </c>
      <c r="D24" s="26" t="inlineStr">
        <is>
          <t>26</t>
        </is>
      </c>
      <c r="E24" s="41" t="inlineStr">
        <is>
          <t>PUP</t>
        </is>
      </c>
      <c r="F24" s="28" t="n"/>
      <c r="G24" s="28" t="n">
        <v>0.0312</v>
      </c>
      <c r="H24" s="28" t="n"/>
      <c r="I24" s="28" t="n"/>
      <c r="J24" s="29" t="n">
        <v>17</v>
      </c>
      <c r="K24" s="30" t="n"/>
      <c r="L24" s="30" t="n">
        <v>0.0211</v>
      </c>
      <c r="M24" s="30" t="n">
        <v>0.1043</v>
      </c>
      <c r="N24" s="30" t="n">
        <v>0.9375</v>
      </c>
      <c r="O24" s="31" t="n">
        <v>1.04</v>
      </c>
      <c r="P24" s="31" t="n">
        <v>1.03</v>
      </c>
      <c r="Q24" s="31" t="n">
        <v>1</v>
      </c>
      <c r="R24" s="31" t="n">
        <v>1.1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Patrick Taylor</t>
        </is>
      </c>
      <c r="C25" s="26" t="n">
        <v>5</v>
      </c>
      <c r="D25" s="26" t="inlineStr">
        <is>
          <t>28</t>
        </is>
      </c>
      <c r="E25" s="27" t="inlineStr">
        <is>
          <t>ACT</t>
        </is>
      </c>
      <c r="F25" s="28" t="n">
        <v>0.0303</v>
      </c>
      <c r="G25" s="28" t="n">
        <v>0.0214</v>
      </c>
      <c r="H25" s="28" t="n"/>
      <c r="I25" s="28" t="n"/>
      <c r="J25" s="29" t="n">
        <v>17</v>
      </c>
      <c r="K25" s="30" t="n"/>
      <c r="L25" s="30" t="n">
        <v>0.0177</v>
      </c>
      <c r="M25" s="30" t="n">
        <v>0.0445</v>
      </c>
      <c r="N25" s="30" t="n">
        <v>0.4077</v>
      </c>
      <c r="O25" s="31" t="n">
        <v>0.72</v>
      </c>
      <c r="P25" s="31" t="n">
        <v>0.99</v>
      </c>
      <c r="Q25" s="31" t="n">
        <v>1</v>
      </c>
      <c r="R25" s="31" t="n">
        <v>1.57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Khalil Herbert</t>
        </is>
      </c>
      <c r="C26" s="26" t="n">
        <v>6</v>
      </c>
      <c r="D26" s="26" t="inlineStr">
        <is>
          <t>28</t>
        </is>
      </c>
      <c r="E26" s="36" t="inlineStr">
        <is>
          <t>role avg (from NYJ)</t>
        </is>
      </c>
      <c r="F26" s="28" t="n">
        <v>0.065</v>
      </c>
      <c r="G26" s="28" t="n">
        <v>0.0143</v>
      </c>
      <c r="H26" s="28" t="n">
        <v>0.008500000000000001</v>
      </c>
      <c r="I26" s="28" t="n">
        <v>0.0356</v>
      </c>
      <c r="J26" s="29" t="n">
        <v>17</v>
      </c>
      <c r="K26" s="30" t="n"/>
      <c r="L26" s="30" t="n">
        <v>0.0031</v>
      </c>
      <c r="M26" s="30" t="n">
        <v>0.0037</v>
      </c>
      <c r="N26" s="30" t="n">
        <v>0.549</v>
      </c>
      <c r="O26" s="31" t="n">
        <v>0.73</v>
      </c>
      <c r="P26" s="31" t="n">
        <v>0.9</v>
      </c>
      <c r="Q26" s="31" t="n">
        <v>2.5</v>
      </c>
      <c r="R26" s="31" t="n">
        <v>2.5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Mike Evans</t>
        </is>
      </c>
      <c r="C28" s="26" t="n">
        <v>1</v>
      </c>
      <c r="D28" s="26" t="inlineStr">
        <is>
          <t>32</t>
        </is>
      </c>
      <c r="E28" s="36" t="inlineStr">
        <is>
          <t>role avg (from TB)</t>
        </is>
      </c>
      <c r="F28" s="28" t="n">
        <v>0.2473</v>
      </c>
      <c r="G28" s="28" t="n">
        <v>0.1954</v>
      </c>
      <c r="H28" s="28" t="n">
        <v>0.1146</v>
      </c>
      <c r="I28" s="28" t="n"/>
      <c r="J28" s="29" t="n">
        <v>17</v>
      </c>
      <c r="K28" s="30" t="n"/>
      <c r="L28" s="30" t="n">
        <v>0.189</v>
      </c>
      <c r="M28" s="30" t="n">
        <v>0.0313</v>
      </c>
      <c r="N28" s="30" t="n">
        <v>0.5807</v>
      </c>
      <c r="O28" s="31" t="n">
        <v>1.06</v>
      </c>
      <c r="P28" s="31" t="n">
        <v>1</v>
      </c>
      <c r="Q28" s="31" t="n">
        <v>0.92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Deebo Samuel</t>
        </is>
      </c>
      <c r="C29" s="26" t="n">
        <v>2</v>
      </c>
      <c r="D29" s="26" t="inlineStr">
        <is>
          <t>30</t>
        </is>
      </c>
      <c r="E29" s="36" t="inlineStr">
        <is>
          <t>role avg (from WAS)</t>
        </is>
      </c>
      <c r="F29" s="28" t="n">
        <v>0.189</v>
      </c>
      <c r="G29" s="28" t="n">
        <v>0.1579</v>
      </c>
      <c r="H29" s="28" t="n">
        <v>0.2292</v>
      </c>
      <c r="I29" s="28" t="n">
        <v>0.036</v>
      </c>
      <c r="J29" s="29" t="n">
        <v>17</v>
      </c>
      <c r="K29" s="30" t="n"/>
      <c r="L29" s="30" t="n">
        <v>0.1289</v>
      </c>
      <c r="M29" s="30" t="n">
        <v>0.0053</v>
      </c>
      <c r="N29" s="30" t="n">
        <v>0.6886</v>
      </c>
      <c r="O29" s="31" t="n">
        <v>0.97</v>
      </c>
      <c r="P29" s="31" t="n">
        <v>0.9399999999999999</v>
      </c>
      <c r="Q29" s="31" t="n">
        <v>1.35</v>
      </c>
      <c r="R29" s="31" t="n">
        <v>2.5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De'Zhaun Stribling</t>
        </is>
      </c>
      <c r="C30" s="26" t="n">
        <v>3</v>
      </c>
      <c r="D30" s="26" t="inlineStr">
        <is>
          <t>23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0.0796</v>
      </c>
      <c r="M30" s="30" t="n">
        <v>0.0025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Christian Kirk</t>
        </is>
      </c>
      <c r="C31" s="26" t="n">
        <v>4</v>
      </c>
      <c r="D31" s="26" t="inlineStr">
        <is>
          <t>29</t>
        </is>
      </c>
      <c r="E31" s="36" t="inlineStr">
        <is>
          <t>role avg (from HOU)</t>
        </is>
      </c>
      <c r="F31" s="28" t="n">
        <v>0.14</v>
      </c>
      <c r="G31" s="28" t="n">
        <v>0.09</v>
      </c>
      <c r="H31" s="28" t="n">
        <v>0.094</v>
      </c>
      <c r="I31" s="28" t="n"/>
      <c r="J31" s="29" t="n">
        <v>17</v>
      </c>
      <c r="K31" s="30" t="n"/>
      <c r="L31" s="30" t="n">
        <v>0.0489</v>
      </c>
      <c r="M31" s="30" t="n">
        <v>0.002</v>
      </c>
      <c r="N31" s="30" t="n">
        <v>0.5742</v>
      </c>
      <c r="O31" s="31" t="n">
        <v>0.91</v>
      </c>
      <c r="P31" s="31" t="n">
        <v>1.03</v>
      </c>
      <c r="Q31" s="31" t="n">
        <v>1.23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Demarcus Robinson</t>
        </is>
      </c>
      <c r="C32" s="26" t="n">
        <v>5</v>
      </c>
      <c r="D32" s="26" t="inlineStr">
        <is>
          <t>31</t>
        </is>
      </c>
      <c r="E32" s="27" t="inlineStr">
        <is>
          <t>ACT</t>
        </is>
      </c>
      <c r="F32" s="28" t="n">
        <v>0.0703</v>
      </c>
      <c r="G32" s="28" t="n">
        <v>0.1183</v>
      </c>
      <c r="H32" s="28" t="n">
        <v>0.0636</v>
      </c>
      <c r="I32" s="28" t="n">
        <v>0.0022</v>
      </c>
      <c r="J32" s="29" t="n">
        <v>17</v>
      </c>
      <c r="K32" s="30" t="n"/>
      <c r="L32" s="30" t="n">
        <v>0.0522</v>
      </c>
      <c r="M32" s="30" t="n">
        <v>0.0019</v>
      </c>
      <c r="N32" s="30" t="n">
        <v>0.5885</v>
      </c>
      <c r="O32" s="31" t="n">
        <v>1.04</v>
      </c>
      <c r="P32" s="31" t="n">
        <v>1.08</v>
      </c>
      <c r="Q32" s="31" t="n">
        <v>1.25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KhaDarel Hodge</t>
        </is>
      </c>
      <c r="C33" s="26" t="n">
        <v>6</v>
      </c>
      <c r="D33" s="26" t="inlineStr">
        <is>
          <t>31</t>
        </is>
      </c>
      <c r="E33" s="36" t="inlineStr">
        <is>
          <t>role avg (from ATL)</t>
        </is>
      </c>
      <c r="F33" s="28" t="n">
        <v>0.0453</v>
      </c>
      <c r="G33" s="28" t="n">
        <v>0.0223</v>
      </c>
      <c r="H33" s="28" t="n">
        <v>0.0193</v>
      </c>
      <c r="I33" s="28" t="n"/>
      <c r="J33" s="29" t="n">
        <v>17</v>
      </c>
      <c r="K33" s="30" t="n"/>
      <c r="L33" s="30" t="n">
        <v>0.011</v>
      </c>
      <c r="M33" s="30" t="n">
        <v>0.0017</v>
      </c>
      <c r="N33" s="30" t="n">
        <v>0.472</v>
      </c>
      <c r="O33" s="31" t="n">
        <v>0.99</v>
      </c>
      <c r="P33" s="31" t="n">
        <v>1</v>
      </c>
      <c r="Q33" s="31" t="n">
        <v>1.37</v>
      </c>
      <c r="R33" s="31" t="n">
        <v>1.56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Colton Dowell</t>
        </is>
      </c>
      <c r="C34" s="26" t="n">
        <v>7</v>
      </c>
      <c r="D34" s="26" t="inlineStr">
        <is>
          <t>27</t>
        </is>
      </c>
      <c r="E34" s="27" t="inlineStr">
        <is>
          <t>ACT</t>
        </is>
      </c>
      <c r="F34" s="28" t="n">
        <v>0.0042</v>
      </c>
      <c r="G34" s="28" t="n"/>
      <c r="H34" s="28" t="n"/>
      <c r="I34" s="28" t="n"/>
      <c r="J34" s="29" t="n">
        <v>17</v>
      </c>
      <c r="K34" s="30" t="n"/>
      <c r="L34" s="30" t="n">
        <v>0.0048</v>
      </c>
      <c r="M34" s="30" t="n">
        <v>0.0007</v>
      </c>
      <c r="N34" s="30" t="n">
        <v>0.5</v>
      </c>
      <c r="O34" s="31" t="n">
        <v>0.93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Malik Turner</t>
        </is>
      </c>
      <c r="C35" s="26" t="n">
        <v>8</v>
      </c>
      <c r="D35" s="26" t="inlineStr">
        <is>
          <t>30</t>
        </is>
      </c>
      <c r="E35" s="27" t="inlineStr">
        <is>
          <t>ACT</t>
        </is>
      </c>
      <c r="F35" s="28" t="n"/>
      <c r="G35" s="28" t="n"/>
      <c r="H35" s="28" t="n">
        <v>0.0018</v>
      </c>
      <c r="I35" s="28" t="n"/>
      <c r="J35" s="29" t="n">
        <v>17</v>
      </c>
      <c r="K35" s="30" t="n"/>
      <c r="L35" s="30" t="n">
        <v>0.0022</v>
      </c>
      <c r="M35" s="30" t="n">
        <v>0.0007</v>
      </c>
      <c r="N35" s="30" t="n"/>
      <c r="O35" s="31" t="n">
        <v>1</v>
      </c>
      <c r="P35" s="31" t="n">
        <v>1</v>
      </c>
      <c r="Q35" s="31" t="n">
        <v>1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George Kittle</t>
        </is>
      </c>
      <c r="C37" s="26" t="n">
        <v>1</v>
      </c>
      <c r="D37" s="26" t="inlineStr">
        <is>
          <t>32</t>
        </is>
      </c>
      <c r="E37" s="41" t="inlineStr">
        <is>
          <t>PUP</t>
        </is>
      </c>
      <c r="F37" s="28" t="n">
        <v>0.1911</v>
      </c>
      <c r="G37" s="28" t="n">
        <v>0.1832</v>
      </c>
      <c r="H37" s="28" t="n">
        <v>0.1255</v>
      </c>
      <c r="I37" s="28" t="n">
        <v>0.0022</v>
      </c>
      <c r="J37" s="29" t="n">
        <v>17</v>
      </c>
      <c r="K37" s="30" t="n"/>
      <c r="L37" s="30" t="n">
        <v>0.1413</v>
      </c>
      <c r="M37" s="30" t="n">
        <v>0.0018</v>
      </c>
      <c r="N37" s="30" t="n">
        <v>0.8022</v>
      </c>
      <c r="O37" s="31" t="n">
        <v>1.19</v>
      </c>
      <c r="P37" s="31" t="n">
        <v>1</v>
      </c>
      <c r="Q37" s="31" t="n">
        <v>1.11</v>
      </c>
      <c r="R37" s="31" t="n">
        <v>1.43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Jake Tonges</t>
        </is>
      </c>
      <c r="C38" s="26" t="n">
        <v>2</v>
      </c>
      <c r="D38" s="26" t="inlineStr">
        <is>
          <t>27</t>
        </is>
      </c>
      <c r="E38" s="27" t="inlineStr">
        <is>
          <t>ACT</t>
        </is>
      </c>
      <c r="F38" s="28" t="n"/>
      <c r="G38" s="28" t="n"/>
      <c r="H38" s="28" t="n">
        <v>0.08359999999999999</v>
      </c>
      <c r="I38" s="28" t="n"/>
      <c r="J38" s="29" t="n">
        <v>17</v>
      </c>
      <c r="K38" s="30" t="n"/>
      <c r="L38" s="30" t="n">
        <v>0.0597</v>
      </c>
      <c r="M38" s="30" t="n">
        <v>0.0007</v>
      </c>
      <c r="N38" s="30" t="n">
        <v>0.7391</v>
      </c>
      <c r="O38" s="31" t="n">
        <v>0.87</v>
      </c>
      <c r="P38" s="31" t="n">
        <v>1</v>
      </c>
      <c r="Q38" s="31" t="n">
        <v>1.03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Hayden Rucci</t>
        </is>
      </c>
      <c r="C39" s="26" t="n">
        <v>3</v>
      </c>
      <c r="D39" s="26" t="inlineStr">
        <is>
          <t>25</t>
        </is>
      </c>
      <c r="E39" s="36" t="inlineStr">
        <is>
          <t>role avg (rookie)</t>
        </is>
      </c>
      <c r="F39" s="28" t="n"/>
      <c r="G39" s="28" t="n"/>
      <c r="H39" s="28" t="n"/>
      <c r="I39" s="28" t="n"/>
      <c r="J39" s="29" t="n">
        <v>17</v>
      </c>
      <c r="K39" s="30" t="n"/>
      <c r="L39" s="30" t="n">
        <v>0.0131</v>
      </c>
      <c r="M39" s="30" t="n">
        <v>0.0019</v>
      </c>
      <c r="N39" s="30" t="n">
        <v>0.65</v>
      </c>
      <c r="O39" s="31" t="n">
        <v>1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Luke Farrell</t>
        </is>
      </c>
      <c r="C40" s="26" t="n">
        <v>4</v>
      </c>
      <c r="D40" s="26" t="inlineStr">
        <is>
          <t>28</t>
        </is>
      </c>
      <c r="E40" s="27" t="inlineStr">
        <is>
          <t>ACT</t>
        </is>
      </c>
      <c r="F40" s="28" t="n">
        <v>0.0247</v>
      </c>
      <c r="G40" s="28" t="n">
        <v>0.0326</v>
      </c>
      <c r="H40" s="28" t="n">
        <v>0.0255</v>
      </c>
      <c r="I40" s="28" t="n"/>
      <c r="J40" s="29" t="n">
        <v>17</v>
      </c>
      <c r="K40" s="30" t="n"/>
      <c r="L40" s="30" t="n">
        <v>0.0161</v>
      </c>
      <c r="M40" s="30" t="n">
        <v>0.0007</v>
      </c>
      <c r="N40" s="30" t="n">
        <v>0.778</v>
      </c>
      <c r="O40" s="31" t="n">
        <v>0.93</v>
      </c>
      <c r="P40" s="31" t="n">
        <v>1</v>
      </c>
      <c r="Q40" s="31" t="n">
        <v>1.19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TB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62.6</v>
      </c>
      <c r="D5" s="12">
        <f>C5*B5</f>
        <v/>
      </c>
      <c r="E5" s="13" t="n">
        <v>0.5635</v>
      </c>
      <c r="F5" s="10" t="n">
        <v>560</v>
      </c>
      <c r="G5" s="12">
        <f>ROUND(F5*Settings!$B$4,0)</f>
        <v/>
      </c>
      <c r="H5" s="10" t="n">
        <v>464</v>
      </c>
      <c r="I5" s="10" t="n">
        <v>3994</v>
      </c>
      <c r="J5" s="11" t="n">
        <v>29</v>
      </c>
      <c r="K5" s="11" t="n">
        <v>12</v>
      </c>
      <c r="L5" s="10" t="n">
        <v>2010</v>
      </c>
      <c r="M5" s="11" t="n">
        <v>14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1047</v>
      </c>
      <c r="D8" s="16" t="n">
        <v>61.5882</v>
      </c>
      <c r="E8" s="17" t="n">
        <v>0.5807</v>
      </c>
      <c r="F8" s="15" t="n">
        <v>568</v>
      </c>
      <c r="G8" s="15" t="n">
        <v>439</v>
      </c>
      <c r="H8" s="15" t="n">
        <v>4044</v>
      </c>
      <c r="I8" s="15" t="n">
        <v>1509</v>
      </c>
      <c r="J8" s="15" t="n">
        <v>28</v>
      </c>
      <c r="K8" s="15" t="n">
        <v>8</v>
      </c>
      <c r="L8" s="16" t="n">
        <v>7.1197</v>
      </c>
      <c r="M8" s="16" t="n">
        <v>3.4374</v>
      </c>
    </row>
    <row r="9">
      <c r="B9" s="15" t="n">
        <v>2024</v>
      </c>
      <c r="C9" s="15" t="n">
        <v>1094</v>
      </c>
      <c r="D9" s="16" t="n">
        <v>64.35290000000001</v>
      </c>
      <c r="E9" s="17" t="n">
        <v>0.5585</v>
      </c>
      <c r="F9" s="15" t="n">
        <v>571</v>
      </c>
      <c r="G9" s="15" t="n">
        <v>483</v>
      </c>
      <c r="H9" s="15" t="n">
        <v>4505</v>
      </c>
      <c r="I9" s="15" t="n">
        <v>2536</v>
      </c>
      <c r="J9" s="15" t="n">
        <v>41</v>
      </c>
      <c r="K9" s="15" t="n">
        <v>16</v>
      </c>
      <c r="L9" s="16" t="n">
        <v>7.8897</v>
      </c>
      <c r="M9" s="16" t="n">
        <v>5.2505</v>
      </c>
    </row>
    <row r="10">
      <c r="B10" s="15" t="n">
        <v>2025</v>
      </c>
      <c r="C10" s="15" t="n">
        <v>1068</v>
      </c>
      <c r="D10" s="16" t="n">
        <v>62.8235</v>
      </c>
      <c r="E10" s="17" t="n">
        <v>0.5581</v>
      </c>
      <c r="F10" s="15" t="n">
        <v>558</v>
      </c>
      <c r="G10" s="15" t="n">
        <v>472</v>
      </c>
      <c r="H10" s="15" t="n">
        <v>3755</v>
      </c>
      <c r="I10" s="15" t="n">
        <v>1947</v>
      </c>
      <c r="J10" s="15" t="n">
        <v>26</v>
      </c>
      <c r="K10" s="15" t="n">
        <v>13</v>
      </c>
      <c r="L10" s="16" t="n">
        <v>6.7294</v>
      </c>
      <c r="M10" s="16" t="n">
        <v>4.125</v>
      </c>
    </row>
    <row r="11"/>
    <row r="12">
      <c r="A12" s="18" t="inlineStr">
        <is>
          <t>OUT</t>
        </is>
      </c>
      <c r="B12" s="19" t="inlineStr">
        <is>
          <t>30% of targets and 29% of carries left. Share is team-relative - it does NOT follow the player.</t>
        </is>
      </c>
      <c r="H12" s="8" t="inlineStr">
        <is>
          <t>Rachaad White (8t/29r -&gt; WAS), Mike Evans (11t/0r -&gt; SF), Sterling Shepard (10t/1r -&gt; NOT ON ANY ROSTER)</t>
        </is>
      </c>
    </row>
    <row r="13">
      <c r="A13" s="20" t="inlineStr">
        <is>
          <t>IN</t>
        </is>
      </c>
      <c r="B13" s="21" t="inlineStr">
        <is>
          <t>3 new: Kenny Gainwell (RB, from PIT - had 16% there), David Sills (WR, from ATL - had 7% there), Jake Browning (QB, from CIN)</t>
        </is>
      </c>
    </row>
    <row r="14">
      <c r="A14" s="7" t="inlineStr">
        <is>
          <t>STAFF</t>
        </is>
      </c>
      <c r="B14" s="22" t="inlineStr">
        <is>
          <t>HC unchanged. OC Zac Robinson. Balanced approach; pre-snap motion emphasis; flexible personnel usage.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Baker Mayfield</t>
        </is>
      </c>
      <c r="C17" s="26" t="n">
        <v>1</v>
      </c>
      <c r="D17" s="26" t="inlineStr">
        <is>
          <t>31</t>
        </is>
      </c>
      <c r="E17" s="27" t="inlineStr">
        <is>
          <t>ACT</t>
        </is>
      </c>
      <c r="F17" s="28" t="n"/>
      <c r="G17" s="28" t="n"/>
      <c r="H17" s="28" t="n"/>
      <c r="I17" s="28" t="n">
        <v>0.1017</v>
      </c>
      <c r="J17" s="29" t="n">
        <v>17</v>
      </c>
      <c r="K17" s="30" t="n">
        <v>0.97</v>
      </c>
      <c r="L17" s="30" t="n">
        <v>0.0008</v>
      </c>
      <c r="M17" s="30" t="n">
        <v>0.1026</v>
      </c>
      <c r="N17" s="30" t="n"/>
      <c r="O17" s="31" t="n">
        <v>1</v>
      </c>
      <c r="P17" s="31" t="n">
        <v>1.41</v>
      </c>
      <c r="Q17" s="31" t="n">
        <v>1</v>
      </c>
      <c r="R17" s="31" t="n">
        <v>1.23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Jake Browning</t>
        </is>
      </c>
      <c r="C18" s="26" t="n">
        <v>2</v>
      </c>
      <c r="D18" s="26" t="inlineStr">
        <is>
          <t>30</t>
        </is>
      </c>
      <c r="E18" s="36" t="inlineStr">
        <is>
          <t>role avg (from CIN)</t>
        </is>
      </c>
      <c r="F18" s="28" t="n">
        <v>0.0017</v>
      </c>
      <c r="G18" s="28" t="n"/>
      <c r="H18" s="28" t="n"/>
      <c r="I18" s="28" t="n">
        <v>0.0216</v>
      </c>
      <c r="J18" s="29" t="n">
        <v>17</v>
      </c>
      <c r="K18" s="30" t="n">
        <v>0.0255</v>
      </c>
      <c r="L18" s="30" t="n">
        <v>0.0019</v>
      </c>
      <c r="M18" s="30" t="n">
        <v>0.009900000000000001</v>
      </c>
      <c r="N18" s="30" t="n"/>
      <c r="O18" s="31" t="n">
        <v>1</v>
      </c>
      <c r="P18" s="31" t="n">
        <v>1.09</v>
      </c>
      <c r="Q18" s="31" t="n">
        <v>1</v>
      </c>
      <c r="R18" s="31" t="n">
        <v>2.5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Connor Bazelak</t>
        </is>
      </c>
      <c r="C19" s="26" t="n">
        <v>3</v>
      </c>
      <c r="D19" s="26" t="inlineStr">
        <is>
          <t>25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0.0045</v>
      </c>
      <c r="L19" s="30" t="n">
        <v>0.0019</v>
      </c>
      <c r="M19" s="30" t="n">
        <v>0.0101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Bucky Irving</t>
        </is>
      </c>
      <c r="C21" s="26" t="n">
        <v>1</v>
      </c>
      <c r="D21" s="26" t="inlineStr">
        <is>
          <t>23</t>
        </is>
      </c>
      <c r="E21" s="27" t="inlineStr">
        <is>
          <t>ACT</t>
        </is>
      </c>
      <c r="F21" s="28" t="n"/>
      <c r="G21" s="28" t="n">
        <v>0.0924</v>
      </c>
      <c r="H21" s="28" t="n">
        <v>0.06469999999999999</v>
      </c>
      <c r="I21" s="28" t="n">
        <v>0.3745</v>
      </c>
      <c r="J21" s="29" t="n">
        <v>17</v>
      </c>
      <c r="K21" s="30" t="n"/>
      <c r="L21" s="30" t="n">
        <v>0.08649999999999999</v>
      </c>
      <c r="M21" s="30" t="n">
        <v>0.4489</v>
      </c>
      <c r="N21" s="30" t="n">
        <v>0.8807</v>
      </c>
      <c r="O21" s="31" t="n">
        <v>1.03</v>
      </c>
      <c r="P21" s="31" t="n">
        <v>0.92</v>
      </c>
      <c r="Q21" s="31" t="n">
        <v>0.99</v>
      </c>
      <c r="R21" s="31" t="n">
        <v>0.88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Kenny Gainwell</t>
        </is>
      </c>
      <c r="C22" s="26" t="n">
        <v>2</v>
      </c>
      <c r="D22" s="26" t="inlineStr">
        <is>
          <t>27</t>
        </is>
      </c>
      <c r="E22" s="36" t="inlineStr">
        <is>
          <t>role avg (from PIT)</t>
        </is>
      </c>
      <c r="F22" s="28" t="n">
        <v>0.07049999999999999</v>
      </c>
      <c r="G22" s="28" t="n">
        <v>0.0526</v>
      </c>
      <c r="H22" s="28" t="n">
        <v>0.1628</v>
      </c>
      <c r="I22" s="28" t="n">
        <v>0.2886</v>
      </c>
      <c r="J22" s="29" t="n">
        <v>17</v>
      </c>
      <c r="K22" s="30" t="n"/>
      <c r="L22" s="30" t="n">
        <v>0.0529</v>
      </c>
      <c r="M22" s="30" t="n">
        <v>0.2299</v>
      </c>
      <c r="N22" s="30" t="n">
        <v>0.8097</v>
      </c>
      <c r="O22" s="31" t="n">
        <v>0.8</v>
      </c>
      <c r="P22" s="31" t="n">
        <v>0.96</v>
      </c>
      <c r="Q22" s="31" t="n">
        <v>2.02</v>
      </c>
      <c r="R22" s="31" t="n">
        <v>1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Sean Tucker</t>
        </is>
      </c>
      <c r="C23" s="26" t="n">
        <v>3</v>
      </c>
      <c r="D23" s="26" t="inlineStr">
        <is>
          <t>24</t>
        </is>
      </c>
      <c r="E23" s="27" t="inlineStr">
        <is>
          <t>ACT</t>
        </is>
      </c>
      <c r="F23" s="28" t="n">
        <v>0.0036</v>
      </c>
      <c r="G23" s="28" t="n">
        <v>0.0213</v>
      </c>
      <c r="H23" s="28" t="n">
        <v>0.0203</v>
      </c>
      <c r="I23" s="28" t="n">
        <v>0.1861</v>
      </c>
      <c r="J23" s="29" t="n">
        <v>17</v>
      </c>
      <c r="K23" s="30" t="n"/>
      <c r="L23" s="30" t="n">
        <v>0.0178</v>
      </c>
      <c r="M23" s="30" t="n">
        <v>0.1228</v>
      </c>
      <c r="N23" s="30" t="n">
        <v>0.7726</v>
      </c>
      <c r="O23" s="31" t="n">
        <v>0.9</v>
      </c>
      <c r="P23" s="31" t="n">
        <v>0.93</v>
      </c>
      <c r="Q23" s="31" t="n">
        <v>1.18</v>
      </c>
      <c r="R23" s="31" t="n">
        <v>1.58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Josh Williams</t>
        </is>
      </c>
      <c r="C24" s="26" t="n">
        <v>4</v>
      </c>
      <c r="D24" s="26" t="inlineStr">
        <is>
          <t>25</t>
        </is>
      </c>
      <c r="E24" s="27" t="inlineStr">
        <is>
          <t>ACT</t>
        </is>
      </c>
      <c r="F24" s="28" t="n"/>
      <c r="G24" s="28" t="n"/>
      <c r="H24" s="28" t="n"/>
      <c r="I24" s="28" t="n">
        <v>0.008699999999999999</v>
      </c>
      <c r="J24" s="29" t="n">
        <v>17</v>
      </c>
      <c r="K24" s="30" t="n"/>
      <c r="L24" s="30" t="n">
        <v>0.0023</v>
      </c>
      <c r="M24" s="30" t="n">
        <v>0.0144</v>
      </c>
      <c r="N24" s="30" t="n"/>
      <c r="O24" s="31" t="n">
        <v>1</v>
      </c>
      <c r="P24" s="31" t="n">
        <v>0.9399999999999999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Kadarius Calloway</t>
        </is>
      </c>
      <c r="C25" s="26" t="n">
        <v>5</v>
      </c>
      <c r="D25" s="26" t="inlineStr"/>
      <c r="E25" s="36" t="inlineStr">
        <is>
          <t>role avg (rookie)</t>
        </is>
      </c>
      <c r="F25" s="28" t="n"/>
      <c r="G25" s="28" t="n"/>
      <c r="H25" s="28" t="n"/>
      <c r="I25" s="28" t="n"/>
      <c r="J25" s="29" t="n">
        <v>17</v>
      </c>
      <c r="K25" s="30" t="n"/>
      <c r="L25" s="30" t="n">
        <v>0.0046</v>
      </c>
      <c r="M25" s="30" t="n">
        <v>0.0092</v>
      </c>
      <c r="N25" s="30" t="n">
        <v>0.75</v>
      </c>
      <c r="O25" s="31" t="n">
        <v>1</v>
      </c>
      <c r="P25" s="31" t="n">
        <v>1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Le'Veon Bell</t>
        </is>
      </c>
      <c r="C26" s="26" t="n">
        <v>6</v>
      </c>
      <c r="D26" s="26" t="inlineStr">
        <is>
          <t>29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0.0035</v>
      </c>
      <c r="M26" s="30" t="n">
        <v>0.0046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Emeka Egbuka</t>
        </is>
      </c>
      <c r="C28" s="26" t="n">
        <v>1</v>
      </c>
      <c r="D28" s="26" t="inlineStr">
        <is>
          <t>23</t>
        </is>
      </c>
      <c r="E28" s="27" t="inlineStr">
        <is>
          <t>ACT</t>
        </is>
      </c>
      <c r="F28" s="28" t="n"/>
      <c r="G28" s="28" t="n"/>
      <c r="H28" s="28" t="n">
        <v>0.2348</v>
      </c>
      <c r="I28" s="28" t="n">
        <v>0.0043</v>
      </c>
      <c r="J28" s="29" t="n">
        <v>17</v>
      </c>
      <c r="K28" s="30" t="n"/>
      <c r="L28" s="30" t="n">
        <v>0.2285</v>
      </c>
      <c r="M28" s="30" t="n">
        <v>0.0154</v>
      </c>
      <c r="N28" s="30" t="n">
        <v>0.4961</v>
      </c>
      <c r="O28" s="31" t="n">
        <v>1.05</v>
      </c>
      <c r="P28" s="31" t="n">
        <v>1.01</v>
      </c>
      <c r="Q28" s="31" t="n">
        <v>0.89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Chris Godwin</t>
        </is>
      </c>
      <c r="C29" s="26" t="n">
        <v>2</v>
      </c>
      <c r="D29" s="26" t="inlineStr">
        <is>
          <t>30</t>
        </is>
      </c>
      <c r="E29" s="27" t="inlineStr">
        <is>
          <t>ACT</t>
        </is>
      </c>
      <c r="F29" s="28" t="n">
        <v>0.2364</v>
      </c>
      <c r="G29" s="28" t="n">
        <v>0.1101</v>
      </c>
      <c r="H29" s="28" t="n">
        <v>0.09429999999999999</v>
      </c>
      <c r="I29" s="28" t="n"/>
      <c r="J29" s="29" t="n">
        <v>17</v>
      </c>
      <c r="K29" s="30" t="n"/>
      <c r="L29" s="30" t="n">
        <v>0.1454</v>
      </c>
      <c r="M29" s="30" t="n">
        <v>0.0073</v>
      </c>
      <c r="N29" s="30" t="n">
        <v>0.6776</v>
      </c>
      <c r="O29" s="31" t="n">
        <v>1.05</v>
      </c>
      <c r="P29" s="31" t="n">
        <v>1.1</v>
      </c>
      <c r="Q29" s="31" t="n">
        <v>1.06</v>
      </c>
      <c r="R29" s="31" t="n">
        <v>1.13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Jalen McMillan</t>
        </is>
      </c>
      <c r="C30" s="26" t="n">
        <v>3</v>
      </c>
      <c r="D30" s="26" t="inlineStr">
        <is>
          <t>24</t>
        </is>
      </c>
      <c r="E30" s="41" t="inlineStr">
        <is>
          <t>QUESTIONABLE</t>
        </is>
      </c>
      <c r="F30" s="28" t="n"/>
      <c r="G30" s="28" t="n">
        <v>0.103</v>
      </c>
      <c r="H30" s="28" t="n">
        <v>0.0277</v>
      </c>
      <c r="I30" s="28" t="n">
        <v>0.0022</v>
      </c>
      <c r="J30" s="29" t="n">
        <v>17</v>
      </c>
      <c r="K30" s="30" t="n"/>
      <c r="L30" s="30" t="n">
        <v>0.08599999999999999</v>
      </c>
      <c r="M30" s="30" t="n">
        <v>0.0049</v>
      </c>
      <c r="N30" s="30" t="n">
        <v>0.6929</v>
      </c>
      <c r="O30" s="31" t="n">
        <v>1.16</v>
      </c>
      <c r="P30" s="31" t="n">
        <v>1.05</v>
      </c>
      <c r="Q30" s="31" t="n">
        <v>1.1</v>
      </c>
      <c r="R30" s="31" t="n">
        <v>1.21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Ted Hurst</t>
        </is>
      </c>
      <c r="C31" s="26" t="n">
        <v>4</v>
      </c>
      <c r="D31" s="26" t="inlineStr">
        <is>
          <t>22</t>
        </is>
      </c>
      <c r="E31" s="36" t="inlineStr">
        <is>
          <t>role avg (rookie)</t>
        </is>
      </c>
      <c r="F31" s="28" t="n"/>
      <c r="G31" s="28" t="n"/>
      <c r="H31" s="28" t="n"/>
      <c r="I31" s="28" t="n"/>
      <c r="J31" s="29" t="n">
        <v>17</v>
      </c>
      <c r="K31" s="30" t="n"/>
      <c r="L31" s="30" t="n">
        <v>0.062</v>
      </c>
      <c r="M31" s="30" t="n">
        <v>0.0027</v>
      </c>
      <c r="N31" s="30" t="n">
        <v>0.65</v>
      </c>
      <c r="O31" s="31" t="n">
        <v>1</v>
      </c>
      <c r="P31" s="31" t="n">
        <v>1</v>
      </c>
      <c r="Q31" s="31" t="n">
        <v>1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Eric Rivers</t>
        </is>
      </c>
      <c r="C32" s="26" t="n">
        <v>5</v>
      </c>
      <c r="D32" s="26" t="inlineStr">
        <is>
          <t>23</t>
        </is>
      </c>
      <c r="E32" s="36" t="inlineStr">
        <is>
          <t>role avg (rookie)</t>
        </is>
      </c>
      <c r="F32" s="28" t="n"/>
      <c r="G32" s="28" t="n"/>
      <c r="H32" s="28" t="n"/>
      <c r="I32" s="28" t="n"/>
      <c r="J32" s="29" t="n">
        <v>17</v>
      </c>
      <c r="K32" s="30" t="n"/>
      <c r="L32" s="30" t="n">
        <v>0.0341</v>
      </c>
      <c r="M32" s="30" t="n">
        <v>0.0022</v>
      </c>
      <c r="N32" s="30" t="n">
        <v>0.65</v>
      </c>
      <c r="O32" s="31" t="n">
        <v>1</v>
      </c>
      <c r="P32" s="31" t="n">
        <v>1</v>
      </c>
      <c r="Q32" s="31" t="n">
        <v>1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David Sills</t>
        </is>
      </c>
      <c r="C33" s="26" t="n">
        <v>6</v>
      </c>
      <c r="D33" s="26" t="inlineStr">
        <is>
          <t>30</t>
        </is>
      </c>
      <c r="E33" s="36" t="inlineStr">
        <is>
          <t>role avg (from ATL)</t>
        </is>
      </c>
      <c r="F33" s="28" t="n"/>
      <c r="G33" s="28" t="n"/>
      <c r="H33" s="28" t="n">
        <v>0.0694</v>
      </c>
      <c r="I33" s="28" t="n"/>
      <c r="J33" s="29" t="n">
        <v>17</v>
      </c>
      <c r="K33" s="30" t="n"/>
      <c r="L33" s="30" t="n">
        <v>0.0187</v>
      </c>
      <c r="M33" s="30" t="n">
        <v>0.0021</v>
      </c>
      <c r="N33" s="30" t="n">
        <v>0.5</v>
      </c>
      <c r="O33" s="31" t="n">
        <v>0.83</v>
      </c>
      <c r="P33" s="31" t="n">
        <v>1</v>
      </c>
      <c r="Q33" s="31" t="n">
        <v>2.5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Dennis Houston</t>
        </is>
      </c>
      <c r="C34" s="26" t="n">
        <v>7</v>
      </c>
      <c r="D34" s="26" t="inlineStr">
        <is>
          <t>27</t>
        </is>
      </c>
      <c r="E34" s="36" t="inlineStr">
        <is>
          <t>role avg (rookie)</t>
        </is>
      </c>
      <c r="F34" s="28" t="n"/>
      <c r="G34" s="28" t="n"/>
      <c r="H34" s="28" t="n"/>
      <c r="I34" s="28" t="n"/>
      <c r="J34" s="29" t="n">
        <v>17</v>
      </c>
      <c r="K34" s="30" t="n"/>
      <c r="L34" s="30" t="n">
        <v>0.0113</v>
      </c>
      <c r="M34" s="30" t="n">
        <v>0.0023</v>
      </c>
      <c r="N34" s="30" t="n">
        <v>0.65</v>
      </c>
      <c r="O34" s="31" t="n">
        <v>1</v>
      </c>
      <c r="P34" s="31" t="n">
        <v>1</v>
      </c>
      <c r="Q34" s="31" t="n">
        <v>1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Tez Johnson</t>
        </is>
      </c>
      <c r="C35" s="26" t="n">
        <v>8</v>
      </c>
      <c r="D35" s="26" t="inlineStr">
        <is>
          <t>24</t>
        </is>
      </c>
      <c r="E35" s="41" t="inlineStr">
        <is>
          <t>QUESTIONABLE</t>
        </is>
      </c>
      <c r="F35" s="28" t="n"/>
      <c r="G35" s="28" t="n"/>
      <c r="H35" s="28" t="n">
        <v>0.0813</v>
      </c>
      <c r="I35" s="28" t="n">
        <v>0.0152</v>
      </c>
      <c r="J35" s="29" t="n">
        <v>17</v>
      </c>
      <c r="K35" s="30" t="n"/>
      <c r="L35" s="30" t="n">
        <v>0.0502</v>
      </c>
      <c r="M35" s="30" t="n">
        <v>0.0042</v>
      </c>
      <c r="N35" s="30" t="n">
        <v>0.6364</v>
      </c>
      <c r="O35" s="31" t="n">
        <v>1.04</v>
      </c>
      <c r="P35" s="31" t="n">
        <v>0.93</v>
      </c>
      <c r="Q35" s="31" t="n">
        <v>1.11</v>
      </c>
      <c r="R35" s="31" t="n">
        <v>1.31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Cade Otton</t>
        </is>
      </c>
      <c r="C37" s="26" t="n">
        <v>1</v>
      </c>
      <c r="D37" s="26" t="inlineStr">
        <is>
          <t>27</t>
        </is>
      </c>
      <c r="E37" s="27" t="inlineStr">
        <is>
          <t>ACT</t>
        </is>
      </c>
      <c r="F37" s="28" t="n">
        <v>0.1218</v>
      </c>
      <c r="G37" s="28" t="n">
        <v>0.1545</v>
      </c>
      <c r="H37" s="28" t="n">
        <v>0.1497</v>
      </c>
      <c r="I37" s="28" t="n"/>
      <c r="J37" s="29" t="n">
        <v>17</v>
      </c>
      <c r="K37" s="30" t="n"/>
      <c r="L37" s="30" t="n">
        <v>0.1435</v>
      </c>
      <c r="M37" s="30" t="n">
        <v>0.0022</v>
      </c>
      <c r="N37" s="30" t="n">
        <v>0.709</v>
      </c>
      <c r="O37" s="31" t="n">
        <v>0.96</v>
      </c>
      <c r="P37" s="31" t="n">
        <v>1</v>
      </c>
      <c r="Q37" s="31" t="n">
        <v>0.9399999999999999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Bauer Sharp</t>
        </is>
      </c>
      <c r="C38" s="26" t="n">
        <v>2</v>
      </c>
      <c r="D38" s="26" t="inlineStr">
        <is>
          <t>23</t>
        </is>
      </c>
      <c r="E38" s="36" t="inlineStr">
        <is>
          <t>role avg (rookie)</t>
        </is>
      </c>
      <c r="F38" s="28" t="n"/>
      <c r="G38" s="28" t="n"/>
      <c r="H38" s="28" t="n"/>
      <c r="I38" s="28" t="n"/>
      <c r="J38" s="29" t="n">
        <v>17</v>
      </c>
      <c r="K38" s="30" t="n"/>
      <c r="L38" s="30" t="n">
        <v>0.031</v>
      </c>
      <c r="M38" s="30" t="n">
        <v>0.0023</v>
      </c>
      <c r="N38" s="30" t="n">
        <v>0.65</v>
      </c>
      <c r="O38" s="31" t="n">
        <v>1</v>
      </c>
      <c r="P38" s="31" t="n">
        <v>1</v>
      </c>
      <c r="Q38" s="31" t="n">
        <v>1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Devin Culp</t>
        </is>
      </c>
      <c r="C39" s="26" t="n">
        <v>3</v>
      </c>
      <c r="D39" s="26" t="inlineStr">
        <is>
          <t>26</t>
        </is>
      </c>
      <c r="E39" s="27" t="inlineStr">
        <is>
          <t>ACT</t>
        </is>
      </c>
      <c r="F39" s="28" t="n"/>
      <c r="G39" s="28" t="n">
        <v>0.0107</v>
      </c>
      <c r="H39" s="28" t="n">
        <v>0.0018</v>
      </c>
      <c r="I39" s="28" t="n"/>
      <c r="J39" s="29" t="n">
        <v>17</v>
      </c>
      <c r="K39" s="30" t="n"/>
      <c r="L39" s="30" t="n">
        <v>0.0071</v>
      </c>
      <c r="M39" s="30" t="n">
        <v>0.0009</v>
      </c>
      <c r="N39" s="30" t="n">
        <v>0.9688</v>
      </c>
      <c r="O39" s="31" t="n">
        <v>1</v>
      </c>
      <c r="P39" s="31" t="n">
        <v>1</v>
      </c>
      <c r="Q39" s="31" t="n">
        <v>1.21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Payne Durham</t>
        </is>
      </c>
      <c r="C40" s="26" t="n">
        <v>4</v>
      </c>
      <c r="D40" s="26" t="inlineStr">
        <is>
          <t>26</t>
        </is>
      </c>
      <c r="E40" s="27" t="inlineStr">
        <is>
          <t>ACT</t>
        </is>
      </c>
      <c r="F40" s="28" t="n">
        <v>0.0127</v>
      </c>
      <c r="G40" s="28" t="n">
        <v>0.0249</v>
      </c>
      <c r="H40" s="28" t="n">
        <v>0.0074</v>
      </c>
      <c r="I40" s="28" t="n"/>
      <c r="J40" s="29" t="n">
        <v>17</v>
      </c>
      <c r="K40" s="30" t="n"/>
      <c r="L40" s="30" t="n">
        <v>0.0101</v>
      </c>
      <c r="M40" s="30" t="n">
        <v>0.0009</v>
      </c>
      <c r="N40" s="30" t="n">
        <v>0.4876</v>
      </c>
      <c r="O40" s="31" t="n">
        <v>0.92</v>
      </c>
      <c r="P40" s="31" t="n">
        <v>1</v>
      </c>
      <c r="Q40" s="31" t="n">
        <v>1.13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TEN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60.4</v>
      </c>
      <c r="D5" s="12">
        <f>C5*B5</f>
        <v/>
      </c>
      <c r="E5" s="13" t="n">
        <v>0.5844</v>
      </c>
      <c r="F5" s="10" t="n">
        <v>548</v>
      </c>
      <c r="G5" s="12">
        <f>ROUND(F5*Settings!$B$4,0)</f>
        <v/>
      </c>
      <c r="H5" s="10" t="n">
        <v>427</v>
      </c>
      <c r="I5" s="10" t="n">
        <v>3586</v>
      </c>
      <c r="J5" s="11" t="n">
        <v>20</v>
      </c>
      <c r="K5" s="11" t="n">
        <v>13</v>
      </c>
      <c r="L5" s="10" t="n">
        <v>1803</v>
      </c>
      <c r="M5" s="11" t="n">
        <v>12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1002</v>
      </c>
      <c r="D8" s="16" t="n">
        <v>58.9412</v>
      </c>
      <c r="E8" s="17" t="n">
        <v>0.5569</v>
      </c>
      <c r="F8" s="15" t="n">
        <v>494</v>
      </c>
      <c r="G8" s="15" t="n">
        <v>444</v>
      </c>
      <c r="H8" s="15" t="n">
        <v>3512</v>
      </c>
      <c r="I8" s="15" t="n">
        <v>1846</v>
      </c>
      <c r="J8" s="15" t="n">
        <v>14</v>
      </c>
      <c r="K8" s="15" t="n">
        <v>16</v>
      </c>
      <c r="L8" s="16" t="n">
        <v>7.1093</v>
      </c>
      <c r="M8" s="16" t="n">
        <v>4.1577</v>
      </c>
    </row>
    <row r="9">
      <c r="B9" s="15" t="n">
        <v>2024</v>
      </c>
      <c r="C9" s="15" t="n">
        <v>1032</v>
      </c>
      <c r="D9" s="16" t="n">
        <v>60.7059</v>
      </c>
      <c r="E9" s="17" t="n">
        <v>0.5639999999999999</v>
      </c>
      <c r="F9" s="15" t="n">
        <v>530</v>
      </c>
      <c r="G9" s="15" t="n">
        <v>450</v>
      </c>
      <c r="H9" s="15" t="n">
        <v>3621</v>
      </c>
      <c r="I9" s="15" t="n">
        <v>1855</v>
      </c>
      <c r="J9" s="15" t="n">
        <v>22</v>
      </c>
      <c r="K9" s="15" t="n">
        <v>11</v>
      </c>
      <c r="L9" s="16" t="n">
        <v>6.8321</v>
      </c>
      <c r="M9" s="16" t="n">
        <v>4.1222</v>
      </c>
    </row>
    <row r="10">
      <c r="B10" s="15" t="n">
        <v>2025</v>
      </c>
      <c r="C10" s="15" t="n">
        <v>1004</v>
      </c>
      <c r="D10" s="16" t="n">
        <v>59.0588</v>
      </c>
      <c r="E10" s="17" t="n">
        <v>0.6235000000000001</v>
      </c>
      <c r="F10" s="15" t="n">
        <v>570</v>
      </c>
      <c r="G10" s="15" t="n">
        <v>378</v>
      </c>
      <c r="H10" s="15" t="n">
        <v>3241</v>
      </c>
      <c r="I10" s="15" t="n">
        <v>1589</v>
      </c>
      <c r="J10" s="15" t="n">
        <v>15</v>
      </c>
      <c r="K10" s="15" t="n">
        <v>9</v>
      </c>
      <c r="L10" s="16" t="n">
        <v>5.686</v>
      </c>
      <c r="M10" s="16" t="n">
        <v>4.2037</v>
      </c>
    </row>
    <row r="11"/>
    <row r="12">
      <c r="A12" s="18" t="inlineStr">
        <is>
          <t>OUT</t>
        </is>
      </c>
      <c r="B12" s="19" t="inlineStr">
        <is>
          <t>31% of targets and 0% of carries left. Share is team-relative - it does NOT follow the player.</t>
        </is>
      </c>
      <c r="H12" s="8" t="inlineStr">
        <is>
          <t>Chig Okonkwo (15t/0r -&gt; WAS), Van Jefferson (10t/0r -&gt; WAS), Tyler Lockett (4t/0r -&gt; NOT ON ANY ROSTER), James Proche II (2t/0r -&gt; NOT ON ANY ROSTER)</t>
        </is>
      </c>
    </row>
    <row r="13">
      <c r="A13" s="20" t="inlineStr">
        <is>
          <t>IN</t>
        </is>
      </c>
      <c r="B13" s="21" t="inlineStr">
        <is>
          <t>5 new: Wan'Dale Robinson (WR, from NYG - had 28% there), Michael Carter (RB, from ARI - had 7% there), Daniel Bellinger (TE, from NYG - had 5% there), Kylen Granson (TE, from PHI - had 2% there), Mitchell Trubisky (QB, from BUF)</t>
        </is>
      </c>
    </row>
    <row r="14">
      <c r="A14" s="7" t="inlineStr">
        <is>
          <t>STAFF</t>
        </is>
      </c>
      <c r="B14" s="22" t="inlineStr">
        <is>
          <t>NEW HC Robert Saleh + OC Brian Daboll. Potential shift toward a more balanced approach.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Cam Ward</t>
        </is>
      </c>
      <c r="C17" s="26" t="n">
        <v>1</v>
      </c>
      <c r="D17" s="26" t="inlineStr">
        <is>
          <t>24</t>
        </is>
      </c>
      <c r="E17" s="27" t="inlineStr">
        <is>
          <t>ACT</t>
        </is>
      </c>
      <c r="F17" s="28" t="n"/>
      <c r="G17" s="28" t="n"/>
      <c r="H17" s="28" t="n"/>
      <c r="I17" s="28" t="n">
        <v>0.0887</v>
      </c>
      <c r="J17" s="29" t="n">
        <v>17</v>
      </c>
      <c r="K17" s="30" t="n">
        <v>0.9474</v>
      </c>
      <c r="L17" s="30" t="n">
        <v>0.0007</v>
      </c>
      <c r="M17" s="30" t="n">
        <v>0.0785</v>
      </c>
      <c r="N17" s="30" t="n"/>
      <c r="O17" s="31" t="n">
        <v>1</v>
      </c>
      <c r="P17" s="31" t="n">
        <v>1.08</v>
      </c>
      <c r="Q17" s="31" t="n">
        <v>1</v>
      </c>
      <c r="R17" s="31" t="n">
        <v>1.92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Will Levis</t>
        </is>
      </c>
      <c r="C18" s="26" t="n">
        <v>2</v>
      </c>
      <c r="D18" s="26" t="inlineStr">
        <is>
          <t>27</t>
        </is>
      </c>
      <c r="E18" s="27" t="inlineStr">
        <is>
          <t>ACT</t>
        </is>
      </c>
      <c r="F18" s="28" t="n"/>
      <c r="G18" s="28" t="n"/>
      <c r="H18" s="28" t="n"/>
      <c r="I18" s="28" t="n"/>
      <c r="J18" s="29" t="n">
        <v>17</v>
      </c>
      <c r="K18" s="30" t="n">
        <v>0.0447</v>
      </c>
      <c r="L18" s="30" t="n">
        <v>0.0007</v>
      </c>
      <c r="M18" s="30" t="n">
        <v>0.0523</v>
      </c>
      <c r="N18" s="30" t="n"/>
      <c r="O18" s="31" t="n">
        <v>1</v>
      </c>
      <c r="P18" s="31" t="n">
        <v>0.99</v>
      </c>
      <c r="Q18" s="31" t="n">
        <v>1</v>
      </c>
      <c r="R18" s="31" t="n">
        <v>1.3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Mitchell Trubisky</t>
        </is>
      </c>
      <c r="C19" s="26" t="n">
        <v>3</v>
      </c>
      <c r="D19" s="26" t="inlineStr">
        <is>
          <t>31</t>
        </is>
      </c>
      <c r="E19" s="36" t="inlineStr">
        <is>
          <t>role avg (from BUF)</t>
        </is>
      </c>
      <c r="F19" s="28" t="n"/>
      <c r="G19" s="28" t="n"/>
      <c r="H19" s="28" t="n"/>
      <c r="I19" s="28" t="n">
        <v>0.0038</v>
      </c>
      <c r="J19" s="29" t="n">
        <v>17</v>
      </c>
      <c r="K19" s="30" t="n">
        <v>0.007900000000000001</v>
      </c>
      <c r="L19" s="30" t="n">
        <v>0.0016</v>
      </c>
      <c r="M19" s="30" t="n">
        <v>0.009900000000000001</v>
      </c>
      <c r="N19" s="30" t="n"/>
      <c r="O19" s="31" t="n">
        <v>1</v>
      </c>
      <c r="P19" s="31" t="n">
        <v>0.86</v>
      </c>
      <c r="Q19" s="31" t="n">
        <v>1</v>
      </c>
      <c r="R19" s="31" t="n">
        <v>1.96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Tony Pollard</t>
        </is>
      </c>
      <c r="C21" s="26" t="n">
        <v>1</v>
      </c>
      <c r="D21" s="26" t="inlineStr">
        <is>
          <t>29</t>
        </is>
      </c>
      <c r="E21" s="27" t="inlineStr">
        <is>
          <t>ACT</t>
        </is>
      </c>
      <c r="F21" s="28" t="n">
        <v>0.1107</v>
      </c>
      <c r="G21" s="28" t="n">
        <v>0.1124</v>
      </c>
      <c r="H21" s="28" t="n">
        <v>0.0774</v>
      </c>
      <c r="I21" s="28" t="n">
        <v>0.6505</v>
      </c>
      <c r="J21" s="29" t="n">
        <v>17</v>
      </c>
      <c r="K21" s="30" t="n"/>
      <c r="L21" s="30" t="n">
        <v>0.08160000000000001</v>
      </c>
      <c r="M21" s="30" t="n">
        <v>0.5444</v>
      </c>
      <c r="N21" s="30" t="n">
        <v>0.7835</v>
      </c>
      <c r="O21" s="31" t="n">
        <v>0.79</v>
      </c>
      <c r="P21" s="31" t="n">
        <v>1.01</v>
      </c>
      <c r="Q21" s="31" t="n">
        <v>0.85</v>
      </c>
      <c r="R21" s="31" t="n">
        <v>0.85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Tyjae Spears</t>
        </is>
      </c>
      <c r="C22" s="26" t="n">
        <v>2</v>
      </c>
      <c r="D22" s="26" t="inlineStr">
        <is>
          <t>25</t>
        </is>
      </c>
      <c r="E22" s="27" t="inlineStr">
        <is>
          <t>ACT</t>
        </is>
      </c>
      <c r="F22" s="28" t="n">
        <v>0.1464</v>
      </c>
      <c r="G22" s="28" t="n">
        <v>0.06900000000000001</v>
      </c>
      <c r="H22" s="28" t="n">
        <v>0.09429999999999999</v>
      </c>
      <c r="I22" s="28" t="n">
        <v>0.1935</v>
      </c>
      <c r="J22" s="29" t="n">
        <v>17</v>
      </c>
      <c r="K22" s="30" t="n"/>
      <c r="L22" s="30" t="n">
        <v>0.0689</v>
      </c>
      <c r="M22" s="30" t="n">
        <v>0.1882</v>
      </c>
      <c r="N22" s="30" t="n">
        <v>0.849</v>
      </c>
      <c r="O22" s="31" t="n">
        <v>0.89</v>
      </c>
      <c r="P22" s="31" t="n">
        <v>0.96</v>
      </c>
      <c r="Q22" s="31" t="n">
        <v>1.14</v>
      </c>
      <c r="R22" s="31" t="n">
        <v>0.99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Nicholas Singleton</t>
        </is>
      </c>
      <c r="C23" s="26" t="n">
        <v>3</v>
      </c>
      <c r="D23" s="26" t="inlineStr">
        <is>
          <t>22</t>
        </is>
      </c>
      <c r="E23" s="36" t="inlineStr">
        <is>
          <t>role avg (rookie)</t>
        </is>
      </c>
      <c r="F23" s="28" t="n"/>
      <c r="G23" s="28" t="n"/>
      <c r="H23" s="28" t="n"/>
      <c r="I23" s="28" t="n"/>
      <c r="J23" s="29" t="n">
        <v>17</v>
      </c>
      <c r="K23" s="30" t="n"/>
      <c r="L23" s="30" t="n">
        <v>0.0094</v>
      </c>
      <c r="M23" s="30" t="n">
        <v>0.0456</v>
      </c>
      <c r="N23" s="30" t="n">
        <v>0.75</v>
      </c>
      <c r="O23" s="31" t="n">
        <v>1</v>
      </c>
      <c r="P23" s="31" t="n">
        <v>1</v>
      </c>
      <c r="Q23" s="31" t="n">
        <v>1</v>
      </c>
      <c r="R23" s="31" t="n">
        <v>1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Michael Carter</t>
        </is>
      </c>
      <c r="C24" s="26" t="n">
        <v>4</v>
      </c>
      <c r="D24" s="26" t="inlineStr">
        <is>
          <t>27</t>
        </is>
      </c>
      <c r="E24" s="36" t="inlineStr">
        <is>
          <t>role avg (from ARI)</t>
        </is>
      </c>
      <c r="F24" s="28" t="n">
        <v>0.0355</v>
      </c>
      <c r="G24" s="28" t="n">
        <v>0.021</v>
      </c>
      <c r="H24" s="28" t="n">
        <v>0.07290000000000001</v>
      </c>
      <c r="I24" s="28" t="n">
        <v>0.2534</v>
      </c>
      <c r="J24" s="29" t="n">
        <v>17</v>
      </c>
      <c r="K24" s="30" t="n"/>
      <c r="L24" s="30" t="n">
        <v>0.0063</v>
      </c>
      <c r="M24" s="30" t="n">
        <v>0.0126</v>
      </c>
      <c r="N24" s="30" t="n">
        <v>0.7627</v>
      </c>
      <c r="O24" s="31" t="n">
        <v>0.85</v>
      </c>
      <c r="P24" s="31" t="n">
        <v>0.9</v>
      </c>
      <c r="Q24" s="31" t="n">
        <v>2.5</v>
      </c>
      <c r="R24" s="31" t="n">
        <v>2.5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Kalel Mullings</t>
        </is>
      </c>
      <c r="C25" s="26" t="n">
        <v>5</v>
      </c>
      <c r="D25" s="26" t="inlineStr">
        <is>
          <t>23</t>
        </is>
      </c>
      <c r="E25" s="27" t="inlineStr">
        <is>
          <t>ACT</t>
        </is>
      </c>
      <c r="F25" s="28" t="n"/>
      <c r="G25" s="28" t="n"/>
      <c r="H25" s="28" t="n"/>
      <c r="I25" s="28" t="n">
        <v>0.0081</v>
      </c>
      <c r="J25" s="29" t="n">
        <v>17</v>
      </c>
      <c r="K25" s="30" t="n"/>
      <c r="L25" s="30" t="n">
        <v>0.0016</v>
      </c>
      <c r="M25" s="30" t="n">
        <v>0.0094</v>
      </c>
      <c r="N25" s="30" t="n"/>
      <c r="O25" s="31" t="n">
        <v>1</v>
      </c>
      <c r="P25" s="31" t="n">
        <v>0.9399999999999999</v>
      </c>
      <c r="Q25" s="31" t="n">
        <v>1</v>
      </c>
      <c r="R25" s="31" t="n">
        <v>1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Julius Chestnut</t>
        </is>
      </c>
      <c r="C26" s="26" t="n">
        <v>6</v>
      </c>
      <c r="D26" s="26" t="inlineStr">
        <is>
          <t>25</t>
        </is>
      </c>
      <c r="E26" s="27" t="inlineStr">
        <is>
          <t>ACT</t>
        </is>
      </c>
      <c r="F26" s="28" t="n"/>
      <c r="G26" s="28" t="n">
        <v>0.0059</v>
      </c>
      <c r="H26" s="28" t="n">
        <v>0.0038</v>
      </c>
      <c r="I26" s="28" t="n">
        <v>0.0296</v>
      </c>
      <c r="J26" s="29" t="n">
        <v>17</v>
      </c>
      <c r="K26" s="30" t="n"/>
      <c r="L26" s="30" t="n">
        <v>0.0034</v>
      </c>
      <c r="M26" s="30" t="n">
        <v>0.0086</v>
      </c>
      <c r="N26" s="30" t="n">
        <v>0.6667</v>
      </c>
      <c r="O26" s="31" t="n">
        <v>0.95</v>
      </c>
      <c r="P26" s="31" t="n">
        <v>0.98</v>
      </c>
      <c r="Q26" s="31" t="n">
        <v>1</v>
      </c>
      <c r="R26" s="31" t="n">
        <v>2.5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Carnell Tate</t>
        </is>
      </c>
      <c r="C28" s="26" t="n">
        <v>1</v>
      </c>
      <c r="D28" s="26" t="inlineStr">
        <is>
          <t>21</t>
        </is>
      </c>
      <c r="E28" s="36" t="inlineStr">
        <is>
          <t>role avg (rookie)</t>
        </is>
      </c>
      <c r="F28" s="28" t="n"/>
      <c r="G28" s="28" t="n"/>
      <c r="H28" s="28" t="n"/>
      <c r="I28" s="28" t="n"/>
      <c r="J28" s="29" t="n">
        <v>17</v>
      </c>
      <c r="K28" s="30" t="n"/>
      <c r="L28" s="30" t="n">
        <v>0.1867</v>
      </c>
      <c r="M28" s="30" t="n">
        <v>0.0169</v>
      </c>
      <c r="N28" s="30" t="n">
        <v>0.65</v>
      </c>
      <c r="O28" s="31" t="n">
        <v>1</v>
      </c>
      <c r="P28" s="31" t="n">
        <v>1</v>
      </c>
      <c r="Q28" s="31" t="n">
        <v>1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Wan'Dale Robinson</t>
        </is>
      </c>
      <c r="C29" s="26" t="n">
        <v>2</v>
      </c>
      <c r="D29" s="26" t="inlineStr">
        <is>
          <t>25</t>
        </is>
      </c>
      <c r="E29" s="36" t="inlineStr">
        <is>
          <t>role avg (from NYG)</t>
        </is>
      </c>
      <c r="F29" s="28" t="n">
        <v>0.1608</v>
      </c>
      <c r="G29" s="28" t="n">
        <v>0.2527</v>
      </c>
      <c r="H29" s="28" t="n">
        <v>0.2783</v>
      </c>
      <c r="I29" s="28" t="n">
        <v>0.006</v>
      </c>
      <c r="J29" s="29" t="n">
        <v>17</v>
      </c>
      <c r="K29" s="30" t="n"/>
      <c r="L29" s="30" t="n">
        <v>0.1069</v>
      </c>
      <c r="M29" s="30" t="n">
        <v>0.0053</v>
      </c>
      <c r="N29" s="30" t="n">
        <v>0.6803</v>
      </c>
      <c r="O29" s="31" t="n">
        <v>0.93</v>
      </c>
      <c r="P29" s="31" t="n">
        <v>1.01</v>
      </c>
      <c r="Q29" s="31" t="n">
        <v>1.42</v>
      </c>
      <c r="R29" s="31" t="n">
        <v>1.19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Calvin Ridley</t>
        </is>
      </c>
      <c r="C30" s="26" t="n">
        <v>3</v>
      </c>
      <c r="D30" s="26" t="inlineStr">
        <is>
          <t>31</t>
        </is>
      </c>
      <c r="E30" s="27" t="inlineStr">
        <is>
          <t>ACT</t>
        </is>
      </c>
      <c r="F30" s="28" t="n">
        <v>0.2241</v>
      </c>
      <c r="G30" s="28" t="n">
        <v>0.2367</v>
      </c>
      <c r="H30" s="28" t="n">
        <v>0.0679</v>
      </c>
      <c r="I30" s="28" t="n"/>
      <c r="J30" s="29" t="n">
        <v>17</v>
      </c>
      <c r="K30" s="30" t="n"/>
      <c r="L30" s="30" t="n">
        <v>0.1213</v>
      </c>
      <c r="M30" s="30" t="n">
        <v>0.0118</v>
      </c>
      <c r="N30" s="30" t="n">
        <v>0.5227000000000001</v>
      </c>
      <c r="O30" s="31" t="n">
        <v>1.17</v>
      </c>
      <c r="P30" s="31" t="n">
        <v>1.08</v>
      </c>
      <c r="Q30" s="31" t="n">
        <v>1.16</v>
      </c>
      <c r="R30" s="31" t="n">
        <v>1.03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Elic Ayomanor</t>
        </is>
      </c>
      <c r="C31" s="26" t="n">
        <v>4</v>
      </c>
      <c r="D31" s="26" t="inlineStr">
        <is>
          <t>23</t>
        </is>
      </c>
      <c r="E31" s="27" t="inlineStr">
        <is>
          <t>ACT</t>
        </is>
      </c>
      <c r="F31" s="28" t="n"/>
      <c r="G31" s="28" t="n"/>
      <c r="H31" s="28" t="n">
        <v>0.1679</v>
      </c>
      <c r="I31" s="28" t="n"/>
      <c r="J31" s="29" t="n">
        <v>17</v>
      </c>
      <c r="K31" s="30" t="n"/>
      <c r="L31" s="30" t="n">
        <v>0.1</v>
      </c>
      <c r="M31" s="30" t="n">
        <v>0.0008</v>
      </c>
      <c r="N31" s="30" t="n">
        <v>0.4607</v>
      </c>
      <c r="O31" s="31" t="n">
        <v>0.96</v>
      </c>
      <c r="P31" s="31" t="n">
        <v>1</v>
      </c>
      <c r="Q31" s="31" t="n">
        <v>1.18</v>
      </c>
      <c r="R31" s="31" t="n">
        <v>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Chimere Dike</t>
        </is>
      </c>
      <c r="C32" s="26" t="n">
        <v>5</v>
      </c>
      <c r="D32" s="26" t="inlineStr">
        <is>
          <t>24</t>
        </is>
      </c>
      <c r="E32" s="27" t="inlineStr">
        <is>
          <t>ACT</t>
        </is>
      </c>
      <c r="F32" s="28" t="n"/>
      <c r="G32" s="28" t="n"/>
      <c r="H32" s="28" t="n">
        <v>0.1396</v>
      </c>
      <c r="I32" s="28" t="n">
        <v>0.0296</v>
      </c>
      <c r="J32" s="29" t="n">
        <v>17</v>
      </c>
      <c r="K32" s="30" t="n"/>
      <c r="L32" s="30" t="n">
        <v>0.0781</v>
      </c>
      <c r="M32" s="30" t="n">
        <v>0.0059</v>
      </c>
      <c r="N32" s="30" t="n">
        <v>0.6486</v>
      </c>
      <c r="O32" s="31" t="n">
        <v>0.95</v>
      </c>
      <c r="P32" s="31" t="n">
        <v>0.78</v>
      </c>
      <c r="Q32" s="31" t="n">
        <v>2.31</v>
      </c>
      <c r="R32" s="31" t="n">
        <v>2.22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Xavier Restrepo</t>
        </is>
      </c>
      <c r="C33" s="26" t="n">
        <v>6</v>
      </c>
      <c r="D33" s="26" t="inlineStr">
        <is>
          <t>24</t>
        </is>
      </c>
      <c r="E33" s="27" t="inlineStr">
        <is>
          <t>ACT</t>
        </is>
      </c>
      <c r="F33" s="28" t="n"/>
      <c r="G33" s="28" t="n"/>
      <c r="H33" s="28" t="n">
        <v>0.0132</v>
      </c>
      <c r="I33" s="28" t="n"/>
      <c r="J33" s="29" t="n">
        <v>17</v>
      </c>
      <c r="K33" s="30" t="n"/>
      <c r="L33" s="30" t="n">
        <v>0.0109</v>
      </c>
      <c r="M33" s="30" t="n">
        <v>0.0007</v>
      </c>
      <c r="N33" s="30" t="n">
        <v>0.4286</v>
      </c>
      <c r="O33" s="31" t="n">
        <v>0.99</v>
      </c>
      <c r="P33" s="31" t="n">
        <v>1</v>
      </c>
      <c r="Q33" s="31" t="n">
        <v>1.06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Bryce Oliver</t>
        </is>
      </c>
      <c r="C34" s="26" t="n">
        <v>7</v>
      </c>
      <c r="D34" s="26" t="inlineStr">
        <is>
          <t>26</t>
        </is>
      </c>
      <c r="E34" s="27" t="inlineStr">
        <is>
          <t>ACT</t>
        </is>
      </c>
      <c r="F34" s="28" t="n"/>
      <c r="G34" s="28" t="n">
        <v>0.0178</v>
      </c>
      <c r="H34" s="28" t="n">
        <v>0.0019</v>
      </c>
      <c r="I34" s="28" t="n"/>
      <c r="J34" s="29" t="n">
        <v>17</v>
      </c>
      <c r="K34" s="30" t="n"/>
      <c r="L34" s="30" t="n">
        <v>0.008399999999999999</v>
      </c>
      <c r="M34" s="30" t="n">
        <v>0.0008</v>
      </c>
      <c r="N34" s="30" t="n">
        <v>0.7778</v>
      </c>
      <c r="O34" s="31" t="n">
        <v>1.1</v>
      </c>
      <c r="P34" s="31" t="n">
        <v>1</v>
      </c>
      <c r="Q34" s="31" t="n">
        <v>1.13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K.J. Osborn</t>
        </is>
      </c>
      <c r="C35" s="26" t="n">
        <v>8</v>
      </c>
      <c r="D35" s="26" t="inlineStr">
        <is>
          <t>29</t>
        </is>
      </c>
      <c r="E35" s="27" t="inlineStr">
        <is>
          <t>ACT</t>
        </is>
      </c>
      <c r="F35" s="28" t="n">
        <v>0.1238</v>
      </c>
      <c r="G35" s="28" t="n">
        <v>0.036</v>
      </c>
      <c r="H35" s="28" t="n"/>
      <c r="I35" s="28" t="n"/>
      <c r="J35" s="29" t="n">
        <v>17</v>
      </c>
      <c r="K35" s="30" t="n"/>
      <c r="L35" s="30" t="n">
        <v>0.0456</v>
      </c>
      <c r="M35" s="30" t="n">
        <v>0.0007</v>
      </c>
      <c r="N35" s="30" t="n">
        <v>0.5405</v>
      </c>
      <c r="O35" s="31" t="n">
        <v>0.82</v>
      </c>
      <c r="P35" s="31" t="n">
        <v>1</v>
      </c>
      <c r="Q35" s="31" t="n">
        <v>1.36</v>
      </c>
      <c r="R35" s="31" t="n">
        <v>1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Gunnar Helm</t>
        </is>
      </c>
      <c r="C37" s="26" t="n">
        <v>1</v>
      </c>
      <c r="D37" s="26" t="inlineStr">
        <is>
          <t>23</t>
        </is>
      </c>
      <c r="E37" s="27" t="inlineStr">
        <is>
          <t>ACT</t>
        </is>
      </c>
      <c r="F37" s="28" t="n"/>
      <c r="G37" s="28" t="n"/>
      <c r="H37" s="28" t="n">
        <v>0.1038</v>
      </c>
      <c r="I37" s="28" t="n"/>
      <c r="J37" s="29" t="n">
        <v>17</v>
      </c>
      <c r="K37" s="30" t="n"/>
      <c r="L37" s="30" t="n">
        <v>0.0998</v>
      </c>
      <c r="M37" s="30" t="n">
        <v>0.0011</v>
      </c>
      <c r="N37" s="30" t="n">
        <v>0.8</v>
      </c>
      <c r="O37" s="31" t="n">
        <v>1.04</v>
      </c>
      <c r="P37" s="31" t="n">
        <v>1</v>
      </c>
      <c r="Q37" s="31" t="n">
        <v>1.09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Daniel Bellinger</t>
        </is>
      </c>
      <c r="C38" s="26" t="n">
        <v>2</v>
      </c>
      <c r="D38" s="26" t="inlineStr">
        <is>
          <t>25</t>
        </is>
      </c>
      <c r="E38" s="36" t="inlineStr">
        <is>
          <t>role avg (from NYG)</t>
        </is>
      </c>
      <c r="F38" s="28" t="n">
        <v>0.0577</v>
      </c>
      <c r="G38" s="28" t="n">
        <v>0.0307</v>
      </c>
      <c r="H38" s="28" t="n">
        <v>0.0517</v>
      </c>
      <c r="I38" s="28" t="n"/>
      <c r="J38" s="29" t="n">
        <v>17</v>
      </c>
      <c r="K38" s="30" t="n"/>
      <c r="L38" s="30" t="n">
        <v>0.048</v>
      </c>
      <c r="M38" s="30" t="n">
        <v>0.0021</v>
      </c>
      <c r="N38" s="30" t="n">
        <v>0.7927999999999999</v>
      </c>
      <c r="O38" s="31" t="n">
        <v>1.19</v>
      </c>
      <c r="P38" s="31" t="n">
        <v>1</v>
      </c>
      <c r="Q38" s="31" t="n">
        <v>1.3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Jaren Kanak</t>
        </is>
      </c>
      <c r="C39" s="26" t="n">
        <v>3</v>
      </c>
      <c r="D39" s="26" t="inlineStr">
        <is>
          <t>22</t>
        </is>
      </c>
      <c r="E39" s="36" t="inlineStr">
        <is>
          <t>role avg (rookie)</t>
        </is>
      </c>
      <c r="F39" s="28" t="n"/>
      <c r="G39" s="28" t="n"/>
      <c r="H39" s="28" t="n"/>
      <c r="I39" s="28" t="n"/>
      <c r="J39" s="29" t="n">
        <v>17</v>
      </c>
      <c r="K39" s="30" t="n"/>
      <c r="L39" s="30" t="n">
        <v>0.0153</v>
      </c>
      <c r="M39" s="30" t="n">
        <v>0.0021</v>
      </c>
      <c r="N39" s="30" t="n">
        <v>0.65</v>
      </c>
      <c r="O39" s="31" t="n">
        <v>1</v>
      </c>
      <c r="P39" s="31" t="n">
        <v>1</v>
      </c>
      <c r="Q39" s="31" t="n">
        <v>1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Kylen Granson</t>
        </is>
      </c>
      <c r="C40" s="26" t="n">
        <v>4</v>
      </c>
      <c r="D40" s="26" t="inlineStr">
        <is>
          <t>28</t>
        </is>
      </c>
      <c r="E40" s="36" t="inlineStr">
        <is>
          <t>role avg (from PHI)</t>
        </is>
      </c>
      <c r="F40" s="28" t="n">
        <v>0.0916</v>
      </c>
      <c r="G40" s="28" t="n">
        <v>0.063</v>
      </c>
      <c r="H40" s="28" t="n">
        <v>0.0194</v>
      </c>
      <c r="I40" s="28" t="n"/>
      <c r="J40" s="29" t="n">
        <v>17</v>
      </c>
      <c r="K40" s="30" t="n"/>
      <c r="L40" s="30" t="n">
        <v>0.0049</v>
      </c>
      <c r="M40" s="30" t="n">
        <v>0.0021</v>
      </c>
      <c r="N40" s="30" t="n">
        <v>0.6454</v>
      </c>
      <c r="O40" s="31" t="n">
        <v>0.86</v>
      </c>
      <c r="P40" s="31" t="n">
        <v>0.97</v>
      </c>
      <c r="Q40" s="31" t="n">
        <v>2.5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8" customWidth="1" min="20" max="20"/>
    <col width="7" customWidth="1" min="21" max="21"/>
    <col width="9" customWidth="1" min="22" max="22"/>
    <col width="7" customWidth="1" min="23" max="23"/>
    <col width="9" customWidth="1" min="24" max="24"/>
    <col width="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10" customWidth="1" min="31" max="31"/>
  </cols>
  <sheetData>
    <row r="1">
      <c r="A1" s="6" t="inlineStr">
        <is>
          <t>WAS  -  2026 projections</t>
        </is>
      </c>
    </row>
    <row r="2"/>
    <row r="3">
      <c r="A3" s="7" t="inlineStr">
        <is>
          <t>TEAM TOTALS</t>
        </is>
      </c>
      <c r="C3" s="8" t="inlineStr">
        <is>
          <t>blue = edit; everything below divides these up</t>
        </is>
      </c>
    </row>
    <row r="4">
      <c r="B4" s="9" t="inlineStr">
        <is>
          <t>Games</t>
        </is>
      </c>
      <c r="C4" s="9" t="inlineStr">
        <is>
          <t>Plays/G</t>
        </is>
      </c>
      <c r="D4" s="9" t="inlineStr">
        <is>
          <t>Plays</t>
        </is>
      </c>
      <c r="E4" s="9" t="inlineStr">
        <is>
          <t>Pass Rate</t>
        </is>
      </c>
      <c r="F4" s="9" t="inlineStr">
        <is>
          <t>Pass Att</t>
        </is>
      </c>
      <c r="G4" s="9" t="inlineStr">
        <is>
          <t>Targets</t>
        </is>
      </c>
      <c r="H4" s="9" t="inlineStr">
        <is>
          <t>Rush Att</t>
        </is>
      </c>
      <c r="I4" s="9" t="inlineStr">
        <is>
          <t>Pass Yds</t>
        </is>
      </c>
      <c r="J4" s="9" t="inlineStr">
        <is>
          <t>Pass TD</t>
        </is>
      </c>
      <c r="K4" s="9" t="inlineStr">
        <is>
          <t>Int</t>
        </is>
      </c>
      <c r="L4" s="9" t="inlineStr">
        <is>
          <t>Rush Yds</t>
        </is>
      </c>
      <c r="M4" s="9" t="inlineStr">
        <is>
          <t>Rush TD</t>
        </is>
      </c>
    </row>
    <row r="5">
      <c r="B5" s="10" t="n">
        <v>17</v>
      </c>
      <c r="C5" s="11" t="n">
        <v>61.4</v>
      </c>
      <c r="D5" s="12">
        <f>C5*B5</f>
        <v/>
      </c>
      <c r="E5" s="13" t="n">
        <v>0.5507</v>
      </c>
      <c r="F5" s="10" t="n">
        <v>530</v>
      </c>
      <c r="G5" s="12">
        <f>ROUND(F5*Settings!$B$4,0)</f>
        <v/>
      </c>
      <c r="H5" s="10" t="n">
        <v>469</v>
      </c>
      <c r="I5" s="10" t="n">
        <v>3761</v>
      </c>
      <c r="J5" s="11" t="n">
        <v>24</v>
      </c>
      <c r="K5" s="11" t="n">
        <v>13</v>
      </c>
      <c r="L5" s="10" t="n">
        <v>2161</v>
      </c>
      <c r="M5" s="11" t="n">
        <v>18</v>
      </c>
    </row>
    <row r="6"/>
    <row r="7">
      <c r="A7" s="7" t="inlineStr">
        <is>
          <t>LAST 3 YEARS</t>
        </is>
      </c>
      <c r="B7" s="14" t="inlineStr">
        <is>
          <t>Season</t>
        </is>
      </c>
      <c r="C7" s="14" t="inlineStr">
        <is>
          <t>Plays</t>
        </is>
      </c>
      <c r="D7" s="14" t="inlineStr">
        <is>
          <t>Plays/G</t>
        </is>
      </c>
      <c r="E7" s="14" t="inlineStr">
        <is>
          <t>Pass Rate</t>
        </is>
      </c>
      <c r="F7" s="14" t="inlineStr">
        <is>
          <t>Pass Att</t>
        </is>
      </c>
      <c r="G7" s="14" t="inlineStr">
        <is>
          <t>Rush Att</t>
        </is>
      </c>
      <c r="H7" s="14" t="inlineStr">
        <is>
          <t>Pass Yds</t>
        </is>
      </c>
      <c r="I7" s="14" t="inlineStr">
        <is>
          <t>Rush Yds</t>
        </is>
      </c>
      <c r="J7" s="14" t="inlineStr">
        <is>
          <t>Pass TD</t>
        </is>
      </c>
      <c r="K7" s="14" t="inlineStr">
        <is>
          <t>Rush TD</t>
        </is>
      </c>
      <c r="L7" s="14" t="inlineStr">
        <is>
          <t>Y/A</t>
        </is>
      </c>
      <c r="M7" s="14" t="inlineStr">
        <is>
          <t>Y/C</t>
        </is>
      </c>
    </row>
    <row r="8">
      <c r="B8" s="15" t="n">
        <v>2023</v>
      </c>
      <c r="C8" s="15" t="n">
        <v>1060</v>
      </c>
      <c r="D8" s="16" t="n">
        <v>62.3529</v>
      </c>
      <c r="E8" s="17" t="n">
        <v>0.6613</v>
      </c>
      <c r="F8" s="15" t="n">
        <v>636</v>
      </c>
      <c r="G8" s="15" t="n">
        <v>359</v>
      </c>
      <c r="H8" s="15" t="n">
        <v>4174</v>
      </c>
      <c r="I8" s="15" t="n">
        <v>1592</v>
      </c>
      <c r="J8" s="15" t="n">
        <v>24</v>
      </c>
      <c r="K8" s="15" t="n">
        <v>14</v>
      </c>
      <c r="L8" s="16" t="n">
        <v>6.5629</v>
      </c>
      <c r="M8" s="16" t="n">
        <v>4.4345</v>
      </c>
    </row>
    <row r="9">
      <c r="B9" s="15" t="n">
        <v>2024</v>
      </c>
      <c r="C9" s="15" t="n">
        <v>1101</v>
      </c>
      <c r="D9" s="16" t="n">
        <v>64.7647</v>
      </c>
      <c r="E9" s="17" t="n">
        <v>0.5223</v>
      </c>
      <c r="F9" s="15" t="n">
        <v>525</v>
      </c>
      <c r="G9" s="15" t="n">
        <v>526</v>
      </c>
      <c r="H9" s="15" t="n">
        <v>3932</v>
      </c>
      <c r="I9" s="15" t="n">
        <v>2619</v>
      </c>
      <c r="J9" s="15" t="n">
        <v>29</v>
      </c>
      <c r="K9" s="15" t="n">
        <v>25</v>
      </c>
      <c r="L9" s="16" t="n">
        <v>7.4895</v>
      </c>
      <c r="M9" s="16" t="n">
        <v>4.9791</v>
      </c>
    </row>
    <row r="10">
      <c r="B10" s="15" t="n">
        <v>2025</v>
      </c>
      <c r="C10" s="15" t="n">
        <v>990</v>
      </c>
      <c r="D10" s="16" t="n">
        <v>58.2353</v>
      </c>
      <c r="E10" s="17" t="n">
        <v>0.5111</v>
      </c>
      <c r="F10" s="15" t="n">
        <v>469</v>
      </c>
      <c r="G10" s="15" t="n">
        <v>484</v>
      </c>
      <c r="H10" s="15" t="n">
        <v>3329</v>
      </c>
      <c r="I10" s="15" t="n">
        <v>2290</v>
      </c>
      <c r="J10" s="15" t="n">
        <v>19</v>
      </c>
      <c r="K10" s="15" t="n">
        <v>20</v>
      </c>
      <c r="L10" s="16" t="n">
        <v>7.0981</v>
      </c>
      <c r="M10" s="16" t="n">
        <v>4.7314</v>
      </c>
    </row>
    <row r="11"/>
    <row r="12">
      <c r="A12" s="18" t="inlineStr">
        <is>
          <t>OUT</t>
        </is>
      </c>
      <c r="B12" s="19" t="inlineStr">
        <is>
          <t>52% of targets and 33% of carries left. Share is team-relative - it does NOT follow the player.</t>
        </is>
      </c>
      <c r="H12" s="8" t="inlineStr">
        <is>
          <t>Chris Rodriguez Jr. (1t/24r -&gt; JAC), Deebo Samuel (23t/4r -&gt; SF), Zach Ertz (17t/0r -&gt; NOT ON ANY ROSTER), Chris Moore (5t/0r -&gt; BAL), Austin Ekeler (2t/3r -&gt; NOT ON ANY ROSTER)</t>
        </is>
      </c>
    </row>
    <row r="13">
      <c r="A13" s="20" t="inlineStr">
        <is>
          <t>IN</t>
        </is>
      </c>
      <c r="B13" s="21" t="inlineStr">
        <is>
          <t>6 new: Rachaad White (RB, from TB - had 8% there), Stefon Diggs (WR, from NE - had 21% there), Chig Okonkwo (TE, from TEN - had 15% there), Van Jefferson (WR, from TEN - had 10% there), Dyami Brown (WR, from JAC - had 7% there)</t>
        </is>
      </c>
    </row>
    <row r="14">
      <c r="A14" s="7" t="inlineStr">
        <is>
          <t>STAFF</t>
        </is>
      </c>
      <c r="B14" s="22" t="inlineStr">
        <is>
          <t>HC unchanged. OC David Blough under Dan Quinn. Shift from shotgun-heavy (86.9%) toward under-center; more play-action.</t>
        </is>
      </c>
    </row>
    <row r="15"/>
    <row r="16">
      <c r="A16" s="23" t="inlineStr">
        <is>
          <t>Pos</t>
        </is>
      </c>
      <c r="B16" s="23" t="inlineStr">
        <is>
          <t>Player</t>
        </is>
      </c>
      <c r="C16" s="23" t="inlineStr">
        <is>
          <t>Dep</t>
        </is>
      </c>
      <c r="D16" s="23" t="inlineStr">
        <is>
          <t>Age</t>
        </is>
      </c>
      <c r="E16" s="23" t="inlineStr">
        <is>
          <t>Status</t>
        </is>
      </c>
      <c r="F16" s="23" t="inlineStr">
        <is>
          <t>2023 Tgt%</t>
        </is>
      </c>
      <c r="G16" s="23" t="inlineStr">
        <is>
          <t>2024 Tgt%</t>
        </is>
      </c>
      <c r="H16" s="23" t="inlineStr">
        <is>
          <t>2025 Tgt%</t>
        </is>
      </c>
      <c r="I16" s="23" t="inlineStr">
        <is>
          <t>2025 Rush%</t>
        </is>
      </c>
      <c r="J16" s="23" t="inlineStr">
        <is>
          <t>Games</t>
        </is>
      </c>
      <c r="K16" s="23" t="inlineStr">
        <is>
          <t>Pass %</t>
        </is>
      </c>
      <c r="L16" s="23" t="inlineStr">
        <is>
          <t>Tgt %</t>
        </is>
      </c>
      <c r="M16" s="23" t="inlineStr">
        <is>
          <t>Rush %</t>
        </is>
      </c>
      <c r="N16" s="23" t="inlineStr">
        <is>
          <t>Catch %</t>
        </is>
      </c>
      <c r="O16" s="23" t="inlineStr">
        <is>
          <t>Rec Eff x</t>
        </is>
      </c>
      <c r="P16" s="23" t="inlineStr">
        <is>
          <t>Rush Eff x</t>
        </is>
      </c>
      <c r="Q16" s="23" t="inlineStr">
        <is>
          <t>RZ Tgt x</t>
        </is>
      </c>
      <c r="R16" s="23" t="inlineStr">
        <is>
          <t>RZ Rush x</t>
        </is>
      </c>
      <c r="S16" s="23" t="inlineStr">
        <is>
          <t>Pass Yds</t>
        </is>
      </c>
      <c r="T16" s="23" t="inlineStr">
        <is>
          <t>Pass TD</t>
        </is>
      </c>
      <c r="U16" s="23" t="inlineStr">
        <is>
          <t>Int</t>
        </is>
      </c>
      <c r="V16" s="23" t="inlineStr">
        <is>
          <t>Targets</t>
        </is>
      </c>
      <c r="W16" s="23" t="inlineStr">
        <is>
          <t>Rec</t>
        </is>
      </c>
      <c r="X16" s="23" t="inlineStr">
        <is>
          <t>Rec Yds</t>
        </is>
      </c>
      <c r="Y16" s="23" t="inlineStr">
        <is>
          <t>Yds/Rec</t>
        </is>
      </c>
      <c r="Z16" s="23" t="inlineStr">
        <is>
          <t>Rec TD</t>
        </is>
      </c>
      <c r="AA16" s="23" t="inlineStr">
        <is>
          <t>Rush Att</t>
        </is>
      </c>
      <c r="AB16" s="23" t="inlineStr">
        <is>
          <t>Rush Yds</t>
        </is>
      </c>
      <c r="AC16" s="23" t="inlineStr">
        <is>
          <t>Yds/Car</t>
        </is>
      </c>
      <c r="AD16" s="23" t="inlineStr">
        <is>
          <t>Rush TD</t>
        </is>
      </c>
      <c r="AE16" s="23" t="inlineStr">
        <is>
          <t>Half PPR</t>
        </is>
      </c>
    </row>
    <row r="17">
      <c r="A17" s="24" t="inlineStr">
        <is>
          <t>QB</t>
        </is>
      </c>
      <c r="B17" s="25" t="inlineStr">
        <is>
          <t>Jayden Daniels</t>
        </is>
      </c>
      <c r="C17" s="26" t="n">
        <v>1</v>
      </c>
      <c r="D17" s="26" t="inlineStr">
        <is>
          <t>25</t>
        </is>
      </c>
      <c r="E17" s="27" t="inlineStr">
        <is>
          <t>ACT</t>
        </is>
      </c>
      <c r="F17" s="28" t="n"/>
      <c r="G17" s="28" t="n"/>
      <c r="H17" s="28" t="n"/>
      <c r="I17" s="28" t="n">
        <v>0.1123</v>
      </c>
      <c r="J17" s="29" t="n">
        <v>17</v>
      </c>
      <c r="K17" s="30" t="n">
        <v>0.92</v>
      </c>
      <c r="L17" s="30" t="n">
        <v>0.0007</v>
      </c>
      <c r="M17" s="30" t="n">
        <v>0.1682</v>
      </c>
      <c r="N17" s="30" t="n"/>
      <c r="O17" s="31" t="n">
        <v>1</v>
      </c>
      <c r="P17" s="31" t="n">
        <v>1.16</v>
      </c>
      <c r="Q17" s="31" t="n">
        <v>1</v>
      </c>
      <c r="R17" s="31" t="n">
        <v>1.14</v>
      </c>
      <c r="S17" s="32">
        <f>IFERROR(K17*$I$5,0)</f>
        <v/>
      </c>
      <c r="T17" s="33">
        <f>IFERROR(K17*$J$5,0)</f>
        <v/>
      </c>
      <c r="U17" s="33">
        <f>IFERROR(K17*$K$5,0)</f>
        <v/>
      </c>
      <c r="V17" s="32">
        <f>IFERROR(L17*$G$5,0)</f>
        <v/>
      </c>
      <c r="W17" s="32">
        <f>IFERROR(V17*N17,0)</f>
        <v/>
      </c>
      <c r="X17" s="32">
        <f>IFERROR(L17*O17/SUMPRODUCT($L$17:$L$41,$O$17:$O$41)*$I$5,0)</f>
        <v/>
      </c>
      <c r="Y17" s="34">
        <f>IFERROR(X17/W17,0)</f>
        <v/>
      </c>
      <c r="Z17" s="33">
        <f>IFERROR(L17*Q17/SUMPRODUCT($L$17:$L$41,$Q$17:$Q$41)*$J$5,0)</f>
        <v/>
      </c>
      <c r="AA17" s="32">
        <f>IFERROR(M17*$H$5,0)</f>
        <v/>
      </c>
      <c r="AB17" s="32">
        <f>IFERROR(M17*P17/SUMPRODUCT($M$17:$M$41,$P$17:$P$41)*$L$5,0)</f>
        <v/>
      </c>
      <c r="AC17" s="34">
        <f>IFERROR(AB17/AA17,0)</f>
        <v/>
      </c>
      <c r="AD17" s="33">
        <f>IFERROR(M17*R17/SUMPRODUCT($M$17:$M$41,$R$17:$R$41)*$M$5,0)</f>
        <v/>
      </c>
      <c r="AE17" s="35">
        <f>X17*Settings!$B$7+Z17*Settings!$B$8+W17*Settings!$B$9+AB17*Settings!$B$10+AD17*Settings!$B$11+S17*Settings!$B$12+T17*Settings!$B$13+U17*Settings!$B$14</f>
        <v/>
      </c>
    </row>
    <row r="18">
      <c r="A18" s="24" t="inlineStr">
        <is>
          <t>QB</t>
        </is>
      </c>
      <c r="B18" s="25" t="inlineStr">
        <is>
          <t>Marcus Mariota</t>
        </is>
      </c>
      <c r="C18" s="26" t="n">
        <v>2</v>
      </c>
      <c r="D18" s="26" t="inlineStr">
        <is>
          <t>32</t>
        </is>
      </c>
      <c r="E18" s="27" t="inlineStr">
        <is>
          <t>ACT</t>
        </is>
      </c>
      <c r="F18" s="28" t="n"/>
      <c r="G18" s="28" t="n"/>
      <c r="H18" s="28" t="n"/>
      <c r="I18" s="28" t="n">
        <v>0.09320000000000001</v>
      </c>
      <c r="J18" s="29" t="n">
        <v>17</v>
      </c>
      <c r="K18" s="30" t="n">
        <v>0.068</v>
      </c>
      <c r="L18" s="30" t="n">
        <v>0.0008</v>
      </c>
      <c r="M18" s="30" t="n">
        <v>0.0576</v>
      </c>
      <c r="N18" s="30" t="n"/>
      <c r="O18" s="31" t="n">
        <v>1</v>
      </c>
      <c r="P18" s="31" t="n">
        <v>1.24</v>
      </c>
      <c r="Q18" s="31" t="n">
        <v>1</v>
      </c>
      <c r="R18" s="31" t="n">
        <v>1.08</v>
      </c>
      <c r="S18" s="32">
        <f>IFERROR(K18*$I$5,0)</f>
        <v/>
      </c>
      <c r="T18" s="33">
        <f>IFERROR(K18*$J$5,0)</f>
        <v/>
      </c>
      <c r="U18" s="33">
        <f>IFERROR(K18*$K$5,0)</f>
        <v/>
      </c>
      <c r="V18" s="32">
        <f>IFERROR(L18*$G$5,0)</f>
        <v/>
      </c>
      <c r="W18" s="32">
        <f>IFERROR(V18*N18,0)</f>
        <v/>
      </c>
      <c r="X18" s="32">
        <f>IFERROR(L18*O18/SUMPRODUCT($L$17:$L$41,$O$17:$O$41)*$I$5,0)</f>
        <v/>
      </c>
      <c r="Y18" s="34">
        <f>IFERROR(X18/W18,0)</f>
        <v/>
      </c>
      <c r="Z18" s="33">
        <f>IFERROR(L18*Q18/SUMPRODUCT($L$17:$L$41,$Q$17:$Q$41)*$J$5,0)</f>
        <v/>
      </c>
      <c r="AA18" s="32">
        <f>IFERROR(M18*$H$5,0)</f>
        <v/>
      </c>
      <c r="AB18" s="32">
        <f>IFERROR(M18*P18/SUMPRODUCT($M$17:$M$41,$P$17:$P$41)*$L$5,0)</f>
        <v/>
      </c>
      <c r="AC18" s="34">
        <f>IFERROR(AB18/AA18,0)</f>
        <v/>
      </c>
      <c r="AD18" s="33">
        <f>IFERROR(M18*R18/SUMPRODUCT($M$17:$M$41,$R$17:$R$41)*$M$5,0)</f>
        <v/>
      </c>
      <c r="AE18" s="35">
        <f>X18*Settings!$B$7+Z18*Settings!$B$8+W18*Settings!$B$9+AB18*Settings!$B$10+AD18*Settings!$B$11+S18*Settings!$B$12+T18*Settings!$B$13+U18*Settings!$B$14</f>
        <v/>
      </c>
    </row>
    <row r="19">
      <c r="A19" s="24" t="inlineStr">
        <is>
          <t>QB</t>
        </is>
      </c>
      <c r="B19" s="25" t="inlineStr">
        <is>
          <t>Sam Hartman</t>
        </is>
      </c>
      <c r="C19" s="26" t="n">
        <v>3</v>
      </c>
      <c r="D19" s="26" t="inlineStr">
        <is>
          <t>27</t>
        </is>
      </c>
      <c r="E19" s="36" t="inlineStr">
        <is>
          <t>role avg (rookie)</t>
        </is>
      </c>
      <c r="F19" s="28" t="n"/>
      <c r="G19" s="28" t="n"/>
      <c r="H19" s="28" t="n"/>
      <c r="I19" s="28" t="n"/>
      <c r="J19" s="29" t="n">
        <v>17</v>
      </c>
      <c r="K19" s="30" t="n">
        <v>0.012</v>
      </c>
      <c r="L19" s="30" t="n">
        <v>0.0018</v>
      </c>
      <c r="M19" s="30" t="n">
        <v>0.0161</v>
      </c>
      <c r="N19" s="30" t="n"/>
      <c r="O19" s="31" t="n">
        <v>1</v>
      </c>
      <c r="P19" s="31" t="n">
        <v>1</v>
      </c>
      <c r="Q19" s="31" t="n">
        <v>1</v>
      </c>
      <c r="R19" s="31" t="n">
        <v>1</v>
      </c>
      <c r="S19" s="32">
        <f>IFERROR(K19*$I$5,0)</f>
        <v/>
      </c>
      <c r="T19" s="33">
        <f>IFERROR(K19*$J$5,0)</f>
        <v/>
      </c>
      <c r="U19" s="33">
        <f>IFERROR(K19*$K$5,0)</f>
        <v/>
      </c>
      <c r="V19" s="32">
        <f>IFERROR(L19*$G$5,0)</f>
        <v/>
      </c>
      <c r="W19" s="32">
        <f>IFERROR(V19*N19,0)</f>
        <v/>
      </c>
      <c r="X19" s="32">
        <f>IFERROR(L19*O19/SUMPRODUCT($L$17:$L$41,$O$17:$O$41)*$I$5,0)</f>
        <v/>
      </c>
      <c r="Y19" s="34">
        <f>IFERROR(X19/W19,0)</f>
        <v/>
      </c>
      <c r="Z19" s="33">
        <f>IFERROR(L19*Q19/SUMPRODUCT($L$17:$L$41,$Q$17:$Q$41)*$J$5,0)</f>
        <v/>
      </c>
      <c r="AA19" s="32">
        <f>IFERROR(M19*$H$5,0)</f>
        <v/>
      </c>
      <c r="AB19" s="32">
        <f>IFERROR(M19*P19/SUMPRODUCT($M$17:$M$41,$P$17:$P$41)*$L$5,0)</f>
        <v/>
      </c>
      <c r="AC19" s="34">
        <f>IFERROR(AB19/AA19,0)</f>
        <v/>
      </c>
      <c r="AD19" s="33">
        <f>IFERROR(M19*R19/SUMPRODUCT($M$17:$M$41,$R$17:$R$41)*$M$5,0)</f>
        <v/>
      </c>
      <c r="AE19" s="35">
        <f>X19*Settings!$B$7+Z19*Settings!$B$8+W19*Settings!$B$9+AB19*Settings!$B$10+AD19*Settings!$B$11+S19*Settings!$B$12+T19*Settings!$B$13+U19*Settings!$B$14</f>
        <v/>
      </c>
    </row>
    <row r="20">
      <c r="A20" s="37" t="inlineStr">
        <is>
          <t>QB</t>
        </is>
      </c>
      <c r="B20" s="38" t="inlineStr">
        <is>
          <t>Other QBs</t>
        </is>
      </c>
      <c r="C20" s="39" t="n"/>
      <c r="D20" s="39" t="n"/>
      <c r="E20" s="39" t="n"/>
      <c r="F20" s="39" t="n"/>
      <c r="G20" s="39" t="n"/>
      <c r="H20" s="39" t="n"/>
      <c r="I20" s="39" t="n"/>
      <c r="J20" s="29" t="n"/>
      <c r="K20" s="30" t="n"/>
      <c r="L20" s="30" t="n"/>
      <c r="M20" s="30" t="n"/>
      <c r="N20" s="30" t="n"/>
      <c r="O20" s="40" t="n"/>
      <c r="P20" s="40" t="n"/>
      <c r="Q20" s="40" t="n"/>
      <c r="R20" s="40" t="n"/>
      <c r="S20" s="32">
        <f>IFERROR(K20*$I$5,0)</f>
        <v/>
      </c>
      <c r="T20" s="33">
        <f>IFERROR(K20*$J$5,0)</f>
        <v/>
      </c>
      <c r="U20" s="33">
        <f>IFERROR(K20*$K$5,0)</f>
        <v/>
      </c>
      <c r="V20" s="32">
        <f>IFERROR(L20*$G$5,0)</f>
        <v/>
      </c>
      <c r="W20" s="32">
        <f>IFERROR(V20*N20,0)</f>
        <v/>
      </c>
      <c r="X20" s="32">
        <f>IFERROR(L20*O20/SUMPRODUCT($L$17:$L$41,$O$17:$O$41)*$I$5,0)</f>
        <v/>
      </c>
      <c r="Y20" s="34">
        <f>IFERROR(X20/W20,0)</f>
        <v/>
      </c>
      <c r="Z20" s="33">
        <f>IFERROR(L20*Q20/SUMPRODUCT($L$17:$L$41,$Q$17:$Q$41)*$J$5,0)</f>
        <v/>
      </c>
      <c r="AA20" s="32">
        <f>IFERROR(M20*$H$5,0)</f>
        <v/>
      </c>
      <c r="AB20" s="32">
        <f>IFERROR(M20*P20/SUMPRODUCT($M$17:$M$41,$P$17:$P$41)*$L$5,0)</f>
        <v/>
      </c>
      <c r="AC20" s="34">
        <f>IFERROR(AB20/AA20,0)</f>
        <v/>
      </c>
      <c r="AD20" s="33">
        <f>IFERROR(M20*R20/SUMPRODUCT($M$17:$M$41,$R$17:$R$41)*$M$5,0)</f>
        <v/>
      </c>
      <c r="AE20" s="35">
        <f>X20*Settings!$B$7+Z20*Settings!$B$8+W20*Settings!$B$9+AB20*Settings!$B$10+AD20*Settings!$B$11+S20*Settings!$B$12+T20*Settings!$B$13+U20*Settings!$B$14</f>
        <v/>
      </c>
    </row>
    <row r="21">
      <c r="A21" s="24" t="inlineStr">
        <is>
          <t>RB</t>
        </is>
      </c>
      <c r="B21" s="25" t="inlineStr">
        <is>
          <t>Jacory Croskey-Merritt</t>
        </is>
      </c>
      <c r="C21" s="26" t="n">
        <v>1</v>
      </c>
      <c r="D21" s="26" t="inlineStr">
        <is>
          <t>25</t>
        </is>
      </c>
      <c r="E21" s="27" t="inlineStr">
        <is>
          <t>ACT</t>
        </is>
      </c>
      <c r="F21" s="28" t="n"/>
      <c r="G21" s="28" t="n"/>
      <c r="H21" s="28" t="n">
        <v>0.0301</v>
      </c>
      <c r="I21" s="28" t="n">
        <v>0.3708</v>
      </c>
      <c r="J21" s="29" t="n">
        <v>17</v>
      </c>
      <c r="K21" s="30" t="n"/>
      <c r="L21" s="30" t="n">
        <v>0.0526</v>
      </c>
      <c r="M21" s="30" t="n">
        <v>0.3926</v>
      </c>
      <c r="N21" s="30" t="n">
        <v>0.6923</v>
      </c>
      <c r="O21" s="31" t="n">
        <v>0.87</v>
      </c>
      <c r="P21" s="31" t="n">
        <v>0.95</v>
      </c>
      <c r="Q21" s="31" t="n">
        <v>0.9399999999999999</v>
      </c>
      <c r="R21" s="31" t="n">
        <v>0.89</v>
      </c>
      <c r="S21" s="32">
        <f>IFERROR(K21*$I$5,0)</f>
        <v/>
      </c>
      <c r="T21" s="33">
        <f>IFERROR(K21*$J$5,0)</f>
        <v/>
      </c>
      <c r="U21" s="33">
        <f>IFERROR(K21*$K$5,0)</f>
        <v/>
      </c>
      <c r="V21" s="32">
        <f>IFERROR(L21*$G$5,0)</f>
        <v/>
      </c>
      <c r="W21" s="32">
        <f>IFERROR(V21*N21,0)</f>
        <v/>
      </c>
      <c r="X21" s="32">
        <f>IFERROR(L21*O21/SUMPRODUCT($L$17:$L$41,$O$17:$O$41)*$I$5,0)</f>
        <v/>
      </c>
      <c r="Y21" s="34">
        <f>IFERROR(X21/W21,0)</f>
        <v/>
      </c>
      <c r="Z21" s="33">
        <f>IFERROR(L21*Q21/SUMPRODUCT($L$17:$L$41,$Q$17:$Q$41)*$J$5,0)</f>
        <v/>
      </c>
      <c r="AA21" s="32">
        <f>IFERROR(M21*$H$5,0)</f>
        <v/>
      </c>
      <c r="AB21" s="32">
        <f>IFERROR(M21*P21/SUMPRODUCT($M$17:$M$41,$P$17:$P$41)*$L$5,0)</f>
        <v/>
      </c>
      <c r="AC21" s="34">
        <f>IFERROR(AB21/AA21,0)</f>
        <v/>
      </c>
      <c r="AD21" s="33">
        <f>IFERROR(M21*R21/SUMPRODUCT($M$17:$M$41,$R$17:$R$41)*$M$5,0)</f>
        <v/>
      </c>
      <c r="AE21" s="35">
        <f>X21*Settings!$B$7+Z21*Settings!$B$8+W21*Settings!$B$9+AB21*Settings!$B$10+AD21*Settings!$B$11+S21*Settings!$B$12+T21*Settings!$B$13+U21*Settings!$B$14</f>
        <v/>
      </c>
    </row>
    <row r="22">
      <c r="A22" s="24" t="inlineStr">
        <is>
          <t>RB</t>
        </is>
      </c>
      <c r="B22" s="25" t="inlineStr">
        <is>
          <t>Rachaad White</t>
        </is>
      </c>
      <c r="C22" s="26" t="n">
        <v>2</v>
      </c>
      <c r="D22" s="26" t="inlineStr">
        <is>
          <t>27</t>
        </is>
      </c>
      <c r="E22" s="36" t="inlineStr">
        <is>
          <t>role avg (from TB)</t>
        </is>
      </c>
      <c r="F22" s="28" t="n">
        <v>0.1273</v>
      </c>
      <c r="G22" s="28" t="n">
        <v>0.1012</v>
      </c>
      <c r="H22" s="28" t="n">
        <v>0.0832</v>
      </c>
      <c r="I22" s="28" t="n">
        <v>0.2857</v>
      </c>
      <c r="J22" s="29" t="n">
        <v>17</v>
      </c>
      <c r="K22" s="30" t="n"/>
      <c r="L22" s="30" t="n">
        <v>0.0459</v>
      </c>
      <c r="M22" s="30" t="n">
        <v>0.1972</v>
      </c>
      <c r="N22" s="30" t="n">
        <v>0.8957000000000001</v>
      </c>
      <c r="O22" s="31" t="n">
        <v>0.87</v>
      </c>
      <c r="P22" s="31" t="n">
        <v>0.96</v>
      </c>
      <c r="Q22" s="31" t="n">
        <v>2.07</v>
      </c>
      <c r="R22" s="31" t="n">
        <v>1.43</v>
      </c>
      <c r="S22" s="32">
        <f>IFERROR(K22*$I$5,0)</f>
        <v/>
      </c>
      <c r="T22" s="33">
        <f>IFERROR(K22*$J$5,0)</f>
        <v/>
      </c>
      <c r="U22" s="33">
        <f>IFERROR(K22*$K$5,0)</f>
        <v/>
      </c>
      <c r="V22" s="32">
        <f>IFERROR(L22*$G$5,0)</f>
        <v/>
      </c>
      <c r="W22" s="32">
        <f>IFERROR(V22*N22,0)</f>
        <v/>
      </c>
      <c r="X22" s="32">
        <f>IFERROR(L22*O22/SUMPRODUCT($L$17:$L$41,$O$17:$O$41)*$I$5,0)</f>
        <v/>
      </c>
      <c r="Y22" s="34">
        <f>IFERROR(X22/W22,0)</f>
        <v/>
      </c>
      <c r="Z22" s="33">
        <f>IFERROR(L22*Q22/SUMPRODUCT($L$17:$L$41,$Q$17:$Q$41)*$J$5,0)</f>
        <v/>
      </c>
      <c r="AA22" s="32">
        <f>IFERROR(M22*$H$5,0)</f>
        <v/>
      </c>
      <c r="AB22" s="32">
        <f>IFERROR(M22*P22/SUMPRODUCT($M$17:$M$41,$P$17:$P$41)*$L$5,0)</f>
        <v/>
      </c>
      <c r="AC22" s="34">
        <f>IFERROR(AB22/AA22,0)</f>
        <v/>
      </c>
      <c r="AD22" s="33">
        <f>IFERROR(M22*R22/SUMPRODUCT($M$17:$M$41,$R$17:$R$41)*$M$5,0)</f>
        <v/>
      </c>
      <c r="AE22" s="35">
        <f>X22*Settings!$B$7+Z22*Settings!$B$8+W22*Settings!$B$9+AB22*Settings!$B$10+AD22*Settings!$B$11+S22*Settings!$B$12+T22*Settings!$B$13+U22*Settings!$B$14</f>
        <v/>
      </c>
    </row>
    <row r="23">
      <c r="A23" s="24" t="inlineStr">
        <is>
          <t>RB</t>
        </is>
      </c>
      <c r="B23" s="25" t="inlineStr">
        <is>
          <t>Jeremy McNichols</t>
        </is>
      </c>
      <c r="C23" s="26" t="n">
        <v>3</v>
      </c>
      <c r="D23" s="26" t="inlineStr">
        <is>
          <t>30</t>
        </is>
      </c>
      <c r="E23" s="27" t="inlineStr">
        <is>
          <t>ACT</t>
        </is>
      </c>
      <c r="F23" s="28" t="n"/>
      <c r="G23" s="28" t="n">
        <v>0.0238</v>
      </c>
      <c r="H23" s="28" t="n">
        <v>0.0718</v>
      </c>
      <c r="I23" s="28" t="n">
        <v>0.09320000000000001</v>
      </c>
      <c r="J23" s="29" t="n">
        <v>17</v>
      </c>
      <c r="K23" s="30" t="n"/>
      <c r="L23" s="30" t="n">
        <v>0.0377</v>
      </c>
      <c r="M23" s="30" t="n">
        <v>0.09320000000000001</v>
      </c>
      <c r="N23" s="30" t="n">
        <v>0.7853</v>
      </c>
      <c r="O23" s="31" t="n">
        <v>0.79</v>
      </c>
      <c r="P23" s="31" t="n">
        <v>1</v>
      </c>
      <c r="Q23" s="31" t="n">
        <v>0.95</v>
      </c>
      <c r="R23" s="31" t="n">
        <v>0.85</v>
      </c>
      <c r="S23" s="32">
        <f>IFERROR(K23*$I$5,0)</f>
        <v/>
      </c>
      <c r="T23" s="33">
        <f>IFERROR(K23*$J$5,0)</f>
        <v/>
      </c>
      <c r="U23" s="33">
        <f>IFERROR(K23*$K$5,0)</f>
        <v/>
      </c>
      <c r="V23" s="32">
        <f>IFERROR(L23*$G$5,0)</f>
        <v/>
      </c>
      <c r="W23" s="32">
        <f>IFERROR(V23*N23,0)</f>
        <v/>
      </c>
      <c r="X23" s="32">
        <f>IFERROR(L23*O23/SUMPRODUCT($L$17:$L$41,$O$17:$O$41)*$I$5,0)</f>
        <v/>
      </c>
      <c r="Y23" s="34">
        <f>IFERROR(X23/W23,0)</f>
        <v/>
      </c>
      <c r="Z23" s="33">
        <f>IFERROR(L23*Q23/SUMPRODUCT($L$17:$L$41,$Q$17:$Q$41)*$J$5,0)</f>
        <v/>
      </c>
      <c r="AA23" s="32">
        <f>IFERROR(M23*$H$5,0)</f>
        <v/>
      </c>
      <c r="AB23" s="32">
        <f>IFERROR(M23*P23/SUMPRODUCT($M$17:$M$41,$P$17:$P$41)*$L$5,0)</f>
        <v/>
      </c>
      <c r="AC23" s="34">
        <f>IFERROR(AB23/AA23,0)</f>
        <v/>
      </c>
      <c r="AD23" s="33">
        <f>IFERROR(M23*R23/SUMPRODUCT($M$17:$M$41,$R$17:$R$41)*$M$5,0)</f>
        <v/>
      </c>
      <c r="AE23" s="35">
        <f>X23*Settings!$B$7+Z23*Settings!$B$8+W23*Settings!$B$9+AB23*Settings!$B$10+AD23*Settings!$B$11+S23*Settings!$B$12+T23*Settings!$B$13+U23*Settings!$B$14</f>
        <v/>
      </c>
    </row>
    <row r="24">
      <c r="A24" s="24" t="inlineStr">
        <is>
          <t>RB</t>
        </is>
      </c>
      <c r="B24" s="25" t="inlineStr">
        <is>
          <t>Kaytron Allen</t>
        </is>
      </c>
      <c r="C24" s="26" t="n">
        <v>4</v>
      </c>
      <c r="D24" s="26" t="inlineStr">
        <is>
          <t>23</t>
        </is>
      </c>
      <c r="E24" s="36" t="inlineStr">
        <is>
          <t>role avg (rookie)</t>
        </is>
      </c>
      <c r="F24" s="28" t="n"/>
      <c r="G24" s="28" t="n"/>
      <c r="H24" s="28" t="n"/>
      <c r="I24" s="28" t="n"/>
      <c r="J24" s="29" t="n">
        <v>17</v>
      </c>
      <c r="K24" s="30" t="n"/>
      <c r="L24" s="30" t="n">
        <v>0.0061</v>
      </c>
      <c r="M24" s="30" t="n">
        <v>0.028</v>
      </c>
      <c r="N24" s="30" t="n">
        <v>0.75</v>
      </c>
      <c r="O24" s="31" t="n">
        <v>1</v>
      </c>
      <c r="P24" s="31" t="n">
        <v>1</v>
      </c>
      <c r="Q24" s="31" t="n">
        <v>1</v>
      </c>
      <c r="R24" s="31" t="n">
        <v>1</v>
      </c>
      <c r="S24" s="32">
        <f>IFERROR(K24*$I$5,0)</f>
        <v/>
      </c>
      <c r="T24" s="33">
        <f>IFERROR(K24*$J$5,0)</f>
        <v/>
      </c>
      <c r="U24" s="33">
        <f>IFERROR(K24*$K$5,0)</f>
        <v/>
      </c>
      <c r="V24" s="32">
        <f>IFERROR(L24*$G$5,0)</f>
        <v/>
      </c>
      <c r="W24" s="32">
        <f>IFERROR(V24*N24,0)</f>
        <v/>
      </c>
      <c r="X24" s="32">
        <f>IFERROR(L24*O24/SUMPRODUCT($L$17:$L$41,$O$17:$O$41)*$I$5,0)</f>
        <v/>
      </c>
      <c r="Y24" s="34">
        <f>IFERROR(X24/W24,0)</f>
        <v/>
      </c>
      <c r="Z24" s="33">
        <f>IFERROR(L24*Q24/SUMPRODUCT($L$17:$L$41,$Q$17:$Q$41)*$J$5,0)</f>
        <v/>
      </c>
      <c r="AA24" s="32">
        <f>IFERROR(M24*$H$5,0)</f>
        <v/>
      </c>
      <c r="AB24" s="32">
        <f>IFERROR(M24*P24/SUMPRODUCT($M$17:$M$41,$P$17:$P$41)*$L$5,0)</f>
        <v/>
      </c>
      <c r="AC24" s="34">
        <f>IFERROR(AB24/AA24,0)</f>
        <v/>
      </c>
      <c r="AD24" s="33">
        <f>IFERROR(M24*R24/SUMPRODUCT($M$17:$M$41,$R$17:$R$41)*$M$5,0)</f>
        <v/>
      </c>
      <c r="AE24" s="35">
        <f>X24*Settings!$B$7+Z24*Settings!$B$8+W24*Settings!$B$9+AB24*Settings!$B$10+AD24*Settings!$B$11+S24*Settings!$B$12+T24*Settings!$B$13+U24*Settings!$B$14</f>
        <v/>
      </c>
    </row>
    <row r="25">
      <c r="A25" s="24" t="inlineStr">
        <is>
          <t>RB</t>
        </is>
      </c>
      <c r="B25" s="25" t="inlineStr">
        <is>
          <t>Jerome Ford</t>
        </is>
      </c>
      <c r="C25" s="26" t="n">
        <v>5</v>
      </c>
      <c r="D25" s="26" t="inlineStr">
        <is>
          <t>26</t>
        </is>
      </c>
      <c r="E25" s="36" t="inlineStr">
        <is>
          <t>role avg (from CLE)</t>
        </is>
      </c>
      <c r="F25" s="28" t="n">
        <v>0.1055</v>
      </c>
      <c r="G25" s="28" t="n">
        <v>0.0678</v>
      </c>
      <c r="H25" s="28" t="n">
        <v>0.0613</v>
      </c>
      <c r="I25" s="28" t="n">
        <v>0.0576</v>
      </c>
      <c r="J25" s="29" t="n">
        <v>17</v>
      </c>
      <c r="K25" s="30" t="n"/>
      <c r="L25" s="30" t="n">
        <v>0.0031</v>
      </c>
      <c r="M25" s="30" t="n">
        <v>0.007</v>
      </c>
      <c r="N25" s="30" t="n">
        <v>0.7993</v>
      </c>
      <c r="O25" s="31" t="n">
        <v>0.78</v>
      </c>
      <c r="P25" s="31" t="n">
        <v>0.99</v>
      </c>
      <c r="Q25" s="31" t="n">
        <v>2.5</v>
      </c>
      <c r="R25" s="31" t="n">
        <v>2.5</v>
      </c>
      <c r="S25" s="32">
        <f>IFERROR(K25*$I$5,0)</f>
        <v/>
      </c>
      <c r="T25" s="33">
        <f>IFERROR(K25*$J$5,0)</f>
        <v/>
      </c>
      <c r="U25" s="33">
        <f>IFERROR(K25*$K$5,0)</f>
        <v/>
      </c>
      <c r="V25" s="32">
        <f>IFERROR(L25*$G$5,0)</f>
        <v/>
      </c>
      <c r="W25" s="32">
        <f>IFERROR(V25*N25,0)</f>
        <v/>
      </c>
      <c r="X25" s="32">
        <f>IFERROR(L25*O25/SUMPRODUCT($L$17:$L$41,$O$17:$O$41)*$I$5,0)</f>
        <v/>
      </c>
      <c r="Y25" s="34">
        <f>IFERROR(X25/W25,0)</f>
        <v/>
      </c>
      <c r="Z25" s="33">
        <f>IFERROR(L25*Q25/SUMPRODUCT($L$17:$L$41,$Q$17:$Q$41)*$J$5,0)</f>
        <v/>
      </c>
      <c r="AA25" s="32">
        <f>IFERROR(M25*$H$5,0)</f>
        <v/>
      </c>
      <c r="AB25" s="32">
        <f>IFERROR(M25*P25/SUMPRODUCT($M$17:$M$41,$P$17:$P$41)*$L$5,0)</f>
        <v/>
      </c>
      <c r="AC25" s="34">
        <f>IFERROR(AB25/AA25,0)</f>
        <v/>
      </c>
      <c r="AD25" s="33">
        <f>IFERROR(M25*R25/SUMPRODUCT($M$17:$M$41,$R$17:$R$41)*$M$5,0)</f>
        <v/>
      </c>
      <c r="AE25" s="35">
        <f>X25*Settings!$B$7+Z25*Settings!$B$8+W25*Settings!$B$9+AB25*Settings!$B$10+AD25*Settings!$B$11+S25*Settings!$B$12+T25*Settings!$B$13+U25*Settings!$B$14</f>
        <v/>
      </c>
    </row>
    <row r="26">
      <c r="A26" s="24" t="inlineStr">
        <is>
          <t>RB</t>
        </is>
      </c>
      <c r="B26" s="25" t="inlineStr">
        <is>
          <t>Robert Henry</t>
        </is>
      </c>
      <c r="C26" s="26" t="n">
        <v>6</v>
      </c>
      <c r="D26" s="26" t="inlineStr">
        <is>
          <t>24</t>
        </is>
      </c>
      <c r="E26" s="36" t="inlineStr">
        <is>
          <t>role avg (rookie)</t>
        </is>
      </c>
      <c r="F26" s="28" t="n"/>
      <c r="G26" s="28" t="n"/>
      <c r="H26" s="28" t="n"/>
      <c r="I26" s="28" t="n"/>
      <c r="J26" s="29" t="n">
        <v>17</v>
      </c>
      <c r="K26" s="30" t="n"/>
      <c r="L26" s="30" t="n">
        <v>0.0034</v>
      </c>
      <c r="M26" s="30" t="n">
        <v>0.0044</v>
      </c>
      <c r="N26" s="30" t="n">
        <v>0.75</v>
      </c>
      <c r="O26" s="31" t="n">
        <v>1</v>
      </c>
      <c r="P26" s="31" t="n">
        <v>1</v>
      </c>
      <c r="Q26" s="31" t="n">
        <v>1</v>
      </c>
      <c r="R26" s="31" t="n">
        <v>1</v>
      </c>
      <c r="S26" s="32">
        <f>IFERROR(K26*$I$5,0)</f>
        <v/>
      </c>
      <c r="T26" s="33">
        <f>IFERROR(K26*$J$5,0)</f>
        <v/>
      </c>
      <c r="U26" s="33">
        <f>IFERROR(K26*$K$5,0)</f>
        <v/>
      </c>
      <c r="V26" s="32">
        <f>IFERROR(L26*$G$5,0)</f>
        <v/>
      </c>
      <c r="W26" s="32">
        <f>IFERROR(V26*N26,0)</f>
        <v/>
      </c>
      <c r="X26" s="32">
        <f>IFERROR(L26*O26/SUMPRODUCT($L$17:$L$41,$O$17:$O$41)*$I$5,0)</f>
        <v/>
      </c>
      <c r="Y26" s="34">
        <f>IFERROR(X26/W26,0)</f>
        <v/>
      </c>
      <c r="Z26" s="33">
        <f>IFERROR(L26*Q26/SUMPRODUCT($L$17:$L$41,$Q$17:$Q$41)*$J$5,0)</f>
        <v/>
      </c>
      <c r="AA26" s="32">
        <f>IFERROR(M26*$H$5,0)</f>
        <v/>
      </c>
      <c r="AB26" s="32">
        <f>IFERROR(M26*P26/SUMPRODUCT($M$17:$M$41,$P$17:$P$41)*$L$5,0)</f>
        <v/>
      </c>
      <c r="AC26" s="34">
        <f>IFERROR(AB26/AA26,0)</f>
        <v/>
      </c>
      <c r="AD26" s="33">
        <f>IFERROR(M26*R26/SUMPRODUCT($M$17:$M$41,$R$17:$R$41)*$M$5,0)</f>
        <v/>
      </c>
      <c r="AE26" s="35">
        <f>X26*Settings!$B$7+Z26*Settings!$B$8+W26*Settings!$B$9+AB26*Settings!$B$10+AD26*Settings!$B$11+S26*Settings!$B$12+T26*Settings!$B$13+U26*Settings!$B$14</f>
        <v/>
      </c>
    </row>
    <row r="27">
      <c r="A27" s="37" t="inlineStr">
        <is>
          <t>RB</t>
        </is>
      </c>
      <c r="B27" s="38" t="inlineStr">
        <is>
          <t>Other RBs</t>
        </is>
      </c>
      <c r="C27" s="39" t="n"/>
      <c r="D27" s="39" t="n"/>
      <c r="E27" s="39" t="n"/>
      <c r="F27" s="39" t="n"/>
      <c r="G27" s="39" t="n"/>
      <c r="H27" s="39" t="n"/>
      <c r="I27" s="39" t="n"/>
      <c r="J27" s="29" t="n"/>
      <c r="K27" s="30" t="n"/>
      <c r="L27" s="30" t="n"/>
      <c r="M27" s="30" t="n"/>
      <c r="N27" s="30" t="n"/>
      <c r="O27" s="40" t="n"/>
      <c r="P27" s="40" t="n"/>
      <c r="Q27" s="40" t="n"/>
      <c r="R27" s="40" t="n"/>
      <c r="S27" s="32">
        <f>IFERROR(K27*$I$5,0)</f>
        <v/>
      </c>
      <c r="T27" s="33">
        <f>IFERROR(K27*$J$5,0)</f>
        <v/>
      </c>
      <c r="U27" s="33">
        <f>IFERROR(K27*$K$5,0)</f>
        <v/>
      </c>
      <c r="V27" s="32">
        <f>IFERROR(L27*$G$5,0)</f>
        <v/>
      </c>
      <c r="W27" s="32">
        <f>IFERROR(V27*N27,0)</f>
        <v/>
      </c>
      <c r="X27" s="32">
        <f>IFERROR(L27*O27/SUMPRODUCT($L$17:$L$41,$O$17:$O$41)*$I$5,0)</f>
        <v/>
      </c>
      <c r="Y27" s="34">
        <f>IFERROR(X27/W27,0)</f>
        <v/>
      </c>
      <c r="Z27" s="33">
        <f>IFERROR(L27*Q27/SUMPRODUCT($L$17:$L$41,$Q$17:$Q$41)*$J$5,0)</f>
        <v/>
      </c>
      <c r="AA27" s="32">
        <f>IFERROR(M27*$H$5,0)</f>
        <v/>
      </c>
      <c r="AB27" s="32">
        <f>IFERROR(M27*P27/SUMPRODUCT($M$17:$M$41,$P$17:$P$41)*$L$5,0)</f>
        <v/>
      </c>
      <c r="AC27" s="34">
        <f>IFERROR(AB27/AA27,0)</f>
        <v/>
      </c>
      <c r="AD27" s="33">
        <f>IFERROR(M27*R27/SUMPRODUCT($M$17:$M$41,$R$17:$R$41)*$M$5,0)</f>
        <v/>
      </c>
      <c r="AE27" s="35">
        <f>X27*Settings!$B$7+Z27*Settings!$B$8+W27*Settings!$B$9+AB27*Settings!$B$10+AD27*Settings!$B$11+S27*Settings!$B$12+T27*Settings!$B$13+U27*Settings!$B$14</f>
        <v/>
      </c>
    </row>
    <row r="28">
      <c r="A28" s="24" t="inlineStr">
        <is>
          <t>WR</t>
        </is>
      </c>
      <c r="B28" s="25" t="inlineStr">
        <is>
          <t>Terry McLaurin</t>
        </is>
      </c>
      <c r="C28" s="26" t="n">
        <v>1</v>
      </c>
      <c r="D28" s="26" t="inlineStr">
        <is>
          <t>30</t>
        </is>
      </c>
      <c r="E28" s="27" t="inlineStr">
        <is>
          <t>ACT</t>
        </is>
      </c>
      <c r="F28" s="28" t="n">
        <v>0.2196</v>
      </c>
      <c r="G28" s="28" t="n">
        <v>0.2321</v>
      </c>
      <c r="H28" s="28" t="n">
        <v>0.1389</v>
      </c>
      <c r="I28" s="28" t="n"/>
      <c r="J28" s="29" t="n">
        <v>17</v>
      </c>
      <c r="K28" s="30" t="n"/>
      <c r="L28" s="30" t="n">
        <v>0.201</v>
      </c>
      <c r="M28" s="30" t="n">
        <v>0.009599999999999999</v>
      </c>
      <c r="N28" s="30" t="n">
        <v>0.6501</v>
      </c>
      <c r="O28" s="31" t="n">
        <v>1.16</v>
      </c>
      <c r="P28" s="31" t="n">
        <v>0.93</v>
      </c>
      <c r="Q28" s="31" t="n">
        <v>0.9</v>
      </c>
      <c r="R28" s="31" t="n">
        <v>1</v>
      </c>
      <c r="S28" s="32">
        <f>IFERROR(K28*$I$5,0)</f>
        <v/>
      </c>
      <c r="T28" s="33">
        <f>IFERROR(K28*$J$5,0)</f>
        <v/>
      </c>
      <c r="U28" s="33">
        <f>IFERROR(K28*$K$5,0)</f>
        <v/>
      </c>
      <c r="V28" s="32">
        <f>IFERROR(L28*$G$5,0)</f>
        <v/>
      </c>
      <c r="W28" s="32">
        <f>IFERROR(V28*N28,0)</f>
        <v/>
      </c>
      <c r="X28" s="32">
        <f>IFERROR(L28*O28/SUMPRODUCT($L$17:$L$41,$O$17:$O$41)*$I$5,0)</f>
        <v/>
      </c>
      <c r="Y28" s="34">
        <f>IFERROR(X28/W28,0)</f>
        <v/>
      </c>
      <c r="Z28" s="33">
        <f>IFERROR(L28*Q28/SUMPRODUCT($L$17:$L$41,$Q$17:$Q$41)*$J$5,0)</f>
        <v/>
      </c>
      <c r="AA28" s="32">
        <f>IFERROR(M28*$H$5,0)</f>
        <v/>
      </c>
      <c r="AB28" s="32">
        <f>IFERROR(M28*P28/SUMPRODUCT($M$17:$M$41,$P$17:$P$41)*$L$5,0)</f>
        <v/>
      </c>
      <c r="AC28" s="34">
        <f>IFERROR(AB28/AA28,0)</f>
        <v/>
      </c>
      <c r="AD28" s="33">
        <f>IFERROR(M28*R28/SUMPRODUCT($M$17:$M$41,$R$17:$R$41)*$M$5,0)</f>
        <v/>
      </c>
      <c r="AE28" s="35">
        <f>X28*Settings!$B$7+Z28*Settings!$B$8+W28*Settings!$B$9+AB28*Settings!$B$10+AD28*Settings!$B$11+S28*Settings!$B$12+T28*Settings!$B$13+U28*Settings!$B$14</f>
        <v/>
      </c>
    </row>
    <row r="29">
      <c r="A29" s="24" t="inlineStr">
        <is>
          <t>WR</t>
        </is>
      </c>
      <c r="B29" s="25" t="inlineStr">
        <is>
          <t>Stefon Diggs</t>
        </is>
      </c>
      <c r="C29" s="26" t="n">
        <v>2</v>
      </c>
      <c r="D29" s="26" t="inlineStr">
        <is>
          <t>32</t>
        </is>
      </c>
      <c r="E29" s="36" t="inlineStr">
        <is>
          <t>role avg (from NE)</t>
        </is>
      </c>
      <c r="F29" s="28" t="n">
        <v>0.2936</v>
      </c>
      <c r="G29" s="28" t="n">
        <v>0.117</v>
      </c>
      <c r="H29" s="28" t="n">
        <v>0.2116</v>
      </c>
      <c r="I29" s="28" t="n"/>
      <c r="J29" s="29" t="n">
        <v>17</v>
      </c>
      <c r="K29" s="30" t="n"/>
      <c r="L29" s="30" t="n">
        <v>0.1371</v>
      </c>
      <c r="M29" s="30" t="n">
        <v>0.0047</v>
      </c>
      <c r="N29" s="30" t="n">
        <v>0.7776</v>
      </c>
      <c r="O29" s="31" t="n">
        <v>1.03</v>
      </c>
      <c r="P29" s="31" t="n">
        <v>0.99</v>
      </c>
      <c r="Q29" s="31" t="n">
        <v>1.16</v>
      </c>
      <c r="R29" s="31" t="n">
        <v>1.12</v>
      </c>
      <c r="S29" s="32">
        <f>IFERROR(K29*$I$5,0)</f>
        <v/>
      </c>
      <c r="T29" s="33">
        <f>IFERROR(K29*$J$5,0)</f>
        <v/>
      </c>
      <c r="U29" s="33">
        <f>IFERROR(K29*$K$5,0)</f>
        <v/>
      </c>
      <c r="V29" s="32">
        <f>IFERROR(L29*$G$5,0)</f>
        <v/>
      </c>
      <c r="W29" s="32">
        <f>IFERROR(V29*N29,0)</f>
        <v/>
      </c>
      <c r="X29" s="32">
        <f>IFERROR(L29*O29/SUMPRODUCT($L$17:$L$41,$O$17:$O$41)*$I$5,0)</f>
        <v/>
      </c>
      <c r="Y29" s="34">
        <f>IFERROR(X29/W29,0)</f>
        <v/>
      </c>
      <c r="Z29" s="33">
        <f>IFERROR(L29*Q29/SUMPRODUCT($L$17:$L$41,$Q$17:$Q$41)*$J$5,0)</f>
        <v/>
      </c>
      <c r="AA29" s="32">
        <f>IFERROR(M29*$H$5,0)</f>
        <v/>
      </c>
      <c r="AB29" s="32">
        <f>IFERROR(M29*P29/SUMPRODUCT($M$17:$M$41,$P$17:$P$41)*$L$5,0)</f>
        <v/>
      </c>
      <c r="AC29" s="34">
        <f>IFERROR(AB29/AA29,0)</f>
        <v/>
      </c>
      <c r="AD29" s="33">
        <f>IFERROR(M29*R29/SUMPRODUCT($M$17:$M$41,$R$17:$R$41)*$M$5,0)</f>
        <v/>
      </c>
      <c r="AE29" s="35">
        <f>X29*Settings!$B$7+Z29*Settings!$B$8+W29*Settings!$B$9+AB29*Settings!$B$10+AD29*Settings!$B$11+S29*Settings!$B$12+T29*Settings!$B$13+U29*Settings!$B$14</f>
        <v/>
      </c>
    </row>
    <row r="30">
      <c r="A30" s="24" t="inlineStr">
        <is>
          <t>WR</t>
        </is>
      </c>
      <c r="B30" s="25" t="inlineStr">
        <is>
          <t>Antonio Williams</t>
        </is>
      </c>
      <c r="C30" s="26" t="n">
        <v>3</v>
      </c>
      <c r="D30" s="26" t="inlineStr">
        <is>
          <t>22</t>
        </is>
      </c>
      <c r="E30" s="36" t="inlineStr">
        <is>
          <t>role avg (rookie)</t>
        </is>
      </c>
      <c r="F30" s="28" t="n"/>
      <c r="G30" s="28" t="n"/>
      <c r="H30" s="28" t="n"/>
      <c r="I30" s="28" t="n"/>
      <c r="J30" s="29" t="n">
        <v>17</v>
      </c>
      <c r="K30" s="30" t="n"/>
      <c r="L30" s="30" t="n">
        <v>0.0978</v>
      </c>
      <c r="M30" s="30" t="n">
        <v>0.0029</v>
      </c>
      <c r="N30" s="30" t="n">
        <v>0.65</v>
      </c>
      <c r="O30" s="31" t="n">
        <v>1</v>
      </c>
      <c r="P30" s="31" t="n">
        <v>1</v>
      </c>
      <c r="Q30" s="31" t="n">
        <v>1</v>
      </c>
      <c r="R30" s="31" t="n">
        <v>1</v>
      </c>
      <c r="S30" s="32">
        <f>IFERROR(K30*$I$5,0)</f>
        <v/>
      </c>
      <c r="T30" s="33">
        <f>IFERROR(K30*$J$5,0)</f>
        <v/>
      </c>
      <c r="U30" s="33">
        <f>IFERROR(K30*$K$5,0)</f>
        <v/>
      </c>
      <c r="V30" s="32">
        <f>IFERROR(L30*$G$5,0)</f>
        <v/>
      </c>
      <c r="W30" s="32">
        <f>IFERROR(V30*N30,0)</f>
        <v/>
      </c>
      <c r="X30" s="32">
        <f>IFERROR(L30*O30/SUMPRODUCT($L$17:$L$41,$O$17:$O$41)*$I$5,0)</f>
        <v/>
      </c>
      <c r="Y30" s="34">
        <f>IFERROR(X30/W30,0)</f>
        <v/>
      </c>
      <c r="Z30" s="33">
        <f>IFERROR(L30*Q30/SUMPRODUCT($L$17:$L$41,$Q$17:$Q$41)*$J$5,0)</f>
        <v/>
      </c>
      <c r="AA30" s="32">
        <f>IFERROR(M30*$H$5,0)</f>
        <v/>
      </c>
      <c r="AB30" s="32">
        <f>IFERROR(M30*P30/SUMPRODUCT($M$17:$M$41,$P$17:$P$41)*$L$5,0)</f>
        <v/>
      </c>
      <c r="AC30" s="34">
        <f>IFERROR(AB30/AA30,0)</f>
        <v/>
      </c>
      <c r="AD30" s="33">
        <f>IFERROR(M30*R30/SUMPRODUCT($M$17:$M$41,$R$17:$R$41)*$M$5,0)</f>
        <v/>
      </c>
      <c r="AE30" s="35">
        <f>X30*Settings!$B$7+Z30*Settings!$B$8+W30*Settings!$B$9+AB30*Settings!$B$10+AD30*Settings!$B$11+S30*Settings!$B$12+T30*Settings!$B$13+U30*Settings!$B$14</f>
        <v/>
      </c>
    </row>
    <row r="31">
      <c r="A31" s="24" t="inlineStr">
        <is>
          <t>WR</t>
        </is>
      </c>
      <c r="B31" s="25" t="inlineStr">
        <is>
          <t>Dyami Brown</t>
        </is>
      </c>
      <c r="C31" s="26" t="n">
        <v>4</v>
      </c>
      <c r="D31" s="26" t="inlineStr">
        <is>
          <t>26</t>
        </is>
      </c>
      <c r="E31" s="36" t="inlineStr">
        <is>
          <t>role avg (from JAC)</t>
        </is>
      </c>
      <c r="F31" s="28" t="n">
        <v>0.0383</v>
      </c>
      <c r="G31" s="28" t="n">
        <v>0.0794</v>
      </c>
      <c r="H31" s="28" t="n">
        <v>0.06759999999999999</v>
      </c>
      <c r="I31" s="28" t="n">
        <v>0.0128</v>
      </c>
      <c r="J31" s="29" t="n">
        <v>17</v>
      </c>
      <c r="K31" s="30" t="n"/>
      <c r="L31" s="30" t="n">
        <v>0.0512</v>
      </c>
      <c r="M31" s="30" t="n">
        <v>0.0023</v>
      </c>
      <c r="N31" s="30" t="n">
        <v>0.6025</v>
      </c>
      <c r="O31" s="31" t="n">
        <v>0.96</v>
      </c>
      <c r="P31" s="31" t="n">
        <v>1.07</v>
      </c>
      <c r="Q31" s="31" t="n">
        <v>1.21</v>
      </c>
      <c r="R31" s="31" t="n">
        <v>1.31</v>
      </c>
      <c r="S31" s="32">
        <f>IFERROR(K31*$I$5,0)</f>
        <v/>
      </c>
      <c r="T31" s="33">
        <f>IFERROR(K31*$J$5,0)</f>
        <v/>
      </c>
      <c r="U31" s="33">
        <f>IFERROR(K31*$K$5,0)</f>
        <v/>
      </c>
      <c r="V31" s="32">
        <f>IFERROR(L31*$G$5,0)</f>
        <v/>
      </c>
      <c r="W31" s="32">
        <f>IFERROR(V31*N31,0)</f>
        <v/>
      </c>
      <c r="X31" s="32">
        <f>IFERROR(L31*O31/SUMPRODUCT($L$17:$L$41,$O$17:$O$41)*$I$5,0)</f>
        <v/>
      </c>
      <c r="Y31" s="34">
        <f>IFERROR(X31/W31,0)</f>
        <v/>
      </c>
      <c r="Z31" s="33">
        <f>IFERROR(L31*Q31/SUMPRODUCT($L$17:$L$41,$Q$17:$Q$41)*$J$5,0)</f>
        <v/>
      </c>
      <c r="AA31" s="32">
        <f>IFERROR(M31*$H$5,0)</f>
        <v/>
      </c>
      <c r="AB31" s="32">
        <f>IFERROR(M31*P31/SUMPRODUCT($M$17:$M$41,$P$17:$P$41)*$L$5,0)</f>
        <v/>
      </c>
      <c r="AC31" s="34">
        <f>IFERROR(AB31/AA31,0)</f>
        <v/>
      </c>
      <c r="AD31" s="33">
        <f>IFERROR(M31*R31/SUMPRODUCT($M$17:$M$41,$R$17:$R$41)*$M$5,0)</f>
        <v/>
      </c>
      <c r="AE31" s="35">
        <f>X31*Settings!$B$7+Z31*Settings!$B$8+W31*Settings!$B$9+AB31*Settings!$B$10+AD31*Settings!$B$11+S31*Settings!$B$12+T31*Settings!$B$13+U31*Settings!$B$14</f>
        <v/>
      </c>
    </row>
    <row r="32">
      <c r="A32" s="24" t="inlineStr">
        <is>
          <t>WR</t>
        </is>
      </c>
      <c r="B32" s="25" t="inlineStr">
        <is>
          <t>Van Jefferson</t>
        </is>
      </c>
      <c r="C32" s="26" t="n">
        <v>5</v>
      </c>
      <c r="D32" s="26" t="inlineStr">
        <is>
          <t>30</t>
        </is>
      </c>
      <c r="E32" s="36" t="inlineStr">
        <is>
          <t>role avg (from TEN)</t>
        </is>
      </c>
      <c r="F32" s="28" t="n">
        <v>0.027</v>
      </c>
      <c r="G32" s="28" t="n">
        <v>0.08699999999999999</v>
      </c>
      <c r="H32" s="28" t="n">
        <v>0.09810000000000001</v>
      </c>
      <c r="I32" s="28" t="n"/>
      <c r="J32" s="29" t="n">
        <v>17</v>
      </c>
      <c r="K32" s="30" t="n"/>
      <c r="L32" s="30" t="n">
        <v>0.0332</v>
      </c>
      <c r="M32" s="30" t="n">
        <v>0.0022</v>
      </c>
      <c r="N32" s="30" t="n">
        <v>0.5713</v>
      </c>
      <c r="O32" s="31" t="n">
        <v>1.01</v>
      </c>
      <c r="P32" s="31" t="n">
        <v>1</v>
      </c>
      <c r="Q32" s="31" t="n">
        <v>1.47</v>
      </c>
      <c r="R32" s="31" t="n">
        <v>1</v>
      </c>
      <c r="S32" s="32">
        <f>IFERROR(K32*$I$5,0)</f>
        <v/>
      </c>
      <c r="T32" s="33">
        <f>IFERROR(K32*$J$5,0)</f>
        <v/>
      </c>
      <c r="U32" s="33">
        <f>IFERROR(K32*$K$5,0)</f>
        <v/>
      </c>
      <c r="V32" s="32">
        <f>IFERROR(L32*$G$5,0)</f>
        <v/>
      </c>
      <c r="W32" s="32">
        <f>IFERROR(V32*N32,0)</f>
        <v/>
      </c>
      <c r="X32" s="32">
        <f>IFERROR(L32*O32/SUMPRODUCT($L$17:$L$41,$O$17:$O$41)*$I$5,0)</f>
        <v/>
      </c>
      <c r="Y32" s="34">
        <f>IFERROR(X32/W32,0)</f>
        <v/>
      </c>
      <c r="Z32" s="33">
        <f>IFERROR(L32*Q32/SUMPRODUCT($L$17:$L$41,$Q$17:$Q$41)*$J$5,0)</f>
        <v/>
      </c>
      <c r="AA32" s="32">
        <f>IFERROR(M32*$H$5,0)</f>
        <v/>
      </c>
      <c r="AB32" s="32">
        <f>IFERROR(M32*P32/SUMPRODUCT($M$17:$M$41,$P$17:$P$41)*$L$5,0)</f>
        <v/>
      </c>
      <c r="AC32" s="34">
        <f>IFERROR(AB32/AA32,0)</f>
        <v/>
      </c>
      <c r="AD32" s="33">
        <f>IFERROR(M32*R32/SUMPRODUCT($M$17:$M$41,$R$17:$R$41)*$M$5,0)</f>
        <v/>
      </c>
      <c r="AE32" s="35">
        <f>X32*Settings!$B$7+Z32*Settings!$B$8+W32*Settings!$B$9+AB32*Settings!$B$10+AD32*Settings!$B$11+S32*Settings!$B$12+T32*Settings!$B$13+U32*Settings!$B$14</f>
        <v/>
      </c>
    </row>
    <row r="33">
      <c r="A33" s="24" t="inlineStr">
        <is>
          <t>WR</t>
        </is>
      </c>
      <c r="B33" s="25" t="inlineStr">
        <is>
          <t>Jaylin Lane</t>
        </is>
      </c>
      <c r="C33" s="26" t="n">
        <v>6</v>
      </c>
      <c r="D33" s="26" t="inlineStr">
        <is>
          <t>24</t>
        </is>
      </c>
      <c r="E33" s="27" t="inlineStr">
        <is>
          <t>ACT</t>
        </is>
      </c>
      <c r="F33" s="28" t="n"/>
      <c r="G33" s="28" t="n"/>
      <c r="H33" s="28" t="n">
        <v>0.0741</v>
      </c>
      <c r="I33" s="28" t="n">
        <v>0.0021</v>
      </c>
      <c r="J33" s="29" t="n">
        <v>17</v>
      </c>
      <c r="K33" s="30" t="n"/>
      <c r="L33" s="30" t="n">
        <v>0.0516</v>
      </c>
      <c r="M33" s="30" t="n">
        <v>0.002</v>
      </c>
      <c r="N33" s="30" t="n">
        <v>0.5</v>
      </c>
      <c r="O33" s="31" t="n">
        <v>0.95</v>
      </c>
      <c r="P33" s="31" t="n">
        <v>1.02</v>
      </c>
      <c r="Q33" s="31" t="n">
        <v>0.97</v>
      </c>
      <c r="R33" s="31" t="n">
        <v>1</v>
      </c>
      <c r="S33" s="32">
        <f>IFERROR(K33*$I$5,0)</f>
        <v/>
      </c>
      <c r="T33" s="33">
        <f>IFERROR(K33*$J$5,0)</f>
        <v/>
      </c>
      <c r="U33" s="33">
        <f>IFERROR(K33*$K$5,0)</f>
        <v/>
      </c>
      <c r="V33" s="32">
        <f>IFERROR(L33*$G$5,0)</f>
        <v/>
      </c>
      <c r="W33" s="32">
        <f>IFERROR(V33*N33,0)</f>
        <v/>
      </c>
      <c r="X33" s="32">
        <f>IFERROR(L33*O33/SUMPRODUCT($L$17:$L$41,$O$17:$O$41)*$I$5,0)</f>
        <v/>
      </c>
      <c r="Y33" s="34">
        <f>IFERROR(X33/W33,0)</f>
        <v/>
      </c>
      <c r="Z33" s="33">
        <f>IFERROR(L33*Q33/SUMPRODUCT($L$17:$L$41,$Q$17:$Q$41)*$J$5,0)</f>
        <v/>
      </c>
      <c r="AA33" s="32">
        <f>IFERROR(M33*$H$5,0)</f>
        <v/>
      </c>
      <c r="AB33" s="32">
        <f>IFERROR(M33*P33/SUMPRODUCT($M$17:$M$41,$P$17:$P$41)*$L$5,0)</f>
        <v/>
      </c>
      <c r="AC33" s="34">
        <f>IFERROR(AB33/AA33,0)</f>
        <v/>
      </c>
      <c r="AD33" s="33">
        <f>IFERROR(M33*R33/SUMPRODUCT($M$17:$M$41,$R$17:$R$41)*$M$5,0)</f>
        <v/>
      </c>
      <c r="AE33" s="35">
        <f>X33*Settings!$B$7+Z33*Settings!$B$8+W33*Settings!$B$9+AB33*Settings!$B$10+AD33*Settings!$B$11+S33*Settings!$B$12+T33*Settings!$B$13+U33*Settings!$B$14</f>
        <v/>
      </c>
    </row>
    <row r="34">
      <c r="A34" s="24" t="inlineStr">
        <is>
          <t>WR</t>
        </is>
      </c>
      <c r="B34" s="25" t="inlineStr">
        <is>
          <t>Luke McCaffrey</t>
        </is>
      </c>
      <c r="C34" s="26" t="n">
        <v>7</v>
      </c>
      <c r="D34" s="26" t="inlineStr">
        <is>
          <t>25</t>
        </is>
      </c>
      <c r="E34" s="27" t="inlineStr">
        <is>
          <t>ACT</t>
        </is>
      </c>
      <c r="F34" s="28" t="n"/>
      <c r="G34" s="28" t="n">
        <v>0.0476</v>
      </c>
      <c r="H34" s="28" t="n">
        <v>0.0347</v>
      </c>
      <c r="I34" s="28" t="n"/>
      <c r="J34" s="29" t="n">
        <v>17</v>
      </c>
      <c r="K34" s="30" t="n"/>
      <c r="L34" s="30" t="n">
        <v>0.0279</v>
      </c>
      <c r="M34" s="30" t="n">
        <v>0.0009</v>
      </c>
      <c r="N34" s="30" t="n">
        <v>0.7422</v>
      </c>
      <c r="O34" s="31" t="n">
        <v>1.15</v>
      </c>
      <c r="P34" s="31" t="n">
        <v>1</v>
      </c>
      <c r="Q34" s="31" t="n">
        <v>1.14</v>
      </c>
      <c r="R34" s="31" t="n">
        <v>1</v>
      </c>
      <c r="S34" s="32">
        <f>IFERROR(K34*$I$5,0)</f>
        <v/>
      </c>
      <c r="T34" s="33">
        <f>IFERROR(K34*$J$5,0)</f>
        <v/>
      </c>
      <c r="U34" s="33">
        <f>IFERROR(K34*$K$5,0)</f>
        <v/>
      </c>
      <c r="V34" s="32">
        <f>IFERROR(L34*$G$5,0)</f>
        <v/>
      </c>
      <c r="W34" s="32">
        <f>IFERROR(V34*N34,0)</f>
        <v/>
      </c>
      <c r="X34" s="32">
        <f>IFERROR(L34*O34/SUMPRODUCT($L$17:$L$41,$O$17:$O$41)*$I$5,0)</f>
        <v/>
      </c>
      <c r="Y34" s="34">
        <f>IFERROR(X34/W34,0)</f>
        <v/>
      </c>
      <c r="Z34" s="33">
        <f>IFERROR(L34*Q34/SUMPRODUCT($L$17:$L$41,$Q$17:$Q$41)*$J$5,0)</f>
        <v/>
      </c>
      <c r="AA34" s="32">
        <f>IFERROR(M34*$H$5,0)</f>
        <v/>
      </c>
      <c r="AB34" s="32">
        <f>IFERROR(M34*P34/SUMPRODUCT($M$17:$M$41,$P$17:$P$41)*$L$5,0)</f>
        <v/>
      </c>
      <c r="AC34" s="34">
        <f>IFERROR(AB34/AA34,0)</f>
        <v/>
      </c>
      <c r="AD34" s="33">
        <f>IFERROR(M34*R34/SUMPRODUCT($M$17:$M$41,$R$17:$R$41)*$M$5,0)</f>
        <v/>
      </c>
      <c r="AE34" s="35">
        <f>X34*Settings!$B$7+Z34*Settings!$B$8+W34*Settings!$B$9+AB34*Settings!$B$10+AD34*Settings!$B$11+S34*Settings!$B$12+T34*Settings!$B$13+U34*Settings!$B$14</f>
        <v/>
      </c>
    </row>
    <row r="35">
      <c r="A35" s="24" t="inlineStr">
        <is>
          <t>WR</t>
        </is>
      </c>
      <c r="B35" s="25" t="inlineStr">
        <is>
          <t>Treylon Burks</t>
        </is>
      </c>
      <c r="C35" s="26" t="n">
        <v>8</v>
      </c>
      <c r="D35" s="26" t="inlineStr">
        <is>
          <t>26</t>
        </is>
      </c>
      <c r="E35" s="27" t="inlineStr">
        <is>
          <t>ACT</t>
        </is>
      </c>
      <c r="F35" s="28" t="n">
        <v>0.06279999999999999</v>
      </c>
      <c r="G35" s="28" t="n">
        <v>0.0158</v>
      </c>
      <c r="H35" s="28" t="n">
        <v>0.0509</v>
      </c>
      <c r="I35" s="28" t="n"/>
      <c r="J35" s="29" t="n">
        <v>17</v>
      </c>
      <c r="K35" s="30" t="n"/>
      <c r="L35" s="30" t="n">
        <v>0.0327</v>
      </c>
      <c r="M35" s="30" t="n">
        <v>0.0059</v>
      </c>
      <c r="N35" s="30" t="n">
        <v>0.4859</v>
      </c>
      <c r="O35" s="31" t="n">
        <v>0.9</v>
      </c>
      <c r="P35" s="31" t="n">
        <v>0.93</v>
      </c>
      <c r="Q35" s="31" t="n">
        <v>1.27</v>
      </c>
      <c r="R35" s="31" t="n">
        <v>1.23</v>
      </c>
      <c r="S35" s="32">
        <f>IFERROR(K35*$I$5,0)</f>
        <v/>
      </c>
      <c r="T35" s="33">
        <f>IFERROR(K35*$J$5,0)</f>
        <v/>
      </c>
      <c r="U35" s="33">
        <f>IFERROR(K35*$K$5,0)</f>
        <v/>
      </c>
      <c r="V35" s="32">
        <f>IFERROR(L35*$G$5,0)</f>
        <v/>
      </c>
      <c r="W35" s="32">
        <f>IFERROR(V35*N35,0)</f>
        <v/>
      </c>
      <c r="X35" s="32">
        <f>IFERROR(L35*O35/SUMPRODUCT($L$17:$L$41,$O$17:$O$41)*$I$5,0)</f>
        <v/>
      </c>
      <c r="Y35" s="34">
        <f>IFERROR(X35/W35,0)</f>
        <v/>
      </c>
      <c r="Z35" s="33">
        <f>IFERROR(L35*Q35/SUMPRODUCT($L$17:$L$41,$Q$17:$Q$41)*$J$5,0)</f>
        <v/>
      </c>
      <c r="AA35" s="32">
        <f>IFERROR(M35*$H$5,0)</f>
        <v/>
      </c>
      <c r="AB35" s="32">
        <f>IFERROR(M35*P35/SUMPRODUCT($M$17:$M$41,$P$17:$P$41)*$L$5,0)</f>
        <v/>
      </c>
      <c r="AC35" s="34">
        <f>IFERROR(AB35/AA35,0)</f>
        <v/>
      </c>
      <c r="AD35" s="33">
        <f>IFERROR(M35*R35/SUMPRODUCT($M$17:$M$41,$R$17:$R$41)*$M$5,0)</f>
        <v/>
      </c>
      <c r="AE35" s="35">
        <f>X35*Settings!$B$7+Z35*Settings!$B$8+W35*Settings!$B$9+AB35*Settings!$B$10+AD35*Settings!$B$11+S35*Settings!$B$12+T35*Settings!$B$13+U35*Settings!$B$14</f>
        <v/>
      </c>
    </row>
    <row r="36">
      <c r="A36" s="37" t="inlineStr">
        <is>
          <t>WR</t>
        </is>
      </c>
      <c r="B36" s="38" t="inlineStr">
        <is>
          <t>Other WRs</t>
        </is>
      </c>
      <c r="C36" s="39" t="n"/>
      <c r="D36" s="39" t="n"/>
      <c r="E36" s="39" t="n"/>
      <c r="F36" s="39" t="n"/>
      <c r="G36" s="39" t="n"/>
      <c r="H36" s="39" t="n"/>
      <c r="I36" s="39" t="n"/>
      <c r="J36" s="29" t="n"/>
      <c r="K36" s="30" t="n"/>
      <c r="L36" s="30" t="n"/>
      <c r="M36" s="30" t="n"/>
      <c r="N36" s="30" t="n"/>
      <c r="O36" s="40" t="n"/>
      <c r="P36" s="40" t="n"/>
      <c r="Q36" s="40" t="n"/>
      <c r="R36" s="40" t="n"/>
      <c r="S36" s="32">
        <f>IFERROR(K36*$I$5,0)</f>
        <v/>
      </c>
      <c r="T36" s="33">
        <f>IFERROR(K36*$J$5,0)</f>
        <v/>
      </c>
      <c r="U36" s="33">
        <f>IFERROR(K36*$K$5,0)</f>
        <v/>
      </c>
      <c r="V36" s="32">
        <f>IFERROR(L36*$G$5,0)</f>
        <v/>
      </c>
      <c r="W36" s="32">
        <f>IFERROR(V36*N36,0)</f>
        <v/>
      </c>
      <c r="X36" s="32">
        <f>IFERROR(L36*O36/SUMPRODUCT($L$17:$L$41,$O$17:$O$41)*$I$5,0)</f>
        <v/>
      </c>
      <c r="Y36" s="34">
        <f>IFERROR(X36/W36,0)</f>
        <v/>
      </c>
      <c r="Z36" s="33">
        <f>IFERROR(L36*Q36/SUMPRODUCT($L$17:$L$41,$Q$17:$Q$41)*$J$5,0)</f>
        <v/>
      </c>
      <c r="AA36" s="32">
        <f>IFERROR(M36*$H$5,0)</f>
        <v/>
      </c>
      <c r="AB36" s="32">
        <f>IFERROR(M36*P36/SUMPRODUCT($M$17:$M$41,$P$17:$P$41)*$L$5,0)</f>
        <v/>
      </c>
      <c r="AC36" s="34">
        <f>IFERROR(AB36/AA36,0)</f>
        <v/>
      </c>
      <c r="AD36" s="33">
        <f>IFERROR(M36*R36/SUMPRODUCT($M$17:$M$41,$R$17:$R$41)*$M$5,0)</f>
        <v/>
      </c>
      <c r="AE36" s="35">
        <f>X36*Settings!$B$7+Z36*Settings!$B$8+W36*Settings!$B$9+AB36*Settings!$B$10+AD36*Settings!$B$11+S36*Settings!$B$12+T36*Settings!$B$13+U36*Settings!$B$14</f>
        <v/>
      </c>
    </row>
    <row r="37">
      <c r="A37" s="24" t="inlineStr">
        <is>
          <t>TE</t>
        </is>
      </c>
      <c r="B37" s="25" t="inlineStr">
        <is>
          <t>Chig Okonkwo</t>
        </is>
      </c>
      <c r="C37" s="26" t="n">
        <v>1</v>
      </c>
      <c r="D37" s="26" t="inlineStr">
        <is>
          <t>26</t>
        </is>
      </c>
      <c r="E37" s="36" t="inlineStr">
        <is>
          <t>role avg (from TEN)</t>
        </is>
      </c>
      <c r="F37" s="28" t="n">
        <v>0.1611</v>
      </c>
      <c r="G37" s="28" t="n">
        <v>0.1381</v>
      </c>
      <c r="H37" s="28" t="n">
        <v>0.1491</v>
      </c>
      <c r="I37" s="28" t="n"/>
      <c r="J37" s="29" t="n">
        <v>17</v>
      </c>
      <c r="K37" s="30" t="n"/>
      <c r="L37" s="30" t="n">
        <v>0.1489</v>
      </c>
      <c r="M37" s="30" t="n">
        <v>0.0026</v>
      </c>
      <c r="N37" s="30" t="n">
        <v>0.7175</v>
      </c>
      <c r="O37" s="31" t="n">
        <v>1.04</v>
      </c>
      <c r="P37" s="31" t="n">
        <v>1.11</v>
      </c>
      <c r="Q37" s="31" t="n">
        <v>0.89</v>
      </c>
      <c r="R37" s="31" t="n">
        <v>1</v>
      </c>
      <c r="S37" s="32">
        <f>IFERROR(K37*$I$5,0)</f>
        <v/>
      </c>
      <c r="T37" s="33">
        <f>IFERROR(K37*$J$5,0)</f>
        <v/>
      </c>
      <c r="U37" s="33">
        <f>IFERROR(K37*$K$5,0)</f>
        <v/>
      </c>
      <c r="V37" s="32">
        <f>IFERROR(L37*$G$5,0)</f>
        <v/>
      </c>
      <c r="W37" s="32">
        <f>IFERROR(V37*N37,0)</f>
        <v/>
      </c>
      <c r="X37" s="32">
        <f>IFERROR(L37*O37/SUMPRODUCT($L$17:$L$41,$O$17:$O$41)*$I$5,0)</f>
        <v/>
      </c>
      <c r="Y37" s="34">
        <f>IFERROR(X37/W37,0)</f>
        <v/>
      </c>
      <c r="Z37" s="33">
        <f>IFERROR(L37*Q37/SUMPRODUCT($L$17:$L$41,$Q$17:$Q$41)*$J$5,0)</f>
        <v/>
      </c>
      <c r="AA37" s="32">
        <f>IFERROR(M37*$H$5,0)</f>
        <v/>
      </c>
      <c r="AB37" s="32">
        <f>IFERROR(M37*P37/SUMPRODUCT($M$17:$M$41,$P$17:$P$41)*$L$5,0)</f>
        <v/>
      </c>
      <c r="AC37" s="34">
        <f>IFERROR(AB37/AA37,0)</f>
        <v/>
      </c>
      <c r="AD37" s="33">
        <f>IFERROR(M37*R37/SUMPRODUCT($M$17:$M$41,$R$17:$R$41)*$M$5,0)</f>
        <v/>
      </c>
      <c r="AE37" s="35">
        <f>X37*Settings!$B$7+Z37*Settings!$B$8+W37*Settings!$B$9+AB37*Settings!$B$10+AD37*Settings!$B$11+S37*Settings!$B$12+T37*Settings!$B$13+U37*Settings!$B$14</f>
        <v/>
      </c>
    </row>
    <row r="38">
      <c r="A38" s="24" t="inlineStr">
        <is>
          <t>TE</t>
        </is>
      </c>
      <c r="B38" s="25" t="inlineStr">
        <is>
          <t>John Bates</t>
        </is>
      </c>
      <c r="C38" s="26" t="n">
        <v>2</v>
      </c>
      <c r="D38" s="26" t="inlineStr">
        <is>
          <t>28</t>
        </is>
      </c>
      <c r="E38" s="41" t="inlineStr">
        <is>
          <t>QUESTIONABLE</t>
        </is>
      </c>
      <c r="F38" s="28" t="n">
        <v>0.0466</v>
      </c>
      <c r="G38" s="28" t="n">
        <v>0.0258</v>
      </c>
      <c r="H38" s="28" t="n">
        <v>0.037</v>
      </c>
      <c r="I38" s="28" t="n"/>
      <c r="J38" s="29" t="n">
        <v>17</v>
      </c>
      <c r="K38" s="30" t="n"/>
      <c r="L38" s="30" t="n">
        <v>0.037</v>
      </c>
      <c r="M38" s="30" t="n">
        <v>0.0009</v>
      </c>
      <c r="N38" s="30" t="n">
        <v>0.6626</v>
      </c>
      <c r="O38" s="31" t="n">
        <v>0.92</v>
      </c>
      <c r="P38" s="31" t="n">
        <v>1</v>
      </c>
      <c r="Q38" s="31" t="n">
        <v>0.99</v>
      </c>
      <c r="R38" s="31" t="n">
        <v>1</v>
      </c>
      <c r="S38" s="32">
        <f>IFERROR(K38*$I$5,0)</f>
        <v/>
      </c>
      <c r="T38" s="33">
        <f>IFERROR(K38*$J$5,0)</f>
        <v/>
      </c>
      <c r="U38" s="33">
        <f>IFERROR(K38*$K$5,0)</f>
        <v/>
      </c>
      <c r="V38" s="32">
        <f>IFERROR(L38*$G$5,0)</f>
        <v/>
      </c>
      <c r="W38" s="32">
        <f>IFERROR(V38*N38,0)</f>
        <v/>
      </c>
      <c r="X38" s="32">
        <f>IFERROR(L38*O38/SUMPRODUCT($L$17:$L$41,$O$17:$O$41)*$I$5,0)</f>
        <v/>
      </c>
      <c r="Y38" s="34">
        <f>IFERROR(X38/W38,0)</f>
        <v/>
      </c>
      <c r="Z38" s="33">
        <f>IFERROR(L38*Q38/SUMPRODUCT($L$17:$L$41,$Q$17:$Q$41)*$J$5,0)</f>
        <v/>
      </c>
      <c r="AA38" s="32">
        <f>IFERROR(M38*$H$5,0)</f>
        <v/>
      </c>
      <c r="AB38" s="32">
        <f>IFERROR(M38*P38/SUMPRODUCT($M$17:$M$41,$P$17:$P$41)*$L$5,0)</f>
        <v/>
      </c>
      <c r="AC38" s="34">
        <f>IFERROR(AB38/AA38,0)</f>
        <v/>
      </c>
      <c r="AD38" s="33">
        <f>IFERROR(M38*R38/SUMPRODUCT($M$17:$M$41,$R$17:$R$41)*$M$5,0)</f>
        <v/>
      </c>
      <c r="AE38" s="35">
        <f>X38*Settings!$B$7+Z38*Settings!$B$8+W38*Settings!$B$9+AB38*Settings!$B$10+AD38*Settings!$B$11+S38*Settings!$B$12+T38*Settings!$B$13+U38*Settings!$B$14</f>
        <v/>
      </c>
    </row>
    <row r="39">
      <c r="A39" s="24" t="inlineStr">
        <is>
          <t>TE</t>
        </is>
      </c>
      <c r="B39" s="25" t="inlineStr">
        <is>
          <t>Ben Sinnott</t>
        </is>
      </c>
      <c r="C39" s="26" t="n">
        <v>3</v>
      </c>
      <c r="D39" s="26" t="inlineStr">
        <is>
          <t>24</t>
        </is>
      </c>
      <c r="E39" s="27" t="inlineStr">
        <is>
          <t>ACT</t>
        </is>
      </c>
      <c r="F39" s="28" t="n"/>
      <c r="G39" s="28" t="n">
        <v>0.009900000000000001</v>
      </c>
      <c r="H39" s="28" t="n">
        <v>0.0301</v>
      </c>
      <c r="I39" s="28" t="n"/>
      <c r="J39" s="29" t="n">
        <v>17</v>
      </c>
      <c r="K39" s="30" t="n"/>
      <c r="L39" s="30" t="n">
        <v>0.0207</v>
      </c>
      <c r="M39" s="30" t="n">
        <v>0.0009</v>
      </c>
      <c r="N39" s="30" t="n">
        <v>0.906</v>
      </c>
      <c r="O39" s="31" t="n">
        <v>0.99</v>
      </c>
      <c r="P39" s="31" t="n">
        <v>1</v>
      </c>
      <c r="Q39" s="31" t="n">
        <v>0.99</v>
      </c>
      <c r="R39" s="31" t="n">
        <v>1</v>
      </c>
      <c r="S39" s="32">
        <f>IFERROR(K39*$I$5,0)</f>
        <v/>
      </c>
      <c r="T39" s="33">
        <f>IFERROR(K39*$J$5,0)</f>
        <v/>
      </c>
      <c r="U39" s="33">
        <f>IFERROR(K39*$K$5,0)</f>
        <v/>
      </c>
      <c r="V39" s="32">
        <f>IFERROR(L39*$G$5,0)</f>
        <v/>
      </c>
      <c r="W39" s="32">
        <f>IFERROR(V39*N39,0)</f>
        <v/>
      </c>
      <c r="X39" s="32">
        <f>IFERROR(L39*O39/SUMPRODUCT($L$17:$L$41,$O$17:$O$41)*$I$5,0)</f>
        <v/>
      </c>
      <c r="Y39" s="34">
        <f>IFERROR(X39/W39,0)</f>
        <v/>
      </c>
      <c r="Z39" s="33">
        <f>IFERROR(L39*Q39/SUMPRODUCT($L$17:$L$41,$Q$17:$Q$41)*$J$5,0)</f>
        <v/>
      </c>
      <c r="AA39" s="32">
        <f>IFERROR(M39*$H$5,0)</f>
        <v/>
      </c>
      <c r="AB39" s="32">
        <f>IFERROR(M39*P39/SUMPRODUCT($M$17:$M$41,$P$17:$P$41)*$L$5,0)</f>
        <v/>
      </c>
      <c r="AC39" s="34">
        <f>IFERROR(AB39/AA39,0)</f>
        <v/>
      </c>
      <c r="AD39" s="33">
        <f>IFERROR(M39*R39/SUMPRODUCT($M$17:$M$41,$R$17:$R$41)*$M$5,0)</f>
        <v/>
      </c>
      <c r="AE39" s="35">
        <f>X39*Settings!$B$7+Z39*Settings!$B$8+W39*Settings!$B$9+AB39*Settings!$B$10+AD39*Settings!$B$11+S39*Settings!$B$12+T39*Settings!$B$13+U39*Settings!$B$14</f>
        <v/>
      </c>
    </row>
    <row r="40">
      <c r="A40" s="24" t="inlineStr">
        <is>
          <t>TE</t>
        </is>
      </c>
      <c r="B40" s="25" t="inlineStr">
        <is>
          <t>Lawrence Cager</t>
        </is>
      </c>
      <c r="C40" s="26" t="n">
        <v>4</v>
      </c>
      <c r="D40" s="26" t="inlineStr">
        <is>
          <t>28</t>
        </is>
      </c>
      <c r="E40" s="27" t="inlineStr">
        <is>
          <t>ACT</t>
        </is>
      </c>
      <c r="F40" s="28" t="n">
        <v>0.0103</v>
      </c>
      <c r="G40" s="28" t="n"/>
      <c r="H40" s="28" t="n"/>
      <c r="I40" s="28" t="n"/>
      <c r="J40" s="29" t="n">
        <v>17</v>
      </c>
      <c r="K40" s="30" t="n"/>
      <c r="L40" s="30" t="n">
        <v>0.008699999999999999</v>
      </c>
      <c r="M40" s="30" t="n">
        <v>0.0009</v>
      </c>
      <c r="N40" s="30" t="n">
        <v>0.8</v>
      </c>
      <c r="O40" s="31" t="n">
        <v>1.01</v>
      </c>
      <c r="P40" s="31" t="n">
        <v>1</v>
      </c>
      <c r="Q40" s="31" t="n">
        <v>2.15</v>
      </c>
      <c r="R40" s="31" t="n">
        <v>1</v>
      </c>
      <c r="S40" s="32">
        <f>IFERROR(K40*$I$5,0)</f>
        <v/>
      </c>
      <c r="T40" s="33">
        <f>IFERROR(K40*$J$5,0)</f>
        <v/>
      </c>
      <c r="U40" s="33">
        <f>IFERROR(K40*$K$5,0)</f>
        <v/>
      </c>
      <c r="V40" s="32">
        <f>IFERROR(L40*$G$5,0)</f>
        <v/>
      </c>
      <c r="W40" s="32">
        <f>IFERROR(V40*N40,0)</f>
        <v/>
      </c>
      <c r="X40" s="32">
        <f>IFERROR(L40*O40/SUMPRODUCT($L$17:$L$41,$O$17:$O$41)*$I$5,0)</f>
        <v/>
      </c>
      <c r="Y40" s="34">
        <f>IFERROR(X40/W40,0)</f>
        <v/>
      </c>
      <c r="Z40" s="33">
        <f>IFERROR(L40*Q40/SUMPRODUCT($L$17:$L$41,$Q$17:$Q$41)*$J$5,0)</f>
        <v/>
      </c>
      <c r="AA40" s="32">
        <f>IFERROR(M40*$H$5,0)</f>
        <v/>
      </c>
      <c r="AB40" s="32">
        <f>IFERROR(M40*P40/SUMPRODUCT($M$17:$M$41,$P$17:$P$41)*$L$5,0)</f>
        <v/>
      </c>
      <c r="AC40" s="34">
        <f>IFERROR(AB40/AA40,0)</f>
        <v/>
      </c>
      <c r="AD40" s="33">
        <f>IFERROR(M40*R40/SUMPRODUCT($M$17:$M$41,$R$17:$R$41)*$M$5,0)</f>
        <v/>
      </c>
      <c r="AE40" s="35">
        <f>X40*Settings!$B$7+Z40*Settings!$B$8+W40*Settings!$B$9+AB40*Settings!$B$10+AD40*Settings!$B$11+S40*Settings!$B$12+T40*Settings!$B$13+U40*Settings!$B$14</f>
        <v/>
      </c>
    </row>
    <row r="41">
      <c r="A41" s="37" t="inlineStr">
        <is>
          <t>TE</t>
        </is>
      </c>
      <c r="B41" s="38" t="inlineStr">
        <is>
          <t>Other TEs</t>
        </is>
      </c>
      <c r="C41" s="39" t="n"/>
      <c r="D41" s="39" t="n"/>
      <c r="E41" s="39" t="n"/>
      <c r="F41" s="39" t="n"/>
      <c r="G41" s="39" t="n"/>
      <c r="H41" s="39" t="n"/>
      <c r="I41" s="39" t="n"/>
      <c r="J41" s="29" t="n"/>
      <c r="K41" s="30" t="n"/>
      <c r="L41" s="30" t="n"/>
      <c r="M41" s="30" t="n"/>
      <c r="N41" s="30" t="n"/>
      <c r="O41" s="40" t="n"/>
      <c r="P41" s="40" t="n"/>
      <c r="Q41" s="40" t="n"/>
      <c r="R41" s="40" t="n"/>
      <c r="S41" s="32">
        <f>IFERROR(K41*$I$5,0)</f>
        <v/>
      </c>
      <c r="T41" s="33">
        <f>IFERROR(K41*$J$5,0)</f>
        <v/>
      </c>
      <c r="U41" s="33">
        <f>IFERROR(K41*$K$5,0)</f>
        <v/>
      </c>
      <c r="V41" s="32">
        <f>IFERROR(L41*$G$5,0)</f>
        <v/>
      </c>
      <c r="W41" s="32">
        <f>IFERROR(V41*N41,0)</f>
        <v/>
      </c>
      <c r="X41" s="32">
        <f>IFERROR(L41*O41/SUMPRODUCT($L$17:$L$41,$O$17:$O$41)*$I$5,0)</f>
        <v/>
      </c>
      <c r="Y41" s="34">
        <f>IFERROR(X41/W41,0)</f>
        <v/>
      </c>
      <c r="Z41" s="33">
        <f>IFERROR(L41*Q41/SUMPRODUCT($L$17:$L$41,$Q$17:$Q$41)*$J$5,0)</f>
        <v/>
      </c>
      <c r="AA41" s="32">
        <f>IFERROR(M41*$H$5,0)</f>
        <v/>
      </c>
      <c r="AB41" s="32">
        <f>IFERROR(M41*P41/SUMPRODUCT($M$17:$M$41,$P$17:$P$41)*$L$5,0)</f>
        <v/>
      </c>
      <c r="AC41" s="34">
        <f>IFERROR(AB41/AA41,0)</f>
        <v/>
      </c>
      <c r="AD41" s="33">
        <f>IFERROR(M41*R41/SUMPRODUCT($M$17:$M$41,$R$17:$R$41)*$M$5,0)</f>
        <v/>
      </c>
      <c r="AE41" s="35">
        <f>X41*Settings!$B$7+Z41*Settings!$B$8+W41*Settings!$B$9+AB41*Settings!$B$10+AD41*Settings!$B$11+S41*Settings!$B$12+T41*Settings!$B$13+U41*Settings!$B$14</f>
        <v/>
      </c>
    </row>
    <row r="42"/>
    <row r="43">
      <c r="B43" s="7" t="inlineStr">
        <is>
          <t>SHARE TOTALS - must equal 100%</t>
        </is>
      </c>
      <c r="E43" s="8" t="inlineStr">
        <is>
          <t>each column is a share of this team's season total - it must add to 100%</t>
        </is>
      </c>
      <c r="K43" s="42">
        <f>SUM(K17:K41)</f>
        <v/>
      </c>
      <c r="L43" s="42">
        <f>SUM(L17:L41)</f>
        <v/>
      </c>
      <c r="M43" s="42">
        <f>SUM(M17:M41)</f>
        <v/>
      </c>
      <c r="S43" s="43">
        <f>SUM(S17:S41)</f>
        <v/>
      </c>
      <c r="T43" s="35">
        <f>SUM(T17:T41)</f>
        <v/>
      </c>
      <c r="U43" s="43">
        <f>SUM(U17:U41)</f>
        <v/>
      </c>
      <c r="V43" s="43">
        <f>SUM(V17:V41)</f>
        <v/>
      </c>
      <c r="W43" s="43">
        <f>SUM(W17:W41)</f>
        <v/>
      </c>
      <c r="X43" s="43">
        <f>SUM(X17:X41)</f>
        <v/>
      </c>
      <c r="Y43" s="43">
        <f>SUM(Y17:Y41)</f>
        <v/>
      </c>
      <c r="Z43" s="35">
        <f>SUM(Z17:Z41)</f>
        <v/>
      </c>
      <c r="AA43" s="43">
        <f>SUM(AA17:AA41)</f>
        <v/>
      </c>
      <c r="AB43" s="43">
        <f>SUM(AB17:AB41)</f>
        <v/>
      </c>
      <c r="AC43" s="43">
        <f>SUM(AC17:AC41)</f>
        <v/>
      </c>
      <c r="AD43" s="35">
        <f>SUM(AD17:AD41)</f>
        <v/>
      </c>
      <c r="AE43" s="35">
        <f>SUM(AE17:AE41)</f>
        <v/>
      </c>
    </row>
    <row r="44"/>
    <row r="45">
      <c r="B45" s="8" t="inlineStr">
        <is>
          <t>Green = balanced. Red = your shares don't add to 100%; player totals won't match the team totals until they do.</t>
        </is>
      </c>
    </row>
  </sheetData>
  <conditionalFormatting sqref="K43">
    <cfRule type="cellIs" priority="1" operator="between" dxfId="0">
      <formula>0.999</formula>
      <formula>1.001</formula>
    </cfRule>
    <cfRule type="cellIs" priority="2" operator="notBetween" dxfId="1">
      <formula>0.999</formula>
      <formula>1.001</formula>
    </cfRule>
  </conditionalFormatting>
  <conditionalFormatting sqref="L43">
    <cfRule type="cellIs" priority="3" operator="between" dxfId="0">
      <formula>0.999</formula>
      <formula>1.001</formula>
    </cfRule>
    <cfRule type="cellIs" priority="4" operator="notBetween" dxfId="1">
      <formula>0.999</formula>
      <formula>1.001</formula>
    </cfRule>
  </conditionalFormatting>
  <conditionalFormatting sqref="M43">
    <cfRule type="cellIs" priority="5" operator="between" dxfId="0">
      <formula>0.999</formula>
      <formula>1.001</formula>
    </cfRule>
    <cfRule type="cellIs" priority="6" operator="notBetween" dxfId="1">
      <formula>0.999</formula>
      <formula>1.001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6" customWidth="1" min="3" max="3"/>
    <col width="9" customWidth="1" min="4" max="4"/>
    <col width="8" customWidth="1" min="5" max="5"/>
    <col width="7" customWidth="1" min="6" max="6"/>
    <col width="9" customWidth="1" min="7" max="7"/>
    <col width="9" customWidth="1" min="8" max="8"/>
    <col width="8" customWidth="1" min="9" max="9"/>
    <col width="10" customWidth="1" min="10" max="10"/>
  </cols>
  <sheetData>
    <row r="1">
      <c r="A1" s="46" t="inlineStr">
        <is>
          <t>QB - all teams (live from the team tabs)</t>
        </is>
      </c>
    </row>
    <row r="2">
      <c r="A2" s="47" t="inlineStr">
        <is>
          <t>Player</t>
        </is>
      </c>
      <c r="B2" s="47" t="inlineStr">
        <is>
          <t>Team</t>
        </is>
      </c>
      <c r="C2" s="47" t="inlineStr">
        <is>
          <t>Pos</t>
        </is>
      </c>
      <c r="D2" s="47" t="inlineStr">
        <is>
          <t>Pass Yds</t>
        </is>
      </c>
      <c r="E2" s="47" t="inlineStr">
        <is>
          <t>Pass TD</t>
        </is>
      </c>
      <c r="F2" s="47" t="inlineStr">
        <is>
          <t>Int</t>
        </is>
      </c>
      <c r="G2" s="47" t="inlineStr">
        <is>
          <t>Rush Att</t>
        </is>
      </c>
      <c r="H2" s="47" t="inlineStr">
        <is>
          <t>Rush Yds</t>
        </is>
      </c>
      <c r="I2" s="47" t="inlineStr">
        <is>
          <t>Rush TD</t>
        </is>
      </c>
      <c r="J2" s="47" t="inlineStr">
        <is>
          <t>Half PPR</t>
        </is>
      </c>
    </row>
    <row r="3">
      <c r="A3">
        <f>'ARI'!B17</f>
        <v/>
      </c>
      <c r="B3" t="inlineStr">
        <is>
          <t>ARI</t>
        </is>
      </c>
      <c r="C3" t="inlineStr">
        <is>
          <t>QB</t>
        </is>
      </c>
      <c r="D3" s="48">
        <f>'ARI'!S17</f>
        <v/>
      </c>
      <c r="E3" s="49">
        <f>'ARI'!T17</f>
        <v/>
      </c>
      <c r="F3" s="49">
        <f>'ARI'!U17</f>
        <v/>
      </c>
      <c r="G3" s="48">
        <f>'ARI'!AA17</f>
        <v/>
      </c>
      <c r="H3" s="48">
        <f>'ARI'!AB17</f>
        <v/>
      </c>
      <c r="I3" s="49">
        <f>'ARI'!AD17</f>
        <v/>
      </c>
      <c r="J3" s="49">
        <f>'ARI'!AE17</f>
        <v/>
      </c>
    </row>
    <row r="4">
      <c r="A4">
        <f>'ARI'!B18</f>
        <v/>
      </c>
      <c r="B4" t="inlineStr">
        <is>
          <t>ARI</t>
        </is>
      </c>
      <c r="C4" t="inlineStr">
        <is>
          <t>QB</t>
        </is>
      </c>
      <c r="D4" s="48">
        <f>'ARI'!S18</f>
        <v/>
      </c>
      <c r="E4" s="49">
        <f>'ARI'!T18</f>
        <v/>
      </c>
      <c r="F4" s="49">
        <f>'ARI'!U18</f>
        <v/>
      </c>
      <c r="G4" s="48">
        <f>'ARI'!AA18</f>
        <v/>
      </c>
      <c r="H4" s="48">
        <f>'ARI'!AB18</f>
        <v/>
      </c>
      <c r="I4" s="49">
        <f>'ARI'!AD18</f>
        <v/>
      </c>
      <c r="J4" s="49">
        <f>'ARI'!AE18</f>
        <v/>
      </c>
    </row>
    <row r="5">
      <c r="A5">
        <f>'ARI'!B19</f>
        <v/>
      </c>
      <c r="B5" t="inlineStr">
        <is>
          <t>ARI</t>
        </is>
      </c>
      <c r="C5" t="inlineStr">
        <is>
          <t>QB</t>
        </is>
      </c>
      <c r="D5" s="48">
        <f>'ARI'!S19</f>
        <v/>
      </c>
      <c r="E5" s="49">
        <f>'ARI'!T19</f>
        <v/>
      </c>
      <c r="F5" s="49">
        <f>'ARI'!U19</f>
        <v/>
      </c>
      <c r="G5" s="48">
        <f>'ARI'!AA19</f>
        <v/>
      </c>
      <c r="H5" s="48">
        <f>'ARI'!AB19</f>
        <v/>
      </c>
      <c r="I5" s="49">
        <f>'ARI'!AD19</f>
        <v/>
      </c>
      <c r="J5" s="49">
        <f>'ARI'!AE19</f>
        <v/>
      </c>
    </row>
    <row r="6">
      <c r="A6">
        <f>'ARI'!B20</f>
        <v/>
      </c>
      <c r="B6" t="inlineStr">
        <is>
          <t>ARI</t>
        </is>
      </c>
      <c r="C6" t="inlineStr">
        <is>
          <t>QB</t>
        </is>
      </c>
      <c r="D6" s="48">
        <f>'ARI'!S20</f>
        <v/>
      </c>
      <c r="E6" s="49">
        <f>'ARI'!T20</f>
        <v/>
      </c>
      <c r="F6" s="49">
        <f>'ARI'!U20</f>
        <v/>
      </c>
      <c r="G6" s="48">
        <f>'ARI'!AA20</f>
        <v/>
      </c>
      <c r="H6" s="48">
        <f>'ARI'!AB20</f>
        <v/>
      </c>
      <c r="I6" s="49">
        <f>'ARI'!AD20</f>
        <v/>
      </c>
      <c r="J6" s="49">
        <f>'ARI'!AE20</f>
        <v/>
      </c>
    </row>
    <row r="7">
      <c r="A7">
        <f>'ATL'!B17</f>
        <v/>
      </c>
      <c r="B7" t="inlineStr">
        <is>
          <t>ATL</t>
        </is>
      </c>
      <c r="C7" t="inlineStr">
        <is>
          <t>QB</t>
        </is>
      </c>
      <c r="D7" s="48">
        <f>'ATL'!S17</f>
        <v/>
      </c>
      <c r="E7" s="49">
        <f>'ATL'!T17</f>
        <v/>
      </c>
      <c r="F7" s="49">
        <f>'ATL'!U17</f>
        <v/>
      </c>
      <c r="G7" s="48">
        <f>'ATL'!AA17</f>
        <v/>
      </c>
      <c r="H7" s="48">
        <f>'ATL'!AB17</f>
        <v/>
      </c>
      <c r="I7" s="49">
        <f>'ATL'!AD17</f>
        <v/>
      </c>
      <c r="J7" s="49">
        <f>'ATL'!AE17</f>
        <v/>
      </c>
    </row>
    <row r="8">
      <c r="A8">
        <f>'ATL'!B18</f>
        <v/>
      </c>
      <c r="B8" t="inlineStr">
        <is>
          <t>ATL</t>
        </is>
      </c>
      <c r="C8" t="inlineStr">
        <is>
          <t>QB</t>
        </is>
      </c>
      <c r="D8" s="48">
        <f>'ATL'!S18</f>
        <v/>
      </c>
      <c r="E8" s="49">
        <f>'ATL'!T18</f>
        <v/>
      </c>
      <c r="F8" s="49">
        <f>'ATL'!U18</f>
        <v/>
      </c>
      <c r="G8" s="48">
        <f>'ATL'!AA18</f>
        <v/>
      </c>
      <c r="H8" s="48">
        <f>'ATL'!AB18</f>
        <v/>
      </c>
      <c r="I8" s="49">
        <f>'ATL'!AD18</f>
        <v/>
      </c>
      <c r="J8" s="49">
        <f>'ATL'!AE18</f>
        <v/>
      </c>
    </row>
    <row r="9">
      <c r="A9">
        <f>'ATL'!B19</f>
        <v/>
      </c>
      <c r="B9" t="inlineStr">
        <is>
          <t>ATL</t>
        </is>
      </c>
      <c r="C9" t="inlineStr">
        <is>
          <t>QB</t>
        </is>
      </c>
      <c r="D9" s="48">
        <f>'ATL'!S19</f>
        <v/>
      </c>
      <c r="E9" s="49">
        <f>'ATL'!T19</f>
        <v/>
      </c>
      <c r="F9" s="49">
        <f>'ATL'!U19</f>
        <v/>
      </c>
      <c r="G9" s="48">
        <f>'ATL'!AA19</f>
        <v/>
      </c>
      <c r="H9" s="48">
        <f>'ATL'!AB19</f>
        <v/>
      </c>
      <c r="I9" s="49">
        <f>'ATL'!AD19</f>
        <v/>
      </c>
      <c r="J9" s="49">
        <f>'ATL'!AE19</f>
        <v/>
      </c>
    </row>
    <row r="10">
      <c r="A10">
        <f>'ATL'!B20</f>
        <v/>
      </c>
      <c r="B10" t="inlineStr">
        <is>
          <t>ATL</t>
        </is>
      </c>
      <c r="C10" t="inlineStr">
        <is>
          <t>QB</t>
        </is>
      </c>
      <c r="D10" s="48">
        <f>'ATL'!S20</f>
        <v/>
      </c>
      <c r="E10" s="49">
        <f>'ATL'!T20</f>
        <v/>
      </c>
      <c r="F10" s="49">
        <f>'ATL'!U20</f>
        <v/>
      </c>
      <c r="G10" s="48">
        <f>'ATL'!AA20</f>
        <v/>
      </c>
      <c r="H10" s="48">
        <f>'ATL'!AB20</f>
        <v/>
      </c>
      <c r="I10" s="49">
        <f>'ATL'!AD20</f>
        <v/>
      </c>
      <c r="J10" s="49">
        <f>'ATL'!AE20</f>
        <v/>
      </c>
    </row>
    <row r="11">
      <c r="A11">
        <f>'BAL'!B17</f>
        <v/>
      </c>
      <c r="B11" t="inlineStr">
        <is>
          <t>BAL</t>
        </is>
      </c>
      <c r="C11" t="inlineStr">
        <is>
          <t>QB</t>
        </is>
      </c>
      <c r="D11" s="48">
        <f>'BAL'!S17</f>
        <v/>
      </c>
      <c r="E11" s="49">
        <f>'BAL'!T17</f>
        <v/>
      </c>
      <c r="F11" s="49">
        <f>'BAL'!U17</f>
        <v/>
      </c>
      <c r="G11" s="48">
        <f>'BAL'!AA17</f>
        <v/>
      </c>
      <c r="H11" s="48">
        <f>'BAL'!AB17</f>
        <v/>
      </c>
      <c r="I11" s="49">
        <f>'BAL'!AD17</f>
        <v/>
      </c>
      <c r="J11" s="49">
        <f>'BAL'!AE17</f>
        <v/>
      </c>
    </row>
    <row r="12">
      <c r="A12">
        <f>'BAL'!B18</f>
        <v/>
      </c>
      <c r="B12" t="inlineStr">
        <is>
          <t>BAL</t>
        </is>
      </c>
      <c r="C12" t="inlineStr">
        <is>
          <t>QB</t>
        </is>
      </c>
      <c r="D12" s="48">
        <f>'BAL'!S18</f>
        <v/>
      </c>
      <c r="E12" s="49">
        <f>'BAL'!T18</f>
        <v/>
      </c>
      <c r="F12" s="49">
        <f>'BAL'!U18</f>
        <v/>
      </c>
      <c r="G12" s="48">
        <f>'BAL'!AA18</f>
        <v/>
      </c>
      <c r="H12" s="48">
        <f>'BAL'!AB18</f>
        <v/>
      </c>
      <c r="I12" s="49">
        <f>'BAL'!AD18</f>
        <v/>
      </c>
      <c r="J12" s="49">
        <f>'BAL'!AE18</f>
        <v/>
      </c>
    </row>
    <row r="13">
      <c r="A13">
        <f>'BAL'!B19</f>
        <v/>
      </c>
      <c r="B13" t="inlineStr">
        <is>
          <t>BAL</t>
        </is>
      </c>
      <c r="C13" t="inlineStr">
        <is>
          <t>QB</t>
        </is>
      </c>
      <c r="D13" s="48">
        <f>'BAL'!S19</f>
        <v/>
      </c>
      <c r="E13" s="49">
        <f>'BAL'!T19</f>
        <v/>
      </c>
      <c r="F13" s="49">
        <f>'BAL'!U19</f>
        <v/>
      </c>
      <c r="G13" s="48">
        <f>'BAL'!AA19</f>
        <v/>
      </c>
      <c r="H13" s="48">
        <f>'BAL'!AB19</f>
        <v/>
      </c>
      <c r="I13" s="49">
        <f>'BAL'!AD19</f>
        <v/>
      </c>
      <c r="J13" s="49">
        <f>'BAL'!AE19</f>
        <v/>
      </c>
    </row>
    <row r="14">
      <c r="A14">
        <f>'BAL'!B20</f>
        <v/>
      </c>
      <c r="B14" t="inlineStr">
        <is>
          <t>BAL</t>
        </is>
      </c>
      <c r="C14" t="inlineStr">
        <is>
          <t>QB</t>
        </is>
      </c>
      <c r="D14" s="48">
        <f>'BAL'!S20</f>
        <v/>
      </c>
      <c r="E14" s="49">
        <f>'BAL'!T20</f>
        <v/>
      </c>
      <c r="F14" s="49">
        <f>'BAL'!U20</f>
        <v/>
      </c>
      <c r="G14" s="48">
        <f>'BAL'!AA20</f>
        <v/>
      </c>
      <c r="H14" s="48">
        <f>'BAL'!AB20</f>
        <v/>
      </c>
      <c r="I14" s="49">
        <f>'BAL'!AD20</f>
        <v/>
      </c>
      <c r="J14" s="49">
        <f>'BAL'!AE20</f>
        <v/>
      </c>
    </row>
    <row r="15">
      <c r="A15">
        <f>'BUF'!B17</f>
        <v/>
      </c>
      <c r="B15" t="inlineStr">
        <is>
          <t>BUF</t>
        </is>
      </c>
      <c r="C15" t="inlineStr">
        <is>
          <t>QB</t>
        </is>
      </c>
      <c r="D15" s="48">
        <f>'BUF'!S17</f>
        <v/>
      </c>
      <c r="E15" s="49">
        <f>'BUF'!T17</f>
        <v/>
      </c>
      <c r="F15" s="49">
        <f>'BUF'!U17</f>
        <v/>
      </c>
      <c r="G15" s="48">
        <f>'BUF'!AA17</f>
        <v/>
      </c>
      <c r="H15" s="48">
        <f>'BUF'!AB17</f>
        <v/>
      </c>
      <c r="I15" s="49">
        <f>'BUF'!AD17</f>
        <v/>
      </c>
      <c r="J15" s="49">
        <f>'BUF'!AE17</f>
        <v/>
      </c>
    </row>
    <row r="16">
      <c r="A16">
        <f>'BUF'!B18</f>
        <v/>
      </c>
      <c r="B16" t="inlineStr">
        <is>
          <t>BUF</t>
        </is>
      </c>
      <c r="C16" t="inlineStr">
        <is>
          <t>QB</t>
        </is>
      </c>
      <c r="D16" s="48">
        <f>'BUF'!S18</f>
        <v/>
      </c>
      <c r="E16" s="49">
        <f>'BUF'!T18</f>
        <v/>
      </c>
      <c r="F16" s="49">
        <f>'BUF'!U18</f>
        <v/>
      </c>
      <c r="G16" s="48">
        <f>'BUF'!AA18</f>
        <v/>
      </c>
      <c r="H16" s="48">
        <f>'BUF'!AB18</f>
        <v/>
      </c>
      <c r="I16" s="49">
        <f>'BUF'!AD18</f>
        <v/>
      </c>
      <c r="J16" s="49">
        <f>'BUF'!AE18</f>
        <v/>
      </c>
    </row>
    <row r="17">
      <c r="A17">
        <f>'BUF'!B19</f>
        <v/>
      </c>
      <c r="B17" t="inlineStr">
        <is>
          <t>BUF</t>
        </is>
      </c>
      <c r="C17" t="inlineStr">
        <is>
          <t>QB</t>
        </is>
      </c>
      <c r="D17" s="48">
        <f>'BUF'!S19</f>
        <v/>
      </c>
      <c r="E17" s="49">
        <f>'BUF'!T19</f>
        <v/>
      </c>
      <c r="F17" s="49">
        <f>'BUF'!U19</f>
        <v/>
      </c>
      <c r="G17" s="48">
        <f>'BUF'!AA19</f>
        <v/>
      </c>
      <c r="H17" s="48">
        <f>'BUF'!AB19</f>
        <v/>
      </c>
      <c r="I17" s="49">
        <f>'BUF'!AD19</f>
        <v/>
      </c>
      <c r="J17" s="49">
        <f>'BUF'!AE19</f>
        <v/>
      </c>
    </row>
    <row r="18">
      <c r="A18">
        <f>'BUF'!B20</f>
        <v/>
      </c>
      <c r="B18" t="inlineStr">
        <is>
          <t>BUF</t>
        </is>
      </c>
      <c r="C18" t="inlineStr">
        <is>
          <t>QB</t>
        </is>
      </c>
      <c r="D18" s="48">
        <f>'BUF'!S20</f>
        <v/>
      </c>
      <c r="E18" s="49">
        <f>'BUF'!T20</f>
        <v/>
      </c>
      <c r="F18" s="49">
        <f>'BUF'!U20</f>
        <v/>
      </c>
      <c r="G18" s="48">
        <f>'BUF'!AA20</f>
        <v/>
      </c>
      <c r="H18" s="48">
        <f>'BUF'!AB20</f>
        <v/>
      </c>
      <c r="I18" s="49">
        <f>'BUF'!AD20</f>
        <v/>
      </c>
      <c r="J18" s="49">
        <f>'BUF'!AE20</f>
        <v/>
      </c>
    </row>
    <row r="19">
      <c r="A19">
        <f>'CAR'!B17</f>
        <v/>
      </c>
      <c r="B19" t="inlineStr">
        <is>
          <t>CAR</t>
        </is>
      </c>
      <c r="C19" t="inlineStr">
        <is>
          <t>QB</t>
        </is>
      </c>
      <c r="D19" s="48">
        <f>'CAR'!S17</f>
        <v/>
      </c>
      <c r="E19" s="49">
        <f>'CAR'!T17</f>
        <v/>
      </c>
      <c r="F19" s="49">
        <f>'CAR'!U17</f>
        <v/>
      </c>
      <c r="G19" s="48">
        <f>'CAR'!AA17</f>
        <v/>
      </c>
      <c r="H19" s="48">
        <f>'CAR'!AB17</f>
        <v/>
      </c>
      <c r="I19" s="49">
        <f>'CAR'!AD17</f>
        <v/>
      </c>
      <c r="J19" s="49">
        <f>'CAR'!AE17</f>
        <v/>
      </c>
    </row>
    <row r="20">
      <c r="A20">
        <f>'CAR'!B18</f>
        <v/>
      </c>
      <c r="B20" t="inlineStr">
        <is>
          <t>CAR</t>
        </is>
      </c>
      <c r="C20" t="inlineStr">
        <is>
          <t>QB</t>
        </is>
      </c>
      <c r="D20" s="48">
        <f>'CAR'!S18</f>
        <v/>
      </c>
      <c r="E20" s="49">
        <f>'CAR'!T18</f>
        <v/>
      </c>
      <c r="F20" s="49">
        <f>'CAR'!U18</f>
        <v/>
      </c>
      <c r="G20" s="48">
        <f>'CAR'!AA18</f>
        <v/>
      </c>
      <c r="H20" s="48">
        <f>'CAR'!AB18</f>
        <v/>
      </c>
      <c r="I20" s="49">
        <f>'CAR'!AD18</f>
        <v/>
      </c>
      <c r="J20" s="49">
        <f>'CAR'!AE18</f>
        <v/>
      </c>
    </row>
    <row r="21">
      <c r="A21">
        <f>'CAR'!B19</f>
        <v/>
      </c>
      <c r="B21" t="inlineStr">
        <is>
          <t>CAR</t>
        </is>
      </c>
      <c r="C21" t="inlineStr">
        <is>
          <t>QB</t>
        </is>
      </c>
      <c r="D21" s="48">
        <f>'CAR'!S19</f>
        <v/>
      </c>
      <c r="E21" s="49">
        <f>'CAR'!T19</f>
        <v/>
      </c>
      <c r="F21" s="49">
        <f>'CAR'!U19</f>
        <v/>
      </c>
      <c r="G21" s="48">
        <f>'CAR'!AA19</f>
        <v/>
      </c>
      <c r="H21" s="48">
        <f>'CAR'!AB19</f>
        <v/>
      </c>
      <c r="I21" s="49">
        <f>'CAR'!AD19</f>
        <v/>
      </c>
      <c r="J21" s="49">
        <f>'CAR'!AE19</f>
        <v/>
      </c>
    </row>
    <row r="22">
      <c r="A22">
        <f>'CAR'!B20</f>
        <v/>
      </c>
      <c r="B22" t="inlineStr">
        <is>
          <t>CAR</t>
        </is>
      </c>
      <c r="C22" t="inlineStr">
        <is>
          <t>QB</t>
        </is>
      </c>
      <c r="D22" s="48">
        <f>'CAR'!S20</f>
        <v/>
      </c>
      <c r="E22" s="49">
        <f>'CAR'!T20</f>
        <v/>
      </c>
      <c r="F22" s="49">
        <f>'CAR'!U20</f>
        <v/>
      </c>
      <c r="G22" s="48">
        <f>'CAR'!AA20</f>
        <v/>
      </c>
      <c r="H22" s="48">
        <f>'CAR'!AB20</f>
        <v/>
      </c>
      <c r="I22" s="49">
        <f>'CAR'!AD20</f>
        <v/>
      </c>
      <c r="J22" s="49">
        <f>'CAR'!AE20</f>
        <v/>
      </c>
    </row>
    <row r="23">
      <c r="A23">
        <f>'CHI'!B17</f>
        <v/>
      </c>
      <c r="B23" t="inlineStr">
        <is>
          <t>CHI</t>
        </is>
      </c>
      <c r="C23" t="inlineStr">
        <is>
          <t>QB</t>
        </is>
      </c>
      <c r="D23" s="48">
        <f>'CHI'!S17</f>
        <v/>
      </c>
      <c r="E23" s="49">
        <f>'CHI'!T17</f>
        <v/>
      </c>
      <c r="F23" s="49">
        <f>'CHI'!U17</f>
        <v/>
      </c>
      <c r="G23" s="48">
        <f>'CHI'!AA17</f>
        <v/>
      </c>
      <c r="H23" s="48">
        <f>'CHI'!AB17</f>
        <v/>
      </c>
      <c r="I23" s="49">
        <f>'CHI'!AD17</f>
        <v/>
      </c>
      <c r="J23" s="49">
        <f>'CHI'!AE17</f>
        <v/>
      </c>
    </row>
    <row r="24">
      <c r="A24">
        <f>'CHI'!B18</f>
        <v/>
      </c>
      <c r="B24" t="inlineStr">
        <is>
          <t>CHI</t>
        </is>
      </c>
      <c r="C24" t="inlineStr">
        <is>
          <t>QB</t>
        </is>
      </c>
      <c r="D24" s="48">
        <f>'CHI'!S18</f>
        <v/>
      </c>
      <c r="E24" s="49">
        <f>'CHI'!T18</f>
        <v/>
      </c>
      <c r="F24" s="49">
        <f>'CHI'!U18</f>
        <v/>
      </c>
      <c r="G24" s="48">
        <f>'CHI'!AA18</f>
        <v/>
      </c>
      <c r="H24" s="48">
        <f>'CHI'!AB18</f>
        <v/>
      </c>
      <c r="I24" s="49">
        <f>'CHI'!AD18</f>
        <v/>
      </c>
      <c r="J24" s="49">
        <f>'CHI'!AE18</f>
        <v/>
      </c>
    </row>
    <row r="25">
      <c r="A25">
        <f>'CHI'!B19</f>
        <v/>
      </c>
      <c r="B25" t="inlineStr">
        <is>
          <t>CHI</t>
        </is>
      </c>
      <c r="C25" t="inlineStr">
        <is>
          <t>QB</t>
        </is>
      </c>
      <c r="D25" s="48">
        <f>'CHI'!S19</f>
        <v/>
      </c>
      <c r="E25" s="49">
        <f>'CHI'!T19</f>
        <v/>
      </c>
      <c r="F25" s="49">
        <f>'CHI'!U19</f>
        <v/>
      </c>
      <c r="G25" s="48">
        <f>'CHI'!AA19</f>
        <v/>
      </c>
      <c r="H25" s="48">
        <f>'CHI'!AB19</f>
        <v/>
      </c>
      <c r="I25" s="49">
        <f>'CHI'!AD19</f>
        <v/>
      </c>
      <c r="J25" s="49">
        <f>'CHI'!AE19</f>
        <v/>
      </c>
    </row>
    <row r="26">
      <c r="A26">
        <f>'CHI'!B20</f>
        <v/>
      </c>
      <c r="B26" t="inlineStr">
        <is>
          <t>CHI</t>
        </is>
      </c>
      <c r="C26" t="inlineStr">
        <is>
          <t>QB</t>
        </is>
      </c>
      <c r="D26" s="48">
        <f>'CHI'!S20</f>
        <v/>
      </c>
      <c r="E26" s="49">
        <f>'CHI'!T20</f>
        <v/>
      </c>
      <c r="F26" s="49">
        <f>'CHI'!U20</f>
        <v/>
      </c>
      <c r="G26" s="48">
        <f>'CHI'!AA20</f>
        <v/>
      </c>
      <c r="H26" s="48">
        <f>'CHI'!AB20</f>
        <v/>
      </c>
      <c r="I26" s="49">
        <f>'CHI'!AD20</f>
        <v/>
      </c>
      <c r="J26" s="49">
        <f>'CHI'!AE20</f>
        <v/>
      </c>
    </row>
    <row r="27">
      <c r="A27">
        <f>'CIN'!B17</f>
        <v/>
      </c>
      <c r="B27" t="inlineStr">
        <is>
          <t>CIN</t>
        </is>
      </c>
      <c r="C27" t="inlineStr">
        <is>
          <t>QB</t>
        </is>
      </c>
      <c r="D27" s="48">
        <f>'CIN'!S17</f>
        <v/>
      </c>
      <c r="E27" s="49">
        <f>'CIN'!T17</f>
        <v/>
      </c>
      <c r="F27" s="49">
        <f>'CIN'!U17</f>
        <v/>
      </c>
      <c r="G27" s="48">
        <f>'CIN'!AA17</f>
        <v/>
      </c>
      <c r="H27" s="48">
        <f>'CIN'!AB17</f>
        <v/>
      </c>
      <c r="I27" s="49">
        <f>'CIN'!AD17</f>
        <v/>
      </c>
      <c r="J27" s="49">
        <f>'CIN'!AE17</f>
        <v/>
      </c>
    </row>
    <row r="28">
      <c r="A28">
        <f>'CIN'!B18</f>
        <v/>
      </c>
      <c r="B28" t="inlineStr">
        <is>
          <t>CIN</t>
        </is>
      </c>
      <c r="C28" t="inlineStr">
        <is>
          <t>QB</t>
        </is>
      </c>
      <c r="D28" s="48">
        <f>'CIN'!S18</f>
        <v/>
      </c>
      <c r="E28" s="49">
        <f>'CIN'!T18</f>
        <v/>
      </c>
      <c r="F28" s="49">
        <f>'CIN'!U18</f>
        <v/>
      </c>
      <c r="G28" s="48">
        <f>'CIN'!AA18</f>
        <v/>
      </c>
      <c r="H28" s="48">
        <f>'CIN'!AB18</f>
        <v/>
      </c>
      <c r="I28" s="49">
        <f>'CIN'!AD18</f>
        <v/>
      </c>
      <c r="J28" s="49">
        <f>'CIN'!AE18</f>
        <v/>
      </c>
    </row>
    <row r="29">
      <c r="A29">
        <f>'CIN'!B19</f>
        <v/>
      </c>
      <c r="B29" t="inlineStr">
        <is>
          <t>CIN</t>
        </is>
      </c>
      <c r="C29" t="inlineStr">
        <is>
          <t>QB</t>
        </is>
      </c>
      <c r="D29" s="48">
        <f>'CIN'!S19</f>
        <v/>
      </c>
      <c r="E29" s="49">
        <f>'CIN'!T19</f>
        <v/>
      </c>
      <c r="F29" s="49">
        <f>'CIN'!U19</f>
        <v/>
      </c>
      <c r="G29" s="48">
        <f>'CIN'!AA19</f>
        <v/>
      </c>
      <c r="H29" s="48">
        <f>'CIN'!AB19</f>
        <v/>
      </c>
      <c r="I29" s="49">
        <f>'CIN'!AD19</f>
        <v/>
      </c>
      <c r="J29" s="49">
        <f>'CIN'!AE19</f>
        <v/>
      </c>
    </row>
    <row r="30">
      <c r="A30">
        <f>'CIN'!B20</f>
        <v/>
      </c>
      <c r="B30" t="inlineStr">
        <is>
          <t>CIN</t>
        </is>
      </c>
      <c r="C30" t="inlineStr">
        <is>
          <t>QB</t>
        </is>
      </c>
      <c r="D30" s="48">
        <f>'CIN'!S20</f>
        <v/>
      </c>
      <c r="E30" s="49">
        <f>'CIN'!T20</f>
        <v/>
      </c>
      <c r="F30" s="49">
        <f>'CIN'!U20</f>
        <v/>
      </c>
      <c r="G30" s="48">
        <f>'CIN'!AA20</f>
        <v/>
      </c>
      <c r="H30" s="48">
        <f>'CIN'!AB20</f>
        <v/>
      </c>
      <c r="I30" s="49">
        <f>'CIN'!AD20</f>
        <v/>
      </c>
      <c r="J30" s="49">
        <f>'CIN'!AE20</f>
        <v/>
      </c>
    </row>
    <row r="31">
      <c r="A31">
        <f>'CLE'!B17</f>
        <v/>
      </c>
      <c r="B31" t="inlineStr">
        <is>
          <t>CLE</t>
        </is>
      </c>
      <c r="C31" t="inlineStr">
        <is>
          <t>QB</t>
        </is>
      </c>
      <c r="D31" s="48">
        <f>'CLE'!S17</f>
        <v/>
      </c>
      <c r="E31" s="49">
        <f>'CLE'!T17</f>
        <v/>
      </c>
      <c r="F31" s="49">
        <f>'CLE'!U17</f>
        <v/>
      </c>
      <c r="G31" s="48">
        <f>'CLE'!AA17</f>
        <v/>
      </c>
      <c r="H31" s="48">
        <f>'CLE'!AB17</f>
        <v/>
      </c>
      <c r="I31" s="49">
        <f>'CLE'!AD17</f>
        <v/>
      </c>
      <c r="J31" s="49">
        <f>'CLE'!AE17</f>
        <v/>
      </c>
    </row>
    <row r="32">
      <c r="A32">
        <f>'CLE'!B18</f>
        <v/>
      </c>
      <c r="B32" t="inlineStr">
        <is>
          <t>CLE</t>
        </is>
      </c>
      <c r="C32" t="inlineStr">
        <is>
          <t>QB</t>
        </is>
      </c>
      <c r="D32" s="48">
        <f>'CLE'!S18</f>
        <v/>
      </c>
      <c r="E32" s="49">
        <f>'CLE'!T18</f>
        <v/>
      </c>
      <c r="F32" s="49">
        <f>'CLE'!U18</f>
        <v/>
      </c>
      <c r="G32" s="48">
        <f>'CLE'!AA18</f>
        <v/>
      </c>
      <c r="H32" s="48">
        <f>'CLE'!AB18</f>
        <v/>
      </c>
      <c r="I32" s="49">
        <f>'CLE'!AD18</f>
        <v/>
      </c>
      <c r="J32" s="49">
        <f>'CLE'!AE18</f>
        <v/>
      </c>
    </row>
    <row r="33">
      <c r="A33">
        <f>'CLE'!B19</f>
        <v/>
      </c>
      <c r="B33" t="inlineStr">
        <is>
          <t>CLE</t>
        </is>
      </c>
      <c r="C33" t="inlineStr">
        <is>
          <t>QB</t>
        </is>
      </c>
      <c r="D33" s="48">
        <f>'CLE'!S19</f>
        <v/>
      </c>
      <c r="E33" s="49">
        <f>'CLE'!T19</f>
        <v/>
      </c>
      <c r="F33" s="49">
        <f>'CLE'!U19</f>
        <v/>
      </c>
      <c r="G33" s="48">
        <f>'CLE'!AA19</f>
        <v/>
      </c>
      <c r="H33" s="48">
        <f>'CLE'!AB19</f>
        <v/>
      </c>
      <c r="I33" s="49">
        <f>'CLE'!AD19</f>
        <v/>
      </c>
      <c r="J33" s="49">
        <f>'CLE'!AE19</f>
        <v/>
      </c>
    </row>
    <row r="34">
      <c r="A34">
        <f>'CLE'!B20</f>
        <v/>
      </c>
      <c r="B34" t="inlineStr">
        <is>
          <t>CLE</t>
        </is>
      </c>
      <c r="C34" t="inlineStr">
        <is>
          <t>QB</t>
        </is>
      </c>
      <c r="D34" s="48">
        <f>'CLE'!S20</f>
        <v/>
      </c>
      <c r="E34" s="49">
        <f>'CLE'!T20</f>
        <v/>
      </c>
      <c r="F34" s="49">
        <f>'CLE'!U20</f>
        <v/>
      </c>
      <c r="G34" s="48">
        <f>'CLE'!AA20</f>
        <v/>
      </c>
      <c r="H34" s="48">
        <f>'CLE'!AB20</f>
        <v/>
      </c>
      <c r="I34" s="49">
        <f>'CLE'!AD20</f>
        <v/>
      </c>
      <c r="J34" s="49">
        <f>'CLE'!AE20</f>
        <v/>
      </c>
    </row>
    <row r="35">
      <c r="A35">
        <f>'DAL'!B17</f>
        <v/>
      </c>
      <c r="B35" t="inlineStr">
        <is>
          <t>DAL</t>
        </is>
      </c>
      <c r="C35" t="inlineStr">
        <is>
          <t>QB</t>
        </is>
      </c>
      <c r="D35" s="48">
        <f>'DAL'!S17</f>
        <v/>
      </c>
      <c r="E35" s="49">
        <f>'DAL'!T17</f>
        <v/>
      </c>
      <c r="F35" s="49">
        <f>'DAL'!U17</f>
        <v/>
      </c>
      <c r="G35" s="48">
        <f>'DAL'!AA17</f>
        <v/>
      </c>
      <c r="H35" s="48">
        <f>'DAL'!AB17</f>
        <v/>
      </c>
      <c r="I35" s="49">
        <f>'DAL'!AD17</f>
        <v/>
      </c>
      <c r="J35" s="49">
        <f>'DAL'!AE17</f>
        <v/>
      </c>
    </row>
    <row r="36">
      <c r="A36">
        <f>'DAL'!B18</f>
        <v/>
      </c>
      <c r="B36" t="inlineStr">
        <is>
          <t>DAL</t>
        </is>
      </c>
      <c r="C36" t="inlineStr">
        <is>
          <t>QB</t>
        </is>
      </c>
      <c r="D36" s="48">
        <f>'DAL'!S18</f>
        <v/>
      </c>
      <c r="E36" s="49">
        <f>'DAL'!T18</f>
        <v/>
      </c>
      <c r="F36" s="49">
        <f>'DAL'!U18</f>
        <v/>
      </c>
      <c r="G36" s="48">
        <f>'DAL'!AA18</f>
        <v/>
      </c>
      <c r="H36" s="48">
        <f>'DAL'!AB18</f>
        <v/>
      </c>
      <c r="I36" s="49">
        <f>'DAL'!AD18</f>
        <v/>
      </c>
      <c r="J36" s="49">
        <f>'DAL'!AE18</f>
        <v/>
      </c>
    </row>
    <row r="37">
      <c r="A37">
        <f>'DAL'!B19</f>
        <v/>
      </c>
      <c r="B37" t="inlineStr">
        <is>
          <t>DAL</t>
        </is>
      </c>
      <c r="C37" t="inlineStr">
        <is>
          <t>QB</t>
        </is>
      </c>
      <c r="D37" s="48">
        <f>'DAL'!S19</f>
        <v/>
      </c>
      <c r="E37" s="49">
        <f>'DAL'!T19</f>
        <v/>
      </c>
      <c r="F37" s="49">
        <f>'DAL'!U19</f>
        <v/>
      </c>
      <c r="G37" s="48">
        <f>'DAL'!AA19</f>
        <v/>
      </c>
      <c r="H37" s="48">
        <f>'DAL'!AB19</f>
        <v/>
      </c>
      <c r="I37" s="49">
        <f>'DAL'!AD19</f>
        <v/>
      </c>
      <c r="J37" s="49">
        <f>'DAL'!AE19</f>
        <v/>
      </c>
    </row>
    <row r="38">
      <c r="A38">
        <f>'DAL'!B20</f>
        <v/>
      </c>
      <c r="B38" t="inlineStr">
        <is>
          <t>DAL</t>
        </is>
      </c>
      <c r="C38" t="inlineStr">
        <is>
          <t>QB</t>
        </is>
      </c>
      <c r="D38" s="48">
        <f>'DAL'!S20</f>
        <v/>
      </c>
      <c r="E38" s="49">
        <f>'DAL'!T20</f>
        <v/>
      </c>
      <c r="F38" s="49">
        <f>'DAL'!U20</f>
        <v/>
      </c>
      <c r="G38" s="48">
        <f>'DAL'!AA20</f>
        <v/>
      </c>
      <c r="H38" s="48">
        <f>'DAL'!AB20</f>
        <v/>
      </c>
      <c r="I38" s="49">
        <f>'DAL'!AD20</f>
        <v/>
      </c>
      <c r="J38" s="49">
        <f>'DAL'!AE20</f>
        <v/>
      </c>
    </row>
    <row r="39">
      <c r="A39">
        <f>'DEN'!B17</f>
        <v/>
      </c>
      <c r="B39" t="inlineStr">
        <is>
          <t>DEN</t>
        </is>
      </c>
      <c r="C39" t="inlineStr">
        <is>
          <t>QB</t>
        </is>
      </c>
      <c r="D39" s="48">
        <f>'DEN'!S17</f>
        <v/>
      </c>
      <c r="E39" s="49">
        <f>'DEN'!T17</f>
        <v/>
      </c>
      <c r="F39" s="49">
        <f>'DEN'!U17</f>
        <v/>
      </c>
      <c r="G39" s="48">
        <f>'DEN'!AA17</f>
        <v/>
      </c>
      <c r="H39" s="48">
        <f>'DEN'!AB17</f>
        <v/>
      </c>
      <c r="I39" s="49">
        <f>'DEN'!AD17</f>
        <v/>
      </c>
      <c r="J39" s="49">
        <f>'DEN'!AE17</f>
        <v/>
      </c>
    </row>
    <row r="40">
      <c r="A40">
        <f>'DEN'!B18</f>
        <v/>
      </c>
      <c r="B40" t="inlineStr">
        <is>
          <t>DEN</t>
        </is>
      </c>
      <c r="C40" t="inlineStr">
        <is>
          <t>QB</t>
        </is>
      </c>
      <c r="D40" s="48">
        <f>'DEN'!S18</f>
        <v/>
      </c>
      <c r="E40" s="49">
        <f>'DEN'!T18</f>
        <v/>
      </c>
      <c r="F40" s="49">
        <f>'DEN'!U18</f>
        <v/>
      </c>
      <c r="G40" s="48">
        <f>'DEN'!AA18</f>
        <v/>
      </c>
      <c r="H40" s="48">
        <f>'DEN'!AB18</f>
        <v/>
      </c>
      <c r="I40" s="49">
        <f>'DEN'!AD18</f>
        <v/>
      </c>
      <c r="J40" s="49">
        <f>'DEN'!AE18</f>
        <v/>
      </c>
    </row>
    <row r="41">
      <c r="A41">
        <f>'DEN'!B19</f>
        <v/>
      </c>
      <c r="B41" t="inlineStr">
        <is>
          <t>DEN</t>
        </is>
      </c>
      <c r="C41" t="inlineStr">
        <is>
          <t>QB</t>
        </is>
      </c>
      <c r="D41" s="48">
        <f>'DEN'!S19</f>
        <v/>
      </c>
      <c r="E41" s="49">
        <f>'DEN'!T19</f>
        <v/>
      </c>
      <c r="F41" s="49">
        <f>'DEN'!U19</f>
        <v/>
      </c>
      <c r="G41" s="48">
        <f>'DEN'!AA19</f>
        <v/>
      </c>
      <c r="H41" s="48">
        <f>'DEN'!AB19</f>
        <v/>
      </c>
      <c r="I41" s="49">
        <f>'DEN'!AD19</f>
        <v/>
      </c>
      <c r="J41" s="49">
        <f>'DEN'!AE19</f>
        <v/>
      </c>
    </row>
    <row r="42">
      <c r="A42">
        <f>'DEN'!B20</f>
        <v/>
      </c>
      <c r="B42" t="inlineStr">
        <is>
          <t>DEN</t>
        </is>
      </c>
      <c r="C42" t="inlineStr">
        <is>
          <t>QB</t>
        </is>
      </c>
      <c r="D42" s="48">
        <f>'DEN'!S20</f>
        <v/>
      </c>
      <c r="E42" s="49">
        <f>'DEN'!T20</f>
        <v/>
      </c>
      <c r="F42" s="49">
        <f>'DEN'!U20</f>
        <v/>
      </c>
      <c r="G42" s="48">
        <f>'DEN'!AA20</f>
        <v/>
      </c>
      <c r="H42" s="48">
        <f>'DEN'!AB20</f>
        <v/>
      </c>
      <c r="I42" s="49">
        <f>'DEN'!AD20</f>
        <v/>
      </c>
      <c r="J42" s="49">
        <f>'DEN'!AE20</f>
        <v/>
      </c>
    </row>
    <row r="43">
      <c r="A43">
        <f>'DET'!B17</f>
        <v/>
      </c>
      <c r="B43" t="inlineStr">
        <is>
          <t>DET</t>
        </is>
      </c>
      <c r="C43" t="inlineStr">
        <is>
          <t>QB</t>
        </is>
      </c>
      <c r="D43" s="48">
        <f>'DET'!S17</f>
        <v/>
      </c>
      <c r="E43" s="49">
        <f>'DET'!T17</f>
        <v/>
      </c>
      <c r="F43" s="49">
        <f>'DET'!U17</f>
        <v/>
      </c>
      <c r="G43" s="48">
        <f>'DET'!AA17</f>
        <v/>
      </c>
      <c r="H43" s="48">
        <f>'DET'!AB17</f>
        <v/>
      </c>
      <c r="I43" s="49">
        <f>'DET'!AD17</f>
        <v/>
      </c>
      <c r="J43" s="49">
        <f>'DET'!AE17</f>
        <v/>
      </c>
    </row>
    <row r="44">
      <c r="A44">
        <f>'DET'!B18</f>
        <v/>
      </c>
      <c r="B44" t="inlineStr">
        <is>
          <t>DET</t>
        </is>
      </c>
      <c r="C44" t="inlineStr">
        <is>
          <t>QB</t>
        </is>
      </c>
      <c r="D44" s="48">
        <f>'DET'!S18</f>
        <v/>
      </c>
      <c r="E44" s="49">
        <f>'DET'!T18</f>
        <v/>
      </c>
      <c r="F44" s="49">
        <f>'DET'!U18</f>
        <v/>
      </c>
      <c r="G44" s="48">
        <f>'DET'!AA18</f>
        <v/>
      </c>
      <c r="H44" s="48">
        <f>'DET'!AB18</f>
        <v/>
      </c>
      <c r="I44" s="49">
        <f>'DET'!AD18</f>
        <v/>
      </c>
      <c r="J44" s="49">
        <f>'DET'!AE18</f>
        <v/>
      </c>
    </row>
    <row r="45">
      <c r="A45">
        <f>'DET'!B19</f>
        <v/>
      </c>
      <c r="B45" t="inlineStr">
        <is>
          <t>DET</t>
        </is>
      </c>
      <c r="C45" t="inlineStr">
        <is>
          <t>QB</t>
        </is>
      </c>
      <c r="D45" s="48">
        <f>'DET'!S19</f>
        <v/>
      </c>
      <c r="E45" s="49">
        <f>'DET'!T19</f>
        <v/>
      </c>
      <c r="F45" s="49">
        <f>'DET'!U19</f>
        <v/>
      </c>
      <c r="G45" s="48">
        <f>'DET'!AA19</f>
        <v/>
      </c>
      <c r="H45" s="48">
        <f>'DET'!AB19</f>
        <v/>
      </c>
      <c r="I45" s="49">
        <f>'DET'!AD19</f>
        <v/>
      </c>
      <c r="J45" s="49">
        <f>'DET'!AE19</f>
        <v/>
      </c>
    </row>
    <row r="46">
      <c r="A46">
        <f>'DET'!B20</f>
        <v/>
      </c>
      <c r="B46" t="inlineStr">
        <is>
          <t>DET</t>
        </is>
      </c>
      <c r="C46" t="inlineStr">
        <is>
          <t>QB</t>
        </is>
      </c>
      <c r="D46" s="48">
        <f>'DET'!S20</f>
        <v/>
      </c>
      <c r="E46" s="49">
        <f>'DET'!T20</f>
        <v/>
      </c>
      <c r="F46" s="49">
        <f>'DET'!U20</f>
        <v/>
      </c>
      <c r="G46" s="48">
        <f>'DET'!AA20</f>
        <v/>
      </c>
      <c r="H46" s="48">
        <f>'DET'!AB20</f>
        <v/>
      </c>
      <c r="I46" s="49">
        <f>'DET'!AD20</f>
        <v/>
      </c>
      <c r="J46" s="49">
        <f>'DET'!AE20</f>
        <v/>
      </c>
    </row>
    <row r="47">
      <c r="A47">
        <f>'GB'!B17</f>
        <v/>
      </c>
      <c r="B47" t="inlineStr">
        <is>
          <t>GB</t>
        </is>
      </c>
      <c r="C47" t="inlineStr">
        <is>
          <t>QB</t>
        </is>
      </c>
      <c r="D47" s="48">
        <f>'GB'!S17</f>
        <v/>
      </c>
      <c r="E47" s="49">
        <f>'GB'!T17</f>
        <v/>
      </c>
      <c r="F47" s="49">
        <f>'GB'!U17</f>
        <v/>
      </c>
      <c r="G47" s="48">
        <f>'GB'!AA17</f>
        <v/>
      </c>
      <c r="H47" s="48">
        <f>'GB'!AB17</f>
        <v/>
      </c>
      <c r="I47" s="49">
        <f>'GB'!AD17</f>
        <v/>
      </c>
      <c r="J47" s="49">
        <f>'GB'!AE17</f>
        <v/>
      </c>
    </row>
    <row r="48">
      <c r="A48">
        <f>'GB'!B18</f>
        <v/>
      </c>
      <c r="B48" t="inlineStr">
        <is>
          <t>GB</t>
        </is>
      </c>
      <c r="C48" t="inlineStr">
        <is>
          <t>QB</t>
        </is>
      </c>
      <c r="D48" s="48">
        <f>'GB'!S18</f>
        <v/>
      </c>
      <c r="E48" s="49">
        <f>'GB'!T18</f>
        <v/>
      </c>
      <c r="F48" s="49">
        <f>'GB'!U18</f>
        <v/>
      </c>
      <c r="G48" s="48">
        <f>'GB'!AA18</f>
        <v/>
      </c>
      <c r="H48" s="48">
        <f>'GB'!AB18</f>
        <v/>
      </c>
      <c r="I48" s="49">
        <f>'GB'!AD18</f>
        <v/>
      </c>
      <c r="J48" s="49">
        <f>'GB'!AE18</f>
        <v/>
      </c>
    </row>
    <row r="49">
      <c r="A49">
        <f>'GB'!B19</f>
        <v/>
      </c>
      <c r="B49" t="inlineStr">
        <is>
          <t>GB</t>
        </is>
      </c>
      <c r="C49" t="inlineStr">
        <is>
          <t>QB</t>
        </is>
      </c>
      <c r="D49" s="48">
        <f>'GB'!S19</f>
        <v/>
      </c>
      <c r="E49" s="49">
        <f>'GB'!T19</f>
        <v/>
      </c>
      <c r="F49" s="49">
        <f>'GB'!U19</f>
        <v/>
      </c>
      <c r="G49" s="48">
        <f>'GB'!AA19</f>
        <v/>
      </c>
      <c r="H49" s="48">
        <f>'GB'!AB19</f>
        <v/>
      </c>
      <c r="I49" s="49">
        <f>'GB'!AD19</f>
        <v/>
      </c>
      <c r="J49" s="49">
        <f>'GB'!AE19</f>
        <v/>
      </c>
    </row>
    <row r="50">
      <c r="A50">
        <f>'GB'!B20</f>
        <v/>
      </c>
      <c r="B50" t="inlineStr">
        <is>
          <t>GB</t>
        </is>
      </c>
      <c r="C50" t="inlineStr">
        <is>
          <t>QB</t>
        </is>
      </c>
      <c r="D50" s="48">
        <f>'GB'!S20</f>
        <v/>
      </c>
      <c r="E50" s="49">
        <f>'GB'!T20</f>
        <v/>
      </c>
      <c r="F50" s="49">
        <f>'GB'!U20</f>
        <v/>
      </c>
      <c r="G50" s="48">
        <f>'GB'!AA20</f>
        <v/>
      </c>
      <c r="H50" s="48">
        <f>'GB'!AB20</f>
        <v/>
      </c>
      <c r="I50" s="49">
        <f>'GB'!AD20</f>
        <v/>
      </c>
      <c r="J50" s="49">
        <f>'GB'!AE20</f>
        <v/>
      </c>
    </row>
    <row r="51">
      <c r="A51">
        <f>'HOU'!B17</f>
        <v/>
      </c>
      <c r="B51" t="inlineStr">
        <is>
          <t>HOU</t>
        </is>
      </c>
      <c r="C51" t="inlineStr">
        <is>
          <t>QB</t>
        </is>
      </c>
      <c r="D51" s="48">
        <f>'HOU'!S17</f>
        <v/>
      </c>
      <c r="E51" s="49">
        <f>'HOU'!T17</f>
        <v/>
      </c>
      <c r="F51" s="49">
        <f>'HOU'!U17</f>
        <v/>
      </c>
      <c r="G51" s="48">
        <f>'HOU'!AA17</f>
        <v/>
      </c>
      <c r="H51" s="48">
        <f>'HOU'!AB17</f>
        <v/>
      </c>
      <c r="I51" s="49">
        <f>'HOU'!AD17</f>
        <v/>
      </c>
      <c r="J51" s="49">
        <f>'HOU'!AE17</f>
        <v/>
      </c>
    </row>
    <row r="52">
      <c r="A52">
        <f>'HOU'!B18</f>
        <v/>
      </c>
      <c r="B52" t="inlineStr">
        <is>
          <t>HOU</t>
        </is>
      </c>
      <c r="C52" t="inlineStr">
        <is>
          <t>QB</t>
        </is>
      </c>
      <c r="D52" s="48">
        <f>'HOU'!S18</f>
        <v/>
      </c>
      <c r="E52" s="49">
        <f>'HOU'!T18</f>
        <v/>
      </c>
      <c r="F52" s="49">
        <f>'HOU'!U18</f>
        <v/>
      </c>
      <c r="G52" s="48">
        <f>'HOU'!AA18</f>
        <v/>
      </c>
      <c r="H52" s="48">
        <f>'HOU'!AB18</f>
        <v/>
      </c>
      <c r="I52" s="49">
        <f>'HOU'!AD18</f>
        <v/>
      </c>
      <c r="J52" s="49">
        <f>'HOU'!AE18</f>
        <v/>
      </c>
    </row>
    <row r="53">
      <c r="A53">
        <f>'HOU'!B19</f>
        <v/>
      </c>
      <c r="B53" t="inlineStr">
        <is>
          <t>HOU</t>
        </is>
      </c>
      <c r="C53" t="inlineStr">
        <is>
          <t>QB</t>
        </is>
      </c>
      <c r="D53" s="48">
        <f>'HOU'!S19</f>
        <v/>
      </c>
      <c r="E53" s="49">
        <f>'HOU'!T19</f>
        <v/>
      </c>
      <c r="F53" s="49">
        <f>'HOU'!U19</f>
        <v/>
      </c>
      <c r="G53" s="48">
        <f>'HOU'!AA19</f>
        <v/>
      </c>
      <c r="H53" s="48">
        <f>'HOU'!AB19</f>
        <v/>
      </c>
      <c r="I53" s="49">
        <f>'HOU'!AD19</f>
        <v/>
      </c>
      <c r="J53" s="49">
        <f>'HOU'!AE19</f>
        <v/>
      </c>
    </row>
    <row r="54">
      <c r="A54">
        <f>'HOU'!B20</f>
        <v/>
      </c>
      <c r="B54" t="inlineStr">
        <is>
          <t>HOU</t>
        </is>
      </c>
      <c r="C54" t="inlineStr">
        <is>
          <t>QB</t>
        </is>
      </c>
      <c r="D54" s="48">
        <f>'HOU'!S20</f>
        <v/>
      </c>
      <c r="E54" s="49">
        <f>'HOU'!T20</f>
        <v/>
      </c>
      <c r="F54" s="49">
        <f>'HOU'!U20</f>
        <v/>
      </c>
      <c r="G54" s="48">
        <f>'HOU'!AA20</f>
        <v/>
      </c>
      <c r="H54" s="48">
        <f>'HOU'!AB20</f>
        <v/>
      </c>
      <c r="I54" s="49">
        <f>'HOU'!AD20</f>
        <v/>
      </c>
      <c r="J54" s="49">
        <f>'HOU'!AE20</f>
        <v/>
      </c>
    </row>
    <row r="55">
      <c r="A55">
        <f>'IND'!B17</f>
        <v/>
      </c>
      <c r="B55" t="inlineStr">
        <is>
          <t>IND</t>
        </is>
      </c>
      <c r="C55" t="inlineStr">
        <is>
          <t>QB</t>
        </is>
      </c>
      <c r="D55" s="48">
        <f>'IND'!S17</f>
        <v/>
      </c>
      <c r="E55" s="49">
        <f>'IND'!T17</f>
        <v/>
      </c>
      <c r="F55" s="49">
        <f>'IND'!U17</f>
        <v/>
      </c>
      <c r="G55" s="48">
        <f>'IND'!AA17</f>
        <v/>
      </c>
      <c r="H55" s="48">
        <f>'IND'!AB17</f>
        <v/>
      </c>
      <c r="I55" s="49">
        <f>'IND'!AD17</f>
        <v/>
      </c>
      <c r="J55" s="49">
        <f>'IND'!AE17</f>
        <v/>
      </c>
    </row>
    <row r="56">
      <c r="A56">
        <f>'IND'!B18</f>
        <v/>
      </c>
      <c r="B56" t="inlineStr">
        <is>
          <t>IND</t>
        </is>
      </c>
      <c r="C56" t="inlineStr">
        <is>
          <t>QB</t>
        </is>
      </c>
      <c r="D56" s="48">
        <f>'IND'!S18</f>
        <v/>
      </c>
      <c r="E56" s="49">
        <f>'IND'!T18</f>
        <v/>
      </c>
      <c r="F56" s="49">
        <f>'IND'!U18</f>
        <v/>
      </c>
      <c r="G56" s="48">
        <f>'IND'!AA18</f>
        <v/>
      </c>
      <c r="H56" s="48">
        <f>'IND'!AB18</f>
        <v/>
      </c>
      <c r="I56" s="49">
        <f>'IND'!AD18</f>
        <v/>
      </c>
      <c r="J56" s="49">
        <f>'IND'!AE18</f>
        <v/>
      </c>
    </row>
    <row r="57">
      <c r="A57">
        <f>'IND'!B19</f>
        <v/>
      </c>
      <c r="B57" t="inlineStr">
        <is>
          <t>IND</t>
        </is>
      </c>
      <c r="C57" t="inlineStr">
        <is>
          <t>QB</t>
        </is>
      </c>
      <c r="D57" s="48">
        <f>'IND'!S19</f>
        <v/>
      </c>
      <c r="E57" s="49">
        <f>'IND'!T19</f>
        <v/>
      </c>
      <c r="F57" s="49">
        <f>'IND'!U19</f>
        <v/>
      </c>
      <c r="G57" s="48">
        <f>'IND'!AA19</f>
        <v/>
      </c>
      <c r="H57" s="48">
        <f>'IND'!AB19</f>
        <v/>
      </c>
      <c r="I57" s="49">
        <f>'IND'!AD19</f>
        <v/>
      </c>
      <c r="J57" s="49">
        <f>'IND'!AE19</f>
        <v/>
      </c>
    </row>
    <row r="58">
      <c r="A58">
        <f>'IND'!B20</f>
        <v/>
      </c>
      <c r="B58" t="inlineStr">
        <is>
          <t>IND</t>
        </is>
      </c>
      <c r="C58" t="inlineStr">
        <is>
          <t>QB</t>
        </is>
      </c>
      <c r="D58" s="48">
        <f>'IND'!S20</f>
        <v/>
      </c>
      <c r="E58" s="49">
        <f>'IND'!T20</f>
        <v/>
      </c>
      <c r="F58" s="49">
        <f>'IND'!U20</f>
        <v/>
      </c>
      <c r="G58" s="48">
        <f>'IND'!AA20</f>
        <v/>
      </c>
      <c r="H58" s="48">
        <f>'IND'!AB20</f>
        <v/>
      </c>
      <c r="I58" s="49">
        <f>'IND'!AD20</f>
        <v/>
      </c>
      <c r="J58" s="49">
        <f>'IND'!AE20</f>
        <v/>
      </c>
    </row>
    <row r="59">
      <c r="A59">
        <f>'JAC'!B17</f>
        <v/>
      </c>
      <c r="B59" t="inlineStr">
        <is>
          <t>JAC</t>
        </is>
      </c>
      <c r="C59" t="inlineStr">
        <is>
          <t>QB</t>
        </is>
      </c>
      <c r="D59" s="48">
        <f>'JAC'!S17</f>
        <v/>
      </c>
      <c r="E59" s="49">
        <f>'JAC'!T17</f>
        <v/>
      </c>
      <c r="F59" s="49">
        <f>'JAC'!U17</f>
        <v/>
      </c>
      <c r="G59" s="48">
        <f>'JAC'!AA17</f>
        <v/>
      </c>
      <c r="H59" s="48">
        <f>'JAC'!AB17</f>
        <v/>
      </c>
      <c r="I59" s="49">
        <f>'JAC'!AD17</f>
        <v/>
      </c>
      <c r="J59" s="49">
        <f>'JAC'!AE17</f>
        <v/>
      </c>
    </row>
    <row r="60">
      <c r="A60">
        <f>'JAC'!B18</f>
        <v/>
      </c>
      <c r="B60" t="inlineStr">
        <is>
          <t>JAC</t>
        </is>
      </c>
      <c r="C60" t="inlineStr">
        <is>
          <t>QB</t>
        </is>
      </c>
      <c r="D60" s="48">
        <f>'JAC'!S18</f>
        <v/>
      </c>
      <c r="E60" s="49">
        <f>'JAC'!T18</f>
        <v/>
      </c>
      <c r="F60" s="49">
        <f>'JAC'!U18</f>
        <v/>
      </c>
      <c r="G60" s="48">
        <f>'JAC'!AA18</f>
        <v/>
      </c>
      <c r="H60" s="48">
        <f>'JAC'!AB18</f>
        <v/>
      </c>
      <c r="I60" s="49">
        <f>'JAC'!AD18</f>
        <v/>
      </c>
      <c r="J60" s="49">
        <f>'JAC'!AE18</f>
        <v/>
      </c>
    </row>
    <row r="61">
      <c r="A61">
        <f>'JAC'!B19</f>
        <v/>
      </c>
      <c r="B61" t="inlineStr">
        <is>
          <t>JAC</t>
        </is>
      </c>
      <c r="C61" t="inlineStr">
        <is>
          <t>QB</t>
        </is>
      </c>
      <c r="D61" s="48">
        <f>'JAC'!S19</f>
        <v/>
      </c>
      <c r="E61" s="49">
        <f>'JAC'!T19</f>
        <v/>
      </c>
      <c r="F61" s="49">
        <f>'JAC'!U19</f>
        <v/>
      </c>
      <c r="G61" s="48">
        <f>'JAC'!AA19</f>
        <v/>
      </c>
      <c r="H61" s="48">
        <f>'JAC'!AB19</f>
        <v/>
      </c>
      <c r="I61" s="49">
        <f>'JAC'!AD19</f>
        <v/>
      </c>
      <c r="J61" s="49">
        <f>'JAC'!AE19</f>
        <v/>
      </c>
    </row>
    <row r="62">
      <c r="A62">
        <f>'JAC'!B20</f>
        <v/>
      </c>
      <c r="B62" t="inlineStr">
        <is>
          <t>JAC</t>
        </is>
      </c>
      <c r="C62" t="inlineStr">
        <is>
          <t>QB</t>
        </is>
      </c>
      <c r="D62" s="48">
        <f>'JAC'!S20</f>
        <v/>
      </c>
      <c r="E62" s="49">
        <f>'JAC'!T20</f>
        <v/>
      </c>
      <c r="F62" s="49">
        <f>'JAC'!U20</f>
        <v/>
      </c>
      <c r="G62" s="48">
        <f>'JAC'!AA20</f>
        <v/>
      </c>
      <c r="H62" s="48">
        <f>'JAC'!AB20</f>
        <v/>
      </c>
      <c r="I62" s="49">
        <f>'JAC'!AD20</f>
        <v/>
      </c>
      <c r="J62" s="49">
        <f>'JAC'!AE20</f>
        <v/>
      </c>
    </row>
    <row r="63">
      <c r="A63">
        <f>'KC'!B17</f>
        <v/>
      </c>
      <c r="B63" t="inlineStr">
        <is>
          <t>KC</t>
        </is>
      </c>
      <c r="C63" t="inlineStr">
        <is>
          <t>QB</t>
        </is>
      </c>
      <c r="D63" s="48">
        <f>'KC'!S17</f>
        <v/>
      </c>
      <c r="E63" s="49">
        <f>'KC'!T17</f>
        <v/>
      </c>
      <c r="F63" s="49">
        <f>'KC'!U17</f>
        <v/>
      </c>
      <c r="G63" s="48">
        <f>'KC'!AA17</f>
        <v/>
      </c>
      <c r="H63" s="48">
        <f>'KC'!AB17</f>
        <v/>
      </c>
      <c r="I63" s="49">
        <f>'KC'!AD17</f>
        <v/>
      </c>
      <c r="J63" s="49">
        <f>'KC'!AE17</f>
        <v/>
      </c>
    </row>
    <row r="64">
      <c r="A64">
        <f>'KC'!B18</f>
        <v/>
      </c>
      <c r="B64" t="inlineStr">
        <is>
          <t>KC</t>
        </is>
      </c>
      <c r="C64" t="inlineStr">
        <is>
          <t>QB</t>
        </is>
      </c>
      <c r="D64" s="48">
        <f>'KC'!S18</f>
        <v/>
      </c>
      <c r="E64" s="49">
        <f>'KC'!T18</f>
        <v/>
      </c>
      <c r="F64" s="49">
        <f>'KC'!U18</f>
        <v/>
      </c>
      <c r="G64" s="48">
        <f>'KC'!AA18</f>
        <v/>
      </c>
      <c r="H64" s="48">
        <f>'KC'!AB18</f>
        <v/>
      </c>
      <c r="I64" s="49">
        <f>'KC'!AD18</f>
        <v/>
      </c>
      <c r="J64" s="49">
        <f>'KC'!AE18</f>
        <v/>
      </c>
    </row>
    <row r="65">
      <c r="A65">
        <f>'KC'!B19</f>
        <v/>
      </c>
      <c r="B65" t="inlineStr">
        <is>
          <t>KC</t>
        </is>
      </c>
      <c r="C65" t="inlineStr">
        <is>
          <t>QB</t>
        </is>
      </c>
      <c r="D65" s="48">
        <f>'KC'!S19</f>
        <v/>
      </c>
      <c r="E65" s="49">
        <f>'KC'!T19</f>
        <v/>
      </c>
      <c r="F65" s="49">
        <f>'KC'!U19</f>
        <v/>
      </c>
      <c r="G65" s="48">
        <f>'KC'!AA19</f>
        <v/>
      </c>
      <c r="H65" s="48">
        <f>'KC'!AB19</f>
        <v/>
      </c>
      <c r="I65" s="49">
        <f>'KC'!AD19</f>
        <v/>
      </c>
      <c r="J65" s="49">
        <f>'KC'!AE19</f>
        <v/>
      </c>
    </row>
    <row r="66">
      <c r="A66">
        <f>'KC'!B20</f>
        <v/>
      </c>
      <c r="B66" t="inlineStr">
        <is>
          <t>KC</t>
        </is>
      </c>
      <c r="C66" t="inlineStr">
        <is>
          <t>QB</t>
        </is>
      </c>
      <c r="D66" s="48">
        <f>'KC'!S20</f>
        <v/>
      </c>
      <c r="E66" s="49">
        <f>'KC'!T20</f>
        <v/>
      </c>
      <c r="F66" s="49">
        <f>'KC'!U20</f>
        <v/>
      </c>
      <c r="G66" s="48">
        <f>'KC'!AA20</f>
        <v/>
      </c>
      <c r="H66" s="48">
        <f>'KC'!AB20</f>
        <v/>
      </c>
      <c r="I66" s="49">
        <f>'KC'!AD20</f>
        <v/>
      </c>
      <c r="J66" s="49">
        <f>'KC'!AE20</f>
        <v/>
      </c>
    </row>
    <row r="67">
      <c r="A67">
        <f>'LAC'!B17</f>
        <v/>
      </c>
      <c r="B67" t="inlineStr">
        <is>
          <t>LAC</t>
        </is>
      </c>
      <c r="C67" t="inlineStr">
        <is>
          <t>QB</t>
        </is>
      </c>
      <c r="D67" s="48">
        <f>'LAC'!S17</f>
        <v/>
      </c>
      <c r="E67" s="49">
        <f>'LAC'!T17</f>
        <v/>
      </c>
      <c r="F67" s="49">
        <f>'LAC'!U17</f>
        <v/>
      </c>
      <c r="G67" s="48">
        <f>'LAC'!AA17</f>
        <v/>
      </c>
      <c r="H67" s="48">
        <f>'LAC'!AB17</f>
        <v/>
      </c>
      <c r="I67" s="49">
        <f>'LAC'!AD17</f>
        <v/>
      </c>
      <c r="J67" s="49">
        <f>'LAC'!AE17</f>
        <v/>
      </c>
    </row>
    <row r="68">
      <c r="A68">
        <f>'LAC'!B18</f>
        <v/>
      </c>
      <c r="B68" t="inlineStr">
        <is>
          <t>LAC</t>
        </is>
      </c>
      <c r="C68" t="inlineStr">
        <is>
          <t>QB</t>
        </is>
      </c>
      <c r="D68" s="48">
        <f>'LAC'!S18</f>
        <v/>
      </c>
      <c r="E68" s="49">
        <f>'LAC'!T18</f>
        <v/>
      </c>
      <c r="F68" s="49">
        <f>'LAC'!U18</f>
        <v/>
      </c>
      <c r="G68" s="48">
        <f>'LAC'!AA18</f>
        <v/>
      </c>
      <c r="H68" s="48">
        <f>'LAC'!AB18</f>
        <v/>
      </c>
      <c r="I68" s="49">
        <f>'LAC'!AD18</f>
        <v/>
      </c>
      <c r="J68" s="49">
        <f>'LAC'!AE18</f>
        <v/>
      </c>
    </row>
    <row r="69">
      <c r="A69">
        <f>'LAC'!B19</f>
        <v/>
      </c>
      <c r="B69" t="inlineStr">
        <is>
          <t>LAC</t>
        </is>
      </c>
      <c r="C69" t="inlineStr">
        <is>
          <t>QB</t>
        </is>
      </c>
      <c r="D69" s="48">
        <f>'LAC'!S19</f>
        <v/>
      </c>
      <c r="E69" s="49">
        <f>'LAC'!T19</f>
        <v/>
      </c>
      <c r="F69" s="49">
        <f>'LAC'!U19</f>
        <v/>
      </c>
      <c r="G69" s="48">
        <f>'LAC'!AA19</f>
        <v/>
      </c>
      <c r="H69" s="48">
        <f>'LAC'!AB19</f>
        <v/>
      </c>
      <c r="I69" s="49">
        <f>'LAC'!AD19</f>
        <v/>
      </c>
      <c r="J69" s="49">
        <f>'LAC'!AE19</f>
        <v/>
      </c>
    </row>
    <row r="70">
      <c r="A70">
        <f>'LAC'!B20</f>
        <v/>
      </c>
      <c r="B70" t="inlineStr">
        <is>
          <t>LAC</t>
        </is>
      </c>
      <c r="C70" t="inlineStr">
        <is>
          <t>QB</t>
        </is>
      </c>
      <c r="D70" s="48">
        <f>'LAC'!S20</f>
        <v/>
      </c>
      <c r="E70" s="49">
        <f>'LAC'!T20</f>
        <v/>
      </c>
      <c r="F70" s="49">
        <f>'LAC'!U20</f>
        <v/>
      </c>
      <c r="G70" s="48">
        <f>'LAC'!AA20</f>
        <v/>
      </c>
      <c r="H70" s="48">
        <f>'LAC'!AB20</f>
        <v/>
      </c>
      <c r="I70" s="49">
        <f>'LAC'!AD20</f>
        <v/>
      </c>
      <c r="J70" s="49">
        <f>'LAC'!AE20</f>
        <v/>
      </c>
    </row>
    <row r="71">
      <c r="A71">
        <f>'LAR'!B17</f>
        <v/>
      </c>
      <c r="B71" t="inlineStr">
        <is>
          <t>LAR</t>
        </is>
      </c>
      <c r="C71" t="inlineStr">
        <is>
          <t>QB</t>
        </is>
      </c>
      <c r="D71" s="48">
        <f>'LAR'!S17</f>
        <v/>
      </c>
      <c r="E71" s="49">
        <f>'LAR'!T17</f>
        <v/>
      </c>
      <c r="F71" s="49">
        <f>'LAR'!U17</f>
        <v/>
      </c>
      <c r="G71" s="48">
        <f>'LAR'!AA17</f>
        <v/>
      </c>
      <c r="H71" s="48">
        <f>'LAR'!AB17</f>
        <v/>
      </c>
      <c r="I71" s="49">
        <f>'LAR'!AD17</f>
        <v/>
      </c>
      <c r="J71" s="49">
        <f>'LAR'!AE17</f>
        <v/>
      </c>
    </row>
    <row r="72">
      <c r="A72">
        <f>'LAR'!B18</f>
        <v/>
      </c>
      <c r="B72" t="inlineStr">
        <is>
          <t>LAR</t>
        </is>
      </c>
      <c r="C72" t="inlineStr">
        <is>
          <t>QB</t>
        </is>
      </c>
      <c r="D72" s="48">
        <f>'LAR'!S18</f>
        <v/>
      </c>
      <c r="E72" s="49">
        <f>'LAR'!T18</f>
        <v/>
      </c>
      <c r="F72" s="49">
        <f>'LAR'!U18</f>
        <v/>
      </c>
      <c r="G72" s="48">
        <f>'LAR'!AA18</f>
        <v/>
      </c>
      <c r="H72" s="48">
        <f>'LAR'!AB18</f>
        <v/>
      </c>
      <c r="I72" s="49">
        <f>'LAR'!AD18</f>
        <v/>
      </c>
      <c r="J72" s="49">
        <f>'LAR'!AE18</f>
        <v/>
      </c>
    </row>
    <row r="73">
      <c r="A73">
        <f>'LAR'!B19</f>
        <v/>
      </c>
      <c r="B73" t="inlineStr">
        <is>
          <t>LAR</t>
        </is>
      </c>
      <c r="C73" t="inlineStr">
        <is>
          <t>QB</t>
        </is>
      </c>
      <c r="D73" s="48">
        <f>'LAR'!S19</f>
        <v/>
      </c>
      <c r="E73" s="49">
        <f>'LAR'!T19</f>
        <v/>
      </c>
      <c r="F73" s="49">
        <f>'LAR'!U19</f>
        <v/>
      </c>
      <c r="G73" s="48">
        <f>'LAR'!AA19</f>
        <v/>
      </c>
      <c r="H73" s="48">
        <f>'LAR'!AB19</f>
        <v/>
      </c>
      <c r="I73" s="49">
        <f>'LAR'!AD19</f>
        <v/>
      </c>
      <c r="J73" s="49">
        <f>'LAR'!AE19</f>
        <v/>
      </c>
    </row>
    <row r="74">
      <c r="A74">
        <f>'LAR'!B20</f>
        <v/>
      </c>
      <c r="B74" t="inlineStr">
        <is>
          <t>LAR</t>
        </is>
      </c>
      <c r="C74" t="inlineStr">
        <is>
          <t>QB</t>
        </is>
      </c>
      <c r="D74" s="48">
        <f>'LAR'!S20</f>
        <v/>
      </c>
      <c r="E74" s="49">
        <f>'LAR'!T20</f>
        <v/>
      </c>
      <c r="F74" s="49">
        <f>'LAR'!U20</f>
        <v/>
      </c>
      <c r="G74" s="48">
        <f>'LAR'!AA20</f>
        <v/>
      </c>
      <c r="H74" s="48">
        <f>'LAR'!AB20</f>
        <v/>
      </c>
      <c r="I74" s="49">
        <f>'LAR'!AD20</f>
        <v/>
      </c>
      <c r="J74" s="49">
        <f>'LAR'!AE20</f>
        <v/>
      </c>
    </row>
    <row r="75">
      <c r="A75">
        <f>'LV'!B17</f>
        <v/>
      </c>
      <c r="B75" t="inlineStr">
        <is>
          <t>LV</t>
        </is>
      </c>
      <c r="C75" t="inlineStr">
        <is>
          <t>QB</t>
        </is>
      </c>
      <c r="D75" s="48">
        <f>'LV'!S17</f>
        <v/>
      </c>
      <c r="E75" s="49">
        <f>'LV'!T17</f>
        <v/>
      </c>
      <c r="F75" s="49">
        <f>'LV'!U17</f>
        <v/>
      </c>
      <c r="G75" s="48">
        <f>'LV'!AA17</f>
        <v/>
      </c>
      <c r="H75" s="48">
        <f>'LV'!AB17</f>
        <v/>
      </c>
      <c r="I75" s="49">
        <f>'LV'!AD17</f>
        <v/>
      </c>
      <c r="J75" s="49">
        <f>'LV'!AE17</f>
        <v/>
      </c>
    </row>
    <row r="76">
      <c r="A76">
        <f>'LV'!B18</f>
        <v/>
      </c>
      <c r="B76" t="inlineStr">
        <is>
          <t>LV</t>
        </is>
      </c>
      <c r="C76" t="inlineStr">
        <is>
          <t>QB</t>
        </is>
      </c>
      <c r="D76" s="48">
        <f>'LV'!S18</f>
        <v/>
      </c>
      <c r="E76" s="49">
        <f>'LV'!T18</f>
        <v/>
      </c>
      <c r="F76" s="49">
        <f>'LV'!U18</f>
        <v/>
      </c>
      <c r="G76" s="48">
        <f>'LV'!AA18</f>
        <v/>
      </c>
      <c r="H76" s="48">
        <f>'LV'!AB18</f>
        <v/>
      </c>
      <c r="I76" s="49">
        <f>'LV'!AD18</f>
        <v/>
      </c>
      <c r="J76" s="49">
        <f>'LV'!AE18</f>
        <v/>
      </c>
    </row>
    <row r="77">
      <c r="A77">
        <f>'LV'!B19</f>
        <v/>
      </c>
      <c r="B77" t="inlineStr">
        <is>
          <t>LV</t>
        </is>
      </c>
      <c r="C77" t="inlineStr">
        <is>
          <t>QB</t>
        </is>
      </c>
      <c r="D77" s="48">
        <f>'LV'!S19</f>
        <v/>
      </c>
      <c r="E77" s="49">
        <f>'LV'!T19</f>
        <v/>
      </c>
      <c r="F77" s="49">
        <f>'LV'!U19</f>
        <v/>
      </c>
      <c r="G77" s="48">
        <f>'LV'!AA19</f>
        <v/>
      </c>
      <c r="H77" s="48">
        <f>'LV'!AB19</f>
        <v/>
      </c>
      <c r="I77" s="49">
        <f>'LV'!AD19</f>
        <v/>
      </c>
      <c r="J77" s="49">
        <f>'LV'!AE19</f>
        <v/>
      </c>
    </row>
    <row r="78">
      <c r="A78">
        <f>'LV'!B20</f>
        <v/>
      </c>
      <c r="B78" t="inlineStr">
        <is>
          <t>LV</t>
        </is>
      </c>
      <c r="C78" t="inlineStr">
        <is>
          <t>QB</t>
        </is>
      </c>
      <c r="D78" s="48">
        <f>'LV'!S20</f>
        <v/>
      </c>
      <c r="E78" s="49">
        <f>'LV'!T20</f>
        <v/>
      </c>
      <c r="F78" s="49">
        <f>'LV'!U20</f>
        <v/>
      </c>
      <c r="G78" s="48">
        <f>'LV'!AA20</f>
        <v/>
      </c>
      <c r="H78" s="48">
        <f>'LV'!AB20</f>
        <v/>
      </c>
      <c r="I78" s="49">
        <f>'LV'!AD20</f>
        <v/>
      </c>
      <c r="J78" s="49">
        <f>'LV'!AE20</f>
        <v/>
      </c>
    </row>
    <row r="79">
      <c r="A79">
        <f>'MIA'!B17</f>
        <v/>
      </c>
      <c r="B79" t="inlineStr">
        <is>
          <t>MIA</t>
        </is>
      </c>
      <c r="C79" t="inlineStr">
        <is>
          <t>QB</t>
        </is>
      </c>
      <c r="D79" s="48">
        <f>'MIA'!S17</f>
        <v/>
      </c>
      <c r="E79" s="49">
        <f>'MIA'!T17</f>
        <v/>
      </c>
      <c r="F79" s="49">
        <f>'MIA'!U17</f>
        <v/>
      </c>
      <c r="G79" s="48">
        <f>'MIA'!AA17</f>
        <v/>
      </c>
      <c r="H79" s="48">
        <f>'MIA'!AB17</f>
        <v/>
      </c>
      <c r="I79" s="49">
        <f>'MIA'!AD17</f>
        <v/>
      </c>
      <c r="J79" s="49">
        <f>'MIA'!AE17</f>
        <v/>
      </c>
    </row>
    <row r="80">
      <c r="A80">
        <f>'MIA'!B18</f>
        <v/>
      </c>
      <c r="B80" t="inlineStr">
        <is>
          <t>MIA</t>
        </is>
      </c>
      <c r="C80" t="inlineStr">
        <is>
          <t>QB</t>
        </is>
      </c>
      <c r="D80" s="48">
        <f>'MIA'!S18</f>
        <v/>
      </c>
      <c r="E80" s="49">
        <f>'MIA'!T18</f>
        <v/>
      </c>
      <c r="F80" s="49">
        <f>'MIA'!U18</f>
        <v/>
      </c>
      <c r="G80" s="48">
        <f>'MIA'!AA18</f>
        <v/>
      </c>
      <c r="H80" s="48">
        <f>'MIA'!AB18</f>
        <v/>
      </c>
      <c r="I80" s="49">
        <f>'MIA'!AD18</f>
        <v/>
      </c>
      <c r="J80" s="49">
        <f>'MIA'!AE18</f>
        <v/>
      </c>
    </row>
    <row r="81">
      <c r="A81">
        <f>'MIA'!B19</f>
        <v/>
      </c>
      <c r="B81" t="inlineStr">
        <is>
          <t>MIA</t>
        </is>
      </c>
      <c r="C81" t="inlineStr">
        <is>
          <t>QB</t>
        </is>
      </c>
      <c r="D81" s="48">
        <f>'MIA'!S19</f>
        <v/>
      </c>
      <c r="E81" s="49">
        <f>'MIA'!T19</f>
        <v/>
      </c>
      <c r="F81" s="49">
        <f>'MIA'!U19</f>
        <v/>
      </c>
      <c r="G81" s="48">
        <f>'MIA'!AA19</f>
        <v/>
      </c>
      <c r="H81" s="48">
        <f>'MIA'!AB19</f>
        <v/>
      </c>
      <c r="I81" s="49">
        <f>'MIA'!AD19</f>
        <v/>
      </c>
      <c r="J81" s="49">
        <f>'MIA'!AE19</f>
        <v/>
      </c>
    </row>
    <row r="82">
      <c r="A82">
        <f>'MIA'!B20</f>
        <v/>
      </c>
      <c r="B82" t="inlineStr">
        <is>
          <t>MIA</t>
        </is>
      </c>
      <c r="C82" t="inlineStr">
        <is>
          <t>QB</t>
        </is>
      </c>
      <c r="D82" s="48">
        <f>'MIA'!S20</f>
        <v/>
      </c>
      <c r="E82" s="49">
        <f>'MIA'!T20</f>
        <v/>
      </c>
      <c r="F82" s="49">
        <f>'MIA'!U20</f>
        <v/>
      </c>
      <c r="G82" s="48">
        <f>'MIA'!AA20</f>
        <v/>
      </c>
      <c r="H82" s="48">
        <f>'MIA'!AB20</f>
        <v/>
      </c>
      <c r="I82" s="49">
        <f>'MIA'!AD20</f>
        <v/>
      </c>
      <c r="J82" s="49">
        <f>'MIA'!AE20</f>
        <v/>
      </c>
    </row>
    <row r="83">
      <c r="A83">
        <f>'MIN'!B17</f>
        <v/>
      </c>
      <c r="B83" t="inlineStr">
        <is>
          <t>MIN</t>
        </is>
      </c>
      <c r="C83" t="inlineStr">
        <is>
          <t>QB</t>
        </is>
      </c>
      <c r="D83" s="48">
        <f>'MIN'!S17</f>
        <v/>
      </c>
      <c r="E83" s="49">
        <f>'MIN'!T17</f>
        <v/>
      </c>
      <c r="F83" s="49">
        <f>'MIN'!U17</f>
        <v/>
      </c>
      <c r="G83" s="48">
        <f>'MIN'!AA17</f>
        <v/>
      </c>
      <c r="H83" s="48">
        <f>'MIN'!AB17</f>
        <v/>
      </c>
      <c r="I83" s="49">
        <f>'MIN'!AD17</f>
        <v/>
      </c>
      <c r="J83" s="49">
        <f>'MIN'!AE17</f>
        <v/>
      </c>
    </row>
    <row r="84">
      <c r="A84">
        <f>'MIN'!B18</f>
        <v/>
      </c>
      <c r="B84" t="inlineStr">
        <is>
          <t>MIN</t>
        </is>
      </c>
      <c r="C84" t="inlineStr">
        <is>
          <t>QB</t>
        </is>
      </c>
      <c r="D84" s="48">
        <f>'MIN'!S18</f>
        <v/>
      </c>
      <c r="E84" s="49">
        <f>'MIN'!T18</f>
        <v/>
      </c>
      <c r="F84" s="49">
        <f>'MIN'!U18</f>
        <v/>
      </c>
      <c r="G84" s="48">
        <f>'MIN'!AA18</f>
        <v/>
      </c>
      <c r="H84" s="48">
        <f>'MIN'!AB18</f>
        <v/>
      </c>
      <c r="I84" s="49">
        <f>'MIN'!AD18</f>
        <v/>
      </c>
      <c r="J84" s="49">
        <f>'MIN'!AE18</f>
        <v/>
      </c>
    </row>
    <row r="85">
      <c r="A85">
        <f>'MIN'!B19</f>
        <v/>
      </c>
      <c r="B85" t="inlineStr">
        <is>
          <t>MIN</t>
        </is>
      </c>
      <c r="C85" t="inlineStr">
        <is>
          <t>QB</t>
        </is>
      </c>
      <c r="D85" s="48">
        <f>'MIN'!S19</f>
        <v/>
      </c>
      <c r="E85" s="49">
        <f>'MIN'!T19</f>
        <v/>
      </c>
      <c r="F85" s="49">
        <f>'MIN'!U19</f>
        <v/>
      </c>
      <c r="G85" s="48">
        <f>'MIN'!AA19</f>
        <v/>
      </c>
      <c r="H85" s="48">
        <f>'MIN'!AB19</f>
        <v/>
      </c>
      <c r="I85" s="49">
        <f>'MIN'!AD19</f>
        <v/>
      </c>
      <c r="J85" s="49">
        <f>'MIN'!AE19</f>
        <v/>
      </c>
    </row>
    <row r="86">
      <c r="A86">
        <f>'MIN'!B20</f>
        <v/>
      </c>
      <c r="B86" t="inlineStr">
        <is>
          <t>MIN</t>
        </is>
      </c>
      <c r="C86" t="inlineStr">
        <is>
          <t>QB</t>
        </is>
      </c>
      <c r="D86" s="48">
        <f>'MIN'!S20</f>
        <v/>
      </c>
      <c r="E86" s="49">
        <f>'MIN'!T20</f>
        <v/>
      </c>
      <c r="F86" s="49">
        <f>'MIN'!U20</f>
        <v/>
      </c>
      <c r="G86" s="48">
        <f>'MIN'!AA20</f>
        <v/>
      </c>
      <c r="H86" s="48">
        <f>'MIN'!AB20</f>
        <v/>
      </c>
      <c r="I86" s="49">
        <f>'MIN'!AD20</f>
        <v/>
      </c>
      <c r="J86" s="49">
        <f>'MIN'!AE20</f>
        <v/>
      </c>
    </row>
    <row r="87">
      <c r="A87">
        <f>'NE'!B17</f>
        <v/>
      </c>
      <c r="B87" t="inlineStr">
        <is>
          <t>NE</t>
        </is>
      </c>
      <c r="C87" t="inlineStr">
        <is>
          <t>QB</t>
        </is>
      </c>
      <c r="D87" s="48">
        <f>'NE'!S17</f>
        <v/>
      </c>
      <c r="E87" s="49">
        <f>'NE'!T17</f>
        <v/>
      </c>
      <c r="F87" s="49">
        <f>'NE'!U17</f>
        <v/>
      </c>
      <c r="G87" s="48">
        <f>'NE'!AA17</f>
        <v/>
      </c>
      <c r="H87" s="48">
        <f>'NE'!AB17</f>
        <v/>
      </c>
      <c r="I87" s="49">
        <f>'NE'!AD17</f>
        <v/>
      </c>
      <c r="J87" s="49">
        <f>'NE'!AE17</f>
        <v/>
      </c>
    </row>
    <row r="88">
      <c r="A88">
        <f>'NE'!B18</f>
        <v/>
      </c>
      <c r="B88" t="inlineStr">
        <is>
          <t>NE</t>
        </is>
      </c>
      <c r="C88" t="inlineStr">
        <is>
          <t>QB</t>
        </is>
      </c>
      <c r="D88" s="48">
        <f>'NE'!S18</f>
        <v/>
      </c>
      <c r="E88" s="49">
        <f>'NE'!T18</f>
        <v/>
      </c>
      <c r="F88" s="49">
        <f>'NE'!U18</f>
        <v/>
      </c>
      <c r="G88" s="48">
        <f>'NE'!AA18</f>
        <v/>
      </c>
      <c r="H88" s="48">
        <f>'NE'!AB18</f>
        <v/>
      </c>
      <c r="I88" s="49">
        <f>'NE'!AD18</f>
        <v/>
      </c>
      <c r="J88" s="49">
        <f>'NE'!AE18</f>
        <v/>
      </c>
    </row>
    <row r="89">
      <c r="A89">
        <f>'NE'!B19</f>
        <v/>
      </c>
      <c r="B89" t="inlineStr">
        <is>
          <t>NE</t>
        </is>
      </c>
      <c r="C89" t="inlineStr">
        <is>
          <t>QB</t>
        </is>
      </c>
      <c r="D89" s="48">
        <f>'NE'!S19</f>
        <v/>
      </c>
      <c r="E89" s="49">
        <f>'NE'!T19</f>
        <v/>
      </c>
      <c r="F89" s="49">
        <f>'NE'!U19</f>
        <v/>
      </c>
      <c r="G89" s="48">
        <f>'NE'!AA19</f>
        <v/>
      </c>
      <c r="H89" s="48">
        <f>'NE'!AB19</f>
        <v/>
      </c>
      <c r="I89" s="49">
        <f>'NE'!AD19</f>
        <v/>
      </c>
      <c r="J89" s="49">
        <f>'NE'!AE19</f>
        <v/>
      </c>
    </row>
    <row r="90">
      <c r="A90">
        <f>'NE'!B20</f>
        <v/>
      </c>
      <c r="B90" t="inlineStr">
        <is>
          <t>NE</t>
        </is>
      </c>
      <c r="C90" t="inlineStr">
        <is>
          <t>QB</t>
        </is>
      </c>
      <c r="D90" s="48">
        <f>'NE'!S20</f>
        <v/>
      </c>
      <c r="E90" s="49">
        <f>'NE'!T20</f>
        <v/>
      </c>
      <c r="F90" s="49">
        <f>'NE'!U20</f>
        <v/>
      </c>
      <c r="G90" s="48">
        <f>'NE'!AA20</f>
        <v/>
      </c>
      <c r="H90" s="48">
        <f>'NE'!AB20</f>
        <v/>
      </c>
      <c r="I90" s="49">
        <f>'NE'!AD20</f>
        <v/>
      </c>
      <c r="J90" s="49">
        <f>'NE'!AE20</f>
        <v/>
      </c>
    </row>
    <row r="91">
      <c r="A91">
        <f>'NO'!B17</f>
        <v/>
      </c>
      <c r="B91" t="inlineStr">
        <is>
          <t>NO</t>
        </is>
      </c>
      <c r="C91" t="inlineStr">
        <is>
          <t>QB</t>
        </is>
      </c>
      <c r="D91" s="48">
        <f>'NO'!S17</f>
        <v/>
      </c>
      <c r="E91" s="49">
        <f>'NO'!T17</f>
        <v/>
      </c>
      <c r="F91" s="49">
        <f>'NO'!U17</f>
        <v/>
      </c>
      <c r="G91" s="48">
        <f>'NO'!AA17</f>
        <v/>
      </c>
      <c r="H91" s="48">
        <f>'NO'!AB17</f>
        <v/>
      </c>
      <c r="I91" s="49">
        <f>'NO'!AD17</f>
        <v/>
      </c>
      <c r="J91" s="49">
        <f>'NO'!AE17</f>
        <v/>
      </c>
    </row>
    <row r="92">
      <c r="A92">
        <f>'NO'!B18</f>
        <v/>
      </c>
      <c r="B92" t="inlineStr">
        <is>
          <t>NO</t>
        </is>
      </c>
      <c r="C92" t="inlineStr">
        <is>
          <t>QB</t>
        </is>
      </c>
      <c r="D92" s="48">
        <f>'NO'!S18</f>
        <v/>
      </c>
      <c r="E92" s="49">
        <f>'NO'!T18</f>
        <v/>
      </c>
      <c r="F92" s="49">
        <f>'NO'!U18</f>
        <v/>
      </c>
      <c r="G92" s="48">
        <f>'NO'!AA18</f>
        <v/>
      </c>
      <c r="H92" s="48">
        <f>'NO'!AB18</f>
        <v/>
      </c>
      <c r="I92" s="49">
        <f>'NO'!AD18</f>
        <v/>
      </c>
      <c r="J92" s="49">
        <f>'NO'!AE18</f>
        <v/>
      </c>
    </row>
    <row r="93">
      <c r="A93">
        <f>'NO'!B19</f>
        <v/>
      </c>
      <c r="B93" t="inlineStr">
        <is>
          <t>NO</t>
        </is>
      </c>
      <c r="C93" t="inlineStr">
        <is>
          <t>QB</t>
        </is>
      </c>
      <c r="D93" s="48">
        <f>'NO'!S19</f>
        <v/>
      </c>
      <c r="E93" s="49">
        <f>'NO'!T19</f>
        <v/>
      </c>
      <c r="F93" s="49">
        <f>'NO'!U19</f>
        <v/>
      </c>
      <c r="G93" s="48">
        <f>'NO'!AA19</f>
        <v/>
      </c>
      <c r="H93" s="48">
        <f>'NO'!AB19</f>
        <v/>
      </c>
      <c r="I93" s="49">
        <f>'NO'!AD19</f>
        <v/>
      </c>
      <c r="J93" s="49">
        <f>'NO'!AE19</f>
        <v/>
      </c>
    </row>
    <row r="94">
      <c r="A94">
        <f>'NO'!B20</f>
        <v/>
      </c>
      <c r="B94" t="inlineStr">
        <is>
          <t>NO</t>
        </is>
      </c>
      <c r="C94" t="inlineStr">
        <is>
          <t>QB</t>
        </is>
      </c>
      <c r="D94" s="48">
        <f>'NO'!S20</f>
        <v/>
      </c>
      <c r="E94" s="49">
        <f>'NO'!T20</f>
        <v/>
      </c>
      <c r="F94" s="49">
        <f>'NO'!U20</f>
        <v/>
      </c>
      <c r="G94" s="48">
        <f>'NO'!AA20</f>
        <v/>
      </c>
      <c r="H94" s="48">
        <f>'NO'!AB20</f>
        <v/>
      </c>
      <c r="I94" s="49">
        <f>'NO'!AD20</f>
        <v/>
      </c>
      <c r="J94" s="49">
        <f>'NO'!AE20</f>
        <v/>
      </c>
    </row>
    <row r="95">
      <c r="A95">
        <f>'NYG'!B17</f>
        <v/>
      </c>
      <c r="B95" t="inlineStr">
        <is>
          <t>NYG</t>
        </is>
      </c>
      <c r="C95" t="inlineStr">
        <is>
          <t>QB</t>
        </is>
      </c>
      <c r="D95" s="48">
        <f>'NYG'!S17</f>
        <v/>
      </c>
      <c r="E95" s="49">
        <f>'NYG'!T17</f>
        <v/>
      </c>
      <c r="F95" s="49">
        <f>'NYG'!U17</f>
        <v/>
      </c>
      <c r="G95" s="48">
        <f>'NYG'!AA17</f>
        <v/>
      </c>
      <c r="H95" s="48">
        <f>'NYG'!AB17</f>
        <v/>
      </c>
      <c r="I95" s="49">
        <f>'NYG'!AD17</f>
        <v/>
      </c>
      <c r="J95" s="49">
        <f>'NYG'!AE17</f>
        <v/>
      </c>
    </row>
    <row r="96">
      <c r="A96">
        <f>'NYG'!B18</f>
        <v/>
      </c>
      <c r="B96" t="inlineStr">
        <is>
          <t>NYG</t>
        </is>
      </c>
      <c r="C96" t="inlineStr">
        <is>
          <t>QB</t>
        </is>
      </c>
      <c r="D96" s="48">
        <f>'NYG'!S18</f>
        <v/>
      </c>
      <c r="E96" s="49">
        <f>'NYG'!T18</f>
        <v/>
      </c>
      <c r="F96" s="49">
        <f>'NYG'!U18</f>
        <v/>
      </c>
      <c r="G96" s="48">
        <f>'NYG'!AA18</f>
        <v/>
      </c>
      <c r="H96" s="48">
        <f>'NYG'!AB18</f>
        <v/>
      </c>
      <c r="I96" s="49">
        <f>'NYG'!AD18</f>
        <v/>
      </c>
      <c r="J96" s="49">
        <f>'NYG'!AE18</f>
        <v/>
      </c>
    </row>
    <row r="97">
      <c r="A97">
        <f>'NYG'!B19</f>
        <v/>
      </c>
      <c r="B97" t="inlineStr">
        <is>
          <t>NYG</t>
        </is>
      </c>
      <c r="C97" t="inlineStr">
        <is>
          <t>QB</t>
        </is>
      </c>
      <c r="D97" s="48">
        <f>'NYG'!S19</f>
        <v/>
      </c>
      <c r="E97" s="49">
        <f>'NYG'!T19</f>
        <v/>
      </c>
      <c r="F97" s="49">
        <f>'NYG'!U19</f>
        <v/>
      </c>
      <c r="G97" s="48">
        <f>'NYG'!AA19</f>
        <v/>
      </c>
      <c r="H97" s="48">
        <f>'NYG'!AB19</f>
        <v/>
      </c>
      <c r="I97" s="49">
        <f>'NYG'!AD19</f>
        <v/>
      </c>
      <c r="J97" s="49">
        <f>'NYG'!AE19</f>
        <v/>
      </c>
    </row>
    <row r="98">
      <c r="A98">
        <f>'NYG'!B20</f>
        <v/>
      </c>
      <c r="B98" t="inlineStr">
        <is>
          <t>NYG</t>
        </is>
      </c>
      <c r="C98" t="inlineStr">
        <is>
          <t>QB</t>
        </is>
      </c>
      <c r="D98" s="48">
        <f>'NYG'!S20</f>
        <v/>
      </c>
      <c r="E98" s="49">
        <f>'NYG'!T20</f>
        <v/>
      </c>
      <c r="F98" s="49">
        <f>'NYG'!U20</f>
        <v/>
      </c>
      <c r="G98" s="48">
        <f>'NYG'!AA20</f>
        <v/>
      </c>
      <c r="H98" s="48">
        <f>'NYG'!AB20</f>
        <v/>
      </c>
      <c r="I98" s="49">
        <f>'NYG'!AD20</f>
        <v/>
      </c>
      <c r="J98" s="49">
        <f>'NYG'!AE20</f>
        <v/>
      </c>
    </row>
    <row r="99">
      <c r="A99">
        <f>'NYJ'!B17</f>
        <v/>
      </c>
      <c r="B99" t="inlineStr">
        <is>
          <t>NYJ</t>
        </is>
      </c>
      <c r="C99" t="inlineStr">
        <is>
          <t>QB</t>
        </is>
      </c>
      <c r="D99" s="48">
        <f>'NYJ'!S17</f>
        <v/>
      </c>
      <c r="E99" s="49">
        <f>'NYJ'!T17</f>
        <v/>
      </c>
      <c r="F99" s="49">
        <f>'NYJ'!U17</f>
        <v/>
      </c>
      <c r="G99" s="48">
        <f>'NYJ'!AA17</f>
        <v/>
      </c>
      <c r="H99" s="48">
        <f>'NYJ'!AB17</f>
        <v/>
      </c>
      <c r="I99" s="49">
        <f>'NYJ'!AD17</f>
        <v/>
      </c>
      <c r="J99" s="49">
        <f>'NYJ'!AE17</f>
        <v/>
      </c>
    </row>
    <row r="100">
      <c r="A100">
        <f>'NYJ'!B18</f>
        <v/>
      </c>
      <c r="B100" t="inlineStr">
        <is>
          <t>NYJ</t>
        </is>
      </c>
      <c r="C100" t="inlineStr">
        <is>
          <t>QB</t>
        </is>
      </c>
      <c r="D100" s="48">
        <f>'NYJ'!S18</f>
        <v/>
      </c>
      <c r="E100" s="49">
        <f>'NYJ'!T18</f>
        <v/>
      </c>
      <c r="F100" s="49">
        <f>'NYJ'!U18</f>
        <v/>
      </c>
      <c r="G100" s="48">
        <f>'NYJ'!AA18</f>
        <v/>
      </c>
      <c r="H100" s="48">
        <f>'NYJ'!AB18</f>
        <v/>
      </c>
      <c r="I100" s="49">
        <f>'NYJ'!AD18</f>
        <v/>
      </c>
      <c r="J100" s="49">
        <f>'NYJ'!AE18</f>
        <v/>
      </c>
    </row>
    <row r="101">
      <c r="A101">
        <f>'NYJ'!B19</f>
        <v/>
      </c>
      <c r="B101" t="inlineStr">
        <is>
          <t>NYJ</t>
        </is>
      </c>
      <c r="C101" t="inlineStr">
        <is>
          <t>QB</t>
        </is>
      </c>
      <c r="D101" s="48">
        <f>'NYJ'!S19</f>
        <v/>
      </c>
      <c r="E101" s="49">
        <f>'NYJ'!T19</f>
        <v/>
      </c>
      <c r="F101" s="49">
        <f>'NYJ'!U19</f>
        <v/>
      </c>
      <c r="G101" s="48">
        <f>'NYJ'!AA19</f>
        <v/>
      </c>
      <c r="H101" s="48">
        <f>'NYJ'!AB19</f>
        <v/>
      </c>
      <c r="I101" s="49">
        <f>'NYJ'!AD19</f>
        <v/>
      </c>
      <c r="J101" s="49">
        <f>'NYJ'!AE19</f>
        <v/>
      </c>
    </row>
    <row r="102">
      <c r="A102">
        <f>'NYJ'!B20</f>
        <v/>
      </c>
      <c r="B102" t="inlineStr">
        <is>
          <t>NYJ</t>
        </is>
      </c>
      <c r="C102" t="inlineStr">
        <is>
          <t>QB</t>
        </is>
      </c>
      <c r="D102" s="48">
        <f>'NYJ'!S20</f>
        <v/>
      </c>
      <c r="E102" s="49">
        <f>'NYJ'!T20</f>
        <v/>
      </c>
      <c r="F102" s="49">
        <f>'NYJ'!U20</f>
        <v/>
      </c>
      <c r="G102" s="48">
        <f>'NYJ'!AA20</f>
        <v/>
      </c>
      <c r="H102" s="48">
        <f>'NYJ'!AB20</f>
        <v/>
      </c>
      <c r="I102" s="49">
        <f>'NYJ'!AD20</f>
        <v/>
      </c>
      <c r="J102" s="49">
        <f>'NYJ'!AE20</f>
        <v/>
      </c>
    </row>
    <row r="103">
      <c r="A103">
        <f>'PHI'!B17</f>
        <v/>
      </c>
      <c r="B103" t="inlineStr">
        <is>
          <t>PHI</t>
        </is>
      </c>
      <c r="C103" t="inlineStr">
        <is>
          <t>QB</t>
        </is>
      </c>
      <c r="D103" s="48">
        <f>'PHI'!S17</f>
        <v/>
      </c>
      <c r="E103" s="49">
        <f>'PHI'!T17</f>
        <v/>
      </c>
      <c r="F103" s="49">
        <f>'PHI'!U17</f>
        <v/>
      </c>
      <c r="G103" s="48">
        <f>'PHI'!AA17</f>
        <v/>
      </c>
      <c r="H103" s="48">
        <f>'PHI'!AB17</f>
        <v/>
      </c>
      <c r="I103" s="49">
        <f>'PHI'!AD17</f>
        <v/>
      </c>
      <c r="J103" s="49">
        <f>'PHI'!AE17</f>
        <v/>
      </c>
    </row>
    <row r="104">
      <c r="A104">
        <f>'PHI'!B18</f>
        <v/>
      </c>
      <c r="B104" t="inlineStr">
        <is>
          <t>PHI</t>
        </is>
      </c>
      <c r="C104" t="inlineStr">
        <is>
          <t>QB</t>
        </is>
      </c>
      <c r="D104" s="48">
        <f>'PHI'!S18</f>
        <v/>
      </c>
      <c r="E104" s="49">
        <f>'PHI'!T18</f>
        <v/>
      </c>
      <c r="F104" s="49">
        <f>'PHI'!U18</f>
        <v/>
      </c>
      <c r="G104" s="48">
        <f>'PHI'!AA18</f>
        <v/>
      </c>
      <c r="H104" s="48">
        <f>'PHI'!AB18</f>
        <v/>
      </c>
      <c r="I104" s="49">
        <f>'PHI'!AD18</f>
        <v/>
      </c>
      <c r="J104" s="49">
        <f>'PHI'!AE18</f>
        <v/>
      </c>
    </row>
    <row r="105">
      <c r="A105">
        <f>'PHI'!B19</f>
        <v/>
      </c>
      <c r="B105" t="inlineStr">
        <is>
          <t>PHI</t>
        </is>
      </c>
      <c r="C105" t="inlineStr">
        <is>
          <t>QB</t>
        </is>
      </c>
      <c r="D105" s="48">
        <f>'PHI'!S19</f>
        <v/>
      </c>
      <c r="E105" s="49">
        <f>'PHI'!T19</f>
        <v/>
      </c>
      <c r="F105" s="49">
        <f>'PHI'!U19</f>
        <v/>
      </c>
      <c r="G105" s="48">
        <f>'PHI'!AA19</f>
        <v/>
      </c>
      <c r="H105" s="48">
        <f>'PHI'!AB19</f>
        <v/>
      </c>
      <c r="I105" s="49">
        <f>'PHI'!AD19</f>
        <v/>
      </c>
      <c r="J105" s="49">
        <f>'PHI'!AE19</f>
        <v/>
      </c>
    </row>
    <row r="106">
      <c r="A106">
        <f>'PHI'!B20</f>
        <v/>
      </c>
      <c r="B106" t="inlineStr">
        <is>
          <t>PHI</t>
        </is>
      </c>
      <c r="C106" t="inlineStr">
        <is>
          <t>QB</t>
        </is>
      </c>
      <c r="D106" s="48">
        <f>'PHI'!S20</f>
        <v/>
      </c>
      <c r="E106" s="49">
        <f>'PHI'!T20</f>
        <v/>
      </c>
      <c r="F106" s="49">
        <f>'PHI'!U20</f>
        <v/>
      </c>
      <c r="G106" s="48">
        <f>'PHI'!AA20</f>
        <v/>
      </c>
      <c r="H106" s="48">
        <f>'PHI'!AB20</f>
        <v/>
      </c>
      <c r="I106" s="49">
        <f>'PHI'!AD20</f>
        <v/>
      </c>
      <c r="J106" s="49">
        <f>'PHI'!AE20</f>
        <v/>
      </c>
    </row>
    <row r="107">
      <c r="A107">
        <f>'PIT'!B17</f>
        <v/>
      </c>
      <c r="B107" t="inlineStr">
        <is>
          <t>PIT</t>
        </is>
      </c>
      <c r="C107" t="inlineStr">
        <is>
          <t>QB</t>
        </is>
      </c>
      <c r="D107" s="48">
        <f>'PIT'!S17</f>
        <v/>
      </c>
      <c r="E107" s="49">
        <f>'PIT'!T17</f>
        <v/>
      </c>
      <c r="F107" s="49">
        <f>'PIT'!U17</f>
        <v/>
      </c>
      <c r="G107" s="48">
        <f>'PIT'!AA17</f>
        <v/>
      </c>
      <c r="H107" s="48">
        <f>'PIT'!AB17</f>
        <v/>
      </c>
      <c r="I107" s="49">
        <f>'PIT'!AD17</f>
        <v/>
      </c>
      <c r="J107" s="49">
        <f>'PIT'!AE17</f>
        <v/>
      </c>
    </row>
    <row r="108">
      <c r="A108">
        <f>'PIT'!B18</f>
        <v/>
      </c>
      <c r="B108" t="inlineStr">
        <is>
          <t>PIT</t>
        </is>
      </c>
      <c r="C108" t="inlineStr">
        <is>
          <t>QB</t>
        </is>
      </c>
      <c r="D108" s="48">
        <f>'PIT'!S18</f>
        <v/>
      </c>
      <c r="E108" s="49">
        <f>'PIT'!T18</f>
        <v/>
      </c>
      <c r="F108" s="49">
        <f>'PIT'!U18</f>
        <v/>
      </c>
      <c r="G108" s="48">
        <f>'PIT'!AA18</f>
        <v/>
      </c>
      <c r="H108" s="48">
        <f>'PIT'!AB18</f>
        <v/>
      </c>
      <c r="I108" s="49">
        <f>'PIT'!AD18</f>
        <v/>
      </c>
      <c r="J108" s="49">
        <f>'PIT'!AE18</f>
        <v/>
      </c>
    </row>
    <row r="109">
      <c r="A109">
        <f>'PIT'!B19</f>
        <v/>
      </c>
      <c r="B109" t="inlineStr">
        <is>
          <t>PIT</t>
        </is>
      </c>
      <c r="C109" t="inlineStr">
        <is>
          <t>QB</t>
        </is>
      </c>
      <c r="D109" s="48">
        <f>'PIT'!S19</f>
        <v/>
      </c>
      <c r="E109" s="49">
        <f>'PIT'!T19</f>
        <v/>
      </c>
      <c r="F109" s="49">
        <f>'PIT'!U19</f>
        <v/>
      </c>
      <c r="G109" s="48">
        <f>'PIT'!AA19</f>
        <v/>
      </c>
      <c r="H109" s="48">
        <f>'PIT'!AB19</f>
        <v/>
      </c>
      <c r="I109" s="49">
        <f>'PIT'!AD19</f>
        <v/>
      </c>
      <c r="J109" s="49">
        <f>'PIT'!AE19</f>
        <v/>
      </c>
    </row>
    <row r="110">
      <c r="A110">
        <f>'PIT'!B20</f>
        <v/>
      </c>
      <c r="B110" t="inlineStr">
        <is>
          <t>PIT</t>
        </is>
      </c>
      <c r="C110" t="inlineStr">
        <is>
          <t>QB</t>
        </is>
      </c>
      <c r="D110" s="48">
        <f>'PIT'!S20</f>
        <v/>
      </c>
      <c r="E110" s="49">
        <f>'PIT'!T20</f>
        <v/>
      </c>
      <c r="F110" s="49">
        <f>'PIT'!U20</f>
        <v/>
      </c>
      <c r="G110" s="48">
        <f>'PIT'!AA20</f>
        <v/>
      </c>
      <c r="H110" s="48">
        <f>'PIT'!AB20</f>
        <v/>
      </c>
      <c r="I110" s="49">
        <f>'PIT'!AD20</f>
        <v/>
      </c>
      <c r="J110" s="49">
        <f>'PIT'!AE20</f>
        <v/>
      </c>
    </row>
    <row r="111">
      <c r="A111">
        <f>'SEA'!B17</f>
        <v/>
      </c>
      <c r="B111" t="inlineStr">
        <is>
          <t>SEA</t>
        </is>
      </c>
      <c r="C111" t="inlineStr">
        <is>
          <t>QB</t>
        </is>
      </c>
      <c r="D111" s="48">
        <f>'SEA'!S17</f>
        <v/>
      </c>
      <c r="E111" s="49">
        <f>'SEA'!T17</f>
        <v/>
      </c>
      <c r="F111" s="49">
        <f>'SEA'!U17</f>
        <v/>
      </c>
      <c r="G111" s="48">
        <f>'SEA'!AA17</f>
        <v/>
      </c>
      <c r="H111" s="48">
        <f>'SEA'!AB17</f>
        <v/>
      </c>
      <c r="I111" s="49">
        <f>'SEA'!AD17</f>
        <v/>
      </c>
      <c r="J111" s="49">
        <f>'SEA'!AE17</f>
        <v/>
      </c>
    </row>
    <row r="112">
      <c r="A112">
        <f>'SEA'!B18</f>
        <v/>
      </c>
      <c r="B112" t="inlineStr">
        <is>
          <t>SEA</t>
        </is>
      </c>
      <c r="C112" t="inlineStr">
        <is>
          <t>QB</t>
        </is>
      </c>
      <c r="D112" s="48">
        <f>'SEA'!S18</f>
        <v/>
      </c>
      <c r="E112" s="49">
        <f>'SEA'!T18</f>
        <v/>
      </c>
      <c r="F112" s="49">
        <f>'SEA'!U18</f>
        <v/>
      </c>
      <c r="G112" s="48">
        <f>'SEA'!AA18</f>
        <v/>
      </c>
      <c r="H112" s="48">
        <f>'SEA'!AB18</f>
        <v/>
      </c>
      <c r="I112" s="49">
        <f>'SEA'!AD18</f>
        <v/>
      </c>
      <c r="J112" s="49">
        <f>'SEA'!AE18</f>
        <v/>
      </c>
    </row>
    <row r="113">
      <c r="A113">
        <f>'SEA'!B19</f>
        <v/>
      </c>
      <c r="B113" t="inlineStr">
        <is>
          <t>SEA</t>
        </is>
      </c>
      <c r="C113" t="inlineStr">
        <is>
          <t>QB</t>
        </is>
      </c>
      <c r="D113" s="48">
        <f>'SEA'!S19</f>
        <v/>
      </c>
      <c r="E113" s="49">
        <f>'SEA'!T19</f>
        <v/>
      </c>
      <c r="F113" s="49">
        <f>'SEA'!U19</f>
        <v/>
      </c>
      <c r="G113" s="48">
        <f>'SEA'!AA19</f>
        <v/>
      </c>
      <c r="H113" s="48">
        <f>'SEA'!AB19</f>
        <v/>
      </c>
      <c r="I113" s="49">
        <f>'SEA'!AD19</f>
        <v/>
      </c>
      <c r="J113" s="49">
        <f>'SEA'!AE19</f>
        <v/>
      </c>
    </row>
    <row r="114">
      <c r="A114">
        <f>'SEA'!B20</f>
        <v/>
      </c>
      <c r="B114" t="inlineStr">
        <is>
          <t>SEA</t>
        </is>
      </c>
      <c r="C114" t="inlineStr">
        <is>
          <t>QB</t>
        </is>
      </c>
      <c r="D114" s="48">
        <f>'SEA'!S20</f>
        <v/>
      </c>
      <c r="E114" s="49">
        <f>'SEA'!T20</f>
        <v/>
      </c>
      <c r="F114" s="49">
        <f>'SEA'!U20</f>
        <v/>
      </c>
      <c r="G114" s="48">
        <f>'SEA'!AA20</f>
        <v/>
      </c>
      <c r="H114" s="48">
        <f>'SEA'!AB20</f>
        <v/>
      </c>
      <c r="I114" s="49">
        <f>'SEA'!AD20</f>
        <v/>
      </c>
      <c r="J114" s="49">
        <f>'SEA'!AE20</f>
        <v/>
      </c>
    </row>
    <row r="115">
      <c r="A115">
        <f>'SF'!B17</f>
        <v/>
      </c>
      <c r="B115" t="inlineStr">
        <is>
          <t>SF</t>
        </is>
      </c>
      <c r="C115" t="inlineStr">
        <is>
          <t>QB</t>
        </is>
      </c>
      <c r="D115" s="48">
        <f>'SF'!S17</f>
        <v/>
      </c>
      <c r="E115" s="49">
        <f>'SF'!T17</f>
        <v/>
      </c>
      <c r="F115" s="49">
        <f>'SF'!U17</f>
        <v/>
      </c>
      <c r="G115" s="48">
        <f>'SF'!AA17</f>
        <v/>
      </c>
      <c r="H115" s="48">
        <f>'SF'!AB17</f>
        <v/>
      </c>
      <c r="I115" s="49">
        <f>'SF'!AD17</f>
        <v/>
      </c>
      <c r="J115" s="49">
        <f>'SF'!AE17</f>
        <v/>
      </c>
    </row>
    <row r="116">
      <c r="A116">
        <f>'SF'!B18</f>
        <v/>
      </c>
      <c r="B116" t="inlineStr">
        <is>
          <t>SF</t>
        </is>
      </c>
      <c r="C116" t="inlineStr">
        <is>
          <t>QB</t>
        </is>
      </c>
      <c r="D116" s="48">
        <f>'SF'!S18</f>
        <v/>
      </c>
      <c r="E116" s="49">
        <f>'SF'!T18</f>
        <v/>
      </c>
      <c r="F116" s="49">
        <f>'SF'!U18</f>
        <v/>
      </c>
      <c r="G116" s="48">
        <f>'SF'!AA18</f>
        <v/>
      </c>
      <c r="H116" s="48">
        <f>'SF'!AB18</f>
        <v/>
      </c>
      <c r="I116" s="49">
        <f>'SF'!AD18</f>
        <v/>
      </c>
      <c r="J116" s="49">
        <f>'SF'!AE18</f>
        <v/>
      </c>
    </row>
    <row r="117">
      <c r="A117">
        <f>'SF'!B19</f>
        <v/>
      </c>
      <c r="B117" t="inlineStr">
        <is>
          <t>SF</t>
        </is>
      </c>
      <c r="C117" t="inlineStr">
        <is>
          <t>QB</t>
        </is>
      </c>
      <c r="D117" s="48">
        <f>'SF'!S19</f>
        <v/>
      </c>
      <c r="E117" s="49">
        <f>'SF'!T19</f>
        <v/>
      </c>
      <c r="F117" s="49">
        <f>'SF'!U19</f>
        <v/>
      </c>
      <c r="G117" s="48">
        <f>'SF'!AA19</f>
        <v/>
      </c>
      <c r="H117" s="48">
        <f>'SF'!AB19</f>
        <v/>
      </c>
      <c r="I117" s="49">
        <f>'SF'!AD19</f>
        <v/>
      </c>
      <c r="J117" s="49">
        <f>'SF'!AE19</f>
        <v/>
      </c>
    </row>
    <row r="118">
      <c r="A118">
        <f>'SF'!B20</f>
        <v/>
      </c>
      <c r="B118" t="inlineStr">
        <is>
          <t>SF</t>
        </is>
      </c>
      <c r="C118" t="inlineStr">
        <is>
          <t>QB</t>
        </is>
      </c>
      <c r="D118" s="48">
        <f>'SF'!S20</f>
        <v/>
      </c>
      <c r="E118" s="49">
        <f>'SF'!T20</f>
        <v/>
      </c>
      <c r="F118" s="49">
        <f>'SF'!U20</f>
        <v/>
      </c>
      <c r="G118" s="48">
        <f>'SF'!AA20</f>
        <v/>
      </c>
      <c r="H118" s="48">
        <f>'SF'!AB20</f>
        <v/>
      </c>
      <c r="I118" s="49">
        <f>'SF'!AD20</f>
        <v/>
      </c>
      <c r="J118" s="49">
        <f>'SF'!AE20</f>
        <v/>
      </c>
    </row>
    <row r="119">
      <c r="A119">
        <f>'TB'!B17</f>
        <v/>
      </c>
      <c r="B119" t="inlineStr">
        <is>
          <t>TB</t>
        </is>
      </c>
      <c r="C119" t="inlineStr">
        <is>
          <t>QB</t>
        </is>
      </c>
      <c r="D119" s="48">
        <f>'TB'!S17</f>
        <v/>
      </c>
      <c r="E119" s="49">
        <f>'TB'!T17</f>
        <v/>
      </c>
      <c r="F119" s="49">
        <f>'TB'!U17</f>
        <v/>
      </c>
      <c r="G119" s="48">
        <f>'TB'!AA17</f>
        <v/>
      </c>
      <c r="H119" s="48">
        <f>'TB'!AB17</f>
        <v/>
      </c>
      <c r="I119" s="49">
        <f>'TB'!AD17</f>
        <v/>
      </c>
      <c r="J119" s="49">
        <f>'TB'!AE17</f>
        <v/>
      </c>
    </row>
    <row r="120">
      <c r="A120">
        <f>'TB'!B18</f>
        <v/>
      </c>
      <c r="B120" t="inlineStr">
        <is>
          <t>TB</t>
        </is>
      </c>
      <c r="C120" t="inlineStr">
        <is>
          <t>QB</t>
        </is>
      </c>
      <c r="D120" s="48">
        <f>'TB'!S18</f>
        <v/>
      </c>
      <c r="E120" s="49">
        <f>'TB'!T18</f>
        <v/>
      </c>
      <c r="F120" s="49">
        <f>'TB'!U18</f>
        <v/>
      </c>
      <c r="G120" s="48">
        <f>'TB'!AA18</f>
        <v/>
      </c>
      <c r="H120" s="48">
        <f>'TB'!AB18</f>
        <v/>
      </c>
      <c r="I120" s="49">
        <f>'TB'!AD18</f>
        <v/>
      </c>
      <c r="J120" s="49">
        <f>'TB'!AE18</f>
        <v/>
      </c>
    </row>
    <row r="121">
      <c r="A121">
        <f>'TB'!B19</f>
        <v/>
      </c>
      <c r="B121" t="inlineStr">
        <is>
          <t>TB</t>
        </is>
      </c>
      <c r="C121" t="inlineStr">
        <is>
          <t>QB</t>
        </is>
      </c>
      <c r="D121" s="48">
        <f>'TB'!S19</f>
        <v/>
      </c>
      <c r="E121" s="49">
        <f>'TB'!T19</f>
        <v/>
      </c>
      <c r="F121" s="49">
        <f>'TB'!U19</f>
        <v/>
      </c>
      <c r="G121" s="48">
        <f>'TB'!AA19</f>
        <v/>
      </c>
      <c r="H121" s="48">
        <f>'TB'!AB19</f>
        <v/>
      </c>
      <c r="I121" s="49">
        <f>'TB'!AD19</f>
        <v/>
      </c>
      <c r="J121" s="49">
        <f>'TB'!AE19</f>
        <v/>
      </c>
    </row>
    <row r="122">
      <c r="A122">
        <f>'TB'!B20</f>
        <v/>
      </c>
      <c r="B122" t="inlineStr">
        <is>
          <t>TB</t>
        </is>
      </c>
      <c r="C122" t="inlineStr">
        <is>
          <t>QB</t>
        </is>
      </c>
      <c r="D122" s="48">
        <f>'TB'!S20</f>
        <v/>
      </c>
      <c r="E122" s="49">
        <f>'TB'!T20</f>
        <v/>
      </c>
      <c r="F122" s="49">
        <f>'TB'!U20</f>
        <v/>
      </c>
      <c r="G122" s="48">
        <f>'TB'!AA20</f>
        <v/>
      </c>
      <c r="H122" s="48">
        <f>'TB'!AB20</f>
        <v/>
      </c>
      <c r="I122" s="49">
        <f>'TB'!AD20</f>
        <v/>
      </c>
      <c r="J122" s="49">
        <f>'TB'!AE20</f>
        <v/>
      </c>
    </row>
    <row r="123">
      <c r="A123">
        <f>'TEN'!B17</f>
        <v/>
      </c>
      <c r="B123" t="inlineStr">
        <is>
          <t>TEN</t>
        </is>
      </c>
      <c r="C123" t="inlineStr">
        <is>
          <t>QB</t>
        </is>
      </c>
      <c r="D123" s="48">
        <f>'TEN'!S17</f>
        <v/>
      </c>
      <c r="E123" s="49">
        <f>'TEN'!T17</f>
        <v/>
      </c>
      <c r="F123" s="49">
        <f>'TEN'!U17</f>
        <v/>
      </c>
      <c r="G123" s="48">
        <f>'TEN'!AA17</f>
        <v/>
      </c>
      <c r="H123" s="48">
        <f>'TEN'!AB17</f>
        <v/>
      </c>
      <c r="I123" s="49">
        <f>'TEN'!AD17</f>
        <v/>
      </c>
      <c r="J123" s="49">
        <f>'TEN'!AE17</f>
        <v/>
      </c>
    </row>
    <row r="124">
      <c r="A124">
        <f>'TEN'!B18</f>
        <v/>
      </c>
      <c r="B124" t="inlineStr">
        <is>
          <t>TEN</t>
        </is>
      </c>
      <c r="C124" t="inlineStr">
        <is>
          <t>QB</t>
        </is>
      </c>
      <c r="D124" s="48">
        <f>'TEN'!S18</f>
        <v/>
      </c>
      <c r="E124" s="49">
        <f>'TEN'!T18</f>
        <v/>
      </c>
      <c r="F124" s="49">
        <f>'TEN'!U18</f>
        <v/>
      </c>
      <c r="G124" s="48">
        <f>'TEN'!AA18</f>
        <v/>
      </c>
      <c r="H124" s="48">
        <f>'TEN'!AB18</f>
        <v/>
      </c>
      <c r="I124" s="49">
        <f>'TEN'!AD18</f>
        <v/>
      </c>
      <c r="J124" s="49">
        <f>'TEN'!AE18</f>
        <v/>
      </c>
    </row>
    <row r="125">
      <c r="A125">
        <f>'TEN'!B19</f>
        <v/>
      </c>
      <c r="B125" t="inlineStr">
        <is>
          <t>TEN</t>
        </is>
      </c>
      <c r="C125" t="inlineStr">
        <is>
          <t>QB</t>
        </is>
      </c>
      <c r="D125" s="48">
        <f>'TEN'!S19</f>
        <v/>
      </c>
      <c r="E125" s="49">
        <f>'TEN'!T19</f>
        <v/>
      </c>
      <c r="F125" s="49">
        <f>'TEN'!U19</f>
        <v/>
      </c>
      <c r="G125" s="48">
        <f>'TEN'!AA19</f>
        <v/>
      </c>
      <c r="H125" s="48">
        <f>'TEN'!AB19</f>
        <v/>
      </c>
      <c r="I125" s="49">
        <f>'TEN'!AD19</f>
        <v/>
      </c>
      <c r="J125" s="49">
        <f>'TEN'!AE19</f>
        <v/>
      </c>
    </row>
    <row r="126">
      <c r="A126">
        <f>'TEN'!B20</f>
        <v/>
      </c>
      <c r="B126" t="inlineStr">
        <is>
          <t>TEN</t>
        </is>
      </c>
      <c r="C126" t="inlineStr">
        <is>
          <t>QB</t>
        </is>
      </c>
      <c r="D126" s="48">
        <f>'TEN'!S20</f>
        <v/>
      </c>
      <c r="E126" s="49">
        <f>'TEN'!T20</f>
        <v/>
      </c>
      <c r="F126" s="49">
        <f>'TEN'!U20</f>
        <v/>
      </c>
      <c r="G126" s="48">
        <f>'TEN'!AA20</f>
        <v/>
      </c>
      <c r="H126" s="48">
        <f>'TEN'!AB20</f>
        <v/>
      </c>
      <c r="I126" s="49">
        <f>'TEN'!AD20</f>
        <v/>
      </c>
      <c r="J126" s="49">
        <f>'TEN'!AE20</f>
        <v/>
      </c>
    </row>
    <row r="127">
      <c r="A127">
        <f>'WAS'!B17</f>
        <v/>
      </c>
      <c r="B127" t="inlineStr">
        <is>
          <t>WAS</t>
        </is>
      </c>
      <c r="C127" t="inlineStr">
        <is>
          <t>QB</t>
        </is>
      </c>
      <c r="D127" s="48">
        <f>'WAS'!S17</f>
        <v/>
      </c>
      <c r="E127" s="49">
        <f>'WAS'!T17</f>
        <v/>
      </c>
      <c r="F127" s="49">
        <f>'WAS'!U17</f>
        <v/>
      </c>
      <c r="G127" s="48">
        <f>'WAS'!AA17</f>
        <v/>
      </c>
      <c r="H127" s="48">
        <f>'WAS'!AB17</f>
        <v/>
      </c>
      <c r="I127" s="49">
        <f>'WAS'!AD17</f>
        <v/>
      </c>
      <c r="J127" s="49">
        <f>'WAS'!AE17</f>
        <v/>
      </c>
    </row>
    <row r="128">
      <c r="A128">
        <f>'WAS'!B18</f>
        <v/>
      </c>
      <c r="B128" t="inlineStr">
        <is>
          <t>WAS</t>
        </is>
      </c>
      <c r="C128" t="inlineStr">
        <is>
          <t>QB</t>
        </is>
      </c>
      <c r="D128" s="48">
        <f>'WAS'!S18</f>
        <v/>
      </c>
      <c r="E128" s="49">
        <f>'WAS'!T18</f>
        <v/>
      </c>
      <c r="F128" s="49">
        <f>'WAS'!U18</f>
        <v/>
      </c>
      <c r="G128" s="48">
        <f>'WAS'!AA18</f>
        <v/>
      </c>
      <c r="H128" s="48">
        <f>'WAS'!AB18</f>
        <v/>
      </c>
      <c r="I128" s="49">
        <f>'WAS'!AD18</f>
        <v/>
      </c>
      <c r="J128" s="49">
        <f>'WAS'!AE18</f>
        <v/>
      </c>
    </row>
    <row r="129">
      <c r="A129">
        <f>'WAS'!B19</f>
        <v/>
      </c>
      <c r="B129" t="inlineStr">
        <is>
          <t>WAS</t>
        </is>
      </c>
      <c r="C129" t="inlineStr">
        <is>
          <t>QB</t>
        </is>
      </c>
      <c r="D129" s="48">
        <f>'WAS'!S19</f>
        <v/>
      </c>
      <c r="E129" s="49">
        <f>'WAS'!T19</f>
        <v/>
      </c>
      <c r="F129" s="49">
        <f>'WAS'!U19</f>
        <v/>
      </c>
      <c r="G129" s="48">
        <f>'WAS'!AA19</f>
        <v/>
      </c>
      <c r="H129" s="48">
        <f>'WAS'!AB19</f>
        <v/>
      </c>
      <c r="I129" s="49">
        <f>'WAS'!AD19</f>
        <v/>
      </c>
      <c r="J129" s="49">
        <f>'WAS'!AE19</f>
        <v/>
      </c>
    </row>
    <row r="130">
      <c r="A130">
        <f>'WAS'!B20</f>
        <v/>
      </c>
      <c r="B130" t="inlineStr">
        <is>
          <t>WAS</t>
        </is>
      </c>
      <c r="C130" t="inlineStr">
        <is>
          <t>QB</t>
        </is>
      </c>
      <c r="D130" s="48">
        <f>'WAS'!S20</f>
        <v/>
      </c>
      <c r="E130" s="49">
        <f>'WAS'!T20</f>
        <v/>
      </c>
      <c r="F130" s="49">
        <f>'WAS'!U20</f>
        <v/>
      </c>
      <c r="G130" s="48">
        <f>'WAS'!AA20</f>
        <v/>
      </c>
      <c r="H130" s="48">
        <f>'WAS'!AB20</f>
        <v/>
      </c>
      <c r="I130" s="49">
        <f>'WAS'!AD20</f>
        <v/>
      </c>
      <c r="J130" s="49">
        <f>'WAS'!AE20</f>
        <v/>
      </c>
    </row>
    <row r="131"/>
    <row r="132">
      <c r="A132" s="8" t="inlineStr">
        <is>
          <t>Values are live. Row order is not - sort by Half PPR when you want a ranking (Data &gt; Sort), or run export_projections.py.</t>
        </is>
      </c>
    </row>
  </sheetData>
  <autoFilter ref="A2:J130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6" customWidth="1" min="3" max="3"/>
    <col width="9" customWidth="1" min="4" max="4"/>
    <col width="8" customWidth="1" min="5" max="5"/>
    <col width="9" customWidth="1" min="6" max="6"/>
    <col width="8" customWidth="1" min="7" max="7"/>
    <col width="9" customWidth="1" min="8" max="8"/>
    <col width="9" customWidth="1" min="9" max="9"/>
    <col width="8" customWidth="1" min="10" max="10"/>
    <col width="10" customWidth="1" min="11" max="11"/>
  </cols>
  <sheetData>
    <row r="1">
      <c r="A1" s="46" t="inlineStr">
        <is>
          <t>RB - all teams (live from the team tabs)</t>
        </is>
      </c>
    </row>
    <row r="2">
      <c r="A2" s="47" t="inlineStr">
        <is>
          <t>Player</t>
        </is>
      </c>
      <c r="B2" s="47" t="inlineStr">
        <is>
          <t>Team</t>
        </is>
      </c>
      <c r="C2" s="47" t="inlineStr">
        <is>
          <t>Pos</t>
        </is>
      </c>
      <c r="D2" s="47" t="inlineStr">
        <is>
          <t>Targets</t>
        </is>
      </c>
      <c r="E2" s="47" t="inlineStr">
        <is>
          <t>Rec</t>
        </is>
      </c>
      <c r="F2" s="47" t="inlineStr">
        <is>
          <t>Rec Yds</t>
        </is>
      </c>
      <c r="G2" s="47" t="inlineStr">
        <is>
          <t>Rec TD</t>
        </is>
      </c>
      <c r="H2" s="47" t="inlineStr">
        <is>
          <t>Rush Att</t>
        </is>
      </c>
      <c r="I2" s="47" t="inlineStr">
        <is>
          <t>Rush Yds</t>
        </is>
      </c>
      <c r="J2" s="47" t="inlineStr">
        <is>
          <t>Rush TD</t>
        </is>
      </c>
      <c r="K2" s="47" t="inlineStr">
        <is>
          <t>Half PPR</t>
        </is>
      </c>
    </row>
    <row r="3">
      <c r="A3">
        <f>'ARI'!B21</f>
        <v/>
      </c>
      <c r="B3" t="inlineStr">
        <is>
          <t>ARI</t>
        </is>
      </c>
      <c r="C3" t="inlineStr">
        <is>
          <t>RB</t>
        </is>
      </c>
      <c r="D3" s="48">
        <f>'ARI'!V21</f>
        <v/>
      </c>
      <c r="E3" s="48">
        <f>'ARI'!W21</f>
        <v/>
      </c>
      <c r="F3" s="48">
        <f>'ARI'!X21</f>
        <v/>
      </c>
      <c r="G3" s="49">
        <f>'ARI'!Z21</f>
        <v/>
      </c>
      <c r="H3" s="48">
        <f>'ARI'!AA21</f>
        <v/>
      </c>
      <c r="I3" s="48">
        <f>'ARI'!AB21</f>
        <v/>
      </c>
      <c r="J3" s="49">
        <f>'ARI'!AD21</f>
        <v/>
      </c>
      <c r="K3" s="49">
        <f>'ARI'!AE21</f>
        <v/>
      </c>
    </row>
    <row r="4">
      <c r="A4">
        <f>'ARI'!B22</f>
        <v/>
      </c>
      <c r="B4" t="inlineStr">
        <is>
          <t>ARI</t>
        </is>
      </c>
      <c r="C4" t="inlineStr">
        <is>
          <t>RB</t>
        </is>
      </c>
      <c r="D4" s="48">
        <f>'ARI'!V22</f>
        <v/>
      </c>
      <c r="E4" s="48">
        <f>'ARI'!W22</f>
        <v/>
      </c>
      <c r="F4" s="48">
        <f>'ARI'!X22</f>
        <v/>
      </c>
      <c r="G4" s="49">
        <f>'ARI'!Z22</f>
        <v/>
      </c>
      <c r="H4" s="48">
        <f>'ARI'!AA22</f>
        <v/>
      </c>
      <c r="I4" s="48">
        <f>'ARI'!AB22</f>
        <v/>
      </c>
      <c r="J4" s="49">
        <f>'ARI'!AD22</f>
        <v/>
      </c>
      <c r="K4" s="49">
        <f>'ARI'!AE22</f>
        <v/>
      </c>
    </row>
    <row r="5">
      <c r="A5">
        <f>'ARI'!B23</f>
        <v/>
      </c>
      <c r="B5" t="inlineStr">
        <is>
          <t>ARI</t>
        </is>
      </c>
      <c r="C5" t="inlineStr">
        <is>
          <t>RB</t>
        </is>
      </c>
      <c r="D5" s="48">
        <f>'ARI'!V23</f>
        <v/>
      </c>
      <c r="E5" s="48">
        <f>'ARI'!W23</f>
        <v/>
      </c>
      <c r="F5" s="48">
        <f>'ARI'!X23</f>
        <v/>
      </c>
      <c r="G5" s="49">
        <f>'ARI'!Z23</f>
        <v/>
      </c>
      <c r="H5" s="48">
        <f>'ARI'!AA23</f>
        <v/>
      </c>
      <c r="I5" s="48">
        <f>'ARI'!AB23</f>
        <v/>
      </c>
      <c r="J5" s="49">
        <f>'ARI'!AD23</f>
        <v/>
      </c>
      <c r="K5" s="49">
        <f>'ARI'!AE23</f>
        <v/>
      </c>
    </row>
    <row r="6">
      <c r="A6">
        <f>'ARI'!B24</f>
        <v/>
      </c>
      <c r="B6" t="inlineStr">
        <is>
          <t>ARI</t>
        </is>
      </c>
      <c r="C6" t="inlineStr">
        <is>
          <t>RB</t>
        </is>
      </c>
      <c r="D6" s="48">
        <f>'ARI'!V24</f>
        <v/>
      </c>
      <c r="E6" s="48">
        <f>'ARI'!W24</f>
        <v/>
      </c>
      <c r="F6" s="48">
        <f>'ARI'!X24</f>
        <v/>
      </c>
      <c r="G6" s="49">
        <f>'ARI'!Z24</f>
        <v/>
      </c>
      <c r="H6" s="48">
        <f>'ARI'!AA24</f>
        <v/>
      </c>
      <c r="I6" s="48">
        <f>'ARI'!AB24</f>
        <v/>
      </c>
      <c r="J6" s="49">
        <f>'ARI'!AD24</f>
        <v/>
      </c>
      <c r="K6" s="49">
        <f>'ARI'!AE24</f>
        <v/>
      </c>
    </row>
    <row r="7">
      <c r="A7">
        <f>'ARI'!B25</f>
        <v/>
      </c>
      <c r="B7" t="inlineStr">
        <is>
          <t>ARI</t>
        </is>
      </c>
      <c r="C7" t="inlineStr">
        <is>
          <t>RB</t>
        </is>
      </c>
      <c r="D7" s="48">
        <f>'ARI'!V25</f>
        <v/>
      </c>
      <c r="E7" s="48">
        <f>'ARI'!W25</f>
        <v/>
      </c>
      <c r="F7" s="48">
        <f>'ARI'!X25</f>
        <v/>
      </c>
      <c r="G7" s="49">
        <f>'ARI'!Z25</f>
        <v/>
      </c>
      <c r="H7" s="48">
        <f>'ARI'!AA25</f>
        <v/>
      </c>
      <c r="I7" s="48">
        <f>'ARI'!AB25</f>
        <v/>
      </c>
      <c r="J7" s="49">
        <f>'ARI'!AD25</f>
        <v/>
      </c>
      <c r="K7" s="49">
        <f>'ARI'!AE25</f>
        <v/>
      </c>
    </row>
    <row r="8">
      <c r="A8">
        <f>'ARI'!B26</f>
        <v/>
      </c>
      <c r="B8" t="inlineStr">
        <is>
          <t>ARI</t>
        </is>
      </c>
      <c r="C8" t="inlineStr">
        <is>
          <t>RB</t>
        </is>
      </c>
      <c r="D8" s="48">
        <f>'ARI'!V26</f>
        <v/>
      </c>
      <c r="E8" s="48">
        <f>'ARI'!W26</f>
        <v/>
      </c>
      <c r="F8" s="48">
        <f>'ARI'!X26</f>
        <v/>
      </c>
      <c r="G8" s="49">
        <f>'ARI'!Z26</f>
        <v/>
      </c>
      <c r="H8" s="48">
        <f>'ARI'!AA26</f>
        <v/>
      </c>
      <c r="I8" s="48">
        <f>'ARI'!AB26</f>
        <v/>
      </c>
      <c r="J8" s="49">
        <f>'ARI'!AD26</f>
        <v/>
      </c>
      <c r="K8" s="49">
        <f>'ARI'!AE26</f>
        <v/>
      </c>
    </row>
    <row r="9">
      <c r="A9">
        <f>'ARI'!B27</f>
        <v/>
      </c>
      <c r="B9" t="inlineStr">
        <is>
          <t>ARI</t>
        </is>
      </c>
      <c r="C9" t="inlineStr">
        <is>
          <t>RB</t>
        </is>
      </c>
      <c r="D9" s="48">
        <f>'ARI'!V27</f>
        <v/>
      </c>
      <c r="E9" s="48">
        <f>'ARI'!W27</f>
        <v/>
      </c>
      <c r="F9" s="48">
        <f>'ARI'!X27</f>
        <v/>
      </c>
      <c r="G9" s="49">
        <f>'ARI'!Z27</f>
        <v/>
      </c>
      <c r="H9" s="48">
        <f>'ARI'!AA27</f>
        <v/>
      </c>
      <c r="I9" s="48">
        <f>'ARI'!AB27</f>
        <v/>
      </c>
      <c r="J9" s="49">
        <f>'ARI'!AD27</f>
        <v/>
      </c>
      <c r="K9" s="49">
        <f>'ARI'!AE27</f>
        <v/>
      </c>
    </row>
    <row r="10">
      <c r="A10">
        <f>'ATL'!B21</f>
        <v/>
      </c>
      <c r="B10" t="inlineStr">
        <is>
          <t>ATL</t>
        </is>
      </c>
      <c r="C10" t="inlineStr">
        <is>
          <t>RB</t>
        </is>
      </c>
      <c r="D10" s="48">
        <f>'ATL'!V21</f>
        <v/>
      </c>
      <c r="E10" s="48">
        <f>'ATL'!W21</f>
        <v/>
      </c>
      <c r="F10" s="48">
        <f>'ATL'!X21</f>
        <v/>
      </c>
      <c r="G10" s="49">
        <f>'ATL'!Z21</f>
        <v/>
      </c>
      <c r="H10" s="48">
        <f>'ATL'!AA21</f>
        <v/>
      </c>
      <c r="I10" s="48">
        <f>'ATL'!AB21</f>
        <v/>
      </c>
      <c r="J10" s="49">
        <f>'ATL'!AD21</f>
        <v/>
      </c>
      <c r="K10" s="49">
        <f>'ATL'!AE21</f>
        <v/>
      </c>
    </row>
    <row r="11">
      <c r="A11">
        <f>'ATL'!B22</f>
        <v/>
      </c>
      <c r="B11" t="inlineStr">
        <is>
          <t>ATL</t>
        </is>
      </c>
      <c r="C11" t="inlineStr">
        <is>
          <t>RB</t>
        </is>
      </c>
      <c r="D11" s="48">
        <f>'ATL'!V22</f>
        <v/>
      </c>
      <c r="E11" s="48">
        <f>'ATL'!W22</f>
        <v/>
      </c>
      <c r="F11" s="48">
        <f>'ATL'!X22</f>
        <v/>
      </c>
      <c r="G11" s="49">
        <f>'ATL'!Z22</f>
        <v/>
      </c>
      <c r="H11" s="48">
        <f>'ATL'!AA22</f>
        <v/>
      </c>
      <c r="I11" s="48">
        <f>'ATL'!AB22</f>
        <v/>
      </c>
      <c r="J11" s="49">
        <f>'ATL'!AD22</f>
        <v/>
      </c>
      <c r="K11" s="49">
        <f>'ATL'!AE22</f>
        <v/>
      </c>
    </row>
    <row r="12">
      <c r="A12">
        <f>'ATL'!B23</f>
        <v/>
      </c>
      <c r="B12" t="inlineStr">
        <is>
          <t>ATL</t>
        </is>
      </c>
      <c r="C12" t="inlineStr">
        <is>
          <t>RB</t>
        </is>
      </c>
      <c r="D12" s="48">
        <f>'ATL'!V23</f>
        <v/>
      </c>
      <c r="E12" s="48">
        <f>'ATL'!W23</f>
        <v/>
      </c>
      <c r="F12" s="48">
        <f>'ATL'!X23</f>
        <v/>
      </c>
      <c r="G12" s="49">
        <f>'ATL'!Z23</f>
        <v/>
      </c>
      <c r="H12" s="48">
        <f>'ATL'!AA23</f>
        <v/>
      </c>
      <c r="I12" s="48">
        <f>'ATL'!AB23</f>
        <v/>
      </c>
      <c r="J12" s="49">
        <f>'ATL'!AD23</f>
        <v/>
      </c>
      <c r="K12" s="49">
        <f>'ATL'!AE23</f>
        <v/>
      </c>
    </row>
    <row r="13">
      <c r="A13">
        <f>'ATL'!B24</f>
        <v/>
      </c>
      <c r="B13" t="inlineStr">
        <is>
          <t>ATL</t>
        </is>
      </c>
      <c r="C13" t="inlineStr">
        <is>
          <t>RB</t>
        </is>
      </c>
      <c r="D13" s="48">
        <f>'ATL'!V24</f>
        <v/>
      </c>
      <c r="E13" s="48">
        <f>'ATL'!W24</f>
        <v/>
      </c>
      <c r="F13" s="48">
        <f>'ATL'!X24</f>
        <v/>
      </c>
      <c r="G13" s="49">
        <f>'ATL'!Z24</f>
        <v/>
      </c>
      <c r="H13" s="48">
        <f>'ATL'!AA24</f>
        <v/>
      </c>
      <c r="I13" s="48">
        <f>'ATL'!AB24</f>
        <v/>
      </c>
      <c r="J13" s="49">
        <f>'ATL'!AD24</f>
        <v/>
      </c>
      <c r="K13" s="49">
        <f>'ATL'!AE24</f>
        <v/>
      </c>
    </row>
    <row r="14">
      <c r="A14">
        <f>'ATL'!B25</f>
        <v/>
      </c>
      <c r="B14" t="inlineStr">
        <is>
          <t>ATL</t>
        </is>
      </c>
      <c r="C14" t="inlineStr">
        <is>
          <t>RB</t>
        </is>
      </c>
      <c r="D14" s="48">
        <f>'ATL'!V25</f>
        <v/>
      </c>
      <c r="E14" s="48">
        <f>'ATL'!W25</f>
        <v/>
      </c>
      <c r="F14" s="48">
        <f>'ATL'!X25</f>
        <v/>
      </c>
      <c r="G14" s="49">
        <f>'ATL'!Z25</f>
        <v/>
      </c>
      <c r="H14" s="48">
        <f>'ATL'!AA25</f>
        <v/>
      </c>
      <c r="I14" s="48">
        <f>'ATL'!AB25</f>
        <v/>
      </c>
      <c r="J14" s="49">
        <f>'ATL'!AD25</f>
        <v/>
      </c>
      <c r="K14" s="49">
        <f>'ATL'!AE25</f>
        <v/>
      </c>
    </row>
    <row r="15">
      <c r="A15">
        <f>'ATL'!B26</f>
        <v/>
      </c>
      <c r="B15" t="inlineStr">
        <is>
          <t>ATL</t>
        </is>
      </c>
      <c r="C15" t="inlineStr">
        <is>
          <t>RB</t>
        </is>
      </c>
      <c r="D15" s="48">
        <f>'ATL'!V26</f>
        <v/>
      </c>
      <c r="E15" s="48">
        <f>'ATL'!W26</f>
        <v/>
      </c>
      <c r="F15" s="48">
        <f>'ATL'!X26</f>
        <v/>
      </c>
      <c r="G15" s="49">
        <f>'ATL'!Z26</f>
        <v/>
      </c>
      <c r="H15" s="48">
        <f>'ATL'!AA26</f>
        <v/>
      </c>
      <c r="I15" s="48">
        <f>'ATL'!AB26</f>
        <v/>
      </c>
      <c r="J15" s="49">
        <f>'ATL'!AD26</f>
        <v/>
      </c>
      <c r="K15" s="49">
        <f>'ATL'!AE26</f>
        <v/>
      </c>
    </row>
    <row r="16">
      <c r="A16">
        <f>'ATL'!B27</f>
        <v/>
      </c>
      <c r="B16" t="inlineStr">
        <is>
          <t>ATL</t>
        </is>
      </c>
      <c r="C16" t="inlineStr">
        <is>
          <t>RB</t>
        </is>
      </c>
      <c r="D16" s="48">
        <f>'ATL'!V27</f>
        <v/>
      </c>
      <c r="E16" s="48">
        <f>'ATL'!W27</f>
        <v/>
      </c>
      <c r="F16" s="48">
        <f>'ATL'!X27</f>
        <v/>
      </c>
      <c r="G16" s="49">
        <f>'ATL'!Z27</f>
        <v/>
      </c>
      <c r="H16" s="48">
        <f>'ATL'!AA27</f>
        <v/>
      </c>
      <c r="I16" s="48">
        <f>'ATL'!AB27</f>
        <v/>
      </c>
      <c r="J16" s="49">
        <f>'ATL'!AD27</f>
        <v/>
      </c>
      <c r="K16" s="49">
        <f>'ATL'!AE27</f>
        <v/>
      </c>
    </row>
    <row r="17">
      <c r="A17">
        <f>'BAL'!B21</f>
        <v/>
      </c>
      <c r="B17" t="inlineStr">
        <is>
          <t>BAL</t>
        </is>
      </c>
      <c r="C17" t="inlineStr">
        <is>
          <t>RB</t>
        </is>
      </c>
      <c r="D17" s="48">
        <f>'BAL'!V21</f>
        <v/>
      </c>
      <c r="E17" s="48">
        <f>'BAL'!W21</f>
        <v/>
      </c>
      <c r="F17" s="48">
        <f>'BAL'!X21</f>
        <v/>
      </c>
      <c r="G17" s="49">
        <f>'BAL'!Z21</f>
        <v/>
      </c>
      <c r="H17" s="48">
        <f>'BAL'!AA21</f>
        <v/>
      </c>
      <c r="I17" s="48">
        <f>'BAL'!AB21</f>
        <v/>
      </c>
      <c r="J17" s="49">
        <f>'BAL'!AD21</f>
        <v/>
      </c>
      <c r="K17" s="49">
        <f>'BAL'!AE21</f>
        <v/>
      </c>
    </row>
    <row r="18">
      <c r="A18">
        <f>'BAL'!B22</f>
        <v/>
      </c>
      <c r="B18" t="inlineStr">
        <is>
          <t>BAL</t>
        </is>
      </c>
      <c r="C18" t="inlineStr">
        <is>
          <t>RB</t>
        </is>
      </c>
      <c r="D18" s="48">
        <f>'BAL'!V22</f>
        <v/>
      </c>
      <c r="E18" s="48">
        <f>'BAL'!W22</f>
        <v/>
      </c>
      <c r="F18" s="48">
        <f>'BAL'!X22</f>
        <v/>
      </c>
      <c r="G18" s="49">
        <f>'BAL'!Z22</f>
        <v/>
      </c>
      <c r="H18" s="48">
        <f>'BAL'!AA22</f>
        <v/>
      </c>
      <c r="I18" s="48">
        <f>'BAL'!AB22</f>
        <v/>
      </c>
      <c r="J18" s="49">
        <f>'BAL'!AD22</f>
        <v/>
      </c>
      <c r="K18" s="49">
        <f>'BAL'!AE22</f>
        <v/>
      </c>
    </row>
    <row r="19">
      <c r="A19">
        <f>'BAL'!B23</f>
        <v/>
      </c>
      <c r="B19" t="inlineStr">
        <is>
          <t>BAL</t>
        </is>
      </c>
      <c r="C19" t="inlineStr">
        <is>
          <t>RB</t>
        </is>
      </c>
      <c r="D19" s="48">
        <f>'BAL'!V23</f>
        <v/>
      </c>
      <c r="E19" s="48">
        <f>'BAL'!W23</f>
        <v/>
      </c>
      <c r="F19" s="48">
        <f>'BAL'!X23</f>
        <v/>
      </c>
      <c r="G19" s="49">
        <f>'BAL'!Z23</f>
        <v/>
      </c>
      <c r="H19" s="48">
        <f>'BAL'!AA23</f>
        <v/>
      </c>
      <c r="I19" s="48">
        <f>'BAL'!AB23</f>
        <v/>
      </c>
      <c r="J19" s="49">
        <f>'BAL'!AD23</f>
        <v/>
      </c>
      <c r="K19" s="49">
        <f>'BAL'!AE23</f>
        <v/>
      </c>
    </row>
    <row r="20">
      <c r="A20">
        <f>'BAL'!B24</f>
        <v/>
      </c>
      <c r="B20" t="inlineStr">
        <is>
          <t>BAL</t>
        </is>
      </c>
      <c r="C20" t="inlineStr">
        <is>
          <t>RB</t>
        </is>
      </c>
      <c r="D20" s="48">
        <f>'BAL'!V24</f>
        <v/>
      </c>
      <c r="E20" s="48">
        <f>'BAL'!W24</f>
        <v/>
      </c>
      <c r="F20" s="48">
        <f>'BAL'!X24</f>
        <v/>
      </c>
      <c r="G20" s="49">
        <f>'BAL'!Z24</f>
        <v/>
      </c>
      <c r="H20" s="48">
        <f>'BAL'!AA24</f>
        <v/>
      </c>
      <c r="I20" s="48">
        <f>'BAL'!AB24</f>
        <v/>
      </c>
      <c r="J20" s="49">
        <f>'BAL'!AD24</f>
        <v/>
      </c>
      <c r="K20" s="49">
        <f>'BAL'!AE24</f>
        <v/>
      </c>
    </row>
    <row r="21">
      <c r="A21">
        <f>'BAL'!B25</f>
        <v/>
      </c>
      <c r="B21" t="inlineStr">
        <is>
          <t>BAL</t>
        </is>
      </c>
      <c r="C21" t="inlineStr">
        <is>
          <t>RB</t>
        </is>
      </c>
      <c r="D21" s="48">
        <f>'BAL'!V25</f>
        <v/>
      </c>
      <c r="E21" s="48">
        <f>'BAL'!W25</f>
        <v/>
      </c>
      <c r="F21" s="48">
        <f>'BAL'!X25</f>
        <v/>
      </c>
      <c r="G21" s="49">
        <f>'BAL'!Z25</f>
        <v/>
      </c>
      <c r="H21" s="48">
        <f>'BAL'!AA25</f>
        <v/>
      </c>
      <c r="I21" s="48">
        <f>'BAL'!AB25</f>
        <v/>
      </c>
      <c r="J21" s="49">
        <f>'BAL'!AD25</f>
        <v/>
      </c>
      <c r="K21" s="49">
        <f>'BAL'!AE25</f>
        <v/>
      </c>
    </row>
    <row r="22">
      <c r="A22">
        <f>'BAL'!B26</f>
        <v/>
      </c>
      <c r="B22" t="inlineStr">
        <is>
          <t>BAL</t>
        </is>
      </c>
      <c r="C22" t="inlineStr">
        <is>
          <t>RB</t>
        </is>
      </c>
      <c r="D22" s="48">
        <f>'BAL'!V26</f>
        <v/>
      </c>
      <c r="E22" s="48">
        <f>'BAL'!W26</f>
        <v/>
      </c>
      <c r="F22" s="48">
        <f>'BAL'!X26</f>
        <v/>
      </c>
      <c r="G22" s="49">
        <f>'BAL'!Z26</f>
        <v/>
      </c>
      <c r="H22" s="48">
        <f>'BAL'!AA26</f>
        <v/>
      </c>
      <c r="I22" s="48">
        <f>'BAL'!AB26</f>
        <v/>
      </c>
      <c r="J22" s="49">
        <f>'BAL'!AD26</f>
        <v/>
      </c>
      <c r="K22" s="49">
        <f>'BAL'!AE26</f>
        <v/>
      </c>
    </row>
    <row r="23">
      <c r="A23">
        <f>'BAL'!B27</f>
        <v/>
      </c>
      <c r="B23" t="inlineStr">
        <is>
          <t>BAL</t>
        </is>
      </c>
      <c r="C23" t="inlineStr">
        <is>
          <t>RB</t>
        </is>
      </c>
      <c r="D23" s="48">
        <f>'BAL'!V27</f>
        <v/>
      </c>
      <c r="E23" s="48">
        <f>'BAL'!W27</f>
        <v/>
      </c>
      <c r="F23" s="48">
        <f>'BAL'!X27</f>
        <v/>
      </c>
      <c r="G23" s="49">
        <f>'BAL'!Z27</f>
        <v/>
      </c>
      <c r="H23" s="48">
        <f>'BAL'!AA27</f>
        <v/>
      </c>
      <c r="I23" s="48">
        <f>'BAL'!AB27</f>
        <v/>
      </c>
      <c r="J23" s="49">
        <f>'BAL'!AD27</f>
        <v/>
      </c>
      <c r="K23" s="49">
        <f>'BAL'!AE27</f>
        <v/>
      </c>
    </row>
    <row r="24">
      <c r="A24">
        <f>'BUF'!B21</f>
        <v/>
      </c>
      <c r="B24" t="inlineStr">
        <is>
          <t>BUF</t>
        </is>
      </c>
      <c r="C24" t="inlineStr">
        <is>
          <t>RB</t>
        </is>
      </c>
      <c r="D24" s="48">
        <f>'BUF'!V21</f>
        <v/>
      </c>
      <c r="E24" s="48">
        <f>'BUF'!W21</f>
        <v/>
      </c>
      <c r="F24" s="48">
        <f>'BUF'!X21</f>
        <v/>
      </c>
      <c r="G24" s="49">
        <f>'BUF'!Z21</f>
        <v/>
      </c>
      <c r="H24" s="48">
        <f>'BUF'!AA21</f>
        <v/>
      </c>
      <c r="I24" s="48">
        <f>'BUF'!AB21</f>
        <v/>
      </c>
      <c r="J24" s="49">
        <f>'BUF'!AD21</f>
        <v/>
      </c>
      <c r="K24" s="49">
        <f>'BUF'!AE21</f>
        <v/>
      </c>
    </row>
    <row r="25">
      <c r="A25">
        <f>'BUF'!B22</f>
        <v/>
      </c>
      <c r="B25" t="inlineStr">
        <is>
          <t>BUF</t>
        </is>
      </c>
      <c r="C25" t="inlineStr">
        <is>
          <t>RB</t>
        </is>
      </c>
      <c r="D25" s="48">
        <f>'BUF'!V22</f>
        <v/>
      </c>
      <c r="E25" s="48">
        <f>'BUF'!W22</f>
        <v/>
      </c>
      <c r="F25" s="48">
        <f>'BUF'!X22</f>
        <v/>
      </c>
      <c r="G25" s="49">
        <f>'BUF'!Z22</f>
        <v/>
      </c>
      <c r="H25" s="48">
        <f>'BUF'!AA22</f>
        <v/>
      </c>
      <c r="I25" s="48">
        <f>'BUF'!AB22</f>
        <v/>
      </c>
      <c r="J25" s="49">
        <f>'BUF'!AD22</f>
        <v/>
      </c>
      <c r="K25" s="49">
        <f>'BUF'!AE22</f>
        <v/>
      </c>
    </row>
    <row r="26">
      <c r="A26">
        <f>'BUF'!B23</f>
        <v/>
      </c>
      <c r="B26" t="inlineStr">
        <is>
          <t>BUF</t>
        </is>
      </c>
      <c r="C26" t="inlineStr">
        <is>
          <t>RB</t>
        </is>
      </c>
      <c r="D26" s="48">
        <f>'BUF'!V23</f>
        <v/>
      </c>
      <c r="E26" s="48">
        <f>'BUF'!W23</f>
        <v/>
      </c>
      <c r="F26" s="48">
        <f>'BUF'!X23</f>
        <v/>
      </c>
      <c r="G26" s="49">
        <f>'BUF'!Z23</f>
        <v/>
      </c>
      <c r="H26" s="48">
        <f>'BUF'!AA23</f>
        <v/>
      </c>
      <c r="I26" s="48">
        <f>'BUF'!AB23</f>
        <v/>
      </c>
      <c r="J26" s="49">
        <f>'BUF'!AD23</f>
        <v/>
      </c>
      <c r="K26" s="49">
        <f>'BUF'!AE23</f>
        <v/>
      </c>
    </row>
    <row r="27">
      <c r="A27">
        <f>'BUF'!B24</f>
        <v/>
      </c>
      <c r="B27" t="inlineStr">
        <is>
          <t>BUF</t>
        </is>
      </c>
      <c r="C27" t="inlineStr">
        <is>
          <t>RB</t>
        </is>
      </c>
      <c r="D27" s="48">
        <f>'BUF'!V24</f>
        <v/>
      </c>
      <c r="E27" s="48">
        <f>'BUF'!W24</f>
        <v/>
      </c>
      <c r="F27" s="48">
        <f>'BUF'!X24</f>
        <v/>
      </c>
      <c r="G27" s="49">
        <f>'BUF'!Z24</f>
        <v/>
      </c>
      <c r="H27" s="48">
        <f>'BUF'!AA24</f>
        <v/>
      </c>
      <c r="I27" s="48">
        <f>'BUF'!AB24</f>
        <v/>
      </c>
      <c r="J27" s="49">
        <f>'BUF'!AD24</f>
        <v/>
      </c>
      <c r="K27" s="49">
        <f>'BUF'!AE24</f>
        <v/>
      </c>
    </row>
    <row r="28">
      <c r="A28">
        <f>'BUF'!B25</f>
        <v/>
      </c>
      <c r="B28" t="inlineStr">
        <is>
          <t>BUF</t>
        </is>
      </c>
      <c r="C28" t="inlineStr">
        <is>
          <t>RB</t>
        </is>
      </c>
      <c r="D28" s="48">
        <f>'BUF'!V25</f>
        <v/>
      </c>
      <c r="E28" s="48">
        <f>'BUF'!W25</f>
        <v/>
      </c>
      <c r="F28" s="48">
        <f>'BUF'!X25</f>
        <v/>
      </c>
      <c r="G28" s="49">
        <f>'BUF'!Z25</f>
        <v/>
      </c>
      <c r="H28" s="48">
        <f>'BUF'!AA25</f>
        <v/>
      </c>
      <c r="I28" s="48">
        <f>'BUF'!AB25</f>
        <v/>
      </c>
      <c r="J28" s="49">
        <f>'BUF'!AD25</f>
        <v/>
      </c>
      <c r="K28" s="49">
        <f>'BUF'!AE25</f>
        <v/>
      </c>
    </row>
    <row r="29">
      <c r="A29">
        <f>'BUF'!B26</f>
        <v/>
      </c>
      <c r="B29" t="inlineStr">
        <is>
          <t>BUF</t>
        </is>
      </c>
      <c r="C29" t="inlineStr">
        <is>
          <t>RB</t>
        </is>
      </c>
      <c r="D29" s="48">
        <f>'BUF'!V26</f>
        <v/>
      </c>
      <c r="E29" s="48">
        <f>'BUF'!W26</f>
        <v/>
      </c>
      <c r="F29" s="48">
        <f>'BUF'!X26</f>
        <v/>
      </c>
      <c r="G29" s="49">
        <f>'BUF'!Z26</f>
        <v/>
      </c>
      <c r="H29" s="48">
        <f>'BUF'!AA26</f>
        <v/>
      </c>
      <c r="I29" s="48">
        <f>'BUF'!AB26</f>
        <v/>
      </c>
      <c r="J29" s="49">
        <f>'BUF'!AD26</f>
        <v/>
      </c>
      <c r="K29" s="49">
        <f>'BUF'!AE26</f>
        <v/>
      </c>
    </row>
    <row r="30">
      <c r="A30">
        <f>'BUF'!B27</f>
        <v/>
      </c>
      <c r="B30" t="inlineStr">
        <is>
          <t>BUF</t>
        </is>
      </c>
      <c r="C30" t="inlineStr">
        <is>
          <t>RB</t>
        </is>
      </c>
      <c r="D30" s="48">
        <f>'BUF'!V27</f>
        <v/>
      </c>
      <c r="E30" s="48">
        <f>'BUF'!W27</f>
        <v/>
      </c>
      <c r="F30" s="48">
        <f>'BUF'!X27</f>
        <v/>
      </c>
      <c r="G30" s="49">
        <f>'BUF'!Z27</f>
        <v/>
      </c>
      <c r="H30" s="48">
        <f>'BUF'!AA27</f>
        <v/>
      </c>
      <c r="I30" s="48">
        <f>'BUF'!AB27</f>
        <v/>
      </c>
      <c r="J30" s="49">
        <f>'BUF'!AD27</f>
        <v/>
      </c>
      <c r="K30" s="49">
        <f>'BUF'!AE27</f>
        <v/>
      </c>
    </row>
    <row r="31">
      <c r="A31">
        <f>'CAR'!B21</f>
        <v/>
      </c>
      <c r="B31" t="inlineStr">
        <is>
          <t>CAR</t>
        </is>
      </c>
      <c r="C31" t="inlineStr">
        <is>
          <t>RB</t>
        </is>
      </c>
      <c r="D31" s="48">
        <f>'CAR'!V21</f>
        <v/>
      </c>
      <c r="E31" s="48">
        <f>'CAR'!W21</f>
        <v/>
      </c>
      <c r="F31" s="48">
        <f>'CAR'!X21</f>
        <v/>
      </c>
      <c r="G31" s="49">
        <f>'CAR'!Z21</f>
        <v/>
      </c>
      <c r="H31" s="48">
        <f>'CAR'!AA21</f>
        <v/>
      </c>
      <c r="I31" s="48">
        <f>'CAR'!AB21</f>
        <v/>
      </c>
      <c r="J31" s="49">
        <f>'CAR'!AD21</f>
        <v/>
      </c>
      <c r="K31" s="49">
        <f>'CAR'!AE21</f>
        <v/>
      </c>
    </row>
    <row r="32">
      <c r="A32">
        <f>'CAR'!B22</f>
        <v/>
      </c>
      <c r="B32" t="inlineStr">
        <is>
          <t>CAR</t>
        </is>
      </c>
      <c r="C32" t="inlineStr">
        <is>
          <t>RB</t>
        </is>
      </c>
      <c r="D32" s="48">
        <f>'CAR'!V22</f>
        <v/>
      </c>
      <c r="E32" s="48">
        <f>'CAR'!W22</f>
        <v/>
      </c>
      <c r="F32" s="48">
        <f>'CAR'!X22</f>
        <v/>
      </c>
      <c r="G32" s="49">
        <f>'CAR'!Z22</f>
        <v/>
      </c>
      <c r="H32" s="48">
        <f>'CAR'!AA22</f>
        <v/>
      </c>
      <c r="I32" s="48">
        <f>'CAR'!AB22</f>
        <v/>
      </c>
      <c r="J32" s="49">
        <f>'CAR'!AD22</f>
        <v/>
      </c>
      <c r="K32" s="49">
        <f>'CAR'!AE22</f>
        <v/>
      </c>
    </row>
    <row r="33">
      <c r="A33">
        <f>'CAR'!B23</f>
        <v/>
      </c>
      <c r="B33" t="inlineStr">
        <is>
          <t>CAR</t>
        </is>
      </c>
      <c r="C33" t="inlineStr">
        <is>
          <t>RB</t>
        </is>
      </c>
      <c r="D33" s="48">
        <f>'CAR'!V23</f>
        <v/>
      </c>
      <c r="E33" s="48">
        <f>'CAR'!W23</f>
        <v/>
      </c>
      <c r="F33" s="48">
        <f>'CAR'!X23</f>
        <v/>
      </c>
      <c r="G33" s="49">
        <f>'CAR'!Z23</f>
        <v/>
      </c>
      <c r="H33" s="48">
        <f>'CAR'!AA23</f>
        <v/>
      </c>
      <c r="I33" s="48">
        <f>'CAR'!AB23</f>
        <v/>
      </c>
      <c r="J33" s="49">
        <f>'CAR'!AD23</f>
        <v/>
      </c>
      <c r="K33" s="49">
        <f>'CAR'!AE23</f>
        <v/>
      </c>
    </row>
    <row r="34">
      <c r="A34">
        <f>'CAR'!B24</f>
        <v/>
      </c>
      <c r="B34" t="inlineStr">
        <is>
          <t>CAR</t>
        </is>
      </c>
      <c r="C34" t="inlineStr">
        <is>
          <t>RB</t>
        </is>
      </c>
      <c r="D34" s="48">
        <f>'CAR'!V24</f>
        <v/>
      </c>
      <c r="E34" s="48">
        <f>'CAR'!W24</f>
        <v/>
      </c>
      <c r="F34" s="48">
        <f>'CAR'!X24</f>
        <v/>
      </c>
      <c r="G34" s="49">
        <f>'CAR'!Z24</f>
        <v/>
      </c>
      <c r="H34" s="48">
        <f>'CAR'!AA24</f>
        <v/>
      </c>
      <c r="I34" s="48">
        <f>'CAR'!AB24</f>
        <v/>
      </c>
      <c r="J34" s="49">
        <f>'CAR'!AD24</f>
        <v/>
      </c>
      <c r="K34" s="49">
        <f>'CAR'!AE24</f>
        <v/>
      </c>
    </row>
    <row r="35">
      <c r="A35">
        <f>'CAR'!B25</f>
        <v/>
      </c>
      <c r="B35" t="inlineStr">
        <is>
          <t>CAR</t>
        </is>
      </c>
      <c r="C35" t="inlineStr">
        <is>
          <t>RB</t>
        </is>
      </c>
      <c r="D35" s="48">
        <f>'CAR'!V25</f>
        <v/>
      </c>
      <c r="E35" s="48">
        <f>'CAR'!W25</f>
        <v/>
      </c>
      <c r="F35" s="48">
        <f>'CAR'!X25</f>
        <v/>
      </c>
      <c r="G35" s="49">
        <f>'CAR'!Z25</f>
        <v/>
      </c>
      <c r="H35" s="48">
        <f>'CAR'!AA25</f>
        <v/>
      </c>
      <c r="I35" s="48">
        <f>'CAR'!AB25</f>
        <v/>
      </c>
      <c r="J35" s="49">
        <f>'CAR'!AD25</f>
        <v/>
      </c>
      <c r="K35" s="49">
        <f>'CAR'!AE25</f>
        <v/>
      </c>
    </row>
    <row r="36">
      <c r="A36">
        <f>'CAR'!B26</f>
        <v/>
      </c>
      <c r="B36" t="inlineStr">
        <is>
          <t>CAR</t>
        </is>
      </c>
      <c r="C36" t="inlineStr">
        <is>
          <t>RB</t>
        </is>
      </c>
      <c r="D36" s="48">
        <f>'CAR'!V26</f>
        <v/>
      </c>
      <c r="E36" s="48">
        <f>'CAR'!W26</f>
        <v/>
      </c>
      <c r="F36" s="48">
        <f>'CAR'!X26</f>
        <v/>
      </c>
      <c r="G36" s="49">
        <f>'CAR'!Z26</f>
        <v/>
      </c>
      <c r="H36" s="48">
        <f>'CAR'!AA26</f>
        <v/>
      </c>
      <c r="I36" s="48">
        <f>'CAR'!AB26</f>
        <v/>
      </c>
      <c r="J36" s="49">
        <f>'CAR'!AD26</f>
        <v/>
      </c>
      <c r="K36" s="49">
        <f>'CAR'!AE26</f>
        <v/>
      </c>
    </row>
    <row r="37">
      <c r="A37">
        <f>'CAR'!B27</f>
        <v/>
      </c>
      <c r="B37" t="inlineStr">
        <is>
          <t>CAR</t>
        </is>
      </c>
      <c r="C37" t="inlineStr">
        <is>
          <t>RB</t>
        </is>
      </c>
      <c r="D37" s="48">
        <f>'CAR'!V27</f>
        <v/>
      </c>
      <c r="E37" s="48">
        <f>'CAR'!W27</f>
        <v/>
      </c>
      <c r="F37" s="48">
        <f>'CAR'!X27</f>
        <v/>
      </c>
      <c r="G37" s="49">
        <f>'CAR'!Z27</f>
        <v/>
      </c>
      <c r="H37" s="48">
        <f>'CAR'!AA27</f>
        <v/>
      </c>
      <c r="I37" s="48">
        <f>'CAR'!AB27</f>
        <v/>
      </c>
      <c r="J37" s="49">
        <f>'CAR'!AD27</f>
        <v/>
      </c>
      <c r="K37" s="49">
        <f>'CAR'!AE27</f>
        <v/>
      </c>
    </row>
    <row r="38">
      <c r="A38">
        <f>'CHI'!B21</f>
        <v/>
      </c>
      <c r="B38" t="inlineStr">
        <is>
          <t>CHI</t>
        </is>
      </c>
      <c r="C38" t="inlineStr">
        <is>
          <t>RB</t>
        </is>
      </c>
      <c r="D38" s="48">
        <f>'CHI'!V21</f>
        <v/>
      </c>
      <c r="E38" s="48">
        <f>'CHI'!W21</f>
        <v/>
      </c>
      <c r="F38" s="48">
        <f>'CHI'!X21</f>
        <v/>
      </c>
      <c r="G38" s="49">
        <f>'CHI'!Z21</f>
        <v/>
      </c>
      <c r="H38" s="48">
        <f>'CHI'!AA21</f>
        <v/>
      </c>
      <c r="I38" s="48">
        <f>'CHI'!AB21</f>
        <v/>
      </c>
      <c r="J38" s="49">
        <f>'CHI'!AD21</f>
        <v/>
      </c>
      <c r="K38" s="49">
        <f>'CHI'!AE21</f>
        <v/>
      </c>
    </row>
    <row r="39">
      <c r="A39">
        <f>'CHI'!B22</f>
        <v/>
      </c>
      <c r="B39" t="inlineStr">
        <is>
          <t>CHI</t>
        </is>
      </c>
      <c r="C39" t="inlineStr">
        <is>
          <t>RB</t>
        </is>
      </c>
      <c r="D39" s="48">
        <f>'CHI'!V22</f>
        <v/>
      </c>
      <c r="E39" s="48">
        <f>'CHI'!W22</f>
        <v/>
      </c>
      <c r="F39" s="48">
        <f>'CHI'!X22</f>
        <v/>
      </c>
      <c r="G39" s="49">
        <f>'CHI'!Z22</f>
        <v/>
      </c>
      <c r="H39" s="48">
        <f>'CHI'!AA22</f>
        <v/>
      </c>
      <c r="I39" s="48">
        <f>'CHI'!AB22</f>
        <v/>
      </c>
      <c r="J39" s="49">
        <f>'CHI'!AD22</f>
        <v/>
      </c>
      <c r="K39" s="49">
        <f>'CHI'!AE22</f>
        <v/>
      </c>
    </row>
    <row r="40">
      <c r="A40">
        <f>'CHI'!B23</f>
        <v/>
      </c>
      <c r="B40" t="inlineStr">
        <is>
          <t>CHI</t>
        </is>
      </c>
      <c r="C40" t="inlineStr">
        <is>
          <t>RB</t>
        </is>
      </c>
      <c r="D40" s="48">
        <f>'CHI'!V23</f>
        <v/>
      </c>
      <c r="E40" s="48">
        <f>'CHI'!W23</f>
        <v/>
      </c>
      <c r="F40" s="48">
        <f>'CHI'!X23</f>
        <v/>
      </c>
      <c r="G40" s="49">
        <f>'CHI'!Z23</f>
        <v/>
      </c>
      <c r="H40" s="48">
        <f>'CHI'!AA23</f>
        <v/>
      </c>
      <c r="I40" s="48">
        <f>'CHI'!AB23</f>
        <v/>
      </c>
      <c r="J40" s="49">
        <f>'CHI'!AD23</f>
        <v/>
      </c>
      <c r="K40" s="49">
        <f>'CHI'!AE23</f>
        <v/>
      </c>
    </row>
    <row r="41">
      <c r="A41">
        <f>'CHI'!B24</f>
        <v/>
      </c>
      <c r="B41" t="inlineStr">
        <is>
          <t>CHI</t>
        </is>
      </c>
      <c r="C41" t="inlineStr">
        <is>
          <t>RB</t>
        </is>
      </c>
      <c r="D41" s="48">
        <f>'CHI'!V24</f>
        <v/>
      </c>
      <c r="E41" s="48">
        <f>'CHI'!W24</f>
        <v/>
      </c>
      <c r="F41" s="48">
        <f>'CHI'!X24</f>
        <v/>
      </c>
      <c r="G41" s="49">
        <f>'CHI'!Z24</f>
        <v/>
      </c>
      <c r="H41" s="48">
        <f>'CHI'!AA24</f>
        <v/>
      </c>
      <c r="I41" s="48">
        <f>'CHI'!AB24</f>
        <v/>
      </c>
      <c r="J41" s="49">
        <f>'CHI'!AD24</f>
        <v/>
      </c>
      <c r="K41" s="49">
        <f>'CHI'!AE24</f>
        <v/>
      </c>
    </row>
    <row r="42">
      <c r="A42">
        <f>'CHI'!B25</f>
        <v/>
      </c>
      <c r="B42" t="inlineStr">
        <is>
          <t>CHI</t>
        </is>
      </c>
      <c r="C42" t="inlineStr">
        <is>
          <t>RB</t>
        </is>
      </c>
      <c r="D42" s="48">
        <f>'CHI'!V25</f>
        <v/>
      </c>
      <c r="E42" s="48">
        <f>'CHI'!W25</f>
        <v/>
      </c>
      <c r="F42" s="48">
        <f>'CHI'!X25</f>
        <v/>
      </c>
      <c r="G42" s="49">
        <f>'CHI'!Z25</f>
        <v/>
      </c>
      <c r="H42" s="48">
        <f>'CHI'!AA25</f>
        <v/>
      </c>
      <c r="I42" s="48">
        <f>'CHI'!AB25</f>
        <v/>
      </c>
      <c r="J42" s="49">
        <f>'CHI'!AD25</f>
        <v/>
      </c>
      <c r="K42" s="49">
        <f>'CHI'!AE25</f>
        <v/>
      </c>
    </row>
    <row r="43">
      <c r="A43">
        <f>'CHI'!B26</f>
        <v/>
      </c>
      <c r="B43" t="inlineStr">
        <is>
          <t>CHI</t>
        </is>
      </c>
      <c r="C43" t="inlineStr">
        <is>
          <t>RB</t>
        </is>
      </c>
      <c r="D43" s="48">
        <f>'CHI'!V26</f>
        <v/>
      </c>
      <c r="E43" s="48">
        <f>'CHI'!W26</f>
        <v/>
      </c>
      <c r="F43" s="48">
        <f>'CHI'!X26</f>
        <v/>
      </c>
      <c r="G43" s="49">
        <f>'CHI'!Z26</f>
        <v/>
      </c>
      <c r="H43" s="48">
        <f>'CHI'!AA26</f>
        <v/>
      </c>
      <c r="I43" s="48">
        <f>'CHI'!AB26</f>
        <v/>
      </c>
      <c r="J43" s="49">
        <f>'CHI'!AD26</f>
        <v/>
      </c>
      <c r="K43" s="49">
        <f>'CHI'!AE26</f>
        <v/>
      </c>
    </row>
    <row r="44">
      <c r="A44">
        <f>'CHI'!B27</f>
        <v/>
      </c>
      <c r="B44" t="inlineStr">
        <is>
          <t>CHI</t>
        </is>
      </c>
      <c r="C44" t="inlineStr">
        <is>
          <t>RB</t>
        </is>
      </c>
      <c r="D44" s="48">
        <f>'CHI'!V27</f>
        <v/>
      </c>
      <c r="E44" s="48">
        <f>'CHI'!W27</f>
        <v/>
      </c>
      <c r="F44" s="48">
        <f>'CHI'!X27</f>
        <v/>
      </c>
      <c r="G44" s="49">
        <f>'CHI'!Z27</f>
        <v/>
      </c>
      <c r="H44" s="48">
        <f>'CHI'!AA27</f>
        <v/>
      </c>
      <c r="I44" s="48">
        <f>'CHI'!AB27</f>
        <v/>
      </c>
      <c r="J44" s="49">
        <f>'CHI'!AD27</f>
        <v/>
      </c>
      <c r="K44" s="49">
        <f>'CHI'!AE27</f>
        <v/>
      </c>
    </row>
    <row r="45">
      <c r="A45">
        <f>'CIN'!B21</f>
        <v/>
      </c>
      <c r="B45" t="inlineStr">
        <is>
          <t>CIN</t>
        </is>
      </c>
      <c r="C45" t="inlineStr">
        <is>
          <t>RB</t>
        </is>
      </c>
      <c r="D45" s="48">
        <f>'CIN'!V21</f>
        <v/>
      </c>
      <c r="E45" s="48">
        <f>'CIN'!W21</f>
        <v/>
      </c>
      <c r="F45" s="48">
        <f>'CIN'!X21</f>
        <v/>
      </c>
      <c r="G45" s="49">
        <f>'CIN'!Z21</f>
        <v/>
      </c>
      <c r="H45" s="48">
        <f>'CIN'!AA21</f>
        <v/>
      </c>
      <c r="I45" s="48">
        <f>'CIN'!AB21</f>
        <v/>
      </c>
      <c r="J45" s="49">
        <f>'CIN'!AD21</f>
        <v/>
      </c>
      <c r="K45" s="49">
        <f>'CIN'!AE21</f>
        <v/>
      </c>
    </row>
    <row r="46">
      <c r="A46">
        <f>'CIN'!B22</f>
        <v/>
      </c>
      <c r="B46" t="inlineStr">
        <is>
          <t>CIN</t>
        </is>
      </c>
      <c r="C46" t="inlineStr">
        <is>
          <t>RB</t>
        </is>
      </c>
      <c r="D46" s="48">
        <f>'CIN'!V22</f>
        <v/>
      </c>
      <c r="E46" s="48">
        <f>'CIN'!W22</f>
        <v/>
      </c>
      <c r="F46" s="48">
        <f>'CIN'!X22</f>
        <v/>
      </c>
      <c r="G46" s="49">
        <f>'CIN'!Z22</f>
        <v/>
      </c>
      <c r="H46" s="48">
        <f>'CIN'!AA22</f>
        <v/>
      </c>
      <c r="I46" s="48">
        <f>'CIN'!AB22</f>
        <v/>
      </c>
      <c r="J46" s="49">
        <f>'CIN'!AD22</f>
        <v/>
      </c>
      <c r="K46" s="49">
        <f>'CIN'!AE22</f>
        <v/>
      </c>
    </row>
    <row r="47">
      <c r="A47">
        <f>'CIN'!B23</f>
        <v/>
      </c>
      <c r="B47" t="inlineStr">
        <is>
          <t>CIN</t>
        </is>
      </c>
      <c r="C47" t="inlineStr">
        <is>
          <t>RB</t>
        </is>
      </c>
      <c r="D47" s="48">
        <f>'CIN'!V23</f>
        <v/>
      </c>
      <c r="E47" s="48">
        <f>'CIN'!W23</f>
        <v/>
      </c>
      <c r="F47" s="48">
        <f>'CIN'!X23</f>
        <v/>
      </c>
      <c r="G47" s="49">
        <f>'CIN'!Z23</f>
        <v/>
      </c>
      <c r="H47" s="48">
        <f>'CIN'!AA23</f>
        <v/>
      </c>
      <c r="I47" s="48">
        <f>'CIN'!AB23</f>
        <v/>
      </c>
      <c r="J47" s="49">
        <f>'CIN'!AD23</f>
        <v/>
      </c>
      <c r="K47" s="49">
        <f>'CIN'!AE23</f>
        <v/>
      </c>
    </row>
    <row r="48">
      <c r="A48">
        <f>'CIN'!B24</f>
        <v/>
      </c>
      <c r="B48" t="inlineStr">
        <is>
          <t>CIN</t>
        </is>
      </c>
      <c r="C48" t="inlineStr">
        <is>
          <t>RB</t>
        </is>
      </c>
      <c r="D48" s="48">
        <f>'CIN'!V24</f>
        <v/>
      </c>
      <c r="E48" s="48">
        <f>'CIN'!W24</f>
        <v/>
      </c>
      <c r="F48" s="48">
        <f>'CIN'!X24</f>
        <v/>
      </c>
      <c r="G48" s="49">
        <f>'CIN'!Z24</f>
        <v/>
      </c>
      <c r="H48" s="48">
        <f>'CIN'!AA24</f>
        <v/>
      </c>
      <c r="I48" s="48">
        <f>'CIN'!AB24</f>
        <v/>
      </c>
      <c r="J48" s="49">
        <f>'CIN'!AD24</f>
        <v/>
      </c>
      <c r="K48" s="49">
        <f>'CIN'!AE24</f>
        <v/>
      </c>
    </row>
    <row r="49">
      <c r="A49">
        <f>'CIN'!B25</f>
        <v/>
      </c>
      <c r="B49" t="inlineStr">
        <is>
          <t>CIN</t>
        </is>
      </c>
      <c r="C49" t="inlineStr">
        <is>
          <t>RB</t>
        </is>
      </c>
      <c r="D49" s="48">
        <f>'CIN'!V25</f>
        <v/>
      </c>
      <c r="E49" s="48">
        <f>'CIN'!W25</f>
        <v/>
      </c>
      <c r="F49" s="48">
        <f>'CIN'!X25</f>
        <v/>
      </c>
      <c r="G49" s="49">
        <f>'CIN'!Z25</f>
        <v/>
      </c>
      <c r="H49" s="48">
        <f>'CIN'!AA25</f>
        <v/>
      </c>
      <c r="I49" s="48">
        <f>'CIN'!AB25</f>
        <v/>
      </c>
      <c r="J49" s="49">
        <f>'CIN'!AD25</f>
        <v/>
      </c>
      <c r="K49" s="49">
        <f>'CIN'!AE25</f>
        <v/>
      </c>
    </row>
    <row r="50">
      <c r="A50">
        <f>'CIN'!B26</f>
        <v/>
      </c>
      <c r="B50" t="inlineStr">
        <is>
          <t>CIN</t>
        </is>
      </c>
      <c r="C50" t="inlineStr">
        <is>
          <t>RB</t>
        </is>
      </c>
      <c r="D50" s="48">
        <f>'CIN'!V26</f>
        <v/>
      </c>
      <c r="E50" s="48">
        <f>'CIN'!W26</f>
        <v/>
      </c>
      <c r="F50" s="48">
        <f>'CIN'!X26</f>
        <v/>
      </c>
      <c r="G50" s="49">
        <f>'CIN'!Z26</f>
        <v/>
      </c>
      <c r="H50" s="48">
        <f>'CIN'!AA26</f>
        <v/>
      </c>
      <c r="I50" s="48">
        <f>'CIN'!AB26</f>
        <v/>
      </c>
      <c r="J50" s="49">
        <f>'CIN'!AD26</f>
        <v/>
      </c>
      <c r="K50" s="49">
        <f>'CIN'!AE26</f>
        <v/>
      </c>
    </row>
    <row r="51">
      <c r="A51">
        <f>'CIN'!B27</f>
        <v/>
      </c>
      <c r="B51" t="inlineStr">
        <is>
          <t>CIN</t>
        </is>
      </c>
      <c r="C51" t="inlineStr">
        <is>
          <t>RB</t>
        </is>
      </c>
      <c r="D51" s="48">
        <f>'CIN'!V27</f>
        <v/>
      </c>
      <c r="E51" s="48">
        <f>'CIN'!W27</f>
        <v/>
      </c>
      <c r="F51" s="48">
        <f>'CIN'!X27</f>
        <v/>
      </c>
      <c r="G51" s="49">
        <f>'CIN'!Z27</f>
        <v/>
      </c>
      <c r="H51" s="48">
        <f>'CIN'!AA27</f>
        <v/>
      </c>
      <c r="I51" s="48">
        <f>'CIN'!AB27</f>
        <v/>
      </c>
      <c r="J51" s="49">
        <f>'CIN'!AD27</f>
        <v/>
      </c>
      <c r="K51" s="49">
        <f>'CIN'!AE27</f>
        <v/>
      </c>
    </row>
    <row r="52">
      <c r="A52">
        <f>'CLE'!B21</f>
        <v/>
      </c>
      <c r="B52" t="inlineStr">
        <is>
          <t>CLE</t>
        </is>
      </c>
      <c r="C52" t="inlineStr">
        <is>
          <t>RB</t>
        </is>
      </c>
      <c r="D52" s="48">
        <f>'CLE'!V21</f>
        <v/>
      </c>
      <c r="E52" s="48">
        <f>'CLE'!W21</f>
        <v/>
      </c>
      <c r="F52" s="48">
        <f>'CLE'!X21</f>
        <v/>
      </c>
      <c r="G52" s="49">
        <f>'CLE'!Z21</f>
        <v/>
      </c>
      <c r="H52" s="48">
        <f>'CLE'!AA21</f>
        <v/>
      </c>
      <c r="I52" s="48">
        <f>'CLE'!AB21</f>
        <v/>
      </c>
      <c r="J52" s="49">
        <f>'CLE'!AD21</f>
        <v/>
      </c>
      <c r="K52" s="49">
        <f>'CLE'!AE21</f>
        <v/>
      </c>
    </row>
    <row r="53">
      <c r="A53">
        <f>'CLE'!B22</f>
        <v/>
      </c>
      <c r="B53" t="inlineStr">
        <is>
          <t>CLE</t>
        </is>
      </c>
      <c r="C53" t="inlineStr">
        <is>
          <t>RB</t>
        </is>
      </c>
      <c r="D53" s="48">
        <f>'CLE'!V22</f>
        <v/>
      </c>
      <c r="E53" s="48">
        <f>'CLE'!W22</f>
        <v/>
      </c>
      <c r="F53" s="48">
        <f>'CLE'!X22</f>
        <v/>
      </c>
      <c r="G53" s="49">
        <f>'CLE'!Z22</f>
        <v/>
      </c>
      <c r="H53" s="48">
        <f>'CLE'!AA22</f>
        <v/>
      </c>
      <c r="I53" s="48">
        <f>'CLE'!AB22</f>
        <v/>
      </c>
      <c r="J53" s="49">
        <f>'CLE'!AD22</f>
        <v/>
      </c>
      <c r="K53" s="49">
        <f>'CLE'!AE22</f>
        <v/>
      </c>
    </row>
    <row r="54">
      <c r="A54">
        <f>'CLE'!B23</f>
        <v/>
      </c>
      <c r="B54" t="inlineStr">
        <is>
          <t>CLE</t>
        </is>
      </c>
      <c r="C54" t="inlineStr">
        <is>
          <t>RB</t>
        </is>
      </c>
      <c r="D54" s="48">
        <f>'CLE'!V23</f>
        <v/>
      </c>
      <c r="E54" s="48">
        <f>'CLE'!W23</f>
        <v/>
      </c>
      <c r="F54" s="48">
        <f>'CLE'!X23</f>
        <v/>
      </c>
      <c r="G54" s="49">
        <f>'CLE'!Z23</f>
        <v/>
      </c>
      <c r="H54" s="48">
        <f>'CLE'!AA23</f>
        <v/>
      </c>
      <c r="I54" s="48">
        <f>'CLE'!AB23</f>
        <v/>
      </c>
      <c r="J54" s="49">
        <f>'CLE'!AD23</f>
        <v/>
      </c>
      <c r="K54" s="49">
        <f>'CLE'!AE23</f>
        <v/>
      </c>
    </row>
    <row r="55">
      <c r="A55">
        <f>'CLE'!B24</f>
        <v/>
      </c>
      <c r="B55" t="inlineStr">
        <is>
          <t>CLE</t>
        </is>
      </c>
      <c r="C55" t="inlineStr">
        <is>
          <t>RB</t>
        </is>
      </c>
      <c r="D55" s="48">
        <f>'CLE'!V24</f>
        <v/>
      </c>
      <c r="E55" s="48">
        <f>'CLE'!W24</f>
        <v/>
      </c>
      <c r="F55" s="48">
        <f>'CLE'!X24</f>
        <v/>
      </c>
      <c r="G55" s="49">
        <f>'CLE'!Z24</f>
        <v/>
      </c>
      <c r="H55" s="48">
        <f>'CLE'!AA24</f>
        <v/>
      </c>
      <c r="I55" s="48">
        <f>'CLE'!AB24</f>
        <v/>
      </c>
      <c r="J55" s="49">
        <f>'CLE'!AD24</f>
        <v/>
      </c>
      <c r="K55" s="49">
        <f>'CLE'!AE24</f>
        <v/>
      </c>
    </row>
    <row r="56">
      <c r="A56">
        <f>'CLE'!B25</f>
        <v/>
      </c>
      <c r="B56" t="inlineStr">
        <is>
          <t>CLE</t>
        </is>
      </c>
      <c r="C56" t="inlineStr">
        <is>
          <t>RB</t>
        </is>
      </c>
      <c r="D56" s="48">
        <f>'CLE'!V25</f>
        <v/>
      </c>
      <c r="E56" s="48">
        <f>'CLE'!W25</f>
        <v/>
      </c>
      <c r="F56" s="48">
        <f>'CLE'!X25</f>
        <v/>
      </c>
      <c r="G56" s="49">
        <f>'CLE'!Z25</f>
        <v/>
      </c>
      <c r="H56" s="48">
        <f>'CLE'!AA25</f>
        <v/>
      </c>
      <c r="I56" s="48">
        <f>'CLE'!AB25</f>
        <v/>
      </c>
      <c r="J56" s="49">
        <f>'CLE'!AD25</f>
        <v/>
      </c>
      <c r="K56" s="49">
        <f>'CLE'!AE25</f>
        <v/>
      </c>
    </row>
    <row r="57">
      <c r="A57">
        <f>'CLE'!B26</f>
        <v/>
      </c>
      <c r="B57" t="inlineStr">
        <is>
          <t>CLE</t>
        </is>
      </c>
      <c r="C57" t="inlineStr">
        <is>
          <t>RB</t>
        </is>
      </c>
      <c r="D57" s="48">
        <f>'CLE'!V26</f>
        <v/>
      </c>
      <c r="E57" s="48">
        <f>'CLE'!W26</f>
        <v/>
      </c>
      <c r="F57" s="48">
        <f>'CLE'!X26</f>
        <v/>
      </c>
      <c r="G57" s="49">
        <f>'CLE'!Z26</f>
        <v/>
      </c>
      <c r="H57" s="48">
        <f>'CLE'!AA26</f>
        <v/>
      </c>
      <c r="I57" s="48">
        <f>'CLE'!AB26</f>
        <v/>
      </c>
      <c r="J57" s="49">
        <f>'CLE'!AD26</f>
        <v/>
      </c>
      <c r="K57" s="49">
        <f>'CLE'!AE26</f>
        <v/>
      </c>
    </row>
    <row r="58">
      <c r="A58">
        <f>'CLE'!B27</f>
        <v/>
      </c>
      <c r="B58" t="inlineStr">
        <is>
          <t>CLE</t>
        </is>
      </c>
      <c r="C58" t="inlineStr">
        <is>
          <t>RB</t>
        </is>
      </c>
      <c r="D58" s="48">
        <f>'CLE'!V27</f>
        <v/>
      </c>
      <c r="E58" s="48">
        <f>'CLE'!W27</f>
        <v/>
      </c>
      <c r="F58" s="48">
        <f>'CLE'!X27</f>
        <v/>
      </c>
      <c r="G58" s="49">
        <f>'CLE'!Z27</f>
        <v/>
      </c>
      <c r="H58" s="48">
        <f>'CLE'!AA27</f>
        <v/>
      </c>
      <c r="I58" s="48">
        <f>'CLE'!AB27</f>
        <v/>
      </c>
      <c r="J58" s="49">
        <f>'CLE'!AD27</f>
        <v/>
      </c>
      <c r="K58" s="49">
        <f>'CLE'!AE27</f>
        <v/>
      </c>
    </row>
    <row r="59">
      <c r="A59">
        <f>'DAL'!B21</f>
        <v/>
      </c>
      <c r="B59" t="inlineStr">
        <is>
          <t>DAL</t>
        </is>
      </c>
      <c r="C59" t="inlineStr">
        <is>
          <t>RB</t>
        </is>
      </c>
      <c r="D59" s="48">
        <f>'DAL'!V21</f>
        <v/>
      </c>
      <c r="E59" s="48">
        <f>'DAL'!W21</f>
        <v/>
      </c>
      <c r="F59" s="48">
        <f>'DAL'!X21</f>
        <v/>
      </c>
      <c r="G59" s="49">
        <f>'DAL'!Z21</f>
        <v/>
      </c>
      <c r="H59" s="48">
        <f>'DAL'!AA21</f>
        <v/>
      </c>
      <c r="I59" s="48">
        <f>'DAL'!AB21</f>
        <v/>
      </c>
      <c r="J59" s="49">
        <f>'DAL'!AD21</f>
        <v/>
      </c>
      <c r="K59" s="49">
        <f>'DAL'!AE21</f>
        <v/>
      </c>
    </row>
    <row r="60">
      <c r="A60">
        <f>'DAL'!B22</f>
        <v/>
      </c>
      <c r="B60" t="inlineStr">
        <is>
          <t>DAL</t>
        </is>
      </c>
      <c r="C60" t="inlineStr">
        <is>
          <t>RB</t>
        </is>
      </c>
      <c r="D60" s="48">
        <f>'DAL'!V22</f>
        <v/>
      </c>
      <c r="E60" s="48">
        <f>'DAL'!W22</f>
        <v/>
      </c>
      <c r="F60" s="48">
        <f>'DAL'!X22</f>
        <v/>
      </c>
      <c r="G60" s="49">
        <f>'DAL'!Z22</f>
        <v/>
      </c>
      <c r="H60" s="48">
        <f>'DAL'!AA22</f>
        <v/>
      </c>
      <c r="I60" s="48">
        <f>'DAL'!AB22</f>
        <v/>
      </c>
      <c r="J60" s="49">
        <f>'DAL'!AD22</f>
        <v/>
      </c>
      <c r="K60" s="49">
        <f>'DAL'!AE22</f>
        <v/>
      </c>
    </row>
    <row r="61">
      <c r="A61">
        <f>'DAL'!B23</f>
        <v/>
      </c>
      <c r="B61" t="inlineStr">
        <is>
          <t>DAL</t>
        </is>
      </c>
      <c r="C61" t="inlineStr">
        <is>
          <t>RB</t>
        </is>
      </c>
      <c r="D61" s="48">
        <f>'DAL'!V23</f>
        <v/>
      </c>
      <c r="E61" s="48">
        <f>'DAL'!W23</f>
        <v/>
      </c>
      <c r="F61" s="48">
        <f>'DAL'!X23</f>
        <v/>
      </c>
      <c r="G61" s="49">
        <f>'DAL'!Z23</f>
        <v/>
      </c>
      <c r="H61" s="48">
        <f>'DAL'!AA23</f>
        <v/>
      </c>
      <c r="I61" s="48">
        <f>'DAL'!AB23</f>
        <v/>
      </c>
      <c r="J61" s="49">
        <f>'DAL'!AD23</f>
        <v/>
      </c>
      <c r="K61" s="49">
        <f>'DAL'!AE23</f>
        <v/>
      </c>
    </row>
    <row r="62">
      <c r="A62">
        <f>'DAL'!B24</f>
        <v/>
      </c>
      <c r="B62" t="inlineStr">
        <is>
          <t>DAL</t>
        </is>
      </c>
      <c r="C62" t="inlineStr">
        <is>
          <t>RB</t>
        </is>
      </c>
      <c r="D62" s="48">
        <f>'DAL'!V24</f>
        <v/>
      </c>
      <c r="E62" s="48">
        <f>'DAL'!W24</f>
        <v/>
      </c>
      <c r="F62" s="48">
        <f>'DAL'!X24</f>
        <v/>
      </c>
      <c r="G62" s="49">
        <f>'DAL'!Z24</f>
        <v/>
      </c>
      <c r="H62" s="48">
        <f>'DAL'!AA24</f>
        <v/>
      </c>
      <c r="I62" s="48">
        <f>'DAL'!AB24</f>
        <v/>
      </c>
      <c r="J62" s="49">
        <f>'DAL'!AD24</f>
        <v/>
      </c>
      <c r="K62" s="49">
        <f>'DAL'!AE24</f>
        <v/>
      </c>
    </row>
    <row r="63">
      <c r="A63">
        <f>'DAL'!B25</f>
        <v/>
      </c>
      <c r="B63" t="inlineStr">
        <is>
          <t>DAL</t>
        </is>
      </c>
      <c r="C63" t="inlineStr">
        <is>
          <t>RB</t>
        </is>
      </c>
      <c r="D63" s="48">
        <f>'DAL'!V25</f>
        <v/>
      </c>
      <c r="E63" s="48">
        <f>'DAL'!W25</f>
        <v/>
      </c>
      <c r="F63" s="48">
        <f>'DAL'!X25</f>
        <v/>
      </c>
      <c r="G63" s="49">
        <f>'DAL'!Z25</f>
        <v/>
      </c>
      <c r="H63" s="48">
        <f>'DAL'!AA25</f>
        <v/>
      </c>
      <c r="I63" s="48">
        <f>'DAL'!AB25</f>
        <v/>
      </c>
      <c r="J63" s="49">
        <f>'DAL'!AD25</f>
        <v/>
      </c>
      <c r="K63" s="49">
        <f>'DAL'!AE25</f>
        <v/>
      </c>
    </row>
    <row r="64">
      <c r="A64">
        <f>'DAL'!B26</f>
        <v/>
      </c>
      <c r="B64" t="inlineStr">
        <is>
          <t>DAL</t>
        </is>
      </c>
      <c r="C64" t="inlineStr">
        <is>
          <t>RB</t>
        </is>
      </c>
      <c r="D64" s="48">
        <f>'DAL'!V26</f>
        <v/>
      </c>
      <c r="E64" s="48">
        <f>'DAL'!W26</f>
        <v/>
      </c>
      <c r="F64" s="48">
        <f>'DAL'!X26</f>
        <v/>
      </c>
      <c r="G64" s="49">
        <f>'DAL'!Z26</f>
        <v/>
      </c>
      <c r="H64" s="48">
        <f>'DAL'!AA26</f>
        <v/>
      </c>
      <c r="I64" s="48">
        <f>'DAL'!AB26</f>
        <v/>
      </c>
      <c r="J64" s="49">
        <f>'DAL'!AD26</f>
        <v/>
      </c>
      <c r="K64" s="49">
        <f>'DAL'!AE26</f>
        <v/>
      </c>
    </row>
    <row r="65">
      <c r="A65">
        <f>'DAL'!B27</f>
        <v/>
      </c>
      <c r="B65" t="inlineStr">
        <is>
          <t>DAL</t>
        </is>
      </c>
      <c r="C65" t="inlineStr">
        <is>
          <t>RB</t>
        </is>
      </c>
      <c r="D65" s="48">
        <f>'DAL'!V27</f>
        <v/>
      </c>
      <c r="E65" s="48">
        <f>'DAL'!W27</f>
        <v/>
      </c>
      <c r="F65" s="48">
        <f>'DAL'!X27</f>
        <v/>
      </c>
      <c r="G65" s="49">
        <f>'DAL'!Z27</f>
        <v/>
      </c>
      <c r="H65" s="48">
        <f>'DAL'!AA27</f>
        <v/>
      </c>
      <c r="I65" s="48">
        <f>'DAL'!AB27</f>
        <v/>
      </c>
      <c r="J65" s="49">
        <f>'DAL'!AD27</f>
        <v/>
      </c>
      <c r="K65" s="49">
        <f>'DAL'!AE27</f>
        <v/>
      </c>
    </row>
    <row r="66">
      <c r="A66">
        <f>'DEN'!B21</f>
        <v/>
      </c>
      <c r="B66" t="inlineStr">
        <is>
          <t>DEN</t>
        </is>
      </c>
      <c r="C66" t="inlineStr">
        <is>
          <t>RB</t>
        </is>
      </c>
      <c r="D66" s="48">
        <f>'DEN'!V21</f>
        <v/>
      </c>
      <c r="E66" s="48">
        <f>'DEN'!W21</f>
        <v/>
      </c>
      <c r="F66" s="48">
        <f>'DEN'!X21</f>
        <v/>
      </c>
      <c r="G66" s="49">
        <f>'DEN'!Z21</f>
        <v/>
      </c>
      <c r="H66" s="48">
        <f>'DEN'!AA21</f>
        <v/>
      </c>
      <c r="I66" s="48">
        <f>'DEN'!AB21</f>
        <v/>
      </c>
      <c r="J66" s="49">
        <f>'DEN'!AD21</f>
        <v/>
      </c>
      <c r="K66" s="49">
        <f>'DEN'!AE21</f>
        <v/>
      </c>
    </row>
    <row r="67">
      <c r="A67">
        <f>'DEN'!B22</f>
        <v/>
      </c>
      <c r="B67" t="inlineStr">
        <is>
          <t>DEN</t>
        </is>
      </c>
      <c r="C67" t="inlineStr">
        <is>
          <t>RB</t>
        </is>
      </c>
      <c r="D67" s="48">
        <f>'DEN'!V22</f>
        <v/>
      </c>
      <c r="E67" s="48">
        <f>'DEN'!W22</f>
        <v/>
      </c>
      <c r="F67" s="48">
        <f>'DEN'!X22</f>
        <v/>
      </c>
      <c r="G67" s="49">
        <f>'DEN'!Z22</f>
        <v/>
      </c>
      <c r="H67" s="48">
        <f>'DEN'!AA22</f>
        <v/>
      </c>
      <c r="I67" s="48">
        <f>'DEN'!AB22</f>
        <v/>
      </c>
      <c r="J67" s="49">
        <f>'DEN'!AD22</f>
        <v/>
      </c>
      <c r="K67" s="49">
        <f>'DEN'!AE22</f>
        <v/>
      </c>
    </row>
    <row r="68">
      <c r="A68">
        <f>'DEN'!B23</f>
        <v/>
      </c>
      <c r="B68" t="inlineStr">
        <is>
          <t>DEN</t>
        </is>
      </c>
      <c r="C68" t="inlineStr">
        <is>
          <t>RB</t>
        </is>
      </c>
      <c r="D68" s="48">
        <f>'DEN'!V23</f>
        <v/>
      </c>
      <c r="E68" s="48">
        <f>'DEN'!W23</f>
        <v/>
      </c>
      <c r="F68" s="48">
        <f>'DEN'!X23</f>
        <v/>
      </c>
      <c r="G68" s="49">
        <f>'DEN'!Z23</f>
        <v/>
      </c>
      <c r="H68" s="48">
        <f>'DEN'!AA23</f>
        <v/>
      </c>
      <c r="I68" s="48">
        <f>'DEN'!AB23</f>
        <v/>
      </c>
      <c r="J68" s="49">
        <f>'DEN'!AD23</f>
        <v/>
      </c>
      <c r="K68" s="49">
        <f>'DEN'!AE23</f>
        <v/>
      </c>
    </row>
    <row r="69">
      <c r="A69">
        <f>'DEN'!B24</f>
        <v/>
      </c>
      <c r="B69" t="inlineStr">
        <is>
          <t>DEN</t>
        </is>
      </c>
      <c r="C69" t="inlineStr">
        <is>
          <t>RB</t>
        </is>
      </c>
      <c r="D69" s="48">
        <f>'DEN'!V24</f>
        <v/>
      </c>
      <c r="E69" s="48">
        <f>'DEN'!W24</f>
        <v/>
      </c>
      <c r="F69" s="48">
        <f>'DEN'!X24</f>
        <v/>
      </c>
      <c r="G69" s="49">
        <f>'DEN'!Z24</f>
        <v/>
      </c>
      <c r="H69" s="48">
        <f>'DEN'!AA24</f>
        <v/>
      </c>
      <c r="I69" s="48">
        <f>'DEN'!AB24</f>
        <v/>
      </c>
      <c r="J69" s="49">
        <f>'DEN'!AD24</f>
        <v/>
      </c>
      <c r="K69" s="49">
        <f>'DEN'!AE24</f>
        <v/>
      </c>
    </row>
    <row r="70">
      <c r="A70">
        <f>'DEN'!B25</f>
        <v/>
      </c>
      <c r="B70" t="inlineStr">
        <is>
          <t>DEN</t>
        </is>
      </c>
      <c r="C70" t="inlineStr">
        <is>
          <t>RB</t>
        </is>
      </c>
      <c r="D70" s="48">
        <f>'DEN'!V25</f>
        <v/>
      </c>
      <c r="E70" s="48">
        <f>'DEN'!W25</f>
        <v/>
      </c>
      <c r="F70" s="48">
        <f>'DEN'!X25</f>
        <v/>
      </c>
      <c r="G70" s="49">
        <f>'DEN'!Z25</f>
        <v/>
      </c>
      <c r="H70" s="48">
        <f>'DEN'!AA25</f>
        <v/>
      </c>
      <c r="I70" s="48">
        <f>'DEN'!AB25</f>
        <v/>
      </c>
      <c r="J70" s="49">
        <f>'DEN'!AD25</f>
        <v/>
      </c>
      <c r="K70" s="49">
        <f>'DEN'!AE25</f>
        <v/>
      </c>
    </row>
    <row r="71">
      <c r="A71">
        <f>'DEN'!B26</f>
        <v/>
      </c>
      <c r="B71" t="inlineStr">
        <is>
          <t>DEN</t>
        </is>
      </c>
      <c r="C71" t="inlineStr">
        <is>
          <t>RB</t>
        </is>
      </c>
      <c r="D71" s="48">
        <f>'DEN'!V26</f>
        <v/>
      </c>
      <c r="E71" s="48">
        <f>'DEN'!W26</f>
        <v/>
      </c>
      <c r="F71" s="48">
        <f>'DEN'!X26</f>
        <v/>
      </c>
      <c r="G71" s="49">
        <f>'DEN'!Z26</f>
        <v/>
      </c>
      <c r="H71" s="48">
        <f>'DEN'!AA26</f>
        <v/>
      </c>
      <c r="I71" s="48">
        <f>'DEN'!AB26</f>
        <v/>
      </c>
      <c r="J71" s="49">
        <f>'DEN'!AD26</f>
        <v/>
      </c>
      <c r="K71" s="49">
        <f>'DEN'!AE26</f>
        <v/>
      </c>
    </row>
    <row r="72">
      <c r="A72">
        <f>'DEN'!B27</f>
        <v/>
      </c>
      <c r="B72" t="inlineStr">
        <is>
          <t>DEN</t>
        </is>
      </c>
      <c r="C72" t="inlineStr">
        <is>
          <t>RB</t>
        </is>
      </c>
      <c r="D72" s="48">
        <f>'DEN'!V27</f>
        <v/>
      </c>
      <c r="E72" s="48">
        <f>'DEN'!W27</f>
        <v/>
      </c>
      <c r="F72" s="48">
        <f>'DEN'!X27</f>
        <v/>
      </c>
      <c r="G72" s="49">
        <f>'DEN'!Z27</f>
        <v/>
      </c>
      <c r="H72" s="48">
        <f>'DEN'!AA27</f>
        <v/>
      </c>
      <c r="I72" s="48">
        <f>'DEN'!AB27</f>
        <v/>
      </c>
      <c r="J72" s="49">
        <f>'DEN'!AD27</f>
        <v/>
      </c>
      <c r="K72" s="49">
        <f>'DEN'!AE27</f>
        <v/>
      </c>
    </row>
    <row r="73">
      <c r="A73">
        <f>'DET'!B21</f>
        <v/>
      </c>
      <c r="B73" t="inlineStr">
        <is>
          <t>DET</t>
        </is>
      </c>
      <c r="C73" t="inlineStr">
        <is>
          <t>RB</t>
        </is>
      </c>
      <c r="D73" s="48">
        <f>'DET'!V21</f>
        <v/>
      </c>
      <c r="E73" s="48">
        <f>'DET'!W21</f>
        <v/>
      </c>
      <c r="F73" s="48">
        <f>'DET'!X21</f>
        <v/>
      </c>
      <c r="G73" s="49">
        <f>'DET'!Z21</f>
        <v/>
      </c>
      <c r="H73" s="48">
        <f>'DET'!AA21</f>
        <v/>
      </c>
      <c r="I73" s="48">
        <f>'DET'!AB21</f>
        <v/>
      </c>
      <c r="J73" s="49">
        <f>'DET'!AD21</f>
        <v/>
      </c>
      <c r="K73" s="49">
        <f>'DET'!AE21</f>
        <v/>
      </c>
    </row>
    <row r="74">
      <c r="A74">
        <f>'DET'!B22</f>
        <v/>
      </c>
      <c r="B74" t="inlineStr">
        <is>
          <t>DET</t>
        </is>
      </c>
      <c r="C74" t="inlineStr">
        <is>
          <t>RB</t>
        </is>
      </c>
      <c r="D74" s="48">
        <f>'DET'!V22</f>
        <v/>
      </c>
      <c r="E74" s="48">
        <f>'DET'!W22</f>
        <v/>
      </c>
      <c r="F74" s="48">
        <f>'DET'!X22</f>
        <v/>
      </c>
      <c r="G74" s="49">
        <f>'DET'!Z22</f>
        <v/>
      </c>
      <c r="H74" s="48">
        <f>'DET'!AA22</f>
        <v/>
      </c>
      <c r="I74" s="48">
        <f>'DET'!AB22</f>
        <v/>
      </c>
      <c r="J74" s="49">
        <f>'DET'!AD22</f>
        <v/>
      </c>
      <c r="K74" s="49">
        <f>'DET'!AE22</f>
        <v/>
      </c>
    </row>
    <row r="75">
      <c r="A75">
        <f>'DET'!B23</f>
        <v/>
      </c>
      <c r="B75" t="inlineStr">
        <is>
          <t>DET</t>
        </is>
      </c>
      <c r="C75" t="inlineStr">
        <is>
          <t>RB</t>
        </is>
      </c>
      <c r="D75" s="48">
        <f>'DET'!V23</f>
        <v/>
      </c>
      <c r="E75" s="48">
        <f>'DET'!W23</f>
        <v/>
      </c>
      <c r="F75" s="48">
        <f>'DET'!X23</f>
        <v/>
      </c>
      <c r="G75" s="49">
        <f>'DET'!Z23</f>
        <v/>
      </c>
      <c r="H75" s="48">
        <f>'DET'!AA23</f>
        <v/>
      </c>
      <c r="I75" s="48">
        <f>'DET'!AB23</f>
        <v/>
      </c>
      <c r="J75" s="49">
        <f>'DET'!AD23</f>
        <v/>
      </c>
      <c r="K75" s="49">
        <f>'DET'!AE23</f>
        <v/>
      </c>
    </row>
    <row r="76">
      <c r="A76">
        <f>'DET'!B24</f>
        <v/>
      </c>
      <c r="B76" t="inlineStr">
        <is>
          <t>DET</t>
        </is>
      </c>
      <c r="C76" t="inlineStr">
        <is>
          <t>RB</t>
        </is>
      </c>
      <c r="D76" s="48">
        <f>'DET'!V24</f>
        <v/>
      </c>
      <c r="E76" s="48">
        <f>'DET'!W24</f>
        <v/>
      </c>
      <c r="F76" s="48">
        <f>'DET'!X24</f>
        <v/>
      </c>
      <c r="G76" s="49">
        <f>'DET'!Z24</f>
        <v/>
      </c>
      <c r="H76" s="48">
        <f>'DET'!AA24</f>
        <v/>
      </c>
      <c r="I76" s="48">
        <f>'DET'!AB24</f>
        <v/>
      </c>
      <c r="J76" s="49">
        <f>'DET'!AD24</f>
        <v/>
      </c>
      <c r="K76" s="49">
        <f>'DET'!AE24</f>
        <v/>
      </c>
    </row>
    <row r="77">
      <c r="A77">
        <f>'DET'!B25</f>
        <v/>
      </c>
      <c r="B77" t="inlineStr">
        <is>
          <t>DET</t>
        </is>
      </c>
      <c r="C77" t="inlineStr">
        <is>
          <t>RB</t>
        </is>
      </c>
      <c r="D77" s="48">
        <f>'DET'!V25</f>
        <v/>
      </c>
      <c r="E77" s="48">
        <f>'DET'!W25</f>
        <v/>
      </c>
      <c r="F77" s="48">
        <f>'DET'!X25</f>
        <v/>
      </c>
      <c r="G77" s="49">
        <f>'DET'!Z25</f>
        <v/>
      </c>
      <c r="H77" s="48">
        <f>'DET'!AA25</f>
        <v/>
      </c>
      <c r="I77" s="48">
        <f>'DET'!AB25</f>
        <v/>
      </c>
      <c r="J77" s="49">
        <f>'DET'!AD25</f>
        <v/>
      </c>
      <c r="K77" s="49">
        <f>'DET'!AE25</f>
        <v/>
      </c>
    </row>
    <row r="78">
      <c r="A78">
        <f>'DET'!B26</f>
        <v/>
      </c>
      <c r="B78" t="inlineStr">
        <is>
          <t>DET</t>
        </is>
      </c>
      <c r="C78" t="inlineStr">
        <is>
          <t>RB</t>
        </is>
      </c>
      <c r="D78" s="48">
        <f>'DET'!V26</f>
        <v/>
      </c>
      <c r="E78" s="48">
        <f>'DET'!W26</f>
        <v/>
      </c>
      <c r="F78" s="48">
        <f>'DET'!X26</f>
        <v/>
      </c>
      <c r="G78" s="49">
        <f>'DET'!Z26</f>
        <v/>
      </c>
      <c r="H78" s="48">
        <f>'DET'!AA26</f>
        <v/>
      </c>
      <c r="I78" s="48">
        <f>'DET'!AB26</f>
        <v/>
      </c>
      <c r="J78" s="49">
        <f>'DET'!AD26</f>
        <v/>
      </c>
      <c r="K78" s="49">
        <f>'DET'!AE26</f>
        <v/>
      </c>
    </row>
    <row r="79">
      <c r="A79">
        <f>'DET'!B27</f>
        <v/>
      </c>
      <c r="B79" t="inlineStr">
        <is>
          <t>DET</t>
        </is>
      </c>
      <c r="C79" t="inlineStr">
        <is>
          <t>RB</t>
        </is>
      </c>
      <c r="D79" s="48">
        <f>'DET'!V27</f>
        <v/>
      </c>
      <c r="E79" s="48">
        <f>'DET'!W27</f>
        <v/>
      </c>
      <c r="F79" s="48">
        <f>'DET'!X27</f>
        <v/>
      </c>
      <c r="G79" s="49">
        <f>'DET'!Z27</f>
        <v/>
      </c>
      <c r="H79" s="48">
        <f>'DET'!AA27</f>
        <v/>
      </c>
      <c r="I79" s="48">
        <f>'DET'!AB27</f>
        <v/>
      </c>
      <c r="J79" s="49">
        <f>'DET'!AD27</f>
        <v/>
      </c>
      <c r="K79" s="49">
        <f>'DET'!AE27</f>
        <v/>
      </c>
    </row>
    <row r="80">
      <c r="A80">
        <f>'GB'!B21</f>
        <v/>
      </c>
      <c r="B80" t="inlineStr">
        <is>
          <t>GB</t>
        </is>
      </c>
      <c r="C80" t="inlineStr">
        <is>
          <t>RB</t>
        </is>
      </c>
      <c r="D80" s="48">
        <f>'GB'!V21</f>
        <v/>
      </c>
      <c r="E80" s="48">
        <f>'GB'!W21</f>
        <v/>
      </c>
      <c r="F80" s="48">
        <f>'GB'!X21</f>
        <v/>
      </c>
      <c r="G80" s="49">
        <f>'GB'!Z21</f>
        <v/>
      </c>
      <c r="H80" s="48">
        <f>'GB'!AA21</f>
        <v/>
      </c>
      <c r="I80" s="48">
        <f>'GB'!AB21</f>
        <v/>
      </c>
      <c r="J80" s="49">
        <f>'GB'!AD21</f>
        <v/>
      </c>
      <c r="K80" s="49">
        <f>'GB'!AE21</f>
        <v/>
      </c>
    </row>
    <row r="81">
      <c r="A81">
        <f>'GB'!B22</f>
        <v/>
      </c>
      <c r="B81" t="inlineStr">
        <is>
          <t>GB</t>
        </is>
      </c>
      <c r="C81" t="inlineStr">
        <is>
          <t>RB</t>
        </is>
      </c>
      <c r="D81" s="48">
        <f>'GB'!V22</f>
        <v/>
      </c>
      <c r="E81" s="48">
        <f>'GB'!W22</f>
        <v/>
      </c>
      <c r="F81" s="48">
        <f>'GB'!X22</f>
        <v/>
      </c>
      <c r="G81" s="49">
        <f>'GB'!Z22</f>
        <v/>
      </c>
      <c r="H81" s="48">
        <f>'GB'!AA22</f>
        <v/>
      </c>
      <c r="I81" s="48">
        <f>'GB'!AB22</f>
        <v/>
      </c>
      <c r="J81" s="49">
        <f>'GB'!AD22</f>
        <v/>
      </c>
      <c r="K81" s="49">
        <f>'GB'!AE22</f>
        <v/>
      </c>
    </row>
    <row r="82">
      <c r="A82">
        <f>'GB'!B23</f>
        <v/>
      </c>
      <c r="B82" t="inlineStr">
        <is>
          <t>GB</t>
        </is>
      </c>
      <c r="C82" t="inlineStr">
        <is>
          <t>RB</t>
        </is>
      </c>
      <c r="D82" s="48">
        <f>'GB'!V23</f>
        <v/>
      </c>
      <c r="E82" s="48">
        <f>'GB'!W23</f>
        <v/>
      </c>
      <c r="F82" s="48">
        <f>'GB'!X23</f>
        <v/>
      </c>
      <c r="G82" s="49">
        <f>'GB'!Z23</f>
        <v/>
      </c>
      <c r="H82" s="48">
        <f>'GB'!AA23</f>
        <v/>
      </c>
      <c r="I82" s="48">
        <f>'GB'!AB23</f>
        <v/>
      </c>
      <c r="J82" s="49">
        <f>'GB'!AD23</f>
        <v/>
      </c>
      <c r="K82" s="49">
        <f>'GB'!AE23</f>
        <v/>
      </c>
    </row>
    <row r="83">
      <c r="A83">
        <f>'GB'!B24</f>
        <v/>
      </c>
      <c r="B83" t="inlineStr">
        <is>
          <t>GB</t>
        </is>
      </c>
      <c r="C83" t="inlineStr">
        <is>
          <t>RB</t>
        </is>
      </c>
      <c r="D83" s="48">
        <f>'GB'!V24</f>
        <v/>
      </c>
      <c r="E83" s="48">
        <f>'GB'!W24</f>
        <v/>
      </c>
      <c r="F83" s="48">
        <f>'GB'!X24</f>
        <v/>
      </c>
      <c r="G83" s="49">
        <f>'GB'!Z24</f>
        <v/>
      </c>
      <c r="H83" s="48">
        <f>'GB'!AA24</f>
        <v/>
      </c>
      <c r="I83" s="48">
        <f>'GB'!AB24</f>
        <v/>
      </c>
      <c r="J83" s="49">
        <f>'GB'!AD24</f>
        <v/>
      </c>
      <c r="K83" s="49">
        <f>'GB'!AE24</f>
        <v/>
      </c>
    </row>
    <row r="84">
      <c r="A84">
        <f>'GB'!B25</f>
        <v/>
      </c>
      <c r="B84" t="inlineStr">
        <is>
          <t>GB</t>
        </is>
      </c>
      <c r="C84" t="inlineStr">
        <is>
          <t>RB</t>
        </is>
      </c>
      <c r="D84" s="48">
        <f>'GB'!V25</f>
        <v/>
      </c>
      <c r="E84" s="48">
        <f>'GB'!W25</f>
        <v/>
      </c>
      <c r="F84" s="48">
        <f>'GB'!X25</f>
        <v/>
      </c>
      <c r="G84" s="49">
        <f>'GB'!Z25</f>
        <v/>
      </c>
      <c r="H84" s="48">
        <f>'GB'!AA25</f>
        <v/>
      </c>
      <c r="I84" s="48">
        <f>'GB'!AB25</f>
        <v/>
      </c>
      <c r="J84" s="49">
        <f>'GB'!AD25</f>
        <v/>
      </c>
      <c r="K84" s="49">
        <f>'GB'!AE25</f>
        <v/>
      </c>
    </row>
    <row r="85">
      <c r="A85">
        <f>'GB'!B26</f>
        <v/>
      </c>
      <c r="B85" t="inlineStr">
        <is>
          <t>GB</t>
        </is>
      </c>
      <c r="C85" t="inlineStr">
        <is>
          <t>RB</t>
        </is>
      </c>
      <c r="D85" s="48">
        <f>'GB'!V26</f>
        <v/>
      </c>
      <c r="E85" s="48">
        <f>'GB'!W26</f>
        <v/>
      </c>
      <c r="F85" s="48">
        <f>'GB'!X26</f>
        <v/>
      </c>
      <c r="G85" s="49">
        <f>'GB'!Z26</f>
        <v/>
      </c>
      <c r="H85" s="48">
        <f>'GB'!AA26</f>
        <v/>
      </c>
      <c r="I85" s="48">
        <f>'GB'!AB26</f>
        <v/>
      </c>
      <c r="J85" s="49">
        <f>'GB'!AD26</f>
        <v/>
      </c>
      <c r="K85" s="49">
        <f>'GB'!AE26</f>
        <v/>
      </c>
    </row>
    <row r="86">
      <c r="A86">
        <f>'GB'!B27</f>
        <v/>
      </c>
      <c r="B86" t="inlineStr">
        <is>
          <t>GB</t>
        </is>
      </c>
      <c r="C86" t="inlineStr">
        <is>
          <t>RB</t>
        </is>
      </c>
      <c r="D86" s="48">
        <f>'GB'!V27</f>
        <v/>
      </c>
      <c r="E86" s="48">
        <f>'GB'!W27</f>
        <v/>
      </c>
      <c r="F86" s="48">
        <f>'GB'!X27</f>
        <v/>
      </c>
      <c r="G86" s="49">
        <f>'GB'!Z27</f>
        <v/>
      </c>
      <c r="H86" s="48">
        <f>'GB'!AA27</f>
        <v/>
      </c>
      <c r="I86" s="48">
        <f>'GB'!AB27</f>
        <v/>
      </c>
      <c r="J86" s="49">
        <f>'GB'!AD27</f>
        <v/>
      </c>
      <c r="K86" s="49">
        <f>'GB'!AE27</f>
        <v/>
      </c>
    </row>
    <row r="87">
      <c r="A87">
        <f>'HOU'!B21</f>
        <v/>
      </c>
      <c r="B87" t="inlineStr">
        <is>
          <t>HOU</t>
        </is>
      </c>
      <c r="C87" t="inlineStr">
        <is>
          <t>RB</t>
        </is>
      </c>
      <c r="D87" s="48">
        <f>'HOU'!V21</f>
        <v/>
      </c>
      <c r="E87" s="48">
        <f>'HOU'!W21</f>
        <v/>
      </c>
      <c r="F87" s="48">
        <f>'HOU'!X21</f>
        <v/>
      </c>
      <c r="G87" s="49">
        <f>'HOU'!Z21</f>
        <v/>
      </c>
      <c r="H87" s="48">
        <f>'HOU'!AA21</f>
        <v/>
      </c>
      <c r="I87" s="48">
        <f>'HOU'!AB21</f>
        <v/>
      </c>
      <c r="J87" s="49">
        <f>'HOU'!AD21</f>
        <v/>
      </c>
      <c r="K87" s="49">
        <f>'HOU'!AE21</f>
        <v/>
      </c>
    </row>
    <row r="88">
      <c r="A88">
        <f>'HOU'!B22</f>
        <v/>
      </c>
      <c r="B88" t="inlineStr">
        <is>
          <t>HOU</t>
        </is>
      </c>
      <c r="C88" t="inlineStr">
        <is>
          <t>RB</t>
        </is>
      </c>
      <c r="D88" s="48">
        <f>'HOU'!V22</f>
        <v/>
      </c>
      <c r="E88" s="48">
        <f>'HOU'!W22</f>
        <v/>
      </c>
      <c r="F88" s="48">
        <f>'HOU'!X22</f>
        <v/>
      </c>
      <c r="G88" s="49">
        <f>'HOU'!Z22</f>
        <v/>
      </c>
      <c r="H88" s="48">
        <f>'HOU'!AA22</f>
        <v/>
      </c>
      <c r="I88" s="48">
        <f>'HOU'!AB22</f>
        <v/>
      </c>
      <c r="J88" s="49">
        <f>'HOU'!AD22</f>
        <v/>
      </c>
      <c r="K88" s="49">
        <f>'HOU'!AE22</f>
        <v/>
      </c>
    </row>
    <row r="89">
      <c r="A89">
        <f>'HOU'!B23</f>
        <v/>
      </c>
      <c r="B89" t="inlineStr">
        <is>
          <t>HOU</t>
        </is>
      </c>
      <c r="C89" t="inlineStr">
        <is>
          <t>RB</t>
        </is>
      </c>
      <c r="D89" s="48">
        <f>'HOU'!V23</f>
        <v/>
      </c>
      <c r="E89" s="48">
        <f>'HOU'!W23</f>
        <v/>
      </c>
      <c r="F89" s="48">
        <f>'HOU'!X23</f>
        <v/>
      </c>
      <c r="G89" s="49">
        <f>'HOU'!Z23</f>
        <v/>
      </c>
      <c r="H89" s="48">
        <f>'HOU'!AA23</f>
        <v/>
      </c>
      <c r="I89" s="48">
        <f>'HOU'!AB23</f>
        <v/>
      </c>
      <c r="J89" s="49">
        <f>'HOU'!AD23</f>
        <v/>
      </c>
      <c r="K89" s="49">
        <f>'HOU'!AE23</f>
        <v/>
      </c>
    </row>
    <row r="90">
      <c r="A90">
        <f>'HOU'!B24</f>
        <v/>
      </c>
      <c r="B90" t="inlineStr">
        <is>
          <t>HOU</t>
        </is>
      </c>
      <c r="C90" t="inlineStr">
        <is>
          <t>RB</t>
        </is>
      </c>
      <c r="D90" s="48">
        <f>'HOU'!V24</f>
        <v/>
      </c>
      <c r="E90" s="48">
        <f>'HOU'!W24</f>
        <v/>
      </c>
      <c r="F90" s="48">
        <f>'HOU'!X24</f>
        <v/>
      </c>
      <c r="G90" s="49">
        <f>'HOU'!Z24</f>
        <v/>
      </c>
      <c r="H90" s="48">
        <f>'HOU'!AA24</f>
        <v/>
      </c>
      <c r="I90" s="48">
        <f>'HOU'!AB24</f>
        <v/>
      </c>
      <c r="J90" s="49">
        <f>'HOU'!AD24</f>
        <v/>
      </c>
      <c r="K90" s="49">
        <f>'HOU'!AE24</f>
        <v/>
      </c>
    </row>
    <row r="91">
      <c r="A91">
        <f>'HOU'!B25</f>
        <v/>
      </c>
      <c r="B91" t="inlineStr">
        <is>
          <t>HOU</t>
        </is>
      </c>
      <c r="C91" t="inlineStr">
        <is>
          <t>RB</t>
        </is>
      </c>
      <c r="D91" s="48">
        <f>'HOU'!V25</f>
        <v/>
      </c>
      <c r="E91" s="48">
        <f>'HOU'!W25</f>
        <v/>
      </c>
      <c r="F91" s="48">
        <f>'HOU'!X25</f>
        <v/>
      </c>
      <c r="G91" s="49">
        <f>'HOU'!Z25</f>
        <v/>
      </c>
      <c r="H91" s="48">
        <f>'HOU'!AA25</f>
        <v/>
      </c>
      <c r="I91" s="48">
        <f>'HOU'!AB25</f>
        <v/>
      </c>
      <c r="J91" s="49">
        <f>'HOU'!AD25</f>
        <v/>
      </c>
      <c r="K91" s="49">
        <f>'HOU'!AE25</f>
        <v/>
      </c>
    </row>
    <row r="92">
      <c r="A92">
        <f>'HOU'!B26</f>
        <v/>
      </c>
      <c r="B92" t="inlineStr">
        <is>
          <t>HOU</t>
        </is>
      </c>
      <c r="C92" t="inlineStr">
        <is>
          <t>RB</t>
        </is>
      </c>
      <c r="D92" s="48">
        <f>'HOU'!V26</f>
        <v/>
      </c>
      <c r="E92" s="48">
        <f>'HOU'!W26</f>
        <v/>
      </c>
      <c r="F92" s="48">
        <f>'HOU'!X26</f>
        <v/>
      </c>
      <c r="G92" s="49">
        <f>'HOU'!Z26</f>
        <v/>
      </c>
      <c r="H92" s="48">
        <f>'HOU'!AA26</f>
        <v/>
      </c>
      <c r="I92" s="48">
        <f>'HOU'!AB26</f>
        <v/>
      </c>
      <c r="J92" s="49">
        <f>'HOU'!AD26</f>
        <v/>
      </c>
      <c r="K92" s="49">
        <f>'HOU'!AE26</f>
        <v/>
      </c>
    </row>
    <row r="93">
      <c r="A93">
        <f>'HOU'!B27</f>
        <v/>
      </c>
      <c r="B93" t="inlineStr">
        <is>
          <t>HOU</t>
        </is>
      </c>
      <c r="C93" t="inlineStr">
        <is>
          <t>RB</t>
        </is>
      </c>
      <c r="D93" s="48">
        <f>'HOU'!V27</f>
        <v/>
      </c>
      <c r="E93" s="48">
        <f>'HOU'!W27</f>
        <v/>
      </c>
      <c r="F93" s="48">
        <f>'HOU'!X27</f>
        <v/>
      </c>
      <c r="G93" s="49">
        <f>'HOU'!Z27</f>
        <v/>
      </c>
      <c r="H93" s="48">
        <f>'HOU'!AA27</f>
        <v/>
      </c>
      <c r="I93" s="48">
        <f>'HOU'!AB27</f>
        <v/>
      </c>
      <c r="J93" s="49">
        <f>'HOU'!AD27</f>
        <v/>
      </c>
      <c r="K93" s="49">
        <f>'HOU'!AE27</f>
        <v/>
      </c>
    </row>
    <row r="94">
      <c r="A94">
        <f>'IND'!B21</f>
        <v/>
      </c>
      <c r="B94" t="inlineStr">
        <is>
          <t>IND</t>
        </is>
      </c>
      <c r="C94" t="inlineStr">
        <is>
          <t>RB</t>
        </is>
      </c>
      <c r="D94" s="48">
        <f>'IND'!V21</f>
        <v/>
      </c>
      <c r="E94" s="48">
        <f>'IND'!W21</f>
        <v/>
      </c>
      <c r="F94" s="48">
        <f>'IND'!X21</f>
        <v/>
      </c>
      <c r="G94" s="49">
        <f>'IND'!Z21</f>
        <v/>
      </c>
      <c r="H94" s="48">
        <f>'IND'!AA21</f>
        <v/>
      </c>
      <c r="I94" s="48">
        <f>'IND'!AB21</f>
        <v/>
      </c>
      <c r="J94" s="49">
        <f>'IND'!AD21</f>
        <v/>
      </c>
      <c r="K94" s="49">
        <f>'IND'!AE21</f>
        <v/>
      </c>
    </row>
    <row r="95">
      <c r="A95">
        <f>'IND'!B22</f>
        <v/>
      </c>
      <c r="B95" t="inlineStr">
        <is>
          <t>IND</t>
        </is>
      </c>
      <c r="C95" t="inlineStr">
        <is>
          <t>RB</t>
        </is>
      </c>
      <c r="D95" s="48">
        <f>'IND'!V22</f>
        <v/>
      </c>
      <c r="E95" s="48">
        <f>'IND'!W22</f>
        <v/>
      </c>
      <c r="F95" s="48">
        <f>'IND'!X22</f>
        <v/>
      </c>
      <c r="G95" s="49">
        <f>'IND'!Z22</f>
        <v/>
      </c>
      <c r="H95" s="48">
        <f>'IND'!AA22</f>
        <v/>
      </c>
      <c r="I95" s="48">
        <f>'IND'!AB22</f>
        <v/>
      </c>
      <c r="J95" s="49">
        <f>'IND'!AD22</f>
        <v/>
      </c>
      <c r="K95" s="49">
        <f>'IND'!AE22</f>
        <v/>
      </c>
    </row>
    <row r="96">
      <c r="A96">
        <f>'IND'!B23</f>
        <v/>
      </c>
      <c r="B96" t="inlineStr">
        <is>
          <t>IND</t>
        </is>
      </c>
      <c r="C96" t="inlineStr">
        <is>
          <t>RB</t>
        </is>
      </c>
      <c r="D96" s="48">
        <f>'IND'!V23</f>
        <v/>
      </c>
      <c r="E96" s="48">
        <f>'IND'!W23</f>
        <v/>
      </c>
      <c r="F96" s="48">
        <f>'IND'!X23</f>
        <v/>
      </c>
      <c r="G96" s="49">
        <f>'IND'!Z23</f>
        <v/>
      </c>
      <c r="H96" s="48">
        <f>'IND'!AA23</f>
        <v/>
      </c>
      <c r="I96" s="48">
        <f>'IND'!AB23</f>
        <v/>
      </c>
      <c r="J96" s="49">
        <f>'IND'!AD23</f>
        <v/>
      </c>
      <c r="K96" s="49">
        <f>'IND'!AE23</f>
        <v/>
      </c>
    </row>
    <row r="97">
      <c r="A97">
        <f>'IND'!B24</f>
        <v/>
      </c>
      <c r="B97" t="inlineStr">
        <is>
          <t>IND</t>
        </is>
      </c>
      <c r="C97" t="inlineStr">
        <is>
          <t>RB</t>
        </is>
      </c>
      <c r="D97" s="48">
        <f>'IND'!V24</f>
        <v/>
      </c>
      <c r="E97" s="48">
        <f>'IND'!W24</f>
        <v/>
      </c>
      <c r="F97" s="48">
        <f>'IND'!X24</f>
        <v/>
      </c>
      <c r="G97" s="49">
        <f>'IND'!Z24</f>
        <v/>
      </c>
      <c r="H97" s="48">
        <f>'IND'!AA24</f>
        <v/>
      </c>
      <c r="I97" s="48">
        <f>'IND'!AB24</f>
        <v/>
      </c>
      <c r="J97" s="49">
        <f>'IND'!AD24</f>
        <v/>
      </c>
      <c r="K97" s="49">
        <f>'IND'!AE24</f>
        <v/>
      </c>
    </row>
    <row r="98">
      <c r="A98">
        <f>'IND'!B25</f>
        <v/>
      </c>
      <c r="B98" t="inlineStr">
        <is>
          <t>IND</t>
        </is>
      </c>
      <c r="C98" t="inlineStr">
        <is>
          <t>RB</t>
        </is>
      </c>
      <c r="D98" s="48">
        <f>'IND'!V25</f>
        <v/>
      </c>
      <c r="E98" s="48">
        <f>'IND'!W25</f>
        <v/>
      </c>
      <c r="F98" s="48">
        <f>'IND'!X25</f>
        <v/>
      </c>
      <c r="G98" s="49">
        <f>'IND'!Z25</f>
        <v/>
      </c>
      <c r="H98" s="48">
        <f>'IND'!AA25</f>
        <v/>
      </c>
      <c r="I98" s="48">
        <f>'IND'!AB25</f>
        <v/>
      </c>
      <c r="J98" s="49">
        <f>'IND'!AD25</f>
        <v/>
      </c>
      <c r="K98" s="49">
        <f>'IND'!AE25</f>
        <v/>
      </c>
    </row>
    <row r="99">
      <c r="A99">
        <f>'IND'!B26</f>
        <v/>
      </c>
      <c r="B99" t="inlineStr">
        <is>
          <t>IND</t>
        </is>
      </c>
      <c r="C99" t="inlineStr">
        <is>
          <t>RB</t>
        </is>
      </c>
      <c r="D99" s="48">
        <f>'IND'!V26</f>
        <v/>
      </c>
      <c r="E99" s="48">
        <f>'IND'!W26</f>
        <v/>
      </c>
      <c r="F99" s="48">
        <f>'IND'!X26</f>
        <v/>
      </c>
      <c r="G99" s="49">
        <f>'IND'!Z26</f>
        <v/>
      </c>
      <c r="H99" s="48">
        <f>'IND'!AA26</f>
        <v/>
      </c>
      <c r="I99" s="48">
        <f>'IND'!AB26</f>
        <v/>
      </c>
      <c r="J99" s="49">
        <f>'IND'!AD26</f>
        <v/>
      </c>
      <c r="K99" s="49">
        <f>'IND'!AE26</f>
        <v/>
      </c>
    </row>
    <row r="100">
      <c r="A100">
        <f>'IND'!B27</f>
        <v/>
      </c>
      <c r="B100" t="inlineStr">
        <is>
          <t>IND</t>
        </is>
      </c>
      <c r="C100" t="inlineStr">
        <is>
          <t>RB</t>
        </is>
      </c>
      <c r="D100" s="48">
        <f>'IND'!V27</f>
        <v/>
      </c>
      <c r="E100" s="48">
        <f>'IND'!W27</f>
        <v/>
      </c>
      <c r="F100" s="48">
        <f>'IND'!X27</f>
        <v/>
      </c>
      <c r="G100" s="49">
        <f>'IND'!Z27</f>
        <v/>
      </c>
      <c r="H100" s="48">
        <f>'IND'!AA27</f>
        <v/>
      </c>
      <c r="I100" s="48">
        <f>'IND'!AB27</f>
        <v/>
      </c>
      <c r="J100" s="49">
        <f>'IND'!AD27</f>
        <v/>
      </c>
      <c r="K100" s="49">
        <f>'IND'!AE27</f>
        <v/>
      </c>
    </row>
    <row r="101">
      <c r="A101">
        <f>'JAC'!B21</f>
        <v/>
      </c>
      <c r="B101" t="inlineStr">
        <is>
          <t>JAC</t>
        </is>
      </c>
      <c r="C101" t="inlineStr">
        <is>
          <t>RB</t>
        </is>
      </c>
      <c r="D101" s="48">
        <f>'JAC'!V21</f>
        <v/>
      </c>
      <c r="E101" s="48">
        <f>'JAC'!W21</f>
        <v/>
      </c>
      <c r="F101" s="48">
        <f>'JAC'!X21</f>
        <v/>
      </c>
      <c r="G101" s="49">
        <f>'JAC'!Z21</f>
        <v/>
      </c>
      <c r="H101" s="48">
        <f>'JAC'!AA21</f>
        <v/>
      </c>
      <c r="I101" s="48">
        <f>'JAC'!AB21</f>
        <v/>
      </c>
      <c r="J101" s="49">
        <f>'JAC'!AD21</f>
        <v/>
      </c>
      <c r="K101" s="49">
        <f>'JAC'!AE21</f>
        <v/>
      </c>
    </row>
    <row r="102">
      <c r="A102">
        <f>'JAC'!B22</f>
        <v/>
      </c>
      <c r="B102" t="inlineStr">
        <is>
          <t>JAC</t>
        </is>
      </c>
      <c r="C102" t="inlineStr">
        <is>
          <t>RB</t>
        </is>
      </c>
      <c r="D102" s="48">
        <f>'JAC'!V22</f>
        <v/>
      </c>
      <c r="E102" s="48">
        <f>'JAC'!W22</f>
        <v/>
      </c>
      <c r="F102" s="48">
        <f>'JAC'!X22</f>
        <v/>
      </c>
      <c r="G102" s="49">
        <f>'JAC'!Z22</f>
        <v/>
      </c>
      <c r="H102" s="48">
        <f>'JAC'!AA22</f>
        <v/>
      </c>
      <c r="I102" s="48">
        <f>'JAC'!AB22</f>
        <v/>
      </c>
      <c r="J102" s="49">
        <f>'JAC'!AD22</f>
        <v/>
      </c>
      <c r="K102" s="49">
        <f>'JAC'!AE22</f>
        <v/>
      </c>
    </row>
    <row r="103">
      <c r="A103">
        <f>'JAC'!B23</f>
        <v/>
      </c>
      <c r="B103" t="inlineStr">
        <is>
          <t>JAC</t>
        </is>
      </c>
      <c r="C103" t="inlineStr">
        <is>
          <t>RB</t>
        </is>
      </c>
      <c r="D103" s="48">
        <f>'JAC'!V23</f>
        <v/>
      </c>
      <c r="E103" s="48">
        <f>'JAC'!W23</f>
        <v/>
      </c>
      <c r="F103" s="48">
        <f>'JAC'!X23</f>
        <v/>
      </c>
      <c r="G103" s="49">
        <f>'JAC'!Z23</f>
        <v/>
      </c>
      <c r="H103" s="48">
        <f>'JAC'!AA23</f>
        <v/>
      </c>
      <c r="I103" s="48">
        <f>'JAC'!AB23</f>
        <v/>
      </c>
      <c r="J103" s="49">
        <f>'JAC'!AD23</f>
        <v/>
      </c>
      <c r="K103" s="49">
        <f>'JAC'!AE23</f>
        <v/>
      </c>
    </row>
    <row r="104">
      <c r="A104">
        <f>'JAC'!B24</f>
        <v/>
      </c>
      <c r="B104" t="inlineStr">
        <is>
          <t>JAC</t>
        </is>
      </c>
      <c r="C104" t="inlineStr">
        <is>
          <t>RB</t>
        </is>
      </c>
      <c r="D104" s="48">
        <f>'JAC'!V24</f>
        <v/>
      </c>
      <c r="E104" s="48">
        <f>'JAC'!W24</f>
        <v/>
      </c>
      <c r="F104" s="48">
        <f>'JAC'!X24</f>
        <v/>
      </c>
      <c r="G104" s="49">
        <f>'JAC'!Z24</f>
        <v/>
      </c>
      <c r="H104" s="48">
        <f>'JAC'!AA24</f>
        <v/>
      </c>
      <c r="I104" s="48">
        <f>'JAC'!AB24</f>
        <v/>
      </c>
      <c r="J104" s="49">
        <f>'JAC'!AD24</f>
        <v/>
      </c>
      <c r="K104" s="49">
        <f>'JAC'!AE24</f>
        <v/>
      </c>
    </row>
    <row r="105">
      <c r="A105">
        <f>'JAC'!B25</f>
        <v/>
      </c>
      <c r="B105" t="inlineStr">
        <is>
          <t>JAC</t>
        </is>
      </c>
      <c r="C105" t="inlineStr">
        <is>
          <t>RB</t>
        </is>
      </c>
      <c r="D105" s="48">
        <f>'JAC'!V25</f>
        <v/>
      </c>
      <c r="E105" s="48">
        <f>'JAC'!W25</f>
        <v/>
      </c>
      <c r="F105" s="48">
        <f>'JAC'!X25</f>
        <v/>
      </c>
      <c r="G105" s="49">
        <f>'JAC'!Z25</f>
        <v/>
      </c>
      <c r="H105" s="48">
        <f>'JAC'!AA25</f>
        <v/>
      </c>
      <c r="I105" s="48">
        <f>'JAC'!AB25</f>
        <v/>
      </c>
      <c r="J105" s="49">
        <f>'JAC'!AD25</f>
        <v/>
      </c>
      <c r="K105" s="49">
        <f>'JAC'!AE25</f>
        <v/>
      </c>
    </row>
    <row r="106">
      <c r="A106">
        <f>'JAC'!B26</f>
        <v/>
      </c>
      <c r="B106" t="inlineStr">
        <is>
          <t>JAC</t>
        </is>
      </c>
      <c r="C106" t="inlineStr">
        <is>
          <t>RB</t>
        </is>
      </c>
      <c r="D106" s="48">
        <f>'JAC'!V26</f>
        <v/>
      </c>
      <c r="E106" s="48">
        <f>'JAC'!W26</f>
        <v/>
      </c>
      <c r="F106" s="48">
        <f>'JAC'!X26</f>
        <v/>
      </c>
      <c r="G106" s="49">
        <f>'JAC'!Z26</f>
        <v/>
      </c>
      <c r="H106" s="48">
        <f>'JAC'!AA26</f>
        <v/>
      </c>
      <c r="I106" s="48">
        <f>'JAC'!AB26</f>
        <v/>
      </c>
      <c r="J106" s="49">
        <f>'JAC'!AD26</f>
        <v/>
      </c>
      <c r="K106" s="49">
        <f>'JAC'!AE26</f>
        <v/>
      </c>
    </row>
    <row r="107">
      <c r="A107">
        <f>'JAC'!B27</f>
        <v/>
      </c>
      <c r="B107" t="inlineStr">
        <is>
          <t>JAC</t>
        </is>
      </c>
      <c r="C107" t="inlineStr">
        <is>
          <t>RB</t>
        </is>
      </c>
      <c r="D107" s="48">
        <f>'JAC'!V27</f>
        <v/>
      </c>
      <c r="E107" s="48">
        <f>'JAC'!W27</f>
        <v/>
      </c>
      <c r="F107" s="48">
        <f>'JAC'!X27</f>
        <v/>
      </c>
      <c r="G107" s="49">
        <f>'JAC'!Z27</f>
        <v/>
      </c>
      <c r="H107" s="48">
        <f>'JAC'!AA27</f>
        <v/>
      </c>
      <c r="I107" s="48">
        <f>'JAC'!AB27</f>
        <v/>
      </c>
      <c r="J107" s="49">
        <f>'JAC'!AD27</f>
        <v/>
      </c>
      <c r="K107" s="49">
        <f>'JAC'!AE27</f>
        <v/>
      </c>
    </row>
    <row r="108">
      <c r="A108">
        <f>'KC'!B21</f>
        <v/>
      </c>
      <c r="B108" t="inlineStr">
        <is>
          <t>KC</t>
        </is>
      </c>
      <c r="C108" t="inlineStr">
        <is>
          <t>RB</t>
        </is>
      </c>
      <c r="D108" s="48">
        <f>'KC'!V21</f>
        <v/>
      </c>
      <c r="E108" s="48">
        <f>'KC'!W21</f>
        <v/>
      </c>
      <c r="F108" s="48">
        <f>'KC'!X21</f>
        <v/>
      </c>
      <c r="G108" s="49">
        <f>'KC'!Z21</f>
        <v/>
      </c>
      <c r="H108" s="48">
        <f>'KC'!AA21</f>
        <v/>
      </c>
      <c r="I108" s="48">
        <f>'KC'!AB21</f>
        <v/>
      </c>
      <c r="J108" s="49">
        <f>'KC'!AD21</f>
        <v/>
      </c>
      <c r="K108" s="49">
        <f>'KC'!AE21</f>
        <v/>
      </c>
    </row>
    <row r="109">
      <c r="A109">
        <f>'KC'!B22</f>
        <v/>
      </c>
      <c r="B109" t="inlineStr">
        <is>
          <t>KC</t>
        </is>
      </c>
      <c r="C109" t="inlineStr">
        <is>
          <t>RB</t>
        </is>
      </c>
      <c r="D109" s="48">
        <f>'KC'!V22</f>
        <v/>
      </c>
      <c r="E109" s="48">
        <f>'KC'!W22</f>
        <v/>
      </c>
      <c r="F109" s="48">
        <f>'KC'!X22</f>
        <v/>
      </c>
      <c r="G109" s="49">
        <f>'KC'!Z22</f>
        <v/>
      </c>
      <c r="H109" s="48">
        <f>'KC'!AA22</f>
        <v/>
      </c>
      <c r="I109" s="48">
        <f>'KC'!AB22</f>
        <v/>
      </c>
      <c r="J109" s="49">
        <f>'KC'!AD22</f>
        <v/>
      </c>
      <c r="K109" s="49">
        <f>'KC'!AE22</f>
        <v/>
      </c>
    </row>
    <row r="110">
      <c r="A110">
        <f>'KC'!B23</f>
        <v/>
      </c>
      <c r="B110" t="inlineStr">
        <is>
          <t>KC</t>
        </is>
      </c>
      <c r="C110" t="inlineStr">
        <is>
          <t>RB</t>
        </is>
      </c>
      <c r="D110" s="48">
        <f>'KC'!V23</f>
        <v/>
      </c>
      <c r="E110" s="48">
        <f>'KC'!W23</f>
        <v/>
      </c>
      <c r="F110" s="48">
        <f>'KC'!X23</f>
        <v/>
      </c>
      <c r="G110" s="49">
        <f>'KC'!Z23</f>
        <v/>
      </c>
      <c r="H110" s="48">
        <f>'KC'!AA23</f>
        <v/>
      </c>
      <c r="I110" s="48">
        <f>'KC'!AB23</f>
        <v/>
      </c>
      <c r="J110" s="49">
        <f>'KC'!AD23</f>
        <v/>
      </c>
      <c r="K110" s="49">
        <f>'KC'!AE23</f>
        <v/>
      </c>
    </row>
    <row r="111">
      <c r="A111">
        <f>'KC'!B24</f>
        <v/>
      </c>
      <c r="B111" t="inlineStr">
        <is>
          <t>KC</t>
        </is>
      </c>
      <c r="C111" t="inlineStr">
        <is>
          <t>RB</t>
        </is>
      </c>
      <c r="D111" s="48">
        <f>'KC'!V24</f>
        <v/>
      </c>
      <c r="E111" s="48">
        <f>'KC'!W24</f>
        <v/>
      </c>
      <c r="F111" s="48">
        <f>'KC'!X24</f>
        <v/>
      </c>
      <c r="G111" s="49">
        <f>'KC'!Z24</f>
        <v/>
      </c>
      <c r="H111" s="48">
        <f>'KC'!AA24</f>
        <v/>
      </c>
      <c r="I111" s="48">
        <f>'KC'!AB24</f>
        <v/>
      </c>
      <c r="J111" s="49">
        <f>'KC'!AD24</f>
        <v/>
      </c>
      <c r="K111" s="49">
        <f>'KC'!AE24</f>
        <v/>
      </c>
    </row>
    <row r="112">
      <c r="A112">
        <f>'KC'!B25</f>
        <v/>
      </c>
      <c r="B112" t="inlineStr">
        <is>
          <t>KC</t>
        </is>
      </c>
      <c r="C112" t="inlineStr">
        <is>
          <t>RB</t>
        </is>
      </c>
      <c r="D112" s="48">
        <f>'KC'!V25</f>
        <v/>
      </c>
      <c r="E112" s="48">
        <f>'KC'!W25</f>
        <v/>
      </c>
      <c r="F112" s="48">
        <f>'KC'!X25</f>
        <v/>
      </c>
      <c r="G112" s="49">
        <f>'KC'!Z25</f>
        <v/>
      </c>
      <c r="H112" s="48">
        <f>'KC'!AA25</f>
        <v/>
      </c>
      <c r="I112" s="48">
        <f>'KC'!AB25</f>
        <v/>
      </c>
      <c r="J112" s="49">
        <f>'KC'!AD25</f>
        <v/>
      </c>
      <c r="K112" s="49">
        <f>'KC'!AE25</f>
        <v/>
      </c>
    </row>
    <row r="113">
      <c r="A113">
        <f>'KC'!B26</f>
        <v/>
      </c>
      <c r="B113" t="inlineStr">
        <is>
          <t>KC</t>
        </is>
      </c>
      <c r="C113" t="inlineStr">
        <is>
          <t>RB</t>
        </is>
      </c>
      <c r="D113" s="48">
        <f>'KC'!V26</f>
        <v/>
      </c>
      <c r="E113" s="48">
        <f>'KC'!W26</f>
        <v/>
      </c>
      <c r="F113" s="48">
        <f>'KC'!X26</f>
        <v/>
      </c>
      <c r="G113" s="49">
        <f>'KC'!Z26</f>
        <v/>
      </c>
      <c r="H113" s="48">
        <f>'KC'!AA26</f>
        <v/>
      </c>
      <c r="I113" s="48">
        <f>'KC'!AB26</f>
        <v/>
      </c>
      <c r="J113" s="49">
        <f>'KC'!AD26</f>
        <v/>
      </c>
      <c r="K113" s="49">
        <f>'KC'!AE26</f>
        <v/>
      </c>
    </row>
    <row r="114">
      <c r="A114">
        <f>'KC'!B27</f>
        <v/>
      </c>
      <c r="B114" t="inlineStr">
        <is>
          <t>KC</t>
        </is>
      </c>
      <c r="C114" t="inlineStr">
        <is>
          <t>RB</t>
        </is>
      </c>
      <c r="D114" s="48">
        <f>'KC'!V27</f>
        <v/>
      </c>
      <c r="E114" s="48">
        <f>'KC'!W27</f>
        <v/>
      </c>
      <c r="F114" s="48">
        <f>'KC'!X27</f>
        <v/>
      </c>
      <c r="G114" s="49">
        <f>'KC'!Z27</f>
        <v/>
      </c>
      <c r="H114" s="48">
        <f>'KC'!AA27</f>
        <v/>
      </c>
      <c r="I114" s="48">
        <f>'KC'!AB27</f>
        <v/>
      </c>
      <c r="J114" s="49">
        <f>'KC'!AD27</f>
        <v/>
      </c>
      <c r="K114" s="49">
        <f>'KC'!AE27</f>
        <v/>
      </c>
    </row>
    <row r="115">
      <c r="A115">
        <f>'LAC'!B21</f>
        <v/>
      </c>
      <c r="B115" t="inlineStr">
        <is>
          <t>LAC</t>
        </is>
      </c>
      <c r="C115" t="inlineStr">
        <is>
          <t>RB</t>
        </is>
      </c>
      <c r="D115" s="48">
        <f>'LAC'!V21</f>
        <v/>
      </c>
      <c r="E115" s="48">
        <f>'LAC'!W21</f>
        <v/>
      </c>
      <c r="F115" s="48">
        <f>'LAC'!X21</f>
        <v/>
      </c>
      <c r="G115" s="49">
        <f>'LAC'!Z21</f>
        <v/>
      </c>
      <c r="H115" s="48">
        <f>'LAC'!AA21</f>
        <v/>
      </c>
      <c r="I115" s="48">
        <f>'LAC'!AB21</f>
        <v/>
      </c>
      <c r="J115" s="49">
        <f>'LAC'!AD21</f>
        <v/>
      </c>
      <c r="K115" s="49">
        <f>'LAC'!AE21</f>
        <v/>
      </c>
    </row>
    <row r="116">
      <c r="A116">
        <f>'LAC'!B22</f>
        <v/>
      </c>
      <c r="B116" t="inlineStr">
        <is>
          <t>LAC</t>
        </is>
      </c>
      <c r="C116" t="inlineStr">
        <is>
          <t>RB</t>
        </is>
      </c>
      <c r="D116" s="48">
        <f>'LAC'!V22</f>
        <v/>
      </c>
      <c r="E116" s="48">
        <f>'LAC'!W22</f>
        <v/>
      </c>
      <c r="F116" s="48">
        <f>'LAC'!X22</f>
        <v/>
      </c>
      <c r="G116" s="49">
        <f>'LAC'!Z22</f>
        <v/>
      </c>
      <c r="H116" s="48">
        <f>'LAC'!AA22</f>
        <v/>
      </c>
      <c r="I116" s="48">
        <f>'LAC'!AB22</f>
        <v/>
      </c>
      <c r="J116" s="49">
        <f>'LAC'!AD22</f>
        <v/>
      </c>
      <c r="K116" s="49">
        <f>'LAC'!AE22</f>
        <v/>
      </c>
    </row>
    <row r="117">
      <c r="A117">
        <f>'LAC'!B23</f>
        <v/>
      </c>
      <c r="B117" t="inlineStr">
        <is>
          <t>LAC</t>
        </is>
      </c>
      <c r="C117" t="inlineStr">
        <is>
          <t>RB</t>
        </is>
      </c>
      <c r="D117" s="48">
        <f>'LAC'!V23</f>
        <v/>
      </c>
      <c r="E117" s="48">
        <f>'LAC'!W23</f>
        <v/>
      </c>
      <c r="F117" s="48">
        <f>'LAC'!X23</f>
        <v/>
      </c>
      <c r="G117" s="49">
        <f>'LAC'!Z23</f>
        <v/>
      </c>
      <c r="H117" s="48">
        <f>'LAC'!AA23</f>
        <v/>
      </c>
      <c r="I117" s="48">
        <f>'LAC'!AB23</f>
        <v/>
      </c>
      <c r="J117" s="49">
        <f>'LAC'!AD23</f>
        <v/>
      </c>
      <c r="K117" s="49">
        <f>'LAC'!AE23</f>
        <v/>
      </c>
    </row>
    <row r="118">
      <c r="A118">
        <f>'LAC'!B24</f>
        <v/>
      </c>
      <c r="B118" t="inlineStr">
        <is>
          <t>LAC</t>
        </is>
      </c>
      <c r="C118" t="inlineStr">
        <is>
          <t>RB</t>
        </is>
      </c>
      <c r="D118" s="48">
        <f>'LAC'!V24</f>
        <v/>
      </c>
      <c r="E118" s="48">
        <f>'LAC'!W24</f>
        <v/>
      </c>
      <c r="F118" s="48">
        <f>'LAC'!X24</f>
        <v/>
      </c>
      <c r="G118" s="49">
        <f>'LAC'!Z24</f>
        <v/>
      </c>
      <c r="H118" s="48">
        <f>'LAC'!AA24</f>
        <v/>
      </c>
      <c r="I118" s="48">
        <f>'LAC'!AB24</f>
        <v/>
      </c>
      <c r="J118" s="49">
        <f>'LAC'!AD24</f>
        <v/>
      </c>
      <c r="K118" s="49">
        <f>'LAC'!AE24</f>
        <v/>
      </c>
    </row>
    <row r="119">
      <c r="A119">
        <f>'LAC'!B25</f>
        <v/>
      </c>
      <c r="B119" t="inlineStr">
        <is>
          <t>LAC</t>
        </is>
      </c>
      <c r="C119" t="inlineStr">
        <is>
          <t>RB</t>
        </is>
      </c>
      <c r="D119" s="48">
        <f>'LAC'!V25</f>
        <v/>
      </c>
      <c r="E119" s="48">
        <f>'LAC'!W25</f>
        <v/>
      </c>
      <c r="F119" s="48">
        <f>'LAC'!X25</f>
        <v/>
      </c>
      <c r="G119" s="49">
        <f>'LAC'!Z25</f>
        <v/>
      </c>
      <c r="H119" s="48">
        <f>'LAC'!AA25</f>
        <v/>
      </c>
      <c r="I119" s="48">
        <f>'LAC'!AB25</f>
        <v/>
      </c>
      <c r="J119" s="49">
        <f>'LAC'!AD25</f>
        <v/>
      </c>
      <c r="K119" s="49">
        <f>'LAC'!AE25</f>
        <v/>
      </c>
    </row>
    <row r="120">
      <c r="A120">
        <f>'LAC'!B26</f>
        <v/>
      </c>
      <c r="B120" t="inlineStr">
        <is>
          <t>LAC</t>
        </is>
      </c>
      <c r="C120" t="inlineStr">
        <is>
          <t>RB</t>
        </is>
      </c>
      <c r="D120" s="48">
        <f>'LAC'!V26</f>
        <v/>
      </c>
      <c r="E120" s="48">
        <f>'LAC'!W26</f>
        <v/>
      </c>
      <c r="F120" s="48">
        <f>'LAC'!X26</f>
        <v/>
      </c>
      <c r="G120" s="49">
        <f>'LAC'!Z26</f>
        <v/>
      </c>
      <c r="H120" s="48">
        <f>'LAC'!AA26</f>
        <v/>
      </c>
      <c r="I120" s="48">
        <f>'LAC'!AB26</f>
        <v/>
      </c>
      <c r="J120" s="49">
        <f>'LAC'!AD26</f>
        <v/>
      </c>
      <c r="K120" s="49">
        <f>'LAC'!AE26</f>
        <v/>
      </c>
    </row>
    <row r="121">
      <c r="A121">
        <f>'LAC'!B27</f>
        <v/>
      </c>
      <c r="B121" t="inlineStr">
        <is>
          <t>LAC</t>
        </is>
      </c>
      <c r="C121" t="inlineStr">
        <is>
          <t>RB</t>
        </is>
      </c>
      <c r="D121" s="48">
        <f>'LAC'!V27</f>
        <v/>
      </c>
      <c r="E121" s="48">
        <f>'LAC'!W27</f>
        <v/>
      </c>
      <c r="F121" s="48">
        <f>'LAC'!X27</f>
        <v/>
      </c>
      <c r="G121" s="49">
        <f>'LAC'!Z27</f>
        <v/>
      </c>
      <c r="H121" s="48">
        <f>'LAC'!AA27</f>
        <v/>
      </c>
      <c r="I121" s="48">
        <f>'LAC'!AB27</f>
        <v/>
      </c>
      <c r="J121" s="49">
        <f>'LAC'!AD27</f>
        <v/>
      </c>
      <c r="K121" s="49">
        <f>'LAC'!AE27</f>
        <v/>
      </c>
    </row>
    <row r="122">
      <c r="A122">
        <f>'LAR'!B21</f>
        <v/>
      </c>
      <c r="B122" t="inlineStr">
        <is>
          <t>LAR</t>
        </is>
      </c>
      <c r="C122" t="inlineStr">
        <is>
          <t>RB</t>
        </is>
      </c>
      <c r="D122" s="48">
        <f>'LAR'!V21</f>
        <v/>
      </c>
      <c r="E122" s="48">
        <f>'LAR'!W21</f>
        <v/>
      </c>
      <c r="F122" s="48">
        <f>'LAR'!X21</f>
        <v/>
      </c>
      <c r="G122" s="49">
        <f>'LAR'!Z21</f>
        <v/>
      </c>
      <c r="H122" s="48">
        <f>'LAR'!AA21</f>
        <v/>
      </c>
      <c r="I122" s="48">
        <f>'LAR'!AB21</f>
        <v/>
      </c>
      <c r="J122" s="49">
        <f>'LAR'!AD21</f>
        <v/>
      </c>
      <c r="K122" s="49">
        <f>'LAR'!AE21</f>
        <v/>
      </c>
    </row>
    <row r="123">
      <c r="A123">
        <f>'LAR'!B22</f>
        <v/>
      </c>
      <c r="B123" t="inlineStr">
        <is>
          <t>LAR</t>
        </is>
      </c>
      <c r="C123" t="inlineStr">
        <is>
          <t>RB</t>
        </is>
      </c>
      <c r="D123" s="48">
        <f>'LAR'!V22</f>
        <v/>
      </c>
      <c r="E123" s="48">
        <f>'LAR'!W22</f>
        <v/>
      </c>
      <c r="F123" s="48">
        <f>'LAR'!X22</f>
        <v/>
      </c>
      <c r="G123" s="49">
        <f>'LAR'!Z22</f>
        <v/>
      </c>
      <c r="H123" s="48">
        <f>'LAR'!AA22</f>
        <v/>
      </c>
      <c r="I123" s="48">
        <f>'LAR'!AB22</f>
        <v/>
      </c>
      <c r="J123" s="49">
        <f>'LAR'!AD22</f>
        <v/>
      </c>
      <c r="K123" s="49">
        <f>'LAR'!AE22</f>
        <v/>
      </c>
    </row>
    <row r="124">
      <c r="A124">
        <f>'LAR'!B23</f>
        <v/>
      </c>
      <c r="B124" t="inlineStr">
        <is>
          <t>LAR</t>
        </is>
      </c>
      <c r="C124" t="inlineStr">
        <is>
          <t>RB</t>
        </is>
      </c>
      <c r="D124" s="48">
        <f>'LAR'!V23</f>
        <v/>
      </c>
      <c r="E124" s="48">
        <f>'LAR'!W23</f>
        <v/>
      </c>
      <c r="F124" s="48">
        <f>'LAR'!X23</f>
        <v/>
      </c>
      <c r="G124" s="49">
        <f>'LAR'!Z23</f>
        <v/>
      </c>
      <c r="H124" s="48">
        <f>'LAR'!AA23</f>
        <v/>
      </c>
      <c r="I124" s="48">
        <f>'LAR'!AB23</f>
        <v/>
      </c>
      <c r="J124" s="49">
        <f>'LAR'!AD23</f>
        <v/>
      </c>
      <c r="K124" s="49">
        <f>'LAR'!AE23</f>
        <v/>
      </c>
    </row>
    <row r="125">
      <c r="A125">
        <f>'LAR'!B24</f>
        <v/>
      </c>
      <c r="B125" t="inlineStr">
        <is>
          <t>LAR</t>
        </is>
      </c>
      <c r="C125" t="inlineStr">
        <is>
          <t>RB</t>
        </is>
      </c>
      <c r="D125" s="48">
        <f>'LAR'!V24</f>
        <v/>
      </c>
      <c r="E125" s="48">
        <f>'LAR'!W24</f>
        <v/>
      </c>
      <c r="F125" s="48">
        <f>'LAR'!X24</f>
        <v/>
      </c>
      <c r="G125" s="49">
        <f>'LAR'!Z24</f>
        <v/>
      </c>
      <c r="H125" s="48">
        <f>'LAR'!AA24</f>
        <v/>
      </c>
      <c r="I125" s="48">
        <f>'LAR'!AB24</f>
        <v/>
      </c>
      <c r="J125" s="49">
        <f>'LAR'!AD24</f>
        <v/>
      </c>
      <c r="K125" s="49">
        <f>'LAR'!AE24</f>
        <v/>
      </c>
    </row>
    <row r="126">
      <c r="A126">
        <f>'LAR'!B25</f>
        <v/>
      </c>
      <c r="B126" t="inlineStr">
        <is>
          <t>LAR</t>
        </is>
      </c>
      <c r="C126" t="inlineStr">
        <is>
          <t>RB</t>
        </is>
      </c>
      <c r="D126" s="48">
        <f>'LAR'!V25</f>
        <v/>
      </c>
      <c r="E126" s="48">
        <f>'LAR'!W25</f>
        <v/>
      </c>
      <c r="F126" s="48">
        <f>'LAR'!X25</f>
        <v/>
      </c>
      <c r="G126" s="49">
        <f>'LAR'!Z25</f>
        <v/>
      </c>
      <c r="H126" s="48">
        <f>'LAR'!AA25</f>
        <v/>
      </c>
      <c r="I126" s="48">
        <f>'LAR'!AB25</f>
        <v/>
      </c>
      <c r="J126" s="49">
        <f>'LAR'!AD25</f>
        <v/>
      </c>
      <c r="K126" s="49">
        <f>'LAR'!AE25</f>
        <v/>
      </c>
    </row>
    <row r="127">
      <c r="A127">
        <f>'LAR'!B26</f>
        <v/>
      </c>
      <c r="B127" t="inlineStr">
        <is>
          <t>LAR</t>
        </is>
      </c>
      <c r="C127" t="inlineStr">
        <is>
          <t>RB</t>
        </is>
      </c>
      <c r="D127" s="48">
        <f>'LAR'!V26</f>
        <v/>
      </c>
      <c r="E127" s="48">
        <f>'LAR'!W26</f>
        <v/>
      </c>
      <c r="F127" s="48">
        <f>'LAR'!X26</f>
        <v/>
      </c>
      <c r="G127" s="49">
        <f>'LAR'!Z26</f>
        <v/>
      </c>
      <c r="H127" s="48">
        <f>'LAR'!AA26</f>
        <v/>
      </c>
      <c r="I127" s="48">
        <f>'LAR'!AB26</f>
        <v/>
      </c>
      <c r="J127" s="49">
        <f>'LAR'!AD26</f>
        <v/>
      </c>
      <c r="K127" s="49">
        <f>'LAR'!AE26</f>
        <v/>
      </c>
    </row>
    <row r="128">
      <c r="A128">
        <f>'LAR'!B27</f>
        <v/>
      </c>
      <c r="B128" t="inlineStr">
        <is>
          <t>LAR</t>
        </is>
      </c>
      <c r="C128" t="inlineStr">
        <is>
          <t>RB</t>
        </is>
      </c>
      <c r="D128" s="48">
        <f>'LAR'!V27</f>
        <v/>
      </c>
      <c r="E128" s="48">
        <f>'LAR'!W27</f>
        <v/>
      </c>
      <c r="F128" s="48">
        <f>'LAR'!X27</f>
        <v/>
      </c>
      <c r="G128" s="49">
        <f>'LAR'!Z27</f>
        <v/>
      </c>
      <c r="H128" s="48">
        <f>'LAR'!AA27</f>
        <v/>
      </c>
      <c r="I128" s="48">
        <f>'LAR'!AB27</f>
        <v/>
      </c>
      <c r="J128" s="49">
        <f>'LAR'!AD27</f>
        <v/>
      </c>
      <c r="K128" s="49">
        <f>'LAR'!AE27</f>
        <v/>
      </c>
    </row>
    <row r="129">
      <c r="A129">
        <f>'LV'!B21</f>
        <v/>
      </c>
      <c r="B129" t="inlineStr">
        <is>
          <t>LV</t>
        </is>
      </c>
      <c r="C129" t="inlineStr">
        <is>
          <t>RB</t>
        </is>
      </c>
      <c r="D129" s="48">
        <f>'LV'!V21</f>
        <v/>
      </c>
      <c r="E129" s="48">
        <f>'LV'!W21</f>
        <v/>
      </c>
      <c r="F129" s="48">
        <f>'LV'!X21</f>
        <v/>
      </c>
      <c r="G129" s="49">
        <f>'LV'!Z21</f>
        <v/>
      </c>
      <c r="H129" s="48">
        <f>'LV'!AA21</f>
        <v/>
      </c>
      <c r="I129" s="48">
        <f>'LV'!AB21</f>
        <v/>
      </c>
      <c r="J129" s="49">
        <f>'LV'!AD21</f>
        <v/>
      </c>
      <c r="K129" s="49">
        <f>'LV'!AE21</f>
        <v/>
      </c>
    </row>
    <row r="130">
      <c r="A130">
        <f>'LV'!B22</f>
        <v/>
      </c>
      <c r="B130" t="inlineStr">
        <is>
          <t>LV</t>
        </is>
      </c>
      <c r="C130" t="inlineStr">
        <is>
          <t>RB</t>
        </is>
      </c>
      <c r="D130" s="48">
        <f>'LV'!V22</f>
        <v/>
      </c>
      <c r="E130" s="48">
        <f>'LV'!W22</f>
        <v/>
      </c>
      <c r="F130" s="48">
        <f>'LV'!X22</f>
        <v/>
      </c>
      <c r="G130" s="49">
        <f>'LV'!Z22</f>
        <v/>
      </c>
      <c r="H130" s="48">
        <f>'LV'!AA22</f>
        <v/>
      </c>
      <c r="I130" s="48">
        <f>'LV'!AB22</f>
        <v/>
      </c>
      <c r="J130" s="49">
        <f>'LV'!AD22</f>
        <v/>
      </c>
      <c r="K130" s="49">
        <f>'LV'!AE22</f>
        <v/>
      </c>
    </row>
    <row r="131">
      <c r="A131">
        <f>'LV'!B23</f>
        <v/>
      </c>
      <c r="B131" t="inlineStr">
        <is>
          <t>LV</t>
        </is>
      </c>
      <c r="C131" t="inlineStr">
        <is>
          <t>RB</t>
        </is>
      </c>
      <c r="D131" s="48">
        <f>'LV'!V23</f>
        <v/>
      </c>
      <c r="E131" s="48">
        <f>'LV'!W23</f>
        <v/>
      </c>
      <c r="F131" s="48">
        <f>'LV'!X23</f>
        <v/>
      </c>
      <c r="G131" s="49">
        <f>'LV'!Z23</f>
        <v/>
      </c>
      <c r="H131" s="48">
        <f>'LV'!AA23</f>
        <v/>
      </c>
      <c r="I131" s="48">
        <f>'LV'!AB23</f>
        <v/>
      </c>
      <c r="J131" s="49">
        <f>'LV'!AD23</f>
        <v/>
      </c>
      <c r="K131" s="49">
        <f>'LV'!AE23</f>
        <v/>
      </c>
    </row>
    <row r="132">
      <c r="A132">
        <f>'LV'!B24</f>
        <v/>
      </c>
      <c r="B132" t="inlineStr">
        <is>
          <t>LV</t>
        </is>
      </c>
      <c r="C132" t="inlineStr">
        <is>
          <t>RB</t>
        </is>
      </c>
      <c r="D132" s="48">
        <f>'LV'!V24</f>
        <v/>
      </c>
      <c r="E132" s="48">
        <f>'LV'!W24</f>
        <v/>
      </c>
      <c r="F132" s="48">
        <f>'LV'!X24</f>
        <v/>
      </c>
      <c r="G132" s="49">
        <f>'LV'!Z24</f>
        <v/>
      </c>
      <c r="H132" s="48">
        <f>'LV'!AA24</f>
        <v/>
      </c>
      <c r="I132" s="48">
        <f>'LV'!AB24</f>
        <v/>
      </c>
      <c r="J132" s="49">
        <f>'LV'!AD24</f>
        <v/>
      </c>
      <c r="K132" s="49">
        <f>'LV'!AE24</f>
        <v/>
      </c>
    </row>
    <row r="133">
      <c r="A133">
        <f>'LV'!B25</f>
        <v/>
      </c>
      <c r="B133" t="inlineStr">
        <is>
          <t>LV</t>
        </is>
      </c>
      <c r="C133" t="inlineStr">
        <is>
          <t>RB</t>
        </is>
      </c>
      <c r="D133" s="48">
        <f>'LV'!V25</f>
        <v/>
      </c>
      <c r="E133" s="48">
        <f>'LV'!W25</f>
        <v/>
      </c>
      <c r="F133" s="48">
        <f>'LV'!X25</f>
        <v/>
      </c>
      <c r="G133" s="49">
        <f>'LV'!Z25</f>
        <v/>
      </c>
      <c r="H133" s="48">
        <f>'LV'!AA25</f>
        <v/>
      </c>
      <c r="I133" s="48">
        <f>'LV'!AB25</f>
        <v/>
      </c>
      <c r="J133" s="49">
        <f>'LV'!AD25</f>
        <v/>
      </c>
      <c r="K133" s="49">
        <f>'LV'!AE25</f>
        <v/>
      </c>
    </row>
    <row r="134">
      <c r="A134">
        <f>'LV'!B26</f>
        <v/>
      </c>
      <c r="B134" t="inlineStr">
        <is>
          <t>LV</t>
        </is>
      </c>
      <c r="C134" t="inlineStr">
        <is>
          <t>RB</t>
        </is>
      </c>
      <c r="D134" s="48">
        <f>'LV'!V26</f>
        <v/>
      </c>
      <c r="E134" s="48">
        <f>'LV'!W26</f>
        <v/>
      </c>
      <c r="F134" s="48">
        <f>'LV'!X26</f>
        <v/>
      </c>
      <c r="G134" s="49">
        <f>'LV'!Z26</f>
        <v/>
      </c>
      <c r="H134" s="48">
        <f>'LV'!AA26</f>
        <v/>
      </c>
      <c r="I134" s="48">
        <f>'LV'!AB26</f>
        <v/>
      </c>
      <c r="J134" s="49">
        <f>'LV'!AD26</f>
        <v/>
      </c>
      <c r="K134" s="49">
        <f>'LV'!AE26</f>
        <v/>
      </c>
    </row>
    <row r="135">
      <c r="A135">
        <f>'LV'!B27</f>
        <v/>
      </c>
      <c r="B135" t="inlineStr">
        <is>
          <t>LV</t>
        </is>
      </c>
      <c r="C135" t="inlineStr">
        <is>
          <t>RB</t>
        </is>
      </c>
      <c r="D135" s="48">
        <f>'LV'!V27</f>
        <v/>
      </c>
      <c r="E135" s="48">
        <f>'LV'!W27</f>
        <v/>
      </c>
      <c r="F135" s="48">
        <f>'LV'!X27</f>
        <v/>
      </c>
      <c r="G135" s="49">
        <f>'LV'!Z27</f>
        <v/>
      </c>
      <c r="H135" s="48">
        <f>'LV'!AA27</f>
        <v/>
      </c>
      <c r="I135" s="48">
        <f>'LV'!AB27</f>
        <v/>
      </c>
      <c r="J135" s="49">
        <f>'LV'!AD27</f>
        <v/>
      </c>
      <c r="K135" s="49">
        <f>'LV'!AE27</f>
        <v/>
      </c>
    </row>
    <row r="136">
      <c r="A136">
        <f>'MIA'!B21</f>
        <v/>
      </c>
      <c r="B136" t="inlineStr">
        <is>
          <t>MIA</t>
        </is>
      </c>
      <c r="C136" t="inlineStr">
        <is>
          <t>RB</t>
        </is>
      </c>
      <c r="D136" s="48">
        <f>'MIA'!V21</f>
        <v/>
      </c>
      <c r="E136" s="48">
        <f>'MIA'!W21</f>
        <v/>
      </c>
      <c r="F136" s="48">
        <f>'MIA'!X21</f>
        <v/>
      </c>
      <c r="G136" s="49">
        <f>'MIA'!Z21</f>
        <v/>
      </c>
      <c r="H136" s="48">
        <f>'MIA'!AA21</f>
        <v/>
      </c>
      <c r="I136" s="48">
        <f>'MIA'!AB21</f>
        <v/>
      </c>
      <c r="J136" s="49">
        <f>'MIA'!AD21</f>
        <v/>
      </c>
      <c r="K136" s="49">
        <f>'MIA'!AE21</f>
        <v/>
      </c>
    </row>
    <row r="137">
      <c r="A137">
        <f>'MIA'!B22</f>
        <v/>
      </c>
      <c r="B137" t="inlineStr">
        <is>
          <t>MIA</t>
        </is>
      </c>
      <c r="C137" t="inlineStr">
        <is>
          <t>RB</t>
        </is>
      </c>
      <c r="D137" s="48">
        <f>'MIA'!V22</f>
        <v/>
      </c>
      <c r="E137" s="48">
        <f>'MIA'!W22</f>
        <v/>
      </c>
      <c r="F137" s="48">
        <f>'MIA'!X22</f>
        <v/>
      </c>
      <c r="G137" s="49">
        <f>'MIA'!Z22</f>
        <v/>
      </c>
      <c r="H137" s="48">
        <f>'MIA'!AA22</f>
        <v/>
      </c>
      <c r="I137" s="48">
        <f>'MIA'!AB22</f>
        <v/>
      </c>
      <c r="J137" s="49">
        <f>'MIA'!AD22</f>
        <v/>
      </c>
      <c r="K137" s="49">
        <f>'MIA'!AE22</f>
        <v/>
      </c>
    </row>
    <row r="138">
      <c r="A138">
        <f>'MIA'!B23</f>
        <v/>
      </c>
      <c r="B138" t="inlineStr">
        <is>
          <t>MIA</t>
        </is>
      </c>
      <c r="C138" t="inlineStr">
        <is>
          <t>RB</t>
        </is>
      </c>
      <c r="D138" s="48">
        <f>'MIA'!V23</f>
        <v/>
      </c>
      <c r="E138" s="48">
        <f>'MIA'!W23</f>
        <v/>
      </c>
      <c r="F138" s="48">
        <f>'MIA'!X23</f>
        <v/>
      </c>
      <c r="G138" s="49">
        <f>'MIA'!Z23</f>
        <v/>
      </c>
      <c r="H138" s="48">
        <f>'MIA'!AA23</f>
        <v/>
      </c>
      <c r="I138" s="48">
        <f>'MIA'!AB23</f>
        <v/>
      </c>
      <c r="J138" s="49">
        <f>'MIA'!AD23</f>
        <v/>
      </c>
      <c r="K138" s="49">
        <f>'MIA'!AE23</f>
        <v/>
      </c>
    </row>
    <row r="139">
      <c r="A139">
        <f>'MIA'!B24</f>
        <v/>
      </c>
      <c r="B139" t="inlineStr">
        <is>
          <t>MIA</t>
        </is>
      </c>
      <c r="C139" t="inlineStr">
        <is>
          <t>RB</t>
        </is>
      </c>
      <c r="D139" s="48">
        <f>'MIA'!V24</f>
        <v/>
      </c>
      <c r="E139" s="48">
        <f>'MIA'!W24</f>
        <v/>
      </c>
      <c r="F139" s="48">
        <f>'MIA'!X24</f>
        <v/>
      </c>
      <c r="G139" s="49">
        <f>'MIA'!Z24</f>
        <v/>
      </c>
      <c r="H139" s="48">
        <f>'MIA'!AA24</f>
        <v/>
      </c>
      <c r="I139" s="48">
        <f>'MIA'!AB24</f>
        <v/>
      </c>
      <c r="J139" s="49">
        <f>'MIA'!AD24</f>
        <v/>
      </c>
      <c r="K139" s="49">
        <f>'MIA'!AE24</f>
        <v/>
      </c>
    </row>
    <row r="140">
      <c r="A140">
        <f>'MIA'!B25</f>
        <v/>
      </c>
      <c r="B140" t="inlineStr">
        <is>
          <t>MIA</t>
        </is>
      </c>
      <c r="C140" t="inlineStr">
        <is>
          <t>RB</t>
        </is>
      </c>
      <c r="D140" s="48">
        <f>'MIA'!V25</f>
        <v/>
      </c>
      <c r="E140" s="48">
        <f>'MIA'!W25</f>
        <v/>
      </c>
      <c r="F140" s="48">
        <f>'MIA'!X25</f>
        <v/>
      </c>
      <c r="G140" s="49">
        <f>'MIA'!Z25</f>
        <v/>
      </c>
      <c r="H140" s="48">
        <f>'MIA'!AA25</f>
        <v/>
      </c>
      <c r="I140" s="48">
        <f>'MIA'!AB25</f>
        <v/>
      </c>
      <c r="J140" s="49">
        <f>'MIA'!AD25</f>
        <v/>
      </c>
      <c r="K140" s="49">
        <f>'MIA'!AE25</f>
        <v/>
      </c>
    </row>
    <row r="141">
      <c r="A141">
        <f>'MIA'!B26</f>
        <v/>
      </c>
      <c r="B141" t="inlineStr">
        <is>
          <t>MIA</t>
        </is>
      </c>
      <c r="C141" t="inlineStr">
        <is>
          <t>RB</t>
        </is>
      </c>
      <c r="D141" s="48">
        <f>'MIA'!V26</f>
        <v/>
      </c>
      <c r="E141" s="48">
        <f>'MIA'!W26</f>
        <v/>
      </c>
      <c r="F141" s="48">
        <f>'MIA'!X26</f>
        <v/>
      </c>
      <c r="G141" s="49">
        <f>'MIA'!Z26</f>
        <v/>
      </c>
      <c r="H141" s="48">
        <f>'MIA'!AA26</f>
        <v/>
      </c>
      <c r="I141" s="48">
        <f>'MIA'!AB26</f>
        <v/>
      </c>
      <c r="J141" s="49">
        <f>'MIA'!AD26</f>
        <v/>
      </c>
      <c r="K141" s="49">
        <f>'MIA'!AE26</f>
        <v/>
      </c>
    </row>
    <row r="142">
      <c r="A142">
        <f>'MIA'!B27</f>
        <v/>
      </c>
      <c r="B142" t="inlineStr">
        <is>
          <t>MIA</t>
        </is>
      </c>
      <c r="C142" t="inlineStr">
        <is>
          <t>RB</t>
        </is>
      </c>
      <c r="D142" s="48">
        <f>'MIA'!V27</f>
        <v/>
      </c>
      <c r="E142" s="48">
        <f>'MIA'!W27</f>
        <v/>
      </c>
      <c r="F142" s="48">
        <f>'MIA'!X27</f>
        <v/>
      </c>
      <c r="G142" s="49">
        <f>'MIA'!Z27</f>
        <v/>
      </c>
      <c r="H142" s="48">
        <f>'MIA'!AA27</f>
        <v/>
      </c>
      <c r="I142" s="48">
        <f>'MIA'!AB27</f>
        <v/>
      </c>
      <c r="J142" s="49">
        <f>'MIA'!AD27</f>
        <v/>
      </c>
      <c r="K142" s="49">
        <f>'MIA'!AE27</f>
        <v/>
      </c>
    </row>
    <row r="143">
      <c r="A143">
        <f>'MIN'!B21</f>
        <v/>
      </c>
      <c r="B143" t="inlineStr">
        <is>
          <t>MIN</t>
        </is>
      </c>
      <c r="C143" t="inlineStr">
        <is>
          <t>RB</t>
        </is>
      </c>
      <c r="D143" s="48">
        <f>'MIN'!V21</f>
        <v/>
      </c>
      <c r="E143" s="48">
        <f>'MIN'!W21</f>
        <v/>
      </c>
      <c r="F143" s="48">
        <f>'MIN'!X21</f>
        <v/>
      </c>
      <c r="G143" s="49">
        <f>'MIN'!Z21</f>
        <v/>
      </c>
      <c r="H143" s="48">
        <f>'MIN'!AA21</f>
        <v/>
      </c>
      <c r="I143" s="48">
        <f>'MIN'!AB21</f>
        <v/>
      </c>
      <c r="J143" s="49">
        <f>'MIN'!AD21</f>
        <v/>
      </c>
      <c r="K143" s="49">
        <f>'MIN'!AE21</f>
        <v/>
      </c>
    </row>
    <row r="144">
      <c r="A144">
        <f>'MIN'!B22</f>
        <v/>
      </c>
      <c r="B144" t="inlineStr">
        <is>
          <t>MIN</t>
        </is>
      </c>
      <c r="C144" t="inlineStr">
        <is>
          <t>RB</t>
        </is>
      </c>
      <c r="D144" s="48">
        <f>'MIN'!V22</f>
        <v/>
      </c>
      <c r="E144" s="48">
        <f>'MIN'!W22</f>
        <v/>
      </c>
      <c r="F144" s="48">
        <f>'MIN'!X22</f>
        <v/>
      </c>
      <c r="G144" s="49">
        <f>'MIN'!Z22</f>
        <v/>
      </c>
      <c r="H144" s="48">
        <f>'MIN'!AA22</f>
        <v/>
      </c>
      <c r="I144" s="48">
        <f>'MIN'!AB22</f>
        <v/>
      </c>
      <c r="J144" s="49">
        <f>'MIN'!AD22</f>
        <v/>
      </c>
      <c r="K144" s="49">
        <f>'MIN'!AE22</f>
        <v/>
      </c>
    </row>
    <row r="145">
      <c r="A145">
        <f>'MIN'!B23</f>
        <v/>
      </c>
      <c r="B145" t="inlineStr">
        <is>
          <t>MIN</t>
        </is>
      </c>
      <c r="C145" t="inlineStr">
        <is>
          <t>RB</t>
        </is>
      </c>
      <c r="D145" s="48">
        <f>'MIN'!V23</f>
        <v/>
      </c>
      <c r="E145" s="48">
        <f>'MIN'!W23</f>
        <v/>
      </c>
      <c r="F145" s="48">
        <f>'MIN'!X23</f>
        <v/>
      </c>
      <c r="G145" s="49">
        <f>'MIN'!Z23</f>
        <v/>
      </c>
      <c r="H145" s="48">
        <f>'MIN'!AA23</f>
        <v/>
      </c>
      <c r="I145" s="48">
        <f>'MIN'!AB23</f>
        <v/>
      </c>
      <c r="J145" s="49">
        <f>'MIN'!AD23</f>
        <v/>
      </c>
      <c r="K145" s="49">
        <f>'MIN'!AE23</f>
        <v/>
      </c>
    </row>
    <row r="146">
      <c r="A146">
        <f>'MIN'!B24</f>
        <v/>
      </c>
      <c r="B146" t="inlineStr">
        <is>
          <t>MIN</t>
        </is>
      </c>
      <c r="C146" t="inlineStr">
        <is>
          <t>RB</t>
        </is>
      </c>
      <c r="D146" s="48">
        <f>'MIN'!V24</f>
        <v/>
      </c>
      <c r="E146" s="48">
        <f>'MIN'!W24</f>
        <v/>
      </c>
      <c r="F146" s="48">
        <f>'MIN'!X24</f>
        <v/>
      </c>
      <c r="G146" s="49">
        <f>'MIN'!Z24</f>
        <v/>
      </c>
      <c r="H146" s="48">
        <f>'MIN'!AA24</f>
        <v/>
      </c>
      <c r="I146" s="48">
        <f>'MIN'!AB24</f>
        <v/>
      </c>
      <c r="J146" s="49">
        <f>'MIN'!AD24</f>
        <v/>
      </c>
      <c r="K146" s="49">
        <f>'MIN'!AE24</f>
        <v/>
      </c>
    </row>
    <row r="147">
      <c r="A147">
        <f>'MIN'!B25</f>
        <v/>
      </c>
      <c r="B147" t="inlineStr">
        <is>
          <t>MIN</t>
        </is>
      </c>
      <c r="C147" t="inlineStr">
        <is>
          <t>RB</t>
        </is>
      </c>
      <c r="D147" s="48">
        <f>'MIN'!V25</f>
        <v/>
      </c>
      <c r="E147" s="48">
        <f>'MIN'!W25</f>
        <v/>
      </c>
      <c r="F147" s="48">
        <f>'MIN'!X25</f>
        <v/>
      </c>
      <c r="G147" s="49">
        <f>'MIN'!Z25</f>
        <v/>
      </c>
      <c r="H147" s="48">
        <f>'MIN'!AA25</f>
        <v/>
      </c>
      <c r="I147" s="48">
        <f>'MIN'!AB25</f>
        <v/>
      </c>
      <c r="J147" s="49">
        <f>'MIN'!AD25</f>
        <v/>
      </c>
      <c r="K147" s="49">
        <f>'MIN'!AE25</f>
        <v/>
      </c>
    </row>
    <row r="148">
      <c r="A148">
        <f>'MIN'!B26</f>
        <v/>
      </c>
      <c r="B148" t="inlineStr">
        <is>
          <t>MIN</t>
        </is>
      </c>
      <c r="C148" t="inlineStr">
        <is>
          <t>RB</t>
        </is>
      </c>
      <c r="D148" s="48">
        <f>'MIN'!V26</f>
        <v/>
      </c>
      <c r="E148" s="48">
        <f>'MIN'!W26</f>
        <v/>
      </c>
      <c r="F148" s="48">
        <f>'MIN'!X26</f>
        <v/>
      </c>
      <c r="G148" s="49">
        <f>'MIN'!Z26</f>
        <v/>
      </c>
      <c r="H148" s="48">
        <f>'MIN'!AA26</f>
        <v/>
      </c>
      <c r="I148" s="48">
        <f>'MIN'!AB26</f>
        <v/>
      </c>
      <c r="J148" s="49">
        <f>'MIN'!AD26</f>
        <v/>
      </c>
      <c r="K148" s="49">
        <f>'MIN'!AE26</f>
        <v/>
      </c>
    </row>
    <row r="149">
      <c r="A149">
        <f>'MIN'!B27</f>
        <v/>
      </c>
      <c r="B149" t="inlineStr">
        <is>
          <t>MIN</t>
        </is>
      </c>
      <c r="C149" t="inlineStr">
        <is>
          <t>RB</t>
        </is>
      </c>
      <c r="D149" s="48">
        <f>'MIN'!V27</f>
        <v/>
      </c>
      <c r="E149" s="48">
        <f>'MIN'!W27</f>
        <v/>
      </c>
      <c r="F149" s="48">
        <f>'MIN'!X27</f>
        <v/>
      </c>
      <c r="G149" s="49">
        <f>'MIN'!Z27</f>
        <v/>
      </c>
      <c r="H149" s="48">
        <f>'MIN'!AA27</f>
        <v/>
      </c>
      <c r="I149" s="48">
        <f>'MIN'!AB27</f>
        <v/>
      </c>
      <c r="J149" s="49">
        <f>'MIN'!AD27</f>
        <v/>
      </c>
      <c r="K149" s="49">
        <f>'MIN'!AE27</f>
        <v/>
      </c>
    </row>
    <row r="150">
      <c r="A150">
        <f>'NE'!B21</f>
        <v/>
      </c>
      <c r="B150" t="inlineStr">
        <is>
          <t>NE</t>
        </is>
      </c>
      <c r="C150" t="inlineStr">
        <is>
          <t>RB</t>
        </is>
      </c>
      <c r="D150" s="48">
        <f>'NE'!V21</f>
        <v/>
      </c>
      <c r="E150" s="48">
        <f>'NE'!W21</f>
        <v/>
      </c>
      <c r="F150" s="48">
        <f>'NE'!X21</f>
        <v/>
      </c>
      <c r="G150" s="49">
        <f>'NE'!Z21</f>
        <v/>
      </c>
      <c r="H150" s="48">
        <f>'NE'!AA21</f>
        <v/>
      </c>
      <c r="I150" s="48">
        <f>'NE'!AB21</f>
        <v/>
      </c>
      <c r="J150" s="49">
        <f>'NE'!AD21</f>
        <v/>
      </c>
      <c r="K150" s="49">
        <f>'NE'!AE21</f>
        <v/>
      </c>
    </row>
    <row r="151">
      <c r="A151">
        <f>'NE'!B22</f>
        <v/>
      </c>
      <c r="B151" t="inlineStr">
        <is>
          <t>NE</t>
        </is>
      </c>
      <c r="C151" t="inlineStr">
        <is>
          <t>RB</t>
        </is>
      </c>
      <c r="D151" s="48">
        <f>'NE'!V22</f>
        <v/>
      </c>
      <c r="E151" s="48">
        <f>'NE'!W22</f>
        <v/>
      </c>
      <c r="F151" s="48">
        <f>'NE'!X22</f>
        <v/>
      </c>
      <c r="G151" s="49">
        <f>'NE'!Z22</f>
        <v/>
      </c>
      <c r="H151" s="48">
        <f>'NE'!AA22</f>
        <v/>
      </c>
      <c r="I151" s="48">
        <f>'NE'!AB22</f>
        <v/>
      </c>
      <c r="J151" s="49">
        <f>'NE'!AD22</f>
        <v/>
      </c>
      <c r="K151" s="49">
        <f>'NE'!AE22</f>
        <v/>
      </c>
    </row>
    <row r="152">
      <c r="A152">
        <f>'NE'!B23</f>
        <v/>
      </c>
      <c r="B152" t="inlineStr">
        <is>
          <t>NE</t>
        </is>
      </c>
      <c r="C152" t="inlineStr">
        <is>
          <t>RB</t>
        </is>
      </c>
      <c r="D152" s="48">
        <f>'NE'!V23</f>
        <v/>
      </c>
      <c r="E152" s="48">
        <f>'NE'!W23</f>
        <v/>
      </c>
      <c r="F152" s="48">
        <f>'NE'!X23</f>
        <v/>
      </c>
      <c r="G152" s="49">
        <f>'NE'!Z23</f>
        <v/>
      </c>
      <c r="H152" s="48">
        <f>'NE'!AA23</f>
        <v/>
      </c>
      <c r="I152" s="48">
        <f>'NE'!AB23</f>
        <v/>
      </c>
      <c r="J152" s="49">
        <f>'NE'!AD23</f>
        <v/>
      </c>
      <c r="K152" s="49">
        <f>'NE'!AE23</f>
        <v/>
      </c>
    </row>
    <row r="153">
      <c r="A153">
        <f>'NE'!B24</f>
        <v/>
      </c>
      <c r="B153" t="inlineStr">
        <is>
          <t>NE</t>
        </is>
      </c>
      <c r="C153" t="inlineStr">
        <is>
          <t>RB</t>
        </is>
      </c>
      <c r="D153" s="48">
        <f>'NE'!V24</f>
        <v/>
      </c>
      <c r="E153" s="48">
        <f>'NE'!W24</f>
        <v/>
      </c>
      <c r="F153" s="48">
        <f>'NE'!X24</f>
        <v/>
      </c>
      <c r="G153" s="49">
        <f>'NE'!Z24</f>
        <v/>
      </c>
      <c r="H153" s="48">
        <f>'NE'!AA24</f>
        <v/>
      </c>
      <c r="I153" s="48">
        <f>'NE'!AB24</f>
        <v/>
      </c>
      <c r="J153" s="49">
        <f>'NE'!AD24</f>
        <v/>
      </c>
      <c r="K153" s="49">
        <f>'NE'!AE24</f>
        <v/>
      </c>
    </row>
    <row r="154">
      <c r="A154">
        <f>'NE'!B25</f>
        <v/>
      </c>
      <c r="B154" t="inlineStr">
        <is>
          <t>NE</t>
        </is>
      </c>
      <c r="C154" t="inlineStr">
        <is>
          <t>RB</t>
        </is>
      </c>
      <c r="D154" s="48">
        <f>'NE'!V25</f>
        <v/>
      </c>
      <c r="E154" s="48">
        <f>'NE'!W25</f>
        <v/>
      </c>
      <c r="F154" s="48">
        <f>'NE'!X25</f>
        <v/>
      </c>
      <c r="G154" s="49">
        <f>'NE'!Z25</f>
        <v/>
      </c>
      <c r="H154" s="48">
        <f>'NE'!AA25</f>
        <v/>
      </c>
      <c r="I154" s="48">
        <f>'NE'!AB25</f>
        <v/>
      </c>
      <c r="J154" s="49">
        <f>'NE'!AD25</f>
        <v/>
      </c>
      <c r="K154" s="49">
        <f>'NE'!AE25</f>
        <v/>
      </c>
    </row>
    <row r="155">
      <c r="A155">
        <f>'NE'!B26</f>
        <v/>
      </c>
      <c r="B155" t="inlineStr">
        <is>
          <t>NE</t>
        </is>
      </c>
      <c r="C155" t="inlineStr">
        <is>
          <t>RB</t>
        </is>
      </c>
      <c r="D155" s="48">
        <f>'NE'!V26</f>
        <v/>
      </c>
      <c r="E155" s="48">
        <f>'NE'!W26</f>
        <v/>
      </c>
      <c r="F155" s="48">
        <f>'NE'!X26</f>
        <v/>
      </c>
      <c r="G155" s="49">
        <f>'NE'!Z26</f>
        <v/>
      </c>
      <c r="H155" s="48">
        <f>'NE'!AA26</f>
        <v/>
      </c>
      <c r="I155" s="48">
        <f>'NE'!AB26</f>
        <v/>
      </c>
      <c r="J155" s="49">
        <f>'NE'!AD26</f>
        <v/>
      </c>
      <c r="K155" s="49">
        <f>'NE'!AE26</f>
        <v/>
      </c>
    </row>
    <row r="156">
      <c r="A156">
        <f>'NE'!B27</f>
        <v/>
      </c>
      <c r="B156" t="inlineStr">
        <is>
          <t>NE</t>
        </is>
      </c>
      <c r="C156" t="inlineStr">
        <is>
          <t>RB</t>
        </is>
      </c>
      <c r="D156" s="48">
        <f>'NE'!V27</f>
        <v/>
      </c>
      <c r="E156" s="48">
        <f>'NE'!W27</f>
        <v/>
      </c>
      <c r="F156" s="48">
        <f>'NE'!X27</f>
        <v/>
      </c>
      <c r="G156" s="49">
        <f>'NE'!Z27</f>
        <v/>
      </c>
      <c r="H156" s="48">
        <f>'NE'!AA27</f>
        <v/>
      </c>
      <c r="I156" s="48">
        <f>'NE'!AB27</f>
        <v/>
      </c>
      <c r="J156" s="49">
        <f>'NE'!AD27</f>
        <v/>
      </c>
      <c r="K156" s="49">
        <f>'NE'!AE27</f>
        <v/>
      </c>
    </row>
    <row r="157">
      <c r="A157">
        <f>'NO'!B21</f>
        <v/>
      </c>
      <c r="B157" t="inlineStr">
        <is>
          <t>NO</t>
        </is>
      </c>
      <c r="C157" t="inlineStr">
        <is>
          <t>RB</t>
        </is>
      </c>
      <c r="D157" s="48">
        <f>'NO'!V21</f>
        <v/>
      </c>
      <c r="E157" s="48">
        <f>'NO'!W21</f>
        <v/>
      </c>
      <c r="F157" s="48">
        <f>'NO'!X21</f>
        <v/>
      </c>
      <c r="G157" s="49">
        <f>'NO'!Z21</f>
        <v/>
      </c>
      <c r="H157" s="48">
        <f>'NO'!AA21</f>
        <v/>
      </c>
      <c r="I157" s="48">
        <f>'NO'!AB21</f>
        <v/>
      </c>
      <c r="J157" s="49">
        <f>'NO'!AD21</f>
        <v/>
      </c>
      <c r="K157" s="49">
        <f>'NO'!AE21</f>
        <v/>
      </c>
    </row>
    <row r="158">
      <c r="A158">
        <f>'NO'!B22</f>
        <v/>
      </c>
      <c r="B158" t="inlineStr">
        <is>
          <t>NO</t>
        </is>
      </c>
      <c r="C158" t="inlineStr">
        <is>
          <t>RB</t>
        </is>
      </c>
      <c r="D158" s="48">
        <f>'NO'!V22</f>
        <v/>
      </c>
      <c r="E158" s="48">
        <f>'NO'!W22</f>
        <v/>
      </c>
      <c r="F158" s="48">
        <f>'NO'!X22</f>
        <v/>
      </c>
      <c r="G158" s="49">
        <f>'NO'!Z22</f>
        <v/>
      </c>
      <c r="H158" s="48">
        <f>'NO'!AA22</f>
        <v/>
      </c>
      <c r="I158" s="48">
        <f>'NO'!AB22</f>
        <v/>
      </c>
      <c r="J158" s="49">
        <f>'NO'!AD22</f>
        <v/>
      </c>
      <c r="K158" s="49">
        <f>'NO'!AE22</f>
        <v/>
      </c>
    </row>
    <row r="159">
      <c r="A159">
        <f>'NO'!B23</f>
        <v/>
      </c>
      <c r="B159" t="inlineStr">
        <is>
          <t>NO</t>
        </is>
      </c>
      <c r="C159" t="inlineStr">
        <is>
          <t>RB</t>
        </is>
      </c>
      <c r="D159" s="48">
        <f>'NO'!V23</f>
        <v/>
      </c>
      <c r="E159" s="48">
        <f>'NO'!W23</f>
        <v/>
      </c>
      <c r="F159" s="48">
        <f>'NO'!X23</f>
        <v/>
      </c>
      <c r="G159" s="49">
        <f>'NO'!Z23</f>
        <v/>
      </c>
      <c r="H159" s="48">
        <f>'NO'!AA23</f>
        <v/>
      </c>
      <c r="I159" s="48">
        <f>'NO'!AB23</f>
        <v/>
      </c>
      <c r="J159" s="49">
        <f>'NO'!AD23</f>
        <v/>
      </c>
      <c r="K159" s="49">
        <f>'NO'!AE23</f>
        <v/>
      </c>
    </row>
    <row r="160">
      <c r="A160">
        <f>'NO'!B24</f>
        <v/>
      </c>
      <c r="B160" t="inlineStr">
        <is>
          <t>NO</t>
        </is>
      </c>
      <c r="C160" t="inlineStr">
        <is>
          <t>RB</t>
        </is>
      </c>
      <c r="D160" s="48">
        <f>'NO'!V24</f>
        <v/>
      </c>
      <c r="E160" s="48">
        <f>'NO'!W24</f>
        <v/>
      </c>
      <c r="F160" s="48">
        <f>'NO'!X24</f>
        <v/>
      </c>
      <c r="G160" s="49">
        <f>'NO'!Z24</f>
        <v/>
      </c>
      <c r="H160" s="48">
        <f>'NO'!AA24</f>
        <v/>
      </c>
      <c r="I160" s="48">
        <f>'NO'!AB24</f>
        <v/>
      </c>
      <c r="J160" s="49">
        <f>'NO'!AD24</f>
        <v/>
      </c>
      <c r="K160" s="49">
        <f>'NO'!AE24</f>
        <v/>
      </c>
    </row>
    <row r="161">
      <c r="A161">
        <f>'NO'!B25</f>
        <v/>
      </c>
      <c r="B161" t="inlineStr">
        <is>
          <t>NO</t>
        </is>
      </c>
      <c r="C161" t="inlineStr">
        <is>
          <t>RB</t>
        </is>
      </c>
      <c r="D161" s="48">
        <f>'NO'!V25</f>
        <v/>
      </c>
      <c r="E161" s="48">
        <f>'NO'!W25</f>
        <v/>
      </c>
      <c r="F161" s="48">
        <f>'NO'!X25</f>
        <v/>
      </c>
      <c r="G161" s="49">
        <f>'NO'!Z25</f>
        <v/>
      </c>
      <c r="H161" s="48">
        <f>'NO'!AA25</f>
        <v/>
      </c>
      <c r="I161" s="48">
        <f>'NO'!AB25</f>
        <v/>
      </c>
      <c r="J161" s="49">
        <f>'NO'!AD25</f>
        <v/>
      </c>
      <c r="K161" s="49">
        <f>'NO'!AE25</f>
        <v/>
      </c>
    </row>
    <row r="162">
      <c r="A162">
        <f>'NO'!B26</f>
        <v/>
      </c>
      <c r="B162" t="inlineStr">
        <is>
          <t>NO</t>
        </is>
      </c>
      <c r="C162" t="inlineStr">
        <is>
          <t>RB</t>
        </is>
      </c>
      <c r="D162" s="48">
        <f>'NO'!V26</f>
        <v/>
      </c>
      <c r="E162" s="48">
        <f>'NO'!W26</f>
        <v/>
      </c>
      <c r="F162" s="48">
        <f>'NO'!X26</f>
        <v/>
      </c>
      <c r="G162" s="49">
        <f>'NO'!Z26</f>
        <v/>
      </c>
      <c r="H162" s="48">
        <f>'NO'!AA26</f>
        <v/>
      </c>
      <c r="I162" s="48">
        <f>'NO'!AB26</f>
        <v/>
      </c>
      <c r="J162" s="49">
        <f>'NO'!AD26</f>
        <v/>
      </c>
      <c r="K162" s="49">
        <f>'NO'!AE26</f>
        <v/>
      </c>
    </row>
    <row r="163">
      <c r="A163">
        <f>'NO'!B27</f>
        <v/>
      </c>
      <c r="B163" t="inlineStr">
        <is>
          <t>NO</t>
        </is>
      </c>
      <c r="C163" t="inlineStr">
        <is>
          <t>RB</t>
        </is>
      </c>
      <c r="D163" s="48">
        <f>'NO'!V27</f>
        <v/>
      </c>
      <c r="E163" s="48">
        <f>'NO'!W27</f>
        <v/>
      </c>
      <c r="F163" s="48">
        <f>'NO'!X27</f>
        <v/>
      </c>
      <c r="G163" s="49">
        <f>'NO'!Z27</f>
        <v/>
      </c>
      <c r="H163" s="48">
        <f>'NO'!AA27</f>
        <v/>
      </c>
      <c r="I163" s="48">
        <f>'NO'!AB27</f>
        <v/>
      </c>
      <c r="J163" s="49">
        <f>'NO'!AD27</f>
        <v/>
      </c>
      <c r="K163" s="49">
        <f>'NO'!AE27</f>
        <v/>
      </c>
    </row>
    <row r="164">
      <c r="A164">
        <f>'NYG'!B21</f>
        <v/>
      </c>
      <c r="B164" t="inlineStr">
        <is>
          <t>NYG</t>
        </is>
      </c>
      <c r="C164" t="inlineStr">
        <is>
          <t>RB</t>
        </is>
      </c>
      <c r="D164" s="48">
        <f>'NYG'!V21</f>
        <v/>
      </c>
      <c r="E164" s="48">
        <f>'NYG'!W21</f>
        <v/>
      </c>
      <c r="F164" s="48">
        <f>'NYG'!X21</f>
        <v/>
      </c>
      <c r="G164" s="49">
        <f>'NYG'!Z21</f>
        <v/>
      </c>
      <c r="H164" s="48">
        <f>'NYG'!AA21</f>
        <v/>
      </c>
      <c r="I164" s="48">
        <f>'NYG'!AB21</f>
        <v/>
      </c>
      <c r="J164" s="49">
        <f>'NYG'!AD21</f>
        <v/>
      </c>
      <c r="K164" s="49">
        <f>'NYG'!AE21</f>
        <v/>
      </c>
    </row>
    <row r="165">
      <c r="A165">
        <f>'NYG'!B22</f>
        <v/>
      </c>
      <c r="B165" t="inlineStr">
        <is>
          <t>NYG</t>
        </is>
      </c>
      <c r="C165" t="inlineStr">
        <is>
          <t>RB</t>
        </is>
      </c>
      <c r="D165" s="48">
        <f>'NYG'!V22</f>
        <v/>
      </c>
      <c r="E165" s="48">
        <f>'NYG'!W22</f>
        <v/>
      </c>
      <c r="F165" s="48">
        <f>'NYG'!X22</f>
        <v/>
      </c>
      <c r="G165" s="49">
        <f>'NYG'!Z22</f>
        <v/>
      </c>
      <c r="H165" s="48">
        <f>'NYG'!AA22</f>
        <v/>
      </c>
      <c r="I165" s="48">
        <f>'NYG'!AB22</f>
        <v/>
      </c>
      <c r="J165" s="49">
        <f>'NYG'!AD22</f>
        <v/>
      </c>
      <c r="K165" s="49">
        <f>'NYG'!AE22</f>
        <v/>
      </c>
    </row>
    <row r="166">
      <c r="A166">
        <f>'NYG'!B23</f>
        <v/>
      </c>
      <c r="B166" t="inlineStr">
        <is>
          <t>NYG</t>
        </is>
      </c>
      <c r="C166" t="inlineStr">
        <is>
          <t>RB</t>
        </is>
      </c>
      <c r="D166" s="48">
        <f>'NYG'!V23</f>
        <v/>
      </c>
      <c r="E166" s="48">
        <f>'NYG'!W23</f>
        <v/>
      </c>
      <c r="F166" s="48">
        <f>'NYG'!X23</f>
        <v/>
      </c>
      <c r="G166" s="49">
        <f>'NYG'!Z23</f>
        <v/>
      </c>
      <c r="H166" s="48">
        <f>'NYG'!AA23</f>
        <v/>
      </c>
      <c r="I166" s="48">
        <f>'NYG'!AB23</f>
        <v/>
      </c>
      <c r="J166" s="49">
        <f>'NYG'!AD23</f>
        <v/>
      </c>
      <c r="K166" s="49">
        <f>'NYG'!AE23</f>
        <v/>
      </c>
    </row>
    <row r="167">
      <c r="A167">
        <f>'NYG'!B24</f>
        <v/>
      </c>
      <c r="B167" t="inlineStr">
        <is>
          <t>NYG</t>
        </is>
      </c>
      <c r="C167" t="inlineStr">
        <is>
          <t>RB</t>
        </is>
      </c>
      <c r="D167" s="48">
        <f>'NYG'!V24</f>
        <v/>
      </c>
      <c r="E167" s="48">
        <f>'NYG'!W24</f>
        <v/>
      </c>
      <c r="F167" s="48">
        <f>'NYG'!X24</f>
        <v/>
      </c>
      <c r="G167" s="49">
        <f>'NYG'!Z24</f>
        <v/>
      </c>
      <c r="H167" s="48">
        <f>'NYG'!AA24</f>
        <v/>
      </c>
      <c r="I167" s="48">
        <f>'NYG'!AB24</f>
        <v/>
      </c>
      <c r="J167" s="49">
        <f>'NYG'!AD24</f>
        <v/>
      </c>
      <c r="K167" s="49">
        <f>'NYG'!AE24</f>
        <v/>
      </c>
    </row>
    <row r="168">
      <c r="A168">
        <f>'NYG'!B25</f>
        <v/>
      </c>
      <c r="B168" t="inlineStr">
        <is>
          <t>NYG</t>
        </is>
      </c>
      <c r="C168" t="inlineStr">
        <is>
          <t>RB</t>
        </is>
      </c>
      <c r="D168" s="48">
        <f>'NYG'!V25</f>
        <v/>
      </c>
      <c r="E168" s="48">
        <f>'NYG'!W25</f>
        <v/>
      </c>
      <c r="F168" s="48">
        <f>'NYG'!X25</f>
        <v/>
      </c>
      <c r="G168" s="49">
        <f>'NYG'!Z25</f>
        <v/>
      </c>
      <c r="H168" s="48">
        <f>'NYG'!AA25</f>
        <v/>
      </c>
      <c r="I168" s="48">
        <f>'NYG'!AB25</f>
        <v/>
      </c>
      <c r="J168" s="49">
        <f>'NYG'!AD25</f>
        <v/>
      </c>
      <c r="K168" s="49">
        <f>'NYG'!AE25</f>
        <v/>
      </c>
    </row>
    <row r="169">
      <c r="A169">
        <f>'NYG'!B26</f>
        <v/>
      </c>
      <c r="B169" t="inlineStr">
        <is>
          <t>NYG</t>
        </is>
      </c>
      <c r="C169" t="inlineStr">
        <is>
          <t>RB</t>
        </is>
      </c>
      <c r="D169" s="48">
        <f>'NYG'!V26</f>
        <v/>
      </c>
      <c r="E169" s="48">
        <f>'NYG'!W26</f>
        <v/>
      </c>
      <c r="F169" s="48">
        <f>'NYG'!X26</f>
        <v/>
      </c>
      <c r="G169" s="49">
        <f>'NYG'!Z26</f>
        <v/>
      </c>
      <c r="H169" s="48">
        <f>'NYG'!AA26</f>
        <v/>
      </c>
      <c r="I169" s="48">
        <f>'NYG'!AB26</f>
        <v/>
      </c>
      <c r="J169" s="49">
        <f>'NYG'!AD26</f>
        <v/>
      </c>
      <c r="K169" s="49">
        <f>'NYG'!AE26</f>
        <v/>
      </c>
    </row>
    <row r="170">
      <c r="A170">
        <f>'NYG'!B27</f>
        <v/>
      </c>
      <c r="B170" t="inlineStr">
        <is>
          <t>NYG</t>
        </is>
      </c>
      <c r="C170" t="inlineStr">
        <is>
          <t>RB</t>
        </is>
      </c>
      <c r="D170" s="48">
        <f>'NYG'!V27</f>
        <v/>
      </c>
      <c r="E170" s="48">
        <f>'NYG'!W27</f>
        <v/>
      </c>
      <c r="F170" s="48">
        <f>'NYG'!X27</f>
        <v/>
      </c>
      <c r="G170" s="49">
        <f>'NYG'!Z27</f>
        <v/>
      </c>
      <c r="H170" s="48">
        <f>'NYG'!AA27</f>
        <v/>
      </c>
      <c r="I170" s="48">
        <f>'NYG'!AB27</f>
        <v/>
      </c>
      <c r="J170" s="49">
        <f>'NYG'!AD27</f>
        <v/>
      </c>
      <c r="K170" s="49">
        <f>'NYG'!AE27</f>
        <v/>
      </c>
    </row>
    <row r="171">
      <c r="A171">
        <f>'NYJ'!B21</f>
        <v/>
      </c>
      <c r="B171" t="inlineStr">
        <is>
          <t>NYJ</t>
        </is>
      </c>
      <c r="C171" t="inlineStr">
        <is>
          <t>RB</t>
        </is>
      </c>
      <c r="D171" s="48">
        <f>'NYJ'!V21</f>
        <v/>
      </c>
      <c r="E171" s="48">
        <f>'NYJ'!W21</f>
        <v/>
      </c>
      <c r="F171" s="48">
        <f>'NYJ'!X21</f>
        <v/>
      </c>
      <c r="G171" s="49">
        <f>'NYJ'!Z21</f>
        <v/>
      </c>
      <c r="H171" s="48">
        <f>'NYJ'!AA21</f>
        <v/>
      </c>
      <c r="I171" s="48">
        <f>'NYJ'!AB21</f>
        <v/>
      </c>
      <c r="J171" s="49">
        <f>'NYJ'!AD21</f>
        <v/>
      </c>
      <c r="K171" s="49">
        <f>'NYJ'!AE21</f>
        <v/>
      </c>
    </row>
    <row r="172">
      <c r="A172">
        <f>'NYJ'!B22</f>
        <v/>
      </c>
      <c r="B172" t="inlineStr">
        <is>
          <t>NYJ</t>
        </is>
      </c>
      <c r="C172" t="inlineStr">
        <is>
          <t>RB</t>
        </is>
      </c>
      <c r="D172" s="48">
        <f>'NYJ'!V22</f>
        <v/>
      </c>
      <c r="E172" s="48">
        <f>'NYJ'!W22</f>
        <v/>
      </c>
      <c r="F172" s="48">
        <f>'NYJ'!X22</f>
        <v/>
      </c>
      <c r="G172" s="49">
        <f>'NYJ'!Z22</f>
        <v/>
      </c>
      <c r="H172" s="48">
        <f>'NYJ'!AA22</f>
        <v/>
      </c>
      <c r="I172" s="48">
        <f>'NYJ'!AB22</f>
        <v/>
      </c>
      <c r="J172" s="49">
        <f>'NYJ'!AD22</f>
        <v/>
      </c>
      <c r="K172" s="49">
        <f>'NYJ'!AE22</f>
        <v/>
      </c>
    </row>
    <row r="173">
      <c r="A173">
        <f>'NYJ'!B23</f>
        <v/>
      </c>
      <c r="B173" t="inlineStr">
        <is>
          <t>NYJ</t>
        </is>
      </c>
      <c r="C173" t="inlineStr">
        <is>
          <t>RB</t>
        </is>
      </c>
      <c r="D173" s="48">
        <f>'NYJ'!V23</f>
        <v/>
      </c>
      <c r="E173" s="48">
        <f>'NYJ'!W23</f>
        <v/>
      </c>
      <c r="F173" s="48">
        <f>'NYJ'!X23</f>
        <v/>
      </c>
      <c r="G173" s="49">
        <f>'NYJ'!Z23</f>
        <v/>
      </c>
      <c r="H173" s="48">
        <f>'NYJ'!AA23</f>
        <v/>
      </c>
      <c r="I173" s="48">
        <f>'NYJ'!AB23</f>
        <v/>
      </c>
      <c r="J173" s="49">
        <f>'NYJ'!AD23</f>
        <v/>
      </c>
      <c r="K173" s="49">
        <f>'NYJ'!AE23</f>
        <v/>
      </c>
    </row>
    <row r="174">
      <c r="A174">
        <f>'NYJ'!B24</f>
        <v/>
      </c>
      <c r="B174" t="inlineStr">
        <is>
          <t>NYJ</t>
        </is>
      </c>
      <c r="C174" t="inlineStr">
        <is>
          <t>RB</t>
        </is>
      </c>
      <c r="D174" s="48">
        <f>'NYJ'!V24</f>
        <v/>
      </c>
      <c r="E174" s="48">
        <f>'NYJ'!W24</f>
        <v/>
      </c>
      <c r="F174" s="48">
        <f>'NYJ'!X24</f>
        <v/>
      </c>
      <c r="G174" s="49">
        <f>'NYJ'!Z24</f>
        <v/>
      </c>
      <c r="H174" s="48">
        <f>'NYJ'!AA24</f>
        <v/>
      </c>
      <c r="I174" s="48">
        <f>'NYJ'!AB24</f>
        <v/>
      </c>
      <c r="J174" s="49">
        <f>'NYJ'!AD24</f>
        <v/>
      </c>
      <c r="K174" s="49">
        <f>'NYJ'!AE24</f>
        <v/>
      </c>
    </row>
    <row r="175">
      <c r="A175">
        <f>'NYJ'!B25</f>
        <v/>
      </c>
      <c r="B175" t="inlineStr">
        <is>
          <t>NYJ</t>
        </is>
      </c>
      <c r="C175" t="inlineStr">
        <is>
          <t>RB</t>
        </is>
      </c>
      <c r="D175" s="48">
        <f>'NYJ'!V25</f>
        <v/>
      </c>
      <c r="E175" s="48">
        <f>'NYJ'!W25</f>
        <v/>
      </c>
      <c r="F175" s="48">
        <f>'NYJ'!X25</f>
        <v/>
      </c>
      <c r="G175" s="49">
        <f>'NYJ'!Z25</f>
        <v/>
      </c>
      <c r="H175" s="48">
        <f>'NYJ'!AA25</f>
        <v/>
      </c>
      <c r="I175" s="48">
        <f>'NYJ'!AB25</f>
        <v/>
      </c>
      <c r="J175" s="49">
        <f>'NYJ'!AD25</f>
        <v/>
      </c>
      <c r="K175" s="49">
        <f>'NYJ'!AE25</f>
        <v/>
      </c>
    </row>
    <row r="176">
      <c r="A176">
        <f>'NYJ'!B26</f>
        <v/>
      </c>
      <c r="B176" t="inlineStr">
        <is>
          <t>NYJ</t>
        </is>
      </c>
      <c r="C176" t="inlineStr">
        <is>
          <t>RB</t>
        </is>
      </c>
      <c r="D176" s="48">
        <f>'NYJ'!V26</f>
        <v/>
      </c>
      <c r="E176" s="48">
        <f>'NYJ'!W26</f>
        <v/>
      </c>
      <c r="F176" s="48">
        <f>'NYJ'!X26</f>
        <v/>
      </c>
      <c r="G176" s="49">
        <f>'NYJ'!Z26</f>
        <v/>
      </c>
      <c r="H176" s="48">
        <f>'NYJ'!AA26</f>
        <v/>
      </c>
      <c r="I176" s="48">
        <f>'NYJ'!AB26</f>
        <v/>
      </c>
      <c r="J176" s="49">
        <f>'NYJ'!AD26</f>
        <v/>
      </c>
      <c r="K176" s="49">
        <f>'NYJ'!AE26</f>
        <v/>
      </c>
    </row>
    <row r="177">
      <c r="A177">
        <f>'NYJ'!B27</f>
        <v/>
      </c>
      <c r="B177" t="inlineStr">
        <is>
          <t>NYJ</t>
        </is>
      </c>
      <c r="C177" t="inlineStr">
        <is>
          <t>RB</t>
        </is>
      </c>
      <c r="D177" s="48">
        <f>'NYJ'!V27</f>
        <v/>
      </c>
      <c r="E177" s="48">
        <f>'NYJ'!W27</f>
        <v/>
      </c>
      <c r="F177" s="48">
        <f>'NYJ'!X27</f>
        <v/>
      </c>
      <c r="G177" s="49">
        <f>'NYJ'!Z27</f>
        <v/>
      </c>
      <c r="H177" s="48">
        <f>'NYJ'!AA27</f>
        <v/>
      </c>
      <c r="I177" s="48">
        <f>'NYJ'!AB27</f>
        <v/>
      </c>
      <c r="J177" s="49">
        <f>'NYJ'!AD27</f>
        <v/>
      </c>
      <c r="K177" s="49">
        <f>'NYJ'!AE27</f>
        <v/>
      </c>
    </row>
    <row r="178">
      <c r="A178">
        <f>'PHI'!B21</f>
        <v/>
      </c>
      <c r="B178" t="inlineStr">
        <is>
          <t>PHI</t>
        </is>
      </c>
      <c r="C178" t="inlineStr">
        <is>
          <t>RB</t>
        </is>
      </c>
      <c r="D178" s="48">
        <f>'PHI'!V21</f>
        <v/>
      </c>
      <c r="E178" s="48">
        <f>'PHI'!W21</f>
        <v/>
      </c>
      <c r="F178" s="48">
        <f>'PHI'!X21</f>
        <v/>
      </c>
      <c r="G178" s="49">
        <f>'PHI'!Z21</f>
        <v/>
      </c>
      <c r="H178" s="48">
        <f>'PHI'!AA21</f>
        <v/>
      </c>
      <c r="I178" s="48">
        <f>'PHI'!AB21</f>
        <v/>
      </c>
      <c r="J178" s="49">
        <f>'PHI'!AD21</f>
        <v/>
      </c>
      <c r="K178" s="49">
        <f>'PHI'!AE21</f>
        <v/>
      </c>
    </row>
    <row r="179">
      <c r="A179">
        <f>'PHI'!B22</f>
        <v/>
      </c>
      <c r="B179" t="inlineStr">
        <is>
          <t>PHI</t>
        </is>
      </c>
      <c r="C179" t="inlineStr">
        <is>
          <t>RB</t>
        </is>
      </c>
      <c r="D179" s="48">
        <f>'PHI'!V22</f>
        <v/>
      </c>
      <c r="E179" s="48">
        <f>'PHI'!W22</f>
        <v/>
      </c>
      <c r="F179" s="48">
        <f>'PHI'!X22</f>
        <v/>
      </c>
      <c r="G179" s="49">
        <f>'PHI'!Z22</f>
        <v/>
      </c>
      <c r="H179" s="48">
        <f>'PHI'!AA22</f>
        <v/>
      </c>
      <c r="I179" s="48">
        <f>'PHI'!AB22</f>
        <v/>
      </c>
      <c r="J179" s="49">
        <f>'PHI'!AD22</f>
        <v/>
      </c>
      <c r="K179" s="49">
        <f>'PHI'!AE22</f>
        <v/>
      </c>
    </row>
    <row r="180">
      <c r="A180">
        <f>'PHI'!B23</f>
        <v/>
      </c>
      <c r="B180" t="inlineStr">
        <is>
          <t>PHI</t>
        </is>
      </c>
      <c r="C180" t="inlineStr">
        <is>
          <t>RB</t>
        </is>
      </c>
      <c r="D180" s="48">
        <f>'PHI'!V23</f>
        <v/>
      </c>
      <c r="E180" s="48">
        <f>'PHI'!W23</f>
        <v/>
      </c>
      <c r="F180" s="48">
        <f>'PHI'!X23</f>
        <v/>
      </c>
      <c r="G180" s="49">
        <f>'PHI'!Z23</f>
        <v/>
      </c>
      <c r="H180" s="48">
        <f>'PHI'!AA23</f>
        <v/>
      </c>
      <c r="I180" s="48">
        <f>'PHI'!AB23</f>
        <v/>
      </c>
      <c r="J180" s="49">
        <f>'PHI'!AD23</f>
        <v/>
      </c>
      <c r="K180" s="49">
        <f>'PHI'!AE23</f>
        <v/>
      </c>
    </row>
    <row r="181">
      <c r="A181">
        <f>'PHI'!B24</f>
        <v/>
      </c>
      <c r="B181" t="inlineStr">
        <is>
          <t>PHI</t>
        </is>
      </c>
      <c r="C181" t="inlineStr">
        <is>
          <t>RB</t>
        </is>
      </c>
      <c r="D181" s="48">
        <f>'PHI'!V24</f>
        <v/>
      </c>
      <c r="E181" s="48">
        <f>'PHI'!W24</f>
        <v/>
      </c>
      <c r="F181" s="48">
        <f>'PHI'!X24</f>
        <v/>
      </c>
      <c r="G181" s="49">
        <f>'PHI'!Z24</f>
        <v/>
      </c>
      <c r="H181" s="48">
        <f>'PHI'!AA24</f>
        <v/>
      </c>
      <c r="I181" s="48">
        <f>'PHI'!AB24</f>
        <v/>
      </c>
      <c r="J181" s="49">
        <f>'PHI'!AD24</f>
        <v/>
      </c>
      <c r="K181" s="49">
        <f>'PHI'!AE24</f>
        <v/>
      </c>
    </row>
    <row r="182">
      <c r="A182">
        <f>'PHI'!B25</f>
        <v/>
      </c>
      <c r="B182" t="inlineStr">
        <is>
          <t>PHI</t>
        </is>
      </c>
      <c r="C182" t="inlineStr">
        <is>
          <t>RB</t>
        </is>
      </c>
      <c r="D182" s="48">
        <f>'PHI'!V25</f>
        <v/>
      </c>
      <c r="E182" s="48">
        <f>'PHI'!W25</f>
        <v/>
      </c>
      <c r="F182" s="48">
        <f>'PHI'!X25</f>
        <v/>
      </c>
      <c r="G182" s="49">
        <f>'PHI'!Z25</f>
        <v/>
      </c>
      <c r="H182" s="48">
        <f>'PHI'!AA25</f>
        <v/>
      </c>
      <c r="I182" s="48">
        <f>'PHI'!AB25</f>
        <v/>
      </c>
      <c r="J182" s="49">
        <f>'PHI'!AD25</f>
        <v/>
      </c>
      <c r="K182" s="49">
        <f>'PHI'!AE25</f>
        <v/>
      </c>
    </row>
    <row r="183">
      <c r="A183">
        <f>'PHI'!B26</f>
        <v/>
      </c>
      <c r="B183" t="inlineStr">
        <is>
          <t>PHI</t>
        </is>
      </c>
      <c r="C183" t="inlineStr">
        <is>
          <t>RB</t>
        </is>
      </c>
      <c r="D183" s="48">
        <f>'PHI'!V26</f>
        <v/>
      </c>
      <c r="E183" s="48">
        <f>'PHI'!W26</f>
        <v/>
      </c>
      <c r="F183" s="48">
        <f>'PHI'!X26</f>
        <v/>
      </c>
      <c r="G183" s="49">
        <f>'PHI'!Z26</f>
        <v/>
      </c>
      <c r="H183" s="48">
        <f>'PHI'!AA26</f>
        <v/>
      </c>
      <c r="I183" s="48">
        <f>'PHI'!AB26</f>
        <v/>
      </c>
      <c r="J183" s="49">
        <f>'PHI'!AD26</f>
        <v/>
      </c>
      <c r="K183" s="49">
        <f>'PHI'!AE26</f>
        <v/>
      </c>
    </row>
    <row r="184">
      <c r="A184">
        <f>'PHI'!B27</f>
        <v/>
      </c>
      <c r="B184" t="inlineStr">
        <is>
          <t>PHI</t>
        </is>
      </c>
      <c r="C184" t="inlineStr">
        <is>
          <t>RB</t>
        </is>
      </c>
      <c r="D184" s="48">
        <f>'PHI'!V27</f>
        <v/>
      </c>
      <c r="E184" s="48">
        <f>'PHI'!W27</f>
        <v/>
      </c>
      <c r="F184" s="48">
        <f>'PHI'!X27</f>
        <v/>
      </c>
      <c r="G184" s="49">
        <f>'PHI'!Z27</f>
        <v/>
      </c>
      <c r="H184" s="48">
        <f>'PHI'!AA27</f>
        <v/>
      </c>
      <c r="I184" s="48">
        <f>'PHI'!AB27</f>
        <v/>
      </c>
      <c r="J184" s="49">
        <f>'PHI'!AD27</f>
        <v/>
      </c>
      <c r="K184" s="49">
        <f>'PHI'!AE27</f>
        <v/>
      </c>
    </row>
    <row r="185">
      <c r="A185">
        <f>'PIT'!B21</f>
        <v/>
      </c>
      <c r="B185" t="inlineStr">
        <is>
          <t>PIT</t>
        </is>
      </c>
      <c r="C185" t="inlineStr">
        <is>
          <t>RB</t>
        </is>
      </c>
      <c r="D185" s="48">
        <f>'PIT'!V21</f>
        <v/>
      </c>
      <c r="E185" s="48">
        <f>'PIT'!W21</f>
        <v/>
      </c>
      <c r="F185" s="48">
        <f>'PIT'!X21</f>
        <v/>
      </c>
      <c r="G185" s="49">
        <f>'PIT'!Z21</f>
        <v/>
      </c>
      <c r="H185" s="48">
        <f>'PIT'!AA21</f>
        <v/>
      </c>
      <c r="I185" s="48">
        <f>'PIT'!AB21</f>
        <v/>
      </c>
      <c r="J185" s="49">
        <f>'PIT'!AD21</f>
        <v/>
      </c>
      <c r="K185" s="49">
        <f>'PIT'!AE21</f>
        <v/>
      </c>
    </row>
    <row r="186">
      <c r="A186">
        <f>'PIT'!B22</f>
        <v/>
      </c>
      <c r="B186" t="inlineStr">
        <is>
          <t>PIT</t>
        </is>
      </c>
      <c r="C186" t="inlineStr">
        <is>
          <t>RB</t>
        </is>
      </c>
      <c r="D186" s="48">
        <f>'PIT'!V22</f>
        <v/>
      </c>
      <c r="E186" s="48">
        <f>'PIT'!W22</f>
        <v/>
      </c>
      <c r="F186" s="48">
        <f>'PIT'!X22</f>
        <v/>
      </c>
      <c r="G186" s="49">
        <f>'PIT'!Z22</f>
        <v/>
      </c>
      <c r="H186" s="48">
        <f>'PIT'!AA22</f>
        <v/>
      </c>
      <c r="I186" s="48">
        <f>'PIT'!AB22</f>
        <v/>
      </c>
      <c r="J186" s="49">
        <f>'PIT'!AD22</f>
        <v/>
      </c>
      <c r="K186" s="49">
        <f>'PIT'!AE22</f>
        <v/>
      </c>
    </row>
    <row r="187">
      <c r="A187">
        <f>'PIT'!B23</f>
        <v/>
      </c>
      <c r="B187" t="inlineStr">
        <is>
          <t>PIT</t>
        </is>
      </c>
      <c r="C187" t="inlineStr">
        <is>
          <t>RB</t>
        </is>
      </c>
      <c r="D187" s="48">
        <f>'PIT'!V23</f>
        <v/>
      </c>
      <c r="E187" s="48">
        <f>'PIT'!W23</f>
        <v/>
      </c>
      <c r="F187" s="48">
        <f>'PIT'!X23</f>
        <v/>
      </c>
      <c r="G187" s="49">
        <f>'PIT'!Z23</f>
        <v/>
      </c>
      <c r="H187" s="48">
        <f>'PIT'!AA23</f>
        <v/>
      </c>
      <c r="I187" s="48">
        <f>'PIT'!AB23</f>
        <v/>
      </c>
      <c r="J187" s="49">
        <f>'PIT'!AD23</f>
        <v/>
      </c>
      <c r="K187" s="49">
        <f>'PIT'!AE23</f>
        <v/>
      </c>
    </row>
    <row r="188">
      <c r="A188">
        <f>'PIT'!B24</f>
        <v/>
      </c>
      <c r="B188" t="inlineStr">
        <is>
          <t>PIT</t>
        </is>
      </c>
      <c r="C188" t="inlineStr">
        <is>
          <t>RB</t>
        </is>
      </c>
      <c r="D188" s="48">
        <f>'PIT'!V24</f>
        <v/>
      </c>
      <c r="E188" s="48">
        <f>'PIT'!W24</f>
        <v/>
      </c>
      <c r="F188" s="48">
        <f>'PIT'!X24</f>
        <v/>
      </c>
      <c r="G188" s="49">
        <f>'PIT'!Z24</f>
        <v/>
      </c>
      <c r="H188" s="48">
        <f>'PIT'!AA24</f>
        <v/>
      </c>
      <c r="I188" s="48">
        <f>'PIT'!AB24</f>
        <v/>
      </c>
      <c r="J188" s="49">
        <f>'PIT'!AD24</f>
        <v/>
      </c>
      <c r="K188" s="49">
        <f>'PIT'!AE24</f>
        <v/>
      </c>
    </row>
    <row r="189">
      <c r="A189">
        <f>'PIT'!B25</f>
        <v/>
      </c>
      <c r="B189" t="inlineStr">
        <is>
          <t>PIT</t>
        </is>
      </c>
      <c r="C189" t="inlineStr">
        <is>
          <t>RB</t>
        </is>
      </c>
      <c r="D189" s="48">
        <f>'PIT'!V25</f>
        <v/>
      </c>
      <c r="E189" s="48">
        <f>'PIT'!W25</f>
        <v/>
      </c>
      <c r="F189" s="48">
        <f>'PIT'!X25</f>
        <v/>
      </c>
      <c r="G189" s="49">
        <f>'PIT'!Z25</f>
        <v/>
      </c>
      <c r="H189" s="48">
        <f>'PIT'!AA25</f>
        <v/>
      </c>
      <c r="I189" s="48">
        <f>'PIT'!AB25</f>
        <v/>
      </c>
      <c r="J189" s="49">
        <f>'PIT'!AD25</f>
        <v/>
      </c>
      <c r="K189" s="49">
        <f>'PIT'!AE25</f>
        <v/>
      </c>
    </row>
    <row r="190">
      <c r="A190">
        <f>'PIT'!B26</f>
        <v/>
      </c>
      <c r="B190" t="inlineStr">
        <is>
          <t>PIT</t>
        </is>
      </c>
      <c r="C190" t="inlineStr">
        <is>
          <t>RB</t>
        </is>
      </c>
      <c r="D190" s="48">
        <f>'PIT'!V26</f>
        <v/>
      </c>
      <c r="E190" s="48">
        <f>'PIT'!W26</f>
        <v/>
      </c>
      <c r="F190" s="48">
        <f>'PIT'!X26</f>
        <v/>
      </c>
      <c r="G190" s="49">
        <f>'PIT'!Z26</f>
        <v/>
      </c>
      <c r="H190" s="48">
        <f>'PIT'!AA26</f>
        <v/>
      </c>
      <c r="I190" s="48">
        <f>'PIT'!AB26</f>
        <v/>
      </c>
      <c r="J190" s="49">
        <f>'PIT'!AD26</f>
        <v/>
      </c>
      <c r="K190" s="49">
        <f>'PIT'!AE26</f>
        <v/>
      </c>
    </row>
    <row r="191">
      <c r="A191">
        <f>'PIT'!B27</f>
        <v/>
      </c>
      <c r="B191" t="inlineStr">
        <is>
          <t>PIT</t>
        </is>
      </c>
      <c r="C191" t="inlineStr">
        <is>
          <t>RB</t>
        </is>
      </c>
      <c r="D191" s="48">
        <f>'PIT'!V27</f>
        <v/>
      </c>
      <c r="E191" s="48">
        <f>'PIT'!W27</f>
        <v/>
      </c>
      <c r="F191" s="48">
        <f>'PIT'!X27</f>
        <v/>
      </c>
      <c r="G191" s="49">
        <f>'PIT'!Z27</f>
        <v/>
      </c>
      <c r="H191" s="48">
        <f>'PIT'!AA27</f>
        <v/>
      </c>
      <c r="I191" s="48">
        <f>'PIT'!AB27</f>
        <v/>
      </c>
      <c r="J191" s="49">
        <f>'PIT'!AD27</f>
        <v/>
      </c>
      <c r="K191" s="49">
        <f>'PIT'!AE27</f>
        <v/>
      </c>
    </row>
    <row r="192">
      <c r="A192">
        <f>'SEA'!B21</f>
        <v/>
      </c>
      <c r="B192" t="inlineStr">
        <is>
          <t>SEA</t>
        </is>
      </c>
      <c r="C192" t="inlineStr">
        <is>
          <t>RB</t>
        </is>
      </c>
      <c r="D192" s="48">
        <f>'SEA'!V21</f>
        <v/>
      </c>
      <c r="E192" s="48">
        <f>'SEA'!W21</f>
        <v/>
      </c>
      <c r="F192" s="48">
        <f>'SEA'!X21</f>
        <v/>
      </c>
      <c r="G192" s="49">
        <f>'SEA'!Z21</f>
        <v/>
      </c>
      <c r="H192" s="48">
        <f>'SEA'!AA21</f>
        <v/>
      </c>
      <c r="I192" s="48">
        <f>'SEA'!AB21</f>
        <v/>
      </c>
      <c r="J192" s="49">
        <f>'SEA'!AD21</f>
        <v/>
      </c>
      <c r="K192" s="49">
        <f>'SEA'!AE21</f>
        <v/>
      </c>
    </row>
    <row r="193">
      <c r="A193">
        <f>'SEA'!B22</f>
        <v/>
      </c>
      <c r="B193" t="inlineStr">
        <is>
          <t>SEA</t>
        </is>
      </c>
      <c r="C193" t="inlineStr">
        <is>
          <t>RB</t>
        </is>
      </c>
      <c r="D193" s="48">
        <f>'SEA'!V22</f>
        <v/>
      </c>
      <c r="E193" s="48">
        <f>'SEA'!W22</f>
        <v/>
      </c>
      <c r="F193" s="48">
        <f>'SEA'!X22</f>
        <v/>
      </c>
      <c r="G193" s="49">
        <f>'SEA'!Z22</f>
        <v/>
      </c>
      <c r="H193" s="48">
        <f>'SEA'!AA22</f>
        <v/>
      </c>
      <c r="I193" s="48">
        <f>'SEA'!AB22</f>
        <v/>
      </c>
      <c r="J193" s="49">
        <f>'SEA'!AD22</f>
        <v/>
      </c>
      <c r="K193" s="49">
        <f>'SEA'!AE22</f>
        <v/>
      </c>
    </row>
    <row r="194">
      <c r="A194">
        <f>'SEA'!B23</f>
        <v/>
      </c>
      <c r="B194" t="inlineStr">
        <is>
          <t>SEA</t>
        </is>
      </c>
      <c r="C194" t="inlineStr">
        <is>
          <t>RB</t>
        </is>
      </c>
      <c r="D194" s="48">
        <f>'SEA'!V23</f>
        <v/>
      </c>
      <c r="E194" s="48">
        <f>'SEA'!W23</f>
        <v/>
      </c>
      <c r="F194" s="48">
        <f>'SEA'!X23</f>
        <v/>
      </c>
      <c r="G194" s="49">
        <f>'SEA'!Z23</f>
        <v/>
      </c>
      <c r="H194" s="48">
        <f>'SEA'!AA23</f>
        <v/>
      </c>
      <c r="I194" s="48">
        <f>'SEA'!AB23</f>
        <v/>
      </c>
      <c r="J194" s="49">
        <f>'SEA'!AD23</f>
        <v/>
      </c>
      <c r="K194" s="49">
        <f>'SEA'!AE23</f>
        <v/>
      </c>
    </row>
    <row r="195">
      <c r="A195">
        <f>'SEA'!B24</f>
        <v/>
      </c>
      <c r="B195" t="inlineStr">
        <is>
          <t>SEA</t>
        </is>
      </c>
      <c r="C195" t="inlineStr">
        <is>
          <t>RB</t>
        </is>
      </c>
      <c r="D195" s="48">
        <f>'SEA'!V24</f>
        <v/>
      </c>
      <c r="E195" s="48">
        <f>'SEA'!W24</f>
        <v/>
      </c>
      <c r="F195" s="48">
        <f>'SEA'!X24</f>
        <v/>
      </c>
      <c r="G195" s="49">
        <f>'SEA'!Z24</f>
        <v/>
      </c>
      <c r="H195" s="48">
        <f>'SEA'!AA24</f>
        <v/>
      </c>
      <c r="I195" s="48">
        <f>'SEA'!AB24</f>
        <v/>
      </c>
      <c r="J195" s="49">
        <f>'SEA'!AD24</f>
        <v/>
      </c>
      <c r="K195" s="49">
        <f>'SEA'!AE24</f>
        <v/>
      </c>
    </row>
    <row r="196">
      <c r="A196">
        <f>'SEA'!B25</f>
        <v/>
      </c>
      <c r="B196" t="inlineStr">
        <is>
          <t>SEA</t>
        </is>
      </c>
      <c r="C196" t="inlineStr">
        <is>
          <t>RB</t>
        </is>
      </c>
      <c r="D196" s="48">
        <f>'SEA'!V25</f>
        <v/>
      </c>
      <c r="E196" s="48">
        <f>'SEA'!W25</f>
        <v/>
      </c>
      <c r="F196" s="48">
        <f>'SEA'!X25</f>
        <v/>
      </c>
      <c r="G196" s="49">
        <f>'SEA'!Z25</f>
        <v/>
      </c>
      <c r="H196" s="48">
        <f>'SEA'!AA25</f>
        <v/>
      </c>
      <c r="I196" s="48">
        <f>'SEA'!AB25</f>
        <v/>
      </c>
      <c r="J196" s="49">
        <f>'SEA'!AD25</f>
        <v/>
      </c>
      <c r="K196" s="49">
        <f>'SEA'!AE25</f>
        <v/>
      </c>
    </row>
    <row r="197">
      <c r="A197">
        <f>'SEA'!B26</f>
        <v/>
      </c>
      <c r="B197" t="inlineStr">
        <is>
          <t>SEA</t>
        </is>
      </c>
      <c r="C197" t="inlineStr">
        <is>
          <t>RB</t>
        </is>
      </c>
      <c r="D197" s="48">
        <f>'SEA'!V26</f>
        <v/>
      </c>
      <c r="E197" s="48">
        <f>'SEA'!W26</f>
        <v/>
      </c>
      <c r="F197" s="48">
        <f>'SEA'!X26</f>
        <v/>
      </c>
      <c r="G197" s="49">
        <f>'SEA'!Z26</f>
        <v/>
      </c>
      <c r="H197" s="48">
        <f>'SEA'!AA26</f>
        <v/>
      </c>
      <c r="I197" s="48">
        <f>'SEA'!AB26</f>
        <v/>
      </c>
      <c r="J197" s="49">
        <f>'SEA'!AD26</f>
        <v/>
      </c>
      <c r="K197" s="49">
        <f>'SEA'!AE26</f>
        <v/>
      </c>
    </row>
    <row r="198">
      <c r="A198">
        <f>'SEA'!B27</f>
        <v/>
      </c>
      <c r="B198" t="inlineStr">
        <is>
          <t>SEA</t>
        </is>
      </c>
      <c r="C198" t="inlineStr">
        <is>
          <t>RB</t>
        </is>
      </c>
      <c r="D198" s="48">
        <f>'SEA'!V27</f>
        <v/>
      </c>
      <c r="E198" s="48">
        <f>'SEA'!W27</f>
        <v/>
      </c>
      <c r="F198" s="48">
        <f>'SEA'!X27</f>
        <v/>
      </c>
      <c r="G198" s="49">
        <f>'SEA'!Z27</f>
        <v/>
      </c>
      <c r="H198" s="48">
        <f>'SEA'!AA27</f>
        <v/>
      </c>
      <c r="I198" s="48">
        <f>'SEA'!AB27</f>
        <v/>
      </c>
      <c r="J198" s="49">
        <f>'SEA'!AD27</f>
        <v/>
      </c>
      <c r="K198" s="49">
        <f>'SEA'!AE27</f>
        <v/>
      </c>
    </row>
    <row r="199">
      <c r="A199">
        <f>'SF'!B21</f>
        <v/>
      </c>
      <c r="B199" t="inlineStr">
        <is>
          <t>SF</t>
        </is>
      </c>
      <c r="C199" t="inlineStr">
        <is>
          <t>RB</t>
        </is>
      </c>
      <c r="D199" s="48">
        <f>'SF'!V21</f>
        <v/>
      </c>
      <c r="E199" s="48">
        <f>'SF'!W21</f>
        <v/>
      </c>
      <c r="F199" s="48">
        <f>'SF'!X21</f>
        <v/>
      </c>
      <c r="G199" s="49">
        <f>'SF'!Z21</f>
        <v/>
      </c>
      <c r="H199" s="48">
        <f>'SF'!AA21</f>
        <v/>
      </c>
      <c r="I199" s="48">
        <f>'SF'!AB21</f>
        <v/>
      </c>
      <c r="J199" s="49">
        <f>'SF'!AD21</f>
        <v/>
      </c>
      <c r="K199" s="49">
        <f>'SF'!AE21</f>
        <v/>
      </c>
    </row>
    <row r="200">
      <c r="A200">
        <f>'SF'!B22</f>
        <v/>
      </c>
      <c r="B200" t="inlineStr">
        <is>
          <t>SF</t>
        </is>
      </c>
      <c r="C200" t="inlineStr">
        <is>
          <t>RB</t>
        </is>
      </c>
      <c r="D200" s="48">
        <f>'SF'!V22</f>
        <v/>
      </c>
      <c r="E200" s="48">
        <f>'SF'!W22</f>
        <v/>
      </c>
      <c r="F200" s="48">
        <f>'SF'!X22</f>
        <v/>
      </c>
      <c r="G200" s="49">
        <f>'SF'!Z22</f>
        <v/>
      </c>
      <c r="H200" s="48">
        <f>'SF'!AA22</f>
        <v/>
      </c>
      <c r="I200" s="48">
        <f>'SF'!AB22</f>
        <v/>
      </c>
      <c r="J200" s="49">
        <f>'SF'!AD22</f>
        <v/>
      </c>
      <c r="K200" s="49">
        <f>'SF'!AE22</f>
        <v/>
      </c>
    </row>
    <row r="201">
      <c r="A201">
        <f>'SF'!B23</f>
        <v/>
      </c>
      <c r="B201" t="inlineStr">
        <is>
          <t>SF</t>
        </is>
      </c>
      <c r="C201" t="inlineStr">
        <is>
          <t>RB</t>
        </is>
      </c>
      <c r="D201" s="48">
        <f>'SF'!V23</f>
        <v/>
      </c>
      <c r="E201" s="48">
        <f>'SF'!W23</f>
        <v/>
      </c>
      <c r="F201" s="48">
        <f>'SF'!X23</f>
        <v/>
      </c>
      <c r="G201" s="49">
        <f>'SF'!Z23</f>
        <v/>
      </c>
      <c r="H201" s="48">
        <f>'SF'!AA23</f>
        <v/>
      </c>
      <c r="I201" s="48">
        <f>'SF'!AB23</f>
        <v/>
      </c>
      <c r="J201" s="49">
        <f>'SF'!AD23</f>
        <v/>
      </c>
      <c r="K201" s="49">
        <f>'SF'!AE23</f>
        <v/>
      </c>
    </row>
    <row r="202">
      <c r="A202">
        <f>'SF'!B24</f>
        <v/>
      </c>
      <c r="B202" t="inlineStr">
        <is>
          <t>SF</t>
        </is>
      </c>
      <c r="C202" t="inlineStr">
        <is>
          <t>RB</t>
        </is>
      </c>
      <c r="D202" s="48">
        <f>'SF'!V24</f>
        <v/>
      </c>
      <c r="E202" s="48">
        <f>'SF'!W24</f>
        <v/>
      </c>
      <c r="F202" s="48">
        <f>'SF'!X24</f>
        <v/>
      </c>
      <c r="G202" s="49">
        <f>'SF'!Z24</f>
        <v/>
      </c>
      <c r="H202" s="48">
        <f>'SF'!AA24</f>
        <v/>
      </c>
      <c r="I202" s="48">
        <f>'SF'!AB24</f>
        <v/>
      </c>
      <c r="J202" s="49">
        <f>'SF'!AD24</f>
        <v/>
      </c>
      <c r="K202" s="49">
        <f>'SF'!AE24</f>
        <v/>
      </c>
    </row>
    <row r="203">
      <c r="A203">
        <f>'SF'!B25</f>
        <v/>
      </c>
      <c r="B203" t="inlineStr">
        <is>
          <t>SF</t>
        </is>
      </c>
      <c r="C203" t="inlineStr">
        <is>
          <t>RB</t>
        </is>
      </c>
      <c r="D203" s="48">
        <f>'SF'!V25</f>
        <v/>
      </c>
      <c r="E203" s="48">
        <f>'SF'!W25</f>
        <v/>
      </c>
      <c r="F203" s="48">
        <f>'SF'!X25</f>
        <v/>
      </c>
      <c r="G203" s="49">
        <f>'SF'!Z25</f>
        <v/>
      </c>
      <c r="H203" s="48">
        <f>'SF'!AA25</f>
        <v/>
      </c>
      <c r="I203" s="48">
        <f>'SF'!AB25</f>
        <v/>
      </c>
      <c r="J203" s="49">
        <f>'SF'!AD25</f>
        <v/>
      </c>
      <c r="K203" s="49">
        <f>'SF'!AE25</f>
        <v/>
      </c>
    </row>
    <row r="204">
      <c r="A204">
        <f>'SF'!B26</f>
        <v/>
      </c>
      <c r="B204" t="inlineStr">
        <is>
          <t>SF</t>
        </is>
      </c>
      <c r="C204" t="inlineStr">
        <is>
          <t>RB</t>
        </is>
      </c>
      <c r="D204" s="48">
        <f>'SF'!V26</f>
        <v/>
      </c>
      <c r="E204" s="48">
        <f>'SF'!W26</f>
        <v/>
      </c>
      <c r="F204" s="48">
        <f>'SF'!X26</f>
        <v/>
      </c>
      <c r="G204" s="49">
        <f>'SF'!Z26</f>
        <v/>
      </c>
      <c r="H204" s="48">
        <f>'SF'!AA26</f>
        <v/>
      </c>
      <c r="I204" s="48">
        <f>'SF'!AB26</f>
        <v/>
      </c>
      <c r="J204" s="49">
        <f>'SF'!AD26</f>
        <v/>
      </c>
      <c r="K204" s="49">
        <f>'SF'!AE26</f>
        <v/>
      </c>
    </row>
    <row r="205">
      <c r="A205">
        <f>'SF'!B27</f>
        <v/>
      </c>
      <c r="B205" t="inlineStr">
        <is>
          <t>SF</t>
        </is>
      </c>
      <c r="C205" t="inlineStr">
        <is>
          <t>RB</t>
        </is>
      </c>
      <c r="D205" s="48">
        <f>'SF'!V27</f>
        <v/>
      </c>
      <c r="E205" s="48">
        <f>'SF'!W27</f>
        <v/>
      </c>
      <c r="F205" s="48">
        <f>'SF'!X27</f>
        <v/>
      </c>
      <c r="G205" s="49">
        <f>'SF'!Z27</f>
        <v/>
      </c>
      <c r="H205" s="48">
        <f>'SF'!AA27</f>
        <v/>
      </c>
      <c r="I205" s="48">
        <f>'SF'!AB27</f>
        <v/>
      </c>
      <c r="J205" s="49">
        <f>'SF'!AD27</f>
        <v/>
      </c>
      <c r="K205" s="49">
        <f>'SF'!AE27</f>
        <v/>
      </c>
    </row>
    <row r="206">
      <c r="A206">
        <f>'TB'!B21</f>
        <v/>
      </c>
      <c r="B206" t="inlineStr">
        <is>
          <t>TB</t>
        </is>
      </c>
      <c r="C206" t="inlineStr">
        <is>
          <t>RB</t>
        </is>
      </c>
      <c r="D206" s="48">
        <f>'TB'!V21</f>
        <v/>
      </c>
      <c r="E206" s="48">
        <f>'TB'!W21</f>
        <v/>
      </c>
      <c r="F206" s="48">
        <f>'TB'!X21</f>
        <v/>
      </c>
      <c r="G206" s="49">
        <f>'TB'!Z21</f>
        <v/>
      </c>
      <c r="H206" s="48">
        <f>'TB'!AA21</f>
        <v/>
      </c>
      <c r="I206" s="48">
        <f>'TB'!AB21</f>
        <v/>
      </c>
      <c r="J206" s="49">
        <f>'TB'!AD21</f>
        <v/>
      </c>
      <c r="K206" s="49">
        <f>'TB'!AE21</f>
        <v/>
      </c>
    </row>
    <row r="207">
      <c r="A207">
        <f>'TB'!B22</f>
        <v/>
      </c>
      <c r="B207" t="inlineStr">
        <is>
          <t>TB</t>
        </is>
      </c>
      <c r="C207" t="inlineStr">
        <is>
          <t>RB</t>
        </is>
      </c>
      <c r="D207" s="48">
        <f>'TB'!V22</f>
        <v/>
      </c>
      <c r="E207" s="48">
        <f>'TB'!W22</f>
        <v/>
      </c>
      <c r="F207" s="48">
        <f>'TB'!X22</f>
        <v/>
      </c>
      <c r="G207" s="49">
        <f>'TB'!Z22</f>
        <v/>
      </c>
      <c r="H207" s="48">
        <f>'TB'!AA22</f>
        <v/>
      </c>
      <c r="I207" s="48">
        <f>'TB'!AB22</f>
        <v/>
      </c>
      <c r="J207" s="49">
        <f>'TB'!AD22</f>
        <v/>
      </c>
      <c r="K207" s="49">
        <f>'TB'!AE22</f>
        <v/>
      </c>
    </row>
    <row r="208">
      <c r="A208">
        <f>'TB'!B23</f>
        <v/>
      </c>
      <c r="B208" t="inlineStr">
        <is>
          <t>TB</t>
        </is>
      </c>
      <c r="C208" t="inlineStr">
        <is>
          <t>RB</t>
        </is>
      </c>
      <c r="D208" s="48">
        <f>'TB'!V23</f>
        <v/>
      </c>
      <c r="E208" s="48">
        <f>'TB'!W23</f>
        <v/>
      </c>
      <c r="F208" s="48">
        <f>'TB'!X23</f>
        <v/>
      </c>
      <c r="G208" s="49">
        <f>'TB'!Z23</f>
        <v/>
      </c>
      <c r="H208" s="48">
        <f>'TB'!AA23</f>
        <v/>
      </c>
      <c r="I208" s="48">
        <f>'TB'!AB23</f>
        <v/>
      </c>
      <c r="J208" s="49">
        <f>'TB'!AD23</f>
        <v/>
      </c>
      <c r="K208" s="49">
        <f>'TB'!AE23</f>
        <v/>
      </c>
    </row>
    <row r="209">
      <c r="A209">
        <f>'TB'!B24</f>
        <v/>
      </c>
      <c r="B209" t="inlineStr">
        <is>
          <t>TB</t>
        </is>
      </c>
      <c r="C209" t="inlineStr">
        <is>
          <t>RB</t>
        </is>
      </c>
      <c r="D209" s="48">
        <f>'TB'!V24</f>
        <v/>
      </c>
      <c r="E209" s="48">
        <f>'TB'!W24</f>
        <v/>
      </c>
      <c r="F209" s="48">
        <f>'TB'!X24</f>
        <v/>
      </c>
      <c r="G209" s="49">
        <f>'TB'!Z24</f>
        <v/>
      </c>
      <c r="H209" s="48">
        <f>'TB'!AA24</f>
        <v/>
      </c>
      <c r="I209" s="48">
        <f>'TB'!AB24</f>
        <v/>
      </c>
      <c r="J209" s="49">
        <f>'TB'!AD24</f>
        <v/>
      </c>
      <c r="K209" s="49">
        <f>'TB'!AE24</f>
        <v/>
      </c>
    </row>
    <row r="210">
      <c r="A210">
        <f>'TB'!B25</f>
        <v/>
      </c>
      <c r="B210" t="inlineStr">
        <is>
          <t>TB</t>
        </is>
      </c>
      <c r="C210" t="inlineStr">
        <is>
          <t>RB</t>
        </is>
      </c>
      <c r="D210" s="48">
        <f>'TB'!V25</f>
        <v/>
      </c>
      <c r="E210" s="48">
        <f>'TB'!W25</f>
        <v/>
      </c>
      <c r="F210" s="48">
        <f>'TB'!X25</f>
        <v/>
      </c>
      <c r="G210" s="49">
        <f>'TB'!Z25</f>
        <v/>
      </c>
      <c r="H210" s="48">
        <f>'TB'!AA25</f>
        <v/>
      </c>
      <c r="I210" s="48">
        <f>'TB'!AB25</f>
        <v/>
      </c>
      <c r="J210" s="49">
        <f>'TB'!AD25</f>
        <v/>
      </c>
      <c r="K210" s="49">
        <f>'TB'!AE25</f>
        <v/>
      </c>
    </row>
    <row r="211">
      <c r="A211">
        <f>'TB'!B26</f>
        <v/>
      </c>
      <c r="B211" t="inlineStr">
        <is>
          <t>TB</t>
        </is>
      </c>
      <c r="C211" t="inlineStr">
        <is>
          <t>RB</t>
        </is>
      </c>
      <c r="D211" s="48">
        <f>'TB'!V26</f>
        <v/>
      </c>
      <c r="E211" s="48">
        <f>'TB'!W26</f>
        <v/>
      </c>
      <c r="F211" s="48">
        <f>'TB'!X26</f>
        <v/>
      </c>
      <c r="G211" s="49">
        <f>'TB'!Z26</f>
        <v/>
      </c>
      <c r="H211" s="48">
        <f>'TB'!AA26</f>
        <v/>
      </c>
      <c r="I211" s="48">
        <f>'TB'!AB26</f>
        <v/>
      </c>
      <c r="J211" s="49">
        <f>'TB'!AD26</f>
        <v/>
      </c>
      <c r="K211" s="49">
        <f>'TB'!AE26</f>
        <v/>
      </c>
    </row>
    <row r="212">
      <c r="A212">
        <f>'TB'!B27</f>
        <v/>
      </c>
      <c r="B212" t="inlineStr">
        <is>
          <t>TB</t>
        </is>
      </c>
      <c r="C212" t="inlineStr">
        <is>
          <t>RB</t>
        </is>
      </c>
      <c r="D212" s="48">
        <f>'TB'!V27</f>
        <v/>
      </c>
      <c r="E212" s="48">
        <f>'TB'!W27</f>
        <v/>
      </c>
      <c r="F212" s="48">
        <f>'TB'!X27</f>
        <v/>
      </c>
      <c r="G212" s="49">
        <f>'TB'!Z27</f>
        <v/>
      </c>
      <c r="H212" s="48">
        <f>'TB'!AA27</f>
        <v/>
      </c>
      <c r="I212" s="48">
        <f>'TB'!AB27</f>
        <v/>
      </c>
      <c r="J212" s="49">
        <f>'TB'!AD27</f>
        <v/>
      </c>
      <c r="K212" s="49">
        <f>'TB'!AE27</f>
        <v/>
      </c>
    </row>
    <row r="213">
      <c r="A213">
        <f>'TEN'!B21</f>
        <v/>
      </c>
      <c r="B213" t="inlineStr">
        <is>
          <t>TEN</t>
        </is>
      </c>
      <c r="C213" t="inlineStr">
        <is>
          <t>RB</t>
        </is>
      </c>
      <c r="D213" s="48">
        <f>'TEN'!V21</f>
        <v/>
      </c>
      <c r="E213" s="48">
        <f>'TEN'!W21</f>
        <v/>
      </c>
      <c r="F213" s="48">
        <f>'TEN'!X21</f>
        <v/>
      </c>
      <c r="G213" s="49">
        <f>'TEN'!Z21</f>
        <v/>
      </c>
      <c r="H213" s="48">
        <f>'TEN'!AA21</f>
        <v/>
      </c>
      <c r="I213" s="48">
        <f>'TEN'!AB21</f>
        <v/>
      </c>
      <c r="J213" s="49">
        <f>'TEN'!AD21</f>
        <v/>
      </c>
      <c r="K213" s="49">
        <f>'TEN'!AE21</f>
        <v/>
      </c>
    </row>
    <row r="214">
      <c r="A214">
        <f>'TEN'!B22</f>
        <v/>
      </c>
      <c r="B214" t="inlineStr">
        <is>
          <t>TEN</t>
        </is>
      </c>
      <c r="C214" t="inlineStr">
        <is>
          <t>RB</t>
        </is>
      </c>
      <c r="D214" s="48">
        <f>'TEN'!V22</f>
        <v/>
      </c>
      <c r="E214" s="48">
        <f>'TEN'!W22</f>
        <v/>
      </c>
      <c r="F214" s="48">
        <f>'TEN'!X22</f>
        <v/>
      </c>
      <c r="G214" s="49">
        <f>'TEN'!Z22</f>
        <v/>
      </c>
      <c r="H214" s="48">
        <f>'TEN'!AA22</f>
        <v/>
      </c>
      <c r="I214" s="48">
        <f>'TEN'!AB22</f>
        <v/>
      </c>
      <c r="J214" s="49">
        <f>'TEN'!AD22</f>
        <v/>
      </c>
      <c r="K214" s="49">
        <f>'TEN'!AE22</f>
        <v/>
      </c>
    </row>
    <row r="215">
      <c r="A215">
        <f>'TEN'!B23</f>
        <v/>
      </c>
      <c r="B215" t="inlineStr">
        <is>
          <t>TEN</t>
        </is>
      </c>
      <c r="C215" t="inlineStr">
        <is>
          <t>RB</t>
        </is>
      </c>
      <c r="D215" s="48">
        <f>'TEN'!V23</f>
        <v/>
      </c>
      <c r="E215" s="48">
        <f>'TEN'!W23</f>
        <v/>
      </c>
      <c r="F215" s="48">
        <f>'TEN'!X23</f>
        <v/>
      </c>
      <c r="G215" s="49">
        <f>'TEN'!Z23</f>
        <v/>
      </c>
      <c r="H215" s="48">
        <f>'TEN'!AA23</f>
        <v/>
      </c>
      <c r="I215" s="48">
        <f>'TEN'!AB23</f>
        <v/>
      </c>
      <c r="J215" s="49">
        <f>'TEN'!AD23</f>
        <v/>
      </c>
      <c r="K215" s="49">
        <f>'TEN'!AE23</f>
        <v/>
      </c>
    </row>
    <row r="216">
      <c r="A216">
        <f>'TEN'!B24</f>
        <v/>
      </c>
      <c r="B216" t="inlineStr">
        <is>
          <t>TEN</t>
        </is>
      </c>
      <c r="C216" t="inlineStr">
        <is>
          <t>RB</t>
        </is>
      </c>
      <c r="D216" s="48">
        <f>'TEN'!V24</f>
        <v/>
      </c>
      <c r="E216" s="48">
        <f>'TEN'!W24</f>
        <v/>
      </c>
      <c r="F216" s="48">
        <f>'TEN'!X24</f>
        <v/>
      </c>
      <c r="G216" s="49">
        <f>'TEN'!Z24</f>
        <v/>
      </c>
      <c r="H216" s="48">
        <f>'TEN'!AA24</f>
        <v/>
      </c>
      <c r="I216" s="48">
        <f>'TEN'!AB24</f>
        <v/>
      </c>
      <c r="J216" s="49">
        <f>'TEN'!AD24</f>
        <v/>
      </c>
      <c r="K216" s="49">
        <f>'TEN'!AE24</f>
        <v/>
      </c>
    </row>
    <row r="217">
      <c r="A217">
        <f>'TEN'!B25</f>
        <v/>
      </c>
      <c r="B217" t="inlineStr">
        <is>
          <t>TEN</t>
        </is>
      </c>
      <c r="C217" t="inlineStr">
        <is>
          <t>RB</t>
        </is>
      </c>
      <c r="D217" s="48">
        <f>'TEN'!V25</f>
        <v/>
      </c>
      <c r="E217" s="48">
        <f>'TEN'!W25</f>
        <v/>
      </c>
      <c r="F217" s="48">
        <f>'TEN'!X25</f>
        <v/>
      </c>
      <c r="G217" s="49">
        <f>'TEN'!Z25</f>
        <v/>
      </c>
      <c r="H217" s="48">
        <f>'TEN'!AA25</f>
        <v/>
      </c>
      <c r="I217" s="48">
        <f>'TEN'!AB25</f>
        <v/>
      </c>
      <c r="J217" s="49">
        <f>'TEN'!AD25</f>
        <v/>
      </c>
      <c r="K217" s="49">
        <f>'TEN'!AE25</f>
        <v/>
      </c>
    </row>
    <row r="218">
      <c r="A218">
        <f>'TEN'!B26</f>
        <v/>
      </c>
      <c r="B218" t="inlineStr">
        <is>
          <t>TEN</t>
        </is>
      </c>
      <c r="C218" t="inlineStr">
        <is>
          <t>RB</t>
        </is>
      </c>
      <c r="D218" s="48">
        <f>'TEN'!V26</f>
        <v/>
      </c>
      <c r="E218" s="48">
        <f>'TEN'!W26</f>
        <v/>
      </c>
      <c r="F218" s="48">
        <f>'TEN'!X26</f>
        <v/>
      </c>
      <c r="G218" s="49">
        <f>'TEN'!Z26</f>
        <v/>
      </c>
      <c r="H218" s="48">
        <f>'TEN'!AA26</f>
        <v/>
      </c>
      <c r="I218" s="48">
        <f>'TEN'!AB26</f>
        <v/>
      </c>
      <c r="J218" s="49">
        <f>'TEN'!AD26</f>
        <v/>
      </c>
      <c r="K218" s="49">
        <f>'TEN'!AE26</f>
        <v/>
      </c>
    </row>
    <row r="219">
      <c r="A219">
        <f>'TEN'!B27</f>
        <v/>
      </c>
      <c r="B219" t="inlineStr">
        <is>
          <t>TEN</t>
        </is>
      </c>
      <c r="C219" t="inlineStr">
        <is>
          <t>RB</t>
        </is>
      </c>
      <c r="D219" s="48">
        <f>'TEN'!V27</f>
        <v/>
      </c>
      <c r="E219" s="48">
        <f>'TEN'!W27</f>
        <v/>
      </c>
      <c r="F219" s="48">
        <f>'TEN'!X27</f>
        <v/>
      </c>
      <c r="G219" s="49">
        <f>'TEN'!Z27</f>
        <v/>
      </c>
      <c r="H219" s="48">
        <f>'TEN'!AA27</f>
        <v/>
      </c>
      <c r="I219" s="48">
        <f>'TEN'!AB27</f>
        <v/>
      </c>
      <c r="J219" s="49">
        <f>'TEN'!AD27</f>
        <v/>
      </c>
      <c r="K219" s="49">
        <f>'TEN'!AE27</f>
        <v/>
      </c>
    </row>
    <row r="220">
      <c r="A220">
        <f>'WAS'!B21</f>
        <v/>
      </c>
      <c r="B220" t="inlineStr">
        <is>
          <t>WAS</t>
        </is>
      </c>
      <c r="C220" t="inlineStr">
        <is>
          <t>RB</t>
        </is>
      </c>
      <c r="D220" s="48">
        <f>'WAS'!V21</f>
        <v/>
      </c>
      <c r="E220" s="48">
        <f>'WAS'!W21</f>
        <v/>
      </c>
      <c r="F220" s="48">
        <f>'WAS'!X21</f>
        <v/>
      </c>
      <c r="G220" s="49">
        <f>'WAS'!Z21</f>
        <v/>
      </c>
      <c r="H220" s="48">
        <f>'WAS'!AA21</f>
        <v/>
      </c>
      <c r="I220" s="48">
        <f>'WAS'!AB21</f>
        <v/>
      </c>
      <c r="J220" s="49">
        <f>'WAS'!AD21</f>
        <v/>
      </c>
      <c r="K220" s="49">
        <f>'WAS'!AE21</f>
        <v/>
      </c>
    </row>
    <row r="221">
      <c r="A221">
        <f>'WAS'!B22</f>
        <v/>
      </c>
      <c r="B221" t="inlineStr">
        <is>
          <t>WAS</t>
        </is>
      </c>
      <c r="C221" t="inlineStr">
        <is>
          <t>RB</t>
        </is>
      </c>
      <c r="D221" s="48">
        <f>'WAS'!V22</f>
        <v/>
      </c>
      <c r="E221" s="48">
        <f>'WAS'!W22</f>
        <v/>
      </c>
      <c r="F221" s="48">
        <f>'WAS'!X22</f>
        <v/>
      </c>
      <c r="G221" s="49">
        <f>'WAS'!Z22</f>
        <v/>
      </c>
      <c r="H221" s="48">
        <f>'WAS'!AA22</f>
        <v/>
      </c>
      <c r="I221" s="48">
        <f>'WAS'!AB22</f>
        <v/>
      </c>
      <c r="J221" s="49">
        <f>'WAS'!AD22</f>
        <v/>
      </c>
      <c r="K221" s="49">
        <f>'WAS'!AE22</f>
        <v/>
      </c>
    </row>
    <row r="222">
      <c r="A222">
        <f>'WAS'!B23</f>
        <v/>
      </c>
      <c r="B222" t="inlineStr">
        <is>
          <t>WAS</t>
        </is>
      </c>
      <c r="C222" t="inlineStr">
        <is>
          <t>RB</t>
        </is>
      </c>
      <c r="D222" s="48">
        <f>'WAS'!V23</f>
        <v/>
      </c>
      <c r="E222" s="48">
        <f>'WAS'!W23</f>
        <v/>
      </c>
      <c r="F222" s="48">
        <f>'WAS'!X23</f>
        <v/>
      </c>
      <c r="G222" s="49">
        <f>'WAS'!Z23</f>
        <v/>
      </c>
      <c r="H222" s="48">
        <f>'WAS'!AA23</f>
        <v/>
      </c>
      <c r="I222" s="48">
        <f>'WAS'!AB23</f>
        <v/>
      </c>
      <c r="J222" s="49">
        <f>'WAS'!AD23</f>
        <v/>
      </c>
      <c r="K222" s="49">
        <f>'WAS'!AE23</f>
        <v/>
      </c>
    </row>
    <row r="223">
      <c r="A223">
        <f>'WAS'!B24</f>
        <v/>
      </c>
      <c r="B223" t="inlineStr">
        <is>
          <t>WAS</t>
        </is>
      </c>
      <c r="C223" t="inlineStr">
        <is>
          <t>RB</t>
        </is>
      </c>
      <c r="D223" s="48">
        <f>'WAS'!V24</f>
        <v/>
      </c>
      <c r="E223" s="48">
        <f>'WAS'!W24</f>
        <v/>
      </c>
      <c r="F223" s="48">
        <f>'WAS'!X24</f>
        <v/>
      </c>
      <c r="G223" s="49">
        <f>'WAS'!Z24</f>
        <v/>
      </c>
      <c r="H223" s="48">
        <f>'WAS'!AA24</f>
        <v/>
      </c>
      <c r="I223" s="48">
        <f>'WAS'!AB24</f>
        <v/>
      </c>
      <c r="J223" s="49">
        <f>'WAS'!AD24</f>
        <v/>
      </c>
      <c r="K223" s="49">
        <f>'WAS'!AE24</f>
        <v/>
      </c>
    </row>
    <row r="224">
      <c r="A224">
        <f>'WAS'!B25</f>
        <v/>
      </c>
      <c r="B224" t="inlineStr">
        <is>
          <t>WAS</t>
        </is>
      </c>
      <c r="C224" t="inlineStr">
        <is>
          <t>RB</t>
        </is>
      </c>
      <c r="D224" s="48">
        <f>'WAS'!V25</f>
        <v/>
      </c>
      <c r="E224" s="48">
        <f>'WAS'!W25</f>
        <v/>
      </c>
      <c r="F224" s="48">
        <f>'WAS'!X25</f>
        <v/>
      </c>
      <c r="G224" s="49">
        <f>'WAS'!Z25</f>
        <v/>
      </c>
      <c r="H224" s="48">
        <f>'WAS'!AA25</f>
        <v/>
      </c>
      <c r="I224" s="48">
        <f>'WAS'!AB25</f>
        <v/>
      </c>
      <c r="J224" s="49">
        <f>'WAS'!AD25</f>
        <v/>
      </c>
      <c r="K224" s="49">
        <f>'WAS'!AE25</f>
        <v/>
      </c>
    </row>
    <row r="225">
      <c r="A225">
        <f>'WAS'!B26</f>
        <v/>
      </c>
      <c r="B225" t="inlineStr">
        <is>
          <t>WAS</t>
        </is>
      </c>
      <c r="C225" t="inlineStr">
        <is>
          <t>RB</t>
        </is>
      </c>
      <c r="D225" s="48">
        <f>'WAS'!V26</f>
        <v/>
      </c>
      <c r="E225" s="48">
        <f>'WAS'!W26</f>
        <v/>
      </c>
      <c r="F225" s="48">
        <f>'WAS'!X26</f>
        <v/>
      </c>
      <c r="G225" s="49">
        <f>'WAS'!Z26</f>
        <v/>
      </c>
      <c r="H225" s="48">
        <f>'WAS'!AA26</f>
        <v/>
      </c>
      <c r="I225" s="48">
        <f>'WAS'!AB26</f>
        <v/>
      </c>
      <c r="J225" s="49">
        <f>'WAS'!AD26</f>
        <v/>
      </c>
      <c r="K225" s="49">
        <f>'WAS'!AE26</f>
        <v/>
      </c>
    </row>
    <row r="226">
      <c r="A226">
        <f>'WAS'!B27</f>
        <v/>
      </c>
      <c r="B226" t="inlineStr">
        <is>
          <t>WAS</t>
        </is>
      </c>
      <c r="C226" t="inlineStr">
        <is>
          <t>RB</t>
        </is>
      </c>
      <c r="D226" s="48">
        <f>'WAS'!V27</f>
        <v/>
      </c>
      <c r="E226" s="48">
        <f>'WAS'!W27</f>
        <v/>
      </c>
      <c r="F226" s="48">
        <f>'WAS'!X27</f>
        <v/>
      </c>
      <c r="G226" s="49">
        <f>'WAS'!Z27</f>
        <v/>
      </c>
      <c r="H226" s="48">
        <f>'WAS'!AA27</f>
        <v/>
      </c>
      <c r="I226" s="48">
        <f>'WAS'!AB27</f>
        <v/>
      </c>
      <c r="J226" s="49">
        <f>'WAS'!AD27</f>
        <v/>
      </c>
      <c r="K226" s="49">
        <f>'WAS'!AE27</f>
        <v/>
      </c>
    </row>
    <row r="227"/>
    <row r="228">
      <c r="A228" s="8" t="inlineStr">
        <is>
          <t>Values are live. Row order is not - sort by Half PPR when you want a ranking (Data &gt; Sort), or run export_projections.py.</t>
        </is>
      </c>
    </row>
  </sheetData>
  <autoFilter ref="A2:K22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6" customWidth="1" min="3" max="3"/>
    <col width="9" customWidth="1" min="4" max="4"/>
    <col width="8" customWidth="1" min="5" max="5"/>
    <col width="9" customWidth="1" min="6" max="6"/>
    <col width="8" customWidth="1" min="7" max="7"/>
    <col width="9" customWidth="1" min="8" max="8"/>
    <col width="9" customWidth="1" min="9" max="9"/>
    <col width="8" customWidth="1" min="10" max="10"/>
    <col width="10" customWidth="1" min="11" max="11"/>
  </cols>
  <sheetData>
    <row r="1">
      <c r="A1" s="46" t="inlineStr">
        <is>
          <t>WR - all teams (live from the team tabs)</t>
        </is>
      </c>
    </row>
    <row r="2">
      <c r="A2" s="47" t="inlineStr">
        <is>
          <t>Player</t>
        </is>
      </c>
      <c r="B2" s="47" t="inlineStr">
        <is>
          <t>Team</t>
        </is>
      </c>
      <c r="C2" s="47" t="inlineStr">
        <is>
          <t>Pos</t>
        </is>
      </c>
      <c r="D2" s="47" t="inlineStr">
        <is>
          <t>Targets</t>
        </is>
      </c>
      <c r="E2" s="47" t="inlineStr">
        <is>
          <t>Rec</t>
        </is>
      </c>
      <c r="F2" s="47" t="inlineStr">
        <is>
          <t>Rec Yds</t>
        </is>
      </c>
      <c r="G2" s="47" t="inlineStr">
        <is>
          <t>Rec TD</t>
        </is>
      </c>
      <c r="H2" s="47" t="inlineStr">
        <is>
          <t>Rush Att</t>
        </is>
      </c>
      <c r="I2" s="47" t="inlineStr">
        <is>
          <t>Rush Yds</t>
        </is>
      </c>
      <c r="J2" s="47" t="inlineStr">
        <is>
          <t>Rush TD</t>
        </is>
      </c>
      <c r="K2" s="47" t="inlineStr">
        <is>
          <t>Half PPR</t>
        </is>
      </c>
    </row>
    <row r="3">
      <c r="A3">
        <f>'ARI'!B28</f>
        <v/>
      </c>
      <c r="B3" t="inlineStr">
        <is>
          <t>ARI</t>
        </is>
      </c>
      <c r="C3" t="inlineStr">
        <is>
          <t>WR</t>
        </is>
      </c>
      <c r="D3" s="48">
        <f>'ARI'!V28</f>
        <v/>
      </c>
      <c r="E3" s="48">
        <f>'ARI'!W28</f>
        <v/>
      </c>
      <c r="F3" s="48">
        <f>'ARI'!X28</f>
        <v/>
      </c>
      <c r="G3" s="49">
        <f>'ARI'!Z28</f>
        <v/>
      </c>
      <c r="H3" s="48">
        <f>'ARI'!AA28</f>
        <v/>
      </c>
      <c r="I3" s="48">
        <f>'ARI'!AB28</f>
        <v/>
      </c>
      <c r="J3" s="49">
        <f>'ARI'!AD28</f>
        <v/>
      </c>
      <c r="K3" s="49">
        <f>'ARI'!AE28</f>
        <v/>
      </c>
    </row>
    <row r="4">
      <c r="A4">
        <f>'ARI'!B29</f>
        <v/>
      </c>
      <c r="B4" t="inlineStr">
        <is>
          <t>ARI</t>
        </is>
      </c>
      <c r="C4" t="inlineStr">
        <is>
          <t>WR</t>
        </is>
      </c>
      <c r="D4" s="48">
        <f>'ARI'!V29</f>
        <v/>
      </c>
      <c r="E4" s="48">
        <f>'ARI'!W29</f>
        <v/>
      </c>
      <c r="F4" s="48">
        <f>'ARI'!X29</f>
        <v/>
      </c>
      <c r="G4" s="49">
        <f>'ARI'!Z29</f>
        <v/>
      </c>
      <c r="H4" s="48">
        <f>'ARI'!AA29</f>
        <v/>
      </c>
      <c r="I4" s="48">
        <f>'ARI'!AB29</f>
        <v/>
      </c>
      <c r="J4" s="49">
        <f>'ARI'!AD29</f>
        <v/>
      </c>
      <c r="K4" s="49">
        <f>'ARI'!AE29</f>
        <v/>
      </c>
    </row>
    <row r="5">
      <c r="A5">
        <f>'ARI'!B30</f>
        <v/>
      </c>
      <c r="B5" t="inlineStr">
        <is>
          <t>ARI</t>
        </is>
      </c>
      <c r="C5" t="inlineStr">
        <is>
          <t>WR</t>
        </is>
      </c>
      <c r="D5" s="48">
        <f>'ARI'!V30</f>
        <v/>
      </c>
      <c r="E5" s="48">
        <f>'ARI'!W30</f>
        <v/>
      </c>
      <c r="F5" s="48">
        <f>'ARI'!X30</f>
        <v/>
      </c>
      <c r="G5" s="49">
        <f>'ARI'!Z30</f>
        <v/>
      </c>
      <c r="H5" s="48">
        <f>'ARI'!AA30</f>
        <v/>
      </c>
      <c r="I5" s="48">
        <f>'ARI'!AB30</f>
        <v/>
      </c>
      <c r="J5" s="49">
        <f>'ARI'!AD30</f>
        <v/>
      </c>
      <c r="K5" s="49">
        <f>'ARI'!AE30</f>
        <v/>
      </c>
    </row>
    <row r="6">
      <c r="A6">
        <f>'ARI'!B31</f>
        <v/>
      </c>
      <c r="B6" t="inlineStr">
        <is>
          <t>ARI</t>
        </is>
      </c>
      <c r="C6" t="inlineStr">
        <is>
          <t>WR</t>
        </is>
      </c>
      <c r="D6" s="48">
        <f>'ARI'!V31</f>
        <v/>
      </c>
      <c r="E6" s="48">
        <f>'ARI'!W31</f>
        <v/>
      </c>
      <c r="F6" s="48">
        <f>'ARI'!X31</f>
        <v/>
      </c>
      <c r="G6" s="49">
        <f>'ARI'!Z31</f>
        <v/>
      </c>
      <c r="H6" s="48">
        <f>'ARI'!AA31</f>
        <v/>
      </c>
      <c r="I6" s="48">
        <f>'ARI'!AB31</f>
        <v/>
      </c>
      <c r="J6" s="49">
        <f>'ARI'!AD31</f>
        <v/>
      </c>
      <c r="K6" s="49">
        <f>'ARI'!AE31</f>
        <v/>
      </c>
    </row>
    <row r="7">
      <c r="A7">
        <f>'ARI'!B32</f>
        <v/>
      </c>
      <c r="B7" t="inlineStr">
        <is>
          <t>ARI</t>
        </is>
      </c>
      <c r="C7" t="inlineStr">
        <is>
          <t>WR</t>
        </is>
      </c>
      <c r="D7" s="48">
        <f>'ARI'!V32</f>
        <v/>
      </c>
      <c r="E7" s="48">
        <f>'ARI'!W32</f>
        <v/>
      </c>
      <c r="F7" s="48">
        <f>'ARI'!X32</f>
        <v/>
      </c>
      <c r="G7" s="49">
        <f>'ARI'!Z32</f>
        <v/>
      </c>
      <c r="H7" s="48">
        <f>'ARI'!AA32</f>
        <v/>
      </c>
      <c r="I7" s="48">
        <f>'ARI'!AB32</f>
        <v/>
      </c>
      <c r="J7" s="49">
        <f>'ARI'!AD32</f>
        <v/>
      </c>
      <c r="K7" s="49">
        <f>'ARI'!AE32</f>
        <v/>
      </c>
    </row>
    <row r="8">
      <c r="A8">
        <f>'ARI'!B33</f>
        <v/>
      </c>
      <c r="B8" t="inlineStr">
        <is>
          <t>ARI</t>
        </is>
      </c>
      <c r="C8" t="inlineStr">
        <is>
          <t>WR</t>
        </is>
      </c>
      <c r="D8" s="48">
        <f>'ARI'!V33</f>
        <v/>
      </c>
      <c r="E8" s="48">
        <f>'ARI'!W33</f>
        <v/>
      </c>
      <c r="F8" s="48">
        <f>'ARI'!X33</f>
        <v/>
      </c>
      <c r="G8" s="49">
        <f>'ARI'!Z33</f>
        <v/>
      </c>
      <c r="H8" s="48">
        <f>'ARI'!AA33</f>
        <v/>
      </c>
      <c r="I8" s="48">
        <f>'ARI'!AB33</f>
        <v/>
      </c>
      <c r="J8" s="49">
        <f>'ARI'!AD33</f>
        <v/>
      </c>
      <c r="K8" s="49">
        <f>'ARI'!AE33</f>
        <v/>
      </c>
    </row>
    <row r="9">
      <c r="A9">
        <f>'ARI'!B34</f>
        <v/>
      </c>
      <c r="B9" t="inlineStr">
        <is>
          <t>ARI</t>
        </is>
      </c>
      <c r="C9" t="inlineStr">
        <is>
          <t>WR</t>
        </is>
      </c>
      <c r="D9" s="48">
        <f>'ARI'!V34</f>
        <v/>
      </c>
      <c r="E9" s="48">
        <f>'ARI'!W34</f>
        <v/>
      </c>
      <c r="F9" s="48">
        <f>'ARI'!X34</f>
        <v/>
      </c>
      <c r="G9" s="49">
        <f>'ARI'!Z34</f>
        <v/>
      </c>
      <c r="H9" s="48">
        <f>'ARI'!AA34</f>
        <v/>
      </c>
      <c r="I9" s="48">
        <f>'ARI'!AB34</f>
        <v/>
      </c>
      <c r="J9" s="49">
        <f>'ARI'!AD34</f>
        <v/>
      </c>
      <c r="K9" s="49">
        <f>'ARI'!AE34</f>
        <v/>
      </c>
    </row>
    <row r="10">
      <c r="A10">
        <f>'ARI'!B35</f>
        <v/>
      </c>
      <c r="B10" t="inlineStr">
        <is>
          <t>ARI</t>
        </is>
      </c>
      <c r="C10" t="inlineStr">
        <is>
          <t>WR</t>
        </is>
      </c>
      <c r="D10" s="48">
        <f>'ARI'!V35</f>
        <v/>
      </c>
      <c r="E10" s="48">
        <f>'ARI'!W35</f>
        <v/>
      </c>
      <c r="F10" s="48">
        <f>'ARI'!X35</f>
        <v/>
      </c>
      <c r="G10" s="49">
        <f>'ARI'!Z35</f>
        <v/>
      </c>
      <c r="H10" s="48">
        <f>'ARI'!AA35</f>
        <v/>
      </c>
      <c r="I10" s="48">
        <f>'ARI'!AB35</f>
        <v/>
      </c>
      <c r="J10" s="49">
        <f>'ARI'!AD35</f>
        <v/>
      </c>
      <c r="K10" s="49">
        <f>'ARI'!AE35</f>
        <v/>
      </c>
    </row>
    <row r="11">
      <c r="A11">
        <f>'ARI'!B36</f>
        <v/>
      </c>
      <c r="B11" t="inlineStr">
        <is>
          <t>ARI</t>
        </is>
      </c>
      <c r="C11" t="inlineStr">
        <is>
          <t>WR</t>
        </is>
      </c>
      <c r="D11" s="48">
        <f>'ARI'!V36</f>
        <v/>
      </c>
      <c r="E11" s="48">
        <f>'ARI'!W36</f>
        <v/>
      </c>
      <c r="F11" s="48">
        <f>'ARI'!X36</f>
        <v/>
      </c>
      <c r="G11" s="49">
        <f>'ARI'!Z36</f>
        <v/>
      </c>
      <c r="H11" s="48">
        <f>'ARI'!AA36</f>
        <v/>
      </c>
      <c r="I11" s="48">
        <f>'ARI'!AB36</f>
        <v/>
      </c>
      <c r="J11" s="49">
        <f>'ARI'!AD36</f>
        <v/>
      </c>
      <c r="K11" s="49">
        <f>'ARI'!AE36</f>
        <v/>
      </c>
    </row>
    <row r="12">
      <c r="A12">
        <f>'ATL'!B28</f>
        <v/>
      </c>
      <c r="B12" t="inlineStr">
        <is>
          <t>ATL</t>
        </is>
      </c>
      <c r="C12" t="inlineStr">
        <is>
          <t>WR</t>
        </is>
      </c>
      <c r="D12" s="48">
        <f>'ATL'!V28</f>
        <v/>
      </c>
      <c r="E12" s="48">
        <f>'ATL'!W28</f>
        <v/>
      </c>
      <c r="F12" s="48">
        <f>'ATL'!X28</f>
        <v/>
      </c>
      <c r="G12" s="49">
        <f>'ATL'!Z28</f>
        <v/>
      </c>
      <c r="H12" s="48">
        <f>'ATL'!AA28</f>
        <v/>
      </c>
      <c r="I12" s="48">
        <f>'ATL'!AB28</f>
        <v/>
      </c>
      <c r="J12" s="49">
        <f>'ATL'!AD28</f>
        <v/>
      </c>
      <c r="K12" s="49">
        <f>'ATL'!AE28</f>
        <v/>
      </c>
    </row>
    <row r="13">
      <c r="A13">
        <f>'ATL'!B29</f>
        <v/>
      </c>
      <c r="B13" t="inlineStr">
        <is>
          <t>ATL</t>
        </is>
      </c>
      <c r="C13" t="inlineStr">
        <is>
          <t>WR</t>
        </is>
      </c>
      <c r="D13" s="48">
        <f>'ATL'!V29</f>
        <v/>
      </c>
      <c r="E13" s="48">
        <f>'ATL'!W29</f>
        <v/>
      </c>
      <c r="F13" s="48">
        <f>'ATL'!X29</f>
        <v/>
      </c>
      <c r="G13" s="49">
        <f>'ATL'!Z29</f>
        <v/>
      </c>
      <c r="H13" s="48">
        <f>'ATL'!AA29</f>
        <v/>
      </c>
      <c r="I13" s="48">
        <f>'ATL'!AB29</f>
        <v/>
      </c>
      <c r="J13" s="49">
        <f>'ATL'!AD29</f>
        <v/>
      </c>
      <c r="K13" s="49">
        <f>'ATL'!AE29</f>
        <v/>
      </c>
    </row>
    <row r="14">
      <c r="A14">
        <f>'ATL'!B30</f>
        <v/>
      </c>
      <c r="B14" t="inlineStr">
        <is>
          <t>ATL</t>
        </is>
      </c>
      <c r="C14" t="inlineStr">
        <is>
          <t>WR</t>
        </is>
      </c>
      <c r="D14" s="48">
        <f>'ATL'!V30</f>
        <v/>
      </c>
      <c r="E14" s="48">
        <f>'ATL'!W30</f>
        <v/>
      </c>
      <c r="F14" s="48">
        <f>'ATL'!X30</f>
        <v/>
      </c>
      <c r="G14" s="49">
        <f>'ATL'!Z30</f>
        <v/>
      </c>
      <c r="H14" s="48">
        <f>'ATL'!AA30</f>
        <v/>
      </c>
      <c r="I14" s="48">
        <f>'ATL'!AB30</f>
        <v/>
      </c>
      <c r="J14" s="49">
        <f>'ATL'!AD30</f>
        <v/>
      </c>
      <c r="K14" s="49">
        <f>'ATL'!AE30</f>
        <v/>
      </c>
    </row>
    <row r="15">
      <c r="A15">
        <f>'ATL'!B31</f>
        <v/>
      </c>
      <c r="B15" t="inlineStr">
        <is>
          <t>ATL</t>
        </is>
      </c>
      <c r="C15" t="inlineStr">
        <is>
          <t>WR</t>
        </is>
      </c>
      <c r="D15" s="48">
        <f>'ATL'!V31</f>
        <v/>
      </c>
      <c r="E15" s="48">
        <f>'ATL'!W31</f>
        <v/>
      </c>
      <c r="F15" s="48">
        <f>'ATL'!X31</f>
        <v/>
      </c>
      <c r="G15" s="49">
        <f>'ATL'!Z31</f>
        <v/>
      </c>
      <c r="H15" s="48">
        <f>'ATL'!AA31</f>
        <v/>
      </c>
      <c r="I15" s="48">
        <f>'ATL'!AB31</f>
        <v/>
      </c>
      <c r="J15" s="49">
        <f>'ATL'!AD31</f>
        <v/>
      </c>
      <c r="K15" s="49">
        <f>'ATL'!AE31</f>
        <v/>
      </c>
    </row>
    <row r="16">
      <c r="A16">
        <f>'ATL'!B32</f>
        <v/>
      </c>
      <c r="B16" t="inlineStr">
        <is>
          <t>ATL</t>
        </is>
      </c>
      <c r="C16" t="inlineStr">
        <is>
          <t>WR</t>
        </is>
      </c>
      <c r="D16" s="48">
        <f>'ATL'!V32</f>
        <v/>
      </c>
      <c r="E16" s="48">
        <f>'ATL'!W32</f>
        <v/>
      </c>
      <c r="F16" s="48">
        <f>'ATL'!X32</f>
        <v/>
      </c>
      <c r="G16" s="49">
        <f>'ATL'!Z32</f>
        <v/>
      </c>
      <c r="H16" s="48">
        <f>'ATL'!AA32</f>
        <v/>
      </c>
      <c r="I16" s="48">
        <f>'ATL'!AB32</f>
        <v/>
      </c>
      <c r="J16" s="49">
        <f>'ATL'!AD32</f>
        <v/>
      </c>
      <c r="K16" s="49">
        <f>'ATL'!AE32</f>
        <v/>
      </c>
    </row>
    <row r="17">
      <c r="A17">
        <f>'ATL'!B33</f>
        <v/>
      </c>
      <c r="B17" t="inlineStr">
        <is>
          <t>ATL</t>
        </is>
      </c>
      <c r="C17" t="inlineStr">
        <is>
          <t>WR</t>
        </is>
      </c>
      <c r="D17" s="48">
        <f>'ATL'!V33</f>
        <v/>
      </c>
      <c r="E17" s="48">
        <f>'ATL'!W33</f>
        <v/>
      </c>
      <c r="F17" s="48">
        <f>'ATL'!X33</f>
        <v/>
      </c>
      <c r="G17" s="49">
        <f>'ATL'!Z33</f>
        <v/>
      </c>
      <c r="H17" s="48">
        <f>'ATL'!AA33</f>
        <v/>
      </c>
      <c r="I17" s="48">
        <f>'ATL'!AB33</f>
        <v/>
      </c>
      <c r="J17" s="49">
        <f>'ATL'!AD33</f>
        <v/>
      </c>
      <c r="K17" s="49">
        <f>'ATL'!AE33</f>
        <v/>
      </c>
    </row>
    <row r="18">
      <c r="A18">
        <f>'ATL'!B34</f>
        <v/>
      </c>
      <c r="B18" t="inlineStr">
        <is>
          <t>ATL</t>
        </is>
      </c>
      <c r="C18" t="inlineStr">
        <is>
          <t>WR</t>
        </is>
      </c>
      <c r="D18" s="48">
        <f>'ATL'!V34</f>
        <v/>
      </c>
      <c r="E18" s="48">
        <f>'ATL'!W34</f>
        <v/>
      </c>
      <c r="F18" s="48">
        <f>'ATL'!X34</f>
        <v/>
      </c>
      <c r="G18" s="49">
        <f>'ATL'!Z34</f>
        <v/>
      </c>
      <c r="H18" s="48">
        <f>'ATL'!AA34</f>
        <v/>
      </c>
      <c r="I18" s="48">
        <f>'ATL'!AB34</f>
        <v/>
      </c>
      <c r="J18" s="49">
        <f>'ATL'!AD34</f>
        <v/>
      </c>
      <c r="K18" s="49">
        <f>'ATL'!AE34</f>
        <v/>
      </c>
    </row>
    <row r="19">
      <c r="A19">
        <f>'ATL'!B35</f>
        <v/>
      </c>
      <c r="B19" t="inlineStr">
        <is>
          <t>ATL</t>
        </is>
      </c>
      <c r="C19" t="inlineStr">
        <is>
          <t>WR</t>
        </is>
      </c>
      <c r="D19" s="48">
        <f>'ATL'!V35</f>
        <v/>
      </c>
      <c r="E19" s="48">
        <f>'ATL'!W35</f>
        <v/>
      </c>
      <c r="F19" s="48">
        <f>'ATL'!X35</f>
        <v/>
      </c>
      <c r="G19" s="49">
        <f>'ATL'!Z35</f>
        <v/>
      </c>
      <c r="H19" s="48">
        <f>'ATL'!AA35</f>
        <v/>
      </c>
      <c r="I19" s="48">
        <f>'ATL'!AB35</f>
        <v/>
      </c>
      <c r="J19" s="49">
        <f>'ATL'!AD35</f>
        <v/>
      </c>
      <c r="K19" s="49">
        <f>'ATL'!AE35</f>
        <v/>
      </c>
    </row>
    <row r="20">
      <c r="A20">
        <f>'ATL'!B36</f>
        <v/>
      </c>
      <c r="B20" t="inlineStr">
        <is>
          <t>ATL</t>
        </is>
      </c>
      <c r="C20" t="inlineStr">
        <is>
          <t>WR</t>
        </is>
      </c>
      <c r="D20" s="48">
        <f>'ATL'!V36</f>
        <v/>
      </c>
      <c r="E20" s="48">
        <f>'ATL'!W36</f>
        <v/>
      </c>
      <c r="F20" s="48">
        <f>'ATL'!X36</f>
        <v/>
      </c>
      <c r="G20" s="49">
        <f>'ATL'!Z36</f>
        <v/>
      </c>
      <c r="H20" s="48">
        <f>'ATL'!AA36</f>
        <v/>
      </c>
      <c r="I20" s="48">
        <f>'ATL'!AB36</f>
        <v/>
      </c>
      <c r="J20" s="49">
        <f>'ATL'!AD36</f>
        <v/>
      </c>
      <c r="K20" s="49">
        <f>'ATL'!AE36</f>
        <v/>
      </c>
    </row>
    <row r="21">
      <c r="A21">
        <f>'BAL'!B28</f>
        <v/>
      </c>
      <c r="B21" t="inlineStr">
        <is>
          <t>BAL</t>
        </is>
      </c>
      <c r="C21" t="inlineStr">
        <is>
          <t>WR</t>
        </is>
      </c>
      <c r="D21" s="48">
        <f>'BAL'!V28</f>
        <v/>
      </c>
      <c r="E21" s="48">
        <f>'BAL'!W28</f>
        <v/>
      </c>
      <c r="F21" s="48">
        <f>'BAL'!X28</f>
        <v/>
      </c>
      <c r="G21" s="49">
        <f>'BAL'!Z28</f>
        <v/>
      </c>
      <c r="H21" s="48">
        <f>'BAL'!AA28</f>
        <v/>
      </c>
      <c r="I21" s="48">
        <f>'BAL'!AB28</f>
        <v/>
      </c>
      <c r="J21" s="49">
        <f>'BAL'!AD28</f>
        <v/>
      </c>
      <c r="K21" s="49">
        <f>'BAL'!AE28</f>
        <v/>
      </c>
    </row>
    <row r="22">
      <c r="A22">
        <f>'BAL'!B29</f>
        <v/>
      </c>
      <c r="B22" t="inlineStr">
        <is>
          <t>BAL</t>
        </is>
      </c>
      <c r="C22" t="inlineStr">
        <is>
          <t>WR</t>
        </is>
      </c>
      <c r="D22" s="48">
        <f>'BAL'!V29</f>
        <v/>
      </c>
      <c r="E22" s="48">
        <f>'BAL'!W29</f>
        <v/>
      </c>
      <c r="F22" s="48">
        <f>'BAL'!X29</f>
        <v/>
      </c>
      <c r="G22" s="49">
        <f>'BAL'!Z29</f>
        <v/>
      </c>
      <c r="H22" s="48">
        <f>'BAL'!AA29</f>
        <v/>
      </c>
      <c r="I22" s="48">
        <f>'BAL'!AB29</f>
        <v/>
      </c>
      <c r="J22" s="49">
        <f>'BAL'!AD29</f>
        <v/>
      </c>
      <c r="K22" s="49">
        <f>'BAL'!AE29</f>
        <v/>
      </c>
    </row>
    <row r="23">
      <c r="A23">
        <f>'BAL'!B30</f>
        <v/>
      </c>
      <c r="B23" t="inlineStr">
        <is>
          <t>BAL</t>
        </is>
      </c>
      <c r="C23" t="inlineStr">
        <is>
          <t>WR</t>
        </is>
      </c>
      <c r="D23" s="48">
        <f>'BAL'!V30</f>
        <v/>
      </c>
      <c r="E23" s="48">
        <f>'BAL'!W30</f>
        <v/>
      </c>
      <c r="F23" s="48">
        <f>'BAL'!X30</f>
        <v/>
      </c>
      <c r="G23" s="49">
        <f>'BAL'!Z30</f>
        <v/>
      </c>
      <c r="H23" s="48">
        <f>'BAL'!AA30</f>
        <v/>
      </c>
      <c r="I23" s="48">
        <f>'BAL'!AB30</f>
        <v/>
      </c>
      <c r="J23" s="49">
        <f>'BAL'!AD30</f>
        <v/>
      </c>
      <c r="K23" s="49">
        <f>'BAL'!AE30</f>
        <v/>
      </c>
    </row>
    <row r="24">
      <c r="A24">
        <f>'BAL'!B31</f>
        <v/>
      </c>
      <c r="B24" t="inlineStr">
        <is>
          <t>BAL</t>
        </is>
      </c>
      <c r="C24" t="inlineStr">
        <is>
          <t>WR</t>
        </is>
      </c>
      <c r="D24" s="48">
        <f>'BAL'!V31</f>
        <v/>
      </c>
      <c r="E24" s="48">
        <f>'BAL'!W31</f>
        <v/>
      </c>
      <c r="F24" s="48">
        <f>'BAL'!X31</f>
        <v/>
      </c>
      <c r="G24" s="49">
        <f>'BAL'!Z31</f>
        <v/>
      </c>
      <c r="H24" s="48">
        <f>'BAL'!AA31</f>
        <v/>
      </c>
      <c r="I24" s="48">
        <f>'BAL'!AB31</f>
        <v/>
      </c>
      <c r="J24" s="49">
        <f>'BAL'!AD31</f>
        <v/>
      </c>
      <c r="K24" s="49">
        <f>'BAL'!AE31</f>
        <v/>
      </c>
    </row>
    <row r="25">
      <c r="A25">
        <f>'BAL'!B32</f>
        <v/>
      </c>
      <c r="B25" t="inlineStr">
        <is>
          <t>BAL</t>
        </is>
      </c>
      <c r="C25" t="inlineStr">
        <is>
          <t>WR</t>
        </is>
      </c>
      <c r="D25" s="48">
        <f>'BAL'!V32</f>
        <v/>
      </c>
      <c r="E25" s="48">
        <f>'BAL'!W32</f>
        <v/>
      </c>
      <c r="F25" s="48">
        <f>'BAL'!X32</f>
        <v/>
      </c>
      <c r="G25" s="49">
        <f>'BAL'!Z32</f>
        <v/>
      </c>
      <c r="H25" s="48">
        <f>'BAL'!AA32</f>
        <v/>
      </c>
      <c r="I25" s="48">
        <f>'BAL'!AB32</f>
        <v/>
      </c>
      <c r="J25" s="49">
        <f>'BAL'!AD32</f>
        <v/>
      </c>
      <c r="K25" s="49">
        <f>'BAL'!AE32</f>
        <v/>
      </c>
    </row>
    <row r="26">
      <c r="A26">
        <f>'BAL'!B33</f>
        <v/>
      </c>
      <c r="B26" t="inlineStr">
        <is>
          <t>BAL</t>
        </is>
      </c>
      <c r="C26" t="inlineStr">
        <is>
          <t>WR</t>
        </is>
      </c>
      <c r="D26" s="48">
        <f>'BAL'!V33</f>
        <v/>
      </c>
      <c r="E26" s="48">
        <f>'BAL'!W33</f>
        <v/>
      </c>
      <c r="F26" s="48">
        <f>'BAL'!X33</f>
        <v/>
      </c>
      <c r="G26" s="49">
        <f>'BAL'!Z33</f>
        <v/>
      </c>
      <c r="H26" s="48">
        <f>'BAL'!AA33</f>
        <v/>
      </c>
      <c r="I26" s="48">
        <f>'BAL'!AB33</f>
        <v/>
      </c>
      <c r="J26" s="49">
        <f>'BAL'!AD33</f>
        <v/>
      </c>
      <c r="K26" s="49">
        <f>'BAL'!AE33</f>
        <v/>
      </c>
    </row>
    <row r="27">
      <c r="A27">
        <f>'BAL'!B34</f>
        <v/>
      </c>
      <c r="B27" t="inlineStr">
        <is>
          <t>BAL</t>
        </is>
      </c>
      <c r="C27" t="inlineStr">
        <is>
          <t>WR</t>
        </is>
      </c>
      <c r="D27" s="48">
        <f>'BAL'!V34</f>
        <v/>
      </c>
      <c r="E27" s="48">
        <f>'BAL'!W34</f>
        <v/>
      </c>
      <c r="F27" s="48">
        <f>'BAL'!X34</f>
        <v/>
      </c>
      <c r="G27" s="49">
        <f>'BAL'!Z34</f>
        <v/>
      </c>
      <c r="H27" s="48">
        <f>'BAL'!AA34</f>
        <v/>
      </c>
      <c r="I27" s="48">
        <f>'BAL'!AB34</f>
        <v/>
      </c>
      <c r="J27" s="49">
        <f>'BAL'!AD34</f>
        <v/>
      </c>
      <c r="K27" s="49">
        <f>'BAL'!AE34</f>
        <v/>
      </c>
    </row>
    <row r="28">
      <c r="A28">
        <f>'BAL'!B35</f>
        <v/>
      </c>
      <c r="B28" t="inlineStr">
        <is>
          <t>BAL</t>
        </is>
      </c>
      <c r="C28" t="inlineStr">
        <is>
          <t>WR</t>
        </is>
      </c>
      <c r="D28" s="48">
        <f>'BAL'!V35</f>
        <v/>
      </c>
      <c r="E28" s="48">
        <f>'BAL'!W35</f>
        <v/>
      </c>
      <c r="F28" s="48">
        <f>'BAL'!X35</f>
        <v/>
      </c>
      <c r="G28" s="49">
        <f>'BAL'!Z35</f>
        <v/>
      </c>
      <c r="H28" s="48">
        <f>'BAL'!AA35</f>
        <v/>
      </c>
      <c r="I28" s="48">
        <f>'BAL'!AB35</f>
        <v/>
      </c>
      <c r="J28" s="49">
        <f>'BAL'!AD35</f>
        <v/>
      </c>
      <c r="K28" s="49">
        <f>'BAL'!AE35</f>
        <v/>
      </c>
    </row>
    <row r="29">
      <c r="A29">
        <f>'BAL'!B36</f>
        <v/>
      </c>
      <c r="B29" t="inlineStr">
        <is>
          <t>BAL</t>
        </is>
      </c>
      <c r="C29" t="inlineStr">
        <is>
          <t>WR</t>
        </is>
      </c>
      <c r="D29" s="48">
        <f>'BAL'!V36</f>
        <v/>
      </c>
      <c r="E29" s="48">
        <f>'BAL'!W36</f>
        <v/>
      </c>
      <c r="F29" s="48">
        <f>'BAL'!X36</f>
        <v/>
      </c>
      <c r="G29" s="49">
        <f>'BAL'!Z36</f>
        <v/>
      </c>
      <c r="H29" s="48">
        <f>'BAL'!AA36</f>
        <v/>
      </c>
      <c r="I29" s="48">
        <f>'BAL'!AB36</f>
        <v/>
      </c>
      <c r="J29" s="49">
        <f>'BAL'!AD36</f>
        <v/>
      </c>
      <c r="K29" s="49">
        <f>'BAL'!AE36</f>
        <v/>
      </c>
    </row>
    <row r="30">
      <c r="A30">
        <f>'BUF'!B28</f>
        <v/>
      </c>
      <c r="B30" t="inlineStr">
        <is>
          <t>BUF</t>
        </is>
      </c>
      <c r="C30" t="inlineStr">
        <is>
          <t>WR</t>
        </is>
      </c>
      <c r="D30" s="48">
        <f>'BUF'!V28</f>
        <v/>
      </c>
      <c r="E30" s="48">
        <f>'BUF'!W28</f>
        <v/>
      </c>
      <c r="F30" s="48">
        <f>'BUF'!X28</f>
        <v/>
      </c>
      <c r="G30" s="49">
        <f>'BUF'!Z28</f>
        <v/>
      </c>
      <c r="H30" s="48">
        <f>'BUF'!AA28</f>
        <v/>
      </c>
      <c r="I30" s="48">
        <f>'BUF'!AB28</f>
        <v/>
      </c>
      <c r="J30" s="49">
        <f>'BUF'!AD28</f>
        <v/>
      </c>
      <c r="K30" s="49">
        <f>'BUF'!AE28</f>
        <v/>
      </c>
    </row>
    <row r="31">
      <c r="A31">
        <f>'BUF'!B29</f>
        <v/>
      </c>
      <c r="B31" t="inlineStr">
        <is>
          <t>BUF</t>
        </is>
      </c>
      <c r="C31" t="inlineStr">
        <is>
          <t>WR</t>
        </is>
      </c>
      <c r="D31" s="48">
        <f>'BUF'!V29</f>
        <v/>
      </c>
      <c r="E31" s="48">
        <f>'BUF'!W29</f>
        <v/>
      </c>
      <c r="F31" s="48">
        <f>'BUF'!X29</f>
        <v/>
      </c>
      <c r="G31" s="49">
        <f>'BUF'!Z29</f>
        <v/>
      </c>
      <c r="H31" s="48">
        <f>'BUF'!AA29</f>
        <v/>
      </c>
      <c r="I31" s="48">
        <f>'BUF'!AB29</f>
        <v/>
      </c>
      <c r="J31" s="49">
        <f>'BUF'!AD29</f>
        <v/>
      </c>
      <c r="K31" s="49">
        <f>'BUF'!AE29</f>
        <v/>
      </c>
    </row>
    <row r="32">
      <c r="A32">
        <f>'BUF'!B30</f>
        <v/>
      </c>
      <c r="B32" t="inlineStr">
        <is>
          <t>BUF</t>
        </is>
      </c>
      <c r="C32" t="inlineStr">
        <is>
          <t>WR</t>
        </is>
      </c>
      <c r="D32" s="48">
        <f>'BUF'!V30</f>
        <v/>
      </c>
      <c r="E32" s="48">
        <f>'BUF'!W30</f>
        <v/>
      </c>
      <c r="F32" s="48">
        <f>'BUF'!X30</f>
        <v/>
      </c>
      <c r="G32" s="49">
        <f>'BUF'!Z30</f>
        <v/>
      </c>
      <c r="H32" s="48">
        <f>'BUF'!AA30</f>
        <v/>
      </c>
      <c r="I32" s="48">
        <f>'BUF'!AB30</f>
        <v/>
      </c>
      <c r="J32" s="49">
        <f>'BUF'!AD30</f>
        <v/>
      </c>
      <c r="K32" s="49">
        <f>'BUF'!AE30</f>
        <v/>
      </c>
    </row>
    <row r="33">
      <c r="A33">
        <f>'BUF'!B31</f>
        <v/>
      </c>
      <c r="B33" t="inlineStr">
        <is>
          <t>BUF</t>
        </is>
      </c>
      <c r="C33" t="inlineStr">
        <is>
          <t>WR</t>
        </is>
      </c>
      <c r="D33" s="48">
        <f>'BUF'!V31</f>
        <v/>
      </c>
      <c r="E33" s="48">
        <f>'BUF'!W31</f>
        <v/>
      </c>
      <c r="F33" s="48">
        <f>'BUF'!X31</f>
        <v/>
      </c>
      <c r="G33" s="49">
        <f>'BUF'!Z31</f>
        <v/>
      </c>
      <c r="H33" s="48">
        <f>'BUF'!AA31</f>
        <v/>
      </c>
      <c r="I33" s="48">
        <f>'BUF'!AB31</f>
        <v/>
      </c>
      <c r="J33" s="49">
        <f>'BUF'!AD31</f>
        <v/>
      </c>
      <c r="K33" s="49">
        <f>'BUF'!AE31</f>
        <v/>
      </c>
    </row>
    <row r="34">
      <c r="A34">
        <f>'BUF'!B32</f>
        <v/>
      </c>
      <c r="B34" t="inlineStr">
        <is>
          <t>BUF</t>
        </is>
      </c>
      <c r="C34" t="inlineStr">
        <is>
          <t>WR</t>
        </is>
      </c>
      <c r="D34" s="48">
        <f>'BUF'!V32</f>
        <v/>
      </c>
      <c r="E34" s="48">
        <f>'BUF'!W32</f>
        <v/>
      </c>
      <c r="F34" s="48">
        <f>'BUF'!X32</f>
        <v/>
      </c>
      <c r="G34" s="49">
        <f>'BUF'!Z32</f>
        <v/>
      </c>
      <c r="H34" s="48">
        <f>'BUF'!AA32</f>
        <v/>
      </c>
      <c r="I34" s="48">
        <f>'BUF'!AB32</f>
        <v/>
      </c>
      <c r="J34" s="49">
        <f>'BUF'!AD32</f>
        <v/>
      </c>
      <c r="K34" s="49">
        <f>'BUF'!AE32</f>
        <v/>
      </c>
    </row>
    <row r="35">
      <c r="A35">
        <f>'BUF'!B33</f>
        <v/>
      </c>
      <c r="B35" t="inlineStr">
        <is>
          <t>BUF</t>
        </is>
      </c>
      <c r="C35" t="inlineStr">
        <is>
          <t>WR</t>
        </is>
      </c>
      <c r="D35" s="48">
        <f>'BUF'!V33</f>
        <v/>
      </c>
      <c r="E35" s="48">
        <f>'BUF'!W33</f>
        <v/>
      </c>
      <c r="F35" s="48">
        <f>'BUF'!X33</f>
        <v/>
      </c>
      <c r="G35" s="49">
        <f>'BUF'!Z33</f>
        <v/>
      </c>
      <c r="H35" s="48">
        <f>'BUF'!AA33</f>
        <v/>
      </c>
      <c r="I35" s="48">
        <f>'BUF'!AB33</f>
        <v/>
      </c>
      <c r="J35" s="49">
        <f>'BUF'!AD33</f>
        <v/>
      </c>
      <c r="K35" s="49">
        <f>'BUF'!AE33</f>
        <v/>
      </c>
    </row>
    <row r="36">
      <c r="A36">
        <f>'BUF'!B34</f>
        <v/>
      </c>
      <c r="B36" t="inlineStr">
        <is>
          <t>BUF</t>
        </is>
      </c>
      <c r="C36" t="inlineStr">
        <is>
          <t>WR</t>
        </is>
      </c>
      <c r="D36" s="48">
        <f>'BUF'!V34</f>
        <v/>
      </c>
      <c r="E36" s="48">
        <f>'BUF'!W34</f>
        <v/>
      </c>
      <c r="F36" s="48">
        <f>'BUF'!X34</f>
        <v/>
      </c>
      <c r="G36" s="49">
        <f>'BUF'!Z34</f>
        <v/>
      </c>
      <c r="H36" s="48">
        <f>'BUF'!AA34</f>
        <v/>
      </c>
      <c r="I36" s="48">
        <f>'BUF'!AB34</f>
        <v/>
      </c>
      <c r="J36" s="49">
        <f>'BUF'!AD34</f>
        <v/>
      </c>
      <c r="K36" s="49">
        <f>'BUF'!AE34</f>
        <v/>
      </c>
    </row>
    <row r="37">
      <c r="A37">
        <f>'BUF'!B35</f>
        <v/>
      </c>
      <c r="B37" t="inlineStr">
        <is>
          <t>BUF</t>
        </is>
      </c>
      <c r="C37" t="inlineStr">
        <is>
          <t>WR</t>
        </is>
      </c>
      <c r="D37" s="48">
        <f>'BUF'!V35</f>
        <v/>
      </c>
      <c r="E37" s="48">
        <f>'BUF'!W35</f>
        <v/>
      </c>
      <c r="F37" s="48">
        <f>'BUF'!X35</f>
        <v/>
      </c>
      <c r="G37" s="49">
        <f>'BUF'!Z35</f>
        <v/>
      </c>
      <c r="H37" s="48">
        <f>'BUF'!AA35</f>
        <v/>
      </c>
      <c r="I37" s="48">
        <f>'BUF'!AB35</f>
        <v/>
      </c>
      <c r="J37" s="49">
        <f>'BUF'!AD35</f>
        <v/>
      </c>
      <c r="K37" s="49">
        <f>'BUF'!AE35</f>
        <v/>
      </c>
    </row>
    <row r="38">
      <c r="A38">
        <f>'BUF'!B36</f>
        <v/>
      </c>
      <c r="B38" t="inlineStr">
        <is>
          <t>BUF</t>
        </is>
      </c>
      <c r="C38" t="inlineStr">
        <is>
          <t>WR</t>
        </is>
      </c>
      <c r="D38" s="48">
        <f>'BUF'!V36</f>
        <v/>
      </c>
      <c r="E38" s="48">
        <f>'BUF'!W36</f>
        <v/>
      </c>
      <c r="F38" s="48">
        <f>'BUF'!X36</f>
        <v/>
      </c>
      <c r="G38" s="49">
        <f>'BUF'!Z36</f>
        <v/>
      </c>
      <c r="H38" s="48">
        <f>'BUF'!AA36</f>
        <v/>
      </c>
      <c r="I38" s="48">
        <f>'BUF'!AB36</f>
        <v/>
      </c>
      <c r="J38" s="49">
        <f>'BUF'!AD36</f>
        <v/>
      </c>
      <c r="K38" s="49">
        <f>'BUF'!AE36</f>
        <v/>
      </c>
    </row>
    <row r="39">
      <c r="A39">
        <f>'CAR'!B28</f>
        <v/>
      </c>
      <c r="B39" t="inlineStr">
        <is>
          <t>CAR</t>
        </is>
      </c>
      <c r="C39" t="inlineStr">
        <is>
          <t>WR</t>
        </is>
      </c>
      <c r="D39" s="48">
        <f>'CAR'!V28</f>
        <v/>
      </c>
      <c r="E39" s="48">
        <f>'CAR'!W28</f>
        <v/>
      </c>
      <c r="F39" s="48">
        <f>'CAR'!X28</f>
        <v/>
      </c>
      <c r="G39" s="49">
        <f>'CAR'!Z28</f>
        <v/>
      </c>
      <c r="H39" s="48">
        <f>'CAR'!AA28</f>
        <v/>
      </c>
      <c r="I39" s="48">
        <f>'CAR'!AB28</f>
        <v/>
      </c>
      <c r="J39" s="49">
        <f>'CAR'!AD28</f>
        <v/>
      </c>
      <c r="K39" s="49">
        <f>'CAR'!AE28</f>
        <v/>
      </c>
    </row>
    <row r="40">
      <c r="A40">
        <f>'CAR'!B29</f>
        <v/>
      </c>
      <c r="B40" t="inlineStr">
        <is>
          <t>CAR</t>
        </is>
      </c>
      <c r="C40" t="inlineStr">
        <is>
          <t>WR</t>
        </is>
      </c>
      <c r="D40" s="48">
        <f>'CAR'!V29</f>
        <v/>
      </c>
      <c r="E40" s="48">
        <f>'CAR'!W29</f>
        <v/>
      </c>
      <c r="F40" s="48">
        <f>'CAR'!X29</f>
        <v/>
      </c>
      <c r="G40" s="49">
        <f>'CAR'!Z29</f>
        <v/>
      </c>
      <c r="H40" s="48">
        <f>'CAR'!AA29</f>
        <v/>
      </c>
      <c r="I40" s="48">
        <f>'CAR'!AB29</f>
        <v/>
      </c>
      <c r="J40" s="49">
        <f>'CAR'!AD29</f>
        <v/>
      </c>
      <c r="K40" s="49">
        <f>'CAR'!AE29</f>
        <v/>
      </c>
    </row>
    <row r="41">
      <c r="A41">
        <f>'CAR'!B30</f>
        <v/>
      </c>
      <c r="B41" t="inlineStr">
        <is>
          <t>CAR</t>
        </is>
      </c>
      <c r="C41" t="inlineStr">
        <is>
          <t>WR</t>
        </is>
      </c>
      <c r="D41" s="48">
        <f>'CAR'!V30</f>
        <v/>
      </c>
      <c r="E41" s="48">
        <f>'CAR'!W30</f>
        <v/>
      </c>
      <c r="F41" s="48">
        <f>'CAR'!X30</f>
        <v/>
      </c>
      <c r="G41" s="49">
        <f>'CAR'!Z30</f>
        <v/>
      </c>
      <c r="H41" s="48">
        <f>'CAR'!AA30</f>
        <v/>
      </c>
      <c r="I41" s="48">
        <f>'CAR'!AB30</f>
        <v/>
      </c>
      <c r="J41" s="49">
        <f>'CAR'!AD30</f>
        <v/>
      </c>
      <c r="K41" s="49">
        <f>'CAR'!AE30</f>
        <v/>
      </c>
    </row>
    <row r="42">
      <c r="A42">
        <f>'CAR'!B31</f>
        <v/>
      </c>
      <c r="B42" t="inlineStr">
        <is>
          <t>CAR</t>
        </is>
      </c>
      <c r="C42" t="inlineStr">
        <is>
          <t>WR</t>
        </is>
      </c>
      <c r="D42" s="48">
        <f>'CAR'!V31</f>
        <v/>
      </c>
      <c r="E42" s="48">
        <f>'CAR'!W31</f>
        <v/>
      </c>
      <c r="F42" s="48">
        <f>'CAR'!X31</f>
        <v/>
      </c>
      <c r="G42" s="49">
        <f>'CAR'!Z31</f>
        <v/>
      </c>
      <c r="H42" s="48">
        <f>'CAR'!AA31</f>
        <v/>
      </c>
      <c r="I42" s="48">
        <f>'CAR'!AB31</f>
        <v/>
      </c>
      <c r="J42" s="49">
        <f>'CAR'!AD31</f>
        <v/>
      </c>
      <c r="K42" s="49">
        <f>'CAR'!AE31</f>
        <v/>
      </c>
    </row>
    <row r="43">
      <c r="A43">
        <f>'CAR'!B32</f>
        <v/>
      </c>
      <c r="B43" t="inlineStr">
        <is>
          <t>CAR</t>
        </is>
      </c>
      <c r="C43" t="inlineStr">
        <is>
          <t>WR</t>
        </is>
      </c>
      <c r="D43" s="48">
        <f>'CAR'!V32</f>
        <v/>
      </c>
      <c r="E43" s="48">
        <f>'CAR'!W32</f>
        <v/>
      </c>
      <c r="F43" s="48">
        <f>'CAR'!X32</f>
        <v/>
      </c>
      <c r="G43" s="49">
        <f>'CAR'!Z32</f>
        <v/>
      </c>
      <c r="H43" s="48">
        <f>'CAR'!AA32</f>
        <v/>
      </c>
      <c r="I43" s="48">
        <f>'CAR'!AB32</f>
        <v/>
      </c>
      <c r="J43" s="49">
        <f>'CAR'!AD32</f>
        <v/>
      </c>
      <c r="K43" s="49">
        <f>'CAR'!AE32</f>
        <v/>
      </c>
    </row>
    <row r="44">
      <c r="A44">
        <f>'CAR'!B33</f>
        <v/>
      </c>
      <c r="B44" t="inlineStr">
        <is>
          <t>CAR</t>
        </is>
      </c>
      <c r="C44" t="inlineStr">
        <is>
          <t>WR</t>
        </is>
      </c>
      <c r="D44" s="48">
        <f>'CAR'!V33</f>
        <v/>
      </c>
      <c r="E44" s="48">
        <f>'CAR'!W33</f>
        <v/>
      </c>
      <c r="F44" s="48">
        <f>'CAR'!X33</f>
        <v/>
      </c>
      <c r="G44" s="49">
        <f>'CAR'!Z33</f>
        <v/>
      </c>
      <c r="H44" s="48">
        <f>'CAR'!AA33</f>
        <v/>
      </c>
      <c r="I44" s="48">
        <f>'CAR'!AB33</f>
        <v/>
      </c>
      <c r="J44" s="49">
        <f>'CAR'!AD33</f>
        <v/>
      </c>
      <c r="K44" s="49">
        <f>'CAR'!AE33</f>
        <v/>
      </c>
    </row>
    <row r="45">
      <c r="A45">
        <f>'CAR'!B34</f>
        <v/>
      </c>
      <c r="B45" t="inlineStr">
        <is>
          <t>CAR</t>
        </is>
      </c>
      <c r="C45" t="inlineStr">
        <is>
          <t>WR</t>
        </is>
      </c>
      <c r="D45" s="48">
        <f>'CAR'!V34</f>
        <v/>
      </c>
      <c r="E45" s="48">
        <f>'CAR'!W34</f>
        <v/>
      </c>
      <c r="F45" s="48">
        <f>'CAR'!X34</f>
        <v/>
      </c>
      <c r="G45" s="49">
        <f>'CAR'!Z34</f>
        <v/>
      </c>
      <c r="H45" s="48">
        <f>'CAR'!AA34</f>
        <v/>
      </c>
      <c r="I45" s="48">
        <f>'CAR'!AB34</f>
        <v/>
      </c>
      <c r="J45" s="49">
        <f>'CAR'!AD34</f>
        <v/>
      </c>
      <c r="K45" s="49">
        <f>'CAR'!AE34</f>
        <v/>
      </c>
    </row>
    <row r="46">
      <c r="A46">
        <f>'CAR'!B35</f>
        <v/>
      </c>
      <c r="B46" t="inlineStr">
        <is>
          <t>CAR</t>
        </is>
      </c>
      <c r="C46" t="inlineStr">
        <is>
          <t>WR</t>
        </is>
      </c>
      <c r="D46" s="48">
        <f>'CAR'!V35</f>
        <v/>
      </c>
      <c r="E46" s="48">
        <f>'CAR'!W35</f>
        <v/>
      </c>
      <c r="F46" s="48">
        <f>'CAR'!X35</f>
        <v/>
      </c>
      <c r="G46" s="49">
        <f>'CAR'!Z35</f>
        <v/>
      </c>
      <c r="H46" s="48">
        <f>'CAR'!AA35</f>
        <v/>
      </c>
      <c r="I46" s="48">
        <f>'CAR'!AB35</f>
        <v/>
      </c>
      <c r="J46" s="49">
        <f>'CAR'!AD35</f>
        <v/>
      </c>
      <c r="K46" s="49">
        <f>'CAR'!AE35</f>
        <v/>
      </c>
    </row>
    <row r="47">
      <c r="A47">
        <f>'CAR'!B36</f>
        <v/>
      </c>
      <c r="B47" t="inlineStr">
        <is>
          <t>CAR</t>
        </is>
      </c>
      <c r="C47" t="inlineStr">
        <is>
          <t>WR</t>
        </is>
      </c>
      <c r="D47" s="48">
        <f>'CAR'!V36</f>
        <v/>
      </c>
      <c r="E47" s="48">
        <f>'CAR'!W36</f>
        <v/>
      </c>
      <c r="F47" s="48">
        <f>'CAR'!X36</f>
        <v/>
      </c>
      <c r="G47" s="49">
        <f>'CAR'!Z36</f>
        <v/>
      </c>
      <c r="H47" s="48">
        <f>'CAR'!AA36</f>
        <v/>
      </c>
      <c r="I47" s="48">
        <f>'CAR'!AB36</f>
        <v/>
      </c>
      <c r="J47" s="49">
        <f>'CAR'!AD36</f>
        <v/>
      </c>
      <c r="K47" s="49">
        <f>'CAR'!AE36</f>
        <v/>
      </c>
    </row>
    <row r="48">
      <c r="A48">
        <f>'CHI'!B28</f>
        <v/>
      </c>
      <c r="B48" t="inlineStr">
        <is>
          <t>CHI</t>
        </is>
      </c>
      <c r="C48" t="inlineStr">
        <is>
          <t>WR</t>
        </is>
      </c>
      <c r="D48" s="48">
        <f>'CHI'!V28</f>
        <v/>
      </c>
      <c r="E48" s="48">
        <f>'CHI'!W28</f>
        <v/>
      </c>
      <c r="F48" s="48">
        <f>'CHI'!X28</f>
        <v/>
      </c>
      <c r="G48" s="49">
        <f>'CHI'!Z28</f>
        <v/>
      </c>
      <c r="H48" s="48">
        <f>'CHI'!AA28</f>
        <v/>
      </c>
      <c r="I48" s="48">
        <f>'CHI'!AB28</f>
        <v/>
      </c>
      <c r="J48" s="49">
        <f>'CHI'!AD28</f>
        <v/>
      </c>
      <c r="K48" s="49">
        <f>'CHI'!AE28</f>
        <v/>
      </c>
    </row>
    <row r="49">
      <c r="A49">
        <f>'CHI'!B29</f>
        <v/>
      </c>
      <c r="B49" t="inlineStr">
        <is>
          <t>CHI</t>
        </is>
      </c>
      <c r="C49" t="inlineStr">
        <is>
          <t>WR</t>
        </is>
      </c>
      <c r="D49" s="48">
        <f>'CHI'!V29</f>
        <v/>
      </c>
      <c r="E49" s="48">
        <f>'CHI'!W29</f>
        <v/>
      </c>
      <c r="F49" s="48">
        <f>'CHI'!X29</f>
        <v/>
      </c>
      <c r="G49" s="49">
        <f>'CHI'!Z29</f>
        <v/>
      </c>
      <c r="H49" s="48">
        <f>'CHI'!AA29</f>
        <v/>
      </c>
      <c r="I49" s="48">
        <f>'CHI'!AB29</f>
        <v/>
      </c>
      <c r="J49" s="49">
        <f>'CHI'!AD29</f>
        <v/>
      </c>
      <c r="K49" s="49">
        <f>'CHI'!AE29</f>
        <v/>
      </c>
    </row>
    <row r="50">
      <c r="A50">
        <f>'CHI'!B30</f>
        <v/>
      </c>
      <c r="B50" t="inlineStr">
        <is>
          <t>CHI</t>
        </is>
      </c>
      <c r="C50" t="inlineStr">
        <is>
          <t>WR</t>
        </is>
      </c>
      <c r="D50" s="48">
        <f>'CHI'!V30</f>
        <v/>
      </c>
      <c r="E50" s="48">
        <f>'CHI'!W30</f>
        <v/>
      </c>
      <c r="F50" s="48">
        <f>'CHI'!X30</f>
        <v/>
      </c>
      <c r="G50" s="49">
        <f>'CHI'!Z30</f>
        <v/>
      </c>
      <c r="H50" s="48">
        <f>'CHI'!AA30</f>
        <v/>
      </c>
      <c r="I50" s="48">
        <f>'CHI'!AB30</f>
        <v/>
      </c>
      <c r="J50" s="49">
        <f>'CHI'!AD30</f>
        <v/>
      </c>
      <c r="K50" s="49">
        <f>'CHI'!AE30</f>
        <v/>
      </c>
    </row>
    <row r="51">
      <c r="A51">
        <f>'CHI'!B31</f>
        <v/>
      </c>
      <c r="B51" t="inlineStr">
        <is>
          <t>CHI</t>
        </is>
      </c>
      <c r="C51" t="inlineStr">
        <is>
          <t>WR</t>
        </is>
      </c>
      <c r="D51" s="48">
        <f>'CHI'!V31</f>
        <v/>
      </c>
      <c r="E51" s="48">
        <f>'CHI'!W31</f>
        <v/>
      </c>
      <c r="F51" s="48">
        <f>'CHI'!X31</f>
        <v/>
      </c>
      <c r="G51" s="49">
        <f>'CHI'!Z31</f>
        <v/>
      </c>
      <c r="H51" s="48">
        <f>'CHI'!AA31</f>
        <v/>
      </c>
      <c r="I51" s="48">
        <f>'CHI'!AB31</f>
        <v/>
      </c>
      <c r="J51" s="49">
        <f>'CHI'!AD31</f>
        <v/>
      </c>
      <c r="K51" s="49">
        <f>'CHI'!AE31</f>
        <v/>
      </c>
    </row>
    <row r="52">
      <c r="A52">
        <f>'CHI'!B32</f>
        <v/>
      </c>
      <c r="B52" t="inlineStr">
        <is>
          <t>CHI</t>
        </is>
      </c>
      <c r="C52" t="inlineStr">
        <is>
          <t>WR</t>
        </is>
      </c>
      <c r="D52" s="48">
        <f>'CHI'!V32</f>
        <v/>
      </c>
      <c r="E52" s="48">
        <f>'CHI'!W32</f>
        <v/>
      </c>
      <c r="F52" s="48">
        <f>'CHI'!X32</f>
        <v/>
      </c>
      <c r="G52" s="49">
        <f>'CHI'!Z32</f>
        <v/>
      </c>
      <c r="H52" s="48">
        <f>'CHI'!AA32</f>
        <v/>
      </c>
      <c r="I52" s="48">
        <f>'CHI'!AB32</f>
        <v/>
      </c>
      <c r="J52" s="49">
        <f>'CHI'!AD32</f>
        <v/>
      </c>
      <c r="K52" s="49">
        <f>'CHI'!AE32</f>
        <v/>
      </c>
    </row>
    <row r="53">
      <c r="A53">
        <f>'CHI'!B33</f>
        <v/>
      </c>
      <c r="B53" t="inlineStr">
        <is>
          <t>CHI</t>
        </is>
      </c>
      <c r="C53" t="inlineStr">
        <is>
          <t>WR</t>
        </is>
      </c>
      <c r="D53" s="48">
        <f>'CHI'!V33</f>
        <v/>
      </c>
      <c r="E53" s="48">
        <f>'CHI'!W33</f>
        <v/>
      </c>
      <c r="F53" s="48">
        <f>'CHI'!X33</f>
        <v/>
      </c>
      <c r="G53" s="49">
        <f>'CHI'!Z33</f>
        <v/>
      </c>
      <c r="H53" s="48">
        <f>'CHI'!AA33</f>
        <v/>
      </c>
      <c r="I53" s="48">
        <f>'CHI'!AB33</f>
        <v/>
      </c>
      <c r="J53" s="49">
        <f>'CHI'!AD33</f>
        <v/>
      </c>
      <c r="K53" s="49">
        <f>'CHI'!AE33</f>
        <v/>
      </c>
    </row>
    <row r="54">
      <c r="A54">
        <f>'CHI'!B34</f>
        <v/>
      </c>
      <c r="B54" t="inlineStr">
        <is>
          <t>CHI</t>
        </is>
      </c>
      <c r="C54" t="inlineStr">
        <is>
          <t>WR</t>
        </is>
      </c>
      <c r="D54" s="48">
        <f>'CHI'!V34</f>
        <v/>
      </c>
      <c r="E54" s="48">
        <f>'CHI'!W34</f>
        <v/>
      </c>
      <c r="F54" s="48">
        <f>'CHI'!X34</f>
        <v/>
      </c>
      <c r="G54" s="49">
        <f>'CHI'!Z34</f>
        <v/>
      </c>
      <c r="H54" s="48">
        <f>'CHI'!AA34</f>
        <v/>
      </c>
      <c r="I54" s="48">
        <f>'CHI'!AB34</f>
        <v/>
      </c>
      <c r="J54" s="49">
        <f>'CHI'!AD34</f>
        <v/>
      </c>
      <c r="K54" s="49">
        <f>'CHI'!AE34</f>
        <v/>
      </c>
    </row>
    <row r="55">
      <c r="A55">
        <f>'CHI'!B35</f>
        <v/>
      </c>
      <c r="B55" t="inlineStr">
        <is>
          <t>CHI</t>
        </is>
      </c>
      <c r="C55" t="inlineStr">
        <is>
          <t>WR</t>
        </is>
      </c>
      <c r="D55" s="48">
        <f>'CHI'!V35</f>
        <v/>
      </c>
      <c r="E55" s="48">
        <f>'CHI'!W35</f>
        <v/>
      </c>
      <c r="F55" s="48">
        <f>'CHI'!X35</f>
        <v/>
      </c>
      <c r="G55" s="49">
        <f>'CHI'!Z35</f>
        <v/>
      </c>
      <c r="H55" s="48">
        <f>'CHI'!AA35</f>
        <v/>
      </c>
      <c r="I55" s="48">
        <f>'CHI'!AB35</f>
        <v/>
      </c>
      <c r="J55" s="49">
        <f>'CHI'!AD35</f>
        <v/>
      </c>
      <c r="K55" s="49">
        <f>'CHI'!AE35</f>
        <v/>
      </c>
    </row>
    <row r="56">
      <c r="A56">
        <f>'CHI'!B36</f>
        <v/>
      </c>
      <c r="B56" t="inlineStr">
        <is>
          <t>CHI</t>
        </is>
      </c>
      <c r="C56" t="inlineStr">
        <is>
          <t>WR</t>
        </is>
      </c>
      <c r="D56" s="48">
        <f>'CHI'!V36</f>
        <v/>
      </c>
      <c r="E56" s="48">
        <f>'CHI'!W36</f>
        <v/>
      </c>
      <c r="F56" s="48">
        <f>'CHI'!X36</f>
        <v/>
      </c>
      <c r="G56" s="49">
        <f>'CHI'!Z36</f>
        <v/>
      </c>
      <c r="H56" s="48">
        <f>'CHI'!AA36</f>
        <v/>
      </c>
      <c r="I56" s="48">
        <f>'CHI'!AB36</f>
        <v/>
      </c>
      <c r="J56" s="49">
        <f>'CHI'!AD36</f>
        <v/>
      </c>
      <c r="K56" s="49">
        <f>'CHI'!AE36</f>
        <v/>
      </c>
    </row>
    <row r="57">
      <c r="A57">
        <f>'CIN'!B28</f>
        <v/>
      </c>
      <c r="B57" t="inlineStr">
        <is>
          <t>CIN</t>
        </is>
      </c>
      <c r="C57" t="inlineStr">
        <is>
          <t>WR</t>
        </is>
      </c>
      <c r="D57" s="48">
        <f>'CIN'!V28</f>
        <v/>
      </c>
      <c r="E57" s="48">
        <f>'CIN'!W28</f>
        <v/>
      </c>
      <c r="F57" s="48">
        <f>'CIN'!X28</f>
        <v/>
      </c>
      <c r="G57" s="49">
        <f>'CIN'!Z28</f>
        <v/>
      </c>
      <c r="H57" s="48">
        <f>'CIN'!AA28</f>
        <v/>
      </c>
      <c r="I57" s="48">
        <f>'CIN'!AB28</f>
        <v/>
      </c>
      <c r="J57" s="49">
        <f>'CIN'!AD28</f>
        <v/>
      </c>
      <c r="K57" s="49">
        <f>'CIN'!AE28</f>
        <v/>
      </c>
    </row>
    <row r="58">
      <c r="A58">
        <f>'CIN'!B29</f>
        <v/>
      </c>
      <c r="B58" t="inlineStr">
        <is>
          <t>CIN</t>
        </is>
      </c>
      <c r="C58" t="inlineStr">
        <is>
          <t>WR</t>
        </is>
      </c>
      <c r="D58" s="48">
        <f>'CIN'!V29</f>
        <v/>
      </c>
      <c r="E58" s="48">
        <f>'CIN'!W29</f>
        <v/>
      </c>
      <c r="F58" s="48">
        <f>'CIN'!X29</f>
        <v/>
      </c>
      <c r="G58" s="49">
        <f>'CIN'!Z29</f>
        <v/>
      </c>
      <c r="H58" s="48">
        <f>'CIN'!AA29</f>
        <v/>
      </c>
      <c r="I58" s="48">
        <f>'CIN'!AB29</f>
        <v/>
      </c>
      <c r="J58" s="49">
        <f>'CIN'!AD29</f>
        <v/>
      </c>
      <c r="K58" s="49">
        <f>'CIN'!AE29</f>
        <v/>
      </c>
    </row>
    <row r="59">
      <c r="A59">
        <f>'CIN'!B30</f>
        <v/>
      </c>
      <c r="B59" t="inlineStr">
        <is>
          <t>CIN</t>
        </is>
      </c>
      <c r="C59" t="inlineStr">
        <is>
          <t>WR</t>
        </is>
      </c>
      <c r="D59" s="48">
        <f>'CIN'!V30</f>
        <v/>
      </c>
      <c r="E59" s="48">
        <f>'CIN'!W30</f>
        <v/>
      </c>
      <c r="F59" s="48">
        <f>'CIN'!X30</f>
        <v/>
      </c>
      <c r="G59" s="49">
        <f>'CIN'!Z30</f>
        <v/>
      </c>
      <c r="H59" s="48">
        <f>'CIN'!AA30</f>
        <v/>
      </c>
      <c r="I59" s="48">
        <f>'CIN'!AB30</f>
        <v/>
      </c>
      <c r="J59" s="49">
        <f>'CIN'!AD30</f>
        <v/>
      </c>
      <c r="K59" s="49">
        <f>'CIN'!AE30</f>
        <v/>
      </c>
    </row>
    <row r="60">
      <c r="A60">
        <f>'CIN'!B31</f>
        <v/>
      </c>
      <c r="B60" t="inlineStr">
        <is>
          <t>CIN</t>
        </is>
      </c>
      <c r="C60" t="inlineStr">
        <is>
          <t>WR</t>
        </is>
      </c>
      <c r="D60" s="48">
        <f>'CIN'!V31</f>
        <v/>
      </c>
      <c r="E60" s="48">
        <f>'CIN'!W31</f>
        <v/>
      </c>
      <c r="F60" s="48">
        <f>'CIN'!X31</f>
        <v/>
      </c>
      <c r="G60" s="49">
        <f>'CIN'!Z31</f>
        <v/>
      </c>
      <c r="H60" s="48">
        <f>'CIN'!AA31</f>
        <v/>
      </c>
      <c r="I60" s="48">
        <f>'CIN'!AB31</f>
        <v/>
      </c>
      <c r="J60" s="49">
        <f>'CIN'!AD31</f>
        <v/>
      </c>
      <c r="K60" s="49">
        <f>'CIN'!AE31</f>
        <v/>
      </c>
    </row>
    <row r="61">
      <c r="A61">
        <f>'CIN'!B32</f>
        <v/>
      </c>
      <c r="B61" t="inlineStr">
        <is>
          <t>CIN</t>
        </is>
      </c>
      <c r="C61" t="inlineStr">
        <is>
          <t>WR</t>
        </is>
      </c>
      <c r="D61" s="48">
        <f>'CIN'!V32</f>
        <v/>
      </c>
      <c r="E61" s="48">
        <f>'CIN'!W32</f>
        <v/>
      </c>
      <c r="F61" s="48">
        <f>'CIN'!X32</f>
        <v/>
      </c>
      <c r="G61" s="49">
        <f>'CIN'!Z32</f>
        <v/>
      </c>
      <c r="H61" s="48">
        <f>'CIN'!AA32</f>
        <v/>
      </c>
      <c r="I61" s="48">
        <f>'CIN'!AB32</f>
        <v/>
      </c>
      <c r="J61" s="49">
        <f>'CIN'!AD32</f>
        <v/>
      </c>
      <c r="K61" s="49">
        <f>'CIN'!AE32</f>
        <v/>
      </c>
    </row>
    <row r="62">
      <c r="A62">
        <f>'CIN'!B33</f>
        <v/>
      </c>
      <c r="B62" t="inlineStr">
        <is>
          <t>CIN</t>
        </is>
      </c>
      <c r="C62" t="inlineStr">
        <is>
          <t>WR</t>
        </is>
      </c>
      <c r="D62" s="48">
        <f>'CIN'!V33</f>
        <v/>
      </c>
      <c r="E62" s="48">
        <f>'CIN'!W33</f>
        <v/>
      </c>
      <c r="F62" s="48">
        <f>'CIN'!X33</f>
        <v/>
      </c>
      <c r="G62" s="49">
        <f>'CIN'!Z33</f>
        <v/>
      </c>
      <c r="H62" s="48">
        <f>'CIN'!AA33</f>
        <v/>
      </c>
      <c r="I62" s="48">
        <f>'CIN'!AB33</f>
        <v/>
      </c>
      <c r="J62" s="49">
        <f>'CIN'!AD33</f>
        <v/>
      </c>
      <c r="K62" s="49">
        <f>'CIN'!AE33</f>
        <v/>
      </c>
    </row>
    <row r="63">
      <c r="A63">
        <f>'CIN'!B34</f>
        <v/>
      </c>
      <c r="B63" t="inlineStr">
        <is>
          <t>CIN</t>
        </is>
      </c>
      <c r="C63" t="inlineStr">
        <is>
          <t>WR</t>
        </is>
      </c>
      <c r="D63" s="48">
        <f>'CIN'!V34</f>
        <v/>
      </c>
      <c r="E63" s="48">
        <f>'CIN'!W34</f>
        <v/>
      </c>
      <c r="F63" s="48">
        <f>'CIN'!X34</f>
        <v/>
      </c>
      <c r="G63" s="49">
        <f>'CIN'!Z34</f>
        <v/>
      </c>
      <c r="H63" s="48">
        <f>'CIN'!AA34</f>
        <v/>
      </c>
      <c r="I63" s="48">
        <f>'CIN'!AB34</f>
        <v/>
      </c>
      <c r="J63" s="49">
        <f>'CIN'!AD34</f>
        <v/>
      </c>
      <c r="K63" s="49">
        <f>'CIN'!AE34</f>
        <v/>
      </c>
    </row>
    <row r="64">
      <c r="A64">
        <f>'CIN'!B35</f>
        <v/>
      </c>
      <c r="B64" t="inlineStr">
        <is>
          <t>CIN</t>
        </is>
      </c>
      <c r="C64" t="inlineStr">
        <is>
          <t>WR</t>
        </is>
      </c>
      <c r="D64" s="48">
        <f>'CIN'!V35</f>
        <v/>
      </c>
      <c r="E64" s="48">
        <f>'CIN'!W35</f>
        <v/>
      </c>
      <c r="F64" s="48">
        <f>'CIN'!X35</f>
        <v/>
      </c>
      <c r="G64" s="49">
        <f>'CIN'!Z35</f>
        <v/>
      </c>
      <c r="H64" s="48">
        <f>'CIN'!AA35</f>
        <v/>
      </c>
      <c r="I64" s="48">
        <f>'CIN'!AB35</f>
        <v/>
      </c>
      <c r="J64" s="49">
        <f>'CIN'!AD35</f>
        <v/>
      </c>
      <c r="K64" s="49">
        <f>'CIN'!AE35</f>
        <v/>
      </c>
    </row>
    <row r="65">
      <c r="A65">
        <f>'CIN'!B36</f>
        <v/>
      </c>
      <c r="B65" t="inlineStr">
        <is>
          <t>CIN</t>
        </is>
      </c>
      <c r="C65" t="inlineStr">
        <is>
          <t>WR</t>
        </is>
      </c>
      <c r="D65" s="48">
        <f>'CIN'!V36</f>
        <v/>
      </c>
      <c r="E65" s="48">
        <f>'CIN'!W36</f>
        <v/>
      </c>
      <c r="F65" s="48">
        <f>'CIN'!X36</f>
        <v/>
      </c>
      <c r="G65" s="49">
        <f>'CIN'!Z36</f>
        <v/>
      </c>
      <c r="H65" s="48">
        <f>'CIN'!AA36</f>
        <v/>
      </c>
      <c r="I65" s="48">
        <f>'CIN'!AB36</f>
        <v/>
      </c>
      <c r="J65" s="49">
        <f>'CIN'!AD36</f>
        <v/>
      </c>
      <c r="K65" s="49">
        <f>'CIN'!AE36</f>
        <v/>
      </c>
    </row>
    <row r="66">
      <c r="A66">
        <f>'CLE'!B28</f>
        <v/>
      </c>
      <c r="B66" t="inlineStr">
        <is>
          <t>CLE</t>
        </is>
      </c>
      <c r="C66" t="inlineStr">
        <is>
          <t>WR</t>
        </is>
      </c>
      <c r="D66" s="48">
        <f>'CLE'!V28</f>
        <v/>
      </c>
      <c r="E66" s="48">
        <f>'CLE'!W28</f>
        <v/>
      </c>
      <c r="F66" s="48">
        <f>'CLE'!X28</f>
        <v/>
      </c>
      <c r="G66" s="49">
        <f>'CLE'!Z28</f>
        <v/>
      </c>
      <c r="H66" s="48">
        <f>'CLE'!AA28</f>
        <v/>
      </c>
      <c r="I66" s="48">
        <f>'CLE'!AB28</f>
        <v/>
      </c>
      <c r="J66" s="49">
        <f>'CLE'!AD28</f>
        <v/>
      </c>
      <c r="K66" s="49">
        <f>'CLE'!AE28</f>
        <v/>
      </c>
    </row>
    <row r="67">
      <c r="A67">
        <f>'CLE'!B29</f>
        <v/>
      </c>
      <c r="B67" t="inlineStr">
        <is>
          <t>CLE</t>
        </is>
      </c>
      <c r="C67" t="inlineStr">
        <is>
          <t>WR</t>
        </is>
      </c>
      <c r="D67" s="48">
        <f>'CLE'!V29</f>
        <v/>
      </c>
      <c r="E67" s="48">
        <f>'CLE'!W29</f>
        <v/>
      </c>
      <c r="F67" s="48">
        <f>'CLE'!X29</f>
        <v/>
      </c>
      <c r="G67" s="49">
        <f>'CLE'!Z29</f>
        <v/>
      </c>
      <c r="H67" s="48">
        <f>'CLE'!AA29</f>
        <v/>
      </c>
      <c r="I67" s="48">
        <f>'CLE'!AB29</f>
        <v/>
      </c>
      <c r="J67" s="49">
        <f>'CLE'!AD29</f>
        <v/>
      </c>
      <c r="K67" s="49">
        <f>'CLE'!AE29</f>
        <v/>
      </c>
    </row>
    <row r="68">
      <c r="A68">
        <f>'CLE'!B30</f>
        <v/>
      </c>
      <c r="B68" t="inlineStr">
        <is>
          <t>CLE</t>
        </is>
      </c>
      <c r="C68" t="inlineStr">
        <is>
          <t>WR</t>
        </is>
      </c>
      <c r="D68" s="48">
        <f>'CLE'!V30</f>
        <v/>
      </c>
      <c r="E68" s="48">
        <f>'CLE'!W30</f>
        <v/>
      </c>
      <c r="F68" s="48">
        <f>'CLE'!X30</f>
        <v/>
      </c>
      <c r="G68" s="49">
        <f>'CLE'!Z30</f>
        <v/>
      </c>
      <c r="H68" s="48">
        <f>'CLE'!AA30</f>
        <v/>
      </c>
      <c r="I68" s="48">
        <f>'CLE'!AB30</f>
        <v/>
      </c>
      <c r="J68" s="49">
        <f>'CLE'!AD30</f>
        <v/>
      </c>
      <c r="K68" s="49">
        <f>'CLE'!AE30</f>
        <v/>
      </c>
    </row>
    <row r="69">
      <c r="A69">
        <f>'CLE'!B31</f>
        <v/>
      </c>
      <c r="B69" t="inlineStr">
        <is>
          <t>CLE</t>
        </is>
      </c>
      <c r="C69" t="inlineStr">
        <is>
          <t>WR</t>
        </is>
      </c>
      <c r="D69" s="48">
        <f>'CLE'!V31</f>
        <v/>
      </c>
      <c r="E69" s="48">
        <f>'CLE'!W31</f>
        <v/>
      </c>
      <c r="F69" s="48">
        <f>'CLE'!X31</f>
        <v/>
      </c>
      <c r="G69" s="49">
        <f>'CLE'!Z31</f>
        <v/>
      </c>
      <c r="H69" s="48">
        <f>'CLE'!AA31</f>
        <v/>
      </c>
      <c r="I69" s="48">
        <f>'CLE'!AB31</f>
        <v/>
      </c>
      <c r="J69" s="49">
        <f>'CLE'!AD31</f>
        <v/>
      </c>
      <c r="K69" s="49">
        <f>'CLE'!AE31</f>
        <v/>
      </c>
    </row>
    <row r="70">
      <c r="A70">
        <f>'CLE'!B32</f>
        <v/>
      </c>
      <c r="B70" t="inlineStr">
        <is>
          <t>CLE</t>
        </is>
      </c>
      <c r="C70" t="inlineStr">
        <is>
          <t>WR</t>
        </is>
      </c>
      <c r="D70" s="48">
        <f>'CLE'!V32</f>
        <v/>
      </c>
      <c r="E70" s="48">
        <f>'CLE'!W32</f>
        <v/>
      </c>
      <c r="F70" s="48">
        <f>'CLE'!X32</f>
        <v/>
      </c>
      <c r="G70" s="49">
        <f>'CLE'!Z32</f>
        <v/>
      </c>
      <c r="H70" s="48">
        <f>'CLE'!AA32</f>
        <v/>
      </c>
      <c r="I70" s="48">
        <f>'CLE'!AB32</f>
        <v/>
      </c>
      <c r="J70" s="49">
        <f>'CLE'!AD32</f>
        <v/>
      </c>
      <c r="K70" s="49">
        <f>'CLE'!AE32</f>
        <v/>
      </c>
    </row>
    <row r="71">
      <c r="A71">
        <f>'CLE'!B33</f>
        <v/>
      </c>
      <c r="B71" t="inlineStr">
        <is>
          <t>CLE</t>
        </is>
      </c>
      <c r="C71" t="inlineStr">
        <is>
          <t>WR</t>
        </is>
      </c>
      <c r="D71" s="48">
        <f>'CLE'!V33</f>
        <v/>
      </c>
      <c r="E71" s="48">
        <f>'CLE'!W33</f>
        <v/>
      </c>
      <c r="F71" s="48">
        <f>'CLE'!X33</f>
        <v/>
      </c>
      <c r="G71" s="49">
        <f>'CLE'!Z33</f>
        <v/>
      </c>
      <c r="H71" s="48">
        <f>'CLE'!AA33</f>
        <v/>
      </c>
      <c r="I71" s="48">
        <f>'CLE'!AB33</f>
        <v/>
      </c>
      <c r="J71" s="49">
        <f>'CLE'!AD33</f>
        <v/>
      </c>
      <c r="K71" s="49">
        <f>'CLE'!AE33</f>
        <v/>
      </c>
    </row>
    <row r="72">
      <c r="A72">
        <f>'CLE'!B34</f>
        <v/>
      </c>
      <c r="B72" t="inlineStr">
        <is>
          <t>CLE</t>
        </is>
      </c>
      <c r="C72" t="inlineStr">
        <is>
          <t>WR</t>
        </is>
      </c>
      <c r="D72" s="48">
        <f>'CLE'!V34</f>
        <v/>
      </c>
      <c r="E72" s="48">
        <f>'CLE'!W34</f>
        <v/>
      </c>
      <c r="F72" s="48">
        <f>'CLE'!X34</f>
        <v/>
      </c>
      <c r="G72" s="49">
        <f>'CLE'!Z34</f>
        <v/>
      </c>
      <c r="H72" s="48">
        <f>'CLE'!AA34</f>
        <v/>
      </c>
      <c r="I72" s="48">
        <f>'CLE'!AB34</f>
        <v/>
      </c>
      <c r="J72" s="49">
        <f>'CLE'!AD34</f>
        <v/>
      </c>
      <c r="K72" s="49">
        <f>'CLE'!AE34</f>
        <v/>
      </c>
    </row>
    <row r="73">
      <c r="A73">
        <f>'CLE'!B35</f>
        <v/>
      </c>
      <c r="B73" t="inlineStr">
        <is>
          <t>CLE</t>
        </is>
      </c>
      <c r="C73" t="inlineStr">
        <is>
          <t>WR</t>
        </is>
      </c>
      <c r="D73" s="48">
        <f>'CLE'!V35</f>
        <v/>
      </c>
      <c r="E73" s="48">
        <f>'CLE'!W35</f>
        <v/>
      </c>
      <c r="F73" s="48">
        <f>'CLE'!X35</f>
        <v/>
      </c>
      <c r="G73" s="49">
        <f>'CLE'!Z35</f>
        <v/>
      </c>
      <c r="H73" s="48">
        <f>'CLE'!AA35</f>
        <v/>
      </c>
      <c r="I73" s="48">
        <f>'CLE'!AB35</f>
        <v/>
      </c>
      <c r="J73" s="49">
        <f>'CLE'!AD35</f>
        <v/>
      </c>
      <c r="K73" s="49">
        <f>'CLE'!AE35</f>
        <v/>
      </c>
    </row>
    <row r="74">
      <c r="A74">
        <f>'CLE'!B36</f>
        <v/>
      </c>
      <c r="B74" t="inlineStr">
        <is>
          <t>CLE</t>
        </is>
      </c>
      <c r="C74" t="inlineStr">
        <is>
          <t>WR</t>
        </is>
      </c>
      <c r="D74" s="48">
        <f>'CLE'!V36</f>
        <v/>
      </c>
      <c r="E74" s="48">
        <f>'CLE'!W36</f>
        <v/>
      </c>
      <c r="F74" s="48">
        <f>'CLE'!X36</f>
        <v/>
      </c>
      <c r="G74" s="49">
        <f>'CLE'!Z36</f>
        <v/>
      </c>
      <c r="H74" s="48">
        <f>'CLE'!AA36</f>
        <v/>
      </c>
      <c r="I74" s="48">
        <f>'CLE'!AB36</f>
        <v/>
      </c>
      <c r="J74" s="49">
        <f>'CLE'!AD36</f>
        <v/>
      </c>
      <c r="K74" s="49">
        <f>'CLE'!AE36</f>
        <v/>
      </c>
    </row>
    <row r="75">
      <c r="A75">
        <f>'DAL'!B28</f>
        <v/>
      </c>
      <c r="B75" t="inlineStr">
        <is>
          <t>DAL</t>
        </is>
      </c>
      <c r="C75" t="inlineStr">
        <is>
          <t>WR</t>
        </is>
      </c>
      <c r="D75" s="48">
        <f>'DAL'!V28</f>
        <v/>
      </c>
      <c r="E75" s="48">
        <f>'DAL'!W28</f>
        <v/>
      </c>
      <c r="F75" s="48">
        <f>'DAL'!X28</f>
        <v/>
      </c>
      <c r="G75" s="49">
        <f>'DAL'!Z28</f>
        <v/>
      </c>
      <c r="H75" s="48">
        <f>'DAL'!AA28</f>
        <v/>
      </c>
      <c r="I75" s="48">
        <f>'DAL'!AB28</f>
        <v/>
      </c>
      <c r="J75" s="49">
        <f>'DAL'!AD28</f>
        <v/>
      </c>
      <c r="K75" s="49">
        <f>'DAL'!AE28</f>
        <v/>
      </c>
    </row>
    <row r="76">
      <c r="A76">
        <f>'DAL'!B29</f>
        <v/>
      </c>
      <c r="B76" t="inlineStr">
        <is>
          <t>DAL</t>
        </is>
      </c>
      <c r="C76" t="inlineStr">
        <is>
          <t>WR</t>
        </is>
      </c>
      <c r="D76" s="48">
        <f>'DAL'!V29</f>
        <v/>
      </c>
      <c r="E76" s="48">
        <f>'DAL'!W29</f>
        <v/>
      </c>
      <c r="F76" s="48">
        <f>'DAL'!X29</f>
        <v/>
      </c>
      <c r="G76" s="49">
        <f>'DAL'!Z29</f>
        <v/>
      </c>
      <c r="H76" s="48">
        <f>'DAL'!AA29</f>
        <v/>
      </c>
      <c r="I76" s="48">
        <f>'DAL'!AB29</f>
        <v/>
      </c>
      <c r="J76" s="49">
        <f>'DAL'!AD29</f>
        <v/>
      </c>
      <c r="K76" s="49">
        <f>'DAL'!AE29</f>
        <v/>
      </c>
    </row>
    <row r="77">
      <c r="A77">
        <f>'DAL'!B30</f>
        <v/>
      </c>
      <c r="B77" t="inlineStr">
        <is>
          <t>DAL</t>
        </is>
      </c>
      <c r="C77" t="inlineStr">
        <is>
          <t>WR</t>
        </is>
      </c>
      <c r="D77" s="48">
        <f>'DAL'!V30</f>
        <v/>
      </c>
      <c r="E77" s="48">
        <f>'DAL'!W30</f>
        <v/>
      </c>
      <c r="F77" s="48">
        <f>'DAL'!X30</f>
        <v/>
      </c>
      <c r="G77" s="49">
        <f>'DAL'!Z30</f>
        <v/>
      </c>
      <c r="H77" s="48">
        <f>'DAL'!AA30</f>
        <v/>
      </c>
      <c r="I77" s="48">
        <f>'DAL'!AB30</f>
        <v/>
      </c>
      <c r="J77" s="49">
        <f>'DAL'!AD30</f>
        <v/>
      </c>
      <c r="K77" s="49">
        <f>'DAL'!AE30</f>
        <v/>
      </c>
    </row>
    <row r="78">
      <c r="A78">
        <f>'DAL'!B31</f>
        <v/>
      </c>
      <c r="B78" t="inlineStr">
        <is>
          <t>DAL</t>
        </is>
      </c>
      <c r="C78" t="inlineStr">
        <is>
          <t>WR</t>
        </is>
      </c>
      <c r="D78" s="48">
        <f>'DAL'!V31</f>
        <v/>
      </c>
      <c r="E78" s="48">
        <f>'DAL'!W31</f>
        <v/>
      </c>
      <c r="F78" s="48">
        <f>'DAL'!X31</f>
        <v/>
      </c>
      <c r="G78" s="49">
        <f>'DAL'!Z31</f>
        <v/>
      </c>
      <c r="H78" s="48">
        <f>'DAL'!AA31</f>
        <v/>
      </c>
      <c r="I78" s="48">
        <f>'DAL'!AB31</f>
        <v/>
      </c>
      <c r="J78" s="49">
        <f>'DAL'!AD31</f>
        <v/>
      </c>
      <c r="K78" s="49">
        <f>'DAL'!AE31</f>
        <v/>
      </c>
    </row>
    <row r="79">
      <c r="A79">
        <f>'DAL'!B32</f>
        <v/>
      </c>
      <c r="B79" t="inlineStr">
        <is>
          <t>DAL</t>
        </is>
      </c>
      <c r="C79" t="inlineStr">
        <is>
          <t>WR</t>
        </is>
      </c>
      <c r="D79" s="48">
        <f>'DAL'!V32</f>
        <v/>
      </c>
      <c r="E79" s="48">
        <f>'DAL'!W32</f>
        <v/>
      </c>
      <c r="F79" s="48">
        <f>'DAL'!X32</f>
        <v/>
      </c>
      <c r="G79" s="49">
        <f>'DAL'!Z32</f>
        <v/>
      </c>
      <c r="H79" s="48">
        <f>'DAL'!AA32</f>
        <v/>
      </c>
      <c r="I79" s="48">
        <f>'DAL'!AB32</f>
        <v/>
      </c>
      <c r="J79" s="49">
        <f>'DAL'!AD32</f>
        <v/>
      </c>
      <c r="K79" s="49">
        <f>'DAL'!AE32</f>
        <v/>
      </c>
    </row>
    <row r="80">
      <c r="A80">
        <f>'DAL'!B33</f>
        <v/>
      </c>
      <c r="B80" t="inlineStr">
        <is>
          <t>DAL</t>
        </is>
      </c>
      <c r="C80" t="inlineStr">
        <is>
          <t>WR</t>
        </is>
      </c>
      <c r="D80" s="48">
        <f>'DAL'!V33</f>
        <v/>
      </c>
      <c r="E80" s="48">
        <f>'DAL'!W33</f>
        <v/>
      </c>
      <c r="F80" s="48">
        <f>'DAL'!X33</f>
        <v/>
      </c>
      <c r="G80" s="49">
        <f>'DAL'!Z33</f>
        <v/>
      </c>
      <c r="H80" s="48">
        <f>'DAL'!AA33</f>
        <v/>
      </c>
      <c r="I80" s="48">
        <f>'DAL'!AB33</f>
        <v/>
      </c>
      <c r="J80" s="49">
        <f>'DAL'!AD33</f>
        <v/>
      </c>
      <c r="K80" s="49">
        <f>'DAL'!AE33</f>
        <v/>
      </c>
    </row>
    <row r="81">
      <c r="A81">
        <f>'DAL'!B34</f>
        <v/>
      </c>
      <c r="B81" t="inlineStr">
        <is>
          <t>DAL</t>
        </is>
      </c>
      <c r="C81" t="inlineStr">
        <is>
          <t>WR</t>
        </is>
      </c>
      <c r="D81" s="48">
        <f>'DAL'!V34</f>
        <v/>
      </c>
      <c r="E81" s="48">
        <f>'DAL'!W34</f>
        <v/>
      </c>
      <c r="F81" s="48">
        <f>'DAL'!X34</f>
        <v/>
      </c>
      <c r="G81" s="49">
        <f>'DAL'!Z34</f>
        <v/>
      </c>
      <c r="H81" s="48">
        <f>'DAL'!AA34</f>
        <v/>
      </c>
      <c r="I81" s="48">
        <f>'DAL'!AB34</f>
        <v/>
      </c>
      <c r="J81" s="49">
        <f>'DAL'!AD34</f>
        <v/>
      </c>
      <c r="K81" s="49">
        <f>'DAL'!AE34</f>
        <v/>
      </c>
    </row>
    <row r="82">
      <c r="A82">
        <f>'DAL'!B35</f>
        <v/>
      </c>
      <c r="B82" t="inlineStr">
        <is>
          <t>DAL</t>
        </is>
      </c>
      <c r="C82" t="inlineStr">
        <is>
          <t>WR</t>
        </is>
      </c>
      <c r="D82" s="48">
        <f>'DAL'!V35</f>
        <v/>
      </c>
      <c r="E82" s="48">
        <f>'DAL'!W35</f>
        <v/>
      </c>
      <c r="F82" s="48">
        <f>'DAL'!X35</f>
        <v/>
      </c>
      <c r="G82" s="49">
        <f>'DAL'!Z35</f>
        <v/>
      </c>
      <c r="H82" s="48">
        <f>'DAL'!AA35</f>
        <v/>
      </c>
      <c r="I82" s="48">
        <f>'DAL'!AB35</f>
        <v/>
      </c>
      <c r="J82" s="49">
        <f>'DAL'!AD35</f>
        <v/>
      </c>
      <c r="K82" s="49">
        <f>'DAL'!AE35</f>
        <v/>
      </c>
    </row>
    <row r="83">
      <c r="A83">
        <f>'DAL'!B36</f>
        <v/>
      </c>
      <c r="B83" t="inlineStr">
        <is>
          <t>DAL</t>
        </is>
      </c>
      <c r="C83" t="inlineStr">
        <is>
          <t>WR</t>
        </is>
      </c>
      <c r="D83" s="48">
        <f>'DAL'!V36</f>
        <v/>
      </c>
      <c r="E83" s="48">
        <f>'DAL'!W36</f>
        <v/>
      </c>
      <c r="F83" s="48">
        <f>'DAL'!X36</f>
        <v/>
      </c>
      <c r="G83" s="49">
        <f>'DAL'!Z36</f>
        <v/>
      </c>
      <c r="H83" s="48">
        <f>'DAL'!AA36</f>
        <v/>
      </c>
      <c r="I83" s="48">
        <f>'DAL'!AB36</f>
        <v/>
      </c>
      <c r="J83" s="49">
        <f>'DAL'!AD36</f>
        <v/>
      </c>
      <c r="K83" s="49">
        <f>'DAL'!AE36</f>
        <v/>
      </c>
    </row>
    <row r="84">
      <c r="A84">
        <f>'DEN'!B28</f>
        <v/>
      </c>
      <c r="B84" t="inlineStr">
        <is>
          <t>DEN</t>
        </is>
      </c>
      <c r="C84" t="inlineStr">
        <is>
          <t>WR</t>
        </is>
      </c>
      <c r="D84" s="48">
        <f>'DEN'!V28</f>
        <v/>
      </c>
      <c r="E84" s="48">
        <f>'DEN'!W28</f>
        <v/>
      </c>
      <c r="F84" s="48">
        <f>'DEN'!X28</f>
        <v/>
      </c>
      <c r="G84" s="49">
        <f>'DEN'!Z28</f>
        <v/>
      </c>
      <c r="H84" s="48">
        <f>'DEN'!AA28</f>
        <v/>
      </c>
      <c r="I84" s="48">
        <f>'DEN'!AB28</f>
        <v/>
      </c>
      <c r="J84" s="49">
        <f>'DEN'!AD28</f>
        <v/>
      </c>
      <c r="K84" s="49">
        <f>'DEN'!AE28</f>
        <v/>
      </c>
    </row>
    <row r="85">
      <c r="A85">
        <f>'DEN'!B29</f>
        <v/>
      </c>
      <c r="B85" t="inlineStr">
        <is>
          <t>DEN</t>
        </is>
      </c>
      <c r="C85" t="inlineStr">
        <is>
          <t>WR</t>
        </is>
      </c>
      <c r="D85" s="48">
        <f>'DEN'!V29</f>
        <v/>
      </c>
      <c r="E85" s="48">
        <f>'DEN'!W29</f>
        <v/>
      </c>
      <c r="F85" s="48">
        <f>'DEN'!X29</f>
        <v/>
      </c>
      <c r="G85" s="49">
        <f>'DEN'!Z29</f>
        <v/>
      </c>
      <c r="H85" s="48">
        <f>'DEN'!AA29</f>
        <v/>
      </c>
      <c r="I85" s="48">
        <f>'DEN'!AB29</f>
        <v/>
      </c>
      <c r="J85" s="49">
        <f>'DEN'!AD29</f>
        <v/>
      </c>
      <c r="K85" s="49">
        <f>'DEN'!AE29</f>
        <v/>
      </c>
    </row>
    <row r="86">
      <c r="A86">
        <f>'DEN'!B30</f>
        <v/>
      </c>
      <c r="B86" t="inlineStr">
        <is>
          <t>DEN</t>
        </is>
      </c>
      <c r="C86" t="inlineStr">
        <is>
          <t>WR</t>
        </is>
      </c>
      <c r="D86" s="48">
        <f>'DEN'!V30</f>
        <v/>
      </c>
      <c r="E86" s="48">
        <f>'DEN'!W30</f>
        <v/>
      </c>
      <c r="F86" s="48">
        <f>'DEN'!X30</f>
        <v/>
      </c>
      <c r="G86" s="49">
        <f>'DEN'!Z30</f>
        <v/>
      </c>
      <c r="H86" s="48">
        <f>'DEN'!AA30</f>
        <v/>
      </c>
      <c r="I86" s="48">
        <f>'DEN'!AB30</f>
        <v/>
      </c>
      <c r="J86" s="49">
        <f>'DEN'!AD30</f>
        <v/>
      </c>
      <c r="K86" s="49">
        <f>'DEN'!AE30</f>
        <v/>
      </c>
    </row>
    <row r="87">
      <c r="A87">
        <f>'DEN'!B31</f>
        <v/>
      </c>
      <c r="B87" t="inlineStr">
        <is>
          <t>DEN</t>
        </is>
      </c>
      <c r="C87" t="inlineStr">
        <is>
          <t>WR</t>
        </is>
      </c>
      <c r="D87" s="48">
        <f>'DEN'!V31</f>
        <v/>
      </c>
      <c r="E87" s="48">
        <f>'DEN'!W31</f>
        <v/>
      </c>
      <c r="F87" s="48">
        <f>'DEN'!X31</f>
        <v/>
      </c>
      <c r="G87" s="49">
        <f>'DEN'!Z31</f>
        <v/>
      </c>
      <c r="H87" s="48">
        <f>'DEN'!AA31</f>
        <v/>
      </c>
      <c r="I87" s="48">
        <f>'DEN'!AB31</f>
        <v/>
      </c>
      <c r="J87" s="49">
        <f>'DEN'!AD31</f>
        <v/>
      </c>
      <c r="K87" s="49">
        <f>'DEN'!AE31</f>
        <v/>
      </c>
    </row>
    <row r="88">
      <c r="A88">
        <f>'DEN'!B32</f>
        <v/>
      </c>
      <c r="B88" t="inlineStr">
        <is>
          <t>DEN</t>
        </is>
      </c>
      <c r="C88" t="inlineStr">
        <is>
          <t>WR</t>
        </is>
      </c>
      <c r="D88" s="48">
        <f>'DEN'!V32</f>
        <v/>
      </c>
      <c r="E88" s="48">
        <f>'DEN'!W32</f>
        <v/>
      </c>
      <c r="F88" s="48">
        <f>'DEN'!X32</f>
        <v/>
      </c>
      <c r="G88" s="49">
        <f>'DEN'!Z32</f>
        <v/>
      </c>
      <c r="H88" s="48">
        <f>'DEN'!AA32</f>
        <v/>
      </c>
      <c r="I88" s="48">
        <f>'DEN'!AB32</f>
        <v/>
      </c>
      <c r="J88" s="49">
        <f>'DEN'!AD32</f>
        <v/>
      </c>
      <c r="K88" s="49">
        <f>'DEN'!AE32</f>
        <v/>
      </c>
    </row>
    <row r="89">
      <c r="A89">
        <f>'DEN'!B33</f>
        <v/>
      </c>
      <c r="B89" t="inlineStr">
        <is>
          <t>DEN</t>
        </is>
      </c>
      <c r="C89" t="inlineStr">
        <is>
          <t>WR</t>
        </is>
      </c>
      <c r="D89" s="48">
        <f>'DEN'!V33</f>
        <v/>
      </c>
      <c r="E89" s="48">
        <f>'DEN'!W33</f>
        <v/>
      </c>
      <c r="F89" s="48">
        <f>'DEN'!X33</f>
        <v/>
      </c>
      <c r="G89" s="49">
        <f>'DEN'!Z33</f>
        <v/>
      </c>
      <c r="H89" s="48">
        <f>'DEN'!AA33</f>
        <v/>
      </c>
      <c r="I89" s="48">
        <f>'DEN'!AB33</f>
        <v/>
      </c>
      <c r="J89" s="49">
        <f>'DEN'!AD33</f>
        <v/>
      </c>
      <c r="K89" s="49">
        <f>'DEN'!AE33</f>
        <v/>
      </c>
    </row>
    <row r="90">
      <c r="A90">
        <f>'DEN'!B34</f>
        <v/>
      </c>
      <c r="B90" t="inlineStr">
        <is>
          <t>DEN</t>
        </is>
      </c>
      <c r="C90" t="inlineStr">
        <is>
          <t>WR</t>
        </is>
      </c>
      <c r="D90" s="48">
        <f>'DEN'!V34</f>
        <v/>
      </c>
      <c r="E90" s="48">
        <f>'DEN'!W34</f>
        <v/>
      </c>
      <c r="F90" s="48">
        <f>'DEN'!X34</f>
        <v/>
      </c>
      <c r="G90" s="49">
        <f>'DEN'!Z34</f>
        <v/>
      </c>
      <c r="H90" s="48">
        <f>'DEN'!AA34</f>
        <v/>
      </c>
      <c r="I90" s="48">
        <f>'DEN'!AB34</f>
        <v/>
      </c>
      <c r="J90" s="49">
        <f>'DEN'!AD34</f>
        <v/>
      </c>
      <c r="K90" s="49">
        <f>'DEN'!AE34</f>
        <v/>
      </c>
    </row>
    <row r="91">
      <c r="A91">
        <f>'DEN'!B35</f>
        <v/>
      </c>
      <c r="B91" t="inlineStr">
        <is>
          <t>DEN</t>
        </is>
      </c>
      <c r="C91" t="inlineStr">
        <is>
          <t>WR</t>
        </is>
      </c>
      <c r="D91" s="48">
        <f>'DEN'!V35</f>
        <v/>
      </c>
      <c r="E91" s="48">
        <f>'DEN'!W35</f>
        <v/>
      </c>
      <c r="F91" s="48">
        <f>'DEN'!X35</f>
        <v/>
      </c>
      <c r="G91" s="49">
        <f>'DEN'!Z35</f>
        <v/>
      </c>
      <c r="H91" s="48">
        <f>'DEN'!AA35</f>
        <v/>
      </c>
      <c r="I91" s="48">
        <f>'DEN'!AB35</f>
        <v/>
      </c>
      <c r="J91" s="49">
        <f>'DEN'!AD35</f>
        <v/>
      </c>
      <c r="K91" s="49">
        <f>'DEN'!AE35</f>
        <v/>
      </c>
    </row>
    <row r="92">
      <c r="A92">
        <f>'DEN'!B36</f>
        <v/>
      </c>
      <c r="B92" t="inlineStr">
        <is>
          <t>DEN</t>
        </is>
      </c>
      <c r="C92" t="inlineStr">
        <is>
          <t>WR</t>
        </is>
      </c>
      <c r="D92" s="48">
        <f>'DEN'!V36</f>
        <v/>
      </c>
      <c r="E92" s="48">
        <f>'DEN'!W36</f>
        <v/>
      </c>
      <c r="F92" s="48">
        <f>'DEN'!X36</f>
        <v/>
      </c>
      <c r="G92" s="49">
        <f>'DEN'!Z36</f>
        <v/>
      </c>
      <c r="H92" s="48">
        <f>'DEN'!AA36</f>
        <v/>
      </c>
      <c r="I92" s="48">
        <f>'DEN'!AB36</f>
        <v/>
      </c>
      <c r="J92" s="49">
        <f>'DEN'!AD36</f>
        <v/>
      </c>
      <c r="K92" s="49">
        <f>'DEN'!AE36</f>
        <v/>
      </c>
    </row>
    <row r="93">
      <c r="A93">
        <f>'DET'!B28</f>
        <v/>
      </c>
      <c r="B93" t="inlineStr">
        <is>
          <t>DET</t>
        </is>
      </c>
      <c r="C93" t="inlineStr">
        <is>
          <t>WR</t>
        </is>
      </c>
      <c r="D93" s="48">
        <f>'DET'!V28</f>
        <v/>
      </c>
      <c r="E93" s="48">
        <f>'DET'!W28</f>
        <v/>
      </c>
      <c r="F93" s="48">
        <f>'DET'!X28</f>
        <v/>
      </c>
      <c r="G93" s="49">
        <f>'DET'!Z28</f>
        <v/>
      </c>
      <c r="H93" s="48">
        <f>'DET'!AA28</f>
        <v/>
      </c>
      <c r="I93" s="48">
        <f>'DET'!AB28</f>
        <v/>
      </c>
      <c r="J93" s="49">
        <f>'DET'!AD28</f>
        <v/>
      </c>
      <c r="K93" s="49">
        <f>'DET'!AE28</f>
        <v/>
      </c>
    </row>
    <row r="94">
      <c r="A94">
        <f>'DET'!B29</f>
        <v/>
      </c>
      <c r="B94" t="inlineStr">
        <is>
          <t>DET</t>
        </is>
      </c>
      <c r="C94" t="inlineStr">
        <is>
          <t>WR</t>
        </is>
      </c>
      <c r="D94" s="48">
        <f>'DET'!V29</f>
        <v/>
      </c>
      <c r="E94" s="48">
        <f>'DET'!W29</f>
        <v/>
      </c>
      <c r="F94" s="48">
        <f>'DET'!X29</f>
        <v/>
      </c>
      <c r="G94" s="49">
        <f>'DET'!Z29</f>
        <v/>
      </c>
      <c r="H94" s="48">
        <f>'DET'!AA29</f>
        <v/>
      </c>
      <c r="I94" s="48">
        <f>'DET'!AB29</f>
        <v/>
      </c>
      <c r="J94" s="49">
        <f>'DET'!AD29</f>
        <v/>
      </c>
      <c r="K94" s="49">
        <f>'DET'!AE29</f>
        <v/>
      </c>
    </row>
    <row r="95">
      <c r="A95">
        <f>'DET'!B30</f>
        <v/>
      </c>
      <c r="B95" t="inlineStr">
        <is>
          <t>DET</t>
        </is>
      </c>
      <c r="C95" t="inlineStr">
        <is>
          <t>WR</t>
        </is>
      </c>
      <c r="D95" s="48">
        <f>'DET'!V30</f>
        <v/>
      </c>
      <c r="E95" s="48">
        <f>'DET'!W30</f>
        <v/>
      </c>
      <c r="F95" s="48">
        <f>'DET'!X30</f>
        <v/>
      </c>
      <c r="G95" s="49">
        <f>'DET'!Z30</f>
        <v/>
      </c>
      <c r="H95" s="48">
        <f>'DET'!AA30</f>
        <v/>
      </c>
      <c r="I95" s="48">
        <f>'DET'!AB30</f>
        <v/>
      </c>
      <c r="J95" s="49">
        <f>'DET'!AD30</f>
        <v/>
      </c>
      <c r="K95" s="49">
        <f>'DET'!AE30</f>
        <v/>
      </c>
    </row>
    <row r="96">
      <c r="A96">
        <f>'DET'!B31</f>
        <v/>
      </c>
      <c r="B96" t="inlineStr">
        <is>
          <t>DET</t>
        </is>
      </c>
      <c r="C96" t="inlineStr">
        <is>
          <t>WR</t>
        </is>
      </c>
      <c r="D96" s="48">
        <f>'DET'!V31</f>
        <v/>
      </c>
      <c r="E96" s="48">
        <f>'DET'!W31</f>
        <v/>
      </c>
      <c r="F96" s="48">
        <f>'DET'!X31</f>
        <v/>
      </c>
      <c r="G96" s="49">
        <f>'DET'!Z31</f>
        <v/>
      </c>
      <c r="H96" s="48">
        <f>'DET'!AA31</f>
        <v/>
      </c>
      <c r="I96" s="48">
        <f>'DET'!AB31</f>
        <v/>
      </c>
      <c r="J96" s="49">
        <f>'DET'!AD31</f>
        <v/>
      </c>
      <c r="K96" s="49">
        <f>'DET'!AE31</f>
        <v/>
      </c>
    </row>
    <row r="97">
      <c r="A97">
        <f>'DET'!B32</f>
        <v/>
      </c>
      <c r="B97" t="inlineStr">
        <is>
          <t>DET</t>
        </is>
      </c>
      <c r="C97" t="inlineStr">
        <is>
          <t>WR</t>
        </is>
      </c>
      <c r="D97" s="48">
        <f>'DET'!V32</f>
        <v/>
      </c>
      <c r="E97" s="48">
        <f>'DET'!W32</f>
        <v/>
      </c>
      <c r="F97" s="48">
        <f>'DET'!X32</f>
        <v/>
      </c>
      <c r="G97" s="49">
        <f>'DET'!Z32</f>
        <v/>
      </c>
      <c r="H97" s="48">
        <f>'DET'!AA32</f>
        <v/>
      </c>
      <c r="I97" s="48">
        <f>'DET'!AB32</f>
        <v/>
      </c>
      <c r="J97" s="49">
        <f>'DET'!AD32</f>
        <v/>
      </c>
      <c r="K97" s="49">
        <f>'DET'!AE32</f>
        <v/>
      </c>
    </row>
    <row r="98">
      <c r="A98">
        <f>'DET'!B33</f>
        <v/>
      </c>
      <c r="B98" t="inlineStr">
        <is>
          <t>DET</t>
        </is>
      </c>
      <c r="C98" t="inlineStr">
        <is>
          <t>WR</t>
        </is>
      </c>
      <c r="D98" s="48">
        <f>'DET'!V33</f>
        <v/>
      </c>
      <c r="E98" s="48">
        <f>'DET'!W33</f>
        <v/>
      </c>
      <c r="F98" s="48">
        <f>'DET'!X33</f>
        <v/>
      </c>
      <c r="G98" s="49">
        <f>'DET'!Z33</f>
        <v/>
      </c>
      <c r="H98" s="48">
        <f>'DET'!AA33</f>
        <v/>
      </c>
      <c r="I98" s="48">
        <f>'DET'!AB33</f>
        <v/>
      </c>
      <c r="J98" s="49">
        <f>'DET'!AD33</f>
        <v/>
      </c>
      <c r="K98" s="49">
        <f>'DET'!AE33</f>
        <v/>
      </c>
    </row>
    <row r="99">
      <c r="A99">
        <f>'DET'!B34</f>
        <v/>
      </c>
      <c r="B99" t="inlineStr">
        <is>
          <t>DET</t>
        </is>
      </c>
      <c r="C99" t="inlineStr">
        <is>
          <t>WR</t>
        </is>
      </c>
      <c r="D99" s="48">
        <f>'DET'!V34</f>
        <v/>
      </c>
      <c r="E99" s="48">
        <f>'DET'!W34</f>
        <v/>
      </c>
      <c r="F99" s="48">
        <f>'DET'!X34</f>
        <v/>
      </c>
      <c r="G99" s="49">
        <f>'DET'!Z34</f>
        <v/>
      </c>
      <c r="H99" s="48">
        <f>'DET'!AA34</f>
        <v/>
      </c>
      <c r="I99" s="48">
        <f>'DET'!AB34</f>
        <v/>
      </c>
      <c r="J99" s="49">
        <f>'DET'!AD34</f>
        <v/>
      </c>
      <c r="K99" s="49">
        <f>'DET'!AE34</f>
        <v/>
      </c>
    </row>
    <row r="100">
      <c r="A100">
        <f>'DET'!B35</f>
        <v/>
      </c>
      <c r="B100" t="inlineStr">
        <is>
          <t>DET</t>
        </is>
      </c>
      <c r="C100" t="inlineStr">
        <is>
          <t>WR</t>
        </is>
      </c>
      <c r="D100" s="48">
        <f>'DET'!V35</f>
        <v/>
      </c>
      <c r="E100" s="48">
        <f>'DET'!W35</f>
        <v/>
      </c>
      <c r="F100" s="48">
        <f>'DET'!X35</f>
        <v/>
      </c>
      <c r="G100" s="49">
        <f>'DET'!Z35</f>
        <v/>
      </c>
      <c r="H100" s="48">
        <f>'DET'!AA35</f>
        <v/>
      </c>
      <c r="I100" s="48">
        <f>'DET'!AB35</f>
        <v/>
      </c>
      <c r="J100" s="49">
        <f>'DET'!AD35</f>
        <v/>
      </c>
      <c r="K100" s="49">
        <f>'DET'!AE35</f>
        <v/>
      </c>
    </row>
    <row r="101">
      <c r="A101">
        <f>'DET'!B36</f>
        <v/>
      </c>
      <c r="B101" t="inlineStr">
        <is>
          <t>DET</t>
        </is>
      </c>
      <c r="C101" t="inlineStr">
        <is>
          <t>WR</t>
        </is>
      </c>
      <c r="D101" s="48">
        <f>'DET'!V36</f>
        <v/>
      </c>
      <c r="E101" s="48">
        <f>'DET'!W36</f>
        <v/>
      </c>
      <c r="F101" s="48">
        <f>'DET'!X36</f>
        <v/>
      </c>
      <c r="G101" s="49">
        <f>'DET'!Z36</f>
        <v/>
      </c>
      <c r="H101" s="48">
        <f>'DET'!AA36</f>
        <v/>
      </c>
      <c r="I101" s="48">
        <f>'DET'!AB36</f>
        <v/>
      </c>
      <c r="J101" s="49">
        <f>'DET'!AD36</f>
        <v/>
      </c>
      <c r="K101" s="49">
        <f>'DET'!AE36</f>
        <v/>
      </c>
    </row>
    <row r="102">
      <c r="A102">
        <f>'GB'!B28</f>
        <v/>
      </c>
      <c r="B102" t="inlineStr">
        <is>
          <t>GB</t>
        </is>
      </c>
      <c r="C102" t="inlineStr">
        <is>
          <t>WR</t>
        </is>
      </c>
      <c r="D102" s="48">
        <f>'GB'!V28</f>
        <v/>
      </c>
      <c r="E102" s="48">
        <f>'GB'!W28</f>
        <v/>
      </c>
      <c r="F102" s="48">
        <f>'GB'!X28</f>
        <v/>
      </c>
      <c r="G102" s="49">
        <f>'GB'!Z28</f>
        <v/>
      </c>
      <c r="H102" s="48">
        <f>'GB'!AA28</f>
        <v/>
      </c>
      <c r="I102" s="48">
        <f>'GB'!AB28</f>
        <v/>
      </c>
      <c r="J102" s="49">
        <f>'GB'!AD28</f>
        <v/>
      </c>
      <c r="K102" s="49">
        <f>'GB'!AE28</f>
        <v/>
      </c>
    </row>
    <row r="103">
      <c r="A103">
        <f>'GB'!B29</f>
        <v/>
      </c>
      <c r="B103" t="inlineStr">
        <is>
          <t>GB</t>
        </is>
      </c>
      <c r="C103" t="inlineStr">
        <is>
          <t>WR</t>
        </is>
      </c>
      <c r="D103" s="48">
        <f>'GB'!V29</f>
        <v/>
      </c>
      <c r="E103" s="48">
        <f>'GB'!W29</f>
        <v/>
      </c>
      <c r="F103" s="48">
        <f>'GB'!X29</f>
        <v/>
      </c>
      <c r="G103" s="49">
        <f>'GB'!Z29</f>
        <v/>
      </c>
      <c r="H103" s="48">
        <f>'GB'!AA29</f>
        <v/>
      </c>
      <c r="I103" s="48">
        <f>'GB'!AB29</f>
        <v/>
      </c>
      <c r="J103" s="49">
        <f>'GB'!AD29</f>
        <v/>
      </c>
      <c r="K103" s="49">
        <f>'GB'!AE29</f>
        <v/>
      </c>
    </row>
    <row r="104">
      <c r="A104">
        <f>'GB'!B30</f>
        <v/>
      </c>
      <c r="B104" t="inlineStr">
        <is>
          <t>GB</t>
        </is>
      </c>
      <c r="C104" t="inlineStr">
        <is>
          <t>WR</t>
        </is>
      </c>
      <c r="D104" s="48">
        <f>'GB'!V30</f>
        <v/>
      </c>
      <c r="E104" s="48">
        <f>'GB'!W30</f>
        <v/>
      </c>
      <c r="F104" s="48">
        <f>'GB'!X30</f>
        <v/>
      </c>
      <c r="G104" s="49">
        <f>'GB'!Z30</f>
        <v/>
      </c>
      <c r="H104" s="48">
        <f>'GB'!AA30</f>
        <v/>
      </c>
      <c r="I104" s="48">
        <f>'GB'!AB30</f>
        <v/>
      </c>
      <c r="J104" s="49">
        <f>'GB'!AD30</f>
        <v/>
      </c>
      <c r="K104" s="49">
        <f>'GB'!AE30</f>
        <v/>
      </c>
    </row>
    <row r="105">
      <c r="A105">
        <f>'GB'!B31</f>
        <v/>
      </c>
      <c r="B105" t="inlineStr">
        <is>
          <t>GB</t>
        </is>
      </c>
      <c r="C105" t="inlineStr">
        <is>
          <t>WR</t>
        </is>
      </c>
      <c r="D105" s="48">
        <f>'GB'!V31</f>
        <v/>
      </c>
      <c r="E105" s="48">
        <f>'GB'!W31</f>
        <v/>
      </c>
      <c r="F105" s="48">
        <f>'GB'!X31</f>
        <v/>
      </c>
      <c r="G105" s="49">
        <f>'GB'!Z31</f>
        <v/>
      </c>
      <c r="H105" s="48">
        <f>'GB'!AA31</f>
        <v/>
      </c>
      <c r="I105" s="48">
        <f>'GB'!AB31</f>
        <v/>
      </c>
      <c r="J105" s="49">
        <f>'GB'!AD31</f>
        <v/>
      </c>
      <c r="K105" s="49">
        <f>'GB'!AE31</f>
        <v/>
      </c>
    </row>
    <row r="106">
      <c r="A106">
        <f>'GB'!B32</f>
        <v/>
      </c>
      <c r="B106" t="inlineStr">
        <is>
          <t>GB</t>
        </is>
      </c>
      <c r="C106" t="inlineStr">
        <is>
          <t>WR</t>
        </is>
      </c>
      <c r="D106" s="48">
        <f>'GB'!V32</f>
        <v/>
      </c>
      <c r="E106" s="48">
        <f>'GB'!W32</f>
        <v/>
      </c>
      <c r="F106" s="48">
        <f>'GB'!X32</f>
        <v/>
      </c>
      <c r="G106" s="49">
        <f>'GB'!Z32</f>
        <v/>
      </c>
      <c r="H106" s="48">
        <f>'GB'!AA32</f>
        <v/>
      </c>
      <c r="I106" s="48">
        <f>'GB'!AB32</f>
        <v/>
      </c>
      <c r="J106" s="49">
        <f>'GB'!AD32</f>
        <v/>
      </c>
      <c r="K106" s="49">
        <f>'GB'!AE32</f>
        <v/>
      </c>
    </row>
    <row r="107">
      <c r="A107">
        <f>'GB'!B33</f>
        <v/>
      </c>
      <c r="B107" t="inlineStr">
        <is>
          <t>GB</t>
        </is>
      </c>
      <c r="C107" t="inlineStr">
        <is>
          <t>WR</t>
        </is>
      </c>
      <c r="D107" s="48">
        <f>'GB'!V33</f>
        <v/>
      </c>
      <c r="E107" s="48">
        <f>'GB'!W33</f>
        <v/>
      </c>
      <c r="F107" s="48">
        <f>'GB'!X33</f>
        <v/>
      </c>
      <c r="G107" s="49">
        <f>'GB'!Z33</f>
        <v/>
      </c>
      <c r="H107" s="48">
        <f>'GB'!AA33</f>
        <v/>
      </c>
      <c r="I107" s="48">
        <f>'GB'!AB33</f>
        <v/>
      </c>
      <c r="J107" s="49">
        <f>'GB'!AD33</f>
        <v/>
      </c>
      <c r="K107" s="49">
        <f>'GB'!AE33</f>
        <v/>
      </c>
    </row>
    <row r="108">
      <c r="A108">
        <f>'GB'!B34</f>
        <v/>
      </c>
      <c r="B108" t="inlineStr">
        <is>
          <t>GB</t>
        </is>
      </c>
      <c r="C108" t="inlineStr">
        <is>
          <t>WR</t>
        </is>
      </c>
      <c r="D108" s="48">
        <f>'GB'!V34</f>
        <v/>
      </c>
      <c r="E108" s="48">
        <f>'GB'!W34</f>
        <v/>
      </c>
      <c r="F108" s="48">
        <f>'GB'!X34</f>
        <v/>
      </c>
      <c r="G108" s="49">
        <f>'GB'!Z34</f>
        <v/>
      </c>
      <c r="H108" s="48">
        <f>'GB'!AA34</f>
        <v/>
      </c>
      <c r="I108" s="48">
        <f>'GB'!AB34</f>
        <v/>
      </c>
      <c r="J108" s="49">
        <f>'GB'!AD34</f>
        <v/>
      </c>
      <c r="K108" s="49">
        <f>'GB'!AE34</f>
        <v/>
      </c>
    </row>
    <row r="109">
      <c r="A109">
        <f>'GB'!B35</f>
        <v/>
      </c>
      <c r="B109" t="inlineStr">
        <is>
          <t>GB</t>
        </is>
      </c>
      <c r="C109" t="inlineStr">
        <is>
          <t>WR</t>
        </is>
      </c>
      <c r="D109" s="48">
        <f>'GB'!V35</f>
        <v/>
      </c>
      <c r="E109" s="48">
        <f>'GB'!W35</f>
        <v/>
      </c>
      <c r="F109" s="48">
        <f>'GB'!X35</f>
        <v/>
      </c>
      <c r="G109" s="49">
        <f>'GB'!Z35</f>
        <v/>
      </c>
      <c r="H109" s="48">
        <f>'GB'!AA35</f>
        <v/>
      </c>
      <c r="I109" s="48">
        <f>'GB'!AB35</f>
        <v/>
      </c>
      <c r="J109" s="49">
        <f>'GB'!AD35</f>
        <v/>
      </c>
      <c r="K109" s="49">
        <f>'GB'!AE35</f>
        <v/>
      </c>
    </row>
    <row r="110">
      <c r="A110">
        <f>'GB'!B36</f>
        <v/>
      </c>
      <c r="B110" t="inlineStr">
        <is>
          <t>GB</t>
        </is>
      </c>
      <c r="C110" t="inlineStr">
        <is>
          <t>WR</t>
        </is>
      </c>
      <c r="D110" s="48">
        <f>'GB'!V36</f>
        <v/>
      </c>
      <c r="E110" s="48">
        <f>'GB'!W36</f>
        <v/>
      </c>
      <c r="F110" s="48">
        <f>'GB'!X36</f>
        <v/>
      </c>
      <c r="G110" s="49">
        <f>'GB'!Z36</f>
        <v/>
      </c>
      <c r="H110" s="48">
        <f>'GB'!AA36</f>
        <v/>
      </c>
      <c r="I110" s="48">
        <f>'GB'!AB36</f>
        <v/>
      </c>
      <c r="J110" s="49">
        <f>'GB'!AD36</f>
        <v/>
      </c>
      <c r="K110" s="49">
        <f>'GB'!AE36</f>
        <v/>
      </c>
    </row>
    <row r="111">
      <c r="A111">
        <f>'HOU'!B28</f>
        <v/>
      </c>
      <c r="B111" t="inlineStr">
        <is>
          <t>HOU</t>
        </is>
      </c>
      <c r="C111" t="inlineStr">
        <is>
          <t>WR</t>
        </is>
      </c>
      <c r="D111" s="48">
        <f>'HOU'!V28</f>
        <v/>
      </c>
      <c r="E111" s="48">
        <f>'HOU'!W28</f>
        <v/>
      </c>
      <c r="F111" s="48">
        <f>'HOU'!X28</f>
        <v/>
      </c>
      <c r="G111" s="49">
        <f>'HOU'!Z28</f>
        <v/>
      </c>
      <c r="H111" s="48">
        <f>'HOU'!AA28</f>
        <v/>
      </c>
      <c r="I111" s="48">
        <f>'HOU'!AB28</f>
        <v/>
      </c>
      <c r="J111" s="49">
        <f>'HOU'!AD28</f>
        <v/>
      </c>
      <c r="K111" s="49">
        <f>'HOU'!AE28</f>
        <v/>
      </c>
    </row>
    <row r="112">
      <c r="A112">
        <f>'HOU'!B29</f>
        <v/>
      </c>
      <c r="B112" t="inlineStr">
        <is>
          <t>HOU</t>
        </is>
      </c>
      <c r="C112" t="inlineStr">
        <is>
          <t>WR</t>
        </is>
      </c>
      <c r="D112" s="48">
        <f>'HOU'!V29</f>
        <v/>
      </c>
      <c r="E112" s="48">
        <f>'HOU'!W29</f>
        <v/>
      </c>
      <c r="F112" s="48">
        <f>'HOU'!X29</f>
        <v/>
      </c>
      <c r="G112" s="49">
        <f>'HOU'!Z29</f>
        <v/>
      </c>
      <c r="H112" s="48">
        <f>'HOU'!AA29</f>
        <v/>
      </c>
      <c r="I112" s="48">
        <f>'HOU'!AB29</f>
        <v/>
      </c>
      <c r="J112" s="49">
        <f>'HOU'!AD29</f>
        <v/>
      </c>
      <c r="K112" s="49">
        <f>'HOU'!AE29</f>
        <v/>
      </c>
    </row>
    <row r="113">
      <c r="A113">
        <f>'HOU'!B30</f>
        <v/>
      </c>
      <c r="B113" t="inlineStr">
        <is>
          <t>HOU</t>
        </is>
      </c>
      <c r="C113" t="inlineStr">
        <is>
          <t>WR</t>
        </is>
      </c>
      <c r="D113" s="48">
        <f>'HOU'!V30</f>
        <v/>
      </c>
      <c r="E113" s="48">
        <f>'HOU'!W30</f>
        <v/>
      </c>
      <c r="F113" s="48">
        <f>'HOU'!X30</f>
        <v/>
      </c>
      <c r="G113" s="49">
        <f>'HOU'!Z30</f>
        <v/>
      </c>
      <c r="H113" s="48">
        <f>'HOU'!AA30</f>
        <v/>
      </c>
      <c r="I113" s="48">
        <f>'HOU'!AB30</f>
        <v/>
      </c>
      <c r="J113" s="49">
        <f>'HOU'!AD30</f>
        <v/>
      </c>
      <c r="K113" s="49">
        <f>'HOU'!AE30</f>
        <v/>
      </c>
    </row>
    <row r="114">
      <c r="A114">
        <f>'HOU'!B31</f>
        <v/>
      </c>
      <c r="B114" t="inlineStr">
        <is>
          <t>HOU</t>
        </is>
      </c>
      <c r="C114" t="inlineStr">
        <is>
          <t>WR</t>
        </is>
      </c>
      <c r="D114" s="48">
        <f>'HOU'!V31</f>
        <v/>
      </c>
      <c r="E114" s="48">
        <f>'HOU'!W31</f>
        <v/>
      </c>
      <c r="F114" s="48">
        <f>'HOU'!X31</f>
        <v/>
      </c>
      <c r="G114" s="49">
        <f>'HOU'!Z31</f>
        <v/>
      </c>
      <c r="H114" s="48">
        <f>'HOU'!AA31</f>
        <v/>
      </c>
      <c r="I114" s="48">
        <f>'HOU'!AB31</f>
        <v/>
      </c>
      <c r="J114" s="49">
        <f>'HOU'!AD31</f>
        <v/>
      </c>
      <c r="K114" s="49">
        <f>'HOU'!AE31</f>
        <v/>
      </c>
    </row>
    <row r="115">
      <c r="A115">
        <f>'HOU'!B32</f>
        <v/>
      </c>
      <c r="B115" t="inlineStr">
        <is>
          <t>HOU</t>
        </is>
      </c>
      <c r="C115" t="inlineStr">
        <is>
          <t>WR</t>
        </is>
      </c>
      <c r="D115" s="48">
        <f>'HOU'!V32</f>
        <v/>
      </c>
      <c r="E115" s="48">
        <f>'HOU'!W32</f>
        <v/>
      </c>
      <c r="F115" s="48">
        <f>'HOU'!X32</f>
        <v/>
      </c>
      <c r="G115" s="49">
        <f>'HOU'!Z32</f>
        <v/>
      </c>
      <c r="H115" s="48">
        <f>'HOU'!AA32</f>
        <v/>
      </c>
      <c r="I115" s="48">
        <f>'HOU'!AB32</f>
        <v/>
      </c>
      <c r="J115" s="49">
        <f>'HOU'!AD32</f>
        <v/>
      </c>
      <c r="K115" s="49">
        <f>'HOU'!AE32</f>
        <v/>
      </c>
    </row>
    <row r="116">
      <c r="A116">
        <f>'HOU'!B33</f>
        <v/>
      </c>
      <c r="B116" t="inlineStr">
        <is>
          <t>HOU</t>
        </is>
      </c>
      <c r="C116" t="inlineStr">
        <is>
          <t>WR</t>
        </is>
      </c>
      <c r="D116" s="48">
        <f>'HOU'!V33</f>
        <v/>
      </c>
      <c r="E116" s="48">
        <f>'HOU'!W33</f>
        <v/>
      </c>
      <c r="F116" s="48">
        <f>'HOU'!X33</f>
        <v/>
      </c>
      <c r="G116" s="49">
        <f>'HOU'!Z33</f>
        <v/>
      </c>
      <c r="H116" s="48">
        <f>'HOU'!AA33</f>
        <v/>
      </c>
      <c r="I116" s="48">
        <f>'HOU'!AB33</f>
        <v/>
      </c>
      <c r="J116" s="49">
        <f>'HOU'!AD33</f>
        <v/>
      </c>
      <c r="K116" s="49">
        <f>'HOU'!AE33</f>
        <v/>
      </c>
    </row>
    <row r="117">
      <c r="A117">
        <f>'HOU'!B34</f>
        <v/>
      </c>
      <c r="B117" t="inlineStr">
        <is>
          <t>HOU</t>
        </is>
      </c>
      <c r="C117" t="inlineStr">
        <is>
          <t>WR</t>
        </is>
      </c>
      <c r="D117" s="48">
        <f>'HOU'!V34</f>
        <v/>
      </c>
      <c r="E117" s="48">
        <f>'HOU'!W34</f>
        <v/>
      </c>
      <c r="F117" s="48">
        <f>'HOU'!X34</f>
        <v/>
      </c>
      <c r="G117" s="49">
        <f>'HOU'!Z34</f>
        <v/>
      </c>
      <c r="H117" s="48">
        <f>'HOU'!AA34</f>
        <v/>
      </c>
      <c r="I117" s="48">
        <f>'HOU'!AB34</f>
        <v/>
      </c>
      <c r="J117" s="49">
        <f>'HOU'!AD34</f>
        <v/>
      </c>
      <c r="K117" s="49">
        <f>'HOU'!AE34</f>
        <v/>
      </c>
    </row>
    <row r="118">
      <c r="A118">
        <f>'HOU'!B35</f>
        <v/>
      </c>
      <c r="B118" t="inlineStr">
        <is>
          <t>HOU</t>
        </is>
      </c>
      <c r="C118" t="inlineStr">
        <is>
          <t>WR</t>
        </is>
      </c>
      <c r="D118" s="48">
        <f>'HOU'!V35</f>
        <v/>
      </c>
      <c r="E118" s="48">
        <f>'HOU'!W35</f>
        <v/>
      </c>
      <c r="F118" s="48">
        <f>'HOU'!X35</f>
        <v/>
      </c>
      <c r="G118" s="49">
        <f>'HOU'!Z35</f>
        <v/>
      </c>
      <c r="H118" s="48">
        <f>'HOU'!AA35</f>
        <v/>
      </c>
      <c r="I118" s="48">
        <f>'HOU'!AB35</f>
        <v/>
      </c>
      <c r="J118" s="49">
        <f>'HOU'!AD35</f>
        <v/>
      </c>
      <c r="K118" s="49">
        <f>'HOU'!AE35</f>
        <v/>
      </c>
    </row>
    <row r="119">
      <c r="A119">
        <f>'HOU'!B36</f>
        <v/>
      </c>
      <c r="B119" t="inlineStr">
        <is>
          <t>HOU</t>
        </is>
      </c>
      <c r="C119" t="inlineStr">
        <is>
          <t>WR</t>
        </is>
      </c>
      <c r="D119" s="48">
        <f>'HOU'!V36</f>
        <v/>
      </c>
      <c r="E119" s="48">
        <f>'HOU'!W36</f>
        <v/>
      </c>
      <c r="F119" s="48">
        <f>'HOU'!X36</f>
        <v/>
      </c>
      <c r="G119" s="49">
        <f>'HOU'!Z36</f>
        <v/>
      </c>
      <c r="H119" s="48">
        <f>'HOU'!AA36</f>
        <v/>
      </c>
      <c r="I119" s="48">
        <f>'HOU'!AB36</f>
        <v/>
      </c>
      <c r="J119" s="49">
        <f>'HOU'!AD36</f>
        <v/>
      </c>
      <c r="K119" s="49">
        <f>'HOU'!AE36</f>
        <v/>
      </c>
    </row>
    <row r="120">
      <c r="A120">
        <f>'IND'!B28</f>
        <v/>
      </c>
      <c r="B120" t="inlineStr">
        <is>
          <t>IND</t>
        </is>
      </c>
      <c r="C120" t="inlineStr">
        <is>
          <t>WR</t>
        </is>
      </c>
      <c r="D120" s="48">
        <f>'IND'!V28</f>
        <v/>
      </c>
      <c r="E120" s="48">
        <f>'IND'!W28</f>
        <v/>
      </c>
      <c r="F120" s="48">
        <f>'IND'!X28</f>
        <v/>
      </c>
      <c r="G120" s="49">
        <f>'IND'!Z28</f>
        <v/>
      </c>
      <c r="H120" s="48">
        <f>'IND'!AA28</f>
        <v/>
      </c>
      <c r="I120" s="48">
        <f>'IND'!AB28</f>
        <v/>
      </c>
      <c r="J120" s="49">
        <f>'IND'!AD28</f>
        <v/>
      </c>
      <c r="K120" s="49">
        <f>'IND'!AE28</f>
        <v/>
      </c>
    </row>
    <row r="121">
      <c r="A121">
        <f>'IND'!B29</f>
        <v/>
      </c>
      <c r="B121" t="inlineStr">
        <is>
          <t>IND</t>
        </is>
      </c>
      <c r="C121" t="inlineStr">
        <is>
          <t>WR</t>
        </is>
      </c>
      <c r="D121" s="48">
        <f>'IND'!V29</f>
        <v/>
      </c>
      <c r="E121" s="48">
        <f>'IND'!W29</f>
        <v/>
      </c>
      <c r="F121" s="48">
        <f>'IND'!X29</f>
        <v/>
      </c>
      <c r="G121" s="49">
        <f>'IND'!Z29</f>
        <v/>
      </c>
      <c r="H121" s="48">
        <f>'IND'!AA29</f>
        <v/>
      </c>
      <c r="I121" s="48">
        <f>'IND'!AB29</f>
        <v/>
      </c>
      <c r="J121" s="49">
        <f>'IND'!AD29</f>
        <v/>
      </c>
      <c r="K121" s="49">
        <f>'IND'!AE29</f>
        <v/>
      </c>
    </row>
    <row r="122">
      <c r="A122">
        <f>'IND'!B30</f>
        <v/>
      </c>
      <c r="B122" t="inlineStr">
        <is>
          <t>IND</t>
        </is>
      </c>
      <c r="C122" t="inlineStr">
        <is>
          <t>WR</t>
        </is>
      </c>
      <c r="D122" s="48">
        <f>'IND'!V30</f>
        <v/>
      </c>
      <c r="E122" s="48">
        <f>'IND'!W30</f>
        <v/>
      </c>
      <c r="F122" s="48">
        <f>'IND'!X30</f>
        <v/>
      </c>
      <c r="G122" s="49">
        <f>'IND'!Z30</f>
        <v/>
      </c>
      <c r="H122" s="48">
        <f>'IND'!AA30</f>
        <v/>
      </c>
      <c r="I122" s="48">
        <f>'IND'!AB30</f>
        <v/>
      </c>
      <c r="J122" s="49">
        <f>'IND'!AD30</f>
        <v/>
      </c>
      <c r="K122" s="49">
        <f>'IND'!AE30</f>
        <v/>
      </c>
    </row>
    <row r="123">
      <c r="A123">
        <f>'IND'!B31</f>
        <v/>
      </c>
      <c r="B123" t="inlineStr">
        <is>
          <t>IND</t>
        </is>
      </c>
      <c r="C123" t="inlineStr">
        <is>
          <t>WR</t>
        </is>
      </c>
      <c r="D123" s="48">
        <f>'IND'!V31</f>
        <v/>
      </c>
      <c r="E123" s="48">
        <f>'IND'!W31</f>
        <v/>
      </c>
      <c r="F123" s="48">
        <f>'IND'!X31</f>
        <v/>
      </c>
      <c r="G123" s="49">
        <f>'IND'!Z31</f>
        <v/>
      </c>
      <c r="H123" s="48">
        <f>'IND'!AA31</f>
        <v/>
      </c>
      <c r="I123" s="48">
        <f>'IND'!AB31</f>
        <v/>
      </c>
      <c r="J123" s="49">
        <f>'IND'!AD31</f>
        <v/>
      </c>
      <c r="K123" s="49">
        <f>'IND'!AE31</f>
        <v/>
      </c>
    </row>
    <row r="124">
      <c r="A124">
        <f>'IND'!B32</f>
        <v/>
      </c>
      <c r="B124" t="inlineStr">
        <is>
          <t>IND</t>
        </is>
      </c>
      <c r="C124" t="inlineStr">
        <is>
          <t>WR</t>
        </is>
      </c>
      <c r="D124" s="48">
        <f>'IND'!V32</f>
        <v/>
      </c>
      <c r="E124" s="48">
        <f>'IND'!W32</f>
        <v/>
      </c>
      <c r="F124" s="48">
        <f>'IND'!X32</f>
        <v/>
      </c>
      <c r="G124" s="49">
        <f>'IND'!Z32</f>
        <v/>
      </c>
      <c r="H124" s="48">
        <f>'IND'!AA32</f>
        <v/>
      </c>
      <c r="I124" s="48">
        <f>'IND'!AB32</f>
        <v/>
      </c>
      <c r="J124" s="49">
        <f>'IND'!AD32</f>
        <v/>
      </c>
      <c r="K124" s="49">
        <f>'IND'!AE32</f>
        <v/>
      </c>
    </row>
    <row r="125">
      <c r="A125">
        <f>'IND'!B33</f>
        <v/>
      </c>
      <c r="B125" t="inlineStr">
        <is>
          <t>IND</t>
        </is>
      </c>
      <c r="C125" t="inlineStr">
        <is>
          <t>WR</t>
        </is>
      </c>
      <c r="D125" s="48">
        <f>'IND'!V33</f>
        <v/>
      </c>
      <c r="E125" s="48">
        <f>'IND'!W33</f>
        <v/>
      </c>
      <c r="F125" s="48">
        <f>'IND'!X33</f>
        <v/>
      </c>
      <c r="G125" s="49">
        <f>'IND'!Z33</f>
        <v/>
      </c>
      <c r="H125" s="48">
        <f>'IND'!AA33</f>
        <v/>
      </c>
      <c r="I125" s="48">
        <f>'IND'!AB33</f>
        <v/>
      </c>
      <c r="J125" s="49">
        <f>'IND'!AD33</f>
        <v/>
      </c>
      <c r="K125" s="49">
        <f>'IND'!AE33</f>
        <v/>
      </c>
    </row>
    <row r="126">
      <c r="A126">
        <f>'IND'!B34</f>
        <v/>
      </c>
      <c r="B126" t="inlineStr">
        <is>
          <t>IND</t>
        </is>
      </c>
      <c r="C126" t="inlineStr">
        <is>
          <t>WR</t>
        </is>
      </c>
      <c r="D126" s="48">
        <f>'IND'!V34</f>
        <v/>
      </c>
      <c r="E126" s="48">
        <f>'IND'!W34</f>
        <v/>
      </c>
      <c r="F126" s="48">
        <f>'IND'!X34</f>
        <v/>
      </c>
      <c r="G126" s="49">
        <f>'IND'!Z34</f>
        <v/>
      </c>
      <c r="H126" s="48">
        <f>'IND'!AA34</f>
        <v/>
      </c>
      <c r="I126" s="48">
        <f>'IND'!AB34</f>
        <v/>
      </c>
      <c r="J126" s="49">
        <f>'IND'!AD34</f>
        <v/>
      </c>
      <c r="K126" s="49">
        <f>'IND'!AE34</f>
        <v/>
      </c>
    </row>
    <row r="127">
      <c r="A127">
        <f>'IND'!B35</f>
        <v/>
      </c>
      <c r="B127" t="inlineStr">
        <is>
          <t>IND</t>
        </is>
      </c>
      <c r="C127" t="inlineStr">
        <is>
          <t>WR</t>
        </is>
      </c>
      <c r="D127" s="48">
        <f>'IND'!V35</f>
        <v/>
      </c>
      <c r="E127" s="48">
        <f>'IND'!W35</f>
        <v/>
      </c>
      <c r="F127" s="48">
        <f>'IND'!X35</f>
        <v/>
      </c>
      <c r="G127" s="49">
        <f>'IND'!Z35</f>
        <v/>
      </c>
      <c r="H127" s="48">
        <f>'IND'!AA35</f>
        <v/>
      </c>
      <c r="I127" s="48">
        <f>'IND'!AB35</f>
        <v/>
      </c>
      <c r="J127" s="49">
        <f>'IND'!AD35</f>
        <v/>
      </c>
      <c r="K127" s="49">
        <f>'IND'!AE35</f>
        <v/>
      </c>
    </row>
    <row r="128">
      <c r="A128">
        <f>'IND'!B36</f>
        <v/>
      </c>
      <c r="B128" t="inlineStr">
        <is>
          <t>IND</t>
        </is>
      </c>
      <c r="C128" t="inlineStr">
        <is>
          <t>WR</t>
        </is>
      </c>
      <c r="D128" s="48">
        <f>'IND'!V36</f>
        <v/>
      </c>
      <c r="E128" s="48">
        <f>'IND'!W36</f>
        <v/>
      </c>
      <c r="F128" s="48">
        <f>'IND'!X36</f>
        <v/>
      </c>
      <c r="G128" s="49">
        <f>'IND'!Z36</f>
        <v/>
      </c>
      <c r="H128" s="48">
        <f>'IND'!AA36</f>
        <v/>
      </c>
      <c r="I128" s="48">
        <f>'IND'!AB36</f>
        <v/>
      </c>
      <c r="J128" s="49">
        <f>'IND'!AD36</f>
        <v/>
      </c>
      <c r="K128" s="49">
        <f>'IND'!AE36</f>
        <v/>
      </c>
    </row>
    <row r="129">
      <c r="A129">
        <f>'JAC'!B28</f>
        <v/>
      </c>
      <c r="B129" t="inlineStr">
        <is>
          <t>JAC</t>
        </is>
      </c>
      <c r="C129" t="inlineStr">
        <is>
          <t>WR</t>
        </is>
      </c>
      <c r="D129" s="48">
        <f>'JAC'!V28</f>
        <v/>
      </c>
      <c r="E129" s="48">
        <f>'JAC'!W28</f>
        <v/>
      </c>
      <c r="F129" s="48">
        <f>'JAC'!X28</f>
        <v/>
      </c>
      <c r="G129" s="49">
        <f>'JAC'!Z28</f>
        <v/>
      </c>
      <c r="H129" s="48">
        <f>'JAC'!AA28</f>
        <v/>
      </c>
      <c r="I129" s="48">
        <f>'JAC'!AB28</f>
        <v/>
      </c>
      <c r="J129" s="49">
        <f>'JAC'!AD28</f>
        <v/>
      </c>
      <c r="K129" s="49">
        <f>'JAC'!AE28</f>
        <v/>
      </c>
    </row>
    <row r="130">
      <c r="A130">
        <f>'JAC'!B29</f>
        <v/>
      </c>
      <c r="B130" t="inlineStr">
        <is>
          <t>JAC</t>
        </is>
      </c>
      <c r="C130" t="inlineStr">
        <is>
          <t>WR</t>
        </is>
      </c>
      <c r="D130" s="48">
        <f>'JAC'!V29</f>
        <v/>
      </c>
      <c r="E130" s="48">
        <f>'JAC'!W29</f>
        <v/>
      </c>
      <c r="F130" s="48">
        <f>'JAC'!X29</f>
        <v/>
      </c>
      <c r="G130" s="49">
        <f>'JAC'!Z29</f>
        <v/>
      </c>
      <c r="H130" s="48">
        <f>'JAC'!AA29</f>
        <v/>
      </c>
      <c r="I130" s="48">
        <f>'JAC'!AB29</f>
        <v/>
      </c>
      <c r="J130" s="49">
        <f>'JAC'!AD29</f>
        <v/>
      </c>
      <c r="K130" s="49">
        <f>'JAC'!AE29</f>
        <v/>
      </c>
    </row>
    <row r="131">
      <c r="A131">
        <f>'JAC'!B30</f>
        <v/>
      </c>
      <c r="B131" t="inlineStr">
        <is>
          <t>JAC</t>
        </is>
      </c>
      <c r="C131" t="inlineStr">
        <is>
          <t>WR</t>
        </is>
      </c>
      <c r="D131" s="48">
        <f>'JAC'!V30</f>
        <v/>
      </c>
      <c r="E131" s="48">
        <f>'JAC'!W30</f>
        <v/>
      </c>
      <c r="F131" s="48">
        <f>'JAC'!X30</f>
        <v/>
      </c>
      <c r="G131" s="49">
        <f>'JAC'!Z30</f>
        <v/>
      </c>
      <c r="H131" s="48">
        <f>'JAC'!AA30</f>
        <v/>
      </c>
      <c r="I131" s="48">
        <f>'JAC'!AB30</f>
        <v/>
      </c>
      <c r="J131" s="49">
        <f>'JAC'!AD30</f>
        <v/>
      </c>
      <c r="K131" s="49">
        <f>'JAC'!AE30</f>
        <v/>
      </c>
    </row>
    <row r="132">
      <c r="A132">
        <f>'JAC'!B31</f>
        <v/>
      </c>
      <c r="B132" t="inlineStr">
        <is>
          <t>JAC</t>
        </is>
      </c>
      <c r="C132" t="inlineStr">
        <is>
          <t>WR</t>
        </is>
      </c>
      <c r="D132" s="48">
        <f>'JAC'!V31</f>
        <v/>
      </c>
      <c r="E132" s="48">
        <f>'JAC'!W31</f>
        <v/>
      </c>
      <c r="F132" s="48">
        <f>'JAC'!X31</f>
        <v/>
      </c>
      <c r="G132" s="49">
        <f>'JAC'!Z31</f>
        <v/>
      </c>
      <c r="H132" s="48">
        <f>'JAC'!AA31</f>
        <v/>
      </c>
      <c r="I132" s="48">
        <f>'JAC'!AB31</f>
        <v/>
      </c>
      <c r="J132" s="49">
        <f>'JAC'!AD31</f>
        <v/>
      </c>
      <c r="K132" s="49">
        <f>'JAC'!AE31</f>
        <v/>
      </c>
    </row>
    <row r="133">
      <c r="A133">
        <f>'JAC'!B32</f>
        <v/>
      </c>
      <c r="B133" t="inlineStr">
        <is>
          <t>JAC</t>
        </is>
      </c>
      <c r="C133" t="inlineStr">
        <is>
          <t>WR</t>
        </is>
      </c>
      <c r="D133" s="48">
        <f>'JAC'!V32</f>
        <v/>
      </c>
      <c r="E133" s="48">
        <f>'JAC'!W32</f>
        <v/>
      </c>
      <c r="F133" s="48">
        <f>'JAC'!X32</f>
        <v/>
      </c>
      <c r="G133" s="49">
        <f>'JAC'!Z32</f>
        <v/>
      </c>
      <c r="H133" s="48">
        <f>'JAC'!AA32</f>
        <v/>
      </c>
      <c r="I133" s="48">
        <f>'JAC'!AB32</f>
        <v/>
      </c>
      <c r="J133" s="49">
        <f>'JAC'!AD32</f>
        <v/>
      </c>
      <c r="K133" s="49">
        <f>'JAC'!AE32</f>
        <v/>
      </c>
    </row>
    <row r="134">
      <c r="A134">
        <f>'JAC'!B33</f>
        <v/>
      </c>
      <c r="B134" t="inlineStr">
        <is>
          <t>JAC</t>
        </is>
      </c>
      <c r="C134" t="inlineStr">
        <is>
          <t>WR</t>
        </is>
      </c>
      <c r="D134" s="48">
        <f>'JAC'!V33</f>
        <v/>
      </c>
      <c r="E134" s="48">
        <f>'JAC'!W33</f>
        <v/>
      </c>
      <c r="F134" s="48">
        <f>'JAC'!X33</f>
        <v/>
      </c>
      <c r="G134" s="49">
        <f>'JAC'!Z33</f>
        <v/>
      </c>
      <c r="H134" s="48">
        <f>'JAC'!AA33</f>
        <v/>
      </c>
      <c r="I134" s="48">
        <f>'JAC'!AB33</f>
        <v/>
      </c>
      <c r="J134" s="49">
        <f>'JAC'!AD33</f>
        <v/>
      </c>
      <c r="K134" s="49">
        <f>'JAC'!AE33</f>
        <v/>
      </c>
    </row>
    <row r="135">
      <c r="A135">
        <f>'JAC'!B34</f>
        <v/>
      </c>
      <c r="B135" t="inlineStr">
        <is>
          <t>JAC</t>
        </is>
      </c>
      <c r="C135" t="inlineStr">
        <is>
          <t>WR</t>
        </is>
      </c>
      <c r="D135" s="48">
        <f>'JAC'!V34</f>
        <v/>
      </c>
      <c r="E135" s="48">
        <f>'JAC'!W34</f>
        <v/>
      </c>
      <c r="F135" s="48">
        <f>'JAC'!X34</f>
        <v/>
      </c>
      <c r="G135" s="49">
        <f>'JAC'!Z34</f>
        <v/>
      </c>
      <c r="H135" s="48">
        <f>'JAC'!AA34</f>
        <v/>
      </c>
      <c r="I135" s="48">
        <f>'JAC'!AB34</f>
        <v/>
      </c>
      <c r="J135" s="49">
        <f>'JAC'!AD34</f>
        <v/>
      </c>
      <c r="K135" s="49">
        <f>'JAC'!AE34</f>
        <v/>
      </c>
    </row>
    <row r="136">
      <c r="A136">
        <f>'JAC'!B35</f>
        <v/>
      </c>
      <c r="B136" t="inlineStr">
        <is>
          <t>JAC</t>
        </is>
      </c>
      <c r="C136" t="inlineStr">
        <is>
          <t>WR</t>
        </is>
      </c>
      <c r="D136" s="48">
        <f>'JAC'!V35</f>
        <v/>
      </c>
      <c r="E136" s="48">
        <f>'JAC'!W35</f>
        <v/>
      </c>
      <c r="F136" s="48">
        <f>'JAC'!X35</f>
        <v/>
      </c>
      <c r="G136" s="49">
        <f>'JAC'!Z35</f>
        <v/>
      </c>
      <c r="H136" s="48">
        <f>'JAC'!AA35</f>
        <v/>
      </c>
      <c r="I136" s="48">
        <f>'JAC'!AB35</f>
        <v/>
      </c>
      <c r="J136" s="49">
        <f>'JAC'!AD35</f>
        <v/>
      </c>
      <c r="K136" s="49">
        <f>'JAC'!AE35</f>
        <v/>
      </c>
    </row>
    <row r="137">
      <c r="A137">
        <f>'JAC'!B36</f>
        <v/>
      </c>
      <c r="B137" t="inlineStr">
        <is>
          <t>JAC</t>
        </is>
      </c>
      <c r="C137" t="inlineStr">
        <is>
          <t>WR</t>
        </is>
      </c>
      <c r="D137" s="48">
        <f>'JAC'!V36</f>
        <v/>
      </c>
      <c r="E137" s="48">
        <f>'JAC'!W36</f>
        <v/>
      </c>
      <c r="F137" s="48">
        <f>'JAC'!X36</f>
        <v/>
      </c>
      <c r="G137" s="49">
        <f>'JAC'!Z36</f>
        <v/>
      </c>
      <c r="H137" s="48">
        <f>'JAC'!AA36</f>
        <v/>
      </c>
      <c r="I137" s="48">
        <f>'JAC'!AB36</f>
        <v/>
      </c>
      <c r="J137" s="49">
        <f>'JAC'!AD36</f>
        <v/>
      </c>
      <c r="K137" s="49">
        <f>'JAC'!AE36</f>
        <v/>
      </c>
    </row>
    <row r="138">
      <c r="A138">
        <f>'KC'!B28</f>
        <v/>
      </c>
      <c r="B138" t="inlineStr">
        <is>
          <t>KC</t>
        </is>
      </c>
      <c r="C138" t="inlineStr">
        <is>
          <t>WR</t>
        </is>
      </c>
      <c r="D138" s="48">
        <f>'KC'!V28</f>
        <v/>
      </c>
      <c r="E138" s="48">
        <f>'KC'!W28</f>
        <v/>
      </c>
      <c r="F138" s="48">
        <f>'KC'!X28</f>
        <v/>
      </c>
      <c r="G138" s="49">
        <f>'KC'!Z28</f>
        <v/>
      </c>
      <c r="H138" s="48">
        <f>'KC'!AA28</f>
        <v/>
      </c>
      <c r="I138" s="48">
        <f>'KC'!AB28</f>
        <v/>
      </c>
      <c r="J138" s="49">
        <f>'KC'!AD28</f>
        <v/>
      </c>
      <c r="K138" s="49">
        <f>'KC'!AE28</f>
        <v/>
      </c>
    </row>
    <row r="139">
      <c r="A139">
        <f>'KC'!B29</f>
        <v/>
      </c>
      <c r="B139" t="inlineStr">
        <is>
          <t>KC</t>
        </is>
      </c>
      <c r="C139" t="inlineStr">
        <is>
          <t>WR</t>
        </is>
      </c>
      <c r="D139" s="48">
        <f>'KC'!V29</f>
        <v/>
      </c>
      <c r="E139" s="48">
        <f>'KC'!W29</f>
        <v/>
      </c>
      <c r="F139" s="48">
        <f>'KC'!X29</f>
        <v/>
      </c>
      <c r="G139" s="49">
        <f>'KC'!Z29</f>
        <v/>
      </c>
      <c r="H139" s="48">
        <f>'KC'!AA29</f>
        <v/>
      </c>
      <c r="I139" s="48">
        <f>'KC'!AB29</f>
        <v/>
      </c>
      <c r="J139" s="49">
        <f>'KC'!AD29</f>
        <v/>
      </c>
      <c r="K139" s="49">
        <f>'KC'!AE29</f>
        <v/>
      </c>
    </row>
    <row r="140">
      <c r="A140">
        <f>'KC'!B30</f>
        <v/>
      </c>
      <c r="B140" t="inlineStr">
        <is>
          <t>KC</t>
        </is>
      </c>
      <c r="C140" t="inlineStr">
        <is>
          <t>WR</t>
        </is>
      </c>
      <c r="D140" s="48">
        <f>'KC'!V30</f>
        <v/>
      </c>
      <c r="E140" s="48">
        <f>'KC'!W30</f>
        <v/>
      </c>
      <c r="F140" s="48">
        <f>'KC'!X30</f>
        <v/>
      </c>
      <c r="G140" s="49">
        <f>'KC'!Z30</f>
        <v/>
      </c>
      <c r="H140" s="48">
        <f>'KC'!AA30</f>
        <v/>
      </c>
      <c r="I140" s="48">
        <f>'KC'!AB30</f>
        <v/>
      </c>
      <c r="J140" s="49">
        <f>'KC'!AD30</f>
        <v/>
      </c>
      <c r="K140" s="49">
        <f>'KC'!AE30</f>
        <v/>
      </c>
    </row>
    <row r="141">
      <c r="A141">
        <f>'KC'!B31</f>
        <v/>
      </c>
      <c r="B141" t="inlineStr">
        <is>
          <t>KC</t>
        </is>
      </c>
      <c r="C141" t="inlineStr">
        <is>
          <t>WR</t>
        </is>
      </c>
      <c r="D141" s="48">
        <f>'KC'!V31</f>
        <v/>
      </c>
      <c r="E141" s="48">
        <f>'KC'!W31</f>
        <v/>
      </c>
      <c r="F141" s="48">
        <f>'KC'!X31</f>
        <v/>
      </c>
      <c r="G141" s="49">
        <f>'KC'!Z31</f>
        <v/>
      </c>
      <c r="H141" s="48">
        <f>'KC'!AA31</f>
        <v/>
      </c>
      <c r="I141" s="48">
        <f>'KC'!AB31</f>
        <v/>
      </c>
      <c r="J141" s="49">
        <f>'KC'!AD31</f>
        <v/>
      </c>
      <c r="K141" s="49">
        <f>'KC'!AE31</f>
        <v/>
      </c>
    </row>
    <row r="142">
      <c r="A142">
        <f>'KC'!B32</f>
        <v/>
      </c>
      <c r="B142" t="inlineStr">
        <is>
          <t>KC</t>
        </is>
      </c>
      <c r="C142" t="inlineStr">
        <is>
          <t>WR</t>
        </is>
      </c>
      <c r="D142" s="48">
        <f>'KC'!V32</f>
        <v/>
      </c>
      <c r="E142" s="48">
        <f>'KC'!W32</f>
        <v/>
      </c>
      <c r="F142" s="48">
        <f>'KC'!X32</f>
        <v/>
      </c>
      <c r="G142" s="49">
        <f>'KC'!Z32</f>
        <v/>
      </c>
      <c r="H142" s="48">
        <f>'KC'!AA32</f>
        <v/>
      </c>
      <c r="I142" s="48">
        <f>'KC'!AB32</f>
        <v/>
      </c>
      <c r="J142" s="49">
        <f>'KC'!AD32</f>
        <v/>
      </c>
      <c r="K142" s="49">
        <f>'KC'!AE32</f>
        <v/>
      </c>
    </row>
    <row r="143">
      <c r="A143">
        <f>'KC'!B33</f>
        <v/>
      </c>
      <c r="B143" t="inlineStr">
        <is>
          <t>KC</t>
        </is>
      </c>
      <c r="C143" t="inlineStr">
        <is>
          <t>WR</t>
        </is>
      </c>
      <c r="D143" s="48">
        <f>'KC'!V33</f>
        <v/>
      </c>
      <c r="E143" s="48">
        <f>'KC'!W33</f>
        <v/>
      </c>
      <c r="F143" s="48">
        <f>'KC'!X33</f>
        <v/>
      </c>
      <c r="G143" s="49">
        <f>'KC'!Z33</f>
        <v/>
      </c>
      <c r="H143" s="48">
        <f>'KC'!AA33</f>
        <v/>
      </c>
      <c r="I143" s="48">
        <f>'KC'!AB33</f>
        <v/>
      </c>
      <c r="J143" s="49">
        <f>'KC'!AD33</f>
        <v/>
      </c>
      <c r="K143" s="49">
        <f>'KC'!AE33</f>
        <v/>
      </c>
    </row>
    <row r="144">
      <c r="A144">
        <f>'KC'!B34</f>
        <v/>
      </c>
      <c r="B144" t="inlineStr">
        <is>
          <t>KC</t>
        </is>
      </c>
      <c r="C144" t="inlineStr">
        <is>
          <t>WR</t>
        </is>
      </c>
      <c r="D144" s="48">
        <f>'KC'!V34</f>
        <v/>
      </c>
      <c r="E144" s="48">
        <f>'KC'!W34</f>
        <v/>
      </c>
      <c r="F144" s="48">
        <f>'KC'!X34</f>
        <v/>
      </c>
      <c r="G144" s="49">
        <f>'KC'!Z34</f>
        <v/>
      </c>
      <c r="H144" s="48">
        <f>'KC'!AA34</f>
        <v/>
      </c>
      <c r="I144" s="48">
        <f>'KC'!AB34</f>
        <v/>
      </c>
      <c r="J144" s="49">
        <f>'KC'!AD34</f>
        <v/>
      </c>
      <c r="K144" s="49">
        <f>'KC'!AE34</f>
        <v/>
      </c>
    </row>
    <row r="145">
      <c r="A145">
        <f>'KC'!B35</f>
        <v/>
      </c>
      <c r="B145" t="inlineStr">
        <is>
          <t>KC</t>
        </is>
      </c>
      <c r="C145" t="inlineStr">
        <is>
          <t>WR</t>
        </is>
      </c>
      <c r="D145" s="48">
        <f>'KC'!V35</f>
        <v/>
      </c>
      <c r="E145" s="48">
        <f>'KC'!W35</f>
        <v/>
      </c>
      <c r="F145" s="48">
        <f>'KC'!X35</f>
        <v/>
      </c>
      <c r="G145" s="49">
        <f>'KC'!Z35</f>
        <v/>
      </c>
      <c r="H145" s="48">
        <f>'KC'!AA35</f>
        <v/>
      </c>
      <c r="I145" s="48">
        <f>'KC'!AB35</f>
        <v/>
      </c>
      <c r="J145" s="49">
        <f>'KC'!AD35</f>
        <v/>
      </c>
      <c r="K145" s="49">
        <f>'KC'!AE35</f>
        <v/>
      </c>
    </row>
    <row r="146">
      <c r="A146">
        <f>'KC'!B36</f>
        <v/>
      </c>
      <c r="B146" t="inlineStr">
        <is>
          <t>KC</t>
        </is>
      </c>
      <c r="C146" t="inlineStr">
        <is>
          <t>WR</t>
        </is>
      </c>
      <c r="D146" s="48">
        <f>'KC'!V36</f>
        <v/>
      </c>
      <c r="E146" s="48">
        <f>'KC'!W36</f>
        <v/>
      </c>
      <c r="F146" s="48">
        <f>'KC'!X36</f>
        <v/>
      </c>
      <c r="G146" s="49">
        <f>'KC'!Z36</f>
        <v/>
      </c>
      <c r="H146" s="48">
        <f>'KC'!AA36</f>
        <v/>
      </c>
      <c r="I146" s="48">
        <f>'KC'!AB36</f>
        <v/>
      </c>
      <c r="J146" s="49">
        <f>'KC'!AD36</f>
        <v/>
      </c>
      <c r="K146" s="49">
        <f>'KC'!AE36</f>
        <v/>
      </c>
    </row>
    <row r="147">
      <c r="A147">
        <f>'LAC'!B28</f>
        <v/>
      </c>
      <c r="B147" t="inlineStr">
        <is>
          <t>LAC</t>
        </is>
      </c>
      <c r="C147" t="inlineStr">
        <is>
          <t>WR</t>
        </is>
      </c>
      <c r="D147" s="48">
        <f>'LAC'!V28</f>
        <v/>
      </c>
      <c r="E147" s="48">
        <f>'LAC'!W28</f>
        <v/>
      </c>
      <c r="F147" s="48">
        <f>'LAC'!X28</f>
        <v/>
      </c>
      <c r="G147" s="49">
        <f>'LAC'!Z28</f>
        <v/>
      </c>
      <c r="H147" s="48">
        <f>'LAC'!AA28</f>
        <v/>
      </c>
      <c r="I147" s="48">
        <f>'LAC'!AB28</f>
        <v/>
      </c>
      <c r="J147" s="49">
        <f>'LAC'!AD28</f>
        <v/>
      </c>
      <c r="K147" s="49">
        <f>'LAC'!AE28</f>
        <v/>
      </c>
    </row>
    <row r="148">
      <c r="A148">
        <f>'LAC'!B29</f>
        <v/>
      </c>
      <c r="B148" t="inlineStr">
        <is>
          <t>LAC</t>
        </is>
      </c>
      <c r="C148" t="inlineStr">
        <is>
          <t>WR</t>
        </is>
      </c>
      <c r="D148" s="48">
        <f>'LAC'!V29</f>
        <v/>
      </c>
      <c r="E148" s="48">
        <f>'LAC'!W29</f>
        <v/>
      </c>
      <c r="F148" s="48">
        <f>'LAC'!X29</f>
        <v/>
      </c>
      <c r="G148" s="49">
        <f>'LAC'!Z29</f>
        <v/>
      </c>
      <c r="H148" s="48">
        <f>'LAC'!AA29</f>
        <v/>
      </c>
      <c r="I148" s="48">
        <f>'LAC'!AB29</f>
        <v/>
      </c>
      <c r="J148" s="49">
        <f>'LAC'!AD29</f>
        <v/>
      </c>
      <c r="K148" s="49">
        <f>'LAC'!AE29</f>
        <v/>
      </c>
    </row>
    <row r="149">
      <c r="A149">
        <f>'LAC'!B30</f>
        <v/>
      </c>
      <c r="B149" t="inlineStr">
        <is>
          <t>LAC</t>
        </is>
      </c>
      <c r="C149" t="inlineStr">
        <is>
          <t>WR</t>
        </is>
      </c>
      <c r="D149" s="48">
        <f>'LAC'!V30</f>
        <v/>
      </c>
      <c r="E149" s="48">
        <f>'LAC'!W30</f>
        <v/>
      </c>
      <c r="F149" s="48">
        <f>'LAC'!X30</f>
        <v/>
      </c>
      <c r="G149" s="49">
        <f>'LAC'!Z30</f>
        <v/>
      </c>
      <c r="H149" s="48">
        <f>'LAC'!AA30</f>
        <v/>
      </c>
      <c r="I149" s="48">
        <f>'LAC'!AB30</f>
        <v/>
      </c>
      <c r="J149" s="49">
        <f>'LAC'!AD30</f>
        <v/>
      </c>
      <c r="K149" s="49">
        <f>'LAC'!AE30</f>
        <v/>
      </c>
    </row>
    <row r="150">
      <c r="A150">
        <f>'LAC'!B31</f>
        <v/>
      </c>
      <c r="B150" t="inlineStr">
        <is>
          <t>LAC</t>
        </is>
      </c>
      <c r="C150" t="inlineStr">
        <is>
          <t>WR</t>
        </is>
      </c>
      <c r="D150" s="48">
        <f>'LAC'!V31</f>
        <v/>
      </c>
      <c r="E150" s="48">
        <f>'LAC'!W31</f>
        <v/>
      </c>
      <c r="F150" s="48">
        <f>'LAC'!X31</f>
        <v/>
      </c>
      <c r="G150" s="49">
        <f>'LAC'!Z31</f>
        <v/>
      </c>
      <c r="H150" s="48">
        <f>'LAC'!AA31</f>
        <v/>
      </c>
      <c r="I150" s="48">
        <f>'LAC'!AB31</f>
        <v/>
      </c>
      <c r="J150" s="49">
        <f>'LAC'!AD31</f>
        <v/>
      </c>
      <c r="K150" s="49">
        <f>'LAC'!AE31</f>
        <v/>
      </c>
    </row>
    <row r="151">
      <c r="A151">
        <f>'LAC'!B32</f>
        <v/>
      </c>
      <c r="B151" t="inlineStr">
        <is>
          <t>LAC</t>
        </is>
      </c>
      <c r="C151" t="inlineStr">
        <is>
          <t>WR</t>
        </is>
      </c>
      <c r="D151" s="48">
        <f>'LAC'!V32</f>
        <v/>
      </c>
      <c r="E151" s="48">
        <f>'LAC'!W32</f>
        <v/>
      </c>
      <c r="F151" s="48">
        <f>'LAC'!X32</f>
        <v/>
      </c>
      <c r="G151" s="49">
        <f>'LAC'!Z32</f>
        <v/>
      </c>
      <c r="H151" s="48">
        <f>'LAC'!AA32</f>
        <v/>
      </c>
      <c r="I151" s="48">
        <f>'LAC'!AB32</f>
        <v/>
      </c>
      <c r="J151" s="49">
        <f>'LAC'!AD32</f>
        <v/>
      </c>
      <c r="K151" s="49">
        <f>'LAC'!AE32</f>
        <v/>
      </c>
    </row>
    <row r="152">
      <c r="A152">
        <f>'LAC'!B33</f>
        <v/>
      </c>
      <c r="B152" t="inlineStr">
        <is>
          <t>LAC</t>
        </is>
      </c>
      <c r="C152" t="inlineStr">
        <is>
          <t>WR</t>
        </is>
      </c>
      <c r="D152" s="48">
        <f>'LAC'!V33</f>
        <v/>
      </c>
      <c r="E152" s="48">
        <f>'LAC'!W33</f>
        <v/>
      </c>
      <c r="F152" s="48">
        <f>'LAC'!X33</f>
        <v/>
      </c>
      <c r="G152" s="49">
        <f>'LAC'!Z33</f>
        <v/>
      </c>
      <c r="H152" s="48">
        <f>'LAC'!AA33</f>
        <v/>
      </c>
      <c r="I152" s="48">
        <f>'LAC'!AB33</f>
        <v/>
      </c>
      <c r="J152" s="49">
        <f>'LAC'!AD33</f>
        <v/>
      </c>
      <c r="K152" s="49">
        <f>'LAC'!AE33</f>
        <v/>
      </c>
    </row>
    <row r="153">
      <c r="A153">
        <f>'LAC'!B34</f>
        <v/>
      </c>
      <c r="B153" t="inlineStr">
        <is>
          <t>LAC</t>
        </is>
      </c>
      <c r="C153" t="inlineStr">
        <is>
          <t>WR</t>
        </is>
      </c>
      <c r="D153" s="48">
        <f>'LAC'!V34</f>
        <v/>
      </c>
      <c r="E153" s="48">
        <f>'LAC'!W34</f>
        <v/>
      </c>
      <c r="F153" s="48">
        <f>'LAC'!X34</f>
        <v/>
      </c>
      <c r="G153" s="49">
        <f>'LAC'!Z34</f>
        <v/>
      </c>
      <c r="H153" s="48">
        <f>'LAC'!AA34</f>
        <v/>
      </c>
      <c r="I153" s="48">
        <f>'LAC'!AB34</f>
        <v/>
      </c>
      <c r="J153" s="49">
        <f>'LAC'!AD34</f>
        <v/>
      </c>
      <c r="K153" s="49">
        <f>'LAC'!AE34</f>
        <v/>
      </c>
    </row>
    <row r="154">
      <c r="A154">
        <f>'LAC'!B35</f>
        <v/>
      </c>
      <c r="B154" t="inlineStr">
        <is>
          <t>LAC</t>
        </is>
      </c>
      <c r="C154" t="inlineStr">
        <is>
          <t>WR</t>
        </is>
      </c>
      <c r="D154" s="48">
        <f>'LAC'!V35</f>
        <v/>
      </c>
      <c r="E154" s="48">
        <f>'LAC'!W35</f>
        <v/>
      </c>
      <c r="F154" s="48">
        <f>'LAC'!X35</f>
        <v/>
      </c>
      <c r="G154" s="49">
        <f>'LAC'!Z35</f>
        <v/>
      </c>
      <c r="H154" s="48">
        <f>'LAC'!AA35</f>
        <v/>
      </c>
      <c r="I154" s="48">
        <f>'LAC'!AB35</f>
        <v/>
      </c>
      <c r="J154" s="49">
        <f>'LAC'!AD35</f>
        <v/>
      </c>
      <c r="K154" s="49">
        <f>'LAC'!AE35</f>
        <v/>
      </c>
    </row>
    <row r="155">
      <c r="A155">
        <f>'LAC'!B36</f>
        <v/>
      </c>
      <c r="B155" t="inlineStr">
        <is>
          <t>LAC</t>
        </is>
      </c>
      <c r="C155" t="inlineStr">
        <is>
          <t>WR</t>
        </is>
      </c>
      <c r="D155" s="48">
        <f>'LAC'!V36</f>
        <v/>
      </c>
      <c r="E155" s="48">
        <f>'LAC'!W36</f>
        <v/>
      </c>
      <c r="F155" s="48">
        <f>'LAC'!X36</f>
        <v/>
      </c>
      <c r="G155" s="49">
        <f>'LAC'!Z36</f>
        <v/>
      </c>
      <c r="H155" s="48">
        <f>'LAC'!AA36</f>
        <v/>
      </c>
      <c r="I155" s="48">
        <f>'LAC'!AB36</f>
        <v/>
      </c>
      <c r="J155" s="49">
        <f>'LAC'!AD36</f>
        <v/>
      </c>
      <c r="K155" s="49">
        <f>'LAC'!AE36</f>
        <v/>
      </c>
    </row>
    <row r="156">
      <c r="A156">
        <f>'LAR'!B28</f>
        <v/>
      </c>
      <c r="B156" t="inlineStr">
        <is>
          <t>LAR</t>
        </is>
      </c>
      <c r="C156" t="inlineStr">
        <is>
          <t>WR</t>
        </is>
      </c>
      <c r="D156" s="48">
        <f>'LAR'!V28</f>
        <v/>
      </c>
      <c r="E156" s="48">
        <f>'LAR'!W28</f>
        <v/>
      </c>
      <c r="F156" s="48">
        <f>'LAR'!X28</f>
        <v/>
      </c>
      <c r="G156" s="49">
        <f>'LAR'!Z28</f>
        <v/>
      </c>
      <c r="H156" s="48">
        <f>'LAR'!AA28</f>
        <v/>
      </c>
      <c r="I156" s="48">
        <f>'LAR'!AB28</f>
        <v/>
      </c>
      <c r="J156" s="49">
        <f>'LAR'!AD28</f>
        <v/>
      </c>
      <c r="K156" s="49">
        <f>'LAR'!AE28</f>
        <v/>
      </c>
    </row>
    <row r="157">
      <c r="A157">
        <f>'LAR'!B29</f>
        <v/>
      </c>
      <c r="B157" t="inlineStr">
        <is>
          <t>LAR</t>
        </is>
      </c>
      <c r="C157" t="inlineStr">
        <is>
          <t>WR</t>
        </is>
      </c>
      <c r="D157" s="48">
        <f>'LAR'!V29</f>
        <v/>
      </c>
      <c r="E157" s="48">
        <f>'LAR'!W29</f>
        <v/>
      </c>
      <c r="F157" s="48">
        <f>'LAR'!X29</f>
        <v/>
      </c>
      <c r="G157" s="49">
        <f>'LAR'!Z29</f>
        <v/>
      </c>
      <c r="H157" s="48">
        <f>'LAR'!AA29</f>
        <v/>
      </c>
      <c r="I157" s="48">
        <f>'LAR'!AB29</f>
        <v/>
      </c>
      <c r="J157" s="49">
        <f>'LAR'!AD29</f>
        <v/>
      </c>
      <c r="K157" s="49">
        <f>'LAR'!AE29</f>
        <v/>
      </c>
    </row>
    <row r="158">
      <c r="A158">
        <f>'LAR'!B30</f>
        <v/>
      </c>
      <c r="B158" t="inlineStr">
        <is>
          <t>LAR</t>
        </is>
      </c>
      <c r="C158" t="inlineStr">
        <is>
          <t>WR</t>
        </is>
      </c>
      <c r="D158" s="48">
        <f>'LAR'!V30</f>
        <v/>
      </c>
      <c r="E158" s="48">
        <f>'LAR'!W30</f>
        <v/>
      </c>
      <c r="F158" s="48">
        <f>'LAR'!X30</f>
        <v/>
      </c>
      <c r="G158" s="49">
        <f>'LAR'!Z30</f>
        <v/>
      </c>
      <c r="H158" s="48">
        <f>'LAR'!AA30</f>
        <v/>
      </c>
      <c r="I158" s="48">
        <f>'LAR'!AB30</f>
        <v/>
      </c>
      <c r="J158" s="49">
        <f>'LAR'!AD30</f>
        <v/>
      </c>
      <c r="K158" s="49">
        <f>'LAR'!AE30</f>
        <v/>
      </c>
    </row>
    <row r="159">
      <c r="A159">
        <f>'LAR'!B31</f>
        <v/>
      </c>
      <c r="B159" t="inlineStr">
        <is>
          <t>LAR</t>
        </is>
      </c>
      <c r="C159" t="inlineStr">
        <is>
          <t>WR</t>
        </is>
      </c>
      <c r="D159" s="48">
        <f>'LAR'!V31</f>
        <v/>
      </c>
      <c r="E159" s="48">
        <f>'LAR'!W31</f>
        <v/>
      </c>
      <c r="F159" s="48">
        <f>'LAR'!X31</f>
        <v/>
      </c>
      <c r="G159" s="49">
        <f>'LAR'!Z31</f>
        <v/>
      </c>
      <c r="H159" s="48">
        <f>'LAR'!AA31</f>
        <v/>
      </c>
      <c r="I159" s="48">
        <f>'LAR'!AB31</f>
        <v/>
      </c>
      <c r="J159" s="49">
        <f>'LAR'!AD31</f>
        <v/>
      </c>
      <c r="K159" s="49">
        <f>'LAR'!AE31</f>
        <v/>
      </c>
    </row>
    <row r="160">
      <c r="A160">
        <f>'LAR'!B32</f>
        <v/>
      </c>
      <c r="B160" t="inlineStr">
        <is>
          <t>LAR</t>
        </is>
      </c>
      <c r="C160" t="inlineStr">
        <is>
          <t>WR</t>
        </is>
      </c>
      <c r="D160" s="48">
        <f>'LAR'!V32</f>
        <v/>
      </c>
      <c r="E160" s="48">
        <f>'LAR'!W32</f>
        <v/>
      </c>
      <c r="F160" s="48">
        <f>'LAR'!X32</f>
        <v/>
      </c>
      <c r="G160" s="49">
        <f>'LAR'!Z32</f>
        <v/>
      </c>
      <c r="H160" s="48">
        <f>'LAR'!AA32</f>
        <v/>
      </c>
      <c r="I160" s="48">
        <f>'LAR'!AB32</f>
        <v/>
      </c>
      <c r="J160" s="49">
        <f>'LAR'!AD32</f>
        <v/>
      </c>
      <c r="K160" s="49">
        <f>'LAR'!AE32</f>
        <v/>
      </c>
    </row>
    <row r="161">
      <c r="A161">
        <f>'LAR'!B33</f>
        <v/>
      </c>
      <c r="B161" t="inlineStr">
        <is>
          <t>LAR</t>
        </is>
      </c>
      <c r="C161" t="inlineStr">
        <is>
          <t>WR</t>
        </is>
      </c>
      <c r="D161" s="48">
        <f>'LAR'!V33</f>
        <v/>
      </c>
      <c r="E161" s="48">
        <f>'LAR'!W33</f>
        <v/>
      </c>
      <c r="F161" s="48">
        <f>'LAR'!X33</f>
        <v/>
      </c>
      <c r="G161" s="49">
        <f>'LAR'!Z33</f>
        <v/>
      </c>
      <c r="H161" s="48">
        <f>'LAR'!AA33</f>
        <v/>
      </c>
      <c r="I161" s="48">
        <f>'LAR'!AB33</f>
        <v/>
      </c>
      <c r="J161" s="49">
        <f>'LAR'!AD33</f>
        <v/>
      </c>
      <c r="K161" s="49">
        <f>'LAR'!AE33</f>
        <v/>
      </c>
    </row>
    <row r="162">
      <c r="A162">
        <f>'LAR'!B34</f>
        <v/>
      </c>
      <c r="B162" t="inlineStr">
        <is>
          <t>LAR</t>
        </is>
      </c>
      <c r="C162" t="inlineStr">
        <is>
          <t>WR</t>
        </is>
      </c>
      <c r="D162" s="48">
        <f>'LAR'!V34</f>
        <v/>
      </c>
      <c r="E162" s="48">
        <f>'LAR'!W34</f>
        <v/>
      </c>
      <c r="F162" s="48">
        <f>'LAR'!X34</f>
        <v/>
      </c>
      <c r="G162" s="49">
        <f>'LAR'!Z34</f>
        <v/>
      </c>
      <c r="H162" s="48">
        <f>'LAR'!AA34</f>
        <v/>
      </c>
      <c r="I162" s="48">
        <f>'LAR'!AB34</f>
        <v/>
      </c>
      <c r="J162" s="49">
        <f>'LAR'!AD34</f>
        <v/>
      </c>
      <c r="K162" s="49">
        <f>'LAR'!AE34</f>
        <v/>
      </c>
    </row>
    <row r="163">
      <c r="A163">
        <f>'LAR'!B35</f>
        <v/>
      </c>
      <c r="B163" t="inlineStr">
        <is>
          <t>LAR</t>
        </is>
      </c>
      <c r="C163" t="inlineStr">
        <is>
          <t>WR</t>
        </is>
      </c>
      <c r="D163" s="48">
        <f>'LAR'!V35</f>
        <v/>
      </c>
      <c r="E163" s="48">
        <f>'LAR'!W35</f>
        <v/>
      </c>
      <c r="F163" s="48">
        <f>'LAR'!X35</f>
        <v/>
      </c>
      <c r="G163" s="49">
        <f>'LAR'!Z35</f>
        <v/>
      </c>
      <c r="H163" s="48">
        <f>'LAR'!AA35</f>
        <v/>
      </c>
      <c r="I163" s="48">
        <f>'LAR'!AB35</f>
        <v/>
      </c>
      <c r="J163" s="49">
        <f>'LAR'!AD35</f>
        <v/>
      </c>
      <c r="K163" s="49">
        <f>'LAR'!AE35</f>
        <v/>
      </c>
    </row>
    <row r="164">
      <c r="A164">
        <f>'LAR'!B36</f>
        <v/>
      </c>
      <c r="B164" t="inlineStr">
        <is>
          <t>LAR</t>
        </is>
      </c>
      <c r="C164" t="inlineStr">
        <is>
          <t>WR</t>
        </is>
      </c>
      <c r="D164" s="48">
        <f>'LAR'!V36</f>
        <v/>
      </c>
      <c r="E164" s="48">
        <f>'LAR'!W36</f>
        <v/>
      </c>
      <c r="F164" s="48">
        <f>'LAR'!X36</f>
        <v/>
      </c>
      <c r="G164" s="49">
        <f>'LAR'!Z36</f>
        <v/>
      </c>
      <c r="H164" s="48">
        <f>'LAR'!AA36</f>
        <v/>
      </c>
      <c r="I164" s="48">
        <f>'LAR'!AB36</f>
        <v/>
      </c>
      <c r="J164" s="49">
        <f>'LAR'!AD36</f>
        <v/>
      </c>
      <c r="K164" s="49">
        <f>'LAR'!AE36</f>
        <v/>
      </c>
    </row>
    <row r="165">
      <c r="A165">
        <f>'LV'!B28</f>
        <v/>
      </c>
      <c r="B165" t="inlineStr">
        <is>
          <t>LV</t>
        </is>
      </c>
      <c r="C165" t="inlineStr">
        <is>
          <t>WR</t>
        </is>
      </c>
      <c r="D165" s="48">
        <f>'LV'!V28</f>
        <v/>
      </c>
      <c r="E165" s="48">
        <f>'LV'!W28</f>
        <v/>
      </c>
      <c r="F165" s="48">
        <f>'LV'!X28</f>
        <v/>
      </c>
      <c r="G165" s="49">
        <f>'LV'!Z28</f>
        <v/>
      </c>
      <c r="H165" s="48">
        <f>'LV'!AA28</f>
        <v/>
      </c>
      <c r="I165" s="48">
        <f>'LV'!AB28</f>
        <v/>
      </c>
      <c r="J165" s="49">
        <f>'LV'!AD28</f>
        <v/>
      </c>
      <c r="K165" s="49">
        <f>'LV'!AE28</f>
        <v/>
      </c>
    </row>
    <row r="166">
      <c r="A166">
        <f>'LV'!B29</f>
        <v/>
      </c>
      <c r="B166" t="inlineStr">
        <is>
          <t>LV</t>
        </is>
      </c>
      <c r="C166" t="inlineStr">
        <is>
          <t>WR</t>
        </is>
      </c>
      <c r="D166" s="48">
        <f>'LV'!V29</f>
        <v/>
      </c>
      <c r="E166" s="48">
        <f>'LV'!W29</f>
        <v/>
      </c>
      <c r="F166" s="48">
        <f>'LV'!X29</f>
        <v/>
      </c>
      <c r="G166" s="49">
        <f>'LV'!Z29</f>
        <v/>
      </c>
      <c r="H166" s="48">
        <f>'LV'!AA29</f>
        <v/>
      </c>
      <c r="I166" s="48">
        <f>'LV'!AB29</f>
        <v/>
      </c>
      <c r="J166" s="49">
        <f>'LV'!AD29</f>
        <v/>
      </c>
      <c r="K166" s="49">
        <f>'LV'!AE29</f>
        <v/>
      </c>
    </row>
    <row r="167">
      <c r="A167">
        <f>'LV'!B30</f>
        <v/>
      </c>
      <c r="B167" t="inlineStr">
        <is>
          <t>LV</t>
        </is>
      </c>
      <c r="C167" t="inlineStr">
        <is>
          <t>WR</t>
        </is>
      </c>
      <c r="D167" s="48">
        <f>'LV'!V30</f>
        <v/>
      </c>
      <c r="E167" s="48">
        <f>'LV'!W30</f>
        <v/>
      </c>
      <c r="F167" s="48">
        <f>'LV'!X30</f>
        <v/>
      </c>
      <c r="G167" s="49">
        <f>'LV'!Z30</f>
        <v/>
      </c>
      <c r="H167" s="48">
        <f>'LV'!AA30</f>
        <v/>
      </c>
      <c r="I167" s="48">
        <f>'LV'!AB30</f>
        <v/>
      </c>
      <c r="J167" s="49">
        <f>'LV'!AD30</f>
        <v/>
      </c>
      <c r="K167" s="49">
        <f>'LV'!AE30</f>
        <v/>
      </c>
    </row>
    <row r="168">
      <c r="A168">
        <f>'LV'!B31</f>
        <v/>
      </c>
      <c r="B168" t="inlineStr">
        <is>
          <t>LV</t>
        </is>
      </c>
      <c r="C168" t="inlineStr">
        <is>
          <t>WR</t>
        </is>
      </c>
      <c r="D168" s="48">
        <f>'LV'!V31</f>
        <v/>
      </c>
      <c r="E168" s="48">
        <f>'LV'!W31</f>
        <v/>
      </c>
      <c r="F168" s="48">
        <f>'LV'!X31</f>
        <v/>
      </c>
      <c r="G168" s="49">
        <f>'LV'!Z31</f>
        <v/>
      </c>
      <c r="H168" s="48">
        <f>'LV'!AA31</f>
        <v/>
      </c>
      <c r="I168" s="48">
        <f>'LV'!AB31</f>
        <v/>
      </c>
      <c r="J168" s="49">
        <f>'LV'!AD31</f>
        <v/>
      </c>
      <c r="K168" s="49">
        <f>'LV'!AE31</f>
        <v/>
      </c>
    </row>
    <row r="169">
      <c r="A169">
        <f>'LV'!B32</f>
        <v/>
      </c>
      <c r="B169" t="inlineStr">
        <is>
          <t>LV</t>
        </is>
      </c>
      <c r="C169" t="inlineStr">
        <is>
          <t>WR</t>
        </is>
      </c>
      <c r="D169" s="48">
        <f>'LV'!V32</f>
        <v/>
      </c>
      <c r="E169" s="48">
        <f>'LV'!W32</f>
        <v/>
      </c>
      <c r="F169" s="48">
        <f>'LV'!X32</f>
        <v/>
      </c>
      <c r="G169" s="49">
        <f>'LV'!Z32</f>
        <v/>
      </c>
      <c r="H169" s="48">
        <f>'LV'!AA32</f>
        <v/>
      </c>
      <c r="I169" s="48">
        <f>'LV'!AB32</f>
        <v/>
      </c>
      <c r="J169" s="49">
        <f>'LV'!AD32</f>
        <v/>
      </c>
      <c r="K169" s="49">
        <f>'LV'!AE32</f>
        <v/>
      </c>
    </row>
    <row r="170">
      <c r="A170">
        <f>'LV'!B33</f>
        <v/>
      </c>
      <c r="B170" t="inlineStr">
        <is>
          <t>LV</t>
        </is>
      </c>
      <c r="C170" t="inlineStr">
        <is>
          <t>WR</t>
        </is>
      </c>
      <c r="D170" s="48">
        <f>'LV'!V33</f>
        <v/>
      </c>
      <c r="E170" s="48">
        <f>'LV'!W33</f>
        <v/>
      </c>
      <c r="F170" s="48">
        <f>'LV'!X33</f>
        <v/>
      </c>
      <c r="G170" s="49">
        <f>'LV'!Z33</f>
        <v/>
      </c>
      <c r="H170" s="48">
        <f>'LV'!AA33</f>
        <v/>
      </c>
      <c r="I170" s="48">
        <f>'LV'!AB33</f>
        <v/>
      </c>
      <c r="J170" s="49">
        <f>'LV'!AD33</f>
        <v/>
      </c>
      <c r="K170" s="49">
        <f>'LV'!AE33</f>
        <v/>
      </c>
    </row>
    <row r="171">
      <c r="A171">
        <f>'LV'!B34</f>
        <v/>
      </c>
      <c r="B171" t="inlineStr">
        <is>
          <t>LV</t>
        </is>
      </c>
      <c r="C171" t="inlineStr">
        <is>
          <t>WR</t>
        </is>
      </c>
      <c r="D171" s="48">
        <f>'LV'!V34</f>
        <v/>
      </c>
      <c r="E171" s="48">
        <f>'LV'!W34</f>
        <v/>
      </c>
      <c r="F171" s="48">
        <f>'LV'!X34</f>
        <v/>
      </c>
      <c r="G171" s="49">
        <f>'LV'!Z34</f>
        <v/>
      </c>
      <c r="H171" s="48">
        <f>'LV'!AA34</f>
        <v/>
      </c>
      <c r="I171" s="48">
        <f>'LV'!AB34</f>
        <v/>
      </c>
      <c r="J171" s="49">
        <f>'LV'!AD34</f>
        <v/>
      </c>
      <c r="K171" s="49">
        <f>'LV'!AE34</f>
        <v/>
      </c>
    </row>
    <row r="172">
      <c r="A172">
        <f>'LV'!B35</f>
        <v/>
      </c>
      <c r="B172" t="inlineStr">
        <is>
          <t>LV</t>
        </is>
      </c>
      <c r="C172" t="inlineStr">
        <is>
          <t>WR</t>
        </is>
      </c>
      <c r="D172" s="48">
        <f>'LV'!V35</f>
        <v/>
      </c>
      <c r="E172" s="48">
        <f>'LV'!W35</f>
        <v/>
      </c>
      <c r="F172" s="48">
        <f>'LV'!X35</f>
        <v/>
      </c>
      <c r="G172" s="49">
        <f>'LV'!Z35</f>
        <v/>
      </c>
      <c r="H172" s="48">
        <f>'LV'!AA35</f>
        <v/>
      </c>
      <c r="I172" s="48">
        <f>'LV'!AB35</f>
        <v/>
      </c>
      <c r="J172" s="49">
        <f>'LV'!AD35</f>
        <v/>
      </c>
      <c r="K172" s="49">
        <f>'LV'!AE35</f>
        <v/>
      </c>
    </row>
    <row r="173">
      <c r="A173">
        <f>'LV'!B36</f>
        <v/>
      </c>
      <c r="B173" t="inlineStr">
        <is>
          <t>LV</t>
        </is>
      </c>
      <c r="C173" t="inlineStr">
        <is>
          <t>WR</t>
        </is>
      </c>
      <c r="D173" s="48">
        <f>'LV'!V36</f>
        <v/>
      </c>
      <c r="E173" s="48">
        <f>'LV'!W36</f>
        <v/>
      </c>
      <c r="F173" s="48">
        <f>'LV'!X36</f>
        <v/>
      </c>
      <c r="G173" s="49">
        <f>'LV'!Z36</f>
        <v/>
      </c>
      <c r="H173" s="48">
        <f>'LV'!AA36</f>
        <v/>
      </c>
      <c r="I173" s="48">
        <f>'LV'!AB36</f>
        <v/>
      </c>
      <c r="J173" s="49">
        <f>'LV'!AD36</f>
        <v/>
      </c>
      <c r="K173" s="49">
        <f>'LV'!AE36</f>
        <v/>
      </c>
    </row>
    <row r="174">
      <c r="A174">
        <f>'MIA'!B28</f>
        <v/>
      </c>
      <c r="B174" t="inlineStr">
        <is>
          <t>MIA</t>
        </is>
      </c>
      <c r="C174" t="inlineStr">
        <is>
          <t>WR</t>
        </is>
      </c>
      <c r="D174" s="48">
        <f>'MIA'!V28</f>
        <v/>
      </c>
      <c r="E174" s="48">
        <f>'MIA'!W28</f>
        <v/>
      </c>
      <c r="F174" s="48">
        <f>'MIA'!X28</f>
        <v/>
      </c>
      <c r="G174" s="49">
        <f>'MIA'!Z28</f>
        <v/>
      </c>
      <c r="H174" s="48">
        <f>'MIA'!AA28</f>
        <v/>
      </c>
      <c r="I174" s="48">
        <f>'MIA'!AB28</f>
        <v/>
      </c>
      <c r="J174" s="49">
        <f>'MIA'!AD28</f>
        <v/>
      </c>
      <c r="K174" s="49">
        <f>'MIA'!AE28</f>
        <v/>
      </c>
    </row>
    <row r="175">
      <c r="A175">
        <f>'MIA'!B29</f>
        <v/>
      </c>
      <c r="B175" t="inlineStr">
        <is>
          <t>MIA</t>
        </is>
      </c>
      <c r="C175" t="inlineStr">
        <is>
          <t>WR</t>
        </is>
      </c>
      <c r="D175" s="48">
        <f>'MIA'!V29</f>
        <v/>
      </c>
      <c r="E175" s="48">
        <f>'MIA'!W29</f>
        <v/>
      </c>
      <c r="F175" s="48">
        <f>'MIA'!X29</f>
        <v/>
      </c>
      <c r="G175" s="49">
        <f>'MIA'!Z29</f>
        <v/>
      </c>
      <c r="H175" s="48">
        <f>'MIA'!AA29</f>
        <v/>
      </c>
      <c r="I175" s="48">
        <f>'MIA'!AB29</f>
        <v/>
      </c>
      <c r="J175" s="49">
        <f>'MIA'!AD29</f>
        <v/>
      </c>
      <c r="K175" s="49">
        <f>'MIA'!AE29</f>
        <v/>
      </c>
    </row>
    <row r="176">
      <c r="A176">
        <f>'MIA'!B30</f>
        <v/>
      </c>
      <c r="B176" t="inlineStr">
        <is>
          <t>MIA</t>
        </is>
      </c>
      <c r="C176" t="inlineStr">
        <is>
          <t>WR</t>
        </is>
      </c>
      <c r="D176" s="48">
        <f>'MIA'!V30</f>
        <v/>
      </c>
      <c r="E176" s="48">
        <f>'MIA'!W30</f>
        <v/>
      </c>
      <c r="F176" s="48">
        <f>'MIA'!X30</f>
        <v/>
      </c>
      <c r="G176" s="49">
        <f>'MIA'!Z30</f>
        <v/>
      </c>
      <c r="H176" s="48">
        <f>'MIA'!AA30</f>
        <v/>
      </c>
      <c r="I176" s="48">
        <f>'MIA'!AB30</f>
        <v/>
      </c>
      <c r="J176" s="49">
        <f>'MIA'!AD30</f>
        <v/>
      </c>
      <c r="K176" s="49">
        <f>'MIA'!AE30</f>
        <v/>
      </c>
    </row>
    <row r="177">
      <c r="A177">
        <f>'MIA'!B31</f>
        <v/>
      </c>
      <c r="B177" t="inlineStr">
        <is>
          <t>MIA</t>
        </is>
      </c>
      <c r="C177" t="inlineStr">
        <is>
          <t>WR</t>
        </is>
      </c>
      <c r="D177" s="48">
        <f>'MIA'!V31</f>
        <v/>
      </c>
      <c r="E177" s="48">
        <f>'MIA'!W31</f>
        <v/>
      </c>
      <c r="F177" s="48">
        <f>'MIA'!X31</f>
        <v/>
      </c>
      <c r="G177" s="49">
        <f>'MIA'!Z31</f>
        <v/>
      </c>
      <c r="H177" s="48">
        <f>'MIA'!AA31</f>
        <v/>
      </c>
      <c r="I177" s="48">
        <f>'MIA'!AB31</f>
        <v/>
      </c>
      <c r="J177" s="49">
        <f>'MIA'!AD31</f>
        <v/>
      </c>
      <c r="K177" s="49">
        <f>'MIA'!AE31</f>
        <v/>
      </c>
    </row>
    <row r="178">
      <c r="A178">
        <f>'MIA'!B32</f>
        <v/>
      </c>
      <c r="B178" t="inlineStr">
        <is>
          <t>MIA</t>
        </is>
      </c>
      <c r="C178" t="inlineStr">
        <is>
          <t>WR</t>
        </is>
      </c>
      <c r="D178" s="48">
        <f>'MIA'!V32</f>
        <v/>
      </c>
      <c r="E178" s="48">
        <f>'MIA'!W32</f>
        <v/>
      </c>
      <c r="F178" s="48">
        <f>'MIA'!X32</f>
        <v/>
      </c>
      <c r="G178" s="49">
        <f>'MIA'!Z32</f>
        <v/>
      </c>
      <c r="H178" s="48">
        <f>'MIA'!AA32</f>
        <v/>
      </c>
      <c r="I178" s="48">
        <f>'MIA'!AB32</f>
        <v/>
      </c>
      <c r="J178" s="49">
        <f>'MIA'!AD32</f>
        <v/>
      </c>
      <c r="K178" s="49">
        <f>'MIA'!AE32</f>
        <v/>
      </c>
    </row>
    <row r="179">
      <c r="A179">
        <f>'MIA'!B33</f>
        <v/>
      </c>
      <c r="B179" t="inlineStr">
        <is>
          <t>MIA</t>
        </is>
      </c>
      <c r="C179" t="inlineStr">
        <is>
          <t>WR</t>
        </is>
      </c>
      <c r="D179" s="48">
        <f>'MIA'!V33</f>
        <v/>
      </c>
      <c r="E179" s="48">
        <f>'MIA'!W33</f>
        <v/>
      </c>
      <c r="F179" s="48">
        <f>'MIA'!X33</f>
        <v/>
      </c>
      <c r="G179" s="49">
        <f>'MIA'!Z33</f>
        <v/>
      </c>
      <c r="H179" s="48">
        <f>'MIA'!AA33</f>
        <v/>
      </c>
      <c r="I179" s="48">
        <f>'MIA'!AB33</f>
        <v/>
      </c>
      <c r="J179" s="49">
        <f>'MIA'!AD33</f>
        <v/>
      </c>
      <c r="K179" s="49">
        <f>'MIA'!AE33</f>
        <v/>
      </c>
    </row>
    <row r="180">
      <c r="A180">
        <f>'MIA'!B34</f>
        <v/>
      </c>
      <c r="B180" t="inlineStr">
        <is>
          <t>MIA</t>
        </is>
      </c>
      <c r="C180" t="inlineStr">
        <is>
          <t>WR</t>
        </is>
      </c>
      <c r="D180" s="48">
        <f>'MIA'!V34</f>
        <v/>
      </c>
      <c r="E180" s="48">
        <f>'MIA'!W34</f>
        <v/>
      </c>
      <c r="F180" s="48">
        <f>'MIA'!X34</f>
        <v/>
      </c>
      <c r="G180" s="49">
        <f>'MIA'!Z34</f>
        <v/>
      </c>
      <c r="H180" s="48">
        <f>'MIA'!AA34</f>
        <v/>
      </c>
      <c r="I180" s="48">
        <f>'MIA'!AB34</f>
        <v/>
      </c>
      <c r="J180" s="49">
        <f>'MIA'!AD34</f>
        <v/>
      </c>
      <c r="K180" s="49">
        <f>'MIA'!AE34</f>
        <v/>
      </c>
    </row>
    <row r="181">
      <c r="A181">
        <f>'MIA'!B35</f>
        <v/>
      </c>
      <c r="B181" t="inlineStr">
        <is>
          <t>MIA</t>
        </is>
      </c>
      <c r="C181" t="inlineStr">
        <is>
          <t>WR</t>
        </is>
      </c>
      <c r="D181" s="48">
        <f>'MIA'!V35</f>
        <v/>
      </c>
      <c r="E181" s="48">
        <f>'MIA'!W35</f>
        <v/>
      </c>
      <c r="F181" s="48">
        <f>'MIA'!X35</f>
        <v/>
      </c>
      <c r="G181" s="49">
        <f>'MIA'!Z35</f>
        <v/>
      </c>
      <c r="H181" s="48">
        <f>'MIA'!AA35</f>
        <v/>
      </c>
      <c r="I181" s="48">
        <f>'MIA'!AB35</f>
        <v/>
      </c>
      <c r="J181" s="49">
        <f>'MIA'!AD35</f>
        <v/>
      </c>
      <c r="K181" s="49">
        <f>'MIA'!AE35</f>
        <v/>
      </c>
    </row>
    <row r="182">
      <c r="A182">
        <f>'MIA'!B36</f>
        <v/>
      </c>
      <c r="B182" t="inlineStr">
        <is>
          <t>MIA</t>
        </is>
      </c>
      <c r="C182" t="inlineStr">
        <is>
          <t>WR</t>
        </is>
      </c>
      <c r="D182" s="48">
        <f>'MIA'!V36</f>
        <v/>
      </c>
      <c r="E182" s="48">
        <f>'MIA'!W36</f>
        <v/>
      </c>
      <c r="F182" s="48">
        <f>'MIA'!X36</f>
        <v/>
      </c>
      <c r="G182" s="49">
        <f>'MIA'!Z36</f>
        <v/>
      </c>
      <c r="H182" s="48">
        <f>'MIA'!AA36</f>
        <v/>
      </c>
      <c r="I182" s="48">
        <f>'MIA'!AB36</f>
        <v/>
      </c>
      <c r="J182" s="49">
        <f>'MIA'!AD36</f>
        <v/>
      </c>
      <c r="K182" s="49">
        <f>'MIA'!AE36</f>
        <v/>
      </c>
    </row>
    <row r="183">
      <c r="A183">
        <f>'MIN'!B28</f>
        <v/>
      </c>
      <c r="B183" t="inlineStr">
        <is>
          <t>MIN</t>
        </is>
      </c>
      <c r="C183" t="inlineStr">
        <is>
          <t>WR</t>
        </is>
      </c>
      <c r="D183" s="48">
        <f>'MIN'!V28</f>
        <v/>
      </c>
      <c r="E183" s="48">
        <f>'MIN'!W28</f>
        <v/>
      </c>
      <c r="F183" s="48">
        <f>'MIN'!X28</f>
        <v/>
      </c>
      <c r="G183" s="49">
        <f>'MIN'!Z28</f>
        <v/>
      </c>
      <c r="H183" s="48">
        <f>'MIN'!AA28</f>
        <v/>
      </c>
      <c r="I183" s="48">
        <f>'MIN'!AB28</f>
        <v/>
      </c>
      <c r="J183" s="49">
        <f>'MIN'!AD28</f>
        <v/>
      </c>
      <c r="K183" s="49">
        <f>'MIN'!AE28</f>
        <v/>
      </c>
    </row>
    <row r="184">
      <c r="A184">
        <f>'MIN'!B29</f>
        <v/>
      </c>
      <c r="B184" t="inlineStr">
        <is>
          <t>MIN</t>
        </is>
      </c>
      <c r="C184" t="inlineStr">
        <is>
          <t>WR</t>
        </is>
      </c>
      <c r="D184" s="48">
        <f>'MIN'!V29</f>
        <v/>
      </c>
      <c r="E184" s="48">
        <f>'MIN'!W29</f>
        <v/>
      </c>
      <c r="F184" s="48">
        <f>'MIN'!X29</f>
        <v/>
      </c>
      <c r="G184" s="49">
        <f>'MIN'!Z29</f>
        <v/>
      </c>
      <c r="H184" s="48">
        <f>'MIN'!AA29</f>
        <v/>
      </c>
      <c r="I184" s="48">
        <f>'MIN'!AB29</f>
        <v/>
      </c>
      <c r="J184" s="49">
        <f>'MIN'!AD29</f>
        <v/>
      </c>
      <c r="K184" s="49">
        <f>'MIN'!AE29</f>
        <v/>
      </c>
    </row>
    <row r="185">
      <c r="A185">
        <f>'MIN'!B30</f>
        <v/>
      </c>
      <c r="B185" t="inlineStr">
        <is>
          <t>MIN</t>
        </is>
      </c>
      <c r="C185" t="inlineStr">
        <is>
          <t>WR</t>
        </is>
      </c>
      <c r="D185" s="48">
        <f>'MIN'!V30</f>
        <v/>
      </c>
      <c r="E185" s="48">
        <f>'MIN'!W30</f>
        <v/>
      </c>
      <c r="F185" s="48">
        <f>'MIN'!X30</f>
        <v/>
      </c>
      <c r="G185" s="49">
        <f>'MIN'!Z30</f>
        <v/>
      </c>
      <c r="H185" s="48">
        <f>'MIN'!AA30</f>
        <v/>
      </c>
      <c r="I185" s="48">
        <f>'MIN'!AB30</f>
        <v/>
      </c>
      <c r="J185" s="49">
        <f>'MIN'!AD30</f>
        <v/>
      </c>
      <c r="K185" s="49">
        <f>'MIN'!AE30</f>
        <v/>
      </c>
    </row>
    <row r="186">
      <c r="A186">
        <f>'MIN'!B31</f>
        <v/>
      </c>
      <c r="B186" t="inlineStr">
        <is>
          <t>MIN</t>
        </is>
      </c>
      <c r="C186" t="inlineStr">
        <is>
          <t>WR</t>
        </is>
      </c>
      <c r="D186" s="48">
        <f>'MIN'!V31</f>
        <v/>
      </c>
      <c r="E186" s="48">
        <f>'MIN'!W31</f>
        <v/>
      </c>
      <c r="F186" s="48">
        <f>'MIN'!X31</f>
        <v/>
      </c>
      <c r="G186" s="49">
        <f>'MIN'!Z31</f>
        <v/>
      </c>
      <c r="H186" s="48">
        <f>'MIN'!AA31</f>
        <v/>
      </c>
      <c r="I186" s="48">
        <f>'MIN'!AB31</f>
        <v/>
      </c>
      <c r="J186" s="49">
        <f>'MIN'!AD31</f>
        <v/>
      </c>
      <c r="K186" s="49">
        <f>'MIN'!AE31</f>
        <v/>
      </c>
    </row>
    <row r="187">
      <c r="A187">
        <f>'MIN'!B32</f>
        <v/>
      </c>
      <c r="B187" t="inlineStr">
        <is>
          <t>MIN</t>
        </is>
      </c>
      <c r="C187" t="inlineStr">
        <is>
          <t>WR</t>
        </is>
      </c>
      <c r="D187" s="48">
        <f>'MIN'!V32</f>
        <v/>
      </c>
      <c r="E187" s="48">
        <f>'MIN'!W32</f>
        <v/>
      </c>
      <c r="F187" s="48">
        <f>'MIN'!X32</f>
        <v/>
      </c>
      <c r="G187" s="49">
        <f>'MIN'!Z32</f>
        <v/>
      </c>
      <c r="H187" s="48">
        <f>'MIN'!AA32</f>
        <v/>
      </c>
      <c r="I187" s="48">
        <f>'MIN'!AB32</f>
        <v/>
      </c>
      <c r="J187" s="49">
        <f>'MIN'!AD32</f>
        <v/>
      </c>
      <c r="K187" s="49">
        <f>'MIN'!AE32</f>
        <v/>
      </c>
    </row>
    <row r="188">
      <c r="A188">
        <f>'MIN'!B33</f>
        <v/>
      </c>
      <c r="B188" t="inlineStr">
        <is>
          <t>MIN</t>
        </is>
      </c>
      <c r="C188" t="inlineStr">
        <is>
          <t>WR</t>
        </is>
      </c>
      <c r="D188" s="48">
        <f>'MIN'!V33</f>
        <v/>
      </c>
      <c r="E188" s="48">
        <f>'MIN'!W33</f>
        <v/>
      </c>
      <c r="F188" s="48">
        <f>'MIN'!X33</f>
        <v/>
      </c>
      <c r="G188" s="49">
        <f>'MIN'!Z33</f>
        <v/>
      </c>
      <c r="H188" s="48">
        <f>'MIN'!AA33</f>
        <v/>
      </c>
      <c r="I188" s="48">
        <f>'MIN'!AB33</f>
        <v/>
      </c>
      <c r="J188" s="49">
        <f>'MIN'!AD33</f>
        <v/>
      </c>
      <c r="K188" s="49">
        <f>'MIN'!AE33</f>
        <v/>
      </c>
    </row>
    <row r="189">
      <c r="A189">
        <f>'MIN'!B34</f>
        <v/>
      </c>
      <c r="B189" t="inlineStr">
        <is>
          <t>MIN</t>
        </is>
      </c>
      <c r="C189" t="inlineStr">
        <is>
          <t>WR</t>
        </is>
      </c>
      <c r="D189" s="48">
        <f>'MIN'!V34</f>
        <v/>
      </c>
      <c r="E189" s="48">
        <f>'MIN'!W34</f>
        <v/>
      </c>
      <c r="F189" s="48">
        <f>'MIN'!X34</f>
        <v/>
      </c>
      <c r="G189" s="49">
        <f>'MIN'!Z34</f>
        <v/>
      </c>
      <c r="H189" s="48">
        <f>'MIN'!AA34</f>
        <v/>
      </c>
      <c r="I189" s="48">
        <f>'MIN'!AB34</f>
        <v/>
      </c>
      <c r="J189" s="49">
        <f>'MIN'!AD34</f>
        <v/>
      </c>
      <c r="K189" s="49">
        <f>'MIN'!AE34</f>
        <v/>
      </c>
    </row>
    <row r="190">
      <c r="A190">
        <f>'MIN'!B35</f>
        <v/>
      </c>
      <c r="B190" t="inlineStr">
        <is>
          <t>MIN</t>
        </is>
      </c>
      <c r="C190" t="inlineStr">
        <is>
          <t>WR</t>
        </is>
      </c>
      <c r="D190" s="48">
        <f>'MIN'!V35</f>
        <v/>
      </c>
      <c r="E190" s="48">
        <f>'MIN'!W35</f>
        <v/>
      </c>
      <c r="F190" s="48">
        <f>'MIN'!X35</f>
        <v/>
      </c>
      <c r="G190" s="49">
        <f>'MIN'!Z35</f>
        <v/>
      </c>
      <c r="H190" s="48">
        <f>'MIN'!AA35</f>
        <v/>
      </c>
      <c r="I190" s="48">
        <f>'MIN'!AB35</f>
        <v/>
      </c>
      <c r="J190" s="49">
        <f>'MIN'!AD35</f>
        <v/>
      </c>
      <c r="K190" s="49">
        <f>'MIN'!AE35</f>
        <v/>
      </c>
    </row>
    <row r="191">
      <c r="A191">
        <f>'MIN'!B36</f>
        <v/>
      </c>
      <c r="B191" t="inlineStr">
        <is>
          <t>MIN</t>
        </is>
      </c>
      <c r="C191" t="inlineStr">
        <is>
          <t>WR</t>
        </is>
      </c>
      <c r="D191" s="48">
        <f>'MIN'!V36</f>
        <v/>
      </c>
      <c r="E191" s="48">
        <f>'MIN'!W36</f>
        <v/>
      </c>
      <c r="F191" s="48">
        <f>'MIN'!X36</f>
        <v/>
      </c>
      <c r="G191" s="49">
        <f>'MIN'!Z36</f>
        <v/>
      </c>
      <c r="H191" s="48">
        <f>'MIN'!AA36</f>
        <v/>
      </c>
      <c r="I191" s="48">
        <f>'MIN'!AB36</f>
        <v/>
      </c>
      <c r="J191" s="49">
        <f>'MIN'!AD36</f>
        <v/>
      </c>
      <c r="K191" s="49">
        <f>'MIN'!AE36</f>
        <v/>
      </c>
    </row>
    <row r="192">
      <c r="A192">
        <f>'NE'!B28</f>
        <v/>
      </c>
      <c r="B192" t="inlineStr">
        <is>
          <t>NE</t>
        </is>
      </c>
      <c r="C192" t="inlineStr">
        <is>
          <t>WR</t>
        </is>
      </c>
      <c r="D192" s="48">
        <f>'NE'!V28</f>
        <v/>
      </c>
      <c r="E192" s="48">
        <f>'NE'!W28</f>
        <v/>
      </c>
      <c r="F192" s="48">
        <f>'NE'!X28</f>
        <v/>
      </c>
      <c r="G192" s="49">
        <f>'NE'!Z28</f>
        <v/>
      </c>
      <c r="H192" s="48">
        <f>'NE'!AA28</f>
        <v/>
      </c>
      <c r="I192" s="48">
        <f>'NE'!AB28</f>
        <v/>
      </c>
      <c r="J192" s="49">
        <f>'NE'!AD28</f>
        <v/>
      </c>
      <c r="K192" s="49">
        <f>'NE'!AE28</f>
        <v/>
      </c>
    </row>
    <row r="193">
      <c r="A193">
        <f>'NE'!B29</f>
        <v/>
      </c>
      <c r="B193" t="inlineStr">
        <is>
          <t>NE</t>
        </is>
      </c>
      <c r="C193" t="inlineStr">
        <is>
          <t>WR</t>
        </is>
      </c>
      <c r="D193" s="48">
        <f>'NE'!V29</f>
        <v/>
      </c>
      <c r="E193" s="48">
        <f>'NE'!W29</f>
        <v/>
      </c>
      <c r="F193" s="48">
        <f>'NE'!X29</f>
        <v/>
      </c>
      <c r="G193" s="49">
        <f>'NE'!Z29</f>
        <v/>
      </c>
      <c r="H193" s="48">
        <f>'NE'!AA29</f>
        <v/>
      </c>
      <c r="I193" s="48">
        <f>'NE'!AB29</f>
        <v/>
      </c>
      <c r="J193" s="49">
        <f>'NE'!AD29</f>
        <v/>
      </c>
      <c r="K193" s="49">
        <f>'NE'!AE29</f>
        <v/>
      </c>
    </row>
    <row r="194">
      <c r="A194">
        <f>'NE'!B30</f>
        <v/>
      </c>
      <c r="B194" t="inlineStr">
        <is>
          <t>NE</t>
        </is>
      </c>
      <c r="C194" t="inlineStr">
        <is>
          <t>WR</t>
        </is>
      </c>
      <c r="D194" s="48">
        <f>'NE'!V30</f>
        <v/>
      </c>
      <c r="E194" s="48">
        <f>'NE'!W30</f>
        <v/>
      </c>
      <c r="F194" s="48">
        <f>'NE'!X30</f>
        <v/>
      </c>
      <c r="G194" s="49">
        <f>'NE'!Z30</f>
        <v/>
      </c>
      <c r="H194" s="48">
        <f>'NE'!AA30</f>
        <v/>
      </c>
      <c r="I194" s="48">
        <f>'NE'!AB30</f>
        <v/>
      </c>
      <c r="J194" s="49">
        <f>'NE'!AD30</f>
        <v/>
      </c>
      <c r="K194" s="49">
        <f>'NE'!AE30</f>
        <v/>
      </c>
    </row>
    <row r="195">
      <c r="A195">
        <f>'NE'!B31</f>
        <v/>
      </c>
      <c r="B195" t="inlineStr">
        <is>
          <t>NE</t>
        </is>
      </c>
      <c r="C195" t="inlineStr">
        <is>
          <t>WR</t>
        </is>
      </c>
      <c r="D195" s="48">
        <f>'NE'!V31</f>
        <v/>
      </c>
      <c r="E195" s="48">
        <f>'NE'!W31</f>
        <v/>
      </c>
      <c r="F195" s="48">
        <f>'NE'!X31</f>
        <v/>
      </c>
      <c r="G195" s="49">
        <f>'NE'!Z31</f>
        <v/>
      </c>
      <c r="H195" s="48">
        <f>'NE'!AA31</f>
        <v/>
      </c>
      <c r="I195" s="48">
        <f>'NE'!AB31</f>
        <v/>
      </c>
      <c r="J195" s="49">
        <f>'NE'!AD31</f>
        <v/>
      </c>
      <c r="K195" s="49">
        <f>'NE'!AE31</f>
        <v/>
      </c>
    </row>
    <row r="196">
      <c r="A196">
        <f>'NE'!B32</f>
        <v/>
      </c>
      <c r="B196" t="inlineStr">
        <is>
          <t>NE</t>
        </is>
      </c>
      <c r="C196" t="inlineStr">
        <is>
          <t>WR</t>
        </is>
      </c>
      <c r="D196" s="48">
        <f>'NE'!V32</f>
        <v/>
      </c>
      <c r="E196" s="48">
        <f>'NE'!W32</f>
        <v/>
      </c>
      <c r="F196" s="48">
        <f>'NE'!X32</f>
        <v/>
      </c>
      <c r="G196" s="49">
        <f>'NE'!Z32</f>
        <v/>
      </c>
      <c r="H196" s="48">
        <f>'NE'!AA32</f>
        <v/>
      </c>
      <c r="I196" s="48">
        <f>'NE'!AB32</f>
        <v/>
      </c>
      <c r="J196" s="49">
        <f>'NE'!AD32</f>
        <v/>
      </c>
      <c r="K196" s="49">
        <f>'NE'!AE32</f>
        <v/>
      </c>
    </row>
    <row r="197">
      <c r="A197">
        <f>'NE'!B33</f>
        <v/>
      </c>
      <c r="B197" t="inlineStr">
        <is>
          <t>NE</t>
        </is>
      </c>
      <c r="C197" t="inlineStr">
        <is>
          <t>WR</t>
        </is>
      </c>
      <c r="D197" s="48">
        <f>'NE'!V33</f>
        <v/>
      </c>
      <c r="E197" s="48">
        <f>'NE'!W33</f>
        <v/>
      </c>
      <c r="F197" s="48">
        <f>'NE'!X33</f>
        <v/>
      </c>
      <c r="G197" s="49">
        <f>'NE'!Z33</f>
        <v/>
      </c>
      <c r="H197" s="48">
        <f>'NE'!AA33</f>
        <v/>
      </c>
      <c r="I197" s="48">
        <f>'NE'!AB33</f>
        <v/>
      </c>
      <c r="J197" s="49">
        <f>'NE'!AD33</f>
        <v/>
      </c>
      <c r="K197" s="49">
        <f>'NE'!AE33</f>
        <v/>
      </c>
    </row>
    <row r="198">
      <c r="A198">
        <f>'NE'!B34</f>
        <v/>
      </c>
      <c r="B198" t="inlineStr">
        <is>
          <t>NE</t>
        </is>
      </c>
      <c r="C198" t="inlineStr">
        <is>
          <t>WR</t>
        </is>
      </c>
      <c r="D198" s="48">
        <f>'NE'!V34</f>
        <v/>
      </c>
      <c r="E198" s="48">
        <f>'NE'!W34</f>
        <v/>
      </c>
      <c r="F198" s="48">
        <f>'NE'!X34</f>
        <v/>
      </c>
      <c r="G198" s="49">
        <f>'NE'!Z34</f>
        <v/>
      </c>
      <c r="H198" s="48">
        <f>'NE'!AA34</f>
        <v/>
      </c>
      <c r="I198" s="48">
        <f>'NE'!AB34</f>
        <v/>
      </c>
      <c r="J198" s="49">
        <f>'NE'!AD34</f>
        <v/>
      </c>
      <c r="K198" s="49">
        <f>'NE'!AE34</f>
        <v/>
      </c>
    </row>
    <row r="199">
      <c r="A199">
        <f>'NE'!B35</f>
        <v/>
      </c>
      <c r="B199" t="inlineStr">
        <is>
          <t>NE</t>
        </is>
      </c>
      <c r="C199" t="inlineStr">
        <is>
          <t>WR</t>
        </is>
      </c>
      <c r="D199" s="48">
        <f>'NE'!V35</f>
        <v/>
      </c>
      <c r="E199" s="48">
        <f>'NE'!W35</f>
        <v/>
      </c>
      <c r="F199" s="48">
        <f>'NE'!X35</f>
        <v/>
      </c>
      <c r="G199" s="49">
        <f>'NE'!Z35</f>
        <v/>
      </c>
      <c r="H199" s="48">
        <f>'NE'!AA35</f>
        <v/>
      </c>
      <c r="I199" s="48">
        <f>'NE'!AB35</f>
        <v/>
      </c>
      <c r="J199" s="49">
        <f>'NE'!AD35</f>
        <v/>
      </c>
      <c r="K199" s="49">
        <f>'NE'!AE35</f>
        <v/>
      </c>
    </row>
    <row r="200">
      <c r="A200">
        <f>'NE'!B36</f>
        <v/>
      </c>
      <c r="B200" t="inlineStr">
        <is>
          <t>NE</t>
        </is>
      </c>
      <c r="C200" t="inlineStr">
        <is>
          <t>WR</t>
        </is>
      </c>
      <c r="D200" s="48">
        <f>'NE'!V36</f>
        <v/>
      </c>
      <c r="E200" s="48">
        <f>'NE'!W36</f>
        <v/>
      </c>
      <c r="F200" s="48">
        <f>'NE'!X36</f>
        <v/>
      </c>
      <c r="G200" s="49">
        <f>'NE'!Z36</f>
        <v/>
      </c>
      <c r="H200" s="48">
        <f>'NE'!AA36</f>
        <v/>
      </c>
      <c r="I200" s="48">
        <f>'NE'!AB36</f>
        <v/>
      </c>
      <c r="J200" s="49">
        <f>'NE'!AD36</f>
        <v/>
      </c>
      <c r="K200" s="49">
        <f>'NE'!AE36</f>
        <v/>
      </c>
    </row>
    <row r="201">
      <c r="A201">
        <f>'NO'!B28</f>
        <v/>
      </c>
      <c r="B201" t="inlineStr">
        <is>
          <t>NO</t>
        </is>
      </c>
      <c r="C201" t="inlineStr">
        <is>
          <t>WR</t>
        </is>
      </c>
      <c r="D201" s="48">
        <f>'NO'!V28</f>
        <v/>
      </c>
      <c r="E201" s="48">
        <f>'NO'!W28</f>
        <v/>
      </c>
      <c r="F201" s="48">
        <f>'NO'!X28</f>
        <v/>
      </c>
      <c r="G201" s="49">
        <f>'NO'!Z28</f>
        <v/>
      </c>
      <c r="H201" s="48">
        <f>'NO'!AA28</f>
        <v/>
      </c>
      <c r="I201" s="48">
        <f>'NO'!AB28</f>
        <v/>
      </c>
      <c r="J201" s="49">
        <f>'NO'!AD28</f>
        <v/>
      </c>
      <c r="K201" s="49">
        <f>'NO'!AE28</f>
        <v/>
      </c>
    </row>
    <row r="202">
      <c r="A202">
        <f>'NO'!B29</f>
        <v/>
      </c>
      <c r="B202" t="inlineStr">
        <is>
          <t>NO</t>
        </is>
      </c>
      <c r="C202" t="inlineStr">
        <is>
          <t>WR</t>
        </is>
      </c>
      <c r="D202" s="48">
        <f>'NO'!V29</f>
        <v/>
      </c>
      <c r="E202" s="48">
        <f>'NO'!W29</f>
        <v/>
      </c>
      <c r="F202" s="48">
        <f>'NO'!X29</f>
        <v/>
      </c>
      <c r="G202" s="49">
        <f>'NO'!Z29</f>
        <v/>
      </c>
      <c r="H202" s="48">
        <f>'NO'!AA29</f>
        <v/>
      </c>
      <c r="I202" s="48">
        <f>'NO'!AB29</f>
        <v/>
      </c>
      <c r="J202" s="49">
        <f>'NO'!AD29</f>
        <v/>
      </c>
      <c r="K202" s="49">
        <f>'NO'!AE29</f>
        <v/>
      </c>
    </row>
    <row r="203">
      <c r="A203">
        <f>'NO'!B30</f>
        <v/>
      </c>
      <c r="B203" t="inlineStr">
        <is>
          <t>NO</t>
        </is>
      </c>
      <c r="C203" t="inlineStr">
        <is>
          <t>WR</t>
        </is>
      </c>
      <c r="D203" s="48">
        <f>'NO'!V30</f>
        <v/>
      </c>
      <c r="E203" s="48">
        <f>'NO'!W30</f>
        <v/>
      </c>
      <c r="F203" s="48">
        <f>'NO'!X30</f>
        <v/>
      </c>
      <c r="G203" s="49">
        <f>'NO'!Z30</f>
        <v/>
      </c>
      <c r="H203" s="48">
        <f>'NO'!AA30</f>
        <v/>
      </c>
      <c r="I203" s="48">
        <f>'NO'!AB30</f>
        <v/>
      </c>
      <c r="J203" s="49">
        <f>'NO'!AD30</f>
        <v/>
      </c>
      <c r="K203" s="49">
        <f>'NO'!AE30</f>
        <v/>
      </c>
    </row>
    <row r="204">
      <c r="A204">
        <f>'NO'!B31</f>
        <v/>
      </c>
      <c r="B204" t="inlineStr">
        <is>
          <t>NO</t>
        </is>
      </c>
      <c r="C204" t="inlineStr">
        <is>
          <t>WR</t>
        </is>
      </c>
      <c r="D204" s="48">
        <f>'NO'!V31</f>
        <v/>
      </c>
      <c r="E204" s="48">
        <f>'NO'!W31</f>
        <v/>
      </c>
      <c r="F204" s="48">
        <f>'NO'!X31</f>
        <v/>
      </c>
      <c r="G204" s="49">
        <f>'NO'!Z31</f>
        <v/>
      </c>
      <c r="H204" s="48">
        <f>'NO'!AA31</f>
        <v/>
      </c>
      <c r="I204" s="48">
        <f>'NO'!AB31</f>
        <v/>
      </c>
      <c r="J204" s="49">
        <f>'NO'!AD31</f>
        <v/>
      </c>
      <c r="K204" s="49">
        <f>'NO'!AE31</f>
        <v/>
      </c>
    </row>
    <row r="205">
      <c r="A205">
        <f>'NO'!B32</f>
        <v/>
      </c>
      <c r="B205" t="inlineStr">
        <is>
          <t>NO</t>
        </is>
      </c>
      <c r="C205" t="inlineStr">
        <is>
          <t>WR</t>
        </is>
      </c>
      <c r="D205" s="48">
        <f>'NO'!V32</f>
        <v/>
      </c>
      <c r="E205" s="48">
        <f>'NO'!W32</f>
        <v/>
      </c>
      <c r="F205" s="48">
        <f>'NO'!X32</f>
        <v/>
      </c>
      <c r="G205" s="49">
        <f>'NO'!Z32</f>
        <v/>
      </c>
      <c r="H205" s="48">
        <f>'NO'!AA32</f>
        <v/>
      </c>
      <c r="I205" s="48">
        <f>'NO'!AB32</f>
        <v/>
      </c>
      <c r="J205" s="49">
        <f>'NO'!AD32</f>
        <v/>
      </c>
      <c r="K205" s="49">
        <f>'NO'!AE32</f>
        <v/>
      </c>
    </row>
    <row r="206">
      <c r="A206">
        <f>'NO'!B33</f>
        <v/>
      </c>
      <c r="B206" t="inlineStr">
        <is>
          <t>NO</t>
        </is>
      </c>
      <c r="C206" t="inlineStr">
        <is>
          <t>WR</t>
        </is>
      </c>
      <c r="D206" s="48">
        <f>'NO'!V33</f>
        <v/>
      </c>
      <c r="E206" s="48">
        <f>'NO'!W33</f>
        <v/>
      </c>
      <c r="F206" s="48">
        <f>'NO'!X33</f>
        <v/>
      </c>
      <c r="G206" s="49">
        <f>'NO'!Z33</f>
        <v/>
      </c>
      <c r="H206" s="48">
        <f>'NO'!AA33</f>
        <v/>
      </c>
      <c r="I206" s="48">
        <f>'NO'!AB33</f>
        <v/>
      </c>
      <c r="J206" s="49">
        <f>'NO'!AD33</f>
        <v/>
      </c>
      <c r="K206" s="49">
        <f>'NO'!AE33</f>
        <v/>
      </c>
    </row>
    <row r="207">
      <c r="A207">
        <f>'NO'!B34</f>
        <v/>
      </c>
      <c r="B207" t="inlineStr">
        <is>
          <t>NO</t>
        </is>
      </c>
      <c r="C207" t="inlineStr">
        <is>
          <t>WR</t>
        </is>
      </c>
      <c r="D207" s="48">
        <f>'NO'!V34</f>
        <v/>
      </c>
      <c r="E207" s="48">
        <f>'NO'!W34</f>
        <v/>
      </c>
      <c r="F207" s="48">
        <f>'NO'!X34</f>
        <v/>
      </c>
      <c r="G207" s="49">
        <f>'NO'!Z34</f>
        <v/>
      </c>
      <c r="H207" s="48">
        <f>'NO'!AA34</f>
        <v/>
      </c>
      <c r="I207" s="48">
        <f>'NO'!AB34</f>
        <v/>
      </c>
      <c r="J207" s="49">
        <f>'NO'!AD34</f>
        <v/>
      </c>
      <c r="K207" s="49">
        <f>'NO'!AE34</f>
        <v/>
      </c>
    </row>
    <row r="208">
      <c r="A208">
        <f>'NO'!B35</f>
        <v/>
      </c>
      <c r="B208" t="inlineStr">
        <is>
          <t>NO</t>
        </is>
      </c>
      <c r="C208" t="inlineStr">
        <is>
          <t>WR</t>
        </is>
      </c>
      <c r="D208" s="48">
        <f>'NO'!V35</f>
        <v/>
      </c>
      <c r="E208" s="48">
        <f>'NO'!W35</f>
        <v/>
      </c>
      <c r="F208" s="48">
        <f>'NO'!X35</f>
        <v/>
      </c>
      <c r="G208" s="49">
        <f>'NO'!Z35</f>
        <v/>
      </c>
      <c r="H208" s="48">
        <f>'NO'!AA35</f>
        <v/>
      </c>
      <c r="I208" s="48">
        <f>'NO'!AB35</f>
        <v/>
      </c>
      <c r="J208" s="49">
        <f>'NO'!AD35</f>
        <v/>
      </c>
      <c r="K208" s="49">
        <f>'NO'!AE35</f>
        <v/>
      </c>
    </row>
    <row r="209">
      <c r="A209">
        <f>'NO'!B36</f>
        <v/>
      </c>
      <c r="B209" t="inlineStr">
        <is>
          <t>NO</t>
        </is>
      </c>
      <c r="C209" t="inlineStr">
        <is>
          <t>WR</t>
        </is>
      </c>
      <c r="D209" s="48">
        <f>'NO'!V36</f>
        <v/>
      </c>
      <c r="E209" s="48">
        <f>'NO'!W36</f>
        <v/>
      </c>
      <c r="F209" s="48">
        <f>'NO'!X36</f>
        <v/>
      </c>
      <c r="G209" s="49">
        <f>'NO'!Z36</f>
        <v/>
      </c>
      <c r="H209" s="48">
        <f>'NO'!AA36</f>
        <v/>
      </c>
      <c r="I209" s="48">
        <f>'NO'!AB36</f>
        <v/>
      </c>
      <c r="J209" s="49">
        <f>'NO'!AD36</f>
        <v/>
      </c>
      <c r="K209" s="49">
        <f>'NO'!AE36</f>
        <v/>
      </c>
    </row>
    <row r="210">
      <c r="A210">
        <f>'NYG'!B28</f>
        <v/>
      </c>
      <c r="B210" t="inlineStr">
        <is>
          <t>NYG</t>
        </is>
      </c>
      <c r="C210" t="inlineStr">
        <is>
          <t>WR</t>
        </is>
      </c>
      <c r="D210" s="48">
        <f>'NYG'!V28</f>
        <v/>
      </c>
      <c r="E210" s="48">
        <f>'NYG'!W28</f>
        <v/>
      </c>
      <c r="F210" s="48">
        <f>'NYG'!X28</f>
        <v/>
      </c>
      <c r="G210" s="49">
        <f>'NYG'!Z28</f>
        <v/>
      </c>
      <c r="H210" s="48">
        <f>'NYG'!AA28</f>
        <v/>
      </c>
      <c r="I210" s="48">
        <f>'NYG'!AB28</f>
        <v/>
      </c>
      <c r="J210" s="49">
        <f>'NYG'!AD28</f>
        <v/>
      </c>
      <c r="K210" s="49">
        <f>'NYG'!AE28</f>
        <v/>
      </c>
    </row>
    <row r="211">
      <c r="A211">
        <f>'NYG'!B29</f>
        <v/>
      </c>
      <c r="B211" t="inlineStr">
        <is>
          <t>NYG</t>
        </is>
      </c>
      <c r="C211" t="inlineStr">
        <is>
          <t>WR</t>
        </is>
      </c>
      <c r="D211" s="48">
        <f>'NYG'!V29</f>
        <v/>
      </c>
      <c r="E211" s="48">
        <f>'NYG'!W29</f>
        <v/>
      </c>
      <c r="F211" s="48">
        <f>'NYG'!X29</f>
        <v/>
      </c>
      <c r="G211" s="49">
        <f>'NYG'!Z29</f>
        <v/>
      </c>
      <c r="H211" s="48">
        <f>'NYG'!AA29</f>
        <v/>
      </c>
      <c r="I211" s="48">
        <f>'NYG'!AB29</f>
        <v/>
      </c>
      <c r="J211" s="49">
        <f>'NYG'!AD29</f>
        <v/>
      </c>
      <c r="K211" s="49">
        <f>'NYG'!AE29</f>
        <v/>
      </c>
    </row>
    <row r="212">
      <c r="A212">
        <f>'NYG'!B30</f>
        <v/>
      </c>
      <c r="B212" t="inlineStr">
        <is>
          <t>NYG</t>
        </is>
      </c>
      <c r="C212" t="inlineStr">
        <is>
          <t>WR</t>
        </is>
      </c>
      <c r="D212" s="48">
        <f>'NYG'!V30</f>
        <v/>
      </c>
      <c r="E212" s="48">
        <f>'NYG'!W30</f>
        <v/>
      </c>
      <c r="F212" s="48">
        <f>'NYG'!X30</f>
        <v/>
      </c>
      <c r="G212" s="49">
        <f>'NYG'!Z30</f>
        <v/>
      </c>
      <c r="H212" s="48">
        <f>'NYG'!AA30</f>
        <v/>
      </c>
      <c r="I212" s="48">
        <f>'NYG'!AB30</f>
        <v/>
      </c>
      <c r="J212" s="49">
        <f>'NYG'!AD30</f>
        <v/>
      </c>
      <c r="K212" s="49">
        <f>'NYG'!AE30</f>
        <v/>
      </c>
    </row>
    <row r="213">
      <c r="A213">
        <f>'NYG'!B31</f>
        <v/>
      </c>
      <c r="B213" t="inlineStr">
        <is>
          <t>NYG</t>
        </is>
      </c>
      <c r="C213" t="inlineStr">
        <is>
          <t>WR</t>
        </is>
      </c>
      <c r="D213" s="48">
        <f>'NYG'!V31</f>
        <v/>
      </c>
      <c r="E213" s="48">
        <f>'NYG'!W31</f>
        <v/>
      </c>
      <c r="F213" s="48">
        <f>'NYG'!X31</f>
        <v/>
      </c>
      <c r="G213" s="49">
        <f>'NYG'!Z31</f>
        <v/>
      </c>
      <c r="H213" s="48">
        <f>'NYG'!AA31</f>
        <v/>
      </c>
      <c r="I213" s="48">
        <f>'NYG'!AB31</f>
        <v/>
      </c>
      <c r="J213" s="49">
        <f>'NYG'!AD31</f>
        <v/>
      </c>
      <c r="K213" s="49">
        <f>'NYG'!AE31</f>
        <v/>
      </c>
    </row>
    <row r="214">
      <c r="A214">
        <f>'NYG'!B32</f>
        <v/>
      </c>
      <c r="B214" t="inlineStr">
        <is>
          <t>NYG</t>
        </is>
      </c>
      <c r="C214" t="inlineStr">
        <is>
          <t>WR</t>
        </is>
      </c>
      <c r="D214" s="48">
        <f>'NYG'!V32</f>
        <v/>
      </c>
      <c r="E214" s="48">
        <f>'NYG'!W32</f>
        <v/>
      </c>
      <c r="F214" s="48">
        <f>'NYG'!X32</f>
        <v/>
      </c>
      <c r="G214" s="49">
        <f>'NYG'!Z32</f>
        <v/>
      </c>
      <c r="H214" s="48">
        <f>'NYG'!AA32</f>
        <v/>
      </c>
      <c r="I214" s="48">
        <f>'NYG'!AB32</f>
        <v/>
      </c>
      <c r="J214" s="49">
        <f>'NYG'!AD32</f>
        <v/>
      </c>
      <c r="K214" s="49">
        <f>'NYG'!AE32</f>
        <v/>
      </c>
    </row>
    <row r="215">
      <c r="A215">
        <f>'NYG'!B33</f>
        <v/>
      </c>
      <c r="B215" t="inlineStr">
        <is>
          <t>NYG</t>
        </is>
      </c>
      <c r="C215" t="inlineStr">
        <is>
          <t>WR</t>
        </is>
      </c>
      <c r="D215" s="48">
        <f>'NYG'!V33</f>
        <v/>
      </c>
      <c r="E215" s="48">
        <f>'NYG'!W33</f>
        <v/>
      </c>
      <c r="F215" s="48">
        <f>'NYG'!X33</f>
        <v/>
      </c>
      <c r="G215" s="49">
        <f>'NYG'!Z33</f>
        <v/>
      </c>
      <c r="H215" s="48">
        <f>'NYG'!AA33</f>
        <v/>
      </c>
      <c r="I215" s="48">
        <f>'NYG'!AB33</f>
        <v/>
      </c>
      <c r="J215" s="49">
        <f>'NYG'!AD33</f>
        <v/>
      </c>
      <c r="K215" s="49">
        <f>'NYG'!AE33</f>
        <v/>
      </c>
    </row>
    <row r="216">
      <c r="A216">
        <f>'NYG'!B34</f>
        <v/>
      </c>
      <c r="B216" t="inlineStr">
        <is>
          <t>NYG</t>
        </is>
      </c>
      <c r="C216" t="inlineStr">
        <is>
          <t>WR</t>
        </is>
      </c>
      <c r="D216" s="48">
        <f>'NYG'!V34</f>
        <v/>
      </c>
      <c r="E216" s="48">
        <f>'NYG'!W34</f>
        <v/>
      </c>
      <c r="F216" s="48">
        <f>'NYG'!X34</f>
        <v/>
      </c>
      <c r="G216" s="49">
        <f>'NYG'!Z34</f>
        <v/>
      </c>
      <c r="H216" s="48">
        <f>'NYG'!AA34</f>
        <v/>
      </c>
      <c r="I216" s="48">
        <f>'NYG'!AB34</f>
        <v/>
      </c>
      <c r="J216" s="49">
        <f>'NYG'!AD34</f>
        <v/>
      </c>
      <c r="K216" s="49">
        <f>'NYG'!AE34</f>
        <v/>
      </c>
    </row>
    <row r="217">
      <c r="A217">
        <f>'NYG'!B35</f>
        <v/>
      </c>
      <c r="B217" t="inlineStr">
        <is>
          <t>NYG</t>
        </is>
      </c>
      <c r="C217" t="inlineStr">
        <is>
          <t>WR</t>
        </is>
      </c>
      <c r="D217" s="48">
        <f>'NYG'!V35</f>
        <v/>
      </c>
      <c r="E217" s="48">
        <f>'NYG'!W35</f>
        <v/>
      </c>
      <c r="F217" s="48">
        <f>'NYG'!X35</f>
        <v/>
      </c>
      <c r="G217" s="49">
        <f>'NYG'!Z35</f>
        <v/>
      </c>
      <c r="H217" s="48">
        <f>'NYG'!AA35</f>
        <v/>
      </c>
      <c r="I217" s="48">
        <f>'NYG'!AB35</f>
        <v/>
      </c>
      <c r="J217" s="49">
        <f>'NYG'!AD35</f>
        <v/>
      </c>
      <c r="K217" s="49">
        <f>'NYG'!AE35</f>
        <v/>
      </c>
    </row>
    <row r="218">
      <c r="A218">
        <f>'NYG'!B36</f>
        <v/>
      </c>
      <c r="B218" t="inlineStr">
        <is>
          <t>NYG</t>
        </is>
      </c>
      <c r="C218" t="inlineStr">
        <is>
          <t>WR</t>
        </is>
      </c>
      <c r="D218" s="48">
        <f>'NYG'!V36</f>
        <v/>
      </c>
      <c r="E218" s="48">
        <f>'NYG'!W36</f>
        <v/>
      </c>
      <c r="F218" s="48">
        <f>'NYG'!X36</f>
        <v/>
      </c>
      <c r="G218" s="49">
        <f>'NYG'!Z36</f>
        <v/>
      </c>
      <c r="H218" s="48">
        <f>'NYG'!AA36</f>
        <v/>
      </c>
      <c r="I218" s="48">
        <f>'NYG'!AB36</f>
        <v/>
      </c>
      <c r="J218" s="49">
        <f>'NYG'!AD36</f>
        <v/>
      </c>
      <c r="K218" s="49">
        <f>'NYG'!AE36</f>
        <v/>
      </c>
    </row>
    <row r="219">
      <c r="A219">
        <f>'NYJ'!B28</f>
        <v/>
      </c>
      <c r="B219" t="inlineStr">
        <is>
          <t>NYJ</t>
        </is>
      </c>
      <c r="C219" t="inlineStr">
        <is>
          <t>WR</t>
        </is>
      </c>
      <c r="D219" s="48">
        <f>'NYJ'!V28</f>
        <v/>
      </c>
      <c r="E219" s="48">
        <f>'NYJ'!W28</f>
        <v/>
      </c>
      <c r="F219" s="48">
        <f>'NYJ'!X28</f>
        <v/>
      </c>
      <c r="G219" s="49">
        <f>'NYJ'!Z28</f>
        <v/>
      </c>
      <c r="H219" s="48">
        <f>'NYJ'!AA28</f>
        <v/>
      </c>
      <c r="I219" s="48">
        <f>'NYJ'!AB28</f>
        <v/>
      </c>
      <c r="J219" s="49">
        <f>'NYJ'!AD28</f>
        <v/>
      </c>
      <c r="K219" s="49">
        <f>'NYJ'!AE28</f>
        <v/>
      </c>
    </row>
    <row r="220">
      <c r="A220">
        <f>'NYJ'!B29</f>
        <v/>
      </c>
      <c r="B220" t="inlineStr">
        <is>
          <t>NYJ</t>
        </is>
      </c>
      <c r="C220" t="inlineStr">
        <is>
          <t>WR</t>
        </is>
      </c>
      <c r="D220" s="48">
        <f>'NYJ'!V29</f>
        <v/>
      </c>
      <c r="E220" s="48">
        <f>'NYJ'!W29</f>
        <v/>
      </c>
      <c r="F220" s="48">
        <f>'NYJ'!X29</f>
        <v/>
      </c>
      <c r="G220" s="49">
        <f>'NYJ'!Z29</f>
        <v/>
      </c>
      <c r="H220" s="48">
        <f>'NYJ'!AA29</f>
        <v/>
      </c>
      <c r="I220" s="48">
        <f>'NYJ'!AB29</f>
        <v/>
      </c>
      <c r="J220" s="49">
        <f>'NYJ'!AD29</f>
        <v/>
      </c>
      <c r="K220" s="49">
        <f>'NYJ'!AE29</f>
        <v/>
      </c>
    </row>
    <row r="221">
      <c r="A221">
        <f>'NYJ'!B30</f>
        <v/>
      </c>
      <c r="B221" t="inlineStr">
        <is>
          <t>NYJ</t>
        </is>
      </c>
      <c r="C221" t="inlineStr">
        <is>
          <t>WR</t>
        </is>
      </c>
      <c r="D221" s="48">
        <f>'NYJ'!V30</f>
        <v/>
      </c>
      <c r="E221" s="48">
        <f>'NYJ'!W30</f>
        <v/>
      </c>
      <c r="F221" s="48">
        <f>'NYJ'!X30</f>
        <v/>
      </c>
      <c r="G221" s="49">
        <f>'NYJ'!Z30</f>
        <v/>
      </c>
      <c r="H221" s="48">
        <f>'NYJ'!AA30</f>
        <v/>
      </c>
      <c r="I221" s="48">
        <f>'NYJ'!AB30</f>
        <v/>
      </c>
      <c r="J221" s="49">
        <f>'NYJ'!AD30</f>
        <v/>
      </c>
      <c r="K221" s="49">
        <f>'NYJ'!AE30</f>
        <v/>
      </c>
    </row>
    <row r="222">
      <c r="A222">
        <f>'NYJ'!B31</f>
        <v/>
      </c>
      <c r="B222" t="inlineStr">
        <is>
          <t>NYJ</t>
        </is>
      </c>
      <c r="C222" t="inlineStr">
        <is>
          <t>WR</t>
        </is>
      </c>
      <c r="D222" s="48">
        <f>'NYJ'!V31</f>
        <v/>
      </c>
      <c r="E222" s="48">
        <f>'NYJ'!W31</f>
        <v/>
      </c>
      <c r="F222" s="48">
        <f>'NYJ'!X31</f>
        <v/>
      </c>
      <c r="G222" s="49">
        <f>'NYJ'!Z31</f>
        <v/>
      </c>
      <c r="H222" s="48">
        <f>'NYJ'!AA31</f>
        <v/>
      </c>
      <c r="I222" s="48">
        <f>'NYJ'!AB31</f>
        <v/>
      </c>
      <c r="J222" s="49">
        <f>'NYJ'!AD31</f>
        <v/>
      </c>
      <c r="K222" s="49">
        <f>'NYJ'!AE31</f>
        <v/>
      </c>
    </row>
    <row r="223">
      <c r="A223">
        <f>'NYJ'!B32</f>
        <v/>
      </c>
      <c r="B223" t="inlineStr">
        <is>
          <t>NYJ</t>
        </is>
      </c>
      <c r="C223" t="inlineStr">
        <is>
          <t>WR</t>
        </is>
      </c>
      <c r="D223" s="48">
        <f>'NYJ'!V32</f>
        <v/>
      </c>
      <c r="E223" s="48">
        <f>'NYJ'!W32</f>
        <v/>
      </c>
      <c r="F223" s="48">
        <f>'NYJ'!X32</f>
        <v/>
      </c>
      <c r="G223" s="49">
        <f>'NYJ'!Z32</f>
        <v/>
      </c>
      <c r="H223" s="48">
        <f>'NYJ'!AA32</f>
        <v/>
      </c>
      <c r="I223" s="48">
        <f>'NYJ'!AB32</f>
        <v/>
      </c>
      <c r="J223" s="49">
        <f>'NYJ'!AD32</f>
        <v/>
      </c>
      <c r="K223" s="49">
        <f>'NYJ'!AE32</f>
        <v/>
      </c>
    </row>
    <row r="224">
      <c r="A224">
        <f>'NYJ'!B33</f>
        <v/>
      </c>
      <c r="B224" t="inlineStr">
        <is>
          <t>NYJ</t>
        </is>
      </c>
      <c r="C224" t="inlineStr">
        <is>
          <t>WR</t>
        </is>
      </c>
      <c r="D224" s="48">
        <f>'NYJ'!V33</f>
        <v/>
      </c>
      <c r="E224" s="48">
        <f>'NYJ'!W33</f>
        <v/>
      </c>
      <c r="F224" s="48">
        <f>'NYJ'!X33</f>
        <v/>
      </c>
      <c r="G224" s="49">
        <f>'NYJ'!Z33</f>
        <v/>
      </c>
      <c r="H224" s="48">
        <f>'NYJ'!AA33</f>
        <v/>
      </c>
      <c r="I224" s="48">
        <f>'NYJ'!AB33</f>
        <v/>
      </c>
      <c r="J224" s="49">
        <f>'NYJ'!AD33</f>
        <v/>
      </c>
      <c r="K224" s="49">
        <f>'NYJ'!AE33</f>
        <v/>
      </c>
    </row>
    <row r="225">
      <c r="A225">
        <f>'NYJ'!B34</f>
        <v/>
      </c>
      <c r="B225" t="inlineStr">
        <is>
          <t>NYJ</t>
        </is>
      </c>
      <c r="C225" t="inlineStr">
        <is>
          <t>WR</t>
        </is>
      </c>
      <c r="D225" s="48">
        <f>'NYJ'!V34</f>
        <v/>
      </c>
      <c r="E225" s="48">
        <f>'NYJ'!W34</f>
        <v/>
      </c>
      <c r="F225" s="48">
        <f>'NYJ'!X34</f>
        <v/>
      </c>
      <c r="G225" s="49">
        <f>'NYJ'!Z34</f>
        <v/>
      </c>
      <c r="H225" s="48">
        <f>'NYJ'!AA34</f>
        <v/>
      </c>
      <c r="I225" s="48">
        <f>'NYJ'!AB34</f>
        <v/>
      </c>
      <c r="J225" s="49">
        <f>'NYJ'!AD34</f>
        <v/>
      </c>
      <c r="K225" s="49">
        <f>'NYJ'!AE34</f>
        <v/>
      </c>
    </row>
    <row r="226">
      <c r="A226">
        <f>'NYJ'!B35</f>
        <v/>
      </c>
      <c r="B226" t="inlineStr">
        <is>
          <t>NYJ</t>
        </is>
      </c>
      <c r="C226" t="inlineStr">
        <is>
          <t>WR</t>
        </is>
      </c>
      <c r="D226" s="48">
        <f>'NYJ'!V35</f>
        <v/>
      </c>
      <c r="E226" s="48">
        <f>'NYJ'!W35</f>
        <v/>
      </c>
      <c r="F226" s="48">
        <f>'NYJ'!X35</f>
        <v/>
      </c>
      <c r="G226" s="49">
        <f>'NYJ'!Z35</f>
        <v/>
      </c>
      <c r="H226" s="48">
        <f>'NYJ'!AA35</f>
        <v/>
      </c>
      <c r="I226" s="48">
        <f>'NYJ'!AB35</f>
        <v/>
      </c>
      <c r="J226" s="49">
        <f>'NYJ'!AD35</f>
        <v/>
      </c>
      <c r="K226" s="49">
        <f>'NYJ'!AE35</f>
        <v/>
      </c>
    </row>
    <row r="227">
      <c r="A227">
        <f>'NYJ'!B36</f>
        <v/>
      </c>
      <c r="B227" t="inlineStr">
        <is>
          <t>NYJ</t>
        </is>
      </c>
      <c r="C227" t="inlineStr">
        <is>
          <t>WR</t>
        </is>
      </c>
      <c r="D227" s="48">
        <f>'NYJ'!V36</f>
        <v/>
      </c>
      <c r="E227" s="48">
        <f>'NYJ'!W36</f>
        <v/>
      </c>
      <c r="F227" s="48">
        <f>'NYJ'!X36</f>
        <v/>
      </c>
      <c r="G227" s="49">
        <f>'NYJ'!Z36</f>
        <v/>
      </c>
      <c r="H227" s="48">
        <f>'NYJ'!AA36</f>
        <v/>
      </c>
      <c r="I227" s="48">
        <f>'NYJ'!AB36</f>
        <v/>
      </c>
      <c r="J227" s="49">
        <f>'NYJ'!AD36</f>
        <v/>
      </c>
      <c r="K227" s="49">
        <f>'NYJ'!AE36</f>
        <v/>
      </c>
    </row>
    <row r="228">
      <c r="A228">
        <f>'PHI'!B28</f>
        <v/>
      </c>
      <c r="B228" t="inlineStr">
        <is>
          <t>PHI</t>
        </is>
      </c>
      <c r="C228" t="inlineStr">
        <is>
          <t>WR</t>
        </is>
      </c>
      <c r="D228" s="48">
        <f>'PHI'!V28</f>
        <v/>
      </c>
      <c r="E228" s="48">
        <f>'PHI'!W28</f>
        <v/>
      </c>
      <c r="F228" s="48">
        <f>'PHI'!X28</f>
        <v/>
      </c>
      <c r="G228" s="49">
        <f>'PHI'!Z28</f>
        <v/>
      </c>
      <c r="H228" s="48">
        <f>'PHI'!AA28</f>
        <v/>
      </c>
      <c r="I228" s="48">
        <f>'PHI'!AB28</f>
        <v/>
      </c>
      <c r="J228" s="49">
        <f>'PHI'!AD28</f>
        <v/>
      </c>
      <c r="K228" s="49">
        <f>'PHI'!AE28</f>
        <v/>
      </c>
    </row>
    <row r="229">
      <c r="A229">
        <f>'PHI'!B29</f>
        <v/>
      </c>
      <c r="B229" t="inlineStr">
        <is>
          <t>PHI</t>
        </is>
      </c>
      <c r="C229" t="inlineStr">
        <is>
          <t>WR</t>
        </is>
      </c>
      <c r="D229" s="48">
        <f>'PHI'!V29</f>
        <v/>
      </c>
      <c r="E229" s="48">
        <f>'PHI'!W29</f>
        <v/>
      </c>
      <c r="F229" s="48">
        <f>'PHI'!X29</f>
        <v/>
      </c>
      <c r="G229" s="49">
        <f>'PHI'!Z29</f>
        <v/>
      </c>
      <c r="H229" s="48">
        <f>'PHI'!AA29</f>
        <v/>
      </c>
      <c r="I229" s="48">
        <f>'PHI'!AB29</f>
        <v/>
      </c>
      <c r="J229" s="49">
        <f>'PHI'!AD29</f>
        <v/>
      </c>
      <c r="K229" s="49">
        <f>'PHI'!AE29</f>
        <v/>
      </c>
    </row>
    <row r="230">
      <c r="A230">
        <f>'PHI'!B30</f>
        <v/>
      </c>
      <c r="B230" t="inlineStr">
        <is>
          <t>PHI</t>
        </is>
      </c>
      <c r="C230" t="inlineStr">
        <is>
          <t>WR</t>
        </is>
      </c>
      <c r="D230" s="48">
        <f>'PHI'!V30</f>
        <v/>
      </c>
      <c r="E230" s="48">
        <f>'PHI'!W30</f>
        <v/>
      </c>
      <c r="F230" s="48">
        <f>'PHI'!X30</f>
        <v/>
      </c>
      <c r="G230" s="49">
        <f>'PHI'!Z30</f>
        <v/>
      </c>
      <c r="H230" s="48">
        <f>'PHI'!AA30</f>
        <v/>
      </c>
      <c r="I230" s="48">
        <f>'PHI'!AB30</f>
        <v/>
      </c>
      <c r="J230" s="49">
        <f>'PHI'!AD30</f>
        <v/>
      </c>
      <c r="K230" s="49">
        <f>'PHI'!AE30</f>
        <v/>
      </c>
    </row>
    <row r="231">
      <c r="A231">
        <f>'PHI'!B31</f>
        <v/>
      </c>
      <c r="B231" t="inlineStr">
        <is>
          <t>PHI</t>
        </is>
      </c>
      <c r="C231" t="inlineStr">
        <is>
          <t>WR</t>
        </is>
      </c>
      <c r="D231" s="48">
        <f>'PHI'!V31</f>
        <v/>
      </c>
      <c r="E231" s="48">
        <f>'PHI'!W31</f>
        <v/>
      </c>
      <c r="F231" s="48">
        <f>'PHI'!X31</f>
        <v/>
      </c>
      <c r="G231" s="49">
        <f>'PHI'!Z31</f>
        <v/>
      </c>
      <c r="H231" s="48">
        <f>'PHI'!AA31</f>
        <v/>
      </c>
      <c r="I231" s="48">
        <f>'PHI'!AB31</f>
        <v/>
      </c>
      <c r="J231" s="49">
        <f>'PHI'!AD31</f>
        <v/>
      </c>
      <c r="K231" s="49">
        <f>'PHI'!AE31</f>
        <v/>
      </c>
    </row>
    <row r="232">
      <c r="A232">
        <f>'PHI'!B32</f>
        <v/>
      </c>
      <c r="B232" t="inlineStr">
        <is>
          <t>PHI</t>
        </is>
      </c>
      <c r="C232" t="inlineStr">
        <is>
          <t>WR</t>
        </is>
      </c>
      <c r="D232" s="48">
        <f>'PHI'!V32</f>
        <v/>
      </c>
      <c r="E232" s="48">
        <f>'PHI'!W32</f>
        <v/>
      </c>
      <c r="F232" s="48">
        <f>'PHI'!X32</f>
        <v/>
      </c>
      <c r="G232" s="49">
        <f>'PHI'!Z32</f>
        <v/>
      </c>
      <c r="H232" s="48">
        <f>'PHI'!AA32</f>
        <v/>
      </c>
      <c r="I232" s="48">
        <f>'PHI'!AB32</f>
        <v/>
      </c>
      <c r="J232" s="49">
        <f>'PHI'!AD32</f>
        <v/>
      </c>
      <c r="K232" s="49">
        <f>'PHI'!AE32</f>
        <v/>
      </c>
    </row>
    <row r="233">
      <c r="A233">
        <f>'PHI'!B33</f>
        <v/>
      </c>
      <c r="B233" t="inlineStr">
        <is>
          <t>PHI</t>
        </is>
      </c>
      <c r="C233" t="inlineStr">
        <is>
          <t>WR</t>
        </is>
      </c>
      <c r="D233" s="48">
        <f>'PHI'!V33</f>
        <v/>
      </c>
      <c r="E233" s="48">
        <f>'PHI'!W33</f>
        <v/>
      </c>
      <c r="F233" s="48">
        <f>'PHI'!X33</f>
        <v/>
      </c>
      <c r="G233" s="49">
        <f>'PHI'!Z33</f>
        <v/>
      </c>
      <c r="H233" s="48">
        <f>'PHI'!AA33</f>
        <v/>
      </c>
      <c r="I233" s="48">
        <f>'PHI'!AB33</f>
        <v/>
      </c>
      <c r="J233" s="49">
        <f>'PHI'!AD33</f>
        <v/>
      </c>
      <c r="K233" s="49">
        <f>'PHI'!AE33</f>
        <v/>
      </c>
    </row>
    <row r="234">
      <c r="A234">
        <f>'PHI'!B34</f>
        <v/>
      </c>
      <c r="B234" t="inlineStr">
        <is>
          <t>PHI</t>
        </is>
      </c>
      <c r="C234" t="inlineStr">
        <is>
          <t>WR</t>
        </is>
      </c>
      <c r="D234" s="48">
        <f>'PHI'!V34</f>
        <v/>
      </c>
      <c r="E234" s="48">
        <f>'PHI'!W34</f>
        <v/>
      </c>
      <c r="F234" s="48">
        <f>'PHI'!X34</f>
        <v/>
      </c>
      <c r="G234" s="49">
        <f>'PHI'!Z34</f>
        <v/>
      </c>
      <c r="H234" s="48">
        <f>'PHI'!AA34</f>
        <v/>
      </c>
      <c r="I234" s="48">
        <f>'PHI'!AB34</f>
        <v/>
      </c>
      <c r="J234" s="49">
        <f>'PHI'!AD34</f>
        <v/>
      </c>
      <c r="K234" s="49">
        <f>'PHI'!AE34</f>
        <v/>
      </c>
    </row>
    <row r="235">
      <c r="A235">
        <f>'PHI'!B35</f>
        <v/>
      </c>
      <c r="B235" t="inlineStr">
        <is>
          <t>PHI</t>
        </is>
      </c>
      <c r="C235" t="inlineStr">
        <is>
          <t>WR</t>
        </is>
      </c>
      <c r="D235" s="48">
        <f>'PHI'!V35</f>
        <v/>
      </c>
      <c r="E235" s="48">
        <f>'PHI'!W35</f>
        <v/>
      </c>
      <c r="F235" s="48">
        <f>'PHI'!X35</f>
        <v/>
      </c>
      <c r="G235" s="49">
        <f>'PHI'!Z35</f>
        <v/>
      </c>
      <c r="H235" s="48">
        <f>'PHI'!AA35</f>
        <v/>
      </c>
      <c r="I235" s="48">
        <f>'PHI'!AB35</f>
        <v/>
      </c>
      <c r="J235" s="49">
        <f>'PHI'!AD35</f>
        <v/>
      </c>
      <c r="K235" s="49">
        <f>'PHI'!AE35</f>
        <v/>
      </c>
    </row>
    <row r="236">
      <c r="A236">
        <f>'PHI'!B36</f>
        <v/>
      </c>
      <c r="B236" t="inlineStr">
        <is>
          <t>PHI</t>
        </is>
      </c>
      <c r="C236" t="inlineStr">
        <is>
          <t>WR</t>
        </is>
      </c>
      <c r="D236" s="48">
        <f>'PHI'!V36</f>
        <v/>
      </c>
      <c r="E236" s="48">
        <f>'PHI'!W36</f>
        <v/>
      </c>
      <c r="F236" s="48">
        <f>'PHI'!X36</f>
        <v/>
      </c>
      <c r="G236" s="49">
        <f>'PHI'!Z36</f>
        <v/>
      </c>
      <c r="H236" s="48">
        <f>'PHI'!AA36</f>
        <v/>
      </c>
      <c r="I236" s="48">
        <f>'PHI'!AB36</f>
        <v/>
      </c>
      <c r="J236" s="49">
        <f>'PHI'!AD36</f>
        <v/>
      </c>
      <c r="K236" s="49">
        <f>'PHI'!AE36</f>
        <v/>
      </c>
    </row>
    <row r="237">
      <c r="A237">
        <f>'PIT'!B28</f>
        <v/>
      </c>
      <c r="B237" t="inlineStr">
        <is>
          <t>PIT</t>
        </is>
      </c>
      <c r="C237" t="inlineStr">
        <is>
          <t>WR</t>
        </is>
      </c>
      <c r="D237" s="48">
        <f>'PIT'!V28</f>
        <v/>
      </c>
      <c r="E237" s="48">
        <f>'PIT'!W28</f>
        <v/>
      </c>
      <c r="F237" s="48">
        <f>'PIT'!X28</f>
        <v/>
      </c>
      <c r="G237" s="49">
        <f>'PIT'!Z28</f>
        <v/>
      </c>
      <c r="H237" s="48">
        <f>'PIT'!AA28</f>
        <v/>
      </c>
      <c r="I237" s="48">
        <f>'PIT'!AB28</f>
        <v/>
      </c>
      <c r="J237" s="49">
        <f>'PIT'!AD28</f>
        <v/>
      </c>
      <c r="K237" s="49">
        <f>'PIT'!AE28</f>
        <v/>
      </c>
    </row>
    <row r="238">
      <c r="A238">
        <f>'PIT'!B29</f>
        <v/>
      </c>
      <c r="B238" t="inlineStr">
        <is>
          <t>PIT</t>
        </is>
      </c>
      <c r="C238" t="inlineStr">
        <is>
          <t>WR</t>
        </is>
      </c>
      <c r="D238" s="48">
        <f>'PIT'!V29</f>
        <v/>
      </c>
      <c r="E238" s="48">
        <f>'PIT'!W29</f>
        <v/>
      </c>
      <c r="F238" s="48">
        <f>'PIT'!X29</f>
        <v/>
      </c>
      <c r="G238" s="49">
        <f>'PIT'!Z29</f>
        <v/>
      </c>
      <c r="H238" s="48">
        <f>'PIT'!AA29</f>
        <v/>
      </c>
      <c r="I238" s="48">
        <f>'PIT'!AB29</f>
        <v/>
      </c>
      <c r="J238" s="49">
        <f>'PIT'!AD29</f>
        <v/>
      </c>
      <c r="K238" s="49">
        <f>'PIT'!AE29</f>
        <v/>
      </c>
    </row>
    <row r="239">
      <c r="A239">
        <f>'PIT'!B30</f>
        <v/>
      </c>
      <c r="B239" t="inlineStr">
        <is>
          <t>PIT</t>
        </is>
      </c>
      <c r="C239" t="inlineStr">
        <is>
          <t>WR</t>
        </is>
      </c>
      <c r="D239" s="48">
        <f>'PIT'!V30</f>
        <v/>
      </c>
      <c r="E239" s="48">
        <f>'PIT'!W30</f>
        <v/>
      </c>
      <c r="F239" s="48">
        <f>'PIT'!X30</f>
        <v/>
      </c>
      <c r="G239" s="49">
        <f>'PIT'!Z30</f>
        <v/>
      </c>
      <c r="H239" s="48">
        <f>'PIT'!AA30</f>
        <v/>
      </c>
      <c r="I239" s="48">
        <f>'PIT'!AB30</f>
        <v/>
      </c>
      <c r="J239" s="49">
        <f>'PIT'!AD30</f>
        <v/>
      </c>
      <c r="K239" s="49">
        <f>'PIT'!AE30</f>
        <v/>
      </c>
    </row>
    <row r="240">
      <c r="A240">
        <f>'PIT'!B31</f>
        <v/>
      </c>
      <c r="B240" t="inlineStr">
        <is>
          <t>PIT</t>
        </is>
      </c>
      <c r="C240" t="inlineStr">
        <is>
          <t>WR</t>
        </is>
      </c>
      <c r="D240" s="48">
        <f>'PIT'!V31</f>
        <v/>
      </c>
      <c r="E240" s="48">
        <f>'PIT'!W31</f>
        <v/>
      </c>
      <c r="F240" s="48">
        <f>'PIT'!X31</f>
        <v/>
      </c>
      <c r="G240" s="49">
        <f>'PIT'!Z31</f>
        <v/>
      </c>
      <c r="H240" s="48">
        <f>'PIT'!AA31</f>
        <v/>
      </c>
      <c r="I240" s="48">
        <f>'PIT'!AB31</f>
        <v/>
      </c>
      <c r="J240" s="49">
        <f>'PIT'!AD31</f>
        <v/>
      </c>
      <c r="K240" s="49">
        <f>'PIT'!AE31</f>
        <v/>
      </c>
    </row>
    <row r="241">
      <c r="A241">
        <f>'PIT'!B32</f>
        <v/>
      </c>
      <c r="B241" t="inlineStr">
        <is>
          <t>PIT</t>
        </is>
      </c>
      <c r="C241" t="inlineStr">
        <is>
          <t>WR</t>
        </is>
      </c>
      <c r="D241" s="48">
        <f>'PIT'!V32</f>
        <v/>
      </c>
      <c r="E241" s="48">
        <f>'PIT'!W32</f>
        <v/>
      </c>
      <c r="F241" s="48">
        <f>'PIT'!X32</f>
        <v/>
      </c>
      <c r="G241" s="49">
        <f>'PIT'!Z32</f>
        <v/>
      </c>
      <c r="H241" s="48">
        <f>'PIT'!AA32</f>
        <v/>
      </c>
      <c r="I241" s="48">
        <f>'PIT'!AB32</f>
        <v/>
      </c>
      <c r="J241" s="49">
        <f>'PIT'!AD32</f>
        <v/>
      </c>
      <c r="K241" s="49">
        <f>'PIT'!AE32</f>
        <v/>
      </c>
    </row>
    <row r="242">
      <c r="A242">
        <f>'PIT'!B33</f>
        <v/>
      </c>
      <c r="B242" t="inlineStr">
        <is>
          <t>PIT</t>
        </is>
      </c>
      <c r="C242" t="inlineStr">
        <is>
          <t>WR</t>
        </is>
      </c>
      <c r="D242" s="48">
        <f>'PIT'!V33</f>
        <v/>
      </c>
      <c r="E242" s="48">
        <f>'PIT'!W33</f>
        <v/>
      </c>
      <c r="F242" s="48">
        <f>'PIT'!X33</f>
        <v/>
      </c>
      <c r="G242" s="49">
        <f>'PIT'!Z33</f>
        <v/>
      </c>
      <c r="H242" s="48">
        <f>'PIT'!AA33</f>
        <v/>
      </c>
      <c r="I242" s="48">
        <f>'PIT'!AB33</f>
        <v/>
      </c>
      <c r="J242" s="49">
        <f>'PIT'!AD33</f>
        <v/>
      </c>
      <c r="K242" s="49">
        <f>'PIT'!AE33</f>
        <v/>
      </c>
    </row>
    <row r="243">
      <c r="A243">
        <f>'PIT'!B34</f>
        <v/>
      </c>
      <c r="B243" t="inlineStr">
        <is>
          <t>PIT</t>
        </is>
      </c>
      <c r="C243" t="inlineStr">
        <is>
          <t>WR</t>
        </is>
      </c>
      <c r="D243" s="48">
        <f>'PIT'!V34</f>
        <v/>
      </c>
      <c r="E243" s="48">
        <f>'PIT'!W34</f>
        <v/>
      </c>
      <c r="F243" s="48">
        <f>'PIT'!X34</f>
        <v/>
      </c>
      <c r="G243" s="49">
        <f>'PIT'!Z34</f>
        <v/>
      </c>
      <c r="H243" s="48">
        <f>'PIT'!AA34</f>
        <v/>
      </c>
      <c r="I243" s="48">
        <f>'PIT'!AB34</f>
        <v/>
      </c>
      <c r="J243" s="49">
        <f>'PIT'!AD34</f>
        <v/>
      </c>
      <c r="K243" s="49">
        <f>'PIT'!AE34</f>
        <v/>
      </c>
    </row>
    <row r="244">
      <c r="A244">
        <f>'PIT'!B35</f>
        <v/>
      </c>
      <c r="B244" t="inlineStr">
        <is>
          <t>PIT</t>
        </is>
      </c>
      <c r="C244" t="inlineStr">
        <is>
          <t>WR</t>
        </is>
      </c>
      <c r="D244" s="48">
        <f>'PIT'!V35</f>
        <v/>
      </c>
      <c r="E244" s="48">
        <f>'PIT'!W35</f>
        <v/>
      </c>
      <c r="F244" s="48">
        <f>'PIT'!X35</f>
        <v/>
      </c>
      <c r="G244" s="49">
        <f>'PIT'!Z35</f>
        <v/>
      </c>
      <c r="H244" s="48">
        <f>'PIT'!AA35</f>
        <v/>
      </c>
      <c r="I244" s="48">
        <f>'PIT'!AB35</f>
        <v/>
      </c>
      <c r="J244" s="49">
        <f>'PIT'!AD35</f>
        <v/>
      </c>
      <c r="K244" s="49">
        <f>'PIT'!AE35</f>
        <v/>
      </c>
    </row>
    <row r="245">
      <c r="A245">
        <f>'PIT'!B36</f>
        <v/>
      </c>
      <c r="B245" t="inlineStr">
        <is>
          <t>PIT</t>
        </is>
      </c>
      <c r="C245" t="inlineStr">
        <is>
          <t>WR</t>
        </is>
      </c>
      <c r="D245" s="48">
        <f>'PIT'!V36</f>
        <v/>
      </c>
      <c r="E245" s="48">
        <f>'PIT'!W36</f>
        <v/>
      </c>
      <c r="F245" s="48">
        <f>'PIT'!X36</f>
        <v/>
      </c>
      <c r="G245" s="49">
        <f>'PIT'!Z36</f>
        <v/>
      </c>
      <c r="H245" s="48">
        <f>'PIT'!AA36</f>
        <v/>
      </c>
      <c r="I245" s="48">
        <f>'PIT'!AB36</f>
        <v/>
      </c>
      <c r="J245" s="49">
        <f>'PIT'!AD36</f>
        <v/>
      </c>
      <c r="K245" s="49">
        <f>'PIT'!AE36</f>
        <v/>
      </c>
    </row>
    <row r="246">
      <c r="A246">
        <f>'SEA'!B28</f>
        <v/>
      </c>
      <c r="B246" t="inlineStr">
        <is>
          <t>SEA</t>
        </is>
      </c>
      <c r="C246" t="inlineStr">
        <is>
          <t>WR</t>
        </is>
      </c>
      <c r="D246" s="48">
        <f>'SEA'!V28</f>
        <v/>
      </c>
      <c r="E246" s="48">
        <f>'SEA'!W28</f>
        <v/>
      </c>
      <c r="F246" s="48">
        <f>'SEA'!X28</f>
        <v/>
      </c>
      <c r="G246" s="49">
        <f>'SEA'!Z28</f>
        <v/>
      </c>
      <c r="H246" s="48">
        <f>'SEA'!AA28</f>
        <v/>
      </c>
      <c r="I246" s="48">
        <f>'SEA'!AB28</f>
        <v/>
      </c>
      <c r="J246" s="49">
        <f>'SEA'!AD28</f>
        <v/>
      </c>
      <c r="K246" s="49">
        <f>'SEA'!AE28</f>
        <v/>
      </c>
    </row>
    <row r="247">
      <c r="A247">
        <f>'SEA'!B29</f>
        <v/>
      </c>
      <c r="B247" t="inlineStr">
        <is>
          <t>SEA</t>
        </is>
      </c>
      <c r="C247" t="inlineStr">
        <is>
          <t>WR</t>
        </is>
      </c>
      <c r="D247" s="48">
        <f>'SEA'!V29</f>
        <v/>
      </c>
      <c r="E247" s="48">
        <f>'SEA'!W29</f>
        <v/>
      </c>
      <c r="F247" s="48">
        <f>'SEA'!X29</f>
        <v/>
      </c>
      <c r="G247" s="49">
        <f>'SEA'!Z29</f>
        <v/>
      </c>
      <c r="H247" s="48">
        <f>'SEA'!AA29</f>
        <v/>
      </c>
      <c r="I247" s="48">
        <f>'SEA'!AB29</f>
        <v/>
      </c>
      <c r="J247" s="49">
        <f>'SEA'!AD29</f>
        <v/>
      </c>
      <c r="K247" s="49">
        <f>'SEA'!AE29</f>
        <v/>
      </c>
    </row>
    <row r="248">
      <c r="A248">
        <f>'SEA'!B30</f>
        <v/>
      </c>
      <c r="B248" t="inlineStr">
        <is>
          <t>SEA</t>
        </is>
      </c>
      <c r="C248" t="inlineStr">
        <is>
          <t>WR</t>
        </is>
      </c>
      <c r="D248" s="48">
        <f>'SEA'!V30</f>
        <v/>
      </c>
      <c r="E248" s="48">
        <f>'SEA'!W30</f>
        <v/>
      </c>
      <c r="F248" s="48">
        <f>'SEA'!X30</f>
        <v/>
      </c>
      <c r="G248" s="49">
        <f>'SEA'!Z30</f>
        <v/>
      </c>
      <c r="H248" s="48">
        <f>'SEA'!AA30</f>
        <v/>
      </c>
      <c r="I248" s="48">
        <f>'SEA'!AB30</f>
        <v/>
      </c>
      <c r="J248" s="49">
        <f>'SEA'!AD30</f>
        <v/>
      </c>
      <c r="K248" s="49">
        <f>'SEA'!AE30</f>
        <v/>
      </c>
    </row>
    <row r="249">
      <c r="A249">
        <f>'SEA'!B31</f>
        <v/>
      </c>
      <c r="B249" t="inlineStr">
        <is>
          <t>SEA</t>
        </is>
      </c>
      <c r="C249" t="inlineStr">
        <is>
          <t>WR</t>
        </is>
      </c>
      <c r="D249" s="48">
        <f>'SEA'!V31</f>
        <v/>
      </c>
      <c r="E249" s="48">
        <f>'SEA'!W31</f>
        <v/>
      </c>
      <c r="F249" s="48">
        <f>'SEA'!X31</f>
        <v/>
      </c>
      <c r="G249" s="49">
        <f>'SEA'!Z31</f>
        <v/>
      </c>
      <c r="H249" s="48">
        <f>'SEA'!AA31</f>
        <v/>
      </c>
      <c r="I249" s="48">
        <f>'SEA'!AB31</f>
        <v/>
      </c>
      <c r="J249" s="49">
        <f>'SEA'!AD31</f>
        <v/>
      </c>
      <c r="K249" s="49">
        <f>'SEA'!AE31</f>
        <v/>
      </c>
    </row>
    <row r="250">
      <c r="A250">
        <f>'SEA'!B32</f>
        <v/>
      </c>
      <c r="B250" t="inlineStr">
        <is>
          <t>SEA</t>
        </is>
      </c>
      <c r="C250" t="inlineStr">
        <is>
          <t>WR</t>
        </is>
      </c>
      <c r="D250" s="48">
        <f>'SEA'!V32</f>
        <v/>
      </c>
      <c r="E250" s="48">
        <f>'SEA'!W32</f>
        <v/>
      </c>
      <c r="F250" s="48">
        <f>'SEA'!X32</f>
        <v/>
      </c>
      <c r="G250" s="49">
        <f>'SEA'!Z32</f>
        <v/>
      </c>
      <c r="H250" s="48">
        <f>'SEA'!AA32</f>
        <v/>
      </c>
      <c r="I250" s="48">
        <f>'SEA'!AB32</f>
        <v/>
      </c>
      <c r="J250" s="49">
        <f>'SEA'!AD32</f>
        <v/>
      </c>
      <c r="K250" s="49">
        <f>'SEA'!AE32</f>
        <v/>
      </c>
    </row>
    <row r="251">
      <c r="A251">
        <f>'SEA'!B33</f>
        <v/>
      </c>
      <c r="B251" t="inlineStr">
        <is>
          <t>SEA</t>
        </is>
      </c>
      <c r="C251" t="inlineStr">
        <is>
          <t>WR</t>
        </is>
      </c>
      <c r="D251" s="48">
        <f>'SEA'!V33</f>
        <v/>
      </c>
      <c r="E251" s="48">
        <f>'SEA'!W33</f>
        <v/>
      </c>
      <c r="F251" s="48">
        <f>'SEA'!X33</f>
        <v/>
      </c>
      <c r="G251" s="49">
        <f>'SEA'!Z33</f>
        <v/>
      </c>
      <c r="H251" s="48">
        <f>'SEA'!AA33</f>
        <v/>
      </c>
      <c r="I251" s="48">
        <f>'SEA'!AB33</f>
        <v/>
      </c>
      <c r="J251" s="49">
        <f>'SEA'!AD33</f>
        <v/>
      </c>
      <c r="K251" s="49">
        <f>'SEA'!AE33</f>
        <v/>
      </c>
    </row>
    <row r="252">
      <c r="A252">
        <f>'SEA'!B34</f>
        <v/>
      </c>
      <c r="B252" t="inlineStr">
        <is>
          <t>SEA</t>
        </is>
      </c>
      <c r="C252" t="inlineStr">
        <is>
          <t>WR</t>
        </is>
      </c>
      <c r="D252" s="48">
        <f>'SEA'!V34</f>
        <v/>
      </c>
      <c r="E252" s="48">
        <f>'SEA'!W34</f>
        <v/>
      </c>
      <c r="F252" s="48">
        <f>'SEA'!X34</f>
        <v/>
      </c>
      <c r="G252" s="49">
        <f>'SEA'!Z34</f>
        <v/>
      </c>
      <c r="H252" s="48">
        <f>'SEA'!AA34</f>
        <v/>
      </c>
      <c r="I252" s="48">
        <f>'SEA'!AB34</f>
        <v/>
      </c>
      <c r="J252" s="49">
        <f>'SEA'!AD34</f>
        <v/>
      </c>
      <c r="K252" s="49">
        <f>'SEA'!AE34</f>
        <v/>
      </c>
    </row>
    <row r="253">
      <c r="A253">
        <f>'SEA'!B35</f>
        <v/>
      </c>
      <c r="B253" t="inlineStr">
        <is>
          <t>SEA</t>
        </is>
      </c>
      <c r="C253" t="inlineStr">
        <is>
          <t>WR</t>
        </is>
      </c>
      <c r="D253" s="48">
        <f>'SEA'!V35</f>
        <v/>
      </c>
      <c r="E253" s="48">
        <f>'SEA'!W35</f>
        <v/>
      </c>
      <c r="F253" s="48">
        <f>'SEA'!X35</f>
        <v/>
      </c>
      <c r="G253" s="49">
        <f>'SEA'!Z35</f>
        <v/>
      </c>
      <c r="H253" s="48">
        <f>'SEA'!AA35</f>
        <v/>
      </c>
      <c r="I253" s="48">
        <f>'SEA'!AB35</f>
        <v/>
      </c>
      <c r="J253" s="49">
        <f>'SEA'!AD35</f>
        <v/>
      </c>
      <c r="K253" s="49">
        <f>'SEA'!AE35</f>
        <v/>
      </c>
    </row>
    <row r="254">
      <c r="A254">
        <f>'SEA'!B36</f>
        <v/>
      </c>
      <c r="B254" t="inlineStr">
        <is>
          <t>SEA</t>
        </is>
      </c>
      <c r="C254" t="inlineStr">
        <is>
          <t>WR</t>
        </is>
      </c>
      <c r="D254" s="48">
        <f>'SEA'!V36</f>
        <v/>
      </c>
      <c r="E254" s="48">
        <f>'SEA'!W36</f>
        <v/>
      </c>
      <c r="F254" s="48">
        <f>'SEA'!X36</f>
        <v/>
      </c>
      <c r="G254" s="49">
        <f>'SEA'!Z36</f>
        <v/>
      </c>
      <c r="H254" s="48">
        <f>'SEA'!AA36</f>
        <v/>
      </c>
      <c r="I254" s="48">
        <f>'SEA'!AB36</f>
        <v/>
      </c>
      <c r="J254" s="49">
        <f>'SEA'!AD36</f>
        <v/>
      </c>
      <c r="K254" s="49">
        <f>'SEA'!AE36</f>
        <v/>
      </c>
    </row>
    <row r="255">
      <c r="A255">
        <f>'SF'!B28</f>
        <v/>
      </c>
      <c r="B255" t="inlineStr">
        <is>
          <t>SF</t>
        </is>
      </c>
      <c r="C255" t="inlineStr">
        <is>
          <t>WR</t>
        </is>
      </c>
      <c r="D255" s="48">
        <f>'SF'!V28</f>
        <v/>
      </c>
      <c r="E255" s="48">
        <f>'SF'!W28</f>
        <v/>
      </c>
      <c r="F255" s="48">
        <f>'SF'!X28</f>
        <v/>
      </c>
      <c r="G255" s="49">
        <f>'SF'!Z28</f>
        <v/>
      </c>
      <c r="H255" s="48">
        <f>'SF'!AA28</f>
        <v/>
      </c>
      <c r="I255" s="48">
        <f>'SF'!AB28</f>
        <v/>
      </c>
      <c r="J255" s="49">
        <f>'SF'!AD28</f>
        <v/>
      </c>
      <c r="K255" s="49">
        <f>'SF'!AE28</f>
        <v/>
      </c>
    </row>
    <row r="256">
      <c r="A256">
        <f>'SF'!B29</f>
        <v/>
      </c>
      <c r="B256" t="inlineStr">
        <is>
          <t>SF</t>
        </is>
      </c>
      <c r="C256" t="inlineStr">
        <is>
          <t>WR</t>
        </is>
      </c>
      <c r="D256" s="48">
        <f>'SF'!V29</f>
        <v/>
      </c>
      <c r="E256" s="48">
        <f>'SF'!W29</f>
        <v/>
      </c>
      <c r="F256" s="48">
        <f>'SF'!X29</f>
        <v/>
      </c>
      <c r="G256" s="49">
        <f>'SF'!Z29</f>
        <v/>
      </c>
      <c r="H256" s="48">
        <f>'SF'!AA29</f>
        <v/>
      </c>
      <c r="I256" s="48">
        <f>'SF'!AB29</f>
        <v/>
      </c>
      <c r="J256" s="49">
        <f>'SF'!AD29</f>
        <v/>
      </c>
      <c r="K256" s="49">
        <f>'SF'!AE29</f>
        <v/>
      </c>
    </row>
    <row r="257">
      <c r="A257">
        <f>'SF'!B30</f>
        <v/>
      </c>
      <c r="B257" t="inlineStr">
        <is>
          <t>SF</t>
        </is>
      </c>
      <c r="C257" t="inlineStr">
        <is>
          <t>WR</t>
        </is>
      </c>
      <c r="D257" s="48">
        <f>'SF'!V30</f>
        <v/>
      </c>
      <c r="E257" s="48">
        <f>'SF'!W30</f>
        <v/>
      </c>
      <c r="F257" s="48">
        <f>'SF'!X30</f>
        <v/>
      </c>
      <c r="G257" s="49">
        <f>'SF'!Z30</f>
        <v/>
      </c>
      <c r="H257" s="48">
        <f>'SF'!AA30</f>
        <v/>
      </c>
      <c r="I257" s="48">
        <f>'SF'!AB30</f>
        <v/>
      </c>
      <c r="J257" s="49">
        <f>'SF'!AD30</f>
        <v/>
      </c>
      <c r="K257" s="49">
        <f>'SF'!AE30</f>
        <v/>
      </c>
    </row>
    <row r="258">
      <c r="A258">
        <f>'SF'!B31</f>
        <v/>
      </c>
      <c r="B258" t="inlineStr">
        <is>
          <t>SF</t>
        </is>
      </c>
      <c r="C258" t="inlineStr">
        <is>
          <t>WR</t>
        </is>
      </c>
      <c r="D258" s="48">
        <f>'SF'!V31</f>
        <v/>
      </c>
      <c r="E258" s="48">
        <f>'SF'!W31</f>
        <v/>
      </c>
      <c r="F258" s="48">
        <f>'SF'!X31</f>
        <v/>
      </c>
      <c r="G258" s="49">
        <f>'SF'!Z31</f>
        <v/>
      </c>
      <c r="H258" s="48">
        <f>'SF'!AA31</f>
        <v/>
      </c>
      <c r="I258" s="48">
        <f>'SF'!AB31</f>
        <v/>
      </c>
      <c r="J258" s="49">
        <f>'SF'!AD31</f>
        <v/>
      </c>
      <c r="K258" s="49">
        <f>'SF'!AE31</f>
        <v/>
      </c>
    </row>
    <row r="259">
      <c r="A259">
        <f>'SF'!B32</f>
        <v/>
      </c>
      <c r="B259" t="inlineStr">
        <is>
          <t>SF</t>
        </is>
      </c>
      <c r="C259" t="inlineStr">
        <is>
          <t>WR</t>
        </is>
      </c>
      <c r="D259" s="48">
        <f>'SF'!V32</f>
        <v/>
      </c>
      <c r="E259" s="48">
        <f>'SF'!W32</f>
        <v/>
      </c>
      <c r="F259" s="48">
        <f>'SF'!X32</f>
        <v/>
      </c>
      <c r="G259" s="49">
        <f>'SF'!Z32</f>
        <v/>
      </c>
      <c r="H259" s="48">
        <f>'SF'!AA32</f>
        <v/>
      </c>
      <c r="I259" s="48">
        <f>'SF'!AB32</f>
        <v/>
      </c>
      <c r="J259" s="49">
        <f>'SF'!AD32</f>
        <v/>
      </c>
      <c r="K259" s="49">
        <f>'SF'!AE32</f>
        <v/>
      </c>
    </row>
    <row r="260">
      <c r="A260">
        <f>'SF'!B33</f>
        <v/>
      </c>
      <c r="B260" t="inlineStr">
        <is>
          <t>SF</t>
        </is>
      </c>
      <c r="C260" t="inlineStr">
        <is>
          <t>WR</t>
        </is>
      </c>
      <c r="D260" s="48">
        <f>'SF'!V33</f>
        <v/>
      </c>
      <c r="E260" s="48">
        <f>'SF'!W33</f>
        <v/>
      </c>
      <c r="F260" s="48">
        <f>'SF'!X33</f>
        <v/>
      </c>
      <c r="G260" s="49">
        <f>'SF'!Z33</f>
        <v/>
      </c>
      <c r="H260" s="48">
        <f>'SF'!AA33</f>
        <v/>
      </c>
      <c r="I260" s="48">
        <f>'SF'!AB33</f>
        <v/>
      </c>
      <c r="J260" s="49">
        <f>'SF'!AD33</f>
        <v/>
      </c>
      <c r="K260" s="49">
        <f>'SF'!AE33</f>
        <v/>
      </c>
    </row>
    <row r="261">
      <c r="A261">
        <f>'SF'!B34</f>
        <v/>
      </c>
      <c r="B261" t="inlineStr">
        <is>
          <t>SF</t>
        </is>
      </c>
      <c r="C261" t="inlineStr">
        <is>
          <t>WR</t>
        </is>
      </c>
      <c r="D261" s="48">
        <f>'SF'!V34</f>
        <v/>
      </c>
      <c r="E261" s="48">
        <f>'SF'!W34</f>
        <v/>
      </c>
      <c r="F261" s="48">
        <f>'SF'!X34</f>
        <v/>
      </c>
      <c r="G261" s="49">
        <f>'SF'!Z34</f>
        <v/>
      </c>
      <c r="H261" s="48">
        <f>'SF'!AA34</f>
        <v/>
      </c>
      <c r="I261" s="48">
        <f>'SF'!AB34</f>
        <v/>
      </c>
      <c r="J261" s="49">
        <f>'SF'!AD34</f>
        <v/>
      </c>
      <c r="K261" s="49">
        <f>'SF'!AE34</f>
        <v/>
      </c>
    </row>
    <row r="262">
      <c r="A262">
        <f>'SF'!B35</f>
        <v/>
      </c>
      <c r="B262" t="inlineStr">
        <is>
          <t>SF</t>
        </is>
      </c>
      <c r="C262" t="inlineStr">
        <is>
          <t>WR</t>
        </is>
      </c>
      <c r="D262" s="48">
        <f>'SF'!V35</f>
        <v/>
      </c>
      <c r="E262" s="48">
        <f>'SF'!W35</f>
        <v/>
      </c>
      <c r="F262" s="48">
        <f>'SF'!X35</f>
        <v/>
      </c>
      <c r="G262" s="49">
        <f>'SF'!Z35</f>
        <v/>
      </c>
      <c r="H262" s="48">
        <f>'SF'!AA35</f>
        <v/>
      </c>
      <c r="I262" s="48">
        <f>'SF'!AB35</f>
        <v/>
      </c>
      <c r="J262" s="49">
        <f>'SF'!AD35</f>
        <v/>
      </c>
      <c r="K262" s="49">
        <f>'SF'!AE35</f>
        <v/>
      </c>
    </row>
    <row r="263">
      <c r="A263">
        <f>'SF'!B36</f>
        <v/>
      </c>
      <c r="B263" t="inlineStr">
        <is>
          <t>SF</t>
        </is>
      </c>
      <c r="C263" t="inlineStr">
        <is>
          <t>WR</t>
        </is>
      </c>
      <c r="D263" s="48">
        <f>'SF'!V36</f>
        <v/>
      </c>
      <c r="E263" s="48">
        <f>'SF'!W36</f>
        <v/>
      </c>
      <c r="F263" s="48">
        <f>'SF'!X36</f>
        <v/>
      </c>
      <c r="G263" s="49">
        <f>'SF'!Z36</f>
        <v/>
      </c>
      <c r="H263" s="48">
        <f>'SF'!AA36</f>
        <v/>
      </c>
      <c r="I263" s="48">
        <f>'SF'!AB36</f>
        <v/>
      </c>
      <c r="J263" s="49">
        <f>'SF'!AD36</f>
        <v/>
      </c>
      <c r="K263" s="49">
        <f>'SF'!AE36</f>
        <v/>
      </c>
    </row>
    <row r="264">
      <c r="A264">
        <f>'TB'!B28</f>
        <v/>
      </c>
      <c r="B264" t="inlineStr">
        <is>
          <t>TB</t>
        </is>
      </c>
      <c r="C264" t="inlineStr">
        <is>
          <t>WR</t>
        </is>
      </c>
      <c r="D264" s="48">
        <f>'TB'!V28</f>
        <v/>
      </c>
      <c r="E264" s="48">
        <f>'TB'!W28</f>
        <v/>
      </c>
      <c r="F264" s="48">
        <f>'TB'!X28</f>
        <v/>
      </c>
      <c r="G264" s="49">
        <f>'TB'!Z28</f>
        <v/>
      </c>
      <c r="H264" s="48">
        <f>'TB'!AA28</f>
        <v/>
      </c>
      <c r="I264" s="48">
        <f>'TB'!AB28</f>
        <v/>
      </c>
      <c r="J264" s="49">
        <f>'TB'!AD28</f>
        <v/>
      </c>
      <c r="K264" s="49">
        <f>'TB'!AE28</f>
        <v/>
      </c>
    </row>
    <row r="265">
      <c r="A265">
        <f>'TB'!B29</f>
        <v/>
      </c>
      <c r="B265" t="inlineStr">
        <is>
          <t>TB</t>
        </is>
      </c>
      <c r="C265" t="inlineStr">
        <is>
          <t>WR</t>
        </is>
      </c>
      <c r="D265" s="48">
        <f>'TB'!V29</f>
        <v/>
      </c>
      <c r="E265" s="48">
        <f>'TB'!W29</f>
        <v/>
      </c>
      <c r="F265" s="48">
        <f>'TB'!X29</f>
        <v/>
      </c>
      <c r="G265" s="49">
        <f>'TB'!Z29</f>
        <v/>
      </c>
      <c r="H265" s="48">
        <f>'TB'!AA29</f>
        <v/>
      </c>
      <c r="I265" s="48">
        <f>'TB'!AB29</f>
        <v/>
      </c>
      <c r="J265" s="49">
        <f>'TB'!AD29</f>
        <v/>
      </c>
      <c r="K265" s="49">
        <f>'TB'!AE29</f>
        <v/>
      </c>
    </row>
    <row r="266">
      <c r="A266">
        <f>'TB'!B30</f>
        <v/>
      </c>
      <c r="B266" t="inlineStr">
        <is>
          <t>TB</t>
        </is>
      </c>
      <c r="C266" t="inlineStr">
        <is>
          <t>WR</t>
        </is>
      </c>
      <c r="D266" s="48">
        <f>'TB'!V30</f>
        <v/>
      </c>
      <c r="E266" s="48">
        <f>'TB'!W30</f>
        <v/>
      </c>
      <c r="F266" s="48">
        <f>'TB'!X30</f>
        <v/>
      </c>
      <c r="G266" s="49">
        <f>'TB'!Z30</f>
        <v/>
      </c>
      <c r="H266" s="48">
        <f>'TB'!AA30</f>
        <v/>
      </c>
      <c r="I266" s="48">
        <f>'TB'!AB30</f>
        <v/>
      </c>
      <c r="J266" s="49">
        <f>'TB'!AD30</f>
        <v/>
      </c>
      <c r="K266" s="49">
        <f>'TB'!AE30</f>
        <v/>
      </c>
    </row>
    <row r="267">
      <c r="A267">
        <f>'TB'!B31</f>
        <v/>
      </c>
      <c r="B267" t="inlineStr">
        <is>
          <t>TB</t>
        </is>
      </c>
      <c r="C267" t="inlineStr">
        <is>
          <t>WR</t>
        </is>
      </c>
      <c r="D267" s="48">
        <f>'TB'!V31</f>
        <v/>
      </c>
      <c r="E267" s="48">
        <f>'TB'!W31</f>
        <v/>
      </c>
      <c r="F267" s="48">
        <f>'TB'!X31</f>
        <v/>
      </c>
      <c r="G267" s="49">
        <f>'TB'!Z31</f>
        <v/>
      </c>
      <c r="H267" s="48">
        <f>'TB'!AA31</f>
        <v/>
      </c>
      <c r="I267" s="48">
        <f>'TB'!AB31</f>
        <v/>
      </c>
      <c r="J267" s="49">
        <f>'TB'!AD31</f>
        <v/>
      </c>
      <c r="K267" s="49">
        <f>'TB'!AE31</f>
        <v/>
      </c>
    </row>
    <row r="268">
      <c r="A268">
        <f>'TB'!B32</f>
        <v/>
      </c>
      <c r="B268" t="inlineStr">
        <is>
          <t>TB</t>
        </is>
      </c>
      <c r="C268" t="inlineStr">
        <is>
          <t>WR</t>
        </is>
      </c>
      <c r="D268" s="48">
        <f>'TB'!V32</f>
        <v/>
      </c>
      <c r="E268" s="48">
        <f>'TB'!W32</f>
        <v/>
      </c>
      <c r="F268" s="48">
        <f>'TB'!X32</f>
        <v/>
      </c>
      <c r="G268" s="49">
        <f>'TB'!Z32</f>
        <v/>
      </c>
      <c r="H268" s="48">
        <f>'TB'!AA32</f>
        <v/>
      </c>
      <c r="I268" s="48">
        <f>'TB'!AB32</f>
        <v/>
      </c>
      <c r="J268" s="49">
        <f>'TB'!AD32</f>
        <v/>
      </c>
      <c r="K268" s="49">
        <f>'TB'!AE32</f>
        <v/>
      </c>
    </row>
    <row r="269">
      <c r="A269">
        <f>'TB'!B33</f>
        <v/>
      </c>
      <c r="B269" t="inlineStr">
        <is>
          <t>TB</t>
        </is>
      </c>
      <c r="C269" t="inlineStr">
        <is>
          <t>WR</t>
        </is>
      </c>
      <c r="D269" s="48">
        <f>'TB'!V33</f>
        <v/>
      </c>
      <c r="E269" s="48">
        <f>'TB'!W33</f>
        <v/>
      </c>
      <c r="F269" s="48">
        <f>'TB'!X33</f>
        <v/>
      </c>
      <c r="G269" s="49">
        <f>'TB'!Z33</f>
        <v/>
      </c>
      <c r="H269" s="48">
        <f>'TB'!AA33</f>
        <v/>
      </c>
      <c r="I269" s="48">
        <f>'TB'!AB33</f>
        <v/>
      </c>
      <c r="J269" s="49">
        <f>'TB'!AD33</f>
        <v/>
      </c>
      <c r="K269" s="49">
        <f>'TB'!AE33</f>
        <v/>
      </c>
    </row>
    <row r="270">
      <c r="A270">
        <f>'TB'!B34</f>
        <v/>
      </c>
      <c r="B270" t="inlineStr">
        <is>
          <t>TB</t>
        </is>
      </c>
      <c r="C270" t="inlineStr">
        <is>
          <t>WR</t>
        </is>
      </c>
      <c r="D270" s="48">
        <f>'TB'!V34</f>
        <v/>
      </c>
      <c r="E270" s="48">
        <f>'TB'!W34</f>
        <v/>
      </c>
      <c r="F270" s="48">
        <f>'TB'!X34</f>
        <v/>
      </c>
      <c r="G270" s="49">
        <f>'TB'!Z34</f>
        <v/>
      </c>
      <c r="H270" s="48">
        <f>'TB'!AA34</f>
        <v/>
      </c>
      <c r="I270" s="48">
        <f>'TB'!AB34</f>
        <v/>
      </c>
      <c r="J270" s="49">
        <f>'TB'!AD34</f>
        <v/>
      </c>
      <c r="K270" s="49">
        <f>'TB'!AE34</f>
        <v/>
      </c>
    </row>
    <row r="271">
      <c r="A271">
        <f>'TB'!B35</f>
        <v/>
      </c>
      <c r="B271" t="inlineStr">
        <is>
          <t>TB</t>
        </is>
      </c>
      <c r="C271" t="inlineStr">
        <is>
          <t>WR</t>
        </is>
      </c>
      <c r="D271" s="48">
        <f>'TB'!V35</f>
        <v/>
      </c>
      <c r="E271" s="48">
        <f>'TB'!W35</f>
        <v/>
      </c>
      <c r="F271" s="48">
        <f>'TB'!X35</f>
        <v/>
      </c>
      <c r="G271" s="49">
        <f>'TB'!Z35</f>
        <v/>
      </c>
      <c r="H271" s="48">
        <f>'TB'!AA35</f>
        <v/>
      </c>
      <c r="I271" s="48">
        <f>'TB'!AB35</f>
        <v/>
      </c>
      <c r="J271" s="49">
        <f>'TB'!AD35</f>
        <v/>
      </c>
      <c r="K271" s="49">
        <f>'TB'!AE35</f>
        <v/>
      </c>
    </row>
    <row r="272">
      <c r="A272">
        <f>'TB'!B36</f>
        <v/>
      </c>
      <c r="B272" t="inlineStr">
        <is>
          <t>TB</t>
        </is>
      </c>
      <c r="C272" t="inlineStr">
        <is>
          <t>WR</t>
        </is>
      </c>
      <c r="D272" s="48">
        <f>'TB'!V36</f>
        <v/>
      </c>
      <c r="E272" s="48">
        <f>'TB'!W36</f>
        <v/>
      </c>
      <c r="F272" s="48">
        <f>'TB'!X36</f>
        <v/>
      </c>
      <c r="G272" s="49">
        <f>'TB'!Z36</f>
        <v/>
      </c>
      <c r="H272" s="48">
        <f>'TB'!AA36</f>
        <v/>
      </c>
      <c r="I272" s="48">
        <f>'TB'!AB36</f>
        <v/>
      </c>
      <c r="J272" s="49">
        <f>'TB'!AD36</f>
        <v/>
      </c>
      <c r="K272" s="49">
        <f>'TB'!AE36</f>
        <v/>
      </c>
    </row>
    <row r="273">
      <c r="A273">
        <f>'TEN'!B28</f>
        <v/>
      </c>
      <c r="B273" t="inlineStr">
        <is>
          <t>TEN</t>
        </is>
      </c>
      <c r="C273" t="inlineStr">
        <is>
          <t>WR</t>
        </is>
      </c>
      <c r="D273" s="48">
        <f>'TEN'!V28</f>
        <v/>
      </c>
      <c r="E273" s="48">
        <f>'TEN'!W28</f>
        <v/>
      </c>
      <c r="F273" s="48">
        <f>'TEN'!X28</f>
        <v/>
      </c>
      <c r="G273" s="49">
        <f>'TEN'!Z28</f>
        <v/>
      </c>
      <c r="H273" s="48">
        <f>'TEN'!AA28</f>
        <v/>
      </c>
      <c r="I273" s="48">
        <f>'TEN'!AB28</f>
        <v/>
      </c>
      <c r="J273" s="49">
        <f>'TEN'!AD28</f>
        <v/>
      </c>
      <c r="K273" s="49">
        <f>'TEN'!AE28</f>
        <v/>
      </c>
    </row>
    <row r="274">
      <c r="A274">
        <f>'TEN'!B29</f>
        <v/>
      </c>
      <c r="B274" t="inlineStr">
        <is>
          <t>TEN</t>
        </is>
      </c>
      <c r="C274" t="inlineStr">
        <is>
          <t>WR</t>
        </is>
      </c>
      <c r="D274" s="48">
        <f>'TEN'!V29</f>
        <v/>
      </c>
      <c r="E274" s="48">
        <f>'TEN'!W29</f>
        <v/>
      </c>
      <c r="F274" s="48">
        <f>'TEN'!X29</f>
        <v/>
      </c>
      <c r="G274" s="49">
        <f>'TEN'!Z29</f>
        <v/>
      </c>
      <c r="H274" s="48">
        <f>'TEN'!AA29</f>
        <v/>
      </c>
      <c r="I274" s="48">
        <f>'TEN'!AB29</f>
        <v/>
      </c>
      <c r="J274" s="49">
        <f>'TEN'!AD29</f>
        <v/>
      </c>
      <c r="K274" s="49">
        <f>'TEN'!AE29</f>
        <v/>
      </c>
    </row>
    <row r="275">
      <c r="A275">
        <f>'TEN'!B30</f>
        <v/>
      </c>
      <c r="B275" t="inlineStr">
        <is>
          <t>TEN</t>
        </is>
      </c>
      <c r="C275" t="inlineStr">
        <is>
          <t>WR</t>
        </is>
      </c>
      <c r="D275" s="48">
        <f>'TEN'!V30</f>
        <v/>
      </c>
      <c r="E275" s="48">
        <f>'TEN'!W30</f>
        <v/>
      </c>
      <c r="F275" s="48">
        <f>'TEN'!X30</f>
        <v/>
      </c>
      <c r="G275" s="49">
        <f>'TEN'!Z30</f>
        <v/>
      </c>
      <c r="H275" s="48">
        <f>'TEN'!AA30</f>
        <v/>
      </c>
      <c r="I275" s="48">
        <f>'TEN'!AB30</f>
        <v/>
      </c>
      <c r="J275" s="49">
        <f>'TEN'!AD30</f>
        <v/>
      </c>
      <c r="K275" s="49">
        <f>'TEN'!AE30</f>
        <v/>
      </c>
    </row>
    <row r="276">
      <c r="A276">
        <f>'TEN'!B31</f>
        <v/>
      </c>
      <c r="B276" t="inlineStr">
        <is>
          <t>TEN</t>
        </is>
      </c>
      <c r="C276" t="inlineStr">
        <is>
          <t>WR</t>
        </is>
      </c>
      <c r="D276" s="48">
        <f>'TEN'!V31</f>
        <v/>
      </c>
      <c r="E276" s="48">
        <f>'TEN'!W31</f>
        <v/>
      </c>
      <c r="F276" s="48">
        <f>'TEN'!X31</f>
        <v/>
      </c>
      <c r="G276" s="49">
        <f>'TEN'!Z31</f>
        <v/>
      </c>
      <c r="H276" s="48">
        <f>'TEN'!AA31</f>
        <v/>
      </c>
      <c r="I276" s="48">
        <f>'TEN'!AB31</f>
        <v/>
      </c>
      <c r="J276" s="49">
        <f>'TEN'!AD31</f>
        <v/>
      </c>
      <c r="K276" s="49">
        <f>'TEN'!AE31</f>
        <v/>
      </c>
    </row>
    <row r="277">
      <c r="A277">
        <f>'TEN'!B32</f>
        <v/>
      </c>
      <c r="B277" t="inlineStr">
        <is>
          <t>TEN</t>
        </is>
      </c>
      <c r="C277" t="inlineStr">
        <is>
          <t>WR</t>
        </is>
      </c>
      <c r="D277" s="48">
        <f>'TEN'!V32</f>
        <v/>
      </c>
      <c r="E277" s="48">
        <f>'TEN'!W32</f>
        <v/>
      </c>
      <c r="F277" s="48">
        <f>'TEN'!X32</f>
        <v/>
      </c>
      <c r="G277" s="49">
        <f>'TEN'!Z32</f>
        <v/>
      </c>
      <c r="H277" s="48">
        <f>'TEN'!AA32</f>
        <v/>
      </c>
      <c r="I277" s="48">
        <f>'TEN'!AB32</f>
        <v/>
      </c>
      <c r="J277" s="49">
        <f>'TEN'!AD32</f>
        <v/>
      </c>
      <c r="K277" s="49">
        <f>'TEN'!AE32</f>
        <v/>
      </c>
    </row>
    <row r="278">
      <c r="A278">
        <f>'TEN'!B33</f>
        <v/>
      </c>
      <c r="B278" t="inlineStr">
        <is>
          <t>TEN</t>
        </is>
      </c>
      <c r="C278" t="inlineStr">
        <is>
          <t>WR</t>
        </is>
      </c>
      <c r="D278" s="48">
        <f>'TEN'!V33</f>
        <v/>
      </c>
      <c r="E278" s="48">
        <f>'TEN'!W33</f>
        <v/>
      </c>
      <c r="F278" s="48">
        <f>'TEN'!X33</f>
        <v/>
      </c>
      <c r="G278" s="49">
        <f>'TEN'!Z33</f>
        <v/>
      </c>
      <c r="H278" s="48">
        <f>'TEN'!AA33</f>
        <v/>
      </c>
      <c r="I278" s="48">
        <f>'TEN'!AB33</f>
        <v/>
      </c>
      <c r="J278" s="49">
        <f>'TEN'!AD33</f>
        <v/>
      </c>
      <c r="K278" s="49">
        <f>'TEN'!AE33</f>
        <v/>
      </c>
    </row>
    <row r="279">
      <c r="A279">
        <f>'TEN'!B34</f>
        <v/>
      </c>
      <c r="B279" t="inlineStr">
        <is>
          <t>TEN</t>
        </is>
      </c>
      <c r="C279" t="inlineStr">
        <is>
          <t>WR</t>
        </is>
      </c>
      <c r="D279" s="48">
        <f>'TEN'!V34</f>
        <v/>
      </c>
      <c r="E279" s="48">
        <f>'TEN'!W34</f>
        <v/>
      </c>
      <c r="F279" s="48">
        <f>'TEN'!X34</f>
        <v/>
      </c>
      <c r="G279" s="49">
        <f>'TEN'!Z34</f>
        <v/>
      </c>
      <c r="H279" s="48">
        <f>'TEN'!AA34</f>
        <v/>
      </c>
      <c r="I279" s="48">
        <f>'TEN'!AB34</f>
        <v/>
      </c>
      <c r="J279" s="49">
        <f>'TEN'!AD34</f>
        <v/>
      </c>
      <c r="K279" s="49">
        <f>'TEN'!AE34</f>
        <v/>
      </c>
    </row>
    <row r="280">
      <c r="A280">
        <f>'TEN'!B35</f>
        <v/>
      </c>
      <c r="B280" t="inlineStr">
        <is>
          <t>TEN</t>
        </is>
      </c>
      <c r="C280" t="inlineStr">
        <is>
          <t>WR</t>
        </is>
      </c>
      <c r="D280" s="48">
        <f>'TEN'!V35</f>
        <v/>
      </c>
      <c r="E280" s="48">
        <f>'TEN'!W35</f>
        <v/>
      </c>
      <c r="F280" s="48">
        <f>'TEN'!X35</f>
        <v/>
      </c>
      <c r="G280" s="49">
        <f>'TEN'!Z35</f>
        <v/>
      </c>
      <c r="H280" s="48">
        <f>'TEN'!AA35</f>
        <v/>
      </c>
      <c r="I280" s="48">
        <f>'TEN'!AB35</f>
        <v/>
      </c>
      <c r="J280" s="49">
        <f>'TEN'!AD35</f>
        <v/>
      </c>
      <c r="K280" s="49">
        <f>'TEN'!AE35</f>
        <v/>
      </c>
    </row>
    <row r="281">
      <c r="A281">
        <f>'TEN'!B36</f>
        <v/>
      </c>
      <c r="B281" t="inlineStr">
        <is>
          <t>TEN</t>
        </is>
      </c>
      <c r="C281" t="inlineStr">
        <is>
          <t>WR</t>
        </is>
      </c>
      <c r="D281" s="48">
        <f>'TEN'!V36</f>
        <v/>
      </c>
      <c r="E281" s="48">
        <f>'TEN'!W36</f>
        <v/>
      </c>
      <c r="F281" s="48">
        <f>'TEN'!X36</f>
        <v/>
      </c>
      <c r="G281" s="49">
        <f>'TEN'!Z36</f>
        <v/>
      </c>
      <c r="H281" s="48">
        <f>'TEN'!AA36</f>
        <v/>
      </c>
      <c r="I281" s="48">
        <f>'TEN'!AB36</f>
        <v/>
      </c>
      <c r="J281" s="49">
        <f>'TEN'!AD36</f>
        <v/>
      </c>
      <c r="K281" s="49">
        <f>'TEN'!AE36</f>
        <v/>
      </c>
    </row>
    <row r="282">
      <c r="A282">
        <f>'WAS'!B28</f>
        <v/>
      </c>
      <c r="B282" t="inlineStr">
        <is>
          <t>WAS</t>
        </is>
      </c>
      <c r="C282" t="inlineStr">
        <is>
          <t>WR</t>
        </is>
      </c>
      <c r="D282" s="48">
        <f>'WAS'!V28</f>
        <v/>
      </c>
      <c r="E282" s="48">
        <f>'WAS'!W28</f>
        <v/>
      </c>
      <c r="F282" s="48">
        <f>'WAS'!X28</f>
        <v/>
      </c>
      <c r="G282" s="49">
        <f>'WAS'!Z28</f>
        <v/>
      </c>
      <c r="H282" s="48">
        <f>'WAS'!AA28</f>
        <v/>
      </c>
      <c r="I282" s="48">
        <f>'WAS'!AB28</f>
        <v/>
      </c>
      <c r="J282" s="49">
        <f>'WAS'!AD28</f>
        <v/>
      </c>
      <c r="K282" s="49">
        <f>'WAS'!AE28</f>
        <v/>
      </c>
    </row>
    <row r="283">
      <c r="A283">
        <f>'WAS'!B29</f>
        <v/>
      </c>
      <c r="B283" t="inlineStr">
        <is>
          <t>WAS</t>
        </is>
      </c>
      <c r="C283" t="inlineStr">
        <is>
          <t>WR</t>
        </is>
      </c>
      <c r="D283" s="48">
        <f>'WAS'!V29</f>
        <v/>
      </c>
      <c r="E283" s="48">
        <f>'WAS'!W29</f>
        <v/>
      </c>
      <c r="F283" s="48">
        <f>'WAS'!X29</f>
        <v/>
      </c>
      <c r="G283" s="49">
        <f>'WAS'!Z29</f>
        <v/>
      </c>
      <c r="H283" s="48">
        <f>'WAS'!AA29</f>
        <v/>
      </c>
      <c r="I283" s="48">
        <f>'WAS'!AB29</f>
        <v/>
      </c>
      <c r="J283" s="49">
        <f>'WAS'!AD29</f>
        <v/>
      </c>
      <c r="K283" s="49">
        <f>'WAS'!AE29</f>
        <v/>
      </c>
    </row>
    <row r="284">
      <c r="A284">
        <f>'WAS'!B30</f>
        <v/>
      </c>
      <c r="B284" t="inlineStr">
        <is>
          <t>WAS</t>
        </is>
      </c>
      <c r="C284" t="inlineStr">
        <is>
          <t>WR</t>
        </is>
      </c>
      <c r="D284" s="48">
        <f>'WAS'!V30</f>
        <v/>
      </c>
      <c r="E284" s="48">
        <f>'WAS'!W30</f>
        <v/>
      </c>
      <c r="F284" s="48">
        <f>'WAS'!X30</f>
        <v/>
      </c>
      <c r="G284" s="49">
        <f>'WAS'!Z30</f>
        <v/>
      </c>
      <c r="H284" s="48">
        <f>'WAS'!AA30</f>
        <v/>
      </c>
      <c r="I284" s="48">
        <f>'WAS'!AB30</f>
        <v/>
      </c>
      <c r="J284" s="49">
        <f>'WAS'!AD30</f>
        <v/>
      </c>
      <c r="K284" s="49">
        <f>'WAS'!AE30</f>
        <v/>
      </c>
    </row>
    <row r="285">
      <c r="A285">
        <f>'WAS'!B31</f>
        <v/>
      </c>
      <c r="B285" t="inlineStr">
        <is>
          <t>WAS</t>
        </is>
      </c>
      <c r="C285" t="inlineStr">
        <is>
          <t>WR</t>
        </is>
      </c>
      <c r="D285" s="48">
        <f>'WAS'!V31</f>
        <v/>
      </c>
      <c r="E285" s="48">
        <f>'WAS'!W31</f>
        <v/>
      </c>
      <c r="F285" s="48">
        <f>'WAS'!X31</f>
        <v/>
      </c>
      <c r="G285" s="49">
        <f>'WAS'!Z31</f>
        <v/>
      </c>
      <c r="H285" s="48">
        <f>'WAS'!AA31</f>
        <v/>
      </c>
      <c r="I285" s="48">
        <f>'WAS'!AB31</f>
        <v/>
      </c>
      <c r="J285" s="49">
        <f>'WAS'!AD31</f>
        <v/>
      </c>
      <c r="K285" s="49">
        <f>'WAS'!AE31</f>
        <v/>
      </c>
    </row>
    <row r="286">
      <c r="A286">
        <f>'WAS'!B32</f>
        <v/>
      </c>
      <c r="B286" t="inlineStr">
        <is>
          <t>WAS</t>
        </is>
      </c>
      <c r="C286" t="inlineStr">
        <is>
          <t>WR</t>
        </is>
      </c>
      <c r="D286" s="48">
        <f>'WAS'!V32</f>
        <v/>
      </c>
      <c r="E286" s="48">
        <f>'WAS'!W32</f>
        <v/>
      </c>
      <c r="F286" s="48">
        <f>'WAS'!X32</f>
        <v/>
      </c>
      <c r="G286" s="49">
        <f>'WAS'!Z32</f>
        <v/>
      </c>
      <c r="H286" s="48">
        <f>'WAS'!AA32</f>
        <v/>
      </c>
      <c r="I286" s="48">
        <f>'WAS'!AB32</f>
        <v/>
      </c>
      <c r="J286" s="49">
        <f>'WAS'!AD32</f>
        <v/>
      </c>
      <c r="K286" s="49">
        <f>'WAS'!AE32</f>
        <v/>
      </c>
    </row>
    <row r="287">
      <c r="A287">
        <f>'WAS'!B33</f>
        <v/>
      </c>
      <c r="B287" t="inlineStr">
        <is>
          <t>WAS</t>
        </is>
      </c>
      <c r="C287" t="inlineStr">
        <is>
          <t>WR</t>
        </is>
      </c>
      <c r="D287" s="48">
        <f>'WAS'!V33</f>
        <v/>
      </c>
      <c r="E287" s="48">
        <f>'WAS'!W33</f>
        <v/>
      </c>
      <c r="F287" s="48">
        <f>'WAS'!X33</f>
        <v/>
      </c>
      <c r="G287" s="49">
        <f>'WAS'!Z33</f>
        <v/>
      </c>
      <c r="H287" s="48">
        <f>'WAS'!AA33</f>
        <v/>
      </c>
      <c r="I287" s="48">
        <f>'WAS'!AB33</f>
        <v/>
      </c>
      <c r="J287" s="49">
        <f>'WAS'!AD33</f>
        <v/>
      </c>
      <c r="K287" s="49">
        <f>'WAS'!AE33</f>
        <v/>
      </c>
    </row>
    <row r="288">
      <c r="A288">
        <f>'WAS'!B34</f>
        <v/>
      </c>
      <c r="B288" t="inlineStr">
        <is>
          <t>WAS</t>
        </is>
      </c>
      <c r="C288" t="inlineStr">
        <is>
          <t>WR</t>
        </is>
      </c>
      <c r="D288" s="48">
        <f>'WAS'!V34</f>
        <v/>
      </c>
      <c r="E288" s="48">
        <f>'WAS'!W34</f>
        <v/>
      </c>
      <c r="F288" s="48">
        <f>'WAS'!X34</f>
        <v/>
      </c>
      <c r="G288" s="49">
        <f>'WAS'!Z34</f>
        <v/>
      </c>
      <c r="H288" s="48">
        <f>'WAS'!AA34</f>
        <v/>
      </c>
      <c r="I288" s="48">
        <f>'WAS'!AB34</f>
        <v/>
      </c>
      <c r="J288" s="49">
        <f>'WAS'!AD34</f>
        <v/>
      </c>
      <c r="K288" s="49">
        <f>'WAS'!AE34</f>
        <v/>
      </c>
    </row>
    <row r="289">
      <c r="A289">
        <f>'WAS'!B35</f>
        <v/>
      </c>
      <c r="B289" t="inlineStr">
        <is>
          <t>WAS</t>
        </is>
      </c>
      <c r="C289" t="inlineStr">
        <is>
          <t>WR</t>
        </is>
      </c>
      <c r="D289" s="48">
        <f>'WAS'!V35</f>
        <v/>
      </c>
      <c r="E289" s="48">
        <f>'WAS'!W35</f>
        <v/>
      </c>
      <c r="F289" s="48">
        <f>'WAS'!X35</f>
        <v/>
      </c>
      <c r="G289" s="49">
        <f>'WAS'!Z35</f>
        <v/>
      </c>
      <c r="H289" s="48">
        <f>'WAS'!AA35</f>
        <v/>
      </c>
      <c r="I289" s="48">
        <f>'WAS'!AB35</f>
        <v/>
      </c>
      <c r="J289" s="49">
        <f>'WAS'!AD35</f>
        <v/>
      </c>
      <c r="K289" s="49">
        <f>'WAS'!AE35</f>
        <v/>
      </c>
    </row>
    <row r="290">
      <c r="A290">
        <f>'WAS'!B36</f>
        <v/>
      </c>
      <c r="B290" t="inlineStr">
        <is>
          <t>WAS</t>
        </is>
      </c>
      <c r="C290" t="inlineStr">
        <is>
          <t>WR</t>
        </is>
      </c>
      <c r="D290" s="48">
        <f>'WAS'!V36</f>
        <v/>
      </c>
      <c r="E290" s="48">
        <f>'WAS'!W36</f>
        <v/>
      </c>
      <c r="F290" s="48">
        <f>'WAS'!X36</f>
        <v/>
      </c>
      <c r="G290" s="49">
        <f>'WAS'!Z36</f>
        <v/>
      </c>
      <c r="H290" s="48">
        <f>'WAS'!AA36</f>
        <v/>
      </c>
      <c r="I290" s="48">
        <f>'WAS'!AB36</f>
        <v/>
      </c>
      <c r="J290" s="49">
        <f>'WAS'!AD36</f>
        <v/>
      </c>
      <c r="K290" s="49">
        <f>'WAS'!AE36</f>
        <v/>
      </c>
    </row>
    <row r="291"/>
    <row r="292">
      <c r="A292" s="8" t="inlineStr">
        <is>
          <t>Values are live. Row order is not - sort by Half PPR when you want a ranking (Data &gt; Sort), or run export_projections.py.</t>
        </is>
      </c>
    </row>
  </sheetData>
  <autoFilter ref="A2:K29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6" customWidth="1" min="3" max="3"/>
    <col width="9" customWidth="1" min="4" max="4"/>
    <col width="8" customWidth="1" min="5" max="5"/>
    <col width="9" customWidth="1" min="6" max="6"/>
    <col width="8" customWidth="1" min="7" max="7"/>
    <col width="9" customWidth="1" min="8" max="8"/>
    <col width="9" customWidth="1" min="9" max="9"/>
    <col width="8" customWidth="1" min="10" max="10"/>
    <col width="10" customWidth="1" min="11" max="11"/>
  </cols>
  <sheetData>
    <row r="1">
      <c r="A1" s="46" t="inlineStr">
        <is>
          <t>TE - all teams (live from the team tabs)</t>
        </is>
      </c>
    </row>
    <row r="2">
      <c r="A2" s="47" t="inlineStr">
        <is>
          <t>Player</t>
        </is>
      </c>
      <c r="B2" s="47" t="inlineStr">
        <is>
          <t>Team</t>
        </is>
      </c>
      <c r="C2" s="47" t="inlineStr">
        <is>
          <t>Pos</t>
        </is>
      </c>
      <c r="D2" s="47" t="inlineStr">
        <is>
          <t>Targets</t>
        </is>
      </c>
      <c r="E2" s="47" t="inlineStr">
        <is>
          <t>Rec</t>
        </is>
      </c>
      <c r="F2" s="47" t="inlineStr">
        <is>
          <t>Rec Yds</t>
        </is>
      </c>
      <c r="G2" s="47" t="inlineStr">
        <is>
          <t>Rec TD</t>
        </is>
      </c>
      <c r="H2" s="47" t="inlineStr">
        <is>
          <t>Rush Att</t>
        </is>
      </c>
      <c r="I2" s="47" t="inlineStr">
        <is>
          <t>Rush Yds</t>
        </is>
      </c>
      <c r="J2" s="47" t="inlineStr">
        <is>
          <t>Rush TD</t>
        </is>
      </c>
      <c r="K2" s="47" t="inlineStr">
        <is>
          <t>Half PPR</t>
        </is>
      </c>
    </row>
    <row r="3">
      <c r="A3">
        <f>'ARI'!B37</f>
        <v/>
      </c>
      <c r="B3" t="inlineStr">
        <is>
          <t>ARI</t>
        </is>
      </c>
      <c r="C3" t="inlineStr">
        <is>
          <t>TE</t>
        </is>
      </c>
      <c r="D3" s="48">
        <f>'ARI'!V37</f>
        <v/>
      </c>
      <c r="E3" s="48">
        <f>'ARI'!W37</f>
        <v/>
      </c>
      <c r="F3" s="48">
        <f>'ARI'!X37</f>
        <v/>
      </c>
      <c r="G3" s="49">
        <f>'ARI'!Z37</f>
        <v/>
      </c>
      <c r="H3" s="48">
        <f>'ARI'!AA37</f>
        <v/>
      </c>
      <c r="I3" s="48">
        <f>'ARI'!AB37</f>
        <v/>
      </c>
      <c r="J3" s="49">
        <f>'ARI'!AD37</f>
        <v/>
      </c>
      <c r="K3" s="49">
        <f>'ARI'!AE37</f>
        <v/>
      </c>
    </row>
    <row r="4">
      <c r="A4">
        <f>'ARI'!B38</f>
        <v/>
      </c>
      <c r="B4" t="inlineStr">
        <is>
          <t>ARI</t>
        </is>
      </c>
      <c r="C4" t="inlineStr">
        <is>
          <t>TE</t>
        </is>
      </c>
      <c r="D4" s="48">
        <f>'ARI'!V38</f>
        <v/>
      </c>
      <c r="E4" s="48">
        <f>'ARI'!W38</f>
        <v/>
      </c>
      <c r="F4" s="48">
        <f>'ARI'!X38</f>
        <v/>
      </c>
      <c r="G4" s="49">
        <f>'ARI'!Z38</f>
        <v/>
      </c>
      <c r="H4" s="48">
        <f>'ARI'!AA38</f>
        <v/>
      </c>
      <c r="I4" s="48">
        <f>'ARI'!AB38</f>
        <v/>
      </c>
      <c r="J4" s="49">
        <f>'ARI'!AD38</f>
        <v/>
      </c>
      <c r="K4" s="49">
        <f>'ARI'!AE38</f>
        <v/>
      </c>
    </row>
    <row r="5">
      <c r="A5">
        <f>'ARI'!B39</f>
        <v/>
      </c>
      <c r="B5" t="inlineStr">
        <is>
          <t>ARI</t>
        </is>
      </c>
      <c r="C5" t="inlineStr">
        <is>
          <t>TE</t>
        </is>
      </c>
      <c r="D5" s="48">
        <f>'ARI'!V39</f>
        <v/>
      </c>
      <c r="E5" s="48">
        <f>'ARI'!W39</f>
        <v/>
      </c>
      <c r="F5" s="48">
        <f>'ARI'!X39</f>
        <v/>
      </c>
      <c r="G5" s="49">
        <f>'ARI'!Z39</f>
        <v/>
      </c>
      <c r="H5" s="48">
        <f>'ARI'!AA39</f>
        <v/>
      </c>
      <c r="I5" s="48">
        <f>'ARI'!AB39</f>
        <v/>
      </c>
      <c r="J5" s="49">
        <f>'ARI'!AD39</f>
        <v/>
      </c>
      <c r="K5" s="49">
        <f>'ARI'!AE39</f>
        <v/>
      </c>
    </row>
    <row r="6">
      <c r="A6">
        <f>'ARI'!B40</f>
        <v/>
      </c>
      <c r="B6" t="inlineStr">
        <is>
          <t>ARI</t>
        </is>
      </c>
      <c r="C6" t="inlineStr">
        <is>
          <t>TE</t>
        </is>
      </c>
      <c r="D6" s="48">
        <f>'ARI'!V40</f>
        <v/>
      </c>
      <c r="E6" s="48">
        <f>'ARI'!W40</f>
        <v/>
      </c>
      <c r="F6" s="48">
        <f>'ARI'!X40</f>
        <v/>
      </c>
      <c r="G6" s="49">
        <f>'ARI'!Z40</f>
        <v/>
      </c>
      <c r="H6" s="48">
        <f>'ARI'!AA40</f>
        <v/>
      </c>
      <c r="I6" s="48">
        <f>'ARI'!AB40</f>
        <v/>
      </c>
      <c r="J6" s="49">
        <f>'ARI'!AD40</f>
        <v/>
      </c>
      <c r="K6" s="49">
        <f>'ARI'!AE40</f>
        <v/>
      </c>
    </row>
    <row r="7">
      <c r="A7">
        <f>'ARI'!B41</f>
        <v/>
      </c>
      <c r="B7" t="inlineStr">
        <is>
          <t>ARI</t>
        </is>
      </c>
      <c r="C7" t="inlineStr">
        <is>
          <t>TE</t>
        </is>
      </c>
      <c r="D7" s="48">
        <f>'ARI'!V41</f>
        <v/>
      </c>
      <c r="E7" s="48">
        <f>'ARI'!W41</f>
        <v/>
      </c>
      <c r="F7" s="48">
        <f>'ARI'!X41</f>
        <v/>
      </c>
      <c r="G7" s="49">
        <f>'ARI'!Z41</f>
        <v/>
      </c>
      <c r="H7" s="48">
        <f>'ARI'!AA41</f>
        <v/>
      </c>
      <c r="I7" s="48">
        <f>'ARI'!AB41</f>
        <v/>
      </c>
      <c r="J7" s="49">
        <f>'ARI'!AD41</f>
        <v/>
      </c>
      <c r="K7" s="49">
        <f>'ARI'!AE41</f>
        <v/>
      </c>
    </row>
    <row r="8">
      <c r="A8">
        <f>'ATL'!B37</f>
        <v/>
      </c>
      <c r="B8" t="inlineStr">
        <is>
          <t>ATL</t>
        </is>
      </c>
      <c r="C8" t="inlineStr">
        <is>
          <t>TE</t>
        </is>
      </c>
      <c r="D8" s="48">
        <f>'ATL'!V37</f>
        <v/>
      </c>
      <c r="E8" s="48">
        <f>'ATL'!W37</f>
        <v/>
      </c>
      <c r="F8" s="48">
        <f>'ATL'!X37</f>
        <v/>
      </c>
      <c r="G8" s="49">
        <f>'ATL'!Z37</f>
        <v/>
      </c>
      <c r="H8" s="48">
        <f>'ATL'!AA37</f>
        <v/>
      </c>
      <c r="I8" s="48">
        <f>'ATL'!AB37</f>
        <v/>
      </c>
      <c r="J8" s="49">
        <f>'ATL'!AD37</f>
        <v/>
      </c>
      <c r="K8" s="49">
        <f>'ATL'!AE37</f>
        <v/>
      </c>
    </row>
    <row r="9">
      <c r="A9">
        <f>'ATL'!B38</f>
        <v/>
      </c>
      <c r="B9" t="inlineStr">
        <is>
          <t>ATL</t>
        </is>
      </c>
      <c r="C9" t="inlineStr">
        <is>
          <t>TE</t>
        </is>
      </c>
      <c r="D9" s="48">
        <f>'ATL'!V38</f>
        <v/>
      </c>
      <c r="E9" s="48">
        <f>'ATL'!W38</f>
        <v/>
      </c>
      <c r="F9" s="48">
        <f>'ATL'!X38</f>
        <v/>
      </c>
      <c r="G9" s="49">
        <f>'ATL'!Z38</f>
        <v/>
      </c>
      <c r="H9" s="48">
        <f>'ATL'!AA38</f>
        <v/>
      </c>
      <c r="I9" s="48">
        <f>'ATL'!AB38</f>
        <v/>
      </c>
      <c r="J9" s="49">
        <f>'ATL'!AD38</f>
        <v/>
      </c>
      <c r="K9" s="49">
        <f>'ATL'!AE38</f>
        <v/>
      </c>
    </row>
    <row r="10">
      <c r="A10">
        <f>'ATL'!B39</f>
        <v/>
      </c>
      <c r="B10" t="inlineStr">
        <is>
          <t>ATL</t>
        </is>
      </c>
      <c r="C10" t="inlineStr">
        <is>
          <t>TE</t>
        </is>
      </c>
      <c r="D10" s="48">
        <f>'ATL'!V39</f>
        <v/>
      </c>
      <c r="E10" s="48">
        <f>'ATL'!W39</f>
        <v/>
      </c>
      <c r="F10" s="48">
        <f>'ATL'!X39</f>
        <v/>
      </c>
      <c r="G10" s="49">
        <f>'ATL'!Z39</f>
        <v/>
      </c>
      <c r="H10" s="48">
        <f>'ATL'!AA39</f>
        <v/>
      </c>
      <c r="I10" s="48">
        <f>'ATL'!AB39</f>
        <v/>
      </c>
      <c r="J10" s="49">
        <f>'ATL'!AD39</f>
        <v/>
      </c>
      <c r="K10" s="49">
        <f>'ATL'!AE39</f>
        <v/>
      </c>
    </row>
    <row r="11">
      <c r="A11">
        <f>'ATL'!B40</f>
        <v/>
      </c>
      <c r="B11" t="inlineStr">
        <is>
          <t>ATL</t>
        </is>
      </c>
      <c r="C11" t="inlineStr">
        <is>
          <t>TE</t>
        </is>
      </c>
      <c r="D11" s="48">
        <f>'ATL'!V40</f>
        <v/>
      </c>
      <c r="E11" s="48">
        <f>'ATL'!W40</f>
        <v/>
      </c>
      <c r="F11" s="48">
        <f>'ATL'!X40</f>
        <v/>
      </c>
      <c r="G11" s="49">
        <f>'ATL'!Z40</f>
        <v/>
      </c>
      <c r="H11" s="48">
        <f>'ATL'!AA40</f>
        <v/>
      </c>
      <c r="I11" s="48">
        <f>'ATL'!AB40</f>
        <v/>
      </c>
      <c r="J11" s="49">
        <f>'ATL'!AD40</f>
        <v/>
      </c>
      <c r="K11" s="49">
        <f>'ATL'!AE40</f>
        <v/>
      </c>
    </row>
    <row r="12">
      <c r="A12">
        <f>'ATL'!B41</f>
        <v/>
      </c>
      <c r="B12" t="inlineStr">
        <is>
          <t>ATL</t>
        </is>
      </c>
      <c r="C12" t="inlineStr">
        <is>
          <t>TE</t>
        </is>
      </c>
      <c r="D12" s="48">
        <f>'ATL'!V41</f>
        <v/>
      </c>
      <c r="E12" s="48">
        <f>'ATL'!W41</f>
        <v/>
      </c>
      <c r="F12" s="48">
        <f>'ATL'!X41</f>
        <v/>
      </c>
      <c r="G12" s="49">
        <f>'ATL'!Z41</f>
        <v/>
      </c>
      <c r="H12" s="48">
        <f>'ATL'!AA41</f>
        <v/>
      </c>
      <c r="I12" s="48">
        <f>'ATL'!AB41</f>
        <v/>
      </c>
      <c r="J12" s="49">
        <f>'ATL'!AD41</f>
        <v/>
      </c>
      <c r="K12" s="49">
        <f>'ATL'!AE41</f>
        <v/>
      </c>
    </row>
    <row r="13">
      <c r="A13">
        <f>'BAL'!B37</f>
        <v/>
      </c>
      <c r="B13" t="inlineStr">
        <is>
          <t>BAL</t>
        </is>
      </c>
      <c r="C13" t="inlineStr">
        <is>
          <t>TE</t>
        </is>
      </c>
      <c r="D13" s="48">
        <f>'BAL'!V37</f>
        <v/>
      </c>
      <c r="E13" s="48">
        <f>'BAL'!W37</f>
        <v/>
      </c>
      <c r="F13" s="48">
        <f>'BAL'!X37</f>
        <v/>
      </c>
      <c r="G13" s="49">
        <f>'BAL'!Z37</f>
        <v/>
      </c>
      <c r="H13" s="48">
        <f>'BAL'!AA37</f>
        <v/>
      </c>
      <c r="I13" s="48">
        <f>'BAL'!AB37</f>
        <v/>
      </c>
      <c r="J13" s="49">
        <f>'BAL'!AD37</f>
        <v/>
      </c>
      <c r="K13" s="49">
        <f>'BAL'!AE37</f>
        <v/>
      </c>
    </row>
    <row r="14">
      <c r="A14">
        <f>'BAL'!B38</f>
        <v/>
      </c>
      <c r="B14" t="inlineStr">
        <is>
          <t>BAL</t>
        </is>
      </c>
      <c r="C14" t="inlineStr">
        <is>
          <t>TE</t>
        </is>
      </c>
      <c r="D14" s="48">
        <f>'BAL'!V38</f>
        <v/>
      </c>
      <c r="E14" s="48">
        <f>'BAL'!W38</f>
        <v/>
      </c>
      <c r="F14" s="48">
        <f>'BAL'!X38</f>
        <v/>
      </c>
      <c r="G14" s="49">
        <f>'BAL'!Z38</f>
        <v/>
      </c>
      <c r="H14" s="48">
        <f>'BAL'!AA38</f>
        <v/>
      </c>
      <c r="I14" s="48">
        <f>'BAL'!AB38</f>
        <v/>
      </c>
      <c r="J14" s="49">
        <f>'BAL'!AD38</f>
        <v/>
      </c>
      <c r="K14" s="49">
        <f>'BAL'!AE38</f>
        <v/>
      </c>
    </row>
    <row r="15">
      <c r="A15">
        <f>'BAL'!B39</f>
        <v/>
      </c>
      <c r="B15" t="inlineStr">
        <is>
          <t>BAL</t>
        </is>
      </c>
      <c r="C15" t="inlineStr">
        <is>
          <t>TE</t>
        </is>
      </c>
      <c r="D15" s="48">
        <f>'BAL'!V39</f>
        <v/>
      </c>
      <c r="E15" s="48">
        <f>'BAL'!W39</f>
        <v/>
      </c>
      <c r="F15" s="48">
        <f>'BAL'!X39</f>
        <v/>
      </c>
      <c r="G15" s="49">
        <f>'BAL'!Z39</f>
        <v/>
      </c>
      <c r="H15" s="48">
        <f>'BAL'!AA39</f>
        <v/>
      </c>
      <c r="I15" s="48">
        <f>'BAL'!AB39</f>
        <v/>
      </c>
      <c r="J15" s="49">
        <f>'BAL'!AD39</f>
        <v/>
      </c>
      <c r="K15" s="49">
        <f>'BAL'!AE39</f>
        <v/>
      </c>
    </row>
    <row r="16">
      <c r="A16">
        <f>'BAL'!B40</f>
        <v/>
      </c>
      <c r="B16" t="inlineStr">
        <is>
          <t>BAL</t>
        </is>
      </c>
      <c r="C16" t="inlineStr">
        <is>
          <t>TE</t>
        </is>
      </c>
      <c r="D16" s="48">
        <f>'BAL'!V40</f>
        <v/>
      </c>
      <c r="E16" s="48">
        <f>'BAL'!W40</f>
        <v/>
      </c>
      <c r="F16" s="48">
        <f>'BAL'!X40</f>
        <v/>
      </c>
      <c r="G16" s="49">
        <f>'BAL'!Z40</f>
        <v/>
      </c>
      <c r="H16" s="48">
        <f>'BAL'!AA40</f>
        <v/>
      </c>
      <c r="I16" s="48">
        <f>'BAL'!AB40</f>
        <v/>
      </c>
      <c r="J16" s="49">
        <f>'BAL'!AD40</f>
        <v/>
      </c>
      <c r="K16" s="49">
        <f>'BAL'!AE40</f>
        <v/>
      </c>
    </row>
    <row r="17">
      <c r="A17">
        <f>'BAL'!B41</f>
        <v/>
      </c>
      <c r="B17" t="inlineStr">
        <is>
          <t>BAL</t>
        </is>
      </c>
      <c r="C17" t="inlineStr">
        <is>
          <t>TE</t>
        </is>
      </c>
      <c r="D17" s="48">
        <f>'BAL'!V41</f>
        <v/>
      </c>
      <c r="E17" s="48">
        <f>'BAL'!W41</f>
        <v/>
      </c>
      <c r="F17" s="48">
        <f>'BAL'!X41</f>
        <v/>
      </c>
      <c r="G17" s="49">
        <f>'BAL'!Z41</f>
        <v/>
      </c>
      <c r="H17" s="48">
        <f>'BAL'!AA41</f>
        <v/>
      </c>
      <c r="I17" s="48">
        <f>'BAL'!AB41</f>
        <v/>
      </c>
      <c r="J17" s="49">
        <f>'BAL'!AD41</f>
        <v/>
      </c>
      <c r="K17" s="49">
        <f>'BAL'!AE41</f>
        <v/>
      </c>
    </row>
    <row r="18">
      <c r="A18">
        <f>'BUF'!B37</f>
        <v/>
      </c>
      <c r="B18" t="inlineStr">
        <is>
          <t>BUF</t>
        </is>
      </c>
      <c r="C18" t="inlineStr">
        <is>
          <t>TE</t>
        </is>
      </c>
      <c r="D18" s="48">
        <f>'BUF'!V37</f>
        <v/>
      </c>
      <c r="E18" s="48">
        <f>'BUF'!W37</f>
        <v/>
      </c>
      <c r="F18" s="48">
        <f>'BUF'!X37</f>
        <v/>
      </c>
      <c r="G18" s="49">
        <f>'BUF'!Z37</f>
        <v/>
      </c>
      <c r="H18" s="48">
        <f>'BUF'!AA37</f>
        <v/>
      </c>
      <c r="I18" s="48">
        <f>'BUF'!AB37</f>
        <v/>
      </c>
      <c r="J18" s="49">
        <f>'BUF'!AD37</f>
        <v/>
      </c>
      <c r="K18" s="49">
        <f>'BUF'!AE37</f>
        <v/>
      </c>
    </row>
    <row r="19">
      <c r="A19">
        <f>'BUF'!B38</f>
        <v/>
      </c>
      <c r="B19" t="inlineStr">
        <is>
          <t>BUF</t>
        </is>
      </c>
      <c r="C19" t="inlineStr">
        <is>
          <t>TE</t>
        </is>
      </c>
      <c r="D19" s="48">
        <f>'BUF'!V38</f>
        <v/>
      </c>
      <c r="E19" s="48">
        <f>'BUF'!W38</f>
        <v/>
      </c>
      <c r="F19" s="48">
        <f>'BUF'!X38</f>
        <v/>
      </c>
      <c r="G19" s="49">
        <f>'BUF'!Z38</f>
        <v/>
      </c>
      <c r="H19" s="48">
        <f>'BUF'!AA38</f>
        <v/>
      </c>
      <c r="I19" s="48">
        <f>'BUF'!AB38</f>
        <v/>
      </c>
      <c r="J19" s="49">
        <f>'BUF'!AD38</f>
        <v/>
      </c>
      <c r="K19" s="49">
        <f>'BUF'!AE38</f>
        <v/>
      </c>
    </row>
    <row r="20">
      <c r="A20">
        <f>'BUF'!B39</f>
        <v/>
      </c>
      <c r="B20" t="inlineStr">
        <is>
          <t>BUF</t>
        </is>
      </c>
      <c r="C20" t="inlineStr">
        <is>
          <t>TE</t>
        </is>
      </c>
      <c r="D20" s="48">
        <f>'BUF'!V39</f>
        <v/>
      </c>
      <c r="E20" s="48">
        <f>'BUF'!W39</f>
        <v/>
      </c>
      <c r="F20" s="48">
        <f>'BUF'!X39</f>
        <v/>
      </c>
      <c r="G20" s="49">
        <f>'BUF'!Z39</f>
        <v/>
      </c>
      <c r="H20" s="48">
        <f>'BUF'!AA39</f>
        <v/>
      </c>
      <c r="I20" s="48">
        <f>'BUF'!AB39</f>
        <v/>
      </c>
      <c r="J20" s="49">
        <f>'BUF'!AD39</f>
        <v/>
      </c>
      <c r="K20" s="49">
        <f>'BUF'!AE39</f>
        <v/>
      </c>
    </row>
    <row r="21">
      <c r="A21">
        <f>'BUF'!B40</f>
        <v/>
      </c>
      <c r="B21" t="inlineStr">
        <is>
          <t>BUF</t>
        </is>
      </c>
      <c r="C21" t="inlineStr">
        <is>
          <t>TE</t>
        </is>
      </c>
      <c r="D21" s="48">
        <f>'BUF'!V40</f>
        <v/>
      </c>
      <c r="E21" s="48">
        <f>'BUF'!W40</f>
        <v/>
      </c>
      <c r="F21" s="48">
        <f>'BUF'!X40</f>
        <v/>
      </c>
      <c r="G21" s="49">
        <f>'BUF'!Z40</f>
        <v/>
      </c>
      <c r="H21" s="48">
        <f>'BUF'!AA40</f>
        <v/>
      </c>
      <c r="I21" s="48">
        <f>'BUF'!AB40</f>
        <v/>
      </c>
      <c r="J21" s="49">
        <f>'BUF'!AD40</f>
        <v/>
      </c>
      <c r="K21" s="49">
        <f>'BUF'!AE40</f>
        <v/>
      </c>
    </row>
    <row r="22">
      <c r="A22">
        <f>'BUF'!B41</f>
        <v/>
      </c>
      <c r="B22" t="inlineStr">
        <is>
          <t>BUF</t>
        </is>
      </c>
      <c r="C22" t="inlineStr">
        <is>
          <t>TE</t>
        </is>
      </c>
      <c r="D22" s="48">
        <f>'BUF'!V41</f>
        <v/>
      </c>
      <c r="E22" s="48">
        <f>'BUF'!W41</f>
        <v/>
      </c>
      <c r="F22" s="48">
        <f>'BUF'!X41</f>
        <v/>
      </c>
      <c r="G22" s="49">
        <f>'BUF'!Z41</f>
        <v/>
      </c>
      <c r="H22" s="48">
        <f>'BUF'!AA41</f>
        <v/>
      </c>
      <c r="I22" s="48">
        <f>'BUF'!AB41</f>
        <v/>
      </c>
      <c r="J22" s="49">
        <f>'BUF'!AD41</f>
        <v/>
      </c>
      <c r="K22" s="49">
        <f>'BUF'!AE41</f>
        <v/>
      </c>
    </row>
    <row r="23">
      <c r="A23">
        <f>'CAR'!B37</f>
        <v/>
      </c>
      <c r="B23" t="inlineStr">
        <is>
          <t>CAR</t>
        </is>
      </c>
      <c r="C23" t="inlineStr">
        <is>
          <t>TE</t>
        </is>
      </c>
      <c r="D23" s="48">
        <f>'CAR'!V37</f>
        <v/>
      </c>
      <c r="E23" s="48">
        <f>'CAR'!W37</f>
        <v/>
      </c>
      <c r="F23" s="48">
        <f>'CAR'!X37</f>
        <v/>
      </c>
      <c r="G23" s="49">
        <f>'CAR'!Z37</f>
        <v/>
      </c>
      <c r="H23" s="48">
        <f>'CAR'!AA37</f>
        <v/>
      </c>
      <c r="I23" s="48">
        <f>'CAR'!AB37</f>
        <v/>
      </c>
      <c r="J23" s="49">
        <f>'CAR'!AD37</f>
        <v/>
      </c>
      <c r="K23" s="49">
        <f>'CAR'!AE37</f>
        <v/>
      </c>
    </row>
    <row r="24">
      <c r="A24">
        <f>'CAR'!B38</f>
        <v/>
      </c>
      <c r="B24" t="inlineStr">
        <is>
          <t>CAR</t>
        </is>
      </c>
      <c r="C24" t="inlineStr">
        <is>
          <t>TE</t>
        </is>
      </c>
      <c r="D24" s="48">
        <f>'CAR'!V38</f>
        <v/>
      </c>
      <c r="E24" s="48">
        <f>'CAR'!W38</f>
        <v/>
      </c>
      <c r="F24" s="48">
        <f>'CAR'!X38</f>
        <v/>
      </c>
      <c r="G24" s="49">
        <f>'CAR'!Z38</f>
        <v/>
      </c>
      <c r="H24" s="48">
        <f>'CAR'!AA38</f>
        <v/>
      </c>
      <c r="I24" s="48">
        <f>'CAR'!AB38</f>
        <v/>
      </c>
      <c r="J24" s="49">
        <f>'CAR'!AD38</f>
        <v/>
      </c>
      <c r="K24" s="49">
        <f>'CAR'!AE38</f>
        <v/>
      </c>
    </row>
    <row r="25">
      <c r="A25">
        <f>'CAR'!B39</f>
        <v/>
      </c>
      <c r="B25" t="inlineStr">
        <is>
          <t>CAR</t>
        </is>
      </c>
      <c r="C25" t="inlineStr">
        <is>
          <t>TE</t>
        </is>
      </c>
      <c r="D25" s="48">
        <f>'CAR'!V39</f>
        <v/>
      </c>
      <c r="E25" s="48">
        <f>'CAR'!W39</f>
        <v/>
      </c>
      <c r="F25" s="48">
        <f>'CAR'!X39</f>
        <v/>
      </c>
      <c r="G25" s="49">
        <f>'CAR'!Z39</f>
        <v/>
      </c>
      <c r="H25" s="48">
        <f>'CAR'!AA39</f>
        <v/>
      </c>
      <c r="I25" s="48">
        <f>'CAR'!AB39</f>
        <v/>
      </c>
      <c r="J25" s="49">
        <f>'CAR'!AD39</f>
        <v/>
      </c>
      <c r="K25" s="49">
        <f>'CAR'!AE39</f>
        <v/>
      </c>
    </row>
    <row r="26">
      <c r="A26">
        <f>'CAR'!B40</f>
        <v/>
      </c>
      <c r="B26" t="inlineStr">
        <is>
          <t>CAR</t>
        </is>
      </c>
      <c r="C26" t="inlineStr">
        <is>
          <t>TE</t>
        </is>
      </c>
      <c r="D26" s="48">
        <f>'CAR'!V40</f>
        <v/>
      </c>
      <c r="E26" s="48">
        <f>'CAR'!W40</f>
        <v/>
      </c>
      <c r="F26" s="48">
        <f>'CAR'!X40</f>
        <v/>
      </c>
      <c r="G26" s="49">
        <f>'CAR'!Z40</f>
        <v/>
      </c>
      <c r="H26" s="48">
        <f>'CAR'!AA40</f>
        <v/>
      </c>
      <c r="I26" s="48">
        <f>'CAR'!AB40</f>
        <v/>
      </c>
      <c r="J26" s="49">
        <f>'CAR'!AD40</f>
        <v/>
      </c>
      <c r="K26" s="49">
        <f>'CAR'!AE40</f>
        <v/>
      </c>
    </row>
    <row r="27">
      <c r="A27">
        <f>'CAR'!B41</f>
        <v/>
      </c>
      <c r="B27" t="inlineStr">
        <is>
          <t>CAR</t>
        </is>
      </c>
      <c r="C27" t="inlineStr">
        <is>
          <t>TE</t>
        </is>
      </c>
      <c r="D27" s="48">
        <f>'CAR'!V41</f>
        <v/>
      </c>
      <c r="E27" s="48">
        <f>'CAR'!W41</f>
        <v/>
      </c>
      <c r="F27" s="48">
        <f>'CAR'!X41</f>
        <v/>
      </c>
      <c r="G27" s="49">
        <f>'CAR'!Z41</f>
        <v/>
      </c>
      <c r="H27" s="48">
        <f>'CAR'!AA41</f>
        <v/>
      </c>
      <c r="I27" s="48">
        <f>'CAR'!AB41</f>
        <v/>
      </c>
      <c r="J27" s="49">
        <f>'CAR'!AD41</f>
        <v/>
      </c>
      <c r="K27" s="49">
        <f>'CAR'!AE41</f>
        <v/>
      </c>
    </row>
    <row r="28">
      <c r="A28">
        <f>'CHI'!B37</f>
        <v/>
      </c>
      <c r="B28" t="inlineStr">
        <is>
          <t>CHI</t>
        </is>
      </c>
      <c r="C28" t="inlineStr">
        <is>
          <t>TE</t>
        </is>
      </c>
      <c r="D28" s="48">
        <f>'CHI'!V37</f>
        <v/>
      </c>
      <c r="E28" s="48">
        <f>'CHI'!W37</f>
        <v/>
      </c>
      <c r="F28" s="48">
        <f>'CHI'!X37</f>
        <v/>
      </c>
      <c r="G28" s="49">
        <f>'CHI'!Z37</f>
        <v/>
      </c>
      <c r="H28" s="48">
        <f>'CHI'!AA37</f>
        <v/>
      </c>
      <c r="I28" s="48">
        <f>'CHI'!AB37</f>
        <v/>
      </c>
      <c r="J28" s="49">
        <f>'CHI'!AD37</f>
        <v/>
      </c>
      <c r="K28" s="49">
        <f>'CHI'!AE37</f>
        <v/>
      </c>
    </row>
    <row r="29">
      <c r="A29">
        <f>'CHI'!B38</f>
        <v/>
      </c>
      <c r="B29" t="inlineStr">
        <is>
          <t>CHI</t>
        </is>
      </c>
      <c r="C29" t="inlineStr">
        <is>
          <t>TE</t>
        </is>
      </c>
      <c r="D29" s="48">
        <f>'CHI'!V38</f>
        <v/>
      </c>
      <c r="E29" s="48">
        <f>'CHI'!W38</f>
        <v/>
      </c>
      <c r="F29" s="48">
        <f>'CHI'!X38</f>
        <v/>
      </c>
      <c r="G29" s="49">
        <f>'CHI'!Z38</f>
        <v/>
      </c>
      <c r="H29" s="48">
        <f>'CHI'!AA38</f>
        <v/>
      </c>
      <c r="I29" s="48">
        <f>'CHI'!AB38</f>
        <v/>
      </c>
      <c r="J29" s="49">
        <f>'CHI'!AD38</f>
        <v/>
      </c>
      <c r="K29" s="49">
        <f>'CHI'!AE38</f>
        <v/>
      </c>
    </row>
    <row r="30">
      <c r="A30">
        <f>'CHI'!B39</f>
        <v/>
      </c>
      <c r="B30" t="inlineStr">
        <is>
          <t>CHI</t>
        </is>
      </c>
      <c r="C30" t="inlineStr">
        <is>
          <t>TE</t>
        </is>
      </c>
      <c r="D30" s="48">
        <f>'CHI'!V39</f>
        <v/>
      </c>
      <c r="E30" s="48">
        <f>'CHI'!W39</f>
        <v/>
      </c>
      <c r="F30" s="48">
        <f>'CHI'!X39</f>
        <v/>
      </c>
      <c r="G30" s="49">
        <f>'CHI'!Z39</f>
        <v/>
      </c>
      <c r="H30" s="48">
        <f>'CHI'!AA39</f>
        <v/>
      </c>
      <c r="I30" s="48">
        <f>'CHI'!AB39</f>
        <v/>
      </c>
      <c r="J30" s="49">
        <f>'CHI'!AD39</f>
        <v/>
      </c>
      <c r="K30" s="49">
        <f>'CHI'!AE39</f>
        <v/>
      </c>
    </row>
    <row r="31">
      <c r="A31">
        <f>'CHI'!B40</f>
        <v/>
      </c>
      <c r="B31" t="inlineStr">
        <is>
          <t>CHI</t>
        </is>
      </c>
      <c r="C31" t="inlineStr">
        <is>
          <t>TE</t>
        </is>
      </c>
      <c r="D31" s="48">
        <f>'CHI'!V40</f>
        <v/>
      </c>
      <c r="E31" s="48">
        <f>'CHI'!W40</f>
        <v/>
      </c>
      <c r="F31" s="48">
        <f>'CHI'!X40</f>
        <v/>
      </c>
      <c r="G31" s="49">
        <f>'CHI'!Z40</f>
        <v/>
      </c>
      <c r="H31" s="48">
        <f>'CHI'!AA40</f>
        <v/>
      </c>
      <c r="I31" s="48">
        <f>'CHI'!AB40</f>
        <v/>
      </c>
      <c r="J31" s="49">
        <f>'CHI'!AD40</f>
        <v/>
      </c>
      <c r="K31" s="49">
        <f>'CHI'!AE40</f>
        <v/>
      </c>
    </row>
    <row r="32">
      <c r="A32">
        <f>'CHI'!B41</f>
        <v/>
      </c>
      <c r="B32" t="inlineStr">
        <is>
          <t>CHI</t>
        </is>
      </c>
      <c r="C32" t="inlineStr">
        <is>
          <t>TE</t>
        </is>
      </c>
      <c r="D32" s="48">
        <f>'CHI'!V41</f>
        <v/>
      </c>
      <c r="E32" s="48">
        <f>'CHI'!W41</f>
        <v/>
      </c>
      <c r="F32" s="48">
        <f>'CHI'!X41</f>
        <v/>
      </c>
      <c r="G32" s="49">
        <f>'CHI'!Z41</f>
        <v/>
      </c>
      <c r="H32" s="48">
        <f>'CHI'!AA41</f>
        <v/>
      </c>
      <c r="I32" s="48">
        <f>'CHI'!AB41</f>
        <v/>
      </c>
      <c r="J32" s="49">
        <f>'CHI'!AD41</f>
        <v/>
      </c>
      <c r="K32" s="49">
        <f>'CHI'!AE41</f>
        <v/>
      </c>
    </row>
    <row r="33">
      <c r="A33">
        <f>'CIN'!B37</f>
        <v/>
      </c>
      <c r="B33" t="inlineStr">
        <is>
          <t>CIN</t>
        </is>
      </c>
      <c r="C33" t="inlineStr">
        <is>
          <t>TE</t>
        </is>
      </c>
      <c r="D33" s="48">
        <f>'CIN'!V37</f>
        <v/>
      </c>
      <c r="E33" s="48">
        <f>'CIN'!W37</f>
        <v/>
      </c>
      <c r="F33" s="48">
        <f>'CIN'!X37</f>
        <v/>
      </c>
      <c r="G33" s="49">
        <f>'CIN'!Z37</f>
        <v/>
      </c>
      <c r="H33" s="48">
        <f>'CIN'!AA37</f>
        <v/>
      </c>
      <c r="I33" s="48">
        <f>'CIN'!AB37</f>
        <v/>
      </c>
      <c r="J33" s="49">
        <f>'CIN'!AD37</f>
        <v/>
      </c>
      <c r="K33" s="49">
        <f>'CIN'!AE37</f>
        <v/>
      </c>
    </row>
    <row r="34">
      <c r="A34">
        <f>'CIN'!B38</f>
        <v/>
      </c>
      <c r="B34" t="inlineStr">
        <is>
          <t>CIN</t>
        </is>
      </c>
      <c r="C34" t="inlineStr">
        <is>
          <t>TE</t>
        </is>
      </c>
      <c r="D34" s="48">
        <f>'CIN'!V38</f>
        <v/>
      </c>
      <c r="E34" s="48">
        <f>'CIN'!W38</f>
        <v/>
      </c>
      <c r="F34" s="48">
        <f>'CIN'!X38</f>
        <v/>
      </c>
      <c r="G34" s="49">
        <f>'CIN'!Z38</f>
        <v/>
      </c>
      <c r="H34" s="48">
        <f>'CIN'!AA38</f>
        <v/>
      </c>
      <c r="I34" s="48">
        <f>'CIN'!AB38</f>
        <v/>
      </c>
      <c r="J34" s="49">
        <f>'CIN'!AD38</f>
        <v/>
      </c>
      <c r="K34" s="49">
        <f>'CIN'!AE38</f>
        <v/>
      </c>
    </row>
    <row r="35">
      <c r="A35">
        <f>'CIN'!B39</f>
        <v/>
      </c>
      <c r="B35" t="inlineStr">
        <is>
          <t>CIN</t>
        </is>
      </c>
      <c r="C35" t="inlineStr">
        <is>
          <t>TE</t>
        </is>
      </c>
      <c r="D35" s="48">
        <f>'CIN'!V39</f>
        <v/>
      </c>
      <c r="E35" s="48">
        <f>'CIN'!W39</f>
        <v/>
      </c>
      <c r="F35" s="48">
        <f>'CIN'!X39</f>
        <v/>
      </c>
      <c r="G35" s="49">
        <f>'CIN'!Z39</f>
        <v/>
      </c>
      <c r="H35" s="48">
        <f>'CIN'!AA39</f>
        <v/>
      </c>
      <c r="I35" s="48">
        <f>'CIN'!AB39</f>
        <v/>
      </c>
      <c r="J35" s="49">
        <f>'CIN'!AD39</f>
        <v/>
      </c>
      <c r="K35" s="49">
        <f>'CIN'!AE39</f>
        <v/>
      </c>
    </row>
    <row r="36">
      <c r="A36">
        <f>'CIN'!B40</f>
        <v/>
      </c>
      <c r="B36" t="inlineStr">
        <is>
          <t>CIN</t>
        </is>
      </c>
      <c r="C36" t="inlineStr">
        <is>
          <t>TE</t>
        </is>
      </c>
      <c r="D36" s="48">
        <f>'CIN'!V40</f>
        <v/>
      </c>
      <c r="E36" s="48">
        <f>'CIN'!W40</f>
        <v/>
      </c>
      <c r="F36" s="48">
        <f>'CIN'!X40</f>
        <v/>
      </c>
      <c r="G36" s="49">
        <f>'CIN'!Z40</f>
        <v/>
      </c>
      <c r="H36" s="48">
        <f>'CIN'!AA40</f>
        <v/>
      </c>
      <c r="I36" s="48">
        <f>'CIN'!AB40</f>
        <v/>
      </c>
      <c r="J36" s="49">
        <f>'CIN'!AD40</f>
        <v/>
      </c>
      <c r="K36" s="49">
        <f>'CIN'!AE40</f>
        <v/>
      </c>
    </row>
    <row r="37">
      <c r="A37">
        <f>'CIN'!B41</f>
        <v/>
      </c>
      <c r="B37" t="inlineStr">
        <is>
          <t>CIN</t>
        </is>
      </c>
      <c r="C37" t="inlineStr">
        <is>
          <t>TE</t>
        </is>
      </c>
      <c r="D37" s="48">
        <f>'CIN'!V41</f>
        <v/>
      </c>
      <c r="E37" s="48">
        <f>'CIN'!W41</f>
        <v/>
      </c>
      <c r="F37" s="48">
        <f>'CIN'!X41</f>
        <v/>
      </c>
      <c r="G37" s="49">
        <f>'CIN'!Z41</f>
        <v/>
      </c>
      <c r="H37" s="48">
        <f>'CIN'!AA41</f>
        <v/>
      </c>
      <c r="I37" s="48">
        <f>'CIN'!AB41</f>
        <v/>
      </c>
      <c r="J37" s="49">
        <f>'CIN'!AD41</f>
        <v/>
      </c>
      <c r="K37" s="49">
        <f>'CIN'!AE41</f>
        <v/>
      </c>
    </row>
    <row r="38">
      <c r="A38">
        <f>'CLE'!B37</f>
        <v/>
      </c>
      <c r="B38" t="inlineStr">
        <is>
          <t>CLE</t>
        </is>
      </c>
      <c r="C38" t="inlineStr">
        <is>
          <t>TE</t>
        </is>
      </c>
      <c r="D38" s="48">
        <f>'CLE'!V37</f>
        <v/>
      </c>
      <c r="E38" s="48">
        <f>'CLE'!W37</f>
        <v/>
      </c>
      <c r="F38" s="48">
        <f>'CLE'!X37</f>
        <v/>
      </c>
      <c r="G38" s="49">
        <f>'CLE'!Z37</f>
        <v/>
      </c>
      <c r="H38" s="48">
        <f>'CLE'!AA37</f>
        <v/>
      </c>
      <c r="I38" s="48">
        <f>'CLE'!AB37</f>
        <v/>
      </c>
      <c r="J38" s="49">
        <f>'CLE'!AD37</f>
        <v/>
      </c>
      <c r="K38" s="49">
        <f>'CLE'!AE37</f>
        <v/>
      </c>
    </row>
    <row r="39">
      <c r="A39">
        <f>'CLE'!B38</f>
        <v/>
      </c>
      <c r="B39" t="inlineStr">
        <is>
          <t>CLE</t>
        </is>
      </c>
      <c r="C39" t="inlineStr">
        <is>
          <t>TE</t>
        </is>
      </c>
      <c r="D39" s="48">
        <f>'CLE'!V38</f>
        <v/>
      </c>
      <c r="E39" s="48">
        <f>'CLE'!W38</f>
        <v/>
      </c>
      <c r="F39" s="48">
        <f>'CLE'!X38</f>
        <v/>
      </c>
      <c r="G39" s="49">
        <f>'CLE'!Z38</f>
        <v/>
      </c>
      <c r="H39" s="48">
        <f>'CLE'!AA38</f>
        <v/>
      </c>
      <c r="I39" s="48">
        <f>'CLE'!AB38</f>
        <v/>
      </c>
      <c r="J39" s="49">
        <f>'CLE'!AD38</f>
        <v/>
      </c>
      <c r="K39" s="49">
        <f>'CLE'!AE38</f>
        <v/>
      </c>
    </row>
    <row r="40">
      <c r="A40">
        <f>'CLE'!B39</f>
        <v/>
      </c>
      <c r="B40" t="inlineStr">
        <is>
          <t>CLE</t>
        </is>
      </c>
      <c r="C40" t="inlineStr">
        <is>
          <t>TE</t>
        </is>
      </c>
      <c r="D40" s="48">
        <f>'CLE'!V39</f>
        <v/>
      </c>
      <c r="E40" s="48">
        <f>'CLE'!W39</f>
        <v/>
      </c>
      <c r="F40" s="48">
        <f>'CLE'!X39</f>
        <v/>
      </c>
      <c r="G40" s="49">
        <f>'CLE'!Z39</f>
        <v/>
      </c>
      <c r="H40" s="48">
        <f>'CLE'!AA39</f>
        <v/>
      </c>
      <c r="I40" s="48">
        <f>'CLE'!AB39</f>
        <v/>
      </c>
      <c r="J40" s="49">
        <f>'CLE'!AD39</f>
        <v/>
      </c>
      <c r="K40" s="49">
        <f>'CLE'!AE39</f>
        <v/>
      </c>
    </row>
    <row r="41">
      <c r="A41">
        <f>'CLE'!B40</f>
        <v/>
      </c>
      <c r="B41" t="inlineStr">
        <is>
          <t>CLE</t>
        </is>
      </c>
      <c r="C41" t="inlineStr">
        <is>
          <t>TE</t>
        </is>
      </c>
      <c r="D41" s="48">
        <f>'CLE'!V40</f>
        <v/>
      </c>
      <c r="E41" s="48">
        <f>'CLE'!W40</f>
        <v/>
      </c>
      <c r="F41" s="48">
        <f>'CLE'!X40</f>
        <v/>
      </c>
      <c r="G41" s="49">
        <f>'CLE'!Z40</f>
        <v/>
      </c>
      <c r="H41" s="48">
        <f>'CLE'!AA40</f>
        <v/>
      </c>
      <c r="I41" s="48">
        <f>'CLE'!AB40</f>
        <v/>
      </c>
      <c r="J41" s="49">
        <f>'CLE'!AD40</f>
        <v/>
      </c>
      <c r="K41" s="49">
        <f>'CLE'!AE40</f>
        <v/>
      </c>
    </row>
    <row r="42">
      <c r="A42">
        <f>'CLE'!B41</f>
        <v/>
      </c>
      <c r="B42" t="inlineStr">
        <is>
          <t>CLE</t>
        </is>
      </c>
      <c r="C42" t="inlineStr">
        <is>
          <t>TE</t>
        </is>
      </c>
      <c r="D42" s="48">
        <f>'CLE'!V41</f>
        <v/>
      </c>
      <c r="E42" s="48">
        <f>'CLE'!W41</f>
        <v/>
      </c>
      <c r="F42" s="48">
        <f>'CLE'!X41</f>
        <v/>
      </c>
      <c r="G42" s="49">
        <f>'CLE'!Z41</f>
        <v/>
      </c>
      <c r="H42" s="48">
        <f>'CLE'!AA41</f>
        <v/>
      </c>
      <c r="I42" s="48">
        <f>'CLE'!AB41</f>
        <v/>
      </c>
      <c r="J42" s="49">
        <f>'CLE'!AD41</f>
        <v/>
      </c>
      <c r="K42" s="49">
        <f>'CLE'!AE41</f>
        <v/>
      </c>
    </row>
    <row r="43">
      <c r="A43">
        <f>'DAL'!B37</f>
        <v/>
      </c>
      <c r="B43" t="inlineStr">
        <is>
          <t>DAL</t>
        </is>
      </c>
      <c r="C43" t="inlineStr">
        <is>
          <t>TE</t>
        </is>
      </c>
      <c r="D43" s="48">
        <f>'DAL'!V37</f>
        <v/>
      </c>
      <c r="E43" s="48">
        <f>'DAL'!W37</f>
        <v/>
      </c>
      <c r="F43" s="48">
        <f>'DAL'!X37</f>
        <v/>
      </c>
      <c r="G43" s="49">
        <f>'DAL'!Z37</f>
        <v/>
      </c>
      <c r="H43" s="48">
        <f>'DAL'!AA37</f>
        <v/>
      </c>
      <c r="I43" s="48">
        <f>'DAL'!AB37</f>
        <v/>
      </c>
      <c r="J43" s="49">
        <f>'DAL'!AD37</f>
        <v/>
      </c>
      <c r="K43" s="49">
        <f>'DAL'!AE37</f>
        <v/>
      </c>
    </row>
    <row r="44">
      <c r="A44">
        <f>'DAL'!B38</f>
        <v/>
      </c>
      <c r="B44" t="inlineStr">
        <is>
          <t>DAL</t>
        </is>
      </c>
      <c r="C44" t="inlineStr">
        <is>
          <t>TE</t>
        </is>
      </c>
      <c r="D44" s="48">
        <f>'DAL'!V38</f>
        <v/>
      </c>
      <c r="E44" s="48">
        <f>'DAL'!W38</f>
        <v/>
      </c>
      <c r="F44" s="48">
        <f>'DAL'!X38</f>
        <v/>
      </c>
      <c r="G44" s="49">
        <f>'DAL'!Z38</f>
        <v/>
      </c>
      <c r="H44" s="48">
        <f>'DAL'!AA38</f>
        <v/>
      </c>
      <c r="I44" s="48">
        <f>'DAL'!AB38</f>
        <v/>
      </c>
      <c r="J44" s="49">
        <f>'DAL'!AD38</f>
        <v/>
      </c>
      <c r="K44" s="49">
        <f>'DAL'!AE38</f>
        <v/>
      </c>
    </row>
    <row r="45">
      <c r="A45">
        <f>'DAL'!B39</f>
        <v/>
      </c>
      <c r="B45" t="inlineStr">
        <is>
          <t>DAL</t>
        </is>
      </c>
      <c r="C45" t="inlineStr">
        <is>
          <t>TE</t>
        </is>
      </c>
      <c r="D45" s="48">
        <f>'DAL'!V39</f>
        <v/>
      </c>
      <c r="E45" s="48">
        <f>'DAL'!W39</f>
        <v/>
      </c>
      <c r="F45" s="48">
        <f>'DAL'!X39</f>
        <v/>
      </c>
      <c r="G45" s="49">
        <f>'DAL'!Z39</f>
        <v/>
      </c>
      <c r="H45" s="48">
        <f>'DAL'!AA39</f>
        <v/>
      </c>
      <c r="I45" s="48">
        <f>'DAL'!AB39</f>
        <v/>
      </c>
      <c r="J45" s="49">
        <f>'DAL'!AD39</f>
        <v/>
      </c>
      <c r="K45" s="49">
        <f>'DAL'!AE39</f>
        <v/>
      </c>
    </row>
    <row r="46">
      <c r="A46">
        <f>'DAL'!B40</f>
        <v/>
      </c>
      <c r="B46" t="inlineStr">
        <is>
          <t>DAL</t>
        </is>
      </c>
      <c r="C46" t="inlineStr">
        <is>
          <t>TE</t>
        </is>
      </c>
      <c r="D46" s="48">
        <f>'DAL'!V40</f>
        <v/>
      </c>
      <c r="E46" s="48">
        <f>'DAL'!W40</f>
        <v/>
      </c>
      <c r="F46" s="48">
        <f>'DAL'!X40</f>
        <v/>
      </c>
      <c r="G46" s="49">
        <f>'DAL'!Z40</f>
        <v/>
      </c>
      <c r="H46" s="48">
        <f>'DAL'!AA40</f>
        <v/>
      </c>
      <c r="I46" s="48">
        <f>'DAL'!AB40</f>
        <v/>
      </c>
      <c r="J46" s="49">
        <f>'DAL'!AD40</f>
        <v/>
      </c>
      <c r="K46" s="49">
        <f>'DAL'!AE40</f>
        <v/>
      </c>
    </row>
    <row r="47">
      <c r="A47">
        <f>'DAL'!B41</f>
        <v/>
      </c>
      <c r="B47" t="inlineStr">
        <is>
          <t>DAL</t>
        </is>
      </c>
      <c r="C47" t="inlineStr">
        <is>
          <t>TE</t>
        </is>
      </c>
      <c r="D47" s="48">
        <f>'DAL'!V41</f>
        <v/>
      </c>
      <c r="E47" s="48">
        <f>'DAL'!W41</f>
        <v/>
      </c>
      <c r="F47" s="48">
        <f>'DAL'!X41</f>
        <v/>
      </c>
      <c r="G47" s="49">
        <f>'DAL'!Z41</f>
        <v/>
      </c>
      <c r="H47" s="48">
        <f>'DAL'!AA41</f>
        <v/>
      </c>
      <c r="I47" s="48">
        <f>'DAL'!AB41</f>
        <v/>
      </c>
      <c r="J47" s="49">
        <f>'DAL'!AD41</f>
        <v/>
      </c>
      <c r="K47" s="49">
        <f>'DAL'!AE41</f>
        <v/>
      </c>
    </row>
    <row r="48">
      <c r="A48">
        <f>'DEN'!B37</f>
        <v/>
      </c>
      <c r="B48" t="inlineStr">
        <is>
          <t>DEN</t>
        </is>
      </c>
      <c r="C48" t="inlineStr">
        <is>
          <t>TE</t>
        </is>
      </c>
      <c r="D48" s="48">
        <f>'DEN'!V37</f>
        <v/>
      </c>
      <c r="E48" s="48">
        <f>'DEN'!W37</f>
        <v/>
      </c>
      <c r="F48" s="48">
        <f>'DEN'!X37</f>
        <v/>
      </c>
      <c r="G48" s="49">
        <f>'DEN'!Z37</f>
        <v/>
      </c>
      <c r="H48" s="48">
        <f>'DEN'!AA37</f>
        <v/>
      </c>
      <c r="I48" s="48">
        <f>'DEN'!AB37</f>
        <v/>
      </c>
      <c r="J48" s="49">
        <f>'DEN'!AD37</f>
        <v/>
      </c>
      <c r="K48" s="49">
        <f>'DEN'!AE37</f>
        <v/>
      </c>
    </row>
    <row r="49">
      <c r="A49">
        <f>'DEN'!B38</f>
        <v/>
      </c>
      <c r="B49" t="inlineStr">
        <is>
          <t>DEN</t>
        </is>
      </c>
      <c r="C49" t="inlineStr">
        <is>
          <t>TE</t>
        </is>
      </c>
      <c r="D49" s="48">
        <f>'DEN'!V38</f>
        <v/>
      </c>
      <c r="E49" s="48">
        <f>'DEN'!W38</f>
        <v/>
      </c>
      <c r="F49" s="48">
        <f>'DEN'!X38</f>
        <v/>
      </c>
      <c r="G49" s="49">
        <f>'DEN'!Z38</f>
        <v/>
      </c>
      <c r="H49" s="48">
        <f>'DEN'!AA38</f>
        <v/>
      </c>
      <c r="I49" s="48">
        <f>'DEN'!AB38</f>
        <v/>
      </c>
      <c r="J49" s="49">
        <f>'DEN'!AD38</f>
        <v/>
      </c>
      <c r="K49" s="49">
        <f>'DEN'!AE38</f>
        <v/>
      </c>
    </row>
    <row r="50">
      <c r="A50">
        <f>'DEN'!B39</f>
        <v/>
      </c>
      <c r="B50" t="inlineStr">
        <is>
          <t>DEN</t>
        </is>
      </c>
      <c r="C50" t="inlineStr">
        <is>
          <t>TE</t>
        </is>
      </c>
      <c r="D50" s="48">
        <f>'DEN'!V39</f>
        <v/>
      </c>
      <c r="E50" s="48">
        <f>'DEN'!W39</f>
        <v/>
      </c>
      <c r="F50" s="48">
        <f>'DEN'!X39</f>
        <v/>
      </c>
      <c r="G50" s="49">
        <f>'DEN'!Z39</f>
        <v/>
      </c>
      <c r="H50" s="48">
        <f>'DEN'!AA39</f>
        <v/>
      </c>
      <c r="I50" s="48">
        <f>'DEN'!AB39</f>
        <v/>
      </c>
      <c r="J50" s="49">
        <f>'DEN'!AD39</f>
        <v/>
      </c>
      <c r="K50" s="49">
        <f>'DEN'!AE39</f>
        <v/>
      </c>
    </row>
    <row r="51">
      <c r="A51">
        <f>'DEN'!B40</f>
        <v/>
      </c>
      <c r="B51" t="inlineStr">
        <is>
          <t>DEN</t>
        </is>
      </c>
      <c r="C51" t="inlineStr">
        <is>
          <t>TE</t>
        </is>
      </c>
      <c r="D51" s="48">
        <f>'DEN'!V40</f>
        <v/>
      </c>
      <c r="E51" s="48">
        <f>'DEN'!W40</f>
        <v/>
      </c>
      <c r="F51" s="48">
        <f>'DEN'!X40</f>
        <v/>
      </c>
      <c r="G51" s="49">
        <f>'DEN'!Z40</f>
        <v/>
      </c>
      <c r="H51" s="48">
        <f>'DEN'!AA40</f>
        <v/>
      </c>
      <c r="I51" s="48">
        <f>'DEN'!AB40</f>
        <v/>
      </c>
      <c r="J51" s="49">
        <f>'DEN'!AD40</f>
        <v/>
      </c>
      <c r="K51" s="49">
        <f>'DEN'!AE40</f>
        <v/>
      </c>
    </row>
    <row r="52">
      <c r="A52">
        <f>'DEN'!B41</f>
        <v/>
      </c>
      <c r="B52" t="inlineStr">
        <is>
          <t>DEN</t>
        </is>
      </c>
      <c r="C52" t="inlineStr">
        <is>
          <t>TE</t>
        </is>
      </c>
      <c r="D52" s="48">
        <f>'DEN'!V41</f>
        <v/>
      </c>
      <c r="E52" s="48">
        <f>'DEN'!W41</f>
        <v/>
      </c>
      <c r="F52" s="48">
        <f>'DEN'!X41</f>
        <v/>
      </c>
      <c r="G52" s="49">
        <f>'DEN'!Z41</f>
        <v/>
      </c>
      <c r="H52" s="48">
        <f>'DEN'!AA41</f>
        <v/>
      </c>
      <c r="I52" s="48">
        <f>'DEN'!AB41</f>
        <v/>
      </c>
      <c r="J52" s="49">
        <f>'DEN'!AD41</f>
        <v/>
      </c>
      <c r="K52" s="49">
        <f>'DEN'!AE41</f>
        <v/>
      </c>
    </row>
    <row r="53">
      <c r="A53">
        <f>'DET'!B37</f>
        <v/>
      </c>
      <c r="B53" t="inlineStr">
        <is>
          <t>DET</t>
        </is>
      </c>
      <c r="C53" t="inlineStr">
        <is>
          <t>TE</t>
        </is>
      </c>
      <c r="D53" s="48">
        <f>'DET'!V37</f>
        <v/>
      </c>
      <c r="E53" s="48">
        <f>'DET'!W37</f>
        <v/>
      </c>
      <c r="F53" s="48">
        <f>'DET'!X37</f>
        <v/>
      </c>
      <c r="G53" s="49">
        <f>'DET'!Z37</f>
        <v/>
      </c>
      <c r="H53" s="48">
        <f>'DET'!AA37</f>
        <v/>
      </c>
      <c r="I53" s="48">
        <f>'DET'!AB37</f>
        <v/>
      </c>
      <c r="J53" s="49">
        <f>'DET'!AD37</f>
        <v/>
      </c>
      <c r="K53" s="49">
        <f>'DET'!AE37</f>
        <v/>
      </c>
    </row>
    <row r="54">
      <c r="A54">
        <f>'DET'!B38</f>
        <v/>
      </c>
      <c r="B54" t="inlineStr">
        <is>
          <t>DET</t>
        </is>
      </c>
      <c r="C54" t="inlineStr">
        <is>
          <t>TE</t>
        </is>
      </c>
      <c r="D54" s="48">
        <f>'DET'!V38</f>
        <v/>
      </c>
      <c r="E54" s="48">
        <f>'DET'!W38</f>
        <v/>
      </c>
      <c r="F54" s="48">
        <f>'DET'!X38</f>
        <v/>
      </c>
      <c r="G54" s="49">
        <f>'DET'!Z38</f>
        <v/>
      </c>
      <c r="H54" s="48">
        <f>'DET'!AA38</f>
        <v/>
      </c>
      <c r="I54" s="48">
        <f>'DET'!AB38</f>
        <v/>
      </c>
      <c r="J54" s="49">
        <f>'DET'!AD38</f>
        <v/>
      </c>
      <c r="K54" s="49">
        <f>'DET'!AE38</f>
        <v/>
      </c>
    </row>
    <row r="55">
      <c r="A55">
        <f>'DET'!B39</f>
        <v/>
      </c>
      <c r="B55" t="inlineStr">
        <is>
          <t>DET</t>
        </is>
      </c>
      <c r="C55" t="inlineStr">
        <is>
          <t>TE</t>
        </is>
      </c>
      <c r="D55" s="48">
        <f>'DET'!V39</f>
        <v/>
      </c>
      <c r="E55" s="48">
        <f>'DET'!W39</f>
        <v/>
      </c>
      <c r="F55" s="48">
        <f>'DET'!X39</f>
        <v/>
      </c>
      <c r="G55" s="49">
        <f>'DET'!Z39</f>
        <v/>
      </c>
      <c r="H55" s="48">
        <f>'DET'!AA39</f>
        <v/>
      </c>
      <c r="I55" s="48">
        <f>'DET'!AB39</f>
        <v/>
      </c>
      <c r="J55" s="49">
        <f>'DET'!AD39</f>
        <v/>
      </c>
      <c r="K55" s="49">
        <f>'DET'!AE39</f>
        <v/>
      </c>
    </row>
    <row r="56">
      <c r="A56">
        <f>'DET'!B40</f>
        <v/>
      </c>
      <c r="B56" t="inlineStr">
        <is>
          <t>DET</t>
        </is>
      </c>
      <c r="C56" t="inlineStr">
        <is>
          <t>TE</t>
        </is>
      </c>
      <c r="D56" s="48">
        <f>'DET'!V40</f>
        <v/>
      </c>
      <c r="E56" s="48">
        <f>'DET'!W40</f>
        <v/>
      </c>
      <c r="F56" s="48">
        <f>'DET'!X40</f>
        <v/>
      </c>
      <c r="G56" s="49">
        <f>'DET'!Z40</f>
        <v/>
      </c>
      <c r="H56" s="48">
        <f>'DET'!AA40</f>
        <v/>
      </c>
      <c r="I56" s="48">
        <f>'DET'!AB40</f>
        <v/>
      </c>
      <c r="J56" s="49">
        <f>'DET'!AD40</f>
        <v/>
      </c>
      <c r="K56" s="49">
        <f>'DET'!AE40</f>
        <v/>
      </c>
    </row>
    <row r="57">
      <c r="A57">
        <f>'DET'!B41</f>
        <v/>
      </c>
      <c r="B57" t="inlineStr">
        <is>
          <t>DET</t>
        </is>
      </c>
      <c r="C57" t="inlineStr">
        <is>
          <t>TE</t>
        </is>
      </c>
      <c r="D57" s="48">
        <f>'DET'!V41</f>
        <v/>
      </c>
      <c r="E57" s="48">
        <f>'DET'!W41</f>
        <v/>
      </c>
      <c r="F57" s="48">
        <f>'DET'!X41</f>
        <v/>
      </c>
      <c r="G57" s="49">
        <f>'DET'!Z41</f>
        <v/>
      </c>
      <c r="H57" s="48">
        <f>'DET'!AA41</f>
        <v/>
      </c>
      <c r="I57" s="48">
        <f>'DET'!AB41</f>
        <v/>
      </c>
      <c r="J57" s="49">
        <f>'DET'!AD41</f>
        <v/>
      </c>
      <c r="K57" s="49">
        <f>'DET'!AE41</f>
        <v/>
      </c>
    </row>
    <row r="58">
      <c r="A58">
        <f>'GB'!B37</f>
        <v/>
      </c>
      <c r="B58" t="inlineStr">
        <is>
          <t>GB</t>
        </is>
      </c>
      <c r="C58" t="inlineStr">
        <is>
          <t>TE</t>
        </is>
      </c>
      <c r="D58" s="48">
        <f>'GB'!V37</f>
        <v/>
      </c>
      <c r="E58" s="48">
        <f>'GB'!W37</f>
        <v/>
      </c>
      <c r="F58" s="48">
        <f>'GB'!X37</f>
        <v/>
      </c>
      <c r="G58" s="49">
        <f>'GB'!Z37</f>
        <v/>
      </c>
      <c r="H58" s="48">
        <f>'GB'!AA37</f>
        <v/>
      </c>
      <c r="I58" s="48">
        <f>'GB'!AB37</f>
        <v/>
      </c>
      <c r="J58" s="49">
        <f>'GB'!AD37</f>
        <v/>
      </c>
      <c r="K58" s="49">
        <f>'GB'!AE37</f>
        <v/>
      </c>
    </row>
    <row r="59">
      <c r="A59">
        <f>'GB'!B38</f>
        <v/>
      </c>
      <c r="B59" t="inlineStr">
        <is>
          <t>GB</t>
        </is>
      </c>
      <c r="C59" t="inlineStr">
        <is>
          <t>TE</t>
        </is>
      </c>
      <c r="D59" s="48">
        <f>'GB'!V38</f>
        <v/>
      </c>
      <c r="E59" s="48">
        <f>'GB'!W38</f>
        <v/>
      </c>
      <c r="F59" s="48">
        <f>'GB'!X38</f>
        <v/>
      </c>
      <c r="G59" s="49">
        <f>'GB'!Z38</f>
        <v/>
      </c>
      <c r="H59" s="48">
        <f>'GB'!AA38</f>
        <v/>
      </c>
      <c r="I59" s="48">
        <f>'GB'!AB38</f>
        <v/>
      </c>
      <c r="J59" s="49">
        <f>'GB'!AD38</f>
        <v/>
      </c>
      <c r="K59" s="49">
        <f>'GB'!AE38</f>
        <v/>
      </c>
    </row>
    <row r="60">
      <c r="A60">
        <f>'GB'!B39</f>
        <v/>
      </c>
      <c r="B60" t="inlineStr">
        <is>
          <t>GB</t>
        </is>
      </c>
      <c r="C60" t="inlineStr">
        <is>
          <t>TE</t>
        </is>
      </c>
      <c r="D60" s="48">
        <f>'GB'!V39</f>
        <v/>
      </c>
      <c r="E60" s="48">
        <f>'GB'!W39</f>
        <v/>
      </c>
      <c r="F60" s="48">
        <f>'GB'!X39</f>
        <v/>
      </c>
      <c r="G60" s="49">
        <f>'GB'!Z39</f>
        <v/>
      </c>
      <c r="H60" s="48">
        <f>'GB'!AA39</f>
        <v/>
      </c>
      <c r="I60" s="48">
        <f>'GB'!AB39</f>
        <v/>
      </c>
      <c r="J60" s="49">
        <f>'GB'!AD39</f>
        <v/>
      </c>
      <c r="K60" s="49">
        <f>'GB'!AE39</f>
        <v/>
      </c>
    </row>
    <row r="61">
      <c r="A61">
        <f>'GB'!B40</f>
        <v/>
      </c>
      <c r="B61" t="inlineStr">
        <is>
          <t>GB</t>
        </is>
      </c>
      <c r="C61" t="inlineStr">
        <is>
          <t>TE</t>
        </is>
      </c>
      <c r="D61" s="48">
        <f>'GB'!V40</f>
        <v/>
      </c>
      <c r="E61" s="48">
        <f>'GB'!W40</f>
        <v/>
      </c>
      <c r="F61" s="48">
        <f>'GB'!X40</f>
        <v/>
      </c>
      <c r="G61" s="49">
        <f>'GB'!Z40</f>
        <v/>
      </c>
      <c r="H61" s="48">
        <f>'GB'!AA40</f>
        <v/>
      </c>
      <c r="I61" s="48">
        <f>'GB'!AB40</f>
        <v/>
      </c>
      <c r="J61" s="49">
        <f>'GB'!AD40</f>
        <v/>
      </c>
      <c r="K61" s="49">
        <f>'GB'!AE40</f>
        <v/>
      </c>
    </row>
    <row r="62">
      <c r="A62">
        <f>'GB'!B41</f>
        <v/>
      </c>
      <c r="B62" t="inlineStr">
        <is>
          <t>GB</t>
        </is>
      </c>
      <c r="C62" t="inlineStr">
        <is>
          <t>TE</t>
        </is>
      </c>
      <c r="D62" s="48">
        <f>'GB'!V41</f>
        <v/>
      </c>
      <c r="E62" s="48">
        <f>'GB'!W41</f>
        <v/>
      </c>
      <c r="F62" s="48">
        <f>'GB'!X41</f>
        <v/>
      </c>
      <c r="G62" s="49">
        <f>'GB'!Z41</f>
        <v/>
      </c>
      <c r="H62" s="48">
        <f>'GB'!AA41</f>
        <v/>
      </c>
      <c r="I62" s="48">
        <f>'GB'!AB41</f>
        <v/>
      </c>
      <c r="J62" s="49">
        <f>'GB'!AD41</f>
        <v/>
      </c>
      <c r="K62" s="49">
        <f>'GB'!AE41</f>
        <v/>
      </c>
    </row>
    <row r="63">
      <c r="A63">
        <f>'HOU'!B37</f>
        <v/>
      </c>
      <c r="B63" t="inlineStr">
        <is>
          <t>HOU</t>
        </is>
      </c>
      <c r="C63" t="inlineStr">
        <is>
          <t>TE</t>
        </is>
      </c>
      <c r="D63" s="48">
        <f>'HOU'!V37</f>
        <v/>
      </c>
      <c r="E63" s="48">
        <f>'HOU'!W37</f>
        <v/>
      </c>
      <c r="F63" s="48">
        <f>'HOU'!X37</f>
        <v/>
      </c>
      <c r="G63" s="49">
        <f>'HOU'!Z37</f>
        <v/>
      </c>
      <c r="H63" s="48">
        <f>'HOU'!AA37</f>
        <v/>
      </c>
      <c r="I63" s="48">
        <f>'HOU'!AB37</f>
        <v/>
      </c>
      <c r="J63" s="49">
        <f>'HOU'!AD37</f>
        <v/>
      </c>
      <c r="K63" s="49">
        <f>'HOU'!AE37</f>
        <v/>
      </c>
    </row>
    <row r="64">
      <c r="A64">
        <f>'HOU'!B38</f>
        <v/>
      </c>
      <c r="B64" t="inlineStr">
        <is>
          <t>HOU</t>
        </is>
      </c>
      <c r="C64" t="inlineStr">
        <is>
          <t>TE</t>
        </is>
      </c>
      <c r="D64" s="48">
        <f>'HOU'!V38</f>
        <v/>
      </c>
      <c r="E64" s="48">
        <f>'HOU'!W38</f>
        <v/>
      </c>
      <c r="F64" s="48">
        <f>'HOU'!X38</f>
        <v/>
      </c>
      <c r="G64" s="49">
        <f>'HOU'!Z38</f>
        <v/>
      </c>
      <c r="H64" s="48">
        <f>'HOU'!AA38</f>
        <v/>
      </c>
      <c r="I64" s="48">
        <f>'HOU'!AB38</f>
        <v/>
      </c>
      <c r="J64" s="49">
        <f>'HOU'!AD38</f>
        <v/>
      </c>
      <c r="K64" s="49">
        <f>'HOU'!AE38</f>
        <v/>
      </c>
    </row>
    <row r="65">
      <c r="A65">
        <f>'HOU'!B39</f>
        <v/>
      </c>
      <c r="B65" t="inlineStr">
        <is>
          <t>HOU</t>
        </is>
      </c>
      <c r="C65" t="inlineStr">
        <is>
          <t>TE</t>
        </is>
      </c>
      <c r="D65" s="48">
        <f>'HOU'!V39</f>
        <v/>
      </c>
      <c r="E65" s="48">
        <f>'HOU'!W39</f>
        <v/>
      </c>
      <c r="F65" s="48">
        <f>'HOU'!X39</f>
        <v/>
      </c>
      <c r="G65" s="49">
        <f>'HOU'!Z39</f>
        <v/>
      </c>
      <c r="H65" s="48">
        <f>'HOU'!AA39</f>
        <v/>
      </c>
      <c r="I65" s="48">
        <f>'HOU'!AB39</f>
        <v/>
      </c>
      <c r="J65" s="49">
        <f>'HOU'!AD39</f>
        <v/>
      </c>
      <c r="K65" s="49">
        <f>'HOU'!AE39</f>
        <v/>
      </c>
    </row>
    <row r="66">
      <c r="A66">
        <f>'HOU'!B40</f>
        <v/>
      </c>
      <c r="B66" t="inlineStr">
        <is>
          <t>HOU</t>
        </is>
      </c>
      <c r="C66" t="inlineStr">
        <is>
          <t>TE</t>
        </is>
      </c>
      <c r="D66" s="48">
        <f>'HOU'!V40</f>
        <v/>
      </c>
      <c r="E66" s="48">
        <f>'HOU'!W40</f>
        <v/>
      </c>
      <c r="F66" s="48">
        <f>'HOU'!X40</f>
        <v/>
      </c>
      <c r="G66" s="49">
        <f>'HOU'!Z40</f>
        <v/>
      </c>
      <c r="H66" s="48">
        <f>'HOU'!AA40</f>
        <v/>
      </c>
      <c r="I66" s="48">
        <f>'HOU'!AB40</f>
        <v/>
      </c>
      <c r="J66" s="49">
        <f>'HOU'!AD40</f>
        <v/>
      </c>
      <c r="K66" s="49">
        <f>'HOU'!AE40</f>
        <v/>
      </c>
    </row>
    <row r="67">
      <c r="A67">
        <f>'HOU'!B41</f>
        <v/>
      </c>
      <c r="B67" t="inlineStr">
        <is>
          <t>HOU</t>
        </is>
      </c>
      <c r="C67" t="inlineStr">
        <is>
          <t>TE</t>
        </is>
      </c>
      <c r="D67" s="48">
        <f>'HOU'!V41</f>
        <v/>
      </c>
      <c r="E67" s="48">
        <f>'HOU'!W41</f>
        <v/>
      </c>
      <c r="F67" s="48">
        <f>'HOU'!X41</f>
        <v/>
      </c>
      <c r="G67" s="49">
        <f>'HOU'!Z41</f>
        <v/>
      </c>
      <c r="H67" s="48">
        <f>'HOU'!AA41</f>
        <v/>
      </c>
      <c r="I67" s="48">
        <f>'HOU'!AB41</f>
        <v/>
      </c>
      <c r="J67" s="49">
        <f>'HOU'!AD41</f>
        <v/>
      </c>
      <c r="K67" s="49">
        <f>'HOU'!AE41</f>
        <v/>
      </c>
    </row>
    <row r="68">
      <c r="A68">
        <f>'IND'!B37</f>
        <v/>
      </c>
      <c r="B68" t="inlineStr">
        <is>
          <t>IND</t>
        </is>
      </c>
      <c r="C68" t="inlineStr">
        <is>
          <t>TE</t>
        </is>
      </c>
      <c r="D68" s="48">
        <f>'IND'!V37</f>
        <v/>
      </c>
      <c r="E68" s="48">
        <f>'IND'!W37</f>
        <v/>
      </c>
      <c r="F68" s="48">
        <f>'IND'!X37</f>
        <v/>
      </c>
      <c r="G68" s="49">
        <f>'IND'!Z37</f>
        <v/>
      </c>
      <c r="H68" s="48">
        <f>'IND'!AA37</f>
        <v/>
      </c>
      <c r="I68" s="48">
        <f>'IND'!AB37</f>
        <v/>
      </c>
      <c r="J68" s="49">
        <f>'IND'!AD37</f>
        <v/>
      </c>
      <c r="K68" s="49">
        <f>'IND'!AE37</f>
        <v/>
      </c>
    </row>
    <row r="69">
      <c r="A69">
        <f>'IND'!B38</f>
        <v/>
      </c>
      <c r="B69" t="inlineStr">
        <is>
          <t>IND</t>
        </is>
      </c>
      <c r="C69" t="inlineStr">
        <is>
          <t>TE</t>
        </is>
      </c>
      <c r="D69" s="48">
        <f>'IND'!V38</f>
        <v/>
      </c>
      <c r="E69" s="48">
        <f>'IND'!W38</f>
        <v/>
      </c>
      <c r="F69" s="48">
        <f>'IND'!X38</f>
        <v/>
      </c>
      <c r="G69" s="49">
        <f>'IND'!Z38</f>
        <v/>
      </c>
      <c r="H69" s="48">
        <f>'IND'!AA38</f>
        <v/>
      </c>
      <c r="I69" s="48">
        <f>'IND'!AB38</f>
        <v/>
      </c>
      <c r="J69" s="49">
        <f>'IND'!AD38</f>
        <v/>
      </c>
      <c r="K69" s="49">
        <f>'IND'!AE38</f>
        <v/>
      </c>
    </row>
    <row r="70">
      <c r="A70">
        <f>'IND'!B39</f>
        <v/>
      </c>
      <c r="B70" t="inlineStr">
        <is>
          <t>IND</t>
        </is>
      </c>
      <c r="C70" t="inlineStr">
        <is>
          <t>TE</t>
        </is>
      </c>
      <c r="D70" s="48">
        <f>'IND'!V39</f>
        <v/>
      </c>
      <c r="E70" s="48">
        <f>'IND'!W39</f>
        <v/>
      </c>
      <c r="F70" s="48">
        <f>'IND'!X39</f>
        <v/>
      </c>
      <c r="G70" s="49">
        <f>'IND'!Z39</f>
        <v/>
      </c>
      <c r="H70" s="48">
        <f>'IND'!AA39</f>
        <v/>
      </c>
      <c r="I70" s="48">
        <f>'IND'!AB39</f>
        <v/>
      </c>
      <c r="J70" s="49">
        <f>'IND'!AD39</f>
        <v/>
      </c>
      <c r="K70" s="49">
        <f>'IND'!AE39</f>
        <v/>
      </c>
    </row>
    <row r="71">
      <c r="A71">
        <f>'IND'!B40</f>
        <v/>
      </c>
      <c r="B71" t="inlineStr">
        <is>
          <t>IND</t>
        </is>
      </c>
      <c r="C71" t="inlineStr">
        <is>
          <t>TE</t>
        </is>
      </c>
      <c r="D71" s="48">
        <f>'IND'!V40</f>
        <v/>
      </c>
      <c r="E71" s="48">
        <f>'IND'!W40</f>
        <v/>
      </c>
      <c r="F71" s="48">
        <f>'IND'!X40</f>
        <v/>
      </c>
      <c r="G71" s="49">
        <f>'IND'!Z40</f>
        <v/>
      </c>
      <c r="H71" s="48">
        <f>'IND'!AA40</f>
        <v/>
      </c>
      <c r="I71" s="48">
        <f>'IND'!AB40</f>
        <v/>
      </c>
      <c r="J71" s="49">
        <f>'IND'!AD40</f>
        <v/>
      </c>
      <c r="K71" s="49">
        <f>'IND'!AE40</f>
        <v/>
      </c>
    </row>
    <row r="72">
      <c r="A72">
        <f>'IND'!B41</f>
        <v/>
      </c>
      <c r="B72" t="inlineStr">
        <is>
          <t>IND</t>
        </is>
      </c>
      <c r="C72" t="inlineStr">
        <is>
          <t>TE</t>
        </is>
      </c>
      <c r="D72" s="48">
        <f>'IND'!V41</f>
        <v/>
      </c>
      <c r="E72" s="48">
        <f>'IND'!W41</f>
        <v/>
      </c>
      <c r="F72" s="48">
        <f>'IND'!X41</f>
        <v/>
      </c>
      <c r="G72" s="49">
        <f>'IND'!Z41</f>
        <v/>
      </c>
      <c r="H72" s="48">
        <f>'IND'!AA41</f>
        <v/>
      </c>
      <c r="I72" s="48">
        <f>'IND'!AB41</f>
        <v/>
      </c>
      <c r="J72" s="49">
        <f>'IND'!AD41</f>
        <v/>
      </c>
      <c r="K72" s="49">
        <f>'IND'!AE41</f>
        <v/>
      </c>
    </row>
    <row r="73">
      <c r="A73">
        <f>'JAC'!B37</f>
        <v/>
      </c>
      <c r="B73" t="inlineStr">
        <is>
          <t>JAC</t>
        </is>
      </c>
      <c r="C73" t="inlineStr">
        <is>
          <t>TE</t>
        </is>
      </c>
      <c r="D73" s="48">
        <f>'JAC'!V37</f>
        <v/>
      </c>
      <c r="E73" s="48">
        <f>'JAC'!W37</f>
        <v/>
      </c>
      <c r="F73" s="48">
        <f>'JAC'!X37</f>
        <v/>
      </c>
      <c r="G73" s="49">
        <f>'JAC'!Z37</f>
        <v/>
      </c>
      <c r="H73" s="48">
        <f>'JAC'!AA37</f>
        <v/>
      </c>
      <c r="I73" s="48">
        <f>'JAC'!AB37</f>
        <v/>
      </c>
      <c r="J73" s="49">
        <f>'JAC'!AD37</f>
        <v/>
      </c>
      <c r="K73" s="49">
        <f>'JAC'!AE37</f>
        <v/>
      </c>
    </row>
    <row r="74">
      <c r="A74">
        <f>'JAC'!B38</f>
        <v/>
      </c>
      <c r="B74" t="inlineStr">
        <is>
          <t>JAC</t>
        </is>
      </c>
      <c r="C74" t="inlineStr">
        <is>
          <t>TE</t>
        </is>
      </c>
      <c r="D74" s="48">
        <f>'JAC'!V38</f>
        <v/>
      </c>
      <c r="E74" s="48">
        <f>'JAC'!W38</f>
        <v/>
      </c>
      <c r="F74" s="48">
        <f>'JAC'!X38</f>
        <v/>
      </c>
      <c r="G74" s="49">
        <f>'JAC'!Z38</f>
        <v/>
      </c>
      <c r="H74" s="48">
        <f>'JAC'!AA38</f>
        <v/>
      </c>
      <c r="I74" s="48">
        <f>'JAC'!AB38</f>
        <v/>
      </c>
      <c r="J74" s="49">
        <f>'JAC'!AD38</f>
        <v/>
      </c>
      <c r="K74" s="49">
        <f>'JAC'!AE38</f>
        <v/>
      </c>
    </row>
    <row r="75">
      <c r="A75">
        <f>'JAC'!B39</f>
        <v/>
      </c>
      <c r="B75" t="inlineStr">
        <is>
          <t>JAC</t>
        </is>
      </c>
      <c r="C75" t="inlineStr">
        <is>
          <t>TE</t>
        </is>
      </c>
      <c r="D75" s="48">
        <f>'JAC'!V39</f>
        <v/>
      </c>
      <c r="E75" s="48">
        <f>'JAC'!W39</f>
        <v/>
      </c>
      <c r="F75" s="48">
        <f>'JAC'!X39</f>
        <v/>
      </c>
      <c r="G75" s="49">
        <f>'JAC'!Z39</f>
        <v/>
      </c>
      <c r="H75" s="48">
        <f>'JAC'!AA39</f>
        <v/>
      </c>
      <c r="I75" s="48">
        <f>'JAC'!AB39</f>
        <v/>
      </c>
      <c r="J75" s="49">
        <f>'JAC'!AD39</f>
        <v/>
      </c>
      <c r="K75" s="49">
        <f>'JAC'!AE39</f>
        <v/>
      </c>
    </row>
    <row r="76">
      <c r="A76">
        <f>'JAC'!B40</f>
        <v/>
      </c>
      <c r="B76" t="inlineStr">
        <is>
          <t>JAC</t>
        </is>
      </c>
      <c r="C76" t="inlineStr">
        <is>
          <t>TE</t>
        </is>
      </c>
      <c r="D76" s="48">
        <f>'JAC'!V40</f>
        <v/>
      </c>
      <c r="E76" s="48">
        <f>'JAC'!W40</f>
        <v/>
      </c>
      <c r="F76" s="48">
        <f>'JAC'!X40</f>
        <v/>
      </c>
      <c r="G76" s="49">
        <f>'JAC'!Z40</f>
        <v/>
      </c>
      <c r="H76" s="48">
        <f>'JAC'!AA40</f>
        <v/>
      </c>
      <c r="I76" s="48">
        <f>'JAC'!AB40</f>
        <v/>
      </c>
      <c r="J76" s="49">
        <f>'JAC'!AD40</f>
        <v/>
      </c>
      <c r="K76" s="49">
        <f>'JAC'!AE40</f>
        <v/>
      </c>
    </row>
    <row r="77">
      <c r="A77">
        <f>'JAC'!B41</f>
        <v/>
      </c>
      <c r="B77" t="inlineStr">
        <is>
          <t>JAC</t>
        </is>
      </c>
      <c r="C77" t="inlineStr">
        <is>
          <t>TE</t>
        </is>
      </c>
      <c r="D77" s="48">
        <f>'JAC'!V41</f>
        <v/>
      </c>
      <c r="E77" s="48">
        <f>'JAC'!W41</f>
        <v/>
      </c>
      <c r="F77" s="48">
        <f>'JAC'!X41</f>
        <v/>
      </c>
      <c r="G77" s="49">
        <f>'JAC'!Z41</f>
        <v/>
      </c>
      <c r="H77" s="48">
        <f>'JAC'!AA41</f>
        <v/>
      </c>
      <c r="I77" s="48">
        <f>'JAC'!AB41</f>
        <v/>
      </c>
      <c r="J77" s="49">
        <f>'JAC'!AD41</f>
        <v/>
      </c>
      <c r="K77" s="49">
        <f>'JAC'!AE41</f>
        <v/>
      </c>
    </row>
    <row r="78">
      <c r="A78">
        <f>'KC'!B37</f>
        <v/>
      </c>
      <c r="B78" t="inlineStr">
        <is>
          <t>KC</t>
        </is>
      </c>
      <c r="C78" t="inlineStr">
        <is>
          <t>TE</t>
        </is>
      </c>
      <c r="D78" s="48">
        <f>'KC'!V37</f>
        <v/>
      </c>
      <c r="E78" s="48">
        <f>'KC'!W37</f>
        <v/>
      </c>
      <c r="F78" s="48">
        <f>'KC'!X37</f>
        <v/>
      </c>
      <c r="G78" s="49">
        <f>'KC'!Z37</f>
        <v/>
      </c>
      <c r="H78" s="48">
        <f>'KC'!AA37</f>
        <v/>
      </c>
      <c r="I78" s="48">
        <f>'KC'!AB37</f>
        <v/>
      </c>
      <c r="J78" s="49">
        <f>'KC'!AD37</f>
        <v/>
      </c>
      <c r="K78" s="49">
        <f>'KC'!AE37</f>
        <v/>
      </c>
    </row>
    <row r="79">
      <c r="A79">
        <f>'KC'!B38</f>
        <v/>
      </c>
      <c r="B79" t="inlineStr">
        <is>
          <t>KC</t>
        </is>
      </c>
      <c r="C79" t="inlineStr">
        <is>
          <t>TE</t>
        </is>
      </c>
      <c r="D79" s="48">
        <f>'KC'!V38</f>
        <v/>
      </c>
      <c r="E79" s="48">
        <f>'KC'!W38</f>
        <v/>
      </c>
      <c r="F79" s="48">
        <f>'KC'!X38</f>
        <v/>
      </c>
      <c r="G79" s="49">
        <f>'KC'!Z38</f>
        <v/>
      </c>
      <c r="H79" s="48">
        <f>'KC'!AA38</f>
        <v/>
      </c>
      <c r="I79" s="48">
        <f>'KC'!AB38</f>
        <v/>
      </c>
      <c r="J79" s="49">
        <f>'KC'!AD38</f>
        <v/>
      </c>
      <c r="K79" s="49">
        <f>'KC'!AE38</f>
        <v/>
      </c>
    </row>
    <row r="80">
      <c r="A80">
        <f>'KC'!B39</f>
        <v/>
      </c>
      <c r="B80" t="inlineStr">
        <is>
          <t>KC</t>
        </is>
      </c>
      <c r="C80" t="inlineStr">
        <is>
          <t>TE</t>
        </is>
      </c>
      <c r="D80" s="48">
        <f>'KC'!V39</f>
        <v/>
      </c>
      <c r="E80" s="48">
        <f>'KC'!W39</f>
        <v/>
      </c>
      <c r="F80" s="48">
        <f>'KC'!X39</f>
        <v/>
      </c>
      <c r="G80" s="49">
        <f>'KC'!Z39</f>
        <v/>
      </c>
      <c r="H80" s="48">
        <f>'KC'!AA39</f>
        <v/>
      </c>
      <c r="I80" s="48">
        <f>'KC'!AB39</f>
        <v/>
      </c>
      <c r="J80" s="49">
        <f>'KC'!AD39</f>
        <v/>
      </c>
      <c r="K80" s="49">
        <f>'KC'!AE39</f>
        <v/>
      </c>
    </row>
    <row r="81">
      <c r="A81">
        <f>'KC'!B40</f>
        <v/>
      </c>
      <c r="B81" t="inlineStr">
        <is>
          <t>KC</t>
        </is>
      </c>
      <c r="C81" t="inlineStr">
        <is>
          <t>TE</t>
        </is>
      </c>
      <c r="D81" s="48">
        <f>'KC'!V40</f>
        <v/>
      </c>
      <c r="E81" s="48">
        <f>'KC'!W40</f>
        <v/>
      </c>
      <c r="F81" s="48">
        <f>'KC'!X40</f>
        <v/>
      </c>
      <c r="G81" s="49">
        <f>'KC'!Z40</f>
        <v/>
      </c>
      <c r="H81" s="48">
        <f>'KC'!AA40</f>
        <v/>
      </c>
      <c r="I81" s="48">
        <f>'KC'!AB40</f>
        <v/>
      </c>
      <c r="J81" s="49">
        <f>'KC'!AD40</f>
        <v/>
      </c>
      <c r="K81" s="49">
        <f>'KC'!AE40</f>
        <v/>
      </c>
    </row>
    <row r="82">
      <c r="A82">
        <f>'KC'!B41</f>
        <v/>
      </c>
      <c r="B82" t="inlineStr">
        <is>
          <t>KC</t>
        </is>
      </c>
      <c r="C82" t="inlineStr">
        <is>
          <t>TE</t>
        </is>
      </c>
      <c r="D82" s="48">
        <f>'KC'!V41</f>
        <v/>
      </c>
      <c r="E82" s="48">
        <f>'KC'!W41</f>
        <v/>
      </c>
      <c r="F82" s="48">
        <f>'KC'!X41</f>
        <v/>
      </c>
      <c r="G82" s="49">
        <f>'KC'!Z41</f>
        <v/>
      </c>
      <c r="H82" s="48">
        <f>'KC'!AA41</f>
        <v/>
      </c>
      <c r="I82" s="48">
        <f>'KC'!AB41</f>
        <v/>
      </c>
      <c r="J82" s="49">
        <f>'KC'!AD41</f>
        <v/>
      </c>
      <c r="K82" s="49">
        <f>'KC'!AE41</f>
        <v/>
      </c>
    </row>
    <row r="83">
      <c r="A83">
        <f>'LAC'!B37</f>
        <v/>
      </c>
      <c r="B83" t="inlineStr">
        <is>
          <t>LAC</t>
        </is>
      </c>
      <c r="C83" t="inlineStr">
        <is>
          <t>TE</t>
        </is>
      </c>
      <c r="D83" s="48">
        <f>'LAC'!V37</f>
        <v/>
      </c>
      <c r="E83" s="48">
        <f>'LAC'!W37</f>
        <v/>
      </c>
      <c r="F83" s="48">
        <f>'LAC'!X37</f>
        <v/>
      </c>
      <c r="G83" s="49">
        <f>'LAC'!Z37</f>
        <v/>
      </c>
      <c r="H83" s="48">
        <f>'LAC'!AA37</f>
        <v/>
      </c>
      <c r="I83" s="48">
        <f>'LAC'!AB37</f>
        <v/>
      </c>
      <c r="J83" s="49">
        <f>'LAC'!AD37</f>
        <v/>
      </c>
      <c r="K83" s="49">
        <f>'LAC'!AE37</f>
        <v/>
      </c>
    </row>
    <row r="84">
      <c r="A84">
        <f>'LAC'!B38</f>
        <v/>
      </c>
      <c r="B84" t="inlineStr">
        <is>
          <t>LAC</t>
        </is>
      </c>
      <c r="C84" t="inlineStr">
        <is>
          <t>TE</t>
        </is>
      </c>
      <c r="D84" s="48">
        <f>'LAC'!V38</f>
        <v/>
      </c>
      <c r="E84" s="48">
        <f>'LAC'!W38</f>
        <v/>
      </c>
      <c r="F84" s="48">
        <f>'LAC'!X38</f>
        <v/>
      </c>
      <c r="G84" s="49">
        <f>'LAC'!Z38</f>
        <v/>
      </c>
      <c r="H84" s="48">
        <f>'LAC'!AA38</f>
        <v/>
      </c>
      <c r="I84" s="48">
        <f>'LAC'!AB38</f>
        <v/>
      </c>
      <c r="J84" s="49">
        <f>'LAC'!AD38</f>
        <v/>
      </c>
      <c r="K84" s="49">
        <f>'LAC'!AE38</f>
        <v/>
      </c>
    </row>
    <row r="85">
      <c r="A85">
        <f>'LAC'!B39</f>
        <v/>
      </c>
      <c r="B85" t="inlineStr">
        <is>
          <t>LAC</t>
        </is>
      </c>
      <c r="C85" t="inlineStr">
        <is>
          <t>TE</t>
        </is>
      </c>
      <c r="D85" s="48">
        <f>'LAC'!V39</f>
        <v/>
      </c>
      <c r="E85" s="48">
        <f>'LAC'!W39</f>
        <v/>
      </c>
      <c r="F85" s="48">
        <f>'LAC'!X39</f>
        <v/>
      </c>
      <c r="G85" s="49">
        <f>'LAC'!Z39</f>
        <v/>
      </c>
      <c r="H85" s="48">
        <f>'LAC'!AA39</f>
        <v/>
      </c>
      <c r="I85" s="48">
        <f>'LAC'!AB39</f>
        <v/>
      </c>
      <c r="J85" s="49">
        <f>'LAC'!AD39</f>
        <v/>
      </c>
      <c r="K85" s="49">
        <f>'LAC'!AE39</f>
        <v/>
      </c>
    </row>
    <row r="86">
      <c r="A86">
        <f>'LAC'!B40</f>
        <v/>
      </c>
      <c r="B86" t="inlineStr">
        <is>
          <t>LAC</t>
        </is>
      </c>
      <c r="C86" t="inlineStr">
        <is>
          <t>TE</t>
        </is>
      </c>
      <c r="D86" s="48">
        <f>'LAC'!V40</f>
        <v/>
      </c>
      <c r="E86" s="48">
        <f>'LAC'!W40</f>
        <v/>
      </c>
      <c r="F86" s="48">
        <f>'LAC'!X40</f>
        <v/>
      </c>
      <c r="G86" s="49">
        <f>'LAC'!Z40</f>
        <v/>
      </c>
      <c r="H86" s="48">
        <f>'LAC'!AA40</f>
        <v/>
      </c>
      <c r="I86" s="48">
        <f>'LAC'!AB40</f>
        <v/>
      </c>
      <c r="J86" s="49">
        <f>'LAC'!AD40</f>
        <v/>
      </c>
      <c r="K86" s="49">
        <f>'LAC'!AE40</f>
        <v/>
      </c>
    </row>
    <row r="87">
      <c r="A87">
        <f>'LAC'!B41</f>
        <v/>
      </c>
      <c r="B87" t="inlineStr">
        <is>
          <t>LAC</t>
        </is>
      </c>
      <c r="C87" t="inlineStr">
        <is>
          <t>TE</t>
        </is>
      </c>
      <c r="D87" s="48">
        <f>'LAC'!V41</f>
        <v/>
      </c>
      <c r="E87" s="48">
        <f>'LAC'!W41</f>
        <v/>
      </c>
      <c r="F87" s="48">
        <f>'LAC'!X41</f>
        <v/>
      </c>
      <c r="G87" s="49">
        <f>'LAC'!Z41</f>
        <v/>
      </c>
      <c r="H87" s="48">
        <f>'LAC'!AA41</f>
        <v/>
      </c>
      <c r="I87" s="48">
        <f>'LAC'!AB41</f>
        <v/>
      </c>
      <c r="J87" s="49">
        <f>'LAC'!AD41</f>
        <v/>
      </c>
      <c r="K87" s="49">
        <f>'LAC'!AE41</f>
        <v/>
      </c>
    </row>
    <row r="88">
      <c r="A88">
        <f>'LAR'!B37</f>
        <v/>
      </c>
      <c r="B88" t="inlineStr">
        <is>
          <t>LAR</t>
        </is>
      </c>
      <c r="C88" t="inlineStr">
        <is>
          <t>TE</t>
        </is>
      </c>
      <c r="D88" s="48">
        <f>'LAR'!V37</f>
        <v/>
      </c>
      <c r="E88" s="48">
        <f>'LAR'!W37</f>
        <v/>
      </c>
      <c r="F88" s="48">
        <f>'LAR'!X37</f>
        <v/>
      </c>
      <c r="G88" s="49">
        <f>'LAR'!Z37</f>
        <v/>
      </c>
      <c r="H88" s="48">
        <f>'LAR'!AA37</f>
        <v/>
      </c>
      <c r="I88" s="48">
        <f>'LAR'!AB37</f>
        <v/>
      </c>
      <c r="J88" s="49">
        <f>'LAR'!AD37</f>
        <v/>
      </c>
      <c r="K88" s="49">
        <f>'LAR'!AE37</f>
        <v/>
      </c>
    </row>
    <row r="89">
      <c r="A89">
        <f>'LAR'!B38</f>
        <v/>
      </c>
      <c r="B89" t="inlineStr">
        <is>
          <t>LAR</t>
        </is>
      </c>
      <c r="C89" t="inlineStr">
        <is>
          <t>TE</t>
        </is>
      </c>
      <c r="D89" s="48">
        <f>'LAR'!V38</f>
        <v/>
      </c>
      <c r="E89" s="48">
        <f>'LAR'!W38</f>
        <v/>
      </c>
      <c r="F89" s="48">
        <f>'LAR'!X38</f>
        <v/>
      </c>
      <c r="G89" s="49">
        <f>'LAR'!Z38</f>
        <v/>
      </c>
      <c r="H89" s="48">
        <f>'LAR'!AA38</f>
        <v/>
      </c>
      <c r="I89" s="48">
        <f>'LAR'!AB38</f>
        <v/>
      </c>
      <c r="J89" s="49">
        <f>'LAR'!AD38</f>
        <v/>
      </c>
      <c r="K89" s="49">
        <f>'LAR'!AE38</f>
        <v/>
      </c>
    </row>
    <row r="90">
      <c r="A90">
        <f>'LAR'!B39</f>
        <v/>
      </c>
      <c r="B90" t="inlineStr">
        <is>
          <t>LAR</t>
        </is>
      </c>
      <c r="C90" t="inlineStr">
        <is>
          <t>TE</t>
        </is>
      </c>
      <c r="D90" s="48">
        <f>'LAR'!V39</f>
        <v/>
      </c>
      <c r="E90" s="48">
        <f>'LAR'!W39</f>
        <v/>
      </c>
      <c r="F90" s="48">
        <f>'LAR'!X39</f>
        <v/>
      </c>
      <c r="G90" s="49">
        <f>'LAR'!Z39</f>
        <v/>
      </c>
      <c r="H90" s="48">
        <f>'LAR'!AA39</f>
        <v/>
      </c>
      <c r="I90" s="48">
        <f>'LAR'!AB39</f>
        <v/>
      </c>
      <c r="J90" s="49">
        <f>'LAR'!AD39</f>
        <v/>
      </c>
      <c r="K90" s="49">
        <f>'LAR'!AE39</f>
        <v/>
      </c>
    </row>
    <row r="91">
      <c r="A91">
        <f>'LAR'!B40</f>
        <v/>
      </c>
      <c r="B91" t="inlineStr">
        <is>
          <t>LAR</t>
        </is>
      </c>
      <c r="C91" t="inlineStr">
        <is>
          <t>TE</t>
        </is>
      </c>
      <c r="D91" s="48">
        <f>'LAR'!V40</f>
        <v/>
      </c>
      <c r="E91" s="48">
        <f>'LAR'!W40</f>
        <v/>
      </c>
      <c r="F91" s="48">
        <f>'LAR'!X40</f>
        <v/>
      </c>
      <c r="G91" s="49">
        <f>'LAR'!Z40</f>
        <v/>
      </c>
      <c r="H91" s="48">
        <f>'LAR'!AA40</f>
        <v/>
      </c>
      <c r="I91" s="48">
        <f>'LAR'!AB40</f>
        <v/>
      </c>
      <c r="J91" s="49">
        <f>'LAR'!AD40</f>
        <v/>
      </c>
      <c r="K91" s="49">
        <f>'LAR'!AE40</f>
        <v/>
      </c>
    </row>
    <row r="92">
      <c r="A92">
        <f>'LAR'!B41</f>
        <v/>
      </c>
      <c r="B92" t="inlineStr">
        <is>
          <t>LAR</t>
        </is>
      </c>
      <c r="C92" t="inlineStr">
        <is>
          <t>TE</t>
        </is>
      </c>
      <c r="D92" s="48">
        <f>'LAR'!V41</f>
        <v/>
      </c>
      <c r="E92" s="48">
        <f>'LAR'!W41</f>
        <v/>
      </c>
      <c r="F92" s="48">
        <f>'LAR'!X41</f>
        <v/>
      </c>
      <c r="G92" s="49">
        <f>'LAR'!Z41</f>
        <v/>
      </c>
      <c r="H92" s="48">
        <f>'LAR'!AA41</f>
        <v/>
      </c>
      <c r="I92" s="48">
        <f>'LAR'!AB41</f>
        <v/>
      </c>
      <c r="J92" s="49">
        <f>'LAR'!AD41</f>
        <v/>
      </c>
      <c r="K92" s="49">
        <f>'LAR'!AE41</f>
        <v/>
      </c>
    </row>
    <row r="93">
      <c r="A93">
        <f>'LV'!B37</f>
        <v/>
      </c>
      <c r="B93" t="inlineStr">
        <is>
          <t>LV</t>
        </is>
      </c>
      <c r="C93" t="inlineStr">
        <is>
          <t>TE</t>
        </is>
      </c>
      <c r="D93" s="48">
        <f>'LV'!V37</f>
        <v/>
      </c>
      <c r="E93" s="48">
        <f>'LV'!W37</f>
        <v/>
      </c>
      <c r="F93" s="48">
        <f>'LV'!X37</f>
        <v/>
      </c>
      <c r="G93" s="49">
        <f>'LV'!Z37</f>
        <v/>
      </c>
      <c r="H93" s="48">
        <f>'LV'!AA37</f>
        <v/>
      </c>
      <c r="I93" s="48">
        <f>'LV'!AB37</f>
        <v/>
      </c>
      <c r="J93" s="49">
        <f>'LV'!AD37</f>
        <v/>
      </c>
      <c r="K93" s="49">
        <f>'LV'!AE37</f>
        <v/>
      </c>
    </row>
    <row r="94">
      <c r="A94">
        <f>'LV'!B38</f>
        <v/>
      </c>
      <c r="B94" t="inlineStr">
        <is>
          <t>LV</t>
        </is>
      </c>
      <c r="C94" t="inlineStr">
        <is>
          <t>TE</t>
        </is>
      </c>
      <c r="D94" s="48">
        <f>'LV'!V38</f>
        <v/>
      </c>
      <c r="E94" s="48">
        <f>'LV'!W38</f>
        <v/>
      </c>
      <c r="F94" s="48">
        <f>'LV'!X38</f>
        <v/>
      </c>
      <c r="G94" s="49">
        <f>'LV'!Z38</f>
        <v/>
      </c>
      <c r="H94" s="48">
        <f>'LV'!AA38</f>
        <v/>
      </c>
      <c r="I94" s="48">
        <f>'LV'!AB38</f>
        <v/>
      </c>
      <c r="J94" s="49">
        <f>'LV'!AD38</f>
        <v/>
      </c>
      <c r="K94" s="49">
        <f>'LV'!AE38</f>
        <v/>
      </c>
    </row>
    <row r="95">
      <c r="A95">
        <f>'LV'!B39</f>
        <v/>
      </c>
      <c r="B95" t="inlineStr">
        <is>
          <t>LV</t>
        </is>
      </c>
      <c r="C95" t="inlineStr">
        <is>
          <t>TE</t>
        </is>
      </c>
      <c r="D95" s="48">
        <f>'LV'!V39</f>
        <v/>
      </c>
      <c r="E95" s="48">
        <f>'LV'!W39</f>
        <v/>
      </c>
      <c r="F95" s="48">
        <f>'LV'!X39</f>
        <v/>
      </c>
      <c r="G95" s="49">
        <f>'LV'!Z39</f>
        <v/>
      </c>
      <c r="H95" s="48">
        <f>'LV'!AA39</f>
        <v/>
      </c>
      <c r="I95" s="48">
        <f>'LV'!AB39</f>
        <v/>
      </c>
      <c r="J95" s="49">
        <f>'LV'!AD39</f>
        <v/>
      </c>
      <c r="K95" s="49">
        <f>'LV'!AE39</f>
        <v/>
      </c>
    </row>
    <row r="96">
      <c r="A96">
        <f>'LV'!B40</f>
        <v/>
      </c>
      <c r="B96" t="inlineStr">
        <is>
          <t>LV</t>
        </is>
      </c>
      <c r="C96" t="inlineStr">
        <is>
          <t>TE</t>
        </is>
      </c>
      <c r="D96" s="48">
        <f>'LV'!V40</f>
        <v/>
      </c>
      <c r="E96" s="48">
        <f>'LV'!W40</f>
        <v/>
      </c>
      <c r="F96" s="48">
        <f>'LV'!X40</f>
        <v/>
      </c>
      <c r="G96" s="49">
        <f>'LV'!Z40</f>
        <v/>
      </c>
      <c r="H96" s="48">
        <f>'LV'!AA40</f>
        <v/>
      </c>
      <c r="I96" s="48">
        <f>'LV'!AB40</f>
        <v/>
      </c>
      <c r="J96" s="49">
        <f>'LV'!AD40</f>
        <v/>
      </c>
      <c r="K96" s="49">
        <f>'LV'!AE40</f>
        <v/>
      </c>
    </row>
    <row r="97">
      <c r="A97">
        <f>'LV'!B41</f>
        <v/>
      </c>
      <c r="B97" t="inlineStr">
        <is>
          <t>LV</t>
        </is>
      </c>
      <c r="C97" t="inlineStr">
        <is>
          <t>TE</t>
        </is>
      </c>
      <c r="D97" s="48">
        <f>'LV'!V41</f>
        <v/>
      </c>
      <c r="E97" s="48">
        <f>'LV'!W41</f>
        <v/>
      </c>
      <c r="F97" s="48">
        <f>'LV'!X41</f>
        <v/>
      </c>
      <c r="G97" s="49">
        <f>'LV'!Z41</f>
        <v/>
      </c>
      <c r="H97" s="48">
        <f>'LV'!AA41</f>
        <v/>
      </c>
      <c r="I97" s="48">
        <f>'LV'!AB41</f>
        <v/>
      </c>
      <c r="J97" s="49">
        <f>'LV'!AD41</f>
        <v/>
      </c>
      <c r="K97" s="49">
        <f>'LV'!AE41</f>
        <v/>
      </c>
    </row>
    <row r="98">
      <c r="A98">
        <f>'MIA'!B37</f>
        <v/>
      </c>
      <c r="B98" t="inlineStr">
        <is>
          <t>MIA</t>
        </is>
      </c>
      <c r="C98" t="inlineStr">
        <is>
          <t>TE</t>
        </is>
      </c>
      <c r="D98" s="48">
        <f>'MIA'!V37</f>
        <v/>
      </c>
      <c r="E98" s="48">
        <f>'MIA'!W37</f>
        <v/>
      </c>
      <c r="F98" s="48">
        <f>'MIA'!X37</f>
        <v/>
      </c>
      <c r="G98" s="49">
        <f>'MIA'!Z37</f>
        <v/>
      </c>
      <c r="H98" s="48">
        <f>'MIA'!AA37</f>
        <v/>
      </c>
      <c r="I98" s="48">
        <f>'MIA'!AB37</f>
        <v/>
      </c>
      <c r="J98" s="49">
        <f>'MIA'!AD37</f>
        <v/>
      </c>
      <c r="K98" s="49">
        <f>'MIA'!AE37</f>
        <v/>
      </c>
    </row>
    <row r="99">
      <c r="A99">
        <f>'MIA'!B38</f>
        <v/>
      </c>
      <c r="B99" t="inlineStr">
        <is>
          <t>MIA</t>
        </is>
      </c>
      <c r="C99" t="inlineStr">
        <is>
          <t>TE</t>
        </is>
      </c>
      <c r="D99" s="48">
        <f>'MIA'!V38</f>
        <v/>
      </c>
      <c r="E99" s="48">
        <f>'MIA'!W38</f>
        <v/>
      </c>
      <c r="F99" s="48">
        <f>'MIA'!X38</f>
        <v/>
      </c>
      <c r="G99" s="49">
        <f>'MIA'!Z38</f>
        <v/>
      </c>
      <c r="H99" s="48">
        <f>'MIA'!AA38</f>
        <v/>
      </c>
      <c r="I99" s="48">
        <f>'MIA'!AB38</f>
        <v/>
      </c>
      <c r="J99" s="49">
        <f>'MIA'!AD38</f>
        <v/>
      </c>
      <c r="K99" s="49">
        <f>'MIA'!AE38</f>
        <v/>
      </c>
    </row>
    <row r="100">
      <c r="A100">
        <f>'MIA'!B39</f>
        <v/>
      </c>
      <c r="B100" t="inlineStr">
        <is>
          <t>MIA</t>
        </is>
      </c>
      <c r="C100" t="inlineStr">
        <is>
          <t>TE</t>
        </is>
      </c>
      <c r="D100" s="48">
        <f>'MIA'!V39</f>
        <v/>
      </c>
      <c r="E100" s="48">
        <f>'MIA'!W39</f>
        <v/>
      </c>
      <c r="F100" s="48">
        <f>'MIA'!X39</f>
        <v/>
      </c>
      <c r="G100" s="49">
        <f>'MIA'!Z39</f>
        <v/>
      </c>
      <c r="H100" s="48">
        <f>'MIA'!AA39</f>
        <v/>
      </c>
      <c r="I100" s="48">
        <f>'MIA'!AB39</f>
        <v/>
      </c>
      <c r="J100" s="49">
        <f>'MIA'!AD39</f>
        <v/>
      </c>
      <c r="K100" s="49">
        <f>'MIA'!AE39</f>
        <v/>
      </c>
    </row>
    <row r="101">
      <c r="A101">
        <f>'MIA'!B40</f>
        <v/>
      </c>
      <c r="B101" t="inlineStr">
        <is>
          <t>MIA</t>
        </is>
      </c>
      <c r="C101" t="inlineStr">
        <is>
          <t>TE</t>
        </is>
      </c>
      <c r="D101" s="48">
        <f>'MIA'!V40</f>
        <v/>
      </c>
      <c r="E101" s="48">
        <f>'MIA'!W40</f>
        <v/>
      </c>
      <c r="F101" s="48">
        <f>'MIA'!X40</f>
        <v/>
      </c>
      <c r="G101" s="49">
        <f>'MIA'!Z40</f>
        <v/>
      </c>
      <c r="H101" s="48">
        <f>'MIA'!AA40</f>
        <v/>
      </c>
      <c r="I101" s="48">
        <f>'MIA'!AB40</f>
        <v/>
      </c>
      <c r="J101" s="49">
        <f>'MIA'!AD40</f>
        <v/>
      </c>
      <c r="K101" s="49">
        <f>'MIA'!AE40</f>
        <v/>
      </c>
    </row>
    <row r="102">
      <c r="A102">
        <f>'MIA'!B41</f>
        <v/>
      </c>
      <c r="B102" t="inlineStr">
        <is>
          <t>MIA</t>
        </is>
      </c>
      <c r="C102" t="inlineStr">
        <is>
          <t>TE</t>
        </is>
      </c>
      <c r="D102" s="48">
        <f>'MIA'!V41</f>
        <v/>
      </c>
      <c r="E102" s="48">
        <f>'MIA'!W41</f>
        <v/>
      </c>
      <c r="F102" s="48">
        <f>'MIA'!X41</f>
        <v/>
      </c>
      <c r="G102" s="49">
        <f>'MIA'!Z41</f>
        <v/>
      </c>
      <c r="H102" s="48">
        <f>'MIA'!AA41</f>
        <v/>
      </c>
      <c r="I102" s="48">
        <f>'MIA'!AB41</f>
        <v/>
      </c>
      <c r="J102" s="49">
        <f>'MIA'!AD41</f>
        <v/>
      </c>
      <c r="K102" s="49">
        <f>'MIA'!AE41</f>
        <v/>
      </c>
    </row>
    <row r="103">
      <c r="A103">
        <f>'MIN'!B37</f>
        <v/>
      </c>
      <c r="B103" t="inlineStr">
        <is>
          <t>MIN</t>
        </is>
      </c>
      <c r="C103" t="inlineStr">
        <is>
          <t>TE</t>
        </is>
      </c>
      <c r="D103" s="48">
        <f>'MIN'!V37</f>
        <v/>
      </c>
      <c r="E103" s="48">
        <f>'MIN'!W37</f>
        <v/>
      </c>
      <c r="F103" s="48">
        <f>'MIN'!X37</f>
        <v/>
      </c>
      <c r="G103" s="49">
        <f>'MIN'!Z37</f>
        <v/>
      </c>
      <c r="H103" s="48">
        <f>'MIN'!AA37</f>
        <v/>
      </c>
      <c r="I103" s="48">
        <f>'MIN'!AB37</f>
        <v/>
      </c>
      <c r="J103" s="49">
        <f>'MIN'!AD37</f>
        <v/>
      </c>
      <c r="K103" s="49">
        <f>'MIN'!AE37</f>
        <v/>
      </c>
    </row>
    <row r="104">
      <c r="A104">
        <f>'MIN'!B38</f>
        <v/>
      </c>
      <c r="B104" t="inlineStr">
        <is>
          <t>MIN</t>
        </is>
      </c>
      <c r="C104" t="inlineStr">
        <is>
          <t>TE</t>
        </is>
      </c>
      <c r="D104" s="48">
        <f>'MIN'!V38</f>
        <v/>
      </c>
      <c r="E104" s="48">
        <f>'MIN'!W38</f>
        <v/>
      </c>
      <c r="F104" s="48">
        <f>'MIN'!X38</f>
        <v/>
      </c>
      <c r="G104" s="49">
        <f>'MIN'!Z38</f>
        <v/>
      </c>
      <c r="H104" s="48">
        <f>'MIN'!AA38</f>
        <v/>
      </c>
      <c r="I104" s="48">
        <f>'MIN'!AB38</f>
        <v/>
      </c>
      <c r="J104" s="49">
        <f>'MIN'!AD38</f>
        <v/>
      </c>
      <c r="K104" s="49">
        <f>'MIN'!AE38</f>
        <v/>
      </c>
    </row>
    <row r="105">
      <c r="A105">
        <f>'MIN'!B39</f>
        <v/>
      </c>
      <c r="B105" t="inlineStr">
        <is>
          <t>MIN</t>
        </is>
      </c>
      <c r="C105" t="inlineStr">
        <is>
          <t>TE</t>
        </is>
      </c>
      <c r="D105" s="48">
        <f>'MIN'!V39</f>
        <v/>
      </c>
      <c r="E105" s="48">
        <f>'MIN'!W39</f>
        <v/>
      </c>
      <c r="F105" s="48">
        <f>'MIN'!X39</f>
        <v/>
      </c>
      <c r="G105" s="49">
        <f>'MIN'!Z39</f>
        <v/>
      </c>
      <c r="H105" s="48">
        <f>'MIN'!AA39</f>
        <v/>
      </c>
      <c r="I105" s="48">
        <f>'MIN'!AB39</f>
        <v/>
      </c>
      <c r="J105" s="49">
        <f>'MIN'!AD39</f>
        <v/>
      </c>
      <c r="K105" s="49">
        <f>'MIN'!AE39</f>
        <v/>
      </c>
    </row>
    <row r="106">
      <c r="A106">
        <f>'MIN'!B40</f>
        <v/>
      </c>
      <c r="B106" t="inlineStr">
        <is>
          <t>MIN</t>
        </is>
      </c>
      <c r="C106" t="inlineStr">
        <is>
          <t>TE</t>
        </is>
      </c>
      <c r="D106" s="48">
        <f>'MIN'!V40</f>
        <v/>
      </c>
      <c r="E106" s="48">
        <f>'MIN'!W40</f>
        <v/>
      </c>
      <c r="F106" s="48">
        <f>'MIN'!X40</f>
        <v/>
      </c>
      <c r="G106" s="49">
        <f>'MIN'!Z40</f>
        <v/>
      </c>
      <c r="H106" s="48">
        <f>'MIN'!AA40</f>
        <v/>
      </c>
      <c r="I106" s="48">
        <f>'MIN'!AB40</f>
        <v/>
      </c>
      <c r="J106" s="49">
        <f>'MIN'!AD40</f>
        <v/>
      </c>
      <c r="K106" s="49">
        <f>'MIN'!AE40</f>
        <v/>
      </c>
    </row>
    <row r="107">
      <c r="A107">
        <f>'MIN'!B41</f>
        <v/>
      </c>
      <c r="B107" t="inlineStr">
        <is>
          <t>MIN</t>
        </is>
      </c>
      <c r="C107" t="inlineStr">
        <is>
          <t>TE</t>
        </is>
      </c>
      <c r="D107" s="48">
        <f>'MIN'!V41</f>
        <v/>
      </c>
      <c r="E107" s="48">
        <f>'MIN'!W41</f>
        <v/>
      </c>
      <c r="F107" s="48">
        <f>'MIN'!X41</f>
        <v/>
      </c>
      <c r="G107" s="49">
        <f>'MIN'!Z41</f>
        <v/>
      </c>
      <c r="H107" s="48">
        <f>'MIN'!AA41</f>
        <v/>
      </c>
      <c r="I107" s="48">
        <f>'MIN'!AB41</f>
        <v/>
      </c>
      <c r="J107" s="49">
        <f>'MIN'!AD41</f>
        <v/>
      </c>
      <c r="K107" s="49">
        <f>'MIN'!AE41</f>
        <v/>
      </c>
    </row>
    <row r="108">
      <c r="A108">
        <f>'NE'!B37</f>
        <v/>
      </c>
      <c r="B108" t="inlineStr">
        <is>
          <t>NE</t>
        </is>
      </c>
      <c r="C108" t="inlineStr">
        <is>
          <t>TE</t>
        </is>
      </c>
      <c r="D108" s="48">
        <f>'NE'!V37</f>
        <v/>
      </c>
      <c r="E108" s="48">
        <f>'NE'!W37</f>
        <v/>
      </c>
      <c r="F108" s="48">
        <f>'NE'!X37</f>
        <v/>
      </c>
      <c r="G108" s="49">
        <f>'NE'!Z37</f>
        <v/>
      </c>
      <c r="H108" s="48">
        <f>'NE'!AA37</f>
        <v/>
      </c>
      <c r="I108" s="48">
        <f>'NE'!AB37</f>
        <v/>
      </c>
      <c r="J108" s="49">
        <f>'NE'!AD37</f>
        <v/>
      </c>
      <c r="K108" s="49">
        <f>'NE'!AE37</f>
        <v/>
      </c>
    </row>
    <row r="109">
      <c r="A109">
        <f>'NE'!B38</f>
        <v/>
      </c>
      <c r="B109" t="inlineStr">
        <is>
          <t>NE</t>
        </is>
      </c>
      <c r="C109" t="inlineStr">
        <is>
          <t>TE</t>
        </is>
      </c>
      <c r="D109" s="48">
        <f>'NE'!V38</f>
        <v/>
      </c>
      <c r="E109" s="48">
        <f>'NE'!W38</f>
        <v/>
      </c>
      <c r="F109" s="48">
        <f>'NE'!X38</f>
        <v/>
      </c>
      <c r="G109" s="49">
        <f>'NE'!Z38</f>
        <v/>
      </c>
      <c r="H109" s="48">
        <f>'NE'!AA38</f>
        <v/>
      </c>
      <c r="I109" s="48">
        <f>'NE'!AB38</f>
        <v/>
      </c>
      <c r="J109" s="49">
        <f>'NE'!AD38</f>
        <v/>
      </c>
      <c r="K109" s="49">
        <f>'NE'!AE38</f>
        <v/>
      </c>
    </row>
    <row r="110">
      <c r="A110">
        <f>'NE'!B39</f>
        <v/>
      </c>
      <c r="B110" t="inlineStr">
        <is>
          <t>NE</t>
        </is>
      </c>
      <c r="C110" t="inlineStr">
        <is>
          <t>TE</t>
        </is>
      </c>
      <c r="D110" s="48">
        <f>'NE'!V39</f>
        <v/>
      </c>
      <c r="E110" s="48">
        <f>'NE'!W39</f>
        <v/>
      </c>
      <c r="F110" s="48">
        <f>'NE'!X39</f>
        <v/>
      </c>
      <c r="G110" s="49">
        <f>'NE'!Z39</f>
        <v/>
      </c>
      <c r="H110" s="48">
        <f>'NE'!AA39</f>
        <v/>
      </c>
      <c r="I110" s="48">
        <f>'NE'!AB39</f>
        <v/>
      </c>
      <c r="J110" s="49">
        <f>'NE'!AD39</f>
        <v/>
      </c>
      <c r="K110" s="49">
        <f>'NE'!AE39</f>
        <v/>
      </c>
    </row>
    <row r="111">
      <c r="A111">
        <f>'NE'!B40</f>
        <v/>
      </c>
      <c r="B111" t="inlineStr">
        <is>
          <t>NE</t>
        </is>
      </c>
      <c r="C111" t="inlineStr">
        <is>
          <t>TE</t>
        </is>
      </c>
      <c r="D111" s="48">
        <f>'NE'!V40</f>
        <v/>
      </c>
      <c r="E111" s="48">
        <f>'NE'!W40</f>
        <v/>
      </c>
      <c r="F111" s="48">
        <f>'NE'!X40</f>
        <v/>
      </c>
      <c r="G111" s="49">
        <f>'NE'!Z40</f>
        <v/>
      </c>
      <c r="H111" s="48">
        <f>'NE'!AA40</f>
        <v/>
      </c>
      <c r="I111" s="48">
        <f>'NE'!AB40</f>
        <v/>
      </c>
      <c r="J111" s="49">
        <f>'NE'!AD40</f>
        <v/>
      </c>
      <c r="K111" s="49">
        <f>'NE'!AE40</f>
        <v/>
      </c>
    </row>
    <row r="112">
      <c r="A112">
        <f>'NE'!B41</f>
        <v/>
      </c>
      <c r="B112" t="inlineStr">
        <is>
          <t>NE</t>
        </is>
      </c>
      <c r="C112" t="inlineStr">
        <is>
          <t>TE</t>
        </is>
      </c>
      <c r="D112" s="48">
        <f>'NE'!V41</f>
        <v/>
      </c>
      <c r="E112" s="48">
        <f>'NE'!W41</f>
        <v/>
      </c>
      <c r="F112" s="48">
        <f>'NE'!X41</f>
        <v/>
      </c>
      <c r="G112" s="49">
        <f>'NE'!Z41</f>
        <v/>
      </c>
      <c r="H112" s="48">
        <f>'NE'!AA41</f>
        <v/>
      </c>
      <c r="I112" s="48">
        <f>'NE'!AB41</f>
        <v/>
      </c>
      <c r="J112" s="49">
        <f>'NE'!AD41</f>
        <v/>
      </c>
      <c r="K112" s="49">
        <f>'NE'!AE41</f>
        <v/>
      </c>
    </row>
    <row r="113">
      <c r="A113">
        <f>'NO'!B37</f>
        <v/>
      </c>
      <c r="B113" t="inlineStr">
        <is>
          <t>NO</t>
        </is>
      </c>
      <c r="C113" t="inlineStr">
        <is>
          <t>TE</t>
        </is>
      </c>
      <c r="D113" s="48">
        <f>'NO'!V37</f>
        <v/>
      </c>
      <c r="E113" s="48">
        <f>'NO'!W37</f>
        <v/>
      </c>
      <c r="F113" s="48">
        <f>'NO'!X37</f>
        <v/>
      </c>
      <c r="G113" s="49">
        <f>'NO'!Z37</f>
        <v/>
      </c>
      <c r="H113" s="48">
        <f>'NO'!AA37</f>
        <v/>
      </c>
      <c r="I113" s="48">
        <f>'NO'!AB37</f>
        <v/>
      </c>
      <c r="J113" s="49">
        <f>'NO'!AD37</f>
        <v/>
      </c>
      <c r="K113" s="49">
        <f>'NO'!AE37</f>
        <v/>
      </c>
    </row>
    <row r="114">
      <c r="A114">
        <f>'NO'!B38</f>
        <v/>
      </c>
      <c r="B114" t="inlineStr">
        <is>
          <t>NO</t>
        </is>
      </c>
      <c r="C114" t="inlineStr">
        <is>
          <t>TE</t>
        </is>
      </c>
      <c r="D114" s="48">
        <f>'NO'!V38</f>
        <v/>
      </c>
      <c r="E114" s="48">
        <f>'NO'!W38</f>
        <v/>
      </c>
      <c r="F114" s="48">
        <f>'NO'!X38</f>
        <v/>
      </c>
      <c r="G114" s="49">
        <f>'NO'!Z38</f>
        <v/>
      </c>
      <c r="H114" s="48">
        <f>'NO'!AA38</f>
        <v/>
      </c>
      <c r="I114" s="48">
        <f>'NO'!AB38</f>
        <v/>
      </c>
      <c r="J114" s="49">
        <f>'NO'!AD38</f>
        <v/>
      </c>
      <c r="K114" s="49">
        <f>'NO'!AE38</f>
        <v/>
      </c>
    </row>
    <row r="115">
      <c r="A115">
        <f>'NO'!B39</f>
        <v/>
      </c>
      <c r="B115" t="inlineStr">
        <is>
          <t>NO</t>
        </is>
      </c>
      <c r="C115" t="inlineStr">
        <is>
          <t>TE</t>
        </is>
      </c>
      <c r="D115" s="48">
        <f>'NO'!V39</f>
        <v/>
      </c>
      <c r="E115" s="48">
        <f>'NO'!W39</f>
        <v/>
      </c>
      <c r="F115" s="48">
        <f>'NO'!X39</f>
        <v/>
      </c>
      <c r="G115" s="49">
        <f>'NO'!Z39</f>
        <v/>
      </c>
      <c r="H115" s="48">
        <f>'NO'!AA39</f>
        <v/>
      </c>
      <c r="I115" s="48">
        <f>'NO'!AB39</f>
        <v/>
      </c>
      <c r="J115" s="49">
        <f>'NO'!AD39</f>
        <v/>
      </c>
      <c r="K115" s="49">
        <f>'NO'!AE39</f>
        <v/>
      </c>
    </row>
    <row r="116">
      <c r="A116">
        <f>'NO'!B40</f>
        <v/>
      </c>
      <c r="B116" t="inlineStr">
        <is>
          <t>NO</t>
        </is>
      </c>
      <c r="C116" t="inlineStr">
        <is>
          <t>TE</t>
        </is>
      </c>
      <c r="D116" s="48">
        <f>'NO'!V40</f>
        <v/>
      </c>
      <c r="E116" s="48">
        <f>'NO'!W40</f>
        <v/>
      </c>
      <c r="F116" s="48">
        <f>'NO'!X40</f>
        <v/>
      </c>
      <c r="G116" s="49">
        <f>'NO'!Z40</f>
        <v/>
      </c>
      <c r="H116" s="48">
        <f>'NO'!AA40</f>
        <v/>
      </c>
      <c r="I116" s="48">
        <f>'NO'!AB40</f>
        <v/>
      </c>
      <c r="J116" s="49">
        <f>'NO'!AD40</f>
        <v/>
      </c>
      <c r="K116" s="49">
        <f>'NO'!AE40</f>
        <v/>
      </c>
    </row>
    <row r="117">
      <c r="A117">
        <f>'NO'!B41</f>
        <v/>
      </c>
      <c r="B117" t="inlineStr">
        <is>
          <t>NO</t>
        </is>
      </c>
      <c r="C117" t="inlineStr">
        <is>
          <t>TE</t>
        </is>
      </c>
      <c r="D117" s="48">
        <f>'NO'!V41</f>
        <v/>
      </c>
      <c r="E117" s="48">
        <f>'NO'!W41</f>
        <v/>
      </c>
      <c r="F117" s="48">
        <f>'NO'!X41</f>
        <v/>
      </c>
      <c r="G117" s="49">
        <f>'NO'!Z41</f>
        <v/>
      </c>
      <c r="H117" s="48">
        <f>'NO'!AA41</f>
        <v/>
      </c>
      <c r="I117" s="48">
        <f>'NO'!AB41</f>
        <v/>
      </c>
      <c r="J117" s="49">
        <f>'NO'!AD41</f>
        <v/>
      </c>
      <c r="K117" s="49">
        <f>'NO'!AE41</f>
        <v/>
      </c>
    </row>
    <row r="118">
      <c r="A118">
        <f>'NYG'!B37</f>
        <v/>
      </c>
      <c r="B118" t="inlineStr">
        <is>
          <t>NYG</t>
        </is>
      </c>
      <c r="C118" t="inlineStr">
        <is>
          <t>TE</t>
        </is>
      </c>
      <c r="D118" s="48">
        <f>'NYG'!V37</f>
        <v/>
      </c>
      <c r="E118" s="48">
        <f>'NYG'!W37</f>
        <v/>
      </c>
      <c r="F118" s="48">
        <f>'NYG'!X37</f>
        <v/>
      </c>
      <c r="G118" s="49">
        <f>'NYG'!Z37</f>
        <v/>
      </c>
      <c r="H118" s="48">
        <f>'NYG'!AA37</f>
        <v/>
      </c>
      <c r="I118" s="48">
        <f>'NYG'!AB37</f>
        <v/>
      </c>
      <c r="J118" s="49">
        <f>'NYG'!AD37</f>
        <v/>
      </c>
      <c r="K118" s="49">
        <f>'NYG'!AE37</f>
        <v/>
      </c>
    </row>
    <row r="119">
      <c r="A119">
        <f>'NYG'!B38</f>
        <v/>
      </c>
      <c r="B119" t="inlineStr">
        <is>
          <t>NYG</t>
        </is>
      </c>
      <c r="C119" t="inlineStr">
        <is>
          <t>TE</t>
        </is>
      </c>
      <c r="D119" s="48">
        <f>'NYG'!V38</f>
        <v/>
      </c>
      <c r="E119" s="48">
        <f>'NYG'!W38</f>
        <v/>
      </c>
      <c r="F119" s="48">
        <f>'NYG'!X38</f>
        <v/>
      </c>
      <c r="G119" s="49">
        <f>'NYG'!Z38</f>
        <v/>
      </c>
      <c r="H119" s="48">
        <f>'NYG'!AA38</f>
        <v/>
      </c>
      <c r="I119" s="48">
        <f>'NYG'!AB38</f>
        <v/>
      </c>
      <c r="J119" s="49">
        <f>'NYG'!AD38</f>
        <v/>
      </c>
      <c r="K119" s="49">
        <f>'NYG'!AE38</f>
        <v/>
      </c>
    </row>
    <row r="120">
      <c r="A120">
        <f>'NYG'!B39</f>
        <v/>
      </c>
      <c r="B120" t="inlineStr">
        <is>
          <t>NYG</t>
        </is>
      </c>
      <c r="C120" t="inlineStr">
        <is>
          <t>TE</t>
        </is>
      </c>
      <c r="D120" s="48">
        <f>'NYG'!V39</f>
        <v/>
      </c>
      <c r="E120" s="48">
        <f>'NYG'!W39</f>
        <v/>
      </c>
      <c r="F120" s="48">
        <f>'NYG'!X39</f>
        <v/>
      </c>
      <c r="G120" s="49">
        <f>'NYG'!Z39</f>
        <v/>
      </c>
      <c r="H120" s="48">
        <f>'NYG'!AA39</f>
        <v/>
      </c>
      <c r="I120" s="48">
        <f>'NYG'!AB39</f>
        <v/>
      </c>
      <c r="J120" s="49">
        <f>'NYG'!AD39</f>
        <v/>
      </c>
      <c r="K120" s="49">
        <f>'NYG'!AE39</f>
        <v/>
      </c>
    </row>
    <row r="121">
      <c r="A121">
        <f>'NYG'!B40</f>
        <v/>
      </c>
      <c r="B121" t="inlineStr">
        <is>
          <t>NYG</t>
        </is>
      </c>
      <c r="C121" t="inlineStr">
        <is>
          <t>TE</t>
        </is>
      </c>
      <c r="D121" s="48">
        <f>'NYG'!V40</f>
        <v/>
      </c>
      <c r="E121" s="48">
        <f>'NYG'!W40</f>
        <v/>
      </c>
      <c r="F121" s="48">
        <f>'NYG'!X40</f>
        <v/>
      </c>
      <c r="G121" s="49">
        <f>'NYG'!Z40</f>
        <v/>
      </c>
      <c r="H121" s="48">
        <f>'NYG'!AA40</f>
        <v/>
      </c>
      <c r="I121" s="48">
        <f>'NYG'!AB40</f>
        <v/>
      </c>
      <c r="J121" s="49">
        <f>'NYG'!AD40</f>
        <v/>
      </c>
      <c r="K121" s="49">
        <f>'NYG'!AE40</f>
        <v/>
      </c>
    </row>
    <row r="122">
      <c r="A122">
        <f>'NYG'!B41</f>
        <v/>
      </c>
      <c r="B122" t="inlineStr">
        <is>
          <t>NYG</t>
        </is>
      </c>
      <c r="C122" t="inlineStr">
        <is>
          <t>TE</t>
        </is>
      </c>
      <c r="D122" s="48">
        <f>'NYG'!V41</f>
        <v/>
      </c>
      <c r="E122" s="48">
        <f>'NYG'!W41</f>
        <v/>
      </c>
      <c r="F122" s="48">
        <f>'NYG'!X41</f>
        <v/>
      </c>
      <c r="G122" s="49">
        <f>'NYG'!Z41</f>
        <v/>
      </c>
      <c r="H122" s="48">
        <f>'NYG'!AA41</f>
        <v/>
      </c>
      <c r="I122" s="48">
        <f>'NYG'!AB41</f>
        <v/>
      </c>
      <c r="J122" s="49">
        <f>'NYG'!AD41</f>
        <v/>
      </c>
      <c r="K122" s="49">
        <f>'NYG'!AE41</f>
        <v/>
      </c>
    </row>
    <row r="123">
      <c r="A123">
        <f>'NYJ'!B37</f>
        <v/>
      </c>
      <c r="B123" t="inlineStr">
        <is>
          <t>NYJ</t>
        </is>
      </c>
      <c r="C123" t="inlineStr">
        <is>
          <t>TE</t>
        </is>
      </c>
      <c r="D123" s="48">
        <f>'NYJ'!V37</f>
        <v/>
      </c>
      <c r="E123" s="48">
        <f>'NYJ'!W37</f>
        <v/>
      </c>
      <c r="F123" s="48">
        <f>'NYJ'!X37</f>
        <v/>
      </c>
      <c r="G123" s="49">
        <f>'NYJ'!Z37</f>
        <v/>
      </c>
      <c r="H123" s="48">
        <f>'NYJ'!AA37</f>
        <v/>
      </c>
      <c r="I123" s="48">
        <f>'NYJ'!AB37</f>
        <v/>
      </c>
      <c r="J123" s="49">
        <f>'NYJ'!AD37</f>
        <v/>
      </c>
      <c r="K123" s="49">
        <f>'NYJ'!AE37</f>
        <v/>
      </c>
    </row>
    <row r="124">
      <c r="A124">
        <f>'NYJ'!B38</f>
        <v/>
      </c>
      <c r="B124" t="inlineStr">
        <is>
          <t>NYJ</t>
        </is>
      </c>
      <c r="C124" t="inlineStr">
        <is>
          <t>TE</t>
        </is>
      </c>
      <c r="D124" s="48">
        <f>'NYJ'!V38</f>
        <v/>
      </c>
      <c r="E124" s="48">
        <f>'NYJ'!W38</f>
        <v/>
      </c>
      <c r="F124" s="48">
        <f>'NYJ'!X38</f>
        <v/>
      </c>
      <c r="G124" s="49">
        <f>'NYJ'!Z38</f>
        <v/>
      </c>
      <c r="H124" s="48">
        <f>'NYJ'!AA38</f>
        <v/>
      </c>
      <c r="I124" s="48">
        <f>'NYJ'!AB38</f>
        <v/>
      </c>
      <c r="J124" s="49">
        <f>'NYJ'!AD38</f>
        <v/>
      </c>
      <c r="K124" s="49">
        <f>'NYJ'!AE38</f>
        <v/>
      </c>
    </row>
    <row r="125">
      <c r="A125">
        <f>'NYJ'!B39</f>
        <v/>
      </c>
      <c r="B125" t="inlineStr">
        <is>
          <t>NYJ</t>
        </is>
      </c>
      <c r="C125" t="inlineStr">
        <is>
          <t>TE</t>
        </is>
      </c>
      <c r="D125" s="48">
        <f>'NYJ'!V39</f>
        <v/>
      </c>
      <c r="E125" s="48">
        <f>'NYJ'!W39</f>
        <v/>
      </c>
      <c r="F125" s="48">
        <f>'NYJ'!X39</f>
        <v/>
      </c>
      <c r="G125" s="49">
        <f>'NYJ'!Z39</f>
        <v/>
      </c>
      <c r="H125" s="48">
        <f>'NYJ'!AA39</f>
        <v/>
      </c>
      <c r="I125" s="48">
        <f>'NYJ'!AB39</f>
        <v/>
      </c>
      <c r="J125" s="49">
        <f>'NYJ'!AD39</f>
        <v/>
      </c>
      <c r="K125" s="49">
        <f>'NYJ'!AE39</f>
        <v/>
      </c>
    </row>
    <row r="126">
      <c r="A126">
        <f>'NYJ'!B40</f>
        <v/>
      </c>
      <c r="B126" t="inlineStr">
        <is>
          <t>NYJ</t>
        </is>
      </c>
      <c r="C126" t="inlineStr">
        <is>
          <t>TE</t>
        </is>
      </c>
      <c r="D126" s="48">
        <f>'NYJ'!V40</f>
        <v/>
      </c>
      <c r="E126" s="48">
        <f>'NYJ'!W40</f>
        <v/>
      </c>
      <c r="F126" s="48">
        <f>'NYJ'!X40</f>
        <v/>
      </c>
      <c r="G126" s="49">
        <f>'NYJ'!Z40</f>
        <v/>
      </c>
      <c r="H126" s="48">
        <f>'NYJ'!AA40</f>
        <v/>
      </c>
      <c r="I126" s="48">
        <f>'NYJ'!AB40</f>
        <v/>
      </c>
      <c r="J126" s="49">
        <f>'NYJ'!AD40</f>
        <v/>
      </c>
      <c r="K126" s="49">
        <f>'NYJ'!AE40</f>
        <v/>
      </c>
    </row>
    <row r="127">
      <c r="A127">
        <f>'NYJ'!B41</f>
        <v/>
      </c>
      <c r="B127" t="inlineStr">
        <is>
          <t>NYJ</t>
        </is>
      </c>
      <c r="C127" t="inlineStr">
        <is>
          <t>TE</t>
        </is>
      </c>
      <c r="D127" s="48">
        <f>'NYJ'!V41</f>
        <v/>
      </c>
      <c r="E127" s="48">
        <f>'NYJ'!W41</f>
        <v/>
      </c>
      <c r="F127" s="48">
        <f>'NYJ'!X41</f>
        <v/>
      </c>
      <c r="G127" s="49">
        <f>'NYJ'!Z41</f>
        <v/>
      </c>
      <c r="H127" s="48">
        <f>'NYJ'!AA41</f>
        <v/>
      </c>
      <c r="I127" s="48">
        <f>'NYJ'!AB41</f>
        <v/>
      </c>
      <c r="J127" s="49">
        <f>'NYJ'!AD41</f>
        <v/>
      </c>
      <c r="K127" s="49">
        <f>'NYJ'!AE41</f>
        <v/>
      </c>
    </row>
    <row r="128">
      <c r="A128">
        <f>'PHI'!B37</f>
        <v/>
      </c>
      <c r="B128" t="inlineStr">
        <is>
          <t>PHI</t>
        </is>
      </c>
      <c r="C128" t="inlineStr">
        <is>
          <t>TE</t>
        </is>
      </c>
      <c r="D128" s="48">
        <f>'PHI'!V37</f>
        <v/>
      </c>
      <c r="E128" s="48">
        <f>'PHI'!W37</f>
        <v/>
      </c>
      <c r="F128" s="48">
        <f>'PHI'!X37</f>
        <v/>
      </c>
      <c r="G128" s="49">
        <f>'PHI'!Z37</f>
        <v/>
      </c>
      <c r="H128" s="48">
        <f>'PHI'!AA37</f>
        <v/>
      </c>
      <c r="I128" s="48">
        <f>'PHI'!AB37</f>
        <v/>
      </c>
      <c r="J128" s="49">
        <f>'PHI'!AD37</f>
        <v/>
      </c>
      <c r="K128" s="49">
        <f>'PHI'!AE37</f>
        <v/>
      </c>
    </row>
    <row r="129">
      <c r="A129">
        <f>'PHI'!B38</f>
        <v/>
      </c>
      <c r="B129" t="inlineStr">
        <is>
          <t>PHI</t>
        </is>
      </c>
      <c r="C129" t="inlineStr">
        <is>
          <t>TE</t>
        </is>
      </c>
      <c r="D129" s="48">
        <f>'PHI'!V38</f>
        <v/>
      </c>
      <c r="E129" s="48">
        <f>'PHI'!W38</f>
        <v/>
      </c>
      <c r="F129" s="48">
        <f>'PHI'!X38</f>
        <v/>
      </c>
      <c r="G129" s="49">
        <f>'PHI'!Z38</f>
        <v/>
      </c>
      <c r="H129" s="48">
        <f>'PHI'!AA38</f>
        <v/>
      </c>
      <c r="I129" s="48">
        <f>'PHI'!AB38</f>
        <v/>
      </c>
      <c r="J129" s="49">
        <f>'PHI'!AD38</f>
        <v/>
      </c>
      <c r="K129" s="49">
        <f>'PHI'!AE38</f>
        <v/>
      </c>
    </row>
    <row r="130">
      <c r="A130">
        <f>'PHI'!B39</f>
        <v/>
      </c>
      <c r="B130" t="inlineStr">
        <is>
          <t>PHI</t>
        </is>
      </c>
      <c r="C130" t="inlineStr">
        <is>
          <t>TE</t>
        </is>
      </c>
      <c r="D130" s="48">
        <f>'PHI'!V39</f>
        <v/>
      </c>
      <c r="E130" s="48">
        <f>'PHI'!W39</f>
        <v/>
      </c>
      <c r="F130" s="48">
        <f>'PHI'!X39</f>
        <v/>
      </c>
      <c r="G130" s="49">
        <f>'PHI'!Z39</f>
        <v/>
      </c>
      <c r="H130" s="48">
        <f>'PHI'!AA39</f>
        <v/>
      </c>
      <c r="I130" s="48">
        <f>'PHI'!AB39</f>
        <v/>
      </c>
      <c r="J130" s="49">
        <f>'PHI'!AD39</f>
        <v/>
      </c>
      <c r="K130" s="49">
        <f>'PHI'!AE39</f>
        <v/>
      </c>
    </row>
    <row r="131">
      <c r="A131">
        <f>'PHI'!B40</f>
        <v/>
      </c>
      <c r="B131" t="inlineStr">
        <is>
          <t>PHI</t>
        </is>
      </c>
      <c r="C131" t="inlineStr">
        <is>
          <t>TE</t>
        </is>
      </c>
      <c r="D131" s="48">
        <f>'PHI'!V40</f>
        <v/>
      </c>
      <c r="E131" s="48">
        <f>'PHI'!W40</f>
        <v/>
      </c>
      <c r="F131" s="48">
        <f>'PHI'!X40</f>
        <v/>
      </c>
      <c r="G131" s="49">
        <f>'PHI'!Z40</f>
        <v/>
      </c>
      <c r="H131" s="48">
        <f>'PHI'!AA40</f>
        <v/>
      </c>
      <c r="I131" s="48">
        <f>'PHI'!AB40</f>
        <v/>
      </c>
      <c r="J131" s="49">
        <f>'PHI'!AD40</f>
        <v/>
      </c>
      <c r="K131" s="49">
        <f>'PHI'!AE40</f>
        <v/>
      </c>
    </row>
    <row r="132">
      <c r="A132">
        <f>'PHI'!B41</f>
        <v/>
      </c>
      <c r="B132" t="inlineStr">
        <is>
          <t>PHI</t>
        </is>
      </c>
      <c r="C132" t="inlineStr">
        <is>
          <t>TE</t>
        </is>
      </c>
      <c r="D132" s="48">
        <f>'PHI'!V41</f>
        <v/>
      </c>
      <c r="E132" s="48">
        <f>'PHI'!W41</f>
        <v/>
      </c>
      <c r="F132" s="48">
        <f>'PHI'!X41</f>
        <v/>
      </c>
      <c r="G132" s="49">
        <f>'PHI'!Z41</f>
        <v/>
      </c>
      <c r="H132" s="48">
        <f>'PHI'!AA41</f>
        <v/>
      </c>
      <c r="I132" s="48">
        <f>'PHI'!AB41</f>
        <v/>
      </c>
      <c r="J132" s="49">
        <f>'PHI'!AD41</f>
        <v/>
      </c>
      <c r="K132" s="49">
        <f>'PHI'!AE41</f>
        <v/>
      </c>
    </row>
    <row r="133">
      <c r="A133">
        <f>'PIT'!B37</f>
        <v/>
      </c>
      <c r="B133" t="inlineStr">
        <is>
          <t>PIT</t>
        </is>
      </c>
      <c r="C133" t="inlineStr">
        <is>
          <t>TE</t>
        </is>
      </c>
      <c r="D133" s="48">
        <f>'PIT'!V37</f>
        <v/>
      </c>
      <c r="E133" s="48">
        <f>'PIT'!W37</f>
        <v/>
      </c>
      <c r="F133" s="48">
        <f>'PIT'!X37</f>
        <v/>
      </c>
      <c r="G133" s="49">
        <f>'PIT'!Z37</f>
        <v/>
      </c>
      <c r="H133" s="48">
        <f>'PIT'!AA37</f>
        <v/>
      </c>
      <c r="I133" s="48">
        <f>'PIT'!AB37</f>
        <v/>
      </c>
      <c r="J133" s="49">
        <f>'PIT'!AD37</f>
        <v/>
      </c>
      <c r="K133" s="49">
        <f>'PIT'!AE37</f>
        <v/>
      </c>
    </row>
    <row r="134">
      <c r="A134">
        <f>'PIT'!B38</f>
        <v/>
      </c>
      <c r="B134" t="inlineStr">
        <is>
          <t>PIT</t>
        </is>
      </c>
      <c r="C134" t="inlineStr">
        <is>
          <t>TE</t>
        </is>
      </c>
      <c r="D134" s="48">
        <f>'PIT'!V38</f>
        <v/>
      </c>
      <c r="E134" s="48">
        <f>'PIT'!W38</f>
        <v/>
      </c>
      <c r="F134" s="48">
        <f>'PIT'!X38</f>
        <v/>
      </c>
      <c r="G134" s="49">
        <f>'PIT'!Z38</f>
        <v/>
      </c>
      <c r="H134" s="48">
        <f>'PIT'!AA38</f>
        <v/>
      </c>
      <c r="I134" s="48">
        <f>'PIT'!AB38</f>
        <v/>
      </c>
      <c r="J134" s="49">
        <f>'PIT'!AD38</f>
        <v/>
      </c>
      <c r="K134" s="49">
        <f>'PIT'!AE38</f>
        <v/>
      </c>
    </row>
    <row r="135">
      <c r="A135">
        <f>'PIT'!B39</f>
        <v/>
      </c>
      <c r="B135" t="inlineStr">
        <is>
          <t>PIT</t>
        </is>
      </c>
      <c r="C135" t="inlineStr">
        <is>
          <t>TE</t>
        </is>
      </c>
      <c r="D135" s="48">
        <f>'PIT'!V39</f>
        <v/>
      </c>
      <c r="E135" s="48">
        <f>'PIT'!W39</f>
        <v/>
      </c>
      <c r="F135" s="48">
        <f>'PIT'!X39</f>
        <v/>
      </c>
      <c r="G135" s="49">
        <f>'PIT'!Z39</f>
        <v/>
      </c>
      <c r="H135" s="48">
        <f>'PIT'!AA39</f>
        <v/>
      </c>
      <c r="I135" s="48">
        <f>'PIT'!AB39</f>
        <v/>
      </c>
      <c r="J135" s="49">
        <f>'PIT'!AD39</f>
        <v/>
      </c>
      <c r="K135" s="49">
        <f>'PIT'!AE39</f>
        <v/>
      </c>
    </row>
    <row r="136">
      <c r="A136">
        <f>'PIT'!B40</f>
        <v/>
      </c>
      <c r="B136" t="inlineStr">
        <is>
          <t>PIT</t>
        </is>
      </c>
      <c r="C136" t="inlineStr">
        <is>
          <t>TE</t>
        </is>
      </c>
      <c r="D136" s="48">
        <f>'PIT'!V40</f>
        <v/>
      </c>
      <c r="E136" s="48">
        <f>'PIT'!W40</f>
        <v/>
      </c>
      <c r="F136" s="48">
        <f>'PIT'!X40</f>
        <v/>
      </c>
      <c r="G136" s="49">
        <f>'PIT'!Z40</f>
        <v/>
      </c>
      <c r="H136" s="48">
        <f>'PIT'!AA40</f>
        <v/>
      </c>
      <c r="I136" s="48">
        <f>'PIT'!AB40</f>
        <v/>
      </c>
      <c r="J136" s="49">
        <f>'PIT'!AD40</f>
        <v/>
      </c>
      <c r="K136" s="49">
        <f>'PIT'!AE40</f>
        <v/>
      </c>
    </row>
    <row r="137">
      <c r="A137">
        <f>'PIT'!B41</f>
        <v/>
      </c>
      <c r="B137" t="inlineStr">
        <is>
          <t>PIT</t>
        </is>
      </c>
      <c r="C137" t="inlineStr">
        <is>
          <t>TE</t>
        </is>
      </c>
      <c r="D137" s="48">
        <f>'PIT'!V41</f>
        <v/>
      </c>
      <c r="E137" s="48">
        <f>'PIT'!W41</f>
        <v/>
      </c>
      <c r="F137" s="48">
        <f>'PIT'!X41</f>
        <v/>
      </c>
      <c r="G137" s="49">
        <f>'PIT'!Z41</f>
        <v/>
      </c>
      <c r="H137" s="48">
        <f>'PIT'!AA41</f>
        <v/>
      </c>
      <c r="I137" s="48">
        <f>'PIT'!AB41</f>
        <v/>
      </c>
      <c r="J137" s="49">
        <f>'PIT'!AD41</f>
        <v/>
      </c>
      <c r="K137" s="49">
        <f>'PIT'!AE41</f>
        <v/>
      </c>
    </row>
    <row r="138">
      <c r="A138">
        <f>'SEA'!B37</f>
        <v/>
      </c>
      <c r="B138" t="inlineStr">
        <is>
          <t>SEA</t>
        </is>
      </c>
      <c r="C138" t="inlineStr">
        <is>
          <t>TE</t>
        </is>
      </c>
      <c r="D138" s="48">
        <f>'SEA'!V37</f>
        <v/>
      </c>
      <c r="E138" s="48">
        <f>'SEA'!W37</f>
        <v/>
      </c>
      <c r="F138" s="48">
        <f>'SEA'!X37</f>
        <v/>
      </c>
      <c r="G138" s="49">
        <f>'SEA'!Z37</f>
        <v/>
      </c>
      <c r="H138" s="48">
        <f>'SEA'!AA37</f>
        <v/>
      </c>
      <c r="I138" s="48">
        <f>'SEA'!AB37</f>
        <v/>
      </c>
      <c r="J138" s="49">
        <f>'SEA'!AD37</f>
        <v/>
      </c>
      <c r="K138" s="49">
        <f>'SEA'!AE37</f>
        <v/>
      </c>
    </row>
    <row r="139">
      <c r="A139">
        <f>'SEA'!B38</f>
        <v/>
      </c>
      <c r="B139" t="inlineStr">
        <is>
          <t>SEA</t>
        </is>
      </c>
      <c r="C139" t="inlineStr">
        <is>
          <t>TE</t>
        </is>
      </c>
      <c r="D139" s="48">
        <f>'SEA'!V38</f>
        <v/>
      </c>
      <c r="E139" s="48">
        <f>'SEA'!W38</f>
        <v/>
      </c>
      <c r="F139" s="48">
        <f>'SEA'!X38</f>
        <v/>
      </c>
      <c r="G139" s="49">
        <f>'SEA'!Z38</f>
        <v/>
      </c>
      <c r="H139" s="48">
        <f>'SEA'!AA38</f>
        <v/>
      </c>
      <c r="I139" s="48">
        <f>'SEA'!AB38</f>
        <v/>
      </c>
      <c r="J139" s="49">
        <f>'SEA'!AD38</f>
        <v/>
      </c>
      <c r="K139" s="49">
        <f>'SEA'!AE38</f>
        <v/>
      </c>
    </row>
    <row r="140">
      <c r="A140">
        <f>'SEA'!B39</f>
        <v/>
      </c>
      <c r="B140" t="inlineStr">
        <is>
          <t>SEA</t>
        </is>
      </c>
      <c r="C140" t="inlineStr">
        <is>
          <t>TE</t>
        </is>
      </c>
      <c r="D140" s="48">
        <f>'SEA'!V39</f>
        <v/>
      </c>
      <c r="E140" s="48">
        <f>'SEA'!W39</f>
        <v/>
      </c>
      <c r="F140" s="48">
        <f>'SEA'!X39</f>
        <v/>
      </c>
      <c r="G140" s="49">
        <f>'SEA'!Z39</f>
        <v/>
      </c>
      <c r="H140" s="48">
        <f>'SEA'!AA39</f>
        <v/>
      </c>
      <c r="I140" s="48">
        <f>'SEA'!AB39</f>
        <v/>
      </c>
      <c r="J140" s="49">
        <f>'SEA'!AD39</f>
        <v/>
      </c>
      <c r="K140" s="49">
        <f>'SEA'!AE39</f>
        <v/>
      </c>
    </row>
    <row r="141">
      <c r="A141">
        <f>'SEA'!B40</f>
        <v/>
      </c>
      <c r="B141" t="inlineStr">
        <is>
          <t>SEA</t>
        </is>
      </c>
      <c r="C141" t="inlineStr">
        <is>
          <t>TE</t>
        </is>
      </c>
      <c r="D141" s="48">
        <f>'SEA'!V40</f>
        <v/>
      </c>
      <c r="E141" s="48">
        <f>'SEA'!W40</f>
        <v/>
      </c>
      <c r="F141" s="48">
        <f>'SEA'!X40</f>
        <v/>
      </c>
      <c r="G141" s="49">
        <f>'SEA'!Z40</f>
        <v/>
      </c>
      <c r="H141" s="48">
        <f>'SEA'!AA40</f>
        <v/>
      </c>
      <c r="I141" s="48">
        <f>'SEA'!AB40</f>
        <v/>
      </c>
      <c r="J141" s="49">
        <f>'SEA'!AD40</f>
        <v/>
      </c>
      <c r="K141" s="49">
        <f>'SEA'!AE40</f>
        <v/>
      </c>
    </row>
    <row r="142">
      <c r="A142">
        <f>'SEA'!B41</f>
        <v/>
      </c>
      <c r="B142" t="inlineStr">
        <is>
          <t>SEA</t>
        </is>
      </c>
      <c r="C142" t="inlineStr">
        <is>
          <t>TE</t>
        </is>
      </c>
      <c r="D142" s="48">
        <f>'SEA'!V41</f>
        <v/>
      </c>
      <c r="E142" s="48">
        <f>'SEA'!W41</f>
        <v/>
      </c>
      <c r="F142" s="48">
        <f>'SEA'!X41</f>
        <v/>
      </c>
      <c r="G142" s="49">
        <f>'SEA'!Z41</f>
        <v/>
      </c>
      <c r="H142" s="48">
        <f>'SEA'!AA41</f>
        <v/>
      </c>
      <c r="I142" s="48">
        <f>'SEA'!AB41</f>
        <v/>
      </c>
      <c r="J142" s="49">
        <f>'SEA'!AD41</f>
        <v/>
      </c>
      <c r="K142" s="49">
        <f>'SEA'!AE41</f>
        <v/>
      </c>
    </row>
    <row r="143">
      <c r="A143">
        <f>'SF'!B37</f>
        <v/>
      </c>
      <c r="B143" t="inlineStr">
        <is>
          <t>SF</t>
        </is>
      </c>
      <c r="C143" t="inlineStr">
        <is>
          <t>TE</t>
        </is>
      </c>
      <c r="D143" s="48">
        <f>'SF'!V37</f>
        <v/>
      </c>
      <c r="E143" s="48">
        <f>'SF'!W37</f>
        <v/>
      </c>
      <c r="F143" s="48">
        <f>'SF'!X37</f>
        <v/>
      </c>
      <c r="G143" s="49">
        <f>'SF'!Z37</f>
        <v/>
      </c>
      <c r="H143" s="48">
        <f>'SF'!AA37</f>
        <v/>
      </c>
      <c r="I143" s="48">
        <f>'SF'!AB37</f>
        <v/>
      </c>
      <c r="J143" s="49">
        <f>'SF'!AD37</f>
        <v/>
      </c>
      <c r="K143" s="49">
        <f>'SF'!AE37</f>
        <v/>
      </c>
    </row>
    <row r="144">
      <c r="A144">
        <f>'SF'!B38</f>
        <v/>
      </c>
      <c r="B144" t="inlineStr">
        <is>
          <t>SF</t>
        </is>
      </c>
      <c r="C144" t="inlineStr">
        <is>
          <t>TE</t>
        </is>
      </c>
      <c r="D144" s="48">
        <f>'SF'!V38</f>
        <v/>
      </c>
      <c r="E144" s="48">
        <f>'SF'!W38</f>
        <v/>
      </c>
      <c r="F144" s="48">
        <f>'SF'!X38</f>
        <v/>
      </c>
      <c r="G144" s="49">
        <f>'SF'!Z38</f>
        <v/>
      </c>
      <c r="H144" s="48">
        <f>'SF'!AA38</f>
        <v/>
      </c>
      <c r="I144" s="48">
        <f>'SF'!AB38</f>
        <v/>
      </c>
      <c r="J144" s="49">
        <f>'SF'!AD38</f>
        <v/>
      </c>
      <c r="K144" s="49">
        <f>'SF'!AE38</f>
        <v/>
      </c>
    </row>
    <row r="145">
      <c r="A145">
        <f>'SF'!B39</f>
        <v/>
      </c>
      <c r="B145" t="inlineStr">
        <is>
          <t>SF</t>
        </is>
      </c>
      <c r="C145" t="inlineStr">
        <is>
          <t>TE</t>
        </is>
      </c>
      <c r="D145" s="48">
        <f>'SF'!V39</f>
        <v/>
      </c>
      <c r="E145" s="48">
        <f>'SF'!W39</f>
        <v/>
      </c>
      <c r="F145" s="48">
        <f>'SF'!X39</f>
        <v/>
      </c>
      <c r="G145" s="49">
        <f>'SF'!Z39</f>
        <v/>
      </c>
      <c r="H145" s="48">
        <f>'SF'!AA39</f>
        <v/>
      </c>
      <c r="I145" s="48">
        <f>'SF'!AB39</f>
        <v/>
      </c>
      <c r="J145" s="49">
        <f>'SF'!AD39</f>
        <v/>
      </c>
      <c r="K145" s="49">
        <f>'SF'!AE39</f>
        <v/>
      </c>
    </row>
    <row r="146">
      <c r="A146">
        <f>'SF'!B40</f>
        <v/>
      </c>
      <c r="B146" t="inlineStr">
        <is>
          <t>SF</t>
        </is>
      </c>
      <c r="C146" t="inlineStr">
        <is>
          <t>TE</t>
        </is>
      </c>
      <c r="D146" s="48">
        <f>'SF'!V40</f>
        <v/>
      </c>
      <c r="E146" s="48">
        <f>'SF'!W40</f>
        <v/>
      </c>
      <c r="F146" s="48">
        <f>'SF'!X40</f>
        <v/>
      </c>
      <c r="G146" s="49">
        <f>'SF'!Z40</f>
        <v/>
      </c>
      <c r="H146" s="48">
        <f>'SF'!AA40</f>
        <v/>
      </c>
      <c r="I146" s="48">
        <f>'SF'!AB40</f>
        <v/>
      </c>
      <c r="J146" s="49">
        <f>'SF'!AD40</f>
        <v/>
      </c>
      <c r="K146" s="49">
        <f>'SF'!AE40</f>
        <v/>
      </c>
    </row>
    <row r="147">
      <c r="A147">
        <f>'SF'!B41</f>
        <v/>
      </c>
      <c r="B147" t="inlineStr">
        <is>
          <t>SF</t>
        </is>
      </c>
      <c r="C147" t="inlineStr">
        <is>
          <t>TE</t>
        </is>
      </c>
      <c r="D147" s="48">
        <f>'SF'!V41</f>
        <v/>
      </c>
      <c r="E147" s="48">
        <f>'SF'!W41</f>
        <v/>
      </c>
      <c r="F147" s="48">
        <f>'SF'!X41</f>
        <v/>
      </c>
      <c r="G147" s="49">
        <f>'SF'!Z41</f>
        <v/>
      </c>
      <c r="H147" s="48">
        <f>'SF'!AA41</f>
        <v/>
      </c>
      <c r="I147" s="48">
        <f>'SF'!AB41</f>
        <v/>
      </c>
      <c r="J147" s="49">
        <f>'SF'!AD41</f>
        <v/>
      </c>
      <c r="K147" s="49">
        <f>'SF'!AE41</f>
        <v/>
      </c>
    </row>
    <row r="148">
      <c r="A148">
        <f>'TB'!B37</f>
        <v/>
      </c>
      <c r="B148" t="inlineStr">
        <is>
          <t>TB</t>
        </is>
      </c>
      <c r="C148" t="inlineStr">
        <is>
          <t>TE</t>
        </is>
      </c>
      <c r="D148" s="48">
        <f>'TB'!V37</f>
        <v/>
      </c>
      <c r="E148" s="48">
        <f>'TB'!W37</f>
        <v/>
      </c>
      <c r="F148" s="48">
        <f>'TB'!X37</f>
        <v/>
      </c>
      <c r="G148" s="49">
        <f>'TB'!Z37</f>
        <v/>
      </c>
      <c r="H148" s="48">
        <f>'TB'!AA37</f>
        <v/>
      </c>
      <c r="I148" s="48">
        <f>'TB'!AB37</f>
        <v/>
      </c>
      <c r="J148" s="49">
        <f>'TB'!AD37</f>
        <v/>
      </c>
      <c r="K148" s="49">
        <f>'TB'!AE37</f>
        <v/>
      </c>
    </row>
    <row r="149">
      <c r="A149">
        <f>'TB'!B38</f>
        <v/>
      </c>
      <c r="B149" t="inlineStr">
        <is>
          <t>TB</t>
        </is>
      </c>
      <c r="C149" t="inlineStr">
        <is>
          <t>TE</t>
        </is>
      </c>
      <c r="D149" s="48">
        <f>'TB'!V38</f>
        <v/>
      </c>
      <c r="E149" s="48">
        <f>'TB'!W38</f>
        <v/>
      </c>
      <c r="F149" s="48">
        <f>'TB'!X38</f>
        <v/>
      </c>
      <c r="G149" s="49">
        <f>'TB'!Z38</f>
        <v/>
      </c>
      <c r="H149" s="48">
        <f>'TB'!AA38</f>
        <v/>
      </c>
      <c r="I149" s="48">
        <f>'TB'!AB38</f>
        <v/>
      </c>
      <c r="J149" s="49">
        <f>'TB'!AD38</f>
        <v/>
      </c>
      <c r="K149" s="49">
        <f>'TB'!AE38</f>
        <v/>
      </c>
    </row>
    <row r="150">
      <c r="A150">
        <f>'TB'!B39</f>
        <v/>
      </c>
      <c r="B150" t="inlineStr">
        <is>
          <t>TB</t>
        </is>
      </c>
      <c r="C150" t="inlineStr">
        <is>
          <t>TE</t>
        </is>
      </c>
      <c r="D150" s="48">
        <f>'TB'!V39</f>
        <v/>
      </c>
      <c r="E150" s="48">
        <f>'TB'!W39</f>
        <v/>
      </c>
      <c r="F150" s="48">
        <f>'TB'!X39</f>
        <v/>
      </c>
      <c r="G150" s="49">
        <f>'TB'!Z39</f>
        <v/>
      </c>
      <c r="H150" s="48">
        <f>'TB'!AA39</f>
        <v/>
      </c>
      <c r="I150" s="48">
        <f>'TB'!AB39</f>
        <v/>
      </c>
      <c r="J150" s="49">
        <f>'TB'!AD39</f>
        <v/>
      </c>
      <c r="K150" s="49">
        <f>'TB'!AE39</f>
        <v/>
      </c>
    </row>
    <row r="151">
      <c r="A151">
        <f>'TB'!B40</f>
        <v/>
      </c>
      <c r="B151" t="inlineStr">
        <is>
          <t>TB</t>
        </is>
      </c>
      <c r="C151" t="inlineStr">
        <is>
          <t>TE</t>
        </is>
      </c>
      <c r="D151" s="48">
        <f>'TB'!V40</f>
        <v/>
      </c>
      <c r="E151" s="48">
        <f>'TB'!W40</f>
        <v/>
      </c>
      <c r="F151" s="48">
        <f>'TB'!X40</f>
        <v/>
      </c>
      <c r="G151" s="49">
        <f>'TB'!Z40</f>
        <v/>
      </c>
      <c r="H151" s="48">
        <f>'TB'!AA40</f>
        <v/>
      </c>
      <c r="I151" s="48">
        <f>'TB'!AB40</f>
        <v/>
      </c>
      <c r="J151" s="49">
        <f>'TB'!AD40</f>
        <v/>
      </c>
      <c r="K151" s="49">
        <f>'TB'!AE40</f>
        <v/>
      </c>
    </row>
    <row r="152">
      <c r="A152">
        <f>'TB'!B41</f>
        <v/>
      </c>
      <c r="B152" t="inlineStr">
        <is>
          <t>TB</t>
        </is>
      </c>
      <c r="C152" t="inlineStr">
        <is>
          <t>TE</t>
        </is>
      </c>
      <c r="D152" s="48">
        <f>'TB'!V41</f>
        <v/>
      </c>
      <c r="E152" s="48">
        <f>'TB'!W41</f>
        <v/>
      </c>
      <c r="F152" s="48">
        <f>'TB'!X41</f>
        <v/>
      </c>
      <c r="G152" s="49">
        <f>'TB'!Z41</f>
        <v/>
      </c>
      <c r="H152" s="48">
        <f>'TB'!AA41</f>
        <v/>
      </c>
      <c r="I152" s="48">
        <f>'TB'!AB41</f>
        <v/>
      </c>
      <c r="J152" s="49">
        <f>'TB'!AD41</f>
        <v/>
      </c>
      <c r="K152" s="49">
        <f>'TB'!AE41</f>
        <v/>
      </c>
    </row>
    <row r="153">
      <c r="A153">
        <f>'TEN'!B37</f>
        <v/>
      </c>
      <c r="B153" t="inlineStr">
        <is>
          <t>TEN</t>
        </is>
      </c>
      <c r="C153" t="inlineStr">
        <is>
          <t>TE</t>
        </is>
      </c>
      <c r="D153" s="48">
        <f>'TEN'!V37</f>
        <v/>
      </c>
      <c r="E153" s="48">
        <f>'TEN'!W37</f>
        <v/>
      </c>
      <c r="F153" s="48">
        <f>'TEN'!X37</f>
        <v/>
      </c>
      <c r="G153" s="49">
        <f>'TEN'!Z37</f>
        <v/>
      </c>
      <c r="H153" s="48">
        <f>'TEN'!AA37</f>
        <v/>
      </c>
      <c r="I153" s="48">
        <f>'TEN'!AB37</f>
        <v/>
      </c>
      <c r="J153" s="49">
        <f>'TEN'!AD37</f>
        <v/>
      </c>
      <c r="K153" s="49">
        <f>'TEN'!AE37</f>
        <v/>
      </c>
    </row>
    <row r="154">
      <c r="A154">
        <f>'TEN'!B38</f>
        <v/>
      </c>
      <c r="B154" t="inlineStr">
        <is>
          <t>TEN</t>
        </is>
      </c>
      <c r="C154" t="inlineStr">
        <is>
          <t>TE</t>
        </is>
      </c>
      <c r="D154" s="48">
        <f>'TEN'!V38</f>
        <v/>
      </c>
      <c r="E154" s="48">
        <f>'TEN'!W38</f>
        <v/>
      </c>
      <c r="F154" s="48">
        <f>'TEN'!X38</f>
        <v/>
      </c>
      <c r="G154" s="49">
        <f>'TEN'!Z38</f>
        <v/>
      </c>
      <c r="H154" s="48">
        <f>'TEN'!AA38</f>
        <v/>
      </c>
      <c r="I154" s="48">
        <f>'TEN'!AB38</f>
        <v/>
      </c>
      <c r="J154" s="49">
        <f>'TEN'!AD38</f>
        <v/>
      </c>
      <c r="K154" s="49">
        <f>'TEN'!AE38</f>
        <v/>
      </c>
    </row>
    <row r="155">
      <c r="A155">
        <f>'TEN'!B39</f>
        <v/>
      </c>
      <c r="B155" t="inlineStr">
        <is>
          <t>TEN</t>
        </is>
      </c>
      <c r="C155" t="inlineStr">
        <is>
          <t>TE</t>
        </is>
      </c>
      <c r="D155" s="48">
        <f>'TEN'!V39</f>
        <v/>
      </c>
      <c r="E155" s="48">
        <f>'TEN'!W39</f>
        <v/>
      </c>
      <c r="F155" s="48">
        <f>'TEN'!X39</f>
        <v/>
      </c>
      <c r="G155" s="49">
        <f>'TEN'!Z39</f>
        <v/>
      </c>
      <c r="H155" s="48">
        <f>'TEN'!AA39</f>
        <v/>
      </c>
      <c r="I155" s="48">
        <f>'TEN'!AB39</f>
        <v/>
      </c>
      <c r="J155" s="49">
        <f>'TEN'!AD39</f>
        <v/>
      </c>
      <c r="K155" s="49">
        <f>'TEN'!AE39</f>
        <v/>
      </c>
    </row>
    <row r="156">
      <c r="A156">
        <f>'TEN'!B40</f>
        <v/>
      </c>
      <c r="B156" t="inlineStr">
        <is>
          <t>TEN</t>
        </is>
      </c>
      <c r="C156" t="inlineStr">
        <is>
          <t>TE</t>
        </is>
      </c>
      <c r="D156" s="48">
        <f>'TEN'!V40</f>
        <v/>
      </c>
      <c r="E156" s="48">
        <f>'TEN'!W40</f>
        <v/>
      </c>
      <c r="F156" s="48">
        <f>'TEN'!X40</f>
        <v/>
      </c>
      <c r="G156" s="49">
        <f>'TEN'!Z40</f>
        <v/>
      </c>
      <c r="H156" s="48">
        <f>'TEN'!AA40</f>
        <v/>
      </c>
      <c r="I156" s="48">
        <f>'TEN'!AB40</f>
        <v/>
      </c>
      <c r="J156" s="49">
        <f>'TEN'!AD40</f>
        <v/>
      </c>
      <c r="K156" s="49">
        <f>'TEN'!AE40</f>
        <v/>
      </c>
    </row>
    <row r="157">
      <c r="A157">
        <f>'TEN'!B41</f>
        <v/>
      </c>
      <c r="B157" t="inlineStr">
        <is>
          <t>TEN</t>
        </is>
      </c>
      <c r="C157" t="inlineStr">
        <is>
          <t>TE</t>
        </is>
      </c>
      <c r="D157" s="48">
        <f>'TEN'!V41</f>
        <v/>
      </c>
      <c r="E157" s="48">
        <f>'TEN'!W41</f>
        <v/>
      </c>
      <c r="F157" s="48">
        <f>'TEN'!X41</f>
        <v/>
      </c>
      <c r="G157" s="49">
        <f>'TEN'!Z41</f>
        <v/>
      </c>
      <c r="H157" s="48">
        <f>'TEN'!AA41</f>
        <v/>
      </c>
      <c r="I157" s="48">
        <f>'TEN'!AB41</f>
        <v/>
      </c>
      <c r="J157" s="49">
        <f>'TEN'!AD41</f>
        <v/>
      </c>
      <c r="K157" s="49">
        <f>'TEN'!AE41</f>
        <v/>
      </c>
    </row>
    <row r="158">
      <c r="A158">
        <f>'WAS'!B37</f>
        <v/>
      </c>
      <c r="B158" t="inlineStr">
        <is>
          <t>WAS</t>
        </is>
      </c>
      <c r="C158" t="inlineStr">
        <is>
          <t>TE</t>
        </is>
      </c>
      <c r="D158" s="48">
        <f>'WAS'!V37</f>
        <v/>
      </c>
      <c r="E158" s="48">
        <f>'WAS'!W37</f>
        <v/>
      </c>
      <c r="F158" s="48">
        <f>'WAS'!X37</f>
        <v/>
      </c>
      <c r="G158" s="49">
        <f>'WAS'!Z37</f>
        <v/>
      </c>
      <c r="H158" s="48">
        <f>'WAS'!AA37</f>
        <v/>
      </c>
      <c r="I158" s="48">
        <f>'WAS'!AB37</f>
        <v/>
      </c>
      <c r="J158" s="49">
        <f>'WAS'!AD37</f>
        <v/>
      </c>
      <c r="K158" s="49">
        <f>'WAS'!AE37</f>
        <v/>
      </c>
    </row>
    <row r="159">
      <c r="A159">
        <f>'WAS'!B38</f>
        <v/>
      </c>
      <c r="B159" t="inlineStr">
        <is>
          <t>WAS</t>
        </is>
      </c>
      <c r="C159" t="inlineStr">
        <is>
          <t>TE</t>
        </is>
      </c>
      <c r="D159" s="48">
        <f>'WAS'!V38</f>
        <v/>
      </c>
      <c r="E159" s="48">
        <f>'WAS'!W38</f>
        <v/>
      </c>
      <c r="F159" s="48">
        <f>'WAS'!X38</f>
        <v/>
      </c>
      <c r="G159" s="49">
        <f>'WAS'!Z38</f>
        <v/>
      </c>
      <c r="H159" s="48">
        <f>'WAS'!AA38</f>
        <v/>
      </c>
      <c r="I159" s="48">
        <f>'WAS'!AB38</f>
        <v/>
      </c>
      <c r="J159" s="49">
        <f>'WAS'!AD38</f>
        <v/>
      </c>
      <c r="K159" s="49">
        <f>'WAS'!AE38</f>
        <v/>
      </c>
    </row>
    <row r="160">
      <c r="A160">
        <f>'WAS'!B39</f>
        <v/>
      </c>
      <c r="B160" t="inlineStr">
        <is>
          <t>WAS</t>
        </is>
      </c>
      <c r="C160" t="inlineStr">
        <is>
          <t>TE</t>
        </is>
      </c>
      <c r="D160" s="48">
        <f>'WAS'!V39</f>
        <v/>
      </c>
      <c r="E160" s="48">
        <f>'WAS'!W39</f>
        <v/>
      </c>
      <c r="F160" s="48">
        <f>'WAS'!X39</f>
        <v/>
      </c>
      <c r="G160" s="49">
        <f>'WAS'!Z39</f>
        <v/>
      </c>
      <c r="H160" s="48">
        <f>'WAS'!AA39</f>
        <v/>
      </c>
      <c r="I160" s="48">
        <f>'WAS'!AB39</f>
        <v/>
      </c>
      <c r="J160" s="49">
        <f>'WAS'!AD39</f>
        <v/>
      </c>
      <c r="K160" s="49">
        <f>'WAS'!AE39</f>
        <v/>
      </c>
    </row>
    <row r="161">
      <c r="A161">
        <f>'WAS'!B40</f>
        <v/>
      </c>
      <c r="B161" t="inlineStr">
        <is>
          <t>WAS</t>
        </is>
      </c>
      <c r="C161" t="inlineStr">
        <is>
          <t>TE</t>
        </is>
      </c>
      <c r="D161" s="48">
        <f>'WAS'!V40</f>
        <v/>
      </c>
      <c r="E161" s="48">
        <f>'WAS'!W40</f>
        <v/>
      </c>
      <c r="F161" s="48">
        <f>'WAS'!X40</f>
        <v/>
      </c>
      <c r="G161" s="49">
        <f>'WAS'!Z40</f>
        <v/>
      </c>
      <c r="H161" s="48">
        <f>'WAS'!AA40</f>
        <v/>
      </c>
      <c r="I161" s="48">
        <f>'WAS'!AB40</f>
        <v/>
      </c>
      <c r="J161" s="49">
        <f>'WAS'!AD40</f>
        <v/>
      </c>
      <c r="K161" s="49">
        <f>'WAS'!AE40</f>
        <v/>
      </c>
    </row>
    <row r="162">
      <c r="A162">
        <f>'WAS'!B41</f>
        <v/>
      </c>
      <c r="B162" t="inlineStr">
        <is>
          <t>WAS</t>
        </is>
      </c>
      <c r="C162" t="inlineStr">
        <is>
          <t>TE</t>
        </is>
      </c>
      <c r="D162" s="48">
        <f>'WAS'!V41</f>
        <v/>
      </c>
      <c r="E162" s="48">
        <f>'WAS'!W41</f>
        <v/>
      </c>
      <c r="F162" s="48">
        <f>'WAS'!X41</f>
        <v/>
      </c>
      <c r="G162" s="49">
        <f>'WAS'!Z41</f>
        <v/>
      </c>
      <c r="H162" s="48">
        <f>'WAS'!AA41</f>
        <v/>
      </c>
      <c r="I162" s="48">
        <f>'WAS'!AB41</f>
        <v/>
      </c>
      <c r="J162" s="49">
        <f>'WAS'!AD41</f>
        <v/>
      </c>
      <c r="K162" s="49">
        <f>'WAS'!AE41</f>
        <v/>
      </c>
    </row>
    <row r="163"/>
    <row r="164">
      <c r="A164" s="8" t="inlineStr">
        <is>
          <t>Values are live. Row order is not - sort by Half PPR when you want a ranking (Data &gt; Sort), or run export_projections.py.</t>
        </is>
      </c>
    </row>
  </sheetData>
  <autoFilter ref="A2:K16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24" customWidth="1" min="4" max="4"/>
    <col width="6" customWidth="1" min="5" max="5"/>
    <col width="9" customWidth="1" min="6" max="6"/>
    <col width="9" customWidth="1" min="7" max="7"/>
    <col width="20" customWidth="1" min="8" max="8"/>
  </cols>
  <sheetData>
    <row r="1">
      <c r="A1" s="46" t="inlineStr">
        <is>
          <t>VACATED 2026 - usage that left each roster</t>
        </is>
      </c>
    </row>
    <row r="2">
      <c r="A2" s="50" t="inlineStr">
        <is>
          <t>Team</t>
        </is>
      </c>
      <c r="B2" s="50" t="inlineStr">
        <is>
          <t>Tgt% vacated</t>
        </is>
      </c>
      <c r="C2" s="50" t="inlineStr">
        <is>
          <t>Rush% vacated</t>
        </is>
      </c>
      <c r="D2" s="50" t="inlineStr">
        <is>
          <t>Player</t>
        </is>
      </c>
      <c r="E2" s="50" t="inlineStr">
        <is>
          <t>Pos</t>
        </is>
      </c>
      <c r="F2" s="50" t="inlineStr">
        <is>
          <t>Tgt%</t>
        </is>
      </c>
      <c r="G2" s="50" t="inlineStr">
        <is>
          <t>Rush%</t>
        </is>
      </c>
      <c r="H2" s="50" t="inlineStr">
        <is>
          <t>Went to</t>
        </is>
      </c>
    </row>
    <row r="3">
      <c r="A3" t="inlineStr">
        <is>
          <t>ARI</t>
        </is>
      </c>
      <c r="B3" s="51" t="n">
        <v>0.2382</v>
      </c>
      <c r="C3" s="51" t="n">
        <v>0.697</v>
      </c>
      <c r="D3" t="inlineStr">
        <is>
          <t>Michael Carter</t>
        </is>
      </c>
      <c r="E3" t="inlineStr">
        <is>
          <t>RB</t>
        </is>
      </c>
      <c r="F3" s="51" t="n">
        <v>0.07290000000000001</v>
      </c>
      <c r="G3" s="51" t="n">
        <v>0.2534</v>
      </c>
      <c r="H3" t="inlineStr">
        <is>
          <t>TEN</t>
        </is>
      </c>
    </row>
    <row r="4">
      <c r="A4" t="inlineStr">
        <is>
          <t>ARI</t>
        </is>
      </c>
      <c r="B4" s="51" t="n">
        <v>0.2382</v>
      </c>
      <c r="C4" s="51" t="n">
        <v>0.697</v>
      </c>
      <c r="D4" t="inlineStr">
        <is>
          <t>Bam Knight</t>
        </is>
      </c>
      <c r="E4" t="inlineStr">
        <is>
          <t>RB</t>
        </is>
      </c>
      <c r="F4" s="51" t="n">
        <v>0.0502</v>
      </c>
      <c r="G4" s="51" t="n">
        <v>0.2259</v>
      </c>
      <c r="H4" t="inlineStr">
        <is>
          <t>NOT ON ANY ROSTER</t>
        </is>
      </c>
    </row>
    <row r="5">
      <c r="A5" t="inlineStr">
        <is>
          <t>ARI</t>
        </is>
      </c>
      <c r="B5" s="51" t="n">
        <v>0.2382</v>
      </c>
      <c r="C5" s="51" t="n">
        <v>0.697</v>
      </c>
      <c r="D5" t="inlineStr">
        <is>
          <t>Emari Demercado</t>
        </is>
      </c>
      <c r="E5" t="inlineStr">
        <is>
          <t>RB</t>
        </is>
      </c>
      <c r="F5" s="51" t="n">
        <v>0.0324</v>
      </c>
      <c r="G5" s="51" t="n">
        <v>0.1212</v>
      </c>
      <c r="H5" t="inlineStr">
        <is>
          <t>KC</t>
        </is>
      </c>
    </row>
    <row r="6">
      <c r="A6" t="inlineStr">
        <is>
          <t>ARI</t>
        </is>
      </c>
      <c r="B6" s="51" t="n">
        <v>0.2382</v>
      </c>
      <c r="C6" s="51" t="n">
        <v>0.697</v>
      </c>
      <c r="D6" t="inlineStr">
        <is>
          <t>Kyler Murray</t>
        </is>
      </c>
      <c r="E6" t="inlineStr">
        <is>
          <t>QB</t>
        </is>
      </c>
      <c r="F6" s="51" t="n">
        <v>0</v>
      </c>
      <c r="G6" s="51" t="n">
        <v>0.0771</v>
      </c>
      <c r="H6" t="inlineStr">
        <is>
          <t>MIN</t>
        </is>
      </c>
    </row>
    <row r="7">
      <c r="A7" t="inlineStr">
        <is>
          <t>ARI</t>
        </is>
      </c>
      <c r="B7" s="51" t="n">
        <v>0.2382</v>
      </c>
      <c r="C7" s="51" t="n">
        <v>0.697</v>
      </c>
      <c r="D7" t="inlineStr">
        <is>
          <t>Greg Dortch</t>
        </is>
      </c>
      <c r="E7" t="inlineStr">
        <is>
          <t>WR</t>
        </is>
      </c>
      <c r="F7" s="51" t="n">
        <v>0.0535</v>
      </c>
      <c r="G7" s="51" t="n">
        <v>0.0193</v>
      </c>
      <c r="H7" t="inlineStr">
        <is>
          <t>DET</t>
        </is>
      </c>
    </row>
    <row r="8">
      <c r="A8" t="inlineStr">
        <is>
          <t>ARI</t>
        </is>
      </c>
      <c r="B8" s="51" t="n">
        <v>0.2382</v>
      </c>
      <c r="C8" s="51" t="n">
        <v>0.697</v>
      </c>
      <c r="D8" t="inlineStr">
        <is>
          <t>Zay Jones</t>
        </is>
      </c>
      <c r="E8" t="inlineStr">
        <is>
          <t>WR</t>
        </is>
      </c>
      <c r="F8" s="51" t="n">
        <v>0.0292</v>
      </c>
      <c r="G8" s="51" t="n">
        <v>0</v>
      </c>
      <c r="H8" t="inlineStr">
        <is>
          <t>NOT ON ANY ROSTER</t>
        </is>
      </c>
    </row>
    <row r="9">
      <c r="A9" t="inlineStr">
        <is>
          <t>ATL</t>
        </is>
      </c>
      <c r="B9" s="51" t="n">
        <v>0.2852</v>
      </c>
      <c r="C9" s="51" t="n">
        <v>0.3254</v>
      </c>
      <c r="D9" t="inlineStr">
        <is>
          <t>Tyler Allgeier</t>
        </is>
      </c>
      <c r="E9" t="inlineStr">
        <is>
          <t>RB</t>
        </is>
      </c>
      <c r="F9" s="51" t="n">
        <v>0.0308</v>
      </c>
      <c r="G9" s="51" t="n">
        <v>0.3082</v>
      </c>
      <c r="H9" t="inlineStr">
        <is>
          <t>ARI</t>
        </is>
      </c>
    </row>
    <row r="10">
      <c r="A10" t="inlineStr">
        <is>
          <t>ATL</t>
        </is>
      </c>
      <c r="B10" s="51" t="n">
        <v>0.2852</v>
      </c>
      <c r="C10" s="51" t="n">
        <v>0.3254</v>
      </c>
      <c r="D10" t="inlineStr">
        <is>
          <t>Darnell Mooney</t>
        </is>
      </c>
      <c r="E10" t="inlineStr">
        <is>
          <t>WR</t>
        </is>
      </c>
      <c r="F10" s="51" t="n">
        <v>0.1387</v>
      </c>
      <c r="G10" s="51" t="n">
        <v>0</v>
      </c>
      <c r="H10" t="inlineStr">
        <is>
          <t>NYG</t>
        </is>
      </c>
    </row>
    <row r="11">
      <c r="A11" t="inlineStr">
        <is>
          <t>ATL</t>
        </is>
      </c>
      <c r="B11" s="51" t="n">
        <v>0.2852</v>
      </c>
      <c r="C11" s="51" t="n">
        <v>0.3254</v>
      </c>
      <c r="D11" t="inlineStr">
        <is>
          <t>David Sills V</t>
        </is>
      </c>
      <c r="E11" t="inlineStr">
        <is>
          <t>WR</t>
        </is>
      </c>
      <c r="F11" s="51" t="n">
        <v>0.0694</v>
      </c>
      <c r="G11" s="51" t="n">
        <v>0</v>
      </c>
      <c r="H11" t="inlineStr">
        <is>
          <t>TB</t>
        </is>
      </c>
    </row>
    <row r="12">
      <c r="A12" t="inlineStr">
        <is>
          <t>ATL</t>
        </is>
      </c>
      <c r="B12" s="51" t="n">
        <v>0.2852</v>
      </c>
      <c r="C12" s="51" t="n">
        <v>0.3254</v>
      </c>
      <c r="D12" t="inlineStr">
        <is>
          <t>Casey Washington</t>
        </is>
      </c>
      <c r="E12" t="inlineStr">
        <is>
          <t>WR</t>
        </is>
      </c>
      <c r="F12" s="51" t="n">
        <v>0.027</v>
      </c>
      <c r="G12" s="51" t="n">
        <v>0</v>
      </c>
      <c r="H12" t="inlineStr">
        <is>
          <t>CAR</t>
        </is>
      </c>
    </row>
    <row r="13">
      <c r="A13" t="inlineStr">
        <is>
          <t>ATL</t>
        </is>
      </c>
      <c r="B13" s="51" t="n">
        <v>0.2852</v>
      </c>
      <c r="C13" s="51" t="n">
        <v>0.3254</v>
      </c>
      <c r="D13" t="inlineStr">
        <is>
          <t>KhaDarel Hodge</t>
        </is>
      </c>
      <c r="E13" t="inlineStr">
        <is>
          <t>WR</t>
        </is>
      </c>
      <c r="F13" s="51" t="n">
        <v>0.0193</v>
      </c>
      <c r="G13" s="51" t="n">
        <v>0</v>
      </c>
      <c r="H13" t="inlineStr">
        <is>
          <t>SF</t>
        </is>
      </c>
    </row>
    <row r="14">
      <c r="A14" t="inlineStr">
        <is>
          <t>ATL</t>
        </is>
      </c>
      <c r="B14" s="51" t="n">
        <v>0.2852</v>
      </c>
      <c r="C14" s="51" t="n">
        <v>0.3254</v>
      </c>
      <c r="D14" t="inlineStr">
        <is>
          <t>Kirk Cousins</t>
        </is>
      </c>
      <c r="E14" t="inlineStr">
        <is>
          <t>QB</t>
        </is>
      </c>
      <c r="F14" s="51" t="n">
        <v>0</v>
      </c>
      <c r="G14" s="51" t="n">
        <v>0.0172</v>
      </c>
      <c r="H14" t="inlineStr">
        <is>
          <t>LV</t>
        </is>
      </c>
    </row>
    <row r="15">
      <c r="A15" t="inlineStr">
        <is>
          <t>BAL</t>
        </is>
      </c>
      <c r="B15" s="51" t="n">
        <v>0.2703</v>
      </c>
      <c r="C15" s="51" t="n">
        <v>0.1204</v>
      </c>
      <c r="D15" t="inlineStr">
        <is>
          <t>Keaton Mitchell</t>
        </is>
      </c>
      <c r="E15" t="inlineStr">
        <is>
          <t>RB</t>
        </is>
      </c>
      <c r="F15" s="51" t="n">
        <v>0.0295</v>
      </c>
      <c r="G15" s="51" t="n">
        <v>0.1204</v>
      </c>
      <c r="H15" t="inlineStr">
        <is>
          <t>LAC</t>
        </is>
      </c>
    </row>
    <row r="16">
      <c r="A16" t="inlineStr">
        <is>
          <t>BAL</t>
        </is>
      </c>
      <c r="B16" s="51" t="n">
        <v>0.2703</v>
      </c>
      <c r="C16" s="51" t="n">
        <v>0.1204</v>
      </c>
      <c r="D16" t="inlineStr">
        <is>
          <t>DeAndre Hopkins</t>
        </is>
      </c>
      <c r="E16" t="inlineStr">
        <is>
          <t>WR</t>
        </is>
      </c>
      <c r="F16" s="51" t="n">
        <v>0.0958</v>
      </c>
      <c r="G16" s="51" t="n">
        <v>0</v>
      </c>
      <c r="H16" t="inlineStr">
        <is>
          <t>NOT ON ANY ROSTER</t>
        </is>
      </c>
    </row>
    <row r="17">
      <c r="A17" t="inlineStr">
        <is>
          <t>BAL</t>
        </is>
      </c>
      <c r="B17" s="51" t="n">
        <v>0.2703</v>
      </c>
      <c r="C17" s="51" t="n">
        <v>0.1204</v>
      </c>
      <c r="D17" t="inlineStr">
        <is>
          <t>Isaiah Likely</t>
        </is>
      </c>
      <c r="E17" t="inlineStr">
        <is>
          <t>TE</t>
        </is>
      </c>
      <c r="F17" s="51" t="n">
        <v>0.0885</v>
      </c>
      <c r="G17" s="51" t="n">
        <v>0</v>
      </c>
      <c r="H17" t="inlineStr">
        <is>
          <t>NYG</t>
        </is>
      </c>
    </row>
    <row r="18">
      <c r="A18" t="inlineStr">
        <is>
          <t>BAL</t>
        </is>
      </c>
      <c r="B18" s="51" t="n">
        <v>0.2703</v>
      </c>
      <c r="C18" s="51" t="n">
        <v>0.1204</v>
      </c>
      <c r="D18" t="inlineStr">
        <is>
          <t>Charlie Kolar</t>
        </is>
      </c>
      <c r="E18" t="inlineStr">
        <is>
          <t>TE</t>
        </is>
      </c>
      <c r="F18" s="51" t="n">
        <v>0.0369</v>
      </c>
      <c r="G18" s="51" t="n">
        <v>0</v>
      </c>
      <c r="H18" t="inlineStr">
        <is>
          <t>LAC</t>
        </is>
      </c>
    </row>
    <row r="19">
      <c r="A19" t="inlineStr">
        <is>
          <t>BAL</t>
        </is>
      </c>
      <c r="B19" s="51" t="n">
        <v>0.2703</v>
      </c>
      <c r="C19" s="51" t="n">
        <v>0.1204</v>
      </c>
      <c r="D19" t="inlineStr">
        <is>
          <t>Tylan Wallace</t>
        </is>
      </c>
      <c r="E19" t="inlineStr">
        <is>
          <t>WR</t>
        </is>
      </c>
      <c r="F19" s="51" t="n">
        <v>0.0197</v>
      </c>
      <c r="G19" s="51" t="n">
        <v>0</v>
      </c>
      <c r="H19" t="inlineStr">
        <is>
          <t>CLE</t>
        </is>
      </c>
    </row>
    <row r="20">
      <c r="A20" t="inlineStr">
        <is>
          <t>BUF</t>
        </is>
      </c>
      <c r="B20" s="51" t="n">
        <v>0.0919</v>
      </c>
      <c r="C20" s="51" t="n">
        <v>0.0115</v>
      </c>
      <c r="D20" t="inlineStr">
        <is>
          <t>Gabe Davis</t>
        </is>
      </c>
      <c r="E20" t="inlineStr">
        <is>
          <t>WR</t>
        </is>
      </c>
      <c r="F20" s="51" t="n">
        <v>0.0376</v>
      </c>
      <c r="G20" s="51" t="n">
        <v>0</v>
      </c>
      <c r="H20" t="inlineStr">
        <is>
          <t>NOT ON ANY ROSTER</t>
        </is>
      </c>
    </row>
    <row r="21">
      <c r="A21" t="inlineStr">
        <is>
          <t>BUF</t>
        </is>
      </c>
      <c r="B21" s="51" t="n">
        <v>0.0919</v>
      </c>
      <c r="C21" s="51" t="n">
        <v>0.0115</v>
      </c>
      <c r="D21" t="inlineStr">
        <is>
          <t>Elijah Moore</t>
        </is>
      </c>
      <c r="E21" t="inlineStr">
        <is>
          <t>WR</t>
        </is>
      </c>
      <c r="F21" s="51" t="n">
        <v>0.0355</v>
      </c>
      <c r="G21" s="51" t="n">
        <v>0.0115</v>
      </c>
      <c r="H21" t="inlineStr">
        <is>
          <t>PHI</t>
        </is>
      </c>
    </row>
    <row r="22">
      <c r="A22" t="inlineStr">
        <is>
          <t>BUF</t>
        </is>
      </c>
      <c r="B22" s="51" t="n">
        <v>0.0919</v>
      </c>
      <c r="C22" s="51" t="n">
        <v>0.0115</v>
      </c>
      <c r="D22" t="inlineStr">
        <is>
          <t>Curtis Samuel</t>
        </is>
      </c>
      <c r="E22" t="inlineStr">
        <is>
          <t>WR</t>
        </is>
      </c>
      <c r="F22" s="51" t="n">
        <v>0.0188</v>
      </c>
      <c r="G22" s="51" t="n">
        <v>0</v>
      </c>
      <c r="H22" t="inlineStr">
        <is>
          <t>NOT ON ANY ROSTER</t>
        </is>
      </c>
    </row>
    <row r="23">
      <c r="A23" t="inlineStr">
        <is>
          <t>CAR</t>
        </is>
      </c>
      <c r="B23" s="51" t="n">
        <v>0.1583</v>
      </c>
      <c r="C23" s="51" t="n">
        <v>0.5327</v>
      </c>
      <c r="D23" t="inlineStr">
        <is>
          <t>Rico Dowdle</t>
        </is>
      </c>
      <c r="E23" t="inlineStr">
        <is>
          <t>RB</t>
        </is>
      </c>
      <c r="F23" s="51" t="n">
        <v>0.1042</v>
      </c>
      <c r="G23" s="51" t="n">
        <v>0.5327</v>
      </c>
      <c r="H23" t="inlineStr">
        <is>
          <t>PIT</t>
        </is>
      </c>
    </row>
    <row r="24">
      <c r="A24" t="inlineStr">
        <is>
          <t>CAR</t>
        </is>
      </c>
      <c r="B24" s="51" t="n">
        <v>0.1583</v>
      </c>
      <c r="C24" s="51" t="n">
        <v>0.5327</v>
      </c>
      <c r="D24" t="inlineStr">
        <is>
          <t>Hunter Renfrow</t>
        </is>
      </c>
      <c r="E24" t="inlineStr">
        <is>
          <t>WR</t>
        </is>
      </c>
      <c r="F24" s="51" t="n">
        <v>0.0542</v>
      </c>
      <c r="G24" s="51" t="n">
        <v>0</v>
      </c>
      <c r="H24" t="inlineStr">
        <is>
          <t>NOT ON ANY ROSTER</t>
        </is>
      </c>
    </row>
    <row r="25">
      <c r="A25" t="inlineStr">
        <is>
          <t>CHI</t>
        </is>
      </c>
      <c r="B25" s="51" t="n">
        <v>0.2932</v>
      </c>
      <c r="C25" s="51" t="n">
        <v>0.0385</v>
      </c>
      <c r="D25" t="inlineStr">
        <is>
          <t>DJ Moore</t>
        </is>
      </c>
      <c r="E25" t="inlineStr">
        <is>
          <t>WR</t>
        </is>
      </c>
      <c r="F25" s="51" t="n">
        <v>0.1598</v>
      </c>
      <c r="G25" s="51" t="n">
        <v>0.0304</v>
      </c>
      <c r="H25" t="inlineStr">
        <is>
          <t>BUF</t>
        </is>
      </c>
    </row>
    <row r="26">
      <c r="A26" t="inlineStr">
        <is>
          <t>CHI</t>
        </is>
      </c>
      <c r="B26" s="51" t="n">
        <v>0.2932</v>
      </c>
      <c r="C26" s="51" t="n">
        <v>0.0385</v>
      </c>
      <c r="D26" t="inlineStr">
        <is>
          <t>Olamide Zaccheaus</t>
        </is>
      </c>
      <c r="E26" t="inlineStr">
        <is>
          <t>WR</t>
        </is>
      </c>
      <c r="F26" s="51" t="n">
        <v>0.1222</v>
      </c>
      <c r="G26" s="51" t="n">
        <v>0.0081</v>
      </c>
      <c r="H26" t="inlineStr">
        <is>
          <t>ATL</t>
        </is>
      </c>
    </row>
    <row r="27">
      <c r="A27" t="inlineStr">
        <is>
          <t>CHI</t>
        </is>
      </c>
      <c r="B27" s="51" t="n">
        <v>0.2932</v>
      </c>
      <c r="C27" s="51" t="n">
        <v>0.0385</v>
      </c>
      <c r="D27" t="inlineStr">
        <is>
          <t>Durham Smythe</t>
        </is>
      </c>
      <c r="E27" t="inlineStr">
        <is>
          <t>TE</t>
        </is>
      </c>
      <c r="F27" s="51" t="n">
        <v>0.0113</v>
      </c>
      <c r="G27" s="51" t="n">
        <v>0</v>
      </c>
      <c r="H27" t="inlineStr">
        <is>
          <t>BAL</t>
        </is>
      </c>
    </row>
    <row r="28">
      <c r="A28" t="inlineStr">
        <is>
          <t>CIN</t>
        </is>
      </c>
      <c r="B28" s="51" t="n">
        <v>0.0674</v>
      </c>
      <c r="C28" s="51" t="n">
        <v>0.0216</v>
      </c>
      <c r="D28" t="inlineStr">
        <is>
          <t>Noah Fant</t>
        </is>
      </c>
      <c r="E28" t="inlineStr">
        <is>
          <t>TE</t>
        </is>
      </c>
      <c r="F28" s="51" t="n">
        <v>0.0674</v>
      </c>
      <c r="G28" s="51" t="n">
        <v>0</v>
      </c>
      <c r="H28" t="inlineStr">
        <is>
          <t>NO</t>
        </is>
      </c>
    </row>
    <row r="29">
      <c r="A29" t="inlineStr">
        <is>
          <t>CIN</t>
        </is>
      </c>
      <c r="B29" s="51" t="n">
        <v>0.0674</v>
      </c>
      <c r="C29" s="51" t="n">
        <v>0.0216</v>
      </c>
      <c r="D29" t="inlineStr">
        <is>
          <t>Jake Browning</t>
        </is>
      </c>
      <c r="E29" t="inlineStr">
        <is>
          <t>QB</t>
        </is>
      </c>
      <c r="F29" s="51" t="n">
        <v>0</v>
      </c>
      <c r="G29" s="51" t="n">
        <v>0.0216</v>
      </c>
      <c r="H29" t="inlineStr">
        <is>
          <t>TB</t>
        </is>
      </c>
    </row>
    <row r="30">
      <c r="A30" t="inlineStr">
        <is>
          <t>CLE</t>
        </is>
      </c>
      <c r="B30" s="51" t="n">
        <v>0.1533</v>
      </c>
      <c r="C30" s="51" t="n">
        <v>0.06950000000000001</v>
      </c>
      <c r="D30" t="inlineStr">
        <is>
          <t>David Njoku</t>
        </is>
      </c>
      <c r="E30" t="inlineStr">
        <is>
          <t>TE</t>
        </is>
      </c>
      <c r="F30" s="51" t="n">
        <v>0.092</v>
      </c>
      <c r="G30" s="51" t="n">
        <v>0</v>
      </c>
      <c r="H30" t="inlineStr">
        <is>
          <t>LAC</t>
        </is>
      </c>
    </row>
    <row r="31">
      <c r="A31" t="inlineStr">
        <is>
          <t>CLE</t>
        </is>
      </c>
      <c r="B31" s="51" t="n">
        <v>0.1533</v>
      </c>
      <c r="C31" s="51" t="n">
        <v>0.06950000000000001</v>
      </c>
      <c r="D31" t="inlineStr">
        <is>
          <t>Jerome Ford</t>
        </is>
      </c>
      <c r="E31" t="inlineStr">
        <is>
          <t>RB</t>
        </is>
      </c>
      <c r="F31" s="51" t="n">
        <v>0.0613</v>
      </c>
      <c r="G31" s="51" t="n">
        <v>0.0576</v>
      </c>
      <c r="H31" t="inlineStr">
        <is>
          <t>WAS</t>
        </is>
      </c>
    </row>
    <row r="32">
      <c r="A32" t="inlineStr">
        <is>
          <t>CLE</t>
        </is>
      </c>
      <c r="B32" s="51" t="n">
        <v>0.1533</v>
      </c>
      <c r="C32" s="51" t="n">
        <v>0.06950000000000001</v>
      </c>
      <c r="D32" t="inlineStr">
        <is>
          <t>Joe Flacco</t>
        </is>
      </c>
      <c r="E32" t="inlineStr">
        <is>
          <t>QB</t>
        </is>
      </c>
      <c r="F32" s="51" t="n">
        <v>0</v>
      </c>
      <c r="G32" s="51" t="n">
        <v>0.012</v>
      </c>
      <c r="H32" t="inlineStr">
        <is>
          <t>CIN</t>
        </is>
      </c>
    </row>
    <row r="33">
      <c r="A33" t="inlineStr">
        <is>
          <t>DAL</t>
        </is>
      </c>
      <c r="B33" s="51" t="n">
        <v>0.0692</v>
      </c>
      <c r="C33" s="51" t="n">
        <v>0.0445</v>
      </c>
      <c r="D33" t="inlineStr">
        <is>
          <t>Jalen Tolbert</t>
        </is>
      </c>
      <c r="E33" t="inlineStr">
        <is>
          <t>WR</t>
        </is>
      </c>
      <c r="F33" s="51" t="n">
        <v>0.056</v>
      </c>
      <c r="G33" s="51" t="n">
        <v>0</v>
      </c>
      <c r="H33" t="inlineStr">
        <is>
          <t>MIA</t>
        </is>
      </c>
    </row>
    <row r="34">
      <c r="A34" t="inlineStr">
        <is>
          <t>DAL</t>
        </is>
      </c>
      <c r="B34" s="51" t="n">
        <v>0.0692</v>
      </c>
      <c r="C34" s="51" t="n">
        <v>0.0445</v>
      </c>
      <c r="D34" t="inlineStr">
        <is>
          <t>Miles Sanders</t>
        </is>
      </c>
      <c r="E34" t="inlineStr">
        <is>
          <t>RB</t>
        </is>
      </c>
      <c r="F34" s="51" t="n">
        <v>0.0132</v>
      </c>
      <c r="G34" s="51" t="n">
        <v>0.0445</v>
      </c>
      <c r="H34" t="inlineStr">
        <is>
          <t>NOT ON ANY ROSTER</t>
        </is>
      </c>
    </row>
    <row r="35">
      <c r="A35" t="inlineStr">
        <is>
          <t>DET</t>
        </is>
      </c>
      <c r="B35" s="51" t="n">
        <v>0.1255</v>
      </c>
      <c r="C35" s="51" t="n">
        <v>0.3712</v>
      </c>
      <c r="D35" t="inlineStr">
        <is>
          <t>David Montgomery</t>
        </is>
      </c>
      <c r="E35" t="inlineStr">
        <is>
          <t>RB</t>
        </is>
      </c>
      <c r="F35" s="51" t="n">
        <v>0.0527</v>
      </c>
      <c r="G35" s="51" t="n">
        <v>0.3666</v>
      </c>
      <c r="H35" t="inlineStr">
        <is>
          <t>HOU</t>
        </is>
      </c>
    </row>
    <row r="36">
      <c r="A36" t="inlineStr">
        <is>
          <t>DET</t>
        </is>
      </c>
      <c r="B36" s="51" t="n">
        <v>0.1255</v>
      </c>
      <c r="C36" s="51" t="n">
        <v>0.3712</v>
      </c>
      <c r="D36" t="inlineStr">
        <is>
          <t>Kalif Raymond</t>
        </is>
      </c>
      <c r="E36" t="inlineStr">
        <is>
          <t>WR</t>
        </is>
      </c>
      <c r="F36" s="51" t="n">
        <v>0.0545</v>
      </c>
      <c r="G36" s="51" t="n">
        <v>0.0046</v>
      </c>
      <c r="H36" t="inlineStr">
        <is>
          <t>CHI</t>
        </is>
      </c>
    </row>
    <row r="37">
      <c r="A37" t="inlineStr">
        <is>
          <t>DET</t>
        </is>
      </c>
      <c r="B37" s="51" t="n">
        <v>0.1255</v>
      </c>
      <c r="C37" s="51" t="n">
        <v>0.3712</v>
      </c>
      <c r="D37" t="inlineStr">
        <is>
          <t>Anthony Firkser</t>
        </is>
      </c>
      <c r="E37" t="inlineStr">
        <is>
          <t>TE</t>
        </is>
      </c>
      <c r="F37" s="51" t="n">
        <v>0.0182</v>
      </c>
      <c r="G37" s="51" t="n">
        <v>0</v>
      </c>
      <c r="H37" t="inlineStr">
        <is>
          <t>NOT ON ANY ROSTER</t>
        </is>
      </c>
    </row>
    <row r="38">
      <c r="A38" t="inlineStr">
        <is>
          <t>GB</t>
        </is>
      </c>
      <c r="B38" s="51" t="n">
        <v>0.3696</v>
      </c>
      <c r="C38" s="51" t="n">
        <v>0.3038</v>
      </c>
      <c r="D38" t="inlineStr">
        <is>
          <t>Emanuel Wilson</t>
        </is>
      </c>
      <c r="E38" t="inlineStr">
        <is>
          <t>RB</t>
        </is>
      </c>
      <c r="F38" s="51" t="n">
        <v>0.037</v>
      </c>
      <c r="G38" s="51" t="n">
        <v>0.2637</v>
      </c>
      <c r="H38" t="inlineStr">
        <is>
          <t>SEA</t>
        </is>
      </c>
    </row>
    <row r="39">
      <c r="A39" t="inlineStr">
        <is>
          <t>GB</t>
        </is>
      </c>
      <c r="B39" s="51" t="n">
        <v>0.3696</v>
      </c>
      <c r="C39" s="51" t="n">
        <v>0.3038</v>
      </c>
      <c r="D39" t="inlineStr">
        <is>
          <t>Romeo Doubs</t>
        </is>
      </c>
      <c r="E39" t="inlineStr">
        <is>
          <t>WR</t>
        </is>
      </c>
      <c r="F39" s="51" t="n">
        <v>0.1848</v>
      </c>
      <c r="G39" s="51" t="n">
        <v>0</v>
      </c>
      <c r="H39" t="inlineStr">
        <is>
          <t>NE</t>
        </is>
      </c>
    </row>
    <row r="40">
      <c r="A40" t="inlineStr">
        <is>
          <t>GB</t>
        </is>
      </c>
      <c r="B40" s="51" t="n">
        <v>0.3696</v>
      </c>
      <c r="C40" s="51" t="n">
        <v>0.3038</v>
      </c>
      <c r="D40" t="inlineStr">
        <is>
          <t>Dontayvion Wicks</t>
        </is>
      </c>
      <c r="E40" t="inlineStr">
        <is>
          <t>WR</t>
        </is>
      </c>
      <c r="F40" s="51" t="n">
        <v>0.1</v>
      </c>
      <c r="G40" s="51" t="n">
        <v>0.0021</v>
      </c>
      <c r="H40" t="inlineStr">
        <is>
          <t>PHI</t>
        </is>
      </c>
    </row>
    <row r="41">
      <c r="A41" t="inlineStr">
        <is>
          <t>GB</t>
        </is>
      </c>
      <c r="B41" s="51" t="n">
        <v>0.3696</v>
      </c>
      <c r="C41" s="51" t="n">
        <v>0.3038</v>
      </c>
      <c r="D41" t="inlineStr">
        <is>
          <t>Malik Willis</t>
        </is>
      </c>
      <c r="E41" t="inlineStr">
        <is>
          <t>QB</t>
        </is>
      </c>
      <c r="F41" s="51" t="n">
        <v>0</v>
      </c>
      <c r="G41" s="51" t="n">
        <v>0.038</v>
      </c>
      <c r="H41" t="inlineStr">
        <is>
          <t>MIA</t>
        </is>
      </c>
    </row>
    <row r="42">
      <c r="A42" t="inlineStr">
        <is>
          <t>GB</t>
        </is>
      </c>
      <c r="B42" s="51" t="n">
        <v>0.3696</v>
      </c>
      <c r="C42" s="51" t="n">
        <v>0.3038</v>
      </c>
      <c r="D42" t="inlineStr">
        <is>
          <t>John FitzPatrick</t>
        </is>
      </c>
      <c r="E42" t="inlineStr">
        <is>
          <t>TE</t>
        </is>
      </c>
      <c r="F42" s="51" t="n">
        <v>0.0326</v>
      </c>
      <c r="G42" s="51" t="n">
        <v>0</v>
      </c>
      <c r="H42" t="inlineStr">
        <is>
          <t>NOT ON ANY ROSTER</t>
        </is>
      </c>
    </row>
    <row r="43">
      <c r="A43" t="inlineStr">
        <is>
          <t>GB</t>
        </is>
      </c>
      <c r="B43" s="51" t="n">
        <v>0.3696</v>
      </c>
      <c r="C43" s="51" t="n">
        <v>0.3038</v>
      </c>
      <c r="D43" t="inlineStr">
        <is>
          <t>Malik Heath</t>
        </is>
      </c>
      <c r="E43" t="inlineStr">
        <is>
          <t>WR</t>
        </is>
      </c>
      <c r="F43" s="51" t="n">
        <v>0.0152</v>
      </c>
      <c r="G43" s="51" t="n">
        <v>0</v>
      </c>
      <c r="H43" t="inlineStr">
        <is>
          <t>ATL</t>
        </is>
      </c>
    </row>
    <row r="44">
      <c r="A44" t="inlineStr">
        <is>
          <t>HOU</t>
        </is>
      </c>
      <c r="B44" s="51" t="n">
        <v>0.179</v>
      </c>
      <c r="C44" s="51" t="n">
        <v>0.2879</v>
      </c>
      <c r="D44" t="inlineStr">
        <is>
          <t>Nick Chubb</t>
        </is>
      </c>
      <c r="E44" t="inlineStr">
        <is>
          <t>RB</t>
        </is>
      </c>
      <c r="F44" s="51" t="n">
        <v>0.0362</v>
      </c>
      <c r="G44" s="51" t="n">
        <v>0.2641</v>
      </c>
      <c r="H44" t="inlineStr">
        <is>
          <t>NOT ON ANY ROSTER</t>
        </is>
      </c>
    </row>
    <row r="45">
      <c r="A45" t="inlineStr">
        <is>
          <t>HOU</t>
        </is>
      </c>
      <c r="B45" s="51" t="n">
        <v>0.179</v>
      </c>
      <c r="C45" s="51" t="n">
        <v>0.2879</v>
      </c>
      <c r="D45" t="inlineStr">
        <is>
          <t>Christian Kirk</t>
        </is>
      </c>
      <c r="E45" t="inlineStr">
        <is>
          <t>WR</t>
        </is>
      </c>
      <c r="F45" s="51" t="n">
        <v>0.094</v>
      </c>
      <c r="G45" s="51" t="n">
        <v>0</v>
      </c>
      <c r="H45" t="inlineStr">
        <is>
          <t>SF</t>
        </is>
      </c>
    </row>
    <row r="46">
      <c r="A46" t="inlineStr">
        <is>
          <t>HOU</t>
        </is>
      </c>
      <c r="B46" s="51" t="n">
        <v>0.179</v>
      </c>
      <c r="C46" s="51" t="n">
        <v>0.2879</v>
      </c>
      <c r="D46" t="inlineStr">
        <is>
          <t>Dare Ogunbowale</t>
        </is>
      </c>
      <c r="E46" t="inlineStr">
        <is>
          <t>RB</t>
        </is>
      </c>
      <c r="F46" s="51" t="n">
        <v>0.0235</v>
      </c>
      <c r="G46" s="51" t="n">
        <v>0.0238</v>
      </c>
      <c r="H46" t="inlineStr">
        <is>
          <t>NOT ON ANY ROSTER</t>
        </is>
      </c>
    </row>
    <row r="47">
      <c r="A47" t="inlineStr">
        <is>
          <t>HOU</t>
        </is>
      </c>
      <c r="B47" s="51" t="n">
        <v>0.179</v>
      </c>
      <c r="C47" s="51" t="n">
        <v>0.2879</v>
      </c>
      <c r="D47" t="inlineStr">
        <is>
          <t>Braxton Berrios</t>
        </is>
      </c>
      <c r="E47" t="inlineStr">
        <is>
          <t>WR</t>
        </is>
      </c>
      <c r="F47" s="51" t="n">
        <v>0.0145</v>
      </c>
      <c r="G47" s="51" t="n">
        <v>0</v>
      </c>
      <c r="H47" t="inlineStr">
        <is>
          <t>NYG</t>
        </is>
      </c>
    </row>
    <row r="48">
      <c r="A48" t="inlineStr">
        <is>
          <t>HOU</t>
        </is>
      </c>
      <c r="B48" s="51" t="n">
        <v>0.179</v>
      </c>
      <c r="C48" s="51" t="n">
        <v>0.2879</v>
      </c>
      <c r="D48" t="inlineStr">
        <is>
          <t>Harrison Bryant</t>
        </is>
      </c>
      <c r="E48" t="inlineStr">
        <is>
          <t>TE</t>
        </is>
      </c>
      <c r="F48" s="51" t="n">
        <v>0.0108</v>
      </c>
      <c r="G48" s="51" t="n">
        <v>0</v>
      </c>
      <c r="H48" t="inlineStr">
        <is>
          <t>NOT ON ANY ROSTER</t>
        </is>
      </c>
    </row>
    <row r="49">
      <c r="A49" t="inlineStr">
        <is>
          <t>IND</t>
        </is>
      </c>
      <c r="B49" s="51" t="n">
        <v>0.2472</v>
      </c>
      <c r="C49" s="51" t="n">
        <v>0.0535</v>
      </c>
      <c r="D49" t="inlineStr">
        <is>
          <t>Michael Pittman Jr.</t>
        </is>
      </c>
      <c r="E49" t="inlineStr">
        <is>
          <t>WR</t>
        </is>
      </c>
      <c r="F49" s="51" t="n">
        <v>0.2094</v>
      </c>
      <c r="G49" s="51" t="n">
        <v>0</v>
      </c>
      <c r="H49" t="inlineStr">
        <is>
          <t>PIT</t>
        </is>
      </c>
    </row>
    <row r="50">
      <c r="A50" t="inlineStr">
        <is>
          <t>IND</t>
        </is>
      </c>
      <c r="B50" s="51" t="n">
        <v>0.2472</v>
      </c>
      <c r="C50" s="51" t="n">
        <v>0.0535</v>
      </c>
      <c r="D50" t="inlineStr">
        <is>
          <t>Ameer Abdullah</t>
        </is>
      </c>
      <c r="E50" t="inlineStr">
        <is>
          <t>RB</t>
        </is>
      </c>
      <c r="F50" s="51" t="n">
        <v>0.0321</v>
      </c>
      <c r="G50" s="51" t="n">
        <v>0.0326</v>
      </c>
      <c r="H50" t="inlineStr">
        <is>
          <t>JAC</t>
        </is>
      </c>
    </row>
    <row r="51">
      <c r="A51" t="inlineStr">
        <is>
          <t>IND</t>
        </is>
      </c>
      <c r="B51" s="51" t="n">
        <v>0.2472</v>
      </c>
      <c r="C51" s="51" t="n">
        <v>0.0535</v>
      </c>
      <c r="D51" t="inlineStr">
        <is>
          <t>Tyler Goodson</t>
        </is>
      </c>
      <c r="E51" t="inlineStr">
        <is>
          <t>RB</t>
        </is>
      </c>
      <c r="F51" s="51" t="n">
        <v>0.0057</v>
      </c>
      <c r="G51" s="51" t="n">
        <v>0.0209</v>
      </c>
      <c r="H51" t="inlineStr">
        <is>
          <t>ATL</t>
        </is>
      </c>
    </row>
    <row r="52">
      <c r="A52" t="inlineStr">
        <is>
          <t>JAC</t>
        </is>
      </c>
      <c r="B52" s="51" t="n">
        <v>0.2413</v>
      </c>
      <c r="C52" s="51" t="n">
        <v>0.5672</v>
      </c>
      <c r="D52" t="inlineStr">
        <is>
          <t>Travis Etienne Jr.</t>
        </is>
      </c>
      <c r="E52" t="inlineStr">
        <is>
          <t>RB</t>
        </is>
      </c>
      <c r="F52" s="51" t="n">
        <v>0.0951</v>
      </c>
      <c r="G52" s="51" t="n">
        <v>0.5544</v>
      </c>
      <c r="H52" t="inlineStr">
        <is>
          <t>NO</t>
        </is>
      </c>
    </row>
    <row r="53">
      <c r="A53" t="inlineStr">
        <is>
          <t>JAC</t>
        </is>
      </c>
      <c r="B53" s="51" t="n">
        <v>0.2413</v>
      </c>
      <c r="C53" s="51" t="n">
        <v>0.5672</v>
      </c>
      <c r="D53" t="inlineStr">
        <is>
          <t>Dyami Brown</t>
        </is>
      </c>
      <c r="E53" t="inlineStr">
        <is>
          <t>WR</t>
        </is>
      </c>
      <c r="F53" s="51" t="n">
        <v>0.06759999999999999</v>
      </c>
      <c r="G53" s="51" t="n">
        <v>0.0128</v>
      </c>
      <c r="H53" t="inlineStr">
        <is>
          <t>WAS</t>
        </is>
      </c>
    </row>
    <row r="54">
      <c r="A54" t="inlineStr">
        <is>
          <t>JAC</t>
        </is>
      </c>
      <c r="B54" s="51" t="n">
        <v>0.2413</v>
      </c>
      <c r="C54" s="51" t="n">
        <v>0.5672</v>
      </c>
      <c r="D54" t="inlineStr">
        <is>
          <t>Tim Patrick</t>
        </is>
      </c>
      <c r="E54" t="inlineStr">
        <is>
          <t>WR</t>
        </is>
      </c>
      <c r="F54" s="51" t="n">
        <v>0.0439</v>
      </c>
      <c r="G54" s="51" t="n">
        <v>0</v>
      </c>
      <c r="H54" t="inlineStr">
        <is>
          <t>NYJ</t>
        </is>
      </c>
    </row>
    <row r="55">
      <c r="A55" t="inlineStr">
        <is>
          <t>JAC</t>
        </is>
      </c>
      <c r="B55" s="51" t="n">
        <v>0.2413</v>
      </c>
      <c r="C55" s="51" t="n">
        <v>0.5672</v>
      </c>
      <c r="D55" t="inlineStr">
        <is>
          <t>Johnny Mundt</t>
        </is>
      </c>
      <c r="E55" t="inlineStr">
        <is>
          <t>TE</t>
        </is>
      </c>
      <c r="F55" s="51" t="n">
        <v>0.0347</v>
      </c>
      <c r="G55" s="51" t="n">
        <v>0</v>
      </c>
      <c r="H55" t="inlineStr">
        <is>
          <t>PHI</t>
        </is>
      </c>
    </row>
    <row r="56">
      <c r="A56" t="inlineStr">
        <is>
          <t>KC</t>
        </is>
      </c>
      <c r="B56" s="51" t="n">
        <v>0.3133</v>
      </c>
      <c r="C56" s="51" t="n">
        <v>0.6906</v>
      </c>
      <c r="D56" t="inlineStr">
        <is>
          <t>Kareem Hunt</t>
        </is>
      </c>
      <c r="E56" t="inlineStr">
        <is>
          <t>RB</t>
        </is>
      </c>
      <c r="F56" s="51" t="n">
        <v>0.0455</v>
      </c>
      <c r="G56" s="51" t="n">
        <v>0.3909</v>
      </c>
      <c r="H56" t="inlineStr">
        <is>
          <t>NOT ON ANY ROSTER</t>
        </is>
      </c>
    </row>
    <row r="57">
      <c r="A57" t="inlineStr">
        <is>
          <t>KC</t>
        </is>
      </c>
      <c r="B57" s="51" t="n">
        <v>0.3133</v>
      </c>
      <c r="C57" s="51" t="n">
        <v>0.6906</v>
      </c>
      <c r="D57" t="inlineStr">
        <is>
          <t>Isiah Pacheco</t>
        </is>
      </c>
      <c r="E57" t="inlineStr">
        <is>
          <t>RB</t>
        </is>
      </c>
      <c r="F57" s="51" t="n">
        <v>0.0474</v>
      </c>
      <c r="G57" s="51" t="n">
        <v>0.283</v>
      </c>
      <c r="H57" t="inlineStr">
        <is>
          <t>DET</t>
        </is>
      </c>
    </row>
    <row r="58">
      <c r="A58" t="inlineStr">
        <is>
          <t>KC</t>
        </is>
      </c>
      <c r="B58" s="51" t="n">
        <v>0.3133</v>
      </c>
      <c r="C58" s="51" t="n">
        <v>0.6906</v>
      </c>
      <c r="D58" t="inlineStr">
        <is>
          <t>Hollywood Brown</t>
        </is>
      </c>
      <c r="E58" t="inlineStr">
        <is>
          <t>WR</t>
        </is>
      </c>
      <c r="F58" s="51" t="n">
        <v>0.1348</v>
      </c>
      <c r="G58" s="51" t="n">
        <v>0</v>
      </c>
      <c r="H58" t="inlineStr">
        <is>
          <t>NOT ON ANY ROSTER</t>
        </is>
      </c>
    </row>
    <row r="59">
      <c r="A59" t="inlineStr">
        <is>
          <t>KC</t>
        </is>
      </c>
      <c r="B59" s="51" t="n">
        <v>0.3133</v>
      </c>
      <c r="C59" s="51" t="n">
        <v>0.6906</v>
      </c>
      <c r="D59" t="inlineStr">
        <is>
          <t>JuJu Smith-Schuster</t>
        </is>
      </c>
      <c r="E59" t="inlineStr">
        <is>
          <t>WR</t>
        </is>
      </c>
      <c r="F59" s="51" t="n">
        <v>0.082</v>
      </c>
      <c r="G59" s="51" t="n">
        <v>0</v>
      </c>
      <c r="H59" t="inlineStr">
        <is>
          <t>NYG</t>
        </is>
      </c>
    </row>
    <row r="60">
      <c r="A60" t="inlineStr">
        <is>
          <t>KC</t>
        </is>
      </c>
      <c r="B60" s="51" t="n">
        <v>0.3133</v>
      </c>
      <c r="C60" s="51" t="n">
        <v>0.6906</v>
      </c>
      <c r="D60" t="inlineStr">
        <is>
          <t>Clyde Edwards-Helaire</t>
        </is>
      </c>
      <c r="E60" t="inlineStr">
        <is>
          <t>RB</t>
        </is>
      </c>
      <c r="F60" s="51" t="n">
        <v>0.0036</v>
      </c>
      <c r="G60" s="51" t="n">
        <v>0.0168</v>
      </c>
      <c r="H60" t="inlineStr">
        <is>
          <t>NOT ON ANY ROSTER</t>
        </is>
      </c>
    </row>
    <row r="61">
      <c r="A61" t="inlineStr">
        <is>
          <t>LAC</t>
        </is>
      </c>
      <c r="B61" s="51" t="n">
        <v>0.2849</v>
      </c>
      <c r="C61" s="51" t="n">
        <v>0.0727</v>
      </c>
      <c r="D61" t="inlineStr">
        <is>
          <t>Keenan Allen</t>
        </is>
      </c>
      <c r="E61" t="inlineStr">
        <is>
          <t>WR</t>
        </is>
      </c>
      <c r="F61" s="51" t="n">
        <v>0.2243</v>
      </c>
      <c r="G61" s="51" t="n">
        <v>0</v>
      </c>
      <c r="H61" t="inlineStr">
        <is>
          <t>NOT ON ANY ROSTER</t>
        </is>
      </c>
    </row>
    <row r="62">
      <c r="A62" t="inlineStr">
        <is>
          <t>LAC</t>
        </is>
      </c>
      <c r="B62" s="51" t="n">
        <v>0.2849</v>
      </c>
      <c r="C62" s="51" t="n">
        <v>0.0727</v>
      </c>
      <c r="D62" t="inlineStr">
        <is>
          <t>Hassan Haskins</t>
        </is>
      </c>
      <c r="E62" t="inlineStr">
        <is>
          <t>RB</t>
        </is>
      </c>
      <c r="F62" s="51" t="n">
        <v>0.0074</v>
      </c>
      <c r="G62" s="51" t="n">
        <v>0.0374</v>
      </c>
      <c r="H62" t="inlineStr">
        <is>
          <t>NOT ON ANY ROSTER</t>
        </is>
      </c>
    </row>
    <row r="63">
      <c r="A63" t="inlineStr">
        <is>
          <t>LAC</t>
        </is>
      </c>
      <c r="B63" s="51" t="n">
        <v>0.2849</v>
      </c>
      <c r="C63" s="51" t="n">
        <v>0.0727</v>
      </c>
      <c r="D63" t="inlineStr">
        <is>
          <t>Najee Harris</t>
        </is>
      </c>
      <c r="E63" t="inlineStr">
        <is>
          <t>RB</t>
        </is>
      </c>
      <c r="F63" s="51" t="n">
        <v>0.0055</v>
      </c>
      <c r="G63" s="51" t="n">
        <v>0.033</v>
      </c>
      <c r="H63" t="inlineStr">
        <is>
          <t>NOT ON ANY ROSTER</t>
        </is>
      </c>
    </row>
    <row r="64">
      <c r="A64" t="inlineStr">
        <is>
          <t>LAC</t>
        </is>
      </c>
      <c r="B64" s="51" t="n">
        <v>0.2849</v>
      </c>
      <c r="C64" s="51" t="n">
        <v>0.0727</v>
      </c>
      <c r="D64" t="inlineStr">
        <is>
          <t>Will Dissly</t>
        </is>
      </c>
      <c r="E64" t="inlineStr">
        <is>
          <t>TE</t>
        </is>
      </c>
      <c r="F64" s="51" t="n">
        <v>0.0294</v>
      </c>
      <c r="G64" s="51" t="n">
        <v>0</v>
      </c>
      <c r="H64" t="inlineStr">
        <is>
          <t>NOT ON ANY ROSTER</t>
        </is>
      </c>
    </row>
    <row r="65">
      <c r="A65" t="inlineStr">
        <is>
          <t>LAC</t>
        </is>
      </c>
      <c r="B65" s="51" t="n">
        <v>0.2849</v>
      </c>
      <c r="C65" s="51" t="n">
        <v>0.0727</v>
      </c>
      <c r="D65" t="inlineStr">
        <is>
          <t>Tyler Conklin</t>
        </is>
      </c>
      <c r="E65" t="inlineStr">
        <is>
          <t>TE</t>
        </is>
      </c>
      <c r="F65" s="51" t="n">
        <v>0.0184</v>
      </c>
      <c r="G65" s="51" t="n">
        <v>0.0022</v>
      </c>
      <c r="H65" t="inlineStr">
        <is>
          <t>DET</t>
        </is>
      </c>
    </row>
    <row r="66">
      <c r="A66" t="inlineStr">
        <is>
          <t>LAR</t>
        </is>
      </c>
      <c r="B66" s="51" t="n">
        <v>0.0258</v>
      </c>
      <c r="C66" s="51" t="n">
        <v>0</v>
      </c>
      <c r="D66" t="inlineStr">
        <is>
          <t>Tutu Atwell</t>
        </is>
      </c>
      <c r="E66" t="inlineStr">
        <is>
          <t>WR</t>
        </is>
      </c>
      <c r="F66" s="51" t="n">
        <v>0.0258</v>
      </c>
      <c r="G66" s="51" t="n">
        <v>0</v>
      </c>
      <c r="H66" t="inlineStr">
        <is>
          <t>MIA</t>
        </is>
      </c>
    </row>
    <row r="67">
      <c r="A67" t="inlineStr">
        <is>
          <t>LV</t>
        </is>
      </c>
      <c r="B67" s="51" t="n">
        <v>0.1356</v>
      </c>
      <c r="C67" s="51" t="n">
        <v>0.2039</v>
      </c>
      <c r="D67" t="inlineStr">
        <is>
          <t>Jakobi Meyers</t>
        </is>
      </c>
      <c r="E67" t="inlineStr">
        <is>
          <t>WR</t>
        </is>
      </c>
      <c r="F67" s="51" t="n">
        <v>0.0992</v>
      </c>
      <c r="G67" s="51" t="n">
        <v>0</v>
      </c>
      <c r="H67" t="inlineStr">
        <is>
          <t>JAC</t>
        </is>
      </c>
    </row>
    <row r="68">
      <c r="A68" t="inlineStr">
        <is>
          <t>LV</t>
        </is>
      </c>
      <c r="B68" s="51" t="n">
        <v>0.1356</v>
      </c>
      <c r="C68" s="51" t="n">
        <v>0.2039</v>
      </c>
      <c r="D68" t="inlineStr">
        <is>
          <t>Geno Smith</t>
        </is>
      </c>
      <c r="E68" t="inlineStr">
        <is>
          <t>QB</t>
        </is>
      </c>
      <c r="F68" s="51" t="n">
        <v>0</v>
      </c>
      <c r="G68" s="51" t="n">
        <v>0.0964</v>
      </c>
      <c r="H68" t="inlineStr">
        <is>
          <t>NYJ</t>
        </is>
      </c>
    </row>
    <row r="69">
      <c r="A69" t="inlineStr">
        <is>
          <t>LV</t>
        </is>
      </c>
      <c r="B69" s="51" t="n">
        <v>0.1356</v>
      </c>
      <c r="C69" s="51" t="n">
        <v>0.2039</v>
      </c>
      <c r="D69" t="inlineStr">
        <is>
          <t>Raheem Mostert</t>
        </is>
      </c>
      <c r="E69" t="inlineStr">
        <is>
          <t>RB</t>
        </is>
      </c>
      <c r="F69" s="51" t="n">
        <v>0.0243</v>
      </c>
      <c r="G69" s="51" t="n">
        <v>0.0606</v>
      </c>
      <c r="H69" t="inlineStr">
        <is>
          <t>NOT ON ANY ROSTER</t>
        </is>
      </c>
    </row>
    <row r="70">
      <c r="A70" t="inlineStr">
        <is>
          <t>LV</t>
        </is>
      </c>
      <c r="B70" s="51" t="n">
        <v>0.1356</v>
      </c>
      <c r="C70" s="51" t="n">
        <v>0.2039</v>
      </c>
      <c r="D70" t="inlineStr">
        <is>
          <t>Zamir White</t>
        </is>
      </c>
      <c r="E70" t="inlineStr">
        <is>
          <t>RB</t>
        </is>
      </c>
      <c r="F70" s="51" t="n">
        <v>0.0121</v>
      </c>
      <c r="G70" s="51" t="n">
        <v>0.0331</v>
      </c>
      <c r="H70" t="inlineStr">
        <is>
          <t>NOT ON ANY ROSTER</t>
        </is>
      </c>
    </row>
    <row r="71">
      <c r="A71" t="inlineStr">
        <is>
          <t>LV</t>
        </is>
      </c>
      <c r="B71" s="51" t="n">
        <v>0.1356</v>
      </c>
      <c r="C71" s="51" t="n">
        <v>0.2039</v>
      </c>
      <c r="D71" t="inlineStr">
        <is>
          <t>Kenny Pickett</t>
        </is>
      </c>
      <c r="E71" t="inlineStr">
        <is>
          <t>QB</t>
        </is>
      </c>
      <c r="F71" s="51" t="n">
        <v>0</v>
      </c>
      <c r="G71" s="51" t="n">
        <v>0.0138</v>
      </c>
      <c r="H71" t="inlineStr">
        <is>
          <t>CAR</t>
        </is>
      </c>
    </row>
    <row r="72">
      <c r="A72" t="inlineStr">
        <is>
          <t>MIA</t>
        </is>
      </c>
      <c r="B72" s="51" t="n">
        <v>0.5303</v>
      </c>
      <c r="C72" s="51" t="n">
        <v>0.0495</v>
      </c>
      <c r="D72" t="inlineStr">
        <is>
          <t>Jaylen Waddle</t>
        </is>
      </c>
      <c r="E72" t="inlineStr">
        <is>
          <t>WR</t>
        </is>
      </c>
      <c r="F72" s="51" t="n">
        <v>0.2165</v>
      </c>
      <c r="G72" s="51" t="n">
        <v>0.0047</v>
      </c>
      <c r="H72" t="inlineStr">
        <is>
          <t>DEN</t>
        </is>
      </c>
    </row>
    <row r="73">
      <c r="A73" t="inlineStr">
        <is>
          <t>MIA</t>
        </is>
      </c>
      <c r="B73" s="51" t="n">
        <v>0.5303</v>
      </c>
      <c r="C73" s="51" t="n">
        <v>0.0495</v>
      </c>
      <c r="D73" t="inlineStr">
        <is>
          <t>Darren Waller</t>
        </is>
      </c>
      <c r="E73" t="inlineStr">
        <is>
          <t>TE</t>
        </is>
      </c>
      <c r="F73" s="51" t="n">
        <v>0.0736</v>
      </c>
      <c r="G73" s="51" t="n">
        <v>0.0024</v>
      </c>
      <c r="H73" t="inlineStr">
        <is>
          <t>NOT ON ANY ROSTER</t>
        </is>
      </c>
    </row>
    <row r="74">
      <c r="A74" t="inlineStr">
        <is>
          <t>MIA</t>
        </is>
      </c>
      <c r="B74" s="51" t="n">
        <v>0.5303</v>
      </c>
      <c r="C74" s="51" t="n">
        <v>0.0495</v>
      </c>
      <c r="D74" t="inlineStr">
        <is>
          <t>Tyreek Hill</t>
        </is>
      </c>
      <c r="E74" t="inlineStr">
        <is>
          <t>WR</t>
        </is>
      </c>
      <c r="F74" s="51" t="n">
        <v>0.06279999999999999</v>
      </c>
      <c r="G74" s="51" t="n">
        <v>0</v>
      </c>
      <c r="H74" t="inlineStr">
        <is>
          <t>NOT ON ANY ROSTER</t>
        </is>
      </c>
    </row>
    <row r="75">
      <c r="A75" t="inlineStr">
        <is>
          <t>MIA</t>
        </is>
      </c>
      <c r="B75" s="51" t="n">
        <v>0.5303</v>
      </c>
      <c r="C75" s="51" t="n">
        <v>0.0495</v>
      </c>
      <c r="D75" t="inlineStr">
        <is>
          <t>Julian Hill</t>
        </is>
      </c>
      <c r="E75" t="inlineStr">
        <is>
          <t>TE</t>
        </is>
      </c>
      <c r="F75" s="51" t="n">
        <v>0.0433</v>
      </c>
      <c r="G75" s="51" t="n">
        <v>0</v>
      </c>
      <c r="H75" t="inlineStr">
        <is>
          <t>NOT ON ANY ROSTER</t>
        </is>
      </c>
    </row>
    <row r="76">
      <c r="A76" t="inlineStr">
        <is>
          <t>MIA</t>
        </is>
      </c>
      <c r="B76" s="51" t="n">
        <v>0.5303</v>
      </c>
      <c r="C76" s="51" t="n">
        <v>0.0495</v>
      </c>
      <c r="D76" t="inlineStr">
        <is>
          <t>Nick Westbrook-Ikhine</t>
        </is>
      </c>
      <c r="E76" t="inlineStr">
        <is>
          <t>WR</t>
        </is>
      </c>
      <c r="F76" s="51" t="n">
        <v>0.0433</v>
      </c>
      <c r="G76" s="51" t="n">
        <v>0</v>
      </c>
      <c r="H76" t="inlineStr">
        <is>
          <t>IND</t>
        </is>
      </c>
    </row>
    <row r="77">
      <c r="A77" t="inlineStr">
        <is>
          <t>MIA</t>
        </is>
      </c>
      <c r="B77" s="51" t="n">
        <v>0.5303</v>
      </c>
      <c r="C77" s="51" t="n">
        <v>0.0495</v>
      </c>
      <c r="D77" t="inlineStr">
        <is>
          <t>Tua Tagovailoa</t>
        </is>
      </c>
      <c r="E77" t="inlineStr">
        <is>
          <t>QB</t>
        </is>
      </c>
      <c r="F77" s="51" t="n">
        <v>0</v>
      </c>
      <c r="G77" s="51" t="n">
        <v>0.0377</v>
      </c>
      <c r="H77" t="inlineStr">
        <is>
          <t>ATL</t>
        </is>
      </c>
    </row>
    <row r="78">
      <c r="A78" t="inlineStr">
        <is>
          <t>MIA</t>
        </is>
      </c>
      <c r="B78" s="51" t="n">
        <v>0.5303</v>
      </c>
      <c r="C78" s="51" t="n">
        <v>0.0495</v>
      </c>
      <c r="D78" t="inlineStr">
        <is>
          <t>Tanner Conner</t>
        </is>
      </c>
      <c r="E78" t="inlineStr">
        <is>
          <t>TE</t>
        </is>
      </c>
      <c r="F78" s="51" t="n">
        <v>0.0325</v>
      </c>
      <c r="G78" s="51" t="n">
        <v>0</v>
      </c>
      <c r="H78" t="inlineStr">
        <is>
          <t>NYG</t>
        </is>
      </c>
    </row>
    <row r="79">
      <c r="A79" t="inlineStr">
        <is>
          <t>MIA</t>
        </is>
      </c>
      <c r="B79" s="51" t="n">
        <v>0.5303</v>
      </c>
      <c r="C79" s="51" t="n">
        <v>0.0495</v>
      </c>
      <c r="D79" t="inlineStr">
        <is>
          <t>Alec Ingold</t>
        </is>
      </c>
      <c r="E79" t="inlineStr">
        <is>
          <t>FB</t>
        </is>
      </c>
      <c r="F79" s="51" t="n">
        <v>0.0238</v>
      </c>
      <c r="G79" s="51" t="n">
        <v>0.0047</v>
      </c>
      <c r="H79" t="inlineStr">
        <is>
          <t>LAC</t>
        </is>
      </c>
    </row>
    <row r="80">
      <c r="A80" t="inlineStr">
        <is>
          <t>MIA</t>
        </is>
      </c>
      <c r="B80" s="51" t="n">
        <v>0.5303</v>
      </c>
      <c r="C80" s="51" t="n">
        <v>0.0495</v>
      </c>
      <c r="D80" t="inlineStr">
        <is>
          <t>Cedrick Wilson Jr.</t>
        </is>
      </c>
      <c r="E80" t="inlineStr">
        <is>
          <t>WR</t>
        </is>
      </c>
      <c r="F80" s="51" t="n">
        <v>0.0195</v>
      </c>
      <c r="G80" s="51" t="n">
        <v>0</v>
      </c>
      <c r="H80" t="inlineStr">
        <is>
          <t>DET</t>
        </is>
      </c>
    </row>
    <row r="81">
      <c r="A81" t="inlineStr">
        <is>
          <t>MIA</t>
        </is>
      </c>
      <c r="B81" s="51" t="n">
        <v>0.5303</v>
      </c>
      <c r="C81" s="51" t="n">
        <v>0.0495</v>
      </c>
      <c r="D81" t="inlineStr">
        <is>
          <t>Dee Eskridge</t>
        </is>
      </c>
      <c r="E81" t="inlineStr">
        <is>
          <t>WR</t>
        </is>
      </c>
      <c r="F81" s="51" t="n">
        <v>0.0152</v>
      </c>
      <c r="G81" s="51" t="n">
        <v>0</v>
      </c>
      <c r="H81" t="inlineStr">
        <is>
          <t>NOT ON ANY ROSTER</t>
        </is>
      </c>
    </row>
    <row r="82">
      <c r="A82" t="inlineStr">
        <is>
          <t>MIN</t>
        </is>
      </c>
      <c r="B82" s="51" t="n">
        <v>0.1368</v>
      </c>
      <c r="C82" s="51" t="n">
        <v>0.0606</v>
      </c>
      <c r="D82" t="inlineStr">
        <is>
          <t>Jalen Nailor</t>
        </is>
      </c>
      <c r="E82" t="inlineStr">
        <is>
          <t>WR</t>
        </is>
      </c>
      <c r="F82" s="51" t="n">
        <v>0.1132</v>
      </c>
      <c r="G82" s="51" t="n">
        <v>0.0051</v>
      </c>
      <c r="H82" t="inlineStr">
        <is>
          <t>LV</t>
        </is>
      </c>
    </row>
    <row r="83">
      <c r="A83" t="inlineStr">
        <is>
          <t>MIN</t>
        </is>
      </c>
      <c r="B83" s="51" t="n">
        <v>0.1368</v>
      </c>
      <c r="C83" s="51" t="n">
        <v>0.0606</v>
      </c>
      <c r="D83" t="inlineStr">
        <is>
          <t>Ty Chandler</t>
        </is>
      </c>
      <c r="E83" t="inlineStr">
        <is>
          <t>RB</t>
        </is>
      </c>
      <c r="F83" s="51" t="n">
        <v>0.008500000000000001</v>
      </c>
      <c r="G83" s="51" t="n">
        <v>0.0429</v>
      </c>
      <c r="H83" t="inlineStr">
        <is>
          <t>NO</t>
        </is>
      </c>
    </row>
    <row r="84">
      <c r="A84" t="inlineStr">
        <is>
          <t>MIN</t>
        </is>
      </c>
      <c r="B84" s="51" t="n">
        <v>0.1368</v>
      </c>
      <c r="C84" s="51" t="n">
        <v>0.0606</v>
      </c>
      <c r="D84" t="inlineStr">
        <is>
          <t>Ben Sims</t>
        </is>
      </c>
      <c r="E84" t="inlineStr">
        <is>
          <t>TE</t>
        </is>
      </c>
      <c r="F84" s="51" t="n">
        <v>0.0128</v>
      </c>
      <c r="G84" s="51" t="n">
        <v>0</v>
      </c>
      <c r="H84" t="inlineStr">
        <is>
          <t>MIA</t>
        </is>
      </c>
    </row>
    <row r="85">
      <c r="A85" t="inlineStr">
        <is>
          <t>MIN</t>
        </is>
      </c>
      <c r="B85" s="51" t="n">
        <v>0.1368</v>
      </c>
      <c r="C85" s="51" t="n">
        <v>0.0606</v>
      </c>
      <c r="D85" t="inlineStr">
        <is>
          <t>Cam Akers</t>
        </is>
      </c>
      <c r="E85" t="inlineStr">
        <is>
          <t>RB</t>
        </is>
      </c>
      <c r="F85" s="51" t="n">
        <v>0.0021</v>
      </c>
      <c r="G85" s="51" t="n">
        <v>0.0126</v>
      </c>
      <c r="H85" t="inlineStr">
        <is>
          <t>NOT ON ANY ROSTER</t>
        </is>
      </c>
    </row>
    <row r="86">
      <c r="A86" t="inlineStr">
        <is>
          <t>NE</t>
        </is>
      </c>
      <c r="B86" s="51" t="n">
        <v>0.2718</v>
      </c>
      <c r="C86" s="51" t="n">
        <v>0.0819</v>
      </c>
      <c r="D86" t="inlineStr">
        <is>
          <t>Stefon Diggs</t>
        </is>
      </c>
      <c r="E86" t="inlineStr">
        <is>
          <t>WR</t>
        </is>
      </c>
      <c r="F86" s="51" t="n">
        <v>0.2116</v>
      </c>
      <c r="G86" s="51" t="n">
        <v>0</v>
      </c>
      <c r="H86" t="inlineStr">
        <is>
          <t>WAS</t>
        </is>
      </c>
    </row>
    <row r="87">
      <c r="A87" t="inlineStr">
        <is>
          <t>NE</t>
        </is>
      </c>
      <c r="B87" s="51" t="n">
        <v>0.2718</v>
      </c>
      <c r="C87" s="51" t="n">
        <v>0.0819</v>
      </c>
      <c r="D87" t="inlineStr">
        <is>
          <t>Austin Hooper</t>
        </is>
      </c>
      <c r="E87" t="inlineStr">
        <is>
          <t>TE</t>
        </is>
      </c>
      <c r="F87" s="51" t="n">
        <v>0.0539</v>
      </c>
      <c r="G87" s="51" t="n">
        <v>0</v>
      </c>
      <c r="H87" t="inlineStr">
        <is>
          <t>ATL</t>
        </is>
      </c>
    </row>
    <row r="88">
      <c r="A88" t="inlineStr">
        <is>
          <t>NE</t>
        </is>
      </c>
      <c r="B88" s="51" t="n">
        <v>0.2718</v>
      </c>
      <c r="C88" s="51" t="n">
        <v>0.0819</v>
      </c>
      <c r="D88" t="inlineStr">
        <is>
          <t>Antonio Gibson</t>
        </is>
      </c>
      <c r="E88" t="inlineStr">
        <is>
          <t>RB</t>
        </is>
      </c>
      <c r="F88" s="51" t="n">
        <v>0.0062</v>
      </c>
      <c r="G88" s="51" t="n">
        <v>0.0539</v>
      </c>
      <c r="H88" t="inlineStr">
        <is>
          <t>NOT ON ANY ROSTER</t>
        </is>
      </c>
    </row>
    <row r="89">
      <c r="A89" t="inlineStr">
        <is>
          <t>NE</t>
        </is>
      </c>
      <c r="B89" s="51" t="n">
        <v>0.2718</v>
      </c>
      <c r="C89" s="51" t="n">
        <v>0.0819</v>
      </c>
      <c r="D89" t="inlineStr">
        <is>
          <t>D'Ernest Johnson</t>
        </is>
      </c>
      <c r="E89" t="inlineStr">
        <is>
          <t>RB</t>
        </is>
      </c>
      <c r="F89" s="51" t="n">
        <v>0</v>
      </c>
      <c r="G89" s="51" t="n">
        <v>0.028</v>
      </c>
      <c r="H89" t="inlineStr">
        <is>
          <t>NOT ON ANY ROSTER</t>
        </is>
      </c>
    </row>
    <row r="90">
      <c r="A90" t="inlineStr">
        <is>
          <t>NO</t>
        </is>
      </c>
      <c r="B90" s="51" t="n">
        <v>0.131</v>
      </c>
      <c r="C90" s="51" t="n">
        <v>0.1663</v>
      </c>
      <c r="D90" t="inlineStr">
        <is>
          <t>Taysom Hill</t>
        </is>
      </c>
      <c r="E90" t="inlineStr">
        <is>
          <t>TE</t>
        </is>
      </c>
      <c r="F90" s="51" t="n">
        <v>0.0283</v>
      </c>
      <c r="G90" s="51" t="n">
        <v>0.1218</v>
      </c>
      <c r="H90" t="inlineStr">
        <is>
          <t>NOT ON ANY ROSTER</t>
        </is>
      </c>
    </row>
    <row r="91">
      <c r="A91" t="inlineStr">
        <is>
          <t>NO</t>
        </is>
      </c>
      <c r="B91" s="51" t="n">
        <v>0.131</v>
      </c>
      <c r="C91" s="51" t="n">
        <v>0.1663</v>
      </c>
      <c r="D91" t="inlineStr">
        <is>
          <t>Evan Hull</t>
        </is>
      </c>
      <c r="E91" t="inlineStr">
        <is>
          <t>RB</t>
        </is>
      </c>
      <c r="F91" s="51" t="n">
        <v>0.0018</v>
      </c>
      <c r="G91" s="51" t="n">
        <v>0.0445</v>
      </c>
      <c r="H91" t="inlineStr">
        <is>
          <t>ARI</t>
        </is>
      </c>
    </row>
    <row r="92">
      <c r="A92" t="inlineStr">
        <is>
          <t>NO</t>
        </is>
      </c>
      <c r="B92" s="51" t="n">
        <v>0.131</v>
      </c>
      <c r="C92" s="51" t="n">
        <v>0.1663</v>
      </c>
      <c r="D92" t="inlineStr">
        <is>
          <t>Brandin Cooks</t>
        </is>
      </c>
      <c r="E92" t="inlineStr">
        <is>
          <t>WR</t>
        </is>
      </c>
      <c r="F92" s="51" t="n">
        <v>0.0442</v>
      </c>
      <c r="G92" s="51" t="n">
        <v>0</v>
      </c>
      <c r="H92" t="inlineStr">
        <is>
          <t>NOT ON ANY ROSTER</t>
        </is>
      </c>
    </row>
    <row r="93">
      <c r="A93" t="inlineStr">
        <is>
          <t>NO</t>
        </is>
      </c>
      <c r="B93" s="51" t="n">
        <v>0.131</v>
      </c>
      <c r="C93" s="51" t="n">
        <v>0.1663</v>
      </c>
      <c r="D93" t="inlineStr">
        <is>
          <t>Jack Stoll</t>
        </is>
      </c>
      <c r="E93" t="inlineStr">
        <is>
          <t>TE</t>
        </is>
      </c>
      <c r="F93" s="51" t="n">
        <v>0.0195</v>
      </c>
      <c r="G93" s="51" t="n">
        <v>0</v>
      </c>
      <c r="H93" t="inlineStr">
        <is>
          <t>CLE</t>
        </is>
      </c>
    </row>
    <row r="94">
      <c r="A94" t="inlineStr">
        <is>
          <t>NO</t>
        </is>
      </c>
      <c r="B94" s="51" t="n">
        <v>0.131</v>
      </c>
      <c r="C94" s="51" t="n">
        <v>0.1663</v>
      </c>
      <c r="D94" t="inlineStr">
        <is>
          <t>Dante Pettis</t>
        </is>
      </c>
      <c r="E94" t="inlineStr">
        <is>
          <t>WR</t>
        </is>
      </c>
      <c r="F94" s="51" t="n">
        <v>0.0195</v>
      </c>
      <c r="G94" s="51" t="n">
        <v>0</v>
      </c>
      <c r="H94" t="inlineStr">
        <is>
          <t>BUF</t>
        </is>
      </c>
    </row>
    <row r="95">
      <c r="A95" t="inlineStr">
        <is>
          <t>NO</t>
        </is>
      </c>
      <c r="B95" s="51" t="n">
        <v>0.131</v>
      </c>
      <c r="C95" s="51" t="n">
        <v>0.1663</v>
      </c>
      <c r="D95" t="inlineStr">
        <is>
          <t>Foster Moreau</t>
        </is>
      </c>
      <c r="E95" t="inlineStr">
        <is>
          <t>TE</t>
        </is>
      </c>
      <c r="F95" s="51" t="n">
        <v>0.0177</v>
      </c>
      <c r="G95" s="51" t="n">
        <v>0</v>
      </c>
      <c r="H95" t="inlineStr">
        <is>
          <t>HOU</t>
        </is>
      </c>
    </row>
    <row r="96">
      <c r="A96" t="inlineStr">
        <is>
          <t>NYG</t>
        </is>
      </c>
      <c r="B96" s="51" t="n">
        <v>0.3757</v>
      </c>
      <c r="C96" s="51" t="n">
        <v>0.0418</v>
      </c>
      <c r="D96" t="inlineStr">
        <is>
          <t>Wan'Dale Robinson</t>
        </is>
      </c>
      <c r="E96" t="inlineStr">
        <is>
          <t>WR</t>
        </is>
      </c>
      <c r="F96" s="51" t="n">
        <v>0.2783</v>
      </c>
      <c r="G96" s="51" t="n">
        <v>0.006</v>
      </c>
      <c r="H96" t="inlineStr">
        <is>
          <t>TEN</t>
        </is>
      </c>
    </row>
    <row r="97">
      <c r="A97" t="inlineStr">
        <is>
          <t>NYG</t>
        </is>
      </c>
      <c r="B97" s="51" t="n">
        <v>0.3757</v>
      </c>
      <c r="C97" s="51" t="n">
        <v>0.0418</v>
      </c>
      <c r="D97" t="inlineStr">
        <is>
          <t>Daniel Bellinger</t>
        </is>
      </c>
      <c r="E97" t="inlineStr">
        <is>
          <t>TE</t>
        </is>
      </c>
      <c r="F97" s="51" t="n">
        <v>0.0517</v>
      </c>
      <c r="G97" s="51" t="n">
        <v>0</v>
      </c>
      <c r="H97" t="inlineStr">
        <is>
          <t>TEN</t>
        </is>
      </c>
    </row>
    <row r="98">
      <c r="A98" t="inlineStr">
        <is>
          <t>NYG</t>
        </is>
      </c>
      <c r="B98" s="51" t="n">
        <v>0.3757</v>
      </c>
      <c r="C98" s="51" t="n">
        <v>0.0418</v>
      </c>
      <c r="D98" t="inlineStr">
        <is>
          <t>Russell Wilson</t>
        </is>
      </c>
      <c r="E98" t="inlineStr">
        <is>
          <t>QB</t>
        </is>
      </c>
      <c r="F98" s="51" t="n">
        <v>0</v>
      </c>
      <c r="G98" s="51" t="n">
        <v>0.0359</v>
      </c>
      <c r="H98" t="inlineStr">
        <is>
          <t>NOT ON ANY ROSTER</t>
        </is>
      </c>
    </row>
    <row r="99">
      <c r="A99" t="inlineStr">
        <is>
          <t>NYG</t>
        </is>
      </c>
      <c r="B99" s="51" t="n">
        <v>0.3757</v>
      </c>
      <c r="C99" s="51" t="n">
        <v>0.0418</v>
      </c>
      <c r="D99" t="inlineStr">
        <is>
          <t>Gunner Olszewski</t>
        </is>
      </c>
      <c r="E99" t="inlineStr">
        <is>
          <t>WR</t>
        </is>
      </c>
      <c r="F99" s="51" t="n">
        <v>0.0258</v>
      </c>
      <c r="G99" s="51" t="n">
        <v>0</v>
      </c>
      <c r="H99" t="inlineStr">
        <is>
          <t>NOT ON ANY ROSTER</t>
        </is>
      </c>
    </row>
    <row r="100">
      <c r="A100" t="inlineStr">
        <is>
          <t>NYG</t>
        </is>
      </c>
      <c r="B100" s="51" t="n">
        <v>0.3757</v>
      </c>
      <c r="C100" s="51" t="n">
        <v>0.0418</v>
      </c>
      <c r="D100" t="inlineStr">
        <is>
          <t>Lil'Jordan Humphrey</t>
        </is>
      </c>
      <c r="E100" t="inlineStr">
        <is>
          <t>WR</t>
        </is>
      </c>
      <c r="F100" s="51" t="n">
        <v>0.0199</v>
      </c>
      <c r="G100" s="51" t="n">
        <v>0</v>
      </c>
      <c r="H100" t="inlineStr">
        <is>
          <t>DEN</t>
        </is>
      </c>
    </row>
    <row r="101">
      <c r="A101" t="inlineStr">
        <is>
          <t>NYJ</t>
        </is>
      </c>
      <c r="B101" s="51" t="n">
        <v>0.1504</v>
      </c>
      <c r="C101" s="51" t="n">
        <v>0.24</v>
      </c>
      <c r="D101" t="inlineStr">
        <is>
          <t>Justin Fields</t>
        </is>
      </c>
      <c r="E101" t="inlineStr">
        <is>
          <t>QB</t>
        </is>
      </c>
      <c r="F101" s="51" t="n">
        <v>0.0021</v>
      </c>
      <c r="G101" s="51" t="n">
        <v>0.1489</v>
      </c>
      <c r="H101" t="inlineStr">
        <is>
          <t>KC</t>
        </is>
      </c>
    </row>
    <row r="102">
      <c r="A102" t="inlineStr">
        <is>
          <t>NYJ</t>
        </is>
      </c>
      <c r="B102" s="51" t="n">
        <v>0.1504</v>
      </c>
      <c r="C102" s="51" t="n">
        <v>0.24</v>
      </c>
      <c r="D102" t="inlineStr">
        <is>
          <t>Tyrod Taylor</t>
        </is>
      </c>
      <c r="E102" t="inlineStr">
        <is>
          <t>QB</t>
        </is>
      </c>
      <c r="F102" s="51" t="n">
        <v>0</v>
      </c>
      <c r="G102" s="51" t="n">
        <v>0.0556</v>
      </c>
      <c r="H102" t="inlineStr">
        <is>
          <t>GB</t>
        </is>
      </c>
    </row>
    <row r="103">
      <c r="A103" t="inlineStr">
        <is>
          <t>NYJ</t>
        </is>
      </c>
      <c r="B103" s="51" t="n">
        <v>0.1504</v>
      </c>
      <c r="C103" s="51" t="n">
        <v>0.24</v>
      </c>
      <c r="D103" t="inlineStr">
        <is>
          <t>Josh Reynolds</t>
        </is>
      </c>
      <c r="E103" t="inlineStr">
        <is>
          <t>WR</t>
        </is>
      </c>
      <c r="F103" s="51" t="n">
        <v>0.0445</v>
      </c>
      <c r="G103" s="51" t="n">
        <v>0</v>
      </c>
      <c r="H103" t="inlineStr">
        <is>
          <t>NOT ON ANY ROSTER</t>
        </is>
      </c>
    </row>
    <row r="104">
      <c r="A104" t="inlineStr">
        <is>
          <t>NYJ</t>
        </is>
      </c>
      <c r="B104" s="51" t="n">
        <v>0.1504</v>
      </c>
      <c r="C104" s="51" t="n">
        <v>0.24</v>
      </c>
      <c r="D104" t="inlineStr">
        <is>
          <t>Allen Lazard</t>
        </is>
      </c>
      <c r="E104" t="inlineStr">
        <is>
          <t>WR</t>
        </is>
      </c>
      <c r="F104" s="51" t="n">
        <v>0.0381</v>
      </c>
      <c r="G104" s="51" t="n">
        <v>0</v>
      </c>
      <c r="H104" t="inlineStr">
        <is>
          <t>NOT ON ANY ROSTER</t>
        </is>
      </c>
    </row>
    <row r="105">
      <c r="A105" t="inlineStr">
        <is>
          <t>NYJ</t>
        </is>
      </c>
      <c r="B105" s="51" t="n">
        <v>0.1504</v>
      </c>
      <c r="C105" s="51" t="n">
        <v>0.24</v>
      </c>
      <c r="D105" t="inlineStr">
        <is>
          <t>Tyler Johnson</t>
        </is>
      </c>
      <c r="E105" t="inlineStr">
        <is>
          <t>WR</t>
        </is>
      </c>
      <c r="F105" s="51" t="n">
        <v>0.0381</v>
      </c>
      <c r="G105" s="51" t="n">
        <v>0</v>
      </c>
      <c r="H105" t="inlineStr">
        <is>
          <t>DAL</t>
        </is>
      </c>
    </row>
    <row r="106">
      <c r="A106" t="inlineStr">
        <is>
          <t>NYJ</t>
        </is>
      </c>
      <c r="B106" s="51" t="n">
        <v>0.1504</v>
      </c>
      <c r="C106" s="51" t="n">
        <v>0.24</v>
      </c>
      <c r="D106" t="inlineStr">
        <is>
          <t>Khalil Herbert</t>
        </is>
      </c>
      <c r="E106" t="inlineStr">
        <is>
          <t>RB</t>
        </is>
      </c>
      <c r="F106" s="51" t="n">
        <v>0.008500000000000001</v>
      </c>
      <c r="G106" s="51" t="n">
        <v>0.0356</v>
      </c>
      <c r="H106" t="inlineStr">
        <is>
          <t>SF</t>
        </is>
      </c>
    </row>
    <row r="107">
      <c r="A107" t="inlineStr">
        <is>
          <t>NYJ</t>
        </is>
      </c>
      <c r="B107" s="51" t="n">
        <v>0.1504</v>
      </c>
      <c r="C107" s="51" t="n">
        <v>0.24</v>
      </c>
      <c r="D107" t="inlineStr">
        <is>
          <t>Stone Smartt</t>
        </is>
      </c>
      <c r="E107" t="inlineStr">
        <is>
          <t>TE</t>
        </is>
      </c>
      <c r="F107" s="51" t="n">
        <v>0.0191</v>
      </c>
      <c r="G107" s="51" t="n">
        <v>0</v>
      </c>
      <c r="H107" t="inlineStr">
        <is>
          <t>PHI</t>
        </is>
      </c>
    </row>
    <row r="108">
      <c r="A108" t="inlineStr">
        <is>
          <t>PHI</t>
        </is>
      </c>
      <c r="B108" s="51" t="n">
        <v>0.3642</v>
      </c>
      <c r="C108" s="51" t="n">
        <v>0.026</v>
      </c>
      <c r="D108" t="inlineStr">
        <is>
          <t>A.J. Brown</t>
        </is>
      </c>
      <c r="E108" t="inlineStr">
        <is>
          <t>WR</t>
        </is>
      </c>
      <c r="F108" s="51" t="n">
        <v>0.2608</v>
      </c>
      <c r="G108" s="51" t="n">
        <v>0</v>
      </c>
      <c r="H108" t="inlineStr">
        <is>
          <t>NE</t>
        </is>
      </c>
    </row>
    <row r="109">
      <c r="A109" t="inlineStr">
        <is>
          <t>PHI</t>
        </is>
      </c>
      <c r="B109" s="51" t="n">
        <v>0.3642</v>
      </c>
      <c r="C109" s="51" t="n">
        <v>0.026</v>
      </c>
      <c r="D109" t="inlineStr">
        <is>
          <t>Jahan Dotson</t>
        </is>
      </c>
      <c r="E109" t="inlineStr">
        <is>
          <t>WR</t>
        </is>
      </c>
      <c r="F109" s="51" t="n">
        <v>0.0776</v>
      </c>
      <c r="G109" s="51" t="n">
        <v>0</v>
      </c>
      <c r="H109" t="inlineStr">
        <is>
          <t>ATL</t>
        </is>
      </c>
    </row>
    <row r="110">
      <c r="A110" t="inlineStr">
        <is>
          <t>PHI</t>
        </is>
      </c>
      <c r="B110" s="51" t="n">
        <v>0.3642</v>
      </c>
      <c r="C110" s="51" t="n">
        <v>0.026</v>
      </c>
      <c r="D110" t="inlineStr">
        <is>
          <t>AJ Dillon</t>
        </is>
      </c>
      <c r="E110" t="inlineStr">
        <is>
          <t>RB</t>
        </is>
      </c>
      <c r="F110" s="51" t="n">
        <v>0.0065</v>
      </c>
      <c r="G110" s="51" t="n">
        <v>0.026</v>
      </c>
      <c r="H110" t="inlineStr">
        <is>
          <t>CAR</t>
        </is>
      </c>
    </row>
    <row r="111">
      <c r="A111" t="inlineStr">
        <is>
          <t>PHI</t>
        </is>
      </c>
      <c r="B111" s="51" t="n">
        <v>0.3642</v>
      </c>
      <c r="C111" s="51" t="n">
        <v>0.026</v>
      </c>
      <c r="D111" t="inlineStr">
        <is>
          <t>Kylen Granson</t>
        </is>
      </c>
      <c r="E111" t="inlineStr">
        <is>
          <t>TE</t>
        </is>
      </c>
      <c r="F111" s="51" t="n">
        <v>0.0194</v>
      </c>
      <c r="G111" s="51" t="n">
        <v>0</v>
      </c>
      <c r="H111" t="inlineStr">
        <is>
          <t>TEN</t>
        </is>
      </c>
    </row>
    <row r="112">
      <c r="A112" t="inlineStr">
        <is>
          <t>PIT</t>
        </is>
      </c>
      <c r="B112" s="51" t="n">
        <v>0.4387</v>
      </c>
      <c r="C112" s="51" t="n">
        <v>0.3494</v>
      </c>
      <c r="D112" t="inlineStr">
        <is>
          <t>Kenneth Gainwell</t>
        </is>
      </c>
      <c r="E112" t="inlineStr">
        <is>
          <t>RB</t>
        </is>
      </c>
      <c r="F112" s="51" t="n">
        <v>0.1628</v>
      </c>
      <c r="G112" s="51" t="n">
        <v>0.2886</v>
      </c>
      <c r="H112" t="inlineStr">
        <is>
          <t>NOT ON ANY ROSTER</t>
        </is>
      </c>
    </row>
    <row r="113">
      <c r="A113" t="inlineStr">
        <is>
          <t>PIT</t>
        </is>
      </c>
      <c r="B113" s="51" t="n">
        <v>0.4387</v>
      </c>
      <c r="C113" s="51" t="n">
        <v>0.3494</v>
      </c>
      <c r="D113" t="inlineStr">
        <is>
          <t>Calvin Austin III</t>
        </is>
      </c>
      <c r="E113" t="inlineStr">
        <is>
          <t>WR</t>
        </is>
      </c>
      <c r="F113" s="51" t="n">
        <v>0.1054</v>
      </c>
      <c r="G113" s="51" t="n">
        <v>0</v>
      </c>
      <c r="H113" t="inlineStr">
        <is>
          <t>NYG</t>
        </is>
      </c>
    </row>
    <row r="114">
      <c r="A114" t="inlineStr">
        <is>
          <t>PIT</t>
        </is>
      </c>
      <c r="B114" s="51" t="n">
        <v>0.4387</v>
      </c>
      <c r="C114" s="51" t="n">
        <v>0.3494</v>
      </c>
      <c r="D114" t="inlineStr">
        <is>
          <t>Jonnu Smith</t>
        </is>
      </c>
      <c r="E114" t="inlineStr">
        <is>
          <t>TE</t>
        </is>
      </c>
      <c r="F114" s="51" t="n">
        <v>0.1034</v>
      </c>
      <c r="G114" s="51" t="n">
        <v>0.0228</v>
      </c>
      <c r="H114" t="inlineStr">
        <is>
          <t>NOT ON ANY ROSTER</t>
        </is>
      </c>
    </row>
    <row r="115">
      <c r="A115" t="inlineStr">
        <is>
          <t>PIT</t>
        </is>
      </c>
      <c r="B115" s="51" t="n">
        <v>0.4387</v>
      </c>
      <c r="C115" s="51" t="n">
        <v>0.3494</v>
      </c>
      <c r="D115" t="inlineStr">
        <is>
          <t>Connor Heyward</t>
        </is>
      </c>
      <c r="E115" t="inlineStr">
        <is>
          <t>FB</t>
        </is>
      </c>
      <c r="F115" s="51" t="n">
        <v>0.0077</v>
      </c>
      <c r="G115" s="51" t="n">
        <v>0.038</v>
      </c>
      <c r="H115" t="inlineStr">
        <is>
          <t>LV</t>
        </is>
      </c>
    </row>
    <row r="116">
      <c r="A116" t="inlineStr">
        <is>
          <t>PIT</t>
        </is>
      </c>
      <c r="B116" s="51" t="n">
        <v>0.4387</v>
      </c>
      <c r="C116" s="51" t="n">
        <v>0.3494</v>
      </c>
      <c r="D116" t="inlineStr">
        <is>
          <t>Adam Thielen</t>
        </is>
      </c>
      <c r="E116" t="inlineStr">
        <is>
          <t>WR</t>
        </is>
      </c>
      <c r="F116" s="51" t="n">
        <v>0.0326</v>
      </c>
      <c r="G116" s="51" t="n">
        <v>0</v>
      </c>
      <c r="H116" t="inlineStr">
        <is>
          <t>NOT ON ANY ROSTER</t>
        </is>
      </c>
    </row>
    <row r="117">
      <c r="A117" t="inlineStr">
        <is>
          <t>PIT</t>
        </is>
      </c>
      <c r="B117" s="51" t="n">
        <v>0.4387</v>
      </c>
      <c r="C117" s="51" t="n">
        <v>0.3494</v>
      </c>
      <c r="D117" t="inlineStr">
        <is>
          <t>Scotty Miller</t>
        </is>
      </c>
      <c r="E117" t="inlineStr">
        <is>
          <t>WR</t>
        </is>
      </c>
      <c r="F117" s="51" t="n">
        <v>0.0268</v>
      </c>
      <c r="G117" s="51" t="n">
        <v>0</v>
      </c>
      <c r="H117" t="inlineStr">
        <is>
          <t>CHI</t>
        </is>
      </c>
    </row>
    <row r="118">
      <c r="A118" t="inlineStr">
        <is>
          <t>SEA</t>
        </is>
      </c>
      <c r="B118" s="51" t="n">
        <v>0.0791</v>
      </c>
      <c r="C118" s="51" t="n">
        <v>0.451</v>
      </c>
      <c r="D118" t="inlineStr">
        <is>
          <t>Kenneth Walker III</t>
        </is>
      </c>
      <c r="E118" t="inlineStr">
        <is>
          <t>RB</t>
        </is>
      </c>
      <c r="F118" s="51" t="n">
        <v>0.0791</v>
      </c>
      <c r="G118" s="51" t="n">
        <v>0.451</v>
      </c>
      <c r="H118" t="inlineStr">
        <is>
          <t>KC</t>
        </is>
      </c>
    </row>
    <row r="119">
      <c r="A119" t="inlineStr">
        <is>
          <t>SF</t>
        </is>
      </c>
      <c r="B119" s="51" t="n">
        <v>0.4055</v>
      </c>
      <c r="C119" s="51" t="n">
        <v>0.2078</v>
      </c>
      <c r="D119" t="inlineStr">
        <is>
          <t>Brian Robinson</t>
        </is>
      </c>
      <c r="E119" t="inlineStr">
        <is>
          <t>RB</t>
        </is>
      </c>
      <c r="F119" s="51" t="n">
        <v>0.0218</v>
      </c>
      <c r="G119" s="51" t="n">
        <v>0.1991</v>
      </c>
      <c r="H119" t="inlineStr">
        <is>
          <t>ATL</t>
        </is>
      </c>
    </row>
    <row r="120">
      <c r="A120" t="inlineStr">
        <is>
          <t>SF</t>
        </is>
      </c>
      <c r="B120" s="51" t="n">
        <v>0.4055</v>
      </c>
      <c r="C120" s="51" t="n">
        <v>0.2078</v>
      </c>
      <c r="D120" t="inlineStr">
        <is>
          <t>Jauan Jennings</t>
        </is>
      </c>
      <c r="E120" t="inlineStr">
        <is>
          <t>WR</t>
        </is>
      </c>
      <c r="F120" s="51" t="n">
        <v>0.1636</v>
      </c>
      <c r="G120" s="51" t="n">
        <v>0</v>
      </c>
      <c r="H120" t="inlineStr">
        <is>
          <t>MIN</t>
        </is>
      </c>
    </row>
    <row r="121">
      <c r="A121" t="inlineStr">
        <is>
          <t>SF</t>
        </is>
      </c>
      <c r="B121" s="51" t="n">
        <v>0.4055</v>
      </c>
      <c r="C121" s="51" t="n">
        <v>0.2078</v>
      </c>
      <c r="D121" t="inlineStr">
        <is>
          <t>Kendrick Bourne</t>
        </is>
      </c>
      <c r="E121" t="inlineStr">
        <is>
          <t>WR</t>
        </is>
      </c>
      <c r="F121" s="51" t="n">
        <v>0.0964</v>
      </c>
      <c r="G121" s="51" t="n">
        <v>0</v>
      </c>
      <c r="H121" t="inlineStr">
        <is>
          <t>ARI</t>
        </is>
      </c>
    </row>
    <row r="122">
      <c r="A122" t="inlineStr">
        <is>
          <t>SF</t>
        </is>
      </c>
      <c r="B122" s="51" t="n">
        <v>0.4055</v>
      </c>
      <c r="C122" s="51" t="n">
        <v>0.2078</v>
      </c>
      <c r="D122" t="inlineStr">
        <is>
          <t>Ricky Pearsall</t>
        </is>
      </c>
      <c r="E122" t="inlineStr">
        <is>
          <t>WR</t>
        </is>
      </c>
      <c r="F122" s="51" t="n">
        <v>0.0964</v>
      </c>
      <c r="G122" s="51" t="n">
        <v>0.0043</v>
      </c>
      <c r="H122" t="inlineStr">
        <is>
          <t>NOT ON ANY ROSTER</t>
        </is>
      </c>
    </row>
    <row r="123">
      <c r="A123" t="inlineStr">
        <is>
          <t>SF</t>
        </is>
      </c>
      <c r="B123" s="51" t="n">
        <v>0.4055</v>
      </c>
      <c r="C123" s="51" t="n">
        <v>0.2078</v>
      </c>
      <c r="D123" t="inlineStr">
        <is>
          <t>Marquez Valdes-Scantling</t>
        </is>
      </c>
      <c r="E123" t="inlineStr">
        <is>
          <t>WR</t>
        </is>
      </c>
      <c r="F123" s="51" t="n">
        <v>0.0145</v>
      </c>
      <c r="G123" s="51" t="n">
        <v>0</v>
      </c>
      <c r="H123" t="inlineStr">
        <is>
          <t>DAL</t>
        </is>
      </c>
    </row>
    <row r="124">
      <c r="A124" t="inlineStr">
        <is>
          <t>SF</t>
        </is>
      </c>
      <c r="B124" s="51" t="n">
        <v>0.4055</v>
      </c>
      <c r="C124" s="51" t="n">
        <v>0.2078</v>
      </c>
      <c r="D124" t="inlineStr">
        <is>
          <t>Skyy Moore</t>
        </is>
      </c>
      <c r="E124" t="inlineStr">
        <is>
          <t>WR</t>
        </is>
      </c>
      <c r="F124" s="51" t="n">
        <v>0.0127</v>
      </c>
      <c r="G124" s="51" t="n">
        <v>0.0043</v>
      </c>
      <c r="H124" t="inlineStr">
        <is>
          <t>GB</t>
        </is>
      </c>
    </row>
    <row r="125">
      <c r="A125" t="inlineStr">
        <is>
          <t>TB</t>
        </is>
      </c>
      <c r="B125" s="51" t="n">
        <v>0.2957</v>
      </c>
      <c r="C125" s="51" t="n">
        <v>0.2944</v>
      </c>
      <c r="D125" t="inlineStr">
        <is>
          <t>Rachaad White</t>
        </is>
      </c>
      <c r="E125" t="inlineStr">
        <is>
          <t>RB</t>
        </is>
      </c>
      <c r="F125" s="51" t="n">
        <v>0.0832</v>
      </c>
      <c r="G125" s="51" t="n">
        <v>0.2857</v>
      </c>
      <c r="H125" t="inlineStr">
        <is>
          <t>WAS</t>
        </is>
      </c>
    </row>
    <row r="126">
      <c r="A126" t="inlineStr">
        <is>
          <t>TB</t>
        </is>
      </c>
      <c r="B126" s="51" t="n">
        <v>0.2957</v>
      </c>
      <c r="C126" s="51" t="n">
        <v>0.2944</v>
      </c>
      <c r="D126" t="inlineStr">
        <is>
          <t>Mike Evans</t>
        </is>
      </c>
      <c r="E126" t="inlineStr">
        <is>
          <t>WR</t>
        </is>
      </c>
      <c r="F126" s="51" t="n">
        <v>0.1146</v>
      </c>
      <c r="G126" s="51" t="n">
        <v>0</v>
      </c>
      <c r="H126" t="inlineStr">
        <is>
          <t>SF</t>
        </is>
      </c>
    </row>
    <row r="127">
      <c r="A127" t="inlineStr">
        <is>
          <t>TB</t>
        </is>
      </c>
      <c r="B127" s="51" t="n">
        <v>0.2957</v>
      </c>
      <c r="C127" s="51" t="n">
        <v>0.2944</v>
      </c>
      <c r="D127" t="inlineStr">
        <is>
          <t>Sterling Shepard</t>
        </is>
      </c>
      <c r="E127" t="inlineStr">
        <is>
          <t>WR</t>
        </is>
      </c>
      <c r="F127" s="51" t="n">
        <v>0.098</v>
      </c>
      <c r="G127" s="51" t="n">
        <v>0.008699999999999999</v>
      </c>
      <c r="H127" t="inlineStr">
        <is>
          <t>NOT ON ANY ROSTER</t>
        </is>
      </c>
    </row>
    <row r="128">
      <c r="A128" t="inlineStr">
        <is>
          <t>TEN</t>
        </is>
      </c>
      <c r="B128" s="51" t="n">
        <v>0.3094</v>
      </c>
      <c r="C128" s="51" t="n">
        <v>0</v>
      </c>
      <c r="D128" t="inlineStr">
        <is>
          <t>Chig Okonkwo</t>
        </is>
      </c>
      <c r="E128" t="inlineStr">
        <is>
          <t>TE</t>
        </is>
      </c>
      <c r="F128" s="51" t="n">
        <v>0.1491</v>
      </c>
      <c r="G128" s="51" t="n">
        <v>0</v>
      </c>
      <c r="H128" t="inlineStr">
        <is>
          <t>WAS</t>
        </is>
      </c>
    </row>
    <row r="129">
      <c r="A129" t="inlineStr">
        <is>
          <t>TEN</t>
        </is>
      </c>
      <c r="B129" s="51" t="n">
        <v>0.3094</v>
      </c>
      <c r="C129" s="51" t="n">
        <v>0</v>
      </c>
      <c r="D129" t="inlineStr">
        <is>
          <t>Van Jefferson</t>
        </is>
      </c>
      <c r="E129" t="inlineStr">
        <is>
          <t>WR</t>
        </is>
      </c>
      <c r="F129" s="51" t="n">
        <v>0.09810000000000001</v>
      </c>
      <c r="G129" s="51" t="n">
        <v>0</v>
      </c>
      <c r="H129" t="inlineStr">
        <is>
          <t>WAS</t>
        </is>
      </c>
    </row>
    <row r="130">
      <c r="A130" t="inlineStr">
        <is>
          <t>TEN</t>
        </is>
      </c>
      <c r="B130" s="51" t="n">
        <v>0.3094</v>
      </c>
      <c r="C130" s="51" t="n">
        <v>0</v>
      </c>
      <c r="D130" t="inlineStr">
        <is>
          <t>Tyler Lockett</t>
        </is>
      </c>
      <c r="E130" t="inlineStr">
        <is>
          <t>WR</t>
        </is>
      </c>
      <c r="F130" s="51" t="n">
        <v>0.0396</v>
      </c>
      <c r="G130" s="51" t="n">
        <v>0</v>
      </c>
      <c r="H130" t="inlineStr">
        <is>
          <t>NOT ON ANY ROSTER</t>
        </is>
      </c>
    </row>
    <row r="131">
      <c r="A131" t="inlineStr">
        <is>
          <t>TEN</t>
        </is>
      </c>
      <c r="B131" s="51" t="n">
        <v>0.3094</v>
      </c>
      <c r="C131" s="51" t="n">
        <v>0</v>
      </c>
      <c r="D131" t="inlineStr">
        <is>
          <t>James Proche II</t>
        </is>
      </c>
      <c r="E131" t="inlineStr">
        <is>
          <t>WR</t>
        </is>
      </c>
      <c r="F131" s="51" t="n">
        <v>0.0226</v>
      </c>
      <c r="G131" s="51" t="n">
        <v>0</v>
      </c>
      <c r="H131" t="inlineStr">
        <is>
          <t>NOT ON ANY ROSTER</t>
        </is>
      </c>
    </row>
    <row r="132">
      <c r="A132" t="inlineStr">
        <is>
          <t>WAS</t>
        </is>
      </c>
      <c r="B132" s="51" t="n">
        <v>0.5185</v>
      </c>
      <c r="C132" s="51" t="n">
        <v>0.3284</v>
      </c>
      <c r="D132" t="inlineStr">
        <is>
          <t>Chris Rodriguez Jr.</t>
        </is>
      </c>
      <c r="E132" t="inlineStr">
        <is>
          <t>RB</t>
        </is>
      </c>
      <c r="F132" s="51" t="n">
        <v>0.009299999999999999</v>
      </c>
      <c r="G132" s="51" t="n">
        <v>0.2373</v>
      </c>
      <c r="H132" t="inlineStr">
        <is>
          <t>JAC</t>
        </is>
      </c>
    </row>
    <row r="133">
      <c r="A133" t="inlineStr">
        <is>
          <t>WAS</t>
        </is>
      </c>
      <c r="B133" s="51" t="n">
        <v>0.5185</v>
      </c>
      <c r="C133" s="51" t="n">
        <v>0.3284</v>
      </c>
      <c r="D133" t="inlineStr">
        <is>
          <t>Deebo Samuel</t>
        </is>
      </c>
      <c r="E133" t="inlineStr">
        <is>
          <t>WR</t>
        </is>
      </c>
      <c r="F133" s="51" t="n">
        <v>0.2292</v>
      </c>
      <c r="G133" s="51" t="n">
        <v>0.036</v>
      </c>
      <c r="H133" t="inlineStr">
        <is>
          <t>SF</t>
        </is>
      </c>
    </row>
    <row r="134">
      <c r="A134" t="inlineStr">
        <is>
          <t>WAS</t>
        </is>
      </c>
      <c r="B134" s="51" t="n">
        <v>0.5185</v>
      </c>
      <c r="C134" s="51" t="n">
        <v>0.3284</v>
      </c>
      <c r="D134" t="inlineStr">
        <is>
          <t>Zach Ertz</t>
        </is>
      </c>
      <c r="E134" t="inlineStr">
        <is>
          <t>TE</t>
        </is>
      </c>
      <c r="F134" s="51" t="n">
        <v>0.1667</v>
      </c>
      <c r="G134" s="51" t="n">
        <v>0</v>
      </c>
      <c r="H134" t="inlineStr">
        <is>
          <t>NOT ON ANY ROSTER</t>
        </is>
      </c>
    </row>
    <row r="135">
      <c r="A135" t="inlineStr">
        <is>
          <t>WAS</t>
        </is>
      </c>
      <c r="B135" s="51" t="n">
        <v>0.5185</v>
      </c>
      <c r="C135" s="51" t="n">
        <v>0.3284</v>
      </c>
      <c r="D135" t="inlineStr">
        <is>
          <t>Chris Moore</t>
        </is>
      </c>
      <c r="E135" t="inlineStr">
        <is>
          <t>WR</t>
        </is>
      </c>
      <c r="F135" s="51" t="n">
        <v>0.0532</v>
      </c>
      <c r="G135" s="51" t="n">
        <v>0.0021</v>
      </c>
      <c r="H135" t="inlineStr">
        <is>
          <t>BAL</t>
        </is>
      </c>
    </row>
    <row r="136">
      <c r="A136" t="inlineStr">
        <is>
          <t>WAS</t>
        </is>
      </c>
      <c r="B136" s="51" t="n">
        <v>0.5185</v>
      </c>
      <c r="C136" s="51" t="n">
        <v>0.3284</v>
      </c>
      <c r="D136" t="inlineStr">
        <is>
          <t>Austin Ekeler</t>
        </is>
      </c>
      <c r="E136" t="inlineStr">
        <is>
          <t>RB</t>
        </is>
      </c>
      <c r="F136" s="51" t="n">
        <v>0.0162</v>
      </c>
      <c r="G136" s="51" t="n">
        <v>0.0297</v>
      </c>
      <c r="H136" t="inlineStr">
        <is>
          <t>NOT ON ANY ROSTER</t>
        </is>
      </c>
    </row>
    <row r="137">
      <c r="A137" t="inlineStr">
        <is>
          <t>WAS</t>
        </is>
      </c>
      <c r="B137" s="51" t="n">
        <v>0.5185</v>
      </c>
      <c r="C137" s="51" t="n">
        <v>0.3284</v>
      </c>
      <c r="D137" t="inlineStr">
        <is>
          <t>Josh Johnson</t>
        </is>
      </c>
      <c r="E137" t="inlineStr">
        <is>
          <t>QB</t>
        </is>
      </c>
      <c r="F137" s="51" t="n">
        <v>0</v>
      </c>
      <c r="G137" s="51" t="n">
        <v>0.0233</v>
      </c>
      <c r="H137" t="inlineStr">
        <is>
          <t>CIN</t>
        </is>
      </c>
    </row>
    <row r="138">
      <c r="A138" t="inlineStr">
        <is>
          <t>WAS</t>
        </is>
      </c>
      <c r="B138" s="51" t="n">
        <v>0.5185</v>
      </c>
      <c r="C138" s="51" t="n">
        <v>0.3284</v>
      </c>
      <c r="D138" t="inlineStr">
        <is>
          <t>Noah Brown</t>
        </is>
      </c>
      <c r="E138" t="inlineStr">
        <is>
          <t>WR</t>
        </is>
      </c>
      <c r="F138" s="51" t="n">
        <v>0.0231</v>
      </c>
      <c r="G138" s="51" t="n">
        <v>0</v>
      </c>
      <c r="H138" t="inlineStr">
        <is>
          <t>NOT ON ANY ROSTER</t>
        </is>
      </c>
    </row>
    <row r="139">
      <c r="A139" t="inlineStr">
        <is>
          <t>WAS</t>
        </is>
      </c>
      <c r="B139" s="51" t="n">
        <v>0.5185</v>
      </c>
      <c r="C139" s="51" t="n">
        <v>0.3284</v>
      </c>
      <c r="D139" t="inlineStr">
        <is>
          <t>Robbie Chosen</t>
        </is>
      </c>
      <c r="E139" t="inlineStr">
        <is>
          <t>WR</t>
        </is>
      </c>
      <c r="F139" s="51" t="n">
        <v>0.0208</v>
      </c>
      <c r="G139" s="51" t="n">
        <v>0</v>
      </c>
      <c r="H139" t="inlineStr">
        <is>
          <t>NOT ON ANY ROSTER</t>
        </is>
      </c>
    </row>
  </sheetData>
  <autoFilter ref="A2:H13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</cols>
  <sheetData>
    <row r="1">
      <c r="A1" s="52" t="inlineStr">
        <is>
          <t>SETTINGS</t>
        </is>
      </c>
    </row>
    <row r="2"/>
    <row r="3">
      <c r="A3" s="7" t="inlineStr">
        <is>
          <t>Games in season</t>
        </is>
      </c>
      <c r="B3" s="53" t="n">
        <v>17</v>
      </c>
      <c r="C3" s="8" t="inlineStr">
        <is>
          <t>Regular season games</t>
        </is>
      </c>
    </row>
    <row r="4">
      <c r="A4" s="7" t="inlineStr">
        <is>
          <t>Target rate</t>
        </is>
      </c>
      <c r="B4" s="54" t="n">
        <v>0.954</v>
      </c>
      <c r="C4" s="8" t="inlineStr">
        <is>
          <t>Targets / pass attempt. The gap is throwaways, spikes, batted balls.</t>
        </is>
      </c>
    </row>
    <row r="5"/>
    <row r="6">
      <c r="A6" s="7" t="inlineStr">
        <is>
          <t>SCORING (half PPR)</t>
        </is>
      </c>
      <c r="C6" s="8" t="inlineStr">
        <is>
          <t>Matches ff_draft_proj/scoring.py</t>
        </is>
      </c>
    </row>
    <row r="7">
      <c r="A7" s="7" t="inlineStr">
        <is>
          <t>Points per rec yard</t>
        </is>
      </c>
      <c r="B7" s="54" t="n">
        <v>0.1</v>
      </c>
      <c r="C7" s="8" t="inlineStr"/>
    </row>
    <row r="8">
      <c r="A8" s="7" t="inlineStr">
        <is>
          <t>Points per rec TD</t>
        </is>
      </c>
      <c r="B8" s="53" t="n">
        <v>6</v>
      </c>
      <c r="C8" s="8" t="inlineStr"/>
    </row>
    <row r="9">
      <c r="A9" s="7" t="inlineStr">
        <is>
          <t>Points per reception</t>
        </is>
      </c>
      <c r="B9" s="54" t="n">
        <v>0.5</v>
      </c>
      <c r="C9" s="8" t="inlineStr">
        <is>
          <t>0 = standard, 1 = full PPR</t>
        </is>
      </c>
    </row>
    <row r="10">
      <c r="A10" s="7" t="inlineStr">
        <is>
          <t>Points per rush yard</t>
        </is>
      </c>
      <c r="B10" s="54" t="n">
        <v>0.1</v>
      </c>
      <c r="C10" s="8" t="inlineStr"/>
    </row>
    <row r="11">
      <c r="A11" s="7" t="inlineStr">
        <is>
          <t>Points per rush TD</t>
        </is>
      </c>
      <c r="B11" s="53" t="n">
        <v>6</v>
      </c>
      <c r="C11" s="8" t="inlineStr"/>
    </row>
    <row r="12">
      <c r="A12" s="7" t="inlineStr">
        <is>
          <t>Points per pass yard</t>
        </is>
      </c>
      <c r="B12" s="54" t="n">
        <v>0.04</v>
      </c>
      <c r="C12" s="8" t="inlineStr">
        <is>
          <t>QB passing</t>
        </is>
      </c>
    </row>
    <row r="13">
      <c r="A13" s="7" t="inlineStr">
        <is>
          <t>Points per pass TD</t>
        </is>
      </c>
      <c r="B13" s="53" t="n">
        <v>4</v>
      </c>
      <c r="C13" s="8" t="inlineStr"/>
    </row>
    <row r="14">
      <c r="A14" s="7" t="inlineStr">
        <is>
          <t>Points per INT</t>
        </is>
      </c>
      <c r="B14" s="53" t="n">
        <v>-2</v>
      </c>
      <c r="C14" s="8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2026-08-11T01:40:49Z</dcterms:created>
  <dcterms:modified xmlns:dcterms="http://purl.org/dc/terms/" xmlns:xsi="http://www.w3.org/2001/XMLSchema-instance" xsi:type="dcterms:W3CDTF">2026-08-11T01:40:50Z</dcterms:modified>
</cp:coreProperties>
</file>